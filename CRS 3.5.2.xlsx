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
    </mc:Choice>
  </mc:AlternateContent>
  <xr:revisionPtr revIDLastSave="0" documentId="8_{E5E9C27D-12CE-437D-85FE-D56019892B88}" xr6:coauthVersionLast="47" xr6:coauthVersionMax="47" xr10:uidLastSave="{00000000-0000-0000-0000-000000000000}"/>
  <bookViews>
    <workbookView xWindow="-120" yWindow="-120" windowWidth="38640" windowHeight="20280" tabRatio="500" xr2:uid="{00000000-000D-0000-FFFF-FFFF00000000}"/>
  </bookViews>
  <sheets>
    <sheet name="BASIC INFO" sheetId="1" r:id="rId1"/>
    <sheet name="CASE DATA" sheetId="2" r:id="rId2"/>
    <sheet name="EXPUNGEMENT &amp; 910.7" sheetId="3" r:id="rId3"/>
    <sheet name="BANKRUPTCY" sheetId="4" r:id="rId4"/>
    <sheet name="LICENSE-REGIS" sheetId="5" r:id="rId5"/>
    <sheet name="EXEMPTIONS" sheetId="6" r:id="rId6"/>
    <sheet name="SOL" sheetId="7" r:id="rId7"/>
    <sheet name="CODE SECTIONS" sheetId="11" r:id="rId8"/>
  </sheets>
  <definedNames>
    <definedName name="_xlnm._FilterDatabase" localSheetId="3" hidden="1">BANKRUPTCY!$A$3:$G$3</definedName>
    <definedName name="_xlnm._FilterDatabase" localSheetId="1" hidden="1">'CASE DATA'!$A$2:$AH$3</definedName>
    <definedName name="_xlnm._FilterDatabase" localSheetId="2" hidden="1">'EXPUNGEMENT &amp; 910.7'!$A$2:$AC$2</definedName>
    <definedName name="_xlnm._FilterDatabase" localSheetId="4"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 i="2" l="1"/>
  <c r="F150" i="7"/>
  <c r="D150" i="7"/>
  <c r="E150" i="7" s="1"/>
  <c r="C150" i="7"/>
  <c r="B150" i="7"/>
  <c r="A150" i="7"/>
  <c r="F149" i="7"/>
  <c r="D149" i="7"/>
  <c r="E149" i="7" s="1"/>
  <c r="C149" i="7"/>
  <c r="B149" i="7"/>
  <c r="A149" i="7"/>
  <c r="F148" i="7"/>
  <c r="D148" i="7"/>
  <c r="E148" i="7" s="1"/>
  <c r="C148" i="7"/>
  <c r="B148" i="7"/>
  <c r="A148" i="7"/>
  <c r="F147" i="7"/>
  <c r="D147" i="7"/>
  <c r="E147" i="7" s="1"/>
  <c r="C147" i="7"/>
  <c r="B147" i="7"/>
  <c r="A147" i="7"/>
  <c r="F146" i="7"/>
  <c r="D146" i="7"/>
  <c r="E146" i="7" s="1"/>
  <c r="C146" i="7"/>
  <c r="B146" i="7"/>
  <c r="A146" i="7"/>
  <c r="F145" i="7"/>
  <c r="D145" i="7"/>
  <c r="E145" i="7" s="1"/>
  <c r="C145" i="7"/>
  <c r="B145" i="7"/>
  <c r="A145" i="7"/>
  <c r="F144" i="7"/>
  <c r="D144" i="7"/>
  <c r="E144" i="7" s="1"/>
  <c r="C144" i="7"/>
  <c r="B144" i="7"/>
  <c r="A144" i="7"/>
  <c r="F143" i="7"/>
  <c r="D143" i="7"/>
  <c r="E143" i="7" s="1"/>
  <c r="C143" i="7"/>
  <c r="B143" i="7"/>
  <c r="A143" i="7"/>
  <c r="F142" i="7"/>
  <c r="D142" i="7"/>
  <c r="E142" i="7" s="1"/>
  <c r="C142" i="7"/>
  <c r="B142" i="7"/>
  <c r="A142" i="7"/>
  <c r="F141" i="7"/>
  <c r="D141" i="7"/>
  <c r="E141" i="7" s="1"/>
  <c r="C141" i="7"/>
  <c r="B141" i="7"/>
  <c r="A141" i="7"/>
  <c r="F140" i="7"/>
  <c r="D140" i="7"/>
  <c r="E140" i="7" s="1"/>
  <c r="C140" i="7"/>
  <c r="B140" i="7"/>
  <c r="A140" i="7"/>
  <c r="F139" i="7"/>
  <c r="D139" i="7"/>
  <c r="E139" i="7" s="1"/>
  <c r="C139" i="7"/>
  <c r="B139" i="7"/>
  <c r="A139" i="7"/>
  <c r="F138" i="7"/>
  <c r="D138" i="7"/>
  <c r="E138" i="7" s="1"/>
  <c r="C138" i="7"/>
  <c r="B138" i="7"/>
  <c r="A138" i="7"/>
  <c r="F137" i="7"/>
  <c r="D137" i="7"/>
  <c r="E137" i="7" s="1"/>
  <c r="C137" i="7"/>
  <c r="B137" i="7"/>
  <c r="A137" i="7"/>
  <c r="F136" i="7"/>
  <c r="D136" i="7"/>
  <c r="E136" i="7" s="1"/>
  <c r="C136" i="7"/>
  <c r="B136" i="7"/>
  <c r="A136" i="7"/>
  <c r="F135" i="7"/>
  <c r="D135" i="7"/>
  <c r="E135" i="7" s="1"/>
  <c r="C135" i="7"/>
  <c r="B135" i="7"/>
  <c r="A135" i="7"/>
  <c r="F134" i="7"/>
  <c r="D134" i="7"/>
  <c r="E134" i="7" s="1"/>
  <c r="C134" i="7"/>
  <c r="B134" i="7"/>
  <c r="A134" i="7"/>
  <c r="F133" i="7"/>
  <c r="D133" i="7"/>
  <c r="E133" i="7" s="1"/>
  <c r="C133" i="7"/>
  <c r="B133" i="7"/>
  <c r="A133" i="7"/>
  <c r="F132" i="7"/>
  <c r="D132" i="7"/>
  <c r="E132" i="7" s="1"/>
  <c r="C132" i="7"/>
  <c r="B132" i="7"/>
  <c r="A132" i="7"/>
  <c r="F131" i="7"/>
  <c r="D131" i="7"/>
  <c r="E131" i="7" s="1"/>
  <c r="C131" i="7"/>
  <c r="B131" i="7"/>
  <c r="A131" i="7"/>
  <c r="F130" i="7"/>
  <c r="D130" i="7"/>
  <c r="E130" i="7" s="1"/>
  <c r="C130" i="7"/>
  <c r="B130" i="7"/>
  <c r="A130" i="7"/>
  <c r="F129" i="7"/>
  <c r="D129" i="7"/>
  <c r="E129" i="7" s="1"/>
  <c r="C129" i="7"/>
  <c r="B129" i="7"/>
  <c r="A129" i="7"/>
  <c r="F128" i="7"/>
  <c r="D128" i="7"/>
  <c r="E128" i="7" s="1"/>
  <c r="C128" i="7"/>
  <c r="B128" i="7"/>
  <c r="A128" i="7"/>
  <c r="F127" i="7"/>
  <c r="D127" i="7"/>
  <c r="E127" i="7" s="1"/>
  <c r="C127" i="7"/>
  <c r="B127" i="7"/>
  <c r="A127" i="7"/>
  <c r="F126" i="7"/>
  <c r="D126" i="7"/>
  <c r="E126" i="7" s="1"/>
  <c r="C126" i="7"/>
  <c r="B126" i="7"/>
  <c r="A126" i="7"/>
  <c r="F125" i="7"/>
  <c r="D125" i="7"/>
  <c r="E125" i="7" s="1"/>
  <c r="C125" i="7"/>
  <c r="B125" i="7"/>
  <c r="A125" i="7"/>
  <c r="F124" i="7"/>
  <c r="D124" i="7"/>
  <c r="E124" i="7" s="1"/>
  <c r="C124" i="7"/>
  <c r="B124" i="7"/>
  <c r="A124" i="7"/>
  <c r="F123" i="7"/>
  <c r="D123" i="7"/>
  <c r="E123" i="7" s="1"/>
  <c r="C123" i="7"/>
  <c r="B123" i="7"/>
  <c r="A123" i="7"/>
  <c r="F122" i="7"/>
  <c r="D122" i="7"/>
  <c r="E122" i="7" s="1"/>
  <c r="C122" i="7"/>
  <c r="B122" i="7"/>
  <c r="A122" i="7"/>
  <c r="F121" i="7"/>
  <c r="D121" i="7"/>
  <c r="E121" i="7" s="1"/>
  <c r="C121" i="7"/>
  <c r="B121" i="7"/>
  <c r="A121" i="7"/>
  <c r="F120" i="7"/>
  <c r="D120" i="7"/>
  <c r="E120" i="7" s="1"/>
  <c r="C120" i="7"/>
  <c r="B120" i="7"/>
  <c r="A120" i="7"/>
  <c r="F119" i="7"/>
  <c r="D119" i="7"/>
  <c r="E119" i="7" s="1"/>
  <c r="C119" i="7"/>
  <c r="B119" i="7"/>
  <c r="A119" i="7"/>
  <c r="F118" i="7"/>
  <c r="D118" i="7"/>
  <c r="E118" i="7" s="1"/>
  <c r="C118" i="7"/>
  <c r="B118" i="7"/>
  <c r="A118" i="7"/>
  <c r="F117" i="7"/>
  <c r="D117" i="7"/>
  <c r="E117" i="7" s="1"/>
  <c r="C117" i="7"/>
  <c r="B117" i="7"/>
  <c r="A117" i="7"/>
  <c r="F116" i="7"/>
  <c r="D116" i="7"/>
  <c r="E116" i="7" s="1"/>
  <c r="C116" i="7"/>
  <c r="B116" i="7"/>
  <c r="A116" i="7"/>
  <c r="F115" i="7"/>
  <c r="D115" i="7"/>
  <c r="E115" i="7" s="1"/>
  <c r="C115" i="7"/>
  <c r="B115" i="7"/>
  <c r="A115" i="7"/>
  <c r="F114" i="7"/>
  <c r="D114" i="7"/>
  <c r="E114" i="7" s="1"/>
  <c r="C114" i="7"/>
  <c r="B114" i="7"/>
  <c r="A114" i="7"/>
  <c r="F113" i="7"/>
  <c r="D113" i="7"/>
  <c r="E113" i="7" s="1"/>
  <c r="C113" i="7"/>
  <c r="B113" i="7"/>
  <c r="A113" i="7"/>
  <c r="F112" i="7"/>
  <c r="D112" i="7"/>
  <c r="E112" i="7" s="1"/>
  <c r="C112" i="7"/>
  <c r="B112" i="7"/>
  <c r="A112" i="7"/>
  <c r="F111" i="7"/>
  <c r="D111" i="7"/>
  <c r="E111" i="7" s="1"/>
  <c r="C111" i="7"/>
  <c r="B111" i="7"/>
  <c r="A111" i="7"/>
  <c r="F110" i="7"/>
  <c r="D110" i="7"/>
  <c r="E110" i="7" s="1"/>
  <c r="C110" i="7"/>
  <c r="B110" i="7"/>
  <c r="A110" i="7"/>
  <c r="F109" i="7"/>
  <c r="D109" i="7"/>
  <c r="E109" i="7" s="1"/>
  <c r="C109" i="7"/>
  <c r="B109" i="7"/>
  <c r="A109" i="7"/>
  <c r="F108" i="7"/>
  <c r="D108" i="7"/>
  <c r="E108" i="7" s="1"/>
  <c r="C108" i="7"/>
  <c r="B108" i="7"/>
  <c r="A108" i="7"/>
  <c r="F107" i="7"/>
  <c r="D107" i="7"/>
  <c r="E107" i="7" s="1"/>
  <c r="C107" i="7"/>
  <c r="B107" i="7"/>
  <c r="A107" i="7"/>
  <c r="F106" i="7"/>
  <c r="D106" i="7"/>
  <c r="E106" i="7" s="1"/>
  <c r="C106" i="7"/>
  <c r="B106" i="7"/>
  <c r="A106" i="7"/>
  <c r="F105" i="7"/>
  <c r="D105" i="7"/>
  <c r="E105" i="7" s="1"/>
  <c r="C105" i="7"/>
  <c r="B105" i="7"/>
  <c r="A105" i="7"/>
  <c r="F104" i="7"/>
  <c r="D104" i="7"/>
  <c r="E104" i="7" s="1"/>
  <c r="C104" i="7"/>
  <c r="B104" i="7"/>
  <c r="A104" i="7"/>
  <c r="F103" i="7"/>
  <c r="D103" i="7"/>
  <c r="E103" i="7" s="1"/>
  <c r="C103" i="7"/>
  <c r="B103" i="7"/>
  <c r="A103" i="7"/>
  <c r="F102" i="7"/>
  <c r="D102" i="7"/>
  <c r="E102" i="7" s="1"/>
  <c r="C102" i="7"/>
  <c r="B102" i="7"/>
  <c r="A102" i="7"/>
  <c r="F101" i="7"/>
  <c r="D101" i="7"/>
  <c r="E101" i="7" s="1"/>
  <c r="C101" i="7"/>
  <c r="B101" i="7"/>
  <c r="A101" i="7"/>
  <c r="F100" i="7"/>
  <c r="D100" i="7"/>
  <c r="E100" i="7" s="1"/>
  <c r="C100" i="7"/>
  <c r="B100" i="7"/>
  <c r="A100" i="7"/>
  <c r="F99" i="7"/>
  <c r="D99" i="7"/>
  <c r="E99" i="7" s="1"/>
  <c r="C99" i="7"/>
  <c r="B99" i="7"/>
  <c r="A99" i="7"/>
  <c r="F98" i="7"/>
  <c r="D98" i="7"/>
  <c r="E98" i="7" s="1"/>
  <c r="C98" i="7"/>
  <c r="B98" i="7"/>
  <c r="A98" i="7"/>
  <c r="F97" i="7"/>
  <c r="D97" i="7"/>
  <c r="E97" i="7" s="1"/>
  <c r="C97" i="7"/>
  <c r="B97" i="7"/>
  <c r="A97" i="7"/>
  <c r="F96" i="7"/>
  <c r="D96" i="7"/>
  <c r="E96" i="7" s="1"/>
  <c r="C96" i="7"/>
  <c r="B96" i="7"/>
  <c r="A96" i="7"/>
  <c r="F95" i="7"/>
  <c r="D95" i="7"/>
  <c r="E95" i="7" s="1"/>
  <c r="C95" i="7"/>
  <c r="B95" i="7"/>
  <c r="A95" i="7"/>
  <c r="F94" i="7"/>
  <c r="D94" i="7"/>
  <c r="E94" i="7" s="1"/>
  <c r="C94" i="7"/>
  <c r="B94" i="7"/>
  <c r="A94" i="7"/>
  <c r="F93" i="7"/>
  <c r="D93" i="7"/>
  <c r="E93" i="7" s="1"/>
  <c r="C93" i="7"/>
  <c r="B93" i="7"/>
  <c r="A93" i="7"/>
  <c r="F92" i="7"/>
  <c r="D92" i="7"/>
  <c r="E92" i="7" s="1"/>
  <c r="C92" i="7"/>
  <c r="B92" i="7"/>
  <c r="A92" i="7"/>
  <c r="F91" i="7"/>
  <c r="D91" i="7"/>
  <c r="E91" i="7" s="1"/>
  <c r="C91" i="7"/>
  <c r="B91" i="7"/>
  <c r="A91" i="7"/>
  <c r="F90" i="7"/>
  <c r="D90" i="7"/>
  <c r="E90" i="7" s="1"/>
  <c r="C90" i="7"/>
  <c r="B90" i="7"/>
  <c r="A90" i="7"/>
  <c r="F89" i="7"/>
  <c r="D89" i="7"/>
  <c r="E89" i="7" s="1"/>
  <c r="C89" i="7"/>
  <c r="B89" i="7"/>
  <c r="A89" i="7"/>
  <c r="F88" i="7"/>
  <c r="D88" i="7"/>
  <c r="E88" i="7" s="1"/>
  <c r="C88" i="7"/>
  <c r="B88" i="7"/>
  <c r="A88" i="7"/>
  <c r="F87" i="7"/>
  <c r="D87" i="7"/>
  <c r="E87" i="7" s="1"/>
  <c r="C87" i="7"/>
  <c r="B87" i="7"/>
  <c r="A87" i="7"/>
  <c r="F86" i="7"/>
  <c r="D86" i="7"/>
  <c r="E86" i="7" s="1"/>
  <c r="C86" i="7"/>
  <c r="B86" i="7"/>
  <c r="A86" i="7"/>
  <c r="F85" i="7"/>
  <c r="D85" i="7"/>
  <c r="E85" i="7" s="1"/>
  <c r="C85" i="7"/>
  <c r="B85" i="7"/>
  <c r="A85" i="7"/>
  <c r="F84" i="7"/>
  <c r="D84" i="7"/>
  <c r="E84" i="7" s="1"/>
  <c r="C84" i="7"/>
  <c r="B84" i="7"/>
  <c r="A84" i="7"/>
  <c r="F83" i="7"/>
  <c r="D83" i="7"/>
  <c r="E83" i="7" s="1"/>
  <c r="C83" i="7"/>
  <c r="B83" i="7"/>
  <c r="A83" i="7"/>
  <c r="F82" i="7"/>
  <c r="D82" i="7"/>
  <c r="E82" i="7" s="1"/>
  <c r="C82" i="7"/>
  <c r="B82" i="7"/>
  <c r="A82" i="7"/>
  <c r="F81" i="7"/>
  <c r="D81" i="7"/>
  <c r="E81" i="7" s="1"/>
  <c r="C81" i="7"/>
  <c r="B81" i="7"/>
  <c r="A81" i="7"/>
  <c r="F80" i="7"/>
  <c r="D80" i="7"/>
  <c r="E80" i="7" s="1"/>
  <c r="C80" i="7"/>
  <c r="B80" i="7"/>
  <c r="A80" i="7"/>
  <c r="F79" i="7"/>
  <c r="D79" i="7"/>
  <c r="E79" i="7" s="1"/>
  <c r="C79" i="7"/>
  <c r="B79" i="7"/>
  <c r="A79" i="7"/>
  <c r="F78" i="7"/>
  <c r="D78" i="7"/>
  <c r="E78" i="7" s="1"/>
  <c r="C78" i="7"/>
  <c r="B78" i="7"/>
  <c r="A78" i="7"/>
  <c r="F77" i="7"/>
  <c r="D77" i="7"/>
  <c r="E77" i="7" s="1"/>
  <c r="C77" i="7"/>
  <c r="B77" i="7"/>
  <c r="A77" i="7"/>
  <c r="F76" i="7"/>
  <c r="D76" i="7"/>
  <c r="E76" i="7" s="1"/>
  <c r="C76" i="7"/>
  <c r="B76" i="7"/>
  <c r="A76" i="7"/>
  <c r="F75" i="7"/>
  <c r="D75" i="7"/>
  <c r="E75" i="7" s="1"/>
  <c r="C75" i="7"/>
  <c r="B75" i="7"/>
  <c r="A75" i="7"/>
  <c r="F74" i="7"/>
  <c r="D74" i="7"/>
  <c r="E74" i="7" s="1"/>
  <c r="C74" i="7"/>
  <c r="B74" i="7"/>
  <c r="A74" i="7"/>
  <c r="F73" i="7"/>
  <c r="D73" i="7"/>
  <c r="E73" i="7" s="1"/>
  <c r="C73" i="7"/>
  <c r="B73" i="7"/>
  <c r="A73" i="7"/>
  <c r="F72" i="7"/>
  <c r="D72" i="7"/>
  <c r="E72" i="7" s="1"/>
  <c r="C72" i="7"/>
  <c r="B72" i="7"/>
  <c r="A72" i="7"/>
  <c r="F71" i="7"/>
  <c r="D71" i="7"/>
  <c r="E71" i="7" s="1"/>
  <c r="C71" i="7"/>
  <c r="B71" i="7"/>
  <c r="A71" i="7"/>
  <c r="F70" i="7"/>
  <c r="D70" i="7"/>
  <c r="E70" i="7" s="1"/>
  <c r="C70" i="7"/>
  <c r="B70" i="7"/>
  <c r="A70" i="7"/>
  <c r="F69" i="7"/>
  <c r="D69" i="7"/>
  <c r="E69" i="7" s="1"/>
  <c r="C69" i="7"/>
  <c r="B69" i="7"/>
  <c r="A69" i="7"/>
  <c r="F68" i="7"/>
  <c r="D68" i="7"/>
  <c r="E68" i="7" s="1"/>
  <c r="C68" i="7"/>
  <c r="B68" i="7"/>
  <c r="A68" i="7"/>
  <c r="F67" i="7"/>
  <c r="D67" i="7"/>
  <c r="E67" i="7" s="1"/>
  <c r="C67" i="7"/>
  <c r="B67" i="7"/>
  <c r="A67" i="7"/>
  <c r="F66" i="7"/>
  <c r="D66" i="7"/>
  <c r="E66" i="7" s="1"/>
  <c r="C66" i="7"/>
  <c r="B66" i="7"/>
  <c r="A66" i="7"/>
  <c r="F65" i="7"/>
  <c r="D65" i="7"/>
  <c r="E65" i="7" s="1"/>
  <c r="C65" i="7"/>
  <c r="B65" i="7"/>
  <c r="A65" i="7"/>
  <c r="F64" i="7"/>
  <c r="D64" i="7"/>
  <c r="E64" i="7" s="1"/>
  <c r="C64" i="7"/>
  <c r="B64" i="7"/>
  <c r="A64" i="7"/>
  <c r="F63" i="7"/>
  <c r="D63" i="7"/>
  <c r="E63" i="7" s="1"/>
  <c r="C63" i="7"/>
  <c r="B63" i="7"/>
  <c r="A63" i="7"/>
  <c r="F62" i="7"/>
  <c r="D62" i="7"/>
  <c r="E62" i="7" s="1"/>
  <c r="C62" i="7"/>
  <c r="B62" i="7"/>
  <c r="A62" i="7"/>
  <c r="F61" i="7"/>
  <c r="D61" i="7"/>
  <c r="E61" i="7" s="1"/>
  <c r="C61" i="7"/>
  <c r="B61" i="7"/>
  <c r="A61" i="7"/>
  <c r="F60" i="7"/>
  <c r="D60" i="7"/>
  <c r="E60" i="7" s="1"/>
  <c r="C60" i="7"/>
  <c r="B60" i="7"/>
  <c r="A60" i="7"/>
  <c r="F59" i="7"/>
  <c r="D59" i="7"/>
  <c r="E59" i="7" s="1"/>
  <c r="C59" i="7"/>
  <c r="B59" i="7"/>
  <c r="A59" i="7"/>
  <c r="F58" i="7"/>
  <c r="D58" i="7"/>
  <c r="E58" i="7" s="1"/>
  <c r="C58" i="7"/>
  <c r="B58" i="7"/>
  <c r="A58" i="7"/>
  <c r="F57" i="7"/>
  <c r="D57" i="7"/>
  <c r="C57" i="7"/>
  <c r="B57" i="7"/>
  <c r="A57" i="7"/>
  <c r="F56" i="7"/>
  <c r="D56" i="7"/>
  <c r="C56" i="7"/>
  <c r="B56" i="7"/>
  <c r="A56" i="7"/>
  <c r="F55" i="7"/>
  <c r="D55" i="7"/>
  <c r="C55" i="7"/>
  <c r="B55" i="7"/>
  <c r="A55" i="7"/>
  <c r="F54" i="7"/>
  <c r="D54" i="7"/>
  <c r="C54" i="7"/>
  <c r="B54" i="7"/>
  <c r="A54" i="7"/>
  <c r="F53" i="7"/>
  <c r="D53" i="7"/>
  <c r="C53" i="7"/>
  <c r="B53" i="7"/>
  <c r="A53" i="7"/>
  <c r="F52" i="7"/>
  <c r="D52" i="7"/>
  <c r="C52" i="7"/>
  <c r="B52" i="7"/>
  <c r="A52" i="7"/>
  <c r="F51" i="7"/>
  <c r="D51" i="7"/>
  <c r="C51" i="7"/>
  <c r="B51" i="7"/>
  <c r="A51" i="7"/>
  <c r="F50" i="7"/>
  <c r="D50" i="7"/>
  <c r="C50" i="7"/>
  <c r="B50" i="7"/>
  <c r="A50" i="7"/>
  <c r="F49" i="7"/>
  <c r="D49" i="7"/>
  <c r="C49" i="7"/>
  <c r="B49" i="7"/>
  <c r="A49" i="7"/>
  <c r="F48" i="7"/>
  <c r="D48" i="7"/>
  <c r="C48" i="7"/>
  <c r="B48" i="7"/>
  <c r="A48" i="7"/>
  <c r="F47" i="7"/>
  <c r="D47" i="7"/>
  <c r="C47" i="7"/>
  <c r="B47" i="7"/>
  <c r="A47" i="7"/>
  <c r="F46" i="7"/>
  <c r="D46" i="7"/>
  <c r="C46" i="7"/>
  <c r="B46" i="7"/>
  <c r="A46" i="7"/>
  <c r="F45" i="7"/>
  <c r="D45" i="7"/>
  <c r="C45" i="7"/>
  <c r="B45" i="7"/>
  <c r="A45" i="7"/>
  <c r="F44" i="7"/>
  <c r="D44" i="7"/>
  <c r="C44" i="7"/>
  <c r="B44" i="7"/>
  <c r="A44" i="7"/>
  <c r="F43" i="7"/>
  <c r="D43" i="7"/>
  <c r="C43" i="7"/>
  <c r="B43" i="7"/>
  <c r="A43" i="7"/>
  <c r="F42" i="7"/>
  <c r="D42" i="7"/>
  <c r="C42" i="7"/>
  <c r="B42" i="7"/>
  <c r="A42" i="7"/>
  <c r="F41" i="7"/>
  <c r="D41" i="7"/>
  <c r="C41" i="7"/>
  <c r="B41" i="7"/>
  <c r="A41" i="7"/>
  <c r="F40" i="7"/>
  <c r="D40" i="7"/>
  <c r="C40" i="7"/>
  <c r="B40" i="7"/>
  <c r="A40" i="7"/>
  <c r="F39" i="7"/>
  <c r="D39" i="7"/>
  <c r="C39" i="7"/>
  <c r="B39" i="7"/>
  <c r="A39" i="7"/>
  <c r="F38" i="7"/>
  <c r="D38" i="7"/>
  <c r="C38" i="7"/>
  <c r="B38" i="7"/>
  <c r="A38" i="7"/>
  <c r="F37" i="7"/>
  <c r="D37" i="7"/>
  <c r="C37" i="7"/>
  <c r="B37" i="7"/>
  <c r="A37" i="7"/>
  <c r="F36" i="7"/>
  <c r="D36" i="7"/>
  <c r="C36" i="7"/>
  <c r="B36" i="7"/>
  <c r="A36" i="7"/>
  <c r="F35" i="7"/>
  <c r="D35" i="7"/>
  <c r="C35" i="7"/>
  <c r="B35" i="7"/>
  <c r="A35" i="7"/>
  <c r="F34" i="7"/>
  <c r="D34" i="7"/>
  <c r="C34" i="7"/>
  <c r="B34" i="7"/>
  <c r="A34" i="7"/>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H14" i="7"/>
  <c r="G14" i="7"/>
  <c r="I14" i="7" s="1"/>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F6" i="7"/>
  <c r="D6" i="7"/>
  <c r="C6" i="7"/>
  <c r="B6" i="7"/>
  <c r="A6" i="7"/>
  <c r="F5" i="7"/>
  <c r="D5" i="7"/>
  <c r="C5" i="7"/>
  <c r="B5" i="7"/>
  <c r="A5" i="7"/>
  <c r="F4" i="7"/>
  <c r="D4" i="7"/>
  <c r="C4" i="7"/>
  <c r="B4" i="7"/>
  <c r="A4" i="7"/>
  <c r="F1" i="7"/>
  <c r="D1" i="7"/>
  <c r="C1" i="7"/>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D3" i="5"/>
  <c r="C3" i="5"/>
  <c r="B3" i="5"/>
  <c r="A3" i="5"/>
  <c r="C2" i="5"/>
  <c r="B2" i="5"/>
  <c r="A2" i="5"/>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Z200" i="3"/>
  <c r="W200" i="3"/>
  <c r="S200" i="3"/>
  <c r="I200" i="3"/>
  <c r="E200" i="3"/>
  <c r="D200" i="3"/>
  <c r="C200" i="3"/>
  <c r="AB200" i="3" s="1"/>
  <c r="B200" i="3"/>
  <c r="A200" i="3"/>
  <c r="Z199" i="3"/>
  <c r="W199" i="3"/>
  <c r="S199" i="3"/>
  <c r="I199" i="3"/>
  <c r="E199" i="3"/>
  <c r="D199" i="3"/>
  <c r="C199" i="3"/>
  <c r="AB199" i="3" s="1"/>
  <c r="B199" i="3"/>
  <c r="A199" i="3"/>
  <c r="Z198" i="3"/>
  <c r="W198" i="3"/>
  <c r="S198" i="3"/>
  <c r="I198" i="3"/>
  <c r="E198" i="3"/>
  <c r="D198" i="3"/>
  <c r="C198" i="3"/>
  <c r="AB198" i="3" s="1"/>
  <c r="B198" i="3"/>
  <c r="A198" i="3"/>
  <c r="Z197" i="3"/>
  <c r="W197" i="3"/>
  <c r="S197" i="3"/>
  <c r="I197" i="3"/>
  <c r="E197" i="3"/>
  <c r="D197" i="3"/>
  <c r="C197" i="3"/>
  <c r="AB197" i="3" s="1"/>
  <c r="B197" i="3"/>
  <c r="A197" i="3"/>
  <c r="Z196" i="3"/>
  <c r="W196" i="3"/>
  <c r="S196" i="3"/>
  <c r="I196" i="3"/>
  <c r="E196" i="3"/>
  <c r="D196" i="3"/>
  <c r="C196" i="3"/>
  <c r="AB196" i="3" s="1"/>
  <c r="B196" i="3"/>
  <c r="A196" i="3"/>
  <c r="Z195" i="3"/>
  <c r="W195" i="3"/>
  <c r="S195" i="3"/>
  <c r="I195" i="3"/>
  <c r="E195" i="3"/>
  <c r="D195" i="3"/>
  <c r="C195" i="3"/>
  <c r="AB195" i="3" s="1"/>
  <c r="B195" i="3"/>
  <c r="A195" i="3"/>
  <c r="Z194" i="3"/>
  <c r="W194" i="3"/>
  <c r="S194" i="3"/>
  <c r="I194" i="3"/>
  <c r="E194" i="3"/>
  <c r="D194" i="3"/>
  <c r="C194" i="3"/>
  <c r="AB194" i="3" s="1"/>
  <c r="B194" i="3"/>
  <c r="A194" i="3"/>
  <c r="Z193" i="3"/>
  <c r="W193" i="3"/>
  <c r="S193" i="3"/>
  <c r="I193" i="3"/>
  <c r="E193" i="3"/>
  <c r="D193" i="3"/>
  <c r="C193" i="3"/>
  <c r="AB193" i="3" s="1"/>
  <c r="B193" i="3"/>
  <c r="A193" i="3"/>
  <c r="Z192" i="3"/>
  <c r="W192" i="3"/>
  <c r="S192" i="3"/>
  <c r="I192" i="3"/>
  <c r="E192" i="3"/>
  <c r="D192" i="3"/>
  <c r="C192" i="3"/>
  <c r="AB192" i="3" s="1"/>
  <c r="B192" i="3"/>
  <c r="A192" i="3"/>
  <c r="Z191" i="3"/>
  <c r="W191" i="3"/>
  <c r="S191" i="3"/>
  <c r="I191" i="3"/>
  <c r="E191" i="3"/>
  <c r="D191" i="3"/>
  <c r="C191" i="3"/>
  <c r="AB191" i="3" s="1"/>
  <c r="B191" i="3"/>
  <c r="A191" i="3"/>
  <c r="Z190" i="3"/>
  <c r="W190" i="3"/>
  <c r="S190" i="3"/>
  <c r="I190" i="3"/>
  <c r="E190" i="3"/>
  <c r="D190" i="3"/>
  <c r="C190" i="3"/>
  <c r="AB190" i="3" s="1"/>
  <c r="B190" i="3"/>
  <c r="A190" i="3"/>
  <c r="Z189" i="3"/>
  <c r="W189" i="3"/>
  <c r="S189" i="3"/>
  <c r="I189" i="3"/>
  <c r="E189" i="3"/>
  <c r="D189" i="3"/>
  <c r="C189" i="3"/>
  <c r="AB189" i="3" s="1"/>
  <c r="B189" i="3"/>
  <c r="A189" i="3"/>
  <c r="Z188" i="3"/>
  <c r="W188" i="3"/>
  <c r="S188" i="3"/>
  <c r="I188" i="3"/>
  <c r="E188" i="3"/>
  <c r="D188" i="3"/>
  <c r="C188" i="3"/>
  <c r="AB188" i="3" s="1"/>
  <c r="B188" i="3"/>
  <c r="A188" i="3"/>
  <c r="Z187" i="3"/>
  <c r="W187" i="3"/>
  <c r="S187" i="3"/>
  <c r="I187" i="3"/>
  <c r="E187" i="3"/>
  <c r="D187" i="3"/>
  <c r="C187" i="3"/>
  <c r="AB187" i="3" s="1"/>
  <c r="B187" i="3"/>
  <c r="A187" i="3"/>
  <c r="Z186" i="3"/>
  <c r="W186" i="3"/>
  <c r="S186" i="3"/>
  <c r="I186" i="3"/>
  <c r="E186" i="3"/>
  <c r="D186" i="3"/>
  <c r="C186" i="3"/>
  <c r="AB186" i="3" s="1"/>
  <c r="B186" i="3"/>
  <c r="A186" i="3"/>
  <c r="Z185" i="3"/>
  <c r="W185" i="3"/>
  <c r="S185" i="3"/>
  <c r="I185" i="3"/>
  <c r="E185" i="3"/>
  <c r="D185" i="3"/>
  <c r="C185" i="3"/>
  <c r="AB185" i="3" s="1"/>
  <c r="B185" i="3"/>
  <c r="A185" i="3"/>
  <c r="Z184" i="3"/>
  <c r="W184" i="3"/>
  <c r="S184" i="3"/>
  <c r="I184" i="3"/>
  <c r="E184" i="3"/>
  <c r="D184" i="3"/>
  <c r="C184" i="3"/>
  <c r="AB184" i="3" s="1"/>
  <c r="B184" i="3"/>
  <c r="A184" i="3"/>
  <c r="Z183" i="3"/>
  <c r="W183" i="3"/>
  <c r="S183" i="3"/>
  <c r="I183" i="3"/>
  <c r="E183" i="3"/>
  <c r="D183" i="3"/>
  <c r="C183" i="3"/>
  <c r="AB183" i="3" s="1"/>
  <c r="B183" i="3"/>
  <c r="A183" i="3"/>
  <c r="Z182" i="3"/>
  <c r="W182" i="3"/>
  <c r="S182" i="3"/>
  <c r="I182" i="3"/>
  <c r="E182" i="3"/>
  <c r="D182" i="3"/>
  <c r="C182" i="3"/>
  <c r="AB182" i="3" s="1"/>
  <c r="B182" i="3"/>
  <c r="A182" i="3"/>
  <c r="Z181" i="3"/>
  <c r="W181" i="3"/>
  <c r="S181" i="3"/>
  <c r="I181" i="3"/>
  <c r="E181" i="3"/>
  <c r="D181" i="3"/>
  <c r="C181" i="3"/>
  <c r="AB181" i="3" s="1"/>
  <c r="B181" i="3"/>
  <c r="A181" i="3"/>
  <c r="Z180" i="3"/>
  <c r="W180" i="3"/>
  <c r="S180" i="3"/>
  <c r="I180" i="3"/>
  <c r="E180" i="3"/>
  <c r="D180" i="3"/>
  <c r="C180" i="3"/>
  <c r="AB180" i="3" s="1"/>
  <c r="B180" i="3"/>
  <c r="A180" i="3"/>
  <c r="Z179" i="3"/>
  <c r="W179" i="3"/>
  <c r="S179" i="3"/>
  <c r="I179" i="3"/>
  <c r="E179" i="3"/>
  <c r="D179" i="3"/>
  <c r="C179" i="3"/>
  <c r="AB179" i="3" s="1"/>
  <c r="B179" i="3"/>
  <c r="A179" i="3"/>
  <c r="Z178" i="3"/>
  <c r="W178" i="3"/>
  <c r="S178" i="3"/>
  <c r="I178" i="3"/>
  <c r="E178" i="3"/>
  <c r="D178" i="3"/>
  <c r="C178" i="3"/>
  <c r="AB178" i="3" s="1"/>
  <c r="B178" i="3"/>
  <c r="A178" i="3"/>
  <c r="Z177" i="3"/>
  <c r="W177" i="3"/>
  <c r="S177" i="3"/>
  <c r="I177" i="3"/>
  <c r="E177" i="3"/>
  <c r="D177" i="3"/>
  <c r="C177" i="3"/>
  <c r="AB177" i="3" s="1"/>
  <c r="B177" i="3"/>
  <c r="A177" i="3"/>
  <c r="Z176" i="3"/>
  <c r="W176" i="3"/>
  <c r="S176" i="3"/>
  <c r="I176" i="3"/>
  <c r="E176" i="3"/>
  <c r="D176" i="3"/>
  <c r="C176" i="3"/>
  <c r="AB176" i="3" s="1"/>
  <c r="B176" i="3"/>
  <c r="A176" i="3"/>
  <c r="Z175" i="3"/>
  <c r="W175" i="3"/>
  <c r="S175" i="3"/>
  <c r="I175" i="3"/>
  <c r="E175" i="3"/>
  <c r="D175" i="3"/>
  <c r="C175" i="3"/>
  <c r="AB175" i="3" s="1"/>
  <c r="B175" i="3"/>
  <c r="A175" i="3"/>
  <c r="Z174" i="3"/>
  <c r="W174" i="3"/>
  <c r="S174" i="3"/>
  <c r="I174" i="3"/>
  <c r="E174" i="3"/>
  <c r="D174" i="3"/>
  <c r="C174" i="3"/>
  <c r="AB174" i="3" s="1"/>
  <c r="B174" i="3"/>
  <c r="A174" i="3"/>
  <c r="Z173" i="3"/>
  <c r="W173" i="3"/>
  <c r="S173" i="3"/>
  <c r="I173" i="3"/>
  <c r="E173" i="3"/>
  <c r="D173" i="3"/>
  <c r="C173" i="3"/>
  <c r="AB173" i="3" s="1"/>
  <c r="B173" i="3"/>
  <c r="A173" i="3"/>
  <c r="Z172" i="3"/>
  <c r="W172" i="3"/>
  <c r="S172" i="3"/>
  <c r="I172" i="3"/>
  <c r="E172" i="3"/>
  <c r="D172" i="3"/>
  <c r="C172" i="3"/>
  <c r="AB172" i="3" s="1"/>
  <c r="B172" i="3"/>
  <c r="A172" i="3"/>
  <c r="Z171" i="3"/>
  <c r="W171" i="3"/>
  <c r="S171" i="3"/>
  <c r="I171" i="3"/>
  <c r="E171" i="3"/>
  <c r="D171" i="3"/>
  <c r="C171" i="3"/>
  <c r="AB171" i="3" s="1"/>
  <c r="B171" i="3"/>
  <c r="A171" i="3"/>
  <c r="Z170" i="3"/>
  <c r="W170" i="3"/>
  <c r="S170" i="3"/>
  <c r="I170" i="3"/>
  <c r="E170" i="3"/>
  <c r="D170" i="3"/>
  <c r="C170" i="3"/>
  <c r="AB170" i="3" s="1"/>
  <c r="B170" i="3"/>
  <c r="A170" i="3"/>
  <c r="Z169" i="3"/>
  <c r="W169" i="3"/>
  <c r="S169" i="3"/>
  <c r="I169" i="3"/>
  <c r="E169" i="3"/>
  <c r="D169" i="3"/>
  <c r="C169" i="3"/>
  <c r="AB169" i="3" s="1"/>
  <c r="B169" i="3"/>
  <c r="A169" i="3"/>
  <c r="Z168" i="3"/>
  <c r="W168" i="3"/>
  <c r="S168" i="3"/>
  <c r="I168" i="3"/>
  <c r="E168" i="3"/>
  <c r="D168" i="3"/>
  <c r="C168" i="3"/>
  <c r="AB168" i="3" s="1"/>
  <c r="B168" i="3"/>
  <c r="A168" i="3"/>
  <c r="Z167" i="3"/>
  <c r="W167" i="3"/>
  <c r="S167" i="3"/>
  <c r="I167" i="3"/>
  <c r="E167" i="3"/>
  <c r="D167" i="3"/>
  <c r="C167" i="3"/>
  <c r="AB167" i="3" s="1"/>
  <c r="B167" i="3"/>
  <c r="A167" i="3"/>
  <c r="Z166" i="3"/>
  <c r="W166" i="3"/>
  <c r="S166" i="3"/>
  <c r="I166" i="3"/>
  <c r="E166" i="3"/>
  <c r="D166" i="3"/>
  <c r="C166" i="3"/>
  <c r="AB166" i="3" s="1"/>
  <c r="B166" i="3"/>
  <c r="A166" i="3"/>
  <c r="Z165" i="3"/>
  <c r="W165" i="3"/>
  <c r="S165" i="3"/>
  <c r="I165" i="3"/>
  <c r="E165" i="3"/>
  <c r="D165" i="3"/>
  <c r="C165" i="3"/>
  <c r="AB165" i="3" s="1"/>
  <c r="B165" i="3"/>
  <c r="A165" i="3"/>
  <c r="Z164" i="3"/>
  <c r="W164" i="3"/>
  <c r="S164" i="3"/>
  <c r="I164" i="3"/>
  <c r="E164" i="3"/>
  <c r="D164" i="3"/>
  <c r="C164" i="3"/>
  <c r="AB164" i="3" s="1"/>
  <c r="B164" i="3"/>
  <c r="A164" i="3"/>
  <c r="Z163" i="3"/>
  <c r="W163" i="3"/>
  <c r="S163" i="3"/>
  <c r="I163" i="3"/>
  <c r="E163" i="3"/>
  <c r="D163" i="3"/>
  <c r="C163" i="3"/>
  <c r="AB163" i="3" s="1"/>
  <c r="B163" i="3"/>
  <c r="A163" i="3"/>
  <c r="Z162" i="3"/>
  <c r="W162" i="3"/>
  <c r="S162" i="3"/>
  <c r="I162" i="3"/>
  <c r="E162" i="3"/>
  <c r="D162" i="3"/>
  <c r="C162" i="3"/>
  <c r="AB162" i="3" s="1"/>
  <c r="B162" i="3"/>
  <c r="A162" i="3"/>
  <c r="Z161" i="3"/>
  <c r="W161" i="3"/>
  <c r="S161" i="3"/>
  <c r="I161" i="3"/>
  <c r="E161" i="3"/>
  <c r="D161" i="3"/>
  <c r="C161" i="3"/>
  <c r="AB161" i="3" s="1"/>
  <c r="B161" i="3"/>
  <c r="A161" i="3"/>
  <c r="Z160" i="3"/>
  <c r="W160" i="3"/>
  <c r="S160" i="3"/>
  <c r="I160" i="3"/>
  <c r="E160" i="3"/>
  <c r="D160" i="3"/>
  <c r="C160" i="3"/>
  <c r="AB160" i="3" s="1"/>
  <c r="B160" i="3"/>
  <c r="A160" i="3"/>
  <c r="Z159" i="3"/>
  <c r="W159" i="3"/>
  <c r="S159" i="3"/>
  <c r="I159" i="3"/>
  <c r="E159" i="3"/>
  <c r="D159" i="3"/>
  <c r="C159" i="3"/>
  <c r="AB159" i="3" s="1"/>
  <c r="B159" i="3"/>
  <c r="A159" i="3"/>
  <c r="Z158" i="3"/>
  <c r="W158" i="3"/>
  <c r="S158" i="3"/>
  <c r="I158" i="3"/>
  <c r="E158" i="3"/>
  <c r="D158" i="3"/>
  <c r="C158" i="3"/>
  <c r="AB158" i="3" s="1"/>
  <c r="B158" i="3"/>
  <c r="A158" i="3"/>
  <c r="Z157" i="3"/>
  <c r="W157" i="3"/>
  <c r="S157" i="3"/>
  <c r="I157" i="3"/>
  <c r="E157" i="3"/>
  <c r="D157" i="3"/>
  <c r="C157" i="3"/>
  <c r="AB157" i="3" s="1"/>
  <c r="B157" i="3"/>
  <c r="A157" i="3"/>
  <c r="Z156" i="3"/>
  <c r="W156" i="3"/>
  <c r="S156" i="3"/>
  <c r="I156" i="3"/>
  <c r="E156" i="3"/>
  <c r="D156" i="3"/>
  <c r="C156" i="3"/>
  <c r="AB156" i="3" s="1"/>
  <c r="B156" i="3"/>
  <c r="A156" i="3"/>
  <c r="Z155" i="3"/>
  <c r="W155" i="3"/>
  <c r="S155" i="3"/>
  <c r="I155" i="3"/>
  <c r="E155" i="3"/>
  <c r="D155" i="3"/>
  <c r="C155" i="3"/>
  <c r="AB155" i="3" s="1"/>
  <c r="B155" i="3"/>
  <c r="A155" i="3"/>
  <c r="Z154" i="3"/>
  <c r="W154" i="3"/>
  <c r="S154" i="3"/>
  <c r="I154" i="3"/>
  <c r="E154" i="3"/>
  <c r="D154" i="3"/>
  <c r="C154" i="3"/>
  <c r="AB154" i="3" s="1"/>
  <c r="B154" i="3"/>
  <c r="A154" i="3"/>
  <c r="Z153" i="3"/>
  <c r="W153" i="3"/>
  <c r="S153" i="3"/>
  <c r="I153" i="3"/>
  <c r="E153" i="3"/>
  <c r="D153" i="3"/>
  <c r="C153" i="3"/>
  <c r="AB153" i="3" s="1"/>
  <c r="B153" i="3"/>
  <c r="A153" i="3"/>
  <c r="Z152" i="3"/>
  <c r="W152" i="3"/>
  <c r="S152" i="3"/>
  <c r="I152" i="3"/>
  <c r="E152" i="3"/>
  <c r="D152" i="3"/>
  <c r="C152" i="3"/>
  <c r="AB152" i="3" s="1"/>
  <c r="B152" i="3"/>
  <c r="A152" i="3"/>
  <c r="Z151" i="3"/>
  <c r="W151" i="3"/>
  <c r="S151" i="3"/>
  <c r="I151" i="3"/>
  <c r="E151" i="3"/>
  <c r="D151" i="3"/>
  <c r="C151" i="3"/>
  <c r="AB151" i="3" s="1"/>
  <c r="B151" i="3"/>
  <c r="A151" i="3"/>
  <c r="Z150" i="3"/>
  <c r="W150" i="3"/>
  <c r="S150" i="3"/>
  <c r="I150" i="3"/>
  <c r="E150" i="3"/>
  <c r="D150" i="3"/>
  <c r="C150" i="3"/>
  <c r="AB150" i="3" s="1"/>
  <c r="B150" i="3"/>
  <c r="A150" i="3"/>
  <c r="Z149" i="3"/>
  <c r="W149" i="3"/>
  <c r="S149" i="3"/>
  <c r="I149" i="3"/>
  <c r="E149" i="3"/>
  <c r="D149" i="3"/>
  <c r="C149" i="3"/>
  <c r="AB149" i="3" s="1"/>
  <c r="B149" i="3"/>
  <c r="A149" i="3"/>
  <c r="Z148" i="3"/>
  <c r="W148" i="3"/>
  <c r="S148" i="3"/>
  <c r="I148" i="3"/>
  <c r="E148" i="3"/>
  <c r="D148" i="3"/>
  <c r="C148" i="3"/>
  <c r="AB148" i="3" s="1"/>
  <c r="B148" i="3"/>
  <c r="A148" i="3"/>
  <c r="Z147" i="3"/>
  <c r="W147" i="3"/>
  <c r="S147" i="3"/>
  <c r="I147" i="3"/>
  <c r="E147" i="3"/>
  <c r="D147" i="3"/>
  <c r="C147" i="3"/>
  <c r="AB147" i="3" s="1"/>
  <c r="B147" i="3"/>
  <c r="A147" i="3"/>
  <c r="Z146" i="3"/>
  <c r="W146" i="3"/>
  <c r="S146" i="3"/>
  <c r="I146" i="3"/>
  <c r="E146" i="3"/>
  <c r="D146" i="3"/>
  <c r="C146" i="3"/>
  <c r="AB146" i="3" s="1"/>
  <c r="B146" i="3"/>
  <c r="A146" i="3"/>
  <c r="Z145" i="3"/>
  <c r="W145" i="3"/>
  <c r="S145" i="3"/>
  <c r="I145" i="3"/>
  <c r="E145" i="3"/>
  <c r="D145" i="3"/>
  <c r="C145" i="3"/>
  <c r="AB145" i="3" s="1"/>
  <c r="B145" i="3"/>
  <c r="A145" i="3"/>
  <c r="Z144" i="3"/>
  <c r="W144" i="3"/>
  <c r="S144" i="3"/>
  <c r="I144" i="3"/>
  <c r="E144" i="3"/>
  <c r="D144" i="3"/>
  <c r="C144" i="3"/>
  <c r="AB144" i="3" s="1"/>
  <c r="B144" i="3"/>
  <c r="A144" i="3"/>
  <c r="Z143" i="3"/>
  <c r="W143" i="3"/>
  <c r="S143" i="3"/>
  <c r="I143" i="3"/>
  <c r="E143" i="3"/>
  <c r="D143" i="3"/>
  <c r="C143" i="3"/>
  <c r="AB143" i="3" s="1"/>
  <c r="B143" i="3"/>
  <c r="A143" i="3"/>
  <c r="Z142" i="3"/>
  <c r="W142" i="3"/>
  <c r="S142" i="3"/>
  <c r="I142" i="3"/>
  <c r="E142" i="3"/>
  <c r="D142" i="3"/>
  <c r="C142" i="3"/>
  <c r="AB142" i="3" s="1"/>
  <c r="B142" i="3"/>
  <c r="A142" i="3"/>
  <c r="Z141" i="3"/>
  <c r="W141" i="3"/>
  <c r="S141" i="3"/>
  <c r="I141" i="3"/>
  <c r="E141" i="3"/>
  <c r="D141" i="3"/>
  <c r="C141" i="3"/>
  <c r="AB141" i="3" s="1"/>
  <c r="B141" i="3"/>
  <c r="A141" i="3"/>
  <c r="Z140" i="3"/>
  <c r="W140" i="3"/>
  <c r="S140" i="3"/>
  <c r="I140" i="3"/>
  <c r="E140" i="3"/>
  <c r="D140" i="3"/>
  <c r="C140" i="3"/>
  <c r="AB140" i="3" s="1"/>
  <c r="B140" i="3"/>
  <c r="A140" i="3"/>
  <c r="Z139" i="3"/>
  <c r="W139" i="3"/>
  <c r="S139" i="3"/>
  <c r="I139" i="3"/>
  <c r="E139" i="3"/>
  <c r="D139" i="3"/>
  <c r="C139" i="3"/>
  <c r="AB139" i="3" s="1"/>
  <c r="B139" i="3"/>
  <c r="A139" i="3"/>
  <c r="Z138" i="3"/>
  <c r="W138" i="3"/>
  <c r="S138" i="3"/>
  <c r="I138" i="3"/>
  <c r="E138" i="3"/>
  <c r="D138" i="3"/>
  <c r="C138" i="3"/>
  <c r="AB138" i="3" s="1"/>
  <c r="B138" i="3"/>
  <c r="A138" i="3"/>
  <c r="Z137" i="3"/>
  <c r="W137" i="3"/>
  <c r="S137" i="3"/>
  <c r="I137" i="3"/>
  <c r="E137" i="3"/>
  <c r="D137" i="3"/>
  <c r="C137" i="3"/>
  <c r="AB137" i="3" s="1"/>
  <c r="B137" i="3"/>
  <c r="A137" i="3"/>
  <c r="Z136" i="3"/>
  <c r="W136" i="3"/>
  <c r="S136" i="3"/>
  <c r="I136" i="3"/>
  <c r="E136" i="3"/>
  <c r="D136" i="3"/>
  <c r="C136" i="3"/>
  <c r="AB136" i="3" s="1"/>
  <c r="B136" i="3"/>
  <c r="A136" i="3"/>
  <c r="Z135" i="3"/>
  <c r="W135" i="3"/>
  <c r="S135" i="3"/>
  <c r="I135" i="3"/>
  <c r="E135" i="3"/>
  <c r="D135" i="3"/>
  <c r="C135" i="3"/>
  <c r="AB135" i="3" s="1"/>
  <c r="B135" i="3"/>
  <c r="A135" i="3"/>
  <c r="Z134" i="3"/>
  <c r="W134" i="3"/>
  <c r="S134" i="3"/>
  <c r="I134" i="3"/>
  <c r="E134" i="3"/>
  <c r="D134" i="3"/>
  <c r="C134" i="3"/>
  <c r="AB134" i="3" s="1"/>
  <c r="B134" i="3"/>
  <c r="A134" i="3"/>
  <c r="Z133" i="3"/>
  <c r="W133" i="3"/>
  <c r="S133" i="3"/>
  <c r="I133" i="3"/>
  <c r="E133" i="3"/>
  <c r="D133" i="3"/>
  <c r="C133" i="3"/>
  <c r="AB133" i="3" s="1"/>
  <c r="B133" i="3"/>
  <c r="A133" i="3"/>
  <c r="Z132" i="3"/>
  <c r="W132" i="3"/>
  <c r="S132" i="3"/>
  <c r="I132" i="3"/>
  <c r="E132" i="3"/>
  <c r="D132" i="3"/>
  <c r="C132" i="3"/>
  <c r="AB132" i="3" s="1"/>
  <c r="B132" i="3"/>
  <c r="A132" i="3"/>
  <c r="Z131" i="3"/>
  <c r="W131" i="3"/>
  <c r="S131" i="3"/>
  <c r="I131" i="3"/>
  <c r="E131" i="3"/>
  <c r="D131" i="3"/>
  <c r="C131" i="3"/>
  <c r="AB131" i="3" s="1"/>
  <c r="B131" i="3"/>
  <c r="A131" i="3"/>
  <c r="Z130" i="3"/>
  <c r="W130" i="3"/>
  <c r="S130" i="3"/>
  <c r="I130" i="3"/>
  <c r="E130" i="3"/>
  <c r="D130" i="3"/>
  <c r="C130" i="3"/>
  <c r="AB130" i="3" s="1"/>
  <c r="B130" i="3"/>
  <c r="A130" i="3"/>
  <c r="Z129" i="3"/>
  <c r="W129" i="3"/>
  <c r="S129" i="3"/>
  <c r="I129" i="3"/>
  <c r="E129" i="3"/>
  <c r="D129" i="3"/>
  <c r="C129" i="3"/>
  <c r="AB129" i="3" s="1"/>
  <c r="B129" i="3"/>
  <c r="A129" i="3"/>
  <c r="Z128" i="3"/>
  <c r="W128" i="3"/>
  <c r="S128" i="3"/>
  <c r="I128" i="3"/>
  <c r="E128" i="3"/>
  <c r="D128" i="3"/>
  <c r="C128" i="3"/>
  <c r="AB128" i="3" s="1"/>
  <c r="B128" i="3"/>
  <c r="A128" i="3"/>
  <c r="Z127" i="3"/>
  <c r="W127" i="3"/>
  <c r="S127" i="3"/>
  <c r="I127" i="3"/>
  <c r="E127" i="3"/>
  <c r="D127" i="3"/>
  <c r="C127" i="3"/>
  <c r="AB127" i="3" s="1"/>
  <c r="B127" i="3"/>
  <c r="A127" i="3"/>
  <c r="Z126" i="3"/>
  <c r="W126" i="3"/>
  <c r="S126" i="3"/>
  <c r="I126" i="3"/>
  <c r="E126" i="3"/>
  <c r="D126" i="3"/>
  <c r="C126" i="3"/>
  <c r="AB126" i="3" s="1"/>
  <c r="B126" i="3"/>
  <c r="A126" i="3"/>
  <c r="Z125" i="3"/>
  <c r="W125" i="3"/>
  <c r="S125" i="3"/>
  <c r="I125" i="3"/>
  <c r="E125" i="3"/>
  <c r="D125" i="3"/>
  <c r="C125" i="3"/>
  <c r="AB125" i="3" s="1"/>
  <c r="B125" i="3"/>
  <c r="A125" i="3"/>
  <c r="Z124" i="3"/>
  <c r="W124" i="3"/>
  <c r="S124" i="3"/>
  <c r="I124" i="3"/>
  <c r="E124" i="3"/>
  <c r="D124" i="3"/>
  <c r="C124" i="3"/>
  <c r="AB124" i="3" s="1"/>
  <c r="B124" i="3"/>
  <c r="A124" i="3"/>
  <c r="Z123" i="3"/>
  <c r="W123" i="3"/>
  <c r="S123" i="3"/>
  <c r="I123" i="3"/>
  <c r="E123" i="3"/>
  <c r="D123" i="3"/>
  <c r="C123" i="3"/>
  <c r="AB123" i="3" s="1"/>
  <c r="B123" i="3"/>
  <c r="A123" i="3"/>
  <c r="Z122" i="3"/>
  <c r="W122" i="3"/>
  <c r="S122" i="3"/>
  <c r="I122" i="3"/>
  <c r="E122" i="3"/>
  <c r="D122" i="3"/>
  <c r="C122" i="3"/>
  <c r="AB122" i="3" s="1"/>
  <c r="B122" i="3"/>
  <c r="A122" i="3"/>
  <c r="Z121" i="3"/>
  <c r="W121" i="3"/>
  <c r="S121" i="3"/>
  <c r="I121" i="3"/>
  <c r="E121" i="3"/>
  <c r="D121" i="3"/>
  <c r="C121" i="3"/>
  <c r="AB121" i="3" s="1"/>
  <c r="B121" i="3"/>
  <c r="A121" i="3"/>
  <c r="Z120" i="3"/>
  <c r="W120" i="3"/>
  <c r="S120" i="3"/>
  <c r="I120" i="3"/>
  <c r="E120" i="3"/>
  <c r="D120" i="3"/>
  <c r="C120" i="3"/>
  <c r="AB120" i="3" s="1"/>
  <c r="B120" i="3"/>
  <c r="A120" i="3"/>
  <c r="Z119" i="3"/>
  <c r="W119" i="3"/>
  <c r="S119" i="3"/>
  <c r="I119" i="3"/>
  <c r="E119" i="3"/>
  <c r="D119" i="3"/>
  <c r="C119" i="3"/>
  <c r="AB119" i="3" s="1"/>
  <c r="B119" i="3"/>
  <c r="A119" i="3"/>
  <c r="Z118" i="3"/>
  <c r="W118" i="3"/>
  <c r="S118" i="3"/>
  <c r="I118" i="3"/>
  <c r="E118" i="3"/>
  <c r="D118" i="3"/>
  <c r="C118" i="3"/>
  <c r="AB118" i="3" s="1"/>
  <c r="B118" i="3"/>
  <c r="A118" i="3"/>
  <c r="Z117" i="3"/>
  <c r="W117" i="3"/>
  <c r="S117" i="3"/>
  <c r="I117" i="3"/>
  <c r="E117" i="3"/>
  <c r="D117" i="3"/>
  <c r="C117" i="3"/>
  <c r="AB117" i="3" s="1"/>
  <c r="B117" i="3"/>
  <c r="A117" i="3"/>
  <c r="Z116" i="3"/>
  <c r="W116" i="3"/>
  <c r="S116" i="3"/>
  <c r="I116" i="3"/>
  <c r="E116" i="3"/>
  <c r="D116" i="3"/>
  <c r="C116" i="3"/>
  <c r="AB116" i="3" s="1"/>
  <c r="B116" i="3"/>
  <c r="A116" i="3"/>
  <c r="Z115" i="3"/>
  <c r="W115" i="3"/>
  <c r="S115" i="3"/>
  <c r="I115" i="3"/>
  <c r="E115" i="3"/>
  <c r="D115" i="3"/>
  <c r="C115" i="3"/>
  <c r="AB115" i="3" s="1"/>
  <c r="B115" i="3"/>
  <c r="A115" i="3"/>
  <c r="Z114" i="3"/>
  <c r="W114" i="3"/>
  <c r="S114" i="3"/>
  <c r="I114" i="3"/>
  <c r="E114" i="3"/>
  <c r="D114" i="3"/>
  <c r="C114" i="3"/>
  <c r="AB114" i="3" s="1"/>
  <c r="B114" i="3"/>
  <c r="A114" i="3"/>
  <c r="Z113" i="3"/>
  <c r="W113" i="3"/>
  <c r="S113" i="3"/>
  <c r="I113" i="3"/>
  <c r="E113" i="3"/>
  <c r="D113" i="3"/>
  <c r="C113" i="3"/>
  <c r="AB113" i="3" s="1"/>
  <c r="B113" i="3"/>
  <c r="A113" i="3"/>
  <c r="Z112" i="3"/>
  <c r="W112" i="3"/>
  <c r="S112" i="3"/>
  <c r="I112" i="3"/>
  <c r="E112" i="3"/>
  <c r="D112" i="3"/>
  <c r="C112" i="3"/>
  <c r="AB112" i="3" s="1"/>
  <c r="B112" i="3"/>
  <c r="A112" i="3"/>
  <c r="Z111" i="3"/>
  <c r="W111" i="3"/>
  <c r="S111" i="3"/>
  <c r="I111" i="3"/>
  <c r="E111" i="3"/>
  <c r="D111" i="3"/>
  <c r="C111" i="3"/>
  <c r="AB111" i="3" s="1"/>
  <c r="B111" i="3"/>
  <c r="A111" i="3"/>
  <c r="Z110" i="3"/>
  <c r="W110" i="3"/>
  <c r="S110" i="3"/>
  <c r="I110" i="3"/>
  <c r="E110" i="3"/>
  <c r="D110" i="3"/>
  <c r="C110" i="3"/>
  <c r="AB110" i="3" s="1"/>
  <c r="B110" i="3"/>
  <c r="A110" i="3"/>
  <c r="Z109" i="3"/>
  <c r="W109" i="3"/>
  <c r="S109" i="3"/>
  <c r="I109" i="3"/>
  <c r="E109" i="3"/>
  <c r="D109" i="3"/>
  <c r="C109" i="3"/>
  <c r="AB109" i="3" s="1"/>
  <c r="B109" i="3"/>
  <c r="A109" i="3"/>
  <c r="Z108" i="3"/>
  <c r="W108" i="3"/>
  <c r="S108" i="3"/>
  <c r="I108" i="3"/>
  <c r="E108" i="3"/>
  <c r="D108" i="3"/>
  <c r="C108" i="3"/>
  <c r="AB108" i="3" s="1"/>
  <c r="B108" i="3"/>
  <c r="A108" i="3"/>
  <c r="Z107" i="3"/>
  <c r="W107" i="3"/>
  <c r="S107" i="3"/>
  <c r="I107" i="3"/>
  <c r="E107" i="3"/>
  <c r="D107" i="3"/>
  <c r="C107" i="3"/>
  <c r="AB107" i="3" s="1"/>
  <c r="B107" i="3"/>
  <c r="A107" i="3"/>
  <c r="Z106" i="3"/>
  <c r="W106" i="3"/>
  <c r="S106" i="3"/>
  <c r="I106" i="3"/>
  <c r="E106" i="3"/>
  <c r="D106" i="3"/>
  <c r="C106" i="3"/>
  <c r="AB106" i="3" s="1"/>
  <c r="B106" i="3"/>
  <c r="A106" i="3"/>
  <c r="Z105" i="3"/>
  <c r="W105" i="3"/>
  <c r="S105" i="3"/>
  <c r="I105" i="3"/>
  <c r="E105" i="3"/>
  <c r="D105" i="3"/>
  <c r="C105" i="3"/>
  <c r="AB105" i="3" s="1"/>
  <c r="B105" i="3"/>
  <c r="A105" i="3"/>
  <c r="Z104" i="3"/>
  <c r="W104" i="3"/>
  <c r="S104" i="3"/>
  <c r="I104" i="3"/>
  <c r="E104" i="3"/>
  <c r="D104" i="3"/>
  <c r="C104" i="3"/>
  <c r="AB104" i="3" s="1"/>
  <c r="B104" i="3"/>
  <c r="A104" i="3"/>
  <c r="Z103" i="3"/>
  <c r="W103" i="3"/>
  <c r="S103" i="3"/>
  <c r="I103" i="3"/>
  <c r="E103" i="3"/>
  <c r="D103" i="3"/>
  <c r="C103" i="3"/>
  <c r="AB103" i="3" s="1"/>
  <c r="B103" i="3"/>
  <c r="A103" i="3"/>
  <c r="Z102" i="3"/>
  <c r="W102" i="3"/>
  <c r="S102" i="3"/>
  <c r="I102" i="3"/>
  <c r="E102" i="3"/>
  <c r="D102" i="3"/>
  <c r="C102" i="3"/>
  <c r="AB102" i="3" s="1"/>
  <c r="B102" i="3"/>
  <c r="A102" i="3"/>
  <c r="Z101" i="3"/>
  <c r="W101" i="3"/>
  <c r="S101" i="3"/>
  <c r="I101" i="3"/>
  <c r="E101" i="3"/>
  <c r="D101" i="3"/>
  <c r="C101" i="3"/>
  <c r="AB101" i="3" s="1"/>
  <c r="B101" i="3"/>
  <c r="A101" i="3"/>
  <c r="Z100" i="3"/>
  <c r="W100" i="3"/>
  <c r="S100" i="3"/>
  <c r="I100" i="3"/>
  <c r="E100" i="3"/>
  <c r="D100" i="3"/>
  <c r="C100" i="3"/>
  <c r="AB100" i="3" s="1"/>
  <c r="B100" i="3"/>
  <c r="A100" i="3"/>
  <c r="Z99" i="3"/>
  <c r="W99" i="3"/>
  <c r="S99" i="3"/>
  <c r="I99" i="3"/>
  <c r="E99" i="3"/>
  <c r="D99" i="3"/>
  <c r="C99" i="3"/>
  <c r="AB99" i="3" s="1"/>
  <c r="B99" i="3"/>
  <c r="A99" i="3"/>
  <c r="Z98" i="3"/>
  <c r="W98" i="3"/>
  <c r="S98" i="3"/>
  <c r="I98" i="3"/>
  <c r="E98" i="3"/>
  <c r="D98" i="3"/>
  <c r="C98" i="3"/>
  <c r="AB98" i="3" s="1"/>
  <c r="B98" i="3"/>
  <c r="A98" i="3"/>
  <c r="Z97" i="3"/>
  <c r="W97" i="3"/>
  <c r="S97" i="3"/>
  <c r="I97" i="3"/>
  <c r="E97" i="3"/>
  <c r="D97" i="3"/>
  <c r="C97" i="3"/>
  <c r="AB97" i="3" s="1"/>
  <c r="B97" i="3"/>
  <c r="A97" i="3"/>
  <c r="Z96" i="3"/>
  <c r="W96" i="3"/>
  <c r="S96" i="3"/>
  <c r="I96" i="3"/>
  <c r="E96" i="3"/>
  <c r="D96" i="3"/>
  <c r="C96" i="3"/>
  <c r="AB96" i="3" s="1"/>
  <c r="B96" i="3"/>
  <c r="A96" i="3"/>
  <c r="Z95" i="3"/>
  <c r="W95" i="3"/>
  <c r="S95" i="3"/>
  <c r="I95" i="3"/>
  <c r="E95" i="3"/>
  <c r="D95" i="3"/>
  <c r="C95" i="3"/>
  <c r="AB95" i="3" s="1"/>
  <c r="B95" i="3"/>
  <c r="A95" i="3"/>
  <c r="Z94" i="3"/>
  <c r="W94" i="3"/>
  <c r="S94" i="3"/>
  <c r="I94" i="3"/>
  <c r="E94" i="3"/>
  <c r="D94" i="3"/>
  <c r="C94" i="3"/>
  <c r="AB94" i="3" s="1"/>
  <c r="B94" i="3"/>
  <c r="A94" i="3"/>
  <c r="Z93" i="3"/>
  <c r="W93" i="3"/>
  <c r="S93" i="3"/>
  <c r="I93" i="3"/>
  <c r="E93" i="3"/>
  <c r="D93" i="3"/>
  <c r="C93" i="3"/>
  <c r="AB93" i="3" s="1"/>
  <c r="B93" i="3"/>
  <c r="A93" i="3"/>
  <c r="Z92" i="3"/>
  <c r="W92" i="3"/>
  <c r="S92" i="3"/>
  <c r="I92" i="3"/>
  <c r="E92" i="3"/>
  <c r="D92" i="3"/>
  <c r="C92" i="3"/>
  <c r="AB92" i="3" s="1"/>
  <c r="B92" i="3"/>
  <c r="A92" i="3"/>
  <c r="Z91" i="3"/>
  <c r="W91" i="3"/>
  <c r="S91" i="3"/>
  <c r="I91" i="3"/>
  <c r="E91" i="3"/>
  <c r="D91" i="3"/>
  <c r="C91" i="3"/>
  <c r="AB91" i="3" s="1"/>
  <c r="B91" i="3"/>
  <c r="A91" i="3"/>
  <c r="Z90" i="3"/>
  <c r="W90" i="3"/>
  <c r="S90" i="3"/>
  <c r="I90" i="3"/>
  <c r="E90" i="3"/>
  <c r="D90" i="3"/>
  <c r="C90" i="3"/>
  <c r="AB90" i="3" s="1"/>
  <c r="B90" i="3"/>
  <c r="A90" i="3"/>
  <c r="Z89" i="3"/>
  <c r="W89" i="3"/>
  <c r="S89" i="3"/>
  <c r="I89" i="3"/>
  <c r="E89" i="3"/>
  <c r="D89" i="3"/>
  <c r="C89" i="3"/>
  <c r="AB89" i="3" s="1"/>
  <c r="B89" i="3"/>
  <c r="A89" i="3"/>
  <c r="Z88" i="3"/>
  <c r="W88" i="3"/>
  <c r="S88" i="3"/>
  <c r="I88" i="3"/>
  <c r="E88" i="3"/>
  <c r="D88" i="3"/>
  <c r="C88" i="3"/>
  <c r="AB88" i="3" s="1"/>
  <c r="B88" i="3"/>
  <c r="A88" i="3"/>
  <c r="Z87" i="3"/>
  <c r="W87" i="3"/>
  <c r="S87" i="3"/>
  <c r="I87" i="3"/>
  <c r="E87" i="3"/>
  <c r="D87" i="3"/>
  <c r="C87" i="3"/>
  <c r="AB87" i="3" s="1"/>
  <c r="B87" i="3"/>
  <c r="A87" i="3"/>
  <c r="Z86" i="3"/>
  <c r="W86" i="3"/>
  <c r="S86" i="3"/>
  <c r="I86" i="3"/>
  <c r="E86" i="3"/>
  <c r="D86" i="3"/>
  <c r="C86" i="3"/>
  <c r="AB86" i="3" s="1"/>
  <c r="B86" i="3"/>
  <c r="A86" i="3"/>
  <c r="Z85" i="3"/>
  <c r="W85" i="3"/>
  <c r="S85" i="3"/>
  <c r="I85" i="3"/>
  <c r="E85" i="3"/>
  <c r="D85" i="3"/>
  <c r="C85" i="3"/>
  <c r="AB85" i="3" s="1"/>
  <c r="B85" i="3"/>
  <c r="A85" i="3"/>
  <c r="Z84" i="3"/>
  <c r="W84" i="3"/>
  <c r="S84" i="3"/>
  <c r="I84" i="3"/>
  <c r="E84" i="3"/>
  <c r="D84" i="3"/>
  <c r="C84" i="3"/>
  <c r="AB84" i="3" s="1"/>
  <c r="B84" i="3"/>
  <c r="A84" i="3"/>
  <c r="Z83" i="3"/>
  <c r="W83" i="3"/>
  <c r="S83" i="3"/>
  <c r="I83" i="3"/>
  <c r="E83" i="3"/>
  <c r="D83" i="3"/>
  <c r="C83" i="3"/>
  <c r="AB83" i="3" s="1"/>
  <c r="B83" i="3"/>
  <c r="A83" i="3"/>
  <c r="Z82" i="3"/>
  <c r="W82" i="3"/>
  <c r="S82" i="3"/>
  <c r="I82" i="3"/>
  <c r="E82" i="3"/>
  <c r="D82" i="3"/>
  <c r="C82" i="3"/>
  <c r="AB82" i="3" s="1"/>
  <c r="B82" i="3"/>
  <c r="A82" i="3"/>
  <c r="Z81" i="3"/>
  <c r="W81" i="3"/>
  <c r="S81" i="3"/>
  <c r="I81" i="3"/>
  <c r="E81" i="3"/>
  <c r="D81" i="3"/>
  <c r="C81" i="3"/>
  <c r="AB81" i="3" s="1"/>
  <c r="B81" i="3"/>
  <c r="A81" i="3"/>
  <c r="Z80" i="3"/>
  <c r="W80" i="3"/>
  <c r="S80" i="3"/>
  <c r="I80" i="3"/>
  <c r="E80" i="3"/>
  <c r="D80" i="3"/>
  <c r="C80" i="3"/>
  <c r="AB80" i="3" s="1"/>
  <c r="B80" i="3"/>
  <c r="A80" i="3"/>
  <c r="Z79" i="3"/>
  <c r="W79" i="3"/>
  <c r="S79" i="3"/>
  <c r="I79" i="3"/>
  <c r="E79" i="3"/>
  <c r="D79" i="3"/>
  <c r="C79" i="3"/>
  <c r="AB79" i="3" s="1"/>
  <c r="B79" i="3"/>
  <c r="A79" i="3"/>
  <c r="Z78" i="3"/>
  <c r="W78" i="3"/>
  <c r="S78" i="3"/>
  <c r="I78" i="3"/>
  <c r="E78" i="3"/>
  <c r="D78" i="3"/>
  <c r="C78" i="3"/>
  <c r="AB78" i="3" s="1"/>
  <c r="B78" i="3"/>
  <c r="A78" i="3"/>
  <c r="Z77" i="3"/>
  <c r="W77" i="3"/>
  <c r="S77" i="3"/>
  <c r="I77" i="3"/>
  <c r="E77" i="3"/>
  <c r="D77" i="3"/>
  <c r="C77" i="3"/>
  <c r="AB77" i="3" s="1"/>
  <c r="B77" i="3"/>
  <c r="A77" i="3"/>
  <c r="Z76" i="3"/>
  <c r="W76" i="3"/>
  <c r="S76" i="3"/>
  <c r="I76" i="3"/>
  <c r="E76" i="3"/>
  <c r="D76" i="3"/>
  <c r="C76" i="3"/>
  <c r="AB76" i="3" s="1"/>
  <c r="B76" i="3"/>
  <c r="A76" i="3"/>
  <c r="Z75" i="3"/>
  <c r="W75" i="3"/>
  <c r="S75" i="3"/>
  <c r="I75" i="3"/>
  <c r="E75" i="3"/>
  <c r="D75" i="3"/>
  <c r="C75" i="3"/>
  <c r="AB75" i="3" s="1"/>
  <c r="B75" i="3"/>
  <c r="A75" i="3"/>
  <c r="Z74" i="3"/>
  <c r="W74" i="3"/>
  <c r="S74" i="3"/>
  <c r="I74" i="3"/>
  <c r="E74" i="3"/>
  <c r="D74" i="3"/>
  <c r="C74" i="3"/>
  <c r="AB74" i="3" s="1"/>
  <c r="B74" i="3"/>
  <c r="A74" i="3"/>
  <c r="Z73" i="3"/>
  <c r="W73" i="3"/>
  <c r="S73" i="3"/>
  <c r="I73" i="3"/>
  <c r="E73" i="3"/>
  <c r="D73" i="3"/>
  <c r="C73" i="3"/>
  <c r="AB73" i="3" s="1"/>
  <c r="B73" i="3"/>
  <c r="A73" i="3"/>
  <c r="Z72" i="3"/>
  <c r="W72" i="3"/>
  <c r="S72" i="3"/>
  <c r="I72" i="3"/>
  <c r="E72" i="3"/>
  <c r="D72" i="3"/>
  <c r="C72" i="3"/>
  <c r="AB72" i="3" s="1"/>
  <c r="B72" i="3"/>
  <c r="A72" i="3"/>
  <c r="Z71" i="3"/>
  <c r="W71" i="3"/>
  <c r="S71" i="3"/>
  <c r="I71" i="3"/>
  <c r="E71" i="3"/>
  <c r="D71" i="3"/>
  <c r="C71" i="3"/>
  <c r="AB71" i="3" s="1"/>
  <c r="B71" i="3"/>
  <c r="A71" i="3"/>
  <c r="Z70" i="3"/>
  <c r="W70" i="3"/>
  <c r="S70" i="3"/>
  <c r="I70" i="3"/>
  <c r="E70" i="3"/>
  <c r="D70" i="3"/>
  <c r="C70" i="3"/>
  <c r="AB70" i="3" s="1"/>
  <c r="B70" i="3"/>
  <c r="A70" i="3"/>
  <c r="Z69" i="3"/>
  <c r="W69" i="3"/>
  <c r="S69" i="3"/>
  <c r="I69" i="3"/>
  <c r="E69" i="3"/>
  <c r="D69" i="3"/>
  <c r="C69" i="3"/>
  <c r="AB69" i="3" s="1"/>
  <c r="B69" i="3"/>
  <c r="A69" i="3"/>
  <c r="Z68" i="3"/>
  <c r="W68" i="3"/>
  <c r="S68" i="3"/>
  <c r="I68" i="3"/>
  <c r="E68" i="3"/>
  <c r="D68" i="3"/>
  <c r="C68" i="3"/>
  <c r="AB68" i="3" s="1"/>
  <c r="B68" i="3"/>
  <c r="A68" i="3"/>
  <c r="Z67" i="3"/>
  <c r="W67" i="3"/>
  <c r="S67" i="3"/>
  <c r="I67" i="3"/>
  <c r="E67" i="3"/>
  <c r="D67" i="3"/>
  <c r="C67" i="3"/>
  <c r="AB67" i="3" s="1"/>
  <c r="B67" i="3"/>
  <c r="A67" i="3"/>
  <c r="Z66" i="3"/>
  <c r="W66" i="3"/>
  <c r="S66" i="3"/>
  <c r="I66" i="3"/>
  <c r="E66" i="3"/>
  <c r="D66" i="3"/>
  <c r="C66" i="3"/>
  <c r="AB66" i="3" s="1"/>
  <c r="B66" i="3"/>
  <c r="A66" i="3"/>
  <c r="Z65" i="3"/>
  <c r="W65" i="3"/>
  <c r="S65" i="3"/>
  <c r="I65" i="3"/>
  <c r="E65" i="3"/>
  <c r="D65" i="3"/>
  <c r="C65" i="3"/>
  <c r="AB65" i="3" s="1"/>
  <c r="B65" i="3"/>
  <c r="A65" i="3"/>
  <c r="Z64" i="3"/>
  <c r="W64" i="3"/>
  <c r="S64" i="3"/>
  <c r="I64" i="3"/>
  <c r="E64" i="3"/>
  <c r="D64" i="3"/>
  <c r="C64" i="3"/>
  <c r="AB64" i="3" s="1"/>
  <c r="B64" i="3"/>
  <c r="A64" i="3"/>
  <c r="Z63" i="3"/>
  <c r="W63" i="3"/>
  <c r="S63" i="3"/>
  <c r="I63" i="3"/>
  <c r="E63" i="3"/>
  <c r="D63" i="3"/>
  <c r="C63" i="3"/>
  <c r="AB63" i="3" s="1"/>
  <c r="B63" i="3"/>
  <c r="A63" i="3"/>
  <c r="Z62" i="3"/>
  <c r="W62" i="3"/>
  <c r="S62" i="3"/>
  <c r="I62" i="3"/>
  <c r="E62" i="3"/>
  <c r="D62" i="3"/>
  <c r="C62" i="3"/>
  <c r="AB62" i="3" s="1"/>
  <c r="B62" i="3"/>
  <c r="A62" i="3"/>
  <c r="Z61" i="3"/>
  <c r="W61" i="3"/>
  <c r="S61" i="3"/>
  <c r="I61" i="3"/>
  <c r="E61" i="3"/>
  <c r="D61" i="3"/>
  <c r="C61" i="3"/>
  <c r="AB61" i="3" s="1"/>
  <c r="B61" i="3"/>
  <c r="A61" i="3"/>
  <c r="Z60" i="3"/>
  <c r="W60" i="3"/>
  <c r="S60" i="3"/>
  <c r="I60" i="3"/>
  <c r="E60" i="3"/>
  <c r="D60" i="3"/>
  <c r="C60" i="3"/>
  <c r="AB60" i="3" s="1"/>
  <c r="B60" i="3"/>
  <c r="A60" i="3"/>
  <c r="Z59" i="3"/>
  <c r="W59" i="3"/>
  <c r="S59" i="3"/>
  <c r="I59" i="3"/>
  <c r="E59" i="3"/>
  <c r="D59" i="3"/>
  <c r="C59" i="3"/>
  <c r="AB59" i="3" s="1"/>
  <c r="B59" i="3"/>
  <c r="A59" i="3"/>
  <c r="Z58" i="3"/>
  <c r="W58" i="3"/>
  <c r="S58" i="3"/>
  <c r="I58" i="3"/>
  <c r="E58" i="3"/>
  <c r="D58" i="3"/>
  <c r="C58" i="3"/>
  <c r="AB58" i="3" s="1"/>
  <c r="B58" i="3"/>
  <c r="A58" i="3"/>
  <c r="Z57" i="3"/>
  <c r="W57" i="3"/>
  <c r="S57" i="3"/>
  <c r="I57" i="3"/>
  <c r="E57" i="3"/>
  <c r="D57" i="3"/>
  <c r="C57" i="3"/>
  <c r="AB57" i="3" s="1"/>
  <c r="B57" i="3"/>
  <c r="A57" i="3"/>
  <c r="Z56" i="3"/>
  <c r="W56" i="3"/>
  <c r="S56" i="3"/>
  <c r="I56" i="3"/>
  <c r="E56" i="3"/>
  <c r="D56" i="3"/>
  <c r="C56" i="3"/>
  <c r="AB56" i="3" s="1"/>
  <c r="B56" i="3"/>
  <c r="A56" i="3"/>
  <c r="Z55" i="3"/>
  <c r="W55" i="3"/>
  <c r="S55" i="3"/>
  <c r="I55" i="3"/>
  <c r="E55" i="3"/>
  <c r="D55" i="3"/>
  <c r="C55" i="3"/>
  <c r="AB55" i="3" s="1"/>
  <c r="B55" i="3"/>
  <c r="A55" i="3"/>
  <c r="Z54" i="3"/>
  <c r="W54" i="3"/>
  <c r="S54" i="3"/>
  <c r="I54" i="3"/>
  <c r="E54" i="3"/>
  <c r="D54" i="3"/>
  <c r="C54" i="3"/>
  <c r="AB54" i="3" s="1"/>
  <c r="B54" i="3"/>
  <c r="A54" i="3"/>
  <c r="Z53" i="3"/>
  <c r="W53" i="3"/>
  <c r="S53" i="3"/>
  <c r="I53" i="3"/>
  <c r="E53" i="3"/>
  <c r="D53" i="3"/>
  <c r="C53" i="3"/>
  <c r="AB53" i="3" s="1"/>
  <c r="B53" i="3"/>
  <c r="A53" i="3"/>
  <c r="Z52" i="3"/>
  <c r="W52" i="3"/>
  <c r="S52" i="3"/>
  <c r="I52" i="3"/>
  <c r="E52" i="3"/>
  <c r="D52" i="3"/>
  <c r="C52" i="3"/>
  <c r="AB52" i="3" s="1"/>
  <c r="B52" i="3"/>
  <c r="A52" i="3"/>
  <c r="Z51" i="3"/>
  <c r="W51" i="3"/>
  <c r="S51" i="3"/>
  <c r="I51" i="3"/>
  <c r="E51" i="3"/>
  <c r="D51" i="3"/>
  <c r="C51" i="3"/>
  <c r="AB51" i="3" s="1"/>
  <c r="B51" i="3"/>
  <c r="A51" i="3"/>
  <c r="Z50" i="3"/>
  <c r="W50" i="3"/>
  <c r="S50" i="3"/>
  <c r="I50" i="3"/>
  <c r="E50" i="3"/>
  <c r="D50" i="3"/>
  <c r="C50" i="3"/>
  <c r="AB50" i="3" s="1"/>
  <c r="B50" i="3"/>
  <c r="A50" i="3"/>
  <c r="Z49" i="3"/>
  <c r="W49" i="3"/>
  <c r="S49" i="3"/>
  <c r="I49" i="3"/>
  <c r="E49" i="3"/>
  <c r="D49" i="3"/>
  <c r="C49" i="3"/>
  <c r="AB49" i="3" s="1"/>
  <c r="B49" i="3"/>
  <c r="A49" i="3"/>
  <c r="Z48" i="3"/>
  <c r="W48" i="3"/>
  <c r="S48" i="3"/>
  <c r="I48" i="3"/>
  <c r="E48" i="3"/>
  <c r="D48" i="3"/>
  <c r="C48" i="3"/>
  <c r="AB48" i="3" s="1"/>
  <c r="B48" i="3"/>
  <c r="A48" i="3"/>
  <c r="Z47" i="3"/>
  <c r="W47" i="3"/>
  <c r="S47" i="3"/>
  <c r="I47" i="3"/>
  <c r="E47" i="3"/>
  <c r="D47" i="3"/>
  <c r="C47" i="3"/>
  <c r="AB47" i="3" s="1"/>
  <c r="B47" i="3"/>
  <c r="A47" i="3"/>
  <c r="Z46" i="3"/>
  <c r="W46" i="3"/>
  <c r="S46" i="3"/>
  <c r="I46" i="3"/>
  <c r="E46" i="3"/>
  <c r="D46" i="3"/>
  <c r="C46" i="3"/>
  <c r="AB46" i="3" s="1"/>
  <c r="B46" i="3"/>
  <c r="A46" i="3"/>
  <c r="Z45" i="3"/>
  <c r="W45" i="3"/>
  <c r="S45" i="3"/>
  <c r="I45" i="3"/>
  <c r="E45" i="3"/>
  <c r="D45" i="3"/>
  <c r="C45" i="3"/>
  <c r="AB45" i="3" s="1"/>
  <c r="B45" i="3"/>
  <c r="A45" i="3"/>
  <c r="Z44" i="3"/>
  <c r="W44" i="3"/>
  <c r="S44" i="3"/>
  <c r="I44" i="3"/>
  <c r="E44" i="3"/>
  <c r="D44" i="3"/>
  <c r="C44" i="3"/>
  <c r="AB44" i="3" s="1"/>
  <c r="B44" i="3"/>
  <c r="A44" i="3"/>
  <c r="Z43" i="3"/>
  <c r="W43" i="3"/>
  <c r="S43" i="3"/>
  <c r="I43" i="3"/>
  <c r="E43" i="3"/>
  <c r="D43" i="3"/>
  <c r="C43" i="3"/>
  <c r="AB43" i="3" s="1"/>
  <c r="B43" i="3"/>
  <c r="A43" i="3"/>
  <c r="Z42" i="3"/>
  <c r="W42" i="3"/>
  <c r="S42" i="3"/>
  <c r="I42" i="3"/>
  <c r="E42" i="3"/>
  <c r="D42" i="3"/>
  <c r="C42" i="3"/>
  <c r="AB42" i="3" s="1"/>
  <c r="B42" i="3"/>
  <c r="A42" i="3"/>
  <c r="Z41" i="3"/>
  <c r="W41" i="3"/>
  <c r="S41" i="3"/>
  <c r="I41" i="3"/>
  <c r="E41" i="3"/>
  <c r="D41" i="3"/>
  <c r="C41" i="3"/>
  <c r="AB41" i="3" s="1"/>
  <c r="B41" i="3"/>
  <c r="A41" i="3"/>
  <c r="Z40" i="3"/>
  <c r="W40" i="3"/>
  <c r="S40" i="3"/>
  <c r="I40" i="3"/>
  <c r="E40" i="3"/>
  <c r="D40" i="3"/>
  <c r="C40" i="3"/>
  <c r="AB40" i="3" s="1"/>
  <c r="B40" i="3"/>
  <c r="A40" i="3"/>
  <c r="Z39" i="3"/>
  <c r="W39" i="3"/>
  <c r="S39" i="3"/>
  <c r="I39" i="3"/>
  <c r="E39" i="3"/>
  <c r="D39" i="3"/>
  <c r="C39" i="3"/>
  <c r="AB39" i="3" s="1"/>
  <c r="B39" i="3"/>
  <c r="A39" i="3"/>
  <c r="Z38" i="3"/>
  <c r="W38" i="3"/>
  <c r="S38" i="3"/>
  <c r="I38" i="3"/>
  <c r="E38" i="3"/>
  <c r="D38" i="3"/>
  <c r="C38" i="3"/>
  <c r="AB38" i="3" s="1"/>
  <c r="B38" i="3"/>
  <c r="A38" i="3"/>
  <c r="Z37" i="3"/>
  <c r="W37" i="3"/>
  <c r="S37" i="3"/>
  <c r="I37" i="3"/>
  <c r="E37" i="3"/>
  <c r="D37" i="3"/>
  <c r="C37" i="3"/>
  <c r="AB37" i="3" s="1"/>
  <c r="B37" i="3"/>
  <c r="A37" i="3"/>
  <c r="Z36" i="3"/>
  <c r="W36" i="3"/>
  <c r="S36" i="3"/>
  <c r="I36" i="3"/>
  <c r="E36" i="3"/>
  <c r="D36" i="3"/>
  <c r="C36" i="3"/>
  <c r="AB36" i="3" s="1"/>
  <c r="B36" i="3"/>
  <c r="A36" i="3"/>
  <c r="Z35" i="3"/>
  <c r="W35" i="3"/>
  <c r="S35" i="3"/>
  <c r="I35" i="3"/>
  <c r="E35" i="3"/>
  <c r="D35" i="3"/>
  <c r="C35" i="3"/>
  <c r="AB35" i="3" s="1"/>
  <c r="B35" i="3"/>
  <c r="A35" i="3"/>
  <c r="Z34" i="3"/>
  <c r="W34" i="3"/>
  <c r="S34" i="3"/>
  <c r="I34" i="3"/>
  <c r="E34" i="3"/>
  <c r="D34" i="3"/>
  <c r="C34" i="3"/>
  <c r="AB34" i="3" s="1"/>
  <c r="B34" i="3"/>
  <c r="A34" i="3"/>
  <c r="Z33" i="3"/>
  <c r="W33" i="3"/>
  <c r="S33" i="3"/>
  <c r="I33" i="3"/>
  <c r="E33" i="3"/>
  <c r="D33" i="3"/>
  <c r="C33" i="3"/>
  <c r="AB33" i="3" s="1"/>
  <c r="B33" i="3"/>
  <c r="A33" i="3"/>
  <c r="Z32" i="3"/>
  <c r="W32" i="3"/>
  <c r="S32" i="3"/>
  <c r="I32" i="3"/>
  <c r="E32" i="3"/>
  <c r="D32" i="3"/>
  <c r="C32" i="3"/>
  <c r="AB32" i="3" s="1"/>
  <c r="B32" i="3"/>
  <c r="A32" i="3"/>
  <c r="Z31" i="3"/>
  <c r="W31" i="3"/>
  <c r="S31" i="3"/>
  <c r="I31" i="3"/>
  <c r="E31" i="3"/>
  <c r="D31" i="3"/>
  <c r="C31" i="3"/>
  <c r="AB31" i="3" s="1"/>
  <c r="B31" i="3"/>
  <c r="A31" i="3"/>
  <c r="Z30" i="3"/>
  <c r="W30" i="3"/>
  <c r="S30" i="3"/>
  <c r="I30" i="3"/>
  <c r="E30" i="3"/>
  <c r="D30" i="3"/>
  <c r="C30" i="3"/>
  <c r="AB30" i="3" s="1"/>
  <c r="B30" i="3"/>
  <c r="A30" i="3"/>
  <c r="Z29" i="3"/>
  <c r="W29" i="3"/>
  <c r="S29" i="3"/>
  <c r="I29" i="3"/>
  <c r="E29" i="3"/>
  <c r="D29" i="3"/>
  <c r="C29" i="3"/>
  <c r="AB29" i="3" s="1"/>
  <c r="B29" i="3"/>
  <c r="A29" i="3"/>
  <c r="Z28" i="3"/>
  <c r="W28" i="3"/>
  <c r="S28" i="3"/>
  <c r="I28" i="3"/>
  <c r="E28" i="3"/>
  <c r="D28" i="3"/>
  <c r="C28" i="3"/>
  <c r="AB28" i="3" s="1"/>
  <c r="B28" i="3"/>
  <c r="A28" i="3"/>
  <c r="Z27" i="3"/>
  <c r="W27" i="3"/>
  <c r="S27" i="3"/>
  <c r="I27" i="3"/>
  <c r="E27" i="3"/>
  <c r="D27" i="3"/>
  <c r="C27" i="3"/>
  <c r="AB27" i="3" s="1"/>
  <c r="B27" i="3"/>
  <c r="A27" i="3"/>
  <c r="Z26" i="3"/>
  <c r="W26" i="3"/>
  <c r="S26" i="3"/>
  <c r="I26" i="3"/>
  <c r="E26" i="3"/>
  <c r="D26" i="3"/>
  <c r="C26" i="3"/>
  <c r="AB26" i="3" s="1"/>
  <c r="B26" i="3"/>
  <c r="A26" i="3"/>
  <c r="Z25" i="3"/>
  <c r="W25" i="3"/>
  <c r="S25" i="3"/>
  <c r="I25" i="3"/>
  <c r="E25" i="3"/>
  <c r="D25" i="3"/>
  <c r="C25" i="3"/>
  <c r="AB25" i="3" s="1"/>
  <c r="B25" i="3"/>
  <c r="A25" i="3"/>
  <c r="Z24" i="3"/>
  <c r="W24" i="3"/>
  <c r="S24" i="3"/>
  <c r="I24" i="3"/>
  <c r="E24" i="3"/>
  <c r="D24" i="3"/>
  <c r="C24" i="3"/>
  <c r="AB24" i="3" s="1"/>
  <c r="B24" i="3"/>
  <c r="A24" i="3"/>
  <c r="Z23" i="3"/>
  <c r="W23" i="3"/>
  <c r="S23" i="3"/>
  <c r="I23" i="3"/>
  <c r="E23" i="3"/>
  <c r="D23" i="3"/>
  <c r="C23" i="3"/>
  <c r="AB23" i="3" s="1"/>
  <c r="B23" i="3"/>
  <c r="A23" i="3"/>
  <c r="Z22" i="3"/>
  <c r="W22" i="3"/>
  <c r="S22" i="3"/>
  <c r="I22" i="3"/>
  <c r="E22" i="3"/>
  <c r="D22" i="3"/>
  <c r="C22" i="3"/>
  <c r="AB22" i="3" s="1"/>
  <c r="B22" i="3"/>
  <c r="A22" i="3"/>
  <c r="Z21" i="3"/>
  <c r="W21" i="3"/>
  <c r="S21" i="3"/>
  <c r="I21" i="3"/>
  <c r="E21" i="3"/>
  <c r="D21" i="3"/>
  <c r="C21" i="3"/>
  <c r="AB21" i="3" s="1"/>
  <c r="B21" i="3"/>
  <c r="A21" i="3"/>
  <c r="Z20" i="3"/>
  <c r="W20" i="3"/>
  <c r="S20" i="3"/>
  <c r="I20" i="3"/>
  <c r="E20" i="3"/>
  <c r="D20" i="3"/>
  <c r="C20" i="3"/>
  <c r="AB20" i="3" s="1"/>
  <c r="B20" i="3"/>
  <c r="A20" i="3"/>
  <c r="Z19" i="3"/>
  <c r="W19" i="3"/>
  <c r="S19" i="3"/>
  <c r="I19" i="3"/>
  <c r="E19" i="3"/>
  <c r="D19" i="3"/>
  <c r="C19" i="3"/>
  <c r="AB19" i="3" s="1"/>
  <c r="B19" i="3"/>
  <c r="A19" i="3"/>
  <c r="Z18" i="3"/>
  <c r="W18" i="3"/>
  <c r="S18" i="3"/>
  <c r="I18" i="3"/>
  <c r="E18" i="3"/>
  <c r="D18" i="3"/>
  <c r="C18" i="3"/>
  <c r="AB18" i="3" s="1"/>
  <c r="B18" i="3"/>
  <c r="A18" i="3"/>
  <c r="Z17" i="3"/>
  <c r="W17" i="3"/>
  <c r="S17" i="3"/>
  <c r="I17" i="3"/>
  <c r="E17" i="3"/>
  <c r="D17" i="3"/>
  <c r="C17" i="3"/>
  <c r="AB17" i="3" s="1"/>
  <c r="B17" i="3"/>
  <c r="A17" i="3"/>
  <c r="Z16" i="3"/>
  <c r="W16" i="3"/>
  <c r="S16" i="3"/>
  <c r="I16" i="3"/>
  <c r="E16" i="3"/>
  <c r="D16" i="3"/>
  <c r="C16" i="3"/>
  <c r="AB16" i="3" s="1"/>
  <c r="B16" i="3"/>
  <c r="A16" i="3"/>
  <c r="Z15" i="3"/>
  <c r="W15" i="3"/>
  <c r="S15" i="3"/>
  <c r="I15" i="3"/>
  <c r="E15" i="3"/>
  <c r="D15" i="3"/>
  <c r="C15" i="3"/>
  <c r="AB15" i="3" s="1"/>
  <c r="B15" i="3"/>
  <c r="A15" i="3"/>
  <c r="Z14" i="3"/>
  <c r="W14" i="3"/>
  <c r="S14" i="3"/>
  <c r="I14" i="3"/>
  <c r="E14" i="3"/>
  <c r="D14" i="3"/>
  <c r="C14" i="3"/>
  <c r="AB14" i="3" s="1"/>
  <c r="B14" i="3"/>
  <c r="A14" i="3"/>
  <c r="Z13" i="3"/>
  <c r="W13" i="3"/>
  <c r="S13" i="3"/>
  <c r="I13" i="3"/>
  <c r="E13" i="3"/>
  <c r="D13" i="3"/>
  <c r="C13" i="3"/>
  <c r="AB13" i="3" s="1"/>
  <c r="B13" i="3"/>
  <c r="A13" i="3"/>
  <c r="Z12" i="3"/>
  <c r="W12" i="3"/>
  <c r="S12" i="3"/>
  <c r="I12" i="3"/>
  <c r="E12" i="3"/>
  <c r="D12" i="3"/>
  <c r="C12" i="3"/>
  <c r="AB12" i="3" s="1"/>
  <c r="B12" i="3"/>
  <c r="A12" i="3"/>
  <c r="Z11" i="3"/>
  <c r="W11" i="3"/>
  <c r="S11" i="3"/>
  <c r="I11" i="3"/>
  <c r="E11" i="3"/>
  <c r="D11" i="3"/>
  <c r="C11" i="3"/>
  <c r="AB11" i="3" s="1"/>
  <c r="B11" i="3"/>
  <c r="A11" i="3"/>
  <c r="Z10" i="3"/>
  <c r="W10" i="3"/>
  <c r="S10" i="3"/>
  <c r="I10" i="3"/>
  <c r="E10" i="3"/>
  <c r="D10" i="3"/>
  <c r="C10" i="3"/>
  <c r="AB10" i="3" s="1"/>
  <c r="B10" i="3"/>
  <c r="A10" i="3"/>
  <c r="Z9" i="3"/>
  <c r="W9" i="3"/>
  <c r="S9" i="3"/>
  <c r="I9" i="3"/>
  <c r="E9" i="3"/>
  <c r="D9" i="3"/>
  <c r="C9" i="3"/>
  <c r="AB9" i="3" s="1"/>
  <c r="B9" i="3"/>
  <c r="A9" i="3"/>
  <c r="Z8" i="3"/>
  <c r="W8" i="3"/>
  <c r="S8" i="3"/>
  <c r="I8" i="3"/>
  <c r="E8" i="3"/>
  <c r="D8" i="3"/>
  <c r="C8" i="3"/>
  <c r="AB8" i="3" s="1"/>
  <c r="B8" i="3"/>
  <c r="A8" i="3"/>
  <c r="Z7" i="3"/>
  <c r="W7" i="3"/>
  <c r="S7" i="3"/>
  <c r="I7" i="3"/>
  <c r="E7" i="3"/>
  <c r="D7" i="3"/>
  <c r="C7" i="3"/>
  <c r="AB7" i="3" s="1"/>
  <c r="B7" i="3"/>
  <c r="A7" i="3"/>
  <c r="Z6" i="3"/>
  <c r="W6" i="3"/>
  <c r="S6" i="3"/>
  <c r="I6" i="3"/>
  <c r="E6" i="3"/>
  <c r="D6" i="3"/>
  <c r="C6" i="3"/>
  <c r="AB6" i="3" s="1"/>
  <c r="B6" i="3"/>
  <c r="A6" i="3"/>
  <c r="Z5" i="3"/>
  <c r="W5" i="3"/>
  <c r="S5" i="3"/>
  <c r="I5" i="3"/>
  <c r="E5" i="3"/>
  <c r="D5" i="3"/>
  <c r="C5" i="3"/>
  <c r="AB5" i="3" s="1"/>
  <c r="B5" i="3"/>
  <c r="A5" i="3"/>
  <c r="Z4" i="3"/>
  <c r="W4" i="3"/>
  <c r="S4" i="3"/>
  <c r="I4" i="3"/>
  <c r="E4" i="3"/>
  <c r="D4" i="3"/>
  <c r="C4" i="3"/>
  <c r="AB4" i="3" s="1"/>
  <c r="B4" i="3"/>
  <c r="A4" i="3"/>
  <c r="Z3" i="3"/>
  <c r="W3" i="3"/>
  <c r="S3" i="3"/>
  <c r="I3" i="3"/>
  <c r="E3" i="3"/>
  <c r="D3" i="3"/>
  <c r="C3" i="3"/>
  <c r="AB3" i="3" s="1"/>
  <c r="B3" i="3"/>
  <c r="A3" i="3"/>
  <c r="AH300" i="2" a="1"/>
  <c r="AH300" i="2"/>
  <c r="AG300" i="2" a="1"/>
  <c r="AG300" i="2"/>
  <c r="AF300" i="2" a="1"/>
  <c r="AF300" i="2"/>
  <c r="AE300" i="2" a="1"/>
  <c r="AE300" i="2"/>
  <c r="AD300" i="2" a="1"/>
  <c r="AD300" i="2"/>
  <c r="AC300" i="2" a="1"/>
  <c r="AC300" i="2"/>
  <c r="AB300" i="2" a="1"/>
  <c r="AB300" i="2"/>
  <c r="AA300" i="2" a="1"/>
  <c r="AA300" i="2"/>
  <c r="Z300" i="2" a="1"/>
  <c r="Z300" i="2"/>
  <c r="Y300" i="2" a="1"/>
  <c r="Y300" i="2"/>
  <c r="X300" i="2" a="1"/>
  <c r="X300" i="2"/>
  <c r="W300" i="2" a="1"/>
  <c r="W300" i="2"/>
  <c r="T300" i="2"/>
  <c r="AH299" i="2" a="1"/>
  <c r="AH299" i="2"/>
  <c r="AG299" i="2" a="1"/>
  <c r="AG299" i="2"/>
  <c r="AF299" i="2" a="1"/>
  <c r="AF299" i="2"/>
  <c r="AE299" i="2" a="1"/>
  <c r="AE299" i="2"/>
  <c r="AD299" i="2" a="1"/>
  <c r="AD299" i="2"/>
  <c r="AC299" i="2" a="1"/>
  <c r="AC299" i="2"/>
  <c r="AB299" i="2" a="1"/>
  <c r="AB299" i="2"/>
  <c r="AA299" i="2" a="1"/>
  <c r="AA299" i="2"/>
  <c r="Z299" i="2" a="1"/>
  <c r="Z299" i="2"/>
  <c r="Y299" i="2" a="1"/>
  <c r="Y299" i="2"/>
  <c r="X299" i="2" a="1"/>
  <c r="X299" i="2"/>
  <c r="W299" i="2" a="1"/>
  <c r="W299" i="2"/>
  <c r="T299" i="2"/>
  <c r="AH298" i="2" a="1"/>
  <c r="AH298" i="2"/>
  <c r="AG298" i="2" a="1"/>
  <c r="AG298" i="2"/>
  <c r="AF298" i="2" a="1"/>
  <c r="AF298" i="2"/>
  <c r="AE298" i="2" a="1"/>
  <c r="AE298" i="2"/>
  <c r="AD298" i="2" a="1"/>
  <c r="AD298" i="2"/>
  <c r="AC298" i="2" a="1"/>
  <c r="AC298" i="2"/>
  <c r="AB298" i="2" a="1"/>
  <c r="AB298" i="2"/>
  <c r="AA298" i="2" a="1"/>
  <c r="AA298" i="2"/>
  <c r="Z298" i="2" a="1"/>
  <c r="Z298" i="2"/>
  <c r="Y298" i="2" a="1"/>
  <c r="Y298" i="2"/>
  <c r="X298" i="2" a="1"/>
  <c r="X298" i="2"/>
  <c r="W298" i="2" a="1"/>
  <c r="W298" i="2"/>
  <c r="T298" i="2"/>
  <c r="AH297" i="2" a="1"/>
  <c r="AH297" i="2"/>
  <c r="AG297" i="2" a="1"/>
  <c r="AG297" i="2"/>
  <c r="AF297" i="2" a="1"/>
  <c r="AF297" i="2"/>
  <c r="AE297" i="2" a="1"/>
  <c r="AE297" i="2"/>
  <c r="AD297" i="2" a="1"/>
  <c r="AD297" i="2"/>
  <c r="AC297" i="2" a="1"/>
  <c r="AC297" i="2"/>
  <c r="AB297" i="2" a="1"/>
  <c r="AB297" i="2"/>
  <c r="AA297" i="2" a="1"/>
  <c r="AA297" i="2"/>
  <c r="Z297" i="2" a="1"/>
  <c r="Z297" i="2"/>
  <c r="Y297" i="2" a="1"/>
  <c r="Y297" i="2"/>
  <c r="X297" i="2" a="1"/>
  <c r="X297" i="2"/>
  <c r="W297" i="2" a="1"/>
  <c r="W297" i="2"/>
  <c r="T297" i="2"/>
  <c r="AH296" i="2" a="1"/>
  <c r="AH296" i="2"/>
  <c r="AG296" i="2" a="1"/>
  <c r="AG296" i="2"/>
  <c r="AF296" i="2" a="1"/>
  <c r="AF296" i="2"/>
  <c r="AE296" i="2" a="1"/>
  <c r="AE296" i="2"/>
  <c r="AD296" i="2" a="1"/>
  <c r="AD296" i="2"/>
  <c r="AC296" i="2" a="1"/>
  <c r="AC296" i="2"/>
  <c r="AB296" i="2" a="1"/>
  <c r="AB296" i="2"/>
  <c r="AA296" i="2" a="1"/>
  <c r="AA296" i="2"/>
  <c r="Z296" i="2" a="1"/>
  <c r="Z296" i="2"/>
  <c r="Y296" i="2" a="1"/>
  <c r="Y296" i="2"/>
  <c r="X296" i="2" a="1"/>
  <c r="X296" i="2"/>
  <c r="W296" i="2" a="1"/>
  <c r="W296" i="2"/>
  <c r="T296" i="2"/>
  <c r="AH295" i="2" a="1"/>
  <c r="AH295" i="2"/>
  <c r="AG295" i="2" a="1"/>
  <c r="AG295" i="2"/>
  <c r="AF295" i="2" a="1"/>
  <c r="AF295" i="2"/>
  <c r="AE295" i="2" a="1"/>
  <c r="AE295" i="2"/>
  <c r="AD295" i="2" a="1"/>
  <c r="AD295" i="2"/>
  <c r="AC295" i="2" a="1"/>
  <c r="AC295" i="2"/>
  <c r="AB295" i="2" a="1"/>
  <c r="AB295" i="2"/>
  <c r="AA295" i="2" a="1"/>
  <c r="AA295" i="2"/>
  <c r="Z295" i="2" a="1"/>
  <c r="Z295" i="2"/>
  <c r="Y295" i="2" a="1"/>
  <c r="Y295" i="2"/>
  <c r="X295" i="2" a="1"/>
  <c r="X295" i="2"/>
  <c r="W295" i="2" a="1"/>
  <c r="W295" i="2"/>
  <c r="T295" i="2"/>
  <c r="AH294" i="2" a="1"/>
  <c r="AH294" i="2"/>
  <c r="AG294" i="2" a="1"/>
  <c r="AG294" i="2"/>
  <c r="AF294" i="2" a="1"/>
  <c r="AF294" i="2"/>
  <c r="AE294" i="2" a="1"/>
  <c r="AE294" i="2"/>
  <c r="AD294" i="2" a="1"/>
  <c r="AD294" i="2"/>
  <c r="AC294" i="2" a="1"/>
  <c r="AC294" i="2"/>
  <c r="AB294" i="2" a="1"/>
  <c r="AB294" i="2"/>
  <c r="AA294" i="2" a="1"/>
  <c r="AA294" i="2"/>
  <c r="Z294" i="2" a="1"/>
  <c r="Z294" i="2"/>
  <c r="Y294" i="2" a="1"/>
  <c r="Y294" i="2"/>
  <c r="X294" i="2" a="1"/>
  <c r="X294" i="2"/>
  <c r="W294" i="2" a="1"/>
  <c r="W294" i="2"/>
  <c r="T294" i="2"/>
  <c r="AH293" i="2" a="1"/>
  <c r="AH293" i="2"/>
  <c r="AG293" i="2" a="1"/>
  <c r="AG293" i="2"/>
  <c r="AF293" i="2" a="1"/>
  <c r="AF293" i="2"/>
  <c r="AE293" i="2" a="1"/>
  <c r="AE293" i="2"/>
  <c r="AD293" i="2" a="1"/>
  <c r="AD293" i="2"/>
  <c r="AC293" i="2" a="1"/>
  <c r="AC293" i="2"/>
  <c r="AB293" i="2" a="1"/>
  <c r="AB293" i="2"/>
  <c r="AA293" i="2" a="1"/>
  <c r="AA293" i="2"/>
  <c r="Z293" i="2" a="1"/>
  <c r="Z293" i="2"/>
  <c r="Y293" i="2" a="1"/>
  <c r="Y293" i="2"/>
  <c r="X293" i="2" a="1"/>
  <c r="X293" i="2"/>
  <c r="W293" i="2" a="1"/>
  <c r="W293" i="2"/>
  <c r="T293" i="2"/>
  <c r="AH292" i="2" a="1"/>
  <c r="AH292" i="2"/>
  <c r="AG292" i="2" a="1"/>
  <c r="AG292" i="2"/>
  <c r="AF292" i="2" a="1"/>
  <c r="AF292" i="2"/>
  <c r="AE292" i="2" a="1"/>
  <c r="AE292" i="2"/>
  <c r="AD292" i="2" a="1"/>
  <c r="AD292" i="2"/>
  <c r="AC292" i="2" a="1"/>
  <c r="AC292" i="2"/>
  <c r="AB292" i="2" a="1"/>
  <c r="AB292" i="2"/>
  <c r="AA292" i="2" a="1"/>
  <c r="AA292" i="2"/>
  <c r="Z292" i="2" a="1"/>
  <c r="Z292" i="2"/>
  <c r="Y292" i="2" a="1"/>
  <c r="Y292" i="2"/>
  <c r="X292" i="2" a="1"/>
  <c r="X292" i="2"/>
  <c r="W292" i="2" a="1"/>
  <c r="W292" i="2"/>
  <c r="T292" i="2"/>
  <c r="AH291" i="2" a="1"/>
  <c r="AH291" i="2"/>
  <c r="AG291" i="2" a="1"/>
  <c r="AG291" i="2"/>
  <c r="AF291" i="2" a="1"/>
  <c r="AF291" i="2"/>
  <c r="AE291" i="2" a="1"/>
  <c r="AE291" i="2"/>
  <c r="AD291" i="2" a="1"/>
  <c r="AD291" i="2"/>
  <c r="AC291" i="2" a="1"/>
  <c r="AC291" i="2"/>
  <c r="AB291" i="2" a="1"/>
  <c r="AB291" i="2"/>
  <c r="AA291" i="2" a="1"/>
  <c r="AA291" i="2"/>
  <c r="Z291" i="2" a="1"/>
  <c r="Z291" i="2"/>
  <c r="Y291" i="2" a="1"/>
  <c r="Y291" i="2"/>
  <c r="X291" i="2" a="1"/>
  <c r="X291" i="2"/>
  <c r="W291" i="2" a="1"/>
  <c r="W291" i="2"/>
  <c r="T291" i="2"/>
  <c r="AH290" i="2" a="1"/>
  <c r="AH290" i="2"/>
  <c r="AG290" i="2" a="1"/>
  <c r="AG290" i="2"/>
  <c r="AF290" i="2" a="1"/>
  <c r="AF290" i="2"/>
  <c r="AE290" i="2" a="1"/>
  <c r="AE290" i="2"/>
  <c r="AD290" i="2" a="1"/>
  <c r="AD290" i="2"/>
  <c r="AC290" i="2" a="1"/>
  <c r="AC290" i="2"/>
  <c r="AB290" i="2" a="1"/>
  <c r="AB290" i="2"/>
  <c r="AA290" i="2" a="1"/>
  <c r="AA290" i="2"/>
  <c r="Z290" i="2" a="1"/>
  <c r="Z290" i="2"/>
  <c r="Y290" i="2" a="1"/>
  <c r="Y290" i="2"/>
  <c r="X290" i="2" a="1"/>
  <c r="X290" i="2"/>
  <c r="W290" i="2" a="1"/>
  <c r="W290" i="2"/>
  <c r="T290" i="2"/>
  <c r="AH289" i="2" a="1"/>
  <c r="AH289" i="2"/>
  <c r="AG289" i="2" a="1"/>
  <c r="AG289" i="2"/>
  <c r="AF289" i="2" a="1"/>
  <c r="AF289" i="2"/>
  <c r="AE289" i="2" a="1"/>
  <c r="AE289" i="2"/>
  <c r="AD289" i="2" a="1"/>
  <c r="AD289" i="2"/>
  <c r="AC289" i="2" a="1"/>
  <c r="AC289" i="2"/>
  <c r="AB289" i="2" a="1"/>
  <c r="AB289" i="2"/>
  <c r="AA289" i="2" a="1"/>
  <c r="AA289" i="2"/>
  <c r="Z289" i="2" a="1"/>
  <c r="Z289" i="2"/>
  <c r="Y289" i="2" a="1"/>
  <c r="Y289" i="2"/>
  <c r="X289" i="2" a="1"/>
  <c r="X289" i="2"/>
  <c r="W289" i="2" a="1"/>
  <c r="W289" i="2"/>
  <c r="T289" i="2"/>
  <c r="AH288" i="2" a="1"/>
  <c r="AH288" i="2"/>
  <c r="AG288" i="2" a="1"/>
  <c r="AG288" i="2"/>
  <c r="AF288" i="2" a="1"/>
  <c r="AF288" i="2"/>
  <c r="AE288" i="2" a="1"/>
  <c r="AE288" i="2"/>
  <c r="AD288" i="2" a="1"/>
  <c r="AD288" i="2"/>
  <c r="AC288" i="2" a="1"/>
  <c r="AC288" i="2"/>
  <c r="AB288" i="2" a="1"/>
  <c r="AB288" i="2"/>
  <c r="AA288" i="2" a="1"/>
  <c r="AA288" i="2"/>
  <c r="Z288" i="2" a="1"/>
  <c r="Z288" i="2"/>
  <c r="Y288" i="2" a="1"/>
  <c r="Y288" i="2"/>
  <c r="X288" i="2" a="1"/>
  <c r="X288" i="2"/>
  <c r="W288" i="2" a="1"/>
  <c r="W288" i="2"/>
  <c r="T288" i="2"/>
  <c r="AH287" i="2" a="1"/>
  <c r="AH287" i="2"/>
  <c r="AG287" i="2" a="1"/>
  <c r="AG287" i="2"/>
  <c r="AF287" i="2" a="1"/>
  <c r="AF287" i="2"/>
  <c r="AE287" i="2" a="1"/>
  <c r="AE287" i="2"/>
  <c r="AD287" i="2" a="1"/>
  <c r="AD287" i="2"/>
  <c r="AC287" i="2" a="1"/>
  <c r="AC287" i="2"/>
  <c r="AB287" i="2" a="1"/>
  <c r="AB287" i="2"/>
  <c r="AA287" i="2" a="1"/>
  <c r="AA287" i="2"/>
  <c r="Z287" i="2" a="1"/>
  <c r="Z287" i="2"/>
  <c r="Y287" i="2" a="1"/>
  <c r="Y287" i="2"/>
  <c r="X287" i="2" a="1"/>
  <c r="X287" i="2"/>
  <c r="W287" i="2" a="1"/>
  <c r="W287" i="2"/>
  <c r="T287" i="2"/>
  <c r="AH286" i="2" a="1"/>
  <c r="AH286" i="2"/>
  <c r="AG286" i="2" a="1"/>
  <c r="AG286" i="2"/>
  <c r="AF286" i="2" a="1"/>
  <c r="AF286" i="2"/>
  <c r="AE286" i="2" a="1"/>
  <c r="AE286" i="2"/>
  <c r="AD286" i="2" a="1"/>
  <c r="AD286" i="2"/>
  <c r="AC286" i="2" a="1"/>
  <c r="AC286" i="2"/>
  <c r="AB286" i="2" a="1"/>
  <c r="AB286" i="2"/>
  <c r="AA286" i="2" a="1"/>
  <c r="AA286" i="2"/>
  <c r="Z286" i="2" a="1"/>
  <c r="Z286" i="2"/>
  <c r="Y286" i="2" a="1"/>
  <c r="Y286" i="2"/>
  <c r="X286" i="2" a="1"/>
  <c r="X286" i="2"/>
  <c r="W286" i="2" a="1"/>
  <c r="W286" i="2"/>
  <c r="T286" i="2"/>
  <c r="AH285" i="2" a="1"/>
  <c r="AH285" i="2"/>
  <c r="AG285" i="2" a="1"/>
  <c r="AG285" i="2"/>
  <c r="AF285" i="2" a="1"/>
  <c r="AF285" i="2"/>
  <c r="AE285" i="2" a="1"/>
  <c r="AE285" i="2"/>
  <c r="AD285" i="2" a="1"/>
  <c r="AD285" i="2"/>
  <c r="AC285" i="2" a="1"/>
  <c r="AC285" i="2"/>
  <c r="AB285" i="2" a="1"/>
  <c r="AB285" i="2"/>
  <c r="AA285" i="2" a="1"/>
  <c r="AA285" i="2"/>
  <c r="Z285" i="2" a="1"/>
  <c r="Z285" i="2"/>
  <c r="Y285" i="2" a="1"/>
  <c r="Y285" i="2"/>
  <c r="X285" i="2" a="1"/>
  <c r="X285" i="2"/>
  <c r="W285" i="2" a="1"/>
  <c r="W285" i="2"/>
  <c r="T285" i="2"/>
  <c r="AH284" i="2" a="1"/>
  <c r="AH284" i="2"/>
  <c r="AG284" i="2" a="1"/>
  <c r="AG284" i="2"/>
  <c r="AF284" i="2" a="1"/>
  <c r="AF284" i="2"/>
  <c r="AE284" i="2" a="1"/>
  <c r="AE284" i="2"/>
  <c r="AD284" i="2" a="1"/>
  <c r="AD284" i="2"/>
  <c r="AC284" i="2" a="1"/>
  <c r="AC284" i="2"/>
  <c r="AB284" i="2" a="1"/>
  <c r="AB284" i="2"/>
  <c r="AA284" i="2" a="1"/>
  <c r="AA284" i="2"/>
  <c r="Z284" i="2" a="1"/>
  <c r="Z284" i="2"/>
  <c r="Y284" i="2" a="1"/>
  <c r="Y284" i="2"/>
  <c r="X284" i="2" a="1"/>
  <c r="X284" i="2"/>
  <c r="W284" i="2" a="1"/>
  <c r="W284" i="2"/>
  <c r="T284" i="2"/>
  <c r="AH283" i="2" a="1"/>
  <c r="AH283" i="2"/>
  <c r="AG283" i="2" a="1"/>
  <c r="AG283" i="2"/>
  <c r="AF283" i="2" a="1"/>
  <c r="AF283" i="2"/>
  <c r="AE283" i="2" a="1"/>
  <c r="AE283" i="2"/>
  <c r="AD283" i="2" a="1"/>
  <c r="AD283" i="2"/>
  <c r="AC283" i="2" a="1"/>
  <c r="AC283" i="2"/>
  <c r="AB283" i="2" a="1"/>
  <c r="AB283" i="2"/>
  <c r="AA283" i="2" a="1"/>
  <c r="AA283" i="2"/>
  <c r="Z283" i="2" a="1"/>
  <c r="Z283" i="2"/>
  <c r="Y283" i="2" a="1"/>
  <c r="Y283" i="2"/>
  <c r="X283" i="2" a="1"/>
  <c r="X283" i="2"/>
  <c r="W283" i="2" a="1"/>
  <c r="W283" i="2"/>
  <c r="T283" i="2"/>
  <c r="AH282" i="2" a="1"/>
  <c r="AH282" i="2"/>
  <c r="AG282" i="2" a="1"/>
  <c r="AG282" i="2"/>
  <c r="AF282" i="2" a="1"/>
  <c r="AF282" i="2"/>
  <c r="AE282" i="2" a="1"/>
  <c r="AE282" i="2"/>
  <c r="AD282" i="2" a="1"/>
  <c r="AD282" i="2"/>
  <c r="AC282" i="2" a="1"/>
  <c r="AC282" i="2"/>
  <c r="AB282" i="2" a="1"/>
  <c r="AB282" i="2"/>
  <c r="AA282" i="2" a="1"/>
  <c r="AA282" i="2"/>
  <c r="Z282" i="2" a="1"/>
  <c r="Z282" i="2"/>
  <c r="Y282" i="2" a="1"/>
  <c r="Y282" i="2"/>
  <c r="X282" i="2" a="1"/>
  <c r="X282" i="2"/>
  <c r="W282" i="2" a="1"/>
  <c r="W282" i="2"/>
  <c r="T282" i="2"/>
  <c r="AH281" i="2" a="1"/>
  <c r="AH281" i="2"/>
  <c r="AG281" i="2" a="1"/>
  <c r="AG281" i="2"/>
  <c r="AF281" i="2" a="1"/>
  <c r="AF281" i="2"/>
  <c r="AE281" i="2" a="1"/>
  <c r="AE281" i="2"/>
  <c r="AD281" i="2" a="1"/>
  <c r="AD281" i="2"/>
  <c r="AC281" i="2" a="1"/>
  <c r="AC281" i="2"/>
  <c r="AB281" i="2" a="1"/>
  <c r="AB281" i="2"/>
  <c r="AA281" i="2" a="1"/>
  <c r="AA281" i="2"/>
  <c r="Z281" i="2" a="1"/>
  <c r="Z281" i="2"/>
  <c r="Y281" i="2" a="1"/>
  <c r="Y281" i="2"/>
  <c r="X281" i="2" a="1"/>
  <c r="X281" i="2"/>
  <c r="W281" i="2" a="1"/>
  <c r="W281" i="2"/>
  <c r="T281" i="2"/>
  <c r="AH280" i="2" a="1"/>
  <c r="AH280" i="2"/>
  <c r="AG280" i="2" a="1"/>
  <c r="AG280" i="2"/>
  <c r="AF280" i="2" a="1"/>
  <c r="AF280" i="2"/>
  <c r="AE280" i="2" a="1"/>
  <c r="AE280" i="2"/>
  <c r="AD280" i="2" a="1"/>
  <c r="AD280" i="2"/>
  <c r="AC280" i="2" a="1"/>
  <c r="AC280" i="2"/>
  <c r="AB280" i="2" a="1"/>
  <c r="AB280" i="2"/>
  <c r="AA280" i="2" a="1"/>
  <c r="AA280" i="2"/>
  <c r="Z280" i="2" a="1"/>
  <c r="Z280" i="2"/>
  <c r="Y280" i="2" a="1"/>
  <c r="Y280" i="2"/>
  <c r="X280" i="2" a="1"/>
  <c r="X280" i="2"/>
  <c r="W280" i="2" a="1"/>
  <c r="W280" i="2"/>
  <c r="T280" i="2"/>
  <c r="AH279" i="2" a="1"/>
  <c r="AH279" i="2"/>
  <c r="AG279" i="2" a="1"/>
  <c r="AG279" i="2"/>
  <c r="AF279" i="2" a="1"/>
  <c r="AF279" i="2"/>
  <c r="AE279" i="2" a="1"/>
  <c r="AE279" i="2"/>
  <c r="AD279" i="2" a="1"/>
  <c r="AD279" i="2"/>
  <c r="AC279" i="2" a="1"/>
  <c r="AC279" i="2"/>
  <c r="AB279" i="2" a="1"/>
  <c r="AB279" i="2"/>
  <c r="AA279" i="2" a="1"/>
  <c r="AA279" i="2"/>
  <c r="Z279" i="2" a="1"/>
  <c r="Z279" i="2"/>
  <c r="Y279" i="2" a="1"/>
  <c r="Y279" i="2"/>
  <c r="X279" i="2" a="1"/>
  <c r="X279" i="2"/>
  <c r="W279" i="2" a="1"/>
  <c r="W279" i="2"/>
  <c r="T279" i="2"/>
  <c r="AH278" i="2" a="1"/>
  <c r="AH278" i="2"/>
  <c r="AG278" i="2" a="1"/>
  <c r="AG278" i="2"/>
  <c r="AF278" i="2" a="1"/>
  <c r="AF278" i="2"/>
  <c r="AE278" i="2" a="1"/>
  <c r="AE278" i="2"/>
  <c r="AD278" i="2" a="1"/>
  <c r="AD278" i="2"/>
  <c r="AC278" i="2" a="1"/>
  <c r="AC278" i="2"/>
  <c r="AB278" i="2" a="1"/>
  <c r="AB278" i="2"/>
  <c r="AA278" i="2" a="1"/>
  <c r="AA278" i="2"/>
  <c r="Z278" i="2" a="1"/>
  <c r="Z278" i="2"/>
  <c r="Y278" i="2" a="1"/>
  <c r="Y278" i="2"/>
  <c r="X278" i="2" a="1"/>
  <c r="X278" i="2"/>
  <c r="W278" i="2" a="1"/>
  <c r="W278" i="2"/>
  <c r="T278" i="2"/>
  <c r="AH277" i="2" a="1"/>
  <c r="AH277" i="2"/>
  <c r="AG277" i="2" a="1"/>
  <c r="AG277" i="2"/>
  <c r="AF277" i="2" a="1"/>
  <c r="AF277" i="2"/>
  <c r="AE277" i="2" a="1"/>
  <c r="AE277" i="2"/>
  <c r="AD277" i="2" a="1"/>
  <c r="AD277" i="2"/>
  <c r="AC277" i="2" a="1"/>
  <c r="AC277" i="2"/>
  <c r="AB277" i="2" a="1"/>
  <c r="AB277" i="2"/>
  <c r="AA277" i="2" a="1"/>
  <c r="AA277" i="2"/>
  <c r="Z277" i="2" a="1"/>
  <c r="Z277" i="2"/>
  <c r="Y277" i="2" a="1"/>
  <c r="Y277" i="2"/>
  <c r="X277" i="2" a="1"/>
  <c r="X277" i="2"/>
  <c r="W277" i="2" a="1"/>
  <c r="W277" i="2"/>
  <c r="T277" i="2"/>
  <c r="AH276" i="2" a="1"/>
  <c r="AH276" i="2"/>
  <c r="AG276" i="2" a="1"/>
  <c r="AG276" i="2"/>
  <c r="AF276" i="2" a="1"/>
  <c r="AF276" i="2"/>
  <c r="AE276" i="2" a="1"/>
  <c r="AE276" i="2"/>
  <c r="AD276" i="2" a="1"/>
  <c r="AD276" i="2"/>
  <c r="AC276" i="2" a="1"/>
  <c r="AC276" i="2"/>
  <c r="AB276" i="2" a="1"/>
  <c r="AB276" i="2"/>
  <c r="AA276" i="2" a="1"/>
  <c r="AA276" i="2"/>
  <c r="Z276" i="2" a="1"/>
  <c r="Z276" i="2"/>
  <c r="Y276" i="2" a="1"/>
  <c r="Y276" i="2"/>
  <c r="X276" i="2" a="1"/>
  <c r="X276" i="2"/>
  <c r="W276" i="2" a="1"/>
  <c r="W276" i="2"/>
  <c r="T276" i="2"/>
  <c r="AH275" i="2" a="1"/>
  <c r="AH275" i="2"/>
  <c r="AG275" i="2" a="1"/>
  <c r="AG275" i="2"/>
  <c r="AF275" i="2" a="1"/>
  <c r="AF275" i="2"/>
  <c r="AE275" i="2" a="1"/>
  <c r="AE275" i="2"/>
  <c r="AD275" i="2" a="1"/>
  <c r="AD275" i="2"/>
  <c r="AC275" i="2" a="1"/>
  <c r="AC275" i="2"/>
  <c r="AB275" i="2" a="1"/>
  <c r="AB275" i="2"/>
  <c r="AA275" i="2" a="1"/>
  <c r="AA275" i="2"/>
  <c r="Z275" i="2" a="1"/>
  <c r="Z275" i="2"/>
  <c r="Y275" i="2" a="1"/>
  <c r="Y275" i="2"/>
  <c r="X275" i="2" a="1"/>
  <c r="X275" i="2"/>
  <c r="W275" i="2" a="1"/>
  <c r="W275" i="2"/>
  <c r="T275" i="2"/>
  <c r="AH274" i="2" a="1"/>
  <c r="AH274" i="2"/>
  <c r="AG274" i="2" a="1"/>
  <c r="AG274" i="2"/>
  <c r="AF274" i="2" a="1"/>
  <c r="AF274" i="2"/>
  <c r="AE274" i="2" a="1"/>
  <c r="AE274" i="2"/>
  <c r="AD274" i="2" a="1"/>
  <c r="AD274" i="2"/>
  <c r="AC274" i="2" a="1"/>
  <c r="AC274" i="2"/>
  <c r="AB274" i="2" a="1"/>
  <c r="AB274" i="2"/>
  <c r="AA274" i="2" a="1"/>
  <c r="AA274" i="2"/>
  <c r="Z274" i="2" a="1"/>
  <c r="Z274" i="2"/>
  <c r="Y274" i="2" a="1"/>
  <c r="Y274" i="2"/>
  <c r="X274" i="2" a="1"/>
  <c r="X274" i="2"/>
  <c r="W274" i="2" a="1"/>
  <c r="W274" i="2"/>
  <c r="T274" i="2"/>
  <c r="AH273" i="2" a="1"/>
  <c r="AH273" i="2"/>
  <c r="AG273" i="2" a="1"/>
  <c r="AG273" i="2"/>
  <c r="AF273" i="2" a="1"/>
  <c r="AF273" i="2"/>
  <c r="AE273" i="2" a="1"/>
  <c r="AE273" i="2"/>
  <c r="AD273" i="2" a="1"/>
  <c r="AD273" i="2"/>
  <c r="AC273" i="2" a="1"/>
  <c r="AC273" i="2"/>
  <c r="AB273" i="2" a="1"/>
  <c r="AB273" i="2"/>
  <c r="AA273" i="2" a="1"/>
  <c r="AA273" i="2"/>
  <c r="Z273" i="2" a="1"/>
  <c r="Z273" i="2"/>
  <c r="Y273" i="2" a="1"/>
  <c r="Y273" i="2"/>
  <c r="X273" i="2" a="1"/>
  <c r="X273" i="2"/>
  <c r="W273" i="2" a="1"/>
  <c r="W273" i="2"/>
  <c r="T273" i="2"/>
  <c r="AH272" i="2" a="1"/>
  <c r="AH272" i="2"/>
  <c r="AG272" i="2" a="1"/>
  <c r="AG272" i="2"/>
  <c r="AF272" i="2" a="1"/>
  <c r="AF272" i="2"/>
  <c r="AE272" i="2" a="1"/>
  <c r="AE272" i="2"/>
  <c r="AD272" i="2" a="1"/>
  <c r="AD272" i="2"/>
  <c r="AC272" i="2" a="1"/>
  <c r="AC272" i="2"/>
  <c r="AB272" i="2" a="1"/>
  <c r="AB272" i="2"/>
  <c r="AA272" i="2" a="1"/>
  <c r="AA272" i="2"/>
  <c r="Z272" i="2" a="1"/>
  <c r="Z272" i="2"/>
  <c r="Y272" i="2" a="1"/>
  <c r="Y272" i="2"/>
  <c r="X272" i="2" a="1"/>
  <c r="X272" i="2"/>
  <c r="W272" i="2" a="1"/>
  <c r="W272" i="2"/>
  <c r="T272" i="2"/>
  <c r="AH271" i="2" a="1"/>
  <c r="AH271" i="2"/>
  <c r="AG271" i="2" a="1"/>
  <c r="AG271" i="2"/>
  <c r="AF271" i="2" a="1"/>
  <c r="AF271" i="2"/>
  <c r="AE271" i="2" a="1"/>
  <c r="AE271" i="2"/>
  <c r="AD271" i="2" a="1"/>
  <c r="AD271" i="2"/>
  <c r="AC271" i="2" a="1"/>
  <c r="AC271" i="2"/>
  <c r="AB271" i="2" a="1"/>
  <c r="AB271" i="2"/>
  <c r="AA271" i="2" a="1"/>
  <c r="AA271" i="2"/>
  <c r="Z271" i="2" a="1"/>
  <c r="Z271" i="2"/>
  <c r="Y271" i="2" a="1"/>
  <c r="Y271" i="2"/>
  <c r="X271" i="2" a="1"/>
  <c r="X271" i="2"/>
  <c r="W271" i="2" a="1"/>
  <c r="W271" i="2"/>
  <c r="T271" i="2"/>
  <c r="AH270" i="2" a="1"/>
  <c r="AH270" i="2"/>
  <c r="AG270" i="2" a="1"/>
  <c r="AG270" i="2"/>
  <c r="AF270" i="2" a="1"/>
  <c r="AF270" i="2"/>
  <c r="AE270" i="2" a="1"/>
  <c r="AE270" i="2"/>
  <c r="AD270" i="2" a="1"/>
  <c r="AD270" i="2"/>
  <c r="AC270" i="2" a="1"/>
  <c r="AC270" i="2"/>
  <c r="AB270" i="2" a="1"/>
  <c r="AB270" i="2"/>
  <c r="AA270" i="2" a="1"/>
  <c r="AA270" i="2"/>
  <c r="Z270" i="2" a="1"/>
  <c r="Z270" i="2"/>
  <c r="Y270" i="2" a="1"/>
  <c r="Y270" i="2"/>
  <c r="X270" i="2" a="1"/>
  <c r="X270" i="2"/>
  <c r="W270" i="2" a="1"/>
  <c r="W270" i="2"/>
  <c r="T270" i="2"/>
  <c r="AH269" i="2" a="1"/>
  <c r="AH269" i="2"/>
  <c r="AG269" i="2" a="1"/>
  <c r="AG269" i="2"/>
  <c r="AF269" i="2" a="1"/>
  <c r="AF269" i="2"/>
  <c r="AE269" i="2" a="1"/>
  <c r="AE269" i="2"/>
  <c r="AD269" i="2" a="1"/>
  <c r="AD269" i="2"/>
  <c r="AC269" i="2" a="1"/>
  <c r="AC269" i="2"/>
  <c r="AB269" i="2" a="1"/>
  <c r="AB269" i="2"/>
  <c r="AA269" i="2" a="1"/>
  <c r="AA269" i="2"/>
  <c r="Z269" i="2" a="1"/>
  <c r="Z269" i="2"/>
  <c r="Y269" i="2" a="1"/>
  <c r="Y269" i="2"/>
  <c r="X269" i="2" a="1"/>
  <c r="X269" i="2"/>
  <c r="W269" i="2" a="1"/>
  <c r="W269" i="2"/>
  <c r="T269" i="2"/>
  <c r="AH268" i="2" a="1"/>
  <c r="AH268" i="2"/>
  <c r="AG268" i="2" a="1"/>
  <c r="AG268" i="2"/>
  <c r="AF268" i="2" a="1"/>
  <c r="AF268" i="2"/>
  <c r="AE268" i="2" a="1"/>
  <c r="AE268" i="2"/>
  <c r="AD268" i="2" a="1"/>
  <c r="AD268" i="2"/>
  <c r="AC268" i="2" a="1"/>
  <c r="AC268" i="2"/>
  <c r="AB268" i="2" a="1"/>
  <c r="AB268" i="2"/>
  <c r="AA268" i="2" a="1"/>
  <c r="AA268" i="2"/>
  <c r="Z268" i="2" a="1"/>
  <c r="Z268" i="2"/>
  <c r="Y268" i="2" a="1"/>
  <c r="Y268" i="2"/>
  <c r="X268" i="2" a="1"/>
  <c r="X268" i="2"/>
  <c r="W268" i="2" a="1"/>
  <c r="W268" i="2"/>
  <c r="T268" i="2"/>
  <c r="AH267" i="2" a="1"/>
  <c r="AH267" i="2"/>
  <c r="AG267" i="2" a="1"/>
  <c r="AG267" i="2"/>
  <c r="AF267" i="2" a="1"/>
  <c r="AF267" i="2"/>
  <c r="AE267" i="2" a="1"/>
  <c r="AE267" i="2"/>
  <c r="AD267" i="2" a="1"/>
  <c r="AD267" i="2"/>
  <c r="AC267" i="2" a="1"/>
  <c r="AC267" i="2"/>
  <c r="AB267" i="2" a="1"/>
  <c r="AB267" i="2"/>
  <c r="AA267" i="2" a="1"/>
  <c r="AA267" i="2"/>
  <c r="Z267" i="2" a="1"/>
  <c r="Z267" i="2"/>
  <c r="Y267" i="2" a="1"/>
  <c r="Y267" i="2"/>
  <c r="X267" i="2" a="1"/>
  <c r="X267" i="2"/>
  <c r="W267" i="2" a="1"/>
  <c r="W267" i="2"/>
  <c r="T267" i="2"/>
  <c r="AH266" i="2" a="1"/>
  <c r="AH266" i="2"/>
  <c r="AG266" i="2" a="1"/>
  <c r="AG266" i="2"/>
  <c r="AF266" i="2" a="1"/>
  <c r="AF266" i="2"/>
  <c r="AE266" i="2" a="1"/>
  <c r="AE266" i="2"/>
  <c r="AD266" i="2" a="1"/>
  <c r="AD266" i="2"/>
  <c r="AC266" i="2" a="1"/>
  <c r="AC266" i="2"/>
  <c r="AB266" i="2" a="1"/>
  <c r="AB266" i="2"/>
  <c r="AA266" i="2" a="1"/>
  <c r="AA266" i="2"/>
  <c r="Z266" i="2" a="1"/>
  <c r="Z266" i="2"/>
  <c r="Y266" i="2" a="1"/>
  <c r="Y266" i="2"/>
  <c r="X266" i="2" a="1"/>
  <c r="X266" i="2"/>
  <c r="W266" i="2" a="1"/>
  <c r="W266" i="2"/>
  <c r="T266" i="2"/>
  <c r="AH265" i="2" a="1"/>
  <c r="AH265" i="2"/>
  <c r="AG265" i="2" a="1"/>
  <c r="AG265" i="2"/>
  <c r="AF265" i="2" a="1"/>
  <c r="AF265" i="2"/>
  <c r="AE265" i="2" a="1"/>
  <c r="AE265" i="2"/>
  <c r="AD265" i="2" a="1"/>
  <c r="AD265" i="2"/>
  <c r="AC265" i="2" a="1"/>
  <c r="AC265" i="2"/>
  <c r="AB265" i="2" a="1"/>
  <c r="AB265" i="2"/>
  <c r="AA265" i="2" a="1"/>
  <c r="AA265" i="2"/>
  <c r="Z265" i="2" a="1"/>
  <c r="Z265" i="2"/>
  <c r="Y265" i="2" a="1"/>
  <c r="Y265" i="2"/>
  <c r="X265" i="2" a="1"/>
  <c r="X265" i="2"/>
  <c r="W265" i="2" a="1"/>
  <c r="W265" i="2"/>
  <c r="T265" i="2"/>
  <c r="AH264" i="2" a="1"/>
  <c r="AH264" i="2"/>
  <c r="AG264" i="2" a="1"/>
  <c r="AG264" i="2"/>
  <c r="AF264" i="2" a="1"/>
  <c r="AF264" i="2"/>
  <c r="AE264" i="2" a="1"/>
  <c r="AE264" i="2"/>
  <c r="AD264" i="2" a="1"/>
  <c r="AD264" i="2"/>
  <c r="AC264" i="2" a="1"/>
  <c r="AC264" i="2"/>
  <c r="AB264" i="2" a="1"/>
  <c r="AB264" i="2"/>
  <c r="AA264" i="2" a="1"/>
  <c r="AA264" i="2"/>
  <c r="Z264" i="2" a="1"/>
  <c r="Z264" i="2"/>
  <c r="Y264" i="2" a="1"/>
  <c r="Y264" i="2"/>
  <c r="X264" i="2" a="1"/>
  <c r="X264" i="2"/>
  <c r="W264" i="2" a="1"/>
  <c r="W264" i="2"/>
  <c r="T264" i="2"/>
  <c r="AH263" i="2" a="1"/>
  <c r="AH263" i="2"/>
  <c r="AG263" i="2" a="1"/>
  <c r="AG263" i="2"/>
  <c r="AF263" i="2" a="1"/>
  <c r="AF263" i="2"/>
  <c r="AE263" i="2" a="1"/>
  <c r="AE263" i="2"/>
  <c r="AD263" i="2" a="1"/>
  <c r="AD263" i="2"/>
  <c r="AC263" i="2" a="1"/>
  <c r="AC263" i="2"/>
  <c r="AB263" i="2" a="1"/>
  <c r="AB263" i="2"/>
  <c r="AA263" i="2" a="1"/>
  <c r="AA263" i="2"/>
  <c r="Z263" i="2" a="1"/>
  <c r="Z263" i="2"/>
  <c r="Y263" i="2" a="1"/>
  <c r="Y263" i="2"/>
  <c r="X263" i="2" a="1"/>
  <c r="X263" i="2"/>
  <c r="W263" i="2" a="1"/>
  <c r="W263" i="2"/>
  <c r="T263" i="2"/>
  <c r="AH262" i="2" a="1"/>
  <c r="AH262" i="2"/>
  <c r="AG262" i="2" a="1"/>
  <c r="AG262" i="2"/>
  <c r="AF262" i="2" a="1"/>
  <c r="AF262" i="2"/>
  <c r="AE262" i="2" a="1"/>
  <c r="AE262" i="2"/>
  <c r="AD262" i="2" a="1"/>
  <c r="AD262" i="2"/>
  <c r="AC262" i="2" a="1"/>
  <c r="AC262" i="2"/>
  <c r="AB262" i="2" a="1"/>
  <c r="AB262" i="2"/>
  <c r="AA262" i="2" a="1"/>
  <c r="AA262" i="2"/>
  <c r="Z262" i="2" a="1"/>
  <c r="Z262" i="2"/>
  <c r="Y262" i="2" a="1"/>
  <c r="Y262" i="2"/>
  <c r="X262" i="2" a="1"/>
  <c r="X262" i="2"/>
  <c r="W262" i="2" a="1"/>
  <c r="W262" i="2"/>
  <c r="T262" i="2"/>
  <c r="AH261" i="2" a="1"/>
  <c r="AH261" i="2"/>
  <c r="AG261" i="2" a="1"/>
  <c r="AG261" i="2"/>
  <c r="AF261" i="2" a="1"/>
  <c r="AF261" i="2"/>
  <c r="AE261" i="2" a="1"/>
  <c r="AE261" i="2"/>
  <c r="AD261" i="2" a="1"/>
  <c r="AD261" i="2"/>
  <c r="AC261" i="2" a="1"/>
  <c r="AC261" i="2"/>
  <c r="AB261" i="2" a="1"/>
  <c r="AB261" i="2"/>
  <c r="AA261" i="2" a="1"/>
  <c r="AA261" i="2"/>
  <c r="Z261" i="2" a="1"/>
  <c r="Z261" i="2"/>
  <c r="Y261" i="2" a="1"/>
  <c r="Y261" i="2"/>
  <c r="X261" i="2" a="1"/>
  <c r="X261" i="2"/>
  <c r="W261" i="2" a="1"/>
  <c r="W261" i="2"/>
  <c r="T261" i="2"/>
  <c r="AH260" i="2" a="1"/>
  <c r="AH260" i="2"/>
  <c r="AG260" i="2" a="1"/>
  <c r="AG260" i="2"/>
  <c r="AF260" i="2" a="1"/>
  <c r="AF260" i="2"/>
  <c r="AE260" i="2" a="1"/>
  <c r="AE260" i="2"/>
  <c r="AD260" i="2" a="1"/>
  <c r="AD260" i="2"/>
  <c r="AC260" i="2" a="1"/>
  <c r="AC260" i="2"/>
  <c r="AB260" i="2" a="1"/>
  <c r="AB260" i="2"/>
  <c r="AA260" i="2" a="1"/>
  <c r="AA260" i="2"/>
  <c r="Z260" i="2" a="1"/>
  <c r="Z260" i="2"/>
  <c r="Y260" i="2" a="1"/>
  <c r="Y260" i="2"/>
  <c r="X260" i="2" a="1"/>
  <c r="X260" i="2"/>
  <c r="W260" i="2" a="1"/>
  <c r="W260" i="2"/>
  <c r="T260" i="2"/>
  <c r="AH259" i="2" a="1"/>
  <c r="AH259" i="2"/>
  <c r="AG259" i="2" a="1"/>
  <c r="AG259" i="2"/>
  <c r="AF259" i="2" a="1"/>
  <c r="AF259" i="2"/>
  <c r="AE259" i="2" a="1"/>
  <c r="AE259" i="2"/>
  <c r="AD259" i="2" a="1"/>
  <c r="AD259" i="2"/>
  <c r="AC259" i="2" a="1"/>
  <c r="AC259" i="2"/>
  <c r="AB259" i="2" a="1"/>
  <c r="AB259" i="2"/>
  <c r="AA259" i="2" a="1"/>
  <c r="AA259" i="2"/>
  <c r="Z259" i="2" a="1"/>
  <c r="Z259" i="2"/>
  <c r="Y259" i="2" a="1"/>
  <c r="Y259" i="2"/>
  <c r="X259" i="2" a="1"/>
  <c r="X259" i="2"/>
  <c r="W259" i="2" a="1"/>
  <c r="W259" i="2"/>
  <c r="T259" i="2"/>
  <c r="AH258" i="2" a="1"/>
  <c r="AH258" i="2"/>
  <c r="AG258" i="2" a="1"/>
  <c r="AG258" i="2"/>
  <c r="AF258" i="2" a="1"/>
  <c r="AF258" i="2"/>
  <c r="AE258" i="2" a="1"/>
  <c r="AE258" i="2"/>
  <c r="AD258" i="2" a="1"/>
  <c r="AD258" i="2"/>
  <c r="AC258" i="2" a="1"/>
  <c r="AC258" i="2"/>
  <c r="AB258" i="2" a="1"/>
  <c r="AB258" i="2"/>
  <c r="AA258" i="2" a="1"/>
  <c r="AA258" i="2"/>
  <c r="Z258" i="2" a="1"/>
  <c r="Z258" i="2"/>
  <c r="Y258" i="2" a="1"/>
  <c r="Y258" i="2"/>
  <c r="X258" i="2" a="1"/>
  <c r="X258" i="2"/>
  <c r="W258" i="2" a="1"/>
  <c r="W258" i="2"/>
  <c r="T258" i="2"/>
  <c r="AH257" i="2" a="1"/>
  <c r="AH257" i="2"/>
  <c r="AG257" i="2" a="1"/>
  <c r="AG257" i="2"/>
  <c r="AF257" i="2" a="1"/>
  <c r="AF257" i="2"/>
  <c r="AE257" i="2" a="1"/>
  <c r="AE257" i="2"/>
  <c r="AD257" i="2" a="1"/>
  <c r="AD257" i="2"/>
  <c r="AC257" i="2" a="1"/>
  <c r="AC257" i="2"/>
  <c r="AB257" i="2" a="1"/>
  <c r="AB257" i="2"/>
  <c r="AA257" i="2" a="1"/>
  <c r="AA257" i="2"/>
  <c r="Z257" i="2" a="1"/>
  <c r="Z257" i="2"/>
  <c r="Y257" i="2" a="1"/>
  <c r="Y257" i="2"/>
  <c r="X257" i="2" a="1"/>
  <c r="X257" i="2"/>
  <c r="W257" i="2" a="1"/>
  <c r="W257" i="2"/>
  <c r="T257" i="2"/>
  <c r="AH256" i="2" a="1"/>
  <c r="AH256" i="2"/>
  <c r="AG256" i="2" a="1"/>
  <c r="AG256" i="2"/>
  <c r="AF256" i="2" a="1"/>
  <c r="AF256" i="2"/>
  <c r="AE256" i="2" a="1"/>
  <c r="AE256" i="2"/>
  <c r="AD256" i="2" a="1"/>
  <c r="AD256" i="2"/>
  <c r="AC256" i="2" a="1"/>
  <c r="AC256" i="2"/>
  <c r="AB256" i="2" a="1"/>
  <c r="AB256" i="2"/>
  <c r="AA256" i="2" a="1"/>
  <c r="AA256" i="2"/>
  <c r="Z256" i="2" a="1"/>
  <c r="Z256" i="2"/>
  <c r="Y256" i="2" a="1"/>
  <c r="Y256" i="2"/>
  <c r="X256" i="2" a="1"/>
  <c r="X256" i="2"/>
  <c r="W256" i="2" a="1"/>
  <c r="W256" i="2"/>
  <c r="T256" i="2"/>
  <c r="AH255" i="2" a="1"/>
  <c r="AH255" i="2"/>
  <c r="AG255" i="2" a="1"/>
  <c r="AG255" i="2"/>
  <c r="AF255" i="2" a="1"/>
  <c r="AF255" i="2"/>
  <c r="AE255" i="2" a="1"/>
  <c r="AE255" i="2"/>
  <c r="AD255" i="2" a="1"/>
  <c r="AD255" i="2"/>
  <c r="AC255" i="2" a="1"/>
  <c r="AC255" i="2"/>
  <c r="AB255" i="2" a="1"/>
  <c r="AB255" i="2"/>
  <c r="AA255" i="2" a="1"/>
  <c r="AA255" i="2"/>
  <c r="Z255" i="2" a="1"/>
  <c r="Z255" i="2"/>
  <c r="Y255" i="2" a="1"/>
  <c r="Y255" i="2"/>
  <c r="X255" i="2" a="1"/>
  <c r="X255" i="2"/>
  <c r="W255" i="2" a="1"/>
  <c r="W255" i="2"/>
  <c r="T255" i="2"/>
  <c r="AH254" i="2" a="1"/>
  <c r="AH254" i="2"/>
  <c r="AG254" i="2" a="1"/>
  <c r="AG254" i="2"/>
  <c r="AF254" i="2" a="1"/>
  <c r="AF254" i="2"/>
  <c r="AE254" i="2" a="1"/>
  <c r="AE254" i="2"/>
  <c r="AD254" i="2" a="1"/>
  <c r="AD254" i="2"/>
  <c r="AC254" i="2" a="1"/>
  <c r="AC254" i="2"/>
  <c r="AB254" i="2" a="1"/>
  <c r="AB254" i="2"/>
  <c r="AA254" i="2" a="1"/>
  <c r="AA254" i="2"/>
  <c r="Z254" i="2" a="1"/>
  <c r="Z254" i="2"/>
  <c r="Y254" i="2" a="1"/>
  <c r="Y254" i="2"/>
  <c r="X254" i="2" a="1"/>
  <c r="X254" i="2"/>
  <c r="W254" i="2" a="1"/>
  <c r="W254" i="2"/>
  <c r="T254" i="2"/>
  <c r="AH253" i="2" a="1"/>
  <c r="AH253" i="2"/>
  <c r="AG253" i="2" a="1"/>
  <c r="AG253" i="2"/>
  <c r="AF253" i="2" a="1"/>
  <c r="AF253" i="2"/>
  <c r="AE253" i="2" a="1"/>
  <c r="AE253" i="2"/>
  <c r="AD253" i="2" a="1"/>
  <c r="AD253" i="2"/>
  <c r="AC253" i="2" a="1"/>
  <c r="AC253" i="2"/>
  <c r="AB253" i="2" a="1"/>
  <c r="AB253" i="2"/>
  <c r="AA253" i="2" a="1"/>
  <c r="AA253" i="2"/>
  <c r="Z253" i="2" a="1"/>
  <c r="Z253" i="2"/>
  <c r="Y253" i="2" a="1"/>
  <c r="Y253" i="2"/>
  <c r="X253" i="2" a="1"/>
  <c r="X253" i="2"/>
  <c r="W253" i="2" a="1"/>
  <c r="W253" i="2"/>
  <c r="T253" i="2"/>
  <c r="AH252" i="2" a="1"/>
  <c r="AH252" i="2"/>
  <c r="AG252" i="2" a="1"/>
  <c r="AG252" i="2"/>
  <c r="AF252" i="2" a="1"/>
  <c r="AF252" i="2"/>
  <c r="AE252" i="2" a="1"/>
  <c r="AE252" i="2"/>
  <c r="AD252" i="2" a="1"/>
  <c r="AD252" i="2"/>
  <c r="AC252" i="2" a="1"/>
  <c r="AC252" i="2"/>
  <c r="AB252" i="2" a="1"/>
  <c r="AB252" i="2"/>
  <c r="AA252" i="2" a="1"/>
  <c r="AA252" i="2"/>
  <c r="Z252" i="2" a="1"/>
  <c r="Z252" i="2"/>
  <c r="Y252" i="2" a="1"/>
  <c r="Y252" i="2"/>
  <c r="X252" i="2" a="1"/>
  <c r="X252" i="2"/>
  <c r="W252" i="2" a="1"/>
  <c r="W252" i="2"/>
  <c r="T252" i="2"/>
  <c r="AH251" i="2" a="1"/>
  <c r="AH251" i="2"/>
  <c r="AG251" i="2" a="1"/>
  <c r="AG251" i="2"/>
  <c r="AF251" i="2" a="1"/>
  <c r="AF251" i="2"/>
  <c r="AE251" i="2" a="1"/>
  <c r="AE251" i="2"/>
  <c r="AD251" i="2" a="1"/>
  <c r="AD251" i="2"/>
  <c r="AC251" i="2" a="1"/>
  <c r="AC251" i="2"/>
  <c r="AB251" i="2" a="1"/>
  <c r="AB251" i="2"/>
  <c r="AA251" i="2" a="1"/>
  <c r="AA251" i="2"/>
  <c r="Z251" i="2" a="1"/>
  <c r="Z251" i="2"/>
  <c r="Y251" i="2" a="1"/>
  <c r="Y251" i="2"/>
  <c r="X251" i="2" a="1"/>
  <c r="X251" i="2"/>
  <c r="W251" i="2" a="1"/>
  <c r="W251" i="2"/>
  <c r="T251" i="2"/>
  <c r="AH250" i="2" a="1"/>
  <c r="AH250" i="2"/>
  <c r="AG250" i="2" a="1"/>
  <c r="AG250" i="2"/>
  <c r="AF250" i="2" a="1"/>
  <c r="AF250" i="2"/>
  <c r="AE250" i="2" a="1"/>
  <c r="AE250" i="2"/>
  <c r="AD250" i="2" a="1"/>
  <c r="AD250" i="2"/>
  <c r="AC250" i="2" a="1"/>
  <c r="AC250" i="2"/>
  <c r="AB250" i="2" a="1"/>
  <c r="AB250" i="2"/>
  <c r="AA250" i="2" a="1"/>
  <c r="AA250" i="2"/>
  <c r="Z250" i="2" a="1"/>
  <c r="Z250" i="2"/>
  <c r="Y250" i="2" a="1"/>
  <c r="Y250" i="2"/>
  <c r="X250" i="2" a="1"/>
  <c r="X250" i="2"/>
  <c r="W250" i="2" a="1"/>
  <c r="W250" i="2"/>
  <c r="T250" i="2"/>
  <c r="AH249" i="2" a="1"/>
  <c r="AH249" i="2"/>
  <c r="AG249" i="2" a="1"/>
  <c r="AG249" i="2"/>
  <c r="AF249" i="2" a="1"/>
  <c r="AF249" i="2"/>
  <c r="AE249" i="2" a="1"/>
  <c r="AE249" i="2"/>
  <c r="AD249" i="2" a="1"/>
  <c r="AD249" i="2"/>
  <c r="AC249" i="2" a="1"/>
  <c r="AC249" i="2"/>
  <c r="AB249" i="2" a="1"/>
  <c r="AB249" i="2"/>
  <c r="AA249" i="2" a="1"/>
  <c r="AA249" i="2"/>
  <c r="Z249" i="2" a="1"/>
  <c r="Z249" i="2"/>
  <c r="Y249" i="2" a="1"/>
  <c r="Y249" i="2"/>
  <c r="X249" i="2" a="1"/>
  <c r="X249" i="2"/>
  <c r="W249" i="2" a="1"/>
  <c r="W249" i="2"/>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c r="AG247" i="2" a="1"/>
  <c r="AG247" i="2"/>
  <c r="AF247" i="2" a="1"/>
  <c r="AF247" i="2"/>
  <c r="AE247" i="2" a="1"/>
  <c r="AE247" i="2"/>
  <c r="AD247" i="2" a="1"/>
  <c r="AD247" i="2"/>
  <c r="AC247" i="2" a="1"/>
  <c r="AC247" i="2"/>
  <c r="AB247" i="2" a="1"/>
  <c r="AB247" i="2"/>
  <c r="AA247" i="2" a="1"/>
  <c r="AA247" i="2"/>
  <c r="Z247" i="2" a="1"/>
  <c r="Z247" i="2"/>
  <c r="Y247" i="2" a="1"/>
  <c r="Y247" i="2"/>
  <c r="X247" i="2" a="1"/>
  <c r="X247" i="2"/>
  <c r="W247" i="2" a="1"/>
  <c r="W247" i="2"/>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c r="AG245" i="2" a="1"/>
  <c r="AG245" i="2"/>
  <c r="AF245" i="2" a="1"/>
  <c r="AF245" i="2"/>
  <c r="AE245" i="2" a="1"/>
  <c r="AE245" i="2"/>
  <c r="AD245" i="2" a="1"/>
  <c r="AD245" i="2"/>
  <c r="AC245" i="2" a="1"/>
  <c r="AC245" i="2"/>
  <c r="AB245" i="2" a="1"/>
  <c r="AB245" i="2"/>
  <c r="AA245" i="2" a="1"/>
  <c r="AA245" i="2"/>
  <c r="Z245" i="2" a="1"/>
  <c r="Z245" i="2"/>
  <c r="Y245" i="2" a="1"/>
  <c r="Y245" i="2"/>
  <c r="X245" i="2" a="1"/>
  <c r="X245" i="2"/>
  <c r="W245" i="2" a="1"/>
  <c r="W245" i="2"/>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c r="AG243" i="2" a="1"/>
  <c r="AG243" i="2"/>
  <c r="AF243" i="2" a="1"/>
  <c r="AF243" i="2"/>
  <c r="AE243" i="2" a="1"/>
  <c r="AE243" i="2"/>
  <c r="AD243" i="2" a="1"/>
  <c r="AD243" i="2"/>
  <c r="AC243" i="2" a="1"/>
  <c r="AC243" i="2"/>
  <c r="AB243" i="2" a="1"/>
  <c r="AB243" i="2"/>
  <c r="AA243" i="2" a="1"/>
  <c r="AA243" i="2"/>
  <c r="Z243" i="2" a="1"/>
  <c r="Z243" i="2"/>
  <c r="Y243" i="2" a="1"/>
  <c r="Y243" i="2"/>
  <c r="X243" i="2" a="1"/>
  <c r="X243" i="2"/>
  <c r="W243" i="2" a="1"/>
  <c r="W243" i="2"/>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c r="AG241" i="2" a="1"/>
  <c r="AG241" i="2"/>
  <c r="AF241" i="2" a="1"/>
  <c r="AF241" i="2"/>
  <c r="AE241" i="2" a="1"/>
  <c r="AE241" i="2"/>
  <c r="AD241" i="2" a="1"/>
  <c r="AD241" i="2"/>
  <c r="AC241" i="2" a="1"/>
  <c r="AC241" i="2"/>
  <c r="AB241" i="2" a="1"/>
  <c r="AB241" i="2"/>
  <c r="AA241" i="2" a="1"/>
  <c r="AA241" i="2"/>
  <c r="Z241" i="2" a="1"/>
  <c r="Z241" i="2"/>
  <c r="Y241" i="2" a="1"/>
  <c r="Y241" i="2"/>
  <c r="X241" i="2" a="1"/>
  <c r="X241" i="2"/>
  <c r="W241" i="2" a="1"/>
  <c r="W241" i="2"/>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c r="W240" i="2" a="1"/>
  <c r="W240" i="2"/>
  <c r="T240" i="2"/>
  <c r="AH239" i="2" a="1"/>
  <c r="AH239" i="2"/>
  <c r="AG239" i="2" a="1"/>
  <c r="AG239" i="2"/>
  <c r="AF239" i="2" a="1"/>
  <c r="AF239" i="2"/>
  <c r="AE239" i="2" a="1"/>
  <c r="AE239" i="2"/>
  <c r="AD239" i="2" a="1"/>
  <c r="AD239" i="2"/>
  <c r="AC239" i="2" a="1"/>
  <c r="AC239" i="2"/>
  <c r="AB239" i="2" a="1"/>
  <c r="AB239" i="2"/>
  <c r="AA239" i="2" a="1"/>
  <c r="AA239" i="2"/>
  <c r="Z239" i="2" a="1"/>
  <c r="Z239" i="2"/>
  <c r="Y239" i="2" a="1"/>
  <c r="Y239" i="2"/>
  <c r="X239" i="2" a="1"/>
  <c r="X239" i="2"/>
  <c r="W239" i="2" a="1"/>
  <c r="W239" i="2"/>
  <c r="T239" i="2"/>
  <c r="AH238" i="2" a="1"/>
  <c r="AH238" i="2"/>
  <c r="AG238" i="2" a="1"/>
  <c r="AG238" i="2"/>
  <c r="AF238" i="2" a="1"/>
  <c r="AF238" i="2"/>
  <c r="AE238" i="2" a="1"/>
  <c r="AE238" i="2"/>
  <c r="AD238" i="2" a="1"/>
  <c r="AD238" i="2"/>
  <c r="AC238" i="2" a="1"/>
  <c r="AC238" i="2"/>
  <c r="AB238" i="2" a="1"/>
  <c r="AB238" i="2"/>
  <c r="AA238" i="2" a="1"/>
  <c r="AA238" i="2"/>
  <c r="Z238" i="2" a="1"/>
  <c r="Z238" i="2"/>
  <c r="Y238" i="2" a="1"/>
  <c r="Y238" i="2"/>
  <c r="X238" i="2" a="1"/>
  <c r="X238" i="2"/>
  <c r="W238" i="2" a="1"/>
  <c r="W238" i="2"/>
  <c r="T238" i="2"/>
  <c r="AH237" i="2" a="1"/>
  <c r="AH237" i="2"/>
  <c r="AG237" i="2" a="1"/>
  <c r="AG237" i="2"/>
  <c r="AF237" i="2" a="1"/>
  <c r="AF237" i="2"/>
  <c r="AE237" i="2" a="1"/>
  <c r="AE237" i="2"/>
  <c r="AD237" i="2" a="1"/>
  <c r="AD237" i="2"/>
  <c r="AC237" i="2" a="1"/>
  <c r="AC237" i="2"/>
  <c r="AB237" i="2" a="1"/>
  <c r="AB237" i="2"/>
  <c r="AA237" i="2" a="1"/>
  <c r="AA237" i="2"/>
  <c r="Z237" i="2" a="1"/>
  <c r="Z237" i="2"/>
  <c r="Y237" i="2" a="1"/>
  <c r="Y237" i="2"/>
  <c r="X237" i="2" a="1"/>
  <c r="X237" i="2"/>
  <c r="W237" i="2" a="1"/>
  <c r="W237" i="2"/>
  <c r="T237" i="2"/>
  <c r="AH236" i="2" a="1"/>
  <c r="AH236" i="2"/>
  <c r="AG236" i="2" a="1"/>
  <c r="AG236" i="2"/>
  <c r="AF236" i="2" a="1"/>
  <c r="AF236" i="2"/>
  <c r="AE236" i="2" a="1"/>
  <c r="AE236" i="2"/>
  <c r="AD236" i="2" a="1"/>
  <c r="AD236" i="2"/>
  <c r="AC236" i="2" a="1"/>
  <c r="AC236" i="2"/>
  <c r="AB236" i="2" a="1"/>
  <c r="AB236" i="2"/>
  <c r="AA236" i="2" a="1"/>
  <c r="AA236" i="2"/>
  <c r="Z236" i="2" a="1"/>
  <c r="Z236" i="2"/>
  <c r="Y236" i="2" a="1"/>
  <c r="Y236" i="2"/>
  <c r="X236" i="2" a="1"/>
  <c r="X236" i="2"/>
  <c r="W236" i="2" a="1"/>
  <c r="W236" i="2"/>
  <c r="T236" i="2"/>
  <c r="AH235" i="2" a="1"/>
  <c r="AH235" i="2"/>
  <c r="AG235" i="2" a="1"/>
  <c r="AG235" i="2"/>
  <c r="AF235" i="2" a="1"/>
  <c r="AF235" i="2"/>
  <c r="AE235" i="2" a="1"/>
  <c r="AE235" i="2"/>
  <c r="AD235" i="2" a="1"/>
  <c r="AD235" i="2"/>
  <c r="AC235" i="2" a="1"/>
  <c r="AC235" i="2"/>
  <c r="AB235" i="2" a="1"/>
  <c r="AB235" i="2"/>
  <c r="AA235" i="2" a="1"/>
  <c r="AA235" i="2"/>
  <c r="Z235" i="2" a="1"/>
  <c r="Z235" i="2"/>
  <c r="Y235" i="2" a="1"/>
  <c r="Y235" i="2"/>
  <c r="X235" i="2" a="1"/>
  <c r="X235" i="2"/>
  <c r="W235" i="2" a="1"/>
  <c r="W235" i="2"/>
  <c r="T235" i="2"/>
  <c r="AH234" i="2" a="1"/>
  <c r="AH234" i="2"/>
  <c r="AG234" i="2" a="1"/>
  <c r="AG234" i="2"/>
  <c r="AF234" i="2" a="1"/>
  <c r="AF234" i="2"/>
  <c r="AE234" i="2" a="1"/>
  <c r="AE234" i="2"/>
  <c r="AD234" i="2" a="1"/>
  <c r="AD234" i="2"/>
  <c r="AC234" i="2" a="1"/>
  <c r="AC234" i="2"/>
  <c r="AB234" i="2" a="1"/>
  <c r="AB234" i="2"/>
  <c r="AA234" i="2" a="1"/>
  <c r="AA234" i="2"/>
  <c r="Z234" i="2" a="1"/>
  <c r="Z234" i="2"/>
  <c r="Y234" i="2" a="1"/>
  <c r="Y234" i="2"/>
  <c r="X234" i="2" a="1"/>
  <c r="X234" i="2"/>
  <c r="W234" i="2" a="1"/>
  <c r="W234" i="2"/>
  <c r="T234" i="2"/>
  <c r="AH233" i="2" a="1"/>
  <c r="AH233" i="2"/>
  <c r="AG233" i="2" a="1"/>
  <c r="AG233" i="2"/>
  <c r="AF233" i="2" a="1"/>
  <c r="AF233" i="2"/>
  <c r="AE233" i="2" a="1"/>
  <c r="AE233" i="2"/>
  <c r="AD233" i="2" a="1"/>
  <c r="AD233" i="2"/>
  <c r="AC233" i="2" a="1"/>
  <c r="AC233" i="2"/>
  <c r="AB233" i="2" a="1"/>
  <c r="AB233" i="2"/>
  <c r="AA233" i="2" a="1"/>
  <c r="AA233" i="2"/>
  <c r="Z233" i="2" a="1"/>
  <c r="Z233" i="2"/>
  <c r="Y233" i="2" a="1"/>
  <c r="Y233" i="2"/>
  <c r="X233" i="2" a="1"/>
  <c r="X233" i="2"/>
  <c r="W233" i="2" a="1"/>
  <c r="W233" i="2"/>
  <c r="T233" i="2"/>
  <c r="AH232" i="2" a="1"/>
  <c r="AH232" i="2"/>
  <c r="AG232" i="2" a="1"/>
  <c r="AG232" i="2"/>
  <c r="AF232" i="2" a="1"/>
  <c r="AF232" i="2"/>
  <c r="AE232" i="2" a="1"/>
  <c r="AE232" i="2"/>
  <c r="AD232" i="2" a="1"/>
  <c r="AD232" i="2"/>
  <c r="AC232" i="2" a="1"/>
  <c r="AC232" i="2"/>
  <c r="AB232" i="2" a="1"/>
  <c r="AB232" i="2"/>
  <c r="AA232" i="2" a="1"/>
  <c r="AA232" i="2"/>
  <c r="Z232" i="2" a="1"/>
  <c r="Z232" i="2"/>
  <c r="Y232" i="2" a="1"/>
  <c r="Y232" i="2"/>
  <c r="X232" i="2" a="1"/>
  <c r="X232" i="2"/>
  <c r="W232" i="2" a="1"/>
  <c r="W232" i="2"/>
  <c r="T232" i="2"/>
  <c r="AH231" i="2" a="1"/>
  <c r="AH231" i="2"/>
  <c r="AG231" i="2" a="1"/>
  <c r="AG231" i="2"/>
  <c r="AF231" i="2" a="1"/>
  <c r="AF231" i="2"/>
  <c r="AE231" i="2" a="1"/>
  <c r="AE231" i="2"/>
  <c r="AD231" i="2" a="1"/>
  <c r="AD231" i="2"/>
  <c r="AC231" i="2" a="1"/>
  <c r="AC231" i="2"/>
  <c r="AB231" i="2" a="1"/>
  <c r="AB231" i="2"/>
  <c r="AA231" i="2" a="1"/>
  <c r="AA231" i="2"/>
  <c r="Z231" i="2" a="1"/>
  <c r="Z231" i="2"/>
  <c r="Y231" i="2" a="1"/>
  <c r="Y231" i="2"/>
  <c r="X231" i="2" a="1"/>
  <c r="X231" i="2"/>
  <c r="W231" i="2" a="1"/>
  <c r="W231" i="2"/>
  <c r="T231" i="2"/>
  <c r="AH230" i="2" a="1"/>
  <c r="AH230" i="2"/>
  <c r="AG230" i="2" a="1"/>
  <c r="AG230" i="2"/>
  <c r="AF230" i="2" a="1"/>
  <c r="AF230" i="2"/>
  <c r="AE230" i="2" a="1"/>
  <c r="AE230" i="2"/>
  <c r="AD230" i="2" a="1"/>
  <c r="AD230" i="2"/>
  <c r="AC230" i="2" a="1"/>
  <c r="AC230" i="2"/>
  <c r="AB230" i="2" a="1"/>
  <c r="AB230" i="2"/>
  <c r="AA230" i="2" a="1"/>
  <c r="AA230" i="2"/>
  <c r="Z230" i="2" a="1"/>
  <c r="Z230" i="2"/>
  <c r="Y230" i="2" a="1"/>
  <c r="Y230" i="2"/>
  <c r="X230" i="2" a="1"/>
  <c r="X230" i="2"/>
  <c r="W230" i="2" a="1"/>
  <c r="W230" i="2"/>
  <c r="T230" i="2"/>
  <c r="AH229" i="2" a="1"/>
  <c r="AH229" i="2"/>
  <c r="AG229" i="2" a="1"/>
  <c r="AG229" i="2"/>
  <c r="AF229" i="2" a="1"/>
  <c r="AF229" i="2"/>
  <c r="AE229" i="2" a="1"/>
  <c r="AE229" i="2"/>
  <c r="AD229" i="2" a="1"/>
  <c r="AD229" i="2"/>
  <c r="AC229" i="2" a="1"/>
  <c r="AC229" i="2"/>
  <c r="AB229" i="2" a="1"/>
  <c r="AB229" i="2"/>
  <c r="AA229" i="2" a="1"/>
  <c r="AA229" i="2"/>
  <c r="Z229" i="2" a="1"/>
  <c r="Z229" i="2"/>
  <c r="Y229" i="2" a="1"/>
  <c r="Y229" i="2"/>
  <c r="X229" i="2" a="1"/>
  <c r="X229" i="2"/>
  <c r="W229" i="2" a="1"/>
  <c r="W229" i="2"/>
  <c r="T229" i="2"/>
  <c r="AH228" i="2" a="1"/>
  <c r="AH228" i="2"/>
  <c r="AG228" i="2" a="1"/>
  <c r="AG228" i="2"/>
  <c r="AF228" i="2" a="1"/>
  <c r="AF228" i="2"/>
  <c r="AE228" i="2" a="1"/>
  <c r="AE228" i="2"/>
  <c r="AD228" i="2" a="1"/>
  <c r="AD228" i="2"/>
  <c r="AC228" i="2" a="1"/>
  <c r="AC228" i="2"/>
  <c r="AB228" i="2" a="1"/>
  <c r="AB228" i="2"/>
  <c r="AA228" i="2" a="1"/>
  <c r="AA228" i="2"/>
  <c r="Z228" i="2" a="1"/>
  <c r="Z228" i="2"/>
  <c r="Y228" i="2" a="1"/>
  <c r="Y228" i="2"/>
  <c r="X228" i="2" a="1"/>
  <c r="X228" i="2"/>
  <c r="W228" i="2" a="1"/>
  <c r="W228" i="2"/>
  <c r="T228" i="2"/>
  <c r="AH227" i="2" a="1"/>
  <c r="AH227" i="2"/>
  <c r="AG227" i="2" a="1"/>
  <c r="AG227" i="2"/>
  <c r="AF227" i="2" a="1"/>
  <c r="AF227" i="2"/>
  <c r="AE227" i="2" a="1"/>
  <c r="AE227" i="2"/>
  <c r="AD227" i="2" a="1"/>
  <c r="AD227" i="2"/>
  <c r="AC227" i="2" a="1"/>
  <c r="AC227" i="2"/>
  <c r="AB227" i="2" a="1"/>
  <c r="AB227" i="2"/>
  <c r="AA227" i="2" a="1"/>
  <c r="AA227" i="2"/>
  <c r="Z227" i="2" a="1"/>
  <c r="Z227" i="2"/>
  <c r="Y227" i="2" a="1"/>
  <c r="Y227" i="2"/>
  <c r="X227" i="2" a="1"/>
  <c r="X227" i="2"/>
  <c r="W227" i="2" a="1"/>
  <c r="W227" i="2"/>
  <c r="T227" i="2"/>
  <c r="AH226" i="2" a="1"/>
  <c r="AH226" i="2"/>
  <c r="AG226" i="2" a="1"/>
  <c r="AG226" i="2"/>
  <c r="AF226" i="2" a="1"/>
  <c r="AF226" i="2"/>
  <c r="AE226" i="2" a="1"/>
  <c r="AE226" i="2"/>
  <c r="AD226" i="2" a="1"/>
  <c r="AD226" i="2"/>
  <c r="AC226" i="2" a="1"/>
  <c r="AC226" i="2"/>
  <c r="AB226" i="2" a="1"/>
  <c r="AB226" i="2"/>
  <c r="AA226" i="2" a="1"/>
  <c r="AA226" i="2"/>
  <c r="Z226" i="2" a="1"/>
  <c r="Z226" i="2"/>
  <c r="Y226" i="2" a="1"/>
  <c r="Y226" i="2"/>
  <c r="X226" i="2" a="1"/>
  <c r="X226" i="2"/>
  <c r="W226" i="2" a="1"/>
  <c r="W226" i="2"/>
  <c r="T226" i="2"/>
  <c r="AH225" i="2" a="1"/>
  <c r="AH225" i="2"/>
  <c r="AG225" i="2" a="1"/>
  <c r="AG225" i="2"/>
  <c r="AF225" i="2" a="1"/>
  <c r="AF225" i="2"/>
  <c r="AE225" i="2" a="1"/>
  <c r="AE225" i="2"/>
  <c r="AD225" i="2" a="1"/>
  <c r="AD225" i="2"/>
  <c r="AC225" i="2" a="1"/>
  <c r="AC225" i="2"/>
  <c r="AB225" i="2" a="1"/>
  <c r="AB225" i="2"/>
  <c r="AA225" i="2" a="1"/>
  <c r="AA225" i="2"/>
  <c r="Z225" i="2" a="1"/>
  <c r="Z225" i="2"/>
  <c r="Y225" i="2" a="1"/>
  <c r="Y225" i="2"/>
  <c r="X225" i="2" a="1"/>
  <c r="X225" i="2"/>
  <c r="W225" i="2" a="1"/>
  <c r="W225" i="2"/>
  <c r="T225" i="2"/>
  <c r="AH224" i="2" a="1"/>
  <c r="AH224" i="2"/>
  <c r="AG224" i="2" a="1"/>
  <c r="AG224" i="2"/>
  <c r="AF224" i="2" a="1"/>
  <c r="AF224" i="2"/>
  <c r="AE224" i="2" a="1"/>
  <c r="AE224" i="2"/>
  <c r="AD224" i="2" a="1"/>
  <c r="AD224" i="2"/>
  <c r="AC224" i="2" a="1"/>
  <c r="AC224" i="2"/>
  <c r="AB224" i="2" a="1"/>
  <c r="AB224" i="2"/>
  <c r="AA224" i="2" a="1"/>
  <c r="AA224" i="2"/>
  <c r="Z224" i="2" a="1"/>
  <c r="Z224" i="2"/>
  <c r="Y224" i="2" a="1"/>
  <c r="Y224" i="2"/>
  <c r="X224" i="2" a="1"/>
  <c r="X224" i="2"/>
  <c r="W224" i="2" a="1"/>
  <c r="W224" i="2"/>
  <c r="T224" i="2"/>
  <c r="AH223" i="2" a="1"/>
  <c r="AH223" i="2"/>
  <c r="AG223" i="2" a="1"/>
  <c r="AG223" i="2"/>
  <c r="AF223" i="2" a="1"/>
  <c r="AF223" i="2"/>
  <c r="AE223" i="2" a="1"/>
  <c r="AE223" i="2"/>
  <c r="AD223" i="2" a="1"/>
  <c r="AD223" i="2"/>
  <c r="AC223" i="2" a="1"/>
  <c r="AC223" i="2"/>
  <c r="AB223" i="2" a="1"/>
  <c r="AB223" i="2"/>
  <c r="AA223" i="2" a="1"/>
  <c r="AA223" i="2"/>
  <c r="Z223" i="2" a="1"/>
  <c r="Z223" i="2"/>
  <c r="Y223" i="2" a="1"/>
  <c r="Y223" i="2"/>
  <c r="X223" i="2" a="1"/>
  <c r="X223" i="2"/>
  <c r="W223" i="2" a="1"/>
  <c r="W223" i="2"/>
  <c r="T223" i="2"/>
  <c r="AH222" i="2" a="1"/>
  <c r="AH222" i="2"/>
  <c r="AG222" i="2" a="1"/>
  <c r="AG222" i="2"/>
  <c r="AF222" i="2" a="1"/>
  <c r="AF222" i="2"/>
  <c r="AE222" i="2" a="1"/>
  <c r="AE222" i="2"/>
  <c r="AD222" i="2" a="1"/>
  <c r="AD222" i="2"/>
  <c r="AC222" i="2" a="1"/>
  <c r="AC222" i="2"/>
  <c r="AB222" i="2" a="1"/>
  <c r="AB222" i="2"/>
  <c r="AA222" i="2" a="1"/>
  <c r="AA222" i="2"/>
  <c r="Z222" i="2" a="1"/>
  <c r="Z222" i="2"/>
  <c r="Y222" i="2" a="1"/>
  <c r="Y222" i="2"/>
  <c r="X222" i="2" a="1"/>
  <c r="X222" i="2"/>
  <c r="W222" i="2" a="1"/>
  <c r="W222" i="2"/>
  <c r="T222" i="2"/>
  <c r="AH221" i="2" a="1"/>
  <c r="AH221" i="2"/>
  <c r="AG221" i="2" a="1"/>
  <c r="AG221" i="2"/>
  <c r="AF221" i="2" a="1"/>
  <c r="AF221" i="2"/>
  <c r="AE221" i="2" a="1"/>
  <c r="AE221" i="2"/>
  <c r="AD221" i="2" a="1"/>
  <c r="AD221" i="2"/>
  <c r="AC221" i="2" a="1"/>
  <c r="AC221" i="2"/>
  <c r="AB221" i="2" a="1"/>
  <c r="AB221" i="2"/>
  <c r="AA221" i="2" a="1"/>
  <c r="AA221" i="2"/>
  <c r="Z221" i="2" a="1"/>
  <c r="Z221" i="2"/>
  <c r="Y221" i="2" a="1"/>
  <c r="Y221" i="2"/>
  <c r="X221" i="2" a="1"/>
  <c r="X221" i="2"/>
  <c r="W221" i="2" a="1"/>
  <c r="W221" i="2"/>
  <c r="T221" i="2"/>
  <c r="AH220" i="2" a="1"/>
  <c r="AH220" i="2"/>
  <c r="AG220" i="2" a="1"/>
  <c r="AG220" i="2"/>
  <c r="AF220" i="2" a="1"/>
  <c r="AF220" i="2"/>
  <c r="AE220" i="2" a="1"/>
  <c r="AE220" i="2"/>
  <c r="AD220" i="2" a="1"/>
  <c r="AD220" i="2"/>
  <c r="AC220" i="2" a="1"/>
  <c r="AC220" i="2"/>
  <c r="AB220" i="2" a="1"/>
  <c r="AB220" i="2"/>
  <c r="AA220" i="2" a="1"/>
  <c r="AA220" i="2"/>
  <c r="Z220" i="2" a="1"/>
  <c r="Z220" i="2"/>
  <c r="Y220" i="2" a="1"/>
  <c r="Y220" i="2"/>
  <c r="X220" i="2" a="1"/>
  <c r="X220" i="2"/>
  <c r="W220" i="2" a="1"/>
  <c r="W220" i="2"/>
  <c r="T220" i="2"/>
  <c r="AH219" i="2" a="1"/>
  <c r="AH219" i="2"/>
  <c r="AG219" i="2" a="1"/>
  <c r="AG219" i="2"/>
  <c r="AF219" i="2" a="1"/>
  <c r="AF219" i="2"/>
  <c r="AE219" i="2" a="1"/>
  <c r="AE219" i="2"/>
  <c r="AD219" i="2" a="1"/>
  <c r="AD219" i="2"/>
  <c r="AC219" i="2" a="1"/>
  <c r="AC219" i="2"/>
  <c r="AB219" i="2" a="1"/>
  <c r="AB219" i="2"/>
  <c r="AA219" i="2" a="1"/>
  <c r="AA219" i="2"/>
  <c r="Z219" i="2" a="1"/>
  <c r="Z219" i="2"/>
  <c r="Y219" i="2" a="1"/>
  <c r="Y219" i="2"/>
  <c r="X219" i="2" a="1"/>
  <c r="X219" i="2"/>
  <c r="W219" i="2" a="1"/>
  <c r="W219" i="2"/>
  <c r="T219" i="2"/>
  <c r="AH218" i="2" a="1"/>
  <c r="AH218" i="2"/>
  <c r="AG218" i="2" a="1"/>
  <c r="AG218" i="2"/>
  <c r="AF218" i="2" a="1"/>
  <c r="AF218" i="2"/>
  <c r="AE218" i="2" a="1"/>
  <c r="AE218" i="2"/>
  <c r="AD218" i="2" a="1"/>
  <c r="AD218" i="2"/>
  <c r="AC218" i="2" a="1"/>
  <c r="AC218" i="2"/>
  <c r="AB218" i="2" a="1"/>
  <c r="AB218" i="2"/>
  <c r="AA218" i="2" a="1"/>
  <c r="AA218" i="2"/>
  <c r="Z218" i="2" a="1"/>
  <c r="Z218" i="2"/>
  <c r="Y218" i="2" a="1"/>
  <c r="Y218" i="2"/>
  <c r="X218" i="2" a="1"/>
  <c r="X218" i="2"/>
  <c r="W218" i="2" a="1"/>
  <c r="W218" i="2"/>
  <c r="T218" i="2"/>
  <c r="AH217" i="2" a="1"/>
  <c r="AH217" i="2"/>
  <c r="AG217" i="2" a="1"/>
  <c r="AG217" i="2"/>
  <c r="AF217" i="2" a="1"/>
  <c r="AF217" i="2"/>
  <c r="AE217" i="2" a="1"/>
  <c r="AE217" i="2"/>
  <c r="AD217" i="2" a="1"/>
  <c r="AD217" i="2"/>
  <c r="AC217" i="2" a="1"/>
  <c r="AC217" i="2"/>
  <c r="AB217" i="2" a="1"/>
  <c r="AB217" i="2"/>
  <c r="AA217" i="2" a="1"/>
  <c r="AA217" i="2"/>
  <c r="Z217" i="2" a="1"/>
  <c r="Z217" i="2"/>
  <c r="Y217" i="2" a="1"/>
  <c r="Y217" i="2"/>
  <c r="X217" i="2" a="1"/>
  <c r="X217" i="2"/>
  <c r="W217" i="2" a="1"/>
  <c r="W217" i="2"/>
  <c r="T217" i="2"/>
  <c r="AH216" i="2" a="1"/>
  <c r="AH216" i="2"/>
  <c r="AG216" i="2" a="1"/>
  <c r="AG216" i="2"/>
  <c r="AF216" i="2" a="1"/>
  <c r="AF216" i="2"/>
  <c r="AE216" i="2" a="1"/>
  <c r="AE216" i="2"/>
  <c r="AD216" i="2" a="1"/>
  <c r="AD216" i="2"/>
  <c r="AC216" i="2" a="1"/>
  <c r="AC216" i="2"/>
  <c r="AB216" i="2" a="1"/>
  <c r="AB216" i="2"/>
  <c r="AA216" i="2" a="1"/>
  <c r="AA216" i="2"/>
  <c r="Z216" i="2" a="1"/>
  <c r="Z216" i="2"/>
  <c r="Y216" i="2" a="1"/>
  <c r="Y216" i="2"/>
  <c r="X216" i="2" a="1"/>
  <c r="X216" i="2"/>
  <c r="W216" i="2" a="1"/>
  <c r="W216" i="2"/>
  <c r="T216" i="2"/>
  <c r="AH215" i="2" a="1"/>
  <c r="AH215" i="2"/>
  <c r="AG215" i="2" a="1"/>
  <c r="AG215" i="2"/>
  <c r="AF215" i="2" a="1"/>
  <c r="AF215" i="2"/>
  <c r="AE215" i="2" a="1"/>
  <c r="AE215" i="2"/>
  <c r="AD215" i="2" a="1"/>
  <c r="AD215" i="2"/>
  <c r="AC215" i="2" a="1"/>
  <c r="AC215" i="2"/>
  <c r="AB215" i="2" a="1"/>
  <c r="AB215" i="2"/>
  <c r="AA215" i="2" a="1"/>
  <c r="AA215" i="2"/>
  <c r="Z215" i="2" a="1"/>
  <c r="Z215" i="2"/>
  <c r="Y215" i="2" a="1"/>
  <c r="Y215" i="2"/>
  <c r="X215" i="2" a="1"/>
  <c r="X215" i="2"/>
  <c r="W215" i="2" a="1"/>
  <c r="W215" i="2"/>
  <c r="T215" i="2"/>
  <c r="AH214" i="2" a="1"/>
  <c r="AH214" i="2"/>
  <c r="AG214" i="2" a="1"/>
  <c r="AG214" i="2"/>
  <c r="AF214" i="2" a="1"/>
  <c r="AF214" i="2"/>
  <c r="AE214" i="2" a="1"/>
  <c r="AE214" i="2"/>
  <c r="AD214" i="2" a="1"/>
  <c r="AD214" i="2"/>
  <c r="AC214" i="2" a="1"/>
  <c r="AC214" i="2"/>
  <c r="AB214" i="2" a="1"/>
  <c r="AB214" i="2"/>
  <c r="AA214" i="2" a="1"/>
  <c r="AA214" i="2"/>
  <c r="Z214" i="2" a="1"/>
  <c r="Z214" i="2"/>
  <c r="Y214" i="2" a="1"/>
  <c r="Y214" i="2"/>
  <c r="X214" i="2" a="1"/>
  <c r="X214" i="2"/>
  <c r="W214" i="2" a="1"/>
  <c r="W214" i="2"/>
  <c r="T214" i="2"/>
  <c r="AH213" i="2" a="1"/>
  <c r="AH213" i="2"/>
  <c r="AG213" i="2" a="1"/>
  <c r="AG213" i="2"/>
  <c r="AF213" i="2" a="1"/>
  <c r="AF213" i="2"/>
  <c r="AE213" i="2" a="1"/>
  <c r="AE213" i="2"/>
  <c r="AD213" i="2" a="1"/>
  <c r="AD213" i="2"/>
  <c r="AC213" i="2" a="1"/>
  <c r="AC213" i="2"/>
  <c r="AB213" i="2" a="1"/>
  <c r="AB213" i="2"/>
  <c r="AA213" i="2" a="1"/>
  <c r="AA213" i="2"/>
  <c r="Z213" i="2" a="1"/>
  <c r="Z213" i="2"/>
  <c r="Y213" i="2" a="1"/>
  <c r="Y213" i="2"/>
  <c r="X213" i="2" a="1"/>
  <c r="X213" i="2"/>
  <c r="W213" i="2" a="1"/>
  <c r="W213" i="2"/>
  <c r="T213" i="2"/>
  <c r="AH212" i="2" a="1"/>
  <c r="AH212" i="2"/>
  <c r="AG212" i="2" a="1"/>
  <c r="AG212" i="2"/>
  <c r="AF212" i="2" a="1"/>
  <c r="AF212" i="2"/>
  <c r="AE212" i="2" a="1"/>
  <c r="AE212" i="2"/>
  <c r="AD212" i="2" a="1"/>
  <c r="AD212" i="2"/>
  <c r="AC212" i="2" a="1"/>
  <c r="AC212" i="2"/>
  <c r="AB212" i="2" a="1"/>
  <c r="AB212" i="2"/>
  <c r="AA212" i="2" a="1"/>
  <c r="AA212" i="2"/>
  <c r="Z212" i="2" a="1"/>
  <c r="Z212" i="2"/>
  <c r="Y212" i="2" a="1"/>
  <c r="Y212" i="2"/>
  <c r="X212" i="2" a="1"/>
  <c r="X212" i="2"/>
  <c r="W212" i="2" a="1"/>
  <c r="W212" i="2"/>
  <c r="T212" i="2"/>
  <c r="AH211" i="2" a="1"/>
  <c r="AH211" i="2"/>
  <c r="AG211" i="2" a="1"/>
  <c r="AG211" i="2"/>
  <c r="AF211" i="2" a="1"/>
  <c r="AF211" i="2"/>
  <c r="AE211" i="2" a="1"/>
  <c r="AE211" i="2"/>
  <c r="AD211" i="2" a="1"/>
  <c r="AD211" i="2"/>
  <c r="AC211" i="2" a="1"/>
  <c r="AC211" i="2"/>
  <c r="AB211" i="2" a="1"/>
  <c r="AB211" i="2"/>
  <c r="AA211" i="2" a="1"/>
  <c r="AA211" i="2"/>
  <c r="Z211" i="2" a="1"/>
  <c r="Z211" i="2"/>
  <c r="Y211" i="2" a="1"/>
  <c r="Y211" i="2"/>
  <c r="X211" i="2" a="1"/>
  <c r="X211" i="2"/>
  <c r="W211" i="2" a="1"/>
  <c r="W211" i="2"/>
  <c r="T211" i="2"/>
  <c r="AH210" i="2" a="1"/>
  <c r="AH210" i="2"/>
  <c r="AG210" i="2" a="1"/>
  <c r="AG210" i="2"/>
  <c r="AF210" i="2" a="1"/>
  <c r="AF210" i="2"/>
  <c r="AE210" i="2" a="1"/>
  <c r="AE210" i="2"/>
  <c r="AD210" i="2" a="1"/>
  <c r="AD210" i="2"/>
  <c r="AC210" i="2" a="1"/>
  <c r="AC210" i="2"/>
  <c r="AB210" i="2" a="1"/>
  <c r="AB210" i="2"/>
  <c r="AA210" i="2" a="1"/>
  <c r="AA210" i="2"/>
  <c r="Z210" i="2" a="1"/>
  <c r="Z210" i="2"/>
  <c r="Y210" i="2" a="1"/>
  <c r="Y210" i="2"/>
  <c r="X210" i="2" a="1"/>
  <c r="X210" i="2"/>
  <c r="W210" i="2" a="1"/>
  <c r="W210" i="2"/>
  <c r="T210" i="2"/>
  <c r="AH209" i="2" a="1"/>
  <c r="AH209" i="2"/>
  <c r="AG209" i="2" a="1"/>
  <c r="AG209" i="2"/>
  <c r="AF209" i="2" a="1"/>
  <c r="AF209" i="2"/>
  <c r="AE209" i="2" a="1"/>
  <c r="AE209" i="2"/>
  <c r="AD209" i="2" a="1"/>
  <c r="AD209" i="2"/>
  <c r="AC209" i="2" a="1"/>
  <c r="AC209" i="2"/>
  <c r="AB209" i="2" a="1"/>
  <c r="AB209" i="2"/>
  <c r="AA209" i="2" a="1"/>
  <c r="AA209" i="2"/>
  <c r="Z209" i="2" a="1"/>
  <c r="Z209" i="2"/>
  <c r="Y209" i="2" a="1"/>
  <c r="Y209" i="2"/>
  <c r="X209" i="2" a="1"/>
  <c r="X209" i="2"/>
  <c r="W209" i="2" a="1"/>
  <c r="W209" i="2"/>
  <c r="T209" i="2"/>
  <c r="AH208" i="2" a="1"/>
  <c r="AH208" i="2"/>
  <c r="AG208" i="2" a="1"/>
  <c r="AG208" i="2"/>
  <c r="AF208" i="2" a="1"/>
  <c r="AF208" i="2"/>
  <c r="AE208" i="2" a="1"/>
  <c r="AE208" i="2"/>
  <c r="AD208" i="2" a="1"/>
  <c r="AD208" i="2"/>
  <c r="AC208" i="2" a="1"/>
  <c r="AC208" i="2"/>
  <c r="AB208" i="2" a="1"/>
  <c r="AB208" i="2"/>
  <c r="AA208" i="2" a="1"/>
  <c r="AA208" i="2"/>
  <c r="Z208" i="2" a="1"/>
  <c r="Z208" i="2"/>
  <c r="Y208" i="2" a="1"/>
  <c r="Y208" i="2"/>
  <c r="X208" i="2" a="1"/>
  <c r="X208" i="2"/>
  <c r="W208" i="2" a="1"/>
  <c r="W208" i="2"/>
  <c r="T208" i="2"/>
  <c r="AH207" i="2" a="1"/>
  <c r="AH207" i="2"/>
  <c r="AG207" i="2" a="1"/>
  <c r="AG207" i="2"/>
  <c r="AF207" i="2" a="1"/>
  <c r="AF207" i="2"/>
  <c r="AE207" i="2" a="1"/>
  <c r="AE207" i="2"/>
  <c r="AD207" i="2" a="1"/>
  <c r="AD207" i="2"/>
  <c r="AC207" i="2" a="1"/>
  <c r="AC207" i="2"/>
  <c r="AB207" i="2" a="1"/>
  <c r="AB207" i="2"/>
  <c r="AA207" i="2" a="1"/>
  <c r="AA207" i="2"/>
  <c r="Z207" i="2" a="1"/>
  <c r="Z207" i="2"/>
  <c r="Y207" i="2" a="1"/>
  <c r="Y207" i="2"/>
  <c r="X207" i="2" a="1"/>
  <c r="X207" i="2"/>
  <c r="W207" i="2" a="1"/>
  <c r="W207" i="2"/>
  <c r="T207" i="2"/>
  <c r="AH206" i="2" a="1"/>
  <c r="AH206" i="2"/>
  <c r="AG206" i="2" a="1"/>
  <c r="AG206" i="2"/>
  <c r="AF206" i="2" a="1"/>
  <c r="AF206" i="2"/>
  <c r="AE206" i="2" a="1"/>
  <c r="AE206" i="2"/>
  <c r="AD206" i="2" a="1"/>
  <c r="AD206" i="2"/>
  <c r="AC206" i="2" a="1"/>
  <c r="AC206" i="2"/>
  <c r="AB206" i="2" a="1"/>
  <c r="AB206" i="2"/>
  <c r="AA206" i="2" a="1"/>
  <c r="AA206" i="2"/>
  <c r="Z206" i="2" a="1"/>
  <c r="Z206" i="2"/>
  <c r="Y206" i="2" a="1"/>
  <c r="Y206" i="2"/>
  <c r="X206" i="2" a="1"/>
  <c r="X206" i="2"/>
  <c r="W206" i="2" a="1"/>
  <c r="W206" i="2"/>
  <c r="T206" i="2"/>
  <c r="AH205" i="2" a="1"/>
  <c r="AH205" i="2"/>
  <c r="AG205" i="2" a="1"/>
  <c r="AG205" i="2"/>
  <c r="AF205" i="2" a="1"/>
  <c r="AF205" i="2"/>
  <c r="AE205" i="2" a="1"/>
  <c r="AE205" i="2"/>
  <c r="AD205" i="2" a="1"/>
  <c r="AD205" i="2"/>
  <c r="AC205" i="2" a="1"/>
  <c r="AC205" i="2"/>
  <c r="AB205" i="2" a="1"/>
  <c r="AB205" i="2"/>
  <c r="AA205" i="2" a="1"/>
  <c r="AA205" i="2"/>
  <c r="Z205" i="2" a="1"/>
  <c r="Z205" i="2"/>
  <c r="Y205" i="2" a="1"/>
  <c r="Y205" i="2"/>
  <c r="X205" i="2" a="1"/>
  <c r="X205" i="2"/>
  <c r="W205" i="2" a="1"/>
  <c r="W205" i="2"/>
  <c r="T205" i="2"/>
  <c r="AH204" i="2" a="1"/>
  <c r="AH204" i="2"/>
  <c r="AG204" i="2" a="1"/>
  <c r="AG204" i="2"/>
  <c r="AF204" i="2" a="1"/>
  <c r="AF204" i="2"/>
  <c r="AE204" i="2" a="1"/>
  <c r="AE204" i="2"/>
  <c r="AD204" i="2" a="1"/>
  <c r="AD204" i="2"/>
  <c r="AC204" i="2" a="1"/>
  <c r="AC204" i="2"/>
  <c r="AB204" i="2" a="1"/>
  <c r="AB204" i="2"/>
  <c r="AA204" i="2" a="1"/>
  <c r="AA204" i="2"/>
  <c r="Z204" i="2" a="1"/>
  <c r="Z204" i="2"/>
  <c r="Y204" i="2" a="1"/>
  <c r="Y204" i="2"/>
  <c r="X204" i="2" a="1"/>
  <c r="X204" i="2"/>
  <c r="W204" i="2" a="1"/>
  <c r="W204" i="2"/>
  <c r="T204" i="2"/>
  <c r="AH203" i="2" a="1"/>
  <c r="AH203" i="2"/>
  <c r="AG203" i="2" a="1"/>
  <c r="AG203" i="2"/>
  <c r="AF203" i="2" a="1"/>
  <c r="AF203" i="2"/>
  <c r="AE203" i="2" a="1"/>
  <c r="AE203" i="2"/>
  <c r="AD203" i="2" a="1"/>
  <c r="AD203" i="2"/>
  <c r="AC203" i="2" a="1"/>
  <c r="AC203" i="2"/>
  <c r="AB203" i="2" a="1"/>
  <c r="AB203" i="2"/>
  <c r="AA203" i="2" a="1"/>
  <c r="AA203" i="2"/>
  <c r="Z203" i="2" a="1"/>
  <c r="Z203" i="2"/>
  <c r="Y203" i="2" a="1"/>
  <c r="Y203" i="2"/>
  <c r="X203" i="2" a="1"/>
  <c r="X203" i="2"/>
  <c r="W203" i="2" a="1"/>
  <c r="W203" i="2"/>
  <c r="T203" i="2"/>
  <c r="AH202" i="2" a="1"/>
  <c r="AH202" i="2"/>
  <c r="AG202" i="2" a="1"/>
  <c r="AG202" i="2"/>
  <c r="AF202" i="2" a="1"/>
  <c r="AF202" i="2"/>
  <c r="AE202" i="2" a="1"/>
  <c r="AE202" i="2"/>
  <c r="AD202" i="2" a="1"/>
  <c r="AD202" i="2"/>
  <c r="AC202" i="2" a="1"/>
  <c r="AC202" i="2"/>
  <c r="AB202" i="2" a="1"/>
  <c r="AB202" i="2"/>
  <c r="AA202" i="2" a="1"/>
  <c r="AA202" i="2"/>
  <c r="Z202" i="2" a="1"/>
  <c r="Z202" i="2"/>
  <c r="Y202" i="2" a="1"/>
  <c r="Y202" i="2"/>
  <c r="X202" i="2" a="1"/>
  <c r="X202" i="2"/>
  <c r="W202" i="2" a="1"/>
  <c r="W202" i="2"/>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c r="W201" i="2" a="1"/>
  <c r="W201" i="2"/>
  <c r="T201" i="2"/>
  <c r="AH200" i="2" a="1"/>
  <c r="AH200" i="2"/>
  <c r="AG200" i="2" a="1"/>
  <c r="AG200" i="2"/>
  <c r="AF200" i="2" a="1"/>
  <c r="AF200" i="2"/>
  <c r="AE200" i="2" a="1"/>
  <c r="AE200" i="2"/>
  <c r="AD200" i="2" a="1"/>
  <c r="AD200" i="2"/>
  <c r="AC200" i="2" a="1"/>
  <c r="AC200" i="2"/>
  <c r="AB200" i="2" a="1"/>
  <c r="AB200" i="2"/>
  <c r="AA200" i="2" a="1"/>
  <c r="AA200" i="2"/>
  <c r="Z200" i="2" a="1"/>
  <c r="Z200" i="2"/>
  <c r="Y200" i="2" a="1"/>
  <c r="Y200" i="2"/>
  <c r="X200" i="2" a="1"/>
  <c r="X200" i="2"/>
  <c r="W200" i="2" a="1"/>
  <c r="W200" i="2"/>
  <c r="T200" i="2"/>
  <c r="AH199" i="2" a="1"/>
  <c r="AH199" i="2"/>
  <c r="AG199" i="2" a="1"/>
  <c r="AG199" i="2"/>
  <c r="AF199" i="2" a="1"/>
  <c r="AF199" i="2"/>
  <c r="AE199" i="2" a="1"/>
  <c r="AE199" i="2"/>
  <c r="AD199" i="2" a="1"/>
  <c r="AD199" i="2"/>
  <c r="AC199" i="2" a="1"/>
  <c r="AC199" i="2"/>
  <c r="AB199" i="2" a="1"/>
  <c r="AB199" i="2"/>
  <c r="AA199" i="2" a="1"/>
  <c r="AA199" i="2"/>
  <c r="Z199" i="2" a="1"/>
  <c r="Z199" i="2"/>
  <c r="Y199" i="2" a="1"/>
  <c r="Y199" i="2"/>
  <c r="X199" i="2" a="1"/>
  <c r="X199" i="2"/>
  <c r="W199" i="2" a="1"/>
  <c r="W199" i="2"/>
  <c r="T199" i="2"/>
  <c r="AH198" i="2" a="1"/>
  <c r="AH198" i="2"/>
  <c r="AG198" i="2" a="1"/>
  <c r="AG198" i="2"/>
  <c r="AF198" i="2" a="1"/>
  <c r="AF198" i="2"/>
  <c r="AE198" i="2" a="1"/>
  <c r="AE198" i="2"/>
  <c r="AD198" i="2" a="1"/>
  <c r="AD198" i="2"/>
  <c r="AC198" i="2" a="1"/>
  <c r="AC198" i="2"/>
  <c r="AB198" i="2" a="1"/>
  <c r="AB198" i="2"/>
  <c r="AA198" i="2" a="1"/>
  <c r="AA198" i="2"/>
  <c r="Z198" i="2" a="1"/>
  <c r="Z198" i="2"/>
  <c r="Y198" i="2" a="1"/>
  <c r="Y198" i="2"/>
  <c r="X198" i="2" a="1"/>
  <c r="X198" i="2"/>
  <c r="W198" i="2" a="1"/>
  <c r="W198" i="2"/>
  <c r="T198" i="2"/>
  <c r="AH197" i="2" a="1"/>
  <c r="AH197" i="2"/>
  <c r="AG197" i="2" a="1"/>
  <c r="AG197" i="2"/>
  <c r="AF197" i="2" a="1"/>
  <c r="AF197" i="2"/>
  <c r="AE197" i="2" a="1"/>
  <c r="AE197" i="2"/>
  <c r="AD197" i="2" a="1"/>
  <c r="AD197" i="2"/>
  <c r="AC197" i="2" a="1"/>
  <c r="AC197" i="2"/>
  <c r="AB197" i="2" a="1"/>
  <c r="AB197" i="2"/>
  <c r="AA197" i="2" a="1"/>
  <c r="AA197" i="2"/>
  <c r="Z197" i="2" a="1"/>
  <c r="Z197" i="2"/>
  <c r="Y197" i="2" a="1"/>
  <c r="Y197" i="2"/>
  <c r="X197" i="2" a="1"/>
  <c r="X197" i="2"/>
  <c r="W197" i="2" a="1"/>
  <c r="W197" i="2"/>
  <c r="T197" i="2"/>
  <c r="AH196" i="2" a="1"/>
  <c r="AH196" i="2"/>
  <c r="AG196" i="2" a="1"/>
  <c r="AG196" i="2"/>
  <c r="AF196" i="2" a="1"/>
  <c r="AF196" i="2"/>
  <c r="AE196" i="2" a="1"/>
  <c r="AE196" i="2"/>
  <c r="AD196" i="2" a="1"/>
  <c r="AD196" i="2"/>
  <c r="AC196" i="2" a="1"/>
  <c r="AC196" i="2"/>
  <c r="AB196" i="2" a="1"/>
  <c r="AB196" i="2"/>
  <c r="AA196" i="2" a="1"/>
  <c r="AA196" i="2"/>
  <c r="Z196" i="2" a="1"/>
  <c r="Z196" i="2"/>
  <c r="Y196" i="2" a="1"/>
  <c r="Y196" i="2"/>
  <c r="X196" i="2" a="1"/>
  <c r="X196" i="2"/>
  <c r="W196" i="2" a="1"/>
  <c r="W196" i="2"/>
  <c r="T196" i="2"/>
  <c r="AH195" i="2" a="1"/>
  <c r="AH195" i="2"/>
  <c r="AG195" i="2" a="1"/>
  <c r="AG195" i="2"/>
  <c r="AF195" i="2" a="1"/>
  <c r="AF195" i="2"/>
  <c r="AE195" i="2" a="1"/>
  <c r="AE195" i="2"/>
  <c r="AD195" i="2" a="1"/>
  <c r="AD195" i="2"/>
  <c r="AC195" i="2" a="1"/>
  <c r="AC195" i="2"/>
  <c r="AB195" i="2" a="1"/>
  <c r="AB195" i="2"/>
  <c r="AA195" i="2" a="1"/>
  <c r="AA195" i="2"/>
  <c r="Z195" i="2" a="1"/>
  <c r="Z195" i="2"/>
  <c r="Y195" i="2" a="1"/>
  <c r="Y195" i="2"/>
  <c r="X195" i="2" a="1"/>
  <c r="X195" i="2"/>
  <c r="W195" i="2" a="1"/>
  <c r="W195" i="2"/>
  <c r="T195" i="2"/>
  <c r="AH194" i="2" a="1"/>
  <c r="AH194" i="2"/>
  <c r="AG194" i="2" a="1"/>
  <c r="AG194" i="2"/>
  <c r="AF194" i="2" a="1"/>
  <c r="AF194" i="2"/>
  <c r="AE194" i="2" a="1"/>
  <c r="AE194" i="2"/>
  <c r="AD194" i="2" a="1"/>
  <c r="AD194" i="2"/>
  <c r="AC194" i="2" a="1"/>
  <c r="AC194" i="2"/>
  <c r="AB194" i="2" a="1"/>
  <c r="AB194" i="2"/>
  <c r="AA194" i="2" a="1"/>
  <c r="AA194" i="2"/>
  <c r="Z194" i="2" a="1"/>
  <c r="Z194" i="2"/>
  <c r="Y194" i="2" a="1"/>
  <c r="Y194" i="2"/>
  <c r="X194" i="2" a="1"/>
  <c r="X194" i="2"/>
  <c r="W194" i="2" a="1"/>
  <c r="W194" i="2"/>
  <c r="T194" i="2"/>
  <c r="AH193" i="2" a="1"/>
  <c r="AH193" i="2"/>
  <c r="AG193" i="2" a="1"/>
  <c r="AG193" i="2"/>
  <c r="AF193" i="2" a="1"/>
  <c r="AF193" i="2"/>
  <c r="AE193" i="2" a="1"/>
  <c r="AE193" i="2"/>
  <c r="AD193" i="2" a="1"/>
  <c r="AD193" i="2"/>
  <c r="AC193" i="2" a="1"/>
  <c r="AC193" i="2"/>
  <c r="AB193" i="2" a="1"/>
  <c r="AB193" i="2"/>
  <c r="AA193" i="2" a="1"/>
  <c r="AA193" i="2"/>
  <c r="Z193" i="2" a="1"/>
  <c r="Z193" i="2"/>
  <c r="Y193" i="2" a="1"/>
  <c r="Y193" i="2"/>
  <c r="X193" i="2" a="1"/>
  <c r="X193" i="2"/>
  <c r="W193" i="2" a="1"/>
  <c r="W193" i="2"/>
  <c r="T193" i="2"/>
  <c r="AH192" i="2" a="1"/>
  <c r="AH192" i="2"/>
  <c r="AG192" i="2" a="1"/>
  <c r="AG192" i="2"/>
  <c r="AF192" i="2" a="1"/>
  <c r="AF192" i="2"/>
  <c r="AE192" i="2" a="1"/>
  <c r="AE192" i="2"/>
  <c r="AD192" i="2" a="1"/>
  <c r="AD192" i="2"/>
  <c r="AC192" i="2" a="1"/>
  <c r="AC192" i="2"/>
  <c r="AB192" i="2" a="1"/>
  <c r="AB192" i="2"/>
  <c r="AA192" i="2" a="1"/>
  <c r="AA192" i="2"/>
  <c r="Z192" i="2" a="1"/>
  <c r="Z192" i="2"/>
  <c r="Y192" i="2" a="1"/>
  <c r="Y192" i="2"/>
  <c r="X192" i="2" a="1"/>
  <c r="X192" i="2"/>
  <c r="W192" i="2" a="1"/>
  <c r="W192" i="2"/>
  <c r="T192" i="2"/>
  <c r="AH191" i="2" a="1"/>
  <c r="AH191" i="2"/>
  <c r="AG191" i="2" a="1"/>
  <c r="AG191" i="2"/>
  <c r="AF191" i="2" a="1"/>
  <c r="AF191" i="2"/>
  <c r="AE191" i="2" a="1"/>
  <c r="AE191" i="2"/>
  <c r="AD191" i="2" a="1"/>
  <c r="AD191" i="2"/>
  <c r="AC191" i="2" a="1"/>
  <c r="AC191" i="2"/>
  <c r="AB191" i="2" a="1"/>
  <c r="AB191" i="2"/>
  <c r="AA191" i="2" a="1"/>
  <c r="AA191" i="2"/>
  <c r="Z191" i="2" a="1"/>
  <c r="Z191" i="2"/>
  <c r="Y191" i="2" a="1"/>
  <c r="Y191" i="2"/>
  <c r="X191" i="2" a="1"/>
  <c r="X191" i="2"/>
  <c r="W191" i="2" a="1"/>
  <c r="W191" i="2"/>
  <c r="T191" i="2"/>
  <c r="AH190" i="2" a="1"/>
  <c r="AH190" i="2"/>
  <c r="AG190" i="2" a="1"/>
  <c r="AG190" i="2"/>
  <c r="AF190" i="2" a="1"/>
  <c r="AF190" i="2"/>
  <c r="AE190" i="2" a="1"/>
  <c r="AE190" i="2"/>
  <c r="AD190" i="2" a="1"/>
  <c r="AD190" i="2"/>
  <c r="AC190" i="2" a="1"/>
  <c r="AC190" i="2"/>
  <c r="AB190" i="2" a="1"/>
  <c r="AB190" i="2"/>
  <c r="AA190" i="2" a="1"/>
  <c r="AA190" i="2"/>
  <c r="Z190" i="2" a="1"/>
  <c r="Z190" i="2"/>
  <c r="Y190" i="2" a="1"/>
  <c r="Y190" i="2"/>
  <c r="X190" i="2" a="1"/>
  <c r="X190" i="2"/>
  <c r="W190" i="2" a="1"/>
  <c r="W190" i="2"/>
  <c r="T190" i="2"/>
  <c r="AH189" i="2" a="1"/>
  <c r="AH189" i="2"/>
  <c r="AG189" i="2" a="1"/>
  <c r="AG189" i="2"/>
  <c r="AF189" i="2" a="1"/>
  <c r="AF189" i="2"/>
  <c r="AE189" i="2" a="1"/>
  <c r="AE189" i="2"/>
  <c r="AD189" i="2" a="1"/>
  <c r="AD189" i="2"/>
  <c r="AC189" i="2" a="1"/>
  <c r="AC189" i="2"/>
  <c r="AB189" i="2" a="1"/>
  <c r="AB189" i="2"/>
  <c r="AA189" i="2" a="1"/>
  <c r="AA189" i="2"/>
  <c r="Z189" i="2" a="1"/>
  <c r="Z189" i="2"/>
  <c r="Y189" i="2" a="1"/>
  <c r="Y189" i="2"/>
  <c r="X189" i="2" a="1"/>
  <c r="X189" i="2"/>
  <c r="W189" i="2" a="1"/>
  <c r="W189" i="2"/>
  <c r="T189" i="2"/>
  <c r="AH188" i="2" a="1"/>
  <c r="AH188" i="2"/>
  <c r="AG188" i="2" a="1"/>
  <c r="AG188" i="2"/>
  <c r="AF188" i="2" a="1"/>
  <c r="AF188" i="2"/>
  <c r="AE188" i="2" a="1"/>
  <c r="AE188" i="2"/>
  <c r="AD188" i="2" a="1"/>
  <c r="AD188" i="2"/>
  <c r="AC188" i="2" a="1"/>
  <c r="AC188" i="2"/>
  <c r="AB188" i="2" a="1"/>
  <c r="AB188" i="2"/>
  <c r="AA188" i="2" a="1"/>
  <c r="AA188" i="2"/>
  <c r="Z188" i="2" a="1"/>
  <c r="Z188" i="2"/>
  <c r="Y188" i="2" a="1"/>
  <c r="Y188" i="2"/>
  <c r="X188" i="2" a="1"/>
  <c r="X188" i="2"/>
  <c r="W188" i="2" a="1"/>
  <c r="W188" i="2"/>
  <c r="T188" i="2"/>
  <c r="AH187" i="2" a="1"/>
  <c r="AH187" i="2"/>
  <c r="AG187" i="2" a="1"/>
  <c r="AG187" i="2"/>
  <c r="AF187" i="2" a="1"/>
  <c r="AF187" i="2"/>
  <c r="AE187" i="2" a="1"/>
  <c r="AE187" i="2"/>
  <c r="AD187" i="2" a="1"/>
  <c r="AD187" i="2"/>
  <c r="AC187" i="2" a="1"/>
  <c r="AC187" i="2"/>
  <c r="AB187" i="2" a="1"/>
  <c r="AB187" i="2"/>
  <c r="AA187" i="2" a="1"/>
  <c r="AA187" i="2"/>
  <c r="Z187" i="2" a="1"/>
  <c r="Z187" i="2"/>
  <c r="Y187" i="2" a="1"/>
  <c r="Y187" i="2"/>
  <c r="X187" i="2" a="1"/>
  <c r="X187" i="2"/>
  <c r="W187" i="2" a="1"/>
  <c r="W187" i="2"/>
  <c r="T187" i="2"/>
  <c r="AH186" i="2" a="1"/>
  <c r="AH186" i="2"/>
  <c r="AG186" i="2" a="1"/>
  <c r="AG186" i="2"/>
  <c r="AF186" i="2" a="1"/>
  <c r="AF186" i="2"/>
  <c r="AE186" i="2" a="1"/>
  <c r="AE186" i="2"/>
  <c r="AD186" i="2" a="1"/>
  <c r="AD186" i="2"/>
  <c r="AC186" i="2" a="1"/>
  <c r="AC186" i="2"/>
  <c r="AB186" i="2" a="1"/>
  <c r="AB186" i="2"/>
  <c r="AA186" i="2" a="1"/>
  <c r="AA186" i="2"/>
  <c r="Z186" i="2" a="1"/>
  <c r="Z186" i="2"/>
  <c r="Y186" i="2" a="1"/>
  <c r="Y186" i="2"/>
  <c r="X186" i="2" a="1"/>
  <c r="X186" i="2"/>
  <c r="W186" i="2" a="1"/>
  <c r="W186" i="2"/>
  <c r="T186" i="2"/>
  <c r="AH185" i="2" a="1"/>
  <c r="AH185" i="2"/>
  <c r="AG185" i="2" a="1"/>
  <c r="AG185" i="2"/>
  <c r="AF185" i="2" a="1"/>
  <c r="AF185" i="2"/>
  <c r="AE185" i="2" a="1"/>
  <c r="AE185" i="2"/>
  <c r="AD185" i="2" a="1"/>
  <c r="AD185" i="2"/>
  <c r="AC185" i="2" a="1"/>
  <c r="AC185" i="2"/>
  <c r="AB185" i="2" a="1"/>
  <c r="AB185" i="2"/>
  <c r="AA185" i="2" a="1"/>
  <c r="AA185" i="2"/>
  <c r="Z185" i="2" a="1"/>
  <c r="Z185" i="2"/>
  <c r="Y185" i="2" a="1"/>
  <c r="Y185" i="2"/>
  <c r="X185" i="2" a="1"/>
  <c r="X185" i="2"/>
  <c r="W185" i="2" a="1"/>
  <c r="W185" i="2"/>
  <c r="T185" i="2"/>
  <c r="AH184" i="2" a="1"/>
  <c r="AH184" i="2"/>
  <c r="AG184" i="2" a="1"/>
  <c r="AG184" i="2"/>
  <c r="AF184" i="2" a="1"/>
  <c r="AF184" i="2"/>
  <c r="AE184" i="2" a="1"/>
  <c r="AE184" i="2"/>
  <c r="AD184" i="2" a="1"/>
  <c r="AD184" i="2"/>
  <c r="AC184" i="2" a="1"/>
  <c r="AC184" i="2"/>
  <c r="AB184" i="2" a="1"/>
  <c r="AB184" i="2"/>
  <c r="AA184" i="2" a="1"/>
  <c r="AA184" i="2"/>
  <c r="Z184" i="2" a="1"/>
  <c r="Z184" i="2"/>
  <c r="Y184" i="2" a="1"/>
  <c r="Y184" i="2"/>
  <c r="X184" i="2" a="1"/>
  <c r="X184" i="2"/>
  <c r="W184" i="2" a="1"/>
  <c r="W184" i="2"/>
  <c r="T184" i="2"/>
  <c r="AH183" i="2" a="1"/>
  <c r="AH183" i="2"/>
  <c r="AG183" i="2" a="1"/>
  <c r="AG183" i="2"/>
  <c r="AF183" i="2" a="1"/>
  <c r="AF183" i="2"/>
  <c r="AE183" i="2" a="1"/>
  <c r="AE183" i="2"/>
  <c r="AD183" i="2" a="1"/>
  <c r="AD183" i="2"/>
  <c r="AC183" i="2" a="1"/>
  <c r="AC183" i="2"/>
  <c r="AB183" i="2" a="1"/>
  <c r="AB183" i="2"/>
  <c r="AA183" i="2" a="1"/>
  <c r="AA183" i="2"/>
  <c r="Z183" i="2" a="1"/>
  <c r="Z183" i="2"/>
  <c r="Y183" i="2" a="1"/>
  <c r="Y183" i="2"/>
  <c r="X183" i="2" a="1"/>
  <c r="X183" i="2"/>
  <c r="W183" i="2" a="1"/>
  <c r="W183" i="2"/>
  <c r="T183" i="2"/>
  <c r="AH182" i="2" a="1"/>
  <c r="AH182" i="2"/>
  <c r="AG182" i="2" a="1"/>
  <c r="AG182" i="2"/>
  <c r="AF182" i="2" a="1"/>
  <c r="AF182" i="2"/>
  <c r="AE182" i="2" a="1"/>
  <c r="AE182" i="2"/>
  <c r="AD182" i="2" a="1"/>
  <c r="AD182" i="2"/>
  <c r="AC182" i="2" a="1"/>
  <c r="AC182" i="2"/>
  <c r="AB182" i="2" a="1"/>
  <c r="AB182" i="2"/>
  <c r="AA182" i="2" a="1"/>
  <c r="AA182" i="2"/>
  <c r="Z182" i="2" a="1"/>
  <c r="Z182" i="2"/>
  <c r="Y182" i="2" a="1"/>
  <c r="Y182" i="2"/>
  <c r="X182" i="2" a="1"/>
  <c r="X182" i="2"/>
  <c r="W182" i="2" a="1"/>
  <c r="W182" i="2"/>
  <c r="T182" i="2"/>
  <c r="AH181" i="2" a="1"/>
  <c r="AH181" i="2"/>
  <c r="AG181" i="2" a="1"/>
  <c r="AG181" i="2"/>
  <c r="AF181" i="2" a="1"/>
  <c r="AF181" i="2"/>
  <c r="AE181" i="2" a="1"/>
  <c r="AE181" i="2"/>
  <c r="AD181" i="2" a="1"/>
  <c r="AD181" i="2"/>
  <c r="AC181" i="2" a="1"/>
  <c r="AC181" i="2"/>
  <c r="AB181" i="2" a="1"/>
  <c r="AB181" i="2"/>
  <c r="AA181" i="2" a="1"/>
  <c r="AA181" i="2"/>
  <c r="Z181" i="2" a="1"/>
  <c r="Z181" i="2"/>
  <c r="Y181" i="2" a="1"/>
  <c r="Y181" i="2"/>
  <c r="X181" i="2" a="1"/>
  <c r="X181" i="2"/>
  <c r="W181" i="2" a="1"/>
  <c r="W181" i="2"/>
  <c r="T181" i="2"/>
  <c r="AH180" i="2" a="1"/>
  <c r="AH180" i="2"/>
  <c r="AG180" i="2" a="1"/>
  <c r="AG180" i="2"/>
  <c r="AF180" i="2" a="1"/>
  <c r="AF180" i="2"/>
  <c r="AE180" i="2" a="1"/>
  <c r="AE180" i="2"/>
  <c r="AD180" i="2" a="1"/>
  <c r="AD180" i="2"/>
  <c r="AC180" i="2" a="1"/>
  <c r="AC180" i="2"/>
  <c r="AB180" i="2" a="1"/>
  <c r="AB180" i="2"/>
  <c r="AA180" i="2" a="1"/>
  <c r="AA180" i="2"/>
  <c r="Z180" i="2" a="1"/>
  <c r="Z180" i="2"/>
  <c r="Y180" i="2" a="1"/>
  <c r="Y180" i="2"/>
  <c r="X180" i="2" a="1"/>
  <c r="X180" i="2"/>
  <c r="W180" i="2" a="1"/>
  <c r="W180" i="2"/>
  <c r="T180" i="2"/>
  <c r="AH179" i="2" a="1"/>
  <c r="AH179" i="2"/>
  <c r="AG179" i="2" a="1"/>
  <c r="AG179" i="2"/>
  <c r="AF179" i="2" a="1"/>
  <c r="AF179" i="2"/>
  <c r="AE179" i="2" a="1"/>
  <c r="AE179" i="2"/>
  <c r="AD179" i="2" a="1"/>
  <c r="AD179" i="2"/>
  <c r="AC179" i="2" a="1"/>
  <c r="AC179" i="2"/>
  <c r="AB179" i="2" a="1"/>
  <c r="AB179" i="2"/>
  <c r="AA179" i="2" a="1"/>
  <c r="AA179" i="2"/>
  <c r="Z179" i="2" a="1"/>
  <c r="Z179" i="2"/>
  <c r="Y179" i="2" a="1"/>
  <c r="Y179" i="2"/>
  <c r="X179" i="2" a="1"/>
  <c r="X179" i="2"/>
  <c r="W179" i="2" a="1"/>
  <c r="W179" i="2"/>
  <c r="T179" i="2"/>
  <c r="AH178" i="2" a="1"/>
  <c r="AH178" i="2"/>
  <c r="AG178" i="2" a="1"/>
  <c r="AG178" i="2"/>
  <c r="AF178" i="2" a="1"/>
  <c r="AF178" i="2"/>
  <c r="AE178" i="2" a="1"/>
  <c r="AE178" i="2"/>
  <c r="AD178" i="2" a="1"/>
  <c r="AD178" i="2"/>
  <c r="AC178" i="2" a="1"/>
  <c r="AC178" i="2"/>
  <c r="AB178" i="2" a="1"/>
  <c r="AB178" i="2"/>
  <c r="AA178" i="2" a="1"/>
  <c r="AA178" i="2"/>
  <c r="Z178" i="2" a="1"/>
  <c r="Z178" i="2"/>
  <c r="Y178" i="2" a="1"/>
  <c r="Y178" i="2"/>
  <c r="X178" i="2" a="1"/>
  <c r="X178" i="2"/>
  <c r="W178" i="2" a="1"/>
  <c r="W178" i="2"/>
  <c r="T178" i="2"/>
  <c r="AH177" i="2" a="1"/>
  <c r="AH177" i="2"/>
  <c r="AG177" i="2" a="1"/>
  <c r="AG177" i="2"/>
  <c r="AF177" i="2" a="1"/>
  <c r="AF177" i="2"/>
  <c r="AE177" i="2" a="1"/>
  <c r="AE177" i="2"/>
  <c r="AD177" i="2" a="1"/>
  <c r="AD177" i="2"/>
  <c r="AC177" i="2" a="1"/>
  <c r="AC177" i="2"/>
  <c r="AB177" i="2" a="1"/>
  <c r="AB177" i="2"/>
  <c r="AA177" i="2" a="1"/>
  <c r="AA177" i="2"/>
  <c r="Z177" i="2" a="1"/>
  <c r="Z177" i="2"/>
  <c r="Y177" i="2" a="1"/>
  <c r="Y177" i="2"/>
  <c r="X177" i="2" a="1"/>
  <c r="X177" i="2"/>
  <c r="W177" i="2" a="1"/>
  <c r="W177" i="2"/>
  <c r="T177" i="2"/>
  <c r="AH176" i="2" a="1"/>
  <c r="AH176" i="2"/>
  <c r="AG176" i="2" a="1"/>
  <c r="AG176" i="2"/>
  <c r="AF176" i="2" a="1"/>
  <c r="AF176" i="2"/>
  <c r="AE176" i="2" a="1"/>
  <c r="AE176" i="2"/>
  <c r="AD176" i="2" a="1"/>
  <c r="AD176" i="2"/>
  <c r="AC176" i="2" a="1"/>
  <c r="AC176" i="2"/>
  <c r="AB176" i="2" a="1"/>
  <c r="AB176" i="2"/>
  <c r="AA176" i="2" a="1"/>
  <c r="AA176" i="2"/>
  <c r="Z176" i="2" a="1"/>
  <c r="Z176" i="2"/>
  <c r="Y176" i="2" a="1"/>
  <c r="Y176" i="2"/>
  <c r="X176" i="2" a="1"/>
  <c r="X176" i="2"/>
  <c r="W176" i="2" a="1"/>
  <c r="W176" i="2"/>
  <c r="T176" i="2"/>
  <c r="AH175" i="2" a="1"/>
  <c r="AH175" i="2"/>
  <c r="AG175" i="2" a="1"/>
  <c r="AG175" i="2"/>
  <c r="AF175" i="2" a="1"/>
  <c r="AF175" i="2"/>
  <c r="AE175" i="2" a="1"/>
  <c r="AE175" i="2"/>
  <c r="AD175" i="2" a="1"/>
  <c r="AD175" i="2"/>
  <c r="AC175" i="2" a="1"/>
  <c r="AC175" i="2"/>
  <c r="AB175" i="2" a="1"/>
  <c r="AB175" i="2"/>
  <c r="AA175" i="2" a="1"/>
  <c r="AA175" i="2"/>
  <c r="Z175" i="2" a="1"/>
  <c r="Z175" i="2"/>
  <c r="Y175" i="2" a="1"/>
  <c r="Y175" i="2"/>
  <c r="X175" i="2" a="1"/>
  <c r="X175" i="2"/>
  <c r="W175" i="2" a="1"/>
  <c r="W175" i="2"/>
  <c r="T175" i="2"/>
  <c r="AH174" i="2" a="1"/>
  <c r="AH174" i="2"/>
  <c r="AG174" i="2" a="1"/>
  <c r="AG174" i="2"/>
  <c r="AF174" i="2" a="1"/>
  <c r="AF174" i="2"/>
  <c r="AE174" i="2" a="1"/>
  <c r="AE174" i="2"/>
  <c r="AD174" i="2" a="1"/>
  <c r="AD174" i="2"/>
  <c r="AC174" i="2" a="1"/>
  <c r="AC174" i="2"/>
  <c r="AB174" i="2" a="1"/>
  <c r="AB174" i="2"/>
  <c r="AA174" i="2" a="1"/>
  <c r="AA174" i="2"/>
  <c r="Z174" i="2" a="1"/>
  <c r="Z174" i="2"/>
  <c r="Y174" i="2" a="1"/>
  <c r="Y174" i="2"/>
  <c r="X174" i="2" a="1"/>
  <c r="X174" i="2"/>
  <c r="W174" i="2" a="1"/>
  <c r="W174" i="2"/>
  <c r="T174" i="2"/>
  <c r="AH173" i="2" a="1"/>
  <c r="AH173" i="2"/>
  <c r="AG173" i="2" a="1"/>
  <c r="AG173" i="2"/>
  <c r="AF173" i="2" a="1"/>
  <c r="AF173" i="2"/>
  <c r="AE173" i="2" a="1"/>
  <c r="AE173" i="2"/>
  <c r="AD173" i="2" a="1"/>
  <c r="AD173" i="2"/>
  <c r="AC173" i="2" a="1"/>
  <c r="AC173" i="2"/>
  <c r="AB173" i="2" a="1"/>
  <c r="AB173" i="2"/>
  <c r="AA173" i="2" a="1"/>
  <c r="AA173" i="2"/>
  <c r="Z173" i="2" a="1"/>
  <c r="Z173" i="2"/>
  <c r="Y173" i="2" a="1"/>
  <c r="Y173" i="2"/>
  <c r="X173" i="2" a="1"/>
  <c r="X173" i="2"/>
  <c r="W173" i="2" a="1"/>
  <c r="W173" i="2"/>
  <c r="T173" i="2"/>
  <c r="AH172" i="2" a="1"/>
  <c r="AH172" i="2"/>
  <c r="AG172" i="2" a="1"/>
  <c r="AG172" i="2"/>
  <c r="AF172" i="2" a="1"/>
  <c r="AF172" i="2"/>
  <c r="AE172" i="2" a="1"/>
  <c r="AE172" i="2"/>
  <c r="AD172" i="2" a="1"/>
  <c r="AD172" i="2"/>
  <c r="AC172" i="2" a="1"/>
  <c r="AC172" i="2"/>
  <c r="AB172" i="2" a="1"/>
  <c r="AB172" i="2"/>
  <c r="AA172" i="2" a="1"/>
  <c r="AA172" i="2"/>
  <c r="Z172" i="2" a="1"/>
  <c r="Z172" i="2"/>
  <c r="Y172" i="2" a="1"/>
  <c r="Y172" i="2"/>
  <c r="X172" i="2" a="1"/>
  <c r="X172" i="2"/>
  <c r="W172" i="2" a="1"/>
  <c r="W172" i="2"/>
  <c r="T172" i="2"/>
  <c r="AH171" i="2" a="1"/>
  <c r="AH171" i="2"/>
  <c r="AG171" i="2" a="1"/>
  <c r="AG171" i="2"/>
  <c r="AF171" i="2" a="1"/>
  <c r="AF171" i="2"/>
  <c r="AE171" i="2" a="1"/>
  <c r="AE171" i="2"/>
  <c r="AD171" i="2" a="1"/>
  <c r="AD171" i="2"/>
  <c r="AC171" i="2" a="1"/>
  <c r="AC171" i="2"/>
  <c r="AB171" i="2" a="1"/>
  <c r="AB171" i="2"/>
  <c r="AA171" i="2" a="1"/>
  <c r="AA171" i="2"/>
  <c r="Z171" i="2" a="1"/>
  <c r="Z171" i="2"/>
  <c r="Y171" i="2" a="1"/>
  <c r="Y171" i="2"/>
  <c r="X171" i="2" a="1"/>
  <c r="X171" i="2"/>
  <c r="W171" i="2" a="1"/>
  <c r="W171" i="2"/>
  <c r="T171" i="2"/>
  <c r="AH170" i="2" a="1"/>
  <c r="AH170" i="2"/>
  <c r="AG170" i="2" a="1"/>
  <c r="AG170" i="2"/>
  <c r="AF170" i="2" a="1"/>
  <c r="AF170" i="2"/>
  <c r="AE170" i="2" a="1"/>
  <c r="AE170" i="2"/>
  <c r="AD170" i="2" a="1"/>
  <c r="AD170" i="2"/>
  <c r="AC170" i="2" a="1"/>
  <c r="AC170" i="2"/>
  <c r="AB170" i="2" a="1"/>
  <c r="AB170" i="2"/>
  <c r="AA170" i="2" a="1"/>
  <c r="AA170" i="2"/>
  <c r="Z170" i="2" a="1"/>
  <c r="Z170" i="2"/>
  <c r="Y170" i="2" a="1"/>
  <c r="Y170" i="2"/>
  <c r="X170" i="2" a="1"/>
  <c r="X170" i="2"/>
  <c r="W170" i="2" a="1"/>
  <c r="W170" i="2"/>
  <c r="T170" i="2"/>
  <c r="AH169" i="2" a="1"/>
  <c r="AH169" i="2"/>
  <c r="AG169" i="2" a="1"/>
  <c r="AG169" i="2"/>
  <c r="AF169" i="2" a="1"/>
  <c r="AF169" i="2"/>
  <c r="AE169" i="2" a="1"/>
  <c r="AE169" i="2"/>
  <c r="AD169" i="2" a="1"/>
  <c r="AD169" i="2"/>
  <c r="AC169" i="2" a="1"/>
  <c r="AC169" i="2"/>
  <c r="AB169" i="2" a="1"/>
  <c r="AB169" i="2"/>
  <c r="AA169" i="2" a="1"/>
  <c r="AA169" i="2"/>
  <c r="Z169" i="2" a="1"/>
  <c r="Z169" i="2"/>
  <c r="Y169" i="2" a="1"/>
  <c r="Y169" i="2"/>
  <c r="X169" i="2" a="1"/>
  <c r="X169" i="2"/>
  <c r="W169" i="2" a="1"/>
  <c r="W169" i="2"/>
  <c r="T169" i="2"/>
  <c r="AH168" i="2" a="1"/>
  <c r="AH168" i="2"/>
  <c r="AG168" i="2" a="1"/>
  <c r="AG168" i="2"/>
  <c r="AF168" i="2" a="1"/>
  <c r="AF168" i="2"/>
  <c r="AE168" i="2" a="1"/>
  <c r="AE168" i="2"/>
  <c r="AD168" i="2" a="1"/>
  <c r="AD168" i="2"/>
  <c r="AC168" i="2" a="1"/>
  <c r="AC168" i="2"/>
  <c r="AB168" i="2" a="1"/>
  <c r="AB168" i="2"/>
  <c r="AA168" i="2" a="1"/>
  <c r="AA168" i="2"/>
  <c r="Z168" i="2" a="1"/>
  <c r="Z168" i="2"/>
  <c r="Y168" i="2" a="1"/>
  <c r="Y168" i="2"/>
  <c r="X168" i="2" a="1"/>
  <c r="X168" i="2"/>
  <c r="W168" i="2" a="1"/>
  <c r="W168" i="2"/>
  <c r="T168" i="2"/>
  <c r="AH167" i="2" a="1"/>
  <c r="AH167" i="2"/>
  <c r="AG167" i="2" a="1"/>
  <c r="AG167" i="2"/>
  <c r="AF167" i="2" a="1"/>
  <c r="AF167" i="2"/>
  <c r="AE167" i="2" a="1"/>
  <c r="AE167" i="2"/>
  <c r="AD167" i="2" a="1"/>
  <c r="AD167" i="2"/>
  <c r="AC167" i="2" a="1"/>
  <c r="AC167" i="2"/>
  <c r="AB167" i="2" a="1"/>
  <c r="AB167" i="2"/>
  <c r="AA167" i="2" a="1"/>
  <c r="AA167" i="2"/>
  <c r="Z167" i="2" a="1"/>
  <c r="Z167" i="2"/>
  <c r="Y167" i="2" a="1"/>
  <c r="Y167" i="2"/>
  <c r="X167" i="2" a="1"/>
  <c r="X167" i="2"/>
  <c r="W167" i="2" a="1"/>
  <c r="W167" i="2"/>
  <c r="T167" i="2"/>
  <c r="AH166" i="2" a="1"/>
  <c r="AH166" i="2"/>
  <c r="AG166" i="2" a="1"/>
  <c r="AG166" i="2"/>
  <c r="AF166" i="2" a="1"/>
  <c r="AF166" i="2"/>
  <c r="AE166" i="2" a="1"/>
  <c r="AE166" i="2"/>
  <c r="AD166" i="2" a="1"/>
  <c r="AD166" i="2"/>
  <c r="AC166" i="2" a="1"/>
  <c r="AC166" i="2"/>
  <c r="AB166" i="2" a="1"/>
  <c r="AB166" i="2"/>
  <c r="AA166" i="2" a="1"/>
  <c r="AA166" i="2"/>
  <c r="Z166" i="2" a="1"/>
  <c r="Z166" i="2"/>
  <c r="Y166" i="2" a="1"/>
  <c r="Y166" i="2"/>
  <c r="X166" i="2" a="1"/>
  <c r="X166" i="2"/>
  <c r="W166" i="2" a="1"/>
  <c r="W166" i="2"/>
  <c r="T166" i="2"/>
  <c r="AH165" i="2" a="1"/>
  <c r="AH165" i="2"/>
  <c r="AG165" i="2" a="1"/>
  <c r="AG165" i="2"/>
  <c r="AF165" i="2" a="1"/>
  <c r="AF165" i="2"/>
  <c r="AE165" i="2" a="1"/>
  <c r="AE165" i="2"/>
  <c r="AD165" i="2" a="1"/>
  <c r="AD165" i="2"/>
  <c r="AC165" i="2" a="1"/>
  <c r="AC165" i="2"/>
  <c r="AB165" i="2" a="1"/>
  <c r="AB165" i="2"/>
  <c r="AA165" i="2" a="1"/>
  <c r="AA165" i="2"/>
  <c r="Z165" i="2" a="1"/>
  <c r="Z165" i="2"/>
  <c r="Y165" i="2" a="1"/>
  <c r="Y165" i="2"/>
  <c r="X165" i="2" a="1"/>
  <c r="X165" i="2"/>
  <c r="W165" i="2" a="1"/>
  <c r="W165" i="2"/>
  <c r="T165" i="2"/>
  <c r="AH164" i="2" a="1"/>
  <c r="AH164" i="2"/>
  <c r="AG164" i="2" a="1"/>
  <c r="AG164" i="2"/>
  <c r="AF164" i="2" a="1"/>
  <c r="AF164" i="2"/>
  <c r="AE164" i="2" a="1"/>
  <c r="AE164" i="2"/>
  <c r="AD164" i="2" a="1"/>
  <c r="AD164" i="2"/>
  <c r="AC164" i="2" a="1"/>
  <c r="AC164" i="2"/>
  <c r="AB164" i="2" a="1"/>
  <c r="AB164" i="2"/>
  <c r="AA164" i="2" a="1"/>
  <c r="AA164" i="2"/>
  <c r="Z164" i="2" a="1"/>
  <c r="Z164" i="2"/>
  <c r="Y164" i="2" a="1"/>
  <c r="Y164" i="2"/>
  <c r="X164" i="2" a="1"/>
  <c r="X164" i="2"/>
  <c r="W164" i="2" a="1"/>
  <c r="W164" i="2"/>
  <c r="T164" i="2"/>
  <c r="AH163" i="2" a="1"/>
  <c r="AH163" i="2"/>
  <c r="AG163" i="2" a="1"/>
  <c r="AG163" i="2"/>
  <c r="AF163" i="2" a="1"/>
  <c r="AF163" i="2"/>
  <c r="AE163" i="2" a="1"/>
  <c r="AE163" i="2"/>
  <c r="AD163" i="2" a="1"/>
  <c r="AD163" i="2"/>
  <c r="AC163" i="2" a="1"/>
  <c r="AC163" i="2"/>
  <c r="AB163" i="2" a="1"/>
  <c r="AB163" i="2"/>
  <c r="AA163" i="2" a="1"/>
  <c r="AA163" i="2"/>
  <c r="Z163" i="2" a="1"/>
  <c r="Z163" i="2"/>
  <c r="Y163" i="2" a="1"/>
  <c r="Y163" i="2"/>
  <c r="X163" i="2" a="1"/>
  <c r="X163" i="2"/>
  <c r="W163" i="2" a="1"/>
  <c r="W163" i="2"/>
  <c r="T163" i="2"/>
  <c r="AH162" i="2" a="1"/>
  <c r="AH162" i="2"/>
  <c r="AG162" i="2" a="1"/>
  <c r="AG162" i="2"/>
  <c r="AF162" i="2" a="1"/>
  <c r="AF162" i="2"/>
  <c r="AE162" i="2" a="1"/>
  <c r="AE162" i="2"/>
  <c r="AD162" i="2" a="1"/>
  <c r="AD162" i="2"/>
  <c r="AC162" i="2" a="1"/>
  <c r="AC162" i="2"/>
  <c r="AB162" i="2" a="1"/>
  <c r="AB162" i="2"/>
  <c r="AA162" i="2" a="1"/>
  <c r="AA162" i="2"/>
  <c r="Z162" i="2" a="1"/>
  <c r="Z162" i="2"/>
  <c r="Y162" i="2" a="1"/>
  <c r="Y162" i="2"/>
  <c r="X162" i="2" a="1"/>
  <c r="X162" i="2"/>
  <c r="W162" i="2" a="1"/>
  <c r="W162" i="2"/>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c r="W161" i="2" a="1"/>
  <c r="W161" i="2"/>
  <c r="T161" i="2"/>
  <c r="AH160" i="2" a="1"/>
  <c r="AH160" i="2"/>
  <c r="AG160" i="2" a="1"/>
  <c r="AG160" i="2"/>
  <c r="AF160" i="2" a="1"/>
  <c r="AF160" i="2"/>
  <c r="AE160" i="2" a="1"/>
  <c r="AE160" i="2"/>
  <c r="AD160" i="2" a="1"/>
  <c r="AD160" i="2"/>
  <c r="AC160" i="2" a="1"/>
  <c r="AC160" i="2"/>
  <c r="AB160" i="2" a="1"/>
  <c r="AB160" i="2"/>
  <c r="AA160" i="2" a="1"/>
  <c r="AA160" i="2"/>
  <c r="Z160" i="2" a="1"/>
  <c r="Z160" i="2"/>
  <c r="Y160" i="2" a="1"/>
  <c r="Y160" i="2"/>
  <c r="X160" i="2" a="1"/>
  <c r="X160" i="2"/>
  <c r="W160" i="2" a="1"/>
  <c r="W160" i="2"/>
  <c r="T160" i="2"/>
  <c r="AH159" i="2" a="1"/>
  <c r="AH159" i="2"/>
  <c r="AG159" i="2" a="1"/>
  <c r="AG159" i="2"/>
  <c r="AF159" i="2" a="1"/>
  <c r="AF159" i="2"/>
  <c r="AE159" i="2" a="1"/>
  <c r="AE159" i="2"/>
  <c r="AD159" i="2" a="1"/>
  <c r="AD159" i="2"/>
  <c r="AC159" i="2" a="1"/>
  <c r="AC159" i="2"/>
  <c r="AB159" i="2" a="1"/>
  <c r="AB159" i="2"/>
  <c r="AA159" i="2" a="1"/>
  <c r="AA159" i="2"/>
  <c r="Z159" i="2" a="1"/>
  <c r="Z159" i="2"/>
  <c r="Y159" i="2" a="1"/>
  <c r="Y159" i="2"/>
  <c r="X159" i="2" a="1"/>
  <c r="X159" i="2"/>
  <c r="W159" i="2" a="1"/>
  <c r="W159" i="2"/>
  <c r="T159" i="2"/>
  <c r="AH158" i="2" a="1"/>
  <c r="AH158" i="2"/>
  <c r="AG158" i="2" a="1"/>
  <c r="AG158" i="2"/>
  <c r="AF158" i="2" a="1"/>
  <c r="AF158" i="2"/>
  <c r="AE158" i="2" a="1"/>
  <c r="AE158" i="2"/>
  <c r="AD158" i="2" a="1"/>
  <c r="AD158" i="2"/>
  <c r="AC158" i="2" a="1"/>
  <c r="AC158" i="2"/>
  <c r="AB158" i="2" a="1"/>
  <c r="AB158" i="2"/>
  <c r="AA158" i="2" a="1"/>
  <c r="AA158" i="2"/>
  <c r="Z158" i="2" a="1"/>
  <c r="Z158" i="2"/>
  <c r="Y158" i="2" a="1"/>
  <c r="Y158" i="2"/>
  <c r="X158" i="2" a="1"/>
  <c r="X158" i="2"/>
  <c r="W158" i="2" a="1"/>
  <c r="W158" i="2"/>
  <c r="T158" i="2"/>
  <c r="AH157" i="2" a="1"/>
  <c r="AH157" i="2"/>
  <c r="AG157" i="2" a="1"/>
  <c r="AG157" i="2"/>
  <c r="AF157" i="2" a="1"/>
  <c r="AF157" i="2"/>
  <c r="AE157" i="2" a="1"/>
  <c r="AE157" i="2"/>
  <c r="AD157" i="2" a="1"/>
  <c r="AD157" i="2"/>
  <c r="AC157" i="2" a="1"/>
  <c r="AC157" i="2"/>
  <c r="AB157" i="2" a="1"/>
  <c r="AB157" i="2"/>
  <c r="AA157" i="2" a="1"/>
  <c r="AA157" i="2"/>
  <c r="Z157" i="2" a="1"/>
  <c r="Z157" i="2"/>
  <c r="Y157" i="2" a="1"/>
  <c r="Y157" i="2"/>
  <c r="X157" i="2" a="1"/>
  <c r="X157" i="2"/>
  <c r="W157" i="2" a="1"/>
  <c r="W157" i="2"/>
  <c r="T157" i="2"/>
  <c r="AH156" i="2" a="1"/>
  <c r="AH156" i="2"/>
  <c r="AG156" i="2" a="1"/>
  <c r="AG156" i="2"/>
  <c r="AF156" i="2" a="1"/>
  <c r="AF156" i="2"/>
  <c r="AE156" i="2" a="1"/>
  <c r="AE156" i="2"/>
  <c r="AD156" i="2" a="1"/>
  <c r="AD156" i="2"/>
  <c r="AC156" i="2" a="1"/>
  <c r="AC156" i="2"/>
  <c r="AB156" i="2" a="1"/>
  <c r="AB156" i="2"/>
  <c r="AA156" i="2" a="1"/>
  <c r="AA156" i="2"/>
  <c r="Z156" i="2" a="1"/>
  <c r="Z156" i="2"/>
  <c r="Y156" i="2" a="1"/>
  <c r="Y156" i="2"/>
  <c r="X156" i="2" a="1"/>
  <c r="X156" i="2"/>
  <c r="W156" i="2" a="1"/>
  <c r="W156" i="2"/>
  <c r="T156" i="2"/>
  <c r="AH155" i="2" a="1"/>
  <c r="AH155" i="2"/>
  <c r="AG155" i="2" a="1"/>
  <c r="AG155" i="2"/>
  <c r="AF155" i="2" a="1"/>
  <c r="AF155" i="2"/>
  <c r="AE155" i="2" a="1"/>
  <c r="AE155" i="2"/>
  <c r="AD155" i="2" a="1"/>
  <c r="AD155" i="2"/>
  <c r="AC155" i="2" a="1"/>
  <c r="AC155" i="2"/>
  <c r="AB155" i="2" a="1"/>
  <c r="AB155" i="2"/>
  <c r="AA155" i="2" a="1"/>
  <c r="AA155" i="2"/>
  <c r="Z155" i="2" a="1"/>
  <c r="Z155" i="2"/>
  <c r="Y155" i="2" a="1"/>
  <c r="Y155" i="2"/>
  <c r="X155" i="2" a="1"/>
  <c r="X155" i="2"/>
  <c r="W155" i="2" a="1"/>
  <c r="W155" i="2"/>
  <c r="T155" i="2"/>
  <c r="AH154" i="2" a="1"/>
  <c r="AH154" i="2"/>
  <c r="AG154" i="2" a="1"/>
  <c r="AG154" i="2"/>
  <c r="AF154" i="2" a="1"/>
  <c r="AF154" i="2"/>
  <c r="AE154" i="2" a="1"/>
  <c r="AE154" i="2"/>
  <c r="AD154" i="2" a="1"/>
  <c r="AD154" i="2"/>
  <c r="AC154" i="2" a="1"/>
  <c r="AC154" i="2"/>
  <c r="AB154" i="2" a="1"/>
  <c r="AB154" i="2"/>
  <c r="AA154" i="2" a="1"/>
  <c r="AA154" i="2"/>
  <c r="Z154" i="2" a="1"/>
  <c r="Z154" i="2"/>
  <c r="Y154" i="2" a="1"/>
  <c r="Y154" i="2"/>
  <c r="X154" i="2" a="1"/>
  <c r="X154" i="2"/>
  <c r="W154" i="2" a="1"/>
  <c r="W154" i="2"/>
  <c r="T154" i="2"/>
  <c r="AH153" i="2" a="1"/>
  <c r="AH153" i="2"/>
  <c r="AG153" i="2" a="1"/>
  <c r="AG153" i="2"/>
  <c r="AF153" i="2" a="1"/>
  <c r="AF153" i="2"/>
  <c r="AE153" i="2" a="1"/>
  <c r="AE153" i="2"/>
  <c r="AD153" i="2" a="1"/>
  <c r="AD153" i="2"/>
  <c r="AC153" i="2" a="1"/>
  <c r="AC153" i="2"/>
  <c r="AB153" i="2" a="1"/>
  <c r="AB153" i="2"/>
  <c r="AA153" i="2" a="1"/>
  <c r="AA153" i="2"/>
  <c r="Z153" i="2" a="1"/>
  <c r="Z153" i="2"/>
  <c r="Y153" i="2" a="1"/>
  <c r="Y153" i="2"/>
  <c r="X153" i="2" a="1"/>
  <c r="X153" i="2"/>
  <c r="W153" i="2" a="1"/>
  <c r="W153" i="2"/>
  <c r="T153" i="2"/>
  <c r="AH152" i="2" a="1"/>
  <c r="AH152" i="2"/>
  <c r="AG152" i="2" a="1"/>
  <c r="AG152" i="2"/>
  <c r="AF152" i="2" a="1"/>
  <c r="AF152" i="2"/>
  <c r="AE152" i="2" a="1"/>
  <c r="AE152" i="2"/>
  <c r="AD152" i="2" a="1"/>
  <c r="AD152" i="2"/>
  <c r="AC152" i="2" a="1"/>
  <c r="AC152" i="2"/>
  <c r="AB152" i="2" a="1"/>
  <c r="AB152" i="2"/>
  <c r="AA152" i="2" a="1"/>
  <c r="AA152" i="2"/>
  <c r="Z152" i="2" a="1"/>
  <c r="Z152" i="2"/>
  <c r="Y152" i="2" a="1"/>
  <c r="Y152" i="2"/>
  <c r="X152" i="2" a="1"/>
  <c r="X152" i="2"/>
  <c r="W152" i="2" a="1"/>
  <c r="W152" i="2"/>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c r="W151" i="2" a="1"/>
  <c r="W151" i="2"/>
  <c r="T151" i="2"/>
  <c r="AH150" i="2" a="1"/>
  <c r="AH150" i="2"/>
  <c r="AG150" i="2" a="1"/>
  <c r="AG150" i="2"/>
  <c r="AF150" i="2" a="1"/>
  <c r="AF150" i="2"/>
  <c r="AE150" i="2" a="1"/>
  <c r="AE150" i="2"/>
  <c r="AD150" i="2" a="1"/>
  <c r="AD150" i="2"/>
  <c r="AC150" i="2" a="1"/>
  <c r="AC150" i="2"/>
  <c r="AB150" i="2" a="1"/>
  <c r="AB150" i="2"/>
  <c r="AA150" i="2" a="1"/>
  <c r="AA150" i="2"/>
  <c r="Z150" i="2" a="1"/>
  <c r="Z150" i="2"/>
  <c r="Y150" i="2" a="1"/>
  <c r="Y150" i="2"/>
  <c r="X150" i="2" a="1"/>
  <c r="X150" i="2"/>
  <c r="W150" i="2" a="1"/>
  <c r="W150" i="2"/>
  <c r="T150" i="2"/>
  <c r="AH149" i="2" a="1"/>
  <c r="AH149" i="2"/>
  <c r="AG149" i="2" a="1"/>
  <c r="AG149" i="2"/>
  <c r="AF149" i="2" a="1"/>
  <c r="AF149" i="2"/>
  <c r="AE149" i="2" a="1"/>
  <c r="AE149" i="2"/>
  <c r="AD149" i="2" a="1"/>
  <c r="AD149" i="2"/>
  <c r="AC149" i="2" a="1"/>
  <c r="AC149" i="2"/>
  <c r="AB149" i="2" a="1"/>
  <c r="AB149" i="2"/>
  <c r="AA149" i="2" a="1"/>
  <c r="AA149" i="2"/>
  <c r="Z149" i="2" a="1"/>
  <c r="Z149" i="2"/>
  <c r="Y149" i="2" a="1"/>
  <c r="Y149" i="2"/>
  <c r="X149" i="2" a="1"/>
  <c r="X149" i="2"/>
  <c r="W149" i="2" a="1"/>
  <c r="W149" i="2"/>
  <c r="T149" i="2"/>
  <c r="AH148" i="2" a="1"/>
  <c r="AH148" i="2"/>
  <c r="AG148" i="2" a="1"/>
  <c r="AG148" i="2"/>
  <c r="AF148" i="2" a="1"/>
  <c r="AF148" i="2"/>
  <c r="AE148" i="2" a="1"/>
  <c r="AE148" i="2"/>
  <c r="AD148" i="2" a="1"/>
  <c r="AD148" i="2"/>
  <c r="AC148" i="2" a="1"/>
  <c r="AC148" i="2"/>
  <c r="AB148" i="2" a="1"/>
  <c r="AB148" i="2"/>
  <c r="AA148" i="2" a="1"/>
  <c r="AA148" i="2"/>
  <c r="Z148" i="2" a="1"/>
  <c r="Z148" i="2"/>
  <c r="Y148" i="2" a="1"/>
  <c r="Y148" i="2"/>
  <c r="X148" i="2" a="1"/>
  <c r="X148" i="2"/>
  <c r="W148" i="2" a="1"/>
  <c r="W148" i="2"/>
  <c r="T148" i="2"/>
  <c r="AH147" i="2" a="1"/>
  <c r="AH147" i="2"/>
  <c r="AG147" i="2" a="1"/>
  <c r="AG147" i="2"/>
  <c r="AF147" i="2" a="1"/>
  <c r="AF147" i="2"/>
  <c r="AE147" i="2" a="1"/>
  <c r="AE147" i="2"/>
  <c r="AD147" i="2" a="1"/>
  <c r="AD147" i="2"/>
  <c r="AC147" i="2" a="1"/>
  <c r="AC147" i="2"/>
  <c r="AB147" i="2" a="1"/>
  <c r="AB147" i="2"/>
  <c r="AA147" i="2" a="1"/>
  <c r="AA147" i="2"/>
  <c r="Z147" i="2" a="1"/>
  <c r="Z147" i="2"/>
  <c r="Y147" i="2" a="1"/>
  <c r="Y147" i="2"/>
  <c r="X147" i="2" a="1"/>
  <c r="X147" i="2"/>
  <c r="W147" i="2" a="1"/>
  <c r="W147" i="2"/>
  <c r="T147" i="2"/>
  <c r="AH146" i="2" a="1"/>
  <c r="AH146" i="2"/>
  <c r="AG146" i="2" a="1"/>
  <c r="AG146" i="2"/>
  <c r="AF146" i="2" a="1"/>
  <c r="AF146" i="2"/>
  <c r="AE146" i="2" a="1"/>
  <c r="AE146" i="2"/>
  <c r="AD146" i="2" a="1"/>
  <c r="AD146" i="2"/>
  <c r="AC146" i="2" a="1"/>
  <c r="AC146" i="2"/>
  <c r="AB146" i="2" a="1"/>
  <c r="AB146" i="2"/>
  <c r="AA146" i="2" a="1"/>
  <c r="AA146" i="2"/>
  <c r="Z146" i="2" a="1"/>
  <c r="Z146" i="2"/>
  <c r="Y146" i="2" a="1"/>
  <c r="Y146" i="2"/>
  <c r="X146" i="2" a="1"/>
  <c r="X146" i="2"/>
  <c r="W146" i="2" a="1"/>
  <c r="W146" i="2"/>
  <c r="T146" i="2"/>
  <c r="AH145" i="2" a="1"/>
  <c r="AH145" i="2"/>
  <c r="AG145" i="2" a="1"/>
  <c r="AG145" i="2"/>
  <c r="AF145" i="2" a="1"/>
  <c r="AF145" i="2"/>
  <c r="AE145" i="2" a="1"/>
  <c r="AE145" i="2"/>
  <c r="AD145" i="2" a="1"/>
  <c r="AD145" i="2"/>
  <c r="AC145" i="2" a="1"/>
  <c r="AC145" i="2"/>
  <c r="AB145" i="2" a="1"/>
  <c r="AB145" i="2"/>
  <c r="AA145" i="2" a="1"/>
  <c r="AA145" i="2"/>
  <c r="Z145" i="2" a="1"/>
  <c r="Z145" i="2"/>
  <c r="Y145" i="2" a="1"/>
  <c r="Y145" i="2"/>
  <c r="X145" i="2" a="1"/>
  <c r="X145" i="2"/>
  <c r="W145" i="2" a="1"/>
  <c r="W145" i="2"/>
  <c r="T145" i="2"/>
  <c r="AH144" i="2" a="1"/>
  <c r="AH144" i="2"/>
  <c r="AG144" i="2" a="1"/>
  <c r="AG144" i="2"/>
  <c r="AF144" i="2" a="1"/>
  <c r="AF144" i="2"/>
  <c r="AE144" i="2" a="1"/>
  <c r="AE144" i="2"/>
  <c r="AD144" i="2" a="1"/>
  <c r="AD144" i="2"/>
  <c r="AC144" i="2" a="1"/>
  <c r="AC144" i="2"/>
  <c r="AB144" i="2" a="1"/>
  <c r="AB144" i="2"/>
  <c r="AA144" i="2" a="1"/>
  <c r="AA144" i="2"/>
  <c r="Z144" i="2" a="1"/>
  <c r="Z144" i="2"/>
  <c r="Y144" i="2" a="1"/>
  <c r="Y144" i="2"/>
  <c r="X144" i="2" a="1"/>
  <c r="X144" i="2"/>
  <c r="W144" i="2" a="1"/>
  <c r="W144" i="2"/>
  <c r="T144" i="2"/>
  <c r="AH143" i="2" a="1"/>
  <c r="AH143" i="2"/>
  <c r="AG143" i="2" a="1"/>
  <c r="AG143" i="2"/>
  <c r="AF143" i="2" a="1"/>
  <c r="AF143" i="2"/>
  <c r="AE143" i="2" a="1"/>
  <c r="AE143" i="2"/>
  <c r="AD143" i="2" a="1"/>
  <c r="AD143" i="2"/>
  <c r="AC143" i="2" a="1"/>
  <c r="AC143" i="2"/>
  <c r="AB143" i="2" a="1"/>
  <c r="AB143" i="2"/>
  <c r="AA143" i="2" a="1"/>
  <c r="AA143" i="2"/>
  <c r="Z143" i="2" a="1"/>
  <c r="Z143" i="2"/>
  <c r="Y143" i="2" a="1"/>
  <c r="Y143" i="2"/>
  <c r="X143" i="2" a="1"/>
  <c r="X143" i="2"/>
  <c r="W143" i="2" a="1"/>
  <c r="W143" i="2"/>
  <c r="T143" i="2"/>
  <c r="AH142" i="2" a="1"/>
  <c r="AH142" i="2"/>
  <c r="AG142" i="2" a="1"/>
  <c r="AG142" i="2"/>
  <c r="AF142" i="2" a="1"/>
  <c r="AF142" i="2"/>
  <c r="AE142" i="2" a="1"/>
  <c r="AE142" i="2"/>
  <c r="AD142" i="2" a="1"/>
  <c r="AD142" i="2"/>
  <c r="AC142" i="2" a="1"/>
  <c r="AC142" i="2"/>
  <c r="AB142" i="2" a="1"/>
  <c r="AB142" i="2"/>
  <c r="AA142" i="2" a="1"/>
  <c r="AA142" i="2"/>
  <c r="Z142" i="2" a="1"/>
  <c r="Z142" i="2"/>
  <c r="Y142" i="2" a="1"/>
  <c r="Y142" i="2"/>
  <c r="X142" i="2" a="1"/>
  <c r="X142" i="2"/>
  <c r="W142" i="2" a="1"/>
  <c r="W142" i="2"/>
  <c r="T142" i="2"/>
  <c r="AH141" i="2" a="1"/>
  <c r="AH141" i="2"/>
  <c r="AG141" i="2" a="1"/>
  <c r="AG141" i="2"/>
  <c r="AF141" i="2" a="1"/>
  <c r="AF141" i="2"/>
  <c r="AE141" i="2" a="1"/>
  <c r="AE141" i="2"/>
  <c r="AD141" i="2" a="1"/>
  <c r="AD141" i="2"/>
  <c r="AC141" i="2" a="1"/>
  <c r="AC141" i="2"/>
  <c r="AB141" i="2" a="1"/>
  <c r="AB141" i="2"/>
  <c r="AA141" i="2" a="1"/>
  <c r="AA141" i="2"/>
  <c r="Z141" i="2" a="1"/>
  <c r="Z141" i="2"/>
  <c r="Y141" i="2" a="1"/>
  <c r="Y141" i="2"/>
  <c r="X141" i="2" a="1"/>
  <c r="X141" i="2"/>
  <c r="W141" i="2" a="1"/>
  <c r="W141" i="2"/>
  <c r="T141" i="2"/>
  <c r="AH140" i="2" a="1"/>
  <c r="AH140" i="2"/>
  <c r="AG140" i="2" a="1"/>
  <c r="AG140" i="2"/>
  <c r="AF140" i="2" a="1"/>
  <c r="AF140" i="2"/>
  <c r="AE140" i="2" a="1"/>
  <c r="AE140" i="2"/>
  <c r="AD140" i="2" a="1"/>
  <c r="AD140" i="2"/>
  <c r="AC140" i="2" a="1"/>
  <c r="AC140" i="2"/>
  <c r="AB140" i="2" a="1"/>
  <c r="AB140" i="2"/>
  <c r="AA140" i="2" a="1"/>
  <c r="AA140" i="2"/>
  <c r="Z140" i="2" a="1"/>
  <c r="Z140" i="2"/>
  <c r="Y140" i="2" a="1"/>
  <c r="Y140" i="2"/>
  <c r="X140" i="2" a="1"/>
  <c r="X140" i="2"/>
  <c r="W140" i="2" a="1"/>
  <c r="W140" i="2"/>
  <c r="T140" i="2"/>
  <c r="AH139" i="2" a="1"/>
  <c r="AH139" i="2"/>
  <c r="AG139" i="2" a="1"/>
  <c r="AG139" i="2"/>
  <c r="AF139" i="2" a="1"/>
  <c r="AF139" i="2"/>
  <c r="AE139" i="2" a="1"/>
  <c r="AE139" i="2"/>
  <c r="AD139" i="2" a="1"/>
  <c r="AD139" i="2"/>
  <c r="AC139" i="2" a="1"/>
  <c r="AC139" i="2"/>
  <c r="AB139" i="2" a="1"/>
  <c r="AB139" i="2"/>
  <c r="AA139" i="2" a="1"/>
  <c r="AA139" i="2"/>
  <c r="Z139" i="2" a="1"/>
  <c r="Z139" i="2"/>
  <c r="Y139" i="2" a="1"/>
  <c r="Y139" i="2"/>
  <c r="X139" i="2" a="1"/>
  <c r="X139" i="2"/>
  <c r="W139" i="2" a="1"/>
  <c r="W139" i="2"/>
  <c r="T139" i="2"/>
  <c r="AH138" i="2" a="1"/>
  <c r="AH138" i="2"/>
  <c r="AG138" i="2" a="1"/>
  <c r="AG138" i="2"/>
  <c r="AF138" i="2" a="1"/>
  <c r="AF138" i="2"/>
  <c r="AE138" i="2" a="1"/>
  <c r="AE138" i="2"/>
  <c r="AD138" i="2" a="1"/>
  <c r="AD138" i="2"/>
  <c r="AC138" i="2" a="1"/>
  <c r="AC138" i="2"/>
  <c r="AB138" i="2" a="1"/>
  <c r="AB138" i="2"/>
  <c r="AA138" i="2" a="1"/>
  <c r="AA138" i="2"/>
  <c r="Z138" i="2" a="1"/>
  <c r="Z138" i="2"/>
  <c r="Y138" i="2" a="1"/>
  <c r="Y138" i="2"/>
  <c r="X138" i="2" a="1"/>
  <c r="X138" i="2"/>
  <c r="W138" i="2" a="1"/>
  <c r="W138" i="2"/>
  <c r="T138" i="2"/>
  <c r="AH137" i="2" a="1"/>
  <c r="AH137" i="2"/>
  <c r="AG137" i="2" a="1"/>
  <c r="AG137" i="2"/>
  <c r="AF137" i="2" a="1"/>
  <c r="AF137" i="2"/>
  <c r="AE137" i="2" a="1"/>
  <c r="AE137" i="2"/>
  <c r="AD137" i="2" a="1"/>
  <c r="AD137" i="2"/>
  <c r="AC137" i="2" a="1"/>
  <c r="AC137" i="2"/>
  <c r="AB137" i="2" a="1"/>
  <c r="AB137" i="2"/>
  <c r="AA137" i="2" a="1"/>
  <c r="AA137" i="2"/>
  <c r="Z137" i="2" a="1"/>
  <c r="Z137" i="2"/>
  <c r="Y137" i="2" a="1"/>
  <c r="Y137" i="2"/>
  <c r="X137" i="2" a="1"/>
  <c r="X137" i="2"/>
  <c r="W137" i="2" a="1"/>
  <c r="W137" i="2"/>
  <c r="T137" i="2"/>
  <c r="AH136" i="2" a="1"/>
  <c r="AH136" i="2"/>
  <c r="AG136" i="2" a="1"/>
  <c r="AG136" i="2"/>
  <c r="AF136" i="2" a="1"/>
  <c r="AF136" i="2"/>
  <c r="AE136" i="2" a="1"/>
  <c r="AE136" i="2"/>
  <c r="AD136" i="2" a="1"/>
  <c r="AD136" i="2"/>
  <c r="AC136" i="2" a="1"/>
  <c r="AC136" i="2"/>
  <c r="AB136" i="2" a="1"/>
  <c r="AB136" i="2"/>
  <c r="AA136" i="2" a="1"/>
  <c r="AA136" i="2"/>
  <c r="Z136" i="2" a="1"/>
  <c r="Z136" i="2"/>
  <c r="Y136" i="2" a="1"/>
  <c r="Y136" i="2"/>
  <c r="X136" i="2" a="1"/>
  <c r="X136" i="2"/>
  <c r="W136" i="2" a="1"/>
  <c r="W136" i="2"/>
  <c r="T136" i="2"/>
  <c r="AH135" i="2" a="1"/>
  <c r="AH135" i="2"/>
  <c r="AG135" i="2" a="1"/>
  <c r="AG135" i="2"/>
  <c r="AF135" i="2" a="1"/>
  <c r="AF135" i="2"/>
  <c r="AE135" i="2" a="1"/>
  <c r="AE135" i="2"/>
  <c r="AD135" i="2" a="1"/>
  <c r="AD135" i="2"/>
  <c r="AC135" i="2" a="1"/>
  <c r="AC135" i="2"/>
  <c r="AB135" i="2" a="1"/>
  <c r="AB135" i="2"/>
  <c r="AA135" i="2" a="1"/>
  <c r="AA135" i="2"/>
  <c r="Z135" i="2" a="1"/>
  <c r="Z135" i="2"/>
  <c r="Y135" i="2" a="1"/>
  <c r="Y135" i="2"/>
  <c r="X135" i="2" a="1"/>
  <c r="X135" i="2"/>
  <c r="W135" i="2" a="1"/>
  <c r="W135" i="2"/>
  <c r="T135" i="2"/>
  <c r="AH134" i="2" a="1"/>
  <c r="AH134" i="2"/>
  <c r="AG134" i="2" a="1"/>
  <c r="AG134" i="2"/>
  <c r="AF134" i="2" a="1"/>
  <c r="AF134" i="2"/>
  <c r="AE134" i="2" a="1"/>
  <c r="AE134" i="2"/>
  <c r="AD134" i="2" a="1"/>
  <c r="AD134" i="2"/>
  <c r="AC134" i="2" a="1"/>
  <c r="AC134" i="2"/>
  <c r="AB134" i="2" a="1"/>
  <c r="AB134" i="2"/>
  <c r="AA134" i="2" a="1"/>
  <c r="AA134" i="2"/>
  <c r="Z134" i="2" a="1"/>
  <c r="Z134" i="2"/>
  <c r="Y134" i="2" a="1"/>
  <c r="Y134" i="2"/>
  <c r="X134" i="2" a="1"/>
  <c r="X134" i="2"/>
  <c r="W134" i="2" a="1"/>
  <c r="W134" i="2"/>
  <c r="T134" i="2"/>
  <c r="AH133" i="2" a="1"/>
  <c r="AH133" i="2"/>
  <c r="AG133" i="2" a="1"/>
  <c r="AG133" i="2"/>
  <c r="AF133" i="2" a="1"/>
  <c r="AF133" i="2"/>
  <c r="AE133" i="2" a="1"/>
  <c r="AE133" i="2"/>
  <c r="AD133" i="2" a="1"/>
  <c r="AD133" i="2"/>
  <c r="AC133" i="2" a="1"/>
  <c r="AC133" i="2"/>
  <c r="AB133" i="2" a="1"/>
  <c r="AB133" i="2"/>
  <c r="AA133" i="2" a="1"/>
  <c r="AA133" i="2"/>
  <c r="Z133" i="2" a="1"/>
  <c r="Z133" i="2"/>
  <c r="Y133" i="2" a="1"/>
  <c r="Y133" i="2"/>
  <c r="X133" i="2" a="1"/>
  <c r="X133" i="2"/>
  <c r="W133" i="2" a="1"/>
  <c r="W133" i="2"/>
  <c r="T133" i="2"/>
  <c r="AH132" i="2" a="1"/>
  <c r="AH132" i="2"/>
  <c r="AG132" i="2" a="1"/>
  <c r="AG132" i="2"/>
  <c r="AF132" i="2" a="1"/>
  <c r="AF132" i="2"/>
  <c r="AE132" i="2" a="1"/>
  <c r="AE132" i="2"/>
  <c r="AD132" i="2" a="1"/>
  <c r="AD132" i="2"/>
  <c r="AC132" i="2" a="1"/>
  <c r="AC132" i="2"/>
  <c r="AB132" i="2" a="1"/>
  <c r="AB132" i="2"/>
  <c r="AA132" i="2" a="1"/>
  <c r="AA132" i="2"/>
  <c r="Z132" i="2" a="1"/>
  <c r="Z132" i="2"/>
  <c r="Y132" i="2" a="1"/>
  <c r="Y132" i="2"/>
  <c r="X132" i="2" a="1"/>
  <c r="X132" i="2"/>
  <c r="W132" i="2" a="1"/>
  <c r="W132" i="2"/>
  <c r="T132" i="2"/>
  <c r="AH131" i="2" a="1"/>
  <c r="AH131" i="2"/>
  <c r="AG131" i="2" a="1"/>
  <c r="AG131" i="2"/>
  <c r="AF131" i="2" a="1"/>
  <c r="AF131" i="2"/>
  <c r="AE131" i="2" a="1"/>
  <c r="AE131" i="2"/>
  <c r="AD131" i="2" a="1"/>
  <c r="AD131" i="2"/>
  <c r="AC131" i="2" a="1"/>
  <c r="AC131" i="2"/>
  <c r="AB131" i="2" a="1"/>
  <c r="AB131" i="2"/>
  <c r="AA131" i="2" a="1"/>
  <c r="AA131" i="2"/>
  <c r="Z131" i="2" a="1"/>
  <c r="Z131" i="2"/>
  <c r="Y131" i="2" a="1"/>
  <c r="Y131" i="2"/>
  <c r="X131" i="2" a="1"/>
  <c r="X131" i="2"/>
  <c r="W131" i="2" a="1"/>
  <c r="W131" i="2"/>
  <c r="T131" i="2"/>
  <c r="AH130" i="2" a="1"/>
  <c r="AH130" i="2"/>
  <c r="AG130" i="2" a="1"/>
  <c r="AG130" i="2"/>
  <c r="AF130" i="2" a="1"/>
  <c r="AF130" i="2"/>
  <c r="AE130" i="2" a="1"/>
  <c r="AE130" i="2"/>
  <c r="AD130" i="2" a="1"/>
  <c r="AD130" i="2"/>
  <c r="AC130" i="2" a="1"/>
  <c r="AC130" i="2"/>
  <c r="AB130" i="2" a="1"/>
  <c r="AB130" i="2"/>
  <c r="AA130" i="2" a="1"/>
  <c r="AA130" i="2"/>
  <c r="Z130" i="2" a="1"/>
  <c r="Z130" i="2"/>
  <c r="Y130" i="2" a="1"/>
  <c r="Y130" i="2"/>
  <c r="X130" i="2" a="1"/>
  <c r="X130" i="2"/>
  <c r="W130" i="2" a="1"/>
  <c r="W130" i="2"/>
  <c r="T130" i="2"/>
  <c r="AH129" i="2" a="1"/>
  <c r="AH129" i="2"/>
  <c r="AG129" i="2" a="1"/>
  <c r="AG129" i="2"/>
  <c r="AF129" i="2" a="1"/>
  <c r="AF129" i="2"/>
  <c r="AE129" i="2" a="1"/>
  <c r="AE129" i="2"/>
  <c r="AD129" i="2" a="1"/>
  <c r="AD129" i="2"/>
  <c r="AC129" i="2" a="1"/>
  <c r="AC129" i="2"/>
  <c r="AB129" i="2" a="1"/>
  <c r="AB129" i="2"/>
  <c r="AA129" i="2" a="1"/>
  <c r="AA129" i="2"/>
  <c r="Z129" i="2" a="1"/>
  <c r="Z129" i="2"/>
  <c r="Y129" i="2" a="1"/>
  <c r="Y129" i="2"/>
  <c r="X129" i="2" a="1"/>
  <c r="X129" i="2"/>
  <c r="W129" i="2" a="1"/>
  <c r="W129" i="2"/>
  <c r="T129" i="2"/>
  <c r="AH128" i="2" a="1"/>
  <c r="AH128" i="2"/>
  <c r="AG128" i="2" a="1"/>
  <c r="AG128" i="2"/>
  <c r="AF128" i="2" a="1"/>
  <c r="AF128" i="2"/>
  <c r="AE128" i="2" a="1"/>
  <c r="AE128" i="2"/>
  <c r="AD128" i="2" a="1"/>
  <c r="AD128" i="2"/>
  <c r="AC128" i="2" a="1"/>
  <c r="AC128" i="2"/>
  <c r="AB128" i="2" a="1"/>
  <c r="AB128" i="2"/>
  <c r="AA128" i="2" a="1"/>
  <c r="AA128" i="2"/>
  <c r="Z128" i="2" a="1"/>
  <c r="Z128" i="2"/>
  <c r="Y128" i="2" a="1"/>
  <c r="Y128" i="2"/>
  <c r="X128" i="2" a="1"/>
  <c r="X128" i="2"/>
  <c r="W128" i="2" a="1"/>
  <c r="W128" i="2"/>
  <c r="T128" i="2"/>
  <c r="AH127" i="2" a="1"/>
  <c r="AH127" i="2"/>
  <c r="AG127" i="2" a="1"/>
  <c r="AG127" i="2"/>
  <c r="AF127" i="2" a="1"/>
  <c r="AF127" i="2"/>
  <c r="AE127" i="2" a="1"/>
  <c r="AE127" i="2"/>
  <c r="AD127" i="2" a="1"/>
  <c r="AD127" i="2"/>
  <c r="AC127" i="2" a="1"/>
  <c r="AC127" i="2"/>
  <c r="AB127" i="2" a="1"/>
  <c r="AB127" i="2"/>
  <c r="AA127" i="2" a="1"/>
  <c r="AA127" i="2"/>
  <c r="Z127" i="2" a="1"/>
  <c r="Z127" i="2"/>
  <c r="Y127" i="2" a="1"/>
  <c r="Y127" i="2"/>
  <c r="X127" i="2" a="1"/>
  <c r="X127" i="2"/>
  <c r="W127" i="2" a="1"/>
  <c r="W127" i="2"/>
  <c r="T127" i="2"/>
  <c r="AH126" i="2" a="1"/>
  <c r="AH126" i="2"/>
  <c r="AG126" i="2" a="1"/>
  <c r="AG126" i="2"/>
  <c r="AF126" i="2" a="1"/>
  <c r="AF126" i="2"/>
  <c r="AE126" i="2" a="1"/>
  <c r="AE126" i="2"/>
  <c r="AD126" i="2" a="1"/>
  <c r="AD126" i="2"/>
  <c r="AC126" i="2" a="1"/>
  <c r="AC126" i="2"/>
  <c r="AB126" i="2" a="1"/>
  <c r="AB126" i="2"/>
  <c r="AA126" i="2" a="1"/>
  <c r="AA126" i="2"/>
  <c r="Z126" i="2" a="1"/>
  <c r="Z126" i="2"/>
  <c r="Y126" i="2" a="1"/>
  <c r="Y126" i="2"/>
  <c r="X126" i="2" a="1"/>
  <c r="X126" i="2"/>
  <c r="W126" i="2" a="1"/>
  <c r="W126" i="2"/>
  <c r="T126" i="2"/>
  <c r="AH125" i="2" a="1"/>
  <c r="AH125" i="2"/>
  <c r="AG125" i="2" a="1"/>
  <c r="AG125" i="2"/>
  <c r="AF125" i="2" a="1"/>
  <c r="AF125" i="2"/>
  <c r="AE125" i="2" a="1"/>
  <c r="AE125" i="2"/>
  <c r="AD125" i="2" a="1"/>
  <c r="AD125" i="2"/>
  <c r="AC125" i="2" a="1"/>
  <c r="AC125" i="2"/>
  <c r="AB125" i="2" a="1"/>
  <c r="AB125" i="2"/>
  <c r="AA125" i="2" a="1"/>
  <c r="AA125" i="2"/>
  <c r="Z125" i="2" a="1"/>
  <c r="Z125" i="2"/>
  <c r="Y125" i="2" a="1"/>
  <c r="Y125" i="2"/>
  <c r="X125" i="2" a="1"/>
  <c r="X125" i="2"/>
  <c r="W125" i="2" a="1"/>
  <c r="W125" i="2"/>
  <c r="T125" i="2"/>
  <c r="AH124" i="2" a="1"/>
  <c r="AH124" i="2"/>
  <c r="AG124" i="2" a="1"/>
  <c r="AG124" i="2"/>
  <c r="AF124" i="2" a="1"/>
  <c r="AF124" i="2"/>
  <c r="AE124" i="2" a="1"/>
  <c r="AE124" i="2"/>
  <c r="AD124" i="2" a="1"/>
  <c r="AD124" i="2"/>
  <c r="AC124" i="2" a="1"/>
  <c r="AC124" i="2"/>
  <c r="AB124" i="2" a="1"/>
  <c r="AB124" i="2"/>
  <c r="AA124" i="2" a="1"/>
  <c r="AA124" i="2"/>
  <c r="Z124" i="2" a="1"/>
  <c r="Z124" i="2"/>
  <c r="Y124" i="2" a="1"/>
  <c r="Y124" i="2"/>
  <c r="X124" i="2" a="1"/>
  <c r="X124" i="2"/>
  <c r="W124" i="2" a="1"/>
  <c r="W124" i="2"/>
  <c r="T124" i="2"/>
  <c r="AH123" i="2" a="1"/>
  <c r="AH123" i="2"/>
  <c r="AG123" i="2" a="1"/>
  <c r="AG123" i="2"/>
  <c r="AF123" i="2" a="1"/>
  <c r="AF123" i="2"/>
  <c r="AE123" i="2" a="1"/>
  <c r="AE123" i="2"/>
  <c r="AD123" i="2" a="1"/>
  <c r="AD123" i="2"/>
  <c r="AC123" i="2" a="1"/>
  <c r="AC123" i="2"/>
  <c r="AB123" i="2" a="1"/>
  <c r="AB123" i="2"/>
  <c r="AA123" i="2" a="1"/>
  <c r="AA123" i="2"/>
  <c r="Z123" i="2" a="1"/>
  <c r="Z123" i="2"/>
  <c r="Y123" i="2" a="1"/>
  <c r="Y123" i="2"/>
  <c r="X123" i="2" a="1"/>
  <c r="X123" i="2"/>
  <c r="W123" i="2" a="1"/>
  <c r="W123" i="2"/>
  <c r="T123" i="2"/>
  <c r="AH122" i="2" a="1"/>
  <c r="AH122" i="2"/>
  <c r="AG122" i="2" a="1"/>
  <c r="AG122" i="2"/>
  <c r="AF122" i="2" a="1"/>
  <c r="AF122" i="2"/>
  <c r="AE122" i="2" a="1"/>
  <c r="AE122" i="2"/>
  <c r="AD122" i="2" a="1"/>
  <c r="AD122" i="2"/>
  <c r="AC122" i="2" a="1"/>
  <c r="AC122" i="2"/>
  <c r="AB122" i="2" a="1"/>
  <c r="AB122" i="2"/>
  <c r="AA122" i="2" a="1"/>
  <c r="AA122" i="2"/>
  <c r="Z122" i="2" a="1"/>
  <c r="Z122" i="2"/>
  <c r="Y122" i="2" a="1"/>
  <c r="Y122" i="2"/>
  <c r="X122" i="2" a="1"/>
  <c r="X122" i="2"/>
  <c r="W122" i="2" a="1"/>
  <c r="W122" i="2"/>
  <c r="T122" i="2"/>
  <c r="AH121" i="2" a="1"/>
  <c r="AH121" i="2"/>
  <c r="AG121" i="2" a="1"/>
  <c r="AG121" i="2"/>
  <c r="AF121" i="2" a="1"/>
  <c r="AF121" i="2"/>
  <c r="AE121" i="2" a="1"/>
  <c r="AE121" i="2"/>
  <c r="AD121" i="2" a="1"/>
  <c r="AD121" i="2"/>
  <c r="AC121" i="2" a="1"/>
  <c r="AC121" i="2"/>
  <c r="AB121" i="2" a="1"/>
  <c r="AB121" i="2"/>
  <c r="AA121" i="2" a="1"/>
  <c r="AA121" i="2"/>
  <c r="Z121" i="2" a="1"/>
  <c r="Z121" i="2"/>
  <c r="Y121" i="2" a="1"/>
  <c r="Y121" i="2"/>
  <c r="X121" i="2" a="1"/>
  <c r="X121" i="2"/>
  <c r="W121" i="2" a="1"/>
  <c r="W121" i="2"/>
  <c r="T121" i="2"/>
  <c r="AH120" i="2" a="1"/>
  <c r="AH120" i="2"/>
  <c r="AG120" i="2" a="1"/>
  <c r="AG120" i="2"/>
  <c r="AF120" i="2" a="1"/>
  <c r="AF120" i="2"/>
  <c r="AE120" i="2" a="1"/>
  <c r="AE120" i="2"/>
  <c r="AD120" i="2" a="1"/>
  <c r="AD120" i="2"/>
  <c r="AC120" i="2" a="1"/>
  <c r="AC120" i="2"/>
  <c r="AB120" i="2" a="1"/>
  <c r="AB120" i="2"/>
  <c r="AA120" i="2" a="1"/>
  <c r="AA120" i="2"/>
  <c r="Z120" i="2" a="1"/>
  <c r="Z120" i="2"/>
  <c r="Y120" i="2" a="1"/>
  <c r="Y120" i="2"/>
  <c r="X120" i="2" a="1"/>
  <c r="X120" i="2"/>
  <c r="W120" i="2" a="1"/>
  <c r="W120" i="2"/>
  <c r="T120" i="2"/>
  <c r="AH119" i="2" a="1"/>
  <c r="AH119" i="2"/>
  <c r="AG119" i="2" a="1"/>
  <c r="AG119" i="2"/>
  <c r="AF119" i="2" a="1"/>
  <c r="AF119" i="2"/>
  <c r="AE119" i="2" a="1"/>
  <c r="AE119" i="2"/>
  <c r="AD119" i="2" a="1"/>
  <c r="AD119" i="2"/>
  <c r="AC119" i="2" a="1"/>
  <c r="AC119" i="2"/>
  <c r="AB119" i="2" a="1"/>
  <c r="AB119" i="2"/>
  <c r="AA119" i="2" a="1"/>
  <c r="AA119" i="2"/>
  <c r="Z119" i="2" a="1"/>
  <c r="Z119" i="2"/>
  <c r="Y119" i="2" a="1"/>
  <c r="Y119" i="2"/>
  <c r="X119" i="2" a="1"/>
  <c r="X119" i="2"/>
  <c r="W119" i="2" a="1"/>
  <c r="W119" i="2"/>
  <c r="T119" i="2"/>
  <c r="AH118" i="2" a="1"/>
  <c r="AH118" i="2"/>
  <c r="AG118" i="2" a="1"/>
  <c r="AG118" i="2"/>
  <c r="AF118" i="2" a="1"/>
  <c r="AF118" i="2"/>
  <c r="AE118" i="2" a="1"/>
  <c r="AE118" i="2"/>
  <c r="AD118" i="2" a="1"/>
  <c r="AD118" i="2"/>
  <c r="AC118" i="2" a="1"/>
  <c r="AC118" i="2"/>
  <c r="AB118" i="2" a="1"/>
  <c r="AB118" i="2"/>
  <c r="AA118" i="2" a="1"/>
  <c r="AA118" i="2"/>
  <c r="Z118" i="2" a="1"/>
  <c r="Z118" i="2"/>
  <c r="Y118" i="2" a="1"/>
  <c r="Y118" i="2"/>
  <c r="X118" i="2" a="1"/>
  <c r="X118" i="2"/>
  <c r="W118" i="2" a="1"/>
  <c r="W118" i="2"/>
  <c r="T118" i="2"/>
  <c r="AH117" i="2" a="1"/>
  <c r="AH117" i="2"/>
  <c r="AG117" i="2" a="1"/>
  <c r="AG117" i="2"/>
  <c r="AF117" i="2" a="1"/>
  <c r="AF117" i="2"/>
  <c r="AE117" i="2" a="1"/>
  <c r="AE117" i="2"/>
  <c r="AD117" i="2" a="1"/>
  <c r="AD117" i="2"/>
  <c r="AC117" i="2" a="1"/>
  <c r="AC117" i="2"/>
  <c r="AB117" i="2" a="1"/>
  <c r="AB117" i="2"/>
  <c r="AA117" i="2" a="1"/>
  <c r="AA117" i="2"/>
  <c r="Z117" i="2" a="1"/>
  <c r="Z117" i="2"/>
  <c r="Y117" i="2" a="1"/>
  <c r="Y117" i="2"/>
  <c r="X117" i="2" a="1"/>
  <c r="X117" i="2"/>
  <c r="W117" i="2" a="1"/>
  <c r="W117" i="2"/>
  <c r="T117" i="2"/>
  <c r="AH116" i="2" a="1"/>
  <c r="AH116" i="2"/>
  <c r="AG116" i="2" a="1"/>
  <c r="AG116" i="2"/>
  <c r="AF116" i="2" a="1"/>
  <c r="AF116" i="2"/>
  <c r="AE116" i="2" a="1"/>
  <c r="AE116" i="2"/>
  <c r="AD116" i="2" a="1"/>
  <c r="AD116" i="2"/>
  <c r="AC116" i="2" a="1"/>
  <c r="AC116" i="2"/>
  <c r="AB116" i="2" a="1"/>
  <c r="AB116" i="2"/>
  <c r="AA116" i="2" a="1"/>
  <c r="AA116" i="2"/>
  <c r="Z116" i="2" a="1"/>
  <c r="Z116" i="2"/>
  <c r="Y116" i="2" a="1"/>
  <c r="Y116" i="2"/>
  <c r="X116" i="2" a="1"/>
  <c r="X116" i="2"/>
  <c r="W116" i="2" a="1"/>
  <c r="W116" i="2"/>
  <c r="T116" i="2"/>
  <c r="AH115" i="2" a="1"/>
  <c r="AH115" i="2"/>
  <c r="AG115" i="2" a="1"/>
  <c r="AG115" i="2"/>
  <c r="AF115" i="2" a="1"/>
  <c r="AF115" i="2"/>
  <c r="AE115" i="2" a="1"/>
  <c r="AE115" i="2"/>
  <c r="AD115" i="2" a="1"/>
  <c r="AD115" i="2"/>
  <c r="AC115" i="2" a="1"/>
  <c r="AC115" i="2"/>
  <c r="AB115" i="2" a="1"/>
  <c r="AB115" i="2"/>
  <c r="AA115" i="2" a="1"/>
  <c r="AA115" i="2"/>
  <c r="Z115" i="2" a="1"/>
  <c r="Z115" i="2"/>
  <c r="Y115" i="2" a="1"/>
  <c r="Y115" i="2"/>
  <c r="X115" i="2" a="1"/>
  <c r="X115" i="2"/>
  <c r="W115" i="2" a="1"/>
  <c r="W115" i="2"/>
  <c r="T115" i="2"/>
  <c r="AH114" i="2" a="1"/>
  <c r="AH114" i="2"/>
  <c r="AG114" i="2" a="1"/>
  <c r="AG114" i="2"/>
  <c r="AF114" i="2" a="1"/>
  <c r="AF114" i="2"/>
  <c r="AE114" i="2" a="1"/>
  <c r="AE114" i="2"/>
  <c r="AD114" i="2" a="1"/>
  <c r="AD114" i="2"/>
  <c r="AC114" i="2" a="1"/>
  <c r="AC114" i="2"/>
  <c r="AB114" i="2" a="1"/>
  <c r="AB114" i="2"/>
  <c r="AA114" i="2" a="1"/>
  <c r="AA114" i="2"/>
  <c r="Z114" i="2" a="1"/>
  <c r="Z114" i="2"/>
  <c r="Y114" i="2" a="1"/>
  <c r="Y114" i="2"/>
  <c r="X114" i="2" a="1"/>
  <c r="X114" i="2"/>
  <c r="W114" i="2" a="1"/>
  <c r="W114" i="2"/>
  <c r="T114" i="2"/>
  <c r="AH113" i="2" a="1"/>
  <c r="AH113" i="2"/>
  <c r="AG113" i="2" a="1"/>
  <c r="AG113" i="2"/>
  <c r="AF113" i="2" a="1"/>
  <c r="AF113" i="2"/>
  <c r="AE113" i="2" a="1"/>
  <c r="AE113" i="2"/>
  <c r="AD113" i="2" a="1"/>
  <c r="AD113" i="2"/>
  <c r="AC113" i="2" a="1"/>
  <c r="AC113" i="2"/>
  <c r="AB113" i="2" a="1"/>
  <c r="AB113" i="2"/>
  <c r="AA113" i="2" a="1"/>
  <c r="AA113" i="2"/>
  <c r="Z113" i="2" a="1"/>
  <c r="Z113" i="2"/>
  <c r="Y113" i="2" a="1"/>
  <c r="Y113" i="2"/>
  <c r="X113" i="2" a="1"/>
  <c r="X113" i="2"/>
  <c r="W113" i="2" a="1"/>
  <c r="W113" i="2"/>
  <c r="T113" i="2"/>
  <c r="AH112" i="2" a="1"/>
  <c r="AH112" i="2"/>
  <c r="AG112" i="2" a="1"/>
  <c r="AG112" i="2"/>
  <c r="AF112" i="2" a="1"/>
  <c r="AF112" i="2"/>
  <c r="AE112" i="2" a="1"/>
  <c r="AE112" i="2"/>
  <c r="AD112" i="2" a="1"/>
  <c r="AD112" i="2"/>
  <c r="AC112" i="2" a="1"/>
  <c r="AC112" i="2"/>
  <c r="AB112" i="2" a="1"/>
  <c r="AB112" i="2"/>
  <c r="AA112" i="2" a="1"/>
  <c r="AA112" i="2"/>
  <c r="Z112" i="2" a="1"/>
  <c r="Z112" i="2"/>
  <c r="Y112" i="2" a="1"/>
  <c r="Y112" i="2"/>
  <c r="X112" i="2" a="1"/>
  <c r="X112" i="2"/>
  <c r="W112" i="2" a="1"/>
  <c r="W112" i="2"/>
  <c r="T112" i="2"/>
  <c r="AH111" i="2" a="1"/>
  <c r="AH111" i="2"/>
  <c r="AG111" i="2" a="1"/>
  <c r="AG111" i="2"/>
  <c r="AF111" i="2" a="1"/>
  <c r="AF111" i="2"/>
  <c r="AE111" i="2" a="1"/>
  <c r="AE111" i="2"/>
  <c r="AD111" i="2" a="1"/>
  <c r="AD111" i="2"/>
  <c r="AC111" i="2" a="1"/>
  <c r="AC111" i="2"/>
  <c r="AB111" i="2" a="1"/>
  <c r="AB111" i="2"/>
  <c r="AA111" i="2" a="1"/>
  <c r="AA111" i="2"/>
  <c r="Z111" i="2" a="1"/>
  <c r="Z111" i="2"/>
  <c r="Y111" i="2" a="1"/>
  <c r="Y111" i="2"/>
  <c r="X111" i="2" a="1"/>
  <c r="X111" i="2"/>
  <c r="W111" i="2" a="1"/>
  <c r="W111" i="2"/>
  <c r="T111" i="2"/>
  <c r="AH110" i="2" a="1"/>
  <c r="AH110" i="2"/>
  <c r="AG110" i="2" a="1"/>
  <c r="AG110" i="2"/>
  <c r="AF110" i="2" a="1"/>
  <c r="AF110" i="2"/>
  <c r="AE110" i="2" a="1"/>
  <c r="AE110" i="2"/>
  <c r="AD110" i="2" a="1"/>
  <c r="AD110" i="2"/>
  <c r="AC110" i="2" a="1"/>
  <c r="AC110" i="2"/>
  <c r="AB110" i="2" a="1"/>
  <c r="AB110" i="2"/>
  <c r="AA110" i="2" a="1"/>
  <c r="AA110" i="2"/>
  <c r="Z110" i="2" a="1"/>
  <c r="Z110" i="2"/>
  <c r="Y110" i="2" a="1"/>
  <c r="Y110" i="2"/>
  <c r="X110" i="2" a="1"/>
  <c r="X110" i="2"/>
  <c r="W110" i="2" a="1"/>
  <c r="W110" i="2"/>
  <c r="T110" i="2"/>
  <c r="AH109" i="2" a="1"/>
  <c r="AH109" i="2"/>
  <c r="AG109" i="2" a="1"/>
  <c r="AG109" i="2"/>
  <c r="AF109" i="2" a="1"/>
  <c r="AF109" i="2"/>
  <c r="AE109" i="2" a="1"/>
  <c r="AE109" i="2"/>
  <c r="AD109" i="2" a="1"/>
  <c r="AD109" i="2"/>
  <c r="AC109" i="2" a="1"/>
  <c r="AC109" i="2"/>
  <c r="AB109" i="2" a="1"/>
  <c r="AB109" i="2"/>
  <c r="AA109" i="2" a="1"/>
  <c r="AA109" i="2"/>
  <c r="Z109" i="2" a="1"/>
  <c r="Z109" i="2"/>
  <c r="Y109" i="2" a="1"/>
  <c r="Y109" i="2"/>
  <c r="X109" i="2" a="1"/>
  <c r="X109" i="2"/>
  <c r="W109" i="2" a="1"/>
  <c r="W109" i="2"/>
  <c r="T109" i="2"/>
  <c r="AH108" i="2" a="1"/>
  <c r="AH108" i="2"/>
  <c r="AG108" i="2" a="1"/>
  <c r="AG108" i="2"/>
  <c r="AF108" i="2" a="1"/>
  <c r="AF108" i="2"/>
  <c r="AE108" i="2" a="1"/>
  <c r="AE108" i="2"/>
  <c r="AD108" i="2" a="1"/>
  <c r="AD108" i="2"/>
  <c r="AC108" i="2" a="1"/>
  <c r="AC108" i="2"/>
  <c r="AB108" i="2" a="1"/>
  <c r="AB108" i="2"/>
  <c r="AA108" i="2" a="1"/>
  <c r="AA108" i="2"/>
  <c r="Z108" i="2" a="1"/>
  <c r="Z108" i="2"/>
  <c r="Y108" i="2" a="1"/>
  <c r="Y108" i="2"/>
  <c r="X108" i="2" a="1"/>
  <c r="X108" i="2"/>
  <c r="W108" i="2" a="1"/>
  <c r="W108" i="2"/>
  <c r="T108" i="2"/>
  <c r="AH107" i="2" a="1"/>
  <c r="AH107" i="2"/>
  <c r="AG107" i="2" a="1"/>
  <c r="AG107" i="2"/>
  <c r="AF107" i="2" a="1"/>
  <c r="AF107" i="2"/>
  <c r="AE107" i="2" a="1"/>
  <c r="AE107" i="2"/>
  <c r="AD107" i="2" a="1"/>
  <c r="AD107" i="2"/>
  <c r="AC107" i="2" a="1"/>
  <c r="AC107" i="2"/>
  <c r="AB107" i="2" a="1"/>
  <c r="AB107" i="2"/>
  <c r="AA107" i="2" a="1"/>
  <c r="AA107" i="2"/>
  <c r="Z107" i="2" a="1"/>
  <c r="Z107" i="2"/>
  <c r="Y107" i="2" a="1"/>
  <c r="Y107" i="2"/>
  <c r="X107" i="2" a="1"/>
  <c r="X107" i="2"/>
  <c r="W107" i="2" a="1"/>
  <c r="W107" i="2"/>
  <c r="T107" i="2"/>
  <c r="AH106" i="2" a="1"/>
  <c r="AH106" i="2"/>
  <c r="AG106" i="2" a="1"/>
  <c r="AG106" i="2"/>
  <c r="AF106" i="2" a="1"/>
  <c r="AF106" i="2"/>
  <c r="AE106" i="2" a="1"/>
  <c r="AE106" i="2"/>
  <c r="AD106" i="2" a="1"/>
  <c r="AD106" i="2"/>
  <c r="AC106" i="2" a="1"/>
  <c r="AC106" i="2"/>
  <c r="AB106" i="2" a="1"/>
  <c r="AB106" i="2"/>
  <c r="AA106" i="2" a="1"/>
  <c r="AA106" i="2"/>
  <c r="Z106" i="2" a="1"/>
  <c r="Z106" i="2"/>
  <c r="Y106" i="2" a="1"/>
  <c r="Y106" i="2"/>
  <c r="X106" i="2" a="1"/>
  <c r="X106" i="2"/>
  <c r="W106" i="2" a="1"/>
  <c r="W106" i="2"/>
  <c r="T106" i="2"/>
  <c r="AH105" i="2" a="1"/>
  <c r="AH105" i="2"/>
  <c r="AG105" i="2" a="1"/>
  <c r="AG105" i="2"/>
  <c r="AF105" i="2" a="1"/>
  <c r="AF105" i="2"/>
  <c r="AE105" i="2" a="1"/>
  <c r="AE105" i="2"/>
  <c r="AD105" i="2" a="1"/>
  <c r="AD105" i="2"/>
  <c r="AC105" i="2" a="1"/>
  <c r="AC105" i="2"/>
  <c r="AB105" i="2" a="1"/>
  <c r="AB105" i="2"/>
  <c r="AA105" i="2" a="1"/>
  <c r="AA105" i="2"/>
  <c r="Z105" i="2" a="1"/>
  <c r="Z105" i="2"/>
  <c r="Y105" i="2" a="1"/>
  <c r="Y105" i="2"/>
  <c r="X105" i="2" a="1"/>
  <c r="X105" i="2"/>
  <c r="W105" i="2" a="1"/>
  <c r="W105" i="2"/>
  <c r="T105" i="2"/>
  <c r="AH104" i="2" a="1"/>
  <c r="AH104" i="2"/>
  <c r="AG104" i="2" a="1"/>
  <c r="AG104" i="2"/>
  <c r="AF104" i="2" a="1"/>
  <c r="AF104" i="2"/>
  <c r="AE104" i="2" a="1"/>
  <c r="AE104" i="2"/>
  <c r="AD104" i="2" a="1"/>
  <c r="AD104" i="2"/>
  <c r="AC104" i="2" a="1"/>
  <c r="AC104" i="2"/>
  <c r="AB104" i="2" a="1"/>
  <c r="AB104" i="2"/>
  <c r="AA104" i="2" a="1"/>
  <c r="AA104" i="2"/>
  <c r="Z104" i="2" a="1"/>
  <c r="Z104" i="2"/>
  <c r="Y104" i="2" a="1"/>
  <c r="Y104" i="2"/>
  <c r="X104" i="2" a="1"/>
  <c r="X104" i="2"/>
  <c r="W104" i="2" a="1"/>
  <c r="W104" i="2"/>
  <c r="T104" i="2"/>
  <c r="AH103" i="2" a="1"/>
  <c r="AH103" i="2"/>
  <c r="AG103" i="2" a="1"/>
  <c r="AG103" i="2"/>
  <c r="AF103" i="2" a="1"/>
  <c r="AF103" i="2"/>
  <c r="AE103" i="2" a="1"/>
  <c r="AE103" i="2"/>
  <c r="AD103" i="2" a="1"/>
  <c r="AD103" i="2"/>
  <c r="AC103" i="2" a="1"/>
  <c r="AC103" i="2"/>
  <c r="AB103" i="2" a="1"/>
  <c r="AB103" i="2"/>
  <c r="AA103" i="2" a="1"/>
  <c r="AA103" i="2"/>
  <c r="Z103" i="2" a="1"/>
  <c r="Z103" i="2"/>
  <c r="Y103" i="2" a="1"/>
  <c r="Y103" i="2"/>
  <c r="X103" i="2" a="1"/>
  <c r="X103" i="2"/>
  <c r="W103" i="2" a="1"/>
  <c r="W103" i="2"/>
  <c r="T103" i="2"/>
  <c r="AH102" i="2" a="1"/>
  <c r="AH102" i="2"/>
  <c r="AG102" i="2" a="1"/>
  <c r="AG102" i="2"/>
  <c r="AF102" i="2" a="1"/>
  <c r="AF102" i="2"/>
  <c r="AE102" i="2" a="1"/>
  <c r="AE102" i="2"/>
  <c r="AD102" i="2" a="1"/>
  <c r="AD102" i="2"/>
  <c r="AC102" i="2" a="1"/>
  <c r="AC102" i="2"/>
  <c r="AB102" i="2" a="1"/>
  <c r="AB102" i="2"/>
  <c r="AA102" i="2" a="1"/>
  <c r="AA102" i="2"/>
  <c r="Z102" i="2" a="1"/>
  <c r="Z102" i="2"/>
  <c r="Y102" i="2" a="1"/>
  <c r="Y102" i="2"/>
  <c r="X102" i="2" a="1"/>
  <c r="X102" i="2"/>
  <c r="W102" i="2" a="1"/>
  <c r="W102" i="2"/>
  <c r="T102" i="2"/>
  <c r="AH101" i="2" a="1"/>
  <c r="AH101" i="2"/>
  <c r="AG101" i="2" a="1"/>
  <c r="AG101" i="2"/>
  <c r="AF101" i="2" a="1"/>
  <c r="AF101" i="2"/>
  <c r="AE101" i="2" a="1"/>
  <c r="AE101" i="2"/>
  <c r="AD101" i="2" a="1"/>
  <c r="AD101" i="2"/>
  <c r="AC101" i="2" a="1"/>
  <c r="AC101" i="2"/>
  <c r="AB101" i="2" a="1"/>
  <c r="AB101" i="2"/>
  <c r="AA101" i="2" a="1"/>
  <c r="AA101" i="2"/>
  <c r="Z101" i="2" a="1"/>
  <c r="Z101" i="2"/>
  <c r="Y101" i="2" a="1"/>
  <c r="Y101" i="2"/>
  <c r="X101" i="2" a="1"/>
  <c r="X101" i="2"/>
  <c r="W101" i="2" a="1"/>
  <c r="W101" i="2"/>
  <c r="T101" i="2"/>
  <c r="AH100" i="2" a="1"/>
  <c r="AH100" i="2"/>
  <c r="AG100" i="2" a="1"/>
  <c r="AG100" i="2"/>
  <c r="AF100" i="2" a="1"/>
  <c r="AF100" i="2"/>
  <c r="AE100" i="2" a="1"/>
  <c r="AE100" i="2"/>
  <c r="AD100" i="2" a="1"/>
  <c r="AD100" i="2"/>
  <c r="AC100" i="2" a="1"/>
  <c r="AC100" i="2"/>
  <c r="AB100" i="2" a="1"/>
  <c r="AB100" i="2"/>
  <c r="AA100" i="2" a="1"/>
  <c r="AA100" i="2"/>
  <c r="Z100" i="2" a="1"/>
  <c r="Z100" i="2"/>
  <c r="Y100" i="2" a="1"/>
  <c r="Y100" i="2"/>
  <c r="X100" i="2" a="1"/>
  <c r="X100" i="2"/>
  <c r="W100" i="2" a="1"/>
  <c r="W100" i="2"/>
  <c r="T100" i="2"/>
  <c r="AH99" i="2" a="1"/>
  <c r="AH99" i="2"/>
  <c r="AG99" i="2" a="1"/>
  <c r="AG99" i="2"/>
  <c r="AF99" i="2" a="1"/>
  <c r="AF99" i="2"/>
  <c r="AE99" i="2" a="1"/>
  <c r="AE99" i="2"/>
  <c r="AD99" i="2" a="1"/>
  <c r="AD99" i="2"/>
  <c r="AC99" i="2" a="1"/>
  <c r="AC99" i="2"/>
  <c r="AB99" i="2" a="1"/>
  <c r="AB99" i="2"/>
  <c r="AA99" i="2" a="1"/>
  <c r="AA99" i="2"/>
  <c r="Z99" i="2" a="1"/>
  <c r="Z99" i="2"/>
  <c r="Y99" i="2" a="1"/>
  <c r="Y99" i="2"/>
  <c r="X99" i="2" a="1"/>
  <c r="X99" i="2"/>
  <c r="W99" i="2" a="1"/>
  <c r="W99" i="2"/>
  <c r="T99" i="2"/>
  <c r="AH98" i="2" a="1"/>
  <c r="AH98" i="2"/>
  <c r="AG98" i="2" a="1"/>
  <c r="AG98" i="2"/>
  <c r="AF98" i="2" a="1"/>
  <c r="AF98" i="2"/>
  <c r="AE98" i="2" a="1"/>
  <c r="AE98" i="2"/>
  <c r="AD98" i="2" a="1"/>
  <c r="AD98" i="2"/>
  <c r="AC98" i="2" a="1"/>
  <c r="AC98" i="2"/>
  <c r="AB98" i="2" a="1"/>
  <c r="AB98" i="2"/>
  <c r="AA98" i="2" a="1"/>
  <c r="AA98" i="2"/>
  <c r="Z98" i="2" a="1"/>
  <c r="Z98" i="2"/>
  <c r="Y98" i="2" a="1"/>
  <c r="Y98" i="2"/>
  <c r="X98" i="2" a="1"/>
  <c r="X98" i="2"/>
  <c r="W98" i="2" a="1"/>
  <c r="W98" i="2"/>
  <c r="T98" i="2"/>
  <c r="AH97" i="2" a="1"/>
  <c r="AH97" i="2"/>
  <c r="AG97" i="2" a="1"/>
  <c r="AG97" i="2"/>
  <c r="AF97" i="2" a="1"/>
  <c r="AF97" i="2"/>
  <c r="AE97" i="2" a="1"/>
  <c r="AE97" i="2"/>
  <c r="AD97" i="2" a="1"/>
  <c r="AD97" i="2"/>
  <c r="AC97" i="2" a="1"/>
  <c r="AC97" i="2"/>
  <c r="AB97" i="2" a="1"/>
  <c r="AB97" i="2"/>
  <c r="AA97" i="2" a="1"/>
  <c r="AA97" i="2"/>
  <c r="Z97" i="2" a="1"/>
  <c r="Z97" i="2"/>
  <c r="Y97" i="2" a="1"/>
  <c r="Y97" i="2"/>
  <c r="X97" i="2" a="1"/>
  <c r="X97" i="2"/>
  <c r="W97" i="2" a="1"/>
  <c r="W97" i="2"/>
  <c r="T97" i="2"/>
  <c r="AH96" i="2" a="1"/>
  <c r="AH96" i="2"/>
  <c r="AG96" i="2" a="1"/>
  <c r="AG96" i="2"/>
  <c r="AF96" i="2" a="1"/>
  <c r="AF96" i="2"/>
  <c r="AE96" i="2" a="1"/>
  <c r="AE96" i="2"/>
  <c r="AD96" i="2" a="1"/>
  <c r="AD96" i="2"/>
  <c r="AC96" i="2" a="1"/>
  <c r="AC96" i="2"/>
  <c r="AB96" i="2" a="1"/>
  <c r="AB96" i="2"/>
  <c r="AA96" i="2" a="1"/>
  <c r="AA96" i="2"/>
  <c r="Z96" i="2" a="1"/>
  <c r="Z96" i="2"/>
  <c r="Y96" i="2" a="1"/>
  <c r="Y96" i="2"/>
  <c r="X96" i="2" a="1"/>
  <c r="X96" i="2"/>
  <c r="W96" i="2" a="1"/>
  <c r="W96" i="2"/>
  <c r="T96" i="2"/>
  <c r="AH95" i="2" a="1"/>
  <c r="AH95" i="2"/>
  <c r="AG95" i="2" a="1"/>
  <c r="AG95" i="2"/>
  <c r="AF95" i="2" a="1"/>
  <c r="AF95" i="2"/>
  <c r="AE95" i="2" a="1"/>
  <c r="AE95" i="2"/>
  <c r="AD95" i="2" a="1"/>
  <c r="AD95" i="2"/>
  <c r="AC95" i="2" a="1"/>
  <c r="AC95" i="2"/>
  <c r="AB95" i="2" a="1"/>
  <c r="AB95" i="2"/>
  <c r="AA95" i="2" a="1"/>
  <c r="AA95" i="2"/>
  <c r="Z95" i="2" a="1"/>
  <c r="Z95" i="2"/>
  <c r="Y95" i="2" a="1"/>
  <c r="Y95" i="2"/>
  <c r="X95" i="2" a="1"/>
  <c r="X95" i="2"/>
  <c r="W95" i="2" a="1"/>
  <c r="W95" i="2"/>
  <c r="T95" i="2"/>
  <c r="AH94" i="2" a="1"/>
  <c r="AH94" i="2"/>
  <c r="AG94" i="2" a="1"/>
  <c r="AG94" i="2"/>
  <c r="AF94" i="2" a="1"/>
  <c r="AF94" i="2"/>
  <c r="AE94" i="2" a="1"/>
  <c r="AE94" i="2"/>
  <c r="AD94" i="2" a="1"/>
  <c r="AD94" i="2"/>
  <c r="AC94" i="2" a="1"/>
  <c r="AC94" i="2"/>
  <c r="AB94" i="2" a="1"/>
  <c r="AB94" i="2"/>
  <c r="AA94" i="2" a="1"/>
  <c r="AA94" i="2"/>
  <c r="Z94" i="2" a="1"/>
  <c r="Z94" i="2"/>
  <c r="Y94" i="2" a="1"/>
  <c r="Y94" i="2"/>
  <c r="X94" i="2" a="1"/>
  <c r="X94" i="2"/>
  <c r="W94" i="2" a="1"/>
  <c r="W94" i="2"/>
  <c r="T94" i="2"/>
  <c r="AH93" i="2" a="1"/>
  <c r="AH93" i="2"/>
  <c r="AG93" i="2" a="1"/>
  <c r="AG93" i="2"/>
  <c r="AF93" i="2" a="1"/>
  <c r="AF93" i="2"/>
  <c r="AE93" i="2" a="1"/>
  <c r="AE93" i="2"/>
  <c r="AD93" i="2" a="1"/>
  <c r="AD93" i="2"/>
  <c r="AC93" i="2" a="1"/>
  <c r="AC93" i="2"/>
  <c r="AB93" i="2" a="1"/>
  <c r="AB93" i="2"/>
  <c r="AA93" i="2" a="1"/>
  <c r="AA93" i="2"/>
  <c r="Z93" i="2" a="1"/>
  <c r="Z93" i="2"/>
  <c r="Y93" i="2" a="1"/>
  <c r="Y93" i="2"/>
  <c r="X93" i="2" a="1"/>
  <c r="X93" i="2"/>
  <c r="W93" i="2" a="1"/>
  <c r="W93" i="2"/>
  <c r="T93" i="2"/>
  <c r="AH92" i="2" a="1"/>
  <c r="AH92" i="2"/>
  <c r="AG92" i="2" a="1"/>
  <c r="AG92" i="2"/>
  <c r="AF92" i="2" a="1"/>
  <c r="AF92" i="2"/>
  <c r="AE92" i="2" a="1"/>
  <c r="AE92" i="2"/>
  <c r="AD92" i="2" a="1"/>
  <c r="AD92" i="2"/>
  <c r="AC92" i="2" a="1"/>
  <c r="AC92" i="2"/>
  <c r="AB92" i="2" a="1"/>
  <c r="AB92" i="2"/>
  <c r="AA92" i="2" a="1"/>
  <c r="AA92" i="2"/>
  <c r="Z92" i="2" a="1"/>
  <c r="Z92" i="2"/>
  <c r="Y92" i="2" a="1"/>
  <c r="Y92" i="2"/>
  <c r="X92" i="2" a="1"/>
  <c r="X92" i="2"/>
  <c r="W92" i="2" a="1"/>
  <c r="W92" i="2"/>
  <c r="T92" i="2"/>
  <c r="AH91" i="2" a="1"/>
  <c r="AH91" i="2"/>
  <c r="AG91" i="2" a="1"/>
  <c r="AG91" i="2"/>
  <c r="AF91" i="2" a="1"/>
  <c r="AF91" i="2"/>
  <c r="AE91" i="2" a="1"/>
  <c r="AE91" i="2"/>
  <c r="AD91" i="2" a="1"/>
  <c r="AD91" i="2"/>
  <c r="AC91" i="2" a="1"/>
  <c r="AC91" i="2"/>
  <c r="AB91" i="2" a="1"/>
  <c r="AB91" i="2"/>
  <c r="AA91" i="2" a="1"/>
  <c r="AA91" i="2"/>
  <c r="Z91" i="2" a="1"/>
  <c r="Z91" i="2"/>
  <c r="Y91" i="2" a="1"/>
  <c r="Y91" i="2"/>
  <c r="X91" i="2" a="1"/>
  <c r="X91" i="2"/>
  <c r="W91" i="2" a="1"/>
  <c r="W91" i="2"/>
  <c r="T91" i="2"/>
  <c r="AH90" i="2" a="1"/>
  <c r="AH90" i="2"/>
  <c r="AG90" i="2" a="1"/>
  <c r="AG90" i="2"/>
  <c r="AF90" i="2" a="1"/>
  <c r="AF90" i="2"/>
  <c r="AE90" i="2" a="1"/>
  <c r="AE90" i="2"/>
  <c r="AD90" i="2" a="1"/>
  <c r="AD90" i="2"/>
  <c r="AC90" i="2" a="1"/>
  <c r="AC90" i="2"/>
  <c r="AB90" i="2" a="1"/>
  <c r="AB90" i="2"/>
  <c r="AA90" i="2" a="1"/>
  <c r="AA90" i="2"/>
  <c r="Z90" i="2" a="1"/>
  <c r="Z90" i="2"/>
  <c r="Y90" i="2" a="1"/>
  <c r="Y90" i="2"/>
  <c r="X90" i="2" a="1"/>
  <c r="X90" i="2"/>
  <c r="W90" i="2" a="1"/>
  <c r="W90" i="2"/>
  <c r="T90" i="2"/>
  <c r="AH89" i="2" a="1"/>
  <c r="AH89" i="2"/>
  <c r="AG89" i="2" a="1"/>
  <c r="AG89" i="2"/>
  <c r="AF89" i="2" a="1"/>
  <c r="AF89" i="2"/>
  <c r="AE89" i="2" a="1"/>
  <c r="AE89" i="2"/>
  <c r="AD89" i="2" a="1"/>
  <c r="AD89" i="2"/>
  <c r="AC89" i="2" a="1"/>
  <c r="AC89" i="2"/>
  <c r="AB89" i="2" a="1"/>
  <c r="AB89" i="2"/>
  <c r="AA89" i="2" a="1"/>
  <c r="AA89" i="2"/>
  <c r="Z89" i="2" a="1"/>
  <c r="Z89" i="2"/>
  <c r="Y89" i="2" a="1"/>
  <c r="Y89" i="2"/>
  <c r="X89" i="2" a="1"/>
  <c r="X89" i="2"/>
  <c r="W89" i="2" a="1"/>
  <c r="W89" i="2"/>
  <c r="T89" i="2"/>
  <c r="AH88" i="2" a="1"/>
  <c r="AH88" i="2"/>
  <c r="AG88" i="2" a="1"/>
  <c r="AG88" i="2"/>
  <c r="AF88" i="2" a="1"/>
  <c r="AF88" i="2"/>
  <c r="AE88" i="2" a="1"/>
  <c r="AE88" i="2"/>
  <c r="AD88" i="2" a="1"/>
  <c r="AD88" i="2"/>
  <c r="AC88" i="2" a="1"/>
  <c r="AC88" i="2"/>
  <c r="AB88" i="2" a="1"/>
  <c r="AB88" i="2"/>
  <c r="AA88" i="2" a="1"/>
  <c r="AA88" i="2"/>
  <c r="Z88" i="2" a="1"/>
  <c r="Z88" i="2"/>
  <c r="Y88" i="2" a="1"/>
  <c r="Y88" i="2"/>
  <c r="X88" i="2" a="1"/>
  <c r="X88" i="2"/>
  <c r="W88" i="2" a="1"/>
  <c r="W88" i="2"/>
  <c r="T88" i="2"/>
  <c r="AH87" i="2" a="1"/>
  <c r="AH87" i="2"/>
  <c r="AG87" i="2" a="1"/>
  <c r="AG87" i="2"/>
  <c r="AF87" i="2" a="1"/>
  <c r="AF87" i="2"/>
  <c r="AE87" i="2" a="1"/>
  <c r="AE87" i="2"/>
  <c r="AD87" i="2" a="1"/>
  <c r="AD87" i="2"/>
  <c r="AC87" i="2" a="1"/>
  <c r="AC87" i="2"/>
  <c r="AB87" i="2" a="1"/>
  <c r="AB87" i="2"/>
  <c r="AA87" i="2" a="1"/>
  <c r="AA87" i="2"/>
  <c r="Z87" i="2" a="1"/>
  <c r="Z87" i="2"/>
  <c r="Y87" i="2" a="1"/>
  <c r="Y87" i="2"/>
  <c r="X87" i="2" a="1"/>
  <c r="X87" i="2"/>
  <c r="W87" i="2" a="1"/>
  <c r="W87" i="2"/>
  <c r="T87" i="2"/>
  <c r="AH86" i="2" a="1"/>
  <c r="AH86" i="2"/>
  <c r="AG86" i="2" a="1"/>
  <c r="AG86" i="2"/>
  <c r="AF86" i="2" a="1"/>
  <c r="AF86" i="2"/>
  <c r="AE86" i="2" a="1"/>
  <c r="AE86" i="2"/>
  <c r="AD86" i="2" a="1"/>
  <c r="AD86" i="2"/>
  <c r="AC86" i="2" a="1"/>
  <c r="AC86" i="2"/>
  <c r="AB86" i="2" a="1"/>
  <c r="AB86" i="2"/>
  <c r="AA86" i="2" a="1"/>
  <c r="AA86" i="2"/>
  <c r="Z86" i="2" a="1"/>
  <c r="Z86" i="2"/>
  <c r="Y86" i="2" a="1"/>
  <c r="Y86" i="2"/>
  <c r="X86" i="2" a="1"/>
  <c r="X86" i="2"/>
  <c r="W86" i="2" a="1"/>
  <c r="W86" i="2"/>
  <c r="T86" i="2"/>
  <c r="AH85" i="2" a="1"/>
  <c r="AH85" i="2"/>
  <c r="AG85" i="2" a="1"/>
  <c r="AG85" i="2"/>
  <c r="AF85" i="2" a="1"/>
  <c r="AF85" i="2"/>
  <c r="AE85" i="2" a="1"/>
  <c r="AE85" i="2"/>
  <c r="AD85" i="2" a="1"/>
  <c r="AD85" i="2"/>
  <c r="AC85" i="2" a="1"/>
  <c r="AC85" i="2"/>
  <c r="AB85" i="2" a="1"/>
  <c r="AB85" i="2"/>
  <c r="AA85" i="2" a="1"/>
  <c r="AA85" i="2"/>
  <c r="Z85" i="2" a="1"/>
  <c r="Z85" i="2"/>
  <c r="Y85" i="2" a="1"/>
  <c r="Y85" i="2"/>
  <c r="X85" i="2" a="1"/>
  <c r="X85" i="2"/>
  <c r="W85" i="2" a="1"/>
  <c r="W85" i="2"/>
  <c r="T85" i="2"/>
  <c r="AH84" i="2" a="1"/>
  <c r="AH84" i="2"/>
  <c r="AG84" i="2" a="1"/>
  <c r="AG84" i="2"/>
  <c r="AF84" i="2" a="1"/>
  <c r="AF84" i="2"/>
  <c r="AE84" i="2" a="1"/>
  <c r="AE84" i="2"/>
  <c r="AD84" i="2" a="1"/>
  <c r="AD84" i="2"/>
  <c r="AC84" i="2" a="1"/>
  <c r="AC84" i="2"/>
  <c r="AB84" i="2" a="1"/>
  <c r="AB84" i="2"/>
  <c r="AA84" i="2" a="1"/>
  <c r="AA84" i="2"/>
  <c r="Z84" i="2" a="1"/>
  <c r="Z84" i="2"/>
  <c r="Y84" i="2" a="1"/>
  <c r="Y84" i="2"/>
  <c r="X84" i="2" a="1"/>
  <c r="X84" i="2"/>
  <c r="W84" i="2" a="1"/>
  <c r="W84" i="2"/>
  <c r="T84" i="2"/>
  <c r="AH83" i="2" a="1"/>
  <c r="AH83" i="2"/>
  <c r="AG83" i="2" a="1"/>
  <c r="AG83" i="2"/>
  <c r="AF83" i="2" a="1"/>
  <c r="AF83" i="2"/>
  <c r="AE83" i="2" a="1"/>
  <c r="AE83" i="2"/>
  <c r="AD83" i="2" a="1"/>
  <c r="AD83" i="2"/>
  <c r="AC83" i="2" a="1"/>
  <c r="AC83" i="2"/>
  <c r="AB83" i="2" a="1"/>
  <c r="AB83" i="2"/>
  <c r="AA83" i="2" a="1"/>
  <c r="AA83" i="2"/>
  <c r="Z83" i="2" a="1"/>
  <c r="Z83" i="2"/>
  <c r="Y83" i="2" a="1"/>
  <c r="Y83" i="2"/>
  <c r="X83" i="2" a="1"/>
  <c r="X83" i="2"/>
  <c r="W83" i="2" a="1"/>
  <c r="W83" i="2"/>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c r="T82" i="2"/>
  <c r="AH81" i="2" a="1"/>
  <c r="AH81" i="2"/>
  <c r="AG81" i="2" a="1"/>
  <c r="AG81" i="2"/>
  <c r="AF81" i="2" a="1"/>
  <c r="AF81" i="2"/>
  <c r="AE81" i="2" a="1"/>
  <c r="AE81" i="2"/>
  <c r="AD81" i="2" a="1"/>
  <c r="AD81" i="2"/>
  <c r="AC81" i="2" a="1"/>
  <c r="AC81" i="2"/>
  <c r="AB81" i="2" a="1"/>
  <c r="AB81" i="2"/>
  <c r="AA81" i="2" a="1"/>
  <c r="AA81" i="2"/>
  <c r="Z81" i="2" a="1"/>
  <c r="Z81" i="2"/>
  <c r="Y81" i="2" a="1"/>
  <c r="Y81" i="2"/>
  <c r="X81" i="2" a="1"/>
  <c r="X81" i="2"/>
  <c r="W81" i="2" a="1"/>
  <c r="W81" i="2"/>
  <c r="T81" i="2"/>
  <c r="AH80" i="2" a="1"/>
  <c r="AH80" i="2"/>
  <c r="AG80" i="2" a="1"/>
  <c r="AG80" i="2"/>
  <c r="AF80" i="2" a="1"/>
  <c r="AF80" i="2"/>
  <c r="AE80" i="2" a="1"/>
  <c r="AE80" i="2"/>
  <c r="AD80" i="2" a="1"/>
  <c r="AD80" i="2"/>
  <c r="AC80" i="2" a="1"/>
  <c r="AC80" i="2"/>
  <c r="AB80" i="2" a="1"/>
  <c r="AB80" i="2"/>
  <c r="AA80" i="2" a="1"/>
  <c r="AA80" i="2"/>
  <c r="Z80" i="2" a="1"/>
  <c r="Z80" i="2"/>
  <c r="Y80" i="2" a="1"/>
  <c r="Y80" i="2"/>
  <c r="X80" i="2" a="1"/>
  <c r="X80" i="2"/>
  <c r="W80" i="2" a="1"/>
  <c r="W80" i="2"/>
  <c r="T80" i="2"/>
  <c r="AH79" i="2" a="1"/>
  <c r="AH79" i="2"/>
  <c r="AG79" i="2" a="1"/>
  <c r="AG79" i="2"/>
  <c r="AF79" i="2" a="1"/>
  <c r="AF79" i="2"/>
  <c r="AE79" i="2" a="1"/>
  <c r="AE79" i="2"/>
  <c r="AD79" i="2" a="1"/>
  <c r="AD79" i="2"/>
  <c r="AC79" i="2" a="1"/>
  <c r="AC79" i="2"/>
  <c r="AB79" i="2" a="1"/>
  <c r="AB79" i="2"/>
  <c r="AA79" i="2" a="1"/>
  <c r="AA79" i="2"/>
  <c r="Z79" i="2" a="1"/>
  <c r="Z79" i="2"/>
  <c r="Y79" i="2" a="1"/>
  <c r="Y79" i="2"/>
  <c r="X79" i="2" a="1"/>
  <c r="X79" i="2"/>
  <c r="W79" i="2" a="1"/>
  <c r="W79" i="2"/>
  <c r="T79" i="2"/>
  <c r="AH78" i="2" a="1"/>
  <c r="AH78" i="2"/>
  <c r="AG78" i="2" a="1"/>
  <c r="AG78" i="2"/>
  <c r="AF78" i="2" a="1"/>
  <c r="AF78" i="2"/>
  <c r="AE78" i="2" a="1"/>
  <c r="AE78" i="2"/>
  <c r="AD78" i="2" a="1"/>
  <c r="AD78" i="2"/>
  <c r="AC78" i="2" a="1"/>
  <c r="AC78" i="2"/>
  <c r="AB78" i="2" a="1"/>
  <c r="AB78" i="2"/>
  <c r="AA78" i="2" a="1"/>
  <c r="AA78" i="2"/>
  <c r="Z78" i="2" a="1"/>
  <c r="Z78" i="2"/>
  <c r="Y78" i="2" a="1"/>
  <c r="Y78" i="2"/>
  <c r="X78" i="2" a="1"/>
  <c r="X78" i="2"/>
  <c r="W78" i="2" a="1"/>
  <c r="W78" i="2"/>
  <c r="T78" i="2"/>
  <c r="AH77" i="2" a="1"/>
  <c r="AH77" i="2"/>
  <c r="AG77" i="2" a="1"/>
  <c r="AG77" i="2"/>
  <c r="AF77" i="2" a="1"/>
  <c r="AF77" i="2"/>
  <c r="AE77" i="2" a="1"/>
  <c r="AE77" i="2"/>
  <c r="AD77" i="2" a="1"/>
  <c r="AD77" i="2"/>
  <c r="AC77" i="2" a="1"/>
  <c r="AC77" i="2"/>
  <c r="AB77" i="2" a="1"/>
  <c r="AB77" i="2"/>
  <c r="AA77" i="2" a="1"/>
  <c r="AA77" i="2"/>
  <c r="Z77" i="2" a="1"/>
  <c r="Z77" i="2"/>
  <c r="Y77" i="2" a="1"/>
  <c r="Y77" i="2"/>
  <c r="X77" i="2" a="1"/>
  <c r="X77" i="2"/>
  <c r="W77" i="2" a="1"/>
  <c r="W77" i="2"/>
  <c r="T77" i="2"/>
  <c r="AH76" i="2" a="1"/>
  <c r="AH76" i="2"/>
  <c r="AG76" i="2" a="1"/>
  <c r="AG76" i="2"/>
  <c r="AF76" i="2" a="1"/>
  <c r="AF76" i="2"/>
  <c r="AE76" i="2" a="1"/>
  <c r="AE76" i="2"/>
  <c r="AD76" i="2" a="1"/>
  <c r="AD76" i="2"/>
  <c r="AC76" i="2" a="1"/>
  <c r="AC76" i="2"/>
  <c r="AB76" i="2" a="1"/>
  <c r="AB76" i="2"/>
  <c r="AA76" i="2" a="1"/>
  <c r="AA76" i="2"/>
  <c r="Z76" i="2" a="1"/>
  <c r="Z76" i="2"/>
  <c r="Y76" i="2" a="1"/>
  <c r="Y76" i="2"/>
  <c r="X76" i="2" a="1"/>
  <c r="X76" i="2"/>
  <c r="W76" i="2" a="1"/>
  <c r="W76" i="2"/>
  <c r="T76" i="2"/>
  <c r="AH75" i="2" a="1"/>
  <c r="AH75" i="2"/>
  <c r="AG75" i="2" a="1"/>
  <c r="AG75" i="2"/>
  <c r="AF75" i="2" a="1"/>
  <c r="AF75" i="2"/>
  <c r="AE75" i="2" a="1"/>
  <c r="AE75" i="2"/>
  <c r="AD75" i="2" a="1"/>
  <c r="AD75" i="2"/>
  <c r="AC75" i="2" a="1"/>
  <c r="AC75" i="2"/>
  <c r="AB75" i="2" a="1"/>
  <c r="AB75" i="2"/>
  <c r="AA75" i="2" a="1"/>
  <c r="AA75" i="2"/>
  <c r="Z75" i="2" a="1"/>
  <c r="Z75" i="2"/>
  <c r="Y75" i="2" a="1"/>
  <c r="Y75" i="2"/>
  <c r="X75" i="2" a="1"/>
  <c r="X75" i="2"/>
  <c r="W75" i="2" a="1"/>
  <c r="W75" i="2"/>
  <c r="T75" i="2"/>
  <c r="AH74" i="2" a="1"/>
  <c r="AH74" i="2"/>
  <c r="AG74" i="2" a="1"/>
  <c r="AG74" i="2"/>
  <c r="AF74" i="2" a="1"/>
  <c r="AF74" i="2"/>
  <c r="AE74" i="2" a="1"/>
  <c r="AE74" i="2"/>
  <c r="AD74" i="2" a="1"/>
  <c r="AD74" i="2"/>
  <c r="AC74" i="2" a="1"/>
  <c r="AC74" i="2"/>
  <c r="AB74" i="2" a="1"/>
  <c r="AB74" i="2"/>
  <c r="AA74" i="2" a="1"/>
  <c r="AA74" i="2"/>
  <c r="Z74" i="2" a="1"/>
  <c r="Z74" i="2"/>
  <c r="Y74" i="2" a="1"/>
  <c r="Y74" i="2"/>
  <c r="X74" i="2" a="1"/>
  <c r="X74" i="2"/>
  <c r="W74" i="2" a="1"/>
  <c r="W74" i="2"/>
  <c r="T74" i="2"/>
  <c r="AH73" i="2" a="1"/>
  <c r="AH73" i="2"/>
  <c r="AG73" i="2" a="1"/>
  <c r="AG73" i="2"/>
  <c r="AF73" i="2" a="1"/>
  <c r="AF73" i="2"/>
  <c r="AE73" i="2" a="1"/>
  <c r="AE73" i="2"/>
  <c r="AD73" i="2" a="1"/>
  <c r="AD73" i="2"/>
  <c r="AC73" i="2" a="1"/>
  <c r="AC73" i="2"/>
  <c r="AB73" i="2" a="1"/>
  <c r="AB73" i="2"/>
  <c r="AA73" i="2" a="1"/>
  <c r="AA73" i="2"/>
  <c r="Z73" i="2" a="1"/>
  <c r="Z73" i="2"/>
  <c r="Y73" i="2" a="1"/>
  <c r="Y73" i="2"/>
  <c r="X73" i="2" a="1"/>
  <c r="X73" i="2"/>
  <c r="W73" i="2" a="1"/>
  <c r="W73" i="2"/>
  <c r="T73" i="2"/>
  <c r="AH72" i="2" a="1"/>
  <c r="AH72" i="2"/>
  <c r="AG72" i="2" a="1"/>
  <c r="AG72" i="2"/>
  <c r="AF72" i="2" a="1"/>
  <c r="AF72" i="2"/>
  <c r="AE72" i="2" a="1"/>
  <c r="AE72" i="2"/>
  <c r="AD72" i="2" a="1"/>
  <c r="AD72" i="2"/>
  <c r="AC72" i="2" a="1"/>
  <c r="AC72" i="2"/>
  <c r="AB72" i="2" a="1"/>
  <c r="AB72" i="2"/>
  <c r="AA72" i="2" a="1"/>
  <c r="AA72" i="2"/>
  <c r="Z72" i="2" a="1"/>
  <c r="Z72" i="2"/>
  <c r="Y72" i="2" a="1"/>
  <c r="Y72" i="2"/>
  <c r="X72" i="2" a="1"/>
  <c r="X72" i="2"/>
  <c r="W72" i="2" a="1"/>
  <c r="W72" i="2"/>
  <c r="T72" i="2"/>
  <c r="AH71" i="2" a="1"/>
  <c r="AH71" i="2"/>
  <c r="AG71" i="2" a="1"/>
  <c r="AG71" i="2"/>
  <c r="AF71" i="2" a="1"/>
  <c r="AF71" i="2"/>
  <c r="AE71" i="2" a="1"/>
  <c r="AE71" i="2"/>
  <c r="AD71" i="2" a="1"/>
  <c r="AD71" i="2"/>
  <c r="AC71" i="2" a="1"/>
  <c r="AC71" i="2"/>
  <c r="AB71" i="2" a="1"/>
  <c r="AB71" i="2"/>
  <c r="AA71" i="2" a="1"/>
  <c r="AA71" i="2"/>
  <c r="Z71" i="2" a="1"/>
  <c r="Z71" i="2"/>
  <c r="Y71" i="2" a="1"/>
  <c r="Y71" i="2"/>
  <c r="X71" i="2" a="1"/>
  <c r="X71" i="2"/>
  <c r="W71" i="2" a="1"/>
  <c r="W71" i="2"/>
  <c r="T71" i="2"/>
  <c r="AH70" i="2" a="1"/>
  <c r="AH70" i="2"/>
  <c r="AG70" i="2" a="1"/>
  <c r="AG70" i="2"/>
  <c r="AF70" i="2" a="1"/>
  <c r="AF70" i="2"/>
  <c r="AE70" i="2" a="1"/>
  <c r="AE70" i="2"/>
  <c r="AD70" i="2" a="1"/>
  <c r="AD70" i="2"/>
  <c r="AC70" i="2" a="1"/>
  <c r="AC70" i="2"/>
  <c r="AB70" i="2" a="1"/>
  <c r="AB70" i="2"/>
  <c r="AA70" i="2" a="1"/>
  <c r="AA70" i="2"/>
  <c r="Z70" i="2" a="1"/>
  <c r="Z70" i="2"/>
  <c r="Y70" i="2" a="1"/>
  <c r="Y70" i="2"/>
  <c r="X70" i="2" a="1"/>
  <c r="X70" i="2"/>
  <c r="W70" i="2" a="1"/>
  <c r="W70" i="2"/>
  <c r="T70" i="2"/>
  <c r="AH69" i="2" a="1"/>
  <c r="AH69" i="2"/>
  <c r="AG69" i="2" a="1"/>
  <c r="AG69" i="2"/>
  <c r="AF69" i="2" a="1"/>
  <c r="AF69" i="2"/>
  <c r="AE69" i="2" a="1"/>
  <c r="AE69" i="2"/>
  <c r="AD69" i="2" a="1"/>
  <c r="AD69" i="2"/>
  <c r="AC69" i="2" a="1"/>
  <c r="AC69" i="2"/>
  <c r="AB69" i="2" a="1"/>
  <c r="AB69" i="2"/>
  <c r="AA69" i="2" a="1"/>
  <c r="AA69" i="2"/>
  <c r="Z69" i="2" a="1"/>
  <c r="Z69" i="2"/>
  <c r="Y69" i="2" a="1"/>
  <c r="Y69" i="2"/>
  <c r="X69" i="2" a="1"/>
  <c r="X69" i="2"/>
  <c r="W69" i="2" a="1"/>
  <c r="W69" i="2"/>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c r="T68" i="2"/>
  <c r="AH67" i="2" a="1"/>
  <c r="AH67" i="2"/>
  <c r="AG67" i="2" a="1"/>
  <c r="AG67" i="2"/>
  <c r="AF67" i="2" a="1"/>
  <c r="AF67" i="2"/>
  <c r="AE67" i="2" a="1"/>
  <c r="AE67" i="2"/>
  <c r="AD67" i="2" a="1"/>
  <c r="AD67" i="2"/>
  <c r="AC67" i="2" a="1"/>
  <c r="AC67" i="2"/>
  <c r="AB67" i="2" a="1"/>
  <c r="AB67" i="2"/>
  <c r="AA67" i="2" a="1"/>
  <c r="AA67" i="2"/>
  <c r="Z67" i="2" a="1"/>
  <c r="Z67" i="2"/>
  <c r="Y67" i="2" a="1"/>
  <c r="Y67" i="2"/>
  <c r="X67" i="2" a="1"/>
  <c r="X67" i="2"/>
  <c r="W67" i="2" a="1"/>
  <c r="W67" i="2"/>
  <c r="T67" i="2"/>
  <c r="AH66" i="2" a="1"/>
  <c r="AH66" i="2"/>
  <c r="AG66" i="2" a="1"/>
  <c r="AG66" i="2"/>
  <c r="AF66" i="2" a="1"/>
  <c r="AF66" i="2"/>
  <c r="AE66" i="2" a="1"/>
  <c r="AE66" i="2"/>
  <c r="AD66" i="2" a="1"/>
  <c r="AD66" i="2"/>
  <c r="AC66" i="2" a="1"/>
  <c r="AC66" i="2"/>
  <c r="AB66" i="2" a="1"/>
  <c r="AB66" i="2"/>
  <c r="AA66" i="2" a="1"/>
  <c r="AA66" i="2"/>
  <c r="Z66" i="2" a="1"/>
  <c r="Z66" i="2"/>
  <c r="Y66" i="2" a="1"/>
  <c r="Y66" i="2"/>
  <c r="X66" i="2" a="1"/>
  <c r="X66" i="2"/>
  <c r="W66" i="2" a="1"/>
  <c r="W66" i="2"/>
  <c r="T66" i="2"/>
  <c r="AH65" i="2" a="1"/>
  <c r="AH65" i="2"/>
  <c r="AG65" i="2" a="1"/>
  <c r="AG65" i="2"/>
  <c r="AF65" i="2" a="1"/>
  <c r="AF65" i="2"/>
  <c r="AE65" i="2" a="1"/>
  <c r="AE65" i="2"/>
  <c r="AD65" i="2" a="1"/>
  <c r="AD65" i="2"/>
  <c r="AC65" i="2" a="1"/>
  <c r="AC65" i="2"/>
  <c r="AB65" i="2" a="1"/>
  <c r="AB65" i="2"/>
  <c r="AA65" i="2" a="1"/>
  <c r="AA65" i="2"/>
  <c r="Z65" i="2" a="1"/>
  <c r="Z65" i="2"/>
  <c r="Y65" i="2" a="1"/>
  <c r="Y65" i="2"/>
  <c r="X65" i="2" a="1"/>
  <c r="X65" i="2"/>
  <c r="W65" i="2" a="1"/>
  <c r="W65" i="2"/>
  <c r="T65" i="2"/>
  <c r="AH64" i="2" a="1"/>
  <c r="AH64" i="2"/>
  <c r="AG64" i="2" a="1"/>
  <c r="AG64" i="2"/>
  <c r="AF64" i="2" a="1"/>
  <c r="AF64" i="2"/>
  <c r="AE64" i="2" a="1"/>
  <c r="AE64" i="2"/>
  <c r="AD64" i="2" a="1"/>
  <c r="AD64" i="2"/>
  <c r="AC64" i="2" a="1"/>
  <c r="AC64" i="2"/>
  <c r="AB64" i="2" a="1"/>
  <c r="AB64" i="2"/>
  <c r="AA64" i="2" a="1"/>
  <c r="AA64" i="2"/>
  <c r="Z64" i="2" a="1"/>
  <c r="Z64" i="2"/>
  <c r="Y64" i="2" a="1"/>
  <c r="Y64" i="2"/>
  <c r="X64" i="2" a="1"/>
  <c r="X64" i="2"/>
  <c r="W64" i="2" a="1"/>
  <c r="W64" i="2"/>
  <c r="T64" i="2"/>
  <c r="AH63" i="2" a="1"/>
  <c r="AH63" i="2"/>
  <c r="AG63" i="2" a="1"/>
  <c r="AG63" i="2"/>
  <c r="AF63" i="2" a="1"/>
  <c r="AF63" i="2"/>
  <c r="AE63" i="2" a="1"/>
  <c r="AE63" i="2"/>
  <c r="AD63" i="2" a="1"/>
  <c r="AD63" i="2"/>
  <c r="AC63" i="2" a="1"/>
  <c r="AC63" i="2"/>
  <c r="AB63" i="2" a="1"/>
  <c r="AB63" i="2"/>
  <c r="AA63" i="2" a="1"/>
  <c r="AA63" i="2"/>
  <c r="Z63" i="2" a="1"/>
  <c r="Z63" i="2"/>
  <c r="Y63" i="2" a="1"/>
  <c r="Y63" i="2"/>
  <c r="X63" i="2" a="1"/>
  <c r="X63" i="2"/>
  <c r="W63" i="2" a="1"/>
  <c r="W63" i="2"/>
  <c r="T63" i="2"/>
  <c r="AH62" i="2" a="1"/>
  <c r="AH62" i="2"/>
  <c r="AG62" i="2" a="1"/>
  <c r="AG62" i="2"/>
  <c r="AF62" i="2" a="1"/>
  <c r="AF62" i="2"/>
  <c r="AE62" i="2" a="1"/>
  <c r="AE62" i="2"/>
  <c r="AD62" i="2" a="1"/>
  <c r="AD62" i="2"/>
  <c r="AC62" i="2" a="1"/>
  <c r="AC62" i="2"/>
  <c r="AB62" i="2" a="1"/>
  <c r="AB62" i="2"/>
  <c r="AA62" i="2" a="1"/>
  <c r="AA62" i="2"/>
  <c r="Z62" i="2" a="1"/>
  <c r="Z62" i="2"/>
  <c r="Y62" i="2" a="1"/>
  <c r="Y62" i="2"/>
  <c r="X62" i="2" a="1"/>
  <c r="X62" i="2"/>
  <c r="W62" i="2" a="1"/>
  <c r="W62" i="2"/>
  <c r="T62" i="2"/>
  <c r="AH61" i="2" a="1"/>
  <c r="AH61" i="2"/>
  <c r="AG61" i="2" a="1"/>
  <c r="AG61" i="2"/>
  <c r="AF61" i="2" a="1"/>
  <c r="AF61" i="2"/>
  <c r="AE61" i="2" a="1"/>
  <c r="AE61" i="2"/>
  <c r="AD61" i="2" a="1"/>
  <c r="AD61" i="2"/>
  <c r="AC61" i="2" a="1"/>
  <c r="AC61" i="2"/>
  <c r="AB61" i="2" a="1"/>
  <c r="AB61" i="2"/>
  <c r="AA61" i="2" a="1"/>
  <c r="AA61" i="2"/>
  <c r="Z61" i="2" a="1"/>
  <c r="Z61" i="2"/>
  <c r="Y61" i="2" a="1"/>
  <c r="Y61" i="2"/>
  <c r="X61" i="2" a="1"/>
  <c r="X61" i="2"/>
  <c r="W61" i="2" a="1"/>
  <c r="W61" i="2"/>
  <c r="T61" i="2"/>
  <c r="AH60" i="2" a="1"/>
  <c r="AH60" i="2"/>
  <c r="AG60" i="2" a="1"/>
  <c r="AG60" i="2"/>
  <c r="AF60" i="2" a="1"/>
  <c r="AF60" i="2"/>
  <c r="AE60" i="2" a="1"/>
  <c r="AE60" i="2"/>
  <c r="AD60" i="2" a="1"/>
  <c r="AD60" i="2"/>
  <c r="AC60" i="2" a="1"/>
  <c r="AC60" i="2"/>
  <c r="AB60" i="2" a="1"/>
  <c r="AB60" i="2"/>
  <c r="AA60" i="2" a="1"/>
  <c r="AA60" i="2"/>
  <c r="Z60" i="2" a="1"/>
  <c r="Z60" i="2"/>
  <c r="Y60" i="2" a="1"/>
  <c r="Y60" i="2"/>
  <c r="X60" i="2" a="1"/>
  <c r="X60" i="2"/>
  <c r="W60" i="2" a="1"/>
  <c r="W60" i="2"/>
  <c r="T60" i="2"/>
  <c r="AH59" i="2" a="1"/>
  <c r="AH59" i="2"/>
  <c r="AG59" i="2" a="1"/>
  <c r="AG59" i="2"/>
  <c r="AF59" i="2" a="1"/>
  <c r="AF59" i="2"/>
  <c r="AE59" i="2" a="1"/>
  <c r="AE59" i="2"/>
  <c r="AD59" i="2" a="1"/>
  <c r="AD59" i="2"/>
  <c r="AC59" i="2" a="1"/>
  <c r="AC59" i="2"/>
  <c r="AB59" i="2" a="1"/>
  <c r="AB59" i="2"/>
  <c r="AA59" i="2" a="1"/>
  <c r="AA59" i="2"/>
  <c r="Z59" i="2" a="1"/>
  <c r="Z59" i="2"/>
  <c r="Y59" i="2" a="1"/>
  <c r="Y59" i="2"/>
  <c r="X59" i="2" a="1"/>
  <c r="X59" i="2"/>
  <c r="W59" i="2" a="1"/>
  <c r="W59" i="2"/>
  <c r="T59" i="2"/>
  <c r="AH58" i="2" a="1"/>
  <c r="AH58" i="2"/>
  <c r="AG58" i="2" a="1"/>
  <c r="AG58" i="2"/>
  <c r="AF58" i="2" a="1"/>
  <c r="AF58" i="2"/>
  <c r="AE58" i="2" a="1"/>
  <c r="AE58" i="2"/>
  <c r="AD58" i="2" a="1"/>
  <c r="AD58" i="2"/>
  <c r="AC58" i="2" a="1"/>
  <c r="AC58" i="2"/>
  <c r="AB58" i="2" a="1"/>
  <c r="AB58" i="2"/>
  <c r="AA58" i="2" a="1"/>
  <c r="AA58" i="2"/>
  <c r="Z58" i="2" a="1"/>
  <c r="Z58" i="2"/>
  <c r="Y58" i="2" a="1"/>
  <c r="Y58" i="2"/>
  <c r="X58" i="2" a="1"/>
  <c r="X58" i="2"/>
  <c r="W58" i="2" a="1"/>
  <c r="W58" i="2"/>
  <c r="T58" i="2"/>
  <c r="AH57" i="2" a="1"/>
  <c r="AH57" i="2"/>
  <c r="AG57" i="2" a="1"/>
  <c r="AG57" i="2"/>
  <c r="AF57" i="2" a="1"/>
  <c r="AF57" i="2"/>
  <c r="AE57" i="2" a="1"/>
  <c r="AE57" i="2"/>
  <c r="AD57" i="2" a="1"/>
  <c r="AD57" i="2"/>
  <c r="AC57" i="2" a="1"/>
  <c r="AC57" i="2"/>
  <c r="AB57" i="2" a="1"/>
  <c r="AB57" i="2"/>
  <c r="AA57" i="2" a="1"/>
  <c r="AA57" i="2"/>
  <c r="Z57" i="2" a="1"/>
  <c r="Z57" i="2"/>
  <c r="Y57" i="2" a="1"/>
  <c r="Y57" i="2"/>
  <c r="X57" i="2" a="1"/>
  <c r="X57" i="2"/>
  <c r="W57" i="2" a="1"/>
  <c r="W57" i="2"/>
  <c r="T57" i="2"/>
  <c r="AH56" i="2" a="1"/>
  <c r="AH56" i="2"/>
  <c r="AG56" i="2" a="1"/>
  <c r="AG56" i="2"/>
  <c r="AF56" i="2" a="1"/>
  <c r="AF56" i="2"/>
  <c r="AE56" i="2" a="1"/>
  <c r="AE56" i="2"/>
  <c r="AD56" i="2" a="1"/>
  <c r="AD56" i="2"/>
  <c r="AC56" i="2" a="1"/>
  <c r="AC56" i="2"/>
  <c r="AB56" i="2" a="1"/>
  <c r="AB56" i="2"/>
  <c r="AA56" i="2" a="1"/>
  <c r="AA56" i="2"/>
  <c r="Z56" i="2" a="1"/>
  <c r="Z56" i="2"/>
  <c r="Y56" i="2" a="1"/>
  <c r="Y56" i="2"/>
  <c r="X56" i="2" a="1"/>
  <c r="X56" i="2"/>
  <c r="W56" i="2" a="1"/>
  <c r="W56" i="2"/>
  <c r="T56" i="2"/>
  <c r="AH55" i="2" a="1"/>
  <c r="AH55" i="2"/>
  <c r="AG55" i="2" a="1"/>
  <c r="AG55" i="2"/>
  <c r="AF55" i="2" a="1"/>
  <c r="AF55" i="2"/>
  <c r="AE55" i="2" a="1"/>
  <c r="AE55" i="2"/>
  <c r="AD55" i="2" a="1"/>
  <c r="AD55" i="2"/>
  <c r="AC55" i="2" a="1"/>
  <c r="AC55" i="2"/>
  <c r="AB55" i="2" a="1"/>
  <c r="AB55" i="2"/>
  <c r="AA55" i="2" a="1"/>
  <c r="AA55" i="2"/>
  <c r="Z55" i="2" a="1"/>
  <c r="Z55" i="2"/>
  <c r="Y55" i="2" a="1"/>
  <c r="Y55" i="2"/>
  <c r="X55" i="2" a="1"/>
  <c r="X55" i="2"/>
  <c r="W55" i="2" a="1"/>
  <c r="W55" i="2"/>
  <c r="T55" i="2"/>
  <c r="AH54" i="2" a="1"/>
  <c r="AH54" i="2"/>
  <c r="AG54" i="2" a="1"/>
  <c r="AG54" i="2"/>
  <c r="AF54" i="2" a="1"/>
  <c r="AF54" i="2"/>
  <c r="AE54" i="2" a="1"/>
  <c r="AE54" i="2"/>
  <c r="AD54" i="2" a="1"/>
  <c r="AD54" i="2"/>
  <c r="AC54" i="2" a="1"/>
  <c r="AC54" i="2"/>
  <c r="AB54" i="2" a="1"/>
  <c r="AB54" i="2"/>
  <c r="AA54" i="2" a="1"/>
  <c r="AA54" i="2"/>
  <c r="Z54" i="2" a="1"/>
  <c r="Z54" i="2"/>
  <c r="Y54" i="2" a="1"/>
  <c r="Y54" i="2"/>
  <c r="X54" i="2" a="1"/>
  <c r="X54" i="2"/>
  <c r="W54" i="2" a="1"/>
  <c r="W54" i="2"/>
  <c r="T54" i="2"/>
  <c r="AH53" i="2" a="1"/>
  <c r="AH53" i="2"/>
  <c r="AG53" i="2" a="1"/>
  <c r="AG53" i="2"/>
  <c r="AF53" i="2" a="1"/>
  <c r="AF53" i="2"/>
  <c r="AE53" i="2" a="1"/>
  <c r="AE53" i="2"/>
  <c r="AD53" i="2" a="1"/>
  <c r="AD53" i="2"/>
  <c r="AC53" i="2" a="1"/>
  <c r="AC53" i="2"/>
  <c r="AB53" i="2" a="1"/>
  <c r="AB53" i="2"/>
  <c r="AA53" i="2" a="1"/>
  <c r="AA53" i="2"/>
  <c r="Z53" i="2" a="1"/>
  <c r="Z53" i="2"/>
  <c r="Y53" i="2" a="1"/>
  <c r="Y53" i="2"/>
  <c r="X53" i="2" a="1"/>
  <c r="X53" i="2"/>
  <c r="W53" i="2" a="1"/>
  <c r="W53" i="2"/>
  <c r="T53" i="2"/>
  <c r="AH52" i="2" a="1"/>
  <c r="AH52" i="2"/>
  <c r="AG52" i="2" a="1"/>
  <c r="AG52" i="2"/>
  <c r="AF52" i="2" a="1"/>
  <c r="AF52" i="2"/>
  <c r="AE52" i="2" a="1"/>
  <c r="AE52" i="2"/>
  <c r="AD52" i="2" a="1"/>
  <c r="AD52" i="2"/>
  <c r="AC52" i="2" a="1"/>
  <c r="AC52" i="2"/>
  <c r="AB52" i="2" a="1"/>
  <c r="AB52" i="2"/>
  <c r="AA52" i="2" a="1"/>
  <c r="AA52" i="2"/>
  <c r="Z52" i="2" a="1"/>
  <c r="Z52" i="2"/>
  <c r="Y52" i="2" a="1"/>
  <c r="Y52" i="2"/>
  <c r="X52" i="2" a="1"/>
  <c r="X52" i="2"/>
  <c r="W52" i="2" a="1"/>
  <c r="W52" i="2"/>
  <c r="T52" i="2"/>
  <c r="AH51" i="2" a="1"/>
  <c r="AH51" i="2"/>
  <c r="AG51" i="2" a="1"/>
  <c r="AG51" i="2"/>
  <c r="AF51" i="2" a="1"/>
  <c r="AF51" i="2"/>
  <c r="AE51" i="2" a="1"/>
  <c r="AE51" i="2"/>
  <c r="AD51" i="2" a="1"/>
  <c r="AD51" i="2"/>
  <c r="AC51" i="2" a="1"/>
  <c r="AC51" i="2"/>
  <c r="AB51" i="2" a="1"/>
  <c r="AB51" i="2"/>
  <c r="AA51" i="2" a="1"/>
  <c r="AA51" i="2"/>
  <c r="Z51" i="2" a="1"/>
  <c r="Z51" i="2"/>
  <c r="Y51" i="2" a="1"/>
  <c r="Y51" i="2"/>
  <c r="X51" i="2" a="1"/>
  <c r="X51" i="2"/>
  <c r="W51" i="2" a="1"/>
  <c r="W51" i="2"/>
  <c r="T51" i="2"/>
  <c r="AH50" i="2" a="1"/>
  <c r="AH50" i="2"/>
  <c r="AG50" i="2" a="1"/>
  <c r="AG50" i="2"/>
  <c r="AF50" i="2" a="1"/>
  <c r="AF50" i="2"/>
  <c r="AE50" i="2" a="1"/>
  <c r="AE50" i="2"/>
  <c r="AD50" i="2" a="1"/>
  <c r="AD50" i="2"/>
  <c r="AC50" i="2" a="1"/>
  <c r="AC50" i="2"/>
  <c r="AB50" i="2" a="1"/>
  <c r="AB50" i="2"/>
  <c r="AA50" i="2" a="1"/>
  <c r="AA50" i="2"/>
  <c r="Z50" i="2" a="1"/>
  <c r="Z50" i="2"/>
  <c r="Y50" i="2" a="1"/>
  <c r="Y50" i="2"/>
  <c r="X50" i="2" a="1"/>
  <c r="X50" i="2"/>
  <c r="W50" i="2" a="1"/>
  <c r="W50" i="2"/>
  <c r="T50" i="2"/>
  <c r="AH49" i="2" a="1"/>
  <c r="AH49" i="2"/>
  <c r="AG49" i="2" a="1"/>
  <c r="AG49" i="2"/>
  <c r="AF49" i="2" a="1"/>
  <c r="AF49" i="2"/>
  <c r="AE49" i="2" a="1"/>
  <c r="AE49" i="2"/>
  <c r="AD49" i="2" a="1"/>
  <c r="AD49" i="2"/>
  <c r="AC49" i="2" a="1"/>
  <c r="AC49" i="2"/>
  <c r="AB49" i="2" a="1"/>
  <c r="AB49" i="2"/>
  <c r="AA49" i="2" a="1"/>
  <c r="AA49" i="2"/>
  <c r="Z49" i="2" a="1"/>
  <c r="Z49" i="2"/>
  <c r="Y49" i="2" a="1"/>
  <c r="Y49" i="2"/>
  <c r="X49" i="2" a="1"/>
  <c r="X49" i="2"/>
  <c r="W49" i="2" a="1"/>
  <c r="W49" i="2"/>
  <c r="T49" i="2"/>
  <c r="AH48" i="2" a="1"/>
  <c r="AH48" i="2"/>
  <c r="AG48" i="2" a="1"/>
  <c r="AG48" i="2"/>
  <c r="AF48" i="2" a="1"/>
  <c r="AF48" i="2"/>
  <c r="AE48" i="2" a="1"/>
  <c r="AE48" i="2"/>
  <c r="AD48" i="2" a="1"/>
  <c r="AD48" i="2"/>
  <c r="AC48" i="2" a="1"/>
  <c r="AC48" i="2"/>
  <c r="AB48" i="2" a="1"/>
  <c r="AB48" i="2"/>
  <c r="AA48" i="2" a="1"/>
  <c r="AA48" i="2"/>
  <c r="Z48" i="2" a="1"/>
  <c r="Z48" i="2"/>
  <c r="Y48" i="2" a="1"/>
  <c r="Y48" i="2"/>
  <c r="X48" i="2" a="1"/>
  <c r="X48" i="2"/>
  <c r="W48" i="2" a="1"/>
  <c r="W48" i="2"/>
  <c r="T48" i="2"/>
  <c r="AH47" i="2" a="1"/>
  <c r="AH47" i="2"/>
  <c r="AG47" i="2" a="1"/>
  <c r="AG47" i="2"/>
  <c r="AF47" i="2" a="1"/>
  <c r="AF47" i="2"/>
  <c r="AE47" i="2" a="1"/>
  <c r="AE47" i="2"/>
  <c r="AD47" i="2" a="1"/>
  <c r="AD47" i="2"/>
  <c r="AC47" i="2" a="1"/>
  <c r="AC47" i="2"/>
  <c r="AB47" i="2" a="1"/>
  <c r="AB47" i="2"/>
  <c r="AA47" i="2" a="1"/>
  <c r="AA47" i="2"/>
  <c r="Z47" i="2" a="1"/>
  <c r="Z47" i="2"/>
  <c r="Y47" i="2" a="1"/>
  <c r="Y47" i="2"/>
  <c r="X47" i="2" a="1"/>
  <c r="X47" i="2"/>
  <c r="W47" i="2" a="1"/>
  <c r="W47" i="2"/>
  <c r="T47" i="2"/>
  <c r="AH46" i="2" a="1"/>
  <c r="AH46" i="2"/>
  <c r="AG46" i="2" a="1"/>
  <c r="AG46" i="2"/>
  <c r="AF46" i="2" a="1"/>
  <c r="AF46" i="2"/>
  <c r="AE46" i="2" a="1"/>
  <c r="AE46" i="2"/>
  <c r="AD46" i="2" a="1"/>
  <c r="AD46" i="2"/>
  <c r="AC46" i="2" a="1"/>
  <c r="AC46" i="2"/>
  <c r="AB46" i="2" a="1"/>
  <c r="AB46" i="2"/>
  <c r="AA46" i="2" a="1"/>
  <c r="AA46" i="2"/>
  <c r="Z46" i="2" a="1"/>
  <c r="Z46" i="2"/>
  <c r="Y46" i="2" a="1"/>
  <c r="Y46" i="2"/>
  <c r="X46" i="2" a="1"/>
  <c r="X46" i="2"/>
  <c r="W46" i="2" a="1"/>
  <c r="W46" i="2"/>
  <c r="T46" i="2"/>
  <c r="AH45" i="2" a="1"/>
  <c r="AH45" i="2"/>
  <c r="AG45" i="2" a="1"/>
  <c r="AG45" i="2"/>
  <c r="AF45" i="2" a="1"/>
  <c r="AF45" i="2"/>
  <c r="AE45" i="2" a="1"/>
  <c r="AE45" i="2"/>
  <c r="AD45" i="2" a="1"/>
  <c r="AD45" i="2"/>
  <c r="AC45" i="2" a="1"/>
  <c r="AC45" i="2"/>
  <c r="AB45" i="2" a="1"/>
  <c r="AB45" i="2"/>
  <c r="AA45" i="2" a="1"/>
  <c r="AA45" i="2"/>
  <c r="Z45" i="2" a="1"/>
  <c r="Z45" i="2"/>
  <c r="Y45" i="2" a="1"/>
  <c r="Y45" i="2"/>
  <c r="X45" i="2" a="1"/>
  <c r="X45" i="2"/>
  <c r="W45" i="2" a="1"/>
  <c r="W45" i="2"/>
  <c r="T45" i="2"/>
  <c r="AH44" i="2" a="1"/>
  <c r="AH44" i="2"/>
  <c r="AG44" i="2" a="1"/>
  <c r="AG44" i="2"/>
  <c r="AF44" i="2" a="1"/>
  <c r="AF44" i="2"/>
  <c r="AE44" i="2" a="1"/>
  <c r="AE44" i="2"/>
  <c r="AD44" i="2" a="1"/>
  <c r="AD44" i="2"/>
  <c r="AC44" i="2" a="1"/>
  <c r="AC44" i="2"/>
  <c r="AB44" i="2" a="1"/>
  <c r="AB44" i="2"/>
  <c r="AA44" i="2" a="1"/>
  <c r="AA44" i="2"/>
  <c r="Z44" i="2" a="1"/>
  <c r="Z44" i="2"/>
  <c r="Y44" i="2" a="1"/>
  <c r="Y44" i="2"/>
  <c r="X44" i="2" a="1"/>
  <c r="X44" i="2"/>
  <c r="W44" i="2" a="1"/>
  <c r="W44" i="2"/>
  <c r="T44" i="2"/>
  <c r="AH43" i="2" a="1"/>
  <c r="AH43" i="2"/>
  <c r="AG43" i="2" a="1"/>
  <c r="AG43" i="2"/>
  <c r="AF43" i="2" a="1"/>
  <c r="AF43" i="2"/>
  <c r="AE43" i="2" a="1"/>
  <c r="AE43" i="2"/>
  <c r="AD43" i="2" a="1"/>
  <c r="AD43" i="2"/>
  <c r="AC43" i="2" a="1"/>
  <c r="AC43" i="2"/>
  <c r="AB43" i="2" a="1"/>
  <c r="AB43" i="2"/>
  <c r="AA43" i="2" a="1"/>
  <c r="AA43" i="2"/>
  <c r="Z43" i="2" a="1"/>
  <c r="Z43" i="2"/>
  <c r="Y43" i="2" a="1"/>
  <c r="Y43" i="2"/>
  <c r="X43" i="2" a="1"/>
  <c r="X43" i="2"/>
  <c r="W43" i="2" a="1"/>
  <c r="W43" i="2"/>
  <c r="T43" i="2"/>
  <c r="AH42" i="2" a="1"/>
  <c r="AH42" i="2"/>
  <c r="AG42" i="2" a="1"/>
  <c r="AG42" i="2"/>
  <c r="AF42" i="2" a="1"/>
  <c r="AF42" i="2"/>
  <c r="AE42" i="2" a="1"/>
  <c r="AE42" i="2"/>
  <c r="AD42" i="2" a="1"/>
  <c r="AD42" i="2"/>
  <c r="AC42" i="2" a="1"/>
  <c r="AC42" i="2"/>
  <c r="AB42" i="2" a="1"/>
  <c r="AB42" i="2"/>
  <c r="AA42" i="2" a="1"/>
  <c r="AA42" i="2"/>
  <c r="Z42" i="2" a="1"/>
  <c r="Z42" i="2"/>
  <c r="Y42" i="2" a="1"/>
  <c r="Y42" i="2"/>
  <c r="X42" i="2" a="1"/>
  <c r="X42" i="2"/>
  <c r="W42" i="2" a="1"/>
  <c r="W42" i="2"/>
  <c r="T42" i="2"/>
  <c r="AH41" i="2" a="1"/>
  <c r="AH41" i="2"/>
  <c r="AG41" i="2" a="1"/>
  <c r="AG41" i="2"/>
  <c r="AF41" i="2" a="1"/>
  <c r="AF41" i="2"/>
  <c r="AE41" i="2" a="1"/>
  <c r="AE41" i="2"/>
  <c r="AD41" i="2" a="1"/>
  <c r="AD41" i="2"/>
  <c r="AC41" i="2" a="1"/>
  <c r="AC41" i="2"/>
  <c r="AB41" i="2" a="1"/>
  <c r="AB41" i="2"/>
  <c r="AA41" i="2" a="1"/>
  <c r="AA41" i="2"/>
  <c r="Z41" i="2" a="1"/>
  <c r="Z41" i="2"/>
  <c r="Y41" i="2" a="1"/>
  <c r="Y41" i="2"/>
  <c r="X41" i="2" a="1"/>
  <c r="X41" i="2"/>
  <c r="W41" i="2" a="1"/>
  <c r="W41" i="2"/>
  <c r="T41" i="2"/>
  <c r="AH40" i="2" a="1"/>
  <c r="AH40" i="2"/>
  <c r="AG40" i="2" a="1"/>
  <c r="AG40" i="2"/>
  <c r="AF40" i="2" a="1"/>
  <c r="AF40" i="2"/>
  <c r="AE40" i="2" a="1"/>
  <c r="AE40" i="2"/>
  <c r="AD40" i="2" a="1"/>
  <c r="AD40" i="2"/>
  <c r="AC40" i="2" a="1"/>
  <c r="AC40" i="2"/>
  <c r="AB40" i="2" a="1"/>
  <c r="AB40" i="2"/>
  <c r="AA40" i="2" a="1"/>
  <c r="AA40" i="2"/>
  <c r="Z40" i="2" a="1"/>
  <c r="Z40" i="2"/>
  <c r="Y40" i="2" a="1"/>
  <c r="Y40" i="2"/>
  <c r="X40" i="2" a="1"/>
  <c r="X40" i="2"/>
  <c r="W40" i="2" a="1"/>
  <c r="W40" i="2"/>
  <c r="T40" i="2"/>
  <c r="AH39" i="2" a="1"/>
  <c r="AH39" i="2"/>
  <c r="AG39" i="2" a="1"/>
  <c r="AG39" i="2"/>
  <c r="AF39" i="2" a="1"/>
  <c r="AF39" i="2"/>
  <c r="AE39" i="2" a="1"/>
  <c r="AE39" i="2"/>
  <c r="AD39" i="2" a="1"/>
  <c r="AD39" i="2"/>
  <c r="AC39" i="2" a="1"/>
  <c r="AC39" i="2"/>
  <c r="AB39" i="2" a="1"/>
  <c r="AB39" i="2"/>
  <c r="AA39" i="2" a="1"/>
  <c r="AA39" i="2"/>
  <c r="Z39" i="2" a="1"/>
  <c r="Z39" i="2"/>
  <c r="Y39" i="2" a="1"/>
  <c r="Y39" i="2"/>
  <c r="X39" i="2" a="1"/>
  <c r="X39" i="2"/>
  <c r="W39" i="2" a="1"/>
  <c r="W39" i="2"/>
  <c r="T39" i="2"/>
  <c r="AH38" i="2" a="1"/>
  <c r="AH38" i="2"/>
  <c r="AG38" i="2" a="1"/>
  <c r="AG38" i="2"/>
  <c r="AF38" i="2" a="1"/>
  <c r="AF38" i="2"/>
  <c r="AE38" i="2" a="1"/>
  <c r="AE38" i="2"/>
  <c r="AD38" i="2" a="1"/>
  <c r="AD38" i="2"/>
  <c r="AC38" i="2" a="1"/>
  <c r="AC38" i="2"/>
  <c r="AB38" i="2" a="1"/>
  <c r="AB38" i="2"/>
  <c r="AA38" i="2" a="1"/>
  <c r="AA38" i="2"/>
  <c r="Z38" i="2" a="1"/>
  <c r="Z38" i="2"/>
  <c r="Y38" i="2" a="1"/>
  <c r="Y38" i="2"/>
  <c r="X38" i="2" a="1"/>
  <c r="X38" i="2"/>
  <c r="W38" i="2" a="1"/>
  <c r="W38" i="2"/>
  <c r="T38" i="2"/>
  <c r="AH37" i="2" a="1"/>
  <c r="AH37" i="2"/>
  <c r="AG37" i="2" a="1"/>
  <c r="AG37" i="2"/>
  <c r="AF37" i="2" a="1"/>
  <c r="AF37" i="2"/>
  <c r="AE37" i="2" a="1"/>
  <c r="AE37" i="2"/>
  <c r="AD37" i="2" a="1"/>
  <c r="AD37" i="2"/>
  <c r="AC37" i="2" a="1"/>
  <c r="AC37" i="2"/>
  <c r="AB37" i="2" a="1"/>
  <c r="AB37" i="2"/>
  <c r="AA37" i="2" a="1"/>
  <c r="AA37" i="2"/>
  <c r="Z37" i="2" a="1"/>
  <c r="Z37" i="2"/>
  <c r="Y37" i="2" a="1"/>
  <c r="Y37" i="2"/>
  <c r="X37" i="2" a="1"/>
  <c r="X37" i="2"/>
  <c r="W37" i="2" a="1"/>
  <c r="W37" i="2"/>
  <c r="T37" i="2"/>
  <c r="AH36" i="2" a="1"/>
  <c r="AH36" i="2"/>
  <c r="AG36" i="2" a="1"/>
  <c r="AG36" i="2"/>
  <c r="AF36" i="2" a="1"/>
  <c r="AF36" i="2"/>
  <c r="AE36" i="2" a="1"/>
  <c r="AE36" i="2"/>
  <c r="AD36" i="2" a="1"/>
  <c r="AD36" i="2"/>
  <c r="AC36" i="2" a="1"/>
  <c r="AC36" i="2"/>
  <c r="AB36" i="2" a="1"/>
  <c r="AB36" i="2"/>
  <c r="AA36" i="2" a="1"/>
  <c r="AA36" i="2"/>
  <c r="Z36" i="2" a="1"/>
  <c r="Z36" i="2"/>
  <c r="Y36" i="2" a="1"/>
  <c r="Y36" i="2"/>
  <c r="X36" i="2" a="1"/>
  <c r="X36" i="2"/>
  <c r="W36" i="2" a="1"/>
  <c r="W36" i="2"/>
  <c r="T36" i="2"/>
  <c r="AH35" i="2" a="1"/>
  <c r="AH35" i="2"/>
  <c r="AG35" i="2" a="1"/>
  <c r="AG35" i="2"/>
  <c r="AF35" i="2" a="1"/>
  <c r="AF35" i="2"/>
  <c r="AE35" i="2" a="1"/>
  <c r="AE35" i="2"/>
  <c r="AD35" i="2" a="1"/>
  <c r="AD35" i="2"/>
  <c r="AC35" i="2" a="1"/>
  <c r="AC35" i="2"/>
  <c r="AB35" i="2" a="1"/>
  <c r="AB35" i="2"/>
  <c r="AA35" i="2" a="1"/>
  <c r="AA35" i="2"/>
  <c r="Z35" i="2" a="1"/>
  <c r="Z35" i="2"/>
  <c r="Y35" i="2" a="1"/>
  <c r="Y35" i="2"/>
  <c r="X35" i="2" a="1"/>
  <c r="X35" i="2"/>
  <c r="W35" i="2" a="1"/>
  <c r="W35" i="2"/>
  <c r="T35" i="2"/>
  <c r="AH34" i="2" a="1"/>
  <c r="AH34" i="2"/>
  <c r="AG34" i="2" a="1"/>
  <c r="AG34" i="2"/>
  <c r="AF34" i="2" a="1"/>
  <c r="AF34" i="2"/>
  <c r="AE34" i="2" a="1"/>
  <c r="AE34" i="2"/>
  <c r="AD34" i="2" a="1"/>
  <c r="AD34" i="2"/>
  <c r="AC34" i="2" a="1"/>
  <c r="AC34" i="2"/>
  <c r="AB34" i="2" a="1"/>
  <c r="AB34" i="2"/>
  <c r="AA34" i="2" a="1"/>
  <c r="AA34" i="2"/>
  <c r="Z34" i="2" a="1"/>
  <c r="Z34" i="2"/>
  <c r="Y34" i="2" a="1"/>
  <c r="Y34" i="2"/>
  <c r="X34" i="2" a="1"/>
  <c r="X34" i="2"/>
  <c r="W34" i="2" a="1"/>
  <c r="W34" i="2"/>
  <c r="T34" i="2"/>
  <c r="AH33" i="2" a="1"/>
  <c r="AH33" i="2"/>
  <c r="AG33" i="2" a="1"/>
  <c r="AG33" i="2"/>
  <c r="AF33" i="2" a="1"/>
  <c r="AF33" i="2"/>
  <c r="AE33" i="2" a="1"/>
  <c r="AE33" i="2"/>
  <c r="AD33" i="2" a="1"/>
  <c r="AD33" i="2"/>
  <c r="AC33" i="2" a="1"/>
  <c r="AC33" i="2"/>
  <c r="AB33" i="2" a="1"/>
  <c r="AB33" i="2"/>
  <c r="AA33" i="2" a="1"/>
  <c r="AA33" i="2"/>
  <c r="Z33" i="2" a="1"/>
  <c r="Z33" i="2"/>
  <c r="Y33" i="2" a="1"/>
  <c r="Y33" i="2"/>
  <c r="X33" i="2" a="1"/>
  <c r="X33" i="2"/>
  <c r="W33" i="2" a="1"/>
  <c r="W33" i="2"/>
  <c r="T33" i="2"/>
  <c r="AH32" i="2" a="1"/>
  <c r="AH32" i="2"/>
  <c r="AG32" i="2" a="1"/>
  <c r="AG32" i="2"/>
  <c r="AF32" i="2" a="1"/>
  <c r="AF32" i="2"/>
  <c r="AE32" i="2" a="1"/>
  <c r="AE32" i="2"/>
  <c r="AD32" i="2" a="1"/>
  <c r="AD32" i="2"/>
  <c r="AC32" i="2" a="1"/>
  <c r="AC32" i="2"/>
  <c r="AB32" i="2" a="1"/>
  <c r="AB32" i="2"/>
  <c r="AA32" i="2" a="1"/>
  <c r="AA32" i="2"/>
  <c r="Z32" i="2" a="1"/>
  <c r="Z32" i="2"/>
  <c r="Y32" i="2" a="1"/>
  <c r="Y32" i="2"/>
  <c r="X32" i="2" a="1"/>
  <c r="X32" i="2"/>
  <c r="W32" i="2" a="1"/>
  <c r="W32" i="2"/>
  <c r="T32" i="2"/>
  <c r="AH31" i="2" a="1"/>
  <c r="AH31" i="2"/>
  <c r="AG31" i="2" a="1"/>
  <c r="AG31" i="2"/>
  <c r="AF31" i="2" a="1"/>
  <c r="AF31" i="2"/>
  <c r="AE31" i="2" a="1"/>
  <c r="AE31" i="2"/>
  <c r="AD31" i="2" a="1"/>
  <c r="AD31" i="2"/>
  <c r="AC31" i="2" a="1"/>
  <c r="AC31" i="2"/>
  <c r="AB31" i="2" a="1"/>
  <c r="AB31" i="2"/>
  <c r="AA31" i="2" a="1"/>
  <c r="AA31" i="2"/>
  <c r="Z31" i="2" a="1"/>
  <c r="Z31" i="2"/>
  <c r="Y31" i="2" a="1"/>
  <c r="Y31" i="2"/>
  <c r="X31" i="2" a="1"/>
  <c r="X31" i="2"/>
  <c r="W31" i="2" a="1"/>
  <c r="W31" i="2"/>
  <c r="T31" i="2"/>
  <c r="AH30" i="2" a="1"/>
  <c r="AH30" i="2"/>
  <c r="AG30" i="2" a="1"/>
  <c r="AG30" i="2"/>
  <c r="AF30" i="2" a="1"/>
  <c r="AF30" i="2"/>
  <c r="AE30" i="2" a="1"/>
  <c r="AE30" i="2"/>
  <c r="AD30" i="2" a="1"/>
  <c r="AD30" i="2"/>
  <c r="AC30" i="2" a="1"/>
  <c r="AC30" i="2"/>
  <c r="AB30" i="2" a="1"/>
  <c r="AB30" i="2"/>
  <c r="AA30" i="2" a="1"/>
  <c r="AA30" i="2"/>
  <c r="Z30" i="2" a="1"/>
  <c r="Z30" i="2"/>
  <c r="Y30" i="2" a="1"/>
  <c r="Y30" i="2"/>
  <c r="X30" i="2" a="1"/>
  <c r="X30" i="2"/>
  <c r="W30" i="2" a="1"/>
  <c r="W30" i="2"/>
  <c r="T30" i="2"/>
  <c r="AH29" i="2" a="1"/>
  <c r="AH29" i="2"/>
  <c r="AG29" i="2" a="1"/>
  <c r="AG29" i="2"/>
  <c r="AF29" i="2" a="1"/>
  <c r="AF29" i="2"/>
  <c r="AE29" i="2" a="1"/>
  <c r="AE29" i="2"/>
  <c r="AD29" i="2" a="1"/>
  <c r="AD29" i="2"/>
  <c r="AC29" i="2" a="1"/>
  <c r="AC29" i="2"/>
  <c r="AB29" i="2" a="1"/>
  <c r="AB29" i="2"/>
  <c r="AA29" i="2" a="1"/>
  <c r="AA29" i="2"/>
  <c r="Z29" i="2" a="1"/>
  <c r="Z29" i="2"/>
  <c r="Y29" i="2" a="1"/>
  <c r="Y29" i="2"/>
  <c r="X29" i="2" a="1"/>
  <c r="X29" i="2"/>
  <c r="W29" i="2" a="1"/>
  <c r="W29" i="2"/>
  <c r="T29" i="2"/>
  <c r="AH28" i="2" a="1"/>
  <c r="AH28" i="2"/>
  <c r="AG28" i="2" a="1"/>
  <c r="AG28" i="2"/>
  <c r="AF28" i="2" a="1"/>
  <c r="AF28" i="2"/>
  <c r="AE28" i="2" a="1"/>
  <c r="AE28" i="2"/>
  <c r="AD28" i="2" a="1"/>
  <c r="AD28" i="2"/>
  <c r="AC28" i="2" a="1"/>
  <c r="AC28" i="2"/>
  <c r="AB28" i="2" a="1"/>
  <c r="AB28" i="2"/>
  <c r="AA28" i="2" a="1"/>
  <c r="AA28" i="2"/>
  <c r="Z28" i="2" a="1"/>
  <c r="Z28" i="2"/>
  <c r="Y28" i="2" a="1"/>
  <c r="Y28" i="2"/>
  <c r="X28" i="2" a="1"/>
  <c r="X28" i="2"/>
  <c r="W28" i="2" a="1"/>
  <c r="W28" i="2"/>
  <c r="T28" i="2"/>
  <c r="AH27" i="2" a="1"/>
  <c r="AH27" i="2"/>
  <c r="AG27" i="2" a="1"/>
  <c r="AG27" i="2"/>
  <c r="AF27" i="2" a="1"/>
  <c r="AF27" i="2"/>
  <c r="AE27" i="2" a="1"/>
  <c r="AE27" i="2"/>
  <c r="AD27" i="2" a="1"/>
  <c r="AD27" i="2"/>
  <c r="AC27" i="2" a="1"/>
  <c r="AC27" i="2"/>
  <c r="AB27" i="2" a="1"/>
  <c r="AB27" i="2"/>
  <c r="AA27" i="2" a="1"/>
  <c r="AA27" i="2"/>
  <c r="Z27" i="2" a="1"/>
  <c r="Z27" i="2"/>
  <c r="Y27" i="2" a="1"/>
  <c r="Y27" i="2"/>
  <c r="X27" i="2" a="1"/>
  <c r="X27" i="2"/>
  <c r="W27" i="2" a="1"/>
  <c r="W27" i="2"/>
  <c r="T27" i="2"/>
  <c r="AH26" i="2" a="1"/>
  <c r="AH26" i="2"/>
  <c r="AG26" i="2" a="1"/>
  <c r="AG26" i="2"/>
  <c r="AF26" i="2" a="1"/>
  <c r="AF26" i="2"/>
  <c r="AE26" i="2" a="1"/>
  <c r="AE26" i="2"/>
  <c r="AD26" i="2" a="1"/>
  <c r="AD26" i="2"/>
  <c r="AC26" i="2" a="1"/>
  <c r="AC26" i="2"/>
  <c r="AB26" i="2" a="1"/>
  <c r="AB26" i="2"/>
  <c r="AA26" i="2" a="1"/>
  <c r="AA26" i="2"/>
  <c r="Z26" i="2" a="1"/>
  <c r="Z26" i="2"/>
  <c r="Y26" i="2" a="1"/>
  <c r="Y26" i="2"/>
  <c r="X26" i="2" a="1"/>
  <c r="X26" i="2"/>
  <c r="W26" i="2" a="1"/>
  <c r="W26" i="2"/>
  <c r="T26" i="2"/>
  <c r="AH25" i="2" a="1"/>
  <c r="AH25" i="2"/>
  <c r="AG25" i="2" a="1"/>
  <c r="AG25" i="2"/>
  <c r="AF25" i="2" a="1"/>
  <c r="AF25" i="2"/>
  <c r="AE25" i="2" a="1"/>
  <c r="AE25" i="2"/>
  <c r="AD25" i="2" a="1"/>
  <c r="AD25" i="2"/>
  <c r="AC25" i="2" a="1"/>
  <c r="AC25" i="2"/>
  <c r="AB25" i="2" a="1"/>
  <c r="AB25" i="2"/>
  <c r="AA25" i="2" a="1"/>
  <c r="AA25" i="2"/>
  <c r="Z25" i="2" a="1"/>
  <c r="Z25" i="2"/>
  <c r="Y25" i="2" a="1"/>
  <c r="Y25" i="2"/>
  <c r="X25" i="2" a="1"/>
  <c r="X25" i="2"/>
  <c r="W25" i="2" a="1"/>
  <c r="W25" i="2"/>
  <c r="T25" i="2"/>
  <c r="AH24" i="2" a="1"/>
  <c r="AH24" i="2"/>
  <c r="AG24" i="2" a="1"/>
  <c r="AG24" i="2"/>
  <c r="AF24" i="2" a="1"/>
  <c r="AF24" i="2"/>
  <c r="AE24" i="2" a="1"/>
  <c r="AE24" i="2"/>
  <c r="AD24" i="2" a="1"/>
  <c r="AD24" i="2"/>
  <c r="AC24" i="2" a="1"/>
  <c r="AC24" i="2"/>
  <c r="AB24" i="2" a="1"/>
  <c r="AB24" i="2"/>
  <c r="AA24" i="2" a="1"/>
  <c r="AA24" i="2"/>
  <c r="Z24" i="2" a="1"/>
  <c r="Z24" i="2"/>
  <c r="Y24" i="2" a="1"/>
  <c r="Y24" i="2"/>
  <c r="X24" i="2" a="1"/>
  <c r="X24" i="2"/>
  <c r="W24" i="2" a="1"/>
  <c r="W24" i="2"/>
  <c r="T24" i="2"/>
  <c r="AH23" i="2" a="1"/>
  <c r="AH23" i="2"/>
  <c r="AG23" i="2" a="1"/>
  <c r="AG23" i="2"/>
  <c r="AF23" i="2" a="1"/>
  <c r="AF23" i="2"/>
  <c r="AE23" i="2" a="1"/>
  <c r="AE23" i="2"/>
  <c r="AD23" i="2" a="1"/>
  <c r="AD23" i="2"/>
  <c r="AC23" i="2" a="1"/>
  <c r="AC23" i="2"/>
  <c r="AB23" i="2" a="1"/>
  <c r="AB23" i="2"/>
  <c r="AA23" i="2" a="1"/>
  <c r="AA23" i="2"/>
  <c r="Z23" i="2" a="1"/>
  <c r="Z23" i="2"/>
  <c r="Y23" i="2" a="1"/>
  <c r="Y23" i="2"/>
  <c r="X23" i="2" a="1"/>
  <c r="X23" i="2"/>
  <c r="W23" i="2" a="1"/>
  <c r="W23" i="2"/>
  <c r="T23" i="2"/>
  <c r="AH22" i="2" a="1"/>
  <c r="AH22" i="2"/>
  <c r="AG22" i="2" a="1"/>
  <c r="AG22" i="2"/>
  <c r="AF22" i="2" a="1"/>
  <c r="AF22" i="2"/>
  <c r="AE22" i="2" a="1"/>
  <c r="AE22" i="2"/>
  <c r="AD22" i="2" a="1"/>
  <c r="AD22" i="2"/>
  <c r="AC22" i="2" a="1"/>
  <c r="AC22" i="2"/>
  <c r="AB22" i="2" a="1"/>
  <c r="AB22" i="2"/>
  <c r="AA22" i="2" a="1"/>
  <c r="AA22" i="2"/>
  <c r="Z22" i="2" a="1"/>
  <c r="Z22" i="2"/>
  <c r="Y22" i="2" a="1"/>
  <c r="Y22" i="2"/>
  <c r="X22" i="2" a="1"/>
  <c r="X22" i="2"/>
  <c r="W22" i="2" a="1"/>
  <c r="W22" i="2"/>
  <c r="T22" i="2"/>
  <c r="AH21" i="2" a="1"/>
  <c r="AH21" i="2"/>
  <c r="AG21" i="2" a="1"/>
  <c r="AG21" i="2"/>
  <c r="AF21" i="2" a="1"/>
  <c r="AF21" i="2"/>
  <c r="AE21" i="2" a="1"/>
  <c r="AE21" i="2"/>
  <c r="AD21" i="2" a="1"/>
  <c r="AD21" i="2"/>
  <c r="AC21" i="2" a="1"/>
  <c r="AC21" i="2"/>
  <c r="AB21" i="2" a="1"/>
  <c r="AB21" i="2"/>
  <c r="AA21" i="2" a="1"/>
  <c r="AA21" i="2"/>
  <c r="Z21" i="2" a="1"/>
  <c r="Z21" i="2"/>
  <c r="Y21" i="2" a="1"/>
  <c r="Y21" i="2"/>
  <c r="X21" i="2" a="1"/>
  <c r="X21" i="2"/>
  <c r="W21" i="2" a="1"/>
  <c r="W21" i="2"/>
  <c r="T21" i="2"/>
  <c r="AH20" i="2" a="1"/>
  <c r="AH20" i="2"/>
  <c r="AG20" i="2" a="1"/>
  <c r="AG20" i="2"/>
  <c r="AF20" i="2" a="1"/>
  <c r="AF20" i="2"/>
  <c r="AE20" i="2" a="1"/>
  <c r="AE20" i="2"/>
  <c r="AD20" i="2" a="1"/>
  <c r="AD20" i="2"/>
  <c r="AC20" i="2" a="1"/>
  <c r="AC20" i="2"/>
  <c r="AB20" i="2" a="1"/>
  <c r="AB20" i="2"/>
  <c r="AA20" i="2" a="1"/>
  <c r="AA20" i="2"/>
  <c r="Z20" i="2" a="1"/>
  <c r="Z20" i="2"/>
  <c r="Y20" i="2" a="1"/>
  <c r="Y20" i="2"/>
  <c r="X20" i="2" a="1"/>
  <c r="X20" i="2"/>
  <c r="W20" i="2" a="1"/>
  <c r="W20" i="2"/>
  <c r="T20" i="2"/>
  <c r="AH19" i="2" a="1"/>
  <c r="AH19" i="2"/>
  <c r="AG19" i="2" a="1"/>
  <c r="AG19" i="2"/>
  <c r="AF19" i="2" a="1"/>
  <c r="AF19" i="2"/>
  <c r="AE19" i="2" a="1"/>
  <c r="AE19" i="2"/>
  <c r="AD19" i="2" a="1"/>
  <c r="AD19" i="2"/>
  <c r="AC19" i="2" a="1"/>
  <c r="AC19" i="2"/>
  <c r="AB19" i="2" a="1"/>
  <c r="AB19" i="2"/>
  <c r="AA19" i="2" a="1"/>
  <c r="AA19" i="2"/>
  <c r="Z19" i="2" a="1"/>
  <c r="Z19" i="2"/>
  <c r="Y19" i="2" a="1"/>
  <c r="Y19" i="2"/>
  <c r="X19" i="2" a="1"/>
  <c r="X19" i="2"/>
  <c r="W19" i="2" a="1"/>
  <c r="W19" i="2"/>
  <c r="T19" i="2"/>
  <c r="AH18" i="2" a="1"/>
  <c r="AH18" i="2"/>
  <c r="AG18" i="2" a="1"/>
  <c r="AG18" i="2"/>
  <c r="AF18" i="2" a="1"/>
  <c r="AF18" i="2"/>
  <c r="AE18" i="2" a="1"/>
  <c r="AE18" i="2"/>
  <c r="AD18" i="2" a="1"/>
  <c r="AD18" i="2"/>
  <c r="AC18" i="2" a="1"/>
  <c r="AC18" i="2"/>
  <c r="AB18" i="2" a="1"/>
  <c r="AB18" i="2"/>
  <c r="AA18" i="2" a="1"/>
  <c r="AA18" i="2"/>
  <c r="Z18" i="2" a="1"/>
  <c r="Z18" i="2"/>
  <c r="Y18" i="2" a="1"/>
  <c r="Y18" i="2"/>
  <c r="X18" i="2" a="1"/>
  <c r="X18" i="2"/>
  <c r="W18" i="2" a="1"/>
  <c r="W18" i="2"/>
  <c r="T18" i="2"/>
  <c r="AH17" i="2" a="1"/>
  <c r="AH17" i="2"/>
  <c r="AG17" i="2" a="1"/>
  <c r="AG17" i="2"/>
  <c r="AF17" i="2" a="1"/>
  <c r="AF17" i="2"/>
  <c r="AE17" i="2" a="1"/>
  <c r="AE17" i="2"/>
  <c r="AD17" i="2" a="1"/>
  <c r="AD17" i="2"/>
  <c r="AC17" i="2" a="1"/>
  <c r="AC17" i="2"/>
  <c r="AB17" i="2" a="1"/>
  <c r="AB17" i="2"/>
  <c r="AA17" i="2" a="1"/>
  <c r="AA17" i="2"/>
  <c r="Z17" i="2" a="1"/>
  <c r="Z17" i="2"/>
  <c r="Y17" i="2" a="1"/>
  <c r="Y17" i="2"/>
  <c r="X17" i="2" a="1"/>
  <c r="X17" i="2"/>
  <c r="W17" i="2" a="1"/>
  <c r="W17" i="2"/>
  <c r="T17" i="2"/>
  <c r="AH16" i="2" a="1"/>
  <c r="AH16" i="2"/>
  <c r="AG16" i="2" a="1"/>
  <c r="AG16" i="2"/>
  <c r="AF16" i="2" a="1"/>
  <c r="AF16" i="2"/>
  <c r="AE16" i="2" a="1"/>
  <c r="AE16" i="2"/>
  <c r="AD16" i="2" a="1"/>
  <c r="AD16" i="2"/>
  <c r="AC16" i="2" a="1"/>
  <c r="AC16" i="2"/>
  <c r="AB16" i="2" a="1"/>
  <c r="AB16" i="2"/>
  <c r="AA16" i="2" a="1"/>
  <c r="AA16" i="2"/>
  <c r="Z16" i="2" a="1"/>
  <c r="Z16" i="2"/>
  <c r="Y16" i="2" a="1"/>
  <c r="Y16" i="2"/>
  <c r="X16" i="2" a="1"/>
  <c r="X16" i="2"/>
  <c r="W16" i="2" a="1"/>
  <c r="W16" i="2"/>
  <c r="T16" i="2"/>
  <c r="AH15" i="2" a="1"/>
  <c r="AH15" i="2"/>
  <c r="AG15" i="2" a="1"/>
  <c r="AG15" i="2"/>
  <c r="AF15" i="2" a="1"/>
  <c r="AF15" i="2"/>
  <c r="AE15" i="2" a="1"/>
  <c r="AE15" i="2"/>
  <c r="AD15" i="2" a="1"/>
  <c r="AD15" i="2"/>
  <c r="AC15" i="2" a="1"/>
  <c r="AC15" i="2"/>
  <c r="AB15" i="2" a="1"/>
  <c r="AB15" i="2"/>
  <c r="AA15" i="2" a="1"/>
  <c r="AA15" i="2"/>
  <c r="Z15" i="2" a="1"/>
  <c r="Z15" i="2"/>
  <c r="Y15" i="2" a="1"/>
  <c r="Y15" i="2"/>
  <c r="X15" i="2" a="1"/>
  <c r="X15" i="2"/>
  <c r="W15" i="2" a="1"/>
  <c r="W15" i="2"/>
  <c r="T15" i="2"/>
  <c r="AH14" i="2" a="1"/>
  <c r="AH14" i="2"/>
  <c r="AG14" i="2" a="1"/>
  <c r="AG14" i="2"/>
  <c r="AF14" i="2" a="1"/>
  <c r="AF14" i="2"/>
  <c r="AE14" i="2" a="1"/>
  <c r="AE14" i="2"/>
  <c r="AD14" i="2" a="1"/>
  <c r="AD14" i="2"/>
  <c r="AC14" i="2" a="1"/>
  <c r="AC14" i="2"/>
  <c r="AB14" i="2" a="1"/>
  <c r="AB14" i="2"/>
  <c r="AA14" i="2" a="1"/>
  <c r="AA14" i="2"/>
  <c r="Z14" i="2" a="1"/>
  <c r="Z14" i="2"/>
  <c r="Y14" i="2" a="1"/>
  <c r="Y14" i="2"/>
  <c r="X14" i="2" a="1"/>
  <c r="X14" i="2"/>
  <c r="W14" i="2" a="1"/>
  <c r="W14" i="2"/>
  <c r="T14" i="2"/>
  <c r="AH13" i="2" a="1"/>
  <c r="AH13" i="2"/>
  <c r="AG13" i="2" a="1"/>
  <c r="AG13" i="2"/>
  <c r="AF13" i="2" a="1"/>
  <c r="AF13" i="2"/>
  <c r="AE13" i="2" a="1"/>
  <c r="AE13" i="2"/>
  <c r="AD13" i="2" a="1"/>
  <c r="AD13" i="2"/>
  <c r="AC13" i="2" a="1"/>
  <c r="AC13" i="2"/>
  <c r="AB13" i="2" a="1"/>
  <c r="AB13" i="2"/>
  <c r="AA13" i="2" a="1"/>
  <c r="AA13" i="2"/>
  <c r="Z13" i="2" a="1"/>
  <c r="Z13" i="2"/>
  <c r="Y13" i="2" a="1"/>
  <c r="Y13" i="2"/>
  <c r="X13" i="2" a="1"/>
  <c r="X13" i="2"/>
  <c r="W13" i="2" a="1"/>
  <c r="W13" i="2"/>
  <c r="T13" i="2"/>
  <c r="AH12" i="2" a="1"/>
  <c r="AH12" i="2"/>
  <c r="AG12" i="2" a="1"/>
  <c r="AG12" i="2"/>
  <c r="AF12" i="2" a="1"/>
  <c r="AF12" i="2"/>
  <c r="AE12" i="2" a="1"/>
  <c r="AE12" i="2"/>
  <c r="AD12" i="2" a="1"/>
  <c r="AD12" i="2"/>
  <c r="AC12" i="2" a="1"/>
  <c r="AC12" i="2"/>
  <c r="AB12" i="2" a="1"/>
  <c r="AB12" i="2"/>
  <c r="AA12" i="2" a="1"/>
  <c r="AA12" i="2"/>
  <c r="Z12" i="2" a="1"/>
  <c r="Z12" i="2"/>
  <c r="Y12" i="2" a="1"/>
  <c r="Y12" i="2"/>
  <c r="X12" i="2" a="1"/>
  <c r="X12" i="2"/>
  <c r="W12" i="2" a="1"/>
  <c r="W12" i="2"/>
  <c r="T12" i="2"/>
  <c r="AH11" i="2" a="1"/>
  <c r="AH11" i="2"/>
  <c r="AG11" i="2" a="1"/>
  <c r="AG11" i="2"/>
  <c r="AF11" i="2" a="1"/>
  <c r="AF11" i="2"/>
  <c r="AE11" i="2" a="1"/>
  <c r="AE11" i="2"/>
  <c r="AD11" i="2" a="1"/>
  <c r="AD11" i="2"/>
  <c r="AC11" i="2" a="1"/>
  <c r="AC11" i="2"/>
  <c r="AB11" i="2" a="1"/>
  <c r="AB11" i="2"/>
  <c r="AA11" i="2" a="1"/>
  <c r="AA11" i="2"/>
  <c r="Z11" i="2" a="1"/>
  <c r="Z11" i="2"/>
  <c r="Y11" i="2" a="1"/>
  <c r="Y11" i="2"/>
  <c r="X11" i="2" a="1"/>
  <c r="X11" i="2"/>
  <c r="W11" i="2" a="1"/>
  <c r="W11" i="2"/>
  <c r="T11" i="2"/>
  <c r="AH10" i="2" a="1"/>
  <c r="AH10" i="2"/>
  <c r="AG10" i="2" a="1"/>
  <c r="AG10" i="2"/>
  <c r="AF10" i="2" a="1"/>
  <c r="AF10" i="2"/>
  <c r="AE10" i="2" a="1"/>
  <c r="AE10" i="2"/>
  <c r="AD10" i="2" a="1"/>
  <c r="AD10" i="2"/>
  <c r="AC10" i="2" a="1"/>
  <c r="AC10" i="2"/>
  <c r="AB10" i="2" a="1"/>
  <c r="AB10" i="2"/>
  <c r="AA10" i="2" a="1"/>
  <c r="AA10" i="2"/>
  <c r="Z10" i="2" a="1"/>
  <c r="Z10" i="2"/>
  <c r="Y10" i="2" a="1"/>
  <c r="Y10" i="2"/>
  <c r="X10" i="2" a="1"/>
  <c r="X10" i="2"/>
  <c r="W10" i="2" a="1"/>
  <c r="W10" i="2"/>
  <c r="T10" i="2"/>
  <c r="AI9" i="2" a="1"/>
  <c r="AI9" i="2"/>
  <c r="AH9" i="2" a="1"/>
  <c r="AH9" i="2"/>
  <c r="AG9" i="2" a="1"/>
  <c r="AG9" i="2"/>
  <c r="AF9" i="2" a="1"/>
  <c r="AF9" i="2"/>
  <c r="AE9" i="2" a="1"/>
  <c r="AE9" i="2"/>
  <c r="AD9" i="2" a="1"/>
  <c r="AD9" i="2"/>
  <c r="AC9" i="2" a="1"/>
  <c r="AC9" i="2"/>
  <c r="AB9" i="2" a="1"/>
  <c r="AB9" i="2"/>
  <c r="AA9" i="2" a="1"/>
  <c r="AA9" i="2"/>
  <c r="Z9" i="2" a="1"/>
  <c r="Z9" i="2"/>
  <c r="Y9" i="2" a="1"/>
  <c r="Y9" i="2"/>
  <c r="X9" i="2" a="1"/>
  <c r="X9" i="2"/>
  <c r="W9" i="2" a="1"/>
  <c r="W9" i="2"/>
  <c r="T9" i="2"/>
  <c r="AH8" i="2" a="1"/>
  <c r="AH8" i="2"/>
  <c r="AG8" i="2" a="1"/>
  <c r="AG8" i="2"/>
  <c r="AF8" i="2" a="1"/>
  <c r="AF8" i="2"/>
  <c r="AE8" i="2" a="1"/>
  <c r="AE8" i="2"/>
  <c r="AD8" i="2" a="1"/>
  <c r="AD8" i="2"/>
  <c r="AC8" i="2" a="1"/>
  <c r="AC8" i="2"/>
  <c r="AB8" i="2" a="1"/>
  <c r="AB8" i="2"/>
  <c r="AA8" i="2" a="1"/>
  <c r="AA8" i="2"/>
  <c r="Z8" i="2" a="1"/>
  <c r="Z8" i="2"/>
  <c r="Y8" i="2" a="1"/>
  <c r="Y8" i="2"/>
  <c r="X8" i="2" a="1"/>
  <c r="X8" i="2"/>
  <c r="W8" i="2" a="1"/>
  <c r="W8" i="2"/>
  <c r="T8" i="2"/>
  <c r="AH7" i="2" a="1"/>
  <c r="AH7" i="2"/>
  <c r="AG7" i="2" a="1"/>
  <c r="AG7" i="2"/>
  <c r="AF7" i="2" a="1"/>
  <c r="AF7" i="2"/>
  <c r="AE7" i="2" a="1"/>
  <c r="AE7" i="2"/>
  <c r="AD7" i="2" a="1"/>
  <c r="AD7" i="2"/>
  <c r="AC7" i="2" a="1"/>
  <c r="AC7" i="2"/>
  <c r="AB7" i="2" a="1"/>
  <c r="AB7" i="2"/>
  <c r="AA7" i="2" a="1"/>
  <c r="AA7" i="2"/>
  <c r="Z7" i="2" a="1"/>
  <c r="Z7" i="2"/>
  <c r="Y7" i="2" a="1"/>
  <c r="Y7" i="2"/>
  <c r="X7" i="2" a="1"/>
  <c r="X7" i="2"/>
  <c r="W7" i="2" a="1"/>
  <c r="W7" i="2"/>
  <c r="T7" i="2"/>
  <c r="AH6" i="2" a="1"/>
  <c r="AH6" i="2"/>
  <c r="AG6" i="2" a="1"/>
  <c r="AG6" i="2"/>
  <c r="AF6" i="2" a="1"/>
  <c r="AF6" i="2"/>
  <c r="AE6" i="2" a="1"/>
  <c r="AE6" i="2"/>
  <c r="AD6" i="2" a="1"/>
  <c r="AD6" i="2"/>
  <c r="AC6" i="2" a="1"/>
  <c r="AC6" i="2"/>
  <c r="AB6" i="2" a="1"/>
  <c r="AB6" i="2"/>
  <c r="AA6" i="2" a="1"/>
  <c r="AA6" i="2"/>
  <c r="Z6" i="2" a="1"/>
  <c r="Z6" i="2"/>
  <c r="Y6" i="2" a="1"/>
  <c r="Y6" i="2"/>
  <c r="X6" i="2" a="1"/>
  <c r="X6" i="2"/>
  <c r="W6" i="2" a="1"/>
  <c r="W6" i="2"/>
  <c r="T6" i="2"/>
  <c r="AH5" i="2" a="1"/>
  <c r="AH5" i="2"/>
  <c r="AG5" i="2" a="1"/>
  <c r="AG5" i="2"/>
  <c r="AF5" i="2" a="1"/>
  <c r="AF5" i="2"/>
  <c r="AE5" i="2" a="1"/>
  <c r="AE5" i="2"/>
  <c r="AD5" i="2" a="1"/>
  <c r="AD5" i="2"/>
  <c r="AC5" i="2" a="1"/>
  <c r="AC5" i="2"/>
  <c r="AB5" i="2" a="1"/>
  <c r="AB5" i="2"/>
  <c r="AA5" i="2" a="1"/>
  <c r="AA5" i="2"/>
  <c r="Z5" i="2" a="1"/>
  <c r="Z5" i="2"/>
  <c r="Y5" i="2" a="1"/>
  <c r="Y5" i="2"/>
  <c r="X5" i="2" a="1"/>
  <c r="X5" i="2"/>
  <c r="W5" i="2" a="1"/>
  <c r="W5" i="2"/>
  <c r="T5" i="2"/>
  <c r="AH4" i="2" a="1"/>
  <c r="AH4" i="2"/>
  <c r="AG4" i="2" a="1"/>
  <c r="AG4" i="2"/>
  <c r="AF4" i="2" a="1"/>
  <c r="AF4" i="2"/>
  <c r="AE4" i="2" a="1"/>
  <c r="AE4" i="2"/>
  <c r="AD4" i="2" a="1"/>
  <c r="AD4" i="2"/>
  <c r="AC4" i="2" a="1"/>
  <c r="AC4" i="2"/>
  <c r="AB4" i="2" a="1"/>
  <c r="AB4" i="2"/>
  <c r="AA4" i="2" a="1"/>
  <c r="AA4" i="2"/>
  <c r="Z4" i="2" a="1"/>
  <c r="Z4" i="2"/>
  <c r="Y4" i="2" a="1"/>
  <c r="Y4" i="2"/>
  <c r="X4" i="2" a="1"/>
  <c r="X4" i="2"/>
  <c r="W4" i="2" a="1"/>
  <c r="W4" i="2"/>
  <c r="T4" i="2"/>
  <c r="T1" i="2"/>
  <c r="S1" i="2"/>
  <c r="R1" i="2"/>
  <c r="Q1" i="2"/>
  <c r="P1" i="2"/>
  <c r="O1" i="2"/>
  <c r="N1" i="2"/>
  <c r="M1" i="2"/>
  <c r="L1" i="2"/>
  <c r="K1" i="2"/>
  <c r="J1" i="2"/>
  <c r="H3" i="3" l="1"/>
  <c r="G3" i="3"/>
  <c r="F3" i="3" a="1"/>
  <c r="F3" i="3" s="1"/>
  <c r="L3" i="3" a="1"/>
  <c r="L3" i="3" s="1"/>
  <c r="M3" i="3" s="1" a="1"/>
  <c r="M3" i="3" s="1"/>
  <c r="K3" i="3"/>
  <c r="J3" i="3"/>
  <c r="V3" i="3"/>
  <c r="U3" i="3"/>
  <c r="T3" i="3"/>
  <c r="Y3" i="3"/>
  <c r="X3" i="3"/>
  <c r="AC3" i="3"/>
  <c r="AA3" i="3"/>
  <c r="H4" i="3"/>
  <c r="G4" i="3"/>
  <c r="F4" i="3" a="1"/>
  <c r="F4" i="3" s="1"/>
  <c r="L4" i="3" a="1"/>
  <c r="L4" i="3" s="1"/>
  <c r="M4" i="3" s="1" a="1"/>
  <c r="M4" i="3" s="1"/>
  <c r="K4" i="3"/>
  <c r="J4" i="3"/>
  <c r="V4" i="3"/>
  <c r="U4" i="3"/>
  <c r="T4" i="3"/>
  <c r="Y4" i="3"/>
  <c r="X4" i="3"/>
  <c r="AC4" i="3"/>
  <c r="AA4" i="3"/>
  <c r="H5" i="3"/>
  <c r="G5" i="3"/>
  <c r="F5" i="3" a="1"/>
  <c r="F5" i="3" s="1"/>
  <c r="L5" i="3" a="1"/>
  <c r="L5" i="3" s="1"/>
  <c r="M5" i="3" s="1" a="1"/>
  <c r="M5" i="3" s="1"/>
  <c r="K5" i="3"/>
  <c r="J5" i="3"/>
  <c r="V5" i="3"/>
  <c r="U5" i="3"/>
  <c r="T5" i="3"/>
  <c r="Y5" i="3"/>
  <c r="X5" i="3"/>
  <c r="AC5" i="3"/>
  <c r="AA5" i="3"/>
  <c r="H6" i="3"/>
  <c r="G6" i="3"/>
  <c r="F6" i="3" a="1"/>
  <c r="F6" i="3" s="1"/>
  <c r="L6" i="3" a="1"/>
  <c r="L6" i="3" s="1"/>
  <c r="M6" i="3" s="1" a="1"/>
  <c r="M6" i="3" s="1"/>
  <c r="K6" i="3"/>
  <c r="J6" i="3"/>
  <c r="V6" i="3"/>
  <c r="U6" i="3"/>
  <c r="T6" i="3"/>
  <c r="Y6" i="3"/>
  <c r="X6" i="3"/>
  <c r="AC6" i="3"/>
  <c r="AA6" i="3"/>
  <c r="H7" i="3"/>
  <c r="G7" i="3"/>
  <c r="F7" i="3" a="1"/>
  <c r="F7" i="3" s="1"/>
  <c r="L7" i="3" a="1"/>
  <c r="L7" i="3" s="1"/>
  <c r="M7" i="3" s="1" a="1"/>
  <c r="M7" i="3" s="1"/>
  <c r="K7" i="3"/>
  <c r="J7" i="3"/>
  <c r="V7" i="3"/>
  <c r="U7" i="3"/>
  <c r="T7" i="3"/>
  <c r="Y7" i="3"/>
  <c r="X7" i="3"/>
  <c r="AC7" i="3"/>
  <c r="AA7" i="3"/>
  <c r="H8" i="3"/>
  <c r="G8" i="3"/>
  <c r="F8" i="3" a="1"/>
  <c r="F8" i="3" s="1"/>
  <c r="L8" i="3" a="1"/>
  <c r="L8" i="3" s="1"/>
  <c r="M8" i="3" s="1" a="1"/>
  <c r="M8" i="3" s="1"/>
  <c r="K8" i="3"/>
  <c r="J8" i="3"/>
  <c r="V8" i="3"/>
  <c r="U8" i="3"/>
  <c r="T8" i="3"/>
  <c r="Y8" i="3"/>
  <c r="X8" i="3"/>
  <c r="AC8" i="3"/>
  <c r="AA8" i="3"/>
  <c r="H9" i="3"/>
  <c r="G9" i="3"/>
  <c r="F9" i="3" a="1"/>
  <c r="F9" i="3" s="1"/>
  <c r="L9" i="3" a="1"/>
  <c r="L9" i="3" s="1"/>
  <c r="M9" i="3" s="1" a="1"/>
  <c r="M9" i="3" s="1"/>
  <c r="K9" i="3"/>
  <c r="J9" i="3"/>
  <c r="V9" i="3"/>
  <c r="U9" i="3"/>
  <c r="T9" i="3"/>
  <c r="Y9" i="3"/>
  <c r="X9" i="3"/>
  <c r="AC9" i="3"/>
  <c r="AA9" i="3"/>
  <c r="H10" i="3"/>
  <c r="G10" i="3"/>
  <c r="F10" i="3" a="1"/>
  <c r="F10" i="3" s="1"/>
  <c r="L10" i="3" a="1"/>
  <c r="L10" i="3" s="1"/>
  <c r="M10" i="3" s="1" a="1"/>
  <c r="M10" i="3" s="1"/>
  <c r="K10" i="3"/>
  <c r="J10" i="3"/>
  <c r="V10" i="3"/>
  <c r="U10" i="3"/>
  <c r="T10" i="3"/>
  <c r="Y10" i="3"/>
  <c r="X10" i="3"/>
  <c r="AC10" i="3"/>
  <c r="AA10" i="3"/>
  <c r="H11" i="3"/>
  <c r="G11" i="3"/>
  <c r="F11" i="3" a="1"/>
  <c r="F11" i="3" s="1"/>
  <c r="L11" i="3" a="1"/>
  <c r="L11" i="3" s="1"/>
  <c r="M11" i="3" s="1" a="1"/>
  <c r="M11" i="3" s="1"/>
  <c r="K11" i="3"/>
  <c r="J11" i="3"/>
  <c r="V11" i="3"/>
  <c r="U11" i="3"/>
  <c r="T11" i="3"/>
  <c r="Y11" i="3"/>
  <c r="X11" i="3"/>
  <c r="AC11" i="3"/>
  <c r="AA11" i="3"/>
  <c r="H12" i="3"/>
  <c r="G12" i="3"/>
  <c r="F12" i="3" a="1"/>
  <c r="F12" i="3" s="1"/>
  <c r="L12" i="3" a="1"/>
  <c r="L12" i="3" s="1"/>
  <c r="M12" i="3" s="1" a="1"/>
  <c r="M12" i="3" s="1"/>
  <c r="K12" i="3"/>
  <c r="J12" i="3"/>
  <c r="V12" i="3"/>
  <c r="U12" i="3"/>
  <c r="T12" i="3"/>
  <c r="Y12" i="3"/>
  <c r="X12" i="3"/>
  <c r="AC12" i="3"/>
  <c r="AA12" i="3"/>
  <c r="H13" i="3"/>
  <c r="G13" i="3"/>
  <c r="F13" i="3" a="1"/>
  <c r="F13" i="3" s="1"/>
  <c r="L13" i="3" a="1"/>
  <c r="L13" i="3" s="1"/>
  <c r="M13" i="3" s="1" a="1"/>
  <c r="M13" i="3" s="1"/>
  <c r="K13" i="3"/>
  <c r="J13" i="3"/>
  <c r="V13" i="3"/>
  <c r="U13" i="3"/>
  <c r="T13" i="3"/>
  <c r="Y13" i="3"/>
  <c r="X13" i="3"/>
  <c r="AC13" i="3"/>
  <c r="AA13" i="3"/>
  <c r="H14" i="3"/>
  <c r="G14" i="3"/>
  <c r="F14" i="3" a="1"/>
  <c r="F14" i="3" s="1"/>
  <c r="L14" i="3" a="1"/>
  <c r="L14" i="3" s="1"/>
  <c r="M14" i="3" s="1" a="1"/>
  <c r="M14" i="3" s="1"/>
  <c r="K14" i="3"/>
  <c r="J14" i="3"/>
  <c r="V14" i="3"/>
  <c r="U14" i="3"/>
  <c r="T14" i="3"/>
  <c r="Y14" i="3"/>
  <c r="X14" i="3"/>
  <c r="AC14" i="3"/>
  <c r="AA14" i="3"/>
  <c r="H15" i="3"/>
  <c r="G15" i="3"/>
  <c r="F15" i="3" a="1"/>
  <c r="F15" i="3" s="1"/>
  <c r="L15" i="3" a="1"/>
  <c r="L15" i="3" s="1"/>
  <c r="M15" i="3" s="1" a="1"/>
  <c r="M15" i="3" s="1"/>
  <c r="K15" i="3"/>
  <c r="J15" i="3"/>
  <c r="V15" i="3"/>
  <c r="U15" i="3"/>
  <c r="T15" i="3"/>
  <c r="Y15" i="3"/>
  <c r="X15" i="3"/>
  <c r="AC15" i="3"/>
  <c r="AA15" i="3"/>
  <c r="H16" i="3"/>
  <c r="G16" i="3"/>
  <c r="F16" i="3" a="1"/>
  <c r="F16" i="3" s="1"/>
  <c r="L16" i="3" a="1"/>
  <c r="L16" i="3" s="1"/>
  <c r="M16" i="3" s="1" a="1"/>
  <c r="M16" i="3" s="1"/>
  <c r="K16" i="3"/>
  <c r="J16" i="3"/>
  <c r="V16" i="3"/>
  <c r="U16" i="3"/>
  <c r="T16" i="3"/>
  <c r="Y16" i="3"/>
  <c r="X16" i="3"/>
  <c r="AC16" i="3"/>
  <c r="AA16" i="3"/>
  <c r="H17" i="3"/>
  <c r="G17" i="3"/>
  <c r="F17" i="3" a="1"/>
  <c r="F17" i="3" s="1"/>
  <c r="L17" i="3" a="1"/>
  <c r="L17" i="3" s="1"/>
  <c r="M17" i="3" s="1" a="1"/>
  <c r="M17" i="3" s="1"/>
  <c r="K17" i="3"/>
  <c r="J17" i="3"/>
  <c r="V17" i="3"/>
  <c r="U17" i="3"/>
  <c r="T17" i="3"/>
  <c r="Y17" i="3"/>
  <c r="X17" i="3"/>
  <c r="AC17" i="3"/>
  <c r="AA17" i="3"/>
  <c r="H18" i="3"/>
  <c r="G18" i="3"/>
  <c r="F18" i="3" a="1"/>
  <c r="F18" i="3" s="1"/>
  <c r="L18" i="3" a="1"/>
  <c r="L18" i="3" s="1"/>
  <c r="M18" i="3" s="1" a="1"/>
  <c r="M18" i="3" s="1"/>
  <c r="K18" i="3"/>
  <c r="J18" i="3"/>
  <c r="V18" i="3"/>
  <c r="U18" i="3"/>
  <c r="T18" i="3"/>
  <c r="Y18" i="3"/>
  <c r="X18" i="3"/>
  <c r="AC18" i="3"/>
  <c r="AA18" i="3"/>
  <c r="H19" i="3"/>
  <c r="G19" i="3"/>
  <c r="F19" i="3" a="1"/>
  <c r="F19" i="3" s="1"/>
  <c r="L19" i="3" a="1"/>
  <c r="L19" i="3" s="1"/>
  <c r="M19" i="3" s="1" a="1"/>
  <c r="M19" i="3" s="1"/>
  <c r="K19" i="3"/>
  <c r="J19" i="3"/>
  <c r="V19" i="3"/>
  <c r="U19" i="3"/>
  <c r="T19" i="3"/>
  <c r="Y19" i="3"/>
  <c r="X19" i="3"/>
  <c r="AC19" i="3"/>
  <c r="AA19" i="3"/>
  <c r="H20" i="3"/>
  <c r="G20" i="3"/>
  <c r="F20" i="3" a="1"/>
  <c r="F20" i="3" s="1"/>
  <c r="L20" i="3" a="1"/>
  <c r="L20" i="3" s="1"/>
  <c r="M20" i="3" s="1" a="1"/>
  <c r="M20" i="3" s="1"/>
  <c r="K20" i="3"/>
  <c r="J20" i="3"/>
  <c r="V20" i="3"/>
  <c r="U20" i="3"/>
  <c r="T20" i="3"/>
  <c r="Y20" i="3"/>
  <c r="X20" i="3"/>
  <c r="AC20" i="3"/>
  <c r="AA20" i="3"/>
  <c r="H21" i="3"/>
  <c r="G21" i="3"/>
  <c r="F21" i="3" a="1"/>
  <c r="F21" i="3" s="1"/>
  <c r="L21" i="3" a="1"/>
  <c r="L21" i="3" s="1"/>
  <c r="M21" i="3" s="1" a="1"/>
  <c r="M21" i="3" s="1"/>
  <c r="K21" i="3"/>
  <c r="J21" i="3"/>
  <c r="V21" i="3"/>
  <c r="U21" i="3"/>
  <c r="T21" i="3"/>
  <c r="Y21" i="3"/>
  <c r="X21" i="3"/>
  <c r="AC21" i="3"/>
  <c r="AA21" i="3"/>
  <c r="H22" i="3"/>
  <c r="G22" i="3"/>
  <c r="F22" i="3" a="1"/>
  <c r="F22" i="3" s="1"/>
  <c r="L22" i="3" a="1"/>
  <c r="L22" i="3" s="1"/>
  <c r="M22" i="3" s="1" a="1"/>
  <c r="M22" i="3" s="1"/>
  <c r="K22" i="3"/>
  <c r="J22" i="3"/>
  <c r="V22" i="3"/>
  <c r="U22" i="3"/>
  <c r="T22" i="3"/>
  <c r="Y22" i="3"/>
  <c r="X22" i="3"/>
  <c r="AC22" i="3"/>
  <c r="AA22" i="3"/>
  <c r="H23" i="3"/>
  <c r="G23" i="3"/>
  <c r="F23" i="3" a="1"/>
  <c r="F23" i="3" s="1"/>
  <c r="L23" i="3" a="1"/>
  <c r="L23" i="3" s="1"/>
  <c r="M23" i="3" s="1" a="1"/>
  <c r="M23" i="3" s="1"/>
  <c r="K23" i="3"/>
  <c r="J23" i="3"/>
  <c r="V23" i="3"/>
  <c r="U23" i="3"/>
  <c r="T23" i="3"/>
  <c r="Y23" i="3"/>
  <c r="X23" i="3"/>
  <c r="AC23" i="3"/>
  <c r="AA23" i="3"/>
  <c r="H24" i="3"/>
  <c r="G24" i="3"/>
  <c r="F24" i="3" a="1"/>
  <c r="F24" i="3" s="1"/>
  <c r="L24" i="3" a="1"/>
  <c r="L24" i="3" s="1"/>
  <c r="M24" i="3" s="1" a="1"/>
  <c r="M24" i="3" s="1"/>
  <c r="K24" i="3"/>
  <c r="J24" i="3"/>
  <c r="V24" i="3"/>
  <c r="U24" i="3"/>
  <c r="T24" i="3"/>
  <c r="Y24" i="3"/>
  <c r="X24" i="3"/>
  <c r="AC24" i="3"/>
  <c r="AA24" i="3"/>
  <c r="H25" i="3"/>
  <c r="G25" i="3"/>
  <c r="F25" i="3" a="1"/>
  <c r="F25" i="3" s="1"/>
  <c r="L25" i="3" a="1"/>
  <c r="L25" i="3" s="1"/>
  <c r="M25" i="3" s="1" a="1"/>
  <c r="M25" i="3" s="1"/>
  <c r="K25" i="3"/>
  <c r="J25" i="3"/>
  <c r="V25" i="3"/>
  <c r="U25" i="3"/>
  <c r="T25" i="3"/>
  <c r="Y25" i="3"/>
  <c r="X25" i="3"/>
  <c r="AC25" i="3"/>
  <c r="AA25" i="3"/>
  <c r="H26" i="3"/>
  <c r="G26" i="3"/>
  <c r="F26" i="3" a="1"/>
  <c r="F26" i="3" s="1"/>
  <c r="L26" i="3" a="1"/>
  <c r="L26" i="3" s="1"/>
  <c r="M26" i="3" s="1" a="1"/>
  <c r="M26" i="3" s="1"/>
  <c r="K26" i="3"/>
  <c r="J26" i="3"/>
  <c r="V26" i="3"/>
  <c r="U26" i="3"/>
  <c r="T26" i="3"/>
  <c r="Y26" i="3"/>
  <c r="X26" i="3"/>
  <c r="AC26" i="3"/>
  <c r="AA26" i="3"/>
  <c r="H27" i="3"/>
  <c r="G27" i="3"/>
  <c r="F27" i="3" a="1"/>
  <c r="F27" i="3" s="1"/>
  <c r="L27" i="3" a="1"/>
  <c r="L27" i="3" s="1"/>
  <c r="M27" i="3" s="1" a="1"/>
  <c r="M27" i="3" s="1"/>
  <c r="K27" i="3"/>
  <c r="J27" i="3"/>
  <c r="V27" i="3"/>
  <c r="U27" i="3"/>
  <c r="T27" i="3"/>
  <c r="Y27" i="3"/>
  <c r="X27" i="3"/>
  <c r="AC27" i="3"/>
  <c r="AA27" i="3"/>
  <c r="H28" i="3"/>
  <c r="G28" i="3"/>
  <c r="F28" i="3" a="1"/>
  <c r="F28" i="3" s="1"/>
  <c r="L28" i="3" a="1"/>
  <c r="L28" i="3" s="1"/>
  <c r="M28" i="3" s="1" a="1"/>
  <c r="M28" i="3" s="1"/>
  <c r="K28" i="3"/>
  <c r="J28" i="3"/>
  <c r="V28" i="3"/>
  <c r="U28" i="3"/>
  <c r="T28" i="3"/>
  <c r="Y28" i="3"/>
  <c r="X28" i="3"/>
  <c r="AC28" i="3"/>
  <c r="AA28" i="3"/>
  <c r="H29" i="3"/>
  <c r="G29" i="3"/>
  <c r="F29" i="3" a="1"/>
  <c r="F29" i="3" s="1"/>
  <c r="L29" i="3" a="1"/>
  <c r="L29" i="3" s="1"/>
  <c r="M29" i="3" s="1" a="1"/>
  <c r="M29" i="3" s="1"/>
  <c r="K29" i="3"/>
  <c r="J29" i="3"/>
  <c r="V29" i="3"/>
  <c r="U29" i="3"/>
  <c r="T29" i="3"/>
  <c r="Y29" i="3"/>
  <c r="X29" i="3"/>
  <c r="AC29" i="3"/>
  <c r="AA29" i="3"/>
  <c r="H30" i="3"/>
  <c r="G30" i="3"/>
  <c r="F30" i="3" a="1"/>
  <c r="F30" i="3" s="1"/>
  <c r="L30" i="3" a="1"/>
  <c r="L30" i="3" s="1"/>
  <c r="M30" i="3" s="1" a="1"/>
  <c r="M30" i="3" s="1"/>
  <c r="K30" i="3"/>
  <c r="J30" i="3"/>
  <c r="V30" i="3"/>
  <c r="U30" i="3"/>
  <c r="T30" i="3"/>
  <c r="Y30" i="3"/>
  <c r="X30" i="3"/>
  <c r="AC30" i="3"/>
  <c r="AA30" i="3"/>
  <c r="H31" i="3"/>
  <c r="G31" i="3"/>
  <c r="F31" i="3" a="1"/>
  <c r="F31" i="3" s="1"/>
  <c r="L31" i="3" a="1"/>
  <c r="L31" i="3" s="1"/>
  <c r="M31" i="3" s="1" a="1"/>
  <c r="M31" i="3" s="1"/>
  <c r="K31" i="3"/>
  <c r="J31" i="3"/>
  <c r="V31" i="3"/>
  <c r="U31" i="3"/>
  <c r="T31" i="3"/>
  <c r="Y31" i="3"/>
  <c r="X31" i="3"/>
  <c r="AC31" i="3"/>
  <c r="AA31" i="3"/>
  <c r="H32" i="3"/>
  <c r="G32" i="3"/>
  <c r="F32" i="3" a="1"/>
  <c r="F32" i="3" s="1"/>
  <c r="L32" i="3" a="1"/>
  <c r="L32" i="3" s="1"/>
  <c r="M32" i="3" s="1" a="1"/>
  <c r="M32" i="3" s="1"/>
  <c r="K32" i="3"/>
  <c r="J32" i="3"/>
  <c r="V32" i="3"/>
  <c r="U32" i="3"/>
  <c r="T32" i="3"/>
  <c r="Y32" i="3"/>
  <c r="X32" i="3"/>
  <c r="AC32" i="3"/>
  <c r="AA32" i="3"/>
  <c r="H33" i="3"/>
  <c r="G33" i="3"/>
  <c r="F33" i="3" a="1"/>
  <c r="F33" i="3" s="1"/>
  <c r="L33" i="3" a="1"/>
  <c r="L33" i="3" s="1"/>
  <c r="M33" i="3" s="1" a="1"/>
  <c r="M33" i="3" s="1"/>
  <c r="K33" i="3"/>
  <c r="J33" i="3"/>
  <c r="V33" i="3"/>
  <c r="U33" i="3"/>
  <c r="T33" i="3"/>
  <c r="Y33" i="3"/>
  <c r="X33" i="3"/>
  <c r="AC33" i="3"/>
  <c r="AA33" i="3"/>
  <c r="H34" i="3"/>
  <c r="G34" i="3"/>
  <c r="F34" i="3" a="1"/>
  <c r="F34" i="3" s="1"/>
  <c r="L34" i="3" a="1"/>
  <c r="L34" i="3" s="1"/>
  <c r="M34" i="3" s="1" a="1"/>
  <c r="M34" i="3" s="1"/>
  <c r="K34" i="3"/>
  <c r="J34" i="3"/>
  <c r="V34" i="3"/>
  <c r="U34" i="3"/>
  <c r="T34" i="3"/>
  <c r="Y34" i="3"/>
  <c r="X34" i="3"/>
  <c r="AC34" i="3"/>
  <c r="AA34" i="3"/>
  <c r="H35" i="3"/>
  <c r="G35" i="3"/>
  <c r="F35" i="3" a="1"/>
  <c r="F35" i="3" s="1"/>
  <c r="L35" i="3" a="1"/>
  <c r="L35" i="3" s="1"/>
  <c r="M35" i="3" s="1" a="1"/>
  <c r="M35" i="3" s="1"/>
  <c r="K35" i="3"/>
  <c r="J35" i="3"/>
  <c r="V35" i="3"/>
  <c r="U35" i="3"/>
  <c r="T35" i="3"/>
  <c r="Y35" i="3"/>
  <c r="X35" i="3"/>
  <c r="AC35" i="3"/>
  <c r="AA35" i="3"/>
  <c r="H36" i="3"/>
  <c r="G36" i="3"/>
  <c r="F36" i="3" a="1"/>
  <c r="F36" i="3" s="1"/>
  <c r="L36" i="3" a="1"/>
  <c r="L36" i="3" s="1"/>
  <c r="M36" i="3" s="1" a="1"/>
  <c r="M36" i="3" s="1"/>
  <c r="K36" i="3"/>
  <c r="J36" i="3"/>
  <c r="V36" i="3"/>
  <c r="U36" i="3"/>
  <c r="T36" i="3"/>
  <c r="Y36" i="3"/>
  <c r="X36" i="3"/>
  <c r="AC36" i="3"/>
  <c r="AA36" i="3"/>
  <c r="H37" i="3"/>
  <c r="G37" i="3"/>
  <c r="F37" i="3" a="1"/>
  <c r="F37" i="3" s="1"/>
  <c r="L37" i="3" a="1"/>
  <c r="L37" i="3" s="1"/>
  <c r="M37" i="3" s="1" a="1"/>
  <c r="M37" i="3" s="1"/>
  <c r="K37" i="3"/>
  <c r="J37" i="3"/>
  <c r="V37" i="3"/>
  <c r="U37" i="3"/>
  <c r="T37" i="3"/>
  <c r="Y37" i="3"/>
  <c r="X37" i="3"/>
  <c r="AC37" i="3"/>
  <c r="AA37" i="3"/>
  <c r="H38" i="3"/>
  <c r="G38" i="3"/>
  <c r="F38" i="3" a="1"/>
  <c r="F38" i="3" s="1"/>
  <c r="L38" i="3" a="1"/>
  <c r="L38" i="3" s="1"/>
  <c r="M38" i="3" s="1" a="1"/>
  <c r="M38" i="3" s="1"/>
  <c r="K38" i="3"/>
  <c r="J38" i="3"/>
  <c r="V38" i="3"/>
  <c r="U38" i="3"/>
  <c r="T38" i="3"/>
  <c r="Y38" i="3"/>
  <c r="X38" i="3"/>
  <c r="AC38" i="3"/>
  <c r="AA38" i="3"/>
  <c r="H39" i="3"/>
  <c r="G39" i="3"/>
  <c r="F39" i="3" a="1"/>
  <c r="F39" i="3" s="1"/>
  <c r="L39" i="3" a="1"/>
  <c r="L39" i="3" s="1"/>
  <c r="M39" i="3" s="1" a="1"/>
  <c r="M39" i="3" s="1"/>
  <c r="K39" i="3"/>
  <c r="J39" i="3"/>
  <c r="V39" i="3"/>
  <c r="U39" i="3"/>
  <c r="T39" i="3"/>
  <c r="Y39" i="3"/>
  <c r="X39" i="3"/>
  <c r="AC39" i="3"/>
  <c r="AA39" i="3"/>
  <c r="H40" i="3"/>
  <c r="G40" i="3"/>
  <c r="F40" i="3" a="1"/>
  <c r="F40" i="3" s="1"/>
  <c r="L40" i="3" a="1"/>
  <c r="L40" i="3" s="1"/>
  <c r="M40" i="3" s="1" a="1"/>
  <c r="M40" i="3" s="1"/>
  <c r="K40" i="3"/>
  <c r="J40" i="3"/>
  <c r="V40" i="3"/>
  <c r="U40" i="3"/>
  <c r="T40" i="3"/>
  <c r="Y40" i="3"/>
  <c r="X40" i="3"/>
  <c r="AC40" i="3"/>
  <c r="AA40" i="3"/>
  <c r="H41" i="3"/>
  <c r="G41" i="3"/>
  <c r="F41" i="3" a="1"/>
  <c r="F41" i="3" s="1"/>
  <c r="L41" i="3" a="1"/>
  <c r="L41" i="3" s="1"/>
  <c r="M41" i="3" s="1" a="1"/>
  <c r="M41" i="3" s="1"/>
  <c r="K41" i="3"/>
  <c r="J41" i="3"/>
  <c r="V41" i="3"/>
  <c r="U41" i="3"/>
  <c r="T41" i="3"/>
  <c r="Y41" i="3"/>
  <c r="X41" i="3"/>
  <c r="AC41" i="3"/>
  <c r="AA41" i="3"/>
  <c r="H42" i="3"/>
  <c r="G42" i="3"/>
  <c r="F42" i="3" a="1"/>
  <c r="F42" i="3" s="1"/>
  <c r="L42" i="3" a="1"/>
  <c r="L42" i="3" s="1"/>
  <c r="M42" i="3" s="1" a="1"/>
  <c r="M42" i="3" s="1"/>
  <c r="K42" i="3"/>
  <c r="J42" i="3"/>
  <c r="V42" i="3"/>
  <c r="U42" i="3"/>
  <c r="T42" i="3"/>
  <c r="Y42" i="3"/>
  <c r="X42" i="3"/>
  <c r="AC42" i="3"/>
  <c r="AA42" i="3"/>
  <c r="H43" i="3"/>
  <c r="G43" i="3"/>
  <c r="F43" i="3" a="1"/>
  <c r="F43" i="3" s="1"/>
  <c r="L43" i="3" a="1"/>
  <c r="L43" i="3" s="1"/>
  <c r="M43" i="3" s="1" a="1"/>
  <c r="M43" i="3" s="1"/>
  <c r="K43" i="3"/>
  <c r="J43" i="3"/>
  <c r="V43" i="3"/>
  <c r="U43" i="3"/>
  <c r="T43" i="3"/>
  <c r="Y43" i="3"/>
  <c r="X43" i="3"/>
  <c r="AC43" i="3"/>
  <c r="AA43" i="3"/>
  <c r="H44" i="3"/>
  <c r="G44" i="3"/>
  <c r="F44" i="3" a="1"/>
  <c r="F44" i="3" s="1"/>
  <c r="L44" i="3" a="1"/>
  <c r="L44" i="3" s="1"/>
  <c r="M44" i="3" s="1" a="1"/>
  <c r="M44" i="3" s="1"/>
  <c r="K44" i="3"/>
  <c r="J44" i="3"/>
  <c r="V44" i="3"/>
  <c r="U44" i="3"/>
  <c r="T44" i="3"/>
  <c r="Y44" i="3"/>
  <c r="X44" i="3"/>
  <c r="AC44" i="3"/>
  <c r="AA44" i="3"/>
  <c r="H45" i="3"/>
  <c r="G45" i="3"/>
  <c r="F45" i="3" a="1"/>
  <c r="F45" i="3" s="1"/>
  <c r="L45" i="3" a="1"/>
  <c r="L45" i="3" s="1"/>
  <c r="M45" i="3" s="1" a="1"/>
  <c r="M45" i="3" s="1"/>
  <c r="K45" i="3"/>
  <c r="J45" i="3"/>
  <c r="V45" i="3"/>
  <c r="U45" i="3"/>
  <c r="T45" i="3"/>
  <c r="Y45" i="3"/>
  <c r="X45" i="3"/>
  <c r="AC45" i="3"/>
  <c r="AA45" i="3"/>
  <c r="H46" i="3"/>
  <c r="G46" i="3"/>
  <c r="F46" i="3" a="1"/>
  <c r="F46" i="3" s="1"/>
  <c r="L46" i="3" a="1"/>
  <c r="L46" i="3" s="1"/>
  <c r="M46" i="3" s="1" a="1"/>
  <c r="M46" i="3" s="1"/>
  <c r="K46" i="3"/>
  <c r="J46" i="3"/>
  <c r="V46" i="3"/>
  <c r="U46" i="3"/>
  <c r="T46" i="3"/>
  <c r="Y46" i="3"/>
  <c r="X46" i="3"/>
  <c r="AC46" i="3"/>
  <c r="AA46" i="3"/>
  <c r="H47" i="3"/>
  <c r="G47" i="3"/>
  <c r="F47" i="3" a="1"/>
  <c r="F47" i="3" s="1"/>
  <c r="L47" i="3" a="1"/>
  <c r="L47" i="3" s="1"/>
  <c r="M47" i="3" s="1" a="1"/>
  <c r="M47" i="3" s="1"/>
  <c r="K47" i="3"/>
  <c r="J47" i="3"/>
  <c r="V47" i="3"/>
  <c r="U47" i="3"/>
  <c r="T47" i="3"/>
  <c r="Y47" i="3"/>
  <c r="X47" i="3"/>
  <c r="AC47" i="3"/>
  <c r="AA47" i="3"/>
  <c r="H48" i="3"/>
  <c r="G48" i="3"/>
  <c r="F48" i="3" a="1"/>
  <c r="F48" i="3" s="1"/>
  <c r="L48" i="3" a="1"/>
  <c r="L48" i="3" s="1"/>
  <c r="M48" i="3" s="1" a="1"/>
  <c r="M48" i="3" s="1"/>
  <c r="K48" i="3"/>
  <c r="J48" i="3"/>
  <c r="V48" i="3"/>
  <c r="U48" i="3"/>
  <c r="T48" i="3"/>
  <c r="Y48" i="3"/>
  <c r="X48" i="3"/>
  <c r="AC48" i="3"/>
  <c r="AA48" i="3"/>
  <c r="H49" i="3"/>
  <c r="G49" i="3"/>
  <c r="F49" i="3" a="1"/>
  <c r="F49" i="3" s="1"/>
  <c r="L49" i="3" a="1"/>
  <c r="L49" i="3" s="1"/>
  <c r="M49" i="3" s="1" a="1"/>
  <c r="M49" i="3" s="1"/>
  <c r="K49" i="3"/>
  <c r="J49" i="3"/>
  <c r="V49" i="3"/>
  <c r="U49" i="3"/>
  <c r="T49" i="3"/>
  <c r="Y49" i="3"/>
  <c r="X49" i="3"/>
  <c r="AC49" i="3"/>
  <c r="AA49" i="3"/>
  <c r="H50" i="3"/>
  <c r="G50" i="3"/>
  <c r="F50" i="3" a="1"/>
  <c r="F50" i="3" s="1"/>
  <c r="L50" i="3" a="1"/>
  <c r="L50" i="3" s="1"/>
  <c r="M50" i="3" s="1" a="1"/>
  <c r="M50" i="3" s="1"/>
  <c r="K50" i="3"/>
  <c r="J50" i="3"/>
  <c r="V50" i="3"/>
  <c r="U50" i="3"/>
  <c r="T50" i="3"/>
  <c r="Y50" i="3"/>
  <c r="X50" i="3"/>
  <c r="AC50" i="3"/>
  <c r="AA50" i="3"/>
  <c r="H51" i="3"/>
  <c r="G51" i="3"/>
  <c r="F51" i="3" a="1"/>
  <c r="F51" i="3" s="1"/>
  <c r="L51" i="3" a="1"/>
  <c r="L51" i="3" s="1"/>
  <c r="M51" i="3" s="1" a="1"/>
  <c r="M51" i="3" s="1"/>
  <c r="K51" i="3"/>
  <c r="J51" i="3"/>
  <c r="V51" i="3"/>
  <c r="U51" i="3"/>
  <c r="T51" i="3"/>
  <c r="Y51" i="3"/>
  <c r="X51" i="3"/>
  <c r="AC51" i="3"/>
  <c r="AA51" i="3"/>
  <c r="H52" i="3"/>
  <c r="G52" i="3"/>
  <c r="F52" i="3" a="1"/>
  <c r="F52" i="3" s="1"/>
  <c r="L52" i="3" a="1"/>
  <c r="L52" i="3" s="1"/>
  <c r="M52" i="3" s="1" a="1"/>
  <c r="M52" i="3" s="1"/>
  <c r="K52" i="3"/>
  <c r="J52" i="3"/>
  <c r="V52" i="3"/>
  <c r="U52" i="3"/>
  <c r="T52" i="3"/>
  <c r="Y52" i="3"/>
  <c r="X52" i="3"/>
  <c r="AC52" i="3"/>
  <c r="AA52" i="3"/>
  <c r="H53" i="3"/>
  <c r="G53" i="3"/>
  <c r="F53" i="3" a="1"/>
  <c r="F53" i="3" s="1"/>
  <c r="L53" i="3" a="1"/>
  <c r="L53" i="3" s="1"/>
  <c r="M53" i="3" s="1" a="1"/>
  <c r="M53" i="3" s="1"/>
  <c r="K53" i="3"/>
  <c r="J53" i="3"/>
  <c r="V53" i="3"/>
  <c r="U53" i="3"/>
  <c r="T53" i="3"/>
  <c r="Y53" i="3"/>
  <c r="X53" i="3"/>
  <c r="AC53" i="3"/>
  <c r="AA53" i="3"/>
  <c r="H54" i="3"/>
  <c r="G54" i="3"/>
  <c r="F54" i="3" a="1"/>
  <c r="F54" i="3" s="1"/>
  <c r="L54" i="3" a="1"/>
  <c r="L54" i="3" s="1"/>
  <c r="M54" i="3" s="1" a="1"/>
  <c r="M54" i="3" s="1"/>
  <c r="K54" i="3"/>
  <c r="J54" i="3"/>
  <c r="V54" i="3"/>
  <c r="U54" i="3"/>
  <c r="T54" i="3"/>
  <c r="Y54" i="3"/>
  <c r="X54" i="3"/>
  <c r="AC54" i="3"/>
  <c r="AA54" i="3"/>
  <c r="H55" i="3"/>
  <c r="G55" i="3"/>
  <c r="F55" i="3" a="1"/>
  <c r="F55" i="3" s="1"/>
  <c r="L55" i="3" a="1"/>
  <c r="L55" i="3" s="1"/>
  <c r="M55" i="3" s="1" a="1"/>
  <c r="M55" i="3" s="1"/>
  <c r="K55" i="3"/>
  <c r="J55" i="3"/>
  <c r="V55" i="3"/>
  <c r="U55" i="3"/>
  <c r="T55" i="3"/>
  <c r="Y55" i="3"/>
  <c r="X55" i="3"/>
  <c r="AC55" i="3"/>
  <c r="AA55" i="3"/>
  <c r="H56" i="3"/>
  <c r="G56" i="3"/>
  <c r="F56" i="3" a="1"/>
  <c r="F56" i="3" s="1"/>
  <c r="L56" i="3" a="1"/>
  <c r="L56" i="3" s="1"/>
  <c r="M56" i="3" s="1" a="1"/>
  <c r="M56" i="3" s="1"/>
  <c r="K56" i="3"/>
  <c r="J56" i="3"/>
  <c r="V56" i="3"/>
  <c r="U56" i="3"/>
  <c r="T56" i="3"/>
  <c r="Y56" i="3"/>
  <c r="X56" i="3"/>
  <c r="AC56" i="3"/>
  <c r="AA56" i="3"/>
  <c r="H57" i="3"/>
  <c r="G57" i="3"/>
  <c r="F57" i="3" a="1"/>
  <c r="F57" i="3" s="1"/>
  <c r="L57" i="3" a="1"/>
  <c r="L57" i="3" s="1"/>
  <c r="M57" i="3" s="1" a="1"/>
  <c r="M57" i="3" s="1"/>
  <c r="K57" i="3"/>
  <c r="J57" i="3"/>
  <c r="V57" i="3"/>
  <c r="U57" i="3"/>
  <c r="T57" i="3"/>
  <c r="Y57" i="3"/>
  <c r="X57" i="3"/>
  <c r="AC57" i="3"/>
  <c r="AA57" i="3"/>
  <c r="H58" i="3"/>
  <c r="G58" i="3"/>
  <c r="F58" i="3" a="1"/>
  <c r="F58" i="3" s="1"/>
  <c r="L58" i="3" a="1"/>
  <c r="L58" i="3" s="1"/>
  <c r="M58" i="3" s="1" a="1"/>
  <c r="M58" i="3" s="1"/>
  <c r="K58" i="3"/>
  <c r="J58" i="3"/>
  <c r="V58" i="3"/>
  <c r="U58" i="3"/>
  <c r="T58" i="3"/>
  <c r="Y58" i="3"/>
  <c r="X58" i="3"/>
  <c r="AC58" i="3"/>
  <c r="AA58" i="3"/>
  <c r="H59" i="3"/>
  <c r="G59" i="3"/>
  <c r="F59" i="3" a="1"/>
  <c r="F59" i="3" s="1"/>
  <c r="L59" i="3" a="1"/>
  <c r="L59" i="3" s="1"/>
  <c r="M59" i="3" s="1" a="1"/>
  <c r="M59" i="3" s="1"/>
  <c r="K59" i="3"/>
  <c r="J59" i="3"/>
  <c r="V59" i="3"/>
  <c r="U59" i="3"/>
  <c r="T59" i="3"/>
  <c r="Y59" i="3"/>
  <c r="X59" i="3"/>
  <c r="AC59" i="3"/>
  <c r="AA59" i="3"/>
  <c r="H60" i="3"/>
  <c r="G60" i="3"/>
  <c r="F60" i="3" a="1"/>
  <c r="F60" i="3" s="1"/>
  <c r="L60" i="3" a="1"/>
  <c r="L60" i="3" s="1"/>
  <c r="M60" i="3" s="1" a="1"/>
  <c r="M60" i="3" s="1"/>
  <c r="K60" i="3"/>
  <c r="J60" i="3"/>
  <c r="V60" i="3"/>
  <c r="U60" i="3"/>
  <c r="T60" i="3"/>
  <c r="Y60" i="3"/>
  <c r="X60" i="3"/>
  <c r="AC60" i="3"/>
  <c r="AA60" i="3"/>
  <c r="H61" i="3"/>
  <c r="G61" i="3"/>
  <c r="F61" i="3" a="1"/>
  <c r="F61" i="3" s="1"/>
  <c r="L61" i="3" a="1"/>
  <c r="L61" i="3" s="1"/>
  <c r="M61" i="3" s="1" a="1"/>
  <c r="M61" i="3" s="1"/>
  <c r="K61" i="3"/>
  <c r="J61" i="3"/>
  <c r="V61" i="3"/>
  <c r="U61" i="3"/>
  <c r="T61" i="3"/>
  <c r="Y61" i="3"/>
  <c r="X61" i="3"/>
  <c r="AC61" i="3"/>
  <c r="AA61" i="3"/>
  <c r="H62" i="3"/>
  <c r="G62" i="3"/>
  <c r="F62" i="3" a="1"/>
  <c r="F62" i="3" s="1"/>
  <c r="L62" i="3" a="1"/>
  <c r="L62" i="3" s="1"/>
  <c r="M62" i="3" s="1" a="1"/>
  <c r="M62" i="3" s="1"/>
  <c r="K62" i="3"/>
  <c r="J62" i="3"/>
  <c r="V62" i="3"/>
  <c r="U62" i="3"/>
  <c r="T62" i="3"/>
  <c r="Y62" i="3"/>
  <c r="X62" i="3"/>
  <c r="AC62" i="3"/>
  <c r="AA62" i="3"/>
  <c r="H63" i="3"/>
  <c r="G63" i="3"/>
  <c r="F63" i="3" a="1"/>
  <c r="F63" i="3" s="1"/>
  <c r="L63" i="3" a="1"/>
  <c r="L63" i="3" s="1"/>
  <c r="M63" i="3" s="1" a="1"/>
  <c r="M63" i="3" s="1"/>
  <c r="K63" i="3"/>
  <c r="J63" i="3"/>
  <c r="V63" i="3"/>
  <c r="U63" i="3"/>
  <c r="T63" i="3"/>
  <c r="Y63" i="3"/>
  <c r="X63" i="3"/>
  <c r="AC63" i="3"/>
  <c r="AA63" i="3"/>
  <c r="H64" i="3"/>
  <c r="G64" i="3"/>
  <c r="F64" i="3" a="1"/>
  <c r="F64" i="3" s="1"/>
  <c r="L64" i="3" a="1"/>
  <c r="L64" i="3" s="1"/>
  <c r="M64" i="3" s="1" a="1"/>
  <c r="M64" i="3" s="1"/>
  <c r="K64" i="3"/>
  <c r="J64" i="3"/>
  <c r="V64" i="3"/>
  <c r="U64" i="3"/>
  <c r="T64" i="3"/>
  <c r="Y64" i="3"/>
  <c r="X64" i="3"/>
  <c r="AC64" i="3"/>
  <c r="AA64" i="3"/>
  <c r="H65" i="3"/>
  <c r="G65" i="3"/>
  <c r="F65" i="3" a="1"/>
  <c r="F65" i="3" s="1"/>
  <c r="L65" i="3" a="1"/>
  <c r="L65" i="3" s="1"/>
  <c r="M65" i="3" s="1" a="1"/>
  <c r="M65" i="3" s="1"/>
  <c r="K65" i="3"/>
  <c r="J65" i="3"/>
  <c r="V65" i="3"/>
  <c r="U65" i="3"/>
  <c r="T65" i="3"/>
  <c r="Y65" i="3"/>
  <c r="X65" i="3"/>
  <c r="AC65" i="3"/>
  <c r="AA65" i="3"/>
  <c r="H66" i="3"/>
  <c r="G66" i="3"/>
  <c r="F66" i="3" a="1"/>
  <c r="F66" i="3" s="1"/>
  <c r="L66" i="3" a="1"/>
  <c r="L66" i="3" s="1"/>
  <c r="M66" i="3" s="1" a="1"/>
  <c r="M66" i="3" s="1"/>
  <c r="K66" i="3"/>
  <c r="J66" i="3"/>
  <c r="V66" i="3"/>
  <c r="U66" i="3"/>
  <c r="T66" i="3"/>
  <c r="Y66" i="3"/>
  <c r="X66" i="3"/>
  <c r="AC66" i="3"/>
  <c r="AA66" i="3"/>
  <c r="H67" i="3"/>
  <c r="G67" i="3"/>
  <c r="F67" i="3" a="1"/>
  <c r="F67" i="3" s="1"/>
  <c r="L67" i="3" a="1"/>
  <c r="L67" i="3" s="1"/>
  <c r="M67" i="3" s="1" a="1"/>
  <c r="M67" i="3" s="1"/>
  <c r="K67" i="3"/>
  <c r="J67" i="3"/>
  <c r="V67" i="3"/>
  <c r="U67" i="3"/>
  <c r="T67" i="3"/>
  <c r="Y67" i="3"/>
  <c r="X67" i="3"/>
  <c r="AC67" i="3"/>
  <c r="AA67" i="3"/>
  <c r="H68" i="3"/>
  <c r="G68" i="3"/>
  <c r="F68" i="3" a="1"/>
  <c r="F68" i="3" s="1"/>
  <c r="L68" i="3" a="1"/>
  <c r="L68" i="3" s="1"/>
  <c r="M68" i="3" s="1" a="1"/>
  <c r="M68" i="3" s="1"/>
  <c r="K68" i="3"/>
  <c r="J68" i="3"/>
  <c r="V68" i="3"/>
  <c r="U68" i="3"/>
  <c r="T68" i="3"/>
  <c r="Y68" i="3"/>
  <c r="X68" i="3"/>
  <c r="AC68" i="3"/>
  <c r="AA68" i="3"/>
  <c r="H69" i="3"/>
  <c r="G69" i="3"/>
  <c r="F69" i="3" a="1"/>
  <c r="F69" i="3" s="1"/>
  <c r="L69" i="3" a="1"/>
  <c r="L69" i="3" s="1"/>
  <c r="M69" i="3" s="1" a="1"/>
  <c r="M69" i="3" s="1"/>
  <c r="K69" i="3"/>
  <c r="J69" i="3"/>
  <c r="V69" i="3"/>
  <c r="U69" i="3"/>
  <c r="T69" i="3"/>
  <c r="Y69" i="3"/>
  <c r="X69" i="3"/>
  <c r="AC69" i="3"/>
  <c r="AA69" i="3"/>
  <c r="H70" i="3"/>
  <c r="G70" i="3"/>
  <c r="F70" i="3" a="1"/>
  <c r="F70" i="3" s="1"/>
  <c r="L70" i="3" a="1"/>
  <c r="L70" i="3" s="1"/>
  <c r="M70" i="3" s="1" a="1"/>
  <c r="M70" i="3" s="1"/>
  <c r="K70" i="3"/>
  <c r="J70" i="3"/>
  <c r="V70" i="3"/>
  <c r="U70" i="3"/>
  <c r="T70" i="3"/>
  <c r="Y70" i="3"/>
  <c r="X70" i="3"/>
  <c r="AC70" i="3"/>
  <c r="AA70" i="3"/>
  <c r="H71" i="3"/>
  <c r="G71" i="3"/>
  <c r="F71" i="3" a="1"/>
  <c r="F71" i="3" s="1"/>
  <c r="L71" i="3" a="1"/>
  <c r="L71" i="3" s="1"/>
  <c r="M71" i="3" s="1" a="1"/>
  <c r="M71" i="3" s="1"/>
  <c r="K71" i="3"/>
  <c r="J71" i="3"/>
  <c r="V71" i="3"/>
  <c r="U71" i="3"/>
  <c r="T71" i="3"/>
  <c r="Y71" i="3"/>
  <c r="X71" i="3"/>
  <c r="AC71" i="3"/>
  <c r="AA71" i="3"/>
  <c r="H72" i="3"/>
  <c r="G72" i="3"/>
  <c r="F72" i="3" a="1"/>
  <c r="F72" i="3" s="1"/>
  <c r="L72" i="3" a="1"/>
  <c r="L72" i="3" s="1"/>
  <c r="M72" i="3" s="1" a="1"/>
  <c r="M72" i="3" s="1"/>
  <c r="K72" i="3"/>
  <c r="J72" i="3"/>
  <c r="V72" i="3"/>
  <c r="U72" i="3"/>
  <c r="T72" i="3"/>
  <c r="Y72" i="3"/>
  <c r="X72" i="3"/>
  <c r="AC72" i="3"/>
  <c r="AA72" i="3"/>
  <c r="H73" i="3"/>
  <c r="G73" i="3"/>
  <c r="F73" i="3" a="1"/>
  <c r="F73" i="3" s="1"/>
  <c r="L73" i="3" a="1"/>
  <c r="L73" i="3" s="1"/>
  <c r="M73" i="3" s="1" a="1"/>
  <c r="M73" i="3" s="1"/>
  <c r="K73" i="3"/>
  <c r="J73" i="3"/>
  <c r="V73" i="3"/>
  <c r="U73" i="3"/>
  <c r="T73" i="3"/>
  <c r="Y73" i="3"/>
  <c r="X73" i="3"/>
  <c r="AC73" i="3"/>
  <c r="AA73" i="3"/>
  <c r="H74" i="3"/>
  <c r="G74" i="3"/>
  <c r="F74" i="3" a="1"/>
  <c r="F74" i="3" s="1"/>
  <c r="L74" i="3" a="1"/>
  <c r="L74" i="3" s="1"/>
  <c r="M74" i="3" s="1" a="1"/>
  <c r="M74" i="3" s="1"/>
  <c r="K74" i="3"/>
  <c r="J74" i="3"/>
  <c r="V74" i="3"/>
  <c r="U74" i="3"/>
  <c r="T74" i="3"/>
  <c r="Y74" i="3"/>
  <c r="X74" i="3"/>
  <c r="AC74" i="3"/>
  <c r="AA74" i="3"/>
  <c r="H75" i="3"/>
  <c r="G75" i="3"/>
  <c r="F75" i="3" a="1"/>
  <c r="F75" i="3" s="1"/>
  <c r="L75" i="3" a="1"/>
  <c r="L75" i="3" s="1"/>
  <c r="M75" i="3" s="1" a="1"/>
  <c r="M75" i="3" s="1"/>
  <c r="K75" i="3"/>
  <c r="J75" i="3"/>
  <c r="V75" i="3"/>
  <c r="U75" i="3"/>
  <c r="T75" i="3"/>
  <c r="Y75" i="3"/>
  <c r="X75" i="3"/>
  <c r="AC75" i="3"/>
  <c r="AA75" i="3"/>
  <c r="H76" i="3"/>
  <c r="G76" i="3"/>
  <c r="F76" i="3" a="1"/>
  <c r="F76" i="3" s="1"/>
  <c r="L76" i="3" a="1"/>
  <c r="L76" i="3" s="1"/>
  <c r="M76" i="3" s="1" a="1"/>
  <c r="M76" i="3" s="1"/>
  <c r="K76" i="3"/>
  <c r="J76" i="3"/>
  <c r="V76" i="3"/>
  <c r="U76" i="3"/>
  <c r="T76" i="3"/>
  <c r="Y76" i="3"/>
  <c r="X76" i="3"/>
  <c r="AC76" i="3"/>
  <c r="AA76" i="3"/>
  <c r="H77" i="3"/>
  <c r="G77" i="3"/>
  <c r="F77" i="3" a="1"/>
  <c r="F77" i="3" s="1"/>
  <c r="L77" i="3" a="1"/>
  <c r="L77" i="3" s="1"/>
  <c r="M77" i="3" s="1" a="1"/>
  <c r="M77" i="3" s="1"/>
  <c r="K77" i="3"/>
  <c r="J77" i="3"/>
  <c r="V77" i="3"/>
  <c r="U77" i="3"/>
  <c r="T77" i="3"/>
  <c r="Y77" i="3"/>
  <c r="X77" i="3"/>
  <c r="AC77" i="3"/>
  <c r="AA77" i="3"/>
  <c r="H78" i="3"/>
  <c r="G78" i="3"/>
  <c r="F78" i="3" a="1"/>
  <c r="F78" i="3" s="1"/>
  <c r="L78" i="3" a="1"/>
  <c r="L78" i="3" s="1"/>
  <c r="M78" i="3" s="1" a="1"/>
  <c r="M78" i="3" s="1"/>
  <c r="K78" i="3"/>
  <c r="J78" i="3"/>
  <c r="V78" i="3"/>
  <c r="U78" i="3"/>
  <c r="T78" i="3"/>
  <c r="Y78" i="3"/>
  <c r="X78" i="3"/>
  <c r="AC78" i="3"/>
  <c r="AA78" i="3"/>
  <c r="H79" i="3"/>
  <c r="G79" i="3"/>
  <c r="F79" i="3" a="1"/>
  <c r="F79" i="3" s="1"/>
  <c r="L79" i="3" a="1"/>
  <c r="L79" i="3" s="1"/>
  <c r="M79" i="3" s="1" a="1"/>
  <c r="M79" i="3" s="1"/>
  <c r="K79" i="3"/>
  <c r="J79" i="3"/>
  <c r="V79" i="3"/>
  <c r="U79" i="3"/>
  <c r="T79" i="3"/>
  <c r="Y79" i="3"/>
  <c r="X79" i="3"/>
  <c r="AC79" i="3"/>
  <c r="AA79" i="3"/>
  <c r="H80" i="3"/>
  <c r="G80" i="3"/>
  <c r="F80" i="3" a="1"/>
  <c r="F80" i="3" s="1"/>
  <c r="L80" i="3" a="1"/>
  <c r="L80" i="3" s="1"/>
  <c r="M80" i="3" s="1" a="1"/>
  <c r="M80" i="3" s="1"/>
  <c r="K80" i="3"/>
  <c r="J80" i="3"/>
  <c r="V80" i="3"/>
  <c r="U80" i="3"/>
  <c r="T80" i="3"/>
  <c r="Y80" i="3"/>
  <c r="X80" i="3"/>
  <c r="AC80" i="3"/>
  <c r="AA80" i="3"/>
  <c r="H81" i="3"/>
  <c r="G81" i="3"/>
  <c r="F81" i="3" a="1"/>
  <c r="F81" i="3" s="1"/>
  <c r="L81" i="3" a="1"/>
  <c r="L81" i="3" s="1"/>
  <c r="M81" i="3" s="1" a="1"/>
  <c r="M81" i="3" s="1"/>
  <c r="K81" i="3"/>
  <c r="J81" i="3"/>
  <c r="V81" i="3"/>
  <c r="U81" i="3"/>
  <c r="T81" i="3"/>
  <c r="Y81" i="3"/>
  <c r="X81" i="3"/>
  <c r="AC81" i="3"/>
  <c r="AA81" i="3"/>
  <c r="H82" i="3"/>
  <c r="G82" i="3"/>
  <c r="F82" i="3" a="1"/>
  <c r="F82" i="3" s="1"/>
  <c r="L82" i="3" a="1"/>
  <c r="L82" i="3" s="1"/>
  <c r="M82" i="3" s="1" a="1"/>
  <c r="M82" i="3" s="1"/>
  <c r="K82" i="3"/>
  <c r="J82" i="3"/>
  <c r="V82" i="3"/>
  <c r="U82" i="3"/>
  <c r="T82" i="3"/>
  <c r="Y82" i="3"/>
  <c r="X82" i="3"/>
  <c r="AC82" i="3"/>
  <c r="AA82" i="3"/>
  <c r="H83" i="3"/>
  <c r="G83" i="3"/>
  <c r="F83" i="3" a="1"/>
  <c r="F83" i="3" s="1"/>
  <c r="L83" i="3" a="1"/>
  <c r="L83" i="3" s="1"/>
  <c r="M83" i="3" s="1" a="1"/>
  <c r="M83" i="3" s="1"/>
  <c r="K83" i="3"/>
  <c r="J83" i="3"/>
  <c r="V83" i="3"/>
  <c r="U83" i="3"/>
  <c r="T83" i="3"/>
  <c r="Y83" i="3"/>
  <c r="X83" i="3"/>
  <c r="AC83" i="3"/>
  <c r="AA83" i="3"/>
  <c r="H84" i="3"/>
  <c r="G84" i="3"/>
  <c r="F84" i="3" a="1"/>
  <c r="F84" i="3" s="1"/>
  <c r="L84" i="3" a="1"/>
  <c r="L84" i="3" s="1"/>
  <c r="M84" i="3" s="1" a="1"/>
  <c r="M84" i="3" s="1"/>
  <c r="K84" i="3"/>
  <c r="J84" i="3"/>
  <c r="V84" i="3"/>
  <c r="U84" i="3"/>
  <c r="T84" i="3"/>
  <c r="Y84" i="3"/>
  <c r="X84" i="3"/>
  <c r="AC84" i="3"/>
  <c r="AA84" i="3"/>
  <c r="H85" i="3"/>
  <c r="G85" i="3"/>
  <c r="F85" i="3" a="1"/>
  <c r="F85" i="3" s="1"/>
  <c r="L85" i="3" a="1"/>
  <c r="L85" i="3" s="1"/>
  <c r="M85" i="3" s="1" a="1"/>
  <c r="M85" i="3" s="1"/>
  <c r="K85" i="3"/>
  <c r="J85" i="3"/>
  <c r="V85" i="3"/>
  <c r="U85" i="3"/>
  <c r="T85" i="3"/>
  <c r="Y85" i="3"/>
  <c r="X85" i="3"/>
  <c r="AC85" i="3"/>
  <c r="AA85" i="3"/>
  <c r="H86" i="3"/>
  <c r="G86" i="3"/>
  <c r="F86" i="3" a="1"/>
  <c r="F86" i="3" s="1"/>
  <c r="L86" i="3" a="1"/>
  <c r="L86" i="3" s="1"/>
  <c r="M86" i="3" s="1" a="1"/>
  <c r="M86" i="3" s="1"/>
  <c r="K86" i="3"/>
  <c r="J86" i="3"/>
  <c r="V86" i="3"/>
  <c r="U86" i="3"/>
  <c r="T86" i="3"/>
  <c r="Y86" i="3"/>
  <c r="X86" i="3"/>
  <c r="AC86" i="3"/>
  <c r="AA86" i="3"/>
  <c r="H87" i="3"/>
  <c r="G87" i="3"/>
  <c r="F87" i="3" a="1"/>
  <c r="F87" i="3" s="1"/>
  <c r="L87" i="3" a="1"/>
  <c r="L87" i="3" s="1"/>
  <c r="M87" i="3" s="1" a="1"/>
  <c r="M87" i="3" s="1"/>
  <c r="K87" i="3"/>
  <c r="J87" i="3"/>
  <c r="V87" i="3"/>
  <c r="U87" i="3"/>
  <c r="T87" i="3"/>
  <c r="Y87" i="3"/>
  <c r="X87" i="3"/>
  <c r="AC87" i="3"/>
  <c r="AA87" i="3"/>
  <c r="H88" i="3"/>
  <c r="G88" i="3"/>
  <c r="F88" i="3" a="1"/>
  <c r="F88" i="3" s="1"/>
  <c r="L88" i="3" a="1"/>
  <c r="L88" i="3" s="1"/>
  <c r="M88" i="3" s="1" a="1"/>
  <c r="M88" i="3" s="1"/>
  <c r="K88" i="3"/>
  <c r="J88" i="3"/>
  <c r="V88" i="3"/>
  <c r="U88" i="3"/>
  <c r="T88" i="3"/>
  <c r="Y88" i="3"/>
  <c r="X88" i="3"/>
  <c r="AC88" i="3"/>
  <c r="AA88" i="3"/>
  <c r="H89" i="3"/>
  <c r="G89" i="3"/>
  <c r="F89" i="3" a="1"/>
  <c r="F89" i="3" s="1"/>
  <c r="L89" i="3" a="1"/>
  <c r="L89" i="3" s="1"/>
  <c r="M89" i="3" s="1" a="1"/>
  <c r="M89" i="3" s="1"/>
  <c r="K89" i="3"/>
  <c r="J89" i="3"/>
  <c r="V89" i="3"/>
  <c r="U89" i="3"/>
  <c r="T89" i="3"/>
  <c r="Y89" i="3"/>
  <c r="X89" i="3"/>
  <c r="AC89" i="3"/>
  <c r="AA89" i="3"/>
  <c r="H90" i="3"/>
  <c r="G90" i="3"/>
  <c r="F90" i="3" a="1"/>
  <c r="F90" i="3" s="1"/>
  <c r="L90" i="3" a="1"/>
  <c r="L90" i="3" s="1"/>
  <c r="M90" i="3" s="1" a="1"/>
  <c r="M90" i="3" s="1"/>
  <c r="K90" i="3"/>
  <c r="J90" i="3"/>
  <c r="V90" i="3"/>
  <c r="U90" i="3"/>
  <c r="T90" i="3"/>
  <c r="Y90" i="3"/>
  <c r="X90" i="3"/>
  <c r="AC90" i="3"/>
  <c r="AA90" i="3"/>
  <c r="H91" i="3"/>
  <c r="G91" i="3"/>
  <c r="F91" i="3" a="1"/>
  <c r="F91" i="3" s="1"/>
  <c r="L91" i="3" a="1"/>
  <c r="L91" i="3" s="1"/>
  <c r="M91" i="3" s="1" a="1"/>
  <c r="M91" i="3" s="1"/>
  <c r="K91" i="3"/>
  <c r="J91" i="3"/>
  <c r="V91" i="3"/>
  <c r="U91" i="3"/>
  <c r="T91" i="3"/>
  <c r="Y91" i="3"/>
  <c r="X91" i="3"/>
  <c r="AC91" i="3"/>
  <c r="AA91" i="3"/>
  <c r="H92" i="3"/>
  <c r="G92" i="3"/>
  <c r="F92" i="3" a="1"/>
  <c r="F92" i="3" s="1"/>
  <c r="L92" i="3" a="1"/>
  <c r="L92" i="3" s="1"/>
  <c r="M92" i="3" s="1" a="1"/>
  <c r="M92" i="3" s="1"/>
  <c r="K92" i="3"/>
  <c r="J92" i="3"/>
  <c r="V92" i="3"/>
  <c r="U92" i="3"/>
  <c r="T92" i="3"/>
  <c r="Y92" i="3"/>
  <c r="X92" i="3"/>
  <c r="AC92" i="3"/>
  <c r="AA92" i="3"/>
  <c r="H93" i="3"/>
  <c r="G93" i="3"/>
  <c r="F93" i="3" a="1"/>
  <c r="F93" i="3" s="1"/>
  <c r="L93" i="3" a="1"/>
  <c r="L93" i="3" s="1"/>
  <c r="M93" i="3" s="1" a="1"/>
  <c r="M93" i="3" s="1"/>
  <c r="K93" i="3"/>
  <c r="J93" i="3"/>
  <c r="V93" i="3"/>
  <c r="U93" i="3"/>
  <c r="T93" i="3"/>
  <c r="Y93" i="3"/>
  <c r="X93" i="3"/>
  <c r="AC93" i="3"/>
  <c r="AA93" i="3"/>
  <c r="H94" i="3"/>
  <c r="G94" i="3"/>
  <c r="F94" i="3" a="1"/>
  <c r="F94" i="3" s="1"/>
  <c r="L94" i="3" a="1"/>
  <c r="L94" i="3" s="1"/>
  <c r="M94" i="3" s="1" a="1"/>
  <c r="M94" i="3" s="1"/>
  <c r="K94" i="3"/>
  <c r="J94" i="3"/>
  <c r="V94" i="3"/>
  <c r="U94" i="3"/>
  <c r="T94" i="3"/>
  <c r="Y94" i="3"/>
  <c r="X94" i="3"/>
  <c r="AC94" i="3"/>
  <c r="AA94" i="3"/>
  <c r="H95" i="3"/>
  <c r="G95" i="3"/>
  <c r="F95" i="3" a="1"/>
  <c r="F95" i="3" s="1"/>
  <c r="L95" i="3" a="1"/>
  <c r="L95" i="3" s="1"/>
  <c r="M95" i="3" s="1" a="1"/>
  <c r="M95" i="3" s="1"/>
  <c r="K95" i="3"/>
  <c r="J95" i="3"/>
  <c r="V95" i="3"/>
  <c r="U95" i="3"/>
  <c r="T95" i="3"/>
  <c r="Y95" i="3"/>
  <c r="X95" i="3"/>
  <c r="AC95" i="3"/>
  <c r="AA95" i="3"/>
  <c r="H96" i="3"/>
  <c r="G96" i="3"/>
  <c r="F96" i="3" a="1"/>
  <c r="F96" i="3" s="1"/>
  <c r="L96" i="3" a="1"/>
  <c r="L96" i="3" s="1"/>
  <c r="M96" i="3" s="1" a="1"/>
  <c r="M96" i="3" s="1"/>
  <c r="K96" i="3"/>
  <c r="J96" i="3"/>
  <c r="V96" i="3"/>
  <c r="U96" i="3"/>
  <c r="T96" i="3"/>
  <c r="Y96" i="3"/>
  <c r="X96" i="3"/>
  <c r="AC96" i="3"/>
  <c r="AA96" i="3"/>
  <c r="H97" i="3"/>
  <c r="G97" i="3"/>
  <c r="F97" i="3" a="1"/>
  <c r="F97" i="3" s="1"/>
  <c r="L97" i="3" a="1"/>
  <c r="L97" i="3" s="1"/>
  <c r="M97" i="3" s="1" a="1"/>
  <c r="M97" i="3" s="1"/>
  <c r="K97" i="3"/>
  <c r="J97" i="3"/>
  <c r="V97" i="3"/>
  <c r="U97" i="3"/>
  <c r="T97" i="3"/>
  <c r="Y97" i="3"/>
  <c r="X97" i="3"/>
  <c r="AC97" i="3"/>
  <c r="AA97" i="3"/>
  <c r="H98" i="3"/>
  <c r="G98" i="3"/>
  <c r="F98" i="3" a="1"/>
  <c r="F98" i="3" s="1"/>
  <c r="L98" i="3" a="1"/>
  <c r="L98" i="3" s="1"/>
  <c r="M98" i="3" s="1" a="1"/>
  <c r="M98" i="3" s="1"/>
  <c r="K98" i="3"/>
  <c r="J98" i="3"/>
  <c r="V98" i="3"/>
  <c r="U98" i="3"/>
  <c r="T98" i="3"/>
  <c r="Y98" i="3"/>
  <c r="X98" i="3"/>
  <c r="AC98" i="3"/>
  <c r="AA98" i="3"/>
  <c r="H99" i="3"/>
  <c r="G99" i="3"/>
  <c r="F99" i="3" a="1"/>
  <c r="F99" i="3" s="1"/>
  <c r="L99" i="3" a="1"/>
  <c r="L99" i="3" s="1"/>
  <c r="M99" i="3" s="1" a="1"/>
  <c r="M99" i="3" s="1"/>
  <c r="K99" i="3"/>
  <c r="J99" i="3"/>
  <c r="V99" i="3"/>
  <c r="U99" i="3"/>
  <c r="T99" i="3"/>
  <c r="Y99" i="3"/>
  <c r="X99" i="3"/>
  <c r="AC99" i="3"/>
  <c r="AA99" i="3"/>
  <c r="H100" i="3"/>
  <c r="G100" i="3"/>
  <c r="F100" i="3" a="1"/>
  <c r="F100" i="3" s="1"/>
  <c r="L100" i="3" a="1"/>
  <c r="L100" i="3" s="1"/>
  <c r="M100" i="3" s="1" a="1"/>
  <c r="M100" i="3" s="1"/>
  <c r="K100" i="3"/>
  <c r="J100" i="3"/>
  <c r="V100" i="3"/>
  <c r="U100" i="3"/>
  <c r="T100" i="3"/>
  <c r="Y100" i="3"/>
  <c r="X100" i="3"/>
  <c r="AC100" i="3"/>
  <c r="AA100" i="3"/>
  <c r="H101" i="3"/>
  <c r="G101" i="3"/>
  <c r="F101" i="3" a="1"/>
  <c r="F101" i="3" s="1"/>
  <c r="L101" i="3" a="1"/>
  <c r="L101" i="3" s="1"/>
  <c r="M101" i="3" s="1" a="1"/>
  <c r="M101" i="3" s="1"/>
  <c r="K101" i="3"/>
  <c r="J101" i="3"/>
  <c r="V101" i="3"/>
  <c r="U101" i="3"/>
  <c r="T101" i="3"/>
  <c r="Y101" i="3"/>
  <c r="X101" i="3"/>
  <c r="AC101" i="3"/>
  <c r="AA101" i="3"/>
  <c r="H102" i="3"/>
  <c r="G102" i="3"/>
  <c r="F102" i="3" a="1"/>
  <c r="F102" i="3" s="1"/>
  <c r="L102" i="3" a="1"/>
  <c r="L102" i="3" s="1"/>
  <c r="M102" i="3" s="1" a="1"/>
  <c r="M102" i="3" s="1"/>
  <c r="K102" i="3"/>
  <c r="J102" i="3"/>
  <c r="V102" i="3"/>
  <c r="U102" i="3"/>
  <c r="T102" i="3"/>
  <c r="Y102" i="3"/>
  <c r="X102" i="3"/>
  <c r="AC102" i="3"/>
  <c r="AA102" i="3"/>
  <c r="H103" i="3"/>
  <c r="G103" i="3"/>
  <c r="F103" i="3" a="1"/>
  <c r="F103" i="3" s="1"/>
  <c r="L103" i="3" a="1"/>
  <c r="L103" i="3" s="1"/>
  <c r="M103" i="3" s="1" a="1"/>
  <c r="M103" i="3" s="1"/>
  <c r="K103" i="3"/>
  <c r="J103" i="3"/>
  <c r="V103" i="3"/>
  <c r="U103" i="3"/>
  <c r="T103" i="3"/>
  <c r="Y103" i="3"/>
  <c r="X103" i="3"/>
  <c r="AC103" i="3"/>
  <c r="AA103" i="3"/>
  <c r="H104" i="3"/>
  <c r="G104" i="3"/>
  <c r="F104" i="3" a="1"/>
  <c r="F104" i="3" s="1"/>
  <c r="L104" i="3" a="1"/>
  <c r="L104" i="3" s="1"/>
  <c r="M104" i="3" s="1" a="1"/>
  <c r="M104" i="3" s="1"/>
  <c r="K104" i="3"/>
  <c r="J104" i="3"/>
  <c r="V104" i="3"/>
  <c r="U104" i="3"/>
  <c r="T104" i="3"/>
  <c r="Y104" i="3"/>
  <c r="X104" i="3"/>
  <c r="AC104" i="3"/>
  <c r="AA104" i="3"/>
  <c r="H105" i="3"/>
  <c r="G105" i="3"/>
  <c r="F105" i="3" a="1"/>
  <c r="F105" i="3" s="1"/>
  <c r="L105" i="3" a="1"/>
  <c r="L105" i="3" s="1"/>
  <c r="M105" i="3" s="1" a="1"/>
  <c r="M105" i="3" s="1"/>
  <c r="K105" i="3"/>
  <c r="J105" i="3"/>
  <c r="V105" i="3"/>
  <c r="U105" i="3"/>
  <c r="T105" i="3"/>
  <c r="Y105" i="3"/>
  <c r="X105" i="3"/>
  <c r="AC105" i="3"/>
  <c r="AA105" i="3"/>
  <c r="H106" i="3"/>
  <c r="G106" i="3"/>
  <c r="F106" i="3" a="1"/>
  <c r="F106" i="3" s="1"/>
  <c r="L106" i="3" a="1"/>
  <c r="L106" i="3" s="1"/>
  <c r="M106" i="3" s="1" a="1"/>
  <c r="M106" i="3" s="1"/>
  <c r="K106" i="3"/>
  <c r="J106" i="3"/>
  <c r="V106" i="3"/>
  <c r="U106" i="3"/>
  <c r="T106" i="3"/>
  <c r="Y106" i="3"/>
  <c r="X106" i="3"/>
  <c r="AC106" i="3"/>
  <c r="AA106" i="3"/>
  <c r="H107" i="3"/>
  <c r="G107" i="3"/>
  <c r="F107" i="3" a="1"/>
  <c r="F107" i="3" s="1"/>
  <c r="L107" i="3" a="1"/>
  <c r="L107" i="3" s="1"/>
  <c r="M107" i="3" s="1" a="1"/>
  <c r="M107" i="3" s="1"/>
  <c r="K107" i="3"/>
  <c r="J107" i="3"/>
  <c r="V107" i="3"/>
  <c r="U107" i="3"/>
  <c r="T107" i="3"/>
  <c r="Y107" i="3"/>
  <c r="X107" i="3"/>
  <c r="AC107" i="3"/>
  <c r="AA107" i="3"/>
  <c r="H108" i="3"/>
  <c r="G108" i="3"/>
  <c r="F108" i="3" a="1"/>
  <c r="F108" i="3" s="1"/>
  <c r="L108" i="3" a="1"/>
  <c r="L108" i="3" s="1"/>
  <c r="M108" i="3" s="1" a="1"/>
  <c r="M108" i="3" s="1"/>
  <c r="K108" i="3"/>
  <c r="J108" i="3"/>
  <c r="V108" i="3"/>
  <c r="U108" i="3"/>
  <c r="T108" i="3"/>
  <c r="Y108" i="3"/>
  <c r="X108" i="3"/>
  <c r="AC108" i="3"/>
  <c r="AA108" i="3"/>
  <c r="H109" i="3"/>
  <c r="G109" i="3"/>
  <c r="F109" i="3" a="1"/>
  <c r="F109" i="3" s="1"/>
  <c r="L109" i="3" a="1"/>
  <c r="L109" i="3" s="1"/>
  <c r="M109" i="3" s="1" a="1"/>
  <c r="M109" i="3" s="1"/>
  <c r="K109" i="3"/>
  <c r="J109" i="3"/>
  <c r="V109" i="3"/>
  <c r="U109" i="3"/>
  <c r="T109" i="3"/>
  <c r="Y109" i="3"/>
  <c r="X109" i="3"/>
  <c r="AC109" i="3"/>
  <c r="AA109" i="3"/>
  <c r="H110" i="3"/>
  <c r="G110" i="3"/>
  <c r="F110" i="3" a="1"/>
  <c r="F110" i="3" s="1"/>
  <c r="L110" i="3" a="1"/>
  <c r="L110" i="3" s="1"/>
  <c r="M110" i="3" s="1" a="1"/>
  <c r="M110" i="3" s="1"/>
  <c r="K110" i="3"/>
  <c r="J110" i="3"/>
  <c r="V110" i="3"/>
  <c r="U110" i="3"/>
  <c r="T110" i="3"/>
  <c r="Y110" i="3"/>
  <c r="X110" i="3"/>
  <c r="AC110" i="3"/>
  <c r="AA110" i="3"/>
  <c r="H111" i="3"/>
  <c r="G111" i="3"/>
  <c r="F111" i="3" a="1"/>
  <c r="F111" i="3" s="1"/>
  <c r="L111" i="3" a="1"/>
  <c r="L111" i="3" s="1"/>
  <c r="M111" i="3" s="1" a="1"/>
  <c r="M111" i="3" s="1"/>
  <c r="K111" i="3"/>
  <c r="J111" i="3"/>
  <c r="V111" i="3"/>
  <c r="U111" i="3"/>
  <c r="T111" i="3"/>
  <c r="Y111" i="3"/>
  <c r="X111" i="3"/>
  <c r="AC111" i="3"/>
  <c r="AA111" i="3"/>
  <c r="H112" i="3"/>
  <c r="G112" i="3"/>
  <c r="F112" i="3" a="1"/>
  <c r="F112" i="3" s="1"/>
  <c r="L112" i="3" a="1"/>
  <c r="L112" i="3" s="1"/>
  <c r="M112" i="3" s="1" a="1"/>
  <c r="M112" i="3" s="1"/>
  <c r="K112" i="3"/>
  <c r="J112" i="3"/>
  <c r="V112" i="3"/>
  <c r="U112" i="3"/>
  <c r="T112" i="3"/>
  <c r="Y112" i="3"/>
  <c r="X112" i="3"/>
  <c r="AC112" i="3"/>
  <c r="AA112" i="3"/>
  <c r="H113" i="3"/>
  <c r="G113" i="3"/>
  <c r="F113" i="3" a="1"/>
  <c r="F113" i="3" s="1"/>
  <c r="L113" i="3" a="1"/>
  <c r="L113" i="3" s="1"/>
  <c r="M113" i="3" s="1" a="1"/>
  <c r="M113" i="3" s="1"/>
  <c r="K113" i="3"/>
  <c r="J113" i="3"/>
  <c r="V113" i="3"/>
  <c r="U113" i="3"/>
  <c r="T113" i="3"/>
  <c r="Y113" i="3"/>
  <c r="X113" i="3"/>
  <c r="AC113" i="3"/>
  <c r="AA113" i="3"/>
  <c r="H114" i="3"/>
  <c r="G114" i="3"/>
  <c r="F114" i="3" a="1"/>
  <c r="F114" i="3" s="1"/>
  <c r="L114" i="3" a="1"/>
  <c r="L114" i="3" s="1"/>
  <c r="M114" i="3" s="1" a="1"/>
  <c r="M114" i="3" s="1"/>
  <c r="K114" i="3"/>
  <c r="J114" i="3"/>
  <c r="V114" i="3"/>
  <c r="U114" i="3"/>
  <c r="T114" i="3"/>
  <c r="Y114" i="3"/>
  <c r="X114" i="3"/>
  <c r="AC114" i="3"/>
  <c r="AA114" i="3"/>
  <c r="H115" i="3"/>
  <c r="G115" i="3"/>
  <c r="F115" i="3" a="1"/>
  <c r="F115" i="3" s="1"/>
  <c r="L115" i="3" a="1"/>
  <c r="L115" i="3" s="1"/>
  <c r="M115" i="3" s="1" a="1"/>
  <c r="M115" i="3" s="1"/>
  <c r="K115" i="3"/>
  <c r="J115" i="3"/>
  <c r="V115" i="3"/>
  <c r="U115" i="3"/>
  <c r="T115" i="3"/>
  <c r="Y115" i="3"/>
  <c r="X115" i="3"/>
  <c r="AC115" i="3"/>
  <c r="AA115" i="3"/>
  <c r="H116" i="3"/>
  <c r="G116" i="3"/>
  <c r="F116" i="3" a="1"/>
  <c r="F116" i="3" s="1"/>
  <c r="L116" i="3" a="1"/>
  <c r="L116" i="3" s="1"/>
  <c r="M116" i="3" s="1" a="1"/>
  <c r="M116" i="3" s="1"/>
  <c r="K116" i="3"/>
  <c r="J116" i="3"/>
  <c r="V116" i="3"/>
  <c r="U116" i="3"/>
  <c r="T116" i="3"/>
  <c r="Y116" i="3"/>
  <c r="X116" i="3"/>
  <c r="AC116" i="3"/>
  <c r="AA116" i="3"/>
  <c r="H117" i="3"/>
  <c r="G117" i="3"/>
  <c r="F117" i="3" a="1"/>
  <c r="F117" i="3" s="1"/>
  <c r="L117" i="3" a="1"/>
  <c r="L117" i="3" s="1"/>
  <c r="M117" i="3" s="1" a="1"/>
  <c r="M117" i="3" s="1"/>
  <c r="K117" i="3"/>
  <c r="J117" i="3"/>
  <c r="V117" i="3"/>
  <c r="U117" i="3"/>
  <c r="T117" i="3"/>
  <c r="Y117" i="3"/>
  <c r="X117" i="3"/>
  <c r="AC117" i="3"/>
  <c r="AA117" i="3"/>
  <c r="H118" i="3"/>
  <c r="G118" i="3"/>
  <c r="F118" i="3" a="1"/>
  <c r="F118" i="3" s="1"/>
  <c r="L118" i="3" a="1"/>
  <c r="L118" i="3" s="1"/>
  <c r="M118" i="3" s="1" a="1"/>
  <c r="M118" i="3" s="1"/>
  <c r="K118" i="3"/>
  <c r="J118" i="3"/>
  <c r="V118" i="3"/>
  <c r="U118" i="3"/>
  <c r="T118" i="3"/>
  <c r="Y118" i="3"/>
  <c r="X118" i="3"/>
  <c r="AC118" i="3"/>
  <c r="AA118" i="3"/>
  <c r="H119" i="3"/>
  <c r="G119" i="3"/>
  <c r="F119" i="3" a="1"/>
  <c r="F119" i="3" s="1"/>
  <c r="L119" i="3" a="1"/>
  <c r="L119" i="3" s="1"/>
  <c r="M119" i="3" s="1" a="1"/>
  <c r="M119" i="3" s="1"/>
  <c r="K119" i="3"/>
  <c r="J119" i="3"/>
  <c r="V119" i="3"/>
  <c r="U119" i="3"/>
  <c r="T119" i="3"/>
  <c r="Y119" i="3"/>
  <c r="X119" i="3"/>
  <c r="AC119" i="3"/>
  <c r="AA119" i="3"/>
  <c r="H120" i="3"/>
  <c r="G120" i="3"/>
  <c r="F120" i="3" a="1"/>
  <c r="F120" i="3" s="1"/>
  <c r="L120" i="3" a="1"/>
  <c r="L120" i="3" s="1"/>
  <c r="M120" i="3" s="1" a="1"/>
  <c r="M120" i="3" s="1"/>
  <c r="K120" i="3"/>
  <c r="J120" i="3"/>
  <c r="V120" i="3"/>
  <c r="U120" i="3"/>
  <c r="T120" i="3"/>
  <c r="Y120" i="3"/>
  <c r="X120" i="3"/>
  <c r="AC120" i="3"/>
  <c r="AA120" i="3"/>
  <c r="H121" i="3"/>
  <c r="G121" i="3"/>
  <c r="F121" i="3" a="1"/>
  <c r="F121" i="3" s="1"/>
  <c r="L121" i="3" a="1"/>
  <c r="L121" i="3" s="1"/>
  <c r="M121" i="3" s="1" a="1"/>
  <c r="M121" i="3" s="1"/>
  <c r="K121" i="3"/>
  <c r="J121" i="3"/>
  <c r="V121" i="3"/>
  <c r="U121" i="3"/>
  <c r="T121" i="3"/>
  <c r="Y121" i="3"/>
  <c r="X121" i="3"/>
  <c r="AC121" i="3"/>
  <c r="AA121" i="3"/>
  <c r="H122" i="3"/>
  <c r="G122" i="3"/>
  <c r="F122" i="3" a="1"/>
  <c r="F122" i="3" s="1"/>
  <c r="L122" i="3" a="1"/>
  <c r="L122" i="3" s="1"/>
  <c r="M122" i="3" s="1" a="1"/>
  <c r="M122" i="3" s="1"/>
  <c r="K122" i="3"/>
  <c r="J122" i="3"/>
  <c r="V122" i="3"/>
  <c r="U122" i="3"/>
  <c r="T122" i="3"/>
  <c r="Y122" i="3"/>
  <c r="X122" i="3"/>
  <c r="AC122" i="3"/>
  <c r="AA122" i="3"/>
  <c r="H123" i="3"/>
  <c r="G123" i="3"/>
  <c r="F123" i="3" a="1"/>
  <c r="F123" i="3" s="1"/>
  <c r="L123" i="3" a="1"/>
  <c r="L123" i="3" s="1"/>
  <c r="M123" i="3" s="1" a="1"/>
  <c r="M123" i="3" s="1"/>
  <c r="K123" i="3"/>
  <c r="J123" i="3"/>
  <c r="V123" i="3"/>
  <c r="U123" i="3"/>
  <c r="T123" i="3"/>
  <c r="Y123" i="3"/>
  <c r="X123" i="3"/>
  <c r="AC123" i="3"/>
  <c r="AA123" i="3"/>
  <c r="H124" i="3"/>
  <c r="G124" i="3"/>
  <c r="F124" i="3" a="1"/>
  <c r="F124" i="3" s="1"/>
  <c r="L124" i="3" a="1"/>
  <c r="L124" i="3" s="1"/>
  <c r="M124" i="3" s="1" a="1"/>
  <c r="M124" i="3" s="1"/>
  <c r="K124" i="3"/>
  <c r="J124" i="3"/>
  <c r="V124" i="3"/>
  <c r="U124" i="3"/>
  <c r="T124" i="3"/>
  <c r="Y124" i="3"/>
  <c r="X124" i="3"/>
  <c r="AC124" i="3"/>
  <c r="AA124" i="3"/>
  <c r="H125" i="3"/>
  <c r="G125" i="3"/>
  <c r="F125" i="3" a="1"/>
  <c r="F125" i="3" s="1"/>
  <c r="L125" i="3" a="1"/>
  <c r="L125" i="3" s="1"/>
  <c r="M125" i="3" s="1" a="1"/>
  <c r="M125" i="3" s="1"/>
  <c r="K125" i="3"/>
  <c r="J125" i="3"/>
  <c r="V125" i="3"/>
  <c r="U125" i="3"/>
  <c r="T125" i="3"/>
  <c r="Y125" i="3"/>
  <c r="X125" i="3"/>
  <c r="AC125" i="3"/>
  <c r="AA125" i="3"/>
  <c r="H126" i="3"/>
  <c r="G126" i="3"/>
  <c r="F126" i="3" a="1"/>
  <c r="F126" i="3" s="1"/>
  <c r="L126" i="3" a="1"/>
  <c r="L126" i="3" s="1"/>
  <c r="M126" i="3" s="1" a="1"/>
  <c r="M126" i="3" s="1"/>
  <c r="K126" i="3"/>
  <c r="J126" i="3"/>
  <c r="V126" i="3"/>
  <c r="U126" i="3"/>
  <c r="T126" i="3"/>
  <c r="Y126" i="3"/>
  <c r="X126" i="3"/>
  <c r="AC126" i="3"/>
  <c r="AA126" i="3"/>
  <c r="H127" i="3"/>
  <c r="G127" i="3"/>
  <c r="F127" i="3" a="1"/>
  <c r="F127" i="3" s="1"/>
  <c r="L127" i="3" a="1"/>
  <c r="L127" i="3" s="1"/>
  <c r="M127" i="3" s="1" a="1"/>
  <c r="M127" i="3" s="1"/>
  <c r="K127" i="3"/>
  <c r="J127" i="3"/>
  <c r="V127" i="3"/>
  <c r="U127" i="3"/>
  <c r="T127" i="3"/>
  <c r="Y127" i="3"/>
  <c r="X127" i="3"/>
  <c r="AC127" i="3"/>
  <c r="AA127" i="3"/>
  <c r="H128" i="3"/>
  <c r="G128" i="3"/>
  <c r="F128" i="3" a="1"/>
  <c r="F128" i="3" s="1"/>
  <c r="L128" i="3" a="1"/>
  <c r="L128" i="3" s="1"/>
  <c r="M128" i="3" s="1" a="1"/>
  <c r="M128" i="3" s="1"/>
  <c r="K128" i="3"/>
  <c r="J128" i="3"/>
  <c r="V128" i="3"/>
  <c r="U128" i="3"/>
  <c r="T128" i="3"/>
  <c r="Y128" i="3"/>
  <c r="X128" i="3"/>
  <c r="AC128" i="3"/>
  <c r="AA128" i="3"/>
  <c r="H129" i="3"/>
  <c r="G129" i="3"/>
  <c r="F129" i="3" a="1"/>
  <c r="F129" i="3" s="1"/>
  <c r="L129" i="3" a="1"/>
  <c r="L129" i="3" s="1"/>
  <c r="M129" i="3" s="1" a="1"/>
  <c r="M129" i="3" s="1"/>
  <c r="K129" i="3"/>
  <c r="J129" i="3"/>
  <c r="V129" i="3"/>
  <c r="U129" i="3"/>
  <c r="T129" i="3"/>
  <c r="Y129" i="3"/>
  <c r="X129" i="3"/>
  <c r="AC129" i="3"/>
  <c r="AA129" i="3"/>
  <c r="H130" i="3"/>
  <c r="G130" i="3"/>
  <c r="F130" i="3" a="1"/>
  <c r="F130" i="3" s="1"/>
  <c r="L130" i="3" a="1"/>
  <c r="L130" i="3" s="1"/>
  <c r="M130" i="3" s="1" a="1"/>
  <c r="M130" i="3" s="1"/>
  <c r="K130" i="3"/>
  <c r="J130" i="3"/>
  <c r="V130" i="3"/>
  <c r="U130" i="3"/>
  <c r="T130" i="3"/>
  <c r="Y130" i="3"/>
  <c r="X130" i="3"/>
  <c r="AC130" i="3"/>
  <c r="AA130" i="3"/>
  <c r="H131" i="3"/>
  <c r="G131" i="3"/>
  <c r="F131" i="3" a="1"/>
  <c r="F131" i="3" s="1"/>
  <c r="L131" i="3" a="1"/>
  <c r="L131" i="3" s="1"/>
  <c r="M131" i="3" s="1" a="1"/>
  <c r="M131" i="3" s="1"/>
  <c r="K131" i="3"/>
  <c r="J131" i="3"/>
  <c r="V131" i="3"/>
  <c r="U131" i="3"/>
  <c r="T131" i="3"/>
  <c r="Y131" i="3"/>
  <c r="X131" i="3"/>
  <c r="AC131" i="3"/>
  <c r="AA131" i="3"/>
  <c r="H132" i="3"/>
  <c r="G132" i="3"/>
  <c r="F132" i="3" a="1"/>
  <c r="F132" i="3" s="1"/>
  <c r="L132" i="3" a="1"/>
  <c r="L132" i="3" s="1"/>
  <c r="M132" i="3" s="1" a="1"/>
  <c r="M132" i="3" s="1"/>
  <c r="K132" i="3"/>
  <c r="J132" i="3"/>
  <c r="V132" i="3"/>
  <c r="U132" i="3"/>
  <c r="T132" i="3"/>
  <c r="Y132" i="3"/>
  <c r="X132" i="3"/>
  <c r="AC132" i="3"/>
  <c r="AA132" i="3"/>
  <c r="H133" i="3"/>
  <c r="G133" i="3"/>
  <c r="F133" i="3" a="1"/>
  <c r="F133" i="3" s="1"/>
  <c r="L133" i="3" a="1"/>
  <c r="L133" i="3" s="1"/>
  <c r="M133" i="3" s="1" a="1"/>
  <c r="M133" i="3" s="1"/>
  <c r="K133" i="3"/>
  <c r="J133" i="3"/>
  <c r="V133" i="3"/>
  <c r="U133" i="3"/>
  <c r="T133" i="3"/>
  <c r="Y133" i="3"/>
  <c r="X133" i="3"/>
  <c r="AC133" i="3"/>
  <c r="AA133" i="3"/>
  <c r="H134" i="3"/>
  <c r="G134" i="3"/>
  <c r="F134" i="3" a="1"/>
  <c r="F134" i="3" s="1"/>
  <c r="L134" i="3" a="1"/>
  <c r="L134" i="3" s="1"/>
  <c r="M134" i="3" s="1" a="1"/>
  <c r="M134" i="3" s="1"/>
  <c r="K134" i="3"/>
  <c r="J134" i="3"/>
  <c r="V134" i="3"/>
  <c r="U134" i="3"/>
  <c r="T134" i="3"/>
  <c r="Y134" i="3"/>
  <c r="X134" i="3"/>
  <c r="AC134" i="3"/>
  <c r="AA134" i="3"/>
  <c r="H135" i="3"/>
  <c r="G135" i="3"/>
  <c r="F135" i="3" a="1"/>
  <c r="F135" i="3" s="1"/>
  <c r="L135" i="3" a="1"/>
  <c r="L135" i="3" s="1"/>
  <c r="M135" i="3" s="1" a="1"/>
  <c r="M135" i="3" s="1"/>
  <c r="K135" i="3"/>
  <c r="J135" i="3"/>
  <c r="V135" i="3"/>
  <c r="U135" i="3"/>
  <c r="T135" i="3"/>
  <c r="Y135" i="3"/>
  <c r="X135" i="3"/>
  <c r="AC135" i="3"/>
  <c r="AA135" i="3"/>
  <c r="H136" i="3"/>
  <c r="G136" i="3"/>
  <c r="F136" i="3" a="1"/>
  <c r="F136" i="3" s="1"/>
  <c r="L136" i="3" a="1"/>
  <c r="L136" i="3" s="1"/>
  <c r="M136" i="3" s="1" a="1"/>
  <c r="M136" i="3" s="1"/>
  <c r="K136" i="3"/>
  <c r="J136" i="3"/>
  <c r="V136" i="3"/>
  <c r="U136" i="3"/>
  <c r="T136" i="3"/>
  <c r="Y136" i="3"/>
  <c r="X136" i="3"/>
  <c r="AC136" i="3"/>
  <c r="AA136" i="3"/>
  <c r="H137" i="3"/>
  <c r="G137" i="3"/>
  <c r="F137" i="3" a="1"/>
  <c r="F137" i="3" s="1"/>
  <c r="L137" i="3" a="1"/>
  <c r="L137" i="3" s="1"/>
  <c r="M137" i="3" s="1" a="1"/>
  <c r="M137" i="3" s="1"/>
  <c r="K137" i="3"/>
  <c r="J137" i="3"/>
  <c r="V137" i="3"/>
  <c r="U137" i="3"/>
  <c r="T137" i="3"/>
  <c r="Y137" i="3"/>
  <c r="X137" i="3"/>
  <c r="AC137" i="3"/>
  <c r="AA137" i="3"/>
  <c r="H138" i="3"/>
  <c r="G138" i="3"/>
  <c r="F138" i="3" a="1"/>
  <c r="F138" i="3" s="1"/>
  <c r="L138" i="3" a="1"/>
  <c r="L138" i="3" s="1"/>
  <c r="M138" i="3" s="1" a="1"/>
  <c r="M138" i="3" s="1"/>
  <c r="K138" i="3"/>
  <c r="J138" i="3"/>
  <c r="V138" i="3"/>
  <c r="U138" i="3"/>
  <c r="T138" i="3"/>
  <c r="Y138" i="3"/>
  <c r="X138" i="3"/>
  <c r="AC138" i="3"/>
  <c r="AA138" i="3"/>
  <c r="H139" i="3"/>
  <c r="G139" i="3"/>
  <c r="F139" i="3" a="1"/>
  <c r="F139" i="3" s="1"/>
  <c r="L139" i="3" a="1"/>
  <c r="L139" i="3" s="1"/>
  <c r="M139" i="3" s="1" a="1"/>
  <c r="M139" i="3" s="1"/>
  <c r="K139" i="3"/>
  <c r="J139" i="3"/>
  <c r="V139" i="3"/>
  <c r="U139" i="3"/>
  <c r="T139" i="3"/>
  <c r="Y139" i="3"/>
  <c r="X139" i="3"/>
  <c r="AC139" i="3"/>
  <c r="AA139" i="3"/>
  <c r="H140" i="3"/>
  <c r="G140" i="3"/>
  <c r="F140" i="3" a="1"/>
  <c r="F140" i="3" s="1"/>
  <c r="L140" i="3" a="1"/>
  <c r="L140" i="3" s="1"/>
  <c r="M140" i="3" s="1" a="1"/>
  <c r="M140" i="3" s="1"/>
  <c r="K140" i="3"/>
  <c r="J140" i="3"/>
  <c r="V140" i="3"/>
  <c r="U140" i="3"/>
  <c r="T140" i="3"/>
  <c r="Y140" i="3"/>
  <c r="X140" i="3"/>
  <c r="AC140" i="3"/>
  <c r="AA140" i="3"/>
  <c r="H141" i="3"/>
  <c r="G141" i="3"/>
  <c r="F141" i="3" a="1"/>
  <c r="F141" i="3" s="1"/>
  <c r="L141" i="3" a="1"/>
  <c r="L141" i="3" s="1"/>
  <c r="M141" i="3" s="1" a="1"/>
  <c r="M141" i="3" s="1"/>
  <c r="K141" i="3"/>
  <c r="J141" i="3"/>
  <c r="V141" i="3"/>
  <c r="U141" i="3"/>
  <c r="T141" i="3"/>
  <c r="Y141" i="3"/>
  <c r="X141" i="3"/>
  <c r="AC141" i="3"/>
  <c r="AA141" i="3"/>
  <c r="H142" i="3"/>
  <c r="G142" i="3"/>
  <c r="F142" i="3" a="1"/>
  <c r="F142" i="3" s="1"/>
  <c r="L142" i="3" a="1"/>
  <c r="L142" i="3" s="1"/>
  <c r="M142" i="3" s="1" a="1"/>
  <c r="M142" i="3" s="1"/>
  <c r="K142" i="3"/>
  <c r="J142" i="3"/>
  <c r="V142" i="3"/>
  <c r="U142" i="3"/>
  <c r="T142" i="3"/>
  <c r="Y142" i="3"/>
  <c r="X142" i="3"/>
  <c r="AC142" i="3"/>
  <c r="AA142" i="3"/>
  <c r="H143" i="3"/>
  <c r="G143" i="3"/>
  <c r="F143" i="3" a="1"/>
  <c r="F143" i="3" s="1"/>
  <c r="L143" i="3" a="1"/>
  <c r="L143" i="3" s="1"/>
  <c r="M143" i="3" s="1" a="1"/>
  <c r="M143" i="3" s="1"/>
  <c r="K143" i="3"/>
  <c r="J143" i="3"/>
  <c r="V143" i="3"/>
  <c r="U143" i="3"/>
  <c r="T143" i="3"/>
  <c r="Y143" i="3"/>
  <c r="X143" i="3"/>
  <c r="AC143" i="3"/>
  <c r="AA143" i="3"/>
  <c r="H144" i="3"/>
  <c r="G144" i="3"/>
  <c r="F144" i="3" a="1"/>
  <c r="F144" i="3" s="1"/>
  <c r="L144" i="3" a="1"/>
  <c r="L144" i="3" s="1"/>
  <c r="M144" i="3" s="1" a="1"/>
  <c r="M144" i="3" s="1"/>
  <c r="K144" i="3"/>
  <c r="J144" i="3"/>
  <c r="V144" i="3"/>
  <c r="U144" i="3"/>
  <c r="T144" i="3"/>
  <c r="Y144" i="3"/>
  <c r="X144" i="3"/>
  <c r="AC144" i="3"/>
  <c r="AA144" i="3"/>
  <c r="H145" i="3"/>
  <c r="G145" i="3"/>
  <c r="F145" i="3" a="1"/>
  <c r="F145" i="3" s="1"/>
  <c r="L145" i="3" a="1"/>
  <c r="L145" i="3" s="1"/>
  <c r="M145" i="3" s="1" a="1"/>
  <c r="M145" i="3" s="1"/>
  <c r="K145" i="3"/>
  <c r="J145" i="3"/>
  <c r="V145" i="3"/>
  <c r="U145" i="3"/>
  <c r="T145" i="3"/>
  <c r="Y145" i="3"/>
  <c r="X145" i="3"/>
  <c r="AC145" i="3"/>
  <c r="AA145" i="3"/>
  <c r="H146" i="3"/>
  <c r="G146" i="3"/>
  <c r="F146" i="3" a="1"/>
  <c r="F146" i="3" s="1"/>
  <c r="L146" i="3" a="1"/>
  <c r="L146" i="3" s="1"/>
  <c r="M146" i="3" s="1" a="1"/>
  <c r="M146" i="3" s="1"/>
  <c r="K146" i="3"/>
  <c r="J146" i="3"/>
  <c r="V146" i="3"/>
  <c r="U146" i="3"/>
  <c r="T146" i="3"/>
  <c r="Y146" i="3"/>
  <c r="X146" i="3"/>
  <c r="AC146" i="3"/>
  <c r="AA146" i="3"/>
  <c r="H147" i="3"/>
  <c r="G147" i="3"/>
  <c r="F147" i="3" a="1"/>
  <c r="F147" i="3" s="1"/>
  <c r="L147" i="3" a="1"/>
  <c r="L147" i="3" s="1"/>
  <c r="M147" i="3" s="1" a="1"/>
  <c r="M147" i="3" s="1"/>
  <c r="K147" i="3"/>
  <c r="J147" i="3"/>
  <c r="V147" i="3"/>
  <c r="U147" i="3"/>
  <c r="T147" i="3"/>
  <c r="Y147" i="3"/>
  <c r="X147" i="3"/>
  <c r="AC147" i="3"/>
  <c r="AA147" i="3"/>
  <c r="H148" i="3"/>
  <c r="G148" i="3"/>
  <c r="F148" i="3" a="1"/>
  <c r="F148" i="3" s="1"/>
  <c r="L148" i="3" a="1"/>
  <c r="L148" i="3" s="1"/>
  <c r="M148" i="3" s="1" a="1"/>
  <c r="M148" i="3" s="1"/>
  <c r="K148" i="3"/>
  <c r="J148" i="3"/>
  <c r="V148" i="3"/>
  <c r="U148" i="3"/>
  <c r="T148" i="3"/>
  <c r="Y148" i="3"/>
  <c r="X148" i="3"/>
  <c r="AC148" i="3"/>
  <c r="AA148" i="3"/>
  <c r="H149" i="3"/>
  <c r="G149" i="3"/>
  <c r="F149" i="3" a="1"/>
  <c r="F149" i="3" s="1"/>
  <c r="L149" i="3" a="1"/>
  <c r="L149" i="3" s="1"/>
  <c r="M149" i="3" s="1" a="1"/>
  <c r="M149" i="3" s="1"/>
  <c r="K149" i="3"/>
  <c r="J149" i="3"/>
  <c r="V149" i="3"/>
  <c r="U149" i="3"/>
  <c r="T149" i="3"/>
  <c r="Y149" i="3"/>
  <c r="X149" i="3"/>
  <c r="AC149" i="3"/>
  <c r="AA149" i="3"/>
  <c r="H150" i="3"/>
  <c r="G150" i="3"/>
  <c r="F150" i="3" a="1"/>
  <c r="F150" i="3" s="1"/>
  <c r="L150" i="3" a="1"/>
  <c r="L150" i="3" s="1"/>
  <c r="M150" i="3" s="1" a="1"/>
  <c r="M150" i="3" s="1"/>
  <c r="K150" i="3"/>
  <c r="J150" i="3"/>
  <c r="V150" i="3"/>
  <c r="U150" i="3"/>
  <c r="T150" i="3"/>
  <c r="Y150" i="3"/>
  <c r="X150" i="3"/>
  <c r="AC150" i="3"/>
  <c r="AA150" i="3"/>
  <c r="H151" i="3"/>
  <c r="G151" i="3"/>
  <c r="F151" i="3" a="1"/>
  <c r="F151" i="3" s="1"/>
  <c r="L151" i="3" a="1"/>
  <c r="L151" i="3" s="1"/>
  <c r="M151" i="3" s="1" a="1"/>
  <c r="M151" i="3" s="1"/>
  <c r="K151" i="3"/>
  <c r="J151" i="3"/>
  <c r="V151" i="3"/>
  <c r="U151" i="3"/>
  <c r="T151" i="3"/>
  <c r="Y151" i="3"/>
  <c r="X151" i="3"/>
  <c r="AC151" i="3"/>
  <c r="AA151" i="3"/>
  <c r="H152" i="3"/>
  <c r="G152" i="3"/>
  <c r="F152" i="3" a="1"/>
  <c r="F152" i="3" s="1"/>
  <c r="L152" i="3" a="1"/>
  <c r="L152" i="3" s="1"/>
  <c r="M152" i="3" s="1" a="1"/>
  <c r="M152" i="3" s="1"/>
  <c r="K152" i="3"/>
  <c r="J152" i="3"/>
  <c r="V152" i="3"/>
  <c r="U152" i="3"/>
  <c r="T152" i="3"/>
  <c r="Y152" i="3"/>
  <c r="X152" i="3"/>
  <c r="AC152" i="3"/>
  <c r="AA152" i="3"/>
  <c r="H153" i="3"/>
  <c r="G153" i="3"/>
  <c r="F153" i="3" a="1"/>
  <c r="F153" i="3" s="1"/>
  <c r="L153" i="3" a="1"/>
  <c r="L153" i="3" s="1"/>
  <c r="M153" i="3" s="1" a="1"/>
  <c r="M153" i="3" s="1"/>
  <c r="K153" i="3"/>
  <c r="J153" i="3"/>
  <c r="V153" i="3"/>
  <c r="U153" i="3"/>
  <c r="T153" i="3"/>
  <c r="Y153" i="3"/>
  <c r="X153" i="3"/>
  <c r="AC153" i="3"/>
  <c r="AA153" i="3"/>
  <c r="H154" i="3"/>
  <c r="G154" i="3"/>
  <c r="F154" i="3" a="1"/>
  <c r="F154" i="3" s="1"/>
  <c r="L154" i="3" a="1"/>
  <c r="L154" i="3" s="1"/>
  <c r="M154" i="3" s="1" a="1"/>
  <c r="M154" i="3" s="1"/>
  <c r="K154" i="3"/>
  <c r="J154" i="3"/>
  <c r="V154" i="3"/>
  <c r="U154" i="3"/>
  <c r="T154" i="3"/>
  <c r="Y154" i="3"/>
  <c r="X154" i="3"/>
  <c r="AC154" i="3"/>
  <c r="AA154" i="3"/>
  <c r="H155" i="3"/>
  <c r="G155" i="3"/>
  <c r="F155" i="3" a="1"/>
  <c r="F155" i="3" s="1"/>
  <c r="L155" i="3" a="1"/>
  <c r="L155" i="3" s="1"/>
  <c r="M155" i="3" s="1" a="1"/>
  <c r="M155" i="3" s="1"/>
  <c r="K155" i="3"/>
  <c r="J155" i="3"/>
  <c r="V155" i="3"/>
  <c r="U155" i="3"/>
  <c r="T155" i="3"/>
  <c r="Y155" i="3"/>
  <c r="X155" i="3"/>
  <c r="AC155" i="3"/>
  <c r="AA155" i="3"/>
  <c r="H156" i="3"/>
  <c r="G156" i="3"/>
  <c r="F156" i="3" a="1"/>
  <c r="F156" i="3" s="1"/>
  <c r="L156" i="3" a="1"/>
  <c r="L156" i="3" s="1"/>
  <c r="M156" i="3" s="1" a="1"/>
  <c r="M156" i="3" s="1"/>
  <c r="K156" i="3"/>
  <c r="J156" i="3"/>
  <c r="V156" i="3"/>
  <c r="U156" i="3"/>
  <c r="T156" i="3"/>
  <c r="Y156" i="3"/>
  <c r="X156" i="3"/>
  <c r="AC156" i="3"/>
  <c r="AA156" i="3"/>
  <c r="H157" i="3"/>
  <c r="G157" i="3"/>
  <c r="F157" i="3" a="1"/>
  <c r="F157" i="3" s="1"/>
  <c r="L157" i="3" a="1"/>
  <c r="L157" i="3" s="1"/>
  <c r="M157" i="3" s="1" a="1"/>
  <c r="M157" i="3" s="1"/>
  <c r="K157" i="3"/>
  <c r="J157" i="3"/>
  <c r="V157" i="3"/>
  <c r="U157" i="3"/>
  <c r="T157" i="3"/>
  <c r="Y157" i="3"/>
  <c r="X157" i="3"/>
  <c r="AC157" i="3"/>
  <c r="AA157" i="3"/>
  <c r="H158" i="3"/>
  <c r="G158" i="3"/>
  <c r="F158" i="3" a="1"/>
  <c r="F158" i="3" s="1"/>
  <c r="L158" i="3" a="1"/>
  <c r="L158" i="3" s="1"/>
  <c r="M158" i="3" s="1" a="1"/>
  <c r="M158" i="3" s="1"/>
  <c r="K158" i="3"/>
  <c r="J158" i="3"/>
  <c r="V158" i="3"/>
  <c r="U158" i="3"/>
  <c r="T158" i="3"/>
  <c r="Y158" i="3"/>
  <c r="X158" i="3"/>
  <c r="AC158" i="3"/>
  <c r="AA158" i="3"/>
  <c r="H159" i="3"/>
  <c r="G159" i="3"/>
  <c r="F159" i="3" a="1"/>
  <c r="F159" i="3" s="1"/>
  <c r="L159" i="3" a="1"/>
  <c r="L159" i="3" s="1"/>
  <c r="M159" i="3" s="1" a="1"/>
  <c r="M159" i="3" s="1"/>
  <c r="K159" i="3"/>
  <c r="J159" i="3"/>
  <c r="V159" i="3"/>
  <c r="U159" i="3"/>
  <c r="T159" i="3"/>
  <c r="Y159" i="3"/>
  <c r="X159" i="3"/>
  <c r="AC159" i="3"/>
  <c r="AA159" i="3"/>
  <c r="H160" i="3"/>
  <c r="G160" i="3"/>
  <c r="F160" i="3" a="1"/>
  <c r="F160" i="3" s="1"/>
  <c r="L160" i="3" a="1"/>
  <c r="L160" i="3" s="1"/>
  <c r="M160" i="3" s="1" a="1"/>
  <c r="M160" i="3" s="1"/>
  <c r="K160" i="3"/>
  <c r="J160" i="3"/>
  <c r="V160" i="3"/>
  <c r="U160" i="3"/>
  <c r="T160" i="3"/>
  <c r="Y160" i="3"/>
  <c r="X160" i="3"/>
  <c r="AC160" i="3"/>
  <c r="AA160" i="3"/>
  <c r="H161" i="3"/>
  <c r="G161" i="3"/>
  <c r="F161" i="3" a="1"/>
  <c r="F161" i="3" s="1"/>
  <c r="L161" i="3" a="1"/>
  <c r="L161" i="3" s="1"/>
  <c r="M161" i="3" s="1" a="1"/>
  <c r="M161" i="3" s="1"/>
  <c r="K161" i="3"/>
  <c r="J161" i="3"/>
  <c r="V161" i="3"/>
  <c r="U161" i="3"/>
  <c r="T161" i="3"/>
  <c r="Y161" i="3"/>
  <c r="X161" i="3"/>
  <c r="AC161" i="3"/>
  <c r="AA161" i="3"/>
  <c r="H162" i="3"/>
  <c r="G162" i="3"/>
  <c r="F162" i="3" a="1"/>
  <c r="F162" i="3" s="1"/>
  <c r="L162" i="3" a="1"/>
  <c r="L162" i="3" s="1"/>
  <c r="M162" i="3" s="1" a="1"/>
  <c r="M162" i="3" s="1"/>
  <c r="K162" i="3"/>
  <c r="J162" i="3"/>
  <c r="V162" i="3"/>
  <c r="U162" i="3"/>
  <c r="T162" i="3"/>
  <c r="Y162" i="3"/>
  <c r="X162" i="3"/>
  <c r="AC162" i="3"/>
  <c r="AA162" i="3"/>
  <c r="H163" i="3"/>
  <c r="G163" i="3"/>
  <c r="F163" i="3" a="1"/>
  <c r="F163" i="3" s="1"/>
  <c r="L163" i="3" a="1"/>
  <c r="L163" i="3" s="1"/>
  <c r="M163" i="3" s="1" a="1"/>
  <c r="M163" i="3" s="1"/>
  <c r="K163" i="3"/>
  <c r="J163" i="3"/>
  <c r="V163" i="3"/>
  <c r="U163" i="3"/>
  <c r="T163" i="3"/>
  <c r="Y163" i="3"/>
  <c r="X163" i="3"/>
  <c r="AC163" i="3"/>
  <c r="AA163" i="3"/>
  <c r="H164" i="3"/>
  <c r="G164" i="3"/>
  <c r="F164" i="3" a="1"/>
  <c r="F164" i="3" s="1"/>
  <c r="L164" i="3" a="1"/>
  <c r="L164" i="3" s="1"/>
  <c r="M164" i="3" s="1" a="1"/>
  <c r="M164" i="3" s="1"/>
  <c r="K164" i="3"/>
  <c r="J164" i="3"/>
  <c r="V164" i="3"/>
  <c r="U164" i="3"/>
  <c r="T164" i="3"/>
  <c r="Y164" i="3"/>
  <c r="X164" i="3"/>
  <c r="AC164" i="3"/>
  <c r="AA164" i="3"/>
  <c r="H165" i="3"/>
  <c r="G165" i="3"/>
  <c r="F165" i="3" a="1"/>
  <c r="F165" i="3" s="1"/>
  <c r="L165" i="3" a="1"/>
  <c r="L165" i="3" s="1"/>
  <c r="M165" i="3" s="1" a="1"/>
  <c r="M165" i="3" s="1"/>
  <c r="K165" i="3"/>
  <c r="J165" i="3"/>
  <c r="V165" i="3"/>
  <c r="U165" i="3"/>
  <c r="T165" i="3"/>
  <c r="Y165" i="3"/>
  <c r="X165" i="3"/>
  <c r="AC165" i="3"/>
  <c r="AA165" i="3"/>
  <c r="H166" i="3"/>
  <c r="G166" i="3"/>
  <c r="F166" i="3" a="1"/>
  <c r="F166" i="3" s="1"/>
  <c r="L166" i="3" a="1"/>
  <c r="L166" i="3" s="1"/>
  <c r="M166" i="3" s="1" a="1"/>
  <c r="M166" i="3" s="1"/>
  <c r="K166" i="3"/>
  <c r="J166" i="3"/>
  <c r="V166" i="3"/>
  <c r="U166" i="3"/>
  <c r="T166" i="3"/>
  <c r="Y166" i="3"/>
  <c r="X166" i="3"/>
  <c r="AC166" i="3"/>
  <c r="AA166" i="3"/>
  <c r="H167" i="3"/>
  <c r="G167" i="3"/>
  <c r="F167" i="3" a="1"/>
  <c r="F167" i="3" s="1"/>
  <c r="L167" i="3" a="1"/>
  <c r="L167" i="3" s="1"/>
  <c r="M167" i="3" s="1" a="1"/>
  <c r="M167" i="3" s="1"/>
  <c r="K167" i="3"/>
  <c r="J167" i="3"/>
  <c r="V167" i="3"/>
  <c r="U167" i="3"/>
  <c r="T167" i="3"/>
  <c r="Y167" i="3"/>
  <c r="X167" i="3"/>
  <c r="AC167" i="3"/>
  <c r="AA167" i="3"/>
  <c r="H168" i="3"/>
  <c r="G168" i="3"/>
  <c r="F168" i="3" a="1"/>
  <c r="F168" i="3" s="1"/>
  <c r="L168" i="3" a="1"/>
  <c r="L168" i="3" s="1"/>
  <c r="M168" i="3" s="1" a="1"/>
  <c r="M168" i="3" s="1"/>
  <c r="K168" i="3"/>
  <c r="J168" i="3"/>
  <c r="V168" i="3"/>
  <c r="U168" i="3"/>
  <c r="T168" i="3"/>
  <c r="Y168" i="3"/>
  <c r="X168" i="3"/>
  <c r="AC168" i="3"/>
  <c r="AA168" i="3"/>
  <c r="H169" i="3"/>
  <c r="G169" i="3"/>
  <c r="F169" i="3" a="1"/>
  <c r="F169" i="3" s="1"/>
  <c r="L169" i="3" a="1"/>
  <c r="L169" i="3" s="1"/>
  <c r="M169" i="3" s="1" a="1"/>
  <c r="M169" i="3" s="1"/>
  <c r="K169" i="3"/>
  <c r="J169" i="3"/>
  <c r="V169" i="3"/>
  <c r="U169" i="3"/>
  <c r="T169" i="3"/>
  <c r="Y169" i="3"/>
  <c r="X169" i="3"/>
  <c r="AC169" i="3"/>
  <c r="AA169" i="3"/>
  <c r="H170" i="3"/>
  <c r="G170" i="3"/>
  <c r="F170" i="3" a="1"/>
  <c r="F170" i="3" s="1"/>
  <c r="L170" i="3" a="1"/>
  <c r="L170" i="3" s="1"/>
  <c r="M170" i="3" s="1" a="1"/>
  <c r="M170" i="3" s="1"/>
  <c r="K170" i="3"/>
  <c r="J170" i="3"/>
  <c r="V170" i="3"/>
  <c r="U170" i="3"/>
  <c r="T170" i="3"/>
  <c r="Y170" i="3"/>
  <c r="X170" i="3"/>
  <c r="AC170" i="3"/>
  <c r="AA170" i="3"/>
  <c r="H171" i="3"/>
  <c r="G171" i="3"/>
  <c r="F171" i="3" a="1"/>
  <c r="F171" i="3" s="1"/>
  <c r="L171" i="3" a="1"/>
  <c r="L171" i="3" s="1"/>
  <c r="M171" i="3" s="1" a="1"/>
  <c r="M171" i="3" s="1"/>
  <c r="K171" i="3"/>
  <c r="J171" i="3"/>
  <c r="V171" i="3"/>
  <c r="U171" i="3"/>
  <c r="T171" i="3"/>
  <c r="Y171" i="3"/>
  <c r="X171" i="3"/>
  <c r="AC171" i="3"/>
  <c r="AA171" i="3"/>
  <c r="H172" i="3"/>
  <c r="G172" i="3"/>
  <c r="F172" i="3" a="1"/>
  <c r="F172" i="3" s="1"/>
  <c r="L172" i="3" a="1"/>
  <c r="L172" i="3" s="1"/>
  <c r="M172" i="3" s="1" a="1"/>
  <c r="M172" i="3" s="1"/>
  <c r="K172" i="3"/>
  <c r="J172" i="3"/>
  <c r="V172" i="3"/>
  <c r="U172" i="3"/>
  <c r="T172" i="3"/>
  <c r="Y172" i="3"/>
  <c r="X172" i="3"/>
  <c r="AC172" i="3"/>
  <c r="AA172" i="3"/>
  <c r="H173" i="3"/>
  <c r="G173" i="3"/>
  <c r="F173" i="3" a="1"/>
  <c r="F173" i="3" s="1"/>
  <c r="L173" i="3" a="1"/>
  <c r="L173" i="3" s="1"/>
  <c r="M173" i="3" s="1" a="1"/>
  <c r="M173" i="3" s="1"/>
  <c r="K173" i="3"/>
  <c r="J173" i="3"/>
  <c r="V173" i="3"/>
  <c r="U173" i="3"/>
  <c r="T173" i="3"/>
  <c r="Y173" i="3"/>
  <c r="X173" i="3"/>
  <c r="AC173" i="3"/>
  <c r="AA173" i="3"/>
  <c r="H174" i="3"/>
  <c r="G174" i="3"/>
  <c r="F174" i="3" a="1"/>
  <c r="F174" i="3" s="1"/>
  <c r="L174" i="3" a="1"/>
  <c r="L174" i="3" s="1"/>
  <c r="M174" i="3" s="1" a="1"/>
  <c r="M174" i="3" s="1"/>
  <c r="K174" i="3"/>
  <c r="J174" i="3"/>
  <c r="V174" i="3"/>
  <c r="U174" i="3"/>
  <c r="T174" i="3"/>
  <c r="Y174" i="3"/>
  <c r="X174" i="3"/>
  <c r="AC174" i="3"/>
  <c r="AA174" i="3"/>
  <c r="H175" i="3"/>
  <c r="G175" i="3"/>
  <c r="F175" i="3" a="1"/>
  <c r="F175" i="3" s="1"/>
  <c r="L175" i="3" a="1"/>
  <c r="L175" i="3" s="1"/>
  <c r="M175" i="3" s="1" a="1"/>
  <c r="M175" i="3" s="1"/>
  <c r="K175" i="3"/>
  <c r="J175" i="3"/>
  <c r="V175" i="3"/>
  <c r="U175" i="3"/>
  <c r="T175" i="3"/>
  <c r="Y175" i="3"/>
  <c r="X175" i="3"/>
  <c r="AC175" i="3"/>
  <c r="AA175" i="3"/>
  <c r="H176" i="3"/>
  <c r="G176" i="3"/>
  <c r="F176" i="3" a="1"/>
  <c r="F176" i="3" s="1"/>
  <c r="L176" i="3" a="1"/>
  <c r="L176" i="3" s="1"/>
  <c r="M176" i="3" s="1" a="1"/>
  <c r="M176" i="3" s="1"/>
  <c r="K176" i="3"/>
  <c r="J176" i="3"/>
  <c r="V176" i="3"/>
  <c r="U176" i="3"/>
  <c r="T176" i="3"/>
  <c r="Y176" i="3"/>
  <c r="X176" i="3"/>
  <c r="AC176" i="3"/>
  <c r="AA176" i="3"/>
  <c r="H177" i="3"/>
  <c r="G177" i="3"/>
  <c r="F177" i="3" a="1"/>
  <c r="F177" i="3" s="1"/>
  <c r="L177" i="3" a="1"/>
  <c r="L177" i="3" s="1"/>
  <c r="M177" i="3" s="1" a="1"/>
  <c r="M177" i="3" s="1"/>
  <c r="K177" i="3"/>
  <c r="J177" i="3"/>
  <c r="V177" i="3"/>
  <c r="U177" i="3"/>
  <c r="T177" i="3"/>
  <c r="Y177" i="3"/>
  <c r="X177" i="3"/>
  <c r="AC177" i="3"/>
  <c r="AA177" i="3"/>
  <c r="H178" i="3"/>
  <c r="G178" i="3"/>
  <c r="F178" i="3" a="1"/>
  <c r="F178" i="3" s="1"/>
  <c r="L178" i="3" a="1"/>
  <c r="L178" i="3" s="1"/>
  <c r="M178" i="3" s="1" a="1"/>
  <c r="M178" i="3" s="1"/>
  <c r="K178" i="3"/>
  <c r="J178" i="3"/>
  <c r="V178" i="3"/>
  <c r="U178" i="3"/>
  <c r="T178" i="3"/>
  <c r="Y178" i="3"/>
  <c r="X178" i="3"/>
  <c r="AC178" i="3"/>
  <c r="AA178" i="3"/>
  <c r="H179" i="3"/>
  <c r="G179" i="3"/>
  <c r="F179" i="3" a="1"/>
  <c r="F179" i="3" s="1"/>
  <c r="L179" i="3" a="1"/>
  <c r="L179" i="3" s="1"/>
  <c r="M179" i="3" s="1" a="1"/>
  <c r="M179" i="3" s="1"/>
  <c r="K179" i="3"/>
  <c r="J179" i="3"/>
  <c r="V179" i="3"/>
  <c r="U179" i="3"/>
  <c r="T179" i="3"/>
  <c r="Y179" i="3"/>
  <c r="X179" i="3"/>
  <c r="AC179" i="3"/>
  <c r="AA179" i="3"/>
  <c r="H180" i="3"/>
  <c r="G180" i="3"/>
  <c r="F180" i="3" a="1"/>
  <c r="F180" i="3" s="1"/>
  <c r="L180" i="3" a="1"/>
  <c r="L180" i="3" s="1"/>
  <c r="M180" i="3" s="1" a="1"/>
  <c r="M180" i="3" s="1"/>
  <c r="K180" i="3"/>
  <c r="J180" i="3"/>
  <c r="V180" i="3"/>
  <c r="U180" i="3"/>
  <c r="T180" i="3"/>
  <c r="Y180" i="3"/>
  <c r="X180" i="3"/>
  <c r="AC180" i="3"/>
  <c r="AA180" i="3"/>
  <c r="H181" i="3"/>
  <c r="G181" i="3"/>
  <c r="F181" i="3" a="1"/>
  <c r="F181" i="3" s="1"/>
  <c r="L181" i="3" a="1"/>
  <c r="L181" i="3" s="1"/>
  <c r="M181" i="3" s="1" a="1"/>
  <c r="M181" i="3" s="1"/>
  <c r="K181" i="3"/>
  <c r="J181" i="3"/>
  <c r="V181" i="3"/>
  <c r="U181" i="3"/>
  <c r="T181" i="3"/>
  <c r="Y181" i="3"/>
  <c r="X181" i="3"/>
  <c r="AC181" i="3"/>
  <c r="AA181" i="3"/>
  <c r="H182" i="3"/>
  <c r="G182" i="3"/>
  <c r="F182" i="3" a="1"/>
  <c r="F182" i="3" s="1"/>
  <c r="L182" i="3" a="1"/>
  <c r="L182" i="3" s="1"/>
  <c r="M182" i="3" s="1" a="1"/>
  <c r="M182" i="3" s="1"/>
  <c r="K182" i="3"/>
  <c r="J182" i="3"/>
  <c r="V182" i="3"/>
  <c r="U182" i="3"/>
  <c r="T182" i="3"/>
  <c r="Y182" i="3"/>
  <c r="X182" i="3"/>
  <c r="AC182" i="3"/>
  <c r="AA182" i="3"/>
  <c r="H183" i="3"/>
  <c r="G183" i="3"/>
  <c r="F183" i="3" a="1"/>
  <c r="F183" i="3" s="1"/>
  <c r="L183" i="3" a="1"/>
  <c r="L183" i="3" s="1"/>
  <c r="M183" i="3" s="1" a="1"/>
  <c r="M183" i="3" s="1"/>
  <c r="K183" i="3"/>
  <c r="J183" i="3"/>
  <c r="V183" i="3"/>
  <c r="U183" i="3"/>
  <c r="T183" i="3"/>
  <c r="Y183" i="3"/>
  <c r="X183" i="3"/>
  <c r="AC183" i="3"/>
  <c r="AA183" i="3"/>
  <c r="H184" i="3"/>
  <c r="G184" i="3"/>
  <c r="F184" i="3" a="1"/>
  <c r="F184" i="3" s="1"/>
  <c r="L184" i="3" a="1"/>
  <c r="L184" i="3" s="1"/>
  <c r="M184" i="3" s="1" a="1"/>
  <c r="M184" i="3" s="1"/>
  <c r="K184" i="3"/>
  <c r="J184" i="3"/>
  <c r="V184" i="3"/>
  <c r="U184" i="3"/>
  <c r="T184" i="3"/>
  <c r="Y184" i="3"/>
  <c r="X184" i="3"/>
  <c r="AC184" i="3"/>
  <c r="AA184" i="3"/>
  <c r="H185" i="3"/>
  <c r="G185" i="3"/>
  <c r="F185" i="3" a="1"/>
  <c r="F185" i="3" s="1"/>
  <c r="L185" i="3" a="1"/>
  <c r="L185" i="3" s="1"/>
  <c r="M185" i="3" s="1" a="1"/>
  <c r="M185" i="3" s="1"/>
  <c r="K185" i="3"/>
  <c r="J185" i="3"/>
  <c r="V185" i="3"/>
  <c r="U185" i="3"/>
  <c r="T185" i="3"/>
  <c r="Y185" i="3"/>
  <c r="X185" i="3"/>
  <c r="AC185" i="3"/>
  <c r="AA185" i="3"/>
  <c r="H186" i="3"/>
  <c r="G186" i="3"/>
  <c r="F186" i="3" a="1"/>
  <c r="F186" i="3" s="1"/>
  <c r="L186" i="3" a="1"/>
  <c r="L186" i="3" s="1"/>
  <c r="M186" i="3" s="1" a="1"/>
  <c r="M186" i="3" s="1"/>
  <c r="K186" i="3"/>
  <c r="J186" i="3"/>
  <c r="V186" i="3"/>
  <c r="U186" i="3"/>
  <c r="T186" i="3"/>
  <c r="Y186" i="3"/>
  <c r="X186" i="3"/>
  <c r="AC186" i="3"/>
  <c r="AA186" i="3"/>
  <c r="H187" i="3"/>
  <c r="G187" i="3"/>
  <c r="F187" i="3" a="1"/>
  <c r="F187" i="3" s="1"/>
  <c r="L187" i="3" a="1"/>
  <c r="L187" i="3" s="1"/>
  <c r="M187" i="3" s="1" a="1"/>
  <c r="M187" i="3" s="1"/>
  <c r="K187" i="3"/>
  <c r="J187" i="3"/>
  <c r="V187" i="3"/>
  <c r="U187" i="3"/>
  <c r="T187" i="3"/>
  <c r="Y187" i="3"/>
  <c r="X187" i="3"/>
  <c r="AC187" i="3"/>
  <c r="AA187" i="3"/>
  <c r="H188" i="3"/>
  <c r="G188" i="3"/>
  <c r="F188" i="3" a="1"/>
  <c r="F188" i="3" s="1"/>
  <c r="L188" i="3" a="1"/>
  <c r="L188" i="3" s="1"/>
  <c r="M188" i="3" s="1" a="1"/>
  <c r="M188" i="3" s="1"/>
  <c r="K188" i="3"/>
  <c r="J188" i="3"/>
  <c r="V188" i="3"/>
  <c r="U188" i="3"/>
  <c r="T188" i="3"/>
  <c r="Y188" i="3"/>
  <c r="X188" i="3"/>
  <c r="AC188" i="3"/>
  <c r="AA188" i="3"/>
  <c r="H189" i="3"/>
  <c r="G189" i="3"/>
  <c r="F189" i="3" a="1"/>
  <c r="F189" i="3" s="1"/>
  <c r="L189" i="3" a="1"/>
  <c r="L189" i="3" s="1"/>
  <c r="M189" i="3" s="1" a="1"/>
  <c r="M189" i="3" s="1"/>
  <c r="K189" i="3"/>
  <c r="J189" i="3"/>
  <c r="V189" i="3"/>
  <c r="U189" i="3"/>
  <c r="T189" i="3"/>
  <c r="Y189" i="3"/>
  <c r="X189" i="3"/>
  <c r="AC189" i="3"/>
  <c r="AA189" i="3"/>
  <c r="H190" i="3"/>
  <c r="G190" i="3"/>
  <c r="F190" i="3" a="1"/>
  <c r="F190" i="3" s="1"/>
  <c r="L190" i="3" a="1"/>
  <c r="L190" i="3" s="1"/>
  <c r="M190" i="3" s="1" a="1"/>
  <c r="M190" i="3" s="1"/>
  <c r="K190" i="3"/>
  <c r="J190" i="3"/>
  <c r="V190" i="3"/>
  <c r="U190" i="3"/>
  <c r="T190" i="3"/>
  <c r="Y190" i="3"/>
  <c r="X190" i="3"/>
  <c r="AC190" i="3"/>
  <c r="AA190" i="3"/>
  <c r="H191" i="3"/>
  <c r="G191" i="3"/>
  <c r="F191" i="3" a="1"/>
  <c r="F191" i="3" s="1"/>
  <c r="L191" i="3" a="1"/>
  <c r="L191" i="3" s="1"/>
  <c r="M191" i="3" s="1" a="1"/>
  <c r="M191" i="3" s="1"/>
  <c r="K191" i="3"/>
  <c r="J191" i="3"/>
  <c r="V191" i="3"/>
  <c r="U191" i="3"/>
  <c r="T191" i="3"/>
  <c r="Y191" i="3"/>
  <c r="X191" i="3"/>
  <c r="AC191" i="3"/>
  <c r="AA191" i="3"/>
  <c r="H192" i="3"/>
  <c r="G192" i="3"/>
  <c r="F192" i="3" a="1"/>
  <c r="F192" i="3" s="1"/>
  <c r="L192" i="3" a="1"/>
  <c r="L192" i="3" s="1"/>
  <c r="M192" i="3" s="1" a="1"/>
  <c r="M192" i="3" s="1"/>
  <c r="K192" i="3"/>
  <c r="J192" i="3"/>
  <c r="V192" i="3"/>
  <c r="U192" i="3"/>
  <c r="T192" i="3"/>
  <c r="Y192" i="3"/>
  <c r="X192" i="3"/>
  <c r="AC192" i="3"/>
  <c r="AA192" i="3"/>
  <c r="H193" i="3"/>
  <c r="G193" i="3"/>
  <c r="F193" i="3" a="1"/>
  <c r="F193" i="3" s="1"/>
  <c r="L193" i="3" a="1"/>
  <c r="L193" i="3" s="1"/>
  <c r="M193" i="3" s="1" a="1"/>
  <c r="M193" i="3" s="1"/>
  <c r="K193" i="3"/>
  <c r="J193" i="3"/>
  <c r="V193" i="3"/>
  <c r="U193" i="3"/>
  <c r="T193" i="3"/>
  <c r="Y193" i="3"/>
  <c r="X193" i="3"/>
  <c r="AC193" i="3"/>
  <c r="AA193" i="3"/>
  <c r="H194" i="3"/>
  <c r="G194" i="3"/>
  <c r="F194" i="3" a="1"/>
  <c r="F194" i="3" s="1"/>
  <c r="L194" i="3" a="1"/>
  <c r="L194" i="3" s="1"/>
  <c r="M194" i="3" s="1" a="1"/>
  <c r="M194" i="3" s="1"/>
  <c r="K194" i="3"/>
  <c r="J194" i="3"/>
  <c r="V194" i="3"/>
  <c r="U194" i="3"/>
  <c r="T194" i="3"/>
  <c r="Y194" i="3"/>
  <c r="X194" i="3"/>
  <c r="AC194" i="3"/>
  <c r="AA194" i="3"/>
  <c r="H195" i="3"/>
  <c r="G195" i="3"/>
  <c r="F195" i="3" a="1"/>
  <c r="F195" i="3" s="1"/>
  <c r="L195" i="3" a="1"/>
  <c r="L195" i="3" s="1"/>
  <c r="M195" i="3" s="1" a="1"/>
  <c r="M195" i="3" s="1"/>
  <c r="K195" i="3"/>
  <c r="J195" i="3"/>
  <c r="V195" i="3"/>
  <c r="U195" i="3"/>
  <c r="T195" i="3"/>
  <c r="Y195" i="3"/>
  <c r="X195" i="3"/>
  <c r="AC195" i="3"/>
  <c r="AA195" i="3"/>
  <c r="H196" i="3"/>
  <c r="G196" i="3"/>
  <c r="F196" i="3" a="1"/>
  <c r="F196" i="3" s="1"/>
  <c r="L196" i="3" a="1"/>
  <c r="L196" i="3" s="1"/>
  <c r="M196" i="3" s="1" a="1"/>
  <c r="M196" i="3" s="1"/>
  <c r="K196" i="3"/>
  <c r="J196" i="3"/>
  <c r="V196" i="3"/>
  <c r="U196" i="3"/>
  <c r="T196" i="3"/>
  <c r="Y196" i="3"/>
  <c r="X196" i="3"/>
  <c r="AC196" i="3"/>
  <c r="AA196" i="3"/>
  <c r="H197" i="3"/>
  <c r="G197" i="3"/>
  <c r="F197" i="3" a="1"/>
  <c r="F197" i="3" s="1"/>
  <c r="L197" i="3" a="1"/>
  <c r="L197" i="3" s="1"/>
  <c r="M197" i="3" s="1" a="1"/>
  <c r="M197" i="3" s="1"/>
  <c r="K197" i="3"/>
  <c r="J197" i="3"/>
  <c r="V197" i="3"/>
  <c r="U197" i="3"/>
  <c r="T197" i="3"/>
  <c r="Y197" i="3"/>
  <c r="X197" i="3"/>
  <c r="AC197" i="3"/>
  <c r="AA197" i="3"/>
  <c r="H198" i="3"/>
  <c r="G198" i="3"/>
  <c r="F198" i="3" a="1"/>
  <c r="F198" i="3" s="1"/>
  <c r="L198" i="3" a="1"/>
  <c r="L198" i="3" s="1"/>
  <c r="M198" i="3" s="1" a="1"/>
  <c r="M198" i="3" s="1"/>
  <c r="K198" i="3"/>
  <c r="J198" i="3"/>
  <c r="V198" i="3"/>
  <c r="U198" i="3"/>
  <c r="T198" i="3"/>
  <c r="Y198" i="3"/>
  <c r="X198" i="3"/>
  <c r="AC198" i="3"/>
  <c r="AA198" i="3"/>
  <c r="H199" i="3"/>
  <c r="G199" i="3"/>
  <c r="F199" i="3" a="1"/>
  <c r="F199" i="3" s="1"/>
  <c r="L199" i="3" a="1"/>
  <c r="L199" i="3" s="1"/>
  <c r="M199" i="3" s="1" a="1"/>
  <c r="M199" i="3" s="1"/>
  <c r="K199" i="3"/>
  <c r="J199" i="3"/>
  <c r="V199" i="3"/>
  <c r="U199" i="3"/>
  <c r="T199" i="3"/>
  <c r="Y199" i="3"/>
  <c r="X199" i="3"/>
  <c r="AC199" i="3"/>
  <c r="AA199" i="3"/>
  <c r="H200" i="3"/>
  <c r="G200" i="3"/>
  <c r="F200" i="3" a="1"/>
  <c r="F200" i="3" s="1"/>
  <c r="L200" i="3" a="1"/>
  <c r="L200" i="3" s="1"/>
  <c r="M200" i="3" s="1" a="1"/>
  <c r="M200" i="3" s="1"/>
  <c r="K200" i="3"/>
  <c r="J200" i="3"/>
  <c r="V200" i="3"/>
  <c r="U200" i="3"/>
  <c r="T200" i="3"/>
  <c r="Y200" i="3"/>
  <c r="X200" i="3"/>
  <c r="AC200" i="3"/>
  <c r="AA200" i="3"/>
  <c r="F4" i="4"/>
  <c r="E4" i="4"/>
  <c r="D4" i="4"/>
  <c r="C4" i="4"/>
  <c r="F5" i="4"/>
  <c r="E5" i="4"/>
  <c r="D5" i="4"/>
  <c r="C5" i="4"/>
  <c r="F6" i="4"/>
  <c r="E6" i="4"/>
  <c r="D6" i="4"/>
  <c r="C6" i="4"/>
  <c r="F7" i="4"/>
  <c r="E7" i="4"/>
  <c r="D7" i="4"/>
  <c r="C7" i="4"/>
  <c r="F8" i="4"/>
  <c r="E8" i="4"/>
  <c r="D8" i="4"/>
  <c r="C8" i="4"/>
  <c r="F9" i="4"/>
  <c r="E9" i="4"/>
  <c r="D9" i="4"/>
  <c r="C9" i="4"/>
  <c r="F10" i="4"/>
  <c r="E10" i="4"/>
  <c r="D10" i="4"/>
  <c r="C10" i="4"/>
  <c r="F11" i="4"/>
  <c r="E11" i="4"/>
  <c r="D11" i="4"/>
  <c r="C11" i="4"/>
  <c r="F12" i="4"/>
  <c r="E12" i="4"/>
  <c r="D12" i="4"/>
  <c r="C12" i="4"/>
  <c r="F13" i="4"/>
  <c r="E13" i="4"/>
  <c r="D13" i="4"/>
  <c r="C13" i="4"/>
  <c r="F14" i="4"/>
  <c r="E14" i="4"/>
  <c r="D14" i="4"/>
  <c r="C14" i="4"/>
  <c r="F15" i="4"/>
  <c r="E15" i="4"/>
  <c r="D15" i="4"/>
  <c r="C15" i="4"/>
  <c r="F16" i="4"/>
  <c r="E16" i="4"/>
  <c r="D16" i="4"/>
  <c r="C16" i="4"/>
  <c r="F17" i="4"/>
  <c r="E17" i="4"/>
  <c r="D17" i="4"/>
  <c r="C17" i="4"/>
  <c r="F18" i="4"/>
  <c r="E18" i="4"/>
  <c r="D18" i="4"/>
  <c r="C18" i="4"/>
  <c r="F19" i="4"/>
  <c r="E19" i="4"/>
  <c r="D19" i="4"/>
  <c r="C19" i="4"/>
  <c r="F20" i="4"/>
  <c r="E20" i="4"/>
  <c r="D20" i="4"/>
  <c r="C20" i="4"/>
  <c r="F21" i="4"/>
  <c r="E21" i="4"/>
  <c r="D21" i="4"/>
  <c r="C21" i="4"/>
  <c r="F22" i="4"/>
  <c r="E22" i="4"/>
  <c r="D22" i="4"/>
  <c r="C22" i="4"/>
  <c r="F23" i="4"/>
  <c r="E23" i="4"/>
  <c r="D23" i="4"/>
  <c r="C23" i="4"/>
  <c r="F24" i="4"/>
  <c r="E24" i="4"/>
  <c r="D24" i="4"/>
  <c r="C24" i="4"/>
  <c r="F25" i="4"/>
  <c r="E25" i="4"/>
  <c r="D25" i="4"/>
  <c r="C25" i="4"/>
  <c r="F26" i="4"/>
  <c r="E26" i="4"/>
  <c r="D26" i="4"/>
  <c r="C26" i="4"/>
  <c r="F27" i="4"/>
  <c r="E27" i="4"/>
  <c r="D27" i="4"/>
  <c r="C27" i="4"/>
  <c r="F28" i="4"/>
  <c r="E28" i="4"/>
  <c r="D28" i="4"/>
  <c r="C28" i="4"/>
  <c r="F29" i="4"/>
  <c r="E29" i="4"/>
  <c r="D29" i="4"/>
  <c r="C29" i="4"/>
  <c r="F30" i="4"/>
  <c r="E30" i="4"/>
  <c r="D30" i="4"/>
  <c r="C30" i="4"/>
  <c r="F31" i="4"/>
  <c r="E31" i="4"/>
  <c r="D31" i="4"/>
  <c r="C31" i="4"/>
  <c r="F32" i="4"/>
  <c r="E32" i="4"/>
  <c r="D32" i="4"/>
  <c r="C32" i="4"/>
  <c r="F33" i="4"/>
  <c r="E33" i="4"/>
  <c r="D33" i="4"/>
  <c r="C33" i="4"/>
  <c r="F34" i="4"/>
  <c r="E34" i="4"/>
  <c r="D34" i="4"/>
  <c r="C34" i="4"/>
  <c r="F35" i="4"/>
  <c r="E35" i="4"/>
  <c r="D35" i="4"/>
  <c r="C35" i="4"/>
  <c r="F36" i="4"/>
  <c r="E36" i="4"/>
  <c r="D36" i="4"/>
  <c r="C36" i="4"/>
  <c r="F37" i="4"/>
  <c r="E37" i="4"/>
  <c r="D37" i="4"/>
  <c r="C37" i="4"/>
  <c r="F38" i="4"/>
  <c r="E38" i="4"/>
  <c r="D38" i="4"/>
  <c r="C38" i="4"/>
  <c r="F39" i="4"/>
  <c r="E39" i="4"/>
  <c r="D39" i="4"/>
  <c r="C39" i="4"/>
  <c r="F40" i="4"/>
  <c r="E40" i="4"/>
  <c r="D40" i="4"/>
  <c r="C40" i="4"/>
  <c r="F41" i="4"/>
  <c r="E41" i="4"/>
  <c r="D41" i="4"/>
  <c r="C41" i="4"/>
  <c r="F42" i="4"/>
  <c r="E42" i="4"/>
  <c r="D42" i="4"/>
  <c r="C42" i="4"/>
  <c r="F43" i="4"/>
  <c r="E43" i="4"/>
  <c r="D43" i="4"/>
  <c r="C43" i="4"/>
  <c r="F44" i="4"/>
  <c r="E44" i="4"/>
  <c r="D44" i="4"/>
  <c r="C44" i="4"/>
  <c r="F45" i="4"/>
  <c r="E45" i="4"/>
  <c r="D45" i="4"/>
  <c r="C45" i="4"/>
  <c r="F46" i="4"/>
  <c r="E46" i="4"/>
  <c r="D46" i="4"/>
  <c r="C46" i="4"/>
  <c r="F47" i="4"/>
  <c r="E47" i="4"/>
  <c r="D47" i="4"/>
  <c r="C47" i="4"/>
  <c r="F48" i="4"/>
  <c r="E48" i="4"/>
  <c r="D48" i="4"/>
  <c r="C48" i="4"/>
  <c r="F49" i="4"/>
  <c r="E49" i="4"/>
  <c r="D49" i="4"/>
  <c r="C49" i="4"/>
  <c r="F50" i="4"/>
  <c r="E50" i="4"/>
  <c r="D50" i="4"/>
  <c r="C50" i="4"/>
  <c r="F51" i="4"/>
  <c r="E51" i="4"/>
  <c r="D51" i="4"/>
  <c r="C51" i="4"/>
  <c r="F52" i="4"/>
  <c r="E52" i="4"/>
  <c r="D52" i="4"/>
  <c r="C52" i="4"/>
  <c r="F53" i="4"/>
  <c r="E53" i="4"/>
  <c r="D53" i="4"/>
  <c r="C53" i="4"/>
  <c r="F54" i="4"/>
  <c r="E54" i="4"/>
  <c r="D54" i="4"/>
  <c r="C54" i="4"/>
  <c r="F55" i="4"/>
  <c r="E55" i="4"/>
  <c r="D55" i="4"/>
  <c r="C55" i="4"/>
  <c r="F56" i="4"/>
  <c r="E56" i="4"/>
  <c r="D56" i="4"/>
  <c r="C56" i="4"/>
  <c r="F57" i="4"/>
  <c r="E57" i="4"/>
  <c r="D57" i="4"/>
  <c r="C57" i="4"/>
  <c r="F58" i="4"/>
  <c r="E58" i="4"/>
  <c r="D58" i="4"/>
  <c r="C58" i="4"/>
  <c r="F59" i="4"/>
  <c r="E59" i="4"/>
  <c r="D59" i="4"/>
  <c r="C59" i="4"/>
  <c r="F60" i="4"/>
  <c r="E60" i="4"/>
  <c r="D60" i="4"/>
  <c r="C60" i="4"/>
  <c r="F61" i="4"/>
  <c r="E61" i="4"/>
  <c r="D61" i="4"/>
  <c r="C61" i="4"/>
  <c r="F62" i="4"/>
  <c r="E62" i="4"/>
  <c r="D62" i="4"/>
  <c r="C62" i="4"/>
  <c r="F63" i="4"/>
  <c r="E63" i="4"/>
  <c r="D63" i="4"/>
  <c r="C63" i="4"/>
  <c r="F64" i="4"/>
  <c r="E64" i="4"/>
  <c r="D64" i="4"/>
  <c r="C64" i="4"/>
  <c r="F65" i="4"/>
  <c r="E65" i="4"/>
  <c r="D65" i="4"/>
  <c r="C65" i="4"/>
  <c r="F66" i="4"/>
  <c r="E66" i="4"/>
  <c r="D66" i="4"/>
  <c r="C66" i="4"/>
  <c r="F67" i="4"/>
  <c r="E67" i="4"/>
  <c r="D67" i="4"/>
  <c r="C67" i="4"/>
  <c r="F68" i="4"/>
  <c r="E68" i="4"/>
  <c r="D68" i="4"/>
  <c r="C68" i="4"/>
  <c r="F69" i="4"/>
  <c r="E69" i="4"/>
  <c r="D69" i="4"/>
  <c r="C69" i="4"/>
  <c r="F70" i="4"/>
  <c r="E70" i="4"/>
  <c r="D70" i="4"/>
  <c r="C70" i="4"/>
  <c r="F71" i="4"/>
  <c r="E71" i="4"/>
  <c r="D71" i="4"/>
  <c r="C71" i="4"/>
  <c r="F72" i="4"/>
  <c r="E72" i="4"/>
  <c r="D72" i="4"/>
  <c r="C72" i="4"/>
  <c r="F73" i="4"/>
  <c r="E73" i="4"/>
  <c r="D73" i="4"/>
  <c r="C73" i="4"/>
  <c r="F74" i="4"/>
  <c r="E74" i="4"/>
  <c r="D74" i="4"/>
  <c r="C74" i="4"/>
  <c r="F75" i="4"/>
  <c r="E75" i="4"/>
  <c r="D75" i="4"/>
  <c r="C75" i="4"/>
  <c r="F76" i="4"/>
  <c r="E76" i="4"/>
  <c r="D76" i="4"/>
  <c r="C76" i="4"/>
  <c r="F77" i="4"/>
  <c r="E77" i="4"/>
  <c r="D77" i="4"/>
  <c r="C77" i="4"/>
  <c r="F78" i="4"/>
  <c r="E78" i="4"/>
  <c r="D78" i="4"/>
  <c r="C78" i="4"/>
  <c r="F79" i="4"/>
  <c r="E79" i="4"/>
  <c r="D79" i="4"/>
  <c r="C79" i="4"/>
  <c r="F80" i="4"/>
  <c r="E80" i="4"/>
  <c r="D80" i="4"/>
  <c r="C80" i="4"/>
  <c r="F81" i="4"/>
  <c r="E81" i="4"/>
  <c r="D81" i="4"/>
  <c r="C81" i="4"/>
  <c r="F82" i="4"/>
  <c r="E82" i="4"/>
  <c r="D82" i="4"/>
  <c r="C82" i="4"/>
  <c r="F83" i="4"/>
  <c r="E83" i="4"/>
  <c r="D83" i="4"/>
  <c r="C83" i="4"/>
  <c r="F84" i="4"/>
  <c r="E84" i="4"/>
  <c r="D84" i="4"/>
  <c r="C84" i="4"/>
  <c r="F85" i="4"/>
  <c r="E85" i="4"/>
  <c r="D85" i="4"/>
  <c r="C85" i="4"/>
  <c r="F86" i="4"/>
  <c r="E86" i="4"/>
  <c r="D86" i="4"/>
  <c r="C86" i="4"/>
  <c r="F87" i="4"/>
  <c r="E87" i="4"/>
  <c r="D87" i="4"/>
  <c r="C87" i="4"/>
  <c r="F88" i="4"/>
  <c r="E88" i="4"/>
  <c r="D88" i="4"/>
  <c r="C88" i="4"/>
  <c r="F89" i="4"/>
  <c r="E89" i="4"/>
  <c r="D89" i="4"/>
  <c r="C89" i="4"/>
  <c r="F90" i="4"/>
  <c r="E90" i="4"/>
  <c r="D90" i="4"/>
  <c r="C90" i="4"/>
  <c r="F91" i="4"/>
  <c r="E91" i="4"/>
  <c r="D91" i="4"/>
  <c r="C91" i="4"/>
  <c r="F92" i="4"/>
  <c r="E92" i="4"/>
  <c r="D92" i="4"/>
  <c r="C92" i="4"/>
  <c r="F93" i="4"/>
  <c r="E93" i="4"/>
  <c r="D93" i="4"/>
  <c r="C93" i="4"/>
  <c r="F94" i="4"/>
  <c r="E94" i="4"/>
  <c r="D94" i="4"/>
  <c r="C94" i="4"/>
  <c r="F95" i="4"/>
  <c r="E95" i="4"/>
  <c r="D95" i="4"/>
  <c r="C95" i="4"/>
  <c r="F96" i="4"/>
  <c r="E96" i="4"/>
  <c r="D96" i="4"/>
  <c r="C96" i="4"/>
  <c r="F97" i="4"/>
  <c r="E97" i="4"/>
  <c r="D97" i="4"/>
  <c r="C97" i="4"/>
  <c r="F98" i="4"/>
  <c r="E98" i="4"/>
  <c r="D98" i="4"/>
  <c r="C98" i="4"/>
  <c r="F99" i="4"/>
  <c r="E99" i="4"/>
  <c r="D99" i="4"/>
  <c r="C99" i="4"/>
  <c r="F100" i="4"/>
  <c r="E100" i="4"/>
  <c r="D100" i="4"/>
  <c r="C100" i="4"/>
  <c r="F101" i="4"/>
  <c r="E101" i="4"/>
  <c r="D101" i="4"/>
  <c r="C101" i="4"/>
  <c r="F102" i="4"/>
  <c r="E102" i="4"/>
  <c r="D102" i="4"/>
  <c r="C102" i="4"/>
  <c r="F103" i="4"/>
  <c r="E103" i="4"/>
  <c r="D103" i="4"/>
  <c r="C103" i="4"/>
  <c r="F104" i="4"/>
  <c r="E104" i="4"/>
  <c r="D104" i="4"/>
  <c r="C104" i="4"/>
  <c r="F105" i="4"/>
  <c r="E105" i="4"/>
  <c r="D105" i="4"/>
  <c r="C105" i="4"/>
  <c r="F106" i="4"/>
  <c r="E106" i="4"/>
  <c r="D106" i="4"/>
  <c r="C106" i="4"/>
  <c r="F107" i="4"/>
  <c r="E107" i="4"/>
  <c r="D107" i="4"/>
  <c r="C107" i="4"/>
  <c r="F108" i="4"/>
  <c r="E108" i="4"/>
  <c r="D108" i="4"/>
  <c r="C108" i="4"/>
  <c r="F109" i="4"/>
  <c r="E109" i="4"/>
  <c r="D109" i="4"/>
  <c r="C109" i="4"/>
  <c r="F110" i="4"/>
  <c r="E110" i="4"/>
  <c r="D110" i="4"/>
  <c r="C110" i="4"/>
  <c r="F111" i="4"/>
  <c r="E111" i="4"/>
  <c r="D111" i="4"/>
  <c r="C111" i="4"/>
  <c r="F112" i="4"/>
  <c r="E112" i="4"/>
  <c r="D112" i="4"/>
  <c r="C112" i="4"/>
  <c r="F113" i="4"/>
  <c r="E113" i="4"/>
  <c r="D113" i="4"/>
  <c r="C113" i="4"/>
  <c r="F114" i="4"/>
  <c r="E114" i="4"/>
  <c r="D114" i="4"/>
  <c r="C114" i="4"/>
  <c r="F115" i="4"/>
  <c r="E115" i="4"/>
  <c r="D115" i="4"/>
  <c r="C115" i="4"/>
  <c r="F116" i="4"/>
  <c r="E116" i="4"/>
  <c r="D116" i="4"/>
  <c r="C116" i="4"/>
  <c r="F117" i="4"/>
  <c r="E117" i="4"/>
  <c r="D117" i="4"/>
  <c r="C117" i="4"/>
  <c r="F118" i="4"/>
  <c r="E118" i="4"/>
  <c r="D118" i="4"/>
  <c r="C118" i="4"/>
  <c r="F119" i="4"/>
  <c r="E119" i="4"/>
  <c r="D119" i="4"/>
  <c r="C119" i="4"/>
  <c r="F120" i="4"/>
  <c r="E120" i="4"/>
  <c r="D120" i="4"/>
  <c r="C120" i="4"/>
  <c r="F121" i="4"/>
  <c r="E121" i="4"/>
  <c r="D121" i="4"/>
  <c r="C121" i="4"/>
  <c r="F122" i="4"/>
  <c r="E122" i="4"/>
  <c r="D122" i="4"/>
  <c r="C122" i="4"/>
  <c r="F123" i="4"/>
  <c r="E123" i="4"/>
  <c r="D123" i="4"/>
  <c r="C123" i="4"/>
  <c r="F124" i="4"/>
  <c r="E124" i="4"/>
  <c r="D124" i="4"/>
  <c r="C124" i="4"/>
  <c r="F125" i="4"/>
  <c r="E125" i="4"/>
  <c r="D125" i="4"/>
  <c r="C125" i="4"/>
  <c r="F126" i="4"/>
  <c r="E126" i="4"/>
  <c r="D126" i="4"/>
  <c r="C126" i="4"/>
  <c r="F127" i="4"/>
  <c r="E127" i="4"/>
  <c r="D127" i="4"/>
  <c r="C127" i="4"/>
  <c r="F128" i="4"/>
  <c r="E128" i="4"/>
  <c r="D128" i="4"/>
  <c r="C128" i="4"/>
  <c r="F129" i="4"/>
  <c r="E129" i="4"/>
  <c r="D129" i="4"/>
  <c r="C129" i="4"/>
  <c r="F130" i="4"/>
  <c r="E130" i="4"/>
  <c r="D130" i="4"/>
  <c r="C130" i="4"/>
  <c r="F131" i="4"/>
  <c r="E131" i="4"/>
  <c r="D131" i="4"/>
  <c r="C131" i="4"/>
  <c r="F132" i="4"/>
  <c r="E132" i="4"/>
  <c r="D132" i="4"/>
  <c r="C132" i="4"/>
  <c r="F133" i="4"/>
  <c r="E133" i="4"/>
  <c r="D133" i="4"/>
  <c r="C133" i="4"/>
  <c r="F134" i="4"/>
  <c r="E134" i="4"/>
  <c r="D134" i="4"/>
  <c r="C134" i="4"/>
  <c r="F135" i="4"/>
  <c r="E135" i="4"/>
  <c r="D135" i="4"/>
  <c r="C135" i="4"/>
  <c r="F136" i="4"/>
  <c r="E136" i="4"/>
  <c r="D136" i="4"/>
  <c r="C136" i="4"/>
  <c r="F137" i="4"/>
  <c r="E137" i="4"/>
  <c r="D137" i="4"/>
  <c r="C137" i="4"/>
  <c r="F138" i="4"/>
  <c r="E138" i="4"/>
  <c r="D138" i="4"/>
  <c r="C138" i="4"/>
  <c r="F139" i="4"/>
  <c r="E139" i="4"/>
  <c r="D139" i="4"/>
  <c r="C139" i="4"/>
  <c r="F140" i="4"/>
  <c r="E140" i="4"/>
  <c r="D140" i="4"/>
  <c r="C140" i="4"/>
  <c r="F141" i="4"/>
  <c r="E141" i="4"/>
  <c r="D141" i="4"/>
  <c r="C141" i="4"/>
  <c r="F142" i="4"/>
  <c r="E142" i="4"/>
  <c r="D142" i="4"/>
  <c r="C142" i="4"/>
  <c r="F143" i="4"/>
  <c r="E143" i="4"/>
  <c r="D143" i="4"/>
  <c r="C143" i="4"/>
  <c r="F144" i="4"/>
  <c r="E144" i="4"/>
  <c r="D144" i="4"/>
  <c r="C144" i="4"/>
  <c r="F145" i="4"/>
  <c r="E145" i="4"/>
  <c r="D145" i="4"/>
  <c r="C145" i="4"/>
  <c r="F146" i="4"/>
  <c r="E146" i="4"/>
  <c r="D146" i="4"/>
  <c r="C146" i="4"/>
  <c r="F147" i="4"/>
  <c r="E147" i="4"/>
  <c r="D147" i="4"/>
  <c r="C147" i="4"/>
  <c r="F148" i="4"/>
  <c r="E148" i="4"/>
  <c r="D148" i="4"/>
  <c r="C148" i="4"/>
  <c r="F149" i="4"/>
  <c r="E149" i="4"/>
  <c r="D149" i="4"/>
  <c r="C149" i="4"/>
  <c r="F150" i="4"/>
  <c r="E150" i="4"/>
  <c r="D150" i="4"/>
  <c r="C150" i="4"/>
  <c r="F151" i="4"/>
  <c r="E151" i="4"/>
  <c r="D151" i="4"/>
  <c r="C151" i="4"/>
  <c r="F152" i="4"/>
  <c r="E152" i="4"/>
  <c r="D152" i="4"/>
  <c r="C152" i="4"/>
  <c r="F153" i="4"/>
  <c r="E153" i="4"/>
  <c r="D153" i="4"/>
  <c r="C153" i="4"/>
  <c r="F154" i="4"/>
  <c r="E154" i="4"/>
  <c r="D154" i="4"/>
  <c r="C154" i="4"/>
  <c r="F155" i="4"/>
  <c r="E155" i="4"/>
  <c r="D155" i="4"/>
  <c r="C155" i="4"/>
  <c r="F156" i="4"/>
  <c r="E156" i="4"/>
  <c r="D156" i="4"/>
  <c r="C156" i="4"/>
  <c r="F157" i="4"/>
  <c r="E157" i="4"/>
  <c r="D157" i="4"/>
  <c r="C157" i="4"/>
  <c r="F158" i="4"/>
  <c r="E158" i="4"/>
  <c r="D158" i="4"/>
  <c r="C158" i="4"/>
  <c r="F159" i="4"/>
  <c r="E159" i="4"/>
  <c r="D159" i="4"/>
  <c r="C159" i="4"/>
  <c r="F160" i="4"/>
  <c r="E160" i="4"/>
  <c r="D160" i="4"/>
  <c r="C160" i="4"/>
  <c r="F161" i="4"/>
  <c r="E161" i="4"/>
  <c r="D161" i="4"/>
  <c r="C161" i="4"/>
  <c r="F162" i="4"/>
  <c r="E162" i="4"/>
  <c r="D162" i="4"/>
  <c r="C162" i="4"/>
  <c r="F163" i="4"/>
  <c r="E163" i="4"/>
  <c r="D163" i="4"/>
  <c r="C163" i="4"/>
  <c r="F164" i="4"/>
  <c r="E164" i="4"/>
  <c r="D164" i="4"/>
  <c r="C164" i="4"/>
  <c r="F165" i="4"/>
  <c r="E165" i="4"/>
  <c r="D165" i="4"/>
  <c r="C165" i="4"/>
  <c r="F166" i="4"/>
  <c r="E166" i="4"/>
  <c r="D166" i="4"/>
  <c r="C166" i="4"/>
  <c r="F167" i="4"/>
  <c r="E167" i="4"/>
  <c r="D167" i="4"/>
  <c r="C167" i="4"/>
  <c r="F168" i="4"/>
  <c r="E168" i="4"/>
  <c r="D168" i="4"/>
  <c r="C168" i="4"/>
  <c r="F169" i="4"/>
  <c r="E169" i="4"/>
  <c r="D169" i="4"/>
  <c r="C169" i="4"/>
  <c r="F170" i="4"/>
  <c r="E170" i="4"/>
  <c r="D170" i="4"/>
  <c r="C170" i="4"/>
  <c r="F171" i="4"/>
  <c r="E171" i="4"/>
  <c r="D171" i="4"/>
  <c r="C171" i="4"/>
  <c r="F172" i="4"/>
  <c r="E172" i="4"/>
  <c r="D172" i="4"/>
  <c r="C172" i="4"/>
  <c r="F173" i="4"/>
  <c r="E173" i="4"/>
  <c r="D173" i="4"/>
  <c r="C173" i="4"/>
  <c r="F174" i="4"/>
  <c r="E174" i="4"/>
  <c r="D174" i="4"/>
  <c r="C174" i="4"/>
  <c r="F175" i="4"/>
  <c r="E175" i="4"/>
  <c r="D175" i="4"/>
  <c r="C175" i="4"/>
  <c r="F176" i="4"/>
  <c r="E176" i="4"/>
  <c r="D176" i="4"/>
  <c r="C176" i="4"/>
  <c r="F177" i="4"/>
  <c r="E177" i="4"/>
  <c r="D177" i="4"/>
  <c r="C177" i="4"/>
  <c r="F178" i="4"/>
  <c r="E178" i="4"/>
  <c r="D178" i="4"/>
  <c r="C178" i="4"/>
  <c r="F179" i="4"/>
  <c r="E179" i="4"/>
  <c r="D179" i="4"/>
  <c r="C179" i="4"/>
  <c r="F180" i="4"/>
  <c r="E180" i="4"/>
  <c r="D180" i="4"/>
  <c r="C180" i="4"/>
  <c r="F181" i="4"/>
  <c r="E181" i="4"/>
  <c r="D181" i="4"/>
  <c r="C181" i="4"/>
  <c r="F182" i="4"/>
  <c r="E182" i="4"/>
  <c r="D182" i="4"/>
  <c r="C182" i="4"/>
  <c r="F183" i="4"/>
  <c r="E183" i="4"/>
  <c r="D183" i="4"/>
  <c r="C183" i="4"/>
  <c r="F184" i="4"/>
  <c r="E184" i="4"/>
  <c r="D184" i="4"/>
  <c r="C184" i="4"/>
  <c r="F185" i="4"/>
  <c r="E185" i="4"/>
  <c r="D185" i="4"/>
  <c r="C185" i="4"/>
  <c r="F186" i="4"/>
  <c r="E186" i="4"/>
  <c r="D186" i="4"/>
  <c r="C186" i="4"/>
  <c r="F187" i="4"/>
  <c r="E187" i="4"/>
  <c r="D187" i="4"/>
  <c r="C187" i="4"/>
  <c r="F188" i="4"/>
  <c r="E188" i="4"/>
  <c r="D188" i="4"/>
  <c r="C188" i="4"/>
  <c r="F189" i="4"/>
  <c r="E189" i="4"/>
  <c r="D189" i="4"/>
  <c r="C189" i="4"/>
  <c r="F190" i="4"/>
  <c r="E190" i="4"/>
  <c r="D190" i="4"/>
  <c r="C190" i="4"/>
  <c r="F191" i="4"/>
  <c r="E191" i="4"/>
  <c r="D191" i="4"/>
  <c r="C191" i="4"/>
  <c r="F192" i="4"/>
  <c r="E192" i="4"/>
  <c r="D192" i="4"/>
  <c r="C192" i="4"/>
  <c r="F193" i="4"/>
  <c r="E193" i="4"/>
  <c r="D193" i="4"/>
  <c r="C193" i="4"/>
  <c r="F194" i="4"/>
  <c r="E194" i="4"/>
  <c r="D194" i="4"/>
  <c r="C194" i="4"/>
  <c r="F195" i="4"/>
  <c r="E195" i="4"/>
  <c r="D195" i="4"/>
  <c r="C195" i="4"/>
  <c r="F196" i="4"/>
  <c r="E196" i="4"/>
  <c r="D196" i="4"/>
  <c r="C196" i="4"/>
  <c r="F197" i="4"/>
  <c r="E197" i="4"/>
  <c r="D197" i="4"/>
  <c r="C197" i="4"/>
  <c r="F198" i="4"/>
  <c r="E198" i="4"/>
  <c r="D198" i="4"/>
  <c r="C198" i="4"/>
  <c r="F199" i="4"/>
  <c r="E199" i="4"/>
  <c r="D199" i="4"/>
  <c r="C199" i="4"/>
  <c r="F200" i="4"/>
  <c r="E200" i="4"/>
  <c r="D200" i="4"/>
  <c r="C200" i="4"/>
  <c r="F201" i="4"/>
  <c r="E201" i="4"/>
  <c r="D201" i="4"/>
  <c r="C201" i="4"/>
  <c r="D4" i="6"/>
  <c r="C4" i="6"/>
  <c r="D5" i="6"/>
  <c r="C5" i="6"/>
  <c r="D6" i="6"/>
  <c r="C6" i="6"/>
  <c r="D7" i="6"/>
  <c r="C7" i="6"/>
  <c r="D8" i="6"/>
  <c r="C8" i="6"/>
  <c r="D9" i="6"/>
  <c r="C9" i="6"/>
  <c r="D10" i="6"/>
  <c r="C10" i="6"/>
  <c r="D11" i="6"/>
  <c r="C11" i="6"/>
  <c r="D12" i="6"/>
  <c r="C12" i="6"/>
  <c r="D13" i="6"/>
  <c r="C13" i="6"/>
  <c r="D14" i="6"/>
  <c r="C14" i="6"/>
  <c r="D15" i="6"/>
  <c r="C15" i="6"/>
  <c r="D16" i="6"/>
  <c r="C16" i="6"/>
  <c r="D17" i="6"/>
  <c r="C17" i="6"/>
  <c r="D18" i="6"/>
  <c r="C18" i="6"/>
  <c r="D19" i="6"/>
  <c r="C19" i="6"/>
  <c r="D20" i="6"/>
  <c r="C20" i="6"/>
  <c r="D21" i="6"/>
  <c r="C21" i="6"/>
  <c r="D22" i="6"/>
  <c r="C22" i="6"/>
  <c r="D23" i="6"/>
  <c r="C23" i="6"/>
  <c r="D24" i="6"/>
  <c r="C24" i="6"/>
  <c r="D25" i="6"/>
  <c r="C25" i="6"/>
  <c r="D26" i="6"/>
  <c r="C26" i="6"/>
  <c r="D27" i="6"/>
  <c r="C27" i="6"/>
  <c r="D28" i="6"/>
  <c r="C28" i="6"/>
  <c r="D29" i="6"/>
  <c r="C29" i="6"/>
  <c r="D30" i="6"/>
  <c r="C30" i="6"/>
  <c r="D31" i="6"/>
  <c r="C31" i="6"/>
  <c r="D32" i="6"/>
  <c r="C32" i="6"/>
  <c r="D33" i="6"/>
  <c r="C33" i="6"/>
  <c r="D34" i="6"/>
  <c r="C34" i="6"/>
  <c r="D35" i="6"/>
  <c r="C35" i="6"/>
  <c r="D36" i="6"/>
  <c r="C36" i="6"/>
  <c r="D37" i="6"/>
  <c r="C37" i="6"/>
  <c r="D38" i="6"/>
  <c r="C38" i="6"/>
  <c r="D39" i="6"/>
  <c r="C39" i="6"/>
  <c r="D40" i="6"/>
  <c r="C40" i="6"/>
  <c r="D41" i="6"/>
  <c r="C41" i="6"/>
  <c r="D42" i="6"/>
  <c r="C42" i="6"/>
  <c r="D43" i="6"/>
  <c r="C43" i="6"/>
  <c r="D44" i="6"/>
  <c r="C44" i="6"/>
  <c r="D45" i="6"/>
  <c r="C45" i="6"/>
  <c r="D46" i="6"/>
  <c r="C46" i="6"/>
  <c r="D47" i="6"/>
  <c r="C47" i="6"/>
  <c r="D48" i="6"/>
  <c r="C48" i="6"/>
  <c r="D49" i="6"/>
  <c r="C49" i="6"/>
  <c r="D50" i="6"/>
  <c r="C50" i="6"/>
  <c r="D51" i="6"/>
  <c r="C51" i="6"/>
  <c r="D52" i="6"/>
  <c r="C52" i="6"/>
  <c r="D53" i="6"/>
  <c r="C53" i="6"/>
  <c r="D54" i="6"/>
  <c r="C54" i="6"/>
  <c r="D55" i="6"/>
  <c r="C55" i="6"/>
  <c r="D56" i="6"/>
  <c r="C56" i="6"/>
  <c r="D57" i="6"/>
  <c r="C57" i="6"/>
  <c r="D58" i="6"/>
  <c r="C58" i="6"/>
  <c r="D59" i="6"/>
  <c r="C59" i="6"/>
  <c r="D60" i="6"/>
  <c r="C60" i="6"/>
  <c r="D61" i="6"/>
  <c r="C61" i="6"/>
  <c r="D62" i="6"/>
  <c r="C62" i="6"/>
  <c r="D63" i="6"/>
  <c r="C63" i="6"/>
  <c r="D64" i="6"/>
  <c r="C64" i="6"/>
  <c r="D65" i="6"/>
  <c r="C65" i="6"/>
  <c r="D66" i="6"/>
  <c r="C66" i="6"/>
  <c r="D67" i="6"/>
  <c r="C67" i="6"/>
  <c r="D68" i="6"/>
  <c r="C68" i="6"/>
  <c r="D69" i="6"/>
  <c r="C69" i="6"/>
  <c r="D70" i="6"/>
  <c r="C70" i="6"/>
  <c r="D71" i="6"/>
  <c r="C71" i="6"/>
  <c r="D72" i="6"/>
  <c r="C72" i="6"/>
  <c r="D73" i="6"/>
  <c r="C73" i="6"/>
  <c r="D74" i="6"/>
  <c r="C74" i="6"/>
  <c r="D75" i="6"/>
  <c r="C75" i="6"/>
  <c r="D76" i="6"/>
  <c r="C76" i="6"/>
  <c r="D77" i="6"/>
  <c r="C77" i="6"/>
  <c r="D78" i="6"/>
  <c r="C78" i="6"/>
  <c r="D79" i="6"/>
  <c r="C79" i="6"/>
  <c r="D80" i="6"/>
  <c r="C80" i="6"/>
  <c r="D81" i="6"/>
  <c r="C81" i="6"/>
  <c r="D82" i="6"/>
  <c r="C82" i="6"/>
  <c r="D83" i="6"/>
  <c r="C83" i="6"/>
  <c r="D84" i="6"/>
  <c r="C84" i="6"/>
  <c r="D85" i="6"/>
  <c r="C85" i="6"/>
  <c r="D86" i="6"/>
  <c r="C86" i="6"/>
  <c r="D87" i="6"/>
  <c r="C87" i="6"/>
  <c r="D88" i="6"/>
  <c r="C88" i="6"/>
  <c r="D89" i="6"/>
  <c r="C89" i="6"/>
  <c r="D90" i="6"/>
  <c r="C90" i="6"/>
  <c r="D91" i="6"/>
  <c r="C91" i="6"/>
  <c r="D92" i="6"/>
  <c r="C92" i="6"/>
  <c r="D93" i="6"/>
  <c r="C93" i="6"/>
  <c r="D94" i="6"/>
  <c r="C94" i="6"/>
  <c r="D95" i="6"/>
  <c r="C95" i="6"/>
  <c r="D96" i="6"/>
  <c r="C96" i="6"/>
  <c r="D97" i="6"/>
  <c r="C97" i="6"/>
  <c r="D98" i="6"/>
  <c r="C98" i="6"/>
  <c r="D99" i="6"/>
  <c r="C99" i="6"/>
  <c r="D100" i="6"/>
  <c r="C100" i="6"/>
  <c r="D101" i="6"/>
  <c r="C101" i="6"/>
  <c r="D102" i="6"/>
  <c r="C102" i="6"/>
  <c r="D103" i="6"/>
  <c r="C103" i="6"/>
  <c r="D104" i="6"/>
  <c r="C104" i="6"/>
  <c r="D105" i="6"/>
  <c r="C105" i="6"/>
  <c r="D106" i="6"/>
  <c r="C106" i="6"/>
  <c r="D107" i="6"/>
  <c r="C107" i="6"/>
  <c r="D108" i="6"/>
  <c r="C108" i="6"/>
  <c r="D109" i="6"/>
  <c r="C109" i="6"/>
  <c r="D110" i="6"/>
  <c r="C110" i="6"/>
  <c r="D111" i="6"/>
  <c r="C111" i="6"/>
  <c r="D112" i="6"/>
  <c r="C112" i="6"/>
  <c r="D113" i="6"/>
  <c r="C113" i="6"/>
  <c r="D114" i="6"/>
  <c r="C114" i="6"/>
  <c r="D115" i="6"/>
  <c r="C115" i="6"/>
  <c r="D116" i="6"/>
  <c r="C116" i="6"/>
  <c r="D117" i="6"/>
  <c r="C117" i="6"/>
  <c r="D118" i="6"/>
  <c r="C118" i="6"/>
  <c r="D119" i="6"/>
  <c r="C119" i="6"/>
  <c r="D120" i="6"/>
  <c r="C120" i="6"/>
  <c r="D121" i="6"/>
  <c r="C121" i="6"/>
  <c r="D122" i="6"/>
  <c r="C122" i="6"/>
  <c r="D123" i="6"/>
  <c r="C123" i="6"/>
  <c r="D124" i="6"/>
  <c r="C124" i="6"/>
  <c r="D125" i="6"/>
  <c r="C125" i="6"/>
  <c r="D126" i="6"/>
  <c r="C126" i="6"/>
  <c r="D127" i="6"/>
  <c r="C127" i="6"/>
  <c r="D128" i="6"/>
  <c r="C128" i="6"/>
  <c r="D129" i="6"/>
  <c r="C129" i="6"/>
  <c r="D130" i="6"/>
  <c r="C130" i="6"/>
  <c r="D131" i="6"/>
  <c r="C131" i="6"/>
  <c r="D132" i="6"/>
  <c r="C132" i="6"/>
  <c r="D133" i="6"/>
  <c r="C133" i="6"/>
  <c r="D134" i="6"/>
  <c r="C134" i="6"/>
  <c r="D135" i="6"/>
  <c r="C135" i="6"/>
  <c r="D136" i="6"/>
  <c r="C136" i="6"/>
  <c r="D137" i="6"/>
  <c r="C137" i="6"/>
  <c r="D138" i="6"/>
  <c r="C138" i="6"/>
  <c r="D139" i="6"/>
  <c r="C139" i="6"/>
  <c r="D140" i="6"/>
  <c r="C140" i="6"/>
  <c r="D141" i="6"/>
  <c r="C141" i="6"/>
  <c r="D142" i="6"/>
  <c r="C142" i="6"/>
  <c r="D143" i="6"/>
  <c r="C143" i="6"/>
  <c r="D144" i="6"/>
  <c r="C144" i="6"/>
  <c r="D145" i="6"/>
  <c r="C145" i="6"/>
  <c r="D146" i="6"/>
  <c r="C146" i="6"/>
  <c r="D147" i="6"/>
  <c r="C147" i="6"/>
  <c r="D148" i="6"/>
  <c r="C148" i="6"/>
  <c r="D149" i="6"/>
  <c r="C149" i="6"/>
  <c r="D150" i="6"/>
  <c r="C150" i="6"/>
  <c r="D151" i="6"/>
  <c r="C151" i="6"/>
  <c r="D152" i="6"/>
  <c r="C152" i="6"/>
  <c r="D153" i="6"/>
  <c r="C153" i="6"/>
  <c r="D154" i="6"/>
  <c r="C154" i="6"/>
  <c r="D155" i="6"/>
  <c r="C155" i="6"/>
  <c r="D156" i="6"/>
  <c r="C156" i="6"/>
  <c r="D157" i="6"/>
  <c r="C157" i="6"/>
  <c r="D158" i="6"/>
  <c r="C158" i="6"/>
  <c r="D159" i="6"/>
  <c r="C159" i="6"/>
  <c r="D160" i="6"/>
  <c r="C160" i="6"/>
  <c r="D161" i="6"/>
  <c r="C161" i="6"/>
  <c r="D162" i="6"/>
  <c r="C162" i="6"/>
  <c r="D163" i="6"/>
  <c r="C163" i="6"/>
  <c r="D164" i="6"/>
  <c r="C164" i="6"/>
  <c r="D165" i="6"/>
  <c r="C165" i="6"/>
  <c r="D166" i="6"/>
  <c r="C166" i="6"/>
  <c r="D167" i="6"/>
  <c r="C167" i="6"/>
  <c r="D168" i="6"/>
  <c r="C168" i="6"/>
  <c r="D169" i="6"/>
  <c r="C169" i="6"/>
  <c r="D170" i="6"/>
  <c r="C170" i="6"/>
  <c r="D171" i="6"/>
  <c r="C171" i="6"/>
  <c r="D172" i="6"/>
  <c r="C172" i="6"/>
  <c r="D173" i="6"/>
  <c r="C173" i="6"/>
  <c r="D174" i="6"/>
  <c r="C174" i="6"/>
  <c r="D175" i="6"/>
  <c r="C175" i="6"/>
  <c r="D176" i="6"/>
  <c r="C176" i="6"/>
  <c r="D177" i="6"/>
  <c r="C177" i="6"/>
  <c r="D178" i="6"/>
  <c r="C178" i="6"/>
  <c r="D179" i="6"/>
  <c r="C179" i="6"/>
  <c r="D180" i="6"/>
  <c r="C180" i="6"/>
  <c r="D181" i="6"/>
  <c r="C181" i="6"/>
  <c r="D182" i="6"/>
  <c r="C182" i="6"/>
  <c r="D183" i="6"/>
  <c r="C183" i="6"/>
  <c r="D184" i="6"/>
  <c r="C184" i="6"/>
  <c r="D185" i="6"/>
  <c r="C185" i="6"/>
  <c r="D186" i="6"/>
  <c r="C186" i="6"/>
  <c r="D187" i="6"/>
  <c r="C187" i="6"/>
  <c r="D188" i="6"/>
  <c r="C188" i="6"/>
  <c r="D189" i="6"/>
  <c r="C189" i="6"/>
  <c r="D190" i="6"/>
  <c r="C190" i="6"/>
  <c r="D191" i="6"/>
  <c r="C191" i="6"/>
  <c r="D192" i="6"/>
  <c r="C192" i="6"/>
  <c r="D193" i="6"/>
  <c r="C193" i="6"/>
  <c r="D194" i="6"/>
  <c r="C194" i="6"/>
  <c r="D195" i="6"/>
  <c r="C195" i="6"/>
  <c r="D196" i="6"/>
  <c r="C196" i="6"/>
  <c r="D197" i="6"/>
  <c r="C197" i="6"/>
  <c r="D198" i="6"/>
  <c r="C198" i="6"/>
  <c r="D199" i="6"/>
  <c r="C199" i="6"/>
  <c r="D200" i="6"/>
  <c r="C200" i="6"/>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1" i="7" l="1"/>
  <c r="G1" i="7" s="1"/>
  <c r="C1" i="6"/>
  <c r="D1" i="6"/>
  <c r="C1" i="4"/>
  <c r="D1" i="4"/>
  <c r="E1" i="4"/>
  <c r="F1" i="4"/>
  <c r="R200" i="3"/>
  <c r="Q200" i="3"/>
  <c r="P200" i="3"/>
  <c r="O200" i="3"/>
  <c r="N200" i="3"/>
  <c r="R199" i="3"/>
  <c r="Q199" i="3"/>
  <c r="P199" i="3"/>
  <c r="O199" i="3"/>
  <c r="N199" i="3"/>
  <c r="R198" i="3"/>
  <c r="Q198" i="3"/>
  <c r="P198" i="3"/>
  <c r="O198" i="3"/>
  <c r="N198" i="3"/>
  <c r="R197" i="3"/>
  <c r="Q197" i="3"/>
  <c r="P197" i="3"/>
  <c r="O197" i="3"/>
  <c r="N197" i="3"/>
  <c r="R196" i="3"/>
  <c r="Q196" i="3"/>
  <c r="P196" i="3"/>
  <c r="O196" i="3"/>
  <c r="N196" i="3"/>
  <c r="R195" i="3"/>
  <c r="Q195" i="3"/>
  <c r="P195" i="3"/>
  <c r="O195" i="3"/>
  <c r="N195" i="3"/>
  <c r="R194" i="3"/>
  <c r="Q194" i="3"/>
  <c r="P194" i="3"/>
  <c r="O194" i="3"/>
  <c r="N194" i="3"/>
  <c r="R193" i="3"/>
  <c r="Q193" i="3"/>
  <c r="P193" i="3"/>
  <c r="O193" i="3"/>
  <c r="N193" i="3"/>
  <c r="R192" i="3"/>
  <c r="Q192" i="3"/>
  <c r="P192" i="3"/>
  <c r="O192" i="3"/>
  <c r="N192" i="3"/>
  <c r="R191" i="3"/>
  <c r="Q191" i="3"/>
  <c r="P191" i="3"/>
  <c r="O191" i="3"/>
  <c r="N191" i="3"/>
  <c r="R190" i="3"/>
  <c r="Q190" i="3"/>
  <c r="P190" i="3"/>
  <c r="O190" i="3"/>
  <c r="N190" i="3"/>
  <c r="R189" i="3"/>
  <c r="Q189" i="3"/>
  <c r="P189" i="3"/>
  <c r="O189" i="3"/>
  <c r="N189" i="3"/>
  <c r="R188" i="3"/>
  <c r="Q188" i="3"/>
  <c r="P188" i="3"/>
  <c r="O188" i="3"/>
  <c r="N188" i="3"/>
  <c r="R187" i="3"/>
  <c r="Q187" i="3"/>
  <c r="P187" i="3"/>
  <c r="O187" i="3"/>
  <c r="N187" i="3"/>
  <c r="R186" i="3"/>
  <c r="Q186" i="3"/>
  <c r="P186" i="3"/>
  <c r="O186" i="3"/>
  <c r="N186" i="3"/>
  <c r="R185" i="3"/>
  <c r="Q185" i="3"/>
  <c r="P185" i="3"/>
  <c r="O185" i="3"/>
  <c r="N185" i="3"/>
  <c r="R184" i="3"/>
  <c r="Q184" i="3"/>
  <c r="P184" i="3"/>
  <c r="O184" i="3"/>
  <c r="N184" i="3"/>
  <c r="R183" i="3"/>
  <c r="Q183" i="3"/>
  <c r="P183" i="3"/>
  <c r="O183" i="3"/>
  <c r="N183" i="3"/>
  <c r="R182" i="3"/>
  <c r="Q182" i="3"/>
  <c r="P182" i="3"/>
  <c r="O182" i="3"/>
  <c r="N182" i="3"/>
  <c r="R181" i="3"/>
  <c r="Q181" i="3"/>
  <c r="P181" i="3"/>
  <c r="O181" i="3"/>
  <c r="N181" i="3"/>
  <c r="R180" i="3"/>
  <c r="Q180" i="3"/>
  <c r="P180" i="3"/>
  <c r="O180" i="3"/>
  <c r="N180" i="3"/>
  <c r="R179" i="3"/>
  <c r="Q179" i="3"/>
  <c r="P179" i="3"/>
  <c r="O179" i="3"/>
  <c r="N179" i="3"/>
  <c r="R178" i="3"/>
  <c r="Q178" i="3"/>
  <c r="P178" i="3"/>
  <c r="O178" i="3"/>
  <c r="N178" i="3"/>
  <c r="R177" i="3"/>
  <c r="Q177" i="3"/>
  <c r="P177" i="3"/>
  <c r="O177" i="3"/>
  <c r="N177" i="3"/>
  <c r="R176" i="3"/>
  <c r="Q176" i="3"/>
  <c r="P176" i="3"/>
  <c r="O176" i="3"/>
  <c r="N176" i="3"/>
  <c r="R175" i="3"/>
  <c r="Q175" i="3"/>
  <c r="P175" i="3"/>
  <c r="O175" i="3"/>
  <c r="N175" i="3"/>
  <c r="R174" i="3"/>
  <c r="Q174" i="3"/>
  <c r="P174" i="3"/>
  <c r="O174" i="3"/>
  <c r="N174" i="3"/>
  <c r="R173" i="3"/>
  <c r="Q173" i="3"/>
  <c r="P173" i="3"/>
  <c r="O173" i="3"/>
  <c r="N173" i="3"/>
  <c r="R172" i="3"/>
  <c r="Q172" i="3"/>
  <c r="P172" i="3"/>
  <c r="O172" i="3"/>
  <c r="N172" i="3"/>
  <c r="R171" i="3"/>
  <c r="Q171" i="3"/>
  <c r="P171" i="3"/>
  <c r="O171" i="3"/>
  <c r="N171" i="3"/>
  <c r="R170" i="3"/>
  <c r="Q170" i="3"/>
  <c r="P170" i="3"/>
  <c r="O170" i="3"/>
  <c r="N170" i="3"/>
  <c r="R169" i="3"/>
  <c r="Q169" i="3"/>
  <c r="P169" i="3"/>
  <c r="O169" i="3"/>
  <c r="N169" i="3"/>
  <c r="R168" i="3"/>
  <c r="Q168" i="3"/>
  <c r="P168" i="3"/>
  <c r="O168" i="3"/>
  <c r="N168" i="3"/>
  <c r="R167" i="3"/>
  <c r="Q167" i="3"/>
  <c r="P167" i="3"/>
  <c r="O167" i="3"/>
  <c r="N167" i="3"/>
  <c r="R166" i="3"/>
  <c r="Q166" i="3"/>
  <c r="P166" i="3"/>
  <c r="O166" i="3"/>
  <c r="N166" i="3"/>
  <c r="R165" i="3"/>
  <c r="Q165" i="3"/>
  <c r="P165" i="3"/>
  <c r="O165" i="3"/>
  <c r="N165" i="3"/>
  <c r="R164" i="3"/>
  <c r="Q164" i="3"/>
  <c r="P164" i="3"/>
  <c r="O164" i="3"/>
  <c r="N164" i="3"/>
  <c r="R163" i="3"/>
  <c r="Q163" i="3"/>
  <c r="P163" i="3"/>
  <c r="O163" i="3"/>
  <c r="N163" i="3"/>
  <c r="R162" i="3"/>
  <c r="Q162" i="3"/>
  <c r="P162" i="3"/>
  <c r="O162" i="3"/>
  <c r="N162" i="3"/>
  <c r="R161" i="3"/>
  <c r="Q161" i="3"/>
  <c r="P161" i="3"/>
  <c r="O161" i="3"/>
  <c r="N161" i="3"/>
  <c r="R160" i="3"/>
  <c r="Q160" i="3"/>
  <c r="P160" i="3"/>
  <c r="O160" i="3"/>
  <c r="N160" i="3"/>
  <c r="R159" i="3"/>
  <c r="Q159" i="3"/>
  <c r="P159" i="3"/>
  <c r="O159" i="3"/>
  <c r="N159" i="3"/>
  <c r="R158" i="3"/>
  <c r="Q158" i="3"/>
  <c r="P158" i="3"/>
  <c r="O158" i="3"/>
  <c r="N158" i="3"/>
  <c r="R157" i="3"/>
  <c r="Q157" i="3"/>
  <c r="P157" i="3"/>
  <c r="O157" i="3"/>
  <c r="N157" i="3"/>
  <c r="R156" i="3"/>
  <c r="Q156" i="3"/>
  <c r="P156" i="3"/>
  <c r="O156" i="3"/>
  <c r="N156" i="3"/>
  <c r="R155" i="3"/>
  <c r="Q155" i="3"/>
  <c r="P155" i="3"/>
  <c r="O155" i="3"/>
  <c r="N155" i="3"/>
  <c r="R154" i="3"/>
  <c r="Q154" i="3"/>
  <c r="P154" i="3"/>
  <c r="O154" i="3"/>
  <c r="N154" i="3"/>
  <c r="R153" i="3"/>
  <c r="Q153" i="3"/>
  <c r="P153" i="3"/>
  <c r="O153" i="3"/>
  <c r="N153" i="3"/>
  <c r="R152" i="3"/>
  <c r="Q152" i="3"/>
  <c r="P152" i="3"/>
  <c r="O152" i="3"/>
  <c r="N152" i="3"/>
  <c r="R151" i="3"/>
  <c r="Q151" i="3"/>
  <c r="P151" i="3"/>
  <c r="O151" i="3"/>
  <c r="N151" i="3"/>
  <c r="R150" i="3"/>
  <c r="Q150" i="3"/>
  <c r="P150" i="3"/>
  <c r="O150" i="3"/>
  <c r="N150" i="3"/>
  <c r="R149" i="3"/>
  <c r="Q149" i="3"/>
  <c r="P149" i="3"/>
  <c r="O149" i="3"/>
  <c r="N149" i="3"/>
  <c r="R148" i="3"/>
  <c r="Q148" i="3"/>
  <c r="P148" i="3"/>
  <c r="O148" i="3"/>
  <c r="N148" i="3"/>
  <c r="R147" i="3"/>
  <c r="Q147" i="3"/>
  <c r="P147" i="3"/>
  <c r="O147" i="3"/>
  <c r="N147" i="3"/>
  <c r="R146" i="3"/>
  <c r="Q146" i="3"/>
  <c r="P146" i="3"/>
  <c r="O146" i="3"/>
  <c r="N146" i="3"/>
  <c r="R145" i="3"/>
  <c r="Q145" i="3"/>
  <c r="P145" i="3"/>
  <c r="O145" i="3"/>
  <c r="N145" i="3"/>
  <c r="R144" i="3"/>
  <c r="Q144" i="3"/>
  <c r="P144" i="3"/>
  <c r="O144" i="3"/>
  <c r="N144" i="3"/>
  <c r="R143" i="3"/>
  <c r="Q143" i="3"/>
  <c r="P143" i="3"/>
  <c r="O143" i="3"/>
  <c r="N143" i="3"/>
  <c r="R142" i="3"/>
  <c r="Q142" i="3"/>
  <c r="P142" i="3"/>
  <c r="O142" i="3"/>
  <c r="N142" i="3"/>
  <c r="R141" i="3"/>
  <c r="Q141" i="3"/>
  <c r="P141" i="3"/>
  <c r="O141" i="3"/>
  <c r="N141" i="3"/>
  <c r="R140" i="3"/>
  <c r="Q140" i="3"/>
  <c r="P140" i="3"/>
  <c r="O140" i="3"/>
  <c r="N140" i="3"/>
  <c r="R139" i="3"/>
  <c r="Q139" i="3"/>
  <c r="P139" i="3"/>
  <c r="O139" i="3"/>
  <c r="N139" i="3"/>
  <c r="R138" i="3"/>
  <c r="Q138" i="3"/>
  <c r="P138" i="3"/>
  <c r="O138" i="3"/>
  <c r="N138" i="3"/>
  <c r="R137" i="3"/>
  <c r="Q137" i="3"/>
  <c r="P137" i="3"/>
  <c r="O137" i="3"/>
  <c r="N137" i="3"/>
  <c r="R136" i="3"/>
  <c r="Q136" i="3"/>
  <c r="P136" i="3"/>
  <c r="O136" i="3"/>
  <c r="N136" i="3"/>
  <c r="R135" i="3"/>
  <c r="Q135" i="3"/>
  <c r="P135" i="3"/>
  <c r="O135" i="3"/>
  <c r="N135" i="3"/>
  <c r="R134" i="3"/>
  <c r="Q134" i="3"/>
  <c r="P134" i="3"/>
  <c r="O134" i="3"/>
  <c r="N134" i="3"/>
  <c r="R133" i="3"/>
  <c r="Q133" i="3"/>
  <c r="P133" i="3"/>
  <c r="O133" i="3"/>
  <c r="N133" i="3"/>
  <c r="R132" i="3"/>
  <c r="Q132" i="3"/>
  <c r="P132" i="3"/>
  <c r="O132" i="3"/>
  <c r="N132" i="3"/>
  <c r="R131" i="3"/>
  <c r="Q131" i="3"/>
  <c r="P131" i="3"/>
  <c r="O131" i="3"/>
  <c r="N131" i="3"/>
  <c r="R130" i="3"/>
  <c r="Q130" i="3"/>
  <c r="P130" i="3"/>
  <c r="O130" i="3"/>
  <c r="N130" i="3"/>
  <c r="R129" i="3"/>
  <c r="Q129" i="3"/>
  <c r="P129" i="3"/>
  <c r="O129" i="3"/>
  <c r="N129" i="3"/>
  <c r="R128" i="3"/>
  <c r="Q128" i="3"/>
  <c r="P128" i="3"/>
  <c r="O128" i="3"/>
  <c r="N128" i="3"/>
  <c r="R127" i="3"/>
  <c r="Q127" i="3"/>
  <c r="P127" i="3"/>
  <c r="O127" i="3"/>
  <c r="N127" i="3"/>
  <c r="R126" i="3"/>
  <c r="Q126" i="3"/>
  <c r="P126" i="3"/>
  <c r="O126" i="3"/>
  <c r="N126" i="3"/>
  <c r="R125" i="3"/>
  <c r="Q125" i="3"/>
  <c r="P125" i="3"/>
  <c r="O125" i="3"/>
  <c r="N125" i="3"/>
  <c r="R124" i="3"/>
  <c r="Q124" i="3"/>
  <c r="P124" i="3"/>
  <c r="O124" i="3"/>
  <c r="N124" i="3"/>
  <c r="R123" i="3"/>
  <c r="Q123" i="3"/>
  <c r="P123" i="3"/>
  <c r="O123" i="3"/>
  <c r="N123" i="3"/>
  <c r="R122" i="3"/>
  <c r="Q122" i="3"/>
  <c r="P122" i="3"/>
  <c r="O122" i="3"/>
  <c r="N122" i="3"/>
  <c r="R121" i="3"/>
  <c r="Q121" i="3"/>
  <c r="P121" i="3"/>
  <c r="O121" i="3"/>
  <c r="N121" i="3"/>
  <c r="R120" i="3"/>
  <c r="Q120" i="3"/>
  <c r="P120" i="3"/>
  <c r="O120" i="3"/>
  <c r="N120" i="3"/>
  <c r="R119" i="3"/>
  <c r="Q119" i="3"/>
  <c r="P119" i="3"/>
  <c r="O119" i="3"/>
  <c r="N119" i="3"/>
  <c r="R118" i="3"/>
  <c r="Q118" i="3"/>
  <c r="P118" i="3"/>
  <c r="O118" i="3"/>
  <c r="N118" i="3"/>
  <c r="R117" i="3"/>
  <c r="Q117" i="3"/>
  <c r="P117" i="3"/>
  <c r="O117" i="3"/>
  <c r="N117" i="3"/>
  <c r="R116" i="3"/>
  <c r="Q116" i="3"/>
  <c r="P116" i="3"/>
  <c r="O116" i="3"/>
  <c r="N116" i="3"/>
  <c r="R115" i="3"/>
  <c r="Q115" i="3"/>
  <c r="P115" i="3"/>
  <c r="O115" i="3"/>
  <c r="N115" i="3"/>
  <c r="R114" i="3"/>
  <c r="Q114" i="3"/>
  <c r="P114" i="3"/>
  <c r="O114" i="3"/>
  <c r="N114" i="3"/>
  <c r="R113" i="3"/>
  <c r="Q113" i="3"/>
  <c r="P113" i="3"/>
  <c r="O113" i="3"/>
  <c r="N113" i="3"/>
  <c r="R112" i="3"/>
  <c r="Q112" i="3"/>
  <c r="P112" i="3"/>
  <c r="O112" i="3"/>
  <c r="N112" i="3"/>
  <c r="R111" i="3"/>
  <c r="Q111" i="3"/>
  <c r="P111" i="3"/>
  <c r="O111" i="3"/>
  <c r="N111" i="3"/>
  <c r="R110" i="3"/>
  <c r="Q110" i="3"/>
  <c r="P110" i="3"/>
  <c r="O110" i="3"/>
  <c r="N110" i="3"/>
  <c r="R109" i="3"/>
  <c r="Q109" i="3"/>
  <c r="P109" i="3"/>
  <c r="O109" i="3"/>
  <c r="N109" i="3"/>
  <c r="R108" i="3"/>
  <c r="Q108" i="3"/>
  <c r="P108" i="3"/>
  <c r="O108" i="3"/>
  <c r="N108" i="3"/>
  <c r="R107" i="3"/>
  <c r="Q107" i="3"/>
  <c r="P107" i="3"/>
  <c r="O107" i="3"/>
  <c r="N107" i="3"/>
  <c r="R106" i="3"/>
  <c r="Q106" i="3"/>
  <c r="P106" i="3"/>
  <c r="O106" i="3"/>
  <c r="N106" i="3"/>
  <c r="R105" i="3"/>
  <c r="Q105" i="3"/>
  <c r="P105" i="3"/>
  <c r="O105" i="3"/>
  <c r="N105" i="3"/>
  <c r="R104" i="3"/>
  <c r="Q104" i="3"/>
  <c r="P104" i="3"/>
  <c r="O104" i="3"/>
  <c r="N104" i="3"/>
  <c r="R103" i="3"/>
  <c r="Q103" i="3"/>
  <c r="P103" i="3"/>
  <c r="O103" i="3"/>
  <c r="N103" i="3"/>
  <c r="R102" i="3"/>
  <c r="Q102" i="3"/>
  <c r="P102" i="3"/>
  <c r="O102" i="3"/>
  <c r="N102" i="3"/>
  <c r="R101" i="3"/>
  <c r="Q101" i="3"/>
  <c r="P101" i="3"/>
  <c r="O101" i="3"/>
  <c r="N101" i="3"/>
  <c r="R100" i="3"/>
  <c r="Q100" i="3"/>
  <c r="P100" i="3"/>
  <c r="O100" i="3"/>
  <c r="N100" i="3"/>
  <c r="R99" i="3"/>
  <c r="Q99" i="3"/>
  <c r="P99" i="3"/>
  <c r="O99" i="3"/>
  <c r="N99" i="3"/>
  <c r="R98" i="3"/>
  <c r="Q98" i="3"/>
  <c r="P98" i="3"/>
  <c r="O98" i="3"/>
  <c r="N98" i="3"/>
  <c r="R97" i="3"/>
  <c r="Q97" i="3"/>
  <c r="P97" i="3"/>
  <c r="O97" i="3"/>
  <c r="N97" i="3"/>
  <c r="R96" i="3"/>
  <c r="Q96" i="3"/>
  <c r="P96" i="3"/>
  <c r="O96" i="3"/>
  <c r="N96" i="3"/>
  <c r="R95" i="3"/>
  <c r="Q95" i="3"/>
  <c r="P95" i="3"/>
  <c r="O95" i="3"/>
  <c r="N95" i="3"/>
  <c r="R94" i="3"/>
  <c r="Q94" i="3"/>
  <c r="P94" i="3"/>
  <c r="O94" i="3"/>
  <c r="N94" i="3"/>
  <c r="R93" i="3"/>
  <c r="Q93" i="3"/>
  <c r="P93" i="3"/>
  <c r="O93" i="3"/>
  <c r="N93" i="3"/>
  <c r="R92" i="3"/>
  <c r="Q92" i="3"/>
  <c r="P92" i="3"/>
  <c r="O92" i="3"/>
  <c r="N92" i="3"/>
  <c r="R91" i="3"/>
  <c r="Q91" i="3"/>
  <c r="P91" i="3"/>
  <c r="O91" i="3"/>
  <c r="N91" i="3"/>
  <c r="R90" i="3"/>
  <c r="Q90" i="3"/>
  <c r="P90" i="3"/>
  <c r="O90" i="3"/>
  <c r="N90" i="3"/>
  <c r="R89" i="3"/>
  <c r="Q89" i="3"/>
  <c r="P89" i="3"/>
  <c r="O89" i="3"/>
  <c r="N89" i="3"/>
  <c r="R88" i="3"/>
  <c r="Q88" i="3"/>
  <c r="P88" i="3"/>
  <c r="O88" i="3"/>
  <c r="N88" i="3"/>
  <c r="R87" i="3"/>
  <c r="Q87" i="3"/>
  <c r="P87" i="3"/>
  <c r="O87" i="3"/>
  <c r="N87" i="3"/>
  <c r="R86" i="3"/>
  <c r="Q86" i="3"/>
  <c r="P86" i="3"/>
  <c r="O86" i="3"/>
  <c r="N86" i="3"/>
  <c r="R85" i="3"/>
  <c r="Q85" i="3"/>
  <c r="P85" i="3"/>
  <c r="O85" i="3"/>
  <c r="N85" i="3"/>
  <c r="R84" i="3"/>
  <c r="Q84" i="3"/>
  <c r="P84" i="3"/>
  <c r="O84" i="3"/>
  <c r="N84" i="3"/>
  <c r="R83" i="3"/>
  <c r="Q83" i="3"/>
  <c r="P83" i="3"/>
  <c r="O83" i="3"/>
  <c r="N83" i="3"/>
  <c r="R82" i="3"/>
  <c r="Q82" i="3"/>
  <c r="P82" i="3"/>
  <c r="O82" i="3"/>
  <c r="N82" i="3"/>
  <c r="R81" i="3"/>
  <c r="Q81" i="3"/>
  <c r="P81" i="3"/>
  <c r="O81" i="3"/>
  <c r="N81" i="3"/>
  <c r="R80" i="3"/>
  <c r="Q80" i="3"/>
  <c r="P80" i="3"/>
  <c r="O80" i="3"/>
  <c r="N80" i="3"/>
  <c r="R79" i="3"/>
  <c r="Q79" i="3"/>
  <c r="P79" i="3"/>
  <c r="O79" i="3"/>
  <c r="N79" i="3"/>
  <c r="R78" i="3"/>
  <c r="Q78" i="3"/>
  <c r="P78" i="3"/>
  <c r="O78" i="3"/>
  <c r="N78" i="3"/>
  <c r="R77" i="3"/>
  <c r="Q77" i="3"/>
  <c r="P77" i="3"/>
  <c r="O77" i="3"/>
  <c r="N77" i="3"/>
  <c r="R76" i="3"/>
  <c r="Q76" i="3"/>
  <c r="P76" i="3"/>
  <c r="O76" i="3"/>
  <c r="N76" i="3"/>
  <c r="R75" i="3"/>
  <c r="Q75" i="3"/>
  <c r="P75" i="3"/>
  <c r="O75" i="3"/>
  <c r="N75" i="3"/>
  <c r="R74" i="3"/>
  <c r="Q74" i="3"/>
  <c r="P74" i="3"/>
  <c r="O74" i="3"/>
  <c r="N74" i="3"/>
  <c r="R73" i="3"/>
  <c r="Q73" i="3"/>
  <c r="P73" i="3"/>
  <c r="O73" i="3"/>
  <c r="N73" i="3"/>
  <c r="R72" i="3"/>
  <c r="Q72" i="3"/>
  <c r="P72" i="3"/>
  <c r="O72" i="3"/>
  <c r="N72" i="3"/>
  <c r="R71" i="3"/>
  <c r="Q71" i="3"/>
  <c r="P71" i="3"/>
  <c r="O71" i="3"/>
  <c r="N71" i="3"/>
  <c r="R70" i="3"/>
  <c r="Q70" i="3"/>
  <c r="P70" i="3"/>
  <c r="O70" i="3"/>
  <c r="N70" i="3"/>
  <c r="R69" i="3"/>
  <c r="Q69" i="3"/>
  <c r="P69" i="3"/>
  <c r="O69" i="3"/>
  <c r="N69" i="3"/>
  <c r="R68" i="3"/>
  <c r="Q68" i="3"/>
  <c r="P68" i="3"/>
  <c r="O68" i="3"/>
  <c r="N68" i="3"/>
  <c r="R67" i="3"/>
  <c r="Q67" i="3"/>
  <c r="P67" i="3"/>
  <c r="O67" i="3"/>
  <c r="N67" i="3"/>
  <c r="R66" i="3"/>
  <c r="Q66" i="3"/>
  <c r="P66" i="3"/>
  <c r="O66" i="3"/>
  <c r="N66" i="3"/>
  <c r="R65" i="3"/>
  <c r="Q65" i="3"/>
  <c r="P65" i="3"/>
  <c r="O65" i="3"/>
  <c r="N65" i="3"/>
  <c r="R64" i="3"/>
  <c r="Q64" i="3"/>
  <c r="P64" i="3"/>
  <c r="O64" i="3"/>
  <c r="N64" i="3"/>
  <c r="R63" i="3"/>
  <c r="Q63" i="3"/>
  <c r="P63" i="3"/>
  <c r="O63" i="3"/>
  <c r="N63" i="3"/>
  <c r="R62" i="3"/>
  <c r="Q62" i="3"/>
  <c r="P62" i="3"/>
  <c r="O62" i="3"/>
  <c r="N62" i="3"/>
  <c r="R61" i="3"/>
  <c r="Q61" i="3"/>
  <c r="P61" i="3"/>
  <c r="O61" i="3"/>
  <c r="N61" i="3"/>
  <c r="R60" i="3"/>
  <c r="Q60" i="3"/>
  <c r="P60" i="3"/>
  <c r="O60" i="3"/>
  <c r="N60" i="3"/>
  <c r="R59" i="3"/>
  <c r="Q59" i="3"/>
  <c r="P59" i="3"/>
  <c r="O59" i="3"/>
  <c r="N59" i="3"/>
  <c r="R58" i="3"/>
  <c r="Q58" i="3"/>
  <c r="P58" i="3"/>
  <c r="O58" i="3"/>
  <c r="N58" i="3"/>
  <c r="R57" i="3"/>
  <c r="Q57" i="3"/>
  <c r="P57" i="3"/>
  <c r="O57" i="3"/>
  <c r="N57" i="3"/>
  <c r="R56" i="3"/>
  <c r="Q56" i="3"/>
  <c r="P56" i="3"/>
  <c r="O56" i="3"/>
  <c r="N56" i="3"/>
  <c r="R55" i="3"/>
  <c r="Q55" i="3"/>
  <c r="P55" i="3"/>
  <c r="O55" i="3"/>
  <c r="N55" i="3"/>
  <c r="R54" i="3"/>
  <c r="Q54" i="3"/>
  <c r="P54" i="3"/>
  <c r="O54" i="3"/>
  <c r="N54" i="3"/>
  <c r="R53" i="3"/>
  <c r="Q53" i="3"/>
  <c r="P53" i="3"/>
  <c r="O53" i="3"/>
  <c r="N53" i="3"/>
  <c r="R52" i="3"/>
  <c r="Q52" i="3"/>
  <c r="P52" i="3"/>
  <c r="O52" i="3"/>
  <c r="N52" i="3"/>
  <c r="R51" i="3"/>
  <c r="Q51" i="3"/>
  <c r="P51" i="3"/>
  <c r="O51" i="3"/>
  <c r="N51" i="3"/>
  <c r="R50" i="3"/>
  <c r="Q50" i="3"/>
  <c r="P50" i="3"/>
  <c r="O50" i="3"/>
  <c r="N50" i="3"/>
  <c r="R49" i="3"/>
  <c r="Q49" i="3"/>
  <c r="P49" i="3"/>
  <c r="O49" i="3"/>
  <c r="N49" i="3"/>
  <c r="R48" i="3"/>
  <c r="Q48" i="3"/>
  <c r="P48" i="3"/>
  <c r="O48" i="3"/>
  <c r="N48" i="3"/>
  <c r="R47" i="3"/>
  <c r="Q47" i="3"/>
  <c r="P47" i="3"/>
  <c r="O47" i="3"/>
  <c r="N47" i="3"/>
  <c r="R46" i="3"/>
  <c r="Q46" i="3"/>
  <c r="P46" i="3"/>
  <c r="O46" i="3"/>
  <c r="N46" i="3"/>
  <c r="R45" i="3"/>
  <c r="Q45" i="3"/>
  <c r="P45" i="3"/>
  <c r="O45" i="3"/>
  <c r="N45" i="3"/>
  <c r="R44" i="3"/>
  <c r="Q44" i="3"/>
  <c r="P44" i="3"/>
  <c r="O44" i="3"/>
  <c r="N44" i="3"/>
  <c r="R43" i="3"/>
  <c r="Q43" i="3"/>
  <c r="P43" i="3"/>
  <c r="O43" i="3"/>
  <c r="N43" i="3"/>
  <c r="R42" i="3"/>
  <c r="Q42" i="3"/>
  <c r="P42" i="3"/>
  <c r="O42" i="3"/>
  <c r="N42" i="3"/>
  <c r="R41" i="3"/>
  <c r="Q41" i="3"/>
  <c r="P41" i="3"/>
  <c r="O41" i="3"/>
  <c r="N41" i="3"/>
  <c r="R40" i="3"/>
  <c r="Q40" i="3"/>
  <c r="P40" i="3"/>
  <c r="O40" i="3"/>
  <c r="N40" i="3"/>
  <c r="R39" i="3"/>
  <c r="Q39" i="3"/>
  <c r="P39" i="3"/>
  <c r="O39" i="3"/>
  <c r="N39" i="3"/>
  <c r="R38" i="3"/>
  <c r="Q38" i="3"/>
  <c r="P38" i="3"/>
  <c r="O38" i="3"/>
  <c r="N38" i="3"/>
  <c r="R37" i="3"/>
  <c r="Q37" i="3"/>
  <c r="P37" i="3"/>
  <c r="O37" i="3"/>
  <c r="N37" i="3"/>
  <c r="R36" i="3"/>
  <c r="Q36" i="3"/>
  <c r="P36" i="3"/>
  <c r="O36" i="3"/>
  <c r="N36" i="3"/>
  <c r="R35" i="3"/>
  <c r="Q35" i="3"/>
  <c r="P35" i="3"/>
  <c r="O35" i="3"/>
  <c r="N35" i="3"/>
  <c r="R34" i="3"/>
  <c r="Q34" i="3"/>
  <c r="P34" i="3"/>
  <c r="O34" i="3"/>
  <c r="N34" i="3"/>
  <c r="R33" i="3"/>
  <c r="Q33" i="3"/>
  <c r="P33" i="3"/>
  <c r="O33" i="3"/>
  <c r="N33" i="3"/>
  <c r="R32" i="3"/>
  <c r="Q32" i="3"/>
  <c r="P32" i="3"/>
  <c r="O32" i="3"/>
  <c r="N32" i="3"/>
  <c r="R31" i="3"/>
  <c r="Q31" i="3"/>
  <c r="P31" i="3"/>
  <c r="O31" i="3"/>
  <c r="N31" i="3"/>
  <c r="R30" i="3"/>
  <c r="Q30" i="3"/>
  <c r="P30" i="3"/>
  <c r="O30" i="3"/>
  <c r="N30" i="3"/>
  <c r="R29" i="3"/>
  <c r="Q29" i="3"/>
  <c r="P29" i="3"/>
  <c r="O29" i="3"/>
  <c r="N29" i="3"/>
  <c r="R28" i="3"/>
  <c r="Q28" i="3"/>
  <c r="P28" i="3"/>
  <c r="O28" i="3"/>
  <c r="N28" i="3"/>
  <c r="R27" i="3"/>
  <c r="Q27" i="3"/>
  <c r="P27" i="3"/>
  <c r="O27" i="3"/>
  <c r="N27" i="3"/>
  <c r="R26" i="3"/>
  <c r="Q26" i="3"/>
  <c r="P26" i="3"/>
  <c r="O26" i="3"/>
  <c r="N26" i="3"/>
  <c r="R25" i="3"/>
  <c r="Q25" i="3"/>
  <c r="P25" i="3"/>
  <c r="O25" i="3"/>
  <c r="N25" i="3"/>
  <c r="R24" i="3"/>
  <c r="Q24" i="3"/>
  <c r="P24" i="3"/>
  <c r="O24" i="3"/>
  <c r="N24" i="3"/>
  <c r="R23" i="3"/>
  <c r="Q23" i="3"/>
  <c r="P23" i="3"/>
  <c r="O23" i="3"/>
  <c r="N23" i="3"/>
  <c r="R22" i="3"/>
  <c r="Q22" i="3"/>
  <c r="P22" i="3"/>
  <c r="O22" i="3"/>
  <c r="N22" i="3"/>
  <c r="R21" i="3"/>
  <c r="Q21" i="3"/>
  <c r="P21" i="3"/>
  <c r="O21" i="3"/>
  <c r="N21" i="3"/>
  <c r="R20" i="3"/>
  <c r="Q20" i="3"/>
  <c r="P20" i="3"/>
  <c r="O20" i="3"/>
  <c r="N20" i="3"/>
  <c r="R19" i="3"/>
  <c r="Q19" i="3"/>
  <c r="P19" i="3"/>
  <c r="O19" i="3"/>
  <c r="N19" i="3"/>
  <c r="R18" i="3"/>
  <c r="Q18" i="3"/>
  <c r="P18" i="3"/>
  <c r="O18" i="3"/>
  <c r="N18" i="3"/>
  <c r="R17" i="3"/>
  <c r="Q17" i="3"/>
  <c r="P17" i="3"/>
  <c r="O17" i="3"/>
  <c r="N17" i="3"/>
  <c r="R16" i="3"/>
  <c r="Q16" i="3"/>
  <c r="P16" i="3"/>
  <c r="O16" i="3"/>
  <c r="N16" i="3"/>
  <c r="R15" i="3"/>
  <c r="Q15" i="3"/>
  <c r="P15" i="3"/>
  <c r="O15" i="3"/>
  <c r="N15" i="3"/>
  <c r="R14" i="3"/>
  <c r="Q14" i="3"/>
  <c r="P14" i="3"/>
  <c r="O14" i="3"/>
  <c r="N14" i="3"/>
  <c r="R13" i="3"/>
  <c r="Q13" i="3"/>
  <c r="P13" i="3"/>
  <c r="O13" i="3"/>
  <c r="N13" i="3"/>
  <c r="R12" i="3"/>
  <c r="Q12" i="3"/>
  <c r="P12" i="3"/>
  <c r="O12" i="3"/>
  <c r="N12" i="3"/>
  <c r="R11" i="3"/>
  <c r="Q11" i="3"/>
  <c r="P11" i="3"/>
  <c r="O11" i="3"/>
  <c r="N11" i="3"/>
  <c r="R10" i="3"/>
  <c r="Q10" i="3"/>
  <c r="P10" i="3"/>
  <c r="O10" i="3"/>
  <c r="N10" i="3"/>
  <c r="R9" i="3"/>
  <c r="Q9" i="3"/>
  <c r="P9" i="3"/>
  <c r="O9" i="3"/>
  <c r="N9" i="3"/>
  <c r="R8" i="3"/>
  <c r="Q8" i="3"/>
  <c r="P8" i="3"/>
  <c r="O8" i="3"/>
  <c r="N8" i="3"/>
  <c r="R7" i="3"/>
  <c r="Q7" i="3"/>
  <c r="P7" i="3"/>
  <c r="O7" i="3"/>
  <c r="N7" i="3"/>
  <c r="R6" i="3"/>
  <c r="Q6" i="3"/>
  <c r="P6" i="3"/>
  <c r="O6" i="3"/>
  <c r="N6" i="3"/>
  <c r="R5" i="3"/>
  <c r="Q5" i="3"/>
  <c r="P5" i="3"/>
  <c r="O5" i="3"/>
  <c r="N5" i="3"/>
  <c r="R4" i="3"/>
  <c r="Q4" i="3"/>
  <c r="P4" i="3"/>
  <c r="O4" i="3"/>
  <c r="N4" i="3"/>
  <c r="R3" i="3"/>
  <c r="Q3" i="3"/>
  <c r="P3" i="3"/>
  <c r="O3" i="3"/>
  <c r="N3" i="3"/>
  <c r="G1" i="4" l="1"/>
  <c r="E1" i="6"/>
</calcChain>
</file>

<file path=xl/sharedStrings.xml><?xml version="1.0" encoding="utf-8"?>
<sst xmlns="http://schemas.openxmlformats.org/spreadsheetml/2006/main" count="276" uniqueCount="260">
  <si>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</si>
  <si>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</si>
  <si>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</si>
  <si>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</si>
  <si>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</si>
  <si>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</si>
  <si>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</si>
  <si>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</si>
  <si>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</si>
  <si>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</si>
  <si>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</si>
  <si>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</si>
  <si>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</si>
  <si>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</si>
  <si>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</si>
  <si>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</si>
  <si>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</si>
  <si>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</si>
  <si>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</si>
  <si>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</si>
  <si>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</si>
  <si>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</si>
  <si>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</si>
  <si>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</si>
  <si>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</si>
  <si>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</si>
  <si>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</si>
  <si>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</si>
  <si>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</si>
  <si>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</si>
  <si>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</si>
  <si>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</si>
  <si>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</si>
  <si>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</si>
  <si>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</si>
  <si>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</si>
  <si>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</si>
  <si>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</si>
  <si>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</si>
  <si>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</si>
  <si>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</si>
  <si>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PUB INTX &amp; PAULA (123.46 &amp; 123.47) NOTE: will not detect local ordinance cases</t>
  </si>
  <si>
    <t>PROSTITUTION (725.1)</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</si>
  <si>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</si>
  <si>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</si>
  <si>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</si>
  <si>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</si>
  <si>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</si>
  <si>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</si>
  <si>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</si>
  <si>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</si>
  <si>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</si>
  <si>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</si>
  <si>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</si>
  <si>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</si>
  <si>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</si>
  <si>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DISCHARGEABLE DEBT</t>
  </si>
  <si>
    <t>TIME BARRED DEBT</t>
  </si>
  <si>
    <t>TOTAL DEBT</t>
  </si>
  <si>
    <t>TIME ELAPSED</t>
  </si>
  <si>
    <t>DEF JMT?</t>
  </si>
  <si>
    <t>SUPERVISION</t>
  </si>
  <si>
    <t>PUB INTX  OR PAULA?</t>
  </si>
  <si>
    <t># of possible Subsequent Conv in 2 years? (check level)</t>
  </si>
  <si>
    <t>2 YRS?</t>
  </si>
  <si>
    <t>725.1?</t>
  </si>
  <si>
    <t>&lt; 18 YRS AT TIME OF CHG?</t>
  </si>
  <si>
    <t>DISCHARGABLE?</t>
  </si>
  <si>
    <t>DISPO</t>
  </si>
  <si>
    <t>YES</t>
  </si>
  <si>
    <t>POSSIBLY</t>
  </si>
  <si>
    <t>PROBABLY NOT</t>
  </si>
  <si>
    <t>NO</t>
  </si>
  <si>
    <t>COUNTY</t>
  </si>
  <si>
    <t>License &amp; registration, Registration only, neither, or no debt</t>
  </si>
  <si>
    <t>Amount owed</t>
  </si>
  <si>
    <t>WHICH EXEMPTIONS APPLY?</t>
  </si>
  <si>
    <t>ALL</t>
  </si>
  <si>
    <t>FEDERAL ONLY</t>
  </si>
  <si>
    <t>TIME BARRED?</t>
  </si>
  <si>
    <t>STRANGE-BARRED</t>
  </si>
  <si>
    <t>PRIOR TO 1989</t>
  </si>
  <si>
    <t>20 YEARS AGO</t>
  </si>
  <si>
    <t>NO ARGUMENT</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</si>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</sst>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9"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s>
  <fills count="32">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98">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2" fillId="0" borderId="6" xfId="0" applyFont="1" applyBorder="1" applyAlignment="1">
      <alignment horizontal="center" vertical="center"/>
    </xf>
    <xf numFmtId="0" fontId="5" fillId="2" borderId="5"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xf>
    <xf numFmtId="0" fontId="6" fillId="2" borderId="0" xfId="0" applyFont="1" applyFill="1" applyAlignment="1">
      <alignment horizontal="center"/>
    </xf>
    <xf numFmtId="0" fontId="5" fillId="4" borderId="3" xfId="0" applyFont="1" applyFill="1" applyBorder="1" applyAlignment="1">
      <alignment horizontal="right" vertical="center"/>
    </xf>
    <xf numFmtId="0" fontId="4" fillId="0" borderId="2" xfId="0" applyFont="1" applyBorder="1"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wrapText="1"/>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1" fillId="6" borderId="8" xfId="0" applyFont="1" applyFill="1" applyBorder="1" applyAlignment="1">
      <alignment horizontal="center" vertical="center"/>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2" borderId="0" xfId="0" applyFont="1" applyFill="1" applyAlignment="1">
      <alignment horizontal="center" vertical="center"/>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wrapText="1"/>
    </xf>
    <xf numFmtId="0" fontId="0" fillId="19" borderId="1" xfId="0" applyFill="1" applyBorder="1" applyAlignment="1">
      <alignment vertical="center"/>
    </xf>
    <xf numFmtId="0" fontId="0" fillId="20" borderId="1" xfId="0" applyFill="1" applyBorder="1" applyAlignment="1">
      <alignment vertical="center" wrapText="1"/>
    </xf>
    <xf numFmtId="0" fontId="2" fillId="20" borderId="1" xfId="0" applyFont="1" applyFill="1" applyBorder="1" applyAlignment="1">
      <alignment horizont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164" fontId="3" fillId="23" borderId="1" xfId="0" applyNumberFormat="1" applyFont="1" applyFill="1" applyBorder="1"/>
    <xf numFmtId="164" fontId="3" fillId="24" borderId="1" xfId="0" applyNumberFormat="1" applyFont="1" applyFill="1" applyBorder="1"/>
    <xf numFmtId="164" fontId="3" fillId="25" borderId="1" xfId="0" applyNumberFormat="1" applyFont="1" applyFill="1" applyBorder="1"/>
    <xf numFmtId="164" fontId="3" fillId="4" borderId="1" xfId="0" applyNumberFormat="1" applyFont="1" applyFill="1" applyBorder="1"/>
    <xf numFmtId="0" fontId="0" fillId="0" borderId="1" xfId="0" applyBorder="1" applyAlignment="1">
      <alignment horizontal="center" vertical="center"/>
    </xf>
    <xf numFmtId="0" fontId="0" fillId="0" borderId="1" xfId="0"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25" borderId="1" xfId="0" applyFont="1" applyFill="1" applyBorder="1" applyAlignment="1">
      <alignment horizontal="center"/>
    </xf>
    <xf numFmtId="0" fontId="1" fillId="4" borderId="1" xfId="0" applyFont="1" applyFill="1" applyBorder="1" applyAlignment="1">
      <alignment horizontal="center"/>
    </xf>
    <xf numFmtId="164" fontId="0" fillId="26" borderId="0" xfId="0" applyNumberFormat="1" applyFill="1"/>
    <xf numFmtId="164" fontId="0" fillId="27" borderId="0" xfId="0" applyNumberFormat="1" applyFill="1"/>
    <xf numFmtId="164" fontId="0" fillId="28" borderId="0" xfId="0" applyNumberFormat="1" applyFill="1"/>
    <xf numFmtId="164" fontId="0" fillId="5" borderId="0" xfId="0" applyNumberFormat="1" applyFill="1"/>
    <xf numFmtId="0" fontId="5" fillId="29" borderId="12" xfId="0" applyFont="1" applyFill="1" applyBorder="1" applyAlignment="1">
      <alignment vertical="center"/>
    </xf>
    <xf numFmtId="0" fontId="5" fillId="29" borderId="5" xfId="0" applyFont="1" applyFill="1" applyBorder="1" applyAlignment="1">
      <alignment vertical="center"/>
    </xf>
    <xf numFmtId="0" fontId="5" fillId="29" borderId="5" xfId="0" applyFont="1" applyFill="1" applyBorder="1" applyAlignment="1">
      <alignment vertical="center" wrapText="1"/>
    </xf>
    <xf numFmtId="165" fontId="8" fillId="21" borderId="0" xfId="1" applyFill="1"/>
    <xf numFmtId="164" fontId="3" fillId="30" borderId="1" xfId="0" applyNumberFormat="1" applyFont="1" applyFill="1" applyBorder="1"/>
    <xf numFmtId="0" fontId="1" fillId="30" borderId="1" xfId="0" applyFont="1" applyFill="1" applyBorder="1" applyAlignment="1">
      <alignment horizontal="center"/>
    </xf>
    <xf numFmtId="164" fontId="0" fillId="31" borderId="0" xfId="0" applyNumberFormat="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xf numFmtId="0" fontId="5" fillId="2" borderId="0" xfId="0" applyFont="1" applyFill="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cellXfs>
  <cellStyles count="2">
    <cellStyle name="Currency" xfId="1" builtinId="4"/>
    <cellStyle name="Normal" xfId="0" builtinId="0"/>
  </cellStyles>
  <dxfs count="100">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b/>
        <color rgb="FFFFFFFF"/>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b/>
        <color rgb="FFFFFFFF"/>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14" t="s">
        <v>0</v>
      </c>
      <c r="B1" s="14"/>
      <c r="C1" s="14"/>
      <c r="D1" s="15" t="s">
        <v>1</v>
      </c>
      <c r="F1" s="16"/>
      <c r="G1" s="16"/>
      <c r="H1" s="13" t="s">
        <v>2</v>
      </c>
      <c r="I1" s="13"/>
      <c r="J1" s="13"/>
      <c r="K1" s="13"/>
      <c r="L1" s="13"/>
      <c r="M1" s="13"/>
    </row>
    <row r="3" spans="1:13" x14ac:dyDescent="0.25">
      <c r="A3" s="17" t="s">
        <v>3</v>
      </c>
      <c r="B3" s="18"/>
    </row>
    <row r="4" spans="1:13" x14ac:dyDescent="0.25">
      <c r="A4" s="17" t="s">
        <v>4</v>
      </c>
    </row>
    <row r="5" spans="1:13" x14ac:dyDescent="0.25">
      <c r="A5" s="17" t="s">
        <v>5</v>
      </c>
    </row>
    <row r="6" spans="1:13" x14ac:dyDescent="0.25">
      <c r="A6" s="17" t="s">
        <v>6</v>
      </c>
      <c r="B6" s="18"/>
    </row>
    <row r="7" spans="1:13" x14ac:dyDescent="0.25">
      <c r="A7" s="17" t="s">
        <v>7</v>
      </c>
    </row>
    <row r="8" spans="1:13" x14ac:dyDescent="0.25">
      <c r="A8" s="17" t="s">
        <v>8</v>
      </c>
      <c r="B8" s="18"/>
    </row>
    <row r="10" spans="1:13" ht="15" customHeight="1" x14ac:dyDescent="0.25"/>
    <row r="11" spans="1:13" ht="14.25" customHeight="1" x14ac:dyDescent="0.25">
      <c r="D11" s="12" t="s">
        <v>9</v>
      </c>
      <c r="E11" s="12"/>
      <c r="F11" s="12"/>
      <c r="G11" s="12"/>
      <c r="H11" s="12"/>
      <c r="I11" s="12"/>
      <c r="J11" s="12"/>
      <c r="K11" s="12"/>
      <c r="L11" s="12"/>
    </row>
    <row r="12" spans="1:13" x14ac:dyDescent="0.25">
      <c r="D12" s="12"/>
      <c r="E12" s="12"/>
      <c r="F12" s="12"/>
      <c r="G12" s="12"/>
      <c r="H12" s="12"/>
      <c r="I12" s="12"/>
      <c r="J12" s="12"/>
      <c r="K12" s="12"/>
      <c r="L12" s="12"/>
    </row>
    <row r="13" spans="1:13" x14ac:dyDescent="0.25">
      <c r="D13" s="12"/>
      <c r="E13" s="12"/>
      <c r="F13" s="12"/>
      <c r="G13" s="12"/>
      <c r="H13" s="12"/>
      <c r="I13" s="12"/>
      <c r="J13" s="12"/>
      <c r="K13" s="12"/>
      <c r="L13" s="12"/>
    </row>
    <row r="14" spans="1:13" x14ac:dyDescent="0.25">
      <c r="D14" s="12"/>
      <c r="E14" s="12"/>
      <c r="F14" s="12"/>
      <c r="G14" s="12"/>
      <c r="H14" s="12"/>
      <c r="I14" s="12"/>
      <c r="J14" s="12"/>
      <c r="K14" s="12"/>
      <c r="L14" s="12"/>
    </row>
    <row r="15" spans="1:13" x14ac:dyDescent="0.25">
      <c r="D15" s="12"/>
      <c r="E15" s="12"/>
      <c r="F15" s="12"/>
      <c r="G15" s="12"/>
      <c r="H15" s="12"/>
      <c r="I15" s="12"/>
      <c r="J15" s="12"/>
      <c r="K15" s="12"/>
      <c r="L15" s="12"/>
    </row>
    <row r="16" spans="1:13" x14ac:dyDescent="0.25">
      <c r="D16" s="12"/>
      <c r="E16" s="12"/>
      <c r="F16" s="12"/>
      <c r="G16" s="12"/>
      <c r="H16" s="12"/>
      <c r="I16" s="12"/>
      <c r="J16" s="12"/>
      <c r="K16" s="12"/>
      <c r="L16" s="12"/>
    </row>
    <row r="17" spans="4:12" ht="20.25" customHeight="1" x14ac:dyDescent="0.25">
      <c r="D17" s="12"/>
      <c r="E17" s="12"/>
      <c r="F17" s="12"/>
      <c r="G17" s="12"/>
      <c r="H17" s="12"/>
      <c r="I17" s="12"/>
      <c r="J17" s="12"/>
      <c r="K17" s="12"/>
      <c r="L17" s="12"/>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topLeftCell="G1" zoomScaleNormal="100" workbookViewId="0">
      <pane ySplit="1" topLeftCell="A2" activePane="bottomLeft" state="frozen"/>
      <selection activeCell="R1" sqref="R1"/>
      <selection pane="bottomLeft" activeCell="U2" sqref="U2"/>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11" t="s">
        <v>10</v>
      </c>
      <c r="B1" s="11"/>
      <c r="C1" s="11"/>
      <c r="D1" s="11"/>
      <c r="E1" s="11"/>
      <c r="F1" s="11"/>
      <c r="G1" s="11"/>
      <c r="H1" s="11"/>
      <c r="I1" s="11"/>
      <c r="J1" s="19">
        <f t="shared" ref="J1:T1" si="0">SUM(J4:J300)</f>
        <v>0</v>
      </c>
      <c r="K1" s="19">
        <f t="shared" si="0"/>
        <v>0</v>
      </c>
      <c r="L1" s="19">
        <f t="shared" si="0"/>
        <v>0</v>
      </c>
      <c r="M1" s="19">
        <f t="shared" si="0"/>
        <v>0</v>
      </c>
      <c r="N1" s="19">
        <f t="shared" si="0"/>
        <v>0</v>
      </c>
      <c r="O1" s="19">
        <f t="shared" si="0"/>
        <v>0</v>
      </c>
      <c r="P1" s="19">
        <f t="shared" si="0"/>
        <v>0</v>
      </c>
      <c r="Q1" s="19">
        <f t="shared" si="0"/>
        <v>0</v>
      </c>
      <c r="R1" s="19">
        <f t="shared" si="0"/>
        <v>0</v>
      </c>
      <c r="S1" s="19">
        <f t="shared" si="0"/>
        <v>0</v>
      </c>
      <c r="T1" s="19">
        <f t="shared" si="0"/>
        <v>0</v>
      </c>
      <c r="U1" s="19">
        <f>SUM(U4:U300)</f>
        <v>0</v>
      </c>
      <c r="V1" t="s">
        <v>11</v>
      </c>
      <c r="W1" s="10" t="s">
        <v>12</v>
      </c>
      <c r="X1" s="10"/>
      <c r="Y1" s="10"/>
      <c r="Z1" s="10"/>
      <c r="AA1" s="10"/>
      <c r="AB1" s="10"/>
      <c r="AC1" s="10"/>
      <c r="AD1" s="10"/>
      <c r="AE1" s="10"/>
      <c r="AF1" s="10"/>
      <c r="AG1" s="10"/>
      <c r="AH1" s="10"/>
    </row>
    <row r="2" spans="1:35" x14ac:dyDescent="0.25">
      <c r="A2" s="9" t="s">
        <v>13</v>
      </c>
      <c r="B2" s="9" t="s">
        <v>14</v>
      </c>
      <c r="C2" s="8" t="s">
        <v>15</v>
      </c>
      <c r="D2" s="7" t="s">
        <v>16</v>
      </c>
      <c r="E2" s="7" t="s">
        <v>17</v>
      </c>
      <c r="F2" s="7" t="s">
        <v>18</v>
      </c>
      <c r="G2" s="7" t="s">
        <v>19</v>
      </c>
      <c r="H2" s="6" t="s">
        <v>20</v>
      </c>
      <c r="I2" s="6" t="s">
        <v>21</v>
      </c>
      <c r="J2" s="5" t="s">
        <v>22</v>
      </c>
      <c r="K2" s="4" t="s">
        <v>23</v>
      </c>
      <c r="L2" s="3" t="s">
        <v>24</v>
      </c>
      <c r="M2" s="3" t="s">
        <v>25</v>
      </c>
      <c r="N2" s="3" t="s">
        <v>26</v>
      </c>
      <c r="O2" s="3" t="s">
        <v>27</v>
      </c>
      <c r="P2" s="3" t="s">
        <v>28</v>
      </c>
      <c r="Q2" s="3" t="s">
        <v>29</v>
      </c>
      <c r="R2" s="3" t="s">
        <v>30</v>
      </c>
      <c r="S2" s="3" t="s">
        <v>31</v>
      </c>
      <c r="T2" s="2" t="s">
        <v>32</v>
      </c>
      <c r="U2" s="20"/>
      <c r="V2" s="21"/>
    </row>
    <row r="3" spans="1:35" ht="30" x14ac:dyDescent="0.25">
      <c r="A3" s="9"/>
      <c r="B3" s="9"/>
      <c r="C3" s="8"/>
      <c r="D3" s="7"/>
      <c r="E3" s="7"/>
      <c r="F3" s="7"/>
      <c r="G3" s="7"/>
      <c r="H3" s="6"/>
      <c r="I3" s="6"/>
      <c r="J3" s="5"/>
      <c r="K3" s="4"/>
      <c r="L3" s="3"/>
      <c r="M3" s="3"/>
      <c r="N3" s="3"/>
      <c r="O3" s="3"/>
      <c r="P3" s="3"/>
      <c r="Q3" s="3"/>
      <c r="R3" s="3"/>
      <c r="S3" s="3"/>
      <c r="T3" s="2"/>
      <c r="U3" s="22" t="s">
        <v>33</v>
      </c>
      <c r="V3" s="23"/>
    </row>
    <row r="4" spans="1:35" x14ac:dyDescent="0.25">
      <c r="C4" s="24"/>
      <c r="D4" s="24"/>
      <c r="E4" s="25"/>
      <c r="F4" s="26"/>
      <c r="J4" s="27"/>
      <c r="K4" s="27"/>
      <c r="L4" s="27"/>
      <c r="M4" s="27"/>
      <c r="N4" s="27"/>
      <c r="O4" s="27"/>
      <c r="P4" s="27"/>
      <c r="Q4" s="27"/>
      <c r="R4" s="27"/>
      <c r="S4" s="27"/>
      <c r="T4" s="28">
        <f t="shared" ref="T4:T67" si="1">SUM(J4:S4)</f>
        <v>0</v>
      </c>
      <c r="U4" s="28"/>
      <c r="W4" s="29" t="str">
        <f t="array" ref="W4">MID(";"&amp;'CASE DATA'!$F4&amp;";",SMALL(IF(ISERROR(SEARCH(MID(";"&amp;'CASE DATA'!$F4&amp;";",ROW($1:$99),1),";")),"",ROW($1:$99)+1),COLUMN(A4)),SMALL(IF(ISERROR(SEARCH(MID(";"&amp;'CASE DATA'!$F4&amp;";",ROW($1:$99),1),";")),"",ROW($1:$99)),COLUMN(A3)+1)-SMALL(IF(ISERROR(SEARCH(MID(";"&amp;'CASE DATA'!$F4&amp;";",ROW($1:$99),1),";")),"",ROW($1:$99)),COLUMN(A3))-1)</f>
        <v/>
      </c>
      <c r="X4" s="29" t="str">
        <f t="array" ref="X4">MID(";"&amp;'CASE DATA'!$F4&amp;";",SMALL(IF(ISERROR(SEARCH(MID(";"&amp;'CASE DATA'!$F4&amp;";",ROW($1:$99),1),";")),"",ROW($1:$99)+1),COLUMN(B4)),SMALL(IF(ISERROR(SEARCH(MID(";"&amp;'CASE DATA'!$F4&amp;";",ROW($1:$99),1),";")),"",ROW($1:$99)),COLUMN(B3)+1)-SMALL(IF(ISERROR(SEARCH(MID(";"&amp;'CASE DATA'!$F4&amp;";",ROW($1:$99),1),";")),"",ROW($1:$99)),COLUMN(B3))-1)</f>
        <v/>
      </c>
      <c r="Y4" s="29" t="str">
        <f t="array" ref="Y4">MID(";"&amp;'CASE DATA'!$F4&amp;";",SMALL(IF(ISERROR(SEARCH(MID(";"&amp;'CASE DATA'!$F4&amp;";",ROW($1:$99),1),";")),"",ROW($1:$99)+1),COLUMN(C4)),SMALL(IF(ISERROR(SEARCH(MID(";"&amp;'CASE DATA'!$F4&amp;";",ROW($1:$99),1),";")),"",ROW($1:$99)),COLUMN(C3)+1)-SMALL(IF(ISERROR(SEARCH(MID(";"&amp;'CASE DATA'!$F4&amp;";",ROW($1:$99),1),";")),"",ROW($1:$99)),COLUMN(C3))-1)</f>
        <v/>
      </c>
      <c r="Z4" s="29" t="str">
        <f t="array" ref="Z4">MID(";"&amp;'CASE DATA'!$F4&amp;";",SMALL(IF(ISERROR(SEARCH(MID(";"&amp;'CASE DATA'!$F4&amp;";",ROW($1:$99),1),";")),"",ROW($1:$99)+1),COLUMN(D4)),SMALL(IF(ISERROR(SEARCH(MID(";"&amp;'CASE DATA'!$F4&amp;";",ROW($1:$99),1),";")),"",ROW($1:$99)),COLUMN(D3)+1)-SMALL(IF(ISERROR(SEARCH(MID(";"&amp;'CASE DATA'!$F4&amp;";",ROW($1:$99),1),";")),"",ROW($1:$99)),COLUMN(D3))-1)</f>
        <v/>
      </c>
      <c r="AA4" s="29" t="str">
        <f t="array" ref="AA4">MID(";"&amp;'CASE DATA'!$F4&amp;";",SMALL(IF(ISERROR(SEARCH(MID(";"&amp;'CASE DATA'!$F4&amp;";",ROW($1:$99),1),";")),"",ROW($1:$99)+1),COLUMN(E4)),SMALL(IF(ISERROR(SEARCH(MID(";"&amp;'CASE DATA'!$F4&amp;";",ROW($1:$99),1),";")),"",ROW($1:$99)),COLUMN(E3)+1)-SMALL(IF(ISERROR(SEARCH(MID(";"&amp;'CASE DATA'!$F4&amp;";",ROW($1:$99),1),";")),"",ROW($1:$99)),COLUMN(E3))-1)</f>
        <v/>
      </c>
      <c r="AB4" s="29" t="str">
        <f t="array" ref="AB4">MID(";"&amp;'CASE DATA'!$F4&amp;";",SMALL(IF(ISERROR(SEARCH(MID(";"&amp;'CASE DATA'!$F4&amp;";",ROW($1:$99),1),";")),"",ROW($1:$99)+1),COLUMN(F4)),SMALL(IF(ISERROR(SEARCH(MID(";"&amp;'CASE DATA'!$F4&amp;";",ROW($1:$99),1),";")),"",ROW($1:$99)),COLUMN(F3)+1)-SMALL(IF(ISERROR(SEARCH(MID(";"&amp;'CASE DATA'!$F4&amp;";",ROW($1:$99),1),";")),"",ROW($1:$99)),COLUMN(F3))-1)</f>
        <v/>
      </c>
      <c r="AC4" s="29" t="str">
        <f t="array" ref="AC4">MID(";"&amp;'CASE DATA'!$F4&amp;";",SMALL(IF(ISERROR(SEARCH(MID(";"&amp;'CASE DATA'!$F4&amp;";",ROW($1:$99),1),";")),"",ROW($1:$99)+1),COLUMN(G4)),SMALL(IF(ISERROR(SEARCH(MID(";"&amp;'CASE DATA'!$F4&amp;";",ROW($1:$99),1),";")),"",ROW($1:$99)),COLUMN(G3)+1)-SMALL(IF(ISERROR(SEARCH(MID(";"&amp;'CASE DATA'!$F4&amp;";",ROW($1:$99),1),";")),"",ROW($1:$99)),COLUMN(G3))-1)</f>
        <v/>
      </c>
      <c r="AD4" s="29" t="str">
        <f t="array" ref="AD4">MID(";"&amp;'CASE DATA'!$F4&amp;";",SMALL(IF(ISERROR(SEARCH(MID(";"&amp;'CASE DATA'!$F4&amp;";",ROW($1:$99),1),";")),"",ROW($1:$99)+1),COLUMN(H4)),SMALL(IF(ISERROR(SEARCH(MID(";"&amp;'CASE DATA'!$F4&amp;";",ROW($1:$99),1),";")),"",ROW($1:$99)),COLUMN(H3)+1)-SMALL(IF(ISERROR(SEARCH(MID(";"&amp;'CASE DATA'!$F4&amp;";",ROW($1:$99),1),";")),"",ROW($1:$99)),COLUMN(H3))-1)</f>
        <v/>
      </c>
      <c r="AE4" s="29" t="str">
        <f t="array" ref="AE4">MID(";"&amp;'CASE DATA'!$F4&amp;";",SMALL(IF(ISERROR(SEARCH(MID(";"&amp;'CASE DATA'!$F4&amp;";",ROW($1:$99),1),";")),"",ROW($1:$99)+1),COLUMN(I4)),SMALL(IF(ISERROR(SEARCH(MID(";"&amp;'CASE DATA'!$F4&amp;";",ROW($1:$99),1),";")),"",ROW($1:$99)),COLUMN(I3)+1)-SMALL(IF(ISERROR(SEARCH(MID(";"&amp;'CASE DATA'!$F4&amp;";",ROW($1:$99),1),";")),"",ROW($1:$99)),COLUMN(I3))-1)</f>
        <v/>
      </c>
      <c r="AF4" s="29" t="str">
        <f t="array" ref="AF4">MID(";"&amp;'CASE DATA'!$F4&amp;";",SMALL(IF(ISERROR(SEARCH(MID(";"&amp;'CASE DATA'!$F4&amp;";",ROW($1:$99),1),";")),"",ROW($1:$99)+1),COLUMN(J4)),SMALL(IF(ISERROR(SEARCH(MID(";"&amp;'CASE DATA'!$F4&amp;";",ROW($1:$99),1),";")),"",ROW($1:$99)),COLUMN(J3)+1)-SMALL(IF(ISERROR(SEARCH(MID(";"&amp;'CASE DATA'!$F4&amp;";",ROW($1:$99),1),";")),"",ROW($1:$99)),COLUMN(J3))-1)</f>
        <v/>
      </c>
      <c r="AG4" s="29" t="str">
        <f t="array" ref="AG4">MID(";"&amp;'CASE DATA'!$F4&amp;";",SMALL(IF(ISERROR(SEARCH(MID(";"&amp;'CASE DATA'!$F4&amp;";",ROW($1:$99),1),";")),"",ROW($1:$99)+1),COLUMN(K4)),SMALL(IF(ISERROR(SEARCH(MID(";"&amp;'CASE DATA'!$F4&amp;";",ROW($1:$99),1),";")),"",ROW($1:$99)),COLUMN(K3)+1)-SMALL(IF(ISERROR(SEARCH(MID(";"&amp;'CASE DATA'!$F4&amp;";",ROW($1:$99),1),";")),"",ROW($1:$99)),COLUMN(K3))-1)</f>
        <v/>
      </c>
      <c r="AH4" s="29" t="str">
        <f t="array" ref="AH4">MID(";"&amp;'CASE DATA'!$F4&amp;";",SMALL(IF(ISERROR(SEARCH(MID(";"&amp;'CASE DATA'!$F4&amp;";",ROW($1:$99),1),";")),"",ROW($1:$99)+1),COLUMN(L4)),SMALL(IF(ISERROR(SEARCH(MID(";"&amp;'CASE DATA'!$F4&amp;";",ROW($1:$99),1),";")),"",ROW($1:$99)),COLUMN(L3)+1)-SMALL(IF(ISERROR(SEARCH(MID(";"&amp;'CASE DATA'!$F4&amp;";",ROW($1:$99),1),";")),"",ROW($1:$99)),COLUMN(L3))-1)</f>
        <v/>
      </c>
    </row>
    <row r="5" spans="1:35" x14ac:dyDescent="0.25">
      <c r="C5" s="24"/>
      <c r="D5" s="24"/>
      <c r="E5" s="25"/>
      <c r="F5" s="26"/>
      <c r="J5" s="27"/>
      <c r="K5" s="27"/>
      <c r="L5" s="27"/>
      <c r="M5" s="27"/>
      <c r="N5" s="27"/>
      <c r="O5" s="27"/>
      <c r="P5" s="27"/>
      <c r="Q5" s="27"/>
      <c r="R5" s="27"/>
      <c r="S5" s="27"/>
      <c r="T5" s="28">
        <f t="shared" si="1"/>
        <v>0</v>
      </c>
      <c r="U5" s="28"/>
      <c r="W5" s="29" t="str">
        <f t="array" ref="W5">MID(";"&amp;'CASE DATA'!$F5&amp;";",SMALL(IF(ISERROR(SEARCH(MID(";"&amp;'CASE DATA'!$F5&amp;";",ROW($1:$99),1),";")),"",ROW($1:$99)+1),COLUMN(A5)),SMALL(IF(ISERROR(SEARCH(MID(";"&amp;'CASE DATA'!$F5&amp;";",ROW($1:$99),1),";")),"",ROW($1:$99)),COLUMN(A4)+1)-SMALL(IF(ISERROR(SEARCH(MID(";"&amp;'CASE DATA'!$F5&amp;";",ROW($1:$99),1),";")),"",ROW($1:$99)),COLUMN(A4))-1)</f>
        <v/>
      </c>
      <c r="X5" s="29" t="str">
        <f t="array" ref="X5">MID(";"&amp;'CASE DATA'!$F5&amp;";",SMALL(IF(ISERROR(SEARCH(MID(";"&amp;'CASE DATA'!$F5&amp;";",ROW($1:$99),1),";")),"",ROW($1:$99)+1),COLUMN(B5)),SMALL(IF(ISERROR(SEARCH(MID(";"&amp;'CASE DATA'!$F5&amp;";",ROW($1:$99),1),";")),"",ROW($1:$99)),COLUMN(B4)+1)-SMALL(IF(ISERROR(SEARCH(MID(";"&amp;'CASE DATA'!$F5&amp;";",ROW($1:$99),1),";")),"",ROW($1:$99)),COLUMN(B4))-1)</f>
        <v/>
      </c>
      <c r="Y5" s="29" t="str">
        <f t="array" ref="Y5">MID(";"&amp;'CASE DATA'!$F5&amp;";",SMALL(IF(ISERROR(SEARCH(MID(";"&amp;'CASE DATA'!$F5&amp;";",ROW($1:$99),1),";")),"",ROW($1:$99)+1),COLUMN(D5)),SMALL(IF(ISERROR(SEARCH(MID(";"&amp;'CASE DATA'!$F5&amp;";",ROW($1:$99),1),";")),"",ROW($1:$99)),COLUMN(D4)+1)-SMALL(IF(ISERROR(SEARCH(MID(";"&amp;'CASE DATA'!$F5&amp;";",ROW($1:$99),1),";")),"",ROW($1:$99)),COLUMN(D4))-1)</f>
        <v/>
      </c>
      <c r="Z5" s="29" t="str">
        <f t="array" ref="Z5">MID(";"&amp;'CASE DATA'!$F5&amp;";",SMALL(IF(ISERROR(SEARCH(MID(";"&amp;'CASE DATA'!$F5&amp;";",ROW($1:$99),1),";")),"",ROW($1:$99)+1),COLUMN(E5)),SMALL(IF(ISERROR(SEARCH(MID(";"&amp;'CASE DATA'!$F5&amp;";",ROW($1:$99),1),";")),"",ROW($1:$99)),COLUMN(E4)+1)-SMALL(IF(ISERROR(SEARCH(MID(";"&amp;'CASE DATA'!$F5&amp;";",ROW($1:$99),1),";")),"",ROW($1:$99)),COLUMN(E4))-1)</f>
        <v/>
      </c>
      <c r="AA5" s="29" t="str">
        <f t="array" ref="AA5">MID(";"&amp;'CASE DATA'!$F5&amp;";",SMALL(IF(ISERROR(SEARCH(MID(";"&amp;'CASE DATA'!$F5&amp;";",ROW($1:$99),1),";")),"",ROW($1:$99)+1),COLUMN(F5)),SMALL(IF(ISERROR(SEARCH(MID(";"&amp;'CASE DATA'!$F5&amp;";",ROW($1:$99),1),";")),"",ROW($1:$99)),COLUMN(F4)+1)-SMALL(IF(ISERROR(SEARCH(MID(";"&amp;'CASE DATA'!$F5&amp;";",ROW($1:$99),1),";")),"",ROW($1:$99)),COLUMN(F4))-1)</f>
        <v/>
      </c>
      <c r="AB5" s="29" t="str">
        <f t="array" ref="AB5">MID(";"&amp;'CASE DATA'!$F5&amp;";",SMALL(IF(ISERROR(SEARCH(MID(";"&amp;'CASE DATA'!$F5&amp;";",ROW($1:$99),1),";")),"",ROW($1:$99)+1),COLUMN(G5)),SMALL(IF(ISERROR(SEARCH(MID(";"&amp;'CASE DATA'!$F5&amp;";",ROW($1:$99),1),";")),"",ROW($1:$99)),COLUMN(G4)+1)-SMALL(IF(ISERROR(SEARCH(MID(";"&amp;'CASE DATA'!$F5&amp;";",ROW($1:$99),1),";")),"",ROW($1:$99)),COLUMN(G4))-1)</f>
        <v/>
      </c>
      <c r="AC5" s="29" t="str">
        <f t="array" ref="AC5">MID(";"&amp;'CASE DATA'!$F5&amp;";",SMALL(IF(ISERROR(SEARCH(MID(";"&amp;'CASE DATA'!$F5&amp;";",ROW($1:$99),1),";")),"",ROW($1:$99)+1),COLUMN(H5)),SMALL(IF(ISERROR(SEARCH(MID(";"&amp;'CASE DATA'!$F5&amp;";",ROW($1:$99),1),";")),"",ROW($1:$99)),COLUMN(H4)+1)-SMALL(IF(ISERROR(SEARCH(MID(";"&amp;'CASE DATA'!$F5&amp;";",ROW($1:$99),1),";")),"",ROW($1:$99)),COLUMN(H4))-1)</f>
        <v/>
      </c>
      <c r="AD5" s="29" t="str">
        <f t="array" ref="AD5">MID(";"&amp;'CASE DATA'!$F5&amp;";",SMALL(IF(ISERROR(SEARCH(MID(";"&amp;'CASE DATA'!$F5&amp;";",ROW($1:$99),1),";")),"",ROW($1:$99)+1),COLUMN(I5)),SMALL(IF(ISERROR(SEARCH(MID(";"&amp;'CASE DATA'!$F5&amp;";",ROW($1:$99),1),";")),"",ROW($1:$99)),COLUMN(I4)+1)-SMALL(IF(ISERROR(SEARCH(MID(";"&amp;'CASE DATA'!$F5&amp;";",ROW($1:$99),1),";")),"",ROW($1:$99)),COLUMN(I4))-1)</f>
        <v/>
      </c>
      <c r="AE5" s="29" t="str">
        <f t="array" ref="AE5">MID(";"&amp;'CASE DATA'!$F5&amp;";",SMALL(IF(ISERROR(SEARCH(MID(";"&amp;'CASE DATA'!$F5&amp;";",ROW($1:$99),1),";")),"",ROW($1:$99)+1),COLUMN(J5)),SMALL(IF(ISERROR(SEARCH(MID(";"&amp;'CASE DATA'!$F5&amp;";",ROW($1:$99),1),";")),"",ROW($1:$99)),COLUMN(J4)+1)-SMALL(IF(ISERROR(SEARCH(MID(";"&amp;'CASE DATA'!$F5&amp;";",ROW($1:$99),1),";")),"",ROW($1:$99)),COLUMN(J4))-1)</f>
        <v/>
      </c>
      <c r="AF5" s="29" t="str">
        <f t="array" ref="AF5">MID(";"&amp;'CASE DATA'!$F5&amp;";",SMALL(IF(ISERROR(SEARCH(MID(";"&amp;'CASE DATA'!$F5&amp;";",ROW($1:$99),1),";")),"",ROW($1:$99)+1),COLUMN(K5)),SMALL(IF(ISERROR(SEARCH(MID(";"&amp;'CASE DATA'!$F5&amp;";",ROW($1:$99),1),";")),"",ROW($1:$99)),COLUMN(K3)+1)-SMALL(IF(ISERROR(SEARCH(MID(";"&amp;'CASE DATA'!$F5&amp;";",ROW($1:$99),1),";")),"",ROW($1:$99)),COLUMN(K3))-1)</f>
        <v/>
      </c>
      <c r="AG5" s="29" t="str">
        <f t="array" ref="AG5">MID(";"&amp;'CASE DATA'!$F5&amp;";",SMALL(IF(ISERROR(SEARCH(MID(";"&amp;'CASE DATA'!$F5&amp;";",ROW($1:$99),1),";")),"",ROW($1:$99)+1),COLUMN(L5)),SMALL(IF(ISERROR(SEARCH(MID(";"&amp;'CASE DATA'!$F5&amp;";",ROW($1:$99),1),";")),"",ROW($1:$99)),COLUMN(L3)+1)-SMALL(IF(ISERROR(SEARCH(MID(";"&amp;'CASE DATA'!$F5&amp;";",ROW($1:$99),1),";")),"",ROW($1:$99)),COLUMN(L3))-1)</f>
        <v/>
      </c>
      <c r="AH5" s="29" t="str">
        <f t="array" ref="AH5">MID(";"&amp;'CASE DATA'!$F5&amp;";",SMALL(IF(ISERROR(SEARCH(MID(";"&amp;'CASE DATA'!$F5&amp;";",ROW($1:$99),1),";")),"",ROW($1:$99)+1),COLUMN(M5)),SMALL(IF(ISERROR(SEARCH(MID(";"&amp;'CASE DATA'!$F5&amp;";",ROW($1:$99),1),";")),"",ROW($1:$99)),COLUMN(M3)+1)-SMALL(IF(ISERROR(SEARCH(MID(";"&amp;'CASE DATA'!$F5&amp;";",ROW($1:$99),1),";")),"",ROW($1:$99)),COLUMN(M3))-1)</f>
        <v/>
      </c>
    </row>
    <row r="6" spans="1:35" x14ac:dyDescent="0.25">
      <c r="C6" s="24"/>
      <c r="D6" s="24"/>
      <c r="E6" s="25"/>
      <c r="F6" s="26"/>
      <c r="J6" s="27"/>
      <c r="K6" s="27"/>
      <c r="L6" s="27"/>
      <c r="M6" s="27"/>
      <c r="N6" s="27"/>
      <c r="O6" s="27"/>
      <c r="P6" s="27"/>
      <c r="Q6" s="27"/>
      <c r="R6" s="27"/>
      <c r="S6" s="27"/>
      <c r="T6" s="28">
        <f t="shared" si="1"/>
        <v>0</v>
      </c>
      <c r="U6" s="28"/>
      <c r="W6" s="29" t="str">
        <f t="array" ref="W6">MID(";"&amp;'CASE DATA'!$F6&amp;";",SMALL(IF(ISERROR(SEARCH(MID(";"&amp;'CASE DATA'!$F6&amp;";",ROW($1:$99),1),";")),"",ROW($1:$99)+1),COLUMN(A6)),SMALL(IF(ISERROR(SEARCH(MID(";"&amp;'CASE DATA'!$F6&amp;";",ROW($1:$99),1),";")),"",ROW($1:$99)),COLUMN(A5)+1)-SMALL(IF(ISERROR(SEARCH(MID(";"&amp;'CASE DATA'!$F6&amp;";",ROW($1:$99),1),";")),"",ROW($1:$99)),COLUMN(A5))-1)</f>
        <v/>
      </c>
      <c r="X6" s="29" t="str">
        <f t="array" ref="X6">MID(";"&amp;'CASE DATA'!$F6&amp;";",SMALL(IF(ISERROR(SEARCH(MID(";"&amp;'CASE DATA'!$F6&amp;";",ROW($1:$99),1),";")),"",ROW($1:$99)+1),COLUMN(B6)),SMALL(IF(ISERROR(SEARCH(MID(";"&amp;'CASE DATA'!$F6&amp;";",ROW($1:$99),1),";")),"",ROW($1:$99)),COLUMN(B5)+1)-SMALL(IF(ISERROR(SEARCH(MID(";"&amp;'CASE DATA'!$F6&amp;";",ROW($1:$99),1),";")),"",ROW($1:$99)),COLUMN(B5))-1)</f>
        <v/>
      </c>
      <c r="Y6" s="29" t="str">
        <f t="array" ref="Y6">MID(";"&amp;'CASE DATA'!$F6&amp;";",SMALL(IF(ISERROR(SEARCH(MID(";"&amp;'CASE DATA'!$F6&amp;";",ROW($1:$99),1),";")),"",ROW($1:$99)+1),COLUMN(C6)),SMALL(IF(ISERROR(SEARCH(MID(";"&amp;'CASE DATA'!$F6&amp;";",ROW($1:$99),1),";")),"",ROW($1:$99)),COLUMN(C5)+1)-SMALL(IF(ISERROR(SEARCH(MID(";"&amp;'CASE DATA'!$F6&amp;";",ROW($1:$99),1),";")),"",ROW($1:$99)),COLUMN(C5))-1)</f>
        <v/>
      </c>
      <c r="Z6" s="29" t="str">
        <f t="array" ref="Z6">MID(";"&amp;'CASE DATA'!$F6&amp;";",SMALL(IF(ISERROR(SEARCH(MID(";"&amp;'CASE DATA'!$F6&amp;";",ROW($1:$99),1),";")),"",ROW($1:$99)+1),COLUMN(D6)),SMALL(IF(ISERROR(SEARCH(MID(";"&amp;'CASE DATA'!$F6&amp;";",ROW($1:$99),1),";")),"",ROW($1:$99)),COLUMN(D5)+1)-SMALL(IF(ISERROR(SEARCH(MID(";"&amp;'CASE DATA'!$F6&amp;";",ROW($1:$99),1),";")),"",ROW($1:$99)),COLUMN(D5))-1)</f>
        <v/>
      </c>
      <c r="AA6" s="29" t="str">
        <f t="array" ref="AA6">MID(";"&amp;'CASE DATA'!$F6&amp;";",SMALL(IF(ISERROR(SEARCH(MID(";"&amp;'CASE DATA'!$F6&amp;";",ROW($1:$99),1),";")),"",ROW($1:$99)+1),COLUMN(E6)),SMALL(IF(ISERROR(SEARCH(MID(";"&amp;'CASE DATA'!$F6&amp;";",ROW($1:$99),1),";")),"",ROW($1:$99)),COLUMN(E5)+1)-SMALL(IF(ISERROR(SEARCH(MID(";"&amp;'CASE DATA'!$F6&amp;";",ROW($1:$99),1),";")),"",ROW($1:$99)),COLUMN(E5))-1)</f>
        <v/>
      </c>
      <c r="AB6" s="29" t="str">
        <f t="array" ref="AB6">MID(";"&amp;'CASE DATA'!$F6&amp;";",SMALL(IF(ISERROR(SEARCH(MID(";"&amp;'CASE DATA'!$F6&amp;";",ROW($1:$99),1),";")),"",ROW($1:$99)+1),COLUMN(F6)),SMALL(IF(ISERROR(SEARCH(MID(";"&amp;'CASE DATA'!$F6&amp;";",ROW($1:$99),1),";")),"",ROW($1:$99)),COLUMN(F5)+1)-SMALL(IF(ISERROR(SEARCH(MID(";"&amp;'CASE DATA'!$F6&amp;";",ROW($1:$99),1),";")),"",ROW($1:$99)),COLUMN(F5))-1)</f>
        <v/>
      </c>
      <c r="AC6" s="29" t="str">
        <f t="array" ref="AC6">MID(";"&amp;'CASE DATA'!$F6&amp;";",SMALL(IF(ISERROR(SEARCH(MID(";"&amp;'CASE DATA'!$F6&amp;";",ROW($1:$99),1),";")),"",ROW($1:$99)+1),COLUMN(G6)),SMALL(IF(ISERROR(SEARCH(MID(";"&amp;'CASE DATA'!$F6&amp;";",ROW($1:$99),1),";")),"",ROW($1:$99)),COLUMN(G5)+1)-SMALL(IF(ISERROR(SEARCH(MID(";"&amp;'CASE DATA'!$F6&amp;";",ROW($1:$99),1),";")),"",ROW($1:$99)),COLUMN(G5))-1)</f>
        <v/>
      </c>
      <c r="AD6" s="29" t="str">
        <f t="array" ref="AD6">MID(";"&amp;'CASE DATA'!$F6&amp;";",SMALL(IF(ISERROR(SEARCH(MID(";"&amp;'CASE DATA'!$F6&amp;";",ROW($1:$99),1),";")),"",ROW($1:$99)+1),COLUMN(H6)),SMALL(IF(ISERROR(SEARCH(MID(";"&amp;'CASE DATA'!$F6&amp;";",ROW($1:$99),1),";")),"",ROW($1:$99)),COLUMN(H5)+1)-SMALL(IF(ISERROR(SEARCH(MID(";"&amp;'CASE DATA'!$F6&amp;";",ROW($1:$99),1),";")),"",ROW($1:$99)),COLUMN(H5))-1)</f>
        <v/>
      </c>
      <c r="AE6" s="29" t="str">
        <f t="array" ref="AE6">MID(";"&amp;'CASE DATA'!$F6&amp;";",SMALL(IF(ISERROR(SEARCH(MID(";"&amp;'CASE DATA'!$F6&amp;";",ROW($1:$99),1),";")),"",ROW($1:$99)+1),COLUMN(I6)),SMALL(IF(ISERROR(SEARCH(MID(";"&amp;'CASE DATA'!$F6&amp;";",ROW($1:$99),1),";")),"",ROW($1:$99)),COLUMN(I5)+1)-SMALL(IF(ISERROR(SEARCH(MID(";"&amp;'CASE DATA'!$F6&amp;";",ROW($1:$99),1),";")),"",ROW($1:$99)),COLUMN(I5))-1)</f>
        <v/>
      </c>
      <c r="AF6" s="29" t="str">
        <f t="array" ref="AF6">MID(";"&amp;'CASE DATA'!$F6&amp;";",SMALL(IF(ISERROR(SEARCH(MID(";"&amp;'CASE DATA'!$F6&amp;";",ROW($1:$99),1),";")),"",ROW($1:$99)+1),COLUMN(J6)),SMALL(IF(ISERROR(SEARCH(MID(";"&amp;'CASE DATA'!$F6&amp;";",ROW($1:$99),1),";")),"",ROW($1:$99)),COLUMN(J5)+1)-SMALL(IF(ISERROR(SEARCH(MID(";"&amp;'CASE DATA'!$F6&amp;";",ROW($1:$99),1),";")),"",ROW($1:$99)),COLUMN(J5))-1)</f>
        <v/>
      </c>
      <c r="AG6" s="29" t="str">
        <f t="array" ref="AG6">MID(";"&amp;'CASE DATA'!$F6&amp;";",SMALL(IF(ISERROR(SEARCH(MID(";"&amp;'CASE DATA'!$F6&amp;";",ROW($1:$99),1),";")),"",ROW($1:$99)+1),COLUMN(K6)),SMALL(IF(ISERROR(SEARCH(MID(";"&amp;'CASE DATA'!$F6&amp;";",ROW($1:$99),1),";")),"",ROW($1:$99)),COLUMN(K5)+1)-SMALL(IF(ISERROR(SEARCH(MID(";"&amp;'CASE DATA'!$F6&amp;";",ROW($1:$99),1),";")),"",ROW($1:$99)),COLUMN(K5))-1)</f>
        <v/>
      </c>
      <c r="AH6" s="29" t="str">
        <f t="array" ref="AH6">MID(";"&amp;'CASE DATA'!$F6&amp;";",SMALL(IF(ISERROR(SEARCH(MID(";"&amp;'CASE DATA'!$F6&amp;";",ROW($1:$99),1),";")),"",ROW($1:$99)+1),COLUMN(L6)),SMALL(IF(ISERROR(SEARCH(MID(";"&amp;'CASE DATA'!$F6&amp;";",ROW($1:$99),1),";")),"",ROW($1:$99)),COLUMN(L5)+1)-SMALL(IF(ISERROR(SEARCH(MID(";"&amp;'CASE DATA'!$F6&amp;";",ROW($1:$99),1),";")),"",ROW($1:$99)),COLUMN(L5))-1)</f>
        <v/>
      </c>
    </row>
    <row r="7" spans="1:35" x14ac:dyDescent="0.25">
      <c r="C7" s="24"/>
      <c r="D7" s="24"/>
      <c r="E7" s="25"/>
      <c r="F7" s="26"/>
      <c r="J7" s="27"/>
      <c r="K7" s="27"/>
      <c r="L7" s="27"/>
      <c r="M7" s="27"/>
      <c r="N7" s="27"/>
      <c r="O7" s="27"/>
      <c r="P7" s="27"/>
      <c r="Q7" s="27"/>
      <c r="R7" s="27"/>
      <c r="S7" s="27"/>
      <c r="T7" s="28">
        <f t="shared" si="1"/>
        <v>0</v>
      </c>
      <c r="U7" s="28"/>
      <c r="W7" s="29" t="str">
        <f t="array" ref="W7">MID(";"&amp;'CASE DATA'!$F7&amp;";",SMALL(IF(ISERROR(SEARCH(MID(";"&amp;'CASE DATA'!$F7&amp;";",ROW($1:$99),1),";")),"",ROW($1:$99)+1),COLUMN(A7)),SMALL(IF(ISERROR(SEARCH(MID(";"&amp;'CASE DATA'!$F7&amp;";",ROW($1:$99),1),";")),"",ROW($1:$99)),COLUMN(A6)+1)-SMALL(IF(ISERROR(SEARCH(MID(";"&amp;'CASE DATA'!$F7&amp;";",ROW($1:$99),1),";")),"",ROW($1:$99)),COLUMN(A6))-1)</f>
        <v/>
      </c>
      <c r="X7" s="29" t="str">
        <f t="array" ref="X7">MID(";"&amp;'CASE DATA'!$F7&amp;";",SMALL(IF(ISERROR(SEARCH(MID(";"&amp;'CASE DATA'!$F7&amp;";",ROW($1:$99),1),";")),"",ROW($1:$99)+1),COLUMN(B7)),SMALL(IF(ISERROR(SEARCH(MID(";"&amp;'CASE DATA'!$F7&amp;";",ROW($1:$99),1),";")),"",ROW($1:$99)),COLUMN(B6)+1)-SMALL(IF(ISERROR(SEARCH(MID(";"&amp;'CASE DATA'!$F7&amp;";",ROW($1:$99),1),";")),"",ROW($1:$99)),COLUMN(B6))-1)</f>
        <v/>
      </c>
      <c r="Y7" s="29" t="str">
        <f t="array" ref="Y7">MID(";"&amp;'CASE DATA'!$F7&amp;";",SMALL(IF(ISERROR(SEARCH(MID(";"&amp;'CASE DATA'!$F7&amp;";",ROW($1:$99),1),";")),"",ROW($1:$99)+1),COLUMN(D7)),SMALL(IF(ISERROR(SEARCH(MID(";"&amp;'CASE DATA'!$F7&amp;";",ROW($1:$99),1),";")),"",ROW($1:$99)),COLUMN(D6)+1)-SMALL(IF(ISERROR(SEARCH(MID(";"&amp;'CASE DATA'!$F7&amp;";",ROW($1:$99),1),";")),"",ROW($1:$99)),COLUMN(D6))-1)</f>
        <v/>
      </c>
      <c r="Z7" s="29" t="str">
        <f t="array" ref="Z7">MID(";"&amp;'CASE DATA'!$F7&amp;";",SMALL(IF(ISERROR(SEARCH(MID(";"&amp;'CASE DATA'!$F7&amp;";",ROW($1:$99),1),";")),"",ROW($1:$99)+1),COLUMN(E7)),SMALL(IF(ISERROR(SEARCH(MID(";"&amp;'CASE DATA'!$F7&amp;";",ROW($1:$99),1),";")),"",ROW($1:$99)),COLUMN(E6)+1)-SMALL(IF(ISERROR(SEARCH(MID(";"&amp;'CASE DATA'!$F7&amp;";",ROW($1:$99),1),";")),"",ROW($1:$99)),COLUMN(E6))-1)</f>
        <v/>
      </c>
      <c r="AA7" s="29" t="str">
        <f t="array" ref="AA7">MID(";"&amp;'CASE DATA'!$F7&amp;";",SMALL(IF(ISERROR(SEARCH(MID(";"&amp;'CASE DATA'!$F7&amp;";",ROW($1:$99),1),";")),"",ROW($1:$99)+1),COLUMN(F7)),SMALL(IF(ISERROR(SEARCH(MID(";"&amp;'CASE DATA'!$F7&amp;";",ROW($1:$99),1),";")),"",ROW($1:$99)),COLUMN(F6)+1)-SMALL(IF(ISERROR(SEARCH(MID(";"&amp;'CASE DATA'!$F7&amp;";",ROW($1:$99),1),";")),"",ROW($1:$99)),COLUMN(F6))-1)</f>
        <v/>
      </c>
      <c r="AB7" s="29" t="str">
        <f t="array" ref="AB7">MID(";"&amp;'CASE DATA'!$F7&amp;";",SMALL(IF(ISERROR(SEARCH(MID(";"&amp;'CASE DATA'!$F7&amp;";",ROW($1:$99),1),";")),"",ROW($1:$99)+1),COLUMN(G7)),SMALL(IF(ISERROR(SEARCH(MID(";"&amp;'CASE DATA'!$F7&amp;";",ROW($1:$99),1),";")),"",ROW($1:$99)),COLUMN(G6)+1)-SMALL(IF(ISERROR(SEARCH(MID(";"&amp;'CASE DATA'!$F7&amp;";",ROW($1:$99),1),";")),"",ROW($1:$99)),COLUMN(G6))-1)</f>
        <v/>
      </c>
      <c r="AC7" s="29" t="str">
        <f t="array" ref="AC7">MID(";"&amp;'CASE DATA'!$F7&amp;";",SMALL(IF(ISERROR(SEARCH(MID(";"&amp;'CASE DATA'!$F7&amp;";",ROW($1:$99),1),";")),"",ROW($1:$99)+1),COLUMN(H7)),SMALL(IF(ISERROR(SEARCH(MID(";"&amp;'CASE DATA'!$F7&amp;";",ROW($1:$99),1),";")),"",ROW($1:$99)),COLUMN(H6)+1)-SMALL(IF(ISERROR(SEARCH(MID(";"&amp;'CASE DATA'!$F7&amp;";",ROW($1:$99),1),";")),"",ROW($1:$99)),COLUMN(H6))-1)</f>
        <v/>
      </c>
      <c r="AD7" s="29" t="str">
        <f t="array" ref="AD7">MID(";"&amp;'CASE DATA'!$F7&amp;";",SMALL(IF(ISERROR(SEARCH(MID(";"&amp;'CASE DATA'!$F7&amp;";",ROW($1:$99),1),";")),"",ROW($1:$99)+1),COLUMN(I7)),SMALL(IF(ISERROR(SEARCH(MID(";"&amp;'CASE DATA'!$F7&amp;";",ROW($1:$99),1),";")),"",ROW($1:$99)),COLUMN(I6)+1)-SMALL(IF(ISERROR(SEARCH(MID(";"&amp;'CASE DATA'!$F7&amp;";",ROW($1:$99),1),";")),"",ROW($1:$99)),COLUMN(I6))-1)</f>
        <v/>
      </c>
      <c r="AE7" s="29" t="str">
        <f t="array" ref="AE7">MID(";"&amp;'CASE DATA'!$F7&amp;";",SMALL(IF(ISERROR(SEARCH(MID(";"&amp;'CASE DATA'!$F7&amp;";",ROW($1:$99),1),";")),"",ROW($1:$99)+1),COLUMN(J7)),SMALL(IF(ISERROR(SEARCH(MID(";"&amp;'CASE DATA'!$F7&amp;";",ROW($1:$99),1),";")),"",ROW($1:$99)),COLUMN(J6)+1)-SMALL(IF(ISERROR(SEARCH(MID(";"&amp;'CASE DATA'!$F7&amp;";",ROW($1:$99),1),";")),"",ROW($1:$99)),COLUMN(J6))-1)</f>
        <v/>
      </c>
      <c r="AF7" s="29" t="str">
        <f t="array" ref="AF7">MID(";"&amp;'CASE DATA'!$F7&amp;";",SMALL(IF(ISERROR(SEARCH(MID(";"&amp;'CASE DATA'!$F7&amp;";",ROW($1:$99),1),";")),"",ROW($1:$99)+1),COLUMN(K7)),SMALL(IF(ISERROR(SEARCH(MID(";"&amp;'CASE DATA'!$F7&amp;";",ROW($1:$99),1),";")),"",ROW($1:$99)),COLUMN(K6)+1)-SMALL(IF(ISERROR(SEARCH(MID(";"&amp;'CASE DATA'!$F7&amp;";",ROW($1:$99),1),";")),"",ROW($1:$99)),COLUMN(K6))-1)</f>
        <v/>
      </c>
      <c r="AG7" s="29" t="str">
        <f t="array" ref="AG7">MID(";"&amp;'CASE DATA'!$F7&amp;";",SMALL(IF(ISERROR(SEARCH(MID(";"&amp;'CASE DATA'!$F7&amp;";",ROW($1:$99),1),";")),"",ROW($1:$99)+1),COLUMN(L7)),SMALL(IF(ISERROR(SEARCH(MID(";"&amp;'CASE DATA'!$F7&amp;";",ROW($1:$99),1),";")),"",ROW($1:$99)),COLUMN(L6)+1)-SMALL(IF(ISERROR(SEARCH(MID(";"&amp;'CASE DATA'!$F7&amp;";",ROW($1:$99),1),";")),"",ROW($1:$99)),COLUMN(L6))-1)</f>
        <v/>
      </c>
      <c r="AH7" s="29" t="str">
        <f t="array" ref="AH7">MID(";"&amp;'CASE DATA'!$F7&amp;";",SMALL(IF(ISERROR(SEARCH(MID(";"&amp;'CASE DATA'!$F7&amp;";",ROW($1:$99),1),";")),"",ROW($1:$99)+1),COLUMN(M7)),SMALL(IF(ISERROR(SEARCH(MID(";"&amp;'CASE DATA'!$F7&amp;";",ROW($1:$99),1),";")),"",ROW($1:$99)),COLUMN(M6)+1)-SMALL(IF(ISERROR(SEARCH(MID(";"&amp;'CASE DATA'!$F7&amp;";",ROW($1:$99),1),";")),"",ROW($1:$99)),COLUMN(M6))-1)</f>
        <v/>
      </c>
    </row>
    <row r="8" spans="1:35" x14ac:dyDescent="0.25">
      <c r="C8" s="24"/>
      <c r="D8" s="24"/>
      <c r="E8" s="25"/>
      <c r="F8" s="30"/>
      <c r="G8" s="24"/>
      <c r="J8" s="31"/>
      <c r="K8" s="31"/>
      <c r="L8" s="31"/>
      <c r="M8" s="31"/>
      <c r="N8" s="31"/>
      <c r="O8" s="31"/>
      <c r="P8" s="31"/>
      <c r="Q8" s="31"/>
      <c r="R8" s="31"/>
      <c r="S8" s="31"/>
      <c r="T8" s="28">
        <f t="shared" si="1"/>
        <v>0</v>
      </c>
      <c r="U8" s="28"/>
      <c r="W8" s="29" t="str">
        <f t="array" ref="W8">MID(";"&amp;'CASE DATA'!$F8&amp;";",SMALL(IF(ISERROR(SEARCH(MID(";"&amp;'CASE DATA'!$F8&amp;";",ROW($1:$99),1),";")),"",ROW($1:$99)+1),COLUMN(A8)),SMALL(IF(ISERROR(SEARCH(MID(";"&amp;'CASE DATA'!$F8&amp;";",ROW($1:$99),1),";")),"",ROW($1:$99)),COLUMN(A7)+1)-SMALL(IF(ISERROR(SEARCH(MID(";"&amp;'CASE DATA'!$F8&amp;";",ROW($1:$99),1),";")),"",ROW($1:$99)),COLUMN(A7))-1)</f>
        <v/>
      </c>
      <c r="X8" s="29" t="str">
        <f t="array" ref="X8">MID(";"&amp;'CASE DATA'!$F8&amp;";",SMALL(IF(ISERROR(SEARCH(MID(";"&amp;'CASE DATA'!$F8&amp;";",ROW($1:$99),1),";")),"",ROW($1:$99)+1),COLUMN(B8)),SMALL(IF(ISERROR(SEARCH(MID(";"&amp;'CASE DATA'!$F8&amp;";",ROW($1:$99),1),";")),"",ROW($1:$99)),COLUMN(B7)+1)-SMALL(IF(ISERROR(SEARCH(MID(";"&amp;'CASE DATA'!$F8&amp;";",ROW($1:$99),1),";")),"",ROW($1:$99)),COLUMN(B7))-1)</f>
        <v/>
      </c>
      <c r="Y8" s="29" t="str">
        <f t="array" ref="Y8">MID(";"&amp;'CASE DATA'!$F8&amp;";",SMALL(IF(ISERROR(SEARCH(MID(";"&amp;'CASE DATA'!$F8&amp;";",ROW($1:$99),1),";")),"",ROW($1:$99)+1),COLUMN(D8)),SMALL(IF(ISERROR(SEARCH(MID(";"&amp;'CASE DATA'!$F8&amp;";",ROW($1:$99),1),";")),"",ROW($1:$99)),COLUMN(D7)+1)-SMALL(IF(ISERROR(SEARCH(MID(";"&amp;'CASE DATA'!$F8&amp;";",ROW($1:$99),1),";")),"",ROW($1:$99)),COLUMN(D7))-1)</f>
        <v/>
      </c>
      <c r="Z8" s="29" t="str">
        <f t="array" ref="Z8">MID(";"&amp;'CASE DATA'!$F8&amp;";",SMALL(IF(ISERROR(SEARCH(MID(";"&amp;'CASE DATA'!$F8&amp;";",ROW($1:$99),1),";")),"",ROW($1:$99)+1),COLUMN(E8)),SMALL(IF(ISERROR(SEARCH(MID(";"&amp;'CASE DATA'!$F8&amp;";",ROW($1:$99),1),";")),"",ROW($1:$99)),COLUMN(E7)+1)-SMALL(IF(ISERROR(SEARCH(MID(";"&amp;'CASE DATA'!$F8&amp;";",ROW($1:$99),1),";")),"",ROW($1:$99)),COLUMN(E7))-1)</f>
        <v/>
      </c>
      <c r="AA8" s="29" t="str">
        <f t="array" ref="AA8">MID(";"&amp;'CASE DATA'!$F8&amp;";",SMALL(IF(ISERROR(SEARCH(MID(";"&amp;'CASE DATA'!$F8&amp;";",ROW($1:$99),1),";")),"",ROW($1:$99)+1),COLUMN(F8)),SMALL(IF(ISERROR(SEARCH(MID(";"&amp;'CASE DATA'!$F8&amp;";",ROW($1:$99),1),";")),"",ROW($1:$99)),COLUMN(F7)+1)-SMALL(IF(ISERROR(SEARCH(MID(";"&amp;'CASE DATA'!$F8&amp;";",ROW($1:$99),1),";")),"",ROW($1:$99)),COLUMN(F7))-1)</f>
        <v/>
      </c>
      <c r="AB8" s="29" t="str">
        <f t="array" ref="AB8">MID(";"&amp;'CASE DATA'!$F8&amp;";",SMALL(IF(ISERROR(SEARCH(MID(";"&amp;'CASE DATA'!$F8&amp;";",ROW($1:$99),1),";")),"",ROW($1:$99)+1),COLUMN(G8)),SMALL(IF(ISERROR(SEARCH(MID(";"&amp;'CASE DATA'!$F8&amp;";",ROW($1:$99),1),";")),"",ROW($1:$99)),COLUMN(G7)+1)-SMALL(IF(ISERROR(SEARCH(MID(";"&amp;'CASE DATA'!$F8&amp;";",ROW($1:$99),1),";")),"",ROW($1:$99)),COLUMN(G7))-1)</f>
        <v/>
      </c>
      <c r="AC8" s="29" t="str">
        <f t="array" ref="AC8">MID(";"&amp;'CASE DATA'!$F8&amp;";",SMALL(IF(ISERROR(SEARCH(MID(";"&amp;'CASE DATA'!$F8&amp;";",ROW($1:$99),1),";")),"",ROW($1:$99)+1),COLUMN(H8)),SMALL(IF(ISERROR(SEARCH(MID(";"&amp;'CASE DATA'!$F8&amp;";",ROW($1:$99),1),";")),"",ROW($1:$99)),COLUMN(H7)+1)-SMALL(IF(ISERROR(SEARCH(MID(";"&amp;'CASE DATA'!$F8&amp;";",ROW($1:$99),1),";")),"",ROW($1:$99)),COLUMN(H7))-1)</f>
        <v/>
      </c>
      <c r="AD8" s="29" t="str">
        <f t="array" ref="AD8">MID(";"&amp;'CASE DATA'!$F8&amp;";",SMALL(IF(ISERROR(SEARCH(MID(";"&amp;'CASE DATA'!$F8&amp;";",ROW($1:$99),1),";")),"",ROW($1:$99)+1),COLUMN(I8)),SMALL(IF(ISERROR(SEARCH(MID(";"&amp;'CASE DATA'!$F8&amp;";",ROW($1:$99),1),";")),"",ROW($1:$99)),COLUMN(I7)+1)-SMALL(IF(ISERROR(SEARCH(MID(";"&amp;'CASE DATA'!$F8&amp;";",ROW($1:$99),1),";")),"",ROW($1:$99)),COLUMN(I7))-1)</f>
        <v/>
      </c>
      <c r="AE8" s="29" t="str">
        <f t="array" ref="AE8">MID(";"&amp;'CASE DATA'!$F8&amp;";",SMALL(IF(ISERROR(SEARCH(MID(";"&amp;'CASE DATA'!$F8&amp;";",ROW($1:$99),1),";")),"",ROW($1:$99)+1),COLUMN(J8)),SMALL(IF(ISERROR(SEARCH(MID(";"&amp;'CASE DATA'!$F8&amp;";",ROW($1:$99),1),";")),"",ROW($1:$99)),COLUMN(J7)+1)-SMALL(IF(ISERROR(SEARCH(MID(";"&amp;'CASE DATA'!$F8&amp;";",ROW($1:$99),1),";")),"",ROW($1:$99)),COLUMN(J7))-1)</f>
        <v/>
      </c>
      <c r="AF8" s="29" t="str">
        <f t="array" ref="AF8">MID(";"&amp;'CASE DATA'!$F8&amp;";",SMALL(IF(ISERROR(SEARCH(MID(";"&amp;'CASE DATA'!$F8&amp;";",ROW($1:$99),1),";")),"",ROW($1:$99)+1),COLUMN(K8)),SMALL(IF(ISERROR(SEARCH(MID(";"&amp;'CASE DATA'!$F8&amp;";",ROW($1:$99),1),";")),"",ROW($1:$99)),COLUMN(K7)+1)-SMALL(IF(ISERROR(SEARCH(MID(";"&amp;'CASE DATA'!$F8&amp;";",ROW($1:$99),1),";")),"",ROW($1:$99)),COLUMN(K7))-1)</f>
        <v/>
      </c>
      <c r="AG8" s="29" t="str">
        <f t="array" ref="AG8">MID(";"&amp;'CASE DATA'!$F8&amp;";",SMALL(IF(ISERROR(SEARCH(MID(";"&amp;'CASE DATA'!$F8&amp;";",ROW($1:$99),1),";")),"",ROW($1:$99)+1),COLUMN(L8)),SMALL(IF(ISERROR(SEARCH(MID(";"&amp;'CASE DATA'!$F8&amp;";",ROW($1:$99),1),";")),"",ROW($1:$99)),COLUMN(L7)+1)-SMALL(IF(ISERROR(SEARCH(MID(";"&amp;'CASE DATA'!$F8&amp;";",ROW($1:$99),1),";")),"",ROW($1:$99)),COLUMN(L7))-1)</f>
        <v/>
      </c>
      <c r="AH8" s="29" t="str">
        <f t="array" ref="AH8">MID(";"&amp;'CASE DATA'!$F8&amp;";",SMALL(IF(ISERROR(SEARCH(MID(";"&amp;'CASE DATA'!$F8&amp;";",ROW($1:$99),1),";")),"",ROW($1:$99)+1),COLUMN(M8)),SMALL(IF(ISERROR(SEARCH(MID(";"&amp;'CASE DATA'!$F8&amp;";",ROW($1:$99),1),";")),"",ROW($1:$99)),COLUMN(M7)+1)-SMALL(IF(ISERROR(SEARCH(MID(";"&amp;'CASE DATA'!$F8&amp;";",ROW($1:$99),1),";")),"",ROW($1:$99)),COLUMN(M7))-1)</f>
        <v/>
      </c>
    </row>
    <row r="9" spans="1:35" x14ac:dyDescent="0.25">
      <c r="C9" s="24"/>
      <c r="D9" s="24"/>
      <c r="E9" s="25"/>
      <c r="F9" s="30"/>
      <c r="J9" s="31"/>
      <c r="K9" s="31"/>
      <c r="L9" s="31"/>
      <c r="M9" s="31"/>
      <c r="N9" s="31"/>
      <c r="O9" s="31"/>
      <c r="P9" s="31"/>
      <c r="Q9" s="31"/>
      <c r="R9" s="31"/>
      <c r="S9" s="31"/>
      <c r="T9" s="28">
        <f t="shared" si="1"/>
        <v>0</v>
      </c>
      <c r="U9" s="28"/>
      <c r="W9" s="29" t="str">
        <f t="array" ref="W9">MID(";"&amp;'CASE DATA'!$F9&amp;";",SMALL(IF(ISERROR(SEARCH(MID(";"&amp;'CASE DATA'!$F9&amp;";",ROW($1:$99),1),";")),"",ROW($1:$99)+1),COLUMN(A9)),SMALL(IF(ISERROR(SEARCH(MID(";"&amp;'CASE DATA'!$F9&amp;";",ROW($1:$99),1),";")),"",ROW($1:$99)),COLUMN(A8)+1)-SMALL(IF(ISERROR(SEARCH(MID(";"&amp;'CASE DATA'!$F9&amp;";",ROW($1:$99),1),";")),"",ROW($1:$99)),COLUMN(A8))-1)</f>
        <v/>
      </c>
      <c r="X9" s="29" t="str">
        <f t="array" ref="X9">MID(";"&amp;'CASE DATA'!$F9&amp;";",SMALL(IF(ISERROR(SEARCH(MID(";"&amp;'CASE DATA'!$F9&amp;";",ROW($1:$99),1),";")),"",ROW($1:$99)+1),COLUMN(B9)),SMALL(IF(ISERROR(SEARCH(MID(";"&amp;'CASE DATA'!$F9&amp;";",ROW($1:$99),1),";")),"",ROW($1:$99)),COLUMN(B8)+1)-SMALL(IF(ISERROR(SEARCH(MID(";"&amp;'CASE DATA'!$F9&amp;";",ROW($1:$99),1),";")),"",ROW($1:$99)),COLUMN(B8))-1)</f>
        <v/>
      </c>
      <c r="Y9" s="29" t="str">
        <f t="array" ref="Y9">MID(";"&amp;'CASE DATA'!$F9&amp;";",SMALL(IF(ISERROR(SEARCH(MID(";"&amp;'CASE DATA'!$F9&amp;";",ROW($1:$99),1),";")),"",ROW($1:$99)+1),COLUMN(D9)),SMALL(IF(ISERROR(SEARCH(MID(";"&amp;'CASE DATA'!$F9&amp;";",ROW($1:$99),1),";")),"",ROW($1:$99)),COLUMN(D8)+1)-SMALL(IF(ISERROR(SEARCH(MID(";"&amp;'CASE DATA'!$F9&amp;";",ROW($1:$99),1),";")),"",ROW($1:$99)),COLUMN(D8))-1)</f>
        <v/>
      </c>
      <c r="Z9" s="29" t="str">
        <f t="array" ref="Z9">MID(";"&amp;'CASE DATA'!$F9&amp;";",SMALL(IF(ISERROR(SEARCH(MID(";"&amp;'CASE DATA'!$F9&amp;";",ROW($1:$99),1),";")),"",ROW($1:$99)+1),COLUMN(E9)),SMALL(IF(ISERROR(SEARCH(MID(";"&amp;'CASE DATA'!$F9&amp;";",ROW($1:$99),1),";")),"",ROW($1:$99)),COLUMN(E8)+1)-SMALL(IF(ISERROR(SEARCH(MID(";"&amp;'CASE DATA'!$F9&amp;";",ROW($1:$99),1),";")),"",ROW($1:$99)),COLUMN(E8))-1)</f>
        <v/>
      </c>
      <c r="AA9" s="29" t="str">
        <f t="array" ref="AA9">MID(";"&amp;'CASE DATA'!$F9&amp;";",SMALL(IF(ISERROR(SEARCH(MID(";"&amp;'CASE DATA'!$F9&amp;";",ROW($1:$99),1),";")),"",ROW($1:$99)+1),COLUMN(F9)),SMALL(IF(ISERROR(SEARCH(MID(";"&amp;'CASE DATA'!$F9&amp;";",ROW($1:$99),1),";")),"",ROW($1:$99)),COLUMN(F8)+1)-SMALL(IF(ISERROR(SEARCH(MID(";"&amp;'CASE DATA'!$F9&amp;";",ROW($1:$99),1),";")),"",ROW($1:$99)),COLUMN(F8))-1)</f>
        <v/>
      </c>
      <c r="AB9" s="29" t="str">
        <f t="array" ref="AB9">MID(";"&amp;'CASE DATA'!$F9&amp;";",SMALL(IF(ISERROR(SEARCH(MID(";"&amp;'CASE DATA'!$F9&amp;";",ROW($1:$99),1),";")),"",ROW($1:$99)+1),COLUMN(G9)),SMALL(IF(ISERROR(SEARCH(MID(";"&amp;'CASE DATA'!$F9&amp;";",ROW($1:$99),1),";")),"",ROW($1:$99)),COLUMN(G8)+1)-SMALL(IF(ISERROR(SEARCH(MID(";"&amp;'CASE DATA'!$F9&amp;";",ROW($1:$99),1),";")),"",ROW($1:$99)),COLUMN(G8))-1)</f>
        <v/>
      </c>
      <c r="AC9" s="29" t="str">
        <f t="array" ref="AC9">MID(";"&amp;'CASE DATA'!$F9&amp;";",SMALL(IF(ISERROR(SEARCH(MID(";"&amp;'CASE DATA'!$F9&amp;";",ROW($1:$99),1),";")),"",ROW($1:$99)+1),COLUMN(H9)),SMALL(IF(ISERROR(SEARCH(MID(";"&amp;'CASE DATA'!$F9&amp;";",ROW($1:$99),1),";")),"",ROW($1:$99)),COLUMN(H8)+1)-SMALL(IF(ISERROR(SEARCH(MID(";"&amp;'CASE DATA'!$F9&amp;";",ROW($1:$99),1),";")),"",ROW($1:$99)),COLUMN(H8))-1)</f>
        <v/>
      </c>
      <c r="AD9" s="29" t="str">
        <f t="array" ref="AD9">MID(";"&amp;'CASE DATA'!$F9&amp;";",SMALL(IF(ISERROR(SEARCH(MID(";"&amp;'CASE DATA'!$F9&amp;";",ROW($1:$99),1),";")),"",ROW($1:$99)+1),COLUMN(I9)),SMALL(IF(ISERROR(SEARCH(MID(";"&amp;'CASE DATA'!$F9&amp;";",ROW($1:$99),1),";")),"",ROW($1:$99)),COLUMN(I8)+1)-SMALL(IF(ISERROR(SEARCH(MID(";"&amp;'CASE DATA'!$F9&amp;";",ROW($1:$99),1),";")),"",ROW($1:$99)),COLUMN(I8))-1)</f>
        <v/>
      </c>
      <c r="AE9" s="29" t="str">
        <f t="array" ref="AE9">MID(";"&amp;'CASE DATA'!$F9&amp;";",SMALL(IF(ISERROR(SEARCH(MID(";"&amp;'CASE DATA'!$F9&amp;";",ROW($1:$99),1),";")),"",ROW($1:$99)+1),COLUMN(J9)),SMALL(IF(ISERROR(SEARCH(MID(";"&amp;'CASE DATA'!$F9&amp;";",ROW($1:$99),1),";")),"",ROW($1:$99)),COLUMN(J8)+1)-SMALL(IF(ISERROR(SEARCH(MID(";"&amp;'CASE DATA'!$F9&amp;";",ROW($1:$99),1),";")),"",ROW($1:$99)),COLUMN(J8))-1)</f>
        <v/>
      </c>
      <c r="AF9" s="29" t="str">
        <f t="array" ref="AF9">MID(";"&amp;'CASE DATA'!$F9&amp;";",SMALL(IF(ISERROR(SEARCH(MID(";"&amp;'CASE DATA'!$F9&amp;";",ROW($1:$99),1),";")),"",ROW($1:$99)+1),COLUMN(K9)),SMALL(IF(ISERROR(SEARCH(MID(";"&amp;'CASE DATA'!$F9&amp;";",ROW($1:$99),1),";")),"",ROW($1:$99)),COLUMN(K8)+1)-SMALL(IF(ISERROR(SEARCH(MID(";"&amp;'CASE DATA'!$F9&amp;";",ROW($1:$99),1),";")),"",ROW($1:$99)),COLUMN(K8))-1)</f>
        <v/>
      </c>
      <c r="AG9" s="29" t="str">
        <f t="array" ref="AG9">MID(";"&amp;'CASE DATA'!$F9&amp;";",SMALL(IF(ISERROR(SEARCH(MID(";"&amp;'CASE DATA'!$F9&amp;";",ROW($1:$99),1),";")),"",ROW($1:$99)+1),COLUMN(L9)),SMALL(IF(ISERROR(SEARCH(MID(";"&amp;'CASE DATA'!$F9&amp;";",ROW($1:$99),1),";")),"",ROW($1:$99)),COLUMN(L8)+1)-SMALL(IF(ISERROR(SEARCH(MID(";"&amp;'CASE DATA'!$F9&amp;";",ROW($1:$99),1),";")),"",ROW($1:$99)),COLUMN(L8))-1)</f>
        <v/>
      </c>
      <c r="AH9" s="29"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24"/>
      <c r="D10" s="24"/>
      <c r="E10" s="25"/>
      <c r="F10" s="30"/>
      <c r="J10" s="31"/>
      <c r="K10" s="31"/>
      <c r="L10" s="31"/>
      <c r="M10" s="31"/>
      <c r="N10" s="31"/>
      <c r="O10" s="31"/>
      <c r="P10" s="31"/>
      <c r="Q10" s="31"/>
      <c r="R10" s="31"/>
      <c r="S10" s="31"/>
      <c r="T10" s="28">
        <f t="shared" si="1"/>
        <v>0</v>
      </c>
      <c r="U10" s="28"/>
      <c r="W10" s="29" t="str">
        <f t="array" ref="W10">MID(";"&amp;'CASE DATA'!$F10&amp;";",SMALL(IF(ISERROR(SEARCH(MID(";"&amp;'CASE DATA'!$F10&amp;";",ROW($1:$99),1),";")),"",ROW($1:$99)+1),COLUMN(A10)),SMALL(IF(ISERROR(SEARCH(MID(";"&amp;'CASE DATA'!$F10&amp;";",ROW($1:$99),1),";")),"",ROW($1:$99)),COLUMN(A9)+1)-SMALL(IF(ISERROR(SEARCH(MID(";"&amp;'CASE DATA'!$F10&amp;";",ROW($1:$99),1),";")),"",ROW($1:$99)),COLUMN(A9))-1)</f>
        <v/>
      </c>
      <c r="X10" s="29" t="str">
        <f t="array" ref="X10">MID(";"&amp;'CASE DATA'!$F10&amp;";",SMALL(IF(ISERROR(SEARCH(MID(";"&amp;'CASE DATA'!$F10&amp;";",ROW($1:$99),1),";")),"",ROW($1:$99)+1),COLUMN(B10)),SMALL(IF(ISERROR(SEARCH(MID(";"&amp;'CASE DATA'!$F10&amp;";",ROW($1:$99),1),";")),"",ROW($1:$99)),COLUMN(B9)+1)-SMALL(IF(ISERROR(SEARCH(MID(";"&amp;'CASE DATA'!$F10&amp;";",ROW($1:$99),1),";")),"",ROW($1:$99)),COLUMN(B9))-1)</f>
        <v/>
      </c>
      <c r="Y10" s="29" t="str">
        <f t="array" ref="Y10">MID(";"&amp;'CASE DATA'!$F10&amp;";",SMALL(IF(ISERROR(SEARCH(MID(";"&amp;'CASE DATA'!$F10&amp;";",ROW($1:$99),1),";")),"",ROW($1:$99)+1),COLUMN(D10)),SMALL(IF(ISERROR(SEARCH(MID(";"&amp;'CASE DATA'!$F10&amp;";",ROW($1:$99),1),";")),"",ROW($1:$99)),COLUMN(D9)+1)-SMALL(IF(ISERROR(SEARCH(MID(";"&amp;'CASE DATA'!$F10&amp;";",ROW($1:$99),1),";")),"",ROW($1:$99)),COLUMN(D9))-1)</f>
        <v/>
      </c>
      <c r="Z10" s="29" t="str">
        <f t="array" ref="Z10">MID(";"&amp;'CASE DATA'!$F10&amp;";",SMALL(IF(ISERROR(SEARCH(MID(";"&amp;'CASE DATA'!$F10&amp;";",ROW($1:$99),1),";")),"",ROW($1:$99)+1),COLUMN(E10)),SMALL(IF(ISERROR(SEARCH(MID(";"&amp;'CASE DATA'!$F10&amp;";",ROW($1:$99),1),";")),"",ROW($1:$99)),COLUMN(E9)+1)-SMALL(IF(ISERROR(SEARCH(MID(";"&amp;'CASE DATA'!$F10&amp;";",ROW($1:$99),1),";")),"",ROW($1:$99)),COLUMN(E9))-1)</f>
        <v/>
      </c>
      <c r="AA10" s="29" t="str">
        <f t="array" ref="AA10">MID(";"&amp;'CASE DATA'!$F10&amp;";",SMALL(IF(ISERROR(SEARCH(MID(";"&amp;'CASE DATA'!$F10&amp;";",ROW($1:$99),1),";")),"",ROW($1:$99)+1),COLUMN(F10)),SMALL(IF(ISERROR(SEARCH(MID(";"&amp;'CASE DATA'!$F10&amp;";",ROW($1:$99),1),";")),"",ROW($1:$99)),COLUMN(F9)+1)-SMALL(IF(ISERROR(SEARCH(MID(";"&amp;'CASE DATA'!$F10&amp;";",ROW($1:$99),1),";")),"",ROW($1:$99)),COLUMN(F9))-1)</f>
        <v/>
      </c>
      <c r="AB10" s="29" t="str">
        <f t="array" ref="AB10">MID(";"&amp;'CASE DATA'!$F10&amp;";",SMALL(IF(ISERROR(SEARCH(MID(";"&amp;'CASE DATA'!$F10&amp;";",ROW($1:$99),1),";")),"",ROW($1:$99)+1),COLUMN(G10)),SMALL(IF(ISERROR(SEARCH(MID(";"&amp;'CASE DATA'!$F10&amp;";",ROW($1:$99),1),";")),"",ROW($1:$99)),COLUMN(G9)+1)-SMALL(IF(ISERROR(SEARCH(MID(";"&amp;'CASE DATA'!$F10&amp;";",ROW($1:$99),1),";")),"",ROW($1:$99)),COLUMN(G9))-1)</f>
        <v/>
      </c>
      <c r="AC10" s="29" t="str">
        <f t="array" ref="AC10">MID(";"&amp;'CASE DATA'!$F10&amp;";",SMALL(IF(ISERROR(SEARCH(MID(";"&amp;'CASE DATA'!$F10&amp;";",ROW($1:$99),1),";")),"",ROW($1:$99)+1),COLUMN(H10)),SMALL(IF(ISERROR(SEARCH(MID(";"&amp;'CASE DATA'!$F10&amp;";",ROW($1:$99),1),";")),"",ROW($1:$99)),COLUMN(H9)+1)-SMALL(IF(ISERROR(SEARCH(MID(";"&amp;'CASE DATA'!$F10&amp;";",ROW($1:$99),1),";")),"",ROW($1:$99)),COLUMN(H9))-1)</f>
        <v/>
      </c>
      <c r="AD10" s="29" t="str">
        <f t="array" ref="AD10">MID(";"&amp;'CASE DATA'!$F10&amp;";",SMALL(IF(ISERROR(SEARCH(MID(";"&amp;'CASE DATA'!$F10&amp;";",ROW($1:$99),1),";")),"",ROW($1:$99)+1),COLUMN(I10)),SMALL(IF(ISERROR(SEARCH(MID(";"&amp;'CASE DATA'!$F10&amp;";",ROW($1:$99),1),";")),"",ROW($1:$99)),COLUMN(I9)+1)-SMALL(IF(ISERROR(SEARCH(MID(";"&amp;'CASE DATA'!$F10&amp;";",ROW($1:$99),1),";")),"",ROW($1:$99)),COLUMN(I9))-1)</f>
        <v/>
      </c>
      <c r="AE10" s="29" t="str">
        <f t="array" ref="AE10">MID(";"&amp;'CASE DATA'!$F10&amp;";",SMALL(IF(ISERROR(SEARCH(MID(";"&amp;'CASE DATA'!$F10&amp;";",ROW($1:$99),1),";")),"",ROW($1:$99)+1),COLUMN(J10)),SMALL(IF(ISERROR(SEARCH(MID(";"&amp;'CASE DATA'!$F10&amp;";",ROW($1:$99),1),";")),"",ROW($1:$99)),COLUMN(J9)+1)-SMALL(IF(ISERROR(SEARCH(MID(";"&amp;'CASE DATA'!$F10&amp;";",ROW($1:$99),1),";")),"",ROW($1:$99)),COLUMN(J9))-1)</f>
        <v/>
      </c>
      <c r="AF10" s="29" t="str">
        <f t="array" ref="AF10">MID(";"&amp;'CASE DATA'!$F10&amp;";",SMALL(IF(ISERROR(SEARCH(MID(";"&amp;'CASE DATA'!$F10&amp;";",ROW($1:$99),1),";")),"",ROW($1:$99)+1),COLUMN(K10)),SMALL(IF(ISERROR(SEARCH(MID(";"&amp;'CASE DATA'!$F10&amp;";",ROW($1:$99),1),";")),"",ROW($1:$99)),COLUMN(K9)+1)-SMALL(IF(ISERROR(SEARCH(MID(";"&amp;'CASE DATA'!$F10&amp;";",ROW($1:$99),1),";")),"",ROW($1:$99)),COLUMN(K9))-1)</f>
        <v/>
      </c>
      <c r="AG10" s="29" t="str">
        <f t="array" ref="AG10">MID(";"&amp;'CASE DATA'!$F10&amp;";",SMALL(IF(ISERROR(SEARCH(MID(";"&amp;'CASE DATA'!$F10&amp;";",ROW($1:$99),1),";")),"",ROW($1:$99)+1),COLUMN(L10)),SMALL(IF(ISERROR(SEARCH(MID(";"&amp;'CASE DATA'!$F10&amp;";",ROW($1:$99),1),";")),"",ROW($1:$99)),COLUMN(L9)+1)-SMALL(IF(ISERROR(SEARCH(MID(";"&amp;'CASE DATA'!$F10&amp;";",ROW($1:$99),1),";")),"",ROW($1:$99)),COLUMN(L9))-1)</f>
        <v/>
      </c>
      <c r="AH10" s="29"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24"/>
      <c r="D11" s="24"/>
      <c r="E11" s="25"/>
      <c r="F11" s="30"/>
      <c r="J11" s="31"/>
      <c r="K11" s="31"/>
      <c r="L11" s="31"/>
      <c r="M11" s="31"/>
      <c r="N11" s="31"/>
      <c r="O11" s="31"/>
      <c r="P11" s="31"/>
      <c r="Q11" s="31"/>
      <c r="R11" s="31"/>
      <c r="S11" s="31"/>
      <c r="T11" s="28">
        <f t="shared" si="1"/>
        <v>0</v>
      </c>
      <c r="U11" s="28"/>
      <c r="W11" s="29" t="str">
        <f t="array" ref="W11">MID(";"&amp;'CASE DATA'!$F11&amp;";",SMALL(IF(ISERROR(SEARCH(MID(";"&amp;'CASE DATA'!$F11&amp;";",ROW($1:$99),1),";")),"",ROW($1:$99)+1),COLUMN(A11)),SMALL(IF(ISERROR(SEARCH(MID(";"&amp;'CASE DATA'!$F11&amp;";",ROW($1:$99),1),";")),"",ROW($1:$99)),COLUMN(A10)+1)-SMALL(IF(ISERROR(SEARCH(MID(";"&amp;'CASE DATA'!$F11&amp;";",ROW($1:$99),1),";")),"",ROW($1:$99)),COLUMN(A10))-1)</f>
        <v/>
      </c>
      <c r="X11" s="29" t="str">
        <f t="array" ref="X11">MID(";"&amp;'CASE DATA'!$F11&amp;";",SMALL(IF(ISERROR(SEARCH(MID(";"&amp;'CASE DATA'!$F11&amp;";",ROW($1:$99),1),";")),"",ROW($1:$99)+1),COLUMN(B11)),SMALL(IF(ISERROR(SEARCH(MID(";"&amp;'CASE DATA'!$F11&amp;";",ROW($1:$99),1),";")),"",ROW($1:$99)),COLUMN(B10)+1)-SMALL(IF(ISERROR(SEARCH(MID(";"&amp;'CASE DATA'!$F11&amp;";",ROW($1:$99),1),";")),"",ROW($1:$99)),COLUMN(B10))-1)</f>
        <v/>
      </c>
      <c r="Y11" s="29" t="str">
        <f t="array" ref="Y11">MID(";"&amp;'CASE DATA'!$F11&amp;";",SMALL(IF(ISERROR(SEARCH(MID(";"&amp;'CASE DATA'!$F11&amp;";",ROW($1:$99),1),";")),"",ROW($1:$99)+1),COLUMN(D11)),SMALL(IF(ISERROR(SEARCH(MID(";"&amp;'CASE DATA'!$F11&amp;";",ROW($1:$99),1),";")),"",ROW($1:$99)),COLUMN(D10)+1)-SMALL(IF(ISERROR(SEARCH(MID(";"&amp;'CASE DATA'!$F11&amp;";",ROW($1:$99),1),";")),"",ROW($1:$99)),COLUMN(D10))-1)</f>
        <v/>
      </c>
      <c r="Z11" s="29" t="str">
        <f t="array" ref="Z11">MID(";"&amp;'CASE DATA'!$F11&amp;";",SMALL(IF(ISERROR(SEARCH(MID(";"&amp;'CASE DATA'!$F11&amp;";",ROW($1:$99),1),";")),"",ROW($1:$99)+1),COLUMN(E11)),SMALL(IF(ISERROR(SEARCH(MID(";"&amp;'CASE DATA'!$F11&amp;";",ROW($1:$99),1),";")),"",ROW($1:$99)),COLUMN(E10)+1)-SMALL(IF(ISERROR(SEARCH(MID(";"&amp;'CASE DATA'!$F11&amp;";",ROW($1:$99),1),";")),"",ROW($1:$99)),COLUMN(E10))-1)</f>
        <v/>
      </c>
      <c r="AA11" s="29" t="str">
        <f t="array" ref="AA11">MID(";"&amp;'CASE DATA'!$F11&amp;";",SMALL(IF(ISERROR(SEARCH(MID(";"&amp;'CASE DATA'!$F11&amp;";",ROW($1:$99),1),";")),"",ROW($1:$99)+1),COLUMN(F11)),SMALL(IF(ISERROR(SEARCH(MID(";"&amp;'CASE DATA'!$F11&amp;";",ROW($1:$99),1),";")),"",ROW($1:$99)),COLUMN(F10)+1)-SMALL(IF(ISERROR(SEARCH(MID(";"&amp;'CASE DATA'!$F11&amp;";",ROW($1:$99),1),";")),"",ROW($1:$99)),COLUMN(F10))-1)</f>
        <v/>
      </c>
      <c r="AB11" s="29" t="str">
        <f t="array" ref="AB11">MID(";"&amp;'CASE DATA'!$F11&amp;";",SMALL(IF(ISERROR(SEARCH(MID(";"&amp;'CASE DATA'!$F11&amp;";",ROW($1:$99),1),";")),"",ROW($1:$99)+1),COLUMN(G11)),SMALL(IF(ISERROR(SEARCH(MID(";"&amp;'CASE DATA'!$F11&amp;";",ROW($1:$99),1),";")),"",ROW($1:$99)),COLUMN(G10)+1)-SMALL(IF(ISERROR(SEARCH(MID(";"&amp;'CASE DATA'!$F11&amp;";",ROW($1:$99),1),";")),"",ROW($1:$99)),COLUMN(G10))-1)</f>
        <v/>
      </c>
      <c r="AC11" s="29" t="str">
        <f t="array" ref="AC11">MID(";"&amp;'CASE DATA'!$F11&amp;";",SMALL(IF(ISERROR(SEARCH(MID(";"&amp;'CASE DATA'!$F11&amp;";",ROW($1:$99),1),";")),"",ROW($1:$99)+1),COLUMN(H11)),SMALL(IF(ISERROR(SEARCH(MID(";"&amp;'CASE DATA'!$F11&amp;";",ROW($1:$99),1),";")),"",ROW($1:$99)),COLUMN(H10)+1)-SMALL(IF(ISERROR(SEARCH(MID(";"&amp;'CASE DATA'!$F11&amp;";",ROW($1:$99),1),";")),"",ROW($1:$99)),COLUMN(H10))-1)</f>
        <v/>
      </c>
      <c r="AD11" s="29" t="str">
        <f t="array" ref="AD11">MID(";"&amp;'CASE DATA'!$F11&amp;";",SMALL(IF(ISERROR(SEARCH(MID(";"&amp;'CASE DATA'!$F11&amp;";",ROW($1:$99),1),";")),"",ROW($1:$99)+1),COLUMN(I11)),SMALL(IF(ISERROR(SEARCH(MID(";"&amp;'CASE DATA'!$F11&amp;";",ROW($1:$99),1),";")),"",ROW($1:$99)),COLUMN(I10)+1)-SMALL(IF(ISERROR(SEARCH(MID(";"&amp;'CASE DATA'!$F11&amp;";",ROW($1:$99),1),";")),"",ROW($1:$99)),COLUMN(I10))-1)</f>
        <v/>
      </c>
      <c r="AE11" s="29" t="str">
        <f t="array" ref="AE11">MID(";"&amp;'CASE DATA'!$F11&amp;";",SMALL(IF(ISERROR(SEARCH(MID(";"&amp;'CASE DATA'!$F11&amp;";",ROW($1:$99),1),";")),"",ROW($1:$99)+1),COLUMN(J11)),SMALL(IF(ISERROR(SEARCH(MID(";"&amp;'CASE DATA'!$F11&amp;";",ROW($1:$99),1),";")),"",ROW($1:$99)),COLUMN(J10)+1)-SMALL(IF(ISERROR(SEARCH(MID(";"&amp;'CASE DATA'!$F11&amp;";",ROW($1:$99),1),";")),"",ROW($1:$99)),COLUMN(J10))-1)</f>
        <v/>
      </c>
      <c r="AF11" s="29" t="str">
        <f t="array" ref="AF11">MID(";"&amp;'CASE DATA'!$F11&amp;";",SMALL(IF(ISERROR(SEARCH(MID(";"&amp;'CASE DATA'!$F11&amp;";",ROW($1:$99),1),";")),"",ROW($1:$99)+1),COLUMN(K11)),SMALL(IF(ISERROR(SEARCH(MID(";"&amp;'CASE DATA'!$F11&amp;";",ROW($1:$99),1),";")),"",ROW($1:$99)),COLUMN(K10)+1)-SMALL(IF(ISERROR(SEARCH(MID(";"&amp;'CASE DATA'!$F11&amp;";",ROW($1:$99),1),";")),"",ROW($1:$99)),COLUMN(K10))-1)</f>
        <v/>
      </c>
      <c r="AG11" s="29" t="str">
        <f t="array" ref="AG11">MID(";"&amp;'CASE DATA'!$F11&amp;";",SMALL(IF(ISERROR(SEARCH(MID(";"&amp;'CASE DATA'!$F11&amp;";",ROW($1:$99),1),";")),"",ROW($1:$99)+1),COLUMN(L11)),SMALL(IF(ISERROR(SEARCH(MID(";"&amp;'CASE DATA'!$F11&amp;";",ROW($1:$99),1),";")),"",ROW($1:$99)),COLUMN(L10)+1)-SMALL(IF(ISERROR(SEARCH(MID(";"&amp;'CASE DATA'!$F11&amp;";",ROW($1:$99),1),";")),"",ROW($1:$99)),COLUMN(L10))-1)</f>
        <v/>
      </c>
      <c r="AH11" s="29"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24"/>
      <c r="D12" s="24"/>
      <c r="E12" s="25"/>
      <c r="F12" s="30"/>
      <c r="J12" s="31"/>
      <c r="K12" s="31"/>
      <c r="L12" s="31"/>
      <c r="M12" s="31"/>
      <c r="N12" s="31"/>
      <c r="O12" s="31"/>
      <c r="P12" s="31"/>
      <c r="Q12" s="31"/>
      <c r="R12" s="31"/>
      <c r="S12" s="31"/>
      <c r="T12" s="28">
        <f t="shared" si="1"/>
        <v>0</v>
      </c>
      <c r="U12" s="28"/>
      <c r="W12" s="29" t="str">
        <f t="array" ref="W12">MID(";"&amp;'CASE DATA'!$F12&amp;";",SMALL(IF(ISERROR(SEARCH(MID(";"&amp;'CASE DATA'!$F12&amp;";",ROW($1:$99),1),";")),"",ROW($1:$99)+1),COLUMN(A12)),SMALL(IF(ISERROR(SEARCH(MID(";"&amp;'CASE DATA'!$F12&amp;";",ROW($1:$99),1),";")),"",ROW($1:$99)),COLUMN(A11)+1)-SMALL(IF(ISERROR(SEARCH(MID(";"&amp;'CASE DATA'!$F12&amp;";",ROW($1:$99),1),";")),"",ROW($1:$99)),COLUMN(A11))-1)</f>
        <v/>
      </c>
      <c r="X12" s="29" t="str">
        <f t="array" ref="X12">MID(";"&amp;'CASE DATA'!$F12&amp;";",SMALL(IF(ISERROR(SEARCH(MID(";"&amp;'CASE DATA'!$F12&amp;";",ROW($1:$99),1),";")),"",ROW($1:$99)+1),COLUMN(B12)),SMALL(IF(ISERROR(SEARCH(MID(";"&amp;'CASE DATA'!$F12&amp;";",ROW($1:$99),1),";")),"",ROW($1:$99)),COLUMN(B11)+1)-SMALL(IF(ISERROR(SEARCH(MID(";"&amp;'CASE DATA'!$F12&amp;";",ROW($1:$99),1),";")),"",ROW($1:$99)),COLUMN(B11))-1)</f>
        <v/>
      </c>
      <c r="Y12" s="29" t="str">
        <f t="array" ref="Y12">MID(";"&amp;'CASE DATA'!$F12&amp;";",SMALL(IF(ISERROR(SEARCH(MID(";"&amp;'CASE DATA'!$F12&amp;";",ROW($1:$99),1),";")),"",ROW($1:$99)+1),COLUMN(D12)),SMALL(IF(ISERROR(SEARCH(MID(";"&amp;'CASE DATA'!$F12&amp;";",ROW($1:$99),1),";")),"",ROW($1:$99)),COLUMN(D11)+1)-SMALL(IF(ISERROR(SEARCH(MID(";"&amp;'CASE DATA'!$F12&amp;";",ROW($1:$99),1),";")),"",ROW($1:$99)),COLUMN(D11))-1)</f>
        <v/>
      </c>
      <c r="Z12" s="29" t="str">
        <f t="array" ref="Z12">MID(";"&amp;'CASE DATA'!$F12&amp;";",SMALL(IF(ISERROR(SEARCH(MID(";"&amp;'CASE DATA'!$F12&amp;";",ROW($1:$99),1),";")),"",ROW($1:$99)+1),COLUMN(E12)),SMALL(IF(ISERROR(SEARCH(MID(";"&amp;'CASE DATA'!$F12&amp;";",ROW($1:$99),1),";")),"",ROW($1:$99)),COLUMN(E11)+1)-SMALL(IF(ISERROR(SEARCH(MID(";"&amp;'CASE DATA'!$F12&amp;";",ROW($1:$99),1),";")),"",ROW($1:$99)),COLUMN(E11))-1)</f>
        <v/>
      </c>
      <c r="AA12" s="29" t="str">
        <f t="array" ref="AA12">MID(";"&amp;'CASE DATA'!$F12&amp;";",SMALL(IF(ISERROR(SEARCH(MID(";"&amp;'CASE DATA'!$F12&amp;";",ROW($1:$99),1),";")),"",ROW($1:$99)+1),COLUMN(F12)),SMALL(IF(ISERROR(SEARCH(MID(";"&amp;'CASE DATA'!$F12&amp;";",ROW($1:$99),1),";")),"",ROW($1:$99)),COLUMN(F11)+1)-SMALL(IF(ISERROR(SEARCH(MID(";"&amp;'CASE DATA'!$F12&amp;";",ROW($1:$99),1),";")),"",ROW($1:$99)),COLUMN(F11))-1)</f>
        <v/>
      </c>
      <c r="AB12" s="29" t="str">
        <f t="array" ref="AB12">MID(";"&amp;'CASE DATA'!$F12&amp;";",SMALL(IF(ISERROR(SEARCH(MID(";"&amp;'CASE DATA'!$F12&amp;";",ROW($1:$99),1),";")),"",ROW($1:$99)+1),COLUMN(G12)),SMALL(IF(ISERROR(SEARCH(MID(";"&amp;'CASE DATA'!$F12&amp;";",ROW($1:$99),1),";")),"",ROW($1:$99)),COLUMN(G11)+1)-SMALL(IF(ISERROR(SEARCH(MID(";"&amp;'CASE DATA'!$F12&amp;";",ROW($1:$99),1),";")),"",ROW($1:$99)),COLUMN(G11))-1)</f>
        <v/>
      </c>
      <c r="AC12" s="29" t="str">
        <f t="array" ref="AC12">MID(";"&amp;'CASE DATA'!$F12&amp;";",SMALL(IF(ISERROR(SEARCH(MID(";"&amp;'CASE DATA'!$F12&amp;";",ROW($1:$99),1),";")),"",ROW($1:$99)+1),COLUMN(H12)),SMALL(IF(ISERROR(SEARCH(MID(";"&amp;'CASE DATA'!$F12&amp;";",ROW($1:$99),1),";")),"",ROW($1:$99)),COLUMN(H11)+1)-SMALL(IF(ISERROR(SEARCH(MID(";"&amp;'CASE DATA'!$F12&amp;";",ROW($1:$99),1),";")),"",ROW($1:$99)),COLUMN(H11))-1)</f>
        <v/>
      </c>
      <c r="AD12" s="29" t="str">
        <f t="array" ref="AD12">MID(";"&amp;'CASE DATA'!$F12&amp;";",SMALL(IF(ISERROR(SEARCH(MID(";"&amp;'CASE DATA'!$F12&amp;";",ROW($1:$99),1),";")),"",ROW($1:$99)+1),COLUMN(I12)),SMALL(IF(ISERROR(SEARCH(MID(";"&amp;'CASE DATA'!$F12&amp;";",ROW($1:$99),1),";")),"",ROW($1:$99)),COLUMN(I11)+1)-SMALL(IF(ISERROR(SEARCH(MID(";"&amp;'CASE DATA'!$F12&amp;";",ROW($1:$99),1),";")),"",ROW($1:$99)),COLUMN(I11))-1)</f>
        <v/>
      </c>
      <c r="AE12" s="29" t="str">
        <f t="array" ref="AE12">MID(";"&amp;'CASE DATA'!$F12&amp;";",SMALL(IF(ISERROR(SEARCH(MID(";"&amp;'CASE DATA'!$F12&amp;";",ROW($1:$99),1),";")),"",ROW($1:$99)+1),COLUMN(J12)),SMALL(IF(ISERROR(SEARCH(MID(";"&amp;'CASE DATA'!$F12&amp;";",ROW($1:$99),1),";")),"",ROW($1:$99)),COLUMN(J11)+1)-SMALL(IF(ISERROR(SEARCH(MID(";"&amp;'CASE DATA'!$F12&amp;";",ROW($1:$99),1),";")),"",ROW($1:$99)),COLUMN(J11))-1)</f>
        <v/>
      </c>
      <c r="AF12" s="29" t="str">
        <f t="array" ref="AF12">MID(";"&amp;'CASE DATA'!$F12&amp;";",SMALL(IF(ISERROR(SEARCH(MID(";"&amp;'CASE DATA'!$F12&amp;";",ROW($1:$99),1),";")),"",ROW($1:$99)+1),COLUMN(K12)),SMALL(IF(ISERROR(SEARCH(MID(";"&amp;'CASE DATA'!$F12&amp;";",ROW($1:$99),1),";")),"",ROW($1:$99)),COLUMN(K11)+1)-SMALL(IF(ISERROR(SEARCH(MID(";"&amp;'CASE DATA'!$F12&amp;";",ROW($1:$99),1),";")),"",ROW($1:$99)),COLUMN(K11))-1)</f>
        <v/>
      </c>
      <c r="AG12" s="29" t="str">
        <f t="array" ref="AG12">MID(";"&amp;'CASE DATA'!$F12&amp;";",SMALL(IF(ISERROR(SEARCH(MID(";"&amp;'CASE DATA'!$F12&amp;";",ROW($1:$99),1),";")),"",ROW($1:$99)+1),COLUMN(L12)),SMALL(IF(ISERROR(SEARCH(MID(";"&amp;'CASE DATA'!$F12&amp;";",ROW($1:$99),1),";")),"",ROW($1:$99)),COLUMN(L11)+1)-SMALL(IF(ISERROR(SEARCH(MID(";"&amp;'CASE DATA'!$F12&amp;";",ROW($1:$99),1),";")),"",ROW($1:$99)),COLUMN(L11))-1)</f>
        <v/>
      </c>
      <c r="AH12" s="29"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24"/>
      <c r="D13" s="24"/>
      <c r="E13" s="25"/>
      <c r="F13" s="30"/>
      <c r="J13" s="31"/>
      <c r="K13" s="31"/>
      <c r="L13" s="31"/>
      <c r="M13" s="31"/>
      <c r="N13" s="31"/>
      <c r="O13" s="31"/>
      <c r="P13" s="31"/>
      <c r="Q13" s="31"/>
      <c r="R13" s="31"/>
      <c r="S13" s="31"/>
      <c r="T13" s="28">
        <f t="shared" si="1"/>
        <v>0</v>
      </c>
      <c r="U13" s="28"/>
      <c r="W13" s="29" t="str">
        <f t="array" ref="W13">MID(";"&amp;'CASE DATA'!$F13&amp;";",SMALL(IF(ISERROR(SEARCH(MID(";"&amp;'CASE DATA'!$F13&amp;";",ROW($1:$99),1),";")),"",ROW($1:$99)+1),COLUMN(A13)),SMALL(IF(ISERROR(SEARCH(MID(";"&amp;'CASE DATA'!$F13&amp;";",ROW($1:$99),1),";")),"",ROW($1:$99)),COLUMN(A12)+1)-SMALL(IF(ISERROR(SEARCH(MID(";"&amp;'CASE DATA'!$F13&amp;";",ROW($1:$99),1),";")),"",ROW($1:$99)),COLUMN(A12))-1)</f>
        <v/>
      </c>
      <c r="X13" s="29" t="str">
        <f t="array" ref="X13">MID(";"&amp;'CASE DATA'!$F13&amp;";",SMALL(IF(ISERROR(SEARCH(MID(";"&amp;'CASE DATA'!$F13&amp;";",ROW($1:$99),1),";")),"",ROW($1:$99)+1),COLUMN(B13)),SMALL(IF(ISERROR(SEARCH(MID(";"&amp;'CASE DATA'!$F13&amp;";",ROW($1:$99),1),";")),"",ROW($1:$99)),COLUMN(B12)+1)-SMALL(IF(ISERROR(SEARCH(MID(";"&amp;'CASE DATA'!$F13&amp;";",ROW($1:$99),1),";")),"",ROW($1:$99)),COLUMN(B12))-1)</f>
        <v/>
      </c>
      <c r="Y13" s="29" t="str">
        <f t="array" ref="Y13">MID(";"&amp;'CASE DATA'!$F13&amp;";",SMALL(IF(ISERROR(SEARCH(MID(";"&amp;'CASE DATA'!$F13&amp;";",ROW($1:$99),1),";")),"",ROW($1:$99)+1),COLUMN(D13)),SMALL(IF(ISERROR(SEARCH(MID(";"&amp;'CASE DATA'!$F13&amp;";",ROW($1:$99),1),";")),"",ROW($1:$99)),COLUMN(D12)+1)-SMALL(IF(ISERROR(SEARCH(MID(";"&amp;'CASE DATA'!$F13&amp;";",ROW($1:$99),1),";")),"",ROW($1:$99)),COLUMN(D12))-1)</f>
        <v/>
      </c>
      <c r="Z13" s="29" t="str">
        <f t="array" ref="Z13">MID(";"&amp;'CASE DATA'!$F13&amp;";",SMALL(IF(ISERROR(SEARCH(MID(";"&amp;'CASE DATA'!$F13&amp;";",ROW($1:$99),1),";")),"",ROW($1:$99)+1),COLUMN(E13)),SMALL(IF(ISERROR(SEARCH(MID(";"&amp;'CASE DATA'!$F13&amp;";",ROW($1:$99),1),";")),"",ROW($1:$99)),COLUMN(E12)+1)-SMALL(IF(ISERROR(SEARCH(MID(";"&amp;'CASE DATA'!$F13&amp;";",ROW($1:$99),1),";")),"",ROW($1:$99)),COLUMN(E12))-1)</f>
        <v/>
      </c>
      <c r="AA13" s="29" t="str">
        <f t="array" ref="AA13">MID(";"&amp;'CASE DATA'!$F13&amp;";",SMALL(IF(ISERROR(SEARCH(MID(";"&amp;'CASE DATA'!$F13&amp;";",ROW($1:$99),1),";")),"",ROW($1:$99)+1),COLUMN(F13)),SMALL(IF(ISERROR(SEARCH(MID(";"&amp;'CASE DATA'!$F13&amp;";",ROW($1:$99),1),";")),"",ROW($1:$99)),COLUMN(F12)+1)-SMALL(IF(ISERROR(SEARCH(MID(";"&amp;'CASE DATA'!$F13&amp;";",ROW($1:$99),1),";")),"",ROW($1:$99)),COLUMN(F12))-1)</f>
        <v/>
      </c>
      <c r="AB13" s="29" t="str">
        <f t="array" ref="AB13">MID(";"&amp;'CASE DATA'!$F13&amp;";",SMALL(IF(ISERROR(SEARCH(MID(";"&amp;'CASE DATA'!$F13&amp;";",ROW($1:$99),1),";")),"",ROW($1:$99)+1),COLUMN(G13)),SMALL(IF(ISERROR(SEARCH(MID(";"&amp;'CASE DATA'!$F13&amp;";",ROW($1:$99),1),";")),"",ROW($1:$99)),COLUMN(G12)+1)-SMALL(IF(ISERROR(SEARCH(MID(";"&amp;'CASE DATA'!$F13&amp;";",ROW($1:$99),1),";")),"",ROW($1:$99)),COLUMN(G12))-1)</f>
        <v/>
      </c>
      <c r="AC13" s="29" t="str">
        <f t="array" ref="AC13">MID(";"&amp;'CASE DATA'!$F13&amp;";",SMALL(IF(ISERROR(SEARCH(MID(";"&amp;'CASE DATA'!$F13&amp;";",ROW($1:$99),1),";")),"",ROW($1:$99)+1),COLUMN(H13)),SMALL(IF(ISERROR(SEARCH(MID(";"&amp;'CASE DATA'!$F13&amp;";",ROW($1:$99),1),";")),"",ROW($1:$99)),COLUMN(H12)+1)-SMALL(IF(ISERROR(SEARCH(MID(";"&amp;'CASE DATA'!$F13&amp;";",ROW($1:$99),1),";")),"",ROW($1:$99)),COLUMN(H12))-1)</f>
        <v/>
      </c>
      <c r="AD13" s="29" t="str">
        <f t="array" ref="AD13">MID(";"&amp;'CASE DATA'!$F13&amp;";",SMALL(IF(ISERROR(SEARCH(MID(";"&amp;'CASE DATA'!$F13&amp;";",ROW($1:$99),1),";")),"",ROW($1:$99)+1),COLUMN(I13)),SMALL(IF(ISERROR(SEARCH(MID(";"&amp;'CASE DATA'!$F13&amp;";",ROW($1:$99),1),";")),"",ROW($1:$99)),COLUMN(I12)+1)-SMALL(IF(ISERROR(SEARCH(MID(";"&amp;'CASE DATA'!$F13&amp;";",ROW($1:$99),1),";")),"",ROW($1:$99)),COLUMN(I12))-1)</f>
        <v/>
      </c>
      <c r="AE13" s="29" t="str">
        <f t="array" ref="AE13">MID(";"&amp;'CASE DATA'!$F13&amp;";",SMALL(IF(ISERROR(SEARCH(MID(";"&amp;'CASE DATA'!$F13&amp;";",ROW($1:$99),1),";")),"",ROW($1:$99)+1),COLUMN(J13)),SMALL(IF(ISERROR(SEARCH(MID(";"&amp;'CASE DATA'!$F13&amp;";",ROW($1:$99),1),";")),"",ROW($1:$99)),COLUMN(J12)+1)-SMALL(IF(ISERROR(SEARCH(MID(";"&amp;'CASE DATA'!$F13&amp;";",ROW($1:$99),1),";")),"",ROW($1:$99)),COLUMN(J12))-1)</f>
        <v/>
      </c>
      <c r="AF13" s="29" t="str">
        <f t="array" ref="AF13">MID(";"&amp;'CASE DATA'!$F13&amp;";",SMALL(IF(ISERROR(SEARCH(MID(";"&amp;'CASE DATA'!$F13&amp;";",ROW($1:$99),1),";")),"",ROW($1:$99)+1),COLUMN(K13)),SMALL(IF(ISERROR(SEARCH(MID(";"&amp;'CASE DATA'!$F13&amp;";",ROW($1:$99),1),";")),"",ROW($1:$99)),COLUMN(K12)+1)-SMALL(IF(ISERROR(SEARCH(MID(";"&amp;'CASE DATA'!$F13&amp;";",ROW($1:$99),1),";")),"",ROW($1:$99)),COLUMN(K12))-1)</f>
        <v/>
      </c>
      <c r="AG13" s="29" t="str">
        <f t="array" ref="AG13">MID(";"&amp;'CASE DATA'!$F13&amp;";",SMALL(IF(ISERROR(SEARCH(MID(";"&amp;'CASE DATA'!$F13&amp;";",ROW($1:$99),1),";")),"",ROW($1:$99)+1),COLUMN(L13)),SMALL(IF(ISERROR(SEARCH(MID(";"&amp;'CASE DATA'!$F13&amp;";",ROW($1:$99),1),";")),"",ROW($1:$99)),COLUMN(L12)+1)-SMALL(IF(ISERROR(SEARCH(MID(";"&amp;'CASE DATA'!$F13&amp;";",ROW($1:$99),1),";")),"",ROW($1:$99)),COLUMN(L12))-1)</f>
        <v/>
      </c>
      <c r="AH13" s="29"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24"/>
      <c r="D14" s="24"/>
      <c r="E14" s="25"/>
      <c r="F14" s="30"/>
      <c r="J14" s="31"/>
      <c r="K14" s="31"/>
      <c r="L14" s="31"/>
      <c r="M14" s="31"/>
      <c r="N14" s="31"/>
      <c r="O14" s="31"/>
      <c r="P14" s="31"/>
      <c r="Q14" s="31"/>
      <c r="R14" s="31"/>
      <c r="S14" s="31"/>
      <c r="T14" s="28">
        <f t="shared" si="1"/>
        <v>0</v>
      </c>
      <c r="U14" s="28"/>
      <c r="W14" s="29" t="str">
        <f t="array" ref="W14">MID(";"&amp;'CASE DATA'!$F14&amp;";",SMALL(IF(ISERROR(SEARCH(MID(";"&amp;'CASE DATA'!$F14&amp;";",ROW($1:$99),1),";")),"",ROW($1:$99)+1),COLUMN(A14)),SMALL(IF(ISERROR(SEARCH(MID(";"&amp;'CASE DATA'!$F14&amp;";",ROW($1:$99),1),";")),"",ROW($1:$99)),COLUMN(A13)+1)-SMALL(IF(ISERROR(SEARCH(MID(";"&amp;'CASE DATA'!$F14&amp;";",ROW($1:$99),1),";")),"",ROW($1:$99)),COLUMN(A13))-1)</f>
        <v/>
      </c>
      <c r="X14" s="29" t="str">
        <f t="array" ref="X14">MID(";"&amp;'CASE DATA'!$F14&amp;";",SMALL(IF(ISERROR(SEARCH(MID(";"&amp;'CASE DATA'!$F14&amp;";",ROW($1:$99),1),";")),"",ROW($1:$99)+1),COLUMN(B14)),SMALL(IF(ISERROR(SEARCH(MID(";"&amp;'CASE DATA'!$F14&amp;";",ROW($1:$99),1),";")),"",ROW($1:$99)),COLUMN(B13)+1)-SMALL(IF(ISERROR(SEARCH(MID(";"&amp;'CASE DATA'!$F14&amp;";",ROW($1:$99),1),";")),"",ROW($1:$99)),COLUMN(B13))-1)</f>
        <v/>
      </c>
      <c r="Y14" s="29" t="str">
        <f t="array" ref="Y14">MID(";"&amp;'CASE DATA'!$F14&amp;";",SMALL(IF(ISERROR(SEARCH(MID(";"&amp;'CASE DATA'!$F14&amp;";",ROW($1:$99),1),";")),"",ROW($1:$99)+1),COLUMN(D14)),SMALL(IF(ISERROR(SEARCH(MID(";"&amp;'CASE DATA'!$F14&amp;";",ROW($1:$99),1),";")),"",ROW($1:$99)),COLUMN(D13)+1)-SMALL(IF(ISERROR(SEARCH(MID(";"&amp;'CASE DATA'!$F14&amp;";",ROW($1:$99),1),";")),"",ROW($1:$99)),COLUMN(D13))-1)</f>
        <v/>
      </c>
      <c r="Z14" s="29" t="str">
        <f t="array" ref="Z14">MID(";"&amp;'CASE DATA'!$F14&amp;";",SMALL(IF(ISERROR(SEARCH(MID(";"&amp;'CASE DATA'!$F14&amp;";",ROW($1:$99),1),";")),"",ROW($1:$99)+1),COLUMN(E14)),SMALL(IF(ISERROR(SEARCH(MID(";"&amp;'CASE DATA'!$F14&amp;";",ROW($1:$99),1),";")),"",ROW($1:$99)),COLUMN(E13)+1)-SMALL(IF(ISERROR(SEARCH(MID(";"&amp;'CASE DATA'!$F14&amp;";",ROW($1:$99),1),";")),"",ROW($1:$99)),COLUMN(E13))-1)</f>
        <v/>
      </c>
      <c r="AA14" s="29" t="str">
        <f t="array" ref="AA14">MID(";"&amp;'CASE DATA'!$F14&amp;";",SMALL(IF(ISERROR(SEARCH(MID(";"&amp;'CASE DATA'!$F14&amp;";",ROW($1:$99),1),";")),"",ROW($1:$99)+1),COLUMN(F14)),SMALL(IF(ISERROR(SEARCH(MID(";"&amp;'CASE DATA'!$F14&amp;";",ROW($1:$99),1),";")),"",ROW($1:$99)),COLUMN(F13)+1)-SMALL(IF(ISERROR(SEARCH(MID(";"&amp;'CASE DATA'!$F14&amp;";",ROW($1:$99),1),";")),"",ROW($1:$99)),COLUMN(F13))-1)</f>
        <v/>
      </c>
      <c r="AB14" s="29" t="str">
        <f t="array" ref="AB14">MID(";"&amp;'CASE DATA'!$F14&amp;";",SMALL(IF(ISERROR(SEARCH(MID(";"&amp;'CASE DATA'!$F14&amp;";",ROW($1:$99),1),";")),"",ROW($1:$99)+1),COLUMN(G14)),SMALL(IF(ISERROR(SEARCH(MID(";"&amp;'CASE DATA'!$F14&amp;";",ROW($1:$99),1),";")),"",ROW($1:$99)),COLUMN(G13)+1)-SMALL(IF(ISERROR(SEARCH(MID(";"&amp;'CASE DATA'!$F14&amp;";",ROW($1:$99),1),";")),"",ROW($1:$99)),COLUMN(G13))-1)</f>
        <v/>
      </c>
      <c r="AC14" s="29" t="str">
        <f t="array" ref="AC14">MID(";"&amp;'CASE DATA'!$F14&amp;";",SMALL(IF(ISERROR(SEARCH(MID(";"&amp;'CASE DATA'!$F14&amp;";",ROW($1:$99),1),";")),"",ROW($1:$99)+1),COLUMN(H14)),SMALL(IF(ISERROR(SEARCH(MID(";"&amp;'CASE DATA'!$F14&amp;";",ROW($1:$99),1),";")),"",ROW($1:$99)),COLUMN(H13)+1)-SMALL(IF(ISERROR(SEARCH(MID(";"&amp;'CASE DATA'!$F14&amp;";",ROW($1:$99),1),";")),"",ROW($1:$99)),COLUMN(H13))-1)</f>
        <v/>
      </c>
      <c r="AD14" s="29" t="str">
        <f t="array" ref="AD14">MID(";"&amp;'CASE DATA'!$F14&amp;";",SMALL(IF(ISERROR(SEARCH(MID(";"&amp;'CASE DATA'!$F14&amp;";",ROW($1:$99),1),";")),"",ROW($1:$99)+1),COLUMN(I14)),SMALL(IF(ISERROR(SEARCH(MID(";"&amp;'CASE DATA'!$F14&amp;";",ROW($1:$99),1),";")),"",ROW($1:$99)),COLUMN(I13)+1)-SMALL(IF(ISERROR(SEARCH(MID(";"&amp;'CASE DATA'!$F14&amp;";",ROW($1:$99),1),";")),"",ROW($1:$99)),COLUMN(I13))-1)</f>
        <v/>
      </c>
      <c r="AE14" s="29" t="str">
        <f t="array" ref="AE14">MID(";"&amp;'CASE DATA'!$F14&amp;";",SMALL(IF(ISERROR(SEARCH(MID(";"&amp;'CASE DATA'!$F14&amp;";",ROW($1:$99),1),";")),"",ROW($1:$99)+1),COLUMN(J14)),SMALL(IF(ISERROR(SEARCH(MID(";"&amp;'CASE DATA'!$F14&amp;";",ROW($1:$99),1),";")),"",ROW($1:$99)),COLUMN(J13)+1)-SMALL(IF(ISERROR(SEARCH(MID(";"&amp;'CASE DATA'!$F14&amp;";",ROW($1:$99),1),";")),"",ROW($1:$99)),COLUMN(J13))-1)</f>
        <v/>
      </c>
      <c r="AF14" s="29" t="str">
        <f t="array" ref="AF14">MID(";"&amp;'CASE DATA'!$F14&amp;";",SMALL(IF(ISERROR(SEARCH(MID(";"&amp;'CASE DATA'!$F14&amp;";",ROW($1:$99),1),";")),"",ROW($1:$99)+1),COLUMN(K14)),SMALL(IF(ISERROR(SEARCH(MID(";"&amp;'CASE DATA'!$F14&amp;";",ROW($1:$99),1),";")),"",ROW($1:$99)),COLUMN(K13)+1)-SMALL(IF(ISERROR(SEARCH(MID(";"&amp;'CASE DATA'!$F14&amp;";",ROW($1:$99),1),";")),"",ROW($1:$99)),COLUMN(K13))-1)</f>
        <v/>
      </c>
      <c r="AG14" s="29" t="str">
        <f t="array" ref="AG14">MID(";"&amp;'CASE DATA'!$F14&amp;";",SMALL(IF(ISERROR(SEARCH(MID(";"&amp;'CASE DATA'!$F14&amp;";",ROW($1:$99),1),";")),"",ROW($1:$99)+1),COLUMN(L14)),SMALL(IF(ISERROR(SEARCH(MID(";"&amp;'CASE DATA'!$F14&amp;";",ROW($1:$99),1),";")),"",ROW($1:$99)),COLUMN(L13)+1)-SMALL(IF(ISERROR(SEARCH(MID(";"&amp;'CASE DATA'!$F14&amp;";",ROW($1:$99),1),";")),"",ROW($1:$99)),COLUMN(L13))-1)</f>
        <v/>
      </c>
      <c r="AH14" s="29"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24"/>
      <c r="D15" s="24"/>
      <c r="E15" s="25"/>
      <c r="F15" s="30"/>
      <c r="J15" s="31"/>
      <c r="K15" s="31"/>
      <c r="L15" s="31"/>
      <c r="M15" s="31"/>
      <c r="N15" s="31"/>
      <c r="O15" s="31"/>
      <c r="P15" s="31"/>
      <c r="Q15" s="31"/>
      <c r="R15" s="31"/>
      <c r="S15" s="31"/>
      <c r="T15" s="28">
        <f t="shared" si="1"/>
        <v>0</v>
      </c>
      <c r="U15" s="28"/>
      <c r="W15" s="29" t="str">
        <f t="array" ref="W15">MID(";"&amp;'CASE DATA'!$F15&amp;";",SMALL(IF(ISERROR(SEARCH(MID(";"&amp;'CASE DATA'!$F15&amp;";",ROW($1:$99),1),";")),"",ROW($1:$99)+1),COLUMN(A15)),SMALL(IF(ISERROR(SEARCH(MID(";"&amp;'CASE DATA'!$F15&amp;";",ROW($1:$99),1),";")),"",ROW($1:$99)),COLUMN(A14)+1)-SMALL(IF(ISERROR(SEARCH(MID(";"&amp;'CASE DATA'!$F15&amp;";",ROW($1:$99),1),";")),"",ROW($1:$99)),COLUMN(A14))-1)</f>
        <v/>
      </c>
      <c r="X15" s="29" t="str">
        <f t="array" ref="X15">MID(";"&amp;'CASE DATA'!$F15&amp;";",SMALL(IF(ISERROR(SEARCH(MID(";"&amp;'CASE DATA'!$F15&amp;";",ROW($1:$99),1),";")),"",ROW($1:$99)+1),COLUMN(B15)),SMALL(IF(ISERROR(SEARCH(MID(";"&amp;'CASE DATA'!$F15&amp;";",ROW($1:$99),1),";")),"",ROW($1:$99)),COLUMN(B14)+1)-SMALL(IF(ISERROR(SEARCH(MID(";"&amp;'CASE DATA'!$F15&amp;";",ROW($1:$99),1),";")),"",ROW($1:$99)),COLUMN(B14))-1)</f>
        <v/>
      </c>
      <c r="Y15" s="29" t="str">
        <f t="array" ref="Y15">MID(";"&amp;'CASE DATA'!$F15&amp;";",SMALL(IF(ISERROR(SEARCH(MID(";"&amp;'CASE DATA'!$F15&amp;";",ROW($1:$99),1),";")),"",ROW($1:$99)+1),COLUMN(D15)),SMALL(IF(ISERROR(SEARCH(MID(";"&amp;'CASE DATA'!$F15&amp;";",ROW($1:$99),1),";")),"",ROW($1:$99)),COLUMN(D14)+1)-SMALL(IF(ISERROR(SEARCH(MID(";"&amp;'CASE DATA'!$F15&amp;";",ROW($1:$99),1),";")),"",ROW($1:$99)),COLUMN(D14))-1)</f>
        <v/>
      </c>
      <c r="Z15" s="29" t="str">
        <f t="array" ref="Z15">MID(";"&amp;'CASE DATA'!$F15&amp;";",SMALL(IF(ISERROR(SEARCH(MID(";"&amp;'CASE DATA'!$F15&amp;";",ROW($1:$99),1),";")),"",ROW($1:$99)+1),COLUMN(E15)),SMALL(IF(ISERROR(SEARCH(MID(";"&amp;'CASE DATA'!$F15&amp;";",ROW($1:$99),1),";")),"",ROW($1:$99)),COLUMN(E14)+1)-SMALL(IF(ISERROR(SEARCH(MID(";"&amp;'CASE DATA'!$F15&amp;";",ROW($1:$99),1),";")),"",ROW($1:$99)),COLUMN(E14))-1)</f>
        <v/>
      </c>
      <c r="AA15" s="29" t="str">
        <f t="array" ref="AA15">MID(";"&amp;'CASE DATA'!$F15&amp;";",SMALL(IF(ISERROR(SEARCH(MID(";"&amp;'CASE DATA'!$F15&amp;";",ROW($1:$99),1),";")),"",ROW($1:$99)+1),COLUMN(F15)),SMALL(IF(ISERROR(SEARCH(MID(";"&amp;'CASE DATA'!$F15&amp;";",ROW($1:$99),1),";")),"",ROW($1:$99)),COLUMN(F14)+1)-SMALL(IF(ISERROR(SEARCH(MID(";"&amp;'CASE DATA'!$F15&amp;";",ROW($1:$99),1),";")),"",ROW($1:$99)),COLUMN(F14))-1)</f>
        <v/>
      </c>
      <c r="AB15" s="29" t="str">
        <f t="array" ref="AB15">MID(";"&amp;'CASE DATA'!$F15&amp;";",SMALL(IF(ISERROR(SEARCH(MID(";"&amp;'CASE DATA'!$F15&amp;";",ROW($1:$99),1),";")),"",ROW($1:$99)+1),COLUMN(G15)),SMALL(IF(ISERROR(SEARCH(MID(";"&amp;'CASE DATA'!$F15&amp;";",ROW($1:$99),1),";")),"",ROW($1:$99)),COLUMN(G14)+1)-SMALL(IF(ISERROR(SEARCH(MID(";"&amp;'CASE DATA'!$F15&amp;";",ROW($1:$99),1),";")),"",ROW($1:$99)),COLUMN(G14))-1)</f>
        <v/>
      </c>
      <c r="AC15" s="29" t="str">
        <f t="array" ref="AC15">MID(";"&amp;'CASE DATA'!$F15&amp;";",SMALL(IF(ISERROR(SEARCH(MID(";"&amp;'CASE DATA'!$F15&amp;";",ROW($1:$99),1),";")),"",ROW($1:$99)+1),COLUMN(H15)),SMALL(IF(ISERROR(SEARCH(MID(";"&amp;'CASE DATA'!$F15&amp;";",ROW($1:$99),1),";")),"",ROW($1:$99)),COLUMN(H14)+1)-SMALL(IF(ISERROR(SEARCH(MID(";"&amp;'CASE DATA'!$F15&amp;";",ROW($1:$99),1),";")),"",ROW($1:$99)),COLUMN(H14))-1)</f>
        <v/>
      </c>
      <c r="AD15" s="29" t="str">
        <f t="array" ref="AD15">MID(";"&amp;'CASE DATA'!$F15&amp;";",SMALL(IF(ISERROR(SEARCH(MID(";"&amp;'CASE DATA'!$F15&amp;";",ROW($1:$99),1),";")),"",ROW($1:$99)+1),COLUMN(I15)),SMALL(IF(ISERROR(SEARCH(MID(";"&amp;'CASE DATA'!$F15&amp;";",ROW($1:$99),1),";")),"",ROW($1:$99)),COLUMN(I14)+1)-SMALL(IF(ISERROR(SEARCH(MID(";"&amp;'CASE DATA'!$F15&amp;";",ROW($1:$99),1),";")),"",ROW($1:$99)),COLUMN(I14))-1)</f>
        <v/>
      </c>
      <c r="AE15" s="29" t="str">
        <f t="array" ref="AE15">MID(";"&amp;'CASE DATA'!$F15&amp;";",SMALL(IF(ISERROR(SEARCH(MID(";"&amp;'CASE DATA'!$F15&amp;";",ROW($1:$99),1),";")),"",ROW($1:$99)+1),COLUMN(J15)),SMALL(IF(ISERROR(SEARCH(MID(";"&amp;'CASE DATA'!$F15&amp;";",ROW($1:$99),1),";")),"",ROW($1:$99)),COLUMN(J14)+1)-SMALL(IF(ISERROR(SEARCH(MID(";"&amp;'CASE DATA'!$F15&amp;";",ROW($1:$99),1),";")),"",ROW($1:$99)),COLUMN(J14))-1)</f>
        <v/>
      </c>
      <c r="AF15" s="29" t="str">
        <f t="array" ref="AF15">MID(";"&amp;'CASE DATA'!$F15&amp;";",SMALL(IF(ISERROR(SEARCH(MID(";"&amp;'CASE DATA'!$F15&amp;";",ROW($1:$99),1),";")),"",ROW($1:$99)+1),COLUMN(K15)),SMALL(IF(ISERROR(SEARCH(MID(";"&amp;'CASE DATA'!$F15&amp;";",ROW($1:$99),1),";")),"",ROW($1:$99)),COLUMN(K14)+1)-SMALL(IF(ISERROR(SEARCH(MID(";"&amp;'CASE DATA'!$F15&amp;";",ROW($1:$99),1),";")),"",ROW($1:$99)),COLUMN(K14))-1)</f>
        <v/>
      </c>
      <c r="AG15" s="29" t="str">
        <f t="array" ref="AG15">MID(";"&amp;'CASE DATA'!$F15&amp;";",SMALL(IF(ISERROR(SEARCH(MID(";"&amp;'CASE DATA'!$F15&amp;";",ROW($1:$99),1),";")),"",ROW($1:$99)+1),COLUMN(L15)),SMALL(IF(ISERROR(SEARCH(MID(";"&amp;'CASE DATA'!$F15&amp;";",ROW($1:$99),1),";")),"",ROW($1:$99)),COLUMN(L14)+1)-SMALL(IF(ISERROR(SEARCH(MID(";"&amp;'CASE DATA'!$F15&amp;";",ROW($1:$99),1),";")),"",ROW($1:$99)),COLUMN(L14))-1)</f>
        <v/>
      </c>
      <c r="AH15" s="29"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25"/>
      <c r="C16" s="24"/>
      <c r="D16" s="24"/>
      <c r="E16" s="25"/>
      <c r="F16" s="30"/>
      <c r="J16" s="31"/>
      <c r="K16" s="31"/>
      <c r="L16" s="31"/>
      <c r="M16" s="31"/>
      <c r="N16" s="31"/>
      <c r="O16" s="31"/>
      <c r="P16" s="31"/>
      <c r="Q16" s="31"/>
      <c r="R16" s="31"/>
      <c r="S16" s="31"/>
      <c r="T16" s="28">
        <f t="shared" si="1"/>
        <v>0</v>
      </c>
      <c r="U16" s="28"/>
      <c r="W16" s="29" t="str">
        <f t="array" ref="W16">MID(";"&amp;'CASE DATA'!$F16&amp;";",SMALL(IF(ISERROR(SEARCH(MID(";"&amp;'CASE DATA'!$F16&amp;";",ROW($1:$99),1),";")),"",ROW($1:$99)+1),COLUMN(A16)),SMALL(IF(ISERROR(SEARCH(MID(";"&amp;'CASE DATA'!$F16&amp;";",ROW($1:$99),1),";")),"",ROW($1:$99)),COLUMN(A15)+1)-SMALL(IF(ISERROR(SEARCH(MID(";"&amp;'CASE DATA'!$F16&amp;";",ROW($1:$99),1),";")),"",ROW($1:$99)),COLUMN(A15))-1)</f>
        <v/>
      </c>
      <c r="X16" s="29" t="str">
        <f t="array" ref="X16">MID(";"&amp;'CASE DATA'!$F16&amp;";",SMALL(IF(ISERROR(SEARCH(MID(";"&amp;'CASE DATA'!$F16&amp;";",ROW($1:$99),1),";")),"",ROW($1:$99)+1),COLUMN(B16)),SMALL(IF(ISERROR(SEARCH(MID(";"&amp;'CASE DATA'!$F16&amp;";",ROW($1:$99),1),";")),"",ROW($1:$99)),COLUMN(B15)+1)-SMALL(IF(ISERROR(SEARCH(MID(";"&amp;'CASE DATA'!$F16&amp;";",ROW($1:$99),1),";")),"",ROW($1:$99)),COLUMN(B15))-1)</f>
        <v/>
      </c>
      <c r="Y16" s="29" t="str">
        <f t="array" ref="Y16">MID(";"&amp;'CASE DATA'!$F16&amp;";",SMALL(IF(ISERROR(SEARCH(MID(";"&amp;'CASE DATA'!$F16&amp;";",ROW($1:$99),1),";")),"",ROW($1:$99)+1),COLUMN(D16)),SMALL(IF(ISERROR(SEARCH(MID(";"&amp;'CASE DATA'!$F16&amp;";",ROW($1:$99),1),";")),"",ROW($1:$99)),COLUMN(D15)+1)-SMALL(IF(ISERROR(SEARCH(MID(";"&amp;'CASE DATA'!$F16&amp;";",ROW($1:$99),1),";")),"",ROW($1:$99)),COLUMN(D15))-1)</f>
        <v/>
      </c>
      <c r="Z16" s="29" t="str">
        <f t="array" ref="Z16">MID(";"&amp;'CASE DATA'!$F16&amp;";",SMALL(IF(ISERROR(SEARCH(MID(";"&amp;'CASE DATA'!$F16&amp;";",ROW($1:$99),1),";")),"",ROW($1:$99)+1),COLUMN(E16)),SMALL(IF(ISERROR(SEARCH(MID(";"&amp;'CASE DATA'!$F16&amp;";",ROW($1:$99),1),";")),"",ROW($1:$99)),COLUMN(E15)+1)-SMALL(IF(ISERROR(SEARCH(MID(";"&amp;'CASE DATA'!$F16&amp;";",ROW($1:$99),1),";")),"",ROW($1:$99)),COLUMN(E15))-1)</f>
        <v/>
      </c>
      <c r="AA16" s="29" t="str">
        <f t="array" ref="AA16">MID(";"&amp;'CASE DATA'!$F16&amp;";",SMALL(IF(ISERROR(SEARCH(MID(";"&amp;'CASE DATA'!$F16&amp;";",ROW($1:$99),1),";")),"",ROW($1:$99)+1),COLUMN(F16)),SMALL(IF(ISERROR(SEARCH(MID(";"&amp;'CASE DATA'!$F16&amp;";",ROW($1:$99),1),";")),"",ROW($1:$99)),COLUMN(F15)+1)-SMALL(IF(ISERROR(SEARCH(MID(";"&amp;'CASE DATA'!$F16&amp;";",ROW($1:$99),1),";")),"",ROW($1:$99)),COLUMN(F15))-1)</f>
        <v/>
      </c>
      <c r="AB16" s="29" t="str">
        <f t="array" ref="AB16">MID(";"&amp;'CASE DATA'!$F16&amp;";",SMALL(IF(ISERROR(SEARCH(MID(";"&amp;'CASE DATA'!$F16&amp;";",ROW($1:$99),1),";")),"",ROW($1:$99)+1),COLUMN(G16)),SMALL(IF(ISERROR(SEARCH(MID(";"&amp;'CASE DATA'!$F16&amp;";",ROW($1:$99),1),";")),"",ROW($1:$99)),COLUMN(G15)+1)-SMALL(IF(ISERROR(SEARCH(MID(";"&amp;'CASE DATA'!$F16&amp;";",ROW($1:$99),1),";")),"",ROW($1:$99)),COLUMN(G15))-1)</f>
        <v/>
      </c>
      <c r="AC16" s="29" t="str">
        <f t="array" ref="AC16">MID(";"&amp;'CASE DATA'!$F16&amp;";",SMALL(IF(ISERROR(SEARCH(MID(";"&amp;'CASE DATA'!$F16&amp;";",ROW($1:$99),1),";")),"",ROW($1:$99)+1),COLUMN(H16)),SMALL(IF(ISERROR(SEARCH(MID(";"&amp;'CASE DATA'!$F16&amp;";",ROW($1:$99),1),";")),"",ROW($1:$99)),COLUMN(H15)+1)-SMALL(IF(ISERROR(SEARCH(MID(";"&amp;'CASE DATA'!$F16&amp;";",ROW($1:$99),1),";")),"",ROW($1:$99)),COLUMN(H15))-1)</f>
        <v/>
      </c>
      <c r="AD16" s="29" t="str">
        <f t="array" ref="AD16">MID(";"&amp;'CASE DATA'!$F16&amp;";",SMALL(IF(ISERROR(SEARCH(MID(";"&amp;'CASE DATA'!$F16&amp;";",ROW($1:$99),1),";")),"",ROW($1:$99)+1),COLUMN(I16)),SMALL(IF(ISERROR(SEARCH(MID(";"&amp;'CASE DATA'!$F16&amp;";",ROW($1:$99),1),";")),"",ROW($1:$99)),COLUMN(I15)+1)-SMALL(IF(ISERROR(SEARCH(MID(";"&amp;'CASE DATA'!$F16&amp;";",ROW($1:$99),1),";")),"",ROW($1:$99)),COLUMN(I15))-1)</f>
        <v/>
      </c>
      <c r="AE16" s="29" t="str">
        <f t="array" ref="AE16">MID(";"&amp;'CASE DATA'!$F16&amp;";",SMALL(IF(ISERROR(SEARCH(MID(";"&amp;'CASE DATA'!$F16&amp;";",ROW($1:$99),1),";")),"",ROW($1:$99)+1),COLUMN(J16)),SMALL(IF(ISERROR(SEARCH(MID(";"&amp;'CASE DATA'!$F16&amp;";",ROW($1:$99),1),";")),"",ROW($1:$99)),COLUMN(J15)+1)-SMALL(IF(ISERROR(SEARCH(MID(";"&amp;'CASE DATA'!$F16&amp;";",ROW($1:$99),1),";")),"",ROW($1:$99)),COLUMN(J15))-1)</f>
        <v/>
      </c>
      <c r="AF16" s="29" t="str">
        <f t="array" ref="AF16">MID(";"&amp;'CASE DATA'!$F16&amp;";",SMALL(IF(ISERROR(SEARCH(MID(";"&amp;'CASE DATA'!$F16&amp;";",ROW($1:$99),1),";")),"",ROW($1:$99)+1),COLUMN(K16)),SMALL(IF(ISERROR(SEARCH(MID(";"&amp;'CASE DATA'!$F16&amp;";",ROW($1:$99),1),";")),"",ROW($1:$99)),COLUMN(K15)+1)-SMALL(IF(ISERROR(SEARCH(MID(";"&amp;'CASE DATA'!$F16&amp;";",ROW($1:$99),1),";")),"",ROW($1:$99)),COLUMN(K15))-1)</f>
        <v/>
      </c>
      <c r="AG16" s="29" t="str">
        <f t="array" ref="AG16">MID(";"&amp;'CASE DATA'!$F16&amp;";",SMALL(IF(ISERROR(SEARCH(MID(";"&amp;'CASE DATA'!$F16&amp;";",ROW($1:$99),1),";")),"",ROW($1:$99)+1),COLUMN(L16)),SMALL(IF(ISERROR(SEARCH(MID(";"&amp;'CASE DATA'!$F16&amp;";",ROW($1:$99),1),";")),"",ROW($1:$99)),COLUMN(L15)+1)-SMALL(IF(ISERROR(SEARCH(MID(";"&amp;'CASE DATA'!$F16&amp;";",ROW($1:$99),1),";")),"",ROW($1:$99)),COLUMN(L15))-1)</f>
        <v/>
      </c>
      <c r="AH16" s="29"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25"/>
      <c r="C17" s="24"/>
      <c r="D17" s="24"/>
      <c r="E17" s="25"/>
      <c r="F17" s="30"/>
      <c r="J17" s="31"/>
      <c r="K17" s="31"/>
      <c r="L17" s="31"/>
      <c r="M17" s="31"/>
      <c r="N17" s="31"/>
      <c r="O17" s="31"/>
      <c r="P17" s="31"/>
      <c r="Q17" s="31"/>
      <c r="R17" s="31"/>
      <c r="S17" s="31"/>
      <c r="T17" s="28">
        <f t="shared" si="1"/>
        <v>0</v>
      </c>
      <c r="U17" s="28"/>
      <c r="W17" s="29" t="str">
        <f t="array" ref="W17">MID(";"&amp;'CASE DATA'!$F17&amp;";",SMALL(IF(ISERROR(SEARCH(MID(";"&amp;'CASE DATA'!$F17&amp;";",ROW($1:$99),1),";")),"",ROW($1:$99)+1),COLUMN(A17)),SMALL(IF(ISERROR(SEARCH(MID(";"&amp;'CASE DATA'!$F17&amp;";",ROW($1:$99),1),";")),"",ROW($1:$99)),COLUMN(A16)+1)-SMALL(IF(ISERROR(SEARCH(MID(";"&amp;'CASE DATA'!$F17&amp;";",ROW($1:$99),1),";")),"",ROW($1:$99)),COLUMN(A16))-1)</f>
        <v/>
      </c>
      <c r="X17" s="29" t="str">
        <f t="array" ref="X17">MID(";"&amp;'CASE DATA'!$F17&amp;";",SMALL(IF(ISERROR(SEARCH(MID(";"&amp;'CASE DATA'!$F17&amp;";",ROW($1:$99),1),";")),"",ROW($1:$99)+1),COLUMN(B17)),SMALL(IF(ISERROR(SEARCH(MID(";"&amp;'CASE DATA'!$F17&amp;";",ROW($1:$99),1),";")),"",ROW($1:$99)),COLUMN(B16)+1)-SMALL(IF(ISERROR(SEARCH(MID(";"&amp;'CASE DATA'!$F17&amp;";",ROW($1:$99),1),";")),"",ROW($1:$99)),COLUMN(B16))-1)</f>
        <v/>
      </c>
      <c r="Y17" s="29" t="str">
        <f t="array" ref="Y17">MID(";"&amp;'CASE DATA'!$F17&amp;";",SMALL(IF(ISERROR(SEARCH(MID(";"&amp;'CASE DATA'!$F17&amp;";",ROW($1:$99),1),";")),"",ROW($1:$99)+1),COLUMN(D17)),SMALL(IF(ISERROR(SEARCH(MID(";"&amp;'CASE DATA'!$F17&amp;";",ROW($1:$99),1),";")),"",ROW($1:$99)),COLUMN(D16)+1)-SMALL(IF(ISERROR(SEARCH(MID(";"&amp;'CASE DATA'!$F17&amp;";",ROW($1:$99),1),";")),"",ROW($1:$99)),COLUMN(D16))-1)</f>
        <v/>
      </c>
      <c r="Z17" s="29" t="str">
        <f t="array" ref="Z17">MID(";"&amp;'CASE DATA'!$F17&amp;";",SMALL(IF(ISERROR(SEARCH(MID(";"&amp;'CASE DATA'!$F17&amp;";",ROW($1:$99),1),";")),"",ROW($1:$99)+1),COLUMN(E17)),SMALL(IF(ISERROR(SEARCH(MID(";"&amp;'CASE DATA'!$F17&amp;";",ROW($1:$99),1),";")),"",ROW($1:$99)),COLUMN(E16)+1)-SMALL(IF(ISERROR(SEARCH(MID(";"&amp;'CASE DATA'!$F17&amp;";",ROW($1:$99),1),";")),"",ROW($1:$99)),COLUMN(E16))-1)</f>
        <v/>
      </c>
      <c r="AA17" s="29" t="str">
        <f t="array" ref="AA17">MID(";"&amp;'CASE DATA'!$F17&amp;";",SMALL(IF(ISERROR(SEARCH(MID(";"&amp;'CASE DATA'!$F17&amp;";",ROW($1:$99),1),";")),"",ROW($1:$99)+1),COLUMN(F17)),SMALL(IF(ISERROR(SEARCH(MID(";"&amp;'CASE DATA'!$F17&amp;";",ROW($1:$99),1),";")),"",ROW($1:$99)),COLUMN(F16)+1)-SMALL(IF(ISERROR(SEARCH(MID(";"&amp;'CASE DATA'!$F17&amp;";",ROW($1:$99),1),";")),"",ROW($1:$99)),COLUMN(F16))-1)</f>
        <v/>
      </c>
      <c r="AB17" s="29" t="str">
        <f t="array" ref="AB17">MID(";"&amp;'CASE DATA'!$F17&amp;";",SMALL(IF(ISERROR(SEARCH(MID(";"&amp;'CASE DATA'!$F17&amp;";",ROW($1:$99),1),";")),"",ROW($1:$99)+1),COLUMN(G17)),SMALL(IF(ISERROR(SEARCH(MID(";"&amp;'CASE DATA'!$F17&amp;";",ROW($1:$99),1),";")),"",ROW($1:$99)),COLUMN(G16)+1)-SMALL(IF(ISERROR(SEARCH(MID(";"&amp;'CASE DATA'!$F17&amp;";",ROW($1:$99),1),";")),"",ROW($1:$99)),COLUMN(G16))-1)</f>
        <v/>
      </c>
      <c r="AC17" s="29" t="str">
        <f t="array" ref="AC17">MID(";"&amp;'CASE DATA'!$F17&amp;";",SMALL(IF(ISERROR(SEARCH(MID(";"&amp;'CASE DATA'!$F17&amp;";",ROW($1:$99),1),";")),"",ROW($1:$99)+1),COLUMN(H17)),SMALL(IF(ISERROR(SEARCH(MID(";"&amp;'CASE DATA'!$F17&amp;";",ROW($1:$99),1),";")),"",ROW($1:$99)),COLUMN(H16)+1)-SMALL(IF(ISERROR(SEARCH(MID(";"&amp;'CASE DATA'!$F17&amp;";",ROW($1:$99),1),";")),"",ROW($1:$99)),COLUMN(H16))-1)</f>
        <v/>
      </c>
      <c r="AD17" s="29" t="str">
        <f t="array" ref="AD17">MID(";"&amp;'CASE DATA'!$F17&amp;";",SMALL(IF(ISERROR(SEARCH(MID(";"&amp;'CASE DATA'!$F17&amp;";",ROW($1:$99),1),";")),"",ROW($1:$99)+1),COLUMN(I17)),SMALL(IF(ISERROR(SEARCH(MID(";"&amp;'CASE DATA'!$F17&amp;";",ROW($1:$99),1),";")),"",ROW($1:$99)),COLUMN(I16)+1)-SMALL(IF(ISERROR(SEARCH(MID(";"&amp;'CASE DATA'!$F17&amp;";",ROW($1:$99),1),";")),"",ROW($1:$99)),COLUMN(I16))-1)</f>
        <v/>
      </c>
      <c r="AE17" s="29" t="str">
        <f t="array" ref="AE17">MID(";"&amp;'CASE DATA'!$F17&amp;";",SMALL(IF(ISERROR(SEARCH(MID(";"&amp;'CASE DATA'!$F17&amp;";",ROW($1:$99),1),";")),"",ROW($1:$99)+1),COLUMN(J17)),SMALL(IF(ISERROR(SEARCH(MID(";"&amp;'CASE DATA'!$F17&amp;";",ROW($1:$99),1),";")),"",ROW($1:$99)),COLUMN(J16)+1)-SMALL(IF(ISERROR(SEARCH(MID(";"&amp;'CASE DATA'!$F17&amp;";",ROW($1:$99),1),";")),"",ROW($1:$99)),COLUMN(J16))-1)</f>
        <v/>
      </c>
      <c r="AF17" s="29" t="str">
        <f t="array" ref="AF17">MID(";"&amp;'CASE DATA'!$F17&amp;";",SMALL(IF(ISERROR(SEARCH(MID(";"&amp;'CASE DATA'!$F17&amp;";",ROW($1:$99),1),";")),"",ROW($1:$99)+1),COLUMN(K17)),SMALL(IF(ISERROR(SEARCH(MID(";"&amp;'CASE DATA'!$F17&amp;";",ROW($1:$99),1),";")),"",ROW($1:$99)),COLUMN(K16)+1)-SMALL(IF(ISERROR(SEARCH(MID(";"&amp;'CASE DATA'!$F17&amp;";",ROW($1:$99),1),";")),"",ROW($1:$99)),COLUMN(K16))-1)</f>
        <v/>
      </c>
      <c r="AG17" s="29" t="str">
        <f t="array" ref="AG17">MID(";"&amp;'CASE DATA'!$F17&amp;";",SMALL(IF(ISERROR(SEARCH(MID(";"&amp;'CASE DATA'!$F17&amp;";",ROW($1:$99),1),";")),"",ROW($1:$99)+1),COLUMN(L17)),SMALL(IF(ISERROR(SEARCH(MID(";"&amp;'CASE DATA'!$F17&amp;";",ROW($1:$99),1),";")),"",ROW($1:$99)),COLUMN(L16)+1)-SMALL(IF(ISERROR(SEARCH(MID(";"&amp;'CASE DATA'!$F17&amp;";",ROW($1:$99),1),";")),"",ROW($1:$99)),COLUMN(L16))-1)</f>
        <v/>
      </c>
      <c r="AH17" s="29"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25"/>
      <c r="C18" s="24"/>
      <c r="D18" s="24"/>
      <c r="E18" s="25"/>
      <c r="F18" s="30"/>
      <c r="J18" s="31"/>
      <c r="K18" s="31"/>
      <c r="L18" s="31"/>
      <c r="M18" s="31"/>
      <c r="N18" s="31"/>
      <c r="O18" s="31"/>
      <c r="P18" s="31"/>
      <c r="Q18" s="31"/>
      <c r="R18" s="31"/>
      <c r="S18" s="31"/>
      <c r="T18" s="28">
        <f t="shared" si="1"/>
        <v>0</v>
      </c>
      <c r="U18" s="28"/>
      <c r="W18" s="29" t="str">
        <f t="array" ref="W18">MID(";"&amp;'CASE DATA'!$F18&amp;";",SMALL(IF(ISERROR(SEARCH(MID(";"&amp;'CASE DATA'!$F18&amp;";",ROW($1:$99),1),";")),"",ROW($1:$99)+1),COLUMN(A18)),SMALL(IF(ISERROR(SEARCH(MID(";"&amp;'CASE DATA'!$F18&amp;";",ROW($1:$99),1),";")),"",ROW($1:$99)),COLUMN(A17)+1)-SMALL(IF(ISERROR(SEARCH(MID(";"&amp;'CASE DATA'!$F18&amp;";",ROW($1:$99),1),";")),"",ROW($1:$99)),COLUMN(A17))-1)</f>
        <v/>
      </c>
      <c r="X18" s="29" t="str">
        <f t="array" ref="X18">MID(";"&amp;'CASE DATA'!$F18&amp;";",SMALL(IF(ISERROR(SEARCH(MID(";"&amp;'CASE DATA'!$F18&amp;";",ROW($1:$99),1),";")),"",ROW($1:$99)+1),COLUMN(B18)),SMALL(IF(ISERROR(SEARCH(MID(";"&amp;'CASE DATA'!$F18&amp;";",ROW($1:$99),1),";")),"",ROW($1:$99)),COLUMN(B17)+1)-SMALL(IF(ISERROR(SEARCH(MID(";"&amp;'CASE DATA'!$F18&amp;";",ROW($1:$99),1),";")),"",ROW($1:$99)),COLUMN(B17))-1)</f>
        <v/>
      </c>
      <c r="Y18" s="29" t="str">
        <f t="array" ref="Y18">MID(";"&amp;'CASE DATA'!$F18&amp;";",SMALL(IF(ISERROR(SEARCH(MID(";"&amp;'CASE DATA'!$F18&amp;";",ROW($1:$99),1),";")),"",ROW($1:$99)+1),COLUMN(D18)),SMALL(IF(ISERROR(SEARCH(MID(";"&amp;'CASE DATA'!$F18&amp;";",ROW($1:$99),1),";")),"",ROW($1:$99)),COLUMN(D17)+1)-SMALL(IF(ISERROR(SEARCH(MID(";"&amp;'CASE DATA'!$F18&amp;";",ROW($1:$99),1),";")),"",ROW($1:$99)),COLUMN(D17))-1)</f>
        <v/>
      </c>
      <c r="Z18" s="29" t="str">
        <f t="array" ref="Z18">MID(";"&amp;'CASE DATA'!$F18&amp;";",SMALL(IF(ISERROR(SEARCH(MID(";"&amp;'CASE DATA'!$F18&amp;";",ROW($1:$99),1),";")),"",ROW($1:$99)+1),COLUMN(E18)),SMALL(IF(ISERROR(SEARCH(MID(";"&amp;'CASE DATA'!$F18&amp;";",ROW($1:$99),1),";")),"",ROW($1:$99)),COLUMN(E17)+1)-SMALL(IF(ISERROR(SEARCH(MID(";"&amp;'CASE DATA'!$F18&amp;";",ROW($1:$99),1),";")),"",ROW($1:$99)),COLUMN(E17))-1)</f>
        <v/>
      </c>
      <c r="AA18" s="29" t="str">
        <f t="array" ref="AA18">MID(";"&amp;'CASE DATA'!$F18&amp;";",SMALL(IF(ISERROR(SEARCH(MID(";"&amp;'CASE DATA'!$F18&amp;";",ROW($1:$99),1),";")),"",ROW($1:$99)+1),COLUMN(F18)),SMALL(IF(ISERROR(SEARCH(MID(";"&amp;'CASE DATA'!$F18&amp;";",ROW($1:$99),1),";")),"",ROW($1:$99)),COLUMN(F17)+1)-SMALL(IF(ISERROR(SEARCH(MID(";"&amp;'CASE DATA'!$F18&amp;";",ROW($1:$99),1),";")),"",ROW($1:$99)),COLUMN(F17))-1)</f>
        <v/>
      </c>
      <c r="AB18" s="29" t="str">
        <f t="array" ref="AB18">MID(";"&amp;'CASE DATA'!$F18&amp;";",SMALL(IF(ISERROR(SEARCH(MID(";"&amp;'CASE DATA'!$F18&amp;";",ROW($1:$99),1),";")),"",ROW($1:$99)+1),COLUMN(G18)),SMALL(IF(ISERROR(SEARCH(MID(";"&amp;'CASE DATA'!$F18&amp;";",ROW($1:$99),1),";")),"",ROW($1:$99)),COLUMN(G17)+1)-SMALL(IF(ISERROR(SEARCH(MID(";"&amp;'CASE DATA'!$F18&amp;";",ROW($1:$99),1),";")),"",ROW($1:$99)),COLUMN(G17))-1)</f>
        <v/>
      </c>
      <c r="AC18" s="29" t="str">
        <f t="array" ref="AC18">MID(";"&amp;'CASE DATA'!$F18&amp;";",SMALL(IF(ISERROR(SEARCH(MID(";"&amp;'CASE DATA'!$F18&amp;";",ROW($1:$99),1),";")),"",ROW($1:$99)+1),COLUMN(H18)),SMALL(IF(ISERROR(SEARCH(MID(";"&amp;'CASE DATA'!$F18&amp;";",ROW($1:$99),1),";")),"",ROW($1:$99)),COLUMN(H17)+1)-SMALL(IF(ISERROR(SEARCH(MID(";"&amp;'CASE DATA'!$F18&amp;";",ROW($1:$99),1),";")),"",ROW($1:$99)),COLUMN(H17))-1)</f>
        <v/>
      </c>
      <c r="AD18" s="29" t="str">
        <f t="array" ref="AD18">MID(";"&amp;'CASE DATA'!$F18&amp;";",SMALL(IF(ISERROR(SEARCH(MID(";"&amp;'CASE DATA'!$F18&amp;";",ROW($1:$99),1),";")),"",ROW($1:$99)+1),COLUMN(I18)),SMALL(IF(ISERROR(SEARCH(MID(";"&amp;'CASE DATA'!$F18&amp;";",ROW($1:$99),1),";")),"",ROW($1:$99)),COLUMN(I17)+1)-SMALL(IF(ISERROR(SEARCH(MID(";"&amp;'CASE DATA'!$F18&amp;";",ROW($1:$99),1),";")),"",ROW($1:$99)),COLUMN(I17))-1)</f>
        <v/>
      </c>
      <c r="AE18" s="29" t="str">
        <f t="array" ref="AE18">MID(";"&amp;'CASE DATA'!$F18&amp;";",SMALL(IF(ISERROR(SEARCH(MID(";"&amp;'CASE DATA'!$F18&amp;";",ROW($1:$99),1),";")),"",ROW($1:$99)+1),COLUMN(J18)),SMALL(IF(ISERROR(SEARCH(MID(";"&amp;'CASE DATA'!$F18&amp;";",ROW($1:$99),1),";")),"",ROW($1:$99)),COLUMN(J17)+1)-SMALL(IF(ISERROR(SEARCH(MID(";"&amp;'CASE DATA'!$F18&amp;";",ROW($1:$99),1),";")),"",ROW($1:$99)),COLUMN(J17))-1)</f>
        <v/>
      </c>
      <c r="AF18" s="29" t="str">
        <f t="array" ref="AF18">MID(";"&amp;'CASE DATA'!$F18&amp;";",SMALL(IF(ISERROR(SEARCH(MID(";"&amp;'CASE DATA'!$F18&amp;";",ROW($1:$99),1),";")),"",ROW($1:$99)+1),COLUMN(K18)),SMALL(IF(ISERROR(SEARCH(MID(";"&amp;'CASE DATA'!$F18&amp;";",ROW($1:$99),1),";")),"",ROW($1:$99)),COLUMN(K17)+1)-SMALL(IF(ISERROR(SEARCH(MID(";"&amp;'CASE DATA'!$F18&amp;";",ROW($1:$99),1),";")),"",ROW($1:$99)),COLUMN(K17))-1)</f>
        <v/>
      </c>
      <c r="AG18" s="29" t="str">
        <f t="array" ref="AG18">MID(";"&amp;'CASE DATA'!$F18&amp;";",SMALL(IF(ISERROR(SEARCH(MID(";"&amp;'CASE DATA'!$F18&amp;";",ROW($1:$99),1),";")),"",ROW($1:$99)+1),COLUMN(L18)),SMALL(IF(ISERROR(SEARCH(MID(";"&amp;'CASE DATA'!$F18&amp;";",ROW($1:$99),1),";")),"",ROW($1:$99)),COLUMN(L17)+1)-SMALL(IF(ISERROR(SEARCH(MID(";"&amp;'CASE DATA'!$F18&amp;";",ROW($1:$99),1),";")),"",ROW($1:$99)),COLUMN(L17))-1)</f>
        <v/>
      </c>
      <c r="AH18" s="29"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25"/>
      <c r="C19" s="24"/>
      <c r="D19" s="24"/>
      <c r="E19" s="25"/>
      <c r="F19" s="30"/>
      <c r="J19" s="31"/>
      <c r="K19" s="31"/>
      <c r="L19" s="31"/>
      <c r="M19" s="31"/>
      <c r="N19" s="31"/>
      <c r="O19" s="31"/>
      <c r="P19" s="31"/>
      <c r="Q19" s="31"/>
      <c r="R19" s="31"/>
      <c r="S19" s="31"/>
      <c r="T19" s="28">
        <f t="shared" si="1"/>
        <v>0</v>
      </c>
      <c r="U19" s="28"/>
      <c r="W19" s="29" t="str">
        <f t="array" ref="W19">MID(";"&amp;'CASE DATA'!$F19&amp;";",SMALL(IF(ISERROR(SEARCH(MID(";"&amp;'CASE DATA'!$F19&amp;";",ROW($1:$99),1),";")),"",ROW($1:$99)+1),COLUMN(A19)),SMALL(IF(ISERROR(SEARCH(MID(";"&amp;'CASE DATA'!$F19&amp;";",ROW($1:$99),1),";")),"",ROW($1:$99)),COLUMN(A18)+1)-SMALL(IF(ISERROR(SEARCH(MID(";"&amp;'CASE DATA'!$F19&amp;";",ROW($1:$99),1),";")),"",ROW($1:$99)),COLUMN(A18))-1)</f>
        <v/>
      </c>
      <c r="X19" s="29" t="str">
        <f t="array" ref="X19">MID(";"&amp;'CASE DATA'!$F19&amp;";",SMALL(IF(ISERROR(SEARCH(MID(";"&amp;'CASE DATA'!$F19&amp;";",ROW($1:$99),1),";")),"",ROW($1:$99)+1),COLUMN(B19)),SMALL(IF(ISERROR(SEARCH(MID(";"&amp;'CASE DATA'!$F19&amp;";",ROW($1:$99),1),";")),"",ROW($1:$99)),COLUMN(B18)+1)-SMALL(IF(ISERROR(SEARCH(MID(";"&amp;'CASE DATA'!$F19&amp;";",ROW($1:$99),1),";")),"",ROW($1:$99)),COLUMN(B18))-1)</f>
        <v/>
      </c>
      <c r="Y19" s="29" t="str">
        <f t="array" ref="Y19">MID(";"&amp;'CASE DATA'!$F19&amp;";",SMALL(IF(ISERROR(SEARCH(MID(";"&amp;'CASE DATA'!$F19&amp;";",ROW($1:$99),1),";")),"",ROW($1:$99)+1),COLUMN(D19)),SMALL(IF(ISERROR(SEARCH(MID(";"&amp;'CASE DATA'!$F19&amp;";",ROW($1:$99),1),";")),"",ROW($1:$99)),COLUMN(D18)+1)-SMALL(IF(ISERROR(SEARCH(MID(";"&amp;'CASE DATA'!$F19&amp;";",ROW($1:$99),1),";")),"",ROW($1:$99)),COLUMN(D18))-1)</f>
        <v/>
      </c>
      <c r="Z19" s="29" t="str">
        <f t="array" ref="Z19">MID(";"&amp;'CASE DATA'!$F19&amp;";",SMALL(IF(ISERROR(SEARCH(MID(";"&amp;'CASE DATA'!$F19&amp;";",ROW($1:$99),1),";")),"",ROW($1:$99)+1),COLUMN(E19)),SMALL(IF(ISERROR(SEARCH(MID(";"&amp;'CASE DATA'!$F19&amp;";",ROW($1:$99),1),";")),"",ROW($1:$99)),COLUMN(E18)+1)-SMALL(IF(ISERROR(SEARCH(MID(";"&amp;'CASE DATA'!$F19&amp;";",ROW($1:$99),1),";")),"",ROW($1:$99)),COLUMN(E18))-1)</f>
        <v/>
      </c>
      <c r="AA19" s="29" t="str">
        <f t="array" ref="AA19">MID(";"&amp;'CASE DATA'!$F19&amp;";",SMALL(IF(ISERROR(SEARCH(MID(";"&amp;'CASE DATA'!$F19&amp;";",ROW($1:$99),1),";")),"",ROW($1:$99)+1),COLUMN(F19)),SMALL(IF(ISERROR(SEARCH(MID(";"&amp;'CASE DATA'!$F19&amp;";",ROW($1:$99),1),";")),"",ROW($1:$99)),COLUMN(F18)+1)-SMALL(IF(ISERROR(SEARCH(MID(";"&amp;'CASE DATA'!$F19&amp;";",ROW($1:$99),1),";")),"",ROW($1:$99)),COLUMN(F18))-1)</f>
        <v/>
      </c>
      <c r="AB19" s="29" t="str">
        <f t="array" ref="AB19">MID(";"&amp;'CASE DATA'!$F19&amp;";",SMALL(IF(ISERROR(SEARCH(MID(";"&amp;'CASE DATA'!$F19&amp;";",ROW($1:$99),1),";")),"",ROW($1:$99)+1),COLUMN(G19)),SMALL(IF(ISERROR(SEARCH(MID(";"&amp;'CASE DATA'!$F19&amp;";",ROW($1:$99),1),";")),"",ROW($1:$99)),COLUMN(G18)+1)-SMALL(IF(ISERROR(SEARCH(MID(";"&amp;'CASE DATA'!$F19&amp;";",ROW($1:$99),1),";")),"",ROW($1:$99)),COLUMN(G18))-1)</f>
        <v/>
      </c>
      <c r="AC19" s="29" t="str">
        <f t="array" ref="AC19">MID(";"&amp;'CASE DATA'!$F19&amp;";",SMALL(IF(ISERROR(SEARCH(MID(";"&amp;'CASE DATA'!$F19&amp;";",ROW($1:$99),1),";")),"",ROW($1:$99)+1),COLUMN(H19)),SMALL(IF(ISERROR(SEARCH(MID(";"&amp;'CASE DATA'!$F19&amp;";",ROW($1:$99),1),";")),"",ROW($1:$99)),COLUMN(H18)+1)-SMALL(IF(ISERROR(SEARCH(MID(";"&amp;'CASE DATA'!$F19&amp;";",ROW($1:$99),1),";")),"",ROW($1:$99)),COLUMN(H18))-1)</f>
        <v/>
      </c>
      <c r="AD19" s="29" t="str">
        <f t="array" ref="AD19">MID(";"&amp;'CASE DATA'!$F19&amp;";",SMALL(IF(ISERROR(SEARCH(MID(";"&amp;'CASE DATA'!$F19&amp;";",ROW($1:$99),1),";")),"",ROW($1:$99)+1),COLUMN(I19)),SMALL(IF(ISERROR(SEARCH(MID(";"&amp;'CASE DATA'!$F19&amp;";",ROW($1:$99),1),";")),"",ROW($1:$99)),COLUMN(I18)+1)-SMALL(IF(ISERROR(SEARCH(MID(";"&amp;'CASE DATA'!$F19&amp;";",ROW($1:$99),1),";")),"",ROW($1:$99)),COLUMN(I18))-1)</f>
        <v/>
      </c>
      <c r="AE19" s="29" t="str">
        <f t="array" ref="AE19">MID(";"&amp;'CASE DATA'!$F19&amp;";",SMALL(IF(ISERROR(SEARCH(MID(";"&amp;'CASE DATA'!$F19&amp;";",ROW($1:$99),1),";")),"",ROW($1:$99)+1),COLUMN(J19)),SMALL(IF(ISERROR(SEARCH(MID(";"&amp;'CASE DATA'!$F19&amp;";",ROW($1:$99),1),";")),"",ROW($1:$99)),COLUMN(J18)+1)-SMALL(IF(ISERROR(SEARCH(MID(";"&amp;'CASE DATA'!$F19&amp;";",ROW($1:$99),1),";")),"",ROW($1:$99)),COLUMN(J18))-1)</f>
        <v/>
      </c>
      <c r="AF19" s="29" t="str">
        <f t="array" ref="AF19">MID(";"&amp;'CASE DATA'!$F19&amp;";",SMALL(IF(ISERROR(SEARCH(MID(";"&amp;'CASE DATA'!$F19&amp;";",ROW($1:$99),1),";")),"",ROW($1:$99)+1),COLUMN(K19)),SMALL(IF(ISERROR(SEARCH(MID(";"&amp;'CASE DATA'!$F19&amp;";",ROW($1:$99),1),";")),"",ROW($1:$99)),COLUMN(K18)+1)-SMALL(IF(ISERROR(SEARCH(MID(";"&amp;'CASE DATA'!$F19&amp;";",ROW($1:$99),1),";")),"",ROW($1:$99)),COLUMN(K18))-1)</f>
        <v/>
      </c>
      <c r="AG19" s="29" t="str">
        <f t="array" ref="AG19">MID(";"&amp;'CASE DATA'!$F19&amp;";",SMALL(IF(ISERROR(SEARCH(MID(";"&amp;'CASE DATA'!$F19&amp;";",ROW($1:$99),1),";")),"",ROW($1:$99)+1),COLUMN(L19)),SMALL(IF(ISERROR(SEARCH(MID(";"&amp;'CASE DATA'!$F19&amp;";",ROW($1:$99),1),";")),"",ROW($1:$99)),COLUMN(L18)+1)-SMALL(IF(ISERROR(SEARCH(MID(";"&amp;'CASE DATA'!$F19&amp;";",ROW($1:$99),1),";")),"",ROW($1:$99)),COLUMN(L18))-1)</f>
        <v/>
      </c>
      <c r="AH19" s="29"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25"/>
      <c r="C20" s="24"/>
      <c r="D20" s="24"/>
      <c r="E20" s="25"/>
      <c r="F20" s="30"/>
      <c r="J20" s="31"/>
      <c r="K20" s="31"/>
      <c r="L20" s="31"/>
      <c r="M20" s="31"/>
      <c r="N20" s="31"/>
      <c r="O20" s="31"/>
      <c r="P20" s="31"/>
      <c r="Q20" s="31"/>
      <c r="R20" s="31"/>
      <c r="S20" s="31"/>
      <c r="T20" s="28">
        <f t="shared" si="1"/>
        <v>0</v>
      </c>
      <c r="U20" s="28"/>
      <c r="W20" s="29" t="str">
        <f t="array" ref="W20">MID(";"&amp;'CASE DATA'!$F20&amp;";",SMALL(IF(ISERROR(SEARCH(MID(";"&amp;'CASE DATA'!$F20&amp;";",ROW($1:$99),1),";")),"",ROW($1:$99)+1),COLUMN(A20)),SMALL(IF(ISERROR(SEARCH(MID(";"&amp;'CASE DATA'!$F20&amp;";",ROW($1:$99),1),";")),"",ROW($1:$99)),COLUMN(A19)+1)-SMALL(IF(ISERROR(SEARCH(MID(";"&amp;'CASE DATA'!$F20&amp;";",ROW($1:$99),1),";")),"",ROW($1:$99)),COLUMN(A19))-1)</f>
        <v/>
      </c>
      <c r="X20" s="29" t="str">
        <f t="array" ref="X20">MID(";"&amp;'CASE DATA'!$F20&amp;";",SMALL(IF(ISERROR(SEARCH(MID(";"&amp;'CASE DATA'!$F20&amp;";",ROW($1:$99),1),";")),"",ROW($1:$99)+1),COLUMN(B20)),SMALL(IF(ISERROR(SEARCH(MID(";"&amp;'CASE DATA'!$F20&amp;";",ROW($1:$99),1),";")),"",ROW($1:$99)),COLUMN(B19)+1)-SMALL(IF(ISERROR(SEARCH(MID(";"&amp;'CASE DATA'!$F20&amp;";",ROW($1:$99),1),";")),"",ROW($1:$99)),COLUMN(B19))-1)</f>
        <v/>
      </c>
      <c r="Y20" s="29" t="str">
        <f t="array" ref="Y20">MID(";"&amp;'CASE DATA'!$F20&amp;";",SMALL(IF(ISERROR(SEARCH(MID(";"&amp;'CASE DATA'!$F20&amp;";",ROW($1:$99),1),";")),"",ROW($1:$99)+1),COLUMN(D20)),SMALL(IF(ISERROR(SEARCH(MID(";"&amp;'CASE DATA'!$F20&amp;";",ROW($1:$99),1),";")),"",ROW($1:$99)),COLUMN(D19)+1)-SMALL(IF(ISERROR(SEARCH(MID(";"&amp;'CASE DATA'!$F20&amp;";",ROW($1:$99),1),";")),"",ROW($1:$99)),COLUMN(D19))-1)</f>
        <v/>
      </c>
      <c r="Z20" s="29" t="str">
        <f t="array" ref="Z20">MID(";"&amp;'CASE DATA'!$F20&amp;";",SMALL(IF(ISERROR(SEARCH(MID(";"&amp;'CASE DATA'!$F20&amp;";",ROW($1:$99),1),";")),"",ROW($1:$99)+1),COLUMN(E20)),SMALL(IF(ISERROR(SEARCH(MID(";"&amp;'CASE DATA'!$F20&amp;";",ROW($1:$99),1),";")),"",ROW($1:$99)),COLUMN(E19)+1)-SMALL(IF(ISERROR(SEARCH(MID(";"&amp;'CASE DATA'!$F20&amp;";",ROW($1:$99),1),";")),"",ROW($1:$99)),COLUMN(E19))-1)</f>
        <v/>
      </c>
      <c r="AA20" s="29" t="str">
        <f t="array" ref="AA20">MID(";"&amp;'CASE DATA'!$F20&amp;";",SMALL(IF(ISERROR(SEARCH(MID(";"&amp;'CASE DATA'!$F20&amp;";",ROW($1:$99),1),";")),"",ROW($1:$99)+1),COLUMN(F20)),SMALL(IF(ISERROR(SEARCH(MID(";"&amp;'CASE DATA'!$F20&amp;";",ROW($1:$99),1),";")),"",ROW($1:$99)),COLUMN(F19)+1)-SMALL(IF(ISERROR(SEARCH(MID(";"&amp;'CASE DATA'!$F20&amp;";",ROW($1:$99),1),";")),"",ROW($1:$99)),COLUMN(F19))-1)</f>
        <v/>
      </c>
      <c r="AB20" s="29" t="str">
        <f t="array" ref="AB20">MID(";"&amp;'CASE DATA'!$F20&amp;";",SMALL(IF(ISERROR(SEARCH(MID(";"&amp;'CASE DATA'!$F20&amp;";",ROW($1:$99),1),";")),"",ROW($1:$99)+1),COLUMN(G20)),SMALL(IF(ISERROR(SEARCH(MID(";"&amp;'CASE DATA'!$F20&amp;";",ROW($1:$99),1),";")),"",ROW($1:$99)),COLUMN(G19)+1)-SMALL(IF(ISERROR(SEARCH(MID(";"&amp;'CASE DATA'!$F20&amp;";",ROW($1:$99),1),";")),"",ROW($1:$99)),COLUMN(G19))-1)</f>
        <v/>
      </c>
      <c r="AC20" s="29" t="str">
        <f t="array" ref="AC20">MID(";"&amp;'CASE DATA'!$F20&amp;";",SMALL(IF(ISERROR(SEARCH(MID(";"&amp;'CASE DATA'!$F20&amp;";",ROW($1:$99),1),";")),"",ROW($1:$99)+1),COLUMN(H20)),SMALL(IF(ISERROR(SEARCH(MID(";"&amp;'CASE DATA'!$F20&amp;";",ROW($1:$99),1),";")),"",ROW($1:$99)),COLUMN(H19)+1)-SMALL(IF(ISERROR(SEARCH(MID(";"&amp;'CASE DATA'!$F20&amp;";",ROW($1:$99),1),";")),"",ROW($1:$99)),COLUMN(H19))-1)</f>
        <v/>
      </c>
      <c r="AD20" s="29" t="str">
        <f t="array" ref="AD20">MID(";"&amp;'CASE DATA'!$F20&amp;";",SMALL(IF(ISERROR(SEARCH(MID(";"&amp;'CASE DATA'!$F20&amp;";",ROW($1:$99),1),";")),"",ROW($1:$99)+1),COLUMN(I20)),SMALL(IF(ISERROR(SEARCH(MID(";"&amp;'CASE DATA'!$F20&amp;";",ROW($1:$99),1),";")),"",ROW($1:$99)),COLUMN(I19)+1)-SMALL(IF(ISERROR(SEARCH(MID(";"&amp;'CASE DATA'!$F20&amp;";",ROW($1:$99),1),";")),"",ROW($1:$99)),COLUMN(I19))-1)</f>
        <v/>
      </c>
      <c r="AE20" s="29" t="str">
        <f t="array" ref="AE20">MID(";"&amp;'CASE DATA'!$F20&amp;";",SMALL(IF(ISERROR(SEARCH(MID(";"&amp;'CASE DATA'!$F20&amp;";",ROW($1:$99),1),";")),"",ROW($1:$99)+1),COLUMN(J20)),SMALL(IF(ISERROR(SEARCH(MID(";"&amp;'CASE DATA'!$F20&amp;";",ROW($1:$99),1),";")),"",ROW($1:$99)),COLUMN(J19)+1)-SMALL(IF(ISERROR(SEARCH(MID(";"&amp;'CASE DATA'!$F20&amp;";",ROW($1:$99),1),";")),"",ROW($1:$99)),COLUMN(J19))-1)</f>
        <v/>
      </c>
      <c r="AF20" s="29" t="str">
        <f t="array" ref="AF20">MID(";"&amp;'CASE DATA'!$F20&amp;";",SMALL(IF(ISERROR(SEARCH(MID(";"&amp;'CASE DATA'!$F20&amp;";",ROW($1:$99),1),";")),"",ROW($1:$99)+1),COLUMN(K20)),SMALL(IF(ISERROR(SEARCH(MID(";"&amp;'CASE DATA'!$F20&amp;";",ROW($1:$99),1),";")),"",ROW($1:$99)),COLUMN(K19)+1)-SMALL(IF(ISERROR(SEARCH(MID(";"&amp;'CASE DATA'!$F20&amp;";",ROW($1:$99),1),";")),"",ROW($1:$99)),COLUMN(K19))-1)</f>
        <v/>
      </c>
      <c r="AG20" s="29" t="str">
        <f t="array" ref="AG20">MID(";"&amp;'CASE DATA'!$F20&amp;";",SMALL(IF(ISERROR(SEARCH(MID(";"&amp;'CASE DATA'!$F20&amp;";",ROW($1:$99),1),";")),"",ROW($1:$99)+1),COLUMN(L20)),SMALL(IF(ISERROR(SEARCH(MID(";"&amp;'CASE DATA'!$F20&amp;";",ROW($1:$99),1),";")),"",ROW($1:$99)),COLUMN(L19)+1)-SMALL(IF(ISERROR(SEARCH(MID(";"&amp;'CASE DATA'!$F20&amp;";",ROW($1:$99),1),";")),"",ROW($1:$99)),COLUMN(L19))-1)</f>
        <v/>
      </c>
      <c r="AH20" s="29"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25"/>
      <c r="C21" s="24"/>
      <c r="D21" s="24"/>
      <c r="E21" s="25"/>
      <c r="F21" s="30"/>
      <c r="J21" s="31"/>
      <c r="K21" s="31"/>
      <c r="L21" s="31"/>
      <c r="M21" s="31"/>
      <c r="N21" s="31"/>
      <c r="O21" s="31"/>
      <c r="P21" s="31"/>
      <c r="Q21" s="31"/>
      <c r="R21" s="31"/>
      <c r="S21" s="31"/>
      <c r="T21" s="28">
        <f t="shared" si="1"/>
        <v>0</v>
      </c>
      <c r="U21" s="28"/>
      <c r="W21" s="29" t="str">
        <f t="array" ref="W21">MID(";"&amp;'CASE DATA'!$F21&amp;";",SMALL(IF(ISERROR(SEARCH(MID(";"&amp;'CASE DATA'!$F21&amp;";",ROW($1:$99),1),";")),"",ROW($1:$99)+1),COLUMN(A21)),SMALL(IF(ISERROR(SEARCH(MID(";"&amp;'CASE DATA'!$F21&amp;";",ROW($1:$99),1),";")),"",ROW($1:$99)),COLUMN(A20)+1)-SMALL(IF(ISERROR(SEARCH(MID(";"&amp;'CASE DATA'!$F21&amp;";",ROW($1:$99),1),";")),"",ROW($1:$99)),COLUMN(A20))-1)</f>
        <v/>
      </c>
      <c r="X21" s="29" t="str">
        <f t="array" ref="X21">MID(";"&amp;'CASE DATA'!$F21&amp;";",SMALL(IF(ISERROR(SEARCH(MID(";"&amp;'CASE DATA'!$F21&amp;";",ROW($1:$99),1),";")),"",ROW($1:$99)+1),COLUMN(B21)),SMALL(IF(ISERROR(SEARCH(MID(";"&amp;'CASE DATA'!$F21&amp;";",ROW($1:$99),1),";")),"",ROW($1:$99)),COLUMN(B20)+1)-SMALL(IF(ISERROR(SEARCH(MID(";"&amp;'CASE DATA'!$F21&amp;";",ROW($1:$99),1),";")),"",ROW($1:$99)),COLUMN(B20))-1)</f>
        <v/>
      </c>
      <c r="Y21" s="29" t="str">
        <f t="array" ref="Y21">MID(";"&amp;'CASE DATA'!$F21&amp;";",SMALL(IF(ISERROR(SEARCH(MID(";"&amp;'CASE DATA'!$F21&amp;";",ROW($1:$99),1),";")),"",ROW($1:$99)+1),COLUMN(D21)),SMALL(IF(ISERROR(SEARCH(MID(";"&amp;'CASE DATA'!$F21&amp;";",ROW($1:$99),1),";")),"",ROW($1:$99)),COLUMN(D20)+1)-SMALL(IF(ISERROR(SEARCH(MID(";"&amp;'CASE DATA'!$F21&amp;";",ROW($1:$99),1),";")),"",ROW($1:$99)),COLUMN(D20))-1)</f>
        <v/>
      </c>
      <c r="Z21" s="29" t="str">
        <f t="array" ref="Z21">MID(";"&amp;'CASE DATA'!$F21&amp;";",SMALL(IF(ISERROR(SEARCH(MID(";"&amp;'CASE DATA'!$F21&amp;";",ROW($1:$99),1),";")),"",ROW($1:$99)+1),COLUMN(E21)),SMALL(IF(ISERROR(SEARCH(MID(";"&amp;'CASE DATA'!$F21&amp;";",ROW($1:$99),1),";")),"",ROW($1:$99)),COLUMN(E20)+1)-SMALL(IF(ISERROR(SEARCH(MID(";"&amp;'CASE DATA'!$F21&amp;";",ROW($1:$99),1),";")),"",ROW($1:$99)),COLUMN(E20))-1)</f>
        <v/>
      </c>
      <c r="AA21" s="29" t="str">
        <f t="array" ref="AA21">MID(";"&amp;'CASE DATA'!$F21&amp;";",SMALL(IF(ISERROR(SEARCH(MID(";"&amp;'CASE DATA'!$F21&amp;";",ROW($1:$99),1),";")),"",ROW($1:$99)+1),COLUMN(F21)),SMALL(IF(ISERROR(SEARCH(MID(";"&amp;'CASE DATA'!$F21&amp;";",ROW($1:$99),1),";")),"",ROW($1:$99)),COLUMN(F20)+1)-SMALL(IF(ISERROR(SEARCH(MID(";"&amp;'CASE DATA'!$F21&amp;";",ROW($1:$99),1),";")),"",ROW($1:$99)),COLUMN(F20))-1)</f>
        <v/>
      </c>
      <c r="AB21" s="29" t="str">
        <f t="array" ref="AB21">MID(";"&amp;'CASE DATA'!$F21&amp;";",SMALL(IF(ISERROR(SEARCH(MID(";"&amp;'CASE DATA'!$F21&amp;";",ROW($1:$99),1),";")),"",ROW($1:$99)+1),COLUMN(G21)),SMALL(IF(ISERROR(SEARCH(MID(";"&amp;'CASE DATA'!$F21&amp;";",ROW($1:$99),1),";")),"",ROW($1:$99)),COLUMN(G20)+1)-SMALL(IF(ISERROR(SEARCH(MID(";"&amp;'CASE DATA'!$F21&amp;";",ROW($1:$99),1),";")),"",ROW($1:$99)),COLUMN(G20))-1)</f>
        <v/>
      </c>
      <c r="AC21" s="29" t="str">
        <f t="array" ref="AC21">MID(";"&amp;'CASE DATA'!$F21&amp;";",SMALL(IF(ISERROR(SEARCH(MID(";"&amp;'CASE DATA'!$F21&amp;";",ROW($1:$99),1),";")),"",ROW($1:$99)+1),COLUMN(H21)),SMALL(IF(ISERROR(SEARCH(MID(";"&amp;'CASE DATA'!$F21&amp;";",ROW($1:$99),1),";")),"",ROW($1:$99)),COLUMN(H20)+1)-SMALL(IF(ISERROR(SEARCH(MID(";"&amp;'CASE DATA'!$F21&amp;";",ROW($1:$99),1),";")),"",ROW($1:$99)),COLUMN(H20))-1)</f>
        <v/>
      </c>
      <c r="AD21" s="29" t="str">
        <f t="array" ref="AD21">MID(";"&amp;'CASE DATA'!$F21&amp;";",SMALL(IF(ISERROR(SEARCH(MID(";"&amp;'CASE DATA'!$F21&amp;";",ROW($1:$99),1),";")),"",ROW($1:$99)+1),COLUMN(I21)),SMALL(IF(ISERROR(SEARCH(MID(";"&amp;'CASE DATA'!$F21&amp;";",ROW($1:$99),1),";")),"",ROW($1:$99)),COLUMN(I20)+1)-SMALL(IF(ISERROR(SEARCH(MID(";"&amp;'CASE DATA'!$F21&amp;";",ROW($1:$99),1),";")),"",ROW($1:$99)),COLUMN(I20))-1)</f>
        <v/>
      </c>
      <c r="AE21" s="29" t="str">
        <f t="array" ref="AE21">MID(";"&amp;'CASE DATA'!$F21&amp;";",SMALL(IF(ISERROR(SEARCH(MID(";"&amp;'CASE DATA'!$F21&amp;";",ROW($1:$99),1),";")),"",ROW($1:$99)+1),COLUMN(J21)),SMALL(IF(ISERROR(SEARCH(MID(";"&amp;'CASE DATA'!$F21&amp;";",ROW($1:$99),1),";")),"",ROW($1:$99)),COLUMN(J20)+1)-SMALL(IF(ISERROR(SEARCH(MID(";"&amp;'CASE DATA'!$F21&amp;";",ROW($1:$99),1),";")),"",ROW($1:$99)),COLUMN(J20))-1)</f>
        <v/>
      </c>
      <c r="AF21" s="29" t="str">
        <f t="array" ref="AF21">MID(";"&amp;'CASE DATA'!$F21&amp;";",SMALL(IF(ISERROR(SEARCH(MID(";"&amp;'CASE DATA'!$F21&amp;";",ROW($1:$99),1),";")),"",ROW($1:$99)+1),COLUMN(K21)),SMALL(IF(ISERROR(SEARCH(MID(";"&amp;'CASE DATA'!$F21&amp;";",ROW($1:$99),1),";")),"",ROW($1:$99)),COLUMN(K20)+1)-SMALL(IF(ISERROR(SEARCH(MID(";"&amp;'CASE DATA'!$F21&amp;";",ROW($1:$99),1),";")),"",ROW($1:$99)),COLUMN(K20))-1)</f>
        <v/>
      </c>
      <c r="AG21" s="29" t="str">
        <f t="array" ref="AG21">MID(";"&amp;'CASE DATA'!$F21&amp;";",SMALL(IF(ISERROR(SEARCH(MID(";"&amp;'CASE DATA'!$F21&amp;";",ROW($1:$99),1),";")),"",ROW($1:$99)+1),COLUMN(L21)),SMALL(IF(ISERROR(SEARCH(MID(";"&amp;'CASE DATA'!$F21&amp;";",ROW($1:$99),1),";")),"",ROW($1:$99)),COLUMN(L20)+1)-SMALL(IF(ISERROR(SEARCH(MID(";"&amp;'CASE DATA'!$F21&amp;";",ROW($1:$99),1),";")),"",ROW($1:$99)),COLUMN(L20))-1)</f>
        <v/>
      </c>
      <c r="AH21" s="29"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25"/>
      <c r="C22" s="24"/>
      <c r="D22" s="24"/>
      <c r="E22" s="25"/>
      <c r="F22" s="30"/>
      <c r="J22" s="31"/>
      <c r="K22" s="31"/>
      <c r="L22" s="31"/>
      <c r="M22" s="31"/>
      <c r="N22" s="31"/>
      <c r="O22" s="31"/>
      <c r="P22" s="31"/>
      <c r="Q22" s="31"/>
      <c r="R22" s="31"/>
      <c r="S22" s="31"/>
      <c r="T22" s="28">
        <f t="shared" si="1"/>
        <v>0</v>
      </c>
      <c r="U22" s="28"/>
      <c r="W22" s="29" t="str">
        <f t="array" ref="W22">MID(";"&amp;'CASE DATA'!$F22&amp;";",SMALL(IF(ISERROR(SEARCH(MID(";"&amp;'CASE DATA'!$F22&amp;";",ROW($1:$99),1),";")),"",ROW($1:$99)+1),COLUMN(A22)),SMALL(IF(ISERROR(SEARCH(MID(";"&amp;'CASE DATA'!$F22&amp;";",ROW($1:$99),1),";")),"",ROW($1:$99)),COLUMN(A21)+1)-SMALL(IF(ISERROR(SEARCH(MID(";"&amp;'CASE DATA'!$F22&amp;";",ROW($1:$99),1),";")),"",ROW($1:$99)),COLUMN(A21))-1)</f>
        <v/>
      </c>
      <c r="X22" s="29" t="str">
        <f t="array" ref="X22">MID(";"&amp;'CASE DATA'!$F22&amp;";",SMALL(IF(ISERROR(SEARCH(MID(";"&amp;'CASE DATA'!$F22&amp;";",ROW($1:$99),1),";")),"",ROW($1:$99)+1),COLUMN(B22)),SMALL(IF(ISERROR(SEARCH(MID(";"&amp;'CASE DATA'!$F22&amp;";",ROW($1:$99),1),";")),"",ROW($1:$99)),COLUMN(B21)+1)-SMALL(IF(ISERROR(SEARCH(MID(";"&amp;'CASE DATA'!$F22&amp;";",ROW($1:$99),1),";")),"",ROW($1:$99)),COLUMN(B21))-1)</f>
        <v/>
      </c>
      <c r="Y22" s="29" t="str">
        <f t="array" ref="Y22">MID(";"&amp;'CASE DATA'!$F22&amp;";",SMALL(IF(ISERROR(SEARCH(MID(";"&amp;'CASE DATA'!$F22&amp;";",ROW($1:$99),1),";")),"",ROW($1:$99)+1),COLUMN(D22)),SMALL(IF(ISERROR(SEARCH(MID(";"&amp;'CASE DATA'!$F22&amp;";",ROW($1:$99),1),";")),"",ROW($1:$99)),COLUMN(D21)+1)-SMALL(IF(ISERROR(SEARCH(MID(";"&amp;'CASE DATA'!$F22&amp;";",ROW($1:$99),1),";")),"",ROW($1:$99)),COLUMN(D21))-1)</f>
        <v/>
      </c>
      <c r="Z22" s="29" t="str">
        <f t="array" ref="Z22">MID(";"&amp;'CASE DATA'!$F22&amp;";",SMALL(IF(ISERROR(SEARCH(MID(";"&amp;'CASE DATA'!$F22&amp;";",ROW($1:$99),1),";")),"",ROW($1:$99)+1),COLUMN(E22)),SMALL(IF(ISERROR(SEARCH(MID(";"&amp;'CASE DATA'!$F22&amp;";",ROW($1:$99),1),";")),"",ROW($1:$99)),COLUMN(E21)+1)-SMALL(IF(ISERROR(SEARCH(MID(";"&amp;'CASE DATA'!$F22&amp;";",ROW($1:$99),1),";")),"",ROW($1:$99)),COLUMN(E21))-1)</f>
        <v/>
      </c>
      <c r="AA22" s="29" t="str">
        <f t="array" ref="AA22">MID(";"&amp;'CASE DATA'!$F22&amp;";",SMALL(IF(ISERROR(SEARCH(MID(";"&amp;'CASE DATA'!$F22&amp;";",ROW($1:$99),1),";")),"",ROW($1:$99)+1),COLUMN(F22)),SMALL(IF(ISERROR(SEARCH(MID(";"&amp;'CASE DATA'!$F22&amp;";",ROW($1:$99),1),";")),"",ROW($1:$99)),COLUMN(F21)+1)-SMALL(IF(ISERROR(SEARCH(MID(";"&amp;'CASE DATA'!$F22&amp;";",ROW($1:$99),1),";")),"",ROW($1:$99)),COLUMN(F21))-1)</f>
        <v/>
      </c>
      <c r="AB22" s="29" t="str">
        <f t="array" ref="AB22">MID(";"&amp;'CASE DATA'!$F22&amp;";",SMALL(IF(ISERROR(SEARCH(MID(";"&amp;'CASE DATA'!$F22&amp;";",ROW($1:$99),1),";")),"",ROW($1:$99)+1),COLUMN(G22)),SMALL(IF(ISERROR(SEARCH(MID(";"&amp;'CASE DATA'!$F22&amp;";",ROW($1:$99),1),";")),"",ROW($1:$99)),COLUMN(G21)+1)-SMALL(IF(ISERROR(SEARCH(MID(";"&amp;'CASE DATA'!$F22&amp;";",ROW($1:$99),1),";")),"",ROW($1:$99)),COLUMN(G21))-1)</f>
        <v/>
      </c>
      <c r="AC22" s="29" t="str">
        <f t="array" ref="AC22">MID(";"&amp;'CASE DATA'!$F22&amp;";",SMALL(IF(ISERROR(SEARCH(MID(";"&amp;'CASE DATA'!$F22&amp;";",ROW($1:$99),1),";")),"",ROW($1:$99)+1),COLUMN(H22)),SMALL(IF(ISERROR(SEARCH(MID(";"&amp;'CASE DATA'!$F22&amp;";",ROW($1:$99),1),";")),"",ROW($1:$99)),COLUMN(H21)+1)-SMALL(IF(ISERROR(SEARCH(MID(";"&amp;'CASE DATA'!$F22&amp;";",ROW($1:$99),1),";")),"",ROW($1:$99)),COLUMN(H21))-1)</f>
        <v/>
      </c>
      <c r="AD22" s="29" t="str">
        <f t="array" ref="AD22">MID(";"&amp;'CASE DATA'!$F22&amp;";",SMALL(IF(ISERROR(SEARCH(MID(";"&amp;'CASE DATA'!$F22&amp;";",ROW($1:$99),1),";")),"",ROW($1:$99)+1),COLUMN(I22)),SMALL(IF(ISERROR(SEARCH(MID(";"&amp;'CASE DATA'!$F22&amp;";",ROW($1:$99),1),";")),"",ROW($1:$99)),COLUMN(I21)+1)-SMALL(IF(ISERROR(SEARCH(MID(";"&amp;'CASE DATA'!$F22&amp;";",ROW($1:$99),1),";")),"",ROW($1:$99)),COLUMN(I21))-1)</f>
        <v/>
      </c>
      <c r="AE22" s="29" t="str">
        <f t="array" ref="AE22">MID(";"&amp;'CASE DATA'!$F22&amp;";",SMALL(IF(ISERROR(SEARCH(MID(";"&amp;'CASE DATA'!$F22&amp;";",ROW($1:$99),1),";")),"",ROW($1:$99)+1),COLUMN(J22)),SMALL(IF(ISERROR(SEARCH(MID(";"&amp;'CASE DATA'!$F22&amp;";",ROW($1:$99),1),";")),"",ROW($1:$99)),COLUMN(J21)+1)-SMALL(IF(ISERROR(SEARCH(MID(";"&amp;'CASE DATA'!$F22&amp;";",ROW($1:$99),1),";")),"",ROW($1:$99)),COLUMN(J21))-1)</f>
        <v/>
      </c>
      <c r="AF22" s="29" t="str">
        <f t="array" ref="AF22">MID(";"&amp;'CASE DATA'!$F22&amp;";",SMALL(IF(ISERROR(SEARCH(MID(";"&amp;'CASE DATA'!$F22&amp;";",ROW($1:$99),1),";")),"",ROW($1:$99)+1),COLUMN(K22)),SMALL(IF(ISERROR(SEARCH(MID(";"&amp;'CASE DATA'!$F22&amp;";",ROW($1:$99),1),";")),"",ROW($1:$99)),COLUMN(K21)+1)-SMALL(IF(ISERROR(SEARCH(MID(";"&amp;'CASE DATA'!$F22&amp;";",ROW($1:$99),1),";")),"",ROW($1:$99)),COLUMN(K21))-1)</f>
        <v/>
      </c>
      <c r="AG22" s="29" t="str">
        <f t="array" ref="AG22">MID(";"&amp;'CASE DATA'!$F22&amp;";",SMALL(IF(ISERROR(SEARCH(MID(";"&amp;'CASE DATA'!$F22&amp;";",ROW($1:$99),1),";")),"",ROW($1:$99)+1),COLUMN(L22)),SMALL(IF(ISERROR(SEARCH(MID(";"&amp;'CASE DATA'!$F22&amp;";",ROW($1:$99),1),";")),"",ROW($1:$99)),COLUMN(L21)+1)-SMALL(IF(ISERROR(SEARCH(MID(";"&amp;'CASE DATA'!$F22&amp;";",ROW($1:$99),1),";")),"",ROW($1:$99)),COLUMN(L21))-1)</f>
        <v/>
      </c>
      <c r="AH22" s="29"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25"/>
      <c r="C23" s="24"/>
      <c r="D23" s="24"/>
      <c r="E23" s="25"/>
      <c r="F23" s="30"/>
      <c r="J23" s="31"/>
      <c r="K23" s="31"/>
      <c r="L23" s="31"/>
      <c r="M23" s="31"/>
      <c r="N23" s="31"/>
      <c r="O23" s="31"/>
      <c r="P23" s="31"/>
      <c r="Q23" s="31"/>
      <c r="R23" s="31"/>
      <c r="S23" s="31"/>
      <c r="T23" s="28">
        <f t="shared" si="1"/>
        <v>0</v>
      </c>
      <c r="U23" s="28"/>
      <c r="V23" s="32"/>
      <c r="W23" s="29" t="str">
        <f t="array" ref="W23">MID(";"&amp;'CASE DATA'!$F23&amp;";",SMALL(IF(ISERROR(SEARCH(MID(";"&amp;'CASE DATA'!$F23&amp;";",ROW($1:$99),1),";")),"",ROW($1:$99)+1),COLUMN(A23)),SMALL(IF(ISERROR(SEARCH(MID(";"&amp;'CASE DATA'!$F23&amp;";",ROW($1:$99),1),";")),"",ROW($1:$99)),COLUMN(A22)+1)-SMALL(IF(ISERROR(SEARCH(MID(";"&amp;'CASE DATA'!$F23&amp;";",ROW($1:$99),1),";")),"",ROW($1:$99)),COLUMN(A22))-1)</f>
        <v/>
      </c>
      <c r="X23" s="29" t="str">
        <f t="array" ref="X23">MID(";"&amp;'CASE DATA'!$F23&amp;";",SMALL(IF(ISERROR(SEARCH(MID(";"&amp;'CASE DATA'!$F23&amp;";",ROW($1:$99),1),";")),"",ROW($1:$99)+1),COLUMN(B23)),SMALL(IF(ISERROR(SEARCH(MID(";"&amp;'CASE DATA'!$F23&amp;";",ROW($1:$99),1),";")),"",ROW($1:$99)),COLUMN(B22)+1)-SMALL(IF(ISERROR(SEARCH(MID(";"&amp;'CASE DATA'!$F23&amp;";",ROW($1:$99),1),";")),"",ROW($1:$99)),COLUMN(B22))-1)</f>
        <v/>
      </c>
      <c r="Y23" s="29" t="str">
        <f t="array" ref="Y23">MID(";"&amp;'CASE DATA'!$F23&amp;";",SMALL(IF(ISERROR(SEARCH(MID(";"&amp;'CASE DATA'!$F23&amp;";",ROW($1:$99),1),";")),"",ROW($1:$99)+1),COLUMN(D23)),SMALL(IF(ISERROR(SEARCH(MID(";"&amp;'CASE DATA'!$F23&amp;";",ROW($1:$99),1),";")),"",ROW($1:$99)),COLUMN(D22)+1)-SMALL(IF(ISERROR(SEARCH(MID(";"&amp;'CASE DATA'!$F23&amp;";",ROW($1:$99),1),";")),"",ROW($1:$99)),COLUMN(D22))-1)</f>
        <v/>
      </c>
      <c r="Z23" s="29" t="str">
        <f t="array" ref="Z23">MID(";"&amp;'CASE DATA'!$F23&amp;";",SMALL(IF(ISERROR(SEARCH(MID(";"&amp;'CASE DATA'!$F23&amp;";",ROW($1:$99),1),";")),"",ROW($1:$99)+1),COLUMN(E23)),SMALL(IF(ISERROR(SEARCH(MID(";"&amp;'CASE DATA'!$F23&amp;";",ROW($1:$99),1),";")),"",ROW($1:$99)),COLUMN(E22)+1)-SMALL(IF(ISERROR(SEARCH(MID(";"&amp;'CASE DATA'!$F23&amp;";",ROW($1:$99),1),";")),"",ROW($1:$99)),COLUMN(E22))-1)</f>
        <v/>
      </c>
      <c r="AA23" s="29" t="str">
        <f t="array" ref="AA23">MID(";"&amp;'CASE DATA'!$F23&amp;";",SMALL(IF(ISERROR(SEARCH(MID(";"&amp;'CASE DATA'!$F23&amp;";",ROW($1:$99),1),";")),"",ROW($1:$99)+1),COLUMN(F23)),SMALL(IF(ISERROR(SEARCH(MID(";"&amp;'CASE DATA'!$F23&amp;";",ROW($1:$99),1),";")),"",ROW($1:$99)),COLUMN(F22)+1)-SMALL(IF(ISERROR(SEARCH(MID(";"&amp;'CASE DATA'!$F23&amp;";",ROW($1:$99),1),";")),"",ROW($1:$99)),COLUMN(F22))-1)</f>
        <v/>
      </c>
      <c r="AB23" s="29" t="str">
        <f t="array" ref="AB23">MID(";"&amp;'CASE DATA'!$F23&amp;";",SMALL(IF(ISERROR(SEARCH(MID(";"&amp;'CASE DATA'!$F23&amp;";",ROW($1:$99),1),";")),"",ROW($1:$99)+1),COLUMN(G23)),SMALL(IF(ISERROR(SEARCH(MID(";"&amp;'CASE DATA'!$F23&amp;";",ROW($1:$99),1),";")),"",ROW($1:$99)),COLUMN(G22)+1)-SMALL(IF(ISERROR(SEARCH(MID(";"&amp;'CASE DATA'!$F23&amp;";",ROW($1:$99),1),";")),"",ROW($1:$99)),COLUMN(G22))-1)</f>
        <v/>
      </c>
      <c r="AC23" s="29" t="str">
        <f t="array" ref="AC23">MID(";"&amp;'CASE DATA'!$F23&amp;";",SMALL(IF(ISERROR(SEARCH(MID(";"&amp;'CASE DATA'!$F23&amp;";",ROW($1:$99),1),";")),"",ROW($1:$99)+1),COLUMN(H23)),SMALL(IF(ISERROR(SEARCH(MID(";"&amp;'CASE DATA'!$F23&amp;";",ROW($1:$99),1),";")),"",ROW($1:$99)),COLUMN(H22)+1)-SMALL(IF(ISERROR(SEARCH(MID(";"&amp;'CASE DATA'!$F23&amp;";",ROW($1:$99),1),";")),"",ROW($1:$99)),COLUMN(H22))-1)</f>
        <v/>
      </c>
      <c r="AD23" s="29" t="str">
        <f t="array" ref="AD23">MID(";"&amp;'CASE DATA'!$F23&amp;";",SMALL(IF(ISERROR(SEARCH(MID(";"&amp;'CASE DATA'!$F23&amp;";",ROW($1:$99),1),";")),"",ROW($1:$99)+1),COLUMN(I23)),SMALL(IF(ISERROR(SEARCH(MID(";"&amp;'CASE DATA'!$F23&amp;";",ROW($1:$99),1),";")),"",ROW($1:$99)),COLUMN(I22)+1)-SMALL(IF(ISERROR(SEARCH(MID(";"&amp;'CASE DATA'!$F23&amp;";",ROW($1:$99),1),";")),"",ROW($1:$99)),COLUMN(I22))-1)</f>
        <v/>
      </c>
      <c r="AE23" s="29" t="str">
        <f t="array" ref="AE23">MID(";"&amp;'CASE DATA'!$F23&amp;";",SMALL(IF(ISERROR(SEARCH(MID(";"&amp;'CASE DATA'!$F23&amp;";",ROW($1:$99),1),";")),"",ROW($1:$99)+1),COLUMN(J23)),SMALL(IF(ISERROR(SEARCH(MID(";"&amp;'CASE DATA'!$F23&amp;";",ROW($1:$99),1),";")),"",ROW($1:$99)),COLUMN(J22)+1)-SMALL(IF(ISERROR(SEARCH(MID(";"&amp;'CASE DATA'!$F23&amp;";",ROW($1:$99),1),";")),"",ROW($1:$99)),COLUMN(J22))-1)</f>
        <v/>
      </c>
      <c r="AF23" s="29" t="str">
        <f t="array" ref="AF23">MID(";"&amp;'CASE DATA'!$F23&amp;";",SMALL(IF(ISERROR(SEARCH(MID(";"&amp;'CASE DATA'!$F23&amp;";",ROW($1:$99),1),";")),"",ROW($1:$99)+1),COLUMN(K23)),SMALL(IF(ISERROR(SEARCH(MID(";"&amp;'CASE DATA'!$F23&amp;";",ROW($1:$99),1),";")),"",ROW($1:$99)),COLUMN(K22)+1)-SMALL(IF(ISERROR(SEARCH(MID(";"&amp;'CASE DATA'!$F23&amp;";",ROW($1:$99),1),";")),"",ROW($1:$99)),COLUMN(K22))-1)</f>
        <v/>
      </c>
      <c r="AG23" s="29" t="str">
        <f t="array" ref="AG23">MID(";"&amp;'CASE DATA'!$F23&amp;";",SMALL(IF(ISERROR(SEARCH(MID(";"&amp;'CASE DATA'!$F23&amp;";",ROW($1:$99),1),";")),"",ROW($1:$99)+1),COLUMN(L23)),SMALL(IF(ISERROR(SEARCH(MID(";"&amp;'CASE DATA'!$F23&amp;";",ROW($1:$99),1),";")),"",ROW($1:$99)),COLUMN(L22)+1)-SMALL(IF(ISERROR(SEARCH(MID(";"&amp;'CASE DATA'!$F23&amp;";",ROW($1:$99),1),";")),"",ROW($1:$99)),COLUMN(L22))-1)</f>
        <v/>
      </c>
      <c r="AH23" s="29"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25"/>
      <c r="C24" s="24"/>
      <c r="D24" s="24"/>
      <c r="E24" s="25"/>
      <c r="F24" s="30"/>
      <c r="J24" s="31"/>
      <c r="K24" s="31"/>
      <c r="L24" s="31"/>
      <c r="M24" s="31"/>
      <c r="N24" s="31"/>
      <c r="O24" s="31"/>
      <c r="P24" s="31"/>
      <c r="Q24" s="31"/>
      <c r="R24" s="31"/>
      <c r="S24" s="31"/>
      <c r="T24" s="28">
        <f t="shared" si="1"/>
        <v>0</v>
      </c>
      <c r="U24" s="28"/>
      <c r="W24" s="29" t="str">
        <f t="array" ref="W24">MID(";"&amp;'CASE DATA'!$F24&amp;";",SMALL(IF(ISERROR(SEARCH(MID(";"&amp;'CASE DATA'!$F24&amp;";",ROW($1:$99),1),";")),"",ROW($1:$99)+1),COLUMN(A24)),SMALL(IF(ISERROR(SEARCH(MID(";"&amp;'CASE DATA'!$F24&amp;";",ROW($1:$99),1),";")),"",ROW($1:$99)),COLUMN(A23)+1)-SMALL(IF(ISERROR(SEARCH(MID(";"&amp;'CASE DATA'!$F24&amp;";",ROW($1:$99),1),";")),"",ROW($1:$99)),COLUMN(A23))-1)</f>
        <v/>
      </c>
      <c r="X24" s="29" t="str">
        <f t="array" ref="X24">MID(";"&amp;'CASE DATA'!$F24&amp;";",SMALL(IF(ISERROR(SEARCH(MID(";"&amp;'CASE DATA'!$F24&amp;";",ROW($1:$99),1),";")),"",ROW($1:$99)+1),COLUMN(B24)),SMALL(IF(ISERROR(SEARCH(MID(";"&amp;'CASE DATA'!$F24&amp;";",ROW($1:$99),1),";")),"",ROW($1:$99)),COLUMN(B23)+1)-SMALL(IF(ISERROR(SEARCH(MID(";"&amp;'CASE DATA'!$F24&amp;";",ROW($1:$99),1),";")),"",ROW($1:$99)),COLUMN(B23))-1)</f>
        <v/>
      </c>
      <c r="Y24" s="29" t="str">
        <f t="array" ref="Y24">MID(";"&amp;'CASE DATA'!$F24&amp;";",SMALL(IF(ISERROR(SEARCH(MID(";"&amp;'CASE DATA'!$F24&amp;";",ROW($1:$99),1),";")),"",ROW($1:$99)+1),COLUMN(D24)),SMALL(IF(ISERROR(SEARCH(MID(";"&amp;'CASE DATA'!$F24&amp;";",ROW($1:$99),1),";")),"",ROW($1:$99)),COLUMN(D23)+1)-SMALL(IF(ISERROR(SEARCH(MID(";"&amp;'CASE DATA'!$F24&amp;";",ROW($1:$99),1),";")),"",ROW($1:$99)),COLUMN(D23))-1)</f>
        <v/>
      </c>
      <c r="Z24" s="29" t="str">
        <f t="array" ref="Z24">MID(";"&amp;'CASE DATA'!$F24&amp;";",SMALL(IF(ISERROR(SEARCH(MID(";"&amp;'CASE DATA'!$F24&amp;";",ROW($1:$99),1),";")),"",ROW($1:$99)+1),COLUMN(E24)),SMALL(IF(ISERROR(SEARCH(MID(";"&amp;'CASE DATA'!$F24&amp;";",ROW($1:$99),1),";")),"",ROW($1:$99)),COLUMN(E23)+1)-SMALL(IF(ISERROR(SEARCH(MID(";"&amp;'CASE DATA'!$F24&amp;";",ROW($1:$99),1),";")),"",ROW($1:$99)),COLUMN(E23))-1)</f>
        <v/>
      </c>
      <c r="AA24" s="29" t="str">
        <f t="array" ref="AA24">MID(";"&amp;'CASE DATA'!$F24&amp;";",SMALL(IF(ISERROR(SEARCH(MID(";"&amp;'CASE DATA'!$F24&amp;";",ROW($1:$99),1),";")),"",ROW($1:$99)+1),COLUMN(F24)),SMALL(IF(ISERROR(SEARCH(MID(";"&amp;'CASE DATA'!$F24&amp;";",ROW($1:$99),1),";")),"",ROW($1:$99)),COLUMN(F23)+1)-SMALL(IF(ISERROR(SEARCH(MID(";"&amp;'CASE DATA'!$F24&amp;";",ROW($1:$99),1),";")),"",ROW($1:$99)),COLUMN(F23))-1)</f>
        <v/>
      </c>
      <c r="AB24" s="29" t="str">
        <f t="array" ref="AB24">MID(";"&amp;'CASE DATA'!$F24&amp;";",SMALL(IF(ISERROR(SEARCH(MID(";"&amp;'CASE DATA'!$F24&amp;";",ROW($1:$99),1),";")),"",ROW($1:$99)+1),COLUMN(G24)),SMALL(IF(ISERROR(SEARCH(MID(";"&amp;'CASE DATA'!$F24&amp;";",ROW($1:$99),1),";")),"",ROW($1:$99)),COLUMN(G23)+1)-SMALL(IF(ISERROR(SEARCH(MID(";"&amp;'CASE DATA'!$F24&amp;";",ROW($1:$99),1),";")),"",ROW($1:$99)),COLUMN(G23))-1)</f>
        <v/>
      </c>
      <c r="AC24" s="29" t="str">
        <f t="array" ref="AC24">MID(";"&amp;'CASE DATA'!$F24&amp;";",SMALL(IF(ISERROR(SEARCH(MID(";"&amp;'CASE DATA'!$F24&amp;";",ROW($1:$99),1),";")),"",ROW($1:$99)+1),COLUMN(H24)),SMALL(IF(ISERROR(SEARCH(MID(";"&amp;'CASE DATA'!$F24&amp;";",ROW($1:$99),1),";")),"",ROW($1:$99)),COLUMN(H23)+1)-SMALL(IF(ISERROR(SEARCH(MID(";"&amp;'CASE DATA'!$F24&amp;";",ROW($1:$99),1),";")),"",ROW($1:$99)),COLUMN(H23))-1)</f>
        <v/>
      </c>
      <c r="AD24" s="29" t="str">
        <f t="array" ref="AD24">MID(";"&amp;'CASE DATA'!$F24&amp;";",SMALL(IF(ISERROR(SEARCH(MID(";"&amp;'CASE DATA'!$F24&amp;";",ROW($1:$99),1),";")),"",ROW($1:$99)+1),COLUMN(I24)),SMALL(IF(ISERROR(SEARCH(MID(";"&amp;'CASE DATA'!$F24&amp;";",ROW($1:$99),1),";")),"",ROW($1:$99)),COLUMN(I23)+1)-SMALL(IF(ISERROR(SEARCH(MID(";"&amp;'CASE DATA'!$F24&amp;";",ROW($1:$99),1),";")),"",ROW($1:$99)),COLUMN(I23))-1)</f>
        <v/>
      </c>
      <c r="AE24" s="29" t="str">
        <f t="array" ref="AE24">MID(";"&amp;'CASE DATA'!$F24&amp;";",SMALL(IF(ISERROR(SEARCH(MID(";"&amp;'CASE DATA'!$F24&amp;";",ROW($1:$99),1),";")),"",ROW($1:$99)+1),COLUMN(J24)),SMALL(IF(ISERROR(SEARCH(MID(";"&amp;'CASE DATA'!$F24&amp;";",ROW($1:$99),1),";")),"",ROW($1:$99)),COLUMN(J23)+1)-SMALL(IF(ISERROR(SEARCH(MID(";"&amp;'CASE DATA'!$F24&amp;";",ROW($1:$99),1),";")),"",ROW($1:$99)),COLUMN(J23))-1)</f>
        <v/>
      </c>
      <c r="AF24" s="29" t="str">
        <f t="array" ref="AF24">MID(";"&amp;'CASE DATA'!$F24&amp;";",SMALL(IF(ISERROR(SEARCH(MID(";"&amp;'CASE DATA'!$F24&amp;";",ROW($1:$99),1),";")),"",ROW($1:$99)+1),COLUMN(K24)),SMALL(IF(ISERROR(SEARCH(MID(";"&amp;'CASE DATA'!$F24&amp;";",ROW($1:$99),1),";")),"",ROW($1:$99)),COLUMN(K23)+1)-SMALL(IF(ISERROR(SEARCH(MID(";"&amp;'CASE DATA'!$F24&amp;";",ROW($1:$99),1),";")),"",ROW($1:$99)),COLUMN(K23))-1)</f>
        <v/>
      </c>
      <c r="AG24" s="29" t="str">
        <f t="array" ref="AG24">MID(";"&amp;'CASE DATA'!$F24&amp;";",SMALL(IF(ISERROR(SEARCH(MID(";"&amp;'CASE DATA'!$F24&amp;";",ROW($1:$99),1),";")),"",ROW($1:$99)+1),COLUMN(L24)),SMALL(IF(ISERROR(SEARCH(MID(";"&amp;'CASE DATA'!$F24&amp;";",ROW($1:$99),1),";")),"",ROW($1:$99)),COLUMN(L23)+1)-SMALL(IF(ISERROR(SEARCH(MID(";"&amp;'CASE DATA'!$F24&amp;";",ROW($1:$99),1),";")),"",ROW($1:$99)),COLUMN(L23))-1)</f>
        <v/>
      </c>
      <c r="AH24" s="29"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25"/>
      <c r="C25" s="24"/>
      <c r="D25" s="24"/>
      <c r="E25" s="25"/>
      <c r="F25" s="30"/>
      <c r="J25" s="31"/>
      <c r="K25" s="31"/>
      <c r="L25" s="31"/>
      <c r="M25" s="31"/>
      <c r="N25" s="31"/>
      <c r="O25" s="31"/>
      <c r="P25" s="31"/>
      <c r="Q25" s="31"/>
      <c r="R25" s="31"/>
      <c r="S25" s="31"/>
      <c r="T25" s="28">
        <f t="shared" si="1"/>
        <v>0</v>
      </c>
      <c r="U25" s="28"/>
      <c r="W25" s="29" t="str">
        <f t="array" ref="W25">MID(";"&amp;'CASE DATA'!$F25&amp;";",SMALL(IF(ISERROR(SEARCH(MID(";"&amp;'CASE DATA'!$F25&amp;";",ROW($1:$99),1),";")),"",ROW($1:$99)+1),COLUMN(A25)),SMALL(IF(ISERROR(SEARCH(MID(";"&amp;'CASE DATA'!$F25&amp;";",ROW($1:$99),1),";")),"",ROW($1:$99)),COLUMN(A24)+1)-SMALL(IF(ISERROR(SEARCH(MID(";"&amp;'CASE DATA'!$F25&amp;";",ROW($1:$99),1),";")),"",ROW($1:$99)),COLUMN(A24))-1)</f>
        <v/>
      </c>
      <c r="X25" s="29" t="str">
        <f t="array" ref="X25">MID(";"&amp;'CASE DATA'!$F25&amp;";",SMALL(IF(ISERROR(SEARCH(MID(";"&amp;'CASE DATA'!$F25&amp;";",ROW($1:$99),1),";")),"",ROW($1:$99)+1),COLUMN(B25)),SMALL(IF(ISERROR(SEARCH(MID(";"&amp;'CASE DATA'!$F25&amp;";",ROW($1:$99),1),";")),"",ROW($1:$99)),COLUMN(B24)+1)-SMALL(IF(ISERROR(SEARCH(MID(";"&amp;'CASE DATA'!$F25&amp;";",ROW($1:$99),1),";")),"",ROW($1:$99)),COLUMN(B24))-1)</f>
        <v/>
      </c>
      <c r="Y25" s="29" t="str">
        <f t="array" ref="Y25">MID(";"&amp;'CASE DATA'!$F25&amp;";",SMALL(IF(ISERROR(SEARCH(MID(";"&amp;'CASE DATA'!$F25&amp;";",ROW($1:$99),1),";")),"",ROW($1:$99)+1),COLUMN(D25)),SMALL(IF(ISERROR(SEARCH(MID(";"&amp;'CASE DATA'!$F25&amp;";",ROW($1:$99),1),";")),"",ROW($1:$99)),COLUMN(D24)+1)-SMALL(IF(ISERROR(SEARCH(MID(";"&amp;'CASE DATA'!$F25&amp;";",ROW($1:$99),1),";")),"",ROW($1:$99)),COLUMN(D24))-1)</f>
        <v/>
      </c>
      <c r="Z25" s="29" t="str">
        <f t="array" ref="Z25">MID(";"&amp;'CASE DATA'!$F25&amp;";",SMALL(IF(ISERROR(SEARCH(MID(";"&amp;'CASE DATA'!$F25&amp;";",ROW($1:$99),1),";")),"",ROW($1:$99)+1),COLUMN(E25)),SMALL(IF(ISERROR(SEARCH(MID(";"&amp;'CASE DATA'!$F25&amp;";",ROW($1:$99),1),";")),"",ROW($1:$99)),COLUMN(E24)+1)-SMALL(IF(ISERROR(SEARCH(MID(";"&amp;'CASE DATA'!$F25&amp;";",ROW($1:$99),1),";")),"",ROW($1:$99)),COLUMN(E24))-1)</f>
        <v/>
      </c>
      <c r="AA25" s="29" t="str">
        <f t="array" ref="AA25">MID(";"&amp;'CASE DATA'!$F25&amp;";",SMALL(IF(ISERROR(SEARCH(MID(";"&amp;'CASE DATA'!$F25&amp;";",ROW($1:$99),1),";")),"",ROW($1:$99)+1),COLUMN(F25)),SMALL(IF(ISERROR(SEARCH(MID(";"&amp;'CASE DATA'!$F25&amp;";",ROW($1:$99),1),";")),"",ROW($1:$99)),COLUMN(F24)+1)-SMALL(IF(ISERROR(SEARCH(MID(";"&amp;'CASE DATA'!$F25&amp;";",ROW($1:$99),1),";")),"",ROW($1:$99)),COLUMN(F24))-1)</f>
        <v/>
      </c>
      <c r="AB25" s="29" t="str">
        <f t="array" ref="AB25">MID(";"&amp;'CASE DATA'!$F25&amp;";",SMALL(IF(ISERROR(SEARCH(MID(";"&amp;'CASE DATA'!$F25&amp;";",ROW($1:$99),1),";")),"",ROW($1:$99)+1),COLUMN(G25)),SMALL(IF(ISERROR(SEARCH(MID(";"&amp;'CASE DATA'!$F25&amp;";",ROW($1:$99),1),";")),"",ROW($1:$99)),COLUMN(G24)+1)-SMALL(IF(ISERROR(SEARCH(MID(";"&amp;'CASE DATA'!$F25&amp;";",ROW($1:$99),1),";")),"",ROW($1:$99)),COLUMN(G24))-1)</f>
        <v/>
      </c>
      <c r="AC25" s="29" t="str">
        <f t="array" ref="AC25">MID(";"&amp;'CASE DATA'!$F25&amp;";",SMALL(IF(ISERROR(SEARCH(MID(";"&amp;'CASE DATA'!$F25&amp;";",ROW($1:$99),1),";")),"",ROW($1:$99)+1),COLUMN(H25)),SMALL(IF(ISERROR(SEARCH(MID(";"&amp;'CASE DATA'!$F25&amp;";",ROW($1:$99),1),";")),"",ROW($1:$99)),COLUMN(H24)+1)-SMALL(IF(ISERROR(SEARCH(MID(";"&amp;'CASE DATA'!$F25&amp;";",ROW($1:$99),1),";")),"",ROW($1:$99)),COLUMN(H24))-1)</f>
        <v/>
      </c>
      <c r="AD25" s="29" t="str">
        <f t="array" ref="AD25">MID(";"&amp;'CASE DATA'!$F25&amp;";",SMALL(IF(ISERROR(SEARCH(MID(";"&amp;'CASE DATA'!$F25&amp;";",ROW($1:$99),1),";")),"",ROW($1:$99)+1),COLUMN(I25)),SMALL(IF(ISERROR(SEARCH(MID(";"&amp;'CASE DATA'!$F25&amp;";",ROW($1:$99),1),";")),"",ROW($1:$99)),COLUMN(I24)+1)-SMALL(IF(ISERROR(SEARCH(MID(";"&amp;'CASE DATA'!$F25&amp;";",ROW($1:$99),1),";")),"",ROW($1:$99)),COLUMN(I24))-1)</f>
        <v/>
      </c>
      <c r="AE25" s="29" t="str">
        <f t="array" ref="AE25">MID(";"&amp;'CASE DATA'!$F25&amp;";",SMALL(IF(ISERROR(SEARCH(MID(";"&amp;'CASE DATA'!$F25&amp;";",ROW($1:$99),1),";")),"",ROW($1:$99)+1),COLUMN(J25)),SMALL(IF(ISERROR(SEARCH(MID(";"&amp;'CASE DATA'!$F25&amp;";",ROW($1:$99),1),";")),"",ROW($1:$99)),COLUMN(J24)+1)-SMALL(IF(ISERROR(SEARCH(MID(";"&amp;'CASE DATA'!$F25&amp;";",ROW($1:$99),1),";")),"",ROW($1:$99)),COLUMN(J24))-1)</f>
        <v/>
      </c>
      <c r="AF25" s="29" t="str">
        <f t="array" ref="AF25">MID(";"&amp;'CASE DATA'!$F25&amp;";",SMALL(IF(ISERROR(SEARCH(MID(";"&amp;'CASE DATA'!$F25&amp;";",ROW($1:$99),1),";")),"",ROW($1:$99)+1),COLUMN(K25)),SMALL(IF(ISERROR(SEARCH(MID(";"&amp;'CASE DATA'!$F25&amp;";",ROW($1:$99),1),";")),"",ROW($1:$99)),COLUMN(K24)+1)-SMALL(IF(ISERROR(SEARCH(MID(";"&amp;'CASE DATA'!$F25&amp;";",ROW($1:$99),1),";")),"",ROW($1:$99)),COLUMN(K24))-1)</f>
        <v/>
      </c>
      <c r="AG25" s="29" t="str">
        <f t="array" ref="AG25">MID(";"&amp;'CASE DATA'!$F25&amp;";",SMALL(IF(ISERROR(SEARCH(MID(";"&amp;'CASE DATA'!$F25&amp;";",ROW($1:$99),1),";")),"",ROW($1:$99)+1),COLUMN(L25)),SMALL(IF(ISERROR(SEARCH(MID(";"&amp;'CASE DATA'!$F25&amp;";",ROW($1:$99),1),";")),"",ROW($1:$99)),COLUMN(L24)+1)-SMALL(IF(ISERROR(SEARCH(MID(";"&amp;'CASE DATA'!$F25&amp;";",ROW($1:$99),1),";")),"",ROW($1:$99)),COLUMN(L24))-1)</f>
        <v/>
      </c>
      <c r="AH25" s="29"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25"/>
      <c r="C26" s="24"/>
      <c r="D26" s="24"/>
      <c r="E26" s="25"/>
      <c r="F26" s="30"/>
      <c r="J26" s="31"/>
      <c r="K26" s="31"/>
      <c r="L26" s="31"/>
      <c r="M26" s="31"/>
      <c r="N26" s="31"/>
      <c r="O26" s="31"/>
      <c r="P26" s="31"/>
      <c r="Q26" s="31"/>
      <c r="R26" s="31"/>
      <c r="S26" s="31"/>
      <c r="T26" s="28">
        <f t="shared" si="1"/>
        <v>0</v>
      </c>
      <c r="U26" s="28"/>
      <c r="W26" s="29" t="str">
        <f t="array" ref="W26">MID(";"&amp;'CASE DATA'!$F26&amp;";",SMALL(IF(ISERROR(SEARCH(MID(";"&amp;'CASE DATA'!$F26&amp;";",ROW($1:$99),1),";")),"",ROW($1:$99)+1),COLUMN(A26)),SMALL(IF(ISERROR(SEARCH(MID(";"&amp;'CASE DATA'!$F26&amp;";",ROW($1:$99),1),";")),"",ROW($1:$99)),COLUMN(A25)+1)-SMALL(IF(ISERROR(SEARCH(MID(";"&amp;'CASE DATA'!$F26&amp;";",ROW($1:$99),1),";")),"",ROW($1:$99)),COLUMN(A25))-1)</f>
        <v/>
      </c>
      <c r="X26" s="29" t="str">
        <f t="array" ref="X26">MID(";"&amp;'CASE DATA'!$F26&amp;";",SMALL(IF(ISERROR(SEARCH(MID(";"&amp;'CASE DATA'!$F26&amp;";",ROW($1:$99),1),";")),"",ROW($1:$99)+1),COLUMN(B26)),SMALL(IF(ISERROR(SEARCH(MID(";"&amp;'CASE DATA'!$F26&amp;";",ROW($1:$99),1),";")),"",ROW($1:$99)),COLUMN(B25)+1)-SMALL(IF(ISERROR(SEARCH(MID(";"&amp;'CASE DATA'!$F26&amp;";",ROW($1:$99),1),";")),"",ROW($1:$99)),COLUMN(B25))-1)</f>
        <v/>
      </c>
      <c r="Y26" s="29" t="str">
        <f t="array" ref="Y26">MID(";"&amp;'CASE DATA'!$F26&amp;";",SMALL(IF(ISERROR(SEARCH(MID(";"&amp;'CASE DATA'!$F26&amp;";",ROW($1:$99),1),";")),"",ROW($1:$99)+1),COLUMN(D26)),SMALL(IF(ISERROR(SEARCH(MID(";"&amp;'CASE DATA'!$F26&amp;";",ROW($1:$99),1),";")),"",ROW($1:$99)),COLUMN(D25)+1)-SMALL(IF(ISERROR(SEARCH(MID(";"&amp;'CASE DATA'!$F26&amp;";",ROW($1:$99),1),";")),"",ROW($1:$99)),COLUMN(D25))-1)</f>
        <v/>
      </c>
      <c r="Z26" s="29" t="str">
        <f t="array" ref="Z26">MID(";"&amp;'CASE DATA'!$F26&amp;";",SMALL(IF(ISERROR(SEARCH(MID(";"&amp;'CASE DATA'!$F26&amp;";",ROW($1:$99),1),";")),"",ROW($1:$99)+1),COLUMN(E26)),SMALL(IF(ISERROR(SEARCH(MID(";"&amp;'CASE DATA'!$F26&amp;";",ROW($1:$99),1),";")),"",ROW($1:$99)),COLUMN(E25)+1)-SMALL(IF(ISERROR(SEARCH(MID(";"&amp;'CASE DATA'!$F26&amp;";",ROW($1:$99),1),";")),"",ROW($1:$99)),COLUMN(E25))-1)</f>
        <v/>
      </c>
      <c r="AA26" s="29" t="str">
        <f t="array" ref="AA26">MID(";"&amp;'CASE DATA'!$F26&amp;";",SMALL(IF(ISERROR(SEARCH(MID(";"&amp;'CASE DATA'!$F26&amp;";",ROW($1:$99),1),";")),"",ROW($1:$99)+1),COLUMN(F26)),SMALL(IF(ISERROR(SEARCH(MID(";"&amp;'CASE DATA'!$F26&amp;";",ROW($1:$99),1),";")),"",ROW($1:$99)),COLUMN(F25)+1)-SMALL(IF(ISERROR(SEARCH(MID(";"&amp;'CASE DATA'!$F26&amp;";",ROW($1:$99),1),";")),"",ROW($1:$99)),COLUMN(F25))-1)</f>
        <v/>
      </c>
      <c r="AB26" s="29" t="str">
        <f t="array" ref="AB26">MID(";"&amp;'CASE DATA'!$F26&amp;";",SMALL(IF(ISERROR(SEARCH(MID(";"&amp;'CASE DATA'!$F26&amp;";",ROW($1:$99),1),";")),"",ROW($1:$99)+1),COLUMN(G26)),SMALL(IF(ISERROR(SEARCH(MID(";"&amp;'CASE DATA'!$F26&amp;";",ROW($1:$99),1),";")),"",ROW($1:$99)),COLUMN(G25)+1)-SMALL(IF(ISERROR(SEARCH(MID(";"&amp;'CASE DATA'!$F26&amp;";",ROW($1:$99),1),";")),"",ROW($1:$99)),COLUMN(G25))-1)</f>
        <v/>
      </c>
      <c r="AC26" s="29" t="str">
        <f t="array" ref="AC26">MID(";"&amp;'CASE DATA'!$F26&amp;";",SMALL(IF(ISERROR(SEARCH(MID(";"&amp;'CASE DATA'!$F26&amp;";",ROW($1:$99),1),";")),"",ROW($1:$99)+1),COLUMN(H26)),SMALL(IF(ISERROR(SEARCH(MID(";"&amp;'CASE DATA'!$F26&amp;";",ROW($1:$99),1),";")),"",ROW($1:$99)),COLUMN(H25)+1)-SMALL(IF(ISERROR(SEARCH(MID(";"&amp;'CASE DATA'!$F26&amp;";",ROW($1:$99),1),";")),"",ROW($1:$99)),COLUMN(H25))-1)</f>
        <v/>
      </c>
      <c r="AD26" s="29" t="str">
        <f t="array" ref="AD26">MID(";"&amp;'CASE DATA'!$F26&amp;";",SMALL(IF(ISERROR(SEARCH(MID(";"&amp;'CASE DATA'!$F26&amp;";",ROW($1:$99),1),";")),"",ROW($1:$99)+1),COLUMN(I26)),SMALL(IF(ISERROR(SEARCH(MID(";"&amp;'CASE DATA'!$F26&amp;";",ROW($1:$99),1),";")),"",ROW($1:$99)),COLUMN(I25)+1)-SMALL(IF(ISERROR(SEARCH(MID(";"&amp;'CASE DATA'!$F26&amp;";",ROW($1:$99),1),";")),"",ROW($1:$99)),COLUMN(I25))-1)</f>
        <v/>
      </c>
      <c r="AE26" s="29" t="str">
        <f t="array" ref="AE26">MID(";"&amp;'CASE DATA'!$F26&amp;";",SMALL(IF(ISERROR(SEARCH(MID(";"&amp;'CASE DATA'!$F26&amp;";",ROW($1:$99),1),";")),"",ROW($1:$99)+1),COLUMN(J26)),SMALL(IF(ISERROR(SEARCH(MID(";"&amp;'CASE DATA'!$F26&amp;";",ROW($1:$99),1),";")),"",ROW($1:$99)),COLUMN(J25)+1)-SMALL(IF(ISERROR(SEARCH(MID(";"&amp;'CASE DATA'!$F26&amp;";",ROW($1:$99),1),";")),"",ROW($1:$99)),COLUMN(J25))-1)</f>
        <v/>
      </c>
      <c r="AF26" s="29" t="str">
        <f t="array" ref="AF26">MID(";"&amp;'CASE DATA'!$F26&amp;";",SMALL(IF(ISERROR(SEARCH(MID(";"&amp;'CASE DATA'!$F26&amp;";",ROW($1:$99),1),";")),"",ROW($1:$99)+1),COLUMN(K26)),SMALL(IF(ISERROR(SEARCH(MID(";"&amp;'CASE DATA'!$F26&amp;";",ROW($1:$99),1),";")),"",ROW($1:$99)),COLUMN(K25)+1)-SMALL(IF(ISERROR(SEARCH(MID(";"&amp;'CASE DATA'!$F26&amp;";",ROW($1:$99),1),";")),"",ROW($1:$99)),COLUMN(K25))-1)</f>
        <v/>
      </c>
      <c r="AG26" s="29" t="str">
        <f t="array" ref="AG26">MID(";"&amp;'CASE DATA'!$F26&amp;";",SMALL(IF(ISERROR(SEARCH(MID(";"&amp;'CASE DATA'!$F26&amp;";",ROW($1:$99),1),";")),"",ROW($1:$99)+1),COLUMN(L26)),SMALL(IF(ISERROR(SEARCH(MID(";"&amp;'CASE DATA'!$F26&amp;";",ROW($1:$99),1),";")),"",ROW($1:$99)),COLUMN(L25)+1)-SMALL(IF(ISERROR(SEARCH(MID(";"&amp;'CASE DATA'!$F26&amp;";",ROW($1:$99),1),";")),"",ROW($1:$99)),COLUMN(L25))-1)</f>
        <v/>
      </c>
      <c r="AH26" s="29"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25"/>
      <c r="C27" s="24"/>
      <c r="D27" s="24"/>
      <c r="E27" s="25"/>
      <c r="F27" s="30"/>
      <c r="J27" s="31"/>
      <c r="K27" s="31"/>
      <c r="L27" s="31"/>
      <c r="M27" s="31"/>
      <c r="N27" s="31"/>
      <c r="O27" s="31"/>
      <c r="P27" s="31"/>
      <c r="Q27" s="31"/>
      <c r="R27" s="31"/>
      <c r="S27" s="31"/>
      <c r="T27" s="28">
        <f t="shared" si="1"/>
        <v>0</v>
      </c>
      <c r="U27" s="28"/>
      <c r="W27" s="29" t="str">
        <f t="array" ref="W27">MID(";"&amp;'CASE DATA'!$F27&amp;";",SMALL(IF(ISERROR(SEARCH(MID(";"&amp;'CASE DATA'!$F27&amp;";",ROW($1:$99),1),";")),"",ROW($1:$99)+1),COLUMN(A27)),SMALL(IF(ISERROR(SEARCH(MID(";"&amp;'CASE DATA'!$F27&amp;";",ROW($1:$99),1),";")),"",ROW($1:$99)),COLUMN(A26)+1)-SMALL(IF(ISERROR(SEARCH(MID(";"&amp;'CASE DATA'!$F27&amp;";",ROW($1:$99),1),";")),"",ROW($1:$99)),COLUMN(A26))-1)</f>
        <v/>
      </c>
      <c r="X27" s="29" t="str">
        <f t="array" ref="X27">MID(";"&amp;'CASE DATA'!$F27&amp;";",SMALL(IF(ISERROR(SEARCH(MID(";"&amp;'CASE DATA'!$F27&amp;";",ROW($1:$99),1),";")),"",ROW($1:$99)+1),COLUMN(B27)),SMALL(IF(ISERROR(SEARCH(MID(";"&amp;'CASE DATA'!$F27&amp;";",ROW($1:$99),1),";")),"",ROW($1:$99)),COLUMN(B26)+1)-SMALL(IF(ISERROR(SEARCH(MID(";"&amp;'CASE DATA'!$F27&amp;";",ROW($1:$99),1),";")),"",ROW($1:$99)),COLUMN(B26))-1)</f>
        <v/>
      </c>
      <c r="Y27" s="29" t="str">
        <f t="array" ref="Y27">MID(";"&amp;'CASE DATA'!$F27&amp;";",SMALL(IF(ISERROR(SEARCH(MID(";"&amp;'CASE DATA'!$F27&amp;";",ROW($1:$99),1),";")),"",ROW($1:$99)+1),COLUMN(D27)),SMALL(IF(ISERROR(SEARCH(MID(";"&amp;'CASE DATA'!$F27&amp;";",ROW($1:$99),1),";")),"",ROW($1:$99)),COLUMN(D26)+1)-SMALL(IF(ISERROR(SEARCH(MID(";"&amp;'CASE DATA'!$F27&amp;";",ROW($1:$99),1),";")),"",ROW($1:$99)),COLUMN(D26))-1)</f>
        <v/>
      </c>
      <c r="Z27" s="29" t="str">
        <f t="array" ref="Z27">MID(";"&amp;'CASE DATA'!$F27&amp;";",SMALL(IF(ISERROR(SEARCH(MID(";"&amp;'CASE DATA'!$F27&amp;";",ROW($1:$99),1),";")),"",ROW($1:$99)+1),COLUMN(E27)),SMALL(IF(ISERROR(SEARCH(MID(";"&amp;'CASE DATA'!$F27&amp;";",ROW($1:$99),1),";")),"",ROW($1:$99)),COLUMN(E26)+1)-SMALL(IF(ISERROR(SEARCH(MID(";"&amp;'CASE DATA'!$F27&amp;";",ROW($1:$99),1),";")),"",ROW($1:$99)),COLUMN(E26))-1)</f>
        <v/>
      </c>
      <c r="AA27" s="29" t="str">
        <f t="array" ref="AA27">MID(";"&amp;'CASE DATA'!$F27&amp;";",SMALL(IF(ISERROR(SEARCH(MID(";"&amp;'CASE DATA'!$F27&amp;";",ROW($1:$99),1),";")),"",ROW($1:$99)+1),COLUMN(F27)),SMALL(IF(ISERROR(SEARCH(MID(";"&amp;'CASE DATA'!$F27&amp;";",ROW($1:$99),1),";")),"",ROW($1:$99)),COLUMN(F26)+1)-SMALL(IF(ISERROR(SEARCH(MID(";"&amp;'CASE DATA'!$F27&amp;";",ROW($1:$99),1),";")),"",ROW($1:$99)),COLUMN(F26))-1)</f>
        <v/>
      </c>
      <c r="AB27" s="29" t="str">
        <f t="array" ref="AB27">MID(";"&amp;'CASE DATA'!$F27&amp;";",SMALL(IF(ISERROR(SEARCH(MID(";"&amp;'CASE DATA'!$F27&amp;";",ROW($1:$99),1),";")),"",ROW($1:$99)+1),COLUMN(G27)),SMALL(IF(ISERROR(SEARCH(MID(";"&amp;'CASE DATA'!$F27&amp;";",ROW($1:$99),1),";")),"",ROW($1:$99)),COLUMN(G26)+1)-SMALL(IF(ISERROR(SEARCH(MID(";"&amp;'CASE DATA'!$F27&amp;";",ROW($1:$99),1),";")),"",ROW($1:$99)),COLUMN(G26))-1)</f>
        <v/>
      </c>
      <c r="AC27" s="29" t="str">
        <f t="array" ref="AC27">MID(";"&amp;'CASE DATA'!$F27&amp;";",SMALL(IF(ISERROR(SEARCH(MID(";"&amp;'CASE DATA'!$F27&amp;";",ROW($1:$99),1),";")),"",ROW($1:$99)+1),COLUMN(H27)),SMALL(IF(ISERROR(SEARCH(MID(";"&amp;'CASE DATA'!$F27&amp;";",ROW($1:$99),1),";")),"",ROW($1:$99)),COLUMN(H26)+1)-SMALL(IF(ISERROR(SEARCH(MID(";"&amp;'CASE DATA'!$F27&amp;";",ROW($1:$99),1),";")),"",ROW($1:$99)),COLUMN(H26))-1)</f>
        <v/>
      </c>
      <c r="AD27" s="29" t="str">
        <f t="array" ref="AD27">MID(";"&amp;'CASE DATA'!$F27&amp;";",SMALL(IF(ISERROR(SEARCH(MID(";"&amp;'CASE DATA'!$F27&amp;";",ROW($1:$99),1),";")),"",ROW($1:$99)+1),COLUMN(I27)),SMALL(IF(ISERROR(SEARCH(MID(";"&amp;'CASE DATA'!$F27&amp;";",ROW($1:$99),1),";")),"",ROW($1:$99)),COLUMN(I26)+1)-SMALL(IF(ISERROR(SEARCH(MID(";"&amp;'CASE DATA'!$F27&amp;";",ROW($1:$99),1),";")),"",ROW($1:$99)),COLUMN(I26))-1)</f>
        <v/>
      </c>
      <c r="AE27" s="29" t="str">
        <f t="array" ref="AE27">MID(";"&amp;'CASE DATA'!$F27&amp;";",SMALL(IF(ISERROR(SEARCH(MID(";"&amp;'CASE DATA'!$F27&amp;";",ROW($1:$99),1),";")),"",ROW($1:$99)+1),COLUMN(J27)),SMALL(IF(ISERROR(SEARCH(MID(";"&amp;'CASE DATA'!$F27&amp;";",ROW($1:$99),1),";")),"",ROW($1:$99)),COLUMN(J26)+1)-SMALL(IF(ISERROR(SEARCH(MID(";"&amp;'CASE DATA'!$F27&amp;";",ROW($1:$99),1),";")),"",ROW($1:$99)),COLUMN(J26))-1)</f>
        <v/>
      </c>
      <c r="AF27" s="29" t="str">
        <f t="array" ref="AF27">MID(";"&amp;'CASE DATA'!$F27&amp;";",SMALL(IF(ISERROR(SEARCH(MID(";"&amp;'CASE DATA'!$F27&amp;";",ROW($1:$99),1),";")),"",ROW($1:$99)+1),COLUMN(K27)),SMALL(IF(ISERROR(SEARCH(MID(";"&amp;'CASE DATA'!$F27&amp;";",ROW($1:$99),1),";")),"",ROW($1:$99)),COLUMN(K26)+1)-SMALL(IF(ISERROR(SEARCH(MID(";"&amp;'CASE DATA'!$F27&amp;";",ROW($1:$99),1),";")),"",ROW($1:$99)),COLUMN(K26))-1)</f>
        <v/>
      </c>
      <c r="AG27" s="29" t="str">
        <f t="array" ref="AG27">MID(";"&amp;'CASE DATA'!$F27&amp;";",SMALL(IF(ISERROR(SEARCH(MID(";"&amp;'CASE DATA'!$F27&amp;";",ROW($1:$99),1),";")),"",ROW($1:$99)+1),COLUMN(L27)),SMALL(IF(ISERROR(SEARCH(MID(";"&amp;'CASE DATA'!$F27&amp;";",ROW($1:$99),1),";")),"",ROW($1:$99)),COLUMN(L26)+1)-SMALL(IF(ISERROR(SEARCH(MID(";"&amp;'CASE DATA'!$F27&amp;";",ROW($1:$99),1),";")),"",ROW($1:$99)),COLUMN(L26))-1)</f>
        <v/>
      </c>
      <c r="AH27" s="29"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25"/>
      <c r="C28" s="24"/>
      <c r="D28" s="33"/>
      <c r="E28" s="25"/>
      <c r="F28" s="30"/>
      <c r="J28" s="31"/>
      <c r="K28" s="31"/>
      <c r="L28" s="31"/>
      <c r="M28" s="31"/>
      <c r="N28" s="31"/>
      <c r="O28" s="31"/>
      <c r="P28" s="31"/>
      <c r="Q28" s="31"/>
      <c r="R28" s="31"/>
      <c r="S28" s="31"/>
      <c r="T28" s="28">
        <f t="shared" si="1"/>
        <v>0</v>
      </c>
      <c r="U28" s="28"/>
      <c r="W28" s="29" t="str">
        <f t="array" ref="W28">MID(";"&amp;'CASE DATA'!$F28&amp;";",SMALL(IF(ISERROR(SEARCH(MID(";"&amp;'CASE DATA'!$F28&amp;";",ROW($1:$99),1),";")),"",ROW($1:$99)+1),COLUMN(A28)),SMALL(IF(ISERROR(SEARCH(MID(";"&amp;'CASE DATA'!$F28&amp;";",ROW($1:$99),1),";")),"",ROW($1:$99)),COLUMN(A27)+1)-SMALL(IF(ISERROR(SEARCH(MID(";"&amp;'CASE DATA'!$F28&amp;";",ROW($1:$99),1),";")),"",ROW($1:$99)),COLUMN(A27))-1)</f>
        <v/>
      </c>
      <c r="X28" s="29" t="str">
        <f t="array" ref="X28">MID(";"&amp;'CASE DATA'!$F28&amp;";",SMALL(IF(ISERROR(SEARCH(MID(";"&amp;'CASE DATA'!$F28&amp;";",ROW($1:$99),1),";")),"",ROW($1:$99)+1),COLUMN(B28)),SMALL(IF(ISERROR(SEARCH(MID(";"&amp;'CASE DATA'!$F28&amp;";",ROW($1:$99),1),";")),"",ROW($1:$99)),COLUMN(B27)+1)-SMALL(IF(ISERROR(SEARCH(MID(";"&amp;'CASE DATA'!$F28&amp;";",ROW($1:$99),1),";")),"",ROW($1:$99)),COLUMN(B27))-1)</f>
        <v/>
      </c>
      <c r="Y28" s="29" t="str">
        <f t="array" ref="Y28">MID(";"&amp;'CASE DATA'!$F28&amp;";",SMALL(IF(ISERROR(SEARCH(MID(";"&amp;'CASE DATA'!$F28&amp;";",ROW($1:$99),1),";")),"",ROW($1:$99)+1),COLUMN(D28)),SMALL(IF(ISERROR(SEARCH(MID(";"&amp;'CASE DATA'!$F28&amp;";",ROW($1:$99),1),";")),"",ROW($1:$99)),COLUMN(D27)+1)-SMALL(IF(ISERROR(SEARCH(MID(";"&amp;'CASE DATA'!$F28&amp;";",ROW($1:$99),1),";")),"",ROW($1:$99)),COLUMN(D27))-1)</f>
        <v/>
      </c>
      <c r="Z28" s="29" t="str">
        <f t="array" ref="Z28">MID(";"&amp;'CASE DATA'!$F28&amp;";",SMALL(IF(ISERROR(SEARCH(MID(";"&amp;'CASE DATA'!$F28&amp;";",ROW($1:$99),1),";")),"",ROW($1:$99)+1),COLUMN(E28)),SMALL(IF(ISERROR(SEARCH(MID(";"&amp;'CASE DATA'!$F28&amp;";",ROW($1:$99),1),";")),"",ROW($1:$99)),COLUMN(E27)+1)-SMALL(IF(ISERROR(SEARCH(MID(";"&amp;'CASE DATA'!$F28&amp;";",ROW($1:$99),1),";")),"",ROW($1:$99)),COLUMN(E27))-1)</f>
        <v/>
      </c>
      <c r="AA28" s="29" t="str">
        <f t="array" ref="AA28">MID(";"&amp;'CASE DATA'!$F28&amp;";",SMALL(IF(ISERROR(SEARCH(MID(";"&amp;'CASE DATA'!$F28&amp;";",ROW($1:$99),1),";")),"",ROW($1:$99)+1),COLUMN(F28)),SMALL(IF(ISERROR(SEARCH(MID(";"&amp;'CASE DATA'!$F28&amp;";",ROW($1:$99),1),";")),"",ROW($1:$99)),COLUMN(F27)+1)-SMALL(IF(ISERROR(SEARCH(MID(";"&amp;'CASE DATA'!$F28&amp;";",ROW($1:$99),1),";")),"",ROW($1:$99)),COLUMN(F27))-1)</f>
        <v/>
      </c>
      <c r="AB28" s="29" t="str">
        <f t="array" ref="AB28">MID(";"&amp;'CASE DATA'!$F28&amp;";",SMALL(IF(ISERROR(SEARCH(MID(";"&amp;'CASE DATA'!$F28&amp;";",ROW($1:$99),1),";")),"",ROW($1:$99)+1),COLUMN(G28)),SMALL(IF(ISERROR(SEARCH(MID(";"&amp;'CASE DATA'!$F28&amp;";",ROW($1:$99),1),";")),"",ROW($1:$99)),COLUMN(G27)+1)-SMALL(IF(ISERROR(SEARCH(MID(";"&amp;'CASE DATA'!$F28&amp;";",ROW($1:$99),1),";")),"",ROW($1:$99)),COLUMN(G27))-1)</f>
        <v/>
      </c>
      <c r="AC28" s="29" t="str">
        <f t="array" ref="AC28">MID(";"&amp;'CASE DATA'!$F28&amp;";",SMALL(IF(ISERROR(SEARCH(MID(";"&amp;'CASE DATA'!$F28&amp;";",ROW($1:$99),1),";")),"",ROW($1:$99)+1),COLUMN(H28)),SMALL(IF(ISERROR(SEARCH(MID(";"&amp;'CASE DATA'!$F28&amp;";",ROW($1:$99),1),";")),"",ROW($1:$99)),COLUMN(H27)+1)-SMALL(IF(ISERROR(SEARCH(MID(";"&amp;'CASE DATA'!$F28&amp;";",ROW($1:$99),1),";")),"",ROW($1:$99)),COLUMN(H27))-1)</f>
        <v/>
      </c>
      <c r="AD28" s="29" t="str">
        <f t="array" ref="AD28">MID(";"&amp;'CASE DATA'!$F28&amp;";",SMALL(IF(ISERROR(SEARCH(MID(";"&amp;'CASE DATA'!$F28&amp;";",ROW($1:$99),1),";")),"",ROW($1:$99)+1),COLUMN(I28)),SMALL(IF(ISERROR(SEARCH(MID(";"&amp;'CASE DATA'!$F28&amp;";",ROW($1:$99),1),";")),"",ROW($1:$99)),COLUMN(I27)+1)-SMALL(IF(ISERROR(SEARCH(MID(";"&amp;'CASE DATA'!$F28&amp;";",ROW($1:$99),1),";")),"",ROW($1:$99)),COLUMN(I27))-1)</f>
        <v/>
      </c>
      <c r="AE28" s="29" t="str">
        <f t="array" ref="AE28">MID(";"&amp;'CASE DATA'!$F28&amp;";",SMALL(IF(ISERROR(SEARCH(MID(";"&amp;'CASE DATA'!$F28&amp;";",ROW($1:$99),1),";")),"",ROW($1:$99)+1),COLUMN(J28)),SMALL(IF(ISERROR(SEARCH(MID(";"&amp;'CASE DATA'!$F28&amp;";",ROW($1:$99),1),";")),"",ROW($1:$99)),COLUMN(J27)+1)-SMALL(IF(ISERROR(SEARCH(MID(";"&amp;'CASE DATA'!$F28&amp;";",ROW($1:$99),1),";")),"",ROW($1:$99)),COLUMN(J27))-1)</f>
        <v/>
      </c>
      <c r="AF28" s="29" t="str">
        <f t="array" ref="AF28">MID(";"&amp;'CASE DATA'!$F28&amp;";",SMALL(IF(ISERROR(SEARCH(MID(";"&amp;'CASE DATA'!$F28&amp;";",ROW($1:$99),1),";")),"",ROW($1:$99)+1),COLUMN(K28)),SMALL(IF(ISERROR(SEARCH(MID(";"&amp;'CASE DATA'!$F28&amp;";",ROW($1:$99),1),";")),"",ROW($1:$99)),COLUMN(K27)+1)-SMALL(IF(ISERROR(SEARCH(MID(";"&amp;'CASE DATA'!$F28&amp;";",ROW($1:$99),1),";")),"",ROW($1:$99)),COLUMN(K27))-1)</f>
        <v/>
      </c>
      <c r="AG28" s="29" t="str">
        <f t="array" ref="AG28">MID(";"&amp;'CASE DATA'!$F28&amp;";",SMALL(IF(ISERROR(SEARCH(MID(";"&amp;'CASE DATA'!$F28&amp;";",ROW($1:$99),1),";")),"",ROW($1:$99)+1),COLUMN(L28)),SMALL(IF(ISERROR(SEARCH(MID(";"&amp;'CASE DATA'!$F28&amp;";",ROW($1:$99),1),";")),"",ROW($1:$99)),COLUMN(L27)+1)-SMALL(IF(ISERROR(SEARCH(MID(";"&amp;'CASE DATA'!$F28&amp;";",ROW($1:$99),1),";")),"",ROW($1:$99)),COLUMN(L27))-1)</f>
        <v/>
      </c>
      <c r="AH28" s="29"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25"/>
      <c r="C29" s="24"/>
      <c r="D29" s="24"/>
      <c r="E29" s="25"/>
      <c r="F29" s="30"/>
      <c r="J29" s="31"/>
      <c r="K29" s="31"/>
      <c r="L29" s="31"/>
      <c r="M29" s="31"/>
      <c r="N29" s="31"/>
      <c r="O29" s="31"/>
      <c r="P29" s="31"/>
      <c r="Q29" s="31"/>
      <c r="R29" s="31"/>
      <c r="S29" s="31"/>
      <c r="T29" s="28">
        <f t="shared" si="1"/>
        <v>0</v>
      </c>
      <c r="U29" s="28"/>
      <c r="W29" s="29" t="str">
        <f t="array" ref="W29">MID(";"&amp;'CASE DATA'!$F29&amp;";",SMALL(IF(ISERROR(SEARCH(MID(";"&amp;'CASE DATA'!$F29&amp;";",ROW($1:$99),1),";")),"",ROW($1:$99)+1),COLUMN(A29)),SMALL(IF(ISERROR(SEARCH(MID(";"&amp;'CASE DATA'!$F29&amp;";",ROW($1:$99),1),";")),"",ROW($1:$99)),COLUMN(A28)+1)-SMALL(IF(ISERROR(SEARCH(MID(";"&amp;'CASE DATA'!$F29&amp;";",ROW($1:$99),1),";")),"",ROW($1:$99)),COLUMN(A28))-1)</f>
        <v/>
      </c>
      <c r="X29" s="29" t="str">
        <f t="array" ref="X29">MID(";"&amp;'CASE DATA'!$F29&amp;";",SMALL(IF(ISERROR(SEARCH(MID(";"&amp;'CASE DATA'!$F29&amp;";",ROW($1:$99),1),";")),"",ROW($1:$99)+1),COLUMN(B29)),SMALL(IF(ISERROR(SEARCH(MID(";"&amp;'CASE DATA'!$F29&amp;";",ROW($1:$99),1),";")),"",ROW($1:$99)),COLUMN(B28)+1)-SMALL(IF(ISERROR(SEARCH(MID(";"&amp;'CASE DATA'!$F29&amp;";",ROW($1:$99),1),";")),"",ROW($1:$99)),COLUMN(B28))-1)</f>
        <v/>
      </c>
      <c r="Y29" s="29" t="str">
        <f t="array" ref="Y29">MID(";"&amp;'CASE DATA'!$F29&amp;";",SMALL(IF(ISERROR(SEARCH(MID(";"&amp;'CASE DATA'!$F29&amp;";",ROW($1:$99),1),";")),"",ROW($1:$99)+1),COLUMN(D29)),SMALL(IF(ISERROR(SEARCH(MID(";"&amp;'CASE DATA'!$F29&amp;";",ROW($1:$99),1),";")),"",ROW($1:$99)),COLUMN(D28)+1)-SMALL(IF(ISERROR(SEARCH(MID(";"&amp;'CASE DATA'!$F29&amp;";",ROW($1:$99),1),";")),"",ROW($1:$99)),COLUMN(D28))-1)</f>
        <v/>
      </c>
      <c r="Z29" s="29" t="str">
        <f t="array" ref="Z29">MID(";"&amp;'CASE DATA'!$F29&amp;";",SMALL(IF(ISERROR(SEARCH(MID(";"&amp;'CASE DATA'!$F29&amp;";",ROW($1:$99),1),";")),"",ROW($1:$99)+1),COLUMN(E29)),SMALL(IF(ISERROR(SEARCH(MID(";"&amp;'CASE DATA'!$F29&amp;";",ROW($1:$99),1),";")),"",ROW($1:$99)),COLUMN(E28)+1)-SMALL(IF(ISERROR(SEARCH(MID(";"&amp;'CASE DATA'!$F29&amp;";",ROW($1:$99),1),";")),"",ROW($1:$99)),COLUMN(E28))-1)</f>
        <v/>
      </c>
      <c r="AA29" s="29" t="str">
        <f t="array" ref="AA29">MID(";"&amp;'CASE DATA'!$F29&amp;";",SMALL(IF(ISERROR(SEARCH(MID(";"&amp;'CASE DATA'!$F29&amp;";",ROW($1:$99),1),";")),"",ROW($1:$99)+1),COLUMN(F29)),SMALL(IF(ISERROR(SEARCH(MID(";"&amp;'CASE DATA'!$F29&amp;";",ROW($1:$99),1),";")),"",ROW($1:$99)),COLUMN(F28)+1)-SMALL(IF(ISERROR(SEARCH(MID(";"&amp;'CASE DATA'!$F29&amp;";",ROW($1:$99),1),";")),"",ROW($1:$99)),COLUMN(F28))-1)</f>
        <v/>
      </c>
      <c r="AB29" s="29" t="str">
        <f t="array" ref="AB29">MID(";"&amp;'CASE DATA'!$F29&amp;";",SMALL(IF(ISERROR(SEARCH(MID(";"&amp;'CASE DATA'!$F29&amp;";",ROW($1:$99),1),";")),"",ROW($1:$99)+1),COLUMN(G29)),SMALL(IF(ISERROR(SEARCH(MID(";"&amp;'CASE DATA'!$F29&amp;";",ROW($1:$99),1),";")),"",ROW($1:$99)),COLUMN(G28)+1)-SMALL(IF(ISERROR(SEARCH(MID(";"&amp;'CASE DATA'!$F29&amp;";",ROW($1:$99),1),";")),"",ROW($1:$99)),COLUMN(G28))-1)</f>
        <v/>
      </c>
      <c r="AC29" s="29" t="str">
        <f t="array" ref="AC29">MID(";"&amp;'CASE DATA'!$F29&amp;";",SMALL(IF(ISERROR(SEARCH(MID(";"&amp;'CASE DATA'!$F29&amp;";",ROW($1:$99),1),";")),"",ROW($1:$99)+1),COLUMN(H29)),SMALL(IF(ISERROR(SEARCH(MID(";"&amp;'CASE DATA'!$F29&amp;";",ROW($1:$99),1),";")),"",ROW($1:$99)),COLUMN(H28)+1)-SMALL(IF(ISERROR(SEARCH(MID(";"&amp;'CASE DATA'!$F29&amp;";",ROW($1:$99),1),";")),"",ROW($1:$99)),COLUMN(H28))-1)</f>
        <v/>
      </c>
      <c r="AD29" s="29" t="str">
        <f t="array" ref="AD29">MID(";"&amp;'CASE DATA'!$F29&amp;";",SMALL(IF(ISERROR(SEARCH(MID(";"&amp;'CASE DATA'!$F29&amp;";",ROW($1:$99),1),";")),"",ROW($1:$99)+1),COLUMN(I29)),SMALL(IF(ISERROR(SEARCH(MID(";"&amp;'CASE DATA'!$F29&amp;";",ROW($1:$99),1),";")),"",ROW($1:$99)),COLUMN(I28)+1)-SMALL(IF(ISERROR(SEARCH(MID(";"&amp;'CASE DATA'!$F29&amp;";",ROW($1:$99),1),";")),"",ROW($1:$99)),COLUMN(I28))-1)</f>
        <v/>
      </c>
      <c r="AE29" s="29" t="str">
        <f t="array" ref="AE29">MID(";"&amp;'CASE DATA'!$F29&amp;";",SMALL(IF(ISERROR(SEARCH(MID(";"&amp;'CASE DATA'!$F29&amp;";",ROW($1:$99),1),";")),"",ROW($1:$99)+1),COLUMN(J29)),SMALL(IF(ISERROR(SEARCH(MID(";"&amp;'CASE DATA'!$F29&amp;";",ROW($1:$99),1),";")),"",ROW($1:$99)),COLUMN(J28)+1)-SMALL(IF(ISERROR(SEARCH(MID(";"&amp;'CASE DATA'!$F29&amp;";",ROW($1:$99),1),";")),"",ROW($1:$99)),COLUMN(J28))-1)</f>
        <v/>
      </c>
      <c r="AF29" s="29" t="str">
        <f t="array" ref="AF29">MID(";"&amp;'CASE DATA'!$F29&amp;";",SMALL(IF(ISERROR(SEARCH(MID(";"&amp;'CASE DATA'!$F29&amp;";",ROW($1:$99),1),";")),"",ROW($1:$99)+1),COLUMN(K29)),SMALL(IF(ISERROR(SEARCH(MID(";"&amp;'CASE DATA'!$F29&amp;";",ROW($1:$99),1),";")),"",ROW($1:$99)),COLUMN(K28)+1)-SMALL(IF(ISERROR(SEARCH(MID(";"&amp;'CASE DATA'!$F29&amp;";",ROW($1:$99),1),";")),"",ROW($1:$99)),COLUMN(K28))-1)</f>
        <v/>
      </c>
      <c r="AG29" s="29" t="str">
        <f t="array" ref="AG29">MID(";"&amp;'CASE DATA'!$F29&amp;";",SMALL(IF(ISERROR(SEARCH(MID(";"&amp;'CASE DATA'!$F29&amp;";",ROW($1:$99),1),";")),"",ROW($1:$99)+1),COLUMN(L29)),SMALL(IF(ISERROR(SEARCH(MID(";"&amp;'CASE DATA'!$F29&amp;";",ROW($1:$99),1),";")),"",ROW($1:$99)),COLUMN(L28)+1)-SMALL(IF(ISERROR(SEARCH(MID(";"&amp;'CASE DATA'!$F29&amp;";",ROW($1:$99),1),";")),"",ROW($1:$99)),COLUMN(L28))-1)</f>
        <v/>
      </c>
      <c r="AH29" s="29"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25"/>
      <c r="C30" s="24"/>
      <c r="D30" s="24"/>
      <c r="E30" s="25"/>
      <c r="F30" s="30"/>
      <c r="J30" s="31"/>
      <c r="K30" s="31"/>
      <c r="L30" s="31"/>
      <c r="M30" s="31"/>
      <c r="N30" s="31"/>
      <c r="O30" s="31"/>
      <c r="P30" s="31"/>
      <c r="Q30" s="31"/>
      <c r="R30" s="31"/>
      <c r="S30" s="31"/>
      <c r="T30" s="28">
        <f t="shared" si="1"/>
        <v>0</v>
      </c>
      <c r="U30" s="28"/>
      <c r="W30" s="29" t="str">
        <f t="array" ref="W30">MID(";"&amp;'CASE DATA'!$F30&amp;";",SMALL(IF(ISERROR(SEARCH(MID(";"&amp;'CASE DATA'!$F30&amp;";",ROW($1:$99),1),";")),"",ROW($1:$99)+1),COLUMN(A30)),SMALL(IF(ISERROR(SEARCH(MID(";"&amp;'CASE DATA'!$F30&amp;";",ROW($1:$99),1),";")),"",ROW($1:$99)),COLUMN(A29)+1)-SMALL(IF(ISERROR(SEARCH(MID(";"&amp;'CASE DATA'!$F30&amp;";",ROW($1:$99),1),";")),"",ROW($1:$99)),COLUMN(A29))-1)</f>
        <v/>
      </c>
      <c r="X30" s="29" t="str">
        <f t="array" ref="X30">MID(";"&amp;'CASE DATA'!$F30&amp;";",SMALL(IF(ISERROR(SEARCH(MID(";"&amp;'CASE DATA'!$F30&amp;";",ROW($1:$99),1),";")),"",ROW($1:$99)+1),COLUMN(B30)),SMALL(IF(ISERROR(SEARCH(MID(";"&amp;'CASE DATA'!$F30&amp;";",ROW($1:$99),1),";")),"",ROW($1:$99)),COLUMN(B29)+1)-SMALL(IF(ISERROR(SEARCH(MID(";"&amp;'CASE DATA'!$F30&amp;";",ROW($1:$99),1),";")),"",ROW($1:$99)),COLUMN(B29))-1)</f>
        <v/>
      </c>
      <c r="Y30" s="29" t="str">
        <f t="array" ref="Y30">MID(";"&amp;'CASE DATA'!$F30&amp;";",SMALL(IF(ISERROR(SEARCH(MID(";"&amp;'CASE DATA'!$F30&amp;";",ROW($1:$99),1),";")),"",ROW($1:$99)+1),COLUMN(D30)),SMALL(IF(ISERROR(SEARCH(MID(";"&amp;'CASE DATA'!$F30&amp;";",ROW($1:$99),1),";")),"",ROW($1:$99)),COLUMN(D29)+1)-SMALL(IF(ISERROR(SEARCH(MID(";"&amp;'CASE DATA'!$F30&amp;";",ROW($1:$99),1),";")),"",ROW($1:$99)),COLUMN(D29))-1)</f>
        <v/>
      </c>
      <c r="Z30" s="29" t="str">
        <f t="array" ref="Z30">MID(";"&amp;'CASE DATA'!$F30&amp;";",SMALL(IF(ISERROR(SEARCH(MID(";"&amp;'CASE DATA'!$F30&amp;";",ROW($1:$99),1),";")),"",ROW($1:$99)+1),COLUMN(E30)),SMALL(IF(ISERROR(SEARCH(MID(";"&amp;'CASE DATA'!$F30&amp;";",ROW($1:$99),1),";")),"",ROW($1:$99)),COLUMN(E29)+1)-SMALL(IF(ISERROR(SEARCH(MID(";"&amp;'CASE DATA'!$F30&amp;";",ROW($1:$99),1),";")),"",ROW($1:$99)),COLUMN(E29))-1)</f>
        <v/>
      </c>
      <c r="AA30" s="29" t="str">
        <f t="array" ref="AA30">MID(";"&amp;'CASE DATA'!$F30&amp;";",SMALL(IF(ISERROR(SEARCH(MID(";"&amp;'CASE DATA'!$F30&amp;";",ROW($1:$99),1),";")),"",ROW($1:$99)+1),COLUMN(F30)),SMALL(IF(ISERROR(SEARCH(MID(";"&amp;'CASE DATA'!$F30&amp;";",ROW($1:$99),1),";")),"",ROW($1:$99)),COLUMN(F29)+1)-SMALL(IF(ISERROR(SEARCH(MID(";"&amp;'CASE DATA'!$F30&amp;";",ROW($1:$99),1),";")),"",ROW($1:$99)),COLUMN(F29))-1)</f>
        <v/>
      </c>
      <c r="AB30" s="29" t="str">
        <f t="array" ref="AB30">MID(";"&amp;'CASE DATA'!$F30&amp;";",SMALL(IF(ISERROR(SEARCH(MID(";"&amp;'CASE DATA'!$F30&amp;";",ROW($1:$99),1),";")),"",ROW($1:$99)+1),COLUMN(G30)),SMALL(IF(ISERROR(SEARCH(MID(";"&amp;'CASE DATA'!$F30&amp;";",ROW($1:$99),1),";")),"",ROW($1:$99)),COLUMN(G29)+1)-SMALL(IF(ISERROR(SEARCH(MID(";"&amp;'CASE DATA'!$F30&amp;";",ROW($1:$99),1),";")),"",ROW($1:$99)),COLUMN(G29))-1)</f>
        <v/>
      </c>
      <c r="AC30" s="29" t="str">
        <f t="array" ref="AC30">MID(";"&amp;'CASE DATA'!$F30&amp;";",SMALL(IF(ISERROR(SEARCH(MID(";"&amp;'CASE DATA'!$F30&amp;";",ROW($1:$99),1),";")),"",ROW($1:$99)+1),COLUMN(H30)),SMALL(IF(ISERROR(SEARCH(MID(";"&amp;'CASE DATA'!$F30&amp;";",ROW($1:$99),1),";")),"",ROW($1:$99)),COLUMN(H29)+1)-SMALL(IF(ISERROR(SEARCH(MID(";"&amp;'CASE DATA'!$F30&amp;";",ROW($1:$99),1),";")),"",ROW($1:$99)),COLUMN(H29))-1)</f>
        <v/>
      </c>
      <c r="AD30" s="29" t="str">
        <f t="array" ref="AD30">MID(";"&amp;'CASE DATA'!$F30&amp;";",SMALL(IF(ISERROR(SEARCH(MID(";"&amp;'CASE DATA'!$F30&amp;";",ROW($1:$99),1),";")),"",ROW($1:$99)+1),COLUMN(I30)),SMALL(IF(ISERROR(SEARCH(MID(";"&amp;'CASE DATA'!$F30&amp;";",ROW($1:$99),1),";")),"",ROW($1:$99)),COLUMN(I29)+1)-SMALL(IF(ISERROR(SEARCH(MID(";"&amp;'CASE DATA'!$F30&amp;";",ROW($1:$99),1),";")),"",ROW($1:$99)),COLUMN(I29))-1)</f>
        <v/>
      </c>
      <c r="AE30" s="29" t="str">
        <f t="array" ref="AE30">MID(";"&amp;'CASE DATA'!$F30&amp;";",SMALL(IF(ISERROR(SEARCH(MID(";"&amp;'CASE DATA'!$F30&amp;";",ROW($1:$99),1),";")),"",ROW($1:$99)+1),COLUMN(J30)),SMALL(IF(ISERROR(SEARCH(MID(";"&amp;'CASE DATA'!$F30&amp;";",ROW($1:$99),1),";")),"",ROW($1:$99)),COLUMN(J29)+1)-SMALL(IF(ISERROR(SEARCH(MID(";"&amp;'CASE DATA'!$F30&amp;";",ROW($1:$99),1),";")),"",ROW($1:$99)),COLUMN(J29))-1)</f>
        <v/>
      </c>
      <c r="AF30" s="29" t="str">
        <f t="array" ref="AF30">MID(";"&amp;'CASE DATA'!$F30&amp;";",SMALL(IF(ISERROR(SEARCH(MID(";"&amp;'CASE DATA'!$F30&amp;";",ROW($1:$99),1),";")),"",ROW($1:$99)+1),COLUMN(K30)),SMALL(IF(ISERROR(SEARCH(MID(";"&amp;'CASE DATA'!$F30&amp;";",ROW($1:$99),1),";")),"",ROW($1:$99)),COLUMN(K29)+1)-SMALL(IF(ISERROR(SEARCH(MID(";"&amp;'CASE DATA'!$F30&amp;";",ROW($1:$99),1),";")),"",ROW($1:$99)),COLUMN(K29))-1)</f>
        <v/>
      </c>
      <c r="AG30" s="29" t="str">
        <f t="array" ref="AG30">MID(";"&amp;'CASE DATA'!$F30&amp;";",SMALL(IF(ISERROR(SEARCH(MID(";"&amp;'CASE DATA'!$F30&amp;";",ROW($1:$99),1),";")),"",ROW($1:$99)+1),COLUMN(L30)),SMALL(IF(ISERROR(SEARCH(MID(";"&amp;'CASE DATA'!$F30&amp;";",ROW($1:$99),1),";")),"",ROW($1:$99)),COLUMN(L29)+1)-SMALL(IF(ISERROR(SEARCH(MID(";"&amp;'CASE DATA'!$F30&amp;";",ROW($1:$99),1),";")),"",ROW($1:$99)),COLUMN(L29))-1)</f>
        <v/>
      </c>
      <c r="AH30" s="29"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25"/>
      <c r="C31" s="24"/>
      <c r="D31" s="24"/>
      <c r="E31" s="25"/>
      <c r="F31" s="30"/>
      <c r="J31" s="31"/>
      <c r="K31" s="31"/>
      <c r="L31" s="31"/>
      <c r="M31" s="31"/>
      <c r="N31" s="31"/>
      <c r="O31" s="31"/>
      <c r="P31" s="31"/>
      <c r="Q31" s="31"/>
      <c r="R31" s="31"/>
      <c r="S31" s="31"/>
      <c r="T31" s="28">
        <f t="shared" si="1"/>
        <v>0</v>
      </c>
      <c r="U31" s="28"/>
      <c r="W31" s="29" t="str">
        <f t="array" ref="W31">MID(";"&amp;'CASE DATA'!$F31&amp;";",SMALL(IF(ISERROR(SEARCH(MID(";"&amp;'CASE DATA'!$F31&amp;";",ROW($1:$99),1),";")),"",ROW($1:$99)+1),COLUMN(A31)),SMALL(IF(ISERROR(SEARCH(MID(";"&amp;'CASE DATA'!$F31&amp;";",ROW($1:$99),1),";")),"",ROW($1:$99)),COLUMN(A30)+1)-SMALL(IF(ISERROR(SEARCH(MID(";"&amp;'CASE DATA'!$F31&amp;";",ROW($1:$99),1),";")),"",ROW($1:$99)),COLUMN(A30))-1)</f>
        <v/>
      </c>
      <c r="X31" s="29" t="str">
        <f t="array" ref="X31">MID(";"&amp;'CASE DATA'!$F31&amp;";",SMALL(IF(ISERROR(SEARCH(MID(";"&amp;'CASE DATA'!$F31&amp;";",ROW($1:$99),1),";")),"",ROW($1:$99)+1),COLUMN(B31)),SMALL(IF(ISERROR(SEARCH(MID(";"&amp;'CASE DATA'!$F31&amp;";",ROW($1:$99),1),";")),"",ROW($1:$99)),COLUMN(B30)+1)-SMALL(IF(ISERROR(SEARCH(MID(";"&amp;'CASE DATA'!$F31&amp;";",ROW($1:$99),1),";")),"",ROW($1:$99)),COLUMN(B30))-1)</f>
        <v/>
      </c>
      <c r="Y31" s="29" t="str">
        <f t="array" ref="Y31">MID(";"&amp;'CASE DATA'!$F31&amp;";",SMALL(IF(ISERROR(SEARCH(MID(";"&amp;'CASE DATA'!$F31&amp;";",ROW($1:$99),1),";")),"",ROW($1:$99)+1),COLUMN(D31)),SMALL(IF(ISERROR(SEARCH(MID(";"&amp;'CASE DATA'!$F31&amp;";",ROW($1:$99),1),";")),"",ROW($1:$99)),COLUMN(D30)+1)-SMALL(IF(ISERROR(SEARCH(MID(";"&amp;'CASE DATA'!$F31&amp;";",ROW($1:$99),1),";")),"",ROW($1:$99)),COLUMN(D30))-1)</f>
        <v/>
      </c>
      <c r="Z31" s="29" t="str">
        <f t="array" ref="Z31">MID(";"&amp;'CASE DATA'!$F31&amp;";",SMALL(IF(ISERROR(SEARCH(MID(";"&amp;'CASE DATA'!$F31&amp;";",ROW($1:$99),1),";")),"",ROW($1:$99)+1),COLUMN(E31)),SMALL(IF(ISERROR(SEARCH(MID(";"&amp;'CASE DATA'!$F31&amp;";",ROW($1:$99),1),";")),"",ROW($1:$99)),COLUMN(E30)+1)-SMALL(IF(ISERROR(SEARCH(MID(";"&amp;'CASE DATA'!$F31&amp;";",ROW($1:$99),1),";")),"",ROW($1:$99)),COLUMN(E30))-1)</f>
        <v/>
      </c>
      <c r="AA31" s="29" t="str">
        <f t="array" ref="AA31">MID(";"&amp;'CASE DATA'!$F31&amp;";",SMALL(IF(ISERROR(SEARCH(MID(";"&amp;'CASE DATA'!$F31&amp;";",ROW($1:$99),1),";")),"",ROW($1:$99)+1),COLUMN(F31)),SMALL(IF(ISERROR(SEARCH(MID(";"&amp;'CASE DATA'!$F31&amp;";",ROW($1:$99),1),";")),"",ROW($1:$99)),COLUMN(F30)+1)-SMALL(IF(ISERROR(SEARCH(MID(";"&amp;'CASE DATA'!$F31&amp;";",ROW($1:$99),1),";")),"",ROW($1:$99)),COLUMN(F30))-1)</f>
        <v/>
      </c>
      <c r="AB31" s="29" t="str">
        <f t="array" ref="AB31">MID(";"&amp;'CASE DATA'!$F31&amp;";",SMALL(IF(ISERROR(SEARCH(MID(";"&amp;'CASE DATA'!$F31&amp;";",ROW($1:$99),1),";")),"",ROW($1:$99)+1),COLUMN(G31)),SMALL(IF(ISERROR(SEARCH(MID(";"&amp;'CASE DATA'!$F31&amp;";",ROW($1:$99),1),";")),"",ROW($1:$99)),COLUMN(G30)+1)-SMALL(IF(ISERROR(SEARCH(MID(";"&amp;'CASE DATA'!$F31&amp;";",ROW($1:$99),1),";")),"",ROW($1:$99)),COLUMN(G30))-1)</f>
        <v/>
      </c>
      <c r="AC31" s="29" t="str">
        <f t="array" ref="AC31">MID(";"&amp;'CASE DATA'!$F31&amp;";",SMALL(IF(ISERROR(SEARCH(MID(";"&amp;'CASE DATA'!$F31&amp;";",ROW($1:$99),1),";")),"",ROW($1:$99)+1),COLUMN(H31)),SMALL(IF(ISERROR(SEARCH(MID(";"&amp;'CASE DATA'!$F31&amp;";",ROW($1:$99),1),";")),"",ROW($1:$99)),COLUMN(H30)+1)-SMALL(IF(ISERROR(SEARCH(MID(";"&amp;'CASE DATA'!$F31&amp;";",ROW($1:$99),1),";")),"",ROW($1:$99)),COLUMN(H30))-1)</f>
        <v/>
      </c>
      <c r="AD31" s="29" t="str">
        <f t="array" ref="AD31">MID(";"&amp;'CASE DATA'!$F31&amp;";",SMALL(IF(ISERROR(SEARCH(MID(";"&amp;'CASE DATA'!$F31&amp;";",ROW($1:$99),1),";")),"",ROW($1:$99)+1),COLUMN(I31)),SMALL(IF(ISERROR(SEARCH(MID(";"&amp;'CASE DATA'!$F31&amp;";",ROW($1:$99),1),";")),"",ROW($1:$99)),COLUMN(I30)+1)-SMALL(IF(ISERROR(SEARCH(MID(";"&amp;'CASE DATA'!$F31&amp;";",ROW($1:$99),1),";")),"",ROW($1:$99)),COLUMN(I30))-1)</f>
        <v/>
      </c>
      <c r="AE31" s="29" t="str">
        <f t="array" ref="AE31">MID(";"&amp;'CASE DATA'!$F31&amp;";",SMALL(IF(ISERROR(SEARCH(MID(";"&amp;'CASE DATA'!$F31&amp;";",ROW($1:$99),1),";")),"",ROW($1:$99)+1),COLUMN(J31)),SMALL(IF(ISERROR(SEARCH(MID(";"&amp;'CASE DATA'!$F31&amp;";",ROW($1:$99),1),";")),"",ROW($1:$99)),COLUMN(J30)+1)-SMALL(IF(ISERROR(SEARCH(MID(";"&amp;'CASE DATA'!$F31&amp;";",ROW($1:$99),1),";")),"",ROW($1:$99)),COLUMN(J30))-1)</f>
        <v/>
      </c>
      <c r="AF31" s="29" t="str">
        <f t="array" ref="AF31">MID(";"&amp;'CASE DATA'!$F31&amp;";",SMALL(IF(ISERROR(SEARCH(MID(";"&amp;'CASE DATA'!$F31&amp;";",ROW($1:$99),1),";")),"",ROW($1:$99)+1),COLUMN(K31)),SMALL(IF(ISERROR(SEARCH(MID(";"&amp;'CASE DATA'!$F31&amp;";",ROW($1:$99),1),";")),"",ROW($1:$99)),COLUMN(K30)+1)-SMALL(IF(ISERROR(SEARCH(MID(";"&amp;'CASE DATA'!$F31&amp;";",ROW($1:$99),1),";")),"",ROW($1:$99)),COLUMN(K30))-1)</f>
        <v/>
      </c>
      <c r="AG31" s="29" t="str">
        <f t="array" ref="AG31">MID(";"&amp;'CASE DATA'!$F31&amp;";",SMALL(IF(ISERROR(SEARCH(MID(";"&amp;'CASE DATA'!$F31&amp;";",ROW($1:$99),1),";")),"",ROW($1:$99)+1),COLUMN(L31)),SMALL(IF(ISERROR(SEARCH(MID(";"&amp;'CASE DATA'!$F31&amp;";",ROW($1:$99),1),";")),"",ROW($1:$99)),COLUMN(L30)+1)-SMALL(IF(ISERROR(SEARCH(MID(";"&amp;'CASE DATA'!$F31&amp;";",ROW($1:$99),1),";")),"",ROW($1:$99)),COLUMN(L30))-1)</f>
        <v/>
      </c>
      <c r="AH31" s="29"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25"/>
      <c r="C32" s="24"/>
      <c r="D32" s="33"/>
      <c r="E32" s="25"/>
      <c r="F32" s="30"/>
      <c r="J32" s="31"/>
      <c r="K32" s="31"/>
      <c r="L32" s="31"/>
      <c r="M32" s="31"/>
      <c r="N32" s="31"/>
      <c r="O32" s="31"/>
      <c r="P32" s="31"/>
      <c r="Q32" s="31"/>
      <c r="R32" s="31"/>
      <c r="S32" s="31"/>
      <c r="T32" s="28">
        <f t="shared" si="1"/>
        <v>0</v>
      </c>
      <c r="U32" s="28"/>
      <c r="W32" s="29" t="str">
        <f t="array" ref="W32">MID(";"&amp;'CASE DATA'!$F32&amp;";",SMALL(IF(ISERROR(SEARCH(MID(";"&amp;'CASE DATA'!$F32&amp;";",ROW($1:$99),1),";")),"",ROW($1:$99)+1),COLUMN(A32)),SMALL(IF(ISERROR(SEARCH(MID(";"&amp;'CASE DATA'!$F32&amp;";",ROW($1:$99),1),";")),"",ROW($1:$99)),COLUMN(A31)+1)-SMALL(IF(ISERROR(SEARCH(MID(";"&amp;'CASE DATA'!$F32&amp;";",ROW($1:$99),1),";")),"",ROW($1:$99)),COLUMN(A31))-1)</f>
        <v/>
      </c>
      <c r="X32" s="29" t="str">
        <f t="array" ref="X32">MID(";"&amp;'CASE DATA'!$F32&amp;";",SMALL(IF(ISERROR(SEARCH(MID(";"&amp;'CASE DATA'!$F32&amp;";",ROW($1:$99),1),";")),"",ROW($1:$99)+1),COLUMN(B32)),SMALL(IF(ISERROR(SEARCH(MID(";"&amp;'CASE DATA'!$F32&amp;";",ROW($1:$99),1),";")),"",ROW($1:$99)),COLUMN(B31)+1)-SMALL(IF(ISERROR(SEARCH(MID(";"&amp;'CASE DATA'!$F32&amp;";",ROW($1:$99),1),";")),"",ROW($1:$99)),COLUMN(B31))-1)</f>
        <v/>
      </c>
      <c r="Y32" s="29" t="str">
        <f t="array" ref="Y32">MID(";"&amp;'CASE DATA'!$F32&amp;";",SMALL(IF(ISERROR(SEARCH(MID(";"&amp;'CASE DATA'!$F32&amp;";",ROW($1:$99),1),";")),"",ROW($1:$99)+1),COLUMN(D32)),SMALL(IF(ISERROR(SEARCH(MID(";"&amp;'CASE DATA'!$F32&amp;";",ROW($1:$99),1),";")),"",ROW($1:$99)),COLUMN(D31)+1)-SMALL(IF(ISERROR(SEARCH(MID(";"&amp;'CASE DATA'!$F32&amp;";",ROW($1:$99),1),";")),"",ROW($1:$99)),COLUMN(D31))-1)</f>
        <v/>
      </c>
      <c r="Z32" s="29" t="str">
        <f t="array" ref="Z32">MID(";"&amp;'CASE DATA'!$F32&amp;";",SMALL(IF(ISERROR(SEARCH(MID(";"&amp;'CASE DATA'!$F32&amp;";",ROW($1:$99),1),";")),"",ROW($1:$99)+1),COLUMN(E32)),SMALL(IF(ISERROR(SEARCH(MID(";"&amp;'CASE DATA'!$F32&amp;";",ROW($1:$99),1),";")),"",ROW($1:$99)),COLUMN(E31)+1)-SMALL(IF(ISERROR(SEARCH(MID(";"&amp;'CASE DATA'!$F32&amp;";",ROW($1:$99),1),";")),"",ROW($1:$99)),COLUMN(E31))-1)</f>
        <v/>
      </c>
      <c r="AA32" s="29" t="str">
        <f t="array" ref="AA32">MID(";"&amp;'CASE DATA'!$F32&amp;";",SMALL(IF(ISERROR(SEARCH(MID(";"&amp;'CASE DATA'!$F32&amp;";",ROW($1:$99),1),";")),"",ROW($1:$99)+1),COLUMN(F32)),SMALL(IF(ISERROR(SEARCH(MID(";"&amp;'CASE DATA'!$F32&amp;";",ROW($1:$99),1),";")),"",ROW($1:$99)),COLUMN(F31)+1)-SMALL(IF(ISERROR(SEARCH(MID(";"&amp;'CASE DATA'!$F32&amp;";",ROW($1:$99),1),";")),"",ROW($1:$99)),COLUMN(F31))-1)</f>
        <v/>
      </c>
      <c r="AB32" s="29" t="str">
        <f t="array" ref="AB32">MID(";"&amp;'CASE DATA'!$F32&amp;";",SMALL(IF(ISERROR(SEARCH(MID(";"&amp;'CASE DATA'!$F32&amp;";",ROW($1:$99),1),";")),"",ROW($1:$99)+1),COLUMN(G32)),SMALL(IF(ISERROR(SEARCH(MID(";"&amp;'CASE DATA'!$F32&amp;";",ROW($1:$99),1),";")),"",ROW($1:$99)),COLUMN(G31)+1)-SMALL(IF(ISERROR(SEARCH(MID(";"&amp;'CASE DATA'!$F32&amp;";",ROW($1:$99),1),";")),"",ROW($1:$99)),COLUMN(G31))-1)</f>
        <v/>
      </c>
      <c r="AC32" s="29" t="str">
        <f t="array" ref="AC32">MID(";"&amp;'CASE DATA'!$F32&amp;";",SMALL(IF(ISERROR(SEARCH(MID(";"&amp;'CASE DATA'!$F32&amp;";",ROW($1:$99),1),";")),"",ROW($1:$99)+1),COLUMN(H32)),SMALL(IF(ISERROR(SEARCH(MID(";"&amp;'CASE DATA'!$F32&amp;";",ROW($1:$99),1),";")),"",ROW($1:$99)),COLUMN(H31)+1)-SMALL(IF(ISERROR(SEARCH(MID(";"&amp;'CASE DATA'!$F32&amp;";",ROW($1:$99),1),";")),"",ROW($1:$99)),COLUMN(H31))-1)</f>
        <v/>
      </c>
      <c r="AD32" s="29" t="str">
        <f t="array" ref="AD32">MID(";"&amp;'CASE DATA'!$F32&amp;";",SMALL(IF(ISERROR(SEARCH(MID(";"&amp;'CASE DATA'!$F32&amp;";",ROW($1:$99),1),";")),"",ROW($1:$99)+1),COLUMN(I32)),SMALL(IF(ISERROR(SEARCH(MID(";"&amp;'CASE DATA'!$F32&amp;";",ROW($1:$99),1),";")),"",ROW($1:$99)),COLUMN(I31)+1)-SMALL(IF(ISERROR(SEARCH(MID(";"&amp;'CASE DATA'!$F32&amp;";",ROW($1:$99),1),";")),"",ROW($1:$99)),COLUMN(I31))-1)</f>
        <v/>
      </c>
      <c r="AE32" s="29" t="str">
        <f t="array" ref="AE32">MID(";"&amp;'CASE DATA'!$F32&amp;";",SMALL(IF(ISERROR(SEARCH(MID(";"&amp;'CASE DATA'!$F32&amp;";",ROW($1:$99),1),";")),"",ROW($1:$99)+1),COLUMN(J32)),SMALL(IF(ISERROR(SEARCH(MID(";"&amp;'CASE DATA'!$F32&amp;";",ROW($1:$99),1),";")),"",ROW($1:$99)),COLUMN(J31)+1)-SMALL(IF(ISERROR(SEARCH(MID(";"&amp;'CASE DATA'!$F32&amp;";",ROW($1:$99),1),";")),"",ROW($1:$99)),COLUMN(J31))-1)</f>
        <v/>
      </c>
      <c r="AF32" s="29" t="str">
        <f t="array" ref="AF32">MID(";"&amp;'CASE DATA'!$F32&amp;";",SMALL(IF(ISERROR(SEARCH(MID(";"&amp;'CASE DATA'!$F32&amp;";",ROW($1:$99),1),";")),"",ROW($1:$99)+1),COLUMN(K32)),SMALL(IF(ISERROR(SEARCH(MID(";"&amp;'CASE DATA'!$F32&amp;";",ROW($1:$99),1),";")),"",ROW($1:$99)),COLUMN(K31)+1)-SMALL(IF(ISERROR(SEARCH(MID(";"&amp;'CASE DATA'!$F32&amp;";",ROW($1:$99),1),";")),"",ROW($1:$99)),COLUMN(K31))-1)</f>
        <v/>
      </c>
      <c r="AG32" s="29" t="str">
        <f t="array" ref="AG32">MID(";"&amp;'CASE DATA'!$F32&amp;";",SMALL(IF(ISERROR(SEARCH(MID(";"&amp;'CASE DATA'!$F32&amp;";",ROW($1:$99),1),";")),"",ROW($1:$99)+1),COLUMN(L32)),SMALL(IF(ISERROR(SEARCH(MID(";"&amp;'CASE DATA'!$F32&amp;";",ROW($1:$99),1),";")),"",ROW($1:$99)),COLUMN(L31)+1)-SMALL(IF(ISERROR(SEARCH(MID(";"&amp;'CASE DATA'!$F32&amp;";",ROW($1:$99),1),";")),"",ROW($1:$99)),COLUMN(L31))-1)</f>
        <v/>
      </c>
      <c r="AH32" s="29"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25"/>
      <c r="C33" s="24"/>
      <c r="D33" s="24"/>
      <c r="E33" s="25"/>
      <c r="F33" s="30"/>
      <c r="J33" s="31"/>
      <c r="K33" s="31"/>
      <c r="L33" s="31"/>
      <c r="M33" s="31"/>
      <c r="N33" s="31"/>
      <c r="O33" s="31"/>
      <c r="P33" s="31"/>
      <c r="Q33" s="31"/>
      <c r="R33" s="31"/>
      <c r="S33" s="31"/>
      <c r="T33" s="28">
        <f t="shared" si="1"/>
        <v>0</v>
      </c>
      <c r="U33" s="28"/>
      <c r="V33" s="32"/>
      <c r="W33" s="29" t="str">
        <f t="array" ref="W33">MID(";"&amp;'CASE DATA'!$F33&amp;";",SMALL(IF(ISERROR(SEARCH(MID(";"&amp;'CASE DATA'!$F33&amp;";",ROW($1:$99),1),";")),"",ROW($1:$99)+1),COLUMN(A33)),SMALL(IF(ISERROR(SEARCH(MID(";"&amp;'CASE DATA'!$F33&amp;";",ROW($1:$99),1),";")),"",ROW($1:$99)),COLUMN(A32)+1)-SMALL(IF(ISERROR(SEARCH(MID(";"&amp;'CASE DATA'!$F33&amp;";",ROW($1:$99),1),";")),"",ROW($1:$99)),COLUMN(A32))-1)</f>
        <v/>
      </c>
      <c r="X33" s="29" t="str">
        <f t="array" ref="X33">MID(";"&amp;'CASE DATA'!$F33&amp;";",SMALL(IF(ISERROR(SEARCH(MID(";"&amp;'CASE DATA'!$F33&amp;";",ROW($1:$99),1),";")),"",ROW($1:$99)+1),COLUMN(B33)),SMALL(IF(ISERROR(SEARCH(MID(";"&amp;'CASE DATA'!$F33&amp;";",ROW($1:$99),1),";")),"",ROW($1:$99)),COLUMN(B32)+1)-SMALL(IF(ISERROR(SEARCH(MID(";"&amp;'CASE DATA'!$F33&amp;";",ROW($1:$99),1),";")),"",ROW($1:$99)),COLUMN(B32))-1)</f>
        <v/>
      </c>
      <c r="Y33" s="29" t="str">
        <f t="array" ref="Y33">MID(";"&amp;'CASE DATA'!$F33&amp;";",SMALL(IF(ISERROR(SEARCH(MID(";"&amp;'CASE DATA'!$F33&amp;";",ROW($1:$99),1),";")),"",ROW($1:$99)+1),COLUMN(D33)),SMALL(IF(ISERROR(SEARCH(MID(";"&amp;'CASE DATA'!$F33&amp;";",ROW($1:$99),1),";")),"",ROW($1:$99)),COLUMN(D32)+1)-SMALL(IF(ISERROR(SEARCH(MID(";"&amp;'CASE DATA'!$F33&amp;";",ROW($1:$99),1),";")),"",ROW($1:$99)),COLUMN(D32))-1)</f>
        <v/>
      </c>
      <c r="Z33" s="29" t="str">
        <f t="array" ref="Z33">MID(";"&amp;'CASE DATA'!$F33&amp;";",SMALL(IF(ISERROR(SEARCH(MID(";"&amp;'CASE DATA'!$F33&amp;";",ROW($1:$99),1),";")),"",ROW($1:$99)+1),COLUMN(E33)),SMALL(IF(ISERROR(SEARCH(MID(";"&amp;'CASE DATA'!$F33&amp;";",ROW($1:$99),1),";")),"",ROW($1:$99)),COLUMN(E32)+1)-SMALL(IF(ISERROR(SEARCH(MID(";"&amp;'CASE DATA'!$F33&amp;";",ROW($1:$99),1),";")),"",ROW($1:$99)),COLUMN(E32))-1)</f>
        <v/>
      </c>
      <c r="AA33" s="29" t="str">
        <f t="array" ref="AA33">MID(";"&amp;'CASE DATA'!$F33&amp;";",SMALL(IF(ISERROR(SEARCH(MID(";"&amp;'CASE DATA'!$F33&amp;";",ROW($1:$99),1),";")),"",ROW($1:$99)+1),COLUMN(F33)),SMALL(IF(ISERROR(SEARCH(MID(";"&amp;'CASE DATA'!$F33&amp;";",ROW($1:$99),1),";")),"",ROW($1:$99)),COLUMN(F32)+1)-SMALL(IF(ISERROR(SEARCH(MID(";"&amp;'CASE DATA'!$F33&amp;";",ROW($1:$99),1),";")),"",ROW($1:$99)),COLUMN(F32))-1)</f>
        <v/>
      </c>
      <c r="AB33" s="29" t="str">
        <f t="array" ref="AB33">MID(";"&amp;'CASE DATA'!$F33&amp;";",SMALL(IF(ISERROR(SEARCH(MID(";"&amp;'CASE DATA'!$F33&amp;";",ROW($1:$99),1),";")),"",ROW($1:$99)+1),COLUMN(G33)),SMALL(IF(ISERROR(SEARCH(MID(";"&amp;'CASE DATA'!$F33&amp;";",ROW($1:$99),1),";")),"",ROW($1:$99)),COLUMN(G32)+1)-SMALL(IF(ISERROR(SEARCH(MID(";"&amp;'CASE DATA'!$F33&amp;";",ROW($1:$99),1),";")),"",ROW($1:$99)),COLUMN(G32))-1)</f>
        <v/>
      </c>
      <c r="AC33" s="29" t="str">
        <f t="array" ref="AC33">MID(";"&amp;'CASE DATA'!$F33&amp;";",SMALL(IF(ISERROR(SEARCH(MID(";"&amp;'CASE DATA'!$F33&amp;";",ROW($1:$99),1),";")),"",ROW($1:$99)+1),COLUMN(H33)),SMALL(IF(ISERROR(SEARCH(MID(";"&amp;'CASE DATA'!$F33&amp;";",ROW($1:$99),1),";")),"",ROW($1:$99)),COLUMN(H32)+1)-SMALL(IF(ISERROR(SEARCH(MID(";"&amp;'CASE DATA'!$F33&amp;";",ROW($1:$99),1),";")),"",ROW($1:$99)),COLUMN(H32))-1)</f>
        <v/>
      </c>
      <c r="AD33" s="29" t="str">
        <f t="array" ref="AD33">MID(";"&amp;'CASE DATA'!$F33&amp;";",SMALL(IF(ISERROR(SEARCH(MID(";"&amp;'CASE DATA'!$F33&amp;";",ROW($1:$99),1),";")),"",ROW($1:$99)+1),COLUMN(I33)),SMALL(IF(ISERROR(SEARCH(MID(";"&amp;'CASE DATA'!$F33&amp;";",ROW($1:$99),1),";")),"",ROW($1:$99)),COLUMN(I32)+1)-SMALL(IF(ISERROR(SEARCH(MID(";"&amp;'CASE DATA'!$F33&amp;";",ROW($1:$99),1),";")),"",ROW($1:$99)),COLUMN(I32))-1)</f>
        <v/>
      </c>
      <c r="AE33" s="29" t="str">
        <f t="array" ref="AE33">MID(";"&amp;'CASE DATA'!$F33&amp;";",SMALL(IF(ISERROR(SEARCH(MID(";"&amp;'CASE DATA'!$F33&amp;";",ROW($1:$99),1),";")),"",ROW($1:$99)+1),COLUMN(J33)),SMALL(IF(ISERROR(SEARCH(MID(";"&amp;'CASE DATA'!$F33&amp;";",ROW($1:$99),1),";")),"",ROW($1:$99)),COLUMN(J32)+1)-SMALL(IF(ISERROR(SEARCH(MID(";"&amp;'CASE DATA'!$F33&amp;";",ROW($1:$99),1),";")),"",ROW($1:$99)),COLUMN(J32))-1)</f>
        <v/>
      </c>
      <c r="AF33" s="29" t="str">
        <f t="array" ref="AF33">MID(";"&amp;'CASE DATA'!$F33&amp;";",SMALL(IF(ISERROR(SEARCH(MID(";"&amp;'CASE DATA'!$F33&amp;";",ROW($1:$99),1),";")),"",ROW($1:$99)+1),COLUMN(K33)),SMALL(IF(ISERROR(SEARCH(MID(";"&amp;'CASE DATA'!$F33&amp;";",ROW($1:$99),1),";")),"",ROW($1:$99)),COLUMN(K32)+1)-SMALL(IF(ISERROR(SEARCH(MID(";"&amp;'CASE DATA'!$F33&amp;";",ROW($1:$99),1),";")),"",ROW($1:$99)),COLUMN(K32))-1)</f>
        <v/>
      </c>
      <c r="AG33" s="29" t="str">
        <f t="array" ref="AG33">MID(";"&amp;'CASE DATA'!$F33&amp;";",SMALL(IF(ISERROR(SEARCH(MID(";"&amp;'CASE DATA'!$F33&amp;";",ROW($1:$99),1),";")),"",ROW($1:$99)+1),COLUMN(L33)),SMALL(IF(ISERROR(SEARCH(MID(";"&amp;'CASE DATA'!$F33&amp;";",ROW($1:$99),1),";")),"",ROW($1:$99)),COLUMN(L32)+1)-SMALL(IF(ISERROR(SEARCH(MID(";"&amp;'CASE DATA'!$F33&amp;";",ROW($1:$99),1),";")),"",ROW($1:$99)),COLUMN(L32))-1)</f>
        <v/>
      </c>
      <c r="AH33" s="29"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25"/>
      <c r="C34" s="24"/>
      <c r="D34" s="24"/>
      <c r="E34" s="25"/>
      <c r="F34" s="30"/>
      <c r="J34" s="31"/>
      <c r="K34" s="31"/>
      <c r="L34" s="31"/>
      <c r="M34" s="31"/>
      <c r="N34" s="31"/>
      <c r="O34" s="31"/>
      <c r="P34" s="31"/>
      <c r="Q34" s="31"/>
      <c r="R34" s="31"/>
      <c r="S34" s="31"/>
      <c r="T34" s="28">
        <f t="shared" si="1"/>
        <v>0</v>
      </c>
      <c r="U34" s="28"/>
      <c r="W34" s="29" t="str">
        <f t="array" ref="W34">MID(";"&amp;'CASE DATA'!$F34&amp;";",SMALL(IF(ISERROR(SEARCH(MID(";"&amp;'CASE DATA'!$F34&amp;";",ROW($1:$99),1),";")),"",ROW($1:$99)+1),COLUMN(A34)),SMALL(IF(ISERROR(SEARCH(MID(";"&amp;'CASE DATA'!$F34&amp;";",ROW($1:$99),1),";")),"",ROW($1:$99)),COLUMN(A33)+1)-SMALL(IF(ISERROR(SEARCH(MID(";"&amp;'CASE DATA'!$F34&amp;";",ROW($1:$99),1),";")),"",ROW($1:$99)),COLUMN(A33))-1)</f>
        <v/>
      </c>
      <c r="X34" s="29" t="str">
        <f t="array" ref="X34">MID(";"&amp;'CASE DATA'!$F34&amp;";",SMALL(IF(ISERROR(SEARCH(MID(";"&amp;'CASE DATA'!$F34&amp;";",ROW($1:$99),1),";")),"",ROW($1:$99)+1),COLUMN(B34)),SMALL(IF(ISERROR(SEARCH(MID(";"&amp;'CASE DATA'!$F34&amp;";",ROW($1:$99),1),";")),"",ROW($1:$99)),COLUMN(B33)+1)-SMALL(IF(ISERROR(SEARCH(MID(";"&amp;'CASE DATA'!$F34&amp;";",ROW($1:$99),1),";")),"",ROW($1:$99)),COLUMN(B33))-1)</f>
        <v/>
      </c>
      <c r="Y34" s="29" t="str">
        <f t="array" ref="Y34">MID(";"&amp;'CASE DATA'!$F34&amp;";",SMALL(IF(ISERROR(SEARCH(MID(";"&amp;'CASE DATA'!$F34&amp;";",ROW($1:$99),1),";")),"",ROW($1:$99)+1),COLUMN(D34)),SMALL(IF(ISERROR(SEARCH(MID(";"&amp;'CASE DATA'!$F34&amp;";",ROW($1:$99),1),";")),"",ROW($1:$99)),COLUMN(D33)+1)-SMALL(IF(ISERROR(SEARCH(MID(";"&amp;'CASE DATA'!$F34&amp;";",ROW($1:$99),1),";")),"",ROW($1:$99)),COLUMN(D33))-1)</f>
        <v/>
      </c>
      <c r="Z34" s="29" t="str">
        <f t="array" ref="Z34">MID(";"&amp;'CASE DATA'!$F34&amp;";",SMALL(IF(ISERROR(SEARCH(MID(";"&amp;'CASE DATA'!$F34&amp;";",ROW($1:$99),1),";")),"",ROW($1:$99)+1),COLUMN(E34)),SMALL(IF(ISERROR(SEARCH(MID(";"&amp;'CASE DATA'!$F34&amp;";",ROW($1:$99),1),";")),"",ROW($1:$99)),COLUMN(E33)+1)-SMALL(IF(ISERROR(SEARCH(MID(";"&amp;'CASE DATA'!$F34&amp;";",ROW($1:$99),1),";")),"",ROW($1:$99)),COLUMN(E33))-1)</f>
        <v/>
      </c>
      <c r="AA34" s="29" t="str">
        <f t="array" ref="AA34">MID(";"&amp;'CASE DATA'!$F34&amp;";",SMALL(IF(ISERROR(SEARCH(MID(";"&amp;'CASE DATA'!$F34&amp;";",ROW($1:$99),1),";")),"",ROW($1:$99)+1),COLUMN(F34)),SMALL(IF(ISERROR(SEARCH(MID(";"&amp;'CASE DATA'!$F34&amp;";",ROW($1:$99),1),";")),"",ROW($1:$99)),COLUMN(F33)+1)-SMALL(IF(ISERROR(SEARCH(MID(";"&amp;'CASE DATA'!$F34&amp;";",ROW($1:$99),1),";")),"",ROW($1:$99)),COLUMN(F33))-1)</f>
        <v/>
      </c>
      <c r="AB34" s="29" t="str">
        <f t="array" ref="AB34">MID(";"&amp;'CASE DATA'!$F34&amp;";",SMALL(IF(ISERROR(SEARCH(MID(";"&amp;'CASE DATA'!$F34&amp;";",ROW($1:$99),1),";")),"",ROW($1:$99)+1),COLUMN(G34)),SMALL(IF(ISERROR(SEARCH(MID(";"&amp;'CASE DATA'!$F34&amp;";",ROW($1:$99),1),";")),"",ROW($1:$99)),COLUMN(G33)+1)-SMALL(IF(ISERROR(SEARCH(MID(";"&amp;'CASE DATA'!$F34&amp;";",ROW($1:$99),1),";")),"",ROW($1:$99)),COLUMN(G33))-1)</f>
        <v/>
      </c>
      <c r="AC34" s="29" t="str">
        <f t="array" ref="AC34">MID(";"&amp;'CASE DATA'!$F34&amp;";",SMALL(IF(ISERROR(SEARCH(MID(";"&amp;'CASE DATA'!$F34&amp;";",ROW($1:$99),1),";")),"",ROW($1:$99)+1),COLUMN(H34)),SMALL(IF(ISERROR(SEARCH(MID(";"&amp;'CASE DATA'!$F34&amp;";",ROW($1:$99),1),";")),"",ROW($1:$99)),COLUMN(H33)+1)-SMALL(IF(ISERROR(SEARCH(MID(";"&amp;'CASE DATA'!$F34&amp;";",ROW($1:$99),1),";")),"",ROW($1:$99)),COLUMN(H33))-1)</f>
        <v/>
      </c>
      <c r="AD34" s="29" t="str">
        <f t="array" ref="AD34">MID(";"&amp;'CASE DATA'!$F34&amp;";",SMALL(IF(ISERROR(SEARCH(MID(";"&amp;'CASE DATA'!$F34&amp;";",ROW($1:$99),1),";")),"",ROW($1:$99)+1),COLUMN(I34)),SMALL(IF(ISERROR(SEARCH(MID(";"&amp;'CASE DATA'!$F34&amp;";",ROW($1:$99),1),";")),"",ROW($1:$99)),COLUMN(I33)+1)-SMALL(IF(ISERROR(SEARCH(MID(";"&amp;'CASE DATA'!$F34&amp;";",ROW($1:$99),1),";")),"",ROW($1:$99)),COLUMN(I33))-1)</f>
        <v/>
      </c>
      <c r="AE34" s="29" t="str">
        <f t="array" ref="AE34">MID(";"&amp;'CASE DATA'!$F34&amp;";",SMALL(IF(ISERROR(SEARCH(MID(";"&amp;'CASE DATA'!$F34&amp;";",ROW($1:$99),1),";")),"",ROW($1:$99)+1),COLUMN(J34)),SMALL(IF(ISERROR(SEARCH(MID(";"&amp;'CASE DATA'!$F34&amp;";",ROW($1:$99),1),";")),"",ROW($1:$99)),COLUMN(J33)+1)-SMALL(IF(ISERROR(SEARCH(MID(";"&amp;'CASE DATA'!$F34&amp;";",ROW($1:$99),1),";")),"",ROW($1:$99)),COLUMN(J33))-1)</f>
        <v/>
      </c>
      <c r="AF34" s="29" t="str">
        <f t="array" ref="AF34">MID(";"&amp;'CASE DATA'!$F34&amp;";",SMALL(IF(ISERROR(SEARCH(MID(";"&amp;'CASE DATA'!$F34&amp;";",ROW($1:$99),1),";")),"",ROW($1:$99)+1),COLUMN(K34)),SMALL(IF(ISERROR(SEARCH(MID(";"&amp;'CASE DATA'!$F34&amp;";",ROW($1:$99),1),";")),"",ROW($1:$99)),COLUMN(K33)+1)-SMALL(IF(ISERROR(SEARCH(MID(";"&amp;'CASE DATA'!$F34&amp;";",ROW($1:$99),1),";")),"",ROW($1:$99)),COLUMN(K33))-1)</f>
        <v/>
      </c>
      <c r="AG34" s="29" t="str">
        <f t="array" ref="AG34">MID(";"&amp;'CASE DATA'!$F34&amp;";",SMALL(IF(ISERROR(SEARCH(MID(";"&amp;'CASE DATA'!$F34&amp;";",ROW($1:$99),1),";")),"",ROW($1:$99)+1),COLUMN(L34)),SMALL(IF(ISERROR(SEARCH(MID(";"&amp;'CASE DATA'!$F34&amp;";",ROW($1:$99),1),";")),"",ROW($1:$99)),COLUMN(L33)+1)-SMALL(IF(ISERROR(SEARCH(MID(";"&amp;'CASE DATA'!$F34&amp;";",ROW($1:$99),1),";")),"",ROW($1:$99)),COLUMN(L33))-1)</f>
        <v/>
      </c>
      <c r="AH34" s="29"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25"/>
      <c r="C35" s="24"/>
      <c r="D35" s="33"/>
      <c r="E35" s="25"/>
      <c r="F35" s="30"/>
      <c r="J35" s="31"/>
      <c r="K35" s="31"/>
      <c r="L35" s="31"/>
      <c r="M35" s="31"/>
      <c r="N35" s="31"/>
      <c r="O35" s="31"/>
      <c r="P35" s="31"/>
      <c r="Q35" s="31"/>
      <c r="R35" s="31"/>
      <c r="S35" s="31"/>
      <c r="T35" s="28">
        <f t="shared" si="1"/>
        <v>0</v>
      </c>
      <c r="U35" s="28"/>
      <c r="W35" s="29" t="str">
        <f t="array" ref="W35">MID(";"&amp;'CASE DATA'!$F35&amp;";",SMALL(IF(ISERROR(SEARCH(MID(";"&amp;'CASE DATA'!$F35&amp;";",ROW($1:$99),1),";")),"",ROW($1:$99)+1),COLUMN(A35)),SMALL(IF(ISERROR(SEARCH(MID(";"&amp;'CASE DATA'!$F35&amp;";",ROW($1:$99),1),";")),"",ROW($1:$99)),COLUMN(A34)+1)-SMALL(IF(ISERROR(SEARCH(MID(";"&amp;'CASE DATA'!$F35&amp;";",ROW($1:$99),1),";")),"",ROW($1:$99)),COLUMN(A34))-1)</f>
        <v/>
      </c>
      <c r="X35" s="29" t="str">
        <f t="array" ref="X35">MID(";"&amp;'CASE DATA'!$F35&amp;";",SMALL(IF(ISERROR(SEARCH(MID(";"&amp;'CASE DATA'!$F35&amp;";",ROW($1:$99),1),";")),"",ROW($1:$99)+1),COLUMN(B35)),SMALL(IF(ISERROR(SEARCH(MID(";"&amp;'CASE DATA'!$F35&amp;";",ROW($1:$99),1),";")),"",ROW($1:$99)),COLUMN(B34)+1)-SMALL(IF(ISERROR(SEARCH(MID(";"&amp;'CASE DATA'!$F35&amp;";",ROW($1:$99),1),";")),"",ROW($1:$99)),COLUMN(B34))-1)</f>
        <v/>
      </c>
      <c r="Y35" s="29" t="str">
        <f t="array" ref="Y35">MID(";"&amp;'CASE DATA'!$F35&amp;";",SMALL(IF(ISERROR(SEARCH(MID(";"&amp;'CASE DATA'!$F35&amp;";",ROW($1:$99),1),";")),"",ROW($1:$99)+1),COLUMN(D35)),SMALL(IF(ISERROR(SEARCH(MID(";"&amp;'CASE DATA'!$F35&amp;";",ROW($1:$99),1),";")),"",ROW($1:$99)),COLUMN(D34)+1)-SMALL(IF(ISERROR(SEARCH(MID(";"&amp;'CASE DATA'!$F35&amp;";",ROW($1:$99),1),";")),"",ROW($1:$99)),COLUMN(D34))-1)</f>
        <v/>
      </c>
      <c r="Z35" s="29" t="str">
        <f t="array" ref="Z35">MID(";"&amp;'CASE DATA'!$F35&amp;";",SMALL(IF(ISERROR(SEARCH(MID(";"&amp;'CASE DATA'!$F35&amp;";",ROW($1:$99),1),";")),"",ROW($1:$99)+1),COLUMN(E35)),SMALL(IF(ISERROR(SEARCH(MID(";"&amp;'CASE DATA'!$F35&amp;";",ROW($1:$99),1),";")),"",ROW($1:$99)),COLUMN(E34)+1)-SMALL(IF(ISERROR(SEARCH(MID(";"&amp;'CASE DATA'!$F35&amp;";",ROW($1:$99),1),";")),"",ROW($1:$99)),COLUMN(E34))-1)</f>
        <v/>
      </c>
      <c r="AA35" s="29" t="str">
        <f t="array" ref="AA35">MID(";"&amp;'CASE DATA'!$F35&amp;";",SMALL(IF(ISERROR(SEARCH(MID(";"&amp;'CASE DATA'!$F35&amp;";",ROW($1:$99),1),";")),"",ROW($1:$99)+1),COLUMN(F35)),SMALL(IF(ISERROR(SEARCH(MID(";"&amp;'CASE DATA'!$F35&amp;";",ROW($1:$99),1),";")),"",ROW($1:$99)),COLUMN(F34)+1)-SMALL(IF(ISERROR(SEARCH(MID(";"&amp;'CASE DATA'!$F35&amp;";",ROW($1:$99),1),";")),"",ROW($1:$99)),COLUMN(F34))-1)</f>
        <v/>
      </c>
      <c r="AB35" s="29" t="str">
        <f t="array" ref="AB35">MID(";"&amp;'CASE DATA'!$F35&amp;";",SMALL(IF(ISERROR(SEARCH(MID(";"&amp;'CASE DATA'!$F35&amp;";",ROW($1:$99),1),";")),"",ROW($1:$99)+1),COLUMN(G35)),SMALL(IF(ISERROR(SEARCH(MID(";"&amp;'CASE DATA'!$F35&amp;";",ROW($1:$99),1),";")),"",ROW($1:$99)),COLUMN(G34)+1)-SMALL(IF(ISERROR(SEARCH(MID(";"&amp;'CASE DATA'!$F35&amp;";",ROW($1:$99),1),";")),"",ROW($1:$99)),COLUMN(G34))-1)</f>
        <v/>
      </c>
      <c r="AC35" s="29" t="str">
        <f t="array" ref="AC35">MID(";"&amp;'CASE DATA'!$F35&amp;";",SMALL(IF(ISERROR(SEARCH(MID(";"&amp;'CASE DATA'!$F35&amp;";",ROW($1:$99),1),";")),"",ROW($1:$99)+1),COLUMN(H35)),SMALL(IF(ISERROR(SEARCH(MID(";"&amp;'CASE DATA'!$F35&amp;";",ROW($1:$99),1),";")),"",ROW($1:$99)),COLUMN(H34)+1)-SMALL(IF(ISERROR(SEARCH(MID(";"&amp;'CASE DATA'!$F35&amp;";",ROW($1:$99),1),";")),"",ROW($1:$99)),COLUMN(H34))-1)</f>
        <v/>
      </c>
      <c r="AD35" s="29" t="str">
        <f t="array" ref="AD35">MID(";"&amp;'CASE DATA'!$F35&amp;";",SMALL(IF(ISERROR(SEARCH(MID(";"&amp;'CASE DATA'!$F35&amp;";",ROW($1:$99),1),";")),"",ROW($1:$99)+1),COLUMN(I35)),SMALL(IF(ISERROR(SEARCH(MID(";"&amp;'CASE DATA'!$F35&amp;";",ROW($1:$99),1),";")),"",ROW($1:$99)),COLUMN(I34)+1)-SMALL(IF(ISERROR(SEARCH(MID(";"&amp;'CASE DATA'!$F35&amp;";",ROW($1:$99),1),";")),"",ROW($1:$99)),COLUMN(I34))-1)</f>
        <v/>
      </c>
      <c r="AE35" s="29" t="str">
        <f t="array" ref="AE35">MID(";"&amp;'CASE DATA'!$F35&amp;";",SMALL(IF(ISERROR(SEARCH(MID(";"&amp;'CASE DATA'!$F35&amp;";",ROW($1:$99),1),";")),"",ROW($1:$99)+1),COLUMN(J35)),SMALL(IF(ISERROR(SEARCH(MID(";"&amp;'CASE DATA'!$F35&amp;";",ROW($1:$99),1),";")),"",ROW($1:$99)),COLUMN(J34)+1)-SMALL(IF(ISERROR(SEARCH(MID(";"&amp;'CASE DATA'!$F35&amp;";",ROW($1:$99),1),";")),"",ROW($1:$99)),COLUMN(J34))-1)</f>
        <v/>
      </c>
      <c r="AF35" s="29" t="str">
        <f t="array" ref="AF35">MID(";"&amp;'CASE DATA'!$F35&amp;";",SMALL(IF(ISERROR(SEARCH(MID(";"&amp;'CASE DATA'!$F35&amp;";",ROW($1:$99),1),";")),"",ROW($1:$99)+1),COLUMN(K35)),SMALL(IF(ISERROR(SEARCH(MID(";"&amp;'CASE DATA'!$F35&amp;";",ROW($1:$99),1),";")),"",ROW($1:$99)),COLUMN(K34)+1)-SMALL(IF(ISERROR(SEARCH(MID(";"&amp;'CASE DATA'!$F35&amp;";",ROW($1:$99),1),";")),"",ROW($1:$99)),COLUMN(K34))-1)</f>
        <v/>
      </c>
      <c r="AG35" s="29" t="str">
        <f t="array" ref="AG35">MID(";"&amp;'CASE DATA'!$F35&amp;";",SMALL(IF(ISERROR(SEARCH(MID(";"&amp;'CASE DATA'!$F35&amp;";",ROW($1:$99),1),";")),"",ROW($1:$99)+1),COLUMN(L35)),SMALL(IF(ISERROR(SEARCH(MID(";"&amp;'CASE DATA'!$F35&amp;";",ROW($1:$99),1),";")),"",ROW($1:$99)),COLUMN(L34)+1)-SMALL(IF(ISERROR(SEARCH(MID(";"&amp;'CASE DATA'!$F35&amp;";",ROW($1:$99),1),";")),"",ROW($1:$99)),COLUMN(L34))-1)</f>
        <v/>
      </c>
      <c r="AH35" s="29"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25"/>
      <c r="C36" s="24"/>
      <c r="D36" s="24"/>
      <c r="E36" s="25"/>
      <c r="F36" s="30"/>
      <c r="J36" s="31"/>
      <c r="K36" s="31"/>
      <c r="L36" s="31"/>
      <c r="M36" s="31"/>
      <c r="N36" s="31"/>
      <c r="O36" s="31"/>
      <c r="P36" s="31"/>
      <c r="Q36" s="31"/>
      <c r="R36" s="31"/>
      <c r="S36" s="31"/>
      <c r="T36" s="28">
        <f t="shared" si="1"/>
        <v>0</v>
      </c>
      <c r="U36" s="28"/>
      <c r="W36" s="29" t="str">
        <f t="array" ref="W36">MID(";"&amp;'CASE DATA'!$F36&amp;";",SMALL(IF(ISERROR(SEARCH(MID(";"&amp;'CASE DATA'!$F36&amp;";",ROW($1:$99),1),";")),"",ROW($1:$99)+1),COLUMN(A36)),SMALL(IF(ISERROR(SEARCH(MID(";"&amp;'CASE DATA'!$F36&amp;";",ROW($1:$99),1),";")),"",ROW($1:$99)),COLUMN(A35)+1)-SMALL(IF(ISERROR(SEARCH(MID(";"&amp;'CASE DATA'!$F36&amp;";",ROW($1:$99),1),";")),"",ROW($1:$99)),COLUMN(A35))-1)</f>
        <v/>
      </c>
      <c r="X36" s="29" t="str">
        <f t="array" ref="X36">MID(";"&amp;'CASE DATA'!$F36&amp;";",SMALL(IF(ISERROR(SEARCH(MID(";"&amp;'CASE DATA'!$F36&amp;";",ROW($1:$99),1),";")),"",ROW($1:$99)+1),COLUMN(B36)),SMALL(IF(ISERROR(SEARCH(MID(";"&amp;'CASE DATA'!$F36&amp;";",ROW($1:$99),1),";")),"",ROW($1:$99)),COLUMN(B35)+1)-SMALL(IF(ISERROR(SEARCH(MID(";"&amp;'CASE DATA'!$F36&amp;";",ROW($1:$99),1),";")),"",ROW($1:$99)),COLUMN(B35))-1)</f>
        <v/>
      </c>
      <c r="Y36" s="29" t="str">
        <f t="array" ref="Y36">MID(";"&amp;'CASE DATA'!$F36&amp;";",SMALL(IF(ISERROR(SEARCH(MID(";"&amp;'CASE DATA'!$F36&amp;";",ROW($1:$99),1),";")),"",ROW($1:$99)+1),COLUMN(D36)),SMALL(IF(ISERROR(SEARCH(MID(";"&amp;'CASE DATA'!$F36&amp;";",ROW($1:$99),1),";")),"",ROW($1:$99)),COLUMN(D35)+1)-SMALL(IF(ISERROR(SEARCH(MID(";"&amp;'CASE DATA'!$F36&amp;";",ROW($1:$99),1),";")),"",ROW($1:$99)),COLUMN(D35))-1)</f>
        <v/>
      </c>
      <c r="Z36" s="29" t="str">
        <f t="array" ref="Z36">MID(";"&amp;'CASE DATA'!$F36&amp;";",SMALL(IF(ISERROR(SEARCH(MID(";"&amp;'CASE DATA'!$F36&amp;";",ROW($1:$99),1),";")),"",ROW($1:$99)+1),COLUMN(E36)),SMALL(IF(ISERROR(SEARCH(MID(";"&amp;'CASE DATA'!$F36&amp;";",ROW($1:$99),1),";")),"",ROW($1:$99)),COLUMN(E35)+1)-SMALL(IF(ISERROR(SEARCH(MID(";"&amp;'CASE DATA'!$F36&amp;";",ROW($1:$99),1),";")),"",ROW($1:$99)),COLUMN(E35))-1)</f>
        <v/>
      </c>
      <c r="AA36" s="29" t="str">
        <f t="array" ref="AA36">MID(";"&amp;'CASE DATA'!$F36&amp;";",SMALL(IF(ISERROR(SEARCH(MID(";"&amp;'CASE DATA'!$F36&amp;";",ROW($1:$99),1),";")),"",ROW($1:$99)+1),COLUMN(F36)),SMALL(IF(ISERROR(SEARCH(MID(";"&amp;'CASE DATA'!$F36&amp;";",ROW($1:$99),1),";")),"",ROW($1:$99)),COLUMN(F35)+1)-SMALL(IF(ISERROR(SEARCH(MID(";"&amp;'CASE DATA'!$F36&amp;";",ROW($1:$99),1),";")),"",ROW($1:$99)),COLUMN(F35))-1)</f>
        <v/>
      </c>
      <c r="AB36" s="29" t="str">
        <f t="array" ref="AB36">MID(";"&amp;'CASE DATA'!$F36&amp;";",SMALL(IF(ISERROR(SEARCH(MID(";"&amp;'CASE DATA'!$F36&amp;";",ROW($1:$99),1),";")),"",ROW($1:$99)+1),COLUMN(G36)),SMALL(IF(ISERROR(SEARCH(MID(";"&amp;'CASE DATA'!$F36&amp;";",ROW($1:$99),1),";")),"",ROW($1:$99)),COLUMN(G35)+1)-SMALL(IF(ISERROR(SEARCH(MID(";"&amp;'CASE DATA'!$F36&amp;";",ROW($1:$99),1),";")),"",ROW($1:$99)),COLUMN(G35))-1)</f>
        <v/>
      </c>
      <c r="AC36" s="29" t="str">
        <f t="array" ref="AC36">MID(";"&amp;'CASE DATA'!$F36&amp;";",SMALL(IF(ISERROR(SEARCH(MID(";"&amp;'CASE DATA'!$F36&amp;";",ROW($1:$99),1),";")),"",ROW($1:$99)+1),COLUMN(H36)),SMALL(IF(ISERROR(SEARCH(MID(";"&amp;'CASE DATA'!$F36&amp;";",ROW($1:$99),1),";")),"",ROW($1:$99)),COLUMN(H35)+1)-SMALL(IF(ISERROR(SEARCH(MID(";"&amp;'CASE DATA'!$F36&amp;";",ROW($1:$99),1),";")),"",ROW($1:$99)),COLUMN(H35))-1)</f>
        <v/>
      </c>
      <c r="AD36" s="29" t="str">
        <f t="array" ref="AD36">MID(";"&amp;'CASE DATA'!$F36&amp;";",SMALL(IF(ISERROR(SEARCH(MID(";"&amp;'CASE DATA'!$F36&amp;";",ROW($1:$99),1),";")),"",ROW($1:$99)+1),COLUMN(I36)),SMALL(IF(ISERROR(SEARCH(MID(";"&amp;'CASE DATA'!$F36&amp;";",ROW($1:$99),1),";")),"",ROW($1:$99)),COLUMN(I35)+1)-SMALL(IF(ISERROR(SEARCH(MID(";"&amp;'CASE DATA'!$F36&amp;";",ROW($1:$99),1),";")),"",ROW($1:$99)),COLUMN(I35))-1)</f>
        <v/>
      </c>
      <c r="AE36" s="29" t="str">
        <f t="array" ref="AE36">MID(";"&amp;'CASE DATA'!$F36&amp;";",SMALL(IF(ISERROR(SEARCH(MID(";"&amp;'CASE DATA'!$F36&amp;";",ROW($1:$99),1),";")),"",ROW($1:$99)+1),COLUMN(J36)),SMALL(IF(ISERROR(SEARCH(MID(";"&amp;'CASE DATA'!$F36&amp;";",ROW($1:$99),1),";")),"",ROW($1:$99)),COLUMN(J35)+1)-SMALL(IF(ISERROR(SEARCH(MID(";"&amp;'CASE DATA'!$F36&amp;";",ROW($1:$99),1),";")),"",ROW($1:$99)),COLUMN(J35))-1)</f>
        <v/>
      </c>
      <c r="AF36" s="29" t="str">
        <f t="array" ref="AF36">MID(";"&amp;'CASE DATA'!$F36&amp;";",SMALL(IF(ISERROR(SEARCH(MID(";"&amp;'CASE DATA'!$F36&amp;";",ROW($1:$99),1),";")),"",ROW($1:$99)+1),COLUMN(K36)),SMALL(IF(ISERROR(SEARCH(MID(";"&amp;'CASE DATA'!$F36&amp;";",ROW($1:$99),1),";")),"",ROW($1:$99)),COLUMN(K35)+1)-SMALL(IF(ISERROR(SEARCH(MID(";"&amp;'CASE DATA'!$F36&amp;";",ROW($1:$99),1),";")),"",ROW($1:$99)),COLUMN(K35))-1)</f>
        <v/>
      </c>
      <c r="AG36" s="29" t="str">
        <f t="array" ref="AG36">MID(";"&amp;'CASE DATA'!$F36&amp;";",SMALL(IF(ISERROR(SEARCH(MID(";"&amp;'CASE DATA'!$F36&amp;";",ROW($1:$99),1),";")),"",ROW($1:$99)+1),COLUMN(L36)),SMALL(IF(ISERROR(SEARCH(MID(";"&amp;'CASE DATA'!$F36&amp;";",ROW($1:$99),1),";")),"",ROW($1:$99)),COLUMN(L35)+1)-SMALL(IF(ISERROR(SEARCH(MID(";"&amp;'CASE DATA'!$F36&amp;";",ROW($1:$99),1),";")),"",ROW($1:$99)),COLUMN(L35))-1)</f>
        <v/>
      </c>
      <c r="AH36" s="29"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25"/>
      <c r="C37" s="24"/>
      <c r="D37" s="24"/>
      <c r="E37" s="25"/>
      <c r="F37" s="30"/>
      <c r="J37" s="31"/>
      <c r="K37" s="31"/>
      <c r="L37" s="31"/>
      <c r="M37" s="31"/>
      <c r="N37" s="31"/>
      <c r="O37" s="31"/>
      <c r="P37" s="31"/>
      <c r="Q37" s="31"/>
      <c r="R37" s="31"/>
      <c r="S37" s="31"/>
      <c r="T37" s="28">
        <f t="shared" si="1"/>
        <v>0</v>
      </c>
      <c r="U37" s="28"/>
      <c r="W37" s="29" t="str">
        <f t="array" ref="W37">MID(";"&amp;'CASE DATA'!$F37&amp;";",SMALL(IF(ISERROR(SEARCH(MID(";"&amp;'CASE DATA'!$F37&amp;";",ROW($1:$99),1),";")),"",ROW($1:$99)+1),COLUMN(A37)),SMALL(IF(ISERROR(SEARCH(MID(";"&amp;'CASE DATA'!$F37&amp;";",ROW($1:$99),1),";")),"",ROW($1:$99)),COLUMN(A36)+1)-SMALL(IF(ISERROR(SEARCH(MID(";"&amp;'CASE DATA'!$F37&amp;";",ROW($1:$99),1),";")),"",ROW($1:$99)),COLUMN(A36))-1)</f>
        <v/>
      </c>
      <c r="X37" s="29" t="str">
        <f t="array" ref="X37">MID(";"&amp;'CASE DATA'!$F37&amp;";",SMALL(IF(ISERROR(SEARCH(MID(";"&amp;'CASE DATA'!$F37&amp;";",ROW($1:$99),1),";")),"",ROW($1:$99)+1),COLUMN(B37)),SMALL(IF(ISERROR(SEARCH(MID(";"&amp;'CASE DATA'!$F37&amp;";",ROW($1:$99),1),";")),"",ROW($1:$99)),COLUMN(B36)+1)-SMALL(IF(ISERROR(SEARCH(MID(";"&amp;'CASE DATA'!$F37&amp;";",ROW($1:$99),1),";")),"",ROW($1:$99)),COLUMN(B36))-1)</f>
        <v/>
      </c>
      <c r="Y37" s="29" t="str">
        <f t="array" ref="Y37">MID(";"&amp;'CASE DATA'!$F37&amp;";",SMALL(IF(ISERROR(SEARCH(MID(";"&amp;'CASE DATA'!$F37&amp;";",ROW($1:$99),1),";")),"",ROW($1:$99)+1),COLUMN(D37)),SMALL(IF(ISERROR(SEARCH(MID(";"&amp;'CASE DATA'!$F37&amp;";",ROW($1:$99),1),";")),"",ROW($1:$99)),COLUMN(D36)+1)-SMALL(IF(ISERROR(SEARCH(MID(";"&amp;'CASE DATA'!$F37&amp;";",ROW($1:$99),1),";")),"",ROW($1:$99)),COLUMN(D36))-1)</f>
        <v/>
      </c>
      <c r="Z37" s="29" t="str">
        <f t="array" ref="Z37">MID(";"&amp;'CASE DATA'!$F37&amp;";",SMALL(IF(ISERROR(SEARCH(MID(";"&amp;'CASE DATA'!$F37&amp;";",ROW($1:$99),1),";")),"",ROW($1:$99)+1),COLUMN(E37)),SMALL(IF(ISERROR(SEARCH(MID(";"&amp;'CASE DATA'!$F37&amp;";",ROW($1:$99),1),";")),"",ROW($1:$99)),COLUMN(E36)+1)-SMALL(IF(ISERROR(SEARCH(MID(";"&amp;'CASE DATA'!$F37&amp;";",ROW($1:$99),1),";")),"",ROW($1:$99)),COLUMN(E36))-1)</f>
        <v/>
      </c>
      <c r="AA37" s="29" t="str">
        <f t="array" ref="AA37">MID(";"&amp;'CASE DATA'!$F37&amp;";",SMALL(IF(ISERROR(SEARCH(MID(";"&amp;'CASE DATA'!$F37&amp;";",ROW($1:$99),1),";")),"",ROW($1:$99)+1),COLUMN(F37)),SMALL(IF(ISERROR(SEARCH(MID(";"&amp;'CASE DATA'!$F37&amp;";",ROW($1:$99),1),";")),"",ROW($1:$99)),COLUMN(F36)+1)-SMALL(IF(ISERROR(SEARCH(MID(";"&amp;'CASE DATA'!$F37&amp;";",ROW($1:$99),1),";")),"",ROW($1:$99)),COLUMN(F36))-1)</f>
        <v/>
      </c>
      <c r="AB37" s="29" t="str">
        <f t="array" ref="AB37">MID(";"&amp;'CASE DATA'!$F37&amp;";",SMALL(IF(ISERROR(SEARCH(MID(";"&amp;'CASE DATA'!$F37&amp;";",ROW($1:$99),1),";")),"",ROW($1:$99)+1),COLUMN(G37)),SMALL(IF(ISERROR(SEARCH(MID(";"&amp;'CASE DATA'!$F37&amp;";",ROW($1:$99),1),";")),"",ROW($1:$99)),COLUMN(G36)+1)-SMALL(IF(ISERROR(SEARCH(MID(";"&amp;'CASE DATA'!$F37&amp;";",ROW($1:$99),1),";")),"",ROW($1:$99)),COLUMN(G36))-1)</f>
        <v/>
      </c>
      <c r="AC37" s="29" t="str">
        <f t="array" ref="AC37">MID(";"&amp;'CASE DATA'!$F37&amp;";",SMALL(IF(ISERROR(SEARCH(MID(";"&amp;'CASE DATA'!$F37&amp;";",ROW($1:$99),1),";")),"",ROW($1:$99)+1),COLUMN(H37)),SMALL(IF(ISERROR(SEARCH(MID(";"&amp;'CASE DATA'!$F37&amp;";",ROW($1:$99),1),";")),"",ROW($1:$99)),COLUMN(H36)+1)-SMALL(IF(ISERROR(SEARCH(MID(";"&amp;'CASE DATA'!$F37&amp;";",ROW($1:$99),1),";")),"",ROW($1:$99)),COLUMN(H36))-1)</f>
        <v/>
      </c>
      <c r="AD37" s="29" t="str">
        <f t="array" ref="AD37">MID(";"&amp;'CASE DATA'!$F37&amp;";",SMALL(IF(ISERROR(SEARCH(MID(";"&amp;'CASE DATA'!$F37&amp;";",ROW($1:$99),1),";")),"",ROW($1:$99)+1),COLUMN(I37)),SMALL(IF(ISERROR(SEARCH(MID(";"&amp;'CASE DATA'!$F37&amp;";",ROW($1:$99),1),";")),"",ROW($1:$99)),COLUMN(I36)+1)-SMALL(IF(ISERROR(SEARCH(MID(";"&amp;'CASE DATA'!$F37&amp;";",ROW($1:$99),1),";")),"",ROW($1:$99)),COLUMN(I36))-1)</f>
        <v/>
      </c>
      <c r="AE37" s="29" t="str">
        <f t="array" ref="AE37">MID(";"&amp;'CASE DATA'!$F37&amp;";",SMALL(IF(ISERROR(SEARCH(MID(";"&amp;'CASE DATA'!$F37&amp;";",ROW($1:$99),1),";")),"",ROW($1:$99)+1),COLUMN(J37)),SMALL(IF(ISERROR(SEARCH(MID(";"&amp;'CASE DATA'!$F37&amp;";",ROW($1:$99),1),";")),"",ROW($1:$99)),COLUMN(J36)+1)-SMALL(IF(ISERROR(SEARCH(MID(";"&amp;'CASE DATA'!$F37&amp;";",ROW($1:$99),1),";")),"",ROW($1:$99)),COLUMN(J36))-1)</f>
        <v/>
      </c>
      <c r="AF37" s="29" t="str">
        <f t="array" ref="AF37">MID(";"&amp;'CASE DATA'!$F37&amp;";",SMALL(IF(ISERROR(SEARCH(MID(";"&amp;'CASE DATA'!$F37&amp;";",ROW($1:$99),1),";")),"",ROW($1:$99)+1),COLUMN(K37)),SMALL(IF(ISERROR(SEARCH(MID(";"&amp;'CASE DATA'!$F37&amp;";",ROW($1:$99),1),";")),"",ROW($1:$99)),COLUMN(K36)+1)-SMALL(IF(ISERROR(SEARCH(MID(";"&amp;'CASE DATA'!$F37&amp;";",ROW($1:$99),1),";")),"",ROW($1:$99)),COLUMN(K36))-1)</f>
        <v/>
      </c>
      <c r="AG37" s="29" t="str">
        <f t="array" ref="AG37">MID(";"&amp;'CASE DATA'!$F37&amp;";",SMALL(IF(ISERROR(SEARCH(MID(";"&amp;'CASE DATA'!$F37&amp;";",ROW($1:$99),1),";")),"",ROW($1:$99)+1),COLUMN(L37)),SMALL(IF(ISERROR(SEARCH(MID(";"&amp;'CASE DATA'!$F37&amp;";",ROW($1:$99),1),";")),"",ROW($1:$99)),COLUMN(L36)+1)-SMALL(IF(ISERROR(SEARCH(MID(";"&amp;'CASE DATA'!$F37&amp;";",ROW($1:$99),1),";")),"",ROW($1:$99)),COLUMN(L36))-1)</f>
        <v/>
      </c>
      <c r="AH37" s="29"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25"/>
      <c r="C38" s="24"/>
      <c r="D38" s="24"/>
      <c r="E38" s="25"/>
      <c r="F38" s="30"/>
      <c r="J38" s="31"/>
      <c r="K38" s="31"/>
      <c r="L38" s="31"/>
      <c r="M38" s="31"/>
      <c r="N38" s="31"/>
      <c r="O38" s="31"/>
      <c r="P38" s="31"/>
      <c r="Q38" s="31"/>
      <c r="R38" s="31"/>
      <c r="S38" s="31"/>
      <c r="T38" s="28">
        <f t="shared" si="1"/>
        <v>0</v>
      </c>
      <c r="U38" s="28"/>
      <c r="W38" s="29" t="str">
        <f t="array" ref="W38">MID(";"&amp;'CASE DATA'!$F38&amp;";",SMALL(IF(ISERROR(SEARCH(MID(";"&amp;'CASE DATA'!$F38&amp;";",ROW($1:$99),1),";")),"",ROW($1:$99)+1),COLUMN(A38)),SMALL(IF(ISERROR(SEARCH(MID(";"&amp;'CASE DATA'!$F38&amp;";",ROW($1:$99),1),";")),"",ROW($1:$99)),COLUMN(A37)+1)-SMALL(IF(ISERROR(SEARCH(MID(";"&amp;'CASE DATA'!$F38&amp;";",ROW($1:$99),1),";")),"",ROW($1:$99)),COLUMN(A37))-1)</f>
        <v/>
      </c>
      <c r="X38" s="29" t="str">
        <f t="array" ref="X38">MID(";"&amp;'CASE DATA'!$F38&amp;";",SMALL(IF(ISERROR(SEARCH(MID(";"&amp;'CASE DATA'!$F38&amp;";",ROW($1:$99),1),";")),"",ROW($1:$99)+1),COLUMN(B38)),SMALL(IF(ISERROR(SEARCH(MID(";"&amp;'CASE DATA'!$F38&amp;";",ROW($1:$99),1),";")),"",ROW($1:$99)),COLUMN(B37)+1)-SMALL(IF(ISERROR(SEARCH(MID(";"&amp;'CASE DATA'!$F38&amp;";",ROW($1:$99),1),";")),"",ROW($1:$99)),COLUMN(B37))-1)</f>
        <v/>
      </c>
      <c r="Y38" s="29" t="str">
        <f t="array" ref="Y38">MID(";"&amp;'CASE DATA'!$F38&amp;";",SMALL(IF(ISERROR(SEARCH(MID(";"&amp;'CASE DATA'!$F38&amp;";",ROW($1:$99),1),";")),"",ROW($1:$99)+1),COLUMN(D38)),SMALL(IF(ISERROR(SEARCH(MID(";"&amp;'CASE DATA'!$F38&amp;";",ROW($1:$99),1),";")),"",ROW($1:$99)),COLUMN(D37)+1)-SMALL(IF(ISERROR(SEARCH(MID(";"&amp;'CASE DATA'!$F38&amp;";",ROW($1:$99),1),";")),"",ROW($1:$99)),COLUMN(D37))-1)</f>
        <v/>
      </c>
      <c r="Z38" s="29" t="str">
        <f t="array" ref="Z38">MID(";"&amp;'CASE DATA'!$F38&amp;";",SMALL(IF(ISERROR(SEARCH(MID(";"&amp;'CASE DATA'!$F38&amp;";",ROW($1:$99),1),";")),"",ROW($1:$99)+1),COLUMN(E38)),SMALL(IF(ISERROR(SEARCH(MID(";"&amp;'CASE DATA'!$F38&amp;";",ROW($1:$99),1),";")),"",ROW($1:$99)),COLUMN(E37)+1)-SMALL(IF(ISERROR(SEARCH(MID(";"&amp;'CASE DATA'!$F38&amp;";",ROW($1:$99),1),";")),"",ROW($1:$99)),COLUMN(E37))-1)</f>
        <v/>
      </c>
      <c r="AA38" s="29" t="str">
        <f t="array" ref="AA38">MID(";"&amp;'CASE DATA'!$F38&amp;";",SMALL(IF(ISERROR(SEARCH(MID(";"&amp;'CASE DATA'!$F38&amp;";",ROW($1:$99),1),";")),"",ROW($1:$99)+1),COLUMN(F38)),SMALL(IF(ISERROR(SEARCH(MID(";"&amp;'CASE DATA'!$F38&amp;";",ROW($1:$99),1),";")),"",ROW($1:$99)),COLUMN(F37)+1)-SMALL(IF(ISERROR(SEARCH(MID(";"&amp;'CASE DATA'!$F38&amp;";",ROW($1:$99),1),";")),"",ROW($1:$99)),COLUMN(F37))-1)</f>
        <v/>
      </c>
      <c r="AB38" s="29" t="str">
        <f t="array" ref="AB38">MID(";"&amp;'CASE DATA'!$F38&amp;";",SMALL(IF(ISERROR(SEARCH(MID(";"&amp;'CASE DATA'!$F38&amp;";",ROW($1:$99),1),";")),"",ROW($1:$99)+1),COLUMN(G38)),SMALL(IF(ISERROR(SEARCH(MID(";"&amp;'CASE DATA'!$F38&amp;";",ROW($1:$99),1),";")),"",ROW($1:$99)),COLUMN(G37)+1)-SMALL(IF(ISERROR(SEARCH(MID(";"&amp;'CASE DATA'!$F38&amp;";",ROW($1:$99),1),";")),"",ROW($1:$99)),COLUMN(G37))-1)</f>
        <v/>
      </c>
      <c r="AC38" s="29" t="str">
        <f t="array" ref="AC38">MID(";"&amp;'CASE DATA'!$F38&amp;";",SMALL(IF(ISERROR(SEARCH(MID(";"&amp;'CASE DATA'!$F38&amp;";",ROW($1:$99),1),";")),"",ROW($1:$99)+1),COLUMN(H38)),SMALL(IF(ISERROR(SEARCH(MID(";"&amp;'CASE DATA'!$F38&amp;";",ROW($1:$99),1),";")),"",ROW($1:$99)),COLUMN(H37)+1)-SMALL(IF(ISERROR(SEARCH(MID(";"&amp;'CASE DATA'!$F38&amp;";",ROW($1:$99),1),";")),"",ROW($1:$99)),COLUMN(H37))-1)</f>
        <v/>
      </c>
      <c r="AD38" s="29" t="str">
        <f t="array" ref="AD38">MID(";"&amp;'CASE DATA'!$F38&amp;";",SMALL(IF(ISERROR(SEARCH(MID(";"&amp;'CASE DATA'!$F38&amp;";",ROW($1:$99),1),";")),"",ROW($1:$99)+1),COLUMN(I38)),SMALL(IF(ISERROR(SEARCH(MID(";"&amp;'CASE DATA'!$F38&amp;";",ROW($1:$99),1),";")),"",ROW($1:$99)),COLUMN(I37)+1)-SMALL(IF(ISERROR(SEARCH(MID(";"&amp;'CASE DATA'!$F38&amp;";",ROW($1:$99),1),";")),"",ROW($1:$99)),COLUMN(I37))-1)</f>
        <v/>
      </c>
      <c r="AE38" s="29" t="str">
        <f t="array" ref="AE38">MID(";"&amp;'CASE DATA'!$F38&amp;";",SMALL(IF(ISERROR(SEARCH(MID(";"&amp;'CASE DATA'!$F38&amp;";",ROW($1:$99),1),";")),"",ROW($1:$99)+1),COLUMN(J38)),SMALL(IF(ISERROR(SEARCH(MID(";"&amp;'CASE DATA'!$F38&amp;";",ROW($1:$99),1),";")),"",ROW($1:$99)),COLUMN(J37)+1)-SMALL(IF(ISERROR(SEARCH(MID(";"&amp;'CASE DATA'!$F38&amp;";",ROW($1:$99),1),";")),"",ROW($1:$99)),COLUMN(J37))-1)</f>
        <v/>
      </c>
      <c r="AF38" s="29" t="str">
        <f t="array" ref="AF38">MID(";"&amp;'CASE DATA'!$F38&amp;";",SMALL(IF(ISERROR(SEARCH(MID(";"&amp;'CASE DATA'!$F38&amp;";",ROW($1:$99),1),";")),"",ROW($1:$99)+1),COLUMN(K38)),SMALL(IF(ISERROR(SEARCH(MID(";"&amp;'CASE DATA'!$F38&amp;";",ROW($1:$99),1),";")),"",ROW($1:$99)),COLUMN(K37)+1)-SMALL(IF(ISERROR(SEARCH(MID(";"&amp;'CASE DATA'!$F38&amp;";",ROW($1:$99),1),";")),"",ROW($1:$99)),COLUMN(K37))-1)</f>
        <v/>
      </c>
      <c r="AG38" s="29" t="str">
        <f t="array" ref="AG38">MID(";"&amp;'CASE DATA'!$F38&amp;";",SMALL(IF(ISERROR(SEARCH(MID(";"&amp;'CASE DATA'!$F38&amp;";",ROW($1:$99),1),";")),"",ROW($1:$99)+1),COLUMN(L38)),SMALL(IF(ISERROR(SEARCH(MID(";"&amp;'CASE DATA'!$F38&amp;";",ROW($1:$99),1),";")),"",ROW($1:$99)),COLUMN(L37)+1)-SMALL(IF(ISERROR(SEARCH(MID(";"&amp;'CASE DATA'!$F38&amp;";",ROW($1:$99),1),";")),"",ROW($1:$99)),COLUMN(L37))-1)</f>
        <v/>
      </c>
      <c r="AH38" s="29"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25"/>
      <c r="C39" s="24"/>
      <c r="D39" s="24"/>
      <c r="E39" s="25"/>
      <c r="F39" s="30"/>
      <c r="J39" s="31"/>
      <c r="K39" s="31"/>
      <c r="L39" s="31"/>
      <c r="M39" s="31"/>
      <c r="N39" s="31"/>
      <c r="O39" s="31"/>
      <c r="P39" s="31"/>
      <c r="Q39" s="31"/>
      <c r="R39" s="31"/>
      <c r="S39" s="31"/>
      <c r="T39" s="28">
        <f t="shared" si="1"/>
        <v>0</v>
      </c>
      <c r="U39" s="28"/>
      <c r="W39" s="29" t="str">
        <f t="array" ref="W39">MID(";"&amp;'CASE DATA'!$F39&amp;";",SMALL(IF(ISERROR(SEARCH(MID(";"&amp;'CASE DATA'!$F39&amp;";",ROW($1:$99),1),";")),"",ROW($1:$99)+1),COLUMN(A39)),SMALL(IF(ISERROR(SEARCH(MID(";"&amp;'CASE DATA'!$F39&amp;";",ROW($1:$99),1),";")),"",ROW($1:$99)),COLUMN(A38)+1)-SMALL(IF(ISERROR(SEARCH(MID(";"&amp;'CASE DATA'!$F39&amp;";",ROW($1:$99),1),";")),"",ROW($1:$99)),COLUMN(A38))-1)</f>
        <v/>
      </c>
      <c r="X39" s="29" t="str">
        <f t="array" ref="X39">MID(";"&amp;'CASE DATA'!$F39&amp;";",SMALL(IF(ISERROR(SEARCH(MID(";"&amp;'CASE DATA'!$F39&amp;";",ROW($1:$99),1),";")),"",ROW($1:$99)+1),COLUMN(B39)),SMALL(IF(ISERROR(SEARCH(MID(";"&amp;'CASE DATA'!$F39&amp;";",ROW($1:$99),1),";")),"",ROW($1:$99)),COLUMN(B38)+1)-SMALL(IF(ISERROR(SEARCH(MID(";"&amp;'CASE DATA'!$F39&amp;";",ROW($1:$99),1),";")),"",ROW($1:$99)),COLUMN(B38))-1)</f>
        <v/>
      </c>
      <c r="Y39" s="29" t="str">
        <f t="array" ref="Y39">MID(";"&amp;'CASE DATA'!$F39&amp;";",SMALL(IF(ISERROR(SEARCH(MID(";"&amp;'CASE DATA'!$F39&amp;";",ROW($1:$99),1),";")),"",ROW($1:$99)+1),COLUMN(D39)),SMALL(IF(ISERROR(SEARCH(MID(";"&amp;'CASE DATA'!$F39&amp;";",ROW($1:$99),1),";")),"",ROW($1:$99)),COLUMN(D38)+1)-SMALL(IF(ISERROR(SEARCH(MID(";"&amp;'CASE DATA'!$F39&amp;";",ROW($1:$99),1),";")),"",ROW($1:$99)),COLUMN(D38))-1)</f>
        <v/>
      </c>
      <c r="Z39" s="29" t="str">
        <f t="array" ref="Z39">MID(";"&amp;'CASE DATA'!$F39&amp;";",SMALL(IF(ISERROR(SEARCH(MID(";"&amp;'CASE DATA'!$F39&amp;";",ROW($1:$99),1),";")),"",ROW($1:$99)+1),COLUMN(E39)),SMALL(IF(ISERROR(SEARCH(MID(";"&amp;'CASE DATA'!$F39&amp;";",ROW($1:$99),1),";")),"",ROW($1:$99)),COLUMN(E38)+1)-SMALL(IF(ISERROR(SEARCH(MID(";"&amp;'CASE DATA'!$F39&amp;";",ROW($1:$99),1),";")),"",ROW($1:$99)),COLUMN(E38))-1)</f>
        <v/>
      </c>
      <c r="AA39" s="29" t="str">
        <f t="array" ref="AA39">MID(";"&amp;'CASE DATA'!$F39&amp;";",SMALL(IF(ISERROR(SEARCH(MID(";"&amp;'CASE DATA'!$F39&amp;";",ROW($1:$99),1),";")),"",ROW($1:$99)+1),COLUMN(F39)),SMALL(IF(ISERROR(SEARCH(MID(";"&amp;'CASE DATA'!$F39&amp;";",ROW($1:$99),1),";")),"",ROW($1:$99)),COLUMN(F38)+1)-SMALL(IF(ISERROR(SEARCH(MID(";"&amp;'CASE DATA'!$F39&amp;";",ROW($1:$99),1),";")),"",ROW($1:$99)),COLUMN(F38))-1)</f>
        <v/>
      </c>
      <c r="AB39" s="29" t="str">
        <f t="array" ref="AB39">MID(";"&amp;'CASE DATA'!$F39&amp;";",SMALL(IF(ISERROR(SEARCH(MID(";"&amp;'CASE DATA'!$F39&amp;";",ROW($1:$99),1),";")),"",ROW($1:$99)+1),COLUMN(G39)),SMALL(IF(ISERROR(SEARCH(MID(";"&amp;'CASE DATA'!$F39&amp;";",ROW($1:$99),1),";")),"",ROW($1:$99)),COLUMN(G38)+1)-SMALL(IF(ISERROR(SEARCH(MID(";"&amp;'CASE DATA'!$F39&amp;";",ROW($1:$99),1),";")),"",ROW($1:$99)),COLUMN(G38))-1)</f>
        <v/>
      </c>
      <c r="AC39" s="29" t="str">
        <f t="array" ref="AC39">MID(";"&amp;'CASE DATA'!$F39&amp;";",SMALL(IF(ISERROR(SEARCH(MID(";"&amp;'CASE DATA'!$F39&amp;";",ROW($1:$99),1),";")),"",ROW($1:$99)+1),COLUMN(H39)),SMALL(IF(ISERROR(SEARCH(MID(";"&amp;'CASE DATA'!$F39&amp;";",ROW($1:$99),1),";")),"",ROW($1:$99)),COLUMN(H38)+1)-SMALL(IF(ISERROR(SEARCH(MID(";"&amp;'CASE DATA'!$F39&amp;";",ROW($1:$99),1),";")),"",ROW($1:$99)),COLUMN(H38))-1)</f>
        <v/>
      </c>
      <c r="AD39" s="29" t="str">
        <f t="array" ref="AD39">MID(";"&amp;'CASE DATA'!$F39&amp;";",SMALL(IF(ISERROR(SEARCH(MID(";"&amp;'CASE DATA'!$F39&amp;";",ROW($1:$99),1),";")),"",ROW($1:$99)+1),COLUMN(I39)),SMALL(IF(ISERROR(SEARCH(MID(";"&amp;'CASE DATA'!$F39&amp;";",ROW($1:$99),1),";")),"",ROW($1:$99)),COLUMN(I38)+1)-SMALL(IF(ISERROR(SEARCH(MID(";"&amp;'CASE DATA'!$F39&amp;";",ROW($1:$99),1),";")),"",ROW($1:$99)),COLUMN(I38))-1)</f>
        <v/>
      </c>
      <c r="AE39" s="29" t="str">
        <f t="array" ref="AE39">MID(";"&amp;'CASE DATA'!$F39&amp;";",SMALL(IF(ISERROR(SEARCH(MID(";"&amp;'CASE DATA'!$F39&amp;";",ROW($1:$99),1),";")),"",ROW($1:$99)+1),COLUMN(J39)),SMALL(IF(ISERROR(SEARCH(MID(";"&amp;'CASE DATA'!$F39&amp;";",ROW($1:$99),1),";")),"",ROW($1:$99)),COLUMN(J38)+1)-SMALL(IF(ISERROR(SEARCH(MID(";"&amp;'CASE DATA'!$F39&amp;";",ROW($1:$99),1),";")),"",ROW($1:$99)),COLUMN(J38))-1)</f>
        <v/>
      </c>
      <c r="AF39" s="29" t="str">
        <f t="array" ref="AF39">MID(";"&amp;'CASE DATA'!$F39&amp;";",SMALL(IF(ISERROR(SEARCH(MID(";"&amp;'CASE DATA'!$F39&amp;";",ROW($1:$99),1),";")),"",ROW($1:$99)+1),COLUMN(K39)),SMALL(IF(ISERROR(SEARCH(MID(";"&amp;'CASE DATA'!$F39&amp;";",ROW($1:$99),1),";")),"",ROW($1:$99)),COLUMN(K38)+1)-SMALL(IF(ISERROR(SEARCH(MID(";"&amp;'CASE DATA'!$F39&amp;";",ROW($1:$99),1),";")),"",ROW($1:$99)),COLUMN(K38))-1)</f>
        <v/>
      </c>
      <c r="AG39" s="29" t="str">
        <f t="array" ref="AG39">MID(";"&amp;'CASE DATA'!$F39&amp;";",SMALL(IF(ISERROR(SEARCH(MID(";"&amp;'CASE DATA'!$F39&amp;";",ROW($1:$99),1),";")),"",ROW($1:$99)+1),COLUMN(L39)),SMALL(IF(ISERROR(SEARCH(MID(";"&amp;'CASE DATA'!$F39&amp;";",ROW($1:$99),1),";")),"",ROW($1:$99)),COLUMN(L38)+1)-SMALL(IF(ISERROR(SEARCH(MID(";"&amp;'CASE DATA'!$F39&amp;";",ROW($1:$99),1),";")),"",ROW($1:$99)),COLUMN(L38))-1)</f>
        <v/>
      </c>
      <c r="AH39" s="29"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25"/>
      <c r="C40" s="24"/>
      <c r="D40" s="24"/>
      <c r="E40" s="25"/>
      <c r="F40" s="30"/>
      <c r="J40" s="31"/>
      <c r="K40" s="31"/>
      <c r="L40" s="31"/>
      <c r="M40" s="31"/>
      <c r="N40" s="31"/>
      <c r="O40" s="31"/>
      <c r="P40" s="31"/>
      <c r="Q40" s="31"/>
      <c r="R40" s="31"/>
      <c r="S40" s="31"/>
      <c r="T40" s="28">
        <f t="shared" si="1"/>
        <v>0</v>
      </c>
      <c r="U40" s="28"/>
      <c r="W40" s="29" t="str">
        <f t="array" ref="W40">MID(";"&amp;'CASE DATA'!$F40&amp;";",SMALL(IF(ISERROR(SEARCH(MID(";"&amp;'CASE DATA'!$F40&amp;";",ROW($1:$99),1),";")),"",ROW($1:$99)+1),COLUMN(A40)),SMALL(IF(ISERROR(SEARCH(MID(";"&amp;'CASE DATA'!$F40&amp;";",ROW($1:$99),1),";")),"",ROW($1:$99)),COLUMN(A39)+1)-SMALL(IF(ISERROR(SEARCH(MID(";"&amp;'CASE DATA'!$F40&amp;";",ROW($1:$99),1),";")),"",ROW($1:$99)),COLUMN(A39))-1)</f>
        <v/>
      </c>
      <c r="X40" s="29" t="str">
        <f t="array" ref="X40">MID(";"&amp;'CASE DATA'!$F40&amp;";",SMALL(IF(ISERROR(SEARCH(MID(";"&amp;'CASE DATA'!$F40&amp;";",ROW($1:$99),1),";")),"",ROW($1:$99)+1),COLUMN(B40)),SMALL(IF(ISERROR(SEARCH(MID(";"&amp;'CASE DATA'!$F40&amp;";",ROW($1:$99),1),";")),"",ROW($1:$99)),COLUMN(B39)+1)-SMALL(IF(ISERROR(SEARCH(MID(";"&amp;'CASE DATA'!$F40&amp;";",ROW($1:$99),1),";")),"",ROW($1:$99)),COLUMN(B39))-1)</f>
        <v/>
      </c>
      <c r="Y40" s="29" t="str">
        <f t="array" ref="Y40">MID(";"&amp;'CASE DATA'!$F40&amp;";",SMALL(IF(ISERROR(SEARCH(MID(";"&amp;'CASE DATA'!$F40&amp;";",ROW($1:$99),1),";")),"",ROW($1:$99)+1),COLUMN(D40)),SMALL(IF(ISERROR(SEARCH(MID(";"&amp;'CASE DATA'!$F40&amp;";",ROW($1:$99),1),";")),"",ROW($1:$99)),COLUMN(D39)+1)-SMALL(IF(ISERROR(SEARCH(MID(";"&amp;'CASE DATA'!$F40&amp;";",ROW($1:$99),1),";")),"",ROW($1:$99)),COLUMN(D39))-1)</f>
        <v/>
      </c>
      <c r="Z40" s="29" t="str">
        <f t="array" ref="Z40">MID(";"&amp;'CASE DATA'!$F40&amp;";",SMALL(IF(ISERROR(SEARCH(MID(";"&amp;'CASE DATA'!$F40&amp;";",ROW($1:$99),1),";")),"",ROW($1:$99)+1),COLUMN(E40)),SMALL(IF(ISERROR(SEARCH(MID(";"&amp;'CASE DATA'!$F40&amp;";",ROW($1:$99),1),";")),"",ROW($1:$99)),COLUMN(E39)+1)-SMALL(IF(ISERROR(SEARCH(MID(";"&amp;'CASE DATA'!$F40&amp;";",ROW($1:$99),1),";")),"",ROW($1:$99)),COLUMN(E39))-1)</f>
        <v/>
      </c>
      <c r="AA40" s="29" t="str">
        <f t="array" ref="AA40">MID(";"&amp;'CASE DATA'!$F40&amp;";",SMALL(IF(ISERROR(SEARCH(MID(";"&amp;'CASE DATA'!$F40&amp;";",ROW($1:$99),1),";")),"",ROW($1:$99)+1),COLUMN(F40)),SMALL(IF(ISERROR(SEARCH(MID(";"&amp;'CASE DATA'!$F40&amp;";",ROW($1:$99),1),";")),"",ROW($1:$99)),COLUMN(F39)+1)-SMALL(IF(ISERROR(SEARCH(MID(";"&amp;'CASE DATA'!$F40&amp;";",ROW($1:$99),1),";")),"",ROW($1:$99)),COLUMN(F39))-1)</f>
        <v/>
      </c>
      <c r="AB40" s="29" t="str">
        <f t="array" ref="AB40">MID(";"&amp;'CASE DATA'!$F40&amp;";",SMALL(IF(ISERROR(SEARCH(MID(";"&amp;'CASE DATA'!$F40&amp;";",ROW($1:$99),1),";")),"",ROW($1:$99)+1),COLUMN(G40)),SMALL(IF(ISERROR(SEARCH(MID(";"&amp;'CASE DATA'!$F40&amp;";",ROW($1:$99),1),";")),"",ROW($1:$99)),COLUMN(G39)+1)-SMALL(IF(ISERROR(SEARCH(MID(";"&amp;'CASE DATA'!$F40&amp;";",ROW($1:$99),1),";")),"",ROW($1:$99)),COLUMN(G39))-1)</f>
        <v/>
      </c>
      <c r="AC40" s="29" t="str">
        <f t="array" ref="AC40">MID(";"&amp;'CASE DATA'!$F40&amp;";",SMALL(IF(ISERROR(SEARCH(MID(";"&amp;'CASE DATA'!$F40&amp;";",ROW($1:$99),1),";")),"",ROW($1:$99)+1),COLUMN(H40)),SMALL(IF(ISERROR(SEARCH(MID(";"&amp;'CASE DATA'!$F40&amp;";",ROW($1:$99),1),";")),"",ROW($1:$99)),COLUMN(H39)+1)-SMALL(IF(ISERROR(SEARCH(MID(";"&amp;'CASE DATA'!$F40&amp;";",ROW($1:$99),1),";")),"",ROW($1:$99)),COLUMN(H39))-1)</f>
        <v/>
      </c>
      <c r="AD40" s="29" t="str">
        <f t="array" ref="AD40">MID(";"&amp;'CASE DATA'!$F40&amp;";",SMALL(IF(ISERROR(SEARCH(MID(";"&amp;'CASE DATA'!$F40&amp;";",ROW($1:$99),1),";")),"",ROW($1:$99)+1),COLUMN(I40)),SMALL(IF(ISERROR(SEARCH(MID(";"&amp;'CASE DATA'!$F40&amp;";",ROW($1:$99),1),";")),"",ROW($1:$99)),COLUMN(I39)+1)-SMALL(IF(ISERROR(SEARCH(MID(";"&amp;'CASE DATA'!$F40&amp;";",ROW($1:$99),1),";")),"",ROW($1:$99)),COLUMN(I39))-1)</f>
        <v/>
      </c>
      <c r="AE40" s="29" t="str">
        <f t="array" ref="AE40">MID(";"&amp;'CASE DATA'!$F40&amp;";",SMALL(IF(ISERROR(SEARCH(MID(";"&amp;'CASE DATA'!$F40&amp;";",ROW($1:$99),1),";")),"",ROW($1:$99)+1),COLUMN(J40)),SMALL(IF(ISERROR(SEARCH(MID(";"&amp;'CASE DATA'!$F40&amp;";",ROW($1:$99),1),";")),"",ROW($1:$99)),COLUMN(J39)+1)-SMALL(IF(ISERROR(SEARCH(MID(";"&amp;'CASE DATA'!$F40&amp;";",ROW($1:$99),1),";")),"",ROW($1:$99)),COLUMN(J39))-1)</f>
        <v/>
      </c>
      <c r="AF40" s="29" t="str">
        <f t="array" ref="AF40">MID(";"&amp;'CASE DATA'!$F40&amp;";",SMALL(IF(ISERROR(SEARCH(MID(";"&amp;'CASE DATA'!$F40&amp;";",ROW($1:$99),1),";")),"",ROW($1:$99)+1),COLUMN(K40)),SMALL(IF(ISERROR(SEARCH(MID(";"&amp;'CASE DATA'!$F40&amp;";",ROW($1:$99),1),";")),"",ROW($1:$99)),COLUMN(K39)+1)-SMALL(IF(ISERROR(SEARCH(MID(";"&amp;'CASE DATA'!$F40&amp;";",ROW($1:$99),1),";")),"",ROW($1:$99)),COLUMN(K39))-1)</f>
        <v/>
      </c>
      <c r="AG40" s="29" t="str">
        <f t="array" ref="AG40">MID(";"&amp;'CASE DATA'!$F40&amp;";",SMALL(IF(ISERROR(SEARCH(MID(";"&amp;'CASE DATA'!$F40&amp;";",ROW($1:$99),1),";")),"",ROW($1:$99)+1),COLUMN(L40)),SMALL(IF(ISERROR(SEARCH(MID(";"&amp;'CASE DATA'!$F40&amp;";",ROW($1:$99),1),";")),"",ROW($1:$99)),COLUMN(L39)+1)-SMALL(IF(ISERROR(SEARCH(MID(";"&amp;'CASE DATA'!$F40&amp;";",ROW($1:$99),1),";")),"",ROW($1:$99)),COLUMN(L39))-1)</f>
        <v/>
      </c>
      <c r="AH40" s="29"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25"/>
      <c r="C41" s="24"/>
      <c r="D41" s="24"/>
      <c r="E41" s="25"/>
      <c r="F41" s="30"/>
      <c r="J41" s="31"/>
      <c r="K41" s="31"/>
      <c r="L41" s="31"/>
      <c r="M41" s="31"/>
      <c r="N41" s="31"/>
      <c r="O41" s="31"/>
      <c r="P41" s="31"/>
      <c r="Q41" s="31"/>
      <c r="R41" s="31"/>
      <c r="S41" s="31"/>
      <c r="T41" s="28">
        <f t="shared" si="1"/>
        <v>0</v>
      </c>
      <c r="U41" s="28"/>
      <c r="W41" s="29" t="str">
        <f t="array" ref="W41">MID(";"&amp;'CASE DATA'!$F41&amp;";",SMALL(IF(ISERROR(SEARCH(MID(";"&amp;'CASE DATA'!$F41&amp;";",ROW($1:$99),1),";")),"",ROW($1:$99)+1),COLUMN(A41)),SMALL(IF(ISERROR(SEARCH(MID(";"&amp;'CASE DATA'!$F41&amp;";",ROW($1:$99),1),";")),"",ROW($1:$99)),COLUMN(A40)+1)-SMALL(IF(ISERROR(SEARCH(MID(";"&amp;'CASE DATA'!$F41&amp;";",ROW($1:$99),1),";")),"",ROW($1:$99)),COLUMN(A40))-1)</f>
        <v/>
      </c>
      <c r="X41" s="29" t="str">
        <f t="array" ref="X41">MID(";"&amp;'CASE DATA'!$F41&amp;";",SMALL(IF(ISERROR(SEARCH(MID(";"&amp;'CASE DATA'!$F41&amp;";",ROW($1:$99),1),";")),"",ROW($1:$99)+1),COLUMN(B41)),SMALL(IF(ISERROR(SEARCH(MID(";"&amp;'CASE DATA'!$F41&amp;";",ROW($1:$99),1),";")),"",ROW($1:$99)),COLUMN(B40)+1)-SMALL(IF(ISERROR(SEARCH(MID(";"&amp;'CASE DATA'!$F41&amp;";",ROW($1:$99),1),";")),"",ROW($1:$99)),COLUMN(B40))-1)</f>
        <v/>
      </c>
      <c r="Y41" s="29" t="str">
        <f t="array" ref="Y41">MID(";"&amp;'CASE DATA'!$F41&amp;";",SMALL(IF(ISERROR(SEARCH(MID(";"&amp;'CASE DATA'!$F41&amp;";",ROW($1:$99),1),";")),"",ROW($1:$99)+1),COLUMN(D41)),SMALL(IF(ISERROR(SEARCH(MID(";"&amp;'CASE DATA'!$F41&amp;";",ROW($1:$99),1),";")),"",ROW($1:$99)),COLUMN(D40)+1)-SMALL(IF(ISERROR(SEARCH(MID(";"&amp;'CASE DATA'!$F41&amp;";",ROW($1:$99),1),";")),"",ROW($1:$99)),COLUMN(D40))-1)</f>
        <v/>
      </c>
      <c r="Z41" s="29" t="str">
        <f t="array" ref="Z41">MID(";"&amp;'CASE DATA'!$F41&amp;";",SMALL(IF(ISERROR(SEARCH(MID(";"&amp;'CASE DATA'!$F41&amp;";",ROW($1:$99),1),";")),"",ROW($1:$99)+1),COLUMN(E41)),SMALL(IF(ISERROR(SEARCH(MID(";"&amp;'CASE DATA'!$F41&amp;";",ROW($1:$99),1),";")),"",ROW($1:$99)),COLUMN(E40)+1)-SMALL(IF(ISERROR(SEARCH(MID(";"&amp;'CASE DATA'!$F41&amp;";",ROW($1:$99),1),";")),"",ROW($1:$99)),COLUMN(E40))-1)</f>
        <v/>
      </c>
      <c r="AA41" s="29" t="str">
        <f t="array" ref="AA41">MID(";"&amp;'CASE DATA'!$F41&amp;";",SMALL(IF(ISERROR(SEARCH(MID(";"&amp;'CASE DATA'!$F41&amp;";",ROW($1:$99),1),";")),"",ROW($1:$99)+1),COLUMN(F41)),SMALL(IF(ISERROR(SEARCH(MID(";"&amp;'CASE DATA'!$F41&amp;";",ROW($1:$99),1),";")),"",ROW($1:$99)),COLUMN(F40)+1)-SMALL(IF(ISERROR(SEARCH(MID(";"&amp;'CASE DATA'!$F41&amp;";",ROW($1:$99),1),";")),"",ROW($1:$99)),COLUMN(F40))-1)</f>
        <v/>
      </c>
      <c r="AB41" s="29" t="str">
        <f t="array" ref="AB41">MID(";"&amp;'CASE DATA'!$F41&amp;";",SMALL(IF(ISERROR(SEARCH(MID(";"&amp;'CASE DATA'!$F41&amp;";",ROW($1:$99),1),";")),"",ROW($1:$99)+1),COLUMN(G41)),SMALL(IF(ISERROR(SEARCH(MID(";"&amp;'CASE DATA'!$F41&amp;";",ROW($1:$99),1),";")),"",ROW($1:$99)),COLUMN(G40)+1)-SMALL(IF(ISERROR(SEARCH(MID(";"&amp;'CASE DATA'!$F41&amp;";",ROW($1:$99),1),";")),"",ROW($1:$99)),COLUMN(G40))-1)</f>
        <v/>
      </c>
      <c r="AC41" s="29" t="str">
        <f t="array" ref="AC41">MID(";"&amp;'CASE DATA'!$F41&amp;";",SMALL(IF(ISERROR(SEARCH(MID(";"&amp;'CASE DATA'!$F41&amp;";",ROW($1:$99),1),";")),"",ROW($1:$99)+1),COLUMN(H41)),SMALL(IF(ISERROR(SEARCH(MID(";"&amp;'CASE DATA'!$F41&amp;";",ROW($1:$99),1),";")),"",ROW($1:$99)),COLUMN(H40)+1)-SMALL(IF(ISERROR(SEARCH(MID(";"&amp;'CASE DATA'!$F41&amp;";",ROW($1:$99),1),";")),"",ROW($1:$99)),COLUMN(H40))-1)</f>
        <v/>
      </c>
      <c r="AD41" s="29" t="str">
        <f t="array" ref="AD41">MID(";"&amp;'CASE DATA'!$F41&amp;";",SMALL(IF(ISERROR(SEARCH(MID(";"&amp;'CASE DATA'!$F41&amp;";",ROW($1:$99),1),";")),"",ROW($1:$99)+1),COLUMN(I41)),SMALL(IF(ISERROR(SEARCH(MID(";"&amp;'CASE DATA'!$F41&amp;";",ROW($1:$99),1),";")),"",ROW($1:$99)),COLUMN(I40)+1)-SMALL(IF(ISERROR(SEARCH(MID(";"&amp;'CASE DATA'!$F41&amp;";",ROW($1:$99),1),";")),"",ROW($1:$99)),COLUMN(I40))-1)</f>
        <v/>
      </c>
      <c r="AE41" s="29" t="str">
        <f t="array" ref="AE41">MID(";"&amp;'CASE DATA'!$F41&amp;";",SMALL(IF(ISERROR(SEARCH(MID(";"&amp;'CASE DATA'!$F41&amp;";",ROW($1:$99),1),";")),"",ROW($1:$99)+1),COLUMN(J41)),SMALL(IF(ISERROR(SEARCH(MID(";"&amp;'CASE DATA'!$F41&amp;";",ROW($1:$99),1),";")),"",ROW($1:$99)),COLUMN(J40)+1)-SMALL(IF(ISERROR(SEARCH(MID(";"&amp;'CASE DATA'!$F41&amp;";",ROW($1:$99),1),";")),"",ROW($1:$99)),COLUMN(J40))-1)</f>
        <v/>
      </c>
      <c r="AF41" s="29" t="str">
        <f t="array" ref="AF41">MID(";"&amp;'CASE DATA'!$F41&amp;";",SMALL(IF(ISERROR(SEARCH(MID(";"&amp;'CASE DATA'!$F41&amp;";",ROW($1:$99),1),";")),"",ROW($1:$99)+1),COLUMN(K41)),SMALL(IF(ISERROR(SEARCH(MID(";"&amp;'CASE DATA'!$F41&amp;";",ROW($1:$99),1),";")),"",ROW($1:$99)),COLUMN(K40)+1)-SMALL(IF(ISERROR(SEARCH(MID(";"&amp;'CASE DATA'!$F41&amp;";",ROW($1:$99),1),";")),"",ROW($1:$99)),COLUMN(K40))-1)</f>
        <v/>
      </c>
      <c r="AG41" s="29" t="str">
        <f t="array" ref="AG41">MID(";"&amp;'CASE DATA'!$F41&amp;";",SMALL(IF(ISERROR(SEARCH(MID(";"&amp;'CASE DATA'!$F41&amp;";",ROW($1:$99),1),";")),"",ROW($1:$99)+1),COLUMN(L41)),SMALL(IF(ISERROR(SEARCH(MID(";"&amp;'CASE DATA'!$F41&amp;";",ROW($1:$99),1),";")),"",ROW($1:$99)),COLUMN(L40)+1)-SMALL(IF(ISERROR(SEARCH(MID(";"&amp;'CASE DATA'!$F41&amp;";",ROW($1:$99),1),";")),"",ROW($1:$99)),COLUMN(L40))-1)</f>
        <v/>
      </c>
      <c r="AH41" s="29"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25"/>
      <c r="C42" s="24"/>
      <c r="D42" s="24"/>
      <c r="E42" s="25"/>
      <c r="F42" s="30"/>
      <c r="J42" s="31"/>
      <c r="K42" s="31"/>
      <c r="L42" s="31"/>
      <c r="M42" s="31"/>
      <c r="N42" s="31"/>
      <c r="O42" s="31"/>
      <c r="P42" s="31"/>
      <c r="Q42" s="31"/>
      <c r="R42" s="31"/>
      <c r="S42" s="31"/>
      <c r="T42" s="28">
        <f t="shared" si="1"/>
        <v>0</v>
      </c>
      <c r="U42" s="28"/>
      <c r="W42" s="29" t="str">
        <f t="array" ref="W42">MID(";"&amp;'CASE DATA'!$F42&amp;";",SMALL(IF(ISERROR(SEARCH(MID(";"&amp;'CASE DATA'!$F42&amp;";",ROW($1:$99),1),";")),"",ROW($1:$99)+1),COLUMN(A42)),SMALL(IF(ISERROR(SEARCH(MID(";"&amp;'CASE DATA'!$F42&amp;";",ROW($1:$99),1),";")),"",ROW($1:$99)),COLUMN(A41)+1)-SMALL(IF(ISERROR(SEARCH(MID(";"&amp;'CASE DATA'!$F42&amp;";",ROW($1:$99),1),";")),"",ROW($1:$99)),COLUMN(A41))-1)</f>
        <v/>
      </c>
      <c r="X42" s="29" t="str">
        <f t="array" ref="X42">MID(";"&amp;'CASE DATA'!$F42&amp;";",SMALL(IF(ISERROR(SEARCH(MID(";"&amp;'CASE DATA'!$F42&amp;";",ROW($1:$99),1),";")),"",ROW($1:$99)+1),COLUMN(B42)),SMALL(IF(ISERROR(SEARCH(MID(";"&amp;'CASE DATA'!$F42&amp;";",ROW($1:$99),1),";")),"",ROW($1:$99)),COLUMN(B41)+1)-SMALL(IF(ISERROR(SEARCH(MID(";"&amp;'CASE DATA'!$F42&amp;";",ROW($1:$99),1),";")),"",ROW($1:$99)),COLUMN(B41))-1)</f>
        <v/>
      </c>
      <c r="Y42" s="29" t="str">
        <f t="array" ref="Y42">MID(";"&amp;'CASE DATA'!$F42&amp;";",SMALL(IF(ISERROR(SEARCH(MID(";"&amp;'CASE DATA'!$F42&amp;";",ROW($1:$99),1),";")),"",ROW($1:$99)+1),COLUMN(D42)),SMALL(IF(ISERROR(SEARCH(MID(";"&amp;'CASE DATA'!$F42&amp;";",ROW($1:$99),1),";")),"",ROW($1:$99)),COLUMN(D41)+1)-SMALL(IF(ISERROR(SEARCH(MID(";"&amp;'CASE DATA'!$F42&amp;";",ROW($1:$99),1),";")),"",ROW($1:$99)),COLUMN(D41))-1)</f>
        <v/>
      </c>
      <c r="Z42" s="29" t="str">
        <f t="array" ref="Z42">MID(";"&amp;'CASE DATA'!$F42&amp;";",SMALL(IF(ISERROR(SEARCH(MID(";"&amp;'CASE DATA'!$F42&amp;";",ROW($1:$99),1),";")),"",ROW($1:$99)+1),COLUMN(E42)),SMALL(IF(ISERROR(SEARCH(MID(";"&amp;'CASE DATA'!$F42&amp;";",ROW($1:$99),1),";")),"",ROW($1:$99)),COLUMN(E41)+1)-SMALL(IF(ISERROR(SEARCH(MID(";"&amp;'CASE DATA'!$F42&amp;";",ROW($1:$99),1),";")),"",ROW($1:$99)),COLUMN(E41))-1)</f>
        <v/>
      </c>
      <c r="AA42" s="29" t="str">
        <f t="array" ref="AA42">MID(";"&amp;'CASE DATA'!$F42&amp;";",SMALL(IF(ISERROR(SEARCH(MID(";"&amp;'CASE DATA'!$F42&amp;";",ROW($1:$99),1),";")),"",ROW($1:$99)+1),COLUMN(F42)),SMALL(IF(ISERROR(SEARCH(MID(";"&amp;'CASE DATA'!$F42&amp;";",ROW($1:$99),1),";")),"",ROW($1:$99)),COLUMN(F41)+1)-SMALL(IF(ISERROR(SEARCH(MID(";"&amp;'CASE DATA'!$F42&amp;";",ROW($1:$99),1),";")),"",ROW($1:$99)),COLUMN(F41))-1)</f>
        <v/>
      </c>
      <c r="AB42" s="29" t="str">
        <f t="array" ref="AB42">MID(";"&amp;'CASE DATA'!$F42&amp;";",SMALL(IF(ISERROR(SEARCH(MID(";"&amp;'CASE DATA'!$F42&amp;";",ROW($1:$99),1),";")),"",ROW($1:$99)+1),COLUMN(G42)),SMALL(IF(ISERROR(SEARCH(MID(";"&amp;'CASE DATA'!$F42&amp;";",ROW($1:$99),1),";")),"",ROW($1:$99)),COLUMN(G41)+1)-SMALL(IF(ISERROR(SEARCH(MID(";"&amp;'CASE DATA'!$F42&amp;";",ROW($1:$99),1),";")),"",ROW($1:$99)),COLUMN(G41))-1)</f>
        <v/>
      </c>
      <c r="AC42" s="29" t="str">
        <f t="array" ref="AC42">MID(";"&amp;'CASE DATA'!$F42&amp;";",SMALL(IF(ISERROR(SEARCH(MID(";"&amp;'CASE DATA'!$F42&amp;";",ROW($1:$99),1),";")),"",ROW($1:$99)+1),COLUMN(H42)),SMALL(IF(ISERROR(SEARCH(MID(";"&amp;'CASE DATA'!$F42&amp;";",ROW($1:$99),1),";")),"",ROW($1:$99)),COLUMN(H41)+1)-SMALL(IF(ISERROR(SEARCH(MID(";"&amp;'CASE DATA'!$F42&amp;";",ROW($1:$99),1),";")),"",ROW($1:$99)),COLUMN(H41))-1)</f>
        <v/>
      </c>
      <c r="AD42" s="29" t="str">
        <f t="array" ref="AD42">MID(";"&amp;'CASE DATA'!$F42&amp;";",SMALL(IF(ISERROR(SEARCH(MID(";"&amp;'CASE DATA'!$F42&amp;";",ROW($1:$99),1),";")),"",ROW($1:$99)+1),COLUMN(I42)),SMALL(IF(ISERROR(SEARCH(MID(";"&amp;'CASE DATA'!$F42&amp;";",ROW($1:$99),1),";")),"",ROW($1:$99)),COLUMN(I41)+1)-SMALL(IF(ISERROR(SEARCH(MID(";"&amp;'CASE DATA'!$F42&amp;";",ROW($1:$99),1),";")),"",ROW($1:$99)),COLUMN(I41))-1)</f>
        <v/>
      </c>
      <c r="AE42" s="29" t="str">
        <f t="array" ref="AE42">MID(";"&amp;'CASE DATA'!$F42&amp;";",SMALL(IF(ISERROR(SEARCH(MID(";"&amp;'CASE DATA'!$F42&amp;";",ROW($1:$99),1),";")),"",ROW($1:$99)+1),COLUMN(J42)),SMALL(IF(ISERROR(SEARCH(MID(";"&amp;'CASE DATA'!$F42&amp;";",ROW($1:$99),1),";")),"",ROW($1:$99)),COLUMN(J41)+1)-SMALL(IF(ISERROR(SEARCH(MID(";"&amp;'CASE DATA'!$F42&amp;";",ROW($1:$99),1),";")),"",ROW($1:$99)),COLUMN(J41))-1)</f>
        <v/>
      </c>
      <c r="AF42" s="29" t="str">
        <f t="array" ref="AF42">MID(";"&amp;'CASE DATA'!$F42&amp;";",SMALL(IF(ISERROR(SEARCH(MID(";"&amp;'CASE DATA'!$F42&amp;";",ROW($1:$99),1),";")),"",ROW($1:$99)+1),COLUMN(K42)),SMALL(IF(ISERROR(SEARCH(MID(";"&amp;'CASE DATA'!$F42&amp;";",ROW($1:$99),1),";")),"",ROW($1:$99)),COLUMN(K41)+1)-SMALL(IF(ISERROR(SEARCH(MID(";"&amp;'CASE DATA'!$F42&amp;";",ROW($1:$99),1),";")),"",ROW($1:$99)),COLUMN(K41))-1)</f>
        <v/>
      </c>
      <c r="AG42" s="29" t="str">
        <f t="array" ref="AG42">MID(";"&amp;'CASE DATA'!$F42&amp;";",SMALL(IF(ISERROR(SEARCH(MID(";"&amp;'CASE DATA'!$F42&amp;";",ROW($1:$99),1),";")),"",ROW($1:$99)+1),COLUMN(L42)),SMALL(IF(ISERROR(SEARCH(MID(";"&amp;'CASE DATA'!$F42&amp;";",ROW($1:$99),1),";")),"",ROW($1:$99)),COLUMN(L41)+1)-SMALL(IF(ISERROR(SEARCH(MID(";"&amp;'CASE DATA'!$F42&amp;";",ROW($1:$99),1),";")),"",ROW($1:$99)),COLUMN(L41))-1)</f>
        <v/>
      </c>
      <c r="AH42" s="29"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25"/>
      <c r="C43" s="24"/>
      <c r="D43" s="24"/>
      <c r="E43" s="25"/>
      <c r="F43" s="30"/>
      <c r="J43" s="31"/>
      <c r="K43" s="31"/>
      <c r="L43" s="31"/>
      <c r="M43" s="31"/>
      <c r="N43" s="31"/>
      <c r="O43" s="31"/>
      <c r="P43" s="31"/>
      <c r="Q43" s="31"/>
      <c r="R43" s="31"/>
      <c r="S43" s="31"/>
      <c r="T43" s="28">
        <f t="shared" si="1"/>
        <v>0</v>
      </c>
      <c r="U43" s="28"/>
      <c r="W43" s="29" t="str">
        <f t="array" ref="W43">MID(";"&amp;'CASE DATA'!$F43&amp;";",SMALL(IF(ISERROR(SEARCH(MID(";"&amp;'CASE DATA'!$F43&amp;";",ROW($1:$99),1),";")),"",ROW($1:$99)+1),COLUMN(A43)),SMALL(IF(ISERROR(SEARCH(MID(";"&amp;'CASE DATA'!$F43&amp;";",ROW($1:$99),1),";")),"",ROW($1:$99)),COLUMN(A42)+1)-SMALL(IF(ISERROR(SEARCH(MID(";"&amp;'CASE DATA'!$F43&amp;";",ROW($1:$99),1),";")),"",ROW($1:$99)),COLUMN(A42))-1)</f>
        <v/>
      </c>
      <c r="X43" s="29" t="str">
        <f t="array" ref="X43">MID(";"&amp;'CASE DATA'!$F43&amp;";",SMALL(IF(ISERROR(SEARCH(MID(";"&amp;'CASE DATA'!$F43&amp;";",ROW($1:$99),1),";")),"",ROW($1:$99)+1),COLUMN(B43)),SMALL(IF(ISERROR(SEARCH(MID(";"&amp;'CASE DATA'!$F43&amp;";",ROW($1:$99),1),";")),"",ROW($1:$99)),COLUMN(B42)+1)-SMALL(IF(ISERROR(SEARCH(MID(";"&amp;'CASE DATA'!$F43&amp;";",ROW($1:$99),1),";")),"",ROW($1:$99)),COLUMN(B42))-1)</f>
        <v/>
      </c>
      <c r="Y43" s="29" t="str">
        <f t="array" ref="Y43">MID(";"&amp;'CASE DATA'!$F43&amp;";",SMALL(IF(ISERROR(SEARCH(MID(";"&amp;'CASE DATA'!$F43&amp;";",ROW($1:$99),1),";")),"",ROW($1:$99)+1),COLUMN(D43)),SMALL(IF(ISERROR(SEARCH(MID(";"&amp;'CASE DATA'!$F43&amp;";",ROW($1:$99),1),";")),"",ROW($1:$99)),COLUMN(D42)+1)-SMALL(IF(ISERROR(SEARCH(MID(";"&amp;'CASE DATA'!$F43&amp;";",ROW($1:$99),1),";")),"",ROW($1:$99)),COLUMN(D42))-1)</f>
        <v/>
      </c>
      <c r="Z43" s="29" t="str">
        <f t="array" ref="Z43">MID(";"&amp;'CASE DATA'!$F43&amp;";",SMALL(IF(ISERROR(SEARCH(MID(";"&amp;'CASE DATA'!$F43&amp;";",ROW($1:$99),1),";")),"",ROW($1:$99)+1),COLUMN(E43)),SMALL(IF(ISERROR(SEARCH(MID(";"&amp;'CASE DATA'!$F43&amp;";",ROW($1:$99),1),";")),"",ROW($1:$99)),COLUMN(E42)+1)-SMALL(IF(ISERROR(SEARCH(MID(";"&amp;'CASE DATA'!$F43&amp;";",ROW($1:$99),1),";")),"",ROW($1:$99)),COLUMN(E42))-1)</f>
        <v/>
      </c>
      <c r="AA43" s="29" t="str">
        <f t="array" ref="AA43">MID(";"&amp;'CASE DATA'!$F43&amp;";",SMALL(IF(ISERROR(SEARCH(MID(";"&amp;'CASE DATA'!$F43&amp;";",ROW($1:$99),1),";")),"",ROW($1:$99)+1),COLUMN(F43)),SMALL(IF(ISERROR(SEARCH(MID(";"&amp;'CASE DATA'!$F43&amp;";",ROW($1:$99),1),";")),"",ROW($1:$99)),COLUMN(F42)+1)-SMALL(IF(ISERROR(SEARCH(MID(";"&amp;'CASE DATA'!$F43&amp;";",ROW($1:$99),1),";")),"",ROW($1:$99)),COLUMN(F42))-1)</f>
        <v/>
      </c>
      <c r="AB43" s="29" t="str">
        <f t="array" ref="AB43">MID(";"&amp;'CASE DATA'!$F43&amp;";",SMALL(IF(ISERROR(SEARCH(MID(";"&amp;'CASE DATA'!$F43&amp;";",ROW($1:$99),1),";")),"",ROW($1:$99)+1),COLUMN(G43)),SMALL(IF(ISERROR(SEARCH(MID(";"&amp;'CASE DATA'!$F43&amp;";",ROW($1:$99),1),";")),"",ROW($1:$99)),COLUMN(G42)+1)-SMALL(IF(ISERROR(SEARCH(MID(";"&amp;'CASE DATA'!$F43&amp;";",ROW($1:$99),1),";")),"",ROW($1:$99)),COLUMN(G42))-1)</f>
        <v/>
      </c>
      <c r="AC43" s="29" t="str">
        <f t="array" ref="AC43">MID(";"&amp;'CASE DATA'!$F43&amp;";",SMALL(IF(ISERROR(SEARCH(MID(";"&amp;'CASE DATA'!$F43&amp;";",ROW($1:$99),1),";")),"",ROW($1:$99)+1),COLUMN(H43)),SMALL(IF(ISERROR(SEARCH(MID(";"&amp;'CASE DATA'!$F43&amp;";",ROW($1:$99),1),";")),"",ROW($1:$99)),COLUMN(H42)+1)-SMALL(IF(ISERROR(SEARCH(MID(";"&amp;'CASE DATA'!$F43&amp;";",ROW($1:$99),1),";")),"",ROW($1:$99)),COLUMN(H42))-1)</f>
        <v/>
      </c>
      <c r="AD43" s="29" t="str">
        <f t="array" ref="AD43">MID(";"&amp;'CASE DATA'!$F43&amp;";",SMALL(IF(ISERROR(SEARCH(MID(";"&amp;'CASE DATA'!$F43&amp;";",ROW($1:$99),1),";")),"",ROW($1:$99)+1),COLUMN(I43)),SMALL(IF(ISERROR(SEARCH(MID(";"&amp;'CASE DATA'!$F43&amp;";",ROW($1:$99),1),";")),"",ROW($1:$99)),COLUMN(I42)+1)-SMALL(IF(ISERROR(SEARCH(MID(";"&amp;'CASE DATA'!$F43&amp;";",ROW($1:$99),1),";")),"",ROW($1:$99)),COLUMN(I42))-1)</f>
        <v/>
      </c>
      <c r="AE43" s="29" t="str">
        <f t="array" ref="AE43">MID(";"&amp;'CASE DATA'!$F43&amp;";",SMALL(IF(ISERROR(SEARCH(MID(";"&amp;'CASE DATA'!$F43&amp;";",ROW($1:$99),1),";")),"",ROW($1:$99)+1),COLUMN(J43)),SMALL(IF(ISERROR(SEARCH(MID(";"&amp;'CASE DATA'!$F43&amp;";",ROW($1:$99),1),";")),"",ROW($1:$99)),COLUMN(J42)+1)-SMALL(IF(ISERROR(SEARCH(MID(";"&amp;'CASE DATA'!$F43&amp;";",ROW($1:$99),1),";")),"",ROW($1:$99)),COLUMN(J42))-1)</f>
        <v/>
      </c>
      <c r="AF43" s="29" t="str">
        <f t="array" ref="AF43">MID(";"&amp;'CASE DATA'!$F43&amp;";",SMALL(IF(ISERROR(SEARCH(MID(";"&amp;'CASE DATA'!$F43&amp;";",ROW($1:$99),1),";")),"",ROW($1:$99)+1),COLUMN(K43)),SMALL(IF(ISERROR(SEARCH(MID(";"&amp;'CASE DATA'!$F43&amp;";",ROW($1:$99),1),";")),"",ROW($1:$99)),COLUMN(K42)+1)-SMALL(IF(ISERROR(SEARCH(MID(";"&amp;'CASE DATA'!$F43&amp;";",ROW($1:$99),1),";")),"",ROW($1:$99)),COLUMN(K42))-1)</f>
        <v/>
      </c>
      <c r="AG43" s="29" t="str">
        <f t="array" ref="AG43">MID(";"&amp;'CASE DATA'!$F43&amp;";",SMALL(IF(ISERROR(SEARCH(MID(";"&amp;'CASE DATA'!$F43&amp;";",ROW($1:$99),1),";")),"",ROW($1:$99)+1),COLUMN(L43)),SMALL(IF(ISERROR(SEARCH(MID(";"&amp;'CASE DATA'!$F43&amp;";",ROW($1:$99),1),";")),"",ROW($1:$99)),COLUMN(L42)+1)-SMALL(IF(ISERROR(SEARCH(MID(";"&amp;'CASE DATA'!$F43&amp;";",ROW($1:$99),1),";")),"",ROW($1:$99)),COLUMN(L42))-1)</f>
        <v/>
      </c>
      <c r="AH43" s="29"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25"/>
      <c r="C44" s="24"/>
      <c r="D44" s="24"/>
      <c r="E44" s="25"/>
      <c r="F44" s="30"/>
      <c r="J44" s="31"/>
      <c r="K44" s="31"/>
      <c r="L44" s="31"/>
      <c r="M44" s="31"/>
      <c r="N44" s="31"/>
      <c r="O44" s="31"/>
      <c r="P44" s="31"/>
      <c r="Q44" s="31"/>
      <c r="R44" s="31"/>
      <c r="S44" s="31"/>
      <c r="T44" s="28">
        <f t="shared" si="1"/>
        <v>0</v>
      </c>
      <c r="U44" s="28"/>
      <c r="W44" s="29" t="str">
        <f t="array" ref="W44">MID(";"&amp;'CASE DATA'!$F44&amp;";",SMALL(IF(ISERROR(SEARCH(MID(";"&amp;'CASE DATA'!$F44&amp;";",ROW($1:$99),1),";")),"",ROW($1:$99)+1),COLUMN(A44)),SMALL(IF(ISERROR(SEARCH(MID(";"&amp;'CASE DATA'!$F44&amp;";",ROW($1:$99),1),";")),"",ROW($1:$99)),COLUMN(A43)+1)-SMALL(IF(ISERROR(SEARCH(MID(";"&amp;'CASE DATA'!$F44&amp;";",ROW($1:$99),1),";")),"",ROW($1:$99)),COLUMN(A43))-1)</f>
        <v/>
      </c>
      <c r="X44" s="29" t="str">
        <f t="array" ref="X44">MID(";"&amp;'CASE DATA'!$F44&amp;";",SMALL(IF(ISERROR(SEARCH(MID(";"&amp;'CASE DATA'!$F44&amp;";",ROW($1:$99),1),";")),"",ROW($1:$99)+1),COLUMN(B44)),SMALL(IF(ISERROR(SEARCH(MID(";"&amp;'CASE DATA'!$F44&amp;";",ROW($1:$99),1),";")),"",ROW($1:$99)),COLUMN(B43)+1)-SMALL(IF(ISERROR(SEARCH(MID(";"&amp;'CASE DATA'!$F44&amp;";",ROW($1:$99),1),";")),"",ROW($1:$99)),COLUMN(B43))-1)</f>
        <v/>
      </c>
      <c r="Y44" s="29" t="str">
        <f t="array" ref="Y44">MID(";"&amp;'CASE DATA'!$F44&amp;";",SMALL(IF(ISERROR(SEARCH(MID(";"&amp;'CASE DATA'!$F44&amp;";",ROW($1:$99),1),";")),"",ROW($1:$99)+1),COLUMN(D44)),SMALL(IF(ISERROR(SEARCH(MID(";"&amp;'CASE DATA'!$F44&amp;";",ROW($1:$99),1),";")),"",ROW($1:$99)),COLUMN(D43)+1)-SMALL(IF(ISERROR(SEARCH(MID(";"&amp;'CASE DATA'!$F44&amp;";",ROW($1:$99),1),";")),"",ROW($1:$99)),COLUMN(D43))-1)</f>
        <v/>
      </c>
      <c r="Z44" s="29" t="str">
        <f t="array" ref="Z44">MID(";"&amp;'CASE DATA'!$F44&amp;";",SMALL(IF(ISERROR(SEARCH(MID(";"&amp;'CASE DATA'!$F44&amp;";",ROW($1:$99),1),";")),"",ROW($1:$99)+1),COLUMN(E44)),SMALL(IF(ISERROR(SEARCH(MID(";"&amp;'CASE DATA'!$F44&amp;";",ROW($1:$99),1),";")),"",ROW($1:$99)),COLUMN(E43)+1)-SMALL(IF(ISERROR(SEARCH(MID(";"&amp;'CASE DATA'!$F44&amp;";",ROW($1:$99),1),";")),"",ROW($1:$99)),COLUMN(E43))-1)</f>
        <v/>
      </c>
      <c r="AA44" s="29" t="str">
        <f t="array" ref="AA44">MID(";"&amp;'CASE DATA'!$F44&amp;";",SMALL(IF(ISERROR(SEARCH(MID(";"&amp;'CASE DATA'!$F44&amp;";",ROW($1:$99),1),";")),"",ROW($1:$99)+1),COLUMN(F44)),SMALL(IF(ISERROR(SEARCH(MID(";"&amp;'CASE DATA'!$F44&amp;";",ROW($1:$99),1),";")),"",ROW($1:$99)),COLUMN(F43)+1)-SMALL(IF(ISERROR(SEARCH(MID(";"&amp;'CASE DATA'!$F44&amp;";",ROW($1:$99),1),";")),"",ROW($1:$99)),COLUMN(F43))-1)</f>
        <v/>
      </c>
      <c r="AB44" s="29" t="str">
        <f t="array" ref="AB44">MID(";"&amp;'CASE DATA'!$F44&amp;";",SMALL(IF(ISERROR(SEARCH(MID(";"&amp;'CASE DATA'!$F44&amp;";",ROW($1:$99),1),";")),"",ROW($1:$99)+1),COLUMN(G44)),SMALL(IF(ISERROR(SEARCH(MID(";"&amp;'CASE DATA'!$F44&amp;";",ROW($1:$99),1),";")),"",ROW($1:$99)),COLUMN(G43)+1)-SMALL(IF(ISERROR(SEARCH(MID(";"&amp;'CASE DATA'!$F44&amp;";",ROW($1:$99),1),";")),"",ROW($1:$99)),COLUMN(G43))-1)</f>
        <v/>
      </c>
      <c r="AC44" s="29" t="str">
        <f t="array" ref="AC44">MID(";"&amp;'CASE DATA'!$F44&amp;";",SMALL(IF(ISERROR(SEARCH(MID(";"&amp;'CASE DATA'!$F44&amp;";",ROW($1:$99),1),";")),"",ROW($1:$99)+1),COLUMN(H44)),SMALL(IF(ISERROR(SEARCH(MID(";"&amp;'CASE DATA'!$F44&amp;";",ROW($1:$99),1),";")),"",ROW($1:$99)),COLUMN(H43)+1)-SMALL(IF(ISERROR(SEARCH(MID(";"&amp;'CASE DATA'!$F44&amp;";",ROW($1:$99),1),";")),"",ROW($1:$99)),COLUMN(H43))-1)</f>
        <v/>
      </c>
      <c r="AD44" s="29" t="str">
        <f t="array" ref="AD44">MID(";"&amp;'CASE DATA'!$F44&amp;";",SMALL(IF(ISERROR(SEARCH(MID(";"&amp;'CASE DATA'!$F44&amp;";",ROW($1:$99),1),";")),"",ROW($1:$99)+1),COLUMN(I44)),SMALL(IF(ISERROR(SEARCH(MID(";"&amp;'CASE DATA'!$F44&amp;";",ROW($1:$99),1),";")),"",ROW($1:$99)),COLUMN(I43)+1)-SMALL(IF(ISERROR(SEARCH(MID(";"&amp;'CASE DATA'!$F44&amp;";",ROW($1:$99),1),";")),"",ROW($1:$99)),COLUMN(I43))-1)</f>
        <v/>
      </c>
      <c r="AE44" s="29" t="str">
        <f t="array" ref="AE44">MID(";"&amp;'CASE DATA'!$F44&amp;";",SMALL(IF(ISERROR(SEARCH(MID(";"&amp;'CASE DATA'!$F44&amp;";",ROW($1:$99),1),";")),"",ROW($1:$99)+1),COLUMN(J44)),SMALL(IF(ISERROR(SEARCH(MID(";"&amp;'CASE DATA'!$F44&amp;";",ROW($1:$99),1),";")),"",ROW($1:$99)),COLUMN(J43)+1)-SMALL(IF(ISERROR(SEARCH(MID(";"&amp;'CASE DATA'!$F44&amp;";",ROW($1:$99),1),";")),"",ROW($1:$99)),COLUMN(J43))-1)</f>
        <v/>
      </c>
      <c r="AF44" s="29" t="str">
        <f t="array" ref="AF44">MID(";"&amp;'CASE DATA'!$F44&amp;";",SMALL(IF(ISERROR(SEARCH(MID(";"&amp;'CASE DATA'!$F44&amp;";",ROW($1:$99),1),";")),"",ROW($1:$99)+1),COLUMN(K44)),SMALL(IF(ISERROR(SEARCH(MID(";"&amp;'CASE DATA'!$F44&amp;";",ROW($1:$99),1),";")),"",ROW($1:$99)),COLUMN(K43)+1)-SMALL(IF(ISERROR(SEARCH(MID(";"&amp;'CASE DATA'!$F44&amp;";",ROW($1:$99),1),";")),"",ROW($1:$99)),COLUMN(K43))-1)</f>
        <v/>
      </c>
      <c r="AG44" s="29" t="str">
        <f t="array" ref="AG44">MID(";"&amp;'CASE DATA'!$F44&amp;";",SMALL(IF(ISERROR(SEARCH(MID(";"&amp;'CASE DATA'!$F44&amp;";",ROW($1:$99),1),";")),"",ROW($1:$99)+1),COLUMN(L44)),SMALL(IF(ISERROR(SEARCH(MID(";"&amp;'CASE DATA'!$F44&amp;";",ROW($1:$99),1),";")),"",ROW($1:$99)),COLUMN(L43)+1)-SMALL(IF(ISERROR(SEARCH(MID(";"&amp;'CASE DATA'!$F44&amp;";",ROW($1:$99),1),";")),"",ROW($1:$99)),COLUMN(L43))-1)</f>
        <v/>
      </c>
      <c r="AH44" s="29"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25"/>
      <c r="C45" s="24"/>
      <c r="D45" s="24"/>
      <c r="E45" s="25"/>
      <c r="F45" s="30"/>
      <c r="J45" s="31"/>
      <c r="K45" s="31"/>
      <c r="L45" s="31"/>
      <c r="M45" s="31"/>
      <c r="N45" s="31"/>
      <c r="O45" s="31"/>
      <c r="P45" s="31"/>
      <c r="Q45" s="31"/>
      <c r="R45" s="31"/>
      <c r="S45" s="31"/>
      <c r="T45" s="28">
        <f t="shared" si="1"/>
        <v>0</v>
      </c>
      <c r="U45" s="28"/>
      <c r="W45" s="29" t="str">
        <f t="array" ref="W45">MID(";"&amp;'CASE DATA'!$F45&amp;";",SMALL(IF(ISERROR(SEARCH(MID(";"&amp;'CASE DATA'!$F45&amp;";",ROW($1:$99),1),";")),"",ROW($1:$99)+1),COLUMN(A45)),SMALL(IF(ISERROR(SEARCH(MID(";"&amp;'CASE DATA'!$F45&amp;";",ROW($1:$99),1),";")),"",ROW($1:$99)),COLUMN(A44)+1)-SMALL(IF(ISERROR(SEARCH(MID(";"&amp;'CASE DATA'!$F45&amp;";",ROW($1:$99),1),";")),"",ROW($1:$99)),COLUMN(A44))-1)</f>
        <v/>
      </c>
      <c r="X45" s="29" t="str">
        <f t="array" ref="X45">MID(";"&amp;'CASE DATA'!$F45&amp;";",SMALL(IF(ISERROR(SEARCH(MID(";"&amp;'CASE DATA'!$F45&amp;";",ROW($1:$99),1),";")),"",ROW($1:$99)+1),COLUMN(B45)),SMALL(IF(ISERROR(SEARCH(MID(";"&amp;'CASE DATA'!$F45&amp;";",ROW($1:$99),1),";")),"",ROW($1:$99)),COLUMN(B44)+1)-SMALL(IF(ISERROR(SEARCH(MID(";"&amp;'CASE DATA'!$F45&amp;";",ROW($1:$99),1),";")),"",ROW($1:$99)),COLUMN(B44))-1)</f>
        <v/>
      </c>
      <c r="Y45" s="29" t="str">
        <f t="array" ref="Y45">MID(";"&amp;'CASE DATA'!$F45&amp;";",SMALL(IF(ISERROR(SEARCH(MID(";"&amp;'CASE DATA'!$F45&amp;";",ROW($1:$99),1),";")),"",ROW($1:$99)+1),COLUMN(D45)),SMALL(IF(ISERROR(SEARCH(MID(";"&amp;'CASE DATA'!$F45&amp;";",ROW($1:$99),1),";")),"",ROW($1:$99)),COLUMN(D44)+1)-SMALL(IF(ISERROR(SEARCH(MID(";"&amp;'CASE DATA'!$F45&amp;";",ROW($1:$99),1),";")),"",ROW($1:$99)),COLUMN(D44))-1)</f>
        <v/>
      </c>
      <c r="Z45" s="29" t="str">
        <f t="array" ref="Z45">MID(";"&amp;'CASE DATA'!$F45&amp;";",SMALL(IF(ISERROR(SEARCH(MID(";"&amp;'CASE DATA'!$F45&amp;";",ROW($1:$99),1),";")),"",ROW($1:$99)+1),COLUMN(E45)),SMALL(IF(ISERROR(SEARCH(MID(";"&amp;'CASE DATA'!$F45&amp;";",ROW($1:$99),1),";")),"",ROW($1:$99)),COLUMN(E44)+1)-SMALL(IF(ISERROR(SEARCH(MID(";"&amp;'CASE DATA'!$F45&amp;";",ROW($1:$99),1),";")),"",ROW($1:$99)),COLUMN(E44))-1)</f>
        <v/>
      </c>
      <c r="AA45" s="29" t="str">
        <f t="array" ref="AA45">MID(";"&amp;'CASE DATA'!$F45&amp;";",SMALL(IF(ISERROR(SEARCH(MID(";"&amp;'CASE DATA'!$F45&amp;";",ROW($1:$99),1),";")),"",ROW($1:$99)+1),COLUMN(F45)),SMALL(IF(ISERROR(SEARCH(MID(";"&amp;'CASE DATA'!$F45&amp;";",ROW($1:$99),1),";")),"",ROW($1:$99)),COLUMN(F44)+1)-SMALL(IF(ISERROR(SEARCH(MID(";"&amp;'CASE DATA'!$F45&amp;";",ROW($1:$99),1),";")),"",ROW($1:$99)),COLUMN(F44))-1)</f>
        <v/>
      </c>
      <c r="AB45" s="29" t="str">
        <f t="array" ref="AB45">MID(";"&amp;'CASE DATA'!$F45&amp;";",SMALL(IF(ISERROR(SEARCH(MID(";"&amp;'CASE DATA'!$F45&amp;";",ROW($1:$99),1),";")),"",ROW($1:$99)+1),COLUMN(G45)),SMALL(IF(ISERROR(SEARCH(MID(";"&amp;'CASE DATA'!$F45&amp;";",ROW($1:$99),1),";")),"",ROW($1:$99)),COLUMN(G44)+1)-SMALL(IF(ISERROR(SEARCH(MID(";"&amp;'CASE DATA'!$F45&amp;";",ROW($1:$99),1),";")),"",ROW($1:$99)),COLUMN(G44))-1)</f>
        <v/>
      </c>
      <c r="AC45" s="29" t="str">
        <f t="array" ref="AC45">MID(";"&amp;'CASE DATA'!$F45&amp;";",SMALL(IF(ISERROR(SEARCH(MID(";"&amp;'CASE DATA'!$F45&amp;";",ROW($1:$99),1),";")),"",ROW($1:$99)+1),COLUMN(H45)),SMALL(IF(ISERROR(SEARCH(MID(";"&amp;'CASE DATA'!$F45&amp;";",ROW($1:$99),1),";")),"",ROW($1:$99)),COLUMN(H44)+1)-SMALL(IF(ISERROR(SEARCH(MID(";"&amp;'CASE DATA'!$F45&amp;";",ROW($1:$99),1),";")),"",ROW($1:$99)),COLUMN(H44))-1)</f>
        <v/>
      </c>
      <c r="AD45" s="29" t="str">
        <f t="array" ref="AD45">MID(";"&amp;'CASE DATA'!$F45&amp;";",SMALL(IF(ISERROR(SEARCH(MID(";"&amp;'CASE DATA'!$F45&amp;";",ROW($1:$99),1),";")),"",ROW($1:$99)+1),COLUMN(I45)),SMALL(IF(ISERROR(SEARCH(MID(";"&amp;'CASE DATA'!$F45&amp;";",ROW($1:$99),1),";")),"",ROW($1:$99)),COLUMN(I44)+1)-SMALL(IF(ISERROR(SEARCH(MID(";"&amp;'CASE DATA'!$F45&amp;";",ROW($1:$99),1),";")),"",ROW($1:$99)),COLUMN(I44))-1)</f>
        <v/>
      </c>
      <c r="AE45" s="29" t="str">
        <f t="array" ref="AE45">MID(";"&amp;'CASE DATA'!$F45&amp;";",SMALL(IF(ISERROR(SEARCH(MID(";"&amp;'CASE DATA'!$F45&amp;";",ROW($1:$99),1),";")),"",ROW($1:$99)+1),COLUMN(J45)),SMALL(IF(ISERROR(SEARCH(MID(";"&amp;'CASE DATA'!$F45&amp;";",ROW($1:$99),1),";")),"",ROW($1:$99)),COLUMN(J44)+1)-SMALL(IF(ISERROR(SEARCH(MID(";"&amp;'CASE DATA'!$F45&amp;";",ROW($1:$99),1),";")),"",ROW($1:$99)),COLUMN(J44))-1)</f>
        <v/>
      </c>
      <c r="AF45" s="29" t="str">
        <f t="array" ref="AF45">MID(";"&amp;'CASE DATA'!$F45&amp;";",SMALL(IF(ISERROR(SEARCH(MID(";"&amp;'CASE DATA'!$F45&amp;";",ROW($1:$99),1),";")),"",ROW($1:$99)+1),COLUMN(K45)),SMALL(IF(ISERROR(SEARCH(MID(";"&amp;'CASE DATA'!$F45&amp;";",ROW($1:$99),1),";")),"",ROW($1:$99)),COLUMN(K44)+1)-SMALL(IF(ISERROR(SEARCH(MID(";"&amp;'CASE DATA'!$F45&amp;";",ROW($1:$99),1),";")),"",ROW($1:$99)),COLUMN(K44))-1)</f>
        <v/>
      </c>
      <c r="AG45" s="29" t="str">
        <f t="array" ref="AG45">MID(";"&amp;'CASE DATA'!$F45&amp;";",SMALL(IF(ISERROR(SEARCH(MID(";"&amp;'CASE DATA'!$F45&amp;";",ROW($1:$99),1),";")),"",ROW($1:$99)+1),COLUMN(L45)),SMALL(IF(ISERROR(SEARCH(MID(";"&amp;'CASE DATA'!$F45&amp;";",ROW($1:$99),1),";")),"",ROW($1:$99)),COLUMN(L44)+1)-SMALL(IF(ISERROR(SEARCH(MID(";"&amp;'CASE DATA'!$F45&amp;";",ROW($1:$99),1),";")),"",ROW($1:$99)),COLUMN(L44))-1)</f>
        <v/>
      </c>
      <c r="AH45" s="29"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25"/>
      <c r="C46" s="24"/>
      <c r="D46" s="24"/>
      <c r="E46" s="25"/>
      <c r="F46" s="30"/>
      <c r="J46" s="31"/>
      <c r="K46" s="31"/>
      <c r="L46" s="31"/>
      <c r="M46" s="31"/>
      <c r="N46" s="31"/>
      <c r="O46" s="31"/>
      <c r="P46" s="31"/>
      <c r="Q46" s="31"/>
      <c r="R46" s="31"/>
      <c r="S46" s="31"/>
      <c r="T46" s="28">
        <f t="shared" si="1"/>
        <v>0</v>
      </c>
      <c r="U46" s="28"/>
      <c r="W46" s="29" t="str">
        <f t="array" ref="W46">MID(";"&amp;'CASE DATA'!$F46&amp;";",SMALL(IF(ISERROR(SEARCH(MID(";"&amp;'CASE DATA'!$F46&amp;";",ROW($1:$99),1),";")),"",ROW($1:$99)+1),COLUMN(A46)),SMALL(IF(ISERROR(SEARCH(MID(";"&amp;'CASE DATA'!$F46&amp;";",ROW($1:$99),1),";")),"",ROW($1:$99)),COLUMN(A45)+1)-SMALL(IF(ISERROR(SEARCH(MID(";"&amp;'CASE DATA'!$F46&amp;";",ROW($1:$99),1),";")),"",ROW($1:$99)),COLUMN(A45))-1)</f>
        <v/>
      </c>
      <c r="X46" s="29" t="str">
        <f t="array" ref="X46">MID(";"&amp;'CASE DATA'!$F46&amp;";",SMALL(IF(ISERROR(SEARCH(MID(";"&amp;'CASE DATA'!$F46&amp;";",ROW($1:$99),1),";")),"",ROW($1:$99)+1),COLUMN(B46)),SMALL(IF(ISERROR(SEARCH(MID(";"&amp;'CASE DATA'!$F46&amp;";",ROW($1:$99),1),";")),"",ROW($1:$99)),COLUMN(B45)+1)-SMALL(IF(ISERROR(SEARCH(MID(";"&amp;'CASE DATA'!$F46&amp;";",ROW($1:$99),1),";")),"",ROW($1:$99)),COLUMN(B45))-1)</f>
        <v/>
      </c>
      <c r="Y46" s="29" t="str">
        <f t="array" ref="Y46">MID(";"&amp;'CASE DATA'!$F46&amp;";",SMALL(IF(ISERROR(SEARCH(MID(";"&amp;'CASE DATA'!$F46&amp;";",ROW($1:$99),1),";")),"",ROW($1:$99)+1),COLUMN(D46)),SMALL(IF(ISERROR(SEARCH(MID(";"&amp;'CASE DATA'!$F46&amp;";",ROW($1:$99),1),";")),"",ROW($1:$99)),COLUMN(D45)+1)-SMALL(IF(ISERROR(SEARCH(MID(";"&amp;'CASE DATA'!$F46&amp;";",ROW($1:$99),1),";")),"",ROW($1:$99)),COLUMN(D45))-1)</f>
        <v/>
      </c>
      <c r="Z46" s="29" t="str">
        <f t="array" ref="Z46">MID(";"&amp;'CASE DATA'!$F46&amp;";",SMALL(IF(ISERROR(SEARCH(MID(";"&amp;'CASE DATA'!$F46&amp;";",ROW($1:$99),1),";")),"",ROW($1:$99)+1),COLUMN(E46)),SMALL(IF(ISERROR(SEARCH(MID(";"&amp;'CASE DATA'!$F46&amp;";",ROW($1:$99),1),";")),"",ROW($1:$99)),COLUMN(E45)+1)-SMALL(IF(ISERROR(SEARCH(MID(";"&amp;'CASE DATA'!$F46&amp;";",ROW($1:$99),1),";")),"",ROW($1:$99)),COLUMN(E45))-1)</f>
        <v/>
      </c>
      <c r="AA46" s="29" t="str">
        <f t="array" ref="AA46">MID(";"&amp;'CASE DATA'!$F46&amp;";",SMALL(IF(ISERROR(SEARCH(MID(";"&amp;'CASE DATA'!$F46&amp;";",ROW($1:$99),1),";")),"",ROW($1:$99)+1),COLUMN(F46)),SMALL(IF(ISERROR(SEARCH(MID(";"&amp;'CASE DATA'!$F46&amp;";",ROW($1:$99),1),";")),"",ROW($1:$99)),COLUMN(F45)+1)-SMALL(IF(ISERROR(SEARCH(MID(";"&amp;'CASE DATA'!$F46&amp;";",ROW($1:$99),1),";")),"",ROW($1:$99)),COLUMN(F45))-1)</f>
        <v/>
      </c>
      <c r="AB46" s="29" t="str">
        <f t="array" ref="AB46">MID(";"&amp;'CASE DATA'!$F46&amp;";",SMALL(IF(ISERROR(SEARCH(MID(";"&amp;'CASE DATA'!$F46&amp;";",ROW($1:$99),1),";")),"",ROW($1:$99)+1),COLUMN(G46)),SMALL(IF(ISERROR(SEARCH(MID(";"&amp;'CASE DATA'!$F46&amp;";",ROW($1:$99),1),";")),"",ROW($1:$99)),COLUMN(G45)+1)-SMALL(IF(ISERROR(SEARCH(MID(";"&amp;'CASE DATA'!$F46&amp;";",ROW($1:$99),1),";")),"",ROW($1:$99)),COLUMN(G45))-1)</f>
        <v/>
      </c>
      <c r="AC46" s="29" t="str">
        <f t="array" ref="AC46">MID(";"&amp;'CASE DATA'!$F46&amp;";",SMALL(IF(ISERROR(SEARCH(MID(";"&amp;'CASE DATA'!$F46&amp;";",ROW($1:$99),1),";")),"",ROW($1:$99)+1),COLUMN(H46)),SMALL(IF(ISERROR(SEARCH(MID(";"&amp;'CASE DATA'!$F46&amp;";",ROW($1:$99),1),";")),"",ROW($1:$99)),COLUMN(H45)+1)-SMALL(IF(ISERROR(SEARCH(MID(";"&amp;'CASE DATA'!$F46&amp;";",ROW($1:$99),1),";")),"",ROW($1:$99)),COLUMN(H45))-1)</f>
        <v/>
      </c>
      <c r="AD46" s="29" t="str">
        <f t="array" ref="AD46">MID(";"&amp;'CASE DATA'!$F46&amp;";",SMALL(IF(ISERROR(SEARCH(MID(";"&amp;'CASE DATA'!$F46&amp;";",ROW($1:$99),1),";")),"",ROW($1:$99)+1),COLUMN(I46)),SMALL(IF(ISERROR(SEARCH(MID(";"&amp;'CASE DATA'!$F46&amp;";",ROW($1:$99),1),";")),"",ROW($1:$99)),COLUMN(I45)+1)-SMALL(IF(ISERROR(SEARCH(MID(";"&amp;'CASE DATA'!$F46&amp;";",ROW($1:$99),1),";")),"",ROW($1:$99)),COLUMN(I45))-1)</f>
        <v/>
      </c>
      <c r="AE46" s="29" t="str">
        <f t="array" ref="AE46">MID(";"&amp;'CASE DATA'!$F46&amp;";",SMALL(IF(ISERROR(SEARCH(MID(";"&amp;'CASE DATA'!$F46&amp;";",ROW($1:$99),1),";")),"",ROW($1:$99)+1),COLUMN(J46)),SMALL(IF(ISERROR(SEARCH(MID(";"&amp;'CASE DATA'!$F46&amp;";",ROW($1:$99),1),";")),"",ROW($1:$99)),COLUMN(J45)+1)-SMALL(IF(ISERROR(SEARCH(MID(";"&amp;'CASE DATA'!$F46&amp;";",ROW($1:$99),1),";")),"",ROW($1:$99)),COLUMN(J45))-1)</f>
        <v/>
      </c>
      <c r="AF46" s="29" t="str">
        <f t="array" ref="AF46">MID(";"&amp;'CASE DATA'!$F46&amp;";",SMALL(IF(ISERROR(SEARCH(MID(";"&amp;'CASE DATA'!$F46&amp;";",ROW($1:$99),1),";")),"",ROW($1:$99)+1),COLUMN(K46)),SMALL(IF(ISERROR(SEARCH(MID(";"&amp;'CASE DATA'!$F46&amp;";",ROW($1:$99),1),";")),"",ROW($1:$99)),COLUMN(K45)+1)-SMALL(IF(ISERROR(SEARCH(MID(";"&amp;'CASE DATA'!$F46&amp;";",ROW($1:$99),1),";")),"",ROW($1:$99)),COLUMN(K45))-1)</f>
        <v/>
      </c>
      <c r="AG46" s="29" t="str">
        <f t="array" ref="AG46">MID(";"&amp;'CASE DATA'!$F46&amp;";",SMALL(IF(ISERROR(SEARCH(MID(";"&amp;'CASE DATA'!$F46&amp;";",ROW($1:$99),1),";")),"",ROW($1:$99)+1),COLUMN(L46)),SMALL(IF(ISERROR(SEARCH(MID(";"&amp;'CASE DATA'!$F46&amp;";",ROW($1:$99),1),";")),"",ROW($1:$99)),COLUMN(L45)+1)-SMALL(IF(ISERROR(SEARCH(MID(";"&amp;'CASE DATA'!$F46&amp;";",ROW($1:$99),1),";")),"",ROW($1:$99)),COLUMN(L45))-1)</f>
        <v/>
      </c>
      <c r="AH46" s="29"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25"/>
      <c r="C47" s="24"/>
      <c r="D47" s="24"/>
      <c r="E47" s="25"/>
      <c r="F47" s="30"/>
      <c r="J47" s="31"/>
      <c r="K47" s="31"/>
      <c r="L47" s="31"/>
      <c r="M47" s="31"/>
      <c r="N47" s="31"/>
      <c r="O47" s="31"/>
      <c r="P47" s="31"/>
      <c r="Q47" s="31"/>
      <c r="R47" s="31"/>
      <c r="S47" s="31"/>
      <c r="T47" s="28">
        <f t="shared" si="1"/>
        <v>0</v>
      </c>
      <c r="U47" s="28"/>
      <c r="W47" s="29" t="str">
        <f t="array" ref="W47">MID(";"&amp;'CASE DATA'!$F47&amp;";",SMALL(IF(ISERROR(SEARCH(MID(";"&amp;'CASE DATA'!$F47&amp;";",ROW($1:$99),1),";")),"",ROW($1:$99)+1),COLUMN(A47)),SMALL(IF(ISERROR(SEARCH(MID(";"&amp;'CASE DATA'!$F47&amp;";",ROW($1:$99),1),";")),"",ROW($1:$99)),COLUMN(A46)+1)-SMALL(IF(ISERROR(SEARCH(MID(";"&amp;'CASE DATA'!$F47&amp;";",ROW($1:$99),1),";")),"",ROW($1:$99)),COLUMN(A46))-1)</f>
        <v/>
      </c>
      <c r="X47" s="29" t="str">
        <f t="array" ref="X47">MID(";"&amp;'CASE DATA'!$F47&amp;";",SMALL(IF(ISERROR(SEARCH(MID(";"&amp;'CASE DATA'!$F47&amp;";",ROW($1:$99),1),";")),"",ROW($1:$99)+1),COLUMN(B47)),SMALL(IF(ISERROR(SEARCH(MID(";"&amp;'CASE DATA'!$F47&amp;";",ROW($1:$99),1),";")),"",ROW($1:$99)),COLUMN(B46)+1)-SMALL(IF(ISERROR(SEARCH(MID(";"&amp;'CASE DATA'!$F47&amp;";",ROW($1:$99),1),";")),"",ROW($1:$99)),COLUMN(B46))-1)</f>
        <v/>
      </c>
      <c r="Y47" s="29" t="str">
        <f t="array" ref="Y47">MID(";"&amp;'CASE DATA'!$F47&amp;";",SMALL(IF(ISERROR(SEARCH(MID(";"&amp;'CASE DATA'!$F47&amp;";",ROW($1:$99),1),";")),"",ROW($1:$99)+1),COLUMN(D47)),SMALL(IF(ISERROR(SEARCH(MID(";"&amp;'CASE DATA'!$F47&amp;";",ROW($1:$99),1),";")),"",ROW($1:$99)),COLUMN(D46)+1)-SMALL(IF(ISERROR(SEARCH(MID(";"&amp;'CASE DATA'!$F47&amp;";",ROW($1:$99),1),";")),"",ROW($1:$99)),COLUMN(D46))-1)</f>
        <v/>
      </c>
      <c r="Z47" s="29" t="str">
        <f t="array" ref="Z47">MID(";"&amp;'CASE DATA'!$F47&amp;";",SMALL(IF(ISERROR(SEARCH(MID(";"&amp;'CASE DATA'!$F47&amp;";",ROW($1:$99),1),";")),"",ROW($1:$99)+1),COLUMN(E47)),SMALL(IF(ISERROR(SEARCH(MID(";"&amp;'CASE DATA'!$F47&amp;";",ROW($1:$99),1),";")),"",ROW($1:$99)),COLUMN(E46)+1)-SMALL(IF(ISERROR(SEARCH(MID(";"&amp;'CASE DATA'!$F47&amp;";",ROW($1:$99),1),";")),"",ROW($1:$99)),COLUMN(E46))-1)</f>
        <v/>
      </c>
      <c r="AA47" s="29" t="str">
        <f t="array" ref="AA47">MID(";"&amp;'CASE DATA'!$F47&amp;";",SMALL(IF(ISERROR(SEARCH(MID(";"&amp;'CASE DATA'!$F47&amp;";",ROW($1:$99),1),";")),"",ROW($1:$99)+1),COLUMN(F47)),SMALL(IF(ISERROR(SEARCH(MID(";"&amp;'CASE DATA'!$F47&amp;";",ROW($1:$99),1),";")),"",ROW($1:$99)),COLUMN(F46)+1)-SMALL(IF(ISERROR(SEARCH(MID(";"&amp;'CASE DATA'!$F47&amp;";",ROW($1:$99),1),";")),"",ROW($1:$99)),COLUMN(F46))-1)</f>
        <v/>
      </c>
      <c r="AB47" s="29" t="str">
        <f t="array" ref="AB47">MID(";"&amp;'CASE DATA'!$F47&amp;";",SMALL(IF(ISERROR(SEARCH(MID(";"&amp;'CASE DATA'!$F47&amp;";",ROW($1:$99),1),";")),"",ROW($1:$99)+1),COLUMN(G47)),SMALL(IF(ISERROR(SEARCH(MID(";"&amp;'CASE DATA'!$F47&amp;";",ROW($1:$99),1),";")),"",ROW($1:$99)),COLUMN(G46)+1)-SMALL(IF(ISERROR(SEARCH(MID(";"&amp;'CASE DATA'!$F47&amp;";",ROW($1:$99),1),";")),"",ROW($1:$99)),COLUMN(G46))-1)</f>
        <v/>
      </c>
      <c r="AC47" s="29" t="str">
        <f t="array" ref="AC47">MID(";"&amp;'CASE DATA'!$F47&amp;";",SMALL(IF(ISERROR(SEARCH(MID(";"&amp;'CASE DATA'!$F47&amp;";",ROW($1:$99),1),";")),"",ROW($1:$99)+1),COLUMN(H47)),SMALL(IF(ISERROR(SEARCH(MID(";"&amp;'CASE DATA'!$F47&amp;";",ROW($1:$99),1),";")),"",ROW($1:$99)),COLUMN(H46)+1)-SMALL(IF(ISERROR(SEARCH(MID(";"&amp;'CASE DATA'!$F47&amp;";",ROW($1:$99),1),";")),"",ROW($1:$99)),COLUMN(H46))-1)</f>
        <v/>
      </c>
      <c r="AD47" s="29" t="str">
        <f t="array" ref="AD47">MID(";"&amp;'CASE DATA'!$F47&amp;";",SMALL(IF(ISERROR(SEARCH(MID(";"&amp;'CASE DATA'!$F47&amp;";",ROW($1:$99),1),";")),"",ROW($1:$99)+1),COLUMN(I47)),SMALL(IF(ISERROR(SEARCH(MID(";"&amp;'CASE DATA'!$F47&amp;";",ROW($1:$99),1),";")),"",ROW($1:$99)),COLUMN(I46)+1)-SMALL(IF(ISERROR(SEARCH(MID(";"&amp;'CASE DATA'!$F47&amp;";",ROW($1:$99),1),";")),"",ROW($1:$99)),COLUMN(I46))-1)</f>
        <v/>
      </c>
      <c r="AE47" s="29" t="str">
        <f t="array" ref="AE47">MID(";"&amp;'CASE DATA'!$F47&amp;";",SMALL(IF(ISERROR(SEARCH(MID(";"&amp;'CASE DATA'!$F47&amp;";",ROW($1:$99),1),";")),"",ROW($1:$99)+1),COLUMN(J47)),SMALL(IF(ISERROR(SEARCH(MID(";"&amp;'CASE DATA'!$F47&amp;";",ROW($1:$99),1),";")),"",ROW($1:$99)),COLUMN(J46)+1)-SMALL(IF(ISERROR(SEARCH(MID(";"&amp;'CASE DATA'!$F47&amp;";",ROW($1:$99),1),";")),"",ROW($1:$99)),COLUMN(J46))-1)</f>
        <v/>
      </c>
      <c r="AF47" s="29" t="str">
        <f t="array" ref="AF47">MID(";"&amp;'CASE DATA'!$F47&amp;";",SMALL(IF(ISERROR(SEARCH(MID(";"&amp;'CASE DATA'!$F47&amp;";",ROW($1:$99),1),";")),"",ROW($1:$99)+1),COLUMN(K47)),SMALL(IF(ISERROR(SEARCH(MID(";"&amp;'CASE DATA'!$F47&amp;";",ROW($1:$99),1),";")),"",ROW($1:$99)),COLUMN(K46)+1)-SMALL(IF(ISERROR(SEARCH(MID(";"&amp;'CASE DATA'!$F47&amp;";",ROW($1:$99),1),";")),"",ROW($1:$99)),COLUMN(K46))-1)</f>
        <v/>
      </c>
      <c r="AG47" s="29" t="str">
        <f t="array" ref="AG47">MID(";"&amp;'CASE DATA'!$F47&amp;";",SMALL(IF(ISERROR(SEARCH(MID(";"&amp;'CASE DATA'!$F47&amp;";",ROW($1:$99),1),";")),"",ROW($1:$99)+1),COLUMN(L47)),SMALL(IF(ISERROR(SEARCH(MID(";"&amp;'CASE DATA'!$F47&amp;";",ROW($1:$99),1),";")),"",ROW($1:$99)),COLUMN(L46)+1)-SMALL(IF(ISERROR(SEARCH(MID(";"&amp;'CASE DATA'!$F47&amp;";",ROW($1:$99),1),";")),"",ROW($1:$99)),COLUMN(L46))-1)</f>
        <v/>
      </c>
      <c r="AH47" s="29"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25"/>
      <c r="C48" s="24"/>
      <c r="D48" s="24"/>
      <c r="E48" s="25"/>
      <c r="F48" s="30"/>
      <c r="J48" s="31"/>
      <c r="K48" s="31"/>
      <c r="L48" s="31"/>
      <c r="M48" s="31"/>
      <c r="N48" s="31"/>
      <c r="O48" s="31"/>
      <c r="P48" s="31"/>
      <c r="Q48" s="31"/>
      <c r="R48" s="31"/>
      <c r="S48" s="31"/>
      <c r="T48" s="28">
        <f t="shared" si="1"/>
        <v>0</v>
      </c>
      <c r="U48" s="28"/>
      <c r="W48" s="29" t="str">
        <f t="array" ref="W48">MID(";"&amp;'CASE DATA'!$F48&amp;";",SMALL(IF(ISERROR(SEARCH(MID(";"&amp;'CASE DATA'!$F48&amp;";",ROW($1:$99),1),";")),"",ROW($1:$99)+1),COLUMN(A48)),SMALL(IF(ISERROR(SEARCH(MID(";"&amp;'CASE DATA'!$F48&amp;";",ROW($1:$99),1),";")),"",ROW($1:$99)),COLUMN(A47)+1)-SMALL(IF(ISERROR(SEARCH(MID(";"&amp;'CASE DATA'!$F48&amp;";",ROW($1:$99),1),";")),"",ROW($1:$99)),COLUMN(A47))-1)</f>
        <v/>
      </c>
      <c r="X48" s="29" t="str">
        <f t="array" ref="X48">MID(";"&amp;'CASE DATA'!$F48&amp;";",SMALL(IF(ISERROR(SEARCH(MID(";"&amp;'CASE DATA'!$F48&amp;";",ROW($1:$99),1),";")),"",ROW($1:$99)+1),COLUMN(B48)),SMALL(IF(ISERROR(SEARCH(MID(";"&amp;'CASE DATA'!$F48&amp;";",ROW($1:$99),1),";")),"",ROW($1:$99)),COLUMN(B47)+1)-SMALL(IF(ISERROR(SEARCH(MID(";"&amp;'CASE DATA'!$F48&amp;";",ROW($1:$99),1),";")),"",ROW($1:$99)),COLUMN(B47))-1)</f>
        <v/>
      </c>
      <c r="Y48" s="29" t="str">
        <f t="array" ref="Y48">MID(";"&amp;'CASE DATA'!$F48&amp;";",SMALL(IF(ISERROR(SEARCH(MID(";"&amp;'CASE DATA'!$F48&amp;";",ROW($1:$99),1),";")),"",ROW($1:$99)+1),COLUMN(D48)),SMALL(IF(ISERROR(SEARCH(MID(";"&amp;'CASE DATA'!$F48&amp;";",ROW($1:$99),1),";")),"",ROW($1:$99)),COLUMN(D47)+1)-SMALL(IF(ISERROR(SEARCH(MID(";"&amp;'CASE DATA'!$F48&amp;";",ROW($1:$99),1),";")),"",ROW($1:$99)),COLUMN(D47))-1)</f>
        <v/>
      </c>
      <c r="Z48" s="29" t="str">
        <f t="array" ref="Z48">MID(";"&amp;'CASE DATA'!$F48&amp;";",SMALL(IF(ISERROR(SEARCH(MID(";"&amp;'CASE DATA'!$F48&amp;";",ROW($1:$99),1),";")),"",ROW($1:$99)+1),COLUMN(E48)),SMALL(IF(ISERROR(SEARCH(MID(";"&amp;'CASE DATA'!$F48&amp;";",ROW($1:$99),1),";")),"",ROW($1:$99)),COLUMN(E47)+1)-SMALL(IF(ISERROR(SEARCH(MID(";"&amp;'CASE DATA'!$F48&amp;";",ROW($1:$99),1),";")),"",ROW($1:$99)),COLUMN(E47))-1)</f>
        <v/>
      </c>
      <c r="AA48" s="29" t="str">
        <f t="array" ref="AA48">MID(";"&amp;'CASE DATA'!$F48&amp;";",SMALL(IF(ISERROR(SEARCH(MID(";"&amp;'CASE DATA'!$F48&amp;";",ROW($1:$99),1),";")),"",ROW($1:$99)+1),COLUMN(F48)),SMALL(IF(ISERROR(SEARCH(MID(";"&amp;'CASE DATA'!$F48&amp;";",ROW($1:$99),1),";")),"",ROW($1:$99)),COLUMN(F47)+1)-SMALL(IF(ISERROR(SEARCH(MID(";"&amp;'CASE DATA'!$F48&amp;";",ROW($1:$99),1),";")),"",ROW($1:$99)),COLUMN(F47))-1)</f>
        <v/>
      </c>
      <c r="AB48" s="29" t="str">
        <f t="array" ref="AB48">MID(";"&amp;'CASE DATA'!$F48&amp;";",SMALL(IF(ISERROR(SEARCH(MID(";"&amp;'CASE DATA'!$F48&amp;";",ROW($1:$99),1),";")),"",ROW($1:$99)+1),COLUMN(G48)),SMALL(IF(ISERROR(SEARCH(MID(";"&amp;'CASE DATA'!$F48&amp;";",ROW($1:$99),1),";")),"",ROW($1:$99)),COLUMN(G47)+1)-SMALL(IF(ISERROR(SEARCH(MID(";"&amp;'CASE DATA'!$F48&amp;";",ROW($1:$99),1),";")),"",ROW($1:$99)),COLUMN(G47))-1)</f>
        <v/>
      </c>
      <c r="AC48" s="29" t="str">
        <f t="array" ref="AC48">MID(";"&amp;'CASE DATA'!$F48&amp;";",SMALL(IF(ISERROR(SEARCH(MID(";"&amp;'CASE DATA'!$F48&amp;";",ROW($1:$99),1),";")),"",ROW($1:$99)+1),COLUMN(H48)),SMALL(IF(ISERROR(SEARCH(MID(";"&amp;'CASE DATA'!$F48&amp;";",ROW($1:$99),1),";")),"",ROW($1:$99)),COLUMN(H47)+1)-SMALL(IF(ISERROR(SEARCH(MID(";"&amp;'CASE DATA'!$F48&amp;";",ROW($1:$99),1),";")),"",ROW($1:$99)),COLUMN(H47))-1)</f>
        <v/>
      </c>
      <c r="AD48" s="29" t="str">
        <f t="array" ref="AD48">MID(";"&amp;'CASE DATA'!$F48&amp;";",SMALL(IF(ISERROR(SEARCH(MID(";"&amp;'CASE DATA'!$F48&amp;";",ROW($1:$99),1),";")),"",ROW($1:$99)+1),COLUMN(I48)),SMALL(IF(ISERROR(SEARCH(MID(";"&amp;'CASE DATA'!$F48&amp;";",ROW($1:$99),1),";")),"",ROW($1:$99)),COLUMN(I47)+1)-SMALL(IF(ISERROR(SEARCH(MID(";"&amp;'CASE DATA'!$F48&amp;";",ROW($1:$99),1),";")),"",ROW($1:$99)),COLUMN(I47))-1)</f>
        <v/>
      </c>
      <c r="AE48" s="29" t="str">
        <f t="array" ref="AE48">MID(";"&amp;'CASE DATA'!$F48&amp;";",SMALL(IF(ISERROR(SEARCH(MID(";"&amp;'CASE DATA'!$F48&amp;";",ROW($1:$99),1),";")),"",ROW($1:$99)+1),COLUMN(J48)),SMALL(IF(ISERROR(SEARCH(MID(";"&amp;'CASE DATA'!$F48&amp;";",ROW($1:$99),1),";")),"",ROW($1:$99)),COLUMN(J47)+1)-SMALL(IF(ISERROR(SEARCH(MID(";"&amp;'CASE DATA'!$F48&amp;";",ROW($1:$99),1),";")),"",ROW($1:$99)),COLUMN(J47))-1)</f>
        <v/>
      </c>
      <c r="AF48" s="29" t="str">
        <f t="array" ref="AF48">MID(";"&amp;'CASE DATA'!$F48&amp;";",SMALL(IF(ISERROR(SEARCH(MID(";"&amp;'CASE DATA'!$F48&amp;";",ROW($1:$99),1),";")),"",ROW($1:$99)+1),COLUMN(K48)),SMALL(IF(ISERROR(SEARCH(MID(";"&amp;'CASE DATA'!$F48&amp;";",ROW($1:$99),1),";")),"",ROW($1:$99)),COLUMN(K47)+1)-SMALL(IF(ISERROR(SEARCH(MID(";"&amp;'CASE DATA'!$F48&amp;";",ROW($1:$99),1),";")),"",ROW($1:$99)),COLUMN(K47))-1)</f>
        <v/>
      </c>
      <c r="AG48" s="29" t="str">
        <f t="array" ref="AG48">MID(";"&amp;'CASE DATA'!$F48&amp;";",SMALL(IF(ISERROR(SEARCH(MID(";"&amp;'CASE DATA'!$F48&amp;";",ROW($1:$99),1),";")),"",ROW($1:$99)+1),COLUMN(L48)),SMALL(IF(ISERROR(SEARCH(MID(";"&amp;'CASE DATA'!$F48&amp;";",ROW($1:$99),1),";")),"",ROW($1:$99)),COLUMN(L47)+1)-SMALL(IF(ISERROR(SEARCH(MID(";"&amp;'CASE DATA'!$F48&amp;";",ROW($1:$99),1),";")),"",ROW($1:$99)),COLUMN(L47))-1)</f>
        <v/>
      </c>
      <c r="AH48" s="29"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25"/>
      <c r="C49" s="24"/>
      <c r="D49" s="24"/>
      <c r="E49" s="25"/>
      <c r="F49" s="30"/>
      <c r="J49" s="31"/>
      <c r="K49" s="31"/>
      <c r="L49" s="31"/>
      <c r="M49" s="31"/>
      <c r="N49" s="31"/>
      <c r="O49" s="31"/>
      <c r="P49" s="31"/>
      <c r="Q49" s="31"/>
      <c r="R49" s="31"/>
      <c r="S49" s="31"/>
      <c r="T49" s="28">
        <f t="shared" si="1"/>
        <v>0</v>
      </c>
      <c r="U49" s="28"/>
      <c r="W49" s="29" t="str">
        <f t="array" ref="W49">MID(";"&amp;'CASE DATA'!$F49&amp;";",SMALL(IF(ISERROR(SEARCH(MID(";"&amp;'CASE DATA'!$F49&amp;";",ROW($1:$99),1),";")),"",ROW($1:$99)+1),COLUMN(A49)),SMALL(IF(ISERROR(SEARCH(MID(";"&amp;'CASE DATA'!$F49&amp;";",ROW($1:$99),1),";")),"",ROW($1:$99)),COLUMN(A48)+1)-SMALL(IF(ISERROR(SEARCH(MID(";"&amp;'CASE DATA'!$F49&amp;";",ROW($1:$99),1),";")),"",ROW($1:$99)),COLUMN(A48))-1)</f>
        <v/>
      </c>
      <c r="X49" s="29" t="str">
        <f t="array" ref="X49">MID(";"&amp;'CASE DATA'!$F49&amp;";",SMALL(IF(ISERROR(SEARCH(MID(";"&amp;'CASE DATA'!$F49&amp;";",ROW($1:$99),1),";")),"",ROW($1:$99)+1),COLUMN(B49)),SMALL(IF(ISERROR(SEARCH(MID(";"&amp;'CASE DATA'!$F49&amp;";",ROW($1:$99),1),";")),"",ROW($1:$99)),COLUMN(B48)+1)-SMALL(IF(ISERROR(SEARCH(MID(";"&amp;'CASE DATA'!$F49&amp;";",ROW($1:$99),1),";")),"",ROW($1:$99)),COLUMN(B48))-1)</f>
        <v/>
      </c>
      <c r="Y49" s="29" t="str">
        <f t="array" ref="Y49">MID(";"&amp;'CASE DATA'!$F49&amp;";",SMALL(IF(ISERROR(SEARCH(MID(";"&amp;'CASE DATA'!$F49&amp;";",ROW($1:$99),1),";")),"",ROW($1:$99)+1),COLUMN(D49)),SMALL(IF(ISERROR(SEARCH(MID(";"&amp;'CASE DATA'!$F49&amp;";",ROW($1:$99),1),";")),"",ROW($1:$99)),COLUMN(D48)+1)-SMALL(IF(ISERROR(SEARCH(MID(";"&amp;'CASE DATA'!$F49&amp;";",ROW($1:$99),1),";")),"",ROW($1:$99)),COLUMN(D48))-1)</f>
        <v/>
      </c>
      <c r="Z49" s="29" t="str">
        <f t="array" ref="Z49">MID(";"&amp;'CASE DATA'!$F49&amp;";",SMALL(IF(ISERROR(SEARCH(MID(";"&amp;'CASE DATA'!$F49&amp;";",ROW($1:$99),1),";")),"",ROW($1:$99)+1),COLUMN(E49)),SMALL(IF(ISERROR(SEARCH(MID(";"&amp;'CASE DATA'!$F49&amp;";",ROW($1:$99),1),";")),"",ROW($1:$99)),COLUMN(E48)+1)-SMALL(IF(ISERROR(SEARCH(MID(";"&amp;'CASE DATA'!$F49&amp;";",ROW($1:$99),1),";")),"",ROW($1:$99)),COLUMN(E48))-1)</f>
        <v/>
      </c>
      <c r="AA49" s="29" t="str">
        <f t="array" ref="AA49">MID(";"&amp;'CASE DATA'!$F49&amp;";",SMALL(IF(ISERROR(SEARCH(MID(";"&amp;'CASE DATA'!$F49&amp;";",ROW($1:$99),1),";")),"",ROW($1:$99)+1),COLUMN(F49)),SMALL(IF(ISERROR(SEARCH(MID(";"&amp;'CASE DATA'!$F49&amp;";",ROW($1:$99),1),";")),"",ROW($1:$99)),COLUMN(F48)+1)-SMALL(IF(ISERROR(SEARCH(MID(";"&amp;'CASE DATA'!$F49&amp;";",ROW($1:$99),1),";")),"",ROW($1:$99)),COLUMN(F48))-1)</f>
        <v/>
      </c>
      <c r="AB49" s="29" t="str">
        <f t="array" ref="AB49">MID(";"&amp;'CASE DATA'!$F49&amp;";",SMALL(IF(ISERROR(SEARCH(MID(";"&amp;'CASE DATA'!$F49&amp;";",ROW($1:$99),1),";")),"",ROW($1:$99)+1),COLUMN(G49)),SMALL(IF(ISERROR(SEARCH(MID(";"&amp;'CASE DATA'!$F49&amp;";",ROW($1:$99),1),";")),"",ROW($1:$99)),COLUMN(G48)+1)-SMALL(IF(ISERROR(SEARCH(MID(";"&amp;'CASE DATA'!$F49&amp;";",ROW($1:$99),1),";")),"",ROW($1:$99)),COLUMN(G48))-1)</f>
        <v/>
      </c>
      <c r="AC49" s="29" t="str">
        <f t="array" ref="AC49">MID(";"&amp;'CASE DATA'!$F49&amp;";",SMALL(IF(ISERROR(SEARCH(MID(";"&amp;'CASE DATA'!$F49&amp;";",ROW($1:$99),1),";")),"",ROW($1:$99)+1),COLUMN(H49)),SMALL(IF(ISERROR(SEARCH(MID(";"&amp;'CASE DATA'!$F49&amp;";",ROW($1:$99),1),";")),"",ROW($1:$99)),COLUMN(H48)+1)-SMALL(IF(ISERROR(SEARCH(MID(";"&amp;'CASE DATA'!$F49&amp;";",ROW($1:$99),1),";")),"",ROW($1:$99)),COLUMN(H48))-1)</f>
        <v/>
      </c>
      <c r="AD49" s="29" t="str">
        <f t="array" ref="AD49">MID(";"&amp;'CASE DATA'!$F49&amp;";",SMALL(IF(ISERROR(SEARCH(MID(";"&amp;'CASE DATA'!$F49&amp;";",ROW($1:$99),1),";")),"",ROW($1:$99)+1),COLUMN(I49)),SMALL(IF(ISERROR(SEARCH(MID(";"&amp;'CASE DATA'!$F49&amp;";",ROW($1:$99),1),";")),"",ROW($1:$99)),COLUMN(I48)+1)-SMALL(IF(ISERROR(SEARCH(MID(";"&amp;'CASE DATA'!$F49&amp;";",ROW($1:$99),1),";")),"",ROW($1:$99)),COLUMN(I48))-1)</f>
        <v/>
      </c>
      <c r="AE49" s="29" t="str">
        <f t="array" ref="AE49">MID(";"&amp;'CASE DATA'!$F49&amp;";",SMALL(IF(ISERROR(SEARCH(MID(";"&amp;'CASE DATA'!$F49&amp;";",ROW($1:$99),1),";")),"",ROW($1:$99)+1),COLUMN(J49)),SMALL(IF(ISERROR(SEARCH(MID(";"&amp;'CASE DATA'!$F49&amp;";",ROW($1:$99),1),";")),"",ROW($1:$99)),COLUMN(J48)+1)-SMALL(IF(ISERROR(SEARCH(MID(";"&amp;'CASE DATA'!$F49&amp;";",ROW($1:$99),1),";")),"",ROW($1:$99)),COLUMN(J48))-1)</f>
        <v/>
      </c>
      <c r="AF49" s="29" t="str">
        <f t="array" ref="AF49">MID(";"&amp;'CASE DATA'!$F49&amp;";",SMALL(IF(ISERROR(SEARCH(MID(";"&amp;'CASE DATA'!$F49&amp;";",ROW($1:$99),1),";")),"",ROW($1:$99)+1),COLUMN(K49)),SMALL(IF(ISERROR(SEARCH(MID(";"&amp;'CASE DATA'!$F49&amp;";",ROW($1:$99),1),";")),"",ROW($1:$99)),COLUMN(K48)+1)-SMALL(IF(ISERROR(SEARCH(MID(";"&amp;'CASE DATA'!$F49&amp;";",ROW($1:$99),1),";")),"",ROW($1:$99)),COLUMN(K48))-1)</f>
        <v/>
      </c>
      <c r="AG49" s="29" t="str">
        <f t="array" ref="AG49">MID(";"&amp;'CASE DATA'!$F49&amp;";",SMALL(IF(ISERROR(SEARCH(MID(";"&amp;'CASE DATA'!$F49&amp;";",ROW($1:$99),1),";")),"",ROW($1:$99)+1),COLUMN(L49)),SMALL(IF(ISERROR(SEARCH(MID(";"&amp;'CASE DATA'!$F49&amp;";",ROW($1:$99),1),";")),"",ROW($1:$99)),COLUMN(L48)+1)-SMALL(IF(ISERROR(SEARCH(MID(";"&amp;'CASE DATA'!$F49&amp;";",ROW($1:$99),1),";")),"",ROW($1:$99)),COLUMN(L48))-1)</f>
        <v/>
      </c>
      <c r="AH49" s="29"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25"/>
      <c r="C50" s="24"/>
      <c r="D50" s="24"/>
      <c r="E50" s="25"/>
      <c r="F50" s="30"/>
      <c r="J50" s="31"/>
      <c r="K50" s="31"/>
      <c r="L50" s="31"/>
      <c r="M50" s="31"/>
      <c r="N50" s="31"/>
      <c r="O50" s="31"/>
      <c r="P50" s="31"/>
      <c r="Q50" s="31"/>
      <c r="R50" s="31"/>
      <c r="S50" s="31"/>
      <c r="T50" s="28">
        <f t="shared" si="1"/>
        <v>0</v>
      </c>
      <c r="U50" s="28"/>
      <c r="W50" s="29" t="str">
        <f t="array" ref="W50">MID(";"&amp;'CASE DATA'!$F50&amp;";",SMALL(IF(ISERROR(SEARCH(MID(";"&amp;'CASE DATA'!$F50&amp;";",ROW($1:$99),1),";")),"",ROW($1:$99)+1),COLUMN(A50)),SMALL(IF(ISERROR(SEARCH(MID(";"&amp;'CASE DATA'!$F50&amp;";",ROW($1:$99),1),";")),"",ROW($1:$99)),COLUMN(A49)+1)-SMALL(IF(ISERROR(SEARCH(MID(";"&amp;'CASE DATA'!$F50&amp;";",ROW($1:$99),1),";")),"",ROW($1:$99)),COLUMN(A49))-1)</f>
        <v/>
      </c>
      <c r="X50" s="29" t="str">
        <f t="array" ref="X50">MID(";"&amp;'CASE DATA'!$F50&amp;";",SMALL(IF(ISERROR(SEARCH(MID(";"&amp;'CASE DATA'!$F50&amp;";",ROW($1:$99),1),";")),"",ROW($1:$99)+1),COLUMN(B50)),SMALL(IF(ISERROR(SEARCH(MID(";"&amp;'CASE DATA'!$F50&amp;";",ROW($1:$99),1),";")),"",ROW($1:$99)),COLUMN(B49)+1)-SMALL(IF(ISERROR(SEARCH(MID(";"&amp;'CASE DATA'!$F50&amp;";",ROW($1:$99),1),";")),"",ROW($1:$99)),COLUMN(B49))-1)</f>
        <v/>
      </c>
      <c r="Y50" s="29" t="str">
        <f t="array" ref="Y50">MID(";"&amp;'CASE DATA'!$F50&amp;";",SMALL(IF(ISERROR(SEARCH(MID(";"&amp;'CASE DATA'!$F50&amp;";",ROW($1:$99),1),";")),"",ROW($1:$99)+1),COLUMN(D50)),SMALL(IF(ISERROR(SEARCH(MID(";"&amp;'CASE DATA'!$F50&amp;";",ROW($1:$99),1),";")),"",ROW($1:$99)),COLUMN(D49)+1)-SMALL(IF(ISERROR(SEARCH(MID(";"&amp;'CASE DATA'!$F50&amp;";",ROW($1:$99),1),";")),"",ROW($1:$99)),COLUMN(D49))-1)</f>
        <v/>
      </c>
      <c r="Z50" s="29" t="str">
        <f t="array" ref="Z50">MID(";"&amp;'CASE DATA'!$F50&amp;";",SMALL(IF(ISERROR(SEARCH(MID(";"&amp;'CASE DATA'!$F50&amp;";",ROW($1:$99),1),";")),"",ROW($1:$99)+1),COLUMN(E50)),SMALL(IF(ISERROR(SEARCH(MID(";"&amp;'CASE DATA'!$F50&amp;";",ROW($1:$99),1),";")),"",ROW($1:$99)),COLUMN(E49)+1)-SMALL(IF(ISERROR(SEARCH(MID(";"&amp;'CASE DATA'!$F50&amp;";",ROW($1:$99),1),";")),"",ROW($1:$99)),COLUMN(E49))-1)</f>
        <v/>
      </c>
      <c r="AA50" s="29" t="str">
        <f t="array" ref="AA50">MID(";"&amp;'CASE DATA'!$F50&amp;";",SMALL(IF(ISERROR(SEARCH(MID(";"&amp;'CASE DATA'!$F50&amp;";",ROW($1:$99),1),";")),"",ROW($1:$99)+1),COLUMN(F50)),SMALL(IF(ISERROR(SEARCH(MID(";"&amp;'CASE DATA'!$F50&amp;";",ROW($1:$99),1),";")),"",ROW($1:$99)),COLUMN(F49)+1)-SMALL(IF(ISERROR(SEARCH(MID(";"&amp;'CASE DATA'!$F50&amp;";",ROW($1:$99),1),";")),"",ROW($1:$99)),COLUMN(F49))-1)</f>
        <v/>
      </c>
      <c r="AB50" s="29" t="str">
        <f t="array" ref="AB50">MID(";"&amp;'CASE DATA'!$F50&amp;";",SMALL(IF(ISERROR(SEARCH(MID(";"&amp;'CASE DATA'!$F50&amp;";",ROW($1:$99),1),";")),"",ROW($1:$99)+1),COLUMN(G50)),SMALL(IF(ISERROR(SEARCH(MID(";"&amp;'CASE DATA'!$F50&amp;";",ROW($1:$99),1),";")),"",ROW($1:$99)),COLUMN(G49)+1)-SMALL(IF(ISERROR(SEARCH(MID(";"&amp;'CASE DATA'!$F50&amp;";",ROW($1:$99),1),";")),"",ROW($1:$99)),COLUMN(G49))-1)</f>
        <v/>
      </c>
      <c r="AC50" s="29" t="str">
        <f t="array" ref="AC50">MID(";"&amp;'CASE DATA'!$F50&amp;";",SMALL(IF(ISERROR(SEARCH(MID(";"&amp;'CASE DATA'!$F50&amp;";",ROW($1:$99),1),";")),"",ROW($1:$99)+1),COLUMN(H50)),SMALL(IF(ISERROR(SEARCH(MID(";"&amp;'CASE DATA'!$F50&amp;";",ROW($1:$99),1),";")),"",ROW($1:$99)),COLUMN(H49)+1)-SMALL(IF(ISERROR(SEARCH(MID(";"&amp;'CASE DATA'!$F50&amp;";",ROW($1:$99),1),";")),"",ROW($1:$99)),COLUMN(H49))-1)</f>
        <v/>
      </c>
      <c r="AD50" s="29" t="str">
        <f t="array" ref="AD50">MID(";"&amp;'CASE DATA'!$F50&amp;";",SMALL(IF(ISERROR(SEARCH(MID(";"&amp;'CASE DATA'!$F50&amp;";",ROW($1:$99),1),";")),"",ROW($1:$99)+1),COLUMN(I50)),SMALL(IF(ISERROR(SEARCH(MID(";"&amp;'CASE DATA'!$F50&amp;";",ROW($1:$99),1),";")),"",ROW($1:$99)),COLUMN(I49)+1)-SMALL(IF(ISERROR(SEARCH(MID(";"&amp;'CASE DATA'!$F50&amp;";",ROW($1:$99),1),";")),"",ROW($1:$99)),COLUMN(I49))-1)</f>
        <v/>
      </c>
      <c r="AE50" s="29" t="str">
        <f t="array" ref="AE50">MID(";"&amp;'CASE DATA'!$F50&amp;";",SMALL(IF(ISERROR(SEARCH(MID(";"&amp;'CASE DATA'!$F50&amp;";",ROW($1:$99),1),";")),"",ROW($1:$99)+1),COLUMN(J50)),SMALL(IF(ISERROR(SEARCH(MID(";"&amp;'CASE DATA'!$F50&amp;";",ROW($1:$99),1),";")),"",ROW($1:$99)),COLUMN(J49)+1)-SMALL(IF(ISERROR(SEARCH(MID(";"&amp;'CASE DATA'!$F50&amp;";",ROW($1:$99),1),";")),"",ROW($1:$99)),COLUMN(J49))-1)</f>
        <v/>
      </c>
      <c r="AF50" s="29" t="str">
        <f t="array" ref="AF50">MID(";"&amp;'CASE DATA'!$F50&amp;";",SMALL(IF(ISERROR(SEARCH(MID(";"&amp;'CASE DATA'!$F50&amp;";",ROW($1:$99),1),";")),"",ROW($1:$99)+1),COLUMN(K50)),SMALL(IF(ISERROR(SEARCH(MID(";"&amp;'CASE DATA'!$F50&amp;";",ROW($1:$99),1),";")),"",ROW($1:$99)),COLUMN(K49)+1)-SMALL(IF(ISERROR(SEARCH(MID(";"&amp;'CASE DATA'!$F50&amp;";",ROW($1:$99),1),";")),"",ROW($1:$99)),COLUMN(K49))-1)</f>
        <v/>
      </c>
      <c r="AG50" s="29" t="str">
        <f t="array" ref="AG50">MID(";"&amp;'CASE DATA'!$F50&amp;";",SMALL(IF(ISERROR(SEARCH(MID(";"&amp;'CASE DATA'!$F50&amp;";",ROW($1:$99),1),";")),"",ROW($1:$99)+1),COLUMN(L50)),SMALL(IF(ISERROR(SEARCH(MID(";"&amp;'CASE DATA'!$F50&amp;";",ROW($1:$99),1),";")),"",ROW($1:$99)),COLUMN(L49)+1)-SMALL(IF(ISERROR(SEARCH(MID(";"&amp;'CASE DATA'!$F50&amp;";",ROW($1:$99),1),";")),"",ROW($1:$99)),COLUMN(L49))-1)</f>
        <v/>
      </c>
      <c r="AH50" s="29"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25"/>
      <c r="C51" s="24"/>
      <c r="D51" s="24"/>
      <c r="E51" s="25"/>
      <c r="F51" s="30"/>
      <c r="J51" s="31"/>
      <c r="K51" s="31"/>
      <c r="L51" s="31"/>
      <c r="M51" s="31"/>
      <c r="N51" s="31"/>
      <c r="O51" s="31"/>
      <c r="P51" s="31"/>
      <c r="Q51" s="31"/>
      <c r="R51" s="31"/>
      <c r="S51" s="31"/>
      <c r="T51" s="28">
        <f t="shared" si="1"/>
        <v>0</v>
      </c>
      <c r="U51" s="28"/>
      <c r="W51" s="29" t="str">
        <f t="array" ref="W51">MID(";"&amp;'CASE DATA'!$F51&amp;";",SMALL(IF(ISERROR(SEARCH(MID(";"&amp;'CASE DATA'!$F51&amp;";",ROW($1:$99),1),";")),"",ROW($1:$99)+1),COLUMN(A51)),SMALL(IF(ISERROR(SEARCH(MID(";"&amp;'CASE DATA'!$F51&amp;";",ROW($1:$99),1),";")),"",ROW($1:$99)),COLUMN(A50)+1)-SMALL(IF(ISERROR(SEARCH(MID(";"&amp;'CASE DATA'!$F51&amp;";",ROW($1:$99),1),";")),"",ROW($1:$99)),COLUMN(A50))-1)</f>
        <v/>
      </c>
      <c r="X51" s="29" t="str">
        <f t="array" ref="X51">MID(";"&amp;'CASE DATA'!$F51&amp;";",SMALL(IF(ISERROR(SEARCH(MID(";"&amp;'CASE DATA'!$F51&amp;";",ROW($1:$99),1),";")),"",ROW($1:$99)+1),COLUMN(B51)),SMALL(IF(ISERROR(SEARCH(MID(";"&amp;'CASE DATA'!$F51&amp;";",ROW($1:$99),1),";")),"",ROW($1:$99)),COLUMN(B50)+1)-SMALL(IF(ISERROR(SEARCH(MID(";"&amp;'CASE DATA'!$F51&amp;";",ROW($1:$99),1),";")),"",ROW($1:$99)),COLUMN(B50))-1)</f>
        <v/>
      </c>
      <c r="Y51" s="29" t="str">
        <f t="array" ref="Y51">MID(";"&amp;'CASE DATA'!$F51&amp;";",SMALL(IF(ISERROR(SEARCH(MID(";"&amp;'CASE DATA'!$F51&amp;";",ROW($1:$99),1),";")),"",ROW($1:$99)+1),COLUMN(D51)),SMALL(IF(ISERROR(SEARCH(MID(";"&amp;'CASE DATA'!$F51&amp;";",ROW($1:$99),1),";")),"",ROW($1:$99)),COLUMN(D50)+1)-SMALL(IF(ISERROR(SEARCH(MID(";"&amp;'CASE DATA'!$F51&amp;";",ROW($1:$99),1),";")),"",ROW($1:$99)),COLUMN(D50))-1)</f>
        <v/>
      </c>
      <c r="Z51" s="29" t="str">
        <f t="array" ref="Z51">MID(";"&amp;'CASE DATA'!$F51&amp;";",SMALL(IF(ISERROR(SEARCH(MID(";"&amp;'CASE DATA'!$F51&amp;";",ROW($1:$99),1),";")),"",ROW($1:$99)+1),COLUMN(E51)),SMALL(IF(ISERROR(SEARCH(MID(";"&amp;'CASE DATA'!$F51&amp;";",ROW($1:$99),1),";")),"",ROW($1:$99)),COLUMN(E50)+1)-SMALL(IF(ISERROR(SEARCH(MID(";"&amp;'CASE DATA'!$F51&amp;";",ROW($1:$99),1),";")),"",ROW($1:$99)),COLUMN(E50))-1)</f>
        <v/>
      </c>
      <c r="AA51" s="29" t="str">
        <f t="array" ref="AA51">MID(";"&amp;'CASE DATA'!$F51&amp;";",SMALL(IF(ISERROR(SEARCH(MID(";"&amp;'CASE DATA'!$F51&amp;";",ROW($1:$99),1),";")),"",ROW($1:$99)+1),COLUMN(F51)),SMALL(IF(ISERROR(SEARCH(MID(";"&amp;'CASE DATA'!$F51&amp;";",ROW($1:$99),1),";")),"",ROW($1:$99)),COLUMN(F50)+1)-SMALL(IF(ISERROR(SEARCH(MID(";"&amp;'CASE DATA'!$F51&amp;";",ROW($1:$99),1),";")),"",ROW($1:$99)),COLUMN(F50))-1)</f>
        <v/>
      </c>
      <c r="AB51" s="29" t="str">
        <f t="array" ref="AB51">MID(";"&amp;'CASE DATA'!$F51&amp;";",SMALL(IF(ISERROR(SEARCH(MID(";"&amp;'CASE DATA'!$F51&amp;";",ROW($1:$99),1),";")),"",ROW($1:$99)+1),COLUMN(G51)),SMALL(IF(ISERROR(SEARCH(MID(";"&amp;'CASE DATA'!$F51&amp;";",ROW($1:$99),1),";")),"",ROW($1:$99)),COLUMN(G50)+1)-SMALL(IF(ISERROR(SEARCH(MID(";"&amp;'CASE DATA'!$F51&amp;";",ROW($1:$99),1),";")),"",ROW($1:$99)),COLUMN(G50))-1)</f>
        <v/>
      </c>
      <c r="AC51" s="29" t="str">
        <f t="array" ref="AC51">MID(";"&amp;'CASE DATA'!$F51&amp;";",SMALL(IF(ISERROR(SEARCH(MID(";"&amp;'CASE DATA'!$F51&amp;";",ROW($1:$99),1),";")),"",ROW($1:$99)+1),COLUMN(H51)),SMALL(IF(ISERROR(SEARCH(MID(";"&amp;'CASE DATA'!$F51&amp;";",ROW($1:$99),1),";")),"",ROW($1:$99)),COLUMN(H50)+1)-SMALL(IF(ISERROR(SEARCH(MID(";"&amp;'CASE DATA'!$F51&amp;";",ROW($1:$99),1),";")),"",ROW($1:$99)),COLUMN(H50))-1)</f>
        <v/>
      </c>
      <c r="AD51" s="29" t="str">
        <f t="array" ref="AD51">MID(";"&amp;'CASE DATA'!$F51&amp;";",SMALL(IF(ISERROR(SEARCH(MID(";"&amp;'CASE DATA'!$F51&amp;";",ROW($1:$99),1),";")),"",ROW($1:$99)+1),COLUMN(I51)),SMALL(IF(ISERROR(SEARCH(MID(";"&amp;'CASE DATA'!$F51&amp;";",ROW($1:$99),1),";")),"",ROW($1:$99)),COLUMN(I50)+1)-SMALL(IF(ISERROR(SEARCH(MID(";"&amp;'CASE DATA'!$F51&amp;";",ROW($1:$99),1),";")),"",ROW($1:$99)),COLUMN(I50))-1)</f>
        <v/>
      </c>
      <c r="AE51" s="29" t="str">
        <f t="array" ref="AE51">MID(";"&amp;'CASE DATA'!$F51&amp;";",SMALL(IF(ISERROR(SEARCH(MID(";"&amp;'CASE DATA'!$F51&amp;";",ROW($1:$99),1),";")),"",ROW($1:$99)+1),COLUMN(J51)),SMALL(IF(ISERROR(SEARCH(MID(";"&amp;'CASE DATA'!$F51&amp;";",ROW($1:$99),1),";")),"",ROW($1:$99)),COLUMN(J50)+1)-SMALL(IF(ISERROR(SEARCH(MID(";"&amp;'CASE DATA'!$F51&amp;";",ROW($1:$99),1),";")),"",ROW($1:$99)),COLUMN(J50))-1)</f>
        <v/>
      </c>
      <c r="AF51" s="29" t="str">
        <f t="array" ref="AF51">MID(";"&amp;'CASE DATA'!$F51&amp;";",SMALL(IF(ISERROR(SEARCH(MID(";"&amp;'CASE DATA'!$F51&amp;";",ROW($1:$99),1),";")),"",ROW($1:$99)+1),COLUMN(K51)),SMALL(IF(ISERROR(SEARCH(MID(";"&amp;'CASE DATA'!$F51&amp;";",ROW($1:$99),1),";")),"",ROW($1:$99)),COLUMN(K50)+1)-SMALL(IF(ISERROR(SEARCH(MID(";"&amp;'CASE DATA'!$F51&amp;";",ROW($1:$99),1),";")),"",ROW($1:$99)),COLUMN(K50))-1)</f>
        <v/>
      </c>
      <c r="AG51" s="29" t="str">
        <f t="array" ref="AG51">MID(";"&amp;'CASE DATA'!$F51&amp;";",SMALL(IF(ISERROR(SEARCH(MID(";"&amp;'CASE DATA'!$F51&amp;";",ROW($1:$99),1),";")),"",ROW($1:$99)+1),COLUMN(L51)),SMALL(IF(ISERROR(SEARCH(MID(";"&amp;'CASE DATA'!$F51&amp;";",ROW($1:$99),1),";")),"",ROW($1:$99)),COLUMN(L50)+1)-SMALL(IF(ISERROR(SEARCH(MID(";"&amp;'CASE DATA'!$F51&amp;";",ROW($1:$99),1),";")),"",ROW($1:$99)),COLUMN(L50))-1)</f>
        <v/>
      </c>
      <c r="AH51" s="29"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25"/>
      <c r="C52" s="24"/>
      <c r="D52" s="24"/>
      <c r="E52" s="25"/>
      <c r="F52" s="30"/>
      <c r="J52" s="31"/>
      <c r="K52" s="31"/>
      <c r="L52" s="31"/>
      <c r="M52" s="31"/>
      <c r="N52" s="31"/>
      <c r="O52" s="31"/>
      <c r="P52" s="31"/>
      <c r="Q52" s="31"/>
      <c r="R52" s="31"/>
      <c r="S52" s="31"/>
      <c r="T52" s="28">
        <f t="shared" si="1"/>
        <v>0</v>
      </c>
      <c r="U52" s="28"/>
      <c r="W52" s="29" t="str">
        <f t="array" ref="W52">MID(";"&amp;'CASE DATA'!$F52&amp;";",SMALL(IF(ISERROR(SEARCH(MID(";"&amp;'CASE DATA'!$F52&amp;";",ROW($1:$99),1),";")),"",ROW($1:$99)+1),COLUMN(A52)),SMALL(IF(ISERROR(SEARCH(MID(";"&amp;'CASE DATA'!$F52&amp;";",ROW($1:$99),1),";")),"",ROW($1:$99)),COLUMN(A51)+1)-SMALL(IF(ISERROR(SEARCH(MID(";"&amp;'CASE DATA'!$F52&amp;";",ROW($1:$99),1),";")),"",ROW($1:$99)),COLUMN(A51))-1)</f>
        <v/>
      </c>
      <c r="X52" s="29" t="str">
        <f t="array" ref="X52">MID(";"&amp;'CASE DATA'!$F52&amp;";",SMALL(IF(ISERROR(SEARCH(MID(";"&amp;'CASE DATA'!$F52&amp;";",ROW($1:$99),1),";")),"",ROW($1:$99)+1),COLUMN(B52)),SMALL(IF(ISERROR(SEARCH(MID(";"&amp;'CASE DATA'!$F52&amp;";",ROW($1:$99),1),";")),"",ROW($1:$99)),COLUMN(B51)+1)-SMALL(IF(ISERROR(SEARCH(MID(";"&amp;'CASE DATA'!$F52&amp;";",ROW($1:$99),1),";")),"",ROW($1:$99)),COLUMN(B51))-1)</f>
        <v/>
      </c>
      <c r="Y52" s="29" t="str">
        <f t="array" ref="Y52">MID(";"&amp;'CASE DATA'!$F52&amp;";",SMALL(IF(ISERROR(SEARCH(MID(";"&amp;'CASE DATA'!$F52&amp;";",ROW($1:$99),1),";")),"",ROW($1:$99)+1),COLUMN(D52)),SMALL(IF(ISERROR(SEARCH(MID(";"&amp;'CASE DATA'!$F52&amp;";",ROW($1:$99),1),";")),"",ROW($1:$99)),COLUMN(D51)+1)-SMALL(IF(ISERROR(SEARCH(MID(";"&amp;'CASE DATA'!$F52&amp;";",ROW($1:$99),1),";")),"",ROW($1:$99)),COLUMN(D51))-1)</f>
        <v/>
      </c>
      <c r="Z52" s="29" t="str">
        <f t="array" ref="Z52">MID(";"&amp;'CASE DATA'!$F52&amp;";",SMALL(IF(ISERROR(SEARCH(MID(";"&amp;'CASE DATA'!$F52&amp;";",ROW($1:$99),1),";")),"",ROW($1:$99)+1),COLUMN(E52)),SMALL(IF(ISERROR(SEARCH(MID(";"&amp;'CASE DATA'!$F52&amp;";",ROW($1:$99),1),";")),"",ROW($1:$99)),COLUMN(E51)+1)-SMALL(IF(ISERROR(SEARCH(MID(";"&amp;'CASE DATA'!$F52&amp;";",ROW($1:$99),1),";")),"",ROW($1:$99)),COLUMN(E51))-1)</f>
        <v/>
      </c>
      <c r="AA52" s="29" t="str">
        <f t="array" ref="AA52">MID(";"&amp;'CASE DATA'!$F52&amp;";",SMALL(IF(ISERROR(SEARCH(MID(";"&amp;'CASE DATA'!$F52&amp;";",ROW($1:$99),1),";")),"",ROW($1:$99)+1),COLUMN(F52)),SMALL(IF(ISERROR(SEARCH(MID(";"&amp;'CASE DATA'!$F52&amp;";",ROW($1:$99),1),";")),"",ROW($1:$99)),COLUMN(F51)+1)-SMALL(IF(ISERROR(SEARCH(MID(";"&amp;'CASE DATA'!$F52&amp;";",ROW($1:$99),1),";")),"",ROW($1:$99)),COLUMN(F51))-1)</f>
        <v/>
      </c>
      <c r="AB52" s="29" t="str">
        <f t="array" ref="AB52">MID(";"&amp;'CASE DATA'!$F52&amp;";",SMALL(IF(ISERROR(SEARCH(MID(";"&amp;'CASE DATA'!$F52&amp;";",ROW($1:$99),1),";")),"",ROW($1:$99)+1),COLUMN(G52)),SMALL(IF(ISERROR(SEARCH(MID(";"&amp;'CASE DATA'!$F52&amp;";",ROW($1:$99),1),";")),"",ROW($1:$99)),COLUMN(G51)+1)-SMALL(IF(ISERROR(SEARCH(MID(";"&amp;'CASE DATA'!$F52&amp;";",ROW($1:$99),1),";")),"",ROW($1:$99)),COLUMN(G51))-1)</f>
        <v/>
      </c>
      <c r="AC52" s="29" t="str">
        <f t="array" ref="AC52">MID(";"&amp;'CASE DATA'!$F52&amp;";",SMALL(IF(ISERROR(SEARCH(MID(";"&amp;'CASE DATA'!$F52&amp;";",ROW($1:$99),1),";")),"",ROW($1:$99)+1),COLUMN(H52)),SMALL(IF(ISERROR(SEARCH(MID(";"&amp;'CASE DATA'!$F52&amp;";",ROW($1:$99),1),";")),"",ROW($1:$99)),COLUMN(H51)+1)-SMALL(IF(ISERROR(SEARCH(MID(";"&amp;'CASE DATA'!$F52&amp;";",ROW($1:$99),1),";")),"",ROW($1:$99)),COLUMN(H51))-1)</f>
        <v/>
      </c>
      <c r="AD52" s="29" t="str">
        <f t="array" ref="AD52">MID(";"&amp;'CASE DATA'!$F52&amp;";",SMALL(IF(ISERROR(SEARCH(MID(";"&amp;'CASE DATA'!$F52&amp;";",ROW($1:$99),1),";")),"",ROW($1:$99)+1),COLUMN(I52)),SMALL(IF(ISERROR(SEARCH(MID(";"&amp;'CASE DATA'!$F52&amp;";",ROW($1:$99),1),";")),"",ROW($1:$99)),COLUMN(I51)+1)-SMALL(IF(ISERROR(SEARCH(MID(";"&amp;'CASE DATA'!$F52&amp;";",ROW($1:$99),1),";")),"",ROW($1:$99)),COLUMN(I51))-1)</f>
        <v/>
      </c>
      <c r="AE52" s="29" t="str">
        <f t="array" ref="AE52">MID(";"&amp;'CASE DATA'!$F52&amp;";",SMALL(IF(ISERROR(SEARCH(MID(";"&amp;'CASE DATA'!$F52&amp;";",ROW($1:$99),1),";")),"",ROW($1:$99)+1),COLUMN(J52)),SMALL(IF(ISERROR(SEARCH(MID(";"&amp;'CASE DATA'!$F52&amp;";",ROW($1:$99),1),";")),"",ROW($1:$99)),COLUMN(J51)+1)-SMALL(IF(ISERROR(SEARCH(MID(";"&amp;'CASE DATA'!$F52&amp;";",ROW($1:$99),1),";")),"",ROW($1:$99)),COLUMN(J51))-1)</f>
        <v/>
      </c>
      <c r="AF52" s="29" t="str">
        <f t="array" ref="AF52">MID(";"&amp;'CASE DATA'!$F52&amp;";",SMALL(IF(ISERROR(SEARCH(MID(";"&amp;'CASE DATA'!$F52&amp;";",ROW($1:$99),1),";")),"",ROW($1:$99)+1),COLUMN(K52)),SMALL(IF(ISERROR(SEARCH(MID(";"&amp;'CASE DATA'!$F52&amp;";",ROW($1:$99),1),";")),"",ROW($1:$99)),COLUMN(K51)+1)-SMALL(IF(ISERROR(SEARCH(MID(";"&amp;'CASE DATA'!$F52&amp;";",ROW($1:$99),1),";")),"",ROW($1:$99)),COLUMN(K51))-1)</f>
        <v/>
      </c>
      <c r="AG52" s="29" t="str">
        <f t="array" ref="AG52">MID(";"&amp;'CASE DATA'!$F52&amp;";",SMALL(IF(ISERROR(SEARCH(MID(";"&amp;'CASE DATA'!$F52&amp;";",ROW($1:$99),1),";")),"",ROW($1:$99)+1),COLUMN(L52)),SMALL(IF(ISERROR(SEARCH(MID(";"&amp;'CASE DATA'!$F52&amp;";",ROW($1:$99),1),";")),"",ROW($1:$99)),COLUMN(L51)+1)-SMALL(IF(ISERROR(SEARCH(MID(";"&amp;'CASE DATA'!$F52&amp;";",ROW($1:$99),1),";")),"",ROW($1:$99)),COLUMN(L51))-1)</f>
        <v/>
      </c>
      <c r="AH52" s="29"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25"/>
      <c r="C53" s="24"/>
      <c r="D53" s="24"/>
      <c r="E53" s="25"/>
      <c r="F53" s="30"/>
      <c r="J53" s="31"/>
      <c r="K53" s="31"/>
      <c r="L53" s="31"/>
      <c r="M53" s="31"/>
      <c r="N53" s="31"/>
      <c r="O53" s="31"/>
      <c r="P53" s="31"/>
      <c r="Q53" s="31"/>
      <c r="R53" s="31"/>
      <c r="S53" s="31"/>
      <c r="T53" s="28">
        <f t="shared" si="1"/>
        <v>0</v>
      </c>
      <c r="U53" s="28"/>
      <c r="W53" s="29" t="str">
        <f t="array" ref="W53">MID(";"&amp;'CASE DATA'!$F53&amp;";",SMALL(IF(ISERROR(SEARCH(MID(";"&amp;'CASE DATA'!$F53&amp;";",ROW($1:$99),1),";")),"",ROW($1:$99)+1),COLUMN(A53)),SMALL(IF(ISERROR(SEARCH(MID(";"&amp;'CASE DATA'!$F53&amp;";",ROW($1:$99),1),";")),"",ROW($1:$99)),COLUMN(A52)+1)-SMALL(IF(ISERROR(SEARCH(MID(";"&amp;'CASE DATA'!$F53&amp;";",ROW($1:$99),1),";")),"",ROW($1:$99)),COLUMN(A52))-1)</f>
        <v/>
      </c>
      <c r="X53" s="29" t="str">
        <f t="array" ref="X53">MID(";"&amp;'CASE DATA'!$F53&amp;";",SMALL(IF(ISERROR(SEARCH(MID(";"&amp;'CASE DATA'!$F53&amp;";",ROW($1:$99),1),";")),"",ROW($1:$99)+1),COLUMN(B53)),SMALL(IF(ISERROR(SEARCH(MID(";"&amp;'CASE DATA'!$F53&amp;";",ROW($1:$99),1),";")),"",ROW($1:$99)),COLUMN(B52)+1)-SMALL(IF(ISERROR(SEARCH(MID(";"&amp;'CASE DATA'!$F53&amp;";",ROW($1:$99),1),";")),"",ROW($1:$99)),COLUMN(B52))-1)</f>
        <v/>
      </c>
      <c r="Y53" s="29" t="str">
        <f t="array" ref="Y53">MID(";"&amp;'CASE DATA'!$F53&amp;";",SMALL(IF(ISERROR(SEARCH(MID(";"&amp;'CASE DATA'!$F53&amp;";",ROW($1:$99),1),";")),"",ROW($1:$99)+1),COLUMN(D53)),SMALL(IF(ISERROR(SEARCH(MID(";"&amp;'CASE DATA'!$F53&amp;";",ROW($1:$99),1),";")),"",ROW($1:$99)),COLUMN(D52)+1)-SMALL(IF(ISERROR(SEARCH(MID(";"&amp;'CASE DATA'!$F53&amp;";",ROW($1:$99),1),";")),"",ROW($1:$99)),COLUMN(D52))-1)</f>
        <v/>
      </c>
      <c r="Z53" s="29" t="str">
        <f t="array" ref="Z53">MID(";"&amp;'CASE DATA'!$F53&amp;";",SMALL(IF(ISERROR(SEARCH(MID(";"&amp;'CASE DATA'!$F53&amp;";",ROW($1:$99),1),";")),"",ROW($1:$99)+1),COLUMN(E53)),SMALL(IF(ISERROR(SEARCH(MID(";"&amp;'CASE DATA'!$F53&amp;";",ROW($1:$99),1),";")),"",ROW($1:$99)),COLUMN(E52)+1)-SMALL(IF(ISERROR(SEARCH(MID(";"&amp;'CASE DATA'!$F53&amp;";",ROW($1:$99),1),";")),"",ROW($1:$99)),COLUMN(E52))-1)</f>
        <v/>
      </c>
      <c r="AA53" s="29" t="str">
        <f t="array" ref="AA53">MID(";"&amp;'CASE DATA'!$F53&amp;";",SMALL(IF(ISERROR(SEARCH(MID(";"&amp;'CASE DATA'!$F53&amp;";",ROW($1:$99),1),";")),"",ROW($1:$99)+1),COLUMN(F53)),SMALL(IF(ISERROR(SEARCH(MID(";"&amp;'CASE DATA'!$F53&amp;";",ROW($1:$99),1),";")),"",ROW($1:$99)),COLUMN(F52)+1)-SMALL(IF(ISERROR(SEARCH(MID(";"&amp;'CASE DATA'!$F53&amp;";",ROW($1:$99),1),";")),"",ROW($1:$99)),COLUMN(F52))-1)</f>
        <v/>
      </c>
      <c r="AB53" s="29" t="str">
        <f t="array" ref="AB53">MID(";"&amp;'CASE DATA'!$F53&amp;";",SMALL(IF(ISERROR(SEARCH(MID(";"&amp;'CASE DATA'!$F53&amp;";",ROW($1:$99),1),";")),"",ROW($1:$99)+1),COLUMN(G53)),SMALL(IF(ISERROR(SEARCH(MID(";"&amp;'CASE DATA'!$F53&amp;";",ROW($1:$99),1),";")),"",ROW($1:$99)),COLUMN(G52)+1)-SMALL(IF(ISERROR(SEARCH(MID(";"&amp;'CASE DATA'!$F53&amp;";",ROW($1:$99),1),";")),"",ROW($1:$99)),COLUMN(G52))-1)</f>
        <v/>
      </c>
      <c r="AC53" s="29" t="str">
        <f t="array" ref="AC53">MID(";"&amp;'CASE DATA'!$F53&amp;";",SMALL(IF(ISERROR(SEARCH(MID(";"&amp;'CASE DATA'!$F53&amp;";",ROW($1:$99),1),";")),"",ROW($1:$99)+1),COLUMN(H53)),SMALL(IF(ISERROR(SEARCH(MID(";"&amp;'CASE DATA'!$F53&amp;";",ROW($1:$99),1),";")),"",ROW($1:$99)),COLUMN(H52)+1)-SMALL(IF(ISERROR(SEARCH(MID(";"&amp;'CASE DATA'!$F53&amp;";",ROW($1:$99),1),";")),"",ROW($1:$99)),COLUMN(H52))-1)</f>
        <v/>
      </c>
      <c r="AD53" s="29" t="str">
        <f t="array" ref="AD53">MID(";"&amp;'CASE DATA'!$F53&amp;";",SMALL(IF(ISERROR(SEARCH(MID(";"&amp;'CASE DATA'!$F53&amp;";",ROW($1:$99),1),";")),"",ROW($1:$99)+1),COLUMN(I53)),SMALL(IF(ISERROR(SEARCH(MID(";"&amp;'CASE DATA'!$F53&amp;";",ROW($1:$99),1),";")),"",ROW($1:$99)),COLUMN(I52)+1)-SMALL(IF(ISERROR(SEARCH(MID(";"&amp;'CASE DATA'!$F53&amp;";",ROW($1:$99),1),";")),"",ROW($1:$99)),COLUMN(I52))-1)</f>
        <v/>
      </c>
      <c r="AE53" s="29" t="str">
        <f t="array" ref="AE53">MID(";"&amp;'CASE DATA'!$F53&amp;";",SMALL(IF(ISERROR(SEARCH(MID(";"&amp;'CASE DATA'!$F53&amp;";",ROW($1:$99),1),";")),"",ROW($1:$99)+1),COLUMN(J53)),SMALL(IF(ISERROR(SEARCH(MID(";"&amp;'CASE DATA'!$F53&amp;";",ROW($1:$99),1),";")),"",ROW($1:$99)),COLUMN(J52)+1)-SMALL(IF(ISERROR(SEARCH(MID(";"&amp;'CASE DATA'!$F53&amp;";",ROW($1:$99),1),";")),"",ROW($1:$99)),COLUMN(J52))-1)</f>
        <v/>
      </c>
      <c r="AF53" s="29" t="str">
        <f t="array" ref="AF53">MID(";"&amp;'CASE DATA'!$F53&amp;";",SMALL(IF(ISERROR(SEARCH(MID(";"&amp;'CASE DATA'!$F53&amp;";",ROW($1:$99),1),";")),"",ROW($1:$99)+1),COLUMN(K53)),SMALL(IF(ISERROR(SEARCH(MID(";"&amp;'CASE DATA'!$F53&amp;";",ROW($1:$99),1),";")),"",ROW($1:$99)),COLUMN(K52)+1)-SMALL(IF(ISERROR(SEARCH(MID(";"&amp;'CASE DATA'!$F53&amp;";",ROW($1:$99),1),";")),"",ROW($1:$99)),COLUMN(K52))-1)</f>
        <v/>
      </c>
      <c r="AG53" s="29" t="str">
        <f t="array" ref="AG53">MID(";"&amp;'CASE DATA'!$F53&amp;";",SMALL(IF(ISERROR(SEARCH(MID(";"&amp;'CASE DATA'!$F53&amp;";",ROW($1:$99),1),";")),"",ROW($1:$99)+1),COLUMN(L53)),SMALL(IF(ISERROR(SEARCH(MID(";"&amp;'CASE DATA'!$F53&amp;";",ROW($1:$99),1),";")),"",ROW($1:$99)),COLUMN(L52)+1)-SMALL(IF(ISERROR(SEARCH(MID(";"&amp;'CASE DATA'!$F53&amp;";",ROW($1:$99),1),";")),"",ROW($1:$99)),COLUMN(L52))-1)</f>
        <v/>
      </c>
      <c r="AH53" s="29"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25"/>
      <c r="C54" s="24"/>
      <c r="D54" s="24"/>
      <c r="E54" s="25"/>
      <c r="F54" s="30"/>
      <c r="J54" s="31"/>
      <c r="K54" s="31"/>
      <c r="L54" s="31"/>
      <c r="M54" s="31"/>
      <c r="N54" s="31"/>
      <c r="O54" s="31"/>
      <c r="P54" s="31"/>
      <c r="Q54" s="31"/>
      <c r="R54" s="31"/>
      <c r="S54" s="31"/>
      <c r="T54" s="28">
        <f t="shared" si="1"/>
        <v>0</v>
      </c>
      <c r="U54" s="28"/>
      <c r="W54" s="29" t="str">
        <f t="array" ref="W54">MID(";"&amp;'CASE DATA'!$F54&amp;";",SMALL(IF(ISERROR(SEARCH(MID(";"&amp;'CASE DATA'!$F54&amp;";",ROW($1:$99),1),";")),"",ROW($1:$99)+1),COLUMN(A54)),SMALL(IF(ISERROR(SEARCH(MID(";"&amp;'CASE DATA'!$F54&amp;";",ROW($1:$99),1),";")),"",ROW($1:$99)),COLUMN(A53)+1)-SMALL(IF(ISERROR(SEARCH(MID(";"&amp;'CASE DATA'!$F54&amp;";",ROW($1:$99),1),";")),"",ROW($1:$99)),COLUMN(A53))-1)</f>
        <v/>
      </c>
      <c r="X54" s="29" t="str">
        <f t="array" ref="X54">MID(";"&amp;'CASE DATA'!$F54&amp;";",SMALL(IF(ISERROR(SEARCH(MID(";"&amp;'CASE DATA'!$F54&amp;";",ROW($1:$99),1),";")),"",ROW($1:$99)+1),COLUMN(B54)),SMALL(IF(ISERROR(SEARCH(MID(";"&amp;'CASE DATA'!$F54&amp;";",ROW($1:$99),1),";")),"",ROW($1:$99)),COLUMN(B53)+1)-SMALL(IF(ISERROR(SEARCH(MID(";"&amp;'CASE DATA'!$F54&amp;";",ROW($1:$99),1),";")),"",ROW($1:$99)),COLUMN(B53))-1)</f>
        <v/>
      </c>
      <c r="Y54" s="29" t="str">
        <f t="array" ref="Y54">MID(";"&amp;'CASE DATA'!$F54&amp;";",SMALL(IF(ISERROR(SEARCH(MID(";"&amp;'CASE DATA'!$F54&amp;";",ROW($1:$99),1),";")),"",ROW($1:$99)+1),COLUMN(D54)),SMALL(IF(ISERROR(SEARCH(MID(";"&amp;'CASE DATA'!$F54&amp;";",ROW($1:$99),1),";")),"",ROW($1:$99)),COLUMN(D53)+1)-SMALL(IF(ISERROR(SEARCH(MID(";"&amp;'CASE DATA'!$F54&amp;";",ROW($1:$99),1),";")),"",ROW($1:$99)),COLUMN(D53))-1)</f>
        <v/>
      </c>
      <c r="Z54" s="29" t="str">
        <f t="array" ref="Z54">MID(";"&amp;'CASE DATA'!$F54&amp;";",SMALL(IF(ISERROR(SEARCH(MID(";"&amp;'CASE DATA'!$F54&amp;";",ROW($1:$99),1),";")),"",ROW($1:$99)+1),COLUMN(E54)),SMALL(IF(ISERROR(SEARCH(MID(";"&amp;'CASE DATA'!$F54&amp;";",ROW($1:$99),1),";")),"",ROW($1:$99)),COLUMN(E53)+1)-SMALL(IF(ISERROR(SEARCH(MID(";"&amp;'CASE DATA'!$F54&amp;";",ROW($1:$99),1),";")),"",ROW($1:$99)),COLUMN(E53))-1)</f>
        <v/>
      </c>
      <c r="AA54" s="29" t="str">
        <f t="array" ref="AA54">MID(";"&amp;'CASE DATA'!$F54&amp;";",SMALL(IF(ISERROR(SEARCH(MID(";"&amp;'CASE DATA'!$F54&amp;";",ROW($1:$99),1),";")),"",ROW($1:$99)+1),COLUMN(F54)),SMALL(IF(ISERROR(SEARCH(MID(";"&amp;'CASE DATA'!$F54&amp;";",ROW($1:$99),1),";")),"",ROW($1:$99)),COLUMN(F53)+1)-SMALL(IF(ISERROR(SEARCH(MID(";"&amp;'CASE DATA'!$F54&amp;";",ROW($1:$99),1),";")),"",ROW($1:$99)),COLUMN(F53))-1)</f>
        <v/>
      </c>
      <c r="AB54" s="29" t="str">
        <f t="array" ref="AB54">MID(";"&amp;'CASE DATA'!$F54&amp;";",SMALL(IF(ISERROR(SEARCH(MID(";"&amp;'CASE DATA'!$F54&amp;";",ROW($1:$99),1),";")),"",ROW($1:$99)+1),COLUMN(G54)),SMALL(IF(ISERROR(SEARCH(MID(";"&amp;'CASE DATA'!$F54&amp;";",ROW($1:$99),1),";")),"",ROW($1:$99)),COLUMN(G53)+1)-SMALL(IF(ISERROR(SEARCH(MID(";"&amp;'CASE DATA'!$F54&amp;";",ROW($1:$99),1),";")),"",ROW($1:$99)),COLUMN(G53))-1)</f>
        <v/>
      </c>
      <c r="AC54" s="29" t="str">
        <f t="array" ref="AC54">MID(";"&amp;'CASE DATA'!$F54&amp;";",SMALL(IF(ISERROR(SEARCH(MID(";"&amp;'CASE DATA'!$F54&amp;";",ROW($1:$99),1),";")),"",ROW($1:$99)+1),COLUMN(H54)),SMALL(IF(ISERROR(SEARCH(MID(";"&amp;'CASE DATA'!$F54&amp;";",ROW($1:$99),1),";")),"",ROW($1:$99)),COLUMN(H53)+1)-SMALL(IF(ISERROR(SEARCH(MID(";"&amp;'CASE DATA'!$F54&amp;";",ROW($1:$99),1),";")),"",ROW($1:$99)),COLUMN(H53))-1)</f>
        <v/>
      </c>
      <c r="AD54" s="29" t="str">
        <f t="array" ref="AD54">MID(";"&amp;'CASE DATA'!$F54&amp;";",SMALL(IF(ISERROR(SEARCH(MID(";"&amp;'CASE DATA'!$F54&amp;";",ROW($1:$99),1),";")),"",ROW($1:$99)+1),COLUMN(I54)),SMALL(IF(ISERROR(SEARCH(MID(";"&amp;'CASE DATA'!$F54&amp;";",ROW($1:$99),1),";")),"",ROW($1:$99)),COLUMN(I53)+1)-SMALL(IF(ISERROR(SEARCH(MID(";"&amp;'CASE DATA'!$F54&amp;";",ROW($1:$99),1),";")),"",ROW($1:$99)),COLUMN(I53))-1)</f>
        <v/>
      </c>
      <c r="AE54" s="29" t="str">
        <f t="array" ref="AE54">MID(";"&amp;'CASE DATA'!$F54&amp;";",SMALL(IF(ISERROR(SEARCH(MID(";"&amp;'CASE DATA'!$F54&amp;";",ROW($1:$99),1),";")),"",ROW($1:$99)+1),COLUMN(J54)),SMALL(IF(ISERROR(SEARCH(MID(";"&amp;'CASE DATA'!$F54&amp;";",ROW($1:$99),1),";")),"",ROW($1:$99)),COLUMN(J53)+1)-SMALL(IF(ISERROR(SEARCH(MID(";"&amp;'CASE DATA'!$F54&amp;";",ROW($1:$99),1),";")),"",ROW($1:$99)),COLUMN(J53))-1)</f>
        <v/>
      </c>
      <c r="AF54" s="29" t="str">
        <f t="array" ref="AF54">MID(";"&amp;'CASE DATA'!$F54&amp;";",SMALL(IF(ISERROR(SEARCH(MID(";"&amp;'CASE DATA'!$F54&amp;";",ROW($1:$99),1),";")),"",ROW($1:$99)+1),COLUMN(K54)),SMALL(IF(ISERROR(SEARCH(MID(";"&amp;'CASE DATA'!$F54&amp;";",ROW($1:$99),1),";")),"",ROW($1:$99)),COLUMN(K53)+1)-SMALL(IF(ISERROR(SEARCH(MID(";"&amp;'CASE DATA'!$F54&amp;";",ROW($1:$99),1),";")),"",ROW($1:$99)),COLUMN(K53))-1)</f>
        <v/>
      </c>
      <c r="AG54" s="29" t="str">
        <f t="array" ref="AG54">MID(";"&amp;'CASE DATA'!$F54&amp;";",SMALL(IF(ISERROR(SEARCH(MID(";"&amp;'CASE DATA'!$F54&amp;";",ROW($1:$99),1),";")),"",ROW($1:$99)+1),COLUMN(L54)),SMALL(IF(ISERROR(SEARCH(MID(";"&amp;'CASE DATA'!$F54&amp;";",ROW($1:$99),1),";")),"",ROW($1:$99)),COLUMN(L53)+1)-SMALL(IF(ISERROR(SEARCH(MID(";"&amp;'CASE DATA'!$F54&amp;";",ROW($1:$99),1),";")),"",ROW($1:$99)),COLUMN(L53))-1)</f>
        <v/>
      </c>
      <c r="AH54" s="29"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25"/>
      <c r="C55" s="24"/>
      <c r="D55" s="24"/>
      <c r="E55" s="25"/>
      <c r="F55" s="30"/>
      <c r="J55" s="31"/>
      <c r="K55" s="31"/>
      <c r="L55" s="31"/>
      <c r="M55" s="31"/>
      <c r="N55" s="31"/>
      <c r="O55" s="31"/>
      <c r="P55" s="31"/>
      <c r="Q55" s="31"/>
      <c r="R55" s="31"/>
      <c r="S55" s="31"/>
      <c r="T55" s="28">
        <f t="shared" si="1"/>
        <v>0</v>
      </c>
      <c r="U55" s="28"/>
      <c r="W55" s="29" t="str">
        <f t="array" ref="W55">MID(";"&amp;'CASE DATA'!$F55&amp;";",SMALL(IF(ISERROR(SEARCH(MID(";"&amp;'CASE DATA'!$F55&amp;";",ROW($1:$99),1),";")),"",ROW($1:$99)+1),COLUMN(A55)),SMALL(IF(ISERROR(SEARCH(MID(";"&amp;'CASE DATA'!$F55&amp;";",ROW($1:$99),1),";")),"",ROW($1:$99)),COLUMN(A54)+1)-SMALL(IF(ISERROR(SEARCH(MID(";"&amp;'CASE DATA'!$F55&amp;";",ROW($1:$99),1),";")),"",ROW($1:$99)),COLUMN(A54))-1)</f>
        <v/>
      </c>
      <c r="X55" s="29" t="str">
        <f t="array" ref="X55">MID(";"&amp;'CASE DATA'!$F55&amp;";",SMALL(IF(ISERROR(SEARCH(MID(";"&amp;'CASE DATA'!$F55&amp;";",ROW($1:$99),1),";")),"",ROW($1:$99)+1),COLUMN(B55)),SMALL(IF(ISERROR(SEARCH(MID(";"&amp;'CASE DATA'!$F55&amp;";",ROW($1:$99),1),";")),"",ROW($1:$99)),COLUMN(B54)+1)-SMALL(IF(ISERROR(SEARCH(MID(";"&amp;'CASE DATA'!$F55&amp;";",ROW($1:$99),1),";")),"",ROW($1:$99)),COLUMN(B54))-1)</f>
        <v/>
      </c>
      <c r="Y55" s="29" t="str">
        <f t="array" ref="Y55">MID(";"&amp;'CASE DATA'!$F55&amp;";",SMALL(IF(ISERROR(SEARCH(MID(";"&amp;'CASE DATA'!$F55&amp;";",ROW($1:$99),1),";")),"",ROW($1:$99)+1),COLUMN(D55)),SMALL(IF(ISERROR(SEARCH(MID(";"&amp;'CASE DATA'!$F55&amp;";",ROW($1:$99),1),";")),"",ROW($1:$99)),COLUMN(D54)+1)-SMALL(IF(ISERROR(SEARCH(MID(";"&amp;'CASE DATA'!$F55&amp;";",ROW($1:$99),1),";")),"",ROW($1:$99)),COLUMN(D54))-1)</f>
        <v/>
      </c>
      <c r="Z55" s="29" t="str">
        <f t="array" ref="Z55">MID(";"&amp;'CASE DATA'!$F55&amp;";",SMALL(IF(ISERROR(SEARCH(MID(";"&amp;'CASE DATA'!$F55&amp;";",ROW($1:$99),1),";")),"",ROW($1:$99)+1),COLUMN(E55)),SMALL(IF(ISERROR(SEARCH(MID(";"&amp;'CASE DATA'!$F55&amp;";",ROW($1:$99),1),";")),"",ROW($1:$99)),COLUMN(E54)+1)-SMALL(IF(ISERROR(SEARCH(MID(";"&amp;'CASE DATA'!$F55&amp;";",ROW($1:$99),1),";")),"",ROW($1:$99)),COLUMN(E54))-1)</f>
        <v/>
      </c>
      <c r="AA55" s="29" t="str">
        <f t="array" ref="AA55">MID(";"&amp;'CASE DATA'!$F55&amp;";",SMALL(IF(ISERROR(SEARCH(MID(";"&amp;'CASE DATA'!$F55&amp;";",ROW($1:$99),1),";")),"",ROW($1:$99)+1),COLUMN(F55)),SMALL(IF(ISERROR(SEARCH(MID(";"&amp;'CASE DATA'!$F55&amp;";",ROW($1:$99),1),";")),"",ROW($1:$99)),COLUMN(F54)+1)-SMALL(IF(ISERROR(SEARCH(MID(";"&amp;'CASE DATA'!$F55&amp;";",ROW($1:$99),1),";")),"",ROW($1:$99)),COLUMN(F54))-1)</f>
        <v/>
      </c>
      <c r="AB55" s="29" t="str">
        <f t="array" ref="AB55">MID(";"&amp;'CASE DATA'!$F55&amp;";",SMALL(IF(ISERROR(SEARCH(MID(";"&amp;'CASE DATA'!$F55&amp;";",ROW($1:$99),1),";")),"",ROW($1:$99)+1),COLUMN(G55)),SMALL(IF(ISERROR(SEARCH(MID(";"&amp;'CASE DATA'!$F55&amp;";",ROW($1:$99),1),";")),"",ROW($1:$99)),COLUMN(G54)+1)-SMALL(IF(ISERROR(SEARCH(MID(";"&amp;'CASE DATA'!$F55&amp;";",ROW($1:$99),1),";")),"",ROW($1:$99)),COLUMN(G54))-1)</f>
        <v/>
      </c>
      <c r="AC55" s="29" t="str">
        <f t="array" ref="AC55">MID(";"&amp;'CASE DATA'!$F55&amp;";",SMALL(IF(ISERROR(SEARCH(MID(";"&amp;'CASE DATA'!$F55&amp;";",ROW($1:$99),1),";")),"",ROW($1:$99)+1),COLUMN(H55)),SMALL(IF(ISERROR(SEARCH(MID(";"&amp;'CASE DATA'!$F55&amp;";",ROW($1:$99),1),";")),"",ROW($1:$99)),COLUMN(H54)+1)-SMALL(IF(ISERROR(SEARCH(MID(";"&amp;'CASE DATA'!$F55&amp;";",ROW($1:$99),1),";")),"",ROW($1:$99)),COLUMN(H54))-1)</f>
        <v/>
      </c>
      <c r="AD55" s="29" t="str">
        <f t="array" ref="AD55">MID(";"&amp;'CASE DATA'!$F55&amp;";",SMALL(IF(ISERROR(SEARCH(MID(";"&amp;'CASE DATA'!$F55&amp;";",ROW($1:$99),1),";")),"",ROW($1:$99)+1),COLUMN(I55)),SMALL(IF(ISERROR(SEARCH(MID(";"&amp;'CASE DATA'!$F55&amp;";",ROW($1:$99),1),";")),"",ROW($1:$99)),COLUMN(I54)+1)-SMALL(IF(ISERROR(SEARCH(MID(";"&amp;'CASE DATA'!$F55&amp;";",ROW($1:$99),1),";")),"",ROW($1:$99)),COLUMN(I54))-1)</f>
        <v/>
      </c>
      <c r="AE55" s="29" t="str">
        <f t="array" ref="AE55">MID(";"&amp;'CASE DATA'!$F55&amp;";",SMALL(IF(ISERROR(SEARCH(MID(";"&amp;'CASE DATA'!$F55&amp;";",ROW($1:$99),1),";")),"",ROW($1:$99)+1),COLUMN(J55)),SMALL(IF(ISERROR(SEARCH(MID(";"&amp;'CASE DATA'!$F55&amp;";",ROW($1:$99),1),";")),"",ROW($1:$99)),COLUMN(J54)+1)-SMALL(IF(ISERROR(SEARCH(MID(";"&amp;'CASE DATA'!$F55&amp;";",ROW($1:$99),1),";")),"",ROW($1:$99)),COLUMN(J54))-1)</f>
        <v/>
      </c>
      <c r="AF55" s="29" t="str">
        <f t="array" ref="AF55">MID(";"&amp;'CASE DATA'!$F55&amp;";",SMALL(IF(ISERROR(SEARCH(MID(";"&amp;'CASE DATA'!$F55&amp;";",ROW($1:$99),1),";")),"",ROW($1:$99)+1),COLUMN(K55)),SMALL(IF(ISERROR(SEARCH(MID(";"&amp;'CASE DATA'!$F55&amp;";",ROW($1:$99),1),";")),"",ROW($1:$99)),COLUMN(K54)+1)-SMALL(IF(ISERROR(SEARCH(MID(";"&amp;'CASE DATA'!$F55&amp;";",ROW($1:$99),1),";")),"",ROW($1:$99)),COLUMN(K54))-1)</f>
        <v/>
      </c>
      <c r="AG55" s="29" t="str">
        <f t="array" ref="AG55">MID(";"&amp;'CASE DATA'!$F55&amp;";",SMALL(IF(ISERROR(SEARCH(MID(";"&amp;'CASE DATA'!$F55&amp;";",ROW($1:$99),1),";")),"",ROW($1:$99)+1),COLUMN(L55)),SMALL(IF(ISERROR(SEARCH(MID(";"&amp;'CASE DATA'!$F55&amp;";",ROW($1:$99),1),";")),"",ROW($1:$99)),COLUMN(L54)+1)-SMALL(IF(ISERROR(SEARCH(MID(";"&amp;'CASE DATA'!$F55&amp;";",ROW($1:$99),1),";")),"",ROW($1:$99)),COLUMN(L54))-1)</f>
        <v/>
      </c>
      <c r="AH55" s="29"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25"/>
      <c r="C56" s="24"/>
      <c r="D56" s="24"/>
      <c r="E56" s="25"/>
      <c r="F56" s="30"/>
      <c r="J56" s="31"/>
      <c r="K56" s="31"/>
      <c r="L56" s="31"/>
      <c r="M56" s="31"/>
      <c r="N56" s="31"/>
      <c r="O56" s="31"/>
      <c r="P56" s="31"/>
      <c r="Q56" s="31"/>
      <c r="R56" s="31"/>
      <c r="S56" s="31"/>
      <c r="T56" s="28">
        <f t="shared" si="1"/>
        <v>0</v>
      </c>
      <c r="U56" s="28"/>
      <c r="W56" s="29" t="str">
        <f t="array" ref="W56">MID(";"&amp;'CASE DATA'!$F56&amp;";",SMALL(IF(ISERROR(SEARCH(MID(";"&amp;'CASE DATA'!$F56&amp;";",ROW($1:$99),1),";")),"",ROW($1:$99)+1),COLUMN(A56)),SMALL(IF(ISERROR(SEARCH(MID(";"&amp;'CASE DATA'!$F56&amp;";",ROW($1:$99),1),";")),"",ROW($1:$99)),COLUMN(A55)+1)-SMALL(IF(ISERROR(SEARCH(MID(";"&amp;'CASE DATA'!$F56&amp;";",ROW($1:$99),1),";")),"",ROW($1:$99)),COLUMN(A55))-1)</f>
        <v/>
      </c>
      <c r="X56" s="29" t="str">
        <f t="array" ref="X56">MID(";"&amp;'CASE DATA'!$F56&amp;";",SMALL(IF(ISERROR(SEARCH(MID(";"&amp;'CASE DATA'!$F56&amp;";",ROW($1:$99),1),";")),"",ROW($1:$99)+1),COLUMN(B56)),SMALL(IF(ISERROR(SEARCH(MID(";"&amp;'CASE DATA'!$F56&amp;";",ROW($1:$99),1),";")),"",ROW($1:$99)),COLUMN(B55)+1)-SMALL(IF(ISERROR(SEARCH(MID(";"&amp;'CASE DATA'!$F56&amp;";",ROW($1:$99),1),";")),"",ROW($1:$99)),COLUMN(B55))-1)</f>
        <v/>
      </c>
      <c r="Y56" s="29" t="str">
        <f t="array" ref="Y56">MID(";"&amp;'CASE DATA'!$F56&amp;";",SMALL(IF(ISERROR(SEARCH(MID(";"&amp;'CASE DATA'!$F56&amp;";",ROW($1:$99),1),";")),"",ROW($1:$99)+1),COLUMN(D56)),SMALL(IF(ISERROR(SEARCH(MID(";"&amp;'CASE DATA'!$F56&amp;";",ROW($1:$99),1),";")),"",ROW($1:$99)),COLUMN(D55)+1)-SMALL(IF(ISERROR(SEARCH(MID(";"&amp;'CASE DATA'!$F56&amp;";",ROW($1:$99),1),";")),"",ROW($1:$99)),COLUMN(D55))-1)</f>
        <v/>
      </c>
      <c r="Z56" s="29" t="str">
        <f t="array" ref="Z56">MID(";"&amp;'CASE DATA'!$F56&amp;";",SMALL(IF(ISERROR(SEARCH(MID(";"&amp;'CASE DATA'!$F56&amp;";",ROW($1:$99),1),";")),"",ROW($1:$99)+1),COLUMN(E56)),SMALL(IF(ISERROR(SEARCH(MID(";"&amp;'CASE DATA'!$F56&amp;";",ROW($1:$99),1),";")),"",ROW($1:$99)),COLUMN(E55)+1)-SMALL(IF(ISERROR(SEARCH(MID(";"&amp;'CASE DATA'!$F56&amp;";",ROW($1:$99),1),";")),"",ROW($1:$99)),COLUMN(E55))-1)</f>
        <v/>
      </c>
      <c r="AA56" s="29" t="str">
        <f t="array" ref="AA56">MID(";"&amp;'CASE DATA'!$F56&amp;";",SMALL(IF(ISERROR(SEARCH(MID(";"&amp;'CASE DATA'!$F56&amp;";",ROW($1:$99),1),";")),"",ROW($1:$99)+1),COLUMN(F56)),SMALL(IF(ISERROR(SEARCH(MID(";"&amp;'CASE DATA'!$F56&amp;";",ROW($1:$99),1),";")),"",ROW($1:$99)),COLUMN(F55)+1)-SMALL(IF(ISERROR(SEARCH(MID(";"&amp;'CASE DATA'!$F56&amp;";",ROW($1:$99),1),";")),"",ROW($1:$99)),COLUMN(F55))-1)</f>
        <v/>
      </c>
      <c r="AB56" s="29" t="str">
        <f t="array" ref="AB56">MID(";"&amp;'CASE DATA'!$F56&amp;";",SMALL(IF(ISERROR(SEARCH(MID(";"&amp;'CASE DATA'!$F56&amp;";",ROW($1:$99),1),";")),"",ROW($1:$99)+1),COLUMN(G56)),SMALL(IF(ISERROR(SEARCH(MID(";"&amp;'CASE DATA'!$F56&amp;";",ROW($1:$99),1),";")),"",ROW($1:$99)),COLUMN(G55)+1)-SMALL(IF(ISERROR(SEARCH(MID(";"&amp;'CASE DATA'!$F56&amp;";",ROW($1:$99),1),";")),"",ROW($1:$99)),COLUMN(G55))-1)</f>
        <v/>
      </c>
      <c r="AC56" s="29" t="str">
        <f t="array" ref="AC56">MID(";"&amp;'CASE DATA'!$F56&amp;";",SMALL(IF(ISERROR(SEARCH(MID(";"&amp;'CASE DATA'!$F56&amp;";",ROW($1:$99),1),";")),"",ROW($1:$99)+1),COLUMN(H56)),SMALL(IF(ISERROR(SEARCH(MID(";"&amp;'CASE DATA'!$F56&amp;";",ROW($1:$99),1),";")),"",ROW($1:$99)),COLUMN(H55)+1)-SMALL(IF(ISERROR(SEARCH(MID(";"&amp;'CASE DATA'!$F56&amp;";",ROW($1:$99),1),";")),"",ROW($1:$99)),COLUMN(H55))-1)</f>
        <v/>
      </c>
      <c r="AD56" s="29" t="str">
        <f t="array" ref="AD56">MID(";"&amp;'CASE DATA'!$F56&amp;";",SMALL(IF(ISERROR(SEARCH(MID(";"&amp;'CASE DATA'!$F56&amp;";",ROW($1:$99),1),";")),"",ROW($1:$99)+1),COLUMN(I56)),SMALL(IF(ISERROR(SEARCH(MID(";"&amp;'CASE DATA'!$F56&amp;";",ROW($1:$99),1),";")),"",ROW($1:$99)),COLUMN(I55)+1)-SMALL(IF(ISERROR(SEARCH(MID(";"&amp;'CASE DATA'!$F56&amp;";",ROW($1:$99),1),";")),"",ROW($1:$99)),COLUMN(I55))-1)</f>
        <v/>
      </c>
      <c r="AE56" s="29" t="str">
        <f t="array" ref="AE56">MID(";"&amp;'CASE DATA'!$F56&amp;";",SMALL(IF(ISERROR(SEARCH(MID(";"&amp;'CASE DATA'!$F56&amp;";",ROW($1:$99),1),";")),"",ROW($1:$99)+1),COLUMN(J56)),SMALL(IF(ISERROR(SEARCH(MID(";"&amp;'CASE DATA'!$F56&amp;";",ROW($1:$99),1),";")),"",ROW($1:$99)),COLUMN(J55)+1)-SMALL(IF(ISERROR(SEARCH(MID(";"&amp;'CASE DATA'!$F56&amp;";",ROW($1:$99),1),";")),"",ROW($1:$99)),COLUMN(J55))-1)</f>
        <v/>
      </c>
      <c r="AF56" s="29" t="str">
        <f t="array" ref="AF56">MID(";"&amp;'CASE DATA'!$F56&amp;";",SMALL(IF(ISERROR(SEARCH(MID(";"&amp;'CASE DATA'!$F56&amp;";",ROW($1:$99),1),";")),"",ROW($1:$99)+1),COLUMN(K56)),SMALL(IF(ISERROR(SEARCH(MID(";"&amp;'CASE DATA'!$F56&amp;";",ROW($1:$99),1),";")),"",ROW($1:$99)),COLUMN(K55)+1)-SMALL(IF(ISERROR(SEARCH(MID(";"&amp;'CASE DATA'!$F56&amp;";",ROW($1:$99),1),";")),"",ROW($1:$99)),COLUMN(K55))-1)</f>
        <v/>
      </c>
      <c r="AG56" s="29" t="str">
        <f t="array" ref="AG56">MID(";"&amp;'CASE DATA'!$F56&amp;";",SMALL(IF(ISERROR(SEARCH(MID(";"&amp;'CASE DATA'!$F56&amp;";",ROW($1:$99),1),";")),"",ROW($1:$99)+1),COLUMN(L56)),SMALL(IF(ISERROR(SEARCH(MID(";"&amp;'CASE DATA'!$F56&amp;";",ROW($1:$99),1),";")),"",ROW($1:$99)),COLUMN(L55)+1)-SMALL(IF(ISERROR(SEARCH(MID(";"&amp;'CASE DATA'!$F56&amp;";",ROW($1:$99),1),";")),"",ROW($1:$99)),COLUMN(L55))-1)</f>
        <v/>
      </c>
      <c r="AH56" s="29"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25"/>
      <c r="C57" s="24"/>
      <c r="D57" s="24"/>
      <c r="E57" s="25"/>
      <c r="F57" s="30"/>
      <c r="J57" s="31"/>
      <c r="K57" s="31"/>
      <c r="L57" s="31"/>
      <c r="M57" s="31"/>
      <c r="N57" s="31"/>
      <c r="O57" s="31"/>
      <c r="P57" s="31"/>
      <c r="Q57" s="31"/>
      <c r="R57" s="31"/>
      <c r="S57" s="31"/>
      <c r="T57" s="28">
        <f t="shared" si="1"/>
        <v>0</v>
      </c>
      <c r="U57" s="28"/>
      <c r="W57" s="29" t="str">
        <f t="array" ref="W57">MID(";"&amp;'CASE DATA'!$F57&amp;";",SMALL(IF(ISERROR(SEARCH(MID(";"&amp;'CASE DATA'!$F57&amp;";",ROW($1:$99),1),";")),"",ROW($1:$99)+1),COLUMN(A57)),SMALL(IF(ISERROR(SEARCH(MID(";"&amp;'CASE DATA'!$F57&amp;";",ROW($1:$99),1),";")),"",ROW($1:$99)),COLUMN(A56)+1)-SMALL(IF(ISERROR(SEARCH(MID(";"&amp;'CASE DATA'!$F57&amp;";",ROW($1:$99),1),";")),"",ROW($1:$99)),COLUMN(A56))-1)</f>
        <v/>
      </c>
      <c r="X57" s="29" t="str">
        <f t="array" ref="X57">MID(";"&amp;'CASE DATA'!$F57&amp;";",SMALL(IF(ISERROR(SEARCH(MID(";"&amp;'CASE DATA'!$F57&amp;";",ROW($1:$99),1),";")),"",ROW($1:$99)+1),COLUMN(B57)),SMALL(IF(ISERROR(SEARCH(MID(";"&amp;'CASE DATA'!$F57&amp;";",ROW($1:$99),1),";")),"",ROW($1:$99)),COLUMN(B56)+1)-SMALL(IF(ISERROR(SEARCH(MID(";"&amp;'CASE DATA'!$F57&amp;";",ROW($1:$99),1),";")),"",ROW($1:$99)),COLUMN(B56))-1)</f>
        <v/>
      </c>
      <c r="Y57" s="29" t="str">
        <f t="array" ref="Y57">MID(";"&amp;'CASE DATA'!$F57&amp;";",SMALL(IF(ISERROR(SEARCH(MID(";"&amp;'CASE DATA'!$F57&amp;";",ROW($1:$99),1),";")),"",ROW($1:$99)+1),COLUMN(D57)),SMALL(IF(ISERROR(SEARCH(MID(";"&amp;'CASE DATA'!$F57&amp;";",ROW($1:$99),1),";")),"",ROW($1:$99)),COLUMN(D56)+1)-SMALL(IF(ISERROR(SEARCH(MID(";"&amp;'CASE DATA'!$F57&amp;";",ROW($1:$99),1),";")),"",ROW($1:$99)),COLUMN(D56))-1)</f>
        <v/>
      </c>
      <c r="Z57" s="29" t="str">
        <f t="array" ref="Z57">MID(";"&amp;'CASE DATA'!$F57&amp;";",SMALL(IF(ISERROR(SEARCH(MID(";"&amp;'CASE DATA'!$F57&amp;";",ROW($1:$99),1),";")),"",ROW($1:$99)+1),COLUMN(E57)),SMALL(IF(ISERROR(SEARCH(MID(";"&amp;'CASE DATA'!$F57&amp;";",ROW($1:$99),1),";")),"",ROW($1:$99)),COLUMN(E56)+1)-SMALL(IF(ISERROR(SEARCH(MID(";"&amp;'CASE DATA'!$F57&amp;";",ROW($1:$99),1),";")),"",ROW($1:$99)),COLUMN(E56))-1)</f>
        <v/>
      </c>
      <c r="AA57" s="29" t="str">
        <f t="array" ref="AA57">MID(";"&amp;'CASE DATA'!$F57&amp;";",SMALL(IF(ISERROR(SEARCH(MID(";"&amp;'CASE DATA'!$F57&amp;";",ROW($1:$99),1),";")),"",ROW($1:$99)+1),COLUMN(F57)),SMALL(IF(ISERROR(SEARCH(MID(";"&amp;'CASE DATA'!$F57&amp;";",ROW($1:$99),1),";")),"",ROW($1:$99)),COLUMN(F56)+1)-SMALL(IF(ISERROR(SEARCH(MID(";"&amp;'CASE DATA'!$F57&amp;";",ROW($1:$99),1),";")),"",ROW($1:$99)),COLUMN(F56))-1)</f>
        <v/>
      </c>
      <c r="AB57" s="29" t="str">
        <f t="array" ref="AB57">MID(";"&amp;'CASE DATA'!$F57&amp;";",SMALL(IF(ISERROR(SEARCH(MID(";"&amp;'CASE DATA'!$F57&amp;";",ROW($1:$99),1),";")),"",ROW($1:$99)+1),COLUMN(G57)),SMALL(IF(ISERROR(SEARCH(MID(";"&amp;'CASE DATA'!$F57&amp;";",ROW($1:$99),1),";")),"",ROW($1:$99)),COLUMN(G56)+1)-SMALL(IF(ISERROR(SEARCH(MID(";"&amp;'CASE DATA'!$F57&amp;";",ROW($1:$99),1),";")),"",ROW($1:$99)),COLUMN(G56))-1)</f>
        <v/>
      </c>
      <c r="AC57" s="29" t="str">
        <f t="array" ref="AC57">MID(";"&amp;'CASE DATA'!$F57&amp;";",SMALL(IF(ISERROR(SEARCH(MID(";"&amp;'CASE DATA'!$F57&amp;";",ROW($1:$99),1),";")),"",ROW($1:$99)+1),COLUMN(H57)),SMALL(IF(ISERROR(SEARCH(MID(";"&amp;'CASE DATA'!$F57&amp;";",ROW($1:$99),1),";")),"",ROW($1:$99)),COLUMN(H56)+1)-SMALL(IF(ISERROR(SEARCH(MID(";"&amp;'CASE DATA'!$F57&amp;";",ROW($1:$99),1),";")),"",ROW($1:$99)),COLUMN(H56))-1)</f>
        <v/>
      </c>
      <c r="AD57" s="29" t="str">
        <f t="array" ref="AD57">MID(";"&amp;'CASE DATA'!$F57&amp;";",SMALL(IF(ISERROR(SEARCH(MID(";"&amp;'CASE DATA'!$F57&amp;";",ROW($1:$99),1),";")),"",ROW($1:$99)+1),COLUMN(I57)),SMALL(IF(ISERROR(SEARCH(MID(";"&amp;'CASE DATA'!$F57&amp;";",ROW($1:$99),1),";")),"",ROW($1:$99)),COLUMN(I56)+1)-SMALL(IF(ISERROR(SEARCH(MID(";"&amp;'CASE DATA'!$F57&amp;";",ROW($1:$99),1),";")),"",ROW($1:$99)),COLUMN(I56))-1)</f>
        <v/>
      </c>
      <c r="AE57" s="29" t="str">
        <f t="array" ref="AE57">MID(";"&amp;'CASE DATA'!$F57&amp;";",SMALL(IF(ISERROR(SEARCH(MID(";"&amp;'CASE DATA'!$F57&amp;";",ROW($1:$99),1),";")),"",ROW($1:$99)+1),COLUMN(J57)),SMALL(IF(ISERROR(SEARCH(MID(";"&amp;'CASE DATA'!$F57&amp;";",ROW($1:$99),1),";")),"",ROW($1:$99)),COLUMN(J56)+1)-SMALL(IF(ISERROR(SEARCH(MID(";"&amp;'CASE DATA'!$F57&amp;";",ROW($1:$99),1),";")),"",ROW($1:$99)),COLUMN(J56))-1)</f>
        <v/>
      </c>
      <c r="AF57" s="29" t="str">
        <f t="array" ref="AF57">MID(";"&amp;'CASE DATA'!$F57&amp;";",SMALL(IF(ISERROR(SEARCH(MID(";"&amp;'CASE DATA'!$F57&amp;";",ROW($1:$99),1),";")),"",ROW($1:$99)+1),COLUMN(K57)),SMALL(IF(ISERROR(SEARCH(MID(";"&amp;'CASE DATA'!$F57&amp;";",ROW($1:$99),1),";")),"",ROW($1:$99)),COLUMN(K56)+1)-SMALL(IF(ISERROR(SEARCH(MID(";"&amp;'CASE DATA'!$F57&amp;";",ROW($1:$99),1),";")),"",ROW($1:$99)),COLUMN(K56))-1)</f>
        <v/>
      </c>
      <c r="AG57" s="29" t="str">
        <f t="array" ref="AG57">MID(";"&amp;'CASE DATA'!$F57&amp;";",SMALL(IF(ISERROR(SEARCH(MID(";"&amp;'CASE DATA'!$F57&amp;";",ROW($1:$99),1),";")),"",ROW($1:$99)+1),COLUMN(L57)),SMALL(IF(ISERROR(SEARCH(MID(";"&amp;'CASE DATA'!$F57&amp;";",ROW($1:$99),1),";")),"",ROW($1:$99)),COLUMN(L56)+1)-SMALL(IF(ISERROR(SEARCH(MID(";"&amp;'CASE DATA'!$F57&amp;";",ROW($1:$99),1),";")),"",ROW($1:$99)),COLUMN(L56))-1)</f>
        <v/>
      </c>
      <c r="AH57" s="29"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25"/>
      <c r="C58" s="24"/>
      <c r="D58" s="24"/>
      <c r="E58" s="25"/>
      <c r="F58" s="30"/>
      <c r="J58" s="31"/>
      <c r="K58" s="31"/>
      <c r="L58" s="31"/>
      <c r="M58" s="31"/>
      <c r="N58" s="31"/>
      <c r="O58" s="31"/>
      <c r="P58" s="31"/>
      <c r="Q58" s="31"/>
      <c r="R58" s="31"/>
      <c r="S58" s="31"/>
      <c r="T58" s="28">
        <f t="shared" si="1"/>
        <v>0</v>
      </c>
      <c r="U58" s="28"/>
      <c r="W58" s="29" t="str">
        <f t="array" ref="W58">MID(";"&amp;'CASE DATA'!$F58&amp;";",SMALL(IF(ISERROR(SEARCH(MID(";"&amp;'CASE DATA'!$F58&amp;";",ROW($1:$99),1),";")),"",ROW($1:$99)+1),COLUMN(A58)),SMALL(IF(ISERROR(SEARCH(MID(";"&amp;'CASE DATA'!$F58&amp;";",ROW($1:$99),1),";")),"",ROW($1:$99)),COLUMN(A57)+1)-SMALL(IF(ISERROR(SEARCH(MID(";"&amp;'CASE DATA'!$F58&amp;";",ROW($1:$99),1),";")),"",ROW($1:$99)),COLUMN(A57))-1)</f>
        <v/>
      </c>
      <c r="X58" s="29" t="str">
        <f t="array" ref="X58">MID(";"&amp;'CASE DATA'!$F58&amp;";",SMALL(IF(ISERROR(SEARCH(MID(";"&amp;'CASE DATA'!$F58&amp;";",ROW($1:$99),1),";")),"",ROW($1:$99)+1),COLUMN(B58)),SMALL(IF(ISERROR(SEARCH(MID(";"&amp;'CASE DATA'!$F58&amp;";",ROW($1:$99),1),";")),"",ROW($1:$99)),COLUMN(B57)+1)-SMALL(IF(ISERROR(SEARCH(MID(";"&amp;'CASE DATA'!$F58&amp;";",ROW($1:$99),1),";")),"",ROW($1:$99)),COLUMN(B57))-1)</f>
        <v/>
      </c>
      <c r="Y58" s="29" t="str">
        <f t="array" ref="Y58">MID(";"&amp;'CASE DATA'!$F58&amp;";",SMALL(IF(ISERROR(SEARCH(MID(";"&amp;'CASE DATA'!$F58&amp;";",ROW($1:$99),1),";")),"",ROW($1:$99)+1),COLUMN(D58)),SMALL(IF(ISERROR(SEARCH(MID(";"&amp;'CASE DATA'!$F58&amp;";",ROW($1:$99),1),";")),"",ROW($1:$99)),COLUMN(D57)+1)-SMALL(IF(ISERROR(SEARCH(MID(";"&amp;'CASE DATA'!$F58&amp;";",ROW($1:$99),1),";")),"",ROW($1:$99)),COLUMN(D57))-1)</f>
        <v/>
      </c>
      <c r="Z58" s="29" t="str">
        <f t="array" ref="Z58">MID(";"&amp;'CASE DATA'!$F58&amp;";",SMALL(IF(ISERROR(SEARCH(MID(";"&amp;'CASE DATA'!$F58&amp;";",ROW($1:$99),1),";")),"",ROW($1:$99)+1),COLUMN(E58)),SMALL(IF(ISERROR(SEARCH(MID(";"&amp;'CASE DATA'!$F58&amp;";",ROW($1:$99),1),";")),"",ROW($1:$99)),COLUMN(E57)+1)-SMALL(IF(ISERROR(SEARCH(MID(";"&amp;'CASE DATA'!$F58&amp;";",ROW($1:$99),1),";")),"",ROW($1:$99)),COLUMN(E57))-1)</f>
        <v/>
      </c>
      <c r="AA58" s="29" t="str">
        <f t="array" ref="AA58">MID(";"&amp;'CASE DATA'!$F58&amp;";",SMALL(IF(ISERROR(SEARCH(MID(";"&amp;'CASE DATA'!$F58&amp;";",ROW($1:$99),1),";")),"",ROW($1:$99)+1),COLUMN(F58)),SMALL(IF(ISERROR(SEARCH(MID(";"&amp;'CASE DATA'!$F58&amp;";",ROW($1:$99),1),";")),"",ROW($1:$99)),COLUMN(F57)+1)-SMALL(IF(ISERROR(SEARCH(MID(";"&amp;'CASE DATA'!$F58&amp;";",ROW($1:$99),1),";")),"",ROW($1:$99)),COLUMN(F57))-1)</f>
        <v/>
      </c>
      <c r="AB58" s="29" t="str">
        <f t="array" ref="AB58">MID(";"&amp;'CASE DATA'!$F58&amp;";",SMALL(IF(ISERROR(SEARCH(MID(";"&amp;'CASE DATA'!$F58&amp;";",ROW($1:$99),1),";")),"",ROW($1:$99)+1),COLUMN(G58)),SMALL(IF(ISERROR(SEARCH(MID(";"&amp;'CASE DATA'!$F58&amp;";",ROW($1:$99),1),";")),"",ROW($1:$99)),COLUMN(G57)+1)-SMALL(IF(ISERROR(SEARCH(MID(";"&amp;'CASE DATA'!$F58&amp;";",ROW($1:$99),1),";")),"",ROW($1:$99)),COLUMN(G57))-1)</f>
        <v/>
      </c>
      <c r="AC58" s="29" t="str">
        <f t="array" ref="AC58">MID(";"&amp;'CASE DATA'!$F58&amp;";",SMALL(IF(ISERROR(SEARCH(MID(";"&amp;'CASE DATA'!$F58&amp;";",ROW($1:$99),1),";")),"",ROW($1:$99)+1),COLUMN(H58)),SMALL(IF(ISERROR(SEARCH(MID(";"&amp;'CASE DATA'!$F58&amp;";",ROW($1:$99),1),";")),"",ROW($1:$99)),COLUMN(H57)+1)-SMALL(IF(ISERROR(SEARCH(MID(";"&amp;'CASE DATA'!$F58&amp;";",ROW($1:$99),1),";")),"",ROW($1:$99)),COLUMN(H57))-1)</f>
        <v/>
      </c>
      <c r="AD58" s="29" t="str">
        <f t="array" ref="AD58">MID(";"&amp;'CASE DATA'!$F58&amp;";",SMALL(IF(ISERROR(SEARCH(MID(";"&amp;'CASE DATA'!$F58&amp;";",ROW($1:$99),1),";")),"",ROW($1:$99)+1),COLUMN(I58)),SMALL(IF(ISERROR(SEARCH(MID(";"&amp;'CASE DATA'!$F58&amp;";",ROW($1:$99),1),";")),"",ROW($1:$99)),COLUMN(I57)+1)-SMALL(IF(ISERROR(SEARCH(MID(";"&amp;'CASE DATA'!$F58&amp;";",ROW($1:$99),1),";")),"",ROW($1:$99)),COLUMN(I57))-1)</f>
        <v/>
      </c>
      <c r="AE58" s="29" t="str">
        <f t="array" ref="AE58">MID(";"&amp;'CASE DATA'!$F58&amp;";",SMALL(IF(ISERROR(SEARCH(MID(";"&amp;'CASE DATA'!$F58&amp;";",ROW($1:$99),1),";")),"",ROW($1:$99)+1),COLUMN(J58)),SMALL(IF(ISERROR(SEARCH(MID(";"&amp;'CASE DATA'!$F58&amp;";",ROW($1:$99),1),";")),"",ROW($1:$99)),COLUMN(J57)+1)-SMALL(IF(ISERROR(SEARCH(MID(";"&amp;'CASE DATA'!$F58&amp;";",ROW($1:$99),1),";")),"",ROW($1:$99)),COLUMN(J57))-1)</f>
        <v/>
      </c>
      <c r="AF58" s="29" t="str">
        <f t="array" ref="AF58">MID(";"&amp;'CASE DATA'!$F58&amp;";",SMALL(IF(ISERROR(SEARCH(MID(";"&amp;'CASE DATA'!$F58&amp;";",ROW($1:$99),1),";")),"",ROW($1:$99)+1),COLUMN(K58)),SMALL(IF(ISERROR(SEARCH(MID(";"&amp;'CASE DATA'!$F58&amp;";",ROW($1:$99),1),";")),"",ROW($1:$99)),COLUMN(K57)+1)-SMALL(IF(ISERROR(SEARCH(MID(";"&amp;'CASE DATA'!$F58&amp;";",ROW($1:$99),1),";")),"",ROW($1:$99)),COLUMN(K57))-1)</f>
        <v/>
      </c>
      <c r="AG58" s="29" t="str">
        <f t="array" ref="AG58">MID(";"&amp;'CASE DATA'!$F58&amp;";",SMALL(IF(ISERROR(SEARCH(MID(";"&amp;'CASE DATA'!$F58&amp;";",ROW($1:$99),1),";")),"",ROW($1:$99)+1),COLUMN(L58)),SMALL(IF(ISERROR(SEARCH(MID(";"&amp;'CASE DATA'!$F58&amp;";",ROW($1:$99),1),";")),"",ROW($1:$99)),COLUMN(L57)+1)-SMALL(IF(ISERROR(SEARCH(MID(";"&amp;'CASE DATA'!$F58&amp;";",ROW($1:$99),1),";")),"",ROW($1:$99)),COLUMN(L57))-1)</f>
        <v/>
      </c>
      <c r="AH58" s="29"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25"/>
      <c r="C59" s="24"/>
      <c r="D59" s="24"/>
      <c r="E59" s="25"/>
      <c r="F59" s="30"/>
      <c r="J59" s="31"/>
      <c r="K59" s="31"/>
      <c r="L59" s="31"/>
      <c r="M59" s="31"/>
      <c r="N59" s="31"/>
      <c r="O59" s="31"/>
      <c r="P59" s="31"/>
      <c r="Q59" s="31"/>
      <c r="R59" s="31"/>
      <c r="S59" s="31"/>
      <c r="T59" s="28">
        <f t="shared" si="1"/>
        <v>0</v>
      </c>
      <c r="U59" s="28"/>
      <c r="W59" s="29" t="str">
        <f t="array" ref="W59">MID(";"&amp;'CASE DATA'!$F59&amp;";",SMALL(IF(ISERROR(SEARCH(MID(";"&amp;'CASE DATA'!$F59&amp;";",ROW($1:$99),1),";")),"",ROW($1:$99)+1),COLUMN(A59)),SMALL(IF(ISERROR(SEARCH(MID(";"&amp;'CASE DATA'!$F59&amp;";",ROW($1:$99),1),";")),"",ROW($1:$99)),COLUMN(A58)+1)-SMALL(IF(ISERROR(SEARCH(MID(";"&amp;'CASE DATA'!$F59&amp;";",ROW($1:$99),1),";")),"",ROW($1:$99)),COLUMN(A58))-1)</f>
        <v/>
      </c>
      <c r="X59" s="29" t="str">
        <f t="array" ref="X59">MID(";"&amp;'CASE DATA'!$F59&amp;";",SMALL(IF(ISERROR(SEARCH(MID(";"&amp;'CASE DATA'!$F59&amp;";",ROW($1:$99),1),";")),"",ROW($1:$99)+1),COLUMN(B59)),SMALL(IF(ISERROR(SEARCH(MID(";"&amp;'CASE DATA'!$F59&amp;";",ROW($1:$99),1),";")),"",ROW($1:$99)),COLUMN(B58)+1)-SMALL(IF(ISERROR(SEARCH(MID(";"&amp;'CASE DATA'!$F59&amp;";",ROW($1:$99),1),";")),"",ROW($1:$99)),COLUMN(B58))-1)</f>
        <v/>
      </c>
      <c r="Y59" s="29" t="str">
        <f t="array" ref="Y59">MID(";"&amp;'CASE DATA'!$F59&amp;";",SMALL(IF(ISERROR(SEARCH(MID(";"&amp;'CASE DATA'!$F59&amp;";",ROW($1:$99),1),";")),"",ROW($1:$99)+1),COLUMN(D59)),SMALL(IF(ISERROR(SEARCH(MID(";"&amp;'CASE DATA'!$F59&amp;";",ROW($1:$99),1),";")),"",ROW($1:$99)),COLUMN(D58)+1)-SMALL(IF(ISERROR(SEARCH(MID(";"&amp;'CASE DATA'!$F59&amp;";",ROW($1:$99),1),";")),"",ROW($1:$99)),COLUMN(D58))-1)</f>
        <v/>
      </c>
      <c r="Z59" s="29" t="str">
        <f t="array" ref="Z59">MID(";"&amp;'CASE DATA'!$F59&amp;";",SMALL(IF(ISERROR(SEARCH(MID(";"&amp;'CASE DATA'!$F59&amp;";",ROW($1:$99),1),";")),"",ROW($1:$99)+1),COLUMN(E59)),SMALL(IF(ISERROR(SEARCH(MID(";"&amp;'CASE DATA'!$F59&amp;";",ROW($1:$99),1),";")),"",ROW($1:$99)),COLUMN(E58)+1)-SMALL(IF(ISERROR(SEARCH(MID(";"&amp;'CASE DATA'!$F59&amp;";",ROW($1:$99),1),";")),"",ROW($1:$99)),COLUMN(E58))-1)</f>
        <v/>
      </c>
      <c r="AA59" s="29" t="str">
        <f t="array" ref="AA59">MID(";"&amp;'CASE DATA'!$F59&amp;";",SMALL(IF(ISERROR(SEARCH(MID(";"&amp;'CASE DATA'!$F59&amp;";",ROW($1:$99),1),";")),"",ROW($1:$99)+1),COLUMN(F59)),SMALL(IF(ISERROR(SEARCH(MID(";"&amp;'CASE DATA'!$F59&amp;";",ROW($1:$99),1),";")),"",ROW($1:$99)),COLUMN(F58)+1)-SMALL(IF(ISERROR(SEARCH(MID(";"&amp;'CASE DATA'!$F59&amp;";",ROW($1:$99),1),";")),"",ROW($1:$99)),COLUMN(F58))-1)</f>
        <v/>
      </c>
      <c r="AB59" s="29" t="str">
        <f t="array" ref="AB59">MID(";"&amp;'CASE DATA'!$F59&amp;";",SMALL(IF(ISERROR(SEARCH(MID(";"&amp;'CASE DATA'!$F59&amp;";",ROW($1:$99),1),";")),"",ROW($1:$99)+1),COLUMN(G59)),SMALL(IF(ISERROR(SEARCH(MID(";"&amp;'CASE DATA'!$F59&amp;";",ROW($1:$99),1),";")),"",ROW($1:$99)),COLUMN(G58)+1)-SMALL(IF(ISERROR(SEARCH(MID(";"&amp;'CASE DATA'!$F59&amp;";",ROW($1:$99),1),";")),"",ROW($1:$99)),COLUMN(G58))-1)</f>
        <v/>
      </c>
      <c r="AC59" s="29" t="str">
        <f t="array" ref="AC59">MID(";"&amp;'CASE DATA'!$F59&amp;";",SMALL(IF(ISERROR(SEARCH(MID(";"&amp;'CASE DATA'!$F59&amp;";",ROW($1:$99),1),";")),"",ROW($1:$99)+1),COLUMN(H59)),SMALL(IF(ISERROR(SEARCH(MID(";"&amp;'CASE DATA'!$F59&amp;";",ROW($1:$99),1),";")),"",ROW($1:$99)),COLUMN(H58)+1)-SMALL(IF(ISERROR(SEARCH(MID(";"&amp;'CASE DATA'!$F59&amp;";",ROW($1:$99),1),";")),"",ROW($1:$99)),COLUMN(H58))-1)</f>
        <v/>
      </c>
      <c r="AD59" s="29" t="str">
        <f t="array" ref="AD59">MID(";"&amp;'CASE DATA'!$F59&amp;";",SMALL(IF(ISERROR(SEARCH(MID(";"&amp;'CASE DATA'!$F59&amp;";",ROW($1:$99),1),";")),"",ROW($1:$99)+1),COLUMN(I59)),SMALL(IF(ISERROR(SEARCH(MID(";"&amp;'CASE DATA'!$F59&amp;";",ROW($1:$99),1),";")),"",ROW($1:$99)),COLUMN(I58)+1)-SMALL(IF(ISERROR(SEARCH(MID(";"&amp;'CASE DATA'!$F59&amp;";",ROW($1:$99),1),";")),"",ROW($1:$99)),COLUMN(I58))-1)</f>
        <v/>
      </c>
      <c r="AE59" s="29" t="str">
        <f t="array" ref="AE59">MID(";"&amp;'CASE DATA'!$F59&amp;";",SMALL(IF(ISERROR(SEARCH(MID(";"&amp;'CASE DATA'!$F59&amp;";",ROW($1:$99),1),";")),"",ROW($1:$99)+1),COLUMN(J59)),SMALL(IF(ISERROR(SEARCH(MID(";"&amp;'CASE DATA'!$F59&amp;";",ROW($1:$99),1),";")),"",ROW($1:$99)),COLUMN(J58)+1)-SMALL(IF(ISERROR(SEARCH(MID(";"&amp;'CASE DATA'!$F59&amp;";",ROW($1:$99),1),";")),"",ROW($1:$99)),COLUMN(J58))-1)</f>
        <v/>
      </c>
      <c r="AF59" s="29" t="str">
        <f t="array" ref="AF59">MID(";"&amp;'CASE DATA'!$F59&amp;";",SMALL(IF(ISERROR(SEARCH(MID(";"&amp;'CASE DATA'!$F59&amp;";",ROW($1:$99),1),";")),"",ROW($1:$99)+1),COLUMN(K59)),SMALL(IF(ISERROR(SEARCH(MID(";"&amp;'CASE DATA'!$F59&amp;";",ROW($1:$99),1),";")),"",ROW($1:$99)),COLUMN(K58)+1)-SMALL(IF(ISERROR(SEARCH(MID(";"&amp;'CASE DATA'!$F59&amp;";",ROW($1:$99),1),";")),"",ROW($1:$99)),COLUMN(K58))-1)</f>
        <v/>
      </c>
      <c r="AG59" s="29" t="str">
        <f t="array" ref="AG59">MID(";"&amp;'CASE DATA'!$F59&amp;";",SMALL(IF(ISERROR(SEARCH(MID(";"&amp;'CASE DATA'!$F59&amp;";",ROW($1:$99),1),";")),"",ROW($1:$99)+1),COLUMN(L59)),SMALL(IF(ISERROR(SEARCH(MID(";"&amp;'CASE DATA'!$F59&amp;";",ROW($1:$99),1),";")),"",ROW($1:$99)),COLUMN(L58)+1)-SMALL(IF(ISERROR(SEARCH(MID(";"&amp;'CASE DATA'!$F59&amp;";",ROW($1:$99),1),";")),"",ROW($1:$99)),COLUMN(L58))-1)</f>
        <v/>
      </c>
      <c r="AH59" s="29"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25"/>
      <c r="C60" s="24"/>
      <c r="D60" s="24"/>
      <c r="E60" s="25"/>
      <c r="F60" s="30"/>
      <c r="J60" s="31"/>
      <c r="K60" s="31"/>
      <c r="L60" s="31"/>
      <c r="M60" s="31"/>
      <c r="N60" s="31"/>
      <c r="O60" s="31"/>
      <c r="P60" s="31"/>
      <c r="Q60" s="31"/>
      <c r="R60" s="31"/>
      <c r="S60" s="31"/>
      <c r="T60" s="28">
        <f t="shared" si="1"/>
        <v>0</v>
      </c>
      <c r="U60" s="28"/>
      <c r="W60" s="29" t="str">
        <f t="array" ref="W60">MID(";"&amp;'CASE DATA'!$F60&amp;";",SMALL(IF(ISERROR(SEARCH(MID(";"&amp;'CASE DATA'!$F60&amp;";",ROW($1:$99),1),";")),"",ROW($1:$99)+1),COLUMN(A60)),SMALL(IF(ISERROR(SEARCH(MID(";"&amp;'CASE DATA'!$F60&amp;";",ROW($1:$99),1),";")),"",ROW($1:$99)),COLUMN(A59)+1)-SMALL(IF(ISERROR(SEARCH(MID(";"&amp;'CASE DATA'!$F60&amp;";",ROW($1:$99),1),";")),"",ROW($1:$99)),COLUMN(A59))-1)</f>
        <v/>
      </c>
      <c r="X60" s="29" t="str">
        <f t="array" ref="X60">MID(";"&amp;'CASE DATA'!$F60&amp;";",SMALL(IF(ISERROR(SEARCH(MID(";"&amp;'CASE DATA'!$F60&amp;";",ROW($1:$99),1),";")),"",ROW($1:$99)+1),COLUMN(B60)),SMALL(IF(ISERROR(SEARCH(MID(";"&amp;'CASE DATA'!$F60&amp;";",ROW($1:$99),1),";")),"",ROW($1:$99)),COLUMN(B59)+1)-SMALL(IF(ISERROR(SEARCH(MID(";"&amp;'CASE DATA'!$F60&amp;";",ROW($1:$99),1),";")),"",ROW($1:$99)),COLUMN(B59))-1)</f>
        <v/>
      </c>
      <c r="Y60" s="29" t="str">
        <f t="array" ref="Y60">MID(";"&amp;'CASE DATA'!$F60&amp;";",SMALL(IF(ISERROR(SEARCH(MID(";"&amp;'CASE DATA'!$F60&amp;";",ROW($1:$99),1),";")),"",ROW($1:$99)+1),COLUMN(D60)),SMALL(IF(ISERROR(SEARCH(MID(";"&amp;'CASE DATA'!$F60&amp;";",ROW($1:$99),1),";")),"",ROW($1:$99)),COLUMN(D59)+1)-SMALL(IF(ISERROR(SEARCH(MID(";"&amp;'CASE DATA'!$F60&amp;";",ROW($1:$99),1),";")),"",ROW($1:$99)),COLUMN(D59))-1)</f>
        <v/>
      </c>
      <c r="Z60" s="29" t="str">
        <f t="array" ref="Z60">MID(";"&amp;'CASE DATA'!$F60&amp;";",SMALL(IF(ISERROR(SEARCH(MID(";"&amp;'CASE DATA'!$F60&amp;";",ROW($1:$99),1),";")),"",ROW($1:$99)+1),COLUMN(E60)),SMALL(IF(ISERROR(SEARCH(MID(";"&amp;'CASE DATA'!$F60&amp;";",ROW($1:$99),1),";")),"",ROW($1:$99)),COLUMN(E59)+1)-SMALL(IF(ISERROR(SEARCH(MID(";"&amp;'CASE DATA'!$F60&amp;";",ROW($1:$99),1),";")),"",ROW($1:$99)),COLUMN(E59))-1)</f>
        <v/>
      </c>
      <c r="AA60" s="29" t="str">
        <f t="array" ref="AA60">MID(";"&amp;'CASE DATA'!$F60&amp;";",SMALL(IF(ISERROR(SEARCH(MID(";"&amp;'CASE DATA'!$F60&amp;";",ROW($1:$99),1),";")),"",ROW($1:$99)+1),COLUMN(F60)),SMALL(IF(ISERROR(SEARCH(MID(";"&amp;'CASE DATA'!$F60&amp;";",ROW($1:$99),1),";")),"",ROW($1:$99)),COLUMN(F59)+1)-SMALL(IF(ISERROR(SEARCH(MID(";"&amp;'CASE DATA'!$F60&amp;";",ROW($1:$99),1),";")),"",ROW($1:$99)),COLUMN(F59))-1)</f>
        <v/>
      </c>
      <c r="AB60" s="29" t="str">
        <f t="array" ref="AB60">MID(";"&amp;'CASE DATA'!$F60&amp;";",SMALL(IF(ISERROR(SEARCH(MID(";"&amp;'CASE DATA'!$F60&amp;";",ROW($1:$99),1),";")),"",ROW($1:$99)+1),COLUMN(G60)),SMALL(IF(ISERROR(SEARCH(MID(";"&amp;'CASE DATA'!$F60&amp;";",ROW($1:$99),1),";")),"",ROW($1:$99)),COLUMN(G59)+1)-SMALL(IF(ISERROR(SEARCH(MID(";"&amp;'CASE DATA'!$F60&amp;";",ROW($1:$99),1),";")),"",ROW($1:$99)),COLUMN(G59))-1)</f>
        <v/>
      </c>
      <c r="AC60" s="29" t="str">
        <f t="array" ref="AC60">MID(";"&amp;'CASE DATA'!$F60&amp;";",SMALL(IF(ISERROR(SEARCH(MID(";"&amp;'CASE DATA'!$F60&amp;";",ROW($1:$99),1),";")),"",ROW($1:$99)+1),COLUMN(H60)),SMALL(IF(ISERROR(SEARCH(MID(";"&amp;'CASE DATA'!$F60&amp;";",ROW($1:$99),1),";")),"",ROW($1:$99)),COLUMN(H59)+1)-SMALL(IF(ISERROR(SEARCH(MID(";"&amp;'CASE DATA'!$F60&amp;";",ROW($1:$99),1),";")),"",ROW($1:$99)),COLUMN(H59))-1)</f>
        <v/>
      </c>
      <c r="AD60" s="29" t="str">
        <f t="array" ref="AD60">MID(";"&amp;'CASE DATA'!$F60&amp;";",SMALL(IF(ISERROR(SEARCH(MID(";"&amp;'CASE DATA'!$F60&amp;";",ROW($1:$99),1),";")),"",ROW($1:$99)+1),COLUMN(I60)),SMALL(IF(ISERROR(SEARCH(MID(";"&amp;'CASE DATA'!$F60&amp;";",ROW($1:$99),1),";")),"",ROW($1:$99)),COLUMN(I59)+1)-SMALL(IF(ISERROR(SEARCH(MID(";"&amp;'CASE DATA'!$F60&amp;";",ROW($1:$99),1),";")),"",ROW($1:$99)),COLUMN(I59))-1)</f>
        <v/>
      </c>
      <c r="AE60" s="29" t="str">
        <f t="array" ref="AE60">MID(";"&amp;'CASE DATA'!$F60&amp;";",SMALL(IF(ISERROR(SEARCH(MID(";"&amp;'CASE DATA'!$F60&amp;";",ROW($1:$99),1),";")),"",ROW($1:$99)+1),COLUMN(J60)),SMALL(IF(ISERROR(SEARCH(MID(";"&amp;'CASE DATA'!$F60&amp;";",ROW($1:$99),1),";")),"",ROW($1:$99)),COLUMN(J59)+1)-SMALL(IF(ISERROR(SEARCH(MID(";"&amp;'CASE DATA'!$F60&amp;";",ROW($1:$99),1),";")),"",ROW($1:$99)),COLUMN(J59))-1)</f>
        <v/>
      </c>
      <c r="AF60" s="29" t="str">
        <f t="array" ref="AF60">MID(";"&amp;'CASE DATA'!$F60&amp;";",SMALL(IF(ISERROR(SEARCH(MID(";"&amp;'CASE DATA'!$F60&amp;";",ROW($1:$99),1),";")),"",ROW($1:$99)+1),COLUMN(K60)),SMALL(IF(ISERROR(SEARCH(MID(";"&amp;'CASE DATA'!$F60&amp;";",ROW($1:$99),1),";")),"",ROW($1:$99)),COLUMN(K59)+1)-SMALL(IF(ISERROR(SEARCH(MID(";"&amp;'CASE DATA'!$F60&amp;";",ROW($1:$99),1),";")),"",ROW($1:$99)),COLUMN(K59))-1)</f>
        <v/>
      </c>
      <c r="AG60" s="29" t="str">
        <f t="array" ref="AG60">MID(";"&amp;'CASE DATA'!$F60&amp;";",SMALL(IF(ISERROR(SEARCH(MID(";"&amp;'CASE DATA'!$F60&amp;";",ROW($1:$99),1),";")),"",ROW($1:$99)+1),COLUMN(L60)),SMALL(IF(ISERROR(SEARCH(MID(";"&amp;'CASE DATA'!$F60&amp;";",ROW($1:$99),1),";")),"",ROW($1:$99)),COLUMN(L59)+1)-SMALL(IF(ISERROR(SEARCH(MID(";"&amp;'CASE DATA'!$F60&amp;";",ROW($1:$99),1),";")),"",ROW($1:$99)),COLUMN(L59))-1)</f>
        <v/>
      </c>
      <c r="AH60" s="29"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25"/>
      <c r="C61" s="24"/>
      <c r="D61" s="24"/>
      <c r="E61" s="25"/>
      <c r="F61" s="30"/>
      <c r="J61" s="31"/>
      <c r="K61" s="31"/>
      <c r="L61" s="31"/>
      <c r="M61" s="31"/>
      <c r="N61" s="31"/>
      <c r="O61" s="31"/>
      <c r="P61" s="31"/>
      <c r="Q61" s="31"/>
      <c r="R61" s="31"/>
      <c r="S61" s="31"/>
      <c r="T61" s="28">
        <f t="shared" si="1"/>
        <v>0</v>
      </c>
      <c r="U61" s="28"/>
      <c r="W61" s="29" t="str">
        <f t="array" ref="W61">MID(";"&amp;'CASE DATA'!$F61&amp;";",SMALL(IF(ISERROR(SEARCH(MID(";"&amp;'CASE DATA'!$F61&amp;";",ROW($1:$99),1),";")),"",ROW($1:$99)+1),COLUMN(A61)),SMALL(IF(ISERROR(SEARCH(MID(";"&amp;'CASE DATA'!$F61&amp;";",ROW($1:$99),1),";")),"",ROW($1:$99)),COLUMN(A60)+1)-SMALL(IF(ISERROR(SEARCH(MID(";"&amp;'CASE DATA'!$F61&amp;";",ROW($1:$99),1),";")),"",ROW($1:$99)),COLUMN(A60))-1)</f>
        <v/>
      </c>
      <c r="X61" s="29" t="str">
        <f t="array" ref="X61">MID(";"&amp;'CASE DATA'!$F61&amp;";",SMALL(IF(ISERROR(SEARCH(MID(";"&amp;'CASE DATA'!$F61&amp;";",ROW($1:$99),1),";")),"",ROW($1:$99)+1),COLUMN(B61)),SMALL(IF(ISERROR(SEARCH(MID(";"&amp;'CASE DATA'!$F61&amp;";",ROW($1:$99),1),";")),"",ROW($1:$99)),COLUMN(B60)+1)-SMALL(IF(ISERROR(SEARCH(MID(";"&amp;'CASE DATA'!$F61&amp;";",ROW($1:$99),1),";")),"",ROW($1:$99)),COLUMN(B60))-1)</f>
        <v/>
      </c>
      <c r="Y61" s="29" t="str">
        <f t="array" ref="Y61">MID(";"&amp;'CASE DATA'!$F61&amp;";",SMALL(IF(ISERROR(SEARCH(MID(";"&amp;'CASE DATA'!$F61&amp;";",ROW($1:$99),1),";")),"",ROW($1:$99)+1),COLUMN(D61)),SMALL(IF(ISERROR(SEARCH(MID(";"&amp;'CASE DATA'!$F61&amp;";",ROW($1:$99),1),";")),"",ROW($1:$99)),COLUMN(D60)+1)-SMALL(IF(ISERROR(SEARCH(MID(";"&amp;'CASE DATA'!$F61&amp;";",ROW($1:$99),1),";")),"",ROW($1:$99)),COLUMN(D60))-1)</f>
        <v/>
      </c>
      <c r="Z61" s="29" t="str">
        <f t="array" ref="Z61">MID(";"&amp;'CASE DATA'!$F61&amp;";",SMALL(IF(ISERROR(SEARCH(MID(";"&amp;'CASE DATA'!$F61&amp;";",ROW($1:$99),1),";")),"",ROW($1:$99)+1),COLUMN(E61)),SMALL(IF(ISERROR(SEARCH(MID(";"&amp;'CASE DATA'!$F61&amp;";",ROW($1:$99),1),";")),"",ROW($1:$99)),COLUMN(E60)+1)-SMALL(IF(ISERROR(SEARCH(MID(";"&amp;'CASE DATA'!$F61&amp;";",ROW($1:$99),1),";")),"",ROW($1:$99)),COLUMN(E60))-1)</f>
        <v/>
      </c>
      <c r="AA61" s="29" t="str">
        <f t="array" ref="AA61">MID(";"&amp;'CASE DATA'!$F61&amp;";",SMALL(IF(ISERROR(SEARCH(MID(";"&amp;'CASE DATA'!$F61&amp;";",ROW($1:$99),1),";")),"",ROW($1:$99)+1),COLUMN(F61)),SMALL(IF(ISERROR(SEARCH(MID(";"&amp;'CASE DATA'!$F61&amp;";",ROW($1:$99),1),";")),"",ROW($1:$99)),COLUMN(F60)+1)-SMALL(IF(ISERROR(SEARCH(MID(";"&amp;'CASE DATA'!$F61&amp;";",ROW($1:$99),1),";")),"",ROW($1:$99)),COLUMN(F60))-1)</f>
        <v/>
      </c>
      <c r="AB61" s="29" t="str">
        <f t="array" ref="AB61">MID(";"&amp;'CASE DATA'!$F61&amp;";",SMALL(IF(ISERROR(SEARCH(MID(";"&amp;'CASE DATA'!$F61&amp;";",ROW($1:$99),1),";")),"",ROW($1:$99)+1),COLUMN(G61)),SMALL(IF(ISERROR(SEARCH(MID(";"&amp;'CASE DATA'!$F61&amp;";",ROW($1:$99),1),";")),"",ROW($1:$99)),COLUMN(G60)+1)-SMALL(IF(ISERROR(SEARCH(MID(";"&amp;'CASE DATA'!$F61&amp;";",ROW($1:$99),1),";")),"",ROW($1:$99)),COLUMN(G60))-1)</f>
        <v/>
      </c>
      <c r="AC61" s="29" t="str">
        <f t="array" ref="AC61">MID(";"&amp;'CASE DATA'!$F61&amp;";",SMALL(IF(ISERROR(SEARCH(MID(";"&amp;'CASE DATA'!$F61&amp;";",ROW($1:$99),1),";")),"",ROW($1:$99)+1),COLUMN(H61)),SMALL(IF(ISERROR(SEARCH(MID(";"&amp;'CASE DATA'!$F61&amp;";",ROW($1:$99),1),";")),"",ROW($1:$99)),COLUMN(H60)+1)-SMALL(IF(ISERROR(SEARCH(MID(";"&amp;'CASE DATA'!$F61&amp;";",ROW($1:$99),1),";")),"",ROW($1:$99)),COLUMN(H60))-1)</f>
        <v/>
      </c>
      <c r="AD61" s="29" t="str">
        <f t="array" ref="AD61">MID(";"&amp;'CASE DATA'!$F61&amp;";",SMALL(IF(ISERROR(SEARCH(MID(";"&amp;'CASE DATA'!$F61&amp;";",ROW($1:$99),1),";")),"",ROW($1:$99)+1),COLUMN(I61)),SMALL(IF(ISERROR(SEARCH(MID(";"&amp;'CASE DATA'!$F61&amp;";",ROW($1:$99),1),";")),"",ROW($1:$99)),COLUMN(I60)+1)-SMALL(IF(ISERROR(SEARCH(MID(";"&amp;'CASE DATA'!$F61&amp;";",ROW($1:$99),1),";")),"",ROW($1:$99)),COLUMN(I60))-1)</f>
        <v/>
      </c>
      <c r="AE61" s="29" t="str">
        <f t="array" ref="AE61">MID(";"&amp;'CASE DATA'!$F61&amp;";",SMALL(IF(ISERROR(SEARCH(MID(";"&amp;'CASE DATA'!$F61&amp;";",ROW($1:$99),1),";")),"",ROW($1:$99)+1),COLUMN(J61)),SMALL(IF(ISERROR(SEARCH(MID(";"&amp;'CASE DATA'!$F61&amp;";",ROW($1:$99),1),";")),"",ROW($1:$99)),COLUMN(J60)+1)-SMALL(IF(ISERROR(SEARCH(MID(";"&amp;'CASE DATA'!$F61&amp;";",ROW($1:$99),1),";")),"",ROW($1:$99)),COLUMN(J60))-1)</f>
        <v/>
      </c>
      <c r="AF61" s="29" t="str">
        <f t="array" ref="AF61">MID(";"&amp;'CASE DATA'!$F61&amp;";",SMALL(IF(ISERROR(SEARCH(MID(";"&amp;'CASE DATA'!$F61&amp;";",ROW($1:$99),1),";")),"",ROW($1:$99)+1),COLUMN(K61)),SMALL(IF(ISERROR(SEARCH(MID(";"&amp;'CASE DATA'!$F61&amp;";",ROW($1:$99),1),";")),"",ROW($1:$99)),COLUMN(K60)+1)-SMALL(IF(ISERROR(SEARCH(MID(";"&amp;'CASE DATA'!$F61&amp;";",ROW($1:$99),1),";")),"",ROW($1:$99)),COLUMN(K60))-1)</f>
        <v/>
      </c>
      <c r="AG61" s="29" t="str">
        <f t="array" ref="AG61">MID(";"&amp;'CASE DATA'!$F61&amp;";",SMALL(IF(ISERROR(SEARCH(MID(";"&amp;'CASE DATA'!$F61&amp;";",ROW($1:$99),1),";")),"",ROW($1:$99)+1),COLUMN(L61)),SMALL(IF(ISERROR(SEARCH(MID(";"&amp;'CASE DATA'!$F61&amp;";",ROW($1:$99),1),";")),"",ROW($1:$99)),COLUMN(L60)+1)-SMALL(IF(ISERROR(SEARCH(MID(";"&amp;'CASE DATA'!$F61&amp;";",ROW($1:$99),1),";")),"",ROW($1:$99)),COLUMN(L60))-1)</f>
        <v/>
      </c>
      <c r="AH61" s="29"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25"/>
      <c r="C62" s="24"/>
      <c r="D62" s="24"/>
      <c r="E62" s="25"/>
      <c r="F62" s="30"/>
      <c r="J62" s="31"/>
      <c r="K62" s="31"/>
      <c r="L62" s="31"/>
      <c r="M62" s="31"/>
      <c r="N62" s="31"/>
      <c r="O62" s="31"/>
      <c r="P62" s="31"/>
      <c r="Q62" s="31"/>
      <c r="R62" s="31"/>
      <c r="S62" s="31"/>
      <c r="T62" s="28">
        <f t="shared" si="1"/>
        <v>0</v>
      </c>
      <c r="U62" s="28"/>
      <c r="W62" s="29" t="str">
        <f t="array" ref="W62">MID(";"&amp;'CASE DATA'!$F62&amp;";",SMALL(IF(ISERROR(SEARCH(MID(";"&amp;'CASE DATA'!$F62&amp;";",ROW($1:$99),1),";")),"",ROW($1:$99)+1),COLUMN(A62)),SMALL(IF(ISERROR(SEARCH(MID(";"&amp;'CASE DATA'!$F62&amp;";",ROW($1:$99),1),";")),"",ROW($1:$99)),COLUMN(A61)+1)-SMALL(IF(ISERROR(SEARCH(MID(";"&amp;'CASE DATA'!$F62&amp;";",ROW($1:$99),1),";")),"",ROW($1:$99)),COLUMN(A61))-1)</f>
        <v/>
      </c>
      <c r="X62" s="29" t="str">
        <f t="array" ref="X62">MID(";"&amp;'CASE DATA'!$F62&amp;";",SMALL(IF(ISERROR(SEARCH(MID(";"&amp;'CASE DATA'!$F62&amp;";",ROW($1:$99),1),";")),"",ROW($1:$99)+1),COLUMN(B62)),SMALL(IF(ISERROR(SEARCH(MID(";"&amp;'CASE DATA'!$F62&amp;";",ROW($1:$99),1),";")),"",ROW($1:$99)),COLUMN(B61)+1)-SMALL(IF(ISERROR(SEARCH(MID(";"&amp;'CASE DATA'!$F62&amp;";",ROW($1:$99),1),";")),"",ROW($1:$99)),COLUMN(B61))-1)</f>
        <v/>
      </c>
      <c r="Y62" s="29" t="str">
        <f t="array" ref="Y62">MID(";"&amp;'CASE DATA'!$F62&amp;";",SMALL(IF(ISERROR(SEARCH(MID(";"&amp;'CASE DATA'!$F62&amp;";",ROW($1:$99),1),";")),"",ROW($1:$99)+1),COLUMN(D62)),SMALL(IF(ISERROR(SEARCH(MID(";"&amp;'CASE DATA'!$F62&amp;";",ROW($1:$99),1),";")),"",ROW($1:$99)),COLUMN(D61)+1)-SMALL(IF(ISERROR(SEARCH(MID(";"&amp;'CASE DATA'!$F62&amp;";",ROW($1:$99),1),";")),"",ROW($1:$99)),COLUMN(D61))-1)</f>
        <v/>
      </c>
      <c r="Z62" s="29" t="str">
        <f t="array" ref="Z62">MID(";"&amp;'CASE DATA'!$F62&amp;";",SMALL(IF(ISERROR(SEARCH(MID(";"&amp;'CASE DATA'!$F62&amp;";",ROW($1:$99),1),";")),"",ROW($1:$99)+1),COLUMN(E62)),SMALL(IF(ISERROR(SEARCH(MID(";"&amp;'CASE DATA'!$F62&amp;";",ROW($1:$99),1),";")),"",ROW($1:$99)),COLUMN(E61)+1)-SMALL(IF(ISERROR(SEARCH(MID(";"&amp;'CASE DATA'!$F62&amp;";",ROW($1:$99),1),";")),"",ROW($1:$99)),COLUMN(E61))-1)</f>
        <v/>
      </c>
      <c r="AA62" s="29" t="str">
        <f t="array" ref="AA62">MID(";"&amp;'CASE DATA'!$F62&amp;";",SMALL(IF(ISERROR(SEARCH(MID(";"&amp;'CASE DATA'!$F62&amp;";",ROW($1:$99),1),";")),"",ROW($1:$99)+1),COLUMN(F62)),SMALL(IF(ISERROR(SEARCH(MID(";"&amp;'CASE DATA'!$F62&amp;";",ROW($1:$99),1),";")),"",ROW($1:$99)),COLUMN(F61)+1)-SMALL(IF(ISERROR(SEARCH(MID(";"&amp;'CASE DATA'!$F62&amp;";",ROW($1:$99),1),";")),"",ROW($1:$99)),COLUMN(F61))-1)</f>
        <v/>
      </c>
      <c r="AB62" s="29" t="str">
        <f t="array" ref="AB62">MID(";"&amp;'CASE DATA'!$F62&amp;";",SMALL(IF(ISERROR(SEARCH(MID(";"&amp;'CASE DATA'!$F62&amp;";",ROW($1:$99),1),";")),"",ROW($1:$99)+1),COLUMN(G62)),SMALL(IF(ISERROR(SEARCH(MID(";"&amp;'CASE DATA'!$F62&amp;";",ROW($1:$99),1),";")),"",ROW($1:$99)),COLUMN(G61)+1)-SMALL(IF(ISERROR(SEARCH(MID(";"&amp;'CASE DATA'!$F62&amp;";",ROW($1:$99),1),";")),"",ROW($1:$99)),COLUMN(G61))-1)</f>
        <v/>
      </c>
      <c r="AC62" s="29" t="str">
        <f t="array" ref="AC62">MID(";"&amp;'CASE DATA'!$F62&amp;";",SMALL(IF(ISERROR(SEARCH(MID(";"&amp;'CASE DATA'!$F62&amp;";",ROW($1:$99),1),";")),"",ROW($1:$99)+1),COLUMN(H62)),SMALL(IF(ISERROR(SEARCH(MID(";"&amp;'CASE DATA'!$F62&amp;";",ROW($1:$99),1),";")),"",ROW($1:$99)),COLUMN(H61)+1)-SMALL(IF(ISERROR(SEARCH(MID(";"&amp;'CASE DATA'!$F62&amp;";",ROW($1:$99),1),";")),"",ROW($1:$99)),COLUMN(H61))-1)</f>
        <v/>
      </c>
      <c r="AD62" s="29" t="str">
        <f t="array" ref="AD62">MID(";"&amp;'CASE DATA'!$F62&amp;";",SMALL(IF(ISERROR(SEARCH(MID(";"&amp;'CASE DATA'!$F62&amp;";",ROW($1:$99),1),";")),"",ROW($1:$99)+1),COLUMN(I62)),SMALL(IF(ISERROR(SEARCH(MID(";"&amp;'CASE DATA'!$F62&amp;";",ROW($1:$99),1),";")),"",ROW($1:$99)),COLUMN(I61)+1)-SMALL(IF(ISERROR(SEARCH(MID(";"&amp;'CASE DATA'!$F62&amp;";",ROW($1:$99),1),";")),"",ROW($1:$99)),COLUMN(I61))-1)</f>
        <v/>
      </c>
      <c r="AE62" s="29" t="str">
        <f t="array" ref="AE62">MID(";"&amp;'CASE DATA'!$F62&amp;";",SMALL(IF(ISERROR(SEARCH(MID(";"&amp;'CASE DATA'!$F62&amp;";",ROW($1:$99),1),";")),"",ROW($1:$99)+1),COLUMN(J62)),SMALL(IF(ISERROR(SEARCH(MID(";"&amp;'CASE DATA'!$F62&amp;";",ROW($1:$99),1),";")),"",ROW($1:$99)),COLUMN(J61)+1)-SMALL(IF(ISERROR(SEARCH(MID(";"&amp;'CASE DATA'!$F62&amp;";",ROW($1:$99),1),";")),"",ROW($1:$99)),COLUMN(J61))-1)</f>
        <v/>
      </c>
      <c r="AF62" s="29" t="str">
        <f t="array" ref="AF62">MID(";"&amp;'CASE DATA'!$F62&amp;";",SMALL(IF(ISERROR(SEARCH(MID(";"&amp;'CASE DATA'!$F62&amp;";",ROW($1:$99),1),";")),"",ROW($1:$99)+1),COLUMN(K62)),SMALL(IF(ISERROR(SEARCH(MID(";"&amp;'CASE DATA'!$F62&amp;";",ROW($1:$99),1),";")),"",ROW($1:$99)),COLUMN(K61)+1)-SMALL(IF(ISERROR(SEARCH(MID(";"&amp;'CASE DATA'!$F62&amp;";",ROW($1:$99),1),";")),"",ROW($1:$99)),COLUMN(K61))-1)</f>
        <v/>
      </c>
      <c r="AG62" s="29" t="str">
        <f t="array" ref="AG62">MID(";"&amp;'CASE DATA'!$F62&amp;";",SMALL(IF(ISERROR(SEARCH(MID(";"&amp;'CASE DATA'!$F62&amp;";",ROW($1:$99),1),";")),"",ROW($1:$99)+1),COLUMN(L62)),SMALL(IF(ISERROR(SEARCH(MID(";"&amp;'CASE DATA'!$F62&amp;";",ROW($1:$99),1),";")),"",ROW($1:$99)),COLUMN(L61)+1)-SMALL(IF(ISERROR(SEARCH(MID(";"&amp;'CASE DATA'!$F62&amp;";",ROW($1:$99),1),";")),"",ROW($1:$99)),COLUMN(L61))-1)</f>
        <v/>
      </c>
      <c r="AH62" s="29"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25"/>
      <c r="C63" s="24"/>
      <c r="D63" s="24"/>
      <c r="E63" s="25"/>
      <c r="F63" s="30"/>
      <c r="J63" s="31"/>
      <c r="K63" s="31"/>
      <c r="L63" s="31"/>
      <c r="M63" s="31"/>
      <c r="N63" s="31"/>
      <c r="O63" s="31"/>
      <c r="P63" s="31"/>
      <c r="Q63" s="31"/>
      <c r="R63" s="31"/>
      <c r="S63" s="31"/>
      <c r="T63" s="28">
        <f t="shared" si="1"/>
        <v>0</v>
      </c>
      <c r="U63" s="28"/>
      <c r="W63" s="29" t="str">
        <f t="array" ref="W63">MID(";"&amp;'CASE DATA'!$F63&amp;";",SMALL(IF(ISERROR(SEARCH(MID(";"&amp;'CASE DATA'!$F63&amp;";",ROW($1:$99),1),";")),"",ROW($1:$99)+1),COLUMN(A63)),SMALL(IF(ISERROR(SEARCH(MID(";"&amp;'CASE DATA'!$F63&amp;";",ROW($1:$99),1),";")),"",ROW($1:$99)),COLUMN(A62)+1)-SMALL(IF(ISERROR(SEARCH(MID(";"&amp;'CASE DATA'!$F63&amp;";",ROW($1:$99),1),";")),"",ROW($1:$99)),COLUMN(A62))-1)</f>
        <v/>
      </c>
      <c r="X63" s="29" t="str">
        <f t="array" ref="X63">MID(";"&amp;'CASE DATA'!$F63&amp;";",SMALL(IF(ISERROR(SEARCH(MID(";"&amp;'CASE DATA'!$F63&amp;";",ROW($1:$99),1),";")),"",ROW($1:$99)+1),COLUMN(B63)),SMALL(IF(ISERROR(SEARCH(MID(";"&amp;'CASE DATA'!$F63&amp;";",ROW($1:$99),1),";")),"",ROW($1:$99)),COLUMN(B62)+1)-SMALL(IF(ISERROR(SEARCH(MID(";"&amp;'CASE DATA'!$F63&amp;";",ROW($1:$99),1),";")),"",ROW($1:$99)),COLUMN(B62))-1)</f>
        <v/>
      </c>
      <c r="Y63" s="29" t="str">
        <f t="array" ref="Y63">MID(";"&amp;'CASE DATA'!$F63&amp;";",SMALL(IF(ISERROR(SEARCH(MID(";"&amp;'CASE DATA'!$F63&amp;";",ROW($1:$99),1),";")),"",ROW($1:$99)+1),COLUMN(D63)),SMALL(IF(ISERROR(SEARCH(MID(";"&amp;'CASE DATA'!$F63&amp;";",ROW($1:$99),1),";")),"",ROW($1:$99)),COLUMN(D62)+1)-SMALL(IF(ISERROR(SEARCH(MID(";"&amp;'CASE DATA'!$F63&amp;";",ROW($1:$99),1),";")),"",ROW($1:$99)),COLUMN(D62))-1)</f>
        <v/>
      </c>
      <c r="Z63" s="29" t="str">
        <f t="array" ref="Z63">MID(";"&amp;'CASE DATA'!$F63&amp;";",SMALL(IF(ISERROR(SEARCH(MID(";"&amp;'CASE DATA'!$F63&amp;";",ROW($1:$99),1),";")),"",ROW($1:$99)+1),COLUMN(E63)),SMALL(IF(ISERROR(SEARCH(MID(";"&amp;'CASE DATA'!$F63&amp;";",ROW($1:$99),1),";")),"",ROW($1:$99)),COLUMN(E62)+1)-SMALL(IF(ISERROR(SEARCH(MID(";"&amp;'CASE DATA'!$F63&amp;";",ROW($1:$99),1),";")),"",ROW($1:$99)),COLUMN(E62))-1)</f>
        <v/>
      </c>
      <c r="AA63" s="29" t="str">
        <f t="array" ref="AA63">MID(";"&amp;'CASE DATA'!$F63&amp;";",SMALL(IF(ISERROR(SEARCH(MID(";"&amp;'CASE DATA'!$F63&amp;";",ROW($1:$99),1),";")),"",ROW($1:$99)+1),COLUMN(F63)),SMALL(IF(ISERROR(SEARCH(MID(";"&amp;'CASE DATA'!$F63&amp;";",ROW($1:$99),1),";")),"",ROW($1:$99)),COLUMN(F62)+1)-SMALL(IF(ISERROR(SEARCH(MID(";"&amp;'CASE DATA'!$F63&amp;";",ROW($1:$99),1),";")),"",ROW($1:$99)),COLUMN(F62))-1)</f>
        <v/>
      </c>
      <c r="AB63" s="29" t="str">
        <f t="array" ref="AB63">MID(";"&amp;'CASE DATA'!$F63&amp;";",SMALL(IF(ISERROR(SEARCH(MID(";"&amp;'CASE DATA'!$F63&amp;";",ROW($1:$99),1),";")),"",ROW($1:$99)+1),COLUMN(G63)),SMALL(IF(ISERROR(SEARCH(MID(";"&amp;'CASE DATA'!$F63&amp;";",ROW($1:$99),1),";")),"",ROW($1:$99)),COLUMN(G62)+1)-SMALL(IF(ISERROR(SEARCH(MID(";"&amp;'CASE DATA'!$F63&amp;";",ROW($1:$99),1),";")),"",ROW($1:$99)),COLUMN(G62))-1)</f>
        <v/>
      </c>
      <c r="AC63" s="29" t="str">
        <f t="array" ref="AC63">MID(";"&amp;'CASE DATA'!$F63&amp;";",SMALL(IF(ISERROR(SEARCH(MID(";"&amp;'CASE DATA'!$F63&amp;";",ROW($1:$99),1),";")),"",ROW($1:$99)+1),COLUMN(H63)),SMALL(IF(ISERROR(SEARCH(MID(";"&amp;'CASE DATA'!$F63&amp;";",ROW($1:$99),1),";")),"",ROW($1:$99)),COLUMN(H62)+1)-SMALL(IF(ISERROR(SEARCH(MID(";"&amp;'CASE DATA'!$F63&amp;";",ROW($1:$99),1),";")),"",ROW($1:$99)),COLUMN(H62))-1)</f>
        <v/>
      </c>
      <c r="AD63" s="29" t="str">
        <f t="array" ref="AD63">MID(";"&amp;'CASE DATA'!$F63&amp;";",SMALL(IF(ISERROR(SEARCH(MID(";"&amp;'CASE DATA'!$F63&amp;";",ROW($1:$99),1),";")),"",ROW($1:$99)+1),COLUMN(I63)),SMALL(IF(ISERROR(SEARCH(MID(";"&amp;'CASE DATA'!$F63&amp;";",ROW($1:$99),1),";")),"",ROW($1:$99)),COLUMN(I62)+1)-SMALL(IF(ISERROR(SEARCH(MID(";"&amp;'CASE DATA'!$F63&amp;";",ROW($1:$99),1),";")),"",ROW($1:$99)),COLUMN(I62))-1)</f>
        <v/>
      </c>
      <c r="AE63" s="29" t="str">
        <f t="array" ref="AE63">MID(";"&amp;'CASE DATA'!$F63&amp;";",SMALL(IF(ISERROR(SEARCH(MID(";"&amp;'CASE DATA'!$F63&amp;";",ROW($1:$99),1),";")),"",ROW($1:$99)+1),COLUMN(J63)),SMALL(IF(ISERROR(SEARCH(MID(";"&amp;'CASE DATA'!$F63&amp;";",ROW($1:$99),1),";")),"",ROW($1:$99)),COLUMN(J62)+1)-SMALL(IF(ISERROR(SEARCH(MID(";"&amp;'CASE DATA'!$F63&amp;";",ROW($1:$99),1),";")),"",ROW($1:$99)),COLUMN(J62))-1)</f>
        <v/>
      </c>
      <c r="AF63" s="29" t="str">
        <f t="array" ref="AF63">MID(";"&amp;'CASE DATA'!$F63&amp;";",SMALL(IF(ISERROR(SEARCH(MID(";"&amp;'CASE DATA'!$F63&amp;";",ROW($1:$99),1),";")),"",ROW($1:$99)+1),COLUMN(K63)),SMALL(IF(ISERROR(SEARCH(MID(";"&amp;'CASE DATA'!$F63&amp;";",ROW($1:$99),1),";")),"",ROW($1:$99)),COLUMN(K62)+1)-SMALL(IF(ISERROR(SEARCH(MID(";"&amp;'CASE DATA'!$F63&amp;";",ROW($1:$99),1),";")),"",ROW($1:$99)),COLUMN(K62))-1)</f>
        <v/>
      </c>
      <c r="AG63" s="29" t="str">
        <f t="array" ref="AG63">MID(";"&amp;'CASE DATA'!$F63&amp;";",SMALL(IF(ISERROR(SEARCH(MID(";"&amp;'CASE DATA'!$F63&amp;";",ROW($1:$99),1),";")),"",ROW($1:$99)+1),COLUMN(L63)),SMALL(IF(ISERROR(SEARCH(MID(";"&amp;'CASE DATA'!$F63&amp;";",ROW($1:$99),1),";")),"",ROW($1:$99)),COLUMN(L62)+1)-SMALL(IF(ISERROR(SEARCH(MID(";"&amp;'CASE DATA'!$F63&amp;";",ROW($1:$99),1),";")),"",ROW($1:$99)),COLUMN(L62))-1)</f>
        <v/>
      </c>
      <c r="AH63" s="29"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25"/>
      <c r="C64" s="24"/>
      <c r="D64" s="24"/>
      <c r="E64" s="25"/>
      <c r="F64" s="30"/>
      <c r="J64" s="31"/>
      <c r="K64" s="31"/>
      <c r="L64" s="31"/>
      <c r="M64" s="31"/>
      <c r="N64" s="31"/>
      <c r="O64" s="31"/>
      <c r="P64" s="31"/>
      <c r="Q64" s="31"/>
      <c r="R64" s="31"/>
      <c r="S64" s="31"/>
      <c r="T64" s="28">
        <f t="shared" si="1"/>
        <v>0</v>
      </c>
      <c r="U64" s="28"/>
      <c r="W64" s="29" t="str">
        <f t="array" ref="W64">MID(";"&amp;'CASE DATA'!$F64&amp;";",SMALL(IF(ISERROR(SEARCH(MID(";"&amp;'CASE DATA'!$F64&amp;";",ROW($1:$99),1),";")),"",ROW($1:$99)+1),COLUMN(A64)),SMALL(IF(ISERROR(SEARCH(MID(";"&amp;'CASE DATA'!$F64&amp;";",ROW($1:$99),1),";")),"",ROW($1:$99)),COLUMN(A63)+1)-SMALL(IF(ISERROR(SEARCH(MID(";"&amp;'CASE DATA'!$F64&amp;";",ROW($1:$99),1),";")),"",ROW($1:$99)),COLUMN(A63))-1)</f>
        <v/>
      </c>
      <c r="X64" s="29" t="str">
        <f t="array" ref="X64">MID(";"&amp;'CASE DATA'!$F64&amp;";",SMALL(IF(ISERROR(SEARCH(MID(";"&amp;'CASE DATA'!$F64&amp;";",ROW($1:$99),1),";")),"",ROW($1:$99)+1),COLUMN(B64)),SMALL(IF(ISERROR(SEARCH(MID(";"&amp;'CASE DATA'!$F64&amp;";",ROW($1:$99),1),";")),"",ROW($1:$99)),COLUMN(B63)+1)-SMALL(IF(ISERROR(SEARCH(MID(";"&amp;'CASE DATA'!$F64&amp;";",ROW($1:$99),1),";")),"",ROW($1:$99)),COLUMN(B63))-1)</f>
        <v/>
      </c>
      <c r="Y64" s="29" t="str">
        <f t="array" ref="Y64">MID(";"&amp;'CASE DATA'!$F64&amp;";",SMALL(IF(ISERROR(SEARCH(MID(";"&amp;'CASE DATA'!$F64&amp;";",ROW($1:$99),1),";")),"",ROW($1:$99)+1),COLUMN(D64)),SMALL(IF(ISERROR(SEARCH(MID(";"&amp;'CASE DATA'!$F64&amp;";",ROW($1:$99),1),";")),"",ROW($1:$99)),COLUMN(D63)+1)-SMALL(IF(ISERROR(SEARCH(MID(";"&amp;'CASE DATA'!$F64&amp;";",ROW($1:$99),1),";")),"",ROW($1:$99)),COLUMN(D63))-1)</f>
        <v/>
      </c>
      <c r="Z64" s="29" t="str">
        <f t="array" ref="Z64">MID(";"&amp;'CASE DATA'!$F64&amp;";",SMALL(IF(ISERROR(SEARCH(MID(";"&amp;'CASE DATA'!$F64&amp;";",ROW($1:$99),1),";")),"",ROW($1:$99)+1),COLUMN(E64)),SMALL(IF(ISERROR(SEARCH(MID(";"&amp;'CASE DATA'!$F64&amp;";",ROW($1:$99),1),";")),"",ROW($1:$99)),COLUMN(E63)+1)-SMALL(IF(ISERROR(SEARCH(MID(";"&amp;'CASE DATA'!$F64&amp;";",ROW($1:$99),1),";")),"",ROW($1:$99)),COLUMN(E63))-1)</f>
        <v/>
      </c>
      <c r="AA64" s="29" t="str">
        <f t="array" ref="AA64">MID(";"&amp;'CASE DATA'!$F64&amp;";",SMALL(IF(ISERROR(SEARCH(MID(";"&amp;'CASE DATA'!$F64&amp;";",ROW($1:$99),1),";")),"",ROW($1:$99)+1),COLUMN(F64)),SMALL(IF(ISERROR(SEARCH(MID(";"&amp;'CASE DATA'!$F64&amp;";",ROW($1:$99),1),";")),"",ROW($1:$99)),COLUMN(F63)+1)-SMALL(IF(ISERROR(SEARCH(MID(";"&amp;'CASE DATA'!$F64&amp;";",ROW($1:$99),1),";")),"",ROW($1:$99)),COLUMN(F63))-1)</f>
        <v/>
      </c>
      <c r="AB64" s="29" t="str">
        <f t="array" ref="AB64">MID(";"&amp;'CASE DATA'!$F64&amp;";",SMALL(IF(ISERROR(SEARCH(MID(";"&amp;'CASE DATA'!$F64&amp;";",ROW($1:$99),1),";")),"",ROW($1:$99)+1),COLUMN(G64)),SMALL(IF(ISERROR(SEARCH(MID(";"&amp;'CASE DATA'!$F64&amp;";",ROW($1:$99),1),";")),"",ROW($1:$99)),COLUMN(G63)+1)-SMALL(IF(ISERROR(SEARCH(MID(";"&amp;'CASE DATA'!$F64&amp;";",ROW($1:$99),1),";")),"",ROW($1:$99)),COLUMN(G63))-1)</f>
        <v/>
      </c>
      <c r="AC64" s="29" t="str">
        <f t="array" ref="AC64">MID(";"&amp;'CASE DATA'!$F64&amp;";",SMALL(IF(ISERROR(SEARCH(MID(";"&amp;'CASE DATA'!$F64&amp;";",ROW($1:$99),1),";")),"",ROW($1:$99)+1),COLUMN(H64)),SMALL(IF(ISERROR(SEARCH(MID(";"&amp;'CASE DATA'!$F64&amp;";",ROW($1:$99),1),";")),"",ROW($1:$99)),COLUMN(H63)+1)-SMALL(IF(ISERROR(SEARCH(MID(";"&amp;'CASE DATA'!$F64&amp;";",ROW($1:$99),1),";")),"",ROW($1:$99)),COLUMN(H63))-1)</f>
        <v/>
      </c>
      <c r="AD64" s="29" t="str">
        <f t="array" ref="AD64">MID(";"&amp;'CASE DATA'!$F64&amp;";",SMALL(IF(ISERROR(SEARCH(MID(";"&amp;'CASE DATA'!$F64&amp;";",ROW($1:$99),1),";")),"",ROW($1:$99)+1),COLUMN(I64)),SMALL(IF(ISERROR(SEARCH(MID(";"&amp;'CASE DATA'!$F64&amp;";",ROW($1:$99),1),";")),"",ROW($1:$99)),COLUMN(I63)+1)-SMALL(IF(ISERROR(SEARCH(MID(";"&amp;'CASE DATA'!$F64&amp;";",ROW($1:$99),1),";")),"",ROW($1:$99)),COLUMN(I63))-1)</f>
        <v/>
      </c>
      <c r="AE64" s="29" t="str">
        <f t="array" ref="AE64">MID(";"&amp;'CASE DATA'!$F64&amp;";",SMALL(IF(ISERROR(SEARCH(MID(";"&amp;'CASE DATA'!$F64&amp;";",ROW($1:$99),1),";")),"",ROW($1:$99)+1),COLUMN(J64)),SMALL(IF(ISERROR(SEARCH(MID(";"&amp;'CASE DATA'!$F64&amp;";",ROW($1:$99),1),";")),"",ROW($1:$99)),COLUMN(J63)+1)-SMALL(IF(ISERROR(SEARCH(MID(";"&amp;'CASE DATA'!$F64&amp;";",ROW($1:$99),1),";")),"",ROW($1:$99)),COLUMN(J63))-1)</f>
        <v/>
      </c>
      <c r="AF64" s="29" t="str">
        <f t="array" ref="AF64">MID(";"&amp;'CASE DATA'!$F64&amp;";",SMALL(IF(ISERROR(SEARCH(MID(";"&amp;'CASE DATA'!$F64&amp;";",ROW($1:$99),1),";")),"",ROW($1:$99)+1),COLUMN(K64)),SMALL(IF(ISERROR(SEARCH(MID(";"&amp;'CASE DATA'!$F64&amp;";",ROW($1:$99),1),";")),"",ROW($1:$99)),COLUMN(K63)+1)-SMALL(IF(ISERROR(SEARCH(MID(";"&amp;'CASE DATA'!$F64&amp;";",ROW($1:$99),1),";")),"",ROW($1:$99)),COLUMN(K63))-1)</f>
        <v/>
      </c>
      <c r="AG64" s="29" t="str">
        <f t="array" ref="AG64">MID(";"&amp;'CASE DATA'!$F64&amp;";",SMALL(IF(ISERROR(SEARCH(MID(";"&amp;'CASE DATA'!$F64&amp;";",ROW($1:$99),1),";")),"",ROW($1:$99)+1),COLUMN(L64)),SMALL(IF(ISERROR(SEARCH(MID(";"&amp;'CASE DATA'!$F64&amp;";",ROW($1:$99),1),";")),"",ROW($1:$99)),COLUMN(L63)+1)-SMALL(IF(ISERROR(SEARCH(MID(";"&amp;'CASE DATA'!$F64&amp;";",ROW($1:$99),1),";")),"",ROW($1:$99)),COLUMN(L63))-1)</f>
        <v/>
      </c>
      <c r="AH64" s="29"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25"/>
      <c r="C65" s="24"/>
      <c r="D65" s="33"/>
      <c r="E65" s="25"/>
      <c r="F65" s="30"/>
      <c r="J65" s="31"/>
      <c r="K65" s="31"/>
      <c r="L65" s="31"/>
      <c r="M65" s="31"/>
      <c r="N65" s="31"/>
      <c r="O65" s="31"/>
      <c r="P65" s="31"/>
      <c r="Q65" s="31"/>
      <c r="R65" s="31"/>
      <c r="S65" s="31"/>
      <c r="T65" s="28">
        <f t="shared" si="1"/>
        <v>0</v>
      </c>
      <c r="U65" s="28"/>
      <c r="W65" s="29" t="str">
        <f t="array" ref="W65">MID(";"&amp;'CASE DATA'!$F65&amp;";",SMALL(IF(ISERROR(SEARCH(MID(";"&amp;'CASE DATA'!$F65&amp;";",ROW($1:$99),1),";")),"",ROW($1:$99)+1),COLUMN(A65)),SMALL(IF(ISERROR(SEARCH(MID(";"&amp;'CASE DATA'!$F65&amp;";",ROW($1:$99),1),";")),"",ROW($1:$99)),COLUMN(A64)+1)-SMALL(IF(ISERROR(SEARCH(MID(";"&amp;'CASE DATA'!$F65&amp;";",ROW($1:$99),1),";")),"",ROW($1:$99)),COLUMN(A64))-1)</f>
        <v/>
      </c>
      <c r="X65" s="29" t="str">
        <f t="array" ref="X65">MID(";"&amp;'CASE DATA'!$F65&amp;";",SMALL(IF(ISERROR(SEARCH(MID(";"&amp;'CASE DATA'!$F65&amp;";",ROW($1:$99),1),";")),"",ROW($1:$99)+1),COLUMN(B65)),SMALL(IF(ISERROR(SEARCH(MID(";"&amp;'CASE DATA'!$F65&amp;";",ROW($1:$99),1),";")),"",ROW($1:$99)),COLUMN(B64)+1)-SMALL(IF(ISERROR(SEARCH(MID(";"&amp;'CASE DATA'!$F65&amp;";",ROW($1:$99),1),";")),"",ROW($1:$99)),COLUMN(B64))-1)</f>
        <v/>
      </c>
      <c r="Y65" s="29" t="str">
        <f t="array" ref="Y65">MID(";"&amp;'CASE DATA'!$F65&amp;";",SMALL(IF(ISERROR(SEARCH(MID(";"&amp;'CASE DATA'!$F65&amp;";",ROW($1:$99),1),";")),"",ROW($1:$99)+1),COLUMN(D65)),SMALL(IF(ISERROR(SEARCH(MID(";"&amp;'CASE DATA'!$F65&amp;";",ROW($1:$99),1),";")),"",ROW($1:$99)),COLUMN(D64)+1)-SMALL(IF(ISERROR(SEARCH(MID(";"&amp;'CASE DATA'!$F65&amp;";",ROW($1:$99),1),";")),"",ROW($1:$99)),COLUMN(D64))-1)</f>
        <v/>
      </c>
      <c r="Z65" s="29" t="str">
        <f t="array" ref="Z65">MID(";"&amp;'CASE DATA'!$F65&amp;";",SMALL(IF(ISERROR(SEARCH(MID(";"&amp;'CASE DATA'!$F65&amp;";",ROW($1:$99),1),";")),"",ROW($1:$99)+1),COLUMN(E65)),SMALL(IF(ISERROR(SEARCH(MID(";"&amp;'CASE DATA'!$F65&amp;";",ROW($1:$99),1),";")),"",ROW($1:$99)),COLUMN(E64)+1)-SMALL(IF(ISERROR(SEARCH(MID(";"&amp;'CASE DATA'!$F65&amp;";",ROW($1:$99),1),";")),"",ROW($1:$99)),COLUMN(E64))-1)</f>
        <v/>
      </c>
      <c r="AA65" s="29" t="str">
        <f t="array" ref="AA65">MID(";"&amp;'CASE DATA'!$F65&amp;";",SMALL(IF(ISERROR(SEARCH(MID(";"&amp;'CASE DATA'!$F65&amp;";",ROW($1:$99),1),";")),"",ROW($1:$99)+1),COLUMN(F65)),SMALL(IF(ISERROR(SEARCH(MID(";"&amp;'CASE DATA'!$F65&amp;";",ROW($1:$99),1),";")),"",ROW($1:$99)),COLUMN(F64)+1)-SMALL(IF(ISERROR(SEARCH(MID(";"&amp;'CASE DATA'!$F65&amp;";",ROW($1:$99),1),";")),"",ROW($1:$99)),COLUMN(F64))-1)</f>
        <v/>
      </c>
      <c r="AB65" s="29" t="str">
        <f t="array" ref="AB65">MID(";"&amp;'CASE DATA'!$F65&amp;";",SMALL(IF(ISERROR(SEARCH(MID(";"&amp;'CASE DATA'!$F65&amp;";",ROW($1:$99),1),";")),"",ROW($1:$99)+1),COLUMN(G65)),SMALL(IF(ISERROR(SEARCH(MID(";"&amp;'CASE DATA'!$F65&amp;";",ROW($1:$99),1),";")),"",ROW($1:$99)),COLUMN(G64)+1)-SMALL(IF(ISERROR(SEARCH(MID(";"&amp;'CASE DATA'!$F65&amp;";",ROW($1:$99),1),";")),"",ROW($1:$99)),COLUMN(G64))-1)</f>
        <v/>
      </c>
      <c r="AC65" s="29" t="str">
        <f t="array" ref="AC65">MID(";"&amp;'CASE DATA'!$F65&amp;";",SMALL(IF(ISERROR(SEARCH(MID(";"&amp;'CASE DATA'!$F65&amp;";",ROW($1:$99),1),";")),"",ROW($1:$99)+1),COLUMN(H65)),SMALL(IF(ISERROR(SEARCH(MID(";"&amp;'CASE DATA'!$F65&amp;";",ROW($1:$99),1),";")),"",ROW($1:$99)),COLUMN(H64)+1)-SMALL(IF(ISERROR(SEARCH(MID(";"&amp;'CASE DATA'!$F65&amp;";",ROW($1:$99),1),";")),"",ROW($1:$99)),COLUMN(H64))-1)</f>
        <v/>
      </c>
      <c r="AD65" s="29" t="str">
        <f t="array" ref="AD65">MID(";"&amp;'CASE DATA'!$F65&amp;";",SMALL(IF(ISERROR(SEARCH(MID(";"&amp;'CASE DATA'!$F65&amp;";",ROW($1:$99),1),";")),"",ROW($1:$99)+1),COLUMN(I65)),SMALL(IF(ISERROR(SEARCH(MID(";"&amp;'CASE DATA'!$F65&amp;";",ROW($1:$99),1),";")),"",ROW($1:$99)),COLUMN(I64)+1)-SMALL(IF(ISERROR(SEARCH(MID(";"&amp;'CASE DATA'!$F65&amp;";",ROW($1:$99),1),";")),"",ROW($1:$99)),COLUMN(I64))-1)</f>
        <v/>
      </c>
      <c r="AE65" s="29" t="str">
        <f t="array" ref="AE65">MID(";"&amp;'CASE DATA'!$F65&amp;";",SMALL(IF(ISERROR(SEARCH(MID(";"&amp;'CASE DATA'!$F65&amp;";",ROW($1:$99),1),";")),"",ROW($1:$99)+1),COLUMN(J65)),SMALL(IF(ISERROR(SEARCH(MID(";"&amp;'CASE DATA'!$F65&amp;";",ROW($1:$99),1),";")),"",ROW($1:$99)),COLUMN(J64)+1)-SMALL(IF(ISERROR(SEARCH(MID(";"&amp;'CASE DATA'!$F65&amp;";",ROW($1:$99),1),";")),"",ROW($1:$99)),COLUMN(J64))-1)</f>
        <v/>
      </c>
      <c r="AF65" s="29" t="str">
        <f t="array" ref="AF65">MID(";"&amp;'CASE DATA'!$F65&amp;";",SMALL(IF(ISERROR(SEARCH(MID(";"&amp;'CASE DATA'!$F65&amp;";",ROW($1:$99),1),";")),"",ROW($1:$99)+1),COLUMN(K65)),SMALL(IF(ISERROR(SEARCH(MID(";"&amp;'CASE DATA'!$F65&amp;";",ROW($1:$99),1),";")),"",ROW($1:$99)),COLUMN(K64)+1)-SMALL(IF(ISERROR(SEARCH(MID(";"&amp;'CASE DATA'!$F65&amp;";",ROW($1:$99),1),";")),"",ROW($1:$99)),COLUMN(K64))-1)</f>
        <v/>
      </c>
      <c r="AG65" s="29" t="str">
        <f t="array" ref="AG65">MID(";"&amp;'CASE DATA'!$F65&amp;";",SMALL(IF(ISERROR(SEARCH(MID(";"&amp;'CASE DATA'!$F65&amp;";",ROW($1:$99),1),";")),"",ROW($1:$99)+1),COLUMN(L65)),SMALL(IF(ISERROR(SEARCH(MID(";"&amp;'CASE DATA'!$F65&amp;";",ROW($1:$99),1),";")),"",ROW($1:$99)),COLUMN(L64)+1)-SMALL(IF(ISERROR(SEARCH(MID(";"&amp;'CASE DATA'!$F65&amp;";",ROW($1:$99),1),";")),"",ROW($1:$99)),COLUMN(L64))-1)</f>
        <v/>
      </c>
      <c r="AH65" s="29"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25"/>
      <c r="C66" s="24"/>
      <c r="D66" s="24"/>
      <c r="E66" s="25"/>
      <c r="F66" s="30"/>
      <c r="J66" s="31"/>
      <c r="K66" s="31"/>
      <c r="L66" s="31"/>
      <c r="M66" s="31"/>
      <c r="N66" s="31"/>
      <c r="O66" s="31"/>
      <c r="P66" s="31"/>
      <c r="Q66" s="31"/>
      <c r="R66" s="31"/>
      <c r="S66" s="31"/>
      <c r="T66" s="28">
        <f t="shared" si="1"/>
        <v>0</v>
      </c>
      <c r="U66" s="28"/>
      <c r="W66" s="29" t="str">
        <f t="array" ref="W66">MID(";"&amp;'CASE DATA'!$F66&amp;";",SMALL(IF(ISERROR(SEARCH(MID(";"&amp;'CASE DATA'!$F66&amp;";",ROW($1:$99),1),";")),"",ROW($1:$99)+1),COLUMN(A66)),SMALL(IF(ISERROR(SEARCH(MID(";"&amp;'CASE DATA'!$F66&amp;";",ROW($1:$99),1),";")),"",ROW($1:$99)),COLUMN(A65)+1)-SMALL(IF(ISERROR(SEARCH(MID(";"&amp;'CASE DATA'!$F66&amp;";",ROW($1:$99),1),";")),"",ROW($1:$99)),COLUMN(A65))-1)</f>
        <v/>
      </c>
      <c r="X66" s="29" t="str">
        <f t="array" ref="X66">MID(";"&amp;'CASE DATA'!$F66&amp;";",SMALL(IF(ISERROR(SEARCH(MID(";"&amp;'CASE DATA'!$F66&amp;";",ROW($1:$99),1),";")),"",ROW($1:$99)+1),COLUMN(B66)),SMALL(IF(ISERROR(SEARCH(MID(";"&amp;'CASE DATA'!$F66&amp;";",ROW($1:$99),1),";")),"",ROW($1:$99)),COLUMN(B65)+1)-SMALL(IF(ISERROR(SEARCH(MID(";"&amp;'CASE DATA'!$F66&amp;";",ROW($1:$99),1),";")),"",ROW($1:$99)),COLUMN(B65))-1)</f>
        <v/>
      </c>
      <c r="Y66" s="29" t="str">
        <f t="array" ref="Y66">MID(";"&amp;'CASE DATA'!$F66&amp;";",SMALL(IF(ISERROR(SEARCH(MID(";"&amp;'CASE DATA'!$F66&amp;";",ROW($1:$99),1),";")),"",ROW($1:$99)+1),COLUMN(D66)),SMALL(IF(ISERROR(SEARCH(MID(";"&amp;'CASE DATA'!$F66&amp;";",ROW($1:$99),1),";")),"",ROW($1:$99)),COLUMN(D65)+1)-SMALL(IF(ISERROR(SEARCH(MID(";"&amp;'CASE DATA'!$F66&amp;";",ROW($1:$99),1),";")),"",ROW($1:$99)),COLUMN(D65))-1)</f>
        <v/>
      </c>
      <c r="Z66" s="29" t="str">
        <f t="array" ref="Z66">MID(";"&amp;'CASE DATA'!$F66&amp;";",SMALL(IF(ISERROR(SEARCH(MID(";"&amp;'CASE DATA'!$F66&amp;";",ROW($1:$99),1),";")),"",ROW($1:$99)+1),COLUMN(E66)),SMALL(IF(ISERROR(SEARCH(MID(";"&amp;'CASE DATA'!$F66&amp;";",ROW($1:$99),1),";")),"",ROW($1:$99)),COLUMN(E65)+1)-SMALL(IF(ISERROR(SEARCH(MID(";"&amp;'CASE DATA'!$F66&amp;";",ROW($1:$99),1),";")),"",ROW($1:$99)),COLUMN(E65))-1)</f>
        <v/>
      </c>
      <c r="AA66" s="29" t="str">
        <f t="array" ref="AA66">MID(";"&amp;'CASE DATA'!$F66&amp;";",SMALL(IF(ISERROR(SEARCH(MID(";"&amp;'CASE DATA'!$F66&amp;";",ROW($1:$99),1),";")),"",ROW($1:$99)+1),COLUMN(F66)),SMALL(IF(ISERROR(SEARCH(MID(";"&amp;'CASE DATA'!$F66&amp;";",ROW($1:$99),1),";")),"",ROW($1:$99)),COLUMN(F65)+1)-SMALL(IF(ISERROR(SEARCH(MID(";"&amp;'CASE DATA'!$F66&amp;";",ROW($1:$99),1),";")),"",ROW($1:$99)),COLUMN(F65))-1)</f>
        <v/>
      </c>
      <c r="AB66" s="29" t="str">
        <f t="array" ref="AB66">MID(";"&amp;'CASE DATA'!$F66&amp;";",SMALL(IF(ISERROR(SEARCH(MID(";"&amp;'CASE DATA'!$F66&amp;";",ROW($1:$99),1),";")),"",ROW($1:$99)+1),COLUMN(G66)),SMALL(IF(ISERROR(SEARCH(MID(";"&amp;'CASE DATA'!$F66&amp;";",ROW($1:$99),1),";")),"",ROW($1:$99)),COLUMN(G65)+1)-SMALL(IF(ISERROR(SEARCH(MID(";"&amp;'CASE DATA'!$F66&amp;";",ROW($1:$99),1),";")),"",ROW($1:$99)),COLUMN(G65))-1)</f>
        <v/>
      </c>
      <c r="AC66" s="29" t="str">
        <f t="array" ref="AC66">MID(";"&amp;'CASE DATA'!$F66&amp;";",SMALL(IF(ISERROR(SEARCH(MID(";"&amp;'CASE DATA'!$F66&amp;";",ROW($1:$99),1),";")),"",ROW($1:$99)+1),COLUMN(H66)),SMALL(IF(ISERROR(SEARCH(MID(";"&amp;'CASE DATA'!$F66&amp;";",ROW($1:$99),1),";")),"",ROW($1:$99)),COLUMN(H65)+1)-SMALL(IF(ISERROR(SEARCH(MID(";"&amp;'CASE DATA'!$F66&amp;";",ROW($1:$99),1),";")),"",ROW($1:$99)),COLUMN(H65))-1)</f>
        <v/>
      </c>
      <c r="AD66" s="29" t="str">
        <f t="array" ref="AD66">MID(";"&amp;'CASE DATA'!$F66&amp;";",SMALL(IF(ISERROR(SEARCH(MID(";"&amp;'CASE DATA'!$F66&amp;";",ROW($1:$99),1),";")),"",ROW($1:$99)+1),COLUMN(I66)),SMALL(IF(ISERROR(SEARCH(MID(";"&amp;'CASE DATA'!$F66&amp;";",ROW($1:$99),1),";")),"",ROW($1:$99)),COLUMN(I65)+1)-SMALL(IF(ISERROR(SEARCH(MID(";"&amp;'CASE DATA'!$F66&amp;";",ROW($1:$99),1),";")),"",ROW($1:$99)),COLUMN(I65))-1)</f>
        <v/>
      </c>
      <c r="AE66" s="29" t="str">
        <f t="array" ref="AE66">MID(";"&amp;'CASE DATA'!$F66&amp;";",SMALL(IF(ISERROR(SEARCH(MID(";"&amp;'CASE DATA'!$F66&amp;";",ROW($1:$99),1),";")),"",ROW($1:$99)+1),COLUMN(J66)),SMALL(IF(ISERROR(SEARCH(MID(";"&amp;'CASE DATA'!$F66&amp;";",ROW($1:$99),1),";")),"",ROW($1:$99)),COLUMN(J65)+1)-SMALL(IF(ISERROR(SEARCH(MID(";"&amp;'CASE DATA'!$F66&amp;";",ROW($1:$99),1),";")),"",ROW($1:$99)),COLUMN(J65))-1)</f>
        <v/>
      </c>
      <c r="AF66" s="29" t="str">
        <f t="array" ref="AF66">MID(";"&amp;'CASE DATA'!$F66&amp;";",SMALL(IF(ISERROR(SEARCH(MID(";"&amp;'CASE DATA'!$F66&amp;";",ROW($1:$99),1),";")),"",ROW($1:$99)+1),COLUMN(K66)),SMALL(IF(ISERROR(SEARCH(MID(";"&amp;'CASE DATA'!$F66&amp;";",ROW($1:$99),1),";")),"",ROW($1:$99)),COLUMN(K65)+1)-SMALL(IF(ISERROR(SEARCH(MID(";"&amp;'CASE DATA'!$F66&amp;";",ROW($1:$99),1),";")),"",ROW($1:$99)),COLUMN(K65))-1)</f>
        <v/>
      </c>
      <c r="AG66" s="29" t="str">
        <f t="array" ref="AG66">MID(";"&amp;'CASE DATA'!$F66&amp;";",SMALL(IF(ISERROR(SEARCH(MID(";"&amp;'CASE DATA'!$F66&amp;";",ROW($1:$99),1),";")),"",ROW($1:$99)+1),COLUMN(L66)),SMALL(IF(ISERROR(SEARCH(MID(";"&amp;'CASE DATA'!$F66&amp;";",ROW($1:$99),1),";")),"",ROW($1:$99)),COLUMN(L65)+1)-SMALL(IF(ISERROR(SEARCH(MID(";"&amp;'CASE DATA'!$F66&amp;";",ROW($1:$99),1),";")),"",ROW($1:$99)),COLUMN(L65))-1)</f>
        <v/>
      </c>
      <c r="AH66" s="29"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25"/>
      <c r="C67" s="24"/>
      <c r="D67" s="24"/>
      <c r="E67" s="25"/>
      <c r="F67" s="30"/>
      <c r="J67" s="31"/>
      <c r="K67" s="31"/>
      <c r="L67" s="31"/>
      <c r="M67" s="31"/>
      <c r="N67" s="31"/>
      <c r="O67" s="31"/>
      <c r="P67" s="31"/>
      <c r="Q67" s="31"/>
      <c r="R67" s="31"/>
      <c r="S67" s="31"/>
      <c r="T67" s="28">
        <f t="shared" si="1"/>
        <v>0</v>
      </c>
      <c r="U67" s="28"/>
      <c r="W67" s="29" t="str">
        <f t="array" ref="W67">MID(";"&amp;'CASE DATA'!$F67&amp;";",SMALL(IF(ISERROR(SEARCH(MID(";"&amp;'CASE DATA'!$F67&amp;";",ROW($1:$99),1),";")),"",ROW($1:$99)+1),COLUMN(A67)),SMALL(IF(ISERROR(SEARCH(MID(";"&amp;'CASE DATA'!$F67&amp;";",ROW($1:$99),1),";")),"",ROW($1:$99)),COLUMN(A66)+1)-SMALL(IF(ISERROR(SEARCH(MID(";"&amp;'CASE DATA'!$F67&amp;";",ROW($1:$99),1),";")),"",ROW($1:$99)),COLUMN(A66))-1)</f>
        <v/>
      </c>
      <c r="X67" s="29" t="str">
        <f t="array" ref="X67">MID(";"&amp;'CASE DATA'!$F67&amp;";",SMALL(IF(ISERROR(SEARCH(MID(";"&amp;'CASE DATA'!$F67&amp;";",ROW($1:$99),1),";")),"",ROW($1:$99)+1),COLUMN(B67)),SMALL(IF(ISERROR(SEARCH(MID(";"&amp;'CASE DATA'!$F67&amp;";",ROW($1:$99),1),";")),"",ROW($1:$99)),COLUMN(B66)+1)-SMALL(IF(ISERROR(SEARCH(MID(";"&amp;'CASE DATA'!$F67&amp;";",ROW($1:$99),1),";")),"",ROW($1:$99)),COLUMN(B66))-1)</f>
        <v/>
      </c>
      <c r="Y67" s="29" t="str">
        <f t="array" ref="Y67">MID(";"&amp;'CASE DATA'!$F67&amp;";",SMALL(IF(ISERROR(SEARCH(MID(";"&amp;'CASE DATA'!$F67&amp;";",ROW($1:$99),1),";")),"",ROW($1:$99)+1),COLUMN(D67)),SMALL(IF(ISERROR(SEARCH(MID(";"&amp;'CASE DATA'!$F67&amp;";",ROW($1:$99),1),";")),"",ROW($1:$99)),COLUMN(D66)+1)-SMALL(IF(ISERROR(SEARCH(MID(";"&amp;'CASE DATA'!$F67&amp;";",ROW($1:$99),1),";")),"",ROW($1:$99)),COLUMN(D66))-1)</f>
        <v/>
      </c>
      <c r="Z67" s="29" t="str">
        <f t="array" ref="Z67">MID(";"&amp;'CASE DATA'!$F67&amp;";",SMALL(IF(ISERROR(SEARCH(MID(";"&amp;'CASE DATA'!$F67&amp;";",ROW($1:$99),1),";")),"",ROW($1:$99)+1),COLUMN(E67)),SMALL(IF(ISERROR(SEARCH(MID(";"&amp;'CASE DATA'!$F67&amp;";",ROW($1:$99),1),";")),"",ROW($1:$99)),COLUMN(E66)+1)-SMALL(IF(ISERROR(SEARCH(MID(";"&amp;'CASE DATA'!$F67&amp;";",ROW($1:$99),1),";")),"",ROW($1:$99)),COLUMN(E66))-1)</f>
        <v/>
      </c>
      <c r="AA67" s="29" t="str">
        <f t="array" ref="AA67">MID(";"&amp;'CASE DATA'!$F67&amp;";",SMALL(IF(ISERROR(SEARCH(MID(";"&amp;'CASE DATA'!$F67&amp;";",ROW($1:$99),1),";")),"",ROW($1:$99)+1),COLUMN(F67)),SMALL(IF(ISERROR(SEARCH(MID(";"&amp;'CASE DATA'!$F67&amp;";",ROW($1:$99),1),";")),"",ROW($1:$99)),COLUMN(F66)+1)-SMALL(IF(ISERROR(SEARCH(MID(";"&amp;'CASE DATA'!$F67&amp;";",ROW($1:$99),1),";")),"",ROW($1:$99)),COLUMN(F66))-1)</f>
        <v/>
      </c>
      <c r="AB67" s="29" t="str">
        <f t="array" ref="AB67">MID(";"&amp;'CASE DATA'!$F67&amp;";",SMALL(IF(ISERROR(SEARCH(MID(";"&amp;'CASE DATA'!$F67&amp;";",ROW($1:$99),1),";")),"",ROW($1:$99)+1),COLUMN(G67)),SMALL(IF(ISERROR(SEARCH(MID(";"&amp;'CASE DATA'!$F67&amp;";",ROW($1:$99),1),";")),"",ROW($1:$99)),COLUMN(G66)+1)-SMALL(IF(ISERROR(SEARCH(MID(";"&amp;'CASE DATA'!$F67&amp;";",ROW($1:$99),1),";")),"",ROW($1:$99)),COLUMN(G66))-1)</f>
        <v/>
      </c>
      <c r="AC67" s="29" t="str">
        <f t="array" ref="AC67">MID(";"&amp;'CASE DATA'!$F67&amp;";",SMALL(IF(ISERROR(SEARCH(MID(";"&amp;'CASE DATA'!$F67&amp;";",ROW($1:$99),1),";")),"",ROW($1:$99)+1),COLUMN(H67)),SMALL(IF(ISERROR(SEARCH(MID(";"&amp;'CASE DATA'!$F67&amp;";",ROW($1:$99),1),";")),"",ROW($1:$99)),COLUMN(H66)+1)-SMALL(IF(ISERROR(SEARCH(MID(";"&amp;'CASE DATA'!$F67&amp;";",ROW($1:$99),1),";")),"",ROW($1:$99)),COLUMN(H66))-1)</f>
        <v/>
      </c>
      <c r="AD67" s="29" t="str">
        <f t="array" ref="AD67">MID(";"&amp;'CASE DATA'!$F67&amp;";",SMALL(IF(ISERROR(SEARCH(MID(";"&amp;'CASE DATA'!$F67&amp;";",ROW($1:$99),1),";")),"",ROW($1:$99)+1),COLUMN(I67)),SMALL(IF(ISERROR(SEARCH(MID(";"&amp;'CASE DATA'!$F67&amp;";",ROW($1:$99),1),";")),"",ROW($1:$99)),COLUMN(I66)+1)-SMALL(IF(ISERROR(SEARCH(MID(";"&amp;'CASE DATA'!$F67&amp;";",ROW($1:$99),1),";")),"",ROW($1:$99)),COLUMN(I66))-1)</f>
        <v/>
      </c>
      <c r="AE67" s="29" t="str">
        <f t="array" ref="AE67">MID(";"&amp;'CASE DATA'!$F67&amp;";",SMALL(IF(ISERROR(SEARCH(MID(";"&amp;'CASE DATA'!$F67&amp;";",ROW($1:$99),1),";")),"",ROW($1:$99)+1),COLUMN(J67)),SMALL(IF(ISERROR(SEARCH(MID(";"&amp;'CASE DATA'!$F67&amp;";",ROW($1:$99),1),";")),"",ROW($1:$99)),COLUMN(J66)+1)-SMALL(IF(ISERROR(SEARCH(MID(";"&amp;'CASE DATA'!$F67&amp;";",ROW($1:$99),1),";")),"",ROW($1:$99)),COLUMN(J66))-1)</f>
        <v/>
      </c>
      <c r="AF67" s="29" t="str">
        <f t="array" ref="AF67">MID(";"&amp;'CASE DATA'!$F67&amp;";",SMALL(IF(ISERROR(SEARCH(MID(";"&amp;'CASE DATA'!$F67&amp;";",ROW($1:$99),1),";")),"",ROW($1:$99)+1),COLUMN(K67)),SMALL(IF(ISERROR(SEARCH(MID(";"&amp;'CASE DATA'!$F67&amp;";",ROW($1:$99),1),";")),"",ROW($1:$99)),COLUMN(K66)+1)-SMALL(IF(ISERROR(SEARCH(MID(";"&amp;'CASE DATA'!$F67&amp;";",ROW($1:$99),1),";")),"",ROW($1:$99)),COLUMN(K66))-1)</f>
        <v/>
      </c>
      <c r="AG67" s="29" t="str">
        <f t="array" ref="AG67">MID(";"&amp;'CASE DATA'!$F67&amp;";",SMALL(IF(ISERROR(SEARCH(MID(";"&amp;'CASE DATA'!$F67&amp;";",ROW($1:$99),1),";")),"",ROW($1:$99)+1),COLUMN(L67)),SMALL(IF(ISERROR(SEARCH(MID(";"&amp;'CASE DATA'!$F67&amp;";",ROW($1:$99),1),";")),"",ROW($1:$99)),COLUMN(L66)+1)-SMALL(IF(ISERROR(SEARCH(MID(";"&amp;'CASE DATA'!$F67&amp;";",ROW($1:$99),1),";")),"",ROW($1:$99)),COLUMN(L66))-1)</f>
        <v/>
      </c>
      <c r="AH67" s="29"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25"/>
      <c r="C68" s="24"/>
      <c r="D68" s="24"/>
      <c r="E68" s="25"/>
      <c r="F68" s="30"/>
      <c r="J68" s="31"/>
      <c r="K68" s="31"/>
      <c r="L68" s="31"/>
      <c r="M68" s="31"/>
      <c r="N68" s="31"/>
      <c r="O68" s="31"/>
      <c r="P68" s="31"/>
      <c r="Q68" s="31"/>
      <c r="R68" s="31"/>
      <c r="S68" s="31"/>
      <c r="T68" s="28">
        <f t="shared" ref="T68:T131" si="2">SUM(J68:S68)</f>
        <v>0</v>
      </c>
      <c r="U68" s="28"/>
      <c r="W68" s="29" t="str">
        <f t="array" ref="W68">MID(";"&amp;'CASE DATA'!$F68&amp;";",SMALL(IF(ISERROR(SEARCH(MID(";"&amp;'CASE DATA'!$F68&amp;";",ROW($1:$99),1),";")),"",ROW($1:$99)+1),COLUMN(A68)),SMALL(IF(ISERROR(SEARCH(MID(";"&amp;'CASE DATA'!$F68&amp;";",ROW($1:$99),1),";")),"",ROW($1:$99)),COLUMN(A67)+1)-SMALL(IF(ISERROR(SEARCH(MID(";"&amp;'CASE DATA'!$F68&amp;";",ROW($1:$99),1),";")),"",ROW($1:$99)),COLUMN(A67))-1)</f>
        <v/>
      </c>
      <c r="X68" s="29" t="str">
        <f t="array" ref="X68">MID(";"&amp;'CASE DATA'!$F68&amp;";",SMALL(IF(ISERROR(SEARCH(MID(";"&amp;'CASE DATA'!$F68&amp;";",ROW($1:$99),1),";")),"",ROW($1:$99)+1),COLUMN(B68)),SMALL(IF(ISERROR(SEARCH(MID(";"&amp;'CASE DATA'!$F68&amp;";",ROW($1:$99),1),";")),"",ROW($1:$99)),COLUMN(B67)+1)-SMALL(IF(ISERROR(SEARCH(MID(";"&amp;'CASE DATA'!$F68&amp;";",ROW($1:$99),1),";")),"",ROW($1:$99)),COLUMN(B67))-1)</f>
        <v/>
      </c>
      <c r="Y68" s="29" t="str">
        <f t="array" ref="Y68">MID(";"&amp;'CASE DATA'!$F68&amp;";",SMALL(IF(ISERROR(SEARCH(MID(";"&amp;'CASE DATA'!$F68&amp;";",ROW($1:$99),1),";")),"",ROW($1:$99)+1),COLUMN(D68)),SMALL(IF(ISERROR(SEARCH(MID(";"&amp;'CASE DATA'!$F68&amp;";",ROW($1:$99),1),";")),"",ROW($1:$99)),COLUMN(D67)+1)-SMALL(IF(ISERROR(SEARCH(MID(";"&amp;'CASE DATA'!$F68&amp;";",ROW($1:$99),1),";")),"",ROW($1:$99)),COLUMN(D67))-1)</f>
        <v/>
      </c>
      <c r="Z68" s="29" t="str">
        <f t="array" ref="Z68">MID(";"&amp;'CASE DATA'!$F68&amp;";",SMALL(IF(ISERROR(SEARCH(MID(";"&amp;'CASE DATA'!$F68&amp;";",ROW($1:$99),1),";")),"",ROW($1:$99)+1),COLUMN(E68)),SMALL(IF(ISERROR(SEARCH(MID(";"&amp;'CASE DATA'!$F68&amp;";",ROW($1:$99),1),";")),"",ROW($1:$99)),COLUMN(E67)+1)-SMALL(IF(ISERROR(SEARCH(MID(";"&amp;'CASE DATA'!$F68&amp;";",ROW($1:$99),1),";")),"",ROW($1:$99)),COLUMN(E67))-1)</f>
        <v/>
      </c>
      <c r="AA68" s="29" t="str">
        <f t="array" ref="AA68">MID(";"&amp;'CASE DATA'!$F68&amp;";",SMALL(IF(ISERROR(SEARCH(MID(";"&amp;'CASE DATA'!$F68&amp;";",ROW($1:$99),1),";")),"",ROW($1:$99)+1),COLUMN(F68)),SMALL(IF(ISERROR(SEARCH(MID(";"&amp;'CASE DATA'!$F68&amp;";",ROW($1:$99),1),";")),"",ROW($1:$99)),COLUMN(F67)+1)-SMALL(IF(ISERROR(SEARCH(MID(";"&amp;'CASE DATA'!$F68&amp;";",ROW($1:$99),1),";")),"",ROW($1:$99)),COLUMN(F67))-1)</f>
        <v/>
      </c>
      <c r="AB68" s="29" t="str">
        <f t="array" ref="AB68">MID(";"&amp;'CASE DATA'!$F68&amp;";",SMALL(IF(ISERROR(SEARCH(MID(";"&amp;'CASE DATA'!$F68&amp;";",ROW($1:$99),1),";")),"",ROW($1:$99)+1),COLUMN(G68)),SMALL(IF(ISERROR(SEARCH(MID(";"&amp;'CASE DATA'!$F68&amp;";",ROW($1:$99),1),";")),"",ROW($1:$99)),COLUMN(G67)+1)-SMALL(IF(ISERROR(SEARCH(MID(";"&amp;'CASE DATA'!$F68&amp;";",ROW($1:$99),1),";")),"",ROW($1:$99)),COLUMN(G67))-1)</f>
        <v/>
      </c>
      <c r="AC68" s="29" t="str">
        <f t="array" ref="AC68">MID(";"&amp;'CASE DATA'!$F68&amp;";",SMALL(IF(ISERROR(SEARCH(MID(";"&amp;'CASE DATA'!$F68&amp;";",ROW($1:$99),1),";")),"",ROW($1:$99)+1),COLUMN(H68)),SMALL(IF(ISERROR(SEARCH(MID(";"&amp;'CASE DATA'!$F68&amp;";",ROW($1:$99),1),";")),"",ROW($1:$99)),COLUMN(H67)+1)-SMALL(IF(ISERROR(SEARCH(MID(";"&amp;'CASE DATA'!$F68&amp;";",ROW($1:$99),1),";")),"",ROW($1:$99)),COLUMN(H67))-1)</f>
        <v/>
      </c>
      <c r="AD68" s="29" t="str">
        <f t="array" ref="AD68">MID(";"&amp;'CASE DATA'!$F68&amp;";",SMALL(IF(ISERROR(SEARCH(MID(";"&amp;'CASE DATA'!$F68&amp;";",ROW($1:$99),1),";")),"",ROW($1:$99)+1),COLUMN(I68)),SMALL(IF(ISERROR(SEARCH(MID(";"&amp;'CASE DATA'!$F68&amp;";",ROW($1:$99),1),";")),"",ROW($1:$99)),COLUMN(I67)+1)-SMALL(IF(ISERROR(SEARCH(MID(";"&amp;'CASE DATA'!$F68&amp;";",ROW($1:$99),1),";")),"",ROW($1:$99)),COLUMN(I67))-1)</f>
        <v/>
      </c>
      <c r="AE68" s="29" t="str">
        <f t="array" ref="AE68">MID(";"&amp;'CASE DATA'!$F68&amp;";",SMALL(IF(ISERROR(SEARCH(MID(";"&amp;'CASE DATA'!$F68&amp;";",ROW($1:$99),1),";")),"",ROW($1:$99)+1),COLUMN(J68)),SMALL(IF(ISERROR(SEARCH(MID(";"&amp;'CASE DATA'!$F68&amp;";",ROW($1:$99),1),";")),"",ROW($1:$99)),COLUMN(J67)+1)-SMALL(IF(ISERROR(SEARCH(MID(";"&amp;'CASE DATA'!$F68&amp;";",ROW($1:$99),1),";")),"",ROW($1:$99)),COLUMN(J67))-1)</f>
        <v/>
      </c>
      <c r="AF68" s="29" t="str">
        <f t="array" ref="AF68">MID(";"&amp;'CASE DATA'!$F68&amp;";",SMALL(IF(ISERROR(SEARCH(MID(";"&amp;'CASE DATA'!$F68&amp;";",ROW($1:$99),1),";")),"",ROW($1:$99)+1),COLUMN(K68)),SMALL(IF(ISERROR(SEARCH(MID(";"&amp;'CASE DATA'!$F68&amp;";",ROW($1:$99),1),";")),"",ROW($1:$99)),COLUMN(K67)+1)-SMALL(IF(ISERROR(SEARCH(MID(";"&amp;'CASE DATA'!$F68&amp;";",ROW($1:$99),1),";")),"",ROW($1:$99)),COLUMN(K67))-1)</f>
        <v/>
      </c>
      <c r="AG68" s="29" t="str">
        <f t="array" ref="AG68">MID(";"&amp;'CASE DATA'!$F68&amp;";",SMALL(IF(ISERROR(SEARCH(MID(";"&amp;'CASE DATA'!$F68&amp;";",ROW($1:$99),1),";")),"",ROW($1:$99)+1),COLUMN(L68)),SMALL(IF(ISERROR(SEARCH(MID(";"&amp;'CASE DATA'!$F68&amp;";",ROW($1:$99),1),";")),"",ROW($1:$99)),COLUMN(L67)+1)-SMALL(IF(ISERROR(SEARCH(MID(";"&amp;'CASE DATA'!$F68&amp;";",ROW($1:$99),1),";")),"",ROW($1:$99)),COLUMN(L67))-1)</f>
        <v/>
      </c>
      <c r="AH68" s="29"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24"/>
      <c r="D69" s="24"/>
      <c r="E69" s="25"/>
      <c r="F69" s="30"/>
      <c r="J69" s="31"/>
      <c r="K69" s="31"/>
      <c r="L69" s="31"/>
      <c r="M69" s="31"/>
      <c r="N69" s="31"/>
      <c r="O69" s="31"/>
      <c r="P69" s="31"/>
      <c r="Q69" s="31"/>
      <c r="R69" s="31"/>
      <c r="S69" s="31"/>
      <c r="T69" s="28">
        <f t="shared" si="2"/>
        <v>0</v>
      </c>
      <c r="U69" s="28"/>
      <c r="W69" s="29" t="str">
        <f t="array" ref="W69">MID(";"&amp;'CASE DATA'!$F69&amp;";",SMALL(IF(ISERROR(SEARCH(MID(";"&amp;'CASE DATA'!$F69&amp;";",ROW($1:$99),1),";")),"",ROW($1:$99)+1),COLUMN(A69)),SMALL(IF(ISERROR(SEARCH(MID(";"&amp;'CASE DATA'!$F69&amp;";",ROW($1:$99),1),";")),"",ROW($1:$99)),COLUMN(A68)+1)-SMALL(IF(ISERROR(SEARCH(MID(";"&amp;'CASE DATA'!$F69&amp;";",ROW($1:$99),1),";")),"",ROW($1:$99)),COLUMN(A68))-1)</f>
        <v/>
      </c>
      <c r="X69" s="29" t="str">
        <f t="array" ref="X69">MID(";"&amp;'CASE DATA'!$F69&amp;";",SMALL(IF(ISERROR(SEARCH(MID(";"&amp;'CASE DATA'!$F69&amp;";",ROW($1:$99),1),";")),"",ROW($1:$99)+1),COLUMN(B69)),SMALL(IF(ISERROR(SEARCH(MID(";"&amp;'CASE DATA'!$F69&amp;";",ROW($1:$99),1),";")),"",ROW($1:$99)),COLUMN(B68)+1)-SMALL(IF(ISERROR(SEARCH(MID(";"&amp;'CASE DATA'!$F69&amp;";",ROW($1:$99),1),";")),"",ROW($1:$99)),COLUMN(B68))-1)</f>
        <v/>
      </c>
      <c r="Y69" s="29" t="str">
        <f t="array" ref="Y69">MID(";"&amp;'CASE DATA'!$F69&amp;";",SMALL(IF(ISERROR(SEARCH(MID(";"&amp;'CASE DATA'!$F69&amp;";",ROW($1:$99),1),";")),"",ROW($1:$99)+1),COLUMN(D69)),SMALL(IF(ISERROR(SEARCH(MID(";"&amp;'CASE DATA'!$F69&amp;";",ROW($1:$99),1),";")),"",ROW($1:$99)),COLUMN(D68)+1)-SMALL(IF(ISERROR(SEARCH(MID(";"&amp;'CASE DATA'!$F69&amp;";",ROW($1:$99),1),";")),"",ROW($1:$99)),COLUMN(D68))-1)</f>
        <v/>
      </c>
      <c r="Z69" s="29" t="str">
        <f t="array" ref="Z69">MID(";"&amp;'CASE DATA'!$F69&amp;";",SMALL(IF(ISERROR(SEARCH(MID(";"&amp;'CASE DATA'!$F69&amp;";",ROW($1:$99),1),";")),"",ROW($1:$99)+1),COLUMN(E69)),SMALL(IF(ISERROR(SEARCH(MID(";"&amp;'CASE DATA'!$F69&amp;";",ROW($1:$99),1),";")),"",ROW($1:$99)),COLUMN(E68)+1)-SMALL(IF(ISERROR(SEARCH(MID(";"&amp;'CASE DATA'!$F69&amp;";",ROW($1:$99),1),";")),"",ROW($1:$99)),COLUMN(E68))-1)</f>
        <v/>
      </c>
      <c r="AA69" s="29" t="str">
        <f t="array" ref="AA69">MID(";"&amp;'CASE DATA'!$F69&amp;";",SMALL(IF(ISERROR(SEARCH(MID(";"&amp;'CASE DATA'!$F69&amp;";",ROW($1:$99),1),";")),"",ROW($1:$99)+1),COLUMN(F69)),SMALL(IF(ISERROR(SEARCH(MID(";"&amp;'CASE DATA'!$F69&amp;";",ROW($1:$99),1),";")),"",ROW($1:$99)),COLUMN(F68)+1)-SMALL(IF(ISERROR(SEARCH(MID(";"&amp;'CASE DATA'!$F69&amp;";",ROW($1:$99),1),";")),"",ROW($1:$99)),COLUMN(F68))-1)</f>
        <v/>
      </c>
      <c r="AB69" s="29" t="str">
        <f t="array" ref="AB69">MID(";"&amp;'CASE DATA'!$F69&amp;";",SMALL(IF(ISERROR(SEARCH(MID(";"&amp;'CASE DATA'!$F69&amp;";",ROW($1:$99),1),";")),"",ROW($1:$99)+1),COLUMN(G69)),SMALL(IF(ISERROR(SEARCH(MID(";"&amp;'CASE DATA'!$F69&amp;";",ROW($1:$99),1),";")),"",ROW($1:$99)),COLUMN(G68)+1)-SMALL(IF(ISERROR(SEARCH(MID(";"&amp;'CASE DATA'!$F69&amp;";",ROW($1:$99),1),";")),"",ROW($1:$99)),COLUMN(G68))-1)</f>
        <v/>
      </c>
      <c r="AC69" s="29" t="str">
        <f t="array" ref="AC69">MID(";"&amp;'CASE DATA'!$F69&amp;";",SMALL(IF(ISERROR(SEARCH(MID(";"&amp;'CASE DATA'!$F69&amp;";",ROW($1:$99),1),";")),"",ROW($1:$99)+1),COLUMN(H69)),SMALL(IF(ISERROR(SEARCH(MID(";"&amp;'CASE DATA'!$F69&amp;";",ROW($1:$99),1),";")),"",ROW($1:$99)),COLUMN(H68)+1)-SMALL(IF(ISERROR(SEARCH(MID(";"&amp;'CASE DATA'!$F69&amp;";",ROW($1:$99),1),";")),"",ROW($1:$99)),COLUMN(H68))-1)</f>
        <v/>
      </c>
      <c r="AD69" s="29" t="str">
        <f t="array" ref="AD69">MID(";"&amp;'CASE DATA'!$F69&amp;";",SMALL(IF(ISERROR(SEARCH(MID(";"&amp;'CASE DATA'!$F69&amp;";",ROW($1:$99),1),";")),"",ROW($1:$99)+1),COLUMN(I69)),SMALL(IF(ISERROR(SEARCH(MID(";"&amp;'CASE DATA'!$F69&amp;";",ROW($1:$99),1),";")),"",ROW($1:$99)),COLUMN(I68)+1)-SMALL(IF(ISERROR(SEARCH(MID(";"&amp;'CASE DATA'!$F69&amp;";",ROW($1:$99),1),";")),"",ROW($1:$99)),COLUMN(I68))-1)</f>
        <v/>
      </c>
      <c r="AE69" s="29" t="str">
        <f t="array" ref="AE69">MID(";"&amp;'CASE DATA'!$F69&amp;";",SMALL(IF(ISERROR(SEARCH(MID(";"&amp;'CASE DATA'!$F69&amp;";",ROW($1:$99),1),";")),"",ROW($1:$99)+1),COLUMN(J69)),SMALL(IF(ISERROR(SEARCH(MID(";"&amp;'CASE DATA'!$F69&amp;";",ROW($1:$99),1),";")),"",ROW($1:$99)),COLUMN(J68)+1)-SMALL(IF(ISERROR(SEARCH(MID(";"&amp;'CASE DATA'!$F69&amp;";",ROW($1:$99),1),";")),"",ROW($1:$99)),COLUMN(J68))-1)</f>
        <v/>
      </c>
      <c r="AF69" s="29" t="str">
        <f t="array" ref="AF69">MID(";"&amp;'CASE DATA'!$F69&amp;";",SMALL(IF(ISERROR(SEARCH(MID(";"&amp;'CASE DATA'!$F69&amp;";",ROW($1:$99),1),";")),"",ROW($1:$99)+1),COLUMN(K69)),SMALL(IF(ISERROR(SEARCH(MID(";"&amp;'CASE DATA'!$F69&amp;";",ROW($1:$99),1),";")),"",ROW($1:$99)),COLUMN(K68)+1)-SMALL(IF(ISERROR(SEARCH(MID(";"&amp;'CASE DATA'!$F69&amp;";",ROW($1:$99),1),";")),"",ROW($1:$99)),COLUMN(K68))-1)</f>
        <v/>
      </c>
      <c r="AG69" s="29" t="str">
        <f t="array" ref="AG69">MID(";"&amp;'CASE DATA'!$F69&amp;";",SMALL(IF(ISERROR(SEARCH(MID(";"&amp;'CASE DATA'!$F69&amp;";",ROW($1:$99),1),";")),"",ROW($1:$99)+1),COLUMN(L69)),SMALL(IF(ISERROR(SEARCH(MID(";"&amp;'CASE DATA'!$F69&amp;";",ROW($1:$99),1),";")),"",ROW($1:$99)),COLUMN(L68)+1)-SMALL(IF(ISERROR(SEARCH(MID(";"&amp;'CASE DATA'!$F69&amp;";",ROW($1:$99),1),";")),"",ROW($1:$99)),COLUMN(L68))-1)</f>
        <v/>
      </c>
      <c r="AH69" s="29"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24"/>
      <c r="D70" s="24"/>
      <c r="E70" s="25"/>
      <c r="F70" s="30"/>
      <c r="J70" s="31"/>
      <c r="K70" s="31"/>
      <c r="L70" s="31"/>
      <c r="M70" s="31"/>
      <c r="N70" s="31"/>
      <c r="O70" s="31"/>
      <c r="P70" s="31"/>
      <c r="Q70" s="31"/>
      <c r="R70" s="31"/>
      <c r="S70" s="31"/>
      <c r="T70" s="28">
        <f t="shared" si="2"/>
        <v>0</v>
      </c>
      <c r="U70" s="28"/>
      <c r="W70" s="29" t="str">
        <f t="array" ref="W70">MID(";"&amp;'CASE DATA'!$F70&amp;";",SMALL(IF(ISERROR(SEARCH(MID(";"&amp;'CASE DATA'!$F70&amp;";",ROW($1:$99),1),";")),"",ROW($1:$99)+1),COLUMN(A70)),SMALL(IF(ISERROR(SEARCH(MID(";"&amp;'CASE DATA'!$F70&amp;";",ROW($1:$99),1),";")),"",ROW($1:$99)),COLUMN(A69)+1)-SMALL(IF(ISERROR(SEARCH(MID(";"&amp;'CASE DATA'!$F70&amp;";",ROW($1:$99),1),";")),"",ROW($1:$99)),COLUMN(A69))-1)</f>
        <v/>
      </c>
      <c r="X70" s="29" t="str">
        <f t="array" ref="X70">MID(";"&amp;'CASE DATA'!$F70&amp;";",SMALL(IF(ISERROR(SEARCH(MID(";"&amp;'CASE DATA'!$F70&amp;";",ROW($1:$99),1),";")),"",ROW($1:$99)+1),COLUMN(B70)),SMALL(IF(ISERROR(SEARCH(MID(";"&amp;'CASE DATA'!$F70&amp;";",ROW($1:$99),1),";")),"",ROW($1:$99)),COLUMN(B69)+1)-SMALL(IF(ISERROR(SEARCH(MID(";"&amp;'CASE DATA'!$F70&amp;";",ROW($1:$99),1),";")),"",ROW($1:$99)),COLUMN(B69))-1)</f>
        <v/>
      </c>
      <c r="Y70" s="29" t="str">
        <f t="array" ref="Y70">MID(";"&amp;'CASE DATA'!$F70&amp;";",SMALL(IF(ISERROR(SEARCH(MID(";"&amp;'CASE DATA'!$F70&amp;";",ROW($1:$99),1),";")),"",ROW($1:$99)+1),COLUMN(D70)),SMALL(IF(ISERROR(SEARCH(MID(";"&amp;'CASE DATA'!$F70&amp;";",ROW($1:$99),1),";")),"",ROW($1:$99)),COLUMN(D69)+1)-SMALL(IF(ISERROR(SEARCH(MID(";"&amp;'CASE DATA'!$F70&amp;";",ROW($1:$99),1),";")),"",ROW($1:$99)),COLUMN(D69))-1)</f>
        <v/>
      </c>
      <c r="Z70" s="29" t="str">
        <f t="array" ref="Z70">MID(";"&amp;'CASE DATA'!$F70&amp;";",SMALL(IF(ISERROR(SEARCH(MID(";"&amp;'CASE DATA'!$F70&amp;";",ROW($1:$99),1),";")),"",ROW($1:$99)+1),COLUMN(E70)),SMALL(IF(ISERROR(SEARCH(MID(";"&amp;'CASE DATA'!$F70&amp;";",ROW($1:$99),1),";")),"",ROW($1:$99)),COLUMN(E69)+1)-SMALL(IF(ISERROR(SEARCH(MID(";"&amp;'CASE DATA'!$F70&amp;";",ROW($1:$99),1),";")),"",ROW($1:$99)),COLUMN(E69))-1)</f>
        <v/>
      </c>
      <c r="AA70" s="29" t="str">
        <f t="array" ref="AA70">MID(";"&amp;'CASE DATA'!$F70&amp;";",SMALL(IF(ISERROR(SEARCH(MID(";"&amp;'CASE DATA'!$F70&amp;";",ROW($1:$99),1),";")),"",ROW($1:$99)+1),COLUMN(F70)),SMALL(IF(ISERROR(SEARCH(MID(";"&amp;'CASE DATA'!$F70&amp;";",ROW($1:$99),1),";")),"",ROW($1:$99)),COLUMN(F69)+1)-SMALL(IF(ISERROR(SEARCH(MID(";"&amp;'CASE DATA'!$F70&amp;";",ROW($1:$99),1),";")),"",ROW($1:$99)),COLUMN(F69))-1)</f>
        <v/>
      </c>
      <c r="AB70" s="29" t="str">
        <f t="array" ref="AB70">MID(";"&amp;'CASE DATA'!$F70&amp;";",SMALL(IF(ISERROR(SEARCH(MID(";"&amp;'CASE DATA'!$F70&amp;";",ROW($1:$99),1),";")),"",ROW($1:$99)+1),COLUMN(G70)),SMALL(IF(ISERROR(SEARCH(MID(";"&amp;'CASE DATA'!$F70&amp;";",ROW($1:$99),1),";")),"",ROW($1:$99)),COLUMN(G69)+1)-SMALL(IF(ISERROR(SEARCH(MID(";"&amp;'CASE DATA'!$F70&amp;";",ROW($1:$99),1),";")),"",ROW($1:$99)),COLUMN(G69))-1)</f>
        <v/>
      </c>
      <c r="AC70" s="29" t="str">
        <f t="array" ref="AC70">MID(";"&amp;'CASE DATA'!$F70&amp;";",SMALL(IF(ISERROR(SEARCH(MID(";"&amp;'CASE DATA'!$F70&amp;";",ROW($1:$99),1),";")),"",ROW($1:$99)+1),COLUMN(H70)),SMALL(IF(ISERROR(SEARCH(MID(";"&amp;'CASE DATA'!$F70&amp;";",ROW($1:$99),1),";")),"",ROW($1:$99)),COLUMN(H69)+1)-SMALL(IF(ISERROR(SEARCH(MID(";"&amp;'CASE DATA'!$F70&amp;";",ROW($1:$99),1),";")),"",ROW($1:$99)),COLUMN(H69))-1)</f>
        <v/>
      </c>
      <c r="AD70" s="29" t="str">
        <f t="array" ref="AD70">MID(";"&amp;'CASE DATA'!$F70&amp;";",SMALL(IF(ISERROR(SEARCH(MID(";"&amp;'CASE DATA'!$F70&amp;";",ROW($1:$99),1),";")),"",ROW($1:$99)+1),COLUMN(I70)),SMALL(IF(ISERROR(SEARCH(MID(";"&amp;'CASE DATA'!$F70&amp;";",ROW($1:$99),1),";")),"",ROW($1:$99)),COLUMN(I69)+1)-SMALL(IF(ISERROR(SEARCH(MID(";"&amp;'CASE DATA'!$F70&amp;";",ROW($1:$99),1),";")),"",ROW($1:$99)),COLUMN(I69))-1)</f>
        <v/>
      </c>
      <c r="AE70" s="29" t="str">
        <f t="array" ref="AE70">MID(";"&amp;'CASE DATA'!$F70&amp;";",SMALL(IF(ISERROR(SEARCH(MID(";"&amp;'CASE DATA'!$F70&amp;";",ROW($1:$99),1),";")),"",ROW($1:$99)+1),COLUMN(J70)),SMALL(IF(ISERROR(SEARCH(MID(";"&amp;'CASE DATA'!$F70&amp;";",ROW($1:$99),1),";")),"",ROW($1:$99)),COLUMN(J69)+1)-SMALL(IF(ISERROR(SEARCH(MID(";"&amp;'CASE DATA'!$F70&amp;";",ROW($1:$99),1),";")),"",ROW($1:$99)),COLUMN(J69))-1)</f>
        <v/>
      </c>
      <c r="AF70" s="29" t="str">
        <f t="array" ref="AF70">MID(";"&amp;'CASE DATA'!$F70&amp;";",SMALL(IF(ISERROR(SEARCH(MID(";"&amp;'CASE DATA'!$F70&amp;";",ROW($1:$99),1),";")),"",ROW($1:$99)+1),COLUMN(K70)),SMALL(IF(ISERROR(SEARCH(MID(";"&amp;'CASE DATA'!$F70&amp;";",ROW($1:$99),1),";")),"",ROW($1:$99)),COLUMN(K69)+1)-SMALL(IF(ISERROR(SEARCH(MID(";"&amp;'CASE DATA'!$F70&amp;";",ROW($1:$99),1),";")),"",ROW($1:$99)),COLUMN(K69))-1)</f>
        <v/>
      </c>
      <c r="AG70" s="29" t="str">
        <f t="array" ref="AG70">MID(";"&amp;'CASE DATA'!$F70&amp;";",SMALL(IF(ISERROR(SEARCH(MID(";"&amp;'CASE DATA'!$F70&amp;";",ROW($1:$99),1),";")),"",ROW($1:$99)+1),COLUMN(L70)),SMALL(IF(ISERROR(SEARCH(MID(";"&amp;'CASE DATA'!$F70&amp;";",ROW($1:$99),1),";")),"",ROW($1:$99)),COLUMN(L69)+1)-SMALL(IF(ISERROR(SEARCH(MID(";"&amp;'CASE DATA'!$F70&amp;";",ROW($1:$99),1),";")),"",ROW($1:$99)),COLUMN(L69))-1)</f>
        <v/>
      </c>
      <c r="AH70" s="29"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24"/>
      <c r="D71" s="24"/>
      <c r="E71" s="25"/>
      <c r="F71" s="30"/>
      <c r="J71" s="31"/>
      <c r="K71" s="31"/>
      <c r="L71" s="31"/>
      <c r="M71" s="31"/>
      <c r="N71" s="31"/>
      <c r="O71" s="31"/>
      <c r="P71" s="31"/>
      <c r="Q71" s="31"/>
      <c r="R71" s="31"/>
      <c r="S71" s="31"/>
      <c r="T71" s="28">
        <f t="shared" si="2"/>
        <v>0</v>
      </c>
      <c r="U71" s="28"/>
      <c r="W71" s="29" t="str">
        <f t="array" ref="W71">MID(";"&amp;'CASE DATA'!$F71&amp;";",SMALL(IF(ISERROR(SEARCH(MID(";"&amp;'CASE DATA'!$F71&amp;";",ROW($1:$99),1),";")),"",ROW($1:$99)+1),COLUMN(A71)),SMALL(IF(ISERROR(SEARCH(MID(";"&amp;'CASE DATA'!$F71&amp;";",ROW($1:$99),1),";")),"",ROW($1:$99)),COLUMN(A70)+1)-SMALL(IF(ISERROR(SEARCH(MID(";"&amp;'CASE DATA'!$F71&amp;";",ROW($1:$99),1),";")),"",ROW($1:$99)),COLUMN(A70))-1)</f>
        <v/>
      </c>
      <c r="X71" s="29" t="str">
        <f t="array" ref="X71">MID(";"&amp;'CASE DATA'!$F71&amp;";",SMALL(IF(ISERROR(SEARCH(MID(";"&amp;'CASE DATA'!$F71&amp;";",ROW($1:$99),1),";")),"",ROW($1:$99)+1),COLUMN(B71)),SMALL(IF(ISERROR(SEARCH(MID(";"&amp;'CASE DATA'!$F71&amp;";",ROW($1:$99),1),";")),"",ROW($1:$99)),COLUMN(B70)+1)-SMALL(IF(ISERROR(SEARCH(MID(";"&amp;'CASE DATA'!$F71&amp;";",ROW($1:$99),1),";")),"",ROW($1:$99)),COLUMN(B70))-1)</f>
        <v/>
      </c>
      <c r="Y71" s="29" t="str">
        <f t="array" ref="Y71">MID(";"&amp;'CASE DATA'!$F71&amp;";",SMALL(IF(ISERROR(SEARCH(MID(";"&amp;'CASE DATA'!$F71&amp;";",ROW($1:$99),1),";")),"",ROW($1:$99)+1),COLUMN(D71)),SMALL(IF(ISERROR(SEARCH(MID(";"&amp;'CASE DATA'!$F71&amp;";",ROW($1:$99),1),";")),"",ROW($1:$99)),COLUMN(D70)+1)-SMALL(IF(ISERROR(SEARCH(MID(";"&amp;'CASE DATA'!$F71&amp;";",ROW($1:$99),1),";")),"",ROW($1:$99)),COLUMN(D70))-1)</f>
        <v/>
      </c>
      <c r="Z71" s="29" t="str">
        <f t="array" ref="Z71">MID(";"&amp;'CASE DATA'!$F71&amp;";",SMALL(IF(ISERROR(SEARCH(MID(";"&amp;'CASE DATA'!$F71&amp;";",ROW($1:$99),1),";")),"",ROW($1:$99)+1),COLUMN(E71)),SMALL(IF(ISERROR(SEARCH(MID(";"&amp;'CASE DATA'!$F71&amp;";",ROW($1:$99),1),";")),"",ROW($1:$99)),COLUMN(E70)+1)-SMALL(IF(ISERROR(SEARCH(MID(";"&amp;'CASE DATA'!$F71&amp;";",ROW($1:$99),1),";")),"",ROW($1:$99)),COLUMN(E70))-1)</f>
        <v/>
      </c>
      <c r="AA71" s="29" t="str">
        <f t="array" ref="AA71">MID(";"&amp;'CASE DATA'!$F71&amp;";",SMALL(IF(ISERROR(SEARCH(MID(";"&amp;'CASE DATA'!$F71&amp;";",ROW($1:$99),1),";")),"",ROW($1:$99)+1),COLUMN(F71)),SMALL(IF(ISERROR(SEARCH(MID(";"&amp;'CASE DATA'!$F71&amp;";",ROW($1:$99),1),";")),"",ROW($1:$99)),COLUMN(F70)+1)-SMALL(IF(ISERROR(SEARCH(MID(";"&amp;'CASE DATA'!$F71&amp;";",ROW($1:$99),1),";")),"",ROW($1:$99)),COLUMN(F70))-1)</f>
        <v/>
      </c>
      <c r="AB71" s="29" t="str">
        <f t="array" ref="AB71">MID(";"&amp;'CASE DATA'!$F71&amp;";",SMALL(IF(ISERROR(SEARCH(MID(";"&amp;'CASE DATA'!$F71&amp;";",ROW($1:$99),1),";")),"",ROW($1:$99)+1),COLUMN(G71)),SMALL(IF(ISERROR(SEARCH(MID(";"&amp;'CASE DATA'!$F71&amp;";",ROW($1:$99),1),";")),"",ROW($1:$99)),COLUMN(G70)+1)-SMALL(IF(ISERROR(SEARCH(MID(";"&amp;'CASE DATA'!$F71&amp;";",ROW($1:$99),1),";")),"",ROW($1:$99)),COLUMN(G70))-1)</f>
        <v/>
      </c>
      <c r="AC71" s="29" t="str">
        <f t="array" ref="AC71">MID(";"&amp;'CASE DATA'!$F71&amp;";",SMALL(IF(ISERROR(SEARCH(MID(";"&amp;'CASE DATA'!$F71&amp;";",ROW($1:$99),1),";")),"",ROW($1:$99)+1),COLUMN(H71)),SMALL(IF(ISERROR(SEARCH(MID(";"&amp;'CASE DATA'!$F71&amp;";",ROW($1:$99),1),";")),"",ROW($1:$99)),COLUMN(H70)+1)-SMALL(IF(ISERROR(SEARCH(MID(";"&amp;'CASE DATA'!$F71&amp;";",ROW($1:$99),1),";")),"",ROW($1:$99)),COLUMN(H70))-1)</f>
        <v/>
      </c>
      <c r="AD71" s="29" t="str">
        <f t="array" ref="AD71">MID(";"&amp;'CASE DATA'!$F71&amp;";",SMALL(IF(ISERROR(SEARCH(MID(";"&amp;'CASE DATA'!$F71&amp;";",ROW($1:$99),1),";")),"",ROW($1:$99)+1),COLUMN(I71)),SMALL(IF(ISERROR(SEARCH(MID(";"&amp;'CASE DATA'!$F71&amp;";",ROW($1:$99),1),";")),"",ROW($1:$99)),COLUMN(I70)+1)-SMALL(IF(ISERROR(SEARCH(MID(";"&amp;'CASE DATA'!$F71&amp;";",ROW($1:$99),1),";")),"",ROW($1:$99)),COLUMN(I70))-1)</f>
        <v/>
      </c>
      <c r="AE71" s="29" t="str">
        <f t="array" ref="AE71">MID(";"&amp;'CASE DATA'!$F71&amp;";",SMALL(IF(ISERROR(SEARCH(MID(";"&amp;'CASE DATA'!$F71&amp;";",ROW($1:$99),1),";")),"",ROW($1:$99)+1),COLUMN(J71)),SMALL(IF(ISERROR(SEARCH(MID(";"&amp;'CASE DATA'!$F71&amp;";",ROW($1:$99),1),";")),"",ROW($1:$99)),COLUMN(J70)+1)-SMALL(IF(ISERROR(SEARCH(MID(";"&amp;'CASE DATA'!$F71&amp;";",ROW($1:$99),1),";")),"",ROW($1:$99)),COLUMN(J70))-1)</f>
        <v/>
      </c>
      <c r="AF71" s="29" t="str">
        <f t="array" ref="AF71">MID(";"&amp;'CASE DATA'!$F71&amp;";",SMALL(IF(ISERROR(SEARCH(MID(";"&amp;'CASE DATA'!$F71&amp;";",ROW($1:$99),1),";")),"",ROW($1:$99)+1),COLUMN(K71)),SMALL(IF(ISERROR(SEARCH(MID(";"&amp;'CASE DATA'!$F71&amp;";",ROW($1:$99),1),";")),"",ROW($1:$99)),COLUMN(K70)+1)-SMALL(IF(ISERROR(SEARCH(MID(";"&amp;'CASE DATA'!$F71&amp;";",ROW($1:$99),1),";")),"",ROW($1:$99)),COLUMN(K70))-1)</f>
        <v/>
      </c>
      <c r="AG71" s="29" t="str">
        <f t="array" ref="AG71">MID(";"&amp;'CASE DATA'!$F71&amp;";",SMALL(IF(ISERROR(SEARCH(MID(";"&amp;'CASE DATA'!$F71&amp;";",ROW($1:$99),1),";")),"",ROW($1:$99)+1),COLUMN(L71)),SMALL(IF(ISERROR(SEARCH(MID(";"&amp;'CASE DATA'!$F71&amp;";",ROW($1:$99),1),";")),"",ROW($1:$99)),COLUMN(L70)+1)-SMALL(IF(ISERROR(SEARCH(MID(";"&amp;'CASE DATA'!$F71&amp;";",ROW($1:$99),1),";")),"",ROW($1:$99)),COLUMN(L70))-1)</f>
        <v/>
      </c>
      <c r="AH71" s="29"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24"/>
      <c r="D72" s="24"/>
      <c r="E72" s="25"/>
      <c r="F72" s="30"/>
      <c r="J72" s="31"/>
      <c r="K72" s="31"/>
      <c r="L72" s="31"/>
      <c r="M72" s="31"/>
      <c r="N72" s="31"/>
      <c r="O72" s="31"/>
      <c r="P72" s="31"/>
      <c r="Q72" s="31"/>
      <c r="R72" s="31"/>
      <c r="S72" s="31"/>
      <c r="T72" s="28">
        <f t="shared" si="2"/>
        <v>0</v>
      </c>
      <c r="U72" s="28"/>
      <c r="W72" s="29" t="str">
        <f t="array" ref="W72">MID(";"&amp;'CASE DATA'!$F72&amp;";",SMALL(IF(ISERROR(SEARCH(MID(";"&amp;'CASE DATA'!$F72&amp;";",ROW($1:$99),1),";")),"",ROW($1:$99)+1),COLUMN(A72)),SMALL(IF(ISERROR(SEARCH(MID(";"&amp;'CASE DATA'!$F72&amp;";",ROW($1:$99),1),";")),"",ROW($1:$99)),COLUMN(A71)+1)-SMALL(IF(ISERROR(SEARCH(MID(";"&amp;'CASE DATA'!$F72&amp;";",ROW($1:$99),1),";")),"",ROW($1:$99)),COLUMN(A71))-1)</f>
        <v/>
      </c>
      <c r="X72" s="29" t="str">
        <f t="array" ref="X72">MID(";"&amp;'CASE DATA'!$F72&amp;";",SMALL(IF(ISERROR(SEARCH(MID(";"&amp;'CASE DATA'!$F72&amp;";",ROW($1:$99),1),";")),"",ROW($1:$99)+1),COLUMN(B72)),SMALL(IF(ISERROR(SEARCH(MID(";"&amp;'CASE DATA'!$F72&amp;";",ROW($1:$99),1),";")),"",ROW($1:$99)),COLUMN(B71)+1)-SMALL(IF(ISERROR(SEARCH(MID(";"&amp;'CASE DATA'!$F72&amp;";",ROW($1:$99),1),";")),"",ROW($1:$99)),COLUMN(B71))-1)</f>
        <v/>
      </c>
      <c r="Y72" s="29" t="str">
        <f t="array" ref="Y72">MID(";"&amp;'CASE DATA'!$F72&amp;";",SMALL(IF(ISERROR(SEARCH(MID(";"&amp;'CASE DATA'!$F72&amp;";",ROW($1:$99),1),";")),"",ROW($1:$99)+1),COLUMN(D72)),SMALL(IF(ISERROR(SEARCH(MID(";"&amp;'CASE DATA'!$F72&amp;";",ROW($1:$99),1),";")),"",ROW($1:$99)),COLUMN(D71)+1)-SMALL(IF(ISERROR(SEARCH(MID(";"&amp;'CASE DATA'!$F72&amp;";",ROW($1:$99),1),";")),"",ROW($1:$99)),COLUMN(D71))-1)</f>
        <v/>
      </c>
      <c r="Z72" s="29" t="str">
        <f t="array" ref="Z72">MID(";"&amp;'CASE DATA'!$F72&amp;";",SMALL(IF(ISERROR(SEARCH(MID(";"&amp;'CASE DATA'!$F72&amp;";",ROW($1:$99),1),";")),"",ROW($1:$99)+1),COLUMN(E72)),SMALL(IF(ISERROR(SEARCH(MID(";"&amp;'CASE DATA'!$F72&amp;";",ROW($1:$99),1),";")),"",ROW($1:$99)),COLUMN(E71)+1)-SMALL(IF(ISERROR(SEARCH(MID(";"&amp;'CASE DATA'!$F72&amp;";",ROW($1:$99),1),";")),"",ROW($1:$99)),COLUMN(E71))-1)</f>
        <v/>
      </c>
      <c r="AA72" s="29" t="str">
        <f t="array" ref="AA72">MID(";"&amp;'CASE DATA'!$F72&amp;";",SMALL(IF(ISERROR(SEARCH(MID(";"&amp;'CASE DATA'!$F72&amp;";",ROW($1:$99),1),";")),"",ROW($1:$99)+1),COLUMN(F72)),SMALL(IF(ISERROR(SEARCH(MID(";"&amp;'CASE DATA'!$F72&amp;";",ROW($1:$99),1),";")),"",ROW($1:$99)),COLUMN(F71)+1)-SMALL(IF(ISERROR(SEARCH(MID(";"&amp;'CASE DATA'!$F72&amp;";",ROW($1:$99),1),";")),"",ROW($1:$99)),COLUMN(F71))-1)</f>
        <v/>
      </c>
      <c r="AB72" s="29" t="str">
        <f t="array" ref="AB72">MID(";"&amp;'CASE DATA'!$F72&amp;";",SMALL(IF(ISERROR(SEARCH(MID(";"&amp;'CASE DATA'!$F72&amp;";",ROW($1:$99),1),";")),"",ROW($1:$99)+1),COLUMN(G72)),SMALL(IF(ISERROR(SEARCH(MID(";"&amp;'CASE DATA'!$F72&amp;";",ROW($1:$99),1),";")),"",ROW($1:$99)),COLUMN(G71)+1)-SMALL(IF(ISERROR(SEARCH(MID(";"&amp;'CASE DATA'!$F72&amp;";",ROW($1:$99),1),";")),"",ROW($1:$99)),COLUMN(G71))-1)</f>
        <v/>
      </c>
      <c r="AC72" s="29" t="str">
        <f t="array" ref="AC72">MID(";"&amp;'CASE DATA'!$F72&amp;";",SMALL(IF(ISERROR(SEARCH(MID(";"&amp;'CASE DATA'!$F72&amp;";",ROW($1:$99),1),";")),"",ROW($1:$99)+1),COLUMN(H72)),SMALL(IF(ISERROR(SEARCH(MID(";"&amp;'CASE DATA'!$F72&amp;";",ROW($1:$99),1),";")),"",ROW($1:$99)),COLUMN(H71)+1)-SMALL(IF(ISERROR(SEARCH(MID(";"&amp;'CASE DATA'!$F72&amp;";",ROW($1:$99),1),";")),"",ROW($1:$99)),COLUMN(H71))-1)</f>
        <v/>
      </c>
      <c r="AD72" s="29" t="str">
        <f t="array" ref="AD72">MID(";"&amp;'CASE DATA'!$F72&amp;";",SMALL(IF(ISERROR(SEARCH(MID(";"&amp;'CASE DATA'!$F72&amp;";",ROW($1:$99),1),";")),"",ROW($1:$99)+1),COLUMN(I72)),SMALL(IF(ISERROR(SEARCH(MID(";"&amp;'CASE DATA'!$F72&amp;";",ROW($1:$99),1),";")),"",ROW($1:$99)),COLUMN(I71)+1)-SMALL(IF(ISERROR(SEARCH(MID(";"&amp;'CASE DATA'!$F72&amp;";",ROW($1:$99),1),";")),"",ROW($1:$99)),COLUMN(I71))-1)</f>
        <v/>
      </c>
      <c r="AE72" s="29" t="str">
        <f t="array" ref="AE72">MID(";"&amp;'CASE DATA'!$F72&amp;";",SMALL(IF(ISERROR(SEARCH(MID(";"&amp;'CASE DATA'!$F72&amp;";",ROW($1:$99),1),";")),"",ROW($1:$99)+1),COLUMN(J72)),SMALL(IF(ISERROR(SEARCH(MID(";"&amp;'CASE DATA'!$F72&amp;";",ROW($1:$99),1),";")),"",ROW($1:$99)),COLUMN(J71)+1)-SMALL(IF(ISERROR(SEARCH(MID(";"&amp;'CASE DATA'!$F72&amp;";",ROW($1:$99),1),";")),"",ROW($1:$99)),COLUMN(J71))-1)</f>
        <v/>
      </c>
      <c r="AF72" s="29" t="str">
        <f t="array" ref="AF72">MID(";"&amp;'CASE DATA'!$F72&amp;";",SMALL(IF(ISERROR(SEARCH(MID(";"&amp;'CASE DATA'!$F72&amp;";",ROW($1:$99),1),";")),"",ROW($1:$99)+1),COLUMN(K72)),SMALL(IF(ISERROR(SEARCH(MID(";"&amp;'CASE DATA'!$F72&amp;";",ROW($1:$99),1),";")),"",ROW($1:$99)),COLUMN(K71)+1)-SMALL(IF(ISERROR(SEARCH(MID(";"&amp;'CASE DATA'!$F72&amp;";",ROW($1:$99),1),";")),"",ROW($1:$99)),COLUMN(K71))-1)</f>
        <v/>
      </c>
      <c r="AG72" s="29" t="str">
        <f t="array" ref="AG72">MID(";"&amp;'CASE DATA'!$F72&amp;";",SMALL(IF(ISERROR(SEARCH(MID(";"&amp;'CASE DATA'!$F72&amp;";",ROW($1:$99),1),";")),"",ROW($1:$99)+1),COLUMN(L72)),SMALL(IF(ISERROR(SEARCH(MID(";"&amp;'CASE DATA'!$F72&amp;";",ROW($1:$99),1),";")),"",ROW($1:$99)),COLUMN(L71)+1)-SMALL(IF(ISERROR(SEARCH(MID(";"&amp;'CASE DATA'!$F72&amp;";",ROW($1:$99),1),";")),"",ROW($1:$99)),COLUMN(L71))-1)</f>
        <v/>
      </c>
      <c r="AH72" s="29"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24"/>
      <c r="D73" s="24"/>
      <c r="E73" s="25"/>
      <c r="F73" s="30"/>
      <c r="J73" s="31"/>
      <c r="K73" s="31"/>
      <c r="L73" s="31"/>
      <c r="M73" s="31"/>
      <c r="N73" s="31"/>
      <c r="O73" s="31"/>
      <c r="P73" s="31"/>
      <c r="Q73" s="31"/>
      <c r="R73" s="31"/>
      <c r="S73" s="31"/>
      <c r="T73" s="28">
        <f t="shared" si="2"/>
        <v>0</v>
      </c>
      <c r="U73" s="28"/>
      <c r="W73" s="29" t="str">
        <f t="array" ref="W73">MID(";"&amp;'CASE DATA'!$F73&amp;";",SMALL(IF(ISERROR(SEARCH(MID(";"&amp;'CASE DATA'!$F73&amp;";",ROW($1:$99),1),";")),"",ROW($1:$99)+1),COLUMN(A73)),SMALL(IF(ISERROR(SEARCH(MID(";"&amp;'CASE DATA'!$F73&amp;";",ROW($1:$99),1),";")),"",ROW($1:$99)),COLUMN(A72)+1)-SMALL(IF(ISERROR(SEARCH(MID(";"&amp;'CASE DATA'!$F73&amp;";",ROW($1:$99),1),";")),"",ROW($1:$99)),COLUMN(A72))-1)</f>
        <v/>
      </c>
      <c r="X73" s="29" t="str">
        <f t="array" ref="X73">MID(";"&amp;'CASE DATA'!$F73&amp;";",SMALL(IF(ISERROR(SEARCH(MID(";"&amp;'CASE DATA'!$F73&amp;";",ROW($1:$99),1),";")),"",ROW($1:$99)+1),COLUMN(B73)),SMALL(IF(ISERROR(SEARCH(MID(";"&amp;'CASE DATA'!$F73&amp;";",ROW($1:$99),1),";")),"",ROW($1:$99)),COLUMN(B72)+1)-SMALL(IF(ISERROR(SEARCH(MID(";"&amp;'CASE DATA'!$F73&amp;";",ROW($1:$99),1),";")),"",ROW($1:$99)),COLUMN(B72))-1)</f>
        <v/>
      </c>
      <c r="Y73" s="29" t="str">
        <f t="array" ref="Y73">MID(";"&amp;'CASE DATA'!$F73&amp;";",SMALL(IF(ISERROR(SEARCH(MID(";"&amp;'CASE DATA'!$F73&amp;";",ROW($1:$99),1),";")),"",ROW($1:$99)+1),COLUMN(D73)),SMALL(IF(ISERROR(SEARCH(MID(";"&amp;'CASE DATA'!$F73&amp;";",ROW($1:$99),1),";")),"",ROW($1:$99)),COLUMN(D72)+1)-SMALL(IF(ISERROR(SEARCH(MID(";"&amp;'CASE DATA'!$F73&amp;";",ROW($1:$99),1),";")),"",ROW($1:$99)),COLUMN(D72))-1)</f>
        <v/>
      </c>
      <c r="Z73" s="29" t="str">
        <f t="array" ref="Z73">MID(";"&amp;'CASE DATA'!$F73&amp;";",SMALL(IF(ISERROR(SEARCH(MID(";"&amp;'CASE DATA'!$F73&amp;";",ROW($1:$99),1),";")),"",ROW($1:$99)+1),COLUMN(E73)),SMALL(IF(ISERROR(SEARCH(MID(";"&amp;'CASE DATA'!$F73&amp;";",ROW($1:$99),1),";")),"",ROW($1:$99)),COLUMN(E72)+1)-SMALL(IF(ISERROR(SEARCH(MID(";"&amp;'CASE DATA'!$F73&amp;";",ROW($1:$99),1),";")),"",ROW($1:$99)),COLUMN(E72))-1)</f>
        <v/>
      </c>
      <c r="AA73" s="29" t="str">
        <f t="array" ref="AA73">MID(";"&amp;'CASE DATA'!$F73&amp;";",SMALL(IF(ISERROR(SEARCH(MID(";"&amp;'CASE DATA'!$F73&amp;";",ROW($1:$99),1),";")),"",ROW($1:$99)+1),COLUMN(F73)),SMALL(IF(ISERROR(SEARCH(MID(";"&amp;'CASE DATA'!$F73&amp;";",ROW($1:$99),1),";")),"",ROW($1:$99)),COLUMN(F72)+1)-SMALL(IF(ISERROR(SEARCH(MID(";"&amp;'CASE DATA'!$F73&amp;";",ROW($1:$99),1),";")),"",ROW($1:$99)),COLUMN(F72))-1)</f>
        <v/>
      </c>
      <c r="AB73" s="29" t="str">
        <f t="array" ref="AB73">MID(";"&amp;'CASE DATA'!$F73&amp;";",SMALL(IF(ISERROR(SEARCH(MID(";"&amp;'CASE DATA'!$F73&amp;";",ROW($1:$99),1),";")),"",ROW($1:$99)+1),COLUMN(G73)),SMALL(IF(ISERROR(SEARCH(MID(";"&amp;'CASE DATA'!$F73&amp;";",ROW($1:$99),1),";")),"",ROW($1:$99)),COLUMN(G72)+1)-SMALL(IF(ISERROR(SEARCH(MID(";"&amp;'CASE DATA'!$F73&amp;";",ROW($1:$99),1),";")),"",ROW($1:$99)),COLUMN(G72))-1)</f>
        <v/>
      </c>
      <c r="AC73" s="29" t="str">
        <f t="array" ref="AC73">MID(";"&amp;'CASE DATA'!$F73&amp;";",SMALL(IF(ISERROR(SEARCH(MID(";"&amp;'CASE DATA'!$F73&amp;";",ROW($1:$99),1),";")),"",ROW($1:$99)+1),COLUMN(H73)),SMALL(IF(ISERROR(SEARCH(MID(";"&amp;'CASE DATA'!$F73&amp;";",ROW($1:$99),1),";")),"",ROW($1:$99)),COLUMN(H72)+1)-SMALL(IF(ISERROR(SEARCH(MID(";"&amp;'CASE DATA'!$F73&amp;";",ROW($1:$99),1),";")),"",ROW($1:$99)),COLUMN(H72))-1)</f>
        <v/>
      </c>
      <c r="AD73" s="29" t="str">
        <f t="array" ref="AD73">MID(";"&amp;'CASE DATA'!$F73&amp;";",SMALL(IF(ISERROR(SEARCH(MID(";"&amp;'CASE DATA'!$F73&amp;";",ROW($1:$99),1),";")),"",ROW($1:$99)+1),COLUMN(I73)),SMALL(IF(ISERROR(SEARCH(MID(";"&amp;'CASE DATA'!$F73&amp;";",ROW($1:$99),1),";")),"",ROW($1:$99)),COLUMN(I72)+1)-SMALL(IF(ISERROR(SEARCH(MID(";"&amp;'CASE DATA'!$F73&amp;";",ROW($1:$99),1),";")),"",ROW($1:$99)),COLUMN(I72))-1)</f>
        <v/>
      </c>
      <c r="AE73" s="29" t="str">
        <f t="array" ref="AE73">MID(";"&amp;'CASE DATA'!$F73&amp;";",SMALL(IF(ISERROR(SEARCH(MID(";"&amp;'CASE DATA'!$F73&amp;";",ROW($1:$99),1),";")),"",ROW($1:$99)+1),COLUMN(J73)),SMALL(IF(ISERROR(SEARCH(MID(";"&amp;'CASE DATA'!$F73&amp;";",ROW($1:$99),1),";")),"",ROW($1:$99)),COLUMN(J72)+1)-SMALL(IF(ISERROR(SEARCH(MID(";"&amp;'CASE DATA'!$F73&amp;";",ROW($1:$99),1),";")),"",ROW($1:$99)),COLUMN(J72))-1)</f>
        <v/>
      </c>
      <c r="AF73" s="29" t="str">
        <f t="array" ref="AF73">MID(";"&amp;'CASE DATA'!$F73&amp;";",SMALL(IF(ISERROR(SEARCH(MID(";"&amp;'CASE DATA'!$F73&amp;";",ROW($1:$99),1),";")),"",ROW($1:$99)+1),COLUMN(K73)),SMALL(IF(ISERROR(SEARCH(MID(";"&amp;'CASE DATA'!$F73&amp;";",ROW($1:$99),1),";")),"",ROW($1:$99)),COLUMN(K72)+1)-SMALL(IF(ISERROR(SEARCH(MID(";"&amp;'CASE DATA'!$F73&amp;";",ROW($1:$99),1),";")),"",ROW($1:$99)),COLUMN(K72))-1)</f>
        <v/>
      </c>
      <c r="AG73" s="29" t="str">
        <f t="array" ref="AG73">MID(";"&amp;'CASE DATA'!$F73&amp;";",SMALL(IF(ISERROR(SEARCH(MID(";"&amp;'CASE DATA'!$F73&amp;";",ROW($1:$99),1),";")),"",ROW($1:$99)+1),COLUMN(L73)),SMALL(IF(ISERROR(SEARCH(MID(";"&amp;'CASE DATA'!$F73&amp;";",ROW($1:$99),1),";")),"",ROW($1:$99)),COLUMN(L72)+1)-SMALL(IF(ISERROR(SEARCH(MID(";"&amp;'CASE DATA'!$F73&amp;";",ROW($1:$99),1),";")),"",ROW($1:$99)),COLUMN(L72))-1)</f>
        <v/>
      </c>
      <c r="AH73" s="29"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24"/>
      <c r="D74" s="24"/>
      <c r="E74" s="25"/>
      <c r="F74" s="30"/>
      <c r="J74" s="31"/>
      <c r="K74" s="31"/>
      <c r="L74" s="31"/>
      <c r="M74" s="31"/>
      <c r="N74" s="31"/>
      <c r="O74" s="31"/>
      <c r="P74" s="31"/>
      <c r="Q74" s="31"/>
      <c r="R74" s="31"/>
      <c r="S74" s="31"/>
      <c r="T74" s="28">
        <f t="shared" si="2"/>
        <v>0</v>
      </c>
      <c r="U74" s="28"/>
      <c r="W74" s="29" t="str">
        <f t="array" ref="W74">MID(";"&amp;'CASE DATA'!$F74&amp;";",SMALL(IF(ISERROR(SEARCH(MID(";"&amp;'CASE DATA'!$F74&amp;";",ROW($1:$99),1),";")),"",ROW($1:$99)+1),COLUMN(A74)),SMALL(IF(ISERROR(SEARCH(MID(";"&amp;'CASE DATA'!$F74&amp;";",ROW($1:$99),1),";")),"",ROW($1:$99)),COLUMN(A73)+1)-SMALL(IF(ISERROR(SEARCH(MID(";"&amp;'CASE DATA'!$F74&amp;";",ROW($1:$99),1),";")),"",ROW($1:$99)),COLUMN(A73))-1)</f>
        <v/>
      </c>
      <c r="X74" s="29" t="str">
        <f t="array" ref="X74">MID(";"&amp;'CASE DATA'!$F74&amp;";",SMALL(IF(ISERROR(SEARCH(MID(";"&amp;'CASE DATA'!$F74&amp;";",ROW($1:$99),1),";")),"",ROW($1:$99)+1),COLUMN(B74)),SMALL(IF(ISERROR(SEARCH(MID(";"&amp;'CASE DATA'!$F74&amp;";",ROW($1:$99),1),";")),"",ROW($1:$99)),COLUMN(B73)+1)-SMALL(IF(ISERROR(SEARCH(MID(";"&amp;'CASE DATA'!$F74&amp;";",ROW($1:$99),1),";")),"",ROW($1:$99)),COLUMN(B73))-1)</f>
        <v/>
      </c>
      <c r="Y74" s="29" t="str">
        <f t="array" ref="Y74">MID(";"&amp;'CASE DATA'!$F74&amp;";",SMALL(IF(ISERROR(SEARCH(MID(";"&amp;'CASE DATA'!$F74&amp;";",ROW($1:$99),1),";")),"",ROW($1:$99)+1),COLUMN(D74)),SMALL(IF(ISERROR(SEARCH(MID(";"&amp;'CASE DATA'!$F74&amp;";",ROW($1:$99),1),";")),"",ROW($1:$99)),COLUMN(D73)+1)-SMALL(IF(ISERROR(SEARCH(MID(";"&amp;'CASE DATA'!$F74&amp;";",ROW($1:$99),1),";")),"",ROW($1:$99)),COLUMN(D73))-1)</f>
        <v/>
      </c>
      <c r="Z74" s="29" t="str">
        <f t="array" ref="Z74">MID(";"&amp;'CASE DATA'!$F74&amp;";",SMALL(IF(ISERROR(SEARCH(MID(";"&amp;'CASE DATA'!$F74&amp;";",ROW($1:$99),1),";")),"",ROW($1:$99)+1),COLUMN(E74)),SMALL(IF(ISERROR(SEARCH(MID(";"&amp;'CASE DATA'!$F74&amp;";",ROW($1:$99),1),";")),"",ROW($1:$99)),COLUMN(E73)+1)-SMALL(IF(ISERROR(SEARCH(MID(";"&amp;'CASE DATA'!$F74&amp;";",ROW($1:$99),1),";")),"",ROW($1:$99)),COLUMN(E73))-1)</f>
        <v/>
      </c>
      <c r="AA74" s="29" t="str">
        <f t="array" ref="AA74">MID(";"&amp;'CASE DATA'!$F74&amp;";",SMALL(IF(ISERROR(SEARCH(MID(";"&amp;'CASE DATA'!$F74&amp;";",ROW($1:$99),1),";")),"",ROW($1:$99)+1),COLUMN(F74)),SMALL(IF(ISERROR(SEARCH(MID(";"&amp;'CASE DATA'!$F74&amp;";",ROW($1:$99),1),";")),"",ROW($1:$99)),COLUMN(F73)+1)-SMALL(IF(ISERROR(SEARCH(MID(";"&amp;'CASE DATA'!$F74&amp;";",ROW($1:$99),1),";")),"",ROW($1:$99)),COLUMN(F73))-1)</f>
        <v/>
      </c>
      <c r="AB74" s="29" t="str">
        <f t="array" ref="AB74">MID(";"&amp;'CASE DATA'!$F74&amp;";",SMALL(IF(ISERROR(SEARCH(MID(";"&amp;'CASE DATA'!$F74&amp;";",ROW($1:$99),1),";")),"",ROW($1:$99)+1),COLUMN(G74)),SMALL(IF(ISERROR(SEARCH(MID(";"&amp;'CASE DATA'!$F74&amp;";",ROW($1:$99),1),";")),"",ROW($1:$99)),COLUMN(G73)+1)-SMALL(IF(ISERROR(SEARCH(MID(";"&amp;'CASE DATA'!$F74&amp;";",ROW($1:$99),1),";")),"",ROW($1:$99)),COLUMN(G73))-1)</f>
        <v/>
      </c>
      <c r="AC74" s="29" t="str">
        <f t="array" ref="AC74">MID(";"&amp;'CASE DATA'!$F74&amp;";",SMALL(IF(ISERROR(SEARCH(MID(";"&amp;'CASE DATA'!$F74&amp;";",ROW($1:$99),1),";")),"",ROW($1:$99)+1),COLUMN(H74)),SMALL(IF(ISERROR(SEARCH(MID(";"&amp;'CASE DATA'!$F74&amp;";",ROW($1:$99),1),";")),"",ROW($1:$99)),COLUMN(H73)+1)-SMALL(IF(ISERROR(SEARCH(MID(";"&amp;'CASE DATA'!$F74&amp;";",ROW($1:$99),1),";")),"",ROW($1:$99)),COLUMN(H73))-1)</f>
        <v/>
      </c>
      <c r="AD74" s="29" t="str">
        <f t="array" ref="AD74">MID(";"&amp;'CASE DATA'!$F74&amp;";",SMALL(IF(ISERROR(SEARCH(MID(";"&amp;'CASE DATA'!$F74&amp;";",ROW($1:$99),1),";")),"",ROW($1:$99)+1),COLUMN(I74)),SMALL(IF(ISERROR(SEARCH(MID(";"&amp;'CASE DATA'!$F74&amp;";",ROW($1:$99),1),";")),"",ROW($1:$99)),COLUMN(I73)+1)-SMALL(IF(ISERROR(SEARCH(MID(";"&amp;'CASE DATA'!$F74&amp;";",ROW($1:$99),1),";")),"",ROW($1:$99)),COLUMN(I73))-1)</f>
        <v/>
      </c>
      <c r="AE74" s="29" t="str">
        <f t="array" ref="AE74">MID(";"&amp;'CASE DATA'!$F74&amp;";",SMALL(IF(ISERROR(SEARCH(MID(";"&amp;'CASE DATA'!$F74&amp;";",ROW($1:$99),1),";")),"",ROW($1:$99)+1),COLUMN(J74)),SMALL(IF(ISERROR(SEARCH(MID(";"&amp;'CASE DATA'!$F74&amp;";",ROW($1:$99),1),";")),"",ROW($1:$99)),COLUMN(J73)+1)-SMALL(IF(ISERROR(SEARCH(MID(";"&amp;'CASE DATA'!$F74&amp;";",ROW($1:$99),1),";")),"",ROW($1:$99)),COLUMN(J73))-1)</f>
        <v/>
      </c>
      <c r="AF74" s="29" t="str">
        <f t="array" ref="AF74">MID(";"&amp;'CASE DATA'!$F74&amp;";",SMALL(IF(ISERROR(SEARCH(MID(";"&amp;'CASE DATA'!$F74&amp;";",ROW($1:$99),1),";")),"",ROW($1:$99)+1),COLUMN(K74)),SMALL(IF(ISERROR(SEARCH(MID(";"&amp;'CASE DATA'!$F74&amp;";",ROW($1:$99),1),";")),"",ROW($1:$99)),COLUMN(K73)+1)-SMALL(IF(ISERROR(SEARCH(MID(";"&amp;'CASE DATA'!$F74&amp;";",ROW($1:$99),1),";")),"",ROW($1:$99)),COLUMN(K73))-1)</f>
        <v/>
      </c>
      <c r="AG74" s="29" t="str">
        <f t="array" ref="AG74">MID(";"&amp;'CASE DATA'!$F74&amp;";",SMALL(IF(ISERROR(SEARCH(MID(";"&amp;'CASE DATA'!$F74&amp;";",ROW($1:$99),1),";")),"",ROW($1:$99)+1),COLUMN(L74)),SMALL(IF(ISERROR(SEARCH(MID(";"&amp;'CASE DATA'!$F74&amp;";",ROW($1:$99),1),";")),"",ROW($1:$99)),COLUMN(L73)+1)-SMALL(IF(ISERROR(SEARCH(MID(";"&amp;'CASE DATA'!$F74&amp;";",ROW($1:$99),1),";")),"",ROW($1:$99)),COLUMN(L73))-1)</f>
        <v/>
      </c>
      <c r="AH74" s="29"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24"/>
      <c r="D75" s="24"/>
      <c r="E75" s="25"/>
      <c r="F75" s="30"/>
      <c r="J75" s="31"/>
      <c r="K75" s="31"/>
      <c r="L75" s="31"/>
      <c r="M75" s="31"/>
      <c r="N75" s="31"/>
      <c r="O75" s="31"/>
      <c r="P75" s="31"/>
      <c r="Q75" s="31"/>
      <c r="R75" s="31"/>
      <c r="S75" s="31"/>
      <c r="T75" s="28">
        <f t="shared" si="2"/>
        <v>0</v>
      </c>
      <c r="U75" s="28"/>
      <c r="W75" s="29" t="str">
        <f t="array" ref="W75">MID(";"&amp;'CASE DATA'!$F75&amp;";",SMALL(IF(ISERROR(SEARCH(MID(";"&amp;'CASE DATA'!$F75&amp;";",ROW($1:$99),1),";")),"",ROW($1:$99)+1),COLUMN(A75)),SMALL(IF(ISERROR(SEARCH(MID(";"&amp;'CASE DATA'!$F75&amp;";",ROW($1:$99),1),";")),"",ROW($1:$99)),COLUMN(A74)+1)-SMALL(IF(ISERROR(SEARCH(MID(";"&amp;'CASE DATA'!$F75&amp;";",ROW($1:$99),1),";")),"",ROW($1:$99)),COLUMN(A74))-1)</f>
        <v/>
      </c>
      <c r="X75" s="29" t="str">
        <f t="array" ref="X75">MID(";"&amp;'CASE DATA'!$F75&amp;";",SMALL(IF(ISERROR(SEARCH(MID(";"&amp;'CASE DATA'!$F75&amp;";",ROW($1:$99),1),";")),"",ROW($1:$99)+1),COLUMN(B75)),SMALL(IF(ISERROR(SEARCH(MID(";"&amp;'CASE DATA'!$F75&amp;";",ROW($1:$99),1),";")),"",ROW($1:$99)),COLUMN(B74)+1)-SMALL(IF(ISERROR(SEARCH(MID(";"&amp;'CASE DATA'!$F75&amp;";",ROW($1:$99),1),";")),"",ROW($1:$99)),COLUMN(B74))-1)</f>
        <v/>
      </c>
      <c r="Y75" s="29" t="str">
        <f t="array" ref="Y75">MID(";"&amp;'CASE DATA'!$F75&amp;";",SMALL(IF(ISERROR(SEARCH(MID(";"&amp;'CASE DATA'!$F75&amp;";",ROW($1:$99),1),";")),"",ROW($1:$99)+1),COLUMN(D75)),SMALL(IF(ISERROR(SEARCH(MID(";"&amp;'CASE DATA'!$F75&amp;";",ROW($1:$99),1),";")),"",ROW($1:$99)),COLUMN(D74)+1)-SMALL(IF(ISERROR(SEARCH(MID(";"&amp;'CASE DATA'!$F75&amp;";",ROW($1:$99),1),";")),"",ROW($1:$99)),COLUMN(D74))-1)</f>
        <v/>
      </c>
      <c r="Z75" s="29" t="str">
        <f t="array" ref="Z75">MID(";"&amp;'CASE DATA'!$F75&amp;";",SMALL(IF(ISERROR(SEARCH(MID(";"&amp;'CASE DATA'!$F75&amp;";",ROW($1:$99),1),";")),"",ROW($1:$99)+1),COLUMN(E75)),SMALL(IF(ISERROR(SEARCH(MID(";"&amp;'CASE DATA'!$F75&amp;";",ROW($1:$99),1),";")),"",ROW($1:$99)),COLUMN(E74)+1)-SMALL(IF(ISERROR(SEARCH(MID(";"&amp;'CASE DATA'!$F75&amp;";",ROW($1:$99),1),";")),"",ROW($1:$99)),COLUMN(E74))-1)</f>
        <v/>
      </c>
      <c r="AA75" s="29" t="str">
        <f t="array" ref="AA75">MID(";"&amp;'CASE DATA'!$F75&amp;";",SMALL(IF(ISERROR(SEARCH(MID(";"&amp;'CASE DATA'!$F75&amp;";",ROW($1:$99),1),";")),"",ROW($1:$99)+1),COLUMN(F75)),SMALL(IF(ISERROR(SEARCH(MID(";"&amp;'CASE DATA'!$F75&amp;";",ROW($1:$99),1),";")),"",ROW($1:$99)),COLUMN(F74)+1)-SMALL(IF(ISERROR(SEARCH(MID(";"&amp;'CASE DATA'!$F75&amp;";",ROW($1:$99),1),";")),"",ROW($1:$99)),COLUMN(F74))-1)</f>
        <v/>
      </c>
      <c r="AB75" s="29" t="str">
        <f t="array" ref="AB75">MID(";"&amp;'CASE DATA'!$F75&amp;";",SMALL(IF(ISERROR(SEARCH(MID(";"&amp;'CASE DATA'!$F75&amp;";",ROW($1:$99),1),";")),"",ROW($1:$99)+1),COLUMN(G75)),SMALL(IF(ISERROR(SEARCH(MID(";"&amp;'CASE DATA'!$F75&amp;";",ROW($1:$99),1),";")),"",ROW($1:$99)),COLUMN(G74)+1)-SMALL(IF(ISERROR(SEARCH(MID(";"&amp;'CASE DATA'!$F75&amp;";",ROW($1:$99),1),";")),"",ROW($1:$99)),COLUMN(G74))-1)</f>
        <v/>
      </c>
      <c r="AC75" s="29" t="str">
        <f t="array" ref="AC75">MID(";"&amp;'CASE DATA'!$F75&amp;";",SMALL(IF(ISERROR(SEARCH(MID(";"&amp;'CASE DATA'!$F75&amp;";",ROW($1:$99),1),";")),"",ROW($1:$99)+1),COLUMN(H75)),SMALL(IF(ISERROR(SEARCH(MID(";"&amp;'CASE DATA'!$F75&amp;";",ROW($1:$99),1),";")),"",ROW($1:$99)),COLUMN(H74)+1)-SMALL(IF(ISERROR(SEARCH(MID(";"&amp;'CASE DATA'!$F75&amp;";",ROW($1:$99),1),";")),"",ROW($1:$99)),COLUMN(H74))-1)</f>
        <v/>
      </c>
      <c r="AD75" s="29" t="str">
        <f t="array" ref="AD75">MID(";"&amp;'CASE DATA'!$F75&amp;";",SMALL(IF(ISERROR(SEARCH(MID(";"&amp;'CASE DATA'!$F75&amp;";",ROW($1:$99),1),";")),"",ROW($1:$99)+1),COLUMN(I75)),SMALL(IF(ISERROR(SEARCH(MID(";"&amp;'CASE DATA'!$F75&amp;";",ROW($1:$99),1),";")),"",ROW($1:$99)),COLUMN(I74)+1)-SMALL(IF(ISERROR(SEARCH(MID(";"&amp;'CASE DATA'!$F75&amp;";",ROW($1:$99),1),";")),"",ROW($1:$99)),COLUMN(I74))-1)</f>
        <v/>
      </c>
      <c r="AE75" s="29" t="str">
        <f t="array" ref="AE75">MID(";"&amp;'CASE DATA'!$F75&amp;";",SMALL(IF(ISERROR(SEARCH(MID(";"&amp;'CASE DATA'!$F75&amp;";",ROW($1:$99),1),";")),"",ROW($1:$99)+1),COLUMN(J75)),SMALL(IF(ISERROR(SEARCH(MID(";"&amp;'CASE DATA'!$F75&amp;";",ROW($1:$99),1),";")),"",ROW($1:$99)),COLUMN(J74)+1)-SMALL(IF(ISERROR(SEARCH(MID(";"&amp;'CASE DATA'!$F75&amp;";",ROW($1:$99),1),";")),"",ROW($1:$99)),COLUMN(J74))-1)</f>
        <v/>
      </c>
      <c r="AF75" s="29" t="str">
        <f t="array" ref="AF75">MID(";"&amp;'CASE DATA'!$F75&amp;";",SMALL(IF(ISERROR(SEARCH(MID(";"&amp;'CASE DATA'!$F75&amp;";",ROW($1:$99),1),";")),"",ROW($1:$99)+1),COLUMN(K75)),SMALL(IF(ISERROR(SEARCH(MID(";"&amp;'CASE DATA'!$F75&amp;";",ROW($1:$99),1),";")),"",ROW($1:$99)),COLUMN(K74)+1)-SMALL(IF(ISERROR(SEARCH(MID(";"&amp;'CASE DATA'!$F75&amp;";",ROW($1:$99),1),";")),"",ROW($1:$99)),COLUMN(K74))-1)</f>
        <v/>
      </c>
      <c r="AG75" s="29" t="str">
        <f t="array" ref="AG75">MID(";"&amp;'CASE DATA'!$F75&amp;";",SMALL(IF(ISERROR(SEARCH(MID(";"&amp;'CASE DATA'!$F75&amp;";",ROW($1:$99),1),";")),"",ROW($1:$99)+1),COLUMN(L75)),SMALL(IF(ISERROR(SEARCH(MID(";"&amp;'CASE DATA'!$F75&amp;";",ROW($1:$99),1),";")),"",ROW($1:$99)),COLUMN(L74)+1)-SMALL(IF(ISERROR(SEARCH(MID(";"&amp;'CASE DATA'!$F75&amp;";",ROW($1:$99),1),";")),"",ROW($1:$99)),COLUMN(L74))-1)</f>
        <v/>
      </c>
      <c r="AH75" s="29"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24"/>
      <c r="D76" s="24"/>
      <c r="E76" s="25"/>
      <c r="F76" s="30"/>
      <c r="J76" s="31"/>
      <c r="K76" s="31"/>
      <c r="L76" s="31"/>
      <c r="M76" s="31"/>
      <c r="N76" s="31"/>
      <c r="O76" s="31"/>
      <c r="P76" s="31"/>
      <c r="Q76" s="31"/>
      <c r="R76" s="31"/>
      <c r="S76" s="31"/>
      <c r="T76" s="28">
        <f t="shared" si="2"/>
        <v>0</v>
      </c>
      <c r="U76" s="28"/>
      <c r="W76" s="29" t="str">
        <f t="array" ref="W76">MID(";"&amp;'CASE DATA'!$F76&amp;";",SMALL(IF(ISERROR(SEARCH(MID(";"&amp;'CASE DATA'!$F76&amp;";",ROW($1:$99),1),";")),"",ROW($1:$99)+1),COLUMN(A76)),SMALL(IF(ISERROR(SEARCH(MID(";"&amp;'CASE DATA'!$F76&amp;";",ROW($1:$99),1),";")),"",ROW($1:$99)),COLUMN(A75)+1)-SMALL(IF(ISERROR(SEARCH(MID(";"&amp;'CASE DATA'!$F76&amp;";",ROW($1:$99),1),";")),"",ROW($1:$99)),COLUMN(A75))-1)</f>
        <v/>
      </c>
      <c r="X76" s="29" t="str">
        <f t="array" ref="X76">MID(";"&amp;'CASE DATA'!$F76&amp;";",SMALL(IF(ISERROR(SEARCH(MID(";"&amp;'CASE DATA'!$F76&amp;";",ROW($1:$99),1),";")),"",ROW($1:$99)+1),COLUMN(B76)),SMALL(IF(ISERROR(SEARCH(MID(";"&amp;'CASE DATA'!$F76&amp;";",ROW($1:$99),1),";")),"",ROW($1:$99)),COLUMN(B75)+1)-SMALL(IF(ISERROR(SEARCH(MID(";"&amp;'CASE DATA'!$F76&amp;";",ROW($1:$99),1),";")),"",ROW($1:$99)),COLUMN(B75))-1)</f>
        <v/>
      </c>
      <c r="Y76" s="29" t="str">
        <f t="array" ref="Y76">MID(";"&amp;'CASE DATA'!$F76&amp;";",SMALL(IF(ISERROR(SEARCH(MID(";"&amp;'CASE DATA'!$F76&amp;";",ROW($1:$99),1),";")),"",ROW($1:$99)+1),COLUMN(D76)),SMALL(IF(ISERROR(SEARCH(MID(";"&amp;'CASE DATA'!$F76&amp;";",ROW($1:$99),1),";")),"",ROW($1:$99)),COLUMN(D75)+1)-SMALL(IF(ISERROR(SEARCH(MID(";"&amp;'CASE DATA'!$F76&amp;";",ROW($1:$99),1),";")),"",ROW($1:$99)),COLUMN(D75))-1)</f>
        <v/>
      </c>
      <c r="Z76" s="29" t="str">
        <f t="array" ref="Z76">MID(";"&amp;'CASE DATA'!$F76&amp;";",SMALL(IF(ISERROR(SEARCH(MID(";"&amp;'CASE DATA'!$F76&amp;";",ROW($1:$99),1),";")),"",ROW($1:$99)+1),COLUMN(E76)),SMALL(IF(ISERROR(SEARCH(MID(";"&amp;'CASE DATA'!$F76&amp;";",ROW($1:$99),1),";")),"",ROW($1:$99)),COLUMN(E75)+1)-SMALL(IF(ISERROR(SEARCH(MID(";"&amp;'CASE DATA'!$F76&amp;";",ROW($1:$99),1),";")),"",ROW($1:$99)),COLUMN(E75))-1)</f>
        <v/>
      </c>
      <c r="AA76" s="29" t="str">
        <f t="array" ref="AA76">MID(";"&amp;'CASE DATA'!$F76&amp;";",SMALL(IF(ISERROR(SEARCH(MID(";"&amp;'CASE DATA'!$F76&amp;";",ROW($1:$99),1),";")),"",ROW($1:$99)+1),COLUMN(F76)),SMALL(IF(ISERROR(SEARCH(MID(";"&amp;'CASE DATA'!$F76&amp;";",ROW($1:$99),1),";")),"",ROW($1:$99)),COLUMN(F75)+1)-SMALL(IF(ISERROR(SEARCH(MID(";"&amp;'CASE DATA'!$F76&amp;";",ROW($1:$99),1),";")),"",ROW($1:$99)),COLUMN(F75))-1)</f>
        <v/>
      </c>
      <c r="AB76" s="29" t="str">
        <f t="array" ref="AB76">MID(";"&amp;'CASE DATA'!$F76&amp;";",SMALL(IF(ISERROR(SEARCH(MID(";"&amp;'CASE DATA'!$F76&amp;";",ROW($1:$99),1),";")),"",ROW($1:$99)+1),COLUMN(G76)),SMALL(IF(ISERROR(SEARCH(MID(";"&amp;'CASE DATA'!$F76&amp;";",ROW($1:$99),1),";")),"",ROW($1:$99)),COLUMN(G75)+1)-SMALL(IF(ISERROR(SEARCH(MID(";"&amp;'CASE DATA'!$F76&amp;";",ROW($1:$99),1),";")),"",ROW($1:$99)),COLUMN(G75))-1)</f>
        <v/>
      </c>
      <c r="AC76" s="29" t="str">
        <f t="array" ref="AC76">MID(";"&amp;'CASE DATA'!$F76&amp;";",SMALL(IF(ISERROR(SEARCH(MID(";"&amp;'CASE DATA'!$F76&amp;";",ROW($1:$99),1),";")),"",ROW($1:$99)+1),COLUMN(H76)),SMALL(IF(ISERROR(SEARCH(MID(";"&amp;'CASE DATA'!$F76&amp;";",ROW($1:$99),1),";")),"",ROW($1:$99)),COLUMN(H75)+1)-SMALL(IF(ISERROR(SEARCH(MID(";"&amp;'CASE DATA'!$F76&amp;";",ROW($1:$99),1),";")),"",ROW($1:$99)),COLUMN(H75))-1)</f>
        <v/>
      </c>
      <c r="AD76" s="29" t="str">
        <f t="array" ref="AD76">MID(";"&amp;'CASE DATA'!$F76&amp;";",SMALL(IF(ISERROR(SEARCH(MID(";"&amp;'CASE DATA'!$F76&amp;";",ROW($1:$99),1),";")),"",ROW($1:$99)+1),COLUMN(I76)),SMALL(IF(ISERROR(SEARCH(MID(";"&amp;'CASE DATA'!$F76&amp;";",ROW($1:$99),1),";")),"",ROW($1:$99)),COLUMN(I75)+1)-SMALL(IF(ISERROR(SEARCH(MID(";"&amp;'CASE DATA'!$F76&amp;";",ROW($1:$99),1),";")),"",ROW($1:$99)),COLUMN(I75))-1)</f>
        <v/>
      </c>
      <c r="AE76" s="29" t="str">
        <f t="array" ref="AE76">MID(";"&amp;'CASE DATA'!$F76&amp;";",SMALL(IF(ISERROR(SEARCH(MID(";"&amp;'CASE DATA'!$F76&amp;";",ROW($1:$99),1),";")),"",ROW($1:$99)+1),COLUMN(J76)),SMALL(IF(ISERROR(SEARCH(MID(";"&amp;'CASE DATA'!$F76&amp;";",ROW($1:$99),1),";")),"",ROW($1:$99)),COLUMN(J75)+1)-SMALL(IF(ISERROR(SEARCH(MID(";"&amp;'CASE DATA'!$F76&amp;";",ROW($1:$99),1),";")),"",ROW($1:$99)),COLUMN(J75))-1)</f>
        <v/>
      </c>
      <c r="AF76" s="29" t="str">
        <f t="array" ref="AF76">MID(";"&amp;'CASE DATA'!$F76&amp;";",SMALL(IF(ISERROR(SEARCH(MID(";"&amp;'CASE DATA'!$F76&amp;";",ROW($1:$99),1),";")),"",ROW($1:$99)+1),COLUMN(K76)),SMALL(IF(ISERROR(SEARCH(MID(";"&amp;'CASE DATA'!$F76&amp;";",ROW($1:$99),1),";")),"",ROW($1:$99)),COLUMN(K75)+1)-SMALL(IF(ISERROR(SEARCH(MID(";"&amp;'CASE DATA'!$F76&amp;";",ROW($1:$99),1),";")),"",ROW($1:$99)),COLUMN(K75))-1)</f>
        <v/>
      </c>
      <c r="AG76" s="29" t="str">
        <f t="array" ref="AG76">MID(";"&amp;'CASE DATA'!$F76&amp;";",SMALL(IF(ISERROR(SEARCH(MID(";"&amp;'CASE DATA'!$F76&amp;";",ROW($1:$99),1),";")),"",ROW($1:$99)+1),COLUMN(L76)),SMALL(IF(ISERROR(SEARCH(MID(";"&amp;'CASE DATA'!$F76&amp;";",ROW($1:$99),1),";")),"",ROW($1:$99)),COLUMN(L75)+1)-SMALL(IF(ISERROR(SEARCH(MID(";"&amp;'CASE DATA'!$F76&amp;";",ROW($1:$99),1),";")),"",ROW($1:$99)),COLUMN(L75))-1)</f>
        <v/>
      </c>
      <c r="AH76" s="29"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24"/>
      <c r="D77" s="24"/>
      <c r="E77" s="25"/>
      <c r="F77" s="30"/>
      <c r="J77" s="31"/>
      <c r="K77" s="31"/>
      <c r="L77" s="31"/>
      <c r="M77" s="31"/>
      <c r="N77" s="31"/>
      <c r="O77" s="31"/>
      <c r="P77" s="31"/>
      <c r="Q77" s="31"/>
      <c r="R77" s="31"/>
      <c r="S77" s="31"/>
      <c r="T77" s="28">
        <f t="shared" si="2"/>
        <v>0</v>
      </c>
      <c r="U77" s="28"/>
      <c r="W77" s="29" t="str">
        <f t="array" ref="W77">MID(";"&amp;'CASE DATA'!$F77&amp;";",SMALL(IF(ISERROR(SEARCH(MID(";"&amp;'CASE DATA'!$F77&amp;";",ROW($1:$99),1),";")),"",ROW($1:$99)+1),COLUMN(A77)),SMALL(IF(ISERROR(SEARCH(MID(";"&amp;'CASE DATA'!$F77&amp;";",ROW($1:$99),1),";")),"",ROW($1:$99)),COLUMN(A76)+1)-SMALL(IF(ISERROR(SEARCH(MID(";"&amp;'CASE DATA'!$F77&amp;";",ROW($1:$99),1),";")),"",ROW($1:$99)),COLUMN(A76))-1)</f>
        <v/>
      </c>
      <c r="X77" s="29" t="str">
        <f t="array" ref="X77">MID(";"&amp;'CASE DATA'!$F77&amp;";",SMALL(IF(ISERROR(SEARCH(MID(";"&amp;'CASE DATA'!$F77&amp;";",ROW($1:$99),1),";")),"",ROW($1:$99)+1),COLUMN(B77)),SMALL(IF(ISERROR(SEARCH(MID(";"&amp;'CASE DATA'!$F77&amp;";",ROW($1:$99),1),";")),"",ROW($1:$99)),COLUMN(B76)+1)-SMALL(IF(ISERROR(SEARCH(MID(";"&amp;'CASE DATA'!$F77&amp;";",ROW($1:$99),1),";")),"",ROW($1:$99)),COLUMN(B76))-1)</f>
        <v/>
      </c>
      <c r="Y77" s="29" t="str">
        <f t="array" ref="Y77">MID(";"&amp;'CASE DATA'!$F77&amp;";",SMALL(IF(ISERROR(SEARCH(MID(";"&amp;'CASE DATA'!$F77&amp;";",ROW($1:$99),1),";")),"",ROW($1:$99)+1),COLUMN(D77)),SMALL(IF(ISERROR(SEARCH(MID(";"&amp;'CASE DATA'!$F77&amp;";",ROW($1:$99),1),";")),"",ROW($1:$99)),COLUMN(D76)+1)-SMALL(IF(ISERROR(SEARCH(MID(";"&amp;'CASE DATA'!$F77&amp;";",ROW($1:$99),1),";")),"",ROW($1:$99)),COLUMN(D76))-1)</f>
        <v/>
      </c>
      <c r="Z77" s="29" t="str">
        <f t="array" ref="Z77">MID(";"&amp;'CASE DATA'!$F77&amp;";",SMALL(IF(ISERROR(SEARCH(MID(";"&amp;'CASE DATA'!$F77&amp;";",ROW($1:$99),1),";")),"",ROW($1:$99)+1),COLUMN(E77)),SMALL(IF(ISERROR(SEARCH(MID(";"&amp;'CASE DATA'!$F77&amp;";",ROW($1:$99),1),";")),"",ROW($1:$99)),COLUMN(E76)+1)-SMALL(IF(ISERROR(SEARCH(MID(";"&amp;'CASE DATA'!$F77&amp;";",ROW($1:$99),1),";")),"",ROW($1:$99)),COLUMN(E76))-1)</f>
        <v/>
      </c>
      <c r="AA77" s="29" t="str">
        <f t="array" ref="AA77">MID(";"&amp;'CASE DATA'!$F77&amp;";",SMALL(IF(ISERROR(SEARCH(MID(";"&amp;'CASE DATA'!$F77&amp;";",ROW($1:$99),1),";")),"",ROW($1:$99)+1),COLUMN(F77)),SMALL(IF(ISERROR(SEARCH(MID(";"&amp;'CASE DATA'!$F77&amp;";",ROW($1:$99),1),";")),"",ROW($1:$99)),COLUMN(F76)+1)-SMALL(IF(ISERROR(SEARCH(MID(";"&amp;'CASE DATA'!$F77&amp;";",ROW($1:$99),1),";")),"",ROW($1:$99)),COLUMN(F76))-1)</f>
        <v/>
      </c>
      <c r="AB77" s="29" t="str">
        <f t="array" ref="AB77">MID(";"&amp;'CASE DATA'!$F77&amp;";",SMALL(IF(ISERROR(SEARCH(MID(";"&amp;'CASE DATA'!$F77&amp;";",ROW($1:$99),1),";")),"",ROW($1:$99)+1),COLUMN(G77)),SMALL(IF(ISERROR(SEARCH(MID(";"&amp;'CASE DATA'!$F77&amp;";",ROW($1:$99),1),";")),"",ROW($1:$99)),COLUMN(G76)+1)-SMALL(IF(ISERROR(SEARCH(MID(";"&amp;'CASE DATA'!$F77&amp;";",ROW($1:$99),1),";")),"",ROW($1:$99)),COLUMN(G76))-1)</f>
        <v/>
      </c>
      <c r="AC77" s="29" t="str">
        <f t="array" ref="AC77">MID(";"&amp;'CASE DATA'!$F77&amp;";",SMALL(IF(ISERROR(SEARCH(MID(";"&amp;'CASE DATA'!$F77&amp;";",ROW($1:$99),1),";")),"",ROW($1:$99)+1),COLUMN(H77)),SMALL(IF(ISERROR(SEARCH(MID(";"&amp;'CASE DATA'!$F77&amp;";",ROW($1:$99),1),";")),"",ROW($1:$99)),COLUMN(H76)+1)-SMALL(IF(ISERROR(SEARCH(MID(";"&amp;'CASE DATA'!$F77&amp;";",ROW($1:$99),1),";")),"",ROW($1:$99)),COLUMN(H76))-1)</f>
        <v/>
      </c>
      <c r="AD77" s="29" t="str">
        <f t="array" ref="AD77">MID(";"&amp;'CASE DATA'!$F77&amp;";",SMALL(IF(ISERROR(SEARCH(MID(";"&amp;'CASE DATA'!$F77&amp;";",ROW($1:$99),1),";")),"",ROW($1:$99)+1),COLUMN(I77)),SMALL(IF(ISERROR(SEARCH(MID(";"&amp;'CASE DATA'!$F77&amp;";",ROW($1:$99),1),";")),"",ROW($1:$99)),COLUMN(I76)+1)-SMALL(IF(ISERROR(SEARCH(MID(";"&amp;'CASE DATA'!$F77&amp;";",ROW($1:$99),1),";")),"",ROW($1:$99)),COLUMN(I76))-1)</f>
        <v/>
      </c>
      <c r="AE77" s="29" t="str">
        <f t="array" ref="AE77">MID(";"&amp;'CASE DATA'!$F77&amp;";",SMALL(IF(ISERROR(SEARCH(MID(";"&amp;'CASE DATA'!$F77&amp;";",ROW($1:$99),1),";")),"",ROW($1:$99)+1),COLUMN(J77)),SMALL(IF(ISERROR(SEARCH(MID(";"&amp;'CASE DATA'!$F77&amp;";",ROW($1:$99),1),";")),"",ROW($1:$99)),COLUMN(J76)+1)-SMALL(IF(ISERROR(SEARCH(MID(";"&amp;'CASE DATA'!$F77&amp;";",ROW($1:$99),1),";")),"",ROW($1:$99)),COLUMN(J76))-1)</f>
        <v/>
      </c>
      <c r="AF77" s="29" t="str">
        <f t="array" ref="AF77">MID(";"&amp;'CASE DATA'!$F77&amp;";",SMALL(IF(ISERROR(SEARCH(MID(";"&amp;'CASE DATA'!$F77&amp;";",ROW($1:$99),1),";")),"",ROW($1:$99)+1),COLUMN(K77)),SMALL(IF(ISERROR(SEARCH(MID(";"&amp;'CASE DATA'!$F77&amp;";",ROW($1:$99),1),";")),"",ROW($1:$99)),COLUMN(K76)+1)-SMALL(IF(ISERROR(SEARCH(MID(";"&amp;'CASE DATA'!$F77&amp;";",ROW($1:$99),1),";")),"",ROW($1:$99)),COLUMN(K76))-1)</f>
        <v/>
      </c>
      <c r="AG77" s="29" t="str">
        <f t="array" ref="AG77">MID(";"&amp;'CASE DATA'!$F77&amp;";",SMALL(IF(ISERROR(SEARCH(MID(";"&amp;'CASE DATA'!$F77&amp;";",ROW($1:$99),1),";")),"",ROW($1:$99)+1),COLUMN(L77)),SMALL(IF(ISERROR(SEARCH(MID(";"&amp;'CASE DATA'!$F77&amp;";",ROW($1:$99),1),";")),"",ROW($1:$99)),COLUMN(L76)+1)-SMALL(IF(ISERROR(SEARCH(MID(";"&amp;'CASE DATA'!$F77&amp;";",ROW($1:$99),1),";")),"",ROW($1:$99)),COLUMN(L76))-1)</f>
        <v/>
      </c>
      <c r="AH77" s="29"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24"/>
      <c r="D78" s="24"/>
      <c r="E78" s="25"/>
      <c r="F78" s="30"/>
      <c r="J78" s="31"/>
      <c r="K78" s="31"/>
      <c r="L78" s="31"/>
      <c r="M78" s="31"/>
      <c r="N78" s="31"/>
      <c r="O78" s="31"/>
      <c r="P78" s="31"/>
      <c r="Q78" s="31"/>
      <c r="R78" s="31"/>
      <c r="S78" s="31"/>
      <c r="T78" s="28">
        <f t="shared" si="2"/>
        <v>0</v>
      </c>
      <c r="U78" s="28"/>
      <c r="W78" s="29" t="str">
        <f t="array" ref="W78">MID(";"&amp;'CASE DATA'!$F78&amp;";",SMALL(IF(ISERROR(SEARCH(MID(";"&amp;'CASE DATA'!$F78&amp;";",ROW($1:$99),1),";")),"",ROW($1:$99)+1),COLUMN(A78)),SMALL(IF(ISERROR(SEARCH(MID(";"&amp;'CASE DATA'!$F78&amp;";",ROW($1:$99),1),";")),"",ROW($1:$99)),COLUMN(A77)+1)-SMALL(IF(ISERROR(SEARCH(MID(";"&amp;'CASE DATA'!$F78&amp;";",ROW($1:$99),1),";")),"",ROW($1:$99)),COLUMN(A77))-1)</f>
        <v/>
      </c>
      <c r="X78" s="29" t="str">
        <f t="array" ref="X78">MID(";"&amp;'CASE DATA'!$F78&amp;";",SMALL(IF(ISERROR(SEARCH(MID(";"&amp;'CASE DATA'!$F78&amp;";",ROW($1:$99),1),";")),"",ROW($1:$99)+1),COLUMN(B78)),SMALL(IF(ISERROR(SEARCH(MID(";"&amp;'CASE DATA'!$F78&amp;";",ROW($1:$99),1),";")),"",ROW($1:$99)),COLUMN(B77)+1)-SMALL(IF(ISERROR(SEARCH(MID(";"&amp;'CASE DATA'!$F78&amp;";",ROW($1:$99),1),";")),"",ROW($1:$99)),COLUMN(B77))-1)</f>
        <v/>
      </c>
      <c r="Y78" s="29" t="str">
        <f t="array" ref="Y78">MID(";"&amp;'CASE DATA'!$F78&amp;";",SMALL(IF(ISERROR(SEARCH(MID(";"&amp;'CASE DATA'!$F78&amp;";",ROW($1:$99),1),";")),"",ROW($1:$99)+1),COLUMN(D78)),SMALL(IF(ISERROR(SEARCH(MID(";"&amp;'CASE DATA'!$F78&amp;";",ROW($1:$99),1),";")),"",ROW($1:$99)),COLUMN(D77)+1)-SMALL(IF(ISERROR(SEARCH(MID(";"&amp;'CASE DATA'!$F78&amp;";",ROW($1:$99),1),";")),"",ROW($1:$99)),COLUMN(D77))-1)</f>
        <v/>
      </c>
      <c r="Z78" s="29" t="str">
        <f t="array" ref="Z78">MID(";"&amp;'CASE DATA'!$F78&amp;";",SMALL(IF(ISERROR(SEARCH(MID(";"&amp;'CASE DATA'!$F78&amp;";",ROW($1:$99),1),";")),"",ROW($1:$99)+1),COLUMN(E78)),SMALL(IF(ISERROR(SEARCH(MID(";"&amp;'CASE DATA'!$F78&amp;";",ROW($1:$99),1),";")),"",ROW($1:$99)),COLUMN(E77)+1)-SMALL(IF(ISERROR(SEARCH(MID(";"&amp;'CASE DATA'!$F78&amp;";",ROW($1:$99),1),";")),"",ROW($1:$99)),COLUMN(E77))-1)</f>
        <v/>
      </c>
      <c r="AA78" s="29" t="str">
        <f t="array" ref="AA78">MID(";"&amp;'CASE DATA'!$F78&amp;";",SMALL(IF(ISERROR(SEARCH(MID(";"&amp;'CASE DATA'!$F78&amp;";",ROW($1:$99),1),";")),"",ROW($1:$99)+1),COLUMN(F78)),SMALL(IF(ISERROR(SEARCH(MID(";"&amp;'CASE DATA'!$F78&amp;";",ROW($1:$99),1),";")),"",ROW($1:$99)),COLUMN(F77)+1)-SMALL(IF(ISERROR(SEARCH(MID(";"&amp;'CASE DATA'!$F78&amp;";",ROW($1:$99),1),";")),"",ROW($1:$99)),COLUMN(F77))-1)</f>
        <v/>
      </c>
      <c r="AB78" s="29" t="str">
        <f t="array" ref="AB78">MID(";"&amp;'CASE DATA'!$F78&amp;";",SMALL(IF(ISERROR(SEARCH(MID(";"&amp;'CASE DATA'!$F78&amp;";",ROW($1:$99),1),";")),"",ROW($1:$99)+1),COLUMN(G78)),SMALL(IF(ISERROR(SEARCH(MID(";"&amp;'CASE DATA'!$F78&amp;";",ROW($1:$99),1),";")),"",ROW($1:$99)),COLUMN(G77)+1)-SMALL(IF(ISERROR(SEARCH(MID(";"&amp;'CASE DATA'!$F78&amp;";",ROW($1:$99),1),";")),"",ROW($1:$99)),COLUMN(G77))-1)</f>
        <v/>
      </c>
      <c r="AC78" s="29" t="str">
        <f t="array" ref="AC78">MID(";"&amp;'CASE DATA'!$F78&amp;";",SMALL(IF(ISERROR(SEARCH(MID(";"&amp;'CASE DATA'!$F78&amp;";",ROW($1:$99),1),";")),"",ROW($1:$99)+1),COLUMN(H78)),SMALL(IF(ISERROR(SEARCH(MID(";"&amp;'CASE DATA'!$F78&amp;";",ROW($1:$99),1),";")),"",ROW($1:$99)),COLUMN(H77)+1)-SMALL(IF(ISERROR(SEARCH(MID(";"&amp;'CASE DATA'!$F78&amp;";",ROW($1:$99),1),";")),"",ROW($1:$99)),COLUMN(H77))-1)</f>
        <v/>
      </c>
      <c r="AD78" s="29" t="str">
        <f t="array" ref="AD78">MID(";"&amp;'CASE DATA'!$F78&amp;";",SMALL(IF(ISERROR(SEARCH(MID(";"&amp;'CASE DATA'!$F78&amp;";",ROW($1:$99),1),";")),"",ROW($1:$99)+1),COLUMN(I78)),SMALL(IF(ISERROR(SEARCH(MID(";"&amp;'CASE DATA'!$F78&amp;";",ROW($1:$99),1),";")),"",ROW($1:$99)),COLUMN(I77)+1)-SMALL(IF(ISERROR(SEARCH(MID(";"&amp;'CASE DATA'!$F78&amp;";",ROW($1:$99),1),";")),"",ROW($1:$99)),COLUMN(I77))-1)</f>
        <v/>
      </c>
      <c r="AE78" s="29" t="str">
        <f t="array" ref="AE78">MID(";"&amp;'CASE DATA'!$F78&amp;";",SMALL(IF(ISERROR(SEARCH(MID(";"&amp;'CASE DATA'!$F78&amp;";",ROW($1:$99),1),";")),"",ROW($1:$99)+1),COLUMN(J78)),SMALL(IF(ISERROR(SEARCH(MID(";"&amp;'CASE DATA'!$F78&amp;";",ROW($1:$99),1),";")),"",ROW($1:$99)),COLUMN(J77)+1)-SMALL(IF(ISERROR(SEARCH(MID(";"&amp;'CASE DATA'!$F78&amp;";",ROW($1:$99),1),";")),"",ROW($1:$99)),COLUMN(J77))-1)</f>
        <v/>
      </c>
      <c r="AF78" s="29" t="str">
        <f t="array" ref="AF78">MID(";"&amp;'CASE DATA'!$F78&amp;";",SMALL(IF(ISERROR(SEARCH(MID(";"&amp;'CASE DATA'!$F78&amp;";",ROW($1:$99),1),";")),"",ROW($1:$99)+1),COLUMN(K78)),SMALL(IF(ISERROR(SEARCH(MID(";"&amp;'CASE DATA'!$F78&amp;";",ROW($1:$99),1),";")),"",ROW($1:$99)),COLUMN(K77)+1)-SMALL(IF(ISERROR(SEARCH(MID(";"&amp;'CASE DATA'!$F78&amp;";",ROW($1:$99),1),";")),"",ROW($1:$99)),COLUMN(K77))-1)</f>
        <v/>
      </c>
      <c r="AG78" s="29" t="str">
        <f t="array" ref="AG78">MID(";"&amp;'CASE DATA'!$F78&amp;";",SMALL(IF(ISERROR(SEARCH(MID(";"&amp;'CASE DATA'!$F78&amp;";",ROW($1:$99),1),";")),"",ROW($1:$99)+1),COLUMN(L78)),SMALL(IF(ISERROR(SEARCH(MID(";"&amp;'CASE DATA'!$F78&amp;";",ROW($1:$99),1),";")),"",ROW($1:$99)),COLUMN(L77)+1)-SMALL(IF(ISERROR(SEARCH(MID(";"&amp;'CASE DATA'!$F78&amp;";",ROW($1:$99),1),";")),"",ROW($1:$99)),COLUMN(L77))-1)</f>
        <v/>
      </c>
      <c r="AH78" s="29"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24"/>
      <c r="D79" s="24"/>
      <c r="E79" s="25"/>
      <c r="F79" s="30"/>
      <c r="J79" s="31"/>
      <c r="K79" s="31"/>
      <c r="L79" s="31"/>
      <c r="M79" s="31"/>
      <c r="N79" s="31"/>
      <c r="O79" s="31"/>
      <c r="P79" s="31"/>
      <c r="Q79" s="31"/>
      <c r="R79" s="31"/>
      <c r="S79" s="31"/>
      <c r="T79" s="28">
        <f t="shared" si="2"/>
        <v>0</v>
      </c>
      <c r="U79" s="28"/>
      <c r="W79" s="29" t="str">
        <f t="array" ref="W79">MID(";"&amp;'CASE DATA'!$F79&amp;";",SMALL(IF(ISERROR(SEARCH(MID(";"&amp;'CASE DATA'!$F79&amp;";",ROW($1:$99),1),";")),"",ROW($1:$99)+1),COLUMN(A79)),SMALL(IF(ISERROR(SEARCH(MID(";"&amp;'CASE DATA'!$F79&amp;";",ROW($1:$99),1),";")),"",ROW($1:$99)),COLUMN(A78)+1)-SMALL(IF(ISERROR(SEARCH(MID(";"&amp;'CASE DATA'!$F79&amp;";",ROW($1:$99),1),";")),"",ROW($1:$99)),COLUMN(A78))-1)</f>
        <v/>
      </c>
      <c r="X79" s="29" t="str">
        <f t="array" ref="X79">MID(";"&amp;'CASE DATA'!$F79&amp;";",SMALL(IF(ISERROR(SEARCH(MID(";"&amp;'CASE DATA'!$F79&amp;";",ROW($1:$99),1),";")),"",ROW($1:$99)+1),COLUMN(B79)),SMALL(IF(ISERROR(SEARCH(MID(";"&amp;'CASE DATA'!$F79&amp;";",ROW($1:$99),1),";")),"",ROW($1:$99)),COLUMN(B78)+1)-SMALL(IF(ISERROR(SEARCH(MID(";"&amp;'CASE DATA'!$F79&amp;";",ROW($1:$99),1),";")),"",ROW($1:$99)),COLUMN(B78))-1)</f>
        <v/>
      </c>
      <c r="Y79" s="29" t="str">
        <f t="array" ref="Y79">MID(";"&amp;'CASE DATA'!$F79&amp;";",SMALL(IF(ISERROR(SEARCH(MID(";"&amp;'CASE DATA'!$F79&amp;";",ROW($1:$99),1),";")),"",ROW($1:$99)+1),COLUMN(D79)),SMALL(IF(ISERROR(SEARCH(MID(";"&amp;'CASE DATA'!$F79&amp;";",ROW($1:$99),1),";")),"",ROW($1:$99)),COLUMN(D78)+1)-SMALL(IF(ISERROR(SEARCH(MID(";"&amp;'CASE DATA'!$F79&amp;";",ROW($1:$99),1),";")),"",ROW($1:$99)),COLUMN(D78))-1)</f>
        <v/>
      </c>
      <c r="Z79" s="29" t="str">
        <f t="array" ref="Z79">MID(";"&amp;'CASE DATA'!$F79&amp;";",SMALL(IF(ISERROR(SEARCH(MID(";"&amp;'CASE DATA'!$F79&amp;";",ROW($1:$99),1),";")),"",ROW($1:$99)+1),COLUMN(E79)),SMALL(IF(ISERROR(SEARCH(MID(";"&amp;'CASE DATA'!$F79&amp;";",ROW($1:$99),1),";")),"",ROW($1:$99)),COLUMN(E78)+1)-SMALL(IF(ISERROR(SEARCH(MID(";"&amp;'CASE DATA'!$F79&amp;";",ROW($1:$99),1),";")),"",ROW($1:$99)),COLUMN(E78))-1)</f>
        <v/>
      </c>
      <c r="AA79" s="29" t="str">
        <f t="array" ref="AA79">MID(";"&amp;'CASE DATA'!$F79&amp;";",SMALL(IF(ISERROR(SEARCH(MID(";"&amp;'CASE DATA'!$F79&amp;";",ROW($1:$99),1),";")),"",ROW($1:$99)+1),COLUMN(F79)),SMALL(IF(ISERROR(SEARCH(MID(";"&amp;'CASE DATA'!$F79&amp;";",ROW($1:$99),1),";")),"",ROW($1:$99)),COLUMN(F78)+1)-SMALL(IF(ISERROR(SEARCH(MID(";"&amp;'CASE DATA'!$F79&amp;";",ROW($1:$99),1),";")),"",ROW($1:$99)),COLUMN(F78))-1)</f>
        <v/>
      </c>
      <c r="AB79" s="29" t="str">
        <f t="array" ref="AB79">MID(";"&amp;'CASE DATA'!$F79&amp;";",SMALL(IF(ISERROR(SEARCH(MID(";"&amp;'CASE DATA'!$F79&amp;";",ROW($1:$99),1),";")),"",ROW($1:$99)+1),COLUMN(G79)),SMALL(IF(ISERROR(SEARCH(MID(";"&amp;'CASE DATA'!$F79&amp;";",ROW($1:$99),1),";")),"",ROW($1:$99)),COLUMN(G78)+1)-SMALL(IF(ISERROR(SEARCH(MID(";"&amp;'CASE DATA'!$F79&amp;";",ROW($1:$99),1),";")),"",ROW($1:$99)),COLUMN(G78))-1)</f>
        <v/>
      </c>
      <c r="AC79" s="29" t="str">
        <f t="array" ref="AC79">MID(";"&amp;'CASE DATA'!$F79&amp;";",SMALL(IF(ISERROR(SEARCH(MID(";"&amp;'CASE DATA'!$F79&amp;";",ROW($1:$99),1),";")),"",ROW($1:$99)+1),COLUMN(H79)),SMALL(IF(ISERROR(SEARCH(MID(";"&amp;'CASE DATA'!$F79&amp;";",ROW($1:$99),1),";")),"",ROW($1:$99)),COLUMN(H78)+1)-SMALL(IF(ISERROR(SEARCH(MID(";"&amp;'CASE DATA'!$F79&amp;";",ROW($1:$99),1),";")),"",ROW($1:$99)),COLUMN(H78))-1)</f>
        <v/>
      </c>
      <c r="AD79" s="29" t="str">
        <f t="array" ref="AD79">MID(";"&amp;'CASE DATA'!$F79&amp;";",SMALL(IF(ISERROR(SEARCH(MID(";"&amp;'CASE DATA'!$F79&amp;";",ROW($1:$99),1),";")),"",ROW($1:$99)+1),COLUMN(I79)),SMALL(IF(ISERROR(SEARCH(MID(";"&amp;'CASE DATA'!$F79&amp;";",ROW($1:$99),1),";")),"",ROW($1:$99)),COLUMN(I78)+1)-SMALL(IF(ISERROR(SEARCH(MID(";"&amp;'CASE DATA'!$F79&amp;";",ROW($1:$99),1),";")),"",ROW($1:$99)),COLUMN(I78))-1)</f>
        <v/>
      </c>
      <c r="AE79" s="29" t="str">
        <f t="array" ref="AE79">MID(";"&amp;'CASE DATA'!$F79&amp;";",SMALL(IF(ISERROR(SEARCH(MID(";"&amp;'CASE DATA'!$F79&amp;";",ROW($1:$99),1),";")),"",ROW($1:$99)+1),COLUMN(J79)),SMALL(IF(ISERROR(SEARCH(MID(";"&amp;'CASE DATA'!$F79&amp;";",ROW($1:$99),1),";")),"",ROW($1:$99)),COLUMN(J78)+1)-SMALL(IF(ISERROR(SEARCH(MID(";"&amp;'CASE DATA'!$F79&amp;";",ROW($1:$99),1),";")),"",ROW($1:$99)),COLUMN(J78))-1)</f>
        <v/>
      </c>
      <c r="AF79" s="29" t="str">
        <f t="array" ref="AF79">MID(";"&amp;'CASE DATA'!$F79&amp;";",SMALL(IF(ISERROR(SEARCH(MID(";"&amp;'CASE DATA'!$F79&amp;";",ROW($1:$99),1),";")),"",ROW($1:$99)+1),COLUMN(K79)),SMALL(IF(ISERROR(SEARCH(MID(";"&amp;'CASE DATA'!$F79&amp;";",ROW($1:$99),1),";")),"",ROW($1:$99)),COLUMN(K78)+1)-SMALL(IF(ISERROR(SEARCH(MID(";"&amp;'CASE DATA'!$F79&amp;";",ROW($1:$99),1),";")),"",ROW($1:$99)),COLUMN(K78))-1)</f>
        <v/>
      </c>
      <c r="AG79" s="29" t="str">
        <f t="array" ref="AG79">MID(";"&amp;'CASE DATA'!$F79&amp;";",SMALL(IF(ISERROR(SEARCH(MID(";"&amp;'CASE DATA'!$F79&amp;";",ROW($1:$99),1),";")),"",ROW($1:$99)+1),COLUMN(L79)),SMALL(IF(ISERROR(SEARCH(MID(";"&amp;'CASE DATA'!$F79&amp;";",ROW($1:$99),1),";")),"",ROW($1:$99)),COLUMN(L78)+1)-SMALL(IF(ISERROR(SEARCH(MID(";"&amp;'CASE DATA'!$F79&amp;";",ROW($1:$99),1),";")),"",ROW($1:$99)),COLUMN(L78))-1)</f>
        <v/>
      </c>
      <c r="AH79" s="29"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24"/>
      <c r="D80" s="24"/>
      <c r="E80" s="25"/>
      <c r="F80" s="30"/>
      <c r="J80" s="31"/>
      <c r="K80" s="31"/>
      <c r="L80" s="31"/>
      <c r="M80" s="31"/>
      <c r="N80" s="31"/>
      <c r="O80" s="31"/>
      <c r="P80" s="31"/>
      <c r="Q80" s="31"/>
      <c r="R80" s="31"/>
      <c r="S80" s="31"/>
      <c r="T80" s="28">
        <f t="shared" si="2"/>
        <v>0</v>
      </c>
      <c r="U80" s="28"/>
      <c r="W80" s="29" t="str">
        <f t="array" ref="W80">MID(";"&amp;'CASE DATA'!$F80&amp;";",SMALL(IF(ISERROR(SEARCH(MID(";"&amp;'CASE DATA'!$F80&amp;";",ROW($1:$99),1),";")),"",ROW($1:$99)+1),COLUMN(A80)),SMALL(IF(ISERROR(SEARCH(MID(";"&amp;'CASE DATA'!$F80&amp;";",ROW($1:$99),1),";")),"",ROW($1:$99)),COLUMN(A79)+1)-SMALL(IF(ISERROR(SEARCH(MID(";"&amp;'CASE DATA'!$F80&amp;";",ROW($1:$99),1),";")),"",ROW($1:$99)),COLUMN(A79))-1)</f>
        <v/>
      </c>
      <c r="X80" s="29" t="str">
        <f t="array" ref="X80">MID(";"&amp;'CASE DATA'!$F80&amp;";",SMALL(IF(ISERROR(SEARCH(MID(";"&amp;'CASE DATA'!$F80&amp;";",ROW($1:$99),1),";")),"",ROW($1:$99)+1),COLUMN(B80)),SMALL(IF(ISERROR(SEARCH(MID(";"&amp;'CASE DATA'!$F80&amp;";",ROW($1:$99),1),";")),"",ROW($1:$99)),COLUMN(B79)+1)-SMALL(IF(ISERROR(SEARCH(MID(";"&amp;'CASE DATA'!$F80&amp;";",ROW($1:$99),1),";")),"",ROW($1:$99)),COLUMN(B79))-1)</f>
        <v/>
      </c>
      <c r="Y80" s="29" t="str">
        <f t="array" ref="Y80">MID(";"&amp;'CASE DATA'!$F80&amp;";",SMALL(IF(ISERROR(SEARCH(MID(";"&amp;'CASE DATA'!$F80&amp;";",ROW($1:$99),1),";")),"",ROW($1:$99)+1),COLUMN(D80)),SMALL(IF(ISERROR(SEARCH(MID(";"&amp;'CASE DATA'!$F80&amp;";",ROW($1:$99),1),";")),"",ROW($1:$99)),COLUMN(D79)+1)-SMALL(IF(ISERROR(SEARCH(MID(";"&amp;'CASE DATA'!$F80&amp;";",ROW($1:$99),1),";")),"",ROW($1:$99)),COLUMN(D79))-1)</f>
        <v/>
      </c>
      <c r="Z80" s="29" t="str">
        <f t="array" ref="Z80">MID(";"&amp;'CASE DATA'!$F80&amp;";",SMALL(IF(ISERROR(SEARCH(MID(";"&amp;'CASE DATA'!$F80&amp;";",ROW($1:$99),1),";")),"",ROW($1:$99)+1),COLUMN(E80)),SMALL(IF(ISERROR(SEARCH(MID(";"&amp;'CASE DATA'!$F80&amp;";",ROW($1:$99),1),";")),"",ROW($1:$99)),COLUMN(E79)+1)-SMALL(IF(ISERROR(SEARCH(MID(";"&amp;'CASE DATA'!$F80&amp;";",ROW($1:$99),1),";")),"",ROW($1:$99)),COLUMN(E79))-1)</f>
        <v/>
      </c>
      <c r="AA80" s="29" t="str">
        <f t="array" ref="AA80">MID(";"&amp;'CASE DATA'!$F80&amp;";",SMALL(IF(ISERROR(SEARCH(MID(";"&amp;'CASE DATA'!$F80&amp;";",ROW($1:$99),1),";")),"",ROW($1:$99)+1),COLUMN(F80)),SMALL(IF(ISERROR(SEARCH(MID(";"&amp;'CASE DATA'!$F80&amp;";",ROW($1:$99),1),";")),"",ROW($1:$99)),COLUMN(F79)+1)-SMALL(IF(ISERROR(SEARCH(MID(";"&amp;'CASE DATA'!$F80&amp;";",ROW($1:$99),1),";")),"",ROW($1:$99)),COLUMN(F79))-1)</f>
        <v/>
      </c>
      <c r="AB80" s="29" t="str">
        <f t="array" ref="AB80">MID(";"&amp;'CASE DATA'!$F80&amp;";",SMALL(IF(ISERROR(SEARCH(MID(";"&amp;'CASE DATA'!$F80&amp;";",ROW($1:$99),1),";")),"",ROW($1:$99)+1),COLUMN(G80)),SMALL(IF(ISERROR(SEARCH(MID(";"&amp;'CASE DATA'!$F80&amp;";",ROW($1:$99),1),";")),"",ROW($1:$99)),COLUMN(G79)+1)-SMALL(IF(ISERROR(SEARCH(MID(";"&amp;'CASE DATA'!$F80&amp;";",ROW($1:$99),1),";")),"",ROW($1:$99)),COLUMN(G79))-1)</f>
        <v/>
      </c>
      <c r="AC80" s="29" t="str">
        <f t="array" ref="AC80">MID(";"&amp;'CASE DATA'!$F80&amp;";",SMALL(IF(ISERROR(SEARCH(MID(";"&amp;'CASE DATA'!$F80&amp;";",ROW($1:$99),1),";")),"",ROW($1:$99)+1),COLUMN(H80)),SMALL(IF(ISERROR(SEARCH(MID(";"&amp;'CASE DATA'!$F80&amp;";",ROW($1:$99),1),";")),"",ROW($1:$99)),COLUMN(H79)+1)-SMALL(IF(ISERROR(SEARCH(MID(";"&amp;'CASE DATA'!$F80&amp;";",ROW($1:$99),1),";")),"",ROW($1:$99)),COLUMN(H79))-1)</f>
        <v/>
      </c>
      <c r="AD80" s="29" t="str">
        <f t="array" ref="AD80">MID(";"&amp;'CASE DATA'!$F80&amp;";",SMALL(IF(ISERROR(SEARCH(MID(";"&amp;'CASE DATA'!$F80&amp;";",ROW($1:$99),1),";")),"",ROW($1:$99)+1),COLUMN(I80)),SMALL(IF(ISERROR(SEARCH(MID(";"&amp;'CASE DATA'!$F80&amp;";",ROW($1:$99),1),";")),"",ROW($1:$99)),COLUMN(I79)+1)-SMALL(IF(ISERROR(SEARCH(MID(";"&amp;'CASE DATA'!$F80&amp;";",ROW($1:$99),1),";")),"",ROW($1:$99)),COLUMN(I79))-1)</f>
        <v/>
      </c>
      <c r="AE80" s="29" t="str">
        <f t="array" ref="AE80">MID(";"&amp;'CASE DATA'!$F80&amp;";",SMALL(IF(ISERROR(SEARCH(MID(";"&amp;'CASE DATA'!$F80&amp;";",ROW($1:$99),1),";")),"",ROW($1:$99)+1),COLUMN(J80)),SMALL(IF(ISERROR(SEARCH(MID(";"&amp;'CASE DATA'!$F80&amp;";",ROW($1:$99),1),";")),"",ROW($1:$99)),COLUMN(J79)+1)-SMALL(IF(ISERROR(SEARCH(MID(";"&amp;'CASE DATA'!$F80&amp;";",ROW($1:$99),1),";")),"",ROW($1:$99)),COLUMN(J79))-1)</f>
        <v/>
      </c>
      <c r="AF80" s="29" t="str">
        <f t="array" ref="AF80">MID(";"&amp;'CASE DATA'!$F80&amp;";",SMALL(IF(ISERROR(SEARCH(MID(";"&amp;'CASE DATA'!$F80&amp;";",ROW($1:$99),1),";")),"",ROW($1:$99)+1),COLUMN(K80)),SMALL(IF(ISERROR(SEARCH(MID(";"&amp;'CASE DATA'!$F80&amp;";",ROW($1:$99),1),";")),"",ROW($1:$99)),COLUMN(K79)+1)-SMALL(IF(ISERROR(SEARCH(MID(";"&amp;'CASE DATA'!$F80&amp;";",ROW($1:$99),1),";")),"",ROW($1:$99)),COLUMN(K79))-1)</f>
        <v/>
      </c>
      <c r="AG80" s="29" t="str">
        <f t="array" ref="AG80">MID(";"&amp;'CASE DATA'!$F80&amp;";",SMALL(IF(ISERROR(SEARCH(MID(";"&amp;'CASE DATA'!$F80&amp;";",ROW($1:$99),1),";")),"",ROW($1:$99)+1),COLUMN(L80)),SMALL(IF(ISERROR(SEARCH(MID(";"&amp;'CASE DATA'!$F80&amp;";",ROW($1:$99),1),";")),"",ROW($1:$99)),COLUMN(L79)+1)-SMALL(IF(ISERROR(SEARCH(MID(";"&amp;'CASE DATA'!$F80&amp;";",ROW($1:$99),1),";")),"",ROW($1:$99)),COLUMN(L79))-1)</f>
        <v/>
      </c>
      <c r="AH80" s="29"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24"/>
      <c r="D81" s="24"/>
      <c r="E81" s="25"/>
      <c r="F81" s="30"/>
      <c r="J81" s="31"/>
      <c r="K81" s="31"/>
      <c r="L81" s="31"/>
      <c r="M81" s="31"/>
      <c r="N81" s="31"/>
      <c r="O81" s="31"/>
      <c r="P81" s="31"/>
      <c r="Q81" s="31"/>
      <c r="R81" s="31"/>
      <c r="S81" s="31"/>
      <c r="T81" s="28">
        <f t="shared" si="2"/>
        <v>0</v>
      </c>
      <c r="U81" s="28"/>
      <c r="W81" s="29" t="str">
        <f t="array" ref="W81">MID(";"&amp;'CASE DATA'!$F81&amp;";",SMALL(IF(ISERROR(SEARCH(MID(";"&amp;'CASE DATA'!$F81&amp;";",ROW($1:$99),1),";")),"",ROW($1:$99)+1),COLUMN(A81)),SMALL(IF(ISERROR(SEARCH(MID(";"&amp;'CASE DATA'!$F81&amp;";",ROW($1:$99),1),";")),"",ROW($1:$99)),COLUMN(A80)+1)-SMALL(IF(ISERROR(SEARCH(MID(";"&amp;'CASE DATA'!$F81&amp;";",ROW($1:$99),1),";")),"",ROW($1:$99)),COLUMN(A80))-1)</f>
        <v/>
      </c>
      <c r="X81" s="29" t="str">
        <f t="array" ref="X81">MID(";"&amp;'CASE DATA'!$F81&amp;";",SMALL(IF(ISERROR(SEARCH(MID(";"&amp;'CASE DATA'!$F81&amp;";",ROW($1:$99),1),";")),"",ROW($1:$99)+1),COLUMN(B81)),SMALL(IF(ISERROR(SEARCH(MID(";"&amp;'CASE DATA'!$F81&amp;";",ROW($1:$99),1),";")),"",ROW($1:$99)),COLUMN(B80)+1)-SMALL(IF(ISERROR(SEARCH(MID(";"&amp;'CASE DATA'!$F81&amp;";",ROW($1:$99),1),";")),"",ROW($1:$99)),COLUMN(B80))-1)</f>
        <v/>
      </c>
      <c r="Y81" s="29" t="str">
        <f t="array" ref="Y81">MID(";"&amp;'CASE DATA'!$F81&amp;";",SMALL(IF(ISERROR(SEARCH(MID(";"&amp;'CASE DATA'!$F81&amp;";",ROW($1:$99),1),";")),"",ROW($1:$99)+1),COLUMN(D81)),SMALL(IF(ISERROR(SEARCH(MID(";"&amp;'CASE DATA'!$F81&amp;";",ROW($1:$99),1),";")),"",ROW($1:$99)),COLUMN(D80)+1)-SMALL(IF(ISERROR(SEARCH(MID(";"&amp;'CASE DATA'!$F81&amp;";",ROW($1:$99),1),";")),"",ROW($1:$99)),COLUMN(D80))-1)</f>
        <v/>
      </c>
      <c r="Z81" s="29" t="str">
        <f t="array" ref="Z81">MID(";"&amp;'CASE DATA'!$F81&amp;";",SMALL(IF(ISERROR(SEARCH(MID(";"&amp;'CASE DATA'!$F81&amp;";",ROW($1:$99),1),";")),"",ROW($1:$99)+1),COLUMN(E81)),SMALL(IF(ISERROR(SEARCH(MID(";"&amp;'CASE DATA'!$F81&amp;";",ROW($1:$99),1),";")),"",ROW($1:$99)),COLUMN(E80)+1)-SMALL(IF(ISERROR(SEARCH(MID(";"&amp;'CASE DATA'!$F81&amp;";",ROW($1:$99),1),";")),"",ROW($1:$99)),COLUMN(E80))-1)</f>
        <v/>
      </c>
      <c r="AA81" s="29" t="str">
        <f t="array" ref="AA81">MID(";"&amp;'CASE DATA'!$F81&amp;";",SMALL(IF(ISERROR(SEARCH(MID(";"&amp;'CASE DATA'!$F81&amp;";",ROW($1:$99),1),";")),"",ROW($1:$99)+1),COLUMN(F81)),SMALL(IF(ISERROR(SEARCH(MID(";"&amp;'CASE DATA'!$F81&amp;";",ROW($1:$99),1),";")),"",ROW($1:$99)),COLUMN(F80)+1)-SMALL(IF(ISERROR(SEARCH(MID(";"&amp;'CASE DATA'!$F81&amp;";",ROW($1:$99),1),";")),"",ROW($1:$99)),COLUMN(F80))-1)</f>
        <v/>
      </c>
      <c r="AB81" s="29" t="str">
        <f t="array" ref="AB81">MID(";"&amp;'CASE DATA'!$F81&amp;";",SMALL(IF(ISERROR(SEARCH(MID(";"&amp;'CASE DATA'!$F81&amp;";",ROW($1:$99),1),";")),"",ROW($1:$99)+1),COLUMN(G81)),SMALL(IF(ISERROR(SEARCH(MID(";"&amp;'CASE DATA'!$F81&amp;";",ROW($1:$99),1),";")),"",ROW($1:$99)),COLUMN(G80)+1)-SMALL(IF(ISERROR(SEARCH(MID(";"&amp;'CASE DATA'!$F81&amp;";",ROW($1:$99),1),";")),"",ROW($1:$99)),COLUMN(G80))-1)</f>
        <v/>
      </c>
      <c r="AC81" s="29" t="str">
        <f t="array" ref="AC81">MID(";"&amp;'CASE DATA'!$F81&amp;";",SMALL(IF(ISERROR(SEARCH(MID(";"&amp;'CASE DATA'!$F81&amp;";",ROW($1:$99),1),";")),"",ROW($1:$99)+1),COLUMN(H81)),SMALL(IF(ISERROR(SEARCH(MID(";"&amp;'CASE DATA'!$F81&amp;";",ROW($1:$99),1),";")),"",ROW($1:$99)),COLUMN(H80)+1)-SMALL(IF(ISERROR(SEARCH(MID(";"&amp;'CASE DATA'!$F81&amp;";",ROW($1:$99),1),";")),"",ROW($1:$99)),COLUMN(H80))-1)</f>
        <v/>
      </c>
      <c r="AD81" s="29" t="str">
        <f t="array" ref="AD81">MID(";"&amp;'CASE DATA'!$F81&amp;";",SMALL(IF(ISERROR(SEARCH(MID(";"&amp;'CASE DATA'!$F81&amp;";",ROW($1:$99),1),";")),"",ROW($1:$99)+1),COLUMN(I81)),SMALL(IF(ISERROR(SEARCH(MID(";"&amp;'CASE DATA'!$F81&amp;";",ROW($1:$99),1),";")),"",ROW($1:$99)),COLUMN(I80)+1)-SMALL(IF(ISERROR(SEARCH(MID(";"&amp;'CASE DATA'!$F81&amp;";",ROW($1:$99),1),";")),"",ROW($1:$99)),COLUMN(I80))-1)</f>
        <v/>
      </c>
      <c r="AE81" s="29" t="str">
        <f t="array" ref="AE81">MID(";"&amp;'CASE DATA'!$F81&amp;";",SMALL(IF(ISERROR(SEARCH(MID(";"&amp;'CASE DATA'!$F81&amp;";",ROW($1:$99),1),";")),"",ROW($1:$99)+1),COLUMN(J81)),SMALL(IF(ISERROR(SEARCH(MID(";"&amp;'CASE DATA'!$F81&amp;";",ROW($1:$99),1),";")),"",ROW($1:$99)),COLUMN(J80)+1)-SMALL(IF(ISERROR(SEARCH(MID(";"&amp;'CASE DATA'!$F81&amp;";",ROW($1:$99),1),";")),"",ROW($1:$99)),COLUMN(J80))-1)</f>
        <v/>
      </c>
      <c r="AF81" s="29" t="str">
        <f t="array" ref="AF81">MID(";"&amp;'CASE DATA'!$F81&amp;";",SMALL(IF(ISERROR(SEARCH(MID(";"&amp;'CASE DATA'!$F81&amp;";",ROW($1:$99),1),";")),"",ROW($1:$99)+1),COLUMN(K81)),SMALL(IF(ISERROR(SEARCH(MID(";"&amp;'CASE DATA'!$F81&amp;";",ROW($1:$99),1),";")),"",ROW($1:$99)),COLUMN(K80)+1)-SMALL(IF(ISERROR(SEARCH(MID(";"&amp;'CASE DATA'!$F81&amp;";",ROW($1:$99),1),";")),"",ROW($1:$99)),COLUMN(K80))-1)</f>
        <v/>
      </c>
      <c r="AG81" s="29" t="str">
        <f t="array" ref="AG81">MID(";"&amp;'CASE DATA'!$F81&amp;";",SMALL(IF(ISERROR(SEARCH(MID(";"&amp;'CASE DATA'!$F81&amp;";",ROW($1:$99),1),";")),"",ROW($1:$99)+1),COLUMN(L81)),SMALL(IF(ISERROR(SEARCH(MID(";"&amp;'CASE DATA'!$F81&amp;";",ROW($1:$99),1),";")),"",ROW($1:$99)),COLUMN(L80)+1)-SMALL(IF(ISERROR(SEARCH(MID(";"&amp;'CASE DATA'!$F81&amp;";",ROW($1:$99),1),";")),"",ROW($1:$99)),COLUMN(L80))-1)</f>
        <v/>
      </c>
      <c r="AH81" s="29"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24"/>
      <c r="D82" s="24"/>
      <c r="E82" s="25"/>
      <c r="F82" s="30"/>
      <c r="J82" s="31"/>
      <c r="K82" s="31"/>
      <c r="L82" s="31"/>
      <c r="M82" s="31"/>
      <c r="N82" s="31"/>
      <c r="O82" s="31"/>
      <c r="P82" s="31"/>
      <c r="Q82" s="31"/>
      <c r="R82" s="31"/>
      <c r="S82" s="31"/>
      <c r="T82" s="28">
        <f t="shared" si="2"/>
        <v>0</v>
      </c>
      <c r="U82" s="28"/>
      <c r="W82" s="29" t="str">
        <f t="array" ref="W82">MID(";"&amp;'CASE DATA'!$F82&amp;";",SMALL(IF(ISERROR(SEARCH(MID(";"&amp;'CASE DATA'!$F82&amp;";",ROW($1:$99),1),";")),"",ROW($1:$99)+1),COLUMN(A82)),SMALL(IF(ISERROR(SEARCH(MID(";"&amp;'CASE DATA'!$F82&amp;";",ROW($1:$99),1),";")),"",ROW($1:$99)),COLUMN(A81)+1)-SMALL(IF(ISERROR(SEARCH(MID(";"&amp;'CASE DATA'!$F82&amp;";",ROW($1:$99),1),";")),"",ROW($1:$99)),COLUMN(A81))-1)</f>
        <v/>
      </c>
      <c r="X82" s="29" t="str">
        <f t="array" ref="X82">MID(";"&amp;'CASE DATA'!$F82&amp;";",SMALL(IF(ISERROR(SEARCH(MID(";"&amp;'CASE DATA'!$F82&amp;";",ROW($1:$99),1),";")),"",ROW($1:$99)+1),COLUMN(B82)),SMALL(IF(ISERROR(SEARCH(MID(";"&amp;'CASE DATA'!$F82&amp;";",ROW($1:$99),1),";")),"",ROW($1:$99)),COLUMN(B81)+1)-SMALL(IF(ISERROR(SEARCH(MID(";"&amp;'CASE DATA'!$F82&amp;";",ROW($1:$99),1),";")),"",ROW($1:$99)),COLUMN(B81))-1)</f>
        <v/>
      </c>
      <c r="Y82" s="29" t="str">
        <f t="array" ref="Y82">MID(";"&amp;'CASE DATA'!$F82&amp;";",SMALL(IF(ISERROR(SEARCH(MID(";"&amp;'CASE DATA'!$F82&amp;";",ROW($1:$99),1),";")),"",ROW($1:$99)+1),COLUMN(D82)),SMALL(IF(ISERROR(SEARCH(MID(";"&amp;'CASE DATA'!$F82&amp;";",ROW($1:$99),1),";")),"",ROW($1:$99)),COLUMN(D81)+1)-SMALL(IF(ISERROR(SEARCH(MID(";"&amp;'CASE DATA'!$F82&amp;";",ROW($1:$99),1),";")),"",ROW($1:$99)),COLUMN(D81))-1)</f>
        <v/>
      </c>
      <c r="Z82" s="29" t="str">
        <f t="array" ref="Z82">MID(";"&amp;'CASE DATA'!$F82&amp;";",SMALL(IF(ISERROR(SEARCH(MID(";"&amp;'CASE DATA'!$F82&amp;";",ROW($1:$99),1),";")),"",ROW($1:$99)+1),COLUMN(E82)),SMALL(IF(ISERROR(SEARCH(MID(";"&amp;'CASE DATA'!$F82&amp;";",ROW($1:$99),1),";")),"",ROW($1:$99)),COLUMN(E81)+1)-SMALL(IF(ISERROR(SEARCH(MID(";"&amp;'CASE DATA'!$F82&amp;";",ROW($1:$99),1),";")),"",ROW($1:$99)),COLUMN(E81))-1)</f>
        <v/>
      </c>
      <c r="AA82" s="29" t="str">
        <f t="array" ref="AA82">MID(";"&amp;'CASE DATA'!$F82&amp;";",SMALL(IF(ISERROR(SEARCH(MID(";"&amp;'CASE DATA'!$F82&amp;";",ROW($1:$99),1),";")),"",ROW($1:$99)+1),COLUMN(F82)),SMALL(IF(ISERROR(SEARCH(MID(";"&amp;'CASE DATA'!$F82&amp;";",ROW($1:$99),1),";")),"",ROW($1:$99)),COLUMN(F81)+1)-SMALL(IF(ISERROR(SEARCH(MID(";"&amp;'CASE DATA'!$F82&amp;";",ROW($1:$99),1),";")),"",ROW($1:$99)),COLUMN(F81))-1)</f>
        <v/>
      </c>
      <c r="AB82" s="29" t="str">
        <f t="array" ref="AB82">MID(";"&amp;'CASE DATA'!$F82&amp;";",SMALL(IF(ISERROR(SEARCH(MID(";"&amp;'CASE DATA'!$F82&amp;";",ROW($1:$99),1),";")),"",ROW($1:$99)+1),COLUMN(G82)),SMALL(IF(ISERROR(SEARCH(MID(";"&amp;'CASE DATA'!$F82&amp;";",ROW($1:$99),1),";")),"",ROW($1:$99)),COLUMN(G81)+1)-SMALL(IF(ISERROR(SEARCH(MID(";"&amp;'CASE DATA'!$F82&amp;";",ROW($1:$99),1),";")),"",ROW($1:$99)),COLUMN(G81))-1)</f>
        <v/>
      </c>
      <c r="AC82" s="29" t="str">
        <f t="array" ref="AC82">MID(";"&amp;'CASE DATA'!$F82&amp;";",SMALL(IF(ISERROR(SEARCH(MID(";"&amp;'CASE DATA'!$F82&amp;";",ROW($1:$99),1),";")),"",ROW($1:$99)+1),COLUMN(H82)),SMALL(IF(ISERROR(SEARCH(MID(";"&amp;'CASE DATA'!$F82&amp;";",ROW($1:$99),1),";")),"",ROW($1:$99)),COLUMN(H81)+1)-SMALL(IF(ISERROR(SEARCH(MID(";"&amp;'CASE DATA'!$F82&amp;";",ROW($1:$99),1),";")),"",ROW($1:$99)),COLUMN(H81))-1)</f>
        <v/>
      </c>
      <c r="AD82" s="29" t="str">
        <f t="array" ref="AD82">MID(";"&amp;'CASE DATA'!$F82&amp;";",SMALL(IF(ISERROR(SEARCH(MID(";"&amp;'CASE DATA'!$F82&amp;";",ROW($1:$99),1),";")),"",ROW($1:$99)+1),COLUMN(I82)),SMALL(IF(ISERROR(SEARCH(MID(";"&amp;'CASE DATA'!$F82&amp;";",ROW($1:$99),1),";")),"",ROW($1:$99)),COLUMN(I81)+1)-SMALL(IF(ISERROR(SEARCH(MID(";"&amp;'CASE DATA'!$F82&amp;";",ROW($1:$99),1),";")),"",ROW($1:$99)),COLUMN(I81))-1)</f>
        <v/>
      </c>
      <c r="AE82" s="29" t="str">
        <f t="array" ref="AE82">MID(";"&amp;'CASE DATA'!$F82&amp;";",SMALL(IF(ISERROR(SEARCH(MID(";"&amp;'CASE DATA'!$F82&amp;";",ROW($1:$99),1),";")),"",ROW($1:$99)+1),COLUMN(J82)),SMALL(IF(ISERROR(SEARCH(MID(";"&amp;'CASE DATA'!$F82&amp;";",ROW($1:$99),1),";")),"",ROW($1:$99)),COLUMN(J81)+1)-SMALL(IF(ISERROR(SEARCH(MID(";"&amp;'CASE DATA'!$F82&amp;";",ROW($1:$99),1),";")),"",ROW($1:$99)),COLUMN(J81))-1)</f>
        <v/>
      </c>
      <c r="AF82" s="29" t="str">
        <f t="array" ref="AF82">MID(";"&amp;'CASE DATA'!$F82&amp;";",SMALL(IF(ISERROR(SEARCH(MID(";"&amp;'CASE DATA'!$F82&amp;";",ROW($1:$99),1),";")),"",ROW($1:$99)+1),COLUMN(K82)),SMALL(IF(ISERROR(SEARCH(MID(";"&amp;'CASE DATA'!$F82&amp;";",ROW($1:$99),1),";")),"",ROW($1:$99)),COLUMN(K81)+1)-SMALL(IF(ISERROR(SEARCH(MID(";"&amp;'CASE DATA'!$F82&amp;";",ROW($1:$99),1),";")),"",ROW($1:$99)),COLUMN(K81))-1)</f>
        <v/>
      </c>
      <c r="AG82" s="29" t="str">
        <f t="array" ref="AG82">MID(";"&amp;'CASE DATA'!$F82&amp;";",SMALL(IF(ISERROR(SEARCH(MID(";"&amp;'CASE DATA'!$F82&amp;";",ROW($1:$99),1),";")),"",ROW($1:$99)+1),COLUMN(L82)),SMALL(IF(ISERROR(SEARCH(MID(";"&amp;'CASE DATA'!$F82&amp;";",ROW($1:$99),1),";")),"",ROW($1:$99)),COLUMN(L81)+1)-SMALL(IF(ISERROR(SEARCH(MID(";"&amp;'CASE DATA'!$F82&amp;";",ROW($1:$99),1),";")),"",ROW($1:$99)),COLUMN(L81))-1)</f>
        <v/>
      </c>
      <c r="AH82" s="29"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24"/>
      <c r="D83" s="24"/>
      <c r="E83" s="25"/>
      <c r="F83" s="30"/>
      <c r="J83" s="31"/>
      <c r="K83" s="31"/>
      <c r="L83" s="31"/>
      <c r="M83" s="31"/>
      <c r="N83" s="31"/>
      <c r="O83" s="31"/>
      <c r="P83" s="31"/>
      <c r="Q83" s="31"/>
      <c r="R83" s="31"/>
      <c r="S83" s="31"/>
      <c r="T83" s="28">
        <f t="shared" si="2"/>
        <v>0</v>
      </c>
      <c r="U83" s="28"/>
      <c r="W83" s="29" t="str">
        <f t="array" ref="W83">MID(";"&amp;'CASE DATA'!$F83&amp;";",SMALL(IF(ISERROR(SEARCH(MID(";"&amp;'CASE DATA'!$F83&amp;";",ROW($1:$99),1),";")),"",ROW($1:$99)+1),COLUMN(A83)),SMALL(IF(ISERROR(SEARCH(MID(";"&amp;'CASE DATA'!$F83&amp;";",ROW($1:$99),1),";")),"",ROW($1:$99)),COLUMN(A82)+1)-SMALL(IF(ISERROR(SEARCH(MID(";"&amp;'CASE DATA'!$F83&amp;";",ROW($1:$99),1),";")),"",ROW($1:$99)),COLUMN(A82))-1)</f>
        <v/>
      </c>
      <c r="X83" s="29" t="str">
        <f t="array" ref="X83">MID(";"&amp;'CASE DATA'!$F83&amp;";",SMALL(IF(ISERROR(SEARCH(MID(";"&amp;'CASE DATA'!$F83&amp;";",ROW($1:$99),1),";")),"",ROW($1:$99)+1),COLUMN(B83)),SMALL(IF(ISERROR(SEARCH(MID(";"&amp;'CASE DATA'!$F83&amp;";",ROW($1:$99),1),";")),"",ROW($1:$99)),COLUMN(B82)+1)-SMALL(IF(ISERROR(SEARCH(MID(";"&amp;'CASE DATA'!$F83&amp;";",ROW($1:$99),1),";")),"",ROW($1:$99)),COLUMN(B82))-1)</f>
        <v/>
      </c>
      <c r="Y83" s="29" t="str">
        <f t="array" ref="Y83">MID(";"&amp;'CASE DATA'!$F83&amp;";",SMALL(IF(ISERROR(SEARCH(MID(";"&amp;'CASE DATA'!$F83&amp;";",ROW($1:$99),1),";")),"",ROW($1:$99)+1),COLUMN(D83)),SMALL(IF(ISERROR(SEARCH(MID(";"&amp;'CASE DATA'!$F83&amp;";",ROW($1:$99),1),";")),"",ROW($1:$99)),COLUMN(D82)+1)-SMALL(IF(ISERROR(SEARCH(MID(";"&amp;'CASE DATA'!$F83&amp;";",ROW($1:$99),1),";")),"",ROW($1:$99)),COLUMN(D82))-1)</f>
        <v/>
      </c>
      <c r="Z83" s="29" t="str">
        <f t="array" ref="Z83">MID(";"&amp;'CASE DATA'!$F83&amp;";",SMALL(IF(ISERROR(SEARCH(MID(";"&amp;'CASE DATA'!$F83&amp;";",ROW($1:$99),1),";")),"",ROW($1:$99)+1),COLUMN(E83)),SMALL(IF(ISERROR(SEARCH(MID(";"&amp;'CASE DATA'!$F83&amp;";",ROW($1:$99),1),";")),"",ROW($1:$99)),COLUMN(E82)+1)-SMALL(IF(ISERROR(SEARCH(MID(";"&amp;'CASE DATA'!$F83&amp;";",ROW($1:$99),1),";")),"",ROW($1:$99)),COLUMN(E82))-1)</f>
        <v/>
      </c>
      <c r="AA83" s="29" t="str">
        <f t="array" ref="AA83">MID(";"&amp;'CASE DATA'!$F83&amp;";",SMALL(IF(ISERROR(SEARCH(MID(";"&amp;'CASE DATA'!$F83&amp;";",ROW($1:$99),1),";")),"",ROW($1:$99)+1),COLUMN(F83)),SMALL(IF(ISERROR(SEARCH(MID(";"&amp;'CASE DATA'!$F83&amp;";",ROW($1:$99),1),";")),"",ROW($1:$99)),COLUMN(F82)+1)-SMALL(IF(ISERROR(SEARCH(MID(";"&amp;'CASE DATA'!$F83&amp;";",ROW($1:$99),1),";")),"",ROW($1:$99)),COLUMN(F82))-1)</f>
        <v/>
      </c>
      <c r="AB83" s="29" t="str">
        <f t="array" ref="AB83">MID(";"&amp;'CASE DATA'!$F83&amp;";",SMALL(IF(ISERROR(SEARCH(MID(";"&amp;'CASE DATA'!$F83&amp;";",ROW($1:$99),1),";")),"",ROW($1:$99)+1),COLUMN(G83)),SMALL(IF(ISERROR(SEARCH(MID(";"&amp;'CASE DATA'!$F83&amp;";",ROW($1:$99),1),";")),"",ROW($1:$99)),COLUMN(G82)+1)-SMALL(IF(ISERROR(SEARCH(MID(";"&amp;'CASE DATA'!$F83&amp;";",ROW($1:$99),1),";")),"",ROW($1:$99)),COLUMN(G82))-1)</f>
        <v/>
      </c>
      <c r="AC83" s="29" t="str">
        <f t="array" ref="AC83">MID(";"&amp;'CASE DATA'!$F83&amp;";",SMALL(IF(ISERROR(SEARCH(MID(";"&amp;'CASE DATA'!$F83&amp;";",ROW($1:$99),1),";")),"",ROW($1:$99)+1),COLUMN(H83)),SMALL(IF(ISERROR(SEARCH(MID(";"&amp;'CASE DATA'!$F83&amp;";",ROW($1:$99),1),";")),"",ROW($1:$99)),COLUMN(H82)+1)-SMALL(IF(ISERROR(SEARCH(MID(";"&amp;'CASE DATA'!$F83&amp;";",ROW($1:$99),1),";")),"",ROW($1:$99)),COLUMN(H82))-1)</f>
        <v/>
      </c>
      <c r="AD83" s="29" t="str">
        <f t="array" ref="AD83">MID(";"&amp;'CASE DATA'!$F83&amp;";",SMALL(IF(ISERROR(SEARCH(MID(";"&amp;'CASE DATA'!$F83&amp;";",ROW($1:$99),1),";")),"",ROW($1:$99)+1),COLUMN(I83)),SMALL(IF(ISERROR(SEARCH(MID(";"&amp;'CASE DATA'!$F83&amp;";",ROW($1:$99),1),";")),"",ROW($1:$99)),COLUMN(I82)+1)-SMALL(IF(ISERROR(SEARCH(MID(";"&amp;'CASE DATA'!$F83&amp;";",ROW($1:$99),1),";")),"",ROW($1:$99)),COLUMN(I82))-1)</f>
        <v/>
      </c>
      <c r="AE83" s="29" t="str">
        <f t="array" ref="AE83">MID(";"&amp;'CASE DATA'!$F83&amp;";",SMALL(IF(ISERROR(SEARCH(MID(";"&amp;'CASE DATA'!$F83&amp;";",ROW($1:$99),1),";")),"",ROW($1:$99)+1),COLUMN(J83)),SMALL(IF(ISERROR(SEARCH(MID(";"&amp;'CASE DATA'!$F83&amp;";",ROW($1:$99),1),";")),"",ROW($1:$99)),COLUMN(J82)+1)-SMALL(IF(ISERROR(SEARCH(MID(";"&amp;'CASE DATA'!$F83&amp;";",ROW($1:$99),1),";")),"",ROW($1:$99)),COLUMN(J82))-1)</f>
        <v/>
      </c>
      <c r="AF83" s="29" t="str">
        <f t="array" ref="AF83">MID(";"&amp;'CASE DATA'!$F83&amp;";",SMALL(IF(ISERROR(SEARCH(MID(";"&amp;'CASE DATA'!$F83&amp;";",ROW($1:$99),1),";")),"",ROW($1:$99)+1),COLUMN(K83)),SMALL(IF(ISERROR(SEARCH(MID(";"&amp;'CASE DATA'!$F83&amp;";",ROW($1:$99),1),";")),"",ROW($1:$99)),COLUMN(K82)+1)-SMALL(IF(ISERROR(SEARCH(MID(";"&amp;'CASE DATA'!$F83&amp;";",ROW($1:$99),1),";")),"",ROW($1:$99)),COLUMN(K82))-1)</f>
        <v/>
      </c>
      <c r="AG83" s="29" t="str">
        <f t="array" ref="AG83">MID(";"&amp;'CASE DATA'!$F83&amp;";",SMALL(IF(ISERROR(SEARCH(MID(";"&amp;'CASE DATA'!$F83&amp;";",ROW($1:$99),1),";")),"",ROW($1:$99)+1),COLUMN(L83)),SMALL(IF(ISERROR(SEARCH(MID(";"&amp;'CASE DATA'!$F83&amp;";",ROW($1:$99),1),";")),"",ROW($1:$99)),COLUMN(L82)+1)-SMALL(IF(ISERROR(SEARCH(MID(";"&amp;'CASE DATA'!$F83&amp;";",ROW($1:$99),1),";")),"",ROW($1:$99)),COLUMN(L82))-1)</f>
        <v/>
      </c>
      <c r="AH83" s="29"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24"/>
      <c r="D84" s="24"/>
      <c r="E84" s="25"/>
      <c r="F84" s="30"/>
      <c r="J84" s="31"/>
      <c r="K84" s="31"/>
      <c r="L84" s="31"/>
      <c r="M84" s="31"/>
      <c r="N84" s="31"/>
      <c r="O84" s="31"/>
      <c r="P84" s="31"/>
      <c r="Q84" s="31"/>
      <c r="R84" s="31"/>
      <c r="S84" s="31"/>
      <c r="T84" s="28">
        <f t="shared" si="2"/>
        <v>0</v>
      </c>
      <c r="U84" s="28"/>
      <c r="W84" s="29" t="str">
        <f t="array" ref="W84">MID(";"&amp;'CASE DATA'!$F84&amp;";",SMALL(IF(ISERROR(SEARCH(MID(";"&amp;'CASE DATA'!$F84&amp;";",ROW($1:$99),1),";")),"",ROW($1:$99)+1),COLUMN(A84)),SMALL(IF(ISERROR(SEARCH(MID(";"&amp;'CASE DATA'!$F84&amp;";",ROW($1:$99),1),";")),"",ROW($1:$99)),COLUMN(A83)+1)-SMALL(IF(ISERROR(SEARCH(MID(";"&amp;'CASE DATA'!$F84&amp;";",ROW($1:$99),1),";")),"",ROW($1:$99)),COLUMN(A83))-1)</f>
        <v/>
      </c>
      <c r="X84" s="29" t="str">
        <f t="array" ref="X84">MID(";"&amp;'CASE DATA'!$F84&amp;";",SMALL(IF(ISERROR(SEARCH(MID(";"&amp;'CASE DATA'!$F84&amp;";",ROW($1:$99),1),";")),"",ROW($1:$99)+1),COLUMN(B84)),SMALL(IF(ISERROR(SEARCH(MID(";"&amp;'CASE DATA'!$F84&amp;";",ROW($1:$99),1),";")),"",ROW($1:$99)),COLUMN(B83)+1)-SMALL(IF(ISERROR(SEARCH(MID(";"&amp;'CASE DATA'!$F84&amp;";",ROW($1:$99),1),";")),"",ROW($1:$99)),COLUMN(B83))-1)</f>
        <v/>
      </c>
      <c r="Y84" s="29" t="str">
        <f t="array" ref="Y84">MID(";"&amp;'CASE DATA'!$F84&amp;";",SMALL(IF(ISERROR(SEARCH(MID(";"&amp;'CASE DATA'!$F84&amp;";",ROW($1:$99),1),";")),"",ROW($1:$99)+1),COLUMN(D84)),SMALL(IF(ISERROR(SEARCH(MID(";"&amp;'CASE DATA'!$F84&amp;";",ROW($1:$99),1),";")),"",ROW($1:$99)),COLUMN(D83)+1)-SMALL(IF(ISERROR(SEARCH(MID(";"&amp;'CASE DATA'!$F84&amp;";",ROW($1:$99),1),";")),"",ROW($1:$99)),COLUMN(D83))-1)</f>
        <v/>
      </c>
      <c r="Z84" s="29" t="str">
        <f t="array" ref="Z84">MID(";"&amp;'CASE DATA'!$F84&amp;";",SMALL(IF(ISERROR(SEARCH(MID(";"&amp;'CASE DATA'!$F84&amp;";",ROW($1:$99),1),";")),"",ROW($1:$99)+1),COLUMN(E84)),SMALL(IF(ISERROR(SEARCH(MID(";"&amp;'CASE DATA'!$F84&amp;";",ROW($1:$99),1),";")),"",ROW($1:$99)),COLUMN(E83)+1)-SMALL(IF(ISERROR(SEARCH(MID(";"&amp;'CASE DATA'!$F84&amp;";",ROW($1:$99),1),";")),"",ROW($1:$99)),COLUMN(E83))-1)</f>
        <v/>
      </c>
      <c r="AA84" s="29" t="str">
        <f t="array" ref="AA84">MID(";"&amp;'CASE DATA'!$F84&amp;";",SMALL(IF(ISERROR(SEARCH(MID(";"&amp;'CASE DATA'!$F84&amp;";",ROW($1:$99),1),";")),"",ROW($1:$99)+1),COLUMN(F84)),SMALL(IF(ISERROR(SEARCH(MID(";"&amp;'CASE DATA'!$F84&amp;";",ROW($1:$99),1),";")),"",ROW($1:$99)),COLUMN(F83)+1)-SMALL(IF(ISERROR(SEARCH(MID(";"&amp;'CASE DATA'!$F84&amp;";",ROW($1:$99),1),";")),"",ROW($1:$99)),COLUMN(F83))-1)</f>
        <v/>
      </c>
      <c r="AB84" s="29" t="str">
        <f t="array" ref="AB84">MID(";"&amp;'CASE DATA'!$F84&amp;";",SMALL(IF(ISERROR(SEARCH(MID(";"&amp;'CASE DATA'!$F84&amp;";",ROW($1:$99),1),";")),"",ROW($1:$99)+1),COLUMN(G84)),SMALL(IF(ISERROR(SEARCH(MID(";"&amp;'CASE DATA'!$F84&amp;";",ROW($1:$99),1),";")),"",ROW($1:$99)),COLUMN(G83)+1)-SMALL(IF(ISERROR(SEARCH(MID(";"&amp;'CASE DATA'!$F84&amp;";",ROW($1:$99),1),";")),"",ROW($1:$99)),COLUMN(G83))-1)</f>
        <v/>
      </c>
      <c r="AC84" s="29" t="str">
        <f t="array" ref="AC84">MID(";"&amp;'CASE DATA'!$F84&amp;";",SMALL(IF(ISERROR(SEARCH(MID(";"&amp;'CASE DATA'!$F84&amp;";",ROW($1:$99),1),";")),"",ROW($1:$99)+1),COLUMN(H84)),SMALL(IF(ISERROR(SEARCH(MID(";"&amp;'CASE DATA'!$F84&amp;";",ROW($1:$99),1),";")),"",ROW($1:$99)),COLUMN(H83)+1)-SMALL(IF(ISERROR(SEARCH(MID(";"&amp;'CASE DATA'!$F84&amp;";",ROW($1:$99),1),";")),"",ROW($1:$99)),COLUMN(H83))-1)</f>
        <v/>
      </c>
      <c r="AD84" s="29" t="str">
        <f t="array" ref="AD84">MID(";"&amp;'CASE DATA'!$F84&amp;";",SMALL(IF(ISERROR(SEARCH(MID(";"&amp;'CASE DATA'!$F84&amp;";",ROW($1:$99),1),";")),"",ROW($1:$99)+1),COLUMN(I84)),SMALL(IF(ISERROR(SEARCH(MID(";"&amp;'CASE DATA'!$F84&amp;";",ROW($1:$99),1),";")),"",ROW($1:$99)),COLUMN(I83)+1)-SMALL(IF(ISERROR(SEARCH(MID(";"&amp;'CASE DATA'!$F84&amp;";",ROW($1:$99),1),";")),"",ROW($1:$99)),COLUMN(I83))-1)</f>
        <v/>
      </c>
      <c r="AE84" s="29" t="str">
        <f t="array" ref="AE84">MID(";"&amp;'CASE DATA'!$F84&amp;";",SMALL(IF(ISERROR(SEARCH(MID(";"&amp;'CASE DATA'!$F84&amp;";",ROW($1:$99),1),";")),"",ROW($1:$99)+1),COLUMN(J84)),SMALL(IF(ISERROR(SEARCH(MID(";"&amp;'CASE DATA'!$F84&amp;";",ROW($1:$99),1),";")),"",ROW($1:$99)),COLUMN(J83)+1)-SMALL(IF(ISERROR(SEARCH(MID(";"&amp;'CASE DATA'!$F84&amp;";",ROW($1:$99),1),";")),"",ROW($1:$99)),COLUMN(J83))-1)</f>
        <v/>
      </c>
      <c r="AF84" s="29" t="str">
        <f t="array" ref="AF84">MID(";"&amp;'CASE DATA'!$F84&amp;";",SMALL(IF(ISERROR(SEARCH(MID(";"&amp;'CASE DATA'!$F84&amp;";",ROW($1:$99),1),";")),"",ROW($1:$99)+1),COLUMN(K84)),SMALL(IF(ISERROR(SEARCH(MID(";"&amp;'CASE DATA'!$F84&amp;";",ROW($1:$99),1),";")),"",ROW($1:$99)),COLUMN(K83)+1)-SMALL(IF(ISERROR(SEARCH(MID(";"&amp;'CASE DATA'!$F84&amp;";",ROW($1:$99),1),";")),"",ROW($1:$99)),COLUMN(K83))-1)</f>
        <v/>
      </c>
      <c r="AG84" s="29" t="str">
        <f t="array" ref="AG84">MID(";"&amp;'CASE DATA'!$F84&amp;";",SMALL(IF(ISERROR(SEARCH(MID(";"&amp;'CASE DATA'!$F84&amp;";",ROW($1:$99),1),";")),"",ROW($1:$99)+1),COLUMN(L84)),SMALL(IF(ISERROR(SEARCH(MID(";"&amp;'CASE DATA'!$F84&amp;";",ROW($1:$99),1),";")),"",ROW($1:$99)),COLUMN(L83)+1)-SMALL(IF(ISERROR(SEARCH(MID(";"&amp;'CASE DATA'!$F84&amp;";",ROW($1:$99),1),";")),"",ROW($1:$99)),COLUMN(L83))-1)</f>
        <v/>
      </c>
      <c r="AH84" s="29"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24"/>
      <c r="D85" s="24"/>
      <c r="E85" s="25"/>
      <c r="F85" s="30"/>
      <c r="J85" s="31"/>
      <c r="K85" s="31"/>
      <c r="L85" s="31"/>
      <c r="M85" s="31"/>
      <c r="N85" s="31"/>
      <c r="O85" s="31"/>
      <c r="P85" s="31"/>
      <c r="Q85" s="31"/>
      <c r="R85" s="31"/>
      <c r="S85" s="31"/>
      <c r="T85" s="28">
        <f t="shared" si="2"/>
        <v>0</v>
      </c>
      <c r="U85" s="28"/>
      <c r="W85" s="29" t="str">
        <f t="array" ref="W85">MID(";"&amp;'CASE DATA'!$F85&amp;";",SMALL(IF(ISERROR(SEARCH(MID(";"&amp;'CASE DATA'!$F85&amp;";",ROW($1:$99),1),";")),"",ROW($1:$99)+1),COLUMN(A85)),SMALL(IF(ISERROR(SEARCH(MID(";"&amp;'CASE DATA'!$F85&amp;";",ROW($1:$99),1),";")),"",ROW($1:$99)),COLUMN(A84)+1)-SMALL(IF(ISERROR(SEARCH(MID(";"&amp;'CASE DATA'!$F85&amp;";",ROW($1:$99),1),";")),"",ROW($1:$99)),COLUMN(A84))-1)</f>
        <v/>
      </c>
      <c r="X85" s="29" t="str">
        <f t="array" ref="X85">MID(";"&amp;'CASE DATA'!$F85&amp;";",SMALL(IF(ISERROR(SEARCH(MID(";"&amp;'CASE DATA'!$F85&amp;";",ROW($1:$99),1),";")),"",ROW($1:$99)+1),COLUMN(B85)),SMALL(IF(ISERROR(SEARCH(MID(";"&amp;'CASE DATA'!$F85&amp;";",ROW($1:$99),1),";")),"",ROW($1:$99)),COLUMN(B84)+1)-SMALL(IF(ISERROR(SEARCH(MID(";"&amp;'CASE DATA'!$F85&amp;";",ROW($1:$99),1),";")),"",ROW($1:$99)),COLUMN(B84))-1)</f>
        <v/>
      </c>
      <c r="Y85" s="29" t="str">
        <f t="array" ref="Y85">MID(";"&amp;'CASE DATA'!$F85&amp;";",SMALL(IF(ISERROR(SEARCH(MID(";"&amp;'CASE DATA'!$F85&amp;";",ROW($1:$99),1),";")),"",ROW($1:$99)+1),COLUMN(D85)),SMALL(IF(ISERROR(SEARCH(MID(";"&amp;'CASE DATA'!$F85&amp;";",ROW($1:$99),1),";")),"",ROW($1:$99)),COLUMN(D84)+1)-SMALL(IF(ISERROR(SEARCH(MID(";"&amp;'CASE DATA'!$F85&amp;";",ROW($1:$99),1),";")),"",ROW($1:$99)),COLUMN(D84))-1)</f>
        <v/>
      </c>
      <c r="Z85" s="29" t="str">
        <f t="array" ref="Z85">MID(";"&amp;'CASE DATA'!$F85&amp;";",SMALL(IF(ISERROR(SEARCH(MID(";"&amp;'CASE DATA'!$F85&amp;";",ROW($1:$99),1),";")),"",ROW($1:$99)+1),COLUMN(E85)),SMALL(IF(ISERROR(SEARCH(MID(";"&amp;'CASE DATA'!$F85&amp;";",ROW($1:$99),1),";")),"",ROW($1:$99)),COLUMN(E84)+1)-SMALL(IF(ISERROR(SEARCH(MID(";"&amp;'CASE DATA'!$F85&amp;";",ROW($1:$99),1),";")),"",ROW($1:$99)),COLUMN(E84))-1)</f>
        <v/>
      </c>
      <c r="AA85" s="29" t="str">
        <f t="array" ref="AA85">MID(";"&amp;'CASE DATA'!$F85&amp;";",SMALL(IF(ISERROR(SEARCH(MID(";"&amp;'CASE DATA'!$F85&amp;";",ROW($1:$99),1),";")),"",ROW($1:$99)+1),COLUMN(F85)),SMALL(IF(ISERROR(SEARCH(MID(";"&amp;'CASE DATA'!$F85&amp;";",ROW($1:$99),1),";")),"",ROW($1:$99)),COLUMN(F84)+1)-SMALL(IF(ISERROR(SEARCH(MID(";"&amp;'CASE DATA'!$F85&amp;";",ROW($1:$99),1),";")),"",ROW($1:$99)),COLUMN(F84))-1)</f>
        <v/>
      </c>
      <c r="AB85" s="29" t="str">
        <f t="array" ref="AB85">MID(";"&amp;'CASE DATA'!$F85&amp;";",SMALL(IF(ISERROR(SEARCH(MID(";"&amp;'CASE DATA'!$F85&amp;";",ROW($1:$99),1),";")),"",ROW($1:$99)+1),COLUMN(G85)),SMALL(IF(ISERROR(SEARCH(MID(";"&amp;'CASE DATA'!$F85&amp;";",ROW($1:$99),1),";")),"",ROW($1:$99)),COLUMN(G84)+1)-SMALL(IF(ISERROR(SEARCH(MID(";"&amp;'CASE DATA'!$F85&amp;";",ROW($1:$99),1),";")),"",ROW($1:$99)),COLUMN(G84))-1)</f>
        <v/>
      </c>
      <c r="AC85" s="29" t="str">
        <f t="array" ref="AC85">MID(";"&amp;'CASE DATA'!$F85&amp;";",SMALL(IF(ISERROR(SEARCH(MID(";"&amp;'CASE DATA'!$F85&amp;";",ROW($1:$99),1),";")),"",ROW($1:$99)+1),COLUMN(H85)),SMALL(IF(ISERROR(SEARCH(MID(";"&amp;'CASE DATA'!$F85&amp;";",ROW($1:$99),1),";")),"",ROW($1:$99)),COLUMN(H84)+1)-SMALL(IF(ISERROR(SEARCH(MID(";"&amp;'CASE DATA'!$F85&amp;";",ROW($1:$99),1),";")),"",ROW($1:$99)),COLUMN(H84))-1)</f>
        <v/>
      </c>
      <c r="AD85" s="29" t="str">
        <f t="array" ref="AD85">MID(";"&amp;'CASE DATA'!$F85&amp;";",SMALL(IF(ISERROR(SEARCH(MID(";"&amp;'CASE DATA'!$F85&amp;";",ROW($1:$99),1),";")),"",ROW($1:$99)+1),COLUMN(I85)),SMALL(IF(ISERROR(SEARCH(MID(";"&amp;'CASE DATA'!$F85&amp;";",ROW($1:$99),1),";")),"",ROW($1:$99)),COLUMN(I84)+1)-SMALL(IF(ISERROR(SEARCH(MID(";"&amp;'CASE DATA'!$F85&amp;";",ROW($1:$99),1),";")),"",ROW($1:$99)),COLUMN(I84))-1)</f>
        <v/>
      </c>
      <c r="AE85" s="29" t="str">
        <f t="array" ref="AE85">MID(";"&amp;'CASE DATA'!$F85&amp;";",SMALL(IF(ISERROR(SEARCH(MID(";"&amp;'CASE DATA'!$F85&amp;";",ROW($1:$99),1),";")),"",ROW($1:$99)+1),COLUMN(J85)),SMALL(IF(ISERROR(SEARCH(MID(";"&amp;'CASE DATA'!$F85&amp;";",ROW($1:$99),1),";")),"",ROW($1:$99)),COLUMN(J84)+1)-SMALL(IF(ISERROR(SEARCH(MID(";"&amp;'CASE DATA'!$F85&amp;";",ROW($1:$99),1),";")),"",ROW($1:$99)),COLUMN(J84))-1)</f>
        <v/>
      </c>
      <c r="AF85" s="29" t="str">
        <f t="array" ref="AF85">MID(";"&amp;'CASE DATA'!$F85&amp;";",SMALL(IF(ISERROR(SEARCH(MID(";"&amp;'CASE DATA'!$F85&amp;";",ROW($1:$99),1),";")),"",ROW($1:$99)+1),COLUMN(K85)),SMALL(IF(ISERROR(SEARCH(MID(";"&amp;'CASE DATA'!$F85&amp;";",ROW($1:$99),1),";")),"",ROW($1:$99)),COLUMN(K84)+1)-SMALL(IF(ISERROR(SEARCH(MID(";"&amp;'CASE DATA'!$F85&amp;";",ROW($1:$99),1),";")),"",ROW($1:$99)),COLUMN(K84))-1)</f>
        <v/>
      </c>
      <c r="AG85" s="29" t="str">
        <f t="array" ref="AG85">MID(";"&amp;'CASE DATA'!$F85&amp;";",SMALL(IF(ISERROR(SEARCH(MID(";"&amp;'CASE DATA'!$F85&amp;";",ROW($1:$99),1),";")),"",ROW($1:$99)+1),COLUMN(L85)),SMALL(IF(ISERROR(SEARCH(MID(";"&amp;'CASE DATA'!$F85&amp;";",ROW($1:$99),1),";")),"",ROW($1:$99)),COLUMN(L84)+1)-SMALL(IF(ISERROR(SEARCH(MID(";"&amp;'CASE DATA'!$F85&amp;";",ROW($1:$99),1),";")),"",ROW($1:$99)),COLUMN(L84))-1)</f>
        <v/>
      </c>
      <c r="AH85" s="29"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24"/>
      <c r="D86" s="24"/>
      <c r="E86" s="25"/>
      <c r="F86" s="30"/>
      <c r="J86" s="31"/>
      <c r="K86" s="31"/>
      <c r="L86" s="31"/>
      <c r="M86" s="31"/>
      <c r="N86" s="31"/>
      <c r="O86" s="31"/>
      <c r="P86" s="31"/>
      <c r="Q86" s="31"/>
      <c r="R86" s="31"/>
      <c r="S86" s="31"/>
      <c r="T86" s="28">
        <f t="shared" si="2"/>
        <v>0</v>
      </c>
      <c r="U86" s="28"/>
      <c r="W86" s="29" t="str">
        <f t="array" ref="W86">MID(";"&amp;'CASE DATA'!$F86&amp;";",SMALL(IF(ISERROR(SEARCH(MID(";"&amp;'CASE DATA'!$F86&amp;";",ROW($1:$99),1),";")),"",ROW($1:$99)+1),COLUMN(A86)),SMALL(IF(ISERROR(SEARCH(MID(";"&amp;'CASE DATA'!$F86&amp;";",ROW($1:$99),1),";")),"",ROW($1:$99)),COLUMN(A85)+1)-SMALL(IF(ISERROR(SEARCH(MID(";"&amp;'CASE DATA'!$F86&amp;";",ROW($1:$99),1),";")),"",ROW($1:$99)),COLUMN(A85))-1)</f>
        <v/>
      </c>
      <c r="X86" s="29" t="str">
        <f t="array" ref="X86">MID(";"&amp;'CASE DATA'!$F86&amp;";",SMALL(IF(ISERROR(SEARCH(MID(";"&amp;'CASE DATA'!$F86&amp;";",ROW($1:$99),1),";")),"",ROW($1:$99)+1),COLUMN(B86)),SMALL(IF(ISERROR(SEARCH(MID(";"&amp;'CASE DATA'!$F86&amp;";",ROW($1:$99),1),";")),"",ROW($1:$99)),COLUMN(B85)+1)-SMALL(IF(ISERROR(SEARCH(MID(";"&amp;'CASE DATA'!$F86&amp;";",ROW($1:$99),1),";")),"",ROW($1:$99)),COLUMN(B85))-1)</f>
        <v/>
      </c>
      <c r="Y86" s="29" t="str">
        <f t="array" ref="Y86">MID(";"&amp;'CASE DATA'!$F86&amp;";",SMALL(IF(ISERROR(SEARCH(MID(";"&amp;'CASE DATA'!$F86&amp;";",ROW($1:$99),1),";")),"",ROW($1:$99)+1),COLUMN(D86)),SMALL(IF(ISERROR(SEARCH(MID(";"&amp;'CASE DATA'!$F86&amp;";",ROW($1:$99),1),";")),"",ROW($1:$99)),COLUMN(D85)+1)-SMALL(IF(ISERROR(SEARCH(MID(";"&amp;'CASE DATA'!$F86&amp;";",ROW($1:$99),1),";")),"",ROW($1:$99)),COLUMN(D85))-1)</f>
        <v/>
      </c>
      <c r="Z86" s="29" t="str">
        <f t="array" ref="Z86">MID(";"&amp;'CASE DATA'!$F86&amp;";",SMALL(IF(ISERROR(SEARCH(MID(";"&amp;'CASE DATA'!$F86&amp;";",ROW($1:$99),1),";")),"",ROW($1:$99)+1),COLUMN(E86)),SMALL(IF(ISERROR(SEARCH(MID(";"&amp;'CASE DATA'!$F86&amp;";",ROW($1:$99),1),";")),"",ROW($1:$99)),COLUMN(E85)+1)-SMALL(IF(ISERROR(SEARCH(MID(";"&amp;'CASE DATA'!$F86&amp;";",ROW($1:$99),1),";")),"",ROW($1:$99)),COLUMN(E85))-1)</f>
        <v/>
      </c>
      <c r="AA86" s="29" t="str">
        <f t="array" ref="AA86">MID(";"&amp;'CASE DATA'!$F86&amp;";",SMALL(IF(ISERROR(SEARCH(MID(";"&amp;'CASE DATA'!$F86&amp;";",ROW($1:$99),1),";")),"",ROW($1:$99)+1),COLUMN(F86)),SMALL(IF(ISERROR(SEARCH(MID(";"&amp;'CASE DATA'!$F86&amp;";",ROW($1:$99),1),";")),"",ROW($1:$99)),COLUMN(F85)+1)-SMALL(IF(ISERROR(SEARCH(MID(";"&amp;'CASE DATA'!$F86&amp;";",ROW($1:$99),1),";")),"",ROW($1:$99)),COLUMN(F85))-1)</f>
        <v/>
      </c>
      <c r="AB86" s="29" t="str">
        <f t="array" ref="AB86">MID(";"&amp;'CASE DATA'!$F86&amp;";",SMALL(IF(ISERROR(SEARCH(MID(";"&amp;'CASE DATA'!$F86&amp;";",ROW($1:$99),1),";")),"",ROW($1:$99)+1),COLUMN(G86)),SMALL(IF(ISERROR(SEARCH(MID(";"&amp;'CASE DATA'!$F86&amp;";",ROW($1:$99),1),";")),"",ROW($1:$99)),COLUMN(G85)+1)-SMALL(IF(ISERROR(SEARCH(MID(";"&amp;'CASE DATA'!$F86&amp;";",ROW($1:$99),1),";")),"",ROW($1:$99)),COLUMN(G85))-1)</f>
        <v/>
      </c>
      <c r="AC86" s="29" t="str">
        <f t="array" ref="AC86">MID(";"&amp;'CASE DATA'!$F86&amp;";",SMALL(IF(ISERROR(SEARCH(MID(";"&amp;'CASE DATA'!$F86&amp;";",ROW($1:$99),1),";")),"",ROW($1:$99)+1),COLUMN(H86)),SMALL(IF(ISERROR(SEARCH(MID(";"&amp;'CASE DATA'!$F86&amp;";",ROW($1:$99),1),";")),"",ROW($1:$99)),COLUMN(H85)+1)-SMALL(IF(ISERROR(SEARCH(MID(";"&amp;'CASE DATA'!$F86&amp;";",ROW($1:$99),1),";")),"",ROW($1:$99)),COLUMN(H85))-1)</f>
        <v/>
      </c>
      <c r="AD86" s="29" t="str">
        <f t="array" ref="AD86">MID(";"&amp;'CASE DATA'!$F86&amp;";",SMALL(IF(ISERROR(SEARCH(MID(";"&amp;'CASE DATA'!$F86&amp;";",ROW($1:$99),1),";")),"",ROW($1:$99)+1),COLUMN(I86)),SMALL(IF(ISERROR(SEARCH(MID(";"&amp;'CASE DATA'!$F86&amp;";",ROW($1:$99),1),";")),"",ROW($1:$99)),COLUMN(I85)+1)-SMALL(IF(ISERROR(SEARCH(MID(";"&amp;'CASE DATA'!$F86&amp;";",ROW($1:$99),1),";")),"",ROW($1:$99)),COLUMN(I85))-1)</f>
        <v/>
      </c>
      <c r="AE86" s="29" t="str">
        <f t="array" ref="AE86">MID(";"&amp;'CASE DATA'!$F86&amp;";",SMALL(IF(ISERROR(SEARCH(MID(";"&amp;'CASE DATA'!$F86&amp;";",ROW($1:$99),1),";")),"",ROW($1:$99)+1),COLUMN(J86)),SMALL(IF(ISERROR(SEARCH(MID(";"&amp;'CASE DATA'!$F86&amp;";",ROW($1:$99),1),";")),"",ROW($1:$99)),COLUMN(J85)+1)-SMALL(IF(ISERROR(SEARCH(MID(";"&amp;'CASE DATA'!$F86&amp;";",ROW($1:$99),1),";")),"",ROW($1:$99)),COLUMN(J85))-1)</f>
        <v/>
      </c>
      <c r="AF86" s="29" t="str">
        <f t="array" ref="AF86">MID(";"&amp;'CASE DATA'!$F86&amp;";",SMALL(IF(ISERROR(SEARCH(MID(";"&amp;'CASE DATA'!$F86&amp;";",ROW($1:$99),1),";")),"",ROW($1:$99)+1),COLUMN(K86)),SMALL(IF(ISERROR(SEARCH(MID(";"&amp;'CASE DATA'!$F86&amp;";",ROW($1:$99),1),";")),"",ROW($1:$99)),COLUMN(K85)+1)-SMALL(IF(ISERROR(SEARCH(MID(";"&amp;'CASE DATA'!$F86&amp;";",ROW($1:$99),1),";")),"",ROW($1:$99)),COLUMN(K85))-1)</f>
        <v/>
      </c>
      <c r="AG86" s="29" t="str">
        <f t="array" ref="AG86">MID(";"&amp;'CASE DATA'!$F86&amp;";",SMALL(IF(ISERROR(SEARCH(MID(";"&amp;'CASE DATA'!$F86&amp;";",ROW($1:$99),1),";")),"",ROW($1:$99)+1),COLUMN(L86)),SMALL(IF(ISERROR(SEARCH(MID(";"&amp;'CASE DATA'!$F86&amp;";",ROW($1:$99),1),";")),"",ROW($1:$99)),COLUMN(L85)+1)-SMALL(IF(ISERROR(SEARCH(MID(";"&amp;'CASE DATA'!$F86&amp;";",ROW($1:$99),1),";")),"",ROW($1:$99)),COLUMN(L85))-1)</f>
        <v/>
      </c>
      <c r="AH86" s="29"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24"/>
      <c r="D87" s="24"/>
      <c r="E87" s="25"/>
      <c r="F87" s="30"/>
      <c r="J87" s="31"/>
      <c r="K87" s="31"/>
      <c r="L87" s="31"/>
      <c r="M87" s="31"/>
      <c r="N87" s="31"/>
      <c r="O87" s="31"/>
      <c r="P87" s="31"/>
      <c r="Q87" s="31"/>
      <c r="R87" s="31"/>
      <c r="S87" s="31"/>
      <c r="T87" s="28">
        <f t="shared" si="2"/>
        <v>0</v>
      </c>
      <c r="U87" s="28"/>
      <c r="W87" s="29" t="str">
        <f t="array" ref="W87">MID(";"&amp;'CASE DATA'!$F87&amp;";",SMALL(IF(ISERROR(SEARCH(MID(";"&amp;'CASE DATA'!$F87&amp;";",ROW($1:$99),1),";")),"",ROW($1:$99)+1),COLUMN(A87)),SMALL(IF(ISERROR(SEARCH(MID(";"&amp;'CASE DATA'!$F87&amp;";",ROW($1:$99),1),";")),"",ROW($1:$99)),COLUMN(A86)+1)-SMALL(IF(ISERROR(SEARCH(MID(";"&amp;'CASE DATA'!$F87&amp;";",ROW($1:$99),1),";")),"",ROW($1:$99)),COLUMN(A86))-1)</f>
        <v/>
      </c>
      <c r="X87" s="29" t="str">
        <f t="array" ref="X87">MID(";"&amp;'CASE DATA'!$F87&amp;";",SMALL(IF(ISERROR(SEARCH(MID(";"&amp;'CASE DATA'!$F87&amp;";",ROW($1:$99),1),";")),"",ROW($1:$99)+1),COLUMN(B87)),SMALL(IF(ISERROR(SEARCH(MID(";"&amp;'CASE DATA'!$F87&amp;";",ROW($1:$99),1),";")),"",ROW($1:$99)),COLUMN(B86)+1)-SMALL(IF(ISERROR(SEARCH(MID(";"&amp;'CASE DATA'!$F87&amp;";",ROW($1:$99),1),";")),"",ROW($1:$99)),COLUMN(B86))-1)</f>
        <v/>
      </c>
      <c r="Y87" s="29" t="str">
        <f t="array" ref="Y87">MID(";"&amp;'CASE DATA'!$F87&amp;";",SMALL(IF(ISERROR(SEARCH(MID(";"&amp;'CASE DATA'!$F87&amp;";",ROW($1:$99),1),";")),"",ROW($1:$99)+1),COLUMN(D87)),SMALL(IF(ISERROR(SEARCH(MID(";"&amp;'CASE DATA'!$F87&amp;";",ROW($1:$99),1),";")),"",ROW($1:$99)),COLUMN(D86)+1)-SMALL(IF(ISERROR(SEARCH(MID(";"&amp;'CASE DATA'!$F87&amp;";",ROW($1:$99),1),";")),"",ROW($1:$99)),COLUMN(D86))-1)</f>
        <v/>
      </c>
      <c r="Z87" s="29" t="str">
        <f t="array" ref="Z87">MID(";"&amp;'CASE DATA'!$F87&amp;";",SMALL(IF(ISERROR(SEARCH(MID(";"&amp;'CASE DATA'!$F87&amp;";",ROW($1:$99),1),";")),"",ROW($1:$99)+1),COLUMN(E87)),SMALL(IF(ISERROR(SEARCH(MID(";"&amp;'CASE DATA'!$F87&amp;";",ROW($1:$99),1),";")),"",ROW($1:$99)),COLUMN(E86)+1)-SMALL(IF(ISERROR(SEARCH(MID(";"&amp;'CASE DATA'!$F87&amp;";",ROW($1:$99),1),";")),"",ROW($1:$99)),COLUMN(E86))-1)</f>
        <v/>
      </c>
      <c r="AA87" s="29" t="str">
        <f t="array" ref="AA87">MID(";"&amp;'CASE DATA'!$F87&amp;";",SMALL(IF(ISERROR(SEARCH(MID(";"&amp;'CASE DATA'!$F87&amp;";",ROW($1:$99),1),";")),"",ROW($1:$99)+1),COLUMN(F87)),SMALL(IF(ISERROR(SEARCH(MID(";"&amp;'CASE DATA'!$F87&amp;";",ROW($1:$99),1),";")),"",ROW($1:$99)),COLUMN(F86)+1)-SMALL(IF(ISERROR(SEARCH(MID(";"&amp;'CASE DATA'!$F87&amp;";",ROW($1:$99),1),";")),"",ROW($1:$99)),COLUMN(F86))-1)</f>
        <v/>
      </c>
      <c r="AB87" s="29" t="str">
        <f t="array" ref="AB87">MID(";"&amp;'CASE DATA'!$F87&amp;";",SMALL(IF(ISERROR(SEARCH(MID(";"&amp;'CASE DATA'!$F87&amp;";",ROW($1:$99),1),";")),"",ROW($1:$99)+1),COLUMN(G87)),SMALL(IF(ISERROR(SEARCH(MID(";"&amp;'CASE DATA'!$F87&amp;";",ROW($1:$99),1),";")),"",ROW($1:$99)),COLUMN(G86)+1)-SMALL(IF(ISERROR(SEARCH(MID(";"&amp;'CASE DATA'!$F87&amp;";",ROW($1:$99),1),";")),"",ROW($1:$99)),COLUMN(G86))-1)</f>
        <v/>
      </c>
      <c r="AC87" s="29" t="str">
        <f t="array" ref="AC87">MID(";"&amp;'CASE DATA'!$F87&amp;";",SMALL(IF(ISERROR(SEARCH(MID(";"&amp;'CASE DATA'!$F87&amp;";",ROW($1:$99),1),";")),"",ROW($1:$99)+1),COLUMN(H87)),SMALL(IF(ISERROR(SEARCH(MID(";"&amp;'CASE DATA'!$F87&amp;";",ROW($1:$99),1),";")),"",ROW($1:$99)),COLUMN(H86)+1)-SMALL(IF(ISERROR(SEARCH(MID(";"&amp;'CASE DATA'!$F87&amp;";",ROW($1:$99),1),";")),"",ROW($1:$99)),COLUMN(H86))-1)</f>
        <v/>
      </c>
      <c r="AD87" s="29" t="str">
        <f t="array" ref="AD87">MID(";"&amp;'CASE DATA'!$F87&amp;";",SMALL(IF(ISERROR(SEARCH(MID(";"&amp;'CASE DATA'!$F87&amp;";",ROW($1:$99),1),";")),"",ROW($1:$99)+1),COLUMN(I87)),SMALL(IF(ISERROR(SEARCH(MID(";"&amp;'CASE DATA'!$F87&amp;";",ROW($1:$99),1),";")),"",ROW($1:$99)),COLUMN(I86)+1)-SMALL(IF(ISERROR(SEARCH(MID(";"&amp;'CASE DATA'!$F87&amp;";",ROW($1:$99),1),";")),"",ROW($1:$99)),COLUMN(I86))-1)</f>
        <v/>
      </c>
      <c r="AE87" s="29" t="str">
        <f t="array" ref="AE87">MID(";"&amp;'CASE DATA'!$F87&amp;";",SMALL(IF(ISERROR(SEARCH(MID(";"&amp;'CASE DATA'!$F87&amp;";",ROW($1:$99),1),";")),"",ROW($1:$99)+1),COLUMN(J87)),SMALL(IF(ISERROR(SEARCH(MID(";"&amp;'CASE DATA'!$F87&amp;";",ROW($1:$99),1),";")),"",ROW($1:$99)),COLUMN(J86)+1)-SMALL(IF(ISERROR(SEARCH(MID(";"&amp;'CASE DATA'!$F87&amp;";",ROW($1:$99),1),";")),"",ROW($1:$99)),COLUMN(J86))-1)</f>
        <v/>
      </c>
      <c r="AF87" s="29" t="str">
        <f t="array" ref="AF87">MID(";"&amp;'CASE DATA'!$F87&amp;";",SMALL(IF(ISERROR(SEARCH(MID(";"&amp;'CASE DATA'!$F87&amp;";",ROW($1:$99),1),";")),"",ROW($1:$99)+1),COLUMN(K87)),SMALL(IF(ISERROR(SEARCH(MID(";"&amp;'CASE DATA'!$F87&amp;";",ROW($1:$99),1),";")),"",ROW($1:$99)),COLUMN(K86)+1)-SMALL(IF(ISERROR(SEARCH(MID(";"&amp;'CASE DATA'!$F87&amp;";",ROW($1:$99),1),";")),"",ROW($1:$99)),COLUMN(K86))-1)</f>
        <v/>
      </c>
      <c r="AG87" s="29" t="str">
        <f t="array" ref="AG87">MID(";"&amp;'CASE DATA'!$F87&amp;";",SMALL(IF(ISERROR(SEARCH(MID(";"&amp;'CASE DATA'!$F87&amp;";",ROW($1:$99),1),";")),"",ROW($1:$99)+1),COLUMN(L87)),SMALL(IF(ISERROR(SEARCH(MID(";"&amp;'CASE DATA'!$F87&amp;";",ROW($1:$99),1),";")),"",ROW($1:$99)),COLUMN(L86)+1)-SMALL(IF(ISERROR(SEARCH(MID(";"&amp;'CASE DATA'!$F87&amp;";",ROW($1:$99),1),";")),"",ROW($1:$99)),COLUMN(L86))-1)</f>
        <v/>
      </c>
      <c r="AH87" s="29"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24"/>
      <c r="D88" s="24"/>
      <c r="E88" s="25"/>
      <c r="F88" s="30"/>
      <c r="J88" s="31"/>
      <c r="K88" s="31"/>
      <c r="L88" s="31"/>
      <c r="M88" s="31"/>
      <c r="N88" s="31"/>
      <c r="O88" s="31"/>
      <c r="P88" s="31"/>
      <c r="Q88" s="31"/>
      <c r="R88" s="31"/>
      <c r="S88" s="31"/>
      <c r="T88" s="28">
        <f t="shared" si="2"/>
        <v>0</v>
      </c>
      <c r="U88" s="28"/>
      <c r="W88" s="29" t="str">
        <f t="array" ref="W88">MID(";"&amp;'CASE DATA'!$F88&amp;";",SMALL(IF(ISERROR(SEARCH(MID(";"&amp;'CASE DATA'!$F88&amp;";",ROW($1:$99),1),";")),"",ROW($1:$99)+1),COLUMN(A88)),SMALL(IF(ISERROR(SEARCH(MID(";"&amp;'CASE DATA'!$F88&amp;";",ROW($1:$99),1),";")),"",ROW($1:$99)),COLUMN(A87)+1)-SMALL(IF(ISERROR(SEARCH(MID(";"&amp;'CASE DATA'!$F88&amp;";",ROW($1:$99),1),";")),"",ROW($1:$99)),COLUMN(A87))-1)</f>
        <v/>
      </c>
      <c r="X88" s="29" t="str">
        <f t="array" ref="X88">MID(";"&amp;'CASE DATA'!$F88&amp;";",SMALL(IF(ISERROR(SEARCH(MID(";"&amp;'CASE DATA'!$F88&amp;";",ROW($1:$99),1),";")),"",ROW($1:$99)+1),COLUMN(B88)),SMALL(IF(ISERROR(SEARCH(MID(";"&amp;'CASE DATA'!$F88&amp;";",ROW($1:$99),1),";")),"",ROW($1:$99)),COLUMN(B87)+1)-SMALL(IF(ISERROR(SEARCH(MID(";"&amp;'CASE DATA'!$F88&amp;";",ROW($1:$99),1),";")),"",ROW($1:$99)),COLUMN(B87))-1)</f>
        <v/>
      </c>
      <c r="Y88" s="29" t="str">
        <f t="array" ref="Y88">MID(";"&amp;'CASE DATA'!$F88&amp;";",SMALL(IF(ISERROR(SEARCH(MID(";"&amp;'CASE DATA'!$F88&amp;";",ROW($1:$99),1),";")),"",ROW($1:$99)+1),COLUMN(D88)),SMALL(IF(ISERROR(SEARCH(MID(";"&amp;'CASE DATA'!$F88&amp;";",ROW($1:$99),1),";")),"",ROW($1:$99)),COLUMN(D87)+1)-SMALL(IF(ISERROR(SEARCH(MID(";"&amp;'CASE DATA'!$F88&amp;";",ROW($1:$99),1),";")),"",ROW($1:$99)),COLUMN(D87))-1)</f>
        <v/>
      </c>
      <c r="Z88" s="29" t="str">
        <f t="array" ref="Z88">MID(";"&amp;'CASE DATA'!$F88&amp;";",SMALL(IF(ISERROR(SEARCH(MID(";"&amp;'CASE DATA'!$F88&amp;";",ROW($1:$99),1),";")),"",ROW($1:$99)+1),COLUMN(E88)),SMALL(IF(ISERROR(SEARCH(MID(";"&amp;'CASE DATA'!$F88&amp;";",ROW($1:$99),1),";")),"",ROW($1:$99)),COLUMN(E87)+1)-SMALL(IF(ISERROR(SEARCH(MID(";"&amp;'CASE DATA'!$F88&amp;";",ROW($1:$99),1),";")),"",ROW($1:$99)),COLUMN(E87))-1)</f>
        <v/>
      </c>
      <c r="AA88" s="29" t="str">
        <f t="array" ref="AA88">MID(";"&amp;'CASE DATA'!$F88&amp;";",SMALL(IF(ISERROR(SEARCH(MID(";"&amp;'CASE DATA'!$F88&amp;";",ROW($1:$99),1),";")),"",ROW($1:$99)+1),COLUMN(F88)),SMALL(IF(ISERROR(SEARCH(MID(";"&amp;'CASE DATA'!$F88&amp;";",ROW($1:$99),1),";")),"",ROW($1:$99)),COLUMN(F87)+1)-SMALL(IF(ISERROR(SEARCH(MID(";"&amp;'CASE DATA'!$F88&amp;";",ROW($1:$99),1),";")),"",ROW($1:$99)),COLUMN(F87))-1)</f>
        <v/>
      </c>
      <c r="AB88" s="29" t="str">
        <f t="array" ref="AB88">MID(";"&amp;'CASE DATA'!$F88&amp;";",SMALL(IF(ISERROR(SEARCH(MID(";"&amp;'CASE DATA'!$F88&amp;";",ROW($1:$99),1),";")),"",ROW($1:$99)+1),COLUMN(G88)),SMALL(IF(ISERROR(SEARCH(MID(";"&amp;'CASE DATA'!$F88&amp;";",ROW($1:$99),1),";")),"",ROW($1:$99)),COLUMN(G87)+1)-SMALL(IF(ISERROR(SEARCH(MID(";"&amp;'CASE DATA'!$F88&amp;";",ROW($1:$99),1),";")),"",ROW($1:$99)),COLUMN(G87))-1)</f>
        <v/>
      </c>
      <c r="AC88" s="29" t="str">
        <f t="array" ref="AC88">MID(";"&amp;'CASE DATA'!$F88&amp;";",SMALL(IF(ISERROR(SEARCH(MID(";"&amp;'CASE DATA'!$F88&amp;";",ROW($1:$99),1),";")),"",ROW($1:$99)+1),COLUMN(H88)),SMALL(IF(ISERROR(SEARCH(MID(";"&amp;'CASE DATA'!$F88&amp;";",ROW($1:$99),1),";")),"",ROW($1:$99)),COLUMN(H87)+1)-SMALL(IF(ISERROR(SEARCH(MID(";"&amp;'CASE DATA'!$F88&amp;";",ROW($1:$99),1),";")),"",ROW($1:$99)),COLUMN(H87))-1)</f>
        <v/>
      </c>
      <c r="AD88" s="29" t="str">
        <f t="array" ref="AD88">MID(";"&amp;'CASE DATA'!$F88&amp;";",SMALL(IF(ISERROR(SEARCH(MID(";"&amp;'CASE DATA'!$F88&amp;";",ROW($1:$99),1),";")),"",ROW($1:$99)+1),COLUMN(I88)),SMALL(IF(ISERROR(SEARCH(MID(";"&amp;'CASE DATA'!$F88&amp;";",ROW($1:$99),1),";")),"",ROW($1:$99)),COLUMN(I87)+1)-SMALL(IF(ISERROR(SEARCH(MID(";"&amp;'CASE DATA'!$F88&amp;";",ROW($1:$99),1),";")),"",ROW($1:$99)),COLUMN(I87))-1)</f>
        <v/>
      </c>
      <c r="AE88" s="29" t="str">
        <f t="array" ref="AE88">MID(";"&amp;'CASE DATA'!$F88&amp;";",SMALL(IF(ISERROR(SEARCH(MID(";"&amp;'CASE DATA'!$F88&amp;";",ROW($1:$99),1),";")),"",ROW($1:$99)+1),COLUMN(J88)),SMALL(IF(ISERROR(SEARCH(MID(";"&amp;'CASE DATA'!$F88&amp;";",ROW($1:$99),1),";")),"",ROW($1:$99)),COLUMN(J87)+1)-SMALL(IF(ISERROR(SEARCH(MID(";"&amp;'CASE DATA'!$F88&amp;";",ROW($1:$99),1),";")),"",ROW($1:$99)),COLUMN(J87))-1)</f>
        <v/>
      </c>
      <c r="AF88" s="29" t="str">
        <f t="array" ref="AF88">MID(";"&amp;'CASE DATA'!$F88&amp;";",SMALL(IF(ISERROR(SEARCH(MID(";"&amp;'CASE DATA'!$F88&amp;";",ROW($1:$99),1),";")),"",ROW($1:$99)+1),COLUMN(K88)),SMALL(IF(ISERROR(SEARCH(MID(";"&amp;'CASE DATA'!$F88&amp;";",ROW($1:$99),1),";")),"",ROW($1:$99)),COLUMN(K87)+1)-SMALL(IF(ISERROR(SEARCH(MID(";"&amp;'CASE DATA'!$F88&amp;";",ROW($1:$99),1),";")),"",ROW($1:$99)),COLUMN(K87))-1)</f>
        <v/>
      </c>
      <c r="AG88" s="29" t="str">
        <f t="array" ref="AG88">MID(";"&amp;'CASE DATA'!$F88&amp;";",SMALL(IF(ISERROR(SEARCH(MID(";"&amp;'CASE DATA'!$F88&amp;";",ROW($1:$99),1),";")),"",ROW($1:$99)+1),COLUMN(L88)),SMALL(IF(ISERROR(SEARCH(MID(";"&amp;'CASE DATA'!$F88&amp;";",ROW($1:$99),1),";")),"",ROW($1:$99)),COLUMN(L87)+1)-SMALL(IF(ISERROR(SEARCH(MID(";"&amp;'CASE DATA'!$F88&amp;";",ROW($1:$99),1),";")),"",ROW($1:$99)),COLUMN(L87))-1)</f>
        <v/>
      </c>
      <c r="AH88" s="29"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24"/>
      <c r="D89" s="24"/>
      <c r="E89" s="25"/>
      <c r="F89" s="30"/>
      <c r="J89" s="31"/>
      <c r="K89" s="31"/>
      <c r="L89" s="31"/>
      <c r="M89" s="31"/>
      <c r="N89" s="31"/>
      <c r="O89" s="31"/>
      <c r="P89" s="31"/>
      <c r="Q89" s="31"/>
      <c r="R89" s="31"/>
      <c r="S89" s="31"/>
      <c r="T89" s="28">
        <f t="shared" si="2"/>
        <v>0</v>
      </c>
      <c r="U89" s="28"/>
      <c r="W89" s="29" t="str">
        <f t="array" ref="W89">MID(";"&amp;'CASE DATA'!$F89&amp;";",SMALL(IF(ISERROR(SEARCH(MID(";"&amp;'CASE DATA'!$F89&amp;";",ROW($1:$99),1),";")),"",ROW($1:$99)+1),COLUMN(A89)),SMALL(IF(ISERROR(SEARCH(MID(";"&amp;'CASE DATA'!$F89&amp;";",ROW($1:$99),1),";")),"",ROW($1:$99)),COLUMN(A88)+1)-SMALL(IF(ISERROR(SEARCH(MID(";"&amp;'CASE DATA'!$F89&amp;";",ROW($1:$99),1),";")),"",ROW($1:$99)),COLUMN(A88))-1)</f>
        <v/>
      </c>
      <c r="X89" s="29" t="str">
        <f t="array" ref="X89">MID(";"&amp;'CASE DATA'!$F89&amp;";",SMALL(IF(ISERROR(SEARCH(MID(";"&amp;'CASE DATA'!$F89&amp;";",ROW($1:$99),1),";")),"",ROW($1:$99)+1),COLUMN(B89)),SMALL(IF(ISERROR(SEARCH(MID(";"&amp;'CASE DATA'!$F89&amp;";",ROW($1:$99),1),";")),"",ROW($1:$99)),COLUMN(B88)+1)-SMALL(IF(ISERROR(SEARCH(MID(";"&amp;'CASE DATA'!$F89&amp;";",ROW($1:$99),1),";")),"",ROW($1:$99)),COLUMN(B88))-1)</f>
        <v/>
      </c>
      <c r="Y89" s="29" t="str">
        <f t="array" ref="Y89">MID(";"&amp;'CASE DATA'!$F89&amp;";",SMALL(IF(ISERROR(SEARCH(MID(";"&amp;'CASE DATA'!$F89&amp;";",ROW($1:$99),1),";")),"",ROW($1:$99)+1),COLUMN(D89)),SMALL(IF(ISERROR(SEARCH(MID(";"&amp;'CASE DATA'!$F89&amp;";",ROW($1:$99),1),";")),"",ROW($1:$99)),COLUMN(D88)+1)-SMALL(IF(ISERROR(SEARCH(MID(";"&amp;'CASE DATA'!$F89&amp;";",ROW($1:$99),1),";")),"",ROW($1:$99)),COLUMN(D88))-1)</f>
        <v/>
      </c>
      <c r="Z89" s="29" t="str">
        <f t="array" ref="Z89">MID(";"&amp;'CASE DATA'!$F89&amp;";",SMALL(IF(ISERROR(SEARCH(MID(";"&amp;'CASE DATA'!$F89&amp;";",ROW($1:$99),1),";")),"",ROW($1:$99)+1),COLUMN(E89)),SMALL(IF(ISERROR(SEARCH(MID(";"&amp;'CASE DATA'!$F89&amp;";",ROW($1:$99),1),";")),"",ROW($1:$99)),COLUMN(E88)+1)-SMALL(IF(ISERROR(SEARCH(MID(";"&amp;'CASE DATA'!$F89&amp;";",ROW($1:$99),1),";")),"",ROW($1:$99)),COLUMN(E88))-1)</f>
        <v/>
      </c>
      <c r="AA89" s="29" t="str">
        <f t="array" ref="AA89">MID(";"&amp;'CASE DATA'!$F89&amp;";",SMALL(IF(ISERROR(SEARCH(MID(";"&amp;'CASE DATA'!$F89&amp;";",ROW($1:$99),1),";")),"",ROW($1:$99)+1),COLUMN(F89)),SMALL(IF(ISERROR(SEARCH(MID(";"&amp;'CASE DATA'!$F89&amp;";",ROW($1:$99),1),";")),"",ROW($1:$99)),COLUMN(F88)+1)-SMALL(IF(ISERROR(SEARCH(MID(";"&amp;'CASE DATA'!$F89&amp;";",ROW($1:$99),1),";")),"",ROW($1:$99)),COLUMN(F88))-1)</f>
        <v/>
      </c>
      <c r="AB89" s="29" t="str">
        <f t="array" ref="AB89">MID(";"&amp;'CASE DATA'!$F89&amp;";",SMALL(IF(ISERROR(SEARCH(MID(";"&amp;'CASE DATA'!$F89&amp;";",ROW($1:$99),1),";")),"",ROW($1:$99)+1),COLUMN(G89)),SMALL(IF(ISERROR(SEARCH(MID(";"&amp;'CASE DATA'!$F89&amp;";",ROW($1:$99),1),";")),"",ROW($1:$99)),COLUMN(G88)+1)-SMALL(IF(ISERROR(SEARCH(MID(";"&amp;'CASE DATA'!$F89&amp;";",ROW($1:$99),1),";")),"",ROW($1:$99)),COLUMN(G88))-1)</f>
        <v/>
      </c>
      <c r="AC89" s="29" t="str">
        <f t="array" ref="AC89">MID(";"&amp;'CASE DATA'!$F89&amp;";",SMALL(IF(ISERROR(SEARCH(MID(";"&amp;'CASE DATA'!$F89&amp;";",ROW($1:$99),1),";")),"",ROW($1:$99)+1),COLUMN(H89)),SMALL(IF(ISERROR(SEARCH(MID(";"&amp;'CASE DATA'!$F89&amp;";",ROW($1:$99),1),";")),"",ROW($1:$99)),COLUMN(H88)+1)-SMALL(IF(ISERROR(SEARCH(MID(";"&amp;'CASE DATA'!$F89&amp;";",ROW($1:$99),1),";")),"",ROW($1:$99)),COLUMN(H88))-1)</f>
        <v/>
      </c>
      <c r="AD89" s="29" t="str">
        <f t="array" ref="AD89">MID(";"&amp;'CASE DATA'!$F89&amp;";",SMALL(IF(ISERROR(SEARCH(MID(";"&amp;'CASE DATA'!$F89&amp;";",ROW($1:$99),1),";")),"",ROW($1:$99)+1),COLUMN(I89)),SMALL(IF(ISERROR(SEARCH(MID(";"&amp;'CASE DATA'!$F89&amp;";",ROW($1:$99),1),";")),"",ROW($1:$99)),COLUMN(I88)+1)-SMALL(IF(ISERROR(SEARCH(MID(";"&amp;'CASE DATA'!$F89&amp;";",ROW($1:$99),1),";")),"",ROW($1:$99)),COLUMN(I88))-1)</f>
        <v/>
      </c>
      <c r="AE89" s="29" t="str">
        <f t="array" ref="AE89">MID(";"&amp;'CASE DATA'!$F89&amp;";",SMALL(IF(ISERROR(SEARCH(MID(";"&amp;'CASE DATA'!$F89&amp;";",ROW($1:$99),1),";")),"",ROW($1:$99)+1),COLUMN(J89)),SMALL(IF(ISERROR(SEARCH(MID(";"&amp;'CASE DATA'!$F89&amp;";",ROW($1:$99),1),";")),"",ROW($1:$99)),COLUMN(J88)+1)-SMALL(IF(ISERROR(SEARCH(MID(";"&amp;'CASE DATA'!$F89&amp;";",ROW($1:$99),1),";")),"",ROW($1:$99)),COLUMN(J88))-1)</f>
        <v/>
      </c>
      <c r="AF89" s="29" t="str">
        <f t="array" ref="AF89">MID(";"&amp;'CASE DATA'!$F89&amp;";",SMALL(IF(ISERROR(SEARCH(MID(";"&amp;'CASE DATA'!$F89&amp;";",ROW($1:$99),1),";")),"",ROW($1:$99)+1),COLUMN(K89)),SMALL(IF(ISERROR(SEARCH(MID(";"&amp;'CASE DATA'!$F89&amp;";",ROW($1:$99),1),";")),"",ROW($1:$99)),COLUMN(K88)+1)-SMALL(IF(ISERROR(SEARCH(MID(";"&amp;'CASE DATA'!$F89&amp;";",ROW($1:$99),1),";")),"",ROW($1:$99)),COLUMN(K88))-1)</f>
        <v/>
      </c>
      <c r="AG89" s="29" t="str">
        <f t="array" ref="AG89">MID(";"&amp;'CASE DATA'!$F89&amp;";",SMALL(IF(ISERROR(SEARCH(MID(";"&amp;'CASE DATA'!$F89&amp;";",ROW($1:$99),1),";")),"",ROW($1:$99)+1),COLUMN(L89)),SMALL(IF(ISERROR(SEARCH(MID(";"&amp;'CASE DATA'!$F89&amp;";",ROW($1:$99),1),";")),"",ROW($1:$99)),COLUMN(L88)+1)-SMALL(IF(ISERROR(SEARCH(MID(";"&amp;'CASE DATA'!$F89&amp;";",ROW($1:$99),1),";")),"",ROW($1:$99)),COLUMN(L88))-1)</f>
        <v/>
      </c>
      <c r="AH89" s="29"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24"/>
      <c r="D90" s="24"/>
      <c r="E90" s="25"/>
      <c r="F90" s="30"/>
      <c r="J90" s="31"/>
      <c r="K90" s="31"/>
      <c r="L90" s="31"/>
      <c r="M90" s="31"/>
      <c r="N90" s="31"/>
      <c r="O90" s="31"/>
      <c r="P90" s="31"/>
      <c r="Q90" s="31"/>
      <c r="R90" s="31"/>
      <c r="S90" s="31"/>
      <c r="T90" s="28">
        <f t="shared" si="2"/>
        <v>0</v>
      </c>
      <c r="U90" s="28"/>
      <c r="W90" s="29" t="str">
        <f t="array" ref="W90">MID(";"&amp;'CASE DATA'!$F90&amp;";",SMALL(IF(ISERROR(SEARCH(MID(";"&amp;'CASE DATA'!$F90&amp;";",ROW($1:$99),1),";")),"",ROW($1:$99)+1),COLUMN(A90)),SMALL(IF(ISERROR(SEARCH(MID(";"&amp;'CASE DATA'!$F90&amp;";",ROW($1:$99),1),";")),"",ROW($1:$99)),COLUMN(A89)+1)-SMALL(IF(ISERROR(SEARCH(MID(";"&amp;'CASE DATA'!$F90&amp;";",ROW($1:$99),1),";")),"",ROW($1:$99)),COLUMN(A89))-1)</f>
        <v/>
      </c>
      <c r="X90" s="29" t="str">
        <f t="array" ref="X90">MID(";"&amp;'CASE DATA'!$F90&amp;";",SMALL(IF(ISERROR(SEARCH(MID(";"&amp;'CASE DATA'!$F90&amp;";",ROW($1:$99),1),";")),"",ROW($1:$99)+1),COLUMN(B90)),SMALL(IF(ISERROR(SEARCH(MID(";"&amp;'CASE DATA'!$F90&amp;";",ROW($1:$99),1),";")),"",ROW($1:$99)),COLUMN(B89)+1)-SMALL(IF(ISERROR(SEARCH(MID(";"&amp;'CASE DATA'!$F90&amp;";",ROW($1:$99),1),";")),"",ROW($1:$99)),COLUMN(B89))-1)</f>
        <v/>
      </c>
      <c r="Y90" s="29" t="str">
        <f t="array" ref="Y90">MID(";"&amp;'CASE DATA'!$F90&amp;";",SMALL(IF(ISERROR(SEARCH(MID(";"&amp;'CASE DATA'!$F90&amp;";",ROW($1:$99),1),";")),"",ROW($1:$99)+1),COLUMN(D90)),SMALL(IF(ISERROR(SEARCH(MID(";"&amp;'CASE DATA'!$F90&amp;";",ROW($1:$99),1),";")),"",ROW($1:$99)),COLUMN(D89)+1)-SMALL(IF(ISERROR(SEARCH(MID(";"&amp;'CASE DATA'!$F90&amp;";",ROW($1:$99),1),";")),"",ROW($1:$99)),COLUMN(D89))-1)</f>
        <v/>
      </c>
      <c r="Z90" s="29" t="str">
        <f t="array" ref="Z90">MID(";"&amp;'CASE DATA'!$F90&amp;";",SMALL(IF(ISERROR(SEARCH(MID(";"&amp;'CASE DATA'!$F90&amp;";",ROW($1:$99),1),";")),"",ROW($1:$99)+1),COLUMN(E90)),SMALL(IF(ISERROR(SEARCH(MID(";"&amp;'CASE DATA'!$F90&amp;";",ROW($1:$99),1),";")),"",ROW($1:$99)),COLUMN(E89)+1)-SMALL(IF(ISERROR(SEARCH(MID(";"&amp;'CASE DATA'!$F90&amp;";",ROW($1:$99),1),";")),"",ROW($1:$99)),COLUMN(E89))-1)</f>
        <v/>
      </c>
      <c r="AA90" s="29" t="str">
        <f t="array" ref="AA90">MID(";"&amp;'CASE DATA'!$F90&amp;";",SMALL(IF(ISERROR(SEARCH(MID(";"&amp;'CASE DATA'!$F90&amp;";",ROW($1:$99),1),";")),"",ROW($1:$99)+1),COLUMN(F90)),SMALL(IF(ISERROR(SEARCH(MID(";"&amp;'CASE DATA'!$F90&amp;";",ROW($1:$99),1),";")),"",ROW($1:$99)),COLUMN(F89)+1)-SMALL(IF(ISERROR(SEARCH(MID(";"&amp;'CASE DATA'!$F90&amp;";",ROW($1:$99),1),";")),"",ROW($1:$99)),COLUMN(F89))-1)</f>
        <v/>
      </c>
      <c r="AB90" s="29" t="str">
        <f t="array" ref="AB90">MID(";"&amp;'CASE DATA'!$F90&amp;";",SMALL(IF(ISERROR(SEARCH(MID(";"&amp;'CASE DATA'!$F90&amp;";",ROW($1:$99),1),";")),"",ROW($1:$99)+1),COLUMN(G90)),SMALL(IF(ISERROR(SEARCH(MID(";"&amp;'CASE DATA'!$F90&amp;";",ROW($1:$99),1),";")),"",ROW($1:$99)),COLUMN(G89)+1)-SMALL(IF(ISERROR(SEARCH(MID(";"&amp;'CASE DATA'!$F90&amp;";",ROW($1:$99),1),";")),"",ROW($1:$99)),COLUMN(G89))-1)</f>
        <v/>
      </c>
      <c r="AC90" s="29" t="str">
        <f t="array" ref="AC90">MID(";"&amp;'CASE DATA'!$F90&amp;";",SMALL(IF(ISERROR(SEARCH(MID(";"&amp;'CASE DATA'!$F90&amp;";",ROW($1:$99),1),";")),"",ROW($1:$99)+1),COLUMN(H90)),SMALL(IF(ISERROR(SEARCH(MID(";"&amp;'CASE DATA'!$F90&amp;";",ROW($1:$99),1),";")),"",ROW($1:$99)),COLUMN(H89)+1)-SMALL(IF(ISERROR(SEARCH(MID(";"&amp;'CASE DATA'!$F90&amp;";",ROW($1:$99),1),";")),"",ROW($1:$99)),COLUMN(H89))-1)</f>
        <v/>
      </c>
      <c r="AD90" s="29" t="str">
        <f t="array" ref="AD90">MID(";"&amp;'CASE DATA'!$F90&amp;";",SMALL(IF(ISERROR(SEARCH(MID(";"&amp;'CASE DATA'!$F90&amp;";",ROW($1:$99),1),";")),"",ROW($1:$99)+1),COLUMN(I90)),SMALL(IF(ISERROR(SEARCH(MID(";"&amp;'CASE DATA'!$F90&amp;";",ROW($1:$99),1),";")),"",ROW($1:$99)),COLUMN(I89)+1)-SMALL(IF(ISERROR(SEARCH(MID(";"&amp;'CASE DATA'!$F90&amp;";",ROW($1:$99),1),";")),"",ROW($1:$99)),COLUMN(I89))-1)</f>
        <v/>
      </c>
      <c r="AE90" s="29" t="str">
        <f t="array" ref="AE90">MID(";"&amp;'CASE DATA'!$F90&amp;";",SMALL(IF(ISERROR(SEARCH(MID(";"&amp;'CASE DATA'!$F90&amp;";",ROW($1:$99),1),";")),"",ROW($1:$99)+1),COLUMN(J90)),SMALL(IF(ISERROR(SEARCH(MID(";"&amp;'CASE DATA'!$F90&amp;";",ROW($1:$99),1),";")),"",ROW($1:$99)),COLUMN(J89)+1)-SMALL(IF(ISERROR(SEARCH(MID(";"&amp;'CASE DATA'!$F90&amp;";",ROW($1:$99),1),";")),"",ROW($1:$99)),COLUMN(J89))-1)</f>
        <v/>
      </c>
      <c r="AF90" s="29" t="str">
        <f t="array" ref="AF90">MID(";"&amp;'CASE DATA'!$F90&amp;";",SMALL(IF(ISERROR(SEARCH(MID(";"&amp;'CASE DATA'!$F90&amp;";",ROW($1:$99),1),";")),"",ROW($1:$99)+1),COLUMN(K90)),SMALL(IF(ISERROR(SEARCH(MID(";"&amp;'CASE DATA'!$F90&amp;";",ROW($1:$99),1),";")),"",ROW($1:$99)),COLUMN(K89)+1)-SMALL(IF(ISERROR(SEARCH(MID(";"&amp;'CASE DATA'!$F90&amp;";",ROW($1:$99),1),";")),"",ROW($1:$99)),COLUMN(K89))-1)</f>
        <v/>
      </c>
      <c r="AG90" s="29" t="str">
        <f t="array" ref="AG90">MID(";"&amp;'CASE DATA'!$F90&amp;";",SMALL(IF(ISERROR(SEARCH(MID(";"&amp;'CASE DATA'!$F90&amp;";",ROW($1:$99),1),";")),"",ROW($1:$99)+1),COLUMN(L90)),SMALL(IF(ISERROR(SEARCH(MID(";"&amp;'CASE DATA'!$F90&amp;";",ROW($1:$99),1),";")),"",ROW($1:$99)),COLUMN(L89)+1)-SMALL(IF(ISERROR(SEARCH(MID(";"&amp;'CASE DATA'!$F90&amp;";",ROW($1:$99),1),";")),"",ROW($1:$99)),COLUMN(L89))-1)</f>
        <v/>
      </c>
      <c r="AH90" s="29"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24"/>
      <c r="D91" s="24"/>
      <c r="E91" s="25"/>
      <c r="F91" s="30"/>
      <c r="J91" s="31"/>
      <c r="K91" s="31"/>
      <c r="L91" s="31"/>
      <c r="M91" s="31"/>
      <c r="N91" s="31"/>
      <c r="O91" s="31"/>
      <c r="P91" s="31"/>
      <c r="Q91" s="31"/>
      <c r="R91" s="31"/>
      <c r="S91" s="31"/>
      <c r="T91" s="28">
        <f t="shared" si="2"/>
        <v>0</v>
      </c>
      <c r="U91" s="28"/>
      <c r="W91" s="29" t="str">
        <f t="array" ref="W91">MID(";"&amp;'CASE DATA'!$F91&amp;";",SMALL(IF(ISERROR(SEARCH(MID(";"&amp;'CASE DATA'!$F91&amp;";",ROW($1:$99),1),";")),"",ROW($1:$99)+1),COLUMN(A91)),SMALL(IF(ISERROR(SEARCH(MID(";"&amp;'CASE DATA'!$F91&amp;";",ROW($1:$99),1),";")),"",ROW($1:$99)),COLUMN(A90)+1)-SMALL(IF(ISERROR(SEARCH(MID(";"&amp;'CASE DATA'!$F91&amp;";",ROW($1:$99),1),";")),"",ROW($1:$99)),COLUMN(A90))-1)</f>
        <v/>
      </c>
      <c r="X91" s="29" t="str">
        <f t="array" ref="X91">MID(";"&amp;'CASE DATA'!$F91&amp;";",SMALL(IF(ISERROR(SEARCH(MID(";"&amp;'CASE DATA'!$F91&amp;";",ROW($1:$99),1),";")),"",ROW($1:$99)+1),COLUMN(B91)),SMALL(IF(ISERROR(SEARCH(MID(";"&amp;'CASE DATA'!$F91&amp;";",ROW($1:$99),1),";")),"",ROW($1:$99)),COLUMN(B90)+1)-SMALL(IF(ISERROR(SEARCH(MID(";"&amp;'CASE DATA'!$F91&amp;";",ROW($1:$99),1),";")),"",ROW($1:$99)),COLUMN(B90))-1)</f>
        <v/>
      </c>
      <c r="Y91" s="29" t="str">
        <f t="array" ref="Y91">MID(";"&amp;'CASE DATA'!$F91&amp;";",SMALL(IF(ISERROR(SEARCH(MID(";"&amp;'CASE DATA'!$F91&amp;";",ROW($1:$99),1),";")),"",ROW($1:$99)+1),COLUMN(D91)),SMALL(IF(ISERROR(SEARCH(MID(";"&amp;'CASE DATA'!$F91&amp;";",ROW($1:$99),1),";")),"",ROW($1:$99)),COLUMN(D90)+1)-SMALL(IF(ISERROR(SEARCH(MID(";"&amp;'CASE DATA'!$F91&amp;";",ROW($1:$99),1),";")),"",ROW($1:$99)),COLUMN(D90))-1)</f>
        <v/>
      </c>
      <c r="Z91" s="29" t="str">
        <f t="array" ref="Z91">MID(";"&amp;'CASE DATA'!$F91&amp;";",SMALL(IF(ISERROR(SEARCH(MID(";"&amp;'CASE DATA'!$F91&amp;";",ROW($1:$99),1),";")),"",ROW($1:$99)+1),COLUMN(E91)),SMALL(IF(ISERROR(SEARCH(MID(";"&amp;'CASE DATA'!$F91&amp;";",ROW($1:$99),1),";")),"",ROW($1:$99)),COLUMN(E90)+1)-SMALL(IF(ISERROR(SEARCH(MID(";"&amp;'CASE DATA'!$F91&amp;";",ROW($1:$99),1),";")),"",ROW($1:$99)),COLUMN(E90))-1)</f>
        <v/>
      </c>
      <c r="AA91" s="29" t="str">
        <f t="array" ref="AA91">MID(";"&amp;'CASE DATA'!$F91&amp;";",SMALL(IF(ISERROR(SEARCH(MID(";"&amp;'CASE DATA'!$F91&amp;";",ROW($1:$99),1),";")),"",ROW($1:$99)+1),COLUMN(F91)),SMALL(IF(ISERROR(SEARCH(MID(";"&amp;'CASE DATA'!$F91&amp;";",ROW($1:$99),1),";")),"",ROW($1:$99)),COLUMN(F90)+1)-SMALL(IF(ISERROR(SEARCH(MID(";"&amp;'CASE DATA'!$F91&amp;";",ROW($1:$99),1),";")),"",ROW($1:$99)),COLUMN(F90))-1)</f>
        <v/>
      </c>
      <c r="AB91" s="29" t="str">
        <f t="array" ref="AB91">MID(";"&amp;'CASE DATA'!$F91&amp;";",SMALL(IF(ISERROR(SEARCH(MID(";"&amp;'CASE DATA'!$F91&amp;";",ROW($1:$99),1),";")),"",ROW($1:$99)+1),COLUMN(G91)),SMALL(IF(ISERROR(SEARCH(MID(";"&amp;'CASE DATA'!$F91&amp;";",ROW($1:$99),1),";")),"",ROW($1:$99)),COLUMN(G90)+1)-SMALL(IF(ISERROR(SEARCH(MID(";"&amp;'CASE DATA'!$F91&amp;";",ROW($1:$99),1),";")),"",ROW($1:$99)),COLUMN(G90))-1)</f>
        <v/>
      </c>
      <c r="AC91" s="29" t="str">
        <f t="array" ref="AC91">MID(";"&amp;'CASE DATA'!$F91&amp;";",SMALL(IF(ISERROR(SEARCH(MID(";"&amp;'CASE DATA'!$F91&amp;";",ROW($1:$99),1),";")),"",ROW($1:$99)+1),COLUMN(H91)),SMALL(IF(ISERROR(SEARCH(MID(";"&amp;'CASE DATA'!$F91&amp;";",ROW($1:$99),1),";")),"",ROW($1:$99)),COLUMN(H90)+1)-SMALL(IF(ISERROR(SEARCH(MID(";"&amp;'CASE DATA'!$F91&amp;";",ROW($1:$99),1),";")),"",ROW($1:$99)),COLUMN(H90))-1)</f>
        <v/>
      </c>
      <c r="AD91" s="29" t="str">
        <f t="array" ref="AD91">MID(";"&amp;'CASE DATA'!$F91&amp;";",SMALL(IF(ISERROR(SEARCH(MID(";"&amp;'CASE DATA'!$F91&amp;";",ROW($1:$99),1),";")),"",ROW($1:$99)+1),COLUMN(I91)),SMALL(IF(ISERROR(SEARCH(MID(";"&amp;'CASE DATA'!$F91&amp;";",ROW($1:$99),1),";")),"",ROW($1:$99)),COLUMN(I90)+1)-SMALL(IF(ISERROR(SEARCH(MID(";"&amp;'CASE DATA'!$F91&amp;";",ROW($1:$99),1),";")),"",ROW($1:$99)),COLUMN(I90))-1)</f>
        <v/>
      </c>
      <c r="AE91" s="29" t="str">
        <f t="array" ref="AE91">MID(";"&amp;'CASE DATA'!$F91&amp;";",SMALL(IF(ISERROR(SEARCH(MID(";"&amp;'CASE DATA'!$F91&amp;";",ROW($1:$99),1),";")),"",ROW($1:$99)+1),COLUMN(J91)),SMALL(IF(ISERROR(SEARCH(MID(";"&amp;'CASE DATA'!$F91&amp;";",ROW($1:$99),1),";")),"",ROW($1:$99)),COLUMN(J90)+1)-SMALL(IF(ISERROR(SEARCH(MID(";"&amp;'CASE DATA'!$F91&amp;";",ROW($1:$99),1),";")),"",ROW($1:$99)),COLUMN(J90))-1)</f>
        <v/>
      </c>
      <c r="AF91" s="29" t="str">
        <f t="array" ref="AF91">MID(";"&amp;'CASE DATA'!$F91&amp;";",SMALL(IF(ISERROR(SEARCH(MID(";"&amp;'CASE DATA'!$F91&amp;";",ROW($1:$99),1),";")),"",ROW($1:$99)+1),COLUMN(K91)),SMALL(IF(ISERROR(SEARCH(MID(";"&amp;'CASE DATA'!$F91&amp;";",ROW($1:$99),1),";")),"",ROW($1:$99)),COLUMN(K90)+1)-SMALL(IF(ISERROR(SEARCH(MID(";"&amp;'CASE DATA'!$F91&amp;";",ROW($1:$99),1),";")),"",ROW($1:$99)),COLUMN(K90))-1)</f>
        <v/>
      </c>
      <c r="AG91" s="29" t="str">
        <f t="array" ref="AG91">MID(";"&amp;'CASE DATA'!$F91&amp;";",SMALL(IF(ISERROR(SEARCH(MID(";"&amp;'CASE DATA'!$F91&amp;";",ROW($1:$99),1),";")),"",ROW($1:$99)+1),COLUMN(L91)),SMALL(IF(ISERROR(SEARCH(MID(";"&amp;'CASE DATA'!$F91&amp;";",ROW($1:$99),1),";")),"",ROW($1:$99)),COLUMN(L90)+1)-SMALL(IF(ISERROR(SEARCH(MID(";"&amp;'CASE DATA'!$F91&amp;";",ROW($1:$99),1),";")),"",ROW($1:$99)),COLUMN(L90))-1)</f>
        <v/>
      </c>
      <c r="AH91" s="29"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24"/>
      <c r="D92" s="24"/>
      <c r="E92" s="25"/>
      <c r="F92" s="30"/>
      <c r="J92" s="31"/>
      <c r="K92" s="31"/>
      <c r="L92" s="31"/>
      <c r="M92" s="31"/>
      <c r="N92" s="31"/>
      <c r="O92" s="31"/>
      <c r="P92" s="31"/>
      <c r="Q92" s="31"/>
      <c r="R92" s="31"/>
      <c r="S92" s="31"/>
      <c r="T92" s="28">
        <f t="shared" si="2"/>
        <v>0</v>
      </c>
      <c r="U92" s="28"/>
      <c r="W92" s="29" t="str">
        <f t="array" ref="W92">MID(";"&amp;'CASE DATA'!$F92&amp;";",SMALL(IF(ISERROR(SEARCH(MID(";"&amp;'CASE DATA'!$F92&amp;";",ROW($1:$99),1),";")),"",ROW($1:$99)+1),COLUMN(A92)),SMALL(IF(ISERROR(SEARCH(MID(";"&amp;'CASE DATA'!$F92&amp;";",ROW($1:$99),1),";")),"",ROW($1:$99)),COLUMN(A91)+1)-SMALL(IF(ISERROR(SEARCH(MID(";"&amp;'CASE DATA'!$F92&amp;";",ROW($1:$99),1),";")),"",ROW($1:$99)),COLUMN(A91))-1)</f>
        <v/>
      </c>
      <c r="X92" s="29" t="str">
        <f t="array" ref="X92">MID(";"&amp;'CASE DATA'!$F92&amp;";",SMALL(IF(ISERROR(SEARCH(MID(";"&amp;'CASE DATA'!$F92&amp;";",ROW($1:$99),1),";")),"",ROW($1:$99)+1),COLUMN(B92)),SMALL(IF(ISERROR(SEARCH(MID(";"&amp;'CASE DATA'!$F92&amp;";",ROW($1:$99),1),";")),"",ROW($1:$99)),COLUMN(B91)+1)-SMALL(IF(ISERROR(SEARCH(MID(";"&amp;'CASE DATA'!$F92&amp;";",ROW($1:$99),1),";")),"",ROW($1:$99)),COLUMN(B91))-1)</f>
        <v/>
      </c>
      <c r="Y92" s="29" t="str">
        <f t="array" ref="Y92">MID(";"&amp;'CASE DATA'!$F92&amp;";",SMALL(IF(ISERROR(SEARCH(MID(";"&amp;'CASE DATA'!$F92&amp;";",ROW($1:$99),1),";")),"",ROW($1:$99)+1),COLUMN(D92)),SMALL(IF(ISERROR(SEARCH(MID(";"&amp;'CASE DATA'!$F92&amp;";",ROW($1:$99),1),";")),"",ROW($1:$99)),COLUMN(D91)+1)-SMALL(IF(ISERROR(SEARCH(MID(";"&amp;'CASE DATA'!$F92&amp;";",ROW($1:$99),1),";")),"",ROW($1:$99)),COLUMN(D91))-1)</f>
        <v/>
      </c>
      <c r="Z92" s="29" t="str">
        <f t="array" ref="Z92">MID(";"&amp;'CASE DATA'!$F92&amp;";",SMALL(IF(ISERROR(SEARCH(MID(";"&amp;'CASE DATA'!$F92&amp;";",ROW($1:$99),1),";")),"",ROW($1:$99)+1),COLUMN(E92)),SMALL(IF(ISERROR(SEARCH(MID(";"&amp;'CASE DATA'!$F92&amp;";",ROW($1:$99),1),";")),"",ROW($1:$99)),COLUMN(E91)+1)-SMALL(IF(ISERROR(SEARCH(MID(";"&amp;'CASE DATA'!$F92&amp;";",ROW($1:$99),1),";")),"",ROW($1:$99)),COLUMN(E91))-1)</f>
        <v/>
      </c>
      <c r="AA92" s="29" t="str">
        <f t="array" ref="AA92">MID(";"&amp;'CASE DATA'!$F92&amp;";",SMALL(IF(ISERROR(SEARCH(MID(";"&amp;'CASE DATA'!$F92&amp;";",ROW($1:$99),1),";")),"",ROW($1:$99)+1),COLUMN(F92)),SMALL(IF(ISERROR(SEARCH(MID(";"&amp;'CASE DATA'!$F92&amp;";",ROW($1:$99),1),";")),"",ROW($1:$99)),COLUMN(F91)+1)-SMALL(IF(ISERROR(SEARCH(MID(";"&amp;'CASE DATA'!$F92&amp;";",ROW($1:$99),1),";")),"",ROW($1:$99)),COLUMN(F91))-1)</f>
        <v/>
      </c>
      <c r="AB92" s="29" t="str">
        <f t="array" ref="AB92">MID(";"&amp;'CASE DATA'!$F92&amp;";",SMALL(IF(ISERROR(SEARCH(MID(";"&amp;'CASE DATA'!$F92&amp;";",ROW($1:$99),1),";")),"",ROW($1:$99)+1),COLUMN(G92)),SMALL(IF(ISERROR(SEARCH(MID(";"&amp;'CASE DATA'!$F92&amp;";",ROW($1:$99),1),";")),"",ROW($1:$99)),COLUMN(G91)+1)-SMALL(IF(ISERROR(SEARCH(MID(";"&amp;'CASE DATA'!$F92&amp;";",ROW($1:$99),1),";")),"",ROW($1:$99)),COLUMN(G91))-1)</f>
        <v/>
      </c>
      <c r="AC92" s="29" t="str">
        <f t="array" ref="AC92">MID(";"&amp;'CASE DATA'!$F92&amp;";",SMALL(IF(ISERROR(SEARCH(MID(";"&amp;'CASE DATA'!$F92&amp;";",ROW($1:$99),1),";")),"",ROW($1:$99)+1),COLUMN(H92)),SMALL(IF(ISERROR(SEARCH(MID(";"&amp;'CASE DATA'!$F92&amp;";",ROW($1:$99),1),";")),"",ROW($1:$99)),COLUMN(H91)+1)-SMALL(IF(ISERROR(SEARCH(MID(";"&amp;'CASE DATA'!$F92&amp;";",ROW($1:$99),1),";")),"",ROW($1:$99)),COLUMN(H91))-1)</f>
        <v/>
      </c>
      <c r="AD92" s="29" t="str">
        <f t="array" ref="AD92">MID(";"&amp;'CASE DATA'!$F92&amp;";",SMALL(IF(ISERROR(SEARCH(MID(";"&amp;'CASE DATA'!$F92&amp;";",ROW($1:$99),1),";")),"",ROW($1:$99)+1),COLUMN(I92)),SMALL(IF(ISERROR(SEARCH(MID(";"&amp;'CASE DATA'!$F92&amp;";",ROW($1:$99),1),";")),"",ROW($1:$99)),COLUMN(I91)+1)-SMALL(IF(ISERROR(SEARCH(MID(";"&amp;'CASE DATA'!$F92&amp;";",ROW($1:$99),1),";")),"",ROW($1:$99)),COLUMN(I91))-1)</f>
        <v/>
      </c>
      <c r="AE92" s="29" t="str">
        <f t="array" ref="AE92">MID(";"&amp;'CASE DATA'!$F92&amp;";",SMALL(IF(ISERROR(SEARCH(MID(";"&amp;'CASE DATA'!$F92&amp;";",ROW($1:$99),1),";")),"",ROW($1:$99)+1),COLUMN(J92)),SMALL(IF(ISERROR(SEARCH(MID(";"&amp;'CASE DATA'!$F92&amp;";",ROW($1:$99),1),";")),"",ROW($1:$99)),COLUMN(J91)+1)-SMALL(IF(ISERROR(SEARCH(MID(";"&amp;'CASE DATA'!$F92&amp;";",ROW($1:$99),1),";")),"",ROW($1:$99)),COLUMN(J91))-1)</f>
        <v/>
      </c>
      <c r="AF92" s="29" t="str">
        <f t="array" ref="AF92">MID(";"&amp;'CASE DATA'!$F92&amp;";",SMALL(IF(ISERROR(SEARCH(MID(";"&amp;'CASE DATA'!$F92&amp;";",ROW($1:$99),1),";")),"",ROW($1:$99)+1),COLUMN(K92)),SMALL(IF(ISERROR(SEARCH(MID(";"&amp;'CASE DATA'!$F92&amp;";",ROW($1:$99),1),";")),"",ROW($1:$99)),COLUMN(K91)+1)-SMALL(IF(ISERROR(SEARCH(MID(";"&amp;'CASE DATA'!$F92&amp;";",ROW($1:$99),1),";")),"",ROW($1:$99)),COLUMN(K91))-1)</f>
        <v/>
      </c>
      <c r="AG92" s="29" t="str">
        <f t="array" ref="AG92">MID(";"&amp;'CASE DATA'!$F92&amp;";",SMALL(IF(ISERROR(SEARCH(MID(";"&amp;'CASE DATA'!$F92&amp;";",ROW($1:$99),1),";")),"",ROW($1:$99)+1),COLUMN(L92)),SMALL(IF(ISERROR(SEARCH(MID(";"&amp;'CASE DATA'!$F92&amp;";",ROW($1:$99),1),";")),"",ROW($1:$99)),COLUMN(L91)+1)-SMALL(IF(ISERROR(SEARCH(MID(";"&amp;'CASE DATA'!$F92&amp;";",ROW($1:$99),1),";")),"",ROW($1:$99)),COLUMN(L91))-1)</f>
        <v/>
      </c>
      <c r="AH92" s="29"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24"/>
      <c r="D93" s="24"/>
      <c r="E93" s="25"/>
      <c r="F93" s="30"/>
      <c r="J93" s="31"/>
      <c r="K93" s="31"/>
      <c r="L93" s="31"/>
      <c r="M93" s="31"/>
      <c r="N93" s="31"/>
      <c r="O93" s="31"/>
      <c r="P93" s="31"/>
      <c r="Q93" s="31"/>
      <c r="R93" s="31"/>
      <c r="S93" s="31"/>
      <c r="T93" s="28">
        <f t="shared" si="2"/>
        <v>0</v>
      </c>
      <c r="U93" s="28"/>
      <c r="W93" s="29" t="str">
        <f t="array" ref="W93">MID(";"&amp;'CASE DATA'!$F93&amp;";",SMALL(IF(ISERROR(SEARCH(MID(";"&amp;'CASE DATA'!$F93&amp;";",ROW($1:$99),1),";")),"",ROW($1:$99)+1),COLUMN(A93)),SMALL(IF(ISERROR(SEARCH(MID(";"&amp;'CASE DATA'!$F93&amp;";",ROW($1:$99),1),";")),"",ROW($1:$99)),COLUMN(A92)+1)-SMALL(IF(ISERROR(SEARCH(MID(";"&amp;'CASE DATA'!$F93&amp;";",ROW($1:$99),1),";")),"",ROW($1:$99)),COLUMN(A92))-1)</f>
        <v/>
      </c>
      <c r="X93" s="29" t="str">
        <f t="array" ref="X93">MID(";"&amp;'CASE DATA'!$F93&amp;";",SMALL(IF(ISERROR(SEARCH(MID(";"&amp;'CASE DATA'!$F93&amp;";",ROW($1:$99),1),";")),"",ROW($1:$99)+1),COLUMN(B93)),SMALL(IF(ISERROR(SEARCH(MID(";"&amp;'CASE DATA'!$F93&amp;";",ROW($1:$99),1),";")),"",ROW($1:$99)),COLUMN(B92)+1)-SMALL(IF(ISERROR(SEARCH(MID(";"&amp;'CASE DATA'!$F93&amp;";",ROW($1:$99),1),";")),"",ROW($1:$99)),COLUMN(B92))-1)</f>
        <v/>
      </c>
      <c r="Y93" s="29" t="str">
        <f t="array" ref="Y93">MID(";"&amp;'CASE DATA'!$F93&amp;";",SMALL(IF(ISERROR(SEARCH(MID(";"&amp;'CASE DATA'!$F93&amp;";",ROW($1:$99),1),";")),"",ROW($1:$99)+1),COLUMN(D93)),SMALL(IF(ISERROR(SEARCH(MID(";"&amp;'CASE DATA'!$F93&amp;";",ROW($1:$99),1),";")),"",ROW($1:$99)),COLUMN(D92)+1)-SMALL(IF(ISERROR(SEARCH(MID(";"&amp;'CASE DATA'!$F93&amp;";",ROW($1:$99),1),";")),"",ROW($1:$99)),COLUMN(D92))-1)</f>
        <v/>
      </c>
      <c r="Z93" s="29" t="str">
        <f t="array" ref="Z93">MID(";"&amp;'CASE DATA'!$F93&amp;";",SMALL(IF(ISERROR(SEARCH(MID(";"&amp;'CASE DATA'!$F93&amp;";",ROW($1:$99),1),";")),"",ROW($1:$99)+1),COLUMN(E93)),SMALL(IF(ISERROR(SEARCH(MID(";"&amp;'CASE DATA'!$F93&amp;";",ROW($1:$99),1),";")),"",ROW($1:$99)),COLUMN(E92)+1)-SMALL(IF(ISERROR(SEARCH(MID(";"&amp;'CASE DATA'!$F93&amp;";",ROW($1:$99),1),";")),"",ROW($1:$99)),COLUMN(E92))-1)</f>
        <v/>
      </c>
      <c r="AA93" s="29" t="str">
        <f t="array" ref="AA93">MID(";"&amp;'CASE DATA'!$F93&amp;";",SMALL(IF(ISERROR(SEARCH(MID(";"&amp;'CASE DATA'!$F93&amp;";",ROW($1:$99),1),";")),"",ROW($1:$99)+1),COLUMN(F93)),SMALL(IF(ISERROR(SEARCH(MID(";"&amp;'CASE DATA'!$F93&amp;";",ROW($1:$99),1),";")),"",ROW($1:$99)),COLUMN(F92)+1)-SMALL(IF(ISERROR(SEARCH(MID(";"&amp;'CASE DATA'!$F93&amp;";",ROW($1:$99),1),";")),"",ROW($1:$99)),COLUMN(F92))-1)</f>
        <v/>
      </c>
      <c r="AB93" s="29" t="str">
        <f t="array" ref="AB93">MID(";"&amp;'CASE DATA'!$F93&amp;";",SMALL(IF(ISERROR(SEARCH(MID(";"&amp;'CASE DATA'!$F93&amp;";",ROW($1:$99),1),";")),"",ROW($1:$99)+1),COLUMN(G93)),SMALL(IF(ISERROR(SEARCH(MID(";"&amp;'CASE DATA'!$F93&amp;";",ROW($1:$99),1),";")),"",ROW($1:$99)),COLUMN(G92)+1)-SMALL(IF(ISERROR(SEARCH(MID(";"&amp;'CASE DATA'!$F93&amp;";",ROW($1:$99),1),";")),"",ROW($1:$99)),COLUMN(G92))-1)</f>
        <v/>
      </c>
      <c r="AC93" s="29" t="str">
        <f t="array" ref="AC93">MID(";"&amp;'CASE DATA'!$F93&amp;";",SMALL(IF(ISERROR(SEARCH(MID(";"&amp;'CASE DATA'!$F93&amp;";",ROW($1:$99),1),";")),"",ROW($1:$99)+1),COLUMN(H93)),SMALL(IF(ISERROR(SEARCH(MID(";"&amp;'CASE DATA'!$F93&amp;";",ROW($1:$99),1),";")),"",ROW($1:$99)),COLUMN(H92)+1)-SMALL(IF(ISERROR(SEARCH(MID(";"&amp;'CASE DATA'!$F93&amp;";",ROW($1:$99),1),";")),"",ROW($1:$99)),COLUMN(H92))-1)</f>
        <v/>
      </c>
      <c r="AD93" s="29" t="str">
        <f t="array" ref="AD93">MID(";"&amp;'CASE DATA'!$F93&amp;";",SMALL(IF(ISERROR(SEARCH(MID(";"&amp;'CASE DATA'!$F93&amp;";",ROW($1:$99),1),";")),"",ROW($1:$99)+1),COLUMN(I93)),SMALL(IF(ISERROR(SEARCH(MID(";"&amp;'CASE DATA'!$F93&amp;";",ROW($1:$99),1),";")),"",ROW($1:$99)),COLUMN(I92)+1)-SMALL(IF(ISERROR(SEARCH(MID(";"&amp;'CASE DATA'!$F93&amp;";",ROW($1:$99),1),";")),"",ROW($1:$99)),COLUMN(I92))-1)</f>
        <v/>
      </c>
      <c r="AE93" s="29" t="str">
        <f t="array" ref="AE93">MID(";"&amp;'CASE DATA'!$F93&amp;";",SMALL(IF(ISERROR(SEARCH(MID(";"&amp;'CASE DATA'!$F93&amp;";",ROW($1:$99),1),";")),"",ROW($1:$99)+1),COLUMN(J93)),SMALL(IF(ISERROR(SEARCH(MID(";"&amp;'CASE DATA'!$F93&amp;";",ROW($1:$99),1),";")),"",ROW($1:$99)),COLUMN(J92)+1)-SMALL(IF(ISERROR(SEARCH(MID(";"&amp;'CASE DATA'!$F93&amp;";",ROW($1:$99),1),";")),"",ROW($1:$99)),COLUMN(J92))-1)</f>
        <v/>
      </c>
      <c r="AF93" s="29" t="str">
        <f t="array" ref="AF93">MID(";"&amp;'CASE DATA'!$F93&amp;";",SMALL(IF(ISERROR(SEARCH(MID(";"&amp;'CASE DATA'!$F93&amp;";",ROW($1:$99),1),";")),"",ROW($1:$99)+1),COLUMN(K93)),SMALL(IF(ISERROR(SEARCH(MID(";"&amp;'CASE DATA'!$F93&amp;";",ROW($1:$99),1),";")),"",ROW($1:$99)),COLUMN(K92)+1)-SMALL(IF(ISERROR(SEARCH(MID(";"&amp;'CASE DATA'!$F93&amp;";",ROW($1:$99),1),";")),"",ROW($1:$99)),COLUMN(K92))-1)</f>
        <v/>
      </c>
      <c r="AG93" s="29" t="str">
        <f t="array" ref="AG93">MID(";"&amp;'CASE DATA'!$F93&amp;";",SMALL(IF(ISERROR(SEARCH(MID(";"&amp;'CASE DATA'!$F93&amp;";",ROW($1:$99),1),";")),"",ROW($1:$99)+1),COLUMN(L93)),SMALL(IF(ISERROR(SEARCH(MID(";"&amp;'CASE DATA'!$F93&amp;";",ROW($1:$99),1),";")),"",ROW($1:$99)),COLUMN(L92)+1)-SMALL(IF(ISERROR(SEARCH(MID(";"&amp;'CASE DATA'!$F93&amp;";",ROW($1:$99),1),";")),"",ROW($1:$99)),COLUMN(L92))-1)</f>
        <v/>
      </c>
      <c r="AH93" s="29"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24"/>
      <c r="D94" s="24"/>
      <c r="E94" s="25"/>
      <c r="F94" s="30"/>
      <c r="J94" s="31"/>
      <c r="K94" s="31"/>
      <c r="L94" s="31"/>
      <c r="M94" s="31"/>
      <c r="N94" s="31"/>
      <c r="O94" s="31"/>
      <c r="P94" s="31"/>
      <c r="Q94" s="31"/>
      <c r="R94" s="31"/>
      <c r="S94" s="31"/>
      <c r="T94" s="28">
        <f t="shared" si="2"/>
        <v>0</v>
      </c>
      <c r="U94" s="28"/>
      <c r="W94" s="29" t="str">
        <f t="array" ref="W94">MID(";"&amp;'CASE DATA'!$F94&amp;";",SMALL(IF(ISERROR(SEARCH(MID(";"&amp;'CASE DATA'!$F94&amp;";",ROW($1:$99),1),";")),"",ROW($1:$99)+1),COLUMN(A94)),SMALL(IF(ISERROR(SEARCH(MID(";"&amp;'CASE DATA'!$F94&amp;";",ROW($1:$99),1),";")),"",ROW($1:$99)),COLUMN(A93)+1)-SMALL(IF(ISERROR(SEARCH(MID(";"&amp;'CASE DATA'!$F94&amp;";",ROW($1:$99),1),";")),"",ROW($1:$99)),COLUMN(A93))-1)</f>
        <v/>
      </c>
      <c r="X94" s="29" t="str">
        <f t="array" ref="X94">MID(";"&amp;'CASE DATA'!$F94&amp;";",SMALL(IF(ISERROR(SEARCH(MID(";"&amp;'CASE DATA'!$F94&amp;";",ROW($1:$99),1),";")),"",ROW($1:$99)+1),COLUMN(B94)),SMALL(IF(ISERROR(SEARCH(MID(";"&amp;'CASE DATA'!$F94&amp;";",ROW($1:$99),1),";")),"",ROW($1:$99)),COLUMN(B93)+1)-SMALL(IF(ISERROR(SEARCH(MID(";"&amp;'CASE DATA'!$F94&amp;";",ROW($1:$99),1),";")),"",ROW($1:$99)),COLUMN(B93))-1)</f>
        <v/>
      </c>
      <c r="Y94" s="29" t="str">
        <f t="array" ref="Y94">MID(";"&amp;'CASE DATA'!$F94&amp;";",SMALL(IF(ISERROR(SEARCH(MID(";"&amp;'CASE DATA'!$F94&amp;";",ROW($1:$99),1),";")),"",ROW($1:$99)+1),COLUMN(D94)),SMALL(IF(ISERROR(SEARCH(MID(";"&amp;'CASE DATA'!$F94&amp;";",ROW($1:$99),1),";")),"",ROW($1:$99)),COLUMN(D93)+1)-SMALL(IF(ISERROR(SEARCH(MID(";"&amp;'CASE DATA'!$F94&amp;";",ROW($1:$99),1),";")),"",ROW($1:$99)),COLUMN(D93))-1)</f>
        <v/>
      </c>
      <c r="Z94" s="29" t="str">
        <f t="array" ref="Z94">MID(";"&amp;'CASE DATA'!$F94&amp;";",SMALL(IF(ISERROR(SEARCH(MID(";"&amp;'CASE DATA'!$F94&amp;";",ROW($1:$99),1),";")),"",ROW($1:$99)+1),COLUMN(E94)),SMALL(IF(ISERROR(SEARCH(MID(";"&amp;'CASE DATA'!$F94&amp;";",ROW($1:$99),1),";")),"",ROW($1:$99)),COLUMN(E93)+1)-SMALL(IF(ISERROR(SEARCH(MID(";"&amp;'CASE DATA'!$F94&amp;";",ROW($1:$99),1),";")),"",ROW($1:$99)),COLUMN(E93))-1)</f>
        <v/>
      </c>
      <c r="AA94" s="29" t="str">
        <f t="array" ref="AA94">MID(";"&amp;'CASE DATA'!$F94&amp;";",SMALL(IF(ISERROR(SEARCH(MID(";"&amp;'CASE DATA'!$F94&amp;";",ROW($1:$99),1),";")),"",ROW($1:$99)+1),COLUMN(F94)),SMALL(IF(ISERROR(SEARCH(MID(";"&amp;'CASE DATA'!$F94&amp;";",ROW($1:$99),1),";")),"",ROW($1:$99)),COLUMN(F93)+1)-SMALL(IF(ISERROR(SEARCH(MID(";"&amp;'CASE DATA'!$F94&amp;";",ROW($1:$99),1),";")),"",ROW($1:$99)),COLUMN(F93))-1)</f>
        <v/>
      </c>
      <c r="AB94" s="29" t="str">
        <f t="array" ref="AB94">MID(";"&amp;'CASE DATA'!$F94&amp;";",SMALL(IF(ISERROR(SEARCH(MID(";"&amp;'CASE DATA'!$F94&amp;";",ROW($1:$99),1),";")),"",ROW($1:$99)+1),COLUMN(G94)),SMALL(IF(ISERROR(SEARCH(MID(";"&amp;'CASE DATA'!$F94&amp;";",ROW($1:$99),1),";")),"",ROW($1:$99)),COLUMN(G93)+1)-SMALL(IF(ISERROR(SEARCH(MID(";"&amp;'CASE DATA'!$F94&amp;";",ROW($1:$99),1),";")),"",ROW($1:$99)),COLUMN(G93))-1)</f>
        <v/>
      </c>
      <c r="AC94" s="29" t="str">
        <f t="array" ref="AC94">MID(";"&amp;'CASE DATA'!$F94&amp;";",SMALL(IF(ISERROR(SEARCH(MID(";"&amp;'CASE DATA'!$F94&amp;";",ROW($1:$99),1),";")),"",ROW($1:$99)+1),COLUMN(H94)),SMALL(IF(ISERROR(SEARCH(MID(";"&amp;'CASE DATA'!$F94&amp;";",ROW($1:$99),1),";")),"",ROW($1:$99)),COLUMN(H93)+1)-SMALL(IF(ISERROR(SEARCH(MID(";"&amp;'CASE DATA'!$F94&amp;";",ROW($1:$99),1),";")),"",ROW($1:$99)),COLUMN(H93))-1)</f>
        <v/>
      </c>
      <c r="AD94" s="29" t="str">
        <f t="array" ref="AD94">MID(";"&amp;'CASE DATA'!$F94&amp;";",SMALL(IF(ISERROR(SEARCH(MID(";"&amp;'CASE DATA'!$F94&amp;";",ROW($1:$99),1),";")),"",ROW($1:$99)+1),COLUMN(I94)),SMALL(IF(ISERROR(SEARCH(MID(";"&amp;'CASE DATA'!$F94&amp;";",ROW($1:$99),1),";")),"",ROW($1:$99)),COLUMN(I93)+1)-SMALL(IF(ISERROR(SEARCH(MID(";"&amp;'CASE DATA'!$F94&amp;";",ROW($1:$99),1),";")),"",ROW($1:$99)),COLUMN(I93))-1)</f>
        <v/>
      </c>
      <c r="AE94" s="29" t="str">
        <f t="array" ref="AE94">MID(";"&amp;'CASE DATA'!$F94&amp;";",SMALL(IF(ISERROR(SEARCH(MID(";"&amp;'CASE DATA'!$F94&amp;";",ROW($1:$99),1),";")),"",ROW($1:$99)+1),COLUMN(J94)),SMALL(IF(ISERROR(SEARCH(MID(";"&amp;'CASE DATA'!$F94&amp;";",ROW($1:$99),1),";")),"",ROW($1:$99)),COLUMN(J93)+1)-SMALL(IF(ISERROR(SEARCH(MID(";"&amp;'CASE DATA'!$F94&amp;";",ROW($1:$99),1),";")),"",ROW($1:$99)),COLUMN(J93))-1)</f>
        <v/>
      </c>
      <c r="AF94" s="29" t="str">
        <f t="array" ref="AF94">MID(";"&amp;'CASE DATA'!$F94&amp;";",SMALL(IF(ISERROR(SEARCH(MID(";"&amp;'CASE DATA'!$F94&amp;";",ROW($1:$99),1),";")),"",ROW($1:$99)+1),COLUMN(K94)),SMALL(IF(ISERROR(SEARCH(MID(";"&amp;'CASE DATA'!$F94&amp;";",ROW($1:$99),1),";")),"",ROW($1:$99)),COLUMN(K93)+1)-SMALL(IF(ISERROR(SEARCH(MID(";"&amp;'CASE DATA'!$F94&amp;";",ROW($1:$99),1),";")),"",ROW($1:$99)),COLUMN(K93))-1)</f>
        <v/>
      </c>
      <c r="AG94" s="29" t="str">
        <f t="array" ref="AG94">MID(";"&amp;'CASE DATA'!$F94&amp;";",SMALL(IF(ISERROR(SEARCH(MID(";"&amp;'CASE DATA'!$F94&amp;";",ROW($1:$99),1),";")),"",ROW($1:$99)+1),COLUMN(L94)),SMALL(IF(ISERROR(SEARCH(MID(";"&amp;'CASE DATA'!$F94&amp;";",ROW($1:$99),1),";")),"",ROW($1:$99)),COLUMN(L93)+1)-SMALL(IF(ISERROR(SEARCH(MID(";"&amp;'CASE DATA'!$F94&amp;";",ROW($1:$99),1),";")),"",ROW($1:$99)),COLUMN(L93))-1)</f>
        <v/>
      </c>
      <c r="AH94" s="29"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24"/>
      <c r="D95" s="24"/>
      <c r="E95" s="25"/>
      <c r="F95" s="30"/>
      <c r="J95" s="31"/>
      <c r="K95" s="31"/>
      <c r="L95" s="31"/>
      <c r="M95" s="31"/>
      <c r="N95" s="31"/>
      <c r="O95" s="31"/>
      <c r="P95" s="31"/>
      <c r="Q95" s="31"/>
      <c r="R95" s="31"/>
      <c r="S95" s="31"/>
      <c r="T95" s="28">
        <f t="shared" si="2"/>
        <v>0</v>
      </c>
      <c r="U95" s="28"/>
      <c r="W95" s="29" t="str">
        <f t="array" ref="W95">MID(";"&amp;'CASE DATA'!$F95&amp;";",SMALL(IF(ISERROR(SEARCH(MID(";"&amp;'CASE DATA'!$F95&amp;";",ROW($1:$99),1),";")),"",ROW($1:$99)+1),COLUMN(A95)),SMALL(IF(ISERROR(SEARCH(MID(";"&amp;'CASE DATA'!$F95&amp;";",ROW($1:$99),1),";")),"",ROW($1:$99)),COLUMN(A94)+1)-SMALL(IF(ISERROR(SEARCH(MID(";"&amp;'CASE DATA'!$F95&amp;";",ROW($1:$99),1),";")),"",ROW($1:$99)),COLUMN(A94))-1)</f>
        <v/>
      </c>
      <c r="X95" s="29" t="str">
        <f t="array" ref="X95">MID(";"&amp;'CASE DATA'!$F95&amp;";",SMALL(IF(ISERROR(SEARCH(MID(";"&amp;'CASE DATA'!$F95&amp;";",ROW($1:$99),1),";")),"",ROW($1:$99)+1),COLUMN(B95)),SMALL(IF(ISERROR(SEARCH(MID(";"&amp;'CASE DATA'!$F95&amp;";",ROW($1:$99),1),";")),"",ROW($1:$99)),COLUMN(B94)+1)-SMALL(IF(ISERROR(SEARCH(MID(";"&amp;'CASE DATA'!$F95&amp;";",ROW($1:$99),1),";")),"",ROW($1:$99)),COLUMN(B94))-1)</f>
        <v/>
      </c>
      <c r="Y95" s="29" t="str">
        <f t="array" ref="Y95">MID(";"&amp;'CASE DATA'!$F95&amp;";",SMALL(IF(ISERROR(SEARCH(MID(";"&amp;'CASE DATA'!$F95&amp;";",ROW($1:$99),1),";")),"",ROW($1:$99)+1),COLUMN(D95)),SMALL(IF(ISERROR(SEARCH(MID(";"&amp;'CASE DATA'!$F95&amp;";",ROW($1:$99),1),";")),"",ROW($1:$99)),COLUMN(D94)+1)-SMALL(IF(ISERROR(SEARCH(MID(";"&amp;'CASE DATA'!$F95&amp;";",ROW($1:$99),1),";")),"",ROW($1:$99)),COLUMN(D94))-1)</f>
        <v/>
      </c>
      <c r="Z95" s="29" t="str">
        <f t="array" ref="Z95">MID(";"&amp;'CASE DATA'!$F95&amp;";",SMALL(IF(ISERROR(SEARCH(MID(";"&amp;'CASE DATA'!$F95&amp;";",ROW($1:$99),1),";")),"",ROW($1:$99)+1),COLUMN(E95)),SMALL(IF(ISERROR(SEARCH(MID(";"&amp;'CASE DATA'!$F95&amp;";",ROW($1:$99),1),";")),"",ROW($1:$99)),COLUMN(E94)+1)-SMALL(IF(ISERROR(SEARCH(MID(";"&amp;'CASE DATA'!$F95&amp;";",ROW($1:$99),1),";")),"",ROW($1:$99)),COLUMN(E94))-1)</f>
        <v/>
      </c>
      <c r="AA95" s="29" t="str">
        <f t="array" ref="AA95">MID(";"&amp;'CASE DATA'!$F95&amp;";",SMALL(IF(ISERROR(SEARCH(MID(";"&amp;'CASE DATA'!$F95&amp;";",ROW($1:$99),1),";")),"",ROW($1:$99)+1),COLUMN(F95)),SMALL(IF(ISERROR(SEARCH(MID(";"&amp;'CASE DATA'!$F95&amp;";",ROW($1:$99),1),";")),"",ROW($1:$99)),COLUMN(F94)+1)-SMALL(IF(ISERROR(SEARCH(MID(";"&amp;'CASE DATA'!$F95&amp;";",ROW($1:$99),1),";")),"",ROW($1:$99)),COLUMN(F94))-1)</f>
        <v/>
      </c>
      <c r="AB95" s="29" t="str">
        <f t="array" ref="AB95">MID(";"&amp;'CASE DATA'!$F95&amp;";",SMALL(IF(ISERROR(SEARCH(MID(";"&amp;'CASE DATA'!$F95&amp;";",ROW($1:$99),1),";")),"",ROW($1:$99)+1),COLUMN(G95)),SMALL(IF(ISERROR(SEARCH(MID(";"&amp;'CASE DATA'!$F95&amp;";",ROW($1:$99),1),";")),"",ROW($1:$99)),COLUMN(G94)+1)-SMALL(IF(ISERROR(SEARCH(MID(";"&amp;'CASE DATA'!$F95&amp;";",ROW($1:$99),1),";")),"",ROW($1:$99)),COLUMN(G94))-1)</f>
        <v/>
      </c>
      <c r="AC95" s="29" t="str">
        <f t="array" ref="AC95">MID(";"&amp;'CASE DATA'!$F95&amp;";",SMALL(IF(ISERROR(SEARCH(MID(";"&amp;'CASE DATA'!$F95&amp;";",ROW($1:$99),1),";")),"",ROW($1:$99)+1),COLUMN(H95)),SMALL(IF(ISERROR(SEARCH(MID(";"&amp;'CASE DATA'!$F95&amp;";",ROW($1:$99),1),";")),"",ROW($1:$99)),COLUMN(H94)+1)-SMALL(IF(ISERROR(SEARCH(MID(";"&amp;'CASE DATA'!$F95&amp;";",ROW($1:$99),1),";")),"",ROW($1:$99)),COLUMN(H94))-1)</f>
        <v/>
      </c>
      <c r="AD95" s="29" t="str">
        <f t="array" ref="AD95">MID(";"&amp;'CASE DATA'!$F95&amp;";",SMALL(IF(ISERROR(SEARCH(MID(";"&amp;'CASE DATA'!$F95&amp;";",ROW($1:$99),1),";")),"",ROW($1:$99)+1),COLUMN(I95)),SMALL(IF(ISERROR(SEARCH(MID(";"&amp;'CASE DATA'!$F95&amp;";",ROW($1:$99),1),";")),"",ROW($1:$99)),COLUMN(I94)+1)-SMALL(IF(ISERROR(SEARCH(MID(";"&amp;'CASE DATA'!$F95&amp;";",ROW($1:$99),1),";")),"",ROW($1:$99)),COLUMN(I94))-1)</f>
        <v/>
      </c>
      <c r="AE95" s="29" t="str">
        <f t="array" ref="AE95">MID(";"&amp;'CASE DATA'!$F95&amp;";",SMALL(IF(ISERROR(SEARCH(MID(";"&amp;'CASE DATA'!$F95&amp;";",ROW($1:$99),1),";")),"",ROW($1:$99)+1),COLUMN(J95)),SMALL(IF(ISERROR(SEARCH(MID(";"&amp;'CASE DATA'!$F95&amp;";",ROW($1:$99),1),";")),"",ROW($1:$99)),COLUMN(J94)+1)-SMALL(IF(ISERROR(SEARCH(MID(";"&amp;'CASE DATA'!$F95&amp;";",ROW($1:$99),1),";")),"",ROW($1:$99)),COLUMN(J94))-1)</f>
        <v/>
      </c>
      <c r="AF95" s="29" t="str">
        <f t="array" ref="AF95">MID(";"&amp;'CASE DATA'!$F95&amp;";",SMALL(IF(ISERROR(SEARCH(MID(";"&amp;'CASE DATA'!$F95&amp;";",ROW($1:$99),1),";")),"",ROW($1:$99)+1),COLUMN(K95)),SMALL(IF(ISERROR(SEARCH(MID(";"&amp;'CASE DATA'!$F95&amp;";",ROW($1:$99),1),";")),"",ROW($1:$99)),COLUMN(K94)+1)-SMALL(IF(ISERROR(SEARCH(MID(";"&amp;'CASE DATA'!$F95&amp;";",ROW($1:$99),1),";")),"",ROW($1:$99)),COLUMN(K94))-1)</f>
        <v/>
      </c>
      <c r="AG95" s="29" t="str">
        <f t="array" ref="AG95">MID(";"&amp;'CASE DATA'!$F95&amp;";",SMALL(IF(ISERROR(SEARCH(MID(";"&amp;'CASE DATA'!$F95&amp;";",ROW($1:$99),1),";")),"",ROW($1:$99)+1),COLUMN(L95)),SMALL(IF(ISERROR(SEARCH(MID(";"&amp;'CASE DATA'!$F95&amp;";",ROW($1:$99),1),";")),"",ROW($1:$99)),COLUMN(L94)+1)-SMALL(IF(ISERROR(SEARCH(MID(";"&amp;'CASE DATA'!$F95&amp;";",ROW($1:$99),1),";")),"",ROW($1:$99)),COLUMN(L94))-1)</f>
        <v/>
      </c>
      <c r="AH95" s="29"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24"/>
      <c r="D96" s="24"/>
      <c r="E96" s="25"/>
      <c r="F96" s="30"/>
      <c r="J96" s="31"/>
      <c r="K96" s="31"/>
      <c r="L96" s="31"/>
      <c r="M96" s="31"/>
      <c r="N96" s="31"/>
      <c r="O96" s="31"/>
      <c r="P96" s="31"/>
      <c r="Q96" s="31"/>
      <c r="R96" s="31"/>
      <c r="S96" s="31"/>
      <c r="T96" s="28">
        <f t="shared" si="2"/>
        <v>0</v>
      </c>
      <c r="U96" s="28"/>
      <c r="W96" s="29" t="str">
        <f t="array" ref="W96">MID(";"&amp;'CASE DATA'!$F96&amp;";",SMALL(IF(ISERROR(SEARCH(MID(";"&amp;'CASE DATA'!$F96&amp;";",ROW($1:$99),1),";")),"",ROW($1:$99)+1),COLUMN(A96)),SMALL(IF(ISERROR(SEARCH(MID(";"&amp;'CASE DATA'!$F96&amp;";",ROW($1:$99),1),";")),"",ROW($1:$99)),COLUMN(A95)+1)-SMALL(IF(ISERROR(SEARCH(MID(";"&amp;'CASE DATA'!$F96&amp;";",ROW($1:$99),1),";")),"",ROW($1:$99)),COLUMN(A95))-1)</f>
        <v/>
      </c>
      <c r="X96" s="29" t="str">
        <f t="array" ref="X96">MID(";"&amp;'CASE DATA'!$F96&amp;";",SMALL(IF(ISERROR(SEARCH(MID(";"&amp;'CASE DATA'!$F96&amp;";",ROW($1:$99),1),";")),"",ROW($1:$99)+1),COLUMN(B96)),SMALL(IF(ISERROR(SEARCH(MID(";"&amp;'CASE DATA'!$F96&amp;";",ROW($1:$99),1),";")),"",ROW($1:$99)),COLUMN(B95)+1)-SMALL(IF(ISERROR(SEARCH(MID(";"&amp;'CASE DATA'!$F96&amp;";",ROW($1:$99),1),";")),"",ROW($1:$99)),COLUMN(B95))-1)</f>
        <v/>
      </c>
      <c r="Y96" s="29" t="str">
        <f t="array" ref="Y96">MID(";"&amp;'CASE DATA'!$F96&amp;";",SMALL(IF(ISERROR(SEARCH(MID(";"&amp;'CASE DATA'!$F96&amp;";",ROW($1:$99),1),";")),"",ROW($1:$99)+1),COLUMN(D96)),SMALL(IF(ISERROR(SEARCH(MID(";"&amp;'CASE DATA'!$F96&amp;";",ROW($1:$99),1),";")),"",ROW($1:$99)),COLUMN(D95)+1)-SMALL(IF(ISERROR(SEARCH(MID(";"&amp;'CASE DATA'!$F96&amp;";",ROW($1:$99),1),";")),"",ROW($1:$99)),COLUMN(D95))-1)</f>
        <v/>
      </c>
      <c r="Z96" s="29" t="str">
        <f t="array" ref="Z96">MID(";"&amp;'CASE DATA'!$F96&amp;";",SMALL(IF(ISERROR(SEARCH(MID(";"&amp;'CASE DATA'!$F96&amp;";",ROW($1:$99),1),";")),"",ROW($1:$99)+1),COLUMN(E96)),SMALL(IF(ISERROR(SEARCH(MID(";"&amp;'CASE DATA'!$F96&amp;";",ROW($1:$99),1),";")),"",ROW($1:$99)),COLUMN(E95)+1)-SMALL(IF(ISERROR(SEARCH(MID(";"&amp;'CASE DATA'!$F96&amp;";",ROW($1:$99),1),";")),"",ROW($1:$99)),COLUMN(E95))-1)</f>
        <v/>
      </c>
      <c r="AA96" s="29" t="str">
        <f t="array" ref="AA96">MID(";"&amp;'CASE DATA'!$F96&amp;";",SMALL(IF(ISERROR(SEARCH(MID(";"&amp;'CASE DATA'!$F96&amp;";",ROW($1:$99),1),";")),"",ROW($1:$99)+1),COLUMN(F96)),SMALL(IF(ISERROR(SEARCH(MID(";"&amp;'CASE DATA'!$F96&amp;";",ROW($1:$99),1),";")),"",ROW($1:$99)),COLUMN(F95)+1)-SMALL(IF(ISERROR(SEARCH(MID(";"&amp;'CASE DATA'!$F96&amp;";",ROW($1:$99),1),";")),"",ROW($1:$99)),COLUMN(F95))-1)</f>
        <v/>
      </c>
      <c r="AB96" s="29" t="str">
        <f t="array" ref="AB96">MID(";"&amp;'CASE DATA'!$F96&amp;";",SMALL(IF(ISERROR(SEARCH(MID(";"&amp;'CASE DATA'!$F96&amp;";",ROW($1:$99),1),";")),"",ROW($1:$99)+1),COLUMN(G96)),SMALL(IF(ISERROR(SEARCH(MID(";"&amp;'CASE DATA'!$F96&amp;";",ROW($1:$99),1),";")),"",ROW($1:$99)),COLUMN(G95)+1)-SMALL(IF(ISERROR(SEARCH(MID(";"&amp;'CASE DATA'!$F96&amp;";",ROW($1:$99),1),";")),"",ROW($1:$99)),COLUMN(G95))-1)</f>
        <v/>
      </c>
      <c r="AC96" s="29" t="str">
        <f t="array" ref="AC96">MID(";"&amp;'CASE DATA'!$F96&amp;";",SMALL(IF(ISERROR(SEARCH(MID(";"&amp;'CASE DATA'!$F96&amp;";",ROW($1:$99),1),";")),"",ROW($1:$99)+1),COLUMN(H96)),SMALL(IF(ISERROR(SEARCH(MID(";"&amp;'CASE DATA'!$F96&amp;";",ROW($1:$99),1),";")),"",ROW($1:$99)),COLUMN(H95)+1)-SMALL(IF(ISERROR(SEARCH(MID(";"&amp;'CASE DATA'!$F96&amp;";",ROW($1:$99),1),";")),"",ROW($1:$99)),COLUMN(H95))-1)</f>
        <v/>
      </c>
      <c r="AD96" s="29" t="str">
        <f t="array" ref="AD96">MID(";"&amp;'CASE DATA'!$F96&amp;";",SMALL(IF(ISERROR(SEARCH(MID(";"&amp;'CASE DATA'!$F96&amp;";",ROW($1:$99),1),";")),"",ROW($1:$99)+1),COLUMN(I96)),SMALL(IF(ISERROR(SEARCH(MID(";"&amp;'CASE DATA'!$F96&amp;";",ROW($1:$99),1),";")),"",ROW($1:$99)),COLUMN(I95)+1)-SMALL(IF(ISERROR(SEARCH(MID(";"&amp;'CASE DATA'!$F96&amp;";",ROW($1:$99),1),";")),"",ROW($1:$99)),COLUMN(I95))-1)</f>
        <v/>
      </c>
      <c r="AE96" s="29" t="str">
        <f t="array" ref="AE96">MID(";"&amp;'CASE DATA'!$F96&amp;";",SMALL(IF(ISERROR(SEARCH(MID(";"&amp;'CASE DATA'!$F96&amp;";",ROW($1:$99),1),";")),"",ROW($1:$99)+1),COLUMN(J96)),SMALL(IF(ISERROR(SEARCH(MID(";"&amp;'CASE DATA'!$F96&amp;";",ROW($1:$99),1),";")),"",ROW($1:$99)),COLUMN(J95)+1)-SMALL(IF(ISERROR(SEARCH(MID(";"&amp;'CASE DATA'!$F96&amp;";",ROW($1:$99),1),";")),"",ROW($1:$99)),COLUMN(J95))-1)</f>
        <v/>
      </c>
      <c r="AF96" s="29" t="str">
        <f t="array" ref="AF96">MID(";"&amp;'CASE DATA'!$F96&amp;";",SMALL(IF(ISERROR(SEARCH(MID(";"&amp;'CASE DATA'!$F96&amp;";",ROW($1:$99),1),";")),"",ROW($1:$99)+1),COLUMN(K96)),SMALL(IF(ISERROR(SEARCH(MID(";"&amp;'CASE DATA'!$F96&amp;";",ROW($1:$99),1),";")),"",ROW($1:$99)),COLUMN(K95)+1)-SMALL(IF(ISERROR(SEARCH(MID(";"&amp;'CASE DATA'!$F96&amp;";",ROW($1:$99),1),";")),"",ROW($1:$99)),COLUMN(K95))-1)</f>
        <v/>
      </c>
      <c r="AG96" s="29" t="str">
        <f t="array" ref="AG96">MID(";"&amp;'CASE DATA'!$F96&amp;";",SMALL(IF(ISERROR(SEARCH(MID(";"&amp;'CASE DATA'!$F96&amp;";",ROW($1:$99),1),";")),"",ROW($1:$99)+1),COLUMN(L96)),SMALL(IF(ISERROR(SEARCH(MID(";"&amp;'CASE DATA'!$F96&amp;";",ROW($1:$99),1),";")),"",ROW($1:$99)),COLUMN(L95)+1)-SMALL(IF(ISERROR(SEARCH(MID(";"&amp;'CASE DATA'!$F96&amp;";",ROW($1:$99),1),";")),"",ROW($1:$99)),COLUMN(L95))-1)</f>
        <v/>
      </c>
      <c r="AH96" s="29"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24"/>
      <c r="D97" s="24"/>
      <c r="E97" s="25"/>
      <c r="F97" s="30"/>
      <c r="J97" s="31"/>
      <c r="K97" s="31"/>
      <c r="L97" s="31"/>
      <c r="M97" s="31"/>
      <c r="N97" s="31"/>
      <c r="O97" s="31"/>
      <c r="P97" s="31"/>
      <c r="Q97" s="31"/>
      <c r="R97" s="31"/>
      <c r="S97" s="31"/>
      <c r="T97" s="28">
        <f t="shared" si="2"/>
        <v>0</v>
      </c>
      <c r="U97" s="28"/>
      <c r="W97" s="29" t="str">
        <f t="array" ref="W97">MID(";"&amp;'CASE DATA'!$F97&amp;";",SMALL(IF(ISERROR(SEARCH(MID(";"&amp;'CASE DATA'!$F97&amp;";",ROW($1:$99),1),";")),"",ROW($1:$99)+1),COLUMN(A97)),SMALL(IF(ISERROR(SEARCH(MID(";"&amp;'CASE DATA'!$F97&amp;";",ROW($1:$99),1),";")),"",ROW($1:$99)),COLUMN(A96)+1)-SMALL(IF(ISERROR(SEARCH(MID(";"&amp;'CASE DATA'!$F97&amp;";",ROW($1:$99),1),";")),"",ROW($1:$99)),COLUMN(A96))-1)</f>
        <v/>
      </c>
      <c r="X97" s="29" t="str">
        <f t="array" ref="X97">MID(";"&amp;'CASE DATA'!$F97&amp;";",SMALL(IF(ISERROR(SEARCH(MID(";"&amp;'CASE DATA'!$F97&amp;";",ROW($1:$99),1),";")),"",ROW($1:$99)+1),COLUMN(B97)),SMALL(IF(ISERROR(SEARCH(MID(";"&amp;'CASE DATA'!$F97&amp;";",ROW($1:$99),1),";")),"",ROW($1:$99)),COLUMN(B96)+1)-SMALL(IF(ISERROR(SEARCH(MID(";"&amp;'CASE DATA'!$F97&amp;";",ROW($1:$99),1),";")),"",ROW($1:$99)),COLUMN(B96))-1)</f>
        <v/>
      </c>
      <c r="Y97" s="29" t="str">
        <f t="array" ref="Y97">MID(";"&amp;'CASE DATA'!$F97&amp;";",SMALL(IF(ISERROR(SEARCH(MID(";"&amp;'CASE DATA'!$F97&amp;";",ROW($1:$99),1),";")),"",ROW($1:$99)+1),COLUMN(D97)),SMALL(IF(ISERROR(SEARCH(MID(";"&amp;'CASE DATA'!$F97&amp;";",ROW($1:$99),1),";")),"",ROW($1:$99)),COLUMN(D96)+1)-SMALL(IF(ISERROR(SEARCH(MID(";"&amp;'CASE DATA'!$F97&amp;";",ROW($1:$99),1),";")),"",ROW($1:$99)),COLUMN(D96))-1)</f>
        <v/>
      </c>
      <c r="Z97" s="29" t="str">
        <f t="array" ref="Z97">MID(";"&amp;'CASE DATA'!$F97&amp;";",SMALL(IF(ISERROR(SEARCH(MID(";"&amp;'CASE DATA'!$F97&amp;";",ROW($1:$99),1),";")),"",ROW($1:$99)+1),COLUMN(E97)),SMALL(IF(ISERROR(SEARCH(MID(";"&amp;'CASE DATA'!$F97&amp;";",ROW($1:$99),1),";")),"",ROW($1:$99)),COLUMN(E96)+1)-SMALL(IF(ISERROR(SEARCH(MID(";"&amp;'CASE DATA'!$F97&amp;";",ROW($1:$99),1),";")),"",ROW($1:$99)),COLUMN(E96))-1)</f>
        <v/>
      </c>
      <c r="AA97" s="29" t="str">
        <f t="array" ref="AA97">MID(";"&amp;'CASE DATA'!$F97&amp;";",SMALL(IF(ISERROR(SEARCH(MID(";"&amp;'CASE DATA'!$F97&amp;";",ROW($1:$99),1),";")),"",ROW($1:$99)+1),COLUMN(F97)),SMALL(IF(ISERROR(SEARCH(MID(";"&amp;'CASE DATA'!$F97&amp;";",ROW($1:$99),1),";")),"",ROW($1:$99)),COLUMN(F96)+1)-SMALL(IF(ISERROR(SEARCH(MID(";"&amp;'CASE DATA'!$F97&amp;";",ROW($1:$99),1),";")),"",ROW($1:$99)),COLUMN(F96))-1)</f>
        <v/>
      </c>
      <c r="AB97" s="29" t="str">
        <f t="array" ref="AB97">MID(";"&amp;'CASE DATA'!$F97&amp;";",SMALL(IF(ISERROR(SEARCH(MID(";"&amp;'CASE DATA'!$F97&amp;";",ROW($1:$99),1),";")),"",ROW($1:$99)+1),COLUMN(G97)),SMALL(IF(ISERROR(SEARCH(MID(";"&amp;'CASE DATA'!$F97&amp;";",ROW($1:$99),1),";")),"",ROW($1:$99)),COLUMN(G96)+1)-SMALL(IF(ISERROR(SEARCH(MID(";"&amp;'CASE DATA'!$F97&amp;";",ROW($1:$99),1),";")),"",ROW($1:$99)),COLUMN(G96))-1)</f>
        <v/>
      </c>
      <c r="AC97" s="29" t="str">
        <f t="array" ref="AC97">MID(";"&amp;'CASE DATA'!$F97&amp;";",SMALL(IF(ISERROR(SEARCH(MID(";"&amp;'CASE DATA'!$F97&amp;";",ROW($1:$99),1),";")),"",ROW($1:$99)+1),COLUMN(H97)),SMALL(IF(ISERROR(SEARCH(MID(";"&amp;'CASE DATA'!$F97&amp;";",ROW($1:$99),1),";")),"",ROW($1:$99)),COLUMN(H96)+1)-SMALL(IF(ISERROR(SEARCH(MID(";"&amp;'CASE DATA'!$F97&amp;";",ROW($1:$99),1),";")),"",ROW($1:$99)),COLUMN(H96))-1)</f>
        <v/>
      </c>
      <c r="AD97" s="29" t="str">
        <f t="array" ref="AD97">MID(";"&amp;'CASE DATA'!$F97&amp;";",SMALL(IF(ISERROR(SEARCH(MID(";"&amp;'CASE DATA'!$F97&amp;";",ROW($1:$99),1),";")),"",ROW($1:$99)+1),COLUMN(I97)),SMALL(IF(ISERROR(SEARCH(MID(";"&amp;'CASE DATA'!$F97&amp;";",ROW($1:$99),1),";")),"",ROW($1:$99)),COLUMN(I96)+1)-SMALL(IF(ISERROR(SEARCH(MID(";"&amp;'CASE DATA'!$F97&amp;";",ROW($1:$99),1),";")),"",ROW($1:$99)),COLUMN(I96))-1)</f>
        <v/>
      </c>
      <c r="AE97" s="29" t="str">
        <f t="array" ref="AE97">MID(";"&amp;'CASE DATA'!$F97&amp;";",SMALL(IF(ISERROR(SEARCH(MID(";"&amp;'CASE DATA'!$F97&amp;";",ROW($1:$99),1),";")),"",ROW($1:$99)+1),COLUMN(J97)),SMALL(IF(ISERROR(SEARCH(MID(";"&amp;'CASE DATA'!$F97&amp;";",ROW($1:$99),1),";")),"",ROW($1:$99)),COLUMN(J96)+1)-SMALL(IF(ISERROR(SEARCH(MID(";"&amp;'CASE DATA'!$F97&amp;";",ROW($1:$99),1),";")),"",ROW($1:$99)),COLUMN(J96))-1)</f>
        <v/>
      </c>
      <c r="AF97" s="29" t="str">
        <f t="array" ref="AF97">MID(";"&amp;'CASE DATA'!$F97&amp;";",SMALL(IF(ISERROR(SEARCH(MID(";"&amp;'CASE DATA'!$F97&amp;";",ROW($1:$99),1),";")),"",ROW($1:$99)+1),COLUMN(K97)),SMALL(IF(ISERROR(SEARCH(MID(";"&amp;'CASE DATA'!$F97&amp;";",ROW($1:$99),1),";")),"",ROW($1:$99)),COLUMN(K96)+1)-SMALL(IF(ISERROR(SEARCH(MID(";"&amp;'CASE DATA'!$F97&amp;";",ROW($1:$99),1),";")),"",ROW($1:$99)),COLUMN(K96))-1)</f>
        <v/>
      </c>
      <c r="AG97" s="29" t="str">
        <f t="array" ref="AG97">MID(";"&amp;'CASE DATA'!$F97&amp;";",SMALL(IF(ISERROR(SEARCH(MID(";"&amp;'CASE DATA'!$F97&amp;";",ROW($1:$99),1),";")),"",ROW($1:$99)+1),COLUMN(L97)),SMALL(IF(ISERROR(SEARCH(MID(";"&amp;'CASE DATA'!$F97&amp;";",ROW($1:$99),1),";")),"",ROW($1:$99)),COLUMN(L96)+1)-SMALL(IF(ISERROR(SEARCH(MID(";"&amp;'CASE DATA'!$F97&amp;";",ROW($1:$99),1),";")),"",ROW($1:$99)),COLUMN(L96))-1)</f>
        <v/>
      </c>
      <c r="AH97" s="29"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24"/>
      <c r="D98" s="24"/>
      <c r="E98" s="25"/>
      <c r="F98" s="30"/>
      <c r="J98" s="31"/>
      <c r="K98" s="31"/>
      <c r="L98" s="31"/>
      <c r="M98" s="31"/>
      <c r="N98" s="31"/>
      <c r="O98" s="31"/>
      <c r="P98" s="31"/>
      <c r="Q98" s="31"/>
      <c r="R98" s="31"/>
      <c r="S98" s="31"/>
      <c r="T98" s="28">
        <f t="shared" si="2"/>
        <v>0</v>
      </c>
      <c r="U98" s="28"/>
      <c r="W98" s="29" t="str">
        <f t="array" ref="W98">MID(";"&amp;'CASE DATA'!$F98&amp;";",SMALL(IF(ISERROR(SEARCH(MID(";"&amp;'CASE DATA'!$F98&amp;";",ROW($1:$99),1),";")),"",ROW($1:$99)+1),COLUMN(A98)),SMALL(IF(ISERROR(SEARCH(MID(";"&amp;'CASE DATA'!$F98&amp;";",ROW($1:$99),1),";")),"",ROW($1:$99)),COLUMN(A97)+1)-SMALL(IF(ISERROR(SEARCH(MID(";"&amp;'CASE DATA'!$F98&amp;";",ROW($1:$99),1),";")),"",ROW($1:$99)),COLUMN(A97))-1)</f>
        <v/>
      </c>
      <c r="X98" s="29" t="str">
        <f t="array" ref="X98">MID(";"&amp;'CASE DATA'!$F98&amp;";",SMALL(IF(ISERROR(SEARCH(MID(";"&amp;'CASE DATA'!$F98&amp;";",ROW($1:$99),1),";")),"",ROW($1:$99)+1),COLUMN(B98)),SMALL(IF(ISERROR(SEARCH(MID(";"&amp;'CASE DATA'!$F98&amp;";",ROW($1:$99),1),";")),"",ROW($1:$99)),COLUMN(B97)+1)-SMALL(IF(ISERROR(SEARCH(MID(";"&amp;'CASE DATA'!$F98&amp;";",ROW($1:$99),1),";")),"",ROW($1:$99)),COLUMN(B97))-1)</f>
        <v/>
      </c>
      <c r="Y98" s="29" t="str">
        <f t="array" ref="Y98">MID(";"&amp;'CASE DATA'!$F98&amp;";",SMALL(IF(ISERROR(SEARCH(MID(";"&amp;'CASE DATA'!$F98&amp;";",ROW($1:$99),1),";")),"",ROW($1:$99)+1),COLUMN(D98)),SMALL(IF(ISERROR(SEARCH(MID(";"&amp;'CASE DATA'!$F98&amp;";",ROW($1:$99),1),";")),"",ROW($1:$99)),COLUMN(D97)+1)-SMALL(IF(ISERROR(SEARCH(MID(";"&amp;'CASE DATA'!$F98&amp;";",ROW($1:$99),1),";")),"",ROW($1:$99)),COLUMN(D97))-1)</f>
        <v/>
      </c>
      <c r="Z98" s="29" t="str">
        <f t="array" ref="Z98">MID(";"&amp;'CASE DATA'!$F98&amp;";",SMALL(IF(ISERROR(SEARCH(MID(";"&amp;'CASE DATA'!$F98&amp;";",ROW($1:$99),1),";")),"",ROW($1:$99)+1),COLUMN(E98)),SMALL(IF(ISERROR(SEARCH(MID(";"&amp;'CASE DATA'!$F98&amp;";",ROW($1:$99),1),";")),"",ROW($1:$99)),COLUMN(E97)+1)-SMALL(IF(ISERROR(SEARCH(MID(";"&amp;'CASE DATA'!$F98&amp;";",ROW($1:$99),1),";")),"",ROW($1:$99)),COLUMN(E97))-1)</f>
        <v/>
      </c>
      <c r="AA98" s="29" t="str">
        <f t="array" ref="AA98">MID(";"&amp;'CASE DATA'!$F98&amp;";",SMALL(IF(ISERROR(SEARCH(MID(";"&amp;'CASE DATA'!$F98&amp;";",ROW($1:$99),1),";")),"",ROW($1:$99)+1),COLUMN(F98)),SMALL(IF(ISERROR(SEARCH(MID(";"&amp;'CASE DATA'!$F98&amp;";",ROW($1:$99),1),";")),"",ROW($1:$99)),COLUMN(F97)+1)-SMALL(IF(ISERROR(SEARCH(MID(";"&amp;'CASE DATA'!$F98&amp;";",ROW($1:$99),1),";")),"",ROW($1:$99)),COLUMN(F97))-1)</f>
        <v/>
      </c>
      <c r="AB98" s="29" t="str">
        <f t="array" ref="AB98">MID(";"&amp;'CASE DATA'!$F98&amp;";",SMALL(IF(ISERROR(SEARCH(MID(";"&amp;'CASE DATA'!$F98&amp;";",ROW($1:$99),1),";")),"",ROW($1:$99)+1),COLUMN(G98)),SMALL(IF(ISERROR(SEARCH(MID(";"&amp;'CASE DATA'!$F98&amp;";",ROW($1:$99),1),";")),"",ROW($1:$99)),COLUMN(G97)+1)-SMALL(IF(ISERROR(SEARCH(MID(";"&amp;'CASE DATA'!$F98&amp;";",ROW($1:$99),1),";")),"",ROW($1:$99)),COLUMN(G97))-1)</f>
        <v/>
      </c>
      <c r="AC98" s="29" t="str">
        <f t="array" ref="AC98">MID(";"&amp;'CASE DATA'!$F98&amp;";",SMALL(IF(ISERROR(SEARCH(MID(";"&amp;'CASE DATA'!$F98&amp;";",ROW($1:$99),1),";")),"",ROW($1:$99)+1),COLUMN(H98)),SMALL(IF(ISERROR(SEARCH(MID(";"&amp;'CASE DATA'!$F98&amp;";",ROW($1:$99),1),";")),"",ROW($1:$99)),COLUMN(H97)+1)-SMALL(IF(ISERROR(SEARCH(MID(";"&amp;'CASE DATA'!$F98&amp;";",ROW($1:$99),1),";")),"",ROW($1:$99)),COLUMN(H97))-1)</f>
        <v/>
      </c>
      <c r="AD98" s="29" t="str">
        <f t="array" ref="AD98">MID(";"&amp;'CASE DATA'!$F98&amp;";",SMALL(IF(ISERROR(SEARCH(MID(";"&amp;'CASE DATA'!$F98&amp;";",ROW($1:$99),1),";")),"",ROW($1:$99)+1),COLUMN(I98)),SMALL(IF(ISERROR(SEARCH(MID(";"&amp;'CASE DATA'!$F98&amp;";",ROW($1:$99),1),";")),"",ROW($1:$99)),COLUMN(I97)+1)-SMALL(IF(ISERROR(SEARCH(MID(";"&amp;'CASE DATA'!$F98&amp;";",ROW($1:$99),1),";")),"",ROW($1:$99)),COLUMN(I97))-1)</f>
        <v/>
      </c>
      <c r="AE98" s="29" t="str">
        <f t="array" ref="AE98">MID(";"&amp;'CASE DATA'!$F98&amp;";",SMALL(IF(ISERROR(SEARCH(MID(";"&amp;'CASE DATA'!$F98&amp;";",ROW($1:$99),1),";")),"",ROW($1:$99)+1),COLUMN(J98)),SMALL(IF(ISERROR(SEARCH(MID(";"&amp;'CASE DATA'!$F98&amp;";",ROW($1:$99),1),";")),"",ROW($1:$99)),COLUMN(J97)+1)-SMALL(IF(ISERROR(SEARCH(MID(";"&amp;'CASE DATA'!$F98&amp;";",ROW($1:$99),1),";")),"",ROW($1:$99)),COLUMN(J97))-1)</f>
        <v/>
      </c>
      <c r="AF98" s="29" t="str">
        <f t="array" ref="AF98">MID(";"&amp;'CASE DATA'!$F98&amp;";",SMALL(IF(ISERROR(SEARCH(MID(";"&amp;'CASE DATA'!$F98&amp;";",ROW($1:$99),1),";")),"",ROW($1:$99)+1),COLUMN(K98)),SMALL(IF(ISERROR(SEARCH(MID(";"&amp;'CASE DATA'!$F98&amp;";",ROW($1:$99),1),";")),"",ROW($1:$99)),COLUMN(K97)+1)-SMALL(IF(ISERROR(SEARCH(MID(";"&amp;'CASE DATA'!$F98&amp;";",ROW($1:$99),1),";")),"",ROW($1:$99)),COLUMN(K97))-1)</f>
        <v/>
      </c>
      <c r="AG98" s="29" t="str">
        <f t="array" ref="AG98">MID(";"&amp;'CASE DATA'!$F98&amp;";",SMALL(IF(ISERROR(SEARCH(MID(";"&amp;'CASE DATA'!$F98&amp;";",ROW($1:$99),1),";")),"",ROW($1:$99)+1),COLUMN(L98)),SMALL(IF(ISERROR(SEARCH(MID(";"&amp;'CASE DATA'!$F98&amp;";",ROW($1:$99),1),";")),"",ROW($1:$99)),COLUMN(L97)+1)-SMALL(IF(ISERROR(SEARCH(MID(";"&amp;'CASE DATA'!$F98&amp;";",ROW($1:$99),1),";")),"",ROW($1:$99)),COLUMN(L97))-1)</f>
        <v/>
      </c>
      <c r="AH98" s="29"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24"/>
      <c r="D99" s="24"/>
      <c r="E99" s="25"/>
      <c r="F99" s="30"/>
      <c r="J99" s="31"/>
      <c r="K99" s="31"/>
      <c r="L99" s="31"/>
      <c r="M99" s="31"/>
      <c r="N99" s="31"/>
      <c r="O99" s="31"/>
      <c r="P99" s="31"/>
      <c r="Q99" s="31"/>
      <c r="R99" s="31"/>
      <c r="S99" s="31"/>
      <c r="T99" s="28">
        <f t="shared" si="2"/>
        <v>0</v>
      </c>
      <c r="U99" s="28"/>
      <c r="W99" s="29" t="str">
        <f t="array" ref="W99">MID(";"&amp;'CASE DATA'!$F99&amp;";",SMALL(IF(ISERROR(SEARCH(MID(";"&amp;'CASE DATA'!$F99&amp;";",ROW($1:$99),1),";")),"",ROW($1:$99)+1),COLUMN(A99)),SMALL(IF(ISERROR(SEARCH(MID(";"&amp;'CASE DATA'!$F99&amp;";",ROW($1:$99),1),";")),"",ROW($1:$99)),COLUMN(A98)+1)-SMALL(IF(ISERROR(SEARCH(MID(";"&amp;'CASE DATA'!$F99&amp;";",ROW($1:$99),1),";")),"",ROW($1:$99)),COLUMN(A98))-1)</f>
        <v/>
      </c>
      <c r="X99" s="29" t="str">
        <f t="array" ref="X99">MID(";"&amp;'CASE DATA'!$F99&amp;";",SMALL(IF(ISERROR(SEARCH(MID(";"&amp;'CASE DATA'!$F99&amp;";",ROW($1:$99),1),";")),"",ROW($1:$99)+1),COLUMN(B99)),SMALL(IF(ISERROR(SEARCH(MID(";"&amp;'CASE DATA'!$F99&amp;";",ROW($1:$99),1),";")),"",ROW($1:$99)),COLUMN(B98)+1)-SMALL(IF(ISERROR(SEARCH(MID(";"&amp;'CASE DATA'!$F99&amp;";",ROW($1:$99),1),";")),"",ROW($1:$99)),COLUMN(B98))-1)</f>
        <v/>
      </c>
      <c r="Y99" s="29" t="str">
        <f t="array" ref="Y99">MID(";"&amp;'CASE DATA'!$F99&amp;";",SMALL(IF(ISERROR(SEARCH(MID(";"&amp;'CASE DATA'!$F99&amp;";",ROW($1:$99),1),";")),"",ROW($1:$99)+1),COLUMN(D99)),SMALL(IF(ISERROR(SEARCH(MID(";"&amp;'CASE DATA'!$F99&amp;";",ROW($1:$99),1),";")),"",ROW($1:$99)),COLUMN(D98)+1)-SMALL(IF(ISERROR(SEARCH(MID(";"&amp;'CASE DATA'!$F99&amp;";",ROW($1:$99),1),";")),"",ROW($1:$99)),COLUMN(D98))-1)</f>
        <v/>
      </c>
      <c r="Z99" s="29" t="str">
        <f t="array" ref="Z99">MID(";"&amp;'CASE DATA'!$F99&amp;";",SMALL(IF(ISERROR(SEARCH(MID(";"&amp;'CASE DATA'!$F99&amp;";",ROW($1:$99),1),";")),"",ROW($1:$99)+1),COLUMN(E99)),SMALL(IF(ISERROR(SEARCH(MID(";"&amp;'CASE DATA'!$F99&amp;";",ROW($1:$99),1),";")),"",ROW($1:$99)),COLUMN(E98)+1)-SMALL(IF(ISERROR(SEARCH(MID(";"&amp;'CASE DATA'!$F99&amp;";",ROW($1:$99),1),";")),"",ROW($1:$99)),COLUMN(E98))-1)</f>
        <v/>
      </c>
      <c r="AA99" s="29" t="str">
        <f t="array" ref="AA99">MID(";"&amp;'CASE DATA'!$F99&amp;";",SMALL(IF(ISERROR(SEARCH(MID(";"&amp;'CASE DATA'!$F99&amp;";",ROW($1:$99),1),";")),"",ROW($1:$99)+1),COLUMN(F99)),SMALL(IF(ISERROR(SEARCH(MID(";"&amp;'CASE DATA'!$F99&amp;";",ROW($1:$99),1),";")),"",ROW($1:$99)),COLUMN(F98)+1)-SMALL(IF(ISERROR(SEARCH(MID(";"&amp;'CASE DATA'!$F99&amp;";",ROW($1:$99),1),";")),"",ROW($1:$99)),COLUMN(F98))-1)</f>
        <v/>
      </c>
      <c r="AB99" s="29" t="str">
        <f t="array" ref="AB99">MID(";"&amp;'CASE DATA'!$F99&amp;";",SMALL(IF(ISERROR(SEARCH(MID(";"&amp;'CASE DATA'!$F99&amp;";",ROW($1:$99),1),";")),"",ROW($1:$99)+1),COLUMN(G99)),SMALL(IF(ISERROR(SEARCH(MID(";"&amp;'CASE DATA'!$F99&amp;";",ROW($1:$99),1),";")),"",ROW($1:$99)),COLUMN(G98)+1)-SMALL(IF(ISERROR(SEARCH(MID(";"&amp;'CASE DATA'!$F99&amp;";",ROW($1:$99),1),";")),"",ROW($1:$99)),COLUMN(G98))-1)</f>
        <v/>
      </c>
      <c r="AC99" s="29" t="str">
        <f t="array" ref="AC99">MID(";"&amp;'CASE DATA'!$F99&amp;";",SMALL(IF(ISERROR(SEARCH(MID(";"&amp;'CASE DATA'!$F99&amp;";",ROW($1:$99),1),";")),"",ROW($1:$99)+1),COLUMN(H99)),SMALL(IF(ISERROR(SEARCH(MID(";"&amp;'CASE DATA'!$F99&amp;";",ROW($1:$99),1),";")),"",ROW($1:$99)),COLUMN(H98)+1)-SMALL(IF(ISERROR(SEARCH(MID(";"&amp;'CASE DATA'!$F99&amp;";",ROW($1:$99),1),";")),"",ROW($1:$99)),COLUMN(H98))-1)</f>
        <v/>
      </c>
      <c r="AD99" s="29" t="str">
        <f t="array" ref="AD99">MID(";"&amp;'CASE DATA'!$F99&amp;";",SMALL(IF(ISERROR(SEARCH(MID(";"&amp;'CASE DATA'!$F99&amp;";",ROW($1:$99),1),";")),"",ROW($1:$99)+1),COLUMN(I99)),SMALL(IF(ISERROR(SEARCH(MID(";"&amp;'CASE DATA'!$F99&amp;";",ROW($1:$99),1),";")),"",ROW($1:$99)),COLUMN(I98)+1)-SMALL(IF(ISERROR(SEARCH(MID(";"&amp;'CASE DATA'!$F99&amp;";",ROW($1:$99),1),";")),"",ROW($1:$99)),COLUMN(I98))-1)</f>
        <v/>
      </c>
      <c r="AE99" s="29" t="str">
        <f t="array" ref="AE99">MID(";"&amp;'CASE DATA'!$F99&amp;";",SMALL(IF(ISERROR(SEARCH(MID(";"&amp;'CASE DATA'!$F99&amp;";",ROW($1:$99),1),";")),"",ROW($1:$99)+1),COLUMN(J99)),SMALL(IF(ISERROR(SEARCH(MID(";"&amp;'CASE DATA'!$F99&amp;";",ROW($1:$99),1),";")),"",ROW($1:$99)),COLUMN(J98)+1)-SMALL(IF(ISERROR(SEARCH(MID(";"&amp;'CASE DATA'!$F99&amp;";",ROW($1:$99),1),";")),"",ROW($1:$99)),COLUMN(J98))-1)</f>
        <v/>
      </c>
      <c r="AF99" s="29" t="str">
        <f t="array" ref="AF99">MID(";"&amp;'CASE DATA'!$F99&amp;";",SMALL(IF(ISERROR(SEARCH(MID(";"&amp;'CASE DATA'!$F99&amp;";",ROW($1:$99),1),";")),"",ROW($1:$99)+1),COLUMN(K99)),SMALL(IF(ISERROR(SEARCH(MID(";"&amp;'CASE DATA'!$F99&amp;";",ROW($1:$99),1),";")),"",ROW($1:$99)),COLUMN(K98)+1)-SMALL(IF(ISERROR(SEARCH(MID(";"&amp;'CASE DATA'!$F99&amp;";",ROW($1:$99),1),";")),"",ROW($1:$99)),COLUMN(K98))-1)</f>
        <v/>
      </c>
      <c r="AG99" s="29" t="str">
        <f t="array" ref="AG99">MID(";"&amp;'CASE DATA'!$F99&amp;";",SMALL(IF(ISERROR(SEARCH(MID(";"&amp;'CASE DATA'!$F99&amp;";",ROW($1:$99),1),";")),"",ROW($1:$99)+1),COLUMN(L99)),SMALL(IF(ISERROR(SEARCH(MID(";"&amp;'CASE DATA'!$F99&amp;";",ROW($1:$99),1),";")),"",ROW($1:$99)),COLUMN(L98)+1)-SMALL(IF(ISERROR(SEARCH(MID(";"&amp;'CASE DATA'!$F99&amp;";",ROW($1:$99),1),";")),"",ROW($1:$99)),COLUMN(L98))-1)</f>
        <v/>
      </c>
      <c r="AH99" s="29"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24"/>
      <c r="D100" s="24"/>
      <c r="E100" s="25"/>
      <c r="F100" s="30"/>
      <c r="J100" s="31"/>
      <c r="K100" s="31"/>
      <c r="L100" s="31"/>
      <c r="M100" s="31"/>
      <c r="N100" s="31"/>
      <c r="O100" s="31"/>
      <c r="P100" s="31"/>
      <c r="Q100" s="31"/>
      <c r="R100" s="31"/>
      <c r="S100" s="31"/>
      <c r="T100" s="28">
        <f t="shared" si="2"/>
        <v>0</v>
      </c>
      <c r="U100" s="28"/>
      <c r="W100" s="29" t="str">
        <f t="array" ref="W100">MID(";"&amp;'CASE DATA'!$F100&amp;";",SMALL(IF(ISERROR(SEARCH(MID(";"&amp;'CASE DATA'!$F100&amp;";",ROW($1:$99),1),";")),"",ROW($1:$99)+1),COLUMN(A100)),SMALL(IF(ISERROR(SEARCH(MID(";"&amp;'CASE DATA'!$F100&amp;";",ROW($1:$99),1),";")),"",ROW($1:$99)),COLUMN(A99)+1)-SMALL(IF(ISERROR(SEARCH(MID(";"&amp;'CASE DATA'!$F100&amp;";",ROW($1:$99),1),";")),"",ROW($1:$99)),COLUMN(A99))-1)</f>
        <v/>
      </c>
      <c r="X100" s="29" t="str">
        <f t="array" ref="X100">MID(";"&amp;'CASE DATA'!$F100&amp;";",SMALL(IF(ISERROR(SEARCH(MID(";"&amp;'CASE DATA'!$F100&amp;";",ROW($1:$99),1),";")),"",ROW($1:$99)+1),COLUMN(B100)),SMALL(IF(ISERROR(SEARCH(MID(";"&amp;'CASE DATA'!$F100&amp;";",ROW($1:$99),1),";")),"",ROW($1:$99)),COLUMN(B99)+1)-SMALL(IF(ISERROR(SEARCH(MID(";"&amp;'CASE DATA'!$F100&amp;";",ROW($1:$99),1),";")),"",ROW($1:$99)),COLUMN(B99))-1)</f>
        <v/>
      </c>
      <c r="Y100" s="29" t="str">
        <f t="array" ref="Y100">MID(";"&amp;'CASE DATA'!$F100&amp;";",SMALL(IF(ISERROR(SEARCH(MID(";"&amp;'CASE DATA'!$F100&amp;";",ROW($1:$99),1),";")),"",ROW($1:$99)+1),COLUMN(D100)),SMALL(IF(ISERROR(SEARCH(MID(";"&amp;'CASE DATA'!$F100&amp;";",ROW($1:$99),1),";")),"",ROW($1:$99)),COLUMN(D99)+1)-SMALL(IF(ISERROR(SEARCH(MID(";"&amp;'CASE DATA'!$F100&amp;";",ROW($1:$99),1),";")),"",ROW($1:$99)),COLUMN(D99))-1)</f>
        <v/>
      </c>
      <c r="Z100" s="29" t="str">
        <f t="array" ref="Z100">MID(";"&amp;'CASE DATA'!$F100&amp;";",SMALL(IF(ISERROR(SEARCH(MID(";"&amp;'CASE DATA'!$F100&amp;";",ROW($1:$99),1),";")),"",ROW($1:$99)+1),COLUMN(E100)),SMALL(IF(ISERROR(SEARCH(MID(";"&amp;'CASE DATA'!$F100&amp;";",ROW($1:$99),1),";")),"",ROW($1:$99)),COLUMN(E99)+1)-SMALL(IF(ISERROR(SEARCH(MID(";"&amp;'CASE DATA'!$F100&amp;";",ROW($1:$99),1),";")),"",ROW($1:$99)),COLUMN(E99))-1)</f>
        <v/>
      </c>
      <c r="AA100" s="29" t="str">
        <f t="array" ref="AA100">MID(";"&amp;'CASE DATA'!$F100&amp;";",SMALL(IF(ISERROR(SEARCH(MID(";"&amp;'CASE DATA'!$F100&amp;";",ROW($1:$99),1),";")),"",ROW($1:$99)+1),COLUMN(F100)),SMALL(IF(ISERROR(SEARCH(MID(";"&amp;'CASE DATA'!$F100&amp;";",ROW($1:$99),1),";")),"",ROW($1:$99)),COLUMN(F99)+1)-SMALL(IF(ISERROR(SEARCH(MID(";"&amp;'CASE DATA'!$F100&amp;";",ROW($1:$99),1),";")),"",ROW($1:$99)),COLUMN(F99))-1)</f>
        <v/>
      </c>
      <c r="AB100" s="29" t="str">
        <f t="array" ref="AB100">MID(";"&amp;'CASE DATA'!$F100&amp;";",SMALL(IF(ISERROR(SEARCH(MID(";"&amp;'CASE DATA'!$F100&amp;";",ROW($1:$99),1),";")),"",ROW($1:$99)+1),COLUMN(G100)),SMALL(IF(ISERROR(SEARCH(MID(";"&amp;'CASE DATA'!$F100&amp;";",ROW($1:$99),1),";")),"",ROW($1:$99)),COLUMN(G99)+1)-SMALL(IF(ISERROR(SEARCH(MID(";"&amp;'CASE DATA'!$F100&amp;";",ROW($1:$99),1),";")),"",ROW($1:$99)),COLUMN(G99))-1)</f>
        <v/>
      </c>
      <c r="AC100" s="29" t="str">
        <f t="array" ref="AC100">MID(";"&amp;'CASE DATA'!$F100&amp;";",SMALL(IF(ISERROR(SEARCH(MID(";"&amp;'CASE DATA'!$F100&amp;";",ROW($1:$99),1),";")),"",ROW($1:$99)+1),COLUMN(H100)),SMALL(IF(ISERROR(SEARCH(MID(";"&amp;'CASE DATA'!$F100&amp;";",ROW($1:$99),1),";")),"",ROW($1:$99)),COLUMN(H99)+1)-SMALL(IF(ISERROR(SEARCH(MID(";"&amp;'CASE DATA'!$F100&amp;";",ROW($1:$99),1),";")),"",ROW($1:$99)),COLUMN(H99))-1)</f>
        <v/>
      </c>
      <c r="AD100" s="29" t="str">
        <f t="array" ref="AD100">MID(";"&amp;'CASE DATA'!$F100&amp;";",SMALL(IF(ISERROR(SEARCH(MID(";"&amp;'CASE DATA'!$F100&amp;";",ROW($1:$99),1),";")),"",ROW($1:$99)+1),COLUMN(I100)),SMALL(IF(ISERROR(SEARCH(MID(";"&amp;'CASE DATA'!$F100&amp;";",ROW($1:$99),1),";")),"",ROW($1:$99)),COLUMN(I99)+1)-SMALL(IF(ISERROR(SEARCH(MID(";"&amp;'CASE DATA'!$F100&amp;";",ROW($1:$99),1),";")),"",ROW($1:$99)),COLUMN(I99))-1)</f>
        <v/>
      </c>
      <c r="AE100" s="29" t="str">
        <f t="array" ref="AE100">MID(";"&amp;'CASE DATA'!$F100&amp;";",SMALL(IF(ISERROR(SEARCH(MID(";"&amp;'CASE DATA'!$F100&amp;";",ROW($1:$99),1),";")),"",ROW($1:$99)+1),COLUMN(J100)),SMALL(IF(ISERROR(SEARCH(MID(";"&amp;'CASE DATA'!$F100&amp;";",ROW($1:$99),1),";")),"",ROW($1:$99)),COLUMN(J99)+1)-SMALL(IF(ISERROR(SEARCH(MID(";"&amp;'CASE DATA'!$F100&amp;";",ROW($1:$99),1),";")),"",ROW($1:$99)),COLUMN(J99))-1)</f>
        <v/>
      </c>
      <c r="AF100" s="29" t="str">
        <f t="array" ref="AF100">MID(";"&amp;'CASE DATA'!$F100&amp;";",SMALL(IF(ISERROR(SEARCH(MID(";"&amp;'CASE DATA'!$F100&amp;";",ROW($1:$99),1),";")),"",ROW($1:$99)+1),COLUMN(K100)),SMALL(IF(ISERROR(SEARCH(MID(";"&amp;'CASE DATA'!$F100&amp;";",ROW($1:$99),1),";")),"",ROW($1:$99)),COLUMN(K99)+1)-SMALL(IF(ISERROR(SEARCH(MID(";"&amp;'CASE DATA'!$F100&amp;";",ROW($1:$99),1),";")),"",ROW($1:$99)),COLUMN(K99))-1)</f>
        <v/>
      </c>
      <c r="AG100" s="29" t="str">
        <f t="array" ref="AG100">MID(";"&amp;'CASE DATA'!$F100&amp;";",SMALL(IF(ISERROR(SEARCH(MID(";"&amp;'CASE DATA'!$F100&amp;";",ROW($1:$99),1),";")),"",ROW($1:$99)+1),COLUMN(L100)),SMALL(IF(ISERROR(SEARCH(MID(";"&amp;'CASE DATA'!$F100&amp;";",ROW($1:$99),1),";")),"",ROW($1:$99)),COLUMN(L99)+1)-SMALL(IF(ISERROR(SEARCH(MID(";"&amp;'CASE DATA'!$F100&amp;";",ROW($1:$99),1),";")),"",ROW($1:$99)),COLUMN(L99))-1)</f>
        <v/>
      </c>
      <c r="AH100" s="29"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24"/>
      <c r="D101" s="24"/>
      <c r="E101" s="25"/>
      <c r="F101" s="30"/>
      <c r="J101" s="31"/>
      <c r="K101" s="31"/>
      <c r="L101" s="31"/>
      <c r="M101" s="31"/>
      <c r="N101" s="31"/>
      <c r="O101" s="31"/>
      <c r="P101" s="31"/>
      <c r="Q101" s="31"/>
      <c r="R101" s="31"/>
      <c r="S101" s="31"/>
      <c r="T101" s="28">
        <f t="shared" si="2"/>
        <v>0</v>
      </c>
      <c r="U101" s="28"/>
      <c r="W101" s="29" t="str">
        <f t="array" ref="W101">MID(";"&amp;'CASE DATA'!$F101&amp;";",SMALL(IF(ISERROR(SEARCH(MID(";"&amp;'CASE DATA'!$F101&amp;";",ROW($1:$99),1),";")),"",ROW($1:$99)+1),COLUMN(A101)),SMALL(IF(ISERROR(SEARCH(MID(";"&amp;'CASE DATA'!$F101&amp;";",ROW($1:$99),1),";")),"",ROW($1:$99)),COLUMN(A100)+1)-SMALL(IF(ISERROR(SEARCH(MID(";"&amp;'CASE DATA'!$F101&amp;";",ROW($1:$99),1),";")),"",ROW($1:$99)),COLUMN(A100))-1)</f>
        <v/>
      </c>
      <c r="X101" s="29" t="str">
        <f t="array" ref="X101">MID(";"&amp;'CASE DATA'!$F101&amp;";",SMALL(IF(ISERROR(SEARCH(MID(";"&amp;'CASE DATA'!$F101&amp;";",ROW($1:$99),1),";")),"",ROW($1:$99)+1),COLUMN(B101)),SMALL(IF(ISERROR(SEARCH(MID(";"&amp;'CASE DATA'!$F101&amp;";",ROW($1:$99),1),";")),"",ROW($1:$99)),COLUMN(B100)+1)-SMALL(IF(ISERROR(SEARCH(MID(";"&amp;'CASE DATA'!$F101&amp;";",ROW($1:$99),1),";")),"",ROW($1:$99)),COLUMN(B100))-1)</f>
        <v/>
      </c>
      <c r="Y101" s="29" t="str">
        <f t="array" ref="Y101">MID(";"&amp;'CASE DATA'!$F101&amp;";",SMALL(IF(ISERROR(SEARCH(MID(";"&amp;'CASE DATA'!$F101&amp;";",ROW($1:$99),1),";")),"",ROW($1:$99)+1),COLUMN(D101)),SMALL(IF(ISERROR(SEARCH(MID(";"&amp;'CASE DATA'!$F101&amp;";",ROW($1:$99),1),";")),"",ROW($1:$99)),COLUMN(D100)+1)-SMALL(IF(ISERROR(SEARCH(MID(";"&amp;'CASE DATA'!$F101&amp;";",ROW($1:$99),1),";")),"",ROW($1:$99)),COLUMN(D100))-1)</f>
        <v/>
      </c>
      <c r="Z101" s="29" t="str">
        <f t="array" ref="Z101">MID(";"&amp;'CASE DATA'!$F101&amp;";",SMALL(IF(ISERROR(SEARCH(MID(";"&amp;'CASE DATA'!$F101&amp;";",ROW($1:$99),1),";")),"",ROW($1:$99)+1),COLUMN(E101)),SMALL(IF(ISERROR(SEARCH(MID(";"&amp;'CASE DATA'!$F101&amp;";",ROW($1:$99),1),";")),"",ROW($1:$99)),COLUMN(E100)+1)-SMALL(IF(ISERROR(SEARCH(MID(";"&amp;'CASE DATA'!$F101&amp;";",ROW($1:$99),1),";")),"",ROW($1:$99)),COLUMN(E100))-1)</f>
        <v/>
      </c>
      <c r="AA101" s="29" t="str">
        <f t="array" ref="AA101">MID(";"&amp;'CASE DATA'!$F101&amp;";",SMALL(IF(ISERROR(SEARCH(MID(";"&amp;'CASE DATA'!$F101&amp;";",ROW($1:$99),1),";")),"",ROW($1:$99)+1),COLUMN(F101)),SMALL(IF(ISERROR(SEARCH(MID(";"&amp;'CASE DATA'!$F101&amp;";",ROW($1:$99),1),";")),"",ROW($1:$99)),COLUMN(F100)+1)-SMALL(IF(ISERROR(SEARCH(MID(";"&amp;'CASE DATA'!$F101&amp;";",ROW($1:$99),1),";")),"",ROW($1:$99)),COLUMN(F100))-1)</f>
        <v/>
      </c>
      <c r="AB101" s="29" t="str">
        <f t="array" ref="AB101">MID(";"&amp;'CASE DATA'!$F101&amp;";",SMALL(IF(ISERROR(SEARCH(MID(";"&amp;'CASE DATA'!$F101&amp;";",ROW($1:$99),1),";")),"",ROW($1:$99)+1),COLUMN(G101)),SMALL(IF(ISERROR(SEARCH(MID(";"&amp;'CASE DATA'!$F101&amp;";",ROW($1:$99),1),";")),"",ROW($1:$99)),COLUMN(G100)+1)-SMALL(IF(ISERROR(SEARCH(MID(";"&amp;'CASE DATA'!$F101&amp;";",ROW($1:$99),1),";")),"",ROW($1:$99)),COLUMN(G100))-1)</f>
        <v/>
      </c>
      <c r="AC101" s="29" t="str">
        <f t="array" ref="AC101">MID(";"&amp;'CASE DATA'!$F101&amp;";",SMALL(IF(ISERROR(SEARCH(MID(";"&amp;'CASE DATA'!$F101&amp;";",ROW($1:$99),1),";")),"",ROW($1:$99)+1),COLUMN(H101)),SMALL(IF(ISERROR(SEARCH(MID(";"&amp;'CASE DATA'!$F101&amp;";",ROW($1:$99),1),";")),"",ROW($1:$99)),COLUMN(H100)+1)-SMALL(IF(ISERROR(SEARCH(MID(";"&amp;'CASE DATA'!$F101&amp;";",ROW($1:$99),1),";")),"",ROW($1:$99)),COLUMN(H100))-1)</f>
        <v/>
      </c>
      <c r="AD101" s="29" t="str">
        <f t="array" ref="AD101">MID(";"&amp;'CASE DATA'!$F101&amp;";",SMALL(IF(ISERROR(SEARCH(MID(";"&amp;'CASE DATA'!$F101&amp;";",ROW($1:$99),1),";")),"",ROW($1:$99)+1),COLUMN(I101)),SMALL(IF(ISERROR(SEARCH(MID(";"&amp;'CASE DATA'!$F101&amp;";",ROW($1:$99),1),";")),"",ROW($1:$99)),COLUMN(I100)+1)-SMALL(IF(ISERROR(SEARCH(MID(";"&amp;'CASE DATA'!$F101&amp;";",ROW($1:$99),1),";")),"",ROW($1:$99)),COLUMN(I100))-1)</f>
        <v/>
      </c>
      <c r="AE101" s="29" t="str">
        <f t="array" ref="AE101">MID(";"&amp;'CASE DATA'!$F101&amp;";",SMALL(IF(ISERROR(SEARCH(MID(";"&amp;'CASE DATA'!$F101&amp;";",ROW($1:$99),1),";")),"",ROW($1:$99)+1),COLUMN(J101)),SMALL(IF(ISERROR(SEARCH(MID(";"&amp;'CASE DATA'!$F101&amp;";",ROW($1:$99),1),";")),"",ROW($1:$99)),COLUMN(J100)+1)-SMALL(IF(ISERROR(SEARCH(MID(";"&amp;'CASE DATA'!$F101&amp;";",ROW($1:$99),1),";")),"",ROW($1:$99)),COLUMN(J100))-1)</f>
        <v/>
      </c>
      <c r="AF101" s="29" t="str">
        <f t="array" ref="AF101">MID(";"&amp;'CASE DATA'!$F101&amp;";",SMALL(IF(ISERROR(SEARCH(MID(";"&amp;'CASE DATA'!$F101&amp;";",ROW($1:$99),1),";")),"",ROW($1:$99)+1),COLUMN(K101)),SMALL(IF(ISERROR(SEARCH(MID(";"&amp;'CASE DATA'!$F101&amp;";",ROW($1:$99),1),";")),"",ROW($1:$99)),COLUMN(K100)+1)-SMALL(IF(ISERROR(SEARCH(MID(";"&amp;'CASE DATA'!$F101&amp;";",ROW($1:$99),1),";")),"",ROW($1:$99)),COLUMN(K100))-1)</f>
        <v/>
      </c>
      <c r="AG101" s="29" t="str">
        <f t="array" ref="AG101">MID(";"&amp;'CASE DATA'!$F101&amp;";",SMALL(IF(ISERROR(SEARCH(MID(";"&amp;'CASE DATA'!$F101&amp;";",ROW($1:$99),1),";")),"",ROW($1:$99)+1),COLUMN(L101)),SMALL(IF(ISERROR(SEARCH(MID(";"&amp;'CASE DATA'!$F101&amp;";",ROW($1:$99),1),";")),"",ROW($1:$99)),COLUMN(L100)+1)-SMALL(IF(ISERROR(SEARCH(MID(";"&amp;'CASE DATA'!$F101&amp;";",ROW($1:$99),1),";")),"",ROW($1:$99)),COLUMN(L100))-1)</f>
        <v/>
      </c>
      <c r="AH101" s="29"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24"/>
      <c r="D102" s="24"/>
      <c r="E102" s="25"/>
      <c r="F102" s="30"/>
      <c r="J102" s="31"/>
      <c r="K102" s="31"/>
      <c r="L102" s="31"/>
      <c r="M102" s="31"/>
      <c r="N102" s="31"/>
      <c r="O102" s="31"/>
      <c r="P102" s="31"/>
      <c r="Q102" s="31"/>
      <c r="R102" s="31"/>
      <c r="S102" s="31"/>
      <c r="T102" s="28">
        <f t="shared" si="2"/>
        <v>0</v>
      </c>
      <c r="U102" s="28"/>
      <c r="W102" s="29" t="str">
        <f t="array" ref="W102">MID(";"&amp;'CASE DATA'!$F102&amp;";",SMALL(IF(ISERROR(SEARCH(MID(";"&amp;'CASE DATA'!$F102&amp;";",ROW($1:$99),1),";")),"",ROW($1:$99)+1),COLUMN(A102)),SMALL(IF(ISERROR(SEARCH(MID(";"&amp;'CASE DATA'!$F102&amp;";",ROW($1:$99),1),";")),"",ROW($1:$99)),COLUMN(A101)+1)-SMALL(IF(ISERROR(SEARCH(MID(";"&amp;'CASE DATA'!$F102&amp;";",ROW($1:$99),1),";")),"",ROW($1:$99)),COLUMN(A101))-1)</f>
        <v/>
      </c>
      <c r="X102" s="29" t="str">
        <f t="array" ref="X102">MID(";"&amp;'CASE DATA'!$F102&amp;";",SMALL(IF(ISERROR(SEARCH(MID(";"&amp;'CASE DATA'!$F102&amp;";",ROW($1:$99),1),";")),"",ROW($1:$99)+1),COLUMN(B102)),SMALL(IF(ISERROR(SEARCH(MID(";"&amp;'CASE DATA'!$F102&amp;";",ROW($1:$99),1),";")),"",ROW($1:$99)),COLUMN(B101)+1)-SMALL(IF(ISERROR(SEARCH(MID(";"&amp;'CASE DATA'!$F102&amp;";",ROW($1:$99),1),";")),"",ROW($1:$99)),COLUMN(B101))-1)</f>
        <v/>
      </c>
      <c r="Y102" s="29" t="str">
        <f t="array" ref="Y102">MID(";"&amp;'CASE DATA'!$F102&amp;";",SMALL(IF(ISERROR(SEARCH(MID(";"&amp;'CASE DATA'!$F102&amp;";",ROW($1:$99),1),";")),"",ROW($1:$99)+1),COLUMN(D102)),SMALL(IF(ISERROR(SEARCH(MID(";"&amp;'CASE DATA'!$F102&amp;";",ROW($1:$99),1),";")),"",ROW($1:$99)),COLUMN(D101)+1)-SMALL(IF(ISERROR(SEARCH(MID(";"&amp;'CASE DATA'!$F102&amp;";",ROW($1:$99),1),";")),"",ROW($1:$99)),COLUMN(D101))-1)</f>
        <v/>
      </c>
      <c r="Z102" s="29" t="str">
        <f t="array" ref="Z102">MID(";"&amp;'CASE DATA'!$F102&amp;";",SMALL(IF(ISERROR(SEARCH(MID(";"&amp;'CASE DATA'!$F102&amp;";",ROW($1:$99),1),";")),"",ROW($1:$99)+1),COLUMN(E102)),SMALL(IF(ISERROR(SEARCH(MID(";"&amp;'CASE DATA'!$F102&amp;";",ROW($1:$99),1),";")),"",ROW($1:$99)),COLUMN(E101)+1)-SMALL(IF(ISERROR(SEARCH(MID(";"&amp;'CASE DATA'!$F102&amp;";",ROW($1:$99),1),";")),"",ROW($1:$99)),COLUMN(E101))-1)</f>
        <v/>
      </c>
      <c r="AA102" s="29" t="str">
        <f t="array" ref="AA102">MID(";"&amp;'CASE DATA'!$F102&amp;";",SMALL(IF(ISERROR(SEARCH(MID(";"&amp;'CASE DATA'!$F102&amp;";",ROW($1:$99),1),";")),"",ROW($1:$99)+1),COLUMN(F102)),SMALL(IF(ISERROR(SEARCH(MID(";"&amp;'CASE DATA'!$F102&amp;";",ROW($1:$99),1),";")),"",ROW($1:$99)),COLUMN(F101)+1)-SMALL(IF(ISERROR(SEARCH(MID(";"&amp;'CASE DATA'!$F102&amp;";",ROW($1:$99),1),";")),"",ROW($1:$99)),COLUMN(F101))-1)</f>
        <v/>
      </c>
      <c r="AB102" s="29" t="str">
        <f t="array" ref="AB102">MID(";"&amp;'CASE DATA'!$F102&amp;";",SMALL(IF(ISERROR(SEARCH(MID(";"&amp;'CASE DATA'!$F102&amp;";",ROW($1:$99),1),";")),"",ROW($1:$99)+1),COLUMN(G102)),SMALL(IF(ISERROR(SEARCH(MID(";"&amp;'CASE DATA'!$F102&amp;";",ROW($1:$99),1),";")),"",ROW($1:$99)),COLUMN(G101)+1)-SMALL(IF(ISERROR(SEARCH(MID(";"&amp;'CASE DATA'!$F102&amp;";",ROW($1:$99),1),";")),"",ROW($1:$99)),COLUMN(G101))-1)</f>
        <v/>
      </c>
      <c r="AC102" s="29" t="str">
        <f t="array" ref="AC102">MID(";"&amp;'CASE DATA'!$F102&amp;";",SMALL(IF(ISERROR(SEARCH(MID(";"&amp;'CASE DATA'!$F102&amp;";",ROW($1:$99),1),";")),"",ROW($1:$99)+1),COLUMN(H102)),SMALL(IF(ISERROR(SEARCH(MID(";"&amp;'CASE DATA'!$F102&amp;";",ROW($1:$99),1),";")),"",ROW($1:$99)),COLUMN(H101)+1)-SMALL(IF(ISERROR(SEARCH(MID(";"&amp;'CASE DATA'!$F102&amp;";",ROW($1:$99),1),";")),"",ROW($1:$99)),COLUMN(H101))-1)</f>
        <v/>
      </c>
      <c r="AD102" s="29" t="str">
        <f t="array" ref="AD102">MID(";"&amp;'CASE DATA'!$F102&amp;";",SMALL(IF(ISERROR(SEARCH(MID(";"&amp;'CASE DATA'!$F102&amp;";",ROW($1:$99),1),";")),"",ROW($1:$99)+1),COLUMN(I102)),SMALL(IF(ISERROR(SEARCH(MID(";"&amp;'CASE DATA'!$F102&amp;";",ROW($1:$99),1),";")),"",ROW($1:$99)),COLUMN(I101)+1)-SMALL(IF(ISERROR(SEARCH(MID(";"&amp;'CASE DATA'!$F102&amp;";",ROW($1:$99),1),";")),"",ROW($1:$99)),COLUMN(I101))-1)</f>
        <v/>
      </c>
      <c r="AE102" s="29" t="str">
        <f t="array" ref="AE102">MID(";"&amp;'CASE DATA'!$F102&amp;";",SMALL(IF(ISERROR(SEARCH(MID(";"&amp;'CASE DATA'!$F102&amp;";",ROW($1:$99),1),";")),"",ROW($1:$99)+1),COLUMN(J102)),SMALL(IF(ISERROR(SEARCH(MID(";"&amp;'CASE DATA'!$F102&amp;";",ROW($1:$99),1),";")),"",ROW($1:$99)),COLUMN(J101)+1)-SMALL(IF(ISERROR(SEARCH(MID(";"&amp;'CASE DATA'!$F102&amp;";",ROW($1:$99),1),";")),"",ROW($1:$99)),COLUMN(J101))-1)</f>
        <v/>
      </c>
      <c r="AF102" s="29" t="str">
        <f t="array" ref="AF102">MID(";"&amp;'CASE DATA'!$F102&amp;";",SMALL(IF(ISERROR(SEARCH(MID(";"&amp;'CASE DATA'!$F102&amp;";",ROW($1:$99),1),";")),"",ROW($1:$99)+1),COLUMN(K102)),SMALL(IF(ISERROR(SEARCH(MID(";"&amp;'CASE DATA'!$F102&amp;";",ROW($1:$99),1),";")),"",ROW($1:$99)),COLUMN(K101)+1)-SMALL(IF(ISERROR(SEARCH(MID(";"&amp;'CASE DATA'!$F102&amp;";",ROW($1:$99),1),";")),"",ROW($1:$99)),COLUMN(K101))-1)</f>
        <v/>
      </c>
      <c r="AG102" s="29" t="str">
        <f t="array" ref="AG102">MID(";"&amp;'CASE DATA'!$F102&amp;";",SMALL(IF(ISERROR(SEARCH(MID(";"&amp;'CASE DATA'!$F102&amp;";",ROW($1:$99),1),";")),"",ROW($1:$99)+1),COLUMN(L102)),SMALL(IF(ISERROR(SEARCH(MID(";"&amp;'CASE DATA'!$F102&amp;";",ROW($1:$99),1),";")),"",ROW($1:$99)),COLUMN(L101)+1)-SMALL(IF(ISERROR(SEARCH(MID(";"&amp;'CASE DATA'!$F102&amp;";",ROW($1:$99),1),";")),"",ROW($1:$99)),COLUMN(L101))-1)</f>
        <v/>
      </c>
      <c r="AH102" s="29"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24"/>
      <c r="D103" s="24"/>
      <c r="E103" s="25"/>
      <c r="F103" s="30"/>
      <c r="J103" s="31"/>
      <c r="K103" s="31"/>
      <c r="L103" s="31"/>
      <c r="M103" s="31"/>
      <c r="N103" s="31"/>
      <c r="O103" s="31"/>
      <c r="P103" s="31"/>
      <c r="Q103" s="31"/>
      <c r="R103" s="31"/>
      <c r="S103" s="31"/>
      <c r="T103" s="28">
        <f t="shared" si="2"/>
        <v>0</v>
      </c>
      <c r="U103" s="28"/>
      <c r="W103" s="29" t="str">
        <f t="array" ref="W103">MID(";"&amp;'CASE DATA'!$F103&amp;";",SMALL(IF(ISERROR(SEARCH(MID(";"&amp;'CASE DATA'!$F103&amp;";",ROW($1:$99),1),";")),"",ROW($1:$99)+1),COLUMN(A103)),SMALL(IF(ISERROR(SEARCH(MID(";"&amp;'CASE DATA'!$F103&amp;";",ROW($1:$99),1),";")),"",ROW($1:$99)),COLUMN(A102)+1)-SMALL(IF(ISERROR(SEARCH(MID(";"&amp;'CASE DATA'!$F103&amp;";",ROW($1:$99),1),";")),"",ROW($1:$99)),COLUMN(A102))-1)</f>
        <v/>
      </c>
      <c r="X103" s="29" t="str">
        <f t="array" ref="X103">MID(";"&amp;'CASE DATA'!$F103&amp;";",SMALL(IF(ISERROR(SEARCH(MID(";"&amp;'CASE DATA'!$F103&amp;";",ROW($1:$99),1),";")),"",ROW($1:$99)+1),COLUMN(B103)),SMALL(IF(ISERROR(SEARCH(MID(";"&amp;'CASE DATA'!$F103&amp;";",ROW($1:$99),1),";")),"",ROW($1:$99)),COLUMN(B102)+1)-SMALL(IF(ISERROR(SEARCH(MID(";"&amp;'CASE DATA'!$F103&amp;";",ROW($1:$99),1),";")),"",ROW($1:$99)),COLUMN(B102))-1)</f>
        <v/>
      </c>
      <c r="Y103" s="29" t="str">
        <f t="array" ref="Y103">MID(";"&amp;'CASE DATA'!$F103&amp;";",SMALL(IF(ISERROR(SEARCH(MID(";"&amp;'CASE DATA'!$F103&amp;";",ROW($1:$99),1),";")),"",ROW($1:$99)+1),COLUMN(D103)),SMALL(IF(ISERROR(SEARCH(MID(";"&amp;'CASE DATA'!$F103&amp;";",ROW($1:$99),1),";")),"",ROW($1:$99)),COLUMN(D102)+1)-SMALL(IF(ISERROR(SEARCH(MID(";"&amp;'CASE DATA'!$F103&amp;";",ROW($1:$99),1),";")),"",ROW($1:$99)),COLUMN(D102))-1)</f>
        <v/>
      </c>
      <c r="Z103" s="29" t="str">
        <f t="array" ref="Z103">MID(";"&amp;'CASE DATA'!$F103&amp;";",SMALL(IF(ISERROR(SEARCH(MID(";"&amp;'CASE DATA'!$F103&amp;";",ROW($1:$99),1),";")),"",ROW($1:$99)+1),COLUMN(E103)),SMALL(IF(ISERROR(SEARCH(MID(";"&amp;'CASE DATA'!$F103&amp;";",ROW($1:$99),1),";")),"",ROW($1:$99)),COLUMN(E102)+1)-SMALL(IF(ISERROR(SEARCH(MID(";"&amp;'CASE DATA'!$F103&amp;";",ROW($1:$99),1),";")),"",ROW($1:$99)),COLUMN(E102))-1)</f>
        <v/>
      </c>
      <c r="AA103" s="29" t="str">
        <f t="array" ref="AA103">MID(";"&amp;'CASE DATA'!$F103&amp;";",SMALL(IF(ISERROR(SEARCH(MID(";"&amp;'CASE DATA'!$F103&amp;";",ROW($1:$99),1),";")),"",ROW($1:$99)+1),COLUMN(F103)),SMALL(IF(ISERROR(SEARCH(MID(";"&amp;'CASE DATA'!$F103&amp;";",ROW($1:$99),1),";")),"",ROW($1:$99)),COLUMN(F102)+1)-SMALL(IF(ISERROR(SEARCH(MID(";"&amp;'CASE DATA'!$F103&amp;";",ROW($1:$99),1),";")),"",ROW($1:$99)),COLUMN(F102))-1)</f>
        <v/>
      </c>
      <c r="AB103" s="29" t="str">
        <f t="array" ref="AB103">MID(";"&amp;'CASE DATA'!$F103&amp;";",SMALL(IF(ISERROR(SEARCH(MID(";"&amp;'CASE DATA'!$F103&amp;";",ROW($1:$99),1),";")),"",ROW($1:$99)+1),COLUMN(G103)),SMALL(IF(ISERROR(SEARCH(MID(";"&amp;'CASE DATA'!$F103&amp;";",ROW($1:$99),1),";")),"",ROW($1:$99)),COLUMN(G102)+1)-SMALL(IF(ISERROR(SEARCH(MID(";"&amp;'CASE DATA'!$F103&amp;";",ROW($1:$99),1),";")),"",ROW($1:$99)),COLUMN(G102))-1)</f>
        <v/>
      </c>
      <c r="AC103" s="29" t="str">
        <f t="array" ref="AC103">MID(";"&amp;'CASE DATA'!$F103&amp;";",SMALL(IF(ISERROR(SEARCH(MID(";"&amp;'CASE DATA'!$F103&amp;";",ROW($1:$99),1),";")),"",ROW($1:$99)+1),COLUMN(H103)),SMALL(IF(ISERROR(SEARCH(MID(";"&amp;'CASE DATA'!$F103&amp;";",ROW($1:$99),1),";")),"",ROW($1:$99)),COLUMN(H102)+1)-SMALL(IF(ISERROR(SEARCH(MID(";"&amp;'CASE DATA'!$F103&amp;";",ROW($1:$99),1),";")),"",ROW($1:$99)),COLUMN(H102))-1)</f>
        <v/>
      </c>
      <c r="AD103" s="29" t="str">
        <f t="array" ref="AD103">MID(";"&amp;'CASE DATA'!$F103&amp;";",SMALL(IF(ISERROR(SEARCH(MID(";"&amp;'CASE DATA'!$F103&amp;";",ROW($1:$99),1),";")),"",ROW($1:$99)+1),COLUMN(I103)),SMALL(IF(ISERROR(SEARCH(MID(";"&amp;'CASE DATA'!$F103&amp;";",ROW($1:$99),1),";")),"",ROW($1:$99)),COLUMN(I102)+1)-SMALL(IF(ISERROR(SEARCH(MID(";"&amp;'CASE DATA'!$F103&amp;";",ROW($1:$99),1),";")),"",ROW($1:$99)),COLUMN(I102))-1)</f>
        <v/>
      </c>
      <c r="AE103" s="29" t="str">
        <f t="array" ref="AE103">MID(";"&amp;'CASE DATA'!$F103&amp;";",SMALL(IF(ISERROR(SEARCH(MID(";"&amp;'CASE DATA'!$F103&amp;";",ROW($1:$99),1),";")),"",ROW($1:$99)+1),COLUMN(J103)),SMALL(IF(ISERROR(SEARCH(MID(";"&amp;'CASE DATA'!$F103&amp;";",ROW($1:$99),1),";")),"",ROW($1:$99)),COLUMN(J102)+1)-SMALL(IF(ISERROR(SEARCH(MID(";"&amp;'CASE DATA'!$F103&amp;";",ROW($1:$99),1),";")),"",ROW($1:$99)),COLUMN(J102))-1)</f>
        <v/>
      </c>
      <c r="AF103" s="29" t="str">
        <f t="array" ref="AF103">MID(";"&amp;'CASE DATA'!$F103&amp;";",SMALL(IF(ISERROR(SEARCH(MID(";"&amp;'CASE DATA'!$F103&amp;";",ROW($1:$99),1),";")),"",ROW($1:$99)+1),COLUMN(K103)),SMALL(IF(ISERROR(SEARCH(MID(";"&amp;'CASE DATA'!$F103&amp;";",ROW($1:$99),1),";")),"",ROW($1:$99)),COLUMN(K102)+1)-SMALL(IF(ISERROR(SEARCH(MID(";"&amp;'CASE DATA'!$F103&amp;";",ROW($1:$99),1),";")),"",ROW($1:$99)),COLUMN(K102))-1)</f>
        <v/>
      </c>
      <c r="AG103" s="29" t="str">
        <f t="array" ref="AG103">MID(";"&amp;'CASE DATA'!$F103&amp;";",SMALL(IF(ISERROR(SEARCH(MID(";"&amp;'CASE DATA'!$F103&amp;";",ROW($1:$99),1),";")),"",ROW($1:$99)+1),COLUMN(L103)),SMALL(IF(ISERROR(SEARCH(MID(";"&amp;'CASE DATA'!$F103&amp;";",ROW($1:$99),1),";")),"",ROW($1:$99)),COLUMN(L102)+1)-SMALL(IF(ISERROR(SEARCH(MID(";"&amp;'CASE DATA'!$F103&amp;";",ROW($1:$99),1),";")),"",ROW($1:$99)),COLUMN(L102))-1)</f>
        <v/>
      </c>
      <c r="AH103" s="29"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24"/>
      <c r="D104" s="24"/>
      <c r="E104" s="25"/>
      <c r="F104" s="30"/>
      <c r="J104" s="31"/>
      <c r="K104" s="31"/>
      <c r="L104" s="31"/>
      <c r="M104" s="31"/>
      <c r="N104" s="31"/>
      <c r="O104" s="31"/>
      <c r="P104" s="31"/>
      <c r="Q104" s="31"/>
      <c r="R104" s="31"/>
      <c r="S104" s="31"/>
      <c r="T104" s="28">
        <f t="shared" si="2"/>
        <v>0</v>
      </c>
      <c r="U104" s="28"/>
      <c r="W104" s="29" t="str">
        <f t="array" ref="W104">MID(";"&amp;'CASE DATA'!$F104&amp;";",SMALL(IF(ISERROR(SEARCH(MID(";"&amp;'CASE DATA'!$F104&amp;";",ROW($1:$99),1),";")),"",ROW($1:$99)+1),COLUMN(A104)),SMALL(IF(ISERROR(SEARCH(MID(";"&amp;'CASE DATA'!$F104&amp;";",ROW($1:$99),1),";")),"",ROW($1:$99)),COLUMN(A103)+1)-SMALL(IF(ISERROR(SEARCH(MID(";"&amp;'CASE DATA'!$F104&amp;";",ROW($1:$99),1),";")),"",ROW($1:$99)),COLUMN(A103))-1)</f>
        <v/>
      </c>
      <c r="X104" s="29" t="str">
        <f t="array" ref="X104">MID(";"&amp;'CASE DATA'!$F104&amp;";",SMALL(IF(ISERROR(SEARCH(MID(";"&amp;'CASE DATA'!$F104&amp;";",ROW($1:$99),1),";")),"",ROW($1:$99)+1),COLUMN(B104)),SMALL(IF(ISERROR(SEARCH(MID(";"&amp;'CASE DATA'!$F104&amp;";",ROW($1:$99),1),";")),"",ROW($1:$99)),COLUMN(B103)+1)-SMALL(IF(ISERROR(SEARCH(MID(";"&amp;'CASE DATA'!$F104&amp;";",ROW($1:$99),1),";")),"",ROW($1:$99)),COLUMN(B103))-1)</f>
        <v/>
      </c>
      <c r="Y104" s="29" t="str">
        <f t="array" ref="Y104">MID(";"&amp;'CASE DATA'!$F104&amp;";",SMALL(IF(ISERROR(SEARCH(MID(";"&amp;'CASE DATA'!$F104&amp;";",ROW($1:$99),1),";")),"",ROW($1:$99)+1),COLUMN(D104)),SMALL(IF(ISERROR(SEARCH(MID(";"&amp;'CASE DATA'!$F104&amp;";",ROW($1:$99),1),";")),"",ROW($1:$99)),COLUMN(D103)+1)-SMALL(IF(ISERROR(SEARCH(MID(";"&amp;'CASE DATA'!$F104&amp;";",ROW($1:$99),1),";")),"",ROW($1:$99)),COLUMN(D103))-1)</f>
        <v/>
      </c>
      <c r="Z104" s="29" t="str">
        <f t="array" ref="Z104">MID(";"&amp;'CASE DATA'!$F104&amp;";",SMALL(IF(ISERROR(SEARCH(MID(";"&amp;'CASE DATA'!$F104&amp;";",ROW($1:$99),1),";")),"",ROW($1:$99)+1),COLUMN(E104)),SMALL(IF(ISERROR(SEARCH(MID(";"&amp;'CASE DATA'!$F104&amp;";",ROW($1:$99),1),";")),"",ROW($1:$99)),COLUMN(E103)+1)-SMALL(IF(ISERROR(SEARCH(MID(";"&amp;'CASE DATA'!$F104&amp;";",ROW($1:$99),1),";")),"",ROW($1:$99)),COLUMN(E103))-1)</f>
        <v/>
      </c>
      <c r="AA104" s="29" t="str">
        <f t="array" ref="AA104">MID(";"&amp;'CASE DATA'!$F104&amp;";",SMALL(IF(ISERROR(SEARCH(MID(";"&amp;'CASE DATA'!$F104&amp;";",ROW($1:$99),1),";")),"",ROW($1:$99)+1),COLUMN(F104)),SMALL(IF(ISERROR(SEARCH(MID(";"&amp;'CASE DATA'!$F104&amp;";",ROW($1:$99),1),";")),"",ROW($1:$99)),COLUMN(F103)+1)-SMALL(IF(ISERROR(SEARCH(MID(";"&amp;'CASE DATA'!$F104&amp;";",ROW($1:$99),1),";")),"",ROW($1:$99)),COLUMN(F103))-1)</f>
        <v/>
      </c>
      <c r="AB104" s="29" t="str">
        <f t="array" ref="AB104">MID(";"&amp;'CASE DATA'!$F104&amp;";",SMALL(IF(ISERROR(SEARCH(MID(";"&amp;'CASE DATA'!$F104&amp;";",ROW($1:$99),1),";")),"",ROW($1:$99)+1),COLUMN(G104)),SMALL(IF(ISERROR(SEARCH(MID(";"&amp;'CASE DATA'!$F104&amp;";",ROW($1:$99),1),";")),"",ROW($1:$99)),COLUMN(G103)+1)-SMALL(IF(ISERROR(SEARCH(MID(";"&amp;'CASE DATA'!$F104&amp;";",ROW($1:$99),1),";")),"",ROW($1:$99)),COLUMN(G103))-1)</f>
        <v/>
      </c>
      <c r="AC104" s="29" t="str">
        <f t="array" ref="AC104">MID(";"&amp;'CASE DATA'!$F104&amp;";",SMALL(IF(ISERROR(SEARCH(MID(";"&amp;'CASE DATA'!$F104&amp;";",ROW($1:$99),1),";")),"",ROW($1:$99)+1),COLUMN(H104)),SMALL(IF(ISERROR(SEARCH(MID(";"&amp;'CASE DATA'!$F104&amp;";",ROW($1:$99),1),";")),"",ROW($1:$99)),COLUMN(H103)+1)-SMALL(IF(ISERROR(SEARCH(MID(";"&amp;'CASE DATA'!$F104&amp;";",ROW($1:$99),1),";")),"",ROW($1:$99)),COLUMN(H103))-1)</f>
        <v/>
      </c>
      <c r="AD104" s="29" t="str">
        <f t="array" ref="AD104">MID(";"&amp;'CASE DATA'!$F104&amp;";",SMALL(IF(ISERROR(SEARCH(MID(";"&amp;'CASE DATA'!$F104&amp;";",ROW($1:$99),1),";")),"",ROW($1:$99)+1),COLUMN(I104)),SMALL(IF(ISERROR(SEARCH(MID(";"&amp;'CASE DATA'!$F104&amp;";",ROW($1:$99),1),";")),"",ROW($1:$99)),COLUMN(I103)+1)-SMALL(IF(ISERROR(SEARCH(MID(";"&amp;'CASE DATA'!$F104&amp;";",ROW($1:$99),1),";")),"",ROW($1:$99)),COLUMN(I103))-1)</f>
        <v/>
      </c>
      <c r="AE104" s="29" t="str">
        <f t="array" ref="AE104">MID(";"&amp;'CASE DATA'!$F104&amp;";",SMALL(IF(ISERROR(SEARCH(MID(";"&amp;'CASE DATA'!$F104&amp;";",ROW($1:$99),1),";")),"",ROW($1:$99)+1),COLUMN(J104)),SMALL(IF(ISERROR(SEARCH(MID(";"&amp;'CASE DATA'!$F104&amp;";",ROW($1:$99),1),";")),"",ROW($1:$99)),COLUMN(J103)+1)-SMALL(IF(ISERROR(SEARCH(MID(";"&amp;'CASE DATA'!$F104&amp;";",ROW($1:$99),1),";")),"",ROW($1:$99)),COLUMN(J103))-1)</f>
        <v/>
      </c>
      <c r="AF104" s="29" t="str">
        <f t="array" ref="AF104">MID(";"&amp;'CASE DATA'!$F104&amp;";",SMALL(IF(ISERROR(SEARCH(MID(";"&amp;'CASE DATA'!$F104&amp;";",ROW($1:$99),1),";")),"",ROW($1:$99)+1),COLUMN(K104)),SMALL(IF(ISERROR(SEARCH(MID(";"&amp;'CASE DATA'!$F104&amp;";",ROW($1:$99),1),";")),"",ROW($1:$99)),COLUMN(K103)+1)-SMALL(IF(ISERROR(SEARCH(MID(";"&amp;'CASE DATA'!$F104&amp;";",ROW($1:$99),1),";")),"",ROW($1:$99)),COLUMN(K103))-1)</f>
        <v/>
      </c>
      <c r="AG104" s="29" t="str">
        <f t="array" ref="AG104">MID(";"&amp;'CASE DATA'!$F104&amp;";",SMALL(IF(ISERROR(SEARCH(MID(";"&amp;'CASE DATA'!$F104&amp;";",ROW($1:$99),1),";")),"",ROW($1:$99)+1),COLUMN(L104)),SMALL(IF(ISERROR(SEARCH(MID(";"&amp;'CASE DATA'!$F104&amp;";",ROW($1:$99),1),";")),"",ROW($1:$99)),COLUMN(L103)+1)-SMALL(IF(ISERROR(SEARCH(MID(";"&amp;'CASE DATA'!$F104&amp;";",ROW($1:$99),1),";")),"",ROW($1:$99)),COLUMN(L103))-1)</f>
        <v/>
      </c>
      <c r="AH104" s="29"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24"/>
      <c r="D105" s="24"/>
      <c r="E105" s="25"/>
      <c r="F105" s="30"/>
      <c r="J105" s="31"/>
      <c r="K105" s="31"/>
      <c r="L105" s="31"/>
      <c r="M105" s="31"/>
      <c r="N105" s="31"/>
      <c r="O105" s="31"/>
      <c r="P105" s="31"/>
      <c r="Q105" s="31"/>
      <c r="R105" s="31"/>
      <c r="S105" s="31"/>
      <c r="T105" s="28">
        <f t="shared" si="2"/>
        <v>0</v>
      </c>
      <c r="U105" s="28"/>
      <c r="W105" s="29" t="str">
        <f t="array" ref="W105">MID(";"&amp;'CASE DATA'!$F105&amp;";",SMALL(IF(ISERROR(SEARCH(MID(";"&amp;'CASE DATA'!$F105&amp;";",ROW($1:$99),1),";")),"",ROW($1:$99)+1),COLUMN(A105)),SMALL(IF(ISERROR(SEARCH(MID(";"&amp;'CASE DATA'!$F105&amp;";",ROW($1:$99),1),";")),"",ROW($1:$99)),COLUMN(A104)+1)-SMALL(IF(ISERROR(SEARCH(MID(";"&amp;'CASE DATA'!$F105&amp;";",ROW($1:$99),1),";")),"",ROW($1:$99)),COLUMN(A104))-1)</f>
        <v/>
      </c>
      <c r="X105" s="29" t="str">
        <f t="array" ref="X105">MID(";"&amp;'CASE DATA'!$F105&amp;";",SMALL(IF(ISERROR(SEARCH(MID(";"&amp;'CASE DATA'!$F105&amp;";",ROW($1:$99),1),";")),"",ROW($1:$99)+1),COLUMN(B105)),SMALL(IF(ISERROR(SEARCH(MID(";"&amp;'CASE DATA'!$F105&amp;";",ROW($1:$99),1),";")),"",ROW($1:$99)),COLUMN(B104)+1)-SMALL(IF(ISERROR(SEARCH(MID(";"&amp;'CASE DATA'!$F105&amp;";",ROW($1:$99),1),";")),"",ROW($1:$99)),COLUMN(B104))-1)</f>
        <v/>
      </c>
      <c r="Y105" s="29" t="str">
        <f t="array" ref="Y105">MID(";"&amp;'CASE DATA'!$F105&amp;";",SMALL(IF(ISERROR(SEARCH(MID(";"&amp;'CASE DATA'!$F105&amp;";",ROW($1:$99),1),";")),"",ROW($1:$99)+1),COLUMN(D105)),SMALL(IF(ISERROR(SEARCH(MID(";"&amp;'CASE DATA'!$F105&amp;";",ROW($1:$99),1),";")),"",ROW($1:$99)),COLUMN(D104)+1)-SMALL(IF(ISERROR(SEARCH(MID(";"&amp;'CASE DATA'!$F105&amp;";",ROW($1:$99),1),";")),"",ROW($1:$99)),COLUMN(D104))-1)</f>
        <v/>
      </c>
      <c r="Z105" s="29" t="str">
        <f t="array" ref="Z105">MID(";"&amp;'CASE DATA'!$F105&amp;";",SMALL(IF(ISERROR(SEARCH(MID(";"&amp;'CASE DATA'!$F105&amp;";",ROW($1:$99),1),";")),"",ROW($1:$99)+1),COLUMN(E105)),SMALL(IF(ISERROR(SEARCH(MID(";"&amp;'CASE DATA'!$F105&amp;";",ROW($1:$99),1),";")),"",ROW($1:$99)),COLUMN(E104)+1)-SMALL(IF(ISERROR(SEARCH(MID(";"&amp;'CASE DATA'!$F105&amp;";",ROW($1:$99),1),";")),"",ROW($1:$99)),COLUMN(E104))-1)</f>
        <v/>
      </c>
      <c r="AA105" s="29" t="str">
        <f t="array" ref="AA105">MID(";"&amp;'CASE DATA'!$F105&amp;";",SMALL(IF(ISERROR(SEARCH(MID(";"&amp;'CASE DATA'!$F105&amp;";",ROW($1:$99),1),";")),"",ROW($1:$99)+1),COLUMN(F105)),SMALL(IF(ISERROR(SEARCH(MID(";"&amp;'CASE DATA'!$F105&amp;";",ROW($1:$99),1),";")),"",ROW($1:$99)),COLUMN(F104)+1)-SMALL(IF(ISERROR(SEARCH(MID(";"&amp;'CASE DATA'!$F105&amp;";",ROW($1:$99),1),";")),"",ROW($1:$99)),COLUMN(F104))-1)</f>
        <v/>
      </c>
      <c r="AB105" s="29" t="str">
        <f t="array" ref="AB105">MID(";"&amp;'CASE DATA'!$F105&amp;";",SMALL(IF(ISERROR(SEARCH(MID(";"&amp;'CASE DATA'!$F105&amp;";",ROW($1:$99),1),";")),"",ROW($1:$99)+1),COLUMN(G105)),SMALL(IF(ISERROR(SEARCH(MID(";"&amp;'CASE DATA'!$F105&amp;";",ROW($1:$99),1),";")),"",ROW($1:$99)),COLUMN(G104)+1)-SMALL(IF(ISERROR(SEARCH(MID(";"&amp;'CASE DATA'!$F105&amp;";",ROW($1:$99),1),";")),"",ROW($1:$99)),COLUMN(G104))-1)</f>
        <v/>
      </c>
      <c r="AC105" s="29" t="str">
        <f t="array" ref="AC105">MID(";"&amp;'CASE DATA'!$F105&amp;";",SMALL(IF(ISERROR(SEARCH(MID(";"&amp;'CASE DATA'!$F105&amp;";",ROW($1:$99),1),";")),"",ROW($1:$99)+1),COLUMN(H105)),SMALL(IF(ISERROR(SEARCH(MID(";"&amp;'CASE DATA'!$F105&amp;";",ROW($1:$99),1),";")),"",ROW($1:$99)),COLUMN(H104)+1)-SMALL(IF(ISERROR(SEARCH(MID(";"&amp;'CASE DATA'!$F105&amp;";",ROW($1:$99),1),";")),"",ROW($1:$99)),COLUMN(H104))-1)</f>
        <v/>
      </c>
      <c r="AD105" s="29" t="str">
        <f t="array" ref="AD105">MID(";"&amp;'CASE DATA'!$F105&amp;";",SMALL(IF(ISERROR(SEARCH(MID(";"&amp;'CASE DATA'!$F105&amp;";",ROW($1:$99),1),";")),"",ROW($1:$99)+1),COLUMN(I105)),SMALL(IF(ISERROR(SEARCH(MID(";"&amp;'CASE DATA'!$F105&amp;";",ROW($1:$99),1),";")),"",ROW($1:$99)),COLUMN(I104)+1)-SMALL(IF(ISERROR(SEARCH(MID(";"&amp;'CASE DATA'!$F105&amp;";",ROW($1:$99),1),";")),"",ROW($1:$99)),COLUMN(I104))-1)</f>
        <v/>
      </c>
      <c r="AE105" s="29" t="str">
        <f t="array" ref="AE105">MID(";"&amp;'CASE DATA'!$F105&amp;";",SMALL(IF(ISERROR(SEARCH(MID(";"&amp;'CASE DATA'!$F105&amp;";",ROW($1:$99),1),";")),"",ROW($1:$99)+1),COLUMN(J105)),SMALL(IF(ISERROR(SEARCH(MID(";"&amp;'CASE DATA'!$F105&amp;";",ROW($1:$99),1),";")),"",ROW($1:$99)),COLUMN(J104)+1)-SMALL(IF(ISERROR(SEARCH(MID(";"&amp;'CASE DATA'!$F105&amp;";",ROW($1:$99),1),";")),"",ROW($1:$99)),COLUMN(J104))-1)</f>
        <v/>
      </c>
      <c r="AF105" s="29" t="str">
        <f t="array" ref="AF105">MID(";"&amp;'CASE DATA'!$F105&amp;";",SMALL(IF(ISERROR(SEARCH(MID(";"&amp;'CASE DATA'!$F105&amp;";",ROW($1:$99),1),";")),"",ROW($1:$99)+1),COLUMN(K105)),SMALL(IF(ISERROR(SEARCH(MID(";"&amp;'CASE DATA'!$F105&amp;";",ROW($1:$99),1),";")),"",ROW($1:$99)),COLUMN(K104)+1)-SMALL(IF(ISERROR(SEARCH(MID(";"&amp;'CASE DATA'!$F105&amp;";",ROW($1:$99),1),";")),"",ROW($1:$99)),COLUMN(K104))-1)</f>
        <v/>
      </c>
      <c r="AG105" s="29" t="str">
        <f t="array" ref="AG105">MID(";"&amp;'CASE DATA'!$F105&amp;";",SMALL(IF(ISERROR(SEARCH(MID(";"&amp;'CASE DATA'!$F105&amp;";",ROW($1:$99),1),";")),"",ROW($1:$99)+1),COLUMN(L105)),SMALL(IF(ISERROR(SEARCH(MID(";"&amp;'CASE DATA'!$F105&amp;";",ROW($1:$99),1),";")),"",ROW($1:$99)),COLUMN(L104)+1)-SMALL(IF(ISERROR(SEARCH(MID(";"&amp;'CASE DATA'!$F105&amp;";",ROW($1:$99),1),";")),"",ROW($1:$99)),COLUMN(L104))-1)</f>
        <v/>
      </c>
      <c r="AH105" s="29"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24"/>
      <c r="D106" s="24"/>
      <c r="E106" s="25"/>
      <c r="F106" s="30"/>
      <c r="J106" s="31"/>
      <c r="K106" s="31"/>
      <c r="L106" s="31"/>
      <c r="M106" s="31"/>
      <c r="N106" s="31"/>
      <c r="O106" s="31"/>
      <c r="P106" s="31"/>
      <c r="Q106" s="31"/>
      <c r="R106" s="31"/>
      <c r="S106" s="31"/>
      <c r="T106" s="28">
        <f t="shared" si="2"/>
        <v>0</v>
      </c>
      <c r="U106" s="28"/>
      <c r="W106" s="29" t="str">
        <f t="array" ref="W106">MID(";"&amp;'CASE DATA'!$F106&amp;";",SMALL(IF(ISERROR(SEARCH(MID(";"&amp;'CASE DATA'!$F106&amp;";",ROW($1:$99),1),";")),"",ROW($1:$99)+1),COLUMN(A106)),SMALL(IF(ISERROR(SEARCH(MID(";"&amp;'CASE DATA'!$F106&amp;";",ROW($1:$99),1),";")),"",ROW($1:$99)),COLUMN(A105)+1)-SMALL(IF(ISERROR(SEARCH(MID(";"&amp;'CASE DATA'!$F106&amp;";",ROW($1:$99),1),";")),"",ROW($1:$99)),COLUMN(A105))-1)</f>
        <v/>
      </c>
      <c r="X106" s="29" t="str">
        <f t="array" ref="X106">MID(";"&amp;'CASE DATA'!$F106&amp;";",SMALL(IF(ISERROR(SEARCH(MID(";"&amp;'CASE DATA'!$F106&amp;";",ROW($1:$99),1),";")),"",ROW($1:$99)+1),COLUMN(B106)),SMALL(IF(ISERROR(SEARCH(MID(";"&amp;'CASE DATA'!$F106&amp;";",ROW($1:$99),1),";")),"",ROW($1:$99)),COLUMN(B105)+1)-SMALL(IF(ISERROR(SEARCH(MID(";"&amp;'CASE DATA'!$F106&amp;";",ROW($1:$99),1),";")),"",ROW($1:$99)),COLUMN(B105))-1)</f>
        <v/>
      </c>
      <c r="Y106" s="29" t="str">
        <f t="array" ref="Y106">MID(";"&amp;'CASE DATA'!$F106&amp;";",SMALL(IF(ISERROR(SEARCH(MID(";"&amp;'CASE DATA'!$F106&amp;";",ROW($1:$99),1),";")),"",ROW($1:$99)+1),COLUMN(D106)),SMALL(IF(ISERROR(SEARCH(MID(";"&amp;'CASE DATA'!$F106&amp;";",ROW($1:$99),1),";")),"",ROW($1:$99)),COLUMN(D105)+1)-SMALL(IF(ISERROR(SEARCH(MID(";"&amp;'CASE DATA'!$F106&amp;";",ROW($1:$99),1),";")),"",ROW($1:$99)),COLUMN(D105))-1)</f>
        <v/>
      </c>
      <c r="Z106" s="29" t="str">
        <f t="array" ref="Z106">MID(";"&amp;'CASE DATA'!$F106&amp;";",SMALL(IF(ISERROR(SEARCH(MID(";"&amp;'CASE DATA'!$F106&amp;";",ROW($1:$99),1),";")),"",ROW($1:$99)+1),COLUMN(E106)),SMALL(IF(ISERROR(SEARCH(MID(";"&amp;'CASE DATA'!$F106&amp;";",ROW($1:$99),1),";")),"",ROW($1:$99)),COLUMN(E105)+1)-SMALL(IF(ISERROR(SEARCH(MID(";"&amp;'CASE DATA'!$F106&amp;";",ROW($1:$99),1),";")),"",ROW($1:$99)),COLUMN(E105))-1)</f>
        <v/>
      </c>
      <c r="AA106" s="29" t="str">
        <f t="array" ref="AA106">MID(";"&amp;'CASE DATA'!$F106&amp;";",SMALL(IF(ISERROR(SEARCH(MID(";"&amp;'CASE DATA'!$F106&amp;";",ROW($1:$99),1),";")),"",ROW($1:$99)+1),COLUMN(F106)),SMALL(IF(ISERROR(SEARCH(MID(";"&amp;'CASE DATA'!$F106&amp;";",ROW($1:$99),1),";")),"",ROW($1:$99)),COLUMN(F105)+1)-SMALL(IF(ISERROR(SEARCH(MID(";"&amp;'CASE DATA'!$F106&amp;";",ROW($1:$99),1),";")),"",ROW($1:$99)),COLUMN(F105))-1)</f>
        <v/>
      </c>
      <c r="AB106" s="29" t="str">
        <f t="array" ref="AB106">MID(";"&amp;'CASE DATA'!$F106&amp;";",SMALL(IF(ISERROR(SEARCH(MID(";"&amp;'CASE DATA'!$F106&amp;";",ROW($1:$99),1),";")),"",ROW($1:$99)+1),COLUMN(G106)),SMALL(IF(ISERROR(SEARCH(MID(";"&amp;'CASE DATA'!$F106&amp;";",ROW($1:$99),1),";")),"",ROW($1:$99)),COLUMN(G105)+1)-SMALL(IF(ISERROR(SEARCH(MID(";"&amp;'CASE DATA'!$F106&amp;";",ROW($1:$99),1),";")),"",ROW($1:$99)),COLUMN(G105))-1)</f>
        <v/>
      </c>
      <c r="AC106" s="29" t="str">
        <f t="array" ref="AC106">MID(";"&amp;'CASE DATA'!$F106&amp;";",SMALL(IF(ISERROR(SEARCH(MID(";"&amp;'CASE DATA'!$F106&amp;";",ROW($1:$99),1),";")),"",ROW($1:$99)+1),COLUMN(H106)),SMALL(IF(ISERROR(SEARCH(MID(";"&amp;'CASE DATA'!$F106&amp;";",ROW($1:$99),1),";")),"",ROW($1:$99)),COLUMN(H105)+1)-SMALL(IF(ISERROR(SEARCH(MID(";"&amp;'CASE DATA'!$F106&amp;";",ROW($1:$99),1),";")),"",ROW($1:$99)),COLUMN(H105))-1)</f>
        <v/>
      </c>
      <c r="AD106" s="29" t="str">
        <f t="array" ref="AD106">MID(";"&amp;'CASE DATA'!$F106&amp;";",SMALL(IF(ISERROR(SEARCH(MID(";"&amp;'CASE DATA'!$F106&amp;";",ROW($1:$99),1),";")),"",ROW($1:$99)+1),COLUMN(I106)),SMALL(IF(ISERROR(SEARCH(MID(";"&amp;'CASE DATA'!$F106&amp;";",ROW($1:$99),1),";")),"",ROW($1:$99)),COLUMN(I105)+1)-SMALL(IF(ISERROR(SEARCH(MID(";"&amp;'CASE DATA'!$F106&amp;";",ROW($1:$99),1),";")),"",ROW($1:$99)),COLUMN(I105))-1)</f>
        <v/>
      </c>
      <c r="AE106" s="29" t="str">
        <f t="array" ref="AE106">MID(";"&amp;'CASE DATA'!$F106&amp;";",SMALL(IF(ISERROR(SEARCH(MID(";"&amp;'CASE DATA'!$F106&amp;";",ROW($1:$99),1),";")),"",ROW($1:$99)+1),COLUMN(J106)),SMALL(IF(ISERROR(SEARCH(MID(";"&amp;'CASE DATA'!$F106&amp;";",ROW($1:$99),1),";")),"",ROW($1:$99)),COLUMN(J105)+1)-SMALL(IF(ISERROR(SEARCH(MID(";"&amp;'CASE DATA'!$F106&amp;";",ROW($1:$99),1),";")),"",ROW($1:$99)),COLUMN(J105))-1)</f>
        <v/>
      </c>
      <c r="AF106" s="29" t="str">
        <f t="array" ref="AF106">MID(";"&amp;'CASE DATA'!$F106&amp;";",SMALL(IF(ISERROR(SEARCH(MID(";"&amp;'CASE DATA'!$F106&amp;";",ROW($1:$99),1),";")),"",ROW($1:$99)+1),COLUMN(K106)),SMALL(IF(ISERROR(SEARCH(MID(";"&amp;'CASE DATA'!$F106&amp;";",ROW($1:$99),1),";")),"",ROW($1:$99)),COLUMN(K105)+1)-SMALL(IF(ISERROR(SEARCH(MID(";"&amp;'CASE DATA'!$F106&amp;";",ROW($1:$99),1),";")),"",ROW($1:$99)),COLUMN(K105))-1)</f>
        <v/>
      </c>
      <c r="AG106" s="29" t="str">
        <f t="array" ref="AG106">MID(";"&amp;'CASE DATA'!$F106&amp;";",SMALL(IF(ISERROR(SEARCH(MID(";"&amp;'CASE DATA'!$F106&amp;";",ROW($1:$99),1),";")),"",ROW($1:$99)+1),COLUMN(L106)),SMALL(IF(ISERROR(SEARCH(MID(";"&amp;'CASE DATA'!$F106&amp;";",ROW($1:$99),1),";")),"",ROW($1:$99)),COLUMN(L105)+1)-SMALL(IF(ISERROR(SEARCH(MID(";"&amp;'CASE DATA'!$F106&amp;";",ROW($1:$99),1),";")),"",ROW($1:$99)),COLUMN(L105))-1)</f>
        <v/>
      </c>
      <c r="AH106" s="29"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24"/>
      <c r="D107" s="24"/>
      <c r="E107" s="25"/>
      <c r="F107" s="30"/>
      <c r="J107" s="31"/>
      <c r="K107" s="31"/>
      <c r="L107" s="31"/>
      <c r="M107" s="31"/>
      <c r="N107" s="31"/>
      <c r="O107" s="31"/>
      <c r="P107" s="31"/>
      <c r="Q107" s="31"/>
      <c r="R107" s="31"/>
      <c r="S107" s="31"/>
      <c r="T107" s="28">
        <f t="shared" si="2"/>
        <v>0</v>
      </c>
      <c r="U107" s="28"/>
      <c r="W107" s="29" t="str">
        <f t="array" ref="W107">MID(";"&amp;'CASE DATA'!$F107&amp;";",SMALL(IF(ISERROR(SEARCH(MID(";"&amp;'CASE DATA'!$F107&amp;";",ROW($1:$99),1),";")),"",ROW($1:$99)+1),COLUMN(A107)),SMALL(IF(ISERROR(SEARCH(MID(";"&amp;'CASE DATA'!$F107&amp;";",ROW($1:$99),1),";")),"",ROW($1:$99)),COLUMN(A106)+1)-SMALL(IF(ISERROR(SEARCH(MID(";"&amp;'CASE DATA'!$F107&amp;";",ROW($1:$99),1),";")),"",ROW($1:$99)),COLUMN(A106))-1)</f>
        <v/>
      </c>
      <c r="X107" s="29" t="str">
        <f t="array" ref="X107">MID(";"&amp;'CASE DATA'!$F107&amp;";",SMALL(IF(ISERROR(SEARCH(MID(";"&amp;'CASE DATA'!$F107&amp;";",ROW($1:$99),1),";")),"",ROW($1:$99)+1),COLUMN(B107)),SMALL(IF(ISERROR(SEARCH(MID(";"&amp;'CASE DATA'!$F107&amp;";",ROW($1:$99),1),";")),"",ROW($1:$99)),COLUMN(B106)+1)-SMALL(IF(ISERROR(SEARCH(MID(";"&amp;'CASE DATA'!$F107&amp;";",ROW($1:$99),1),";")),"",ROW($1:$99)),COLUMN(B106))-1)</f>
        <v/>
      </c>
      <c r="Y107" s="29" t="str">
        <f t="array" ref="Y107">MID(";"&amp;'CASE DATA'!$F107&amp;";",SMALL(IF(ISERROR(SEARCH(MID(";"&amp;'CASE DATA'!$F107&amp;";",ROW($1:$99),1),";")),"",ROW($1:$99)+1),COLUMN(D107)),SMALL(IF(ISERROR(SEARCH(MID(";"&amp;'CASE DATA'!$F107&amp;";",ROW($1:$99),1),";")),"",ROW($1:$99)),COLUMN(D106)+1)-SMALL(IF(ISERROR(SEARCH(MID(";"&amp;'CASE DATA'!$F107&amp;";",ROW($1:$99),1),";")),"",ROW($1:$99)),COLUMN(D106))-1)</f>
        <v/>
      </c>
      <c r="Z107" s="29" t="str">
        <f t="array" ref="Z107">MID(";"&amp;'CASE DATA'!$F107&amp;";",SMALL(IF(ISERROR(SEARCH(MID(";"&amp;'CASE DATA'!$F107&amp;";",ROW($1:$99),1),";")),"",ROW($1:$99)+1),COLUMN(E107)),SMALL(IF(ISERROR(SEARCH(MID(";"&amp;'CASE DATA'!$F107&amp;";",ROW($1:$99),1),";")),"",ROW($1:$99)),COLUMN(E106)+1)-SMALL(IF(ISERROR(SEARCH(MID(";"&amp;'CASE DATA'!$F107&amp;";",ROW($1:$99),1),";")),"",ROW($1:$99)),COLUMN(E106))-1)</f>
        <v/>
      </c>
      <c r="AA107" s="29" t="str">
        <f t="array" ref="AA107">MID(";"&amp;'CASE DATA'!$F107&amp;";",SMALL(IF(ISERROR(SEARCH(MID(";"&amp;'CASE DATA'!$F107&amp;";",ROW($1:$99),1),";")),"",ROW($1:$99)+1),COLUMN(F107)),SMALL(IF(ISERROR(SEARCH(MID(";"&amp;'CASE DATA'!$F107&amp;";",ROW($1:$99),1),";")),"",ROW($1:$99)),COLUMN(F106)+1)-SMALL(IF(ISERROR(SEARCH(MID(";"&amp;'CASE DATA'!$F107&amp;";",ROW($1:$99),1),";")),"",ROW($1:$99)),COLUMN(F106))-1)</f>
        <v/>
      </c>
      <c r="AB107" s="29" t="str">
        <f t="array" ref="AB107">MID(";"&amp;'CASE DATA'!$F107&amp;";",SMALL(IF(ISERROR(SEARCH(MID(";"&amp;'CASE DATA'!$F107&amp;";",ROW($1:$99),1),";")),"",ROW($1:$99)+1),COLUMN(G107)),SMALL(IF(ISERROR(SEARCH(MID(";"&amp;'CASE DATA'!$F107&amp;";",ROW($1:$99),1),";")),"",ROW($1:$99)),COLUMN(G106)+1)-SMALL(IF(ISERROR(SEARCH(MID(";"&amp;'CASE DATA'!$F107&amp;";",ROW($1:$99),1),";")),"",ROW($1:$99)),COLUMN(G106))-1)</f>
        <v/>
      </c>
      <c r="AC107" s="29" t="str">
        <f t="array" ref="AC107">MID(";"&amp;'CASE DATA'!$F107&amp;";",SMALL(IF(ISERROR(SEARCH(MID(";"&amp;'CASE DATA'!$F107&amp;";",ROW($1:$99),1),";")),"",ROW($1:$99)+1),COLUMN(H107)),SMALL(IF(ISERROR(SEARCH(MID(";"&amp;'CASE DATA'!$F107&amp;";",ROW($1:$99),1),";")),"",ROW($1:$99)),COLUMN(H106)+1)-SMALL(IF(ISERROR(SEARCH(MID(";"&amp;'CASE DATA'!$F107&amp;";",ROW($1:$99),1),";")),"",ROW($1:$99)),COLUMN(H106))-1)</f>
        <v/>
      </c>
      <c r="AD107" s="29" t="str">
        <f t="array" ref="AD107">MID(";"&amp;'CASE DATA'!$F107&amp;";",SMALL(IF(ISERROR(SEARCH(MID(";"&amp;'CASE DATA'!$F107&amp;";",ROW($1:$99),1),";")),"",ROW($1:$99)+1),COLUMN(I107)),SMALL(IF(ISERROR(SEARCH(MID(";"&amp;'CASE DATA'!$F107&amp;";",ROW($1:$99),1),";")),"",ROW($1:$99)),COLUMN(I106)+1)-SMALL(IF(ISERROR(SEARCH(MID(";"&amp;'CASE DATA'!$F107&amp;";",ROW($1:$99),1),";")),"",ROW($1:$99)),COLUMN(I106))-1)</f>
        <v/>
      </c>
      <c r="AE107" s="29" t="str">
        <f t="array" ref="AE107">MID(";"&amp;'CASE DATA'!$F107&amp;";",SMALL(IF(ISERROR(SEARCH(MID(";"&amp;'CASE DATA'!$F107&amp;";",ROW($1:$99),1),";")),"",ROW($1:$99)+1),COLUMN(J107)),SMALL(IF(ISERROR(SEARCH(MID(";"&amp;'CASE DATA'!$F107&amp;";",ROW($1:$99),1),";")),"",ROW($1:$99)),COLUMN(J106)+1)-SMALL(IF(ISERROR(SEARCH(MID(";"&amp;'CASE DATA'!$F107&amp;";",ROW($1:$99),1),";")),"",ROW($1:$99)),COLUMN(J106))-1)</f>
        <v/>
      </c>
      <c r="AF107" s="29" t="str">
        <f t="array" ref="AF107">MID(";"&amp;'CASE DATA'!$F107&amp;";",SMALL(IF(ISERROR(SEARCH(MID(";"&amp;'CASE DATA'!$F107&amp;";",ROW($1:$99),1),";")),"",ROW($1:$99)+1),COLUMN(K107)),SMALL(IF(ISERROR(SEARCH(MID(";"&amp;'CASE DATA'!$F107&amp;";",ROW($1:$99),1),";")),"",ROW($1:$99)),COLUMN(K106)+1)-SMALL(IF(ISERROR(SEARCH(MID(";"&amp;'CASE DATA'!$F107&amp;";",ROW($1:$99),1),";")),"",ROW($1:$99)),COLUMN(K106))-1)</f>
        <v/>
      </c>
      <c r="AG107" s="29" t="str">
        <f t="array" ref="AG107">MID(";"&amp;'CASE DATA'!$F107&amp;";",SMALL(IF(ISERROR(SEARCH(MID(";"&amp;'CASE DATA'!$F107&amp;";",ROW($1:$99),1),";")),"",ROW($1:$99)+1),COLUMN(L107)),SMALL(IF(ISERROR(SEARCH(MID(";"&amp;'CASE DATA'!$F107&amp;";",ROW($1:$99),1),";")),"",ROW($1:$99)),COLUMN(L106)+1)-SMALL(IF(ISERROR(SEARCH(MID(";"&amp;'CASE DATA'!$F107&amp;";",ROW($1:$99),1),";")),"",ROW($1:$99)),COLUMN(L106))-1)</f>
        <v/>
      </c>
      <c r="AH107" s="29"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24"/>
      <c r="D108" s="24"/>
      <c r="E108" s="25"/>
      <c r="F108" s="30"/>
      <c r="J108" s="31"/>
      <c r="K108" s="31"/>
      <c r="L108" s="31"/>
      <c r="M108" s="31"/>
      <c r="N108" s="31"/>
      <c r="O108" s="31"/>
      <c r="P108" s="31"/>
      <c r="Q108" s="31"/>
      <c r="R108" s="31"/>
      <c r="S108" s="31"/>
      <c r="T108" s="28">
        <f t="shared" si="2"/>
        <v>0</v>
      </c>
      <c r="U108" s="28"/>
      <c r="W108" s="29" t="str">
        <f t="array" ref="W108">MID(";"&amp;'CASE DATA'!$F108&amp;";",SMALL(IF(ISERROR(SEARCH(MID(";"&amp;'CASE DATA'!$F108&amp;";",ROW($1:$99),1),";")),"",ROW($1:$99)+1),COLUMN(A108)),SMALL(IF(ISERROR(SEARCH(MID(";"&amp;'CASE DATA'!$F108&amp;";",ROW($1:$99),1),";")),"",ROW($1:$99)),COLUMN(A107)+1)-SMALL(IF(ISERROR(SEARCH(MID(";"&amp;'CASE DATA'!$F108&amp;";",ROW($1:$99),1),";")),"",ROW($1:$99)),COLUMN(A107))-1)</f>
        <v/>
      </c>
      <c r="X108" s="29" t="str">
        <f t="array" ref="X108">MID(";"&amp;'CASE DATA'!$F108&amp;";",SMALL(IF(ISERROR(SEARCH(MID(";"&amp;'CASE DATA'!$F108&amp;";",ROW($1:$99),1),";")),"",ROW($1:$99)+1),COLUMN(B108)),SMALL(IF(ISERROR(SEARCH(MID(";"&amp;'CASE DATA'!$F108&amp;";",ROW($1:$99),1),";")),"",ROW($1:$99)),COLUMN(B107)+1)-SMALL(IF(ISERROR(SEARCH(MID(";"&amp;'CASE DATA'!$F108&amp;";",ROW($1:$99),1),";")),"",ROW($1:$99)),COLUMN(B107))-1)</f>
        <v/>
      </c>
      <c r="Y108" s="29" t="str">
        <f t="array" ref="Y108">MID(";"&amp;'CASE DATA'!$F108&amp;";",SMALL(IF(ISERROR(SEARCH(MID(";"&amp;'CASE DATA'!$F108&amp;";",ROW($1:$99),1),";")),"",ROW($1:$99)+1),COLUMN(D108)),SMALL(IF(ISERROR(SEARCH(MID(";"&amp;'CASE DATA'!$F108&amp;";",ROW($1:$99),1),";")),"",ROW($1:$99)),COLUMN(D107)+1)-SMALL(IF(ISERROR(SEARCH(MID(";"&amp;'CASE DATA'!$F108&amp;";",ROW($1:$99),1),";")),"",ROW($1:$99)),COLUMN(D107))-1)</f>
        <v/>
      </c>
      <c r="Z108" s="29" t="str">
        <f t="array" ref="Z108">MID(";"&amp;'CASE DATA'!$F108&amp;";",SMALL(IF(ISERROR(SEARCH(MID(";"&amp;'CASE DATA'!$F108&amp;";",ROW($1:$99),1),";")),"",ROW($1:$99)+1),COLUMN(E108)),SMALL(IF(ISERROR(SEARCH(MID(";"&amp;'CASE DATA'!$F108&amp;";",ROW($1:$99),1),";")),"",ROW($1:$99)),COLUMN(E107)+1)-SMALL(IF(ISERROR(SEARCH(MID(";"&amp;'CASE DATA'!$F108&amp;";",ROW($1:$99),1),";")),"",ROW($1:$99)),COLUMN(E107))-1)</f>
        <v/>
      </c>
      <c r="AA108" s="29" t="str">
        <f t="array" ref="AA108">MID(";"&amp;'CASE DATA'!$F108&amp;";",SMALL(IF(ISERROR(SEARCH(MID(";"&amp;'CASE DATA'!$F108&amp;";",ROW($1:$99),1),";")),"",ROW($1:$99)+1),COLUMN(F108)),SMALL(IF(ISERROR(SEARCH(MID(";"&amp;'CASE DATA'!$F108&amp;";",ROW($1:$99),1),";")),"",ROW($1:$99)),COLUMN(F107)+1)-SMALL(IF(ISERROR(SEARCH(MID(";"&amp;'CASE DATA'!$F108&amp;";",ROW($1:$99),1),";")),"",ROW($1:$99)),COLUMN(F107))-1)</f>
        <v/>
      </c>
      <c r="AB108" s="29" t="str">
        <f t="array" ref="AB108">MID(";"&amp;'CASE DATA'!$F108&amp;";",SMALL(IF(ISERROR(SEARCH(MID(";"&amp;'CASE DATA'!$F108&amp;";",ROW($1:$99),1),";")),"",ROW($1:$99)+1),COLUMN(G108)),SMALL(IF(ISERROR(SEARCH(MID(";"&amp;'CASE DATA'!$F108&amp;";",ROW($1:$99),1),";")),"",ROW($1:$99)),COLUMN(G107)+1)-SMALL(IF(ISERROR(SEARCH(MID(";"&amp;'CASE DATA'!$F108&amp;";",ROW($1:$99),1),";")),"",ROW($1:$99)),COLUMN(G107))-1)</f>
        <v/>
      </c>
      <c r="AC108" s="29" t="str">
        <f t="array" ref="AC108">MID(";"&amp;'CASE DATA'!$F108&amp;";",SMALL(IF(ISERROR(SEARCH(MID(";"&amp;'CASE DATA'!$F108&amp;";",ROW($1:$99),1),";")),"",ROW($1:$99)+1),COLUMN(H108)),SMALL(IF(ISERROR(SEARCH(MID(";"&amp;'CASE DATA'!$F108&amp;";",ROW($1:$99),1),";")),"",ROW($1:$99)),COLUMN(H107)+1)-SMALL(IF(ISERROR(SEARCH(MID(";"&amp;'CASE DATA'!$F108&amp;";",ROW($1:$99),1),";")),"",ROW($1:$99)),COLUMN(H107))-1)</f>
        <v/>
      </c>
      <c r="AD108" s="29" t="str">
        <f t="array" ref="AD108">MID(";"&amp;'CASE DATA'!$F108&amp;";",SMALL(IF(ISERROR(SEARCH(MID(";"&amp;'CASE DATA'!$F108&amp;";",ROW($1:$99),1),";")),"",ROW($1:$99)+1),COLUMN(I108)),SMALL(IF(ISERROR(SEARCH(MID(";"&amp;'CASE DATA'!$F108&amp;";",ROW($1:$99),1),";")),"",ROW($1:$99)),COLUMN(I107)+1)-SMALL(IF(ISERROR(SEARCH(MID(";"&amp;'CASE DATA'!$F108&amp;";",ROW($1:$99),1),";")),"",ROW($1:$99)),COLUMN(I107))-1)</f>
        <v/>
      </c>
      <c r="AE108" s="29" t="str">
        <f t="array" ref="AE108">MID(";"&amp;'CASE DATA'!$F108&amp;";",SMALL(IF(ISERROR(SEARCH(MID(";"&amp;'CASE DATA'!$F108&amp;";",ROW($1:$99),1),";")),"",ROW($1:$99)+1),COLUMN(J108)),SMALL(IF(ISERROR(SEARCH(MID(";"&amp;'CASE DATA'!$F108&amp;";",ROW($1:$99),1),";")),"",ROW($1:$99)),COLUMN(J107)+1)-SMALL(IF(ISERROR(SEARCH(MID(";"&amp;'CASE DATA'!$F108&amp;";",ROW($1:$99),1),";")),"",ROW($1:$99)),COLUMN(J107))-1)</f>
        <v/>
      </c>
      <c r="AF108" s="29" t="str">
        <f t="array" ref="AF108">MID(";"&amp;'CASE DATA'!$F108&amp;";",SMALL(IF(ISERROR(SEARCH(MID(";"&amp;'CASE DATA'!$F108&amp;";",ROW($1:$99),1),";")),"",ROW($1:$99)+1),COLUMN(K108)),SMALL(IF(ISERROR(SEARCH(MID(";"&amp;'CASE DATA'!$F108&amp;";",ROW($1:$99),1),";")),"",ROW($1:$99)),COLUMN(K107)+1)-SMALL(IF(ISERROR(SEARCH(MID(";"&amp;'CASE DATA'!$F108&amp;";",ROW($1:$99),1),";")),"",ROW($1:$99)),COLUMN(K107))-1)</f>
        <v/>
      </c>
      <c r="AG108" s="29" t="str">
        <f t="array" ref="AG108">MID(";"&amp;'CASE DATA'!$F108&amp;";",SMALL(IF(ISERROR(SEARCH(MID(";"&amp;'CASE DATA'!$F108&amp;";",ROW($1:$99),1),";")),"",ROW($1:$99)+1),COLUMN(L108)),SMALL(IF(ISERROR(SEARCH(MID(";"&amp;'CASE DATA'!$F108&amp;";",ROW($1:$99),1),";")),"",ROW($1:$99)),COLUMN(L107)+1)-SMALL(IF(ISERROR(SEARCH(MID(";"&amp;'CASE DATA'!$F108&amp;";",ROW($1:$99),1),";")),"",ROW($1:$99)),COLUMN(L107))-1)</f>
        <v/>
      </c>
      <c r="AH108" s="29"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24"/>
      <c r="D109" s="24"/>
      <c r="E109" s="25"/>
      <c r="F109" s="30"/>
      <c r="J109" s="31"/>
      <c r="K109" s="31"/>
      <c r="L109" s="31"/>
      <c r="M109" s="31"/>
      <c r="N109" s="31"/>
      <c r="O109" s="31"/>
      <c r="P109" s="31"/>
      <c r="Q109" s="31"/>
      <c r="R109" s="31"/>
      <c r="S109" s="31"/>
      <c r="T109" s="28">
        <f t="shared" si="2"/>
        <v>0</v>
      </c>
      <c r="U109" s="28"/>
      <c r="W109" s="29" t="str">
        <f t="array" ref="W109">MID(";"&amp;'CASE DATA'!$F109&amp;";",SMALL(IF(ISERROR(SEARCH(MID(";"&amp;'CASE DATA'!$F109&amp;";",ROW($1:$99),1),";")),"",ROW($1:$99)+1),COLUMN(A109)),SMALL(IF(ISERROR(SEARCH(MID(";"&amp;'CASE DATA'!$F109&amp;";",ROW($1:$99),1),";")),"",ROW($1:$99)),COLUMN(A108)+1)-SMALL(IF(ISERROR(SEARCH(MID(";"&amp;'CASE DATA'!$F109&amp;";",ROW($1:$99),1),";")),"",ROW($1:$99)),COLUMN(A108))-1)</f>
        <v/>
      </c>
      <c r="X109" s="29" t="str">
        <f t="array" ref="X109">MID(";"&amp;'CASE DATA'!$F109&amp;";",SMALL(IF(ISERROR(SEARCH(MID(";"&amp;'CASE DATA'!$F109&amp;";",ROW($1:$99),1),";")),"",ROW($1:$99)+1),COLUMN(B109)),SMALL(IF(ISERROR(SEARCH(MID(";"&amp;'CASE DATA'!$F109&amp;";",ROW($1:$99),1),";")),"",ROW($1:$99)),COLUMN(B108)+1)-SMALL(IF(ISERROR(SEARCH(MID(";"&amp;'CASE DATA'!$F109&amp;";",ROW($1:$99),1),";")),"",ROW($1:$99)),COLUMN(B108))-1)</f>
        <v/>
      </c>
      <c r="Y109" s="29" t="str">
        <f t="array" ref="Y109">MID(";"&amp;'CASE DATA'!$F109&amp;";",SMALL(IF(ISERROR(SEARCH(MID(";"&amp;'CASE DATA'!$F109&amp;";",ROW($1:$99),1),";")),"",ROW($1:$99)+1),COLUMN(D109)),SMALL(IF(ISERROR(SEARCH(MID(";"&amp;'CASE DATA'!$F109&amp;";",ROW($1:$99),1),";")),"",ROW($1:$99)),COLUMN(D108)+1)-SMALL(IF(ISERROR(SEARCH(MID(";"&amp;'CASE DATA'!$F109&amp;";",ROW($1:$99),1),";")),"",ROW($1:$99)),COLUMN(D108))-1)</f>
        <v/>
      </c>
      <c r="Z109" s="29" t="str">
        <f t="array" ref="Z109">MID(";"&amp;'CASE DATA'!$F109&amp;";",SMALL(IF(ISERROR(SEARCH(MID(";"&amp;'CASE DATA'!$F109&amp;";",ROW($1:$99),1),";")),"",ROW($1:$99)+1),COLUMN(E109)),SMALL(IF(ISERROR(SEARCH(MID(";"&amp;'CASE DATA'!$F109&amp;";",ROW($1:$99),1),";")),"",ROW($1:$99)),COLUMN(E108)+1)-SMALL(IF(ISERROR(SEARCH(MID(";"&amp;'CASE DATA'!$F109&amp;";",ROW($1:$99),1),";")),"",ROW($1:$99)),COLUMN(E108))-1)</f>
        <v/>
      </c>
      <c r="AA109" s="29" t="str">
        <f t="array" ref="AA109">MID(";"&amp;'CASE DATA'!$F109&amp;";",SMALL(IF(ISERROR(SEARCH(MID(";"&amp;'CASE DATA'!$F109&amp;";",ROW($1:$99),1),";")),"",ROW($1:$99)+1),COLUMN(F109)),SMALL(IF(ISERROR(SEARCH(MID(";"&amp;'CASE DATA'!$F109&amp;";",ROW($1:$99),1),";")),"",ROW($1:$99)),COLUMN(F108)+1)-SMALL(IF(ISERROR(SEARCH(MID(";"&amp;'CASE DATA'!$F109&amp;";",ROW($1:$99),1),";")),"",ROW($1:$99)),COLUMN(F108))-1)</f>
        <v/>
      </c>
      <c r="AB109" s="29" t="str">
        <f t="array" ref="AB109">MID(";"&amp;'CASE DATA'!$F109&amp;";",SMALL(IF(ISERROR(SEARCH(MID(";"&amp;'CASE DATA'!$F109&amp;";",ROW($1:$99),1),";")),"",ROW($1:$99)+1),COLUMN(G109)),SMALL(IF(ISERROR(SEARCH(MID(";"&amp;'CASE DATA'!$F109&amp;";",ROW($1:$99),1),";")),"",ROW($1:$99)),COLUMN(G108)+1)-SMALL(IF(ISERROR(SEARCH(MID(";"&amp;'CASE DATA'!$F109&amp;";",ROW($1:$99),1),";")),"",ROW($1:$99)),COLUMN(G108))-1)</f>
        <v/>
      </c>
      <c r="AC109" s="29" t="str">
        <f t="array" ref="AC109">MID(";"&amp;'CASE DATA'!$F109&amp;";",SMALL(IF(ISERROR(SEARCH(MID(";"&amp;'CASE DATA'!$F109&amp;";",ROW($1:$99),1),";")),"",ROW($1:$99)+1),COLUMN(H109)),SMALL(IF(ISERROR(SEARCH(MID(";"&amp;'CASE DATA'!$F109&amp;";",ROW($1:$99),1),";")),"",ROW($1:$99)),COLUMN(H108)+1)-SMALL(IF(ISERROR(SEARCH(MID(";"&amp;'CASE DATA'!$F109&amp;";",ROW($1:$99),1),";")),"",ROW($1:$99)),COLUMN(H108))-1)</f>
        <v/>
      </c>
      <c r="AD109" s="29" t="str">
        <f t="array" ref="AD109">MID(";"&amp;'CASE DATA'!$F109&amp;";",SMALL(IF(ISERROR(SEARCH(MID(";"&amp;'CASE DATA'!$F109&amp;";",ROW($1:$99),1),";")),"",ROW($1:$99)+1),COLUMN(I109)),SMALL(IF(ISERROR(SEARCH(MID(";"&amp;'CASE DATA'!$F109&amp;";",ROW($1:$99),1),";")),"",ROW($1:$99)),COLUMN(I108)+1)-SMALL(IF(ISERROR(SEARCH(MID(";"&amp;'CASE DATA'!$F109&amp;";",ROW($1:$99),1),";")),"",ROW($1:$99)),COLUMN(I108))-1)</f>
        <v/>
      </c>
      <c r="AE109" s="29" t="str">
        <f t="array" ref="AE109">MID(";"&amp;'CASE DATA'!$F109&amp;";",SMALL(IF(ISERROR(SEARCH(MID(";"&amp;'CASE DATA'!$F109&amp;";",ROW($1:$99),1),";")),"",ROW($1:$99)+1),COLUMN(J109)),SMALL(IF(ISERROR(SEARCH(MID(";"&amp;'CASE DATA'!$F109&amp;";",ROW($1:$99),1),";")),"",ROW($1:$99)),COLUMN(J108)+1)-SMALL(IF(ISERROR(SEARCH(MID(";"&amp;'CASE DATA'!$F109&amp;";",ROW($1:$99),1),";")),"",ROW($1:$99)),COLUMN(J108))-1)</f>
        <v/>
      </c>
      <c r="AF109" s="29" t="str">
        <f t="array" ref="AF109">MID(";"&amp;'CASE DATA'!$F109&amp;";",SMALL(IF(ISERROR(SEARCH(MID(";"&amp;'CASE DATA'!$F109&amp;";",ROW($1:$99),1),";")),"",ROW($1:$99)+1),COLUMN(K109)),SMALL(IF(ISERROR(SEARCH(MID(";"&amp;'CASE DATA'!$F109&amp;";",ROW($1:$99),1),";")),"",ROW($1:$99)),COLUMN(K108)+1)-SMALL(IF(ISERROR(SEARCH(MID(";"&amp;'CASE DATA'!$F109&amp;";",ROW($1:$99),1),";")),"",ROW($1:$99)),COLUMN(K108))-1)</f>
        <v/>
      </c>
      <c r="AG109" s="29" t="str">
        <f t="array" ref="AG109">MID(";"&amp;'CASE DATA'!$F109&amp;";",SMALL(IF(ISERROR(SEARCH(MID(";"&amp;'CASE DATA'!$F109&amp;";",ROW($1:$99),1),";")),"",ROW($1:$99)+1),COLUMN(L109)),SMALL(IF(ISERROR(SEARCH(MID(";"&amp;'CASE DATA'!$F109&amp;";",ROW($1:$99),1),";")),"",ROW($1:$99)),COLUMN(L108)+1)-SMALL(IF(ISERROR(SEARCH(MID(";"&amp;'CASE DATA'!$F109&amp;";",ROW($1:$99),1),";")),"",ROW($1:$99)),COLUMN(L108))-1)</f>
        <v/>
      </c>
      <c r="AH109" s="29"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24"/>
      <c r="D110" s="24"/>
      <c r="E110" s="25"/>
      <c r="F110" s="30"/>
      <c r="J110" s="31"/>
      <c r="K110" s="31"/>
      <c r="L110" s="31"/>
      <c r="M110" s="31"/>
      <c r="N110" s="31"/>
      <c r="O110" s="31"/>
      <c r="P110" s="31"/>
      <c r="Q110" s="31"/>
      <c r="R110" s="31"/>
      <c r="S110" s="31"/>
      <c r="T110" s="28">
        <f t="shared" si="2"/>
        <v>0</v>
      </c>
      <c r="U110" s="28"/>
      <c r="W110" s="29" t="str">
        <f t="array" ref="W110">MID(";"&amp;'CASE DATA'!$F110&amp;";",SMALL(IF(ISERROR(SEARCH(MID(";"&amp;'CASE DATA'!$F110&amp;";",ROW($1:$99),1),";")),"",ROW($1:$99)+1),COLUMN(A110)),SMALL(IF(ISERROR(SEARCH(MID(";"&amp;'CASE DATA'!$F110&amp;";",ROW($1:$99),1),";")),"",ROW($1:$99)),COLUMN(A109)+1)-SMALL(IF(ISERROR(SEARCH(MID(";"&amp;'CASE DATA'!$F110&amp;";",ROW($1:$99),1),";")),"",ROW($1:$99)),COLUMN(A109))-1)</f>
        <v/>
      </c>
      <c r="X110" s="29" t="str">
        <f t="array" ref="X110">MID(";"&amp;'CASE DATA'!$F110&amp;";",SMALL(IF(ISERROR(SEARCH(MID(";"&amp;'CASE DATA'!$F110&amp;";",ROW($1:$99),1),";")),"",ROW($1:$99)+1),COLUMN(B110)),SMALL(IF(ISERROR(SEARCH(MID(";"&amp;'CASE DATA'!$F110&amp;";",ROW($1:$99),1),";")),"",ROW($1:$99)),COLUMN(B109)+1)-SMALL(IF(ISERROR(SEARCH(MID(";"&amp;'CASE DATA'!$F110&amp;";",ROW($1:$99),1),";")),"",ROW($1:$99)),COLUMN(B109))-1)</f>
        <v/>
      </c>
      <c r="Y110" s="29" t="str">
        <f t="array" ref="Y110">MID(";"&amp;'CASE DATA'!$F110&amp;";",SMALL(IF(ISERROR(SEARCH(MID(";"&amp;'CASE DATA'!$F110&amp;";",ROW($1:$99),1),";")),"",ROW($1:$99)+1),COLUMN(D110)),SMALL(IF(ISERROR(SEARCH(MID(";"&amp;'CASE DATA'!$F110&amp;";",ROW($1:$99),1),";")),"",ROW($1:$99)),COLUMN(D109)+1)-SMALL(IF(ISERROR(SEARCH(MID(";"&amp;'CASE DATA'!$F110&amp;";",ROW($1:$99),1),";")),"",ROW($1:$99)),COLUMN(D109))-1)</f>
        <v/>
      </c>
      <c r="Z110" s="29" t="str">
        <f t="array" ref="Z110">MID(";"&amp;'CASE DATA'!$F110&amp;";",SMALL(IF(ISERROR(SEARCH(MID(";"&amp;'CASE DATA'!$F110&amp;";",ROW($1:$99),1),";")),"",ROW($1:$99)+1),COLUMN(E110)),SMALL(IF(ISERROR(SEARCH(MID(";"&amp;'CASE DATA'!$F110&amp;";",ROW($1:$99),1),";")),"",ROW($1:$99)),COLUMN(E109)+1)-SMALL(IF(ISERROR(SEARCH(MID(";"&amp;'CASE DATA'!$F110&amp;";",ROW($1:$99),1),";")),"",ROW($1:$99)),COLUMN(E109))-1)</f>
        <v/>
      </c>
      <c r="AA110" s="29" t="str">
        <f t="array" ref="AA110">MID(";"&amp;'CASE DATA'!$F110&amp;";",SMALL(IF(ISERROR(SEARCH(MID(";"&amp;'CASE DATA'!$F110&amp;";",ROW($1:$99),1),";")),"",ROW($1:$99)+1),COLUMN(F110)),SMALL(IF(ISERROR(SEARCH(MID(";"&amp;'CASE DATA'!$F110&amp;";",ROW($1:$99),1),";")),"",ROW($1:$99)),COLUMN(F109)+1)-SMALL(IF(ISERROR(SEARCH(MID(";"&amp;'CASE DATA'!$F110&amp;";",ROW($1:$99),1),";")),"",ROW($1:$99)),COLUMN(F109))-1)</f>
        <v/>
      </c>
      <c r="AB110" s="29" t="str">
        <f t="array" ref="AB110">MID(";"&amp;'CASE DATA'!$F110&amp;";",SMALL(IF(ISERROR(SEARCH(MID(";"&amp;'CASE DATA'!$F110&amp;";",ROW($1:$99),1),";")),"",ROW($1:$99)+1),COLUMN(G110)),SMALL(IF(ISERROR(SEARCH(MID(";"&amp;'CASE DATA'!$F110&amp;";",ROW($1:$99),1),";")),"",ROW($1:$99)),COLUMN(G109)+1)-SMALL(IF(ISERROR(SEARCH(MID(";"&amp;'CASE DATA'!$F110&amp;";",ROW($1:$99),1),";")),"",ROW($1:$99)),COLUMN(G109))-1)</f>
        <v/>
      </c>
      <c r="AC110" s="29" t="str">
        <f t="array" ref="AC110">MID(";"&amp;'CASE DATA'!$F110&amp;";",SMALL(IF(ISERROR(SEARCH(MID(";"&amp;'CASE DATA'!$F110&amp;";",ROW($1:$99),1),";")),"",ROW($1:$99)+1),COLUMN(H110)),SMALL(IF(ISERROR(SEARCH(MID(";"&amp;'CASE DATA'!$F110&amp;";",ROW($1:$99),1),";")),"",ROW($1:$99)),COLUMN(H109)+1)-SMALL(IF(ISERROR(SEARCH(MID(";"&amp;'CASE DATA'!$F110&amp;";",ROW($1:$99),1),";")),"",ROW($1:$99)),COLUMN(H109))-1)</f>
        <v/>
      </c>
      <c r="AD110" s="29" t="str">
        <f t="array" ref="AD110">MID(";"&amp;'CASE DATA'!$F110&amp;";",SMALL(IF(ISERROR(SEARCH(MID(";"&amp;'CASE DATA'!$F110&amp;";",ROW($1:$99),1),";")),"",ROW($1:$99)+1),COLUMN(I110)),SMALL(IF(ISERROR(SEARCH(MID(";"&amp;'CASE DATA'!$F110&amp;";",ROW($1:$99),1),";")),"",ROW($1:$99)),COLUMN(I109)+1)-SMALL(IF(ISERROR(SEARCH(MID(";"&amp;'CASE DATA'!$F110&amp;";",ROW($1:$99),1),";")),"",ROW($1:$99)),COLUMN(I109))-1)</f>
        <v/>
      </c>
      <c r="AE110" s="29" t="str">
        <f t="array" ref="AE110">MID(";"&amp;'CASE DATA'!$F110&amp;";",SMALL(IF(ISERROR(SEARCH(MID(";"&amp;'CASE DATA'!$F110&amp;";",ROW($1:$99),1),";")),"",ROW($1:$99)+1),COLUMN(J110)),SMALL(IF(ISERROR(SEARCH(MID(";"&amp;'CASE DATA'!$F110&amp;";",ROW($1:$99),1),";")),"",ROW($1:$99)),COLUMN(J109)+1)-SMALL(IF(ISERROR(SEARCH(MID(";"&amp;'CASE DATA'!$F110&amp;";",ROW($1:$99),1),";")),"",ROW($1:$99)),COLUMN(J109))-1)</f>
        <v/>
      </c>
      <c r="AF110" s="29" t="str">
        <f t="array" ref="AF110">MID(";"&amp;'CASE DATA'!$F110&amp;";",SMALL(IF(ISERROR(SEARCH(MID(";"&amp;'CASE DATA'!$F110&amp;";",ROW($1:$99),1),";")),"",ROW($1:$99)+1),COLUMN(K110)),SMALL(IF(ISERROR(SEARCH(MID(";"&amp;'CASE DATA'!$F110&amp;";",ROW($1:$99),1),";")),"",ROW($1:$99)),COLUMN(K109)+1)-SMALL(IF(ISERROR(SEARCH(MID(";"&amp;'CASE DATA'!$F110&amp;";",ROW($1:$99),1),";")),"",ROW($1:$99)),COLUMN(K109))-1)</f>
        <v/>
      </c>
      <c r="AG110" s="29" t="str">
        <f t="array" ref="AG110">MID(";"&amp;'CASE DATA'!$F110&amp;";",SMALL(IF(ISERROR(SEARCH(MID(";"&amp;'CASE DATA'!$F110&amp;";",ROW($1:$99),1),";")),"",ROW($1:$99)+1),COLUMN(L110)),SMALL(IF(ISERROR(SEARCH(MID(";"&amp;'CASE DATA'!$F110&amp;";",ROW($1:$99),1),";")),"",ROW($1:$99)),COLUMN(L109)+1)-SMALL(IF(ISERROR(SEARCH(MID(";"&amp;'CASE DATA'!$F110&amp;";",ROW($1:$99),1),";")),"",ROW($1:$99)),COLUMN(L109))-1)</f>
        <v/>
      </c>
      <c r="AH110" s="29"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24"/>
      <c r="D111" s="24"/>
      <c r="E111" s="25"/>
      <c r="F111" s="30"/>
      <c r="J111" s="31"/>
      <c r="K111" s="31"/>
      <c r="L111" s="31"/>
      <c r="M111" s="31"/>
      <c r="N111" s="31"/>
      <c r="O111" s="31"/>
      <c r="P111" s="31"/>
      <c r="Q111" s="31"/>
      <c r="R111" s="31"/>
      <c r="S111" s="31"/>
      <c r="T111" s="28">
        <f t="shared" si="2"/>
        <v>0</v>
      </c>
      <c r="U111" s="28"/>
      <c r="W111" s="29" t="str">
        <f t="array" ref="W111">MID(";"&amp;'CASE DATA'!$F111&amp;";",SMALL(IF(ISERROR(SEARCH(MID(";"&amp;'CASE DATA'!$F111&amp;";",ROW($1:$99),1),";")),"",ROW($1:$99)+1),COLUMN(A111)),SMALL(IF(ISERROR(SEARCH(MID(";"&amp;'CASE DATA'!$F111&amp;";",ROW($1:$99),1),";")),"",ROW($1:$99)),COLUMN(A110)+1)-SMALL(IF(ISERROR(SEARCH(MID(";"&amp;'CASE DATA'!$F111&amp;";",ROW($1:$99),1),";")),"",ROW($1:$99)),COLUMN(A110))-1)</f>
        <v/>
      </c>
      <c r="X111" s="29" t="str">
        <f t="array" ref="X111">MID(";"&amp;'CASE DATA'!$F111&amp;";",SMALL(IF(ISERROR(SEARCH(MID(";"&amp;'CASE DATA'!$F111&amp;";",ROW($1:$99),1),";")),"",ROW($1:$99)+1),COLUMN(B111)),SMALL(IF(ISERROR(SEARCH(MID(";"&amp;'CASE DATA'!$F111&amp;";",ROW($1:$99),1),";")),"",ROW($1:$99)),COLUMN(B110)+1)-SMALL(IF(ISERROR(SEARCH(MID(";"&amp;'CASE DATA'!$F111&amp;";",ROW($1:$99),1),";")),"",ROW($1:$99)),COLUMN(B110))-1)</f>
        <v/>
      </c>
      <c r="Y111" s="29" t="str">
        <f t="array" ref="Y111">MID(";"&amp;'CASE DATA'!$F111&amp;";",SMALL(IF(ISERROR(SEARCH(MID(";"&amp;'CASE DATA'!$F111&amp;";",ROW($1:$99),1),";")),"",ROW($1:$99)+1),COLUMN(D111)),SMALL(IF(ISERROR(SEARCH(MID(";"&amp;'CASE DATA'!$F111&amp;";",ROW($1:$99),1),";")),"",ROW($1:$99)),COLUMN(D110)+1)-SMALL(IF(ISERROR(SEARCH(MID(";"&amp;'CASE DATA'!$F111&amp;";",ROW($1:$99),1),";")),"",ROW($1:$99)),COLUMN(D110))-1)</f>
        <v/>
      </c>
      <c r="Z111" s="29" t="str">
        <f t="array" ref="Z111">MID(";"&amp;'CASE DATA'!$F111&amp;";",SMALL(IF(ISERROR(SEARCH(MID(";"&amp;'CASE DATA'!$F111&amp;";",ROW($1:$99),1),";")),"",ROW($1:$99)+1),COLUMN(E111)),SMALL(IF(ISERROR(SEARCH(MID(";"&amp;'CASE DATA'!$F111&amp;";",ROW($1:$99),1),";")),"",ROW($1:$99)),COLUMN(E110)+1)-SMALL(IF(ISERROR(SEARCH(MID(";"&amp;'CASE DATA'!$F111&amp;";",ROW($1:$99),1),";")),"",ROW($1:$99)),COLUMN(E110))-1)</f>
        <v/>
      </c>
      <c r="AA111" s="29" t="str">
        <f t="array" ref="AA111">MID(";"&amp;'CASE DATA'!$F111&amp;";",SMALL(IF(ISERROR(SEARCH(MID(";"&amp;'CASE DATA'!$F111&amp;";",ROW($1:$99),1),";")),"",ROW($1:$99)+1),COLUMN(F111)),SMALL(IF(ISERROR(SEARCH(MID(";"&amp;'CASE DATA'!$F111&amp;";",ROW($1:$99),1),";")),"",ROW($1:$99)),COLUMN(F110)+1)-SMALL(IF(ISERROR(SEARCH(MID(";"&amp;'CASE DATA'!$F111&amp;";",ROW($1:$99),1),";")),"",ROW($1:$99)),COLUMN(F110))-1)</f>
        <v/>
      </c>
      <c r="AB111" s="29" t="str">
        <f t="array" ref="AB111">MID(";"&amp;'CASE DATA'!$F111&amp;";",SMALL(IF(ISERROR(SEARCH(MID(";"&amp;'CASE DATA'!$F111&amp;";",ROW($1:$99),1),";")),"",ROW($1:$99)+1),COLUMN(G111)),SMALL(IF(ISERROR(SEARCH(MID(";"&amp;'CASE DATA'!$F111&amp;";",ROW($1:$99),1),";")),"",ROW($1:$99)),COLUMN(G110)+1)-SMALL(IF(ISERROR(SEARCH(MID(";"&amp;'CASE DATA'!$F111&amp;";",ROW($1:$99),1),";")),"",ROW($1:$99)),COLUMN(G110))-1)</f>
        <v/>
      </c>
      <c r="AC111" s="29" t="str">
        <f t="array" ref="AC111">MID(";"&amp;'CASE DATA'!$F111&amp;";",SMALL(IF(ISERROR(SEARCH(MID(";"&amp;'CASE DATA'!$F111&amp;";",ROW($1:$99),1),";")),"",ROW($1:$99)+1),COLUMN(H111)),SMALL(IF(ISERROR(SEARCH(MID(";"&amp;'CASE DATA'!$F111&amp;";",ROW($1:$99),1),";")),"",ROW($1:$99)),COLUMN(H110)+1)-SMALL(IF(ISERROR(SEARCH(MID(";"&amp;'CASE DATA'!$F111&amp;";",ROW($1:$99),1),";")),"",ROW($1:$99)),COLUMN(H110))-1)</f>
        <v/>
      </c>
      <c r="AD111" s="29" t="str">
        <f t="array" ref="AD111">MID(";"&amp;'CASE DATA'!$F111&amp;";",SMALL(IF(ISERROR(SEARCH(MID(";"&amp;'CASE DATA'!$F111&amp;";",ROW($1:$99),1),";")),"",ROW($1:$99)+1),COLUMN(I111)),SMALL(IF(ISERROR(SEARCH(MID(";"&amp;'CASE DATA'!$F111&amp;";",ROW($1:$99),1),";")),"",ROW($1:$99)),COLUMN(I110)+1)-SMALL(IF(ISERROR(SEARCH(MID(";"&amp;'CASE DATA'!$F111&amp;";",ROW($1:$99),1),";")),"",ROW($1:$99)),COLUMN(I110))-1)</f>
        <v/>
      </c>
      <c r="AE111" s="29" t="str">
        <f t="array" ref="AE111">MID(";"&amp;'CASE DATA'!$F111&amp;";",SMALL(IF(ISERROR(SEARCH(MID(";"&amp;'CASE DATA'!$F111&amp;";",ROW($1:$99),1),";")),"",ROW($1:$99)+1),COLUMN(J111)),SMALL(IF(ISERROR(SEARCH(MID(";"&amp;'CASE DATA'!$F111&amp;";",ROW($1:$99),1),";")),"",ROW($1:$99)),COLUMN(J110)+1)-SMALL(IF(ISERROR(SEARCH(MID(";"&amp;'CASE DATA'!$F111&amp;";",ROW($1:$99),1),";")),"",ROW($1:$99)),COLUMN(J110))-1)</f>
        <v/>
      </c>
      <c r="AF111" s="29" t="str">
        <f t="array" ref="AF111">MID(";"&amp;'CASE DATA'!$F111&amp;";",SMALL(IF(ISERROR(SEARCH(MID(";"&amp;'CASE DATA'!$F111&amp;";",ROW($1:$99),1),";")),"",ROW($1:$99)+1),COLUMN(K111)),SMALL(IF(ISERROR(SEARCH(MID(";"&amp;'CASE DATA'!$F111&amp;";",ROW($1:$99),1),";")),"",ROW($1:$99)),COLUMN(K110)+1)-SMALL(IF(ISERROR(SEARCH(MID(";"&amp;'CASE DATA'!$F111&amp;";",ROW($1:$99),1),";")),"",ROW($1:$99)),COLUMN(K110))-1)</f>
        <v/>
      </c>
      <c r="AG111" s="29" t="str">
        <f t="array" ref="AG111">MID(";"&amp;'CASE DATA'!$F111&amp;";",SMALL(IF(ISERROR(SEARCH(MID(";"&amp;'CASE DATA'!$F111&amp;";",ROW($1:$99),1),";")),"",ROW($1:$99)+1),COLUMN(L111)),SMALL(IF(ISERROR(SEARCH(MID(";"&amp;'CASE DATA'!$F111&amp;";",ROW($1:$99),1),";")),"",ROW($1:$99)),COLUMN(L110)+1)-SMALL(IF(ISERROR(SEARCH(MID(";"&amp;'CASE DATA'!$F111&amp;";",ROW($1:$99),1),";")),"",ROW($1:$99)),COLUMN(L110))-1)</f>
        <v/>
      </c>
      <c r="AH111" s="29"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24"/>
      <c r="D112" s="24"/>
      <c r="E112" s="25"/>
      <c r="F112" s="30"/>
      <c r="J112" s="31"/>
      <c r="K112" s="31"/>
      <c r="L112" s="31"/>
      <c r="M112" s="31"/>
      <c r="N112" s="31"/>
      <c r="O112" s="31"/>
      <c r="P112" s="31"/>
      <c r="Q112" s="31"/>
      <c r="R112" s="31"/>
      <c r="S112" s="31"/>
      <c r="T112" s="28">
        <f t="shared" si="2"/>
        <v>0</v>
      </c>
      <c r="U112" s="28"/>
      <c r="W112" s="29" t="str">
        <f t="array" ref="W112">MID(";"&amp;'CASE DATA'!$F112&amp;";",SMALL(IF(ISERROR(SEARCH(MID(";"&amp;'CASE DATA'!$F112&amp;";",ROW($1:$99),1),";")),"",ROW($1:$99)+1),COLUMN(A112)),SMALL(IF(ISERROR(SEARCH(MID(";"&amp;'CASE DATA'!$F112&amp;";",ROW($1:$99),1),";")),"",ROW($1:$99)),COLUMN(A111)+1)-SMALL(IF(ISERROR(SEARCH(MID(";"&amp;'CASE DATA'!$F112&amp;";",ROW($1:$99),1),";")),"",ROW($1:$99)),COLUMN(A111))-1)</f>
        <v/>
      </c>
      <c r="X112" s="29" t="str">
        <f t="array" ref="X112">MID(";"&amp;'CASE DATA'!$F112&amp;";",SMALL(IF(ISERROR(SEARCH(MID(";"&amp;'CASE DATA'!$F112&amp;";",ROW($1:$99),1),";")),"",ROW($1:$99)+1),COLUMN(B112)),SMALL(IF(ISERROR(SEARCH(MID(";"&amp;'CASE DATA'!$F112&amp;";",ROW($1:$99),1),";")),"",ROW($1:$99)),COLUMN(B111)+1)-SMALL(IF(ISERROR(SEARCH(MID(";"&amp;'CASE DATA'!$F112&amp;";",ROW($1:$99),1),";")),"",ROW($1:$99)),COLUMN(B111))-1)</f>
        <v/>
      </c>
      <c r="Y112" s="29" t="str">
        <f t="array" ref="Y112">MID(";"&amp;'CASE DATA'!$F112&amp;";",SMALL(IF(ISERROR(SEARCH(MID(";"&amp;'CASE DATA'!$F112&amp;";",ROW($1:$99),1),";")),"",ROW($1:$99)+1),COLUMN(D112)),SMALL(IF(ISERROR(SEARCH(MID(";"&amp;'CASE DATA'!$F112&amp;";",ROW($1:$99),1),";")),"",ROW($1:$99)),COLUMN(D111)+1)-SMALL(IF(ISERROR(SEARCH(MID(";"&amp;'CASE DATA'!$F112&amp;";",ROW($1:$99),1),";")),"",ROW($1:$99)),COLUMN(D111))-1)</f>
        <v/>
      </c>
      <c r="Z112" s="29" t="str">
        <f t="array" ref="Z112">MID(";"&amp;'CASE DATA'!$F112&amp;";",SMALL(IF(ISERROR(SEARCH(MID(";"&amp;'CASE DATA'!$F112&amp;";",ROW($1:$99),1),";")),"",ROW($1:$99)+1),COLUMN(E112)),SMALL(IF(ISERROR(SEARCH(MID(";"&amp;'CASE DATA'!$F112&amp;";",ROW($1:$99),1),";")),"",ROW($1:$99)),COLUMN(E111)+1)-SMALL(IF(ISERROR(SEARCH(MID(";"&amp;'CASE DATA'!$F112&amp;";",ROW($1:$99),1),";")),"",ROW($1:$99)),COLUMN(E111))-1)</f>
        <v/>
      </c>
      <c r="AA112" s="29" t="str">
        <f t="array" ref="AA112">MID(";"&amp;'CASE DATA'!$F112&amp;";",SMALL(IF(ISERROR(SEARCH(MID(";"&amp;'CASE DATA'!$F112&amp;";",ROW($1:$99),1),";")),"",ROW($1:$99)+1),COLUMN(F112)),SMALL(IF(ISERROR(SEARCH(MID(";"&amp;'CASE DATA'!$F112&amp;";",ROW($1:$99),1),";")),"",ROW($1:$99)),COLUMN(F111)+1)-SMALL(IF(ISERROR(SEARCH(MID(";"&amp;'CASE DATA'!$F112&amp;";",ROW($1:$99),1),";")),"",ROW($1:$99)),COLUMN(F111))-1)</f>
        <v/>
      </c>
      <c r="AB112" s="29" t="str">
        <f t="array" ref="AB112">MID(";"&amp;'CASE DATA'!$F112&amp;";",SMALL(IF(ISERROR(SEARCH(MID(";"&amp;'CASE DATA'!$F112&amp;";",ROW($1:$99),1),";")),"",ROW($1:$99)+1),COLUMN(G112)),SMALL(IF(ISERROR(SEARCH(MID(";"&amp;'CASE DATA'!$F112&amp;";",ROW($1:$99),1),";")),"",ROW($1:$99)),COLUMN(G111)+1)-SMALL(IF(ISERROR(SEARCH(MID(";"&amp;'CASE DATA'!$F112&amp;";",ROW($1:$99),1),";")),"",ROW($1:$99)),COLUMN(G111))-1)</f>
        <v/>
      </c>
      <c r="AC112" s="29" t="str">
        <f t="array" ref="AC112">MID(";"&amp;'CASE DATA'!$F112&amp;";",SMALL(IF(ISERROR(SEARCH(MID(";"&amp;'CASE DATA'!$F112&amp;";",ROW($1:$99),1),";")),"",ROW($1:$99)+1),COLUMN(H112)),SMALL(IF(ISERROR(SEARCH(MID(";"&amp;'CASE DATA'!$F112&amp;";",ROW($1:$99),1),";")),"",ROW($1:$99)),COLUMN(H111)+1)-SMALL(IF(ISERROR(SEARCH(MID(";"&amp;'CASE DATA'!$F112&amp;";",ROW($1:$99),1),";")),"",ROW($1:$99)),COLUMN(H111))-1)</f>
        <v/>
      </c>
      <c r="AD112" s="29" t="str">
        <f t="array" ref="AD112">MID(";"&amp;'CASE DATA'!$F112&amp;";",SMALL(IF(ISERROR(SEARCH(MID(";"&amp;'CASE DATA'!$F112&amp;";",ROW($1:$99),1),";")),"",ROW($1:$99)+1),COLUMN(I112)),SMALL(IF(ISERROR(SEARCH(MID(";"&amp;'CASE DATA'!$F112&amp;";",ROW($1:$99),1),";")),"",ROW($1:$99)),COLUMN(I111)+1)-SMALL(IF(ISERROR(SEARCH(MID(";"&amp;'CASE DATA'!$F112&amp;";",ROW($1:$99),1),";")),"",ROW($1:$99)),COLUMN(I111))-1)</f>
        <v/>
      </c>
      <c r="AE112" s="29" t="str">
        <f t="array" ref="AE112">MID(";"&amp;'CASE DATA'!$F112&amp;";",SMALL(IF(ISERROR(SEARCH(MID(";"&amp;'CASE DATA'!$F112&amp;";",ROW($1:$99),1),";")),"",ROW($1:$99)+1),COLUMN(J112)),SMALL(IF(ISERROR(SEARCH(MID(";"&amp;'CASE DATA'!$F112&amp;";",ROW($1:$99),1),";")),"",ROW($1:$99)),COLUMN(J111)+1)-SMALL(IF(ISERROR(SEARCH(MID(";"&amp;'CASE DATA'!$F112&amp;";",ROW($1:$99),1),";")),"",ROW($1:$99)),COLUMN(J111))-1)</f>
        <v/>
      </c>
      <c r="AF112" s="29" t="str">
        <f t="array" ref="AF112">MID(";"&amp;'CASE DATA'!$F112&amp;";",SMALL(IF(ISERROR(SEARCH(MID(";"&amp;'CASE DATA'!$F112&amp;";",ROW($1:$99),1),";")),"",ROW($1:$99)+1),COLUMN(K112)),SMALL(IF(ISERROR(SEARCH(MID(";"&amp;'CASE DATA'!$F112&amp;";",ROW($1:$99),1),";")),"",ROW($1:$99)),COLUMN(K111)+1)-SMALL(IF(ISERROR(SEARCH(MID(";"&amp;'CASE DATA'!$F112&amp;";",ROW($1:$99),1),";")),"",ROW($1:$99)),COLUMN(K111))-1)</f>
        <v/>
      </c>
      <c r="AG112" s="29" t="str">
        <f t="array" ref="AG112">MID(";"&amp;'CASE DATA'!$F112&amp;";",SMALL(IF(ISERROR(SEARCH(MID(";"&amp;'CASE DATA'!$F112&amp;";",ROW($1:$99),1),";")),"",ROW($1:$99)+1),COLUMN(L112)),SMALL(IF(ISERROR(SEARCH(MID(";"&amp;'CASE DATA'!$F112&amp;";",ROW($1:$99),1),";")),"",ROW($1:$99)),COLUMN(L111)+1)-SMALL(IF(ISERROR(SEARCH(MID(";"&amp;'CASE DATA'!$F112&amp;";",ROW($1:$99),1),";")),"",ROW($1:$99)),COLUMN(L111))-1)</f>
        <v/>
      </c>
      <c r="AH112" s="29"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24"/>
      <c r="D113" s="24"/>
      <c r="E113" s="25"/>
      <c r="F113" s="30"/>
      <c r="J113" s="31"/>
      <c r="K113" s="31"/>
      <c r="L113" s="31"/>
      <c r="M113" s="31"/>
      <c r="N113" s="31"/>
      <c r="O113" s="31"/>
      <c r="P113" s="31"/>
      <c r="Q113" s="31"/>
      <c r="R113" s="31"/>
      <c r="S113" s="31"/>
      <c r="T113" s="28">
        <f t="shared" si="2"/>
        <v>0</v>
      </c>
      <c r="U113" s="28"/>
      <c r="W113" s="29" t="str">
        <f t="array" ref="W113">MID(";"&amp;'CASE DATA'!$F113&amp;";",SMALL(IF(ISERROR(SEARCH(MID(";"&amp;'CASE DATA'!$F113&amp;";",ROW($1:$99),1),";")),"",ROW($1:$99)+1),COLUMN(A113)),SMALL(IF(ISERROR(SEARCH(MID(";"&amp;'CASE DATA'!$F113&amp;";",ROW($1:$99),1),";")),"",ROW($1:$99)),COLUMN(A112)+1)-SMALL(IF(ISERROR(SEARCH(MID(";"&amp;'CASE DATA'!$F113&amp;";",ROW($1:$99),1),";")),"",ROW($1:$99)),COLUMN(A112))-1)</f>
        <v/>
      </c>
      <c r="X113" s="29" t="str">
        <f t="array" ref="X113">MID(";"&amp;'CASE DATA'!$F113&amp;";",SMALL(IF(ISERROR(SEARCH(MID(";"&amp;'CASE DATA'!$F113&amp;";",ROW($1:$99),1),";")),"",ROW($1:$99)+1),COLUMN(B113)),SMALL(IF(ISERROR(SEARCH(MID(";"&amp;'CASE DATA'!$F113&amp;";",ROW($1:$99),1),";")),"",ROW($1:$99)),COLUMN(B112)+1)-SMALL(IF(ISERROR(SEARCH(MID(";"&amp;'CASE DATA'!$F113&amp;";",ROW($1:$99),1),";")),"",ROW($1:$99)),COLUMN(B112))-1)</f>
        <v/>
      </c>
      <c r="Y113" s="29" t="str">
        <f t="array" ref="Y113">MID(";"&amp;'CASE DATA'!$F113&amp;";",SMALL(IF(ISERROR(SEARCH(MID(";"&amp;'CASE DATA'!$F113&amp;";",ROW($1:$99),1),";")),"",ROW($1:$99)+1),COLUMN(D113)),SMALL(IF(ISERROR(SEARCH(MID(";"&amp;'CASE DATA'!$F113&amp;";",ROW($1:$99),1),";")),"",ROW($1:$99)),COLUMN(D112)+1)-SMALL(IF(ISERROR(SEARCH(MID(";"&amp;'CASE DATA'!$F113&amp;";",ROW($1:$99),1),";")),"",ROW($1:$99)),COLUMN(D112))-1)</f>
        <v/>
      </c>
      <c r="Z113" s="29" t="str">
        <f t="array" ref="Z113">MID(";"&amp;'CASE DATA'!$F113&amp;";",SMALL(IF(ISERROR(SEARCH(MID(";"&amp;'CASE DATA'!$F113&amp;";",ROW($1:$99),1),";")),"",ROW($1:$99)+1),COLUMN(E113)),SMALL(IF(ISERROR(SEARCH(MID(";"&amp;'CASE DATA'!$F113&amp;";",ROW($1:$99),1),";")),"",ROW($1:$99)),COLUMN(E112)+1)-SMALL(IF(ISERROR(SEARCH(MID(";"&amp;'CASE DATA'!$F113&amp;";",ROW($1:$99),1),";")),"",ROW($1:$99)),COLUMN(E112))-1)</f>
        <v/>
      </c>
      <c r="AA113" s="29" t="str">
        <f t="array" ref="AA113">MID(";"&amp;'CASE DATA'!$F113&amp;";",SMALL(IF(ISERROR(SEARCH(MID(";"&amp;'CASE DATA'!$F113&amp;";",ROW($1:$99),1),";")),"",ROW($1:$99)+1),COLUMN(F113)),SMALL(IF(ISERROR(SEARCH(MID(";"&amp;'CASE DATA'!$F113&amp;";",ROW($1:$99),1),";")),"",ROW($1:$99)),COLUMN(F112)+1)-SMALL(IF(ISERROR(SEARCH(MID(";"&amp;'CASE DATA'!$F113&amp;";",ROW($1:$99),1),";")),"",ROW($1:$99)),COLUMN(F112))-1)</f>
        <v/>
      </c>
      <c r="AB113" s="29" t="str">
        <f t="array" ref="AB113">MID(";"&amp;'CASE DATA'!$F113&amp;";",SMALL(IF(ISERROR(SEARCH(MID(";"&amp;'CASE DATA'!$F113&amp;";",ROW($1:$99),1),";")),"",ROW($1:$99)+1),COLUMN(G113)),SMALL(IF(ISERROR(SEARCH(MID(";"&amp;'CASE DATA'!$F113&amp;";",ROW($1:$99),1),";")),"",ROW($1:$99)),COLUMN(G112)+1)-SMALL(IF(ISERROR(SEARCH(MID(";"&amp;'CASE DATA'!$F113&amp;";",ROW($1:$99),1),";")),"",ROW($1:$99)),COLUMN(G112))-1)</f>
        <v/>
      </c>
      <c r="AC113" s="29" t="str">
        <f t="array" ref="AC113">MID(";"&amp;'CASE DATA'!$F113&amp;";",SMALL(IF(ISERROR(SEARCH(MID(";"&amp;'CASE DATA'!$F113&amp;";",ROW($1:$99),1),";")),"",ROW($1:$99)+1),COLUMN(H113)),SMALL(IF(ISERROR(SEARCH(MID(";"&amp;'CASE DATA'!$F113&amp;";",ROW($1:$99),1),";")),"",ROW($1:$99)),COLUMN(H112)+1)-SMALL(IF(ISERROR(SEARCH(MID(";"&amp;'CASE DATA'!$F113&amp;";",ROW($1:$99),1),";")),"",ROW($1:$99)),COLUMN(H112))-1)</f>
        <v/>
      </c>
      <c r="AD113" s="29" t="str">
        <f t="array" ref="AD113">MID(";"&amp;'CASE DATA'!$F113&amp;";",SMALL(IF(ISERROR(SEARCH(MID(";"&amp;'CASE DATA'!$F113&amp;";",ROW($1:$99),1),";")),"",ROW($1:$99)+1),COLUMN(I113)),SMALL(IF(ISERROR(SEARCH(MID(";"&amp;'CASE DATA'!$F113&amp;";",ROW($1:$99),1),";")),"",ROW($1:$99)),COLUMN(I112)+1)-SMALL(IF(ISERROR(SEARCH(MID(";"&amp;'CASE DATA'!$F113&amp;";",ROW($1:$99),1),";")),"",ROW($1:$99)),COLUMN(I112))-1)</f>
        <v/>
      </c>
      <c r="AE113" s="29" t="str">
        <f t="array" ref="AE113">MID(";"&amp;'CASE DATA'!$F113&amp;";",SMALL(IF(ISERROR(SEARCH(MID(";"&amp;'CASE DATA'!$F113&amp;";",ROW($1:$99),1),";")),"",ROW($1:$99)+1),COLUMN(J113)),SMALL(IF(ISERROR(SEARCH(MID(";"&amp;'CASE DATA'!$F113&amp;";",ROW($1:$99),1),";")),"",ROW($1:$99)),COLUMN(J112)+1)-SMALL(IF(ISERROR(SEARCH(MID(";"&amp;'CASE DATA'!$F113&amp;";",ROW($1:$99),1),";")),"",ROW($1:$99)),COLUMN(J112))-1)</f>
        <v/>
      </c>
      <c r="AF113" s="29" t="str">
        <f t="array" ref="AF113">MID(";"&amp;'CASE DATA'!$F113&amp;";",SMALL(IF(ISERROR(SEARCH(MID(";"&amp;'CASE DATA'!$F113&amp;";",ROW($1:$99),1),";")),"",ROW($1:$99)+1),COLUMN(K113)),SMALL(IF(ISERROR(SEARCH(MID(";"&amp;'CASE DATA'!$F113&amp;";",ROW($1:$99),1),";")),"",ROW($1:$99)),COLUMN(K112)+1)-SMALL(IF(ISERROR(SEARCH(MID(";"&amp;'CASE DATA'!$F113&amp;";",ROW($1:$99),1),";")),"",ROW($1:$99)),COLUMN(K112))-1)</f>
        <v/>
      </c>
      <c r="AG113" s="29" t="str">
        <f t="array" ref="AG113">MID(";"&amp;'CASE DATA'!$F113&amp;";",SMALL(IF(ISERROR(SEARCH(MID(";"&amp;'CASE DATA'!$F113&amp;";",ROW($1:$99),1),";")),"",ROW($1:$99)+1),COLUMN(L113)),SMALL(IF(ISERROR(SEARCH(MID(";"&amp;'CASE DATA'!$F113&amp;";",ROW($1:$99),1),";")),"",ROW($1:$99)),COLUMN(L112)+1)-SMALL(IF(ISERROR(SEARCH(MID(";"&amp;'CASE DATA'!$F113&amp;";",ROW($1:$99),1),";")),"",ROW($1:$99)),COLUMN(L112))-1)</f>
        <v/>
      </c>
      <c r="AH113" s="29"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24"/>
      <c r="D114" s="24"/>
      <c r="E114" s="25"/>
      <c r="F114" s="30"/>
      <c r="J114" s="31"/>
      <c r="K114" s="31"/>
      <c r="L114" s="31"/>
      <c r="M114" s="31"/>
      <c r="N114" s="31"/>
      <c r="O114" s="31"/>
      <c r="P114" s="31"/>
      <c r="Q114" s="31"/>
      <c r="R114" s="31"/>
      <c r="S114" s="31"/>
      <c r="T114" s="28">
        <f t="shared" si="2"/>
        <v>0</v>
      </c>
      <c r="U114" s="28"/>
      <c r="W114" s="29" t="str">
        <f t="array" ref="W114">MID(";"&amp;'CASE DATA'!$F114&amp;";",SMALL(IF(ISERROR(SEARCH(MID(";"&amp;'CASE DATA'!$F114&amp;";",ROW($1:$99),1),";")),"",ROW($1:$99)+1),COLUMN(A114)),SMALL(IF(ISERROR(SEARCH(MID(";"&amp;'CASE DATA'!$F114&amp;";",ROW($1:$99),1),";")),"",ROW($1:$99)),COLUMN(A113)+1)-SMALL(IF(ISERROR(SEARCH(MID(";"&amp;'CASE DATA'!$F114&amp;";",ROW($1:$99),1),";")),"",ROW($1:$99)),COLUMN(A113))-1)</f>
        <v/>
      </c>
      <c r="X114" s="29" t="str">
        <f t="array" ref="X114">MID(";"&amp;'CASE DATA'!$F114&amp;";",SMALL(IF(ISERROR(SEARCH(MID(";"&amp;'CASE DATA'!$F114&amp;";",ROW($1:$99),1),";")),"",ROW($1:$99)+1),COLUMN(B114)),SMALL(IF(ISERROR(SEARCH(MID(";"&amp;'CASE DATA'!$F114&amp;";",ROW($1:$99),1),";")),"",ROW($1:$99)),COLUMN(B113)+1)-SMALL(IF(ISERROR(SEARCH(MID(";"&amp;'CASE DATA'!$F114&amp;";",ROW($1:$99),1),";")),"",ROW($1:$99)),COLUMN(B113))-1)</f>
        <v/>
      </c>
      <c r="Y114" s="29" t="str">
        <f t="array" ref="Y114">MID(";"&amp;'CASE DATA'!$F114&amp;";",SMALL(IF(ISERROR(SEARCH(MID(";"&amp;'CASE DATA'!$F114&amp;";",ROW($1:$99),1),";")),"",ROW($1:$99)+1),COLUMN(D114)),SMALL(IF(ISERROR(SEARCH(MID(";"&amp;'CASE DATA'!$F114&amp;";",ROW($1:$99),1),";")),"",ROW($1:$99)),COLUMN(D113)+1)-SMALL(IF(ISERROR(SEARCH(MID(";"&amp;'CASE DATA'!$F114&amp;";",ROW($1:$99),1),";")),"",ROW($1:$99)),COLUMN(D113))-1)</f>
        <v/>
      </c>
      <c r="Z114" s="29" t="str">
        <f t="array" ref="Z114">MID(";"&amp;'CASE DATA'!$F114&amp;";",SMALL(IF(ISERROR(SEARCH(MID(";"&amp;'CASE DATA'!$F114&amp;";",ROW($1:$99),1),";")),"",ROW($1:$99)+1),COLUMN(E114)),SMALL(IF(ISERROR(SEARCH(MID(";"&amp;'CASE DATA'!$F114&amp;";",ROW($1:$99),1),";")),"",ROW($1:$99)),COLUMN(E113)+1)-SMALL(IF(ISERROR(SEARCH(MID(";"&amp;'CASE DATA'!$F114&amp;";",ROW($1:$99),1),";")),"",ROW($1:$99)),COLUMN(E113))-1)</f>
        <v/>
      </c>
      <c r="AA114" s="29" t="str">
        <f t="array" ref="AA114">MID(";"&amp;'CASE DATA'!$F114&amp;";",SMALL(IF(ISERROR(SEARCH(MID(";"&amp;'CASE DATA'!$F114&amp;";",ROW($1:$99),1),";")),"",ROW($1:$99)+1),COLUMN(F114)),SMALL(IF(ISERROR(SEARCH(MID(";"&amp;'CASE DATA'!$F114&amp;";",ROW($1:$99),1),";")),"",ROW($1:$99)),COLUMN(F113)+1)-SMALL(IF(ISERROR(SEARCH(MID(";"&amp;'CASE DATA'!$F114&amp;";",ROW($1:$99),1),";")),"",ROW($1:$99)),COLUMN(F113))-1)</f>
        <v/>
      </c>
      <c r="AB114" s="29" t="str">
        <f t="array" ref="AB114">MID(";"&amp;'CASE DATA'!$F114&amp;";",SMALL(IF(ISERROR(SEARCH(MID(";"&amp;'CASE DATA'!$F114&amp;";",ROW($1:$99),1),";")),"",ROW($1:$99)+1),COLUMN(G114)),SMALL(IF(ISERROR(SEARCH(MID(";"&amp;'CASE DATA'!$F114&amp;";",ROW($1:$99),1),";")),"",ROW($1:$99)),COLUMN(G113)+1)-SMALL(IF(ISERROR(SEARCH(MID(";"&amp;'CASE DATA'!$F114&amp;";",ROW($1:$99),1),";")),"",ROW($1:$99)),COLUMN(G113))-1)</f>
        <v/>
      </c>
      <c r="AC114" s="29" t="str">
        <f t="array" ref="AC114">MID(";"&amp;'CASE DATA'!$F114&amp;";",SMALL(IF(ISERROR(SEARCH(MID(";"&amp;'CASE DATA'!$F114&amp;";",ROW($1:$99),1),";")),"",ROW($1:$99)+1),COLUMN(H114)),SMALL(IF(ISERROR(SEARCH(MID(";"&amp;'CASE DATA'!$F114&amp;";",ROW($1:$99),1),";")),"",ROW($1:$99)),COLUMN(H113)+1)-SMALL(IF(ISERROR(SEARCH(MID(";"&amp;'CASE DATA'!$F114&amp;";",ROW($1:$99),1),";")),"",ROW($1:$99)),COLUMN(H113))-1)</f>
        <v/>
      </c>
      <c r="AD114" s="29" t="str">
        <f t="array" ref="AD114">MID(";"&amp;'CASE DATA'!$F114&amp;";",SMALL(IF(ISERROR(SEARCH(MID(";"&amp;'CASE DATA'!$F114&amp;";",ROW($1:$99),1),";")),"",ROW($1:$99)+1),COLUMN(I114)),SMALL(IF(ISERROR(SEARCH(MID(";"&amp;'CASE DATA'!$F114&amp;";",ROW($1:$99),1),";")),"",ROW($1:$99)),COLUMN(I113)+1)-SMALL(IF(ISERROR(SEARCH(MID(";"&amp;'CASE DATA'!$F114&amp;";",ROW($1:$99),1),";")),"",ROW($1:$99)),COLUMN(I113))-1)</f>
        <v/>
      </c>
      <c r="AE114" s="29" t="str">
        <f t="array" ref="AE114">MID(";"&amp;'CASE DATA'!$F114&amp;";",SMALL(IF(ISERROR(SEARCH(MID(";"&amp;'CASE DATA'!$F114&amp;";",ROW($1:$99),1),";")),"",ROW($1:$99)+1),COLUMN(J114)),SMALL(IF(ISERROR(SEARCH(MID(";"&amp;'CASE DATA'!$F114&amp;";",ROW($1:$99),1),";")),"",ROW($1:$99)),COLUMN(J113)+1)-SMALL(IF(ISERROR(SEARCH(MID(";"&amp;'CASE DATA'!$F114&amp;";",ROW($1:$99),1),";")),"",ROW($1:$99)),COLUMN(J113))-1)</f>
        <v/>
      </c>
      <c r="AF114" s="29" t="str">
        <f t="array" ref="AF114">MID(";"&amp;'CASE DATA'!$F114&amp;";",SMALL(IF(ISERROR(SEARCH(MID(";"&amp;'CASE DATA'!$F114&amp;";",ROW($1:$99),1),";")),"",ROW($1:$99)+1),COLUMN(K114)),SMALL(IF(ISERROR(SEARCH(MID(";"&amp;'CASE DATA'!$F114&amp;";",ROW($1:$99),1),";")),"",ROW($1:$99)),COLUMN(K113)+1)-SMALL(IF(ISERROR(SEARCH(MID(";"&amp;'CASE DATA'!$F114&amp;";",ROW($1:$99),1),";")),"",ROW($1:$99)),COLUMN(K113))-1)</f>
        <v/>
      </c>
      <c r="AG114" s="29" t="str">
        <f t="array" ref="AG114">MID(";"&amp;'CASE DATA'!$F114&amp;";",SMALL(IF(ISERROR(SEARCH(MID(";"&amp;'CASE DATA'!$F114&amp;";",ROW($1:$99),1),";")),"",ROW($1:$99)+1),COLUMN(L114)),SMALL(IF(ISERROR(SEARCH(MID(";"&amp;'CASE DATA'!$F114&amp;";",ROW($1:$99),1),";")),"",ROW($1:$99)),COLUMN(L113)+1)-SMALL(IF(ISERROR(SEARCH(MID(";"&amp;'CASE DATA'!$F114&amp;";",ROW($1:$99),1),";")),"",ROW($1:$99)),COLUMN(L113))-1)</f>
        <v/>
      </c>
      <c r="AH114" s="29"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24"/>
      <c r="D115" s="24"/>
      <c r="E115" s="25"/>
      <c r="F115" s="30"/>
      <c r="J115" s="31"/>
      <c r="K115" s="31"/>
      <c r="L115" s="31"/>
      <c r="M115" s="31"/>
      <c r="N115" s="31"/>
      <c r="O115" s="31"/>
      <c r="P115" s="31"/>
      <c r="Q115" s="31"/>
      <c r="R115" s="31"/>
      <c r="S115" s="31"/>
      <c r="T115" s="28">
        <f t="shared" si="2"/>
        <v>0</v>
      </c>
      <c r="U115" s="28"/>
      <c r="W115" s="29" t="str">
        <f t="array" ref="W115">MID(";"&amp;'CASE DATA'!$F115&amp;";",SMALL(IF(ISERROR(SEARCH(MID(";"&amp;'CASE DATA'!$F115&amp;";",ROW($1:$99),1),";")),"",ROW($1:$99)+1),COLUMN(A115)),SMALL(IF(ISERROR(SEARCH(MID(";"&amp;'CASE DATA'!$F115&amp;";",ROW($1:$99),1),";")),"",ROW($1:$99)),COLUMN(A114)+1)-SMALL(IF(ISERROR(SEARCH(MID(";"&amp;'CASE DATA'!$F115&amp;";",ROW($1:$99),1),";")),"",ROW($1:$99)),COLUMN(A114))-1)</f>
        <v/>
      </c>
      <c r="X115" s="29" t="str">
        <f t="array" ref="X115">MID(";"&amp;'CASE DATA'!$F115&amp;";",SMALL(IF(ISERROR(SEARCH(MID(";"&amp;'CASE DATA'!$F115&amp;";",ROW($1:$99),1),";")),"",ROW($1:$99)+1),COLUMN(B115)),SMALL(IF(ISERROR(SEARCH(MID(";"&amp;'CASE DATA'!$F115&amp;";",ROW($1:$99),1),";")),"",ROW($1:$99)),COLUMN(B114)+1)-SMALL(IF(ISERROR(SEARCH(MID(";"&amp;'CASE DATA'!$F115&amp;";",ROW($1:$99),1),";")),"",ROW($1:$99)),COLUMN(B114))-1)</f>
        <v/>
      </c>
      <c r="Y115" s="29" t="str">
        <f t="array" ref="Y115">MID(";"&amp;'CASE DATA'!$F115&amp;";",SMALL(IF(ISERROR(SEARCH(MID(";"&amp;'CASE DATA'!$F115&amp;";",ROW($1:$99),1),";")),"",ROW($1:$99)+1),COLUMN(D115)),SMALL(IF(ISERROR(SEARCH(MID(";"&amp;'CASE DATA'!$F115&amp;";",ROW($1:$99),1),";")),"",ROW($1:$99)),COLUMN(D114)+1)-SMALL(IF(ISERROR(SEARCH(MID(";"&amp;'CASE DATA'!$F115&amp;";",ROW($1:$99),1),";")),"",ROW($1:$99)),COLUMN(D114))-1)</f>
        <v/>
      </c>
      <c r="Z115" s="29" t="str">
        <f t="array" ref="Z115">MID(";"&amp;'CASE DATA'!$F115&amp;";",SMALL(IF(ISERROR(SEARCH(MID(";"&amp;'CASE DATA'!$F115&amp;";",ROW($1:$99),1),";")),"",ROW($1:$99)+1),COLUMN(E115)),SMALL(IF(ISERROR(SEARCH(MID(";"&amp;'CASE DATA'!$F115&amp;";",ROW($1:$99),1),";")),"",ROW($1:$99)),COLUMN(E114)+1)-SMALL(IF(ISERROR(SEARCH(MID(";"&amp;'CASE DATA'!$F115&amp;";",ROW($1:$99),1),";")),"",ROW($1:$99)),COLUMN(E114))-1)</f>
        <v/>
      </c>
      <c r="AA115" s="29" t="str">
        <f t="array" ref="AA115">MID(";"&amp;'CASE DATA'!$F115&amp;";",SMALL(IF(ISERROR(SEARCH(MID(";"&amp;'CASE DATA'!$F115&amp;";",ROW($1:$99),1),";")),"",ROW($1:$99)+1),COLUMN(F115)),SMALL(IF(ISERROR(SEARCH(MID(";"&amp;'CASE DATA'!$F115&amp;";",ROW($1:$99),1),";")),"",ROW($1:$99)),COLUMN(F114)+1)-SMALL(IF(ISERROR(SEARCH(MID(";"&amp;'CASE DATA'!$F115&amp;";",ROW($1:$99),1),";")),"",ROW($1:$99)),COLUMN(F114))-1)</f>
        <v/>
      </c>
      <c r="AB115" s="29" t="str">
        <f t="array" ref="AB115">MID(";"&amp;'CASE DATA'!$F115&amp;";",SMALL(IF(ISERROR(SEARCH(MID(";"&amp;'CASE DATA'!$F115&amp;";",ROW($1:$99),1),";")),"",ROW($1:$99)+1),COLUMN(G115)),SMALL(IF(ISERROR(SEARCH(MID(";"&amp;'CASE DATA'!$F115&amp;";",ROW($1:$99),1),";")),"",ROW($1:$99)),COLUMN(G114)+1)-SMALL(IF(ISERROR(SEARCH(MID(";"&amp;'CASE DATA'!$F115&amp;";",ROW($1:$99),1),";")),"",ROW($1:$99)),COLUMN(G114))-1)</f>
        <v/>
      </c>
      <c r="AC115" s="29" t="str">
        <f t="array" ref="AC115">MID(";"&amp;'CASE DATA'!$F115&amp;";",SMALL(IF(ISERROR(SEARCH(MID(";"&amp;'CASE DATA'!$F115&amp;";",ROW($1:$99),1),";")),"",ROW($1:$99)+1),COLUMN(H115)),SMALL(IF(ISERROR(SEARCH(MID(";"&amp;'CASE DATA'!$F115&amp;";",ROW($1:$99),1),";")),"",ROW($1:$99)),COLUMN(H114)+1)-SMALL(IF(ISERROR(SEARCH(MID(";"&amp;'CASE DATA'!$F115&amp;";",ROW($1:$99),1),";")),"",ROW($1:$99)),COLUMN(H114))-1)</f>
        <v/>
      </c>
      <c r="AD115" s="29" t="str">
        <f t="array" ref="AD115">MID(";"&amp;'CASE DATA'!$F115&amp;";",SMALL(IF(ISERROR(SEARCH(MID(";"&amp;'CASE DATA'!$F115&amp;";",ROW($1:$99),1),";")),"",ROW($1:$99)+1),COLUMN(I115)),SMALL(IF(ISERROR(SEARCH(MID(";"&amp;'CASE DATA'!$F115&amp;";",ROW($1:$99),1),";")),"",ROW($1:$99)),COLUMN(I114)+1)-SMALL(IF(ISERROR(SEARCH(MID(";"&amp;'CASE DATA'!$F115&amp;";",ROW($1:$99),1),";")),"",ROW($1:$99)),COLUMN(I114))-1)</f>
        <v/>
      </c>
      <c r="AE115" s="29" t="str">
        <f t="array" ref="AE115">MID(";"&amp;'CASE DATA'!$F115&amp;";",SMALL(IF(ISERROR(SEARCH(MID(";"&amp;'CASE DATA'!$F115&amp;";",ROW($1:$99),1),";")),"",ROW($1:$99)+1),COLUMN(J115)),SMALL(IF(ISERROR(SEARCH(MID(";"&amp;'CASE DATA'!$F115&amp;";",ROW($1:$99),1),";")),"",ROW($1:$99)),COLUMN(J114)+1)-SMALL(IF(ISERROR(SEARCH(MID(";"&amp;'CASE DATA'!$F115&amp;";",ROW($1:$99),1),";")),"",ROW($1:$99)),COLUMN(J114))-1)</f>
        <v/>
      </c>
      <c r="AF115" s="29" t="str">
        <f t="array" ref="AF115">MID(";"&amp;'CASE DATA'!$F115&amp;";",SMALL(IF(ISERROR(SEARCH(MID(";"&amp;'CASE DATA'!$F115&amp;";",ROW($1:$99),1),";")),"",ROW($1:$99)+1),COLUMN(K115)),SMALL(IF(ISERROR(SEARCH(MID(";"&amp;'CASE DATA'!$F115&amp;";",ROW($1:$99),1),";")),"",ROW($1:$99)),COLUMN(K114)+1)-SMALL(IF(ISERROR(SEARCH(MID(";"&amp;'CASE DATA'!$F115&amp;";",ROW($1:$99),1),";")),"",ROW($1:$99)),COLUMN(K114))-1)</f>
        <v/>
      </c>
      <c r="AG115" s="29" t="str">
        <f t="array" ref="AG115">MID(";"&amp;'CASE DATA'!$F115&amp;";",SMALL(IF(ISERROR(SEARCH(MID(";"&amp;'CASE DATA'!$F115&amp;";",ROW($1:$99),1),";")),"",ROW($1:$99)+1),COLUMN(L115)),SMALL(IF(ISERROR(SEARCH(MID(";"&amp;'CASE DATA'!$F115&amp;";",ROW($1:$99),1),";")),"",ROW($1:$99)),COLUMN(L114)+1)-SMALL(IF(ISERROR(SEARCH(MID(";"&amp;'CASE DATA'!$F115&amp;";",ROW($1:$99),1),";")),"",ROW($1:$99)),COLUMN(L114))-1)</f>
        <v/>
      </c>
      <c r="AH115" s="29"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24"/>
      <c r="D116" s="24"/>
      <c r="E116" s="25"/>
      <c r="F116" s="30"/>
      <c r="J116" s="31"/>
      <c r="K116" s="31"/>
      <c r="L116" s="31"/>
      <c r="M116" s="31"/>
      <c r="N116" s="31"/>
      <c r="O116" s="31"/>
      <c r="P116" s="31"/>
      <c r="Q116" s="31"/>
      <c r="R116" s="31"/>
      <c r="S116" s="31"/>
      <c r="T116" s="28">
        <f t="shared" si="2"/>
        <v>0</v>
      </c>
      <c r="U116" s="28"/>
      <c r="W116" s="29" t="str">
        <f t="array" ref="W116">MID(";"&amp;'CASE DATA'!$F116&amp;";",SMALL(IF(ISERROR(SEARCH(MID(";"&amp;'CASE DATA'!$F116&amp;";",ROW($1:$99),1),";")),"",ROW($1:$99)+1),COLUMN(A116)),SMALL(IF(ISERROR(SEARCH(MID(";"&amp;'CASE DATA'!$F116&amp;";",ROW($1:$99),1),";")),"",ROW($1:$99)),COLUMN(A115)+1)-SMALL(IF(ISERROR(SEARCH(MID(";"&amp;'CASE DATA'!$F116&amp;";",ROW($1:$99),1),";")),"",ROW($1:$99)),COLUMN(A115))-1)</f>
        <v/>
      </c>
      <c r="X116" s="29" t="str">
        <f t="array" ref="X116">MID(";"&amp;'CASE DATA'!$F116&amp;";",SMALL(IF(ISERROR(SEARCH(MID(";"&amp;'CASE DATA'!$F116&amp;";",ROW($1:$99),1),";")),"",ROW($1:$99)+1),COLUMN(B116)),SMALL(IF(ISERROR(SEARCH(MID(";"&amp;'CASE DATA'!$F116&amp;";",ROW($1:$99),1),";")),"",ROW($1:$99)),COLUMN(B115)+1)-SMALL(IF(ISERROR(SEARCH(MID(";"&amp;'CASE DATA'!$F116&amp;";",ROW($1:$99),1),";")),"",ROW($1:$99)),COLUMN(B115))-1)</f>
        <v/>
      </c>
      <c r="Y116" s="29" t="str">
        <f t="array" ref="Y116">MID(";"&amp;'CASE DATA'!$F116&amp;";",SMALL(IF(ISERROR(SEARCH(MID(";"&amp;'CASE DATA'!$F116&amp;";",ROW($1:$99),1),";")),"",ROW($1:$99)+1),COLUMN(D116)),SMALL(IF(ISERROR(SEARCH(MID(";"&amp;'CASE DATA'!$F116&amp;";",ROW($1:$99),1),";")),"",ROW($1:$99)),COLUMN(D115)+1)-SMALL(IF(ISERROR(SEARCH(MID(";"&amp;'CASE DATA'!$F116&amp;";",ROW($1:$99),1),";")),"",ROW($1:$99)),COLUMN(D115))-1)</f>
        <v/>
      </c>
      <c r="Z116" s="29" t="str">
        <f t="array" ref="Z116">MID(";"&amp;'CASE DATA'!$F116&amp;";",SMALL(IF(ISERROR(SEARCH(MID(";"&amp;'CASE DATA'!$F116&amp;";",ROW($1:$99),1),";")),"",ROW($1:$99)+1),COLUMN(E116)),SMALL(IF(ISERROR(SEARCH(MID(";"&amp;'CASE DATA'!$F116&amp;";",ROW($1:$99),1),";")),"",ROW($1:$99)),COLUMN(E115)+1)-SMALL(IF(ISERROR(SEARCH(MID(";"&amp;'CASE DATA'!$F116&amp;";",ROW($1:$99),1),";")),"",ROW($1:$99)),COLUMN(E115))-1)</f>
        <v/>
      </c>
      <c r="AA116" s="29" t="str">
        <f t="array" ref="AA116">MID(";"&amp;'CASE DATA'!$F116&amp;";",SMALL(IF(ISERROR(SEARCH(MID(";"&amp;'CASE DATA'!$F116&amp;";",ROW($1:$99),1),";")),"",ROW($1:$99)+1),COLUMN(F116)),SMALL(IF(ISERROR(SEARCH(MID(";"&amp;'CASE DATA'!$F116&amp;";",ROW($1:$99),1),";")),"",ROW($1:$99)),COLUMN(F115)+1)-SMALL(IF(ISERROR(SEARCH(MID(";"&amp;'CASE DATA'!$F116&amp;";",ROW($1:$99),1),";")),"",ROW($1:$99)),COLUMN(F115))-1)</f>
        <v/>
      </c>
      <c r="AB116" s="29" t="str">
        <f t="array" ref="AB116">MID(";"&amp;'CASE DATA'!$F116&amp;";",SMALL(IF(ISERROR(SEARCH(MID(";"&amp;'CASE DATA'!$F116&amp;";",ROW($1:$99),1),";")),"",ROW($1:$99)+1),COLUMN(G116)),SMALL(IF(ISERROR(SEARCH(MID(";"&amp;'CASE DATA'!$F116&amp;";",ROW($1:$99),1),";")),"",ROW($1:$99)),COLUMN(G115)+1)-SMALL(IF(ISERROR(SEARCH(MID(";"&amp;'CASE DATA'!$F116&amp;";",ROW($1:$99),1),";")),"",ROW($1:$99)),COLUMN(G115))-1)</f>
        <v/>
      </c>
      <c r="AC116" s="29" t="str">
        <f t="array" ref="AC116">MID(";"&amp;'CASE DATA'!$F116&amp;";",SMALL(IF(ISERROR(SEARCH(MID(";"&amp;'CASE DATA'!$F116&amp;";",ROW($1:$99),1),";")),"",ROW($1:$99)+1),COLUMN(H116)),SMALL(IF(ISERROR(SEARCH(MID(";"&amp;'CASE DATA'!$F116&amp;";",ROW($1:$99),1),";")),"",ROW($1:$99)),COLUMN(H115)+1)-SMALL(IF(ISERROR(SEARCH(MID(";"&amp;'CASE DATA'!$F116&amp;";",ROW($1:$99),1),";")),"",ROW($1:$99)),COLUMN(H115))-1)</f>
        <v/>
      </c>
      <c r="AD116" s="29" t="str">
        <f t="array" ref="AD116">MID(";"&amp;'CASE DATA'!$F116&amp;";",SMALL(IF(ISERROR(SEARCH(MID(";"&amp;'CASE DATA'!$F116&amp;";",ROW($1:$99),1),";")),"",ROW($1:$99)+1),COLUMN(I116)),SMALL(IF(ISERROR(SEARCH(MID(";"&amp;'CASE DATA'!$F116&amp;";",ROW($1:$99),1),";")),"",ROW($1:$99)),COLUMN(I115)+1)-SMALL(IF(ISERROR(SEARCH(MID(";"&amp;'CASE DATA'!$F116&amp;";",ROW($1:$99),1),";")),"",ROW($1:$99)),COLUMN(I115))-1)</f>
        <v/>
      </c>
      <c r="AE116" s="29" t="str">
        <f t="array" ref="AE116">MID(";"&amp;'CASE DATA'!$F116&amp;";",SMALL(IF(ISERROR(SEARCH(MID(";"&amp;'CASE DATA'!$F116&amp;";",ROW($1:$99),1),";")),"",ROW($1:$99)+1),COLUMN(J116)),SMALL(IF(ISERROR(SEARCH(MID(";"&amp;'CASE DATA'!$F116&amp;";",ROW($1:$99),1),";")),"",ROW($1:$99)),COLUMN(J115)+1)-SMALL(IF(ISERROR(SEARCH(MID(";"&amp;'CASE DATA'!$F116&amp;";",ROW($1:$99),1),";")),"",ROW($1:$99)),COLUMN(J115))-1)</f>
        <v/>
      </c>
      <c r="AF116" s="29" t="str">
        <f t="array" ref="AF116">MID(";"&amp;'CASE DATA'!$F116&amp;";",SMALL(IF(ISERROR(SEARCH(MID(";"&amp;'CASE DATA'!$F116&amp;";",ROW($1:$99),1),";")),"",ROW($1:$99)+1),COLUMN(K116)),SMALL(IF(ISERROR(SEARCH(MID(";"&amp;'CASE DATA'!$F116&amp;";",ROW($1:$99),1),";")),"",ROW($1:$99)),COLUMN(K115)+1)-SMALL(IF(ISERROR(SEARCH(MID(";"&amp;'CASE DATA'!$F116&amp;";",ROW($1:$99),1),";")),"",ROW($1:$99)),COLUMN(K115))-1)</f>
        <v/>
      </c>
      <c r="AG116" s="29" t="str">
        <f t="array" ref="AG116">MID(";"&amp;'CASE DATA'!$F116&amp;";",SMALL(IF(ISERROR(SEARCH(MID(";"&amp;'CASE DATA'!$F116&amp;";",ROW($1:$99),1),";")),"",ROW($1:$99)+1),COLUMN(L116)),SMALL(IF(ISERROR(SEARCH(MID(";"&amp;'CASE DATA'!$F116&amp;";",ROW($1:$99),1),";")),"",ROW($1:$99)),COLUMN(L115)+1)-SMALL(IF(ISERROR(SEARCH(MID(";"&amp;'CASE DATA'!$F116&amp;";",ROW($1:$99),1),";")),"",ROW($1:$99)),COLUMN(L115))-1)</f>
        <v/>
      </c>
      <c r="AH116" s="29"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24"/>
      <c r="D117" s="24"/>
      <c r="E117" s="25"/>
      <c r="F117" s="30"/>
      <c r="J117" s="31"/>
      <c r="K117" s="31"/>
      <c r="L117" s="31"/>
      <c r="M117" s="31"/>
      <c r="N117" s="31"/>
      <c r="O117" s="31"/>
      <c r="P117" s="31"/>
      <c r="Q117" s="31"/>
      <c r="R117" s="31"/>
      <c r="S117" s="31"/>
      <c r="T117" s="28">
        <f t="shared" si="2"/>
        <v>0</v>
      </c>
      <c r="U117" s="28"/>
      <c r="W117" s="29" t="str">
        <f t="array" ref="W117">MID(";"&amp;'CASE DATA'!$F117&amp;";",SMALL(IF(ISERROR(SEARCH(MID(";"&amp;'CASE DATA'!$F117&amp;";",ROW($1:$99),1),";")),"",ROW($1:$99)+1),COLUMN(A117)),SMALL(IF(ISERROR(SEARCH(MID(";"&amp;'CASE DATA'!$F117&amp;";",ROW($1:$99),1),";")),"",ROW($1:$99)),COLUMN(A116)+1)-SMALL(IF(ISERROR(SEARCH(MID(";"&amp;'CASE DATA'!$F117&amp;";",ROW($1:$99),1),";")),"",ROW($1:$99)),COLUMN(A116))-1)</f>
        <v/>
      </c>
      <c r="X117" s="29" t="str">
        <f t="array" ref="X117">MID(";"&amp;'CASE DATA'!$F117&amp;";",SMALL(IF(ISERROR(SEARCH(MID(";"&amp;'CASE DATA'!$F117&amp;";",ROW($1:$99),1),";")),"",ROW($1:$99)+1),COLUMN(B117)),SMALL(IF(ISERROR(SEARCH(MID(";"&amp;'CASE DATA'!$F117&amp;";",ROW($1:$99),1),";")),"",ROW($1:$99)),COLUMN(B116)+1)-SMALL(IF(ISERROR(SEARCH(MID(";"&amp;'CASE DATA'!$F117&amp;";",ROW($1:$99),1),";")),"",ROW($1:$99)),COLUMN(B116))-1)</f>
        <v/>
      </c>
      <c r="Y117" s="29" t="str">
        <f t="array" ref="Y117">MID(";"&amp;'CASE DATA'!$F117&amp;";",SMALL(IF(ISERROR(SEARCH(MID(";"&amp;'CASE DATA'!$F117&amp;";",ROW($1:$99),1),";")),"",ROW($1:$99)+1),COLUMN(D117)),SMALL(IF(ISERROR(SEARCH(MID(";"&amp;'CASE DATA'!$F117&amp;";",ROW($1:$99),1),";")),"",ROW($1:$99)),COLUMN(D116)+1)-SMALL(IF(ISERROR(SEARCH(MID(";"&amp;'CASE DATA'!$F117&amp;";",ROW($1:$99),1),";")),"",ROW($1:$99)),COLUMN(D116))-1)</f>
        <v/>
      </c>
      <c r="Z117" s="29" t="str">
        <f t="array" ref="Z117">MID(";"&amp;'CASE DATA'!$F117&amp;";",SMALL(IF(ISERROR(SEARCH(MID(";"&amp;'CASE DATA'!$F117&amp;";",ROW($1:$99),1),";")),"",ROW($1:$99)+1),COLUMN(E117)),SMALL(IF(ISERROR(SEARCH(MID(";"&amp;'CASE DATA'!$F117&amp;";",ROW($1:$99),1),";")),"",ROW($1:$99)),COLUMN(E116)+1)-SMALL(IF(ISERROR(SEARCH(MID(";"&amp;'CASE DATA'!$F117&amp;";",ROW($1:$99),1),";")),"",ROW($1:$99)),COLUMN(E116))-1)</f>
        <v/>
      </c>
      <c r="AA117" s="29" t="str">
        <f t="array" ref="AA117">MID(";"&amp;'CASE DATA'!$F117&amp;";",SMALL(IF(ISERROR(SEARCH(MID(";"&amp;'CASE DATA'!$F117&amp;";",ROW($1:$99),1),";")),"",ROW($1:$99)+1),COLUMN(F117)),SMALL(IF(ISERROR(SEARCH(MID(";"&amp;'CASE DATA'!$F117&amp;";",ROW($1:$99),1),";")),"",ROW($1:$99)),COLUMN(F116)+1)-SMALL(IF(ISERROR(SEARCH(MID(";"&amp;'CASE DATA'!$F117&amp;";",ROW($1:$99),1),";")),"",ROW($1:$99)),COLUMN(F116))-1)</f>
        <v/>
      </c>
      <c r="AB117" s="29" t="str">
        <f t="array" ref="AB117">MID(";"&amp;'CASE DATA'!$F117&amp;";",SMALL(IF(ISERROR(SEARCH(MID(";"&amp;'CASE DATA'!$F117&amp;";",ROW($1:$99),1),";")),"",ROW($1:$99)+1),COLUMN(G117)),SMALL(IF(ISERROR(SEARCH(MID(";"&amp;'CASE DATA'!$F117&amp;";",ROW($1:$99),1),";")),"",ROW($1:$99)),COLUMN(G116)+1)-SMALL(IF(ISERROR(SEARCH(MID(";"&amp;'CASE DATA'!$F117&amp;";",ROW($1:$99),1),";")),"",ROW($1:$99)),COLUMN(G116))-1)</f>
        <v/>
      </c>
      <c r="AC117" s="29" t="str">
        <f t="array" ref="AC117">MID(";"&amp;'CASE DATA'!$F117&amp;";",SMALL(IF(ISERROR(SEARCH(MID(";"&amp;'CASE DATA'!$F117&amp;";",ROW($1:$99),1),";")),"",ROW($1:$99)+1),COLUMN(H117)),SMALL(IF(ISERROR(SEARCH(MID(";"&amp;'CASE DATA'!$F117&amp;";",ROW($1:$99),1),";")),"",ROW($1:$99)),COLUMN(H116)+1)-SMALL(IF(ISERROR(SEARCH(MID(";"&amp;'CASE DATA'!$F117&amp;";",ROW($1:$99),1),";")),"",ROW($1:$99)),COLUMN(H116))-1)</f>
        <v/>
      </c>
      <c r="AD117" s="29" t="str">
        <f t="array" ref="AD117">MID(";"&amp;'CASE DATA'!$F117&amp;";",SMALL(IF(ISERROR(SEARCH(MID(";"&amp;'CASE DATA'!$F117&amp;";",ROW($1:$99),1),";")),"",ROW($1:$99)+1),COLUMN(I117)),SMALL(IF(ISERROR(SEARCH(MID(";"&amp;'CASE DATA'!$F117&amp;";",ROW($1:$99),1),";")),"",ROW($1:$99)),COLUMN(I116)+1)-SMALL(IF(ISERROR(SEARCH(MID(";"&amp;'CASE DATA'!$F117&amp;";",ROW($1:$99),1),";")),"",ROW($1:$99)),COLUMN(I116))-1)</f>
        <v/>
      </c>
      <c r="AE117" s="29" t="str">
        <f t="array" ref="AE117">MID(";"&amp;'CASE DATA'!$F117&amp;";",SMALL(IF(ISERROR(SEARCH(MID(";"&amp;'CASE DATA'!$F117&amp;";",ROW($1:$99),1),";")),"",ROW($1:$99)+1),COLUMN(J117)),SMALL(IF(ISERROR(SEARCH(MID(";"&amp;'CASE DATA'!$F117&amp;";",ROW($1:$99),1),";")),"",ROW($1:$99)),COLUMN(J116)+1)-SMALL(IF(ISERROR(SEARCH(MID(";"&amp;'CASE DATA'!$F117&amp;";",ROW($1:$99),1),";")),"",ROW($1:$99)),COLUMN(J116))-1)</f>
        <v/>
      </c>
      <c r="AF117" s="29" t="str">
        <f t="array" ref="AF117">MID(";"&amp;'CASE DATA'!$F117&amp;";",SMALL(IF(ISERROR(SEARCH(MID(";"&amp;'CASE DATA'!$F117&amp;";",ROW($1:$99),1),";")),"",ROW($1:$99)+1),COLUMN(K117)),SMALL(IF(ISERROR(SEARCH(MID(";"&amp;'CASE DATA'!$F117&amp;";",ROW($1:$99),1),";")),"",ROW($1:$99)),COLUMN(K116)+1)-SMALL(IF(ISERROR(SEARCH(MID(";"&amp;'CASE DATA'!$F117&amp;";",ROW($1:$99),1),";")),"",ROW($1:$99)),COLUMN(K116))-1)</f>
        <v/>
      </c>
      <c r="AG117" s="29" t="str">
        <f t="array" ref="AG117">MID(";"&amp;'CASE DATA'!$F117&amp;";",SMALL(IF(ISERROR(SEARCH(MID(";"&amp;'CASE DATA'!$F117&amp;";",ROW($1:$99),1),";")),"",ROW($1:$99)+1),COLUMN(L117)),SMALL(IF(ISERROR(SEARCH(MID(";"&amp;'CASE DATA'!$F117&amp;";",ROW($1:$99),1),";")),"",ROW($1:$99)),COLUMN(L116)+1)-SMALL(IF(ISERROR(SEARCH(MID(";"&amp;'CASE DATA'!$F117&amp;";",ROW($1:$99),1),";")),"",ROW($1:$99)),COLUMN(L116))-1)</f>
        <v/>
      </c>
      <c r="AH117" s="29"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24"/>
      <c r="D118" s="24"/>
      <c r="E118" s="25"/>
      <c r="F118" s="30"/>
      <c r="J118" s="31"/>
      <c r="K118" s="31"/>
      <c r="L118" s="31"/>
      <c r="M118" s="31"/>
      <c r="N118" s="31"/>
      <c r="O118" s="31"/>
      <c r="P118" s="31"/>
      <c r="Q118" s="31"/>
      <c r="R118" s="31"/>
      <c r="S118" s="31"/>
      <c r="T118" s="28">
        <f t="shared" si="2"/>
        <v>0</v>
      </c>
      <c r="U118" s="28"/>
      <c r="W118" s="29" t="str">
        <f t="array" ref="W118">MID(";"&amp;'CASE DATA'!$F118&amp;";",SMALL(IF(ISERROR(SEARCH(MID(";"&amp;'CASE DATA'!$F118&amp;";",ROW($1:$99),1),";")),"",ROW($1:$99)+1),COLUMN(A118)),SMALL(IF(ISERROR(SEARCH(MID(";"&amp;'CASE DATA'!$F118&amp;";",ROW($1:$99),1),";")),"",ROW($1:$99)),COLUMN(A117)+1)-SMALL(IF(ISERROR(SEARCH(MID(";"&amp;'CASE DATA'!$F118&amp;";",ROW($1:$99),1),";")),"",ROW($1:$99)),COLUMN(A117))-1)</f>
        <v/>
      </c>
      <c r="X118" s="29" t="str">
        <f t="array" ref="X118">MID(";"&amp;'CASE DATA'!$F118&amp;";",SMALL(IF(ISERROR(SEARCH(MID(";"&amp;'CASE DATA'!$F118&amp;";",ROW($1:$99),1),";")),"",ROW($1:$99)+1),COLUMN(B118)),SMALL(IF(ISERROR(SEARCH(MID(";"&amp;'CASE DATA'!$F118&amp;";",ROW($1:$99),1),";")),"",ROW($1:$99)),COLUMN(B117)+1)-SMALL(IF(ISERROR(SEARCH(MID(";"&amp;'CASE DATA'!$F118&amp;";",ROW($1:$99),1),";")),"",ROW($1:$99)),COLUMN(B117))-1)</f>
        <v/>
      </c>
      <c r="Y118" s="29" t="str">
        <f t="array" ref="Y118">MID(";"&amp;'CASE DATA'!$F118&amp;";",SMALL(IF(ISERROR(SEARCH(MID(";"&amp;'CASE DATA'!$F118&amp;";",ROW($1:$99),1),";")),"",ROW($1:$99)+1),COLUMN(D118)),SMALL(IF(ISERROR(SEARCH(MID(";"&amp;'CASE DATA'!$F118&amp;";",ROW($1:$99),1),";")),"",ROW($1:$99)),COLUMN(D117)+1)-SMALL(IF(ISERROR(SEARCH(MID(";"&amp;'CASE DATA'!$F118&amp;";",ROW($1:$99),1),";")),"",ROW($1:$99)),COLUMN(D117))-1)</f>
        <v/>
      </c>
      <c r="Z118" s="29" t="str">
        <f t="array" ref="Z118">MID(";"&amp;'CASE DATA'!$F118&amp;";",SMALL(IF(ISERROR(SEARCH(MID(";"&amp;'CASE DATA'!$F118&amp;";",ROW($1:$99),1),";")),"",ROW($1:$99)+1),COLUMN(E118)),SMALL(IF(ISERROR(SEARCH(MID(";"&amp;'CASE DATA'!$F118&amp;";",ROW($1:$99),1),";")),"",ROW($1:$99)),COLUMN(E117)+1)-SMALL(IF(ISERROR(SEARCH(MID(";"&amp;'CASE DATA'!$F118&amp;";",ROW($1:$99),1),";")),"",ROW($1:$99)),COLUMN(E117))-1)</f>
        <v/>
      </c>
      <c r="AA118" s="29" t="str">
        <f t="array" ref="AA118">MID(";"&amp;'CASE DATA'!$F118&amp;";",SMALL(IF(ISERROR(SEARCH(MID(";"&amp;'CASE DATA'!$F118&amp;";",ROW($1:$99),1),";")),"",ROW($1:$99)+1),COLUMN(F118)),SMALL(IF(ISERROR(SEARCH(MID(";"&amp;'CASE DATA'!$F118&amp;";",ROW($1:$99),1),";")),"",ROW($1:$99)),COLUMN(F117)+1)-SMALL(IF(ISERROR(SEARCH(MID(";"&amp;'CASE DATA'!$F118&amp;";",ROW($1:$99),1),";")),"",ROW($1:$99)),COLUMN(F117))-1)</f>
        <v/>
      </c>
      <c r="AB118" s="29" t="str">
        <f t="array" ref="AB118">MID(";"&amp;'CASE DATA'!$F118&amp;";",SMALL(IF(ISERROR(SEARCH(MID(";"&amp;'CASE DATA'!$F118&amp;";",ROW($1:$99),1),";")),"",ROW($1:$99)+1),COLUMN(G118)),SMALL(IF(ISERROR(SEARCH(MID(";"&amp;'CASE DATA'!$F118&amp;";",ROW($1:$99),1),";")),"",ROW($1:$99)),COLUMN(G117)+1)-SMALL(IF(ISERROR(SEARCH(MID(";"&amp;'CASE DATA'!$F118&amp;";",ROW($1:$99),1),";")),"",ROW($1:$99)),COLUMN(G117))-1)</f>
        <v/>
      </c>
      <c r="AC118" s="29" t="str">
        <f t="array" ref="AC118">MID(";"&amp;'CASE DATA'!$F118&amp;";",SMALL(IF(ISERROR(SEARCH(MID(";"&amp;'CASE DATA'!$F118&amp;";",ROW($1:$99),1),";")),"",ROW($1:$99)+1),COLUMN(H118)),SMALL(IF(ISERROR(SEARCH(MID(";"&amp;'CASE DATA'!$F118&amp;";",ROW($1:$99),1),";")),"",ROW($1:$99)),COLUMN(H117)+1)-SMALL(IF(ISERROR(SEARCH(MID(";"&amp;'CASE DATA'!$F118&amp;";",ROW($1:$99),1),";")),"",ROW($1:$99)),COLUMN(H117))-1)</f>
        <v/>
      </c>
      <c r="AD118" s="29" t="str">
        <f t="array" ref="AD118">MID(";"&amp;'CASE DATA'!$F118&amp;";",SMALL(IF(ISERROR(SEARCH(MID(";"&amp;'CASE DATA'!$F118&amp;";",ROW($1:$99),1),";")),"",ROW($1:$99)+1),COLUMN(I118)),SMALL(IF(ISERROR(SEARCH(MID(";"&amp;'CASE DATA'!$F118&amp;";",ROW($1:$99),1),";")),"",ROW($1:$99)),COLUMN(I117)+1)-SMALL(IF(ISERROR(SEARCH(MID(";"&amp;'CASE DATA'!$F118&amp;";",ROW($1:$99),1),";")),"",ROW($1:$99)),COLUMN(I117))-1)</f>
        <v/>
      </c>
      <c r="AE118" s="29" t="str">
        <f t="array" ref="AE118">MID(";"&amp;'CASE DATA'!$F118&amp;";",SMALL(IF(ISERROR(SEARCH(MID(";"&amp;'CASE DATA'!$F118&amp;";",ROW($1:$99),1),";")),"",ROW($1:$99)+1),COLUMN(J118)),SMALL(IF(ISERROR(SEARCH(MID(";"&amp;'CASE DATA'!$F118&amp;";",ROW($1:$99),1),";")),"",ROW($1:$99)),COLUMN(J117)+1)-SMALL(IF(ISERROR(SEARCH(MID(";"&amp;'CASE DATA'!$F118&amp;";",ROW($1:$99),1),";")),"",ROW($1:$99)),COLUMN(J117))-1)</f>
        <v/>
      </c>
      <c r="AF118" s="29" t="str">
        <f t="array" ref="AF118">MID(";"&amp;'CASE DATA'!$F118&amp;";",SMALL(IF(ISERROR(SEARCH(MID(";"&amp;'CASE DATA'!$F118&amp;";",ROW($1:$99),1),";")),"",ROW($1:$99)+1),COLUMN(K118)),SMALL(IF(ISERROR(SEARCH(MID(";"&amp;'CASE DATA'!$F118&amp;";",ROW($1:$99),1),";")),"",ROW($1:$99)),COLUMN(K117)+1)-SMALL(IF(ISERROR(SEARCH(MID(";"&amp;'CASE DATA'!$F118&amp;";",ROW($1:$99),1),";")),"",ROW($1:$99)),COLUMN(K117))-1)</f>
        <v/>
      </c>
      <c r="AG118" s="29" t="str">
        <f t="array" ref="AG118">MID(";"&amp;'CASE DATA'!$F118&amp;";",SMALL(IF(ISERROR(SEARCH(MID(";"&amp;'CASE DATA'!$F118&amp;";",ROW($1:$99),1),";")),"",ROW($1:$99)+1),COLUMN(L118)),SMALL(IF(ISERROR(SEARCH(MID(";"&amp;'CASE DATA'!$F118&amp;";",ROW($1:$99),1),";")),"",ROW($1:$99)),COLUMN(L117)+1)-SMALL(IF(ISERROR(SEARCH(MID(";"&amp;'CASE DATA'!$F118&amp;";",ROW($1:$99),1),";")),"",ROW($1:$99)),COLUMN(L117))-1)</f>
        <v/>
      </c>
      <c r="AH118" s="29"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24"/>
      <c r="D119" s="24"/>
      <c r="E119" s="25"/>
      <c r="F119" s="30"/>
      <c r="J119" s="31"/>
      <c r="K119" s="31"/>
      <c r="L119" s="31"/>
      <c r="M119" s="31"/>
      <c r="N119" s="31"/>
      <c r="O119" s="31"/>
      <c r="P119" s="31"/>
      <c r="Q119" s="31"/>
      <c r="R119" s="31"/>
      <c r="S119" s="31"/>
      <c r="T119" s="28">
        <f t="shared" si="2"/>
        <v>0</v>
      </c>
      <c r="U119" s="28"/>
      <c r="W119" s="29" t="str">
        <f t="array" ref="W119">MID(";"&amp;'CASE DATA'!$F119&amp;";",SMALL(IF(ISERROR(SEARCH(MID(";"&amp;'CASE DATA'!$F119&amp;";",ROW($1:$99),1),";")),"",ROW($1:$99)+1),COLUMN(A119)),SMALL(IF(ISERROR(SEARCH(MID(";"&amp;'CASE DATA'!$F119&amp;";",ROW($1:$99),1),";")),"",ROW($1:$99)),COLUMN(A118)+1)-SMALL(IF(ISERROR(SEARCH(MID(";"&amp;'CASE DATA'!$F119&amp;";",ROW($1:$99),1),";")),"",ROW($1:$99)),COLUMN(A118))-1)</f>
        <v/>
      </c>
      <c r="X119" s="29" t="str">
        <f t="array" ref="X119">MID(";"&amp;'CASE DATA'!$F119&amp;";",SMALL(IF(ISERROR(SEARCH(MID(";"&amp;'CASE DATA'!$F119&amp;";",ROW($1:$99),1),";")),"",ROW($1:$99)+1),COLUMN(B119)),SMALL(IF(ISERROR(SEARCH(MID(";"&amp;'CASE DATA'!$F119&amp;";",ROW($1:$99),1),";")),"",ROW($1:$99)),COLUMN(B118)+1)-SMALL(IF(ISERROR(SEARCH(MID(";"&amp;'CASE DATA'!$F119&amp;";",ROW($1:$99),1),";")),"",ROW($1:$99)),COLUMN(B118))-1)</f>
        <v/>
      </c>
      <c r="Y119" s="29" t="str">
        <f t="array" ref="Y119">MID(";"&amp;'CASE DATA'!$F119&amp;";",SMALL(IF(ISERROR(SEARCH(MID(";"&amp;'CASE DATA'!$F119&amp;";",ROW($1:$99),1),";")),"",ROW($1:$99)+1),COLUMN(D119)),SMALL(IF(ISERROR(SEARCH(MID(";"&amp;'CASE DATA'!$F119&amp;";",ROW($1:$99),1),";")),"",ROW($1:$99)),COLUMN(D118)+1)-SMALL(IF(ISERROR(SEARCH(MID(";"&amp;'CASE DATA'!$F119&amp;";",ROW($1:$99),1),";")),"",ROW($1:$99)),COLUMN(D118))-1)</f>
        <v/>
      </c>
      <c r="Z119" s="29" t="str">
        <f t="array" ref="Z119">MID(";"&amp;'CASE DATA'!$F119&amp;";",SMALL(IF(ISERROR(SEARCH(MID(";"&amp;'CASE DATA'!$F119&amp;";",ROW($1:$99),1),";")),"",ROW($1:$99)+1),COLUMN(E119)),SMALL(IF(ISERROR(SEARCH(MID(";"&amp;'CASE DATA'!$F119&amp;";",ROW($1:$99),1),";")),"",ROW($1:$99)),COLUMN(E118)+1)-SMALL(IF(ISERROR(SEARCH(MID(";"&amp;'CASE DATA'!$F119&amp;";",ROW($1:$99),1),";")),"",ROW($1:$99)),COLUMN(E118))-1)</f>
        <v/>
      </c>
      <c r="AA119" s="29" t="str">
        <f t="array" ref="AA119">MID(";"&amp;'CASE DATA'!$F119&amp;";",SMALL(IF(ISERROR(SEARCH(MID(";"&amp;'CASE DATA'!$F119&amp;";",ROW($1:$99),1),";")),"",ROW($1:$99)+1),COLUMN(F119)),SMALL(IF(ISERROR(SEARCH(MID(";"&amp;'CASE DATA'!$F119&amp;";",ROW($1:$99),1),";")),"",ROW($1:$99)),COLUMN(F118)+1)-SMALL(IF(ISERROR(SEARCH(MID(";"&amp;'CASE DATA'!$F119&amp;";",ROW($1:$99),1),";")),"",ROW($1:$99)),COLUMN(F118))-1)</f>
        <v/>
      </c>
      <c r="AB119" s="29" t="str">
        <f t="array" ref="AB119">MID(";"&amp;'CASE DATA'!$F119&amp;";",SMALL(IF(ISERROR(SEARCH(MID(";"&amp;'CASE DATA'!$F119&amp;";",ROW($1:$99),1),";")),"",ROW($1:$99)+1),COLUMN(G119)),SMALL(IF(ISERROR(SEARCH(MID(";"&amp;'CASE DATA'!$F119&amp;";",ROW($1:$99),1),";")),"",ROW($1:$99)),COLUMN(G118)+1)-SMALL(IF(ISERROR(SEARCH(MID(";"&amp;'CASE DATA'!$F119&amp;";",ROW($1:$99),1),";")),"",ROW($1:$99)),COLUMN(G118))-1)</f>
        <v/>
      </c>
      <c r="AC119" s="29" t="str">
        <f t="array" ref="AC119">MID(";"&amp;'CASE DATA'!$F119&amp;";",SMALL(IF(ISERROR(SEARCH(MID(";"&amp;'CASE DATA'!$F119&amp;";",ROW($1:$99),1),";")),"",ROW($1:$99)+1),COLUMN(H119)),SMALL(IF(ISERROR(SEARCH(MID(";"&amp;'CASE DATA'!$F119&amp;";",ROW($1:$99),1),";")),"",ROW($1:$99)),COLUMN(H118)+1)-SMALL(IF(ISERROR(SEARCH(MID(";"&amp;'CASE DATA'!$F119&amp;";",ROW($1:$99),1),";")),"",ROW($1:$99)),COLUMN(H118))-1)</f>
        <v/>
      </c>
      <c r="AD119" s="29" t="str">
        <f t="array" ref="AD119">MID(";"&amp;'CASE DATA'!$F119&amp;";",SMALL(IF(ISERROR(SEARCH(MID(";"&amp;'CASE DATA'!$F119&amp;";",ROW($1:$99),1),";")),"",ROW($1:$99)+1),COLUMN(I119)),SMALL(IF(ISERROR(SEARCH(MID(";"&amp;'CASE DATA'!$F119&amp;";",ROW($1:$99),1),";")),"",ROW($1:$99)),COLUMN(I118)+1)-SMALL(IF(ISERROR(SEARCH(MID(";"&amp;'CASE DATA'!$F119&amp;";",ROW($1:$99),1),";")),"",ROW($1:$99)),COLUMN(I118))-1)</f>
        <v/>
      </c>
      <c r="AE119" s="29" t="str">
        <f t="array" ref="AE119">MID(";"&amp;'CASE DATA'!$F119&amp;";",SMALL(IF(ISERROR(SEARCH(MID(";"&amp;'CASE DATA'!$F119&amp;";",ROW($1:$99),1),";")),"",ROW($1:$99)+1),COLUMN(J119)),SMALL(IF(ISERROR(SEARCH(MID(";"&amp;'CASE DATA'!$F119&amp;";",ROW($1:$99),1),";")),"",ROW($1:$99)),COLUMN(J118)+1)-SMALL(IF(ISERROR(SEARCH(MID(";"&amp;'CASE DATA'!$F119&amp;";",ROW($1:$99),1),";")),"",ROW($1:$99)),COLUMN(J118))-1)</f>
        <v/>
      </c>
      <c r="AF119" s="29" t="str">
        <f t="array" ref="AF119">MID(";"&amp;'CASE DATA'!$F119&amp;";",SMALL(IF(ISERROR(SEARCH(MID(";"&amp;'CASE DATA'!$F119&amp;";",ROW($1:$99),1),";")),"",ROW($1:$99)+1),COLUMN(K119)),SMALL(IF(ISERROR(SEARCH(MID(";"&amp;'CASE DATA'!$F119&amp;";",ROW($1:$99),1),";")),"",ROW($1:$99)),COLUMN(K118)+1)-SMALL(IF(ISERROR(SEARCH(MID(";"&amp;'CASE DATA'!$F119&amp;";",ROW($1:$99),1),";")),"",ROW($1:$99)),COLUMN(K118))-1)</f>
        <v/>
      </c>
      <c r="AG119" s="29" t="str">
        <f t="array" ref="AG119">MID(";"&amp;'CASE DATA'!$F119&amp;";",SMALL(IF(ISERROR(SEARCH(MID(";"&amp;'CASE DATA'!$F119&amp;";",ROW($1:$99),1),";")),"",ROW($1:$99)+1),COLUMN(L119)),SMALL(IF(ISERROR(SEARCH(MID(";"&amp;'CASE DATA'!$F119&amp;";",ROW($1:$99),1),";")),"",ROW($1:$99)),COLUMN(L118)+1)-SMALL(IF(ISERROR(SEARCH(MID(";"&amp;'CASE DATA'!$F119&amp;";",ROW($1:$99),1),";")),"",ROW($1:$99)),COLUMN(L118))-1)</f>
        <v/>
      </c>
      <c r="AH119" s="29"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24"/>
      <c r="D120" s="24"/>
      <c r="E120" s="25"/>
      <c r="F120" s="30"/>
      <c r="J120" s="31"/>
      <c r="K120" s="31"/>
      <c r="L120" s="31"/>
      <c r="M120" s="31"/>
      <c r="N120" s="31"/>
      <c r="O120" s="31"/>
      <c r="P120" s="31"/>
      <c r="Q120" s="31"/>
      <c r="R120" s="31"/>
      <c r="S120" s="31"/>
      <c r="T120" s="28">
        <f t="shared" si="2"/>
        <v>0</v>
      </c>
      <c r="U120" s="28"/>
      <c r="W120" s="29" t="str">
        <f t="array" ref="W120">MID(";"&amp;'CASE DATA'!$F120&amp;";",SMALL(IF(ISERROR(SEARCH(MID(";"&amp;'CASE DATA'!$F120&amp;";",ROW($1:$99),1),";")),"",ROW($1:$99)+1),COLUMN(A120)),SMALL(IF(ISERROR(SEARCH(MID(";"&amp;'CASE DATA'!$F120&amp;";",ROW($1:$99),1),";")),"",ROW($1:$99)),COLUMN(A119)+1)-SMALL(IF(ISERROR(SEARCH(MID(";"&amp;'CASE DATA'!$F120&amp;";",ROW($1:$99),1),";")),"",ROW($1:$99)),COLUMN(A119))-1)</f>
        <v/>
      </c>
      <c r="X120" s="29" t="str">
        <f t="array" ref="X120">MID(";"&amp;'CASE DATA'!$F120&amp;";",SMALL(IF(ISERROR(SEARCH(MID(";"&amp;'CASE DATA'!$F120&amp;";",ROW($1:$99),1),";")),"",ROW($1:$99)+1),COLUMN(B120)),SMALL(IF(ISERROR(SEARCH(MID(";"&amp;'CASE DATA'!$F120&amp;";",ROW($1:$99),1),";")),"",ROW($1:$99)),COLUMN(B119)+1)-SMALL(IF(ISERROR(SEARCH(MID(";"&amp;'CASE DATA'!$F120&amp;";",ROW($1:$99),1),";")),"",ROW($1:$99)),COLUMN(B119))-1)</f>
        <v/>
      </c>
      <c r="Y120" s="29" t="str">
        <f t="array" ref="Y120">MID(";"&amp;'CASE DATA'!$F120&amp;";",SMALL(IF(ISERROR(SEARCH(MID(";"&amp;'CASE DATA'!$F120&amp;";",ROW($1:$99),1),";")),"",ROW($1:$99)+1),COLUMN(D120)),SMALL(IF(ISERROR(SEARCH(MID(";"&amp;'CASE DATA'!$F120&amp;";",ROW($1:$99),1),";")),"",ROW($1:$99)),COLUMN(D119)+1)-SMALL(IF(ISERROR(SEARCH(MID(";"&amp;'CASE DATA'!$F120&amp;";",ROW($1:$99),1),";")),"",ROW($1:$99)),COLUMN(D119))-1)</f>
        <v/>
      </c>
      <c r="Z120" s="29" t="str">
        <f t="array" ref="Z120">MID(";"&amp;'CASE DATA'!$F120&amp;";",SMALL(IF(ISERROR(SEARCH(MID(";"&amp;'CASE DATA'!$F120&amp;";",ROW($1:$99),1),";")),"",ROW($1:$99)+1),COLUMN(E120)),SMALL(IF(ISERROR(SEARCH(MID(";"&amp;'CASE DATA'!$F120&amp;";",ROW($1:$99),1),";")),"",ROW($1:$99)),COLUMN(E119)+1)-SMALL(IF(ISERROR(SEARCH(MID(";"&amp;'CASE DATA'!$F120&amp;";",ROW($1:$99),1),";")),"",ROW($1:$99)),COLUMN(E119))-1)</f>
        <v/>
      </c>
      <c r="AA120" s="29" t="str">
        <f t="array" ref="AA120">MID(";"&amp;'CASE DATA'!$F120&amp;";",SMALL(IF(ISERROR(SEARCH(MID(";"&amp;'CASE DATA'!$F120&amp;";",ROW($1:$99),1),";")),"",ROW($1:$99)+1),COLUMN(F120)),SMALL(IF(ISERROR(SEARCH(MID(";"&amp;'CASE DATA'!$F120&amp;";",ROW($1:$99),1),";")),"",ROW($1:$99)),COLUMN(F119)+1)-SMALL(IF(ISERROR(SEARCH(MID(";"&amp;'CASE DATA'!$F120&amp;";",ROW($1:$99),1),";")),"",ROW($1:$99)),COLUMN(F119))-1)</f>
        <v/>
      </c>
      <c r="AB120" s="29" t="str">
        <f t="array" ref="AB120">MID(";"&amp;'CASE DATA'!$F120&amp;";",SMALL(IF(ISERROR(SEARCH(MID(";"&amp;'CASE DATA'!$F120&amp;";",ROW($1:$99),1),";")),"",ROW($1:$99)+1),COLUMN(G120)),SMALL(IF(ISERROR(SEARCH(MID(";"&amp;'CASE DATA'!$F120&amp;";",ROW($1:$99),1),";")),"",ROW($1:$99)),COLUMN(G119)+1)-SMALL(IF(ISERROR(SEARCH(MID(";"&amp;'CASE DATA'!$F120&amp;";",ROW($1:$99),1),";")),"",ROW($1:$99)),COLUMN(G119))-1)</f>
        <v/>
      </c>
      <c r="AC120" s="29" t="str">
        <f t="array" ref="AC120">MID(";"&amp;'CASE DATA'!$F120&amp;";",SMALL(IF(ISERROR(SEARCH(MID(";"&amp;'CASE DATA'!$F120&amp;";",ROW($1:$99),1),";")),"",ROW($1:$99)+1),COLUMN(H120)),SMALL(IF(ISERROR(SEARCH(MID(";"&amp;'CASE DATA'!$F120&amp;";",ROW($1:$99),1),";")),"",ROW($1:$99)),COLUMN(H119)+1)-SMALL(IF(ISERROR(SEARCH(MID(";"&amp;'CASE DATA'!$F120&amp;";",ROW($1:$99),1),";")),"",ROW($1:$99)),COLUMN(H119))-1)</f>
        <v/>
      </c>
      <c r="AD120" s="29" t="str">
        <f t="array" ref="AD120">MID(";"&amp;'CASE DATA'!$F120&amp;";",SMALL(IF(ISERROR(SEARCH(MID(";"&amp;'CASE DATA'!$F120&amp;";",ROW($1:$99),1),";")),"",ROW($1:$99)+1),COLUMN(I120)),SMALL(IF(ISERROR(SEARCH(MID(";"&amp;'CASE DATA'!$F120&amp;";",ROW($1:$99),1),";")),"",ROW($1:$99)),COLUMN(I119)+1)-SMALL(IF(ISERROR(SEARCH(MID(";"&amp;'CASE DATA'!$F120&amp;";",ROW($1:$99),1),";")),"",ROW($1:$99)),COLUMN(I119))-1)</f>
        <v/>
      </c>
      <c r="AE120" s="29" t="str">
        <f t="array" ref="AE120">MID(";"&amp;'CASE DATA'!$F120&amp;";",SMALL(IF(ISERROR(SEARCH(MID(";"&amp;'CASE DATA'!$F120&amp;";",ROW($1:$99),1),";")),"",ROW($1:$99)+1),COLUMN(J120)),SMALL(IF(ISERROR(SEARCH(MID(";"&amp;'CASE DATA'!$F120&amp;";",ROW($1:$99),1),";")),"",ROW($1:$99)),COLUMN(J119)+1)-SMALL(IF(ISERROR(SEARCH(MID(";"&amp;'CASE DATA'!$F120&amp;";",ROW($1:$99),1),";")),"",ROW($1:$99)),COLUMN(J119))-1)</f>
        <v/>
      </c>
      <c r="AF120" s="29" t="str">
        <f t="array" ref="AF120">MID(";"&amp;'CASE DATA'!$F120&amp;";",SMALL(IF(ISERROR(SEARCH(MID(";"&amp;'CASE DATA'!$F120&amp;";",ROW($1:$99),1),";")),"",ROW($1:$99)+1),COLUMN(K120)),SMALL(IF(ISERROR(SEARCH(MID(";"&amp;'CASE DATA'!$F120&amp;";",ROW($1:$99),1),";")),"",ROW($1:$99)),COLUMN(K119)+1)-SMALL(IF(ISERROR(SEARCH(MID(";"&amp;'CASE DATA'!$F120&amp;";",ROW($1:$99),1),";")),"",ROW($1:$99)),COLUMN(K119))-1)</f>
        <v/>
      </c>
      <c r="AG120" s="29" t="str">
        <f t="array" ref="AG120">MID(";"&amp;'CASE DATA'!$F120&amp;";",SMALL(IF(ISERROR(SEARCH(MID(";"&amp;'CASE DATA'!$F120&amp;";",ROW($1:$99),1),";")),"",ROW($1:$99)+1),COLUMN(L120)),SMALL(IF(ISERROR(SEARCH(MID(";"&amp;'CASE DATA'!$F120&amp;";",ROW($1:$99),1),";")),"",ROW($1:$99)),COLUMN(L119)+1)-SMALL(IF(ISERROR(SEARCH(MID(";"&amp;'CASE DATA'!$F120&amp;";",ROW($1:$99),1),";")),"",ROW($1:$99)),COLUMN(L119))-1)</f>
        <v/>
      </c>
      <c r="AH120" s="29"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24"/>
      <c r="D121" s="24"/>
      <c r="E121" s="25"/>
      <c r="F121" s="30"/>
      <c r="J121" s="31"/>
      <c r="K121" s="31"/>
      <c r="L121" s="31"/>
      <c r="M121" s="31"/>
      <c r="N121" s="31"/>
      <c r="O121" s="31"/>
      <c r="P121" s="31"/>
      <c r="Q121" s="31"/>
      <c r="R121" s="31"/>
      <c r="S121" s="31"/>
      <c r="T121" s="28">
        <f t="shared" si="2"/>
        <v>0</v>
      </c>
      <c r="U121" s="28"/>
      <c r="W121" s="29" t="str">
        <f t="array" ref="W121">MID(";"&amp;'CASE DATA'!$F121&amp;";",SMALL(IF(ISERROR(SEARCH(MID(";"&amp;'CASE DATA'!$F121&amp;";",ROW($1:$99),1),";")),"",ROW($1:$99)+1),COLUMN(A121)),SMALL(IF(ISERROR(SEARCH(MID(";"&amp;'CASE DATA'!$F121&amp;";",ROW($1:$99),1),";")),"",ROW($1:$99)),COLUMN(A120)+1)-SMALL(IF(ISERROR(SEARCH(MID(";"&amp;'CASE DATA'!$F121&amp;";",ROW($1:$99),1),";")),"",ROW($1:$99)),COLUMN(A120))-1)</f>
        <v/>
      </c>
      <c r="X121" s="29" t="str">
        <f t="array" ref="X121">MID(";"&amp;'CASE DATA'!$F121&amp;";",SMALL(IF(ISERROR(SEARCH(MID(";"&amp;'CASE DATA'!$F121&amp;";",ROW($1:$99),1),";")),"",ROW($1:$99)+1),COLUMN(B121)),SMALL(IF(ISERROR(SEARCH(MID(";"&amp;'CASE DATA'!$F121&amp;";",ROW($1:$99),1),";")),"",ROW($1:$99)),COLUMN(B120)+1)-SMALL(IF(ISERROR(SEARCH(MID(";"&amp;'CASE DATA'!$F121&amp;";",ROW($1:$99),1),";")),"",ROW($1:$99)),COLUMN(B120))-1)</f>
        <v/>
      </c>
      <c r="Y121" s="29" t="str">
        <f t="array" ref="Y121">MID(";"&amp;'CASE DATA'!$F121&amp;";",SMALL(IF(ISERROR(SEARCH(MID(";"&amp;'CASE DATA'!$F121&amp;";",ROW($1:$99),1),";")),"",ROW($1:$99)+1),COLUMN(D121)),SMALL(IF(ISERROR(SEARCH(MID(";"&amp;'CASE DATA'!$F121&amp;";",ROW($1:$99),1),";")),"",ROW($1:$99)),COLUMN(D120)+1)-SMALL(IF(ISERROR(SEARCH(MID(";"&amp;'CASE DATA'!$F121&amp;";",ROW($1:$99),1),";")),"",ROW($1:$99)),COLUMN(D120))-1)</f>
        <v/>
      </c>
      <c r="Z121" s="29" t="str">
        <f t="array" ref="Z121">MID(";"&amp;'CASE DATA'!$F121&amp;";",SMALL(IF(ISERROR(SEARCH(MID(";"&amp;'CASE DATA'!$F121&amp;";",ROW($1:$99),1),";")),"",ROW($1:$99)+1),COLUMN(E121)),SMALL(IF(ISERROR(SEARCH(MID(";"&amp;'CASE DATA'!$F121&amp;";",ROW($1:$99),1),";")),"",ROW($1:$99)),COLUMN(E120)+1)-SMALL(IF(ISERROR(SEARCH(MID(";"&amp;'CASE DATA'!$F121&amp;";",ROW($1:$99),1),";")),"",ROW($1:$99)),COLUMN(E120))-1)</f>
        <v/>
      </c>
      <c r="AA121" s="29" t="str">
        <f t="array" ref="AA121">MID(";"&amp;'CASE DATA'!$F121&amp;";",SMALL(IF(ISERROR(SEARCH(MID(";"&amp;'CASE DATA'!$F121&amp;";",ROW($1:$99),1),";")),"",ROW($1:$99)+1),COLUMN(F121)),SMALL(IF(ISERROR(SEARCH(MID(";"&amp;'CASE DATA'!$F121&amp;";",ROW($1:$99),1),";")),"",ROW($1:$99)),COLUMN(F120)+1)-SMALL(IF(ISERROR(SEARCH(MID(";"&amp;'CASE DATA'!$F121&amp;";",ROW($1:$99),1),";")),"",ROW($1:$99)),COLUMN(F120))-1)</f>
        <v/>
      </c>
      <c r="AB121" s="29" t="str">
        <f t="array" ref="AB121">MID(";"&amp;'CASE DATA'!$F121&amp;";",SMALL(IF(ISERROR(SEARCH(MID(";"&amp;'CASE DATA'!$F121&amp;";",ROW($1:$99),1),";")),"",ROW($1:$99)+1),COLUMN(G121)),SMALL(IF(ISERROR(SEARCH(MID(";"&amp;'CASE DATA'!$F121&amp;";",ROW($1:$99),1),";")),"",ROW($1:$99)),COLUMN(G120)+1)-SMALL(IF(ISERROR(SEARCH(MID(";"&amp;'CASE DATA'!$F121&amp;";",ROW($1:$99),1),";")),"",ROW($1:$99)),COLUMN(G120))-1)</f>
        <v/>
      </c>
      <c r="AC121" s="29" t="str">
        <f t="array" ref="AC121">MID(";"&amp;'CASE DATA'!$F121&amp;";",SMALL(IF(ISERROR(SEARCH(MID(";"&amp;'CASE DATA'!$F121&amp;";",ROW($1:$99),1),";")),"",ROW($1:$99)+1),COLUMN(H121)),SMALL(IF(ISERROR(SEARCH(MID(";"&amp;'CASE DATA'!$F121&amp;";",ROW($1:$99),1),";")),"",ROW($1:$99)),COLUMN(H120)+1)-SMALL(IF(ISERROR(SEARCH(MID(";"&amp;'CASE DATA'!$F121&amp;";",ROW($1:$99),1),";")),"",ROW($1:$99)),COLUMN(H120))-1)</f>
        <v/>
      </c>
      <c r="AD121" s="29" t="str">
        <f t="array" ref="AD121">MID(";"&amp;'CASE DATA'!$F121&amp;";",SMALL(IF(ISERROR(SEARCH(MID(";"&amp;'CASE DATA'!$F121&amp;";",ROW($1:$99),1),";")),"",ROW($1:$99)+1),COLUMN(I121)),SMALL(IF(ISERROR(SEARCH(MID(";"&amp;'CASE DATA'!$F121&amp;";",ROW($1:$99),1),";")),"",ROW($1:$99)),COLUMN(I120)+1)-SMALL(IF(ISERROR(SEARCH(MID(";"&amp;'CASE DATA'!$F121&amp;";",ROW($1:$99),1),";")),"",ROW($1:$99)),COLUMN(I120))-1)</f>
        <v/>
      </c>
      <c r="AE121" s="29" t="str">
        <f t="array" ref="AE121">MID(";"&amp;'CASE DATA'!$F121&amp;";",SMALL(IF(ISERROR(SEARCH(MID(";"&amp;'CASE DATA'!$F121&amp;";",ROW($1:$99),1),";")),"",ROW($1:$99)+1),COLUMN(J121)),SMALL(IF(ISERROR(SEARCH(MID(";"&amp;'CASE DATA'!$F121&amp;";",ROW($1:$99),1),";")),"",ROW($1:$99)),COLUMN(J120)+1)-SMALL(IF(ISERROR(SEARCH(MID(";"&amp;'CASE DATA'!$F121&amp;";",ROW($1:$99),1),";")),"",ROW($1:$99)),COLUMN(J120))-1)</f>
        <v/>
      </c>
      <c r="AF121" s="29" t="str">
        <f t="array" ref="AF121">MID(";"&amp;'CASE DATA'!$F121&amp;";",SMALL(IF(ISERROR(SEARCH(MID(";"&amp;'CASE DATA'!$F121&amp;";",ROW($1:$99),1),";")),"",ROW($1:$99)+1),COLUMN(K121)),SMALL(IF(ISERROR(SEARCH(MID(";"&amp;'CASE DATA'!$F121&amp;";",ROW($1:$99),1),";")),"",ROW($1:$99)),COLUMN(K120)+1)-SMALL(IF(ISERROR(SEARCH(MID(";"&amp;'CASE DATA'!$F121&amp;";",ROW($1:$99),1),";")),"",ROW($1:$99)),COLUMN(K120))-1)</f>
        <v/>
      </c>
      <c r="AG121" s="29" t="str">
        <f t="array" ref="AG121">MID(";"&amp;'CASE DATA'!$F121&amp;";",SMALL(IF(ISERROR(SEARCH(MID(";"&amp;'CASE DATA'!$F121&amp;";",ROW($1:$99),1),";")),"",ROW($1:$99)+1),COLUMN(L121)),SMALL(IF(ISERROR(SEARCH(MID(";"&amp;'CASE DATA'!$F121&amp;";",ROW($1:$99),1),";")),"",ROW($1:$99)),COLUMN(L120)+1)-SMALL(IF(ISERROR(SEARCH(MID(";"&amp;'CASE DATA'!$F121&amp;";",ROW($1:$99),1),";")),"",ROW($1:$99)),COLUMN(L120))-1)</f>
        <v/>
      </c>
      <c r="AH121" s="29"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24"/>
      <c r="D122" s="24"/>
      <c r="E122" s="25"/>
      <c r="F122" s="30"/>
      <c r="J122" s="31"/>
      <c r="K122" s="31"/>
      <c r="L122" s="31"/>
      <c r="M122" s="31"/>
      <c r="N122" s="31"/>
      <c r="O122" s="31"/>
      <c r="P122" s="31"/>
      <c r="Q122" s="31"/>
      <c r="R122" s="31"/>
      <c r="S122" s="31"/>
      <c r="T122" s="28">
        <f t="shared" si="2"/>
        <v>0</v>
      </c>
      <c r="U122" s="28"/>
      <c r="W122" s="29" t="str">
        <f t="array" ref="W122">MID(";"&amp;'CASE DATA'!$F122&amp;";",SMALL(IF(ISERROR(SEARCH(MID(";"&amp;'CASE DATA'!$F122&amp;";",ROW($1:$99),1),";")),"",ROW($1:$99)+1),COLUMN(A122)),SMALL(IF(ISERROR(SEARCH(MID(";"&amp;'CASE DATA'!$F122&amp;";",ROW($1:$99),1),";")),"",ROW($1:$99)),COLUMN(A121)+1)-SMALL(IF(ISERROR(SEARCH(MID(";"&amp;'CASE DATA'!$F122&amp;";",ROW($1:$99),1),";")),"",ROW($1:$99)),COLUMN(A121))-1)</f>
        <v/>
      </c>
      <c r="X122" s="29" t="str">
        <f t="array" ref="X122">MID(";"&amp;'CASE DATA'!$F122&amp;";",SMALL(IF(ISERROR(SEARCH(MID(";"&amp;'CASE DATA'!$F122&amp;";",ROW($1:$99),1),";")),"",ROW($1:$99)+1),COLUMN(B122)),SMALL(IF(ISERROR(SEARCH(MID(";"&amp;'CASE DATA'!$F122&amp;";",ROW($1:$99),1),";")),"",ROW($1:$99)),COLUMN(B121)+1)-SMALL(IF(ISERROR(SEARCH(MID(";"&amp;'CASE DATA'!$F122&amp;";",ROW($1:$99),1),";")),"",ROW($1:$99)),COLUMN(B121))-1)</f>
        <v/>
      </c>
      <c r="Y122" s="29" t="str">
        <f t="array" ref="Y122">MID(";"&amp;'CASE DATA'!$F122&amp;";",SMALL(IF(ISERROR(SEARCH(MID(";"&amp;'CASE DATA'!$F122&amp;";",ROW($1:$99),1),";")),"",ROW($1:$99)+1),COLUMN(D122)),SMALL(IF(ISERROR(SEARCH(MID(";"&amp;'CASE DATA'!$F122&amp;";",ROW($1:$99),1),";")),"",ROW($1:$99)),COLUMN(D121)+1)-SMALL(IF(ISERROR(SEARCH(MID(";"&amp;'CASE DATA'!$F122&amp;";",ROW($1:$99),1),";")),"",ROW($1:$99)),COLUMN(D121))-1)</f>
        <v/>
      </c>
      <c r="Z122" s="29" t="str">
        <f t="array" ref="Z122">MID(";"&amp;'CASE DATA'!$F122&amp;";",SMALL(IF(ISERROR(SEARCH(MID(";"&amp;'CASE DATA'!$F122&amp;";",ROW($1:$99),1),";")),"",ROW($1:$99)+1),COLUMN(E122)),SMALL(IF(ISERROR(SEARCH(MID(";"&amp;'CASE DATA'!$F122&amp;";",ROW($1:$99),1),";")),"",ROW($1:$99)),COLUMN(E121)+1)-SMALL(IF(ISERROR(SEARCH(MID(";"&amp;'CASE DATA'!$F122&amp;";",ROW($1:$99),1),";")),"",ROW($1:$99)),COLUMN(E121))-1)</f>
        <v/>
      </c>
      <c r="AA122" s="29" t="str">
        <f t="array" ref="AA122">MID(";"&amp;'CASE DATA'!$F122&amp;";",SMALL(IF(ISERROR(SEARCH(MID(";"&amp;'CASE DATA'!$F122&amp;";",ROW($1:$99),1),";")),"",ROW($1:$99)+1),COLUMN(F122)),SMALL(IF(ISERROR(SEARCH(MID(";"&amp;'CASE DATA'!$F122&amp;";",ROW($1:$99),1),";")),"",ROW($1:$99)),COLUMN(F121)+1)-SMALL(IF(ISERROR(SEARCH(MID(";"&amp;'CASE DATA'!$F122&amp;";",ROW($1:$99),1),";")),"",ROW($1:$99)),COLUMN(F121))-1)</f>
        <v/>
      </c>
      <c r="AB122" s="29" t="str">
        <f t="array" ref="AB122">MID(";"&amp;'CASE DATA'!$F122&amp;";",SMALL(IF(ISERROR(SEARCH(MID(";"&amp;'CASE DATA'!$F122&amp;";",ROW($1:$99),1),";")),"",ROW($1:$99)+1),COLUMN(G122)),SMALL(IF(ISERROR(SEARCH(MID(";"&amp;'CASE DATA'!$F122&amp;";",ROW($1:$99),1),";")),"",ROW($1:$99)),COLUMN(G121)+1)-SMALL(IF(ISERROR(SEARCH(MID(";"&amp;'CASE DATA'!$F122&amp;";",ROW($1:$99),1),";")),"",ROW($1:$99)),COLUMN(G121))-1)</f>
        <v/>
      </c>
      <c r="AC122" s="29" t="str">
        <f t="array" ref="AC122">MID(";"&amp;'CASE DATA'!$F122&amp;";",SMALL(IF(ISERROR(SEARCH(MID(";"&amp;'CASE DATA'!$F122&amp;";",ROW($1:$99),1),";")),"",ROW($1:$99)+1),COLUMN(H122)),SMALL(IF(ISERROR(SEARCH(MID(";"&amp;'CASE DATA'!$F122&amp;";",ROW($1:$99),1),";")),"",ROW($1:$99)),COLUMN(H121)+1)-SMALL(IF(ISERROR(SEARCH(MID(";"&amp;'CASE DATA'!$F122&amp;";",ROW($1:$99),1),";")),"",ROW($1:$99)),COLUMN(H121))-1)</f>
        <v/>
      </c>
      <c r="AD122" s="29" t="str">
        <f t="array" ref="AD122">MID(";"&amp;'CASE DATA'!$F122&amp;";",SMALL(IF(ISERROR(SEARCH(MID(";"&amp;'CASE DATA'!$F122&amp;";",ROW($1:$99),1),";")),"",ROW($1:$99)+1),COLUMN(I122)),SMALL(IF(ISERROR(SEARCH(MID(";"&amp;'CASE DATA'!$F122&amp;";",ROW($1:$99),1),";")),"",ROW($1:$99)),COLUMN(I121)+1)-SMALL(IF(ISERROR(SEARCH(MID(";"&amp;'CASE DATA'!$F122&amp;";",ROW($1:$99),1),";")),"",ROW($1:$99)),COLUMN(I121))-1)</f>
        <v/>
      </c>
      <c r="AE122" s="29" t="str">
        <f t="array" ref="AE122">MID(";"&amp;'CASE DATA'!$F122&amp;";",SMALL(IF(ISERROR(SEARCH(MID(";"&amp;'CASE DATA'!$F122&amp;";",ROW($1:$99),1),";")),"",ROW($1:$99)+1),COLUMN(J122)),SMALL(IF(ISERROR(SEARCH(MID(";"&amp;'CASE DATA'!$F122&amp;";",ROW($1:$99),1),";")),"",ROW($1:$99)),COLUMN(J121)+1)-SMALL(IF(ISERROR(SEARCH(MID(";"&amp;'CASE DATA'!$F122&amp;";",ROW($1:$99),1),";")),"",ROW($1:$99)),COLUMN(J121))-1)</f>
        <v/>
      </c>
      <c r="AF122" s="29" t="str">
        <f t="array" ref="AF122">MID(";"&amp;'CASE DATA'!$F122&amp;";",SMALL(IF(ISERROR(SEARCH(MID(";"&amp;'CASE DATA'!$F122&amp;";",ROW($1:$99),1),";")),"",ROW($1:$99)+1),COLUMN(K122)),SMALL(IF(ISERROR(SEARCH(MID(";"&amp;'CASE DATA'!$F122&amp;";",ROW($1:$99),1),";")),"",ROW($1:$99)),COLUMN(K121)+1)-SMALL(IF(ISERROR(SEARCH(MID(";"&amp;'CASE DATA'!$F122&amp;";",ROW($1:$99),1),";")),"",ROW($1:$99)),COLUMN(K121))-1)</f>
        <v/>
      </c>
      <c r="AG122" s="29" t="str">
        <f t="array" ref="AG122">MID(";"&amp;'CASE DATA'!$F122&amp;";",SMALL(IF(ISERROR(SEARCH(MID(";"&amp;'CASE DATA'!$F122&amp;";",ROW($1:$99),1),";")),"",ROW($1:$99)+1),COLUMN(L122)),SMALL(IF(ISERROR(SEARCH(MID(";"&amp;'CASE DATA'!$F122&amp;";",ROW($1:$99),1),";")),"",ROW($1:$99)),COLUMN(L121)+1)-SMALL(IF(ISERROR(SEARCH(MID(";"&amp;'CASE DATA'!$F122&amp;";",ROW($1:$99),1),";")),"",ROW($1:$99)),COLUMN(L121))-1)</f>
        <v/>
      </c>
      <c r="AH122" s="29"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24"/>
      <c r="D123" s="24"/>
      <c r="E123" s="25"/>
      <c r="F123" s="30"/>
      <c r="J123" s="31"/>
      <c r="K123" s="31"/>
      <c r="L123" s="31"/>
      <c r="M123" s="31"/>
      <c r="N123" s="31"/>
      <c r="O123" s="31"/>
      <c r="P123" s="31"/>
      <c r="Q123" s="31"/>
      <c r="R123" s="31"/>
      <c r="S123" s="31"/>
      <c r="T123" s="28">
        <f t="shared" si="2"/>
        <v>0</v>
      </c>
      <c r="U123" s="28"/>
      <c r="W123" s="29" t="str">
        <f t="array" ref="W123">MID(";"&amp;'CASE DATA'!$F123&amp;";",SMALL(IF(ISERROR(SEARCH(MID(";"&amp;'CASE DATA'!$F123&amp;";",ROW($1:$99),1),";")),"",ROW($1:$99)+1),COLUMN(A123)),SMALL(IF(ISERROR(SEARCH(MID(";"&amp;'CASE DATA'!$F123&amp;";",ROW($1:$99),1),";")),"",ROW($1:$99)),COLUMN(A122)+1)-SMALL(IF(ISERROR(SEARCH(MID(";"&amp;'CASE DATA'!$F123&amp;";",ROW($1:$99),1),";")),"",ROW($1:$99)),COLUMN(A122))-1)</f>
        <v/>
      </c>
      <c r="X123" s="29" t="str">
        <f t="array" ref="X123">MID(";"&amp;'CASE DATA'!$F123&amp;";",SMALL(IF(ISERROR(SEARCH(MID(";"&amp;'CASE DATA'!$F123&amp;";",ROW($1:$99),1),";")),"",ROW($1:$99)+1),COLUMN(B123)),SMALL(IF(ISERROR(SEARCH(MID(";"&amp;'CASE DATA'!$F123&amp;";",ROW($1:$99),1),";")),"",ROW($1:$99)),COLUMN(B122)+1)-SMALL(IF(ISERROR(SEARCH(MID(";"&amp;'CASE DATA'!$F123&amp;";",ROW($1:$99),1),";")),"",ROW($1:$99)),COLUMN(B122))-1)</f>
        <v/>
      </c>
      <c r="Y123" s="29" t="str">
        <f t="array" ref="Y123">MID(";"&amp;'CASE DATA'!$F123&amp;";",SMALL(IF(ISERROR(SEARCH(MID(";"&amp;'CASE DATA'!$F123&amp;";",ROW($1:$99),1),";")),"",ROW($1:$99)+1),COLUMN(D123)),SMALL(IF(ISERROR(SEARCH(MID(";"&amp;'CASE DATA'!$F123&amp;";",ROW($1:$99),1),";")),"",ROW($1:$99)),COLUMN(D122)+1)-SMALL(IF(ISERROR(SEARCH(MID(";"&amp;'CASE DATA'!$F123&amp;";",ROW($1:$99),1),";")),"",ROW($1:$99)),COLUMN(D122))-1)</f>
        <v/>
      </c>
      <c r="Z123" s="29" t="str">
        <f t="array" ref="Z123">MID(";"&amp;'CASE DATA'!$F123&amp;";",SMALL(IF(ISERROR(SEARCH(MID(";"&amp;'CASE DATA'!$F123&amp;";",ROW($1:$99),1),";")),"",ROW($1:$99)+1),COLUMN(E123)),SMALL(IF(ISERROR(SEARCH(MID(";"&amp;'CASE DATA'!$F123&amp;";",ROW($1:$99),1),";")),"",ROW($1:$99)),COLUMN(E122)+1)-SMALL(IF(ISERROR(SEARCH(MID(";"&amp;'CASE DATA'!$F123&amp;";",ROW($1:$99),1),";")),"",ROW($1:$99)),COLUMN(E122))-1)</f>
        <v/>
      </c>
      <c r="AA123" s="29" t="str">
        <f t="array" ref="AA123">MID(";"&amp;'CASE DATA'!$F123&amp;";",SMALL(IF(ISERROR(SEARCH(MID(";"&amp;'CASE DATA'!$F123&amp;";",ROW($1:$99),1),";")),"",ROW($1:$99)+1),COLUMN(F123)),SMALL(IF(ISERROR(SEARCH(MID(";"&amp;'CASE DATA'!$F123&amp;";",ROW($1:$99),1),";")),"",ROW($1:$99)),COLUMN(F122)+1)-SMALL(IF(ISERROR(SEARCH(MID(";"&amp;'CASE DATA'!$F123&amp;";",ROW($1:$99),1),";")),"",ROW($1:$99)),COLUMN(F122))-1)</f>
        <v/>
      </c>
      <c r="AB123" s="29" t="str">
        <f t="array" ref="AB123">MID(";"&amp;'CASE DATA'!$F123&amp;";",SMALL(IF(ISERROR(SEARCH(MID(";"&amp;'CASE DATA'!$F123&amp;";",ROW($1:$99),1),";")),"",ROW($1:$99)+1),COLUMN(G123)),SMALL(IF(ISERROR(SEARCH(MID(";"&amp;'CASE DATA'!$F123&amp;";",ROW($1:$99),1),";")),"",ROW($1:$99)),COLUMN(G122)+1)-SMALL(IF(ISERROR(SEARCH(MID(";"&amp;'CASE DATA'!$F123&amp;";",ROW($1:$99),1),";")),"",ROW($1:$99)),COLUMN(G122))-1)</f>
        <v/>
      </c>
      <c r="AC123" s="29" t="str">
        <f t="array" ref="AC123">MID(";"&amp;'CASE DATA'!$F123&amp;";",SMALL(IF(ISERROR(SEARCH(MID(";"&amp;'CASE DATA'!$F123&amp;";",ROW($1:$99),1),";")),"",ROW($1:$99)+1),COLUMN(H123)),SMALL(IF(ISERROR(SEARCH(MID(";"&amp;'CASE DATA'!$F123&amp;";",ROW($1:$99),1),";")),"",ROW($1:$99)),COLUMN(H122)+1)-SMALL(IF(ISERROR(SEARCH(MID(";"&amp;'CASE DATA'!$F123&amp;";",ROW($1:$99),1),";")),"",ROW($1:$99)),COLUMN(H122))-1)</f>
        <v/>
      </c>
      <c r="AD123" s="29" t="str">
        <f t="array" ref="AD123">MID(";"&amp;'CASE DATA'!$F123&amp;";",SMALL(IF(ISERROR(SEARCH(MID(";"&amp;'CASE DATA'!$F123&amp;";",ROW($1:$99),1),";")),"",ROW($1:$99)+1),COLUMN(I123)),SMALL(IF(ISERROR(SEARCH(MID(";"&amp;'CASE DATA'!$F123&amp;";",ROW($1:$99),1),";")),"",ROW($1:$99)),COLUMN(I122)+1)-SMALL(IF(ISERROR(SEARCH(MID(";"&amp;'CASE DATA'!$F123&amp;";",ROW($1:$99),1),";")),"",ROW($1:$99)),COLUMN(I122))-1)</f>
        <v/>
      </c>
      <c r="AE123" s="29" t="str">
        <f t="array" ref="AE123">MID(";"&amp;'CASE DATA'!$F123&amp;";",SMALL(IF(ISERROR(SEARCH(MID(";"&amp;'CASE DATA'!$F123&amp;";",ROW($1:$99),1),";")),"",ROW($1:$99)+1),COLUMN(J123)),SMALL(IF(ISERROR(SEARCH(MID(";"&amp;'CASE DATA'!$F123&amp;";",ROW($1:$99),1),";")),"",ROW($1:$99)),COLUMN(J122)+1)-SMALL(IF(ISERROR(SEARCH(MID(";"&amp;'CASE DATA'!$F123&amp;";",ROW($1:$99),1),";")),"",ROW($1:$99)),COLUMN(J122))-1)</f>
        <v/>
      </c>
      <c r="AF123" s="29" t="str">
        <f t="array" ref="AF123">MID(";"&amp;'CASE DATA'!$F123&amp;";",SMALL(IF(ISERROR(SEARCH(MID(";"&amp;'CASE DATA'!$F123&amp;";",ROW($1:$99),1),";")),"",ROW($1:$99)+1),COLUMN(K123)),SMALL(IF(ISERROR(SEARCH(MID(";"&amp;'CASE DATA'!$F123&amp;";",ROW($1:$99),1),";")),"",ROW($1:$99)),COLUMN(K122)+1)-SMALL(IF(ISERROR(SEARCH(MID(";"&amp;'CASE DATA'!$F123&amp;";",ROW($1:$99),1),";")),"",ROW($1:$99)),COLUMN(K122))-1)</f>
        <v/>
      </c>
      <c r="AG123" s="29" t="str">
        <f t="array" ref="AG123">MID(";"&amp;'CASE DATA'!$F123&amp;";",SMALL(IF(ISERROR(SEARCH(MID(";"&amp;'CASE DATA'!$F123&amp;";",ROW($1:$99),1),";")),"",ROW($1:$99)+1),COLUMN(L123)),SMALL(IF(ISERROR(SEARCH(MID(";"&amp;'CASE DATA'!$F123&amp;";",ROW($1:$99),1),";")),"",ROW($1:$99)),COLUMN(L122)+1)-SMALL(IF(ISERROR(SEARCH(MID(";"&amp;'CASE DATA'!$F123&amp;";",ROW($1:$99),1),";")),"",ROW($1:$99)),COLUMN(L122))-1)</f>
        <v/>
      </c>
      <c r="AH123" s="29"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24"/>
      <c r="D124" s="24"/>
      <c r="E124" s="25"/>
      <c r="F124" s="30"/>
      <c r="J124" s="31"/>
      <c r="K124" s="31"/>
      <c r="L124" s="31"/>
      <c r="M124" s="31"/>
      <c r="N124" s="31"/>
      <c r="O124" s="31"/>
      <c r="P124" s="31"/>
      <c r="Q124" s="31"/>
      <c r="R124" s="31"/>
      <c r="S124" s="31"/>
      <c r="T124" s="28">
        <f t="shared" si="2"/>
        <v>0</v>
      </c>
      <c r="U124" s="28"/>
      <c r="W124" s="29" t="str">
        <f t="array" ref="W124">MID(";"&amp;'CASE DATA'!$F124&amp;";",SMALL(IF(ISERROR(SEARCH(MID(";"&amp;'CASE DATA'!$F124&amp;";",ROW($1:$99),1),";")),"",ROW($1:$99)+1),COLUMN(A124)),SMALL(IF(ISERROR(SEARCH(MID(";"&amp;'CASE DATA'!$F124&amp;";",ROW($1:$99),1),";")),"",ROW($1:$99)),COLUMN(A123)+1)-SMALL(IF(ISERROR(SEARCH(MID(";"&amp;'CASE DATA'!$F124&amp;";",ROW($1:$99),1),";")),"",ROW($1:$99)),COLUMN(A123))-1)</f>
        <v/>
      </c>
      <c r="X124" s="29" t="str">
        <f t="array" ref="X124">MID(";"&amp;'CASE DATA'!$F124&amp;";",SMALL(IF(ISERROR(SEARCH(MID(";"&amp;'CASE DATA'!$F124&amp;";",ROW($1:$99),1),";")),"",ROW($1:$99)+1),COLUMN(B124)),SMALL(IF(ISERROR(SEARCH(MID(";"&amp;'CASE DATA'!$F124&amp;";",ROW($1:$99),1),";")),"",ROW($1:$99)),COLUMN(B123)+1)-SMALL(IF(ISERROR(SEARCH(MID(";"&amp;'CASE DATA'!$F124&amp;";",ROW($1:$99),1),";")),"",ROW($1:$99)),COLUMN(B123))-1)</f>
        <v/>
      </c>
      <c r="Y124" s="29" t="str">
        <f t="array" ref="Y124">MID(";"&amp;'CASE DATA'!$F124&amp;";",SMALL(IF(ISERROR(SEARCH(MID(";"&amp;'CASE DATA'!$F124&amp;";",ROW($1:$99),1),";")),"",ROW($1:$99)+1),COLUMN(D124)),SMALL(IF(ISERROR(SEARCH(MID(";"&amp;'CASE DATA'!$F124&amp;";",ROW($1:$99),1),";")),"",ROW($1:$99)),COLUMN(D123)+1)-SMALL(IF(ISERROR(SEARCH(MID(";"&amp;'CASE DATA'!$F124&amp;";",ROW($1:$99),1),";")),"",ROW($1:$99)),COLUMN(D123))-1)</f>
        <v/>
      </c>
      <c r="Z124" s="29" t="str">
        <f t="array" ref="Z124">MID(";"&amp;'CASE DATA'!$F124&amp;";",SMALL(IF(ISERROR(SEARCH(MID(";"&amp;'CASE DATA'!$F124&amp;";",ROW($1:$99),1),";")),"",ROW($1:$99)+1),COLUMN(E124)),SMALL(IF(ISERROR(SEARCH(MID(";"&amp;'CASE DATA'!$F124&amp;";",ROW($1:$99),1),";")),"",ROW($1:$99)),COLUMN(E123)+1)-SMALL(IF(ISERROR(SEARCH(MID(";"&amp;'CASE DATA'!$F124&amp;";",ROW($1:$99),1),";")),"",ROW($1:$99)),COLUMN(E123))-1)</f>
        <v/>
      </c>
      <c r="AA124" s="29" t="str">
        <f t="array" ref="AA124">MID(";"&amp;'CASE DATA'!$F124&amp;";",SMALL(IF(ISERROR(SEARCH(MID(";"&amp;'CASE DATA'!$F124&amp;";",ROW($1:$99),1),";")),"",ROW($1:$99)+1),COLUMN(F124)),SMALL(IF(ISERROR(SEARCH(MID(";"&amp;'CASE DATA'!$F124&amp;";",ROW($1:$99),1),";")),"",ROW($1:$99)),COLUMN(F123)+1)-SMALL(IF(ISERROR(SEARCH(MID(";"&amp;'CASE DATA'!$F124&amp;";",ROW($1:$99),1),";")),"",ROW($1:$99)),COLUMN(F123))-1)</f>
        <v/>
      </c>
      <c r="AB124" s="29" t="str">
        <f t="array" ref="AB124">MID(";"&amp;'CASE DATA'!$F124&amp;";",SMALL(IF(ISERROR(SEARCH(MID(";"&amp;'CASE DATA'!$F124&amp;";",ROW($1:$99),1),";")),"",ROW($1:$99)+1),COLUMN(G124)),SMALL(IF(ISERROR(SEARCH(MID(";"&amp;'CASE DATA'!$F124&amp;";",ROW($1:$99),1),";")),"",ROW($1:$99)),COLUMN(G123)+1)-SMALL(IF(ISERROR(SEARCH(MID(";"&amp;'CASE DATA'!$F124&amp;";",ROW($1:$99),1),";")),"",ROW($1:$99)),COLUMN(G123))-1)</f>
        <v/>
      </c>
      <c r="AC124" s="29" t="str">
        <f t="array" ref="AC124">MID(";"&amp;'CASE DATA'!$F124&amp;";",SMALL(IF(ISERROR(SEARCH(MID(";"&amp;'CASE DATA'!$F124&amp;";",ROW($1:$99),1),";")),"",ROW($1:$99)+1),COLUMN(H124)),SMALL(IF(ISERROR(SEARCH(MID(";"&amp;'CASE DATA'!$F124&amp;";",ROW($1:$99),1),";")),"",ROW($1:$99)),COLUMN(H123)+1)-SMALL(IF(ISERROR(SEARCH(MID(";"&amp;'CASE DATA'!$F124&amp;";",ROW($1:$99),1),";")),"",ROW($1:$99)),COLUMN(H123))-1)</f>
        <v/>
      </c>
      <c r="AD124" s="29" t="str">
        <f t="array" ref="AD124">MID(";"&amp;'CASE DATA'!$F124&amp;";",SMALL(IF(ISERROR(SEARCH(MID(";"&amp;'CASE DATA'!$F124&amp;";",ROW($1:$99),1),";")),"",ROW($1:$99)+1),COLUMN(I124)),SMALL(IF(ISERROR(SEARCH(MID(";"&amp;'CASE DATA'!$F124&amp;";",ROW($1:$99),1),";")),"",ROW($1:$99)),COLUMN(I123)+1)-SMALL(IF(ISERROR(SEARCH(MID(";"&amp;'CASE DATA'!$F124&amp;";",ROW($1:$99),1),";")),"",ROW($1:$99)),COLUMN(I123))-1)</f>
        <v/>
      </c>
      <c r="AE124" s="29" t="str">
        <f t="array" ref="AE124">MID(";"&amp;'CASE DATA'!$F124&amp;";",SMALL(IF(ISERROR(SEARCH(MID(";"&amp;'CASE DATA'!$F124&amp;";",ROW($1:$99),1),";")),"",ROW($1:$99)+1),COLUMN(J124)),SMALL(IF(ISERROR(SEARCH(MID(";"&amp;'CASE DATA'!$F124&amp;";",ROW($1:$99),1),";")),"",ROW($1:$99)),COLUMN(J123)+1)-SMALL(IF(ISERROR(SEARCH(MID(";"&amp;'CASE DATA'!$F124&amp;";",ROW($1:$99),1),";")),"",ROW($1:$99)),COLUMN(J123))-1)</f>
        <v/>
      </c>
      <c r="AF124" s="29" t="str">
        <f t="array" ref="AF124">MID(";"&amp;'CASE DATA'!$F124&amp;";",SMALL(IF(ISERROR(SEARCH(MID(";"&amp;'CASE DATA'!$F124&amp;";",ROW($1:$99),1),";")),"",ROW($1:$99)+1),COLUMN(K124)),SMALL(IF(ISERROR(SEARCH(MID(";"&amp;'CASE DATA'!$F124&amp;";",ROW($1:$99),1),";")),"",ROW($1:$99)),COLUMN(K123)+1)-SMALL(IF(ISERROR(SEARCH(MID(";"&amp;'CASE DATA'!$F124&amp;";",ROW($1:$99),1),";")),"",ROW($1:$99)),COLUMN(K123))-1)</f>
        <v/>
      </c>
      <c r="AG124" s="29" t="str">
        <f t="array" ref="AG124">MID(";"&amp;'CASE DATA'!$F124&amp;";",SMALL(IF(ISERROR(SEARCH(MID(";"&amp;'CASE DATA'!$F124&amp;";",ROW($1:$99),1),";")),"",ROW($1:$99)+1),COLUMN(L124)),SMALL(IF(ISERROR(SEARCH(MID(";"&amp;'CASE DATA'!$F124&amp;";",ROW($1:$99),1),";")),"",ROW($1:$99)),COLUMN(L123)+1)-SMALL(IF(ISERROR(SEARCH(MID(";"&amp;'CASE DATA'!$F124&amp;";",ROW($1:$99),1),";")),"",ROW($1:$99)),COLUMN(L123))-1)</f>
        <v/>
      </c>
      <c r="AH124" s="29"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24"/>
      <c r="D125" s="24"/>
      <c r="E125" s="25"/>
      <c r="F125" s="30"/>
      <c r="J125" s="31"/>
      <c r="K125" s="31"/>
      <c r="L125" s="31"/>
      <c r="M125" s="31"/>
      <c r="N125" s="31"/>
      <c r="O125" s="31"/>
      <c r="P125" s="31"/>
      <c r="Q125" s="31"/>
      <c r="R125" s="31"/>
      <c r="S125" s="31"/>
      <c r="T125" s="28">
        <f t="shared" si="2"/>
        <v>0</v>
      </c>
      <c r="U125" s="28"/>
      <c r="W125" s="29" t="str">
        <f t="array" ref="W125">MID(";"&amp;'CASE DATA'!$F125&amp;";",SMALL(IF(ISERROR(SEARCH(MID(";"&amp;'CASE DATA'!$F125&amp;";",ROW($1:$99),1),";")),"",ROW($1:$99)+1),COLUMN(A125)),SMALL(IF(ISERROR(SEARCH(MID(";"&amp;'CASE DATA'!$F125&amp;";",ROW($1:$99),1),";")),"",ROW($1:$99)),COLUMN(A124)+1)-SMALL(IF(ISERROR(SEARCH(MID(";"&amp;'CASE DATA'!$F125&amp;";",ROW($1:$99),1),";")),"",ROW($1:$99)),COLUMN(A124))-1)</f>
        <v/>
      </c>
      <c r="X125" s="29" t="str">
        <f t="array" ref="X125">MID(";"&amp;'CASE DATA'!$F125&amp;";",SMALL(IF(ISERROR(SEARCH(MID(";"&amp;'CASE DATA'!$F125&amp;";",ROW($1:$99),1),";")),"",ROW($1:$99)+1),COLUMN(B125)),SMALL(IF(ISERROR(SEARCH(MID(";"&amp;'CASE DATA'!$F125&amp;";",ROW($1:$99),1),";")),"",ROW($1:$99)),COLUMN(B124)+1)-SMALL(IF(ISERROR(SEARCH(MID(";"&amp;'CASE DATA'!$F125&amp;";",ROW($1:$99),1),";")),"",ROW($1:$99)),COLUMN(B124))-1)</f>
        <v/>
      </c>
      <c r="Y125" s="29" t="str">
        <f t="array" ref="Y125">MID(";"&amp;'CASE DATA'!$F125&amp;";",SMALL(IF(ISERROR(SEARCH(MID(";"&amp;'CASE DATA'!$F125&amp;";",ROW($1:$99),1),";")),"",ROW($1:$99)+1),COLUMN(D125)),SMALL(IF(ISERROR(SEARCH(MID(";"&amp;'CASE DATA'!$F125&amp;";",ROW($1:$99),1),";")),"",ROW($1:$99)),COLUMN(D124)+1)-SMALL(IF(ISERROR(SEARCH(MID(";"&amp;'CASE DATA'!$F125&amp;";",ROW($1:$99),1),";")),"",ROW($1:$99)),COLUMN(D124))-1)</f>
        <v/>
      </c>
      <c r="Z125" s="29" t="str">
        <f t="array" ref="Z125">MID(";"&amp;'CASE DATA'!$F125&amp;";",SMALL(IF(ISERROR(SEARCH(MID(";"&amp;'CASE DATA'!$F125&amp;";",ROW($1:$99),1),";")),"",ROW($1:$99)+1),COLUMN(E125)),SMALL(IF(ISERROR(SEARCH(MID(";"&amp;'CASE DATA'!$F125&amp;";",ROW($1:$99),1),";")),"",ROW($1:$99)),COLUMN(E124)+1)-SMALL(IF(ISERROR(SEARCH(MID(";"&amp;'CASE DATA'!$F125&amp;";",ROW($1:$99),1),";")),"",ROW($1:$99)),COLUMN(E124))-1)</f>
        <v/>
      </c>
      <c r="AA125" s="29" t="str">
        <f t="array" ref="AA125">MID(";"&amp;'CASE DATA'!$F125&amp;";",SMALL(IF(ISERROR(SEARCH(MID(";"&amp;'CASE DATA'!$F125&amp;";",ROW($1:$99),1),";")),"",ROW($1:$99)+1),COLUMN(F125)),SMALL(IF(ISERROR(SEARCH(MID(";"&amp;'CASE DATA'!$F125&amp;";",ROW($1:$99),1),";")),"",ROW($1:$99)),COLUMN(F124)+1)-SMALL(IF(ISERROR(SEARCH(MID(";"&amp;'CASE DATA'!$F125&amp;";",ROW($1:$99),1),";")),"",ROW($1:$99)),COLUMN(F124))-1)</f>
        <v/>
      </c>
      <c r="AB125" s="29" t="str">
        <f t="array" ref="AB125">MID(";"&amp;'CASE DATA'!$F125&amp;";",SMALL(IF(ISERROR(SEARCH(MID(";"&amp;'CASE DATA'!$F125&amp;";",ROW($1:$99),1),";")),"",ROW($1:$99)+1),COLUMN(G125)),SMALL(IF(ISERROR(SEARCH(MID(";"&amp;'CASE DATA'!$F125&amp;";",ROW($1:$99),1),";")),"",ROW($1:$99)),COLUMN(G124)+1)-SMALL(IF(ISERROR(SEARCH(MID(";"&amp;'CASE DATA'!$F125&amp;";",ROW($1:$99),1),";")),"",ROW($1:$99)),COLUMN(G124))-1)</f>
        <v/>
      </c>
      <c r="AC125" s="29" t="str">
        <f t="array" ref="AC125">MID(";"&amp;'CASE DATA'!$F125&amp;";",SMALL(IF(ISERROR(SEARCH(MID(";"&amp;'CASE DATA'!$F125&amp;";",ROW($1:$99),1),";")),"",ROW($1:$99)+1),COLUMN(H125)),SMALL(IF(ISERROR(SEARCH(MID(";"&amp;'CASE DATA'!$F125&amp;";",ROW($1:$99),1),";")),"",ROW($1:$99)),COLUMN(H124)+1)-SMALL(IF(ISERROR(SEARCH(MID(";"&amp;'CASE DATA'!$F125&amp;";",ROW($1:$99),1),";")),"",ROW($1:$99)),COLUMN(H124))-1)</f>
        <v/>
      </c>
      <c r="AD125" s="29" t="str">
        <f t="array" ref="AD125">MID(";"&amp;'CASE DATA'!$F125&amp;";",SMALL(IF(ISERROR(SEARCH(MID(";"&amp;'CASE DATA'!$F125&amp;";",ROW($1:$99),1),";")),"",ROW($1:$99)+1),COLUMN(I125)),SMALL(IF(ISERROR(SEARCH(MID(";"&amp;'CASE DATA'!$F125&amp;";",ROW($1:$99),1),";")),"",ROW($1:$99)),COLUMN(I124)+1)-SMALL(IF(ISERROR(SEARCH(MID(";"&amp;'CASE DATA'!$F125&amp;";",ROW($1:$99),1),";")),"",ROW($1:$99)),COLUMN(I124))-1)</f>
        <v/>
      </c>
      <c r="AE125" s="29" t="str">
        <f t="array" ref="AE125">MID(";"&amp;'CASE DATA'!$F125&amp;";",SMALL(IF(ISERROR(SEARCH(MID(";"&amp;'CASE DATA'!$F125&amp;";",ROW($1:$99),1),";")),"",ROW($1:$99)+1),COLUMN(J125)),SMALL(IF(ISERROR(SEARCH(MID(";"&amp;'CASE DATA'!$F125&amp;";",ROW($1:$99),1),";")),"",ROW($1:$99)),COLUMN(J124)+1)-SMALL(IF(ISERROR(SEARCH(MID(";"&amp;'CASE DATA'!$F125&amp;";",ROW($1:$99),1),";")),"",ROW($1:$99)),COLUMN(J124))-1)</f>
        <v/>
      </c>
      <c r="AF125" s="29" t="str">
        <f t="array" ref="AF125">MID(";"&amp;'CASE DATA'!$F125&amp;";",SMALL(IF(ISERROR(SEARCH(MID(";"&amp;'CASE DATA'!$F125&amp;";",ROW($1:$99),1),";")),"",ROW($1:$99)+1),COLUMN(K125)),SMALL(IF(ISERROR(SEARCH(MID(";"&amp;'CASE DATA'!$F125&amp;";",ROW($1:$99),1),";")),"",ROW($1:$99)),COLUMN(K124)+1)-SMALL(IF(ISERROR(SEARCH(MID(";"&amp;'CASE DATA'!$F125&amp;";",ROW($1:$99),1),";")),"",ROW($1:$99)),COLUMN(K124))-1)</f>
        <v/>
      </c>
      <c r="AG125" s="29" t="str">
        <f t="array" ref="AG125">MID(";"&amp;'CASE DATA'!$F125&amp;";",SMALL(IF(ISERROR(SEARCH(MID(";"&amp;'CASE DATA'!$F125&amp;";",ROW($1:$99),1),";")),"",ROW($1:$99)+1),COLUMN(L125)),SMALL(IF(ISERROR(SEARCH(MID(";"&amp;'CASE DATA'!$F125&amp;";",ROW($1:$99),1),";")),"",ROW($1:$99)),COLUMN(L124)+1)-SMALL(IF(ISERROR(SEARCH(MID(";"&amp;'CASE DATA'!$F125&amp;";",ROW($1:$99),1),";")),"",ROW($1:$99)),COLUMN(L124))-1)</f>
        <v/>
      </c>
      <c r="AH125" s="29"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24"/>
      <c r="D126" s="24"/>
      <c r="E126" s="25"/>
      <c r="F126" s="30"/>
      <c r="J126" s="31"/>
      <c r="K126" s="31"/>
      <c r="L126" s="31"/>
      <c r="M126" s="31"/>
      <c r="N126" s="31"/>
      <c r="O126" s="31"/>
      <c r="P126" s="31"/>
      <c r="Q126" s="31"/>
      <c r="R126" s="31"/>
      <c r="S126" s="31"/>
      <c r="T126" s="28">
        <f t="shared" si="2"/>
        <v>0</v>
      </c>
      <c r="U126" s="28"/>
      <c r="W126" s="29" t="str">
        <f t="array" ref="W126">MID(";"&amp;'CASE DATA'!$F126&amp;";",SMALL(IF(ISERROR(SEARCH(MID(";"&amp;'CASE DATA'!$F126&amp;";",ROW($1:$99),1),";")),"",ROW($1:$99)+1),COLUMN(A126)),SMALL(IF(ISERROR(SEARCH(MID(";"&amp;'CASE DATA'!$F126&amp;";",ROW($1:$99),1),";")),"",ROW($1:$99)),COLUMN(A125)+1)-SMALL(IF(ISERROR(SEARCH(MID(";"&amp;'CASE DATA'!$F126&amp;";",ROW($1:$99),1),";")),"",ROW($1:$99)),COLUMN(A125))-1)</f>
        <v/>
      </c>
      <c r="X126" s="29" t="str">
        <f t="array" ref="X126">MID(";"&amp;'CASE DATA'!$F126&amp;";",SMALL(IF(ISERROR(SEARCH(MID(";"&amp;'CASE DATA'!$F126&amp;";",ROW($1:$99),1),";")),"",ROW($1:$99)+1),COLUMN(B126)),SMALL(IF(ISERROR(SEARCH(MID(";"&amp;'CASE DATA'!$F126&amp;";",ROW($1:$99),1),";")),"",ROW($1:$99)),COLUMN(B125)+1)-SMALL(IF(ISERROR(SEARCH(MID(";"&amp;'CASE DATA'!$F126&amp;";",ROW($1:$99),1),";")),"",ROW($1:$99)),COLUMN(B125))-1)</f>
        <v/>
      </c>
      <c r="Y126" s="29" t="str">
        <f t="array" ref="Y126">MID(";"&amp;'CASE DATA'!$F126&amp;";",SMALL(IF(ISERROR(SEARCH(MID(";"&amp;'CASE DATA'!$F126&amp;";",ROW($1:$99),1),";")),"",ROW($1:$99)+1),COLUMN(D126)),SMALL(IF(ISERROR(SEARCH(MID(";"&amp;'CASE DATA'!$F126&amp;";",ROW($1:$99),1),";")),"",ROW($1:$99)),COLUMN(D125)+1)-SMALL(IF(ISERROR(SEARCH(MID(";"&amp;'CASE DATA'!$F126&amp;";",ROW($1:$99),1),";")),"",ROW($1:$99)),COLUMN(D125))-1)</f>
        <v/>
      </c>
      <c r="Z126" s="29" t="str">
        <f t="array" ref="Z126">MID(";"&amp;'CASE DATA'!$F126&amp;";",SMALL(IF(ISERROR(SEARCH(MID(";"&amp;'CASE DATA'!$F126&amp;";",ROW($1:$99),1),";")),"",ROW($1:$99)+1),COLUMN(E126)),SMALL(IF(ISERROR(SEARCH(MID(";"&amp;'CASE DATA'!$F126&amp;";",ROW($1:$99),1),";")),"",ROW($1:$99)),COLUMN(E125)+1)-SMALL(IF(ISERROR(SEARCH(MID(";"&amp;'CASE DATA'!$F126&amp;";",ROW($1:$99),1),";")),"",ROW($1:$99)),COLUMN(E125))-1)</f>
        <v/>
      </c>
      <c r="AA126" s="29" t="str">
        <f t="array" ref="AA126">MID(";"&amp;'CASE DATA'!$F126&amp;";",SMALL(IF(ISERROR(SEARCH(MID(";"&amp;'CASE DATA'!$F126&amp;";",ROW($1:$99),1),";")),"",ROW($1:$99)+1),COLUMN(F126)),SMALL(IF(ISERROR(SEARCH(MID(";"&amp;'CASE DATA'!$F126&amp;";",ROW($1:$99),1),";")),"",ROW($1:$99)),COLUMN(F125)+1)-SMALL(IF(ISERROR(SEARCH(MID(";"&amp;'CASE DATA'!$F126&amp;";",ROW($1:$99),1),";")),"",ROW($1:$99)),COLUMN(F125))-1)</f>
        <v/>
      </c>
      <c r="AB126" s="29" t="str">
        <f t="array" ref="AB126">MID(";"&amp;'CASE DATA'!$F126&amp;";",SMALL(IF(ISERROR(SEARCH(MID(";"&amp;'CASE DATA'!$F126&amp;";",ROW($1:$99),1),";")),"",ROW($1:$99)+1),COLUMN(G126)),SMALL(IF(ISERROR(SEARCH(MID(";"&amp;'CASE DATA'!$F126&amp;";",ROW($1:$99),1),";")),"",ROW($1:$99)),COLUMN(G125)+1)-SMALL(IF(ISERROR(SEARCH(MID(";"&amp;'CASE DATA'!$F126&amp;";",ROW($1:$99),1),";")),"",ROW($1:$99)),COLUMN(G125))-1)</f>
        <v/>
      </c>
      <c r="AC126" s="29" t="str">
        <f t="array" ref="AC126">MID(";"&amp;'CASE DATA'!$F126&amp;";",SMALL(IF(ISERROR(SEARCH(MID(";"&amp;'CASE DATA'!$F126&amp;";",ROW($1:$99),1),";")),"",ROW($1:$99)+1),COLUMN(H126)),SMALL(IF(ISERROR(SEARCH(MID(";"&amp;'CASE DATA'!$F126&amp;";",ROW($1:$99),1),";")),"",ROW($1:$99)),COLUMN(H125)+1)-SMALL(IF(ISERROR(SEARCH(MID(";"&amp;'CASE DATA'!$F126&amp;";",ROW($1:$99),1),";")),"",ROW($1:$99)),COLUMN(H125))-1)</f>
        <v/>
      </c>
      <c r="AD126" s="29" t="str">
        <f t="array" ref="AD126">MID(";"&amp;'CASE DATA'!$F126&amp;";",SMALL(IF(ISERROR(SEARCH(MID(";"&amp;'CASE DATA'!$F126&amp;";",ROW($1:$99),1),";")),"",ROW($1:$99)+1),COLUMN(I126)),SMALL(IF(ISERROR(SEARCH(MID(";"&amp;'CASE DATA'!$F126&amp;";",ROW($1:$99),1),";")),"",ROW($1:$99)),COLUMN(I125)+1)-SMALL(IF(ISERROR(SEARCH(MID(";"&amp;'CASE DATA'!$F126&amp;";",ROW($1:$99),1),";")),"",ROW($1:$99)),COLUMN(I125))-1)</f>
        <v/>
      </c>
      <c r="AE126" s="29" t="str">
        <f t="array" ref="AE126">MID(";"&amp;'CASE DATA'!$F126&amp;";",SMALL(IF(ISERROR(SEARCH(MID(";"&amp;'CASE DATA'!$F126&amp;";",ROW($1:$99),1),";")),"",ROW($1:$99)+1),COLUMN(J126)),SMALL(IF(ISERROR(SEARCH(MID(";"&amp;'CASE DATA'!$F126&amp;";",ROW($1:$99),1),";")),"",ROW($1:$99)),COLUMN(J125)+1)-SMALL(IF(ISERROR(SEARCH(MID(";"&amp;'CASE DATA'!$F126&amp;";",ROW($1:$99),1),";")),"",ROW($1:$99)),COLUMN(J125))-1)</f>
        <v/>
      </c>
      <c r="AF126" s="29" t="str">
        <f t="array" ref="AF126">MID(";"&amp;'CASE DATA'!$F126&amp;";",SMALL(IF(ISERROR(SEARCH(MID(";"&amp;'CASE DATA'!$F126&amp;";",ROW($1:$99),1),";")),"",ROW($1:$99)+1),COLUMN(K126)),SMALL(IF(ISERROR(SEARCH(MID(";"&amp;'CASE DATA'!$F126&amp;";",ROW($1:$99),1),";")),"",ROW($1:$99)),COLUMN(K125)+1)-SMALL(IF(ISERROR(SEARCH(MID(";"&amp;'CASE DATA'!$F126&amp;";",ROW($1:$99),1),";")),"",ROW($1:$99)),COLUMN(K125))-1)</f>
        <v/>
      </c>
      <c r="AG126" s="29" t="str">
        <f t="array" ref="AG126">MID(";"&amp;'CASE DATA'!$F126&amp;";",SMALL(IF(ISERROR(SEARCH(MID(";"&amp;'CASE DATA'!$F126&amp;";",ROW($1:$99),1),";")),"",ROW($1:$99)+1),COLUMN(L126)),SMALL(IF(ISERROR(SEARCH(MID(";"&amp;'CASE DATA'!$F126&amp;";",ROW($1:$99),1),";")),"",ROW($1:$99)),COLUMN(L125)+1)-SMALL(IF(ISERROR(SEARCH(MID(";"&amp;'CASE DATA'!$F126&amp;";",ROW($1:$99),1),";")),"",ROW($1:$99)),COLUMN(L125))-1)</f>
        <v/>
      </c>
      <c r="AH126" s="29"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24"/>
      <c r="D127" s="24"/>
      <c r="E127" s="25"/>
      <c r="F127" s="30"/>
      <c r="J127" s="31"/>
      <c r="K127" s="31"/>
      <c r="L127" s="31"/>
      <c r="M127" s="31"/>
      <c r="N127" s="31"/>
      <c r="O127" s="31"/>
      <c r="P127" s="31"/>
      <c r="Q127" s="31"/>
      <c r="R127" s="31"/>
      <c r="S127" s="31"/>
      <c r="T127" s="28">
        <f t="shared" si="2"/>
        <v>0</v>
      </c>
      <c r="U127" s="28"/>
      <c r="W127" s="29" t="str">
        <f t="array" ref="W127">MID(";"&amp;'CASE DATA'!$F127&amp;";",SMALL(IF(ISERROR(SEARCH(MID(";"&amp;'CASE DATA'!$F127&amp;";",ROW($1:$99),1),";")),"",ROW($1:$99)+1),COLUMN(A127)),SMALL(IF(ISERROR(SEARCH(MID(";"&amp;'CASE DATA'!$F127&amp;";",ROW($1:$99),1),";")),"",ROW($1:$99)),COLUMN(A126)+1)-SMALL(IF(ISERROR(SEARCH(MID(";"&amp;'CASE DATA'!$F127&amp;";",ROW($1:$99),1),";")),"",ROW($1:$99)),COLUMN(A126))-1)</f>
        <v/>
      </c>
      <c r="X127" s="29" t="str">
        <f t="array" ref="X127">MID(";"&amp;'CASE DATA'!$F127&amp;";",SMALL(IF(ISERROR(SEARCH(MID(";"&amp;'CASE DATA'!$F127&amp;";",ROW($1:$99),1),";")),"",ROW($1:$99)+1),COLUMN(B127)),SMALL(IF(ISERROR(SEARCH(MID(";"&amp;'CASE DATA'!$F127&amp;";",ROW($1:$99),1),";")),"",ROW($1:$99)),COLUMN(B126)+1)-SMALL(IF(ISERROR(SEARCH(MID(";"&amp;'CASE DATA'!$F127&amp;";",ROW($1:$99),1),";")),"",ROW($1:$99)),COLUMN(B126))-1)</f>
        <v/>
      </c>
      <c r="Y127" s="29" t="str">
        <f t="array" ref="Y127">MID(";"&amp;'CASE DATA'!$F127&amp;";",SMALL(IF(ISERROR(SEARCH(MID(";"&amp;'CASE DATA'!$F127&amp;";",ROW($1:$99),1),";")),"",ROW($1:$99)+1),COLUMN(D127)),SMALL(IF(ISERROR(SEARCH(MID(";"&amp;'CASE DATA'!$F127&amp;";",ROW($1:$99),1),";")),"",ROW($1:$99)),COLUMN(D126)+1)-SMALL(IF(ISERROR(SEARCH(MID(";"&amp;'CASE DATA'!$F127&amp;";",ROW($1:$99),1),";")),"",ROW($1:$99)),COLUMN(D126))-1)</f>
        <v/>
      </c>
      <c r="Z127" s="29" t="str">
        <f t="array" ref="Z127">MID(";"&amp;'CASE DATA'!$F127&amp;";",SMALL(IF(ISERROR(SEARCH(MID(";"&amp;'CASE DATA'!$F127&amp;";",ROW($1:$99),1),";")),"",ROW($1:$99)+1),COLUMN(E127)),SMALL(IF(ISERROR(SEARCH(MID(";"&amp;'CASE DATA'!$F127&amp;";",ROW($1:$99),1),";")),"",ROW($1:$99)),COLUMN(E126)+1)-SMALL(IF(ISERROR(SEARCH(MID(";"&amp;'CASE DATA'!$F127&amp;";",ROW($1:$99),1),";")),"",ROW($1:$99)),COLUMN(E126))-1)</f>
        <v/>
      </c>
      <c r="AA127" s="29" t="str">
        <f t="array" ref="AA127">MID(";"&amp;'CASE DATA'!$F127&amp;";",SMALL(IF(ISERROR(SEARCH(MID(";"&amp;'CASE DATA'!$F127&amp;";",ROW($1:$99),1),";")),"",ROW($1:$99)+1),COLUMN(F127)),SMALL(IF(ISERROR(SEARCH(MID(";"&amp;'CASE DATA'!$F127&amp;";",ROW($1:$99),1),";")),"",ROW($1:$99)),COLUMN(F126)+1)-SMALL(IF(ISERROR(SEARCH(MID(";"&amp;'CASE DATA'!$F127&amp;";",ROW($1:$99),1),";")),"",ROW($1:$99)),COLUMN(F126))-1)</f>
        <v/>
      </c>
      <c r="AB127" s="29" t="str">
        <f t="array" ref="AB127">MID(";"&amp;'CASE DATA'!$F127&amp;";",SMALL(IF(ISERROR(SEARCH(MID(";"&amp;'CASE DATA'!$F127&amp;";",ROW($1:$99),1),";")),"",ROW($1:$99)+1),COLUMN(G127)),SMALL(IF(ISERROR(SEARCH(MID(";"&amp;'CASE DATA'!$F127&amp;";",ROW($1:$99),1),";")),"",ROW($1:$99)),COLUMN(G126)+1)-SMALL(IF(ISERROR(SEARCH(MID(";"&amp;'CASE DATA'!$F127&amp;";",ROW($1:$99),1),";")),"",ROW($1:$99)),COLUMN(G126))-1)</f>
        <v/>
      </c>
      <c r="AC127" s="29" t="str">
        <f t="array" ref="AC127">MID(";"&amp;'CASE DATA'!$F127&amp;";",SMALL(IF(ISERROR(SEARCH(MID(";"&amp;'CASE DATA'!$F127&amp;";",ROW($1:$99),1),";")),"",ROW($1:$99)+1),COLUMN(H127)),SMALL(IF(ISERROR(SEARCH(MID(";"&amp;'CASE DATA'!$F127&amp;";",ROW($1:$99),1),";")),"",ROW($1:$99)),COLUMN(H126)+1)-SMALL(IF(ISERROR(SEARCH(MID(";"&amp;'CASE DATA'!$F127&amp;";",ROW($1:$99),1),";")),"",ROW($1:$99)),COLUMN(H126))-1)</f>
        <v/>
      </c>
      <c r="AD127" s="29" t="str">
        <f t="array" ref="AD127">MID(";"&amp;'CASE DATA'!$F127&amp;";",SMALL(IF(ISERROR(SEARCH(MID(";"&amp;'CASE DATA'!$F127&amp;";",ROW($1:$99),1),";")),"",ROW($1:$99)+1),COLUMN(I127)),SMALL(IF(ISERROR(SEARCH(MID(";"&amp;'CASE DATA'!$F127&amp;";",ROW($1:$99),1),";")),"",ROW($1:$99)),COLUMN(I126)+1)-SMALL(IF(ISERROR(SEARCH(MID(";"&amp;'CASE DATA'!$F127&amp;";",ROW($1:$99),1),";")),"",ROW($1:$99)),COLUMN(I126))-1)</f>
        <v/>
      </c>
      <c r="AE127" s="29" t="str">
        <f t="array" ref="AE127">MID(";"&amp;'CASE DATA'!$F127&amp;";",SMALL(IF(ISERROR(SEARCH(MID(";"&amp;'CASE DATA'!$F127&amp;";",ROW($1:$99),1),";")),"",ROW($1:$99)+1),COLUMN(J127)),SMALL(IF(ISERROR(SEARCH(MID(";"&amp;'CASE DATA'!$F127&amp;";",ROW($1:$99),1),";")),"",ROW($1:$99)),COLUMN(J126)+1)-SMALL(IF(ISERROR(SEARCH(MID(";"&amp;'CASE DATA'!$F127&amp;";",ROW($1:$99),1),";")),"",ROW($1:$99)),COLUMN(J126))-1)</f>
        <v/>
      </c>
      <c r="AF127" s="29" t="str">
        <f t="array" ref="AF127">MID(";"&amp;'CASE DATA'!$F127&amp;";",SMALL(IF(ISERROR(SEARCH(MID(";"&amp;'CASE DATA'!$F127&amp;";",ROW($1:$99),1),";")),"",ROW($1:$99)+1),COLUMN(K127)),SMALL(IF(ISERROR(SEARCH(MID(";"&amp;'CASE DATA'!$F127&amp;";",ROW($1:$99),1),";")),"",ROW($1:$99)),COLUMN(K126)+1)-SMALL(IF(ISERROR(SEARCH(MID(";"&amp;'CASE DATA'!$F127&amp;";",ROW($1:$99),1),";")),"",ROW($1:$99)),COLUMN(K126))-1)</f>
        <v/>
      </c>
      <c r="AG127" s="29" t="str">
        <f t="array" ref="AG127">MID(";"&amp;'CASE DATA'!$F127&amp;";",SMALL(IF(ISERROR(SEARCH(MID(";"&amp;'CASE DATA'!$F127&amp;";",ROW($1:$99),1),";")),"",ROW($1:$99)+1),COLUMN(L127)),SMALL(IF(ISERROR(SEARCH(MID(";"&amp;'CASE DATA'!$F127&amp;";",ROW($1:$99),1),";")),"",ROW($1:$99)),COLUMN(L126)+1)-SMALL(IF(ISERROR(SEARCH(MID(";"&amp;'CASE DATA'!$F127&amp;";",ROW($1:$99),1),";")),"",ROW($1:$99)),COLUMN(L126))-1)</f>
        <v/>
      </c>
      <c r="AH127" s="29"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24"/>
      <c r="D128" s="24"/>
      <c r="E128" s="25"/>
      <c r="F128" s="30"/>
      <c r="J128" s="31"/>
      <c r="K128" s="31"/>
      <c r="L128" s="31"/>
      <c r="M128" s="31"/>
      <c r="N128" s="31"/>
      <c r="O128" s="31"/>
      <c r="P128" s="31"/>
      <c r="Q128" s="31"/>
      <c r="R128" s="31"/>
      <c r="S128" s="31"/>
      <c r="T128" s="28">
        <f t="shared" si="2"/>
        <v>0</v>
      </c>
      <c r="U128" s="28"/>
      <c r="W128" s="29" t="str">
        <f t="array" ref="W128">MID(";"&amp;'CASE DATA'!$F128&amp;";",SMALL(IF(ISERROR(SEARCH(MID(";"&amp;'CASE DATA'!$F128&amp;";",ROW($1:$99),1),";")),"",ROW($1:$99)+1),COLUMN(A128)),SMALL(IF(ISERROR(SEARCH(MID(";"&amp;'CASE DATA'!$F128&amp;";",ROW($1:$99),1),";")),"",ROW($1:$99)),COLUMN(A127)+1)-SMALL(IF(ISERROR(SEARCH(MID(";"&amp;'CASE DATA'!$F128&amp;";",ROW($1:$99),1),";")),"",ROW($1:$99)),COLUMN(A127))-1)</f>
        <v/>
      </c>
      <c r="X128" s="29" t="str">
        <f t="array" ref="X128">MID(";"&amp;'CASE DATA'!$F128&amp;";",SMALL(IF(ISERROR(SEARCH(MID(";"&amp;'CASE DATA'!$F128&amp;";",ROW($1:$99),1),";")),"",ROW($1:$99)+1),COLUMN(B128)),SMALL(IF(ISERROR(SEARCH(MID(";"&amp;'CASE DATA'!$F128&amp;";",ROW($1:$99),1),";")),"",ROW($1:$99)),COLUMN(B127)+1)-SMALL(IF(ISERROR(SEARCH(MID(";"&amp;'CASE DATA'!$F128&amp;";",ROW($1:$99),1),";")),"",ROW($1:$99)),COLUMN(B127))-1)</f>
        <v/>
      </c>
      <c r="Y128" s="29" t="str">
        <f t="array" ref="Y128">MID(";"&amp;'CASE DATA'!$F128&amp;";",SMALL(IF(ISERROR(SEARCH(MID(";"&amp;'CASE DATA'!$F128&amp;";",ROW($1:$99),1),";")),"",ROW($1:$99)+1),COLUMN(D128)),SMALL(IF(ISERROR(SEARCH(MID(";"&amp;'CASE DATA'!$F128&amp;";",ROW($1:$99),1),";")),"",ROW($1:$99)),COLUMN(D127)+1)-SMALL(IF(ISERROR(SEARCH(MID(";"&amp;'CASE DATA'!$F128&amp;";",ROW($1:$99),1),";")),"",ROW($1:$99)),COLUMN(D127))-1)</f>
        <v/>
      </c>
      <c r="Z128" s="29" t="str">
        <f t="array" ref="Z128">MID(";"&amp;'CASE DATA'!$F128&amp;";",SMALL(IF(ISERROR(SEARCH(MID(";"&amp;'CASE DATA'!$F128&amp;";",ROW($1:$99),1),";")),"",ROW($1:$99)+1),COLUMN(E128)),SMALL(IF(ISERROR(SEARCH(MID(";"&amp;'CASE DATA'!$F128&amp;";",ROW($1:$99),1),";")),"",ROW($1:$99)),COLUMN(E127)+1)-SMALL(IF(ISERROR(SEARCH(MID(";"&amp;'CASE DATA'!$F128&amp;";",ROW($1:$99),1),";")),"",ROW($1:$99)),COLUMN(E127))-1)</f>
        <v/>
      </c>
      <c r="AA128" s="29" t="str">
        <f t="array" ref="AA128">MID(";"&amp;'CASE DATA'!$F128&amp;";",SMALL(IF(ISERROR(SEARCH(MID(";"&amp;'CASE DATA'!$F128&amp;";",ROW($1:$99),1),";")),"",ROW($1:$99)+1),COLUMN(F128)),SMALL(IF(ISERROR(SEARCH(MID(";"&amp;'CASE DATA'!$F128&amp;";",ROW($1:$99),1),";")),"",ROW($1:$99)),COLUMN(F127)+1)-SMALL(IF(ISERROR(SEARCH(MID(";"&amp;'CASE DATA'!$F128&amp;";",ROW($1:$99),1),";")),"",ROW($1:$99)),COLUMN(F127))-1)</f>
        <v/>
      </c>
      <c r="AB128" s="29" t="str">
        <f t="array" ref="AB128">MID(";"&amp;'CASE DATA'!$F128&amp;";",SMALL(IF(ISERROR(SEARCH(MID(";"&amp;'CASE DATA'!$F128&amp;";",ROW($1:$99),1),";")),"",ROW($1:$99)+1),COLUMN(G128)),SMALL(IF(ISERROR(SEARCH(MID(";"&amp;'CASE DATA'!$F128&amp;";",ROW($1:$99),1),";")),"",ROW($1:$99)),COLUMN(G127)+1)-SMALL(IF(ISERROR(SEARCH(MID(";"&amp;'CASE DATA'!$F128&amp;";",ROW($1:$99),1),";")),"",ROW($1:$99)),COLUMN(G127))-1)</f>
        <v/>
      </c>
      <c r="AC128" s="29" t="str">
        <f t="array" ref="AC128">MID(";"&amp;'CASE DATA'!$F128&amp;";",SMALL(IF(ISERROR(SEARCH(MID(";"&amp;'CASE DATA'!$F128&amp;";",ROW($1:$99),1),";")),"",ROW($1:$99)+1),COLUMN(H128)),SMALL(IF(ISERROR(SEARCH(MID(";"&amp;'CASE DATA'!$F128&amp;";",ROW($1:$99),1),";")),"",ROW($1:$99)),COLUMN(H127)+1)-SMALL(IF(ISERROR(SEARCH(MID(";"&amp;'CASE DATA'!$F128&amp;";",ROW($1:$99),1),";")),"",ROW($1:$99)),COLUMN(H127))-1)</f>
        <v/>
      </c>
      <c r="AD128" s="29" t="str">
        <f t="array" ref="AD128">MID(";"&amp;'CASE DATA'!$F128&amp;";",SMALL(IF(ISERROR(SEARCH(MID(";"&amp;'CASE DATA'!$F128&amp;";",ROW($1:$99),1),";")),"",ROW($1:$99)+1),COLUMN(I128)),SMALL(IF(ISERROR(SEARCH(MID(";"&amp;'CASE DATA'!$F128&amp;";",ROW($1:$99),1),";")),"",ROW($1:$99)),COLUMN(I127)+1)-SMALL(IF(ISERROR(SEARCH(MID(";"&amp;'CASE DATA'!$F128&amp;";",ROW($1:$99),1),";")),"",ROW($1:$99)),COLUMN(I127))-1)</f>
        <v/>
      </c>
      <c r="AE128" s="29" t="str">
        <f t="array" ref="AE128">MID(";"&amp;'CASE DATA'!$F128&amp;";",SMALL(IF(ISERROR(SEARCH(MID(";"&amp;'CASE DATA'!$F128&amp;";",ROW($1:$99),1),";")),"",ROW($1:$99)+1),COLUMN(J128)),SMALL(IF(ISERROR(SEARCH(MID(";"&amp;'CASE DATA'!$F128&amp;";",ROW($1:$99),1),";")),"",ROW($1:$99)),COLUMN(J127)+1)-SMALL(IF(ISERROR(SEARCH(MID(";"&amp;'CASE DATA'!$F128&amp;";",ROW($1:$99),1),";")),"",ROW($1:$99)),COLUMN(J127))-1)</f>
        <v/>
      </c>
      <c r="AF128" s="29" t="str">
        <f t="array" ref="AF128">MID(";"&amp;'CASE DATA'!$F128&amp;";",SMALL(IF(ISERROR(SEARCH(MID(";"&amp;'CASE DATA'!$F128&amp;";",ROW($1:$99),1),";")),"",ROW($1:$99)+1),COLUMN(K128)),SMALL(IF(ISERROR(SEARCH(MID(";"&amp;'CASE DATA'!$F128&amp;";",ROW($1:$99),1),";")),"",ROW($1:$99)),COLUMN(K127)+1)-SMALL(IF(ISERROR(SEARCH(MID(";"&amp;'CASE DATA'!$F128&amp;";",ROW($1:$99),1),";")),"",ROW($1:$99)),COLUMN(K127))-1)</f>
        <v/>
      </c>
      <c r="AG128" s="29" t="str">
        <f t="array" ref="AG128">MID(";"&amp;'CASE DATA'!$F128&amp;";",SMALL(IF(ISERROR(SEARCH(MID(";"&amp;'CASE DATA'!$F128&amp;";",ROW($1:$99),1),";")),"",ROW($1:$99)+1),COLUMN(L128)),SMALL(IF(ISERROR(SEARCH(MID(";"&amp;'CASE DATA'!$F128&amp;";",ROW($1:$99),1),";")),"",ROW($1:$99)),COLUMN(L127)+1)-SMALL(IF(ISERROR(SEARCH(MID(";"&amp;'CASE DATA'!$F128&amp;";",ROW($1:$99),1),";")),"",ROW($1:$99)),COLUMN(L127))-1)</f>
        <v/>
      </c>
      <c r="AH128" s="29"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24"/>
      <c r="D129" s="24"/>
      <c r="E129" s="25"/>
      <c r="F129" s="30"/>
      <c r="J129" s="31"/>
      <c r="K129" s="31"/>
      <c r="L129" s="31"/>
      <c r="M129" s="31"/>
      <c r="N129" s="31"/>
      <c r="O129" s="31"/>
      <c r="P129" s="31"/>
      <c r="Q129" s="31"/>
      <c r="R129" s="31"/>
      <c r="S129" s="31"/>
      <c r="T129" s="28">
        <f t="shared" si="2"/>
        <v>0</v>
      </c>
      <c r="U129" s="28"/>
      <c r="W129" s="29" t="str">
        <f t="array" ref="W129">MID(";"&amp;'CASE DATA'!$F129&amp;";",SMALL(IF(ISERROR(SEARCH(MID(";"&amp;'CASE DATA'!$F129&amp;";",ROW($1:$99),1),";")),"",ROW($1:$99)+1),COLUMN(A129)),SMALL(IF(ISERROR(SEARCH(MID(";"&amp;'CASE DATA'!$F129&amp;";",ROW($1:$99),1),";")),"",ROW($1:$99)),COLUMN(A128)+1)-SMALL(IF(ISERROR(SEARCH(MID(";"&amp;'CASE DATA'!$F129&amp;";",ROW($1:$99),1),";")),"",ROW($1:$99)),COLUMN(A128))-1)</f>
        <v/>
      </c>
      <c r="X129" s="29" t="str">
        <f t="array" ref="X129">MID(";"&amp;'CASE DATA'!$F129&amp;";",SMALL(IF(ISERROR(SEARCH(MID(";"&amp;'CASE DATA'!$F129&amp;";",ROW($1:$99),1),";")),"",ROW($1:$99)+1),COLUMN(B129)),SMALL(IF(ISERROR(SEARCH(MID(";"&amp;'CASE DATA'!$F129&amp;";",ROW($1:$99),1),";")),"",ROW($1:$99)),COLUMN(B128)+1)-SMALL(IF(ISERROR(SEARCH(MID(";"&amp;'CASE DATA'!$F129&amp;";",ROW($1:$99),1),";")),"",ROW($1:$99)),COLUMN(B128))-1)</f>
        <v/>
      </c>
      <c r="Y129" s="29" t="str">
        <f t="array" ref="Y129">MID(";"&amp;'CASE DATA'!$F129&amp;";",SMALL(IF(ISERROR(SEARCH(MID(";"&amp;'CASE DATA'!$F129&amp;";",ROW($1:$99),1),";")),"",ROW($1:$99)+1),COLUMN(D129)),SMALL(IF(ISERROR(SEARCH(MID(";"&amp;'CASE DATA'!$F129&amp;";",ROW($1:$99),1),";")),"",ROW($1:$99)),COLUMN(D128)+1)-SMALL(IF(ISERROR(SEARCH(MID(";"&amp;'CASE DATA'!$F129&amp;";",ROW($1:$99),1),";")),"",ROW($1:$99)),COLUMN(D128))-1)</f>
        <v/>
      </c>
      <c r="Z129" s="29" t="str">
        <f t="array" ref="Z129">MID(";"&amp;'CASE DATA'!$F129&amp;";",SMALL(IF(ISERROR(SEARCH(MID(";"&amp;'CASE DATA'!$F129&amp;";",ROW($1:$99),1),";")),"",ROW($1:$99)+1),COLUMN(E129)),SMALL(IF(ISERROR(SEARCH(MID(";"&amp;'CASE DATA'!$F129&amp;";",ROW($1:$99),1),";")),"",ROW($1:$99)),COLUMN(E128)+1)-SMALL(IF(ISERROR(SEARCH(MID(";"&amp;'CASE DATA'!$F129&amp;";",ROW($1:$99),1),";")),"",ROW($1:$99)),COLUMN(E128))-1)</f>
        <v/>
      </c>
      <c r="AA129" s="29" t="str">
        <f t="array" ref="AA129">MID(";"&amp;'CASE DATA'!$F129&amp;";",SMALL(IF(ISERROR(SEARCH(MID(";"&amp;'CASE DATA'!$F129&amp;";",ROW($1:$99),1),";")),"",ROW($1:$99)+1),COLUMN(F129)),SMALL(IF(ISERROR(SEARCH(MID(";"&amp;'CASE DATA'!$F129&amp;";",ROW($1:$99),1),";")),"",ROW($1:$99)),COLUMN(F128)+1)-SMALL(IF(ISERROR(SEARCH(MID(";"&amp;'CASE DATA'!$F129&amp;";",ROW($1:$99),1),";")),"",ROW($1:$99)),COLUMN(F128))-1)</f>
        <v/>
      </c>
      <c r="AB129" s="29" t="str">
        <f t="array" ref="AB129">MID(";"&amp;'CASE DATA'!$F129&amp;";",SMALL(IF(ISERROR(SEARCH(MID(";"&amp;'CASE DATA'!$F129&amp;";",ROW($1:$99),1),";")),"",ROW($1:$99)+1),COLUMN(G129)),SMALL(IF(ISERROR(SEARCH(MID(";"&amp;'CASE DATA'!$F129&amp;";",ROW($1:$99),1),";")),"",ROW($1:$99)),COLUMN(G128)+1)-SMALL(IF(ISERROR(SEARCH(MID(";"&amp;'CASE DATA'!$F129&amp;";",ROW($1:$99),1),";")),"",ROW($1:$99)),COLUMN(G128))-1)</f>
        <v/>
      </c>
      <c r="AC129" s="29" t="str">
        <f t="array" ref="AC129">MID(";"&amp;'CASE DATA'!$F129&amp;";",SMALL(IF(ISERROR(SEARCH(MID(";"&amp;'CASE DATA'!$F129&amp;";",ROW($1:$99),1),";")),"",ROW($1:$99)+1),COLUMN(H129)),SMALL(IF(ISERROR(SEARCH(MID(";"&amp;'CASE DATA'!$F129&amp;";",ROW($1:$99),1),";")),"",ROW($1:$99)),COLUMN(H128)+1)-SMALL(IF(ISERROR(SEARCH(MID(";"&amp;'CASE DATA'!$F129&amp;";",ROW($1:$99),1),";")),"",ROW($1:$99)),COLUMN(H128))-1)</f>
        <v/>
      </c>
      <c r="AD129" s="29" t="str">
        <f t="array" ref="AD129">MID(";"&amp;'CASE DATA'!$F129&amp;";",SMALL(IF(ISERROR(SEARCH(MID(";"&amp;'CASE DATA'!$F129&amp;";",ROW($1:$99),1),";")),"",ROW($1:$99)+1),COLUMN(I129)),SMALL(IF(ISERROR(SEARCH(MID(";"&amp;'CASE DATA'!$F129&amp;";",ROW($1:$99),1),";")),"",ROW($1:$99)),COLUMN(I128)+1)-SMALL(IF(ISERROR(SEARCH(MID(";"&amp;'CASE DATA'!$F129&amp;";",ROW($1:$99),1),";")),"",ROW($1:$99)),COLUMN(I128))-1)</f>
        <v/>
      </c>
      <c r="AE129" s="29" t="str">
        <f t="array" ref="AE129">MID(";"&amp;'CASE DATA'!$F129&amp;";",SMALL(IF(ISERROR(SEARCH(MID(";"&amp;'CASE DATA'!$F129&amp;";",ROW($1:$99),1),";")),"",ROW($1:$99)+1),COLUMN(J129)),SMALL(IF(ISERROR(SEARCH(MID(";"&amp;'CASE DATA'!$F129&amp;";",ROW($1:$99),1),";")),"",ROW($1:$99)),COLUMN(J128)+1)-SMALL(IF(ISERROR(SEARCH(MID(";"&amp;'CASE DATA'!$F129&amp;";",ROW($1:$99),1),";")),"",ROW($1:$99)),COLUMN(J128))-1)</f>
        <v/>
      </c>
      <c r="AF129" s="29" t="str">
        <f t="array" ref="AF129">MID(";"&amp;'CASE DATA'!$F129&amp;";",SMALL(IF(ISERROR(SEARCH(MID(";"&amp;'CASE DATA'!$F129&amp;";",ROW($1:$99),1),";")),"",ROW($1:$99)+1),COLUMN(K129)),SMALL(IF(ISERROR(SEARCH(MID(";"&amp;'CASE DATA'!$F129&amp;";",ROW($1:$99),1),";")),"",ROW($1:$99)),COLUMN(K128)+1)-SMALL(IF(ISERROR(SEARCH(MID(";"&amp;'CASE DATA'!$F129&amp;";",ROW($1:$99),1),";")),"",ROW($1:$99)),COLUMN(K128))-1)</f>
        <v/>
      </c>
      <c r="AG129" s="29" t="str">
        <f t="array" ref="AG129">MID(";"&amp;'CASE DATA'!$F129&amp;";",SMALL(IF(ISERROR(SEARCH(MID(";"&amp;'CASE DATA'!$F129&amp;";",ROW($1:$99),1),";")),"",ROW($1:$99)+1),COLUMN(L129)),SMALL(IF(ISERROR(SEARCH(MID(";"&amp;'CASE DATA'!$F129&amp;";",ROW($1:$99),1),";")),"",ROW($1:$99)),COLUMN(L128)+1)-SMALL(IF(ISERROR(SEARCH(MID(";"&amp;'CASE DATA'!$F129&amp;";",ROW($1:$99),1),";")),"",ROW($1:$99)),COLUMN(L128))-1)</f>
        <v/>
      </c>
      <c r="AH129" s="29"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24"/>
      <c r="D130" s="24"/>
      <c r="E130" s="25"/>
      <c r="F130" s="30"/>
      <c r="J130" s="31"/>
      <c r="K130" s="31"/>
      <c r="L130" s="31"/>
      <c r="M130" s="31"/>
      <c r="N130" s="31"/>
      <c r="O130" s="31"/>
      <c r="P130" s="31"/>
      <c r="Q130" s="31"/>
      <c r="R130" s="31"/>
      <c r="S130" s="31"/>
      <c r="T130" s="28">
        <f t="shared" si="2"/>
        <v>0</v>
      </c>
      <c r="U130" s="28"/>
      <c r="W130" s="29" t="str">
        <f t="array" ref="W130">MID(";"&amp;'CASE DATA'!$F130&amp;";",SMALL(IF(ISERROR(SEARCH(MID(";"&amp;'CASE DATA'!$F130&amp;";",ROW($1:$99),1),";")),"",ROW($1:$99)+1),COLUMN(A130)),SMALL(IF(ISERROR(SEARCH(MID(";"&amp;'CASE DATA'!$F130&amp;";",ROW($1:$99),1),";")),"",ROW($1:$99)),COLUMN(A129)+1)-SMALL(IF(ISERROR(SEARCH(MID(";"&amp;'CASE DATA'!$F130&amp;";",ROW($1:$99),1),";")),"",ROW($1:$99)),COLUMN(A129))-1)</f>
        <v/>
      </c>
      <c r="X130" s="29" t="str">
        <f t="array" ref="X130">MID(";"&amp;'CASE DATA'!$F130&amp;";",SMALL(IF(ISERROR(SEARCH(MID(";"&amp;'CASE DATA'!$F130&amp;";",ROW($1:$99),1),";")),"",ROW($1:$99)+1),COLUMN(B130)),SMALL(IF(ISERROR(SEARCH(MID(";"&amp;'CASE DATA'!$F130&amp;";",ROW($1:$99),1),";")),"",ROW($1:$99)),COLUMN(B129)+1)-SMALL(IF(ISERROR(SEARCH(MID(";"&amp;'CASE DATA'!$F130&amp;";",ROW($1:$99),1),";")),"",ROW($1:$99)),COLUMN(B129))-1)</f>
        <v/>
      </c>
      <c r="Y130" s="29" t="str">
        <f t="array" ref="Y130">MID(";"&amp;'CASE DATA'!$F130&amp;";",SMALL(IF(ISERROR(SEARCH(MID(";"&amp;'CASE DATA'!$F130&amp;";",ROW($1:$99),1),";")),"",ROW($1:$99)+1),COLUMN(D130)),SMALL(IF(ISERROR(SEARCH(MID(";"&amp;'CASE DATA'!$F130&amp;";",ROW($1:$99),1),";")),"",ROW($1:$99)),COLUMN(D129)+1)-SMALL(IF(ISERROR(SEARCH(MID(";"&amp;'CASE DATA'!$F130&amp;";",ROW($1:$99),1),";")),"",ROW($1:$99)),COLUMN(D129))-1)</f>
        <v/>
      </c>
      <c r="Z130" s="29" t="str">
        <f t="array" ref="Z130">MID(";"&amp;'CASE DATA'!$F130&amp;";",SMALL(IF(ISERROR(SEARCH(MID(";"&amp;'CASE DATA'!$F130&amp;";",ROW($1:$99),1),";")),"",ROW($1:$99)+1),COLUMN(E130)),SMALL(IF(ISERROR(SEARCH(MID(";"&amp;'CASE DATA'!$F130&amp;";",ROW($1:$99),1),";")),"",ROW($1:$99)),COLUMN(E129)+1)-SMALL(IF(ISERROR(SEARCH(MID(";"&amp;'CASE DATA'!$F130&amp;";",ROW($1:$99),1),";")),"",ROW($1:$99)),COLUMN(E129))-1)</f>
        <v/>
      </c>
      <c r="AA130" s="29" t="str">
        <f t="array" ref="AA130">MID(";"&amp;'CASE DATA'!$F130&amp;";",SMALL(IF(ISERROR(SEARCH(MID(";"&amp;'CASE DATA'!$F130&amp;";",ROW($1:$99),1),";")),"",ROW($1:$99)+1),COLUMN(F130)),SMALL(IF(ISERROR(SEARCH(MID(";"&amp;'CASE DATA'!$F130&amp;";",ROW($1:$99),1),";")),"",ROW($1:$99)),COLUMN(F129)+1)-SMALL(IF(ISERROR(SEARCH(MID(";"&amp;'CASE DATA'!$F130&amp;";",ROW($1:$99),1),";")),"",ROW($1:$99)),COLUMN(F129))-1)</f>
        <v/>
      </c>
      <c r="AB130" s="29" t="str">
        <f t="array" ref="AB130">MID(";"&amp;'CASE DATA'!$F130&amp;";",SMALL(IF(ISERROR(SEARCH(MID(";"&amp;'CASE DATA'!$F130&amp;";",ROW($1:$99),1),";")),"",ROW($1:$99)+1),COLUMN(G130)),SMALL(IF(ISERROR(SEARCH(MID(";"&amp;'CASE DATA'!$F130&amp;";",ROW($1:$99),1),";")),"",ROW($1:$99)),COLUMN(G129)+1)-SMALL(IF(ISERROR(SEARCH(MID(";"&amp;'CASE DATA'!$F130&amp;";",ROW($1:$99),1),";")),"",ROW($1:$99)),COLUMN(G129))-1)</f>
        <v/>
      </c>
      <c r="AC130" s="29" t="str">
        <f t="array" ref="AC130">MID(";"&amp;'CASE DATA'!$F130&amp;";",SMALL(IF(ISERROR(SEARCH(MID(";"&amp;'CASE DATA'!$F130&amp;";",ROW($1:$99),1),";")),"",ROW($1:$99)+1),COLUMN(H130)),SMALL(IF(ISERROR(SEARCH(MID(";"&amp;'CASE DATA'!$F130&amp;";",ROW($1:$99),1),";")),"",ROW($1:$99)),COLUMN(H129)+1)-SMALL(IF(ISERROR(SEARCH(MID(";"&amp;'CASE DATA'!$F130&amp;";",ROW($1:$99),1),";")),"",ROW($1:$99)),COLUMN(H129))-1)</f>
        <v/>
      </c>
      <c r="AD130" s="29" t="str">
        <f t="array" ref="AD130">MID(";"&amp;'CASE DATA'!$F130&amp;";",SMALL(IF(ISERROR(SEARCH(MID(";"&amp;'CASE DATA'!$F130&amp;";",ROW($1:$99),1),";")),"",ROW($1:$99)+1),COLUMN(I130)),SMALL(IF(ISERROR(SEARCH(MID(";"&amp;'CASE DATA'!$F130&amp;";",ROW($1:$99),1),";")),"",ROW($1:$99)),COLUMN(I129)+1)-SMALL(IF(ISERROR(SEARCH(MID(";"&amp;'CASE DATA'!$F130&amp;";",ROW($1:$99),1),";")),"",ROW($1:$99)),COLUMN(I129))-1)</f>
        <v/>
      </c>
      <c r="AE130" s="29" t="str">
        <f t="array" ref="AE130">MID(";"&amp;'CASE DATA'!$F130&amp;";",SMALL(IF(ISERROR(SEARCH(MID(";"&amp;'CASE DATA'!$F130&amp;";",ROW($1:$99),1),";")),"",ROW($1:$99)+1),COLUMN(J130)),SMALL(IF(ISERROR(SEARCH(MID(";"&amp;'CASE DATA'!$F130&amp;";",ROW($1:$99),1),";")),"",ROW($1:$99)),COLUMN(J129)+1)-SMALL(IF(ISERROR(SEARCH(MID(";"&amp;'CASE DATA'!$F130&amp;";",ROW($1:$99),1),";")),"",ROW($1:$99)),COLUMN(J129))-1)</f>
        <v/>
      </c>
      <c r="AF130" s="29" t="str">
        <f t="array" ref="AF130">MID(";"&amp;'CASE DATA'!$F130&amp;";",SMALL(IF(ISERROR(SEARCH(MID(";"&amp;'CASE DATA'!$F130&amp;";",ROW($1:$99),1),";")),"",ROW($1:$99)+1),COLUMN(K130)),SMALL(IF(ISERROR(SEARCH(MID(";"&amp;'CASE DATA'!$F130&amp;";",ROW($1:$99),1),";")),"",ROW($1:$99)),COLUMN(K129)+1)-SMALL(IF(ISERROR(SEARCH(MID(";"&amp;'CASE DATA'!$F130&amp;";",ROW($1:$99),1),";")),"",ROW($1:$99)),COLUMN(K129))-1)</f>
        <v/>
      </c>
      <c r="AG130" s="29" t="str">
        <f t="array" ref="AG130">MID(";"&amp;'CASE DATA'!$F130&amp;";",SMALL(IF(ISERROR(SEARCH(MID(";"&amp;'CASE DATA'!$F130&amp;";",ROW($1:$99),1),";")),"",ROW($1:$99)+1),COLUMN(L130)),SMALL(IF(ISERROR(SEARCH(MID(";"&amp;'CASE DATA'!$F130&amp;";",ROW($1:$99),1),";")),"",ROW($1:$99)),COLUMN(L129)+1)-SMALL(IF(ISERROR(SEARCH(MID(";"&amp;'CASE DATA'!$F130&amp;";",ROW($1:$99),1),";")),"",ROW($1:$99)),COLUMN(L129))-1)</f>
        <v/>
      </c>
      <c r="AH130" s="29"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24"/>
      <c r="D131" s="24"/>
      <c r="E131" s="25"/>
      <c r="F131" s="30"/>
      <c r="J131" s="31"/>
      <c r="K131" s="31"/>
      <c r="L131" s="31"/>
      <c r="M131" s="31"/>
      <c r="N131" s="31"/>
      <c r="O131" s="31"/>
      <c r="P131" s="31"/>
      <c r="Q131" s="31"/>
      <c r="R131" s="31"/>
      <c r="S131" s="31"/>
      <c r="T131" s="28">
        <f t="shared" si="2"/>
        <v>0</v>
      </c>
      <c r="U131" s="28"/>
      <c r="W131" s="29" t="str">
        <f t="array" ref="W131">MID(";"&amp;'CASE DATA'!$F131&amp;";",SMALL(IF(ISERROR(SEARCH(MID(";"&amp;'CASE DATA'!$F131&amp;";",ROW($1:$99),1),";")),"",ROW($1:$99)+1),COLUMN(A131)),SMALL(IF(ISERROR(SEARCH(MID(";"&amp;'CASE DATA'!$F131&amp;";",ROW($1:$99),1),";")),"",ROW($1:$99)),COLUMN(A130)+1)-SMALL(IF(ISERROR(SEARCH(MID(";"&amp;'CASE DATA'!$F131&amp;";",ROW($1:$99),1),";")),"",ROW($1:$99)),COLUMN(A130))-1)</f>
        <v/>
      </c>
      <c r="X131" s="29" t="str">
        <f t="array" ref="X131">MID(";"&amp;'CASE DATA'!$F131&amp;";",SMALL(IF(ISERROR(SEARCH(MID(";"&amp;'CASE DATA'!$F131&amp;";",ROW($1:$99),1),";")),"",ROW($1:$99)+1),COLUMN(B131)),SMALL(IF(ISERROR(SEARCH(MID(";"&amp;'CASE DATA'!$F131&amp;";",ROW($1:$99),1),";")),"",ROW($1:$99)),COLUMN(B130)+1)-SMALL(IF(ISERROR(SEARCH(MID(";"&amp;'CASE DATA'!$F131&amp;";",ROW($1:$99),1),";")),"",ROW($1:$99)),COLUMN(B130))-1)</f>
        <v/>
      </c>
      <c r="Y131" s="29" t="str">
        <f t="array" ref="Y131">MID(";"&amp;'CASE DATA'!$F131&amp;";",SMALL(IF(ISERROR(SEARCH(MID(";"&amp;'CASE DATA'!$F131&amp;";",ROW($1:$99),1),";")),"",ROW($1:$99)+1),COLUMN(D131)),SMALL(IF(ISERROR(SEARCH(MID(";"&amp;'CASE DATA'!$F131&amp;";",ROW($1:$99),1),";")),"",ROW($1:$99)),COLUMN(D130)+1)-SMALL(IF(ISERROR(SEARCH(MID(";"&amp;'CASE DATA'!$F131&amp;";",ROW($1:$99),1),";")),"",ROW($1:$99)),COLUMN(D130))-1)</f>
        <v/>
      </c>
      <c r="Z131" s="29" t="str">
        <f t="array" ref="Z131">MID(";"&amp;'CASE DATA'!$F131&amp;";",SMALL(IF(ISERROR(SEARCH(MID(";"&amp;'CASE DATA'!$F131&amp;";",ROW($1:$99),1),";")),"",ROW($1:$99)+1),COLUMN(E131)),SMALL(IF(ISERROR(SEARCH(MID(";"&amp;'CASE DATA'!$F131&amp;";",ROW($1:$99),1),";")),"",ROW($1:$99)),COLUMN(E130)+1)-SMALL(IF(ISERROR(SEARCH(MID(";"&amp;'CASE DATA'!$F131&amp;";",ROW($1:$99),1),";")),"",ROW($1:$99)),COLUMN(E130))-1)</f>
        <v/>
      </c>
      <c r="AA131" s="29" t="str">
        <f t="array" ref="AA131">MID(";"&amp;'CASE DATA'!$F131&amp;";",SMALL(IF(ISERROR(SEARCH(MID(";"&amp;'CASE DATA'!$F131&amp;";",ROW($1:$99),1),";")),"",ROW($1:$99)+1),COLUMN(F131)),SMALL(IF(ISERROR(SEARCH(MID(";"&amp;'CASE DATA'!$F131&amp;";",ROW($1:$99),1),";")),"",ROW($1:$99)),COLUMN(F130)+1)-SMALL(IF(ISERROR(SEARCH(MID(";"&amp;'CASE DATA'!$F131&amp;";",ROW($1:$99),1),";")),"",ROW($1:$99)),COLUMN(F130))-1)</f>
        <v/>
      </c>
      <c r="AB131" s="29" t="str">
        <f t="array" ref="AB131">MID(";"&amp;'CASE DATA'!$F131&amp;";",SMALL(IF(ISERROR(SEARCH(MID(";"&amp;'CASE DATA'!$F131&amp;";",ROW($1:$99),1),";")),"",ROW($1:$99)+1),COLUMN(G131)),SMALL(IF(ISERROR(SEARCH(MID(";"&amp;'CASE DATA'!$F131&amp;";",ROW($1:$99),1),";")),"",ROW($1:$99)),COLUMN(G130)+1)-SMALL(IF(ISERROR(SEARCH(MID(";"&amp;'CASE DATA'!$F131&amp;";",ROW($1:$99),1),";")),"",ROW($1:$99)),COLUMN(G130))-1)</f>
        <v/>
      </c>
      <c r="AC131" s="29" t="str">
        <f t="array" ref="AC131">MID(";"&amp;'CASE DATA'!$F131&amp;";",SMALL(IF(ISERROR(SEARCH(MID(";"&amp;'CASE DATA'!$F131&amp;";",ROW($1:$99),1),";")),"",ROW($1:$99)+1),COLUMN(H131)),SMALL(IF(ISERROR(SEARCH(MID(";"&amp;'CASE DATA'!$F131&amp;";",ROW($1:$99),1),";")),"",ROW($1:$99)),COLUMN(H130)+1)-SMALL(IF(ISERROR(SEARCH(MID(";"&amp;'CASE DATA'!$F131&amp;";",ROW($1:$99),1),";")),"",ROW($1:$99)),COLUMN(H130))-1)</f>
        <v/>
      </c>
      <c r="AD131" s="29" t="str">
        <f t="array" ref="AD131">MID(";"&amp;'CASE DATA'!$F131&amp;";",SMALL(IF(ISERROR(SEARCH(MID(";"&amp;'CASE DATA'!$F131&amp;";",ROW($1:$99),1),";")),"",ROW($1:$99)+1),COLUMN(I131)),SMALL(IF(ISERROR(SEARCH(MID(";"&amp;'CASE DATA'!$F131&amp;";",ROW($1:$99),1),";")),"",ROW($1:$99)),COLUMN(I130)+1)-SMALL(IF(ISERROR(SEARCH(MID(";"&amp;'CASE DATA'!$F131&amp;";",ROW($1:$99),1),";")),"",ROW($1:$99)),COLUMN(I130))-1)</f>
        <v/>
      </c>
      <c r="AE131" s="29" t="str">
        <f t="array" ref="AE131">MID(";"&amp;'CASE DATA'!$F131&amp;";",SMALL(IF(ISERROR(SEARCH(MID(";"&amp;'CASE DATA'!$F131&amp;";",ROW($1:$99),1),";")),"",ROW($1:$99)+1),COLUMN(J131)),SMALL(IF(ISERROR(SEARCH(MID(";"&amp;'CASE DATA'!$F131&amp;";",ROW($1:$99),1),";")),"",ROW($1:$99)),COLUMN(J130)+1)-SMALL(IF(ISERROR(SEARCH(MID(";"&amp;'CASE DATA'!$F131&amp;";",ROW($1:$99),1),";")),"",ROW($1:$99)),COLUMN(J130))-1)</f>
        <v/>
      </c>
      <c r="AF131" s="29" t="str">
        <f t="array" ref="AF131">MID(";"&amp;'CASE DATA'!$F131&amp;";",SMALL(IF(ISERROR(SEARCH(MID(";"&amp;'CASE DATA'!$F131&amp;";",ROW($1:$99),1),";")),"",ROW($1:$99)+1),COLUMN(K131)),SMALL(IF(ISERROR(SEARCH(MID(";"&amp;'CASE DATA'!$F131&amp;";",ROW($1:$99),1),";")),"",ROW($1:$99)),COLUMN(K130)+1)-SMALL(IF(ISERROR(SEARCH(MID(";"&amp;'CASE DATA'!$F131&amp;";",ROW($1:$99),1),";")),"",ROW($1:$99)),COLUMN(K130))-1)</f>
        <v/>
      </c>
      <c r="AG131" s="29" t="str">
        <f t="array" ref="AG131">MID(";"&amp;'CASE DATA'!$F131&amp;";",SMALL(IF(ISERROR(SEARCH(MID(";"&amp;'CASE DATA'!$F131&amp;";",ROW($1:$99),1),";")),"",ROW($1:$99)+1),COLUMN(L131)),SMALL(IF(ISERROR(SEARCH(MID(";"&amp;'CASE DATA'!$F131&amp;";",ROW($1:$99),1),";")),"",ROW($1:$99)),COLUMN(L130)+1)-SMALL(IF(ISERROR(SEARCH(MID(";"&amp;'CASE DATA'!$F131&amp;";",ROW($1:$99),1),";")),"",ROW($1:$99)),COLUMN(L130))-1)</f>
        <v/>
      </c>
      <c r="AH131" s="29"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24"/>
      <c r="D132" s="24"/>
      <c r="E132" s="25"/>
      <c r="F132" s="30"/>
      <c r="J132" s="31"/>
      <c r="K132" s="31"/>
      <c r="L132" s="31"/>
      <c r="M132" s="31"/>
      <c r="N132" s="31"/>
      <c r="O132" s="31"/>
      <c r="P132" s="31"/>
      <c r="Q132" s="31"/>
      <c r="R132" s="31"/>
      <c r="S132" s="31"/>
      <c r="T132" s="28">
        <f t="shared" ref="T132:T195" si="3">SUM(J132:S132)</f>
        <v>0</v>
      </c>
      <c r="U132" s="28"/>
      <c r="W132" s="29" t="str">
        <f t="array" ref="W132">MID(";"&amp;'CASE DATA'!$F132&amp;";",SMALL(IF(ISERROR(SEARCH(MID(";"&amp;'CASE DATA'!$F132&amp;";",ROW($1:$99),1),";")),"",ROW($1:$99)+1),COLUMN(A132)),SMALL(IF(ISERROR(SEARCH(MID(";"&amp;'CASE DATA'!$F132&amp;";",ROW($1:$99),1),";")),"",ROW($1:$99)),COLUMN(A131)+1)-SMALL(IF(ISERROR(SEARCH(MID(";"&amp;'CASE DATA'!$F132&amp;";",ROW($1:$99),1),";")),"",ROW($1:$99)),COLUMN(A131))-1)</f>
        <v/>
      </c>
      <c r="X132" s="29" t="str">
        <f t="array" ref="X132">MID(";"&amp;'CASE DATA'!$F132&amp;";",SMALL(IF(ISERROR(SEARCH(MID(";"&amp;'CASE DATA'!$F132&amp;";",ROW($1:$99),1),";")),"",ROW($1:$99)+1),COLUMN(B132)),SMALL(IF(ISERROR(SEARCH(MID(";"&amp;'CASE DATA'!$F132&amp;";",ROW($1:$99),1),";")),"",ROW($1:$99)),COLUMN(B131)+1)-SMALL(IF(ISERROR(SEARCH(MID(";"&amp;'CASE DATA'!$F132&amp;";",ROW($1:$99),1),";")),"",ROW($1:$99)),COLUMN(B131))-1)</f>
        <v/>
      </c>
      <c r="Y132" s="29" t="str">
        <f t="array" ref="Y132">MID(";"&amp;'CASE DATA'!$F132&amp;";",SMALL(IF(ISERROR(SEARCH(MID(";"&amp;'CASE DATA'!$F132&amp;";",ROW($1:$99),1),";")),"",ROW($1:$99)+1),COLUMN(D132)),SMALL(IF(ISERROR(SEARCH(MID(";"&amp;'CASE DATA'!$F132&amp;";",ROW($1:$99),1),";")),"",ROW($1:$99)),COLUMN(D131)+1)-SMALL(IF(ISERROR(SEARCH(MID(";"&amp;'CASE DATA'!$F132&amp;";",ROW($1:$99),1),";")),"",ROW($1:$99)),COLUMN(D131))-1)</f>
        <v/>
      </c>
      <c r="Z132" s="29" t="str">
        <f t="array" ref="Z132">MID(";"&amp;'CASE DATA'!$F132&amp;";",SMALL(IF(ISERROR(SEARCH(MID(";"&amp;'CASE DATA'!$F132&amp;";",ROW($1:$99),1),";")),"",ROW($1:$99)+1),COLUMN(E132)),SMALL(IF(ISERROR(SEARCH(MID(";"&amp;'CASE DATA'!$F132&amp;";",ROW($1:$99),1),";")),"",ROW($1:$99)),COLUMN(E131)+1)-SMALL(IF(ISERROR(SEARCH(MID(";"&amp;'CASE DATA'!$F132&amp;";",ROW($1:$99),1),";")),"",ROW($1:$99)),COLUMN(E131))-1)</f>
        <v/>
      </c>
      <c r="AA132" s="29" t="str">
        <f t="array" ref="AA132">MID(";"&amp;'CASE DATA'!$F132&amp;";",SMALL(IF(ISERROR(SEARCH(MID(";"&amp;'CASE DATA'!$F132&amp;";",ROW($1:$99),1),";")),"",ROW($1:$99)+1),COLUMN(F132)),SMALL(IF(ISERROR(SEARCH(MID(";"&amp;'CASE DATA'!$F132&amp;";",ROW($1:$99),1),";")),"",ROW($1:$99)),COLUMN(F131)+1)-SMALL(IF(ISERROR(SEARCH(MID(";"&amp;'CASE DATA'!$F132&amp;";",ROW($1:$99),1),";")),"",ROW($1:$99)),COLUMN(F131))-1)</f>
        <v/>
      </c>
      <c r="AB132" s="29" t="str">
        <f t="array" ref="AB132">MID(";"&amp;'CASE DATA'!$F132&amp;";",SMALL(IF(ISERROR(SEARCH(MID(";"&amp;'CASE DATA'!$F132&amp;";",ROW($1:$99),1),";")),"",ROW($1:$99)+1),COLUMN(G132)),SMALL(IF(ISERROR(SEARCH(MID(";"&amp;'CASE DATA'!$F132&amp;";",ROW($1:$99),1),";")),"",ROW($1:$99)),COLUMN(G131)+1)-SMALL(IF(ISERROR(SEARCH(MID(";"&amp;'CASE DATA'!$F132&amp;";",ROW($1:$99),1),";")),"",ROW($1:$99)),COLUMN(G131))-1)</f>
        <v/>
      </c>
      <c r="AC132" s="29" t="str">
        <f t="array" ref="AC132">MID(";"&amp;'CASE DATA'!$F132&amp;";",SMALL(IF(ISERROR(SEARCH(MID(";"&amp;'CASE DATA'!$F132&amp;";",ROW($1:$99),1),";")),"",ROW($1:$99)+1),COLUMN(H132)),SMALL(IF(ISERROR(SEARCH(MID(";"&amp;'CASE DATA'!$F132&amp;";",ROW($1:$99),1),";")),"",ROW($1:$99)),COLUMN(H131)+1)-SMALL(IF(ISERROR(SEARCH(MID(";"&amp;'CASE DATA'!$F132&amp;";",ROW($1:$99),1),";")),"",ROW($1:$99)),COLUMN(H131))-1)</f>
        <v/>
      </c>
      <c r="AD132" s="29" t="str">
        <f t="array" ref="AD132">MID(";"&amp;'CASE DATA'!$F132&amp;";",SMALL(IF(ISERROR(SEARCH(MID(";"&amp;'CASE DATA'!$F132&amp;";",ROW($1:$99),1),";")),"",ROW($1:$99)+1),COLUMN(I132)),SMALL(IF(ISERROR(SEARCH(MID(";"&amp;'CASE DATA'!$F132&amp;";",ROW($1:$99),1),";")),"",ROW($1:$99)),COLUMN(I131)+1)-SMALL(IF(ISERROR(SEARCH(MID(";"&amp;'CASE DATA'!$F132&amp;";",ROW($1:$99),1),";")),"",ROW($1:$99)),COLUMN(I131))-1)</f>
        <v/>
      </c>
      <c r="AE132" s="29" t="str">
        <f t="array" ref="AE132">MID(";"&amp;'CASE DATA'!$F132&amp;";",SMALL(IF(ISERROR(SEARCH(MID(";"&amp;'CASE DATA'!$F132&amp;";",ROW($1:$99),1),";")),"",ROW($1:$99)+1),COLUMN(J132)),SMALL(IF(ISERROR(SEARCH(MID(";"&amp;'CASE DATA'!$F132&amp;";",ROW($1:$99),1),";")),"",ROW($1:$99)),COLUMN(J131)+1)-SMALL(IF(ISERROR(SEARCH(MID(";"&amp;'CASE DATA'!$F132&amp;";",ROW($1:$99),1),";")),"",ROW($1:$99)),COLUMN(J131))-1)</f>
        <v/>
      </c>
      <c r="AF132" s="29" t="str">
        <f t="array" ref="AF132">MID(";"&amp;'CASE DATA'!$F132&amp;";",SMALL(IF(ISERROR(SEARCH(MID(";"&amp;'CASE DATA'!$F132&amp;";",ROW($1:$99),1),";")),"",ROW($1:$99)+1),COLUMN(K132)),SMALL(IF(ISERROR(SEARCH(MID(";"&amp;'CASE DATA'!$F132&amp;";",ROW($1:$99),1),";")),"",ROW($1:$99)),COLUMN(K131)+1)-SMALL(IF(ISERROR(SEARCH(MID(";"&amp;'CASE DATA'!$F132&amp;";",ROW($1:$99),1),";")),"",ROW($1:$99)),COLUMN(K131))-1)</f>
        <v/>
      </c>
      <c r="AG132" s="29" t="str">
        <f t="array" ref="AG132">MID(";"&amp;'CASE DATA'!$F132&amp;";",SMALL(IF(ISERROR(SEARCH(MID(";"&amp;'CASE DATA'!$F132&amp;";",ROW($1:$99),1),";")),"",ROW($1:$99)+1),COLUMN(L132)),SMALL(IF(ISERROR(SEARCH(MID(";"&amp;'CASE DATA'!$F132&amp;";",ROW($1:$99),1),";")),"",ROW($1:$99)),COLUMN(L131)+1)-SMALL(IF(ISERROR(SEARCH(MID(";"&amp;'CASE DATA'!$F132&amp;";",ROW($1:$99),1),";")),"",ROW($1:$99)),COLUMN(L131))-1)</f>
        <v/>
      </c>
      <c r="AH132" s="29"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24"/>
      <c r="D133" s="24"/>
      <c r="E133" s="25"/>
      <c r="F133" s="30"/>
      <c r="J133" s="31"/>
      <c r="K133" s="31"/>
      <c r="L133" s="31"/>
      <c r="M133" s="31"/>
      <c r="N133" s="31"/>
      <c r="O133" s="31"/>
      <c r="P133" s="31"/>
      <c r="Q133" s="31"/>
      <c r="R133" s="31"/>
      <c r="S133" s="31"/>
      <c r="T133" s="28">
        <f t="shared" si="3"/>
        <v>0</v>
      </c>
      <c r="U133" s="28"/>
      <c r="W133" s="29" t="str">
        <f t="array" ref="W133">MID(";"&amp;'CASE DATA'!$F133&amp;";",SMALL(IF(ISERROR(SEARCH(MID(";"&amp;'CASE DATA'!$F133&amp;";",ROW($1:$99),1),";")),"",ROW($1:$99)+1),COLUMN(A133)),SMALL(IF(ISERROR(SEARCH(MID(";"&amp;'CASE DATA'!$F133&amp;";",ROW($1:$99),1),";")),"",ROW($1:$99)),COLUMN(A132)+1)-SMALL(IF(ISERROR(SEARCH(MID(";"&amp;'CASE DATA'!$F133&amp;";",ROW($1:$99),1),";")),"",ROW($1:$99)),COLUMN(A132))-1)</f>
        <v/>
      </c>
      <c r="X133" s="29" t="str">
        <f t="array" ref="X133">MID(";"&amp;'CASE DATA'!$F133&amp;";",SMALL(IF(ISERROR(SEARCH(MID(";"&amp;'CASE DATA'!$F133&amp;";",ROW($1:$99),1),";")),"",ROW($1:$99)+1),COLUMN(B133)),SMALL(IF(ISERROR(SEARCH(MID(";"&amp;'CASE DATA'!$F133&amp;";",ROW($1:$99),1),";")),"",ROW($1:$99)),COLUMN(B132)+1)-SMALL(IF(ISERROR(SEARCH(MID(";"&amp;'CASE DATA'!$F133&amp;";",ROW($1:$99),1),";")),"",ROW($1:$99)),COLUMN(B132))-1)</f>
        <v/>
      </c>
      <c r="Y133" s="29" t="str">
        <f t="array" ref="Y133">MID(";"&amp;'CASE DATA'!$F133&amp;";",SMALL(IF(ISERROR(SEARCH(MID(";"&amp;'CASE DATA'!$F133&amp;";",ROW($1:$99),1),";")),"",ROW($1:$99)+1),COLUMN(D133)),SMALL(IF(ISERROR(SEARCH(MID(";"&amp;'CASE DATA'!$F133&amp;";",ROW($1:$99),1),";")),"",ROW($1:$99)),COLUMN(D132)+1)-SMALL(IF(ISERROR(SEARCH(MID(";"&amp;'CASE DATA'!$F133&amp;";",ROW($1:$99),1),";")),"",ROW($1:$99)),COLUMN(D132))-1)</f>
        <v/>
      </c>
      <c r="Z133" s="29" t="str">
        <f t="array" ref="Z133">MID(";"&amp;'CASE DATA'!$F133&amp;";",SMALL(IF(ISERROR(SEARCH(MID(";"&amp;'CASE DATA'!$F133&amp;";",ROW($1:$99),1),";")),"",ROW($1:$99)+1),COLUMN(E133)),SMALL(IF(ISERROR(SEARCH(MID(";"&amp;'CASE DATA'!$F133&amp;";",ROW($1:$99),1),";")),"",ROW($1:$99)),COLUMN(E132)+1)-SMALL(IF(ISERROR(SEARCH(MID(";"&amp;'CASE DATA'!$F133&amp;";",ROW($1:$99),1),";")),"",ROW($1:$99)),COLUMN(E132))-1)</f>
        <v/>
      </c>
      <c r="AA133" s="29" t="str">
        <f t="array" ref="AA133">MID(";"&amp;'CASE DATA'!$F133&amp;";",SMALL(IF(ISERROR(SEARCH(MID(";"&amp;'CASE DATA'!$F133&amp;";",ROW($1:$99),1),";")),"",ROW($1:$99)+1),COLUMN(F133)),SMALL(IF(ISERROR(SEARCH(MID(";"&amp;'CASE DATA'!$F133&amp;";",ROW($1:$99),1),";")),"",ROW($1:$99)),COLUMN(F132)+1)-SMALL(IF(ISERROR(SEARCH(MID(";"&amp;'CASE DATA'!$F133&amp;";",ROW($1:$99),1),";")),"",ROW($1:$99)),COLUMN(F132))-1)</f>
        <v/>
      </c>
      <c r="AB133" s="29" t="str">
        <f t="array" ref="AB133">MID(";"&amp;'CASE DATA'!$F133&amp;";",SMALL(IF(ISERROR(SEARCH(MID(";"&amp;'CASE DATA'!$F133&amp;";",ROW($1:$99),1),";")),"",ROW($1:$99)+1),COLUMN(G133)),SMALL(IF(ISERROR(SEARCH(MID(";"&amp;'CASE DATA'!$F133&amp;";",ROW($1:$99),1),";")),"",ROW($1:$99)),COLUMN(G132)+1)-SMALL(IF(ISERROR(SEARCH(MID(";"&amp;'CASE DATA'!$F133&amp;";",ROW($1:$99),1),";")),"",ROW($1:$99)),COLUMN(G132))-1)</f>
        <v/>
      </c>
      <c r="AC133" s="29" t="str">
        <f t="array" ref="AC133">MID(";"&amp;'CASE DATA'!$F133&amp;";",SMALL(IF(ISERROR(SEARCH(MID(";"&amp;'CASE DATA'!$F133&amp;";",ROW($1:$99),1),";")),"",ROW($1:$99)+1),COLUMN(H133)),SMALL(IF(ISERROR(SEARCH(MID(";"&amp;'CASE DATA'!$F133&amp;";",ROW($1:$99),1),";")),"",ROW($1:$99)),COLUMN(H132)+1)-SMALL(IF(ISERROR(SEARCH(MID(";"&amp;'CASE DATA'!$F133&amp;";",ROW($1:$99),1),";")),"",ROW($1:$99)),COLUMN(H132))-1)</f>
        <v/>
      </c>
      <c r="AD133" s="29" t="str">
        <f t="array" ref="AD133">MID(";"&amp;'CASE DATA'!$F133&amp;";",SMALL(IF(ISERROR(SEARCH(MID(";"&amp;'CASE DATA'!$F133&amp;";",ROW($1:$99),1),";")),"",ROW($1:$99)+1),COLUMN(I133)),SMALL(IF(ISERROR(SEARCH(MID(";"&amp;'CASE DATA'!$F133&amp;";",ROW($1:$99),1),";")),"",ROW($1:$99)),COLUMN(I132)+1)-SMALL(IF(ISERROR(SEARCH(MID(";"&amp;'CASE DATA'!$F133&amp;";",ROW($1:$99),1),";")),"",ROW($1:$99)),COLUMN(I132))-1)</f>
        <v/>
      </c>
      <c r="AE133" s="29" t="str">
        <f t="array" ref="AE133">MID(";"&amp;'CASE DATA'!$F133&amp;";",SMALL(IF(ISERROR(SEARCH(MID(";"&amp;'CASE DATA'!$F133&amp;";",ROW($1:$99),1),";")),"",ROW($1:$99)+1),COLUMN(J133)),SMALL(IF(ISERROR(SEARCH(MID(";"&amp;'CASE DATA'!$F133&amp;";",ROW($1:$99),1),";")),"",ROW($1:$99)),COLUMN(J132)+1)-SMALL(IF(ISERROR(SEARCH(MID(";"&amp;'CASE DATA'!$F133&amp;";",ROW($1:$99),1),";")),"",ROW($1:$99)),COLUMN(J132))-1)</f>
        <v/>
      </c>
      <c r="AF133" s="29" t="str">
        <f t="array" ref="AF133">MID(";"&amp;'CASE DATA'!$F133&amp;";",SMALL(IF(ISERROR(SEARCH(MID(";"&amp;'CASE DATA'!$F133&amp;";",ROW($1:$99),1),";")),"",ROW($1:$99)+1),COLUMN(K133)),SMALL(IF(ISERROR(SEARCH(MID(";"&amp;'CASE DATA'!$F133&amp;";",ROW($1:$99),1),";")),"",ROW($1:$99)),COLUMN(K132)+1)-SMALL(IF(ISERROR(SEARCH(MID(";"&amp;'CASE DATA'!$F133&amp;";",ROW($1:$99),1),";")),"",ROW($1:$99)),COLUMN(K132))-1)</f>
        <v/>
      </c>
      <c r="AG133" s="29" t="str">
        <f t="array" ref="AG133">MID(";"&amp;'CASE DATA'!$F133&amp;";",SMALL(IF(ISERROR(SEARCH(MID(";"&amp;'CASE DATA'!$F133&amp;";",ROW($1:$99),1),";")),"",ROW($1:$99)+1),COLUMN(L133)),SMALL(IF(ISERROR(SEARCH(MID(";"&amp;'CASE DATA'!$F133&amp;";",ROW($1:$99),1),";")),"",ROW($1:$99)),COLUMN(L132)+1)-SMALL(IF(ISERROR(SEARCH(MID(";"&amp;'CASE DATA'!$F133&amp;";",ROW($1:$99),1),";")),"",ROW($1:$99)),COLUMN(L132))-1)</f>
        <v/>
      </c>
      <c r="AH133" s="29"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24"/>
      <c r="D134" s="24"/>
      <c r="E134" s="25"/>
      <c r="F134" s="30"/>
      <c r="J134" s="31"/>
      <c r="K134" s="31"/>
      <c r="L134" s="31"/>
      <c r="M134" s="31"/>
      <c r="N134" s="31"/>
      <c r="O134" s="31"/>
      <c r="P134" s="31"/>
      <c r="Q134" s="31"/>
      <c r="R134" s="31"/>
      <c r="S134" s="31"/>
      <c r="T134" s="28">
        <f t="shared" si="3"/>
        <v>0</v>
      </c>
      <c r="U134" s="28"/>
      <c r="W134" s="29" t="str">
        <f t="array" ref="W134">MID(";"&amp;'CASE DATA'!$F134&amp;";",SMALL(IF(ISERROR(SEARCH(MID(";"&amp;'CASE DATA'!$F134&amp;";",ROW($1:$99),1),";")),"",ROW($1:$99)+1),COLUMN(A134)),SMALL(IF(ISERROR(SEARCH(MID(";"&amp;'CASE DATA'!$F134&amp;";",ROW($1:$99),1),";")),"",ROW($1:$99)),COLUMN(A133)+1)-SMALL(IF(ISERROR(SEARCH(MID(";"&amp;'CASE DATA'!$F134&amp;";",ROW($1:$99),1),";")),"",ROW($1:$99)),COLUMN(A133))-1)</f>
        <v/>
      </c>
      <c r="X134" s="29" t="str">
        <f t="array" ref="X134">MID(";"&amp;'CASE DATA'!$F134&amp;";",SMALL(IF(ISERROR(SEARCH(MID(";"&amp;'CASE DATA'!$F134&amp;";",ROW($1:$99),1),";")),"",ROW($1:$99)+1),COLUMN(B134)),SMALL(IF(ISERROR(SEARCH(MID(";"&amp;'CASE DATA'!$F134&amp;";",ROW($1:$99),1),";")),"",ROW($1:$99)),COLUMN(B133)+1)-SMALL(IF(ISERROR(SEARCH(MID(";"&amp;'CASE DATA'!$F134&amp;";",ROW($1:$99),1),";")),"",ROW($1:$99)),COLUMN(B133))-1)</f>
        <v/>
      </c>
      <c r="Y134" s="29" t="str">
        <f t="array" ref="Y134">MID(";"&amp;'CASE DATA'!$F134&amp;";",SMALL(IF(ISERROR(SEARCH(MID(";"&amp;'CASE DATA'!$F134&amp;";",ROW($1:$99),1),";")),"",ROW($1:$99)+1),COLUMN(D134)),SMALL(IF(ISERROR(SEARCH(MID(";"&amp;'CASE DATA'!$F134&amp;";",ROW($1:$99),1),";")),"",ROW($1:$99)),COLUMN(D133)+1)-SMALL(IF(ISERROR(SEARCH(MID(";"&amp;'CASE DATA'!$F134&amp;";",ROW($1:$99),1),";")),"",ROW($1:$99)),COLUMN(D133))-1)</f>
        <v/>
      </c>
      <c r="Z134" s="29" t="str">
        <f t="array" ref="Z134">MID(";"&amp;'CASE DATA'!$F134&amp;";",SMALL(IF(ISERROR(SEARCH(MID(";"&amp;'CASE DATA'!$F134&amp;";",ROW($1:$99),1),";")),"",ROW($1:$99)+1),COLUMN(E134)),SMALL(IF(ISERROR(SEARCH(MID(";"&amp;'CASE DATA'!$F134&amp;";",ROW($1:$99),1),";")),"",ROW($1:$99)),COLUMN(E133)+1)-SMALL(IF(ISERROR(SEARCH(MID(";"&amp;'CASE DATA'!$F134&amp;";",ROW($1:$99),1),";")),"",ROW($1:$99)),COLUMN(E133))-1)</f>
        <v/>
      </c>
      <c r="AA134" s="29" t="str">
        <f t="array" ref="AA134">MID(";"&amp;'CASE DATA'!$F134&amp;";",SMALL(IF(ISERROR(SEARCH(MID(";"&amp;'CASE DATA'!$F134&amp;";",ROW($1:$99),1),";")),"",ROW($1:$99)+1),COLUMN(F134)),SMALL(IF(ISERROR(SEARCH(MID(";"&amp;'CASE DATA'!$F134&amp;";",ROW($1:$99),1),";")),"",ROW($1:$99)),COLUMN(F133)+1)-SMALL(IF(ISERROR(SEARCH(MID(";"&amp;'CASE DATA'!$F134&amp;";",ROW($1:$99),1),";")),"",ROW($1:$99)),COLUMN(F133))-1)</f>
        <v/>
      </c>
      <c r="AB134" s="29" t="str">
        <f t="array" ref="AB134">MID(";"&amp;'CASE DATA'!$F134&amp;";",SMALL(IF(ISERROR(SEARCH(MID(";"&amp;'CASE DATA'!$F134&amp;";",ROW($1:$99),1),";")),"",ROW($1:$99)+1),COLUMN(G134)),SMALL(IF(ISERROR(SEARCH(MID(";"&amp;'CASE DATA'!$F134&amp;";",ROW($1:$99),1),";")),"",ROW($1:$99)),COLUMN(G133)+1)-SMALL(IF(ISERROR(SEARCH(MID(";"&amp;'CASE DATA'!$F134&amp;";",ROW($1:$99),1),";")),"",ROW($1:$99)),COLUMN(G133))-1)</f>
        <v/>
      </c>
      <c r="AC134" s="29" t="str">
        <f t="array" ref="AC134">MID(";"&amp;'CASE DATA'!$F134&amp;";",SMALL(IF(ISERROR(SEARCH(MID(";"&amp;'CASE DATA'!$F134&amp;";",ROW($1:$99),1),";")),"",ROW($1:$99)+1),COLUMN(H134)),SMALL(IF(ISERROR(SEARCH(MID(";"&amp;'CASE DATA'!$F134&amp;";",ROW($1:$99),1),";")),"",ROW($1:$99)),COLUMN(H133)+1)-SMALL(IF(ISERROR(SEARCH(MID(";"&amp;'CASE DATA'!$F134&amp;";",ROW($1:$99),1),";")),"",ROW($1:$99)),COLUMN(H133))-1)</f>
        <v/>
      </c>
      <c r="AD134" s="29" t="str">
        <f t="array" ref="AD134">MID(";"&amp;'CASE DATA'!$F134&amp;";",SMALL(IF(ISERROR(SEARCH(MID(";"&amp;'CASE DATA'!$F134&amp;";",ROW($1:$99),1),";")),"",ROW($1:$99)+1),COLUMN(I134)),SMALL(IF(ISERROR(SEARCH(MID(";"&amp;'CASE DATA'!$F134&amp;";",ROW($1:$99),1),";")),"",ROW($1:$99)),COLUMN(I133)+1)-SMALL(IF(ISERROR(SEARCH(MID(";"&amp;'CASE DATA'!$F134&amp;";",ROW($1:$99),1),";")),"",ROW($1:$99)),COLUMN(I133))-1)</f>
        <v/>
      </c>
      <c r="AE134" s="29" t="str">
        <f t="array" ref="AE134">MID(";"&amp;'CASE DATA'!$F134&amp;";",SMALL(IF(ISERROR(SEARCH(MID(";"&amp;'CASE DATA'!$F134&amp;";",ROW($1:$99),1),";")),"",ROW($1:$99)+1),COLUMN(J134)),SMALL(IF(ISERROR(SEARCH(MID(";"&amp;'CASE DATA'!$F134&amp;";",ROW($1:$99),1),";")),"",ROW($1:$99)),COLUMN(J133)+1)-SMALL(IF(ISERROR(SEARCH(MID(";"&amp;'CASE DATA'!$F134&amp;";",ROW($1:$99),1),";")),"",ROW($1:$99)),COLUMN(J133))-1)</f>
        <v/>
      </c>
      <c r="AF134" s="29" t="str">
        <f t="array" ref="AF134">MID(";"&amp;'CASE DATA'!$F134&amp;";",SMALL(IF(ISERROR(SEARCH(MID(";"&amp;'CASE DATA'!$F134&amp;";",ROW($1:$99),1),";")),"",ROW($1:$99)+1),COLUMN(K134)),SMALL(IF(ISERROR(SEARCH(MID(";"&amp;'CASE DATA'!$F134&amp;";",ROW($1:$99),1),";")),"",ROW($1:$99)),COLUMN(K133)+1)-SMALL(IF(ISERROR(SEARCH(MID(";"&amp;'CASE DATA'!$F134&amp;";",ROW($1:$99),1),";")),"",ROW($1:$99)),COLUMN(K133))-1)</f>
        <v/>
      </c>
      <c r="AG134" s="29" t="str">
        <f t="array" ref="AG134">MID(";"&amp;'CASE DATA'!$F134&amp;";",SMALL(IF(ISERROR(SEARCH(MID(";"&amp;'CASE DATA'!$F134&amp;";",ROW($1:$99),1),";")),"",ROW($1:$99)+1),COLUMN(L134)),SMALL(IF(ISERROR(SEARCH(MID(";"&amp;'CASE DATA'!$F134&amp;";",ROW($1:$99),1),";")),"",ROW($1:$99)),COLUMN(L133)+1)-SMALL(IF(ISERROR(SEARCH(MID(";"&amp;'CASE DATA'!$F134&amp;";",ROW($1:$99),1),";")),"",ROW($1:$99)),COLUMN(L133))-1)</f>
        <v/>
      </c>
      <c r="AH134" s="29"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24"/>
      <c r="D135" s="24"/>
      <c r="E135" s="25"/>
      <c r="F135" s="30"/>
      <c r="J135" s="31"/>
      <c r="K135" s="31"/>
      <c r="L135" s="31"/>
      <c r="M135" s="31"/>
      <c r="N135" s="31"/>
      <c r="O135" s="31"/>
      <c r="P135" s="31"/>
      <c r="Q135" s="31"/>
      <c r="R135" s="31"/>
      <c r="S135" s="31"/>
      <c r="T135" s="28">
        <f t="shared" si="3"/>
        <v>0</v>
      </c>
      <c r="U135" s="28"/>
      <c r="W135" s="29" t="str">
        <f t="array" ref="W135">MID(";"&amp;'CASE DATA'!$F135&amp;";",SMALL(IF(ISERROR(SEARCH(MID(";"&amp;'CASE DATA'!$F135&amp;";",ROW($1:$99),1),";")),"",ROW($1:$99)+1),COLUMN(A135)),SMALL(IF(ISERROR(SEARCH(MID(";"&amp;'CASE DATA'!$F135&amp;";",ROW($1:$99),1),";")),"",ROW($1:$99)),COLUMN(A134)+1)-SMALL(IF(ISERROR(SEARCH(MID(";"&amp;'CASE DATA'!$F135&amp;";",ROW($1:$99),1),";")),"",ROW($1:$99)),COLUMN(A134))-1)</f>
        <v/>
      </c>
      <c r="X135" s="29" t="str">
        <f t="array" ref="X135">MID(";"&amp;'CASE DATA'!$F135&amp;";",SMALL(IF(ISERROR(SEARCH(MID(";"&amp;'CASE DATA'!$F135&amp;";",ROW($1:$99),1),";")),"",ROW($1:$99)+1),COLUMN(B135)),SMALL(IF(ISERROR(SEARCH(MID(";"&amp;'CASE DATA'!$F135&amp;";",ROW($1:$99),1),";")),"",ROW($1:$99)),COLUMN(B134)+1)-SMALL(IF(ISERROR(SEARCH(MID(";"&amp;'CASE DATA'!$F135&amp;";",ROW($1:$99),1),";")),"",ROW($1:$99)),COLUMN(B134))-1)</f>
        <v/>
      </c>
      <c r="Y135" s="29" t="str">
        <f t="array" ref="Y135">MID(";"&amp;'CASE DATA'!$F135&amp;";",SMALL(IF(ISERROR(SEARCH(MID(";"&amp;'CASE DATA'!$F135&amp;";",ROW($1:$99),1),";")),"",ROW($1:$99)+1),COLUMN(D135)),SMALL(IF(ISERROR(SEARCH(MID(";"&amp;'CASE DATA'!$F135&amp;";",ROW($1:$99),1),";")),"",ROW($1:$99)),COLUMN(D134)+1)-SMALL(IF(ISERROR(SEARCH(MID(";"&amp;'CASE DATA'!$F135&amp;";",ROW($1:$99),1),";")),"",ROW($1:$99)),COLUMN(D134))-1)</f>
        <v/>
      </c>
      <c r="Z135" s="29" t="str">
        <f t="array" ref="Z135">MID(";"&amp;'CASE DATA'!$F135&amp;";",SMALL(IF(ISERROR(SEARCH(MID(";"&amp;'CASE DATA'!$F135&amp;";",ROW($1:$99),1),";")),"",ROW($1:$99)+1),COLUMN(E135)),SMALL(IF(ISERROR(SEARCH(MID(";"&amp;'CASE DATA'!$F135&amp;";",ROW($1:$99),1),";")),"",ROW($1:$99)),COLUMN(E134)+1)-SMALL(IF(ISERROR(SEARCH(MID(";"&amp;'CASE DATA'!$F135&amp;";",ROW($1:$99),1),";")),"",ROW($1:$99)),COLUMN(E134))-1)</f>
        <v/>
      </c>
      <c r="AA135" s="29" t="str">
        <f t="array" ref="AA135">MID(";"&amp;'CASE DATA'!$F135&amp;";",SMALL(IF(ISERROR(SEARCH(MID(";"&amp;'CASE DATA'!$F135&amp;";",ROW($1:$99),1),";")),"",ROW($1:$99)+1),COLUMN(F135)),SMALL(IF(ISERROR(SEARCH(MID(";"&amp;'CASE DATA'!$F135&amp;";",ROW($1:$99),1),";")),"",ROW($1:$99)),COLUMN(F134)+1)-SMALL(IF(ISERROR(SEARCH(MID(";"&amp;'CASE DATA'!$F135&amp;";",ROW($1:$99),1),";")),"",ROW($1:$99)),COLUMN(F134))-1)</f>
        <v/>
      </c>
      <c r="AB135" s="29" t="str">
        <f t="array" ref="AB135">MID(";"&amp;'CASE DATA'!$F135&amp;";",SMALL(IF(ISERROR(SEARCH(MID(";"&amp;'CASE DATA'!$F135&amp;";",ROW($1:$99),1),";")),"",ROW($1:$99)+1),COLUMN(G135)),SMALL(IF(ISERROR(SEARCH(MID(";"&amp;'CASE DATA'!$F135&amp;";",ROW($1:$99),1),";")),"",ROW($1:$99)),COLUMN(G134)+1)-SMALL(IF(ISERROR(SEARCH(MID(";"&amp;'CASE DATA'!$F135&amp;";",ROW($1:$99),1),";")),"",ROW($1:$99)),COLUMN(G134))-1)</f>
        <v/>
      </c>
      <c r="AC135" s="29" t="str">
        <f t="array" ref="AC135">MID(";"&amp;'CASE DATA'!$F135&amp;";",SMALL(IF(ISERROR(SEARCH(MID(";"&amp;'CASE DATA'!$F135&amp;";",ROW($1:$99),1),";")),"",ROW($1:$99)+1),COLUMN(H135)),SMALL(IF(ISERROR(SEARCH(MID(";"&amp;'CASE DATA'!$F135&amp;";",ROW($1:$99),1),";")),"",ROW($1:$99)),COLUMN(H134)+1)-SMALL(IF(ISERROR(SEARCH(MID(";"&amp;'CASE DATA'!$F135&amp;";",ROW($1:$99),1),";")),"",ROW($1:$99)),COLUMN(H134))-1)</f>
        <v/>
      </c>
      <c r="AD135" s="29" t="str">
        <f t="array" ref="AD135">MID(";"&amp;'CASE DATA'!$F135&amp;";",SMALL(IF(ISERROR(SEARCH(MID(";"&amp;'CASE DATA'!$F135&amp;";",ROW($1:$99),1),";")),"",ROW($1:$99)+1),COLUMN(I135)),SMALL(IF(ISERROR(SEARCH(MID(";"&amp;'CASE DATA'!$F135&amp;";",ROW($1:$99),1),";")),"",ROW($1:$99)),COLUMN(I134)+1)-SMALL(IF(ISERROR(SEARCH(MID(";"&amp;'CASE DATA'!$F135&amp;";",ROW($1:$99),1),";")),"",ROW($1:$99)),COLUMN(I134))-1)</f>
        <v/>
      </c>
      <c r="AE135" s="29" t="str">
        <f t="array" ref="AE135">MID(";"&amp;'CASE DATA'!$F135&amp;";",SMALL(IF(ISERROR(SEARCH(MID(";"&amp;'CASE DATA'!$F135&amp;";",ROW($1:$99),1),";")),"",ROW($1:$99)+1),COLUMN(J135)),SMALL(IF(ISERROR(SEARCH(MID(";"&amp;'CASE DATA'!$F135&amp;";",ROW($1:$99),1),";")),"",ROW($1:$99)),COLUMN(J134)+1)-SMALL(IF(ISERROR(SEARCH(MID(";"&amp;'CASE DATA'!$F135&amp;";",ROW($1:$99),1),";")),"",ROW($1:$99)),COLUMN(J134))-1)</f>
        <v/>
      </c>
      <c r="AF135" s="29" t="str">
        <f t="array" ref="AF135">MID(";"&amp;'CASE DATA'!$F135&amp;";",SMALL(IF(ISERROR(SEARCH(MID(";"&amp;'CASE DATA'!$F135&amp;";",ROW($1:$99),1),";")),"",ROW($1:$99)+1),COLUMN(K135)),SMALL(IF(ISERROR(SEARCH(MID(";"&amp;'CASE DATA'!$F135&amp;";",ROW($1:$99),1),";")),"",ROW($1:$99)),COLUMN(K134)+1)-SMALL(IF(ISERROR(SEARCH(MID(";"&amp;'CASE DATA'!$F135&amp;";",ROW($1:$99),1),";")),"",ROW($1:$99)),COLUMN(K134))-1)</f>
        <v/>
      </c>
      <c r="AG135" s="29" t="str">
        <f t="array" ref="AG135">MID(";"&amp;'CASE DATA'!$F135&amp;";",SMALL(IF(ISERROR(SEARCH(MID(";"&amp;'CASE DATA'!$F135&amp;";",ROW($1:$99),1),";")),"",ROW($1:$99)+1),COLUMN(L135)),SMALL(IF(ISERROR(SEARCH(MID(";"&amp;'CASE DATA'!$F135&amp;";",ROW($1:$99),1),";")),"",ROW($1:$99)),COLUMN(L134)+1)-SMALL(IF(ISERROR(SEARCH(MID(";"&amp;'CASE DATA'!$F135&amp;";",ROW($1:$99),1),";")),"",ROW($1:$99)),COLUMN(L134))-1)</f>
        <v/>
      </c>
      <c r="AH135" s="29"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24"/>
      <c r="D136" s="24"/>
      <c r="E136" s="25"/>
      <c r="F136" s="30"/>
      <c r="J136" s="31"/>
      <c r="K136" s="31"/>
      <c r="L136" s="31"/>
      <c r="M136" s="31"/>
      <c r="N136" s="31"/>
      <c r="O136" s="31"/>
      <c r="P136" s="31"/>
      <c r="Q136" s="31"/>
      <c r="R136" s="31"/>
      <c r="S136" s="31"/>
      <c r="T136" s="28">
        <f t="shared" si="3"/>
        <v>0</v>
      </c>
      <c r="U136" s="28"/>
      <c r="W136" s="29" t="str">
        <f t="array" ref="W136">MID(";"&amp;'CASE DATA'!$F136&amp;";",SMALL(IF(ISERROR(SEARCH(MID(";"&amp;'CASE DATA'!$F136&amp;";",ROW($1:$99),1),";")),"",ROW($1:$99)+1),COLUMN(A136)),SMALL(IF(ISERROR(SEARCH(MID(";"&amp;'CASE DATA'!$F136&amp;";",ROW($1:$99),1),";")),"",ROW($1:$99)),COLUMN(A135)+1)-SMALL(IF(ISERROR(SEARCH(MID(";"&amp;'CASE DATA'!$F136&amp;";",ROW($1:$99),1),";")),"",ROW($1:$99)),COLUMN(A135))-1)</f>
        <v/>
      </c>
      <c r="X136" s="29" t="str">
        <f t="array" ref="X136">MID(";"&amp;'CASE DATA'!$F136&amp;";",SMALL(IF(ISERROR(SEARCH(MID(";"&amp;'CASE DATA'!$F136&amp;";",ROW($1:$99),1),";")),"",ROW($1:$99)+1),COLUMN(B136)),SMALL(IF(ISERROR(SEARCH(MID(";"&amp;'CASE DATA'!$F136&amp;";",ROW($1:$99),1),";")),"",ROW($1:$99)),COLUMN(B135)+1)-SMALL(IF(ISERROR(SEARCH(MID(";"&amp;'CASE DATA'!$F136&amp;";",ROW($1:$99),1),";")),"",ROW($1:$99)),COLUMN(B135))-1)</f>
        <v/>
      </c>
      <c r="Y136" s="29" t="str">
        <f t="array" ref="Y136">MID(";"&amp;'CASE DATA'!$F136&amp;";",SMALL(IF(ISERROR(SEARCH(MID(";"&amp;'CASE DATA'!$F136&amp;";",ROW($1:$99),1),";")),"",ROW($1:$99)+1),COLUMN(D136)),SMALL(IF(ISERROR(SEARCH(MID(";"&amp;'CASE DATA'!$F136&amp;";",ROW($1:$99),1),";")),"",ROW($1:$99)),COLUMN(D135)+1)-SMALL(IF(ISERROR(SEARCH(MID(";"&amp;'CASE DATA'!$F136&amp;";",ROW($1:$99),1),";")),"",ROW($1:$99)),COLUMN(D135))-1)</f>
        <v/>
      </c>
      <c r="Z136" s="29" t="str">
        <f t="array" ref="Z136">MID(";"&amp;'CASE DATA'!$F136&amp;";",SMALL(IF(ISERROR(SEARCH(MID(";"&amp;'CASE DATA'!$F136&amp;";",ROW($1:$99),1),";")),"",ROW($1:$99)+1),COLUMN(E136)),SMALL(IF(ISERROR(SEARCH(MID(";"&amp;'CASE DATA'!$F136&amp;";",ROW($1:$99),1),";")),"",ROW($1:$99)),COLUMN(E135)+1)-SMALL(IF(ISERROR(SEARCH(MID(";"&amp;'CASE DATA'!$F136&amp;";",ROW($1:$99),1),";")),"",ROW($1:$99)),COLUMN(E135))-1)</f>
        <v/>
      </c>
      <c r="AA136" s="29" t="str">
        <f t="array" ref="AA136">MID(";"&amp;'CASE DATA'!$F136&amp;";",SMALL(IF(ISERROR(SEARCH(MID(";"&amp;'CASE DATA'!$F136&amp;";",ROW($1:$99),1),";")),"",ROW($1:$99)+1),COLUMN(F136)),SMALL(IF(ISERROR(SEARCH(MID(";"&amp;'CASE DATA'!$F136&amp;";",ROW($1:$99),1),";")),"",ROW($1:$99)),COLUMN(F135)+1)-SMALL(IF(ISERROR(SEARCH(MID(";"&amp;'CASE DATA'!$F136&amp;";",ROW($1:$99),1),";")),"",ROW($1:$99)),COLUMN(F135))-1)</f>
        <v/>
      </c>
      <c r="AB136" s="29" t="str">
        <f t="array" ref="AB136">MID(";"&amp;'CASE DATA'!$F136&amp;";",SMALL(IF(ISERROR(SEARCH(MID(";"&amp;'CASE DATA'!$F136&amp;";",ROW($1:$99),1),";")),"",ROW($1:$99)+1),COLUMN(G136)),SMALL(IF(ISERROR(SEARCH(MID(";"&amp;'CASE DATA'!$F136&amp;";",ROW($1:$99),1),";")),"",ROW($1:$99)),COLUMN(G135)+1)-SMALL(IF(ISERROR(SEARCH(MID(";"&amp;'CASE DATA'!$F136&amp;";",ROW($1:$99),1),";")),"",ROW($1:$99)),COLUMN(G135))-1)</f>
        <v/>
      </c>
      <c r="AC136" s="29" t="str">
        <f t="array" ref="AC136">MID(";"&amp;'CASE DATA'!$F136&amp;";",SMALL(IF(ISERROR(SEARCH(MID(";"&amp;'CASE DATA'!$F136&amp;";",ROW($1:$99),1),";")),"",ROW($1:$99)+1),COLUMN(H136)),SMALL(IF(ISERROR(SEARCH(MID(";"&amp;'CASE DATA'!$F136&amp;";",ROW($1:$99),1),";")),"",ROW($1:$99)),COLUMN(H135)+1)-SMALL(IF(ISERROR(SEARCH(MID(";"&amp;'CASE DATA'!$F136&amp;";",ROW($1:$99),1),";")),"",ROW($1:$99)),COLUMN(H135))-1)</f>
        <v/>
      </c>
      <c r="AD136" s="29" t="str">
        <f t="array" ref="AD136">MID(";"&amp;'CASE DATA'!$F136&amp;";",SMALL(IF(ISERROR(SEARCH(MID(";"&amp;'CASE DATA'!$F136&amp;";",ROW($1:$99),1),";")),"",ROW($1:$99)+1),COLUMN(I136)),SMALL(IF(ISERROR(SEARCH(MID(";"&amp;'CASE DATA'!$F136&amp;";",ROW($1:$99),1),";")),"",ROW($1:$99)),COLUMN(I135)+1)-SMALL(IF(ISERROR(SEARCH(MID(";"&amp;'CASE DATA'!$F136&amp;";",ROW($1:$99),1),";")),"",ROW($1:$99)),COLUMN(I135))-1)</f>
        <v/>
      </c>
      <c r="AE136" s="29" t="str">
        <f t="array" ref="AE136">MID(";"&amp;'CASE DATA'!$F136&amp;";",SMALL(IF(ISERROR(SEARCH(MID(";"&amp;'CASE DATA'!$F136&amp;";",ROW($1:$99),1),";")),"",ROW($1:$99)+1),COLUMN(J136)),SMALL(IF(ISERROR(SEARCH(MID(";"&amp;'CASE DATA'!$F136&amp;";",ROW($1:$99),1),";")),"",ROW($1:$99)),COLUMN(J135)+1)-SMALL(IF(ISERROR(SEARCH(MID(";"&amp;'CASE DATA'!$F136&amp;";",ROW($1:$99),1),";")),"",ROW($1:$99)),COLUMN(J135))-1)</f>
        <v/>
      </c>
      <c r="AF136" s="29" t="str">
        <f t="array" ref="AF136">MID(";"&amp;'CASE DATA'!$F136&amp;";",SMALL(IF(ISERROR(SEARCH(MID(";"&amp;'CASE DATA'!$F136&amp;";",ROW($1:$99),1),";")),"",ROW($1:$99)+1),COLUMN(K136)),SMALL(IF(ISERROR(SEARCH(MID(";"&amp;'CASE DATA'!$F136&amp;";",ROW($1:$99),1),";")),"",ROW($1:$99)),COLUMN(K135)+1)-SMALL(IF(ISERROR(SEARCH(MID(";"&amp;'CASE DATA'!$F136&amp;";",ROW($1:$99),1),";")),"",ROW($1:$99)),COLUMN(K135))-1)</f>
        <v/>
      </c>
      <c r="AG136" s="29" t="str">
        <f t="array" ref="AG136">MID(";"&amp;'CASE DATA'!$F136&amp;";",SMALL(IF(ISERROR(SEARCH(MID(";"&amp;'CASE DATA'!$F136&amp;";",ROW($1:$99),1),";")),"",ROW($1:$99)+1),COLUMN(L136)),SMALL(IF(ISERROR(SEARCH(MID(";"&amp;'CASE DATA'!$F136&amp;";",ROW($1:$99),1),";")),"",ROW($1:$99)),COLUMN(L135)+1)-SMALL(IF(ISERROR(SEARCH(MID(";"&amp;'CASE DATA'!$F136&amp;";",ROW($1:$99),1),";")),"",ROW($1:$99)),COLUMN(L135))-1)</f>
        <v/>
      </c>
      <c r="AH136" s="29"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24"/>
      <c r="D137" s="24"/>
      <c r="E137" s="25"/>
      <c r="F137" s="30"/>
      <c r="J137" s="31"/>
      <c r="K137" s="31"/>
      <c r="L137" s="31"/>
      <c r="M137" s="31"/>
      <c r="N137" s="31"/>
      <c r="O137" s="31"/>
      <c r="P137" s="31"/>
      <c r="Q137" s="31"/>
      <c r="R137" s="31"/>
      <c r="S137" s="31"/>
      <c r="T137" s="28">
        <f t="shared" si="3"/>
        <v>0</v>
      </c>
      <c r="U137" s="28"/>
      <c r="W137" s="29" t="str">
        <f t="array" ref="W137">MID(";"&amp;'CASE DATA'!$F137&amp;";",SMALL(IF(ISERROR(SEARCH(MID(";"&amp;'CASE DATA'!$F137&amp;";",ROW($1:$99),1),";")),"",ROW($1:$99)+1),COLUMN(A137)),SMALL(IF(ISERROR(SEARCH(MID(";"&amp;'CASE DATA'!$F137&amp;";",ROW($1:$99),1),";")),"",ROW($1:$99)),COLUMN(A136)+1)-SMALL(IF(ISERROR(SEARCH(MID(";"&amp;'CASE DATA'!$F137&amp;";",ROW($1:$99),1),";")),"",ROW($1:$99)),COLUMN(A136))-1)</f>
        <v/>
      </c>
      <c r="X137" s="29" t="str">
        <f t="array" ref="X137">MID(";"&amp;'CASE DATA'!$F137&amp;";",SMALL(IF(ISERROR(SEARCH(MID(";"&amp;'CASE DATA'!$F137&amp;";",ROW($1:$99),1),";")),"",ROW($1:$99)+1),COLUMN(B137)),SMALL(IF(ISERROR(SEARCH(MID(";"&amp;'CASE DATA'!$F137&amp;";",ROW($1:$99),1),";")),"",ROW($1:$99)),COLUMN(B136)+1)-SMALL(IF(ISERROR(SEARCH(MID(";"&amp;'CASE DATA'!$F137&amp;";",ROW($1:$99),1),";")),"",ROW($1:$99)),COLUMN(B136))-1)</f>
        <v/>
      </c>
      <c r="Y137" s="29" t="str">
        <f t="array" ref="Y137">MID(";"&amp;'CASE DATA'!$F137&amp;";",SMALL(IF(ISERROR(SEARCH(MID(";"&amp;'CASE DATA'!$F137&amp;";",ROW($1:$99),1),";")),"",ROW($1:$99)+1),COLUMN(D137)),SMALL(IF(ISERROR(SEARCH(MID(";"&amp;'CASE DATA'!$F137&amp;";",ROW($1:$99),1),";")),"",ROW($1:$99)),COLUMN(D136)+1)-SMALL(IF(ISERROR(SEARCH(MID(";"&amp;'CASE DATA'!$F137&amp;";",ROW($1:$99),1),";")),"",ROW($1:$99)),COLUMN(D136))-1)</f>
        <v/>
      </c>
      <c r="Z137" s="29" t="str">
        <f t="array" ref="Z137">MID(";"&amp;'CASE DATA'!$F137&amp;";",SMALL(IF(ISERROR(SEARCH(MID(";"&amp;'CASE DATA'!$F137&amp;";",ROW($1:$99),1),";")),"",ROW($1:$99)+1),COLUMN(E137)),SMALL(IF(ISERROR(SEARCH(MID(";"&amp;'CASE DATA'!$F137&amp;";",ROW($1:$99),1),";")),"",ROW($1:$99)),COLUMN(E136)+1)-SMALL(IF(ISERROR(SEARCH(MID(";"&amp;'CASE DATA'!$F137&amp;";",ROW($1:$99),1),";")),"",ROW($1:$99)),COLUMN(E136))-1)</f>
        <v/>
      </c>
      <c r="AA137" s="29" t="str">
        <f t="array" ref="AA137">MID(";"&amp;'CASE DATA'!$F137&amp;";",SMALL(IF(ISERROR(SEARCH(MID(";"&amp;'CASE DATA'!$F137&amp;";",ROW($1:$99),1),";")),"",ROW($1:$99)+1),COLUMN(F137)),SMALL(IF(ISERROR(SEARCH(MID(";"&amp;'CASE DATA'!$F137&amp;";",ROW($1:$99),1),";")),"",ROW($1:$99)),COLUMN(F136)+1)-SMALL(IF(ISERROR(SEARCH(MID(";"&amp;'CASE DATA'!$F137&amp;";",ROW($1:$99),1),";")),"",ROW($1:$99)),COLUMN(F136))-1)</f>
        <v/>
      </c>
      <c r="AB137" s="29" t="str">
        <f t="array" ref="AB137">MID(";"&amp;'CASE DATA'!$F137&amp;";",SMALL(IF(ISERROR(SEARCH(MID(";"&amp;'CASE DATA'!$F137&amp;";",ROW($1:$99),1),";")),"",ROW($1:$99)+1),COLUMN(G137)),SMALL(IF(ISERROR(SEARCH(MID(";"&amp;'CASE DATA'!$F137&amp;";",ROW($1:$99),1),";")),"",ROW($1:$99)),COLUMN(G136)+1)-SMALL(IF(ISERROR(SEARCH(MID(";"&amp;'CASE DATA'!$F137&amp;";",ROW($1:$99),1),";")),"",ROW($1:$99)),COLUMN(G136))-1)</f>
        <v/>
      </c>
      <c r="AC137" s="29" t="str">
        <f t="array" ref="AC137">MID(";"&amp;'CASE DATA'!$F137&amp;";",SMALL(IF(ISERROR(SEARCH(MID(";"&amp;'CASE DATA'!$F137&amp;";",ROW($1:$99),1),";")),"",ROW($1:$99)+1),COLUMN(H137)),SMALL(IF(ISERROR(SEARCH(MID(";"&amp;'CASE DATA'!$F137&amp;";",ROW($1:$99),1),";")),"",ROW($1:$99)),COLUMN(H136)+1)-SMALL(IF(ISERROR(SEARCH(MID(";"&amp;'CASE DATA'!$F137&amp;";",ROW($1:$99),1),";")),"",ROW($1:$99)),COLUMN(H136))-1)</f>
        <v/>
      </c>
      <c r="AD137" s="29" t="str">
        <f t="array" ref="AD137">MID(";"&amp;'CASE DATA'!$F137&amp;";",SMALL(IF(ISERROR(SEARCH(MID(";"&amp;'CASE DATA'!$F137&amp;";",ROW($1:$99),1),";")),"",ROW($1:$99)+1),COLUMN(I137)),SMALL(IF(ISERROR(SEARCH(MID(";"&amp;'CASE DATA'!$F137&amp;";",ROW($1:$99),1),";")),"",ROW($1:$99)),COLUMN(I136)+1)-SMALL(IF(ISERROR(SEARCH(MID(";"&amp;'CASE DATA'!$F137&amp;";",ROW($1:$99),1),";")),"",ROW($1:$99)),COLUMN(I136))-1)</f>
        <v/>
      </c>
      <c r="AE137" s="29" t="str">
        <f t="array" ref="AE137">MID(";"&amp;'CASE DATA'!$F137&amp;";",SMALL(IF(ISERROR(SEARCH(MID(";"&amp;'CASE DATA'!$F137&amp;";",ROW($1:$99),1),";")),"",ROW($1:$99)+1),COLUMN(J137)),SMALL(IF(ISERROR(SEARCH(MID(";"&amp;'CASE DATA'!$F137&amp;";",ROW($1:$99),1),";")),"",ROW($1:$99)),COLUMN(J136)+1)-SMALL(IF(ISERROR(SEARCH(MID(";"&amp;'CASE DATA'!$F137&amp;";",ROW($1:$99),1),";")),"",ROW($1:$99)),COLUMN(J136))-1)</f>
        <v/>
      </c>
      <c r="AF137" s="29" t="str">
        <f t="array" ref="AF137">MID(";"&amp;'CASE DATA'!$F137&amp;";",SMALL(IF(ISERROR(SEARCH(MID(";"&amp;'CASE DATA'!$F137&amp;";",ROW($1:$99),1),";")),"",ROW($1:$99)+1),COLUMN(K137)),SMALL(IF(ISERROR(SEARCH(MID(";"&amp;'CASE DATA'!$F137&amp;";",ROW($1:$99),1),";")),"",ROW($1:$99)),COLUMN(K136)+1)-SMALL(IF(ISERROR(SEARCH(MID(";"&amp;'CASE DATA'!$F137&amp;";",ROW($1:$99),1),";")),"",ROW($1:$99)),COLUMN(K136))-1)</f>
        <v/>
      </c>
      <c r="AG137" s="29" t="str">
        <f t="array" ref="AG137">MID(";"&amp;'CASE DATA'!$F137&amp;";",SMALL(IF(ISERROR(SEARCH(MID(";"&amp;'CASE DATA'!$F137&amp;";",ROW($1:$99),1),";")),"",ROW($1:$99)+1),COLUMN(L137)),SMALL(IF(ISERROR(SEARCH(MID(";"&amp;'CASE DATA'!$F137&amp;";",ROW($1:$99),1),";")),"",ROW($1:$99)),COLUMN(L136)+1)-SMALL(IF(ISERROR(SEARCH(MID(";"&amp;'CASE DATA'!$F137&amp;";",ROW($1:$99),1),";")),"",ROW($1:$99)),COLUMN(L136))-1)</f>
        <v/>
      </c>
      <c r="AH137" s="29"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24"/>
      <c r="D138" s="24"/>
      <c r="E138" s="25"/>
      <c r="F138" s="30"/>
      <c r="J138" s="31"/>
      <c r="K138" s="31"/>
      <c r="L138" s="31"/>
      <c r="M138" s="31"/>
      <c r="N138" s="31"/>
      <c r="O138" s="31"/>
      <c r="P138" s="31"/>
      <c r="Q138" s="31"/>
      <c r="R138" s="31"/>
      <c r="S138" s="31"/>
      <c r="T138" s="28">
        <f t="shared" si="3"/>
        <v>0</v>
      </c>
      <c r="U138" s="28"/>
      <c r="W138" s="29" t="str">
        <f t="array" ref="W138">MID(";"&amp;'CASE DATA'!$F138&amp;";",SMALL(IF(ISERROR(SEARCH(MID(";"&amp;'CASE DATA'!$F138&amp;";",ROW($1:$99),1),";")),"",ROW($1:$99)+1),COLUMN(A138)),SMALL(IF(ISERROR(SEARCH(MID(";"&amp;'CASE DATA'!$F138&amp;";",ROW($1:$99),1),";")),"",ROW($1:$99)),COLUMN(A137)+1)-SMALL(IF(ISERROR(SEARCH(MID(";"&amp;'CASE DATA'!$F138&amp;";",ROW($1:$99),1),";")),"",ROW($1:$99)),COLUMN(A137))-1)</f>
        <v/>
      </c>
      <c r="X138" s="29" t="str">
        <f t="array" ref="X138">MID(";"&amp;'CASE DATA'!$F138&amp;";",SMALL(IF(ISERROR(SEARCH(MID(";"&amp;'CASE DATA'!$F138&amp;";",ROW($1:$99),1),";")),"",ROW($1:$99)+1),COLUMN(B138)),SMALL(IF(ISERROR(SEARCH(MID(";"&amp;'CASE DATA'!$F138&amp;";",ROW($1:$99),1),";")),"",ROW($1:$99)),COLUMN(B137)+1)-SMALL(IF(ISERROR(SEARCH(MID(";"&amp;'CASE DATA'!$F138&amp;";",ROW($1:$99),1),";")),"",ROW($1:$99)),COLUMN(B137))-1)</f>
        <v/>
      </c>
      <c r="Y138" s="29" t="str">
        <f t="array" ref="Y138">MID(";"&amp;'CASE DATA'!$F138&amp;";",SMALL(IF(ISERROR(SEARCH(MID(";"&amp;'CASE DATA'!$F138&amp;";",ROW($1:$99),1),";")),"",ROW($1:$99)+1),COLUMN(D138)),SMALL(IF(ISERROR(SEARCH(MID(";"&amp;'CASE DATA'!$F138&amp;";",ROW($1:$99),1),";")),"",ROW($1:$99)),COLUMN(D137)+1)-SMALL(IF(ISERROR(SEARCH(MID(";"&amp;'CASE DATA'!$F138&amp;";",ROW($1:$99),1),";")),"",ROW($1:$99)),COLUMN(D137))-1)</f>
        <v/>
      </c>
      <c r="Z138" s="29" t="str">
        <f t="array" ref="Z138">MID(";"&amp;'CASE DATA'!$F138&amp;";",SMALL(IF(ISERROR(SEARCH(MID(";"&amp;'CASE DATA'!$F138&amp;";",ROW($1:$99),1),";")),"",ROW($1:$99)+1),COLUMN(E138)),SMALL(IF(ISERROR(SEARCH(MID(";"&amp;'CASE DATA'!$F138&amp;";",ROW($1:$99),1),";")),"",ROW($1:$99)),COLUMN(E137)+1)-SMALL(IF(ISERROR(SEARCH(MID(";"&amp;'CASE DATA'!$F138&amp;";",ROW($1:$99),1),";")),"",ROW($1:$99)),COLUMN(E137))-1)</f>
        <v/>
      </c>
      <c r="AA138" s="29" t="str">
        <f t="array" ref="AA138">MID(";"&amp;'CASE DATA'!$F138&amp;";",SMALL(IF(ISERROR(SEARCH(MID(";"&amp;'CASE DATA'!$F138&amp;";",ROW($1:$99),1),";")),"",ROW($1:$99)+1),COLUMN(F138)),SMALL(IF(ISERROR(SEARCH(MID(";"&amp;'CASE DATA'!$F138&amp;";",ROW($1:$99),1),";")),"",ROW($1:$99)),COLUMN(F137)+1)-SMALL(IF(ISERROR(SEARCH(MID(";"&amp;'CASE DATA'!$F138&amp;";",ROW($1:$99),1),";")),"",ROW($1:$99)),COLUMN(F137))-1)</f>
        <v/>
      </c>
      <c r="AB138" s="29" t="str">
        <f t="array" ref="AB138">MID(";"&amp;'CASE DATA'!$F138&amp;";",SMALL(IF(ISERROR(SEARCH(MID(";"&amp;'CASE DATA'!$F138&amp;";",ROW($1:$99),1),";")),"",ROW($1:$99)+1),COLUMN(G138)),SMALL(IF(ISERROR(SEARCH(MID(";"&amp;'CASE DATA'!$F138&amp;";",ROW($1:$99),1),";")),"",ROW($1:$99)),COLUMN(G137)+1)-SMALL(IF(ISERROR(SEARCH(MID(";"&amp;'CASE DATA'!$F138&amp;";",ROW($1:$99),1),";")),"",ROW($1:$99)),COLUMN(G137))-1)</f>
        <v/>
      </c>
      <c r="AC138" s="29" t="str">
        <f t="array" ref="AC138">MID(";"&amp;'CASE DATA'!$F138&amp;";",SMALL(IF(ISERROR(SEARCH(MID(";"&amp;'CASE DATA'!$F138&amp;";",ROW($1:$99),1),";")),"",ROW($1:$99)+1),COLUMN(H138)),SMALL(IF(ISERROR(SEARCH(MID(";"&amp;'CASE DATA'!$F138&amp;";",ROW($1:$99),1),";")),"",ROW($1:$99)),COLUMN(H137)+1)-SMALL(IF(ISERROR(SEARCH(MID(";"&amp;'CASE DATA'!$F138&amp;";",ROW($1:$99),1),";")),"",ROW($1:$99)),COLUMN(H137))-1)</f>
        <v/>
      </c>
      <c r="AD138" s="29" t="str">
        <f t="array" ref="AD138">MID(";"&amp;'CASE DATA'!$F138&amp;";",SMALL(IF(ISERROR(SEARCH(MID(";"&amp;'CASE DATA'!$F138&amp;";",ROW($1:$99),1),";")),"",ROW($1:$99)+1),COLUMN(I138)),SMALL(IF(ISERROR(SEARCH(MID(";"&amp;'CASE DATA'!$F138&amp;";",ROW($1:$99),1),";")),"",ROW($1:$99)),COLUMN(I137)+1)-SMALL(IF(ISERROR(SEARCH(MID(";"&amp;'CASE DATA'!$F138&amp;";",ROW($1:$99),1),";")),"",ROW($1:$99)),COLUMN(I137))-1)</f>
        <v/>
      </c>
      <c r="AE138" s="29" t="str">
        <f t="array" ref="AE138">MID(";"&amp;'CASE DATA'!$F138&amp;";",SMALL(IF(ISERROR(SEARCH(MID(";"&amp;'CASE DATA'!$F138&amp;";",ROW($1:$99),1),";")),"",ROW($1:$99)+1),COLUMN(J138)),SMALL(IF(ISERROR(SEARCH(MID(";"&amp;'CASE DATA'!$F138&amp;";",ROW($1:$99),1),";")),"",ROW($1:$99)),COLUMN(J137)+1)-SMALL(IF(ISERROR(SEARCH(MID(";"&amp;'CASE DATA'!$F138&amp;";",ROW($1:$99),1),";")),"",ROW($1:$99)),COLUMN(J137))-1)</f>
        <v/>
      </c>
      <c r="AF138" s="29" t="str">
        <f t="array" ref="AF138">MID(";"&amp;'CASE DATA'!$F138&amp;";",SMALL(IF(ISERROR(SEARCH(MID(";"&amp;'CASE DATA'!$F138&amp;";",ROW($1:$99),1),";")),"",ROW($1:$99)+1),COLUMN(K138)),SMALL(IF(ISERROR(SEARCH(MID(";"&amp;'CASE DATA'!$F138&amp;";",ROW($1:$99),1),";")),"",ROW($1:$99)),COLUMN(K137)+1)-SMALL(IF(ISERROR(SEARCH(MID(";"&amp;'CASE DATA'!$F138&amp;";",ROW($1:$99),1),";")),"",ROW($1:$99)),COLUMN(K137))-1)</f>
        <v/>
      </c>
      <c r="AG138" s="29" t="str">
        <f t="array" ref="AG138">MID(";"&amp;'CASE DATA'!$F138&amp;";",SMALL(IF(ISERROR(SEARCH(MID(";"&amp;'CASE DATA'!$F138&amp;";",ROW($1:$99),1),";")),"",ROW($1:$99)+1),COLUMN(L138)),SMALL(IF(ISERROR(SEARCH(MID(";"&amp;'CASE DATA'!$F138&amp;";",ROW($1:$99),1),";")),"",ROW($1:$99)),COLUMN(L137)+1)-SMALL(IF(ISERROR(SEARCH(MID(";"&amp;'CASE DATA'!$F138&amp;";",ROW($1:$99),1),";")),"",ROW($1:$99)),COLUMN(L137))-1)</f>
        <v/>
      </c>
      <c r="AH138" s="29"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24"/>
      <c r="D139" s="24"/>
      <c r="E139" s="25"/>
      <c r="F139" s="30"/>
      <c r="J139" s="31"/>
      <c r="K139" s="31"/>
      <c r="L139" s="31"/>
      <c r="M139" s="31"/>
      <c r="N139" s="31"/>
      <c r="O139" s="31"/>
      <c r="P139" s="31"/>
      <c r="Q139" s="31"/>
      <c r="R139" s="31"/>
      <c r="S139" s="31"/>
      <c r="T139" s="28">
        <f t="shared" si="3"/>
        <v>0</v>
      </c>
      <c r="U139" s="28"/>
      <c r="W139" s="29" t="str">
        <f t="array" ref="W139">MID(";"&amp;'CASE DATA'!$F139&amp;";",SMALL(IF(ISERROR(SEARCH(MID(";"&amp;'CASE DATA'!$F139&amp;";",ROW($1:$99),1),";")),"",ROW($1:$99)+1),COLUMN(A139)),SMALL(IF(ISERROR(SEARCH(MID(";"&amp;'CASE DATA'!$F139&amp;";",ROW($1:$99),1),";")),"",ROW($1:$99)),COLUMN(A138)+1)-SMALL(IF(ISERROR(SEARCH(MID(";"&amp;'CASE DATA'!$F139&amp;";",ROW($1:$99),1),";")),"",ROW($1:$99)),COLUMN(A138))-1)</f>
        <v/>
      </c>
      <c r="X139" s="29" t="str">
        <f t="array" ref="X139">MID(";"&amp;'CASE DATA'!$F139&amp;";",SMALL(IF(ISERROR(SEARCH(MID(";"&amp;'CASE DATA'!$F139&amp;";",ROW($1:$99),1),";")),"",ROW($1:$99)+1),COLUMN(B139)),SMALL(IF(ISERROR(SEARCH(MID(";"&amp;'CASE DATA'!$F139&amp;";",ROW($1:$99),1),";")),"",ROW($1:$99)),COLUMN(B138)+1)-SMALL(IF(ISERROR(SEARCH(MID(";"&amp;'CASE DATA'!$F139&amp;";",ROW($1:$99),1),";")),"",ROW($1:$99)),COLUMN(B138))-1)</f>
        <v/>
      </c>
      <c r="Y139" s="29" t="str">
        <f t="array" ref="Y139">MID(";"&amp;'CASE DATA'!$F139&amp;";",SMALL(IF(ISERROR(SEARCH(MID(";"&amp;'CASE DATA'!$F139&amp;";",ROW($1:$99),1),";")),"",ROW($1:$99)+1),COLUMN(D139)),SMALL(IF(ISERROR(SEARCH(MID(";"&amp;'CASE DATA'!$F139&amp;";",ROW($1:$99),1),";")),"",ROW($1:$99)),COLUMN(D138)+1)-SMALL(IF(ISERROR(SEARCH(MID(";"&amp;'CASE DATA'!$F139&amp;";",ROW($1:$99),1),";")),"",ROW($1:$99)),COLUMN(D138))-1)</f>
        <v/>
      </c>
      <c r="Z139" s="29" t="str">
        <f t="array" ref="Z139">MID(";"&amp;'CASE DATA'!$F139&amp;";",SMALL(IF(ISERROR(SEARCH(MID(";"&amp;'CASE DATA'!$F139&amp;";",ROW($1:$99),1),";")),"",ROW($1:$99)+1),COLUMN(E139)),SMALL(IF(ISERROR(SEARCH(MID(";"&amp;'CASE DATA'!$F139&amp;";",ROW($1:$99),1),";")),"",ROW($1:$99)),COLUMN(E138)+1)-SMALL(IF(ISERROR(SEARCH(MID(";"&amp;'CASE DATA'!$F139&amp;";",ROW($1:$99),1),";")),"",ROW($1:$99)),COLUMN(E138))-1)</f>
        <v/>
      </c>
      <c r="AA139" s="29" t="str">
        <f t="array" ref="AA139">MID(";"&amp;'CASE DATA'!$F139&amp;";",SMALL(IF(ISERROR(SEARCH(MID(";"&amp;'CASE DATA'!$F139&amp;";",ROW($1:$99),1),";")),"",ROW($1:$99)+1),COLUMN(F139)),SMALL(IF(ISERROR(SEARCH(MID(";"&amp;'CASE DATA'!$F139&amp;";",ROW($1:$99),1),";")),"",ROW($1:$99)),COLUMN(F138)+1)-SMALL(IF(ISERROR(SEARCH(MID(";"&amp;'CASE DATA'!$F139&amp;";",ROW($1:$99),1),";")),"",ROW($1:$99)),COLUMN(F138))-1)</f>
        <v/>
      </c>
      <c r="AB139" s="29" t="str">
        <f t="array" ref="AB139">MID(";"&amp;'CASE DATA'!$F139&amp;";",SMALL(IF(ISERROR(SEARCH(MID(";"&amp;'CASE DATA'!$F139&amp;";",ROW($1:$99),1),";")),"",ROW($1:$99)+1),COLUMN(G139)),SMALL(IF(ISERROR(SEARCH(MID(";"&amp;'CASE DATA'!$F139&amp;";",ROW($1:$99),1),";")),"",ROW($1:$99)),COLUMN(G138)+1)-SMALL(IF(ISERROR(SEARCH(MID(";"&amp;'CASE DATA'!$F139&amp;";",ROW($1:$99),1),";")),"",ROW($1:$99)),COLUMN(G138))-1)</f>
        <v/>
      </c>
      <c r="AC139" s="29" t="str">
        <f t="array" ref="AC139">MID(";"&amp;'CASE DATA'!$F139&amp;";",SMALL(IF(ISERROR(SEARCH(MID(";"&amp;'CASE DATA'!$F139&amp;";",ROW($1:$99),1),";")),"",ROW($1:$99)+1),COLUMN(H139)),SMALL(IF(ISERROR(SEARCH(MID(";"&amp;'CASE DATA'!$F139&amp;";",ROW($1:$99),1),";")),"",ROW($1:$99)),COLUMN(H138)+1)-SMALL(IF(ISERROR(SEARCH(MID(";"&amp;'CASE DATA'!$F139&amp;";",ROW($1:$99),1),";")),"",ROW($1:$99)),COLUMN(H138))-1)</f>
        <v/>
      </c>
      <c r="AD139" s="29" t="str">
        <f t="array" ref="AD139">MID(";"&amp;'CASE DATA'!$F139&amp;";",SMALL(IF(ISERROR(SEARCH(MID(";"&amp;'CASE DATA'!$F139&amp;";",ROW($1:$99),1),";")),"",ROW($1:$99)+1),COLUMN(I139)),SMALL(IF(ISERROR(SEARCH(MID(";"&amp;'CASE DATA'!$F139&amp;";",ROW($1:$99),1),";")),"",ROW($1:$99)),COLUMN(I138)+1)-SMALL(IF(ISERROR(SEARCH(MID(";"&amp;'CASE DATA'!$F139&amp;";",ROW($1:$99),1),";")),"",ROW($1:$99)),COLUMN(I138))-1)</f>
        <v/>
      </c>
      <c r="AE139" s="29" t="str">
        <f t="array" ref="AE139">MID(";"&amp;'CASE DATA'!$F139&amp;";",SMALL(IF(ISERROR(SEARCH(MID(";"&amp;'CASE DATA'!$F139&amp;";",ROW($1:$99),1),";")),"",ROW($1:$99)+1),COLUMN(J139)),SMALL(IF(ISERROR(SEARCH(MID(";"&amp;'CASE DATA'!$F139&amp;";",ROW($1:$99),1),";")),"",ROW($1:$99)),COLUMN(J138)+1)-SMALL(IF(ISERROR(SEARCH(MID(";"&amp;'CASE DATA'!$F139&amp;";",ROW($1:$99),1),";")),"",ROW($1:$99)),COLUMN(J138))-1)</f>
        <v/>
      </c>
      <c r="AF139" s="29" t="str">
        <f t="array" ref="AF139">MID(";"&amp;'CASE DATA'!$F139&amp;";",SMALL(IF(ISERROR(SEARCH(MID(";"&amp;'CASE DATA'!$F139&amp;";",ROW($1:$99),1),";")),"",ROW($1:$99)+1),COLUMN(K139)),SMALL(IF(ISERROR(SEARCH(MID(";"&amp;'CASE DATA'!$F139&amp;";",ROW($1:$99),1),";")),"",ROW($1:$99)),COLUMN(K138)+1)-SMALL(IF(ISERROR(SEARCH(MID(";"&amp;'CASE DATA'!$F139&amp;";",ROW($1:$99),1),";")),"",ROW($1:$99)),COLUMN(K138))-1)</f>
        <v/>
      </c>
      <c r="AG139" s="29" t="str">
        <f t="array" ref="AG139">MID(";"&amp;'CASE DATA'!$F139&amp;";",SMALL(IF(ISERROR(SEARCH(MID(";"&amp;'CASE DATA'!$F139&amp;";",ROW($1:$99),1),";")),"",ROW($1:$99)+1),COLUMN(L139)),SMALL(IF(ISERROR(SEARCH(MID(";"&amp;'CASE DATA'!$F139&amp;";",ROW($1:$99),1),";")),"",ROW($1:$99)),COLUMN(L138)+1)-SMALL(IF(ISERROR(SEARCH(MID(";"&amp;'CASE DATA'!$F139&amp;";",ROW($1:$99),1),";")),"",ROW($1:$99)),COLUMN(L138))-1)</f>
        <v/>
      </c>
      <c r="AH139" s="29"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24"/>
      <c r="D140" s="24"/>
      <c r="E140" s="25"/>
      <c r="F140" s="30"/>
      <c r="J140" s="31"/>
      <c r="K140" s="31"/>
      <c r="L140" s="31"/>
      <c r="M140" s="31"/>
      <c r="N140" s="31"/>
      <c r="O140" s="31"/>
      <c r="P140" s="31"/>
      <c r="Q140" s="31"/>
      <c r="R140" s="31"/>
      <c r="S140" s="31"/>
      <c r="T140" s="28">
        <f t="shared" si="3"/>
        <v>0</v>
      </c>
      <c r="U140" s="28"/>
      <c r="W140" s="29" t="str">
        <f t="array" ref="W140">MID(";"&amp;'CASE DATA'!$F140&amp;";",SMALL(IF(ISERROR(SEARCH(MID(";"&amp;'CASE DATA'!$F140&amp;";",ROW($1:$99),1),";")),"",ROW($1:$99)+1),COLUMN(A140)),SMALL(IF(ISERROR(SEARCH(MID(";"&amp;'CASE DATA'!$F140&amp;";",ROW($1:$99),1),";")),"",ROW($1:$99)),COLUMN(A139)+1)-SMALL(IF(ISERROR(SEARCH(MID(";"&amp;'CASE DATA'!$F140&amp;";",ROW($1:$99),1),";")),"",ROW($1:$99)),COLUMN(A139))-1)</f>
        <v/>
      </c>
      <c r="X140" s="29" t="str">
        <f t="array" ref="X140">MID(";"&amp;'CASE DATA'!$F140&amp;";",SMALL(IF(ISERROR(SEARCH(MID(";"&amp;'CASE DATA'!$F140&amp;";",ROW($1:$99),1),";")),"",ROW($1:$99)+1),COLUMN(B140)),SMALL(IF(ISERROR(SEARCH(MID(";"&amp;'CASE DATA'!$F140&amp;";",ROW($1:$99),1),";")),"",ROW($1:$99)),COLUMN(B139)+1)-SMALL(IF(ISERROR(SEARCH(MID(";"&amp;'CASE DATA'!$F140&amp;";",ROW($1:$99),1),";")),"",ROW($1:$99)),COLUMN(B139))-1)</f>
        <v/>
      </c>
      <c r="Y140" s="29" t="str">
        <f t="array" ref="Y140">MID(";"&amp;'CASE DATA'!$F140&amp;";",SMALL(IF(ISERROR(SEARCH(MID(";"&amp;'CASE DATA'!$F140&amp;";",ROW($1:$99),1),";")),"",ROW($1:$99)+1),COLUMN(D140)),SMALL(IF(ISERROR(SEARCH(MID(";"&amp;'CASE DATA'!$F140&amp;";",ROW($1:$99),1),";")),"",ROW($1:$99)),COLUMN(D139)+1)-SMALL(IF(ISERROR(SEARCH(MID(";"&amp;'CASE DATA'!$F140&amp;";",ROW($1:$99),1),";")),"",ROW($1:$99)),COLUMN(D139))-1)</f>
        <v/>
      </c>
      <c r="Z140" s="29" t="str">
        <f t="array" ref="Z140">MID(";"&amp;'CASE DATA'!$F140&amp;";",SMALL(IF(ISERROR(SEARCH(MID(";"&amp;'CASE DATA'!$F140&amp;";",ROW($1:$99),1),";")),"",ROW($1:$99)+1),COLUMN(E140)),SMALL(IF(ISERROR(SEARCH(MID(";"&amp;'CASE DATA'!$F140&amp;";",ROW($1:$99),1),";")),"",ROW($1:$99)),COLUMN(E139)+1)-SMALL(IF(ISERROR(SEARCH(MID(";"&amp;'CASE DATA'!$F140&amp;";",ROW($1:$99),1),";")),"",ROW($1:$99)),COLUMN(E139))-1)</f>
        <v/>
      </c>
      <c r="AA140" s="29" t="str">
        <f t="array" ref="AA140">MID(";"&amp;'CASE DATA'!$F140&amp;";",SMALL(IF(ISERROR(SEARCH(MID(";"&amp;'CASE DATA'!$F140&amp;";",ROW($1:$99),1),";")),"",ROW($1:$99)+1),COLUMN(F140)),SMALL(IF(ISERROR(SEARCH(MID(";"&amp;'CASE DATA'!$F140&amp;";",ROW($1:$99),1),";")),"",ROW($1:$99)),COLUMN(F139)+1)-SMALL(IF(ISERROR(SEARCH(MID(";"&amp;'CASE DATA'!$F140&amp;";",ROW($1:$99),1),";")),"",ROW($1:$99)),COLUMN(F139))-1)</f>
        <v/>
      </c>
      <c r="AB140" s="29" t="str">
        <f t="array" ref="AB140">MID(";"&amp;'CASE DATA'!$F140&amp;";",SMALL(IF(ISERROR(SEARCH(MID(";"&amp;'CASE DATA'!$F140&amp;";",ROW($1:$99),1),";")),"",ROW($1:$99)+1),COLUMN(G140)),SMALL(IF(ISERROR(SEARCH(MID(";"&amp;'CASE DATA'!$F140&amp;";",ROW($1:$99),1),";")),"",ROW($1:$99)),COLUMN(G139)+1)-SMALL(IF(ISERROR(SEARCH(MID(";"&amp;'CASE DATA'!$F140&amp;";",ROW($1:$99),1),";")),"",ROW($1:$99)),COLUMN(G139))-1)</f>
        <v/>
      </c>
      <c r="AC140" s="29" t="str">
        <f t="array" ref="AC140">MID(";"&amp;'CASE DATA'!$F140&amp;";",SMALL(IF(ISERROR(SEARCH(MID(";"&amp;'CASE DATA'!$F140&amp;";",ROW($1:$99),1),";")),"",ROW($1:$99)+1),COLUMN(H140)),SMALL(IF(ISERROR(SEARCH(MID(";"&amp;'CASE DATA'!$F140&amp;";",ROW($1:$99),1),";")),"",ROW($1:$99)),COLUMN(H139)+1)-SMALL(IF(ISERROR(SEARCH(MID(";"&amp;'CASE DATA'!$F140&amp;";",ROW($1:$99),1),";")),"",ROW($1:$99)),COLUMN(H139))-1)</f>
        <v/>
      </c>
      <c r="AD140" s="29" t="str">
        <f t="array" ref="AD140">MID(";"&amp;'CASE DATA'!$F140&amp;";",SMALL(IF(ISERROR(SEARCH(MID(";"&amp;'CASE DATA'!$F140&amp;";",ROW($1:$99),1),";")),"",ROW($1:$99)+1),COLUMN(I140)),SMALL(IF(ISERROR(SEARCH(MID(";"&amp;'CASE DATA'!$F140&amp;";",ROW($1:$99),1),";")),"",ROW($1:$99)),COLUMN(I139)+1)-SMALL(IF(ISERROR(SEARCH(MID(";"&amp;'CASE DATA'!$F140&amp;";",ROW($1:$99),1),";")),"",ROW($1:$99)),COLUMN(I139))-1)</f>
        <v/>
      </c>
      <c r="AE140" s="29" t="str">
        <f t="array" ref="AE140">MID(";"&amp;'CASE DATA'!$F140&amp;";",SMALL(IF(ISERROR(SEARCH(MID(";"&amp;'CASE DATA'!$F140&amp;";",ROW($1:$99),1),";")),"",ROW($1:$99)+1),COLUMN(J140)),SMALL(IF(ISERROR(SEARCH(MID(";"&amp;'CASE DATA'!$F140&amp;";",ROW($1:$99),1),";")),"",ROW($1:$99)),COLUMN(J139)+1)-SMALL(IF(ISERROR(SEARCH(MID(";"&amp;'CASE DATA'!$F140&amp;";",ROW($1:$99),1),";")),"",ROW($1:$99)),COLUMN(J139))-1)</f>
        <v/>
      </c>
      <c r="AF140" s="29" t="str">
        <f t="array" ref="AF140">MID(";"&amp;'CASE DATA'!$F140&amp;";",SMALL(IF(ISERROR(SEARCH(MID(";"&amp;'CASE DATA'!$F140&amp;";",ROW($1:$99),1),";")),"",ROW($1:$99)+1),COLUMN(K140)),SMALL(IF(ISERROR(SEARCH(MID(";"&amp;'CASE DATA'!$F140&amp;";",ROW($1:$99),1),";")),"",ROW($1:$99)),COLUMN(K139)+1)-SMALL(IF(ISERROR(SEARCH(MID(";"&amp;'CASE DATA'!$F140&amp;";",ROW($1:$99),1),";")),"",ROW($1:$99)),COLUMN(K139))-1)</f>
        <v/>
      </c>
      <c r="AG140" s="29" t="str">
        <f t="array" ref="AG140">MID(";"&amp;'CASE DATA'!$F140&amp;";",SMALL(IF(ISERROR(SEARCH(MID(";"&amp;'CASE DATA'!$F140&amp;";",ROW($1:$99),1),";")),"",ROW($1:$99)+1),COLUMN(L140)),SMALL(IF(ISERROR(SEARCH(MID(";"&amp;'CASE DATA'!$F140&amp;";",ROW($1:$99),1),";")),"",ROW($1:$99)),COLUMN(L139)+1)-SMALL(IF(ISERROR(SEARCH(MID(";"&amp;'CASE DATA'!$F140&amp;";",ROW($1:$99),1),";")),"",ROW($1:$99)),COLUMN(L139))-1)</f>
        <v/>
      </c>
      <c r="AH140" s="29"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24"/>
      <c r="D141" s="24"/>
      <c r="E141" s="25"/>
      <c r="F141" s="30"/>
      <c r="J141" s="31"/>
      <c r="K141" s="31"/>
      <c r="L141" s="31"/>
      <c r="M141" s="31"/>
      <c r="N141" s="31"/>
      <c r="O141" s="31"/>
      <c r="P141" s="31"/>
      <c r="Q141" s="31"/>
      <c r="R141" s="31"/>
      <c r="S141" s="31"/>
      <c r="T141" s="28">
        <f t="shared" si="3"/>
        <v>0</v>
      </c>
      <c r="U141" s="28"/>
      <c r="W141" s="29" t="str">
        <f t="array" ref="W141">MID(";"&amp;'CASE DATA'!$F141&amp;";",SMALL(IF(ISERROR(SEARCH(MID(";"&amp;'CASE DATA'!$F141&amp;";",ROW($1:$99),1),";")),"",ROW($1:$99)+1),COLUMN(A141)),SMALL(IF(ISERROR(SEARCH(MID(";"&amp;'CASE DATA'!$F141&amp;";",ROW($1:$99),1),";")),"",ROW($1:$99)),COLUMN(A140)+1)-SMALL(IF(ISERROR(SEARCH(MID(";"&amp;'CASE DATA'!$F141&amp;";",ROW($1:$99),1),";")),"",ROW($1:$99)),COLUMN(A140))-1)</f>
        <v/>
      </c>
      <c r="X141" s="29" t="str">
        <f t="array" ref="X141">MID(";"&amp;'CASE DATA'!$F141&amp;";",SMALL(IF(ISERROR(SEARCH(MID(";"&amp;'CASE DATA'!$F141&amp;";",ROW($1:$99),1),";")),"",ROW($1:$99)+1),COLUMN(B141)),SMALL(IF(ISERROR(SEARCH(MID(";"&amp;'CASE DATA'!$F141&amp;";",ROW($1:$99),1),";")),"",ROW($1:$99)),COLUMN(B140)+1)-SMALL(IF(ISERROR(SEARCH(MID(";"&amp;'CASE DATA'!$F141&amp;";",ROW($1:$99),1),";")),"",ROW($1:$99)),COLUMN(B140))-1)</f>
        <v/>
      </c>
      <c r="Y141" s="29" t="str">
        <f t="array" ref="Y141">MID(";"&amp;'CASE DATA'!$F141&amp;";",SMALL(IF(ISERROR(SEARCH(MID(";"&amp;'CASE DATA'!$F141&amp;";",ROW($1:$99),1),";")),"",ROW($1:$99)+1),COLUMN(D141)),SMALL(IF(ISERROR(SEARCH(MID(";"&amp;'CASE DATA'!$F141&amp;";",ROW($1:$99),1),";")),"",ROW($1:$99)),COLUMN(D140)+1)-SMALL(IF(ISERROR(SEARCH(MID(";"&amp;'CASE DATA'!$F141&amp;";",ROW($1:$99),1),";")),"",ROW($1:$99)),COLUMN(D140))-1)</f>
        <v/>
      </c>
      <c r="Z141" s="29" t="str">
        <f t="array" ref="Z141">MID(";"&amp;'CASE DATA'!$F141&amp;";",SMALL(IF(ISERROR(SEARCH(MID(";"&amp;'CASE DATA'!$F141&amp;";",ROW($1:$99),1),";")),"",ROW($1:$99)+1),COLUMN(E141)),SMALL(IF(ISERROR(SEARCH(MID(";"&amp;'CASE DATA'!$F141&amp;";",ROW($1:$99),1),";")),"",ROW($1:$99)),COLUMN(E140)+1)-SMALL(IF(ISERROR(SEARCH(MID(";"&amp;'CASE DATA'!$F141&amp;";",ROW($1:$99),1),";")),"",ROW($1:$99)),COLUMN(E140))-1)</f>
        <v/>
      </c>
      <c r="AA141" s="29" t="str">
        <f t="array" ref="AA141">MID(";"&amp;'CASE DATA'!$F141&amp;";",SMALL(IF(ISERROR(SEARCH(MID(";"&amp;'CASE DATA'!$F141&amp;";",ROW($1:$99),1),";")),"",ROW($1:$99)+1),COLUMN(F141)),SMALL(IF(ISERROR(SEARCH(MID(";"&amp;'CASE DATA'!$F141&amp;";",ROW($1:$99),1),";")),"",ROW($1:$99)),COLUMN(F140)+1)-SMALL(IF(ISERROR(SEARCH(MID(";"&amp;'CASE DATA'!$F141&amp;";",ROW($1:$99),1),";")),"",ROW($1:$99)),COLUMN(F140))-1)</f>
        <v/>
      </c>
      <c r="AB141" s="29" t="str">
        <f t="array" ref="AB141">MID(";"&amp;'CASE DATA'!$F141&amp;";",SMALL(IF(ISERROR(SEARCH(MID(";"&amp;'CASE DATA'!$F141&amp;";",ROW($1:$99),1),";")),"",ROW($1:$99)+1),COLUMN(G141)),SMALL(IF(ISERROR(SEARCH(MID(";"&amp;'CASE DATA'!$F141&amp;";",ROW($1:$99),1),";")),"",ROW($1:$99)),COLUMN(G140)+1)-SMALL(IF(ISERROR(SEARCH(MID(";"&amp;'CASE DATA'!$F141&amp;";",ROW($1:$99),1),";")),"",ROW($1:$99)),COLUMN(G140))-1)</f>
        <v/>
      </c>
      <c r="AC141" s="29" t="str">
        <f t="array" ref="AC141">MID(";"&amp;'CASE DATA'!$F141&amp;";",SMALL(IF(ISERROR(SEARCH(MID(";"&amp;'CASE DATA'!$F141&amp;";",ROW($1:$99),1),";")),"",ROW($1:$99)+1),COLUMN(H141)),SMALL(IF(ISERROR(SEARCH(MID(";"&amp;'CASE DATA'!$F141&amp;";",ROW($1:$99),1),";")),"",ROW($1:$99)),COLUMN(H140)+1)-SMALL(IF(ISERROR(SEARCH(MID(";"&amp;'CASE DATA'!$F141&amp;";",ROW($1:$99),1),";")),"",ROW($1:$99)),COLUMN(H140))-1)</f>
        <v/>
      </c>
      <c r="AD141" s="29" t="str">
        <f t="array" ref="AD141">MID(";"&amp;'CASE DATA'!$F141&amp;";",SMALL(IF(ISERROR(SEARCH(MID(";"&amp;'CASE DATA'!$F141&amp;";",ROW($1:$99),1),";")),"",ROW($1:$99)+1),COLUMN(I141)),SMALL(IF(ISERROR(SEARCH(MID(";"&amp;'CASE DATA'!$F141&amp;";",ROW($1:$99),1),";")),"",ROW($1:$99)),COLUMN(I140)+1)-SMALL(IF(ISERROR(SEARCH(MID(";"&amp;'CASE DATA'!$F141&amp;";",ROW($1:$99),1),";")),"",ROW($1:$99)),COLUMN(I140))-1)</f>
        <v/>
      </c>
      <c r="AE141" s="29" t="str">
        <f t="array" ref="AE141">MID(";"&amp;'CASE DATA'!$F141&amp;";",SMALL(IF(ISERROR(SEARCH(MID(";"&amp;'CASE DATA'!$F141&amp;";",ROW($1:$99),1),";")),"",ROW($1:$99)+1),COLUMN(J141)),SMALL(IF(ISERROR(SEARCH(MID(";"&amp;'CASE DATA'!$F141&amp;";",ROW($1:$99),1),";")),"",ROW($1:$99)),COLUMN(J140)+1)-SMALL(IF(ISERROR(SEARCH(MID(";"&amp;'CASE DATA'!$F141&amp;";",ROW($1:$99),1),";")),"",ROW($1:$99)),COLUMN(J140))-1)</f>
        <v/>
      </c>
      <c r="AF141" s="29" t="str">
        <f t="array" ref="AF141">MID(";"&amp;'CASE DATA'!$F141&amp;";",SMALL(IF(ISERROR(SEARCH(MID(";"&amp;'CASE DATA'!$F141&amp;";",ROW($1:$99),1),";")),"",ROW($1:$99)+1),COLUMN(K141)),SMALL(IF(ISERROR(SEARCH(MID(";"&amp;'CASE DATA'!$F141&amp;";",ROW($1:$99),1),";")),"",ROW($1:$99)),COLUMN(K140)+1)-SMALL(IF(ISERROR(SEARCH(MID(";"&amp;'CASE DATA'!$F141&amp;";",ROW($1:$99),1),";")),"",ROW($1:$99)),COLUMN(K140))-1)</f>
        <v/>
      </c>
      <c r="AG141" s="29" t="str">
        <f t="array" ref="AG141">MID(";"&amp;'CASE DATA'!$F141&amp;";",SMALL(IF(ISERROR(SEARCH(MID(";"&amp;'CASE DATA'!$F141&amp;";",ROW($1:$99),1),";")),"",ROW($1:$99)+1),COLUMN(L141)),SMALL(IF(ISERROR(SEARCH(MID(";"&amp;'CASE DATA'!$F141&amp;";",ROW($1:$99),1),";")),"",ROW($1:$99)),COLUMN(L140)+1)-SMALL(IF(ISERROR(SEARCH(MID(";"&amp;'CASE DATA'!$F141&amp;";",ROW($1:$99),1),";")),"",ROW($1:$99)),COLUMN(L140))-1)</f>
        <v/>
      </c>
      <c r="AH141" s="29"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24"/>
      <c r="D142" s="24"/>
      <c r="E142" s="25"/>
      <c r="F142" s="30"/>
      <c r="J142" s="31"/>
      <c r="K142" s="31"/>
      <c r="L142" s="31"/>
      <c r="M142" s="31"/>
      <c r="N142" s="31"/>
      <c r="O142" s="31"/>
      <c r="P142" s="31"/>
      <c r="Q142" s="31"/>
      <c r="R142" s="31"/>
      <c r="S142" s="31"/>
      <c r="T142" s="28">
        <f t="shared" si="3"/>
        <v>0</v>
      </c>
      <c r="U142" s="28"/>
      <c r="W142" s="29" t="str">
        <f t="array" ref="W142">MID(";"&amp;'CASE DATA'!$F142&amp;";",SMALL(IF(ISERROR(SEARCH(MID(";"&amp;'CASE DATA'!$F142&amp;";",ROW($1:$99),1),";")),"",ROW($1:$99)+1),COLUMN(A142)),SMALL(IF(ISERROR(SEARCH(MID(";"&amp;'CASE DATA'!$F142&amp;";",ROW($1:$99),1),";")),"",ROW($1:$99)),COLUMN(A141)+1)-SMALL(IF(ISERROR(SEARCH(MID(";"&amp;'CASE DATA'!$F142&amp;";",ROW($1:$99),1),";")),"",ROW($1:$99)),COLUMN(A141))-1)</f>
        <v/>
      </c>
      <c r="X142" s="29" t="str">
        <f t="array" ref="X142">MID(";"&amp;'CASE DATA'!$F142&amp;";",SMALL(IF(ISERROR(SEARCH(MID(";"&amp;'CASE DATA'!$F142&amp;";",ROW($1:$99),1),";")),"",ROW($1:$99)+1),COLUMN(B142)),SMALL(IF(ISERROR(SEARCH(MID(";"&amp;'CASE DATA'!$F142&amp;";",ROW($1:$99),1),";")),"",ROW($1:$99)),COLUMN(B141)+1)-SMALL(IF(ISERROR(SEARCH(MID(";"&amp;'CASE DATA'!$F142&amp;";",ROW($1:$99),1),";")),"",ROW($1:$99)),COLUMN(B141))-1)</f>
        <v/>
      </c>
      <c r="Y142" s="29" t="str">
        <f t="array" ref="Y142">MID(";"&amp;'CASE DATA'!$F142&amp;";",SMALL(IF(ISERROR(SEARCH(MID(";"&amp;'CASE DATA'!$F142&amp;";",ROW($1:$99),1),";")),"",ROW($1:$99)+1),COLUMN(D142)),SMALL(IF(ISERROR(SEARCH(MID(";"&amp;'CASE DATA'!$F142&amp;";",ROW($1:$99),1),";")),"",ROW($1:$99)),COLUMN(D141)+1)-SMALL(IF(ISERROR(SEARCH(MID(";"&amp;'CASE DATA'!$F142&amp;";",ROW($1:$99),1),";")),"",ROW($1:$99)),COLUMN(D141))-1)</f>
        <v/>
      </c>
      <c r="Z142" s="29" t="str">
        <f t="array" ref="Z142">MID(";"&amp;'CASE DATA'!$F142&amp;";",SMALL(IF(ISERROR(SEARCH(MID(";"&amp;'CASE DATA'!$F142&amp;";",ROW($1:$99),1),";")),"",ROW($1:$99)+1),COLUMN(E142)),SMALL(IF(ISERROR(SEARCH(MID(";"&amp;'CASE DATA'!$F142&amp;";",ROW($1:$99),1),";")),"",ROW($1:$99)),COLUMN(E141)+1)-SMALL(IF(ISERROR(SEARCH(MID(";"&amp;'CASE DATA'!$F142&amp;";",ROW($1:$99),1),";")),"",ROW($1:$99)),COLUMN(E141))-1)</f>
        <v/>
      </c>
      <c r="AA142" s="29" t="str">
        <f t="array" ref="AA142">MID(";"&amp;'CASE DATA'!$F142&amp;";",SMALL(IF(ISERROR(SEARCH(MID(";"&amp;'CASE DATA'!$F142&amp;";",ROW($1:$99),1),";")),"",ROW($1:$99)+1),COLUMN(F142)),SMALL(IF(ISERROR(SEARCH(MID(";"&amp;'CASE DATA'!$F142&amp;";",ROW($1:$99),1),";")),"",ROW($1:$99)),COLUMN(F141)+1)-SMALL(IF(ISERROR(SEARCH(MID(";"&amp;'CASE DATA'!$F142&amp;";",ROW($1:$99),1),";")),"",ROW($1:$99)),COLUMN(F141))-1)</f>
        <v/>
      </c>
      <c r="AB142" s="29" t="str">
        <f t="array" ref="AB142">MID(";"&amp;'CASE DATA'!$F142&amp;";",SMALL(IF(ISERROR(SEARCH(MID(";"&amp;'CASE DATA'!$F142&amp;";",ROW($1:$99),1),";")),"",ROW($1:$99)+1),COLUMN(G142)),SMALL(IF(ISERROR(SEARCH(MID(";"&amp;'CASE DATA'!$F142&amp;";",ROW($1:$99),1),";")),"",ROW($1:$99)),COLUMN(G141)+1)-SMALL(IF(ISERROR(SEARCH(MID(";"&amp;'CASE DATA'!$F142&amp;";",ROW($1:$99),1),";")),"",ROW($1:$99)),COLUMN(G141))-1)</f>
        <v/>
      </c>
      <c r="AC142" s="29" t="str">
        <f t="array" ref="AC142">MID(";"&amp;'CASE DATA'!$F142&amp;";",SMALL(IF(ISERROR(SEARCH(MID(";"&amp;'CASE DATA'!$F142&amp;";",ROW($1:$99),1),";")),"",ROW($1:$99)+1),COLUMN(H142)),SMALL(IF(ISERROR(SEARCH(MID(";"&amp;'CASE DATA'!$F142&amp;";",ROW($1:$99),1),";")),"",ROW($1:$99)),COLUMN(H141)+1)-SMALL(IF(ISERROR(SEARCH(MID(";"&amp;'CASE DATA'!$F142&amp;";",ROW($1:$99),1),";")),"",ROW($1:$99)),COLUMN(H141))-1)</f>
        <v/>
      </c>
      <c r="AD142" s="29" t="str">
        <f t="array" ref="AD142">MID(";"&amp;'CASE DATA'!$F142&amp;";",SMALL(IF(ISERROR(SEARCH(MID(";"&amp;'CASE DATA'!$F142&amp;";",ROW($1:$99),1),";")),"",ROW($1:$99)+1),COLUMN(I142)),SMALL(IF(ISERROR(SEARCH(MID(";"&amp;'CASE DATA'!$F142&amp;";",ROW($1:$99),1),";")),"",ROW($1:$99)),COLUMN(I141)+1)-SMALL(IF(ISERROR(SEARCH(MID(";"&amp;'CASE DATA'!$F142&amp;";",ROW($1:$99),1),";")),"",ROW($1:$99)),COLUMN(I141))-1)</f>
        <v/>
      </c>
      <c r="AE142" s="29" t="str">
        <f t="array" ref="AE142">MID(";"&amp;'CASE DATA'!$F142&amp;";",SMALL(IF(ISERROR(SEARCH(MID(";"&amp;'CASE DATA'!$F142&amp;";",ROW($1:$99),1),";")),"",ROW($1:$99)+1),COLUMN(J142)),SMALL(IF(ISERROR(SEARCH(MID(";"&amp;'CASE DATA'!$F142&amp;";",ROW($1:$99),1),";")),"",ROW($1:$99)),COLUMN(J141)+1)-SMALL(IF(ISERROR(SEARCH(MID(";"&amp;'CASE DATA'!$F142&amp;";",ROW($1:$99),1),";")),"",ROW($1:$99)),COLUMN(J141))-1)</f>
        <v/>
      </c>
      <c r="AF142" s="29" t="str">
        <f t="array" ref="AF142">MID(";"&amp;'CASE DATA'!$F142&amp;";",SMALL(IF(ISERROR(SEARCH(MID(";"&amp;'CASE DATA'!$F142&amp;";",ROW($1:$99),1),";")),"",ROW($1:$99)+1),COLUMN(K142)),SMALL(IF(ISERROR(SEARCH(MID(";"&amp;'CASE DATA'!$F142&amp;";",ROW($1:$99),1),";")),"",ROW($1:$99)),COLUMN(K141)+1)-SMALL(IF(ISERROR(SEARCH(MID(";"&amp;'CASE DATA'!$F142&amp;";",ROW($1:$99),1),";")),"",ROW($1:$99)),COLUMN(K141))-1)</f>
        <v/>
      </c>
      <c r="AG142" s="29" t="str">
        <f t="array" ref="AG142">MID(";"&amp;'CASE DATA'!$F142&amp;";",SMALL(IF(ISERROR(SEARCH(MID(";"&amp;'CASE DATA'!$F142&amp;";",ROW($1:$99),1),";")),"",ROW($1:$99)+1),COLUMN(L142)),SMALL(IF(ISERROR(SEARCH(MID(";"&amp;'CASE DATA'!$F142&amp;";",ROW($1:$99),1),";")),"",ROW($1:$99)),COLUMN(L141)+1)-SMALL(IF(ISERROR(SEARCH(MID(";"&amp;'CASE DATA'!$F142&amp;";",ROW($1:$99),1),";")),"",ROW($1:$99)),COLUMN(L141))-1)</f>
        <v/>
      </c>
      <c r="AH142" s="29"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24"/>
      <c r="D143" s="24"/>
      <c r="E143" s="25"/>
      <c r="F143" s="30"/>
      <c r="J143" s="31"/>
      <c r="K143" s="31"/>
      <c r="L143" s="31"/>
      <c r="M143" s="31"/>
      <c r="N143" s="31"/>
      <c r="O143" s="31"/>
      <c r="P143" s="31"/>
      <c r="Q143" s="31"/>
      <c r="R143" s="31"/>
      <c r="S143" s="31"/>
      <c r="T143" s="28">
        <f t="shared" si="3"/>
        <v>0</v>
      </c>
      <c r="U143" s="28"/>
      <c r="W143" s="29" t="str">
        <f t="array" ref="W143">MID(";"&amp;'CASE DATA'!$F143&amp;";",SMALL(IF(ISERROR(SEARCH(MID(";"&amp;'CASE DATA'!$F143&amp;";",ROW($1:$99),1),";")),"",ROW($1:$99)+1),COLUMN(A143)),SMALL(IF(ISERROR(SEARCH(MID(";"&amp;'CASE DATA'!$F143&amp;";",ROW($1:$99),1),";")),"",ROW($1:$99)),COLUMN(A142)+1)-SMALL(IF(ISERROR(SEARCH(MID(";"&amp;'CASE DATA'!$F143&amp;";",ROW($1:$99),1),";")),"",ROW($1:$99)),COLUMN(A142))-1)</f>
        <v/>
      </c>
      <c r="X143" s="29" t="str">
        <f t="array" ref="X143">MID(";"&amp;'CASE DATA'!$F143&amp;";",SMALL(IF(ISERROR(SEARCH(MID(";"&amp;'CASE DATA'!$F143&amp;";",ROW($1:$99),1),";")),"",ROW($1:$99)+1),COLUMN(B143)),SMALL(IF(ISERROR(SEARCH(MID(";"&amp;'CASE DATA'!$F143&amp;";",ROW($1:$99),1),";")),"",ROW($1:$99)),COLUMN(B142)+1)-SMALL(IF(ISERROR(SEARCH(MID(";"&amp;'CASE DATA'!$F143&amp;";",ROW($1:$99),1),";")),"",ROW($1:$99)),COLUMN(B142))-1)</f>
        <v/>
      </c>
      <c r="Y143" s="29" t="str">
        <f t="array" ref="Y143">MID(";"&amp;'CASE DATA'!$F143&amp;";",SMALL(IF(ISERROR(SEARCH(MID(";"&amp;'CASE DATA'!$F143&amp;";",ROW($1:$99),1),";")),"",ROW($1:$99)+1),COLUMN(D143)),SMALL(IF(ISERROR(SEARCH(MID(";"&amp;'CASE DATA'!$F143&amp;";",ROW($1:$99),1),";")),"",ROW($1:$99)),COLUMN(D142)+1)-SMALL(IF(ISERROR(SEARCH(MID(";"&amp;'CASE DATA'!$F143&amp;";",ROW($1:$99),1),";")),"",ROW($1:$99)),COLUMN(D142))-1)</f>
        <v/>
      </c>
      <c r="Z143" s="29" t="str">
        <f t="array" ref="Z143">MID(";"&amp;'CASE DATA'!$F143&amp;";",SMALL(IF(ISERROR(SEARCH(MID(";"&amp;'CASE DATA'!$F143&amp;";",ROW($1:$99),1),";")),"",ROW($1:$99)+1),COLUMN(E143)),SMALL(IF(ISERROR(SEARCH(MID(";"&amp;'CASE DATA'!$F143&amp;";",ROW($1:$99),1),";")),"",ROW($1:$99)),COLUMN(E142)+1)-SMALL(IF(ISERROR(SEARCH(MID(";"&amp;'CASE DATA'!$F143&amp;";",ROW($1:$99),1),";")),"",ROW($1:$99)),COLUMN(E142))-1)</f>
        <v/>
      </c>
      <c r="AA143" s="29" t="str">
        <f t="array" ref="AA143">MID(";"&amp;'CASE DATA'!$F143&amp;";",SMALL(IF(ISERROR(SEARCH(MID(";"&amp;'CASE DATA'!$F143&amp;";",ROW($1:$99),1),";")),"",ROW($1:$99)+1),COLUMN(F143)),SMALL(IF(ISERROR(SEARCH(MID(";"&amp;'CASE DATA'!$F143&amp;";",ROW($1:$99),1),";")),"",ROW($1:$99)),COLUMN(F142)+1)-SMALL(IF(ISERROR(SEARCH(MID(";"&amp;'CASE DATA'!$F143&amp;";",ROW($1:$99),1),";")),"",ROW($1:$99)),COLUMN(F142))-1)</f>
        <v/>
      </c>
      <c r="AB143" s="29" t="str">
        <f t="array" ref="AB143">MID(";"&amp;'CASE DATA'!$F143&amp;";",SMALL(IF(ISERROR(SEARCH(MID(";"&amp;'CASE DATA'!$F143&amp;";",ROW($1:$99),1),";")),"",ROW($1:$99)+1),COLUMN(G143)),SMALL(IF(ISERROR(SEARCH(MID(";"&amp;'CASE DATA'!$F143&amp;";",ROW($1:$99),1),";")),"",ROW($1:$99)),COLUMN(G142)+1)-SMALL(IF(ISERROR(SEARCH(MID(";"&amp;'CASE DATA'!$F143&amp;";",ROW($1:$99),1),";")),"",ROW($1:$99)),COLUMN(G142))-1)</f>
        <v/>
      </c>
      <c r="AC143" s="29" t="str">
        <f t="array" ref="AC143">MID(";"&amp;'CASE DATA'!$F143&amp;";",SMALL(IF(ISERROR(SEARCH(MID(";"&amp;'CASE DATA'!$F143&amp;";",ROW($1:$99),1),";")),"",ROW($1:$99)+1),COLUMN(H143)),SMALL(IF(ISERROR(SEARCH(MID(";"&amp;'CASE DATA'!$F143&amp;";",ROW($1:$99),1),";")),"",ROW($1:$99)),COLUMN(H142)+1)-SMALL(IF(ISERROR(SEARCH(MID(";"&amp;'CASE DATA'!$F143&amp;";",ROW($1:$99),1),";")),"",ROW($1:$99)),COLUMN(H142))-1)</f>
        <v/>
      </c>
      <c r="AD143" s="29" t="str">
        <f t="array" ref="AD143">MID(";"&amp;'CASE DATA'!$F143&amp;";",SMALL(IF(ISERROR(SEARCH(MID(";"&amp;'CASE DATA'!$F143&amp;";",ROW($1:$99),1),";")),"",ROW($1:$99)+1),COLUMN(I143)),SMALL(IF(ISERROR(SEARCH(MID(";"&amp;'CASE DATA'!$F143&amp;";",ROW($1:$99),1),";")),"",ROW($1:$99)),COLUMN(I142)+1)-SMALL(IF(ISERROR(SEARCH(MID(";"&amp;'CASE DATA'!$F143&amp;";",ROW($1:$99),1),";")),"",ROW($1:$99)),COLUMN(I142))-1)</f>
        <v/>
      </c>
      <c r="AE143" s="29" t="str">
        <f t="array" ref="AE143">MID(";"&amp;'CASE DATA'!$F143&amp;";",SMALL(IF(ISERROR(SEARCH(MID(";"&amp;'CASE DATA'!$F143&amp;";",ROW($1:$99),1),";")),"",ROW($1:$99)+1),COLUMN(J143)),SMALL(IF(ISERROR(SEARCH(MID(";"&amp;'CASE DATA'!$F143&amp;";",ROW($1:$99),1),";")),"",ROW($1:$99)),COLUMN(J142)+1)-SMALL(IF(ISERROR(SEARCH(MID(";"&amp;'CASE DATA'!$F143&amp;";",ROW($1:$99),1),";")),"",ROW($1:$99)),COLUMN(J142))-1)</f>
        <v/>
      </c>
      <c r="AF143" s="29" t="str">
        <f t="array" ref="AF143">MID(";"&amp;'CASE DATA'!$F143&amp;";",SMALL(IF(ISERROR(SEARCH(MID(";"&amp;'CASE DATA'!$F143&amp;";",ROW($1:$99),1),";")),"",ROW($1:$99)+1),COLUMN(K143)),SMALL(IF(ISERROR(SEARCH(MID(";"&amp;'CASE DATA'!$F143&amp;";",ROW($1:$99),1),";")),"",ROW($1:$99)),COLUMN(K142)+1)-SMALL(IF(ISERROR(SEARCH(MID(";"&amp;'CASE DATA'!$F143&amp;";",ROW($1:$99),1),";")),"",ROW($1:$99)),COLUMN(K142))-1)</f>
        <v/>
      </c>
      <c r="AG143" s="29" t="str">
        <f t="array" ref="AG143">MID(";"&amp;'CASE DATA'!$F143&amp;";",SMALL(IF(ISERROR(SEARCH(MID(";"&amp;'CASE DATA'!$F143&amp;";",ROW($1:$99),1),";")),"",ROW($1:$99)+1),COLUMN(L143)),SMALL(IF(ISERROR(SEARCH(MID(";"&amp;'CASE DATA'!$F143&amp;";",ROW($1:$99),1),";")),"",ROW($1:$99)),COLUMN(L142)+1)-SMALL(IF(ISERROR(SEARCH(MID(";"&amp;'CASE DATA'!$F143&amp;";",ROW($1:$99),1),";")),"",ROW($1:$99)),COLUMN(L142))-1)</f>
        <v/>
      </c>
      <c r="AH143" s="29"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24"/>
      <c r="D144" s="24"/>
      <c r="E144" s="25"/>
      <c r="F144" s="30"/>
      <c r="J144" s="31"/>
      <c r="K144" s="31"/>
      <c r="L144" s="31"/>
      <c r="M144" s="31"/>
      <c r="N144" s="31"/>
      <c r="O144" s="31"/>
      <c r="P144" s="31"/>
      <c r="Q144" s="31"/>
      <c r="R144" s="31"/>
      <c r="S144" s="31"/>
      <c r="T144" s="28">
        <f t="shared" si="3"/>
        <v>0</v>
      </c>
      <c r="U144" s="28"/>
      <c r="W144" s="29" t="str">
        <f t="array" ref="W144">MID(";"&amp;'CASE DATA'!$F144&amp;";",SMALL(IF(ISERROR(SEARCH(MID(";"&amp;'CASE DATA'!$F144&amp;";",ROW($1:$99),1),";")),"",ROW($1:$99)+1),COLUMN(A144)),SMALL(IF(ISERROR(SEARCH(MID(";"&amp;'CASE DATA'!$F144&amp;";",ROW($1:$99),1),";")),"",ROW($1:$99)),COLUMN(A143)+1)-SMALL(IF(ISERROR(SEARCH(MID(";"&amp;'CASE DATA'!$F144&amp;";",ROW($1:$99),1),";")),"",ROW($1:$99)),COLUMN(A143))-1)</f>
        <v/>
      </c>
      <c r="X144" s="29" t="str">
        <f t="array" ref="X144">MID(";"&amp;'CASE DATA'!$F144&amp;";",SMALL(IF(ISERROR(SEARCH(MID(";"&amp;'CASE DATA'!$F144&amp;";",ROW($1:$99),1),";")),"",ROW($1:$99)+1),COLUMN(B144)),SMALL(IF(ISERROR(SEARCH(MID(";"&amp;'CASE DATA'!$F144&amp;";",ROW($1:$99),1),";")),"",ROW($1:$99)),COLUMN(B143)+1)-SMALL(IF(ISERROR(SEARCH(MID(";"&amp;'CASE DATA'!$F144&amp;";",ROW($1:$99),1),";")),"",ROW($1:$99)),COLUMN(B143))-1)</f>
        <v/>
      </c>
      <c r="Y144" s="29" t="str">
        <f t="array" ref="Y144">MID(";"&amp;'CASE DATA'!$F144&amp;";",SMALL(IF(ISERROR(SEARCH(MID(";"&amp;'CASE DATA'!$F144&amp;";",ROW($1:$99),1),";")),"",ROW($1:$99)+1),COLUMN(D144)),SMALL(IF(ISERROR(SEARCH(MID(";"&amp;'CASE DATA'!$F144&amp;";",ROW($1:$99),1),";")),"",ROW($1:$99)),COLUMN(D143)+1)-SMALL(IF(ISERROR(SEARCH(MID(";"&amp;'CASE DATA'!$F144&amp;";",ROW($1:$99),1),";")),"",ROW($1:$99)),COLUMN(D143))-1)</f>
        <v/>
      </c>
      <c r="Z144" s="29" t="str">
        <f t="array" ref="Z144">MID(";"&amp;'CASE DATA'!$F144&amp;";",SMALL(IF(ISERROR(SEARCH(MID(";"&amp;'CASE DATA'!$F144&amp;";",ROW($1:$99),1),";")),"",ROW($1:$99)+1),COLUMN(E144)),SMALL(IF(ISERROR(SEARCH(MID(";"&amp;'CASE DATA'!$F144&amp;";",ROW($1:$99),1),";")),"",ROW($1:$99)),COLUMN(E143)+1)-SMALL(IF(ISERROR(SEARCH(MID(";"&amp;'CASE DATA'!$F144&amp;";",ROW($1:$99),1),";")),"",ROW($1:$99)),COLUMN(E143))-1)</f>
        <v/>
      </c>
      <c r="AA144" s="29" t="str">
        <f t="array" ref="AA144">MID(";"&amp;'CASE DATA'!$F144&amp;";",SMALL(IF(ISERROR(SEARCH(MID(";"&amp;'CASE DATA'!$F144&amp;";",ROW($1:$99),1),";")),"",ROW($1:$99)+1),COLUMN(F144)),SMALL(IF(ISERROR(SEARCH(MID(";"&amp;'CASE DATA'!$F144&amp;";",ROW($1:$99),1),";")),"",ROW($1:$99)),COLUMN(F143)+1)-SMALL(IF(ISERROR(SEARCH(MID(";"&amp;'CASE DATA'!$F144&amp;";",ROW($1:$99),1),";")),"",ROW($1:$99)),COLUMN(F143))-1)</f>
        <v/>
      </c>
      <c r="AB144" s="29" t="str">
        <f t="array" ref="AB144">MID(";"&amp;'CASE DATA'!$F144&amp;";",SMALL(IF(ISERROR(SEARCH(MID(";"&amp;'CASE DATA'!$F144&amp;";",ROW($1:$99),1),";")),"",ROW($1:$99)+1),COLUMN(G144)),SMALL(IF(ISERROR(SEARCH(MID(";"&amp;'CASE DATA'!$F144&amp;";",ROW($1:$99),1),";")),"",ROW($1:$99)),COLUMN(G143)+1)-SMALL(IF(ISERROR(SEARCH(MID(";"&amp;'CASE DATA'!$F144&amp;";",ROW($1:$99),1),";")),"",ROW($1:$99)),COLUMN(G143))-1)</f>
        <v/>
      </c>
      <c r="AC144" s="29" t="str">
        <f t="array" ref="AC144">MID(";"&amp;'CASE DATA'!$F144&amp;";",SMALL(IF(ISERROR(SEARCH(MID(";"&amp;'CASE DATA'!$F144&amp;";",ROW($1:$99),1),";")),"",ROW($1:$99)+1),COLUMN(H144)),SMALL(IF(ISERROR(SEARCH(MID(";"&amp;'CASE DATA'!$F144&amp;";",ROW($1:$99),1),";")),"",ROW($1:$99)),COLUMN(H143)+1)-SMALL(IF(ISERROR(SEARCH(MID(";"&amp;'CASE DATA'!$F144&amp;";",ROW($1:$99),1),";")),"",ROW($1:$99)),COLUMN(H143))-1)</f>
        <v/>
      </c>
      <c r="AD144" s="29" t="str">
        <f t="array" ref="AD144">MID(";"&amp;'CASE DATA'!$F144&amp;";",SMALL(IF(ISERROR(SEARCH(MID(";"&amp;'CASE DATA'!$F144&amp;";",ROW($1:$99),1),";")),"",ROW($1:$99)+1),COLUMN(I144)),SMALL(IF(ISERROR(SEARCH(MID(";"&amp;'CASE DATA'!$F144&amp;";",ROW($1:$99),1),";")),"",ROW($1:$99)),COLUMN(I143)+1)-SMALL(IF(ISERROR(SEARCH(MID(";"&amp;'CASE DATA'!$F144&amp;";",ROW($1:$99),1),";")),"",ROW($1:$99)),COLUMN(I143))-1)</f>
        <v/>
      </c>
      <c r="AE144" s="29" t="str">
        <f t="array" ref="AE144">MID(";"&amp;'CASE DATA'!$F144&amp;";",SMALL(IF(ISERROR(SEARCH(MID(";"&amp;'CASE DATA'!$F144&amp;";",ROW($1:$99),1),";")),"",ROW($1:$99)+1),COLUMN(J144)),SMALL(IF(ISERROR(SEARCH(MID(";"&amp;'CASE DATA'!$F144&amp;";",ROW($1:$99),1),";")),"",ROW($1:$99)),COLUMN(J143)+1)-SMALL(IF(ISERROR(SEARCH(MID(";"&amp;'CASE DATA'!$F144&amp;";",ROW($1:$99),1),";")),"",ROW($1:$99)),COLUMN(J143))-1)</f>
        <v/>
      </c>
      <c r="AF144" s="29" t="str">
        <f t="array" ref="AF144">MID(";"&amp;'CASE DATA'!$F144&amp;";",SMALL(IF(ISERROR(SEARCH(MID(";"&amp;'CASE DATA'!$F144&amp;";",ROW($1:$99),1),";")),"",ROW($1:$99)+1),COLUMN(K144)),SMALL(IF(ISERROR(SEARCH(MID(";"&amp;'CASE DATA'!$F144&amp;";",ROW($1:$99),1),";")),"",ROW($1:$99)),COLUMN(K143)+1)-SMALL(IF(ISERROR(SEARCH(MID(";"&amp;'CASE DATA'!$F144&amp;";",ROW($1:$99),1),";")),"",ROW($1:$99)),COLUMN(K143))-1)</f>
        <v/>
      </c>
      <c r="AG144" s="29" t="str">
        <f t="array" ref="AG144">MID(";"&amp;'CASE DATA'!$F144&amp;";",SMALL(IF(ISERROR(SEARCH(MID(";"&amp;'CASE DATA'!$F144&amp;";",ROW($1:$99),1),";")),"",ROW($1:$99)+1),COLUMN(L144)),SMALL(IF(ISERROR(SEARCH(MID(";"&amp;'CASE DATA'!$F144&amp;";",ROW($1:$99),1),";")),"",ROW($1:$99)),COLUMN(L143)+1)-SMALL(IF(ISERROR(SEARCH(MID(";"&amp;'CASE DATA'!$F144&amp;";",ROW($1:$99),1),";")),"",ROW($1:$99)),COLUMN(L143))-1)</f>
        <v/>
      </c>
      <c r="AH144" s="29"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24"/>
      <c r="D145" s="24"/>
      <c r="E145" s="25"/>
      <c r="F145" s="30"/>
      <c r="J145" s="31"/>
      <c r="K145" s="31"/>
      <c r="L145" s="31"/>
      <c r="M145" s="31"/>
      <c r="N145" s="31"/>
      <c r="O145" s="31"/>
      <c r="P145" s="31"/>
      <c r="Q145" s="31"/>
      <c r="R145" s="31"/>
      <c r="S145" s="31"/>
      <c r="T145" s="28">
        <f t="shared" si="3"/>
        <v>0</v>
      </c>
      <c r="U145" s="28"/>
      <c r="W145" s="29" t="str">
        <f t="array" ref="W145">MID(";"&amp;'CASE DATA'!$F145&amp;";",SMALL(IF(ISERROR(SEARCH(MID(";"&amp;'CASE DATA'!$F145&amp;";",ROW($1:$99),1),";")),"",ROW($1:$99)+1),COLUMN(A145)),SMALL(IF(ISERROR(SEARCH(MID(";"&amp;'CASE DATA'!$F145&amp;";",ROW($1:$99),1),";")),"",ROW($1:$99)),COLUMN(A144)+1)-SMALL(IF(ISERROR(SEARCH(MID(";"&amp;'CASE DATA'!$F145&amp;";",ROW($1:$99),1),";")),"",ROW($1:$99)),COLUMN(A144))-1)</f>
        <v/>
      </c>
      <c r="X145" s="29" t="str">
        <f t="array" ref="X145">MID(";"&amp;'CASE DATA'!$F145&amp;";",SMALL(IF(ISERROR(SEARCH(MID(";"&amp;'CASE DATA'!$F145&amp;";",ROW($1:$99),1),";")),"",ROW($1:$99)+1),COLUMN(B145)),SMALL(IF(ISERROR(SEARCH(MID(";"&amp;'CASE DATA'!$F145&amp;";",ROW($1:$99),1),";")),"",ROW($1:$99)),COLUMN(B144)+1)-SMALL(IF(ISERROR(SEARCH(MID(";"&amp;'CASE DATA'!$F145&amp;";",ROW($1:$99),1),";")),"",ROW($1:$99)),COLUMN(B144))-1)</f>
        <v/>
      </c>
      <c r="Y145" s="29" t="str">
        <f t="array" ref="Y145">MID(";"&amp;'CASE DATA'!$F145&amp;";",SMALL(IF(ISERROR(SEARCH(MID(";"&amp;'CASE DATA'!$F145&amp;";",ROW($1:$99),1),";")),"",ROW($1:$99)+1),COLUMN(D145)),SMALL(IF(ISERROR(SEARCH(MID(";"&amp;'CASE DATA'!$F145&amp;";",ROW($1:$99),1),";")),"",ROW($1:$99)),COLUMN(D144)+1)-SMALL(IF(ISERROR(SEARCH(MID(";"&amp;'CASE DATA'!$F145&amp;";",ROW($1:$99),1),";")),"",ROW($1:$99)),COLUMN(D144))-1)</f>
        <v/>
      </c>
      <c r="Z145" s="29" t="str">
        <f t="array" ref="Z145">MID(";"&amp;'CASE DATA'!$F145&amp;";",SMALL(IF(ISERROR(SEARCH(MID(";"&amp;'CASE DATA'!$F145&amp;";",ROW($1:$99),1),";")),"",ROW($1:$99)+1),COLUMN(E145)),SMALL(IF(ISERROR(SEARCH(MID(";"&amp;'CASE DATA'!$F145&amp;";",ROW($1:$99),1),";")),"",ROW($1:$99)),COLUMN(E144)+1)-SMALL(IF(ISERROR(SEARCH(MID(";"&amp;'CASE DATA'!$F145&amp;";",ROW($1:$99),1),";")),"",ROW($1:$99)),COLUMN(E144))-1)</f>
        <v/>
      </c>
      <c r="AA145" s="29" t="str">
        <f t="array" ref="AA145">MID(";"&amp;'CASE DATA'!$F145&amp;";",SMALL(IF(ISERROR(SEARCH(MID(";"&amp;'CASE DATA'!$F145&amp;";",ROW($1:$99),1),";")),"",ROW($1:$99)+1),COLUMN(F145)),SMALL(IF(ISERROR(SEARCH(MID(";"&amp;'CASE DATA'!$F145&amp;";",ROW($1:$99),1),";")),"",ROW($1:$99)),COLUMN(F144)+1)-SMALL(IF(ISERROR(SEARCH(MID(";"&amp;'CASE DATA'!$F145&amp;";",ROW($1:$99),1),";")),"",ROW($1:$99)),COLUMN(F144))-1)</f>
        <v/>
      </c>
      <c r="AB145" s="29" t="str">
        <f t="array" ref="AB145">MID(";"&amp;'CASE DATA'!$F145&amp;";",SMALL(IF(ISERROR(SEARCH(MID(";"&amp;'CASE DATA'!$F145&amp;";",ROW($1:$99),1),";")),"",ROW($1:$99)+1),COLUMN(G145)),SMALL(IF(ISERROR(SEARCH(MID(";"&amp;'CASE DATA'!$F145&amp;";",ROW($1:$99),1),";")),"",ROW($1:$99)),COLUMN(G144)+1)-SMALL(IF(ISERROR(SEARCH(MID(";"&amp;'CASE DATA'!$F145&amp;";",ROW($1:$99),1),";")),"",ROW($1:$99)),COLUMN(G144))-1)</f>
        <v/>
      </c>
      <c r="AC145" s="29" t="str">
        <f t="array" ref="AC145">MID(";"&amp;'CASE DATA'!$F145&amp;";",SMALL(IF(ISERROR(SEARCH(MID(";"&amp;'CASE DATA'!$F145&amp;";",ROW($1:$99),1),";")),"",ROW($1:$99)+1),COLUMN(H145)),SMALL(IF(ISERROR(SEARCH(MID(";"&amp;'CASE DATA'!$F145&amp;";",ROW($1:$99),1),";")),"",ROW($1:$99)),COLUMN(H144)+1)-SMALL(IF(ISERROR(SEARCH(MID(";"&amp;'CASE DATA'!$F145&amp;";",ROW($1:$99),1),";")),"",ROW($1:$99)),COLUMN(H144))-1)</f>
        <v/>
      </c>
      <c r="AD145" s="29" t="str">
        <f t="array" ref="AD145">MID(";"&amp;'CASE DATA'!$F145&amp;";",SMALL(IF(ISERROR(SEARCH(MID(";"&amp;'CASE DATA'!$F145&amp;";",ROW($1:$99),1),";")),"",ROW($1:$99)+1),COLUMN(I145)),SMALL(IF(ISERROR(SEARCH(MID(";"&amp;'CASE DATA'!$F145&amp;";",ROW($1:$99),1),";")),"",ROW($1:$99)),COLUMN(I144)+1)-SMALL(IF(ISERROR(SEARCH(MID(";"&amp;'CASE DATA'!$F145&amp;";",ROW($1:$99),1),";")),"",ROW($1:$99)),COLUMN(I144))-1)</f>
        <v/>
      </c>
      <c r="AE145" s="29" t="str">
        <f t="array" ref="AE145">MID(";"&amp;'CASE DATA'!$F145&amp;";",SMALL(IF(ISERROR(SEARCH(MID(";"&amp;'CASE DATA'!$F145&amp;";",ROW($1:$99),1),";")),"",ROW($1:$99)+1),COLUMN(J145)),SMALL(IF(ISERROR(SEARCH(MID(";"&amp;'CASE DATA'!$F145&amp;";",ROW($1:$99),1),";")),"",ROW($1:$99)),COLUMN(J144)+1)-SMALL(IF(ISERROR(SEARCH(MID(";"&amp;'CASE DATA'!$F145&amp;";",ROW($1:$99),1),";")),"",ROW($1:$99)),COLUMN(J144))-1)</f>
        <v/>
      </c>
      <c r="AF145" s="29" t="str">
        <f t="array" ref="AF145">MID(";"&amp;'CASE DATA'!$F145&amp;";",SMALL(IF(ISERROR(SEARCH(MID(";"&amp;'CASE DATA'!$F145&amp;";",ROW($1:$99),1),";")),"",ROW($1:$99)+1),COLUMN(K145)),SMALL(IF(ISERROR(SEARCH(MID(";"&amp;'CASE DATA'!$F145&amp;";",ROW($1:$99),1),";")),"",ROW($1:$99)),COLUMN(K144)+1)-SMALL(IF(ISERROR(SEARCH(MID(";"&amp;'CASE DATA'!$F145&amp;";",ROW($1:$99),1),";")),"",ROW($1:$99)),COLUMN(K144))-1)</f>
        <v/>
      </c>
      <c r="AG145" s="29" t="str">
        <f t="array" ref="AG145">MID(";"&amp;'CASE DATA'!$F145&amp;";",SMALL(IF(ISERROR(SEARCH(MID(";"&amp;'CASE DATA'!$F145&amp;";",ROW($1:$99),1),";")),"",ROW($1:$99)+1),COLUMN(L145)),SMALL(IF(ISERROR(SEARCH(MID(";"&amp;'CASE DATA'!$F145&amp;";",ROW($1:$99),1),";")),"",ROW($1:$99)),COLUMN(L144)+1)-SMALL(IF(ISERROR(SEARCH(MID(";"&amp;'CASE DATA'!$F145&amp;";",ROW($1:$99),1),";")),"",ROW($1:$99)),COLUMN(L144))-1)</f>
        <v/>
      </c>
      <c r="AH145" s="29"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24"/>
      <c r="D146" s="24"/>
      <c r="E146" s="25"/>
      <c r="F146" s="30"/>
      <c r="J146" s="31"/>
      <c r="K146" s="31"/>
      <c r="L146" s="31"/>
      <c r="M146" s="31"/>
      <c r="N146" s="31"/>
      <c r="O146" s="31"/>
      <c r="P146" s="31"/>
      <c r="Q146" s="31"/>
      <c r="R146" s="31"/>
      <c r="S146" s="31"/>
      <c r="T146" s="28">
        <f t="shared" si="3"/>
        <v>0</v>
      </c>
      <c r="U146" s="28"/>
      <c r="W146" s="29" t="str">
        <f t="array" ref="W146">MID(";"&amp;'CASE DATA'!$F146&amp;";",SMALL(IF(ISERROR(SEARCH(MID(";"&amp;'CASE DATA'!$F146&amp;";",ROW($1:$99),1),";")),"",ROW($1:$99)+1),COLUMN(A146)),SMALL(IF(ISERROR(SEARCH(MID(";"&amp;'CASE DATA'!$F146&amp;";",ROW($1:$99),1),";")),"",ROW($1:$99)),COLUMN(A145)+1)-SMALL(IF(ISERROR(SEARCH(MID(";"&amp;'CASE DATA'!$F146&amp;";",ROW($1:$99),1),";")),"",ROW($1:$99)),COLUMN(A145))-1)</f>
        <v/>
      </c>
      <c r="X146" s="29" t="str">
        <f t="array" ref="X146">MID(";"&amp;'CASE DATA'!$F146&amp;";",SMALL(IF(ISERROR(SEARCH(MID(";"&amp;'CASE DATA'!$F146&amp;";",ROW($1:$99),1),";")),"",ROW($1:$99)+1),COLUMN(B146)),SMALL(IF(ISERROR(SEARCH(MID(";"&amp;'CASE DATA'!$F146&amp;";",ROW($1:$99),1),";")),"",ROW($1:$99)),COLUMN(B145)+1)-SMALL(IF(ISERROR(SEARCH(MID(";"&amp;'CASE DATA'!$F146&amp;";",ROW($1:$99),1),";")),"",ROW($1:$99)),COLUMN(B145))-1)</f>
        <v/>
      </c>
      <c r="Y146" s="29" t="str">
        <f t="array" ref="Y146">MID(";"&amp;'CASE DATA'!$F146&amp;";",SMALL(IF(ISERROR(SEARCH(MID(";"&amp;'CASE DATA'!$F146&amp;";",ROW($1:$99),1),";")),"",ROW($1:$99)+1),COLUMN(D146)),SMALL(IF(ISERROR(SEARCH(MID(";"&amp;'CASE DATA'!$F146&amp;";",ROW($1:$99),1),";")),"",ROW($1:$99)),COLUMN(D145)+1)-SMALL(IF(ISERROR(SEARCH(MID(";"&amp;'CASE DATA'!$F146&amp;";",ROW($1:$99),1),";")),"",ROW($1:$99)),COLUMN(D145))-1)</f>
        <v/>
      </c>
      <c r="Z146" s="29" t="str">
        <f t="array" ref="Z146">MID(";"&amp;'CASE DATA'!$F146&amp;";",SMALL(IF(ISERROR(SEARCH(MID(";"&amp;'CASE DATA'!$F146&amp;";",ROW($1:$99),1),";")),"",ROW($1:$99)+1),COLUMN(E146)),SMALL(IF(ISERROR(SEARCH(MID(";"&amp;'CASE DATA'!$F146&amp;";",ROW($1:$99),1),";")),"",ROW($1:$99)),COLUMN(E145)+1)-SMALL(IF(ISERROR(SEARCH(MID(";"&amp;'CASE DATA'!$F146&amp;";",ROW($1:$99),1),";")),"",ROW($1:$99)),COLUMN(E145))-1)</f>
        <v/>
      </c>
      <c r="AA146" s="29" t="str">
        <f t="array" ref="AA146">MID(";"&amp;'CASE DATA'!$F146&amp;";",SMALL(IF(ISERROR(SEARCH(MID(";"&amp;'CASE DATA'!$F146&amp;";",ROW($1:$99),1),";")),"",ROW($1:$99)+1),COLUMN(F146)),SMALL(IF(ISERROR(SEARCH(MID(";"&amp;'CASE DATA'!$F146&amp;";",ROW($1:$99),1),";")),"",ROW($1:$99)),COLUMN(F145)+1)-SMALL(IF(ISERROR(SEARCH(MID(";"&amp;'CASE DATA'!$F146&amp;";",ROW($1:$99),1),";")),"",ROW($1:$99)),COLUMN(F145))-1)</f>
        <v/>
      </c>
      <c r="AB146" s="29" t="str">
        <f t="array" ref="AB146">MID(";"&amp;'CASE DATA'!$F146&amp;";",SMALL(IF(ISERROR(SEARCH(MID(";"&amp;'CASE DATA'!$F146&amp;";",ROW($1:$99),1),";")),"",ROW($1:$99)+1),COLUMN(G146)),SMALL(IF(ISERROR(SEARCH(MID(";"&amp;'CASE DATA'!$F146&amp;";",ROW($1:$99),1),";")),"",ROW($1:$99)),COLUMN(G145)+1)-SMALL(IF(ISERROR(SEARCH(MID(";"&amp;'CASE DATA'!$F146&amp;";",ROW($1:$99),1),";")),"",ROW($1:$99)),COLUMN(G145))-1)</f>
        <v/>
      </c>
      <c r="AC146" s="29" t="str">
        <f t="array" ref="AC146">MID(";"&amp;'CASE DATA'!$F146&amp;";",SMALL(IF(ISERROR(SEARCH(MID(";"&amp;'CASE DATA'!$F146&amp;";",ROW($1:$99),1),";")),"",ROW($1:$99)+1),COLUMN(H146)),SMALL(IF(ISERROR(SEARCH(MID(";"&amp;'CASE DATA'!$F146&amp;";",ROW($1:$99),1),";")),"",ROW($1:$99)),COLUMN(H145)+1)-SMALL(IF(ISERROR(SEARCH(MID(";"&amp;'CASE DATA'!$F146&amp;";",ROW($1:$99),1),";")),"",ROW($1:$99)),COLUMN(H145))-1)</f>
        <v/>
      </c>
      <c r="AD146" s="29" t="str">
        <f t="array" ref="AD146">MID(";"&amp;'CASE DATA'!$F146&amp;";",SMALL(IF(ISERROR(SEARCH(MID(";"&amp;'CASE DATA'!$F146&amp;";",ROW($1:$99),1),";")),"",ROW($1:$99)+1),COLUMN(I146)),SMALL(IF(ISERROR(SEARCH(MID(";"&amp;'CASE DATA'!$F146&amp;";",ROW($1:$99),1),";")),"",ROW($1:$99)),COLUMN(I145)+1)-SMALL(IF(ISERROR(SEARCH(MID(";"&amp;'CASE DATA'!$F146&amp;";",ROW($1:$99),1),";")),"",ROW($1:$99)),COLUMN(I145))-1)</f>
        <v/>
      </c>
      <c r="AE146" s="29" t="str">
        <f t="array" ref="AE146">MID(";"&amp;'CASE DATA'!$F146&amp;";",SMALL(IF(ISERROR(SEARCH(MID(";"&amp;'CASE DATA'!$F146&amp;";",ROW($1:$99),1),";")),"",ROW($1:$99)+1),COLUMN(J146)),SMALL(IF(ISERROR(SEARCH(MID(";"&amp;'CASE DATA'!$F146&amp;";",ROW($1:$99),1),";")),"",ROW($1:$99)),COLUMN(J145)+1)-SMALL(IF(ISERROR(SEARCH(MID(";"&amp;'CASE DATA'!$F146&amp;";",ROW($1:$99),1),";")),"",ROW($1:$99)),COLUMN(J145))-1)</f>
        <v/>
      </c>
      <c r="AF146" s="29" t="str">
        <f t="array" ref="AF146">MID(";"&amp;'CASE DATA'!$F146&amp;";",SMALL(IF(ISERROR(SEARCH(MID(";"&amp;'CASE DATA'!$F146&amp;";",ROW($1:$99),1),";")),"",ROW($1:$99)+1),COLUMN(K146)),SMALL(IF(ISERROR(SEARCH(MID(";"&amp;'CASE DATA'!$F146&amp;";",ROW($1:$99),1),";")),"",ROW($1:$99)),COLUMN(K145)+1)-SMALL(IF(ISERROR(SEARCH(MID(";"&amp;'CASE DATA'!$F146&amp;";",ROW($1:$99),1),";")),"",ROW($1:$99)),COLUMN(K145))-1)</f>
        <v/>
      </c>
      <c r="AG146" s="29" t="str">
        <f t="array" ref="AG146">MID(";"&amp;'CASE DATA'!$F146&amp;";",SMALL(IF(ISERROR(SEARCH(MID(";"&amp;'CASE DATA'!$F146&amp;";",ROW($1:$99),1),";")),"",ROW($1:$99)+1),COLUMN(L146)),SMALL(IF(ISERROR(SEARCH(MID(";"&amp;'CASE DATA'!$F146&amp;";",ROW($1:$99),1),";")),"",ROW($1:$99)),COLUMN(L145)+1)-SMALL(IF(ISERROR(SEARCH(MID(";"&amp;'CASE DATA'!$F146&amp;";",ROW($1:$99),1),";")),"",ROW($1:$99)),COLUMN(L145))-1)</f>
        <v/>
      </c>
      <c r="AH146" s="29"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24"/>
      <c r="D147" s="24"/>
      <c r="E147" s="25"/>
      <c r="F147" s="30"/>
      <c r="J147" s="31"/>
      <c r="K147" s="31"/>
      <c r="L147" s="31"/>
      <c r="M147" s="31"/>
      <c r="N147" s="31"/>
      <c r="O147" s="31"/>
      <c r="P147" s="31"/>
      <c r="Q147" s="31"/>
      <c r="R147" s="31"/>
      <c r="S147" s="31"/>
      <c r="T147" s="28">
        <f t="shared" si="3"/>
        <v>0</v>
      </c>
      <c r="U147" s="28"/>
      <c r="W147" s="29" t="str">
        <f t="array" ref="W147">MID(";"&amp;'CASE DATA'!$F147&amp;";",SMALL(IF(ISERROR(SEARCH(MID(";"&amp;'CASE DATA'!$F147&amp;";",ROW($1:$99),1),";")),"",ROW($1:$99)+1),COLUMN(A147)),SMALL(IF(ISERROR(SEARCH(MID(";"&amp;'CASE DATA'!$F147&amp;";",ROW($1:$99),1),";")),"",ROW($1:$99)),COLUMN(A146)+1)-SMALL(IF(ISERROR(SEARCH(MID(";"&amp;'CASE DATA'!$F147&amp;";",ROW($1:$99),1),";")),"",ROW($1:$99)),COLUMN(A146))-1)</f>
        <v/>
      </c>
      <c r="X147" s="29" t="str">
        <f t="array" ref="X147">MID(";"&amp;'CASE DATA'!$F147&amp;";",SMALL(IF(ISERROR(SEARCH(MID(";"&amp;'CASE DATA'!$F147&amp;";",ROW($1:$99),1),";")),"",ROW($1:$99)+1),COLUMN(B147)),SMALL(IF(ISERROR(SEARCH(MID(";"&amp;'CASE DATA'!$F147&amp;";",ROW($1:$99),1),";")),"",ROW($1:$99)),COLUMN(B146)+1)-SMALL(IF(ISERROR(SEARCH(MID(";"&amp;'CASE DATA'!$F147&amp;";",ROW($1:$99),1),";")),"",ROW($1:$99)),COLUMN(B146))-1)</f>
        <v/>
      </c>
      <c r="Y147" s="29" t="str">
        <f t="array" ref="Y147">MID(";"&amp;'CASE DATA'!$F147&amp;";",SMALL(IF(ISERROR(SEARCH(MID(";"&amp;'CASE DATA'!$F147&amp;";",ROW($1:$99),1),";")),"",ROW($1:$99)+1),COLUMN(D147)),SMALL(IF(ISERROR(SEARCH(MID(";"&amp;'CASE DATA'!$F147&amp;";",ROW($1:$99),1),";")),"",ROW($1:$99)),COLUMN(D146)+1)-SMALL(IF(ISERROR(SEARCH(MID(";"&amp;'CASE DATA'!$F147&amp;";",ROW($1:$99),1),";")),"",ROW($1:$99)),COLUMN(D146))-1)</f>
        <v/>
      </c>
      <c r="Z147" s="29" t="str">
        <f t="array" ref="Z147">MID(";"&amp;'CASE DATA'!$F147&amp;";",SMALL(IF(ISERROR(SEARCH(MID(";"&amp;'CASE DATA'!$F147&amp;";",ROW($1:$99),1),";")),"",ROW($1:$99)+1),COLUMN(E147)),SMALL(IF(ISERROR(SEARCH(MID(";"&amp;'CASE DATA'!$F147&amp;";",ROW($1:$99),1),";")),"",ROW($1:$99)),COLUMN(E146)+1)-SMALL(IF(ISERROR(SEARCH(MID(";"&amp;'CASE DATA'!$F147&amp;";",ROW($1:$99),1),";")),"",ROW($1:$99)),COLUMN(E146))-1)</f>
        <v/>
      </c>
      <c r="AA147" s="29" t="str">
        <f t="array" ref="AA147">MID(";"&amp;'CASE DATA'!$F147&amp;";",SMALL(IF(ISERROR(SEARCH(MID(";"&amp;'CASE DATA'!$F147&amp;";",ROW($1:$99),1),";")),"",ROW($1:$99)+1),COLUMN(F147)),SMALL(IF(ISERROR(SEARCH(MID(";"&amp;'CASE DATA'!$F147&amp;";",ROW($1:$99),1),";")),"",ROW($1:$99)),COLUMN(F146)+1)-SMALL(IF(ISERROR(SEARCH(MID(";"&amp;'CASE DATA'!$F147&amp;";",ROW($1:$99),1),";")),"",ROW($1:$99)),COLUMN(F146))-1)</f>
        <v/>
      </c>
      <c r="AB147" s="29" t="str">
        <f t="array" ref="AB147">MID(";"&amp;'CASE DATA'!$F147&amp;";",SMALL(IF(ISERROR(SEARCH(MID(";"&amp;'CASE DATA'!$F147&amp;";",ROW($1:$99),1),";")),"",ROW($1:$99)+1),COLUMN(G147)),SMALL(IF(ISERROR(SEARCH(MID(";"&amp;'CASE DATA'!$F147&amp;";",ROW($1:$99),1),";")),"",ROW($1:$99)),COLUMN(G146)+1)-SMALL(IF(ISERROR(SEARCH(MID(";"&amp;'CASE DATA'!$F147&amp;";",ROW($1:$99),1),";")),"",ROW($1:$99)),COLUMN(G146))-1)</f>
        <v/>
      </c>
      <c r="AC147" s="29" t="str">
        <f t="array" ref="AC147">MID(";"&amp;'CASE DATA'!$F147&amp;";",SMALL(IF(ISERROR(SEARCH(MID(";"&amp;'CASE DATA'!$F147&amp;";",ROW($1:$99),1),";")),"",ROW($1:$99)+1),COLUMN(H147)),SMALL(IF(ISERROR(SEARCH(MID(";"&amp;'CASE DATA'!$F147&amp;";",ROW($1:$99),1),";")),"",ROW($1:$99)),COLUMN(H146)+1)-SMALL(IF(ISERROR(SEARCH(MID(";"&amp;'CASE DATA'!$F147&amp;";",ROW($1:$99),1),";")),"",ROW($1:$99)),COLUMN(H146))-1)</f>
        <v/>
      </c>
      <c r="AD147" s="29" t="str">
        <f t="array" ref="AD147">MID(";"&amp;'CASE DATA'!$F147&amp;";",SMALL(IF(ISERROR(SEARCH(MID(";"&amp;'CASE DATA'!$F147&amp;";",ROW($1:$99),1),";")),"",ROW($1:$99)+1),COLUMN(I147)),SMALL(IF(ISERROR(SEARCH(MID(";"&amp;'CASE DATA'!$F147&amp;";",ROW($1:$99),1),";")),"",ROW($1:$99)),COLUMN(I146)+1)-SMALL(IF(ISERROR(SEARCH(MID(";"&amp;'CASE DATA'!$F147&amp;";",ROW($1:$99),1),";")),"",ROW($1:$99)),COLUMN(I146))-1)</f>
        <v/>
      </c>
      <c r="AE147" s="29" t="str">
        <f t="array" ref="AE147">MID(";"&amp;'CASE DATA'!$F147&amp;";",SMALL(IF(ISERROR(SEARCH(MID(";"&amp;'CASE DATA'!$F147&amp;";",ROW($1:$99),1),";")),"",ROW($1:$99)+1),COLUMN(J147)),SMALL(IF(ISERROR(SEARCH(MID(";"&amp;'CASE DATA'!$F147&amp;";",ROW($1:$99),1),";")),"",ROW($1:$99)),COLUMN(J146)+1)-SMALL(IF(ISERROR(SEARCH(MID(";"&amp;'CASE DATA'!$F147&amp;";",ROW($1:$99),1),";")),"",ROW($1:$99)),COLUMN(J146))-1)</f>
        <v/>
      </c>
      <c r="AF147" s="29" t="str">
        <f t="array" ref="AF147">MID(";"&amp;'CASE DATA'!$F147&amp;";",SMALL(IF(ISERROR(SEARCH(MID(";"&amp;'CASE DATA'!$F147&amp;";",ROW($1:$99),1),";")),"",ROW($1:$99)+1),COLUMN(K147)),SMALL(IF(ISERROR(SEARCH(MID(";"&amp;'CASE DATA'!$F147&amp;";",ROW($1:$99),1),";")),"",ROW($1:$99)),COLUMN(K146)+1)-SMALL(IF(ISERROR(SEARCH(MID(";"&amp;'CASE DATA'!$F147&amp;";",ROW($1:$99),1),";")),"",ROW($1:$99)),COLUMN(K146))-1)</f>
        <v/>
      </c>
      <c r="AG147" s="29" t="str">
        <f t="array" ref="AG147">MID(";"&amp;'CASE DATA'!$F147&amp;";",SMALL(IF(ISERROR(SEARCH(MID(";"&amp;'CASE DATA'!$F147&amp;";",ROW($1:$99),1),";")),"",ROW($1:$99)+1),COLUMN(L147)),SMALL(IF(ISERROR(SEARCH(MID(";"&amp;'CASE DATA'!$F147&amp;";",ROW($1:$99),1),";")),"",ROW($1:$99)),COLUMN(L146)+1)-SMALL(IF(ISERROR(SEARCH(MID(";"&amp;'CASE DATA'!$F147&amp;";",ROW($1:$99),1),";")),"",ROW($1:$99)),COLUMN(L146))-1)</f>
        <v/>
      </c>
      <c r="AH147" s="29"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24"/>
      <c r="D148" s="24"/>
      <c r="E148" s="25"/>
      <c r="F148" s="30"/>
      <c r="J148" s="31"/>
      <c r="K148" s="31"/>
      <c r="L148" s="31"/>
      <c r="M148" s="31"/>
      <c r="N148" s="31"/>
      <c r="O148" s="31"/>
      <c r="P148" s="31"/>
      <c r="Q148" s="31"/>
      <c r="R148" s="31"/>
      <c r="S148" s="31"/>
      <c r="T148" s="28">
        <f t="shared" si="3"/>
        <v>0</v>
      </c>
      <c r="U148" s="28"/>
      <c r="W148" s="29" t="str">
        <f t="array" ref="W148">MID(";"&amp;'CASE DATA'!$F148&amp;";",SMALL(IF(ISERROR(SEARCH(MID(";"&amp;'CASE DATA'!$F148&amp;";",ROW($1:$99),1),";")),"",ROW($1:$99)+1),COLUMN(A148)),SMALL(IF(ISERROR(SEARCH(MID(";"&amp;'CASE DATA'!$F148&amp;";",ROW($1:$99),1),";")),"",ROW($1:$99)),COLUMN(A147)+1)-SMALL(IF(ISERROR(SEARCH(MID(";"&amp;'CASE DATA'!$F148&amp;";",ROW($1:$99),1),";")),"",ROW($1:$99)),COLUMN(A147))-1)</f>
        <v/>
      </c>
      <c r="X148" s="29" t="str">
        <f t="array" ref="X148">MID(";"&amp;'CASE DATA'!$F148&amp;";",SMALL(IF(ISERROR(SEARCH(MID(";"&amp;'CASE DATA'!$F148&amp;";",ROW($1:$99),1),";")),"",ROW($1:$99)+1),COLUMN(B148)),SMALL(IF(ISERROR(SEARCH(MID(";"&amp;'CASE DATA'!$F148&amp;";",ROW($1:$99),1),";")),"",ROW($1:$99)),COLUMN(B147)+1)-SMALL(IF(ISERROR(SEARCH(MID(";"&amp;'CASE DATA'!$F148&amp;";",ROW($1:$99),1),";")),"",ROW($1:$99)),COLUMN(B147))-1)</f>
        <v/>
      </c>
      <c r="Y148" s="29" t="str">
        <f t="array" ref="Y148">MID(";"&amp;'CASE DATA'!$F148&amp;";",SMALL(IF(ISERROR(SEARCH(MID(";"&amp;'CASE DATA'!$F148&amp;";",ROW($1:$99),1),";")),"",ROW($1:$99)+1),COLUMN(D148)),SMALL(IF(ISERROR(SEARCH(MID(";"&amp;'CASE DATA'!$F148&amp;";",ROW($1:$99),1),";")),"",ROW($1:$99)),COLUMN(D147)+1)-SMALL(IF(ISERROR(SEARCH(MID(";"&amp;'CASE DATA'!$F148&amp;";",ROW($1:$99),1),";")),"",ROW($1:$99)),COLUMN(D147))-1)</f>
        <v/>
      </c>
      <c r="Z148" s="29" t="str">
        <f t="array" ref="Z148">MID(";"&amp;'CASE DATA'!$F148&amp;";",SMALL(IF(ISERROR(SEARCH(MID(";"&amp;'CASE DATA'!$F148&amp;";",ROW($1:$99),1),";")),"",ROW($1:$99)+1),COLUMN(E148)),SMALL(IF(ISERROR(SEARCH(MID(";"&amp;'CASE DATA'!$F148&amp;";",ROW($1:$99),1),";")),"",ROW($1:$99)),COLUMN(E147)+1)-SMALL(IF(ISERROR(SEARCH(MID(";"&amp;'CASE DATA'!$F148&amp;";",ROW($1:$99),1),";")),"",ROW($1:$99)),COLUMN(E147))-1)</f>
        <v/>
      </c>
      <c r="AA148" s="29" t="str">
        <f t="array" ref="AA148">MID(";"&amp;'CASE DATA'!$F148&amp;";",SMALL(IF(ISERROR(SEARCH(MID(";"&amp;'CASE DATA'!$F148&amp;";",ROW($1:$99),1),";")),"",ROW($1:$99)+1),COLUMN(F148)),SMALL(IF(ISERROR(SEARCH(MID(";"&amp;'CASE DATA'!$F148&amp;";",ROW($1:$99),1),";")),"",ROW($1:$99)),COLUMN(F147)+1)-SMALL(IF(ISERROR(SEARCH(MID(";"&amp;'CASE DATA'!$F148&amp;";",ROW($1:$99),1),";")),"",ROW($1:$99)),COLUMN(F147))-1)</f>
        <v/>
      </c>
      <c r="AB148" s="29" t="str">
        <f t="array" ref="AB148">MID(";"&amp;'CASE DATA'!$F148&amp;";",SMALL(IF(ISERROR(SEARCH(MID(";"&amp;'CASE DATA'!$F148&amp;";",ROW($1:$99),1),";")),"",ROW($1:$99)+1),COLUMN(G148)),SMALL(IF(ISERROR(SEARCH(MID(";"&amp;'CASE DATA'!$F148&amp;";",ROW($1:$99),1),";")),"",ROW($1:$99)),COLUMN(G147)+1)-SMALL(IF(ISERROR(SEARCH(MID(";"&amp;'CASE DATA'!$F148&amp;";",ROW($1:$99),1),";")),"",ROW($1:$99)),COLUMN(G147))-1)</f>
        <v/>
      </c>
      <c r="AC148" s="29" t="str">
        <f t="array" ref="AC148">MID(";"&amp;'CASE DATA'!$F148&amp;";",SMALL(IF(ISERROR(SEARCH(MID(";"&amp;'CASE DATA'!$F148&amp;";",ROW($1:$99),1),";")),"",ROW($1:$99)+1),COLUMN(H148)),SMALL(IF(ISERROR(SEARCH(MID(";"&amp;'CASE DATA'!$F148&amp;";",ROW($1:$99),1),";")),"",ROW($1:$99)),COLUMN(H147)+1)-SMALL(IF(ISERROR(SEARCH(MID(";"&amp;'CASE DATA'!$F148&amp;";",ROW($1:$99),1),";")),"",ROW($1:$99)),COLUMN(H147))-1)</f>
        <v/>
      </c>
      <c r="AD148" s="29" t="str">
        <f t="array" ref="AD148">MID(";"&amp;'CASE DATA'!$F148&amp;";",SMALL(IF(ISERROR(SEARCH(MID(";"&amp;'CASE DATA'!$F148&amp;";",ROW($1:$99),1),";")),"",ROW($1:$99)+1),COLUMN(I148)),SMALL(IF(ISERROR(SEARCH(MID(";"&amp;'CASE DATA'!$F148&amp;";",ROW($1:$99),1),";")),"",ROW($1:$99)),COLUMN(I147)+1)-SMALL(IF(ISERROR(SEARCH(MID(";"&amp;'CASE DATA'!$F148&amp;";",ROW($1:$99),1),";")),"",ROW($1:$99)),COLUMN(I147))-1)</f>
        <v/>
      </c>
      <c r="AE148" s="29" t="str">
        <f t="array" ref="AE148">MID(";"&amp;'CASE DATA'!$F148&amp;";",SMALL(IF(ISERROR(SEARCH(MID(";"&amp;'CASE DATA'!$F148&amp;";",ROW($1:$99),1),";")),"",ROW($1:$99)+1),COLUMN(J148)),SMALL(IF(ISERROR(SEARCH(MID(";"&amp;'CASE DATA'!$F148&amp;";",ROW($1:$99),1),";")),"",ROW($1:$99)),COLUMN(J147)+1)-SMALL(IF(ISERROR(SEARCH(MID(";"&amp;'CASE DATA'!$F148&amp;";",ROW($1:$99),1),";")),"",ROW($1:$99)),COLUMN(J147))-1)</f>
        <v/>
      </c>
      <c r="AF148" s="29" t="str">
        <f t="array" ref="AF148">MID(";"&amp;'CASE DATA'!$F148&amp;";",SMALL(IF(ISERROR(SEARCH(MID(";"&amp;'CASE DATA'!$F148&amp;";",ROW($1:$99),1),";")),"",ROW($1:$99)+1),COLUMN(K148)),SMALL(IF(ISERROR(SEARCH(MID(";"&amp;'CASE DATA'!$F148&amp;";",ROW($1:$99),1),";")),"",ROW($1:$99)),COLUMN(K147)+1)-SMALL(IF(ISERROR(SEARCH(MID(";"&amp;'CASE DATA'!$F148&amp;";",ROW($1:$99),1),";")),"",ROW($1:$99)),COLUMN(K147))-1)</f>
        <v/>
      </c>
      <c r="AG148" s="29" t="str">
        <f t="array" ref="AG148">MID(";"&amp;'CASE DATA'!$F148&amp;";",SMALL(IF(ISERROR(SEARCH(MID(";"&amp;'CASE DATA'!$F148&amp;";",ROW($1:$99),1),";")),"",ROW($1:$99)+1),COLUMN(L148)),SMALL(IF(ISERROR(SEARCH(MID(";"&amp;'CASE DATA'!$F148&amp;";",ROW($1:$99),1),";")),"",ROW($1:$99)),COLUMN(L147)+1)-SMALL(IF(ISERROR(SEARCH(MID(";"&amp;'CASE DATA'!$F148&amp;";",ROW($1:$99),1),";")),"",ROW($1:$99)),COLUMN(L147))-1)</f>
        <v/>
      </c>
      <c r="AH148" s="29"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24"/>
      <c r="D149" s="24"/>
      <c r="E149" s="25"/>
      <c r="F149" s="30"/>
      <c r="J149" s="31"/>
      <c r="K149" s="31"/>
      <c r="L149" s="31"/>
      <c r="M149" s="31"/>
      <c r="N149" s="31"/>
      <c r="O149" s="31"/>
      <c r="P149" s="31"/>
      <c r="Q149" s="31"/>
      <c r="R149" s="31"/>
      <c r="S149" s="31"/>
      <c r="T149" s="28">
        <f t="shared" si="3"/>
        <v>0</v>
      </c>
      <c r="U149" s="28"/>
      <c r="W149" s="29" t="str">
        <f t="array" ref="W149">MID(";"&amp;'CASE DATA'!$F149&amp;";",SMALL(IF(ISERROR(SEARCH(MID(";"&amp;'CASE DATA'!$F149&amp;";",ROW($1:$99),1),";")),"",ROW($1:$99)+1),COLUMN(A149)),SMALL(IF(ISERROR(SEARCH(MID(";"&amp;'CASE DATA'!$F149&amp;";",ROW($1:$99),1),";")),"",ROW($1:$99)),COLUMN(A148)+1)-SMALL(IF(ISERROR(SEARCH(MID(";"&amp;'CASE DATA'!$F149&amp;";",ROW($1:$99),1),";")),"",ROW($1:$99)),COLUMN(A148))-1)</f>
        <v/>
      </c>
      <c r="X149" s="29" t="str">
        <f t="array" ref="X149">MID(";"&amp;'CASE DATA'!$F149&amp;";",SMALL(IF(ISERROR(SEARCH(MID(";"&amp;'CASE DATA'!$F149&amp;";",ROW($1:$99),1),";")),"",ROW($1:$99)+1),COLUMN(B149)),SMALL(IF(ISERROR(SEARCH(MID(";"&amp;'CASE DATA'!$F149&amp;";",ROW($1:$99),1),";")),"",ROW($1:$99)),COLUMN(B148)+1)-SMALL(IF(ISERROR(SEARCH(MID(";"&amp;'CASE DATA'!$F149&amp;";",ROW($1:$99),1),";")),"",ROW($1:$99)),COLUMN(B148))-1)</f>
        <v/>
      </c>
      <c r="Y149" s="29" t="str">
        <f t="array" ref="Y149">MID(";"&amp;'CASE DATA'!$F149&amp;";",SMALL(IF(ISERROR(SEARCH(MID(";"&amp;'CASE DATA'!$F149&amp;";",ROW($1:$99),1),";")),"",ROW($1:$99)+1),COLUMN(D149)),SMALL(IF(ISERROR(SEARCH(MID(";"&amp;'CASE DATA'!$F149&amp;";",ROW($1:$99),1),";")),"",ROW($1:$99)),COLUMN(D148)+1)-SMALL(IF(ISERROR(SEARCH(MID(";"&amp;'CASE DATA'!$F149&amp;";",ROW($1:$99),1),";")),"",ROW($1:$99)),COLUMN(D148))-1)</f>
        <v/>
      </c>
      <c r="Z149" s="29" t="str">
        <f t="array" ref="Z149">MID(";"&amp;'CASE DATA'!$F149&amp;";",SMALL(IF(ISERROR(SEARCH(MID(";"&amp;'CASE DATA'!$F149&amp;";",ROW($1:$99),1),";")),"",ROW($1:$99)+1),COLUMN(E149)),SMALL(IF(ISERROR(SEARCH(MID(";"&amp;'CASE DATA'!$F149&amp;";",ROW($1:$99),1),";")),"",ROW($1:$99)),COLUMN(E148)+1)-SMALL(IF(ISERROR(SEARCH(MID(";"&amp;'CASE DATA'!$F149&amp;";",ROW($1:$99),1),";")),"",ROW($1:$99)),COLUMN(E148))-1)</f>
        <v/>
      </c>
      <c r="AA149" s="29" t="str">
        <f t="array" ref="AA149">MID(";"&amp;'CASE DATA'!$F149&amp;";",SMALL(IF(ISERROR(SEARCH(MID(";"&amp;'CASE DATA'!$F149&amp;";",ROW($1:$99),1),";")),"",ROW($1:$99)+1),COLUMN(F149)),SMALL(IF(ISERROR(SEARCH(MID(";"&amp;'CASE DATA'!$F149&amp;";",ROW($1:$99),1),";")),"",ROW($1:$99)),COLUMN(F148)+1)-SMALL(IF(ISERROR(SEARCH(MID(";"&amp;'CASE DATA'!$F149&amp;";",ROW($1:$99),1),";")),"",ROW($1:$99)),COLUMN(F148))-1)</f>
        <v/>
      </c>
      <c r="AB149" s="29" t="str">
        <f t="array" ref="AB149">MID(";"&amp;'CASE DATA'!$F149&amp;";",SMALL(IF(ISERROR(SEARCH(MID(";"&amp;'CASE DATA'!$F149&amp;";",ROW($1:$99),1),";")),"",ROW($1:$99)+1),COLUMN(G149)),SMALL(IF(ISERROR(SEARCH(MID(";"&amp;'CASE DATA'!$F149&amp;";",ROW($1:$99),1),";")),"",ROW($1:$99)),COLUMN(G148)+1)-SMALL(IF(ISERROR(SEARCH(MID(";"&amp;'CASE DATA'!$F149&amp;";",ROW($1:$99),1),";")),"",ROW($1:$99)),COLUMN(G148))-1)</f>
        <v/>
      </c>
      <c r="AC149" s="29" t="str">
        <f t="array" ref="AC149">MID(";"&amp;'CASE DATA'!$F149&amp;";",SMALL(IF(ISERROR(SEARCH(MID(";"&amp;'CASE DATA'!$F149&amp;";",ROW($1:$99),1),";")),"",ROW($1:$99)+1),COLUMN(H149)),SMALL(IF(ISERROR(SEARCH(MID(";"&amp;'CASE DATA'!$F149&amp;";",ROW($1:$99),1),";")),"",ROW($1:$99)),COLUMN(H148)+1)-SMALL(IF(ISERROR(SEARCH(MID(";"&amp;'CASE DATA'!$F149&amp;";",ROW($1:$99),1),";")),"",ROW($1:$99)),COLUMN(H148))-1)</f>
        <v/>
      </c>
      <c r="AD149" s="29" t="str">
        <f t="array" ref="AD149">MID(";"&amp;'CASE DATA'!$F149&amp;";",SMALL(IF(ISERROR(SEARCH(MID(";"&amp;'CASE DATA'!$F149&amp;";",ROW($1:$99),1),";")),"",ROW($1:$99)+1),COLUMN(I149)),SMALL(IF(ISERROR(SEARCH(MID(";"&amp;'CASE DATA'!$F149&amp;";",ROW($1:$99),1),";")),"",ROW($1:$99)),COLUMN(I148)+1)-SMALL(IF(ISERROR(SEARCH(MID(";"&amp;'CASE DATA'!$F149&amp;";",ROW($1:$99),1),";")),"",ROW($1:$99)),COLUMN(I148))-1)</f>
        <v/>
      </c>
      <c r="AE149" s="29" t="str">
        <f t="array" ref="AE149">MID(";"&amp;'CASE DATA'!$F149&amp;";",SMALL(IF(ISERROR(SEARCH(MID(";"&amp;'CASE DATA'!$F149&amp;";",ROW($1:$99),1),";")),"",ROW($1:$99)+1),COLUMN(J149)),SMALL(IF(ISERROR(SEARCH(MID(";"&amp;'CASE DATA'!$F149&amp;";",ROW($1:$99),1),";")),"",ROW($1:$99)),COLUMN(J148)+1)-SMALL(IF(ISERROR(SEARCH(MID(";"&amp;'CASE DATA'!$F149&amp;";",ROW($1:$99),1),";")),"",ROW($1:$99)),COLUMN(J148))-1)</f>
        <v/>
      </c>
      <c r="AF149" s="29" t="str">
        <f t="array" ref="AF149">MID(";"&amp;'CASE DATA'!$F149&amp;";",SMALL(IF(ISERROR(SEARCH(MID(";"&amp;'CASE DATA'!$F149&amp;";",ROW($1:$99),1),";")),"",ROW($1:$99)+1),COLUMN(K149)),SMALL(IF(ISERROR(SEARCH(MID(";"&amp;'CASE DATA'!$F149&amp;";",ROW($1:$99),1),";")),"",ROW($1:$99)),COLUMN(K148)+1)-SMALL(IF(ISERROR(SEARCH(MID(";"&amp;'CASE DATA'!$F149&amp;";",ROW($1:$99),1),";")),"",ROW($1:$99)),COLUMN(K148))-1)</f>
        <v/>
      </c>
      <c r="AG149" s="29" t="str">
        <f t="array" ref="AG149">MID(";"&amp;'CASE DATA'!$F149&amp;";",SMALL(IF(ISERROR(SEARCH(MID(";"&amp;'CASE DATA'!$F149&amp;";",ROW($1:$99),1),";")),"",ROW($1:$99)+1),COLUMN(L149)),SMALL(IF(ISERROR(SEARCH(MID(";"&amp;'CASE DATA'!$F149&amp;";",ROW($1:$99),1),";")),"",ROW($1:$99)),COLUMN(L148)+1)-SMALL(IF(ISERROR(SEARCH(MID(";"&amp;'CASE DATA'!$F149&amp;";",ROW($1:$99),1),";")),"",ROW($1:$99)),COLUMN(L148))-1)</f>
        <v/>
      </c>
      <c r="AH149" s="29"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24"/>
      <c r="D150" s="24"/>
      <c r="E150" s="25"/>
      <c r="F150" s="30"/>
      <c r="J150" s="31"/>
      <c r="K150" s="31"/>
      <c r="L150" s="31"/>
      <c r="M150" s="31"/>
      <c r="N150" s="31"/>
      <c r="O150" s="31"/>
      <c r="P150" s="31"/>
      <c r="Q150" s="31"/>
      <c r="R150" s="31"/>
      <c r="S150" s="31"/>
      <c r="T150" s="28">
        <f t="shared" si="3"/>
        <v>0</v>
      </c>
      <c r="U150" s="28"/>
      <c r="W150" s="29" t="str">
        <f t="array" ref="W150">MID(";"&amp;'CASE DATA'!$F150&amp;";",SMALL(IF(ISERROR(SEARCH(MID(";"&amp;'CASE DATA'!$F150&amp;";",ROW($1:$99),1),";")),"",ROW($1:$99)+1),COLUMN(A150)),SMALL(IF(ISERROR(SEARCH(MID(";"&amp;'CASE DATA'!$F150&amp;";",ROW($1:$99),1),";")),"",ROW($1:$99)),COLUMN(A149)+1)-SMALL(IF(ISERROR(SEARCH(MID(";"&amp;'CASE DATA'!$F150&amp;";",ROW($1:$99),1),";")),"",ROW($1:$99)),COLUMN(A149))-1)</f>
        <v/>
      </c>
      <c r="X150" s="29" t="str">
        <f t="array" ref="X150">MID(";"&amp;'CASE DATA'!$F150&amp;";",SMALL(IF(ISERROR(SEARCH(MID(";"&amp;'CASE DATA'!$F150&amp;";",ROW($1:$99),1),";")),"",ROW($1:$99)+1),COLUMN(B150)),SMALL(IF(ISERROR(SEARCH(MID(";"&amp;'CASE DATA'!$F150&amp;";",ROW($1:$99),1),";")),"",ROW($1:$99)),COLUMN(B149)+1)-SMALL(IF(ISERROR(SEARCH(MID(";"&amp;'CASE DATA'!$F150&amp;";",ROW($1:$99),1),";")),"",ROW($1:$99)),COLUMN(B149))-1)</f>
        <v/>
      </c>
      <c r="Y150" s="29" t="str">
        <f t="array" ref="Y150">MID(";"&amp;'CASE DATA'!$F150&amp;";",SMALL(IF(ISERROR(SEARCH(MID(";"&amp;'CASE DATA'!$F150&amp;";",ROW($1:$99),1),";")),"",ROW($1:$99)+1),COLUMN(D150)),SMALL(IF(ISERROR(SEARCH(MID(";"&amp;'CASE DATA'!$F150&amp;";",ROW($1:$99),1),";")),"",ROW($1:$99)),COLUMN(D149)+1)-SMALL(IF(ISERROR(SEARCH(MID(";"&amp;'CASE DATA'!$F150&amp;";",ROW($1:$99),1),";")),"",ROW($1:$99)),COLUMN(D149))-1)</f>
        <v/>
      </c>
      <c r="Z150" s="29" t="str">
        <f t="array" ref="Z150">MID(";"&amp;'CASE DATA'!$F150&amp;";",SMALL(IF(ISERROR(SEARCH(MID(";"&amp;'CASE DATA'!$F150&amp;";",ROW($1:$99),1),";")),"",ROW($1:$99)+1),COLUMN(E150)),SMALL(IF(ISERROR(SEARCH(MID(";"&amp;'CASE DATA'!$F150&amp;";",ROW($1:$99),1),";")),"",ROW($1:$99)),COLUMN(E149)+1)-SMALL(IF(ISERROR(SEARCH(MID(";"&amp;'CASE DATA'!$F150&amp;";",ROW($1:$99),1),";")),"",ROW($1:$99)),COLUMN(E149))-1)</f>
        <v/>
      </c>
      <c r="AA150" s="29" t="str">
        <f t="array" ref="AA150">MID(";"&amp;'CASE DATA'!$F150&amp;";",SMALL(IF(ISERROR(SEARCH(MID(";"&amp;'CASE DATA'!$F150&amp;";",ROW($1:$99),1),";")),"",ROW($1:$99)+1),COLUMN(F150)),SMALL(IF(ISERROR(SEARCH(MID(";"&amp;'CASE DATA'!$F150&amp;";",ROW($1:$99),1),";")),"",ROW($1:$99)),COLUMN(F149)+1)-SMALL(IF(ISERROR(SEARCH(MID(";"&amp;'CASE DATA'!$F150&amp;";",ROW($1:$99),1),";")),"",ROW($1:$99)),COLUMN(F149))-1)</f>
        <v/>
      </c>
      <c r="AB150" s="29" t="str">
        <f t="array" ref="AB150">MID(";"&amp;'CASE DATA'!$F150&amp;";",SMALL(IF(ISERROR(SEARCH(MID(";"&amp;'CASE DATA'!$F150&amp;";",ROW($1:$99),1),";")),"",ROW($1:$99)+1),COLUMN(G150)),SMALL(IF(ISERROR(SEARCH(MID(";"&amp;'CASE DATA'!$F150&amp;";",ROW($1:$99),1),";")),"",ROW($1:$99)),COLUMN(G149)+1)-SMALL(IF(ISERROR(SEARCH(MID(";"&amp;'CASE DATA'!$F150&amp;";",ROW($1:$99),1),";")),"",ROW($1:$99)),COLUMN(G149))-1)</f>
        <v/>
      </c>
      <c r="AC150" s="29" t="str">
        <f t="array" ref="AC150">MID(";"&amp;'CASE DATA'!$F150&amp;";",SMALL(IF(ISERROR(SEARCH(MID(";"&amp;'CASE DATA'!$F150&amp;";",ROW($1:$99),1),";")),"",ROW($1:$99)+1),COLUMN(H150)),SMALL(IF(ISERROR(SEARCH(MID(";"&amp;'CASE DATA'!$F150&amp;";",ROW($1:$99),1),";")),"",ROW($1:$99)),COLUMN(H149)+1)-SMALL(IF(ISERROR(SEARCH(MID(";"&amp;'CASE DATA'!$F150&amp;";",ROW($1:$99),1),";")),"",ROW($1:$99)),COLUMN(H149))-1)</f>
        <v/>
      </c>
      <c r="AD150" s="29" t="str">
        <f t="array" ref="AD150">MID(";"&amp;'CASE DATA'!$F150&amp;";",SMALL(IF(ISERROR(SEARCH(MID(";"&amp;'CASE DATA'!$F150&amp;";",ROW($1:$99),1),";")),"",ROW($1:$99)+1),COLUMN(I150)),SMALL(IF(ISERROR(SEARCH(MID(";"&amp;'CASE DATA'!$F150&amp;";",ROW($1:$99),1),";")),"",ROW($1:$99)),COLUMN(I149)+1)-SMALL(IF(ISERROR(SEARCH(MID(";"&amp;'CASE DATA'!$F150&amp;";",ROW($1:$99),1),";")),"",ROW($1:$99)),COLUMN(I149))-1)</f>
        <v/>
      </c>
      <c r="AE150" s="29" t="str">
        <f t="array" ref="AE150">MID(";"&amp;'CASE DATA'!$F150&amp;";",SMALL(IF(ISERROR(SEARCH(MID(";"&amp;'CASE DATA'!$F150&amp;";",ROW($1:$99),1),";")),"",ROW($1:$99)+1),COLUMN(J150)),SMALL(IF(ISERROR(SEARCH(MID(";"&amp;'CASE DATA'!$F150&amp;";",ROW($1:$99),1),";")),"",ROW($1:$99)),COLUMN(J149)+1)-SMALL(IF(ISERROR(SEARCH(MID(";"&amp;'CASE DATA'!$F150&amp;";",ROW($1:$99),1),";")),"",ROW($1:$99)),COLUMN(J149))-1)</f>
        <v/>
      </c>
      <c r="AF150" s="29" t="str">
        <f t="array" ref="AF150">MID(";"&amp;'CASE DATA'!$F150&amp;";",SMALL(IF(ISERROR(SEARCH(MID(";"&amp;'CASE DATA'!$F150&amp;";",ROW($1:$99),1),";")),"",ROW($1:$99)+1),COLUMN(K150)),SMALL(IF(ISERROR(SEARCH(MID(";"&amp;'CASE DATA'!$F150&amp;";",ROW($1:$99),1),";")),"",ROW($1:$99)),COLUMN(K149)+1)-SMALL(IF(ISERROR(SEARCH(MID(";"&amp;'CASE DATA'!$F150&amp;";",ROW($1:$99),1),";")),"",ROW($1:$99)),COLUMN(K149))-1)</f>
        <v/>
      </c>
      <c r="AG150" s="29" t="str">
        <f t="array" ref="AG150">MID(";"&amp;'CASE DATA'!$F150&amp;";",SMALL(IF(ISERROR(SEARCH(MID(";"&amp;'CASE DATA'!$F150&amp;";",ROW($1:$99),1),";")),"",ROW($1:$99)+1),COLUMN(L150)),SMALL(IF(ISERROR(SEARCH(MID(";"&amp;'CASE DATA'!$F150&amp;";",ROW($1:$99),1),";")),"",ROW($1:$99)),COLUMN(L149)+1)-SMALL(IF(ISERROR(SEARCH(MID(";"&amp;'CASE DATA'!$F150&amp;";",ROW($1:$99),1),";")),"",ROW($1:$99)),COLUMN(L149))-1)</f>
        <v/>
      </c>
      <c r="AH150" s="29"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24"/>
      <c r="D151" s="24"/>
      <c r="E151" s="25"/>
      <c r="F151" s="30"/>
      <c r="J151" s="31"/>
      <c r="K151" s="31"/>
      <c r="L151" s="31"/>
      <c r="M151" s="31"/>
      <c r="N151" s="31"/>
      <c r="O151" s="31"/>
      <c r="P151" s="31"/>
      <c r="Q151" s="31"/>
      <c r="R151" s="31"/>
      <c r="S151" s="31"/>
      <c r="T151" s="28">
        <f t="shared" si="3"/>
        <v>0</v>
      </c>
      <c r="U151" s="28"/>
      <c r="W151" s="29" t="str">
        <f t="array" ref="W151">MID(";"&amp;'CASE DATA'!$F151&amp;";",SMALL(IF(ISERROR(SEARCH(MID(";"&amp;'CASE DATA'!$F151&amp;";",ROW($1:$99),1),";")),"",ROW($1:$99)+1),COLUMN(A151)),SMALL(IF(ISERROR(SEARCH(MID(";"&amp;'CASE DATA'!$F151&amp;";",ROW($1:$99),1),";")),"",ROW($1:$99)),COLUMN(A150)+1)-SMALL(IF(ISERROR(SEARCH(MID(";"&amp;'CASE DATA'!$F151&amp;";",ROW($1:$99),1),";")),"",ROW($1:$99)),COLUMN(A150))-1)</f>
        <v/>
      </c>
      <c r="X151" s="29" t="str">
        <f t="array" ref="X151">MID(";"&amp;'CASE DATA'!$F151&amp;";",SMALL(IF(ISERROR(SEARCH(MID(";"&amp;'CASE DATA'!$F151&amp;";",ROW($1:$99),1),";")),"",ROW($1:$99)+1),COLUMN(B151)),SMALL(IF(ISERROR(SEARCH(MID(";"&amp;'CASE DATA'!$F151&amp;";",ROW($1:$99),1),";")),"",ROW($1:$99)),COLUMN(B150)+1)-SMALL(IF(ISERROR(SEARCH(MID(";"&amp;'CASE DATA'!$F151&amp;";",ROW($1:$99),1),";")),"",ROW($1:$99)),COLUMN(B150))-1)</f>
        <v/>
      </c>
      <c r="Y151" s="29" t="str">
        <f t="array" ref="Y151">MID(";"&amp;'CASE DATA'!$F151&amp;";",SMALL(IF(ISERROR(SEARCH(MID(";"&amp;'CASE DATA'!$F151&amp;";",ROW($1:$99),1),";")),"",ROW($1:$99)+1),COLUMN(D151)),SMALL(IF(ISERROR(SEARCH(MID(";"&amp;'CASE DATA'!$F151&amp;";",ROW($1:$99),1),";")),"",ROW($1:$99)),COLUMN(D150)+1)-SMALL(IF(ISERROR(SEARCH(MID(";"&amp;'CASE DATA'!$F151&amp;";",ROW($1:$99),1),";")),"",ROW($1:$99)),COLUMN(D150))-1)</f>
        <v/>
      </c>
      <c r="Z151" s="29" t="str">
        <f t="array" ref="Z151">MID(";"&amp;'CASE DATA'!$F151&amp;";",SMALL(IF(ISERROR(SEARCH(MID(";"&amp;'CASE DATA'!$F151&amp;";",ROW($1:$99),1),";")),"",ROW($1:$99)+1),COLUMN(E151)),SMALL(IF(ISERROR(SEARCH(MID(";"&amp;'CASE DATA'!$F151&amp;";",ROW($1:$99),1),";")),"",ROW($1:$99)),COLUMN(E150)+1)-SMALL(IF(ISERROR(SEARCH(MID(";"&amp;'CASE DATA'!$F151&amp;";",ROW($1:$99),1),";")),"",ROW($1:$99)),COLUMN(E150))-1)</f>
        <v/>
      </c>
      <c r="AA151" s="29" t="str">
        <f t="array" ref="AA151">MID(";"&amp;'CASE DATA'!$F151&amp;";",SMALL(IF(ISERROR(SEARCH(MID(";"&amp;'CASE DATA'!$F151&amp;";",ROW($1:$99),1),";")),"",ROW($1:$99)+1),COLUMN(F151)),SMALL(IF(ISERROR(SEARCH(MID(";"&amp;'CASE DATA'!$F151&amp;";",ROW($1:$99),1),";")),"",ROW($1:$99)),COLUMN(F150)+1)-SMALL(IF(ISERROR(SEARCH(MID(";"&amp;'CASE DATA'!$F151&amp;";",ROW($1:$99),1),";")),"",ROW($1:$99)),COLUMN(F150))-1)</f>
        <v/>
      </c>
      <c r="AB151" s="29" t="str">
        <f t="array" ref="AB151">MID(";"&amp;'CASE DATA'!$F151&amp;";",SMALL(IF(ISERROR(SEARCH(MID(";"&amp;'CASE DATA'!$F151&amp;";",ROW($1:$99),1),";")),"",ROW($1:$99)+1),COLUMN(G151)),SMALL(IF(ISERROR(SEARCH(MID(";"&amp;'CASE DATA'!$F151&amp;";",ROW($1:$99),1),";")),"",ROW($1:$99)),COLUMN(G150)+1)-SMALL(IF(ISERROR(SEARCH(MID(";"&amp;'CASE DATA'!$F151&amp;";",ROW($1:$99),1),";")),"",ROW($1:$99)),COLUMN(G150))-1)</f>
        <v/>
      </c>
      <c r="AC151" s="29" t="str">
        <f t="array" ref="AC151">MID(";"&amp;'CASE DATA'!$F151&amp;";",SMALL(IF(ISERROR(SEARCH(MID(";"&amp;'CASE DATA'!$F151&amp;";",ROW($1:$99),1),";")),"",ROW($1:$99)+1),COLUMN(H151)),SMALL(IF(ISERROR(SEARCH(MID(";"&amp;'CASE DATA'!$F151&amp;";",ROW($1:$99),1),";")),"",ROW($1:$99)),COLUMN(H150)+1)-SMALL(IF(ISERROR(SEARCH(MID(";"&amp;'CASE DATA'!$F151&amp;";",ROW($1:$99),1),";")),"",ROW($1:$99)),COLUMN(H150))-1)</f>
        <v/>
      </c>
      <c r="AD151" s="29" t="str">
        <f t="array" ref="AD151">MID(";"&amp;'CASE DATA'!$F151&amp;";",SMALL(IF(ISERROR(SEARCH(MID(";"&amp;'CASE DATA'!$F151&amp;";",ROW($1:$99),1),";")),"",ROW($1:$99)+1),COLUMN(I151)),SMALL(IF(ISERROR(SEARCH(MID(";"&amp;'CASE DATA'!$F151&amp;";",ROW($1:$99),1),";")),"",ROW($1:$99)),COLUMN(I150)+1)-SMALL(IF(ISERROR(SEARCH(MID(";"&amp;'CASE DATA'!$F151&amp;";",ROW($1:$99),1),";")),"",ROW($1:$99)),COLUMN(I150))-1)</f>
        <v/>
      </c>
      <c r="AE151" s="29" t="str">
        <f t="array" ref="AE151">MID(";"&amp;'CASE DATA'!$F151&amp;";",SMALL(IF(ISERROR(SEARCH(MID(";"&amp;'CASE DATA'!$F151&amp;";",ROW($1:$99),1),";")),"",ROW($1:$99)+1),COLUMN(J151)),SMALL(IF(ISERROR(SEARCH(MID(";"&amp;'CASE DATA'!$F151&amp;";",ROW($1:$99),1),";")),"",ROW($1:$99)),COLUMN(J150)+1)-SMALL(IF(ISERROR(SEARCH(MID(";"&amp;'CASE DATA'!$F151&amp;";",ROW($1:$99),1),";")),"",ROW($1:$99)),COLUMN(J150))-1)</f>
        <v/>
      </c>
      <c r="AF151" s="29" t="str">
        <f t="array" ref="AF151">MID(";"&amp;'CASE DATA'!$F151&amp;";",SMALL(IF(ISERROR(SEARCH(MID(";"&amp;'CASE DATA'!$F151&amp;";",ROW($1:$99),1),";")),"",ROW($1:$99)+1),COLUMN(K151)),SMALL(IF(ISERROR(SEARCH(MID(";"&amp;'CASE DATA'!$F151&amp;";",ROW($1:$99),1),";")),"",ROW($1:$99)),COLUMN(K150)+1)-SMALL(IF(ISERROR(SEARCH(MID(";"&amp;'CASE DATA'!$F151&amp;";",ROW($1:$99),1),";")),"",ROW($1:$99)),COLUMN(K150))-1)</f>
        <v/>
      </c>
      <c r="AG151" s="29" t="str">
        <f t="array" ref="AG151">MID(";"&amp;'CASE DATA'!$F151&amp;";",SMALL(IF(ISERROR(SEARCH(MID(";"&amp;'CASE DATA'!$F151&amp;";",ROW($1:$99),1),";")),"",ROW($1:$99)+1),COLUMN(L151)),SMALL(IF(ISERROR(SEARCH(MID(";"&amp;'CASE DATA'!$F151&amp;";",ROW($1:$99),1),";")),"",ROW($1:$99)),COLUMN(L150)+1)-SMALL(IF(ISERROR(SEARCH(MID(";"&amp;'CASE DATA'!$F151&amp;";",ROW($1:$99),1),";")),"",ROW($1:$99)),COLUMN(L150))-1)</f>
        <v/>
      </c>
      <c r="AH151" s="29"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24"/>
      <c r="D152" s="24"/>
      <c r="E152" s="25"/>
      <c r="F152" s="30"/>
      <c r="J152" s="31"/>
      <c r="K152" s="31"/>
      <c r="L152" s="31"/>
      <c r="M152" s="31"/>
      <c r="N152" s="31"/>
      <c r="O152" s="31"/>
      <c r="P152" s="31"/>
      <c r="Q152" s="31"/>
      <c r="R152" s="31"/>
      <c r="S152" s="31"/>
      <c r="T152" s="28">
        <f t="shared" si="3"/>
        <v>0</v>
      </c>
      <c r="U152" s="28"/>
      <c r="W152" s="29" t="str">
        <f t="array" ref="W152">MID(";"&amp;'CASE DATA'!$F152&amp;";",SMALL(IF(ISERROR(SEARCH(MID(";"&amp;'CASE DATA'!$F152&amp;";",ROW($1:$99),1),";")),"",ROW($1:$99)+1),COLUMN(A152)),SMALL(IF(ISERROR(SEARCH(MID(";"&amp;'CASE DATA'!$F152&amp;";",ROW($1:$99),1),";")),"",ROW($1:$99)),COLUMN(A151)+1)-SMALL(IF(ISERROR(SEARCH(MID(";"&amp;'CASE DATA'!$F152&amp;";",ROW($1:$99),1),";")),"",ROW($1:$99)),COLUMN(A151))-1)</f>
        <v/>
      </c>
      <c r="X152" s="29" t="str">
        <f t="array" ref="X152">MID(";"&amp;'CASE DATA'!$F152&amp;";",SMALL(IF(ISERROR(SEARCH(MID(";"&amp;'CASE DATA'!$F152&amp;";",ROW($1:$99),1),";")),"",ROW($1:$99)+1),COLUMN(B152)),SMALL(IF(ISERROR(SEARCH(MID(";"&amp;'CASE DATA'!$F152&amp;";",ROW($1:$99),1),";")),"",ROW($1:$99)),COLUMN(B151)+1)-SMALL(IF(ISERROR(SEARCH(MID(";"&amp;'CASE DATA'!$F152&amp;";",ROW($1:$99),1),";")),"",ROW($1:$99)),COLUMN(B151))-1)</f>
        <v/>
      </c>
      <c r="Y152" s="29" t="str">
        <f t="array" ref="Y152">MID(";"&amp;'CASE DATA'!$F152&amp;";",SMALL(IF(ISERROR(SEARCH(MID(";"&amp;'CASE DATA'!$F152&amp;";",ROW($1:$99),1),";")),"",ROW($1:$99)+1),COLUMN(D152)),SMALL(IF(ISERROR(SEARCH(MID(";"&amp;'CASE DATA'!$F152&amp;";",ROW($1:$99),1),";")),"",ROW($1:$99)),COLUMN(D151)+1)-SMALL(IF(ISERROR(SEARCH(MID(";"&amp;'CASE DATA'!$F152&amp;";",ROW($1:$99),1),";")),"",ROW($1:$99)),COLUMN(D151))-1)</f>
        <v/>
      </c>
      <c r="Z152" s="29" t="str">
        <f t="array" ref="Z152">MID(";"&amp;'CASE DATA'!$F152&amp;";",SMALL(IF(ISERROR(SEARCH(MID(";"&amp;'CASE DATA'!$F152&amp;";",ROW($1:$99),1),";")),"",ROW($1:$99)+1),COLUMN(E152)),SMALL(IF(ISERROR(SEARCH(MID(";"&amp;'CASE DATA'!$F152&amp;";",ROW($1:$99),1),";")),"",ROW($1:$99)),COLUMN(E151)+1)-SMALL(IF(ISERROR(SEARCH(MID(";"&amp;'CASE DATA'!$F152&amp;";",ROW($1:$99),1),";")),"",ROW($1:$99)),COLUMN(E151))-1)</f>
        <v/>
      </c>
      <c r="AA152" s="29" t="str">
        <f t="array" ref="AA152">MID(";"&amp;'CASE DATA'!$F152&amp;";",SMALL(IF(ISERROR(SEARCH(MID(";"&amp;'CASE DATA'!$F152&amp;";",ROW($1:$99),1),";")),"",ROW($1:$99)+1),COLUMN(F152)),SMALL(IF(ISERROR(SEARCH(MID(";"&amp;'CASE DATA'!$F152&amp;";",ROW($1:$99),1),";")),"",ROW($1:$99)),COLUMN(F151)+1)-SMALL(IF(ISERROR(SEARCH(MID(";"&amp;'CASE DATA'!$F152&amp;";",ROW($1:$99),1),";")),"",ROW($1:$99)),COLUMN(F151))-1)</f>
        <v/>
      </c>
      <c r="AB152" s="29" t="str">
        <f t="array" ref="AB152">MID(";"&amp;'CASE DATA'!$F152&amp;";",SMALL(IF(ISERROR(SEARCH(MID(";"&amp;'CASE DATA'!$F152&amp;";",ROW($1:$99),1),";")),"",ROW($1:$99)+1),COLUMN(G152)),SMALL(IF(ISERROR(SEARCH(MID(";"&amp;'CASE DATA'!$F152&amp;";",ROW($1:$99),1),";")),"",ROW($1:$99)),COLUMN(G151)+1)-SMALL(IF(ISERROR(SEARCH(MID(";"&amp;'CASE DATA'!$F152&amp;";",ROW($1:$99),1),";")),"",ROW($1:$99)),COLUMN(G151))-1)</f>
        <v/>
      </c>
      <c r="AC152" s="29" t="str">
        <f t="array" ref="AC152">MID(";"&amp;'CASE DATA'!$F152&amp;";",SMALL(IF(ISERROR(SEARCH(MID(";"&amp;'CASE DATA'!$F152&amp;";",ROW($1:$99),1),";")),"",ROW($1:$99)+1),COLUMN(H152)),SMALL(IF(ISERROR(SEARCH(MID(";"&amp;'CASE DATA'!$F152&amp;";",ROW($1:$99),1),";")),"",ROW($1:$99)),COLUMN(H151)+1)-SMALL(IF(ISERROR(SEARCH(MID(";"&amp;'CASE DATA'!$F152&amp;";",ROW($1:$99),1),";")),"",ROW($1:$99)),COLUMN(H151))-1)</f>
        <v/>
      </c>
      <c r="AD152" s="29" t="str">
        <f t="array" ref="AD152">MID(";"&amp;'CASE DATA'!$F152&amp;";",SMALL(IF(ISERROR(SEARCH(MID(";"&amp;'CASE DATA'!$F152&amp;";",ROW($1:$99),1),";")),"",ROW($1:$99)+1),COLUMN(I152)),SMALL(IF(ISERROR(SEARCH(MID(";"&amp;'CASE DATA'!$F152&amp;";",ROW($1:$99),1),";")),"",ROW($1:$99)),COLUMN(I151)+1)-SMALL(IF(ISERROR(SEARCH(MID(";"&amp;'CASE DATA'!$F152&amp;";",ROW($1:$99),1),";")),"",ROW($1:$99)),COLUMN(I151))-1)</f>
        <v/>
      </c>
      <c r="AE152" s="29" t="str">
        <f t="array" ref="AE152">MID(";"&amp;'CASE DATA'!$F152&amp;";",SMALL(IF(ISERROR(SEARCH(MID(";"&amp;'CASE DATA'!$F152&amp;";",ROW($1:$99),1),";")),"",ROW($1:$99)+1),COLUMN(J152)),SMALL(IF(ISERROR(SEARCH(MID(";"&amp;'CASE DATA'!$F152&amp;";",ROW($1:$99),1),";")),"",ROW($1:$99)),COLUMN(J151)+1)-SMALL(IF(ISERROR(SEARCH(MID(";"&amp;'CASE DATA'!$F152&amp;";",ROW($1:$99),1),";")),"",ROW($1:$99)),COLUMN(J151))-1)</f>
        <v/>
      </c>
      <c r="AF152" s="29" t="str">
        <f t="array" ref="AF152">MID(";"&amp;'CASE DATA'!$F152&amp;";",SMALL(IF(ISERROR(SEARCH(MID(";"&amp;'CASE DATA'!$F152&amp;";",ROW($1:$99),1),";")),"",ROW($1:$99)+1),COLUMN(K152)),SMALL(IF(ISERROR(SEARCH(MID(";"&amp;'CASE DATA'!$F152&amp;";",ROW($1:$99),1),";")),"",ROW($1:$99)),COLUMN(K151)+1)-SMALL(IF(ISERROR(SEARCH(MID(";"&amp;'CASE DATA'!$F152&amp;";",ROW($1:$99),1),";")),"",ROW($1:$99)),COLUMN(K151))-1)</f>
        <v/>
      </c>
      <c r="AG152" s="29" t="str">
        <f t="array" ref="AG152">MID(";"&amp;'CASE DATA'!$F152&amp;";",SMALL(IF(ISERROR(SEARCH(MID(";"&amp;'CASE DATA'!$F152&amp;";",ROW($1:$99),1),";")),"",ROW($1:$99)+1),COLUMN(L152)),SMALL(IF(ISERROR(SEARCH(MID(";"&amp;'CASE DATA'!$F152&amp;";",ROW($1:$99),1),";")),"",ROW($1:$99)),COLUMN(L151)+1)-SMALL(IF(ISERROR(SEARCH(MID(";"&amp;'CASE DATA'!$F152&amp;";",ROW($1:$99),1),";")),"",ROW($1:$99)),COLUMN(L151))-1)</f>
        <v/>
      </c>
      <c r="AH152" s="29"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24"/>
      <c r="D153" s="24"/>
      <c r="E153" s="25"/>
      <c r="F153" s="30"/>
      <c r="J153" s="31"/>
      <c r="K153" s="31"/>
      <c r="L153" s="31"/>
      <c r="M153" s="31"/>
      <c r="N153" s="31"/>
      <c r="O153" s="31"/>
      <c r="P153" s="31"/>
      <c r="Q153" s="31"/>
      <c r="R153" s="31"/>
      <c r="S153" s="31"/>
      <c r="T153" s="28">
        <f t="shared" si="3"/>
        <v>0</v>
      </c>
      <c r="U153" s="28"/>
      <c r="W153" s="29" t="str">
        <f t="array" ref="W153">MID(";"&amp;'CASE DATA'!$F153&amp;";",SMALL(IF(ISERROR(SEARCH(MID(";"&amp;'CASE DATA'!$F153&amp;";",ROW($1:$99),1),";")),"",ROW($1:$99)+1),COLUMN(A153)),SMALL(IF(ISERROR(SEARCH(MID(";"&amp;'CASE DATA'!$F153&amp;";",ROW($1:$99),1),";")),"",ROW($1:$99)),COLUMN(A152)+1)-SMALL(IF(ISERROR(SEARCH(MID(";"&amp;'CASE DATA'!$F153&amp;";",ROW($1:$99),1),";")),"",ROW($1:$99)),COLUMN(A152))-1)</f>
        <v/>
      </c>
      <c r="X153" s="29" t="str">
        <f t="array" ref="X153">MID(";"&amp;'CASE DATA'!$F153&amp;";",SMALL(IF(ISERROR(SEARCH(MID(";"&amp;'CASE DATA'!$F153&amp;";",ROW($1:$99),1),";")),"",ROW($1:$99)+1),COLUMN(B153)),SMALL(IF(ISERROR(SEARCH(MID(";"&amp;'CASE DATA'!$F153&amp;";",ROW($1:$99),1),";")),"",ROW($1:$99)),COLUMN(B152)+1)-SMALL(IF(ISERROR(SEARCH(MID(";"&amp;'CASE DATA'!$F153&amp;";",ROW($1:$99),1),";")),"",ROW($1:$99)),COLUMN(B152))-1)</f>
        <v/>
      </c>
      <c r="Y153" s="29" t="str">
        <f t="array" ref="Y153">MID(";"&amp;'CASE DATA'!$F153&amp;";",SMALL(IF(ISERROR(SEARCH(MID(";"&amp;'CASE DATA'!$F153&amp;";",ROW($1:$99),1),";")),"",ROW($1:$99)+1),COLUMN(D153)),SMALL(IF(ISERROR(SEARCH(MID(";"&amp;'CASE DATA'!$F153&amp;";",ROW($1:$99),1),";")),"",ROW($1:$99)),COLUMN(D152)+1)-SMALL(IF(ISERROR(SEARCH(MID(";"&amp;'CASE DATA'!$F153&amp;";",ROW($1:$99),1),";")),"",ROW($1:$99)),COLUMN(D152))-1)</f>
        <v/>
      </c>
      <c r="Z153" s="29" t="str">
        <f t="array" ref="Z153">MID(";"&amp;'CASE DATA'!$F153&amp;";",SMALL(IF(ISERROR(SEARCH(MID(";"&amp;'CASE DATA'!$F153&amp;";",ROW($1:$99),1),";")),"",ROW($1:$99)+1),COLUMN(E153)),SMALL(IF(ISERROR(SEARCH(MID(";"&amp;'CASE DATA'!$F153&amp;";",ROW($1:$99),1),";")),"",ROW($1:$99)),COLUMN(E152)+1)-SMALL(IF(ISERROR(SEARCH(MID(";"&amp;'CASE DATA'!$F153&amp;";",ROW($1:$99),1),";")),"",ROW($1:$99)),COLUMN(E152))-1)</f>
        <v/>
      </c>
      <c r="AA153" s="29" t="str">
        <f t="array" ref="AA153">MID(";"&amp;'CASE DATA'!$F153&amp;";",SMALL(IF(ISERROR(SEARCH(MID(";"&amp;'CASE DATA'!$F153&amp;";",ROW($1:$99),1),";")),"",ROW($1:$99)+1),COLUMN(F153)),SMALL(IF(ISERROR(SEARCH(MID(";"&amp;'CASE DATA'!$F153&amp;";",ROW($1:$99),1),";")),"",ROW($1:$99)),COLUMN(F152)+1)-SMALL(IF(ISERROR(SEARCH(MID(";"&amp;'CASE DATA'!$F153&amp;";",ROW($1:$99),1),";")),"",ROW($1:$99)),COLUMN(F152))-1)</f>
        <v/>
      </c>
      <c r="AB153" s="29" t="str">
        <f t="array" ref="AB153">MID(";"&amp;'CASE DATA'!$F153&amp;";",SMALL(IF(ISERROR(SEARCH(MID(";"&amp;'CASE DATA'!$F153&amp;";",ROW($1:$99),1),";")),"",ROW($1:$99)+1),COLUMN(G153)),SMALL(IF(ISERROR(SEARCH(MID(";"&amp;'CASE DATA'!$F153&amp;";",ROW($1:$99),1),";")),"",ROW($1:$99)),COLUMN(G152)+1)-SMALL(IF(ISERROR(SEARCH(MID(";"&amp;'CASE DATA'!$F153&amp;";",ROW($1:$99),1),";")),"",ROW($1:$99)),COLUMN(G152))-1)</f>
        <v/>
      </c>
      <c r="AC153" s="29" t="str">
        <f t="array" ref="AC153">MID(";"&amp;'CASE DATA'!$F153&amp;";",SMALL(IF(ISERROR(SEARCH(MID(";"&amp;'CASE DATA'!$F153&amp;";",ROW($1:$99),1),";")),"",ROW($1:$99)+1),COLUMN(H153)),SMALL(IF(ISERROR(SEARCH(MID(";"&amp;'CASE DATA'!$F153&amp;";",ROW($1:$99),1),";")),"",ROW($1:$99)),COLUMN(H152)+1)-SMALL(IF(ISERROR(SEARCH(MID(";"&amp;'CASE DATA'!$F153&amp;";",ROW($1:$99),1),";")),"",ROW($1:$99)),COLUMN(H152))-1)</f>
        <v/>
      </c>
      <c r="AD153" s="29" t="str">
        <f t="array" ref="AD153">MID(";"&amp;'CASE DATA'!$F153&amp;";",SMALL(IF(ISERROR(SEARCH(MID(";"&amp;'CASE DATA'!$F153&amp;";",ROW($1:$99),1),";")),"",ROW($1:$99)+1),COLUMN(I153)),SMALL(IF(ISERROR(SEARCH(MID(";"&amp;'CASE DATA'!$F153&amp;";",ROW($1:$99),1),";")),"",ROW($1:$99)),COLUMN(I152)+1)-SMALL(IF(ISERROR(SEARCH(MID(";"&amp;'CASE DATA'!$F153&amp;";",ROW($1:$99),1),";")),"",ROW($1:$99)),COLUMN(I152))-1)</f>
        <v/>
      </c>
      <c r="AE153" s="29" t="str">
        <f t="array" ref="AE153">MID(";"&amp;'CASE DATA'!$F153&amp;";",SMALL(IF(ISERROR(SEARCH(MID(";"&amp;'CASE DATA'!$F153&amp;";",ROW($1:$99),1),";")),"",ROW($1:$99)+1),COLUMN(J153)),SMALL(IF(ISERROR(SEARCH(MID(";"&amp;'CASE DATA'!$F153&amp;";",ROW($1:$99),1),";")),"",ROW($1:$99)),COLUMN(J152)+1)-SMALL(IF(ISERROR(SEARCH(MID(";"&amp;'CASE DATA'!$F153&amp;";",ROW($1:$99),1),";")),"",ROW($1:$99)),COLUMN(J152))-1)</f>
        <v/>
      </c>
      <c r="AF153" s="29" t="str">
        <f t="array" ref="AF153">MID(";"&amp;'CASE DATA'!$F153&amp;";",SMALL(IF(ISERROR(SEARCH(MID(";"&amp;'CASE DATA'!$F153&amp;";",ROW($1:$99),1),";")),"",ROW($1:$99)+1),COLUMN(K153)),SMALL(IF(ISERROR(SEARCH(MID(";"&amp;'CASE DATA'!$F153&amp;";",ROW($1:$99),1),";")),"",ROW($1:$99)),COLUMN(K152)+1)-SMALL(IF(ISERROR(SEARCH(MID(";"&amp;'CASE DATA'!$F153&amp;";",ROW($1:$99),1),";")),"",ROW($1:$99)),COLUMN(K152))-1)</f>
        <v/>
      </c>
      <c r="AG153" s="29" t="str">
        <f t="array" ref="AG153">MID(";"&amp;'CASE DATA'!$F153&amp;";",SMALL(IF(ISERROR(SEARCH(MID(";"&amp;'CASE DATA'!$F153&amp;";",ROW($1:$99),1),";")),"",ROW($1:$99)+1),COLUMN(L153)),SMALL(IF(ISERROR(SEARCH(MID(";"&amp;'CASE DATA'!$F153&amp;";",ROW($1:$99),1),";")),"",ROW($1:$99)),COLUMN(L152)+1)-SMALL(IF(ISERROR(SEARCH(MID(";"&amp;'CASE DATA'!$F153&amp;";",ROW($1:$99),1),";")),"",ROW($1:$99)),COLUMN(L152))-1)</f>
        <v/>
      </c>
      <c r="AH153" s="29"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24"/>
      <c r="D154" s="24"/>
      <c r="E154" s="25"/>
      <c r="F154" s="30"/>
      <c r="J154" s="31"/>
      <c r="K154" s="31"/>
      <c r="L154" s="31"/>
      <c r="M154" s="31"/>
      <c r="N154" s="31"/>
      <c r="O154" s="31"/>
      <c r="P154" s="31"/>
      <c r="Q154" s="31"/>
      <c r="R154" s="31"/>
      <c r="S154" s="31"/>
      <c r="T154" s="28">
        <f t="shared" si="3"/>
        <v>0</v>
      </c>
      <c r="U154" s="28"/>
      <c r="W154" s="29" t="str">
        <f t="array" ref="W154">MID(";"&amp;'CASE DATA'!$F154&amp;";",SMALL(IF(ISERROR(SEARCH(MID(";"&amp;'CASE DATA'!$F154&amp;";",ROW($1:$99),1),";")),"",ROW($1:$99)+1),COLUMN(A154)),SMALL(IF(ISERROR(SEARCH(MID(";"&amp;'CASE DATA'!$F154&amp;";",ROW($1:$99),1),";")),"",ROW($1:$99)),COLUMN(A153)+1)-SMALL(IF(ISERROR(SEARCH(MID(";"&amp;'CASE DATA'!$F154&amp;";",ROW($1:$99),1),";")),"",ROW($1:$99)),COLUMN(A153))-1)</f>
        <v/>
      </c>
      <c r="X154" s="29" t="str">
        <f t="array" ref="X154">MID(";"&amp;'CASE DATA'!$F154&amp;";",SMALL(IF(ISERROR(SEARCH(MID(";"&amp;'CASE DATA'!$F154&amp;";",ROW($1:$99),1),";")),"",ROW($1:$99)+1),COLUMN(B154)),SMALL(IF(ISERROR(SEARCH(MID(";"&amp;'CASE DATA'!$F154&amp;";",ROW($1:$99),1),";")),"",ROW($1:$99)),COLUMN(B153)+1)-SMALL(IF(ISERROR(SEARCH(MID(";"&amp;'CASE DATA'!$F154&amp;";",ROW($1:$99),1),";")),"",ROW($1:$99)),COLUMN(B153))-1)</f>
        <v/>
      </c>
      <c r="Y154" s="29" t="str">
        <f t="array" ref="Y154">MID(";"&amp;'CASE DATA'!$F154&amp;";",SMALL(IF(ISERROR(SEARCH(MID(";"&amp;'CASE DATA'!$F154&amp;";",ROW($1:$99),1),";")),"",ROW($1:$99)+1),COLUMN(D154)),SMALL(IF(ISERROR(SEARCH(MID(";"&amp;'CASE DATA'!$F154&amp;";",ROW($1:$99),1),";")),"",ROW($1:$99)),COLUMN(D153)+1)-SMALL(IF(ISERROR(SEARCH(MID(";"&amp;'CASE DATA'!$F154&amp;";",ROW($1:$99),1),";")),"",ROW($1:$99)),COLUMN(D153))-1)</f>
        <v/>
      </c>
      <c r="Z154" s="29" t="str">
        <f t="array" ref="Z154">MID(";"&amp;'CASE DATA'!$F154&amp;";",SMALL(IF(ISERROR(SEARCH(MID(";"&amp;'CASE DATA'!$F154&amp;";",ROW($1:$99),1),";")),"",ROW($1:$99)+1),COLUMN(E154)),SMALL(IF(ISERROR(SEARCH(MID(";"&amp;'CASE DATA'!$F154&amp;";",ROW($1:$99),1),";")),"",ROW($1:$99)),COLUMN(E153)+1)-SMALL(IF(ISERROR(SEARCH(MID(";"&amp;'CASE DATA'!$F154&amp;";",ROW($1:$99),1),";")),"",ROW($1:$99)),COLUMN(E153))-1)</f>
        <v/>
      </c>
      <c r="AA154" s="29" t="str">
        <f t="array" ref="AA154">MID(";"&amp;'CASE DATA'!$F154&amp;";",SMALL(IF(ISERROR(SEARCH(MID(";"&amp;'CASE DATA'!$F154&amp;";",ROW($1:$99),1),";")),"",ROW($1:$99)+1),COLUMN(F154)),SMALL(IF(ISERROR(SEARCH(MID(";"&amp;'CASE DATA'!$F154&amp;";",ROW($1:$99),1),";")),"",ROW($1:$99)),COLUMN(F153)+1)-SMALL(IF(ISERROR(SEARCH(MID(";"&amp;'CASE DATA'!$F154&amp;";",ROW($1:$99),1),";")),"",ROW($1:$99)),COLUMN(F153))-1)</f>
        <v/>
      </c>
      <c r="AB154" s="29" t="str">
        <f t="array" ref="AB154">MID(";"&amp;'CASE DATA'!$F154&amp;";",SMALL(IF(ISERROR(SEARCH(MID(";"&amp;'CASE DATA'!$F154&amp;";",ROW($1:$99),1),";")),"",ROW($1:$99)+1),COLUMN(G154)),SMALL(IF(ISERROR(SEARCH(MID(";"&amp;'CASE DATA'!$F154&amp;";",ROW($1:$99),1),";")),"",ROW($1:$99)),COLUMN(G153)+1)-SMALL(IF(ISERROR(SEARCH(MID(";"&amp;'CASE DATA'!$F154&amp;";",ROW($1:$99),1),";")),"",ROW($1:$99)),COLUMN(G153))-1)</f>
        <v/>
      </c>
      <c r="AC154" s="29" t="str">
        <f t="array" ref="AC154">MID(";"&amp;'CASE DATA'!$F154&amp;";",SMALL(IF(ISERROR(SEARCH(MID(";"&amp;'CASE DATA'!$F154&amp;";",ROW($1:$99),1),";")),"",ROW($1:$99)+1),COLUMN(H154)),SMALL(IF(ISERROR(SEARCH(MID(";"&amp;'CASE DATA'!$F154&amp;";",ROW($1:$99),1),";")),"",ROW($1:$99)),COLUMN(H153)+1)-SMALL(IF(ISERROR(SEARCH(MID(";"&amp;'CASE DATA'!$F154&amp;";",ROW($1:$99),1),";")),"",ROW($1:$99)),COLUMN(H153))-1)</f>
        <v/>
      </c>
      <c r="AD154" s="29" t="str">
        <f t="array" ref="AD154">MID(";"&amp;'CASE DATA'!$F154&amp;";",SMALL(IF(ISERROR(SEARCH(MID(";"&amp;'CASE DATA'!$F154&amp;";",ROW($1:$99),1),";")),"",ROW($1:$99)+1),COLUMN(I154)),SMALL(IF(ISERROR(SEARCH(MID(";"&amp;'CASE DATA'!$F154&amp;";",ROW($1:$99),1),";")),"",ROW($1:$99)),COLUMN(I153)+1)-SMALL(IF(ISERROR(SEARCH(MID(";"&amp;'CASE DATA'!$F154&amp;";",ROW($1:$99),1),";")),"",ROW($1:$99)),COLUMN(I153))-1)</f>
        <v/>
      </c>
      <c r="AE154" s="29" t="str">
        <f t="array" ref="AE154">MID(";"&amp;'CASE DATA'!$F154&amp;";",SMALL(IF(ISERROR(SEARCH(MID(";"&amp;'CASE DATA'!$F154&amp;";",ROW($1:$99),1),";")),"",ROW($1:$99)+1),COLUMN(J154)),SMALL(IF(ISERROR(SEARCH(MID(";"&amp;'CASE DATA'!$F154&amp;";",ROW($1:$99),1),";")),"",ROW($1:$99)),COLUMN(J153)+1)-SMALL(IF(ISERROR(SEARCH(MID(";"&amp;'CASE DATA'!$F154&amp;";",ROW($1:$99),1),";")),"",ROW($1:$99)),COLUMN(J153))-1)</f>
        <v/>
      </c>
      <c r="AF154" s="29" t="str">
        <f t="array" ref="AF154">MID(";"&amp;'CASE DATA'!$F154&amp;";",SMALL(IF(ISERROR(SEARCH(MID(";"&amp;'CASE DATA'!$F154&amp;";",ROW($1:$99),1),";")),"",ROW($1:$99)+1),COLUMN(K154)),SMALL(IF(ISERROR(SEARCH(MID(";"&amp;'CASE DATA'!$F154&amp;";",ROW($1:$99),1),";")),"",ROW($1:$99)),COLUMN(K153)+1)-SMALL(IF(ISERROR(SEARCH(MID(";"&amp;'CASE DATA'!$F154&amp;";",ROW($1:$99),1),";")),"",ROW($1:$99)),COLUMN(K153))-1)</f>
        <v/>
      </c>
      <c r="AG154" s="29" t="str">
        <f t="array" ref="AG154">MID(";"&amp;'CASE DATA'!$F154&amp;";",SMALL(IF(ISERROR(SEARCH(MID(";"&amp;'CASE DATA'!$F154&amp;";",ROW($1:$99),1),";")),"",ROW($1:$99)+1),COLUMN(L154)),SMALL(IF(ISERROR(SEARCH(MID(";"&amp;'CASE DATA'!$F154&amp;";",ROW($1:$99),1),";")),"",ROW($1:$99)),COLUMN(L153)+1)-SMALL(IF(ISERROR(SEARCH(MID(";"&amp;'CASE DATA'!$F154&amp;";",ROW($1:$99),1),";")),"",ROW($1:$99)),COLUMN(L153))-1)</f>
        <v/>
      </c>
      <c r="AH154" s="29"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24"/>
      <c r="D155" s="24"/>
      <c r="E155" s="25"/>
      <c r="F155" s="30"/>
      <c r="J155" s="31"/>
      <c r="K155" s="31"/>
      <c r="L155" s="31"/>
      <c r="M155" s="31"/>
      <c r="N155" s="31"/>
      <c r="O155" s="31"/>
      <c r="P155" s="31"/>
      <c r="Q155" s="31"/>
      <c r="R155" s="31"/>
      <c r="S155" s="31"/>
      <c r="T155" s="28">
        <f t="shared" si="3"/>
        <v>0</v>
      </c>
      <c r="U155" s="28"/>
      <c r="W155" s="29" t="str">
        <f t="array" ref="W155">MID(";"&amp;'CASE DATA'!$F155&amp;";",SMALL(IF(ISERROR(SEARCH(MID(";"&amp;'CASE DATA'!$F155&amp;";",ROW($1:$99),1),";")),"",ROW($1:$99)+1),COLUMN(A155)),SMALL(IF(ISERROR(SEARCH(MID(";"&amp;'CASE DATA'!$F155&amp;";",ROW($1:$99),1),";")),"",ROW($1:$99)),COLUMN(A154)+1)-SMALL(IF(ISERROR(SEARCH(MID(";"&amp;'CASE DATA'!$F155&amp;";",ROW($1:$99),1),";")),"",ROW($1:$99)),COLUMN(A154))-1)</f>
        <v/>
      </c>
      <c r="X155" s="29" t="str">
        <f t="array" ref="X155">MID(";"&amp;'CASE DATA'!$F155&amp;";",SMALL(IF(ISERROR(SEARCH(MID(";"&amp;'CASE DATA'!$F155&amp;";",ROW($1:$99),1),";")),"",ROW($1:$99)+1),COLUMN(B155)),SMALL(IF(ISERROR(SEARCH(MID(";"&amp;'CASE DATA'!$F155&amp;";",ROW($1:$99),1),";")),"",ROW($1:$99)),COLUMN(B154)+1)-SMALL(IF(ISERROR(SEARCH(MID(";"&amp;'CASE DATA'!$F155&amp;";",ROW($1:$99),1),";")),"",ROW($1:$99)),COLUMN(B154))-1)</f>
        <v/>
      </c>
      <c r="Y155" s="29" t="str">
        <f t="array" ref="Y155">MID(";"&amp;'CASE DATA'!$F155&amp;";",SMALL(IF(ISERROR(SEARCH(MID(";"&amp;'CASE DATA'!$F155&amp;";",ROW($1:$99),1),";")),"",ROW($1:$99)+1),COLUMN(D155)),SMALL(IF(ISERROR(SEARCH(MID(";"&amp;'CASE DATA'!$F155&amp;";",ROW($1:$99),1),";")),"",ROW($1:$99)),COLUMN(D154)+1)-SMALL(IF(ISERROR(SEARCH(MID(";"&amp;'CASE DATA'!$F155&amp;";",ROW($1:$99),1),";")),"",ROW($1:$99)),COLUMN(D154))-1)</f>
        <v/>
      </c>
      <c r="Z155" s="29" t="str">
        <f t="array" ref="Z155">MID(";"&amp;'CASE DATA'!$F155&amp;";",SMALL(IF(ISERROR(SEARCH(MID(";"&amp;'CASE DATA'!$F155&amp;";",ROW($1:$99),1),";")),"",ROW($1:$99)+1),COLUMN(E155)),SMALL(IF(ISERROR(SEARCH(MID(";"&amp;'CASE DATA'!$F155&amp;";",ROW($1:$99),1),";")),"",ROW($1:$99)),COLUMN(E154)+1)-SMALL(IF(ISERROR(SEARCH(MID(";"&amp;'CASE DATA'!$F155&amp;";",ROW($1:$99),1),";")),"",ROW($1:$99)),COLUMN(E154))-1)</f>
        <v/>
      </c>
      <c r="AA155" s="29" t="str">
        <f t="array" ref="AA155">MID(";"&amp;'CASE DATA'!$F155&amp;";",SMALL(IF(ISERROR(SEARCH(MID(";"&amp;'CASE DATA'!$F155&amp;";",ROW($1:$99),1),";")),"",ROW($1:$99)+1),COLUMN(F155)),SMALL(IF(ISERROR(SEARCH(MID(";"&amp;'CASE DATA'!$F155&amp;";",ROW($1:$99),1),";")),"",ROW($1:$99)),COLUMN(F154)+1)-SMALL(IF(ISERROR(SEARCH(MID(";"&amp;'CASE DATA'!$F155&amp;";",ROW($1:$99),1),";")),"",ROW($1:$99)),COLUMN(F154))-1)</f>
        <v/>
      </c>
      <c r="AB155" s="29" t="str">
        <f t="array" ref="AB155">MID(";"&amp;'CASE DATA'!$F155&amp;";",SMALL(IF(ISERROR(SEARCH(MID(";"&amp;'CASE DATA'!$F155&amp;";",ROW($1:$99),1),";")),"",ROW($1:$99)+1),COLUMN(G155)),SMALL(IF(ISERROR(SEARCH(MID(";"&amp;'CASE DATA'!$F155&amp;";",ROW($1:$99),1),";")),"",ROW($1:$99)),COLUMN(G154)+1)-SMALL(IF(ISERROR(SEARCH(MID(";"&amp;'CASE DATA'!$F155&amp;";",ROW($1:$99),1),";")),"",ROW($1:$99)),COLUMN(G154))-1)</f>
        <v/>
      </c>
      <c r="AC155" s="29" t="str">
        <f t="array" ref="AC155">MID(";"&amp;'CASE DATA'!$F155&amp;";",SMALL(IF(ISERROR(SEARCH(MID(";"&amp;'CASE DATA'!$F155&amp;";",ROW($1:$99),1),";")),"",ROW($1:$99)+1),COLUMN(H155)),SMALL(IF(ISERROR(SEARCH(MID(";"&amp;'CASE DATA'!$F155&amp;";",ROW($1:$99),1),";")),"",ROW($1:$99)),COLUMN(H154)+1)-SMALL(IF(ISERROR(SEARCH(MID(";"&amp;'CASE DATA'!$F155&amp;";",ROW($1:$99),1),";")),"",ROW($1:$99)),COLUMN(H154))-1)</f>
        <v/>
      </c>
      <c r="AD155" s="29" t="str">
        <f t="array" ref="AD155">MID(";"&amp;'CASE DATA'!$F155&amp;";",SMALL(IF(ISERROR(SEARCH(MID(";"&amp;'CASE DATA'!$F155&amp;";",ROW($1:$99),1),";")),"",ROW($1:$99)+1),COLUMN(I155)),SMALL(IF(ISERROR(SEARCH(MID(";"&amp;'CASE DATA'!$F155&amp;";",ROW($1:$99),1),";")),"",ROW($1:$99)),COLUMN(I154)+1)-SMALL(IF(ISERROR(SEARCH(MID(";"&amp;'CASE DATA'!$F155&amp;";",ROW($1:$99),1),";")),"",ROW($1:$99)),COLUMN(I154))-1)</f>
        <v/>
      </c>
      <c r="AE155" s="29" t="str">
        <f t="array" ref="AE155">MID(";"&amp;'CASE DATA'!$F155&amp;";",SMALL(IF(ISERROR(SEARCH(MID(";"&amp;'CASE DATA'!$F155&amp;";",ROW($1:$99),1),";")),"",ROW($1:$99)+1),COLUMN(J155)),SMALL(IF(ISERROR(SEARCH(MID(";"&amp;'CASE DATA'!$F155&amp;";",ROW($1:$99),1),";")),"",ROW($1:$99)),COLUMN(J154)+1)-SMALL(IF(ISERROR(SEARCH(MID(";"&amp;'CASE DATA'!$F155&amp;";",ROW($1:$99),1),";")),"",ROW($1:$99)),COLUMN(J154))-1)</f>
        <v/>
      </c>
      <c r="AF155" s="29" t="str">
        <f t="array" ref="AF155">MID(";"&amp;'CASE DATA'!$F155&amp;";",SMALL(IF(ISERROR(SEARCH(MID(";"&amp;'CASE DATA'!$F155&amp;";",ROW($1:$99),1),";")),"",ROW($1:$99)+1),COLUMN(K155)),SMALL(IF(ISERROR(SEARCH(MID(";"&amp;'CASE DATA'!$F155&amp;";",ROW($1:$99),1),";")),"",ROW($1:$99)),COLUMN(K154)+1)-SMALL(IF(ISERROR(SEARCH(MID(";"&amp;'CASE DATA'!$F155&amp;";",ROW($1:$99),1),";")),"",ROW($1:$99)),COLUMN(K154))-1)</f>
        <v/>
      </c>
      <c r="AG155" s="29" t="str">
        <f t="array" ref="AG155">MID(";"&amp;'CASE DATA'!$F155&amp;";",SMALL(IF(ISERROR(SEARCH(MID(";"&amp;'CASE DATA'!$F155&amp;";",ROW($1:$99),1),";")),"",ROW($1:$99)+1),COLUMN(L155)),SMALL(IF(ISERROR(SEARCH(MID(";"&amp;'CASE DATA'!$F155&amp;";",ROW($1:$99),1),";")),"",ROW($1:$99)),COLUMN(L154)+1)-SMALL(IF(ISERROR(SEARCH(MID(";"&amp;'CASE DATA'!$F155&amp;";",ROW($1:$99),1),";")),"",ROW($1:$99)),COLUMN(L154))-1)</f>
        <v/>
      </c>
      <c r="AH155" s="29"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24"/>
      <c r="D156" s="24"/>
      <c r="E156" s="25"/>
      <c r="F156" s="30"/>
      <c r="J156" s="31"/>
      <c r="K156" s="31"/>
      <c r="L156" s="31"/>
      <c r="M156" s="31"/>
      <c r="N156" s="31"/>
      <c r="O156" s="31"/>
      <c r="P156" s="31"/>
      <c r="Q156" s="31"/>
      <c r="R156" s="31"/>
      <c r="S156" s="31"/>
      <c r="T156" s="28">
        <f t="shared" si="3"/>
        <v>0</v>
      </c>
      <c r="U156" s="28"/>
      <c r="W156" s="29" t="str">
        <f t="array" ref="W156">MID(";"&amp;'CASE DATA'!$F156&amp;";",SMALL(IF(ISERROR(SEARCH(MID(";"&amp;'CASE DATA'!$F156&amp;";",ROW($1:$99),1),";")),"",ROW($1:$99)+1),COLUMN(A156)),SMALL(IF(ISERROR(SEARCH(MID(";"&amp;'CASE DATA'!$F156&amp;";",ROW($1:$99),1),";")),"",ROW($1:$99)),COLUMN(A155)+1)-SMALL(IF(ISERROR(SEARCH(MID(";"&amp;'CASE DATA'!$F156&amp;";",ROW($1:$99),1),";")),"",ROW($1:$99)),COLUMN(A155))-1)</f>
        <v/>
      </c>
      <c r="X156" s="29" t="str">
        <f t="array" ref="X156">MID(";"&amp;'CASE DATA'!$F156&amp;";",SMALL(IF(ISERROR(SEARCH(MID(";"&amp;'CASE DATA'!$F156&amp;";",ROW($1:$99),1),";")),"",ROW($1:$99)+1),COLUMN(B156)),SMALL(IF(ISERROR(SEARCH(MID(";"&amp;'CASE DATA'!$F156&amp;";",ROW($1:$99),1),";")),"",ROW($1:$99)),COLUMN(B155)+1)-SMALL(IF(ISERROR(SEARCH(MID(";"&amp;'CASE DATA'!$F156&amp;";",ROW($1:$99),1),";")),"",ROW($1:$99)),COLUMN(B155))-1)</f>
        <v/>
      </c>
      <c r="Y156" s="29" t="str">
        <f t="array" ref="Y156">MID(";"&amp;'CASE DATA'!$F156&amp;";",SMALL(IF(ISERROR(SEARCH(MID(";"&amp;'CASE DATA'!$F156&amp;";",ROW($1:$99),1),";")),"",ROW($1:$99)+1),COLUMN(D156)),SMALL(IF(ISERROR(SEARCH(MID(";"&amp;'CASE DATA'!$F156&amp;";",ROW($1:$99),1),";")),"",ROW($1:$99)),COLUMN(D155)+1)-SMALL(IF(ISERROR(SEARCH(MID(";"&amp;'CASE DATA'!$F156&amp;";",ROW($1:$99),1),";")),"",ROW($1:$99)),COLUMN(D155))-1)</f>
        <v/>
      </c>
      <c r="Z156" s="29" t="str">
        <f t="array" ref="Z156">MID(";"&amp;'CASE DATA'!$F156&amp;";",SMALL(IF(ISERROR(SEARCH(MID(";"&amp;'CASE DATA'!$F156&amp;";",ROW($1:$99),1),";")),"",ROW($1:$99)+1),COLUMN(E156)),SMALL(IF(ISERROR(SEARCH(MID(";"&amp;'CASE DATA'!$F156&amp;";",ROW($1:$99),1),";")),"",ROW($1:$99)),COLUMN(E155)+1)-SMALL(IF(ISERROR(SEARCH(MID(";"&amp;'CASE DATA'!$F156&amp;";",ROW($1:$99),1),";")),"",ROW($1:$99)),COLUMN(E155))-1)</f>
        <v/>
      </c>
      <c r="AA156" s="29" t="str">
        <f t="array" ref="AA156">MID(";"&amp;'CASE DATA'!$F156&amp;";",SMALL(IF(ISERROR(SEARCH(MID(";"&amp;'CASE DATA'!$F156&amp;";",ROW($1:$99),1),";")),"",ROW($1:$99)+1),COLUMN(F156)),SMALL(IF(ISERROR(SEARCH(MID(";"&amp;'CASE DATA'!$F156&amp;";",ROW($1:$99),1),";")),"",ROW($1:$99)),COLUMN(F155)+1)-SMALL(IF(ISERROR(SEARCH(MID(";"&amp;'CASE DATA'!$F156&amp;";",ROW($1:$99),1),";")),"",ROW($1:$99)),COLUMN(F155))-1)</f>
        <v/>
      </c>
      <c r="AB156" s="29" t="str">
        <f t="array" ref="AB156">MID(";"&amp;'CASE DATA'!$F156&amp;";",SMALL(IF(ISERROR(SEARCH(MID(";"&amp;'CASE DATA'!$F156&amp;";",ROW($1:$99),1),";")),"",ROW($1:$99)+1),COLUMN(G156)),SMALL(IF(ISERROR(SEARCH(MID(";"&amp;'CASE DATA'!$F156&amp;";",ROW($1:$99),1),";")),"",ROW($1:$99)),COLUMN(G155)+1)-SMALL(IF(ISERROR(SEARCH(MID(";"&amp;'CASE DATA'!$F156&amp;";",ROW($1:$99),1),";")),"",ROW($1:$99)),COLUMN(G155))-1)</f>
        <v/>
      </c>
      <c r="AC156" s="29" t="str">
        <f t="array" ref="AC156">MID(";"&amp;'CASE DATA'!$F156&amp;";",SMALL(IF(ISERROR(SEARCH(MID(";"&amp;'CASE DATA'!$F156&amp;";",ROW($1:$99),1),";")),"",ROW($1:$99)+1),COLUMN(H156)),SMALL(IF(ISERROR(SEARCH(MID(";"&amp;'CASE DATA'!$F156&amp;";",ROW($1:$99),1),";")),"",ROW($1:$99)),COLUMN(H155)+1)-SMALL(IF(ISERROR(SEARCH(MID(";"&amp;'CASE DATA'!$F156&amp;";",ROW($1:$99),1),";")),"",ROW($1:$99)),COLUMN(H155))-1)</f>
        <v/>
      </c>
      <c r="AD156" s="29" t="str">
        <f t="array" ref="AD156">MID(";"&amp;'CASE DATA'!$F156&amp;";",SMALL(IF(ISERROR(SEARCH(MID(";"&amp;'CASE DATA'!$F156&amp;";",ROW($1:$99),1),";")),"",ROW($1:$99)+1),COLUMN(I156)),SMALL(IF(ISERROR(SEARCH(MID(";"&amp;'CASE DATA'!$F156&amp;";",ROW($1:$99),1),";")),"",ROW($1:$99)),COLUMN(I155)+1)-SMALL(IF(ISERROR(SEARCH(MID(";"&amp;'CASE DATA'!$F156&amp;";",ROW($1:$99),1),";")),"",ROW($1:$99)),COLUMN(I155))-1)</f>
        <v/>
      </c>
      <c r="AE156" s="29" t="str">
        <f t="array" ref="AE156">MID(";"&amp;'CASE DATA'!$F156&amp;";",SMALL(IF(ISERROR(SEARCH(MID(";"&amp;'CASE DATA'!$F156&amp;";",ROW($1:$99),1),";")),"",ROW($1:$99)+1),COLUMN(J156)),SMALL(IF(ISERROR(SEARCH(MID(";"&amp;'CASE DATA'!$F156&amp;";",ROW($1:$99),1),";")),"",ROW($1:$99)),COLUMN(J155)+1)-SMALL(IF(ISERROR(SEARCH(MID(";"&amp;'CASE DATA'!$F156&amp;";",ROW($1:$99),1),";")),"",ROW($1:$99)),COLUMN(J155))-1)</f>
        <v/>
      </c>
      <c r="AF156" s="29" t="str">
        <f t="array" ref="AF156">MID(";"&amp;'CASE DATA'!$F156&amp;";",SMALL(IF(ISERROR(SEARCH(MID(";"&amp;'CASE DATA'!$F156&amp;";",ROW($1:$99),1),";")),"",ROW($1:$99)+1),COLUMN(K156)),SMALL(IF(ISERROR(SEARCH(MID(";"&amp;'CASE DATA'!$F156&amp;";",ROW($1:$99),1),";")),"",ROW($1:$99)),COLUMN(K155)+1)-SMALL(IF(ISERROR(SEARCH(MID(";"&amp;'CASE DATA'!$F156&amp;";",ROW($1:$99),1),";")),"",ROW($1:$99)),COLUMN(K155))-1)</f>
        <v/>
      </c>
      <c r="AG156" s="29" t="str">
        <f t="array" ref="AG156">MID(";"&amp;'CASE DATA'!$F156&amp;";",SMALL(IF(ISERROR(SEARCH(MID(";"&amp;'CASE DATA'!$F156&amp;";",ROW($1:$99),1),";")),"",ROW($1:$99)+1),COLUMN(L156)),SMALL(IF(ISERROR(SEARCH(MID(";"&amp;'CASE DATA'!$F156&amp;";",ROW($1:$99),1),";")),"",ROW($1:$99)),COLUMN(L155)+1)-SMALL(IF(ISERROR(SEARCH(MID(";"&amp;'CASE DATA'!$F156&amp;";",ROW($1:$99),1),";")),"",ROW($1:$99)),COLUMN(L155))-1)</f>
        <v/>
      </c>
      <c r="AH156" s="29"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24"/>
      <c r="D157" s="24"/>
      <c r="E157" s="25"/>
      <c r="F157" s="30"/>
      <c r="J157" s="31"/>
      <c r="K157" s="31"/>
      <c r="L157" s="31"/>
      <c r="M157" s="31"/>
      <c r="N157" s="31"/>
      <c r="O157" s="31"/>
      <c r="P157" s="31"/>
      <c r="Q157" s="31"/>
      <c r="R157" s="31"/>
      <c r="S157" s="31"/>
      <c r="T157" s="28">
        <f t="shared" si="3"/>
        <v>0</v>
      </c>
      <c r="U157" s="28"/>
      <c r="W157" s="29" t="str">
        <f t="array" ref="W157">MID(";"&amp;'CASE DATA'!$F157&amp;";",SMALL(IF(ISERROR(SEARCH(MID(";"&amp;'CASE DATA'!$F157&amp;";",ROW($1:$99),1),";")),"",ROW($1:$99)+1),COLUMN(A157)),SMALL(IF(ISERROR(SEARCH(MID(";"&amp;'CASE DATA'!$F157&amp;";",ROW($1:$99),1),";")),"",ROW($1:$99)),COLUMN(A156)+1)-SMALL(IF(ISERROR(SEARCH(MID(";"&amp;'CASE DATA'!$F157&amp;";",ROW($1:$99),1),";")),"",ROW($1:$99)),COLUMN(A156))-1)</f>
        <v/>
      </c>
      <c r="X157" s="29" t="str">
        <f t="array" ref="X157">MID(";"&amp;'CASE DATA'!$F157&amp;";",SMALL(IF(ISERROR(SEARCH(MID(";"&amp;'CASE DATA'!$F157&amp;";",ROW($1:$99),1),";")),"",ROW($1:$99)+1),COLUMN(B157)),SMALL(IF(ISERROR(SEARCH(MID(";"&amp;'CASE DATA'!$F157&amp;";",ROW($1:$99),1),";")),"",ROW($1:$99)),COLUMN(B156)+1)-SMALL(IF(ISERROR(SEARCH(MID(";"&amp;'CASE DATA'!$F157&amp;";",ROW($1:$99),1),";")),"",ROW($1:$99)),COLUMN(B156))-1)</f>
        <v/>
      </c>
      <c r="Y157" s="29" t="str">
        <f t="array" ref="Y157">MID(";"&amp;'CASE DATA'!$F157&amp;";",SMALL(IF(ISERROR(SEARCH(MID(";"&amp;'CASE DATA'!$F157&amp;";",ROW($1:$99),1),";")),"",ROW($1:$99)+1),COLUMN(D157)),SMALL(IF(ISERROR(SEARCH(MID(";"&amp;'CASE DATA'!$F157&amp;";",ROW($1:$99),1),";")),"",ROW($1:$99)),COLUMN(D156)+1)-SMALL(IF(ISERROR(SEARCH(MID(";"&amp;'CASE DATA'!$F157&amp;";",ROW($1:$99),1),";")),"",ROW($1:$99)),COLUMN(D156))-1)</f>
        <v/>
      </c>
      <c r="Z157" s="29" t="str">
        <f t="array" ref="Z157">MID(";"&amp;'CASE DATA'!$F157&amp;";",SMALL(IF(ISERROR(SEARCH(MID(";"&amp;'CASE DATA'!$F157&amp;";",ROW($1:$99),1),";")),"",ROW($1:$99)+1),COLUMN(E157)),SMALL(IF(ISERROR(SEARCH(MID(";"&amp;'CASE DATA'!$F157&amp;";",ROW($1:$99),1),";")),"",ROW($1:$99)),COLUMN(E156)+1)-SMALL(IF(ISERROR(SEARCH(MID(";"&amp;'CASE DATA'!$F157&amp;";",ROW($1:$99),1),";")),"",ROW($1:$99)),COLUMN(E156))-1)</f>
        <v/>
      </c>
      <c r="AA157" s="29" t="str">
        <f t="array" ref="AA157">MID(";"&amp;'CASE DATA'!$F157&amp;";",SMALL(IF(ISERROR(SEARCH(MID(";"&amp;'CASE DATA'!$F157&amp;";",ROW($1:$99),1),";")),"",ROW($1:$99)+1),COLUMN(F157)),SMALL(IF(ISERROR(SEARCH(MID(";"&amp;'CASE DATA'!$F157&amp;";",ROW($1:$99),1),";")),"",ROW($1:$99)),COLUMN(F156)+1)-SMALL(IF(ISERROR(SEARCH(MID(";"&amp;'CASE DATA'!$F157&amp;";",ROW($1:$99),1),";")),"",ROW($1:$99)),COLUMN(F156))-1)</f>
        <v/>
      </c>
      <c r="AB157" s="29" t="str">
        <f t="array" ref="AB157">MID(";"&amp;'CASE DATA'!$F157&amp;";",SMALL(IF(ISERROR(SEARCH(MID(";"&amp;'CASE DATA'!$F157&amp;";",ROW($1:$99),1),";")),"",ROW($1:$99)+1),COLUMN(G157)),SMALL(IF(ISERROR(SEARCH(MID(";"&amp;'CASE DATA'!$F157&amp;";",ROW($1:$99),1),";")),"",ROW($1:$99)),COLUMN(G156)+1)-SMALL(IF(ISERROR(SEARCH(MID(";"&amp;'CASE DATA'!$F157&amp;";",ROW($1:$99),1),";")),"",ROW($1:$99)),COLUMN(G156))-1)</f>
        <v/>
      </c>
      <c r="AC157" s="29" t="str">
        <f t="array" ref="AC157">MID(";"&amp;'CASE DATA'!$F157&amp;";",SMALL(IF(ISERROR(SEARCH(MID(";"&amp;'CASE DATA'!$F157&amp;";",ROW($1:$99),1),";")),"",ROW($1:$99)+1),COLUMN(H157)),SMALL(IF(ISERROR(SEARCH(MID(";"&amp;'CASE DATA'!$F157&amp;";",ROW($1:$99),1),";")),"",ROW($1:$99)),COLUMN(H156)+1)-SMALL(IF(ISERROR(SEARCH(MID(";"&amp;'CASE DATA'!$F157&amp;";",ROW($1:$99),1),";")),"",ROW($1:$99)),COLUMN(H156))-1)</f>
        <v/>
      </c>
      <c r="AD157" s="29" t="str">
        <f t="array" ref="AD157">MID(";"&amp;'CASE DATA'!$F157&amp;";",SMALL(IF(ISERROR(SEARCH(MID(";"&amp;'CASE DATA'!$F157&amp;";",ROW($1:$99),1),";")),"",ROW($1:$99)+1),COLUMN(I157)),SMALL(IF(ISERROR(SEARCH(MID(";"&amp;'CASE DATA'!$F157&amp;";",ROW($1:$99),1),";")),"",ROW($1:$99)),COLUMN(I156)+1)-SMALL(IF(ISERROR(SEARCH(MID(";"&amp;'CASE DATA'!$F157&amp;";",ROW($1:$99),1),";")),"",ROW($1:$99)),COLUMN(I156))-1)</f>
        <v/>
      </c>
      <c r="AE157" s="29" t="str">
        <f t="array" ref="AE157">MID(";"&amp;'CASE DATA'!$F157&amp;";",SMALL(IF(ISERROR(SEARCH(MID(";"&amp;'CASE DATA'!$F157&amp;";",ROW($1:$99),1),";")),"",ROW($1:$99)+1),COLUMN(J157)),SMALL(IF(ISERROR(SEARCH(MID(";"&amp;'CASE DATA'!$F157&amp;";",ROW($1:$99),1),";")),"",ROW($1:$99)),COLUMN(J156)+1)-SMALL(IF(ISERROR(SEARCH(MID(";"&amp;'CASE DATA'!$F157&amp;";",ROW($1:$99),1),";")),"",ROW($1:$99)),COLUMN(J156))-1)</f>
        <v/>
      </c>
      <c r="AF157" s="29" t="str">
        <f t="array" ref="AF157">MID(";"&amp;'CASE DATA'!$F157&amp;";",SMALL(IF(ISERROR(SEARCH(MID(";"&amp;'CASE DATA'!$F157&amp;";",ROW($1:$99),1),";")),"",ROW($1:$99)+1),COLUMN(K157)),SMALL(IF(ISERROR(SEARCH(MID(";"&amp;'CASE DATA'!$F157&amp;";",ROW($1:$99),1),";")),"",ROW($1:$99)),COLUMN(K156)+1)-SMALL(IF(ISERROR(SEARCH(MID(";"&amp;'CASE DATA'!$F157&amp;";",ROW($1:$99),1),";")),"",ROW($1:$99)),COLUMN(K156))-1)</f>
        <v/>
      </c>
      <c r="AG157" s="29" t="str">
        <f t="array" ref="AG157">MID(";"&amp;'CASE DATA'!$F157&amp;";",SMALL(IF(ISERROR(SEARCH(MID(";"&amp;'CASE DATA'!$F157&amp;";",ROW($1:$99),1),";")),"",ROW($1:$99)+1),COLUMN(L157)),SMALL(IF(ISERROR(SEARCH(MID(";"&amp;'CASE DATA'!$F157&amp;";",ROW($1:$99),1),";")),"",ROW($1:$99)),COLUMN(L156)+1)-SMALL(IF(ISERROR(SEARCH(MID(";"&amp;'CASE DATA'!$F157&amp;";",ROW($1:$99),1),";")),"",ROW($1:$99)),COLUMN(L156))-1)</f>
        <v/>
      </c>
      <c r="AH157" s="29"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24"/>
      <c r="D158" s="24"/>
      <c r="E158" s="25"/>
      <c r="F158" s="30"/>
      <c r="J158" s="31"/>
      <c r="K158" s="31"/>
      <c r="L158" s="31"/>
      <c r="M158" s="31"/>
      <c r="N158" s="31"/>
      <c r="O158" s="31"/>
      <c r="P158" s="31"/>
      <c r="Q158" s="31"/>
      <c r="R158" s="31"/>
      <c r="S158" s="31"/>
      <c r="T158" s="28">
        <f t="shared" si="3"/>
        <v>0</v>
      </c>
      <c r="U158" s="28"/>
      <c r="W158" s="29" t="str">
        <f t="array" ref="W158">MID(";"&amp;'CASE DATA'!$F158&amp;";",SMALL(IF(ISERROR(SEARCH(MID(";"&amp;'CASE DATA'!$F158&amp;";",ROW($1:$99),1),";")),"",ROW($1:$99)+1),COLUMN(A158)),SMALL(IF(ISERROR(SEARCH(MID(";"&amp;'CASE DATA'!$F158&amp;";",ROW($1:$99),1),";")),"",ROW($1:$99)),COLUMN(A157)+1)-SMALL(IF(ISERROR(SEARCH(MID(";"&amp;'CASE DATA'!$F158&amp;";",ROW($1:$99),1),";")),"",ROW($1:$99)),COLUMN(A157))-1)</f>
        <v/>
      </c>
      <c r="X158" s="29" t="str">
        <f t="array" ref="X158">MID(";"&amp;'CASE DATA'!$F158&amp;";",SMALL(IF(ISERROR(SEARCH(MID(";"&amp;'CASE DATA'!$F158&amp;";",ROW($1:$99),1),";")),"",ROW($1:$99)+1),COLUMN(B158)),SMALL(IF(ISERROR(SEARCH(MID(";"&amp;'CASE DATA'!$F158&amp;";",ROW($1:$99),1),";")),"",ROW($1:$99)),COLUMN(B157)+1)-SMALL(IF(ISERROR(SEARCH(MID(";"&amp;'CASE DATA'!$F158&amp;";",ROW($1:$99),1),";")),"",ROW($1:$99)),COLUMN(B157))-1)</f>
        <v/>
      </c>
      <c r="Y158" s="29" t="str">
        <f t="array" ref="Y158">MID(";"&amp;'CASE DATA'!$F158&amp;";",SMALL(IF(ISERROR(SEARCH(MID(";"&amp;'CASE DATA'!$F158&amp;";",ROW($1:$99),1),";")),"",ROW($1:$99)+1),COLUMN(D158)),SMALL(IF(ISERROR(SEARCH(MID(";"&amp;'CASE DATA'!$F158&amp;";",ROW($1:$99),1),";")),"",ROW($1:$99)),COLUMN(D157)+1)-SMALL(IF(ISERROR(SEARCH(MID(";"&amp;'CASE DATA'!$F158&amp;";",ROW($1:$99),1),";")),"",ROW($1:$99)),COLUMN(D157))-1)</f>
        <v/>
      </c>
      <c r="Z158" s="29" t="str">
        <f t="array" ref="Z158">MID(";"&amp;'CASE DATA'!$F158&amp;";",SMALL(IF(ISERROR(SEARCH(MID(";"&amp;'CASE DATA'!$F158&amp;";",ROW($1:$99),1),";")),"",ROW($1:$99)+1),COLUMN(E158)),SMALL(IF(ISERROR(SEARCH(MID(";"&amp;'CASE DATA'!$F158&amp;";",ROW($1:$99),1),";")),"",ROW($1:$99)),COLUMN(E157)+1)-SMALL(IF(ISERROR(SEARCH(MID(";"&amp;'CASE DATA'!$F158&amp;";",ROW($1:$99),1),";")),"",ROW($1:$99)),COLUMN(E157))-1)</f>
        <v/>
      </c>
      <c r="AA158" s="29" t="str">
        <f t="array" ref="AA158">MID(";"&amp;'CASE DATA'!$F158&amp;";",SMALL(IF(ISERROR(SEARCH(MID(";"&amp;'CASE DATA'!$F158&amp;";",ROW($1:$99),1),";")),"",ROW($1:$99)+1),COLUMN(F158)),SMALL(IF(ISERROR(SEARCH(MID(";"&amp;'CASE DATA'!$F158&amp;";",ROW($1:$99),1),";")),"",ROW($1:$99)),COLUMN(F157)+1)-SMALL(IF(ISERROR(SEARCH(MID(";"&amp;'CASE DATA'!$F158&amp;";",ROW($1:$99),1),";")),"",ROW($1:$99)),COLUMN(F157))-1)</f>
        <v/>
      </c>
      <c r="AB158" s="29" t="str">
        <f t="array" ref="AB158">MID(";"&amp;'CASE DATA'!$F158&amp;";",SMALL(IF(ISERROR(SEARCH(MID(";"&amp;'CASE DATA'!$F158&amp;";",ROW($1:$99),1),";")),"",ROW($1:$99)+1),COLUMN(G158)),SMALL(IF(ISERROR(SEARCH(MID(";"&amp;'CASE DATA'!$F158&amp;";",ROW($1:$99),1),";")),"",ROW($1:$99)),COLUMN(G157)+1)-SMALL(IF(ISERROR(SEARCH(MID(";"&amp;'CASE DATA'!$F158&amp;";",ROW($1:$99),1),";")),"",ROW($1:$99)),COLUMN(G157))-1)</f>
        <v/>
      </c>
      <c r="AC158" s="29" t="str">
        <f t="array" ref="AC158">MID(";"&amp;'CASE DATA'!$F158&amp;";",SMALL(IF(ISERROR(SEARCH(MID(";"&amp;'CASE DATA'!$F158&amp;";",ROW($1:$99),1),";")),"",ROW($1:$99)+1),COLUMN(H158)),SMALL(IF(ISERROR(SEARCH(MID(";"&amp;'CASE DATA'!$F158&amp;";",ROW($1:$99),1),";")),"",ROW($1:$99)),COLUMN(H157)+1)-SMALL(IF(ISERROR(SEARCH(MID(";"&amp;'CASE DATA'!$F158&amp;";",ROW($1:$99),1),";")),"",ROW($1:$99)),COLUMN(H157))-1)</f>
        <v/>
      </c>
      <c r="AD158" s="29" t="str">
        <f t="array" ref="AD158">MID(";"&amp;'CASE DATA'!$F158&amp;";",SMALL(IF(ISERROR(SEARCH(MID(";"&amp;'CASE DATA'!$F158&amp;";",ROW($1:$99),1),";")),"",ROW($1:$99)+1),COLUMN(I158)),SMALL(IF(ISERROR(SEARCH(MID(";"&amp;'CASE DATA'!$F158&amp;";",ROW($1:$99),1),";")),"",ROW($1:$99)),COLUMN(I157)+1)-SMALL(IF(ISERROR(SEARCH(MID(";"&amp;'CASE DATA'!$F158&amp;";",ROW($1:$99),1),";")),"",ROW($1:$99)),COLUMN(I157))-1)</f>
        <v/>
      </c>
      <c r="AE158" s="29" t="str">
        <f t="array" ref="AE158">MID(";"&amp;'CASE DATA'!$F158&amp;";",SMALL(IF(ISERROR(SEARCH(MID(";"&amp;'CASE DATA'!$F158&amp;";",ROW($1:$99),1),";")),"",ROW($1:$99)+1),COLUMN(J158)),SMALL(IF(ISERROR(SEARCH(MID(";"&amp;'CASE DATA'!$F158&amp;";",ROW($1:$99),1),";")),"",ROW($1:$99)),COLUMN(J157)+1)-SMALL(IF(ISERROR(SEARCH(MID(";"&amp;'CASE DATA'!$F158&amp;";",ROW($1:$99),1),";")),"",ROW($1:$99)),COLUMN(J157))-1)</f>
        <v/>
      </c>
      <c r="AF158" s="29" t="str">
        <f t="array" ref="AF158">MID(";"&amp;'CASE DATA'!$F158&amp;";",SMALL(IF(ISERROR(SEARCH(MID(";"&amp;'CASE DATA'!$F158&amp;";",ROW($1:$99),1),";")),"",ROW($1:$99)+1),COLUMN(K158)),SMALL(IF(ISERROR(SEARCH(MID(";"&amp;'CASE DATA'!$F158&amp;";",ROW($1:$99),1),";")),"",ROW($1:$99)),COLUMN(K157)+1)-SMALL(IF(ISERROR(SEARCH(MID(";"&amp;'CASE DATA'!$F158&amp;";",ROW($1:$99),1),";")),"",ROW($1:$99)),COLUMN(K157))-1)</f>
        <v/>
      </c>
      <c r="AG158" s="29" t="str">
        <f t="array" ref="AG158">MID(";"&amp;'CASE DATA'!$F158&amp;";",SMALL(IF(ISERROR(SEARCH(MID(";"&amp;'CASE DATA'!$F158&amp;";",ROW($1:$99),1),";")),"",ROW($1:$99)+1),COLUMN(L158)),SMALL(IF(ISERROR(SEARCH(MID(";"&amp;'CASE DATA'!$F158&amp;";",ROW($1:$99),1),";")),"",ROW($1:$99)),COLUMN(L157)+1)-SMALL(IF(ISERROR(SEARCH(MID(";"&amp;'CASE DATA'!$F158&amp;";",ROW($1:$99),1),";")),"",ROW($1:$99)),COLUMN(L157))-1)</f>
        <v/>
      </c>
      <c r="AH158" s="29"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24"/>
      <c r="D159" s="24"/>
      <c r="E159" s="25"/>
      <c r="F159" s="30"/>
      <c r="J159" s="31"/>
      <c r="K159" s="31"/>
      <c r="L159" s="31"/>
      <c r="M159" s="31"/>
      <c r="N159" s="31"/>
      <c r="O159" s="31"/>
      <c r="P159" s="31"/>
      <c r="Q159" s="31"/>
      <c r="R159" s="31"/>
      <c r="S159" s="31"/>
      <c r="T159" s="28">
        <f t="shared" si="3"/>
        <v>0</v>
      </c>
      <c r="U159" s="28"/>
      <c r="W159" s="29" t="str">
        <f t="array" ref="W159">MID(";"&amp;'CASE DATA'!$F159&amp;";",SMALL(IF(ISERROR(SEARCH(MID(";"&amp;'CASE DATA'!$F159&amp;";",ROW($1:$99),1),";")),"",ROW($1:$99)+1),COLUMN(A159)),SMALL(IF(ISERROR(SEARCH(MID(";"&amp;'CASE DATA'!$F159&amp;";",ROW($1:$99),1),";")),"",ROW($1:$99)),COLUMN(A158)+1)-SMALL(IF(ISERROR(SEARCH(MID(";"&amp;'CASE DATA'!$F159&amp;";",ROW($1:$99),1),";")),"",ROW($1:$99)),COLUMN(A158))-1)</f>
        <v/>
      </c>
      <c r="X159" s="29" t="str">
        <f t="array" ref="X159">MID(";"&amp;'CASE DATA'!$F159&amp;";",SMALL(IF(ISERROR(SEARCH(MID(";"&amp;'CASE DATA'!$F159&amp;";",ROW($1:$99),1),";")),"",ROW($1:$99)+1),COLUMN(B159)),SMALL(IF(ISERROR(SEARCH(MID(";"&amp;'CASE DATA'!$F159&amp;";",ROW($1:$99),1),";")),"",ROW($1:$99)),COLUMN(B158)+1)-SMALL(IF(ISERROR(SEARCH(MID(";"&amp;'CASE DATA'!$F159&amp;";",ROW($1:$99),1),";")),"",ROW($1:$99)),COLUMN(B158))-1)</f>
        <v/>
      </c>
      <c r="Y159" s="29" t="str">
        <f t="array" ref="Y159">MID(";"&amp;'CASE DATA'!$F159&amp;";",SMALL(IF(ISERROR(SEARCH(MID(";"&amp;'CASE DATA'!$F159&amp;";",ROW($1:$99),1),";")),"",ROW($1:$99)+1),COLUMN(D159)),SMALL(IF(ISERROR(SEARCH(MID(";"&amp;'CASE DATA'!$F159&amp;";",ROW($1:$99),1),";")),"",ROW($1:$99)),COLUMN(D158)+1)-SMALL(IF(ISERROR(SEARCH(MID(";"&amp;'CASE DATA'!$F159&amp;";",ROW($1:$99),1),";")),"",ROW($1:$99)),COLUMN(D158))-1)</f>
        <v/>
      </c>
      <c r="Z159" s="29" t="str">
        <f t="array" ref="Z159">MID(";"&amp;'CASE DATA'!$F159&amp;";",SMALL(IF(ISERROR(SEARCH(MID(";"&amp;'CASE DATA'!$F159&amp;";",ROW($1:$99),1),";")),"",ROW($1:$99)+1),COLUMN(E159)),SMALL(IF(ISERROR(SEARCH(MID(";"&amp;'CASE DATA'!$F159&amp;";",ROW($1:$99),1),";")),"",ROW($1:$99)),COLUMN(E158)+1)-SMALL(IF(ISERROR(SEARCH(MID(";"&amp;'CASE DATA'!$F159&amp;";",ROW($1:$99),1),";")),"",ROW($1:$99)),COLUMN(E158))-1)</f>
        <v/>
      </c>
      <c r="AA159" s="29" t="str">
        <f t="array" ref="AA159">MID(";"&amp;'CASE DATA'!$F159&amp;";",SMALL(IF(ISERROR(SEARCH(MID(";"&amp;'CASE DATA'!$F159&amp;";",ROW($1:$99),1),";")),"",ROW($1:$99)+1),COLUMN(F159)),SMALL(IF(ISERROR(SEARCH(MID(";"&amp;'CASE DATA'!$F159&amp;";",ROW($1:$99),1),";")),"",ROW($1:$99)),COLUMN(F158)+1)-SMALL(IF(ISERROR(SEARCH(MID(";"&amp;'CASE DATA'!$F159&amp;";",ROW($1:$99),1),";")),"",ROW($1:$99)),COLUMN(F158))-1)</f>
        <v/>
      </c>
      <c r="AB159" s="29" t="str">
        <f t="array" ref="AB159">MID(";"&amp;'CASE DATA'!$F159&amp;";",SMALL(IF(ISERROR(SEARCH(MID(";"&amp;'CASE DATA'!$F159&amp;";",ROW($1:$99),1),";")),"",ROW($1:$99)+1),COLUMN(G159)),SMALL(IF(ISERROR(SEARCH(MID(";"&amp;'CASE DATA'!$F159&amp;";",ROW($1:$99),1),";")),"",ROW($1:$99)),COLUMN(G158)+1)-SMALL(IF(ISERROR(SEARCH(MID(";"&amp;'CASE DATA'!$F159&amp;";",ROW($1:$99),1),";")),"",ROW($1:$99)),COLUMN(G158))-1)</f>
        <v/>
      </c>
      <c r="AC159" s="29" t="str">
        <f t="array" ref="AC159">MID(";"&amp;'CASE DATA'!$F159&amp;";",SMALL(IF(ISERROR(SEARCH(MID(";"&amp;'CASE DATA'!$F159&amp;";",ROW($1:$99),1),";")),"",ROW($1:$99)+1),COLUMN(H159)),SMALL(IF(ISERROR(SEARCH(MID(";"&amp;'CASE DATA'!$F159&amp;";",ROW($1:$99),1),";")),"",ROW($1:$99)),COLUMN(H158)+1)-SMALL(IF(ISERROR(SEARCH(MID(";"&amp;'CASE DATA'!$F159&amp;";",ROW($1:$99),1),";")),"",ROW($1:$99)),COLUMN(H158))-1)</f>
        <v/>
      </c>
      <c r="AD159" s="29" t="str">
        <f t="array" ref="AD159">MID(";"&amp;'CASE DATA'!$F159&amp;";",SMALL(IF(ISERROR(SEARCH(MID(";"&amp;'CASE DATA'!$F159&amp;";",ROW($1:$99),1),";")),"",ROW($1:$99)+1),COLUMN(I159)),SMALL(IF(ISERROR(SEARCH(MID(";"&amp;'CASE DATA'!$F159&amp;";",ROW($1:$99),1),";")),"",ROW($1:$99)),COLUMN(I158)+1)-SMALL(IF(ISERROR(SEARCH(MID(";"&amp;'CASE DATA'!$F159&amp;";",ROW($1:$99),1),";")),"",ROW($1:$99)),COLUMN(I158))-1)</f>
        <v/>
      </c>
      <c r="AE159" s="29" t="str">
        <f t="array" ref="AE159">MID(";"&amp;'CASE DATA'!$F159&amp;";",SMALL(IF(ISERROR(SEARCH(MID(";"&amp;'CASE DATA'!$F159&amp;";",ROW($1:$99),1),";")),"",ROW($1:$99)+1),COLUMN(J159)),SMALL(IF(ISERROR(SEARCH(MID(";"&amp;'CASE DATA'!$F159&amp;";",ROW($1:$99),1),";")),"",ROW($1:$99)),COLUMN(J158)+1)-SMALL(IF(ISERROR(SEARCH(MID(";"&amp;'CASE DATA'!$F159&amp;";",ROW($1:$99),1),";")),"",ROW($1:$99)),COLUMN(J158))-1)</f>
        <v/>
      </c>
      <c r="AF159" s="29" t="str">
        <f t="array" ref="AF159">MID(";"&amp;'CASE DATA'!$F159&amp;";",SMALL(IF(ISERROR(SEARCH(MID(";"&amp;'CASE DATA'!$F159&amp;";",ROW($1:$99),1),";")),"",ROW($1:$99)+1),COLUMN(K159)),SMALL(IF(ISERROR(SEARCH(MID(";"&amp;'CASE DATA'!$F159&amp;";",ROW($1:$99),1),";")),"",ROW($1:$99)),COLUMN(K158)+1)-SMALL(IF(ISERROR(SEARCH(MID(";"&amp;'CASE DATA'!$F159&amp;";",ROW($1:$99),1),";")),"",ROW($1:$99)),COLUMN(K158))-1)</f>
        <v/>
      </c>
      <c r="AG159" s="29" t="str">
        <f t="array" ref="AG159">MID(";"&amp;'CASE DATA'!$F159&amp;";",SMALL(IF(ISERROR(SEARCH(MID(";"&amp;'CASE DATA'!$F159&amp;";",ROW($1:$99),1),";")),"",ROW($1:$99)+1),COLUMN(L159)),SMALL(IF(ISERROR(SEARCH(MID(";"&amp;'CASE DATA'!$F159&amp;";",ROW($1:$99),1),";")),"",ROW($1:$99)),COLUMN(L158)+1)-SMALL(IF(ISERROR(SEARCH(MID(";"&amp;'CASE DATA'!$F159&amp;";",ROW($1:$99),1),";")),"",ROW($1:$99)),COLUMN(L158))-1)</f>
        <v/>
      </c>
      <c r="AH159" s="29"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24"/>
      <c r="D160" s="24"/>
      <c r="E160" s="25"/>
      <c r="F160" s="30"/>
      <c r="J160" s="31"/>
      <c r="K160" s="31"/>
      <c r="L160" s="31"/>
      <c r="M160" s="31"/>
      <c r="N160" s="31"/>
      <c r="O160" s="31"/>
      <c r="P160" s="31"/>
      <c r="Q160" s="31"/>
      <c r="R160" s="31"/>
      <c r="S160" s="31"/>
      <c r="T160" s="28">
        <f t="shared" si="3"/>
        <v>0</v>
      </c>
      <c r="U160" s="28"/>
      <c r="W160" s="29" t="str">
        <f t="array" ref="W160">MID(";"&amp;'CASE DATA'!$F160&amp;";",SMALL(IF(ISERROR(SEARCH(MID(";"&amp;'CASE DATA'!$F160&amp;";",ROW($1:$99),1),";")),"",ROW($1:$99)+1),COLUMN(A160)),SMALL(IF(ISERROR(SEARCH(MID(";"&amp;'CASE DATA'!$F160&amp;";",ROW($1:$99),1),";")),"",ROW($1:$99)),COLUMN(A159)+1)-SMALL(IF(ISERROR(SEARCH(MID(";"&amp;'CASE DATA'!$F160&amp;";",ROW($1:$99),1),";")),"",ROW($1:$99)),COLUMN(A159))-1)</f>
        <v/>
      </c>
      <c r="X160" s="29" t="str">
        <f t="array" ref="X160">MID(";"&amp;'CASE DATA'!$F160&amp;";",SMALL(IF(ISERROR(SEARCH(MID(";"&amp;'CASE DATA'!$F160&amp;";",ROW($1:$99),1),";")),"",ROW($1:$99)+1),COLUMN(B160)),SMALL(IF(ISERROR(SEARCH(MID(";"&amp;'CASE DATA'!$F160&amp;";",ROW($1:$99),1),";")),"",ROW($1:$99)),COLUMN(B159)+1)-SMALL(IF(ISERROR(SEARCH(MID(";"&amp;'CASE DATA'!$F160&amp;";",ROW($1:$99),1),";")),"",ROW($1:$99)),COLUMN(B159))-1)</f>
        <v/>
      </c>
      <c r="Y160" s="29" t="str">
        <f t="array" ref="Y160">MID(";"&amp;'CASE DATA'!$F160&amp;";",SMALL(IF(ISERROR(SEARCH(MID(";"&amp;'CASE DATA'!$F160&amp;";",ROW($1:$99),1),";")),"",ROW($1:$99)+1),COLUMN(D160)),SMALL(IF(ISERROR(SEARCH(MID(";"&amp;'CASE DATA'!$F160&amp;";",ROW($1:$99),1),";")),"",ROW($1:$99)),COLUMN(D159)+1)-SMALL(IF(ISERROR(SEARCH(MID(";"&amp;'CASE DATA'!$F160&amp;";",ROW($1:$99),1),";")),"",ROW($1:$99)),COLUMN(D159))-1)</f>
        <v/>
      </c>
      <c r="Z160" s="29" t="str">
        <f t="array" ref="Z160">MID(";"&amp;'CASE DATA'!$F160&amp;";",SMALL(IF(ISERROR(SEARCH(MID(";"&amp;'CASE DATA'!$F160&amp;";",ROW($1:$99),1),";")),"",ROW($1:$99)+1),COLUMN(E160)),SMALL(IF(ISERROR(SEARCH(MID(";"&amp;'CASE DATA'!$F160&amp;";",ROW($1:$99),1),";")),"",ROW($1:$99)),COLUMN(E159)+1)-SMALL(IF(ISERROR(SEARCH(MID(";"&amp;'CASE DATA'!$F160&amp;";",ROW($1:$99),1),";")),"",ROW($1:$99)),COLUMN(E159))-1)</f>
        <v/>
      </c>
      <c r="AA160" s="29" t="str">
        <f t="array" ref="AA160">MID(";"&amp;'CASE DATA'!$F160&amp;";",SMALL(IF(ISERROR(SEARCH(MID(";"&amp;'CASE DATA'!$F160&amp;";",ROW($1:$99),1),";")),"",ROW($1:$99)+1),COLUMN(F160)),SMALL(IF(ISERROR(SEARCH(MID(";"&amp;'CASE DATA'!$F160&amp;";",ROW($1:$99),1),";")),"",ROW($1:$99)),COLUMN(F159)+1)-SMALL(IF(ISERROR(SEARCH(MID(";"&amp;'CASE DATA'!$F160&amp;";",ROW($1:$99),1),";")),"",ROW($1:$99)),COLUMN(F159))-1)</f>
        <v/>
      </c>
      <c r="AB160" s="29" t="str">
        <f t="array" ref="AB160">MID(";"&amp;'CASE DATA'!$F160&amp;";",SMALL(IF(ISERROR(SEARCH(MID(";"&amp;'CASE DATA'!$F160&amp;";",ROW($1:$99),1),";")),"",ROW($1:$99)+1),COLUMN(G160)),SMALL(IF(ISERROR(SEARCH(MID(";"&amp;'CASE DATA'!$F160&amp;";",ROW($1:$99),1),";")),"",ROW($1:$99)),COLUMN(G159)+1)-SMALL(IF(ISERROR(SEARCH(MID(";"&amp;'CASE DATA'!$F160&amp;";",ROW($1:$99),1),";")),"",ROW($1:$99)),COLUMN(G159))-1)</f>
        <v/>
      </c>
      <c r="AC160" s="29" t="str">
        <f t="array" ref="AC160">MID(";"&amp;'CASE DATA'!$F160&amp;";",SMALL(IF(ISERROR(SEARCH(MID(";"&amp;'CASE DATA'!$F160&amp;";",ROW($1:$99),1),";")),"",ROW($1:$99)+1),COLUMN(H160)),SMALL(IF(ISERROR(SEARCH(MID(";"&amp;'CASE DATA'!$F160&amp;";",ROW($1:$99),1),";")),"",ROW($1:$99)),COLUMN(H159)+1)-SMALL(IF(ISERROR(SEARCH(MID(";"&amp;'CASE DATA'!$F160&amp;";",ROW($1:$99),1),";")),"",ROW($1:$99)),COLUMN(H159))-1)</f>
        <v/>
      </c>
      <c r="AD160" s="29" t="str">
        <f t="array" ref="AD160">MID(";"&amp;'CASE DATA'!$F160&amp;";",SMALL(IF(ISERROR(SEARCH(MID(";"&amp;'CASE DATA'!$F160&amp;";",ROW($1:$99),1),";")),"",ROW($1:$99)+1),COLUMN(I160)),SMALL(IF(ISERROR(SEARCH(MID(";"&amp;'CASE DATA'!$F160&amp;";",ROW($1:$99),1),";")),"",ROW($1:$99)),COLUMN(I159)+1)-SMALL(IF(ISERROR(SEARCH(MID(";"&amp;'CASE DATA'!$F160&amp;";",ROW($1:$99),1),";")),"",ROW($1:$99)),COLUMN(I159))-1)</f>
        <v/>
      </c>
      <c r="AE160" s="29" t="str">
        <f t="array" ref="AE160">MID(";"&amp;'CASE DATA'!$F160&amp;";",SMALL(IF(ISERROR(SEARCH(MID(";"&amp;'CASE DATA'!$F160&amp;";",ROW($1:$99),1),";")),"",ROW($1:$99)+1),COLUMN(J160)),SMALL(IF(ISERROR(SEARCH(MID(";"&amp;'CASE DATA'!$F160&amp;";",ROW($1:$99),1),";")),"",ROW($1:$99)),COLUMN(J159)+1)-SMALL(IF(ISERROR(SEARCH(MID(";"&amp;'CASE DATA'!$F160&amp;";",ROW($1:$99),1),";")),"",ROW($1:$99)),COLUMN(J159))-1)</f>
        <v/>
      </c>
      <c r="AF160" s="29" t="str">
        <f t="array" ref="AF160">MID(";"&amp;'CASE DATA'!$F160&amp;";",SMALL(IF(ISERROR(SEARCH(MID(";"&amp;'CASE DATA'!$F160&amp;";",ROW($1:$99),1),";")),"",ROW($1:$99)+1),COLUMN(K160)),SMALL(IF(ISERROR(SEARCH(MID(";"&amp;'CASE DATA'!$F160&amp;";",ROW($1:$99),1),";")),"",ROW($1:$99)),COLUMN(K159)+1)-SMALL(IF(ISERROR(SEARCH(MID(";"&amp;'CASE DATA'!$F160&amp;";",ROW($1:$99),1),";")),"",ROW($1:$99)),COLUMN(K159))-1)</f>
        <v/>
      </c>
      <c r="AG160" s="29" t="str">
        <f t="array" ref="AG160">MID(";"&amp;'CASE DATA'!$F160&amp;";",SMALL(IF(ISERROR(SEARCH(MID(";"&amp;'CASE DATA'!$F160&amp;";",ROW($1:$99),1),";")),"",ROW($1:$99)+1),COLUMN(L160)),SMALL(IF(ISERROR(SEARCH(MID(";"&amp;'CASE DATA'!$F160&amp;";",ROW($1:$99),1),";")),"",ROW($1:$99)),COLUMN(L159)+1)-SMALL(IF(ISERROR(SEARCH(MID(";"&amp;'CASE DATA'!$F160&amp;";",ROW($1:$99),1),";")),"",ROW($1:$99)),COLUMN(L159))-1)</f>
        <v/>
      </c>
      <c r="AH160" s="29"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24"/>
      <c r="D161" s="24"/>
      <c r="E161" s="25"/>
      <c r="F161" s="30"/>
      <c r="J161" s="31"/>
      <c r="K161" s="31"/>
      <c r="L161" s="31"/>
      <c r="M161" s="31"/>
      <c r="N161" s="31"/>
      <c r="O161" s="31"/>
      <c r="P161" s="31"/>
      <c r="Q161" s="31"/>
      <c r="R161" s="31"/>
      <c r="S161" s="31"/>
      <c r="T161" s="28">
        <f t="shared" si="3"/>
        <v>0</v>
      </c>
      <c r="U161" s="28"/>
      <c r="W161" s="29" t="str">
        <f t="array" ref="W161">MID(";"&amp;'CASE DATA'!$F161&amp;";",SMALL(IF(ISERROR(SEARCH(MID(";"&amp;'CASE DATA'!$F161&amp;";",ROW($1:$99),1),";")),"",ROW($1:$99)+1),COLUMN(A161)),SMALL(IF(ISERROR(SEARCH(MID(";"&amp;'CASE DATA'!$F161&amp;";",ROW($1:$99),1),";")),"",ROW($1:$99)),COLUMN(A160)+1)-SMALL(IF(ISERROR(SEARCH(MID(";"&amp;'CASE DATA'!$F161&amp;";",ROW($1:$99),1),";")),"",ROW($1:$99)),COLUMN(A160))-1)</f>
        <v/>
      </c>
      <c r="X161" s="29" t="str">
        <f t="array" ref="X161">MID(";"&amp;'CASE DATA'!$F161&amp;";",SMALL(IF(ISERROR(SEARCH(MID(";"&amp;'CASE DATA'!$F161&amp;";",ROW($1:$99),1),";")),"",ROW($1:$99)+1),COLUMN(B161)),SMALL(IF(ISERROR(SEARCH(MID(";"&amp;'CASE DATA'!$F161&amp;";",ROW($1:$99),1),";")),"",ROW($1:$99)),COLUMN(B160)+1)-SMALL(IF(ISERROR(SEARCH(MID(";"&amp;'CASE DATA'!$F161&amp;";",ROW($1:$99),1),";")),"",ROW($1:$99)),COLUMN(B160))-1)</f>
        <v/>
      </c>
      <c r="Y161" s="29" t="str">
        <f t="array" ref="Y161">MID(";"&amp;'CASE DATA'!$F161&amp;";",SMALL(IF(ISERROR(SEARCH(MID(";"&amp;'CASE DATA'!$F161&amp;";",ROW($1:$99),1),";")),"",ROW($1:$99)+1),COLUMN(D161)),SMALL(IF(ISERROR(SEARCH(MID(";"&amp;'CASE DATA'!$F161&amp;";",ROW($1:$99),1),";")),"",ROW($1:$99)),COLUMN(D160)+1)-SMALL(IF(ISERROR(SEARCH(MID(";"&amp;'CASE DATA'!$F161&amp;";",ROW($1:$99),1),";")),"",ROW($1:$99)),COLUMN(D160))-1)</f>
        <v/>
      </c>
      <c r="Z161" s="29" t="str">
        <f t="array" ref="Z161">MID(";"&amp;'CASE DATA'!$F161&amp;";",SMALL(IF(ISERROR(SEARCH(MID(";"&amp;'CASE DATA'!$F161&amp;";",ROW($1:$99),1),";")),"",ROW($1:$99)+1),COLUMN(E161)),SMALL(IF(ISERROR(SEARCH(MID(";"&amp;'CASE DATA'!$F161&amp;";",ROW($1:$99),1),";")),"",ROW($1:$99)),COLUMN(E160)+1)-SMALL(IF(ISERROR(SEARCH(MID(";"&amp;'CASE DATA'!$F161&amp;";",ROW($1:$99),1),";")),"",ROW($1:$99)),COLUMN(E160))-1)</f>
        <v/>
      </c>
      <c r="AA161" s="29" t="str">
        <f t="array" ref="AA161">MID(";"&amp;'CASE DATA'!$F161&amp;";",SMALL(IF(ISERROR(SEARCH(MID(";"&amp;'CASE DATA'!$F161&amp;";",ROW($1:$99),1),";")),"",ROW($1:$99)+1),COLUMN(F161)),SMALL(IF(ISERROR(SEARCH(MID(";"&amp;'CASE DATA'!$F161&amp;";",ROW($1:$99),1),";")),"",ROW($1:$99)),COLUMN(F160)+1)-SMALL(IF(ISERROR(SEARCH(MID(";"&amp;'CASE DATA'!$F161&amp;";",ROW($1:$99),1),";")),"",ROW($1:$99)),COLUMN(F160))-1)</f>
        <v/>
      </c>
      <c r="AB161" s="29" t="str">
        <f t="array" ref="AB161">MID(";"&amp;'CASE DATA'!$F161&amp;";",SMALL(IF(ISERROR(SEARCH(MID(";"&amp;'CASE DATA'!$F161&amp;";",ROW($1:$99),1),";")),"",ROW($1:$99)+1),COLUMN(G161)),SMALL(IF(ISERROR(SEARCH(MID(";"&amp;'CASE DATA'!$F161&amp;";",ROW($1:$99),1),";")),"",ROW($1:$99)),COLUMN(G160)+1)-SMALL(IF(ISERROR(SEARCH(MID(";"&amp;'CASE DATA'!$F161&amp;";",ROW($1:$99),1),";")),"",ROW($1:$99)),COLUMN(G160))-1)</f>
        <v/>
      </c>
      <c r="AC161" s="29" t="str">
        <f t="array" ref="AC161">MID(";"&amp;'CASE DATA'!$F161&amp;";",SMALL(IF(ISERROR(SEARCH(MID(";"&amp;'CASE DATA'!$F161&amp;";",ROW($1:$99),1),";")),"",ROW($1:$99)+1),COLUMN(H161)),SMALL(IF(ISERROR(SEARCH(MID(";"&amp;'CASE DATA'!$F161&amp;";",ROW($1:$99),1),";")),"",ROW($1:$99)),COLUMN(H160)+1)-SMALL(IF(ISERROR(SEARCH(MID(";"&amp;'CASE DATA'!$F161&amp;";",ROW($1:$99),1),";")),"",ROW($1:$99)),COLUMN(H160))-1)</f>
        <v/>
      </c>
      <c r="AD161" s="29" t="str">
        <f t="array" ref="AD161">MID(";"&amp;'CASE DATA'!$F161&amp;";",SMALL(IF(ISERROR(SEARCH(MID(";"&amp;'CASE DATA'!$F161&amp;";",ROW($1:$99),1),";")),"",ROW($1:$99)+1),COLUMN(I161)),SMALL(IF(ISERROR(SEARCH(MID(";"&amp;'CASE DATA'!$F161&amp;";",ROW($1:$99),1),";")),"",ROW($1:$99)),COLUMN(I160)+1)-SMALL(IF(ISERROR(SEARCH(MID(";"&amp;'CASE DATA'!$F161&amp;";",ROW($1:$99),1),";")),"",ROW($1:$99)),COLUMN(I160))-1)</f>
        <v/>
      </c>
      <c r="AE161" s="29" t="str">
        <f t="array" ref="AE161">MID(";"&amp;'CASE DATA'!$F161&amp;";",SMALL(IF(ISERROR(SEARCH(MID(";"&amp;'CASE DATA'!$F161&amp;";",ROW($1:$99),1),";")),"",ROW($1:$99)+1),COLUMN(J161)),SMALL(IF(ISERROR(SEARCH(MID(";"&amp;'CASE DATA'!$F161&amp;";",ROW($1:$99),1),";")),"",ROW($1:$99)),COLUMN(J160)+1)-SMALL(IF(ISERROR(SEARCH(MID(";"&amp;'CASE DATA'!$F161&amp;";",ROW($1:$99),1),";")),"",ROW($1:$99)),COLUMN(J160))-1)</f>
        <v/>
      </c>
      <c r="AF161" s="29" t="str">
        <f t="array" ref="AF161">MID(";"&amp;'CASE DATA'!$F161&amp;";",SMALL(IF(ISERROR(SEARCH(MID(";"&amp;'CASE DATA'!$F161&amp;";",ROW($1:$99),1),";")),"",ROW($1:$99)+1),COLUMN(K161)),SMALL(IF(ISERROR(SEARCH(MID(";"&amp;'CASE DATA'!$F161&amp;";",ROW($1:$99),1),";")),"",ROW($1:$99)),COLUMN(K160)+1)-SMALL(IF(ISERROR(SEARCH(MID(";"&amp;'CASE DATA'!$F161&amp;";",ROW($1:$99),1),";")),"",ROW($1:$99)),COLUMN(K160))-1)</f>
        <v/>
      </c>
      <c r="AG161" s="29" t="str">
        <f t="array" ref="AG161">MID(";"&amp;'CASE DATA'!$F161&amp;";",SMALL(IF(ISERROR(SEARCH(MID(";"&amp;'CASE DATA'!$F161&amp;";",ROW($1:$99),1),";")),"",ROW($1:$99)+1),COLUMN(L161)),SMALL(IF(ISERROR(SEARCH(MID(";"&amp;'CASE DATA'!$F161&amp;";",ROW($1:$99),1),";")),"",ROW($1:$99)),COLUMN(L160)+1)-SMALL(IF(ISERROR(SEARCH(MID(";"&amp;'CASE DATA'!$F161&amp;";",ROW($1:$99),1),";")),"",ROW($1:$99)),COLUMN(L160))-1)</f>
        <v/>
      </c>
      <c r="AH161" s="29"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24"/>
      <c r="D162" s="24"/>
      <c r="E162" s="25"/>
      <c r="F162" s="30"/>
      <c r="J162" s="31"/>
      <c r="K162" s="31"/>
      <c r="L162" s="31"/>
      <c r="M162" s="31"/>
      <c r="N162" s="31"/>
      <c r="O162" s="31"/>
      <c r="P162" s="31"/>
      <c r="Q162" s="31"/>
      <c r="R162" s="31"/>
      <c r="S162" s="31"/>
      <c r="T162" s="28">
        <f t="shared" si="3"/>
        <v>0</v>
      </c>
      <c r="U162" s="28"/>
      <c r="W162" s="29" t="str">
        <f t="array" ref="W162">MID(";"&amp;'CASE DATA'!$F162&amp;";",SMALL(IF(ISERROR(SEARCH(MID(";"&amp;'CASE DATA'!$F162&amp;";",ROW($1:$99),1),";")),"",ROW($1:$99)+1),COLUMN(A162)),SMALL(IF(ISERROR(SEARCH(MID(";"&amp;'CASE DATA'!$F162&amp;";",ROW($1:$99),1),";")),"",ROW($1:$99)),COLUMN(A161)+1)-SMALL(IF(ISERROR(SEARCH(MID(";"&amp;'CASE DATA'!$F162&amp;";",ROW($1:$99),1),";")),"",ROW($1:$99)),COLUMN(A161))-1)</f>
        <v/>
      </c>
      <c r="X162" s="29" t="str">
        <f t="array" ref="X162">MID(";"&amp;'CASE DATA'!$F162&amp;";",SMALL(IF(ISERROR(SEARCH(MID(";"&amp;'CASE DATA'!$F162&amp;";",ROW($1:$99),1),";")),"",ROW($1:$99)+1),COLUMN(B162)),SMALL(IF(ISERROR(SEARCH(MID(";"&amp;'CASE DATA'!$F162&amp;";",ROW($1:$99),1),";")),"",ROW($1:$99)),COLUMN(B161)+1)-SMALL(IF(ISERROR(SEARCH(MID(";"&amp;'CASE DATA'!$F162&amp;";",ROW($1:$99),1),";")),"",ROW($1:$99)),COLUMN(B161))-1)</f>
        <v/>
      </c>
      <c r="Y162" s="29" t="str">
        <f t="array" ref="Y162">MID(";"&amp;'CASE DATA'!$F162&amp;";",SMALL(IF(ISERROR(SEARCH(MID(";"&amp;'CASE DATA'!$F162&amp;";",ROW($1:$99),1),";")),"",ROW($1:$99)+1),COLUMN(D162)),SMALL(IF(ISERROR(SEARCH(MID(";"&amp;'CASE DATA'!$F162&amp;";",ROW($1:$99),1),";")),"",ROW($1:$99)),COLUMN(D161)+1)-SMALL(IF(ISERROR(SEARCH(MID(";"&amp;'CASE DATA'!$F162&amp;";",ROW($1:$99),1),";")),"",ROW($1:$99)),COLUMN(D161))-1)</f>
        <v/>
      </c>
      <c r="Z162" s="29" t="str">
        <f t="array" ref="Z162">MID(";"&amp;'CASE DATA'!$F162&amp;";",SMALL(IF(ISERROR(SEARCH(MID(";"&amp;'CASE DATA'!$F162&amp;";",ROW($1:$99),1),";")),"",ROW($1:$99)+1),COLUMN(E162)),SMALL(IF(ISERROR(SEARCH(MID(";"&amp;'CASE DATA'!$F162&amp;";",ROW($1:$99),1),";")),"",ROW($1:$99)),COLUMN(E161)+1)-SMALL(IF(ISERROR(SEARCH(MID(";"&amp;'CASE DATA'!$F162&amp;";",ROW($1:$99),1),";")),"",ROW($1:$99)),COLUMN(E161))-1)</f>
        <v/>
      </c>
      <c r="AA162" s="29" t="str">
        <f t="array" ref="AA162">MID(";"&amp;'CASE DATA'!$F162&amp;";",SMALL(IF(ISERROR(SEARCH(MID(";"&amp;'CASE DATA'!$F162&amp;";",ROW($1:$99),1),";")),"",ROW($1:$99)+1),COLUMN(F162)),SMALL(IF(ISERROR(SEARCH(MID(";"&amp;'CASE DATA'!$F162&amp;";",ROW($1:$99),1),";")),"",ROW($1:$99)),COLUMN(F161)+1)-SMALL(IF(ISERROR(SEARCH(MID(";"&amp;'CASE DATA'!$F162&amp;";",ROW($1:$99),1),";")),"",ROW($1:$99)),COLUMN(F161))-1)</f>
        <v/>
      </c>
      <c r="AB162" s="29" t="str">
        <f t="array" ref="AB162">MID(";"&amp;'CASE DATA'!$F162&amp;";",SMALL(IF(ISERROR(SEARCH(MID(";"&amp;'CASE DATA'!$F162&amp;";",ROW($1:$99),1),";")),"",ROW($1:$99)+1),COLUMN(G162)),SMALL(IF(ISERROR(SEARCH(MID(";"&amp;'CASE DATA'!$F162&amp;";",ROW($1:$99),1),";")),"",ROW($1:$99)),COLUMN(G161)+1)-SMALL(IF(ISERROR(SEARCH(MID(";"&amp;'CASE DATA'!$F162&amp;";",ROW($1:$99),1),";")),"",ROW($1:$99)),COLUMN(G161))-1)</f>
        <v/>
      </c>
      <c r="AC162" s="29" t="str">
        <f t="array" ref="AC162">MID(";"&amp;'CASE DATA'!$F162&amp;";",SMALL(IF(ISERROR(SEARCH(MID(";"&amp;'CASE DATA'!$F162&amp;";",ROW($1:$99),1),";")),"",ROW($1:$99)+1),COLUMN(H162)),SMALL(IF(ISERROR(SEARCH(MID(";"&amp;'CASE DATA'!$F162&amp;";",ROW($1:$99),1),";")),"",ROW($1:$99)),COLUMN(H161)+1)-SMALL(IF(ISERROR(SEARCH(MID(";"&amp;'CASE DATA'!$F162&amp;";",ROW($1:$99),1),";")),"",ROW($1:$99)),COLUMN(H161))-1)</f>
        <v/>
      </c>
      <c r="AD162" s="29" t="str">
        <f t="array" ref="AD162">MID(";"&amp;'CASE DATA'!$F162&amp;";",SMALL(IF(ISERROR(SEARCH(MID(";"&amp;'CASE DATA'!$F162&amp;";",ROW($1:$99),1),";")),"",ROW($1:$99)+1),COLUMN(I162)),SMALL(IF(ISERROR(SEARCH(MID(";"&amp;'CASE DATA'!$F162&amp;";",ROW($1:$99),1),";")),"",ROW($1:$99)),COLUMN(I161)+1)-SMALL(IF(ISERROR(SEARCH(MID(";"&amp;'CASE DATA'!$F162&amp;";",ROW($1:$99),1),";")),"",ROW($1:$99)),COLUMN(I161))-1)</f>
        <v/>
      </c>
      <c r="AE162" s="29" t="str">
        <f t="array" ref="AE162">MID(";"&amp;'CASE DATA'!$F162&amp;";",SMALL(IF(ISERROR(SEARCH(MID(";"&amp;'CASE DATA'!$F162&amp;";",ROW($1:$99),1),";")),"",ROW($1:$99)+1),COLUMN(J162)),SMALL(IF(ISERROR(SEARCH(MID(";"&amp;'CASE DATA'!$F162&amp;";",ROW($1:$99),1),";")),"",ROW($1:$99)),COLUMN(J161)+1)-SMALL(IF(ISERROR(SEARCH(MID(";"&amp;'CASE DATA'!$F162&amp;";",ROW($1:$99),1),";")),"",ROW($1:$99)),COLUMN(J161))-1)</f>
        <v/>
      </c>
      <c r="AF162" s="29" t="str">
        <f t="array" ref="AF162">MID(";"&amp;'CASE DATA'!$F162&amp;";",SMALL(IF(ISERROR(SEARCH(MID(";"&amp;'CASE DATA'!$F162&amp;";",ROW($1:$99),1),";")),"",ROW($1:$99)+1),COLUMN(K162)),SMALL(IF(ISERROR(SEARCH(MID(";"&amp;'CASE DATA'!$F162&amp;";",ROW($1:$99),1),";")),"",ROW($1:$99)),COLUMN(K161)+1)-SMALL(IF(ISERROR(SEARCH(MID(";"&amp;'CASE DATA'!$F162&amp;";",ROW($1:$99),1),";")),"",ROW($1:$99)),COLUMN(K161))-1)</f>
        <v/>
      </c>
      <c r="AG162" s="29" t="str">
        <f t="array" ref="AG162">MID(";"&amp;'CASE DATA'!$F162&amp;";",SMALL(IF(ISERROR(SEARCH(MID(";"&amp;'CASE DATA'!$F162&amp;";",ROW($1:$99),1),";")),"",ROW($1:$99)+1),COLUMN(L162)),SMALL(IF(ISERROR(SEARCH(MID(";"&amp;'CASE DATA'!$F162&amp;";",ROW($1:$99),1),";")),"",ROW($1:$99)),COLUMN(L161)+1)-SMALL(IF(ISERROR(SEARCH(MID(";"&amp;'CASE DATA'!$F162&amp;";",ROW($1:$99),1),";")),"",ROW($1:$99)),COLUMN(L161))-1)</f>
        <v/>
      </c>
      <c r="AH162" s="29"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24"/>
      <c r="D163" s="24"/>
      <c r="E163" s="25"/>
      <c r="F163" s="30"/>
      <c r="J163" s="31"/>
      <c r="K163" s="31"/>
      <c r="L163" s="31"/>
      <c r="M163" s="31"/>
      <c r="N163" s="31"/>
      <c r="O163" s="31"/>
      <c r="P163" s="31"/>
      <c r="Q163" s="31"/>
      <c r="R163" s="31"/>
      <c r="S163" s="31"/>
      <c r="T163" s="28">
        <f t="shared" si="3"/>
        <v>0</v>
      </c>
      <c r="U163" s="28"/>
      <c r="W163" s="29" t="str">
        <f t="array" ref="W163">MID(";"&amp;'CASE DATA'!$F163&amp;";",SMALL(IF(ISERROR(SEARCH(MID(";"&amp;'CASE DATA'!$F163&amp;";",ROW($1:$99),1),";")),"",ROW($1:$99)+1),COLUMN(A163)),SMALL(IF(ISERROR(SEARCH(MID(";"&amp;'CASE DATA'!$F163&amp;";",ROW($1:$99),1),";")),"",ROW($1:$99)),COLUMN(A162)+1)-SMALL(IF(ISERROR(SEARCH(MID(";"&amp;'CASE DATA'!$F163&amp;";",ROW($1:$99),1),";")),"",ROW($1:$99)),COLUMN(A162))-1)</f>
        <v/>
      </c>
      <c r="X163" s="29" t="str">
        <f t="array" ref="X163">MID(";"&amp;'CASE DATA'!$F163&amp;";",SMALL(IF(ISERROR(SEARCH(MID(";"&amp;'CASE DATA'!$F163&amp;";",ROW($1:$99),1),";")),"",ROW($1:$99)+1),COLUMN(B163)),SMALL(IF(ISERROR(SEARCH(MID(";"&amp;'CASE DATA'!$F163&amp;";",ROW($1:$99),1),";")),"",ROW($1:$99)),COLUMN(B162)+1)-SMALL(IF(ISERROR(SEARCH(MID(";"&amp;'CASE DATA'!$F163&amp;";",ROW($1:$99),1),";")),"",ROW($1:$99)),COLUMN(B162))-1)</f>
        <v/>
      </c>
      <c r="Y163" s="29" t="str">
        <f t="array" ref="Y163">MID(";"&amp;'CASE DATA'!$F163&amp;";",SMALL(IF(ISERROR(SEARCH(MID(";"&amp;'CASE DATA'!$F163&amp;";",ROW($1:$99),1),";")),"",ROW($1:$99)+1),COLUMN(D163)),SMALL(IF(ISERROR(SEARCH(MID(";"&amp;'CASE DATA'!$F163&amp;";",ROW($1:$99),1),";")),"",ROW($1:$99)),COLUMN(D162)+1)-SMALL(IF(ISERROR(SEARCH(MID(";"&amp;'CASE DATA'!$F163&amp;";",ROW($1:$99),1),";")),"",ROW($1:$99)),COLUMN(D162))-1)</f>
        <v/>
      </c>
      <c r="Z163" s="29" t="str">
        <f t="array" ref="Z163">MID(";"&amp;'CASE DATA'!$F163&amp;";",SMALL(IF(ISERROR(SEARCH(MID(";"&amp;'CASE DATA'!$F163&amp;";",ROW($1:$99),1),";")),"",ROW($1:$99)+1),COLUMN(E163)),SMALL(IF(ISERROR(SEARCH(MID(";"&amp;'CASE DATA'!$F163&amp;";",ROW($1:$99),1),";")),"",ROW($1:$99)),COLUMN(E162)+1)-SMALL(IF(ISERROR(SEARCH(MID(";"&amp;'CASE DATA'!$F163&amp;";",ROW($1:$99),1),";")),"",ROW($1:$99)),COLUMN(E162))-1)</f>
        <v/>
      </c>
      <c r="AA163" s="29" t="str">
        <f t="array" ref="AA163">MID(";"&amp;'CASE DATA'!$F163&amp;";",SMALL(IF(ISERROR(SEARCH(MID(";"&amp;'CASE DATA'!$F163&amp;";",ROW($1:$99),1),";")),"",ROW($1:$99)+1),COLUMN(F163)),SMALL(IF(ISERROR(SEARCH(MID(";"&amp;'CASE DATA'!$F163&amp;";",ROW($1:$99),1),";")),"",ROW($1:$99)),COLUMN(F162)+1)-SMALL(IF(ISERROR(SEARCH(MID(";"&amp;'CASE DATA'!$F163&amp;";",ROW($1:$99),1),";")),"",ROW($1:$99)),COLUMN(F162))-1)</f>
        <v/>
      </c>
      <c r="AB163" s="29" t="str">
        <f t="array" ref="AB163">MID(";"&amp;'CASE DATA'!$F163&amp;";",SMALL(IF(ISERROR(SEARCH(MID(";"&amp;'CASE DATA'!$F163&amp;";",ROW($1:$99),1),";")),"",ROW($1:$99)+1),COLUMN(G163)),SMALL(IF(ISERROR(SEARCH(MID(";"&amp;'CASE DATA'!$F163&amp;";",ROW($1:$99),1),";")),"",ROW($1:$99)),COLUMN(G162)+1)-SMALL(IF(ISERROR(SEARCH(MID(";"&amp;'CASE DATA'!$F163&amp;";",ROW($1:$99),1),";")),"",ROW($1:$99)),COLUMN(G162))-1)</f>
        <v/>
      </c>
      <c r="AC163" s="29" t="str">
        <f t="array" ref="AC163">MID(";"&amp;'CASE DATA'!$F163&amp;";",SMALL(IF(ISERROR(SEARCH(MID(";"&amp;'CASE DATA'!$F163&amp;";",ROW($1:$99),1),";")),"",ROW($1:$99)+1),COLUMN(H163)),SMALL(IF(ISERROR(SEARCH(MID(";"&amp;'CASE DATA'!$F163&amp;";",ROW($1:$99),1),";")),"",ROW($1:$99)),COLUMN(H162)+1)-SMALL(IF(ISERROR(SEARCH(MID(";"&amp;'CASE DATA'!$F163&amp;";",ROW($1:$99),1),";")),"",ROW($1:$99)),COLUMN(H162))-1)</f>
        <v/>
      </c>
      <c r="AD163" s="29" t="str">
        <f t="array" ref="AD163">MID(";"&amp;'CASE DATA'!$F163&amp;";",SMALL(IF(ISERROR(SEARCH(MID(";"&amp;'CASE DATA'!$F163&amp;";",ROW($1:$99),1),";")),"",ROW($1:$99)+1),COLUMN(I163)),SMALL(IF(ISERROR(SEARCH(MID(";"&amp;'CASE DATA'!$F163&amp;";",ROW($1:$99),1),";")),"",ROW($1:$99)),COLUMN(I162)+1)-SMALL(IF(ISERROR(SEARCH(MID(";"&amp;'CASE DATA'!$F163&amp;";",ROW($1:$99),1),";")),"",ROW($1:$99)),COLUMN(I162))-1)</f>
        <v/>
      </c>
      <c r="AE163" s="29" t="str">
        <f t="array" ref="AE163">MID(";"&amp;'CASE DATA'!$F163&amp;";",SMALL(IF(ISERROR(SEARCH(MID(";"&amp;'CASE DATA'!$F163&amp;";",ROW($1:$99),1),";")),"",ROW($1:$99)+1),COLUMN(J163)),SMALL(IF(ISERROR(SEARCH(MID(";"&amp;'CASE DATA'!$F163&amp;";",ROW($1:$99),1),";")),"",ROW($1:$99)),COLUMN(J162)+1)-SMALL(IF(ISERROR(SEARCH(MID(";"&amp;'CASE DATA'!$F163&amp;";",ROW($1:$99),1),";")),"",ROW($1:$99)),COLUMN(J162))-1)</f>
        <v/>
      </c>
      <c r="AF163" s="29" t="str">
        <f t="array" ref="AF163">MID(";"&amp;'CASE DATA'!$F163&amp;";",SMALL(IF(ISERROR(SEARCH(MID(";"&amp;'CASE DATA'!$F163&amp;";",ROW($1:$99),1),";")),"",ROW($1:$99)+1),COLUMN(K163)),SMALL(IF(ISERROR(SEARCH(MID(";"&amp;'CASE DATA'!$F163&amp;";",ROW($1:$99),1),";")),"",ROW($1:$99)),COLUMN(K162)+1)-SMALL(IF(ISERROR(SEARCH(MID(";"&amp;'CASE DATA'!$F163&amp;";",ROW($1:$99),1),";")),"",ROW($1:$99)),COLUMN(K162))-1)</f>
        <v/>
      </c>
      <c r="AG163" s="29" t="str">
        <f t="array" ref="AG163">MID(";"&amp;'CASE DATA'!$F163&amp;";",SMALL(IF(ISERROR(SEARCH(MID(";"&amp;'CASE DATA'!$F163&amp;";",ROW($1:$99),1),";")),"",ROW($1:$99)+1),COLUMN(L163)),SMALL(IF(ISERROR(SEARCH(MID(";"&amp;'CASE DATA'!$F163&amp;";",ROW($1:$99),1),";")),"",ROW($1:$99)),COLUMN(L162)+1)-SMALL(IF(ISERROR(SEARCH(MID(";"&amp;'CASE DATA'!$F163&amp;";",ROW($1:$99),1),";")),"",ROW($1:$99)),COLUMN(L162))-1)</f>
        <v/>
      </c>
      <c r="AH163" s="29"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24"/>
      <c r="D164" s="24"/>
      <c r="E164" s="25"/>
      <c r="F164" s="30"/>
      <c r="J164" s="31"/>
      <c r="K164" s="31"/>
      <c r="L164" s="31"/>
      <c r="M164" s="31"/>
      <c r="N164" s="31"/>
      <c r="O164" s="31"/>
      <c r="P164" s="31"/>
      <c r="Q164" s="31"/>
      <c r="R164" s="31"/>
      <c r="S164" s="31"/>
      <c r="T164" s="28">
        <f t="shared" si="3"/>
        <v>0</v>
      </c>
      <c r="U164" s="28"/>
      <c r="W164" s="29" t="str">
        <f t="array" ref="W164">MID(";"&amp;'CASE DATA'!$F164&amp;";",SMALL(IF(ISERROR(SEARCH(MID(";"&amp;'CASE DATA'!$F164&amp;";",ROW($1:$99),1),";")),"",ROW($1:$99)+1),COLUMN(A164)),SMALL(IF(ISERROR(SEARCH(MID(";"&amp;'CASE DATA'!$F164&amp;";",ROW($1:$99),1),";")),"",ROW($1:$99)),COLUMN(A163)+1)-SMALL(IF(ISERROR(SEARCH(MID(";"&amp;'CASE DATA'!$F164&amp;";",ROW($1:$99),1),";")),"",ROW($1:$99)),COLUMN(A163))-1)</f>
        <v/>
      </c>
      <c r="X164" s="29" t="str">
        <f t="array" ref="X164">MID(";"&amp;'CASE DATA'!$F164&amp;";",SMALL(IF(ISERROR(SEARCH(MID(";"&amp;'CASE DATA'!$F164&amp;";",ROW($1:$99),1),";")),"",ROW($1:$99)+1),COLUMN(B164)),SMALL(IF(ISERROR(SEARCH(MID(";"&amp;'CASE DATA'!$F164&amp;";",ROW($1:$99),1),";")),"",ROW($1:$99)),COLUMN(B163)+1)-SMALL(IF(ISERROR(SEARCH(MID(";"&amp;'CASE DATA'!$F164&amp;";",ROW($1:$99),1),";")),"",ROW($1:$99)),COLUMN(B163))-1)</f>
        <v/>
      </c>
      <c r="Y164" s="29" t="str">
        <f t="array" ref="Y164">MID(";"&amp;'CASE DATA'!$F164&amp;";",SMALL(IF(ISERROR(SEARCH(MID(";"&amp;'CASE DATA'!$F164&amp;";",ROW($1:$99),1),";")),"",ROW($1:$99)+1),COLUMN(D164)),SMALL(IF(ISERROR(SEARCH(MID(";"&amp;'CASE DATA'!$F164&amp;";",ROW($1:$99),1),";")),"",ROW($1:$99)),COLUMN(D163)+1)-SMALL(IF(ISERROR(SEARCH(MID(";"&amp;'CASE DATA'!$F164&amp;";",ROW($1:$99),1),";")),"",ROW($1:$99)),COLUMN(D163))-1)</f>
        <v/>
      </c>
      <c r="Z164" s="29" t="str">
        <f t="array" ref="Z164">MID(";"&amp;'CASE DATA'!$F164&amp;";",SMALL(IF(ISERROR(SEARCH(MID(";"&amp;'CASE DATA'!$F164&amp;";",ROW($1:$99),1),";")),"",ROW($1:$99)+1),COLUMN(E164)),SMALL(IF(ISERROR(SEARCH(MID(";"&amp;'CASE DATA'!$F164&amp;";",ROW($1:$99),1),";")),"",ROW($1:$99)),COLUMN(E163)+1)-SMALL(IF(ISERROR(SEARCH(MID(";"&amp;'CASE DATA'!$F164&amp;";",ROW($1:$99),1),";")),"",ROW($1:$99)),COLUMN(E163))-1)</f>
        <v/>
      </c>
      <c r="AA164" s="29" t="str">
        <f t="array" ref="AA164">MID(";"&amp;'CASE DATA'!$F164&amp;";",SMALL(IF(ISERROR(SEARCH(MID(";"&amp;'CASE DATA'!$F164&amp;";",ROW($1:$99),1),";")),"",ROW($1:$99)+1),COLUMN(F164)),SMALL(IF(ISERROR(SEARCH(MID(";"&amp;'CASE DATA'!$F164&amp;";",ROW($1:$99),1),";")),"",ROW($1:$99)),COLUMN(F163)+1)-SMALL(IF(ISERROR(SEARCH(MID(";"&amp;'CASE DATA'!$F164&amp;";",ROW($1:$99),1),";")),"",ROW($1:$99)),COLUMN(F163))-1)</f>
        <v/>
      </c>
      <c r="AB164" s="29" t="str">
        <f t="array" ref="AB164">MID(";"&amp;'CASE DATA'!$F164&amp;";",SMALL(IF(ISERROR(SEARCH(MID(";"&amp;'CASE DATA'!$F164&amp;";",ROW($1:$99),1),";")),"",ROW($1:$99)+1),COLUMN(G164)),SMALL(IF(ISERROR(SEARCH(MID(";"&amp;'CASE DATA'!$F164&amp;";",ROW($1:$99),1),";")),"",ROW($1:$99)),COLUMN(G163)+1)-SMALL(IF(ISERROR(SEARCH(MID(";"&amp;'CASE DATA'!$F164&amp;";",ROW($1:$99),1),";")),"",ROW($1:$99)),COLUMN(G163))-1)</f>
        <v/>
      </c>
      <c r="AC164" s="29" t="str">
        <f t="array" ref="AC164">MID(";"&amp;'CASE DATA'!$F164&amp;";",SMALL(IF(ISERROR(SEARCH(MID(";"&amp;'CASE DATA'!$F164&amp;";",ROW($1:$99),1),";")),"",ROW($1:$99)+1),COLUMN(H164)),SMALL(IF(ISERROR(SEARCH(MID(";"&amp;'CASE DATA'!$F164&amp;";",ROW($1:$99),1),";")),"",ROW($1:$99)),COLUMN(H163)+1)-SMALL(IF(ISERROR(SEARCH(MID(";"&amp;'CASE DATA'!$F164&amp;";",ROW($1:$99),1),";")),"",ROW($1:$99)),COLUMN(H163))-1)</f>
        <v/>
      </c>
      <c r="AD164" s="29" t="str">
        <f t="array" ref="AD164">MID(";"&amp;'CASE DATA'!$F164&amp;";",SMALL(IF(ISERROR(SEARCH(MID(";"&amp;'CASE DATA'!$F164&amp;";",ROW($1:$99),1),";")),"",ROW($1:$99)+1),COLUMN(I164)),SMALL(IF(ISERROR(SEARCH(MID(";"&amp;'CASE DATA'!$F164&amp;";",ROW($1:$99),1),";")),"",ROW($1:$99)),COLUMN(I163)+1)-SMALL(IF(ISERROR(SEARCH(MID(";"&amp;'CASE DATA'!$F164&amp;";",ROW($1:$99),1),";")),"",ROW($1:$99)),COLUMN(I163))-1)</f>
        <v/>
      </c>
      <c r="AE164" s="29" t="str">
        <f t="array" ref="AE164">MID(";"&amp;'CASE DATA'!$F164&amp;";",SMALL(IF(ISERROR(SEARCH(MID(";"&amp;'CASE DATA'!$F164&amp;";",ROW($1:$99),1),";")),"",ROW($1:$99)+1),COLUMN(J164)),SMALL(IF(ISERROR(SEARCH(MID(";"&amp;'CASE DATA'!$F164&amp;";",ROW($1:$99),1),";")),"",ROW($1:$99)),COLUMN(J163)+1)-SMALL(IF(ISERROR(SEARCH(MID(";"&amp;'CASE DATA'!$F164&amp;";",ROW($1:$99),1),";")),"",ROW($1:$99)),COLUMN(J163))-1)</f>
        <v/>
      </c>
      <c r="AF164" s="29" t="str">
        <f t="array" ref="AF164">MID(";"&amp;'CASE DATA'!$F164&amp;";",SMALL(IF(ISERROR(SEARCH(MID(";"&amp;'CASE DATA'!$F164&amp;";",ROW($1:$99),1),";")),"",ROW($1:$99)+1),COLUMN(K164)),SMALL(IF(ISERROR(SEARCH(MID(";"&amp;'CASE DATA'!$F164&amp;";",ROW($1:$99),1),";")),"",ROW($1:$99)),COLUMN(K163)+1)-SMALL(IF(ISERROR(SEARCH(MID(";"&amp;'CASE DATA'!$F164&amp;";",ROW($1:$99),1),";")),"",ROW($1:$99)),COLUMN(K163))-1)</f>
        <v/>
      </c>
      <c r="AG164" s="29" t="str">
        <f t="array" ref="AG164">MID(";"&amp;'CASE DATA'!$F164&amp;";",SMALL(IF(ISERROR(SEARCH(MID(";"&amp;'CASE DATA'!$F164&amp;";",ROW($1:$99),1),";")),"",ROW($1:$99)+1),COLUMN(L164)),SMALL(IF(ISERROR(SEARCH(MID(";"&amp;'CASE DATA'!$F164&amp;";",ROW($1:$99),1),";")),"",ROW($1:$99)),COLUMN(L163)+1)-SMALL(IF(ISERROR(SEARCH(MID(";"&amp;'CASE DATA'!$F164&amp;";",ROW($1:$99),1),";")),"",ROW($1:$99)),COLUMN(L163))-1)</f>
        <v/>
      </c>
      <c r="AH164" s="29"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24"/>
      <c r="D165" s="24"/>
      <c r="E165" s="25"/>
      <c r="F165" s="30"/>
      <c r="J165" s="31"/>
      <c r="K165" s="31"/>
      <c r="L165" s="31"/>
      <c r="M165" s="31"/>
      <c r="N165" s="31"/>
      <c r="O165" s="31"/>
      <c r="P165" s="31"/>
      <c r="Q165" s="31"/>
      <c r="R165" s="31"/>
      <c r="S165" s="31"/>
      <c r="T165" s="28">
        <f t="shared" si="3"/>
        <v>0</v>
      </c>
      <c r="U165" s="28"/>
      <c r="W165" s="29" t="str">
        <f t="array" ref="W165">MID(";"&amp;'CASE DATA'!$F165&amp;";",SMALL(IF(ISERROR(SEARCH(MID(";"&amp;'CASE DATA'!$F165&amp;";",ROW($1:$99),1),";")),"",ROW($1:$99)+1),COLUMN(A165)),SMALL(IF(ISERROR(SEARCH(MID(";"&amp;'CASE DATA'!$F165&amp;";",ROW($1:$99),1),";")),"",ROW($1:$99)),COLUMN(A164)+1)-SMALL(IF(ISERROR(SEARCH(MID(";"&amp;'CASE DATA'!$F165&amp;";",ROW($1:$99),1),";")),"",ROW($1:$99)),COLUMN(A164))-1)</f>
        <v/>
      </c>
      <c r="X165" s="29" t="str">
        <f t="array" ref="X165">MID(";"&amp;'CASE DATA'!$F165&amp;";",SMALL(IF(ISERROR(SEARCH(MID(";"&amp;'CASE DATA'!$F165&amp;";",ROW($1:$99),1),";")),"",ROW($1:$99)+1),COLUMN(B165)),SMALL(IF(ISERROR(SEARCH(MID(";"&amp;'CASE DATA'!$F165&amp;";",ROW($1:$99),1),";")),"",ROW($1:$99)),COLUMN(B164)+1)-SMALL(IF(ISERROR(SEARCH(MID(";"&amp;'CASE DATA'!$F165&amp;";",ROW($1:$99),1),";")),"",ROW($1:$99)),COLUMN(B164))-1)</f>
        <v/>
      </c>
      <c r="Y165" s="29" t="str">
        <f t="array" ref="Y165">MID(";"&amp;'CASE DATA'!$F165&amp;";",SMALL(IF(ISERROR(SEARCH(MID(";"&amp;'CASE DATA'!$F165&amp;";",ROW($1:$99),1),";")),"",ROW($1:$99)+1),COLUMN(D165)),SMALL(IF(ISERROR(SEARCH(MID(";"&amp;'CASE DATA'!$F165&amp;";",ROW($1:$99),1),";")),"",ROW($1:$99)),COLUMN(D164)+1)-SMALL(IF(ISERROR(SEARCH(MID(";"&amp;'CASE DATA'!$F165&amp;";",ROW($1:$99),1),";")),"",ROW($1:$99)),COLUMN(D164))-1)</f>
        <v/>
      </c>
      <c r="Z165" s="29" t="str">
        <f t="array" ref="Z165">MID(";"&amp;'CASE DATA'!$F165&amp;";",SMALL(IF(ISERROR(SEARCH(MID(";"&amp;'CASE DATA'!$F165&amp;";",ROW($1:$99),1),";")),"",ROW($1:$99)+1),COLUMN(E165)),SMALL(IF(ISERROR(SEARCH(MID(";"&amp;'CASE DATA'!$F165&amp;";",ROW($1:$99),1),";")),"",ROW($1:$99)),COLUMN(E164)+1)-SMALL(IF(ISERROR(SEARCH(MID(";"&amp;'CASE DATA'!$F165&amp;";",ROW($1:$99),1),";")),"",ROW($1:$99)),COLUMN(E164))-1)</f>
        <v/>
      </c>
      <c r="AA165" s="29" t="str">
        <f t="array" ref="AA165">MID(";"&amp;'CASE DATA'!$F165&amp;";",SMALL(IF(ISERROR(SEARCH(MID(";"&amp;'CASE DATA'!$F165&amp;";",ROW($1:$99),1),";")),"",ROW($1:$99)+1),COLUMN(F165)),SMALL(IF(ISERROR(SEARCH(MID(";"&amp;'CASE DATA'!$F165&amp;";",ROW($1:$99),1),";")),"",ROW($1:$99)),COLUMN(F164)+1)-SMALL(IF(ISERROR(SEARCH(MID(";"&amp;'CASE DATA'!$F165&amp;";",ROW($1:$99),1),";")),"",ROW($1:$99)),COLUMN(F164))-1)</f>
        <v/>
      </c>
      <c r="AB165" s="29" t="str">
        <f t="array" ref="AB165">MID(";"&amp;'CASE DATA'!$F165&amp;";",SMALL(IF(ISERROR(SEARCH(MID(";"&amp;'CASE DATA'!$F165&amp;";",ROW($1:$99),1),";")),"",ROW($1:$99)+1),COLUMN(G165)),SMALL(IF(ISERROR(SEARCH(MID(";"&amp;'CASE DATA'!$F165&amp;";",ROW($1:$99),1),";")),"",ROW($1:$99)),COLUMN(G164)+1)-SMALL(IF(ISERROR(SEARCH(MID(";"&amp;'CASE DATA'!$F165&amp;";",ROW($1:$99),1),";")),"",ROW($1:$99)),COLUMN(G164))-1)</f>
        <v/>
      </c>
      <c r="AC165" s="29" t="str">
        <f t="array" ref="AC165">MID(";"&amp;'CASE DATA'!$F165&amp;";",SMALL(IF(ISERROR(SEARCH(MID(";"&amp;'CASE DATA'!$F165&amp;";",ROW($1:$99),1),";")),"",ROW($1:$99)+1),COLUMN(H165)),SMALL(IF(ISERROR(SEARCH(MID(";"&amp;'CASE DATA'!$F165&amp;";",ROW($1:$99),1),";")),"",ROW($1:$99)),COLUMN(H164)+1)-SMALL(IF(ISERROR(SEARCH(MID(";"&amp;'CASE DATA'!$F165&amp;";",ROW($1:$99),1),";")),"",ROW($1:$99)),COLUMN(H164))-1)</f>
        <v/>
      </c>
      <c r="AD165" s="29" t="str">
        <f t="array" ref="AD165">MID(";"&amp;'CASE DATA'!$F165&amp;";",SMALL(IF(ISERROR(SEARCH(MID(";"&amp;'CASE DATA'!$F165&amp;";",ROW($1:$99),1),";")),"",ROW($1:$99)+1),COLUMN(I165)),SMALL(IF(ISERROR(SEARCH(MID(";"&amp;'CASE DATA'!$F165&amp;";",ROW($1:$99),1),";")),"",ROW($1:$99)),COLUMN(I164)+1)-SMALL(IF(ISERROR(SEARCH(MID(";"&amp;'CASE DATA'!$F165&amp;";",ROW($1:$99),1),";")),"",ROW($1:$99)),COLUMN(I164))-1)</f>
        <v/>
      </c>
      <c r="AE165" s="29" t="str">
        <f t="array" ref="AE165">MID(";"&amp;'CASE DATA'!$F165&amp;";",SMALL(IF(ISERROR(SEARCH(MID(";"&amp;'CASE DATA'!$F165&amp;";",ROW($1:$99),1),";")),"",ROW($1:$99)+1),COLUMN(J165)),SMALL(IF(ISERROR(SEARCH(MID(";"&amp;'CASE DATA'!$F165&amp;";",ROW($1:$99),1),";")),"",ROW($1:$99)),COLUMN(J164)+1)-SMALL(IF(ISERROR(SEARCH(MID(";"&amp;'CASE DATA'!$F165&amp;";",ROW($1:$99),1),";")),"",ROW($1:$99)),COLUMN(J164))-1)</f>
        <v/>
      </c>
      <c r="AF165" s="29" t="str">
        <f t="array" ref="AF165">MID(";"&amp;'CASE DATA'!$F165&amp;";",SMALL(IF(ISERROR(SEARCH(MID(";"&amp;'CASE DATA'!$F165&amp;";",ROW($1:$99),1),";")),"",ROW($1:$99)+1),COLUMN(K165)),SMALL(IF(ISERROR(SEARCH(MID(";"&amp;'CASE DATA'!$F165&amp;";",ROW($1:$99),1),";")),"",ROW($1:$99)),COLUMN(K164)+1)-SMALL(IF(ISERROR(SEARCH(MID(";"&amp;'CASE DATA'!$F165&amp;";",ROW($1:$99),1),";")),"",ROW($1:$99)),COLUMN(K164))-1)</f>
        <v/>
      </c>
      <c r="AG165" s="29" t="str">
        <f t="array" ref="AG165">MID(";"&amp;'CASE DATA'!$F165&amp;";",SMALL(IF(ISERROR(SEARCH(MID(";"&amp;'CASE DATA'!$F165&amp;";",ROW($1:$99),1),";")),"",ROW($1:$99)+1),COLUMN(L165)),SMALL(IF(ISERROR(SEARCH(MID(";"&amp;'CASE DATA'!$F165&amp;";",ROW($1:$99),1),";")),"",ROW($1:$99)),COLUMN(L164)+1)-SMALL(IF(ISERROR(SEARCH(MID(";"&amp;'CASE DATA'!$F165&amp;";",ROW($1:$99),1),";")),"",ROW($1:$99)),COLUMN(L164))-1)</f>
        <v/>
      </c>
      <c r="AH165" s="29"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24"/>
      <c r="D166" s="24"/>
      <c r="E166" s="25"/>
      <c r="F166" s="30"/>
      <c r="J166" s="31"/>
      <c r="K166" s="31"/>
      <c r="L166" s="31"/>
      <c r="M166" s="31"/>
      <c r="N166" s="31"/>
      <c r="O166" s="31"/>
      <c r="P166" s="31"/>
      <c r="Q166" s="31"/>
      <c r="R166" s="31"/>
      <c r="S166" s="31"/>
      <c r="T166" s="28">
        <f t="shared" si="3"/>
        <v>0</v>
      </c>
      <c r="U166" s="28"/>
      <c r="W166" s="29" t="str">
        <f t="array" ref="W166">MID(";"&amp;'CASE DATA'!$F166&amp;";",SMALL(IF(ISERROR(SEARCH(MID(";"&amp;'CASE DATA'!$F166&amp;";",ROW($1:$99),1),";")),"",ROW($1:$99)+1),COLUMN(A166)),SMALL(IF(ISERROR(SEARCH(MID(";"&amp;'CASE DATA'!$F166&amp;";",ROW($1:$99),1),";")),"",ROW($1:$99)),COLUMN(A165)+1)-SMALL(IF(ISERROR(SEARCH(MID(";"&amp;'CASE DATA'!$F166&amp;";",ROW($1:$99),1),";")),"",ROW($1:$99)),COLUMN(A165))-1)</f>
        <v/>
      </c>
      <c r="X166" s="29" t="str">
        <f t="array" ref="X166">MID(";"&amp;'CASE DATA'!$F166&amp;";",SMALL(IF(ISERROR(SEARCH(MID(";"&amp;'CASE DATA'!$F166&amp;";",ROW($1:$99),1),";")),"",ROW($1:$99)+1),COLUMN(B166)),SMALL(IF(ISERROR(SEARCH(MID(";"&amp;'CASE DATA'!$F166&amp;";",ROW($1:$99),1),";")),"",ROW($1:$99)),COLUMN(B165)+1)-SMALL(IF(ISERROR(SEARCH(MID(";"&amp;'CASE DATA'!$F166&amp;";",ROW($1:$99),1),";")),"",ROW($1:$99)),COLUMN(B165))-1)</f>
        <v/>
      </c>
      <c r="Y166" s="29" t="str">
        <f t="array" ref="Y166">MID(";"&amp;'CASE DATA'!$F166&amp;";",SMALL(IF(ISERROR(SEARCH(MID(";"&amp;'CASE DATA'!$F166&amp;";",ROW($1:$99),1),";")),"",ROW($1:$99)+1),COLUMN(D166)),SMALL(IF(ISERROR(SEARCH(MID(";"&amp;'CASE DATA'!$F166&amp;";",ROW($1:$99),1),";")),"",ROW($1:$99)),COLUMN(D165)+1)-SMALL(IF(ISERROR(SEARCH(MID(";"&amp;'CASE DATA'!$F166&amp;";",ROW($1:$99),1),";")),"",ROW($1:$99)),COLUMN(D165))-1)</f>
        <v/>
      </c>
      <c r="Z166" s="29" t="str">
        <f t="array" ref="Z166">MID(";"&amp;'CASE DATA'!$F166&amp;";",SMALL(IF(ISERROR(SEARCH(MID(";"&amp;'CASE DATA'!$F166&amp;";",ROW($1:$99),1),";")),"",ROW($1:$99)+1),COLUMN(E166)),SMALL(IF(ISERROR(SEARCH(MID(";"&amp;'CASE DATA'!$F166&amp;";",ROW($1:$99),1),";")),"",ROW($1:$99)),COLUMN(E165)+1)-SMALL(IF(ISERROR(SEARCH(MID(";"&amp;'CASE DATA'!$F166&amp;";",ROW($1:$99),1),";")),"",ROW($1:$99)),COLUMN(E165))-1)</f>
        <v/>
      </c>
      <c r="AA166" s="29" t="str">
        <f t="array" ref="AA166">MID(";"&amp;'CASE DATA'!$F166&amp;";",SMALL(IF(ISERROR(SEARCH(MID(";"&amp;'CASE DATA'!$F166&amp;";",ROW($1:$99),1),";")),"",ROW($1:$99)+1),COLUMN(F166)),SMALL(IF(ISERROR(SEARCH(MID(";"&amp;'CASE DATA'!$F166&amp;";",ROW($1:$99),1),";")),"",ROW($1:$99)),COLUMN(F165)+1)-SMALL(IF(ISERROR(SEARCH(MID(";"&amp;'CASE DATA'!$F166&amp;";",ROW($1:$99),1),";")),"",ROW($1:$99)),COLUMN(F165))-1)</f>
        <v/>
      </c>
      <c r="AB166" s="29" t="str">
        <f t="array" ref="AB166">MID(";"&amp;'CASE DATA'!$F166&amp;";",SMALL(IF(ISERROR(SEARCH(MID(";"&amp;'CASE DATA'!$F166&amp;";",ROW($1:$99),1),";")),"",ROW($1:$99)+1),COLUMN(G166)),SMALL(IF(ISERROR(SEARCH(MID(";"&amp;'CASE DATA'!$F166&amp;";",ROW($1:$99),1),";")),"",ROW($1:$99)),COLUMN(G165)+1)-SMALL(IF(ISERROR(SEARCH(MID(";"&amp;'CASE DATA'!$F166&amp;";",ROW($1:$99),1),";")),"",ROW($1:$99)),COLUMN(G165))-1)</f>
        <v/>
      </c>
      <c r="AC166" s="29" t="str">
        <f t="array" ref="AC166">MID(";"&amp;'CASE DATA'!$F166&amp;";",SMALL(IF(ISERROR(SEARCH(MID(";"&amp;'CASE DATA'!$F166&amp;";",ROW($1:$99),1),";")),"",ROW($1:$99)+1),COLUMN(H166)),SMALL(IF(ISERROR(SEARCH(MID(";"&amp;'CASE DATA'!$F166&amp;";",ROW($1:$99),1),";")),"",ROW($1:$99)),COLUMN(H165)+1)-SMALL(IF(ISERROR(SEARCH(MID(";"&amp;'CASE DATA'!$F166&amp;";",ROW($1:$99),1),";")),"",ROW($1:$99)),COLUMN(H165))-1)</f>
        <v/>
      </c>
      <c r="AD166" s="29" t="str">
        <f t="array" ref="AD166">MID(";"&amp;'CASE DATA'!$F166&amp;";",SMALL(IF(ISERROR(SEARCH(MID(";"&amp;'CASE DATA'!$F166&amp;";",ROW($1:$99),1),";")),"",ROW($1:$99)+1),COLUMN(I166)),SMALL(IF(ISERROR(SEARCH(MID(";"&amp;'CASE DATA'!$F166&amp;";",ROW($1:$99),1),";")),"",ROW($1:$99)),COLUMN(I165)+1)-SMALL(IF(ISERROR(SEARCH(MID(";"&amp;'CASE DATA'!$F166&amp;";",ROW($1:$99),1),";")),"",ROW($1:$99)),COLUMN(I165))-1)</f>
        <v/>
      </c>
      <c r="AE166" s="29" t="str">
        <f t="array" ref="AE166">MID(";"&amp;'CASE DATA'!$F166&amp;";",SMALL(IF(ISERROR(SEARCH(MID(";"&amp;'CASE DATA'!$F166&amp;";",ROW($1:$99),1),";")),"",ROW($1:$99)+1),COLUMN(J166)),SMALL(IF(ISERROR(SEARCH(MID(";"&amp;'CASE DATA'!$F166&amp;";",ROW($1:$99),1),";")),"",ROW($1:$99)),COLUMN(J165)+1)-SMALL(IF(ISERROR(SEARCH(MID(";"&amp;'CASE DATA'!$F166&amp;";",ROW($1:$99),1),";")),"",ROW($1:$99)),COLUMN(J165))-1)</f>
        <v/>
      </c>
      <c r="AF166" s="29" t="str">
        <f t="array" ref="AF166">MID(";"&amp;'CASE DATA'!$F166&amp;";",SMALL(IF(ISERROR(SEARCH(MID(";"&amp;'CASE DATA'!$F166&amp;";",ROW($1:$99),1),";")),"",ROW($1:$99)+1),COLUMN(K166)),SMALL(IF(ISERROR(SEARCH(MID(";"&amp;'CASE DATA'!$F166&amp;";",ROW($1:$99),1),";")),"",ROW($1:$99)),COLUMN(K165)+1)-SMALL(IF(ISERROR(SEARCH(MID(";"&amp;'CASE DATA'!$F166&amp;";",ROW($1:$99),1),";")),"",ROW($1:$99)),COLUMN(K165))-1)</f>
        <v/>
      </c>
      <c r="AG166" s="29" t="str">
        <f t="array" ref="AG166">MID(";"&amp;'CASE DATA'!$F166&amp;";",SMALL(IF(ISERROR(SEARCH(MID(";"&amp;'CASE DATA'!$F166&amp;";",ROW($1:$99),1),";")),"",ROW($1:$99)+1),COLUMN(L166)),SMALL(IF(ISERROR(SEARCH(MID(";"&amp;'CASE DATA'!$F166&amp;";",ROW($1:$99),1),";")),"",ROW($1:$99)),COLUMN(L165)+1)-SMALL(IF(ISERROR(SEARCH(MID(";"&amp;'CASE DATA'!$F166&amp;";",ROW($1:$99),1),";")),"",ROW($1:$99)),COLUMN(L165))-1)</f>
        <v/>
      </c>
      <c r="AH166" s="29"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24"/>
      <c r="D167" s="24"/>
      <c r="E167" s="25"/>
      <c r="F167" s="30"/>
      <c r="J167" s="31"/>
      <c r="K167" s="31"/>
      <c r="L167" s="31"/>
      <c r="M167" s="31"/>
      <c r="N167" s="31"/>
      <c r="O167" s="31"/>
      <c r="P167" s="31"/>
      <c r="Q167" s="31"/>
      <c r="R167" s="31"/>
      <c r="S167" s="31"/>
      <c r="T167" s="28">
        <f t="shared" si="3"/>
        <v>0</v>
      </c>
      <c r="U167" s="28"/>
      <c r="W167" s="29" t="str">
        <f t="array" ref="W167">MID(";"&amp;'CASE DATA'!$F167&amp;";",SMALL(IF(ISERROR(SEARCH(MID(";"&amp;'CASE DATA'!$F167&amp;";",ROW($1:$99),1),";")),"",ROW($1:$99)+1),COLUMN(A167)),SMALL(IF(ISERROR(SEARCH(MID(";"&amp;'CASE DATA'!$F167&amp;";",ROW($1:$99),1),";")),"",ROW($1:$99)),COLUMN(A166)+1)-SMALL(IF(ISERROR(SEARCH(MID(";"&amp;'CASE DATA'!$F167&amp;";",ROW($1:$99),1),";")),"",ROW($1:$99)),COLUMN(A166))-1)</f>
        <v/>
      </c>
      <c r="X167" s="29" t="str">
        <f t="array" ref="X167">MID(";"&amp;'CASE DATA'!$F167&amp;";",SMALL(IF(ISERROR(SEARCH(MID(";"&amp;'CASE DATA'!$F167&amp;";",ROW($1:$99),1),";")),"",ROW($1:$99)+1),COLUMN(B167)),SMALL(IF(ISERROR(SEARCH(MID(";"&amp;'CASE DATA'!$F167&amp;";",ROW($1:$99),1),";")),"",ROW($1:$99)),COLUMN(B166)+1)-SMALL(IF(ISERROR(SEARCH(MID(";"&amp;'CASE DATA'!$F167&amp;";",ROW($1:$99),1),";")),"",ROW($1:$99)),COLUMN(B166))-1)</f>
        <v/>
      </c>
      <c r="Y167" s="29" t="str">
        <f t="array" ref="Y167">MID(";"&amp;'CASE DATA'!$F167&amp;";",SMALL(IF(ISERROR(SEARCH(MID(";"&amp;'CASE DATA'!$F167&amp;";",ROW($1:$99),1),";")),"",ROW($1:$99)+1),COLUMN(D167)),SMALL(IF(ISERROR(SEARCH(MID(";"&amp;'CASE DATA'!$F167&amp;";",ROW($1:$99),1),";")),"",ROW($1:$99)),COLUMN(D166)+1)-SMALL(IF(ISERROR(SEARCH(MID(";"&amp;'CASE DATA'!$F167&amp;";",ROW($1:$99),1),";")),"",ROW($1:$99)),COLUMN(D166))-1)</f>
        <v/>
      </c>
      <c r="Z167" s="29" t="str">
        <f t="array" ref="Z167">MID(";"&amp;'CASE DATA'!$F167&amp;";",SMALL(IF(ISERROR(SEARCH(MID(";"&amp;'CASE DATA'!$F167&amp;";",ROW($1:$99),1),";")),"",ROW($1:$99)+1),COLUMN(E167)),SMALL(IF(ISERROR(SEARCH(MID(";"&amp;'CASE DATA'!$F167&amp;";",ROW($1:$99),1),";")),"",ROW($1:$99)),COLUMN(E166)+1)-SMALL(IF(ISERROR(SEARCH(MID(";"&amp;'CASE DATA'!$F167&amp;";",ROW($1:$99),1),";")),"",ROW($1:$99)),COLUMN(E166))-1)</f>
        <v/>
      </c>
      <c r="AA167" s="29" t="str">
        <f t="array" ref="AA167">MID(";"&amp;'CASE DATA'!$F167&amp;";",SMALL(IF(ISERROR(SEARCH(MID(";"&amp;'CASE DATA'!$F167&amp;";",ROW($1:$99),1),";")),"",ROW($1:$99)+1),COLUMN(F167)),SMALL(IF(ISERROR(SEARCH(MID(";"&amp;'CASE DATA'!$F167&amp;";",ROW($1:$99),1),";")),"",ROW($1:$99)),COLUMN(F166)+1)-SMALL(IF(ISERROR(SEARCH(MID(";"&amp;'CASE DATA'!$F167&amp;";",ROW($1:$99),1),";")),"",ROW($1:$99)),COLUMN(F166))-1)</f>
        <v/>
      </c>
      <c r="AB167" s="29" t="str">
        <f t="array" ref="AB167">MID(";"&amp;'CASE DATA'!$F167&amp;";",SMALL(IF(ISERROR(SEARCH(MID(";"&amp;'CASE DATA'!$F167&amp;";",ROW($1:$99),1),";")),"",ROW($1:$99)+1),COLUMN(G167)),SMALL(IF(ISERROR(SEARCH(MID(";"&amp;'CASE DATA'!$F167&amp;";",ROW($1:$99),1),";")),"",ROW($1:$99)),COLUMN(G166)+1)-SMALL(IF(ISERROR(SEARCH(MID(";"&amp;'CASE DATA'!$F167&amp;";",ROW($1:$99),1),";")),"",ROW($1:$99)),COLUMN(G166))-1)</f>
        <v/>
      </c>
      <c r="AC167" s="29" t="str">
        <f t="array" ref="AC167">MID(";"&amp;'CASE DATA'!$F167&amp;";",SMALL(IF(ISERROR(SEARCH(MID(";"&amp;'CASE DATA'!$F167&amp;";",ROW($1:$99),1),";")),"",ROW($1:$99)+1),COLUMN(H167)),SMALL(IF(ISERROR(SEARCH(MID(";"&amp;'CASE DATA'!$F167&amp;";",ROW($1:$99),1),";")),"",ROW($1:$99)),COLUMN(H166)+1)-SMALL(IF(ISERROR(SEARCH(MID(";"&amp;'CASE DATA'!$F167&amp;";",ROW($1:$99),1),";")),"",ROW($1:$99)),COLUMN(H166))-1)</f>
        <v/>
      </c>
      <c r="AD167" s="29" t="str">
        <f t="array" ref="AD167">MID(";"&amp;'CASE DATA'!$F167&amp;";",SMALL(IF(ISERROR(SEARCH(MID(";"&amp;'CASE DATA'!$F167&amp;";",ROW($1:$99),1),";")),"",ROW($1:$99)+1),COLUMN(I167)),SMALL(IF(ISERROR(SEARCH(MID(";"&amp;'CASE DATA'!$F167&amp;";",ROW($1:$99),1),";")),"",ROW($1:$99)),COLUMN(I166)+1)-SMALL(IF(ISERROR(SEARCH(MID(";"&amp;'CASE DATA'!$F167&amp;";",ROW($1:$99),1),";")),"",ROW($1:$99)),COLUMN(I166))-1)</f>
        <v/>
      </c>
      <c r="AE167" s="29" t="str">
        <f t="array" ref="AE167">MID(";"&amp;'CASE DATA'!$F167&amp;";",SMALL(IF(ISERROR(SEARCH(MID(";"&amp;'CASE DATA'!$F167&amp;";",ROW($1:$99),1),";")),"",ROW($1:$99)+1),COLUMN(J167)),SMALL(IF(ISERROR(SEARCH(MID(";"&amp;'CASE DATA'!$F167&amp;";",ROW($1:$99),1),";")),"",ROW($1:$99)),COLUMN(J166)+1)-SMALL(IF(ISERROR(SEARCH(MID(";"&amp;'CASE DATA'!$F167&amp;";",ROW($1:$99),1),";")),"",ROW($1:$99)),COLUMN(J166))-1)</f>
        <v/>
      </c>
      <c r="AF167" s="29" t="str">
        <f t="array" ref="AF167">MID(";"&amp;'CASE DATA'!$F167&amp;";",SMALL(IF(ISERROR(SEARCH(MID(";"&amp;'CASE DATA'!$F167&amp;";",ROW($1:$99),1),";")),"",ROW($1:$99)+1),COLUMN(K167)),SMALL(IF(ISERROR(SEARCH(MID(";"&amp;'CASE DATA'!$F167&amp;";",ROW($1:$99),1),";")),"",ROW($1:$99)),COLUMN(K166)+1)-SMALL(IF(ISERROR(SEARCH(MID(";"&amp;'CASE DATA'!$F167&amp;";",ROW($1:$99),1),";")),"",ROW($1:$99)),COLUMN(K166))-1)</f>
        <v/>
      </c>
      <c r="AG167" s="29" t="str">
        <f t="array" ref="AG167">MID(";"&amp;'CASE DATA'!$F167&amp;";",SMALL(IF(ISERROR(SEARCH(MID(";"&amp;'CASE DATA'!$F167&amp;";",ROW($1:$99),1),";")),"",ROW($1:$99)+1),COLUMN(L167)),SMALL(IF(ISERROR(SEARCH(MID(";"&amp;'CASE DATA'!$F167&amp;";",ROW($1:$99),1),";")),"",ROW($1:$99)),COLUMN(L166)+1)-SMALL(IF(ISERROR(SEARCH(MID(";"&amp;'CASE DATA'!$F167&amp;";",ROW($1:$99),1),";")),"",ROW($1:$99)),COLUMN(L166))-1)</f>
        <v/>
      </c>
      <c r="AH167" s="29"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24"/>
      <c r="D168" s="24"/>
      <c r="E168" s="25"/>
      <c r="F168" s="30"/>
      <c r="J168" s="31"/>
      <c r="K168" s="31"/>
      <c r="L168" s="31"/>
      <c r="M168" s="31"/>
      <c r="N168" s="31"/>
      <c r="O168" s="31"/>
      <c r="P168" s="31"/>
      <c r="Q168" s="31"/>
      <c r="R168" s="31"/>
      <c r="S168" s="31"/>
      <c r="T168" s="28">
        <f t="shared" si="3"/>
        <v>0</v>
      </c>
      <c r="U168" s="28"/>
      <c r="W168" s="29" t="str">
        <f t="array" ref="W168">MID(";"&amp;'CASE DATA'!$F168&amp;";",SMALL(IF(ISERROR(SEARCH(MID(";"&amp;'CASE DATA'!$F168&amp;";",ROW($1:$99),1),";")),"",ROW($1:$99)+1),COLUMN(A168)),SMALL(IF(ISERROR(SEARCH(MID(";"&amp;'CASE DATA'!$F168&amp;";",ROW($1:$99),1),";")),"",ROW($1:$99)),COLUMN(A167)+1)-SMALL(IF(ISERROR(SEARCH(MID(";"&amp;'CASE DATA'!$F168&amp;";",ROW($1:$99),1),";")),"",ROW($1:$99)),COLUMN(A167))-1)</f>
        <v/>
      </c>
      <c r="X168" s="29" t="str">
        <f t="array" ref="X168">MID(";"&amp;'CASE DATA'!$F168&amp;";",SMALL(IF(ISERROR(SEARCH(MID(";"&amp;'CASE DATA'!$F168&amp;";",ROW($1:$99),1),";")),"",ROW($1:$99)+1),COLUMN(B168)),SMALL(IF(ISERROR(SEARCH(MID(";"&amp;'CASE DATA'!$F168&amp;";",ROW($1:$99),1),";")),"",ROW($1:$99)),COLUMN(B167)+1)-SMALL(IF(ISERROR(SEARCH(MID(";"&amp;'CASE DATA'!$F168&amp;";",ROW($1:$99),1),";")),"",ROW($1:$99)),COLUMN(B167))-1)</f>
        <v/>
      </c>
      <c r="Y168" s="29" t="str">
        <f t="array" ref="Y168">MID(";"&amp;'CASE DATA'!$F168&amp;";",SMALL(IF(ISERROR(SEARCH(MID(";"&amp;'CASE DATA'!$F168&amp;";",ROW($1:$99),1),";")),"",ROW($1:$99)+1),COLUMN(D168)),SMALL(IF(ISERROR(SEARCH(MID(";"&amp;'CASE DATA'!$F168&amp;";",ROW($1:$99),1),";")),"",ROW($1:$99)),COLUMN(D167)+1)-SMALL(IF(ISERROR(SEARCH(MID(";"&amp;'CASE DATA'!$F168&amp;";",ROW($1:$99),1),";")),"",ROW($1:$99)),COLUMN(D167))-1)</f>
        <v/>
      </c>
      <c r="Z168" s="29" t="str">
        <f t="array" ref="Z168">MID(";"&amp;'CASE DATA'!$F168&amp;";",SMALL(IF(ISERROR(SEARCH(MID(";"&amp;'CASE DATA'!$F168&amp;";",ROW($1:$99),1),";")),"",ROW($1:$99)+1),COLUMN(E168)),SMALL(IF(ISERROR(SEARCH(MID(";"&amp;'CASE DATA'!$F168&amp;";",ROW($1:$99),1),";")),"",ROW($1:$99)),COLUMN(E167)+1)-SMALL(IF(ISERROR(SEARCH(MID(";"&amp;'CASE DATA'!$F168&amp;";",ROW($1:$99),1),";")),"",ROW($1:$99)),COLUMN(E167))-1)</f>
        <v/>
      </c>
      <c r="AA168" s="29" t="str">
        <f t="array" ref="AA168">MID(";"&amp;'CASE DATA'!$F168&amp;";",SMALL(IF(ISERROR(SEARCH(MID(";"&amp;'CASE DATA'!$F168&amp;";",ROW($1:$99),1),";")),"",ROW($1:$99)+1),COLUMN(F168)),SMALL(IF(ISERROR(SEARCH(MID(";"&amp;'CASE DATA'!$F168&amp;";",ROW($1:$99),1),";")),"",ROW($1:$99)),COLUMN(F167)+1)-SMALL(IF(ISERROR(SEARCH(MID(";"&amp;'CASE DATA'!$F168&amp;";",ROW($1:$99),1),";")),"",ROW($1:$99)),COLUMN(F167))-1)</f>
        <v/>
      </c>
      <c r="AB168" s="29" t="str">
        <f t="array" ref="AB168">MID(";"&amp;'CASE DATA'!$F168&amp;";",SMALL(IF(ISERROR(SEARCH(MID(";"&amp;'CASE DATA'!$F168&amp;";",ROW($1:$99),1),";")),"",ROW($1:$99)+1),COLUMN(G168)),SMALL(IF(ISERROR(SEARCH(MID(";"&amp;'CASE DATA'!$F168&amp;";",ROW($1:$99),1),";")),"",ROW($1:$99)),COLUMN(G167)+1)-SMALL(IF(ISERROR(SEARCH(MID(";"&amp;'CASE DATA'!$F168&amp;";",ROW($1:$99),1),";")),"",ROW($1:$99)),COLUMN(G167))-1)</f>
        <v/>
      </c>
      <c r="AC168" s="29" t="str">
        <f t="array" ref="AC168">MID(";"&amp;'CASE DATA'!$F168&amp;";",SMALL(IF(ISERROR(SEARCH(MID(";"&amp;'CASE DATA'!$F168&amp;";",ROW($1:$99),1),";")),"",ROW($1:$99)+1),COLUMN(H168)),SMALL(IF(ISERROR(SEARCH(MID(";"&amp;'CASE DATA'!$F168&amp;";",ROW($1:$99),1),";")),"",ROW($1:$99)),COLUMN(H167)+1)-SMALL(IF(ISERROR(SEARCH(MID(";"&amp;'CASE DATA'!$F168&amp;";",ROW($1:$99),1),";")),"",ROW($1:$99)),COLUMN(H167))-1)</f>
        <v/>
      </c>
      <c r="AD168" s="29" t="str">
        <f t="array" ref="AD168">MID(";"&amp;'CASE DATA'!$F168&amp;";",SMALL(IF(ISERROR(SEARCH(MID(";"&amp;'CASE DATA'!$F168&amp;";",ROW($1:$99),1),";")),"",ROW($1:$99)+1),COLUMN(I168)),SMALL(IF(ISERROR(SEARCH(MID(";"&amp;'CASE DATA'!$F168&amp;";",ROW($1:$99),1),";")),"",ROW($1:$99)),COLUMN(I167)+1)-SMALL(IF(ISERROR(SEARCH(MID(";"&amp;'CASE DATA'!$F168&amp;";",ROW($1:$99),1),";")),"",ROW($1:$99)),COLUMN(I167))-1)</f>
        <v/>
      </c>
      <c r="AE168" s="29" t="str">
        <f t="array" ref="AE168">MID(";"&amp;'CASE DATA'!$F168&amp;";",SMALL(IF(ISERROR(SEARCH(MID(";"&amp;'CASE DATA'!$F168&amp;";",ROW($1:$99),1),";")),"",ROW($1:$99)+1),COLUMN(J168)),SMALL(IF(ISERROR(SEARCH(MID(";"&amp;'CASE DATA'!$F168&amp;";",ROW($1:$99),1),";")),"",ROW($1:$99)),COLUMN(J167)+1)-SMALL(IF(ISERROR(SEARCH(MID(";"&amp;'CASE DATA'!$F168&amp;";",ROW($1:$99),1),";")),"",ROW($1:$99)),COLUMN(J167))-1)</f>
        <v/>
      </c>
      <c r="AF168" s="29" t="str">
        <f t="array" ref="AF168">MID(";"&amp;'CASE DATA'!$F168&amp;";",SMALL(IF(ISERROR(SEARCH(MID(";"&amp;'CASE DATA'!$F168&amp;";",ROW($1:$99),1),";")),"",ROW($1:$99)+1),COLUMN(K168)),SMALL(IF(ISERROR(SEARCH(MID(";"&amp;'CASE DATA'!$F168&amp;";",ROW($1:$99),1),";")),"",ROW($1:$99)),COLUMN(K167)+1)-SMALL(IF(ISERROR(SEARCH(MID(";"&amp;'CASE DATA'!$F168&amp;";",ROW($1:$99),1),";")),"",ROW($1:$99)),COLUMN(K167))-1)</f>
        <v/>
      </c>
      <c r="AG168" s="29" t="str">
        <f t="array" ref="AG168">MID(";"&amp;'CASE DATA'!$F168&amp;";",SMALL(IF(ISERROR(SEARCH(MID(";"&amp;'CASE DATA'!$F168&amp;";",ROW($1:$99),1),";")),"",ROW($1:$99)+1),COLUMN(L168)),SMALL(IF(ISERROR(SEARCH(MID(";"&amp;'CASE DATA'!$F168&amp;";",ROW($1:$99),1),";")),"",ROW($1:$99)),COLUMN(L167)+1)-SMALL(IF(ISERROR(SEARCH(MID(";"&amp;'CASE DATA'!$F168&amp;";",ROW($1:$99),1),";")),"",ROW($1:$99)),COLUMN(L167))-1)</f>
        <v/>
      </c>
      <c r="AH168" s="29"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24"/>
      <c r="D169" s="24"/>
      <c r="E169" s="25"/>
      <c r="F169" s="30"/>
      <c r="J169" s="31"/>
      <c r="K169" s="31"/>
      <c r="L169" s="31"/>
      <c r="M169" s="31"/>
      <c r="N169" s="31"/>
      <c r="O169" s="31"/>
      <c r="P169" s="31"/>
      <c r="Q169" s="31"/>
      <c r="R169" s="31"/>
      <c r="S169" s="31"/>
      <c r="T169" s="28">
        <f t="shared" si="3"/>
        <v>0</v>
      </c>
      <c r="U169" s="28"/>
      <c r="W169" s="29" t="str">
        <f t="array" ref="W169">MID(";"&amp;'CASE DATA'!$F169&amp;";",SMALL(IF(ISERROR(SEARCH(MID(";"&amp;'CASE DATA'!$F169&amp;";",ROW($1:$99),1),";")),"",ROW($1:$99)+1),COLUMN(A169)),SMALL(IF(ISERROR(SEARCH(MID(";"&amp;'CASE DATA'!$F169&amp;";",ROW($1:$99),1),";")),"",ROW($1:$99)),COLUMN(A168)+1)-SMALL(IF(ISERROR(SEARCH(MID(";"&amp;'CASE DATA'!$F169&amp;";",ROW($1:$99),1),";")),"",ROW($1:$99)),COLUMN(A168))-1)</f>
        <v/>
      </c>
      <c r="X169" s="29" t="str">
        <f t="array" ref="X169">MID(";"&amp;'CASE DATA'!$F169&amp;";",SMALL(IF(ISERROR(SEARCH(MID(";"&amp;'CASE DATA'!$F169&amp;";",ROW($1:$99),1),";")),"",ROW($1:$99)+1),COLUMN(B169)),SMALL(IF(ISERROR(SEARCH(MID(";"&amp;'CASE DATA'!$F169&amp;";",ROW($1:$99),1),";")),"",ROW($1:$99)),COLUMN(B168)+1)-SMALL(IF(ISERROR(SEARCH(MID(";"&amp;'CASE DATA'!$F169&amp;";",ROW($1:$99),1),";")),"",ROW($1:$99)),COLUMN(B168))-1)</f>
        <v/>
      </c>
      <c r="Y169" s="29" t="str">
        <f t="array" ref="Y169">MID(";"&amp;'CASE DATA'!$F169&amp;";",SMALL(IF(ISERROR(SEARCH(MID(";"&amp;'CASE DATA'!$F169&amp;";",ROW($1:$99),1),";")),"",ROW($1:$99)+1),COLUMN(D169)),SMALL(IF(ISERROR(SEARCH(MID(";"&amp;'CASE DATA'!$F169&amp;";",ROW($1:$99),1),";")),"",ROW($1:$99)),COLUMN(D168)+1)-SMALL(IF(ISERROR(SEARCH(MID(";"&amp;'CASE DATA'!$F169&amp;";",ROW($1:$99),1),";")),"",ROW($1:$99)),COLUMN(D168))-1)</f>
        <v/>
      </c>
      <c r="Z169" s="29" t="str">
        <f t="array" ref="Z169">MID(";"&amp;'CASE DATA'!$F169&amp;";",SMALL(IF(ISERROR(SEARCH(MID(";"&amp;'CASE DATA'!$F169&amp;";",ROW($1:$99),1),";")),"",ROW($1:$99)+1),COLUMN(E169)),SMALL(IF(ISERROR(SEARCH(MID(";"&amp;'CASE DATA'!$F169&amp;";",ROW($1:$99),1),";")),"",ROW($1:$99)),COLUMN(E168)+1)-SMALL(IF(ISERROR(SEARCH(MID(";"&amp;'CASE DATA'!$F169&amp;";",ROW($1:$99),1),";")),"",ROW($1:$99)),COLUMN(E168))-1)</f>
        <v/>
      </c>
      <c r="AA169" s="29" t="str">
        <f t="array" ref="AA169">MID(";"&amp;'CASE DATA'!$F169&amp;";",SMALL(IF(ISERROR(SEARCH(MID(";"&amp;'CASE DATA'!$F169&amp;";",ROW($1:$99),1),";")),"",ROW($1:$99)+1),COLUMN(F169)),SMALL(IF(ISERROR(SEARCH(MID(";"&amp;'CASE DATA'!$F169&amp;";",ROW($1:$99),1),";")),"",ROW($1:$99)),COLUMN(F168)+1)-SMALL(IF(ISERROR(SEARCH(MID(";"&amp;'CASE DATA'!$F169&amp;";",ROW($1:$99),1),";")),"",ROW($1:$99)),COLUMN(F168))-1)</f>
        <v/>
      </c>
      <c r="AB169" s="29" t="str">
        <f t="array" ref="AB169">MID(";"&amp;'CASE DATA'!$F169&amp;";",SMALL(IF(ISERROR(SEARCH(MID(";"&amp;'CASE DATA'!$F169&amp;";",ROW($1:$99),1),";")),"",ROW($1:$99)+1),COLUMN(G169)),SMALL(IF(ISERROR(SEARCH(MID(";"&amp;'CASE DATA'!$F169&amp;";",ROW($1:$99),1),";")),"",ROW($1:$99)),COLUMN(G168)+1)-SMALL(IF(ISERROR(SEARCH(MID(";"&amp;'CASE DATA'!$F169&amp;";",ROW($1:$99),1),";")),"",ROW($1:$99)),COLUMN(G168))-1)</f>
        <v/>
      </c>
      <c r="AC169" s="29" t="str">
        <f t="array" ref="AC169">MID(";"&amp;'CASE DATA'!$F169&amp;";",SMALL(IF(ISERROR(SEARCH(MID(";"&amp;'CASE DATA'!$F169&amp;";",ROW($1:$99),1),";")),"",ROW($1:$99)+1),COLUMN(H169)),SMALL(IF(ISERROR(SEARCH(MID(";"&amp;'CASE DATA'!$F169&amp;";",ROW($1:$99),1),";")),"",ROW($1:$99)),COLUMN(H168)+1)-SMALL(IF(ISERROR(SEARCH(MID(";"&amp;'CASE DATA'!$F169&amp;";",ROW($1:$99),1),";")),"",ROW($1:$99)),COLUMN(H168))-1)</f>
        <v/>
      </c>
      <c r="AD169" s="29" t="str">
        <f t="array" ref="AD169">MID(";"&amp;'CASE DATA'!$F169&amp;";",SMALL(IF(ISERROR(SEARCH(MID(";"&amp;'CASE DATA'!$F169&amp;";",ROW($1:$99),1),";")),"",ROW($1:$99)+1),COLUMN(I169)),SMALL(IF(ISERROR(SEARCH(MID(";"&amp;'CASE DATA'!$F169&amp;";",ROW($1:$99),1),";")),"",ROW($1:$99)),COLUMN(I168)+1)-SMALL(IF(ISERROR(SEARCH(MID(";"&amp;'CASE DATA'!$F169&amp;";",ROW($1:$99),1),";")),"",ROW($1:$99)),COLUMN(I168))-1)</f>
        <v/>
      </c>
      <c r="AE169" s="29" t="str">
        <f t="array" ref="AE169">MID(";"&amp;'CASE DATA'!$F169&amp;";",SMALL(IF(ISERROR(SEARCH(MID(";"&amp;'CASE DATA'!$F169&amp;";",ROW($1:$99),1),";")),"",ROW($1:$99)+1),COLUMN(J169)),SMALL(IF(ISERROR(SEARCH(MID(";"&amp;'CASE DATA'!$F169&amp;";",ROW($1:$99),1),";")),"",ROW($1:$99)),COLUMN(J168)+1)-SMALL(IF(ISERROR(SEARCH(MID(";"&amp;'CASE DATA'!$F169&amp;";",ROW($1:$99),1),";")),"",ROW($1:$99)),COLUMN(J168))-1)</f>
        <v/>
      </c>
      <c r="AF169" s="29" t="str">
        <f t="array" ref="AF169">MID(";"&amp;'CASE DATA'!$F169&amp;";",SMALL(IF(ISERROR(SEARCH(MID(";"&amp;'CASE DATA'!$F169&amp;";",ROW($1:$99),1),";")),"",ROW($1:$99)+1),COLUMN(K169)),SMALL(IF(ISERROR(SEARCH(MID(";"&amp;'CASE DATA'!$F169&amp;";",ROW($1:$99),1),";")),"",ROW($1:$99)),COLUMN(K168)+1)-SMALL(IF(ISERROR(SEARCH(MID(";"&amp;'CASE DATA'!$F169&amp;";",ROW($1:$99),1),";")),"",ROW($1:$99)),COLUMN(K168))-1)</f>
        <v/>
      </c>
      <c r="AG169" s="29" t="str">
        <f t="array" ref="AG169">MID(";"&amp;'CASE DATA'!$F169&amp;";",SMALL(IF(ISERROR(SEARCH(MID(";"&amp;'CASE DATA'!$F169&amp;";",ROW($1:$99),1),";")),"",ROW($1:$99)+1),COLUMN(L169)),SMALL(IF(ISERROR(SEARCH(MID(";"&amp;'CASE DATA'!$F169&amp;";",ROW($1:$99),1),";")),"",ROW($1:$99)),COLUMN(L168)+1)-SMALL(IF(ISERROR(SEARCH(MID(";"&amp;'CASE DATA'!$F169&amp;";",ROW($1:$99),1),";")),"",ROW($1:$99)),COLUMN(L168))-1)</f>
        <v/>
      </c>
      <c r="AH169" s="29"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24"/>
      <c r="D170" s="24"/>
      <c r="E170" s="25"/>
      <c r="F170" s="30"/>
      <c r="J170" s="31"/>
      <c r="K170" s="31"/>
      <c r="L170" s="31"/>
      <c r="M170" s="31"/>
      <c r="N170" s="31"/>
      <c r="O170" s="31"/>
      <c r="P170" s="31"/>
      <c r="Q170" s="31"/>
      <c r="R170" s="31"/>
      <c r="S170" s="31"/>
      <c r="T170" s="28">
        <f t="shared" si="3"/>
        <v>0</v>
      </c>
      <c r="U170" s="28"/>
      <c r="W170" s="29" t="str">
        <f t="array" ref="W170">MID(";"&amp;'CASE DATA'!$F170&amp;";",SMALL(IF(ISERROR(SEARCH(MID(";"&amp;'CASE DATA'!$F170&amp;";",ROW($1:$99),1),";")),"",ROW($1:$99)+1),COLUMN(A170)),SMALL(IF(ISERROR(SEARCH(MID(";"&amp;'CASE DATA'!$F170&amp;";",ROW($1:$99),1),";")),"",ROW($1:$99)),COLUMN(A169)+1)-SMALL(IF(ISERROR(SEARCH(MID(";"&amp;'CASE DATA'!$F170&amp;";",ROW($1:$99),1),";")),"",ROW($1:$99)),COLUMN(A169))-1)</f>
        <v/>
      </c>
      <c r="X170" s="29" t="str">
        <f t="array" ref="X170">MID(";"&amp;'CASE DATA'!$F170&amp;";",SMALL(IF(ISERROR(SEARCH(MID(";"&amp;'CASE DATA'!$F170&amp;";",ROW($1:$99),1),";")),"",ROW($1:$99)+1),COLUMN(B170)),SMALL(IF(ISERROR(SEARCH(MID(";"&amp;'CASE DATA'!$F170&amp;";",ROW($1:$99),1),";")),"",ROW($1:$99)),COLUMN(B169)+1)-SMALL(IF(ISERROR(SEARCH(MID(";"&amp;'CASE DATA'!$F170&amp;";",ROW($1:$99),1),";")),"",ROW($1:$99)),COLUMN(B169))-1)</f>
        <v/>
      </c>
      <c r="Y170" s="29" t="str">
        <f t="array" ref="Y170">MID(";"&amp;'CASE DATA'!$F170&amp;";",SMALL(IF(ISERROR(SEARCH(MID(";"&amp;'CASE DATA'!$F170&amp;";",ROW($1:$99),1),";")),"",ROW($1:$99)+1),COLUMN(D170)),SMALL(IF(ISERROR(SEARCH(MID(";"&amp;'CASE DATA'!$F170&amp;";",ROW($1:$99),1),";")),"",ROW($1:$99)),COLUMN(D169)+1)-SMALL(IF(ISERROR(SEARCH(MID(";"&amp;'CASE DATA'!$F170&amp;";",ROW($1:$99),1),";")),"",ROW($1:$99)),COLUMN(D169))-1)</f>
        <v/>
      </c>
      <c r="Z170" s="29" t="str">
        <f t="array" ref="Z170">MID(";"&amp;'CASE DATA'!$F170&amp;";",SMALL(IF(ISERROR(SEARCH(MID(";"&amp;'CASE DATA'!$F170&amp;";",ROW($1:$99),1),";")),"",ROW($1:$99)+1),COLUMN(E170)),SMALL(IF(ISERROR(SEARCH(MID(";"&amp;'CASE DATA'!$F170&amp;";",ROW($1:$99),1),";")),"",ROW($1:$99)),COLUMN(E169)+1)-SMALL(IF(ISERROR(SEARCH(MID(";"&amp;'CASE DATA'!$F170&amp;";",ROW($1:$99),1),";")),"",ROW($1:$99)),COLUMN(E169))-1)</f>
        <v/>
      </c>
      <c r="AA170" s="29" t="str">
        <f t="array" ref="AA170">MID(";"&amp;'CASE DATA'!$F170&amp;";",SMALL(IF(ISERROR(SEARCH(MID(";"&amp;'CASE DATA'!$F170&amp;";",ROW($1:$99),1),";")),"",ROW($1:$99)+1),COLUMN(F170)),SMALL(IF(ISERROR(SEARCH(MID(";"&amp;'CASE DATA'!$F170&amp;";",ROW($1:$99),1),";")),"",ROW($1:$99)),COLUMN(F169)+1)-SMALL(IF(ISERROR(SEARCH(MID(";"&amp;'CASE DATA'!$F170&amp;";",ROW($1:$99),1),";")),"",ROW($1:$99)),COLUMN(F169))-1)</f>
        <v/>
      </c>
      <c r="AB170" s="29" t="str">
        <f t="array" ref="AB170">MID(";"&amp;'CASE DATA'!$F170&amp;";",SMALL(IF(ISERROR(SEARCH(MID(";"&amp;'CASE DATA'!$F170&amp;";",ROW($1:$99),1),";")),"",ROW($1:$99)+1),COLUMN(G170)),SMALL(IF(ISERROR(SEARCH(MID(";"&amp;'CASE DATA'!$F170&amp;";",ROW($1:$99),1),";")),"",ROW($1:$99)),COLUMN(G169)+1)-SMALL(IF(ISERROR(SEARCH(MID(";"&amp;'CASE DATA'!$F170&amp;";",ROW($1:$99),1),";")),"",ROW($1:$99)),COLUMN(G169))-1)</f>
        <v/>
      </c>
      <c r="AC170" s="29" t="str">
        <f t="array" ref="AC170">MID(";"&amp;'CASE DATA'!$F170&amp;";",SMALL(IF(ISERROR(SEARCH(MID(";"&amp;'CASE DATA'!$F170&amp;";",ROW($1:$99),1),";")),"",ROW($1:$99)+1),COLUMN(H170)),SMALL(IF(ISERROR(SEARCH(MID(";"&amp;'CASE DATA'!$F170&amp;";",ROW($1:$99),1),";")),"",ROW($1:$99)),COLUMN(H169)+1)-SMALL(IF(ISERROR(SEARCH(MID(";"&amp;'CASE DATA'!$F170&amp;";",ROW($1:$99),1),";")),"",ROW($1:$99)),COLUMN(H169))-1)</f>
        <v/>
      </c>
      <c r="AD170" s="29" t="str">
        <f t="array" ref="AD170">MID(";"&amp;'CASE DATA'!$F170&amp;";",SMALL(IF(ISERROR(SEARCH(MID(";"&amp;'CASE DATA'!$F170&amp;";",ROW($1:$99),1),";")),"",ROW($1:$99)+1),COLUMN(I170)),SMALL(IF(ISERROR(SEARCH(MID(";"&amp;'CASE DATA'!$F170&amp;";",ROW($1:$99),1),";")),"",ROW($1:$99)),COLUMN(I169)+1)-SMALL(IF(ISERROR(SEARCH(MID(";"&amp;'CASE DATA'!$F170&amp;";",ROW($1:$99),1),";")),"",ROW($1:$99)),COLUMN(I169))-1)</f>
        <v/>
      </c>
      <c r="AE170" s="29" t="str">
        <f t="array" ref="AE170">MID(";"&amp;'CASE DATA'!$F170&amp;";",SMALL(IF(ISERROR(SEARCH(MID(";"&amp;'CASE DATA'!$F170&amp;";",ROW($1:$99),1),";")),"",ROW($1:$99)+1),COLUMN(J170)),SMALL(IF(ISERROR(SEARCH(MID(";"&amp;'CASE DATA'!$F170&amp;";",ROW($1:$99),1),";")),"",ROW($1:$99)),COLUMN(J169)+1)-SMALL(IF(ISERROR(SEARCH(MID(";"&amp;'CASE DATA'!$F170&amp;";",ROW($1:$99),1),";")),"",ROW($1:$99)),COLUMN(J169))-1)</f>
        <v/>
      </c>
      <c r="AF170" s="29" t="str">
        <f t="array" ref="AF170">MID(";"&amp;'CASE DATA'!$F170&amp;";",SMALL(IF(ISERROR(SEARCH(MID(";"&amp;'CASE DATA'!$F170&amp;";",ROW($1:$99),1),";")),"",ROW($1:$99)+1),COLUMN(K170)),SMALL(IF(ISERROR(SEARCH(MID(";"&amp;'CASE DATA'!$F170&amp;";",ROW($1:$99),1),";")),"",ROW($1:$99)),COLUMN(K169)+1)-SMALL(IF(ISERROR(SEARCH(MID(";"&amp;'CASE DATA'!$F170&amp;";",ROW($1:$99),1),";")),"",ROW($1:$99)),COLUMN(K169))-1)</f>
        <v/>
      </c>
      <c r="AG170" s="29" t="str">
        <f t="array" ref="AG170">MID(";"&amp;'CASE DATA'!$F170&amp;";",SMALL(IF(ISERROR(SEARCH(MID(";"&amp;'CASE DATA'!$F170&amp;";",ROW($1:$99),1),";")),"",ROW($1:$99)+1),COLUMN(L170)),SMALL(IF(ISERROR(SEARCH(MID(";"&amp;'CASE DATA'!$F170&amp;";",ROW($1:$99),1),";")),"",ROW($1:$99)),COLUMN(L169)+1)-SMALL(IF(ISERROR(SEARCH(MID(";"&amp;'CASE DATA'!$F170&amp;";",ROW($1:$99),1),";")),"",ROW($1:$99)),COLUMN(L169))-1)</f>
        <v/>
      </c>
      <c r="AH170" s="29"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24"/>
      <c r="D171" s="24"/>
      <c r="E171" s="25"/>
      <c r="F171" s="30"/>
      <c r="J171" s="31"/>
      <c r="K171" s="31"/>
      <c r="L171" s="31"/>
      <c r="M171" s="31"/>
      <c r="N171" s="31"/>
      <c r="O171" s="31"/>
      <c r="P171" s="31"/>
      <c r="Q171" s="31"/>
      <c r="R171" s="31"/>
      <c r="S171" s="31"/>
      <c r="T171" s="28">
        <f t="shared" si="3"/>
        <v>0</v>
      </c>
      <c r="U171" s="28"/>
      <c r="W171" s="29" t="str">
        <f t="array" ref="W171">MID(";"&amp;'CASE DATA'!$F171&amp;";",SMALL(IF(ISERROR(SEARCH(MID(";"&amp;'CASE DATA'!$F171&amp;";",ROW($1:$99),1),";")),"",ROW($1:$99)+1),COLUMN(A171)),SMALL(IF(ISERROR(SEARCH(MID(";"&amp;'CASE DATA'!$F171&amp;";",ROW($1:$99),1),";")),"",ROW($1:$99)),COLUMN(A170)+1)-SMALL(IF(ISERROR(SEARCH(MID(";"&amp;'CASE DATA'!$F171&amp;";",ROW($1:$99),1),";")),"",ROW($1:$99)),COLUMN(A170))-1)</f>
        <v/>
      </c>
      <c r="X171" s="29" t="str">
        <f t="array" ref="X171">MID(";"&amp;'CASE DATA'!$F171&amp;";",SMALL(IF(ISERROR(SEARCH(MID(";"&amp;'CASE DATA'!$F171&amp;";",ROW($1:$99),1),";")),"",ROW($1:$99)+1),COLUMN(B171)),SMALL(IF(ISERROR(SEARCH(MID(";"&amp;'CASE DATA'!$F171&amp;";",ROW($1:$99),1),";")),"",ROW($1:$99)),COLUMN(B170)+1)-SMALL(IF(ISERROR(SEARCH(MID(";"&amp;'CASE DATA'!$F171&amp;";",ROW($1:$99),1),";")),"",ROW($1:$99)),COLUMN(B170))-1)</f>
        <v/>
      </c>
      <c r="Y171" s="29" t="str">
        <f t="array" ref="Y171">MID(";"&amp;'CASE DATA'!$F171&amp;";",SMALL(IF(ISERROR(SEARCH(MID(";"&amp;'CASE DATA'!$F171&amp;";",ROW($1:$99),1),";")),"",ROW($1:$99)+1),COLUMN(D171)),SMALL(IF(ISERROR(SEARCH(MID(";"&amp;'CASE DATA'!$F171&amp;";",ROW($1:$99),1),";")),"",ROW($1:$99)),COLUMN(D170)+1)-SMALL(IF(ISERROR(SEARCH(MID(";"&amp;'CASE DATA'!$F171&amp;";",ROW($1:$99),1),";")),"",ROW($1:$99)),COLUMN(D170))-1)</f>
        <v/>
      </c>
      <c r="Z171" s="29" t="str">
        <f t="array" ref="Z171">MID(";"&amp;'CASE DATA'!$F171&amp;";",SMALL(IF(ISERROR(SEARCH(MID(";"&amp;'CASE DATA'!$F171&amp;";",ROW($1:$99),1),";")),"",ROW($1:$99)+1),COLUMN(E171)),SMALL(IF(ISERROR(SEARCH(MID(";"&amp;'CASE DATA'!$F171&amp;";",ROW($1:$99),1),";")),"",ROW($1:$99)),COLUMN(E170)+1)-SMALL(IF(ISERROR(SEARCH(MID(";"&amp;'CASE DATA'!$F171&amp;";",ROW($1:$99),1),";")),"",ROW($1:$99)),COLUMN(E170))-1)</f>
        <v/>
      </c>
      <c r="AA171" s="29" t="str">
        <f t="array" ref="AA171">MID(";"&amp;'CASE DATA'!$F171&amp;";",SMALL(IF(ISERROR(SEARCH(MID(";"&amp;'CASE DATA'!$F171&amp;";",ROW($1:$99),1),";")),"",ROW($1:$99)+1),COLUMN(F171)),SMALL(IF(ISERROR(SEARCH(MID(";"&amp;'CASE DATA'!$F171&amp;";",ROW($1:$99),1),";")),"",ROW($1:$99)),COLUMN(F170)+1)-SMALL(IF(ISERROR(SEARCH(MID(";"&amp;'CASE DATA'!$F171&amp;";",ROW($1:$99),1),";")),"",ROW($1:$99)),COLUMN(F170))-1)</f>
        <v/>
      </c>
      <c r="AB171" s="29" t="str">
        <f t="array" ref="AB171">MID(";"&amp;'CASE DATA'!$F171&amp;";",SMALL(IF(ISERROR(SEARCH(MID(";"&amp;'CASE DATA'!$F171&amp;";",ROW($1:$99),1),";")),"",ROW($1:$99)+1),COLUMN(G171)),SMALL(IF(ISERROR(SEARCH(MID(";"&amp;'CASE DATA'!$F171&amp;";",ROW($1:$99),1),";")),"",ROW($1:$99)),COLUMN(G170)+1)-SMALL(IF(ISERROR(SEARCH(MID(";"&amp;'CASE DATA'!$F171&amp;";",ROW($1:$99),1),";")),"",ROW($1:$99)),COLUMN(G170))-1)</f>
        <v/>
      </c>
      <c r="AC171" s="29" t="str">
        <f t="array" ref="AC171">MID(";"&amp;'CASE DATA'!$F171&amp;";",SMALL(IF(ISERROR(SEARCH(MID(";"&amp;'CASE DATA'!$F171&amp;";",ROW($1:$99),1),";")),"",ROW($1:$99)+1),COLUMN(H171)),SMALL(IF(ISERROR(SEARCH(MID(";"&amp;'CASE DATA'!$F171&amp;";",ROW($1:$99),1),";")),"",ROW($1:$99)),COLUMN(H170)+1)-SMALL(IF(ISERROR(SEARCH(MID(";"&amp;'CASE DATA'!$F171&amp;";",ROW($1:$99),1),";")),"",ROW($1:$99)),COLUMN(H170))-1)</f>
        <v/>
      </c>
      <c r="AD171" s="29" t="str">
        <f t="array" ref="AD171">MID(";"&amp;'CASE DATA'!$F171&amp;";",SMALL(IF(ISERROR(SEARCH(MID(";"&amp;'CASE DATA'!$F171&amp;";",ROW($1:$99),1),";")),"",ROW($1:$99)+1),COLUMN(I171)),SMALL(IF(ISERROR(SEARCH(MID(";"&amp;'CASE DATA'!$F171&amp;";",ROW($1:$99),1),";")),"",ROW($1:$99)),COLUMN(I170)+1)-SMALL(IF(ISERROR(SEARCH(MID(";"&amp;'CASE DATA'!$F171&amp;";",ROW($1:$99),1),";")),"",ROW($1:$99)),COLUMN(I170))-1)</f>
        <v/>
      </c>
      <c r="AE171" s="29" t="str">
        <f t="array" ref="AE171">MID(";"&amp;'CASE DATA'!$F171&amp;";",SMALL(IF(ISERROR(SEARCH(MID(";"&amp;'CASE DATA'!$F171&amp;";",ROW($1:$99),1),";")),"",ROW($1:$99)+1),COLUMN(J171)),SMALL(IF(ISERROR(SEARCH(MID(";"&amp;'CASE DATA'!$F171&amp;";",ROW($1:$99),1),";")),"",ROW($1:$99)),COLUMN(J170)+1)-SMALL(IF(ISERROR(SEARCH(MID(";"&amp;'CASE DATA'!$F171&amp;";",ROW($1:$99),1),";")),"",ROW($1:$99)),COLUMN(J170))-1)</f>
        <v/>
      </c>
      <c r="AF171" s="29" t="str">
        <f t="array" ref="AF171">MID(";"&amp;'CASE DATA'!$F171&amp;";",SMALL(IF(ISERROR(SEARCH(MID(";"&amp;'CASE DATA'!$F171&amp;";",ROW($1:$99),1),";")),"",ROW($1:$99)+1),COLUMN(K171)),SMALL(IF(ISERROR(SEARCH(MID(";"&amp;'CASE DATA'!$F171&amp;";",ROW($1:$99),1),";")),"",ROW($1:$99)),COLUMN(K170)+1)-SMALL(IF(ISERROR(SEARCH(MID(";"&amp;'CASE DATA'!$F171&amp;";",ROW($1:$99),1),";")),"",ROW($1:$99)),COLUMN(K170))-1)</f>
        <v/>
      </c>
      <c r="AG171" s="29" t="str">
        <f t="array" ref="AG171">MID(";"&amp;'CASE DATA'!$F171&amp;";",SMALL(IF(ISERROR(SEARCH(MID(";"&amp;'CASE DATA'!$F171&amp;";",ROW($1:$99),1),";")),"",ROW($1:$99)+1),COLUMN(L171)),SMALL(IF(ISERROR(SEARCH(MID(";"&amp;'CASE DATA'!$F171&amp;";",ROW($1:$99),1),";")),"",ROW($1:$99)),COLUMN(L170)+1)-SMALL(IF(ISERROR(SEARCH(MID(";"&amp;'CASE DATA'!$F171&amp;";",ROW($1:$99),1),";")),"",ROW($1:$99)),COLUMN(L170))-1)</f>
        <v/>
      </c>
      <c r="AH171" s="29"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24"/>
      <c r="D172" s="24"/>
      <c r="E172" s="25"/>
      <c r="F172" s="30"/>
      <c r="J172" s="31"/>
      <c r="K172" s="31"/>
      <c r="L172" s="31"/>
      <c r="M172" s="31"/>
      <c r="N172" s="31"/>
      <c r="O172" s="31"/>
      <c r="P172" s="31"/>
      <c r="Q172" s="31"/>
      <c r="R172" s="31"/>
      <c r="S172" s="31"/>
      <c r="T172" s="28">
        <f t="shared" si="3"/>
        <v>0</v>
      </c>
      <c r="U172" s="28"/>
      <c r="W172" s="29" t="str">
        <f t="array" ref="W172">MID(";"&amp;'CASE DATA'!$F172&amp;";",SMALL(IF(ISERROR(SEARCH(MID(";"&amp;'CASE DATA'!$F172&amp;";",ROW($1:$99),1),";")),"",ROW($1:$99)+1),COLUMN(A172)),SMALL(IF(ISERROR(SEARCH(MID(";"&amp;'CASE DATA'!$F172&amp;";",ROW($1:$99),1),";")),"",ROW($1:$99)),COLUMN(A171)+1)-SMALL(IF(ISERROR(SEARCH(MID(";"&amp;'CASE DATA'!$F172&amp;";",ROW($1:$99),1),";")),"",ROW($1:$99)),COLUMN(A171))-1)</f>
        <v/>
      </c>
      <c r="X172" s="29" t="str">
        <f t="array" ref="X172">MID(";"&amp;'CASE DATA'!$F172&amp;";",SMALL(IF(ISERROR(SEARCH(MID(";"&amp;'CASE DATA'!$F172&amp;";",ROW($1:$99),1),";")),"",ROW($1:$99)+1),COLUMN(B172)),SMALL(IF(ISERROR(SEARCH(MID(";"&amp;'CASE DATA'!$F172&amp;";",ROW($1:$99),1),";")),"",ROW($1:$99)),COLUMN(B171)+1)-SMALL(IF(ISERROR(SEARCH(MID(";"&amp;'CASE DATA'!$F172&amp;";",ROW($1:$99),1),";")),"",ROW($1:$99)),COLUMN(B171))-1)</f>
        <v/>
      </c>
      <c r="Y172" s="29" t="str">
        <f t="array" ref="Y172">MID(";"&amp;'CASE DATA'!$F172&amp;";",SMALL(IF(ISERROR(SEARCH(MID(";"&amp;'CASE DATA'!$F172&amp;";",ROW($1:$99),1),";")),"",ROW($1:$99)+1),COLUMN(D172)),SMALL(IF(ISERROR(SEARCH(MID(";"&amp;'CASE DATA'!$F172&amp;";",ROW($1:$99),1),";")),"",ROW($1:$99)),COLUMN(D171)+1)-SMALL(IF(ISERROR(SEARCH(MID(";"&amp;'CASE DATA'!$F172&amp;";",ROW($1:$99),1),";")),"",ROW($1:$99)),COLUMN(D171))-1)</f>
        <v/>
      </c>
      <c r="Z172" s="29" t="str">
        <f t="array" ref="Z172">MID(";"&amp;'CASE DATA'!$F172&amp;";",SMALL(IF(ISERROR(SEARCH(MID(";"&amp;'CASE DATA'!$F172&amp;";",ROW($1:$99),1),";")),"",ROW($1:$99)+1),COLUMN(E172)),SMALL(IF(ISERROR(SEARCH(MID(";"&amp;'CASE DATA'!$F172&amp;";",ROW($1:$99),1),";")),"",ROW($1:$99)),COLUMN(E171)+1)-SMALL(IF(ISERROR(SEARCH(MID(";"&amp;'CASE DATA'!$F172&amp;";",ROW($1:$99),1),";")),"",ROW($1:$99)),COLUMN(E171))-1)</f>
        <v/>
      </c>
      <c r="AA172" s="29" t="str">
        <f t="array" ref="AA172">MID(";"&amp;'CASE DATA'!$F172&amp;";",SMALL(IF(ISERROR(SEARCH(MID(";"&amp;'CASE DATA'!$F172&amp;";",ROW($1:$99),1),";")),"",ROW($1:$99)+1),COLUMN(F172)),SMALL(IF(ISERROR(SEARCH(MID(";"&amp;'CASE DATA'!$F172&amp;";",ROW($1:$99),1),";")),"",ROW($1:$99)),COLUMN(F171)+1)-SMALL(IF(ISERROR(SEARCH(MID(";"&amp;'CASE DATA'!$F172&amp;";",ROW($1:$99),1),";")),"",ROW($1:$99)),COLUMN(F171))-1)</f>
        <v/>
      </c>
      <c r="AB172" s="29" t="str">
        <f t="array" ref="AB172">MID(";"&amp;'CASE DATA'!$F172&amp;";",SMALL(IF(ISERROR(SEARCH(MID(";"&amp;'CASE DATA'!$F172&amp;";",ROW($1:$99),1),";")),"",ROW($1:$99)+1),COLUMN(G172)),SMALL(IF(ISERROR(SEARCH(MID(";"&amp;'CASE DATA'!$F172&amp;";",ROW($1:$99),1),";")),"",ROW($1:$99)),COLUMN(G171)+1)-SMALL(IF(ISERROR(SEARCH(MID(";"&amp;'CASE DATA'!$F172&amp;";",ROW($1:$99),1),";")),"",ROW($1:$99)),COLUMN(G171))-1)</f>
        <v/>
      </c>
      <c r="AC172" s="29" t="str">
        <f t="array" ref="AC172">MID(";"&amp;'CASE DATA'!$F172&amp;";",SMALL(IF(ISERROR(SEARCH(MID(";"&amp;'CASE DATA'!$F172&amp;";",ROW($1:$99),1),";")),"",ROW($1:$99)+1),COLUMN(H172)),SMALL(IF(ISERROR(SEARCH(MID(";"&amp;'CASE DATA'!$F172&amp;";",ROW($1:$99),1),";")),"",ROW($1:$99)),COLUMN(H171)+1)-SMALL(IF(ISERROR(SEARCH(MID(";"&amp;'CASE DATA'!$F172&amp;";",ROW($1:$99),1),";")),"",ROW($1:$99)),COLUMN(H171))-1)</f>
        <v/>
      </c>
      <c r="AD172" s="29" t="str">
        <f t="array" ref="AD172">MID(";"&amp;'CASE DATA'!$F172&amp;";",SMALL(IF(ISERROR(SEARCH(MID(";"&amp;'CASE DATA'!$F172&amp;";",ROW($1:$99),1),";")),"",ROW($1:$99)+1),COLUMN(I172)),SMALL(IF(ISERROR(SEARCH(MID(";"&amp;'CASE DATA'!$F172&amp;";",ROW($1:$99),1),";")),"",ROW($1:$99)),COLUMN(I171)+1)-SMALL(IF(ISERROR(SEARCH(MID(";"&amp;'CASE DATA'!$F172&amp;";",ROW($1:$99),1),";")),"",ROW($1:$99)),COLUMN(I171))-1)</f>
        <v/>
      </c>
      <c r="AE172" s="29" t="str">
        <f t="array" ref="AE172">MID(";"&amp;'CASE DATA'!$F172&amp;";",SMALL(IF(ISERROR(SEARCH(MID(";"&amp;'CASE DATA'!$F172&amp;";",ROW($1:$99),1),";")),"",ROW($1:$99)+1),COLUMN(J172)),SMALL(IF(ISERROR(SEARCH(MID(";"&amp;'CASE DATA'!$F172&amp;";",ROW($1:$99),1),";")),"",ROW($1:$99)),COLUMN(J171)+1)-SMALL(IF(ISERROR(SEARCH(MID(";"&amp;'CASE DATA'!$F172&amp;";",ROW($1:$99),1),";")),"",ROW($1:$99)),COLUMN(J171))-1)</f>
        <v/>
      </c>
      <c r="AF172" s="29" t="str">
        <f t="array" ref="AF172">MID(";"&amp;'CASE DATA'!$F172&amp;";",SMALL(IF(ISERROR(SEARCH(MID(";"&amp;'CASE DATA'!$F172&amp;";",ROW($1:$99),1),";")),"",ROW($1:$99)+1),COLUMN(K172)),SMALL(IF(ISERROR(SEARCH(MID(";"&amp;'CASE DATA'!$F172&amp;";",ROW($1:$99),1),";")),"",ROW($1:$99)),COLUMN(K171)+1)-SMALL(IF(ISERROR(SEARCH(MID(";"&amp;'CASE DATA'!$F172&amp;";",ROW($1:$99),1),";")),"",ROW($1:$99)),COLUMN(K171))-1)</f>
        <v/>
      </c>
      <c r="AG172" s="29" t="str">
        <f t="array" ref="AG172">MID(";"&amp;'CASE DATA'!$F172&amp;";",SMALL(IF(ISERROR(SEARCH(MID(";"&amp;'CASE DATA'!$F172&amp;";",ROW($1:$99),1),";")),"",ROW($1:$99)+1),COLUMN(L172)),SMALL(IF(ISERROR(SEARCH(MID(";"&amp;'CASE DATA'!$F172&amp;";",ROW($1:$99),1),";")),"",ROW($1:$99)),COLUMN(L171)+1)-SMALL(IF(ISERROR(SEARCH(MID(";"&amp;'CASE DATA'!$F172&amp;";",ROW($1:$99),1),";")),"",ROW($1:$99)),COLUMN(L171))-1)</f>
        <v/>
      </c>
      <c r="AH172" s="29"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24"/>
      <c r="D173" s="24"/>
      <c r="E173" s="25"/>
      <c r="F173" s="30"/>
      <c r="J173" s="31"/>
      <c r="K173" s="31"/>
      <c r="L173" s="31"/>
      <c r="M173" s="31"/>
      <c r="N173" s="31"/>
      <c r="O173" s="31"/>
      <c r="P173" s="31"/>
      <c r="Q173" s="31"/>
      <c r="R173" s="31"/>
      <c r="S173" s="31"/>
      <c r="T173" s="28">
        <f t="shared" si="3"/>
        <v>0</v>
      </c>
      <c r="U173" s="28"/>
      <c r="W173" s="29" t="str">
        <f t="array" ref="W173">MID(";"&amp;'CASE DATA'!$F173&amp;";",SMALL(IF(ISERROR(SEARCH(MID(";"&amp;'CASE DATA'!$F173&amp;";",ROW($1:$99),1),";")),"",ROW($1:$99)+1),COLUMN(A173)),SMALL(IF(ISERROR(SEARCH(MID(";"&amp;'CASE DATA'!$F173&amp;";",ROW($1:$99),1),";")),"",ROW($1:$99)),COLUMN(A172)+1)-SMALL(IF(ISERROR(SEARCH(MID(";"&amp;'CASE DATA'!$F173&amp;";",ROW($1:$99),1),";")),"",ROW($1:$99)),COLUMN(A172))-1)</f>
        <v/>
      </c>
      <c r="X173" s="29" t="str">
        <f t="array" ref="X173">MID(";"&amp;'CASE DATA'!$F173&amp;";",SMALL(IF(ISERROR(SEARCH(MID(";"&amp;'CASE DATA'!$F173&amp;";",ROW($1:$99),1),";")),"",ROW($1:$99)+1),COLUMN(B173)),SMALL(IF(ISERROR(SEARCH(MID(";"&amp;'CASE DATA'!$F173&amp;";",ROW($1:$99),1),";")),"",ROW($1:$99)),COLUMN(B172)+1)-SMALL(IF(ISERROR(SEARCH(MID(";"&amp;'CASE DATA'!$F173&amp;";",ROW($1:$99),1),";")),"",ROW($1:$99)),COLUMN(B172))-1)</f>
        <v/>
      </c>
      <c r="Y173" s="29" t="str">
        <f t="array" ref="Y173">MID(";"&amp;'CASE DATA'!$F173&amp;";",SMALL(IF(ISERROR(SEARCH(MID(";"&amp;'CASE DATA'!$F173&amp;";",ROW($1:$99),1),";")),"",ROW($1:$99)+1),COLUMN(D173)),SMALL(IF(ISERROR(SEARCH(MID(";"&amp;'CASE DATA'!$F173&amp;";",ROW($1:$99),1),";")),"",ROW($1:$99)),COLUMN(D172)+1)-SMALL(IF(ISERROR(SEARCH(MID(";"&amp;'CASE DATA'!$F173&amp;";",ROW($1:$99),1),";")),"",ROW($1:$99)),COLUMN(D172))-1)</f>
        <v/>
      </c>
      <c r="Z173" s="29" t="str">
        <f t="array" ref="Z173">MID(";"&amp;'CASE DATA'!$F173&amp;";",SMALL(IF(ISERROR(SEARCH(MID(";"&amp;'CASE DATA'!$F173&amp;";",ROW($1:$99),1),";")),"",ROW($1:$99)+1),COLUMN(E173)),SMALL(IF(ISERROR(SEARCH(MID(";"&amp;'CASE DATA'!$F173&amp;";",ROW($1:$99),1),";")),"",ROW($1:$99)),COLUMN(E172)+1)-SMALL(IF(ISERROR(SEARCH(MID(";"&amp;'CASE DATA'!$F173&amp;";",ROW($1:$99),1),";")),"",ROW($1:$99)),COLUMN(E172))-1)</f>
        <v/>
      </c>
      <c r="AA173" s="29" t="str">
        <f t="array" ref="AA173">MID(";"&amp;'CASE DATA'!$F173&amp;";",SMALL(IF(ISERROR(SEARCH(MID(";"&amp;'CASE DATA'!$F173&amp;";",ROW($1:$99),1),";")),"",ROW($1:$99)+1),COLUMN(F173)),SMALL(IF(ISERROR(SEARCH(MID(";"&amp;'CASE DATA'!$F173&amp;";",ROW($1:$99),1),";")),"",ROW($1:$99)),COLUMN(F172)+1)-SMALL(IF(ISERROR(SEARCH(MID(";"&amp;'CASE DATA'!$F173&amp;";",ROW($1:$99),1),";")),"",ROW($1:$99)),COLUMN(F172))-1)</f>
        <v/>
      </c>
      <c r="AB173" s="29" t="str">
        <f t="array" ref="AB173">MID(";"&amp;'CASE DATA'!$F173&amp;";",SMALL(IF(ISERROR(SEARCH(MID(";"&amp;'CASE DATA'!$F173&amp;";",ROW($1:$99),1),";")),"",ROW($1:$99)+1),COLUMN(G173)),SMALL(IF(ISERROR(SEARCH(MID(";"&amp;'CASE DATA'!$F173&amp;";",ROW($1:$99),1),";")),"",ROW($1:$99)),COLUMN(G172)+1)-SMALL(IF(ISERROR(SEARCH(MID(";"&amp;'CASE DATA'!$F173&amp;";",ROW($1:$99),1),";")),"",ROW($1:$99)),COLUMN(G172))-1)</f>
        <v/>
      </c>
      <c r="AC173" s="29" t="str">
        <f t="array" ref="AC173">MID(";"&amp;'CASE DATA'!$F173&amp;";",SMALL(IF(ISERROR(SEARCH(MID(";"&amp;'CASE DATA'!$F173&amp;";",ROW($1:$99),1),";")),"",ROW($1:$99)+1),COLUMN(H173)),SMALL(IF(ISERROR(SEARCH(MID(";"&amp;'CASE DATA'!$F173&amp;";",ROW($1:$99),1),";")),"",ROW($1:$99)),COLUMN(H172)+1)-SMALL(IF(ISERROR(SEARCH(MID(";"&amp;'CASE DATA'!$F173&amp;";",ROW($1:$99),1),";")),"",ROW($1:$99)),COLUMN(H172))-1)</f>
        <v/>
      </c>
      <c r="AD173" s="29" t="str">
        <f t="array" ref="AD173">MID(";"&amp;'CASE DATA'!$F173&amp;";",SMALL(IF(ISERROR(SEARCH(MID(";"&amp;'CASE DATA'!$F173&amp;";",ROW($1:$99),1),";")),"",ROW($1:$99)+1),COLUMN(I173)),SMALL(IF(ISERROR(SEARCH(MID(";"&amp;'CASE DATA'!$F173&amp;";",ROW($1:$99),1),";")),"",ROW($1:$99)),COLUMN(I172)+1)-SMALL(IF(ISERROR(SEARCH(MID(";"&amp;'CASE DATA'!$F173&amp;";",ROW($1:$99),1),";")),"",ROW($1:$99)),COLUMN(I172))-1)</f>
        <v/>
      </c>
      <c r="AE173" s="29" t="str">
        <f t="array" ref="AE173">MID(";"&amp;'CASE DATA'!$F173&amp;";",SMALL(IF(ISERROR(SEARCH(MID(";"&amp;'CASE DATA'!$F173&amp;";",ROW($1:$99),1),";")),"",ROW($1:$99)+1),COLUMN(J173)),SMALL(IF(ISERROR(SEARCH(MID(";"&amp;'CASE DATA'!$F173&amp;";",ROW($1:$99),1),";")),"",ROW($1:$99)),COLUMN(J172)+1)-SMALL(IF(ISERROR(SEARCH(MID(";"&amp;'CASE DATA'!$F173&amp;";",ROW($1:$99),1),";")),"",ROW($1:$99)),COLUMN(J172))-1)</f>
        <v/>
      </c>
      <c r="AF173" s="29" t="str">
        <f t="array" ref="AF173">MID(";"&amp;'CASE DATA'!$F173&amp;";",SMALL(IF(ISERROR(SEARCH(MID(";"&amp;'CASE DATA'!$F173&amp;";",ROW($1:$99),1),";")),"",ROW($1:$99)+1),COLUMN(K173)),SMALL(IF(ISERROR(SEARCH(MID(";"&amp;'CASE DATA'!$F173&amp;";",ROW($1:$99),1),";")),"",ROW($1:$99)),COLUMN(K172)+1)-SMALL(IF(ISERROR(SEARCH(MID(";"&amp;'CASE DATA'!$F173&amp;";",ROW($1:$99),1),";")),"",ROW($1:$99)),COLUMN(K172))-1)</f>
        <v/>
      </c>
      <c r="AG173" s="29" t="str">
        <f t="array" ref="AG173">MID(";"&amp;'CASE DATA'!$F173&amp;";",SMALL(IF(ISERROR(SEARCH(MID(";"&amp;'CASE DATA'!$F173&amp;";",ROW($1:$99),1),";")),"",ROW($1:$99)+1),COLUMN(L173)),SMALL(IF(ISERROR(SEARCH(MID(";"&amp;'CASE DATA'!$F173&amp;";",ROW($1:$99),1),";")),"",ROW($1:$99)),COLUMN(L172)+1)-SMALL(IF(ISERROR(SEARCH(MID(";"&amp;'CASE DATA'!$F173&amp;";",ROW($1:$99),1),";")),"",ROW($1:$99)),COLUMN(L172))-1)</f>
        <v/>
      </c>
      <c r="AH173" s="29"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24"/>
      <c r="D174" s="24"/>
      <c r="E174" s="25"/>
      <c r="F174" s="30"/>
      <c r="J174" s="31"/>
      <c r="K174" s="31"/>
      <c r="L174" s="31"/>
      <c r="M174" s="31"/>
      <c r="N174" s="31"/>
      <c r="O174" s="31"/>
      <c r="P174" s="31"/>
      <c r="Q174" s="31"/>
      <c r="R174" s="31"/>
      <c r="S174" s="31"/>
      <c r="T174" s="28">
        <f t="shared" si="3"/>
        <v>0</v>
      </c>
      <c r="U174" s="28"/>
      <c r="W174" s="29" t="str">
        <f t="array" ref="W174">MID(";"&amp;'CASE DATA'!$F174&amp;";",SMALL(IF(ISERROR(SEARCH(MID(";"&amp;'CASE DATA'!$F174&amp;";",ROW($1:$99),1),";")),"",ROW($1:$99)+1),COLUMN(A174)),SMALL(IF(ISERROR(SEARCH(MID(";"&amp;'CASE DATA'!$F174&amp;";",ROW($1:$99),1),";")),"",ROW($1:$99)),COLUMN(A173)+1)-SMALL(IF(ISERROR(SEARCH(MID(";"&amp;'CASE DATA'!$F174&amp;";",ROW($1:$99),1),";")),"",ROW($1:$99)),COLUMN(A173))-1)</f>
        <v/>
      </c>
      <c r="X174" s="29" t="str">
        <f t="array" ref="X174">MID(";"&amp;'CASE DATA'!$F174&amp;";",SMALL(IF(ISERROR(SEARCH(MID(";"&amp;'CASE DATA'!$F174&amp;";",ROW($1:$99),1),";")),"",ROW($1:$99)+1),COLUMN(B174)),SMALL(IF(ISERROR(SEARCH(MID(";"&amp;'CASE DATA'!$F174&amp;";",ROW($1:$99),1),";")),"",ROW($1:$99)),COLUMN(B173)+1)-SMALL(IF(ISERROR(SEARCH(MID(";"&amp;'CASE DATA'!$F174&amp;";",ROW($1:$99),1),";")),"",ROW($1:$99)),COLUMN(B173))-1)</f>
        <v/>
      </c>
      <c r="Y174" s="29" t="str">
        <f t="array" ref="Y174">MID(";"&amp;'CASE DATA'!$F174&amp;";",SMALL(IF(ISERROR(SEARCH(MID(";"&amp;'CASE DATA'!$F174&amp;";",ROW($1:$99),1),";")),"",ROW($1:$99)+1),COLUMN(D174)),SMALL(IF(ISERROR(SEARCH(MID(";"&amp;'CASE DATA'!$F174&amp;";",ROW($1:$99),1),";")),"",ROW($1:$99)),COLUMN(D173)+1)-SMALL(IF(ISERROR(SEARCH(MID(";"&amp;'CASE DATA'!$F174&amp;";",ROW($1:$99),1),";")),"",ROW($1:$99)),COLUMN(D173))-1)</f>
        <v/>
      </c>
      <c r="Z174" s="29" t="str">
        <f t="array" ref="Z174">MID(";"&amp;'CASE DATA'!$F174&amp;";",SMALL(IF(ISERROR(SEARCH(MID(";"&amp;'CASE DATA'!$F174&amp;";",ROW($1:$99),1),";")),"",ROW($1:$99)+1),COLUMN(E174)),SMALL(IF(ISERROR(SEARCH(MID(";"&amp;'CASE DATA'!$F174&amp;";",ROW($1:$99),1),";")),"",ROW($1:$99)),COLUMN(E173)+1)-SMALL(IF(ISERROR(SEARCH(MID(";"&amp;'CASE DATA'!$F174&amp;";",ROW($1:$99),1),";")),"",ROW($1:$99)),COLUMN(E173))-1)</f>
        <v/>
      </c>
      <c r="AA174" s="29" t="str">
        <f t="array" ref="AA174">MID(";"&amp;'CASE DATA'!$F174&amp;";",SMALL(IF(ISERROR(SEARCH(MID(";"&amp;'CASE DATA'!$F174&amp;";",ROW($1:$99),1),";")),"",ROW($1:$99)+1),COLUMN(F174)),SMALL(IF(ISERROR(SEARCH(MID(";"&amp;'CASE DATA'!$F174&amp;";",ROW($1:$99),1),";")),"",ROW($1:$99)),COLUMN(F173)+1)-SMALL(IF(ISERROR(SEARCH(MID(";"&amp;'CASE DATA'!$F174&amp;";",ROW($1:$99),1),";")),"",ROW($1:$99)),COLUMN(F173))-1)</f>
        <v/>
      </c>
      <c r="AB174" s="29" t="str">
        <f t="array" ref="AB174">MID(";"&amp;'CASE DATA'!$F174&amp;";",SMALL(IF(ISERROR(SEARCH(MID(";"&amp;'CASE DATA'!$F174&amp;";",ROW($1:$99),1),";")),"",ROW($1:$99)+1),COLUMN(G174)),SMALL(IF(ISERROR(SEARCH(MID(";"&amp;'CASE DATA'!$F174&amp;";",ROW($1:$99),1),";")),"",ROW($1:$99)),COLUMN(G173)+1)-SMALL(IF(ISERROR(SEARCH(MID(";"&amp;'CASE DATA'!$F174&amp;";",ROW($1:$99),1),";")),"",ROW($1:$99)),COLUMN(G173))-1)</f>
        <v/>
      </c>
      <c r="AC174" s="29" t="str">
        <f t="array" ref="AC174">MID(";"&amp;'CASE DATA'!$F174&amp;";",SMALL(IF(ISERROR(SEARCH(MID(";"&amp;'CASE DATA'!$F174&amp;";",ROW($1:$99),1),";")),"",ROW($1:$99)+1),COLUMN(H174)),SMALL(IF(ISERROR(SEARCH(MID(";"&amp;'CASE DATA'!$F174&amp;";",ROW($1:$99),1),";")),"",ROW($1:$99)),COLUMN(H173)+1)-SMALL(IF(ISERROR(SEARCH(MID(";"&amp;'CASE DATA'!$F174&amp;";",ROW($1:$99),1),";")),"",ROW($1:$99)),COLUMN(H173))-1)</f>
        <v/>
      </c>
      <c r="AD174" s="29" t="str">
        <f t="array" ref="AD174">MID(";"&amp;'CASE DATA'!$F174&amp;";",SMALL(IF(ISERROR(SEARCH(MID(";"&amp;'CASE DATA'!$F174&amp;";",ROW($1:$99),1),";")),"",ROW($1:$99)+1),COLUMN(I174)),SMALL(IF(ISERROR(SEARCH(MID(";"&amp;'CASE DATA'!$F174&amp;";",ROW($1:$99),1),";")),"",ROW($1:$99)),COLUMN(I173)+1)-SMALL(IF(ISERROR(SEARCH(MID(";"&amp;'CASE DATA'!$F174&amp;";",ROW($1:$99),1),";")),"",ROW($1:$99)),COLUMN(I173))-1)</f>
        <v/>
      </c>
      <c r="AE174" s="29" t="str">
        <f t="array" ref="AE174">MID(";"&amp;'CASE DATA'!$F174&amp;";",SMALL(IF(ISERROR(SEARCH(MID(";"&amp;'CASE DATA'!$F174&amp;";",ROW($1:$99),1),";")),"",ROW($1:$99)+1),COLUMN(J174)),SMALL(IF(ISERROR(SEARCH(MID(";"&amp;'CASE DATA'!$F174&amp;";",ROW($1:$99),1),";")),"",ROW($1:$99)),COLUMN(J173)+1)-SMALL(IF(ISERROR(SEARCH(MID(";"&amp;'CASE DATA'!$F174&amp;";",ROW($1:$99),1),";")),"",ROW($1:$99)),COLUMN(J173))-1)</f>
        <v/>
      </c>
      <c r="AF174" s="29" t="str">
        <f t="array" ref="AF174">MID(";"&amp;'CASE DATA'!$F174&amp;";",SMALL(IF(ISERROR(SEARCH(MID(";"&amp;'CASE DATA'!$F174&amp;";",ROW($1:$99),1),";")),"",ROW($1:$99)+1),COLUMN(K174)),SMALL(IF(ISERROR(SEARCH(MID(";"&amp;'CASE DATA'!$F174&amp;";",ROW($1:$99),1),";")),"",ROW($1:$99)),COLUMN(K173)+1)-SMALL(IF(ISERROR(SEARCH(MID(";"&amp;'CASE DATA'!$F174&amp;";",ROW($1:$99),1),";")),"",ROW($1:$99)),COLUMN(K173))-1)</f>
        <v/>
      </c>
      <c r="AG174" s="29" t="str">
        <f t="array" ref="AG174">MID(";"&amp;'CASE DATA'!$F174&amp;";",SMALL(IF(ISERROR(SEARCH(MID(";"&amp;'CASE DATA'!$F174&amp;";",ROW($1:$99),1),";")),"",ROW($1:$99)+1),COLUMN(L174)),SMALL(IF(ISERROR(SEARCH(MID(";"&amp;'CASE DATA'!$F174&amp;";",ROW($1:$99),1),";")),"",ROW($1:$99)),COLUMN(L173)+1)-SMALL(IF(ISERROR(SEARCH(MID(";"&amp;'CASE DATA'!$F174&amp;";",ROW($1:$99),1),";")),"",ROW($1:$99)),COLUMN(L173))-1)</f>
        <v/>
      </c>
      <c r="AH174" s="29"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24"/>
      <c r="D175" s="24"/>
      <c r="E175" s="25"/>
      <c r="F175" s="30"/>
      <c r="J175" s="31"/>
      <c r="K175" s="31"/>
      <c r="L175" s="31"/>
      <c r="M175" s="31"/>
      <c r="N175" s="31"/>
      <c r="O175" s="31"/>
      <c r="P175" s="31"/>
      <c r="Q175" s="31"/>
      <c r="R175" s="31"/>
      <c r="S175" s="31"/>
      <c r="T175" s="28">
        <f t="shared" si="3"/>
        <v>0</v>
      </c>
      <c r="U175" s="28"/>
      <c r="W175" s="29" t="str">
        <f t="array" ref="W175">MID(";"&amp;'CASE DATA'!$F175&amp;";",SMALL(IF(ISERROR(SEARCH(MID(";"&amp;'CASE DATA'!$F175&amp;";",ROW($1:$99),1),";")),"",ROW($1:$99)+1),COLUMN(A175)),SMALL(IF(ISERROR(SEARCH(MID(";"&amp;'CASE DATA'!$F175&amp;";",ROW($1:$99),1),";")),"",ROW($1:$99)),COLUMN(A174)+1)-SMALL(IF(ISERROR(SEARCH(MID(";"&amp;'CASE DATA'!$F175&amp;";",ROW($1:$99),1),";")),"",ROW($1:$99)),COLUMN(A174))-1)</f>
        <v/>
      </c>
      <c r="X175" s="29" t="str">
        <f t="array" ref="X175">MID(";"&amp;'CASE DATA'!$F175&amp;";",SMALL(IF(ISERROR(SEARCH(MID(";"&amp;'CASE DATA'!$F175&amp;";",ROW($1:$99),1),";")),"",ROW($1:$99)+1),COLUMN(B175)),SMALL(IF(ISERROR(SEARCH(MID(";"&amp;'CASE DATA'!$F175&amp;";",ROW($1:$99),1),";")),"",ROW($1:$99)),COLUMN(B174)+1)-SMALL(IF(ISERROR(SEARCH(MID(";"&amp;'CASE DATA'!$F175&amp;";",ROW($1:$99),1),";")),"",ROW($1:$99)),COLUMN(B174))-1)</f>
        <v/>
      </c>
      <c r="Y175" s="29" t="str">
        <f t="array" ref="Y175">MID(";"&amp;'CASE DATA'!$F175&amp;";",SMALL(IF(ISERROR(SEARCH(MID(";"&amp;'CASE DATA'!$F175&amp;";",ROW($1:$99),1),";")),"",ROW($1:$99)+1),COLUMN(D175)),SMALL(IF(ISERROR(SEARCH(MID(";"&amp;'CASE DATA'!$F175&amp;";",ROW($1:$99),1),";")),"",ROW($1:$99)),COLUMN(D174)+1)-SMALL(IF(ISERROR(SEARCH(MID(";"&amp;'CASE DATA'!$F175&amp;";",ROW($1:$99),1),";")),"",ROW($1:$99)),COLUMN(D174))-1)</f>
        <v/>
      </c>
      <c r="Z175" s="29" t="str">
        <f t="array" ref="Z175">MID(";"&amp;'CASE DATA'!$F175&amp;";",SMALL(IF(ISERROR(SEARCH(MID(";"&amp;'CASE DATA'!$F175&amp;";",ROW($1:$99),1),";")),"",ROW($1:$99)+1),COLUMN(E175)),SMALL(IF(ISERROR(SEARCH(MID(";"&amp;'CASE DATA'!$F175&amp;";",ROW($1:$99),1),";")),"",ROW($1:$99)),COLUMN(E174)+1)-SMALL(IF(ISERROR(SEARCH(MID(";"&amp;'CASE DATA'!$F175&amp;";",ROW($1:$99),1),";")),"",ROW($1:$99)),COLUMN(E174))-1)</f>
        <v/>
      </c>
      <c r="AA175" s="29" t="str">
        <f t="array" ref="AA175">MID(";"&amp;'CASE DATA'!$F175&amp;";",SMALL(IF(ISERROR(SEARCH(MID(";"&amp;'CASE DATA'!$F175&amp;";",ROW($1:$99),1),";")),"",ROW($1:$99)+1),COLUMN(F175)),SMALL(IF(ISERROR(SEARCH(MID(";"&amp;'CASE DATA'!$F175&amp;";",ROW($1:$99),1),";")),"",ROW($1:$99)),COLUMN(F174)+1)-SMALL(IF(ISERROR(SEARCH(MID(";"&amp;'CASE DATA'!$F175&amp;";",ROW($1:$99),1),";")),"",ROW($1:$99)),COLUMN(F174))-1)</f>
        <v/>
      </c>
      <c r="AB175" s="29" t="str">
        <f t="array" ref="AB175">MID(";"&amp;'CASE DATA'!$F175&amp;";",SMALL(IF(ISERROR(SEARCH(MID(";"&amp;'CASE DATA'!$F175&amp;";",ROW($1:$99),1),";")),"",ROW($1:$99)+1),COLUMN(G175)),SMALL(IF(ISERROR(SEARCH(MID(";"&amp;'CASE DATA'!$F175&amp;";",ROW($1:$99),1),";")),"",ROW($1:$99)),COLUMN(G174)+1)-SMALL(IF(ISERROR(SEARCH(MID(";"&amp;'CASE DATA'!$F175&amp;";",ROW($1:$99),1),";")),"",ROW($1:$99)),COLUMN(G174))-1)</f>
        <v/>
      </c>
      <c r="AC175" s="29" t="str">
        <f t="array" ref="AC175">MID(";"&amp;'CASE DATA'!$F175&amp;";",SMALL(IF(ISERROR(SEARCH(MID(";"&amp;'CASE DATA'!$F175&amp;";",ROW($1:$99),1),";")),"",ROW($1:$99)+1),COLUMN(H175)),SMALL(IF(ISERROR(SEARCH(MID(";"&amp;'CASE DATA'!$F175&amp;";",ROW($1:$99),1),";")),"",ROW($1:$99)),COLUMN(H174)+1)-SMALL(IF(ISERROR(SEARCH(MID(";"&amp;'CASE DATA'!$F175&amp;";",ROW($1:$99),1),";")),"",ROW($1:$99)),COLUMN(H174))-1)</f>
        <v/>
      </c>
      <c r="AD175" s="29" t="str">
        <f t="array" ref="AD175">MID(";"&amp;'CASE DATA'!$F175&amp;";",SMALL(IF(ISERROR(SEARCH(MID(";"&amp;'CASE DATA'!$F175&amp;";",ROW($1:$99),1),";")),"",ROW($1:$99)+1),COLUMN(I175)),SMALL(IF(ISERROR(SEARCH(MID(";"&amp;'CASE DATA'!$F175&amp;";",ROW($1:$99),1),";")),"",ROW($1:$99)),COLUMN(I174)+1)-SMALL(IF(ISERROR(SEARCH(MID(";"&amp;'CASE DATA'!$F175&amp;";",ROW($1:$99),1),";")),"",ROW($1:$99)),COLUMN(I174))-1)</f>
        <v/>
      </c>
      <c r="AE175" s="29" t="str">
        <f t="array" ref="AE175">MID(";"&amp;'CASE DATA'!$F175&amp;";",SMALL(IF(ISERROR(SEARCH(MID(";"&amp;'CASE DATA'!$F175&amp;";",ROW($1:$99),1),";")),"",ROW($1:$99)+1),COLUMN(J175)),SMALL(IF(ISERROR(SEARCH(MID(";"&amp;'CASE DATA'!$F175&amp;";",ROW($1:$99),1),";")),"",ROW($1:$99)),COLUMN(J174)+1)-SMALL(IF(ISERROR(SEARCH(MID(";"&amp;'CASE DATA'!$F175&amp;";",ROW($1:$99),1),";")),"",ROW($1:$99)),COLUMN(J174))-1)</f>
        <v/>
      </c>
      <c r="AF175" s="29" t="str">
        <f t="array" ref="AF175">MID(";"&amp;'CASE DATA'!$F175&amp;";",SMALL(IF(ISERROR(SEARCH(MID(";"&amp;'CASE DATA'!$F175&amp;";",ROW($1:$99),1),";")),"",ROW($1:$99)+1),COLUMN(K175)),SMALL(IF(ISERROR(SEARCH(MID(";"&amp;'CASE DATA'!$F175&amp;";",ROW($1:$99),1),";")),"",ROW($1:$99)),COLUMN(K174)+1)-SMALL(IF(ISERROR(SEARCH(MID(";"&amp;'CASE DATA'!$F175&amp;";",ROW($1:$99),1),";")),"",ROW($1:$99)),COLUMN(K174))-1)</f>
        <v/>
      </c>
      <c r="AG175" s="29" t="str">
        <f t="array" ref="AG175">MID(";"&amp;'CASE DATA'!$F175&amp;";",SMALL(IF(ISERROR(SEARCH(MID(";"&amp;'CASE DATA'!$F175&amp;";",ROW($1:$99),1),";")),"",ROW($1:$99)+1),COLUMN(L175)),SMALL(IF(ISERROR(SEARCH(MID(";"&amp;'CASE DATA'!$F175&amp;";",ROW($1:$99),1),";")),"",ROW($1:$99)),COLUMN(L174)+1)-SMALL(IF(ISERROR(SEARCH(MID(";"&amp;'CASE DATA'!$F175&amp;";",ROW($1:$99),1),";")),"",ROW($1:$99)),COLUMN(L174))-1)</f>
        <v/>
      </c>
      <c r="AH175" s="29"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24"/>
      <c r="D176" s="24"/>
      <c r="E176" s="25"/>
      <c r="F176" s="30"/>
      <c r="J176" s="31"/>
      <c r="K176" s="31"/>
      <c r="L176" s="31"/>
      <c r="M176" s="31"/>
      <c r="N176" s="31"/>
      <c r="O176" s="31"/>
      <c r="P176" s="31"/>
      <c r="Q176" s="31"/>
      <c r="R176" s="31"/>
      <c r="S176" s="31"/>
      <c r="T176" s="28">
        <f t="shared" si="3"/>
        <v>0</v>
      </c>
      <c r="U176" s="28"/>
      <c r="W176" s="29" t="str">
        <f t="array" ref="W176">MID(";"&amp;'CASE DATA'!$F176&amp;";",SMALL(IF(ISERROR(SEARCH(MID(";"&amp;'CASE DATA'!$F176&amp;";",ROW($1:$99),1),";")),"",ROW($1:$99)+1),COLUMN(A176)),SMALL(IF(ISERROR(SEARCH(MID(";"&amp;'CASE DATA'!$F176&amp;";",ROW($1:$99),1),";")),"",ROW($1:$99)),COLUMN(A175)+1)-SMALL(IF(ISERROR(SEARCH(MID(";"&amp;'CASE DATA'!$F176&amp;";",ROW($1:$99),1),";")),"",ROW($1:$99)),COLUMN(A175))-1)</f>
        <v/>
      </c>
      <c r="X176" s="29" t="str">
        <f t="array" ref="X176">MID(";"&amp;'CASE DATA'!$F176&amp;";",SMALL(IF(ISERROR(SEARCH(MID(";"&amp;'CASE DATA'!$F176&amp;";",ROW($1:$99),1),";")),"",ROW($1:$99)+1),COLUMN(B176)),SMALL(IF(ISERROR(SEARCH(MID(";"&amp;'CASE DATA'!$F176&amp;";",ROW($1:$99),1),";")),"",ROW($1:$99)),COLUMN(B175)+1)-SMALL(IF(ISERROR(SEARCH(MID(";"&amp;'CASE DATA'!$F176&amp;";",ROW($1:$99),1),";")),"",ROW($1:$99)),COLUMN(B175))-1)</f>
        <v/>
      </c>
      <c r="Y176" s="29" t="str">
        <f t="array" ref="Y176">MID(";"&amp;'CASE DATA'!$F176&amp;";",SMALL(IF(ISERROR(SEARCH(MID(";"&amp;'CASE DATA'!$F176&amp;";",ROW($1:$99),1),";")),"",ROW($1:$99)+1),COLUMN(D176)),SMALL(IF(ISERROR(SEARCH(MID(";"&amp;'CASE DATA'!$F176&amp;";",ROW($1:$99),1),";")),"",ROW($1:$99)),COLUMN(D175)+1)-SMALL(IF(ISERROR(SEARCH(MID(";"&amp;'CASE DATA'!$F176&amp;";",ROW($1:$99),1),";")),"",ROW($1:$99)),COLUMN(D175))-1)</f>
        <v/>
      </c>
      <c r="Z176" s="29" t="str">
        <f t="array" ref="Z176">MID(";"&amp;'CASE DATA'!$F176&amp;";",SMALL(IF(ISERROR(SEARCH(MID(";"&amp;'CASE DATA'!$F176&amp;";",ROW($1:$99),1),";")),"",ROW($1:$99)+1),COLUMN(E176)),SMALL(IF(ISERROR(SEARCH(MID(";"&amp;'CASE DATA'!$F176&amp;";",ROW($1:$99),1),";")),"",ROW($1:$99)),COLUMN(E175)+1)-SMALL(IF(ISERROR(SEARCH(MID(";"&amp;'CASE DATA'!$F176&amp;";",ROW($1:$99),1),";")),"",ROW($1:$99)),COLUMN(E175))-1)</f>
        <v/>
      </c>
      <c r="AA176" s="29" t="str">
        <f t="array" ref="AA176">MID(";"&amp;'CASE DATA'!$F176&amp;";",SMALL(IF(ISERROR(SEARCH(MID(";"&amp;'CASE DATA'!$F176&amp;";",ROW($1:$99),1),";")),"",ROW($1:$99)+1),COLUMN(F176)),SMALL(IF(ISERROR(SEARCH(MID(";"&amp;'CASE DATA'!$F176&amp;";",ROW($1:$99),1),";")),"",ROW($1:$99)),COLUMN(F175)+1)-SMALL(IF(ISERROR(SEARCH(MID(";"&amp;'CASE DATA'!$F176&amp;";",ROW($1:$99),1),";")),"",ROW($1:$99)),COLUMN(F175))-1)</f>
        <v/>
      </c>
      <c r="AB176" s="29" t="str">
        <f t="array" ref="AB176">MID(";"&amp;'CASE DATA'!$F176&amp;";",SMALL(IF(ISERROR(SEARCH(MID(";"&amp;'CASE DATA'!$F176&amp;";",ROW($1:$99),1),";")),"",ROW($1:$99)+1),COLUMN(G176)),SMALL(IF(ISERROR(SEARCH(MID(";"&amp;'CASE DATA'!$F176&amp;";",ROW($1:$99),1),";")),"",ROW($1:$99)),COLUMN(G175)+1)-SMALL(IF(ISERROR(SEARCH(MID(";"&amp;'CASE DATA'!$F176&amp;";",ROW($1:$99),1),";")),"",ROW($1:$99)),COLUMN(G175))-1)</f>
        <v/>
      </c>
      <c r="AC176" s="29" t="str">
        <f t="array" ref="AC176">MID(";"&amp;'CASE DATA'!$F176&amp;";",SMALL(IF(ISERROR(SEARCH(MID(";"&amp;'CASE DATA'!$F176&amp;";",ROW($1:$99),1),";")),"",ROW($1:$99)+1),COLUMN(H176)),SMALL(IF(ISERROR(SEARCH(MID(";"&amp;'CASE DATA'!$F176&amp;";",ROW($1:$99),1),";")),"",ROW($1:$99)),COLUMN(H175)+1)-SMALL(IF(ISERROR(SEARCH(MID(";"&amp;'CASE DATA'!$F176&amp;";",ROW($1:$99),1),";")),"",ROW($1:$99)),COLUMN(H175))-1)</f>
        <v/>
      </c>
      <c r="AD176" s="29" t="str">
        <f t="array" ref="AD176">MID(";"&amp;'CASE DATA'!$F176&amp;";",SMALL(IF(ISERROR(SEARCH(MID(";"&amp;'CASE DATA'!$F176&amp;";",ROW($1:$99),1),";")),"",ROW($1:$99)+1),COLUMN(I176)),SMALL(IF(ISERROR(SEARCH(MID(";"&amp;'CASE DATA'!$F176&amp;";",ROW($1:$99),1),";")),"",ROW($1:$99)),COLUMN(I175)+1)-SMALL(IF(ISERROR(SEARCH(MID(";"&amp;'CASE DATA'!$F176&amp;";",ROW($1:$99),1),";")),"",ROW($1:$99)),COLUMN(I175))-1)</f>
        <v/>
      </c>
      <c r="AE176" s="29" t="str">
        <f t="array" ref="AE176">MID(";"&amp;'CASE DATA'!$F176&amp;";",SMALL(IF(ISERROR(SEARCH(MID(";"&amp;'CASE DATA'!$F176&amp;";",ROW($1:$99),1),";")),"",ROW($1:$99)+1),COLUMN(J176)),SMALL(IF(ISERROR(SEARCH(MID(";"&amp;'CASE DATA'!$F176&amp;";",ROW($1:$99),1),";")),"",ROW($1:$99)),COLUMN(J175)+1)-SMALL(IF(ISERROR(SEARCH(MID(";"&amp;'CASE DATA'!$F176&amp;";",ROW($1:$99),1),";")),"",ROW($1:$99)),COLUMN(J175))-1)</f>
        <v/>
      </c>
      <c r="AF176" s="29" t="str">
        <f t="array" ref="AF176">MID(";"&amp;'CASE DATA'!$F176&amp;";",SMALL(IF(ISERROR(SEARCH(MID(";"&amp;'CASE DATA'!$F176&amp;";",ROW($1:$99),1),";")),"",ROW($1:$99)+1),COLUMN(K176)),SMALL(IF(ISERROR(SEARCH(MID(";"&amp;'CASE DATA'!$F176&amp;";",ROW($1:$99),1),";")),"",ROW($1:$99)),COLUMN(K175)+1)-SMALL(IF(ISERROR(SEARCH(MID(";"&amp;'CASE DATA'!$F176&amp;";",ROW($1:$99),1),";")),"",ROW($1:$99)),COLUMN(K175))-1)</f>
        <v/>
      </c>
      <c r="AG176" s="29" t="str">
        <f t="array" ref="AG176">MID(";"&amp;'CASE DATA'!$F176&amp;";",SMALL(IF(ISERROR(SEARCH(MID(";"&amp;'CASE DATA'!$F176&amp;";",ROW($1:$99),1),";")),"",ROW($1:$99)+1),COLUMN(L176)),SMALL(IF(ISERROR(SEARCH(MID(";"&amp;'CASE DATA'!$F176&amp;";",ROW($1:$99),1),";")),"",ROW($1:$99)),COLUMN(L175)+1)-SMALL(IF(ISERROR(SEARCH(MID(";"&amp;'CASE DATA'!$F176&amp;";",ROW($1:$99),1),";")),"",ROW($1:$99)),COLUMN(L175))-1)</f>
        <v/>
      </c>
      <c r="AH176" s="29"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24"/>
      <c r="D177" s="24"/>
      <c r="E177" s="25"/>
      <c r="F177" s="30"/>
      <c r="J177" s="31"/>
      <c r="K177" s="31"/>
      <c r="L177" s="31"/>
      <c r="M177" s="31"/>
      <c r="N177" s="31"/>
      <c r="O177" s="31"/>
      <c r="P177" s="31"/>
      <c r="Q177" s="31"/>
      <c r="R177" s="31"/>
      <c r="S177" s="31"/>
      <c r="T177" s="28">
        <f t="shared" si="3"/>
        <v>0</v>
      </c>
      <c r="U177" s="28"/>
      <c r="W177" s="29" t="str">
        <f t="array" ref="W177">MID(";"&amp;'CASE DATA'!$F177&amp;";",SMALL(IF(ISERROR(SEARCH(MID(";"&amp;'CASE DATA'!$F177&amp;";",ROW($1:$99),1),";")),"",ROW($1:$99)+1),COLUMN(A177)),SMALL(IF(ISERROR(SEARCH(MID(";"&amp;'CASE DATA'!$F177&amp;";",ROW($1:$99),1),";")),"",ROW($1:$99)),COLUMN(A176)+1)-SMALL(IF(ISERROR(SEARCH(MID(";"&amp;'CASE DATA'!$F177&amp;";",ROW($1:$99),1),";")),"",ROW($1:$99)),COLUMN(A176))-1)</f>
        <v/>
      </c>
      <c r="X177" s="29" t="str">
        <f t="array" ref="X177">MID(";"&amp;'CASE DATA'!$F177&amp;";",SMALL(IF(ISERROR(SEARCH(MID(";"&amp;'CASE DATA'!$F177&amp;";",ROW($1:$99),1),";")),"",ROW($1:$99)+1),COLUMN(B177)),SMALL(IF(ISERROR(SEARCH(MID(";"&amp;'CASE DATA'!$F177&amp;";",ROW($1:$99),1),";")),"",ROW($1:$99)),COLUMN(B176)+1)-SMALL(IF(ISERROR(SEARCH(MID(";"&amp;'CASE DATA'!$F177&amp;";",ROW($1:$99),1),";")),"",ROW($1:$99)),COLUMN(B176))-1)</f>
        <v/>
      </c>
      <c r="Y177" s="29" t="str">
        <f t="array" ref="Y177">MID(";"&amp;'CASE DATA'!$F177&amp;";",SMALL(IF(ISERROR(SEARCH(MID(";"&amp;'CASE DATA'!$F177&amp;";",ROW($1:$99),1),";")),"",ROW($1:$99)+1),COLUMN(D177)),SMALL(IF(ISERROR(SEARCH(MID(";"&amp;'CASE DATA'!$F177&amp;";",ROW($1:$99),1),";")),"",ROW($1:$99)),COLUMN(D176)+1)-SMALL(IF(ISERROR(SEARCH(MID(";"&amp;'CASE DATA'!$F177&amp;";",ROW($1:$99),1),";")),"",ROW($1:$99)),COLUMN(D176))-1)</f>
        <v/>
      </c>
      <c r="Z177" s="29" t="str">
        <f t="array" ref="Z177">MID(";"&amp;'CASE DATA'!$F177&amp;";",SMALL(IF(ISERROR(SEARCH(MID(";"&amp;'CASE DATA'!$F177&amp;";",ROW($1:$99),1),";")),"",ROW($1:$99)+1),COLUMN(E177)),SMALL(IF(ISERROR(SEARCH(MID(";"&amp;'CASE DATA'!$F177&amp;";",ROW($1:$99),1),";")),"",ROW($1:$99)),COLUMN(E176)+1)-SMALL(IF(ISERROR(SEARCH(MID(";"&amp;'CASE DATA'!$F177&amp;";",ROW($1:$99),1),";")),"",ROW($1:$99)),COLUMN(E176))-1)</f>
        <v/>
      </c>
      <c r="AA177" s="29" t="str">
        <f t="array" ref="AA177">MID(";"&amp;'CASE DATA'!$F177&amp;";",SMALL(IF(ISERROR(SEARCH(MID(";"&amp;'CASE DATA'!$F177&amp;";",ROW($1:$99),1),";")),"",ROW($1:$99)+1),COLUMN(F177)),SMALL(IF(ISERROR(SEARCH(MID(";"&amp;'CASE DATA'!$F177&amp;";",ROW($1:$99),1),";")),"",ROW($1:$99)),COLUMN(F176)+1)-SMALL(IF(ISERROR(SEARCH(MID(";"&amp;'CASE DATA'!$F177&amp;";",ROW($1:$99),1),";")),"",ROW($1:$99)),COLUMN(F176))-1)</f>
        <v/>
      </c>
      <c r="AB177" s="29" t="str">
        <f t="array" ref="AB177">MID(";"&amp;'CASE DATA'!$F177&amp;";",SMALL(IF(ISERROR(SEARCH(MID(";"&amp;'CASE DATA'!$F177&amp;";",ROW($1:$99),1),";")),"",ROW($1:$99)+1),COLUMN(G177)),SMALL(IF(ISERROR(SEARCH(MID(";"&amp;'CASE DATA'!$F177&amp;";",ROW($1:$99),1),";")),"",ROW($1:$99)),COLUMN(G176)+1)-SMALL(IF(ISERROR(SEARCH(MID(";"&amp;'CASE DATA'!$F177&amp;";",ROW($1:$99),1),";")),"",ROW($1:$99)),COLUMN(G176))-1)</f>
        <v/>
      </c>
      <c r="AC177" s="29" t="str">
        <f t="array" ref="AC177">MID(";"&amp;'CASE DATA'!$F177&amp;";",SMALL(IF(ISERROR(SEARCH(MID(";"&amp;'CASE DATA'!$F177&amp;";",ROW($1:$99),1),";")),"",ROW($1:$99)+1),COLUMN(H177)),SMALL(IF(ISERROR(SEARCH(MID(";"&amp;'CASE DATA'!$F177&amp;";",ROW($1:$99),1),";")),"",ROW($1:$99)),COLUMN(H176)+1)-SMALL(IF(ISERROR(SEARCH(MID(";"&amp;'CASE DATA'!$F177&amp;";",ROW($1:$99),1),";")),"",ROW($1:$99)),COLUMN(H176))-1)</f>
        <v/>
      </c>
      <c r="AD177" s="29" t="str">
        <f t="array" ref="AD177">MID(";"&amp;'CASE DATA'!$F177&amp;";",SMALL(IF(ISERROR(SEARCH(MID(";"&amp;'CASE DATA'!$F177&amp;";",ROW($1:$99),1),";")),"",ROW($1:$99)+1),COLUMN(I177)),SMALL(IF(ISERROR(SEARCH(MID(";"&amp;'CASE DATA'!$F177&amp;";",ROW($1:$99),1),";")),"",ROW($1:$99)),COLUMN(I176)+1)-SMALL(IF(ISERROR(SEARCH(MID(";"&amp;'CASE DATA'!$F177&amp;";",ROW($1:$99),1),";")),"",ROW($1:$99)),COLUMN(I176))-1)</f>
        <v/>
      </c>
      <c r="AE177" s="29" t="str">
        <f t="array" ref="AE177">MID(";"&amp;'CASE DATA'!$F177&amp;";",SMALL(IF(ISERROR(SEARCH(MID(";"&amp;'CASE DATA'!$F177&amp;";",ROW($1:$99),1),";")),"",ROW($1:$99)+1),COLUMN(J177)),SMALL(IF(ISERROR(SEARCH(MID(";"&amp;'CASE DATA'!$F177&amp;";",ROW($1:$99),1),";")),"",ROW($1:$99)),COLUMN(J176)+1)-SMALL(IF(ISERROR(SEARCH(MID(";"&amp;'CASE DATA'!$F177&amp;";",ROW($1:$99),1),";")),"",ROW($1:$99)),COLUMN(J176))-1)</f>
        <v/>
      </c>
      <c r="AF177" s="29" t="str">
        <f t="array" ref="AF177">MID(";"&amp;'CASE DATA'!$F177&amp;";",SMALL(IF(ISERROR(SEARCH(MID(";"&amp;'CASE DATA'!$F177&amp;";",ROW($1:$99),1),";")),"",ROW($1:$99)+1),COLUMN(K177)),SMALL(IF(ISERROR(SEARCH(MID(";"&amp;'CASE DATA'!$F177&amp;";",ROW($1:$99),1),";")),"",ROW($1:$99)),COLUMN(K176)+1)-SMALL(IF(ISERROR(SEARCH(MID(";"&amp;'CASE DATA'!$F177&amp;";",ROW($1:$99),1),";")),"",ROW($1:$99)),COLUMN(K176))-1)</f>
        <v/>
      </c>
      <c r="AG177" s="29" t="str">
        <f t="array" ref="AG177">MID(";"&amp;'CASE DATA'!$F177&amp;";",SMALL(IF(ISERROR(SEARCH(MID(";"&amp;'CASE DATA'!$F177&amp;";",ROW($1:$99),1),";")),"",ROW($1:$99)+1),COLUMN(L177)),SMALL(IF(ISERROR(SEARCH(MID(";"&amp;'CASE DATA'!$F177&amp;";",ROW($1:$99),1),";")),"",ROW($1:$99)),COLUMN(L176)+1)-SMALL(IF(ISERROR(SEARCH(MID(";"&amp;'CASE DATA'!$F177&amp;";",ROW($1:$99),1),";")),"",ROW($1:$99)),COLUMN(L176))-1)</f>
        <v/>
      </c>
      <c r="AH177" s="29"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24"/>
      <c r="D178" s="24"/>
      <c r="E178" s="25"/>
      <c r="F178" s="30"/>
      <c r="J178" s="31"/>
      <c r="K178" s="31"/>
      <c r="L178" s="31"/>
      <c r="M178" s="31"/>
      <c r="N178" s="31"/>
      <c r="O178" s="31"/>
      <c r="P178" s="31"/>
      <c r="Q178" s="31"/>
      <c r="R178" s="31"/>
      <c r="S178" s="31"/>
      <c r="T178" s="28">
        <f t="shared" si="3"/>
        <v>0</v>
      </c>
      <c r="U178" s="28"/>
      <c r="W178" s="29" t="str">
        <f t="array" ref="W178">MID(";"&amp;'CASE DATA'!$F178&amp;";",SMALL(IF(ISERROR(SEARCH(MID(";"&amp;'CASE DATA'!$F178&amp;";",ROW($1:$99),1),";")),"",ROW($1:$99)+1),COLUMN(A178)),SMALL(IF(ISERROR(SEARCH(MID(";"&amp;'CASE DATA'!$F178&amp;";",ROW($1:$99),1),";")),"",ROW($1:$99)),COLUMN(A177)+1)-SMALL(IF(ISERROR(SEARCH(MID(";"&amp;'CASE DATA'!$F178&amp;";",ROW($1:$99),1),";")),"",ROW($1:$99)),COLUMN(A177))-1)</f>
        <v/>
      </c>
      <c r="X178" s="29" t="str">
        <f t="array" ref="X178">MID(";"&amp;'CASE DATA'!$F178&amp;";",SMALL(IF(ISERROR(SEARCH(MID(";"&amp;'CASE DATA'!$F178&amp;";",ROW($1:$99),1),";")),"",ROW($1:$99)+1),COLUMN(B178)),SMALL(IF(ISERROR(SEARCH(MID(";"&amp;'CASE DATA'!$F178&amp;";",ROW($1:$99),1),";")),"",ROW($1:$99)),COLUMN(B177)+1)-SMALL(IF(ISERROR(SEARCH(MID(";"&amp;'CASE DATA'!$F178&amp;";",ROW($1:$99),1),";")),"",ROW($1:$99)),COLUMN(B177))-1)</f>
        <v/>
      </c>
      <c r="Y178" s="29" t="str">
        <f t="array" ref="Y178">MID(";"&amp;'CASE DATA'!$F178&amp;";",SMALL(IF(ISERROR(SEARCH(MID(";"&amp;'CASE DATA'!$F178&amp;";",ROW($1:$99),1),";")),"",ROW($1:$99)+1),COLUMN(D178)),SMALL(IF(ISERROR(SEARCH(MID(";"&amp;'CASE DATA'!$F178&amp;";",ROW($1:$99),1),";")),"",ROW($1:$99)),COLUMN(D177)+1)-SMALL(IF(ISERROR(SEARCH(MID(";"&amp;'CASE DATA'!$F178&amp;";",ROW($1:$99),1),";")),"",ROW($1:$99)),COLUMN(D177))-1)</f>
        <v/>
      </c>
      <c r="Z178" s="29" t="str">
        <f t="array" ref="Z178">MID(";"&amp;'CASE DATA'!$F178&amp;";",SMALL(IF(ISERROR(SEARCH(MID(";"&amp;'CASE DATA'!$F178&amp;";",ROW($1:$99),1),";")),"",ROW($1:$99)+1),COLUMN(E178)),SMALL(IF(ISERROR(SEARCH(MID(";"&amp;'CASE DATA'!$F178&amp;";",ROW($1:$99),1),";")),"",ROW($1:$99)),COLUMN(E177)+1)-SMALL(IF(ISERROR(SEARCH(MID(";"&amp;'CASE DATA'!$F178&amp;";",ROW($1:$99),1),";")),"",ROW($1:$99)),COLUMN(E177))-1)</f>
        <v/>
      </c>
      <c r="AA178" s="29" t="str">
        <f t="array" ref="AA178">MID(";"&amp;'CASE DATA'!$F178&amp;";",SMALL(IF(ISERROR(SEARCH(MID(";"&amp;'CASE DATA'!$F178&amp;";",ROW($1:$99),1),";")),"",ROW($1:$99)+1),COLUMN(F178)),SMALL(IF(ISERROR(SEARCH(MID(";"&amp;'CASE DATA'!$F178&amp;";",ROW($1:$99),1),";")),"",ROW($1:$99)),COLUMN(F177)+1)-SMALL(IF(ISERROR(SEARCH(MID(";"&amp;'CASE DATA'!$F178&amp;";",ROW($1:$99),1),";")),"",ROW($1:$99)),COLUMN(F177))-1)</f>
        <v/>
      </c>
      <c r="AB178" s="29" t="str">
        <f t="array" ref="AB178">MID(";"&amp;'CASE DATA'!$F178&amp;";",SMALL(IF(ISERROR(SEARCH(MID(";"&amp;'CASE DATA'!$F178&amp;";",ROW($1:$99),1),";")),"",ROW($1:$99)+1),COLUMN(G178)),SMALL(IF(ISERROR(SEARCH(MID(";"&amp;'CASE DATA'!$F178&amp;";",ROW($1:$99),1),";")),"",ROW($1:$99)),COLUMN(G177)+1)-SMALL(IF(ISERROR(SEARCH(MID(";"&amp;'CASE DATA'!$F178&amp;";",ROW($1:$99),1),";")),"",ROW($1:$99)),COLUMN(G177))-1)</f>
        <v/>
      </c>
      <c r="AC178" s="29" t="str">
        <f t="array" ref="AC178">MID(";"&amp;'CASE DATA'!$F178&amp;";",SMALL(IF(ISERROR(SEARCH(MID(";"&amp;'CASE DATA'!$F178&amp;";",ROW($1:$99),1),";")),"",ROW($1:$99)+1),COLUMN(H178)),SMALL(IF(ISERROR(SEARCH(MID(";"&amp;'CASE DATA'!$F178&amp;";",ROW($1:$99),1),";")),"",ROW($1:$99)),COLUMN(H177)+1)-SMALL(IF(ISERROR(SEARCH(MID(";"&amp;'CASE DATA'!$F178&amp;";",ROW($1:$99),1),";")),"",ROW($1:$99)),COLUMN(H177))-1)</f>
        <v/>
      </c>
      <c r="AD178" s="29" t="str">
        <f t="array" ref="AD178">MID(";"&amp;'CASE DATA'!$F178&amp;";",SMALL(IF(ISERROR(SEARCH(MID(";"&amp;'CASE DATA'!$F178&amp;";",ROW($1:$99),1),";")),"",ROW($1:$99)+1),COLUMN(I178)),SMALL(IF(ISERROR(SEARCH(MID(";"&amp;'CASE DATA'!$F178&amp;";",ROW($1:$99),1),";")),"",ROW($1:$99)),COLUMN(I177)+1)-SMALL(IF(ISERROR(SEARCH(MID(";"&amp;'CASE DATA'!$F178&amp;";",ROW($1:$99),1),";")),"",ROW($1:$99)),COLUMN(I177))-1)</f>
        <v/>
      </c>
      <c r="AE178" s="29" t="str">
        <f t="array" ref="AE178">MID(";"&amp;'CASE DATA'!$F178&amp;";",SMALL(IF(ISERROR(SEARCH(MID(";"&amp;'CASE DATA'!$F178&amp;";",ROW($1:$99),1),";")),"",ROW($1:$99)+1),COLUMN(J178)),SMALL(IF(ISERROR(SEARCH(MID(";"&amp;'CASE DATA'!$F178&amp;";",ROW($1:$99),1),";")),"",ROW($1:$99)),COLUMN(J177)+1)-SMALL(IF(ISERROR(SEARCH(MID(";"&amp;'CASE DATA'!$F178&amp;";",ROW($1:$99),1),";")),"",ROW($1:$99)),COLUMN(J177))-1)</f>
        <v/>
      </c>
      <c r="AF178" s="29" t="str">
        <f t="array" ref="AF178">MID(";"&amp;'CASE DATA'!$F178&amp;";",SMALL(IF(ISERROR(SEARCH(MID(";"&amp;'CASE DATA'!$F178&amp;";",ROW($1:$99),1),";")),"",ROW($1:$99)+1),COLUMN(K178)),SMALL(IF(ISERROR(SEARCH(MID(";"&amp;'CASE DATA'!$F178&amp;";",ROW($1:$99),1),";")),"",ROW($1:$99)),COLUMN(K177)+1)-SMALL(IF(ISERROR(SEARCH(MID(";"&amp;'CASE DATA'!$F178&amp;";",ROW($1:$99),1),";")),"",ROW($1:$99)),COLUMN(K177))-1)</f>
        <v/>
      </c>
      <c r="AG178" s="29" t="str">
        <f t="array" ref="AG178">MID(";"&amp;'CASE DATA'!$F178&amp;";",SMALL(IF(ISERROR(SEARCH(MID(";"&amp;'CASE DATA'!$F178&amp;";",ROW($1:$99),1),";")),"",ROW($1:$99)+1),COLUMN(L178)),SMALL(IF(ISERROR(SEARCH(MID(";"&amp;'CASE DATA'!$F178&amp;";",ROW($1:$99),1),";")),"",ROW($1:$99)),COLUMN(L177)+1)-SMALL(IF(ISERROR(SEARCH(MID(";"&amp;'CASE DATA'!$F178&amp;";",ROW($1:$99),1),";")),"",ROW($1:$99)),COLUMN(L177))-1)</f>
        <v/>
      </c>
      <c r="AH178" s="29"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24"/>
      <c r="D179" s="24"/>
      <c r="E179" s="25"/>
      <c r="F179" s="30"/>
      <c r="J179" s="31"/>
      <c r="K179" s="31"/>
      <c r="L179" s="31"/>
      <c r="M179" s="31"/>
      <c r="N179" s="31"/>
      <c r="O179" s="31"/>
      <c r="P179" s="31"/>
      <c r="Q179" s="31"/>
      <c r="R179" s="31"/>
      <c r="S179" s="31"/>
      <c r="T179" s="28">
        <f t="shared" si="3"/>
        <v>0</v>
      </c>
      <c r="U179" s="28"/>
      <c r="W179" s="29" t="str">
        <f t="array" ref="W179">MID(";"&amp;'CASE DATA'!$F179&amp;";",SMALL(IF(ISERROR(SEARCH(MID(";"&amp;'CASE DATA'!$F179&amp;";",ROW($1:$99),1),";")),"",ROW($1:$99)+1),COLUMN(A179)),SMALL(IF(ISERROR(SEARCH(MID(";"&amp;'CASE DATA'!$F179&amp;";",ROW($1:$99),1),";")),"",ROW($1:$99)),COLUMN(A178)+1)-SMALL(IF(ISERROR(SEARCH(MID(";"&amp;'CASE DATA'!$F179&amp;";",ROW($1:$99),1),";")),"",ROW($1:$99)),COLUMN(A178))-1)</f>
        <v/>
      </c>
      <c r="X179" s="29" t="str">
        <f t="array" ref="X179">MID(";"&amp;'CASE DATA'!$F179&amp;";",SMALL(IF(ISERROR(SEARCH(MID(";"&amp;'CASE DATA'!$F179&amp;";",ROW($1:$99),1),";")),"",ROW($1:$99)+1),COLUMN(B179)),SMALL(IF(ISERROR(SEARCH(MID(";"&amp;'CASE DATA'!$F179&amp;";",ROW($1:$99),1),";")),"",ROW($1:$99)),COLUMN(B178)+1)-SMALL(IF(ISERROR(SEARCH(MID(";"&amp;'CASE DATA'!$F179&amp;";",ROW($1:$99),1),";")),"",ROW($1:$99)),COLUMN(B178))-1)</f>
        <v/>
      </c>
      <c r="Y179" s="29" t="str">
        <f t="array" ref="Y179">MID(";"&amp;'CASE DATA'!$F179&amp;";",SMALL(IF(ISERROR(SEARCH(MID(";"&amp;'CASE DATA'!$F179&amp;";",ROW($1:$99),1),";")),"",ROW($1:$99)+1),COLUMN(D179)),SMALL(IF(ISERROR(SEARCH(MID(";"&amp;'CASE DATA'!$F179&amp;";",ROW($1:$99),1),";")),"",ROW($1:$99)),COLUMN(D178)+1)-SMALL(IF(ISERROR(SEARCH(MID(";"&amp;'CASE DATA'!$F179&amp;";",ROW($1:$99),1),";")),"",ROW($1:$99)),COLUMN(D178))-1)</f>
        <v/>
      </c>
      <c r="Z179" s="29" t="str">
        <f t="array" ref="Z179">MID(";"&amp;'CASE DATA'!$F179&amp;";",SMALL(IF(ISERROR(SEARCH(MID(";"&amp;'CASE DATA'!$F179&amp;";",ROW($1:$99),1),";")),"",ROW($1:$99)+1),COLUMN(E179)),SMALL(IF(ISERROR(SEARCH(MID(";"&amp;'CASE DATA'!$F179&amp;";",ROW($1:$99),1),";")),"",ROW($1:$99)),COLUMN(E178)+1)-SMALL(IF(ISERROR(SEARCH(MID(";"&amp;'CASE DATA'!$F179&amp;";",ROW($1:$99),1),";")),"",ROW($1:$99)),COLUMN(E178))-1)</f>
        <v/>
      </c>
      <c r="AA179" s="29" t="str">
        <f t="array" ref="AA179">MID(";"&amp;'CASE DATA'!$F179&amp;";",SMALL(IF(ISERROR(SEARCH(MID(";"&amp;'CASE DATA'!$F179&amp;";",ROW($1:$99),1),";")),"",ROW($1:$99)+1),COLUMN(F179)),SMALL(IF(ISERROR(SEARCH(MID(";"&amp;'CASE DATA'!$F179&amp;";",ROW($1:$99),1),";")),"",ROW($1:$99)),COLUMN(F178)+1)-SMALL(IF(ISERROR(SEARCH(MID(";"&amp;'CASE DATA'!$F179&amp;";",ROW($1:$99),1),";")),"",ROW($1:$99)),COLUMN(F178))-1)</f>
        <v/>
      </c>
      <c r="AB179" s="29" t="str">
        <f t="array" ref="AB179">MID(";"&amp;'CASE DATA'!$F179&amp;";",SMALL(IF(ISERROR(SEARCH(MID(";"&amp;'CASE DATA'!$F179&amp;";",ROW($1:$99),1),";")),"",ROW($1:$99)+1),COLUMN(G179)),SMALL(IF(ISERROR(SEARCH(MID(";"&amp;'CASE DATA'!$F179&amp;";",ROW($1:$99),1),";")),"",ROW($1:$99)),COLUMN(G178)+1)-SMALL(IF(ISERROR(SEARCH(MID(";"&amp;'CASE DATA'!$F179&amp;";",ROW($1:$99),1),";")),"",ROW($1:$99)),COLUMN(G178))-1)</f>
        <v/>
      </c>
      <c r="AC179" s="29" t="str">
        <f t="array" ref="AC179">MID(";"&amp;'CASE DATA'!$F179&amp;";",SMALL(IF(ISERROR(SEARCH(MID(";"&amp;'CASE DATA'!$F179&amp;";",ROW($1:$99),1),";")),"",ROW($1:$99)+1),COLUMN(H179)),SMALL(IF(ISERROR(SEARCH(MID(";"&amp;'CASE DATA'!$F179&amp;";",ROW($1:$99),1),";")),"",ROW($1:$99)),COLUMN(H178)+1)-SMALL(IF(ISERROR(SEARCH(MID(";"&amp;'CASE DATA'!$F179&amp;";",ROW($1:$99),1),";")),"",ROW($1:$99)),COLUMN(H178))-1)</f>
        <v/>
      </c>
      <c r="AD179" s="29" t="str">
        <f t="array" ref="AD179">MID(";"&amp;'CASE DATA'!$F179&amp;";",SMALL(IF(ISERROR(SEARCH(MID(";"&amp;'CASE DATA'!$F179&amp;";",ROW($1:$99),1),";")),"",ROW($1:$99)+1),COLUMN(I179)),SMALL(IF(ISERROR(SEARCH(MID(";"&amp;'CASE DATA'!$F179&amp;";",ROW($1:$99),1),";")),"",ROW($1:$99)),COLUMN(I178)+1)-SMALL(IF(ISERROR(SEARCH(MID(";"&amp;'CASE DATA'!$F179&amp;";",ROW($1:$99),1),";")),"",ROW($1:$99)),COLUMN(I178))-1)</f>
        <v/>
      </c>
      <c r="AE179" s="29" t="str">
        <f t="array" ref="AE179">MID(";"&amp;'CASE DATA'!$F179&amp;";",SMALL(IF(ISERROR(SEARCH(MID(";"&amp;'CASE DATA'!$F179&amp;";",ROW($1:$99),1),";")),"",ROW($1:$99)+1),COLUMN(J179)),SMALL(IF(ISERROR(SEARCH(MID(";"&amp;'CASE DATA'!$F179&amp;";",ROW($1:$99),1),";")),"",ROW($1:$99)),COLUMN(J178)+1)-SMALL(IF(ISERROR(SEARCH(MID(";"&amp;'CASE DATA'!$F179&amp;";",ROW($1:$99),1),";")),"",ROW($1:$99)),COLUMN(J178))-1)</f>
        <v/>
      </c>
      <c r="AF179" s="29" t="str">
        <f t="array" ref="AF179">MID(";"&amp;'CASE DATA'!$F179&amp;";",SMALL(IF(ISERROR(SEARCH(MID(";"&amp;'CASE DATA'!$F179&amp;";",ROW($1:$99),1),";")),"",ROW($1:$99)+1),COLUMN(K179)),SMALL(IF(ISERROR(SEARCH(MID(";"&amp;'CASE DATA'!$F179&amp;";",ROW($1:$99),1),";")),"",ROW($1:$99)),COLUMN(K178)+1)-SMALL(IF(ISERROR(SEARCH(MID(";"&amp;'CASE DATA'!$F179&amp;";",ROW($1:$99),1),";")),"",ROW($1:$99)),COLUMN(K178))-1)</f>
        <v/>
      </c>
      <c r="AG179" s="29" t="str">
        <f t="array" ref="AG179">MID(";"&amp;'CASE DATA'!$F179&amp;";",SMALL(IF(ISERROR(SEARCH(MID(";"&amp;'CASE DATA'!$F179&amp;";",ROW($1:$99),1),";")),"",ROW($1:$99)+1),COLUMN(L179)),SMALL(IF(ISERROR(SEARCH(MID(";"&amp;'CASE DATA'!$F179&amp;";",ROW($1:$99),1),";")),"",ROW($1:$99)),COLUMN(L178)+1)-SMALL(IF(ISERROR(SEARCH(MID(";"&amp;'CASE DATA'!$F179&amp;";",ROW($1:$99),1),";")),"",ROW($1:$99)),COLUMN(L178))-1)</f>
        <v/>
      </c>
      <c r="AH179" s="29"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24"/>
      <c r="D180" s="24"/>
      <c r="E180" s="25"/>
      <c r="F180" s="30"/>
      <c r="J180" s="31"/>
      <c r="K180" s="31"/>
      <c r="L180" s="31"/>
      <c r="M180" s="31"/>
      <c r="N180" s="31"/>
      <c r="O180" s="31"/>
      <c r="P180" s="31"/>
      <c r="Q180" s="31"/>
      <c r="R180" s="31"/>
      <c r="S180" s="31"/>
      <c r="T180" s="28">
        <f t="shared" si="3"/>
        <v>0</v>
      </c>
      <c r="U180" s="28"/>
      <c r="W180" s="29" t="str">
        <f t="array" ref="W180">MID(";"&amp;'CASE DATA'!$F180&amp;";",SMALL(IF(ISERROR(SEARCH(MID(";"&amp;'CASE DATA'!$F180&amp;";",ROW($1:$99),1),";")),"",ROW($1:$99)+1),COLUMN(A180)),SMALL(IF(ISERROR(SEARCH(MID(";"&amp;'CASE DATA'!$F180&amp;";",ROW($1:$99),1),";")),"",ROW($1:$99)),COLUMN(A179)+1)-SMALL(IF(ISERROR(SEARCH(MID(";"&amp;'CASE DATA'!$F180&amp;";",ROW($1:$99),1),";")),"",ROW($1:$99)),COLUMN(A179))-1)</f>
        <v/>
      </c>
      <c r="X180" s="29" t="str">
        <f t="array" ref="X180">MID(";"&amp;'CASE DATA'!$F180&amp;";",SMALL(IF(ISERROR(SEARCH(MID(";"&amp;'CASE DATA'!$F180&amp;";",ROW($1:$99),1),";")),"",ROW($1:$99)+1),COLUMN(B180)),SMALL(IF(ISERROR(SEARCH(MID(";"&amp;'CASE DATA'!$F180&amp;";",ROW($1:$99),1),";")),"",ROW($1:$99)),COLUMN(B179)+1)-SMALL(IF(ISERROR(SEARCH(MID(";"&amp;'CASE DATA'!$F180&amp;";",ROW($1:$99),1),";")),"",ROW($1:$99)),COLUMN(B179))-1)</f>
        <v/>
      </c>
      <c r="Y180" s="29" t="str">
        <f t="array" ref="Y180">MID(";"&amp;'CASE DATA'!$F180&amp;";",SMALL(IF(ISERROR(SEARCH(MID(";"&amp;'CASE DATA'!$F180&amp;";",ROW($1:$99),1),";")),"",ROW($1:$99)+1),COLUMN(D180)),SMALL(IF(ISERROR(SEARCH(MID(";"&amp;'CASE DATA'!$F180&amp;";",ROW($1:$99),1),";")),"",ROW($1:$99)),COLUMN(D179)+1)-SMALL(IF(ISERROR(SEARCH(MID(";"&amp;'CASE DATA'!$F180&amp;";",ROW($1:$99),1),";")),"",ROW($1:$99)),COLUMN(D179))-1)</f>
        <v/>
      </c>
      <c r="Z180" s="29" t="str">
        <f t="array" ref="Z180">MID(";"&amp;'CASE DATA'!$F180&amp;";",SMALL(IF(ISERROR(SEARCH(MID(";"&amp;'CASE DATA'!$F180&amp;";",ROW($1:$99),1),";")),"",ROW($1:$99)+1),COLUMN(E180)),SMALL(IF(ISERROR(SEARCH(MID(";"&amp;'CASE DATA'!$F180&amp;";",ROW($1:$99),1),";")),"",ROW($1:$99)),COLUMN(E179)+1)-SMALL(IF(ISERROR(SEARCH(MID(";"&amp;'CASE DATA'!$F180&amp;";",ROW($1:$99),1),";")),"",ROW($1:$99)),COLUMN(E179))-1)</f>
        <v/>
      </c>
      <c r="AA180" s="29" t="str">
        <f t="array" ref="AA180">MID(";"&amp;'CASE DATA'!$F180&amp;";",SMALL(IF(ISERROR(SEARCH(MID(";"&amp;'CASE DATA'!$F180&amp;";",ROW($1:$99),1),";")),"",ROW($1:$99)+1),COLUMN(F180)),SMALL(IF(ISERROR(SEARCH(MID(";"&amp;'CASE DATA'!$F180&amp;";",ROW($1:$99),1),";")),"",ROW($1:$99)),COLUMN(F179)+1)-SMALL(IF(ISERROR(SEARCH(MID(";"&amp;'CASE DATA'!$F180&amp;";",ROW($1:$99),1),";")),"",ROW($1:$99)),COLUMN(F179))-1)</f>
        <v/>
      </c>
      <c r="AB180" s="29" t="str">
        <f t="array" ref="AB180">MID(";"&amp;'CASE DATA'!$F180&amp;";",SMALL(IF(ISERROR(SEARCH(MID(";"&amp;'CASE DATA'!$F180&amp;";",ROW($1:$99),1),";")),"",ROW($1:$99)+1),COLUMN(G180)),SMALL(IF(ISERROR(SEARCH(MID(";"&amp;'CASE DATA'!$F180&amp;";",ROW($1:$99),1),";")),"",ROW($1:$99)),COLUMN(G179)+1)-SMALL(IF(ISERROR(SEARCH(MID(";"&amp;'CASE DATA'!$F180&amp;";",ROW($1:$99),1),";")),"",ROW($1:$99)),COLUMN(G179))-1)</f>
        <v/>
      </c>
      <c r="AC180" s="29" t="str">
        <f t="array" ref="AC180">MID(";"&amp;'CASE DATA'!$F180&amp;";",SMALL(IF(ISERROR(SEARCH(MID(";"&amp;'CASE DATA'!$F180&amp;";",ROW($1:$99),1),";")),"",ROW($1:$99)+1),COLUMN(H180)),SMALL(IF(ISERROR(SEARCH(MID(";"&amp;'CASE DATA'!$F180&amp;";",ROW($1:$99),1),";")),"",ROW($1:$99)),COLUMN(H179)+1)-SMALL(IF(ISERROR(SEARCH(MID(";"&amp;'CASE DATA'!$F180&amp;";",ROW($1:$99),1),";")),"",ROW($1:$99)),COLUMN(H179))-1)</f>
        <v/>
      </c>
      <c r="AD180" s="29" t="str">
        <f t="array" ref="AD180">MID(";"&amp;'CASE DATA'!$F180&amp;";",SMALL(IF(ISERROR(SEARCH(MID(";"&amp;'CASE DATA'!$F180&amp;";",ROW($1:$99),1),";")),"",ROW($1:$99)+1),COLUMN(I180)),SMALL(IF(ISERROR(SEARCH(MID(";"&amp;'CASE DATA'!$F180&amp;";",ROW($1:$99),1),";")),"",ROW($1:$99)),COLUMN(I179)+1)-SMALL(IF(ISERROR(SEARCH(MID(";"&amp;'CASE DATA'!$F180&amp;";",ROW($1:$99),1),";")),"",ROW($1:$99)),COLUMN(I179))-1)</f>
        <v/>
      </c>
      <c r="AE180" s="29" t="str">
        <f t="array" ref="AE180">MID(";"&amp;'CASE DATA'!$F180&amp;";",SMALL(IF(ISERROR(SEARCH(MID(";"&amp;'CASE DATA'!$F180&amp;";",ROW($1:$99),1),";")),"",ROW($1:$99)+1),COLUMN(J180)),SMALL(IF(ISERROR(SEARCH(MID(";"&amp;'CASE DATA'!$F180&amp;";",ROW($1:$99),1),";")),"",ROW($1:$99)),COLUMN(J179)+1)-SMALL(IF(ISERROR(SEARCH(MID(";"&amp;'CASE DATA'!$F180&amp;";",ROW($1:$99),1),";")),"",ROW($1:$99)),COLUMN(J179))-1)</f>
        <v/>
      </c>
      <c r="AF180" s="29" t="str">
        <f t="array" ref="AF180">MID(";"&amp;'CASE DATA'!$F180&amp;";",SMALL(IF(ISERROR(SEARCH(MID(";"&amp;'CASE DATA'!$F180&amp;";",ROW($1:$99),1),";")),"",ROW($1:$99)+1),COLUMN(K180)),SMALL(IF(ISERROR(SEARCH(MID(";"&amp;'CASE DATA'!$F180&amp;";",ROW($1:$99),1),";")),"",ROW($1:$99)),COLUMN(K179)+1)-SMALL(IF(ISERROR(SEARCH(MID(";"&amp;'CASE DATA'!$F180&amp;";",ROW($1:$99),1),";")),"",ROW($1:$99)),COLUMN(K179))-1)</f>
        <v/>
      </c>
      <c r="AG180" s="29" t="str">
        <f t="array" ref="AG180">MID(";"&amp;'CASE DATA'!$F180&amp;";",SMALL(IF(ISERROR(SEARCH(MID(";"&amp;'CASE DATA'!$F180&amp;";",ROW($1:$99),1),";")),"",ROW($1:$99)+1),COLUMN(L180)),SMALL(IF(ISERROR(SEARCH(MID(";"&amp;'CASE DATA'!$F180&amp;";",ROW($1:$99),1),";")),"",ROW($1:$99)),COLUMN(L179)+1)-SMALL(IF(ISERROR(SEARCH(MID(";"&amp;'CASE DATA'!$F180&amp;";",ROW($1:$99),1),";")),"",ROW($1:$99)),COLUMN(L179))-1)</f>
        <v/>
      </c>
      <c r="AH180" s="29"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24"/>
      <c r="D181" s="24"/>
      <c r="E181" s="25"/>
      <c r="F181" s="30"/>
      <c r="J181" s="31"/>
      <c r="K181" s="31"/>
      <c r="L181" s="31"/>
      <c r="M181" s="31"/>
      <c r="N181" s="31"/>
      <c r="O181" s="31"/>
      <c r="P181" s="31"/>
      <c r="Q181" s="31"/>
      <c r="R181" s="31"/>
      <c r="S181" s="31"/>
      <c r="T181" s="28">
        <f t="shared" si="3"/>
        <v>0</v>
      </c>
      <c r="U181" s="28"/>
      <c r="W181" s="29" t="str">
        <f t="array" ref="W181">MID(";"&amp;'CASE DATA'!$F181&amp;";",SMALL(IF(ISERROR(SEARCH(MID(";"&amp;'CASE DATA'!$F181&amp;";",ROW($1:$99),1),";")),"",ROW($1:$99)+1),COLUMN(A181)),SMALL(IF(ISERROR(SEARCH(MID(";"&amp;'CASE DATA'!$F181&amp;";",ROW($1:$99),1),";")),"",ROW($1:$99)),COLUMN(A180)+1)-SMALL(IF(ISERROR(SEARCH(MID(";"&amp;'CASE DATA'!$F181&amp;";",ROW($1:$99),1),";")),"",ROW($1:$99)),COLUMN(A180))-1)</f>
        <v/>
      </c>
      <c r="X181" s="29" t="str">
        <f t="array" ref="X181">MID(";"&amp;'CASE DATA'!$F181&amp;";",SMALL(IF(ISERROR(SEARCH(MID(";"&amp;'CASE DATA'!$F181&amp;";",ROW($1:$99),1),";")),"",ROW($1:$99)+1),COLUMN(B181)),SMALL(IF(ISERROR(SEARCH(MID(";"&amp;'CASE DATA'!$F181&amp;";",ROW($1:$99),1),";")),"",ROW($1:$99)),COLUMN(B180)+1)-SMALL(IF(ISERROR(SEARCH(MID(";"&amp;'CASE DATA'!$F181&amp;";",ROW($1:$99),1),";")),"",ROW($1:$99)),COLUMN(B180))-1)</f>
        <v/>
      </c>
      <c r="Y181" s="29" t="str">
        <f t="array" ref="Y181">MID(";"&amp;'CASE DATA'!$F181&amp;";",SMALL(IF(ISERROR(SEARCH(MID(";"&amp;'CASE DATA'!$F181&amp;";",ROW($1:$99),1),";")),"",ROW($1:$99)+1),COLUMN(D181)),SMALL(IF(ISERROR(SEARCH(MID(";"&amp;'CASE DATA'!$F181&amp;";",ROW($1:$99),1),";")),"",ROW($1:$99)),COLUMN(D180)+1)-SMALL(IF(ISERROR(SEARCH(MID(";"&amp;'CASE DATA'!$F181&amp;";",ROW($1:$99),1),";")),"",ROW($1:$99)),COLUMN(D180))-1)</f>
        <v/>
      </c>
      <c r="Z181" s="29" t="str">
        <f t="array" ref="Z181">MID(";"&amp;'CASE DATA'!$F181&amp;";",SMALL(IF(ISERROR(SEARCH(MID(";"&amp;'CASE DATA'!$F181&amp;";",ROW($1:$99),1),";")),"",ROW($1:$99)+1),COLUMN(E181)),SMALL(IF(ISERROR(SEARCH(MID(";"&amp;'CASE DATA'!$F181&amp;";",ROW($1:$99),1),";")),"",ROW($1:$99)),COLUMN(E180)+1)-SMALL(IF(ISERROR(SEARCH(MID(";"&amp;'CASE DATA'!$F181&amp;";",ROW($1:$99),1),";")),"",ROW($1:$99)),COLUMN(E180))-1)</f>
        <v/>
      </c>
      <c r="AA181" s="29" t="str">
        <f t="array" ref="AA181">MID(";"&amp;'CASE DATA'!$F181&amp;";",SMALL(IF(ISERROR(SEARCH(MID(";"&amp;'CASE DATA'!$F181&amp;";",ROW($1:$99),1),";")),"",ROW($1:$99)+1),COLUMN(F181)),SMALL(IF(ISERROR(SEARCH(MID(";"&amp;'CASE DATA'!$F181&amp;";",ROW($1:$99),1),";")),"",ROW($1:$99)),COLUMN(F180)+1)-SMALL(IF(ISERROR(SEARCH(MID(";"&amp;'CASE DATA'!$F181&amp;";",ROW($1:$99),1),";")),"",ROW($1:$99)),COLUMN(F180))-1)</f>
        <v/>
      </c>
      <c r="AB181" s="29" t="str">
        <f t="array" ref="AB181">MID(";"&amp;'CASE DATA'!$F181&amp;";",SMALL(IF(ISERROR(SEARCH(MID(";"&amp;'CASE DATA'!$F181&amp;";",ROW($1:$99),1),";")),"",ROW($1:$99)+1),COLUMN(G181)),SMALL(IF(ISERROR(SEARCH(MID(";"&amp;'CASE DATA'!$F181&amp;";",ROW($1:$99),1),";")),"",ROW($1:$99)),COLUMN(G180)+1)-SMALL(IF(ISERROR(SEARCH(MID(";"&amp;'CASE DATA'!$F181&amp;";",ROW($1:$99),1),";")),"",ROW($1:$99)),COLUMN(G180))-1)</f>
        <v/>
      </c>
      <c r="AC181" s="29" t="str">
        <f t="array" ref="AC181">MID(";"&amp;'CASE DATA'!$F181&amp;";",SMALL(IF(ISERROR(SEARCH(MID(";"&amp;'CASE DATA'!$F181&amp;";",ROW($1:$99),1),";")),"",ROW($1:$99)+1),COLUMN(H181)),SMALL(IF(ISERROR(SEARCH(MID(";"&amp;'CASE DATA'!$F181&amp;";",ROW($1:$99),1),";")),"",ROW($1:$99)),COLUMN(H180)+1)-SMALL(IF(ISERROR(SEARCH(MID(";"&amp;'CASE DATA'!$F181&amp;";",ROW($1:$99),1),";")),"",ROW($1:$99)),COLUMN(H180))-1)</f>
        <v/>
      </c>
      <c r="AD181" s="29" t="str">
        <f t="array" ref="AD181">MID(";"&amp;'CASE DATA'!$F181&amp;";",SMALL(IF(ISERROR(SEARCH(MID(";"&amp;'CASE DATA'!$F181&amp;";",ROW($1:$99),1),";")),"",ROW($1:$99)+1),COLUMN(I181)),SMALL(IF(ISERROR(SEARCH(MID(";"&amp;'CASE DATA'!$F181&amp;";",ROW($1:$99),1),";")),"",ROW($1:$99)),COLUMN(I180)+1)-SMALL(IF(ISERROR(SEARCH(MID(";"&amp;'CASE DATA'!$F181&amp;";",ROW($1:$99),1),";")),"",ROW($1:$99)),COLUMN(I180))-1)</f>
        <v/>
      </c>
      <c r="AE181" s="29" t="str">
        <f t="array" ref="AE181">MID(";"&amp;'CASE DATA'!$F181&amp;";",SMALL(IF(ISERROR(SEARCH(MID(";"&amp;'CASE DATA'!$F181&amp;";",ROW($1:$99),1),";")),"",ROW($1:$99)+1),COLUMN(J181)),SMALL(IF(ISERROR(SEARCH(MID(";"&amp;'CASE DATA'!$F181&amp;";",ROW($1:$99),1),";")),"",ROW($1:$99)),COLUMN(J180)+1)-SMALL(IF(ISERROR(SEARCH(MID(";"&amp;'CASE DATA'!$F181&amp;";",ROW($1:$99),1),";")),"",ROW($1:$99)),COLUMN(J180))-1)</f>
        <v/>
      </c>
      <c r="AF181" s="29" t="str">
        <f t="array" ref="AF181">MID(";"&amp;'CASE DATA'!$F181&amp;";",SMALL(IF(ISERROR(SEARCH(MID(";"&amp;'CASE DATA'!$F181&amp;";",ROW($1:$99),1),";")),"",ROW($1:$99)+1),COLUMN(K181)),SMALL(IF(ISERROR(SEARCH(MID(";"&amp;'CASE DATA'!$F181&amp;";",ROW($1:$99),1),";")),"",ROW($1:$99)),COLUMN(K180)+1)-SMALL(IF(ISERROR(SEARCH(MID(";"&amp;'CASE DATA'!$F181&amp;";",ROW($1:$99),1),";")),"",ROW($1:$99)),COLUMN(K180))-1)</f>
        <v/>
      </c>
      <c r="AG181" s="29" t="str">
        <f t="array" ref="AG181">MID(";"&amp;'CASE DATA'!$F181&amp;";",SMALL(IF(ISERROR(SEARCH(MID(";"&amp;'CASE DATA'!$F181&amp;";",ROW($1:$99),1),";")),"",ROW($1:$99)+1),COLUMN(L181)),SMALL(IF(ISERROR(SEARCH(MID(";"&amp;'CASE DATA'!$F181&amp;";",ROW($1:$99),1),";")),"",ROW($1:$99)),COLUMN(L180)+1)-SMALL(IF(ISERROR(SEARCH(MID(";"&amp;'CASE DATA'!$F181&amp;";",ROW($1:$99),1),";")),"",ROW($1:$99)),COLUMN(L180))-1)</f>
        <v/>
      </c>
      <c r="AH181" s="29"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24"/>
      <c r="D182" s="24"/>
      <c r="E182" s="25"/>
      <c r="F182" s="30"/>
      <c r="J182" s="31"/>
      <c r="K182" s="31"/>
      <c r="L182" s="31"/>
      <c r="M182" s="31"/>
      <c r="N182" s="31"/>
      <c r="O182" s="31"/>
      <c r="P182" s="31"/>
      <c r="Q182" s="31"/>
      <c r="R182" s="31"/>
      <c r="S182" s="31"/>
      <c r="T182" s="28">
        <f t="shared" si="3"/>
        <v>0</v>
      </c>
      <c r="U182" s="28"/>
      <c r="W182" s="29" t="str">
        <f t="array" ref="W182">MID(";"&amp;'CASE DATA'!$F182&amp;";",SMALL(IF(ISERROR(SEARCH(MID(";"&amp;'CASE DATA'!$F182&amp;";",ROW($1:$99),1),";")),"",ROW($1:$99)+1),COLUMN(A182)),SMALL(IF(ISERROR(SEARCH(MID(";"&amp;'CASE DATA'!$F182&amp;";",ROW($1:$99),1),";")),"",ROW($1:$99)),COLUMN(A181)+1)-SMALL(IF(ISERROR(SEARCH(MID(";"&amp;'CASE DATA'!$F182&amp;";",ROW($1:$99),1),";")),"",ROW($1:$99)),COLUMN(A181))-1)</f>
        <v/>
      </c>
      <c r="X182" s="29" t="str">
        <f t="array" ref="X182">MID(";"&amp;'CASE DATA'!$F182&amp;";",SMALL(IF(ISERROR(SEARCH(MID(";"&amp;'CASE DATA'!$F182&amp;";",ROW($1:$99),1),";")),"",ROW($1:$99)+1),COLUMN(B182)),SMALL(IF(ISERROR(SEARCH(MID(";"&amp;'CASE DATA'!$F182&amp;";",ROW($1:$99),1),";")),"",ROW($1:$99)),COLUMN(B181)+1)-SMALL(IF(ISERROR(SEARCH(MID(";"&amp;'CASE DATA'!$F182&amp;";",ROW($1:$99),1),";")),"",ROW($1:$99)),COLUMN(B181))-1)</f>
        <v/>
      </c>
      <c r="Y182" s="29" t="str">
        <f t="array" ref="Y182">MID(";"&amp;'CASE DATA'!$F182&amp;";",SMALL(IF(ISERROR(SEARCH(MID(";"&amp;'CASE DATA'!$F182&amp;";",ROW($1:$99),1),";")),"",ROW($1:$99)+1),COLUMN(D182)),SMALL(IF(ISERROR(SEARCH(MID(";"&amp;'CASE DATA'!$F182&amp;";",ROW($1:$99),1),";")),"",ROW($1:$99)),COLUMN(D181)+1)-SMALL(IF(ISERROR(SEARCH(MID(";"&amp;'CASE DATA'!$F182&amp;";",ROW($1:$99),1),";")),"",ROW($1:$99)),COLUMN(D181))-1)</f>
        <v/>
      </c>
      <c r="Z182" s="29" t="str">
        <f t="array" ref="Z182">MID(";"&amp;'CASE DATA'!$F182&amp;";",SMALL(IF(ISERROR(SEARCH(MID(";"&amp;'CASE DATA'!$F182&amp;";",ROW($1:$99),1),";")),"",ROW($1:$99)+1),COLUMN(E182)),SMALL(IF(ISERROR(SEARCH(MID(";"&amp;'CASE DATA'!$F182&amp;";",ROW($1:$99),1),";")),"",ROW($1:$99)),COLUMN(E181)+1)-SMALL(IF(ISERROR(SEARCH(MID(";"&amp;'CASE DATA'!$F182&amp;";",ROW($1:$99),1),";")),"",ROW($1:$99)),COLUMN(E181))-1)</f>
        <v/>
      </c>
      <c r="AA182" s="29" t="str">
        <f t="array" ref="AA182">MID(";"&amp;'CASE DATA'!$F182&amp;";",SMALL(IF(ISERROR(SEARCH(MID(";"&amp;'CASE DATA'!$F182&amp;";",ROW($1:$99),1),";")),"",ROW($1:$99)+1),COLUMN(F182)),SMALL(IF(ISERROR(SEARCH(MID(";"&amp;'CASE DATA'!$F182&amp;";",ROW($1:$99),1),";")),"",ROW($1:$99)),COLUMN(F181)+1)-SMALL(IF(ISERROR(SEARCH(MID(";"&amp;'CASE DATA'!$F182&amp;";",ROW($1:$99),1),";")),"",ROW($1:$99)),COLUMN(F181))-1)</f>
        <v/>
      </c>
      <c r="AB182" s="29" t="str">
        <f t="array" ref="AB182">MID(";"&amp;'CASE DATA'!$F182&amp;";",SMALL(IF(ISERROR(SEARCH(MID(";"&amp;'CASE DATA'!$F182&amp;";",ROW($1:$99),1),";")),"",ROW($1:$99)+1),COLUMN(G182)),SMALL(IF(ISERROR(SEARCH(MID(";"&amp;'CASE DATA'!$F182&amp;";",ROW($1:$99),1),";")),"",ROW($1:$99)),COLUMN(G181)+1)-SMALL(IF(ISERROR(SEARCH(MID(";"&amp;'CASE DATA'!$F182&amp;";",ROW($1:$99),1),";")),"",ROW($1:$99)),COLUMN(G181))-1)</f>
        <v/>
      </c>
      <c r="AC182" s="29" t="str">
        <f t="array" ref="AC182">MID(";"&amp;'CASE DATA'!$F182&amp;";",SMALL(IF(ISERROR(SEARCH(MID(";"&amp;'CASE DATA'!$F182&amp;";",ROW($1:$99),1),";")),"",ROW($1:$99)+1),COLUMN(H182)),SMALL(IF(ISERROR(SEARCH(MID(";"&amp;'CASE DATA'!$F182&amp;";",ROW($1:$99),1),";")),"",ROW($1:$99)),COLUMN(H181)+1)-SMALL(IF(ISERROR(SEARCH(MID(";"&amp;'CASE DATA'!$F182&amp;";",ROW($1:$99),1),";")),"",ROW($1:$99)),COLUMN(H181))-1)</f>
        <v/>
      </c>
      <c r="AD182" s="29" t="str">
        <f t="array" ref="AD182">MID(";"&amp;'CASE DATA'!$F182&amp;";",SMALL(IF(ISERROR(SEARCH(MID(";"&amp;'CASE DATA'!$F182&amp;";",ROW($1:$99),1),";")),"",ROW($1:$99)+1),COLUMN(I182)),SMALL(IF(ISERROR(SEARCH(MID(";"&amp;'CASE DATA'!$F182&amp;";",ROW($1:$99),1),";")),"",ROW($1:$99)),COLUMN(I181)+1)-SMALL(IF(ISERROR(SEARCH(MID(";"&amp;'CASE DATA'!$F182&amp;";",ROW($1:$99),1),";")),"",ROW($1:$99)),COLUMN(I181))-1)</f>
        <v/>
      </c>
      <c r="AE182" s="29" t="str">
        <f t="array" ref="AE182">MID(";"&amp;'CASE DATA'!$F182&amp;";",SMALL(IF(ISERROR(SEARCH(MID(";"&amp;'CASE DATA'!$F182&amp;";",ROW($1:$99),1),";")),"",ROW($1:$99)+1),COLUMN(J182)),SMALL(IF(ISERROR(SEARCH(MID(";"&amp;'CASE DATA'!$F182&amp;";",ROW($1:$99),1),";")),"",ROW($1:$99)),COLUMN(J181)+1)-SMALL(IF(ISERROR(SEARCH(MID(";"&amp;'CASE DATA'!$F182&amp;";",ROW($1:$99),1),";")),"",ROW($1:$99)),COLUMN(J181))-1)</f>
        <v/>
      </c>
      <c r="AF182" s="29" t="str">
        <f t="array" ref="AF182">MID(";"&amp;'CASE DATA'!$F182&amp;";",SMALL(IF(ISERROR(SEARCH(MID(";"&amp;'CASE DATA'!$F182&amp;";",ROW($1:$99),1),";")),"",ROW($1:$99)+1),COLUMN(K182)),SMALL(IF(ISERROR(SEARCH(MID(";"&amp;'CASE DATA'!$F182&amp;";",ROW($1:$99),1),";")),"",ROW($1:$99)),COLUMN(K181)+1)-SMALL(IF(ISERROR(SEARCH(MID(";"&amp;'CASE DATA'!$F182&amp;";",ROW($1:$99),1),";")),"",ROW($1:$99)),COLUMN(K181))-1)</f>
        <v/>
      </c>
      <c r="AG182" s="29" t="str">
        <f t="array" ref="AG182">MID(";"&amp;'CASE DATA'!$F182&amp;";",SMALL(IF(ISERROR(SEARCH(MID(";"&amp;'CASE DATA'!$F182&amp;";",ROW($1:$99),1),";")),"",ROW($1:$99)+1),COLUMN(L182)),SMALL(IF(ISERROR(SEARCH(MID(";"&amp;'CASE DATA'!$F182&amp;";",ROW($1:$99),1),";")),"",ROW($1:$99)),COLUMN(L181)+1)-SMALL(IF(ISERROR(SEARCH(MID(";"&amp;'CASE DATA'!$F182&amp;";",ROW($1:$99),1),";")),"",ROW($1:$99)),COLUMN(L181))-1)</f>
        <v/>
      </c>
      <c r="AH182" s="29"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24"/>
      <c r="D183" s="24"/>
      <c r="E183" s="25"/>
      <c r="F183" s="30"/>
      <c r="J183" s="31"/>
      <c r="K183" s="31"/>
      <c r="L183" s="31"/>
      <c r="M183" s="31"/>
      <c r="N183" s="31"/>
      <c r="O183" s="31"/>
      <c r="P183" s="31"/>
      <c r="Q183" s="31"/>
      <c r="R183" s="31"/>
      <c r="S183" s="31"/>
      <c r="T183" s="28">
        <f t="shared" si="3"/>
        <v>0</v>
      </c>
      <c r="U183" s="28"/>
      <c r="W183" s="29" t="str">
        <f t="array" ref="W183">MID(";"&amp;'CASE DATA'!$F183&amp;";",SMALL(IF(ISERROR(SEARCH(MID(";"&amp;'CASE DATA'!$F183&amp;";",ROW($1:$99),1),";")),"",ROW($1:$99)+1),COLUMN(A183)),SMALL(IF(ISERROR(SEARCH(MID(";"&amp;'CASE DATA'!$F183&amp;";",ROW($1:$99),1),";")),"",ROW($1:$99)),COLUMN(A182)+1)-SMALL(IF(ISERROR(SEARCH(MID(";"&amp;'CASE DATA'!$F183&amp;";",ROW($1:$99),1),";")),"",ROW($1:$99)),COLUMN(A182))-1)</f>
        <v/>
      </c>
      <c r="X183" s="29" t="str">
        <f t="array" ref="X183">MID(";"&amp;'CASE DATA'!$F183&amp;";",SMALL(IF(ISERROR(SEARCH(MID(";"&amp;'CASE DATA'!$F183&amp;";",ROW($1:$99),1),";")),"",ROW($1:$99)+1),COLUMN(B183)),SMALL(IF(ISERROR(SEARCH(MID(";"&amp;'CASE DATA'!$F183&amp;";",ROW($1:$99),1),";")),"",ROW($1:$99)),COLUMN(B182)+1)-SMALL(IF(ISERROR(SEARCH(MID(";"&amp;'CASE DATA'!$F183&amp;";",ROW($1:$99),1),";")),"",ROW($1:$99)),COLUMN(B182))-1)</f>
        <v/>
      </c>
      <c r="Y183" s="29" t="str">
        <f t="array" ref="Y183">MID(";"&amp;'CASE DATA'!$F183&amp;";",SMALL(IF(ISERROR(SEARCH(MID(";"&amp;'CASE DATA'!$F183&amp;";",ROW($1:$99),1),";")),"",ROW($1:$99)+1),COLUMN(D183)),SMALL(IF(ISERROR(SEARCH(MID(";"&amp;'CASE DATA'!$F183&amp;";",ROW($1:$99),1),";")),"",ROW($1:$99)),COLUMN(D182)+1)-SMALL(IF(ISERROR(SEARCH(MID(";"&amp;'CASE DATA'!$F183&amp;";",ROW($1:$99),1),";")),"",ROW($1:$99)),COLUMN(D182))-1)</f>
        <v/>
      </c>
      <c r="Z183" s="29" t="str">
        <f t="array" ref="Z183">MID(";"&amp;'CASE DATA'!$F183&amp;";",SMALL(IF(ISERROR(SEARCH(MID(";"&amp;'CASE DATA'!$F183&amp;";",ROW($1:$99),1),";")),"",ROW($1:$99)+1),COLUMN(E183)),SMALL(IF(ISERROR(SEARCH(MID(";"&amp;'CASE DATA'!$F183&amp;";",ROW($1:$99),1),";")),"",ROW($1:$99)),COLUMN(E182)+1)-SMALL(IF(ISERROR(SEARCH(MID(";"&amp;'CASE DATA'!$F183&amp;";",ROW($1:$99),1),";")),"",ROW($1:$99)),COLUMN(E182))-1)</f>
        <v/>
      </c>
      <c r="AA183" s="29" t="str">
        <f t="array" ref="AA183">MID(";"&amp;'CASE DATA'!$F183&amp;";",SMALL(IF(ISERROR(SEARCH(MID(";"&amp;'CASE DATA'!$F183&amp;";",ROW($1:$99),1),";")),"",ROW($1:$99)+1),COLUMN(F183)),SMALL(IF(ISERROR(SEARCH(MID(";"&amp;'CASE DATA'!$F183&amp;";",ROW($1:$99),1),";")),"",ROW($1:$99)),COLUMN(F182)+1)-SMALL(IF(ISERROR(SEARCH(MID(";"&amp;'CASE DATA'!$F183&amp;";",ROW($1:$99),1),";")),"",ROW($1:$99)),COLUMN(F182))-1)</f>
        <v/>
      </c>
      <c r="AB183" s="29" t="str">
        <f t="array" ref="AB183">MID(";"&amp;'CASE DATA'!$F183&amp;";",SMALL(IF(ISERROR(SEARCH(MID(";"&amp;'CASE DATA'!$F183&amp;";",ROW($1:$99),1),";")),"",ROW($1:$99)+1),COLUMN(G183)),SMALL(IF(ISERROR(SEARCH(MID(";"&amp;'CASE DATA'!$F183&amp;";",ROW($1:$99),1),";")),"",ROW($1:$99)),COLUMN(G182)+1)-SMALL(IF(ISERROR(SEARCH(MID(";"&amp;'CASE DATA'!$F183&amp;";",ROW($1:$99),1),";")),"",ROW($1:$99)),COLUMN(G182))-1)</f>
        <v/>
      </c>
      <c r="AC183" s="29" t="str">
        <f t="array" ref="AC183">MID(";"&amp;'CASE DATA'!$F183&amp;";",SMALL(IF(ISERROR(SEARCH(MID(";"&amp;'CASE DATA'!$F183&amp;";",ROW($1:$99),1),";")),"",ROW($1:$99)+1),COLUMN(H183)),SMALL(IF(ISERROR(SEARCH(MID(";"&amp;'CASE DATA'!$F183&amp;";",ROW($1:$99),1),";")),"",ROW($1:$99)),COLUMN(H182)+1)-SMALL(IF(ISERROR(SEARCH(MID(";"&amp;'CASE DATA'!$F183&amp;";",ROW($1:$99),1),";")),"",ROW($1:$99)),COLUMN(H182))-1)</f>
        <v/>
      </c>
      <c r="AD183" s="29" t="str">
        <f t="array" ref="AD183">MID(";"&amp;'CASE DATA'!$F183&amp;";",SMALL(IF(ISERROR(SEARCH(MID(";"&amp;'CASE DATA'!$F183&amp;";",ROW($1:$99),1),";")),"",ROW($1:$99)+1),COLUMN(I183)),SMALL(IF(ISERROR(SEARCH(MID(";"&amp;'CASE DATA'!$F183&amp;";",ROW($1:$99),1),";")),"",ROW($1:$99)),COLUMN(I182)+1)-SMALL(IF(ISERROR(SEARCH(MID(";"&amp;'CASE DATA'!$F183&amp;";",ROW($1:$99),1),";")),"",ROW($1:$99)),COLUMN(I182))-1)</f>
        <v/>
      </c>
      <c r="AE183" s="29" t="str">
        <f t="array" ref="AE183">MID(";"&amp;'CASE DATA'!$F183&amp;";",SMALL(IF(ISERROR(SEARCH(MID(";"&amp;'CASE DATA'!$F183&amp;";",ROW($1:$99),1),";")),"",ROW($1:$99)+1),COLUMN(J183)),SMALL(IF(ISERROR(SEARCH(MID(";"&amp;'CASE DATA'!$F183&amp;";",ROW($1:$99),1),";")),"",ROW($1:$99)),COLUMN(J182)+1)-SMALL(IF(ISERROR(SEARCH(MID(";"&amp;'CASE DATA'!$F183&amp;";",ROW($1:$99),1),";")),"",ROW($1:$99)),COLUMN(J182))-1)</f>
        <v/>
      </c>
      <c r="AF183" s="29" t="str">
        <f t="array" ref="AF183">MID(";"&amp;'CASE DATA'!$F183&amp;";",SMALL(IF(ISERROR(SEARCH(MID(";"&amp;'CASE DATA'!$F183&amp;";",ROW($1:$99),1),";")),"",ROW($1:$99)+1),COLUMN(K183)),SMALL(IF(ISERROR(SEARCH(MID(";"&amp;'CASE DATA'!$F183&amp;";",ROW($1:$99),1),";")),"",ROW($1:$99)),COLUMN(K182)+1)-SMALL(IF(ISERROR(SEARCH(MID(";"&amp;'CASE DATA'!$F183&amp;";",ROW($1:$99),1),";")),"",ROW($1:$99)),COLUMN(K182))-1)</f>
        <v/>
      </c>
      <c r="AG183" s="29" t="str">
        <f t="array" ref="AG183">MID(";"&amp;'CASE DATA'!$F183&amp;";",SMALL(IF(ISERROR(SEARCH(MID(";"&amp;'CASE DATA'!$F183&amp;";",ROW($1:$99),1),";")),"",ROW($1:$99)+1),COLUMN(L183)),SMALL(IF(ISERROR(SEARCH(MID(";"&amp;'CASE DATA'!$F183&amp;";",ROW($1:$99),1),";")),"",ROW($1:$99)),COLUMN(L182)+1)-SMALL(IF(ISERROR(SEARCH(MID(";"&amp;'CASE DATA'!$F183&amp;";",ROW($1:$99),1),";")),"",ROW($1:$99)),COLUMN(L182))-1)</f>
        <v/>
      </c>
      <c r="AH183" s="29"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24"/>
      <c r="D184" s="24"/>
      <c r="E184" s="25"/>
      <c r="F184" s="30"/>
      <c r="J184" s="31"/>
      <c r="K184" s="31"/>
      <c r="L184" s="31"/>
      <c r="M184" s="31"/>
      <c r="N184" s="31"/>
      <c r="O184" s="31"/>
      <c r="P184" s="31"/>
      <c r="Q184" s="31"/>
      <c r="R184" s="31"/>
      <c r="S184" s="31"/>
      <c r="T184" s="28">
        <f t="shared" si="3"/>
        <v>0</v>
      </c>
      <c r="U184" s="28"/>
      <c r="W184" s="29" t="str">
        <f t="array" ref="W184">MID(";"&amp;'CASE DATA'!$F184&amp;";",SMALL(IF(ISERROR(SEARCH(MID(";"&amp;'CASE DATA'!$F184&amp;";",ROW($1:$99),1),";")),"",ROW($1:$99)+1),COLUMN(A184)),SMALL(IF(ISERROR(SEARCH(MID(";"&amp;'CASE DATA'!$F184&amp;";",ROW($1:$99),1),";")),"",ROW($1:$99)),COLUMN(A183)+1)-SMALL(IF(ISERROR(SEARCH(MID(";"&amp;'CASE DATA'!$F184&amp;";",ROW($1:$99),1),";")),"",ROW($1:$99)),COLUMN(A183))-1)</f>
        <v/>
      </c>
      <c r="X184" s="29" t="str">
        <f t="array" ref="X184">MID(";"&amp;'CASE DATA'!$F184&amp;";",SMALL(IF(ISERROR(SEARCH(MID(";"&amp;'CASE DATA'!$F184&amp;";",ROW($1:$99),1),";")),"",ROW($1:$99)+1),COLUMN(B184)),SMALL(IF(ISERROR(SEARCH(MID(";"&amp;'CASE DATA'!$F184&amp;";",ROW($1:$99),1),";")),"",ROW($1:$99)),COLUMN(B183)+1)-SMALL(IF(ISERROR(SEARCH(MID(";"&amp;'CASE DATA'!$F184&amp;";",ROW($1:$99),1),";")),"",ROW($1:$99)),COLUMN(B183))-1)</f>
        <v/>
      </c>
      <c r="Y184" s="29" t="str">
        <f t="array" ref="Y184">MID(";"&amp;'CASE DATA'!$F184&amp;";",SMALL(IF(ISERROR(SEARCH(MID(";"&amp;'CASE DATA'!$F184&amp;";",ROW($1:$99),1),";")),"",ROW($1:$99)+1),COLUMN(D184)),SMALL(IF(ISERROR(SEARCH(MID(";"&amp;'CASE DATA'!$F184&amp;";",ROW($1:$99),1),";")),"",ROW($1:$99)),COLUMN(D183)+1)-SMALL(IF(ISERROR(SEARCH(MID(";"&amp;'CASE DATA'!$F184&amp;";",ROW($1:$99),1),";")),"",ROW($1:$99)),COLUMN(D183))-1)</f>
        <v/>
      </c>
      <c r="Z184" s="29" t="str">
        <f t="array" ref="Z184">MID(";"&amp;'CASE DATA'!$F184&amp;";",SMALL(IF(ISERROR(SEARCH(MID(";"&amp;'CASE DATA'!$F184&amp;";",ROW($1:$99),1),";")),"",ROW($1:$99)+1),COLUMN(E184)),SMALL(IF(ISERROR(SEARCH(MID(";"&amp;'CASE DATA'!$F184&amp;";",ROW($1:$99),1),";")),"",ROW($1:$99)),COLUMN(E183)+1)-SMALL(IF(ISERROR(SEARCH(MID(";"&amp;'CASE DATA'!$F184&amp;";",ROW($1:$99),1),";")),"",ROW($1:$99)),COLUMN(E183))-1)</f>
        <v/>
      </c>
      <c r="AA184" s="29" t="str">
        <f t="array" ref="AA184">MID(";"&amp;'CASE DATA'!$F184&amp;";",SMALL(IF(ISERROR(SEARCH(MID(";"&amp;'CASE DATA'!$F184&amp;";",ROW($1:$99),1),";")),"",ROW($1:$99)+1),COLUMN(F184)),SMALL(IF(ISERROR(SEARCH(MID(";"&amp;'CASE DATA'!$F184&amp;";",ROW($1:$99),1),";")),"",ROW($1:$99)),COLUMN(F183)+1)-SMALL(IF(ISERROR(SEARCH(MID(";"&amp;'CASE DATA'!$F184&amp;";",ROW($1:$99),1),";")),"",ROW($1:$99)),COLUMN(F183))-1)</f>
        <v/>
      </c>
      <c r="AB184" s="29" t="str">
        <f t="array" ref="AB184">MID(";"&amp;'CASE DATA'!$F184&amp;";",SMALL(IF(ISERROR(SEARCH(MID(";"&amp;'CASE DATA'!$F184&amp;";",ROW($1:$99),1),";")),"",ROW($1:$99)+1),COLUMN(G184)),SMALL(IF(ISERROR(SEARCH(MID(";"&amp;'CASE DATA'!$F184&amp;";",ROW($1:$99),1),";")),"",ROW($1:$99)),COLUMN(G183)+1)-SMALL(IF(ISERROR(SEARCH(MID(";"&amp;'CASE DATA'!$F184&amp;";",ROW($1:$99),1),";")),"",ROW($1:$99)),COLUMN(G183))-1)</f>
        <v/>
      </c>
      <c r="AC184" s="29" t="str">
        <f t="array" ref="AC184">MID(";"&amp;'CASE DATA'!$F184&amp;";",SMALL(IF(ISERROR(SEARCH(MID(";"&amp;'CASE DATA'!$F184&amp;";",ROW($1:$99),1),";")),"",ROW($1:$99)+1),COLUMN(H184)),SMALL(IF(ISERROR(SEARCH(MID(";"&amp;'CASE DATA'!$F184&amp;";",ROW($1:$99),1),";")),"",ROW($1:$99)),COLUMN(H183)+1)-SMALL(IF(ISERROR(SEARCH(MID(";"&amp;'CASE DATA'!$F184&amp;";",ROW($1:$99),1),";")),"",ROW($1:$99)),COLUMN(H183))-1)</f>
        <v/>
      </c>
      <c r="AD184" s="29" t="str">
        <f t="array" ref="AD184">MID(";"&amp;'CASE DATA'!$F184&amp;";",SMALL(IF(ISERROR(SEARCH(MID(";"&amp;'CASE DATA'!$F184&amp;";",ROW($1:$99),1),";")),"",ROW($1:$99)+1),COLUMN(I184)),SMALL(IF(ISERROR(SEARCH(MID(";"&amp;'CASE DATA'!$F184&amp;";",ROW($1:$99),1),";")),"",ROW($1:$99)),COLUMN(I183)+1)-SMALL(IF(ISERROR(SEARCH(MID(";"&amp;'CASE DATA'!$F184&amp;";",ROW($1:$99),1),";")),"",ROW($1:$99)),COLUMN(I183))-1)</f>
        <v/>
      </c>
      <c r="AE184" s="29" t="str">
        <f t="array" ref="AE184">MID(";"&amp;'CASE DATA'!$F184&amp;";",SMALL(IF(ISERROR(SEARCH(MID(";"&amp;'CASE DATA'!$F184&amp;";",ROW($1:$99),1),";")),"",ROW($1:$99)+1),COLUMN(J184)),SMALL(IF(ISERROR(SEARCH(MID(";"&amp;'CASE DATA'!$F184&amp;";",ROW($1:$99),1),";")),"",ROW($1:$99)),COLUMN(J183)+1)-SMALL(IF(ISERROR(SEARCH(MID(";"&amp;'CASE DATA'!$F184&amp;";",ROW($1:$99),1),";")),"",ROW($1:$99)),COLUMN(J183))-1)</f>
        <v/>
      </c>
      <c r="AF184" s="29" t="str">
        <f t="array" ref="AF184">MID(";"&amp;'CASE DATA'!$F184&amp;";",SMALL(IF(ISERROR(SEARCH(MID(";"&amp;'CASE DATA'!$F184&amp;";",ROW($1:$99),1),";")),"",ROW($1:$99)+1),COLUMN(K184)),SMALL(IF(ISERROR(SEARCH(MID(";"&amp;'CASE DATA'!$F184&amp;";",ROW($1:$99),1),";")),"",ROW($1:$99)),COLUMN(K183)+1)-SMALL(IF(ISERROR(SEARCH(MID(";"&amp;'CASE DATA'!$F184&amp;";",ROW($1:$99),1),";")),"",ROW($1:$99)),COLUMN(K183))-1)</f>
        <v/>
      </c>
      <c r="AG184" s="29" t="str">
        <f t="array" ref="AG184">MID(";"&amp;'CASE DATA'!$F184&amp;";",SMALL(IF(ISERROR(SEARCH(MID(";"&amp;'CASE DATA'!$F184&amp;";",ROW($1:$99),1),";")),"",ROW($1:$99)+1),COLUMN(L184)),SMALL(IF(ISERROR(SEARCH(MID(";"&amp;'CASE DATA'!$F184&amp;";",ROW($1:$99),1),";")),"",ROW($1:$99)),COLUMN(L183)+1)-SMALL(IF(ISERROR(SEARCH(MID(";"&amp;'CASE DATA'!$F184&amp;";",ROW($1:$99),1),";")),"",ROW($1:$99)),COLUMN(L183))-1)</f>
        <v/>
      </c>
      <c r="AH184" s="29"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24"/>
      <c r="D185" s="24"/>
      <c r="E185" s="25"/>
      <c r="F185" s="30"/>
      <c r="J185" s="31"/>
      <c r="K185" s="31"/>
      <c r="L185" s="31"/>
      <c r="M185" s="31"/>
      <c r="N185" s="31"/>
      <c r="O185" s="31"/>
      <c r="P185" s="31"/>
      <c r="Q185" s="31"/>
      <c r="R185" s="31"/>
      <c r="S185" s="31"/>
      <c r="T185" s="28">
        <f t="shared" si="3"/>
        <v>0</v>
      </c>
      <c r="U185" s="28"/>
      <c r="W185" s="29" t="str">
        <f t="array" ref="W185">MID(";"&amp;'CASE DATA'!$F185&amp;";",SMALL(IF(ISERROR(SEARCH(MID(";"&amp;'CASE DATA'!$F185&amp;";",ROW($1:$99),1),";")),"",ROW($1:$99)+1),COLUMN(A185)),SMALL(IF(ISERROR(SEARCH(MID(";"&amp;'CASE DATA'!$F185&amp;";",ROW($1:$99),1),";")),"",ROW($1:$99)),COLUMN(A184)+1)-SMALL(IF(ISERROR(SEARCH(MID(";"&amp;'CASE DATA'!$F185&amp;";",ROW($1:$99),1),";")),"",ROW($1:$99)),COLUMN(A184))-1)</f>
        <v/>
      </c>
      <c r="X185" s="29" t="str">
        <f t="array" ref="X185">MID(";"&amp;'CASE DATA'!$F185&amp;";",SMALL(IF(ISERROR(SEARCH(MID(";"&amp;'CASE DATA'!$F185&amp;";",ROW($1:$99),1),";")),"",ROW($1:$99)+1),COLUMN(B185)),SMALL(IF(ISERROR(SEARCH(MID(";"&amp;'CASE DATA'!$F185&amp;";",ROW($1:$99),1),";")),"",ROW($1:$99)),COLUMN(B184)+1)-SMALL(IF(ISERROR(SEARCH(MID(";"&amp;'CASE DATA'!$F185&amp;";",ROW($1:$99),1),";")),"",ROW($1:$99)),COLUMN(B184))-1)</f>
        <v/>
      </c>
      <c r="Y185" s="29" t="str">
        <f t="array" ref="Y185">MID(";"&amp;'CASE DATA'!$F185&amp;";",SMALL(IF(ISERROR(SEARCH(MID(";"&amp;'CASE DATA'!$F185&amp;";",ROW($1:$99),1),";")),"",ROW($1:$99)+1),COLUMN(D185)),SMALL(IF(ISERROR(SEARCH(MID(";"&amp;'CASE DATA'!$F185&amp;";",ROW($1:$99),1),";")),"",ROW($1:$99)),COLUMN(D184)+1)-SMALL(IF(ISERROR(SEARCH(MID(";"&amp;'CASE DATA'!$F185&amp;";",ROW($1:$99),1),";")),"",ROW($1:$99)),COLUMN(D184))-1)</f>
        <v/>
      </c>
      <c r="Z185" s="29" t="str">
        <f t="array" ref="Z185">MID(";"&amp;'CASE DATA'!$F185&amp;";",SMALL(IF(ISERROR(SEARCH(MID(";"&amp;'CASE DATA'!$F185&amp;";",ROW($1:$99),1),";")),"",ROW($1:$99)+1),COLUMN(E185)),SMALL(IF(ISERROR(SEARCH(MID(";"&amp;'CASE DATA'!$F185&amp;";",ROW($1:$99),1),";")),"",ROW($1:$99)),COLUMN(E184)+1)-SMALL(IF(ISERROR(SEARCH(MID(";"&amp;'CASE DATA'!$F185&amp;";",ROW($1:$99),1),";")),"",ROW($1:$99)),COLUMN(E184))-1)</f>
        <v/>
      </c>
      <c r="AA185" s="29" t="str">
        <f t="array" ref="AA185">MID(";"&amp;'CASE DATA'!$F185&amp;";",SMALL(IF(ISERROR(SEARCH(MID(";"&amp;'CASE DATA'!$F185&amp;";",ROW($1:$99),1),";")),"",ROW($1:$99)+1),COLUMN(F185)),SMALL(IF(ISERROR(SEARCH(MID(";"&amp;'CASE DATA'!$F185&amp;";",ROW($1:$99),1),";")),"",ROW($1:$99)),COLUMN(F184)+1)-SMALL(IF(ISERROR(SEARCH(MID(";"&amp;'CASE DATA'!$F185&amp;";",ROW($1:$99),1),";")),"",ROW($1:$99)),COLUMN(F184))-1)</f>
        <v/>
      </c>
      <c r="AB185" s="29" t="str">
        <f t="array" ref="AB185">MID(";"&amp;'CASE DATA'!$F185&amp;";",SMALL(IF(ISERROR(SEARCH(MID(";"&amp;'CASE DATA'!$F185&amp;";",ROW($1:$99),1),";")),"",ROW($1:$99)+1),COLUMN(G185)),SMALL(IF(ISERROR(SEARCH(MID(";"&amp;'CASE DATA'!$F185&amp;";",ROW($1:$99),1),";")),"",ROW($1:$99)),COLUMN(G184)+1)-SMALL(IF(ISERROR(SEARCH(MID(";"&amp;'CASE DATA'!$F185&amp;";",ROW($1:$99),1),";")),"",ROW($1:$99)),COLUMN(G184))-1)</f>
        <v/>
      </c>
      <c r="AC185" s="29" t="str">
        <f t="array" ref="AC185">MID(";"&amp;'CASE DATA'!$F185&amp;";",SMALL(IF(ISERROR(SEARCH(MID(";"&amp;'CASE DATA'!$F185&amp;";",ROW($1:$99),1),";")),"",ROW($1:$99)+1),COLUMN(H185)),SMALL(IF(ISERROR(SEARCH(MID(";"&amp;'CASE DATA'!$F185&amp;";",ROW($1:$99),1),";")),"",ROW($1:$99)),COLUMN(H184)+1)-SMALL(IF(ISERROR(SEARCH(MID(";"&amp;'CASE DATA'!$F185&amp;";",ROW($1:$99),1),";")),"",ROW($1:$99)),COLUMN(H184))-1)</f>
        <v/>
      </c>
      <c r="AD185" s="29" t="str">
        <f t="array" ref="AD185">MID(";"&amp;'CASE DATA'!$F185&amp;";",SMALL(IF(ISERROR(SEARCH(MID(";"&amp;'CASE DATA'!$F185&amp;";",ROW($1:$99),1),";")),"",ROW($1:$99)+1),COLUMN(I185)),SMALL(IF(ISERROR(SEARCH(MID(";"&amp;'CASE DATA'!$F185&amp;";",ROW($1:$99),1),";")),"",ROW($1:$99)),COLUMN(I184)+1)-SMALL(IF(ISERROR(SEARCH(MID(";"&amp;'CASE DATA'!$F185&amp;";",ROW($1:$99),1),";")),"",ROW($1:$99)),COLUMN(I184))-1)</f>
        <v/>
      </c>
      <c r="AE185" s="29" t="str">
        <f t="array" ref="AE185">MID(";"&amp;'CASE DATA'!$F185&amp;";",SMALL(IF(ISERROR(SEARCH(MID(";"&amp;'CASE DATA'!$F185&amp;";",ROW($1:$99),1),";")),"",ROW($1:$99)+1),COLUMN(J185)),SMALL(IF(ISERROR(SEARCH(MID(";"&amp;'CASE DATA'!$F185&amp;";",ROW($1:$99),1),";")),"",ROW($1:$99)),COLUMN(J184)+1)-SMALL(IF(ISERROR(SEARCH(MID(";"&amp;'CASE DATA'!$F185&amp;";",ROW($1:$99),1),";")),"",ROW($1:$99)),COLUMN(J184))-1)</f>
        <v/>
      </c>
      <c r="AF185" s="29" t="str">
        <f t="array" ref="AF185">MID(";"&amp;'CASE DATA'!$F185&amp;";",SMALL(IF(ISERROR(SEARCH(MID(";"&amp;'CASE DATA'!$F185&amp;";",ROW($1:$99),1),";")),"",ROW($1:$99)+1),COLUMN(K185)),SMALL(IF(ISERROR(SEARCH(MID(";"&amp;'CASE DATA'!$F185&amp;";",ROW($1:$99),1),";")),"",ROW($1:$99)),COLUMN(K184)+1)-SMALL(IF(ISERROR(SEARCH(MID(";"&amp;'CASE DATA'!$F185&amp;";",ROW($1:$99),1),";")),"",ROW($1:$99)),COLUMN(K184))-1)</f>
        <v/>
      </c>
      <c r="AG185" s="29" t="str">
        <f t="array" ref="AG185">MID(";"&amp;'CASE DATA'!$F185&amp;";",SMALL(IF(ISERROR(SEARCH(MID(";"&amp;'CASE DATA'!$F185&amp;";",ROW($1:$99),1),";")),"",ROW($1:$99)+1),COLUMN(L185)),SMALL(IF(ISERROR(SEARCH(MID(";"&amp;'CASE DATA'!$F185&amp;";",ROW($1:$99),1),";")),"",ROW($1:$99)),COLUMN(L184)+1)-SMALL(IF(ISERROR(SEARCH(MID(";"&amp;'CASE DATA'!$F185&amp;";",ROW($1:$99),1),";")),"",ROW($1:$99)),COLUMN(L184))-1)</f>
        <v/>
      </c>
      <c r="AH185" s="29"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24"/>
      <c r="D186" s="24"/>
      <c r="E186" s="25"/>
      <c r="F186" s="30"/>
      <c r="J186" s="31"/>
      <c r="K186" s="31"/>
      <c r="L186" s="31"/>
      <c r="M186" s="31"/>
      <c r="N186" s="31"/>
      <c r="O186" s="31"/>
      <c r="P186" s="31"/>
      <c r="Q186" s="31"/>
      <c r="R186" s="31"/>
      <c r="S186" s="31"/>
      <c r="T186" s="28">
        <f t="shared" si="3"/>
        <v>0</v>
      </c>
      <c r="U186" s="28"/>
      <c r="W186" s="29" t="str">
        <f t="array" ref="W186">MID(";"&amp;'CASE DATA'!$F186&amp;";",SMALL(IF(ISERROR(SEARCH(MID(";"&amp;'CASE DATA'!$F186&amp;";",ROW($1:$99),1),";")),"",ROW($1:$99)+1),COLUMN(A186)),SMALL(IF(ISERROR(SEARCH(MID(";"&amp;'CASE DATA'!$F186&amp;";",ROW($1:$99),1),";")),"",ROW($1:$99)),COLUMN(A185)+1)-SMALL(IF(ISERROR(SEARCH(MID(";"&amp;'CASE DATA'!$F186&amp;";",ROW($1:$99),1),";")),"",ROW($1:$99)),COLUMN(A185))-1)</f>
        <v/>
      </c>
      <c r="X186" s="29" t="str">
        <f t="array" ref="X186">MID(";"&amp;'CASE DATA'!$F186&amp;";",SMALL(IF(ISERROR(SEARCH(MID(";"&amp;'CASE DATA'!$F186&amp;";",ROW($1:$99),1),";")),"",ROW($1:$99)+1),COLUMN(B186)),SMALL(IF(ISERROR(SEARCH(MID(";"&amp;'CASE DATA'!$F186&amp;";",ROW($1:$99),1),";")),"",ROW($1:$99)),COLUMN(B185)+1)-SMALL(IF(ISERROR(SEARCH(MID(";"&amp;'CASE DATA'!$F186&amp;";",ROW($1:$99),1),";")),"",ROW($1:$99)),COLUMN(B185))-1)</f>
        <v/>
      </c>
      <c r="Y186" s="29" t="str">
        <f t="array" ref="Y186">MID(";"&amp;'CASE DATA'!$F186&amp;";",SMALL(IF(ISERROR(SEARCH(MID(";"&amp;'CASE DATA'!$F186&amp;";",ROW($1:$99),1),";")),"",ROW($1:$99)+1),COLUMN(D186)),SMALL(IF(ISERROR(SEARCH(MID(";"&amp;'CASE DATA'!$F186&amp;";",ROW($1:$99),1),";")),"",ROW($1:$99)),COLUMN(D185)+1)-SMALL(IF(ISERROR(SEARCH(MID(";"&amp;'CASE DATA'!$F186&amp;";",ROW($1:$99),1),";")),"",ROW($1:$99)),COLUMN(D185))-1)</f>
        <v/>
      </c>
      <c r="Z186" s="29" t="str">
        <f t="array" ref="Z186">MID(";"&amp;'CASE DATA'!$F186&amp;";",SMALL(IF(ISERROR(SEARCH(MID(";"&amp;'CASE DATA'!$F186&amp;";",ROW($1:$99),1),";")),"",ROW($1:$99)+1),COLUMN(E186)),SMALL(IF(ISERROR(SEARCH(MID(";"&amp;'CASE DATA'!$F186&amp;";",ROW($1:$99),1),";")),"",ROW($1:$99)),COLUMN(E185)+1)-SMALL(IF(ISERROR(SEARCH(MID(";"&amp;'CASE DATA'!$F186&amp;";",ROW($1:$99),1),";")),"",ROW($1:$99)),COLUMN(E185))-1)</f>
        <v/>
      </c>
      <c r="AA186" s="29" t="str">
        <f t="array" ref="AA186">MID(";"&amp;'CASE DATA'!$F186&amp;";",SMALL(IF(ISERROR(SEARCH(MID(";"&amp;'CASE DATA'!$F186&amp;";",ROW($1:$99),1),";")),"",ROW($1:$99)+1),COLUMN(F186)),SMALL(IF(ISERROR(SEARCH(MID(";"&amp;'CASE DATA'!$F186&amp;";",ROW($1:$99),1),";")),"",ROW($1:$99)),COLUMN(F185)+1)-SMALL(IF(ISERROR(SEARCH(MID(";"&amp;'CASE DATA'!$F186&amp;";",ROW($1:$99),1),";")),"",ROW($1:$99)),COLUMN(F185))-1)</f>
        <v/>
      </c>
      <c r="AB186" s="29" t="str">
        <f t="array" ref="AB186">MID(";"&amp;'CASE DATA'!$F186&amp;";",SMALL(IF(ISERROR(SEARCH(MID(";"&amp;'CASE DATA'!$F186&amp;";",ROW($1:$99),1),";")),"",ROW($1:$99)+1),COLUMN(G186)),SMALL(IF(ISERROR(SEARCH(MID(";"&amp;'CASE DATA'!$F186&amp;";",ROW($1:$99),1),";")),"",ROW($1:$99)),COLUMN(G185)+1)-SMALL(IF(ISERROR(SEARCH(MID(";"&amp;'CASE DATA'!$F186&amp;";",ROW($1:$99),1),";")),"",ROW($1:$99)),COLUMN(G185))-1)</f>
        <v/>
      </c>
      <c r="AC186" s="29" t="str">
        <f t="array" ref="AC186">MID(";"&amp;'CASE DATA'!$F186&amp;";",SMALL(IF(ISERROR(SEARCH(MID(";"&amp;'CASE DATA'!$F186&amp;";",ROW($1:$99),1),";")),"",ROW($1:$99)+1),COLUMN(H186)),SMALL(IF(ISERROR(SEARCH(MID(";"&amp;'CASE DATA'!$F186&amp;";",ROW($1:$99),1),";")),"",ROW($1:$99)),COLUMN(H185)+1)-SMALL(IF(ISERROR(SEARCH(MID(";"&amp;'CASE DATA'!$F186&amp;";",ROW($1:$99),1),";")),"",ROW($1:$99)),COLUMN(H185))-1)</f>
        <v/>
      </c>
      <c r="AD186" s="29" t="str">
        <f t="array" ref="AD186">MID(";"&amp;'CASE DATA'!$F186&amp;";",SMALL(IF(ISERROR(SEARCH(MID(";"&amp;'CASE DATA'!$F186&amp;";",ROW($1:$99),1),";")),"",ROW($1:$99)+1),COLUMN(I186)),SMALL(IF(ISERROR(SEARCH(MID(";"&amp;'CASE DATA'!$F186&amp;";",ROW($1:$99),1),";")),"",ROW($1:$99)),COLUMN(I185)+1)-SMALL(IF(ISERROR(SEARCH(MID(";"&amp;'CASE DATA'!$F186&amp;";",ROW($1:$99),1),";")),"",ROW($1:$99)),COLUMN(I185))-1)</f>
        <v/>
      </c>
      <c r="AE186" s="29" t="str">
        <f t="array" ref="AE186">MID(";"&amp;'CASE DATA'!$F186&amp;";",SMALL(IF(ISERROR(SEARCH(MID(";"&amp;'CASE DATA'!$F186&amp;";",ROW($1:$99),1),";")),"",ROW($1:$99)+1),COLUMN(J186)),SMALL(IF(ISERROR(SEARCH(MID(";"&amp;'CASE DATA'!$F186&amp;";",ROW($1:$99),1),";")),"",ROW($1:$99)),COLUMN(J185)+1)-SMALL(IF(ISERROR(SEARCH(MID(";"&amp;'CASE DATA'!$F186&amp;";",ROW($1:$99),1),";")),"",ROW($1:$99)),COLUMN(J185))-1)</f>
        <v/>
      </c>
      <c r="AF186" s="29" t="str">
        <f t="array" ref="AF186">MID(";"&amp;'CASE DATA'!$F186&amp;";",SMALL(IF(ISERROR(SEARCH(MID(";"&amp;'CASE DATA'!$F186&amp;";",ROW($1:$99),1),";")),"",ROW($1:$99)+1),COLUMN(K186)),SMALL(IF(ISERROR(SEARCH(MID(";"&amp;'CASE DATA'!$F186&amp;";",ROW($1:$99),1),";")),"",ROW($1:$99)),COLUMN(K185)+1)-SMALL(IF(ISERROR(SEARCH(MID(";"&amp;'CASE DATA'!$F186&amp;";",ROW($1:$99),1),";")),"",ROW($1:$99)),COLUMN(K185))-1)</f>
        <v/>
      </c>
      <c r="AG186" s="29" t="str">
        <f t="array" ref="AG186">MID(";"&amp;'CASE DATA'!$F186&amp;";",SMALL(IF(ISERROR(SEARCH(MID(";"&amp;'CASE DATA'!$F186&amp;";",ROW($1:$99),1),";")),"",ROW($1:$99)+1),COLUMN(L186)),SMALL(IF(ISERROR(SEARCH(MID(";"&amp;'CASE DATA'!$F186&amp;";",ROW($1:$99),1),";")),"",ROW($1:$99)),COLUMN(L185)+1)-SMALL(IF(ISERROR(SEARCH(MID(";"&amp;'CASE DATA'!$F186&amp;";",ROW($1:$99),1),";")),"",ROW($1:$99)),COLUMN(L185))-1)</f>
        <v/>
      </c>
      <c r="AH186" s="29"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24"/>
      <c r="D187" s="24"/>
      <c r="E187" s="25"/>
      <c r="F187" s="30"/>
      <c r="J187" s="31"/>
      <c r="K187" s="31"/>
      <c r="L187" s="31"/>
      <c r="M187" s="31"/>
      <c r="N187" s="31"/>
      <c r="O187" s="31"/>
      <c r="P187" s="31"/>
      <c r="Q187" s="31"/>
      <c r="R187" s="31"/>
      <c r="S187" s="31"/>
      <c r="T187" s="28">
        <f t="shared" si="3"/>
        <v>0</v>
      </c>
      <c r="U187" s="28"/>
      <c r="W187" s="29" t="str">
        <f t="array" ref="W187">MID(";"&amp;'CASE DATA'!$F187&amp;";",SMALL(IF(ISERROR(SEARCH(MID(";"&amp;'CASE DATA'!$F187&amp;";",ROW($1:$99),1),";")),"",ROW($1:$99)+1),COLUMN(A187)),SMALL(IF(ISERROR(SEARCH(MID(";"&amp;'CASE DATA'!$F187&amp;";",ROW($1:$99),1),";")),"",ROW($1:$99)),COLUMN(A186)+1)-SMALL(IF(ISERROR(SEARCH(MID(";"&amp;'CASE DATA'!$F187&amp;";",ROW($1:$99),1),";")),"",ROW($1:$99)),COLUMN(A186))-1)</f>
        <v/>
      </c>
      <c r="X187" s="29" t="str">
        <f t="array" ref="X187">MID(";"&amp;'CASE DATA'!$F187&amp;";",SMALL(IF(ISERROR(SEARCH(MID(";"&amp;'CASE DATA'!$F187&amp;";",ROW($1:$99),1),";")),"",ROW($1:$99)+1),COLUMN(B187)),SMALL(IF(ISERROR(SEARCH(MID(";"&amp;'CASE DATA'!$F187&amp;";",ROW($1:$99),1),";")),"",ROW($1:$99)),COLUMN(B186)+1)-SMALL(IF(ISERROR(SEARCH(MID(";"&amp;'CASE DATA'!$F187&amp;";",ROW($1:$99),1),";")),"",ROW($1:$99)),COLUMN(B186))-1)</f>
        <v/>
      </c>
      <c r="Y187" s="29" t="str">
        <f t="array" ref="Y187">MID(";"&amp;'CASE DATA'!$F187&amp;";",SMALL(IF(ISERROR(SEARCH(MID(";"&amp;'CASE DATA'!$F187&amp;";",ROW($1:$99),1),";")),"",ROW($1:$99)+1),COLUMN(D187)),SMALL(IF(ISERROR(SEARCH(MID(";"&amp;'CASE DATA'!$F187&amp;";",ROW($1:$99),1),";")),"",ROW($1:$99)),COLUMN(D186)+1)-SMALL(IF(ISERROR(SEARCH(MID(";"&amp;'CASE DATA'!$F187&amp;";",ROW($1:$99),1),";")),"",ROW($1:$99)),COLUMN(D186))-1)</f>
        <v/>
      </c>
      <c r="Z187" s="29" t="str">
        <f t="array" ref="Z187">MID(";"&amp;'CASE DATA'!$F187&amp;";",SMALL(IF(ISERROR(SEARCH(MID(";"&amp;'CASE DATA'!$F187&amp;";",ROW($1:$99),1),";")),"",ROW($1:$99)+1),COLUMN(E187)),SMALL(IF(ISERROR(SEARCH(MID(";"&amp;'CASE DATA'!$F187&amp;";",ROW($1:$99),1),";")),"",ROW($1:$99)),COLUMN(E186)+1)-SMALL(IF(ISERROR(SEARCH(MID(";"&amp;'CASE DATA'!$F187&amp;";",ROW($1:$99),1),";")),"",ROW($1:$99)),COLUMN(E186))-1)</f>
        <v/>
      </c>
      <c r="AA187" s="29" t="str">
        <f t="array" ref="AA187">MID(";"&amp;'CASE DATA'!$F187&amp;";",SMALL(IF(ISERROR(SEARCH(MID(";"&amp;'CASE DATA'!$F187&amp;";",ROW($1:$99),1),";")),"",ROW($1:$99)+1),COLUMN(F187)),SMALL(IF(ISERROR(SEARCH(MID(";"&amp;'CASE DATA'!$F187&amp;";",ROW($1:$99),1),";")),"",ROW($1:$99)),COLUMN(F186)+1)-SMALL(IF(ISERROR(SEARCH(MID(";"&amp;'CASE DATA'!$F187&amp;";",ROW($1:$99),1),";")),"",ROW($1:$99)),COLUMN(F186))-1)</f>
        <v/>
      </c>
      <c r="AB187" s="29" t="str">
        <f t="array" ref="AB187">MID(";"&amp;'CASE DATA'!$F187&amp;";",SMALL(IF(ISERROR(SEARCH(MID(";"&amp;'CASE DATA'!$F187&amp;";",ROW($1:$99),1),";")),"",ROW($1:$99)+1),COLUMN(G187)),SMALL(IF(ISERROR(SEARCH(MID(";"&amp;'CASE DATA'!$F187&amp;";",ROW($1:$99),1),";")),"",ROW($1:$99)),COLUMN(G186)+1)-SMALL(IF(ISERROR(SEARCH(MID(";"&amp;'CASE DATA'!$F187&amp;";",ROW($1:$99),1),";")),"",ROW($1:$99)),COLUMN(G186))-1)</f>
        <v/>
      </c>
      <c r="AC187" s="29" t="str">
        <f t="array" ref="AC187">MID(";"&amp;'CASE DATA'!$F187&amp;";",SMALL(IF(ISERROR(SEARCH(MID(";"&amp;'CASE DATA'!$F187&amp;";",ROW($1:$99),1),";")),"",ROW($1:$99)+1),COLUMN(H187)),SMALL(IF(ISERROR(SEARCH(MID(";"&amp;'CASE DATA'!$F187&amp;";",ROW($1:$99),1),";")),"",ROW($1:$99)),COLUMN(H186)+1)-SMALL(IF(ISERROR(SEARCH(MID(";"&amp;'CASE DATA'!$F187&amp;";",ROW($1:$99),1),";")),"",ROW($1:$99)),COLUMN(H186))-1)</f>
        <v/>
      </c>
      <c r="AD187" s="29" t="str">
        <f t="array" ref="AD187">MID(";"&amp;'CASE DATA'!$F187&amp;";",SMALL(IF(ISERROR(SEARCH(MID(";"&amp;'CASE DATA'!$F187&amp;";",ROW($1:$99),1),";")),"",ROW($1:$99)+1),COLUMN(I187)),SMALL(IF(ISERROR(SEARCH(MID(";"&amp;'CASE DATA'!$F187&amp;";",ROW($1:$99),1),";")),"",ROW($1:$99)),COLUMN(I186)+1)-SMALL(IF(ISERROR(SEARCH(MID(";"&amp;'CASE DATA'!$F187&amp;";",ROW($1:$99),1),";")),"",ROW($1:$99)),COLUMN(I186))-1)</f>
        <v/>
      </c>
      <c r="AE187" s="29" t="str">
        <f t="array" ref="AE187">MID(";"&amp;'CASE DATA'!$F187&amp;";",SMALL(IF(ISERROR(SEARCH(MID(";"&amp;'CASE DATA'!$F187&amp;";",ROW($1:$99),1),";")),"",ROW($1:$99)+1),COLUMN(J187)),SMALL(IF(ISERROR(SEARCH(MID(";"&amp;'CASE DATA'!$F187&amp;";",ROW($1:$99),1),";")),"",ROW($1:$99)),COLUMN(J186)+1)-SMALL(IF(ISERROR(SEARCH(MID(";"&amp;'CASE DATA'!$F187&amp;";",ROW($1:$99),1),";")),"",ROW($1:$99)),COLUMN(J186))-1)</f>
        <v/>
      </c>
      <c r="AF187" s="29" t="str">
        <f t="array" ref="AF187">MID(";"&amp;'CASE DATA'!$F187&amp;";",SMALL(IF(ISERROR(SEARCH(MID(";"&amp;'CASE DATA'!$F187&amp;";",ROW($1:$99),1),";")),"",ROW($1:$99)+1),COLUMN(K187)),SMALL(IF(ISERROR(SEARCH(MID(";"&amp;'CASE DATA'!$F187&amp;";",ROW($1:$99),1),";")),"",ROW($1:$99)),COLUMN(K186)+1)-SMALL(IF(ISERROR(SEARCH(MID(";"&amp;'CASE DATA'!$F187&amp;";",ROW($1:$99),1),";")),"",ROW($1:$99)),COLUMN(K186))-1)</f>
        <v/>
      </c>
      <c r="AG187" s="29" t="str">
        <f t="array" ref="AG187">MID(";"&amp;'CASE DATA'!$F187&amp;";",SMALL(IF(ISERROR(SEARCH(MID(";"&amp;'CASE DATA'!$F187&amp;";",ROW($1:$99),1),";")),"",ROW($1:$99)+1),COLUMN(L187)),SMALL(IF(ISERROR(SEARCH(MID(";"&amp;'CASE DATA'!$F187&amp;";",ROW($1:$99),1),";")),"",ROW($1:$99)),COLUMN(L186)+1)-SMALL(IF(ISERROR(SEARCH(MID(";"&amp;'CASE DATA'!$F187&amp;";",ROW($1:$99),1),";")),"",ROW($1:$99)),COLUMN(L186))-1)</f>
        <v/>
      </c>
      <c r="AH187" s="29"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24"/>
      <c r="D188" s="24"/>
      <c r="E188" s="25"/>
      <c r="F188" s="30"/>
      <c r="J188" s="31"/>
      <c r="K188" s="31"/>
      <c r="L188" s="31"/>
      <c r="M188" s="31"/>
      <c r="N188" s="31"/>
      <c r="O188" s="31"/>
      <c r="P188" s="31"/>
      <c r="Q188" s="31"/>
      <c r="R188" s="31"/>
      <c r="S188" s="31"/>
      <c r="T188" s="28">
        <f t="shared" si="3"/>
        <v>0</v>
      </c>
      <c r="U188" s="28"/>
      <c r="W188" s="29" t="str">
        <f t="array" ref="W188">MID(";"&amp;'CASE DATA'!$F188&amp;";",SMALL(IF(ISERROR(SEARCH(MID(";"&amp;'CASE DATA'!$F188&amp;";",ROW($1:$99),1),";")),"",ROW($1:$99)+1),COLUMN(A188)),SMALL(IF(ISERROR(SEARCH(MID(";"&amp;'CASE DATA'!$F188&amp;";",ROW($1:$99),1),";")),"",ROW($1:$99)),COLUMN(A187)+1)-SMALL(IF(ISERROR(SEARCH(MID(";"&amp;'CASE DATA'!$F188&amp;";",ROW($1:$99),1),";")),"",ROW($1:$99)),COLUMN(A187))-1)</f>
        <v/>
      </c>
      <c r="X188" s="29" t="str">
        <f t="array" ref="X188">MID(";"&amp;'CASE DATA'!$F188&amp;";",SMALL(IF(ISERROR(SEARCH(MID(";"&amp;'CASE DATA'!$F188&amp;";",ROW($1:$99),1),";")),"",ROW($1:$99)+1),COLUMN(B188)),SMALL(IF(ISERROR(SEARCH(MID(";"&amp;'CASE DATA'!$F188&amp;";",ROW($1:$99),1),";")),"",ROW($1:$99)),COLUMN(B187)+1)-SMALL(IF(ISERROR(SEARCH(MID(";"&amp;'CASE DATA'!$F188&amp;";",ROW($1:$99),1),";")),"",ROW($1:$99)),COLUMN(B187))-1)</f>
        <v/>
      </c>
      <c r="Y188" s="29" t="str">
        <f t="array" ref="Y188">MID(";"&amp;'CASE DATA'!$F188&amp;";",SMALL(IF(ISERROR(SEARCH(MID(";"&amp;'CASE DATA'!$F188&amp;";",ROW($1:$99),1),";")),"",ROW($1:$99)+1),COLUMN(D188)),SMALL(IF(ISERROR(SEARCH(MID(";"&amp;'CASE DATA'!$F188&amp;";",ROW($1:$99),1),";")),"",ROW($1:$99)),COLUMN(D187)+1)-SMALL(IF(ISERROR(SEARCH(MID(";"&amp;'CASE DATA'!$F188&amp;";",ROW($1:$99),1),";")),"",ROW($1:$99)),COLUMN(D187))-1)</f>
        <v/>
      </c>
      <c r="Z188" s="29" t="str">
        <f t="array" ref="Z188">MID(";"&amp;'CASE DATA'!$F188&amp;";",SMALL(IF(ISERROR(SEARCH(MID(";"&amp;'CASE DATA'!$F188&amp;";",ROW($1:$99),1),";")),"",ROW($1:$99)+1),COLUMN(E188)),SMALL(IF(ISERROR(SEARCH(MID(";"&amp;'CASE DATA'!$F188&amp;";",ROW($1:$99),1),";")),"",ROW($1:$99)),COLUMN(E187)+1)-SMALL(IF(ISERROR(SEARCH(MID(";"&amp;'CASE DATA'!$F188&amp;";",ROW($1:$99),1),";")),"",ROW($1:$99)),COLUMN(E187))-1)</f>
        <v/>
      </c>
      <c r="AA188" s="29" t="str">
        <f t="array" ref="AA188">MID(";"&amp;'CASE DATA'!$F188&amp;";",SMALL(IF(ISERROR(SEARCH(MID(";"&amp;'CASE DATA'!$F188&amp;";",ROW($1:$99),1),";")),"",ROW($1:$99)+1),COLUMN(F188)),SMALL(IF(ISERROR(SEARCH(MID(";"&amp;'CASE DATA'!$F188&amp;";",ROW($1:$99),1),";")),"",ROW($1:$99)),COLUMN(F187)+1)-SMALL(IF(ISERROR(SEARCH(MID(";"&amp;'CASE DATA'!$F188&amp;";",ROW($1:$99),1),";")),"",ROW($1:$99)),COLUMN(F187))-1)</f>
        <v/>
      </c>
      <c r="AB188" s="29" t="str">
        <f t="array" ref="AB188">MID(";"&amp;'CASE DATA'!$F188&amp;";",SMALL(IF(ISERROR(SEARCH(MID(";"&amp;'CASE DATA'!$F188&amp;";",ROW($1:$99),1),";")),"",ROW($1:$99)+1),COLUMN(G188)),SMALL(IF(ISERROR(SEARCH(MID(";"&amp;'CASE DATA'!$F188&amp;";",ROW($1:$99),1),";")),"",ROW($1:$99)),COLUMN(G187)+1)-SMALL(IF(ISERROR(SEARCH(MID(";"&amp;'CASE DATA'!$F188&amp;";",ROW($1:$99),1),";")),"",ROW($1:$99)),COLUMN(G187))-1)</f>
        <v/>
      </c>
      <c r="AC188" s="29" t="str">
        <f t="array" ref="AC188">MID(";"&amp;'CASE DATA'!$F188&amp;";",SMALL(IF(ISERROR(SEARCH(MID(";"&amp;'CASE DATA'!$F188&amp;";",ROW($1:$99),1),";")),"",ROW($1:$99)+1),COLUMN(H188)),SMALL(IF(ISERROR(SEARCH(MID(";"&amp;'CASE DATA'!$F188&amp;";",ROW($1:$99),1),";")),"",ROW($1:$99)),COLUMN(H187)+1)-SMALL(IF(ISERROR(SEARCH(MID(";"&amp;'CASE DATA'!$F188&amp;";",ROW($1:$99),1),";")),"",ROW($1:$99)),COLUMN(H187))-1)</f>
        <v/>
      </c>
      <c r="AD188" s="29" t="str">
        <f t="array" ref="AD188">MID(";"&amp;'CASE DATA'!$F188&amp;";",SMALL(IF(ISERROR(SEARCH(MID(";"&amp;'CASE DATA'!$F188&amp;";",ROW($1:$99),1),";")),"",ROW($1:$99)+1),COLUMN(I188)),SMALL(IF(ISERROR(SEARCH(MID(";"&amp;'CASE DATA'!$F188&amp;";",ROW($1:$99),1),";")),"",ROW($1:$99)),COLUMN(I187)+1)-SMALL(IF(ISERROR(SEARCH(MID(";"&amp;'CASE DATA'!$F188&amp;";",ROW($1:$99),1),";")),"",ROW($1:$99)),COLUMN(I187))-1)</f>
        <v/>
      </c>
      <c r="AE188" s="29" t="str">
        <f t="array" ref="AE188">MID(";"&amp;'CASE DATA'!$F188&amp;";",SMALL(IF(ISERROR(SEARCH(MID(";"&amp;'CASE DATA'!$F188&amp;";",ROW($1:$99),1),";")),"",ROW($1:$99)+1),COLUMN(J188)),SMALL(IF(ISERROR(SEARCH(MID(";"&amp;'CASE DATA'!$F188&amp;";",ROW($1:$99),1),";")),"",ROW($1:$99)),COLUMN(J187)+1)-SMALL(IF(ISERROR(SEARCH(MID(";"&amp;'CASE DATA'!$F188&amp;";",ROW($1:$99),1),";")),"",ROW($1:$99)),COLUMN(J187))-1)</f>
        <v/>
      </c>
      <c r="AF188" s="29" t="str">
        <f t="array" ref="AF188">MID(";"&amp;'CASE DATA'!$F188&amp;";",SMALL(IF(ISERROR(SEARCH(MID(";"&amp;'CASE DATA'!$F188&amp;";",ROW($1:$99),1),";")),"",ROW($1:$99)+1),COLUMN(K188)),SMALL(IF(ISERROR(SEARCH(MID(";"&amp;'CASE DATA'!$F188&amp;";",ROW($1:$99),1),";")),"",ROW($1:$99)),COLUMN(K187)+1)-SMALL(IF(ISERROR(SEARCH(MID(";"&amp;'CASE DATA'!$F188&amp;";",ROW($1:$99),1),";")),"",ROW($1:$99)),COLUMN(K187))-1)</f>
        <v/>
      </c>
      <c r="AG188" s="29" t="str">
        <f t="array" ref="AG188">MID(";"&amp;'CASE DATA'!$F188&amp;";",SMALL(IF(ISERROR(SEARCH(MID(";"&amp;'CASE DATA'!$F188&amp;";",ROW($1:$99),1),";")),"",ROW($1:$99)+1),COLUMN(L188)),SMALL(IF(ISERROR(SEARCH(MID(";"&amp;'CASE DATA'!$F188&amp;";",ROW($1:$99),1),";")),"",ROW($1:$99)),COLUMN(L187)+1)-SMALL(IF(ISERROR(SEARCH(MID(";"&amp;'CASE DATA'!$F188&amp;";",ROW($1:$99),1),";")),"",ROW($1:$99)),COLUMN(L187))-1)</f>
        <v/>
      </c>
      <c r="AH188" s="29"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24"/>
      <c r="D189" s="24"/>
      <c r="E189" s="25"/>
      <c r="F189" s="30"/>
      <c r="J189" s="31"/>
      <c r="K189" s="31"/>
      <c r="L189" s="31"/>
      <c r="M189" s="31"/>
      <c r="N189" s="31"/>
      <c r="O189" s="31"/>
      <c r="P189" s="31"/>
      <c r="Q189" s="31"/>
      <c r="R189" s="31"/>
      <c r="S189" s="31"/>
      <c r="T189" s="28">
        <f t="shared" si="3"/>
        <v>0</v>
      </c>
      <c r="U189" s="28"/>
      <c r="W189" s="29" t="str">
        <f t="array" ref="W189">MID(";"&amp;'CASE DATA'!$F189&amp;";",SMALL(IF(ISERROR(SEARCH(MID(";"&amp;'CASE DATA'!$F189&amp;";",ROW($1:$99),1),";")),"",ROW($1:$99)+1),COLUMN(A189)),SMALL(IF(ISERROR(SEARCH(MID(";"&amp;'CASE DATA'!$F189&amp;";",ROW($1:$99),1),";")),"",ROW($1:$99)),COLUMN(A188)+1)-SMALL(IF(ISERROR(SEARCH(MID(";"&amp;'CASE DATA'!$F189&amp;";",ROW($1:$99),1),";")),"",ROW($1:$99)),COLUMN(A188))-1)</f>
        <v/>
      </c>
      <c r="X189" s="29" t="str">
        <f t="array" ref="X189">MID(";"&amp;'CASE DATA'!$F189&amp;";",SMALL(IF(ISERROR(SEARCH(MID(";"&amp;'CASE DATA'!$F189&amp;";",ROW($1:$99),1),";")),"",ROW($1:$99)+1),COLUMN(B189)),SMALL(IF(ISERROR(SEARCH(MID(";"&amp;'CASE DATA'!$F189&amp;";",ROW($1:$99),1),";")),"",ROW($1:$99)),COLUMN(B188)+1)-SMALL(IF(ISERROR(SEARCH(MID(";"&amp;'CASE DATA'!$F189&amp;";",ROW($1:$99),1),";")),"",ROW($1:$99)),COLUMN(B188))-1)</f>
        <v/>
      </c>
      <c r="Y189" s="29" t="str">
        <f t="array" ref="Y189">MID(";"&amp;'CASE DATA'!$F189&amp;";",SMALL(IF(ISERROR(SEARCH(MID(";"&amp;'CASE DATA'!$F189&amp;";",ROW($1:$99),1),";")),"",ROW($1:$99)+1),COLUMN(D189)),SMALL(IF(ISERROR(SEARCH(MID(";"&amp;'CASE DATA'!$F189&amp;";",ROW($1:$99),1),";")),"",ROW($1:$99)),COLUMN(D188)+1)-SMALL(IF(ISERROR(SEARCH(MID(";"&amp;'CASE DATA'!$F189&amp;";",ROW($1:$99),1),";")),"",ROW($1:$99)),COLUMN(D188))-1)</f>
        <v/>
      </c>
      <c r="Z189" s="29" t="str">
        <f t="array" ref="Z189">MID(";"&amp;'CASE DATA'!$F189&amp;";",SMALL(IF(ISERROR(SEARCH(MID(";"&amp;'CASE DATA'!$F189&amp;";",ROW($1:$99),1),";")),"",ROW($1:$99)+1),COLUMN(E189)),SMALL(IF(ISERROR(SEARCH(MID(";"&amp;'CASE DATA'!$F189&amp;";",ROW($1:$99),1),";")),"",ROW($1:$99)),COLUMN(E188)+1)-SMALL(IF(ISERROR(SEARCH(MID(";"&amp;'CASE DATA'!$F189&amp;";",ROW($1:$99),1),";")),"",ROW($1:$99)),COLUMN(E188))-1)</f>
        <v/>
      </c>
      <c r="AA189" s="29" t="str">
        <f t="array" ref="AA189">MID(";"&amp;'CASE DATA'!$F189&amp;";",SMALL(IF(ISERROR(SEARCH(MID(";"&amp;'CASE DATA'!$F189&amp;";",ROW($1:$99),1),";")),"",ROW($1:$99)+1),COLUMN(F189)),SMALL(IF(ISERROR(SEARCH(MID(";"&amp;'CASE DATA'!$F189&amp;";",ROW($1:$99),1),";")),"",ROW($1:$99)),COLUMN(F188)+1)-SMALL(IF(ISERROR(SEARCH(MID(";"&amp;'CASE DATA'!$F189&amp;";",ROW($1:$99),1),";")),"",ROW($1:$99)),COLUMN(F188))-1)</f>
        <v/>
      </c>
      <c r="AB189" s="29" t="str">
        <f t="array" ref="AB189">MID(";"&amp;'CASE DATA'!$F189&amp;";",SMALL(IF(ISERROR(SEARCH(MID(";"&amp;'CASE DATA'!$F189&amp;";",ROW($1:$99),1),";")),"",ROW($1:$99)+1),COLUMN(G189)),SMALL(IF(ISERROR(SEARCH(MID(";"&amp;'CASE DATA'!$F189&amp;";",ROW($1:$99),1),";")),"",ROW($1:$99)),COLUMN(G188)+1)-SMALL(IF(ISERROR(SEARCH(MID(";"&amp;'CASE DATA'!$F189&amp;";",ROW($1:$99),1),";")),"",ROW($1:$99)),COLUMN(G188))-1)</f>
        <v/>
      </c>
      <c r="AC189" s="29" t="str">
        <f t="array" ref="AC189">MID(";"&amp;'CASE DATA'!$F189&amp;";",SMALL(IF(ISERROR(SEARCH(MID(";"&amp;'CASE DATA'!$F189&amp;";",ROW($1:$99),1),";")),"",ROW($1:$99)+1),COLUMN(H189)),SMALL(IF(ISERROR(SEARCH(MID(";"&amp;'CASE DATA'!$F189&amp;";",ROW($1:$99),1),";")),"",ROW($1:$99)),COLUMN(H188)+1)-SMALL(IF(ISERROR(SEARCH(MID(";"&amp;'CASE DATA'!$F189&amp;";",ROW($1:$99),1),";")),"",ROW($1:$99)),COLUMN(H188))-1)</f>
        <v/>
      </c>
      <c r="AD189" s="29" t="str">
        <f t="array" ref="AD189">MID(";"&amp;'CASE DATA'!$F189&amp;";",SMALL(IF(ISERROR(SEARCH(MID(";"&amp;'CASE DATA'!$F189&amp;";",ROW($1:$99),1),";")),"",ROW($1:$99)+1),COLUMN(I189)),SMALL(IF(ISERROR(SEARCH(MID(";"&amp;'CASE DATA'!$F189&amp;";",ROW($1:$99),1),";")),"",ROW($1:$99)),COLUMN(I188)+1)-SMALL(IF(ISERROR(SEARCH(MID(";"&amp;'CASE DATA'!$F189&amp;";",ROW($1:$99),1),";")),"",ROW($1:$99)),COLUMN(I188))-1)</f>
        <v/>
      </c>
      <c r="AE189" s="29" t="str">
        <f t="array" ref="AE189">MID(";"&amp;'CASE DATA'!$F189&amp;";",SMALL(IF(ISERROR(SEARCH(MID(";"&amp;'CASE DATA'!$F189&amp;";",ROW($1:$99),1),";")),"",ROW($1:$99)+1),COLUMN(J189)),SMALL(IF(ISERROR(SEARCH(MID(";"&amp;'CASE DATA'!$F189&amp;";",ROW($1:$99),1),";")),"",ROW($1:$99)),COLUMN(J188)+1)-SMALL(IF(ISERROR(SEARCH(MID(";"&amp;'CASE DATA'!$F189&amp;";",ROW($1:$99),1),";")),"",ROW($1:$99)),COLUMN(J188))-1)</f>
        <v/>
      </c>
      <c r="AF189" s="29" t="str">
        <f t="array" ref="AF189">MID(";"&amp;'CASE DATA'!$F189&amp;";",SMALL(IF(ISERROR(SEARCH(MID(";"&amp;'CASE DATA'!$F189&amp;";",ROW($1:$99),1),";")),"",ROW($1:$99)+1),COLUMN(K189)),SMALL(IF(ISERROR(SEARCH(MID(";"&amp;'CASE DATA'!$F189&amp;";",ROW($1:$99),1),";")),"",ROW($1:$99)),COLUMN(K188)+1)-SMALL(IF(ISERROR(SEARCH(MID(";"&amp;'CASE DATA'!$F189&amp;";",ROW($1:$99),1),";")),"",ROW($1:$99)),COLUMN(K188))-1)</f>
        <v/>
      </c>
      <c r="AG189" s="29" t="str">
        <f t="array" ref="AG189">MID(";"&amp;'CASE DATA'!$F189&amp;";",SMALL(IF(ISERROR(SEARCH(MID(";"&amp;'CASE DATA'!$F189&amp;";",ROW($1:$99),1),";")),"",ROW($1:$99)+1),COLUMN(L189)),SMALL(IF(ISERROR(SEARCH(MID(";"&amp;'CASE DATA'!$F189&amp;";",ROW($1:$99),1),";")),"",ROW($1:$99)),COLUMN(L188)+1)-SMALL(IF(ISERROR(SEARCH(MID(";"&amp;'CASE DATA'!$F189&amp;";",ROW($1:$99),1),";")),"",ROW($1:$99)),COLUMN(L188))-1)</f>
        <v/>
      </c>
      <c r="AH189" s="29"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24"/>
      <c r="D190" s="24"/>
      <c r="E190" s="25"/>
      <c r="F190" s="30"/>
      <c r="J190" s="31"/>
      <c r="K190" s="31"/>
      <c r="L190" s="31"/>
      <c r="M190" s="31"/>
      <c r="N190" s="31"/>
      <c r="O190" s="31"/>
      <c r="P190" s="31"/>
      <c r="Q190" s="31"/>
      <c r="R190" s="31"/>
      <c r="S190" s="31"/>
      <c r="T190" s="28">
        <f t="shared" si="3"/>
        <v>0</v>
      </c>
      <c r="U190" s="28"/>
      <c r="W190" s="29" t="str">
        <f t="array" ref="W190">MID(";"&amp;'CASE DATA'!$F190&amp;";",SMALL(IF(ISERROR(SEARCH(MID(";"&amp;'CASE DATA'!$F190&amp;";",ROW($1:$99),1),";")),"",ROW($1:$99)+1),COLUMN(A190)),SMALL(IF(ISERROR(SEARCH(MID(";"&amp;'CASE DATA'!$F190&amp;";",ROW($1:$99),1),";")),"",ROW($1:$99)),COLUMN(A189)+1)-SMALL(IF(ISERROR(SEARCH(MID(";"&amp;'CASE DATA'!$F190&amp;";",ROW($1:$99),1),";")),"",ROW($1:$99)),COLUMN(A189))-1)</f>
        <v/>
      </c>
      <c r="X190" s="29" t="str">
        <f t="array" ref="X190">MID(";"&amp;'CASE DATA'!$F190&amp;";",SMALL(IF(ISERROR(SEARCH(MID(";"&amp;'CASE DATA'!$F190&amp;";",ROW($1:$99),1),";")),"",ROW($1:$99)+1),COLUMN(B190)),SMALL(IF(ISERROR(SEARCH(MID(";"&amp;'CASE DATA'!$F190&amp;";",ROW($1:$99),1),";")),"",ROW($1:$99)),COLUMN(B189)+1)-SMALL(IF(ISERROR(SEARCH(MID(";"&amp;'CASE DATA'!$F190&amp;";",ROW($1:$99),1),";")),"",ROW($1:$99)),COLUMN(B189))-1)</f>
        <v/>
      </c>
      <c r="Y190" s="29" t="str">
        <f t="array" ref="Y190">MID(";"&amp;'CASE DATA'!$F190&amp;";",SMALL(IF(ISERROR(SEARCH(MID(";"&amp;'CASE DATA'!$F190&amp;";",ROW($1:$99),1),";")),"",ROW($1:$99)+1),COLUMN(D190)),SMALL(IF(ISERROR(SEARCH(MID(";"&amp;'CASE DATA'!$F190&amp;";",ROW($1:$99),1),";")),"",ROW($1:$99)),COLUMN(D189)+1)-SMALL(IF(ISERROR(SEARCH(MID(";"&amp;'CASE DATA'!$F190&amp;";",ROW($1:$99),1),";")),"",ROW($1:$99)),COLUMN(D189))-1)</f>
        <v/>
      </c>
      <c r="Z190" s="29" t="str">
        <f t="array" ref="Z190">MID(";"&amp;'CASE DATA'!$F190&amp;";",SMALL(IF(ISERROR(SEARCH(MID(";"&amp;'CASE DATA'!$F190&amp;";",ROW($1:$99),1),";")),"",ROW($1:$99)+1),COLUMN(E190)),SMALL(IF(ISERROR(SEARCH(MID(";"&amp;'CASE DATA'!$F190&amp;";",ROW($1:$99),1),";")),"",ROW($1:$99)),COLUMN(E189)+1)-SMALL(IF(ISERROR(SEARCH(MID(";"&amp;'CASE DATA'!$F190&amp;";",ROW($1:$99),1),";")),"",ROW($1:$99)),COLUMN(E189))-1)</f>
        <v/>
      </c>
      <c r="AA190" s="29" t="str">
        <f t="array" ref="AA190">MID(";"&amp;'CASE DATA'!$F190&amp;";",SMALL(IF(ISERROR(SEARCH(MID(";"&amp;'CASE DATA'!$F190&amp;";",ROW($1:$99),1),";")),"",ROW($1:$99)+1),COLUMN(F190)),SMALL(IF(ISERROR(SEARCH(MID(";"&amp;'CASE DATA'!$F190&amp;";",ROW($1:$99),1),";")),"",ROW($1:$99)),COLUMN(F189)+1)-SMALL(IF(ISERROR(SEARCH(MID(";"&amp;'CASE DATA'!$F190&amp;";",ROW($1:$99),1),";")),"",ROW($1:$99)),COLUMN(F189))-1)</f>
        <v/>
      </c>
      <c r="AB190" s="29" t="str">
        <f t="array" ref="AB190">MID(";"&amp;'CASE DATA'!$F190&amp;";",SMALL(IF(ISERROR(SEARCH(MID(";"&amp;'CASE DATA'!$F190&amp;";",ROW($1:$99),1),";")),"",ROW($1:$99)+1),COLUMN(G190)),SMALL(IF(ISERROR(SEARCH(MID(";"&amp;'CASE DATA'!$F190&amp;";",ROW($1:$99),1),";")),"",ROW($1:$99)),COLUMN(G189)+1)-SMALL(IF(ISERROR(SEARCH(MID(";"&amp;'CASE DATA'!$F190&amp;";",ROW($1:$99),1),";")),"",ROW($1:$99)),COLUMN(G189))-1)</f>
        <v/>
      </c>
      <c r="AC190" s="29" t="str">
        <f t="array" ref="AC190">MID(";"&amp;'CASE DATA'!$F190&amp;";",SMALL(IF(ISERROR(SEARCH(MID(";"&amp;'CASE DATA'!$F190&amp;";",ROW($1:$99),1),";")),"",ROW($1:$99)+1),COLUMN(H190)),SMALL(IF(ISERROR(SEARCH(MID(";"&amp;'CASE DATA'!$F190&amp;";",ROW($1:$99),1),";")),"",ROW($1:$99)),COLUMN(H189)+1)-SMALL(IF(ISERROR(SEARCH(MID(";"&amp;'CASE DATA'!$F190&amp;";",ROW($1:$99),1),";")),"",ROW($1:$99)),COLUMN(H189))-1)</f>
        <v/>
      </c>
      <c r="AD190" s="29" t="str">
        <f t="array" ref="AD190">MID(";"&amp;'CASE DATA'!$F190&amp;";",SMALL(IF(ISERROR(SEARCH(MID(";"&amp;'CASE DATA'!$F190&amp;";",ROW($1:$99),1),";")),"",ROW($1:$99)+1),COLUMN(I190)),SMALL(IF(ISERROR(SEARCH(MID(";"&amp;'CASE DATA'!$F190&amp;";",ROW($1:$99),1),";")),"",ROW($1:$99)),COLUMN(I189)+1)-SMALL(IF(ISERROR(SEARCH(MID(";"&amp;'CASE DATA'!$F190&amp;";",ROW($1:$99),1),";")),"",ROW($1:$99)),COLUMN(I189))-1)</f>
        <v/>
      </c>
      <c r="AE190" s="29" t="str">
        <f t="array" ref="AE190">MID(";"&amp;'CASE DATA'!$F190&amp;";",SMALL(IF(ISERROR(SEARCH(MID(";"&amp;'CASE DATA'!$F190&amp;";",ROW($1:$99),1),";")),"",ROW($1:$99)+1),COLUMN(J190)),SMALL(IF(ISERROR(SEARCH(MID(";"&amp;'CASE DATA'!$F190&amp;";",ROW($1:$99),1),";")),"",ROW($1:$99)),COLUMN(J189)+1)-SMALL(IF(ISERROR(SEARCH(MID(";"&amp;'CASE DATA'!$F190&amp;";",ROW($1:$99),1),";")),"",ROW($1:$99)),COLUMN(J189))-1)</f>
        <v/>
      </c>
      <c r="AF190" s="29" t="str">
        <f t="array" ref="AF190">MID(";"&amp;'CASE DATA'!$F190&amp;";",SMALL(IF(ISERROR(SEARCH(MID(";"&amp;'CASE DATA'!$F190&amp;";",ROW($1:$99),1),";")),"",ROW($1:$99)+1),COLUMN(K190)),SMALL(IF(ISERROR(SEARCH(MID(";"&amp;'CASE DATA'!$F190&amp;";",ROW($1:$99),1),";")),"",ROW($1:$99)),COLUMN(K189)+1)-SMALL(IF(ISERROR(SEARCH(MID(";"&amp;'CASE DATA'!$F190&amp;";",ROW($1:$99),1),";")),"",ROW($1:$99)),COLUMN(K189))-1)</f>
        <v/>
      </c>
      <c r="AG190" s="29" t="str">
        <f t="array" ref="AG190">MID(";"&amp;'CASE DATA'!$F190&amp;";",SMALL(IF(ISERROR(SEARCH(MID(";"&amp;'CASE DATA'!$F190&amp;";",ROW($1:$99),1),";")),"",ROW($1:$99)+1),COLUMN(L190)),SMALL(IF(ISERROR(SEARCH(MID(";"&amp;'CASE DATA'!$F190&amp;";",ROW($1:$99),1),";")),"",ROW($1:$99)),COLUMN(L189)+1)-SMALL(IF(ISERROR(SEARCH(MID(";"&amp;'CASE DATA'!$F190&amp;";",ROW($1:$99),1),";")),"",ROW($1:$99)),COLUMN(L189))-1)</f>
        <v/>
      </c>
      <c r="AH190" s="29"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24"/>
      <c r="D191" s="24"/>
      <c r="E191" s="25"/>
      <c r="F191" s="30"/>
      <c r="J191" s="31"/>
      <c r="K191" s="31"/>
      <c r="L191" s="31"/>
      <c r="M191" s="31"/>
      <c r="N191" s="31"/>
      <c r="O191" s="31"/>
      <c r="P191" s="31"/>
      <c r="Q191" s="31"/>
      <c r="R191" s="31"/>
      <c r="S191" s="31"/>
      <c r="T191" s="28">
        <f t="shared" si="3"/>
        <v>0</v>
      </c>
      <c r="U191" s="28"/>
      <c r="W191" s="29" t="str">
        <f t="array" ref="W191">MID(";"&amp;'CASE DATA'!$F191&amp;";",SMALL(IF(ISERROR(SEARCH(MID(";"&amp;'CASE DATA'!$F191&amp;";",ROW($1:$99),1),";")),"",ROW($1:$99)+1),COLUMN(A191)),SMALL(IF(ISERROR(SEARCH(MID(";"&amp;'CASE DATA'!$F191&amp;";",ROW($1:$99),1),";")),"",ROW($1:$99)),COLUMN(A190)+1)-SMALL(IF(ISERROR(SEARCH(MID(";"&amp;'CASE DATA'!$F191&amp;";",ROW($1:$99),1),";")),"",ROW($1:$99)),COLUMN(A190))-1)</f>
        <v/>
      </c>
      <c r="X191" s="29" t="str">
        <f t="array" ref="X191">MID(";"&amp;'CASE DATA'!$F191&amp;";",SMALL(IF(ISERROR(SEARCH(MID(";"&amp;'CASE DATA'!$F191&amp;";",ROW($1:$99),1),";")),"",ROW($1:$99)+1),COLUMN(B191)),SMALL(IF(ISERROR(SEARCH(MID(";"&amp;'CASE DATA'!$F191&amp;";",ROW($1:$99),1),";")),"",ROW($1:$99)),COLUMN(B190)+1)-SMALL(IF(ISERROR(SEARCH(MID(";"&amp;'CASE DATA'!$F191&amp;";",ROW($1:$99),1),";")),"",ROW($1:$99)),COLUMN(B190))-1)</f>
        <v/>
      </c>
      <c r="Y191" s="29" t="str">
        <f t="array" ref="Y191">MID(";"&amp;'CASE DATA'!$F191&amp;";",SMALL(IF(ISERROR(SEARCH(MID(";"&amp;'CASE DATA'!$F191&amp;";",ROW($1:$99),1),";")),"",ROW($1:$99)+1),COLUMN(D191)),SMALL(IF(ISERROR(SEARCH(MID(";"&amp;'CASE DATA'!$F191&amp;";",ROW($1:$99),1),";")),"",ROW($1:$99)),COLUMN(D190)+1)-SMALL(IF(ISERROR(SEARCH(MID(";"&amp;'CASE DATA'!$F191&amp;";",ROW($1:$99),1),";")),"",ROW($1:$99)),COLUMN(D190))-1)</f>
        <v/>
      </c>
      <c r="Z191" s="29" t="str">
        <f t="array" ref="Z191">MID(";"&amp;'CASE DATA'!$F191&amp;";",SMALL(IF(ISERROR(SEARCH(MID(";"&amp;'CASE DATA'!$F191&amp;";",ROW($1:$99),1),";")),"",ROW($1:$99)+1),COLUMN(E191)),SMALL(IF(ISERROR(SEARCH(MID(";"&amp;'CASE DATA'!$F191&amp;";",ROW($1:$99),1),";")),"",ROW($1:$99)),COLUMN(E190)+1)-SMALL(IF(ISERROR(SEARCH(MID(";"&amp;'CASE DATA'!$F191&amp;";",ROW($1:$99),1),";")),"",ROW($1:$99)),COLUMN(E190))-1)</f>
        <v/>
      </c>
      <c r="AA191" s="29" t="str">
        <f t="array" ref="AA191">MID(";"&amp;'CASE DATA'!$F191&amp;";",SMALL(IF(ISERROR(SEARCH(MID(";"&amp;'CASE DATA'!$F191&amp;";",ROW($1:$99),1),";")),"",ROW($1:$99)+1),COLUMN(F191)),SMALL(IF(ISERROR(SEARCH(MID(";"&amp;'CASE DATA'!$F191&amp;";",ROW($1:$99),1),";")),"",ROW($1:$99)),COLUMN(F190)+1)-SMALL(IF(ISERROR(SEARCH(MID(";"&amp;'CASE DATA'!$F191&amp;";",ROW($1:$99),1),";")),"",ROW($1:$99)),COLUMN(F190))-1)</f>
        <v/>
      </c>
      <c r="AB191" s="29" t="str">
        <f t="array" ref="AB191">MID(";"&amp;'CASE DATA'!$F191&amp;";",SMALL(IF(ISERROR(SEARCH(MID(";"&amp;'CASE DATA'!$F191&amp;";",ROW($1:$99),1),";")),"",ROW($1:$99)+1),COLUMN(G191)),SMALL(IF(ISERROR(SEARCH(MID(";"&amp;'CASE DATA'!$F191&amp;";",ROW($1:$99),1),";")),"",ROW($1:$99)),COLUMN(G190)+1)-SMALL(IF(ISERROR(SEARCH(MID(";"&amp;'CASE DATA'!$F191&amp;";",ROW($1:$99),1),";")),"",ROW($1:$99)),COLUMN(G190))-1)</f>
        <v/>
      </c>
      <c r="AC191" s="29" t="str">
        <f t="array" ref="AC191">MID(";"&amp;'CASE DATA'!$F191&amp;";",SMALL(IF(ISERROR(SEARCH(MID(";"&amp;'CASE DATA'!$F191&amp;";",ROW($1:$99),1),";")),"",ROW($1:$99)+1),COLUMN(H191)),SMALL(IF(ISERROR(SEARCH(MID(";"&amp;'CASE DATA'!$F191&amp;";",ROW($1:$99),1),";")),"",ROW($1:$99)),COLUMN(H190)+1)-SMALL(IF(ISERROR(SEARCH(MID(";"&amp;'CASE DATA'!$F191&amp;";",ROW($1:$99),1),";")),"",ROW($1:$99)),COLUMN(H190))-1)</f>
        <v/>
      </c>
      <c r="AD191" s="29" t="str">
        <f t="array" ref="AD191">MID(";"&amp;'CASE DATA'!$F191&amp;";",SMALL(IF(ISERROR(SEARCH(MID(";"&amp;'CASE DATA'!$F191&amp;";",ROW($1:$99),1),";")),"",ROW($1:$99)+1),COLUMN(I191)),SMALL(IF(ISERROR(SEARCH(MID(";"&amp;'CASE DATA'!$F191&amp;";",ROW($1:$99),1),";")),"",ROW($1:$99)),COLUMN(I190)+1)-SMALL(IF(ISERROR(SEARCH(MID(";"&amp;'CASE DATA'!$F191&amp;";",ROW($1:$99),1),";")),"",ROW($1:$99)),COLUMN(I190))-1)</f>
        <v/>
      </c>
      <c r="AE191" s="29" t="str">
        <f t="array" ref="AE191">MID(";"&amp;'CASE DATA'!$F191&amp;";",SMALL(IF(ISERROR(SEARCH(MID(";"&amp;'CASE DATA'!$F191&amp;";",ROW($1:$99),1),";")),"",ROW($1:$99)+1),COLUMN(J191)),SMALL(IF(ISERROR(SEARCH(MID(";"&amp;'CASE DATA'!$F191&amp;";",ROW($1:$99),1),";")),"",ROW($1:$99)),COLUMN(J190)+1)-SMALL(IF(ISERROR(SEARCH(MID(";"&amp;'CASE DATA'!$F191&amp;";",ROW($1:$99),1),";")),"",ROW($1:$99)),COLUMN(J190))-1)</f>
        <v/>
      </c>
      <c r="AF191" s="29" t="str">
        <f t="array" ref="AF191">MID(";"&amp;'CASE DATA'!$F191&amp;";",SMALL(IF(ISERROR(SEARCH(MID(";"&amp;'CASE DATA'!$F191&amp;";",ROW($1:$99),1),";")),"",ROW($1:$99)+1),COLUMN(K191)),SMALL(IF(ISERROR(SEARCH(MID(";"&amp;'CASE DATA'!$F191&amp;";",ROW($1:$99),1),";")),"",ROW($1:$99)),COLUMN(K190)+1)-SMALL(IF(ISERROR(SEARCH(MID(";"&amp;'CASE DATA'!$F191&amp;";",ROW($1:$99),1),";")),"",ROW($1:$99)),COLUMN(K190))-1)</f>
        <v/>
      </c>
      <c r="AG191" s="29" t="str">
        <f t="array" ref="AG191">MID(";"&amp;'CASE DATA'!$F191&amp;";",SMALL(IF(ISERROR(SEARCH(MID(";"&amp;'CASE DATA'!$F191&amp;";",ROW($1:$99),1),";")),"",ROW($1:$99)+1),COLUMN(L191)),SMALL(IF(ISERROR(SEARCH(MID(";"&amp;'CASE DATA'!$F191&amp;";",ROW($1:$99),1),";")),"",ROW($1:$99)),COLUMN(L190)+1)-SMALL(IF(ISERROR(SEARCH(MID(";"&amp;'CASE DATA'!$F191&amp;";",ROW($1:$99),1),";")),"",ROW($1:$99)),COLUMN(L190))-1)</f>
        <v/>
      </c>
      <c r="AH191" s="29"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24"/>
      <c r="D192" s="24"/>
      <c r="E192" s="25"/>
      <c r="F192" s="30"/>
      <c r="J192" s="31"/>
      <c r="K192" s="31"/>
      <c r="L192" s="31"/>
      <c r="M192" s="31"/>
      <c r="N192" s="31"/>
      <c r="O192" s="31"/>
      <c r="P192" s="31"/>
      <c r="Q192" s="31"/>
      <c r="R192" s="31"/>
      <c r="S192" s="31"/>
      <c r="T192" s="28">
        <f t="shared" si="3"/>
        <v>0</v>
      </c>
      <c r="U192" s="28"/>
      <c r="W192" s="29" t="str">
        <f t="array" ref="W192">MID(";"&amp;'CASE DATA'!$F192&amp;";",SMALL(IF(ISERROR(SEARCH(MID(";"&amp;'CASE DATA'!$F192&amp;";",ROW($1:$99),1),";")),"",ROW($1:$99)+1),COLUMN(A192)),SMALL(IF(ISERROR(SEARCH(MID(";"&amp;'CASE DATA'!$F192&amp;";",ROW($1:$99),1),";")),"",ROW($1:$99)),COLUMN(A191)+1)-SMALL(IF(ISERROR(SEARCH(MID(";"&amp;'CASE DATA'!$F192&amp;";",ROW($1:$99),1),";")),"",ROW($1:$99)),COLUMN(A191))-1)</f>
        <v/>
      </c>
      <c r="X192" s="29" t="str">
        <f t="array" ref="X192">MID(";"&amp;'CASE DATA'!$F192&amp;";",SMALL(IF(ISERROR(SEARCH(MID(";"&amp;'CASE DATA'!$F192&amp;";",ROW($1:$99),1),";")),"",ROW($1:$99)+1),COLUMN(B192)),SMALL(IF(ISERROR(SEARCH(MID(";"&amp;'CASE DATA'!$F192&amp;";",ROW($1:$99),1),";")),"",ROW($1:$99)),COLUMN(B191)+1)-SMALL(IF(ISERROR(SEARCH(MID(";"&amp;'CASE DATA'!$F192&amp;";",ROW($1:$99),1),";")),"",ROW($1:$99)),COLUMN(B191))-1)</f>
        <v/>
      </c>
      <c r="Y192" s="29" t="str">
        <f t="array" ref="Y192">MID(";"&amp;'CASE DATA'!$F192&amp;";",SMALL(IF(ISERROR(SEARCH(MID(";"&amp;'CASE DATA'!$F192&amp;";",ROW($1:$99),1),";")),"",ROW($1:$99)+1),COLUMN(D192)),SMALL(IF(ISERROR(SEARCH(MID(";"&amp;'CASE DATA'!$F192&amp;";",ROW($1:$99),1),";")),"",ROW($1:$99)),COLUMN(D191)+1)-SMALL(IF(ISERROR(SEARCH(MID(";"&amp;'CASE DATA'!$F192&amp;";",ROW($1:$99),1),";")),"",ROW($1:$99)),COLUMN(D191))-1)</f>
        <v/>
      </c>
      <c r="Z192" s="29" t="str">
        <f t="array" ref="Z192">MID(";"&amp;'CASE DATA'!$F192&amp;";",SMALL(IF(ISERROR(SEARCH(MID(";"&amp;'CASE DATA'!$F192&amp;";",ROW($1:$99),1),";")),"",ROW($1:$99)+1),COLUMN(E192)),SMALL(IF(ISERROR(SEARCH(MID(";"&amp;'CASE DATA'!$F192&amp;";",ROW($1:$99),1),";")),"",ROW($1:$99)),COLUMN(E191)+1)-SMALL(IF(ISERROR(SEARCH(MID(";"&amp;'CASE DATA'!$F192&amp;";",ROW($1:$99),1),";")),"",ROW($1:$99)),COLUMN(E191))-1)</f>
        <v/>
      </c>
      <c r="AA192" s="29" t="str">
        <f t="array" ref="AA192">MID(";"&amp;'CASE DATA'!$F192&amp;";",SMALL(IF(ISERROR(SEARCH(MID(";"&amp;'CASE DATA'!$F192&amp;";",ROW($1:$99),1),";")),"",ROW($1:$99)+1),COLUMN(F192)),SMALL(IF(ISERROR(SEARCH(MID(";"&amp;'CASE DATA'!$F192&amp;";",ROW($1:$99),1),";")),"",ROW($1:$99)),COLUMN(F191)+1)-SMALL(IF(ISERROR(SEARCH(MID(";"&amp;'CASE DATA'!$F192&amp;";",ROW($1:$99),1),";")),"",ROW($1:$99)),COLUMN(F191))-1)</f>
        <v/>
      </c>
      <c r="AB192" s="29" t="str">
        <f t="array" ref="AB192">MID(";"&amp;'CASE DATA'!$F192&amp;";",SMALL(IF(ISERROR(SEARCH(MID(";"&amp;'CASE DATA'!$F192&amp;";",ROW($1:$99),1),";")),"",ROW($1:$99)+1),COLUMN(G192)),SMALL(IF(ISERROR(SEARCH(MID(";"&amp;'CASE DATA'!$F192&amp;";",ROW($1:$99),1),";")),"",ROW($1:$99)),COLUMN(G191)+1)-SMALL(IF(ISERROR(SEARCH(MID(";"&amp;'CASE DATA'!$F192&amp;";",ROW($1:$99),1),";")),"",ROW($1:$99)),COLUMN(G191))-1)</f>
        <v/>
      </c>
      <c r="AC192" s="29" t="str">
        <f t="array" ref="AC192">MID(";"&amp;'CASE DATA'!$F192&amp;";",SMALL(IF(ISERROR(SEARCH(MID(";"&amp;'CASE DATA'!$F192&amp;";",ROW($1:$99),1),";")),"",ROW($1:$99)+1),COLUMN(H192)),SMALL(IF(ISERROR(SEARCH(MID(";"&amp;'CASE DATA'!$F192&amp;";",ROW($1:$99),1),";")),"",ROW($1:$99)),COLUMN(H191)+1)-SMALL(IF(ISERROR(SEARCH(MID(";"&amp;'CASE DATA'!$F192&amp;";",ROW($1:$99),1),";")),"",ROW($1:$99)),COLUMN(H191))-1)</f>
        <v/>
      </c>
      <c r="AD192" s="29" t="str">
        <f t="array" ref="AD192">MID(";"&amp;'CASE DATA'!$F192&amp;";",SMALL(IF(ISERROR(SEARCH(MID(";"&amp;'CASE DATA'!$F192&amp;";",ROW($1:$99),1),";")),"",ROW($1:$99)+1),COLUMN(I192)),SMALL(IF(ISERROR(SEARCH(MID(";"&amp;'CASE DATA'!$F192&amp;";",ROW($1:$99),1),";")),"",ROW($1:$99)),COLUMN(I191)+1)-SMALL(IF(ISERROR(SEARCH(MID(";"&amp;'CASE DATA'!$F192&amp;";",ROW($1:$99),1),";")),"",ROW($1:$99)),COLUMN(I191))-1)</f>
        <v/>
      </c>
      <c r="AE192" s="29" t="str">
        <f t="array" ref="AE192">MID(";"&amp;'CASE DATA'!$F192&amp;";",SMALL(IF(ISERROR(SEARCH(MID(";"&amp;'CASE DATA'!$F192&amp;";",ROW($1:$99),1),";")),"",ROW($1:$99)+1),COLUMN(J192)),SMALL(IF(ISERROR(SEARCH(MID(";"&amp;'CASE DATA'!$F192&amp;";",ROW($1:$99),1),";")),"",ROW($1:$99)),COLUMN(J191)+1)-SMALL(IF(ISERROR(SEARCH(MID(";"&amp;'CASE DATA'!$F192&amp;";",ROW($1:$99),1),";")),"",ROW($1:$99)),COLUMN(J191))-1)</f>
        <v/>
      </c>
      <c r="AF192" s="29" t="str">
        <f t="array" ref="AF192">MID(";"&amp;'CASE DATA'!$F192&amp;";",SMALL(IF(ISERROR(SEARCH(MID(";"&amp;'CASE DATA'!$F192&amp;";",ROW($1:$99),1),";")),"",ROW($1:$99)+1),COLUMN(K192)),SMALL(IF(ISERROR(SEARCH(MID(";"&amp;'CASE DATA'!$F192&amp;";",ROW($1:$99),1),";")),"",ROW($1:$99)),COLUMN(K191)+1)-SMALL(IF(ISERROR(SEARCH(MID(";"&amp;'CASE DATA'!$F192&amp;";",ROW($1:$99),1),";")),"",ROW($1:$99)),COLUMN(K191))-1)</f>
        <v/>
      </c>
      <c r="AG192" s="29" t="str">
        <f t="array" ref="AG192">MID(";"&amp;'CASE DATA'!$F192&amp;";",SMALL(IF(ISERROR(SEARCH(MID(";"&amp;'CASE DATA'!$F192&amp;";",ROW($1:$99),1),";")),"",ROW($1:$99)+1),COLUMN(L192)),SMALL(IF(ISERROR(SEARCH(MID(";"&amp;'CASE DATA'!$F192&amp;";",ROW($1:$99),1),";")),"",ROW($1:$99)),COLUMN(L191)+1)-SMALL(IF(ISERROR(SEARCH(MID(";"&amp;'CASE DATA'!$F192&amp;";",ROW($1:$99),1),";")),"",ROW($1:$99)),COLUMN(L191))-1)</f>
        <v/>
      </c>
      <c r="AH192" s="29"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24"/>
      <c r="D193" s="24"/>
      <c r="E193" s="25"/>
      <c r="F193" s="30"/>
      <c r="J193" s="31"/>
      <c r="K193" s="31"/>
      <c r="L193" s="31"/>
      <c r="M193" s="31"/>
      <c r="N193" s="31"/>
      <c r="O193" s="31"/>
      <c r="P193" s="31"/>
      <c r="Q193" s="31"/>
      <c r="R193" s="31"/>
      <c r="S193" s="31"/>
      <c r="T193" s="28">
        <f t="shared" si="3"/>
        <v>0</v>
      </c>
      <c r="U193" s="28"/>
      <c r="W193" s="29" t="str">
        <f t="array" ref="W193">MID(";"&amp;'CASE DATA'!$F193&amp;";",SMALL(IF(ISERROR(SEARCH(MID(";"&amp;'CASE DATA'!$F193&amp;";",ROW($1:$99),1),";")),"",ROW($1:$99)+1),COLUMN(A193)),SMALL(IF(ISERROR(SEARCH(MID(";"&amp;'CASE DATA'!$F193&amp;";",ROW($1:$99),1),";")),"",ROW($1:$99)),COLUMN(A192)+1)-SMALL(IF(ISERROR(SEARCH(MID(";"&amp;'CASE DATA'!$F193&amp;";",ROW($1:$99),1),";")),"",ROW($1:$99)),COLUMN(A192))-1)</f>
        <v/>
      </c>
      <c r="X193" s="29" t="str">
        <f t="array" ref="X193">MID(";"&amp;'CASE DATA'!$F193&amp;";",SMALL(IF(ISERROR(SEARCH(MID(";"&amp;'CASE DATA'!$F193&amp;";",ROW($1:$99),1),";")),"",ROW($1:$99)+1),COLUMN(B193)),SMALL(IF(ISERROR(SEARCH(MID(";"&amp;'CASE DATA'!$F193&amp;";",ROW($1:$99),1),";")),"",ROW($1:$99)),COLUMN(B192)+1)-SMALL(IF(ISERROR(SEARCH(MID(";"&amp;'CASE DATA'!$F193&amp;";",ROW($1:$99),1),";")),"",ROW($1:$99)),COLUMN(B192))-1)</f>
        <v/>
      </c>
      <c r="Y193" s="29" t="str">
        <f t="array" ref="Y193">MID(";"&amp;'CASE DATA'!$F193&amp;";",SMALL(IF(ISERROR(SEARCH(MID(";"&amp;'CASE DATA'!$F193&amp;";",ROW($1:$99),1),";")),"",ROW($1:$99)+1),COLUMN(D193)),SMALL(IF(ISERROR(SEARCH(MID(";"&amp;'CASE DATA'!$F193&amp;";",ROW($1:$99),1),";")),"",ROW($1:$99)),COLUMN(D192)+1)-SMALL(IF(ISERROR(SEARCH(MID(";"&amp;'CASE DATA'!$F193&amp;";",ROW($1:$99),1),";")),"",ROW($1:$99)),COLUMN(D192))-1)</f>
        <v/>
      </c>
      <c r="Z193" s="29" t="str">
        <f t="array" ref="Z193">MID(";"&amp;'CASE DATA'!$F193&amp;";",SMALL(IF(ISERROR(SEARCH(MID(";"&amp;'CASE DATA'!$F193&amp;";",ROW($1:$99),1),";")),"",ROW($1:$99)+1),COLUMN(E193)),SMALL(IF(ISERROR(SEARCH(MID(";"&amp;'CASE DATA'!$F193&amp;";",ROW($1:$99),1),";")),"",ROW($1:$99)),COLUMN(E192)+1)-SMALL(IF(ISERROR(SEARCH(MID(";"&amp;'CASE DATA'!$F193&amp;";",ROW($1:$99),1),";")),"",ROW($1:$99)),COLUMN(E192))-1)</f>
        <v/>
      </c>
      <c r="AA193" s="29" t="str">
        <f t="array" ref="AA193">MID(";"&amp;'CASE DATA'!$F193&amp;";",SMALL(IF(ISERROR(SEARCH(MID(";"&amp;'CASE DATA'!$F193&amp;";",ROW($1:$99),1),";")),"",ROW($1:$99)+1),COLUMN(F193)),SMALL(IF(ISERROR(SEARCH(MID(";"&amp;'CASE DATA'!$F193&amp;";",ROW($1:$99),1),";")),"",ROW($1:$99)),COLUMN(F192)+1)-SMALL(IF(ISERROR(SEARCH(MID(";"&amp;'CASE DATA'!$F193&amp;";",ROW($1:$99),1),";")),"",ROW($1:$99)),COLUMN(F192))-1)</f>
        <v/>
      </c>
      <c r="AB193" s="29" t="str">
        <f t="array" ref="AB193">MID(";"&amp;'CASE DATA'!$F193&amp;";",SMALL(IF(ISERROR(SEARCH(MID(";"&amp;'CASE DATA'!$F193&amp;";",ROW($1:$99),1),";")),"",ROW($1:$99)+1),COLUMN(G193)),SMALL(IF(ISERROR(SEARCH(MID(";"&amp;'CASE DATA'!$F193&amp;";",ROW($1:$99),1),";")),"",ROW($1:$99)),COLUMN(G192)+1)-SMALL(IF(ISERROR(SEARCH(MID(";"&amp;'CASE DATA'!$F193&amp;";",ROW($1:$99),1),";")),"",ROW($1:$99)),COLUMN(G192))-1)</f>
        <v/>
      </c>
      <c r="AC193" s="29" t="str">
        <f t="array" ref="AC193">MID(";"&amp;'CASE DATA'!$F193&amp;";",SMALL(IF(ISERROR(SEARCH(MID(";"&amp;'CASE DATA'!$F193&amp;";",ROW($1:$99),1),";")),"",ROW($1:$99)+1),COLUMN(H193)),SMALL(IF(ISERROR(SEARCH(MID(";"&amp;'CASE DATA'!$F193&amp;";",ROW($1:$99),1),";")),"",ROW($1:$99)),COLUMN(H192)+1)-SMALL(IF(ISERROR(SEARCH(MID(";"&amp;'CASE DATA'!$F193&amp;";",ROW($1:$99),1),";")),"",ROW($1:$99)),COLUMN(H192))-1)</f>
        <v/>
      </c>
      <c r="AD193" s="29" t="str">
        <f t="array" ref="AD193">MID(";"&amp;'CASE DATA'!$F193&amp;";",SMALL(IF(ISERROR(SEARCH(MID(";"&amp;'CASE DATA'!$F193&amp;";",ROW($1:$99),1),";")),"",ROW($1:$99)+1),COLUMN(I193)),SMALL(IF(ISERROR(SEARCH(MID(";"&amp;'CASE DATA'!$F193&amp;";",ROW($1:$99),1),";")),"",ROW($1:$99)),COLUMN(I192)+1)-SMALL(IF(ISERROR(SEARCH(MID(";"&amp;'CASE DATA'!$F193&amp;";",ROW($1:$99),1),";")),"",ROW($1:$99)),COLUMN(I192))-1)</f>
        <v/>
      </c>
      <c r="AE193" s="29" t="str">
        <f t="array" ref="AE193">MID(";"&amp;'CASE DATA'!$F193&amp;";",SMALL(IF(ISERROR(SEARCH(MID(";"&amp;'CASE DATA'!$F193&amp;";",ROW($1:$99),1),";")),"",ROW($1:$99)+1),COLUMN(J193)),SMALL(IF(ISERROR(SEARCH(MID(";"&amp;'CASE DATA'!$F193&amp;";",ROW($1:$99),1),";")),"",ROW($1:$99)),COLUMN(J192)+1)-SMALL(IF(ISERROR(SEARCH(MID(";"&amp;'CASE DATA'!$F193&amp;";",ROW($1:$99),1),";")),"",ROW($1:$99)),COLUMN(J192))-1)</f>
        <v/>
      </c>
      <c r="AF193" s="29" t="str">
        <f t="array" ref="AF193">MID(";"&amp;'CASE DATA'!$F193&amp;";",SMALL(IF(ISERROR(SEARCH(MID(";"&amp;'CASE DATA'!$F193&amp;";",ROW($1:$99),1),";")),"",ROW($1:$99)+1),COLUMN(K193)),SMALL(IF(ISERROR(SEARCH(MID(";"&amp;'CASE DATA'!$F193&amp;";",ROW($1:$99),1),";")),"",ROW($1:$99)),COLUMN(K192)+1)-SMALL(IF(ISERROR(SEARCH(MID(";"&amp;'CASE DATA'!$F193&amp;";",ROW($1:$99),1),";")),"",ROW($1:$99)),COLUMN(K192))-1)</f>
        <v/>
      </c>
      <c r="AG193" s="29" t="str">
        <f t="array" ref="AG193">MID(";"&amp;'CASE DATA'!$F193&amp;";",SMALL(IF(ISERROR(SEARCH(MID(";"&amp;'CASE DATA'!$F193&amp;";",ROW($1:$99),1),";")),"",ROW($1:$99)+1),COLUMN(L193)),SMALL(IF(ISERROR(SEARCH(MID(";"&amp;'CASE DATA'!$F193&amp;";",ROW($1:$99),1),";")),"",ROW($1:$99)),COLUMN(L192)+1)-SMALL(IF(ISERROR(SEARCH(MID(";"&amp;'CASE DATA'!$F193&amp;";",ROW($1:$99),1),";")),"",ROW($1:$99)),COLUMN(L192))-1)</f>
        <v/>
      </c>
      <c r="AH193" s="29"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24"/>
      <c r="D194" s="24"/>
      <c r="E194" s="25"/>
      <c r="F194" s="30"/>
      <c r="J194" s="31"/>
      <c r="K194" s="31"/>
      <c r="L194" s="31"/>
      <c r="M194" s="31"/>
      <c r="N194" s="31"/>
      <c r="O194" s="31"/>
      <c r="P194" s="31"/>
      <c r="Q194" s="31"/>
      <c r="R194" s="31"/>
      <c r="S194" s="31"/>
      <c r="T194" s="28">
        <f t="shared" si="3"/>
        <v>0</v>
      </c>
      <c r="U194" s="28"/>
      <c r="W194" s="29" t="str">
        <f t="array" ref="W194">MID(";"&amp;'CASE DATA'!$F194&amp;";",SMALL(IF(ISERROR(SEARCH(MID(";"&amp;'CASE DATA'!$F194&amp;";",ROW($1:$99),1),";")),"",ROW($1:$99)+1),COLUMN(A194)),SMALL(IF(ISERROR(SEARCH(MID(";"&amp;'CASE DATA'!$F194&amp;";",ROW($1:$99),1),";")),"",ROW($1:$99)),COLUMN(A193)+1)-SMALL(IF(ISERROR(SEARCH(MID(";"&amp;'CASE DATA'!$F194&amp;";",ROW($1:$99),1),";")),"",ROW($1:$99)),COLUMN(A193))-1)</f>
        <v/>
      </c>
      <c r="X194" s="29" t="str">
        <f t="array" ref="X194">MID(";"&amp;'CASE DATA'!$F194&amp;";",SMALL(IF(ISERROR(SEARCH(MID(";"&amp;'CASE DATA'!$F194&amp;";",ROW($1:$99),1),";")),"",ROW($1:$99)+1),COLUMN(B194)),SMALL(IF(ISERROR(SEARCH(MID(";"&amp;'CASE DATA'!$F194&amp;";",ROW($1:$99),1),";")),"",ROW($1:$99)),COLUMN(B193)+1)-SMALL(IF(ISERROR(SEARCH(MID(";"&amp;'CASE DATA'!$F194&amp;";",ROW($1:$99),1),";")),"",ROW($1:$99)),COLUMN(B193))-1)</f>
        <v/>
      </c>
      <c r="Y194" s="29" t="str">
        <f t="array" ref="Y194">MID(";"&amp;'CASE DATA'!$F194&amp;";",SMALL(IF(ISERROR(SEARCH(MID(";"&amp;'CASE DATA'!$F194&amp;";",ROW($1:$99),1),";")),"",ROW($1:$99)+1),COLUMN(D194)),SMALL(IF(ISERROR(SEARCH(MID(";"&amp;'CASE DATA'!$F194&amp;";",ROW($1:$99),1),";")),"",ROW($1:$99)),COLUMN(D193)+1)-SMALL(IF(ISERROR(SEARCH(MID(";"&amp;'CASE DATA'!$F194&amp;";",ROW($1:$99),1),";")),"",ROW($1:$99)),COLUMN(D193))-1)</f>
        <v/>
      </c>
      <c r="Z194" s="29" t="str">
        <f t="array" ref="Z194">MID(";"&amp;'CASE DATA'!$F194&amp;";",SMALL(IF(ISERROR(SEARCH(MID(";"&amp;'CASE DATA'!$F194&amp;";",ROW($1:$99),1),";")),"",ROW($1:$99)+1),COLUMN(E194)),SMALL(IF(ISERROR(SEARCH(MID(";"&amp;'CASE DATA'!$F194&amp;";",ROW($1:$99),1),";")),"",ROW($1:$99)),COLUMN(E193)+1)-SMALL(IF(ISERROR(SEARCH(MID(";"&amp;'CASE DATA'!$F194&amp;";",ROW($1:$99),1),";")),"",ROW($1:$99)),COLUMN(E193))-1)</f>
        <v/>
      </c>
      <c r="AA194" s="29" t="str">
        <f t="array" ref="AA194">MID(";"&amp;'CASE DATA'!$F194&amp;";",SMALL(IF(ISERROR(SEARCH(MID(";"&amp;'CASE DATA'!$F194&amp;";",ROW($1:$99),1),";")),"",ROW($1:$99)+1),COLUMN(F194)),SMALL(IF(ISERROR(SEARCH(MID(";"&amp;'CASE DATA'!$F194&amp;";",ROW($1:$99),1),";")),"",ROW($1:$99)),COLUMN(F193)+1)-SMALL(IF(ISERROR(SEARCH(MID(";"&amp;'CASE DATA'!$F194&amp;";",ROW($1:$99),1),";")),"",ROW($1:$99)),COLUMN(F193))-1)</f>
        <v/>
      </c>
      <c r="AB194" s="29" t="str">
        <f t="array" ref="AB194">MID(";"&amp;'CASE DATA'!$F194&amp;";",SMALL(IF(ISERROR(SEARCH(MID(";"&amp;'CASE DATA'!$F194&amp;";",ROW($1:$99),1),";")),"",ROW($1:$99)+1),COLUMN(G194)),SMALL(IF(ISERROR(SEARCH(MID(";"&amp;'CASE DATA'!$F194&amp;";",ROW($1:$99),1),";")),"",ROW($1:$99)),COLUMN(G193)+1)-SMALL(IF(ISERROR(SEARCH(MID(";"&amp;'CASE DATA'!$F194&amp;";",ROW($1:$99),1),";")),"",ROW($1:$99)),COLUMN(G193))-1)</f>
        <v/>
      </c>
      <c r="AC194" s="29" t="str">
        <f t="array" ref="AC194">MID(";"&amp;'CASE DATA'!$F194&amp;";",SMALL(IF(ISERROR(SEARCH(MID(";"&amp;'CASE DATA'!$F194&amp;";",ROW($1:$99),1),";")),"",ROW($1:$99)+1),COLUMN(H194)),SMALL(IF(ISERROR(SEARCH(MID(";"&amp;'CASE DATA'!$F194&amp;";",ROW($1:$99),1),";")),"",ROW($1:$99)),COLUMN(H193)+1)-SMALL(IF(ISERROR(SEARCH(MID(";"&amp;'CASE DATA'!$F194&amp;";",ROW($1:$99),1),";")),"",ROW($1:$99)),COLUMN(H193))-1)</f>
        <v/>
      </c>
      <c r="AD194" s="29" t="str">
        <f t="array" ref="AD194">MID(";"&amp;'CASE DATA'!$F194&amp;";",SMALL(IF(ISERROR(SEARCH(MID(";"&amp;'CASE DATA'!$F194&amp;";",ROW($1:$99),1),";")),"",ROW($1:$99)+1),COLUMN(I194)),SMALL(IF(ISERROR(SEARCH(MID(";"&amp;'CASE DATA'!$F194&amp;";",ROW($1:$99),1),";")),"",ROW($1:$99)),COLUMN(I193)+1)-SMALL(IF(ISERROR(SEARCH(MID(";"&amp;'CASE DATA'!$F194&amp;";",ROW($1:$99),1),";")),"",ROW($1:$99)),COLUMN(I193))-1)</f>
        <v/>
      </c>
      <c r="AE194" s="29" t="str">
        <f t="array" ref="AE194">MID(";"&amp;'CASE DATA'!$F194&amp;";",SMALL(IF(ISERROR(SEARCH(MID(";"&amp;'CASE DATA'!$F194&amp;";",ROW($1:$99),1),";")),"",ROW($1:$99)+1),COLUMN(J194)),SMALL(IF(ISERROR(SEARCH(MID(";"&amp;'CASE DATA'!$F194&amp;";",ROW($1:$99),1),";")),"",ROW($1:$99)),COLUMN(J193)+1)-SMALL(IF(ISERROR(SEARCH(MID(";"&amp;'CASE DATA'!$F194&amp;";",ROW($1:$99),1),";")),"",ROW($1:$99)),COLUMN(J193))-1)</f>
        <v/>
      </c>
      <c r="AF194" s="29" t="str">
        <f t="array" ref="AF194">MID(";"&amp;'CASE DATA'!$F194&amp;";",SMALL(IF(ISERROR(SEARCH(MID(";"&amp;'CASE DATA'!$F194&amp;";",ROW($1:$99),1),";")),"",ROW($1:$99)+1),COLUMN(K194)),SMALL(IF(ISERROR(SEARCH(MID(";"&amp;'CASE DATA'!$F194&amp;";",ROW($1:$99),1),";")),"",ROW($1:$99)),COLUMN(K193)+1)-SMALL(IF(ISERROR(SEARCH(MID(";"&amp;'CASE DATA'!$F194&amp;";",ROW($1:$99),1),";")),"",ROW($1:$99)),COLUMN(K193))-1)</f>
        <v/>
      </c>
      <c r="AG194" s="29" t="str">
        <f t="array" ref="AG194">MID(";"&amp;'CASE DATA'!$F194&amp;";",SMALL(IF(ISERROR(SEARCH(MID(";"&amp;'CASE DATA'!$F194&amp;";",ROW($1:$99),1),";")),"",ROW($1:$99)+1),COLUMN(L194)),SMALL(IF(ISERROR(SEARCH(MID(";"&amp;'CASE DATA'!$F194&amp;";",ROW($1:$99),1),";")),"",ROW($1:$99)),COLUMN(L193)+1)-SMALL(IF(ISERROR(SEARCH(MID(";"&amp;'CASE DATA'!$F194&amp;";",ROW($1:$99),1),";")),"",ROW($1:$99)),COLUMN(L193))-1)</f>
        <v/>
      </c>
      <c r="AH194" s="29"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24"/>
      <c r="D195" s="24"/>
      <c r="E195" s="25"/>
      <c r="F195" s="30"/>
      <c r="J195" s="31"/>
      <c r="K195" s="31"/>
      <c r="L195" s="31"/>
      <c r="M195" s="31"/>
      <c r="N195" s="31"/>
      <c r="O195" s="31"/>
      <c r="P195" s="31"/>
      <c r="Q195" s="31"/>
      <c r="R195" s="31"/>
      <c r="S195" s="31"/>
      <c r="T195" s="28">
        <f t="shared" si="3"/>
        <v>0</v>
      </c>
      <c r="U195" s="28"/>
      <c r="W195" s="29" t="str">
        <f t="array" ref="W195">MID(";"&amp;'CASE DATA'!$F195&amp;";",SMALL(IF(ISERROR(SEARCH(MID(";"&amp;'CASE DATA'!$F195&amp;";",ROW($1:$99),1),";")),"",ROW($1:$99)+1),COLUMN(A195)),SMALL(IF(ISERROR(SEARCH(MID(";"&amp;'CASE DATA'!$F195&amp;";",ROW($1:$99),1),";")),"",ROW($1:$99)),COLUMN(A194)+1)-SMALL(IF(ISERROR(SEARCH(MID(";"&amp;'CASE DATA'!$F195&amp;";",ROW($1:$99),1),";")),"",ROW($1:$99)),COLUMN(A194))-1)</f>
        <v/>
      </c>
      <c r="X195" s="29" t="str">
        <f t="array" ref="X195">MID(";"&amp;'CASE DATA'!$F195&amp;";",SMALL(IF(ISERROR(SEARCH(MID(";"&amp;'CASE DATA'!$F195&amp;";",ROW($1:$99),1),";")),"",ROW($1:$99)+1),COLUMN(B195)),SMALL(IF(ISERROR(SEARCH(MID(";"&amp;'CASE DATA'!$F195&amp;";",ROW($1:$99),1),";")),"",ROW($1:$99)),COLUMN(B194)+1)-SMALL(IF(ISERROR(SEARCH(MID(";"&amp;'CASE DATA'!$F195&amp;";",ROW($1:$99),1),";")),"",ROW($1:$99)),COLUMN(B194))-1)</f>
        <v/>
      </c>
      <c r="Y195" s="29" t="str">
        <f t="array" ref="Y195">MID(";"&amp;'CASE DATA'!$F195&amp;";",SMALL(IF(ISERROR(SEARCH(MID(";"&amp;'CASE DATA'!$F195&amp;";",ROW($1:$99),1),";")),"",ROW($1:$99)+1),COLUMN(D195)),SMALL(IF(ISERROR(SEARCH(MID(";"&amp;'CASE DATA'!$F195&amp;";",ROW($1:$99),1),";")),"",ROW($1:$99)),COLUMN(D194)+1)-SMALL(IF(ISERROR(SEARCH(MID(";"&amp;'CASE DATA'!$F195&amp;";",ROW($1:$99),1),";")),"",ROW($1:$99)),COLUMN(D194))-1)</f>
        <v/>
      </c>
      <c r="Z195" s="29" t="str">
        <f t="array" ref="Z195">MID(";"&amp;'CASE DATA'!$F195&amp;";",SMALL(IF(ISERROR(SEARCH(MID(";"&amp;'CASE DATA'!$F195&amp;";",ROW($1:$99),1),";")),"",ROW($1:$99)+1),COLUMN(E195)),SMALL(IF(ISERROR(SEARCH(MID(";"&amp;'CASE DATA'!$F195&amp;";",ROW($1:$99),1),";")),"",ROW($1:$99)),COLUMN(E194)+1)-SMALL(IF(ISERROR(SEARCH(MID(";"&amp;'CASE DATA'!$F195&amp;";",ROW($1:$99),1),";")),"",ROW($1:$99)),COLUMN(E194))-1)</f>
        <v/>
      </c>
      <c r="AA195" s="29" t="str">
        <f t="array" ref="AA195">MID(";"&amp;'CASE DATA'!$F195&amp;";",SMALL(IF(ISERROR(SEARCH(MID(";"&amp;'CASE DATA'!$F195&amp;";",ROW($1:$99),1),";")),"",ROW($1:$99)+1),COLUMN(F195)),SMALL(IF(ISERROR(SEARCH(MID(";"&amp;'CASE DATA'!$F195&amp;";",ROW($1:$99),1),";")),"",ROW($1:$99)),COLUMN(F194)+1)-SMALL(IF(ISERROR(SEARCH(MID(";"&amp;'CASE DATA'!$F195&amp;";",ROW($1:$99),1),";")),"",ROW($1:$99)),COLUMN(F194))-1)</f>
        <v/>
      </c>
      <c r="AB195" s="29" t="str">
        <f t="array" ref="AB195">MID(";"&amp;'CASE DATA'!$F195&amp;";",SMALL(IF(ISERROR(SEARCH(MID(";"&amp;'CASE DATA'!$F195&amp;";",ROW($1:$99),1),";")),"",ROW($1:$99)+1),COLUMN(G195)),SMALL(IF(ISERROR(SEARCH(MID(";"&amp;'CASE DATA'!$F195&amp;";",ROW($1:$99),1),";")),"",ROW($1:$99)),COLUMN(G194)+1)-SMALL(IF(ISERROR(SEARCH(MID(";"&amp;'CASE DATA'!$F195&amp;";",ROW($1:$99),1),";")),"",ROW($1:$99)),COLUMN(G194))-1)</f>
        <v/>
      </c>
      <c r="AC195" s="29" t="str">
        <f t="array" ref="AC195">MID(";"&amp;'CASE DATA'!$F195&amp;";",SMALL(IF(ISERROR(SEARCH(MID(";"&amp;'CASE DATA'!$F195&amp;";",ROW($1:$99),1),";")),"",ROW($1:$99)+1),COLUMN(H195)),SMALL(IF(ISERROR(SEARCH(MID(";"&amp;'CASE DATA'!$F195&amp;";",ROW($1:$99),1),";")),"",ROW($1:$99)),COLUMN(H194)+1)-SMALL(IF(ISERROR(SEARCH(MID(";"&amp;'CASE DATA'!$F195&amp;";",ROW($1:$99),1),";")),"",ROW($1:$99)),COLUMN(H194))-1)</f>
        <v/>
      </c>
      <c r="AD195" s="29" t="str">
        <f t="array" ref="AD195">MID(";"&amp;'CASE DATA'!$F195&amp;";",SMALL(IF(ISERROR(SEARCH(MID(";"&amp;'CASE DATA'!$F195&amp;";",ROW($1:$99),1),";")),"",ROW($1:$99)+1),COLUMN(I195)),SMALL(IF(ISERROR(SEARCH(MID(";"&amp;'CASE DATA'!$F195&amp;";",ROW($1:$99),1),";")),"",ROW($1:$99)),COLUMN(I194)+1)-SMALL(IF(ISERROR(SEARCH(MID(";"&amp;'CASE DATA'!$F195&amp;";",ROW($1:$99),1),";")),"",ROW($1:$99)),COLUMN(I194))-1)</f>
        <v/>
      </c>
      <c r="AE195" s="29" t="str">
        <f t="array" ref="AE195">MID(";"&amp;'CASE DATA'!$F195&amp;";",SMALL(IF(ISERROR(SEARCH(MID(";"&amp;'CASE DATA'!$F195&amp;";",ROW($1:$99),1),";")),"",ROW($1:$99)+1),COLUMN(J195)),SMALL(IF(ISERROR(SEARCH(MID(";"&amp;'CASE DATA'!$F195&amp;";",ROW($1:$99),1),";")),"",ROW($1:$99)),COLUMN(J194)+1)-SMALL(IF(ISERROR(SEARCH(MID(";"&amp;'CASE DATA'!$F195&amp;";",ROW($1:$99),1),";")),"",ROW($1:$99)),COLUMN(J194))-1)</f>
        <v/>
      </c>
      <c r="AF195" s="29" t="str">
        <f t="array" ref="AF195">MID(";"&amp;'CASE DATA'!$F195&amp;";",SMALL(IF(ISERROR(SEARCH(MID(";"&amp;'CASE DATA'!$F195&amp;";",ROW($1:$99),1),";")),"",ROW($1:$99)+1),COLUMN(K195)),SMALL(IF(ISERROR(SEARCH(MID(";"&amp;'CASE DATA'!$F195&amp;";",ROW($1:$99),1),";")),"",ROW($1:$99)),COLUMN(K194)+1)-SMALL(IF(ISERROR(SEARCH(MID(";"&amp;'CASE DATA'!$F195&amp;";",ROW($1:$99),1),";")),"",ROW($1:$99)),COLUMN(K194))-1)</f>
        <v/>
      </c>
      <c r="AG195" s="29" t="str">
        <f t="array" ref="AG195">MID(";"&amp;'CASE DATA'!$F195&amp;";",SMALL(IF(ISERROR(SEARCH(MID(";"&amp;'CASE DATA'!$F195&amp;";",ROW($1:$99),1),";")),"",ROW($1:$99)+1),COLUMN(L195)),SMALL(IF(ISERROR(SEARCH(MID(";"&amp;'CASE DATA'!$F195&amp;";",ROW($1:$99),1),";")),"",ROW($1:$99)),COLUMN(L194)+1)-SMALL(IF(ISERROR(SEARCH(MID(";"&amp;'CASE DATA'!$F195&amp;";",ROW($1:$99),1),";")),"",ROW($1:$99)),COLUMN(L194))-1)</f>
        <v/>
      </c>
      <c r="AH195" s="29"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24"/>
      <c r="D196" s="24"/>
      <c r="E196" s="25"/>
      <c r="F196" s="30"/>
      <c r="J196" s="31"/>
      <c r="K196" s="31"/>
      <c r="L196" s="31"/>
      <c r="M196" s="31"/>
      <c r="N196" s="31"/>
      <c r="O196" s="31"/>
      <c r="P196" s="31"/>
      <c r="Q196" s="31"/>
      <c r="R196" s="31"/>
      <c r="S196" s="31"/>
      <c r="T196" s="28">
        <f t="shared" ref="T196:T259" si="4">SUM(J196:S196)</f>
        <v>0</v>
      </c>
      <c r="U196" s="28"/>
      <c r="W196" s="29" t="str">
        <f t="array" ref="W196">MID(";"&amp;'CASE DATA'!$F196&amp;";",SMALL(IF(ISERROR(SEARCH(MID(";"&amp;'CASE DATA'!$F196&amp;";",ROW($1:$99),1),";")),"",ROW($1:$99)+1),COLUMN(A196)),SMALL(IF(ISERROR(SEARCH(MID(";"&amp;'CASE DATA'!$F196&amp;";",ROW($1:$99),1),";")),"",ROW($1:$99)),COLUMN(A195)+1)-SMALL(IF(ISERROR(SEARCH(MID(";"&amp;'CASE DATA'!$F196&amp;";",ROW($1:$99),1),";")),"",ROW($1:$99)),COLUMN(A195))-1)</f>
        <v/>
      </c>
      <c r="X196" s="29" t="str">
        <f t="array" ref="X196">MID(";"&amp;'CASE DATA'!$F196&amp;";",SMALL(IF(ISERROR(SEARCH(MID(";"&amp;'CASE DATA'!$F196&amp;";",ROW($1:$99),1),";")),"",ROW($1:$99)+1),COLUMN(B196)),SMALL(IF(ISERROR(SEARCH(MID(";"&amp;'CASE DATA'!$F196&amp;";",ROW($1:$99),1),";")),"",ROW($1:$99)),COLUMN(B195)+1)-SMALL(IF(ISERROR(SEARCH(MID(";"&amp;'CASE DATA'!$F196&amp;";",ROW($1:$99),1),";")),"",ROW($1:$99)),COLUMN(B195))-1)</f>
        <v/>
      </c>
      <c r="Y196" s="29" t="str">
        <f t="array" ref="Y196">MID(";"&amp;'CASE DATA'!$F196&amp;";",SMALL(IF(ISERROR(SEARCH(MID(";"&amp;'CASE DATA'!$F196&amp;";",ROW($1:$99),1),";")),"",ROW($1:$99)+1),COLUMN(D196)),SMALL(IF(ISERROR(SEARCH(MID(";"&amp;'CASE DATA'!$F196&amp;";",ROW($1:$99),1),";")),"",ROW($1:$99)),COLUMN(D195)+1)-SMALL(IF(ISERROR(SEARCH(MID(";"&amp;'CASE DATA'!$F196&amp;";",ROW($1:$99),1),";")),"",ROW($1:$99)),COLUMN(D195))-1)</f>
        <v/>
      </c>
      <c r="Z196" s="29" t="str">
        <f t="array" ref="Z196">MID(";"&amp;'CASE DATA'!$F196&amp;";",SMALL(IF(ISERROR(SEARCH(MID(";"&amp;'CASE DATA'!$F196&amp;";",ROW($1:$99),1),";")),"",ROW($1:$99)+1),COLUMN(E196)),SMALL(IF(ISERROR(SEARCH(MID(";"&amp;'CASE DATA'!$F196&amp;";",ROW($1:$99),1),";")),"",ROW($1:$99)),COLUMN(E195)+1)-SMALL(IF(ISERROR(SEARCH(MID(";"&amp;'CASE DATA'!$F196&amp;";",ROW($1:$99),1),";")),"",ROW($1:$99)),COLUMN(E195))-1)</f>
        <v/>
      </c>
      <c r="AA196" s="29" t="str">
        <f t="array" ref="AA196">MID(";"&amp;'CASE DATA'!$F196&amp;";",SMALL(IF(ISERROR(SEARCH(MID(";"&amp;'CASE DATA'!$F196&amp;";",ROW($1:$99),1),";")),"",ROW($1:$99)+1),COLUMN(F196)),SMALL(IF(ISERROR(SEARCH(MID(";"&amp;'CASE DATA'!$F196&amp;";",ROW($1:$99),1),";")),"",ROW($1:$99)),COLUMN(F195)+1)-SMALL(IF(ISERROR(SEARCH(MID(";"&amp;'CASE DATA'!$F196&amp;";",ROW($1:$99),1),";")),"",ROW($1:$99)),COLUMN(F195))-1)</f>
        <v/>
      </c>
      <c r="AB196" s="29" t="str">
        <f t="array" ref="AB196">MID(";"&amp;'CASE DATA'!$F196&amp;";",SMALL(IF(ISERROR(SEARCH(MID(";"&amp;'CASE DATA'!$F196&amp;";",ROW($1:$99),1),";")),"",ROW($1:$99)+1),COLUMN(G196)),SMALL(IF(ISERROR(SEARCH(MID(";"&amp;'CASE DATA'!$F196&amp;";",ROW($1:$99),1),";")),"",ROW($1:$99)),COLUMN(G195)+1)-SMALL(IF(ISERROR(SEARCH(MID(";"&amp;'CASE DATA'!$F196&amp;";",ROW($1:$99),1),";")),"",ROW($1:$99)),COLUMN(G195))-1)</f>
        <v/>
      </c>
      <c r="AC196" s="29" t="str">
        <f t="array" ref="AC196">MID(";"&amp;'CASE DATA'!$F196&amp;";",SMALL(IF(ISERROR(SEARCH(MID(";"&amp;'CASE DATA'!$F196&amp;";",ROW($1:$99),1),";")),"",ROW($1:$99)+1),COLUMN(H196)),SMALL(IF(ISERROR(SEARCH(MID(";"&amp;'CASE DATA'!$F196&amp;";",ROW($1:$99),1),";")),"",ROW($1:$99)),COLUMN(H195)+1)-SMALL(IF(ISERROR(SEARCH(MID(";"&amp;'CASE DATA'!$F196&amp;";",ROW($1:$99),1),";")),"",ROW($1:$99)),COLUMN(H195))-1)</f>
        <v/>
      </c>
      <c r="AD196" s="29" t="str">
        <f t="array" ref="AD196">MID(";"&amp;'CASE DATA'!$F196&amp;";",SMALL(IF(ISERROR(SEARCH(MID(";"&amp;'CASE DATA'!$F196&amp;";",ROW($1:$99),1),";")),"",ROW($1:$99)+1),COLUMN(I196)),SMALL(IF(ISERROR(SEARCH(MID(";"&amp;'CASE DATA'!$F196&amp;";",ROW($1:$99),1),";")),"",ROW($1:$99)),COLUMN(I195)+1)-SMALL(IF(ISERROR(SEARCH(MID(";"&amp;'CASE DATA'!$F196&amp;";",ROW($1:$99),1),";")),"",ROW($1:$99)),COLUMN(I195))-1)</f>
        <v/>
      </c>
      <c r="AE196" s="29" t="str">
        <f t="array" ref="AE196">MID(";"&amp;'CASE DATA'!$F196&amp;";",SMALL(IF(ISERROR(SEARCH(MID(";"&amp;'CASE DATA'!$F196&amp;";",ROW($1:$99),1),";")),"",ROW($1:$99)+1),COLUMN(J196)),SMALL(IF(ISERROR(SEARCH(MID(";"&amp;'CASE DATA'!$F196&amp;";",ROW($1:$99),1),";")),"",ROW($1:$99)),COLUMN(J195)+1)-SMALL(IF(ISERROR(SEARCH(MID(";"&amp;'CASE DATA'!$F196&amp;";",ROW($1:$99),1),";")),"",ROW($1:$99)),COLUMN(J195))-1)</f>
        <v/>
      </c>
      <c r="AF196" s="29" t="str">
        <f t="array" ref="AF196">MID(";"&amp;'CASE DATA'!$F196&amp;";",SMALL(IF(ISERROR(SEARCH(MID(";"&amp;'CASE DATA'!$F196&amp;";",ROW($1:$99),1),";")),"",ROW($1:$99)+1),COLUMN(K196)),SMALL(IF(ISERROR(SEARCH(MID(";"&amp;'CASE DATA'!$F196&amp;";",ROW($1:$99),1),";")),"",ROW($1:$99)),COLUMN(K195)+1)-SMALL(IF(ISERROR(SEARCH(MID(";"&amp;'CASE DATA'!$F196&amp;";",ROW($1:$99),1),";")),"",ROW($1:$99)),COLUMN(K195))-1)</f>
        <v/>
      </c>
      <c r="AG196" s="29" t="str">
        <f t="array" ref="AG196">MID(";"&amp;'CASE DATA'!$F196&amp;";",SMALL(IF(ISERROR(SEARCH(MID(";"&amp;'CASE DATA'!$F196&amp;";",ROW($1:$99),1),";")),"",ROW($1:$99)+1),COLUMN(L196)),SMALL(IF(ISERROR(SEARCH(MID(";"&amp;'CASE DATA'!$F196&amp;";",ROW($1:$99),1),";")),"",ROW($1:$99)),COLUMN(L195)+1)-SMALL(IF(ISERROR(SEARCH(MID(";"&amp;'CASE DATA'!$F196&amp;";",ROW($1:$99),1),";")),"",ROW($1:$99)),COLUMN(L195))-1)</f>
        <v/>
      </c>
      <c r="AH196" s="29"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24"/>
      <c r="D197" s="24"/>
      <c r="E197" s="25"/>
      <c r="F197" s="30"/>
      <c r="J197" s="31"/>
      <c r="K197" s="31"/>
      <c r="L197" s="31"/>
      <c r="M197" s="31"/>
      <c r="N197" s="31"/>
      <c r="O197" s="31"/>
      <c r="P197" s="31"/>
      <c r="Q197" s="31"/>
      <c r="R197" s="31"/>
      <c r="S197" s="31"/>
      <c r="T197" s="28">
        <f t="shared" si="4"/>
        <v>0</v>
      </c>
      <c r="U197" s="28"/>
      <c r="W197" s="29" t="str">
        <f t="array" ref="W197">MID(";"&amp;'CASE DATA'!$F197&amp;";",SMALL(IF(ISERROR(SEARCH(MID(";"&amp;'CASE DATA'!$F197&amp;";",ROW($1:$99),1),";")),"",ROW($1:$99)+1),COLUMN(A197)),SMALL(IF(ISERROR(SEARCH(MID(";"&amp;'CASE DATA'!$F197&amp;";",ROW($1:$99),1),";")),"",ROW($1:$99)),COLUMN(A196)+1)-SMALL(IF(ISERROR(SEARCH(MID(";"&amp;'CASE DATA'!$F197&amp;";",ROW($1:$99),1),";")),"",ROW($1:$99)),COLUMN(A196))-1)</f>
        <v/>
      </c>
      <c r="X197" s="29" t="str">
        <f t="array" ref="X197">MID(";"&amp;'CASE DATA'!$F197&amp;";",SMALL(IF(ISERROR(SEARCH(MID(";"&amp;'CASE DATA'!$F197&amp;";",ROW($1:$99),1),";")),"",ROW($1:$99)+1),COLUMN(B197)),SMALL(IF(ISERROR(SEARCH(MID(";"&amp;'CASE DATA'!$F197&amp;";",ROW($1:$99),1),";")),"",ROW($1:$99)),COLUMN(B196)+1)-SMALL(IF(ISERROR(SEARCH(MID(";"&amp;'CASE DATA'!$F197&amp;";",ROW($1:$99),1),";")),"",ROW($1:$99)),COLUMN(B196))-1)</f>
        <v/>
      </c>
      <c r="Y197" s="29" t="str">
        <f t="array" ref="Y197">MID(";"&amp;'CASE DATA'!$F197&amp;";",SMALL(IF(ISERROR(SEARCH(MID(";"&amp;'CASE DATA'!$F197&amp;";",ROW($1:$99),1),";")),"",ROW($1:$99)+1),COLUMN(D197)),SMALL(IF(ISERROR(SEARCH(MID(";"&amp;'CASE DATA'!$F197&amp;";",ROW($1:$99),1),";")),"",ROW($1:$99)),COLUMN(D196)+1)-SMALL(IF(ISERROR(SEARCH(MID(";"&amp;'CASE DATA'!$F197&amp;";",ROW($1:$99),1),";")),"",ROW($1:$99)),COLUMN(D196))-1)</f>
        <v/>
      </c>
      <c r="Z197" s="29" t="str">
        <f t="array" ref="Z197">MID(";"&amp;'CASE DATA'!$F197&amp;";",SMALL(IF(ISERROR(SEARCH(MID(";"&amp;'CASE DATA'!$F197&amp;";",ROW($1:$99),1),";")),"",ROW($1:$99)+1),COLUMN(E197)),SMALL(IF(ISERROR(SEARCH(MID(";"&amp;'CASE DATA'!$F197&amp;";",ROW($1:$99),1),";")),"",ROW($1:$99)),COLUMN(E196)+1)-SMALL(IF(ISERROR(SEARCH(MID(";"&amp;'CASE DATA'!$F197&amp;";",ROW($1:$99),1),";")),"",ROW($1:$99)),COLUMN(E196))-1)</f>
        <v/>
      </c>
      <c r="AA197" s="29" t="str">
        <f t="array" ref="AA197">MID(";"&amp;'CASE DATA'!$F197&amp;";",SMALL(IF(ISERROR(SEARCH(MID(";"&amp;'CASE DATA'!$F197&amp;";",ROW($1:$99),1),";")),"",ROW($1:$99)+1),COLUMN(F197)),SMALL(IF(ISERROR(SEARCH(MID(";"&amp;'CASE DATA'!$F197&amp;";",ROW($1:$99),1),";")),"",ROW($1:$99)),COLUMN(F196)+1)-SMALL(IF(ISERROR(SEARCH(MID(";"&amp;'CASE DATA'!$F197&amp;";",ROW($1:$99),1),";")),"",ROW($1:$99)),COLUMN(F196))-1)</f>
        <v/>
      </c>
      <c r="AB197" s="29" t="str">
        <f t="array" ref="AB197">MID(";"&amp;'CASE DATA'!$F197&amp;";",SMALL(IF(ISERROR(SEARCH(MID(";"&amp;'CASE DATA'!$F197&amp;";",ROW($1:$99),1),";")),"",ROW($1:$99)+1),COLUMN(G197)),SMALL(IF(ISERROR(SEARCH(MID(";"&amp;'CASE DATA'!$F197&amp;";",ROW($1:$99),1),";")),"",ROW($1:$99)),COLUMN(G196)+1)-SMALL(IF(ISERROR(SEARCH(MID(";"&amp;'CASE DATA'!$F197&amp;";",ROW($1:$99),1),";")),"",ROW($1:$99)),COLUMN(G196))-1)</f>
        <v/>
      </c>
      <c r="AC197" s="29" t="str">
        <f t="array" ref="AC197">MID(";"&amp;'CASE DATA'!$F197&amp;";",SMALL(IF(ISERROR(SEARCH(MID(";"&amp;'CASE DATA'!$F197&amp;";",ROW($1:$99),1),";")),"",ROW($1:$99)+1),COLUMN(H197)),SMALL(IF(ISERROR(SEARCH(MID(";"&amp;'CASE DATA'!$F197&amp;";",ROW($1:$99),1),";")),"",ROW($1:$99)),COLUMN(H196)+1)-SMALL(IF(ISERROR(SEARCH(MID(";"&amp;'CASE DATA'!$F197&amp;";",ROW($1:$99),1),";")),"",ROW($1:$99)),COLUMN(H196))-1)</f>
        <v/>
      </c>
      <c r="AD197" s="29" t="str">
        <f t="array" ref="AD197">MID(";"&amp;'CASE DATA'!$F197&amp;";",SMALL(IF(ISERROR(SEARCH(MID(";"&amp;'CASE DATA'!$F197&amp;";",ROW($1:$99),1),";")),"",ROW($1:$99)+1),COLUMN(I197)),SMALL(IF(ISERROR(SEARCH(MID(";"&amp;'CASE DATA'!$F197&amp;";",ROW($1:$99),1),";")),"",ROW($1:$99)),COLUMN(I196)+1)-SMALL(IF(ISERROR(SEARCH(MID(";"&amp;'CASE DATA'!$F197&amp;";",ROW($1:$99),1),";")),"",ROW($1:$99)),COLUMN(I196))-1)</f>
        <v/>
      </c>
      <c r="AE197" s="29" t="str">
        <f t="array" ref="AE197">MID(";"&amp;'CASE DATA'!$F197&amp;";",SMALL(IF(ISERROR(SEARCH(MID(";"&amp;'CASE DATA'!$F197&amp;";",ROW($1:$99),1),";")),"",ROW($1:$99)+1),COLUMN(J197)),SMALL(IF(ISERROR(SEARCH(MID(";"&amp;'CASE DATA'!$F197&amp;";",ROW($1:$99),1),";")),"",ROW($1:$99)),COLUMN(J196)+1)-SMALL(IF(ISERROR(SEARCH(MID(";"&amp;'CASE DATA'!$F197&amp;";",ROW($1:$99),1),";")),"",ROW($1:$99)),COLUMN(J196))-1)</f>
        <v/>
      </c>
      <c r="AF197" s="29" t="str">
        <f t="array" ref="AF197">MID(";"&amp;'CASE DATA'!$F197&amp;";",SMALL(IF(ISERROR(SEARCH(MID(";"&amp;'CASE DATA'!$F197&amp;";",ROW($1:$99),1),";")),"",ROW($1:$99)+1),COLUMN(K197)),SMALL(IF(ISERROR(SEARCH(MID(";"&amp;'CASE DATA'!$F197&amp;";",ROW($1:$99),1),";")),"",ROW($1:$99)),COLUMN(K196)+1)-SMALL(IF(ISERROR(SEARCH(MID(";"&amp;'CASE DATA'!$F197&amp;";",ROW($1:$99),1),";")),"",ROW($1:$99)),COLUMN(K196))-1)</f>
        <v/>
      </c>
      <c r="AG197" s="29" t="str">
        <f t="array" ref="AG197">MID(";"&amp;'CASE DATA'!$F197&amp;";",SMALL(IF(ISERROR(SEARCH(MID(";"&amp;'CASE DATA'!$F197&amp;";",ROW($1:$99),1),";")),"",ROW($1:$99)+1),COLUMN(L197)),SMALL(IF(ISERROR(SEARCH(MID(";"&amp;'CASE DATA'!$F197&amp;";",ROW($1:$99),1),";")),"",ROW($1:$99)),COLUMN(L196)+1)-SMALL(IF(ISERROR(SEARCH(MID(";"&amp;'CASE DATA'!$F197&amp;";",ROW($1:$99),1),";")),"",ROW($1:$99)),COLUMN(L196))-1)</f>
        <v/>
      </c>
      <c r="AH197" s="29"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24"/>
      <c r="D198" s="24"/>
      <c r="E198" s="25"/>
      <c r="F198" s="30"/>
      <c r="J198" s="31"/>
      <c r="K198" s="31"/>
      <c r="L198" s="31"/>
      <c r="M198" s="31"/>
      <c r="N198" s="31"/>
      <c r="O198" s="31"/>
      <c r="P198" s="31"/>
      <c r="Q198" s="31"/>
      <c r="R198" s="31"/>
      <c r="S198" s="31"/>
      <c r="T198" s="28">
        <f t="shared" si="4"/>
        <v>0</v>
      </c>
      <c r="U198" s="28"/>
      <c r="W198" s="29" t="str">
        <f t="array" ref="W198">MID(";"&amp;'CASE DATA'!$F198&amp;";",SMALL(IF(ISERROR(SEARCH(MID(";"&amp;'CASE DATA'!$F198&amp;";",ROW($1:$99),1),";")),"",ROW($1:$99)+1),COLUMN(A198)),SMALL(IF(ISERROR(SEARCH(MID(";"&amp;'CASE DATA'!$F198&amp;";",ROW($1:$99),1),";")),"",ROW($1:$99)),COLUMN(A197)+1)-SMALL(IF(ISERROR(SEARCH(MID(";"&amp;'CASE DATA'!$F198&amp;";",ROW($1:$99),1),";")),"",ROW($1:$99)),COLUMN(A197))-1)</f>
        <v/>
      </c>
      <c r="X198" s="29" t="str">
        <f t="array" ref="X198">MID(";"&amp;'CASE DATA'!$F198&amp;";",SMALL(IF(ISERROR(SEARCH(MID(";"&amp;'CASE DATA'!$F198&amp;";",ROW($1:$99),1),";")),"",ROW($1:$99)+1),COLUMN(B198)),SMALL(IF(ISERROR(SEARCH(MID(";"&amp;'CASE DATA'!$F198&amp;";",ROW($1:$99),1),";")),"",ROW($1:$99)),COLUMN(B197)+1)-SMALL(IF(ISERROR(SEARCH(MID(";"&amp;'CASE DATA'!$F198&amp;";",ROW($1:$99),1),";")),"",ROW($1:$99)),COLUMN(B197))-1)</f>
        <v/>
      </c>
      <c r="Y198" s="29" t="str">
        <f t="array" ref="Y198">MID(";"&amp;'CASE DATA'!$F198&amp;";",SMALL(IF(ISERROR(SEARCH(MID(";"&amp;'CASE DATA'!$F198&amp;";",ROW($1:$99),1),";")),"",ROW($1:$99)+1),COLUMN(D198)),SMALL(IF(ISERROR(SEARCH(MID(";"&amp;'CASE DATA'!$F198&amp;";",ROW($1:$99),1),";")),"",ROW($1:$99)),COLUMN(D197)+1)-SMALL(IF(ISERROR(SEARCH(MID(";"&amp;'CASE DATA'!$F198&amp;";",ROW($1:$99),1),";")),"",ROW($1:$99)),COLUMN(D197))-1)</f>
        <v/>
      </c>
      <c r="Z198" s="29" t="str">
        <f t="array" ref="Z198">MID(";"&amp;'CASE DATA'!$F198&amp;";",SMALL(IF(ISERROR(SEARCH(MID(";"&amp;'CASE DATA'!$F198&amp;";",ROW($1:$99),1),";")),"",ROW($1:$99)+1),COLUMN(E198)),SMALL(IF(ISERROR(SEARCH(MID(";"&amp;'CASE DATA'!$F198&amp;";",ROW($1:$99),1),";")),"",ROW($1:$99)),COLUMN(E197)+1)-SMALL(IF(ISERROR(SEARCH(MID(";"&amp;'CASE DATA'!$F198&amp;";",ROW($1:$99),1),";")),"",ROW($1:$99)),COLUMN(E197))-1)</f>
        <v/>
      </c>
      <c r="AA198" s="29" t="str">
        <f t="array" ref="AA198">MID(";"&amp;'CASE DATA'!$F198&amp;";",SMALL(IF(ISERROR(SEARCH(MID(";"&amp;'CASE DATA'!$F198&amp;";",ROW($1:$99),1),";")),"",ROW($1:$99)+1),COLUMN(F198)),SMALL(IF(ISERROR(SEARCH(MID(";"&amp;'CASE DATA'!$F198&amp;";",ROW($1:$99),1),";")),"",ROW($1:$99)),COLUMN(F197)+1)-SMALL(IF(ISERROR(SEARCH(MID(";"&amp;'CASE DATA'!$F198&amp;";",ROW($1:$99),1),";")),"",ROW($1:$99)),COLUMN(F197))-1)</f>
        <v/>
      </c>
      <c r="AB198" s="29" t="str">
        <f t="array" ref="AB198">MID(";"&amp;'CASE DATA'!$F198&amp;";",SMALL(IF(ISERROR(SEARCH(MID(";"&amp;'CASE DATA'!$F198&amp;";",ROW($1:$99),1),";")),"",ROW($1:$99)+1),COLUMN(G198)),SMALL(IF(ISERROR(SEARCH(MID(";"&amp;'CASE DATA'!$F198&amp;";",ROW($1:$99),1),";")),"",ROW($1:$99)),COLUMN(G197)+1)-SMALL(IF(ISERROR(SEARCH(MID(";"&amp;'CASE DATA'!$F198&amp;";",ROW($1:$99),1),";")),"",ROW($1:$99)),COLUMN(G197))-1)</f>
        <v/>
      </c>
      <c r="AC198" s="29" t="str">
        <f t="array" ref="AC198">MID(";"&amp;'CASE DATA'!$F198&amp;";",SMALL(IF(ISERROR(SEARCH(MID(";"&amp;'CASE DATA'!$F198&amp;";",ROW($1:$99),1),";")),"",ROW($1:$99)+1),COLUMN(H198)),SMALL(IF(ISERROR(SEARCH(MID(";"&amp;'CASE DATA'!$F198&amp;";",ROW($1:$99),1),";")),"",ROW($1:$99)),COLUMN(H197)+1)-SMALL(IF(ISERROR(SEARCH(MID(";"&amp;'CASE DATA'!$F198&amp;";",ROW($1:$99),1),";")),"",ROW($1:$99)),COLUMN(H197))-1)</f>
        <v/>
      </c>
      <c r="AD198" s="29" t="str">
        <f t="array" ref="AD198">MID(";"&amp;'CASE DATA'!$F198&amp;";",SMALL(IF(ISERROR(SEARCH(MID(";"&amp;'CASE DATA'!$F198&amp;";",ROW($1:$99),1),";")),"",ROW($1:$99)+1),COLUMN(I198)),SMALL(IF(ISERROR(SEARCH(MID(";"&amp;'CASE DATA'!$F198&amp;";",ROW($1:$99),1),";")),"",ROW($1:$99)),COLUMN(I197)+1)-SMALL(IF(ISERROR(SEARCH(MID(";"&amp;'CASE DATA'!$F198&amp;";",ROW($1:$99),1),";")),"",ROW($1:$99)),COLUMN(I197))-1)</f>
        <v/>
      </c>
      <c r="AE198" s="29" t="str">
        <f t="array" ref="AE198">MID(";"&amp;'CASE DATA'!$F198&amp;";",SMALL(IF(ISERROR(SEARCH(MID(";"&amp;'CASE DATA'!$F198&amp;";",ROW($1:$99),1),";")),"",ROW($1:$99)+1),COLUMN(J198)),SMALL(IF(ISERROR(SEARCH(MID(";"&amp;'CASE DATA'!$F198&amp;";",ROW($1:$99),1),";")),"",ROW($1:$99)),COLUMN(J197)+1)-SMALL(IF(ISERROR(SEARCH(MID(";"&amp;'CASE DATA'!$F198&amp;";",ROW($1:$99),1),";")),"",ROW($1:$99)),COLUMN(J197))-1)</f>
        <v/>
      </c>
      <c r="AF198" s="29" t="str">
        <f t="array" ref="AF198">MID(";"&amp;'CASE DATA'!$F198&amp;";",SMALL(IF(ISERROR(SEARCH(MID(";"&amp;'CASE DATA'!$F198&amp;";",ROW($1:$99),1),";")),"",ROW($1:$99)+1),COLUMN(K198)),SMALL(IF(ISERROR(SEARCH(MID(";"&amp;'CASE DATA'!$F198&amp;";",ROW($1:$99),1),";")),"",ROW($1:$99)),COLUMN(K197)+1)-SMALL(IF(ISERROR(SEARCH(MID(";"&amp;'CASE DATA'!$F198&amp;";",ROW($1:$99),1),";")),"",ROW($1:$99)),COLUMN(K197))-1)</f>
        <v/>
      </c>
      <c r="AG198" s="29" t="str">
        <f t="array" ref="AG198">MID(";"&amp;'CASE DATA'!$F198&amp;";",SMALL(IF(ISERROR(SEARCH(MID(";"&amp;'CASE DATA'!$F198&amp;";",ROW($1:$99),1),";")),"",ROW($1:$99)+1),COLUMN(L198)),SMALL(IF(ISERROR(SEARCH(MID(";"&amp;'CASE DATA'!$F198&amp;";",ROW($1:$99),1),";")),"",ROW($1:$99)),COLUMN(L197)+1)-SMALL(IF(ISERROR(SEARCH(MID(";"&amp;'CASE DATA'!$F198&amp;";",ROW($1:$99),1),";")),"",ROW($1:$99)),COLUMN(L197))-1)</f>
        <v/>
      </c>
      <c r="AH198" s="29"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24"/>
      <c r="D199" s="24"/>
      <c r="E199" s="25"/>
      <c r="F199" s="30"/>
      <c r="J199" s="31"/>
      <c r="K199" s="31"/>
      <c r="L199" s="31"/>
      <c r="M199" s="31"/>
      <c r="N199" s="31"/>
      <c r="O199" s="31"/>
      <c r="P199" s="31"/>
      <c r="Q199" s="31"/>
      <c r="R199" s="31"/>
      <c r="S199" s="31"/>
      <c r="T199" s="28">
        <f t="shared" si="4"/>
        <v>0</v>
      </c>
      <c r="U199" s="28"/>
      <c r="W199" s="29" t="str">
        <f t="array" ref="W199">MID(";"&amp;'CASE DATA'!$F199&amp;";",SMALL(IF(ISERROR(SEARCH(MID(";"&amp;'CASE DATA'!$F199&amp;";",ROW($1:$99),1),";")),"",ROW($1:$99)+1),COLUMN(A199)),SMALL(IF(ISERROR(SEARCH(MID(";"&amp;'CASE DATA'!$F199&amp;";",ROW($1:$99),1),";")),"",ROW($1:$99)),COLUMN(A198)+1)-SMALL(IF(ISERROR(SEARCH(MID(";"&amp;'CASE DATA'!$F199&amp;";",ROW($1:$99),1),";")),"",ROW($1:$99)),COLUMN(A198))-1)</f>
        <v/>
      </c>
      <c r="X199" s="29" t="str">
        <f t="array" ref="X199">MID(";"&amp;'CASE DATA'!$F199&amp;";",SMALL(IF(ISERROR(SEARCH(MID(";"&amp;'CASE DATA'!$F199&amp;";",ROW($1:$99),1),";")),"",ROW($1:$99)+1),COLUMN(B199)),SMALL(IF(ISERROR(SEARCH(MID(";"&amp;'CASE DATA'!$F199&amp;";",ROW($1:$99),1),";")),"",ROW($1:$99)),COLUMN(B198)+1)-SMALL(IF(ISERROR(SEARCH(MID(";"&amp;'CASE DATA'!$F199&amp;";",ROW($1:$99),1),";")),"",ROW($1:$99)),COLUMN(B198))-1)</f>
        <v/>
      </c>
      <c r="Y199" s="29" t="str">
        <f t="array" ref="Y199">MID(";"&amp;'CASE DATA'!$F199&amp;";",SMALL(IF(ISERROR(SEARCH(MID(";"&amp;'CASE DATA'!$F199&amp;";",ROW($1:$99),1),";")),"",ROW($1:$99)+1),COLUMN(D199)),SMALL(IF(ISERROR(SEARCH(MID(";"&amp;'CASE DATA'!$F199&amp;";",ROW($1:$99),1),";")),"",ROW($1:$99)),COLUMN(D198)+1)-SMALL(IF(ISERROR(SEARCH(MID(";"&amp;'CASE DATA'!$F199&amp;";",ROW($1:$99),1),";")),"",ROW($1:$99)),COLUMN(D198))-1)</f>
        <v/>
      </c>
      <c r="Z199" s="29" t="str">
        <f t="array" ref="Z199">MID(";"&amp;'CASE DATA'!$F199&amp;";",SMALL(IF(ISERROR(SEARCH(MID(";"&amp;'CASE DATA'!$F199&amp;";",ROW($1:$99),1),";")),"",ROW($1:$99)+1),COLUMN(E199)),SMALL(IF(ISERROR(SEARCH(MID(";"&amp;'CASE DATA'!$F199&amp;";",ROW($1:$99),1),";")),"",ROW($1:$99)),COLUMN(E198)+1)-SMALL(IF(ISERROR(SEARCH(MID(";"&amp;'CASE DATA'!$F199&amp;";",ROW($1:$99),1),";")),"",ROW($1:$99)),COLUMN(E198))-1)</f>
        <v/>
      </c>
      <c r="AA199" s="29" t="str">
        <f t="array" ref="AA199">MID(";"&amp;'CASE DATA'!$F199&amp;";",SMALL(IF(ISERROR(SEARCH(MID(";"&amp;'CASE DATA'!$F199&amp;";",ROW($1:$99),1),";")),"",ROW($1:$99)+1),COLUMN(F199)),SMALL(IF(ISERROR(SEARCH(MID(";"&amp;'CASE DATA'!$F199&amp;";",ROW($1:$99),1),";")),"",ROW($1:$99)),COLUMN(F198)+1)-SMALL(IF(ISERROR(SEARCH(MID(";"&amp;'CASE DATA'!$F199&amp;";",ROW($1:$99),1),";")),"",ROW($1:$99)),COLUMN(F198))-1)</f>
        <v/>
      </c>
      <c r="AB199" s="29" t="str">
        <f t="array" ref="AB199">MID(";"&amp;'CASE DATA'!$F199&amp;";",SMALL(IF(ISERROR(SEARCH(MID(";"&amp;'CASE DATA'!$F199&amp;";",ROW($1:$99),1),";")),"",ROW($1:$99)+1),COLUMN(G199)),SMALL(IF(ISERROR(SEARCH(MID(";"&amp;'CASE DATA'!$F199&amp;";",ROW($1:$99),1),";")),"",ROW($1:$99)),COLUMN(G198)+1)-SMALL(IF(ISERROR(SEARCH(MID(";"&amp;'CASE DATA'!$F199&amp;";",ROW($1:$99),1),";")),"",ROW($1:$99)),COLUMN(G198))-1)</f>
        <v/>
      </c>
      <c r="AC199" s="29" t="str">
        <f t="array" ref="AC199">MID(";"&amp;'CASE DATA'!$F199&amp;";",SMALL(IF(ISERROR(SEARCH(MID(";"&amp;'CASE DATA'!$F199&amp;";",ROW($1:$99),1),";")),"",ROW($1:$99)+1),COLUMN(H199)),SMALL(IF(ISERROR(SEARCH(MID(";"&amp;'CASE DATA'!$F199&amp;";",ROW($1:$99),1),";")),"",ROW($1:$99)),COLUMN(H198)+1)-SMALL(IF(ISERROR(SEARCH(MID(";"&amp;'CASE DATA'!$F199&amp;";",ROW($1:$99),1),";")),"",ROW($1:$99)),COLUMN(H198))-1)</f>
        <v/>
      </c>
      <c r="AD199" s="29" t="str">
        <f t="array" ref="AD199">MID(";"&amp;'CASE DATA'!$F199&amp;";",SMALL(IF(ISERROR(SEARCH(MID(";"&amp;'CASE DATA'!$F199&amp;";",ROW($1:$99),1),";")),"",ROW($1:$99)+1),COLUMN(I199)),SMALL(IF(ISERROR(SEARCH(MID(";"&amp;'CASE DATA'!$F199&amp;";",ROW($1:$99),1),";")),"",ROW($1:$99)),COLUMN(I198)+1)-SMALL(IF(ISERROR(SEARCH(MID(";"&amp;'CASE DATA'!$F199&amp;";",ROW($1:$99),1),";")),"",ROW($1:$99)),COLUMN(I198))-1)</f>
        <v/>
      </c>
      <c r="AE199" s="29" t="str">
        <f t="array" ref="AE199">MID(";"&amp;'CASE DATA'!$F199&amp;";",SMALL(IF(ISERROR(SEARCH(MID(";"&amp;'CASE DATA'!$F199&amp;";",ROW($1:$99),1),";")),"",ROW($1:$99)+1),COLUMN(J199)),SMALL(IF(ISERROR(SEARCH(MID(";"&amp;'CASE DATA'!$F199&amp;";",ROW($1:$99),1),";")),"",ROW($1:$99)),COLUMN(J198)+1)-SMALL(IF(ISERROR(SEARCH(MID(";"&amp;'CASE DATA'!$F199&amp;";",ROW($1:$99),1),";")),"",ROW($1:$99)),COLUMN(J198))-1)</f>
        <v/>
      </c>
      <c r="AF199" s="29" t="str">
        <f t="array" ref="AF199">MID(";"&amp;'CASE DATA'!$F199&amp;";",SMALL(IF(ISERROR(SEARCH(MID(";"&amp;'CASE DATA'!$F199&amp;";",ROW($1:$99),1),";")),"",ROW($1:$99)+1),COLUMN(K199)),SMALL(IF(ISERROR(SEARCH(MID(";"&amp;'CASE DATA'!$F199&amp;";",ROW($1:$99),1),";")),"",ROW($1:$99)),COLUMN(K198)+1)-SMALL(IF(ISERROR(SEARCH(MID(";"&amp;'CASE DATA'!$F199&amp;";",ROW($1:$99),1),";")),"",ROW($1:$99)),COLUMN(K198))-1)</f>
        <v/>
      </c>
      <c r="AG199" s="29" t="str">
        <f t="array" ref="AG199">MID(";"&amp;'CASE DATA'!$F199&amp;";",SMALL(IF(ISERROR(SEARCH(MID(";"&amp;'CASE DATA'!$F199&amp;";",ROW($1:$99),1),";")),"",ROW($1:$99)+1),COLUMN(L199)),SMALL(IF(ISERROR(SEARCH(MID(";"&amp;'CASE DATA'!$F199&amp;";",ROW($1:$99),1),";")),"",ROW($1:$99)),COLUMN(L198)+1)-SMALL(IF(ISERROR(SEARCH(MID(";"&amp;'CASE DATA'!$F199&amp;";",ROW($1:$99),1),";")),"",ROW($1:$99)),COLUMN(L198))-1)</f>
        <v/>
      </c>
      <c r="AH199" s="29"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24"/>
      <c r="D200" s="24"/>
      <c r="E200" s="25"/>
      <c r="F200" s="34"/>
      <c r="J200" s="31"/>
      <c r="K200" s="31"/>
      <c r="L200" s="31"/>
      <c r="M200" s="31"/>
      <c r="N200" s="31"/>
      <c r="O200" s="31"/>
      <c r="P200" s="31"/>
      <c r="Q200" s="31"/>
      <c r="R200" s="31"/>
      <c r="S200" s="31"/>
      <c r="T200" s="28">
        <f t="shared" si="4"/>
        <v>0</v>
      </c>
      <c r="U200" s="28"/>
      <c r="W200" s="29" t="str">
        <f t="array" ref="W200">MID(";"&amp;'CASE DATA'!$F200&amp;";",SMALL(IF(ISERROR(SEARCH(MID(";"&amp;'CASE DATA'!$F200&amp;";",ROW($1:$99),1),";")),"",ROW($1:$99)+1),COLUMN(A200)),SMALL(IF(ISERROR(SEARCH(MID(";"&amp;'CASE DATA'!$F200&amp;";",ROW($1:$99),1),";")),"",ROW($1:$99)),COLUMN(A199)+1)-SMALL(IF(ISERROR(SEARCH(MID(";"&amp;'CASE DATA'!$F200&amp;";",ROW($1:$99),1),";")),"",ROW($1:$99)),COLUMN(A199))-1)</f>
        <v/>
      </c>
      <c r="X200" s="29" t="str">
        <f t="array" ref="X200">MID(";"&amp;'CASE DATA'!$F200&amp;";",SMALL(IF(ISERROR(SEARCH(MID(";"&amp;'CASE DATA'!$F200&amp;";",ROW($1:$99),1),";")),"",ROW($1:$99)+1),COLUMN(B200)),SMALL(IF(ISERROR(SEARCH(MID(";"&amp;'CASE DATA'!$F200&amp;";",ROW($1:$99),1),";")),"",ROW($1:$99)),COLUMN(B199)+1)-SMALL(IF(ISERROR(SEARCH(MID(";"&amp;'CASE DATA'!$F200&amp;";",ROW($1:$99),1),";")),"",ROW($1:$99)),COLUMN(B199))-1)</f>
        <v/>
      </c>
      <c r="Y200" s="29" t="str">
        <f t="array" ref="Y200">MID(";"&amp;'CASE DATA'!$F200&amp;";",SMALL(IF(ISERROR(SEARCH(MID(";"&amp;'CASE DATA'!$F200&amp;";",ROW($1:$99),1),";")),"",ROW($1:$99)+1),COLUMN(D200)),SMALL(IF(ISERROR(SEARCH(MID(";"&amp;'CASE DATA'!$F200&amp;";",ROW($1:$99),1),";")),"",ROW($1:$99)),COLUMN(D199)+1)-SMALL(IF(ISERROR(SEARCH(MID(";"&amp;'CASE DATA'!$F200&amp;";",ROW($1:$99),1),";")),"",ROW($1:$99)),COLUMN(D199))-1)</f>
        <v/>
      </c>
      <c r="Z200" s="29" t="str">
        <f t="array" ref="Z200">MID(";"&amp;'CASE DATA'!$F200&amp;";",SMALL(IF(ISERROR(SEARCH(MID(";"&amp;'CASE DATA'!$F200&amp;";",ROW($1:$99),1),";")),"",ROW($1:$99)+1),COLUMN(E200)),SMALL(IF(ISERROR(SEARCH(MID(";"&amp;'CASE DATA'!$F200&amp;";",ROW($1:$99),1),";")),"",ROW($1:$99)),COLUMN(E199)+1)-SMALL(IF(ISERROR(SEARCH(MID(";"&amp;'CASE DATA'!$F200&amp;";",ROW($1:$99),1),";")),"",ROW($1:$99)),COLUMN(E199))-1)</f>
        <v/>
      </c>
      <c r="AA200" s="29" t="str">
        <f t="array" ref="AA200">MID(";"&amp;'CASE DATA'!$F200&amp;";",SMALL(IF(ISERROR(SEARCH(MID(";"&amp;'CASE DATA'!$F200&amp;";",ROW($1:$99),1),";")),"",ROW($1:$99)+1),COLUMN(F200)),SMALL(IF(ISERROR(SEARCH(MID(";"&amp;'CASE DATA'!$F200&amp;";",ROW($1:$99),1),";")),"",ROW($1:$99)),COLUMN(F199)+1)-SMALL(IF(ISERROR(SEARCH(MID(";"&amp;'CASE DATA'!$F200&amp;";",ROW($1:$99),1),";")),"",ROW($1:$99)),COLUMN(F199))-1)</f>
        <v/>
      </c>
      <c r="AB200" s="29" t="str">
        <f t="array" ref="AB200">MID(";"&amp;'CASE DATA'!$F200&amp;";",SMALL(IF(ISERROR(SEARCH(MID(";"&amp;'CASE DATA'!$F200&amp;";",ROW($1:$99),1),";")),"",ROW($1:$99)+1),COLUMN(G200)),SMALL(IF(ISERROR(SEARCH(MID(";"&amp;'CASE DATA'!$F200&amp;";",ROW($1:$99),1),";")),"",ROW($1:$99)),COLUMN(G199)+1)-SMALL(IF(ISERROR(SEARCH(MID(";"&amp;'CASE DATA'!$F200&amp;";",ROW($1:$99),1),";")),"",ROW($1:$99)),COLUMN(G199))-1)</f>
        <v/>
      </c>
      <c r="AC200" s="29" t="str">
        <f t="array" ref="AC200">MID(";"&amp;'CASE DATA'!$F200&amp;";",SMALL(IF(ISERROR(SEARCH(MID(";"&amp;'CASE DATA'!$F200&amp;";",ROW($1:$99),1),";")),"",ROW($1:$99)+1),COLUMN(H200)),SMALL(IF(ISERROR(SEARCH(MID(";"&amp;'CASE DATA'!$F200&amp;";",ROW($1:$99),1),";")),"",ROW($1:$99)),COLUMN(H199)+1)-SMALL(IF(ISERROR(SEARCH(MID(";"&amp;'CASE DATA'!$F200&amp;";",ROW($1:$99),1),";")),"",ROW($1:$99)),COLUMN(H199))-1)</f>
        <v/>
      </c>
      <c r="AD200" s="29" t="str">
        <f t="array" ref="AD200">MID(";"&amp;'CASE DATA'!$F200&amp;";",SMALL(IF(ISERROR(SEARCH(MID(";"&amp;'CASE DATA'!$F200&amp;";",ROW($1:$99),1),";")),"",ROW($1:$99)+1),COLUMN(I200)),SMALL(IF(ISERROR(SEARCH(MID(";"&amp;'CASE DATA'!$F200&amp;";",ROW($1:$99),1),";")),"",ROW($1:$99)),COLUMN(I199)+1)-SMALL(IF(ISERROR(SEARCH(MID(";"&amp;'CASE DATA'!$F200&amp;";",ROW($1:$99),1),";")),"",ROW($1:$99)),COLUMN(I199))-1)</f>
        <v/>
      </c>
      <c r="AE200" s="29" t="str">
        <f t="array" ref="AE200">MID(";"&amp;'CASE DATA'!$F200&amp;";",SMALL(IF(ISERROR(SEARCH(MID(";"&amp;'CASE DATA'!$F200&amp;";",ROW($1:$99),1),";")),"",ROW($1:$99)+1),COLUMN(J200)),SMALL(IF(ISERROR(SEARCH(MID(";"&amp;'CASE DATA'!$F200&amp;";",ROW($1:$99),1),";")),"",ROW($1:$99)),COLUMN(J199)+1)-SMALL(IF(ISERROR(SEARCH(MID(";"&amp;'CASE DATA'!$F200&amp;";",ROW($1:$99),1),";")),"",ROW($1:$99)),COLUMN(J199))-1)</f>
        <v/>
      </c>
      <c r="AF200" s="29" t="str">
        <f t="array" ref="AF200">MID(";"&amp;'CASE DATA'!$F200&amp;";",SMALL(IF(ISERROR(SEARCH(MID(";"&amp;'CASE DATA'!$F200&amp;";",ROW($1:$99),1),";")),"",ROW($1:$99)+1),COLUMN(K200)),SMALL(IF(ISERROR(SEARCH(MID(";"&amp;'CASE DATA'!$F200&amp;";",ROW($1:$99),1),";")),"",ROW($1:$99)),COLUMN(K199)+1)-SMALL(IF(ISERROR(SEARCH(MID(";"&amp;'CASE DATA'!$F200&amp;";",ROW($1:$99),1),";")),"",ROW($1:$99)),COLUMN(K199))-1)</f>
        <v/>
      </c>
      <c r="AG200" s="29" t="str">
        <f t="array" ref="AG200">MID(";"&amp;'CASE DATA'!$F200&amp;";",SMALL(IF(ISERROR(SEARCH(MID(";"&amp;'CASE DATA'!$F200&amp;";",ROW($1:$99),1),";")),"",ROW($1:$99)+1),COLUMN(L200)),SMALL(IF(ISERROR(SEARCH(MID(";"&amp;'CASE DATA'!$F200&amp;";",ROW($1:$99),1),";")),"",ROW($1:$99)),COLUMN(L199)+1)-SMALL(IF(ISERROR(SEARCH(MID(";"&amp;'CASE DATA'!$F200&amp;";",ROW($1:$99),1),";")),"",ROW($1:$99)),COLUMN(L199))-1)</f>
        <v/>
      </c>
      <c r="AH200" s="29"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24"/>
      <c r="D201" s="24"/>
      <c r="J201" s="31"/>
      <c r="K201" s="31"/>
      <c r="L201" s="31"/>
      <c r="M201" s="31"/>
      <c r="N201" s="31"/>
      <c r="O201" s="31"/>
      <c r="P201" s="31"/>
      <c r="Q201" s="31"/>
      <c r="R201" s="31"/>
      <c r="S201" s="31"/>
      <c r="T201" s="28">
        <f t="shared" si="4"/>
        <v>0</v>
      </c>
      <c r="U201" s="28"/>
      <c r="W201" s="29" t="str">
        <f t="array" ref="W201">MID(";"&amp;'CASE DATA'!$F201&amp;";",SMALL(IF(ISERROR(SEARCH(MID(";"&amp;'CASE DATA'!$F201&amp;";",ROW($1:$99),1),";")),"",ROW($1:$99)+1),COLUMN(A201)),SMALL(IF(ISERROR(SEARCH(MID(";"&amp;'CASE DATA'!$F201&amp;";",ROW($1:$99),1),";")),"",ROW($1:$99)),COLUMN(A200)+1)-SMALL(IF(ISERROR(SEARCH(MID(";"&amp;'CASE DATA'!$F201&amp;";",ROW($1:$99),1),";")),"",ROW($1:$99)),COLUMN(A200))-1)</f>
        <v/>
      </c>
      <c r="X201" s="29" t="str">
        <f t="array" ref="X201">MID(";"&amp;'CASE DATA'!$F201&amp;";",SMALL(IF(ISERROR(SEARCH(MID(";"&amp;'CASE DATA'!$F201&amp;";",ROW($1:$99),1),";")),"",ROW($1:$99)+1),COLUMN(B201)),SMALL(IF(ISERROR(SEARCH(MID(";"&amp;'CASE DATA'!$F201&amp;";",ROW($1:$99),1),";")),"",ROW($1:$99)),COLUMN(B200)+1)-SMALL(IF(ISERROR(SEARCH(MID(";"&amp;'CASE DATA'!$F201&amp;";",ROW($1:$99),1),";")),"",ROW($1:$99)),COLUMN(B200))-1)</f>
        <v/>
      </c>
      <c r="Y201" s="29" t="str">
        <f t="array" ref="Y201">MID(";"&amp;'CASE DATA'!$F201&amp;";",SMALL(IF(ISERROR(SEARCH(MID(";"&amp;'CASE DATA'!$F201&amp;";",ROW($1:$99),1),";")),"",ROW($1:$99)+1),COLUMN(D201)),SMALL(IF(ISERROR(SEARCH(MID(";"&amp;'CASE DATA'!$F201&amp;";",ROW($1:$99),1),";")),"",ROW($1:$99)),COLUMN(D200)+1)-SMALL(IF(ISERROR(SEARCH(MID(";"&amp;'CASE DATA'!$F201&amp;";",ROW($1:$99),1),";")),"",ROW($1:$99)),COLUMN(D200))-1)</f>
        <v/>
      </c>
      <c r="Z201" s="29" t="str">
        <f t="array" ref="Z201">MID(";"&amp;'CASE DATA'!$F201&amp;";",SMALL(IF(ISERROR(SEARCH(MID(";"&amp;'CASE DATA'!$F201&amp;";",ROW($1:$99),1),";")),"",ROW($1:$99)+1),COLUMN(E201)),SMALL(IF(ISERROR(SEARCH(MID(";"&amp;'CASE DATA'!$F201&amp;";",ROW($1:$99),1),";")),"",ROW($1:$99)),COLUMN(E200)+1)-SMALL(IF(ISERROR(SEARCH(MID(";"&amp;'CASE DATA'!$F201&amp;";",ROW($1:$99),1),";")),"",ROW($1:$99)),COLUMN(E200))-1)</f>
        <v/>
      </c>
      <c r="AA201" s="29" t="str">
        <f t="array" ref="AA201">MID(";"&amp;'CASE DATA'!$F201&amp;";",SMALL(IF(ISERROR(SEARCH(MID(";"&amp;'CASE DATA'!$F201&amp;";",ROW($1:$99),1),";")),"",ROW($1:$99)+1),COLUMN(F201)),SMALL(IF(ISERROR(SEARCH(MID(";"&amp;'CASE DATA'!$F201&amp;";",ROW($1:$99),1),";")),"",ROW($1:$99)),COLUMN(F200)+1)-SMALL(IF(ISERROR(SEARCH(MID(";"&amp;'CASE DATA'!$F201&amp;";",ROW($1:$99),1),";")),"",ROW($1:$99)),COLUMN(F200))-1)</f>
        <v/>
      </c>
      <c r="AB201" s="29" t="str">
        <f t="array" ref="AB201">MID(";"&amp;'CASE DATA'!$F201&amp;";",SMALL(IF(ISERROR(SEARCH(MID(";"&amp;'CASE DATA'!$F201&amp;";",ROW($1:$99),1),";")),"",ROW($1:$99)+1),COLUMN(G201)),SMALL(IF(ISERROR(SEARCH(MID(";"&amp;'CASE DATA'!$F201&amp;";",ROW($1:$99),1),";")),"",ROW($1:$99)),COLUMN(G200)+1)-SMALL(IF(ISERROR(SEARCH(MID(";"&amp;'CASE DATA'!$F201&amp;";",ROW($1:$99),1),";")),"",ROW($1:$99)),COLUMN(G200))-1)</f>
        <v/>
      </c>
      <c r="AC201" s="29" t="str">
        <f t="array" ref="AC201">MID(";"&amp;'CASE DATA'!$F201&amp;";",SMALL(IF(ISERROR(SEARCH(MID(";"&amp;'CASE DATA'!$F201&amp;";",ROW($1:$99),1),";")),"",ROW($1:$99)+1),COLUMN(H201)),SMALL(IF(ISERROR(SEARCH(MID(";"&amp;'CASE DATA'!$F201&amp;";",ROW($1:$99),1),";")),"",ROW($1:$99)),COLUMN(H200)+1)-SMALL(IF(ISERROR(SEARCH(MID(";"&amp;'CASE DATA'!$F201&amp;";",ROW($1:$99),1),";")),"",ROW($1:$99)),COLUMN(H200))-1)</f>
        <v/>
      </c>
      <c r="AD201" s="29" t="str">
        <f t="array" ref="AD201">MID(";"&amp;'CASE DATA'!$F201&amp;";",SMALL(IF(ISERROR(SEARCH(MID(";"&amp;'CASE DATA'!$F201&amp;";",ROW($1:$99),1),";")),"",ROW($1:$99)+1),COLUMN(I201)),SMALL(IF(ISERROR(SEARCH(MID(";"&amp;'CASE DATA'!$F201&amp;";",ROW($1:$99),1),";")),"",ROW($1:$99)),COLUMN(I200)+1)-SMALL(IF(ISERROR(SEARCH(MID(";"&amp;'CASE DATA'!$F201&amp;";",ROW($1:$99),1),";")),"",ROW($1:$99)),COLUMN(I200))-1)</f>
        <v/>
      </c>
      <c r="AE201" s="29" t="str">
        <f t="array" ref="AE201">MID(";"&amp;'CASE DATA'!$F201&amp;";",SMALL(IF(ISERROR(SEARCH(MID(";"&amp;'CASE DATA'!$F201&amp;";",ROW($1:$99),1),";")),"",ROW($1:$99)+1),COLUMN(J201)),SMALL(IF(ISERROR(SEARCH(MID(";"&amp;'CASE DATA'!$F201&amp;";",ROW($1:$99),1),";")),"",ROW($1:$99)),COLUMN(J200)+1)-SMALL(IF(ISERROR(SEARCH(MID(";"&amp;'CASE DATA'!$F201&amp;";",ROW($1:$99),1),";")),"",ROW($1:$99)),COLUMN(J200))-1)</f>
        <v/>
      </c>
      <c r="AF201" s="29" t="str">
        <f t="array" ref="AF201">MID(";"&amp;'CASE DATA'!$F201&amp;";",SMALL(IF(ISERROR(SEARCH(MID(";"&amp;'CASE DATA'!$F201&amp;";",ROW($1:$99),1),";")),"",ROW($1:$99)+1),COLUMN(K201)),SMALL(IF(ISERROR(SEARCH(MID(";"&amp;'CASE DATA'!$F201&amp;";",ROW($1:$99),1),";")),"",ROW($1:$99)),COLUMN(K200)+1)-SMALL(IF(ISERROR(SEARCH(MID(";"&amp;'CASE DATA'!$F201&amp;";",ROW($1:$99),1),";")),"",ROW($1:$99)),COLUMN(K200))-1)</f>
        <v/>
      </c>
      <c r="AG201" s="29" t="str">
        <f t="array" ref="AG201">MID(";"&amp;'CASE DATA'!$F201&amp;";",SMALL(IF(ISERROR(SEARCH(MID(";"&amp;'CASE DATA'!$F201&amp;";",ROW($1:$99),1),";")),"",ROW($1:$99)+1),COLUMN(L201)),SMALL(IF(ISERROR(SEARCH(MID(";"&amp;'CASE DATA'!$F201&amp;";",ROW($1:$99),1),";")),"",ROW($1:$99)),COLUMN(L200)+1)-SMALL(IF(ISERROR(SEARCH(MID(";"&amp;'CASE DATA'!$F201&amp;";",ROW($1:$99),1),";")),"",ROW($1:$99)),COLUMN(L200))-1)</f>
        <v/>
      </c>
      <c r="AH201" s="29"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24"/>
      <c r="D202" s="24"/>
      <c r="J202" s="31"/>
      <c r="K202" s="31"/>
      <c r="L202" s="31"/>
      <c r="M202" s="31"/>
      <c r="N202" s="31"/>
      <c r="O202" s="31"/>
      <c r="P202" s="31"/>
      <c r="Q202" s="31"/>
      <c r="R202" s="31"/>
      <c r="S202" s="31"/>
      <c r="T202" s="28">
        <f t="shared" si="4"/>
        <v>0</v>
      </c>
      <c r="U202" s="28"/>
      <c r="W202" s="29" t="str">
        <f t="array" ref="W202">MID(";"&amp;'CASE DATA'!$F202&amp;";",SMALL(IF(ISERROR(SEARCH(MID(";"&amp;'CASE DATA'!$F202&amp;";",ROW($1:$99),1),";")),"",ROW($1:$99)+1),COLUMN(A202)),SMALL(IF(ISERROR(SEARCH(MID(";"&amp;'CASE DATA'!$F202&amp;";",ROW($1:$99),1),";")),"",ROW($1:$99)),COLUMN(A201)+1)-SMALL(IF(ISERROR(SEARCH(MID(";"&amp;'CASE DATA'!$F202&amp;";",ROW($1:$99),1),";")),"",ROW($1:$99)),COLUMN(A201))-1)</f>
        <v/>
      </c>
      <c r="X202" s="29" t="str">
        <f t="array" ref="X202">MID(";"&amp;'CASE DATA'!$F202&amp;";",SMALL(IF(ISERROR(SEARCH(MID(";"&amp;'CASE DATA'!$F202&amp;";",ROW($1:$99),1),";")),"",ROW($1:$99)+1),COLUMN(B202)),SMALL(IF(ISERROR(SEARCH(MID(";"&amp;'CASE DATA'!$F202&amp;";",ROW($1:$99),1),";")),"",ROW($1:$99)),COLUMN(B201)+1)-SMALL(IF(ISERROR(SEARCH(MID(";"&amp;'CASE DATA'!$F202&amp;";",ROW($1:$99),1),";")),"",ROW($1:$99)),COLUMN(B201))-1)</f>
        <v/>
      </c>
      <c r="Y202" s="29" t="str">
        <f t="array" ref="Y202">MID(";"&amp;'CASE DATA'!$F202&amp;";",SMALL(IF(ISERROR(SEARCH(MID(";"&amp;'CASE DATA'!$F202&amp;";",ROW($1:$99),1),";")),"",ROW($1:$99)+1),COLUMN(D202)),SMALL(IF(ISERROR(SEARCH(MID(";"&amp;'CASE DATA'!$F202&amp;";",ROW($1:$99),1),";")),"",ROW($1:$99)),COLUMN(D201)+1)-SMALL(IF(ISERROR(SEARCH(MID(";"&amp;'CASE DATA'!$F202&amp;";",ROW($1:$99),1),";")),"",ROW($1:$99)),COLUMN(D201))-1)</f>
        <v/>
      </c>
      <c r="Z202" s="29" t="str">
        <f t="array" ref="Z202">MID(";"&amp;'CASE DATA'!$F202&amp;";",SMALL(IF(ISERROR(SEARCH(MID(";"&amp;'CASE DATA'!$F202&amp;";",ROW($1:$99),1),";")),"",ROW($1:$99)+1),COLUMN(E202)),SMALL(IF(ISERROR(SEARCH(MID(";"&amp;'CASE DATA'!$F202&amp;";",ROW($1:$99),1),";")),"",ROW($1:$99)),COLUMN(E201)+1)-SMALL(IF(ISERROR(SEARCH(MID(";"&amp;'CASE DATA'!$F202&amp;";",ROW($1:$99),1),";")),"",ROW($1:$99)),COLUMN(E201))-1)</f>
        <v/>
      </c>
      <c r="AA202" s="29" t="str">
        <f t="array" ref="AA202">MID(";"&amp;'CASE DATA'!$F202&amp;";",SMALL(IF(ISERROR(SEARCH(MID(";"&amp;'CASE DATA'!$F202&amp;";",ROW($1:$99),1),";")),"",ROW($1:$99)+1),COLUMN(F202)),SMALL(IF(ISERROR(SEARCH(MID(";"&amp;'CASE DATA'!$F202&amp;";",ROW($1:$99),1),";")),"",ROW($1:$99)),COLUMN(F201)+1)-SMALL(IF(ISERROR(SEARCH(MID(";"&amp;'CASE DATA'!$F202&amp;";",ROW($1:$99),1),";")),"",ROW($1:$99)),COLUMN(F201))-1)</f>
        <v/>
      </c>
      <c r="AB202" s="29" t="str">
        <f t="array" ref="AB202">MID(";"&amp;'CASE DATA'!$F202&amp;";",SMALL(IF(ISERROR(SEARCH(MID(";"&amp;'CASE DATA'!$F202&amp;";",ROW($1:$99),1),";")),"",ROW($1:$99)+1),COLUMN(G202)),SMALL(IF(ISERROR(SEARCH(MID(";"&amp;'CASE DATA'!$F202&amp;";",ROW($1:$99),1),";")),"",ROW($1:$99)),COLUMN(G201)+1)-SMALL(IF(ISERROR(SEARCH(MID(";"&amp;'CASE DATA'!$F202&amp;";",ROW($1:$99),1),";")),"",ROW($1:$99)),COLUMN(G201))-1)</f>
        <v/>
      </c>
      <c r="AC202" s="29" t="str">
        <f t="array" ref="AC202">MID(";"&amp;'CASE DATA'!$F202&amp;";",SMALL(IF(ISERROR(SEARCH(MID(";"&amp;'CASE DATA'!$F202&amp;";",ROW($1:$99),1),";")),"",ROW($1:$99)+1),COLUMN(H202)),SMALL(IF(ISERROR(SEARCH(MID(";"&amp;'CASE DATA'!$F202&amp;";",ROW($1:$99),1),";")),"",ROW($1:$99)),COLUMN(H201)+1)-SMALL(IF(ISERROR(SEARCH(MID(";"&amp;'CASE DATA'!$F202&amp;";",ROW($1:$99),1),";")),"",ROW($1:$99)),COLUMN(H201))-1)</f>
        <v/>
      </c>
      <c r="AD202" s="29" t="str">
        <f t="array" ref="AD202">MID(";"&amp;'CASE DATA'!$F202&amp;";",SMALL(IF(ISERROR(SEARCH(MID(";"&amp;'CASE DATA'!$F202&amp;";",ROW($1:$99),1),";")),"",ROW($1:$99)+1),COLUMN(I202)),SMALL(IF(ISERROR(SEARCH(MID(";"&amp;'CASE DATA'!$F202&amp;";",ROW($1:$99),1),";")),"",ROW($1:$99)),COLUMN(I201)+1)-SMALL(IF(ISERROR(SEARCH(MID(";"&amp;'CASE DATA'!$F202&amp;";",ROW($1:$99),1),";")),"",ROW($1:$99)),COLUMN(I201))-1)</f>
        <v/>
      </c>
      <c r="AE202" s="29" t="str">
        <f t="array" ref="AE202">MID(";"&amp;'CASE DATA'!$F202&amp;";",SMALL(IF(ISERROR(SEARCH(MID(";"&amp;'CASE DATA'!$F202&amp;";",ROW($1:$99),1),";")),"",ROW($1:$99)+1),COLUMN(J202)),SMALL(IF(ISERROR(SEARCH(MID(";"&amp;'CASE DATA'!$F202&amp;";",ROW($1:$99),1),";")),"",ROW($1:$99)),COLUMN(J201)+1)-SMALL(IF(ISERROR(SEARCH(MID(";"&amp;'CASE DATA'!$F202&amp;";",ROW($1:$99),1),";")),"",ROW($1:$99)),COLUMN(J201))-1)</f>
        <v/>
      </c>
      <c r="AF202" s="29" t="str">
        <f t="array" ref="AF202">MID(";"&amp;'CASE DATA'!$F202&amp;";",SMALL(IF(ISERROR(SEARCH(MID(";"&amp;'CASE DATA'!$F202&amp;";",ROW($1:$99),1),";")),"",ROW($1:$99)+1),COLUMN(K202)),SMALL(IF(ISERROR(SEARCH(MID(";"&amp;'CASE DATA'!$F202&amp;";",ROW($1:$99),1),";")),"",ROW($1:$99)),COLUMN(K201)+1)-SMALL(IF(ISERROR(SEARCH(MID(";"&amp;'CASE DATA'!$F202&amp;";",ROW($1:$99),1),";")),"",ROW($1:$99)),COLUMN(K201))-1)</f>
        <v/>
      </c>
      <c r="AG202" s="29" t="str">
        <f t="array" ref="AG202">MID(";"&amp;'CASE DATA'!$F202&amp;";",SMALL(IF(ISERROR(SEARCH(MID(";"&amp;'CASE DATA'!$F202&amp;";",ROW($1:$99),1),";")),"",ROW($1:$99)+1),COLUMN(L202)),SMALL(IF(ISERROR(SEARCH(MID(";"&amp;'CASE DATA'!$F202&amp;";",ROW($1:$99),1),";")),"",ROW($1:$99)),COLUMN(L201)+1)-SMALL(IF(ISERROR(SEARCH(MID(";"&amp;'CASE DATA'!$F202&amp;";",ROW($1:$99),1),";")),"",ROW($1:$99)),COLUMN(L201))-1)</f>
        <v/>
      </c>
      <c r="AH202" s="29"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24"/>
      <c r="D203" s="24"/>
      <c r="J203" s="31"/>
      <c r="K203" s="31"/>
      <c r="L203" s="31"/>
      <c r="M203" s="31"/>
      <c r="N203" s="31"/>
      <c r="O203" s="31"/>
      <c r="P203" s="31"/>
      <c r="Q203" s="31"/>
      <c r="R203" s="31"/>
      <c r="S203" s="31"/>
      <c r="T203" s="28">
        <f t="shared" si="4"/>
        <v>0</v>
      </c>
      <c r="U203" s="28"/>
      <c r="W203" s="29" t="str">
        <f t="array" ref="W203">MID(";"&amp;'CASE DATA'!$F203&amp;";",SMALL(IF(ISERROR(SEARCH(MID(";"&amp;'CASE DATA'!$F203&amp;";",ROW($1:$99),1),";")),"",ROW($1:$99)+1),COLUMN(A203)),SMALL(IF(ISERROR(SEARCH(MID(";"&amp;'CASE DATA'!$F203&amp;";",ROW($1:$99),1),";")),"",ROW($1:$99)),COLUMN(A202)+1)-SMALL(IF(ISERROR(SEARCH(MID(";"&amp;'CASE DATA'!$F203&amp;";",ROW($1:$99),1),";")),"",ROW($1:$99)),COLUMN(A202))-1)</f>
        <v/>
      </c>
      <c r="X203" s="29" t="str">
        <f t="array" ref="X203">MID(";"&amp;'CASE DATA'!$F203&amp;";",SMALL(IF(ISERROR(SEARCH(MID(";"&amp;'CASE DATA'!$F203&amp;";",ROW($1:$99),1),";")),"",ROW($1:$99)+1),COLUMN(B203)),SMALL(IF(ISERROR(SEARCH(MID(";"&amp;'CASE DATA'!$F203&amp;";",ROW($1:$99),1),";")),"",ROW($1:$99)),COLUMN(B202)+1)-SMALL(IF(ISERROR(SEARCH(MID(";"&amp;'CASE DATA'!$F203&amp;";",ROW($1:$99),1),";")),"",ROW($1:$99)),COLUMN(B202))-1)</f>
        <v/>
      </c>
      <c r="Y203" s="29" t="str">
        <f t="array" ref="Y203">MID(";"&amp;'CASE DATA'!$F203&amp;";",SMALL(IF(ISERROR(SEARCH(MID(";"&amp;'CASE DATA'!$F203&amp;";",ROW($1:$99),1),";")),"",ROW($1:$99)+1),COLUMN(D203)),SMALL(IF(ISERROR(SEARCH(MID(";"&amp;'CASE DATA'!$F203&amp;";",ROW($1:$99),1),";")),"",ROW($1:$99)),COLUMN(D202)+1)-SMALL(IF(ISERROR(SEARCH(MID(";"&amp;'CASE DATA'!$F203&amp;";",ROW($1:$99),1),";")),"",ROW($1:$99)),COLUMN(D202))-1)</f>
        <v/>
      </c>
      <c r="Z203" s="29" t="str">
        <f t="array" ref="Z203">MID(";"&amp;'CASE DATA'!$F203&amp;";",SMALL(IF(ISERROR(SEARCH(MID(";"&amp;'CASE DATA'!$F203&amp;";",ROW($1:$99),1),";")),"",ROW($1:$99)+1),COLUMN(E203)),SMALL(IF(ISERROR(SEARCH(MID(";"&amp;'CASE DATA'!$F203&amp;";",ROW($1:$99),1),";")),"",ROW($1:$99)),COLUMN(E202)+1)-SMALL(IF(ISERROR(SEARCH(MID(";"&amp;'CASE DATA'!$F203&amp;";",ROW($1:$99),1),";")),"",ROW($1:$99)),COLUMN(E202))-1)</f>
        <v/>
      </c>
      <c r="AA203" s="29" t="str">
        <f t="array" ref="AA203">MID(";"&amp;'CASE DATA'!$F203&amp;";",SMALL(IF(ISERROR(SEARCH(MID(";"&amp;'CASE DATA'!$F203&amp;";",ROW($1:$99),1),";")),"",ROW($1:$99)+1),COLUMN(F203)),SMALL(IF(ISERROR(SEARCH(MID(";"&amp;'CASE DATA'!$F203&amp;";",ROW($1:$99),1),";")),"",ROW($1:$99)),COLUMN(F202)+1)-SMALL(IF(ISERROR(SEARCH(MID(";"&amp;'CASE DATA'!$F203&amp;";",ROW($1:$99),1),";")),"",ROW($1:$99)),COLUMN(F202))-1)</f>
        <v/>
      </c>
      <c r="AB203" s="29" t="str">
        <f t="array" ref="AB203">MID(";"&amp;'CASE DATA'!$F203&amp;";",SMALL(IF(ISERROR(SEARCH(MID(";"&amp;'CASE DATA'!$F203&amp;";",ROW($1:$99),1),";")),"",ROW($1:$99)+1),COLUMN(G203)),SMALL(IF(ISERROR(SEARCH(MID(";"&amp;'CASE DATA'!$F203&amp;";",ROW($1:$99),1),";")),"",ROW($1:$99)),COLUMN(G202)+1)-SMALL(IF(ISERROR(SEARCH(MID(";"&amp;'CASE DATA'!$F203&amp;";",ROW($1:$99),1),";")),"",ROW($1:$99)),COLUMN(G202))-1)</f>
        <v/>
      </c>
      <c r="AC203" s="29" t="str">
        <f t="array" ref="AC203">MID(";"&amp;'CASE DATA'!$F203&amp;";",SMALL(IF(ISERROR(SEARCH(MID(";"&amp;'CASE DATA'!$F203&amp;";",ROW($1:$99),1),";")),"",ROW($1:$99)+1),COLUMN(H203)),SMALL(IF(ISERROR(SEARCH(MID(";"&amp;'CASE DATA'!$F203&amp;";",ROW($1:$99),1),";")),"",ROW($1:$99)),COLUMN(H202)+1)-SMALL(IF(ISERROR(SEARCH(MID(";"&amp;'CASE DATA'!$F203&amp;";",ROW($1:$99),1),";")),"",ROW($1:$99)),COLUMN(H202))-1)</f>
        <v/>
      </c>
      <c r="AD203" s="29" t="str">
        <f t="array" ref="AD203">MID(";"&amp;'CASE DATA'!$F203&amp;";",SMALL(IF(ISERROR(SEARCH(MID(";"&amp;'CASE DATA'!$F203&amp;";",ROW($1:$99),1),";")),"",ROW($1:$99)+1),COLUMN(I203)),SMALL(IF(ISERROR(SEARCH(MID(";"&amp;'CASE DATA'!$F203&amp;";",ROW($1:$99),1),";")),"",ROW($1:$99)),COLUMN(I202)+1)-SMALL(IF(ISERROR(SEARCH(MID(";"&amp;'CASE DATA'!$F203&amp;";",ROW($1:$99),1),";")),"",ROW($1:$99)),COLUMN(I202))-1)</f>
        <v/>
      </c>
      <c r="AE203" s="29" t="str">
        <f t="array" ref="AE203">MID(";"&amp;'CASE DATA'!$F203&amp;";",SMALL(IF(ISERROR(SEARCH(MID(";"&amp;'CASE DATA'!$F203&amp;";",ROW($1:$99),1),";")),"",ROW($1:$99)+1),COLUMN(J203)),SMALL(IF(ISERROR(SEARCH(MID(";"&amp;'CASE DATA'!$F203&amp;";",ROW($1:$99),1),";")),"",ROW($1:$99)),COLUMN(J202)+1)-SMALL(IF(ISERROR(SEARCH(MID(";"&amp;'CASE DATA'!$F203&amp;";",ROW($1:$99),1),";")),"",ROW($1:$99)),COLUMN(J202))-1)</f>
        <v/>
      </c>
      <c r="AF203" s="29" t="str">
        <f t="array" ref="AF203">MID(";"&amp;'CASE DATA'!$F203&amp;";",SMALL(IF(ISERROR(SEARCH(MID(";"&amp;'CASE DATA'!$F203&amp;";",ROW($1:$99),1),";")),"",ROW($1:$99)+1),COLUMN(K203)),SMALL(IF(ISERROR(SEARCH(MID(";"&amp;'CASE DATA'!$F203&amp;";",ROW($1:$99),1),";")),"",ROW($1:$99)),COLUMN(K202)+1)-SMALL(IF(ISERROR(SEARCH(MID(";"&amp;'CASE DATA'!$F203&amp;";",ROW($1:$99),1),";")),"",ROW($1:$99)),COLUMN(K202))-1)</f>
        <v/>
      </c>
      <c r="AG203" s="29" t="str">
        <f t="array" ref="AG203">MID(";"&amp;'CASE DATA'!$F203&amp;";",SMALL(IF(ISERROR(SEARCH(MID(";"&amp;'CASE DATA'!$F203&amp;";",ROW($1:$99),1),";")),"",ROW($1:$99)+1),COLUMN(L203)),SMALL(IF(ISERROR(SEARCH(MID(";"&amp;'CASE DATA'!$F203&amp;";",ROW($1:$99),1),";")),"",ROW($1:$99)),COLUMN(L202)+1)-SMALL(IF(ISERROR(SEARCH(MID(";"&amp;'CASE DATA'!$F203&amp;";",ROW($1:$99),1),";")),"",ROW($1:$99)),COLUMN(L202))-1)</f>
        <v/>
      </c>
      <c r="AH203" s="29"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24"/>
      <c r="D204" s="24"/>
      <c r="J204" s="31"/>
      <c r="K204" s="31"/>
      <c r="L204" s="31"/>
      <c r="M204" s="31"/>
      <c r="N204" s="31"/>
      <c r="O204" s="31"/>
      <c r="P204" s="31"/>
      <c r="Q204" s="31"/>
      <c r="R204" s="31"/>
      <c r="S204" s="31"/>
      <c r="T204" s="28">
        <f t="shared" si="4"/>
        <v>0</v>
      </c>
      <c r="U204" s="28"/>
      <c r="W204" s="29" t="str">
        <f t="array" ref="W204">MID(";"&amp;'CASE DATA'!$F204&amp;";",SMALL(IF(ISERROR(SEARCH(MID(";"&amp;'CASE DATA'!$F204&amp;";",ROW($1:$99),1),";")),"",ROW($1:$99)+1),COLUMN(A204)),SMALL(IF(ISERROR(SEARCH(MID(";"&amp;'CASE DATA'!$F204&amp;";",ROW($1:$99),1),";")),"",ROW($1:$99)),COLUMN(A203)+1)-SMALL(IF(ISERROR(SEARCH(MID(";"&amp;'CASE DATA'!$F204&amp;";",ROW($1:$99),1),";")),"",ROW($1:$99)),COLUMN(A203))-1)</f>
        <v/>
      </c>
      <c r="X204" s="29" t="str">
        <f t="array" ref="X204">MID(";"&amp;'CASE DATA'!$F204&amp;";",SMALL(IF(ISERROR(SEARCH(MID(";"&amp;'CASE DATA'!$F204&amp;";",ROW($1:$99),1),";")),"",ROW($1:$99)+1),COLUMN(B204)),SMALL(IF(ISERROR(SEARCH(MID(";"&amp;'CASE DATA'!$F204&amp;";",ROW($1:$99),1),";")),"",ROW($1:$99)),COLUMN(B203)+1)-SMALL(IF(ISERROR(SEARCH(MID(";"&amp;'CASE DATA'!$F204&amp;";",ROW($1:$99),1),";")),"",ROW($1:$99)),COLUMN(B203))-1)</f>
        <v/>
      </c>
      <c r="Y204" s="29" t="str">
        <f t="array" ref="Y204">MID(";"&amp;'CASE DATA'!$F204&amp;";",SMALL(IF(ISERROR(SEARCH(MID(";"&amp;'CASE DATA'!$F204&amp;";",ROW($1:$99),1),";")),"",ROW($1:$99)+1),COLUMN(D204)),SMALL(IF(ISERROR(SEARCH(MID(";"&amp;'CASE DATA'!$F204&amp;";",ROW($1:$99),1),";")),"",ROW($1:$99)),COLUMN(D203)+1)-SMALL(IF(ISERROR(SEARCH(MID(";"&amp;'CASE DATA'!$F204&amp;";",ROW($1:$99),1),";")),"",ROW($1:$99)),COLUMN(D203))-1)</f>
        <v/>
      </c>
      <c r="Z204" s="29" t="str">
        <f t="array" ref="Z204">MID(";"&amp;'CASE DATA'!$F204&amp;";",SMALL(IF(ISERROR(SEARCH(MID(";"&amp;'CASE DATA'!$F204&amp;";",ROW($1:$99),1),";")),"",ROW($1:$99)+1),COLUMN(E204)),SMALL(IF(ISERROR(SEARCH(MID(";"&amp;'CASE DATA'!$F204&amp;";",ROW($1:$99),1),";")),"",ROW($1:$99)),COLUMN(E203)+1)-SMALL(IF(ISERROR(SEARCH(MID(";"&amp;'CASE DATA'!$F204&amp;";",ROW($1:$99),1),";")),"",ROW($1:$99)),COLUMN(E203))-1)</f>
        <v/>
      </c>
      <c r="AA204" s="29" t="str">
        <f t="array" ref="AA204">MID(";"&amp;'CASE DATA'!$F204&amp;";",SMALL(IF(ISERROR(SEARCH(MID(";"&amp;'CASE DATA'!$F204&amp;";",ROW($1:$99),1),";")),"",ROW($1:$99)+1),COLUMN(F204)),SMALL(IF(ISERROR(SEARCH(MID(";"&amp;'CASE DATA'!$F204&amp;";",ROW($1:$99),1),";")),"",ROW($1:$99)),COLUMN(F203)+1)-SMALL(IF(ISERROR(SEARCH(MID(";"&amp;'CASE DATA'!$F204&amp;";",ROW($1:$99),1),";")),"",ROW($1:$99)),COLUMN(F203))-1)</f>
        <v/>
      </c>
      <c r="AB204" s="29" t="str">
        <f t="array" ref="AB204">MID(";"&amp;'CASE DATA'!$F204&amp;";",SMALL(IF(ISERROR(SEARCH(MID(";"&amp;'CASE DATA'!$F204&amp;";",ROW($1:$99),1),";")),"",ROW($1:$99)+1),COLUMN(G204)),SMALL(IF(ISERROR(SEARCH(MID(";"&amp;'CASE DATA'!$F204&amp;";",ROW($1:$99),1),";")),"",ROW($1:$99)),COLUMN(G203)+1)-SMALL(IF(ISERROR(SEARCH(MID(";"&amp;'CASE DATA'!$F204&amp;";",ROW($1:$99),1),";")),"",ROW($1:$99)),COLUMN(G203))-1)</f>
        <v/>
      </c>
      <c r="AC204" s="29" t="str">
        <f t="array" ref="AC204">MID(";"&amp;'CASE DATA'!$F204&amp;";",SMALL(IF(ISERROR(SEARCH(MID(";"&amp;'CASE DATA'!$F204&amp;";",ROW($1:$99),1),";")),"",ROW($1:$99)+1),COLUMN(H204)),SMALL(IF(ISERROR(SEARCH(MID(";"&amp;'CASE DATA'!$F204&amp;";",ROW($1:$99),1),";")),"",ROW($1:$99)),COLUMN(H203)+1)-SMALL(IF(ISERROR(SEARCH(MID(";"&amp;'CASE DATA'!$F204&amp;";",ROW($1:$99),1),";")),"",ROW($1:$99)),COLUMN(H203))-1)</f>
        <v/>
      </c>
      <c r="AD204" s="29" t="str">
        <f t="array" ref="AD204">MID(";"&amp;'CASE DATA'!$F204&amp;";",SMALL(IF(ISERROR(SEARCH(MID(";"&amp;'CASE DATA'!$F204&amp;";",ROW($1:$99),1),";")),"",ROW($1:$99)+1),COLUMN(I204)),SMALL(IF(ISERROR(SEARCH(MID(";"&amp;'CASE DATA'!$F204&amp;";",ROW($1:$99),1),";")),"",ROW($1:$99)),COLUMN(I203)+1)-SMALL(IF(ISERROR(SEARCH(MID(";"&amp;'CASE DATA'!$F204&amp;";",ROW($1:$99),1),";")),"",ROW($1:$99)),COLUMN(I203))-1)</f>
        <v/>
      </c>
      <c r="AE204" s="29" t="str">
        <f t="array" ref="AE204">MID(";"&amp;'CASE DATA'!$F204&amp;";",SMALL(IF(ISERROR(SEARCH(MID(";"&amp;'CASE DATA'!$F204&amp;";",ROW($1:$99),1),";")),"",ROW($1:$99)+1),COLUMN(J204)),SMALL(IF(ISERROR(SEARCH(MID(";"&amp;'CASE DATA'!$F204&amp;";",ROW($1:$99),1),";")),"",ROW($1:$99)),COLUMN(J203)+1)-SMALL(IF(ISERROR(SEARCH(MID(";"&amp;'CASE DATA'!$F204&amp;";",ROW($1:$99),1),";")),"",ROW($1:$99)),COLUMN(J203))-1)</f>
        <v/>
      </c>
      <c r="AF204" s="29" t="str">
        <f t="array" ref="AF204">MID(";"&amp;'CASE DATA'!$F204&amp;";",SMALL(IF(ISERROR(SEARCH(MID(";"&amp;'CASE DATA'!$F204&amp;";",ROW($1:$99),1),";")),"",ROW($1:$99)+1),COLUMN(K204)),SMALL(IF(ISERROR(SEARCH(MID(";"&amp;'CASE DATA'!$F204&amp;";",ROW($1:$99),1),";")),"",ROW($1:$99)),COLUMN(K203)+1)-SMALL(IF(ISERROR(SEARCH(MID(";"&amp;'CASE DATA'!$F204&amp;";",ROW($1:$99),1),";")),"",ROW($1:$99)),COLUMN(K203))-1)</f>
        <v/>
      </c>
      <c r="AG204" s="29" t="str">
        <f t="array" ref="AG204">MID(";"&amp;'CASE DATA'!$F204&amp;";",SMALL(IF(ISERROR(SEARCH(MID(";"&amp;'CASE DATA'!$F204&amp;";",ROW($1:$99),1),";")),"",ROW($1:$99)+1),COLUMN(L204)),SMALL(IF(ISERROR(SEARCH(MID(";"&amp;'CASE DATA'!$F204&amp;";",ROW($1:$99),1),";")),"",ROW($1:$99)),COLUMN(L203)+1)-SMALL(IF(ISERROR(SEARCH(MID(";"&amp;'CASE DATA'!$F204&amp;";",ROW($1:$99),1),";")),"",ROW($1:$99)),COLUMN(L203))-1)</f>
        <v/>
      </c>
      <c r="AH204" s="29"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24"/>
      <c r="D205" s="24"/>
      <c r="J205" s="31"/>
      <c r="K205" s="31"/>
      <c r="L205" s="31"/>
      <c r="M205" s="31"/>
      <c r="N205" s="31"/>
      <c r="O205" s="31"/>
      <c r="P205" s="31"/>
      <c r="Q205" s="31"/>
      <c r="R205" s="31"/>
      <c r="S205" s="31"/>
      <c r="T205" s="28">
        <f t="shared" si="4"/>
        <v>0</v>
      </c>
      <c r="U205" s="28"/>
      <c r="W205" s="29" t="str">
        <f t="array" ref="W205">MID(";"&amp;'CASE DATA'!$F205&amp;";",SMALL(IF(ISERROR(SEARCH(MID(";"&amp;'CASE DATA'!$F205&amp;";",ROW($1:$99),1),";")),"",ROW($1:$99)+1),COLUMN(A205)),SMALL(IF(ISERROR(SEARCH(MID(";"&amp;'CASE DATA'!$F205&amp;";",ROW($1:$99),1),";")),"",ROW($1:$99)),COLUMN(A204)+1)-SMALL(IF(ISERROR(SEARCH(MID(";"&amp;'CASE DATA'!$F205&amp;";",ROW($1:$99),1),";")),"",ROW($1:$99)),COLUMN(A204))-1)</f>
        <v/>
      </c>
      <c r="X205" s="29" t="str">
        <f t="array" ref="X205">MID(";"&amp;'CASE DATA'!$F205&amp;";",SMALL(IF(ISERROR(SEARCH(MID(";"&amp;'CASE DATA'!$F205&amp;";",ROW($1:$99),1),";")),"",ROW($1:$99)+1),COLUMN(B205)),SMALL(IF(ISERROR(SEARCH(MID(";"&amp;'CASE DATA'!$F205&amp;";",ROW($1:$99),1),";")),"",ROW($1:$99)),COLUMN(B204)+1)-SMALL(IF(ISERROR(SEARCH(MID(";"&amp;'CASE DATA'!$F205&amp;";",ROW($1:$99),1),";")),"",ROW($1:$99)),COLUMN(B204))-1)</f>
        <v/>
      </c>
      <c r="Y205" s="29" t="str">
        <f t="array" ref="Y205">MID(";"&amp;'CASE DATA'!$F205&amp;";",SMALL(IF(ISERROR(SEARCH(MID(";"&amp;'CASE DATA'!$F205&amp;";",ROW($1:$99),1),";")),"",ROW($1:$99)+1),COLUMN(D205)),SMALL(IF(ISERROR(SEARCH(MID(";"&amp;'CASE DATA'!$F205&amp;";",ROW($1:$99),1),";")),"",ROW($1:$99)),COLUMN(D204)+1)-SMALL(IF(ISERROR(SEARCH(MID(";"&amp;'CASE DATA'!$F205&amp;";",ROW($1:$99),1),";")),"",ROW($1:$99)),COLUMN(D204))-1)</f>
        <v/>
      </c>
      <c r="Z205" s="29" t="str">
        <f t="array" ref="Z205">MID(";"&amp;'CASE DATA'!$F205&amp;";",SMALL(IF(ISERROR(SEARCH(MID(";"&amp;'CASE DATA'!$F205&amp;";",ROW($1:$99),1),";")),"",ROW($1:$99)+1),COLUMN(E205)),SMALL(IF(ISERROR(SEARCH(MID(";"&amp;'CASE DATA'!$F205&amp;";",ROW($1:$99),1),";")),"",ROW($1:$99)),COLUMN(E204)+1)-SMALL(IF(ISERROR(SEARCH(MID(";"&amp;'CASE DATA'!$F205&amp;";",ROW($1:$99),1),";")),"",ROW($1:$99)),COLUMN(E204))-1)</f>
        <v/>
      </c>
      <c r="AA205" s="29" t="str">
        <f t="array" ref="AA205">MID(";"&amp;'CASE DATA'!$F205&amp;";",SMALL(IF(ISERROR(SEARCH(MID(";"&amp;'CASE DATA'!$F205&amp;";",ROW($1:$99),1),";")),"",ROW($1:$99)+1),COLUMN(F205)),SMALL(IF(ISERROR(SEARCH(MID(";"&amp;'CASE DATA'!$F205&amp;";",ROW($1:$99),1),";")),"",ROW($1:$99)),COLUMN(F204)+1)-SMALL(IF(ISERROR(SEARCH(MID(";"&amp;'CASE DATA'!$F205&amp;";",ROW($1:$99),1),";")),"",ROW($1:$99)),COLUMN(F204))-1)</f>
        <v/>
      </c>
      <c r="AB205" s="29" t="str">
        <f t="array" ref="AB205">MID(";"&amp;'CASE DATA'!$F205&amp;";",SMALL(IF(ISERROR(SEARCH(MID(";"&amp;'CASE DATA'!$F205&amp;";",ROW($1:$99),1),";")),"",ROW($1:$99)+1),COLUMN(G205)),SMALL(IF(ISERROR(SEARCH(MID(";"&amp;'CASE DATA'!$F205&amp;";",ROW($1:$99),1),";")),"",ROW($1:$99)),COLUMN(G204)+1)-SMALL(IF(ISERROR(SEARCH(MID(";"&amp;'CASE DATA'!$F205&amp;";",ROW($1:$99),1),";")),"",ROW($1:$99)),COLUMN(G204))-1)</f>
        <v/>
      </c>
      <c r="AC205" s="29" t="str">
        <f t="array" ref="AC205">MID(";"&amp;'CASE DATA'!$F205&amp;";",SMALL(IF(ISERROR(SEARCH(MID(";"&amp;'CASE DATA'!$F205&amp;";",ROW($1:$99),1),";")),"",ROW($1:$99)+1),COLUMN(H205)),SMALL(IF(ISERROR(SEARCH(MID(";"&amp;'CASE DATA'!$F205&amp;";",ROW($1:$99),1),";")),"",ROW($1:$99)),COLUMN(H204)+1)-SMALL(IF(ISERROR(SEARCH(MID(";"&amp;'CASE DATA'!$F205&amp;";",ROW($1:$99),1),";")),"",ROW($1:$99)),COLUMN(H204))-1)</f>
        <v/>
      </c>
      <c r="AD205" s="29" t="str">
        <f t="array" ref="AD205">MID(";"&amp;'CASE DATA'!$F205&amp;";",SMALL(IF(ISERROR(SEARCH(MID(";"&amp;'CASE DATA'!$F205&amp;";",ROW($1:$99),1),";")),"",ROW($1:$99)+1),COLUMN(I205)),SMALL(IF(ISERROR(SEARCH(MID(";"&amp;'CASE DATA'!$F205&amp;";",ROW($1:$99),1),";")),"",ROW($1:$99)),COLUMN(I204)+1)-SMALL(IF(ISERROR(SEARCH(MID(";"&amp;'CASE DATA'!$F205&amp;";",ROW($1:$99),1),";")),"",ROW($1:$99)),COLUMN(I204))-1)</f>
        <v/>
      </c>
      <c r="AE205" s="29" t="str">
        <f t="array" ref="AE205">MID(";"&amp;'CASE DATA'!$F205&amp;";",SMALL(IF(ISERROR(SEARCH(MID(";"&amp;'CASE DATA'!$F205&amp;";",ROW($1:$99),1),";")),"",ROW($1:$99)+1),COLUMN(J205)),SMALL(IF(ISERROR(SEARCH(MID(";"&amp;'CASE DATA'!$F205&amp;";",ROW($1:$99),1),";")),"",ROW($1:$99)),COLUMN(J204)+1)-SMALL(IF(ISERROR(SEARCH(MID(";"&amp;'CASE DATA'!$F205&amp;";",ROW($1:$99),1),";")),"",ROW($1:$99)),COLUMN(J204))-1)</f>
        <v/>
      </c>
      <c r="AF205" s="29" t="str">
        <f t="array" ref="AF205">MID(";"&amp;'CASE DATA'!$F205&amp;";",SMALL(IF(ISERROR(SEARCH(MID(";"&amp;'CASE DATA'!$F205&amp;";",ROW($1:$99),1),";")),"",ROW($1:$99)+1),COLUMN(K205)),SMALL(IF(ISERROR(SEARCH(MID(";"&amp;'CASE DATA'!$F205&amp;";",ROW($1:$99),1),";")),"",ROW($1:$99)),COLUMN(K204)+1)-SMALL(IF(ISERROR(SEARCH(MID(";"&amp;'CASE DATA'!$F205&amp;";",ROW($1:$99),1),";")),"",ROW($1:$99)),COLUMN(K204))-1)</f>
        <v/>
      </c>
      <c r="AG205" s="29" t="str">
        <f t="array" ref="AG205">MID(";"&amp;'CASE DATA'!$F205&amp;";",SMALL(IF(ISERROR(SEARCH(MID(";"&amp;'CASE DATA'!$F205&amp;";",ROW($1:$99),1),";")),"",ROW($1:$99)+1),COLUMN(L205)),SMALL(IF(ISERROR(SEARCH(MID(";"&amp;'CASE DATA'!$F205&amp;";",ROW($1:$99),1),";")),"",ROW($1:$99)),COLUMN(L204)+1)-SMALL(IF(ISERROR(SEARCH(MID(";"&amp;'CASE DATA'!$F205&amp;";",ROW($1:$99),1),";")),"",ROW($1:$99)),COLUMN(L204))-1)</f>
        <v/>
      </c>
      <c r="AH205" s="29"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24"/>
      <c r="D206" s="24"/>
      <c r="J206" s="31"/>
      <c r="K206" s="31"/>
      <c r="L206" s="31"/>
      <c r="M206" s="31"/>
      <c r="N206" s="31"/>
      <c r="O206" s="31"/>
      <c r="P206" s="31"/>
      <c r="Q206" s="31"/>
      <c r="R206" s="31"/>
      <c r="S206" s="31"/>
      <c r="T206" s="28">
        <f t="shared" si="4"/>
        <v>0</v>
      </c>
      <c r="U206" s="28"/>
      <c r="W206" s="29" t="str">
        <f t="array" ref="W206">MID(";"&amp;'CASE DATA'!$F206&amp;";",SMALL(IF(ISERROR(SEARCH(MID(";"&amp;'CASE DATA'!$F206&amp;";",ROW($1:$99),1),";")),"",ROW($1:$99)+1),COLUMN(A206)),SMALL(IF(ISERROR(SEARCH(MID(";"&amp;'CASE DATA'!$F206&amp;";",ROW($1:$99),1),";")),"",ROW($1:$99)),COLUMN(A205)+1)-SMALL(IF(ISERROR(SEARCH(MID(";"&amp;'CASE DATA'!$F206&amp;";",ROW($1:$99),1),";")),"",ROW($1:$99)),COLUMN(A205))-1)</f>
        <v/>
      </c>
      <c r="X206" s="29" t="str">
        <f t="array" ref="X206">MID(";"&amp;'CASE DATA'!$F206&amp;";",SMALL(IF(ISERROR(SEARCH(MID(";"&amp;'CASE DATA'!$F206&amp;";",ROW($1:$99),1),";")),"",ROW($1:$99)+1),COLUMN(B206)),SMALL(IF(ISERROR(SEARCH(MID(";"&amp;'CASE DATA'!$F206&amp;";",ROW($1:$99),1),";")),"",ROW($1:$99)),COLUMN(B205)+1)-SMALL(IF(ISERROR(SEARCH(MID(";"&amp;'CASE DATA'!$F206&amp;";",ROW($1:$99),1),";")),"",ROW($1:$99)),COLUMN(B205))-1)</f>
        <v/>
      </c>
      <c r="Y206" s="29" t="str">
        <f t="array" ref="Y206">MID(";"&amp;'CASE DATA'!$F206&amp;";",SMALL(IF(ISERROR(SEARCH(MID(";"&amp;'CASE DATA'!$F206&amp;";",ROW($1:$99),1),";")),"",ROW($1:$99)+1),COLUMN(D206)),SMALL(IF(ISERROR(SEARCH(MID(";"&amp;'CASE DATA'!$F206&amp;";",ROW($1:$99),1),";")),"",ROW($1:$99)),COLUMN(D205)+1)-SMALL(IF(ISERROR(SEARCH(MID(";"&amp;'CASE DATA'!$F206&amp;";",ROW($1:$99),1),";")),"",ROW($1:$99)),COLUMN(D205))-1)</f>
        <v/>
      </c>
      <c r="Z206" s="29" t="str">
        <f t="array" ref="Z206">MID(";"&amp;'CASE DATA'!$F206&amp;";",SMALL(IF(ISERROR(SEARCH(MID(";"&amp;'CASE DATA'!$F206&amp;";",ROW($1:$99),1),";")),"",ROW($1:$99)+1),COLUMN(E206)),SMALL(IF(ISERROR(SEARCH(MID(";"&amp;'CASE DATA'!$F206&amp;";",ROW($1:$99),1),";")),"",ROW($1:$99)),COLUMN(E205)+1)-SMALL(IF(ISERROR(SEARCH(MID(";"&amp;'CASE DATA'!$F206&amp;";",ROW($1:$99),1),";")),"",ROW($1:$99)),COLUMN(E205))-1)</f>
        <v/>
      </c>
      <c r="AA206" s="29" t="str">
        <f t="array" ref="AA206">MID(";"&amp;'CASE DATA'!$F206&amp;";",SMALL(IF(ISERROR(SEARCH(MID(";"&amp;'CASE DATA'!$F206&amp;";",ROW($1:$99),1),";")),"",ROW($1:$99)+1),COLUMN(F206)),SMALL(IF(ISERROR(SEARCH(MID(";"&amp;'CASE DATA'!$F206&amp;";",ROW($1:$99),1),";")),"",ROW($1:$99)),COLUMN(F205)+1)-SMALL(IF(ISERROR(SEARCH(MID(";"&amp;'CASE DATA'!$F206&amp;";",ROW($1:$99),1),";")),"",ROW($1:$99)),COLUMN(F205))-1)</f>
        <v/>
      </c>
      <c r="AB206" s="29" t="str">
        <f t="array" ref="AB206">MID(";"&amp;'CASE DATA'!$F206&amp;";",SMALL(IF(ISERROR(SEARCH(MID(";"&amp;'CASE DATA'!$F206&amp;";",ROW($1:$99),1),";")),"",ROW($1:$99)+1),COLUMN(G206)),SMALL(IF(ISERROR(SEARCH(MID(";"&amp;'CASE DATA'!$F206&amp;";",ROW($1:$99),1),";")),"",ROW($1:$99)),COLUMN(G205)+1)-SMALL(IF(ISERROR(SEARCH(MID(";"&amp;'CASE DATA'!$F206&amp;";",ROW($1:$99),1),";")),"",ROW($1:$99)),COLUMN(G205))-1)</f>
        <v/>
      </c>
      <c r="AC206" s="29" t="str">
        <f t="array" ref="AC206">MID(";"&amp;'CASE DATA'!$F206&amp;";",SMALL(IF(ISERROR(SEARCH(MID(";"&amp;'CASE DATA'!$F206&amp;";",ROW($1:$99),1),";")),"",ROW($1:$99)+1),COLUMN(H206)),SMALL(IF(ISERROR(SEARCH(MID(";"&amp;'CASE DATA'!$F206&amp;";",ROW($1:$99),1),";")),"",ROW($1:$99)),COLUMN(H205)+1)-SMALL(IF(ISERROR(SEARCH(MID(";"&amp;'CASE DATA'!$F206&amp;";",ROW($1:$99),1),";")),"",ROW($1:$99)),COLUMN(H205))-1)</f>
        <v/>
      </c>
      <c r="AD206" s="29" t="str">
        <f t="array" ref="AD206">MID(";"&amp;'CASE DATA'!$F206&amp;";",SMALL(IF(ISERROR(SEARCH(MID(";"&amp;'CASE DATA'!$F206&amp;";",ROW($1:$99),1),";")),"",ROW($1:$99)+1),COLUMN(I206)),SMALL(IF(ISERROR(SEARCH(MID(";"&amp;'CASE DATA'!$F206&amp;";",ROW($1:$99),1),";")),"",ROW($1:$99)),COLUMN(I205)+1)-SMALL(IF(ISERROR(SEARCH(MID(";"&amp;'CASE DATA'!$F206&amp;";",ROW($1:$99),1),";")),"",ROW($1:$99)),COLUMN(I205))-1)</f>
        <v/>
      </c>
      <c r="AE206" s="29" t="str">
        <f t="array" ref="AE206">MID(";"&amp;'CASE DATA'!$F206&amp;";",SMALL(IF(ISERROR(SEARCH(MID(";"&amp;'CASE DATA'!$F206&amp;";",ROW($1:$99),1),";")),"",ROW($1:$99)+1),COLUMN(J206)),SMALL(IF(ISERROR(SEARCH(MID(";"&amp;'CASE DATA'!$F206&amp;";",ROW($1:$99),1),";")),"",ROW($1:$99)),COLUMN(J205)+1)-SMALL(IF(ISERROR(SEARCH(MID(";"&amp;'CASE DATA'!$F206&amp;";",ROW($1:$99),1),";")),"",ROW($1:$99)),COLUMN(J205))-1)</f>
        <v/>
      </c>
      <c r="AF206" s="29" t="str">
        <f t="array" ref="AF206">MID(";"&amp;'CASE DATA'!$F206&amp;";",SMALL(IF(ISERROR(SEARCH(MID(";"&amp;'CASE DATA'!$F206&amp;";",ROW($1:$99),1),";")),"",ROW($1:$99)+1),COLUMN(K206)),SMALL(IF(ISERROR(SEARCH(MID(";"&amp;'CASE DATA'!$F206&amp;";",ROW($1:$99),1),";")),"",ROW($1:$99)),COLUMN(K205)+1)-SMALL(IF(ISERROR(SEARCH(MID(";"&amp;'CASE DATA'!$F206&amp;";",ROW($1:$99),1),";")),"",ROW($1:$99)),COLUMN(K205))-1)</f>
        <v/>
      </c>
      <c r="AG206" s="29" t="str">
        <f t="array" ref="AG206">MID(";"&amp;'CASE DATA'!$F206&amp;";",SMALL(IF(ISERROR(SEARCH(MID(";"&amp;'CASE DATA'!$F206&amp;";",ROW($1:$99),1),";")),"",ROW($1:$99)+1),COLUMN(L206)),SMALL(IF(ISERROR(SEARCH(MID(";"&amp;'CASE DATA'!$F206&amp;";",ROW($1:$99),1),";")),"",ROW($1:$99)),COLUMN(L205)+1)-SMALL(IF(ISERROR(SEARCH(MID(";"&amp;'CASE DATA'!$F206&amp;";",ROW($1:$99),1),";")),"",ROW($1:$99)),COLUMN(L205))-1)</f>
        <v/>
      </c>
      <c r="AH206" s="29"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24"/>
      <c r="D207" s="24"/>
      <c r="J207" s="31"/>
      <c r="K207" s="31"/>
      <c r="L207" s="31"/>
      <c r="M207" s="31"/>
      <c r="N207" s="31"/>
      <c r="O207" s="31"/>
      <c r="P207" s="31"/>
      <c r="Q207" s="31"/>
      <c r="R207" s="31"/>
      <c r="S207" s="31"/>
      <c r="T207" s="28">
        <f t="shared" si="4"/>
        <v>0</v>
      </c>
      <c r="U207" s="28"/>
      <c r="W207" s="29" t="str">
        <f t="array" ref="W207">MID(";"&amp;'CASE DATA'!$F207&amp;";",SMALL(IF(ISERROR(SEARCH(MID(";"&amp;'CASE DATA'!$F207&amp;";",ROW($1:$99),1),";")),"",ROW($1:$99)+1),COLUMN(A207)),SMALL(IF(ISERROR(SEARCH(MID(";"&amp;'CASE DATA'!$F207&amp;";",ROW($1:$99),1),";")),"",ROW($1:$99)),COLUMN(A206)+1)-SMALL(IF(ISERROR(SEARCH(MID(";"&amp;'CASE DATA'!$F207&amp;";",ROW($1:$99),1),";")),"",ROW($1:$99)),COLUMN(A206))-1)</f>
        <v/>
      </c>
      <c r="X207" s="29" t="str">
        <f t="array" ref="X207">MID(";"&amp;'CASE DATA'!$F207&amp;";",SMALL(IF(ISERROR(SEARCH(MID(";"&amp;'CASE DATA'!$F207&amp;";",ROW($1:$99),1),";")),"",ROW($1:$99)+1),COLUMN(B207)),SMALL(IF(ISERROR(SEARCH(MID(";"&amp;'CASE DATA'!$F207&amp;";",ROW($1:$99),1),";")),"",ROW($1:$99)),COLUMN(B206)+1)-SMALL(IF(ISERROR(SEARCH(MID(";"&amp;'CASE DATA'!$F207&amp;";",ROW($1:$99),1),";")),"",ROW($1:$99)),COLUMN(B206))-1)</f>
        <v/>
      </c>
      <c r="Y207" s="29" t="str">
        <f t="array" ref="Y207">MID(";"&amp;'CASE DATA'!$F207&amp;";",SMALL(IF(ISERROR(SEARCH(MID(";"&amp;'CASE DATA'!$F207&amp;";",ROW($1:$99),1),";")),"",ROW($1:$99)+1),COLUMN(D207)),SMALL(IF(ISERROR(SEARCH(MID(";"&amp;'CASE DATA'!$F207&amp;";",ROW($1:$99),1),";")),"",ROW($1:$99)),COLUMN(D206)+1)-SMALL(IF(ISERROR(SEARCH(MID(";"&amp;'CASE DATA'!$F207&amp;";",ROW($1:$99),1),";")),"",ROW($1:$99)),COLUMN(D206))-1)</f>
        <v/>
      </c>
      <c r="Z207" s="29" t="str">
        <f t="array" ref="Z207">MID(";"&amp;'CASE DATA'!$F207&amp;";",SMALL(IF(ISERROR(SEARCH(MID(";"&amp;'CASE DATA'!$F207&amp;";",ROW($1:$99),1),";")),"",ROW($1:$99)+1),COLUMN(E207)),SMALL(IF(ISERROR(SEARCH(MID(";"&amp;'CASE DATA'!$F207&amp;";",ROW($1:$99),1),";")),"",ROW($1:$99)),COLUMN(E206)+1)-SMALL(IF(ISERROR(SEARCH(MID(";"&amp;'CASE DATA'!$F207&amp;";",ROW($1:$99),1),";")),"",ROW($1:$99)),COLUMN(E206))-1)</f>
        <v/>
      </c>
      <c r="AA207" s="29" t="str">
        <f t="array" ref="AA207">MID(";"&amp;'CASE DATA'!$F207&amp;";",SMALL(IF(ISERROR(SEARCH(MID(";"&amp;'CASE DATA'!$F207&amp;";",ROW($1:$99),1),";")),"",ROW($1:$99)+1),COLUMN(F207)),SMALL(IF(ISERROR(SEARCH(MID(";"&amp;'CASE DATA'!$F207&amp;";",ROW($1:$99),1),";")),"",ROW($1:$99)),COLUMN(F206)+1)-SMALL(IF(ISERROR(SEARCH(MID(";"&amp;'CASE DATA'!$F207&amp;";",ROW($1:$99),1),";")),"",ROW($1:$99)),COLUMN(F206))-1)</f>
        <v/>
      </c>
      <c r="AB207" s="29" t="str">
        <f t="array" ref="AB207">MID(";"&amp;'CASE DATA'!$F207&amp;";",SMALL(IF(ISERROR(SEARCH(MID(";"&amp;'CASE DATA'!$F207&amp;";",ROW($1:$99),1),";")),"",ROW($1:$99)+1),COLUMN(G207)),SMALL(IF(ISERROR(SEARCH(MID(";"&amp;'CASE DATA'!$F207&amp;";",ROW($1:$99),1),";")),"",ROW($1:$99)),COLUMN(G206)+1)-SMALL(IF(ISERROR(SEARCH(MID(";"&amp;'CASE DATA'!$F207&amp;";",ROW($1:$99),1),";")),"",ROW($1:$99)),COLUMN(G206))-1)</f>
        <v/>
      </c>
      <c r="AC207" s="29" t="str">
        <f t="array" ref="AC207">MID(";"&amp;'CASE DATA'!$F207&amp;";",SMALL(IF(ISERROR(SEARCH(MID(";"&amp;'CASE DATA'!$F207&amp;";",ROW($1:$99),1),";")),"",ROW($1:$99)+1),COLUMN(H207)),SMALL(IF(ISERROR(SEARCH(MID(";"&amp;'CASE DATA'!$F207&amp;";",ROW($1:$99),1),";")),"",ROW($1:$99)),COLUMN(H206)+1)-SMALL(IF(ISERROR(SEARCH(MID(";"&amp;'CASE DATA'!$F207&amp;";",ROW($1:$99),1),";")),"",ROW($1:$99)),COLUMN(H206))-1)</f>
        <v/>
      </c>
      <c r="AD207" s="29" t="str">
        <f t="array" ref="AD207">MID(";"&amp;'CASE DATA'!$F207&amp;";",SMALL(IF(ISERROR(SEARCH(MID(";"&amp;'CASE DATA'!$F207&amp;";",ROW($1:$99),1),";")),"",ROW($1:$99)+1),COLUMN(I207)),SMALL(IF(ISERROR(SEARCH(MID(";"&amp;'CASE DATA'!$F207&amp;";",ROW($1:$99),1),";")),"",ROW($1:$99)),COLUMN(I206)+1)-SMALL(IF(ISERROR(SEARCH(MID(";"&amp;'CASE DATA'!$F207&amp;";",ROW($1:$99),1),";")),"",ROW($1:$99)),COLUMN(I206))-1)</f>
        <v/>
      </c>
      <c r="AE207" s="29" t="str">
        <f t="array" ref="AE207">MID(";"&amp;'CASE DATA'!$F207&amp;";",SMALL(IF(ISERROR(SEARCH(MID(";"&amp;'CASE DATA'!$F207&amp;";",ROW($1:$99),1),";")),"",ROW($1:$99)+1),COLUMN(J207)),SMALL(IF(ISERROR(SEARCH(MID(";"&amp;'CASE DATA'!$F207&amp;";",ROW($1:$99),1),";")),"",ROW($1:$99)),COLUMN(J206)+1)-SMALL(IF(ISERROR(SEARCH(MID(";"&amp;'CASE DATA'!$F207&amp;";",ROW($1:$99),1),";")),"",ROW($1:$99)),COLUMN(J206))-1)</f>
        <v/>
      </c>
      <c r="AF207" s="29" t="str">
        <f t="array" ref="AF207">MID(";"&amp;'CASE DATA'!$F207&amp;";",SMALL(IF(ISERROR(SEARCH(MID(";"&amp;'CASE DATA'!$F207&amp;";",ROW($1:$99),1),";")),"",ROW($1:$99)+1),COLUMN(K207)),SMALL(IF(ISERROR(SEARCH(MID(";"&amp;'CASE DATA'!$F207&amp;";",ROW($1:$99),1),";")),"",ROW($1:$99)),COLUMN(K206)+1)-SMALL(IF(ISERROR(SEARCH(MID(";"&amp;'CASE DATA'!$F207&amp;";",ROW($1:$99),1),";")),"",ROW($1:$99)),COLUMN(K206))-1)</f>
        <v/>
      </c>
      <c r="AG207" s="29" t="str">
        <f t="array" ref="AG207">MID(";"&amp;'CASE DATA'!$F207&amp;";",SMALL(IF(ISERROR(SEARCH(MID(";"&amp;'CASE DATA'!$F207&amp;";",ROW($1:$99),1),";")),"",ROW($1:$99)+1),COLUMN(L207)),SMALL(IF(ISERROR(SEARCH(MID(";"&amp;'CASE DATA'!$F207&amp;";",ROW($1:$99),1),";")),"",ROW($1:$99)),COLUMN(L206)+1)-SMALL(IF(ISERROR(SEARCH(MID(";"&amp;'CASE DATA'!$F207&amp;";",ROW($1:$99),1),";")),"",ROW($1:$99)),COLUMN(L206))-1)</f>
        <v/>
      </c>
      <c r="AH207" s="29"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24"/>
      <c r="D208" s="24"/>
      <c r="J208" s="31"/>
      <c r="K208" s="31"/>
      <c r="L208" s="31"/>
      <c r="M208" s="31"/>
      <c r="N208" s="31"/>
      <c r="O208" s="31"/>
      <c r="P208" s="31"/>
      <c r="Q208" s="31"/>
      <c r="R208" s="31"/>
      <c r="S208" s="31"/>
      <c r="T208" s="28">
        <f t="shared" si="4"/>
        <v>0</v>
      </c>
      <c r="U208" s="28"/>
      <c r="W208" s="29" t="str">
        <f t="array" ref="W208">MID(";"&amp;'CASE DATA'!$F208&amp;";",SMALL(IF(ISERROR(SEARCH(MID(";"&amp;'CASE DATA'!$F208&amp;";",ROW($1:$99),1),";")),"",ROW($1:$99)+1),COLUMN(A208)),SMALL(IF(ISERROR(SEARCH(MID(";"&amp;'CASE DATA'!$F208&amp;";",ROW($1:$99),1),";")),"",ROW($1:$99)),COLUMN(A207)+1)-SMALL(IF(ISERROR(SEARCH(MID(";"&amp;'CASE DATA'!$F208&amp;";",ROW($1:$99),1),";")),"",ROW($1:$99)),COLUMN(A207))-1)</f>
        <v/>
      </c>
      <c r="X208" s="29" t="str">
        <f t="array" ref="X208">MID(";"&amp;'CASE DATA'!$F208&amp;";",SMALL(IF(ISERROR(SEARCH(MID(";"&amp;'CASE DATA'!$F208&amp;";",ROW($1:$99),1),";")),"",ROW($1:$99)+1),COLUMN(B208)),SMALL(IF(ISERROR(SEARCH(MID(";"&amp;'CASE DATA'!$F208&amp;";",ROW($1:$99),1),";")),"",ROW($1:$99)),COLUMN(B207)+1)-SMALL(IF(ISERROR(SEARCH(MID(";"&amp;'CASE DATA'!$F208&amp;";",ROW($1:$99),1),";")),"",ROW($1:$99)),COLUMN(B207))-1)</f>
        <v/>
      </c>
      <c r="Y208" s="29" t="str">
        <f t="array" ref="Y208">MID(";"&amp;'CASE DATA'!$F208&amp;";",SMALL(IF(ISERROR(SEARCH(MID(";"&amp;'CASE DATA'!$F208&amp;";",ROW($1:$99),1),";")),"",ROW($1:$99)+1),COLUMN(D208)),SMALL(IF(ISERROR(SEARCH(MID(";"&amp;'CASE DATA'!$F208&amp;";",ROW($1:$99),1),";")),"",ROW($1:$99)),COLUMN(D207)+1)-SMALL(IF(ISERROR(SEARCH(MID(";"&amp;'CASE DATA'!$F208&amp;";",ROW($1:$99),1),";")),"",ROW($1:$99)),COLUMN(D207))-1)</f>
        <v/>
      </c>
      <c r="Z208" s="29" t="str">
        <f t="array" ref="Z208">MID(";"&amp;'CASE DATA'!$F208&amp;";",SMALL(IF(ISERROR(SEARCH(MID(";"&amp;'CASE DATA'!$F208&amp;";",ROW($1:$99),1),";")),"",ROW($1:$99)+1),COLUMN(E208)),SMALL(IF(ISERROR(SEARCH(MID(";"&amp;'CASE DATA'!$F208&amp;";",ROW($1:$99),1),";")),"",ROW($1:$99)),COLUMN(E207)+1)-SMALL(IF(ISERROR(SEARCH(MID(";"&amp;'CASE DATA'!$F208&amp;";",ROW($1:$99),1),";")),"",ROW($1:$99)),COLUMN(E207))-1)</f>
        <v/>
      </c>
      <c r="AA208" s="29" t="str">
        <f t="array" ref="AA208">MID(";"&amp;'CASE DATA'!$F208&amp;";",SMALL(IF(ISERROR(SEARCH(MID(";"&amp;'CASE DATA'!$F208&amp;";",ROW($1:$99),1),";")),"",ROW($1:$99)+1),COLUMN(F208)),SMALL(IF(ISERROR(SEARCH(MID(";"&amp;'CASE DATA'!$F208&amp;";",ROW($1:$99),1),";")),"",ROW($1:$99)),COLUMN(F207)+1)-SMALL(IF(ISERROR(SEARCH(MID(";"&amp;'CASE DATA'!$F208&amp;";",ROW($1:$99),1),";")),"",ROW($1:$99)),COLUMN(F207))-1)</f>
        <v/>
      </c>
      <c r="AB208" s="29" t="str">
        <f t="array" ref="AB208">MID(";"&amp;'CASE DATA'!$F208&amp;";",SMALL(IF(ISERROR(SEARCH(MID(";"&amp;'CASE DATA'!$F208&amp;";",ROW($1:$99),1),";")),"",ROW($1:$99)+1),COLUMN(G208)),SMALL(IF(ISERROR(SEARCH(MID(";"&amp;'CASE DATA'!$F208&amp;";",ROW($1:$99),1),";")),"",ROW($1:$99)),COLUMN(G207)+1)-SMALL(IF(ISERROR(SEARCH(MID(";"&amp;'CASE DATA'!$F208&amp;";",ROW($1:$99),1),";")),"",ROW($1:$99)),COLUMN(G207))-1)</f>
        <v/>
      </c>
      <c r="AC208" s="29" t="str">
        <f t="array" ref="AC208">MID(";"&amp;'CASE DATA'!$F208&amp;";",SMALL(IF(ISERROR(SEARCH(MID(";"&amp;'CASE DATA'!$F208&amp;";",ROW($1:$99),1),";")),"",ROW($1:$99)+1),COLUMN(H208)),SMALL(IF(ISERROR(SEARCH(MID(";"&amp;'CASE DATA'!$F208&amp;";",ROW($1:$99),1),";")),"",ROW($1:$99)),COLUMN(H207)+1)-SMALL(IF(ISERROR(SEARCH(MID(";"&amp;'CASE DATA'!$F208&amp;";",ROW($1:$99),1),";")),"",ROW($1:$99)),COLUMN(H207))-1)</f>
        <v/>
      </c>
      <c r="AD208" s="29" t="str">
        <f t="array" ref="AD208">MID(";"&amp;'CASE DATA'!$F208&amp;";",SMALL(IF(ISERROR(SEARCH(MID(";"&amp;'CASE DATA'!$F208&amp;";",ROW($1:$99),1),";")),"",ROW($1:$99)+1),COLUMN(I208)),SMALL(IF(ISERROR(SEARCH(MID(";"&amp;'CASE DATA'!$F208&amp;";",ROW($1:$99),1),";")),"",ROW($1:$99)),COLUMN(I207)+1)-SMALL(IF(ISERROR(SEARCH(MID(";"&amp;'CASE DATA'!$F208&amp;";",ROW($1:$99),1),";")),"",ROW($1:$99)),COLUMN(I207))-1)</f>
        <v/>
      </c>
      <c r="AE208" s="29" t="str">
        <f t="array" ref="AE208">MID(";"&amp;'CASE DATA'!$F208&amp;";",SMALL(IF(ISERROR(SEARCH(MID(";"&amp;'CASE DATA'!$F208&amp;";",ROW($1:$99),1),";")),"",ROW($1:$99)+1),COLUMN(J208)),SMALL(IF(ISERROR(SEARCH(MID(";"&amp;'CASE DATA'!$F208&amp;";",ROW($1:$99),1),";")),"",ROW($1:$99)),COLUMN(J207)+1)-SMALL(IF(ISERROR(SEARCH(MID(";"&amp;'CASE DATA'!$F208&amp;";",ROW($1:$99),1),";")),"",ROW($1:$99)),COLUMN(J207))-1)</f>
        <v/>
      </c>
      <c r="AF208" s="29" t="str">
        <f t="array" ref="AF208">MID(";"&amp;'CASE DATA'!$F208&amp;";",SMALL(IF(ISERROR(SEARCH(MID(";"&amp;'CASE DATA'!$F208&amp;";",ROW($1:$99),1),";")),"",ROW($1:$99)+1),COLUMN(K208)),SMALL(IF(ISERROR(SEARCH(MID(";"&amp;'CASE DATA'!$F208&amp;";",ROW($1:$99),1),";")),"",ROW($1:$99)),COLUMN(K207)+1)-SMALL(IF(ISERROR(SEARCH(MID(";"&amp;'CASE DATA'!$F208&amp;";",ROW($1:$99),1),";")),"",ROW($1:$99)),COLUMN(K207))-1)</f>
        <v/>
      </c>
      <c r="AG208" s="29" t="str">
        <f t="array" ref="AG208">MID(";"&amp;'CASE DATA'!$F208&amp;";",SMALL(IF(ISERROR(SEARCH(MID(";"&amp;'CASE DATA'!$F208&amp;";",ROW($1:$99),1),";")),"",ROW($1:$99)+1),COLUMN(L208)),SMALL(IF(ISERROR(SEARCH(MID(";"&amp;'CASE DATA'!$F208&amp;";",ROW($1:$99),1),";")),"",ROW($1:$99)),COLUMN(L207)+1)-SMALL(IF(ISERROR(SEARCH(MID(";"&amp;'CASE DATA'!$F208&amp;";",ROW($1:$99),1),";")),"",ROW($1:$99)),COLUMN(L207))-1)</f>
        <v/>
      </c>
      <c r="AH208" s="29"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24"/>
      <c r="D209" s="24"/>
      <c r="J209" s="31"/>
      <c r="K209" s="31"/>
      <c r="L209" s="31"/>
      <c r="M209" s="31"/>
      <c r="N209" s="31"/>
      <c r="O209" s="31"/>
      <c r="P209" s="31"/>
      <c r="Q209" s="31"/>
      <c r="R209" s="31"/>
      <c r="S209" s="31"/>
      <c r="T209" s="28">
        <f t="shared" si="4"/>
        <v>0</v>
      </c>
      <c r="U209" s="28"/>
      <c r="W209" s="29" t="str">
        <f t="array" ref="W209">MID(";"&amp;'CASE DATA'!$F209&amp;";",SMALL(IF(ISERROR(SEARCH(MID(";"&amp;'CASE DATA'!$F209&amp;";",ROW($1:$99),1),";")),"",ROW($1:$99)+1),COLUMN(A209)),SMALL(IF(ISERROR(SEARCH(MID(";"&amp;'CASE DATA'!$F209&amp;";",ROW($1:$99),1),";")),"",ROW($1:$99)),COLUMN(A208)+1)-SMALL(IF(ISERROR(SEARCH(MID(";"&amp;'CASE DATA'!$F209&amp;";",ROW($1:$99),1),";")),"",ROW($1:$99)),COLUMN(A208))-1)</f>
        <v/>
      </c>
      <c r="X209" s="29" t="str">
        <f t="array" ref="X209">MID(";"&amp;'CASE DATA'!$F209&amp;";",SMALL(IF(ISERROR(SEARCH(MID(";"&amp;'CASE DATA'!$F209&amp;";",ROW($1:$99),1),";")),"",ROW($1:$99)+1),COLUMN(B209)),SMALL(IF(ISERROR(SEARCH(MID(";"&amp;'CASE DATA'!$F209&amp;";",ROW($1:$99),1),";")),"",ROW($1:$99)),COLUMN(B208)+1)-SMALL(IF(ISERROR(SEARCH(MID(";"&amp;'CASE DATA'!$F209&amp;";",ROW($1:$99),1),";")),"",ROW($1:$99)),COLUMN(B208))-1)</f>
        <v/>
      </c>
      <c r="Y209" s="29" t="str">
        <f t="array" ref="Y209">MID(";"&amp;'CASE DATA'!$F209&amp;";",SMALL(IF(ISERROR(SEARCH(MID(";"&amp;'CASE DATA'!$F209&amp;";",ROW($1:$99),1),";")),"",ROW($1:$99)+1),COLUMN(D209)),SMALL(IF(ISERROR(SEARCH(MID(";"&amp;'CASE DATA'!$F209&amp;";",ROW($1:$99),1),";")),"",ROW($1:$99)),COLUMN(D208)+1)-SMALL(IF(ISERROR(SEARCH(MID(";"&amp;'CASE DATA'!$F209&amp;";",ROW($1:$99),1),";")),"",ROW($1:$99)),COLUMN(D208))-1)</f>
        <v/>
      </c>
      <c r="Z209" s="29" t="str">
        <f t="array" ref="Z209">MID(";"&amp;'CASE DATA'!$F209&amp;";",SMALL(IF(ISERROR(SEARCH(MID(";"&amp;'CASE DATA'!$F209&amp;";",ROW($1:$99),1),";")),"",ROW($1:$99)+1),COLUMN(E209)),SMALL(IF(ISERROR(SEARCH(MID(";"&amp;'CASE DATA'!$F209&amp;";",ROW($1:$99),1),";")),"",ROW($1:$99)),COLUMN(E208)+1)-SMALL(IF(ISERROR(SEARCH(MID(";"&amp;'CASE DATA'!$F209&amp;";",ROW($1:$99),1),";")),"",ROW($1:$99)),COLUMN(E208))-1)</f>
        <v/>
      </c>
      <c r="AA209" s="29" t="str">
        <f t="array" ref="AA209">MID(";"&amp;'CASE DATA'!$F209&amp;";",SMALL(IF(ISERROR(SEARCH(MID(";"&amp;'CASE DATA'!$F209&amp;";",ROW($1:$99),1),";")),"",ROW($1:$99)+1),COLUMN(F209)),SMALL(IF(ISERROR(SEARCH(MID(";"&amp;'CASE DATA'!$F209&amp;";",ROW($1:$99),1),";")),"",ROW($1:$99)),COLUMN(F208)+1)-SMALL(IF(ISERROR(SEARCH(MID(";"&amp;'CASE DATA'!$F209&amp;";",ROW($1:$99),1),";")),"",ROW($1:$99)),COLUMN(F208))-1)</f>
        <v/>
      </c>
      <c r="AB209" s="29" t="str">
        <f t="array" ref="AB209">MID(";"&amp;'CASE DATA'!$F209&amp;";",SMALL(IF(ISERROR(SEARCH(MID(";"&amp;'CASE DATA'!$F209&amp;";",ROW($1:$99),1),";")),"",ROW($1:$99)+1),COLUMN(G209)),SMALL(IF(ISERROR(SEARCH(MID(";"&amp;'CASE DATA'!$F209&amp;";",ROW($1:$99),1),";")),"",ROW($1:$99)),COLUMN(G208)+1)-SMALL(IF(ISERROR(SEARCH(MID(";"&amp;'CASE DATA'!$F209&amp;";",ROW($1:$99),1),";")),"",ROW($1:$99)),COLUMN(G208))-1)</f>
        <v/>
      </c>
      <c r="AC209" s="29" t="str">
        <f t="array" ref="AC209">MID(";"&amp;'CASE DATA'!$F209&amp;";",SMALL(IF(ISERROR(SEARCH(MID(";"&amp;'CASE DATA'!$F209&amp;";",ROW($1:$99),1),";")),"",ROW($1:$99)+1),COLUMN(H209)),SMALL(IF(ISERROR(SEARCH(MID(";"&amp;'CASE DATA'!$F209&amp;";",ROW($1:$99),1),";")),"",ROW($1:$99)),COLUMN(H208)+1)-SMALL(IF(ISERROR(SEARCH(MID(";"&amp;'CASE DATA'!$F209&amp;";",ROW($1:$99),1),";")),"",ROW($1:$99)),COLUMN(H208))-1)</f>
        <v/>
      </c>
      <c r="AD209" s="29" t="str">
        <f t="array" ref="AD209">MID(";"&amp;'CASE DATA'!$F209&amp;";",SMALL(IF(ISERROR(SEARCH(MID(";"&amp;'CASE DATA'!$F209&amp;";",ROW($1:$99),1),";")),"",ROW($1:$99)+1),COLUMN(I209)),SMALL(IF(ISERROR(SEARCH(MID(";"&amp;'CASE DATA'!$F209&amp;";",ROW($1:$99),1),";")),"",ROW($1:$99)),COLUMN(I208)+1)-SMALL(IF(ISERROR(SEARCH(MID(";"&amp;'CASE DATA'!$F209&amp;";",ROW($1:$99),1),";")),"",ROW($1:$99)),COLUMN(I208))-1)</f>
        <v/>
      </c>
      <c r="AE209" s="29" t="str">
        <f t="array" ref="AE209">MID(";"&amp;'CASE DATA'!$F209&amp;";",SMALL(IF(ISERROR(SEARCH(MID(";"&amp;'CASE DATA'!$F209&amp;";",ROW($1:$99),1),";")),"",ROW($1:$99)+1),COLUMN(J209)),SMALL(IF(ISERROR(SEARCH(MID(";"&amp;'CASE DATA'!$F209&amp;";",ROW($1:$99),1),";")),"",ROW($1:$99)),COLUMN(J208)+1)-SMALL(IF(ISERROR(SEARCH(MID(";"&amp;'CASE DATA'!$F209&amp;";",ROW($1:$99),1),";")),"",ROW($1:$99)),COLUMN(J208))-1)</f>
        <v/>
      </c>
      <c r="AF209" s="29" t="str">
        <f t="array" ref="AF209">MID(";"&amp;'CASE DATA'!$F209&amp;";",SMALL(IF(ISERROR(SEARCH(MID(";"&amp;'CASE DATA'!$F209&amp;";",ROW($1:$99),1),";")),"",ROW($1:$99)+1),COLUMN(K209)),SMALL(IF(ISERROR(SEARCH(MID(";"&amp;'CASE DATA'!$F209&amp;";",ROW($1:$99),1),";")),"",ROW($1:$99)),COLUMN(K208)+1)-SMALL(IF(ISERROR(SEARCH(MID(";"&amp;'CASE DATA'!$F209&amp;";",ROW($1:$99),1),";")),"",ROW($1:$99)),COLUMN(K208))-1)</f>
        <v/>
      </c>
      <c r="AG209" s="29" t="str">
        <f t="array" ref="AG209">MID(";"&amp;'CASE DATA'!$F209&amp;";",SMALL(IF(ISERROR(SEARCH(MID(";"&amp;'CASE DATA'!$F209&amp;";",ROW($1:$99),1),";")),"",ROW($1:$99)+1),COLUMN(L209)),SMALL(IF(ISERROR(SEARCH(MID(";"&amp;'CASE DATA'!$F209&amp;";",ROW($1:$99),1),";")),"",ROW($1:$99)),COLUMN(L208)+1)-SMALL(IF(ISERROR(SEARCH(MID(";"&amp;'CASE DATA'!$F209&amp;";",ROW($1:$99),1),";")),"",ROW($1:$99)),COLUMN(L208))-1)</f>
        <v/>
      </c>
      <c r="AH209" s="29"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24"/>
      <c r="D210" s="24"/>
      <c r="J210" s="31"/>
      <c r="K210" s="31"/>
      <c r="L210" s="31"/>
      <c r="M210" s="31"/>
      <c r="N210" s="31"/>
      <c r="O210" s="31"/>
      <c r="P210" s="31"/>
      <c r="Q210" s="31"/>
      <c r="R210" s="31"/>
      <c r="S210" s="31"/>
      <c r="T210" s="28">
        <f t="shared" si="4"/>
        <v>0</v>
      </c>
      <c r="U210" s="28"/>
      <c r="W210" s="29" t="str">
        <f t="array" ref="W210">MID(";"&amp;'CASE DATA'!$F210&amp;";",SMALL(IF(ISERROR(SEARCH(MID(";"&amp;'CASE DATA'!$F210&amp;";",ROW($1:$99),1),";")),"",ROW($1:$99)+1),COLUMN(A210)),SMALL(IF(ISERROR(SEARCH(MID(";"&amp;'CASE DATA'!$F210&amp;";",ROW($1:$99),1),";")),"",ROW($1:$99)),COLUMN(A209)+1)-SMALL(IF(ISERROR(SEARCH(MID(";"&amp;'CASE DATA'!$F210&amp;";",ROW($1:$99),1),";")),"",ROW($1:$99)),COLUMN(A209))-1)</f>
        <v/>
      </c>
      <c r="X210" s="29" t="str">
        <f t="array" ref="X210">MID(";"&amp;'CASE DATA'!$F210&amp;";",SMALL(IF(ISERROR(SEARCH(MID(";"&amp;'CASE DATA'!$F210&amp;";",ROW($1:$99),1),";")),"",ROW($1:$99)+1),COLUMN(B210)),SMALL(IF(ISERROR(SEARCH(MID(";"&amp;'CASE DATA'!$F210&amp;";",ROW($1:$99),1),";")),"",ROW($1:$99)),COLUMN(B209)+1)-SMALL(IF(ISERROR(SEARCH(MID(";"&amp;'CASE DATA'!$F210&amp;";",ROW($1:$99),1),";")),"",ROW($1:$99)),COLUMN(B209))-1)</f>
        <v/>
      </c>
      <c r="Y210" s="29" t="str">
        <f t="array" ref="Y210">MID(";"&amp;'CASE DATA'!$F210&amp;";",SMALL(IF(ISERROR(SEARCH(MID(";"&amp;'CASE DATA'!$F210&amp;";",ROW($1:$99),1),";")),"",ROW($1:$99)+1),COLUMN(D210)),SMALL(IF(ISERROR(SEARCH(MID(";"&amp;'CASE DATA'!$F210&amp;";",ROW($1:$99),1),";")),"",ROW($1:$99)),COLUMN(D209)+1)-SMALL(IF(ISERROR(SEARCH(MID(";"&amp;'CASE DATA'!$F210&amp;";",ROW($1:$99),1),";")),"",ROW($1:$99)),COLUMN(D209))-1)</f>
        <v/>
      </c>
      <c r="Z210" s="29" t="str">
        <f t="array" ref="Z210">MID(";"&amp;'CASE DATA'!$F210&amp;";",SMALL(IF(ISERROR(SEARCH(MID(";"&amp;'CASE DATA'!$F210&amp;";",ROW($1:$99),1),";")),"",ROW($1:$99)+1),COLUMN(E210)),SMALL(IF(ISERROR(SEARCH(MID(";"&amp;'CASE DATA'!$F210&amp;";",ROW($1:$99),1),";")),"",ROW($1:$99)),COLUMN(E209)+1)-SMALL(IF(ISERROR(SEARCH(MID(";"&amp;'CASE DATA'!$F210&amp;";",ROW($1:$99),1),";")),"",ROW($1:$99)),COLUMN(E209))-1)</f>
        <v/>
      </c>
      <c r="AA210" s="29" t="str">
        <f t="array" ref="AA210">MID(";"&amp;'CASE DATA'!$F210&amp;";",SMALL(IF(ISERROR(SEARCH(MID(";"&amp;'CASE DATA'!$F210&amp;";",ROW($1:$99),1),";")),"",ROW($1:$99)+1),COLUMN(F210)),SMALL(IF(ISERROR(SEARCH(MID(";"&amp;'CASE DATA'!$F210&amp;";",ROW($1:$99),1),";")),"",ROW($1:$99)),COLUMN(F209)+1)-SMALL(IF(ISERROR(SEARCH(MID(";"&amp;'CASE DATA'!$F210&amp;";",ROW($1:$99),1),";")),"",ROW($1:$99)),COLUMN(F209))-1)</f>
        <v/>
      </c>
      <c r="AB210" s="29" t="str">
        <f t="array" ref="AB210">MID(";"&amp;'CASE DATA'!$F210&amp;";",SMALL(IF(ISERROR(SEARCH(MID(";"&amp;'CASE DATA'!$F210&amp;";",ROW($1:$99),1),";")),"",ROW($1:$99)+1),COLUMN(G210)),SMALL(IF(ISERROR(SEARCH(MID(";"&amp;'CASE DATA'!$F210&amp;";",ROW($1:$99),1),";")),"",ROW($1:$99)),COLUMN(G209)+1)-SMALL(IF(ISERROR(SEARCH(MID(";"&amp;'CASE DATA'!$F210&amp;";",ROW($1:$99),1),";")),"",ROW($1:$99)),COLUMN(G209))-1)</f>
        <v/>
      </c>
      <c r="AC210" s="29" t="str">
        <f t="array" ref="AC210">MID(";"&amp;'CASE DATA'!$F210&amp;";",SMALL(IF(ISERROR(SEARCH(MID(";"&amp;'CASE DATA'!$F210&amp;";",ROW($1:$99),1),";")),"",ROW($1:$99)+1),COLUMN(H210)),SMALL(IF(ISERROR(SEARCH(MID(";"&amp;'CASE DATA'!$F210&amp;";",ROW($1:$99),1),";")),"",ROW($1:$99)),COLUMN(H209)+1)-SMALL(IF(ISERROR(SEARCH(MID(";"&amp;'CASE DATA'!$F210&amp;";",ROW($1:$99),1),";")),"",ROW($1:$99)),COLUMN(H209))-1)</f>
        <v/>
      </c>
      <c r="AD210" s="29" t="str">
        <f t="array" ref="AD210">MID(";"&amp;'CASE DATA'!$F210&amp;";",SMALL(IF(ISERROR(SEARCH(MID(";"&amp;'CASE DATA'!$F210&amp;";",ROW($1:$99),1),";")),"",ROW($1:$99)+1),COLUMN(I210)),SMALL(IF(ISERROR(SEARCH(MID(";"&amp;'CASE DATA'!$F210&amp;";",ROW($1:$99),1),";")),"",ROW($1:$99)),COLUMN(I209)+1)-SMALL(IF(ISERROR(SEARCH(MID(";"&amp;'CASE DATA'!$F210&amp;";",ROW($1:$99),1),";")),"",ROW($1:$99)),COLUMN(I209))-1)</f>
        <v/>
      </c>
      <c r="AE210" s="29" t="str">
        <f t="array" ref="AE210">MID(";"&amp;'CASE DATA'!$F210&amp;";",SMALL(IF(ISERROR(SEARCH(MID(";"&amp;'CASE DATA'!$F210&amp;";",ROW($1:$99),1),";")),"",ROW($1:$99)+1),COLUMN(J210)),SMALL(IF(ISERROR(SEARCH(MID(";"&amp;'CASE DATA'!$F210&amp;";",ROW($1:$99),1),";")),"",ROW($1:$99)),COLUMN(J209)+1)-SMALL(IF(ISERROR(SEARCH(MID(";"&amp;'CASE DATA'!$F210&amp;";",ROW($1:$99),1),";")),"",ROW($1:$99)),COLUMN(J209))-1)</f>
        <v/>
      </c>
      <c r="AF210" s="29" t="str">
        <f t="array" ref="AF210">MID(";"&amp;'CASE DATA'!$F210&amp;";",SMALL(IF(ISERROR(SEARCH(MID(";"&amp;'CASE DATA'!$F210&amp;";",ROW($1:$99),1),";")),"",ROW($1:$99)+1),COLUMN(K210)),SMALL(IF(ISERROR(SEARCH(MID(";"&amp;'CASE DATA'!$F210&amp;";",ROW($1:$99),1),";")),"",ROW($1:$99)),COLUMN(K209)+1)-SMALL(IF(ISERROR(SEARCH(MID(";"&amp;'CASE DATA'!$F210&amp;";",ROW($1:$99),1),";")),"",ROW($1:$99)),COLUMN(K209))-1)</f>
        <v/>
      </c>
      <c r="AG210" s="29" t="str">
        <f t="array" ref="AG210">MID(";"&amp;'CASE DATA'!$F210&amp;";",SMALL(IF(ISERROR(SEARCH(MID(";"&amp;'CASE DATA'!$F210&amp;";",ROW($1:$99),1),";")),"",ROW($1:$99)+1),COLUMN(L210)),SMALL(IF(ISERROR(SEARCH(MID(";"&amp;'CASE DATA'!$F210&amp;";",ROW($1:$99),1),";")),"",ROW($1:$99)),COLUMN(L209)+1)-SMALL(IF(ISERROR(SEARCH(MID(";"&amp;'CASE DATA'!$F210&amp;";",ROW($1:$99),1),";")),"",ROW($1:$99)),COLUMN(L209))-1)</f>
        <v/>
      </c>
      <c r="AH210" s="29"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24"/>
      <c r="D211" s="24"/>
      <c r="J211" s="31"/>
      <c r="K211" s="31"/>
      <c r="L211" s="31"/>
      <c r="M211" s="31"/>
      <c r="N211" s="31"/>
      <c r="O211" s="31"/>
      <c r="P211" s="31"/>
      <c r="Q211" s="31"/>
      <c r="R211" s="31"/>
      <c r="S211" s="31"/>
      <c r="T211" s="28">
        <f t="shared" si="4"/>
        <v>0</v>
      </c>
      <c r="U211" s="28"/>
      <c r="W211" s="29" t="str">
        <f t="array" ref="W211">MID(";"&amp;'CASE DATA'!$F211&amp;";",SMALL(IF(ISERROR(SEARCH(MID(";"&amp;'CASE DATA'!$F211&amp;";",ROW($1:$99),1),";")),"",ROW($1:$99)+1),COLUMN(A211)),SMALL(IF(ISERROR(SEARCH(MID(";"&amp;'CASE DATA'!$F211&amp;";",ROW($1:$99),1),";")),"",ROW($1:$99)),COLUMN(A210)+1)-SMALL(IF(ISERROR(SEARCH(MID(";"&amp;'CASE DATA'!$F211&amp;";",ROW($1:$99),1),";")),"",ROW($1:$99)),COLUMN(A210))-1)</f>
        <v/>
      </c>
      <c r="X211" s="29" t="str">
        <f t="array" ref="X211">MID(";"&amp;'CASE DATA'!$F211&amp;";",SMALL(IF(ISERROR(SEARCH(MID(";"&amp;'CASE DATA'!$F211&amp;";",ROW($1:$99),1),";")),"",ROW($1:$99)+1),COLUMN(B211)),SMALL(IF(ISERROR(SEARCH(MID(";"&amp;'CASE DATA'!$F211&amp;";",ROW($1:$99),1),";")),"",ROW($1:$99)),COLUMN(B210)+1)-SMALL(IF(ISERROR(SEARCH(MID(";"&amp;'CASE DATA'!$F211&amp;";",ROW($1:$99),1),";")),"",ROW($1:$99)),COLUMN(B210))-1)</f>
        <v/>
      </c>
      <c r="Y211" s="29" t="str">
        <f t="array" ref="Y211">MID(";"&amp;'CASE DATA'!$F211&amp;";",SMALL(IF(ISERROR(SEARCH(MID(";"&amp;'CASE DATA'!$F211&amp;";",ROW($1:$99),1),";")),"",ROW($1:$99)+1),COLUMN(D211)),SMALL(IF(ISERROR(SEARCH(MID(";"&amp;'CASE DATA'!$F211&amp;";",ROW($1:$99),1),";")),"",ROW($1:$99)),COLUMN(D210)+1)-SMALL(IF(ISERROR(SEARCH(MID(";"&amp;'CASE DATA'!$F211&amp;";",ROW($1:$99),1),";")),"",ROW($1:$99)),COLUMN(D210))-1)</f>
        <v/>
      </c>
      <c r="Z211" s="29" t="str">
        <f t="array" ref="Z211">MID(";"&amp;'CASE DATA'!$F211&amp;";",SMALL(IF(ISERROR(SEARCH(MID(";"&amp;'CASE DATA'!$F211&amp;";",ROW($1:$99),1),";")),"",ROW($1:$99)+1),COLUMN(E211)),SMALL(IF(ISERROR(SEARCH(MID(";"&amp;'CASE DATA'!$F211&amp;";",ROW($1:$99),1),";")),"",ROW($1:$99)),COLUMN(E210)+1)-SMALL(IF(ISERROR(SEARCH(MID(";"&amp;'CASE DATA'!$F211&amp;";",ROW($1:$99),1),";")),"",ROW($1:$99)),COLUMN(E210))-1)</f>
        <v/>
      </c>
      <c r="AA211" s="29" t="str">
        <f t="array" ref="AA211">MID(";"&amp;'CASE DATA'!$F211&amp;";",SMALL(IF(ISERROR(SEARCH(MID(";"&amp;'CASE DATA'!$F211&amp;";",ROW($1:$99),1),";")),"",ROW($1:$99)+1),COLUMN(F211)),SMALL(IF(ISERROR(SEARCH(MID(";"&amp;'CASE DATA'!$F211&amp;";",ROW($1:$99),1),";")),"",ROW($1:$99)),COLUMN(F210)+1)-SMALL(IF(ISERROR(SEARCH(MID(";"&amp;'CASE DATA'!$F211&amp;";",ROW($1:$99),1),";")),"",ROW($1:$99)),COLUMN(F210))-1)</f>
        <v/>
      </c>
      <c r="AB211" s="29" t="str">
        <f t="array" ref="AB211">MID(";"&amp;'CASE DATA'!$F211&amp;";",SMALL(IF(ISERROR(SEARCH(MID(";"&amp;'CASE DATA'!$F211&amp;";",ROW($1:$99),1),";")),"",ROW($1:$99)+1),COLUMN(G211)),SMALL(IF(ISERROR(SEARCH(MID(";"&amp;'CASE DATA'!$F211&amp;";",ROW($1:$99),1),";")),"",ROW($1:$99)),COLUMN(G210)+1)-SMALL(IF(ISERROR(SEARCH(MID(";"&amp;'CASE DATA'!$F211&amp;";",ROW($1:$99),1),";")),"",ROW($1:$99)),COLUMN(G210))-1)</f>
        <v/>
      </c>
      <c r="AC211" s="29" t="str">
        <f t="array" ref="AC211">MID(";"&amp;'CASE DATA'!$F211&amp;";",SMALL(IF(ISERROR(SEARCH(MID(";"&amp;'CASE DATA'!$F211&amp;";",ROW($1:$99),1),";")),"",ROW($1:$99)+1),COLUMN(H211)),SMALL(IF(ISERROR(SEARCH(MID(";"&amp;'CASE DATA'!$F211&amp;";",ROW($1:$99),1),";")),"",ROW($1:$99)),COLUMN(H210)+1)-SMALL(IF(ISERROR(SEARCH(MID(";"&amp;'CASE DATA'!$F211&amp;";",ROW($1:$99),1),";")),"",ROW($1:$99)),COLUMN(H210))-1)</f>
        <v/>
      </c>
      <c r="AD211" s="29" t="str">
        <f t="array" ref="AD211">MID(";"&amp;'CASE DATA'!$F211&amp;";",SMALL(IF(ISERROR(SEARCH(MID(";"&amp;'CASE DATA'!$F211&amp;";",ROW($1:$99),1),";")),"",ROW($1:$99)+1),COLUMN(I211)),SMALL(IF(ISERROR(SEARCH(MID(";"&amp;'CASE DATA'!$F211&amp;";",ROW($1:$99),1),";")),"",ROW($1:$99)),COLUMN(I210)+1)-SMALL(IF(ISERROR(SEARCH(MID(";"&amp;'CASE DATA'!$F211&amp;";",ROW($1:$99),1),";")),"",ROW($1:$99)),COLUMN(I210))-1)</f>
        <v/>
      </c>
      <c r="AE211" s="29" t="str">
        <f t="array" ref="AE211">MID(";"&amp;'CASE DATA'!$F211&amp;";",SMALL(IF(ISERROR(SEARCH(MID(";"&amp;'CASE DATA'!$F211&amp;";",ROW($1:$99),1),";")),"",ROW($1:$99)+1),COLUMN(J211)),SMALL(IF(ISERROR(SEARCH(MID(";"&amp;'CASE DATA'!$F211&amp;";",ROW($1:$99),1),";")),"",ROW($1:$99)),COLUMN(J210)+1)-SMALL(IF(ISERROR(SEARCH(MID(";"&amp;'CASE DATA'!$F211&amp;";",ROW($1:$99),1),";")),"",ROW($1:$99)),COLUMN(J210))-1)</f>
        <v/>
      </c>
      <c r="AF211" s="29" t="str">
        <f t="array" ref="AF211">MID(";"&amp;'CASE DATA'!$F211&amp;";",SMALL(IF(ISERROR(SEARCH(MID(";"&amp;'CASE DATA'!$F211&amp;";",ROW($1:$99),1),";")),"",ROW($1:$99)+1),COLUMN(K211)),SMALL(IF(ISERROR(SEARCH(MID(";"&amp;'CASE DATA'!$F211&amp;";",ROW($1:$99),1),";")),"",ROW($1:$99)),COLUMN(K210)+1)-SMALL(IF(ISERROR(SEARCH(MID(";"&amp;'CASE DATA'!$F211&amp;";",ROW($1:$99),1),";")),"",ROW($1:$99)),COLUMN(K210))-1)</f>
        <v/>
      </c>
      <c r="AG211" s="29" t="str">
        <f t="array" ref="AG211">MID(";"&amp;'CASE DATA'!$F211&amp;";",SMALL(IF(ISERROR(SEARCH(MID(";"&amp;'CASE DATA'!$F211&amp;";",ROW($1:$99),1),";")),"",ROW($1:$99)+1),COLUMN(L211)),SMALL(IF(ISERROR(SEARCH(MID(";"&amp;'CASE DATA'!$F211&amp;";",ROW($1:$99),1),";")),"",ROW($1:$99)),COLUMN(L210)+1)-SMALL(IF(ISERROR(SEARCH(MID(";"&amp;'CASE DATA'!$F211&amp;";",ROW($1:$99),1),";")),"",ROW($1:$99)),COLUMN(L210))-1)</f>
        <v/>
      </c>
      <c r="AH211" s="29"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24"/>
      <c r="D212" s="24"/>
      <c r="J212" s="31"/>
      <c r="K212" s="31"/>
      <c r="L212" s="31"/>
      <c r="M212" s="31"/>
      <c r="N212" s="31"/>
      <c r="O212" s="31"/>
      <c r="P212" s="31"/>
      <c r="Q212" s="31"/>
      <c r="R212" s="31"/>
      <c r="S212" s="31"/>
      <c r="T212" s="28">
        <f t="shared" si="4"/>
        <v>0</v>
      </c>
      <c r="U212" s="28"/>
      <c r="W212" s="29" t="str">
        <f t="array" ref="W212">MID(";"&amp;'CASE DATA'!$F212&amp;";",SMALL(IF(ISERROR(SEARCH(MID(";"&amp;'CASE DATA'!$F212&amp;";",ROW($1:$99),1),";")),"",ROW($1:$99)+1),COLUMN(A212)),SMALL(IF(ISERROR(SEARCH(MID(";"&amp;'CASE DATA'!$F212&amp;";",ROW($1:$99),1),";")),"",ROW($1:$99)),COLUMN(A211)+1)-SMALL(IF(ISERROR(SEARCH(MID(";"&amp;'CASE DATA'!$F212&amp;";",ROW($1:$99),1),";")),"",ROW($1:$99)),COLUMN(A211))-1)</f>
        <v/>
      </c>
      <c r="X212" s="29" t="str">
        <f t="array" ref="X212">MID(";"&amp;'CASE DATA'!$F212&amp;";",SMALL(IF(ISERROR(SEARCH(MID(";"&amp;'CASE DATA'!$F212&amp;";",ROW($1:$99),1),";")),"",ROW($1:$99)+1),COLUMN(B212)),SMALL(IF(ISERROR(SEARCH(MID(";"&amp;'CASE DATA'!$F212&amp;";",ROW($1:$99),1),";")),"",ROW($1:$99)),COLUMN(B211)+1)-SMALL(IF(ISERROR(SEARCH(MID(";"&amp;'CASE DATA'!$F212&amp;";",ROW($1:$99),1),";")),"",ROW($1:$99)),COLUMN(B211))-1)</f>
        <v/>
      </c>
      <c r="Y212" s="29" t="str">
        <f t="array" ref="Y212">MID(";"&amp;'CASE DATA'!$F212&amp;";",SMALL(IF(ISERROR(SEARCH(MID(";"&amp;'CASE DATA'!$F212&amp;";",ROW($1:$99),1),";")),"",ROW($1:$99)+1),COLUMN(D212)),SMALL(IF(ISERROR(SEARCH(MID(";"&amp;'CASE DATA'!$F212&amp;";",ROW($1:$99),1),";")),"",ROW($1:$99)),COLUMN(D211)+1)-SMALL(IF(ISERROR(SEARCH(MID(";"&amp;'CASE DATA'!$F212&amp;";",ROW($1:$99),1),";")),"",ROW($1:$99)),COLUMN(D211))-1)</f>
        <v/>
      </c>
      <c r="Z212" s="29" t="str">
        <f t="array" ref="Z212">MID(";"&amp;'CASE DATA'!$F212&amp;";",SMALL(IF(ISERROR(SEARCH(MID(";"&amp;'CASE DATA'!$F212&amp;";",ROW($1:$99),1),";")),"",ROW($1:$99)+1),COLUMN(E212)),SMALL(IF(ISERROR(SEARCH(MID(";"&amp;'CASE DATA'!$F212&amp;";",ROW($1:$99),1),";")),"",ROW($1:$99)),COLUMN(E211)+1)-SMALL(IF(ISERROR(SEARCH(MID(";"&amp;'CASE DATA'!$F212&amp;";",ROW($1:$99),1),";")),"",ROW($1:$99)),COLUMN(E211))-1)</f>
        <v/>
      </c>
      <c r="AA212" s="29" t="str">
        <f t="array" ref="AA212">MID(";"&amp;'CASE DATA'!$F212&amp;";",SMALL(IF(ISERROR(SEARCH(MID(";"&amp;'CASE DATA'!$F212&amp;";",ROW($1:$99),1),";")),"",ROW($1:$99)+1),COLUMN(F212)),SMALL(IF(ISERROR(SEARCH(MID(";"&amp;'CASE DATA'!$F212&amp;";",ROW($1:$99),1),";")),"",ROW($1:$99)),COLUMN(F211)+1)-SMALL(IF(ISERROR(SEARCH(MID(";"&amp;'CASE DATA'!$F212&amp;";",ROW($1:$99),1),";")),"",ROW($1:$99)),COLUMN(F211))-1)</f>
        <v/>
      </c>
      <c r="AB212" s="29" t="str">
        <f t="array" ref="AB212">MID(";"&amp;'CASE DATA'!$F212&amp;";",SMALL(IF(ISERROR(SEARCH(MID(";"&amp;'CASE DATA'!$F212&amp;";",ROW($1:$99),1),";")),"",ROW($1:$99)+1),COLUMN(G212)),SMALL(IF(ISERROR(SEARCH(MID(";"&amp;'CASE DATA'!$F212&amp;";",ROW($1:$99),1),";")),"",ROW($1:$99)),COLUMN(G211)+1)-SMALL(IF(ISERROR(SEARCH(MID(";"&amp;'CASE DATA'!$F212&amp;";",ROW($1:$99),1),";")),"",ROW($1:$99)),COLUMN(G211))-1)</f>
        <v/>
      </c>
      <c r="AC212" s="29" t="str">
        <f t="array" ref="AC212">MID(";"&amp;'CASE DATA'!$F212&amp;";",SMALL(IF(ISERROR(SEARCH(MID(";"&amp;'CASE DATA'!$F212&amp;";",ROW($1:$99),1),";")),"",ROW($1:$99)+1),COLUMN(H212)),SMALL(IF(ISERROR(SEARCH(MID(";"&amp;'CASE DATA'!$F212&amp;";",ROW($1:$99),1),";")),"",ROW($1:$99)),COLUMN(H211)+1)-SMALL(IF(ISERROR(SEARCH(MID(";"&amp;'CASE DATA'!$F212&amp;";",ROW($1:$99),1),";")),"",ROW($1:$99)),COLUMN(H211))-1)</f>
        <v/>
      </c>
      <c r="AD212" s="29" t="str">
        <f t="array" ref="AD212">MID(";"&amp;'CASE DATA'!$F212&amp;";",SMALL(IF(ISERROR(SEARCH(MID(";"&amp;'CASE DATA'!$F212&amp;";",ROW($1:$99),1),";")),"",ROW($1:$99)+1),COLUMN(I212)),SMALL(IF(ISERROR(SEARCH(MID(";"&amp;'CASE DATA'!$F212&amp;";",ROW($1:$99),1),";")),"",ROW($1:$99)),COLUMN(I211)+1)-SMALL(IF(ISERROR(SEARCH(MID(";"&amp;'CASE DATA'!$F212&amp;";",ROW($1:$99),1),";")),"",ROW($1:$99)),COLUMN(I211))-1)</f>
        <v/>
      </c>
      <c r="AE212" s="29" t="str">
        <f t="array" ref="AE212">MID(";"&amp;'CASE DATA'!$F212&amp;";",SMALL(IF(ISERROR(SEARCH(MID(";"&amp;'CASE DATA'!$F212&amp;";",ROW($1:$99),1),";")),"",ROW($1:$99)+1),COLUMN(J212)),SMALL(IF(ISERROR(SEARCH(MID(";"&amp;'CASE DATA'!$F212&amp;";",ROW($1:$99),1),";")),"",ROW($1:$99)),COLUMN(J211)+1)-SMALL(IF(ISERROR(SEARCH(MID(";"&amp;'CASE DATA'!$F212&amp;";",ROW($1:$99),1),";")),"",ROW($1:$99)),COLUMN(J211))-1)</f>
        <v/>
      </c>
      <c r="AF212" s="29" t="str">
        <f t="array" ref="AF212">MID(";"&amp;'CASE DATA'!$F212&amp;";",SMALL(IF(ISERROR(SEARCH(MID(";"&amp;'CASE DATA'!$F212&amp;";",ROW($1:$99),1),";")),"",ROW($1:$99)+1),COLUMN(K212)),SMALL(IF(ISERROR(SEARCH(MID(";"&amp;'CASE DATA'!$F212&amp;";",ROW($1:$99),1),";")),"",ROW($1:$99)),COLUMN(K211)+1)-SMALL(IF(ISERROR(SEARCH(MID(";"&amp;'CASE DATA'!$F212&amp;";",ROW($1:$99),1),";")),"",ROW($1:$99)),COLUMN(K211))-1)</f>
        <v/>
      </c>
      <c r="AG212" s="29" t="str">
        <f t="array" ref="AG212">MID(";"&amp;'CASE DATA'!$F212&amp;";",SMALL(IF(ISERROR(SEARCH(MID(";"&amp;'CASE DATA'!$F212&amp;";",ROW($1:$99),1),";")),"",ROW($1:$99)+1),COLUMN(L212)),SMALL(IF(ISERROR(SEARCH(MID(";"&amp;'CASE DATA'!$F212&amp;";",ROW($1:$99),1),";")),"",ROW($1:$99)),COLUMN(L211)+1)-SMALL(IF(ISERROR(SEARCH(MID(";"&amp;'CASE DATA'!$F212&amp;";",ROW($1:$99),1),";")),"",ROW($1:$99)),COLUMN(L211))-1)</f>
        <v/>
      </c>
      <c r="AH212" s="29"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24"/>
      <c r="D213" s="24"/>
      <c r="J213" s="31"/>
      <c r="K213" s="31"/>
      <c r="L213" s="31"/>
      <c r="M213" s="31"/>
      <c r="N213" s="31"/>
      <c r="O213" s="31"/>
      <c r="P213" s="31"/>
      <c r="Q213" s="31"/>
      <c r="R213" s="31"/>
      <c r="S213" s="31"/>
      <c r="T213" s="28">
        <f t="shared" si="4"/>
        <v>0</v>
      </c>
      <c r="U213" s="28"/>
      <c r="W213" s="29" t="str">
        <f t="array" ref="W213">MID(";"&amp;'CASE DATA'!$F213&amp;";",SMALL(IF(ISERROR(SEARCH(MID(";"&amp;'CASE DATA'!$F213&amp;";",ROW($1:$99),1),";")),"",ROW($1:$99)+1),COLUMN(A213)),SMALL(IF(ISERROR(SEARCH(MID(";"&amp;'CASE DATA'!$F213&amp;";",ROW($1:$99),1),";")),"",ROW($1:$99)),COLUMN(A212)+1)-SMALL(IF(ISERROR(SEARCH(MID(";"&amp;'CASE DATA'!$F213&amp;";",ROW($1:$99),1),";")),"",ROW($1:$99)),COLUMN(A212))-1)</f>
        <v/>
      </c>
      <c r="X213" s="29" t="str">
        <f t="array" ref="X213">MID(";"&amp;'CASE DATA'!$F213&amp;";",SMALL(IF(ISERROR(SEARCH(MID(";"&amp;'CASE DATA'!$F213&amp;";",ROW($1:$99),1),";")),"",ROW($1:$99)+1),COLUMN(B213)),SMALL(IF(ISERROR(SEARCH(MID(";"&amp;'CASE DATA'!$F213&amp;";",ROW($1:$99),1),";")),"",ROW($1:$99)),COLUMN(B212)+1)-SMALL(IF(ISERROR(SEARCH(MID(";"&amp;'CASE DATA'!$F213&amp;";",ROW($1:$99),1),";")),"",ROW($1:$99)),COLUMN(B212))-1)</f>
        <v/>
      </c>
      <c r="Y213" s="29" t="str">
        <f t="array" ref="Y213">MID(";"&amp;'CASE DATA'!$F213&amp;";",SMALL(IF(ISERROR(SEARCH(MID(";"&amp;'CASE DATA'!$F213&amp;";",ROW($1:$99),1),";")),"",ROW($1:$99)+1),COLUMN(D213)),SMALL(IF(ISERROR(SEARCH(MID(";"&amp;'CASE DATA'!$F213&amp;";",ROW($1:$99),1),";")),"",ROW($1:$99)),COLUMN(D212)+1)-SMALL(IF(ISERROR(SEARCH(MID(";"&amp;'CASE DATA'!$F213&amp;";",ROW($1:$99),1),";")),"",ROW($1:$99)),COLUMN(D212))-1)</f>
        <v/>
      </c>
      <c r="Z213" s="29" t="str">
        <f t="array" ref="Z213">MID(";"&amp;'CASE DATA'!$F213&amp;";",SMALL(IF(ISERROR(SEARCH(MID(";"&amp;'CASE DATA'!$F213&amp;";",ROW($1:$99),1),";")),"",ROW($1:$99)+1),COLUMN(E213)),SMALL(IF(ISERROR(SEARCH(MID(";"&amp;'CASE DATA'!$F213&amp;";",ROW($1:$99),1),";")),"",ROW($1:$99)),COLUMN(E212)+1)-SMALL(IF(ISERROR(SEARCH(MID(";"&amp;'CASE DATA'!$F213&amp;";",ROW($1:$99),1),";")),"",ROW($1:$99)),COLUMN(E212))-1)</f>
        <v/>
      </c>
      <c r="AA213" s="29" t="str">
        <f t="array" ref="AA213">MID(";"&amp;'CASE DATA'!$F213&amp;";",SMALL(IF(ISERROR(SEARCH(MID(";"&amp;'CASE DATA'!$F213&amp;";",ROW($1:$99),1),";")),"",ROW($1:$99)+1),COLUMN(F213)),SMALL(IF(ISERROR(SEARCH(MID(";"&amp;'CASE DATA'!$F213&amp;";",ROW($1:$99),1),";")),"",ROW($1:$99)),COLUMN(F212)+1)-SMALL(IF(ISERROR(SEARCH(MID(";"&amp;'CASE DATA'!$F213&amp;";",ROW($1:$99),1),";")),"",ROW($1:$99)),COLUMN(F212))-1)</f>
        <v/>
      </c>
      <c r="AB213" s="29" t="str">
        <f t="array" ref="AB213">MID(";"&amp;'CASE DATA'!$F213&amp;";",SMALL(IF(ISERROR(SEARCH(MID(";"&amp;'CASE DATA'!$F213&amp;";",ROW($1:$99),1),";")),"",ROW($1:$99)+1),COLUMN(G213)),SMALL(IF(ISERROR(SEARCH(MID(";"&amp;'CASE DATA'!$F213&amp;";",ROW($1:$99),1),";")),"",ROW($1:$99)),COLUMN(G212)+1)-SMALL(IF(ISERROR(SEARCH(MID(";"&amp;'CASE DATA'!$F213&amp;";",ROW($1:$99),1),";")),"",ROW($1:$99)),COLUMN(G212))-1)</f>
        <v/>
      </c>
      <c r="AC213" s="29" t="str">
        <f t="array" ref="AC213">MID(";"&amp;'CASE DATA'!$F213&amp;";",SMALL(IF(ISERROR(SEARCH(MID(";"&amp;'CASE DATA'!$F213&amp;";",ROW($1:$99),1),";")),"",ROW($1:$99)+1),COLUMN(H213)),SMALL(IF(ISERROR(SEARCH(MID(";"&amp;'CASE DATA'!$F213&amp;";",ROW($1:$99),1),";")),"",ROW($1:$99)),COLUMN(H212)+1)-SMALL(IF(ISERROR(SEARCH(MID(";"&amp;'CASE DATA'!$F213&amp;";",ROW($1:$99),1),";")),"",ROW($1:$99)),COLUMN(H212))-1)</f>
        <v/>
      </c>
      <c r="AD213" s="29" t="str">
        <f t="array" ref="AD213">MID(";"&amp;'CASE DATA'!$F213&amp;";",SMALL(IF(ISERROR(SEARCH(MID(";"&amp;'CASE DATA'!$F213&amp;";",ROW($1:$99),1),";")),"",ROW($1:$99)+1),COLUMN(I213)),SMALL(IF(ISERROR(SEARCH(MID(";"&amp;'CASE DATA'!$F213&amp;";",ROW($1:$99),1),";")),"",ROW($1:$99)),COLUMN(I212)+1)-SMALL(IF(ISERROR(SEARCH(MID(";"&amp;'CASE DATA'!$F213&amp;";",ROW($1:$99),1),";")),"",ROW($1:$99)),COLUMN(I212))-1)</f>
        <v/>
      </c>
      <c r="AE213" s="29" t="str">
        <f t="array" ref="AE213">MID(";"&amp;'CASE DATA'!$F213&amp;";",SMALL(IF(ISERROR(SEARCH(MID(";"&amp;'CASE DATA'!$F213&amp;";",ROW($1:$99),1),";")),"",ROW($1:$99)+1),COLUMN(J213)),SMALL(IF(ISERROR(SEARCH(MID(";"&amp;'CASE DATA'!$F213&amp;";",ROW($1:$99),1),";")),"",ROW($1:$99)),COLUMN(J212)+1)-SMALL(IF(ISERROR(SEARCH(MID(";"&amp;'CASE DATA'!$F213&amp;";",ROW($1:$99),1),";")),"",ROW($1:$99)),COLUMN(J212))-1)</f>
        <v/>
      </c>
      <c r="AF213" s="29" t="str">
        <f t="array" ref="AF213">MID(";"&amp;'CASE DATA'!$F213&amp;";",SMALL(IF(ISERROR(SEARCH(MID(";"&amp;'CASE DATA'!$F213&amp;";",ROW($1:$99),1),";")),"",ROW($1:$99)+1),COLUMN(K213)),SMALL(IF(ISERROR(SEARCH(MID(";"&amp;'CASE DATA'!$F213&amp;";",ROW($1:$99),1),";")),"",ROW($1:$99)),COLUMN(K212)+1)-SMALL(IF(ISERROR(SEARCH(MID(";"&amp;'CASE DATA'!$F213&amp;";",ROW($1:$99),1),";")),"",ROW($1:$99)),COLUMN(K212))-1)</f>
        <v/>
      </c>
      <c r="AG213" s="29" t="str">
        <f t="array" ref="AG213">MID(";"&amp;'CASE DATA'!$F213&amp;";",SMALL(IF(ISERROR(SEARCH(MID(";"&amp;'CASE DATA'!$F213&amp;";",ROW($1:$99),1),";")),"",ROW($1:$99)+1),COLUMN(L213)),SMALL(IF(ISERROR(SEARCH(MID(";"&amp;'CASE DATA'!$F213&amp;";",ROW($1:$99),1),";")),"",ROW($1:$99)),COLUMN(L212)+1)-SMALL(IF(ISERROR(SEARCH(MID(";"&amp;'CASE DATA'!$F213&amp;";",ROW($1:$99),1),";")),"",ROW($1:$99)),COLUMN(L212))-1)</f>
        <v/>
      </c>
      <c r="AH213" s="29"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24"/>
      <c r="D214" s="24"/>
      <c r="J214" s="31"/>
      <c r="K214" s="31"/>
      <c r="L214" s="31"/>
      <c r="M214" s="31"/>
      <c r="N214" s="31"/>
      <c r="O214" s="31"/>
      <c r="P214" s="31"/>
      <c r="Q214" s="31"/>
      <c r="R214" s="31"/>
      <c r="S214" s="31"/>
      <c r="T214" s="28">
        <f t="shared" si="4"/>
        <v>0</v>
      </c>
      <c r="U214" s="28"/>
      <c r="W214" s="29" t="str">
        <f t="array" ref="W214">MID(";"&amp;'CASE DATA'!$F214&amp;";",SMALL(IF(ISERROR(SEARCH(MID(";"&amp;'CASE DATA'!$F214&amp;";",ROW($1:$99),1),";")),"",ROW($1:$99)+1),COLUMN(A214)),SMALL(IF(ISERROR(SEARCH(MID(";"&amp;'CASE DATA'!$F214&amp;";",ROW($1:$99),1),";")),"",ROW($1:$99)),COLUMN(A213)+1)-SMALL(IF(ISERROR(SEARCH(MID(";"&amp;'CASE DATA'!$F214&amp;";",ROW($1:$99),1),";")),"",ROW($1:$99)),COLUMN(A213))-1)</f>
        <v/>
      </c>
      <c r="X214" s="29" t="str">
        <f t="array" ref="X214">MID(";"&amp;'CASE DATA'!$F214&amp;";",SMALL(IF(ISERROR(SEARCH(MID(";"&amp;'CASE DATA'!$F214&amp;";",ROW($1:$99),1),";")),"",ROW($1:$99)+1),COLUMN(B214)),SMALL(IF(ISERROR(SEARCH(MID(";"&amp;'CASE DATA'!$F214&amp;";",ROW($1:$99),1),";")),"",ROW($1:$99)),COLUMN(B213)+1)-SMALL(IF(ISERROR(SEARCH(MID(";"&amp;'CASE DATA'!$F214&amp;";",ROW($1:$99),1),";")),"",ROW($1:$99)),COLUMN(B213))-1)</f>
        <v/>
      </c>
      <c r="Y214" s="29" t="str">
        <f t="array" ref="Y214">MID(";"&amp;'CASE DATA'!$F214&amp;";",SMALL(IF(ISERROR(SEARCH(MID(";"&amp;'CASE DATA'!$F214&amp;";",ROW($1:$99),1),";")),"",ROW($1:$99)+1),COLUMN(D214)),SMALL(IF(ISERROR(SEARCH(MID(";"&amp;'CASE DATA'!$F214&amp;";",ROW($1:$99),1),";")),"",ROW($1:$99)),COLUMN(D213)+1)-SMALL(IF(ISERROR(SEARCH(MID(";"&amp;'CASE DATA'!$F214&amp;";",ROW($1:$99),1),";")),"",ROW($1:$99)),COLUMN(D213))-1)</f>
        <v/>
      </c>
      <c r="Z214" s="29" t="str">
        <f t="array" ref="Z214">MID(";"&amp;'CASE DATA'!$F214&amp;";",SMALL(IF(ISERROR(SEARCH(MID(";"&amp;'CASE DATA'!$F214&amp;";",ROW($1:$99),1),";")),"",ROW($1:$99)+1),COLUMN(E214)),SMALL(IF(ISERROR(SEARCH(MID(";"&amp;'CASE DATA'!$F214&amp;";",ROW($1:$99),1),";")),"",ROW($1:$99)),COLUMN(E213)+1)-SMALL(IF(ISERROR(SEARCH(MID(";"&amp;'CASE DATA'!$F214&amp;";",ROW($1:$99),1),";")),"",ROW($1:$99)),COLUMN(E213))-1)</f>
        <v/>
      </c>
      <c r="AA214" s="29" t="str">
        <f t="array" ref="AA214">MID(";"&amp;'CASE DATA'!$F214&amp;";",SMALL(IF(ISERROR(SEARCH(MID(";"&amp;'CASE DATA'!$F214&amp;";",ROW($1:$99),1),";")),"",ROW($1:$99)+1),COLUMN(F214)),SMALL(IF(ISERROR(SEARCH(MID(";"&amp;'CASE DATA'!$F214&amp;";",ROW($1:$99),1),";")),"",ROW($1:$99)),COLUMN(F213)+1)-SMALL(IF(ISERROR(SEARCH(MID(";"&amp;'CASE DATA'!$F214&amp;";",ROW($1:$99),1),";")),"",ROW($1:$99)),COLUMN(F213))-1)</f>
        <v/>
      </c>
      <c r="AB214" s="29" t="str">
        <f t="array" ref="AB214">MID(";"&amp;'CASE DATA'!$F214&amp;";",SMALL(IF(ISERROR(SEARCH(MID(";"&amp;'CASE DATA'!$F214&amp;";",ROW($1:$99),1),";")),"",ROW($1:$99)+1),COLUMN(G214)),SMALL(IF(ISERROR(SEARCH(MID(";"&amp;'CASE DATA'!$F214&amp;";",ROW($1:$99),1),";")),"",ROW($1:$99)),COLUMN(G213)+1)-SMALL(IF(ISERROR(SEARCH(MID(";"&amp;'CASE DATA'!$F214&amp;";",ROW($1:$99),1),";")),"",ROW($1:$99)),COLUMN(G213))-1)</f>
        <v/>
      </c>
      <c r="AC214" s="29" t="str">
        <f t="array" ref="AC214">MID(";"&amp;'CASE DATA'!$F214&amp;";",SMALL(IF(ISERROR(SEARCH(MID(";"&amp;'CASE DATA'!$F214&amp;";",ROW($1:$99),1),";")),"",ROW($1:$99)+1),COLUMN(H214)),SMALL(IF(ISERROR(SEARCH(MID(";"&amp;'CASE DATA'!$F214&amp;";",ROW($1:$99),1),";")),"",ROW($1:$99)),COLUMN(H213)+1)-SMALL(IF(ISERROR(SEARCH(MID(";"&amp;'CASE DATA'!$F214&amp;";",ROW($1:$99),1),";")),"",ROW($1:$99)),COLUMN(H213))-1)</f>
        <v/>
      </c>
      <c r="AD214" s="29" t="str">
        <f t="array" ref="AD214">MID(";"&amp;'CASE DATA'!$F214&amp;";",SMALL(IF(ISERROR(SEARCH(MID(";"&amp;'CASE DATA'!$F214&amp;";",ROW($1:$99),1),";")),"",ROW($1:$99)+1),COLUMN(I214)),SMALL(IF(ISERROR(SEARCH(MID(";"&amp;'CASE DATA'!$F214&amp;";",ROW($1:$99),1),";")),"",ROW($1:$99)),COLUMN(I213)+1)-SMALL(IF(ISERROR(SEARCH(MID(";"&amp;'CASE DATA'!$F214&amp;";",ROW($1:$99),1),";")),"",ROW($1:$99)),COLUMN(I213))-1)</f>
        <v/>
      </c>
      <c r="AE214" s="29" t="str">
        <f t="array" ref="AE214">MID(";"&amp;'CASE DATA'!$F214&amp;";",SMALL(IF(ISERROR(SEARCH(MID(";"&amp;'CASE DATA'!$F214&amp;";",ROW($1:$99),1),";")),"",ROW($1:$99)+1),COLUMN(J214)),SMALL(IF(ISERROR(SEARCH(MID(";"&amp;'CASE DATA'!$F214&amp;";",ROW($1:$99),1),";")),"",ROW($1:$99)),COLUMN(J213)+1)-SMALL(IF(ISERROR(SEARCH(MID(";"&amp;'CASE DATA'!$F214&amp;";",ROW($1:$99),1),";")),"",ROW($1:$99)),COLUMN(J213))-1)</f>
        <v/>
      </c>
      <c r="AF214" s="29" t="str">
        <f t="array" ref="AF214">MID(";"&amp;'CASE DATA'!$F214&amp;";",SMALL(IF(ISERROR(SEARCH(MID(";"&amp;'CASE DATA'!$F214&amp;";",ROW($1:$99),1),";")),"",ROW($1:$99)+1),COLUMN(K214)),SMALL(IF(ISERROR(SEARCH(MID(";"&amp;'CASE DATA'!$F214&amp;";",ROW($1:$99),1),";")),"",ROW($1:$99)),COLUMN(K213)+1)-SMALL(IF(ISERROR(SEARCH(MID(";"&amp;'CASE DATA'!$F214&amp;";",ROW($1:$99),1),";")),"",ROW($1:$99)),COLUMN(K213))-1)</f>
        <v/>
      </c>
      <c r="AG214" s="29" t="str">
        <f t="array" ref="AG214">MID(";"&amp;'CASE DATA'!$F214&amp;";",SMALL(IF(ISERROR(SEARCH(MID(";"&amp;'CASE DATA'!$F214&amp;";",ROW($1:$99),1),";")),"",ROW($1:$99)+1),COLUMN(L214)),SMALL(IF(ISERROR(SEARCH(MID(";"&amp;'CASE DATA'!$F214&amp;";",ROW($1:$99),1),";")),"",ROW($1:$99)),COLUMN(L213)+1)-SMALL(IF(ISERROR(SEARCH(MID(";"&amp;'CASE DATA'!$F214&amp;";",ROW($1:$99),1),";")),"",ROW($1:$99)),COLUMN(L213))-1)</f>
        <v/>
      </c>
      <c r="AH214" s="29"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24"/>
      <c r="D215" s="24"/>
      <c r="J215" s="31"/>
      <c r="K215" s="31"/>
      <c r="L215" s="31"/>
      <c r="M215" s="31"/>
      <c r="N215" s="31"/>
      <c r="O215" s="31"/>
      <c r="P215" s="31"/>
      <c r="Q215" s="31"/>
      <c r="R215" s="31"/>
      <c r="S215" s="31"/>
      <c r="T215" s="28">
        <f t="shared" si="4"/>
        <v>0</v>
      </c>
      <c r="U215" s="28"/>
      <c r="W215" s="29" t="str">
        <f t="array" ref="W215">MID(";"&amp;'CASE DATA'!$F215&amp;";",SMALL(IF(ISERROR(SEARCH(MID(";"&amp;'CASE DATA'!$F215&amp;";",ROW($1:$99),1),";")),"",ROW($1:$99)+1),COLUMN(A215)),SMALL(IF(ISERROR(SEARCH(MID(";"&amp;'CASE DATA'!$F215&amp;";",ROW($1:$99),1),";")),"",ROW($1:$99)),COLUMN(A214)+1)-SMALL(IF(ISERROR(SEARCH(MID(";"&amp;'CASE DATA'!$F215&amp;";",ROW($1:$99),1),";")),"",ROW($1:$99)),COLUMN(A214))-1)</f>
        <v/>
      </c>
      <c r="X215" s="29" t="str">
        <f t="array" ref="X215">MID(";"&amp;'CASE DATA'!$F215&amp;";",SMALL(IF(ISERROR(SEARCH(MID(";"&amp;'CASE DATA'!$F215&amp;";",ROW($1:$99),1),";")),"",ROW($1:$99)+1),COLUMN(B215)),SMALL(IF(ISERROR(SEARCH(MID(";"&amp;'CASE DATA'!$F215&amp;";",ROW($1:$99),1),";")),"",ROW($1:$99)),COLUMN(B214)+1)-SMALL(IF(ISERROR(SEARCH(MID(";"&amp;'CASE DATA'!$F215&amp;";",ROW($1:$99),1),";")),"",ROW($1:$99)),COLUMN(B214))-1)</f>
        <v/>
      </c>
      <c r="Y215" s="29" t="str">
        <f t="array" ref="Y215">MID(";"&amp;'CASE DATA'!$F215&amp;";",SMALL(IF(ISERROR(SEARCH(MID(";"&amp;'CASE DATA'!$F215&amp;";",ROW($1:$99),1),";")),"",ROW($1:$99)+1),COLUMN(D215)),SMALL(IF(ISERROR(SEARCH(MID(";"&amp;'CASE DATA'!$F215&amp;";",ROW($1:$99),1),";")),"",ROW($1:$99)),COLUMN(D214)+1)-SMALL(IF(ISERROR(SEARCH(MID(";"&amp;'CASE DATA'!$F215&amp;";",ROW($1:$99),1),";")),"",ROW($1:$99)),COLUMN(D214))-1)</f>
        <v/>
      </c>
      <c r="Z215" s="29" t="str">
        <f t="array" ref="Z215">MID(";"&amp;'CASE DATA'!$F215&amp;";",SMALL(IF(ISERROR(SEARCH(MID(";"&amp;'CASE DATA'!$F215&amp;";",ROW($1:$99),1),";")),"",ROW($1:$99)+1),COLUMN(E215)),SMALL(IF(ISERROR(SEARCH(MID(";"&amp;'CASE DATA'!$F215&amp;";",ROW($1:$99),1),";")),"",ROW($1:$99)),COLUMN(E214)+1)-SMALL(IF(ISERROR(SEARCH(MID(";"&amp;'CASE DATA'!$F215&amp;";",ROW($1:$99),1),";")),"",ROW($1:$99)),COLUMN(E214))-1)</f>
        <v/>
      </c>
      <c r="AA215" s="29" t="str">
        <f t="array" ref="AA215">MID(";"&amp;'CASE DATA'!$F215&amp;";",SMALL(IF(ISERROR(SEARCH(MID(";"&amp;'CASE DATA'!$F215&amp;";",ROW($1:$99),1),";")),"",ROW($1:$99)+1),COLUMN(F215)),SMALL(IF(ISERROR(SEARCH(MID(";"&amp;'CASE DATA'!$F215&amp;";",ROW($1:$99),1),";")),"",ROW($1:$99)),COLUMN(F214)+1)-SMALL(IF(ISERROR(SEARCH(MID(";"&amp;'CASE DATA'!$F215&amp;";",ROW($1:$99),1),";")),"",ROW($1:$99)),COLUMN(F214))-1)</f>
        <v/>
      </c>
      <c r="AB215" s="29" t="str">
        <f t="array" ref="AB215">MID(";"&amp;'CASE DATA'!$F215&amp;";",SMALL(IF(ISERROR(SEARCH(MID(";"&amp;'CASE DATA'!$F215&amp;";",ROW($1:$99),1),";")),"",ROW($1:$99)+1),COLUMN(G215)),SMALL(IF(ISERROR(SEARCH(MID(";"&amp;'CASE DATA'!$F215&amp;";",ROW($1:$99),1),";")),"",ROW($1:$99)),COLUMN(G214)+1)-SMALL(IF(ISERROR(SEARCH(MID(";"&amp;'CASE DATA'!$F215&amp;";",ROW($1:$99),1),";")),"",ROW($1:$99)),COLUMN(G214))-1)</f>
        <v/>
      </c>
      <c r="AC215" s="29" t="str">
        <f t="array" ref="AC215">MID(";"&amp;'CASE DATA'!$F215&amp;";",SMALL(IF(ISERROR(SEARCH(MID(";"&amp;'CASE DATA'!$F215&amp;";",ROW($1:$99),1),";")),"",ROW($1:$99)+1),COLUMN(H215)),SMALL(IF(ISERROR(SEARCH(MID(";"&amp;'CASE DATA'!$F215&amp;";",ROW($1:$99),1),";")),"",ROW($1:$99)),COLUMN(H214)+1)-SMALL(IF(ISERROR(SEARCH(MID(";"&amp;'CASE DATA'!$F215&amp;";",ROW($1:$99),1),";")),"",ROW($1:$99)),COLUMN(H214))-1)</f>
        <v/>
      </c>
      <c r="AD215" s="29" t="str">
        <f t="array" ref="AD215">MID(";"&amp;'CASE DATA'!$F215&amp;";",SMALL(IF(ISERROR(SEARCH(MID(";"&amp;'CASE DATA'!$F215&amp;";",ROW($1:$99),1),";")),"",ROW($1:$99)+1),COLUMN(I215)),SMALL(IF(ISERROR(SEARCH(MID(";"&amp;'CASE DATA'!$F215&amp;";",ROW($1:$99),1),";")),"",ROW($1:$99)),COLUMN(I214)+1)-SMALL(IF(ISERROR(SEARCH(MID(";"&amp;'CASE DATA'!$F215&amp;";",ROW($1:$99),1),";")),"",ROW($1:$99)),COLUMN(I214))-1)</f>
        <v/>
      </c>
      <c r="AE215" s="29" t="str">
        <f t="array" ref="AE215">MID(";"&amp;'CASE DATA'!$F215&amp;";",SMALL(IF(ISERROR(SEARCH(MID(";"&amp;'CASE DATA'!$F215&amp;";",ROW($1:$99),1),";")),"",ROW($1:$99)+1),COLUMN(J215)),SMALL(IF(ISERROR(SEARCH(MID(";"&amp;'CASE DATA'!$F215&amp;";",ROW($1:$99),1),";")),"",ROW($1:$99)),COLUMN(J214)+1)-SMALL(IF(ISERROR(SEARCH(MID(";"&amp;'CASE DATA'!$F215&amp;";",ROW($1:$99),1),";")),"",ROW($1:$99)),COLUMN(J214))-1)</f>
        <v/>
      </c>
      <c r="AF215" s="29" t="str">
        <f t="array" ref="AF215">MID(";"&amp;'CASE DATA'!$F215&amp;";",SMALL(IF(ISERROR(SEARCH(MID(";"&amp;'CASE DATA'!$F215&amp;";",ROW($1:$99),1),";")),"",ROW($1:$99)+1),COLUMN(K215)),SMALL(IF(ISERROR(SEARCH(MID(";"&amp;'CASE DATA'!$F215&amp;";",ROW($1:$99),1),";")),"",ROW($1:$99)),COLUMN(K214)+1)-SMALL(IF(ISERROR(SEARCH(MID(";"&amp;'CASE DATA'!$F215&amp;";",ROW($1:$99),1),";")),"",ROW($1:$99)),COLUMN(K214))-1)</f>
        <v/>
      </c>
      <c r="AG215" s="29" t="str">
        <f t="array" ref="AG215">MID(";"&amp;'CASE DATA'!$F215&amp;";",SMALL(IF(ISERROR(SEARCH(MID(";"&amp;'CASE DATA'!$F215&amp;";",ROW($1:$99),1),";")),"",ROW($1:$99)+1),COLUMN(L215)),SMALL(IF(ISERROR(SEARCH(MID(";"&amp;'CASE DATA'!$F215&amp;";",ROW($1:$99),1),";")),"",ROW($1:$99)),COLUMN(L214)+1)-SMALL(IF(ISERROR(SEARCH(MID(";"&amp;'CASE DATA'!$F215&amp;";",ROW($1:$99),1),";")),"",ROW($1:$99)),COLUMN(L214))-1)</f>
        <v/>
      </c>
      <c r="AH215" s="29"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24"/>
      <c r="D216" s="24"/>
      <c r="J216" s="31"/>
      <c r="K216" s="31"/>
      <c r="L216" s="31"/>
      <c r="M216" s="31"/>
      <c r="N216" s="31"/>
      <c r="O216" s="31"/>
      <c r="P216" s="31"/>
      <c r="Q216" s="31"/>
      <c r="R216" s="31"/>
      <c r="S216" s="31"/>
      <c r="T216" s="28">
        <f t="shared" si="4"/>
        <v>0</v>
      </c>
      <c r="U216" s="28"/>
      <c r="W216" s="29" t="str">
        <f t="array" ref="W216">MID(";"&amp;'CASE DATA'!$F216&amp;";",SMALL(IF(ISERROR(SEARCH(MID(";"&amp;'CASE DATA'!$F216&amp;";",ROW($1:$99),1),";")),"",ROW($1:$99)+1),COLUMN(A216)),SMALL(IF(ISERROR(SEARCH(MID(";"&amp;'CASE DATA'!$F216&amp;";",ROW($1:$99),1),";")),"",ROW($1:$99)),COLUMN(A215)+1)-SMALL(IF(ISERROR(SEARCH(MID(";"&amp;'CASE DATA'!$F216&amp;";",ROW($1:$99),1),";")),"",ROW($1:$99)),COLUMN(A215))-1)</f>
        <v/>
      </c>
      <c r="X216" s="29" t="str">
        <f t="array" ref="X216">MID(";"&amp;'CASE DATA'!$F216&amp;";",SMALL(IF(ISERROR(SEARCH(MID(";"&amp;'CASE DATA'!$F216&amp;";",ROW($1:$99),1),";")),"",ROW($1:$99)+1),COLUMN(B216)),SMALL(IF(ISERROR(SEARCH(MID(";"&amp;'CASE DATA'!$F216&amp;";",ROW($1:$99),1),";")),"",ROW($1:$99)),COLUMN(B215)+1)-SMALL(IF(ISERROR(SEARCH(MID(";"&amp;'CASE DATA'!$F216&amp;";",ROW($1:$99),1),";")),"",ROW($1:$99)),COLUMN(B215))-1)</f>
        <v/>
      </c>
      <c r="Y216" s="29" t="str">
        <f t="array" ref="Y216">MID(";"&amp;'CASE DATA'!$F216&amp;";",SMALL(IF(ISERROR(SEARCH(MID(";"&amp;'CASE DATA'!$F216&amp;";",ROW($1:$99),1),";")),"",ROW($1:$99)+1),COLUMN(D216)),SMALL(IF(ISERROR(SEARCH(MID(";"&amp;'CASE DATA'!$F216&amp;";",ROW($1:$99),1),";")),"",ROW($1:$99)),COLUMN(D215)+1)-SMALL(IF(ISERROR(SEARCH(MID(";"&amp;'CASE DATA'!$F216&amp;";",ROW($1:$99),1),";")),"",ROW($1:$99)),COLUMN(D215))-1)</f>
        <v/>
      </c>
      <c r="Z216" s="29" t="str">
        <f t="array" ref="Z216">MID(";"&amp;'CASE DATA'!$F216&amp;";",SMALL(IF(ISERROR(SEARCH(MID(";"&amp;'CASE DATA'!$F216&amp;";",ROW($1:$99),1),";")),"",ROW($1:$99)+1),COLUMN(E216)),SMALL(IF(ISERROR(SEARCH(MID(";"&amp;'CASE DATA'!$F216&amp;";",ROW($1:$99),1),";")),"",ROW($1:$99)),COLUMN(E215)+1)-SMALL(IF(ISERROR(SEARCH(MID(";"&amp;'CASE DATA'!$F216&amp;";",ROW($1:$99),1),";")),"",ROW($1:$99)),COLUMN(E215))-1)</f>
        <v/>
      </c>
      <c r="AA216" s="29" t="str">
        <f t="array" ref="AA216">MID(";"&amp;'CASE DATA'!$F216&amp;";",SMALL(IF(ISERROR(SEARCH(MID(";"&amp;'CASE DATA'!$F216&amp;";",ROW($1:$99),1),";")),"",ROW($1:$99)+1),COLUMN(F216)),SMALL(IF(ISERROR(SEARCH(MID(";"&amp;'CASE DATA'!$F216&amp;";",ROW($1:$99),1),";")),"",ROW($1:$99)),COLUMN(F215)+1)-SMALL(IF(ISERROR(SEARCH(MID(";"&amp;'CASE DATA'!$F216&amp;";",ROW($1:$99),1),";")),"",ROW($1:$99)),COLUMN(F215))-1)</f>
        <v/>
      </c>
      <c r="AB216" s="29" t="str">
        <f t="array" ref="AB216">MID(";"&amp;'CASE DATA'!$F216&amp;";",SMALL(IF(ISERROR(SEARCH(MID(";"&amp;'CASE DATA'!$F216&amp;";",ROW($1:$99),1),";")),"",ROW($1:$99)+1),COLUMN(G216)),SMALL(IF(ISERROR(SEARCH(MID(";"&amp;'CASE DATA'!$F216&amp;";",ROW($1:$99),1),";")),"",ROW($1:$99)),COLUMN(G215)+1)-SMALL(IF(ISERROR(SEARCH(MID(";"&amp;'CASE DATA'!$F216&amp;";",ROW($1:$99),1),";")),"",ROW($1:$99)),COLUMN(G215))-1)</f>
        <v/>
      </c>
      <c r="AC216" s="29" t="str">
        <f t="array" ref="AC216">MID(";"&amp;'CASE DATA'!$F216&amp;";",SMALL(IF(ISERROR(SEARCH(MID(";"&amp;'CASE DATA'!$F216&amp;";",ROW($1:$99),1),";")),"",ROW($1:$99)+1),COLUMN(H216)),SMALL(IF(ISERROR(SEARCH(MID(";"&amp;'CASE DATA'!$F216&amp;";",ROW($1:$99),1),";")),"",ROW($1:$99)),COLUMN(H215)+1)-SMALL(IF(ISERROR(SEARCH(MID(";"&amp;'CASE DATA'!$F216&amp;";",ROW($1:$99),1),";")),"",ROW($1:$99)),COLUMN(H215))-1)</f>
        <v/>
      </c>
      <c r="AD216" s="29" t="str">
        <f t="array" ref="AD216">MID(";"&amp;'CASE DATA'!$F216&amp;";",SMALL(IF(ISERROR(SEARCH(MID(";"&amp;'CASE DATA'!$F216&amp;";",ROW($1:$99),1),";")),"",ROW($1:$99)+1),COLUMN(I216)),SMALL(IF(ISERROR(SEARCH(MID(";"&amp;'CASE DATA'!$F216&amp;";",ROW($1:$99),1),";")),"",ROW($1:$99)),COLUMN(I215)+1)-SMALL(IF(ISERROR(SEARCH(MID(";"&amp;'CASE DATA'!$F216&amp;";",ROW($1:$99),1),";")),"",ROW($1:$99)),COLUMN(I215))-1)</f>
        <v/>
      </c>
      <c r="AE216" s="29" t="str">
        <f t="array" ref="AE216">MID(";"&amp;'CASE DATA'!$F216&amp;";",SMALL(IF(ISERROR(SEARCH(MID(";"&amp;'CASE DATA'!$F216&amp;";",ROW($1:$99),1),";")),"",ROW($1:$99)+1),COLUMN(J216)),SMALL(IF(ISERROR(SEARCH(MID(";"&amp;'CASE DATA'!$F216&amp;";",ROW($1:$99),1),";")),"",ROW($1:$99)),COLUMN(J215)+1)-SMALL(IF(ISERROR(SEARCH(MID(";"&amp;'CASE DATA'!$F216&amp;";",ROW($1:$99),1),";")),"",ROW($1:$99)),COLUMN(J215))-1)</f>
        <v/>
      </c>
      <c r="AF216" s="29" t="str">
        <f t="array" ref="AF216">MID(";"&amp;'CASE DATA'!$F216&amp;";",SMALL(IF(ISERROR(SEARCH(MID(";"&amp;'CASE DATA'!$F216&amp;";",ROW($1:$99),1),";")),"",ROW($1:$99)+1),COLUMN(K216)),SMALL(IF(ISERROR(SEARCH(MID(";"&amp;'CASE DATA'!$F216&amp;";",ROW($1:$99),1),";")),"",ROW($1:$99)),COLUMN(K215)+1)-SMALL(IF(ISERROR(SEARCH(MID(";"&amp;'CASE DATA'!$F216&amp;";",ROW($1:$99),1),";")),"",ROW($1:$99)),COLUMN(K215))-1)</f>
        <v/>
      </c>
      <c r="AG216" s="29" t="str">
        <f t="array" ref="AG216">MID(";"&amp;'CASE DATA'!$F216&amp;";",SMALL(IF(ISERROR(SEARCH(MID(";"&amp;'CASE DATA'!$F216&amp;";",ROW($1:$99),1),";")),"",ROW($1:$99)+1),COLUMN(L216)),SMALL(IF(ISERROR(SEARCH(MID(";"&amp;'CASE DATA'!$F216&amp;";",ROW($1:$99),1),";")),"",ROW($1:$99)),COLUMN(L215)+1)-SMALL(IF(ISERROR(SEARCH(MID(";"&amp;'CASE DATA'!$F216&amp;";",ROW($1:$99),1),";")),"",ROW($1:$99)),COLUMN(L215))-1)</f>
        <v/>
      </c>
      <c r="AH216" s="29"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24"/>
      <c r="D217" s="24"/>
      <c r="J217" s="31"/>
      <c r="K217" s="31"/>
      <c r="L217" s="31"/>
      <c r="M217" s="31"/>
      <c r="N217" s="31"/>
      <c r="O217" s="31"/>
      <c r="P217" s="31"/>
      <c r="Q217" s="31"/>
      <c r="R217" s="31"/>
      <c r="S217" s="31"/>
      <c r="T217" s="28">
        <f t="shared" si="4"/>
        <v>0</v>
      </c>
      <c r="U217" s="28"/>
      <c r="W217" s="29" t="str">
        <f t="array" ref="W217">MID(";"&amp;'CASE DATA'!$F217&amp;";",SMALL(IF(ISERROR(SEARCH(MID(";"&amp;'CASE DATA'!$F217&amp;";",ROW($1:$99),1),";")),"",ROW($1:$99)+1),COLUMN(A217)),SMALL(IF(ISERROR(SEARCH(MID(";"&amp;'CASE DATA'!$F217&amp;";",ROW($1:$99),1),";")),"",ROW($1:$99)),COLUMN(A216)+1)-SMALL(IF(ISERROR(SEARCH(MID(";"&amp;'CASE DATA'!$F217&amp;";",ROW($1:$99),1),";")),"",ROW($1:$99)),COLUMN(A216))-1)</f>
        <v/>
      </c>
      <c r="X217" s="29" t="str">
        <f t="array" ref="X217">MID(";"&amp;'CASE DATA'!$F217&amp;";",SMALL(IF(ISERROR(SEARCH(MID(";"&amp;'CASE DATA'!$F217&amp;";",ROW($1:$99),1),";")),"",ROW($1:$99)+1),COLUMN(B217)),SMALL(IF(ISERROR(SEARCH(MID(";"&amp;'CASE DATA'!$F217&amp;";",ROW($1:$99),1),";")),"",ROW($1:$99)),COLUMN(B216)+1)-SMALL(IF(ISERROR(SEARCH(MID(";"&amp;'CASE DATA'!$F217&amp;";",ROW($1:$99),1),";")),"",ROW($1:$99)),COLUMN(B216))-1)</f>
        <v/>
      </c>
      <c r="Y217" s="29" t="str">
        <f t="array" ref="Y217">MID(";"&amp;'CASE DATA'!$F217&amp;";",SMALL(IF(ISERROR(SEARCH(MID(";"&amp;'CASE DATA'!$F217&amp;";",ROW($1:$99),1),";")),"",ROW($1:$99)+1),COLUMN(D217)),SMALL(IF(ISERROR(SEARCH(MID(";"&amp;'CASE DATA'!$F217&amp;";",ROW($1:$99),1),";")),"",ROW($1:$99)),COLUMN(D216)+1)-SMALL(IF(ISERROR(SEARCH(MID(";"&amp;'CASE DATA'!$F217&amp;";",ROW($1:$99),1),";")),"",ROW($1:$99)),COLUMN(D216))-1)</f>
        <v/>
      </c>
      <c r="Z217" s="29" t="str">
        <f t="array" ref="Z217">MID(";"&amp;'CASE DATA'!$F217&amp;";",SMALL(IF(ISERROR(SEARCH(MID(";"&amp;'CASE DATA'!$F217&amp;";",ROW($1:$99),1),";")),"",ROW($1:$99)+1),COLUMN(E217)),SMALL(IF(ISERROR(SEARCH(MID(";"&amp;'CASE DATA'!$F217&amp;";",ROW($1:$99),1),";")),"",ROW($1:$99)),COLUMN(E216)+1)-SMALL(IF(ISERROR(SEARCH(MID(";"&amp;'CASE DATA'!$F217&amp;";",ROW($1:$99),1),";")),"",ROW($1:$99)),COLUMN(E216))-1)</f>
        <v/>
      </c>
      <c r="AA217" s="29" t="str">
        <f t="array" ref="AA217">MID(";"&amp;'CASE DATA'!$F217&amp;";",SMALL(IF(ISERROR(SEARCH(MID(";"&amp;'CASE DATA'!$F217&amp;";",ROW($1:$99),1),";")),"",ROW($1:$99)+1),COLUMN(F217)),SMALL(IF(ISERROR(SEARCH(MID(";"&amp;'CASE DATA'!$F217&amp;";",ROW($1:$99),1),";")),"",ROW($1:$99)),COLUMN(F216)+1)-SMALL(IF(ISERROR(SEARCH(MID(";"&amp;'CASE DATA'!$F217&amp;";",ROW($1:$99),1),";")),"",ROW($1:$99)),COLUMN(F216))-1)</f>
        <v/>
      </c>
      <c r="AB217" s="29" t="str">
        <f t="array" ref="AB217">MID(";"&amp;'CASE DATA'!$F217&amp;";",SMALL(IF(ISERROR(SEARCH(MID(";"&amp;'CASE DATA'!$F217&amp;";",ROW($1:$99),1),";")),"",ROW($1:$99)+1),COLUMN(G217)),SMALL(IF(ISERROR(SEARCH(MID(";"&amp;'CASE DATA'!$F217&amp;";",ROW($1:$99),1),";")),"",ROW($1:$99)),COLUMN(G216)+1)-SMALL(IF(ISERROR(SEARCH(MID(";"&amp;'CASE DATA'!$F217&amp;";",ROW($1:$99),1),";")),"",ROW($1:$99)),COLUMN(G216))-1)</f>
        <v/>
      </c>
      <c r="AC217" s="29" t="str">
        <f t="array" ref="AC217">MID(";"&amp;'CASE DATA'!$F217&amp;";",SMALL(IF(ISERROR(SEARCH(MID(";"&amp;'CASE DATA'!$F217&amp;";",ROW($1:$99),1),";")),"",ROW($1:$99)+1),COLUMN(H217)),SMALL(IF(ISERROR(SEARCH(MID(";"&amp;'CASE DATA'!$F217&amp;";",ROW($1:$99),1),";")),"",ROW($1:$99)),COLUMN(H216)+1)-SMALL(IF(ISERROR(SEARCH(MID(";"&amp;'CASE DATA'!$F217&amp;";",ROW($1:$99),1),";")),"",ROW($1:$99)),COLUMN(H216))-1)</f>
        <v/>
      </c>
      <c r="AD217" s="29" t="str">
        <f t="array" ref="AD217">MID(";"&amp;'CASE DATA'!$F217&amp;";",SMALL(IF(ISERROR(SEARCH(MID(";"&amp;'CASE DATA'!$F217&amp;";",ROW($1:$99),1),";")),"",ROW($1:$99)+1),COLUMN(I217)),SMALL(IF(ISERROR(SEARCH(MID(";"&amp;'CASE DATA'!$F217&amp;";",ROW($1:$99),1),";")),"",ROW($1:$99)),COLUMN(I216)+1)-SMALL(IF(ISERROR(SEARCH(MID(";"&amp;'CASE DATA'!$F217&amp;";",ROW($1:$99),1),";")),"",ROW($1:$99)),COLUMN(I216))-1)</f>
        <v/>
      </c>
      <c r="AE217" s="29" t="str">
        <f t="array" ref="AE217">MID(";"&amp;'CASE DATA'!$F217&amp;";",SMALL(IF(ISERROR(SEARCH(MID(";"&amp;'CASE DATA'!$F217&amp;";",ROW($1:$99),1),";")),"",ROW($1:$99)+1),COLUMN(J217)),SMALL(IF(ISERROR(SEARCH(MID(";"&amp;'CASE DATA'!$F217&amp;";",ROW($1:$99),1),";")),"",ROW($1:$99)),COLUMN(J216)+1)-SMALL(IF(ISERROR(SEARCH(MID(";"&amp;'CASE DATA'!$F217&amp;";",ROW($1:$99),1),";")),"",ROW($1:$99)),COLUMN(J216))-1)</f>
        <v/>
      </c>
      <c r="AF217" s="29" t="str">
        <f t="array" ref="AF217">MID(";"&amp;'CASE DATA'!$F217&amp;";",SMALL(IF(ISERROR(SEARCH(MID(";"&amp;'CASE DATA'!$F217&amp;";",ROW($1:$99),1),";")),"",ROW($1:$99)+1),COLUMN(K217)),SMALL(IF(ISERROR(SEARCH(MID(";"&amp;'CASE DATA'!$F217&amp;";",ROW($1:$99),1),";")),"",ROW($1:$99)),COLUMN(K216)+1)-SMALL(IF(ISERROR(SEARCH(MID(";"&amp;'CASE DATA'!$F217&amp;";",ROW($1:$99),1),";")),"",ROW($1:$99)),COLUMN(K216))-1)</f>
        <v/>
      </c>
      <c r="AG217" s="29" t="str">
        <f t="array" ref="AG217">MID(";"&amp;'CASE DATA'!$F217&amp;";",SMALL(IF(ISERROR(SEARCH(MID(";"&amp;'CASE DATA'!$F217&amp;";",ROW($1:$99),1),";")),"",ROW($1:$99)+1),COLUMN(L217)),SMALL(IF(ISERROR(SEARCH(MID(";"&amp;'CASE DATA'!$F217&amp;";",ROW($1:$99),1),";")),"",ROW($1:$99)),COLUMN(L216)+1)-SMALL(IF(ISERROR(SEARCH(MID(";"&amp;'CASE DATA'!$F217&amp;";",ROW($1:$99),1),";")),"",ROW($1:$99)),COLUMN(L216))-1)</f>
        <v/>
      </c>
      <c r="AH217" s="29"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24"/>
      <c r="D218" s="24"/>
      <c r="J218" s="31"/>
      <c r="K218" s="31"/>
      <c r="L218" s="31"/>
      <c r="M218" s="31"/>
      <c r="N218" s="31"/>
      <c r="O218" s="31"/>
      <c r="P218" s="31"/>
      <c r="Q218" s="31"/>
      <c r="R218" s="31"/>
      <c r="S218" s="31"/>
      <c r="T218" s="28">
        <f t="shared" si="4"/>
        <v>0</v>
      </c>
      <c r="U218" s="28"/>
      <c r="W218" s="29" t="str">
        <f t="array" ref="W218">MID(";"&amp;'CASE DATA'!$F218&amp;";",SMALL(IF(ISERROR(SEARCH(MID(";"&amp;'CASE DATA'!$F218&amp;";",ROW($1:$99),1),";")),"",ROW($1:$99)+1),COLUMN(A218)),SMALL(IF(ISERROR(SEARCH(MID(";"&amp;'CASE DATA'!$F218&amp;";",ROW($1:$99),1),";")),"",ROW($1:$99)),COLUMN(A217)+1)-SMALL(IF(ISERROR(SEARCH(MID(";"&amp;'CASE DATA'!$F218&amp;";",ROW($1:$99),1),";")),"",ROW($1:$99)),COLUMN(A217))-1)</f>
        <v/>
      </c>
      <c r="X218" s="29" t="str">
        <f t="array" ref="X218">MID(";"&amp;'CASE DATA'!$F218&amp;";",SMALL(IF(ISERROR(SEARCH(MID(";"&amp;'CASE DATA'!$F218&amp;";",ROW($1:$99),1),";")),"",ROW($1:$99)+1),COLUMN(B218)),SMALL(IF(ISERROR(SEARCH(MID(";"&amp;'CASE DATA'!$F218&amp;";",ROW($1:$99),1),";")),"",ROW($1:$99)),COLUMN(B217)+1)-SMALL(IF(ISERROR(SEARCH(MID(";"&amp;'CASE DATA'!$F218&amp;";",ROW($1:$99),1),";")),"",ROW($1:$99)),COLUMN(B217))-1)</f>
        <v/>
      </c>
      <c r="Y218" s="29" t="str">
        <f t="array" ref="Y218">MID(";"&amp;'CASE DATA'!$F218&amp;";",SMALL(IF(ISERROR(SEARCH(MID(";"&amp;'CASE DATA'!$F218&amp;";",ROW($1:$99),1),";")),"",ROW($1:$99)+1),COLUMN(D218)),SMALL(IF(ISERROR(SEARCH(MID(";"&amp;'CASE DATA'!$F218&amp;";",ROW($1:$99),1),";")),"",ROW($1:$99)),COLUMN(D217)+1)-SMALL(IF(ISERROR(SEARCH(MID(";"&amp;'CASE DATA'!$F218&amp;";",ROW($1:$99),1),";")),"",ROW($1:$99)),COLUMN(D217))-1)</f>
        <v/>
      </c>
      <c r="Z218" s="29" t="str">
        <f t="array" ref="Z218">MID(";"&amp;'CASE DATA'!$F218&amp;";",SMALL(IF(ISERROR(SEARCH(MID(";"&amp;'CASE DATA'!$F218&amp;";",ROW($1:$99),1),";")),"",ROW($1:$99)+1),COLUMN(E218)),SMALL(IF(ISERROR(SEARCH(MID(";"&amp;'CASE DATA'!$F218&amp;";",ROW($1:$99),1),";")),"",ROW($1:$99)),COLUMN(E217)+1)-SMALL(IF(ISERROR(SEARCH(MID(";"&amp;'CASE DATA'!$F218&amp;";",ROW($1:$99),1),";")),"",ROW($1:$99)),COLUMN(E217))-1)</f>
        <v/>
      </c>
      <c r="AA218" s="29" t="str">
        <f t="array" ref="AA218">MID(";"&amp;'CASE DATA'!$F218&amp;";",SMALL(IF(ISERROR(SEARCH(MID(";"&amp;'CASE DATA'!$F218&amp;";",ROW($1:$99),1),";")),"",ROW($1:$99)+1),COLUMN(F218)),SMALL(IF(ISERROR(SEARCH(MID(";"&amp;'CASE DATA'!$F218&amp;";",ROW($1:$99),1),";")),"",ROW($1:$99)),COLUMN(F217)+1)-SMALL(IF(ISERROR(SEARCH(MID(";"&amp;'CASE DATA'!$F218&amp;";",ROW($1:$99),1),";")),"",ROW($1:$99)),COLUMN(F217))-1)</f>
        <v/>
      </c>
      <c r="AB218" s="29" t="str">
        <f t="array" ref="AB218">MID(";"&amp;'CASE DATA'!$F218&amp;";",SMALL(IF(ISERROR(SEARCH(MID(";"&amp;'CASE DATA'!$F218&amp;";",ROW($1:$99),1),";")),"",ROW($1:$99)+1),COLUMN(G218)),SMALL(IF(ISERROR(SEARCH(MID(";"&amp;'CASE DATA'!$F218&amp;";",ROW($1:$99),1),";")),"",ROW($1:$99)),COLUMN(G217)+1)-SMALL(IF(ISERROR(SEARCH(MID(";"&amp;'CASE DATA'!$F218&amp;";",ROW($1:$99),1),";")),"",ROW($1:$99)),COLUMN(G217))-1)</f>
        <v/>
      </c>
      <c r="AC218" s="29" t="str">
        <f t="array" ref="AC218">MID(";"&amp;'CASE DATA'!$F218&amp;";",SMALL(IF(ISERROR(SEARCH(MID(";"&amp;'CASE DATA'!$F218&amp;";",ROW($1:$99),1),";")),"",ROW($1:$99)+1),COLUMN(H218)),SMALL(IF(ISERROR(SEARCH(MID(";"&amp;'CASE DATA'!$F218&amp;";",ROW($1:$99),1),";")),"",ROW($1:$99)),COLUMN(H217)+1)-SMALL(IF(ISERROR(SEARCH(MID(";"&amp;'CASE DATA'!$F218&amp;";",ROW($1:$99),1),";")),"",ROW($1:$99)),COLUMN(H217))-1)</f>
        <v/>
      </c>
      <c r="AD218" s="29" t="str">
        <f t="array" ref="AD218">MID(";"&amp;'CASE DATA'!$F218&amp;";",SMALL(IF(ISERROR(SEARCH(MID(";"&amp;'CASE DATA'!$F218&amp;";",ROW($1:$99),1),";")),"",ROW($1:$99)+1),COLUMN(I218)),SMALL(IF(ISERROR(SEARCH(MID(";"&amp;'CASE DATA'!$F218&amp;";",ROW($1:$99),1),";")),"",ROW($1:$99)),COLUMN(I217)+1)-SMALL(IF(ISERROR(SEARCH(MID(";"&amp;'CASE DATA'!$F218&amp;";",ROW($1:$99),1),";")),"",ROW($1:$99)),COLUMN(I217))-1)</f>
        <v/>
      </c>
      <c r="AE218" s="29" t="str">
        <f t="array" ref="AE218">MID(";"&amp;'CASE DATA'!$F218&amp;";",SMALL(IF(ISERROR(SEARCH(MID(";"&amp;'CASE DATA'!$F218&amp;";",ROW($1:$99),1),";")),"",ROW($1:$99)+1),COLUMN(J218)),SMALL(IF(ISERROR(SEARCH(MID(";"&amp;'CASE DATA'!$F218&amp;";",ROW($1:$99),1),";")),"",ROW($1:$99)),COLUMN(J217)+1)-SMALL(IF(ISERROR(SEARCH(MID(";"&amp;'CASE DATA'!$F218&amp;";",ROW($1:$99),1),";")),"",ROW($1:$99)),COLUMN(J217))-1)</f>
        <v/>
      </c>
      <c r="AF218" s="29" t="str">
        <f t="array" ref="AF218">MID(";"&amp;'CASE DATA'!$F218&amp;";",SMALL(IF(ISERROR(SEARCH(MID(";"&amp;'CASE DATA'!$F218&amp;";",ROW($1:$99),1),";")),"",ROW($1:$99)+1),COLUMN(K218)),SMALL(IF(ISERROR(SEARCH(MID(";"&amp;'CASE DATA'!$F218&amp;";",ROW($1:$99),1),";")),"",ROW($1:$99)),COLUMN(K217)+1)-SMALL(IF(ISERROR(SEARCH(MID(";"&amp;'CASE DATA'!$F218&amp;";",ROW($1:$99),1),";")),"",ROW($1:$99)),COLUMN(K217))-1)</f>
        <v/>
      </c>
      <c r="AG218" s="29" t="str">
        <f t="array" ref="AG218">MID(";"&amp;'CASE DATA'!$F218&amp;";",SMALL(IF(ISERROR(SEARCH(MID(";"&amp;'CASE DATA'!$F218&amp;";",ROW($1:$99),1),";")),"",ROW($1:$99)+1),COLUMN(L218)),SMALL(IF(ISERROR(SEARCH(MID(";"&amp;'CASE DATA'!$F218&amp;";",ROW($1:$99),1),";")),"",ROW($1:$99)),COLUMN(L217)+1)-SMALL(IF(ISERROR(SEARCH(MID(";"&amp;'CASE DATA'!$F218&amp;";",ROW($1:$99),1),";")),"",ROW($1:$99)),COLUMN(L217))-1)</f>
        <v/>
      </c>
      <c r="AH218" s="29"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24"/>
      <c r="D219" s="24"/>
      <c r="J219" s="31"/>
      <c r="K219" s="31"/>
      <c r="L219" s="31"/>
      <c r="M219" s="31"/>
      <c r="N219" s="31"/>
      <c r="O219" s="31"/>
      <c r="P219" s="31"/>
      <c r="Q219" s="31"/>
      <c r="R219" s="31"/>
      <c r="S219" s="31"/>
      <c r="T219" s="28">
        <f t="shared" si="4"/>
        <v>0</v>
      </c>
      <c r="U219" s="28"/>
      <c r="W219" s="29" t="str">
        <f t="array" ref="W219">MID(";"&amp;'CASE DATA'!$F219&amp;";",SMALL(IF(ISERROR(SEARCH(MID(";"&amp;'CASE DATA'!$F219&amp;";",ROW($1:$99),1),";")),"",ROW($1:$99)+1),COLUMN(A219)),SMALL(IF(ISERROR(SEARCH(MID(";"&amp;'CASE DATA'!$F219&amp;";",ROW($1:$99),1),";")),"",ROW($1:$99)),COLUMN(A218)+1)-SMALL(IF(ISERROR(SEARCH(MID(";"&amp;'CASE DATA'!$F219&amp;";",ROW($1:$99),1),";")),"",ROW($1:$99)),COLUMN(A218))-1)</f>
        <v/>
      </c>
      <c r="X219" s="29" t="str">
        <f t="array" ref="X219">MID(";"&amp;'CASE DATA'!$F219&amp;";",SMALL(IF(ISERROR(SEARCH(MID(";"&amp;'CASE DATA'!$F219&amp;";",ROW($1:$99),1),";")),"",ROW($1:$99)+1),COLUMN(B219)),SMALL(IF(ISERROR(SEARCH(MID(";"&amp;'CASE DATA'!$F219&amp;";",ROW($1:$99),1),";")),"",ROW($1:$99)),COLUMN(B218)+1)-SMALL(IF(ISERROR(SEARCH(MID(";"&amp;'CASE DATA'!$F219&amp;";",ROW($1:$99),1),";")),"",ROW($1:$99)),COLUMN(B218))-1)</f>
        <v/>
      </c>
      <c r="Y219" s="29" t="str">
        <f t="array" ref="Y219">MID(";"&amp;'CASE DATA'!$F219&amp;";",SMALL(IF(ISERROR(SEARCH(MID(";"&amp;'CASE DATA'!$F219&amp;";",ROW($1:$99),1),";")),"",ROW($1:$99)+1),COLUMN(D219)),SMALL(IF(ISERROR(SEARCH(MID(";"&amp;'CASE DATA'!$F219&amp;";",ROW($1:$99),1),";")),"",ROW($1:$99)),COLUMN(D218)+1)-SMALL(IF(ISERROR(SEARCH(MID(";"&amp;'CASE DATA'!$F219&amp;";",ROW($1:$99),1),";")),"",ROW($1:$99)),COLUMN(D218))-1)</f>
        <v/>
      </c>
      <c r="Z219" s="29" t="str">
        <f t="array" ref="Z219">MID(";"&amp;'CASE DATA'!$F219&amp;";",SMALL(IF(ISERROR(SEARCH(MID(";"&amp;'CASE DATA'!$F219&amp;";",ROW($1:$99),1),";")),"",ROW($1:$99)+1),COLUMN(E219)),SMALL(IF(ISERROR(SEARCH(MID(";"&amp;'CASE DATA'!$F219&amp;";",ROW($1:$99),1),";")),"",ROW($1:$99)),COLUMN(E218)+1)-SMALL(IF(ISERROR(SEARCH(MID(";"&amp;'CASE DATA'!$F219&amp;";",ROW($1:$99),1),";")),"",ROW($1:$99)),COLUMN(E218))-1)</f>
        <v/>
      </c>
      <c r="AA219" s="29" t="str">
        <f t="array" ref="AA219">MID(";"&amp;'CASE DATA'!$F219&amp;";",SMALL(IF(ISERROR(SEARCH(MID(";"&amp;'CASE DATA'!$F219&amp;";",ROW($1:$99),1),";")),"",ROW($1:$99)+1),COLUMN(F219)),SMALL(IF(ISERROR(SEARCH(MID(";"&amp;'CASE DATA'!$F219&amp;";",ROW($1:$99),1),";")),"",ROW($1:$99)),COLUMN(F218)+1)-SMALL(IF(ISERROR(SEARCH(MID(";"&amp;'CASE DATA'!$F219&amp;";",ROW($1:$99),1),";")),"",ROW($1:$99)),COLUMN(F218))-1)</f>
        <v/>
      </c>
      <c r="AB219" s="29" t="str">
        <f t="array" ref="AB219">MID(";"&amp;'CASE DATA'!$F219&amp;";",SMALL(IF(ISERROR(SEARCH(MID(";"&amp;'CASE DATA'!$F219&amp;";",ROW($1:$99),1),";")),"",ROW($1:$99)+1),COLUMN(G219)),SMALL(IF(ISERROR(SEARCH(MID(";"&amp;'CASE DATA'!$F219&amp;";",ROW($1:$99),1),";")),"",ROW($1:$99)),COLUMN(G218)+1)-SMALL(IF(ISERROR(SEARCH(MID(";"&amp;'CASE DATA'!$F219&amp;";",ROW($1:$99),1),";")),"",ROW($1:$99)),COLUMN(G218))-1)</f>
        <v/>
      </c>
      <c r="AC219" s="29" t="str">
        <f t="array" ref="AC219">MID(";"&amp;'CASE DATA'!$F219&amp;";",SMALL(IF(ISERROR(SEARCH(MID(";"&amp;'CASE DATA'!$F219&amp;";",ROW($1:$99),1),";")),"",ROW($1:$99)+1),COLUMN(H219)),SMALL(IF(ISERROR(SEARCH(MID(";"&amp;'CASE DATA'!$F219&amp;";",ROW($1:$99),1),";")),"",ROW($1:$99)),COLUMN(H218)+1)-SMALL(IF(ISERROR(SEARCH(MID(";"&amp;'CASE DATA'!$F219&amp;";",ROW($1:$99),1),";")),"",ROW($1:$99)),COLUMN(H218))-1)</f>
        <v/>
      </c>
      <c r="AD219" s="29" t="str">
        <f t="array" ref="AD219">MID(";"&amp;'CASE DATA'!$F219&amp;";",SMALL(IF(ISERROR(SEARCH(MID(";"&amp;'CASE DATA'!$F219&amp;";",ROW($1:$99),1),";")),"",ROW($1:$99)+1),COLUMN(I219)),SMALL(IF(ISERROR(SEARCH(MID(";"&amp;'CASE DATA'!$F219&amp;";",ROW($1:$99),1),";")),"",ROW($1:$99)),COLUMN(I218)+1)-SMALL(IF(ISERROR(SEARCH(MID(";"&amp;'CASE DATA'!$F219&amp;";",ROW($1:$99),1),";")),"",ROW($1:$99)),COLUMN(I218))-1)</f>
        <v/>
      </c>
      <c r="AE219" s="29" t="str">
        <f t="array" ref="AE219">MID(";"&amp;'CASE DATA'!$F219&amp;";",SMALL(IF(ISERROR(SEARCH(MID(";"&amp;'CASE DATA'!$F219&amp;";",ROW($1:$99),1),";")),"",ROW($1:$99)+1),COLUMN(J219)),SMALL(IF(ISERROR(SEARCH(MID(";"&amp;'CASE DATA'!$F219&amp;";",ROW($1:$99),1),";")),"",ROW($1:$99)),COLUMN(J218)+1)-SMALL(IF(ISERROR(SEARCH(MID(";"&amp;'CASE DATA'!$F219&amp;";",ROW($1:$99),1),";")),"",ROW($1:$99)),COLUMN(J218))-1)</f>
        <v/>
      </c>
      <c r="AF219" s="29" t="str">
        <f t="array" ref="AF219">MID(";"&amp;'CASE DATA'!$F219&amp;";",SMALL(IF(ISERROR(SEARCH(MID(";"&amp;'CASE DATA'!$F219&amp;";",ROW($1:$99),1),";")),"",ROW($1:$99)+1),COLUMN(K219)),SMALL(IF(ISERROR(SEARCH(MID(";"&amp;'CASE DATA'!$F219&amp;";",ROW($1:$99),1),";")),"",ROW($1:$99)),COLUMN(K218)+1)-SMALL(IF(ISERROR(SEARCH(MID(";"&amp;'CASE DATA'!$F219&amp;";",ROW($1:$99),1),";")),"",ROW($1:$99)),COLUMN(K218))-1)</f>
        <v/>
      </c>
      <c r="AG219" s="29" t="str">
        <f t="array" ref="AG219">MID(";"&amp;'CASE DATA'!$F219&amp;";",SMALL(IF(ISERROR(SEARCH(MID(";"&amp;'CASE DATA'!$F219&amp;";",ROW($1:$99),1),";")),"",ROW($1:$99)+1),COLUMN(L219)),SMALL(IF(ISERROR(SEARCH(MID(";"&amp;'CASE DATA'!$F219&amp;";",ROW($1:$99),1),";")),"",ROW($1:$99)),COLUMN(L218)+1)-SMALL(IF(ISERROR(SEARCH(MID(";"&amp;'CASE DATA'!$F219&amp;";",ROW($1:$99),1),";")),"",ROW($1:$99)),COLUMN(L218))-1)</f>
        <v/>
      </c>
      <c r="AH219" s="29"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24"/>
      <c r="D220" s="24"/>
      <c r="J220" s="31"/>
      <c r="K220" s="31"/>
      <c r="L220" s="31"/>
      <c r="M220" s="31"/>
      <c r="N220" s="31"/>
      <c r="O220" s="31"/>
      <c r="P220" s="31"/>
      <c r="Q220" s="31"/>
      <c r="R220" s="31"/>
      <c r="S220" s="31"/>
      <c r="T220" s="28">
        <f t="shared" si="4"/>
        <v>0</v>
      </c>
      <c r="U220" s="28"/>
      <c r="W220" s="29" t="str">
        <f t="array" ref="W220">MID(";"&amp;'CASE DATA'!$F220&amp;";",SMALL(IF(ISERROR(SEARCH(MID(";"&amp;'CASE DATA'!$F220&amp;";",ROW($1:$99),1),";")),"",ROW($1:$99)+1),COLUMN(A220)),SMALL(IF(ISERROR(SEARCH(MID(";"&amp;'CASE DATA'!$F220&amp;";",ROW($1:$99),1),";")),"",ROW($1:$99)),COLUMN(A219)+1)-SMALL(IF(ISERROR(SEARCH(MID(";"&amp;'CASE DATA'!$F220&amp;";",ROW($1:$99),1),";")),"",ROW($1:$99)),COLUMN(A219))-1)</f>
        <v/>
      </c>
      <c r="X220" s="29" t="str">
        <f t="array" ref="X220">MID(";"&amp;'CASE DATA'!$F220&amp;";",SMALL(IF(ISERROR(SEARCH(MID(";"&amp;'CASE DATA'!$F220&amp;";",ROW($1:$99),1),";")),"",ROW($1:$99)+1),COLUMN(B220)),SMALL(IF(ISERROR(SEARCH(MID(";"&amp;'CASE DATA'!$F220&amp;";",ROW($1:$99),1),";")),"",ROW($1:$99)),COLUMN(B219)+1)-SMALL(IF(ISERROR(SEARCH(MID(";"&amp;'CASE DATA'!$F220&amp;";",ROW($1:$99),1),";")),"",ROW($1:$99)),COLUMN(B219))-1)</f>
        <v/>
      </c>
      <c r="Y220" s="29" t="str">
        <f t="array" ref="Y220">MID(";"&amp;'CASE DATA'!$F220&amp;";",SMALL(IF(ISERROR(SEARCH(MID(";"&amp;'CASE DATA'!$F220&amp;";",ROW($1:$99),1),";")),"",ROW($1:$99)+1),COLUMN(D220)),SMALL(IF(ISERROR(SEARCH(MID(";"&amp;'CASE DATA'!$F220&amp;";",ROW($1:$99),1),";")),"",ROW($1:$99)),COLUMN(D219)+1)-SMALL(IF(ISERROR(SEARCH(MID(";"&amp;'CASE DATA'!$F220&amp;";",ROW($1:$99),1),";")),"",ROW($1:$99)),COLUMN(D219))-1)</f>
        <v/>
      </c>
      <c r="Z220" s="29" t="str">
        <f t="array" ref="Z220">MID(";"&amp;'CASE DATA'!$F220&amp;";",SMALL(IF(ISERROR(SEARCH(MID(";"&amp;'CASE DATA'!$F220&amp;";",ROW($1:$99),1),";")),"",ROW($1:$99)+1),COLUMN(E220)),SMALL(IF(ISERROR(SEARCH(MID(";"&amp;'CASE DATA'!$F220&amp;";",ROW($1:$99),1),";")),"",ROW($1:$99)),COLUMN(E219)+1)-SMALL(IF(ISERROR(SEARCH(MID(";"&amp;'CASE DATA'!$F220&amp;";",ROW($1:$99),1),";")),"",ROW($1:$99)),COLUMN(E219))-1)</f>
        <v/>
      </c>
      <c r="AA220" s="29" t="str">
        <f t="array" ref="AA220">MID(";"&amp;'CASE DATA'!$F220&amp;";",SMALL(IF(ISERROR(SEARCH(MID(";"&amp;'CASE DATA'!$F220&amp;";",ROW($1:$99),1),";")),"",ROW($1:$99)+1),COLUMN(F220)),SMALL(IF(ISERROR(SEARCH(MID(";"&amp;'CASE DATA'!$F220&amp;";",ROW($1:$99),1),";")),"",ROW($1:$99)),COLUMN(F219)+1)-SMALL(IF(ISERROR(SEARCH(MID(";"&amp;'CASE DATA'!$F220&amp;";",ROW($1:$99),1),";")),"",ROW($1:$99)),COLUMN(F219))-1)</f>
        <v/>
      </c>
      <c r="AB220" s="29" t="str">
        <f t="array" ref="AB220">MID(";"&amp;'CASE DATA'!$F220&amp;";",SMALL(IF(ISERROR(SEARCH(MID(";"&amp;'CASE DATA'!$F220&amp;";",ROW($1:$99),1),";")),"",ROW($1:$99)+1),COLUMN(G220)),SMALL(IF(ISERROR(SEARCH(MID(";"&amp;'CASE DATA'!$F220&amp;";",ROW($1:$99),1),";")),"",ROW($1:$99)),COLUMN(G219)+1)-SMALL(IF(ISERROR(SEARCH(MID(";"&amp;'CASE DATA'!$F220&amp;";",ROW($1:$99),1),";")),"",ROW($1:$99)),COLUMN(G219))-1)</f>
        <v/>
      </c>
      <c r="AC220" s="29" t="str">
        <f t="array" ref="AC220">MID(";"&amp;'CASE DATA'!$F220&amp;";",SMALL(IF(ISERROR(SEARCH(MID(";"&amp;'CASE DATA'!$F220&amp;";",ROW($1:$99),1),";")),"",ROW($1:$99)+1),COLUMN(H220)),SMALL(IF(ISERROR(SEARCH(MID(";"&amp;'CASE DATA'!$F220&amp;";",ROW($1:$99),1),";")),"",ROW($1:$99)),COLUMN(H219)+1)-SMALL(IF(ISERROR(SEARCH(MID(";"&amp;'CASE DATA'!$F220&amp;";",ROW($1:$99),1),";")),"",ROW($1:$99)),COLUMN(H219))-1)</f>
        <v/>
      </c>
      <c r="AD220" s="29" t="str">
        <f t="array" ref="AD220">MID(";"&amp;'CASE DATA'!$F220&amp;";",SMALL(IF(ISERROR(SEARCH(MID(";"&amp;'CASE DATA'!$F220&amp;";",ROW($1:$99),1),";")),"",ROW($1:$99)+1),COLUMN(I220)),SMALL(IF(ISERROR(SEARCH(MID(";"&amp;'CASE DATA'!$F220&amp;";",ROW($1:$99),1),";")),"",ROW($1:$99)),COLUMN(I219)+1)-SMALL(IF(ISERROR(SEARCH(MID(";"&amp;'CASE DATA'!$F220&amp;";",ROW($1:$99),1),";")),"",ROW($1:$99)),COLUMN(I219))-1)</f>
        <v/>
      </c>
      <c r="AE220" s="29" t="str">
        <f t="array" ref="AE220">MID(";"&amp;'CASE DATA'!$F220&amp;";",SMALL(IF(ISERROR(SEARCH(MID(";"&amp;'CASE DATA'!$F220&amp;";",ROW($1:$99),1),";")),"",ROW($1:$99)+1),COLUMN(J220)),SMALL(IF(ISERROR(SEARCH(MID(";"&amp;'CASE DATA'!$F220&amp;";",ROW($1:$99),1),";")),"",ROW($1:$99)),COLUMN(J219)+1)-SMALL(IF(ISERROR(SEARCH(MID(";"&amp;'CASE DATA'!$F220&amp;";",ROW($1:$99),1),";")),"",ROW($1:$99)),COLUMN(J219))-1)</f>
        <v/>
      </c>
      <c r="AF220" s="29" t="str">
        <f t="array" ref="AF220">MID(";"&amp;'CASE DATA'!$F220&amp;";",SMALL(IF(ISERROR(SEARCH(MID(";"&amp;'CASE DATA'!$F220&amp;";",ROW($1:$99),1),";")),"",ROW($1:$99)+1),COLUMN(K220)),SMALL(IF(ISERROR(SEARCH(MID(";"&amp;'CASE DATA'!$F220&amp;";",ROW($1:$99),1),";")),"",ROW($1:$99)),COLUMN(K219)+1)-SMALL(IF(ISERROR(SEARCH(MID(";"&amp;'CASE DATA'!$F220&amp;";",ROW($1:$99),1),";")),"",ROW($1:$99)),COLUMN(K219))-1)</f>
        <v/>
      </c>
      <c r="AG220" s="29" t="str">
        <f t="array" ref="AG220">MID(";"&amp;'CASE DATA'!$F220&amp;";",SMALL(IF(ISERROR(SEARCH(MID(";"&amp;'CASE DATA'!$F220&amp;";",ROW($1:$99),1),";")),"",ROW($1:$99)+1),COLUMN(L220)),SMALL(IF(ISERROR(SEARCH(MID(";"&amp;'CASE DATA'!$F220&amp;";",ROW($1:$99),1),";")),"",ROW($1:$99)),COLUMN(L219)+1)-SMALL(IF(ISERROR(SEARCH(MID(";"&amp;'CASE DATA'!$F220&amp;";",ROW($1:$99),1),";")),"",ROW($1:$99)),COLUMN(L219))-1)</f>
        <v/>
      </c>
      <c r="AH220" s="29"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24"/>
      <c r="D221" s="24"/>
      <c r="J221" s="31"/>
      <c r="K221" s="31"/>
      <c r="L221" s="31"/>
      <c r="M221" s="31"/>
      <c r="N221" s="31"/>
      <c r="O221" s="31"/>
      <c r="P221" s="31"/>
      <c r="Q221" s="31"/>
      <c r="R221" s="31"/>
      <c r="S221" s="31"/>
      <c r="T221" s="28">
        <f t="shared" si="4"/>
        <v>0</v>
      </c>
      <c r="U221" s="28"/>
      <c r="W221" s="29" t="str">
        <f t="array" ref="W221">MID(";"&amp;'CASE DATA'!$F221&amp;";",SMALL(IF(ISERROR(SEARCH(MID(";"&amp;'CASE DATA'!$F221&amp;";",ROW($1:$99),1),";")),"",ROW($1:$99)+1),COLUMN(A221)),SMALL(IF(ISERROR(SEARCH(MID(";"&amp;'CASE DATA'!$F221&amp;";",ROW($1:$99),1),";")),"",ROW($1:$99)),COLUMN(A220)+1)-SMALL(IF(ISERROR(SEARCH(MID(";"&amp;'CASE DATA'!$F221&amp;";",ROW($1:$99),1),";")),"",ROW($1:$99)),COLUMN(A220))-1)</f>
        <v/>
      </c>
      <c r="X221" s="29" t="str">
        <f t="array" ref="X221">MID(";"&amp;'CASE DATA'!$F221&amp;";",SMALL(IF(ISERROR(SEARCH(MID(";"&amp;'CASE DATA'!$F221&amp;";",ROW($1:$99),1),";")),"",ROW($1:$99)+1),COLUMN(B221)),SMALL(IF(ISERROR(SEARCH(MID(";"&amp;'CASE DATA'!$F221&amp;";",ROW($1:$99),1),";")),"",ROW($1:$99)),COLUMN(B220)+1)-SMALL(IF(ISERROR(SEARCH(MID(";"&amp;'CASE DATA'!$F221&amp;";",ROW($1:$99),1),";")),"",ROW($1:$99)),COLUMN(B220))-1)</f>
        <v/>
      </c>
      <c r="Y221" s="29" t="str">
        <f t="array" ref="Y221">MID(";"&amp;'CASE DATA'!$F221&amp;";",SMALL(IF(ISERROR(SEARCH(MID(";"&amp;'CASE DATA'!$F221&amp;";",ROW($1:$99),1),";")),"",ROW($1:$99)+1),COLUMN(D221)),SMALL(IF(ISERROR(SEARCH(MID(";"&amp;'CASE DATA'!$F221&amp;";",ROW($1:$99),1),";")),"",ROW($1:$99)),COLUMN(D220)+1)-SMALL(IF(ISERROR(SEARCH(MID(";"&amp;'CASE DATA'!$F221&amp;";",ROW($1:$99),1),";")),"",ROW($1:$99)),COLUMN(D220))-1)</f>
        <v/>
      </c>
      <c r="Z221" s="29" t="str">
        <f t="array" ref="Z221">MID(";"&amp;'CASE DATA'!$F221&amp;";",SMALL(IF(ISERROR(SEARCH(MID(";"&amp;'CASE DATA'!$F221&amp;";",ROW($1:$99),1),";")),"",ROW($1:$99)+1),COLUMN(E221)),SMALL(IF(ISERROR(SEARCH(MID(";"&amp;'CASE DATA'!$F221&amp;";",ROW($1:$99),1),";")),"",ROW($1:$99)),COLUMN(E220)+1)-SMALL(IF(ISERROR(SEARCH(MID(";"&amp;'CASE DATA'!$F221&amp;";",ROW($1:$99),1),";")),"",ROW($1:$99)),COLUMN(E220))-1)</f>
        <v/>
      </c>
      <c r="AA221" s="29" t="str">
        <f t="array" ref="AA221">MID(";"&amp;'CASE DATA'!$F221&amp;";",SMALL(IF(ISERROR(SEARCH(MID(";"&amp;'CASE DATA'!$F221&amp;";",ROW($1:$99),1),";")),"",ROW($1:$99)+1),COLUMN(F221)),SMALL(IF(ISERROR(SEARCH(MID(";"&amp;'CASE DATA'!$F221&amp;";",ROW($1:$99),1),";")),"",ROW($1:$99)),COLUMN(F220)+1)-SMALL(IF(ISERROR(SEARCH(MID(";"&amp;'CASE DATA'!$F221&amp;";",ROW($1:$99),1),";")),"",ROW($1:$99)),COLUMN(F220))-1)</f>
        <v/>
      </c>
      <c r="AB221" s="29" t="str">
        <f t="array" ref="AB221">MID(";"&amp;'CASE DATA'!$F221&amp;";",SMALL(IF(ISERROR(SEARCH(MID(";"&amp;'CASE DATA'!$F221&amp;";",ROW($1:$99),1),";")),"",ROW($1:$99)+1),COLUMN(G221)),SMALL(IF(ISERROR(SEARCH(MID(";"&amp;'CASE DATA'!$F221&amp;";",ROW($1:$99),1),";")),"",ROW($1:$99)),COLUMN(G220)+1)-SMALL(IF(ISERROR(SEARCH(MID(";"&amp;'CASE DATA'!$F221&amp;";",ROW($1:$99),1),";")),"",ROW($1:$99)),COLUMN(G220))-1)</f>
        <v/>
      </c>
      <c r="AC221" s="29" t="str">
        <f t="array" ref="AC221">MID(";"&amp;'CASE DATA'!$F221&amp;";",SMALL(IF(ISERROR(SEARCH(MID(";"&amp;'CASE DATA'!$F221&amp;";",ROW($1:$99),1),";")),"",ROW($1:$99)+1),COLUMN(H221)),SMALL(IF(ISERROR(SEARCH(MID(";"&amp;'CASE DATA'!$F221&amp;";",ROW($1:$99),1),";")),"",ROW($1:$99)),COLUMN(H220)+1)-SMALL(IF(ISERROR(SEARCH(MID(";"&amp;'CASE DATA'!$F221&amp;";",ROW($1:$99),1),";")),"",ROW($1:$99)),COLUMN(H220))-1)</f>
        <v/>
      </c>
      <c r="AD221" s="29" t="str">
        <f t="array" ref="AD221">MID(";"&amp;'CASE DATA'!$F221&amp;";",SMALL(IF(ISERROR(SEARCH(MID(";"&amp;'CASE DATA'!$F221&amp;";",ROW($1:$99),1),";")),"",ROW($1:$99)+1),COLUMN(I221)),SMALL(IF(ISERROR(SEARCH(MID(";"&amp;'CASE DATA'!$F221&amp;";",ROW($1:$99),1),";")),"",ROW($1:$99)),COLUMN(I220)+1)-SMALL(IF(ISERROR(SEARCH(MID(";"&amp;'CASE DATA'!$F221&amp;";",ROW($1:$99),1),";")),"",ROW($1:$99)),COLUMN(I220))-1)</f>
        <v/>
      </c>
      <c r="AE221" s="29" t="str">
        <f t="array" ref="AE221">MID(";"&amp;'CASE DATA'!$F221&amp;";",SMALL(IF(ISERROR(SEARCH(MID(";"&amp;'CASE DATA'!$F221&amp;";",ROW($1:$99),1),";")),"",ROW($1:$99)+1),COLUMN(J221)),SMALL(IF(ISERROR(SEARCH(MID(";"&amp;'CASE DATA'!$F221&amp;";",ROW($1:$99),1),";")),"",ROW($1:$99)),COLUMN(J220)+1)-SMALL(IF(ISERROR(SEARCH(MID(";"&amp;'CASE DATA'!$F221&amp;";",ROW($1:$99),1),";")),"",ROW($1:$99)),COLUMN(J220))-1)</f>
        <v/>
      </c>
      <c r="AF221" s="29" t="str">
        <f t="array" ref="AF221">MID(";"&amp;'CASE DATA'!$F221&amp;";",SMALL(IF(ISERROR(SEARCH(MID(";"&amp;'CASE DATA'!$F221&amp;";",ROW($1:$99),1),";")),"",ROW($1:$99)+1),COLUMN(K221)),SMALL(IF(ISERROR(SEARCH(MID(";"&amp;'CASE DATA'!$F221&amp;";",ROW($1:$99),1),";")),"",ROW($1:$99)),COLUMN(K220)+1)-SMALL(IF(ISERROR(SEARCH(MID(";"&amp;'CASE DATA'!$F221&amp;";",ROW($1:$99),1),";")),"",ROW($1:$99)),COLUMN(K220))-1)</f>
        <v/>
      </c>
      <c r="AG221" s="29" t="str">
        <f t="array" ref="AG221">MID(";"&amp;'CASE DATA'!$F221&amp;";",SMALL(IF(ISERROR(SEARCH(MID(";"&amp;'CASE DATA'!$F221&amp;";",ROW($1:$99),1),";")),"",ROW($1:$99)+1),COLUMN(L221)),SMALL(IF(ISERROR(SEARCH(MID(";"&amp;'CASE DATA'!$F221&amp;";",ROW($1:$99),1),";")),"",ROW($1:$99)),COLUMN(L220)+1)-SMALL(IF(ISERROR(SEARCH(MID(";"&amp;'CASE DATA'!$F221&amp;";",ROW($1:$99),1),";")),"",ROW($1:$99)),COLUMN(L220))-1)</f>
        <v/>
      </c>
      <c r="AH221" s="29"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24"/>
      <c r="D222" s="24"/>
      <c r="J222" s="31"/>
      <c r="K222" s="31"/>
      <c r="L222" s="31"/>
      <c r="M222" s="31"/>
      <c r="N222" s="31"/>
      <c r="O222" s="31"/>
      <c r="P222" s="31"/>
      <c r="Q222" s="31"/>
      <c r="R222" s="31"/>
      <c r="S222" s="31"/>
      <c r="T222" s="28">
        <f t="shared" si="4"/>
        <v>0</v>
      </c>
      <c r="U222" s="28"/>
      <c r="W222" s="29" t="str">
        <f t="array" ref="W222">MID(";"&amp;'CASE DATA'!$F222&amp;";",SMALL(IF(ISERROR(SEARCH(MID(";"&amp;'CASE DATA'!$F222&amp;";",ROW($1:$99),1),";")),"",ROW($1:$99)+1),COLUMN(A222)),SMALL(IF(ISERROR(SEARCH(MID(";"&amp;'CASE DATA'!$F222&amp;";",ROW($1:$99),1),";")),"",ROW($1:$99)),COLUMN(A221)+1)-SMALL(IF(ISERROR(SEARCH(MID(";"&amp;'CASE DATA'!$F222&amp;";",ROW($1:$99),1),";")),"",ROW($1:$99)),COLUMN(A221))-1)</f>
        <v/>
      </c>
      <c r="X222" s="29" t="str">
        <f t="array" ref="X222">MID(";"&amp;'CASE DATA'!$F222&amp;";",SMALL(IF(ISERROR(SEARCH(MID(";"&amp;'CASE DATA'!$F222&amp;";",ROW($1:$99),1),";")),"",ROW($1:$99)+1),COLUMN(B222)),SMALL(IF(ISERROR(SEARCH(MID(";"&amp;'CASE DATA'!$F222&amp;";",ROW($1:$99),1),";")),"",ROW($1:$99)),COLUMN(B221)+1)-SMALL(IF(ISERROR(SEARCH(MID(";"&amp;'CASE DATA'!$F222&amp;";",ROW($1:$99),1),";")),"",ROW($1:$99)),COLUMN(B221))-1)</f>
        <v/>
      </c>
      <c r="Y222" s="29" t="str">
        <f t="array" ref="Y222">MID(";"&amp;'CASE DATA'!$F222&amp;";",SMALL(IF(ISERROR(SEARCH(MID(";"&amp;'CASE DATA'!$F222&amp;";",ROW($1:$99),1),";")),"",ROW($1:$99)+1),COLUMN(D222)),SMALL(IF(ISERROR(SEARCH(MID(";"&amp;'CASE DATA'!$F222&amp;";",ROW($1:$99),1),";")),"",ROW($1:$99)),COLUMN(D221)+1)-SMALL(IF(ISERROR(SEARCH(MID(";"&amp;'CASE DATA'!$F222&amp;";",ROW($1:$99),1),";")),"",ROW($1:$99)),COLUMN(D221))-1)</f>
        <v/>
      </c>
      <c r="Z222" s="29" t="str">
        <f t="array" ref="Z222">MID(";"&amp;'CASE DATA'!$F222&amp;";",SMALL(IF(ISERROR(SEARCH(MID(";"&amp;'CASE DATA'!$F222&amp;";",ROW($1:$99),1),";")),"",ROW($1:$99)+1),COLUMN(E222)),SMALL(IF(ISERROR(SEARCH(MID(";"&amp;'CASE DATA'!$F222&amp;";",ROW($1:$99),1),";")),"",ROW($1:$99)),COLUMN(E221)+1)-SMALL(IF(ISERROR(SEARCH(MID(";"&amp;'CASE DATA'!$F222&amp;";",ROW($1:$99),1),";")),"",ROW($1:$99)),COLUMN(E221))-1)</f>
        <v/>
      </c>
      <c r="AA222" s="29" t="str">
        <f t="array" ref="AA222">MID(";"&amp;'CASE DATA'!$F222&amp;";",SMALL(IF(ISERROR(SEARCH(MID(";"&amp;'CASE DATA'!$F222&amp;";",ROW($1:$99),1),";")),"",ROW($1:$99)+1),COLUMN(F222)),SMALL(IF(ISERROR(SEARCH(MID(";"&amp;'CASE DATA'!$F222&amp;";",ROW($1:$99),1),";")),"",ROW($1:$99)),COLUMN(F221)+1)-SMALL(IF(ISERROR(SEARCH(MID(";"&amp;'CASE DATA'!$F222&amp;";",ROW($1:$99),1),";")),"",ROW($1:$99)),COLUMN(F221))-1)</f>
        <v/>
      </c>
      <c r="AB222" s="29" t="str">
        <f t="array" ref="AB222">MID(";"&amp;'CASE DATA'!$F222&amp;";",SMALL(IF(ISERROR(SEARCH(MID(";"&amp;'CASE DATA'!$F222&amp;";",ROW($1:$99),1),";")),"",ROW($1:$99)+1),COLUMN(G222)),SMALL(IF(ISERROR(SEARCH(MID(";"&amp;'CASE DATA'!$F222&amp;";",ROW($1:$99),1),";")),"",ROW($1:$99)),COLUMN(G221)+1)-SMALL(IF(ISERROR(SEARCH(MID(";"&amp;'CASE DATA'!$F222&amp;";",ROW($1:$99),1),";")),"",ROW($1:$99)),COLUMN(G221))-1)</f>
        <v/>
      </c>
      <c r="AC222" s="29" t="str">
        <f t="array" ref="AC222">MID(";"&amp;'CASE DATA'!$F222&amp;";",SMALL(IF(ISERROR(SEARCH(MID(";"&amp;'CASE DATA'!$F222&amp;";",ROW($1:$99),1),";")),"",ROW($1:$99)+1),COLUMN(H222)),SMALL(IF(ISERROR(SEARCH(MID(";"&amp;'CASE DATA'!$F222&amp;";",ROW($1:$99),1),";")),"",ROW($1:$99)),COLUMN(H221)+1)-SMALL(IF(ISERROR(SEARCH(MID(";"&amp;'CASE DATA'!$F222&amp;";",ROW($1:$99),1),";")),"",ROW($1:$99)),COLUMN(H221))-1)</f>
        <v/>
      </c>
      <c r="AD222" s="29" t="str">
        <f t="array" ref="AD222">MID(";"&amp;'CASE DATA'!$F222&amp;";",SMALL(IF(ISERROR(SEARCH(MID(";"&amp;'CASE DATA'!$F222&amp;";",ROW($1:$99),1),";")),"",ROW($1:$99)+1),COLUMN(I222)),SMALL(IF(ISERROR(SEARCH(MID(";"&amp;'CASE DATA'!$F222&amp;";",ROW($1:$99),1),";")),"",ROW($1:$99)),COLUMN(I221)+1)-SMALL(IF(ISERROR(SEARCH(MID(";"&amp;'CASE DATA'!$F222&amp;";",ROW($1:$99),1),";")),"",ROW($1:$99)),COLUMN(I221))-1)</f>
        <v/>
      </c>
      <c r="AE222" s="29" t="str">
        <f t="array" ref="AE222">MID(";"&amp;'CASE DATA'!$F222&amp;";",SMALL(IF(ISERROR(SEARCH(MID(";"&amp;'CASE DATA'!$F222&amp;";",ROW($1:$99),1),";")),"",ROW($1:$99)+1),COLUMN(J222)),SMALL(IF(ISERROR(SEARCH(MID(";"&amp;'CASE DATA'!$F222&amp;";",ROW($1:$99),1),";")),"",ROW($1:$99)),COLUMN(J221)+1)-SMALL(IF(ISERROR(SEARCH(MID(";"&amp;'CASE DATA'!$F222&amp;";",ROW($1:$99),1),";")),"",ROW($1:$99)),COLUMN(J221))-1)</f>
        <v/>
      </c>
      <c r="AF222" s="29" t="str">
        <f t="array" ref="AF222">MID(";"&amp;'CASE DATA'!$F222&amp;";",SMALL(IF(ISERROR(SEARCH(MID(";"&amp;'CASE DATA'!$F222&amp;";",ROW($1:$99),1),";")),"",ROW($1:$99)+1),COLUMN(K222)),SMALL(IF(ISERROR(SEARCH(MID(";"&amp;'CASE DATA'!$F222&amp;";",ROW($1:$99),1),";")),"",ROW($1:$99)),COLUMN(K221)+1)-SMALL(IF(ISERROR(SEARCH(MID(";"&amp;'CASE DATA'!$F222&amp;";",ROW($1:$99),1),";")),"",ROW($1:$99)),COLUMN(K221))-1)</f>
        <v/>
      </c>
      <c r="AG222" s="29" t="str">
        <f t="array" ref="AG222">MID(";"&amp;'CASE DATA'!$F222&amp;";",SMALL(IF(ISERROR(SEARCH(MID(";"&amp;'CASE DATA'!$F222&amp;";",ROW($1:$99),1),";")),"",ROW($1:$99)+1),COLUMN(L222)),SMALL(IF(ISERROR(SEARCH(MID(";"&amp;'CASE DATA'!$F222&amp;";",ROW($1:$99),1),";")),"",ROW($1:$99)),COLUMN(L221)+1)-SMALL(IF(ISERROR(SEARCH(MID(";"&amp;'CASE DATA'!$F222&amp;";",ROW($1:$99),1),";")),"",ROW($1:$99)),COLUMN(L221))-1)</f>
        <v/>
      </c>
      <c r="AH222" s="29"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24"/>
      <c r="D223" s="24"/>
      <c r="J223" s="31"/>
      <c r="K223" s="31"/>
      <c r="L223" s="31"/>
      <c r="M223" s="31"/>
      <c r="N223" s="31"/>
      <c r="O223" s="31"/>
      <c r="P223" s="31"/>
      <c r="Q223" s="31"/>
      <c r="R223" s="31"/>
      <c r="S223" s="31"/>
      <c r="T223" s="28">
        <f t="shared" si="4"/>
        <v>0</v>
      </c>
      <c r="U223" s="28"/>
      <c r="W223" s="29" t="str">
        <f t="array" ref="W223">MID(";"&amp;'CASE DATA'!$F223&amp;";",SMALL(IF(ISERROR(SEARCH(MID(";"&amp;'CASE DATA'!$F223&amp;";",ROW($1:$99),1),";")),"",ROW($1:$99)+1),COLUMN(A223)),SMALL(IF(ISERROR(SEARCH(MID(";"&amp;'CASE DATA'!$F223&amp;";",ROW($1:$99),1),";")),"",ROW($1:$99)),COLUMN(A222)+1)-SMALL(IF(ISERROR(SEARCH(MID(";"&amp;'CASE DATA'!$F223&amp;";",ROW($1:$99),1),";")),"",ROW($1:$99)),COLUMN(A222))-1)</f>
        <v/>
      </c>
      <c r="X223" s="29" t="str">
        <f t="array" ref="X223">MID(";"&amp;'CASE DATA'!$F223&amp;";",SMALL(IF(ISERROR(SEARCH(MID(";"&amp;'CASE DATA'!$F223&amp;";",ROW($1:$99),1),";")),"",ROW($1:$99)+1),COLUMN(B223)),SMALL(IF(ISERROR(SEARCH(MID(";"&amp;'CASE DATA'!$F223&amp;";",ROW($1:$99),1),";")),"",ROW($1:$99)),COLUMN(B222)+1)-SMALL(IF(ISERROR(SEARCH(MID(";"&amp;'CASE DATA'!$F223&amp;";",ROW($1:$99),1),";")),"",ROW($1:$99)),COLUMN(B222))-1)</f>
        <v/>
      </c>
      <c r="Y223" s="29" t="str">
        <f t="array" ref="Y223">MID(";"&amp;'CASE DATA'!$F223&amp;";",SMALL(IF(ISERROR(SEARCH(MID(";"&amp;'CASE DATA'!$F223&amp;";",ROW($1:$99),1),";")),"",ROW($1:$99)+1),COLUMN(D223)),SMALL(IF(ISERROR(SEARCH(MID(";"&amp;'CASE DATA'!$F223&amp;";",ROW($1:$99),1),";")),"",ROW($1:$99)),COLUMN(D222)+1)-SMALL(IF(ISERROR(SEARCH(MID(";"&amp;'CASE DATA'!$F223&amp;";",ROW($1:$99),1),";")),"",ROW($1:$99)),COLUMN(D222))-1)</f>
        <v/>
      </c>
      <c r="Z223" s="29" t="str">
        <f t="array" ref="Z223">MID(";"&amp;'CASE DATA'!$F223&amp;";",SMALL(IF(ISERROR(SEARCH(MID(";"&amp;'CASE DATA'!$F223&amp;";",ROW($1:$99),1),";")),"",ROW($1:$99)+1),COLUMN(E223)),SMALL(IF(ISERROR(SEARCH(MID(";"&amp;'CASE DATA'!$F223&amp;";",ROW($1:$99),1),";")),"",ROW($1:$99)),COLUMN(E222)+1)-SMALL(IF(ISERROR(SEARCH(MID(";"&amp;'CASE DATA'!$F223&amp;";",ROW($1:$99),1),";")),"",ROW($1:$99)),COLUMN(E222))-1)</f>
        <v/>
      </c>
      <c r="AA223" s="29" t="str">
        <f t="array" ref="AA223">MID(";"&amp;'CASE DATA'!$F223&amp;";",SMALL(IF(ISERROR(SEARCH(MID(";"&amp;'CASE DATA'!$F223&amp;";",ROW($1:$99),1),";")),"",ROW($1:$99)+1),COLUMN(F223)),SMALL(IF(ISERROR(SEARCH(MID(";"&amp;'CASE DATA'!$F223&amp;";",ROW($1:$99),1),";")),"",ROW($1:$99)),COLUMN(F222)+1)-SMALL(IF(ISERROR(SEARCH(MID(";"&amp;'CASE DATA'!$F223&amp;";",ROW($1:$99),1),";")),"",ROW($1:$99)),COLUMN(F222))-1)</f>
        <v/>
      </c>
      <c r="AB223" s="29" t="str">
        <f t="array" ref="AB223">MID(";"&amp;'CASE DATA'!$F223&amp;";",SMALL(IF(ISERROR(SEARCH(MID(";"&amp;'CASE DATA'!$F223&amp;";",ROW($1:$99),1),";")),"",ROW($1:$99)+1),COLUMN(G223)),SMALL(IF(ISERROR(SEARCH(MID(";"&amp;'CASE DATA'!$F223&amp;";",ROW($1:$99),1),";")),"",ROW($1:$99)),COLUMN(G222)+1)-SMALL(IF(ISERROR(SEARCH(MID(";"&amp;'CASE DATA'!$F223&amp;";",ROW($1:$99),1),";")),"",ROW($1:$99)),COLUMN(G222))-1)</f>
        <v/>
      </c>
      <c r="AC223" s="29" t="str">
        <f t="array" ref="AC223">MID(";"&amp;'CASE DATA'!$F223&amp;";",SMALL(IF(ISERROR(SEARCH(MID(";"&amp;'CASE DATA'!$F223&amp;";",ROW($1:$99),1),";")),"",ROW($1:$99)+1),COLUMN(H223)),SMALL(IF(ISERROR(SEARCH(MID(";"&amp;'CASE DATA'!$F223&amp;";",ROW($1:$99),1),";")),"",ROW($1:$99)),COLUMN(H222)+1)-SMALL(IF(ISERROR(SEARCH(MID(";"&amp;'CASE DATA'!$F223&amp;";",ROW($1:$99),1),";")),"",ROW($1:$99)),COLUMN(H222))-1)</f>
        <v/>
      </c>
      <c r="AD223" s="29" t="str">
        <f t="array" ref="AD223">MID(";"&amp;'CASE DATA'!$F223&amp;";",SMALL(IF(ISERROR(SEARCH(MID(";"&amp;'CASE DATA'!$F223&amp;";",ROW($1:$99),1),";")),"",ROW($1:$99)+1),COLUMN(I223)),SMALL(IF(ISERROR(SEARCH(MID(";"&amp;'CASE DATA'!$F223&amp;";",ROW($1:$99),1),";")),"",ROW($1:$99)),COLUMN(I222)+1)-SMALL(IF(ISERROR(SEARCH(MID(";"&amp;'CASE DATA'!$F223&amp;";",ROW($1:$99),1),";")),"",ROW($1:$99)),COLUMN(I222))-1)</f>
        <v/>
      </c>
      <c r="AE223" s="29" t="str">
        <f t="array" ref="AE223">MID(";"&amp;'CASE DATA'!$F223&amp;";",SMALL(IF(ISERROR(SEARCH(MID(";"&amp;'CASE DATA'!$F223&amp;";",ROW($1:$99),1),";")),"",ROW($1:$99)+1),COLUMN(J223)),SMALL(IF(ISERROR(SEARCH(MID(";"&amp;'CASE DATA'!$F223&amp;";",ROW($1:$99),1),";")),"",ROW($1:$99)),COLUMN(J222)+1)-SMALL(IF(ISERROR(SEARCH(MID(";"&amp;'CASE DATA'!$F223&amp;";",ROW($1:$99),1),";")),"",ROW($1:$99)),COLUMN(J222))-1)</f>
        <v/>
      </c>
      <c r="AF223" s="29" t="str">
        <f t="array" ref="AF223">MID(";"&amp;'CASE DATA'!$F223&amp;";",SMALL(IF(ISERROR(SEARCH(MID(";"&amp;'CASE DATA'!$F223&amp;";",ROW($1:$99),1),";")),"",ROW($1:$99)+1),COLUMN(K223)),SMALL(IF(ISERROR(SEARCH(MID(";"&amp;'CASE DATA'!$F223&amp;";",ROW($1:$99),1),";")),"",ROW($1:$99)),COLUMN(K222)+1)-SMALL(IF(ISERROR(SEARCH(MID(";"&amp;'CASE DATA'!$F223&amp;";",ROW($1:$99),1),";")),"",ROW($1:$99)),COLUMN(K222))-1)</f>
        <v/>
      </c>
      <c r="AG223" s="29" t="str">
        <f t="array" ref="AG223">MID(";"&amp;'CASE DATA'!$F223&amp;";",SMALL(IF(ISERROR(SEARCH(MID(";"&amp;'CASE DATA'!$F223&amp;";",ROW($1:$99),1),";")),"",ROW($1:$99)+1),COLUMN(L223)),SMALL(IF(ISERROR(SEARCH(MID(";"&amp;'CASE DATA'!$F223&amp;";",ROW($1:$99),1),";")),"",ROW($1:$99)),COLUMN(L222)+1)-SMALL(IF(ISERROR(SEARCH(MID(";"&amp;'CASE DATA'!$F223&amp;";",ROW($1:$99),1),";")),"",ROW($1:$99)),COLUMN(L222))-1)</f>
        <v/>
      </c>
      <c r="AH223" s="29"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24"/>
      <c r="D224" s="24"/>
      <c r="J224" s="31"/>
      <c r="K224" s="31"/>
      <c r="L224" s="31"/>
      <c r="M224" s="31"/>
      <c r="N224" s="31"/>
      <c r="O224" s="31"/>
      <c r="P224" s="31"/>
      <c r="Q224" s="31"/>
      <c r="R224" s="31"/>
      <c r="S224" s="31"/>
      <c r="T224" s="28">
        <f t="shared" si="4"/>
        <v>0</v>
      </c>
      <c r="U224" s="28"/>
      <c r="W224" s="29" t="str">
        <f t="array" ref="W224">MID(";"&amp;'CASE DATA'!$F224&amp;";",SMALL(IF(ISERROR(SEARCH(MID(";"&amp;'CASE DATA'!$F224&amp;";",ROW($1:$99),1),";")),"",ROW($1:$99)+1),COLUMN(A224)),SMALL(IF(ISERROR(SEARCH(MID(";"&amp;'CASE DATA'!$F224&amp;";",ROW($1:$99),1),";")),"",ROW($1:$99)),COLUMN(A223)+1)-SMALL(IF(ISERROR(SEARCH(MID(";"&amp;'CASE DATA'!$F224&amp;";",ROW($1:$99),1),";")),"",ROW($1:$99)),COLUMN(A223))-1)</f>
        <v/>
      </c>
      <c r="X224" s="29" t="str">
        <f t="array" ref="X224">MID(";"&amp;'CASE DATA'!$F224&amp;";",SMALL(IF(ISERROR(SEARCH(MID(";"&amp;'CASE DATA'!$F224&amp;";",ROW($1:$99),1),";")),"",ROW($1:$99)+1),COLUMN(B224)),SMALL(IF(ISERROR(SEARCH(MID(";"&amp;'CASE DATA'!$F224&amp;";",ROW($1:$99),1),";")),"",ROW($1:$99)),COLUMN(B223)+1)-SMALL(IF(ISERROR(SEARCH(MID(";"&amp;'CASE DATA'!$F224&amp;";",ROW($1:$99),1),";")),"",ROW($1:$99)),COLUMN(B223))-1)</f>
        <v/>
      </c>
      <c r="Y224" s="29" t="str">
        <f t="array" ref="Y224">MID(";"&amp;'CASE DATA'!$F224&amp;";",SMALL(IF(ISERROR(SEARCH(MID(";"&amp;'CASE DATA'!$F224&amp;";",ROW($1:$99),1),";")),"",ROW($1:$99)+1),COLUMN(D224)),SMALL(IF(ISERROR(SEARCH(MID(";"&amp;'CASE DATA'!$F224&amp;";",ROW($1:$99),1),";")),"",ROW($1:$99)),COLUMN(D223)+1)-SMALL(IF(ISERROR(SEARCH(MID(";"&amp;'CASE DATA'!$F224&amp;";",ROW($1:$99),1),";")),"",ROW($1:$99)),COLUMN(D223))-1)</f>
        <v/>
      </c>
      <c r="Z224" s="29" t="str">
        <f t="array" ref="Z224">MID(";"&amp;'CASE DATA'!$F224&amp;";",SMALL(IF(ISERROR(SEARCH(MID(";"&amp;'CASE DATA'!$F224&amp;";",ROW($1:$99),1),";")),"",ROW($1:$99)+1),COLUMN(E224)),SMALL(IF(ISERROR(SEARCH(MID(";"&amp;'CASE DATA'!$F224&amp;";",ROW($1:$99),1),";")),"",ROW($1:$99)),COLUMN(E223)+1)-SMALL(IF(ISERROR(SEARCH(MID(";"&amp;'CASE DATA'!$F224&amp;";",ROW($1:$99),1),";")),"",ROW($1:$99)),COLUMN(E223))-1)</f>
        <v/>
      </c>
      <c r="AA224" s="29" t="str">
        <f t="array" ref="AA224">MID(";"&amp;'CASE DATA'!$F224&amp;";",SMALL(IF(ISERROR(SEARCH(MID(";"&amp;'CASE DATA'!$F224&amp;";",ROW($1:$99),1),";")),"",ROW($1:$99)+1),COLUMN(F224)),SMALL(IF(ISERROR(SEARCH(MID(";"&amp;'CASE DATA'!$F224&amp;";",ROW($1:$99),1),";")),"",ROW($1:$99)),COLUMN(F223)+1)-SMALL(IF(ISERROR(SEARCH(MID(";"&amp;'CASE DATA'!$F224&amp;";",ROW($1:$99),1),";")),"",ROW($1:$99)),COLUMN(F223))-1)</f>
        <v/>
      </c>
      <c r="AB224" s="29" t="str">
        <f t="array" ref="AB224">MID(";"&amp;'CASE DATA'!$F224&amp;";",SMALL(IF(ISERROR(SEARCH(MID(";"&amp;'CASE DATA'!$F224&amp;";",ROW($1:$99),1),";")),"",ROW($1:$99)+1),COLUMN(G224)),SMALL(IF(ISERROR(SEARCH(MID(";"&amp;'CASE DATA'!$F224&amp;";",ROW($1:$99),1),";")),"",ROW($1:$99)),COLUMN(G223)+1)-SMALL(IF(ISERROR(SEARCH(MID(";"&amp;'CASE DATA'!$F224&amp;";",ROW($1:$99),1),";")),"",ROW($1:$99)),COLUMN(G223))-1)</f>
        <v/>
      </c>
      <c r="AC224" s="29" t="str">
        <f t="array" ref="AC224">MID(";"&amp;'CASE DATA'!$F224&amp;";",SMALL(IF(ISERROR(SEARCH(MID(";"&amp;'CASE DATA'!$F224&amp;";",ROW($1:$99),1),";")),"",ROW($1:$99)+1),COLUMN(H224)),SMALL(IF(ISERROR(SEARCH(MID(";"&amp;'CASE DATA'!$F224&amp;";",ROW($1:$99),1),";")),"",ROW($1:$99)),COLUMN(H223)+1)-SMALL(IF(ISERROR(SEARCH(MID(";"&amp;'CASE DATA'!$F224&amp;";",ROW($1:$99),1),";")),"",ROW($1:$99)),COLUMN(H223))-1)</f>
        <v/>
      </c>
      <c r="AD224" s="29" t="str">
        <f t="array" ref="AD224">MID(";"&amp;'CASE DATA'!$F224&amp;";",SMALL(IF(ISERROR(SEARCH(MID(";"&amp;'CASE DATA'!$F224&amp;";",ROW($1:$99),1),";")),"",ROW($1:$99)+1),COLUMN(I224)),SMALL(IF(ISERROR(SEARCH(MID(";"&amp;'CASE DATA'!$F224&amp;";",ROW($1:$99),1),";")),"",ROW($1:$99)),COLUMN(I223)+1)-SMALL(IF(ISERROR(SEARCH(MID(";"&amp;'CASE DATA'!$F224&amp;";",ROW($1:$99),1),";")),"",ROW($1:$99)),COLUMN(I223))-1)</f>
        <v/>
      </c>
      <c r="AE224" s="29" t="str">
        <f t="array" ref="AE224">MID(";"&amp;'CASE DATA'!$F224&amp;";",SMALL(IF(ISERROR(SEARCH(MID(";"&amp;'CASE DATA'!$F224&amp;";",ROW($1:$99),1),";")),"",ROW($1:$99)+1),COLUMN(J224)),SMALL(IF(ISERROR(SEARCH(MID(";"&amp;'CASE DATA'!$F224&amp;";",ROW($1:$99),1),";")),"",ROW($1:$99)),COLUMN(J223)+1)-SMALL(IF(ISERROR(SEARCH(MID(";"&amp;'CASE DATA'!$F224&amp;";",ROW($1:$99),1),";")),"",ROW($1:$99)),COLUMN(J223))-1)</f>
        <v/>
      </c>
      <c r="AF224" s="29" t="str">
        <f t="array" ref="AF224">MID(";"&amp;'CASE DATA'!$F224&amp;";",SMALL(IF(ISERROR(SEARCH(MID(";"&amp;'CASE DATA'!$F224&amp;";",ROW($1:$99),1),";")),"",ROW($1:$99)+1),COLUMN(K224)),SMALL(IF(ISERROR(SEARCH(MID(";"&amp;'CASE DATA'!$F224&amp;";",ROW($1:$99),1),";")),"",ROW($1:$99)),COLUMN(K223)+1)-SMALL(IF(ISERROR(SEARCH(MID(";"&amp;'CASE DATA'!$F224&amp;";",ROW($1:$99),1),";")),"",ROW($1:$99)),COLUMN(K223))-1)</f>
        <v/>
      </c>
      <c r="AG224" s="29" t="str">
        <f t="array" ref="AG224">MID(";"&amp;'CASE DATA'!$F224&amp;";",SMALL(IF(ISERROR(SEARCH(MID(";"&amp;'CASE DATA'!$F224&amp;";",ROW($1:$99),1),";")),"",ROW($1:$99)+1),COLUMN(L224)),SMALL(IF(ISERROR(SEARCH(MID(";"&amp;'CASE DATA'!$F224&amp;";",ROW($1:$99),1),";")),"",ROW($1:$99)),COLUMN(L223)+1)-SMALL(IF(ISERROR(SEARCH(MID(";"&amp;'CASE DATA'!$F224&amp;";",ROW($1:$99),1),";")),"",ROW($1:$99)),COLUMN(L223))-1)</f>
        <v/>
      </c>
      <c r="AH224" s="29"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24"/>
      <c r="D225" s="24"/>
      <c r="J225" s="31"/>
      <c r="K225" s="31"/>
      <c r="L225" s="31"/>
      <c r="M225" s="31"/>
      <c r="N225" s="31"/>
      <c r="O225" s="31"/>
      <c r="P225" s="31"/>
      <c r="Q225" s="31"/>
      <c r="R225" s="31"/>
      <c r="S225" s="31"/>
      <c r="T225" s="28">
        <f t="shared" si="4"/>
        <v>0</v>
      </c>
      <c r="U225" s="28"/>
      <c r="W225" s="29" t="str">
        <f t="array" ref="W225">MID(";"&amp;'CASE DATA'!$F225&amp;";",SMALL(IF(ISERROR(SEARCH(MID(";"&amp;'CASE DATA'!$F225&amp;";",ROW($1:$99),1),";")),"",ROW($1:$99)+1),COLUMN(A225)),SMALL(IF(ISERROR(SEARCH(MID(";"&amp;'CASE DATA'!$F225&amp;";",ROW($1:$99),1),";")),"",ROW($1:$99)),COLUMN(A224)+1)-SMALL(IF(ISERROR(SEARCH(MID(";"&amp;'CASE DATA'!$F225&amp;";",ROW($1:$99),1),";")),"",ROW($1:$99)),COLUMN(A224))-1)</f>
        <v/>
      </c>
      <c r="X225" s="29" t="str">
        <f t="array" ref="X225">MID(";"&amp;'CASE DATA'!$F225&amp;";",SMALL(IF(ISERROR(SEARCH(MID(";"&amp;'CASE DATA'!$F225&amp;";",ROW($1:$99),1),";")),"",ROW($1:$99)+1),COLUMN(B225)),SMALL(IF(ISERROR(SEARCH(MID(";"&amp;'CASE DATA'!$F225&amp;";",ROW($1:$99),1),";")),"",ROW($1:$99)),COLUMN(B224)+1)-SMALL(IF(ISERROR(SEARCH(MID(";"&amp;'CASE DATA'!$F225&amp;";",ROW($1:$99),1),";")),"",ROW($1:$99)),COLUMN(B224))-1)</f>
        <v/>
      </c>
      <c r="Y225" s="29" t="str">
        <f t="array" ref="Y225">MID(";"&amp;'CASE DATA'!$F225&amp;";",SMALL(IF(ISERROR(SEARCH(MID(";"&amp;'CASE DATA'!$F225&amp;";",ROW($1:$99),1),";")),"",ROW($1:$99)+1),COLUMN(D225)),SMALL(IF(ISERROR(SEARCH(MID(";"&amp;'CASE DATA'!$F225&amp;";",ROW($1:$99),1),";")),"",ROW($1:$99)),COLUMN(D224)+1)-SMALL(IF(ISERROR(SEARCH(MID(";"&amp;'CASE DATA'!$F225&amp;";",ROW($1:$99),1),";")),"",ROW($1:$99)),COLUMN(D224))-1)</f>
        <v/>
      </c>
      <c r="Z225" s="29" t="str">
        <f t="array" ref="Z225">MID(";"&amp;'CASE DATA'!$F225&amp;";",SMALL(IF(ISERROR(SEARCH(MID(";"&amp;'CASE DATA'!$F225&amp;";",ROW($1:$99),1),";")),"",ROW($1:$99)+1),COLUMN(E225)),SMALL(IF(ISERROR(SEARCH(MID(";"&amp;'CASE DATA'!$F225&amp;";",ROW($1:$99),1),";")),"",ROW($1:$99)),COLUMN(E224)+1)-SMALL(IF(ISERROR(SEARCH(MID(";"&amp;'CASE DATA'!$F225&amp;";",ROW($1:$99),1),";")),"",ROW($1:$99)),COLUMN(E224))-1)</f>
        <v/>
      </c>
      <c r="AA225" s="29" t="str">
        <f t="array" ref="AA225">MID(";"&amp;'CASE DATA'!$F225&amp;";",SMALL(IF(ISERROR(SEARCH(MID(";"&amp;'CASE DATA'!$F225&amp;";",ROW($1:$99),1),";")),"",ROW($1:$99)+1),COLUMN(F225)),SMALL(IF(ISERROR(SEARCH(MID(";"&amp;'CASE DATA'!$F225&amp;";",ROW($1:$99),1),";")),"",ROW($1:$99)),COLUMN(F224)+1)-SMALL(IF(ISERROR(SEARCH(MID(";"&amp;'CASE DATA'!$F225&amp;";",ROW($1:$99),1),";")),"",ROW($1:$99)),COLUMN(F224))-1)</f>
        <v/>
      </c>
      <c r="AB225" s="29" t="str">
        <f t="array" ref="AB225">MID(";"&amp;'CASE DATA'!$F225&amp;";",SMALL(IF(ISERROR(SEARCH(MID(";"&amp;'CASE DATA'!$F225&amp;";",ROW($1:$99),1),";")),"",ROW($1:$99)+1),COLUMN(G225)),SMALL(IF(ISERROR(SEARCH(MID(";"&amp;'CASE DATA'!$F225&amp;";",ROW($1:$99),1),";")),"",ROW($1:$99)),COLUMN(G224)+1)-SMALL(IF(ISERROR(SEARCH(MID(";"&amp;'CASE DATA'!$F225&amp;";",ROW($1:$99),1),";")),"",ROW($1:$99)),COLUMN(G224))-1)</f>
        <v/>
      </c>
      <c r="AC225" s="29" t="str">
        <f t="array" ref="AC225">MID(";"&amp;'CASE DATA'!$F225&amp;";",SMALL(IF(ISERROR(SEARCH(MID(";"&amp;'CASE DATA'!$F225&amp;";",ROW($1:$99),1),";")),"",ROW($1:$99)+1),COLUMN(H225)),SMALL(IF(ISERROR(SEARCH(MID(";"&amp;'CASE DATA'!$F225&amp;";",ROW($1:$99),1),";")),"",ROW($1:$99)),COLUMN(H224)+1)-SMALL(IF(ISERROR(SEARCH(MID(";"&amp;'CASE DATA'!$F225&amp;";",ROW($1:$99),1),";")),"",ROW($1:$99)),COLUMN(H224))-1)</f>
        <v/>
      </c>
      <c r="AD225" s="29" t="str">
        <f t="array" ref="AD225">MID(";"&amp;'CASE DATA'!$F225&amp;";",SMALL(IF(ISERROR(SEARCH(MID(";"&amp;'CASE DATA'!$F225&amp;";",ROW($1:$99),1),";")),"",ROW($1:$99)+1),COLUMN(I225)),SMALL(IF(ISERROR(SEARCH(MID(";"&amp;'CASE DATA'!$F225&amp;";",ROW($1:$99),1),";")),"",ROW($1:$99)),COLUMN(I224)+1)-SMALL(IF(ISERROR(SEARCH(MID(";"&amp;'CASE DATA'!$F225&amp;";",ROW($1:$99),1),";")),"",ROW($1:$99)),COLUMN(I224))-1)</f>
        <v/>
      </c>
      <c r="AE225" s="29" t="str">
        <f t="array" ref="AE225">MID(";"&amp;'CASE DATA'!$F225&amp;";",SMALL(IF(ISERROR(SEARCH(MID(";"&amp;'CASE DATA'!$F225&amp;";",ROW($1:$99),1),";")),"",ROW($1:$99)+1),COLUMN(J225)),SMALL(IF(ISERROR(SEARCH(MID(";"&amp;'CASE DATA'!$F225&amp;";",ROW($1:$99),1),";")),"",ROW($1:$99)),COLUMN(J224)+1)-SMALL(IF(ISERROR(SEARCH(MID(";"&amp;'CASE DATA'!$F225&amp;";",ROW($1:$99),1),";")),"",ROW($1:$99)),COLUMN(J224))-1)</f>
        <v/>
      </c>
      <c r="AF225" s="29" t="str">
        <f t="array" ref="AF225">MID(";"&amp;'CASE DATA'!$F225&amp;";",SMALL(IF(ISERROR(SEARCH(MID(";"&amp;'CASE DATA'!$F225&amp;";",ROW($1:$99),1),";")),"",ROW($1:$99)+1),COLUMN(K225)),SMALL(IF(ISERROR(SEARCH(MID(";"&amp;'CASE DATA'!$F225&amp;";",ROW($1:$99),1),";")),"",ROW($1:$99)),COLUMN(K224)+1)-SMALL(IF(ISERROR(SEARCH(MID(";"&amp;'CASE DATA'!$F225&amp;";",ROW($1:$99),1),";")),"",ROW($1:$99)),COLUMN(K224))-1)</f>
        <v/>
      </c>
      <c r="AG225" s="29" t="str">
        <f t="array" ref="AG225">MID(";"&amp;'CASE DATA'!$F225&amp;";",SMALL(IF(ISERROR(SEARCH(MID(";"&amp;'CASE DATA'!$F225&amp;";",ROW($1:$99),1),";")),"",ROW($1:$99)+1),COLUMN(L225)),SMALL(IF(ISERROR(SEARCH(MID(";"&amp;'CASE DATA'!$F225&amp;";",ROW($1:$99),1),";")),"",ROW($1:$99)),COLUMN(L224)+1)-SMALL(IF(ISERROR(SEARCH(MID(";"&amp;'CASE DATA'!$F225&amp;";",ROW($1:$99),1),";")),"",ROW($1:$99)),COLUMN(L224))-1)</f>
        <v/>
      </c>
      <c r="AH225" s="29"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24"/>
      <c r="D226" s="24"/>
      <c r="J226" s="31"/>
      <c r="K226" s="31"/>
      <c r="L226" s="31"/>
      <c r="M226" s="31"/>
      <c r="N226" s="31"/>
      <c r="O226" s="31"/>
      <c r="P226" s="31"/>
      <c r="Q226" s="31"/>
      <c r="R226" s="31"/>
      <c r="S226" s="31"/>
      <c r="T226" s="28">
        <f t="shared" si="4"/>
        <v>0</v>
      </c>
      <c r="U226" s="28"/>
      <c r="W226" s="29" t="str">
        <f t="array" ref="W226">MID(";"&amp;'CASE DATA'!$F226&amp;";",SMALL(IF(ISERROR(SEARCH(MID(";"&amp;'CASE DATA'!$F226&amp;";",ROW($1:$99),1),";")),"",ROW($1:$99)+1),COLUMN(A226)),SMALL(IF(ISERROR(SEARCH(MID(";"&amp;'CASE DATA'!$F226&amp;";",ROW($1:$99),1),";")),"",ROW($1:$99)),COLUMN(A225)+1)-SMALL(IF(ISERROR(SEARCH(MID(";"&amp;'CASE DATA'!$F226&amp;";",ROW($1:$99),1),";")),"",ROW($1:$99)),COLUMN(A225))-1)</f>
        <v/>
      </c>
      <c r="X226" s="29" t="str">
        <f t="array" ref="X226">MID(";"&amp;'CASE DATA'!$F226&amp;";",SMALL(IF(ISERROR(SEARCH(MID(";"&amp;'CASE DATA'!$F226&amp;";",ROW($1:$99),1),";")),"",ROW($1:$99)+1),COLUMN(B226)),SMALL(IF(ISERROR(SEARCH(MID(";"&amp;'CASE DATA'!$F226&amp;";",ROW($1:$99),1),";")),"",ROW($1:$99)),COLUMN(B225)+1)-SMALL(IF(ISERROR(SEARCH(MID(";"&amp;'CASE DATA'!$F226&amp;";",ROW($1:$99),1),";")),"",ROW($1:$99)),COLUMN(B225))-1)</f>
        <v/>
      </c>
      <c r="Y226" s="29" t="str">
        <f t="array" ref="Y226">MID(";"&amp;'CASE DATA'!$F226&amp;";",SMALL(IF(ISERROR(SEARCH(MID(";"&amp;'CASE DATA'!$F226&amp;";",ROW($1:$99),1),";")),"",ROW($1:$99)+1),COLUMN(D226)),SMALL(IF(ISERROR(SEARCH(MID(";"&amp;'CASE DATA'!$F226&amp;";",ROW($1:$99),1),";")),"",ROW($1:$99)),COLUMN(D225)+1)-SMALL(IF(ISERROR(SEARCH(MID(";"&amp;'CASE DATA'!$F226&amp;";",ROW($1:$99),1),";")),"",ROW($1:$99)),COLUMN(D225))-1)</f>
        <v/>
      </c>
      <c r="Z226" s="29" t="str">
        <f t="array" ref="Z226">MID(";"&amp;'CASE DATA'!$F226&amp;";",SMALL(IF(ISERROR(SEARCH(MID(";"&amp;'CASE DATA'!$F226&amp;";",ROW($1:$99),1),";")),"",ROW($1:$99)+1),COLUMN(E226)),SMALL(IF(ISERROR(SEARCH(MID(";"&amp;'CASE DATA'!$F226&amp;";",ROW($1:$99),1),";")),"",ROW($1:$99)),COLUMN(E225)+1)-SMALL(IF(ISERROR(SEARCH(MID(";"&amp;'CASE DATA'!$F226&amp;";",ROW($1:$99),1),";")),"",ROW($1:$99)),COLUMN(E225))-1)</f>
        <v/>
      </c>
      <c r="AA226" s="29" t="str">
        <f t="array" ref="AA226">MID(";"&amp;'CASE DATA'!$F226&amp;";",SMALL(IF(ISERROR(SEARCH(MID(";"&amp;'CASE DATA'!$F226&amp;";",ROW($1:$99),1),";")),"",ROW($1:$99)+1),COLUMN(F226)),SMALL(IF(ISERROR(SEARCH(MID(";"&amp;'CASE DATA'!$F226&amp;";",ROW($1:$99),1),";")),"",ROW($1:$99)),COLUMN(F225)+1)-SMALL(IF(ISERROR(SEARCH(MID(";"&amp;'CASE DATA'!$F226&amp;";",ROW($1:$99),1),";")),"",ROW($1:$99)),COLUMN(F225))-1)</f>
        <v/>
      </c>
      <c r="AB226" s="29" t="str">
        <f t="array" ref="AB226">MID(";"&amp;'CASE DATA'!$F226&amp;";",SMALL(IF(ISERROR(SEARCH(MID(";"&amp;'CASE DATA'!$F226&amp;";",ROW($1:$99),1),";")),"",ROW($1:$99)+1),COLUMN(G226)),SMALL(IF(ISERROR(SEARCH(MID(";"&amp;'CASE DATA'!$F226&amp;";",ROW($1:$99),1),";")),"",ROW($1:$99)),COLUMN(G225)+1)-SMALL(IF(ISERROR(SEARCH(MID(";"&amp;'CASE DATA'!$F226&amp;";",ROW($1:$99),1),";")),"",ROW($1:$99)),COLUMN(G225))-1)</f>
        <v/>
      </c>
      <c r="AC226" s="29" t="str">
        <f t="array" ref="AC226">MID(";"&amp;'CASE DATA'!$F226&amp;";",SMALL(IF(ISERROR(SEARCH(MID(";"&amp;'CASE DATA'!$F226&amp;";",ROW($1:$99),1),";")),"",ROW($1:$99)+1),COLUMN(H226)),SMALL(IF(ISERROR(SEARCH(MID(";"&amp;'CASE DATA'!$F226&amp;";",ROW($1:$99),1),";")),"",ROW($1:$99)),COLUMN(H225)+1)-SMALL(IF(ISERROR(SEARCH(MID(";"&amp;'CASE DATA'!$F226&amp;";",ROW($1:$99),1),";")),"",ROW($1:$99)),COLUMN(H225))-1)</f>
        <v/>
      </c>
      <c r="AD226" s="29" t="str">
        <f t="array" ref="AD226">MID(";"&amp;'CASE DATA'!$F226&amp;";",SMALL(IF(ISERROR(SEARCH(MID(";"&amp;'CASE DATA'!$F226&amp;";",ROW($1:$99),1),";")),"",ROW($1:$99)+1),COLUMN(I226)),SMALL(IF(ISERROR(SEARCH(MID(";"&amp;'CASE DATA'!$F226&amp;";",ROW($1:$99),1),";")),"",ROW($1:$99)),COLUMN(I225)+1)-SMALL(IF(ISERROR(SEARCH(MID(";"&amp;'CASE DATA'!$F226&amp;";",ROW($1:$99),1),";")),"",ROW($1:$99)),COLUMN(I225))-1)</f>
        <v/>
      </c>
      <c r="AE226" s="29" t="str">
        <f t="array" ref="AE226">MID(";"&amp;'CASE DATA'!$F226&amp;";",SMALL(IF(ISERROR(SEARCH(MID(";"&amp;'CASE DATA'!$F226&amp;";",ROW($1:$99),1),";")),"",ROW($1:$99)+1),COLUMN(J226)),SMALL(IF(ISERROR(SEARCH(MID(";"&amp;'CASE DATA'!$F226&amp;";",ROW($1:$99),1),";")),"",ROW($1:$99)),COLUMN(J225)+1)-SMALL(IF(ISERROR(SEARCH(MID(";"&amp;'CASE DATA'!$F226&amp;";",ROW($1:$99),1),";")),"",ROW($1:$99)),COLUMN(J225))-1)</f>
        <v/>
      </c>
      <c r="AF226" s="29" t="str">
        <f t="array" ref="AF226">MID(";"&amp;'CASE DATA'!$F226&amp;";",SMALL(IF(ISERROR(SEARCH(MID(";"&amp;'CASE DATA'!$F226&amp;";",ROW($1:$99),1),";")),"",ROW($1:$99)+1),COLUMN(K226)),SMALL(IF(ISERROR(SEARCH(MID(";"&amp;'CASE DATA'!$F226&amp;";",ROW($1:$99),1),";")),"",ROW($1:$99)),COLUMN(K225)+1)-SMALL(IF(ISERROR(SEARCH(MID(";"&amp;'CASE DATA'!$F226&amp;";",ROW($1:$99),1),";")),"",ROW($1:$99)),COLUMN(K225))-1)</f>
        <v/>
      </c>
      <c r="AG226" s="29" t="str">
        <f t="array" ref="AG226">MID(";"&amp;'CASE DATA'!$F226&amp;";",SMALL(IF(ISERROR(SEARCH(MID(";"&amp;'CASE DATA'!$F226&amp;";",ROW($1:$99),1),";")),"",ROW($1:$99)+1),COLUMN(L226)),SMALL(IF(ISERROR(SEARCH(MID(";"&amp;'CASE DATA'!$F226&amp;";",ROW($1:$99),1),";")),"",ROW($1:$99)),COLUMN(L225)+1)-SMALL(IF(ISERROR(SEARCH(MID(";"&amp;'CASE DATA'!$F226&amp;";",ROW($1:$99),1),";")),"",ROW($1:$99)),COLUMN(L225))-1)</f>
        <v/>
      </c>
      <c r="AH226" s="29"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24"/>
      <c r="D227" s="24"/>
      <c r="J227" s="31"/>
      <c r="K227" s="31"/>
      <c r="L227" s="31"/>
      <c r="M227" s="31"/>
      <c r="N227" s="31"/>
      <c r="O227" s="31"/>
      <c r="P227" s="31"/>
      <c r="Q227" s="31"/>
      <c r="R227" s="31"/>
      <c r="S227" s="31"/>
      <c r="T227" s="28">
        <f t="shared" si="4"/>
        <v>0</v>
      </c>
      <c r="U227" s="28"/>
      <c r="W227" s="29" t="str">
        <f t="array" ref="W227">MID(";"&amp;'CASE DATA'!$F227&amp;";",SMALL(IF(ISERROR(SEARCH(MID(";"&amp;'CASE DATA'!$F227&amp;";",ROW($1:$99),1),";")),"",ROW($1:$99)+1),COLUMN(A227)),SMALL(IF(ISERROR(SEARCH(MID(";"&amp;'CASE DATA'!$F227&amp;";",ROW($1:$99),1),";")),"",ROW($1:$99)),COLUMN(A226)+1)-SMALL(IF(ISERROR(SEARCH(MID(";"&amp;'CASE DATA'!$F227&amp;";",ROW($1:$99),1),";")),"",ROW($1:$99)),COLUMN(A226))-1)</f>
        <v/>
      </c>
      <c r="X227" s="29" t="str">
        <f t="array" ref="X227">MID(";"&amp;'CASE DATA'!$F227&amp;";",SMALL(IF(ISERROR(SEARCH(MID(";"&amp;'CASE DATA'!$F227&amp;";",ROW($1:$99),1),";")),"",ROW($1:$99)+1),COLUMN(B227)),SMALL(IF(ISERROR(SEARCH(MID(";"&amp;'CASE DATA'!$F227&amp;";",ROW($1:$99),1),";")),"",ROW($1:$99)),COLUMN(B226)+1)-SMALL(IF(ISERROR(SEARCH(MID(";"&amp;'CASE DATA'!$F227&amp;";",ROW($1:$99),1),";")),"",ROW($1:$99)),COLUMN(B226))-1)</f>
        <v/>
      </c>
      <c r="Y227" s="29" t="str">
        <f t="array" ref="Y227">MID(";"&amp;'CASE DATA'!$F227&amp;";",SMALL(IF(ISERROR(SEARCH(MID(";"&amp;'CASE DATA'!$F227&amp;";",ROW($1:$99),1),";")),"",ROW($1:$99)+1),COLUMN(D227)),SMALL(IF(ISERROR(SEARCH(MID(";"&amp;'CASE DATA'!$F227&amp;";",ROW($1:$99),1),";")),"",ROW($1:$99)),COLUMN(D226)+1)-SMALL(IF(ISERROR(SEARCH(MID(";"&amp;'CASE DATA'!$F227&amp;";",ROW($1:$99),1),";")),"",ROW($1:$99)),COLUMN(D226))-1)</f>
        <v/>
      </c>
      <c r="Z227" s="29" t="str">
        <f t="array" ref="Z227">MID(";"&amp;'CASE DATA'!$F227&amp;";",SMALL(IF(ISERROR(SEARCH(MID(";"&amp;'CASE DATA'!$F227&amp;";",ROW($1:$99),1),";")),"",ROW($1:$99)+1),COLUMN(E227)),SMALL(IF(ISERROR(SEARCH(MID(";"&amp;'CASE DATA'!$F227&amp;";",ROW($1:$99),1),";")),"",ROW($1:$99)),COLUMN(E226)+1)-SMALL(IF(ISERROR(SEARCH(MID(";"&amp;'CASE DATA'!$F227&amp;";",ROW($1:$99),1),";")),"",ROW($1:$99)),COLUMN(E226))-1)</f>
        <v/>
      </c>
      <c r="AA227" s="29" t="str">
        <f t="array" ref="AA227">MID(";"&amp;'CASE DATA'!$F227&amp;";",SMALL(IF(ISERROR(SEARCH(MID(";"&amp;'CASE DATA'!$F227&amp;";",ROW($1:$99),1),";")),"",ROW($1:$99)+1),COLUMN(F227)),SMALL(IF(ISERROR(SEARCH(MID(";"&amp;'CASE DATA'!$F227&amp;";",ROW($1:$99),1),";")),"",ROW($1:$99)),COLUMN(F226)+1)-SMALL(IF(ISERROR(SEARCH(MID(";"&amp;'CASE DATA'!$F227&amp;";",ROW($1:$99),1),";")),"",ROW($1:$99)),COLUMN(F226))-1)</f>
        <v/>
      </c>
      <c r="AB227" s="29" t="str">
        <f t="array" ref="AB227">MID(";"&amp;'CASE DATA'!$F227&amp;";",SMALL(IF(ISERROR(SEARCH(MID(";"&amp;'CASE DATA'!$F227&amp;";",ROW($1:$99),1),";")),"",ROW($1:$99)+1),COLUMN(G227)),SMALL(IF(ISERROR(SEARCH(MID(";"&amp;'CASE DATA'!$F227&amp;";",ROW($1:$99),1),";")),"",ROW($1:$99)),COLUMN(G226)+1)-SMALL(IF(ISERROR(SEARCH(MID(";"&amp;'CASE DATA'!$F227&amp;";",ROW($1:$99),1),";")),"",ROW($1:$99)),COLUMN(G226))-1)</f>
        <v/>
      </c>
      <c r="AC227" s="29" t="str">
        <f t="array" ref="AC227">MID(";"&amp;'CASE DATA'!$F227&amp;";",SMALL(IF(ISERROR(SEARCH(MID(";"&amp;'CASE DATA'!$F227&amp;";",ROW($1:$99),1),";")),"",ROW($1:$99)+1),COLUMN(H227)),SMALL(IF(ISERROR(SEARCH(MID(";"&amp;'CASE DATA'!$F227&amp;";",ROW($1:$99),1),";")),"",ROW($1:$99)),COLUMN(H226)+1)-SMALL(IF(ISERROR(SEARCH(MID(";"&amp;'CASE DATA'!$F227&amp;";",ROW($1:$99),1),";")),"",ROW($1:$99)),COLUMN(H226))-1)</f>
        <v/>
      </c>
      <c r="AD227" s="29" t="str">
        <f t="array" ref="AD227">MID(";"&amp;'CASE DATA'!$F227&amp;";",SMALL(IF(ISERROR(SEARCH(MID(";"&amp;'CASE DATA'!$F227&amp;";",ROW($1:$99),1),";")),"",ROW($1:$99)+1),COLUMN(I227)),SMALL(IF(ISERROR(SEARCH(MID(";"&amp;'CASE DATA'!$F227&amp;";",ROW($1:$99),1),";")),"",ROW($1:$99)),COLUMN(I226)+1)-SMALL(IF(ISERROR(SEARCH(MID(";"&amp;'CASE DATA'!$F227&amp;";",ROW($1:$99),1),";")),"",ROW($1:$99)),COLUMN(I226))-1)</f>
        <v/>
      </c>
      <c r="AE227" s="29" t="str">
        <f t="array" ref="AE227">MID(";"&amp;'CASE DATA'!$F227&amp;";",SMALL(IF(ISERROR(SEARCH(MID(";"&amp;'CASE DATA'!$F227&amp;";",ROW($1:$99),1),";")),"",ROW($1:$99)+1),COLUMN(J227)),SMALL(IF(ISERROR(SEARCH(MID(";"&amp;'CASE DATA'!$F227&amp;";",ROW($1:$99),1),";")),"",ROW($1:$99)),COLUMN(J226)+1)-SMALL(IF(ISERROR(SEARCH(MID(";"&amp;'CASE DATA'!$F227&amp;";",ROW($1:$99),1),";")),"",ROW($1:$99)),COLUMN(J226))-1)</f>
        <v/>
      </c>
      <c r="AF227" s="29" t="str">
        <f t="array" ref="AF227">MID(";"&amp;'CASE DATA'!$F227&amp;";",SMALL(IF(ISERROR(SEARCH(MID(";"&amp;'CASE DATA'!$F227&amp;";",ROW($1:$99),1),";")),"",ROW($1:$99)+1),COLUMN(K227)),SMALL(IF(ISERROR(SEARCH(MID(";"&amp;'CASE DATA'!$F227&amp;";",ROW($1:$99),1),";")),"",ROW($1:$99)),COLUMN(K226)+1)-SMALL(IF(ISERROR(SEARCH(MID(";"&amp;'CASE DATA'!$F227&amp;";",ROW($1:$99),1),";")),"",ROW($1:$99)),COLUMN(K226))-1)</f>
        <v/>
      </c>
      <c r="AG227" s="29" t="str">
        <f t="array" ref="AG227">MID(";"&amp;'CASE DATA'!$F227&amp;";",SMALL(IF(ISERROR(SEARCH(MID(";"&amp;'CASE DATA'!$F227&amp;";",ROW($1:$99),1),";")),"",ROW($1:$99)+1),COLUMN(L227)),SMALL(IF(ISERROR(SEARCH(MID(";"&amp;'CASE DATA'!$F227&amp;";",ROW($1:$99),1),";")),"",ROW($1:$99)),COLUMN(L226)+1)-SMALL(IF(ISERROR(SEARCH(MID(";"&amp;'CASE DATA'!$F227&amp;";",ROW($1:$99),1),";")),"",ROW($1:$99)),COLUMN(L226))-1)</f>
        <v/>
      </c>
      <c r="AH227" s="29"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24"/>
      <c r="D228" s="24"/>
      <c r="J228" s="31"/>
      <c r="K228" s="31"/>
      <c r="L228" s="31"/>
      <c r="M228" s="31"/>
      <c r="N228" s="31"/>
      <c r="O228" s="31"/>
      <c r="P228" s="31"/>
      <c r="Q228" s="31"/>
      <c r="R228" s="31"/>
      <c r="S228" s="31"/>
      <c r="T228" s="28">
        <f t="shared" si="4"/>
        <v>0</v>
      </c>
      <c r="U228" s="28"/>
      <c r="W228" s="29" t="str">
        <f t="array" ref="W228">MID(";"&amp;'CASE DATA'!$F228&amp;";",SMALL(IF(ISERROR(SEARCH(MID(";"&amp;'CASE DATA'!$F228&amp;";",ROW($1:$99),1),";")),"",ROW($1:$99)+1),COLUMN(A228)),SMALL(IF(ISERROR(SEARCH(MID(";"&amp;'CASE DATA'!$F228&amp;";",ROW($1:$99),1),";")),"",ROW($1:$99)),COLUMN(A227)+1)-SMALL(IF(ISERROR(SEARCH(MID(";"&amp;'CASE DATA'!$F228&amp;";",ROW($1:$99),1),";")),"",ROW($1:$99)),COLUMN(A227))-1)</f>
        <v/>
      </c>
      <c r="X228" s="29" t="str">
        <f t="array" ref="X228">MID(";"&amp;'CASE DATA'!$F228&amp;";",SMALL(IF(ISERROR(SEARCH(MID(";"&amp;'CASE DATA'!$F228&amp;";",ROW($1:$99),1),";")),"",ROW($1:$99)+1),COLUMN(B228)),SMALL(IF(ISERROR(SEARCH(MID(";"&amp;'CASE DATA'!$F228&amp;";",ROW($1:$99),1),";")),"",ROW($1:$99)),COLUMN(B227)+1)-SMALL(IF(ISERROR(SEARCH(MID(";"&amp;'CASE DATA'!$F228&amp;";",ROW($1:$99),1),";")),"",ROW($1:$99)),COLUMN(B227))-1)</f>
        <v/>
      </c>
      <c r="Y228" s="29" t="str">
        <f t="array" ref="Y228">MID(";"&amp;'CASE DATA'!$F228&amp;";",SMALL(IF(ISERROR(SEARCH(MID(";"&amp;'CASE DATA'!$F228&amp;";",ROW($1:$99),1),";")),"",ROW($1:$99)+1),COLUMN(D228)),SMALL(IF(ISERROR(SEARCH(MID(";"&amp;'CASE DATA'!$F228&amp;";",ROW($1:$99),1),";")),"",ROW($1:$99)),COLUMN(D227)+1)-SMALL(IF(ISERROR(SEARCH(MID(";"&amp;'CASE DATA'!$F228&amp;";",ROW($1:$99),1),";")),"",ROW($1:$99)),COLUMN(D227))-1)</f>
        <v/>
      </c>
      <c r="Z228" s="29" t="str">
        <f t="array" ref="Z228">MID(";"&amp;'CASE DATA'!$F228&amp;";",SMALL(IF(ISERROR(SEARCH(MID(";"&amp;'CASE DATA'!$F228&amp;";",ROW($1:$99),1),";")),"",ROW($1:$99)+1),COLUMN(E228)),SMALL(IF(ISERROR(SEARCH(MID(";"&amp;'CASE DATA'!$F228&amp;";",ROW($1:$99),1),";")),"",ROW($1:$99)),COLUMN(E227)+1)-SMALL(IF(ISERROR(SEARCH(MID(";"&amp;'CASE DATA'!$F228&amp;";",ROW($1:$99),1),";")),"",ROW($1:$99)),COLUMN(E227))-1)</f>
        <v/>
      </c>
      <c r="AA228" s="29" t="str">
        <f t="array" ref="AA228">MID(";"&amp;'CASE DATA'!$F228&amp;";",SMALL(IF(ISERROR(SEARCH(MID(";"&amp;'CASE DATA'!$F228&amp;";",ROW($1:$99),1),";")),"",ROW($1:$99)+1),COLUMN(F228)),SMALL(IF(ISERROR(SEARCH(MID(";"&amp;'CASE DATA'!$F228&amp;";",ROW($1:$99),1),";")),"",ROW($1:$99)),COLUMN(F227)+1)-SMALL(IF(ISERROR(SEARCH(MID(";"&amp;'CASE DATA'!$F228&amp;";",ROW($1:$99),1),";")),"",ROW($1:$99)),COLUMN(F227))-1)</f>
        <v/>
      </c>
      <c r="AB228" s="29" t="str">
        <f t="array" ref="AB228">MID(";"&amp;'CASE DATA'!$F228&amp;";",SMALL(IF(ISERROR(SEARCH(MID(";"&amp;'CASE DATA'!$F228&amp;";",ROW($1:$99),1),";")),"",ROW($1:$99)+1),COLUMN(G228)),SMALL(IF(ISERROR(SEARCH(MID(";"&amp;'CASE DATA'!$F228&amp;";",ROW($1:$99),1),";")),"",ROW($1:$99)),COLUMN(G227)+1)-SMALL(IF(ISERROR(SEARCH(MID(";"&amp;'CASE DATA'!$F228&amp;";",ROW($1:$99),1),";")),"",ROW($1:$99)),COLUMN(G227))-1)</f>
        <v/>
      </c>
      <c r="AC228" s="29" t="str">
        <f t="array" ref="AC228">MID(";"&amp;'CASE DATA'!$F228&amp;";",SMALL(IF(ISERROR(SEARCH(MID(";"&amp;'CASE DATA'!$F228&amp;";",ROW($1:$99),1),";")),"",ROW($1:$99)+1),COLUMN(H228)),SMALL(IF(ISERROR(SEARCH(MID(";"&amp;'CASE DATA'!$F228&amp;";",ROW($1:$99),1),";")),"",ROW($1:$99)),COLUMN(H227)+1)-SMALL(IF(ISERROR(SEARCH(MID(";"&amp;'CASE DATA'!$F228&amp;";",ROW($1:$99),1),";")),"",ROW($1:$99)),COLUMN(H227))-1)</f>
        <v/>
      </c>
      <c r="AD228" s="29" t="str">
        <f t="array" ref="AD228">MID(";"&amp;'CASE DATA'!$F228&amp;";",SMALL(IF(ISERROR(SEARCH(MID(";"&amp;'CASE DATA'!$F228&amp;";",ROW($1:$99),1),";")),"",ROW($1:$99)+1),COLUMN(I228)),SMALL(IF(ISERROR(SEARCH(MID(";"&amp;'CASE DATA'!$F228&amp;";",ROW($1:$99),1),";")),"",ROW($1:$99)),COLUMN(I227)+1)-SMALL(IF(ISERROR(SEARCH(MID(";"&amp;'CASE DATA'!$F228&amp;";",ROW($1:$99),1),";")),"",ROW($1:$99)),COLUMN(I227))-1)</f>
        <v/>
      </c>
      <c r="AE228" s="29" t="str">
        <f t="array" ref="AE228">MID(";"&amp;'CASE DATA'!$F228&amp;";",SMALL(IF(ISERROR(SEARCH(MID(";"&amp;'CASE DATA'!$F228&amp;";",ROW($1:$99),1),";")),"",ROW($1:$99)+1),COLUMN(J228)),SMALL(IF(ISERROR(SEARCH(MID(";"&amp;'CASE DATA'!$F228&amp;";",ROW($1:$99),1),";")),"",ROW($1:$99)),COLUMN(J227)+1)-SMALL(IF(ISERROR(SEARCH(MID(";"&amp;'CASE DATA'!$F228&amp;";",ROW($1:$99),1),";")),"",ROW($1:$99)),COLUMN(J227))-1)</f>
        <v/>
      </c>
      <c r="AF228" s="29" t="str">
        <f t="array" ref="AF228">MID(";"&amp;'CASE DATA'!$F228&amp;";",SMALL(IF(ISERROR(SEARCH(MID(";"&amp;'CASE DATA'!$F228&amp;";",ROW($1:$99),1),";")),"",ROW($1:$99)+1),COLUMN(K228)),SMALL(IF(ISERROR(SEARCH(MID(";"&amp;'CASE DATA'!$F228&amp;";",ROW($1:$99),1),";")),"",ROW($1:$99)),COLUMN(K227)+1)-SMALL(IF(ISERROR(SEARCH(MID(";"&amp;'CASE DATA'!$F228&amp;";",ROW($1:$99),1),";")),"",ROW($1:$99)),COLUMN(K227))-1)</f>
        <v/>
      </c>
      <c r="AG228" s="29" t="str">
        <f t="array" ref="AG228">MID(";"&amp;'CASE DATA'!$F228&amp;";",SMALL(IF(ISERROR(SEARCH(MID(";"&amp;'CASE DATA'!$F228&amp;";",ROW($1:$99),1),";")),"",ROW($1:$99)+1),COLUMN(L228)),SMALL(IF(ISERROR(SEARCH(MID(";"&amp;'CASE DATA'!$F228&amp;";",ROW($1:$99),1),";")),"",ROW($1:$99)),COLUMN(L227)+1)-SMALL(IF(ISERROR(SEARCH(MID(";"&amp;'CASE DATA'!$F228&amp;";",ROW($1:$99),1),";")),"",ROW($1:$99)),COLUMN(L227))-1)</f>
        <v/>
      </c>
      <c r="AH228" s="29"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24"/>
      <c r="D229" s="24"/>
      <c r="J229" s="31"/>
      <c r="K229" s="31"/>
      <c r="L229" s="31"/>
      <c r="M229" s="31"/>
      <c r="N229" s="31"/>
      <c r="O229" s="31"/>
      <c r="P229" s="31"/>
      <c r="Q229" s="31"/>
      <c r="R229" s="31"/>
      <c r="S229" s="31"/>
      <c r="T229" s="28">
        <f t="shared" si="4"/>
        <v>0</v>
      </c>
      <c r="U229" s="28"/>
      <c r="W229" s="29" t="str">
        <f t="array" ref="W229">MID(";"&amp;'CASE DATA'!$F229&amp;";",SMALL(IF(ISERROR(SEARCH(MID(";"&amp;'CASE DATA'!$F229&amp;";",ROW($1:$99),1),";")),"",ROW($1:$99)+1),COLUMN(A229)),SMALL(IF(ISERROR(SEARCH(MID(";"&amp;'CASE DATA'!$F229&amp;";",ROW($1:$99),1),";")),"",ROW($1:$99)),COLUMN(A228)+1)-SMALL(IF(ISERROR(SEARCH(MID(";"&amp;'CASE DATA'!$F229&amp;";",ROW($1:$99),1),";")),"",ROW($1:$99)),COLUMN(A228))-1)</f>
        <v/>
      </c>
      <c r="X229" s="29" t="str">
        <f t="array" ref="X229">MID(";"&amp;'CASE DATA'!$F229&amp;";",SMALL(IF(ISERROR(SEARCH(MID(";"&amp;'CASE DATA'!$F229&amp;";",ROW($1:$99),1),";")),"",ROW($1:$99)+1),COLUMN(B229)),SMALL(IF(ISERROR(SEARCH(MID(";"&amp;'CASE DATA'!$F229&amp;";",ROW($1:$99),1),";")),"",ROW($1:$99)),COLUMN(B228)+1)-SMALL(IF(ISERROR(SEARCH(MID(";"&amp;'CASE DATA'!$F229&amp;";",ROW($1:$99),1),";")),"",ROW($1:$99)),COLUMN(B228))-1)</f>
        <v/>
      </c>
      <c r="Y229" s="29" t="str">
        <f t="array" ref="Y229">MID(";"&amp;'CASE DATA'!$F229&amp;";",SMALL(IF(ISERROR(SEARCH(MID(";"&amp;'CASE DATA'!$F229&amp;";",ROW($1:$99),1),";")),"",ROW($1:$99)+1),COLUMN(D229)),SMALL(IF(ISERROR(SEARCH(MID(";"&amp;'CASE DATA'!$F229&amp;";",ROW($1:$99),1),";")),"",ROW($1:$99)),COLUMN(D228)+1)-SMALL(IF(ISERROR(SEARCH(MID(";"&amp;'CASE DATA'!$F229&amp;";",ROW($1:$99),1),";")),"",ROW($1:$99)),COLUMN(D228))-1)</f>
        <v/>
      </c>
      <c r="Z229" s="29" t="str">
        <f t="array" ref="Z229">MID(";"&amp;'CASE DATA'!$F229&amp;";",SMALL(IF(ISERROR(SEARCH(MID(";"&amp;'CASE DATA'!$F229&amp;";",ROW($1:$99),1),";")),"",ROW($1:$99)+1),COLUMN(E229)),SMALL(IF(ISERROR(SEARCH(MID(";"&amp;'CASE DATA'!$F229&amp;";",ROW($1:$99),1),";")),"",ROW($1:$99)),COLUMN(E228)+1)-SMALL(IF(ISERROR(SEARCH(MID(";"&amp;'CASE DATA'!$F229&amp;";",ROW($1:$99),1),";")),"",ROW($1:$99)),COLUMN(E228))-1)</f>
        <v/>
      </c>
      <c r="AA229" s="29" t="str">
        <f t="array" ref="AA229">MID(";"&amp;'CASE DATA'!$F229&amp;";",SMALL(IF(ISERROR(SEARCH(MID(";"&amp;'CASE DATA'!$F229&amp;";",ROW($1:$99),1),";")),"",ROW($1:$99)+1),COLUMN(F229)),SMALL(IF(ISERROR(SEARCH(MID(";"&amp;'CASE DATA'!$F229&amp;";",ROW($1:$99),1),";")),"",ROW($1:$99)),COLUMN(F228)+1)-SMALL(IF(ISERROR(SEARCH(MID(";"&amp;'CASE DATA'!$F229&amp;";",ROW($1:$99),1),";")),"",ROW($1:$99)),COLUMN(F228))-1)</f>
        <v/>
      </c>
      <c r="AB229" s="29" t="str">
        <f t="array" ref="AB229">MID(";"&amp;'CASE DATA'!$F229&amp;";",SMALL(IF(ISERROR(SEARCH(MID(";"&amp;'CASE DATA'!$F229&amp;";",ROW($1:$99),1),";")),"",ROW($1:$99)+1),COLUMN(G229)),SMALL(IF(ISERROR(SEARCH(MID(";"&amp;'CASE DATA'!$F229&amp;";",ROW($1:$99),1),";")),"",ROW($1:$99)),COLUMN(G228)+1)-SMALL(IF(ISERROR(SEARCH(MID(";"&amp;'CASE DATA'!$F229&amp;";",ROW($1:$99),1),";")),"",ROW($1:$99)),COLUMN(G228))-1)</f>
        <v/>
      </c>
      <c r="AC229" s="29" t="str">
        <f t="array" ref="AC229">MID(";"&amp;'CASE DATA'!$F229&amp;";",SMALL(IF(ISERROR(SEARCH(MID(";"&amp;'CASE DATA'!$F229&amp;";",ROW($1:$99),1),";")),"",ROW($1:$99)+1),COLUMN(H229)),SMALL(IF(ISERROR(SEARCH(MID(";"&amp;'CASE DATA'!$F229&amp;";",ROW($1:$99),1),";")),"",ROW($1:$99)),COLUMN(H228)+1)-SMALL(IF(ISERROR(SEARCH(MID(";"&amp;'CASE DATA'!$F229&amp;";",ROW($1:$99),1),";")),"",ROW($1:$99)),COLUMN(H228))-1)</f>
        <v/>
      </c>
      <c r="AD229" s="29" t="str">
        <f t="array" ref="AD229">MID(";"&amp;'CASE DATA'!$F229&amp;";",SMALL(IF(ISERROR(SEARCH(MID(";"&amp;'CASE DATA'!$F229&amp;";",ROW($1:$99),1),";")),"",ROW($1:$99)+1),COLUMN(I229)),SMALL(IF(ISERROR(SEARCH(MID(";"&amp;'CASE DATA'!$F229&amp;";",ROW($1:$99),1),";")),"",ROW($1:$99)),COLUMN(I228)+1)-SMALL(IF(ISERROR(SEARCH(MID(";"&amp;'CASE DATA'!$F229&amp;";",ROW($1:$99),1),";")),"",ROW($1:$99)),COLUMN(I228))-1)</f>
        <v/>
      </c>
      <c r="AE229" s="29" t="str">
        <f t="array" ref="AE229">MID(";"&amp;'CASE DATA'!$F229&amp;";",SMALL(IF(ISERROR(SEARCH(MID(";"&amp;'CASE DATA'!$F229&amp;";",ROW($1:$99),1),";")),"",ROW($1:$99)+1),COLUMN(J229)),SMALL(IF(ISERROR(SEARCH(MID(";"&amp;'CASE DATA'!$F229&amp;";",ROW($1:$99),1),";")),"",ROW($1:$99)),COLUMN(J228)+1)-SMALL(IF(ISERROR(SEARCH(MID(";"&amp;'CASE DATA'!$F229&amp;";",ROW($1:$99),1),";")),"",ROW($1:$99)),COLUMN(J228))-1)</f>
        <v/>
      </c>
      <c r="AF229" s="29" t="str">
        <f t="array" ref="AF229">MID(";"&amp;'CASE DATA'!$F229&amp;";",SMALL(IF(ISERROR(SEARCH(MID(";"&amp;'CASE DATA'!$F229&amp;";",ROW($1:$99),1),";")),"",ROW($1:$99)+1),COLUMN(K229)),SMALL(IF(ISERROR(SEARCH(MID(";"&amp;'CASE DATA'!$F229&amp;";",ROW($1:$99),1),";")),"",ROW($1:$99)),COLUMN(K228)+1)-SMALL(IF(ISERROR(SEARCH(MID(";"&amp;'CASE DATA'!$F229&amp;";",ROW($1:$99),1),";")),"",ROW($1:$99)),COLUMN(K228))-1)</f>
        <v/>
      </c>
      <c r="AG229" s="29" t="str">
        <f t="array" ref="AG229">MID(";"&amp;'CASE DATA'!$F229&amp;";",SMALL(IF(ISERROR(SEARCH(MID(";"&amp;'CASE DATA'!$F229&amp;";",ROW($1:$99),1),";")),"",ROW($1:$99)+1),COLUMN(L229)),SMALL(IF(ISERROR(SEARCH(MID(";"&amp;'CASE DATA'!$F229&amp;";",ROW($1:$99),1),";")),"",ROW($1:$99)),COLUMN(L228)+1)-SMALL(IF(ISERROR(SEARCH(MID(";"&amp;'CASE DATA'!$F229&amp;";",ROW($1:$99),1),";")),"",ROW($1:$99)),COLUMN(L228))-1)</f>
        <v/>
      </c>
      <c r="AH229" s="29"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24"/>
      <c r="D230" s="24"/>
      <c r="J230" s="31"/>
      <c r="K230" s="31"/>
      <c r="L230" s="31"/>
      <c r="M230" s="31"/>
      <c r="N230" s="31"/>
      <c r="O230" s="31"/>
      <c r="P230" s="31"/>
      <c r="Q230" s="31"/>
      <c r="R230" s="31"/>
      <c r="S230" s="31"/>
      <c r="T230" s="28">
        <f t="shared" si="4"/>
        <v>0</v>
      </c>
      <c r="U230" s="28"/>
      <c r="W230" s="29" t="str">
        <f t="array" ref="W230">MID(";"&amp;'CASE DATA'!$F230&amp;";",SMALL(IF(ISERROR(SEARCH(MID(";"&amp;'CASE DATA'!$F230&amp;";",ROW($1:$99),1),";")),"",ROW($1:$99)+1),COLUMN(A230)),SMALL(IF(ISERROR(SEARCH(MID(";"&amp;'CASE DATA'!$F230&amp;";",ROW($1:$99),1),";")),"",ROW($1:$99)),COLUMN(A229)+1)-SMALL(IF(ISERROR(SEARCH(MID(";"&amp;'CASE DATA'!$F230&amp;";",ROW($1:$99),1),";")),"",ROW($1:$99)),COLUMN(A229))-1)</f>
        <v/>
      </c>
      <c r="X230" s="29" t="str">
        <f t="array" ref="X230">MID(";"&amp;'CASE DATA'!$F230&amp;";",SMALL(IF(ISERROR(SEARCH(MID(";"&amp;'CASE DATA'!$F230&amp;";",ROW($1:$99),1),";")),"",ROW($1:$99)+1),COLUMN(B230)),SMALL(IF(ISERROR(SEARCH(MID(";"&amp;'CASE DATA'!$F230&amp;";",ROW($1:$99),1),";")),"",ROW($1:$99)),COLUMN(B229)+1)-SMALL(IF(ISERROR(SEARCH(MID(";"&amp;'CASE DATA'!$F230&amp;";",ROW($1:$99),1),";")),"",ROW($1:$99)),COLUMN(B229))-1)</f>
        <v/>
      </c>
      <c r="Y230" s="29" t="str">
        <f t="array" ref="Y230">MID(";"&amp;'CASE DATA'!$F230&amp;";",SMALL(IF(ISERROR(SEARCH(MID(";"&amp;'CASE DATA'!$F230&amp;";",ROW($1:$99),1),";")),"",ROW($1:$99)+1),COLUMN(D230)),SMALL(IF(ISERROR(SEARCH(MID(";"&amp;'CASE DATA'!$F230&amp;";",ROW($1:$99),1),";")),"",ROW($1:$99)),COLUMN(D229)+1)-SMALL(IF(ISERROR(SEARCH(MID(";"&amp;'CASE DATA'!$F230&amp;";",ROW($1:$99),1),";")),"",ROW($1:$99)),COLUMN(D229))-1)</f>
        <v/>
      </c>
      <c r="Z230" s="29" t="str">
        <f t="array" ref="Z230">MID(";"&amp;'CASE DATA'!$F230&amp;";",SMALL(IF(ISERROR(SEARCH(MID(";"&amp;'CASE DATA'!$F230&amp;";",ROW($1:$99),1),";")),"",ROW($1:$99)+1),COLUMN(E230)),SMALL(IF(ISERROR(SEARCH(MID(";"&amp;'CASE DATA'!$F230&amp;";",ROW($1:$99),1),";")),"",ROW($1:$99)),COLUMN(E229)+1)-SMALL(IF(ISERROR(SEARCH(MID(";"&amp;'CASE DATA'!$F230&amp;";",ROW($1:$99),1),";")),"",ROW($1:$99)),COLUMN(E229))-1)</f>
        <v/>
      </c>
      <c r="AA230" s="29" t="str">
        <f t="array" ref="AA230">MID(";"&amp;'CASE DATA'!$F230&amp;";",SMALL(IF(ISERROR(SEARCH(MID(";"&amp;'CASE DATA'!$F230&amp;";",ROW($1:$99),1),";")),"",ROW($1:$99)+1),COLUMN(F230)),SMALL(IF(ISERROR(SEARCH(MID(";"&amp;'CASE DATA'!$F230&amp;";",ROW($1:$99),1),";")),"",ROW($1:$99)),COLUMN(F229)+1)-SMALL(IF(ISERROR(SEARCH(MID(";"&amp;'CASE DATA'!$F230&amp;";",ROW($1:$99),1),";")),"",ROW($1:$99)),COLUMN(F229))-1)</f>
        <v/>
      </c>
      <c r="AB230" s="29" t="str">
        <f t="array" ref="AB230">MID(";"&amp;'CASE DATA'!$F230&amp;";",SMALL(IF(ISERROR(SEARCH(MID(";"&amp;'CASE DATA'!$F230&amp;";",ROW($1:$99),1),";")),"",ROW($1:$99)+1),COLUMN(G230)),SMALL(IF(ISERROR(SEARCH(MID(";"&amp;'CASE DATA'!$F230&amp;";",ROW($1:$99),1),";")),"",ROW($1:$99)),COLUMN(G229)+1)-SMALL(IF(ISERROR(SEARCH(MID(";"&amp;'CASE DATA'!$F230&amp;";",ROW($1:$99),1),";")),"",ROW($1:$99)),COLUMN(G229))-1)</f>
        <v/>
      </c>
      <c r="AC230" s="29" t="str">
        <f t="array" ref="AC230">MID(";"&amp;'CASE DATA'!$F230&amp;";",SMALL(IF(ISERROR(SEARCH(MID(";"&amp;'CASE DATA'!$F230&amp;";",ROW($1:$99),1),";")),"",ROW($1:$99)+1),COLUMN(H230)),SMALL(IF(ISERROR(SEARCH(MID(";"&amp;'CASE DATA'!$F230&amp;";",ROW($1:$99),1),";")),"",ROW($1:$99)),COLUMN(H229)+1)-SMALL(IF(ISERROR(SEARCH(MID(";"&amp;'CASE DATA'!$F230&amp;";",ROW($1:$99),1),";")),"",ROW($1:$99)),COLUMN(H229))-1)</f>
        <v/>
      </c>
      <c r="AD230" s="29" t="str">
        <f t="array" ref="AD230">MID(";"&amp;'CASE DATA'!$F230&amp;";",SMALL(IF(ISERROR(SEARCH(MID(";"&amp;'CASE DATA'!$F230&amp;";",ROW($1:$99),1),";")),"",ROW($1:$99)+1),COLUMN(I230)),SMALL(IF(ISERROR(SEARCH(MID(";"&amp;'CASE DATA'!$F230&amp;";",ROW($1:$99),1),";")),"",ROW($1:$99)),COLUMN(I229)+1)-SMALL(IF(ISERROR(SEARCH(MID(";"&amp;'CASE DATA'!$F230&amp;";",ROW($1:$99),1),";")),"",ROW($1:$99)),COLUMN(I229))-1)</f>
        <v/>
      </c>
      <c r="AE230" s="29" t="str">
        <f t="array" ref="AE230">MID(";"&amp;'CASE DATA'!$F230&amp;";",SMALL(IF(ISERROR(SEARCH(MID(";"&amp;'CASE DATA'!$F230&amp;";",ROW($1:$99),1),";")),"",ROW($1:$99)+1),COLUMN(J230)),SMALL(IF(ISERROR(SEARCH(MID(";"&amp;'CASE DATA'!$F230&amp;";",ROW($1:$99),1),";")),"",ROW($1:$99)),COLUMN(J229)+1)-SMALL(IF(ISERROR(SEARCH(MID(";"&amp;'CASE DATA'!$F230&amp;";",ROW($1:$99),1),";")),"",ROW($1:$99)),COLUMN(J229))-1)</f>
        <v/>
      </c>
      <c r="AF230" s="29" t="str">
        <f t="array" ref="AF230">MID(";"&amp;'CASE DATA'!$F230&amp;";",SMALL(IF(ISERROR(SEARCH(MID(";"&amp;'CASE DATA'!$F230&amp;";",ROW($1:$99),1),";")),"",ROW($1:$99)+1),COLUMN(K230)),SMALL(IF(ISERROR(SEARCH(MID(";"&amp;'CASE DATA'!$F230&amp;";",ROW($1:$99),1),";")),"",ROW($1:$99)),COLUMN(K229)+1)-SMALL(IF(ISERROR(SEARCH(MID(";"&amp;'CASE DATA'!$F230&amp;";",ROW($1:$99),1),";")),"",ROW($1:$99)),COLUMN(K229))-1)</f>
        <v/>
      </c>
      <c r="AG230" s="29" t="str">
        <f t="array" ref="AG230">MID(";"&amp;'CASE DATA'!$F230&amp;";",SMALL(IF(ISERROR(SEARCH(MID(";"&amp;'CASE DATA'!$F230&amp;";",ROW($1:$99),1),";")),"",ROW($1:$99)+1),COLUMN(L230)),SMALL(IF(ISERROR(SEARCH(MID(";"&amp;'CASE DATA'!$F230&amp;";",ROW($1:$99),1),";")),"",ROW($1:$99)),COLUMN(L229)+1)-SMALL(IF(ISERROR(SEARCH(MID(";"&amp;'CASE DATA'!$F230&amp;";",ROW($1:$99),1),";")),"",ROW($1:$99)),COLUMN(L229))-1)</f>
        <v/>
      </c>
      <c r="AH230" s="29"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24"/>
      <c r="D231" s="24"/>
      <c r="J231" s="31"/>
      <c r="K231" s="31"/>
      <c r="L231" s="31"/>
      <c r="M231" s="31"/>
      <c r="N231" s="31"/>
      <c r="O231" s="31"/>
      <c r="P231" s="31"/>
      <c r="Q231" s="31"/>
      <c r="R231" s="31"/>
      <c r="S231" s="31"/>
      <c r="T231" s="28">
        <f t="shared" si="4"/>
        <v>0</v>
      </c>
      <c r="U231" s="28"/>
      <c r="W231" s="29" t="str">
        <f t="array" ref="W231">MID(";"&amp;'CASE DATA'!$F231&amp;";",SMALL(IF(ISERROR(SEARCH(MID(";"&amp;'CASE DATA'!$F231&amp;";",ROW($1:$99),1),";")),"",ROW($1:$99)+1),COLUMN(A231)),SMALL(IF(ISERROR(SEARCH(MID(";"&amp;'CASE DATA'!$F231&amp;";",ROW($1:$99),1),";")),"",ROW($1:$99)),COLUMN(A230)+1)-SMALL(IF(ISERROR(SEARCH(MID(";"&amp;'CASE DATA'!$F231&amp;";",ROW($1:$99),1),";")),"",ROW($1:$99)),COLUMN(A230))-1)</f>
        <v/>
      </c>
      <c r="X231" s="29" t="str">
        <f t="array" ref="X231">MID(";"&amp;'CASE DATA'!$F231&amp;";",SMALL(IF(ISERROR(SEARCH(MID(";"&amp;'CASE DATA'!$F231&amp;";",ROW($1:$99),1),";")),"",ROW($1:$99)+1),COLUMN(B231)),SMALL(IF(ISERROR(SEARCH(MID(";"&amp;'CASE DATA'!$F231&amp;";",ROW($1:$99),1),";")),"",ROW($1:$99)),COLUMN(B230)+1)-SMALL(IF(ISERROR(SEARCH(MID(";"&amp;'CASE DATA'!$F231&amp;";",ROW($1:$99),1),";")),"",ROW($1:$99)),COLUMN(B230))-1)</f>
        <v/>
      </c>
      <c r="Y231" s="29" t="str">
        <f t="array" ref="Y231">MID(";"&amp;'CASE DATA'!$F231&amp;";",SMALL(IF(ISERROR(SEARCH(MID(";"&amp;'CASE DATA'!$F231&amp;";",ROW($1:$99),1),";")),"",ROW($1:$99)+1),COLUMN(D231)),SMALL(IF(ISERROR(SEARCH(MID(";"&amp;'CASE DATA'!$F231&amp;";",ROW($1:$99),1),";")),"",ROW($1:$99)),COLUMN(D230)+1)-SMALL(IF(ISERROR(SEARCH(MID(";"&amp;'CASE DATA'!$F231&amp;";",ROW($1:$99),1),";")),"",ROW($1:$99)),COLUMN(D230))-1)</f>
        <v/>
      </c>
      <c r="Z231" s="29" t="str">
        <f t="array" ref="Z231">MID(";"&amp;'CASE DATA'!$F231&amp;";",SMALL(IF(ISERROR(SEARCH(MID(";"&amp;'CASE DATA'!$F231&amp;";",ROW($1:$99),1),";")),"",ROW($1:$99)+1),COLUMN(E231)),SMALL(IF(ISERROR(SEARCH(MID(";"&amp;'CASE DATA'!$F231&amp;";",ROW($1:$99),1),";")),"",ROW($1:$99)),COLUMN(E230)+1)-SMALL(IF(ISERROR(SEARCH(MID(";"&amp;'CASE DATA'!$F231&amp;";",ROW($1:$99),1),";")),"",ROW($1:$99)),COLUMN(E230))-1)</f>
        <v/>
      </c>
      <c r="AA231" s="29" t="str">
        <f t="array" ref="AA231">MID(";"&amp;'CASE DATA'!$F231&amp;";",SMALL(IF(ISERROR(SEARCH(MID(";"&amp;'CASE DATA'!$F231&amp;";",ROW($1:$99),1),";")),"",ROW($1:$99)+1),COLUMN(F231)),SMALL(IF(ISERROR(SEARCH(MID(";"&amp;'CASE DATA'!$F231&amp;";",ROW($1:$99),1),";")),"",ROW($1:$99)),COLUMN(F230)+1)-SMALL(IF(ISERROR(SEARCH(MID(";"&amp;'CASE DATA'!$F231&amp;";",ROW($1:$99),1),";")),"",ROW($1:$99)),COLUMN(F230))-1)</f>
        <v/>
      </c>
      <c r="AB231" s="29" t="str">
        <f t="array" ref="AB231">MID(";"&amp;'CASE DATA'!$F231&amp;";",SMALL(IF(ISERROR(SEARCH(MID(";"&amp;'CASE DATA'!$F231&amp;";",ROW($1:$99),1),";")),"",ROW($1:$99)+1),COLUMN(G231)),SMALL(IF(ISERROR(SEARCH(MID(";"&amp;'CASE DATA'!$F231&amp;";",ROW($1:$99),1),";")),"",ROW($1:$99)),COLUMN(G230)+1)-SMALL(IF(ISERROR(SEARCH(MID(";"&amp;'CASE DATA'!$F231&amp;";",ROW($1:$99),1),";")),"",ROW($1:$99)),COLUMN(G230))-1)</f>
        <v/>
      </c>
      <c r="AC231" s="29" t="str">
        <f t="array" ref="AC231">MID(";"&amp;'CASE DATA'!$F231&amp;";",SMALL(IF(ISERROR(SEARCH(MID(";"&amp;'CASE DATA'!$F231&amp;";",ROW($1:$99),1),";")),"",ROW($1:$99)+1),COLUMN(H231)),SMALL(IF(ISERROR(SEARCH(MID(";"&amp;'CASE DATA'!$F231&amp;";",ROW($1:$99),1),";")),"",ROW($1:$99)),COLUMN(H230)+1)-SMALL(IF(ISERROR(SEARCH(MID(";"&amp;'CASE DATA'!$F231&amp;";",ROW($1:$99),1),";")),"",ROW($1:$99)),COLUMN(H230))-1)</f>
        <v/>
      </c>
      <c r="AD231" s="29" t="str">
        <f t="array" ref="AD231">MID(";"&amp;'CASE DATA'!$F231&amp;";",SMALL(IF(ISERROR(SEARCH(MID(";"&amp;'CASE DATA'!$F231&amp;";",ROW($1:$99),1),";")),"",ROW($1:$99)+1),COLUMN(I231)),SMALL(IF(ISERROR(SEARCH(MID(";"&amp;'CASE DATA'!$F231&amp;";",ROW($1:$99),1),";")),"",ROW($1:$99)),COLUMN(I230)+1)-SMALL(IF(ISERROR(SEARCH(MID(";"&amp;'CASE DATA'!$F231&amp;";",ROW($1:$99),1),";")),"",ROW($1:$99)),COLUMN(I230))-1)</f>
        <v/>
      </c>
      <c r="AE231" s="29" t="str">
        <f t="array" ref="AE231">MID(";"&amp;'CASE DATA'!$F231&amp;";",SMALL(IF(ISERROR(SEARCH(MID(";"&amp;'CASE DATA'!$F231&amp;";",ROW($1:$99),1),";")),"",ROW($1:$99)+1),COLUMN(J231)),SMALL(IF(ISERROR(SEARCH(MID(";"&amp;'CASE DATA'!$F231&amp;";",ROW($1:$99),1),";")),"",ROW($1:$99)),COLUMN(J230)+1)-SMALL(IF(ISERROR(SEARCH(MID(";"&amp;'CASE DATA'!$F231&amp;";",ROW($1:$99),1),";")),"",ROW($1:$99)),COLUMN(J230))-1)</f>
        <v/>
      </c>
      <c r="AF231" s="29" t="str">
        <f t="array" ref="AF231">MID(";"&amp;'CASE DATA'!$F231&amp;";",SMALL(IF(ISERROR(SEARCH(MID(";"&amp;'CASE DATA'!$F231&amp;";",ROW($1:$99),1),";")),"",ROW($1:$99)+1),COLUMN(K231)),SMALL(IF(ISERROR(SEARCH(MID(";"&amp;'CASE DATA'!$F231&amp;";",ROW($1:$99),1),";")),"",ROW($1:$99)),COLUMN(K230)+1)-SMALL(IF(ISERROR(SEARCH(MID(";"&amp;'CASE DATA'!$F231&amp;";",ROW($1:$99),1),";")),"",ROW($1:$99)),COLUMN(K230))-1)</f>
        <v/>
      </c>
      <c r="AG231" s="29" t="str">
        <f t="array" ref="AG231">MID(";"&amp;'CASE DATA'!$F231&amp;";",SMALL(IF(ISERROR(SEARCH(MID(";"&amp;'CASE DATA'!$F231&amp;";",ROW($1:$99),1),";")),"",ROW($1:$99)+1),COLUMN(L231)),SMALL(IF(ISERROR(SEARCH(MID(";"&amp;'CASE DATA'!$F231&amp;";",ROW($1:$99),1),";")),"",ROW($1:$99)),COLUMN(L230)+1)-SMALL(IF(ISERROR(SEARCH(MID(";"&amp;'CASE DATA'!$F231&amp;";",ROW($1:$99),1),";")),"",ROW($1:$99)),COLUMN(L230))-1)</f>
        <v/>
      </c>
      <c r="AH231" s="29"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24"/>
      <c r="D232" s="24"/>
      <c r="J232" s="31"/>
      <c r="K232" s="31"/>
      <c r="L232" s="31"/>
      <c r="M232" s="31"/>
      <c r="N232" s="31"/>
      <c r="O232" s="31"/>
      <c r="P232" s="31"/>
      <c r="Q232" s="31"/>
      <c r="R232" s="31"/>
      <c r="S232" s="31"/>
      <c r="T232" s="28">
        <f t="shared" si="4"/>
        <v>0</v>
      </c>
      <c r="U232" s="28"/>
      <c r="W232" s="29" t="str">
        <f t="array" ref="W232">MID(";"&amp;'CASE DATA'!$F232&amp;";",SMALL(IF(ISERROR(SEARCH(MID(";"&amp;'CASE DATA'!$F232&amp;";",ROW($1:$99),1),";")),"",ROW($1:$99)+1),COLUMN(A232)),SMALL(IF(ISERROR(SEARCH(MID(";"&amp;'CASE DATA'!$F232&amp;";",ROW($1:$99),1),";")),"",ROW($1:$99)),COLUMN(A231)+1)-SMALL(IF(ISERROR(SEARCH(MID(";"&amp;'CASE DATA'!$F232&amp;";",ROW($1:$99),1),";")),"",ROW($1:$99)),COLUMN(A231))-1)</f>
        <v/>
      </c>
      <c r="X232" s="29" t="str">
        <f t="array" ref="X232">MID(";"&amp;'CASE DATA'!$F232&amp;";",SMALL(IF(ISERROR(SEARCH(MID(";"&amp;'CASE DATA'!$F232&amp;";",ROW($1:$99),1),";")),"",ROW($1:$99)+1),COLUMN(B232)),SMALL(IF(ISERROR(SEARCH(MID(";"&amp;'CASE DATA'!$F232&amp;";",ROW($1:$99),1),";")),"",ROW($1:$99)),COLUMN(B231)+1)-SMALL(IF(ISERROR(SEARCH(MID(";"&amp;'CASE DATA'!$F232&amp;";",ROW($1:$99),1),";")),"",ROW($1:$99)),COLUMN(B231))-1)</f>
        <v/>
      </c>
      <c r="Y232" s="29" t="str">
        <f t="array" ref="Y232">MID(";"&amp;'CASE DATA'!$F232&amp;";",SMALL(IF(ISERROR(SEARCH(MID(";"&amp;'CASE DATA'!$F232&amp;";",ROW($1:$99),1),";")),"",ROW($1:$99)+1),COLUMN(D232)),SMALL(IF(ISERROR(SEARCH(MID(";"&amp;'CASE DATA'!$F232&amp;";",ROW($1:$99),1),";")),"",ROW($1:$99)),COLUMN(D231)+1)-SMALL(IF(ISERROR(SEARCH(MID(";"&amp;'CASE DATA'!$F232&amp;";",ROW($1:$99),1),";")),"",ROW($1:$99)),COLUMN(D231))-1)</f>
        <v/>
      </c>
      <c r="Z232" s="29" t="str">
        <f t="array" ref="Z232">MID(";"&amp;'CASE DATA'!$F232&amp;";",SMALL(IF(ISERROR(SEARCH(MID(";"&amp;'CASE DATA'!$F232&amp;";",ROW($1:$99),1),";")),"",ROW($1:$99)+1),COLUMN(E232)),SMALL(IF(ISERROR(SEARCH(MID(";"&amp;'CASE DATA'!$F232&amp;";",ROW($1:$99),1),";")),"",ROW($1:$99)),COLUMN(E231)+1)-SMALL(IF(ISERROR(SEARCH(MID(";"&amp;'CASE DATA'!$F232&amp;";",ROW($1:$99),1),";")),"",ROW($1:$99)),COLUMN(E231))-1)</f>
        <v/>
      </c>
      <c r="AA232" s="29" t="str">
        <f t="array" ref="AA232">MID(";"&amp;'CASE DATA'!$F232&amp;";",SMALL(IF(ISERROR(SEARCH(MID(";"&amp;'CASE DATA'!$F232&amp;";",ROW($1:$99),1),";")),"",ROW($1:$99)+1),COLUMN(F232)),SMALL(IF(ISERROR(SEARCH(MID(";"&amp;'CASE DATA'!$F232&amp;";",ROW($1:$99),1),";")),"",ROW($1:$99)),COLUMN(F231)+1)-SMALL(IF(ISERROR(SEARCH(MID(";"&amp;'CASE DATA'!$F232&amp;";",ROW($1:$99),1),";")),"",ROW($1:$99)),COLUMN(F231))-1)</f>
        <v/>
      </c>
      <c r="AB232" s="29" t="str">
        <f t="array" ref="AB232">MID(";"&amp;'CASE DATA'!$F232&amp;";",SMALL(IF(ISERROR(SEARCH(MID(";"&amp;'CASE DATA'!$F232&amp;";",ROW($1:$99),1),";")),"",ROW($1:$99)+1),COLUMN(G232)),SMALL(IF(ISERROR(SEARCH(MID(";"&amp;'CASE DATA'!$F232&amp;";",ROW($1:$99),1),";")),"",ROW($1:$99)),COLUMN(G231)+1)-SMALL(IF(ISERROR(SEARCH(MID(";"&amp;'CASE DATA'!$F232&amp;";",ROW($1:$99),1),";")),"",ROW($1:$99)),COLUMN(G231))-1)</f>
        <v/>
      </c>
      <c r="AC232" s="29" t="str">
        <f t="array" ref="AC232">MID(";"&amp;'CASE DATA'!$F232&amp;";",SMALL(IF(ISERROR(SEARCH(MID(";"&amp;'CASE DATA'!$F232&amp;";",ROW($1:$99),1),";")),"",ROW($1:$99)+1),COLUMN(H232)),SMALL(IF(ISERROR(SEARCH(MID(";"&amp;'CASE DATA'!$F232&amp;";",ROW($1:$99),1),";")),"",ROW($1:$99)),COLUMN(H231)+1)-SMALL(IF(ISERROR(SEARCH(MID(";"&amp;'CASE DATA'!$F232&amp;";",ROW($1:$99),1),";")),"",ROW($1:$99)),COLUMN(H231))-1)</f>
        <v/>
      </c>
      <c r="AD232" s="29" t="str">
        <f t="array" ref="AD232">MID(";"&amp;'CASE DATA'!$F232&amp;";",SMALL(IF(ISERROR(SEARCH(MID(";"&amp;'CASE DATA'!$F232&amp;";",ROW($1:$99),1),";")),"",ROW($1:$99)+1),COLUMN(I232)),SMALL(IF(ISERROR(SEARCH(MID(";"&amp;'CASE DATA'!$F232&amp;";",ROW($1:$99),1),";")),"",ROW($1:$99)),COLUMN(I231)+1)-SMALL(IF(ISERROR(SEARCH(MID(";"&amp;'CASE DATA'!$F232&amp;";",ROW($1:$99),1),";")),"",ROW($1:$99)),COLUMN(I231))-1)</f>
        <v/>
      </c>
      <c r="AE232" s="29" t="str">
        <f t="array" ref="AE232">MID(";"&amp;'CASE DATA'!$F232&amp;";",SMALL(IF(ISERROR(SEARCH(MID(";"&amp;'CASE DATA'!$F232&amp;";",ROW($1:$99),1),";")),"",ROW($1:$99)+1),COLUMN(J232)),SMALL(IF(ISERROR(SEARCH(MID(";"&amp;'CASE DATA'!$F232&amp;";",ROW($1:$99),1),";")),"",ROW($1:$99)),COLUMN(J231)+1)-SMALL(IF(ISERROR(SEARCH(MID(";"&amp;'CASE DATA'!$F232&amp;";",ROW($1:$99),1),";")),"",ROW($1:$99)),COLUMN(J231))-1)</f>
        <v/>
      </c>
      <c r="AF232" s="29" t="str">
        <f t="array" ref="AF232">MID(";"&amp;'CASE DATA'!$F232&amp;";",SMALL(IF(ISERROR(SEARCH(MID(";"&amp;'CASE DATA'!$F232&amp;";",ROW($1:$99),1),";")),"",ROW($1:$99)+1),COLUMN(K232)),SMALL(IF(ISERROR(SEARCH(MID(";"&amp;'CASE DATA'!$F232&amp;";",ROW($1:$99),1),";")),"",ROW($1:$99)),COLUMN(K231)+1)-SMALL(IF(ISERROR(SEARCH(MID(";"&amp;'CASE DATA'!$F232&amp;";",ROW($1:$99),1),";")),"",ROW($1:$99)),COLUMN(K231))-1)</f>
        <v/>
      </c>
      <c r="AG232" s="29" t="str">
        <f t="array" ref="AG232">MID(";"&amp;'CASE DATA'!$F232&amp;";",SMALL(IF(ISERROR(SEARCH(MID(";"&amp;'CASE DATA'!$F232&amp;";",ROW($1:$99),1),";")),"",ROW($1:$99)+1),COLUMN(L232)),SMALL(IF(ISERROR(SEARCH(MID(";"&amp;'CASE DATA'!$F232&amp;";",ROW($1:$99),1),";")),"",ROW($1:$99)),COLUMN(L231)+1)-SMALL(IF(ISERROR(SEARCH(MID(";"&amp;'CASE DATA'!$F232&amp;";",ROW($1:$99),1),";")),"",ROW($1:$99)),COLUMN(L231))-1)</f>
        <v/>
      </c>
      <c r="AH232" s="29"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24"/>
      <c r="D233" s="24"/>
      <c r="J233" s="31"/>
      <c r="K233" s="31"/>
      <c r="L233" s="31"/>
      <c r="M233" s="31"/>
      <c r="N233" s="31"/>
      <c r="O233" s="31"/>
      <c r="P233" s="31"/>
      <c r="Q233" s="31"/>
      <c r="R233" s="31"/>
      <c r="S233" s="31"/>
      <c r="T233" s="28">
        <f t="shared" si="4"/>
        <v>0</v>
      </c>
      <c r="U233" s="28"/>
      <c r="W233" s="29" t="str">
        <f t="array" ref="W233">MID(";"&amp;'CASE DATA'!$F233&amp;";",SMALL(IF(ISERROR(SEARCH(MID(";"&amp;'CASE DATA'!$F233&amp;";",ROW($1:$99),1),";")),"",ROW($1:$99)+1),COLUMN(A233)),SMALL(IF(ISERROR(SEARCH(MID(";"&amp;'CASE DATA'!$F233&amp;";",ROW($1:$99),1),";")),"",ROW($1:$99)),COLUMN(A232)+1)-SMALL(IF(ISERROR(SEARCH(MID(";"&amp;'CASE DATA'!$F233&amp;";",ROW($1:$99),1),";")),"",ROW($1:$99)),COLUMN(A232))-1)</f>
        <v/>
      </c>
      <c r="X233" s="29" t="str">
        <f t="array" ref="X233">MID(";"&amp;'CASE DATA'!$F233&amp;";",SMALL(IF(ISERROR(SEARCH(MID(";"&amp;'CASE DATA'!$F233&amp;";",ROW($1:$99),1),";")),"",ROW($1:$99)+1),COLUMN(B233)),SMALL(IF(ISERROR(SEARCH(MID(";"&amp;'CASE DATA'!$F233&amp;";",ROW($1:$99),1),";")),"",ROW($1:$99)),COLUMN(B232)+1)-SMALL(IF(ISERROR(SEARCH(MID(";"&amp;'CASE DATA'!$F233&amp;";",ROW($1:$99),1),";")),"",ROW($1:$99)),COLUMN(B232))-1)</f>
        <v/>
      </c>
      <c r="Y233" s="29" t="str">
        <f t="array" ref="Y233">MID(";"&amp;'CASE DATA'!$F233&amp;";",SMALL(IF(ISERROR(SEARCH(MID(";"&amp;'CASE DATA'!$F233&amp;";",ROW($1:$99),1),";")),"",ROW($1:$99)+1),COLUMN(D233)),SMALL(IF(ISERROR(SEARCH(MID(";"&amp;'CASE DATA'!$F233&amp;";",ROW($1:$99),1),";")),"",ROW($1:$99)),COLUMN(D232)+1)-SMALL(IF(ISERROR(SEARCH(MID(";"&amp;'CASE DATA'!$F233&amp;";",ROW($1:$99),1),";")),"",ROW($1:$99)),COLUMN(D232))-1)</f>
        <v/>
      </c>
      <c r="Z233" s="29" t="str">
        <f t="array" ref="Z233">MID(";"&amp;'CASE DATA'!$F233&amp;";",SMALL(IF(ISERROR(SEARCH(MID(";"&amp;'CASE DATA'!$F233&amp;";",ROW($1:$99),1),";")),"",ROW($1:$99)+1),COLUMN(E233)),SMALL(IF(ISERROR(SEARCH(MID(";"&amp;'CASE DATA'!$F233&amp;";",ROW($1:$99),1),";")),"",ROW($1:$99)),COLUMN(E232)+1)-SMALL(IF(ISERROR(SEARCH(MID(";"&amp;'CASE DATA'!$F233&amp;";",ROW($1:$99),1),";")),"",ROW($1:$99)),COLUMN(E232))-1)</f>
        <v/>
      </c>
      <c r="AA233" s="29" t="str">
        <f t="array" ref="AA233">MID(";"&amp;'CASE DATA'!$F233&amp;";",SMALL(IF(ISERROR(SEARCH(MID(";"&amp;'CASE DATA'!$F233&amp;";",ROW($1:$99),1),";")),"",ROW($1:$99)+1),COLUMN(F233)),SMALL(IF(ISERROR(SEARCH(MID(";"&amp;'CASE DATA'!$F233&amp;";",ROW($1:$99),1),";")),"",ROW($1:$99)),COLUMN(F232)+1)-SMALL(IF(ISERROR(SEARCH(MID(";"&amp;'CASE DATA'!$F233&amp;";",ROW($1:$99),1),";")),"",ROW($1:$99)),COLUMN(F232))-1)</f>
        <v/>
      </c>
      <c r="AB233" s="29" t="str">
        <f t="array" ref="AB233">MID(";"&amp;'CASE DATA'!$F233&amp;";",SMALL(IF(ISERROR(SEARCH(MID(";"&amp;'CASE DATA'!$F233&amp;";",ROW($1:$99),1),";")),"",ROW($1:$99)+1),COLUMN(G233)),SMALL(IF(ISERROR(SEARCH(MID(";"&amp;'CASE DATA'!$F233&amp;";",ROW($1:$99),1),";")),"",ROW($1:$99)),COLUMN(G232)+1)-SMALL(IF(ISERROR(SEARCH(MID(";"&amp;'CASE DATA'!$F233&amp;";",ROW($1:$99),1),";")),"",ROW($1:$99)),COLUMN(G232))-1)</f>
        <v/>
      </c>
      <c r="AC233" s="29" t="str">
        <f t="array" ref="AC233">MID(";"&amp;'CASE DATA'!$F233&amp;";",SMALL(IF(ISERROR(SEARCH(MID(";"&amp;'CASE DATA'!$F233&amp;";",ROW($1:$99),1),";")),"",ROW($1:$99)+1),COLUMN(H233)),SMALL(IF(ISERROR(SEARCH(MID(";"&amp;'CASE DATA'!$F233&amp;";",ROW($1:$99),1),";")),"",ROW($1:$99)),COLUMN(H232)+1)-SMALL(IF(ISERROR(SEARCH(MID(";"&amp;'CASE DATA'!$F233&amp;";",ROW($1:$99),1),";")),"",ROW($1:$99)),COLUMN(H232))-1)</f>
        <v/>
      </c>
      <c r="AD233" s="29" t="str">
        <f t="array" ref="AD233">MID(";"&amp;'CASE DATA'!$F233&amp;";",SMALL(IF(ISERROR(SEARCH(MID(";"&amp;'CASE DATA'!$F233&amp;";",ROW($1:$99),1),";")),"",ROW($1:$99)+1),COLUMN(I233)),SMALL(IF(ISERROR(SEARCH(MID(";"&amp;'CASE DATA'!$F233&amp;";",ROW($1:$99),1),";")),"",ROW($1:$99)),COLUMN(I232)+1)-SMALL(IF(ISERROR(SEARCH(MID(";"&amp;'CASE DATA'!$F233&amp;";",ROW($1:$99),1),";")),"",ROW($1:$99)),COLUMN(I232))-1)</f>
        <v/>
      </c>
      <c r="AE233" s="29" t="str">
        <f t="array" ref="AE233">MID(";"&amp;'CASE DATA'!$F233&amp;";",SMALL(IF(ISERROR(SEARCH(MID(";"&amp;'CASE DATA'!$F233&amp;";",ROW($1:$99),1),";")),"",ROW($1:$99)+1),COLUMN(J233)),SMALL(IF(ISERROR(SEARCH(MID(";"&amp;'CASE DATA'!$F233&amp;";",ROW($1:$99),1),";")),"",ROW($1:$99)),COLUMN(J232)+1)-SMALL(IF(ISERROR(SEARCH(MID(";"&amp;'CASE DATA'!$F233&amp;";",ROW($1:$99),1),";")),"",ROW($1:$99)),COLUMN(J232))-1)</f>
        <v/>
      </c>
      <c r="AF233" s="29" t="str">
        <f t="array" ref="AF233">MID(";"&amp;'CASE DATA'!$F233&amp;";",SMALL(IF(ISERROR(SEARCH(MID(";"&amp;'CASE DATA'!$F233&amp;";",ROW($1:$99),1),";")),"",ROW($1:$99)+1),COLUMN(K233)),SMALL(IF(ISERROR(SEARCH(MID(";"&amp;'CASE DATA'!$F233&amp;";",ROW($1:$99),1),";")),"",ROW($1:$99)),COLUMN(K232)+1)-SMALL(IF(ISERROR(SEARCH(MID(";"&amp;'CASE DATA'!$F233&amp;";",ROW($1:$99),1),";")),"",ROW($1:$99)),COLUMN(K232))-1)</f>
        <v/>
      </c>
      <c r="AG233" s="29" t="str">
        <f t="array" ref="AG233">MID(";"&amp;'CASE DATA'!$F233&amp;";",SMALL(IF(ISERROR(SEARCH(MID(";"&amp;'CASE DATA'!$F233&amp;";",ROW($1:$99),1),";")),"",ROW($1:$99)+1),COLUMN(L233)),SMALL(IF(ISERROR(SEARCH(MID(";"&amp;'CASE DATA'!$F233&amp;";",ROW($1:$99),1),";")),"",ROW($1:$99)),COLUMN(L232)+1)-SMALL(IF(ISERROR(SEARCH(MID(";"&amp;'CASE DATA'!$F233&amp;";",ROW($1:$99),1),";")),"",ROW($1:$99)),COLUMN(L232))-1)</f>
        <v/>
      </c>
      <c r="AH233" s="29"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24"/>
      <c r="D234" s="24"/>
      <c r="J234" s="31"/>
      <c r="K234" s="31"/>
      <c r="L234" s="31"/>
      <c r="M234" s="31"/>
      <c r="N234" s="31"/>
      <c r="O234" s="31"/>
      <c r="P234" s="31"/>
      <c r="Q234" s="31"/>
      <c r="R234" s="31"/>
      <c r="S234" s="31"/>
      <c r="T234" s="28">
        <f t="shared" si="4"/>
        <v>0</v>
      </c>
      <c r="U234" s="28"/>
      <c r="W234" s="29" t="str">
        <f t="array" ref="W234">MID(";"&amp;'CASE DATA'!$F234&amp;";",SMALL(IF(ISERROR(SEARCH(MID(";"&amp;'CASE DATA'!$F234&amp;";",ROW($1:$99),1),";")),"",ROW($1:$99)+1),COLUMN(A234)),SMALL(IF(ISERROR(SEARCH(MID(";"&amp;'CASE DATA'!$F234&amp;";",ROW($1:$99),1),";")),"",ROW($1:$99)),COLUMN(A233)+1)-SMALL(IF(ISERROR(SEARCH(MID(";"&amp;'CASE DATA'!$F234&amp;";",ROW($1:$99),1),";")),"",ROW($1:$99)),COLUMN(A233))-1)</f>
        <v/>
      </c>
      <c r="X234" s="29" t="str">
        <f t="array" ref="X234">MID(";"&amp;'CASE DATA'!$F234&amp;";",SMALL(IF(ISERROR(SEARCH(MID(";"&amp;'CASE DATA'!$F234&amp;";",ROW($1:$99),1),";")),"",ROW($1:$99)+1),COLUMN(B234)),SMALL(IF(ISERROR(SEARCH(MID(";"&amp;'CASE DATA'!$F234&amp;";",ROW($1:$99),1),";")),"",ROW($1:$99)),COLUMN(B233)+1)-SMALL(IF(ISERROR(SEARCH(MID(";"&amp;'CASE DATA'!$F234&amp;";",ROW($1:$99),1),";")),"",ROW($1:$99)),COLUMN(B233))-1)</f>
        <v/>
      </c>
      <c r="Y234" s="29" t="str">
        <f t="array" ref="Y234">MID(";"&amp;'CASE DATA'!$F234&amp;";",SMALL(IF(ISERROR(SEARCH(MID(";"&amp;'CASE DATA'!$F234&amp;";",ROW($1:$99),1),";")),"",ROW($1:$99)+1),COLUMN(D234)),SMALL(IF(ISERROR(SEARCH(MID(";"&amp;'CASE DATA'!$F234&amp;";",ROW($1:$99),1),";")),"",ROW($1:$99)),COLUMN(D233)+1)-SMALL(IF(ISERROR(SEARCH(MID(";"&amp;'CASE DATA'!$F234&amp;";",ROW($1:$99),1),";")),"",ROW($1:$99)),COLUMN(D233))-1)</f>
        <v/>
      </c>
      <c r="Z234" s="29" t="str">
        <f t="array" ref="Z234">MID(";"&amp;'CASE DATA'!$F234&amp;";",SMALL(IF(ISERROR(SEARCH(MID(";"&amp;'CASE DATA'!$F234&amp;";",ROW($1:$99),1),";")),"",ROW($1:$99)+1),COLUMN(E234)),SMALL(IF(ISERROR(SEARCH(MID(";"&amp;'CASE DATA'!$F234&amp;";",ROW($1:$99),1),";")),"",ROW($1:$99)),COLUMN(E233)+1)-SMALL(IF(ISERROR(SEARCH(MID(";"&amp;'CASE DATA'!$F234&amp;";",ROW($1:$99),1),";")),"",ROW($1:$99)),COLUMN(E233))-1)</f>
        <v/>
      </c>
      <c r="AA234" s="29" t="str">
        <f t="array" ref="AA234">MID(";"&amp;'CASE DATA'!$F234&amp;";",SMALL(IF(ISERROR(SEARCH(MID(";"&amp;'CASE DATA'!$F234&amp;";",ROW($1:$99),1),";")),"",ROW($1:$99)+1),COLUMN(F234)),SMALL(IF(ISERROR(SEARCH(MID(";"&amp;'CASE DATA'!$F234&amp;";",ROW($1:$99),1),";")),"",ROW($1:$99)),COLUMN(F233)+1)-SMALL(IF(ISERROR(SEARCH(MID(";"&amp;'CASE DATA'!$F234&amp;";",ROW($1:$99),1),";")),"",ROW($1:$99)),COLUMN(F233))-1)</f>
        <v/>
      </c>
      <c r="AB234" s="29" t="str">
        <f t="array" ref="AB234">MID(";"&amp;'CASE DATA'!$F234&amp;";",SMALL(IF(ISERROR(SEARCH(MID(";"&amp;'CASE DATA'!$F234&amp;";",ROW($1:$99),1),";")),"",ROW($1:$99)+1),COLUMN(G234)),SMALL(IF(ISERROR(SEARCH(MID(";"&amp;'CASE DATA'!$F234&amp;";",ROW($1:$99),1),";")),"",ROW($1:$99)),COLUMN(G233)+1)-SMALL(IF(ISERROR(SEARCH(MID(";"&amp;'CASE DATA'!$F234&amp;";",ROW($1:$99),1),";")),"",ROW($1:$99)),COLUMN(G233))-1)</f>
        <v/>
      </c>
      <c r="AC234" s="29" t="str">
        <f t="array" ref="AC234">MID(";"&amp;'CASE DATA'!$F234&amp;";",SMALL(IF(ISERROR(SEARCH(MID(";"&amp;'CASE DATA'!$F234&amp;";",ROW($1:$99),1),";")),"",ROW($1:$99)+1),COLUMN(H234)),SMALL(IF(ISERROR(SEARCH(MID(";"&amp;'CASE DATA'!$F234&amp;";",ROW($1:$99),1),";")),"",ROW($1:$99)),COLUMN(H233)+1)-SMALL(IF(ISERROR(SEARCH(MID(";"&amp;'CASE DATA'!$F234&amp;";",ROW($1:$99),1),";")),"",ROW($1:$99)),COLUMN(H233))-1)</f>
        <v/>
      </c>
      <c r="AD234" s="29" t="str">
        <f t="array" ref="AD234">MID(";"&amp;'CASE DATA'!$F234&amp;";",SMALL(IF(ISERROR(SEARCH(MID(";"&amp;'CASE DATA'!$F234&amp;";",ROW($1:$99),1),";")),"",ROW($1:$99)+1),COLUMN(I234)),SMALL(IF(ISERROR(SEARCH(MID(";"&amp;'CASE DATA'!$F234&amp;";",ROW($1:$99),1),";")),"",ROW($1:$99)),COLUMN(I233)+1)-SMALL(IF(ISERROR(SEARCH(MID(";"&amp;'CASE DATA'!$F234&amp;";",ROW($1:$99),1),";")),"",ROW($1:$99)),COLUMN(I233))-1)</f>
        <v/>
      </c>
      <c r="AE234" s="29" t="str">
        <f t="array" ref="AE234">MID(";"&amp;'CASE DATA'!$F234&amp;";",SMALL(IF(ISERROR(SEARCH(MID(";"&amp;'CASE DATA'!$F234&amp;";",ROW($1:$99),1),";")),"",ROW($1:$99)+1),COLUMN(J234)),SMALL(IF(ISERROR(SEARCH(MID(";"&amp;'CASE DATA'!$F234&amp;";",ROW($1:$99),1),";")),"",ROW($1:$99)),COLUMN(J233)+1)-SMALL(IF(ISERROR(SEARCH(MID(";"&amp;'CASE DATA'!$F234&amp;";",ROW($1:$99),1),";")),"",ROW($1:$99)),COLUMN(J233))-1)</f>
        <v/>
      </c>
      <c r="AF234" s="29" t="str">
        <f t="array" ref="AF234">MID(";"&amp;'CASE DATA'!$F234&amp;";",SMALL(IF(ISERROR(SEARCH(MID(";"&amp;'CASE DATA'!$F234&amp;";",ROW($1:$99),1),";")),"",ROW($1:$99)+1),COLUMN(K234)),SMALL(IF(ISERROR(SEARCH(MID(";"&amp;'CASE DATA'!$F234&amp;";",ROW($1:$99),1),";")),"",ROW($1:$99)),COLUMN(K233)+1)-SMALL(IF(ISERROR(SEARCH(MID(";"&amp;'CASE DATA'!$F234&amp;";",ROW($1:$99),1),";")),"",ROW($1:$99)),COLUMN(K233))-1)</f>
        <v/>
      </c>
      <c r="AG234" s="29" t="str">
        <f t="array" ref="AG234">MID(";"&amp;'CASE DATA'!$F234&amp;";",SMALL(IF(ISERROR(SEARCH(MID(";"&amp;'CASE DATA'!$F234&amp;";",ROW($1:$99),1),";")),"",ROW($1:$99)+1),COLUMN(L234)),SMALL(IF(ISERROR(SEARCH(MID(";"&amp;'CASE DATA'!$F234&amp;";",ROW($1:$99),1),";")),"",ROW($1:$99)),COLUMN(L233)+1)-SMALL(IF(ISERROR(SEARCH(MID(";"&amp;'CASE DATA'!$F234&amp;";",ROW($1:$99),1),";")),"",ROW($1:$99)),COLUMN(L233))-1)</f>
        <v/>
      </c>
      <c r="AH234" s="29"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24"/>
      <c r="D235" s="24"/>
      <c r="J235" s="31"/>
      <c r="K235" s="31"/>
      <c r="L235" s="31"/>
      <c r="M235" s="31"/>
      <c r="N235" s="31"/>
      <c r="O235" s="31"/>
      <c r="P235" s="31"/>
      <c r="Q235" s="31"/>
      <c r="R235" s="31"/>
      <c r="S235" s="31"/>
      <c r="T235" s="28">
        <f t="shared" si="4"/>
        <v>0</v>
      </c>
      <c r="U235" s="28"/>
      <c r="W235" s="29" t="str">
        <f t="array" ref="W235">MID(";"&amp;'CASE DATA'!$F235&amp;";",SMALL(IF(ISERROR(SEARCH(MID(";"&amp;'CASE DATA'!$F235&amp;";",ROW($1:$99),1),";")),"",ROW($1:$99)+1),COLUMN(A235)),SMALL(IF(ISERROR(SEARCH(MID(";"&amp;'CASE DATA'!$F235&amp;";",ROW($1:$99),1),";")),"",ROW($1:$99)),COLUMN(A234)+1)-SMALL(IF(ISERROR(SEARCH(MID(";"&amp;'CASE DATA'!$F235&amp;";",ROW($1:$99),1),";")),"",ROW($1:$99)),COLUMN(A234))-1)</f>
        <v/>
      </c>
      <c r="X235" s="29" t="str">
        <f t="array" ref="X235">MID(";"&amp;'CASE DATA'!$F235&amp;";",SMALL(IF(ISERROR(SEARCH(MID(";"&amp;'CASE DATA'!$F235&amp;";",ROW($1:$99),1),";")),"",ROW($1:$99)+1),COLUMN(B235)),SMALL(IF(ISERROR(SEARCH(MID(";"&amp;'CASE DATA'!$F235&amp;";",ROW($1:$99),1),";")),"",ROW($1:$99)),COLUMN(B234)+1)-SMALL(IF(ISERROR(SEARCH(MID(";"&amp;'CASE DATA'!$F235&amp;";",ROW($1:$99),1),";")),"",ROW($1:$99)),COLUMN(B234))-1)</f>
        <v/>
      </c>
      <c r="Y235" s="29" t="str">
        <f t="array" ref="Y235">MID(";"&amp;'CASE DATA'!$F235&amp;";",SMALL(IF(ISERROR(SEARCH(MID(";"&amp;'CASE DATA'!$F235&amp;";",ROW($1:$99),1),";")),"",ROW($1:$99)+1),COLUMN(D235)),SMALL(IF(ISERROR(SEARCH(MID(";"&amp;'CASE DATA'!$F235&amp;";",ROW($1:$99),1),";")),"",ROW($1:$99)),COLUMN(D234)+1)-SMALL(IF(ISERROR(SEARCH(MID(";"&amp;'CASE DATA'!$F235&amp;";",ROW($1:$99),1),";")),"",ROW($1:$99)),COLUMN(D234))-1)</f>
        <v/>
      </c>
      <c r="Z235" s="29" t="str">
        <f t="array" ref="Z235">MID(";"&amp;'CASE DATA'!$F235&amp;";",SMALL(IF(ISERROR(SEARCH(MID(";"&amp;'CASE DATA'!$F235&amp;";",ROW($1:$99),1),";")),"",ROW($1:$99)+1),COLUMN(E235)),SMALL(IF(ISERROR(SEARCH(MID(";"&amp;'CASE DATA'!$F235&amp;";",ROW($1:$99),1),";")),"",ROW($1:$99)),COLUMN(E234)+1)-SMALL(IF(ISERROR(SEARCH(MID(";"&amp;'CASE DATA'!$F235&amp;";",ROW($1:$99),1),";")),"",ROW($1:$99)),COLUMN(E234))-1)</f>
        <v/>
      </c>
      <c r="AA235" s="29" t="str">
        <f t="array" ref="AA235">MID(";"&amp;'CASE DATA'!$F235&amp;";",SMALL(IF(ISERROR(SEARCH(MID(";"&amp;'CASE DATA'!$F235&amp;";",ROW($1:$99),1),";")),"",ROW($1:$99)+1),COLUMN(F235)),SMALL(IF(ISERROR(SEARCH(MID(";"&amp;'CASE DATA'!$F235&amp;";",ROW($1:$99),1),";")),"",ROW($1:$99)),COLUMN(F234)+1)-SMALL(IF(ISERROR(SEARCH(MID(";"&amp;'CASE DATA'!$F235&amp;";",ROW($1:$99),1),";")),"",ROW($1:$99)),COLUMN(F234))-1)</f>
        <v/>
      </c>
      <c r="AB235" s="29" t="str">
        <f t="array" ref="AB235">MID(";"&amp;'CASE DATA'!$F235&amp;";",SMALL(IF(ISERROR(SEARCH(MID(";"&amp;'CASE DATA'!$F235&amp;";",ROW($1:$99),1),";")),"",ROW($1:$99)+1),COLUMN(G235)),SMALL(IF(ISERROR(SEARCH(MID(";"&amp;'CASE DATA'!$F235&amp;";",ROW($1:$99),1),";")),"",ROW($1:$99)),COLUMN(G234)+1)-SMALL(IF(ISERROR(SEARCH(MID(";"&amp;'CASE DATA'!$F235&amp;";",ROW($1:$99),1),";")),"",ROW($1:$99)),COLUMN(G234))-1)</f>
        <v/>
      </c>
      <c r="AC235" s="29" t="str">
        <f t="array" ref="AC235">MID(";"&amp;'CASE DATA'!$F235&amp;";",SMALL(IF(ISERROR(SEARCH(MID(";"&amp;'CASE DATA'!$F235&amp;";",ROW($1:$99),1),";")),"",ROW($1:$99)+1),COLUMN(H235)),SMALL(IF(ISERROR(SEARCH(MID(";"&amp;'CASE DATA'!$F235&amp;";",ROW($1:$99),1),";")),"",ROW($1:$99)),COLUMN(H234)+1)-SMALL(IF(ISERROR(SEARCH(MID(";"&amp;'CASE DATA'!$F235&amp;";",ROW($1:$99),1),";")),"",ROW($1:$99)),COLUMN(H234))-1)</f>
        <v/>
      </c>
      <c r="AD235" s="29" t="str">
        <f t="array" ref="AD235">MID(";"&amp;'CASE DATA'!$F235&amp;";",SMALL(IF(ISERROR(SEARCH(MID(";"&amp;'CASE DATA'!$F235&amp;";",ROW($1:$99),1),";")),"",ROW($1:$99)+1),COLUMN(I235)),SMALL(IF(ISERROR(SEARCH(MID(";"&amp;'CASE DATA'!$F235&amp;";",ROW($1:$99),1),";")),"",ROW($1:$99)),COLUMN(I234)+1)-SMALL(IF(ISERROR(SEARCH(MID(";"&amp;'CASE DATA'!$F235&amp;";",ROW($1:$99),1),";")),"",ROW($1:$99)),COLUMN(I234))-1)</f>
        <v/>
      </c>
      <c r="AE235" s="29" t="str">
        <f t="array" ref="AE235">MID(";"&amp;'CASE DATA'!$F235&amp;";",SMALL(IF(ISERROR(SEARCH(MID(";"&amp;'CASE DATA'!$F235&amp;";",ROW($1:$99),1),";")),"",ROW($1:$99)+1),COLUMN(J235)),SMALL(IF(ISERROR(SEARCH(MID(";"&amp;'CASE DATA'!$F235&amp;";",ROW($1:$99),1),";")),"",ROW($1:$99)),COLUMN(J234)+1)-SMALL(IF(ISERROR(SEARCH(MID(";"&amp;'CASE DATA'!$F235&amp;";",ROW($1:$99),1),";")),"",ROW($1:$99)),COLUMN(J234))-1)</f>
        <v/>
      </c>
      <c r="AF235" s="29" t="str">
        <f t="array" ref="AF235">MID(";"&amp;'CASE DATA'!$F235&amp;";",SMALL(IF(ISERROR(SEARCH(MID(";"&amp;'CASE DATA'!$F235&amp;";",ROW($1:$99),1),";")),"",ROW($1:$99)+1),COLUMN(K235)),SMALL(IF(ISERROR(SEARCH(MID(";"&amp;'CASE DATA'!$F235&amp;";",ROW($1:$99),1),";")),"",ROW($1:$99)),COLUMN(K234)+1)-SMALL(IF(ISERROR(SEARCH(MID(";"&amp;'CASE DATA'!$F235&amp;";",ROW($1:$99),1),";")),"",ROW($1:$99)),COLUMN(K234))-1)</f>
        <v/>
      </c>
      <c r="AG235" s="29" t="str">
        <f t="array" ref="AG235">MID(";"&amp;'CASE DATA'!$F235&amp;";",SMALL(IF(ISERROR(SEARCH(MID(";"&amp;'CASE DATA'!$F235&amp;";",ROW($1:$99),1),";")),"",ROW($1:$99)+1),COLUMN(L235)),SMALL(IF(ISERROR(SEARCH(MID(";"&amp;'CASE DATA'!$F235&amp;";",ROW($1:$99),1),";")),"",ROW($1:$99)),COLUMN(L234)+1)-SMALL(IF(ISERROR(SEARCH(MID(";"&amp;'CASE DATA'!$F235&amp;";",ROW($1:$99),1),";")),"",ROW($1:$99)),COLUMN(L234))-1)</f>
        <v/>
      </c>
      <c r="AH235" s="29"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24"/>
      <c r="D236" s="24"/>
      <c r="J236" s="31"/>
      <c r="K236" s="31"/>
      <c r="L236" s="31"/>
      <c r="M236" s="31"/>
      <c r="N236" s="31"/>
      <c r="O236" s="31"/>
      <c r="P236" s="31"/>
      <c r="Q236" s="31"/>
      <c r="R236" s="31"/>
      <c r="S236" s="31"/>
      <c r="T236" s="28">
        <f t="shared" si="4"/>
        <v>0</v>
      </c>
      <c r="U236" s="28"/>
      <c r="W236" s="29" t="str">
        <f t="array" ref="W236">MID(";"&amp;'CASE DATA'!$F236&amp;";",SMALL(IF(ISERROR(SEARCH(MID(";"&amp;'CASE DATA'!$F236&amp;";",ROW($1:$99),1),";")),"",ROW($1:$99)+1),COLUMN(A236)),SMALL(IF(ISERROR(SEARCH(MID(";"&amp;'CASE DATA'!$F236&amp;";",ROW($1:$99),1),";")),"",ROW($1:$99)),COLUMN(A235)+1)-SMALL(IF(ISERROR(SEARCH(MID(";"&amp;'CASE DATA'!$F236&amp;";",ROW($1:$99),1),";")),"",ROW($1:$99)),COLUMN(A235))-1)</f>
        <v/>
      </c>
      <c r="X236" s="29" t="str">
        <f t="array" ref="X236">MID(";"&amp;'CASE DATA'!$F236&amp;";",SMALL(IF(ISERROR(SEARCH(MID(";"&amp;'CASE DATA'!$F236&amp;";",ROW($1:$99),1),";")),"",ROW($1:$99)+1),COLUMN(B236)),SMALL(IF(ISERROR(SEARCH(MID(";"&amp;'CASE DATA'!$F236&amp;";",ROW($1:$99),1),";")),"",ROW($1:$99)),COLUMN(B235)+1)-SMALL(IF(ISERROR(SEARCH(MID(";"&amp;'CASE DATA'!$F236&amp;";",ROW($1:$99),1),";")),"",ROW($1:$99)),COLUMN(B235))-1)</f>
        <v/>
      </c>
      <c r="Y236" s="29" t="str">
        <f t="array" ref="Y236">MID(";"&amp;'CASE DATA'!$F236&amp;";",SMALL(IF(ISERROR(SEARCH(MID(";"&amp;'CASE DATA'!$F236&amp;";",ROW($1:$99),1),";")),"",ROW($1:$99)+1),COLUMN(D236)),SMALL(IF(ISERROR(SEARCH(MID(";"&amp;'CASE DATA'!$F236&amp;";",ROW($1:$99),1),";")),"",ROW($1:$99)),COLUMN(D235)+1)-SMALL(IF(ISERROR(SEARCH(MID(";"&amp;'CASE DATA'!$F236&amp;";",ROW($1:$99),1),";")),"",ROW($1:$99)),COLUMN(D235))-1)</f>
        <v/>
      </c>
      <c r="Z236" s="29" t="str">
        <f t="array" ref="Z236">MID(";"&amp;'CASE DATA'!$F236&amp;";",SMALL(IF(ISERROR(SEARCH(MID(";"&amp;'CASE DATA'!$F236&amp;";",ROW($1:$99),1),";")),"",ROW($1:$99)+1),COLUMN(E236)),SMALL(IF(ISERROR(SEARCH(MID(";"&amp;'CASE DATA'!$F236&amp;";",ROW($1:$99),1),";")),"",ROW($1:$99)),COLUMN(E235)+1)-SMALL(IF(ISERROR(SEARCH(MID(";"&amp;'CASE DATA'!$F236&amp;";",ROW($1:$99),1),";")),"",ROW($1:$99)),COLUMN(E235))-1)</f>
        <v/>
      </c>
      <c r="AA236" s="29" t="str">
        <f t="array" ref="AA236">MID(";"&amp;'CASE DATA'!$F236&amp;";",SMALL(IF(ISERROR(SEARCH(MID(";"&amp;'CASE DATA'!$F236&amp;";",ROW($1:$99),1),";")),"",ROW($1:$99)+1),COLUMN(F236)),SMALL(IF(ISERROR(SEARCH(MID(";"&amp;'CASE DATA'!$F236&amp;";",ROW($1:$99),1),";")),"",ROW($1:$99)),COLUMN(F235)+1)-SMALL(IF(ISERROR(SEARCH(MID(";"&amp;'CASE DATA'!$F236&amp;";",ROW($1:$99),1),";")),"",ROW($1:$99)),COLUMN(F235))-1)</f>
        <v/>
      </c>
      <c r="AB236" s="29" t="str">
        <f t="array" ref="AB236">MID(";"&amp;'CASE DATA'!$F236&amp;";",SMALL(IF(ISERROR(SEARCH(MID(";"&amp;'CASE DATA'!$F236&amp;";",ROW($1:$99),1),";")),"",ROW($1:$99)+1),COLUMN(G236)),SMALL(IF(ISERROR(SEARCH(MID(";"&amp;'CASE DATA'!$F236&amp;";",ROW($1:$99),1),";")),"",ROW($1:$99)),COLUMN(G235)+1)-SMALL(IF(ISERROR(SEARCH(MID(";"&amp;'CASE DATA'!$F236&amp;";",ROW($1:$99),1),";")),"",ROW($1:$99)),COLUMN(G235))-1)</f>
        <v/>
      </c>
      <c r="AC236" s="29" t="str">
        <f t="array" ref="AC236">MID(";"&amp;'CASE DATA'!$F236&amp;";",SMALL(IF(ISERROR(SEARCH(MID(";"&amp;'CASE DATA'!$F236&amp;";",ROW($1:$99),1),";")),"",ROW($1:$99)+1),COLUMN(H236)),SMALL(IF(ISERROR(SEARCH(MID(";"&amp;'CASE DATA'!$F236&amp;";",ROW($1:$99),1),";")),"",ROW($1:$99)),COLUMN(H235)+1)-SMALL(IF(ISERROR(SEARCH(MID(";"&amp;'CASE DATA'!$F236&amp;";",ROW($1:$99),1),";")),"",ROW($1:$99)),COLUMN(H235))-1)</f>
        <v/>
      </c>
      <c r="AD236" s="29" t="str">
        <f t="array" ref="AD236">MID(";"&amp;'CASE DATA'!$F236&amp;";",SMALL(IF(ISERROR(SEARCH(MID(";"&amp;'CASE DATA'!$F236&amp;";",ROW($1:$99),1),";")),"",ROW($1:$99)+1),COLUMN(I236)),SMALL(IF(ISERROR(SEARCH(MID(";"&amp;'CASE DATA'!$F236&amp;";",ROW($1:$99),1),";")),"",ROW($1:$99)),COLUMN(I235)+1)-SMALL(IF(ISERROR(SEARCH(MID(";"&amp;'CASE DATA'!$F236&amp;";",ROW($1:$99),1),";")),"",ROW($1:$99)),COLUMN(I235))-1)</f>
        <v/>
      </c>
      <c r="AE236" s="29" t="str">
        <f t="array" ref="AE236">MID(";"&amp;'CASE DATA'!$F236&amp;";",SMALL(IF(ISERROR(SEARCH(MID(";"&amp;'CASE DATA'!$F236&amp;";",ROW($1:$99),1),";")),"",ROW($1:$99)+1),COLUMN(J236)),SMALL(IF(ISERROR(SEARCH(MID(";"&amp;'CASE DATA'!$F236&amp;";",ROW($1:$99),1),";")),"",ROW($1:$99)),COLUMN(J235)+1)-SMALL(IF(ISERROR(SEARCH(MID(";"&amp;'CASE DATA'!$F236&amp;";",ROW($1:$99),1),";")),"",ROW($1:$99)),COLUMN(J235))-1)</f>
        <v/>
      </c>
      <c r="AF236" s="29" t="str">
        <f t="array" ref="AF236">MID(";"&amp;'CASE DATA'!$F236&amp;";",SMALL(IF(ISERROR(SEARCH(MID(";"&amp;'CASE DATA'!$F236&amp;";",ROW($1:$99),1),";")),"",ROW($1:$99)+1),COLUMN(K236)),SMALL(IF(ISERROR(SEARCH(MID(";"&amp;'CASE DATA'!$F236&amp;";",ROW($1:$99),1),";")),"",ROW($1:$99)),COLUMN(K235)+1)-SMALL(IF(ISERROR(SEARCH(MID(";"&amp;'CASE DATA'!$F236&amp;";",ROW($1:$99),1),";")),"",ROW($1:$99)),COLUMN(K235))-1)</f>
        <v/>
      </c>
      <c r="AG236" s="29" t="str">
        <f t="array" ref="AG236">MID(";"&amp;'CASE DATA'!$F236&amp;";",SMALL(IF(ISERROR(SEARCH(MID(";"&amp;'CASE DATA'!$F236&amp;";",ROW($1:$99),1),";")),"",ROW($1:$99)+1),COLUMN(L236)),SMALL(IF(ISERROR(SEARCH(MID(";"&amp;'CASE DATA'!$F236&amp;";",ROW($1:$99),1),";")),"",ROW($1:$99)),COLUMN(L235)+1)-SMALL(IF(ISERROR(SEARCH(MID(";"&amp;'CASE DATA'!$F236&amp;";",ROW($1:$99),1),";")),"",ROW($1:$99)),COLUMN(L235))-1)</f>
        <v/>
      </c>
      <c r="AH236" s="29"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24"/>
      <c r="D237" s="24"/>
      <c r="J237" s="31"/>
      <c r="K237" s="31"/>
      <c r="L237" s="31"/>
      <c r="M237" s="31"/>
      <c r="N237" s="31"/>
      <c r="O237" s="31"/>
      <c r="P237" s="31"/>
      <c r="Q237" s="31"/>
      <c r="R237" s="31"/>
      <c r="S237" s="31"/>
      <c r="T237" s="28">
        <f t="shared" si="4"/>
        <v>0</v>
      </c>
      <c r="U237" s="28"/>
      <c r="W237" s="29" t="str">
        <f t="array" ref="W237">MID(";"&amp;'CASE DATA'!$F237&amp;";",SMALL(IF(ISERROR(SEARCH(MID(";"&amp;'CASE DATA'!$F237&amp;";",ROW($1:$99),1),";")),"",ROW($1:$99)+1),COLUMN(A237)),SMALL(IF(ISERROR(SEARCH(MID(";"&amp;'CASE DATA'!$F237&amp;";",ROW($1:$99),1),";")),"",ROW($1:$99)),COLUMN(A236)+1)-SMALL(IF(ISERROR(SEARCH(MID(";"&amp;'CASE DATA'!$F237&amp;";",ROW($1:$99),1),";")),"",ROW($1:$99)),COLUMN(A236))-1)</f>
        <v/>
      </c>
      <c r="X237" s="29" t="str">
        <f t="array" ref="X237">MID(";"&amp;'CASE DATA'!$F237&amp;";",SMALL(IF(ISERROR(SEARCH(MID(";"&amp;'CASE DATA'!$F237&amp;";",ROW($1:$99),1),";")),"",ROW($1:$99)+1),COLUMN(B237)),SMALL(IF(ISERROR(SEARCH(MID(";"&amp;'CASE DATA'!$F237&amp;";",ROW($1:$99),1),";")),"",ROW($1:$99)),COLUMN(B236)+1)-SMALL(IF(ISERROR(SEARCH(MID(";"&amp;'CASE DATA'!$F237&amp;";",ROW($1:$99),1),";")),"",ROW($1:$99)),COLUMN(B236))-1)</f>
        <v/>
      </c>
      <c r="Y237" s="29" t="str">
        <f t="array" ref="Y237">MID(";"&amp;'CASE DATA'!$F237&amp;";",SMALL(IF(ISERROR(SEARCH(MID(";"&amp;'CASE DATA'!$F237&amp;";",ROW($1:$99),1),";")),"",ROW($1:$99)+1),COLUMN(D237)),SMALL(IF(ISERROR(SEARCH(MID(";"&amp;'CASE DATA'!$F237&amp;";",ROW($1:$99),1),";")),"",ROW($1:$99)),COLUMN(D236)+1)-SMALL(IF(ISERROR(SEARCH(MID(";"&amp;'CASE DATA'!$F237&amp;";",ROW($1:$99),1),";")),"",ROW($1:$99)),COLUMN(D236))-1)</f>
        <v/>
      </c>
      <c r="Z237" s="29" t="str">
        <f t="array" ref="Z237">MID(";"&amp;'CASE DATA'!$F237&amp;";",SMALL(IF(ISERROR(SEARCH(MID(";"&amp;'CASE DATA'!$F237&amp;";",ROW($1:$99),1),";")),"",ROW($1:$99)+1),COLUMN(E237)),SMALL(IF(ISERROR(SEARCH(MID(";"&amp;'CASE DATA'!$F237&amp;";",ROW($1:$99),1),";")),"",ROW($1:$99)),COLUMN(E236)+1)-SMALL(IF(ISERROR(SEARCH(MID(";"&amp;'CASE DATA'!$F237&amp;";",ROW($1:$99),1),";")),"",ROW($1:$99)),COLUMN(E236))-1)</f>
        <v/>
      </c>
      <c r="AA237" s="29" t="str">
        <f t="array" ref="AA237">MID(";"&amp;'CASE DATA'!$F237&amp;";",SMALL(IF(ISERROR(SEARCH(MID(";"&amp;'CASE DATA'!$F237&amp;";",ROW($1:$99),1),";")),"",ROW($1:$99)+1),COLUMN(F237)),SMALL(IF(ISERROR(SEARCH(MID(";"&amp;'CASE DATA'!$F237&amp;";",ROW($1:$99),1),";")),"",ROW($1:$99)),COLUMN(F236)+1)-SMALL(IF(ISERROR(SEARCH(MID(";"&amp;'CASE DATA'!$F237&amp;";",ROW($1:$99),1),";")),"",ROW($1:$99)),COLUMN(F236))-1)</f>
        <v/>
      </c>
      <c r="AB237" s="29" t="str">
        <f t="array" ref="AB237">MID(";"&amp;'CASE DATA'!$F237&amp;";",SMALL(IF(ISERROR(SEARCH(MID(";"&amp;'CASE DATA'!$F237&amp;";",ROW($1:$99),1),";")),"",ROW($1:$99)+1),COLUMN(G237)),SMALL(IF(ISERROR(SEARCH(MID(";"&amp;'CASE DATA'!$F237&amp;";",ROW($1:$99),1),";")),"",ROW($1:$99)),COLUMN(G236)+1)-SMALL(IF(ISERROR(SEARCH(MID(";"&amp;'CASE DATA'!$F237&amp;";",ROW($1:$99),1),";")),"",ROW($1:$99)),COLUMN(G236))-1)</f>
        <v/>
      </c>
      <c r="AC237" s="29" t="str">
        <f t="array" ref="AC237">MID(";"&amp;'CASE DATA'!$F237&amp;";",SMALL(IF(ISERROR(SEARCH(MID(";"&amp;'CASE DATA'!$F237&amp;";",ROW($1:$99),1),";")),"",ROW($1:$99)+1),COLUMN(H237)),SMALL(IF(ISERROR(SEARCH(MID(";"&amp;'CASE DATA'!$F237&amp;";",ROW($1:$99),1),";")),"",ROW($1:$99)),COLUMN(H236)+1)-SMALL(IF(ISERROR(SEARCH(MID(";"&amp;'CASE DATA'!$F237&amp;";",ROW($1:$99),1),";")),"",ROW($1:$99)),COLUMN(H236))-1)</f>
        <v/>
      </c>
      <c r="AD237" s="29" t="str">
        <f t="array" ref="AD237">MID(";"&amp;'CASE DATA'!$F237&amp;";",SMALL(IF(ISERROR(SEARCH(MID(";"&amp;'CASE DATA'!$F237&amp;";",ROW($1:$99),1),";")),"",ROW($1:$99)+1),COLUMN(I237)),SMALL(IF(ISERROR(SEARCH(MID(";"&amp;'CASE DATA'!$F237&amp;";",ROW($1:$99),1),";")),"",ROW($1:$99)),COLUMN(I236)+1)-SMALL(IF(ISERROR(SEARCH(MID(";"&amp;'CASE DATA'!$F237&amp;";",ROW($1:$99),1),";")),"",ROW($1:$99)),COLUMN(I236))-1)</f>
        <v/>
      </c>
      <c r="AE237" s="29" t="str">
        <f t="array" ref="AE237">MID(";"&amp;'CASE DATA'!$F237&amp;";",SMALL(IF(ISERROR(SEARCH(MID(";"&amp;'CASE DATA'!$F237&amp;";",ROW($1:$99),1),";")),"",ROW($1:$99)+1),COLUMN(J237)),SMALL(IF(ISERROR(SEARCH(MID(";"&amp;'CASE DATA'!$F237&amp;";",ROW($1:$99),1),";")),"",ROW($1:$99)),COLUMN(J236)+1)-SMALL(IF(ISERROR(SEARCH(MID(";"&amp;'CASE DATA'!$F237&amp;";",ROW($1:$99),1),";")),"",ROW($1:$99)),COLUMN(J236))-1)</f>
        <v/>
      </c>
      <c r="AF237" s="29" t="str">
        <f t="array" ref="AF237">MID(";"&amp;'CASE DATA'!$F237&amp;";",SMALL(IF(ISERROR(SEARCH(MID(";"&amp;'CASE DATA'!$F237&amp;";",ROW($1:$99),1),";")),"",ROW($1:$99)+1),COLUMN(K237)),SMALL(IF(ISERROR(SEARCH(MID(";"&amp;'CASE DATA'!$F237&amp;";",ROW($1:$99),1),";")),"",ROW($1:$99)),COLUMN(K236)+1)-SMALL(IF(ISERROR(SEARCH(MID(";"&amp;'CASE DATA'!$F237&amp;";",ROW($1:$99),1),";")),"",ROW($1:$99)),COLUMN(K236))-1)</f>
        <v/>
      </c>
      <c r="AG237" s="29" t="str">
        <f t="array" ref="AG237">MID(";"&amp;'CASE DATA'!$F237&amp;";",SMALL(IF(ISERROR(SEARCH(MID(";"&amp;'CASE DATA'!$F237&amp;";",ROW($1:$99),1),";")),"",ROW($1:$99)+1),COLUMN(L237)),SMALL(IF(ISERROR(SEARCH(MID(";"&amp;'CASE DATA'!$F237&amp;";",ROW($1:$99),1),";")),"",ROW($1:$99)),COLUMN(L236)+1)-SMALL(IF(ISERROR(SEARCH(MID(";"&amp;'CASE DATA'!$F237&amp;";",ROW($1:$99),1),";")),"",ROW($1:$99)),COLUMN(L236))-1)</f>
        <v/>
      </c>
      <c r="AH237" s="29"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24"/>
      <c r="D238" s="24"/>
      <c r="J238" s="31"/>
      <c r="K238" s="31"/>
      <c r="L238" s="31"/>
      <c r="M238" s="31"/>
      <c r="N238" s="31"/>
      <c r="O238" s="31"/>
      <c r="P238" s="31"/>
      <c r="Q238" s="31"/>
      <c r="R238" s="31"/>
      <c r="S238" s="31"/>
      <c r="T238" s="28">
        <f t="shared" si="4"/>
        <v>0</v>
      </c>
      <c r="U238" s="28"/>
      <c r="W238" s="29" t="str">
        <f t="array" ref="W238">MID(";"&amp;'CASE DATA'!$F238&amp;";",SMALL(IF(ISERROR(SEARCH(MID(";"&amp;'CASE DATA'!$F238&amp;";",ROW($1:$99),1),";")),"",ROW($1:$99)+1),COLUMN(A238)),SMALL(IF(ISERROR(SEARCH(MID(";"&amp;'CASE DATA'!$F238&amp;";",ROW($1:$99),1),";")),"",ROW($1:$99)),COLUMN(A237)+1)-SMALL(IF(ISERROR(SEARCH(MID(";"&amp;'CASE DATA'!$F238&amp;";",ROW($1:$99),1),";")),"",ROW($1:$99)),COLUMN(A237))-1)</f>
        <v/>
      </c>
      <c r="X238" s="29" t="str">
        <f t="array" ref="X238">MID(";"&amp;'CASE DATA'!$F238&amp;";",SMALL(IF(ISERROR(SEARCH(MID(";"&amp;'CASE DATA'!$F238&amp;";",ROW($1:$99),1),";")),"",ROW($1:$99)+1),COLUMN(B238)),SMALL(IF(ISERROR(SEARCH(MID(";"&amp;'CASE DATA'!$F238&amp;";",ROW($1:$99),1),";")),"",ROW($1:$99)),COLUMN(B237)+1)-SMALL(IF(ISERROR(SEARCH(MID(";"&amp;'CASE DATA'!$F238&amp;";",ROW($1:$99),1),";")),"",ROW($1:$99)),COLUMN(B237))-1)</f>
        <v/>
      </c>
      <c r="Y238" s="29" t="str">
        <f t="array" ref="Y238">MID(";"&amp;'CASE DATA'!$F238&amp;";",SMALL(IF(ISERROR(SEARCH(MID(";"&amp;'CASE DATA'!$F238&amp;";",ROW($1:$99),1),";")),"",ROW($1:$99)+1),COLUMN(D238)),SMALL(IF(ISERROR(SEARCH(MID(";"&amp;'CASE DATA'!$F238&amp;";",ROW($1:$99),1),";")),"",ROW($1:$99)),COLUMN(D237)+1)-SMALL(IF(ISERROR(SEARCH(MID(";"&amp;'CASE DATA'!$F238&amp;";",ROW($1:$99),1),";")),"",ROW($1:$99)),COLUMN(D237))-1)</f>
        <v/>
      </c>
      <c r="Z238" s="29" t="str">
        <f t="array" ref="Z238">MID(";"&amp;'CASE DATA'!$F238&amp;";",SMALL(IF(ISERROR(SEARCH(MID(";"&amp;'CASE DATA'!$F238&amp;";",ROW($1:$99),1),";")),"",ROW($1:$99)+1),COLUMN(E238)),SMALL(IF(ISERROR(SEARCH(MID(";"&amp;'CASE DATA'!$F238&amp;";",ROW($1:$99),1),";")),"",ROW($1:$99)),COLUMN(E237)+1)-SMALL(IF(ISERROR(SEARCH(MID(";"&amp;'CASE DATA'!$F238&amp;";",ROW($1:$99),1),";")),"",ROW($1:$99)),COLUMN(E237))-1)</f>
        <v/>
      </c>
      <c r="AA238" s="29" t="str">
        <f t="array" ref="AA238">MID(";"&amp;'CASE DATA'!$F238&amp;";",SMALL(IF(ISERROR(SEARCH(MID(";"&amp;'CASE DATA'!$F238&amp;";",ROW($1:$99),1),";")),"",ROW($1:$99)+1),COLUMN(F238)),SMALL(IF(ISERROR(SEARCH(MID(";"&amp;'CASE DATA'!$F238&amp;";",ROW($1:$99),1),";")),"",ROW($1:$99)),COLUMN(F237)+1)-SMALL(IF(ISERROR(SEARCH(MID(";"&amp;'CASE DATA'!$F238&amp;";",ROW($1:$99),1),";")),"",ROW($1:$99)),COLUMN(F237))-1)</f>
        <v/>
      </c>
      <c r="AB238" s="29" t="str">
        <f t="array" ref="AB238">MID(";"&amp;'CASE DATA'!$F238&amp;";",SMALL(IF(ISERROR(SEARCH(MID(";"&amp;'CASE DATA'!$F238&amp;";",ROW($1:$99),1),";")),"",ROW($1:$99)+1),COLUMN(G238)),SMALL(IF(ISERROR(SEARCH(MID(";"&amp;'CASE DATA'!$F238&amp;";",ROW($1:$99),1),";")),"",ROW($1:$99)),COLUMN(G237)+1)-SMALL(IF(ISERROR(SEARCH(MID(";"&amp;'CASE DATA'!$F238&amp;";",ROW($1:$99),1),";")),"",ROW($1:$99)),COLUMN(G237))-1)</f>
        <v/>
      </c>
      <c r="AC238" s="29" t="str">
        <f t="array" ref="AC238">MID(";"&amp;'CASE DATA'!$F238&amp;";",SMALL(IF(ISERROR(SEARCH(MID(";"&amp;'CASE DATA'!$F238&amp;";",ROW($1:$99),1),";")),"",ROW($1:$99)+1),COLUMN(H238)),SMALL(IF(ISERROR(SEARCH(MID(";"&amp;'CASE DATA'!$F238&amp;";",ROW($1:$99),1),";")),"",ROW($1:$99)),COLUMN(H237)+1)-SMALL(IF(ISERROR(SEARCH(MID(";"&amp;'CASE DATA'!$F238&amp;";",ROW($1:$99),1),";")),"",ROW($1:$99)),COLUMN(H237))-1)</f>
        <v/>
      </c>
      <c r="AD238" s="29" t="str">
        <f t="array" ref="AD238">MID(";"&amp;'CASE DATA'!$F238&amp;";",SMALL(IF(ISERROR(SEARCH(MID(";"&amp;'CASE DATA'!$F238&amp;";",ROW($1:$99),1),";")),"",ROW($1:$99)+1),COLUMN(I238)),SMALL(IF(ISERROR(SEARCH(MID(";"&amp;'CASE DATA'!$F238&amp;";",ROW($1:$99),1),";")),"",ROW($1:$99)),COLUMN(I237)+1)-SMALL(IF(ISERROR(SEARCH(MID(";"&amp;'CASE DATA'!$F238&amp;";",ROW($1:$99),1),";")),"",ROW($1:$99)),COLUMN(I237))-1)</f>
        <v/>
      </c>
      <c r="AE238" s="29" t="str">
        <f t="array" ref="AE238">MID(";"&amp;'CASE DATA'!$F238&amp;";",SMALL(IF(ISERROR(SEARCH(MID(";"&amp;'CASE DATA'!$F238&amp;";",ROW($1:$99),1),";")),"",ROW($1:$99)+1),COLUMN(J238)),SMALL(IF(ISERROR(SEARCH(MID(";"&amp;'CASE DATA'!$F238&amp;";",ROW($1:$99),1),";")),"",ROW($1:$99)),COLUMN(J237)+1)-SMALL(IF(ISERROR(SEARCH(MID(";"&amp;'CASE DATA'!$F238&amp;";",ROW($1:$99),1),";")),"",ROW($1:$99)),COLUMN(J237))-1)</f>
        <v/>
      </c>
      <c r="AF238" s="29" t="str">
        <f t="array" ref="AF238">MID(";"&amp;'CASE DATA'!$F238&amp;";",SMALL(IF(ISERROR(SEARCH(MID(";"&amp;'CASE DATA'!$F238&amp;";",ROW($1:$99),1),";")),"",ROW($1:$99)+1),COLUMN(K238)),SMALL(IF(ISERROR(SEARCH(MID(";"&amp;'CASE DATA'!$F238&amp;";",ROW($1:$99),1),";")),"",ROW($1:$99)),COLUMN(K237)+1)-SMALL(IF(ISERROR(SEARCH(MID(";"&amp;'CASE DATA'!$F238&amp;";",ROW($1:$99),1),";")),"",ROW($1:$99)),COLUMN(K237))-1)</f>
        <v/>
      </c>
      <c r="AG238" s="29" t="str">
        <f t="array" ref="AG238">MID(";"&amp;'CASE DATA'!$F238&amp;";",SMALL(IF(ISERROR(SEARCH(MID(";"&amp;'CASE DATA'!$F238&amp;";",ROW($1:$99),1),";")),"",ROW($1:$99)+1),COLUMN(L238)),SMALL(IF(ISERROR(SEARCH(MID(";"&amp;'CASE DATA'!$F238&amp;";",ROW($1:$99),1),";")),"",ROW($1:$99)),COLUMN(L237)+1)-SMALL(IF(ISERROR(SEARCH(MID(";"&amp;'CASE DATA'!$F238&amp;";",ROW($1:$99),1),";")),"",ROW($1:$99)),COLUMN(L237))-1)</f>
        <v/>
      </c>
      <c r="AH238" s="29"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24"/>
      <c r="D239" s="24"/>
      <c r="J239" s="31"/>
      <c r="K239" s="31"/>
      <c r="L239" s="31"/>
      <c r="M239" s="31"/>
      <c r="N239" s="31"/>
      <c r="O239" s="31"/>
      <c r="P239" s="31"/>
      <c r="Q239" s="31"/>
      <c r="R239" s="31"/>
      <c r="S239" s="31"/>
      <c r="T239" s="28">
        <f t="shared" si="4"/>
        <v>0</v>
      </c>
      <c r="U239" s="28"/>
      <c r="W239" s="29" t="str">
        <f t="array" ref="W239">MID(";"&amp;'CASE DATA'!$F239&amp;";",SMALL(IF(ISERROR(SEARCH(MID(";"&amp;'CASE DATA'!$F239&amp;";",ROW($1:$99),1),";")),"",ROW($1:$99)+1),COLUMN(A239)),SMALL(IF(ISERROR(SEARCH(MID(";"&amp;'CASE DATA'!$F239&amp;";",ROW($1:$99),1),";")),"",ROW($1:$99)),COLUMN(A238)+1)-SMALL(IF(ISERROR(SEARCH(MID(";"&amp;'CASE DATA'!$F239&amp;";",ROW($1:$99),1),";")),"",ROW($1:$99)),COLUMN(A238))-1)</f>
        <v/>
      </c>
      <c r="X239" s="29" t="str">
        <f t="array" ref="X239">MID(";"&amp;'CASE DATA'!$F239&amp;";",SMALL(IF(ISERROR(SEARCH(MID(";"&amp;'CASE DATA'!$F239&amp;";",ROW($1:$99),1),";")),"",ROW($1:$99)+1),COLUMN(B239)),SMALL(IF(ISERROR(SEARCH(MID(";"&amp;'CASE DATA'!$F239&amp;";",ROW($1:$99),1),";")),"",ROW($1:$99)),COLUMN(B238)+1)-SMALL(IF(ISERROR(SEARCH(MID(";"&amp;'CASE DATA'!$F239&amp;";",ROW($1:$99),1),";")),"",ROW($1:$99)),COLUMN(B238))-1)</f>
        <v/>
      </c>
      <c r="Y239" s="29" t="str">
        <f t="array" ref="Y239">MID(";"&amp;'CASE DATA'!$F239&amp;";",SMALL(IF(ISERROR(SEARCH(MID(";"&amp;'CASE DATA'!$F239&amp;";",ROW($1:$99),1),";")),"",ROW($1:$99)+1),COLUMN(D239)),SMALL(IF(ISERROR(SEARCH(MID(";"&amp;'CASE DATA'!$F239&amp;";",ROW($1:$99),1),";")),"",ROW($1:$99)),COLUMN(D238)+1)-SMALL(IF(ISERROR(SEARCH(MID(";"&amp;'CASE DATA'!$F239&amp;";",ROW($1:$99),1),";")),"",ROW($1:$99)),COLUMN(D238))-1)</f>
        <v/>
      </c>
      <c r="Z239" s="29" t="str">
        <f t="array" ref="Z239">MID(";"&amp;'CASE DATA'!$F239&amp;";",SMALL(IF(ISERROR(SEARCH(MID(";"&amp;'CASE DATA'!$F239&amp;";",ROW($1:$99),1),";")),"",ROW($1:$99)+1),COLUMN(E239)),SMALL(IF(ISERROR(SEARCH(MID(";"&amp;'CASE DATA'!$F239&amp;";",ROW($1:$99),1),";")),"",ROW($1:$99)),COLUMN(E238)+1)-SMALL(IF(ISERROR(SEARCH(MID(";"&amp;'CASE DATA'!$F239&amp;";",ROW($1:$99),1),";")),"",ROW($1:$99)),COLUMN(E238))-1)</f>
        <v/>
      </c>
      <c r="AA239" s="29" t="str">
        <f t="array" ref="AA239">MID(";"&amp;'CASE DATA'!$F239&amp;";",SMALL(IF(ISERROR(SEARCH(MID(";"&amp;'CASE DATA'!$F239&amp;";",ROW($1:$99),1),";")),"",ROW($1:$99)+1),COLUMN(F239)),SMALL(IF(ISERROR(SEARCH(MID(";"&amp;'CASE DATA'!$F239&amp;";",ROW($1:$99),1),";")),"",ROW($1:$99)),COLUMN(F238)+1)-SMALL(IF(ISERROR(SEARCH(MID(";"&amp;'CASE DATA'!$F239&amp;";",ROW($1:$99),1),";")),"",ROW($1:$99)),COLUMN(F238))-1)</f>
        <v/>
      </c>
      <c r="AB239" s="29" t="str">
        <f t="array" ref="AB239">MID(";"&amp;'CASE DATA'!$F239&amp;";",SMALL(IF(ISERROR(SEARCH(MID(";"&amp;'CASE DATA'!$F239&amp;";",ROW($1:$99),1),";")),"",ROW($1:$99)+1),COLUMN(G239)),SMALL(IF(ISERROR(SEARCH(MID(";"&amp;'CASE DATA'!$F239&amp;";",ROW($1:$99),1),";")),"",ROW($1:$99)),COLUMN(G238)+1)-SMALL(IF(ISERROR(SEARCH(MID(";"&amp;'CASE DATA'!$F239&amp;";",ROW($1:$99),1),";")),"",ROW($1:$99)),COLUMN(G238))-1)</f>
        <v/>
      </c>
      <c r="AC239" s="29" t="str">
        <f t="array" ref="AC239">MID(";"&amp;'CASE DATA'!$F239&amp;";",SMALL(IF(ISERROR(SEARCH(MID(";"&amp;'CASE DATA'!$F239&amp;";",ROW($1:$99),1),";")),"",ROW($1:$99)+1),COLUMN(H239)),SMALL(IF(ISERROR(SEARCH(MID(";"&amp;'CASE DATA'!$F239&amp;";",ROW($1:$99),1),";")),"",ROW($1:$99)),COLUMN(H238)+1)-SMALL(IF(ISERROR(SEARCH(MID(";"&amp;'CASE DATA'!$F239&amp;";",ROW($1:$99),1),";")),"",ROW($1:$99)),COLUMN(H238))-1)</f>
        <v/>
      </c>
      <c r="AD239" s="29" t="str">
        <f t="array" ref="AD239">MID(";"&amp;'CASE DATA'!$F239&amp;";",SMALL(IF(ISERROR(SEARCH(MID(";"&amp;'CASE DATA'!$F239&amp;";",ROW($1:$99),1),";")),"",ROW($1:$99)+1),COLUMN(I239)),SMALL(IF(ISERROR(SEARCH(MID(";"&amp;'CASE DATA'!$F239&amp;";",ROW($1:$99),1),";")),"",ROW($1:$99)),COLUMN(I238)+1)-SMALL(IF(ISERROR(SEARCH(MID(";"&amp;'CASE DATA'!$F239&amp;";",ROW($1:$99),1),";")),"",ROW($1:$99)),COLUMN(I238))-1)</f>
        <v/>
      </c>
      <c r="AE239" s="29" t="str">
        <f t="array" ref="AE239">MID(";"&amp;'CASE DATA'!$F239&amp;";",SMALL(IF(ISERROR(SEARCH(MID(";"&amp;'CASE DATA'!$F239&amp;";",ROW($1:$99),1),";")),"",ROW($1:$99)+1),COLUMN(J239)),SMALL(IF(ISERROR(SEARCH(MID(";"&amp;'CASE DATA'!$F239&amp;";",ROW($1:$99),1),";")),"",ROW($1:$99)),COLUMN(J238)+1)-SMALL(IF(ISERROR(SEARCH(MID(";"&amp;'CASE DATA'!$F239&amp;";",ROW($1:$99),1),";")),"",ROW($1:$99)),COLUMN(J238))-1)</f>
        <v/>
      </c>
      <c r="AF239" s="29" t="str">
        <f t="array" ref="AF239">MID(";"&amp;'CASE DATA'!$F239&amp;";",SMALL(IF(ISERROR(SEARCH(MID(";"&amp;'CASE DATA'!$F239&amp;";",ROW($1:$99),1),";")),"",ROW($1:$99)+1),COLUMN(K239)),SMALL(IF(ISERROR(SEARCH(MID(";"&amp;'CASE DATA'!$F239&amp;";",ROW($1:$99),1),";")),"",ROW($1:$99)),COLUMN(K238)+1)-SMALL(IF(ISERROR(SEARCH(MID(";"&amp;'CASE DATA'!$F239&amp;";",ROW($1:$99),1),";")),"",ROW($1:$99)),COLUMN(K238))-1)</f>
        <v/>
      </c>
      <c r="AG239" s="29" t="str">
        <f t="array" ref="AG239">MID(";"&amp;'CASE DATA'!$F239&amp;";",SMALL(IF(ISERROR(SEARCH(MID(";"&amp;'CASE DATA'!$F239&amp;";",ROW($1:$99),1),";")),"",ROW($1:$99)+1),COLUMN(L239)),SMALL(IF(ISERROR(SEARCH(MID(";"&amp;'CASE DATA'!$F239&amp;";",ROW($1:$99),1),";")),"",ROW($1:$99)),COLUMN(L238)+1)-SMALL(IF(ISERROR(SEARCH(MID(";"&amp;'CASE DATA'!$F239&amp;";",ROW($1:$99),1),";")),"",ROW($1:$99)),COLUMN(L238))-1)</f>
        <v/>
      </c>
      <c r="AH239" s="29"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24"/>
      <c r="D240" s="24"/>
      <c r="J240" s="31"/>
      <c r="K240" s="31"/>
      <c r="L240" s="31"/>
      <c r="M240" s="31"/>
      <c r="N240" s="31"/>
      <c r="O240" s="31"/>
      <c r="P240" s="31"/>
      <c r="Q240" s="31"/>
      <c r="R240" s="31"/>
      <c r="S240" s="31"/>
      <c r="T240" s="28">
        <f t="shared" si="4"/>
        <v>0</v>
      </c>
      <c r="U240" s="28"/>
      <c r="W240" s="29" t="str">
        <f t="array" ref="W240">MID(";"&amp;'CASE DATA'!$F240&amp;";",SMALL(IF(ISERROR(SEARCH(MID(";"&amp;'CASE DATA'!$F240&amp;";",ROW($1:$99),1),";")),"",ROW($1:$99)+1),COLUMN(A240)),SMALL(IF(ISERROR(SEARCH(MID(";"&amp;'CASE DATA'!$F240&amp;";",ROW($1:$99),1),";")),"",ROW($1:$99)),COLUMN(A239)+1)-SMALL(IF(ISERROR(SEARCH(MID(";"&amp;'CASE DATA'!$F240&amp;";",ROW($1:$99),1),";")),"",ROW($1:$99)),COLUMN(A239))-1)</f>
        <v/>
      </c>
      <c r="X240" s="29" t="str">
        <f t="array" ref="X240">MID(";"&amp;'CASE DATA'!$F240&amp;";",SMALL(IF(ISERROR(SEARCH(MID(";"&amp;'CASE DATA'!$F240&amp;";",ROW($1:$99),1),";")),"",ROW($1:$99)+1),COLUMN(B240)),SMALL(IF(ISERROR(SEARCH(MID(";"&amp;'CASE DATA'!$F240&amp;";",ROW($1:$99),1),";")),"",ROW($1:$99)),COLUMN(B239)+1)-SMALL(IF(ISERROR(SEARCH(MID(";"&amp;'CASE DATA'!$F240&amp;";",ROW($1:$99),1),";")),"",ROW($1:$99)),COLUMN(B239))-1)</f>
        <v/>
      </c>
      <c r="Y240" s="29" t="str">
        <f t="array" ref="Y240">MID(";"&amp;'CASE DATA'!$F240&amp;";",SMALL(IF(ISERROR(SEARCH(MID(";"&amp;'CASE DATA'!$F240&amp;";",ROW($1:$99),1),";")),"",ROW($1:$99)+1),COLUMN(D240)),SMALL(IF(ISERROR(SEARCH(MID(";"&amp;'CASE DATA'!$F240&amp;";",ROW($1:$99),1),";")),"",ROW($1:$99)),COLUMN(D239)+1)-SMALL(IF(ISERROR(SEARCH(MID(";"&amp;'CASE DATA'!$F240&amp;";",ROW($1:$99),1),";")),"",ROW($1:$99)),COLUMN(D239))-1)</f>
        <v/>
      </c>
      <c r="Z240" s="29" t="str">
        <f t="array" ref="Z240">MID(";"&amp;'CASE DATA'!$F240&amp;";",SMALL(IF(ISERROR(SEARCH(MID(";"&amp;'CASE DATA'!$F240&amp;";",ROW($1:$99),1),";")),"",ROW($1:$99)+1),COLUMN(E240)),SMALL(IF(ISERROR(SEARCH(MID(";"&amp;'CASE DATA'!$F240&amp;";",ROW($1:$99),1),";")),"",ROW($1:$99)),COLUMN(E239)+1)-SMALL(IF(ISERROR(SEARCH(MID(";"&amp;'CASE DATA'!$F240&amp;";",ROW($1:$99),1),";")),"",ROW($1:$99)),COLUMN(E239))-1)</f>
        <v/>
      </c>
      <c r="AA240" s="29" t="str">
        <f t="array" ref="AA240">MID(";"&amp;'CASE DATA'!$F240&amp;";",SMALL(IF(ISERROR(SEARCH(MID(";"&amp;'CASE DATA'!$F240&amp;";",ROW($1:$99),1),";")),"",ROW($1:$99)+1),COLUMN(F240)),SMALL(IF(ISERROR(SEARCH(MID(";"&amp;'CASE DATA'!$F240&amp;";",ROW($1:$99),1),";")),"",ROW($1:$99)),COLUMN(F239)+1)-SMALL(IF(ISERROR(SEARCH(MID(";"&amp;'CASE DATA'!$F240&amp;";",ROW($1:$99),1),";")),"",ROW($1:$99)),COLUMN(F239))-1)</f>
        <v/>
      </c>
      <c r="AB240" s="29" t="str">
        <f t="array" ref="AB240">MID(";"&amp;'CASE DATA'!$F240&amp;";",SMALL(IF(ISERROR(SEARCH(MID(";"&amp;'CASE DATA'!$F240&amp;";",ROW($1:$99),1),";")),"",ROW($1:$99)+1),COLUMN(G240)),SMALL(IF(ISERROR(SEARCH(MID(";"&amp;'CASE DATA'!$F240&amp;";",ROW($1:$99),1),";")),"",ROW($1:$99)),COLUMN(G239)+1)-SMALL(IF(ISERROR(SEARCH(MID(";"&amp;'CASE DATA'!$F240&amp;";",ROW($1:$99),1),";")),"",ROW($1:$99)),COLUMN(G239))-1)</f>
        <v/>
      </c>
      <c r="AC240" s="29" t="str">
        <f t="array" ref="AC240">MID(";"&amp;'CASE DATA'!$F240&amp;";",SMALL(IF(ISERROR(SEARCH(MID(";"&amp;'CASE DATA'!$F240&amp;";",ROW($1:$99),1),";")),"",ROW($1:$99)+1),COLUMN(H240)),SMALL(IF(ISERROR(SEARCH(MID(";"&amp;'CASE DATA'!$F240&amp;";",ROW($1:$99),1),";")),"",ROW($1:$99)),COLUMN(H239)+1)-SMALL(IF(ISERROR(SEARCH(MID(";"&amp;'CASE DATA'!$F240&amp;";",ROW($1:$99),1),";")),"",ROW($1:$99)),COLUMN(H239))-1)</f>
        <v/>
      </c>
      <c r="AD240" s="29" t="str">
        <f t="array" ref="AD240">MID(";"&amp;'CASE DATA'!$F240&amp;";",SMALL(IF(ISERROR(SEARCH(MID(";"&amp;'CASE DATA'!$F240&amp;";",ROW($1:$99),1),";")),"",ROW($1:$99)+1),COLUMN(I240)),SMALL(IF(ISERROR(SEARCH(MID(";"&amp;'CASE DATA'!$F240&amp;";",ROW($1:$99),1),";")),"",ROW($1:$99)),COLUMN(I239)+1)-SMALL(IF(ISERROR(SEARCH(MID(";"&amp;'CASE DATA'!$F240&amp;";",ROW($1:$99),1),";")),"",ROW($1:$99)),COLUMN(I239))-1)</f>
        <v/>
      </c>
      <c r="AE240" s="29" t="str">
        <f t="array" ref="AE240">MID(";"&amp;'CASE DATA'!$F240&amp;";",SMALL(IF(ISERROR(SEARCH(MID(";"&amp;'CASE DATA'!$F240&amp;";",ROW($1:$99),1),";")),"",ROW($1:$99)+1),COLUMN(J240)),SMALL(IF(ISERROR(SEARCH(MID(";"&amp;'CASE DATA'!$F240&amp;";",ROW($1:$99),1),";")),"",ROW($1:$99)),COLUMN(J239)+1)-SMALL(IF(ISERROR(SEARCH(MID(";"&amp;'CASE DATA'!$F240&amp;";",ROW($1:$99),1),";")),"",ROW($1:$99)),COLUMN(J239))-1)</f>
        <v/>
      </c>
      <c r="AF240" s="29" t="str">
        <f t="array" ref="AF240">MID(";"&amp;'CASE DATA'!$F240&amp;";",SMALL(IF(ISERROR(SEARCH(MID(";"&amp;'CASE DATA'!$F240&amp;";",ROW($1:$99),1),";")),"",ROW($1:$99)+1),COLUMN(K240)),SMALL(IF(ISERROR(SEARCH(MID(";"&amp;'CASE DATA'!$F240&amp;";",ROW($1:$99),1),";")),"",ROW($1:$99)),COLUMN(K239)+1)-SMALL(IF(ISERROR(SEARCH(MID(";"&amp;'CASE DATA'!$F240&amp;";",ROW($1:$99),1),";")),"",ROW($1:$99)),COLUMN(K239))-1)</f>
        <v/>
      </c>
      <c r="AG240" s="29" t="str">
        <f t="array" ref="AG240">MID(";"&amp;'CASE DATA'!$F240&amp;";",SMALL(IF(ISERROR(SEARCH(MID(";"&amp;'CASE DATA'!$F240&amp;";",ROW($1:$99),1),";")),"",ROW($1:$99)+1),COLUMN(L240)),SMALL(IF(ISERROR(SEARCH(MID(";"&amp;'CASE DATA'!$F240&amp;";",ROW($1:$99),1),";")),"",ROW($1:$99)),COLUMN(L239)+1)-SMALL(IF(ISERROR(SEARCH(MID(";"&amp;'CASE DATA'!$F240&amp;";",ROW($1:$99),1),";")),"",ROW($1:$99)),COLUMN(L239))-1)</f>
        <v/>
      </c>
      <c r="AH240" s="29"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24"/>
      <c r="D241" s="24"/>
      <c r="J241" s="31"/>
      <c r="K241" s="31"/>
      <c r="L241" s="31"/>
      <c r="M241" s="31"/>
      <c r="N241" s="31"/>
      <c r="O241" s="31"/>
      <c r="P241" s="31"/>
      <c r="Q241" s="31"/>
      <c r="R241" s="31"/>
      <c r="S241" s="31"/>
      <c r="T241" s="28">
        <f t="shared" si="4"/>
        <v>0</v>
      </c>
      <c r="U241" s="28"/>
      <c r="W241" s="29" t="str">
        <f t="array" ref="W241">MID(";"&amp;'CASE DATA'!$F241&amp;";",SMALL(IF(ISERROR(SEARCH(MID(";"&amp;'CASE DATA'!$F241&amp;";",ROW($1:$99),1),";")),"",ROW($1:$99)+1),COLUMN(A241)),SMALL(IF(ISERROR(SEARCH(MID(";"&amp;'CASE DATA'!$F241&amp;";",ROW($1:$99),1),";")),"",ROW($1:$99)),COLUMN(A240)+1)-SMALL(IF(ISERROR(SEARCH(MID(";"&amp;'CASE DATA'!$F241&amp;";",ROW($1:$99),1),";")),"",ROW($1:$99)),COLUMN(A240))-1)</f>
        <v/>
      </c>
      <c r="X241" s="29" t="str">
        <f t="array" ref="X241">MID(";"&amp;'CASE DATA'!$F241&amp;";",SMALL(IF(ISERROR(SEARCH(MID(";"&amp;'CASE DATA'!$F241&amp;";",ROW($1:$99),1),";")),"",ROW($1:$99)+1),COLUMN(B241)),SMALL(IF(ISERROR(SEARCH(MID(";"&amp;'CASE DATA'!$F241&amp;";",ROW($1:$99),1),";")),"",ROW($1:$99)),COLUMN(B240)+1)-SMALL(IF(ISERROR(SEARCH(MID(";"&amp;'CASE DATA'!$F241&amp;";",ROW($1:$99),1),";")),"",ROW($1:$99)),COLUMN(B240))-1)</f>
        <v/>
      </c>
      <c r="Y241" s="29" t="str">
        <f t="array" ref="Y241">MID(";"&amp;'CASE DATA'!$F241&amp;";",SMALL(IF(ISERROR(SEARCH(MID(";"&amp;'CASE DATA'!$F241&amp;";",ROW($1:$99),1),";")),"",ROW($1:$99)+1),COLUMN(D241)),SMALL(IF(ISERROR(SEARCH(MID(";"&amp;'CASE DATA'!$F241&amp;";",ROW($1:$99),1),";")),"",ROW($1:$99)),COLUMN(D240)+1)-SMALL(IF(ISERROR(SEARCH(MID(";"&amp;'CASE DATA'!$F241&amp;";",ROW($1:$99),1),";")),"",ROW($1:$99)),COLUMN(D240))-1)</f>
        <v/>
      </c>
      <c r="Z241" s="29" t="str">
        <f t="array" ref="Z241">MID(";"&amp;'CASE DATA'!$F241&amp;";",SMALL(IF(ISERROR(SEARCH(MID(";"&amp;'CASE DATA'!$F241&amp;";",ROW($1:$99),1),";")),"",ROW($1:$99)+1),COLUMN(E241)),SMALL(IF(ISERROR(SEARCH(MID(";"&amp;'CASE DATA'!$F241&amp;";",ROW($1:$99),1),";")),"",ROW($1:$99)),COLUMN(E240)+1)-SMALL(IF(ISERROR(SEARCH(MID(";"&amp;'CASE DATA'!$F241&amp;";",ROW($1:$99),1),";")),"",ROW($1:$99)),COLUMN(E240))-1)</f>
        <v/>
      </c>
      <c r="AA241" s="29" t="str">
        <f t="array" ref="AA241">MID(";"&amp;'CASE DATA'!$F241&amp;";",SMALL(IF(ISERROR(SEARCH(MID(";"&amp;'CASE DATA'!$F241&amp;";",ROW($1:$99),1),";")),"",ROW($1:$99)+1),COLUMN(F241)),SMALL(IF(ISERROR(SEARCH(MID(";"&amp;'CASE DATA'!$F241&amp;";",ROW($1:$99),1),";")),"",ROW($1:$99)),COLUMN(F240)+1)-SMALL(IF(ISERROR(SEARCH(MID(";"&amp;'CASE DATA'!$F241&amp;";",ROW($1:$99),1),";")),"",ROW($1:$99)),COLUMN(F240))-1)</f>
        <v/>
      </c>
      <c r="AB241" s="29" t="str">
        <f t="array" ref="AB241">MID(";"&amp;'CASE DATA'!$F241&amp;";",SMALL(IF(ISERROR(SEARCH(MID(";"&amp;'CASE DATA'!$F241&amp;";",ROW($1:$99),1),";")),"",ROW($1:$99)+1),COLUMN(G241)),SMALL(IF(ISERROR(SEARCH(MID(";"&amp;'CASE DATA'!$F241&amp;";",ROW($1:$99),1),";")),"",ROW($1:$99)),COLUMN(G240)+1)-SMALL(IF(ISERROR(SEARCH(MID(";"&amp;'CASE DATA'!$F241&amp;";",ROW($1:$99),1),";")),"",ROW($1:$99)),COLUMN(G240))-1)</f>
        <v/>
      </c>
      <c r="AC241" s="29" t="str">
        <f t="array" ref="AC241">MID(";"&amp;'CASE DATA'!$F241&amp;";",SMALL(IF(ISERROR(SEARCH(MID(";"&amp;'CASE DATA'!$F241&amp;";",ROW($1:$99),1),";")),"",ROW($1:$99)+1),COLUMN(H241)),SMALL(IF(ISERROR(SEARCH(MID(";"&amp;'CASE DATA'!$F241&amp;";",ROW($1:$99),1),";")),"",ROW($1:$99)),COLUMN(H240)+1)-SMALL(IF(ISERROR(SEARCH(MID(";"&amp;'CASE DATA'!$F241&amp;";",ROW($1:$99),1),";")),"",ROW($1:$99)),COLUMN(H240))-1)</f>
        <v/>
      </c>
      <c r="AD241" s="29" t="str">
        <f t="array" ref="AD241">MID(";"&amp;'CASE DATA'!$F241&amp;";",SMALL(IF(ISERROR(SEARCH(MID(";"&amp;'CASE DATA'!$F241&amp;";",ROW($1:$99),1),";")),"",ROW($1:$99)+1),COLUMN(I241)),SMALL(IF(ISERROR(SEARCH(MID(";"&amp;'CASE DATA'!$F241&amp;";",ROW($1:$99),1),";")),"",ROW($1:$99)),COLUMN(I240)+1)-SMALL(IF(ISERROR(SEARCH(MID(";"&amp;'CASE DATA'!$F241&amp;";",ROW($1:$99),1),";")),"",ROW($1:$99)),COLUMN(I240))-1)</f>
        <v/>
      </c>
      <c r="AE241" s="29" t="str">
        <f t="array" ref="AE241">MID(";"&amp;'CASE DATA'!$F241&amp;";",SMALL(IF(ISERROR(SEARCH(MID(";"&amp;'CASE DATA'!$F241&amp;";",ROW($1:$99),1),";")),"",ROW($1:$99)+1),COLUMN(J241)),SMALL(IF(ISERROR(SEARCH(MID(";"&amp;'CASE DATA'!$F241&amp;";",ROW($1:$99),1),";")),"",ROW($1:$99)),COLUMN(J240)+1)-SMALL(IF(ISERROR(SEARCH(MID(";"&amp;'CASE DATA'!$F241&amp;";",ROW($1:$99),1),";")),"",ROW($1:$99)),COLUMN(J240))-1)</f>
        <v/>
      </c>
      <c r="AF241" s="29" t="str">
        <f t="array" ref="AF241">MID(";"&amp;'CASE DATA'!$F241&amp;";",SMALL(IF(ISERROR(SEARCH(MID(";"&amp;'CASE DATA'!$F241&amp;";",ROW($1:$99),1),";")),"",ROW($1:$99)+1),COLUMN(K241)),SMALL(IF(ISERROR(SEARCH(MID(";"&amp;'CASE DATA'!$F241&amp;";",ROW($1:$99),1),";")),"",ROW($1:$99)),COLUMN(K240)+1)-SMALL(IF(ISERROR(SEARCH(MID(";"&amp;'CASE DATA'!$F241&amp;";",ROW($1:$99),1),";")),"",ROW($1:$99)),COLUMN(K240))-1)</f>
        <v/>
      </c>
      <c r="AG241" s="29" t="str">
        <f t="array" ref="AG241">MID(";"&amp;'CASE DATA'!$F241&amp;";",SMALL(IF(ISERROR(SEARCH(MID(";"&amp;'CASE DATA'!$F241&amp;";",ROW($1:$99),1),";")),"",ROW($1:$99)+1),COLUMN(L241)),SMALL(IF(ISERROR(SEARCH(MID(";"&amp;'CASE DATA'!$F241&amp;";",ROW($1:$99),1),";")),"",ROW($1:$99)),COLUMN(L240)+1)-SMALL(IF(ISERROR(SEARCH(MID(";"&amp;'CASE DATA'!$F241&amp;";",ROW($1:$99),1),";")),"",ROW($1:$99)),COLUMN(L240))-1)</f>
        <v/>
      </c>
      <c r="AH241" s="29"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24"/>
      <c r="D242" s="24"/>
      <c r="J242" s="31"/>
      <c r="K242" s="31"/>
      <c r="L242" s="31"/>
      <c r="M242" s="31"/>
      <c r="N242" s="31"/>
      <c r="O242" s="31"/>
      <c r="P242" s="31"/>
      <c r="Q242" s="31"/>
      <c r="R242" s="31"/>
      <c r="S242" s="31"/>
      <c r="T242" s="28">
        <f t="shared" si="4"/>
        <v>0</v>
      </c>
      <c r="U242" s="28"/>
      <c r="W242" s="29" t="str">
        <f t="array" ref="W242">MID(";"&amp;'CASE DATA'!$F242&amp;";",SMALL(IF(ISERROR(SEARCH(MID(";"&amp;'CASE DATA'!$F242&amp;";",ROW($1:$99),1),";")),"",ROW($1:$99)+1),COLUMN(A242)),SMALL(IF(ISERROR(SEARCH(MID(";"&amp;'CASE DATA'!$F242&amp;";",ROW($1:$99),1),";")),"",ROW($1:$99)),COLUMN(A241)+1)-SMALL(IF(ISERROR(SEARCH(MID(";"&amp;'CASE DATA'!$F242&amp;";",ROW($1:$99),1),";")),"",ROW($1:$99)),COLUMN(A241))-1)</f>
        <v/>
      </c>
      <c r="X242" s="29" t="str">
        <f t="array" ref="X242">MID(";"&amp;'CASE DATA'!$F242&amp;";",SMALL(IF(ISERROR(SEARCH(MID(";"&amp;'CASE DATA'!$F242&amp;";",ROW($1:$99),1),";")),"",ROW($1:$99)+1),COLUMN(B242)),SMALL(IF(ISERROR(SEARCH(MID(";"&amp;'CASE DATA'!$F242&amp;";",ROW($1:$99),1),";")),"",ROW($1:$99)),COLUMN(B241)+1)-SMALL(IF(ISERROR(SEARCH(MID(";"&amp;'CASE DATA'!$F242&amp;";",ROW($1:$99),1),";")),"",ROW($1:$99)),COLUMN(B241))-1)</f>
        <v/>
      </c>
      <c r="Y242" s="29" t="str">
        <f t="array" ref="Y242">MID(";"&amp;'CASE DATA'!$F242&amp;";",SMALL(IF(ISERROR(SEARCH(MID(";"&amp;'CASE DATA'!$F242&amp;";",ROW($1:$99),1),";")),"",ROW($1:$99)+1),COLUMN(D242)),SMALL(IF(ISERROR(SEARCH(MID(";"&amp;'CASE DATA'!$F242&amp;";",ROW($1:$99),1),";")),"",ROW($1:$99)),COLUMN(D241)+1)-SMALL(IF(ISERROR(SEARCH(MID(";"&amp;'CASE DATA'!$F242&amp;";",ROW($1:$99),1),";")),"",ROW($1:$99)),COLUMN(D241))-1)</f>
        <v/>
      </c>
      <c r="Z242" s="29" t="str">
        <f t="array" ref="Z242">MID(";"&amp;'CASE DATA'!$F242&amp;";",SMALL(IF(ISERROR(SEARCH(MID(";"&amp;'CASE DATA'!$F242&amp;";",ROW($1:$99),1),";")),"",ROW($1:$99)+1),COLUMN(E242)),SMALL(IF(ISERROR(SEARCH(MID(";"&amp;'CASE DATA'!$F242&amp;";",ROW($1:$99),1),";")),"",ROW($1:$99)),COLUMN(E241)+1)-SMALL(IF(ISERROR(SEARCH(MID(";"&amp;'CASE DATA'!$F242&amp;";",ROW($1:$99),1),";")),"",ROW($1:$99)),COLUMN(E241))-1)</f>
        <v/>
      </c>
      <c r="AA242" s="29" t="str">
        <f t="array" ref="AA242">MID(";"&amp;'CASE DATA'!$F242&amp;";",SMALL(IF(ISERROR(SEARCH(MID(";"&amp;'CASE DATA'!$F242&amp;";",ROW($1:$99),1),";")),"",ROW($1:$99)+1),COLUMN(F242)),SMALL(IF(ISERROR(SEARCH(MID(";"&amp;'CASE DATA'!$F242&amp;";",ROW($1:$99),1),";")),"",ROW($1:$99)),COLUMN(F241)+1)-SMALL(IF(ISERROR(SEARCH(MID(";"&amp;'CASE DATA'!$F242&amp;";",ROW($1:$99),1),";")),"",ROW($1:$99)),COLUMN(F241))-1)</f>
        <v/>
      </c>
      <c r="AB242" s="29" t="str">
        <f t="array" ref="AB242">MID(";"&amp;'CASE DATA'!$F242&amp;";",SMALL(IF(ISERROR(SEARCH(MID(";"&amp;'CASE DATA'!$F242&amp;";",ROW($1:$99),1),";")),"",ROW($1:$99)+1),COLUMN(G242)),SMALL(IF(ISERROR(SEARCH(MID(";"&amp;'CASE DATA'!$F242&amp;";",ROW($1:$99),1),";")),"",ROW($1:$99)),COLUMN(G241)+1)-SMALL(IF(ISERROR(SEARCH(MID(";"&amp;'CASE DATA'!$F242&amp;";",ROW($1:$99),1),";")),"",ROW($1:$99)),COLUMN(G241))-1)</f>
        <v/>
      </c>
      <c r="AC242" s="29" t="str">
        <f t="array" ref="AC242">MID(";"&amp;'CASE DATA'!$F242&amp;";",SMALL(IF(ISERROR(SEARCH(MID(";"&amp;'CASE DATA'!$F242&amp;";",ROW($1:$99),1),";")),"",ROW($1:$99)+1),COLUMN(H242)),SMALL(IF(ISERROR(SEARCH(MID(";"&amp;'CASE DATA'!$F242&amp;";",ROW($1:$99),1),";")),"",ROW($1:$99)),COLUMN(H241)+1)-SMALL(IF(ISERROR(SEARCH(MID(";"&amp;'CASE DATA'!$F242&amp;";",ROW($1:$99),1),";")),"",ROW($1:$99)),COLUMN(H241))-1)</f>
        <v/>
      </c>
      <c r="AD242" s="29" t="str">
        <f t="array" ref="AD242">MID(";"&amp;'CASE DATA'!$F242&amp;";",SMALL(IF(ISERROR(SEARCH(MID(";"&amp;'CASE DATA'!$F242&amp;";",ROW($1:$99),1),";")),"",ROW($1:$99)+1),COLUMN(I242)),SMALL(IF(ISERROR(SEARCH(MID(";"&amp;'CASE DATA'!$F242&amp;";",ROW($1:$99),1),";")),"",ROW($1:$99)),COLUMN(I241)+1)-SMALL(IF(ISERROR(SEARCH(MID(";"&amp;'CASE DATA'!$F242&amp;";",ROW($1:$99),1),";")),"",ROW($1:$99)),COLUMN(I241))-1)</f>
        <v/>
      </c>
      <c r="AE242" s="29" t="str">
        <f t="array" ref="AE242">MID(";"&amp;'CASE DATA'!$F242&amp;";",SMALL(IF(ISERROR(SEARCH(MID(";"&amp;'CASE DATA'!$F242&amp;";",ROW($1:$99),1),";")),"",ROW($1:$99)+1),COLUMN(J242)),SMALL(IF(ISERROR(SEARCH(MID(";"&amp;'CASE DATA'!$F242&amp;";",ROW($1:$99),1),";")),"",ROW($1:$99)),COLUMN(J241)+1)-SMALL(IF(ISERROR(SEARCH(MID(";"&amp;'CASE DATA'!$F242&amp;";",ROW($1:$99),1),";")),"",ROW($1:$99)),COLUMN(J241))-1)</f>
        <v/>
      </c>
      <c r="AF242" s="29" t="str">
        <f t="array" ref="AF242">MID(";"&amp;'CASE DATA'!$F242&amp;";",SMALL(IF(ISERROR(SEARCH(MID(";"&amp;'CASE DATA'!$F242&amp;";",ROW($1:$99),1),";")),"",ROW($1:$99)+1),COLUMN(K242)),SMALL(IF(ISERROR(SEARCH(MID(";"&amp;'CASE DATA'!$F242&amp;";",ROW($1:$99),1),";")),"",ROW($1:$99)),COLUMN(K241)+1)-SMALL(IF(ISERROR(SEARCH(MID(";"&amp;'CASE DATA'!$F242&amp;";",ROW($1:$99),1),";")),"",ROW($1:$99)),COLUMN(K241))-1)</f>
        <v/>
      </c>
      <c r="AG242" s="29" t="str">
        <f t="array" ref="AG242">MID(";"&amp;'CASE DATA'!$F242&amp;";",SMALL(IF(ISERROR(SEARCH(MID(";"&amp;'CASE DATA'!$F242&amp;";",ROW($1:$99),1),";")),"",ROW($1:$99)+1),COLUMN(L242)),SMALL(IF(ISERROR(SEARCH(MID(";"&amp;'CASE DATA'!$F242&amp;";",ROW($1:$99),1),";")),"",ROW($1:$99)),COLUMN(L241)+1)-SMALL(IF(ISERROR(SEARCH(MID(";"&amp;'CASE DATA'!$F242&amp;";",ROW($1:$99),1),";")),"",ROW($1:$99)),COLUMN(L241))-1)</f>
        <v/>
      </c>
      <c r="AH242" s="29"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24"/>
      <c r="D243" s="24"/>
      <c r="J243" s="31"/>
      <c r="K243" s="31"/>
      <c r="L243" s="31"/>
      <c r="M243" s="31"/>
      <c r="N243" s="31"/>
      <c r="O243" s="31"/>
      <c r="P243" s="31"/>
      <c r="Q243" s="31"/>
      <c r="R243" s="31"/>
      <c r="S243" s="31"/>
      <c r="T243" s="28">
        <f t="shared" si="4"/>
        <v>0</v>
      </c>
      <c r="U243" s="28"/>
      <c r="W243" s="29" t="str">
        <f t="array" ref="W243">MID(";"&amp;'CASE DATA'!$F243&amp;";",SMALL(IF(ISERROR(SEARCH(MID(";"&amp;'CASE DATA'!$F243&amp;";",ROW($1:$99),1),";")),"",ROW($1:$99)+1),COLUMN(A243)),SMALL(IF(ISERROR(SEARCH(MID(";"&amp;'CASE DATA'!$F243&amp;";",ROW($1:$99),1),";")),"",ROW($1:$99)),COLUMN(A242)+1)-SMALL(IF(ISERROR(SEARCH(MID(";"&amp;'CASE DATA'!$F243&amp;";",ROW($1:$99),1),";")),"",ROW($1:$99)),COLUMN(A242))-1)</f>
        <v/>
      </c>
      <c r="X243" s="29" t="str">
        <f t="array" ref="X243">MID(";"&amp;'CASE DATA'!$F243&amp;";",SMALL(IF(ISERROR(SEARCH(MID(";"&amp;'CASE DATA'!$F243&amp;";",ROW($1:$99),1),";")),"",ROW($1:$99)+1),COLUMN(B243)),SMALL(IF(ISERROR(SEARCH(MID(";"&amp;'CASE DATA'!$F243&amp;";",ROW($1:$99),1),";")),"",ROW($1:$99)),COLUMN(B242)+1)-SMALL(IF(ISERROR(SEARCH(MID(";"&amp;'CASE DATA'!$F243&amp;";",ROW($1:$99),1),";")),"",ROW($1:$99)),COLUMN(B242))-1)</f>
        <v/>
      </c>
      <c r="Y243" s="29" t="str">
        <f t="array" ref="Y243">MID(";"&amp;'CASE DATA'!$F243&amp;";",SMALL(IF(ISERROR(SEARCH(MID(";"&amp;'CASE DATA'!$F243&amp;";",ROW($1:$99),1),";")),"",ROW($1:$99)+1),COLUMN(D243)),SMALL(IF(ISERROR(SEARCH(MID(";"&amp;'CASE DATA'!$F243&amp;";",ROW($1:$99),1),";")),"",ROW($1:$99)),COLUMN(D242)+1)-SMALL(IF(ISERROR(SEARCH(MID(";"&amp;'CASE DATA'!$F243&amp;";",ROW($1:$99),1),";")),"",ROW($1:$99)),COLUMN(D242))-1)</f>
        <v/>
      </c>
      <c r="Z243" s="29" t="str">
        <f t="array" ref="Z243">MID(";"&amp;'CASE DATA'!$F243&amp;";",SMALL(IF(ISERROR(SEARCH(MID(";"&amp;'CASE DATA'!$F243&amp;";",ROW($1:$99),1),";")),"",ROW($1:$99)+1),COLUMN(E243)),SMALL(IF(ISERROR(SEARCH(MID(";"&amp;'CASE DATA'!$F243&amp;";",ROW($1:$99),1),";")),"",ROW($1:$99)),COLUMN(E242)+1)-SMALL(IF(ISERROR(SEARCH(MID(";"&amp;'CASE DATA'!$F243&amp;";",ROW($1:$99),1),";")),"",ROW($1:$99)),COLUMN(E242))-1)</f>
        <v/>
      </c>
      <c r="AA243" s="29" t="str">
        <f t="array" ref="AA243">MID(";"&amp;'CASE DATA'!$F243&amp;";",SMALL(IF(ISERROR(SEARCH(MID(";"&amp;'CASE DATA'!$F243&amp;";",ROW($1:$99),1),";")),"",ROW($1:$99)+1),COLUMN(F243)),SMALL(IF(ISERROR(SEARCH(MID(";"&amp;'CASE DATA'!$F243&amp;";",ROW($1:$99),1),";")),"",ROW($1:$99)),COLUMN(F242)+1)-SMALL(IF(ISERROR(SEARCH(MID(";"&amp;'CASE DATA'!$F243&amp;";",ROW($1:$99),1),";")),"",ROW($1:$99)),COLUMN(F242))-1)</f>
        <v/>
      </c>
      <c r="AB243" s="29" t="str">
        <f t="array" ref="AB243">MID(";"&amp;'CASE DATA'!$F243&amp;";",SMALL(IF(ISERROR(SEARCH(MID(";"&amp;'CASE DATA'!$F243&amp;";",ROW($1:$99),1),";")),"",ROW($1:$99)+1),COLUMN(G243)),SMALL(IF(ISERROR(SEARCH(MID(";"&amp;'CASE DATA'!$F243&amp;";",ROW($1:$99),1),";")),"",ROW($1:$99)),COLUMN(G242)+1)-SMALL(IF(ISERROR(SEARCH(MID(";"&amp;'CASE DATA'!$F243&amp;";",ROW($1:$99),1),";")),"",ROW($1:$99)),COLUMN(G242))-1)</f>
        <v/>
      </c>
      <c r="AC243" s="29" t="str">
        <f t="array" ref="AC243">MID(";"&amp;'CASE DATA'!$F243&amp;";",SMALL(IF(ISERROR(SEARCH(MID(";"&amp;'CASE DATA'!$F243&amp;";",ROW($1:$99),1),";")),"",ROW($1:$99)+1),COLUMN(H243)),SMALL(IF(ISERROR(SEARCH(MID(";"&amp;'CASE DATA'!$F243&amp;";",ROW($1:$99),1),";")),"",ROW($1:$99)),COLUMN(H242)+1)-SMALL(IF(ISERROR(SEARCH(MID(";"&amp;'CASE DATA'!$F243&amp;";",ROW($1:$99),1),";")),"",ROW($1:$99)),COLUMN(H242))-1)</f>
        <v/>
      </c>
      <c r="AD243" s="29" t="str">
        <f t="array" ref="AD243">MID(";"&amp;'CASE DATA'!$F243&amp;";",SMALL(IF(ISERROR(SEARCH(MID(";"&amp;'CASE DATA'!$F243&amp;";",ROW($1:$99),1),";")),"",ROW($1:$99)+1),COLUMN(I243)),SMALL(IF(ISERROR(SEARCH(MID(";"&amp;'CASE DATA'!$F243&amp;";",ROW($1:$99),1),";")),"",ROW($1:$99)),COLUMN(I242)+1)-SMALL(IF(ISERROR(SEARCH(MID(";"&amp;'CASE DATA'!$F243&amp;";",ROW($1:$99),1),";")),"",ROW($1:$99)),COLUMN(I242))-1)</f>
        <v/>
      </c>
      <c r="AE243" s="29" t="str">
        <f t="array" ref="AE243">MID(";"&amp;'CASE DATA'!$F243&amp;";",SMALL(IF(ISERROR(SEARCH(MID(";"&amp;'CASE DATA'!$F243&amp;";",ROW($1:$99),1),";")),"",ROW($1:$99)+1),COLUMN(J243)),SMALL(IF(ISERROR(SEARCH(MID(";"&amp;'CASE DATA'!$F243&amp;";",ROW($1:$99),1),";")),"",ROW($1:$99)),COLUMN(J242)+1)-SMALL(IF(ISERROR(SEARCH(MID(";"&amp;'CASE DATA'!$F243&amp;";",ROW($1:$99),1),";")),"",ROW($1:$99)),COLUMN(J242))-1)</f>
        <v/>
      </c>
      <c r="AF243" s="29" t="str">
        <f t="array" ref="AF243">MID(";"&amp;'CASE DATA'!$F243&amp;";",SMALL(IF(ISERROR(SEARCH(MID(";"&amp;'CASE DATA'!$F243&amp;";",ROW($1:$99),1),";")),"",ROW($1:$99)+1),COLUMN(K243)),SMALL(IF(ISERROR(SEARCH(MID(";"&amp;'CASE DATA'!$F243&amp;";",ROW($1:$99),1),";")),"",ROW($1:$99)),COLUMN(K242)+1)-SMALL(IF(ISERROR(SEARCH(MID(";"&amp;'CASE DATA'!$F243&amp;";",ROW($1:$99),1),";")),"",ROW($1:$99)),COLUMN(K242))-1)</f>
        <v/>
      </c>
      <c r="AG243" s="29" t="str">
        <f t="array" ref="AG243">MID(";"&amp;'CASE DATA'!$F243&amp;";",SMALL(IF(ISERROR(SEARCH(MID(";"&amp;'CASE DATA'!$F243&amp;";",ROW($1:$99),1),";")),"",ROW($1:$99)+1),COLUMN(L243)),SMALL(IF(ISERROR(SEARCH(MID(";"&amp;'CASE DATA'!$F243&amp;";",ROW($1:$99),1),";")),"",ROW($1:$99)),COLUMN(L242)+1)-SMALL(IF(ISERROR(SEARCH(MID(";"&amp;'CASE DATA'!$F243&amp;";",ROW($1:$99),1),";")),"",ROW($1:$99)),COLUMN(L242))-1)</f>
        <v/>
      </c>
      <c r="AH243" s="29"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24"/>
      <c r="D244" s="24"/>
      <c r="J244" s="31"/>
      <c r="K244" s="31"/>
      <c r="L244" s="31"/>
      <c r="M244" s="31"/>
      <c r="N244" s="31"/>
      <c r="O244" s="31"/>
      <c r="P244" s="31"/>
      <c r="Q244" s="31"/>
      <c r="R244" s="31"/>
      <c r="S244" s="31"/>
      <c r="T244" s="28">
        <f t="shared" si="4"/>
        <v>0</v>
      </c>
      <c r="U244" s="28"/>
      <c r="W244" s="29" t="str">
        <f t="array" ref="W244">MID(";"&amp;'CASE DATA'!$F244&amp;";",SMALL(IF(ISERROR(SEARCH(MID(";"&amp;'CASE DATA'!$F244&amp;";",ROW($1:$99),1),";")),"",ROW($1:$99)+1),COLUMN(A244)),SMALL(IF(ISERROR(SEARCH(MID(";"&amp;'CASE DATA'!$F244&amp;";",ROW($1:$99),1),";")),"",ROW($1:$99)),COLUMN(A243)+1)-SMALL(IF(ISERROR(SEARCH(MID(";"&amp;'CASE DATA'!$F244&amp;";",ROW($1:$99),1),";")),"",ROW($1:$99)),COLUMN(A243))-1)</f>
        <v/>
      </c>
      <c r="X244" s="29" t="str">
        <f t="array" ref="X244">MID(";"&amp;'CASE DATA'!$F244&amp;";",SMALL(IF(ISERROR(SEARCH(MID(";"&amp;'CASE DATA'!$F244&amp;";",ROW($1:$99),1),";")),"",ROW($1:$99)+1),COLUMN(B244)),SMALL(IF(ISERROR(SEARCH(MID(";"&amp;'CASE DATA'!$F244&amp;";",ROW($1:$99),1),";")),"",ROW($1:$99)),COLUMN(B243)+1)-SMALL(IF(ISERROR(SEARCH(MID(";"&amp;'CASE DATA'!$F244&amp;";",ROW($1:$99),1),";")),"",ROW($1:$99)),COLUMN(B243))-1)</f>
        <v/>
      </c>
      <c r="Y244" s="29" t="str">
        <f t="array" ref="Y244">MID(";"&amp;'CASE DATA'!$F244&amp;";",SMALL(IF(ISERROR(SEARCH(MID(";"&amp;'CASE DATA'!$F244&amp;";",ROW($1:$99),1),";")),"",ROW($1:$99)+1),COLUMN(D244)),SMALL(IF(ISERROR(SEARCH(MID(";"&amp;'CASE DATA'!$F244&amp;";",ROW($1:$99),1),";")),"",ROW($1:$99)),COLUMN(D243)+1)-SMALL(IF(ISERROR(SEARCH(MID(";"&amp;'CASE DATA'!$F244&amp;";",ROW($1:$99),1),";")),"",ROW($1:$99)),COLUMN(D243))-1)</f>
        <v/>
      </c>
      <c r="Z244" s="29" t="str">
        <f t="array" ref="Z244">MID(";"&amp;'CASE DATA'!$F244&amp;";",SMALL(IF(ISERROR(SEARCH(MID(";"&amp;'CASE DATA'!$F244&amp;";",ROW($1:$99),1),";")),"",ROW($1:$99)+1),COLUMN(E244)),SMALL(IF(ISERROR(SEARCH(MID(";"&amp;'CASE DATA'!$F244&amp;";",ROW($1:$99),1),";")),"",ROW($1:$99)),COLUMN(E243)+1)-SMALL(IF(ISERROR(SEARCH(MID(";"&amp;'CASE DATA'!$F244&amp;";",ROW($1:$99),1),";")),"",ROW($1:$99)),COLUMN(E243))-1)</f>
        <v/>
      </c>
      <c r="AA244" s="29" t="str">
        <f t="array" ref="AA244">MID(";"&amp;'CASE DATA'!$F244&amp;";",SMALL(IF(ISERROR(SEARCH(MID(";"&amp;'CASE DATA'!$F244&amp;";",ROW($1:$99),1),";")),"",ROW($1:$99)+1),COLUMN(F244)),SMALL(IF(ISERROR(SEARCH(MID(";"&amp;'CASE DATA'!$F244&amp;";",ROW($1:$99),1),";")),"",ROW($1:$99)),COLUMN(F243)+1)-SMALL(IF(ISERROR(SEARCH(MID(";"&amp;'CASE DATA'!$F244&amp;";",ROW($1:$99),1),";")),"",ROW($1:$99)),COLUMN(F243))-1)</f>
        <v/>
      </c>
      <c r="AB244" s="29" t="str">
        <f t="array" ref="AB244">MID(";"&amp;'CASE DATA'!$F244&amp;";",SMALL(IF(ISERROR(SEARCH(MID(";"&amp;'CASE DATA'!$F244&amp;";",ROW($1:$99),1),";")),"",ROW($1:$99)+1),COLUMN(G244)),SMALL(IF(ISERROR(SEARCH(MID(";"&amp;'CASE DATA'!$F244&amp;";",ROW($1:$99),1),";")),"",ROW($1:$99)),COLUMN(G243)+1)-SMALL(IF(ISERROR(SEARCH(MID(";"&amp;'CASE DATA'!$F244&amp;";",ROW($1:$99),1),";")),"",ROW($1:$99)),COLUMN(G243))-1)</f>
        <v/>
      </c>
      <c r="AC244" s="29" t="str">
        <f t="array" ref="AC244">MID(";"&amp;'CASE DATA'!$F244&amp;";",SMALL(IF(ISERROR(SEARCH(MID(";"&amp;'CASE DATA'!$F244&amp;";",ROW($1:$99),1),";")),"",ROW($1:$99)+1),COLUMN(H244)),SMALL(IF(ISERROR(SEARCH(MID(";"&amp;'CASE DATA'!$F244&amp;";",ROW($1:$99),1),";")),"",ROW($1:$99)),COLUMN(H243)+1)-SMALL(IF(ISERROR(SEARCH(MID(";"&amp;'CASE DATA'!$F244&amp;";",ROW($1:$99),1),";")),"",ROW($1:$99)),COLUMN(H243))-1)</f>
        <v/>
      </c>
      <c r="AD244" s="29" t="str">
        <f t="array" ref="AD244">MID(";"&amp;'CASE DATA'!$F244&amp;";",SMALL(IF(ISERROR(SEARCH(MID(";"&amp;'CASE DATA'!$F244&amp;";",ROW($1:$99),1),";")),"",ROW($1:$99)+1),COLUMN(I244)),SMALL(IF(ISERROR(SEARCH(MID(";"&amp;'CASE DATA'!$F244&amp;";",ROW($1:$99),1),";")),"",ROW($1:$99)),COLUMN(I243)+1)-SMALL(IF(ISERROR(SEARCH(MID(";"&amp;'CASE DATA'!$F244&amp;";",ROW($1:$99),1),";")),"",ROW($1:$99)),COLUMN(I243))-1)</f>
        <v/>
      </c>
      <c r="AE244" s="29" t="str">
        <f t="array" ref="AE244">MID(";"&amp;'CASE DATA'!$F244&amp;";",SMALL(IF(ISERROR(SEARCH(MID(";"&amp;'CASE DATA'!$F244&amp;";",ROW($1:$99),1),";")),"",ROW($1:$99)+1),COLUMN(J244)),SMALL(IF(ISERROR(SEARCH(MID(";"&amp;'CASE DATA'!$F244&amp;";",ROW($1:$99),1),";")),"",ROW($1:$99)),COLUMN(J243)+1)-SMALL(IF(ISERROR(SEARCH(MID(";"&amp;'CASE DATA'!$F244&amp;";",ROW($1:$99),1),";")),"",ROW($1:$99)),COLUMN(J243))-1)</f>
        <v/>
      </c>
      <c r="AF244" s="29" t="str">
        <f t="array" ref="AF244">MID(";"&amp;'CASE DATA'!$F244&amp;";",SMALL(IF(ISERROR(SEARCH(MID(";"&amp;'CASE DATA'!$F244&amp;";",ROW($1:$99),1),";")),"",ROW($1:$99)+1),COLUMN(K244)),SMALL(IF(ISERROR(SEARCH(MID(";"&amp;'CASE DATA'!$F244&amp;";",ROW($1:$99),1),";")),"",ROW($1:$99)),COLUMN(K243)+1)-SMALL(IF(ISERROR(SEARCH(MID(";"&amp;'CASE DATA'!$F244&amp;";",ROW($1:$99),1),";")),"",ROW($1:$99)),COLUMN(K243))-1)</f>
        <v/>
      </c>
      <c r="AG244" s="29" t="str">
        <f t="array" ref="AG244">MID(";"&amp;'CASE DATA'!$F244&amp;";",SMALL(IF(ISERROR(SEARCH(MID(";"&amp;'CASE DATA'!$F244&amp;";",ROW($1:$99),1),";")),"",ROW($1:$99)+1),COLUMN(L244)),SMALL(IF(ISERROR(SEARCH(MID(";"&amp;'CASE DATA'!$F244&amp;";",ROW($1:$99),1),";")),"",ROW($1:$99)),COLUMN(L243)+1)-SMALL(IF(ISERROR(SEARCH(MID(";"&amp;'CASE DATA'!$F244&amp;";",ROW($1:$99),1),";")),"",ROW($1:$99)),COLUMN(L243))-1)</f>
        <v/>
      </c>
      <c r="AH244" s="29"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24"/>
      <c r="D245" s="24"/>
      <c r="J245" s="31"/>
      <c r="K245" s="31"/>
      <c r="L245" s="31"/>
      <c r="M245" s="31"/>
      <c r="N245" s="31"/>
      <c r="O245" s="31"/>
      <c r="P245" s="31"/>
      <c r="Q245" s="31"/>
      <c r="R245" s="31"/>
      <c r="S245" s="31"/>
      <c r="T245" s="28">
        <f t="shared" si="4"/>
        <v>0</v>
      </c>
      <c r="U245" s="28"/>
      <c r="W245" s="29" t="str">
        <f t="array" ref="W245">MID(";"&amp;'CASE DATA'!$F245&amp;";",SMALL(IF(ISERROR(SEARCH(MID(";"&amp;'CASE DATA'!$F245&amp;";",ROW($1:$99),1),";")),"",ROW($1:$99)+1),COLUMN(A245)),SMALL(IF(ISERROR(SEARCH(MID(";"&amp;'CASE DATA'!$F245&amp;";",ROW($1:$99),1),";")),"",ROW($1:$99)),COLUMN(A244)+1)-SMALL(IF(ISERROR(SEARCH(MID(";"&amp;'CASE DATA'!$F245&amp;";",ROW($1:$99),1),";")),"",ROW($1:$99)),COLUMN(A244))-1)</f>
        <v/>
      </c>
      <c r="X245" s="29" t="str">
        <f t="array" ref="X245">MID(";"&amp;'CASE DATA'!$F245&amp;";",SMALL(IF(ISERROR(SEARCH(MID(";"&amp;'CASE DATA'!$F245&amp;";",ROW($1:$99),1),";")),"",ROW($1:$99)+1),COLUMN(B245)),SMALL(IF(ISERROR(SEARCH(MID(";"&amp;'CASE DATA'!$F245&amp;";",ROW($1:$99),1),";")),"",ROW($1:$99)),COLUMN(B244)+1)-SMALL(IF(ISERROR(SEARCH(MID(";"&amp;'CASE DATA'!$F245&amp;";",ROW($1:$99),1),";")),"",ROW($1:$99)),COLUMN(B244))-1)</f>
        <v/>
      </c>
      <c r="Y245" s="29" t="str">
        <f t="array" ref="Y245">MID(";"&amp;'CASE DATA'!$F245&amp;";",SMALL(IF(ISERROR(SEARCH(MID(";"&amp;'CASE DATA'!$F245&amp;";",ROW($1:$99),1),";")),"",ROW($1:$99)+1),COLUMN(D245)),SMALL(IF(ISERROR(SEARCH(MID(";"&amp;'CASE DATA'!$F245&amp;";",ROW($1:$99),1),";")),"",ROW($1:$99)),COLUMN(D244)+1)-SMALL(IF(ISERROR(SEARCH(MID(";"&amp;'CASE DATA'!$F245&amp;";",ROW($1:$99),1),";")),"",ROW($1:$99)),COLUMN(D244))-1)</f>
        <v/>
      </c>
      <c r="Z245" s="29" t="str">
        <f t="array" ref="Z245">MID(";"&amp;'CASE DATA'!$F245&amp;";",SMALL(IF(ISERROR(SEARCH(MID(";"&amp;'CASE DATA'!$F245&amp;";",ROW($1:$99),1),";")),"",ROW($1:$99)+1),COLUMN(E245)),SMALL(IF(ISERROR(SEARCH(MID(";"&amp;'CASE DATA'!$F245&amp;";",ROW($1:$99),1),";")),"",ROW($1:$99)),COLUMN(E244)+1)-SMALL(IF(ISERROR(SEARCH(MID(";"&amp;'CASE DATA'!$F245&amp;";",ROW($1:$99),1),";")),"",ROW($1:$99)),COLUMN(E244))-1)</f>
        <v/>
      </c>
      <c r="AA245" s="29" t="str">
        <f t="array" ref="AA245">MID(";"&amp;'CASE DATA'!$F245&amp;";",SMALL(IF(ISERROR(SEARCH(MID(";"&amp;'CASE DATA'!$F245&amp;";",ROW($1:$99),1),";")),"",ROW($1:$99)+1),COLUMN(F245)),SMALL(IF(ISERROR(SEARCH(MID(";"&amp;'CASE DATA'!$F245&amp;";",ROW($1:$99),1),";")),"",ROW($1:$99)),COLUMN(F244)+1)-SMALL(IF(ISERROR(SEARCH(MID(";"&amp;'CASE DATA'!$F245&amp;";",ROW($1:$99),1),";")),"",ROW($1:$99)),COLUMN(F244))-1)</f>
        <v/>
      </c>
      <c r="AB245" s="29" t="str">
        <f t="array" ref="AB245">MID(";"&amp;'CASE DATA'!$F245&amp;";",SMALL(IF(ISERROR(SEARCH(MID(";"&amp;'CASE DATA'!$F245&amp;";",ROW($1:$99),1),";")),"",ROW($1:$99)+1),COLUMN(G245)),SMALL(IF(ISERROR(SEARCH(MID(";"&amp;'CASE DATA'!$F245&amp;";",ROW($1:$99),1),";")),"",ROW($1:$99)),COLUMN(G244)+1)-SMALL(IF(ISERROR(SEARCH(MID(";"&amp;'CASE DATA'!$F245&amp;";",ROW($1:$99),1),";")),"",ROW($1:$99)),COLUMN(G244))-1)</f>
        <v/>
      </c>
      <c r="AC245" s="29" t="str">
        <f t="array" ref="AC245">MID(";"&amp;'CASE DATA'!$F245&amp;";",SMALL(IF(ISERROR(SEARCH(MID(";"&amp;'CASE DATA'!$F245&amp;";",ROW($1:$99),1),";")),"",ROW($1:$99)+1),COLUMN(H245)),SMALL(IF(ISERROR(SEARCH(MID(";"&amp;'CASE DATA'!$F245&amp;";",ROW($1:$99),1),";")),"",ROW($1:$99)),COLUMN(H244)+1)-SMALL(IF(ISERROR(SEARCH(MID(";"&amp;'CASE DATA'!$F245&amp;";",ROW($1:$99),1),";")),"",ROW($1:$99)),COLUMN(H244))-1)</f>
        <v/>
      </c>
      <c r="AD245" s="29" t="str">
        <f t="array" ref="AD245">MID(";"&amp;'CASE DATA'!$F245&amp;";",SMALL(IF(ISERROR(SEARCH(MID(";"&amp;'CASE DATA'!$F245&amp;";",ROW($1:$99),1),";")),"",ROW($1:$99)+1),COLUMN(I245)),SMALL(IF(ISERROR(SEARCH(MID(";"&amp;'CASE DATA'!$F245&amp;";",ROW($1:$99),1),";")),"",ROW($1:$99)),COLUMN(I244)+1)-SMALL(IF(ISERROR(SEARCH(MID(";"&amp;'CASE DATA'!$F245&amp;";",ROW($1:$99),1),";")),"",ROW($1:$99)),COLUMN(I244))-1)</f>
        <v/>
      </c>
      <c r="AE245" s="29" t="str">
        <f t="array" ref="AE245">MID(";"&amp;'CASE DATA'!$F245&amp;";",SMALL(IF(ISERROR(SEARCH(MID(";"&amp;'CASE DATA'!$F245&amp;";",ROW($1:$99),1),";")),"",ROW($1:$99)+1),COLUMN(J245)),SMALL(IF(ISERROR(SEARCH(MID(";"&amp;'CASE DATA'!$F245&amp;";",ROW($1:$99),1),";")),"",ROW($1:$99)),COLUMN(J244)+1)-SMALL(IF(ISERROR(SEARCH(MID(";"&amp;'CASE DATA'!$F245&amp;";",ROW($1:$99),1),";")),"",ROW($1:$99)),COLUMN(J244))-1)</f>
        <v/>
      </c>
      <c r="AF245" s="29" t="str">
        <f t="array" ref="AF245">MID(";"&amp;'CASE DATA'!$F245&amp;";",SMALL(IF(ISERROR(SEARCH(MID(";"&amp;'CASE DATA'!$F245&amp;";",ROW($1:$99),1),";")),"",ROW($1:$99)+1),COLUMN(K245)),SMALL(IF(ISERROR(SEARCH(MID(";"&amp;'CASE DATA'!$F245&amp;";",ROW($1:$99),1),";")),"",ROW($1:$99)),COLUMN(K244)+1)-SMALL(IF(ISERROR(SEARCH(MID(";"&amp;'CASE DATA'!$F245&amp;";",ROW($1:$99),1),";")),"",ROW($1:$99)),COLUMN(K244))-1)</f>
        <v/>
      </c>
      <c r="AG245" s="29" t="str">
        <f t="array" ref="AG245">MID(";"&amp;'CASE DATA'!$F245&amp;";",SMALL(IF(ISERROR(SEARCH(MID(";"&amp;'CASE DATA'!$F245&amp;";",ROW($1:$99),1),";")),"",ROW($1:$99)+1),COLUMN(L245)),SMALL(IF(ISERROR(SEARCH(MID(";"&amp;'CASE DATA'!$F245&amp;";",ROW($1:$99),1),";")),"",ROW($1:$99)),COLUMN(L244)+1)-SMALL(IF(ISERROR(SEARCH(MID(";"&amp;'CASE DATA'!$F245&amp;";",ROW($1:$99),1),";")),"",ROW($1:$99)),COLUMN(L244))-1)</f>
        <v/>
      </c>
      <c r="AH245" s="29"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24"/>
      <c r="D246" s="24"/>
      <c r="J246" s="31"/>
      <c r="K246" s="31"/>
      <c r="L246" s="31"/>
      <c r="M246" s="31"/>
      <c r="N246" s="31"/>
      <c r="O246" s="31"/>
      <c r="P246" s="31"/>
      <c r="Q246" s="31"/>
      <c r="R246" s="31"/>
      <c r="S246" s="31"/>
      <c r="T246" s="28">
        <f t="shared" si="4"/>
        <v>0</v>
      </c>
      <c r="U246" s="28"/>
      <c r="W246" s="29" t="str">
        <f t="array" ref="W246">MID(";"&amp;'CASE DATA'!$F246&amp;";",SMALL(IF(ISERROR(SEARCH(MID(";"&amp;'CASE DATA'!$F246&amp;";",ROW($1:$99),1),";")),"",ROW($1:$99)+1),COLUMN(A246)),SMALL(IF(ISERROR(SEARCH(MID(";"&amp;'CASE DATA'!$F246&amp;";",ROW($1:$99),1),";")),"",ROW($1:$99)),COLUMN(A245)+1)-SMALL(IF(ISERROR(SEARCH(MID(";"&amp;'CASE DATA'!$F246&amp;";",ROW($1:$99),1),";")),"",ROW($1:$99)),COLUMN(A245))-1)</f>
        <v/>
      </c>
      <c r="X246" s="29" t="str">
        <f t="array" ref="X246">MID(";"&amp;'CASE DATA'!$F246&amp;";",SMALL(IF(ISERROR(SEARCH(MID(";"&amp;'CASE DATA'!$F246&amp;";",ROW($1:$99),1),";")),"",ROW($1:$99)+1),COLUMN(B246)),SMALL(IF(ISERROR(SEARCH(MID(";"&amp;'CASE DATA'!$F246&amp;";",ROW($1:$99),1),";")),"",ROW($1:$99)),COLUMN(B245)+1)-SMALL(IF(ISERROR(SEARCH(MID(";"&amp;'CASE DATA'!$F246&amp;";",ROW($1:$99),1),";")),"",ROW($1:$99)),COLUMN(B245))-1)</f>
        <v/>
      </c>
      <c r="Y246" s="29" t="str">
        <f t="array" ref="Y246">MID(";"&amp;'CASE DATA'!$F246&amp;";",SMALL(IF(ISERROR(SEARCH(MID(";"&amp;'CASE DATA'!$F246&amp;";",ROW($1:$99),1),";")),"",ROW($1:$99)+1),COLUMN(D246)),SMALL(IF(ISERROR(SEARCH(MID(";"&amp;'CASE DATA'!$F246&amp;";",ROW($1:$99),1),";")),"",ROW($1:$99)),COLUMN(D245)+1)-SMALL(IF(ISERROR(SEARCH(MID(";"&amp;'CASE DATA'!$F246&amp;";",ROW($1:$99),1),";")),"",ROW($1:$99)),COLUMN(D245))-1)</f>
        <v/>
      </c>
      <c r="Z246" s="29" t="str">
        <f t="array" ref="Z246">MID(";"&amp;'CASE DATA'!$F246&amp;";",SMALL(IF(ISERROR(SEARCH(MID(";"&amp;'CASE DATA'!$F246&amp;";",ROW($1:$99),1),";")),"",ROW($1:$99)+1),COLUMN(E246)),SMALL(IF(ISERROR(SEARCH(MID(";"&amp;'CASE DATA'!$F246&amp;";",ROW($1:$99),1),";")),"",ROW($1:$99)),COLUMN(E245)+1)-SMALL(IF(ISERROR(SEARCH(MID(";"&amp;'CASE DATA'!$F246&amp;";",ROW($1:$99),1),";")),"",ROW($1:$99)),COLUMN(E245))-1)</f>
        <v/>
      </c>
      <c r="AA246" s="29" t="str">
        <f t="array" ref="AA246">MID(";"&amp;'CASE DATA'!$F246&amp;";",SMALL(IF(ISERROR(SEARCH(MID(";"&amp;'CASE DATA'!$F246&amp;";",ROW($1:$99),1),";")),"",ROW($1:$99)+1),COLUMN(F246)),SMALL(IF(ISERROR(SEARCH(MID(";"&amp;'CASE DATA'!$F246&amp;";",ROW($1:$99),1),";")),"",ROW($1:$99)),COLUMN(F245)+1)-SMALL(IF(ISERROR(SEARCH(MID(";"&amp;'CASE DATA'!$F246&amp;";",ROW($1:$99),1),";")),"",ROW($1:$99)),COLUMN(F245))-1)</f>
        <v/>
      </c>
      <c r="AB246" s="29" t="str">
        <f t="array" ref="AB246">MID(";"&amp;'CASE DATA'!$F246&amp;";",SMALL(IF(ISERROR(SEARCH(MID(";"&amp;'CASE DATA'!$F246&amp;";",ROW($1:$99),1),";")),"",ROW($1:$99)+1),COLUMN(G246)),SMALL(IF(ISERROR(SEARCH(MID(";"&amp;'CASE DATA'!$F246&amp;";",ROW($1:$99),1),";")),"",ROW($1:$99)),COLUMN(G245)+1)-SMALL(IF(ISERROR(SEARCH(MID(";"&amp;'CASE DATA'!$F246&amp;";",ROW($1:$99),1),";")),"",ROW($1:$99)),COLUMN(G245))-1)</f>
        <v/>
      </c>
      <c r="AC246" s="29" t="str">
        <f t="array" ref="AC246">MID(";"&amp;'CASE DATA'!$F246&amp;";",SMALL(IF(ISERROR(SEARCH(MID(";"&amp;'CASE DATA'!$F246&amp;";",ROW($1:$99),1),";")),"",ROW($1:$99)+1),COLUMN(H246)),SMALL(IF(ISERROR(SEARCH(MID(";"&amp;'CASE DATA'!$F246&amp;";",ROW($1:$99),1),";")),"",ROW($1:$99)),COLUMN(H245)+1)-SMALL(IF(ISERROR(SEARCH(MID(";"&amp;'CASE DATA'!$F246&amp;";",ROW($1:$99),1),";")),"",ROW($1:$99)),COLUMN(H245))-1)</f>
        <v/>
      </c>
      <c r="AD246" s="29" t="str">
        <f t="array" ref="AD246">MID(";"&amp;'CASE DATA'!$F246&amp;";",SMALL(IF(ISERROR(SEARCH(MID(";"&amp;'CASE DATA'!$F246&amp;";",ROW($1:$99),1),";")),"",ROW($1:$99)+1),COLUMN(I246)),SMALL(IF(ISERROR(SEARCH(MID(";"&amp;'CASE DATA'!$F246&amp;";",ROW($1:$99),1),";")),"",ROW($1:$99)),COLUMN(I245)+1)-SMALL(IF(ISERROR(SEARCH(MID(";"&amp;'CASE DATA'!$F246&amp;";",ROW($1:$99),1),";")),"",ROW($1:$99)),COLUMN(I245))-1)</f>
        <v/>
      </c>
      <c r="AE246" s="29" t="str">
        <f t="array" ref="AE246">MID(";"&amp;'CASE DATA'!$F246&amp;";",SMALL(IF(ISERROR(SEARCH(MID(";"&amp;'CASE DATA'!$F246&amp;";",ROW($1:$99),1),";")),"",ROW($1:$99)+1),COLUMN(J246)),SMALL(IF(ISERROR(SEARCH(MID(";"&amp;'CASE DATA'!$F246&amp;";",ROW($1:$99),1),";")),"",ROW($1:$99)),COLUMN(J245)+1)-SMALL(IF(ISERROR(SEARCH(MID(";"&amp;'CASE DATA'!$F246&amp;";",ROW($1:$99),1),";")),"",ROW($1:$99)),COLUMN(J245))-1)</f>
        <v/>
      </c>
      <c r="AF246" s="29" t="str">
        <f t="array" ref="AF246">MID(";"&amp;'CASE DATA'!$F246&amp;";",SMALL(IF(ISERROR(SEARCH(MID(";"&amp;'CASE DATA'!$F246&amp;";",ROW($1:$99),1),";")),"",ROW($1:$99)+1),COLUMN(K246)),SMALL(IF(ISERROR(SEARCH(MID(";"&amp;'CASE DATA'!$F246&amp;";",ROW($1:$99),1),";")),"",ROW($1:$99)),COLUMN(K245)+1)-SMALL(IF(ISERROR(SEARCH(MID(";"&amp;'CASE DATA'!$F246&amp;";",ROW($1:$99),1),";")),"",ROW($1:$99)),COLUMN(K245))-1)</f>
        <v/>
      </c>
      <c r="AG246" s="29" t="str">
        <f t="array" ref="AG246">MID(";"&amp;'CASE DATA'!$F246&amp;";",SMALL(IF(ISERROR(SEARCH(MID(";"&amp;'CASE DATA'!$F246&amp;";",ROW($1:$99),1),";")),"",ROW($1:$99)+1),COLUMN(L246)),SMALL(IF(ISERROR(SEARCH(MID(";"&amp;'CASE DATA'!$F246&amp;";",ROW($1:$99),1),";")),"",ROW($1:$99)),COLUMN(L245)+1)-SMALL(IF(ISERROR(SEARCH(MID(";"&amp;'CASE DATA'!$F246&amp;";",ROW($1:$99),1),";")),"",ROW($1:$99)),COLUMN(L245))-1)</f>
        <v/>
      </c>
      <c r="AH246" s="29"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24"/>
      <c r="D247" s="24"/>
      <c r="J247" s="31"/>
      <c r="K247" s="31"/>
      <c r="L247" s="31"/>
      <c r="M247" s="31"/>
      <c r="N247" s="31"/>
      <c r="O247" s="31"/>
      <c r="P247" s="31"/>
      <c r="Q247" s="31"/>
      <c r="R247" s="31"/>
      <c r="S247" s="31"/>
      <c r="T247" s="28">
        <f t="shared" si="4"/>
        <v>0</v>
      </c>
      <c r="U247" s="28"/>
      <c r="W247" s="29" t="str">
        <f t="array" ref="W247">MID(";"&amp;'CASE DATA'!$F247&amp;";",SMALL(IF(ISERROR(SEARCH(MID(";"&amp;'CASE DATA'!$F247&amp;";",ROW($1:$99),1),";")),"",ROW($1:$99)+1),COLUMN(A247)),SMALL(IF(ISERROR(SEARCH(MID(";"&amp;'CASE DATA'!$F247&amp;";",ROW($1:$99),1),";")),"",ROW($1:$99)),COLUMN(A246)+1)-SMALL(IF(ISERROR(SEARCH(MID(";"&amp;'CASE DATA'!$F247&amp;";",ROW($1:$99),1),";")),"",ROW($1:$99)),COLUMN(A246))-1)</f>
        <v/>
      </c>
      <c r="X247" s="29" t="str">
        <f t="array" ref="X247">MID(";"&amp;'CASE DATA'!$F247&amp;";",SMALL(IF(ISERROR(SEARCH(MID(";"&amp;'CASE DATA'!$F247&amp;";",ROW($1:$99),1),";")),"",ROW($1:$99)+1),COLUMN(B247)),SMALL(IF(ISERROR(SEARCH(MID(";"&amp;'CASE DATA'!$F247&amp;";",ROW($1:$99),1),";")),"",ROW($1:$99)),COLUMN(B246)+1)-SMALL(IF(ISERROR(SEARCH(MID(";"&amp;'CASE DATA'!$F247&amp;";",ROW($1:$99),1),";")),"",ROW($1:$99)),COLUMN(B246))-1)</f>
        <v/>
      </c>
      <c r="Y247" s="29" t="str">
        <f t="array" ref="Y247">MID(";"&amp;'CASE DATA'!$F247&amp;";",SMALL(IF(ISERROR(SEARCH(MID(";"&amp;'CASE DATA'!$F247&amp;";",ROW($1:$99),1),";")),"",ROW($1:$99)+1),COLUMN(D247)),SMALL(IF(ISERROR(SEARCH(MID(";"&amp;'CASE DATA'!$F247&amp;";",ROW($1:$99),1),";")),"",ROW($1:$99)),COLUMN(D246)+1)-SMALL(IF(ISERROR(SEARCH(MID(";"&amp;'CASE DATA'!$F247&amp;";",ROW($1:$99),1),";")),"",ROW($1:$99)),COLUMN(D246))-1)</f>
        <v/>
      </c>
      <c r="Z247" s="29" t="str">
        <f t="array" ref="Z247">MID(";"&amp;'CASE DATA'!$F247&amp;";",SMALL(IF(ISERROR(SEARCH(MID(";"&amp;'CASE DATA'!$F247&amp;";",ROW($1:$99),1),";")),"",ROW($1:$99)+1),COLUMN(E247)),SMALL(IF(ISERROR(SEARCH(MID(";"&amp;'CASE DATA'!$F247&amp;";",ROW($1:$99),1),";")),"",ROW($1:$99)),COLUMN(E246)+1)-SMALL(IF(ISERROR(SEARCH(MID(";"&amp;'CASE DATA'!$F247&amp;";",ROW($1:$99),1),";")),"",ROW($1:$99)),COLUMN(E246))-1)</f>
        <v/>
      </c>
      <c r="AA247" s="29" t="str">
        <f t="array" ref="AA247">MID(";"&amp;'CASE DATA'!$F247&amp;";",SMALL(IF(ISERROR(SEARCH(MID(";"&amp;'CASE DATA'!$F247&amp;";",ROW($1:$99),1),";")),"",ROW($1:$99)+1),COLUMN(F247)),SMALL(IF(ISERROR(SEARCH(MID(";"&amp;'CASE DATA'!$F247&amp;";",ROW($1:$99),1),";")),"",ROW($1:$99)),COLUMN(F246)+1)-SMALL(IF(ISERROR(SEARCH(MID(";"&amp;'CASE DATA'!$F247&amp;";",ROW($1:$99),1),";")),"",ROW($1:$99)),COLUMN(F246))-1)</f>
        <v/>
      </c>
      <c r="AB247" s="29" t="str">
        <f t="array" ref="AB247">MID(";"&amp;'CASE DATA'!$F247&amp;";",SMALL(IF(ISERROR(SEARCH(MID(";"&amp;'CASE DATA'!$F247&amp;";",ROW($1:$99),1),";")),"",ROW($1:$99)+1),COLUMN(G247)),SMALL(IF(ISERROR(SEARCH(MID(";"&amp;'CASE DATA'!$F247&amp;";",ROW($1:$99),1),";")),"",ROW($1:$99)),COLUMN(G246)+1)-SMALL(IF(ISERROR(SEARCH(MID(";"&amp;'CASE DATA'!$F247&amp;";",ROW($1:$99),1),";")),"",ROW($1:$99)),COLUMN(G246))-1)</f>
        <v/>
      </c>
      <c r="AC247" s="29" t="str">
        <f t="array" ref="AC247">MID(";"&amp;'CASE DATA'!$F247&amp;";",SMALL(IF(ISERROR(SEARCH(MID(";"&amp;'CASE DATA'!$F247&amp;";",ROW($1:$99),1),";")),"",ROW($1:$99)+1),COLUMN(H247)),SMALL(IF(ISERROR(SEARCH(MID(";"&amp;'CASE DATA'!$F247&amp;";",ROW($1:$99),1),";")),"",ROW($1:$99)),COLUMN(H246)+1)-SMALL(IF(ISERROR(SEARCH(MID(";"&amp;'CASE DATA'!$F247&amp;";",ROW($1:$99),1),";")),"",ROW($1:$99)),COLUMN(H246))-1)</f>
        <v/>
      </c>
      <c r="AD247" s="29" t="str">
        <f t="array" ref="AD247">MID(";"&amp;'CASE DATA'!$F247&amp;";",SMALL(IF(ISERROR(SEARCH(MID(";"&amp;'CASE DATA'!$F247&amp;";",ROW($1:$99),1),";")),"",ROW($1:$99)+1),COLUMN(I247)),SMALL(IF(ISERROR(SEARCH(MID(";"&amp;'CASE DATA'!$F247&amp;";",ROW($1:$99),1),";")),"",ROW($1:$99)),COLUMN(I246)+1)-SMALL(IF(ISERROR(SEARCH(MID(";"&amp;'CASE DATA'!$F247&amp;";",ROW($1:$99),1),";")),"",ROW($1:$99)),COLUMN(I246))-1)</f>
        <v/>
      </c>
      <c r="AE247" s="29" t="str">
        <f t="array" ref="AE247">MID(";"&amp;'CASE DATA'!$F247&amp;";",SMALL(IF(ISERROR(SEARCH(MID(";"&amp;'CASE DATA'!$F247&amp;";",ROW($1:$99),1),";")),"",ROW($1:$99)+1),COLUMN(J247)),SMALL(IF(ISERROR(SEARCH(MID(";"&amp;'CASE DATA'!$F247&amp;";",ROW($1:$99),1),";")),"",ROW($1:$99)),COLUMN(J246)+1)-SMALL(IF(ISERROR(SEARCH(MID(";"&amp;'CASE DATA'!$F247&amp;";",ROW($1:$99),1),";")),"",ROW($1:$99)),COLUMN(J246))-1)</f>
        <v/>
      </c>
      <c r="AF247" s="29" t="str">
        <f t="array" ref="AF247">MID(";"&amp;'CASE DATA'!$F247&amp;";",SMALL(IF(ISERROR(SEARCH(MID(";"&amp;'CASE DATA'!$F247&amp;";",ROW($1:$99),1),";")),"",ROW($1:$99)+1),COLUMN(K247)),SMALL(IF(ISERROR(SEARCH(MID(";"&amp;'CASE DATA'!$F247&amp;";",ROW($1:$99),1),";")),"",ROW($1:$99)),COLUMN(K246)+1)-SMALL(IF(ISERROR(SEARCH(MID(";"&amp;'CASE DATA'!$F247&amp;";",ROW($1:$99),1),";")),"",ROW($1:$99)),COLUMN(K246))-1)</f>
        <v/>
      </c>
      <c r="AG247" s="29" t="str">
        <f t="array" ref="AG247">MID(";"&amp;'CASE DATA'!$F247&amp;";",SMALL(IF(ISERROR(SEARCH(MID(";"&amp;'CASE DATA'!$F247&amp;";",ROW($1:$99),1),";")),"",ROW($1:$99)+1),COLUMN(L247)),SMALL(IF(ISERROR(SEARCH(MID(";"&amp;'CASE DATA'!$F247&amp;";",ROW($1:$99),1),";")),"",ROW($1:$99)),COLUMN(L246)+1)-SMALL(IF(ISERROR(SEARCH(MID(";"&amp;'CASE DATA'!$F247&amp;";",ROW($1:$99),1),";")),"",ROW($1:$99)),COLUMN(L246))-1)</f>
        <v/>
      </c>
      <c r="AH247" s="29"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24"/>
      <c r="D248" s="24"/>
      <c r="J248" s="31"/>
      <c r="K248" s="31"/>
      <c r="L248" s="31"/>
      <c r="M248" s="31"/>
      <c r="N248" s="31"/>
      <c r="O248" s="31"/>
      <c r="P248" s="31"/>
      <c r="Q248" s="31"/>
      <c r="R248" s="31"/>
      <c r="S248" s="31"/>
      <c r="T248" s="28">
        <f t="shared" si="4"/>
        <v>0</v>
      </c>
      <c r="U248" s="28"/>
      <c r="W248" s="29" t="str">
        <f t="array" ref="W248">MID(";"&amp;'CASE DATA'!$F248&amp;";",SMALL(IF(ISERROR(SEARCH(MID(";"&amp;'CASE DATA'!$F248&amp;";",ROW($1:$99),1),";")),"",ROW($1:$99)+1),COLUMN(A248)),SMALL(IF(ISERROR(SEARCH(MID(";"&amp;'CASE DATA'!$F248&amp;";",ROW($1:$99),1),";")),"",ROW($1:$99)),COLUMN(A247)+1)-SMALL(IF(ISERROR(SEARCH(MID(";"&amp;'CASE DATA'!$F248&amp;";",ROW($1:$99),1),";")),"",ROW($1:$99)),COLUMN(A247))-1)</f>
        <v/>
      </c>
      <c r="X248" s="29" t="str">
        <f t="array" ref="X248">MID(";"&amp;'CASE DATA'!$F248&amp;";",SMALL(IF(ISERROR(SEARCH(MID(";"&amp;'CASE DATA'!$F248&amp;";",ROW($1:$99),1),";")),"",ROW($1:$99)+1),COLUMN(B248)),SMALL(IF(ISERROR(SEARCH(MID(";"&amp;'CASE DATA'!$F248&amp;";",ROW($1:$99),1),";")),"",ROW($1:$99)),COLUMN(B247)+1)-SMALL(IF(ISERROR(SEARCH(MID(";"&amp;'CASE DATA'!$F248&amp;";",ROW($1:$99),1),";")),"",ROW($1:$99)),COLUMN(B247))-1)</f>
        <v/>
      </c>
      <c r="Y248" s="29" t="str">
        <f t="array" ref="Y248">MID(";"&amp;'CASE DATA'!$F248&amp;";",SMALL(IF(ISERROR(SEARCH(MID(";"&amp;'CASE DATA'!$F248&amp;";",ROW($1:$99),1),";")),"",ROW($1:$99)+1),COLUMN(D248)),SMALL(IF(ISERROR(SEARCH(MID(";"&amp;'CASE DATA'!$F248&amp;";",ROW($1:$99),1),";")),"",ROW($1:$99)),COLUMN(D247)+1)-SMALL(IF(ISERROR(SEARCH(MID(";"&amp;'CASE DATA'!$F248&amp;";",ROW($1:$99),1),";")),"",ROW($1:$99)),COLUMN(D247))-1)</f>
        <v/>
      </c>
      <c r="Z248" s="29" t="str">
        <f t="array" ref="Z248">MID(";"&amp;'CASE DATA'!$F248&amp;";",SMALL(IF(ISERROR(SEARCH(MID(";"&amp;'CASE DATA'!$F248&amp;";",ROW($1:$99),1),";")),"",ROW($1:$99)+1),COLUMN(E248)),SMALL(IF(ISERROR(SEARCH(MID(";"&amp;'CASE DATA'!$F248&amp;";",ROW($1:$99),1),";")),"",ROW($1:$99)),COLUMN(E247)+1)-SMALL(IF(ISERROR(SEARCH(MID(";"&amp;'CASE DATA'!$F248&amp;";",ROW($1:$99),1),";")),"",ROW($1:$99)),COLUMN(E247))-1)</f>
        <v/>
      </c>
      <c r="AA248" s="29" t="str">
        <f t="array" ref="AA248">MID(";"&amp;'CASE DATA'!$F248&amp;";",SMALL(IF(ISERROR(SEARCH(MID(";"&amp;'CASE DATA'!$F248&amp;";",ROW($1:$99),1),";")),"",ROW($1:$99)+1),COLUMN(F248)),SMALL(IF(ISERROR(SEARCH(MID(";"&amp;'CASE DATA'!$F248&amp;";",ROW($1:$99),1),";")),"",ROW($1:$99)),COLUMN(F247)+1)-SMALL(IF(ISERROR(SEARCH(MID(";"&amp;'CASE DATA'!$F248&amp;";",ROW($1:$99),1),";")),"",ROW($1:$99)),COLUMN(F247))-1)</f>
        <v/>
      </c>
      <c r="AB248" s="29" t="str">
        <f t="array" ref="AB248">MID(";"&amp;'CASE DATA'!$F248&amp;";",SMALL(IF(ISERROR(SEARCH(MID(";"&amp;'CASE DATA'!$F248&amp;";",ROW($1:$99),1),";")),"",ROW($1:$99)+1),COLUMN(G248)),SMALL(IF(ISERROR(SEARCH(MID(";"&amp;'CASE DATA'!$F248&amp;";",ROW($1:$99),1),";")),"",ROW($1:$99)),COLUMN(G247)+1)-SMALL(IF(ISERROR(SEARCH(MID(";"&amp;'CASE DATA'!$F248&amp;";",ROW($1:$99),1),";")),"",ROW($1:$99)),COLUMN(G247))-1)</f>
        <v/>
      </c>
      <c r="AC248" s="29" t="str">
        <f t="array" ref="AC248">MID(";"&amp;'CASE DATA'!$F248&amp;";",SMALL(IF(ISERROR(SEARCH(MID(";"&amp;'CASE DATA'!$F248&amp;";",ROW($1:$99),1),";")),"",ROW($1:$99)+1),COLUMN(H248)),SMALL(IF(ISERROR(SEARCH(MID(";"&amp;'CASE DATA'!$F248&amp;";",ROW($1:$99),1),";")),"",ROW($1:$99)),COLUMN(H247)+1)-SMALL(IF(ISERROR(SEARCH(MID(";"&amp;'CASE DATA'!$F248&amp;";",ROW($1:$99),1),";")),"",ROW($1:$99)),COLUMN(H247))-1)</f>
        <v/>
      </c>
      <c r="AD248" s="29" t="str">
        <f t="array" ref="AD248">MID(";"&amp;'CASE DATA'!$F248&amp;";",SMALL(IF(ISERROR(SEARCH(MID(";"&amp;'CASE DATA'!$F248&amp;";",ROW($1:$99),1),";")),"",ROW($1:$99)+1),COLUMN(I248)),SMALL(IF(ISERROR(SEARCH(MID(";"&amp;'CASE DATA'!$F248&amp;";",ROW($1:$99),1),";")),"",ROW($1:$99)),COLUMN(I247)+1)-SMALL(IF(ISERROR(SEARCH(MID(";"&amp;'CASE DATA'!$F248&amp;";",ROW($1:$99),1),";")),"",ROW($1:$99)),COLUMN(I247))-1)</f>
        <v/>
      </c>
      <c r="AE248" s="29" t="str">
        <f t="array" ref="AE248">MID(";"&amp;'CASE DATA'!$F248&amp;";",SMALL(IF(ISERROR(SEARCH(MID(";"&amp;'CASE DATA'!$F248&amp;";",ROW($1:$99),1),";")),"",ROW($1:$99)+1),COLUMN(J248)),SMALL(IF(ISERROR(SEARCH(MID(";"&amp;'CASE DATA'!$F248&amp;";",ROW($1:$99),1),";")),"",ROW($1:$99)),COLUMN(J247)+1)-SMALL(IF(ISERROR(SEARCH(MID(";"&amp;'CASE DATA'!$F248&amp;";",ROW($1:$99),1),";")),"",ROW($1:$99)),COLUMN(J247))-1)</f>
        <v/>
      </c>
      <c r="AF248" s="29" t="str">
        <f t="array" ref="AF248">MID(";"&amp;'CASE DATA'!$F248&amp;";",SMALL(IF(ISERROR(SEARCH(MID(";"&amp;'CASE DATA'!$F248&amp;";",ROW($1:$99),1),";")),"",ROW($1:$99)+1),COLUMN(K248)),SMALL(IF(ISERROR(SEARCH(MID(";"&amp;'CASE DATA'!$F248&amp;";",ROW($1:$99),1),";")),"",ROW($1:$99)),COLUMN(K247)+1)-SMALL(IF(ISERROR(SEARCH(MID(";"&amp;'CASE DATA'!$F248&amp;";",ROW($1:$99),1),";")),"",ROW($1:$99)),COLUMN(K247))-1)</f>
        <v/>
      </c>
      <c r="AG248" s="29" t="str">
        <f t="array" ref="AG248">MID(";"&amp;'CASE DATA'!$F248&amp;";",SMALL(IF(ISERROR(SEARCH(MID(";"&amp;'CASE DATA'!$F248&amp;";",ROW($1:$99),1),";")),"",ROW($1:$99)+1),COLUMN(L248)),SMALL(IF(ISERROR(SEARCH(MID(";"&amp;'CASE DATA'!$F248&amp;";",ROW($1:$99),1),";")),"",ROW($1:$99)),COLUMN(L247)+1)-SMALL(IF(ISERROR(SEARCH(MID(";"&amp;'CASE DATA'!$F248&amp;";",ROW($1:$99),1),";")),"",ROW($1:$99)),COLUMN(L247))-1)</f>
        <v/>
      </c>
      <c r="AH248" s="29"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24"/>
      <c r="D249" s="24"/>
      <c r="J249" s="31"/>
      <c r="K249" s="31"/>
      <c r="L249" s="31"/>
      <c r="M249" s="31"/>
      <c r="N249" s="31"/>
      <c r="O249" s="31"/>
      <c r="P249" s="31"/>
      <c r="Q249" s="31"/>
      <c r="R249" s="31"/>
      <c r="S249" s="31"/>
      <c r="T249" s="28">
        <f t="shared" si="4"/>
        <v>0</v>
      </c>
      <c r="U249" s="28"/>
      <c r="W249" s="29" t="str">
        <f t="array" ref="W249">MID(";"&amp;'CASE DATA'!$F249&amp;";",SMALL(IF(ISERROR(SEARCH(MID(";"&amp;'CASE DATA'!$F249&amp;";",ROW($1:$99),1),";")),"",ROW($1:$99)+1),COLUMN(A249)),SMALL(IF(ISERROR(SEARCH(MID(";"&amp;'CASE DATA'!$F249&amp;";",ROW($1:$99),1),";")),"",ROW($1:$99)),COLUMN(A248)+1)-SMALL(IF(ISERROR(SEARCH(MID(";"&amp;'CASE DATA'!$F249&amp;";",ROW($1:$99),1),";")),"",ROW($1:$99)),COLUMN(A248))-1)</f>
        <v/>
      </c>
      <c r="X249" s="29" t="str">
        <f t="array" ref="X249">MID(";"&amp;'CASE DATA'!$F249&amp;";",SMALL(IF(ISERROR(SEARCH(MID(";"&amp;'CASE DATA'!$F249&amp;";",ROW($1:$99),1),";")),"",ROW($1:$99)+1),COLUMN(B249)),SMALL(IF(ISERROR(SEARCH(MID(";"&amp;'CASE DATA'!$F249&amp;";",ROW($1:$99),1),";")),"",ROW($1:$99)),COLUMN(B248)+1)-SMALL(IF(ISERROR(SEARCH(MID(";"&amp;'CASE DATA'!$F249&amp;";",ROW($1:$99),1),";")),"",ROW($1:$99)),COLUMN(B248))-1)</f>
        <v/>
      </c>
      <c r="Y249" s="29" t="str">
        <f t="array" ref="Y249">MID(";"&amp;'CASE DATA'!$F249&amp;";",SMALL(IF(ISERROR(SEARCH(MID(";"&amp;'CASE DATA'!$F249&amp;";",ROW($1:$99),1),";")),"",ROW($1:$99)+1),COLUMN(D249)),SMALL(IF(ISERROR(SEARCH(MID(";"&amp;'CASE DATA'!$F249&amp;";",ROW($1:$99),1),";")),"",ROW($1:$99)),COLUMN(D248)+1)-SMALL(IF(ISERROR(SEARCH(MID(";"&amp;'CASE DATA'!$F249&amp;";",ROW($1:$99),1),";")),"",ROW($1:$99)),COLUMN(D248))-1)</f>
        <v/>
      </c>
      <c r="Z249" s="29" t="str">
        <f t="array" ref="Z249">MID(";"&amp;'CASE DATA'!$F249&amp;";",SMALL(IF(ISERROR(SEARCH(MID(";"&amp;'CASE DATA'!$F249&amp;";",ROW($1:$99),1),";")),"",ROW($1:$99)+1),COLUMN(E249)),SMALL(IF(ISERROR(SEARCH(MID(";"&amp;'CASE DATA'!$F249&amp;";",ROW($1:$99),1),";")),"",ROW($1:$99)),COLUMN(E248)+1)-SMALL(IF(ISERROR(SEARCH(MID(";"&amp;'CASE DATA'!$F249&amp;";",ROW($1:$99),1),";")),"",ROW($1:$99)),COLUMN(E248))-1)</f>
        <v/>
      </c>
      <c r="AA249" s="29" t="str">
        <f t="array" ref="AA249">MID(";"&amp;'CASE DATA'!$F249&amp;";",SMALL(IF(ISERROR(SEARCH(MID(";"&amp;'CASE DATA'!$F249&amp;";",ROW($1:$99),1),";")),"",ROW($1:$99)+1),COLUMN(F249)),SMALL(IF(ISERROR(SEARCH(MID(";"&amp;'CASE DATA'!$F249&amp;";",ROW($1:$99),1),";")),"",ROW($1:$99)),COLUMN(F248)+1)-SMALL(IF(ISERROR(SEARCH(MID(";"&amp;'CASE DATA'!$F249&amp;";",ROW($1:$99),1),";")),"",ROW($1:$99)),COLUMN(F248))-1)</f>
        <v/>
      </c>
      <c r="AB249" s="29" t="str">
        <f t="array" ref="AB249">MID(";"&amp;'CASE DATA'!$F249&amp;";",SMALL(IF(ISERROR(SEARCH(MID(";"&amp;'CASE DATA'!$F249&amp;";",ROW($1:$99),1),";")),"",ROW($1:$99)+1),COLUMN(G249)),SMALL(IF(ISERROR(SEARCH(MID(";"&amp;'CASE DATA'!$F249&amp;";",ROW($1:$99),1),";")),"",ROW($1:$99)),COLUMN(G248)+1)-SMALL(IF(ISERROR(SEARCH(MID(";"&amp;'CASE DATA'!$F249&amp;";",ROW($1:$99),1),";")),"",ROW($1:$99)),COLUMN(G248))-1)</f>
        <v/>
      </c>
      <c r="AC249" s="29" t="str">
        <f t="array" ref="AC249">MID(";"&amp;'CASE DATA'!$F249&amp;";",SMALL(IF(ISERROR(SEARCH(MID(";"&amp;'CASE DATA'!$F249&amp;";",ROW($1:$99),1),";")),"",ROW($1:$99)+1),COLUMN(H249)),SMALL(IF(ISERROR(SEARCH(MID(";"&amp;'CASE DATA'!$F249&amp;";",ROW($1:$99),1),";")),"",ROW($1:$99)),COLUMN(H248)+1)-SMALL(IF(ISERROR(SEARCH(MID(";"&amp;'CASE DATA'!$F249&amp;";",ROW($1:$99),1),";")),"",ROW($1:$99)),COLUMN(H248))-1)</f>
        <v/>
      </c>
      <c r="AD249" s="29" t="str">
        <f t="array" ref="AD249">MID(";"&amp;'CASE DATA'!$F249&amp;";",SMALL(IF(ISERROR(SEARCH(MID(";"&amp;'CASE DATA'!$F249&amp;";",ROW($1:$99),1),";")),"",ROW($1:$99)+1),COLUMN(I249)),SMALL(IF(ISERROR(SEARCH(MID(";"&amp;'CASE DATA'!$F249&amp;";",ROW($1:$99),1),";")),"",ROW($1:$99)),COLUMN(I248)+1)-SMALL(IF(ISERROR(SEARCH(MID(";"&amp;'CASE DATA'!$F249&amp;";",ROW($1:$99),1),";")),"",ROW($1:$99)),COLUMN(I248))-1)</f>
        <v/>
      </c>
      <c r="AE249" s="29" t="str">
        <f t="array" ref="AE249">MID(";"&amp;'CASE DATA'!$F249&amp;";",SMALL(IF(ISERROR(SEARCH(MID(";"&amp;'CASE DATA'!$F249&amp;";",ROW($1:$99),1),";")),"",ROW($1:$99)+1),COLUMN(J249)),SMALL(IF(ISERROR(SEARCH(MID(";"&amp;'CASE DATA'!$F249&amp;";",ROW($1:$99),1),";")),"",ROW($1:$99)),COLUMN(J248)+1)-SMALL(IF(ISERROR(SEARCH(MID(";"&amp;'CASE DATA'!$F249&amp;";",ROW($1:$99),1),";")),"",ROW($1:$99)),COLUMN(J248))-1)</f>
        <v/>
      </c>
      <c r="AF249" s="29" t="str">
        <f t="array" ref="AF249">MID(";"&amp;'CASE DATA'!$F249&amp;";",SMALL(IF(ISERROR(SEARCH(MID(";"&amp;'CASE DATA'!$F249&amp;";",ROW($1:$99),1),";")),"",ROW($1:$99)+1),COLUMN(K249)),SMALL(IF(ISERROR(SEARCH(MID(";"&amp;'CASE DATA'!$F249&amp;";",ROW($1:$99),1),";")),"",ROW($1:$99)),COLUMN(K248)+1)-SMALL(IF(ISERROR(SEARCH(MID(";"&amp;'CASE DATA'!$F249&amp;";",ROW($1:$99),1),";")),"",ROW($1:$99)),COLUMN(K248))-1)</f>
        <v/>
      </c>
      <c r="AG249" s="29" t="str">
        <f t="array" ref="AG249">MID(";"&amp;'CASE DATA'!$F249&amp;";",SMALL(IF(ISERROR(SEARCH(MID(";"&amp;'CASE DATA'!$F249&amp;";",ROW($1:$99),1),";")),"",ROW($1:$99)+1),COLUMN(L249)),SMALL(IF(ISERROR(SEARCH(MID(";"&amp;'CASE DATA'!$F249&amp;";",ROW($1:$99),1),";")),"",ROW($1:$99)),COLUMN(L248)+1)-SMALL(IF(ISERROR(SEARCH(MID(";"&amp;'CASE DATA'!$F249&amp;";",ROW($1:$99),1),";")),"",ROW($1:$99)),COLUMN(L248))-1)</f>
        <v/>
      </c>
      <c r="AH249" s="29"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24"/>
      <c r="D250" s="24"/>
      <c r="J250" s="31"/>
      <c r="K250" s="31"/>
      <c r="L250" s="31"/>
      <c r="M250" s="31"/>
      <c r="N250" s="31"/>
      <c r="O250" s="31"/>
      <c r="P250" s="31"/>
      <c r="Q250" s="31"/>
      <c r="R250" s="31"/>
      <c r="S250" s="31"/>
      <c r="T250" s="28">
        <f t="shared" si="4"/>
        <v>0</v>
      </c>
      <c r="U250" s="28"/>
      <c r="W250" s="29" t="str">
        <f t="array" ref="W250">MID(";"&amp;'CASE DATA'!$F250&amp;";",SMALL(IF(ISERROR(SEARCH(MID(";"&amp;'CASE DATA'!$F250&amp;";",ROW($1:$99),1),";")),"",ROW($1:$99)+1),COLUMN(A250)),SMALL(IF(ISERROR(SEARCH(MID(";"&amp;'CASE DATA'!$F250&amp;";",ROW($1:$99),1),";")),"",ROW($1:$99)),COLUMN(A249)+1)-SMALL(IF(ISERROR(SEARCH(MID(";"&amp;'CASE DATA'!$F250&amp;";",ROW($1:$99),1),";")),"",ROW($1:$99)),COLUMN(A249))-1)</f>
        <v/>
      </c>
      <c r="X250" s="29" t="str">
        <f t="array" ref="X250">MID(";"&amp;'CASE DATA'!$F250&amp;";",SMALL(IF(ISERROR(SEARCH(MID(";"&amp;'CASE DATA'!$F250&amp;";",ROW($1:$99),1),";")),"",ROW($1:$99)+1),COLUMN(B250)),SMALL(IF(ISERROR(SEARCH(MID(";"&amp;'CASE DATA'!$F250&amp;";",ROW($1:$99),1),";")),"",ROW($1:$99)),COLUMN(B249)+1)-SMALL(IF(ISERROR(SEARCH(MID(";"&amp;'CASE DATA'!$F250&amp;";",ROW($1:$99),1),";")),"",ROW($1:$99)),COLUMN(B249))-1)</f>
        <v/>
      </c>
      <c r="Y250" s="29" t="str">
        <f t="array" ref="Y250">MID(";"&amp;'CASE DATA'!$F250&amp;";",SMALL(IF(ISERROR(SEARCH(MID(";"&amp;'CASE DATA'!$F250&amp;";",ROW($1:$99),1),";")),"",ROW($1:$99)+1),COLUMN(D250)),SMALL(IF(ISERROR(SEARCH(MID(";"&amp;'CASE DATA'!$F250&amp;";",ROW($1:$99),1),";")),"",ROW($1:$99)),COLUMN(D249)+1)-SMALL(IF(ISERROR(SEARCH(MID(";"&amp;'CASE DATA'!$F250&amp;";",ROW($1:$99),1),";")),"",ROW($1:$99)),COLUMN(D249))-1)</f>
        <v/>
      </c>
      <c r="Z250" s="29" t="str">
        <f t="array" ref="Z250">MID(";"&amp;'CASE DATA'!$F250&amp;";",SMALL(IF(ISERROR(SEARCH(MID(";"&amp;'CASE DATA'!$F250&amp;";",ROW($1:$99),1),";")),"",ROW($1:$99)+1),COLUMN(E250)),SMALL(IF(ISERROR(SEARCH(MID(";"&amp;'CASE DATA'!$F250&amp;";",ROW($1:$99),1),";")),"",ROW($1:$99)),COLUMN(E249)+1)-SMALL(IF(ISERROR(SEARCH(MID(";"&amp;'CASE DATA'!$F250&amp;";",ROW($1:$99),1),";")),"",ROW($1:$99)),COLUMN(E249))-1)</f>
        <v/>
      </c>
      <c r="AA250" s="29" t="str">
        <f t="array" ref="AA250">MID(";"&amp;'CASE DATA'!$F250&amp;";",SMALL(IF(ISERROR(SEARCH(MID(";"&amp;'CASE DATA'!$F250&amp;";",ROW($1:$99),1),";")),"",ROW($1:$99)+1),COLUMN(F250)),SMALL(IF(ISERROR(SEARCH(MID(";"&amp;'CASE DATA'!$F250&amp;";",ROW($1:$99),1),";")),"",ROW($1:$99)),COLUMN(F249)+1)-SMALL(IF(ISERROR(SEARCH(MID(";"&amp;'CASE DATA'!$F250&amp;";",ROW($1:$99),1),";")),"",ROW($1:$99)),COLUMN(F249))-1)</f>
        <v/>
      </c>
      <c r="AB250" s="29" t="str">
        <f t="array" ref="AB250">MID(";"&amp;'CASE DATA'!$F250&amp;";",SMALL(IF(ISERROR(SEARCH(MID(";"&amp;'CASE DATA'!$F250&amp;";",ROW($1:$99),1),";")),"",ROW($1:$99)+1),COLUMN(G250)),SMALL(IF(ISERROR(SEARCH(MID(";"&amp;'CASE DATA'!$F250&amp;";",ROW($1:$99),1),";")),"",ROW($1:$99)),COLUMN(G249)+1)-SMALL(IF(ISERROR(SEARCH(MID(";"&amp;'CASE DATA'!$F250&amp;";",ROW($1:$99),1),";")),"",ROW($1:$99)),COLUMN(G249))-1)</f>
        <v/>
      </c>
      <c r="AC250" s="29" t="str">
        <f t="array" ref="AC250">MID(";"&amp;'CASE DATA'!$F250&amp;";",SMALL(IF(ISERROR(SEARCH(MID(";"&amp;'CASE DATA'!$F250&amp;";",ROW($1:$99),1),";")),"",ROW($1:$99)+1),COLUMN(H250)),SMALL(IF(ISERROR(SEARCH(MID(";"&amp;'CASE DATA'!$F250&amp;";",ROW($1:$99),1),";")),"",ROW($1:$99)),COLUMN(H249)+1)-SMALL(IF(ISERROR(SEARCH(MID(";"&amp;'CASE DATA'!$F250&amp;";",ROW($1:$99),1),";")),"",ROW($1:$99)),COLUMN(H249))-1)</f>
        <v/>
      </c>
      <c r="AD250" s="29" t="str">
        <f t="array" ref="AD250">MID(";"&amp;'CASE DATA'!$F250&amp;";",SMALL(IF(ISERROR(SEARCH(MID(";"&amp;'CASE DATA'!$F250&amp;";",ROW($1:$99),1),";")),"",ROW($1:$99)+1),COLUMN(I250)),SMALL(IF(ISERROR(SEARCH(MID(";"&amp;'CASE DATA'!$F250&amp;";",ROW($1:$99),1),";")),"",ROW($1:$99)),COLUMN(I249)+1)-SMALL(IF(ISERROR(SEARCH(MID(";"&amp;'CASE DATA'!$F250&amp;";",ROW($1:$99),1),";")),"",ROW($1:$99)),COLUMN(I249))-1)</f>
        <v/>
      </c>
      <c r="AE250" s="29" t="str">
        <f t="array" ref="AE250">MID(";"&amp;'CASE DATA'!$F250&amp;";",SMALL(IF(ISERROR(SEARCH(MID(";"&amp;'CASE DATA'!$F250&amp;";",ROW($1:$99),1),";")),"",ROW($1:$99)+1),COLUMN(J250)),SMALL(IF(ISERROR(SEARCH(MID(";"&amp;'CASE DATA'!$F250&amp;";",ROW($1:$99),1),";")),"",ROW($1:$99)),COLUMN(J249)+1)-SMALL(IF(ISERROR(SEARCH(MID(";"&amp;'CASE DATA'!$F250&amp;";",ROW($1:$99),1),";")),"",ROW($1:$99)),COLUMN(J249))-1)</f>
        <v/>
      </c>
      <c r="AF250" s="29" t="str">
        <f t="array" ref="AF250">MID(";"&amp;'CASE DATA'!$F250&amp;";",SMALL(IF(ISERROR(SEARCH(MID(";"&amp;'CASE DATA'!$F250&amp;";",ROW($1:$99),1),";")),"",ROW($1:$99)+1),COLUMN(K250)),SMALL(IF(ISERROR(SEARCH(MID(";"&amp;'CASE DATA'!$F250&amp;";",ROW($1:$99),1),";")),"",ROW($1:$99)),COLUMN(K249)+1)-SMALL(IF(ISERROR(SEARCH(MID(";"&amp;'CASE DATA'!$F250&amp;";",ROW($1:$99),1),";")),"",ROW($1:$99)),COLUMN(K249))-1)</f>
        <v/>
      </c>
      <c r="AG250" s="29" t="str">
        <f t="array" ref="AG250">MID(";"&amp;'CASE DATA'!$F250&amp;";",SMALL(IF(ISERROR(SEARCH(MID(";"&amp;'CASE DATA'!$F250&amp;";",ROW($1:$99),1),";")),"",ROW($1:$99)+1),COLUMN(L250)),SMALL(IF(ISERROR(SEARCH(MID(";"&amp;'CASE DATA'!$F250&amp;";",ROW($1:$99),1),";")),"",ROW($1:$99)),COLUMN(L249)+1)-SMALL(IF(ISERROR(SEARCH(MID(";"&amp;'CASE DATA'!$F250&amp;";",ROW($1:$99),1),";")),"",ROW($1:$99)),COLUMN(L249))-1)</f>
        <v/>
      </c>
      <c r="AH250" s="29"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24"/>
      <c r="D251" s="24"/>
      <c r="J251" s="31"/>
      <c r="K251" s="31"/>
      <c r="L251" s="31"/>
      <c r="M251" s="31"/>
      <c r="N251" s="31"/>
      <c r="O251" s="31"/>
      <c r="P251" s="31"/>
      <c r="Q251" s="31"/>
      <c r="R251" s="31"/>
      <c r="S251" s="31"/>
      <c r="T251" s="28">
        <f t="shared" si="4"/>
        <v>0</v>
      </c>
      <c r="U251" s="28"/>
      <c r="W251" s="29" t="str">
        <f t="array" ref="W251">MID(";"&amp;'CASE DATA'!$F251&amp;";",SMALL(IF(ISERROR(SEARCH(MID(";"&amp;'CASE DATA'!$F251&amp;";",ROW($1:$99),1),";")),"",ROW($1:$99)+1),COLUMN(A251)),SMALL(IF(ISERROR(SEARCH(MID(";"&amp;'CASE DATA'!$F251&amp;";",ROW($1:$99),1),";")),"",ROW($1:$99)),COLUMN(A250)+1)-SMALL(IF(ISERROR(SEARCH(MID(";"&amp;'CASE DATA'!$F251&amp;";",ROW($1:$99),1),";")),"",ROW($1:$99)),COLUMN(A250))-1)</f>
        <v/>
      </c>
      <c r="X251" s="29" t="str">
        <f t="array" ref="X251">MID(";"&amp;'CASE DATA'!$F251&amp;";",SMALL(IF(ISERROR(SEARCH(MID(";"&amp;'CASE DATA'!$F251&amp;";",ROW($1:$99),1),";")),"",ROW($1:$99)+1),COLUMN(B251)),SMALL(IF(ISERROR(SEARCH(MID(";"&amp;'CASE DATA'!$F251&amp;";",ROW($1:$99),1),";")),"",ROW($1:$99)),COLUMN(B250)+1)-SMALL(IF(ISERROR(SEARCH(MID(";"&amp;'CASE DATA'!$F251&amp;";",ROW($1:$99),1),";")),"",ROW($1:$99)),COLUMN(B250))-1)</f>
        <v/>
      </c>
      <c r="Y251" s="29" t="str">
        <f t="array" ref="Y251">MID(";"&amp;'CASE DATA'!$F251&amp;";",SMALL(IF(ISERROR(SEARCH(MID(";"&amp;'CASE DATA'!$F251&amp;";",ROW($1:$99),1),";")),"",ROW($1:$99)+1),COLUMN(D251)),SMALL(IF(ISERROR(SEARCH(MID(";"&amp;'CASE DATA'!$F251&amp;";",ROW($1:$99),1),";")),"",ROW($1:$99)),COLUMN(D250)+1)-SMALL(IF(ISERROR(SEARCH(MID(";"&amp;'CASE DATA'!$F251&amp;";",ROW($1:$99),1),";")),"",ROW($1:$99)),COLUMN(D250))-1)</f>
        <v/>
      </c>
      <c r="Z251" s="29" t="str">
        <f t="array" ref="Z251">MID(";"&amp;'CASE DATA'!$F251&amp;";",SMALL(IF(ISERROR(SEARCH(MID(";"&amp;'CASE DATA'!$F251&amp;";",ROW($1:$99),1),";")),"",ROW($1:$99)+1),COLUMN(E251)),SMALL(IF(ISERROR(SEARCH(MID(";"&amp;'CASE DATA'!$F251&amp;";",ROW($1:$99),1),";")),"",ROW($1:$99)),COLUMN(E250)+1)-SMALL(IF(ISERROR(SEARCH(MID(";"&amp;'CASE DATA'!$F251&amp;";",ROW($1:$99),1),";")),"",ROW($1:$99)),COLUMN(E250))-1)</f>
        <v/>
      </c>
      <c r="AA251" s="29" t="str">
        <f t="array" ref="AA251">MID(";"&amp;'CASE DATA'!$F251&amp;";",SMALL(IF(ISERROR(SEARCH(MID(";"&amp;'CASE DATA'!$F251&amp;";",ROW($1:$99),1),";")),"",ROW($1:$99)+1),COLUMN(F251)),SMALL(IF(ISERROR(SEARCH(MID(";"&amp;'CASE DATA'!$F251&amp;";",ROW($1:$99),1),";")),"",ROW($1:$99)),COLUMN(F250)+1)-SMALL(IF(ISERROR(SEARCH(MID(";"&amp;'CASE DATA'!$F251&amp;";",ROW($1:$99),1),";")),"",ROW($1:$99)),COLUMN(F250))-1)</f>
        <v/>
      </c>
      <c r="AB251" s="29" t="str">
        <f t="array" ref="AB251">MID(";"&amp;'CASE DATA'!$F251&amp;";",SMALL(IF(ISERROR(SEARCH(MID(";"&amp;'CASE DATA'!$F251&amp;";",ROW($1:$99),1),";")),"",ROW($1:$99)+1),COLUMN(G251)),SMALL(IF(ISERROR(SEARCH(MID(";"&amp;'CASE DATA'!$F251&amp;";",ROW($1:$99),1),";")),"",ROW($1:$99)),COLUMN(G250)+1)-SMALL(IF(ISERROR(SEARCH(MID(";"&amp;'CASE DATA'!$F251&amp;";",ROW($1:$99),1),";")),"",ROW($1:$99)),COLUMN(G250))-1)</f>
        <v/>
      </c>
      <c r="AC251" s="29" t="str">
        <f t="array" ref="AC251">MID(";"&amp;'CASE DATA'!$F251&amp;";",SMALL(IF(ISERROR(SEARCH(MID(";"&amp;'CASE DATA'!$F251&amp;";",ROW($1:$99),1),";")),"",ROW($1:$99)+1),COLUMN(H251)),SMALL(IF(ISERROR(SEARCH(MID(";"&amp;'CASE DATA'!$F251&amp;";",ROW($1:$99),1),";")),"",ROW($1:$99)),COLUMN(H250)+1)-SMALL(IF(ISERROR(SEARCH(MID(";"&amp;'CASE DATA'!$F251&amp;";",ROW($1:$99),1),";")),"",ROW($1:$99)),COLUMN(H250))-1)</f>
        <v/>
      </c>
      <c r="AD251" s="29" t="str">
        <f t="array" ref="AD251">MID(";"&amp;'CASE DATA'!$F251&amp;";",SMALL(IF(ISERROR(SEARCH(MID(";"&amp;'CASE DATA'!$F251&amp;";",ROW($1:$99),1),";")),"",ROW($1:$99)+1),COLUMN(I251)),SMALL(IF(ISERROR(SEARCH(MID(";"&amp;'CASE DATA'!$F251&amp;";",ROW($1:$99),1),";")),"",ROW($1:$99)),COLUMN(I250)+1)-SMALL(IF(ISERROR(SEARCH(MID(";"&amp;'CASE DATA'!$F251&amp;";",ROW($1:$99),1),";")),"",ROW($1:$99)),COLUMN(I250))-1)</f>
        <v/>
      </c>
      <c r="AE251" s="29" t="str">
        <f t="array" ref="AE251">MID(";"&amp;'CASE DATA'!$F251&amp;";",SMALL(IF(ISERROR(SEARCH(MID(";"&amp;'CASE DATA'!$F251&amp;";",ROW($1:$99),1),";")),"",ROW($1:$99)+1),COLUMN(J251)),SMALL(IF(ISERROR(SEARCH(MID(";"&amp;'CASE DATA'!$F251&amp;";",ROW($1:$99),1),";")),"",ROW($1:$99)),COLUMN(J250)+1)-SMALL(IF(ISERROR(SEARCH(MID(";"&amp;'CASE DATA'!$F251&amp;";",ROW($1:$99),1),";")),"",ROW($1:$99)),COLUMN(J250))-1)</f>
        <v/>
      </c>
      <c r="AF251" s="29" t="str">
        <f t="array" ref="AF251">MID(";"&amp;'CASE DATA'!$F251&amp;";",SMALL(IF(ISERROR(SEARCH(MID(";"&amp;'CASE DATA'!$F251&amp;";",ROW($1:$99),1),";")),"",ROW($1:$99)+1),COLUMN(K251)),SMALL(IF(ISERROR(SEARCH(MID(";"&amp;'CASE DATA'!$F251&amp;";",ROW($1:$99),1),";")),"",ROW($1:$99)),COLUMN(K250)+1)-SMALL(IF(ISERROR(SEARCH(MID(";"&amp;'CASE DATA'!$F251&amp;";",ROW($1:$99),1),";")),"",ROW($1:$99)),COLUMN(K250))-1)</f>
        <v/>
      </c>
      <c r="AG251" s="29" t="str">
        <f t="array" ref="AG251">MID(";"&amp;'CASE DATA'!$F251&amp;";",SMALL(IF(ISERROR(SEARCH(MID(";"&amp;'CASE DATA'!$F251&amp;";",ROW($1:$99),1),";")),"",ROW($1:$99)+1),COLUMN(L251)),SMALL(IF(ISERROR(SEARCH(MID(";"&amp;'CASE DATA'!$F251&amp;";",ROW($1:$99),1),";")),"",ROW($1:$99)),COLUMN(L250)+1)-SMALL(IF(ISERROR(SEARCH(MID(";"&amp;'CASE DATA'!$F251&amp;";",ROW($1:$99),1),";")),"",ROW($1:$99)),COLUMN(L250))-1)</f>
        <v/>
      </c>
      <c r="AH251" s="29"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24"/>
      <c r="D252" s="24"/>
      <c r="J252" s="31"/>
      <c r="K252" s="31"/>
      <c r="L252" s="31"/>
      <c r="M252" s="31"/>
      <c r="N252" s="31"/>
      <c r="O252" s="31"/>
      <c r="P252" s="31"/>
      <c r="Q252" s="31"/>
      <c r="R252" s="31"/>
      <c r="S252" s="31"/>
      <c r="T252" s="28">
        <f t="shared" si="4"/>
        <v>0</v>
      </c>
      <c r="U252" s="28"/>
      <c r="W252" s="29" t="str">
        <f t="array" ref="W252">MID(";"&amp;'CASE DATA'!$F252&amp;";",SMALL(IF(ISERROR(SEARCH(MID(";"&amp;'CASE DATA'!$F252&amp;";",ROW($1:$99),1),";")),"",ROW($1:$99)+1),COLUMN(A252)),SMALL(IF(ISERROR(SEARCH(MID(";"&amp;'CASE DATA'!$F252&amp;";",ROW($1:$99),1),";")),"",ROW($1:$99)),COLUMN(A251)+1)-SMALL(IF(ISERROR(SEARCH(MID(";"&amp;'CASE DATA'!$F252&amp;";",ROW($1:$99),1),";")),"",ROW($1:$99)),COLUMN(A251))-1)</f>
        <v/>
      </c>
      <c r="X252" s="29" t="str">
        <f t="array" ref="X252">MID(";"&amp;'CASE DATA'!$F252&amp;";",SMALL(IF(ISERROR(SEARCH(MID(";"&amp;'CASE DATA'!$F252&amp;";",ROW($1:$99),1),";")),"",ROW($1:$99)+1),COLUMN(B252)),SMALL(IF(ISERROR(SEARCH(MID(";"&amp;'CASE DATA'!$F252&amp;";",ROW($1:$99),1),";")),"",ROW($1:$99)),COLUMN(B251)+1)-SMALL(IF(ISERROR(SEARCH(MID(";"&amp;'CASE DATA'!$F252&amp;";",ROW($1:$99),1),";")),"",ROW($1:$99)),COLUMN(B251))-1)</f>
        <v/>
      </c>
      <c r="Y252" s="29" t="str">
        <f t="array" ref="Y252">MID(";"&amp;'CASE DATA'!$F252&amp;";",SMALL(IF(ISERROR(SEARCH(MID(";"&amp;'CASE DATA'!$F252&amp;";",ROW($1:$99),1),";")),"",ROW($1:$99)+1),COLUMN(D252)),SMALL(IF(ISERROR(SEARCH(MID(";"&amp;'CASE DATA'!$F252&amp;";",ROW($1:$99),1),";")),"",ROW($1:$99)),COLUMN(D251)+1)-SMALL(IF(ISERROR(SEARCH(MID(";"&amp;'CASE DATA'!$F252&amp;";",ROW($1:$99),1),";")),"",ROW($1:$99)),COLUMN(D251))-1)</f>
        <v/>
      </c>
      <c r="Z252" s="29" t="str">
        <f t="array" ref="Z252">MID(";"&amp;'CASE DATA'!$F252&amp;";",SMALL(IF(ISERROR(SEARCH(MID(";"&amp;'CASE DATA'!$F252&amp;";",ROW($1:$99),1),";")),"",ROW($1:$99)+1),COLUMN(E252)),SMALL(IF(ISERROR(SEARCH(MID(";"&amp;'CASE DATA'!$F252&amp;";",ROW($1:$99),1),";")),"",ROW($1:$99)),COLUMN(E251)+1)-SMALL(IF(ISERROR(SEARCH(MID(";"&amp;'CASE DATA'!$F252&amp;";",ROW($1:$99),1),";")),"",ROW($1:$99)),COLUMN(E251))-1)</f>
        <v/>
      </c>
      <c r="AA252" s="29" t="str">
        <f t="array" ref="AA252">MID(";"&amp;'CASE DATA'!$F252&amp;";",SMALL(IF(ISERROR(SEARCH(MID(";"&amp;'CASE DATA'!$F252&amp;";",ROW($1:$99),1),";")),"",ROW($1:$99)+1),COLUMN(F252)),SMALL(IF(ISERROR(SEARCH(MID(";"&amp;'CASE DATA'!$F252&amp;";",ROW($1:$99),1),";")),"",ROW($1:$99)),COLUMN(F251)+1)-SMALL(IF(ISERROR(SEARCH(MID(";"&amp;'CASE DATA'!$F252&amp;";",ROW($1:$99),1),";")),"",ROW($1:$99)),COLUMN(F251))-1)</f>
        <v/>
      </c>
      <c r="AB252" s="29" t="str">
        <f t="array" ref="AB252">MID(";"&amp;'CASE DATA'!$F252&amp;";",SMALL(IF(ISERROR(SEARCH(MID(";"&amp;'CASE DATA'!$F252&amp;";",ROW($1:$99),1),";")),"",ROW($1:$99)+1),COLUMN(G252)),SMALL(IF(ISERROR(SEARCH(MID(";"&amp;'CASE DATA'!$F252&amp;";",ROW($1:$99),1),";")),"",ROW($1:$99)),COLUMN(G251)+1)-SMALL(IF(ISERROR(SEARCH(MID(";"&amp;'CASE DATA'!$F252&amp;";",ROW($1:$99),1),";")),"",ROW($1:$99)),COLUMN(G251))-1)</f>
        <v/>
      </c>
      <c r="AC252" s="29" t="str">
        <f t="array" ref="AC252">MID(";"&amp;'CASE DATA'!$F252&amp;";",SMALL(IF(ISERROR(SEARCH(MID(";"&amp;'CASE DATA'!$F252&amp;";",ROW($1:$99),1),";")),"",ROW($1:$99)+1),COLUMN(H252)),SMALL(IF(ISERROR(SEARCH(MID(";"&amp;'CASE DATA'!$F252&amp;";",ROW($1:$99),1),";")),"",ROW($1:$99)),COLUMN(H251)+1)-SMALL(IF(ISERROR(SEARCH(MID(";"&amp;'CASE DATA'!$F252&amp;";",ROW($1:$99),1),";")),"",ROW($1:$99)),COLUMN(H251))-1)</f>
        <v/>
      </c>
      <c r="AD252" s="29" t="str">
        <f t="array" ref="AD252">MID(";"&amp;'CASE DATA'!$F252&amp;";",SMALL(IF(ISERROR(SEARCH(MID(";"&amp;'CASE DATA'!$F252&amp;";",ROW($1:$99),1),";")),"",ROW($1:$99)+1),COLUMN(I252)),SMALL(IF(ISERROR(SEARCH(MID(";"&amp;'CASE DATA'!$F252&amp;";",ROW($1:$99),1),";")),"",ROW($1:$99)),COLUMN(I251)+1)-SMALL(IF(ISERROR(SEARCH(MID(";"&amp;'CASE DATA'!$F252&amp;";",ROW($1:$99),1),";")),"",ROW($1:$99)),COLUMN(I251))-1)</f>
        <v/>
      </c>
      <c r="AE252" s="29" t="str">
        <f t="array" ref="AE252">MID(";"&amp;'CASE DATA'!$F252&amp;";",SMALL(IF(ISERROR(SEARCH(MID(";"&amp;'CASE DATA'!$F252&amp;";",ROW($1:$99),1),";")),"",ROW($1:$99)+1),COLUMN(J252)),SMALL(IF(ISERROR(SEARCH(MID(";"&amp;'CASE DATA'!$F252&amp;";",ROW($1:$99),1),";")),"",ROW($1:$99)),COLUMN(J251)+1)-SMALL(IF(ISERROR(SEARCH(MID(";"&amp;'CASE DATA'!$F252&amp;";",ROW($1:$99),1),";")),"",ROW($1:$99)),COLUMN(J251))-1)</f>
        <v/>
      </c>
      <c r="AF252" s="29" t="str">
        <f t="array" ref="AF252">MID(";"&amp;'CASE DATA'!$F252&amp;";",SMALL(IF(ISERROR(SEARCH(MID(";"&amp;'CASE DATA'!$F252&amp;";",ROW($1:$99),1),";")),"",ROW($1:$99)+1),COLUMN(K252)),SMALL(IF(ISERROR(SEARCH(MID(";"&amp;'CASE DATA'!$F252&amp;";",ROW($1:$99),1),";")),"",ROW($1:$99)),COLUMN(K251)+1)-SMALL(IF(ISERROR(SEARCH(MID(";"&amp;'CASE DATA'!$F252&amp;";",ROW($1:$99),1),";")),"",ROW($1:$99)),COLUMN(K251))-1)</f>
        <v/>
      </c>
      <c r="AG252" s="29" t="str">
        <f t="array" ref="AG252">MID(";"&amp;'CASE DATA'!$F252&amp;";",SMALL(IF(ISERROR(SEARCH(MID(";"&amp;'CASE DATA'!$F252&amp;";",ROW($1:$99),1),";")),"",ROW($1:$99)+1),COLUMN(L252)),SMALL(IF(ISERROR(SEARCH(MID(";"&amp;'CASE DATA'!$F252&amp;";",ROW($1:$99),1),";")),"",ROW($1:$99)),COLUMN(L251)+1)-SMALL(IF(ISERROR(SEARCH(MID(";"&amp;'CASE DATA'!$F252&amp;";",ROW($1:$99),1),";")),"",ROW($1:$99)),COLUMN(L251))-1)</f>
        <v/>
      </c>
      <c r="AH252" s="29"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24"/>
      <c r="D253" s="24"/>
      <c r="J253" s="31"/>
      <c r="K253" s="31"/>
      <c r="L253" s="31"/>
      <c r="M253" s="31"/>
      <c r="N253" s="31"/>
      <c r="O253" s="31"/>
      <c r="P253" s="31"/>
      <c r="Q253" s="31"/>
      <c r="R253" s="31"/>
      <c r="S253" s="31"/>
      <c r="T253" s="28">
        <f t="shared" si="4"/>
        <v>0</v>
      </c>
      <c r="U253" s="28"/>
      <c r="W253" s="29" t="str">
        <f t="array" ref="W253">MID(";"&amp;'CASE DATA'!$F253&amp;";",SMALL(IF(ISERROR(SEARCH(MID(";"&amp;'CASE DATA'!$F253&amp;";",ROW($1:$99),1),";")),"",ROW($1:$99)+1),COLUMN(A253)),SMALL(IF(ISERROR(SEARCH(MID(";"&amp;'CASE DATA'!$F253&amp;";",ROW($1:$99),1),";")),"",ROW($1:$99)),COLUMN(A252)+1)-SMALL(IF(ISERROR(SEARCH(MID(";"&amp;'CASE DATA'!$F253&amp;";",ROW($1:$99),1),";")),"",ROW($1:$99)),COLUMN(A252))-1)</f>
        <v/>
      </c>
      <c r="X253" s="29" t="str">
        <f t="array" ref="X253">MID(";"&amp;'CASE DATA'!$F253&amp;";",SMALL(IF(ISERROR(SEARCH(MID(";"&amp;'CASE DATA'!$F253&amp;";",ROW($1:$99),1),";")),"",ROW($1:$99)+1),COLUMN(B253)),SMALL(IF(ISERROR(SEARCH(MID(";"&amp;'CASE DATA'!$F253&amp;";",ROW($1:$99),1),";")),"",ROW($1:$99)),COLUMN(B252)+1)-SMALL(IF(ISERROR(SEARCH(MID(";"&amp;'CASE DATA'!$F253&amp;";",ROW($1:$99),1),";")),"",ROW($1:$99)),COLUMN(B252))-1)</f>
        <v/>
      </c>
      <c r="Y253" s="29" t="str">
        <f t="array" ref="Y253">MID(";"&amp;'CASE DATA'!$F253&amp;";",SMALL(IF(ISERROR(SEARCH(MID(";"&amp;'CASE DATA'!$F253&amp;";",ROW($1:$99),1),";")),"",ROW($1:$99)+1),COLUMN(D253)),SMALL(IF(ISERROR(SEARCH(MID(";"&amp;'CASE DATA'!$F253&amp;";",ROW($1:$99),1),";")),"",ROW($1:$99)),COLUMN(D252)+1)-SMALL(IF(ISERROR(SEARCH(MID(";"&amp;'CASE DATA'!$F253&amp;";",ROW($1:$99),1),";")),"",ROW($1:$99)),COLUMN(D252))-1)</f>
        <v/>
      </c>
      <c r="Z253" s="29" t="str">
        <f t="array" ref="Z253">MID(";"&amp;'CASE DATA'!$F253&amp;";",SMALL(IF(ISERROR(SEARCH(MID(";"&amp;'CASE DATA'!$F253&amp;";",ROW($1:$99),1),";")),"",ROW($1:$99)+1),COLUMN(E253)),SMALL(IF(ISERROR(SEARCH(MID(";"&amp;'CASE DATA'!$F253&amp;";",ROW($1:$99),1),";")),"",ROW($1:$99)),COLUMN(E252)+1)-SMALL(IF(ISERROR(SEARCH(MID(";"&amp;'CASE DATA'!$F253&amp;";",ROW($1:$99),1),";")),"",ROW($1:$99)),COLUMN(E252))-1)</f>
        <v/>
      </c>
      <c r="AA253" s="29" t="str">
        <f t="array" ref="AA253">MID(";"&amp;'CASE DATA'!$F253&amp;";",SMALL(IF(ISERROR(SEARCH(MID(";"&amp;'CASE DATA'!$F253&amp;";",ROW($1:$99),1),";")),"",ROW($1:$99)+1),COLUMN(F253)),SMALL(IF(ISERROR(SEARCH(MID(";"&amp;'CASE DATA'!$F253&amp;";",ROW($1:$99),1),";")),"",ROW($1:$99)),COLUMN(F252)+1)-SMALL(IF(ISERROR(SEARCH(MID(";"&amp;'CASE DATA'!$F253&amp;";",ROW($1:$99),1),";")),"",ROW($1:$99)),COLUMN(F252))-1)</f>
        <v/>
      </c>
      <c r="AB253" s="29" t="str">
        <f t="array" ref="AB253">MID(";"&amp;'CASE DATA'!$F253&amp;";",SMALL(IF(ISERROR(SEARCH(MID(";"&amp;'CASE DATA'!$F253&amp;";",ROW($1:$99),1),";")),"",ROW($1:$99)+1),COLUMN(G253)),SMALL(IF(ISERROR(SEARCH(MID(";"&amp;'CASE DATA'!$F253&amp;";",ROW($1:$99),1),";")),"",ROW($1:$99)),COLUMN(G252)+1)-SMALL(IF(ISERROR(SEARCH(MID(";"&amp;'CASE DATA'!$F253&amp;";",ROW($1:$99),1),";")),"",ROW($1:$99)),COLUMN(G252))-1)</f>
        <v/>
      </c>
      <c r="AC253" s="29" t="str">
        <f t="array" ref="AC253">MID(";"&amp;'CASE DATA'!$F253&amp;";",SMALL(IF(ISERROR(SEARCH(MID(";"&amp;'CASE DATA'!$F253&amp;";",ROW($1:$99),1),";")),"",ROW($1:$99)+1),COLUMN(H253)),SMALL(IF(ISERROR(SEARCH(MID(";"&amp;'CASE DATA'!$F253&amp;";",ROW($1:$99),1),";")),"",ROW($1:$99)),COLUMN(H252)+1)-SMALL(IF(ISERROR(SEARCH(MID(";"&amp;'CASE DATA'!$F253&amp;";",ROW($1:$99),1),";")),"",ROW($1:$99)),COLUMN(H252))-1)</f>
        <v/>
      </c>
      <c r="AD253" s="29" t="str">
        <f t="array" ref="AD253">MID(";"&amp;'CASE DATA'!$F253&amp;";",SMALL(IF(ISERROR(SEARCH(MID(";"&amp;'CASE DATA'!$F253&amp;";",ROW($1:$99),1),";")),"",ROW($1:$99)+1),COLUMN(I253)),SMALL(IF(ISERROR(SEARCH(MID(";"&amp;'CASE DATA'!$F253&amp;";",ROW($1:$99),1),";")),"",ROW($1:$99)),COLUMN(I252)+1)-SMALL(IF(ISERROR(SEARCH(MID(";"&amp;'CASE DATA'!$F253&amp;";",ROW($1:$99),1),";")),"",ROW($1:$99)),COLUMN(I252))-1)</f>
        <v/>
      </c>
      <c r="AE253" s="29" t="str">
        <f t="array" ref="AE253">MID(";"&amp;'CASE DATA'!$F253&amp;";",SMALL(IF(ISERROR(SEARCH(MID(";"&amp;'CASE DATA'!$F253&amp;";",ROW($1:$99),1),";")),"",ROW($1:$99)+1),COLUMN(J253)),SMALL(IF(ISERROR(SEARCH(MID(";"&amp;'CASE DATA'!$F253&amp;";",ROW($1:$99),1),";")),"",ROW($1:$99)),COLUMN(J252)+1)-SMALL(IF(ISERROR(SEARCH(MID(";"&amp;'CASE DATA'!$F253&amp;";",ROW($1:$99),1),";")),"",ROW($1:$99)),COLUMN(J252))-1)</f>
        <v/>
      </c>
      <c r="AF253" s="29" t="str">
        <f t="array" ref="AF253">MID(";"&amp;'CASE DATA'!$F253&amp;";",SMALL(IF(ISERROR(SEARCH(MID(";"&amp;'CASE DATA'!$F253&amp;";",ROW($1:$99),1),";")),"",ROW($1:$99)+1),COLUMN(K253)),SMALL(IF(ISERROR(SEARCH(MID(";"&amp;'CASE DATA'!$F253&amp;";",ROW($1:$99),1),";")),"",ROW($1:$99)),COLUMN(K252)+1)-SMALL(IF(ISERROR(SEARCH(MID(";"&amp;'CASE DATA'!$F253&amp;";",ROW($1:$99),1),";")),"",ROW($1:$99)),COLUMN(K252))-1)</f>
        <v/>
      </c>
      <c r="AG253" s="29" t="str">
        <f t="array" ref="AG253">MID(";"&amp;'CASE DATA'!$F253&amp;";",SMALL(IF(ISERROR(SEARCH(MID(";"&amp;'CASE DATA'!$F253&amp;";",ROW($1:$99),1),";")),"",ROW($1:$99)+1),COLUMN(L253)),SMALL(IF(ISERROR(SEARCH(MID(";"&amp;'CASE DATA'!$F253&amp;";",ROW($1:$99),1),";")),"",ROW($1:$99)),COLUMN(L252)+1)-SMALL(IF(ISERROR(SEARCH(MID(";"&amp;'CASE DATA'!$F253&amp;";",ROW($1:$99),1),";")),"",ROW($1:$99)),COLUMN(L252))-1)</f>
        <v/>
      </c>
      <c r="AH253" s="29"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24"/>
      <c r="D254" s="24"/>
      <c r="J254" s="31"/>
      <c r="K254" s="31"/>
      <c r="L254" s="31"/>
      <c r="M254" s="31"/>
      <c r="N254" s="31"/>
      <c r="O254" s="31"/>
      <c r="P254" s="31"/>
      <c r="Q254" s="31"/>
      <c r="R254" s="31"/>
      <c r="S254" s="31"/>
      <c r="T254" s="28">
        <f t="shared" si="4"/>
        <v>0</v>
      </c>
      <c r="U254" s="28"/>
      <c r="W254" s="29" t="str">
        <f t="array" ref="W254">MID(";"&amp;'CASE DATA'!$F254&amp;";",SMALL(IF(ISERROR(SEARCH(MID(";"&amp;'CASE DATA'!$F254&amp;";",ROW($1:$99),1),";")),"",ROW($1:$99)+1),COLUMN(A254)),SMALL(IF(ISERROR(SEARCH(MID(";"&amp;'CASE DATA'!$F254&amp;";",ROW($1:$99),1),";")),"",ROW($1:$99)),COLUMN(A253)+1)-SMALL(IF(ISERROR(SEARCH(MID(";"&amp;'CASE DATA'!$F254&amp;";",ROW($1:$99),1),";")),"",ROW($1:$99)),COLUMN(A253))-1)</f>
        <v/>
      </c>
      <c r="X254" s="29" t="str">
        <f t="array" ref="X254">MID(";"&amp;'CASE DATA'!$F254&amp;";",SMALL(IF(ISERROR(SEARCH(MID(";"&amp;'CASE DATA'!$F254&amp;";",ROW($1:$99),1),";")),"",ROW($1:$99)+1),COLUMN(B254)),SMALL(IF(ISERROR(SEARCH(MID(";"&amp;'CASE DATA'!$F254&amp;";",ROW($1:$99),1),";")),"",ROW($1:$99)),COLUMN(B253)+1)-SMALL(IF(ISERROR(SEARCH(MID(";"&amp;'CASE DATA'!$F254&amp;";",ROW($1:$99),1),";")),"",ROW($1:$99)),COLUMN(B253))-1)</f>
        <v/>
      </c>
      <c r="Y254" s="29" t="str">
        <f t="array" ref="Y254">MID(";"&amp;'CASE DATA'!$F254&amp;";",SMALL(IF(ISERROR(SEARCH(MID(";"&amp;'CASE DATA'!$F254&amp;";",ROW($1:$99),1),";")),"",ROW($1:$99)+1),COLUMN(D254)),SMALL(IF(ISERROR(SEARCH(MID(";"&amp;'CASE DATA'!$F254&amp;";",ROW($1:$99),1),";")),"",ROW($1:$99)),COLUMN(D253)+1)-SMALL(IF(ISERROR(SEARCH(MID(";"&amp;'CASE DATA'!$F254&amp;";",ROW($1:$99),1),";")),"",ROW($1:$99)),COLUMN(D253))-1)</f>
        <v/>
      </c>
      <c r="Z254" s="29" t="str">
        <f t="array" ref="Z254">MID(";"&amp;'CASE DATA'!$F254&amp;";",SMALL(IF(ISERROR(SEARCH(MID(";"&amp;'CASE DATA'!$F254&amp;";",ROW($1:$99),1),";")),"",ROW($1:$99)+1),COLUMN(E254)),SMALL(IF(ISERROR(SEARCH(MID(";"&amp;'CASE DATA'!$F254&amp;";",ROW($1:$99),1),";")),"",ROW($1:$99)),COLUMN(E253)+1)-SMALL(IF(ISERROR(SEARCH(MID(";"&amp;'CASE DATA'!$F254&amp;";",ROW($1:$99),1),";")),"",ROW($1:$99)),COLUMN(E253))-1)</f>
        <v/>
      </c>
      <c r="AA254" s="29" t="str">
        <f t="array" ref="AA254">MID(";"&amp;'CASE DATA'!$F254&amp;";",SMALL(IF(ISERROR(SEARCH(MID(";"&amp;'CASE DATA'!$F254&amp;";",ROW($1:$99),1),";")),"",ROW($1:$99)+1),COLUMN(F254)),SMALL(IF(ISERROR(SEARCH(MID(";"&amp;'CASE DATA'!$F254&amp;";",ROW($1:$99),1),";")),"",ROW($1:$99)),COLUMN(F253)+1)-SMALL(IF(ISERROR(SEARCH(MID(";"&amp;'CASE DATA'!$F254&amp;";",ROW($1:$99),1),";")),"",ROW($1:$99)),COLUMN(F253))-1)</f>
        <v/>
      </c>
      <c r="AB254" s="29" t="str">
        <f t="array" ref="AB254">MID(";"&amp;'CASE DATA'!$F254&amp;";",SMALL(IF(ISERROR(SEARCH(MID(";"&amp;'CASE DATA'!$F254&amp;";",ROW($1:$99),1),";")),"",ROW($1:$99)+1),COLUMN(G254)),SMALL(IF(ISERROR(SEARCH(MID(";"&amp;'CASE DATA'!$F254&amp;";",ROW($1:$99),1),";")),"",ROW($1:$99)),COLUMN(G253)+1)-SMALL(IF(ISERROR(SEARCH(MID(";"&amp;'CASE DATA'!$F254&amp;";",ROW($1:$99),1),";")),"",ROW($1:$99)),COLUMN(G253))-1)</f>
        <v/>
      </c>
      <c r="AC254" s="29" t="str">
        <f t="array" ref="AC254">MID(";"&amp;'CASE DATA'!$F254&amp;";",SMALL(IF(ISERROR(SEARCH(MID(";"&amp;'CASE DATA'!$F254&amp;";",ROW($1:$99),1),";")),"",ROW($1:$99)+1),COLUMN(H254)),SMALL(IF(ISERROR(SEARCH(MID(";"&amp;'CASE DATA'!$F254&amp;";",ROW($1:$99),1),";")),"",ROW($1:$99)),COLUMN(H253)+1)-SMALL(IF(ISERROR(SEARCH(MID(";"&amp;'CASE DATA'!$F254&amp;";",ROW($1:$99),1),";")),"",ROW($1:$99)),COLUMN(H253))-1)</f>
        <v/>
      </c>
      <c r="AD254" s="29" t="str">
        <f t="array" ref="AD254">MID(";"&amp;'CASE DATA'!$F254&amp;";",SMALL(IF(ISERROR(SEARCH(MID(";"&amp;'CASE DATA'!$F254&amp;";",ROW($1:$99),1),";")),"",ROW($1:$99)+1),COLUMN(I254)),SMALL(IF(ISERROR(SEARCH(MID(";"&amp;'CASE DATA'!$F254&amp;";",ROW($1:$99),1),";")),"",ROW($1:$99)),COLUMN(I253)+1)-SMALL(IF(ISERROR(SEARCH(MID(";"&amp;'CASE DATA'!$F254&amp;";",ROW($1:$99),1),";")),"",ROW($1:$99)),COLUMN(I253))-1)</f>
        <v/>
      </c>
      <c r="AE254" s="29" t="str">
        <f t="array" ref="AE254">MID(";"&amp;'CASE DATA'!$F254&amp;";",SMALL(IF(ISERROR(SEARCH(MID(";"&amp;'CASE DATA'!$F254&amp;";",ROW($1:$99),1),";")),"",ROW($1:$99)+1),COLUMN(J254)),SMALL(IF(ISERROR(SEARCH(MID(";"&amp;'CASE DATA'!$F254&amp;";",ROW($1:$99),1),";")),"",ROW($1:$99)),COLUMN(J253)+1)-SMALL(IF(ISERROR(SEARCH(MID(";"&amp;'CASE DATA'!$F254&amp;";",ROW($1:$99),1),";")),"",ROW($1:$99)),COLUMN(J253))-1)</f>
        <v/>
      </c>
      <c r="AF254" s="29" t="str">
        <f t="array" ref="AF254">MID(";"&amp;'CASE DATA'!$F254&amp;";",SMALL(IF(ISERROR(SEARCH(MID(";"&amp;'CASE DATA'!$F254&amp;";",ROW($1:$99),1),";")),"",ROW($1:$99)+1),COLUMN(K254)),SMALL(IF(ISERROR(SEARCH(MID(";"&amp;'CASE DATA'!$F254&amp;";",ROW($1:$99),1),";")),"",ROW($1:$99)),COLUMN(K253)+1)-SMALL(IF(ISERROR(SEARCH(MID(";"&amp;'CASE DATA'!$F254&amp;";",ROW($1:$99),1),";")),"",ROW($1:$99)),COLUMN(K253))-1)</f>
        <v/>
      </c>
      <c r="AG254" s="29" t="str">
        <f t="array" ref="AG254">MID(";"&amp;'CASE DATA'!$F254&amp;";",SMALL(IF(ISERROR(SEARCH(MID(";"&amp;'CASE DATA'!$F254&amp;";",ROW($1:$99),1),";")),"",ROW($1:$99)+1),COLUMN(L254)),SMALL(IF(ISERROR(SEARCH(MID(";"&amp;'CASE DATA'!$F254&amp;";",ROW($1:$99),1),";")),"",ROW($1:$99)),COLUMN(L253)+1)-SMALL(IF(ISERROR(SEARCH(MID(";"&amp;'CASE DATA'!$F254&amp;";",ROW($1:$99),1),";")),"",ROW($1:$99)),COLUMN(L253))-1)</f>
        <v/>
      </c>
      <c r="AH254" s="29"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24"/>
      <c r="D255" s="24"/>
      <c r="J255" s="31"/>
      <c r="K255" s="31"/>
      <c r="L255" s="31"/>
      <c r="M255" s="31"/>
      <c r="N255" s="31"/>
      <c r="O255" s="31"/>
      <c r="P255" s="31"/>
      <c r="Q255" s="31"/>
      <c r="R255" s="31"/>
      <c r="S255" s="31"/>
      <c r="T255" s="28">
        <f t="shared" si="4"/>
        <v>0</v>
      </c>
      <c r="U255" s="28"/>
      <c r="W255" s="29" t="str">
        <f t="array" ref="W255">MID(";"&amp;'CASE DATA'!$F255&amp;";",SMALL(IF(ISERROR(SEARCH(MID(";"&amp;'CASE DATA'!$F255&amp;";",ROW($1:$99),1),";")),"",ROW($1:$99)+1),COLUMN(A255)),SMALL(IF(ISERROR(SEARCH(MID(";"&amp;'CASE DATA'!$F255&amp;";",ROW($1:$99),1),";")),"",ROW($1:$99)),COLUMN(A254)+1)-SMALL(IF(ISERROR(SEARCH(MID(";"&amp;'CASE DATA'!$F255&amp;";",ROW($1:$99),1),";")),"",ROW($1:$99)),COLUMN(A254))-1)</f>
        <v/>
      </c>
      <c r="X255" s="29" t="str">
        <f t="array" ref="X255">MID(";"&amp;'CASE DATA'!$F255&amp;";",SMALL(IF(ISERROR(SEARCH(MID(";"&amp;'CASE DATA'!$F255&amp;";",ROW($1:$99),1),";")),"",ROW($1:$99)+1),COLUMN(B255)),SMALL(IF(ISERROR(SEARCH(MID(";"&amp;'CASE DATA'!$F255&amp;";",ROW($1:$99),1),";")),"",ROW($1:$99)),COLUMN(B254)+1)-SMALL(IF(ISERROR(SEARCH(MID(";"&amp;'CASE DATA'!$F255&amp;";",ROW($1:$99),1),";")),"",ROW($1:$99)),COLUMN(B254))-1)</f>
        <v/>
      </c>
      <c r="Y255" s="29" t="str">
        <f t="array" ref="Y255">MID(";"&amp;'CASE DATA'!$F255&amp;";",SMALL(IF(ISERROR(SEARCH(MID(";"&amp;'CASE DATA'!$F255&amp;";",ROW($1:$99),1),";")),"",ROW($1:$99)+1),COLUMN(D255)),SMALL(IF(ISERROR(SEARCH(MID(";"&amp;'CASE DATA'!$F255&amp;";",ROW($1:$99),1),";")),"",ROW($1:$99)),COLUMN(D254)+1)-SMALL(IF(ISERROR(SEARCH(MID(";"&amp;'CASE DATA'!$F255&amp;";",ROW($1:$99),1),";")),"",ROW($1:$99)),COLUMN(D254))-1)</f>
        <v/>
      </c>
      <c r="Z255" s="29" t="str">
        <f t="array" ref="Z255">MID(";"&amp;'CASE DATA'!$F255&amp;";",SMALL(IF(ISERROR(SEARCH(MID(";"&amp;'CASE DATA'!$F255&amp;";",ROW($1:$99),1),";")),"",ROW($1:$99)+1),COLUMN(E255)),SMALL(IF(ISERROR(SEARCH(MID(";"&amp;'CASE DATA'!$F255&amp;";",ROW($1:$99),1),";")),"",ROW($1:$99)),COLUMN(E254)+1)-SMALL(IF(ISERROR(SEARCH(MID(";"&amp;'CASE DATA'!$F255&amp;";",ROW($1:$99),1),";")),"",ROW($1:$99)),COLUMN(E254))-1)</f>
        <v/>
      </c>
      <c r="AA255" s="29" t="str">
        <f t="array" ref="AA255">MID(";"&amp;'CASE DATA'!$F255&amp;";",SMALL(IF(ISERROR(SEARCH(MID(";"&amp;'CASE DATA'!$F255&amp;";",ROW($1:$99),1),";")),"",ROW($1:$99)+1),COLUMN(F255)),SMALL(IF(ISERROR(SEARCH(MID(";"&amp;'CASE DATA'!$F255&amp;";",ROW($1:$99),1),";")),"",ROW($1:$99)),COLUMN(F254)+1)-SMALL(IF(ISERROR(SEARCH(MID(";"&amp;'CASE DATA'!$F255&amp;";",ROW($1:$99),1),";")),"",ROW($1:$99)),COLUMN(F254))-1)</f>
        <v/>
      </c>
      <c r="AB255" s="29" t="str">
        <f t="array" ref="AB255">MID(";"&amp;'CASE DATA'!$F255&amp;";",SMALL(IF(ISERROR(SEARCH(MID(";"&amp;'CASE DATA'!$F255&amp;";",ROW($1:$99),1),";")),"",ROW($1:$99)+1),COLUMN(G255)),SMALL(IF(ISERROR(SEARCH(MID(";"&amp;'CASE DATA'!$F255&amp;";",ROW($1:$99),1),";")),"",ROW($1:$99)),COLUMN(G254)+1)-SMALL(IF(ISERROR(SEARCH(MID(";"&amp;'CASE DATA'!$F255&amp;";",ROW($1:$99),1),";")),"",ROW($1:$99)),COLUMN(G254))-1)</f>
        <v/>
      </c>
      <c r="AC255" s="29" t="str">
        <f t="array" ref="AC255">MID(";"&amp;'CASE DATA'!$F255&amp;";",SMALL(IF(ISERROR(SEARCH(MID(";"&amp;'CASE DATA'!$F255&amp;";",ROW($1:$99),1),";")),"",ROW($1:$99)+1),COLUMN(H255)),SMALL(IF(ISERROR(SEARCH(MID(";"&amp;'CASE DATA'!$F255&amp;";",ROW($1:$99),1),";")),"",ROW($1:$99)),COLUMN(H254)+1)-SMALL(IF(ISERROR(SEARCH(MID(";"&amp;'CASE DATA'!$F255&amp;";",ROW($1:$99),1),";")),"",ROW($1:$99)),COLUMN(H254))-1)</f>
        <v/>
      </c>
      <c r="AD255" s="29" t="str">
        <f t="array" ref="AD255">MID(";"&amp;'CASE DATA'!$F255&amp;";",SMALL(IF(ISERROR(SEARCH(MID(";"&amp;'CASE DATA'!$F255&amp;";",ROW($1:$99),1),";")),"",ROW($1:$99)+1),COLUMN(I255)),SMALL(IF(ISERROR(SEARCH(MID(";"&amp;'CASE DATA'!$F255&amp;";",ROW($1:$99),1),";")),"",ROW($1:$99)),COLUMN(I254)+1)-SMALL(IF(ISERROR(SEARCH(MID(";"&amp;'CASE DATA'!$F255&amp;";",ROW($1:$99),1),";")),"",ROW($1:$99)),COLUMN(I254))-1)</f>
        <v/>
      </c>
      <c r="AE255" s="29" t="str">
        <f t="array" ref="AE255">MID(";"&amp;'CASE DATA'!$F255&amp;";",SMALL(IF(ISERROR(SEARCH(MID(";"&amp;'CASE DATA'!$F255&amp;";",ROW($1:$99),1),";")),"",ROW($1:$99)+1),COLUMN(J255)),SMALL(IF(ISERROR(SEARCH(MID(";"&amp;'CASE DATA'!$F255&amp;";",ROW($1:$99),1),";")),"",ROW($1:$99)),COLUMN(J254)+1)-SMALL(IF(ISERROR(SEARCH(MID(";"&amp;'CASE DATA'!$F255&amp;";",ROW($1:$99),1),";")),"",ROW($1:$99)),COLUMN(J254))-1)</f>
        <v/>
      </c>
      <c r="AF255" s="29" t="str">
        <f t="array" ref="AF255">MID(";"&amp;'CASE DATA'!$F255&amp;";",SMALL(IF(ISERROR(SEARCH(MID(";"&amp;'CASE DATA'!$F255&amp;";",ROW($1:$99),1),";")),"",ROW($1:$99)+1),COLUMN(K255)),SMALL(IF(ISERROR(SEARCH(MID(";"&amp;'CASE DATA'!$F255&amp;";",ROW($1:$99),1),";")),"",ROW($1:$99)),COLUMN(K254)+1)-SMALL(IF(ISERROR(SEARCH(MID(";"&amp;'CASE DATA'!$F255&amp;";",ROW($1:$99),1),";")),"",ROW($1:$99)),COLUMN(K254))-1)</f>
        <v/>
      </c>
      <c r="AG255" s="29" t="str">
        <f t="array" ref="AG255">MID(";"&amp;'CASE DATA'!$F255&amp;";",SMALL(IF(ISERROR(SEARCH(MID(";"&amp;'CASE DATA'!$F255&amp;";",ROW($1:$99),1),";")),"",ROW($1:$99)+1),COLUMN(L255)),SMALL(IF(ISERROR(SEARCH(MID(";"&amp;'CASE DATA'!$F255&amp;";",ROW($1:$99),1),";")),"",ROW($1:$99)),COLUMN(L254)+1)-SMALL(IF(ISERROR(SEARCH(MID(";"&amp;'CASE DATA'!$F255&amp;";",ROW($1:$99),1),";")),"",ROW($1:$99)),COLUMN(L254))-1)</f>
        <v/>
      </c>
      <c r="AH255" s="29"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24"/>
      <c r="D256" s="24"/>
      <c r="J256" s="31"/>
      <c r="K256" s="31"/>
      <c r="L256" s="31"/>
      <c r="M256" s="31"/>
      <c r="N256" s="31"/>
      <c r="O256" s="31"/>
      <c r="P256" s="31"/>
      <c r="Q256" s="31"/>
      <c r="R256" s="31"/>
      <c r="S256" s="31"/>
      <c r="T256" s="28">
        <f t="shared" si="4"/>
        <v>0</v>
      </c>
      <c r="U256" s="28"/>
      <c r="W256" s="29" t="str">
        <f t="array" ref="W256">MID(";"&amp;'CASE DATA'!$F256&amp;";",SMALL(IF(ISERROR(SEARCH(MID(";"&amp;'CASE DATA'!$F256&amp;";",ROW($1:$99),1),";")),"",ROW($1:$99)+1),COLUMN(A256)),SMALL(IF(ISERROR(SEARCH(MID(";"&amp;'CASE DATA'!$F256&amp;";",ROW($1:$99),1),";")),"",ROW($1:$99)),COLUMN(A255)+1)-SMALL(IF(ISERROR(SEARCH(MID(";"&amp;'CASE DATA'!$F256&amp;";",ROW($1:$99),1),";")),"",ROW($1:$99)),COLUMN(A255))-1)</f>
        <v/>
      </c>
      <c r="X256" s="29" t="str">
        <f t="array" ref="X256">MID(";"&amp;'CASE DATA'!$F256&amp;";",SMALL(IF(ISERROR(SEARCH(MID(";"&amp;'CASE DATA'!$F256&amp;";",ROW($1:$99),1),";")),"",ROW($1:$99)+1),COLUMN(B256)),SMALL(IF(ISERROR(SEARCH(MID(";"&amp;'CASE DATA'!$F256&amp;";",ROW($1:$99),1),";")),"",ROW($1:$99)),COLUMN(B255)+1)-SMALL(IF(ISERROR(SEARCH(MID(";"&amp;'CASE DATA'!$F256&amp;";",ROW($1:$99),1),";")),"",ROW($1:$99)),COLUMN(B255))-1)</f>
        <v/>
      </c>
      <c r="Y256" s="29" t="str">
        <f t="array" ref="Y256">MID(";"&amp;'CASE DATA'!$F256&amp;";",SMALL(IF(ISERROR(SEARCH(MID(";"&amp;'CASE DATA'!$F256&amp;";",ROW($1:$99),1),";")),"",ROW($1:$99)+1),COLUMN(D256)),SMALL(IF(ISERROR(SEARCH(MID(";"&amp;'CASE DATA'!$F256&amp;";",ROW($1:$99),1),";")),"",ROW($1:$99)),COLUMN(D255)+1)-SMALL(IF(ISERROR(SEARCH(MID(";"&amp;'CASE DATA'!$F256&amp;";",ROW($1:$99),1),";")),"",ROW($1:$99)),COLUMN(D255))-1)</f>
        <v/>
      </c>
      <c r="Z256" s="29" t="str">
        <f t="array" ref="Z256">MID(";"&amp;'CASE DATA'!$F256&amp;";",SMALL(IF(ISERROR(SEARCH(MID(";"&amp;'CASE DATA'!$F256&amp;";",ROW($1:$99),1),";")),"",ROW($1:$99)+1),COLUMN(E256)),SMALL(IF(ISERROR(SEARCH(MID(";"&amp;'CASE DATA'!$F256&amp;";",ROW($1:$99),1),";")),"",ROW($1:$99)),COLUMN(E255)+1)-SMALL(IF(ISERROR(SEARCH(MID(";"&amp;'CASE DATA'!$F256&amp;";",ROW($1:$99),1),";")),"",ROW($1:$99)),COLUMN(E255))-1)</f>
        <v/>
      </c>
      <c r="AA256" s="29" t="str">
        <f t="array" ref="AA256">MID(";"&amp;'CASE DATA'!$F256&amp;";",SMALL(IF(ISERROR(SEARCH(MID(";"&amp;'CASE DATA'!$F256&amp;";",ROW($1:$99),1),";")),"",ROW($1:$99)+1),COLUMN(F256)),SMALL(IF(ISERROR(SEARCH(MID(";"&amp;'CASE DATA'!$F256&amp;";",ROW($1:$99),1),";")),"",ROW($1:$99)),COLUMN(F255)+1)-SMALL(IF(ISERROR(SEARCH(MID(";"&amp;'CASE DATA'!$F256&amp;";",ROW($1:$99),1),";")),"",ROW($1:$99)),COLUMN(F255))-1)</f>
        <v/>
      </c>
      <c r="AB256" s="29" t="str">
        <f t="array" ref="AB256">MID(";"&amp;'CASE DATA'!$F256&amp;";",SMALL(IF(ISERROR(SEARCH(MID(";"&amp;'CASE DATA'!$F256&amp;";",ROW($1:$99),1),";")),"",ROW($1:$99)+1),COLUMN(G256)),SMALL(IF(ISERROR(SEARCH(MID(";"&amp;'CASE DATA'!$F256&amp;";",ROW($1:$99),1),";")),"",ROW($1:$99)),COLUMN(G255)+1)-SMALL(IF(ISERROR(SEARCH(MID(";"&amp;'CASE DATA'!$F256&amp;";",ROW($1:$99),1),";")),"",ROW($1:$99)),COLUMN(G255))-1)</f>
        <v/>
      </c>
      <c r="AC256" s="29" t="str">
        <f t="array" ref="AC256">MID(";"&amp;'CASE DATA'!$F256&amp;";",SMALL(IF(ISERROR(SEARCH(MID(";"&amp;'CASE DATA'!$F256&amp;";",ROW($1:$99),1),";")),"",ROW($1:$99)+1),COLUMN(H256)),SMALL(IF(ISERROR(SEARCH(MID(";"&amp;'CASE DATA'!$F256&amp;";",ROW($1:$99),1),";")),"",ROW($1:$99)),COLUMN(H255)+1)-SMALL(IF(ISERROR(SEARCH(MID(";"&amp;'CASE DATA'!$F256&amp;";",ROW($1:$99),1),";")),"",ROW($1:$99)),COLUMN(H255))-1)</f>
        <v/>
      </c>
      <c r="AD256" s="29" t="str">
        <f t="array" ref="AD256">MID(";"&amp;'CASE DATA'!$F256&amp;";",SMALL(IF(ISERROR(SEARCH(MID(";"&amp;'CASE DATA'!$F256&amp;";",ROW($1:$99),1),";")),"",ROW($1:$99)+1),COLUMN(I256)),SMALL(IF(ISERROR(SEARCH(MID(";"&amp;'CASE DATA'!$F256&amp;";",ROW($1:$99),1),";")),"",ROW($1:$99)),COLUMN(I255)+1)-SMALL(IF(ISERROR(SEARCH(MID(";"&amp;'CASE DATA'!$F256&amp;";",ROW($1:$99),1),";")),"",ROW($1:$99)),COLUMN(I255))-1)</f>
        <v/>
      </c>
      <c r="AE256" s="29" t="str">
        <f t="array" ref="AE256">MID(";"&amp;'CASE DATA'!$F256&amp;";",SMALL(IF(ISERROR(SEARCH(MID(";"&amp;'CASE DATA'!$F256&amp;";",ROW($1:$99),1),";")),"",ROW($1:$99)+1),COLUMN(J256)),SMALL(IF(ISERROR(SEARCH(MID(";"&amp;'CASE DATA'!$F256&amp;";",ROW($1:$99),1),";")),"",ROW($1:$99)),COLUMN(J255)+1)-SMALL(IF(ISERROR(SEARCH(MID(";"&amp;'CASE DATA'!$F256&amp;";",ROW($1:$99),1),";")),"",ROW($1:$99)),COLUMN(J255))-1)</f>
        <v/>
      </c>
      <c r="AF256" s="29" t="str">
        <f t="array" ref="AF256">MID(";"&amp;'CASE DATA'!$F256&amp;";",SMALL(IF(ISERROR(SEARCH(MID(";"&amp;'CASE DATA'!$F256&amp;";",ROW($1:$99),1),";")),"",ROW($1:$99)+1),COLUMN(K256)),SMALL(IF(ISERROR(SEARCH(MID(";"&amp;'CASE DATA'!$F256&amp;";",ROW($1:$99),1),";")),"",ROW($1:$99)),COLUMN(K255)+1)-SMALL(IF(ISERROR(SEARCH(MID(";"&amp;'CASE DATA'!$F256&amp;";",ROW($1:$99),1),";")),"",ROW($1:$99)),COLUMN(K255))-1)</f>
        <v/>
      </c>
      <c r="AG256" s="29" t="str">
        <f t="array" ref="AG256">MID(";"&amp;'CASE DATA'!$F256&amp;";",SMALL(IF(ISERROR(SEARCH(MID(";"&amp;'CASE DATA'!$F256&amp;";",ROW($1:$99),1),";")),"",ROW($1:$99)+1),COLUMN(L256)),SMALL(IF(ISERROR(SEARCH(MID(";"&amp;'CASE DATA'!$F256&amp;";",ROW($1:$99),1),";")),"",ROW($1:$99)),COLUMN(L255)+1)-SMALL(IF(ISERROR(SEARCH(MID(";"&amp;'CASE DATA'!$F256&amp;";",ROW($1:$99),1),";")),"",ROW($1:$99)),COLUMN(L255))-1)</f>
        <v/>
      </c>
      <c r="AH256" s="29"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24"/>
      <c r="D257" s="24"/>
      <c r="J257" s="31"/>
      <c r="K257" s="31"/>
      <c r="L257" s="31"/>
      <c r="M257" s="31"/>
      <c r="N257" s="31"/>
      <c r="O257" s="31"/>
      <c r="P257" s="31"/>
      <c r="Q257" s="31"/>
      <c r="R257" s="31"/>
      <c r="S257" s="31"/>
      <c r="T257" s="28">
        <f t="shared" si="4"/>
        <v>0</v>
      </c>
      <c r="U257" s="28"/>
      <c r="W257" s="29" t="str">
        <f t="array" ref="W257">MID(";"&amp;'CASE DATA'!$F257&amp;";",SMALL(IF(ISERROR(SEARCH(MID(";"&amp;'CASE DATA'!$F257&amp;";",ROW($1:$99),1),";")),"",ROW($1:$99)+1),COLUMN(A257)),SMALL(IF(ISERROR(SEARCH(MID(";"&amp;'CASE DATA'!$F257&amp;";",ROW($1:$99),1),";")),"",ROW($1:$99)),COLUMN(A256)+1)-SMALL(IF(ISERROR(SEARCH(MID(";"&amp;'CASE DATA'!$F257&amp;";",ROW($1:$99),1),";")),"",ROW($1:$99)),COLUMN(A256))-1)</f>
        <v/>
      </c>
      <c r="X257" s="29" t="str">
        <f t="array" ref="X257">MID(";"&amp;'CASE DATA'!$F257&amp;";",SMALL(IF(ISERROR(SEARCH(MID(";"&amp;'CASE DATA'!$F257&amp;";",ROW($1:$99),1),";")),"",ROW($1:$99)+1),COLUMN(B257)),SMALL(IF(ISERROR(SEARCH(MID(";"&amp;'CASE DATA'!$F257&amp;";",ROW($1:$99),1),";")),"",ROW($1:$99)),COLUMN(B256)+1)-SMALL(IF(ISERROR(SEARCH(MID(";"&amp;'CASE DATA'!$F257&amp;";",ROW($1:$99),1),";")),"",ROW($1:$99)),COLUMN(B256))-1)</f>
        <v/>
      </c>
      <c r="Y257" s="29" t="str">
        <f t="array" ref="Y257">MID(";"&amp;'CASE DATA'!$F257&amp;";",SMALL(IF(ISERROR(SEARCH(MID(";"&amp;'CASE DATA'!$F257&amp;";",ROW($1:$99),1),";")),"",ROW($1:$99)+1),COLUMN(D257)),SMALL(IF(ISERROR(SEARCH(MID(";"&amp;'CASE DATA'!$F257&amp;";",ROW($1:$99),1),";")),"",ROW($1:$99)),COLUMN(D256)+1)-SMALL(IF(ISERROR(SEARCH(MID(";"&amp;'CASE DATA'!$F257&amp;";",ROW($1:$99),1),";")),"",ROW($1:$99)),COLUMN(D256))-1)</f>
        <v/>
      </c>
      <c r="Z257" s="29" t="str">
        <f t="array" ref="Z257">MID(";"&amp;'CASE DATA'!$F257&amp;";",SMALL(IF(ISERROR(SEARCH(MID(";"&amp;'CASE DATA'!$F257&amp;";",ROW($1:$99),1),";")),"",ROW($1:$99)+1),COLUMN(E257)),SMALL(IF(ISERROR(SEARCH(MID(";"&amp;'CASE DATA'!$F257&amp;";",ROW($1:$99),1),";")),"",ROW($1:$99)),COLUMN(E256)+1)-SMALL(IF(ISERROR(SEARCH(MID(";"&amp;'CASE DATA'!$F257&amp;";",ROW($1:$99),1),";")),"",ROW($1:$99)),COLUMN(E256))-1)</f>
        <v/>
      </c>
      <c r="AA257" s="29" t="str">
        <f t="array" ref="AA257">MID(";"&amp;'CASE DATA'!$F257&amp;";",SMALL(IF(ISERROR(SEARCH(MID(";"&amp;'CASE DATA'!$F257&amp;";",ROW($1:$99),1),";")),"",ROW($1:$99)+1),COLUMN(F257)),SMALL(IF(ISERROR(SEARCH(MID(";"&amp;'CASE DATA'!$F257&amp;";",ROW($1:$99),1),";")),"",ROW($1:$99)),COLUMN(F256)+1)-SMALL(IF(ISERROR(SEARCH(MID(";"&amp;'CASE DATA'!$F257&amp;";",ROW($1:$99),1),";")),"",ROW($1:$99)),COLUMN(F256))-1)</f>
        <v/>
      </c>
      <c r="AB257" s="29" t="str">
        <f t="array" ref="AB257">MID(";"&amp;'CASE DATA'!$F257&amp;";",SMALL(IF(ISERROR(SEARCH(MID(";"&amp;'CASE DATA'!$F257&amp;";",ROW($1:$99),1),";")),"",ROW($1:$99)+1),COLUMN(G257)),SMALL(IF(ISERROR(SEARCH(MID(";"&amp;'CASE DATA'!$F257&amp;";",ROW($1:$99),1),";")),"",ROW($1:$99)),COLUMN(G256)+1)-SMALL(IF(ISERROR(SEARCH(MID(";"&amp;'CASE DATA'!$F257&amp;";",ROW($1:$99),1),";")),"",ROW($1:$99)),COLUMN(G256))-1)</f>
        <v/>
      </c>
      <c r="AC257" s="29" t="str">
        <f t="array" ref="AC257">MID(";"&amp;'CASE DATA'!$F257&amp;";",SMALL(IF(ISERROR(SEARCH(MID(";"&amp;'CASE DATA'!$F257&amp;";",ROW($1:$99),1),";")),"",ROW($1:$99)+1),COLUMN(H257)),SMALL(IF(ISERROR(SEARCH(MID(";"&amp;'CASE DATA'!$F257&amp;";",ROW($1:$99),1),";")),"",ROW($1:$99)),COLUMN(H256)+1)-SMALL(IF(ISERROR(SEARCH(MID(";"&amp;'CASE DATA'!$F257&amp;";",ROW($1:$99),1),";")),"",ROW($1:$99)),COLUMN(H256))-1)</f>
        <v/>
      </c>
      <c r="AD257" s="29" t="str">
        <f t="array" ref="AD257">MID(";"&amp;'CASE DATA'!$F257&amp;";",SMALL(IF(ISERROR(SEARCH(MID(";"&amp;'CASE DATA'!$F257&amp;";",ROW($1:$99),1),";")),"",ROW($1:$99)+1),COLUMN(I257)),SMALL(IF(ISERROR(SEARCH(MID(";"&amp;'CASE DATA'!$F257&amp;";",ROW($1:$99),1),";")),"",ROW($1:$99)),COLUMN(I256)+1)-SMALL(IF(ISERROR(SEARCH(MID(";"&amp;'CASE DATA'!$F257&amp;";",ROW($1:$99),1),";")),"",ROW($1:$99)),COLUMN(I256))-1)</f>
        <v/>
      </c>
      <c r="AE257" s="29" t="str">
        <f t="array" ref="AE257">MID(";"&amp;'CASE DATA'!$F257&amp;";",SMALL(IF(ISERROR(SEARCH(MID(";"&amp;'CASE DATA'!$F257&amp;";",ROW($1:$99),1),";")),"",ROW($1:$99)+1),COLUMN(J257)),SMALL(IF(ISERROR(SEARCH(MID(";"&amp;'CASE DATA'!$F257&amp;";",ROW($1:$99),1),";")),"",ROW($1:$99)),COLUMN(J256)+1)-SMALL(IF(ISERROR(SEARCH(MID(";"&amp;'CASE DATA'!$F257&amp;";",ROW($1:$99),1),";")),"",ROW($1:$99)),COLUMN(J256))-1)</f>
        <v/>
      </c>
      <c r="AF257" s="29" t="str">
        <f t="array" ref="AF257">MID(";"&amp;'CASE DATA'!$F257&amp;";",SMALL(IF(ISERROR(SEARCH(MID(";"&amp;'CASE DATA'!$F257&amp;";",ROW($1:$99),1),";")),"",ROW($1:$99)+1),COLUMN(K257)),SMALL(IF(ISERROR(SEARCH(MID(";"&amp;'CASE DATA'!$F257&amp;";",ROW($1:$99),1),";")),"",ROW($1:$99)),COLUMN(K256)+1)-SMALL(IF(ISERROR(SEARCH(MID(";"&amp;'CASE DATA'!$F257&amp;";",ROW($1:$99),1),";")),"",ROW($1:$99)),COLUMN(K256))-1)</f>
        <v/>
      </c>
      <c r="AG257" s="29" t="str">
        <f t="array" ref="AG257">MID(";"&amp;'CASE DATA'!$F257&amp;";",SMALL(IF(ISERROR(SEARCH(MID(";"&amp;'CASE DATA'!$F257&amp;";",ROW($1:$99),1),";")),"",ROW($1:$99)+1),COLUMN(L257)),SMALL(IF(ISERROR(SEARCH(MID(";"&amp;'CASE DATA'!$F257&amp;";",ROW($1:$99),1),";")),"",ROW($1:$99)),COLUMN(L256)+1)-SMALL(IF(ISERROR(SEARCH(MID(";"&amp;'CASE DATA'!$F257&amp;";",ROW($1:$99),1),";")),"",ROW($1:$99)),COLUMN(L256))-1)</f>
        <v/>
      </c>
      <c r="AH257" s="29"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24"/>
      <c r="D258" s="24"/>
      <c r="J258" s="31"/>
      <c r="K258" s="31"/>
      <c r="L258" s="31"/>
      <c r="M258" s="31"/>
      <c r="N258" s="31"/>
      <c r="O258" s="31"/>
      <c r="P258" s="31"/>
      <c r="Q258" s="31"/>
      <c r="R258" s="31"/>
      <c r="S258" s="31"/>
      <c r="T258" s="28">
        <f t="shared" si="4"/>
        <v>0</v>
      </c>
      <c r="U258" s="28"/>
      <c r="W258" s="29" t="str">
        <f t="array" ref="W258">MID(";"&amp;'CASE DATA'!$F258&amp;";",SMALL(IF(ISERROR(SEARCH(MID(";"&amp;'CASE DATA'!$F258&amp;";",ROW($1:$99),1),";")),"",ROW($1:$99)+1),COLUMN(A258)),SMALL(IF(ISERROR(SEARCH(MID(";"&amp;'CASE DATA'!$F258&amp;";",ROW($1:$99),1),";")),"",ROW($1:$99)),COLUMN(A257)+1)-SMALL(IF(ISERROR(SEARCH(MID(";"&amp;'CASE DATA'!$F258&amp;";",ROW($1:$99),1),";")),"",ROW($1:$99)),COLUMN(A257))-1)</f>
        <v/>
      </c>
      <c r="X258" s="29" t="str">
        <f t="array" ref="X258">MID(";"&amp;'CASE DATA'!$F258&amp;";",SMALL(IF(ISERROR(SEARCH(MID(";"&amp;'CASE DATA'!$F258&amp;";",ROW($1:$99),1),";")),"",ROW($1:$99)+1),COLUMN(B258)),SMALL(IF(ISERROR(SEARCH(MID(";"&amp;'CASE DATA'!$F258&amp;";",ROW($1:$99),1),";")),"",ROW($1:$99)),COLUMN(B257)+1)-SMALL(IF(ISERROR(SEARCH(MID(";"&amp;'CASE DATA'!$F258&amp;";",ROW($1:$99),1),";")),"",ROW($1:$99)),COLUMN(B257))-1)</f>
        <v/>
      </c>
      <c r="Y258" s="29" t="str">
        <f t="array" ref="Y258">MID(";"&amp;'CASE DATA'!$F258&amp;";",SMALL(IF(ISERROR(SEARCH(MID(";"&amp;'CASE DATA'!$F258&amp;";",ROW($1:$99),1),";")),"",ROW($1:$99)+1),COLUMN(D258)),SMALL(IF(ISERROR(SEARCH(MID(";"&amp;'CASE DATA'!$F258&amp;";",ROW($1:$99),1),";")),"",ROW($1:$99)),COLUMN(D257)+1)-SMALL(IF(ISERROR(SEARCH(MID(";"&amp;'CASE DATA'!$F258&amp;";",ROW($1:$99),1),";")),"",ROW($1:$99)),COLUMN(D257))-1)</f>
        <v/>
      </c>
      <c r="Z258" s="29" t="str">
        <f t="array" ref="Z258">MID(";"&amp;'CASE DATA'!$F258&amp;";",SMALL(IF(ISERROR(SEARCH(MID(";"&amp;'CASE DATA'!$F258&amp;";",ROW($1:$99),1),";")),"",ROW($1:$99)+1),COLUMN(E258)),SMALL(IF(ISERROR(SEARCH(MID(";"&amp;'CASE DATA'!$F258&amp;";",ROW($1:$99),1),";")),"",ROW($1:$99)),COLUMN(E257)+1)-SMALL(IF(ISERROR(SEARCH(MID(";"&amp;'CASE DATA'!$F258&amp;";",ROW($1:$99),1),";")),"",ROW($1:$99)),COLUMN(E257))-1)</f>
        <v/>
      </c>
      <c r="AA258" s="29" t="str">
        <f t="array" ref="AA258">MID(";"&amp;'CASE DATA'!$F258&amp;";",SMALL(IF(ISERROR(SEARCH(MID(";"&amp;'CASE DATA'!$F258&amp;";",ROW($1:$99),1),";")),"",ROW($1:$99)+1),COLUMN(F258)),SMALL(IF(ISERROR(SEARCH(MID(";"&amp;'CASE DATA'!$F258&amp;";",ROW($1:$99),1),";")),"",ROW($1:$99)),COLUMN(F257)+1)-SMALL(IF(ISERROR(SEARCH(MID(";"&amp;'CASE DATA'!$F258&amp;";",ROW($1:$99),1),";")),"",ROW($1:$99)),COLUMN(F257))-1)</f>
        <v/>
      </c>
      <c r="AB258" s="29" t="str">
        <f t="array" ref="AB258">MID(";"&amp;'CASE DATA'!$F258&amp;";",SMALL(IF(ISERROR(SEARCH(MID(";"&amp;'CASE DATA'!$F258&amp;";",ROW($1:$99),1),";")),"",ROW($1:$99)+1),COLUMN(G258)),SMALL(IF(ISERROR(SEARCH(MID(";"&amp;'CASE DATA'!$F258&amp;";",ROW($1:$99),1),";")),"",ROW($1:$99)),COLUMN(G257)+1)-SMALL(IF(ISERROR(SEARCH(MID(";"&amp;'CASE DATA'!$F258&amp;";",ROW($1:$99),1),";")),"",ROW($1:$99)),COLUMN(G257))-1)</f>
        <v/>
      </c>
      <c r="AC258" s="29" t="str">
        <f t="array" ref="AC258">MID(";"&amp;'CASE DATA'!$F258&amp;";",SMALL(IF(ISERROR(SEARCH(MID(";"&amp;'CASE DATA'!$F258&amp;";",ROW($1:$99),1),";")),"",ROW($1:$99)+1),COLUMN(H258)),SMALL(IF(ISERROR(SEARCH(MID(";"&amp;'CASE DATA'!$F258&amp;";",ROW($1:$99),1),";")),"",ROW($1:$99)),COLUMN(H257)+1)-SMALL(IF(ISERROR(SEARCH(MID(";"&amp;'CASE DATA'!$F258&amp;";",ROW($1:$99),1),";")),"",ROW($1:$99)),COLUMN(H257))-1)</f>
        <v/>
      </c>
      <c r="AD258" s="29" t="str">
        <f t="array" ref="AD258">MID(";"&amp;'CASE DATA'!$F258&amp;";",SMALL(IF(ISERROR(SEARCH(MID(";"&amp;'CASE DATA'!$F258&amp;";",ROW($1:$99),1),";")),"",ROW($1:$99)+1),COLUMN(I258)),SMALL(IF(ISERROR(SEARCH(MID(";"&amp;'CASE DATA'!$F258&amp;";",ROW($1:$99),1),";")),"",ROW($1:$99)),COLUMN(I257)+1)-SMALL(IF(ISERROR(SEARCH(MID(";"&amp;'CASE DATA'!$F258&amp;";",ROW($1:$99),1),";")),"",ROW($1:$99)),COLUMN(I257))-1)</f>
        <v/>
      </c>
      <c r="AE258" s="29" t="str">
        <f t="array" ref="AE258">MID(";"&amp;'CASE DATA'!$F258&amp;";",SMALL(IF(ISERROR(SEARCH(MID(";"&amp;'CASE DATA'!$F258&amp;";",ROW($1:$99),1),";")),"",ROW($1:$99)+1),COLUMN(J258)),SMALL(IF(ISERROR(SEARCH(MID(";"&amp;'CASE DATA'!$F258&amp;";",ROW($1:$99),1),";")),"",ROW($1:$99)),COLUMN(J257)+1)-SMALL(IF(ISERROR(SEARCH(MID(";"&amp;'CASE DATA'!$F258&amp;";",ROW($1:$99),1),";")),"",ROW($1:$99)),COLUMN(J257))-1)</f>
        <v/>
      </c>
      <c r="AF258" s="29" t="str">
        <f t="array" ref="AF258">MID(";"&amp;'CASE DATA'!$F258&amp;";",SMALL(IF(ISERROR(SEARCH(MID(";"&amp;'CASE DATA'!$F258&amp;";",ROW($1:$99),1),";")),"",ROW($1:$99)+1),COLUMN(K258)),SMALL(IF(ISERROR(SEARCH(MID(";"&amp;'CASE DATA'!$F258&amp;";",ROW($1:$99),1),";")),"",ROW($1:$99)),COLUMN(K257)+1)-SMALL(IF(ISERROR(SEARCH(MID(";"&amp;'CASE DATA'!$F258&amp;";",ROW($1:$99),1),";")),"",ROW($1:$99)),COLUMN(K257))-1)</f>
        <v/>
      </c>
      <c r="AG258" s="29" t="str">
        <f t="array" ref="AG258">MID(";"&amp;'CASE DATA'!$F258&amp;";",SMALL(IF(ISERROR(SEARCH(MID(";"&amp;'CASE DATA'!$F258&amp;";",ROW($1:$99),1),";")),"",ROW($1:$99)+1),COLUMN(L258)),SMALL(IF(ISERROR(SEARCH(MID(";"&amp;'CASE DATA'!$F258&amp;";",ROW($1:$99),1),";")),"",ROW($1:$99)),COLUMN(L257)+1)-SMALL(IF(ISERROR(SEARCH(MID(";"&amp;'CASE DATA'!$F258&amp;";",ROW($1:$99),1),";")),"",ROW($1:$99)),COLUMN(L257))-1)</f>
        <v/>
      </c>
      <c r="AH258" s="29"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24"/>
      <c r="D259" s="24"/>
      <c r="J259" s="31"/>
      <c r="K259" s="31"/>
      <c r="L259" s="31"/>
      <c r="M259" s="31"/>
      <c r="N259" s="31"/>
      <c r="O259" s="31"/>
      <c r="P259" s="31"/>
      <c r="Q259" s="31"/>
      <c r="R259" s="31"/>
      <c r="S259" s="31"/>
      <c r="T259" s="28">
        <f t="shared" si="4"/>
        <v>0</v>
      </c>
      <c r="U259" s="28"/>
      <c r="W259" s="29" t="str">
        <f t="array" ref="W259">MID(";"&amp;'CASE DATA'!$F259&amp;";",SMALL(IF(ISERROR(SEARCH(MID(";"&amp;'CASE DATA'!$F259&amp;";",ROW($1:$99),1),";")),"",ROW($1:$99)+1),COLUMN(A259)),SMALL(IF(ISERROR(SEARCH(MID(";"&amp;'CASE DATA'!$F259&amp;";",ROW($1:$99),1),";")),"",ROW($1:$99)),COLUMN(A258)+1)-SMALL(IF(ISERROR(SEARCH(MID(";"&amp;'CASE DATA'!$F259&amp;";",ROW($1:$99),1),";")),"",ROW($1:$99)),COLUMN(A258))-1)</f>
        <v/>
      </c>
      <c r="X259" s="29" t="str">
        <f t="array" ref="X259">MID(";"&amp;'CASE DATA'!$F259&amp;";",SMALL(IF(ISERROR(SEARCH(MID(";"&amp;'CASE DATA'!$F259&amp;";",ROW($1:$99),1),";")),"",ROW($1:$99)+1),COLUMN(B259)),SMALL(IF(ISERROR(SEARCH(MID(";"&amp;'CASE DATA'!$F259&amp;";",ROW($1:$99),1),";")),"",ROW($1:$99)),COLUMN(B258)+1)-SMALL(IF(ISERROR(SEARCH(MID(";"&amp;'CASE DATA'!$F259&amp;";",ROW($1:$99),1),";")),"",ROW($1:$99)),COLUMN(B258))-1)</f>
        <v/>
      </c>
      <c r="Y259" s="29" t="str">
        <f t="array" ref="Y259">MID(";"&amp;'CASE DATA'!$F259&amp;";",SMALL(IF(ISERROR(SEARCH(MID(";"&amp;'CASE DATA'!$F259&amp;";",ROW($1:$99),1),";")),"",ROW($1:$99)+1),COLUMN(D259)),SMALL(IF(ISERROR(SEARCH(MID(";"&amp;'CASE DATA'!$F259&amp;";",ROW($1:$99),1),";")),"",ROW($1:$99)),COLUMN(D258)+1)-SMALL(IF(ISERROR(SEARCH(MID(";"&amp;'CASE DATA'!$F259&amp;";",ROW($1:$99),1),";")),"",ROW($1:$99)),COLUMN(D258))-1)</f>
        <v/>
      </c>
      <c r="Z259" s="29" t="str">
        <f t="array" ref="Z259">MID(";"&amp;'CASE DATA'!$F259&amp;";",SMALL(IF(ISERROR(SEARCH(MID(";"&amp;'CASE DATA'!$F259&amp;";",ROW($1:$99),1),";")),"",ROW($1:$99)+1),COLUMN(E259)),SMALL(IF(ISERROR(SEARCH(MID(";"&amp;'CASE DATA'!$F259&amp;";",ROW($1:$99),1),";")),"",ROW($1:$99)),COLUMN(E258)+1)-SMALL(IF(ISERROR(SEARCH(MID(";"&amp;'CASE DATA'!$F259&amp;";",ROW($1:$99),1),";")),"",ROW($1:$99)),COLUMN(E258))-1)</f>
        <v/>
      </c>
      <c r="AA259" s="29" t="str">
        <f t="array" ref="AA259">MID(";"&amp;'CASE DATA'!$F259&amp;";",SMALL(IF(ISERROR(SEARCH(MID(";"&amp;'CASE DATA'!$F259&amp;";",ROW($1:$99),1),";")),"",ROW($1:$99)+1),COLUMN(F259)),SMALL(IF(ISERROR(SEARCH(MID(";"&amp;'CASE DATA'!$F259&amp;";",ROW($1:$99),1),";")),"",ROW($1:$99)),COLUMN(F258)+1)-SMALL(IF(ISERROR(SEARCH(MID(";"&amp;'CASE DATA'!$F259&amp;";",ROW($1:$99),1),";")),"",ROW($1:$99)),COLUMN(F258))-1)</f>
        <v/>
      </c>
      <c r="AB259" s="29" t="str">
        <f t="array" ref="AB259">MID(";"&amp;'CASE DATA'!$F259&amp;";",SMALL(IF(ISERROR(SEARCH(MID(";"&amp;'CASE DATA'!$F259&amp;";",ROW($1:$99),1),";")),"",ROW($1:$99)+1),COLUMN(G259)),SMALL(IF(ISERROR(SEARCH(MID(";"&amp;'CASE DATA'!$F259&amp;";",ROW($1:$99),1),";")),"",ROW($1:$99)),COLUMN(G258)+1)-SMALL(IF(ISERROR(SEARCH(MID(";"&amp;'CASE DATA'!$F259&amp;";",ROW($1:$99),1),";")),"",ROW($1:$99)),COLUMN(G258))-1)</f>
        <v/>
      </c>
      <c r="AC259" s="29" t="str">
        <f t="array" ref="AC259">MID(";"&amp;'CASE DATA'!$F259&amp;";",SMALL(IF(ISERROR(SEARCH(MID(";"&amp;'CASE DATA'!$F259&amp;";",ROW($1:$99),1),";")),"",ROW($1:$99)+1),COLUMN(H259)),SMALL(IF(ISERROR(SEARCH(MID(";"&amp;'CASE DATA'!$F259&amp;";",ROW($1:$99),1),";")),"",ROW($1:$99)),COLUMN(H258)+1)-SMALL(IF(ISERROR(SEARCH(MID(";"&amp;'CASE DATA'!$F259&amp;";",ROW($1:$99),1),";")),"",ROW($1:$99)),COLUMN(H258))-1)</f>
        <v/>
      </c>
      <c r="AD259" s="29" t="str">
        <f t="array" ref="AD259">MID(";"&amp;'CASE DATA'!$F259&amp;";",SMALL(IF(ISERROR(SEARCH(MID(";"&amp;'CASE DATA'!$F259&amp;";",ROW($1:$99),1),";")),"",ROW($1:$99)+1),COLUMN(I259)),SMALL(IF(ISERROR(SEARCH(MID(";"&amp;'CASE DATA'!$F259&amp;";",ROW($1:$99),1),";")),"",ROW($1:$99)),COLUMN(I258)+1)-SMALL(IF(ISERROR(SEARCH(MID(";"&amp;'CASE DATA'!$F259&amp;";",ROW($1:$99),1),";")),"",ROW($1:$99)),COLUMN(I258))-1)</f>
        <v/>
      </c>
      <c r="AE259" s="29" t="str">
        <f t="array" ref="AE259">MID(";"&amp;'CASE DATA'!$F259&amp;";",SMALL(IF(ISERROR(SEARCH(MID(";"&amp;'CASE DATA'!$F259&amp;";",ROW($1:$99),1),";")),"",ROW($1:$99)+1),COLUMN(J259)),SMALL(IF(ISERROR(SEARCH(MID(";"&amp;'CASE DATA'!$F259&amp;";",ROW($1:$99),1),";")),"",ROW($1:$99)),COLUMN(J258)+1)-SMALL(IF(ISERROR(SEARCH(MID(";"&amp;'CASE DATA'!$F259&amp;";",ROW($1:$99),1),";")),"",ROW($1:$99)),COLUMN(J258))-1)</f>
        <v/>
      </c>
      <c r="AF259" s="29" t="str">
        <f t="array" ref="AF259">MID(";"&amp;'CASE DATA'!$F259&amp;";",SMALL(IF(ISERROR(SEARCH(MID(";"&amp;'CASE DATA'!$F259&amp;";",ROW($1:$99),1),";")),"",ROW($1:$99)+1),COLUMN(K259)),SMALL(IF(ISERROR(SEARCH(MID(";"&amp;'CASE DATA'!$F259&amp;";",ROW($1:$99),1),";")),"",ROW($1:$99)),COLUMN(K258)+1)-SMALL(IF(ISERROR(SEARCH(MID(";"&amp;'CASE DATA'!$F259&amp;";",ROW($1:$99),1),";")),"",ROW($1:$99)),COLUMN(K258))-1)</f>
        <v/>
      </c>
      <c r="AG259" s="29" t="str">
        <f t="array" ref="AG259">MID(";"&amp;'CASE DATA'!$F259&amp;";",SMALL(IF(ISERROR(SEARCH(MID(";"&amp;'CASE DATA'!$F259&amp;";",ROW($1:$99),1),";")),"",ROW($1:$99)+1),COLUMN(L259)),SMALL(IF(ISERROR(SEARCH(MID(";"&amp;'CASE DATA'!$F259&amp;";",ROW($1:$99),1),";")),"",ROW($1:$99)),COLUMN(L258)+1)-SMALL(IF(ISERROR(SEARCH(MID(";"&amp;'CASE DATA'!$F259&amp;";",ROW($1:$99),1),";")),"",ROW($1:$99)),COLUMN(L258))-1)</f>
        <v/>
      </c>
      <c r="AH259" s="29"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24"/>
      <c r="D260" s="24"/>
      <c r="J260" s="31"/>
      <c r="K260" s="31"/>
      <c r="L260" s="31"/>
      <c r="M260" s="31"/>
      <c r="N260" s="31"/>
      <c r="O260" s="31"/>
      <c r="P260" s="31"/>
      <c r="Q260" s="31"/>
      <c r="R260" s="31"/>
      <c r="S260" s="31"/>
      <c r="T260" s="28">
        <f t="shared" ref="T260:T323" si="5">SUM(J260:S260)</f>
        <v>0</v>
      </c>
      <c r="U260" s="28"/>
      <c r="W260" s="29" t="str">
        <f t="array" ref="W260">MID(";"&amp;'CASE DATA'!$F260&amp;";",SMALL(IF(ISERROR(SEARCH(MID(";"&amp;'CASE DATA'!$F260&amp;";",ROW($1:$99),1),";")),"",ROW($1:$99)+1),COLUMN(A260)),SMALL(IF(ISERROR(SEARCH(MID(";"&amp;'CASE DATA'!$F260&amp;";",ROW($1:$99),1),";")),"",ROW($1:$99)),COLUMN(A259)+1)-SMALL(IF(ISERROR(SEARCH(MID(";"&amp;'CASE DATA'!$F260&amp;";",ROW($1:$99),1),";")),"",ROW($1:$99)),COLUMN(A259))-1)</f>
        <v/>
      </c>
      <c r="X260" s="29" t="str">
        <f t="array" ref="X260">MID(";"&amp;'CASE DATA'!$F260&amp;";",SMALL(IF(ISERROR(SEARCH(MID(";"&amp;'CASE DATA'!$F260&amp;";",ROW($1:$99),1),";")),"",ROW($1:$99)+1),COLUMN(B260)),SMALL(IF(ISERROR(SEARCH(MID(";"&amp;'CASE DATA'!$F260&amp;";",ROW($1:$99),1),";")),"",ROW($1:$99)),COLUMN(B259)+1)-SMALL(IF(ISERROR(SEARCH(MID(";"&amp;'CASE DATA'!$F260&amp;";",ROW($1:$99),1),";")),"",ROW($1:$99)),COLUMN(B259))-1)</f>
        <v/>
      </c>
      <c r="Y260" s="29" t="str">
        <f t="array" ref="Y260">MID(";"&amp;'CASE DATA'!$F260&amp;";",SMALL(IF(ISERROR(SEARCH(MID(";"&amp;'CASE DATA'!$F260&amp;";",ROW($1:$99),1),";")),"",ROW($1:$99)+1),COLUMN(D260)),SMALL(IF(ISERROR(SEARCH(MID(";"&amp;'CASE DATA'!$F260&amp;";",ROW($1:$99),1),";")),"",ROW($1:$99)),COLUMN(D259)+1)-SMALL(IF(ISERROR(SEARCH(MID(";"&amp;'CASE DATA'!$F260&amp;";",ROW($1:$99),1),";")),"",ROW($1:$99)),COLUMN(D259))-1)</f>
        <v/>
      </c>
      <c r="Z260" s="29" t="str">
        <f t="array" ref="Z260">MID(";"&amp;'CASE DATA'!$F260&amp;";",SMALL(IF(ISERROR(SEARCH(MID(";"&amp;'CASE DATA'!$F260&amp;";",ROW($1:$99),1),";")),"",ROW($1:$99)+1),COLUMN(E260)),SMALL(IF(ISERROR(SEARCH(MID(";"&amp;'CASE DATA'!$F260&amp;";",ROW($1:$99),1),";")),"",ROW($1:$99)),COLUMN(E259)+1)-SMALL(IF(ISERROR(SEARCH(MID(";"&amp;'CASE DATA'!$F260&amp;";",ROW($1:$99),1),";")),"",ROW($1:$99)),COLUMN(E259))-1)</f>
        <v/>
      </c>
      <c r="AA260" s="29" t="str">
        <f t="array" ref="AA260">MID(";"&amp;'CASE DATA'!$F260&amp;";",SMALL(IF(ISERROR(SEARCH(MID(";"&amp;'CASE DATA'!$F260&amp;";",ROW($1:$99),1),";")),"",ROW($1:$99)+1),COLUMN(F260)),SMALL(IF(ISERROR(SEARCH(MID(";"&amp;'CASE DATA'!$F260&amp;";",ROW($1:$99),1),";")),"",ROW($1:$99)),COLUMN(F259)+1)-SMALL(IF(ISERROR(SEARCH(MID(";"&amp;'CASE DATA'!$F260&amp;";",ROW($1:$99),1),";")),"",ROW($1:$99)),COLUMN(F259))-1)</f>
        <v/>
      </c>
      <c r="AB260" s="29" t="str">
        <f t="array" ref="AB260">MID(";"&amp;'CASE DATA'!$F260&amp;";",SMALL(IF(ISERROR(SEARCH(MID(";"&amp;'CASE DATA'!$F260&amp;";",ROW($1:$99),1),";")),"",ROW($1:$99)+1),COLUMN(G260)),SMALL(IF(ISERROR(SEARCH(MID(";"&amp;'CASE DATA'!$F260&amp;";",ROW($1:$99),1),";")),"",ROW($1:$99)),COLUMN(G259)+1)-SMALL(IF(ISERROR(SEARCH(MID(";"&amp;'CASE DATA'!$F260&amp;";",ROW($1:$99),1),";")),"",ROW($1:$99)),COLUMN(G259))-1)</f>
        <v/>
      </c>
      <c r="AC260" s="29" t="str">
        <f t="array" ref="AC260">MID(";"&amp;'CASE DATA'!$F260&amp;";",SMALL(IF(ISERROR(SEARCH(MID(";"&amp;'CASE DATA'!$F260&amp;";",ROW($1:$99),1),";")),"",ROW($1:$99)+1),COLUMN(H260)),SMALL(IF(ISERROR(SEARCH(MID(";"&amp;'CASE DATA'!$F260&amp;";",ROW($1:$99),1),";")),"",ROW($1:$99)),COLUMN(H259)+1)-SMALL(IF(ISERROR(SEARCH(MID(";"&amp;'CASE DATA'!$F260&amp;";",ROW($1:$99),1),";")),"",ROW($1:$99)),COLUMN(H259))-1)</f>
        <v/>
      </c>
      <c r="AD260" s="29" t="str">
        <f t="array" ref="AD260">MID(";"&amp;'CASE DATA'!$F260&amp;";",SMALL(IF(ISERROR(SEARCH(MID(";"&amp;'CASE DATA'!$F260&amp;";",ROW($1:$99),1),";")),"",ROW($1:$99)+1),COLUMN(I260)),SMALL(IF(ISERROR(SEARCH(MID(";"&amp;'CASE DATA'!$F260&amp;";",ROW($1:$99),1),";")),"",ROW($1:$99)),COLUMN(I259)+1)-SMALL(IF(ISERROR(SEARCH(MID(";"&amp;'CASE DATA'!$F260&amp;";",ROW($1:$99),1),";")),"",ROW($1:$99)),COLUMN(I259))-1)</f>
        <v/>
      </c>
      <c r="AE260" s="29" t="str">
        <f t="array" ref="AE260">MID(";"&amp;'CASE DATA'!$F260&amp;";",SMALL(IF(ISERROR(SEARCH(MID(";"&amp;'CASE DATA'!$F260&amp;";",ROW($1:$99),1),";")),"",ROW($1:$99)+1),COLUMN(J260)),SMALL(IF(ISERROR(SEARCH(MID(";"&amp;'CASE DATA'!$F260&amp;";",ROW($1:$99),1),";")),"",ROW($1:$99)),COLUMN(J259)+1)-SMALL(IF(ISERROR(SEARCH(MID(";"&amp;'CASE DATA'!$F260&amp;";",ROW($1:$99),1),";")),"",ROW($1:$99)),COLUMN(J259))-1)</f>
        <v/>
      </c>
      <c r="AF260" s="29" t="str">
        <f t="array" ref="AF260">MID(";"&amp;'CASE DATA'!$F260&amp;";",SMALL(IF(ISERROR(SEARCH(MID(";"&amp;'CASE DATA'!$F260&amp;";",ROW($1:$99),1),";")),"",ROW($1:$99)+1),COLUMN(K260)),SMALL(IF(ISERROR(SEARCH(MID(";"&amp;'CASE DATA'!$F260&amp;";",ROW($1:$99),1),";")),"",ROW($1:$99)),COLUMN(K259)+1)-SMALL(IF(ISERROR(SEARCH(MID(";"&amp;'CASE DATA'!$F260&amp;";",ROW($1:$99),1),";")),"",ROW($1:$99)),COLUMN(K259))-1)</f>
        <v/>
      </c>
      <c r="AG260" s="29" t="str">
        <f t="array" ref="AG260">MID(";"&amp;'CASE DATA'!$F260&amp;";",SMALL(IF(ISERROR(SEARCH(MID(";"&amp;'CASE DATA'!$F260&amp;";",ROW($1:$99),1),";")),"",ROW($1:$99)+1),COLUMN(L260)),SMALL(IF(ISERROR(SEARCH(MID(";"&amp;'CASE DATA'!$F260&amp;";",ROW($1:$99),1),";")),"",ROW($1:$99)),COLUMN(L259)+1)-SMALL(IF(ISERROR(SEARCH(MID(";"&amp;'CASE DATA'!$F260&amp;";",ROW($1:$99),1),";")),"",ROW($1:$99)),COLUMN(L259))-1)</f>
        <v/>
      </c>
      <c r="AH260" s="29"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24"/>
      <c r="D261" s="24"/>
      <c r="J261" s="31"/>
      <c r="K261" s="31"/>
      <c r="L261" s="31"/>
      <c r="M261" s="31"/>
      <c r="N261" s="31"/>
      <c r="O261" s="31"/>
      <c r="P261" s="31"/>
      <c r="Q261" s="31"/>
      <c r="R261" s="31"/>
      <c r="S261" s="31"/>
      <c r="T261" s="28">
        <f t="shared" si="5"/>
        <v>0</v>
      </c>
      <c r="U261" s="28"/>
      <c r="W261" s="29" t="str">
        <f t="array" ref="W261">MID(";"&amp;'CASE DATA'!$F261&amp;";",SMALL(IF(ISERROR(SEARCH(MID(";"&amp;'CASE DATA'!$F261&amp;";",ROW($1:$99),1),";")),"",ROW($1:$99)+1),COLUMN(A261)),SMALL(IF(ISERROR(SEARCH(MID(";"&amp;'CASE DATA'!$F261&amp;";",ROW($1:$99),1),";")),"",ROW($1:$99)),COLUMN(A260)+1)-SMALL(IF(ISERROR(SEARCH(MID(";"&amp;'CASE DATA'!$F261&amp;";",ROW($1:$99),1),";")),"",ROW($1:$99)),COLUMN(A260))-1)</f>
        <v/>
      </c>
      <c r="X261" s="29" t="str">
        <f t="array" ref="X261">MID(";"&amp;'CASE DATA'!$F261&amp;";",SMALL(IF(ISERROR(SEARCH(MID(";"&amp;'CASE DATA'!$F261&amp;";",ROW($1:$99),1),";")),"",ROW($1:$99)+1),COLUMN(B261)),SMALL(IF(ISERROR(SEARCH(MID(";"&amp;'CASE DATA'!$F261&amp;";",ROW($1:$99),1),";")),"",ROW($1:$99)),COLUMN(B260)+1)-SMALL(IF(ISERROR(SEARCH(MID(";"&amp;'CASE DATA'!$F261&amp;";",ROW($1:$99),1),";")),"",ROW($1:$99)),COLUMN(B260))-1)</f>
        <v/>
      </c>
      <c r="Y261" s="29" t="str">
        <f t="array" ref="Y261">MID(";"&amp;'CASE DATA'!$F261&amp;";",SMALL(IF(ISERROR(SEARCH(MID(";"&amp;'CASE DATA'!$F261&amp;";",ROW($1:$99),1),";")),"",ROW($1:$99)+1),COLUMN(D261)),SMALL(IF(ISERROR(SEARCH(MID(";"&amp;'CASE DATA'!$F261&amp;";",ROW($1:$99),1),";")),"",ROW($1:$99)),COLUMN(D260)+1)-SMALL(IF(ISERROR(SEARCH(MID(";"&amp;'CASE DATA'!$F261&amp;";",ROW($1:$99),1),";")),"",ROW($1:$99)),COLUMN(D260))-1)</f>
        <v/>
      </c>
      <c r="Z261" s="29" t="str">
        <f t="array" ref="Z261">MID(";"&amp;'CASE DATA'!$F261&amp;";",SMALL(IF(ISERROR(SEARCH(MID(";"&amp;'CASE DATA'!$F261&amp;";",ROW($1:$99),1),";")),"",ROW($1:$99)+1),COLUMN(E261)),SMALL(IF(ISERROR(SEARCH(MID(";"&amp;'CASE DATA'!$F261&amp;";",ROW($1:$99),1),";")),"",ROW($1:$99)),COLUMN(E260)+1)-SMALL(IF(ISERROR(SEARCH(MID(";"&amp;'CASE DATA'!$F261&amp;";",ROW($1:$99),1),";")),"",ROW($1:$99)),COLUMN(E260))-1)</f>
        <v/>
      </c>
      <c r="AA261" s="29" t="str">
        <f t="array" ref="AA261">MID(";"&amp;'CASE DATA'!$F261&amp;";",SMALL(IF(ISERROR(SEARCH(MID(";"&amp;'CASE DATA'!$F261&amp;";",ROW($1:$99),1),";")),"",ROW($1:$99)+1),COLUMN(F261)),SMALL(IF(ISERROR(SEARCH(MID(";"&amp;'CASE DATA'!$F261&amp;";",ROW($1:$99),1),";")),"",ROW($1:$99)),COLUMN(F260)+1)-SMALL(IF(ISERROR(SEARCH(MID(";"&amp;'CASE DATA'!$F261&amp;";",ROW($1:$99),1),";")),"",ROW($1:$99)),COLUMN(F260))-1)</f>
        <v/>
      </c>
      <c r="AB261" s="29" t="str">
        <f t="array" ref="AB261">MID(";"&amp;'CASE DATA'!$F261&amp;";",SMALL(IF(ISERROR(SEARCH(MID(";"&amp;'CASE DATA'!$F261&amp;";",ROW($1:$99),1),";")),"",ROW($1:$99)+1),COLUMN(G261)),SMALL(IF(ISERROR(SEARCH(MID(";"&amp;'CASE DATA'!$F261&amp;";",ROW($1:$99),1),";")),"",ROW($1:$99)),COLUMN(G260)+1)-SMALL(IF(ISERROR(SEARCH(MID(";"&amp;'CASE DATA'!$F261&amp;";",ROW($1:$99),1),";")),"",ROW($1:$99)),COLUMN(G260))-1)</f>
        <v/>
      </c>
      <c r="AC261" s="29" t="str">
        <f t="array" ref="AC261">MID(";"&amp;'CASE DATA'!$F261&amp;";",SMALL(IF(ISERROR(SEARCH(MID(";"&amp;'CASE DATA'!$F261&amp;";",ROW($1:$99),1),";")),"",ROW($1:$99)+1),COLUMN(H261)),SMALL(IF(ISERROR(SEARCH(MID(";"&amp;'CASE DATA'!$F261&amp;";",ROW($1:$99),1),";")),"",ROW($1:$99)),COLUMN(H260)+1)-SMALL(IF(ISERROR(SEARCH(MID(";"&amp;'CASE DATA'!$F261&amp;";",ROW($1:$99),1),";")),"",ROW($1:$99)),COLUMN(H260))-1)</f>
        <v/>
      </c>
      <c r="AD261" s="29" t="str">
        <f t="array" ref="AD261">MID(";"&amp;'CASE DATA'!$F261&amp;";",SMALL(IF(ISERROR(SEARCH(MID(";"&amp;'CASE DATA'!$F261&amp;";",ROW($1:$99),1),";")),"",ROW($1:$99)+1),COLUMN(I261)),SMALL(IF(ISERROR(SEARCH(MID(";"&amp;'CASE DATA'!$F261&amp;";",ROW($1:$99),1),";")),"",ROW($1:$99)),COLUMN(I260)+1)-SMALL(IF(ISERROR(SEARCH(MID(";"&amp;'CASE DATA'!$F261&amp;";",ROW($1:$99),1),";")),"",ROW($1:$99)),COLUMN(I260))-1)</f>
        <v/>
      </c>
      <c r="AE261" s="29" t="str">
        <f t="array" ref="AE261">MID(";"&amp;'CASE DATA'!$F261&amp;";",SMALL(IF(ISERROR(SEARCH(MID(";"&amp;'CASE DATA'!$F261&amp;";",ROW($1:$99),1),";")),"",ROW($1:$99)+1),COLUMN(J261)),SMALL(IF(ISERROR(SEARCH(MID(";"&amp;'CASE DATA'!$F261&amp;";",ROW($1:$99),1),";")),"",ROW($1:$99)),COLUMN(J260)+1)-SMALL(IF(ISERROR(SEARCH(MID(";"&amp;'CASE DATA'!$F261&amp;";",ROW($1:$99),1),";")),"",ROW($1:$99)),COLUMN(J260))-1)</f>
        <v/>
      </c>
      <c r="AF261" s="29" t="str">
        <f t="array" ref="AF261">MID(";"&amp;'CASE DATA'!$F261&amp;";",SMALL(IF(ISERROR(SEARCH(MID(";"&amp;'CASE DATA'!$F261&amp;";",ROW($1:$99),1),";")),"",ROW($1:$99)+1),COLUMN(K261)),SMALL(IF(ISERROR(SEARCH(MID(";"&amp;'CASE DATA'!$F261&amp;";",ROW($1:$99),1),";")),"",ROW($1:$99)),COLUMN(K260)+1)-SMALL(IF(ISERROR(SEARCH(MID(";"&amp;'CASE DATA'!$F261&amp;";",ROW($1:$99),1),";")),"",ROW($1:$99)),COLUMN(K260))-1)</f>
        <v/>
      </c>
      <c r="AG261" s="29" t="str">
        <f t="array" ref="AG261">MID(";"&amp;'CASE DATA'!$F261&amp;";",SMALL(IF(ISERROR(SEARCH(MID(";"&amp;'CASE DATA'!$F261&amp;";",ROW($1:$99),1),";")),"",ROW($1:$99)+1),COLUMN(L261)),SMALL(IF(ISERROR(SEARCH(MID(";"&amp;'CASE DATA'!$F261&amp;";",ROW($1:$99),1),";")),"",ROW($1:$99)),COLUMN(L260)+1)-SMALL(IF(ISERROR(SEARCH(MID(";"&amp;'CASE DATA'!$F261&amp;";",ROW($1:$99),1),";")),"",ROW($1:$99)),COLUMN(L260))-1)</f>
        <v/>
      </c>
      <c r="AH261" s="29"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24"/>
      <c r="D262" s="24"/>
      <c r="J262" s="31"/>
      <c r="K262" s="31"/>
      <c r="L262" s="31"/>
      <c r="M262" s="31"/>
      <c r="N262" s="31"/>
      <c r="O262" s="31"/>
      <c r="P262" s="31"/>
      <c r="Q262" s="31"/>
      <c r="R262" s="31"/>
      <c r="S262" s="31"/>
      <c r="T262" s="28">
        <f t="shared" si="5"/>
        <v>0</v>
      </c>
      <c r="U262" s="28"/>
      <c r="W262" s="29" t="str">
        <f t="array" ref="W262">MID(";"&amp;'CASE DATA'!$F262&amp;";",SMALL(IF(ISERROR(SEARCH(MID(";"&amp;'CASE DATA'!$F262&amp;";",ROW($1:$99),1),";")),"",ROW($1:$99)+1),COLUMN(A262)),SMALL(IF(ISERROR(SEARCH(MID(";"&amp;'CASE DATA'!$F262&amp;";",ROW($1:$99),1),";")),"",ROW($1:$99)),COLUMN(A261)+1)-SMALL(IF(ISERROR(SEARCH(MID(";"&amp;'CASE DATA'!$F262&amp;";",ROW($1:$99),1),";")),"",ROW($1:$99)),COLUMN(A261))-1)</f>
        <v/>
      </c>
      <c r="X262" s="29" t="str">
        <f t="array" ref="X262">MID(";"&amp;'CASE DATA'!$F262&amp;";",SMALL(IF(ISERROR(SEARCH(MID(";"&amp;'CASE DATA'!$F262&amp;";",ROW($1:$99),1),";")),"",ROW($1:$99)+1),COLUMN(B262)),SMALL(IF(ISERROR(SEARCH(MID(";"&amp;'CASE DATA'!$F262&amp;";",ROW($1:$99),1),";")),"",ROW($1:$99)),COLUMN(B261)+1)-SMALL(IF(ISERROR(SEARCH(MID(";"&amp;'CASE DATA'!$F262&amp;";",ROW($1:$99),1),";")),"",ROW($1:$99)),COLUMN(B261))-1)</f>
        <v/>
      </c>
      <c r="Y262" s="29" t="str">
        <f t="array" ref="Y262">MID(";"&amp;'CASE DATA'!$F262&amp;";",SMALL(IF(ISERROR(SEARCH(MID(";"&amp;'CASE DATA'!$F262&amp;";",ROW($1:$99),1),";")),"",ROW($1:$99)+1),COLUMN(D262)),SMALL(IF(ISERROR(SEARCH(MID(";"&amp;'CASE DATA'!$F262&amp;";",ROW($1:$99),1),";")),"",ROW($1:$99)),COLUMN(D261)+1)-SMALL(IF(ISERROR(SEARCH(MID(";"&amp;'CASE DATA'!$F262&amp;";",ROW($1:$99),1),";")),"",ROW($1:$99)),COLUMN(D261))-1)</f>
        <v/>
      </c>
      <c r="Z262" s="29" t="str">
        <f t="array" ref="Z262">MID(";"&amp;'CASE DATA'!$F262&amp;";",SMALL(IF(ISERROR(SEARCH(MID(";"&amp;'CASE DATA'!$F262&amp;";",ROW($1:$99),1),";")),"",ROW($1:$99)+1),COLUMN(E262)),SMALL(IF(ISERROR(SEARCH(MID(";"&amp;'CASE DATA'!$F262&amp;";",ROW($1:$99),1),";")),"",ROW($1:$99)),COLUMN(E261)+1)-SMALL(IF(ISERROR(SEARCH(MID(";"&amp;'CASE DATA'!$F262&amp;";",ROW($1:$99),1),";")),"",ROW($1:$99)),COLUMN(E261))-1)</f>
        <v/>
      </c>
      <c r="AA262" s="29" t="str">
        <f t="array" ref="AA262">MID(";"&amp;'CASE DATA'!$F262&amp;";",SMALL(IF(ISERROR(SEARCH(MID(";"&amp;'CASE DATA'!$F262&amp;";",ROW($1:$99),1),";")),"",ROW($1:$99)+1),COLUMN(F262)),SMALL(IF(ISERROR(SEARCH(MID(";"&amp;'CASE DATA'!$F262&amp;";",ROW($1:$99),1),";")),"",ROW($1:$99)),COLUMN(F261)+1)-SMALL(IF(ISERROR(SEARCH(MID(";"&amp;'CASE DATA'!$F262&amp;";",ROW($1:$99),1),";")),"",ROW($1:$99)),COLUMN(F261))-1)</f>
        <v/>
      </c>
      <c r="AB262" s="29" t="str">
        <f t="array" ref="AB262">MID(";"&amp;'CASE DATA'!$F262&amp;";",SMALL(IF(ISERROR(SEARCH(MID(";"&amp;'CASE DATA'!$F262&amp;";",ROW($1:$99),1),";")),"",ROW($1:$99)+1),COLUMN(G262)),SMALL(IF(ISERROR(SEARCH(MID(";"&amp;'CASE DATA'!$F262&amp;";",ROW($1:$99),1),";")),"",ROW($1:$99)),COLUMN(G261)+1)-SMALL(IF(ISERROR(SEARCH(MID(";"&amp;'CASE DATA'!$F262&amp;";",ROW($1:$99),1),";")),"",ROW($1:$99)),COLUMN(G261))-1)</f>
        <v/>
      </c>
      <c r="AC262" s="29" t="str">
        <f t="array" ref="AC262">MID(";"&amp;'CASE DATA'!$F262&amp;";",SMALL(IF(ISERROR(SEARCH(MID(";"&amp;'CASE DATA'!$F262&amp;";",ROW($1:$99),1),";")),"",ROW($1:$99)+1),COLUMN(H262)),SMALL(IF(ISERROR(SEARCH(MID(";"&amp;'CASE DATA'!$F262&amp;";",ROW($1:$99),1),";")),"",ROW($1:$99)),COLUMN(H261)+1)-SMALL(IF(ISERROR(SEARCH(MID(";"&amp;'CASE DATA'!$F262&amp;";",ROW($1:$99),1),";")),"",ROW($1:$99)),COLUMN(H261))-1)</f>
        <v/>
      </c>
      <c r="AD262" s="29" t="str">
        <f t="array" ref="AD262">MID(";"&amp;'CASE DATA'!$F262&amp;";",SMALL(IF(ISERROR(SEARCH(MID(";"&amp;'CASE DATA'!$F262&amp;";",ROW($1:$99),1),";")),"",ROW($1:$99)+1),COLUMN(I262)),SMALL(IF(ISERROR(SEARCH(MID(";"&amp;'CASE DATA'!$F262&amp;";",ROW($1:$99),1),";")),"",ROW($1:$99)),COLUMN(I261)+1)-SMALL(IF(ISERROR(SEARCH(MID(";"&amp;'CASE DATA'!$F262&amp;";",ROW($1:$99),1),";")),"",ROW($1:$99)),COLUMN(I261))-1)</f>
        <v/>
      </c>
      <c r="AE262" s="29" t="str">
        <f t="array" ref="AE262">MID(";"&amp;'CASE DATA'!$F262&amp;";",SMALL(IF(ISERROR(SEARCH(MID(";"&amp;'CASE DATA'!$F262&amp;";",ROW($1:$99),1),";")),"",ROW($1:$99)+1),COLUMN(J262)),SMALL(IF(ISERROR(SEARCH(MID(";"&amp;'CASE DATA'!$F262&amp;";",ROW($1:$99),1),";")),"",ROW($1:$99)),COLUMN(J261)+1)-SMALL(IF(ISERROR(SEARCH(MID(";"&amp;'CASE DATA'!$F262&amp;";",ROW($1:$99),1),";")),"",ROW($1:$99)),COLUMN(J261))-1)</f>
        <v/>
      </c>
      <c r="AF262" s="29" t="str">
        <f t="array" ref="AF262">MID(";"&amp;'CASE DATA'!$F262&amp;";",SMALL(IF(ISERROR(SEARCH(MID(";"&amp;'CASE DATA'!$F262&amp;";",ROW($1:$99),1),";")),"",ROW($1:$99)+1),COLUMN(K262)),SMALL(IF(ISERROR(SEARCH(MID(";"&amp;'CASE DATA'!$F262&amp;";",ROW($1:$99),1),";")),"",ROW($1:$99)),COLUMN(K261)+1)-SMALL(IF(ISERROR(SEARCH(MID(";"&amp;'CASE DATA'!$F262&amp;";",ROW($1:$99),1),";")),"",ROW($1:$99)),COLUMN(K261))-1)</f>
        <v/>
      </c>
      <c r="AG262" s="29" t="str">
        <f t="array" ref="AG262">MID(";"&amp;'CASE DATA'!$F262&amp;";",SMALL(IF(ISERROR(SEARCH(MID(";"&amp;'CASE DATA'!$F262&amp;";",ROW($1:$99),1),";")),"",ROW($1:$99)+1),COLUMN(L262)),SMALL(IF(ISERROR(SEARCH(MID(";"&amp;'CASE DATA'!$F262&amp;";",ROW($1:$99),1),";")),"",ROW($1:$99)),COLUMN(L261)+1)-SMALL(IF(ISERROR(SEARCH(MID(";"&amp;'CASE DATA'!$F262&amp;";",ROW($1:$99),1),";")),"",ROW($1:$99)),COLUMN(L261))-1)</f>
        <v/>
      </c>
      <c r="AH262" s="29"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24"/>
      <c r="D263" s="24"/>
      <c r="J263" s="31"/>
      <c r="K263" s="31"/>
      <c r="L263" s="31"/>
      <c r="M263" s="31"/>
      <c r="N263" s="31"/>
      <c r="O263" s="31"/>
      <c r="P263" s="31"/>
      <c r="Q263" s="31"/>
      <c r="R263" s="31"/>
      <c r="S263" s="31"/>
      <c r="T263" s="28">
        <f t="shared" si="5"/>
        <v>0</v>
      </c>
      <c r="U263" s="28"/>
      <c r="W263" s="29" t="str">
        <f t="array" ref="W263">MID(";"&amp;'CASE DATA'!$F263&amp;";",SMALL(IF(ISERROR(SEARCH(MID(";"&amp;'CASE DATA'!$F263&amp;";",ROW($1:$99),1),";")),"",ROW($1:$99)+1),COLUMN(A263)),SMALL(IF(ISERROR(SEARCH(MID(";"&amp;'CASE DATA'!$F263&amp;";",ROW($1:$99),1),";")),"",ROW($1:$99)),COLUMN(A262)+1)-SMALL(IF(ISERROR(SEARCH(MID(";"&amp;'CASE DATA'!$F263&amp;";",ROW($1:$99),1),";")),"",ROW($1:$99)),COLUMN(A262))-1)</f>
        <v/>
      </c>
      <c r="X263" s="29" t="str">
        <f t="array" ref="X263">MID(";"&amp;'CASE DATA'!$F263&amp;";",SMALL(IF(ISERROR(SEARCH(MID(";"&amp;'CASE DATA'!$F263&amp;";",ROW($1:$99),1),";")),"",ROW($1:$99)+1),COLUMN(B263)),SMALL(IF(ISERROR(SEARCH(MID(";"&amp;'CASE DATA'!$F263&amp;";",ROW($1:$99),1),";")),"",ROW($1:$99)),COLUMN(B262)+1)-SMALL(IF(ISERROR(SEARCH(MID(";"&amp;'CASE DATA'!$F263&amp;";",ROW($1:$99),1),";")),"",ROW($1:$99)),COLUMN(B262))-1)</f>
        <v/>
      </c>
      <c r="Y263" s="29" t="str">
        <f t="array" ref="Y263">MID(";"&amp;'CASE DATA'!$F263&amp;";",SMALL(IF(ISERROR(SEARCH(MID(";"&amp;'CASE DATA'!$F263&amp;";",ROW($1:$99),1),";")),"",ROW($1:$99)+1),COLUMN(D263)),SMALL(IF(ISERROR(SEARCH(MID(";"&amp;'CASE DATA'!$F263&amp;";",ROW($1:$99),1),";")),"",ROW($1:$99)),COLUMN(D262)+1)-SMALL(IF(ISERROR(SEARCH(MID(";"&amp;'CASE DATA'!$F263&amp;";",ROW($1:$99),1),";")),"",ROW($1:$99)),COLUMN(D262))-1)</f>
        <v/>
      </c>
      <c r="Z263" s="29" t="str">
        <f t="array" ref="Z263">MID(";"&amp;'CASE DATA'!$F263&amp;";",SMALL(IF(ISERROR(SEARCH(MID(";"&amp;'CASE DATA'!$F263&amp;";",ROW($1:$99),1),";")),"",ROW($1:$99)+1),COLUMN(E263)),SMALL(IF(ISERROR(SEARCH(MID(";"&amp;'CASE DATA'!$F263&amp;";",ROW($1:$99),1),";")),"",ROW($1:$99)),COLUMN(E262)+1)-SMALL(IF(ISERROR(SEARCH(MID(";"&amp;'CASE DATA'!$F263&amp;";",ROW($1:$99),1),";")),"",ROW($1:$99)),COLUMN(E262))-1)</f>
        <v/>
      </c>
      <c r="AA263" s="29" t="str">
        <f t="array" ref="AA263">MID(";"&amp;'CASE DATA'!$F263&amp;";",SMALL(IF(ISERROR(SEARCH(MID(";"&amp;'CASE DATA'!$F263&amp;";",ROW($1:$99),1),";")),"",ROW($1:$99)+1),COLUMN(F263)),SMALL(IF(ISERROR(SEARCH(MID(";"&amp;'CASE DATA'!$F263&amp;";",ROW($1:$99),1),";")),"",ROW($1:$99)),COLUMN(F262)+1)-SMALL(IF(ISERROR(SEARCH(MID(";"&amp;'CASE DATA'!$F263&amp;";",ROW($1:$99),1),";")),"",ROW($1:$99)),COLUMN(F262))-1)</f>
        <v/>
      </c>
      <c r="AB263" s="29" t="str">
        <f t="array" ref="AB263">MID(";"&amp;'CASE DATA'!$F263&amp;";",SMALL(IF(ISERROR(SEARCH(MID(";"&amp;'CASE DATA'!$F263&amp;";",ROW($1:$99),1),";")),"",ROW($1:$99)+1),COLUMN(G263)),SMALL(IF(ISERROR(SEARCH(MID(";"&amp;'CASE DATA'!$F263&amp;";",ROW($1:$99),1),";")),"",ROW($1:$99)),COLUMN(G262)+1)-SMALL(IF(ISERROR(SEARCH(MID(";"&amp;'CASE DATA'!$F263&amp;";",ROW($1:$99),1),";")),"",ROW($1:$99)),COLUMN(G262))-1)</f>
        <v/>
      </c>
      <c r="AC263" s="29" t="str">
        <f t="array" ref="AC263">MID(";"&amp;'CASE DATA'!$F263&amp;";",SMALL(IF(ISERROR(SEARCH(MID(";"&amp;'CASE DATA'!$F263&amp;";",ROW($1:$99),1),";")),"",ROW($1:$99)+1),COLUMN(H263)),SMALL(IF(ISERROR(SEARCH(MID(";"&amp;'CASE DATA'!$F263&amp;";",ROW($1:$99),1),";")),"",ROW($1:$99)),COLUMN(H262)+1)-SMALL(IF(ISERROR(SEARCH(MID(";"&amp;'CASE DATA'!$F263&amp;";",ROW($1:$99),1),";")),"",ROW($1:$99)),COLUMN(H262))-1)</f>
        <v/>
      </c>
      <c r="AD263" s="29" t="str">
        <f t="array" ref="AD263">MID(";"&amp;'CASE DATA'!$F263&amp;";",SMALL(IF(ISERROR(SEARCH(MID(";"&amp;'CASE DATA'!$F263&amp;";",ROW($1:$99),1),";")),"",ROW($1:$99)+1),COLUMN(I263)),SMALL(IF(ISERROR(SEARCH(MID(";"&amp;'CASE DATA'!$F263&amp;";",ROW($1:$99),1),";")),"",ROW($1:$99)),COLUMN(I262)+1)-SMALL(IF(ISERROR(SEARCH(MID(";"&amp;'CASE DATA'!$F263&amp;";",ROW($1:$99),1),";")),"",ROW($1:$99)),COLUMN(I262))-1)</f>
        <v/>
      </c>
      <c r="AE263" s="29" t="str">
        <f t="array" ref="AE263">MID(";"&amp;'CASE DATA'!$F263&amp;";",SMALL(IF(ISERROR(SEARCH(MID(";"&amp;'CASE DATA'!$F263&amp;";",ROW($1:$99),1),";")),"",ROW($1:$99)+1),COLUMN(J263)),SMALL(IF(ISERROR(SEARCH(MID(";"&amp;'CASE DATA'!$F263&amp;";",ROW($1:$99),1),";")),"",ROW($1:$99)),COLUMN(J262)+1)-SMALL(IF(ISERROR(SEARCH(MID(";"&amp;'CASE DATA'!$F263&amp;";",ROW($1:$99),1),";")),"",ROW($1:$99)),COLUMN(J262))-1)</f>
        <v/>
      </c>
      <c r="AF263" s="29" t="str">
        <f t="array" ref="AF263">MID(";"&amp;'CASE DATA'!$F263&amp;";",SMALL(IF(ISERROR(SEARCH(MID(";"&amp;'CASE DATA'!$F263&amp;";",ROW($1:$99),1),";")),"",ROW($1:$99)+1),COLUMN(K263)),SMALL(IF(ISERROR(SEARCH(MID(";"&amp;'CASE DATA'!$F263&amp;";",ROW($1:$99),1),";")),"",ROW($1:$99)),COLUMN(K262)+1)-SMALL(IF(ISERROR(SEARCH(MID(";"&amp;'CASE DATA'!$F263&amp;";",ROW($1:$99),1),";")),"",ROW($1:$99)),COLUMN(K262))-1)</f>
        <v/>
      </c>
      <c r="AG263" s="29" t="str">
        <f t="array" ref="AG263">MID(";"&amp;'CASE DATA'!$F263&amp;";",SMALL(IF(ISERROR(SEARCH(MID(";"&amp;'CASE DATA'!$F263&amp;";",ROW($1:$99),1),";")),"",ROW($1:$99)+1),COLUMN(L263)),SMALL(IF(ISERROR(SEARCH(MID(";"&amp;'CASE DATA'!$F263&amp;";",ROW($1:$99),1),";")),"",ROW($1:$99)),COLUMN(L262)+1)-SMALL(IF(ISERROR(SEARCH(MID(";"&amp;'CASE DATA'!$F263&amp;";",ROW($1:$99),1),";")),"",ROW($1:$99)),COLUMN(L262))-1)</f>
        <v/>
      </c>
      <c r="AH263" s="29"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24"/>
      <c r="D264" s="24"/>
      <c r="J264" s="31"/>
      <c r="K264" s="31"/>
      <c r="L264" s="31"/>
      <c r="M264" s="31"/>
      <c r="N264" s="31"/>
      <c r="O264" s="31"/>
      <c r="P264" s="31"/>
      <c r="Q264" s="31"/>
      <c r="R264" s="31"/>
      <c r="S264" s="31"/>
      <c r="T264" s="28">
        <f t="shared" si="5"/>
        <v>0</v>
      </c>
      <c r="U264" s="28"/>
      <c r="W264" s="29" t="str">
        <f t="array" ref="W264">MID(";"&amp;'CASE DATA'!$F264&amp;";",SMALL(IF(ISERROR(SEARCH(MID(";"&amp;'CASE DATA'!$F264&amp;";",ROW($1:$99),1),";")),"",ROW($1:$99)+1),COLUMN(A264)),SMALL(IF(ISERROR(SEARCH(MID(";"&amp;'CASE DATA'!$F264&amp;";",ROW($1:$99),1),";")),"",ROW($1:$99)),COLUMN(A263)+1)-SMALL(IF(ISERROR(SEARCH(MID(";"&amp;'CASE DATA'!$F264&amp;";",ROW($1:$99),1),";")),"",ROW($1:$99)),COLUMN(A263))-1)</f>
        <v/>
      </c>
      <c r="X264" s="29" t="str">
        <f t="array" ref="X264">MID(";"&amp;'CASE DATA'!$F264&amp;";",SMALL(IF(ISERROR(SEARCH(MID(";"&amp;'CASE DATA'!$F264&amp;";",ROW($1:$99),1),";")),"",ROW($1:$99)+1),COLUMN(B264)),SMALL(IF(ISERROR(SEARCH(MID(";"&amp;'CASE DATA'!$F264&amp;";",ROW($1:$99),1),";")),"",ROW($1:$99)),COLUMN(B263)+1)-SMALL(IF(ISERROR(SEARCH(MID(";"&amp;'CASE DATA'!$F264&amp;";",ROW($1:$99),1),";")),"",ROW($1:$99)),COLUMN(B263))-1)</f>
        <v/>
      </c>
      <c r="Y264" s="29" t="str">
        <f t="array" ref="Y264">MID(";"&amp;'CASE DATA'!$F264&amp;";",SMALL(IF(ISERROR(SEARCH(MID(";"&amp;'CASE DATA'!$F264&amp;";",ROW($1:$99),1),";")),"",ROW($1:$99)+1),COLUMN(D264)),SMALL(IF(ISERROR(SEARCH(MID(";"&amp;'CASE DATA'!$F264&amp;";",ROW($1:$99),1),";")),"",ROW($1:$99)),COLUMN(D263)+1)-SMALL(IF(ISERROR(SEARCH(MID(";"&amp;'CASE DATA'!$F264&amp;";",ROW($1:$99),1),";")),"",ROW($1:$99)),COLUMN(D263))-1)</f>
        <v/>
      </c>
      <c r="Z264" s="29" t="str">
        <f t="array" ref="Z264">MID(";"&amp;'CASE DATA'!$F264&amp;";",SMALL(IF(ISERROR(SEARCH(MID(";"&amp;'CASE DATA'!$F264&amp;";",ROW($1:$99),1),";")),"",ROW($1:$99)+1),COLUMN(E264)),SMALL(IF(ISERROR(SEARCH(MID(";"&amp;'CASE DATA'!$F264&amp;";",ROW($1:$99),1),";")),"",ROW($1:$99)),COLUMN(E263)+1)-SMALL(IF(ISERROR(SEARCH(MID(";"&amp;'CASE DATA'!$F264&amp;";",ROW($1:$99),1),";")),"",ROW($1:$99)),COLUMN(E263))-1)</f>
        <v/>
      </c>
      <c r="AA264" s="29" t="str">
        <f t="array" ref="AA264">MID(";"&amp;'CASE DATA'!$F264&amp;";",SMALL(IF(ISERROR(SEARCH(MID(";"&amp;'CASE DATA'!$F264&amp;";",ROW($1:$99),1),";")),"",ROW($1:$99)+1),COLUMN(F264)),SMALL(IF(ISERROR(SEARCH(MID(";"&amp;'CASE DATA'!$F264&amp;";",ROW($1:$99),1),";")),"",ROW($1:$99)),COLUMN(F263)+1)-SMALL(IF(ISERROR(SEARCH(MID(";"&amp;'CASE DATA'!$F264&amp;";",ROW($1:$99),1),";")),"",ROW($1:$99)),COLUMN(F263))-1)</f>
        <v/>
      </c>
      <c r="AB264" s="29" t="str">
        <f t="array" ref="AB264">MID(";"&amp;'CASE DATA'!$F264&amp;";",SMALL(IF(ISERROR(SEARCH(MID(";"&amp;'CASE DATA'!$F264&amp;";",ROW($1:$99),1),";")),"",ROW($1:$99)+1),COLUMN(G264)),SMALL(IF(ISERROR(SEARCH(MID(";"&amp;'CASE DATA'!$F264&amp;";",ROW($1:$99),1),";")),"",ROW($1:$99)),COLUMN(G263)+1)-SMALL(IF(ISERROR(SEARCH(MID(";"&amp;'CASE DATA'!$F264&amp;";",ROW($1:$99),1),";")),"",ROW($1:$99)),COLUMN(G263))-1)</f>
        <v/>
      </c>
      <c r="AC264" s="29" t="str">
        <f t="array" ref="AC264">MID(";"&amp;'CASE DATA'!$F264&amp;";",SMALL(IF(ISERROR(SEARCH(MID(";"&amp;'CASE DATA'!$F264&amp;";",ROW($1:$99),1),";")),"",ROW($1:$99)+1),COLUMN(H264)),SMALL(IF(ISERROR(SEARCH(MID(";"&amp;'CASE DATA'!$F264&amp;";",ROW($1:$99),1),";")),"",ROW($1:$99)),COLUMN(H263)+1)-SMALL(IF(ISERROR(SEARCH(MID(";"&amp;'CASE DATA'!$F264&amp;";",ROW($1:$99),1),";")),"",ROW($1:$99)),COLUMN(H263))-1)</f>
        <v/>
      </c>
      <c r="AD264" s="29" t="str">
        <f t="array" ref="AD264">MID(";"&amp;'CASE DATA'!$F264&amp;";",SMALL(IF(ISERROR(SEARCH(MID(";"&amp;'CASE DATA'!$F264&amp;";",ROW($1:$99),1),";")),"",ROW($1:$99)+1),COLUMN(I264)),SMALL(IF(ISERROR(SEARCH(MID(";"&amp;'CASE DATA'!$F264&amp;";",ROW($1:$99),1),";")),"",ROW($1:$99)),COLUMN(I263)+1)-SMALL(IF(ISERROR(SEARCH(MID(";"&amp;'CASE DATA'!$F264&amp;";",ROW($1:$99),1),";")),"",ROW($1:$99)),COLUMN(I263))-1)</f>
        <v/>
      </c>
      <c r="AE264" s="29" t="str">
        <f t="array" ref="AE264">MID(";"&amp;'CASE DATA'!$F264&amp;";",SMALL(IF(ISERROR(SEARCH(MID(";"&amp;'CASE DATA'!$F264&amp;";",ROW($1:$99),1),";")),"",ROW($1:$99)+1),COLUMN(J264)),SMALL(IF(ISERROR(SEARCH(MID(";"&amp;'CASE DATA'!$F264&amp;";",ROW($1:$99),1),";")),"",ROW($1:$99)),COLUMN(J263)+1)-SMALL(IF(ISERROR(SEARCH(MID(";"&amp;'CASE DATA'!$F264&amp;";",ROW($1:$99),1),";")),"",ROW($1:$99)),COLUMN(J263))-1)</f>
        <v/>
      </c>
      <c r="AF264" s="29" t="str">
        <f t="array" ref="AF264">MID(";"&amp;'CASE DATA'!$F264&amp;";",SMALL(IF(ISERROR(SEARCH(MID(";"&amp;'CASE DATA'!$F264&amp;";",ROW($1:$99),1),";")),"",ROW($1:$99)+1),COLUMN(K264)),SMALL(IF(ISERROR(SEARCH(MID(";"&amp;'CASE DATA'!$F264&amp;";",ROW($1:$99),1),";")),"",ROW($1:$99)),COLUMN(K263)+1)-SMALL(IF(ISERROR(SEARCH(MID(";"&amp;'CASE DATA'!$F264&amp;";",ROW($1:$99),1),";")),"",ROW($1:$99)),COLUMN(K263))-1)</f>
        <v/>
      </c>
      <c r="AG264" s="29" t="str">
        <f t="array" ref="AG264">MID(";"&amp;'CASE DATA'!$F264&amp;";",SMALL(IF(ISERROR(SEARCH(MID(";"&amp;'CASE DATA'!$F264&amp;";",ROW($1:$99),1),";")),"",ROW($1:$99)+1),COLUMN(L264)),SMALL(IF(ISERROR(SEARCH(MID(";"&amp;'CASE DATA'!$F264&amp;";",ROW($1:$99),1),";")),"",ROW($1:$99)),COLUMN(L263)+1)-SMALL(IF(ISERROR(SEARCH(MID(";"&amp;'CASE DATA'!$F264&amp;";",ROW($1:$99),1),";")),"",ROW($1:$99)),COLUMN(L263))-1)</f>
        <v/>
      </c>
      <c r="AH264" s="29"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24"/>
      <c r="D265" s="24"/>
      <c r="J265" s="31"/>
      <c r="K265" s="31"/>
      <c r="L265" s="31"/>
      <c r="M265" s="31"/>
      <c r="N265" s="31"/>
      <c r="O265" s="31"/>
      <c r="P265" s="31"/>
      <c r="Q265" s="31"/>
      <c r="R265" s="31"/>
      <c r="S265" s="31"/>
      <c r="T265" s="28">
        <f t="shared" si="5"/>
        <v>0</v>
      </c>
      <c r="U265" s="28"/>
      <c r="W265" s="29" t="str">
        <f t="array" ref="W265">MID(";"&amp;'CASE DATA'!$F265&amp;";",SMALL(IF(ISERROR(SEARCH(MID(";"&amp;'CASE DATA'!$F265&amp;";",ROW($1:$99),1),";")),"",ROW($1:$99)+1),COLUMN(A265)),SMALL(IF(ISERROR(SEARCH(MID(";"&amp;'CASE DATA'!$F265&amp;";",ROW($1:$99),1),";")),"",ROW($1:$99)),COLUMN(A264)+1)-SMALL(IF(ISERROR(SEARCH(MID(";"&amp;'CASE DATA'!$F265&amp;";",ROW($1:$99),1),";")),"",ROW($1:$99)),COLUMN(A264))-1)</f>
        <v/>
      </c>
      <c r="X265" s="29" t="str">
        <f t="array" ref="X265">MID(";"&amp;'CASE DATA'!$F265&amp;";",SMALL(IF(ISERROR(SEARCH(MID(";"&amp;'CASE DATA'!$F265&amp;";",ROW($1:$99),1),";")),"",ROW($1:$99)+1),COLUMN(B265)),SMALL(IF(ISERROR(SEARCH(MID(";"&amp;'CASE DATA'!$F265&amp;";",ROW($1:$99),1),";")),"",ROW($1:$99)),COLUMN(B264)+1)-SMALL(IF(ISERROR(SEARCH(MID(";"&amp;'CASE DATA'!$F265&amp;";",ROW($1:$99),1),";")),"",ROW($1:$99)),COLUMN(B264))-1)</f>
        <v/>
      </c>
      <c r="Y265" s="29" t="str">
        <f t="array" ref="Y265">MID(";"&amp;'CASE DATA'!$F265&amp;";",SMALL(IF(ISERROR(SEARCH(MID(";"&amp;'CASE DATA'!$F265&amp;";",ROW($1:$99),1),";")),"",ROW($1:$99)+1),COLUMN(D265)),SMALL(IF(ISERROR(SEARCH(MID(";"&amp;'CASE DATA'!$F265&amp;";",ROW($1:$99),1),";")),"",ROW($1:$99)),COLUMN(D264)+1)-SMALL(IF(ISERROR(SEARCH(MID(";"&amp;'CASE DATA'!$F265&amp;";",ROW($1:$99),1),";")),"",ROW($1:$99)),COLUMN(D264))-1)</f>
        <v/>
      </c>
      <c r="Z265" s="29" t="str">
        <f t="array" ref="Z265">MID(";"&amp;'CASE DATA'!$F265&amp;";",SMALL(IF(ISERROR(SEARCH(MID(";"&amp;'CASE DATA'!$F265&amp;";",ROW($1:$99),1),";")),"",ROW($1:$99)+1),COLUMN(E265)),SMALL(IF(ISERROR(SEARCH(MID(";"&amp;'CASE DATA'!$F265&amp;";",ROW($1:$99),1),";")),"",ROW($1:$99)),COLUMN(E264)+1)-SMALL(IF(ISERROR(SEARCH(MID(";"&amp;'CASE DATA'!$F265&amp;";",ROW($1:$99),1),";")),"",ROW($1:$99)),COLUMN(E264))-1)</f>
        <v/>
      </c>
      <c r="AA265" s="29" t="str">
        <f t="array" ref="AA265">MID(";"&amp;'CASE DATA'!$F265&amp;";",SMALL(IF(ISERROR(SEARCH(MID(";"&amp;'CASE DATA'!$F265&amp;";",ROW($1:$99),1),";")),"",ROW($1:$99)+1),COLUMN(F265)),SMALL(IF(ISERROR(SEARCH(MID(";"&amp;'CASE DATA'!$F265&amp;";",ROW($1:$99),1),";")),"",ROW($1:$99)),COLUMN(F264)+1)-SMALL(IF(ISERROR(SEARCH(MID(";"&amp;'CASE DATA'!$F265&amp;";",ROW($1:$99),1),";")),"",ROW($1:$99)),COLUMN(F264))-1)</f>
        <v/>
      </c>
      <c r="AB265" s="29" t="str">
        <f t="array" ref="AB265">MID(";"&amp;'CASE DATA'!$F265&amp;";",SMALL(IF(ISERROR(SEARCH(MID(";"&amp;'CASE DATA'!$F265&amp;";",ROW($1:$99),1),";")),"",ROW($1:$99)+1),COLUMN(G265)),SMALL(IF(ISERROR(SEARCH(MID(";"&amp;'CASE DATA'!$F265&amp;";",ROW($1:$99),1),";")),"",ROW($1:$99)),COLUMN(G264)+1)-SMALL(IF(ISERROR(SEARCH(MID(";"&amp;'CASE DATA'!$F265&amp;";",ROW($1:$99),1),";")),"",ROW($1:$99)),COLUMN(G264))-1)</f>
        <v/>
      </c>
      <c r="AC265" s="29" t="str">
        <f t="array" ref="AC265">MID(";"&amp;'CASE DATA'!$F265&amp;";",SMALL(IF(ISERROR(SEARCH(MID(";"&amp;'CASE DATA'!$F265&amp;";",ROW($1:$99),1),";")),"",ROW($1:$99)+1),COLUMN(H265)),SMALL(IF(ISERROR(SEARCH(MID(";"&amp;'CASE DATA'!$F265&amp;";",ROW($1:$99),1),";")),"",ROW($1:$99)),COLUMN(H264)+1)-SMALL(IF(ISERROR(SEARCH(MID(";"&amp;'CASE DATA'!$F265&amp;";",ROW($1:$99),1),";")),"",ROW($1:$99)),COLUMN(H264))-1)</f>
        <v/>
      </c>
      <c r="AD265" s="29" t="str">
        <f t="array" ref="AD265">MID(";"&amp;'CASE DATA'!$F265&amp;";",SMALL(IF(ISERROR(SEARCH(MID(";"&amp;'CASE DATA'!$F265&amp;";",ROW($1:$99),1),";")),"",ROW($1:$99)+1),COLUMN(I265)),SMALL(IF(ISERROR(SEARCH(MID(";"&amp;'CASE DATA'!$F265&amp;";",ROW($1:$99),1),";")),"",ROW($1:$99)),COLUMN(I264)+1)-SMALL(IF(ISERROR(SEARCH(MID(";"&amp;'CASE DATA'!$F265&amp;";",ROW($1:$99),1),";")),"",ROW($1:$99)),COLUMN(I264))-1)</f>
        <v/>
      </c>
      <c r="AE265" s="29" t="str">
        <f t="array" ref="AE265">MID(";"&amp;'CASE DATA'!$F265&amp;";",SMALL(IF(ISERROR(SEARCH(MID(";"&amp;'CASE DATA'!$F265&amp;";",ROW($1:$99),1),";")),"",ROW($1:$99)+1),COLUMN(J265)),SMALL(IF(ISERROR(SEARCH(MID(";"&amp;'CASE DATA'!$F265&amp;";",ROW($1:$99),1),";")),"",ROW($1:$99)),COLUMN(J264)+1)-SMALL(IF(ISERROR(SEARCH(MID(";"&amp;'CASE DATA'!$F265&amp;";",ROW($1:$99),1),";")),"",ROW($1:$99)),COLUMN(J264))-1)</f>
        <v/>
      </c>
      <c r="AF265" s="29" t="str">
        <f t="array" ref="AF265">MID(";"&amp;'CASE DATA'!$F265&amp;";",SMALL(IF(ISERROR(SEARCH(MID(";"&amp;'CASE DATA'!$F265&amp;";",ROW($1:$99),1),";")),"",ROW($1:$99)+1),COLUMN(K265)),SMALL(IF(ISERROR(SEARCH(MID(";"&amp;'CASE DATA'!$F265&amp;";",ROW($1:$99),1),";")),"",ROW($1:$99)),COLUMN(K264)+1)-SMALL(IF(ISERROR(SEARCH(MID(";"&amp;'CASE DATA'!$F265&amp;";",ROW($1:$99),1),";")),"",ROW($1:$99)),COLUMN(K264))-1)</f>
        <v/>
      </c>
      <c r="AG265" s="29" t="str">
        <f t="array" ref="AG265">MID(";"&amp;'CASE DATA'!$F265&amp;";",SMALL(IF(ISERROR(SEARCH(MID(";"&amp;'CASE DATA'!$F265&amp;";",ROW($1:$99),1),";")),"",ROW($1:$99)+1),COLUMN(L265)),SMALL(IF(ISERROR(SEARCH(MID(";"&amp;'CASE DATA'!$F265&amp;";",ROW($1:$99),1),";")),"",ROW($1:$99)),COLUMN(L264)+1)-SMALL(IF(ISERROR(SEARCH(MID(";"&amp;'CASE DATA'!$F265&amp;";",ROW($1:$99),1),";")),"",ROW($1:$99)),COLUMN(L264))-1)</f>
        <v/>
      </c>
      <c r="AH265" s="29"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24"/>
      <c r="D266" s="24"/>
      <c r="J266" s="31"/>
      <c r="K266" s="31"/>
      <c r="L266" s="31"/>
      <c r="M266" s="31"/>
      <c r="N266" s="31"/>
      <c r="O266" s="31"/>
      <c r="P266" s="31"/>
      <c r="Q266" s="31"/>
      <c r="R266" s="31"/>
      <c r="S266" s="31"/>
      <c r="T266" s="28">
        <f t="shared" si="5"/>
        <v>0</v>
      </c>
      <c r="U266" s="28"/>
      <c r="W266" s="29" t="str">
        <f t="array" ref="W266">MID(";"&amp;'CASE DATA'!$F266&amp;";",SMALL(IF(ISERROR(SEARCH(MID(";"&amp;'CASE DATA'!$F266&amp;";",ROW($1:$99),1),";")),"",ROW($1:$99)+1),COLUMN(A266)),SMALL(IF(ISERROR(SEARCH(MID(";"&amp;'CASE DATA'!$F266&amp;";",ROW($1:$99),1),";")),"",ROW($1:$99)),COLUMN(A265)+1)-SMALL(IF(ISERROR(SEARCH(MID(";"&amp;'CASE DATA'!$F266&amp;";",ROW($1:$99),1),";")),"",ROW($1:$99)),COLUMN(A265))-1)</f>
        <v/>
      </c>
      <c r="X266" s="29" t="str">
        <f t="array" ref="X266">MID(";"&amp;'CASE DATA'!$F266&amp;";",SMALL(IF(ISERROR(SEARCH(MID(";"&amp;'CASE DATA'!$F266&amp;";",ROW($1:$99),1),";")),"",ROW($1:$99)+1),COLUMN(B266)),SMALL(IF(ISERROR(SEARCH(MID(";"&amp;'CASE DATA'!$F266&amp;";",ROW($1:$99),1),";")),"",ROW($1:$99)),COLUMN(B265)+1)-SMALL(IF(ISERROR(SEARCH(MID(";"&amp;'CASE DATA'!$F266&amp;";",ROW($1:$99),1),";")),"",ROW($1:$99)),COLUMN(B265))-1)</f>
        <v/>
      </c>
      <c r="Y266" s="29" t="str">
        <f t="array" ref="Y266">MID(";"&amp;'CASE DATA'!$F266&amp;";",SMALL(IF(ISERROR(SEARCH(MID(";"&amp;'CASE DATA'!$F266&amp;";",ROW($1:$99),1),";")),"",ROW($1:$99)+1),COLUMN(D266)),SMALL(IF(ISERROR(SEARCH(MID(";"&amp;'CASE DATA'!$F266&amp;";",ROW($1:$99),1),";")),"",ROW($1:$99)),COLUMN(D265)+1)-SMALL(IF(ISERROR(SEARCH(MID(";"&amp;'CASE DATA'!$F266&amp;";",ROW($1:$99),1),";")),"",ROW($1:$99)),COLUMN(D265))-1)</f>
        <v/>
      </c>
      <c r="Z266" s="29" t="str">
        <f t="array" ref="Z266">MID(";"&amp;'CASE DATA'!$F266&amp;";",SMALL(IF(ISERROR(SEARCH(MID(";"&amp;'CASE DATA'!$F266&amp;";",ROW($1:$99),1),";")),"",ROW($1:$99)+1),COLUMN(E266)),SMALL(IF(ISERROR(SEARCH(MID(";"&amp;'CASE DATA'!$F266&amp;";",ROW($1:$99),1),";")),"",ROW($1:$99)),COLUMN(E265)+1)-SMALL(IF(ISERROR(SEARCH(MID(";"&amp;'CASE DATA'!$F266&amp;";",ROW($1:$99),1),";")),"",ROW($1:$99)),COLUMN(E265))-1)</f>
        <v/>
      </c>
      <c r="AA266" s="29" t="str">
        <f t="array" ref="AA266">MID(";"&amp;'CASE DATA'!$F266&amp;";",SMALL(IF(ISERROR(SEARCH(MID(";"&amp;'CASE DATA'!$F266&amp;";",ROW($1:$99),1),";")),"",ROW($1:$99)+1),COLUMN(F266)),SMALL(IF(ISERROR(SEARCH(MID(";"&amp;'CASE DATA'!$F266&amp;";",ROW($1:$99),1),";")),"",ROW($1:$99)),COLUMN(F265)+1)-SMALL(IF(ISERROR(SEARCH(MID(";"&amp;'CASE DATA'!$F266&amp;";",ROW($1:$99),1),";")),"",ROW($1:$99)),COLUMN(F265))-1)</f>
        <v/>
      </c>
      <c r="AB266" s="29" t="str">
        <f t="array" ref="AB266">MID(";"&amp;'CASE DATA'!$F266&amp;";",SMALL(IF(ISERROR(SEARCH(MID(";"&amp;'CASE DATA'!$F266&amp;";",ROW($1:$99),1),";")),"",ROW($1:$99)+1),COLUMN(G266)),SMALL(IF(ISERROR(SEARCH(MID(";"&amp;'CASE DATA'!$F266&amp;";",ROW($1:$99),1),";")),"",ROW($1:$99)),COLUMN(G265)+1)-SMALL(IF(ISERROR(SEARCH(MID(";"&amp;'CASE DATA'!$F266&amp;";",ROW($1:$99),1),";")),"",ROW($1:$99)),COLUMN(G265))-1)</f>
        <v/>
      </c>
      <c r="AC266" s="29" t="str">
        <f t="array" ref="AC266">MID(";"&amp;'CASE DATA'!$F266&amp;";",SMALL(IF(ISERROR(SEARCH(MID(";"&amp;'CASE DATA'!$F266&amp;";",ROW($1:$99),1),";")),"",ROW($1:$99)+1),COLUMN(H266)),SMALL(IF(ISERROR(SEARCH(MID(";"&amp;'CASE DATA'!$F266&amp;";",ROW($1:$99),1),";")),"",ROW($1:$99)),COLUMN(H265)+1)-SMALL(IF(ISERROR(SEARCH(MID(";"&amp;'CASE DATA'!$F266&amp;";",ROW($1:$99),1),";")),"",ROW($1:$99)),COLUMN(H265))-1)</f>
        <v/>
      </c>
      <c r="AD266" s="29" t="str">
        <f t="array" ref="AD266">MID(";"&amp;'CASE DATA'!$F266&amp;";",SMALL(IF(ISERROR(SEARCH(MID(";"&amp;'CASE DATA'!$F266&amp;";",ROW($1:$99),1),";")),"",ROW($1:$99)+1),COLUMN(I266)),SMALL(IF(ISERROR(SEARCH(MID(";"&amp;'CASE DATA'!$F266&amp;";",ROW($1:$99),1),";")),"",ROW($1:$99)),COLUMN(I265)+1)-SMALL(IF(ISERROR(SEARCH(MID(";"&amp;'CASE DATA'!$F266&amp;";",ROW($1:$99),1),";")),"",ROW($1:$99)),COLUMN(I265))-1)</f>
        <v/>
      </c>
      <c r="AE266" s="29" t="str">
        <f t="array" ref="AE266">MID(";"&amp;'CASE DATA'!$F266&amp;";",SMALL(IF(ISERROR(SEARCH(MID(";"&amp;'CASE DATA'!$F266&amp;";",ROW($1:$99),1),";")),"",ROW($1:$99)+1),COLUMN(J266)),SMALL(IF(ISERROR(SEARCH(MID(";"&amp;'CASE DATA'!$F266&amp;";",ROW($1:$99),1),";")),"",ROW($1:$99)),COLUMN(J265)+1)-SMALL(IF(ISERROR(SEARCH(MID(";"&amp;'CASE DATA'!$F266&amp;";",ROW($1:$99),1),";")),"",ROW($1:$99)),COLUMN(J265))-1)</f>
        <v/>
      </c>
      <c r="AF266" s="29" t="str">
        <f t="array" ref="AF266">MID(";"&amp;'CASE DATA'!$F266&amp;";",SMALL(IF(ISERROR(SEARCH(MID(";"&amp;'CASE DATA'!$F266&amp;";",ROW($1:$99),1),";")),"",ROW($1:$99)+1),COLUMN(K266)),SMALL(IF(ISERROR(SEARCH(MID(";"&amp;'CASE DATA'!$F266&amp;";",ROW($1:$99),1),";")),"",ROW($1:$99)),COLUMN(K265)+1)-SMALL(IF(ISERROR(SEARCH(MID(";"&amp;'CASE DATA'!$F266&amp;";",ROW($1:$99),1),";")),"",ROW($1:$99)),COLUMN(K265))-1)</f>
        <v/>
      </c>
      <c r="AG266" s="29" t="str">
        <f t="array" ref="AG266">MID(";"&amp;'CASE DATA'!$F266&amp;";",SMALL(IF(ISERROR(SEARCH(MID(";"&amp;'CASE DATA'!$F266&amp;";",ROW($1:$99),1),";")),"",ROW($1:$99)+1),COLUMN(L266)),SMALL(IF(ISERROR(SEARCH(MID(";"&amp;'CASE DATA'!$F266&amp;";",ROW($1:$99),1),";")),"",ROW($1:$99)),COLUMN(L265)+1)-SMALL(IF(ISERROR(SEARCH(MID(";"&amp;'CASE DATA'!$F266&amp;";",ROW($1:$99),1),";")),"",ROW($1:$99)),COLUMN(L265))-1)</f>
        <v/>
      </c>
      <c r="AH266" s="29"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24"/>
      <c r="D267" s="24"/>
      <c r="J267" s="31"/>
      <c r="K267" s="31"/>
      <c r="L267" s="31"/>
      <c r="M267" s="31"/>
      <c r="N267" s="31"/>
      <c r="O267" s="31"/>
      <c r="P267" s="31"/>
      <c r="Q267" s="31"/>
      <c r="R267" s="31"/>
      <c r="S267" s="31"/>
      <c r="T267" s="28">
        <f t="shared" si="5"/>
        <v>0</v>
      </c>
      <c r="U267" s="28"/>
      <c r="W267" s="29" t="str">
        <f t="array" ref="W267">MID(";"&amp;'CASE DATA'!$F267&amp;";",SMALL(IF(ISERROR(SEARCH(MID(";"&amp;'CASE DATA'!$F267&amp;";",ROW($1:$99),1),";")),"",ROW($1:$99)+1),COLUMN(A267)),SMALL(IF(ISERROR(SEARCH(MID(";"&amp;'CASE DATA'!$F267&amp;";",ROW($1:$99),1),";")),"",ROW($1:$99)),COLUMN(A266)+1)-SMALL(IF(ISERROR(SEARCH(MID(";"&amp;'CASE DATA'!$F267&amp;";",ROW($1:$99),1),";")),"",ROW($1:$99)),COLUMN(A266))-1)</f>
        <v/>
      </c>
      <c r="X267" s="29" t="str">
        <f t="array" ref="X267">MID(";"&amp;'CASE DATA'!$F267&amp;";",SMALL(IF(ISERROR(SEARCH(MID(";"&amp;'CASE DATA'!$F267&amp;";",ROW($1:$99),1),";")),"",ROW($1:$99)+1),COLUMN(B267)),SMALL(IF(ISERROR(SEARCH(MID(";"&amp;'CASE DATA'!$F267&amp;";",ROW($1:$99),1),";")),"",ROW($1:$99)),COLUMN(B266)+1)-SMALL(IF(ISERROR(SEARCH(MID(";"&amp;'CASE DATA'!$F267&amp;";",ROW($1:$99),1),";")),"",ROW($1:$99)),COLUMN(B266))-1)</f>
        <v/>
      </c>
      <c r="Y267" s="29" t="str">
        <f t="array" ref="Y267">MID(";"&amp;'CASE DATA'!$F267&amp;";",SMALL(IF(ISERROR(SEARCH(MID(";"&amp;'CASE DATA'!$F267&amp;";",ROW($1:$99),1),";")),"",ROW($1:$99)+1),COLUMN(D267)),SMALL(IF(ISERROR(SEARCH(MID(";"&amp;'CASE DATA'!$F267&amp;";",ROW($1:$99),1),";")),"",ROW($1:$99)),COLUMN(D266)+1)-SMALL(IF(ISERROR(SEARCH(MID(";"&amp;'CASE DATA'!$F267&amp;";",ROW($1:$99),1),";")),"",ROW($1:$99)),COLUMN(D266))-1)</f>
        <v/>
      </c>
      <c r="Z267" s="29" t="str">
        <f t="array" ref="Z267">MID(";"&amp;'CASE DATA'!$F267&amp;";",SMALL(IF(ISERROR(SEARCH(MID(";"&amp;'CASE DATA'!$F267&amp;";",ROW($1:$99),1),";")),"",ROW($1:$99)+1),COLUMN(E267)),SMALL(IF(ISERROR(SEARCH(MID(";"&amp;'CASE DATA'!$F267&amp;";",ROW($1:$99),1),";")),"",ROW($1:$99)),COLUMN(E266)+1)-SMALL(IF(ISERROR(SEARCH(MID(";"&amp;'CASE DATA'!$F267&amp;";",ROW($1:$99),1),";")),"",ROW($1:$99)),COLUMN(E266))-1)</f>
        <v/>
      </c>
      <c r="AA267" s="29" t="str">
        <f t="array" ref="AA267">MID(";"&amp;'CASE DATA'!$F267&amp;";",SMALL(IF(ISERROR(SEARCH(MID(";"&amp;'CASE DATA'!$F267&amp;";",ROW($1:$99),1),";")),"",ROW($1:$99)+1),COLUMN(F267)),SMALL(IF(ISERROR(SEARCH(MID(";"&amp;'CASE DATA'!$F267&amp;";",ROW($1:$99),1),";")),"",ROW($1:$99)),COLUMN(F266)+1)-SMALL(IF(ISERROR(SEARCH(MID(";"&amp;'CASE DATA'!$F267&amp;";",ROW($1:$99),1),";")),"",ROW($1:$99)),COLUMN(F266))-1)</f>
        <v/>
      </c>
      <c r="AB267" s="29" t="str">
        <f t="array" ref="AB267">MID(";"&amp;'CASE DATA'!$F267&amp;";",SMALL(IF(ISERROR(SEARCH(MID(";"&amp;'CASE DATA'!$F267&amp;";",ROW($1:$99),1),";")),"",ROW($1:$99)+1),COLUMN(G267)),SMALL(IF(ISERROR(SEARCH(MID(";"&amp;'CASE DATA'!$F267&amp;";",ROW($1:$99),1),";")),"",ROW($1:$99)),COLUMN(G266)+1)-SMALL(IF(ISERROR(SEARCH(MID(";"&amp;'CASE DATA'!$F267&amp;";",ROW($1:$99),1),";")),"",ROW($1:$99)),COLUMN(G266))-1)</f>
        <v/>
      </c>
      <c r="AC267" s="29" t="str">
        <f t="array" ref="AC267">MID(";"&amp;'CASE DATA'!$F267&amp;";",SMALL(IF(ISERROR(SEARCH(MID(";"&amp;'CASE DATA'!$F267&amp;";",ROW($1:$99),1),";")),"",ROW($1:$99)+1),COLUMN(H267)),SMALL(IF(ISERROR(SEARCH(MID(";"&amp;'CASE DATA'!$F267&amp;";",ROW($1:$99),1),";")),"",ROW($1:$99)),COLUMN(H266)+1)-SMALL(IF(ISERROR(SEARCH(MID(";"&amp;'CASE DATA'!$F267&amp;";",ROW($1:$99),1),";")),"",ROW($1:$99)),COLUMN(H266))-1)</f>
        <v/>
      </c>
      <c r="AD267" s="29" t="str">
        <f t="array" ref="AD267">MID(";"&amp;'CASE DATA'!$F267&amp;";",SMALL(IF(ISERROR(SEARCH(MID(";"&amp;'CASE DATA'!$F267&amp;";",ROW($1:$99),1),";")),"",ROW($1:$99)+1),COLUMN(I267)),SMALL(IF(ISERROR(SEARCH(MID(";"&amp;'CASE DATA'!$F267&amp;";",ROW($1:$99),1),";")),"",ROW($1:$99)),COLUMN(I266)+1)-SMALL(IF(ISERROR(SEARCH(MID(";"&amp;'CASE DATA'!$F267&amp;";",ROW($1:$99),1),";")),"",ROW($1:$99)),COLUMN(I266))-1)</f>
        <v/>
      </c>
      <c r="AE267" s="29" t="str">
        <f t="array" ref="AE267">MID(";"&amp;'CASE DATA'!$F267&amp;";",SMALL(IF(ISERROR(SEARCH(MID(";"&amp;'CASE DATA'!$F267&amp;";",ROW($1:$99),1),";")),"",ROW($1:$99)+1),COLUMN(J267)),SMALL(IF(ISERROR(SEARCH(MID(";"&amp;'CASE DATA'!$F267&amp;";",ROW($1:$99),1),";")),"",ROW($1:$99)),COLUMN(J266)+1)-SMALL(IF(ISERROR(SEARCH(MID(";"&amp;'CASE DATA'!$F267&amp;";",ROW($1:$99),1),";")),"",ROW($1:$99)),COLUMN(J266))-1)</f>
        <v/>
      </c>
      <c r="AF267" s="29" t="str">
        <f t="array" ref="AF267">MID(";"&amp;'CASE DATA'!$F267&amp;";",SMALL(IF(ISERROR(SEARCH(MID(";"&amp;'CASE DATA'!$F267&amp;";",ROW($1:$99),1),";")),"",ROW($1:$99)+1),COLUMN(K267)),SMALL(IF(ISERROR(SEARCH(MID(";"&amp;'CASE DATA'!$F267&amp;";",ROW($1:$99),1),";")),"",ROW($1:$99)),COLUMN(K266)+1)-SMALL(IF(ISERROR(SEARCH(MID(";"&amp;'CASE DATA'!$F267&amp;";",ROW($1:$99),1),";")),"",ROW($1:$99)),COLUMN(K266))-1)</f>
        <v/>
      </c>
      <c r="AG267" s="29" t="str">
        <f t="array" ref="AG267">MID(";"&amp;'CASE DATA'!$F267&amp;";",SMALL(IF(ISERROR(SEARCH(MID(";"&amp;'CASE DATA'!$F267&amp;";",ROW($1:$99),1),";")),"",ROW($1:$99)+1),COLUMN(L267)),SMALL(IF(ISERROR(SEARCH(MID(";"&amp;'CASE DATA'!$F267&amp;";",ROW($1:$99),1),";")),"",ROW($1:$99)),COLUMN(L266)+1)-SMALL(IF(ISERROR(SEARCH(MID(";"&amp;'CASE DATA'!$F267&amp;";",ROW($1:$99),1),";")),"",ROW($1:$99)),COLUMN(L266))-1)</f>
        <v/>
      </c>
      <c r="AH267" s="29"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24"/>
      <c r="D268" s="24"/>
      <c r="J268" s="31"/>
      <c r="K268" s="31"/>
      <c r="L268" s="31"/>
      <c r="M268" s="31"/>
      <c r="N268" s="31"/>
      <c r="O268" s="31"/>
      <c r="P268" s="31"/>
      <c r="Q268" s="31"/>
      <c r="R268" s="31"/>
      <c r="S268" s="31"/>
      <c r="T268" s="28">
        <f t="shared" si="5"/>
        <v>0</v>
      </c>
      <c r="U268" s="28"/>
      <c r="W268" s="29" t="str">
        <f t="array" ref="W268">MID(";"&amp;'CASE DATA'!$F268&amp;";",SMALL(IF(ISERROR(SEARCH(MID(";"&amp;'CASE DATA'!$F268&amp;";",ROW($1:$99),1),";")),"",ROW($1:$99)+1),COLUMN(A268)),SMALL(IF(ISERROR(SEARCH(MID(";"&amp;'CASE DATA'!$F268&amp;";",ROW($1:$99),1),";")),"",ROW($1:$99)),COLUMN(A267)+1)-SMALL(IF(ISERROR(SEARCH(MID(";"&amp;'CASE DATA'!$F268&amp;";",ROW($1:$99),1),";")),"",ROW($1:$99)),COLUMN(A267))-1)</f>
        <v/>
      </c>
      <c r="X268" s="29" t="str">
        <f t="array" ref="X268">MID(";"&amp;'CASE DATA'!$F268&amp;";",SMALL(IF(ISERROR(SEARCH(MID(";"&amp;'CASE DATA'!$F268&amp;";",ROW($1:$99),1),";")),"",ROW($1:$99)+1),COLUMN(B268)),SMALL(IF(ISERROR(SEARCH(MID(";"&amp;'CASE DATA'!$F268&amp;";",ROW($1:$99),1),";")),"",ROW($1:$99)),COLUMN(B267)+1)-SMALL(IF(ISERROR(SEARCH(MID(";"&amp;'CASE DATA'!$F268&amp;";",ROW($1:$99),1),";")),"",ROW($1:$99)),COLUMN(B267))-1)</f>
        <v/>
      </c>
      <c r="Y268" s="29" t="str">
        <f t="array" ref="Y268">MID(";"&amp;'CASE DATA'!$F268&amp;";",SMALL(IF(ISERROR(SEARCH(MID(";"&amp;'CASE DATA'!$F268&amp;";",ROW($1:$99),1),";")),"",ROW($1:$99)+1),COLUMN(D268)),SMALL(IF(ISERROR(SEARCH(MID(";"&amp;'CASE DATA'!$F268&amp;";",ROW($1:$99),1),";")),"",ROW($1:$99)),COLUMN(D267)+1)-SMALL(IF(ISERROR(SEARCH(MID(";"&amp;'CASE DATA'!$F268&amp;";",ROW($1:$99),1),";")),"",ROW($1:$99)),COLUMN(D267))-1)</f>
        <v/>
      </c>
      <c r="Z268" s="29" t="str">
        <f t="array" ref="Z268">MID(";"&amp;'CASE DATA'!$F268&amp;";",SMALL(IF(ISERROR(SEARCH(MID(";"&amp;'CASE DATA'!$F268&amp;";",ROW($1:$99),1),";")),"",ROW($1:$99)+1),COLUMN(E268)),SMALL(IF(ISERROR(SEARCH(MID(";"&amp;'CASE DATA'!$F268&amp;";",ROW($1:$99),1),";")),"",ROW($1:$99)),COLUMN(E267)+1)-SMALL(IF(ISERROR(SEARCH(MID(";"&amp;'CASE DATA'!$F268&amp;";",ROW($1:$99),1),";")),"",ROW($1:$99)),COLUMN(E267))-1)</f>
        <v/>
      </c>
      <c r="AA268" s="29" t="str">
        <f t="array" ref="AA268">MID(";"&amp;'CASE DATA'!$F268&amp;";",SMALL(IF(ISERROR(SEARCH(MID(";"&amp;'CASE DATA'!$F268&amp;";",ROW($1:$99),1),";")),"",ROW($1:$99)+1),COLUMN(F268)),SMALL(IF(ISERROR(SEARCH(MID(";"&amp;'CASE DATA'!$F268&amp;";",ROW($1:$99),1),";")),"",ROW($1:$99)),COLUMN(F267)+1)-SMALL(IF(ISERROR(SEARCH(MID(";"&amp;'CASE DATA'!$F268&amp;";",ROW($1:$99),1),";")),"",ROW($1:$99)),COLUMN(F267))-1)</f>
        <v/>
      </c>
      <c r="AB268" s="29" t="str">
        <f t="array" ref="AB268">MID(";"&amp;'CASE DATA'!$F268&amp;";",SMALL(IF(ISERROR(SEARCH(MID(";"&amp;'CASE DATA'!$F268&amp;";",ROW($1:$99),1),";")),"",ROW($1:$99)+1),COLUMN(G268)),SMALL(IF(ISERROR(SEARCH(MID(";"&amp;'CASE DATA'!$F268&amp;";",ROW($1:$99),1),";")),"",ROW($1:$99)),COLUMN(G267)+1)-SMALL(IF(ISERROR(SEARCH(MID(";"&amp;'CASE DATA'!$F268&amp;";",ROW($1:$99),1),";")),"",ROW($1:$99)),COLUMN(G267))-1)</f>
        <v/>
      </c>
      <c r="AC268" s="29" t="str">
        <f t="array" ref="AC268">MID(";"&amp;'CASE DATA'!$F268&amp;";",SMALL(IF(ISERROR(SEARCH(MID(";"&amp;'CASE DATA'!$F268&amp;";",ROW($1:$99),1),";")),"",ROW($1:$99)+1),COLUMN(H268)),SMALL(IF(ISERROR(SEARCH(MID(";"&amp;'CASE DATA'!$F268&amp;";",ROW($1:$99),1),";")),"",ROW($1:$99)),COLUMN(H267)+1)-SMALL(IF(ISERROR(SEARCH(MID(";"&amp;'CASE DATA'!$F268&amp;";",ROW($1:$99),1),";")),"",ROW($1:$99)),COLUMN(H267))-1)</f>
        <v/>
      </c>
      <c r="AD268" s="29" t="str">
        <f t="array" ref="AD268">MID(";"&amp;'CASE DATA'!$F268&amp;";",SMALL(IF(ISERROR(SEARCH(MID(";"&amp;'CASE DATA'!$F268&amp;";",ROW($1:$99),1),";")),"",ROW($1:$99)+1),COLUMN(I268)),SMALL(IF(ISERROR(SEARCH(MID(";"&amp;'CASE DATA'!$F268&amp;";",ROW($1:$99),1),";")),"",ROW($1:$99)),COLUMN(I267)+1)-SMALL(IF(ISERROR(SEARCH(MID(";"&amp;'CASE DATA'!$F268&amp;";",ROW($1:$99),1),";")),"",ROW($1:$99)),COLUMN(I267))-1)</f>
        <v/>
      </c>
      <c r="AE268" s="29" t="str">
        <f t="array" ref="AE268">MID(";"&amp;'CASE DATA'!$F268&amp;";",SMALL(IF(ISERROR(SEARCH(MID(";"&amp;'CASE DATA'!$F268&amp;";",ROW($1:$99),1),";")),"",ROW($1:$99)+1),COLUMN(J268)),SMALL(IF(ISERROR(SEARCH(MID(";"&amp;'CASE DATA'!$F268&amp;";",ROW($1:$99),1),";")),"",ROW($1:$99)),COLUMN(J267)+1)-SMALL(IF(ISERROR(SEARCH(MID(";"&amp;'CASE DATA'!$F268&amp;";",ROW($1:$99),1),";")),"",ROW($1:$99)),COLUMN(J267))-1)</f>
        <v/>
      </c>
      <c r="AF268" s="29" t="str">
        <f t="array" ref="AF268">MID(";"&amp;'CASE DATA'!$F268&amp;";",SMALL(IF(ISERROR(SEARCH(MID(";"&amp;'CASE DATA'!$F268&amp;";",ROW($1:$99),1),";")),"",ROW($1:$99)+1),COLUMN(K268)),SMALL(IF(ISERROR(SEARCH(MID(";"&amp;'CASE DATA'!$F268&amp;";",ROW($1:$99),1),";")),"",ROW($1:$99)),COLUMN(K267)+1)-SMALL(IF(ISERROR(SEARCH(MID(";"&amp;'CASE DATA'!$F268&amp;";",ROW($1:$99),1),";")),"",ROW($1:$99)),COLUMN(K267))-1)</f>
        <v/>
      </c>
      <c r="AG268" s="29" t="str">
        <f t="array" ref="AG268">MID(";"&amp;'CASE DATA'!$F268&amp;";",SMALL(IF(ISERROR(SEARCH(MID(";"&amp;'CASE DATA'!$F268&amp;";",ROW($1:$99),1),";")),"",ROW($1:$99)+1),COLUMN(L268)),SMALL(IF(ISERROR(SEARCH(MID(";"&amp;'CASE DATA'!$F268&amp;";",ROW($1:$99),1),";")),"",ROW($1:$99)),COLUMN(L267)+1)-SMALL(IF(ISERROR(SEARCH(MID(";"&amp;'CASE DATA'!$F268&amp;";",ROW($1:$99),1),";")),"",ROW($1:$99)),COLUMN(L267))-1)</f>
        <v/>
      </c>
      <c r="AH268" s="29"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24"/>
      <c r="D269" s="24"/>
      <c r="J269" s="31"/>
      <c r="K269" s="31"/>
      <c r="L269" s="31"/>
      <c r="M269" s="31"/>
      <c r="N269" s="31"/>
      <c r="O269" s="31"/>
      <c r="P269" s="31"/>
      <c r="Q269" s="31"/>
      <c r="R269" s="31"/>
      <c r="S269" s="31"/>
      <c r="T269" s="28">
        <f t="shared" si="5"/>
        <v>0</v>
      </c>
      <c r="U269" s="28"/>
      <c r="W269" s="29" t="str">
        <f t="array" ref="W269">MID(";"&amp;'CASE DATA'!$F269&amp;";",SMALL(IF(ISERROR(SEARCH(MID(";"&amp;'CASE DATA'!$F269&amp;";",ROW($1:$99),1),";")),"",ROW($1:$99)+1),COLUMN(A269)),SMALL(IF(ISERROR(SEARCH(MID(";"&amp;'CASE DATA'!$F269&amp;";",ROW($1:$99),1),";")),"",ROW($1:$99)),COLUMN(A268)+1)-SMALL(IF(ISERROR(SEARCH(MID(";"&amp;'CASE DATA'!$F269&amp;";",ROW($1:$99),1),";")),"",ROW($1:$99)),COLUMN(A268))-1)</f>
        <v/>
      </c>
      <c r="X269" s="29" t="str">
        <f t="array" ref="X269">MID(";"&amp;'CASE DATA'!$F269&amp;";",SMALL(IF(ISERROR(SEARCH(MID(";"&amp;'CASE DATA'!$F269&amp;";",ROW($1:$99),1),";")),"",ROW($1:$99)+1),COLUMN(B269)),SMALL(IF(ISERROR(SEARCH(MID(";"&amp;'CASE DATA'!$F269&amp;";",ROW($1:$99),1),";")),"",ROW($1:$99)),COLUMN(B268)+1)-SMALL(IF(ISERROR(SEARCH(MID(";"&amp;'CASE DATA'!$F269&amp;";",ROW($1:$99),1),";")),"",ROW($1:$99)),COLUMN(B268))-1)</f>
        <v/>
      </c>
      <c r="Y269" s="29" t="str">
        <f t="array" ref="Y269">MID(";"&amp;'CASE DATA'!$F269&amp;";",SMALL(IF(ISERROR(SEARCH(MID(";"&amp;'CASE DATA'!$F269&amp;";",ROW($1:$99),1),";")),"",ROW($1:$99)+1),COLUMN(D269)),SMALL(IF(ISERROR(SEARCH(MID(";"&amp;'CASE DATA'!$F269&amp;";",ROW($1:$99),1),";")),"",ROW($1:$99)),COLUMN(D268)+1)-SMALL(IF(ISERROR(SEARCH(MID(";"&amp;'CASE DATA'!$F269&amp;";",ROW($1:$99),1),";")),"",ROW($1:$99)),COLUMN(D268))-1)</f>
        <v/>
      </c>
      <c r="Z269" s="29" t="str">
        <f t="array" ref="Z269">MID(";"&amp;'CASE DATA'!$F269&amp;";",SMALL(IF(ISERROR(SEARCH(MID(";"&amp;'CASE DATA'!$F269&amp;";",ROW($1:$99),1),";")),"",ROW($1:$99)+1),COLUMN(E269)),SMALL(IF(ISERROR(SEARCH(MID(";"&amp;'CASE DATA'!$F269&amp;";",ROW($1:$99),1),";")),"",ROW($1:$99)),COLUMN(E268)+1)-SMALL(IF(ISERROR(SEARCH(MID(";"&amp;'CASE DATA'!$F269&amp;";",ROW($1:$99),1),";")),"",ROW($1:$99)),COLUMN(E268))-1)</f>
        <v/>
      </c>
      <c r="AA269" s="29" t="str">
        <f t="array" ref="AA269">MID(";"&amp;'CASE DATA'!$F269&amp;";",SMALL(IF(ISERROR(SEARCH(MID(";"&amp;'CASE DATA'!$F269&amp;";",ROW($1:$99),1),";")),"",ROW($1:$99)+1),COLUMN(F269)),SMALL(IF(ISERROR(SEARCH(MID(";"&amp;'CASE DATA'!$F269&amp;";",ROW($1:$99),1),";")),"",ROW($1:$99)),COLUMN(F268)+1)-SMALL(IF(ISERROR(SEARCH(MID(";"&amp;'CASE DATA'!$F269&amp;";",ROW($1:$99),1),";")),"",ROW($1:$99)),COLUMN(F268))-1)</f>
        <v/>
      </c>
      <c r="AB269" s="29" t="str">
        <f t="array" ref="AB269">MID(";"&amp;'CASE DATA'!$F269&amp;";",SMALL(IF(ISERROR(SEARCH(MID(";"&amp;'CASE DATA'!$F269&amp;";",ROW($1:$99),1),";")),"",ROW($1:$99)+1),COLUMN(G269)),SMALL(IF(ISERROR(SEARCH(MID(";"&amp;'CASE DATA'!$F269&amp;";",ROW($1:$99),1),";")),"",ROW($1:$99)),COLUMN(G268)+1)-SMALL(IF(ISERROR(SEARCH(MID(";"&amp;'CASE DATA'!$F269&amp;";",ROW($1:$99),1),";")),"",ROW($1:$99)),COLUMN(G268))-1)</f>
        <v/>
      </c>
      <c r="AC269" s="29" t="str">
        <f t="array" ref="AC269">MID(";"&amp;'CASE DATA'!$F269&amp;";",SMALL(IF(ISERROR(SEARCH(MID(";"&amp;'CASE DATA'!$F269&amp;";",ROW($1:$99),1),";")),"",ROW($1:$99)+1),COLUMN(H269)),SMALL(IF(ISERROR(SEARCH(MID(";"&amp;'CASE DATA'!$F269&amp;";",ROW($1:$99),1),";")),"",ROW($1:$99)),COLUMN(H268)+1)-SMALL(IF(ISERROR(SEARCH(MID(";"&amp;'CASE DATA'!$F269&amp;";",ROW($1:$99),1),";")),"",ROW($1:$99)),COLUMN(H268))-1)</f>
        <v/>
      </c>
      <c r="AD269" s="29" t="str">
        <f t="array" ref="AD269">MID(";"&amp;'CASE DATA'!$F269&amp;";",SMALL(IF(ISERROR(SEARCH(MID(";"&amp;'CASE DATA'!$F269&amp;";",ROW($1:$99),1),";")),"",ROW($1:$99)+1),COLUMN(I269)),SMALL(IF(ISERROR(SEARCH(MID(";"&amp;'CASE DATA'!$F269&amp;";",ROW($1:$99),1),";")),"",ROW($1:$99)),COLUMN(I268)+1)-SMALL(IF(ISERROR(SEARCH(MID(";"&amp;'CASE DATA'!$F269&amp;";",ROW($1:$99),1),";")),"",ROW($1:$99)),COLUMN(I268))-1)</f>
        <v/>
      </c>
      <c r="AE269" s="29" t="str">
        <f t="array" ref="AE269">MID(";"&amp;'CASE DATA'!$F269&amp;";",SMALL(IF(ISERROR(SEARCH(MID(";"&amp;'CASE DATA'!$F269&amp;";",ROW($1:$99),1),";")),"",ROW($1:$99)+1),COLUMN(J269)),SMALL(IF(ISERROR(SEARCH(MID(";"&amp;'CASE DATA'!$F269&amp;";",ROW($1:$99),1),";")),"",ROW($1:$99)),COLUMN(J268)+1)-SMALL(IF(ISERROR(SEARCH(MID(";"&amp;'CASE DATA'!$F269&amp;";",ROW($1:$99),1),";")),"",ROW($1:$99)),COLUMN(J268))-1)</f>
        <v/>
      </c>
      <c r="AF269" s="29" t="str">
        <f t="array" ref="AF269">MID(";"&amp;'CASE DATA'!$F269&amp;";",SMALL(IF(ISERROR(SEARCH(MID(";"&amp;'CASE DATA'!$F269&amp;";",ROW($1:$99),1),";")),"",ROW($1:$99)+1),COLUMN(K269)),SMALL(IF(ISERROR(SEARCH(MID(";"&amp;'CASE DATA'!$F269&amp;";",ROW($1:$99),1),";")),"",ROW($1:$99)),COLUMN(K268)+1)-SMALL(IF(ISERROR(SEARCH(MID(";"&amp;'CASE DATA'!$F269&amp;";",ROW($1:$99),1),";")),"",ROW($1:$99)),COLUMN(K268))-1)</f>
        <v/>
      </c>
      <c r="AG269" s="29" t="str">
        <f t="array" ref="AG269">MID(";"&amp;'CASE DATA'!$F269&amp;";",SMALL(IF(ISERROR(SEARCH(MID(";"&amp;'CASE DATA'!$F269&amp;";",ROW($1:$99),1),";")),"",ROW($1:$99)+1),COLUMN(L269)),SMALL(IF(ISERROR(SEARCH(MID(";"&amp;'CASE DATA'!$F269&amp;";",ROW($1:$99),1),";")),"",ROW($1:$99)),COLUMN(L268)+1)-SMALL(IF(ISERROR(SEARCH(MID(";"&amp;'CASE DATA'!$F269&amp;";",ROW($1:$99),1),";")),"",ROW($1:$99)),COLUMN(L268))-1)</f>
        <v/>
      </c>
      <c r="AH269" s="29"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24"/>
      <c r="D270" s="24"/>
      <c r="J270" s="31"/>
      <c r="K270" s="31"/>
      <c r="L270" s="31"/>
      <c r="M270" s="31"/>
      <c r="N270" s="31"/>
      <c r="O270" s="31"/>
      <c r="P270" s="31"/>
      <c r="Q270" s="31"/>
      <c r="R270" s="31"/>
      <c r="S270" s="31"/>
      <c r="T270" s="28">
        <f t="shared" si="5"/>
        <v>0</v>
      </c>
      <c r="U270" s="28"/>
      <c r="W270" s="29" t="str">
        <f t="array" ref="W270">MID(";"&amp;'CASE DATA'!$F270&amp;";",SMALL(IF(ISERROR(SEARCH(MID(";"&amp;'CASE DATA'!$F270&amp;";",ROW($1:$99),1),";")),"",ROW($1:$99)+1),COLUMN(A270)),SMALL(IF(ISERROR(SEARCH(MID(";"&amp;'CASE DATA'!$F270&amp;";",ROW($1:$99),1),";")),"",ROW($1:$99)),COLUMN(A269)+1)-SMALL(IF(ISERROR(SEARCH(MID(";"&amp;'CASE DATA'!$F270&amp;";",ROW($1:$99),1),";")),"",ROW($1:$99)),COLUMN(A269))-1)</f>
        <v/>
      </c>
      <c r="X270" s="29" t="str">
        <f t="array" ref="X270">MID(";"&amp;'CASE DATA'!$F270&amp;";",SMALL(IF(ISERROR(SEARCH(MID(";"&amp;'CASE DATA'!$F270&amp;";",ROW($1:$99),1),";")),"",ROW($1:$99)+1),COLUMN(B270)),SMALL(IF(ISERROR(SEARCH(MID(";"&amp;'CASE DATA'!$F270&amp;";",ROW($1:$99),1),";")),"",ROW($1:$99)),COLUMN(B269)+1)-SMALL(IF(ISERROR(SEARCH(MID(";"&amp;'CASE DATA'!$F270&amp;";",ROW($1:$99),1),";")),"",ROW($1:$99)),COLUMN(B269))-1)</f>
        <v/>
      </c>
      <c r="Y270" s="29" t="str">
        <f t="array" ref="Y270">MID(";"&amp;'CASE DATA'!$F270&amp;";",SMALL(IF(ISERROR(SEARCH(MID(";"&amp;'CASE DATA'!$F270&amp;";",ROW($1:$99),1),";")),"",ROW($1:$99)+1),COLUMN(D270)),SMALL(IF(ISERROR(SEARCH(MID(";"&amp;'CASE DATA'!$F270&amp;";",ROW($1:$99),1),";")),"",ROW($1:$99)),COLUMN(D269)+1)-SMALL(IF(ISERROR(SEARCH(MID(";"&amp;'CASE DATA'!$F270&amp;";",ROW($1:$99),1),";")),"",ROW($1:$99)),COLUMN(D269))-1)</f>
        <v/>
      </c>
      <c r="Z270" s="29" t="str">
        <f t="array" ref="Z270">MID(";"&amp;'CASE DATA'!$F270&amp;";",SMALL(IF(ISERROR(SEARCH(MID(";"&amp;'CASE DATA'!$F270&amp;";",ROW($1:$99),1),";")),"",ROW($1:$99)+1),COLUMN(E270)),SMALL(IF(ISERROR(SEARCH(MID(";"&amp;'CASE DATA'!$F270&amp;";",ROW($1:$99),1),";")),"",ROW($1:$99)),COLUMN(E269)+1)-SMALL(IF(ISERROR(SEARCH(MID(";"&amp;'CASE DATA'!$F270&amp;";",ROW($1:$99),1),";")),"",ROW($1:$99)),COLUMN(E269))-1)</f>
        <v/>
      </c>
      <c r="AA270" s="29" t="str">
        <f t="array" ref="AA270">MID(";"&amp;'CASE DATA'!$F270&amp;";",SMALL(IF(ISERROR(SEARCH(MID(";"&amp;'CASE DATA'!$F270&amp;";",ROW($1:$99),1),";")),"",ROW($1:$99)+1),COLUMN(F270)),SMALL(IF(ISERROR(SEARCH(MID(";"&amp;'CASE DATA'!$F270&amp;";",ROW($1:$99),1),";")),"",ROW($1:$99)),COLUMN(F269)+1)-SMALL(IF(ISERROR(SEARCH(MID(";"&amp;'CASE DATA'!$F270&amp;";",ROW($1:$99),1),";")),"",ROW($1:$99)),COLUMN(F269))-1)</f>
        <v/>
      </c>
      <c r="AB270" s="29" t="str">
        <f t="array" ref="AB270">MID(";"&amp;'CASE DATA'!$F270&amp;";",SMALL(IF(ISERROR(SEARCH(MID(";"&amp;'CASE DATA'!$F270&amp;";",ROW($1:$99),1),";")),"",ROW($1:$99)+1),COLUMN(G270)),SMALL(IF(ISERROR(SEARCH(MID(";"&amp;'CASE DATA'!$F270&amp;";",ROW($1:$99),1),";")),"",ROW($1:$99)),COLUMN(G269)+1)-SMALL(IF(ISERROR(SEARCH(MID(";"&amp;'CASE DATA'!$F270&amp;";",ROW($1:$99),1),";")),"",ROW($1:$99)),COLUMN(G269))-1)</f>
        <v/>
      </c>
      <c r="AC270" s="29" t="str">
        <f t="array" ref="AC270">MID(";"&amp;'CASE DATA'!$F270&amp;";",SMALL(IF(ISERROR(SEARCH(MID(";"&amp;'CASE DATA'!$F270&amp;";",ROW($1:$99),1),";")),"",ROW($1:$99)+1),COLUMN(H270)),SMALL(IF(ISERROR(SEARCH(MID(";"&amp;'CASE DATA'!$F270&amp;";",ROW($1:$99),1),";")),"",ROW($1:$99)),COLUMN(H269)+1)-SMALL(IF(ISERROR(SEARCH(MID(";"&amp;'CASE DATA'!$F270&amp;";",ROW($1:$99),1),";")),"",ROW($1:$99)),COLUMN(H269))-1)</f>
        <v/>
      </c>
      <c r="AD270" s="29" t="str">
        <f t="array" ref="AD270">MID(";"&amp;'CASE DATA'!$F270&amp;";",SMALL(IF(ISERROR(SEARCH(MID(";"&amp;'CASE DATA'!$F270&amp;";",ROW($1:$99),1),";")),"",ROW($1:$99)+1),COLUMN(I270)),SMALL(IF(ISERROR(SEARCH(MID(";"&amp;'CASE DATA'!$F270&amp;";",ROW($1:$99),1),";")),"",ROW($1:$99)),COLUMN(I269)+1)-SMALL(IF(ISERROR(SEARCH(MID(";"&amp;'CASE DATA'!$F270&amp;";",ROW($1:$99),1),";")),"",ROW($1:$99)),COLUMN(I269))-1)</f>
        <v/>
      </c>
      <c r="AE270" s="29" t="str">
        <f t="array" ref="AE270">MID(";"&amp;'CASE DATA'!$F270&amp;";",SMALL(IF(ISERROR(SEARCH(MID(";"&amp;'CASE DATA'!$F270&amp;";",ROW($1:$99),1),";")),"",ROW($1:$99)+1),COLUMN(J270)),SMALL(IF(ISERROR(SEARCH(MID(";"&amp;'CASE DATA'!$F270&amp;";",ROW($1:$99),1),";")),"",ROW($1:$99)),COLUMN(J269)+1)-SMALL(IF(ISERROR(SEARCH(MID(";"&amp;'CASE DATA'!$F270&amp;";",ROW($1:$99),1),";")),"",ROW($1:$99)),COLUMN(J269))-1)</f>
        <v/>
      </c>
      <c r="AF270" s="29" t="str">
        <f t="array" ref="AF270">MID(";"&amp;'CASE DATA'!$F270&amp;";",SMALL(IF(ISERROR(SEARCH(MID(";"&amp;'CASE DATA'!$F270&amp;";",ROW($1:$99),1),";")),"",ROW($1:$99)+1),COLUMN(K270)),SMALL(IF(ISERROR(SEARCH(MID(";"&amp;'CASE DATA'!$F270&amp;";",ROW($1:$99),1),";")),"",ROW($1:$99)),COLUMN(K269)+1)-SMALL(IF(ISERROR(SEARCH(MID(";"&amp;'CASE DATA'!$F270&amp;";",ROW($1:$99),1),";")),"",ROW($1:$99)),COLUMN(K269))-1)</f>
        <v/>
      </c>
      <c r="AG270" s="29" t="str">
        <f t="array" ref="AG270">MID(";"&amp;'CASE DATA'!$F270&amp;";",SMALL(IF(ISERROR(SEARCH(MID(";"&amp;'CASE DATA'!$F270&amp;";",ROW($1:$99),1),";")),"",ROW($1:$99)+1),COLUMN(L270)),SMALL(IF(ISERROR(SEARCH(MID(";"&amp;'CASE DATA'!$F270&amp;";",ROW($1:$99),1),";")),"",ROW($1:$99)),COLUMN(L269)+1)-SMALL(IF(ISERROR(SEARCH(MID(";"&amp;'CASE DATA'!$F270&amp;";",ROW($1:$99),1),";")),"",ROW($1:$99)),COLUMN(L269))-1)</f>
        <v/>
      </c>
      <c r="AH270" s="29"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24"/>
      <c r="D271" s="24"/>
      <c r="J271" s="31"/>
      <c r="K271" s="31"/>
      <c r="L271" s="31"/>
      <c r="M271" s="31"/>
      <c r="N271" s="31"/>
      <c r="O271" s="31"/>
      <c r="P271" s="31"/>
      <c r="Q271" s="31"/>
      <c r="R271" s="31"/>
      <c r="S271" s="31"/>
      <c r="T271" s="28">
        <f t="shared" si="5"/>
        <v>0</v>
      </c>
      <c r="U271" s="28"/>
      <c r="W271" s="29" t="str">
        <f t="array" ref="W271">MID(";"&amp;'CASE DATA'!$F271&amp;";",SMALL(IF(ISERROR(SEARCH(MID(";"&amp;'CASE DATA'!$F271&amp;";",ROW($1:$99),1),";")),"",ROW($1:$99)+1),COLUMN(A271)),SMALL(IF(ISERROR(SEARCH(MID(";"&amp;'CASE DATA'!$F271&amp;";",ROW($1:$99),1),";")),"",ROW($1:$99)),COLUMN(A270)+1)-SMALL(IF(ISERROR(SEARCH(MID(";"&amp;'CASE DATA'!$F271&amp;";",ROW($1:$99),1),";")),"",ROW($1:$99)),COLUMN(A270))-1)</f>
        <v/>
      </c>
      <c r="X271" s="29" t="str">
        <f t="array" ref="X271">MID(";"&amp;'CASE DATA'!$F271&amp;";",SMALL(IF(ISERROR(SEARCH(MID(";"&amp;'CASE DATA'!$F271&amp;";",ROW($1:$99),1),";")),"",ROW($1:$99)+1),COLUMN(B271)),SMALL(IF(ISERROR(SEARCH(MID(";"&amp;'CASE DATA'!$F271&amp;";",ROW($1:$99),1),";")),"",ROW($1:$99)),COLUMN(B270)+1)-SMALL(IF(ISERROR(SEARCH(MID(";"&amp;'CASE DATA'!$F271&amp;";",ROW($1:$99),1),";")),"",ROW($1:$99)),COLUMN(B270))-1)</f>
        <v/>
      </c>
      <c r="Y271" s="29" t="str">
        <f t="array" ref="Y271">MID(";"&amp;'CASE DATA'!$F271&amp;";",SMALL(IF(ISERROR(SEARCH(MID(";"&amp;'CASE DATA'!$F271&amp;";",ROW($1:$99),1),";")),"",ROW($1:$99)+1),COLUMN(D271)),SMALL(IF(ISERROR(SEARCH(MID(";"&amp;'CASE DATA'!$F271&amp;";",ROW($1:$99),1),";")),"",ROW($1:$99)),COLUMN(D270)+1)-SMALL(IF(ISERROR(SEARCH(MID(";"&amp;'CASE DATA'!$F271&amp;";",ROW($1:$99),1),";")),"",ROW($1:$99)),COLUMN(D270))-1)</f>
        <v/>
      </c>
      <c r="Z271" s="29" t="str">
        <f t="array" ref="Z271">MID(";"&amp;'CASE DATA'!$F271&amp;";",SMALL(IF(ISERROR(SEARCH(MID(";"&amp;'CASE DATA'!$F271&amp;";",ROW($1:$99),1),";")),"",ROW($1:$99)+1),COLUMN(E271)),SMALL(IF(ISERROR(SEARCH(MID(";"&amp;'CASE DATA'!$F271&amp;";",ROW($1:$99),1),";")),"",ROW($1:$99)),COLUMN(E270)+1)-SMALL(IF(ISERROR(SEARCH(MID(";"&amp;'CASE DATA'!$F271&amp;";",ROW($1:$99),1),";")),"",ROW($1:$99)),COLUMN(E270))-1)</f>
        <v/>
      </c>
      <c r="AA271" s="29" t="str">
        <f t="array" ref="AA271">MID(";"&amp;'CASE DATA'!$F271&amp;";",SMALL(IF(ISERROR(SEARCH(MID(";"&amp;'CASE DATA'!$F271&amp;";",ROW($1:$99),1),";")),"",ROW($1:$99)+1),COLUMN(F271)),SMALL(IF(ISERROR(SEARCH(MID(";"&amp;'CASE DATA'!$F271&amp;";",ROW($1:$99),1),";")),"",ROW($1:$99)),COLUMN(F270)+1)-SMALL(IF(ISERROR(SEARCH(MID(";"&amp;'CASE DATA'!$F271&amp;";",ROW($1:$99),1),";")),"",ROW($1:$99)),COLUMN(F270))-1)</f>
        <v/>
      </c>
      <c r="AB271" s="29" t="str">
        <f t="array" ref="AB271">MID(";"&amp;'CASE DATA'!$F271&amp;";",SMALL(IF(ISERROR(SEARCH(MID(";"&amp;'CASE DATA'!$F271&amp;";",ROW($1:$99),1),";")),"",ROW($1:$99)+1),COLUMN(G271)),SMALL(IF(ISERROR(SEARCH(MID(";"&amp;'CASE DATA'!$F271&amp;";",ROW($1:$99),1),";")),"",ROW($1:$99)),COLUMN(G270)+1)-SMALL(IF(ISERROR(SEARCH(MID(";"&amp;'CASE DATA'!$F271&amp;";",ROW($1:$99),1),";")),"",ROW($1:$99)),COLUMN(G270))-1)</f>
        <v/>
      </c>
      <c r="AC271" s="29" t="str">
        <f t="array" ref="AC271">MID(";"&amp;'CASE DATA'!$F271&amp;";",SMALL(IF(ISERROR(SEARCH(MID(";"&amp;'CASE DATA'!$F271&amp;";",ROW($1:$99),1),";")),"",ROW($1:$99)+1),COLUMN(H271)),SMALL(IF(ISERROR(SEARCH(MID(";"&amp;'CASE DATA'!$F271&amp;";",ROW($1:$99),1),";")),"",ROW($1:$99)),COLUMN(H270)+1)-SMALL(IF(ISERROR(SEARCH(MID(";"&amp;'CASE DATA'!$F271&amp;";",ROW($1:$99),1),";")),"",ROW($1:$99)),COLUMN(H270))-1)</f>
        <v/>
      </c>
      <c r="AD271" s="29" t="str">
        <f t="array" ref="AD271">MID(";"&amp;'CASE DATA'!$F271&amp;";",SMALL(IF(ISERROR(SEARCH(MID(";"&amp;'CASE DATA'!$F271&amp;";",ROW($1:$99),1),";")),"",ROW($1:$99)+1),COLUMN(I271)),SMALL(IF(ISERROR(SEARCH(MID(";"&amp;'CASE DATA'!$F271&amp;";",ROW($1:$99),1),";")),"",ROW($1:$99)),COLUMN(I270)+1)-SMALL(IF(ISERROR(SEARCH(MID(";"&amp;'CASE DATA'!$F271&amp;";",ROW($1:$99),1),";")),"",ROW($1:$99)),COLUMN(I270))-1)</f>
        <v/>
      </c>
      <c r="AE271" s="29" t="str">
        <f t="array" ref="AE271">MID(";"&amp;'CASE DATA'!$F271&amp;";",SMALL(IF(ISERROR(SEARCH(MID(";"&amp;'CASE DATA'!$F271&amp;";",ROW($1:$99),1),";")),"",ROW($1:$99)+1),COLUMN(J271)),SMALL(IF(ISERROR(SEARCH(MID(";"&amp;'CASE DATA'!$F271&amp;";",ROW($1:$99),1),";")),"",ROW($1:$99)),COLUMN(J270)+1)-SMALL(IF(ISERROR(SEARCH(MID(";"&amp;'CASE DATA'!$F271&amp;";",ROW($1:$99),1),";")),"",ROW($1:$99)),COLUMN(J270))-1)</f>
        <v/>
      </c>
      <c r="AF271" s="29" t="str">
        <f t="array" ref="AF271">MID(";"&amp;'CASE DATA'!$F271&amp;";",SMALL(IF(ISERROR(SEARCH(MID(";"&amp;'CASE DATA'!$F271&amp;";",ROW($1:$99),1),";")),"",ROW($1:$99)+1),COLUMN(K271)),SMALL(IF(ISERROR(SEARCH(MID(";"&amp;'CASE DATA'!$F271&amp;";",ROW($1:$99),1),";")),"",ROW($1:$99)),COLUMN(K270)+1)-SMALL(IF(ISERROR(SEARCH(MID(";"&amp;'CASE DATA'!$F271&amp;";",ROW($1:$99),1),";")),"",ROW($1:$99)),COLUMN(K270))-1)</f>
        <v/>
      </c>
      <c r="AG271" s="29" t="str">
        <f t="array" ref="AG271">MID(";"&amp;'CASE DATA'!$F271&amp;";",SMALL(IF(ISERROR(SEARCH(MID(";"&amp;'CASE DATA'!$F271&amp;";",ROW($1:$99),1),";")),"",ROW($1:$99)+1),COLUMN(L271)),SMALL(IF(ISERROR(SEARCH(MID(";"&amp;'CASE DATA'!$F271&amp;";",ROW($1:$99),1),";")),"",ROW($1:$99)),COLUMN(L270)+1)-SMALL(IF(ISERROR(SEARCH(MID(";"&amp;'CASE DATA'!$F271&amp;";",ROW($1:$99),1),";")),"",ROW($1:$99)),COLUMN(L270))-1)</f>
        <v/>
      </c>
      <c r="AH271" s="29"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24"/>
      <c r="D272" s="24"/>
      <c r="J272" s="31"/>
      <c r="K272" s="31"/>
      <c r="L272" s="31"/>
      <c r="M272" s="31"/>
      <c r="N272" s="31"/>
      <c r="O272" s="31"/>
      <c r="P272" s="31"/>
      <c r="Q272" s="31"/>
      <c r="R272" s="31"/>
      <c r="S272" s="31"/>
      <c r="T272" s="28">
        <f t="shared" si="5"/>
        <v>0</v>
      </c>
      <c r="U272" s="28"/>
      <c r="W272" s="29" t="str">
        <f t="array" ref="W272">MID(";"&amp;'CASE DATA'!$F272&amp;";",SMALL(IF(ISERROR(SEARCH(MID(";"&amp;'CASE DATA'!$F272&amp;";",ROW($1:$99),1),";")),"",ROW($1:$99)+1),COLUMN(A272)),SMALL(IF(ISERROR(SEARCH(MID(";"&amp;'CASE DATA'!$F272&amp;";",ROW($1:$99),1),";")),"",ROW($1:$99)),COLUMN(A271)+1)-SMALL(IF(ISERROR(SEARCH(MID(";"&amp;'CASE DATA'!$F272&amp;";",ROW($1:$99),1),";")),"",ROW($1:$99)),COLUMN(A271))-1)</f>
        <v/>
      </c>
      <c r="X272" s="29" t="str">
        <f t="array" ref="X272">MID(";"&amp;'CASE DATA'!$F272&amp;";",SMALL(IF(ISERROR(SEARCH(MID(";"&amp;'CASE DATA'!$F272&amp;";",ROW($1:$99),1),";")),"",ROW($1:$99)+1),COLUMN(B272)),SMALL(IF(ISERROR(SEARCH(MID(";"&amp;'CASE DATA'!$F272&amp;";",ROW($1:$99),1),";")),"",ROW($1:$99)),COLUMN(B271)+1)-SMALL(IF(ISERROR(SEARCH(MID(";"&amp;'CASE DATA'!$F272&amp;";",ROW($1:$99),1),";")),"",ROW($1:$99)),COLUMN(B271))-1)</f>
        <v/>
      </c>
      <c r="Y272" s="29" t="str">
        <f t="array" ref="Y272">MID(";"&amp;'CASE DATA'!$F272&amp;";",SMALL(IF(ISERROR(SEARCH(MID(";"&amp;'CASE DATA'!$F272&amp;";",ROW($1:$99),1),";")),"",ROW($1:$99)+1),COLUMN(D272)),SMALL(IF(ISERROR(SEARCH(MID(";"&amp;'CASE DATA'!$F272&amp;";",ROW($1:$99),1),";")),"",ROW($1:$99)),COLUMN(D271)+1)-SMALL(IF(ISERROR(SEARCH(MID(";"&amp;'CASE DATA'!$F272&amp;";",ROW($1:$99),1),";")),"",ROW($1:$99)),COLUMN(D271))-1)</f>
        <v/>
      </c>
      <c r="Z272" s="29" t="str">
        <f t="array" ref="Z272">MID(";"&amp;'CASE DATA'!$F272&amp;";",SMALL(IF(ISERROR(SEARCH(MID(";"&amp;'CASE DATA'!$F272&amp;";",ROW($1:$99),1),";")),"",ROW($1:$99)+1),COLUMN(E272)),SMALL(IF(ISERROR(SEARCH(MID(";"&amp;'CASE DATA'!$F272&amp;";",ROW($1:$99),1),";")),"",ROW($1:$99)),COLUMN(E271)+1)-SMALL(IF(ISERROR(SEARCH(MID(";"&amp;'CASE DATA'!$F272&amp;";",ROW($1:$99),1),";")),"",ROW($1:$99)),COLUMN(E271))-1)</f>
        <v/>
      </c>
      <c r="AA272" s="29" t="str">
        <f t="array" ref="AA272">MID(";"&amp;'CASE DATA'!$F272&amp;";",SMALL(IF(ISERROR(SEARCH(MID(";"&amp;'CASE DATA'!$F272&amp;";",ROW($1:$99),1),";")),"",ROW($1:$99)+1),COLUMN(F272)),SMALL(IF(ISERROR(SEARCH(MID(";"&amp;'CASE DATA'!$F272&amp;";",ROW($1:$99),1),";")),"",ROW($1:$99)),COLUMN(F271)+1)-SMALL(IF(ISERROR(SEARCH(MID(";"&amp;'CASE DATA'!$F272&amp;";",ROW($1:$99),1),";")),"",ROW($1:$99)),COLUMN(F271))-1)</f>
        <v/>
      </c>
      <c r="AB272" s="29" t="str">
        <f t="array" ref="AB272">MID(";"&amp;'CASE DATA'!$F272&amp;";",SMALL(IF(ISERROR(SEARCH(MID(";"&amp;'CASE DATA'!$F272&amp;";",ROW($1:$99),1),";")),"",ROW($1:$99)+1),COLUMN(G272)),SMALL(IF(ISERROR(SEARCH(MID(";"&amp;'CASE DATA'!$F272&amp;";",ROW($1:$99),1),";")),"",ROW($1:$99)),COLUMN(G271)+1)-SMALL(IF(ISERROR(SEARCH(MID(";"&amp;'CASE DATA'!$F272&amp;";",ROW($1:$99),1),";")),"",ROW($1:$99)),COLUMN(G271))-1)</f>
        <v/>
      </c>
      <c r="AC272" s="29" t="str">
        <f t="array" ref="AC272">MID(";"&amp;'CASE DATA'!$F272&amp;";",SMALL(IF(ISERROR(SEARCH(MID(";"&amp;'CASE DATA'!$F272&amp;";",ROW($1:$99),1),";")),"",ROW($1:$99)+1),COLUMN(H272)),SMALL(IF(ISERROR(SEARCH(MID(";"&amp;'CASE DATA'!$F272&amp;";",ROW($1:$99),1),";")),"",ROW($1:$99)),COLUMN(H271)+1)-SMALL(IF(ISERROR(SEARCH(MID(";"&amp;'CASE DATA'!$F272&amp;";",ROW($1:$99),1),";")),"",ROW($1:$99)),COLUMN(H271))-1)</f>
        <v/>
      </c>
      <c r="AD272" s="29" t="str">
        <f t="array" ref="AD272">MID(";"&amp;'CASE DATA'!$F272&amp;";",SMALL(IF(ISERROR(SEARCH(MID(";"&amp;'CASE DATA'!$F272&amp;";",ROW($1:$99),1),";")),"",ROW($1:$99)+1),COLUMN(I272)),SMALL(IF(ISERROR(SEARCH(MID(";"&amp;'CASE DATA'!$F272&amp;";",ROW($1:$99),1),";")),"",ROW($1:$99)),COLUMN(I271)+1)-SMALL(IF(ISERROR(SEARCH(MID(";"&amp;'CASE DATA'!$F272&amp;";",ROW($1:$99),1),";")),"",ROW($1:$99)),COLUMN(I271))-1)</f>
        <v/>
      </c>
      <c r="AE272" s="29" t="str">
        <f t="array" ref="AE272">MID(";"&amp;'CASE DATA'!$F272&amp;";",SMALL(IF(ISERROR(SEARCH(MID(";"&amp;'CASE DATA'!$F272&amp;";",ROW($1:$99),1),";")),"",ROW($1:$99)+1),COLUMN(J272)),SMALL(IF(ISERROR(SEARCH(MID(";"&amp;'CASE DATA'!$F272&amp;";",ROW($1:$99),1),";")),"",ROW($1:$99)),COLUMN(J271)+1)-SMALL(IF(ISERROR(SEARCH(MID(";"&amp;'CASE DATA'!$F272&amp;";",ROW($1:$99),1),";")),"",ROW($1:$99)),COLUMN(J271))-1)</f>
        <v/>
      </c>
      <c r="AF272" s="29" t="str">
        <f t="array" ref="AF272">MID(";"&amp;'CASE DATA'!$F272&amp;";",SMALL(IF(ISERROR(SEARCH(MID(";"&amp;'CASE DATA'!$F272&amp;";",ROW($1:$99),1),";")),"",ROW($1:$99)+1),COLUMN(K272)),SMALL(IF(ISERROR(SEARCH(MID(";"&amp;'CASE DATA'!$F272&amp;";",ROW($1:$99),1),";")),"",ROW($1:$99)),COLUMN(K271)+1)-SMALL(IF(ISERROR(SEARCH(MID(";"&amp;'CASE DATA'!$F272&amp;";",ROW($1:$99),1),";")),"",ROW($1:$99)),COLUMN(K271))-1)</f>
        <v/>
      </c>
      <c r="AG272" s="29" t="str">
        <f t="array" ref="AG272">MID(";"&amp;'CASE DATA'!$F272&amp;";",SMALL(IF(ISERROR(SEARCH(MID(";"&amp;'CASE DATA'!$F272&amp;";",ROW($1:$99),1),";")),"",ROW($1:$99)+1),COLUMN(L272)),SMALL(IF(ISERROR(SEARCH(MID(";"&amp;'CASE DATA'!$F272&amp;";",ROW($1:$99),1),";")),"",ROW($1:$99)),COLUMN(L271)+1)-SMALL(IF(ISERROR(SEARCH(MID(";"&amp;'CASE DATA'!$F272&amp;";",ROW($1:$99),1),";")),"",ROW($1:$99)),COLUMN(L271))-1)</f>
        <v/>
      </c>
      <c r="AH272" s="29"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24"/>
      <c r="D273" s="24"/>
      <c r="J273" s="31"/>
      <c r="K273" s="31"/>
      <c r="L273" s="31"/>
      <c r="M273" s="31"/>
      <c r="N273" s="31"/>
      <c r="O273" s="31"/>
      <c r="P273" s="31"/>
      <c r="Q273" s="31"/>
      <c r="R273" s="31"/>
      <c r="S273" s="31"/>
      <c r="T273" s="28">
        <f t="shared" si="5"/>
        <v>0</v>
      </c>
      <c r="U273" s="28"/>
      <c r="W273" s="29" t="str">
        <f t="array" ref="W273">MID(";"&amp;'CASE DATA'!$F273&amp;";",SMALL(IF(ISERROR(SEARCH(MID(";"&amp;'CASE DATA'!$F273&amp;";",ROW($1:$99),1),";")),"",ROW($1:$99)+1),COLUMN(A273)),SMALL(IF(ISERROR(SEARCH(MID(";"&amp;'CASE DATA'!$F273&amp;";",ROW($1:$99),1),";")),"",ROW($1:$99)),COLUMN(A272)+1)-SMALL(IF(ISERROR(SEARCH(MID(";"&amp;'CASE DATA'!$F273&amp;";",ROW($1:$99),1),";")),"",ROW($1:$99)),COLUMN(A272))-1)</f>
        <v/>
      </c>
      <c r="X273" s="29" t="str">
        <f t="array" ref="X273">MID(";"&amp;'CASE DATA'!$F273&amp;";",SMALL(IF(ISERROR(SEARCH(MID(";"&amp;'CASE DATA'!$F273&amp;";",ROW($1:$99),1),";")),"",ROW($1:$99)+1),COLUMN(B273)),SMALL(IF(ISERROR(SEARCH(MID(";"&amp;'CASE DATA'!$F273&amp;";",ROW($1:$99),1),";")),"",ROW($1:$99)),COLUMN(B272)+1)-SMALL(IF(ISERROR(SEARCH(MID(";"&amp;'CASE DATA'!$F273&amp;";",ROW($1:$99),1),";")),"",ROW($1:$99)),COLUMN(B272))-1)</f>
        <v/>
      </c>
      <c r="Y273" s="29" t="str">
        <f t="array" ref="Y273">MID(";"&amp;'CASE DATA'!$F273&amp;";",SMALL(IF(ISERROR(SEARCH(MID(";"&amp;'CASE DATA'!$F273&amp;";",ROW($1:$99),1),";")),"",ROW($1:$99)+1),COLUMN(D273)),SMALL(IF(ISERROR(SEARCH(MID(";"&amp;'CASE DATA'!$F273&amp;";",ROW($1:$99),1),";")),"",ROW($1:$99)),COLUMN(D272)+1)-SMALL(IF(ISERROR(SEARCH(MID(";"&amp;'CASE DATA'!$F273&amp;";",ROW($1:$99),1),";")),"",ROW($1:$99)),COLUMN(D272))-1)</f>
        <v/>
      </c>
      <c r="Z273" s="29" t="str">
        <f t="array" ref="Z273">MID(";"&amp;'CASE DATA'!$F273&amp;";",SMALL(IF(ISERROR(SEARCH(MID(";"&amp;'CASE DATA'!$F273&amp;";",ROW($1:$99),1),";")),"",ROW($1:$99)+1),COLUMN(E273)),SMALL(IF(ISERROR(SEARCH(MID(";"&amp;'CASE DATA'!$F273&amp;";",ROW($1:$99),1),";")),"",ROW($1:$99)),COLUMN(E272)+1)-SMALL(IF(ISERROR(SEARCH(MID(";"&amp;'CASE DATA'!$F273&amp;";",ROW($1:$99),1),";")),"",ROW($1:$99)),COLUMN(E272))-1)</f>
        <v/>
      </c>
      <c r="AA273" s="29" t="str">
        <f t="array" ref="AA273">MID(";"&amp;'CASE DATA'!$F273&amp;";",SMALL(IF(ISERROR(SEARCH(MID(";"&amp;'CASE DATA'!$F273&amp;";",ROW($1:$99),1),";")),"",ROW($1:$99)+1),COLUMN(F273)),SMALL(IF(ISERROR(SEARCH(MID(";"&amp;'CASE DATA'!$F273&amp;";",ROW($1:$99),1),";")),"",ROW($1:$99)),COLUMN(F272)+1)-SMALL(IF(ISERROR(SEARCH(MID(";"&amp;'CASE DATA'!$F273&amp;";",ROW($1:$99),1),";")),"",ROW($1:$99)),COLUMN(F272))-1)</f>
        <v/>
      </c>
      <c r="AB273" s="29" t="str">
        <f t="array" ref="AB273">MID(";"&amp;'CASE DATA'!$F273&amp;";",SMALL(IF(ISERROR(SEARCH(MID(";"&amp;'CASE DATA'!$F273&amp;";",ROW($1:$99),1),";")),"",ROW($1:$99)+1),COLUMN(G273)),SMALL(IF(ISERROR(SEARCH(MID(";"&amp;'CASE DATA'!$F273&amp;";",ROW($1:$99),1),";")),"",ROW($1:$99)),COLUMN(G272)+1)-SMALL(IF(ISERROR(SEARCH(MID(";"&amp;'CASE DATA'!$F273&amp;";",ROW($1:$99),1),";")),"",ROW($1:$99)),COLUMN(G272))-1)</f>
        <v/>
      </c>
      <c r="AC273" s="29" t="str">
        <f t="array" ref="AC273">MID(";"&amp;'CASE DATA'!$F273&amp;";",SMALL(IF(ISERROR(SEARCH(MID(";"&amp;'CASE DATA'!$F273&amp;";",ROW($1:$99),1),";")),"",ROW($1:$99)+1),COLUMN(H273)),SMALL(IF(ISERROR(SEARCH(MID(";"&amp;'CASE DATA'!$F273&amp;";",ROW($1:$99),1),";")),"",ROW($1:$99)),COLUMN(H272)+1)-SMALL(IF(ISERROR(SEARCH(MID(";"&amp;'CASE DATA'!$F273&amp;";",ROW($1:$99),1),";")),"",ROW($1:$99)),COLUMN(H272))-1)</f>
        <v/>
      </c>
      <c r="AD273" s="29" t="str">
        <f t="array" ref="AD273">MID(";"&amp;'CASE DATA'!$F273&amp;";",SMALL(IF(ISERROR(SEARCH(MID(";"&amp;'CASE DATA'!$F273&amp;";",ROW($1:$99),1),";")),"",ROW($1:$99)+1),COLUMN(I273)),SMALL(IF(ISERROR(SEARCH(MID(";"&amp;'CASE DATA'!$F273&amp;";",ROW($1:$99),1),";")),"",ROW($1:$99)),COLUMN(I272)+1)-SMALL(IF(ISERROR(SEARCH(MID(";"&amp;'CASE DATA'!$F273&amp;";",ROW($1:$99),1),";")),"",ROW($1:$99)),COLUMN(I272))-1)</f>
        <v/>
      </c>
      <c r="AE273" s="29" t="str">
        <f t="array" ref="AE273">MID(";"&amp;'CASE DATA'!$F273&amp;";",SMALL(IF(ISERROR(SEARCH(MID(";"&amp;'CASE DATA'!$F273&amp;";",ROW($1:$99),1),";")),"",ROW($1:$99)+1),COLUMN(J273)),SMALL(IF(ISERROR(SEARCH(MID(";"&amp;'CASE DATA'!$F273&amp;";",ROW($1:$99),1),";")),"",ROW($1:$99)),COLUMN(J272)+1)-SMALL(IF(ISERROR(SEARCH(MID(";"&amp;'CASE DATA'!$F273&amp;";",ROW($1:$99),1),";")),"",ROW($1:$99)),COLUMN(J272))-1)</f>
        <v/>
      </c>
      <c r="AF273" s="29" t="str">
        <f t="array" ref="AF273">MID(";"&amp;'CASE DATA'!$F273&amp;";",SMALL(IF(ISERROR(SEARCH(MID(";"&amp;'CASE DATA'!$F273&amp;";",ROW($1:$99),1),";")),"",ROW($1:$99)+1),COLUMN(K273)),SMALL(IF(ISERROR(SEARCH(MID(";"&amp;'CASE DATA'!$F273&amp;";",ROW($1:$99),1),";")),"",ROW($1:$99)),COLUMN(K272)+1)-SMALL(IF(ISERROR(SEARCH(MID(";"&amp;'CASE DATA'!$F273&amp;";",ROW($1:$99),1),";")),"",ROW($1:$99)),COLUMN(K272))-1)</f>
        <v/>
      </c>
      <c r="AG273" s="29" t="str">
        <f t="array" ref="AG273">MID(";"&amp;'CASE DATA'!$F273&amp;";",SMALL(IF(ISERROR(SEARCH(MID(";"&amp;'CASE DATA'!$F273&amp;";",ROW($1:$99),1),";")),"",ROW($1:$99)+1),COLUMN(L273)),SMALL(IF(ISERROR(SEARCH(MID(";"&amp;'CASE DATA'!$F273&amp;";",ROW($1:$99),1),";")),"",ROW($1:$99)),COLUMN(L272)+1)-SMALL(IF(ISERROR(SEARCH(MID(";"&amp;'CASE DATA'!$F273&amp;";",ROW($1:$99),1),";")),"",ROW($1:$99)),COLUMN(L272))-1)</f>
        <v/>
      </c>
      <c r="AH273" s="29"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24"/>
      <c r="D274" s="24"/>
      <c r="J274" s="31"/>
      <c r="K274" s="31"/>
      <c r="L274" s="31"/>
      <c r="M274" s="31"/>
      <c r="N274" s="31"/>
      <c r="O274" s="31"/>
      <c r="P274" s="31"/>
      <c r="Q274" s="31"/>
      <c r="R274" s="31"/>
      <c r="S274" s="31"/>
      <c r="T274" s="28">
        <f t="shared" si="5"/>
        <v>0</v>
      </c>
      <c r="U274" s="28"/>
      <c r="W274" s="29" t="str">
        <f t="array" ref="W274">MID(";"&amp;'CASE DATA'!$F274&amp;";",SMALL(IF(ISERROR(SEARCH(MID(";"&amp;'CASE DATA'!$F274&amp;";",ROW($1:$99),1),";")),"",ROW($1:$99)+1),COLUMN(A274)),SMALL(IF(ISERROR(SEARCH(MID(";"&amp;'CASE DATA'!$F274&amp;";",ROW($1:$99),1),";")),"",ROW($1:$99)),COLUMN(A273)+1)-SMALL(IF(ISERROR(SEARCH(MID(";"&amp;'CASE DATA'!$F274&amp;";",ROW($1:$99),1),";")),"",ROW($1:$99)),COLUMN(A273))-1)</f>
        <v/>
      </c>
      <c r="X274" s="29" t="str">
        <f t="array" ref="X274">MID(";"&amp;'CASE DATA'!$F274&amp;";",SMALL(IF(ISERROR(SEARCH(MID(";"&amp;'CASE DATA'!$F274&amp;";",ROW($1:$99),1),";")),"",ROW($1:$99)+1),COLUMN(B274)),SMALL(IF(ISERROR(SEARCH(MID(";"&amp;'CASE DATA'!$F274&amp;";",ROW($1:$99),1),";")),"",ROW($1:$99)),COLUMN(B273)+1)-SMALL(IF(ISERROR(SEARCH(MID(";"&amp;'CASE DATA'!$F274&amp;";",ROW($1:$99),1),";")),"",ROW($1:$99)),COLUMN(B273))-1)</f>
        <v/>
      </c>
      <c r="Y274" s="29" t="str">
        <f t="array" ref="Y274">MID(";"&amp;'CASE DATA'!$F274&amp;";",SMALL(IF(ISERROR(SEARCH(MID(";"&amp;'CASE DATA'!$F274&amp;";",ROW($1:$99),1),";")),"",ROW($1:$99)+1),COLUMN(D274)),SMALL(IF(ISERROR(SEARCH(MID(";"&amp;'CASE DATA'!$F274&amp;";",ROW($1:$99),1),";")),"",ROW($1:$99)),COLUMN(D273)+1)-SMALL(IF(ISERROR(SEARCH(MID(";"&amp;'CASE DATA'!$F274&amp;";",ROW($1:$99),1),";")),"",ROW($1:$99)),COLUMN(D273))-1)</f>
        <v/>
      </c>
      <c r="Z274" s="29" t="str">
        <f t="array" ref="Z274">MID(";"&amp;'CASE DATA'!$F274&amp;";",SMALL(IF(ISERROR(SEARCH(MID(";"&amp;'CASE DATA'!$F274&amp;";",ROW($1:$99),1),";")),"",ROW($1:$99)+1),COLUMN(E274)),SMALL(IF(ISERROR(SEARCH(MID(";"&amp;'CASE DATA'!$F274&amp;";",ROW($1:$99),1),";")),"",ROW($1:$99)),COLUMN(E273)+1)-SMALL(IF(ISERROR(SEARCH(MID(";"&amp;'CASE DATA'!$F274&amp;";",ROW($1:$99),1),";")),"",ROW($1:$99)),COLUMN(E273))-1)</f>
        <v/>
      </c>
      <c r="AA274" s="29" t="str">
        <f t="array" ref="AA274">MID(";"&amp;'CASE DATA'!$F274&amp;";",SMALL(IF(ISERROR(SEARCH(MID(";"&amp;'CASE DATA'!$F274&amp;";",ROW($1:$99),1),";")),"",ROW($1:$99)+1),COLUMN(F274)),SMALL(IF(ISERROR(SEARCH(MID(";"&amp;'CASE DATA'!$F274&amp;";",ROW($1:$99),1),";")),"",ROW($1:$99)),COLUMN(F273)+1)-SMALL(IF(ISERROR(SEARCH(MID(";"&amp;'CASE DATA'!$F274&amp;";",ROW($1:$99),1),";")),"",ROW($1:$99)),COLUMN(F273))-1)</f>
        <v/>
      </c>
      <c r="AB274" s="29" t="str">
        <f t="array" ref="AB274">MID(";"&amp;'CASE DATA'!$F274&amp;";",SMALL(IF(ISERROR(SEARCH(MID(";"&amp;'CASE DATA'!$F274&amp;";",ROW($1:$99),1),";")),"",ROW($1:$99)+1),COLUMN(G274)),SMALL(IF(ISERROR(SEARCH(MID(";"&amp;'CASE DATA'!$F274&amp;";",ROW($1:$99),1),";")),"",ROW($1:$99)),COLUMN(G273)+1)-SMALL(IF(ISERROR(SEARCH(MID(";"&amp;'CASE DATA'!$F274&amp;";",ROW($1:$99),1),";")),"",ROW($1:$99)),COLUMN(G273))-1)</f>
        <v/>
      </c>
      <c r="AC274" s="29" t="str">
        <f t="array" ref="AC274">MID(";"&amp;'CASE DATA'!$F274&amp;";",SMALL(IF(ISERROR(SEARCH(MID(";"&amp;'CASE DATA'!$F274&amp;";",ROW($1:$99),1),";")),"",ROW($1:$99)+1),COLUMN(H274)),SMALL(IF(ISERROR(SEARCH(MID(";"&amp;'CASE DATA'!$F274&amp;";",ROW($1:$99),1),";")),"",ROW($1:$99)),COLUMN(H273)+1)-SMALL(IF(ISERROR(SEARCH(MID(";"&amp;'CASE DATA'!$F274&amp;";",ROW($1:$99),1),";")),"",ROW($1:$99)),COLUMN(H273))-1)</f>
        <v/>
      </c>
      <c r="AD274" s="29" t="str">
        <f t="array" ref="AD274">MID(";"&amp;'CASE DATA'!$F274&amp;";",SMALL(IF(ISERROR(SEARCH(MID(";"&amp;'CASE DATA'!$F274&amp;";",ROW($1:$99),1),";")),"",ROW($1:$99)+1),COLUMN(I274)),SMALL(IF(ISERROR(SEARCH(MID(";"&amp;'CASE DATA'!$F274&amp;";",ROW($1:$99),1),";")),"",ROW($1:$99)),COLUMN(I273)+1)-SMALL(IF(ISERROR(SEARCH(MID(";"&amp;'CASE DATA'!$F274&amp;";",ROW($1:$99),1),";")),"",ROW($1:$99)),COLUMN(I273))-1)</f>
        <v/>
      </c>
      <c r="AE274" s="29" t="str">
        <f t="array" ref="AE274">MID(";"&amp;'CASE DATA'!$F274&amp;";",SMALL(IF(ISERROR(SEARCH(MID(";"&amp;'CASE DATA'!$F274&amp;";",ROW($1:$99),1),";")),"",ROW($1:$99)+1),COLUMN(J274)),SMALL(IF(ISERROR(SEARCH(MID(";"&amp;'CASE DATA'!$F274&amp;";",ROW($1:$99),1),";")),"",ROW($1:$99)),COLUMN(J273)+1)-SMALL(IF(ISERROR(SEARCH(MID(";"&amp;'CASE DATA'!$F274&amp;";",ROW($1:$99),1),";")),"",ROW($1:$99)),COLUMN(J273))-1)</f>
        <v/>
      </c>
      <c r="AF274" s="29" t="str">
        <f t="array" ref="AF274">MID(";"&amp;'CASE DATA'!$F274&amp;";",SMALL(IF(ISERROR(SEARCH(MID(";"&amp;'CASE DATA'!$F274&amp;";",ROW($1:$99),1),";")),"",ROW($1:$99)+1),COLUMN(K274)),SMALL(IF(ISERROR(SEARCH(MID(";"&amp;'CASE DATA'!$F274&amp;";",ROW($1:$99),1),";")),"",ROW($1:$99)),COLUMN(K273)+1)-SMALL(IF(ISERROR(SEARCH(MID(";"&amp;'CASE DATA'!$F274&amp;";",ROW($1:$99),1),";")),"",ROW($1:$99)),COLUMN(K273))-1)</f>
        <v/>
      </c>
      <c r="AG274" s="29" t="str">
        <f t="array" ref="AG274">MID(";"&amp;'CASE DATA'!$F274&amp;";",SMALL(IF(ISERROR(SEARCH(MID(";"&amp;'CASE DATA'!$F274&amp;";",ROW($1:$99),1),";")),"",ROW($1:$99)+1),COLUMN(L274)),SMALL(IF(ISERROR(SEARCH(MID(";"&amp;'CASE DATA'!$F274&amp;";",ROW($1:$99),1),";")),"",ROW($1:$99)),COLUMN(L273)+1)-SMALL(IF(ISERROR(SEARCH(MID(";"&amp;'CASE DATA'!$F274&amp;";",ROW($1:$99),1),";")),"",ROW($1:$99)),COLUMN(L273))-1)</f>
        <v/>
      </c>
      <c r="AH274" s="29"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24"/>
      <c r="D275" s="24"/>
      <c r="J275" s="31"/>
      <c r="K275" s="31"/>
      <c r="L275" s="31"/>
      <c r="M275" s="31"/>
      <c r="N275" s="31"/>
      <c r="O275" s="31"/>
      <c r="P275" s="31"/>
      <c r="Q275" s="31"/>
      <c r="R275" s="31"/>
      <c r="S275" s="31"/>
      <c r="T275" s="28">
        <f t="shared" si="5"/>
        <v>0</v>
      </c>
      <c r="U275" s="28"/>
      <c r="W275" s="29" t="str">
        <f t="array" ref="W275">MID(";"&amp;'CASE DATA'!$F275&amp;";",SMALL(IF(ISERROR(SEARCH(MID(";"&amp;'CASE DATA'!$F275&amp;";",ROW($1:$99),1),";")),"",ROW($1:$99)+1),COLUMN(A275)),SMALL(IF(ISERROR(SEARCH(MID(";"&amp;'CASE DATA'!$F275&amp;";",ROW($1:$99),1),";")),"",ROW($1:$99)),COLUMN(A274)+1)-SMALL(IF(ISERROR(SEARCH(MID(";"&amp;'CASE DATA'!$F275&amp;";",ROW($1:$99),1),";")),"",ROW($1:$99)),COLUMN(A274))-1)</f>
        <v/>
      </c>
      <c r="X275" s="29" t="str">
        <f t="array" ref="X275">MID(";"&amp;'CASE DATA'!$F275&amp;";",SMALL(IF(ISERROR(SEARCH(MID(";"&amp;'CASE DATA'!$F275&amp;";",ROW($1:$99),1),";")),"",ROW($1:$99)+1),COLUMN(B275)),SMALL(IF(ISERROR(SEARCH(MID(";"&amp;'CASE DATA'!$F275&amp;";",ROW($1:$99),1),";")),"",ROW($1:$99)),COLUMN(B274)+1)-SMALL(IF(ISERROR(SEARCH(MID(";"&amp;'CASE DATA'!$F275&amp;";",ROW($1:$99),1),";")),"",ROW($1:$99)),COLUMN(B274))-1)</f>
        <v/>
      </c>
      <c r="Y275" s="29" t="str">
        <f t="array" ref="Y275">MID(";"&amp;'CASE DATA'!$F275&amp;";",SMALL(IF(ISERROR(SEARCH(MID(";"&amp;'CASE DATA'!$F275&amp;";",ROW($1:$99),1),";")),"",ROW($1:$99)+1),COLUMN(D275)),SMALL(IF(ISERROR(SEARCH(MID(";"&amp;'CASE DATA'!$F275&amp;";",ROW($1:$99),1),";")),"",ROW($1:$99)),COLUMN(D274)+1)-SMALL(IF(ISERROR(SEARCH(MID(";"&amp;'CASE DATA'!$F275&amp;";",ROW($1:$99),1),";")),"",ROW($1:$99)),COLUMN(D274))-1)</f>
        <v/>
      </c>
      <c r="Z275" s="29" t="str">
        <f t="array" ref="Z275">MID(";"&amp;'CASE DATA'!$F275&amp;";",SMALL(IF(ISERROR(SEARCH(MID(";"&amp;'CASE DATA'!$F275&amp;";",ROW($1:$99),1),";")),"",ROW($1:$99)+1),COLUMN(E275)),SMALL(IF(ISERROR(SEARCH(MID(";"&amp;'CASE DATA'!$F275&amp;";",ROW($1:$99),1),";")),"",ROW($1:$99)),COLUMN(E274)+1)-SMALL(IF(ISERROR(SEARCH(MID(";"&amp;'CASE DATA'!$F275&amp;";",ROW($1:$99),1),";")),"",ROW($1:$99)),COLUMN(E274))-1)</f>
        <v/>
      </c>
      <c r="AA275" s="29" t="str">
        <f t="array" ref="AA275">MID(";"&amp;'CASE DATA'!$F275&amp;";",SMALL(IF(ISERROR(SEARCH(MID(";"&amp;'CASE DATA'!$F275&amp;";",ROW($1:$99),1),";")),"",ROW($1:$99)+1),COLUMN(F275)),SMALL(IF(ISERROR(SEARCH(MID(";"&amp;'CASE DATA'!$F275&amp;";",ROW($1:$99),1),";")),"",ROW($1:$99)),COLUMN(F274)+1)-SMALL(IF(ISERROR(SEARCH(MID(";"&amp;'CASE DATA'!$F275&amp;";",ROW($1:$99),1),";")),"",ROW($1:$99)),COLUMN(F274))-1)</f>
        <v/>
      </c>
      <c r="AB275" s="29" t="str">
        <f t="array" ref="AB275">MID(";"&amp;'CASE DATA'!$F275&amp;";",SMALL(IF(ISERROR(SEARCH(MID(";"&amp;'CASE DATA'!$F275&amp;";",ROW($1:$99),1),";")),"",ROW($1:$99)+1),COLUMN(G275)),SMALL(IF(ISERROR(SEARCH(MID(";"&amp;'CASE DATA'!$F275&amp;";",ROW($1:$99),1),";")),"",ROW($1:$99)),COLUMN(G274)+1)-SMALL(IF(ISERROR(SEARCH(MID(";"&amp;'CASE DATA'!$F275&amp;";",ROW($1:$99),1),";")),"",ROW($1:$99)),COLUMN(G274))-1)</f>
        <v/>
      </c>
      <c r="AC275" s="29" t="str">
        <f t="array" ref="AC275">MID(";"&amp;'CASE DATA'!$F275&amp;";",SMALL(IF(ISERROR(SEARCH(MID(";"&amp;'CASE DATA'!$F275&amp;";",ROW($1:$99),1),";")),"",ROW($1:$99)+1),COLUMN(H275)),SMALL(IF(ISERROR(SEARCH(MID(";"&amp;'CASE DATA'!$F275&amp;";",ROW($1:$99),1),";")),"",ROW($1:$99)),COLUMN(H274)+1)-SMALL(IF(ISERROR(SEARCH(MID(";"&amp;'CASE DATA'!$F275&amp;";",ROW($1:$99),1),";")),"",ROW($1:$99)),COLUMN(H274))-1)</f>
        <v/>
      </c>
      <c r="AD275" s="29" t="str">
        <f t="array" ref="AD275">MID(";"&amp;'CASE DATA'!$F275&amp;";",SMALL(IF(ISERROR(SEARCH(MID(";"&amp;'CASE DATA'!$F275&amp;";",ROW($1:$99),1),";")),"",ROW($1:$99)+1),COLUMN(I275)),SMALL(IF(ISERROR(SEARCH(MID(";"&amp;'CASE DATA'!$F275&amp;";",ROW($1:$99),1),";")),"",ROW($1:$99)),COLUMN(I274)+1)-SMALL(IF(ISERROR(SEARCH(MID(";"&amp;'CASE DATA'!$F275&amp;";",ROW($1:$99),1),";")),"",ROW($1:$99)),COLUMN(I274))-1)</f>
        <v/>
      </c>
      <c r="AE275" s="29" t="str">
        <f t="array" ref="AE275">MID(";"&amp;'CASE DATA'!$F275&amp;";",SMALL(IF(ISERROR(SEARCH(MID(";"&amp;'CASE DATA'!$F275&amp;";",ROW($1:$99),1),";")),"",ROW($1:$99)+1),COLUMN(J275)),SMALL(IF(ISERROR(SEARCH(MID(";"&amp;'CASE DATA'!$F275&amp;";",ROW($1:$99),1),";")),"",ROW($1:$99)),COLUMN(J274)+1)-SMALL(IF(ISERROR(SEARCH(MID(";"&amp;'CASE DATA'!$F275&amp;";",ROW($1:$99),1),";")),"",ROW($1:$99)),COLUMN(J274))-1)</f>
        <v/>
      </c>
      <c r="AF275" s="29" t="str">
        <f t="array" ref="AF275">MID(";"&amp;'CASE DATA'!$F275&amp;";",SMALL(IF(ISERROR(SEARCH(MID(";"&amp;'CASE DATA'!$F275&amp;";",ROW($1:$99),1),";")),"",ROW($1:$99)+1),COLUMN(K275)),SMALL(IF(ISERROR(SEARCH(MID(";"&amp;'CASE DATA'!$F275&amp;";",ROW($1:$99),1),";")),"",ROW($1:$99)),COLUMN(K274)+1)-SMALL(IF(ISERROR(SEARCH(MID(";"&amp;'CASE DATA'!$F275&amp;";",ROW($1:$99),1),";")),"",ROW($1:$99)),COLUMN(K274))-1)</f>
        <v/>
      </c>
      <c r="AG275" s="29" t="str">
        <f t="array" ref="AG275">MID(";"&amp;'CASE DATA'!$F275&amp;";",SMALL(IF(ISERROR(SEARCH(MID(";"&amp;'CASE DATA'!$F275&amp;";",ROW($1:$99),1),";")),"",ROW($1:$99)+1),COLUMN(L275)),SMALL(IF(ISERROR(SEARCH(MID(";"&amp;'CASE DATA'!$F275&amp;";",ROW($1:$99),1),";")),"",ROW($1:$99)),COLUMN(L274)+1)-SMALL(IF(ISERROR(SEARCH(MID(";"&amp;'CASE DATA'!$F275&amp;";",ROW($1:$99),1),";")),"",ROW($1:$99)),COLUMN(L274))-1)</f>
        <v/>
      </c>
      <c r="AH275" s="29"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24"/>
      <c r="D276" s="24"/>
      <c r="J276" s="31"/>
      <c r="K276" s="31"/>
      <c r="L276" s="31"/>
      <c r="M276" s="31"/>
      <c r="N276" s="31"/>
      <c r="O276" s="31"/>
      <c r="P276" s="31"/>
      <c r="Q276" s="31"/>
      <c r="R276" s="31"/>
      <c r="S276" s="31"/>
      <c r="T276" s="28">
        <f t="shared" si="5"/>
        <v>0</v>
      </c>
      <c r="U276" s="28"/>
      <c r="W276" s="29" t="str">
        <f t="array" ref="W276">MID(";"&amp;'CASE DATA'!$F276&amp;";",SMALL(IF(ISERROR(SEARCH(MID(";"&amp;'CASE DATA'!$F276&amp;";",ROW($1:$99),1),";")),"",ROW($1:$99)+1),COLUMN(A276)),SMALL(IF(ISERROR(SEARCH(MID(";"&amp;'CASE DATA'!$F276&amp;";",ROW($1:$99),1),";")),"",ROW($1:$99)),COLUMN(A275)+1)-SMALL(IF(ISERROR(SEARCH(MID(";"&amp;'CASE DATA'!$F276&amp;";",ROW($1:$99),1),";")),"",ROW($1:$99)),COLUMN(A275))-1)</f>
        <v/>
      </c>
      <c r="X276" s="29" t="str">
        <f t="array" ref="X276">MID(";"&amp;'CASE DATA'!$F276&amp;";",SMALL(IF(ISERROR(SEARCH(MID(";"&amp;'CASE DATA'!$F276&amp;";",ROW($1:$99),1),";")),"",ROW($1:$99)+1),COLUMN(B276)),SMALL(IF(ISERROR(SEARCH(MID(";"&amp;'CASE DATA'!$F276&amp;";",ROW($1:$99),1),";")),"",ROW($1:$99)),COLUMN(B275)+1)-SMALL(IF(ISERROR(SEARCH(MID(";"&amp;'CASE DATA'!$F276&amp;";",ROW($1:$99),1),";")),"",ROW($1:$99)),COLUMN(B275))-1)</f>
        <v/>
      </c>
      <c r="Y276" s="29" t="str">
        <f t="array" ref="Y276">MID(";"&amp;'CASE DATA'!$F276&amp;";",SMALL(IF(ISERROR(SEARCH(MID(";"&amp;'CASE DATA'!$F276&amp;";",ROW($1:$99),1),";")),"",ROW($1:$99)+1),COLUMN(D276)),SMALL(IF(ISERROR(SEARCH(MID(";"&amp;'CASE DATA'!$F276&amp;";",ROW($1:$99),1),";")),"",ROW($1:$99)),COLUMN(D275)+1)-SMALL(IF(ISERROR(SEARCH(MID(";"&amp;'CASE DATA'!$F276&amp;";",ROW($1:$99),1),";")),"",ROW($1:$99)),COLUMN(D275))-1)</f>
        <v/>
      </c>
      <c r="Z276" s="29" t="str">
        <f t="array" ref="Z276">MID(";"&amp;'CASE DATA'!$F276&amp;";",SMALL(IF(ISERROR(SEARCH(MID(";"&amp;'CASE DATA'!$F276&amp;";",ROW($1:$99),1),";")),"",ROW($1:$99)+1),COLUMN(E276)),SMALL(IF(ISERROR(SEARCH(MID(";"&amp;'CASE DATA'!$F276&amp;";",ROW($1:$99),1),";")),"",ROW($1:$99)),COLUMN(E275)+1)-SMALL(IF(ISERROR(SEARCH(MID(";"&amp;'CASE DATA'!$F276&amp;";",ROW($1:$99),1),";")),"",ROW($1:$99)),COLUMN(E275))-1)</f>
        <v/>
      </c>
      <c r="AA276" s="29" t="str">
        <f t="array" ref="AA276">MID(";"&amp;'CASE DATA'!$F276&amp;";",SMALL(IF(ISERROR(SEARCH(MID(";"&amp;'CASE DATA'!$F276&amp;";",ROW($1:$99),1),";")),"",ROW($1:$99)+1),COLUMN(F276)),SMALL(IF(ISERROR(SEARCH(MID(";"&amp;'CASE DATA'!$F276&amp;";",ROW($1:$99),1),";")),"",ROW($1:$99)),COLUMN(F275)+1)-SMALL(IF(ISERROR(SEARCH(MID(";"&amp;'CASE DATA'!$F276&amp;";",ROW($1:$99),1),";")),"",ROW($1:$99)),COLUMN(F275))-1)</f>
        <v/>
      </c>
      <c r="AB276" s="29" t="str">
        <f t="array" ref="AB276">MID(";"&amp;'CASE DATA'!$F276&amp;";",SMALL(IF(ISERROR(SEARCH(MID(";"&amp;'CASE DATA'!$F276&amp;";",ROW($1:$99),1),";")),"",ROW($1:$99)+1),COLUMN(G276)),SMALL(IF(ISERROR(SEARCH(MID(";"&amp;'CASE DATA'!$F276&amp;";",ROW($1:$99),1),";")),"",ROW($1:$99)),COLUMN(G275)+1)-SMALL(IF(ISERROR(SEARCH(MID(";"&amp;'CASE DATA'!$F276&amp;";",ROW($1:$99),1),";")),"",ROW($1:$99)),COLUMN(G275))-1)</f>
        <v/>
      </c>
      <c r="AC276" s="29" t="str">
        <f t="array" ref="AC276">MID(";"&amp;'CASE DATA'!$F276&amp;";",SMALL(IF(ISERROR(SEARCH(MID(";"&amp;'CASE DATA'!$F276&amp;";",ROW($1:$99),1),";")),"",ROW($1:$99)+1),COLUMN(H276)),SMALL(IF(ISERROR(SEARCH(MID(";"&amp;'CASE DATA'!$F276&amp;";",ROW($1:$99),1),";")),"",ROW($1:$99)),COLUMN(H275)+1)-SMALL(IF(ISERROR(SEARCH(MID(";"&amp;'CASE DATA'!$F276&amp;";",ROW($1:$99),1),";")),"",ROW($1:$99)),COLUMN(H275))-1)</f>
        <v/>
      </c>
      <c r="AD276" s="29" t="str">
        <f t="array" ref="AD276">MID(";"&amp;'CASE DATA'!$F276&amp;";",SMALL(IF(ISERROR(SEARCH(MID(";"&amp;'CASE DATA'!$F276&amp;";",ROW($1:$99),1),";")),"",ROW($1:$99)+1),COLUMN(I276)),SMALL(IF(ISERROR(SEARCH(MID(";"&amp;'CASE DATA'!$F276&amp;";",ROW($1:$99),1),";")),"",ROW($1:$99)),COLUMN(I275)+1)-SMALL(IF(ISERROR(SEARCH(MID(";"&amp;'CASE DATA'!$F276&amp;";",ROW($1:$99),1),";")),"",ROW($1:$99)),COLUMN(I275))-1)</f>
        <v/>
      </c>
      <c r="AE276" s="29" t="str">
        <f t="array" ref="AE276">MID(";"&amp;'CASE DATA'!$F276&amp;";",SMALL(IF(ISERROR(SEARCH(MID(";"&amp;'CASE DATA'!$F276&amp;";",ROW($1:$99),1),";")),"",ROW($1:$99)+1),COLUMN(J276)),SMALL(IF(ISERROR(SEARCH(MID(";"&amp;'CASE DATA'!$F276&amp;";",ROW($1:$99),1),";")),"",ROW($1:$99)),COLUMN(J275)+1)-SMALL(IF(ISERROR(SEARCH(MID(";"&amp;'CASE DATA'!$F276&amp;";",ROW($1:$99),1),";")),"",ROW($1:$99)),COLUMN(J275))-1)</f>
        <v/>
      </c>
      <c r="AF276" s="29" t="str">
        <f t="array" ref="AF276">MID(";"&amp;'CASE DATA'!$F276&amp;";",SMALL(IF(ISERROR(SEARCH(MID(";"&amp;'CASE DATA'!$F276&amp;";",ROW($1:$99),1),";")),"",ROW($1:$99)+1),COLUMN(K276)),SMALL(IF(ISERROR(SEARCH(MID(";"&amp;'CASE DATA'!$F276&amp;";",ROW($1:$99),1),";")),"",ROW($1:$99)),COLUMN(K275)+1)-SMALL(IF(ISERROR(SEARCH(MID(";"&amp;'CASE DATA'!$F276&amp;";",ROW($1:$99),1),";")),"",ROW($1:$99)),COLUMN(K275))-1)</f>
        <v/>
      </c>
      <c r="AG276" s="29" t="str">
        <f t="array" ref="AG276">MID(";"&amp;'CASE DATA'!$F276&amp;";",SMALL(IF(ISERROR(SEARCH(MID(";"&amp;'CASE DATA'!$F276&amp;";",ROW($1:$99),1),";")),"",ROW($1:$99)+1),COLUMN(L276)),SMALL(IF(ISERROR(SEARCH(MID(";"&amp;'CASE DATA'!$F276&amp;";",ROW($1:$99),1),";")),"",ROW($1:$99)),COLUMN(L275)+1)-SMALL(IF(ISERROR(SEARCH(MID(";"&amp;'CASE DATA'!$F276&amp;";",ROW($1:$99),1),";")),"",ROW($1:$99)),COLUMN(L275))-1)</f>
        <v/>
      </c>
      <c r="AH276" s="29"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24"/>
      <c r="D277" s="24"/>
      <c r="J277" s="31"/>
      <c r="K277" s="31"/>
      <c r="L277" s="31"/>
      <c r="M277" s="31"/>
      <c r="N277" s="31"/>
      <c r="O277" s="31"/>
      <c r="P277" s="31"/>
      <c r="Q277" s="31"/>
      <c r="R277" s="31"/>
      <c r="S277" s="31"/>
      <c r="T277" s="28">
        <f t="shared" si="5"/>
        <v>0</v>
      </c>
      <c r="U277" s="28"/>
      <c r="W277" s="29" t="str">
        <f t="array" ref="W277">MID(";"&amp;'CASE DATA'!$F277&amp;";",SMALL(IF(ISERROR(SEARCH(MID(";"&amp;'CASE DATA'!$F277&amp;";",ROW($1:$99),1),";")),"",ROW($1:$99)+1),COLUMN(A277)),SMALL(IF(ISERROR(SEARCH(MID(";"&amp;'CASE DATA'!$F277&amp;";",ROW($1:$99),1),";")),"",ROW($1:$99)),COLUMN(A276)+1)-SMALL(IF(ISERROR(SEARCH(MID(";"&amp;'CASE DATA'!$F277&amp;";",ROW($1:$99),1),";")),"",ROW($1:$99)),COLUMN(A276))-1)</f>
        <v/>
      </c>
      <c r="X277" s="29" t="str">
        <f t="array" ref="X277">MID(";"&amp;'CASE DATA'!$F277&amp;";",SMALL(IF(ISERROR(SEARCH(MID(";"&amp;'CASE DATA'!$F277&amp;";",ROW($1:$99),1),";")),"",ROW($1:$99)+1),COLUMN(B277)),SMALL(IF(ISERROR(SEARCH(MID(";"&amp;'CASE DATA'!$F277&amp;";",ROW($1:$99),1),";")),"",ROW($1:$99)),COLUMN(B276)+1)-SMALL(IF(ISERROR(SEARCH(MID(";"&amp;'CASE DATA'!$F277&amp;";",ROW($1:$99),1),";")),"",ROW($1:$99)),COLUMN(B276))-1)</f>
        <v/>
      </c>
      <c r="Y277" s="29" t="str">
        <f t="array" ref="Y277">MID(";"&amp;'CASE DATA'!$F277&amp;";",SMALL(IF(ISERROR(SEARCH(MID(";"&amp;'CASE DATA'!$F277&amp;";",ROW($1:$99),1),";")),"",ROW($1:$99)+1),COLUMN(D277)),SMALL(IF(ISERROR(SEARCH(MID(";"&amp;'CASE DATA'!$F277&amp;";",ROW($1:$99),1),";")),"",ROW($1:$99)),COLUMN(D276)+1)-SMALL(IF(ISERROR(SEARCH(MID(";"&amp;'CASE DATA'!$F277&amp;";",ROW($1:$99),1),";")),"",ROW($1:$99)),COLUMN(D276))-1)</f>
        <v/>
      </c>
      <c r="Z277" s="29" t="str">
        <f t="array" ref="Z277">MID(";"&amp;'CASE DATA'!$F277&amp;";",SMALL(IF(ISERROR(SEARCH(MID(";"&amp;'CASE DATA'!$F277&amp;";",ROW($1:$99),1),";")),"",ROW($1:$99)+1),COLUMN(E277)),SMALL(IF(ISERROR(SEARCH(MID(";"&amp;'CASE DATA'!$F277&amp;";",ROW($1:$99),1),";")),"",ROW($1:$99)),COLUMN(E276)+1)-SMALL(IF(ISERROR(SEARCH(MID(";"&amp;'CASE DATA'!$F277&amp;";",ROW($1:$99),1),";")),"",ROW($1:$99)),COLUMN(E276))-1)</f>
        <v/>
      </c>
      <c r="AA277" s="29" t="str">
        <f t="array" ref="AA277">MID(";"&amp;'CASE DATA'!$F277&amp;";",SMALL(IF(ISERROR(SEARCH(MID(";"&amp;'CASE DATA'!$F277&amp;";",ROW($1:$99),1),";")),"",ROW($1:$99)+1),COLUMN(F277)),SMALL(IF(ISERROR(SEARCH(MID(";"&amp;'CASE DATA'!$F277&amp;";",ROW($1:$99),1),";")),"",ROW($1:$99)),COLUMN(F276)+1)-SMALL(IF(ISERROR(SEARCH(MID(";"&amp;'CASE DATA'!$F277&amp;";",ROW($1:$99),1),";")),"",ROW($1:$99)),COLUMN(F276))-1)</f>
        <v/>
      </c>
      <c r="AB277" s="29" t="str">
        <f t="array" ref="AB277">MID(";"&amp;'CASE DATA'!$F277&amp;";",SMALL(IF(ISERROR(SEARCH(MID(";"&amp;'CASE DATA'!$F277&amp;";",ROW($1:$99),1),";")),"",ROW($1:$99)+1),COLUMN(G277)),SMALL(IF(ISERROR(SEARCH(MID(";"&amp;'CASE DATA'!$F277&amp;";",ROW($1:$99),1),";")),"",ROW($1:$99)),COLUMN(G276)+1)-SMALL(IF(ISERROR(SEARCH(MID(";"&amp;'CASE DATA'!$F277&amp;";",ROW($1:$99),1),";")),"",ROW($1:$99)),COLUMN(G276))-1)</f>
        <v/>
      </c>
      <c r="AC277" s="29" t="str">
        <f t="array" ref="AC277">MID(";"&amp;'CASE DATA'!$F277&amp;";",SMALL(IF(ISERROR(SEARCH(MID(";"&amp;'CASE DATA'!$F277&amp;";",ROW($1:$99),1),";")),"",ROW($1:$99)+1),COLUMN(H277)),SMALL(IF(ISERROR(SEARCH(MID(";"&amp;'CASE DATA'!$F277&amp;";",ROW($1:$99),1),";")),"",ROW($1:$99)),COLUMN(H276)+1)-SMALL(IF(ISERROR(SEARCH(MID(";"&amp;'CASE DATA'!$F277&amp;";",ROW($1:$99),1),";")),"",ROW($1:$99)),COLUMN(H276))-1)</f>
        <v/>
      </c>
      <c r="AD277" s="29" t="str">
        <f t="array" ref="AD277">MID(";"&amp;'CASE DATA'!$F277&amp;";",SMALL(IF(ISERROR(SEARCH(MID(";"&amp;'CASE DATA'!$F277&amp;";",ROW($1:$99),1),";")),"",ROW($1:$99)+1),COLUMN(I277)),SMALL(IF(ISERROR(SEARCH(MID(";"&amp;'CASE DATA'!$F277&amp;";",ROW($1:$99),1),";")),"",ROW($1:$99)),COLUMN(I276)+1)-SMALL(IF(ISERROR(SEARCH(MID(";"&amp;'CASE DATA'!$F277&amp;";",ROW($1:$99),1),";")),"",ROW($1:$99)),COLUMN(I276))-1)</f>
        <v/>
      </c>
      <c r="AE277" s="29" t="str">
        <f t="array" ref="AE277">MID(";"&amp;'CASE DATA'!$F277&amp;";",SMALL(IF(ISERROR(SEARCH(MID(";"&amp;'CASE DATA'!$F277&amp;";",ROW($1:$99),1),";")),"",ROW($1:$99)+1),COLUMN(J277)),SMALL(IF(ISERROR(SEARCH(MID(";"&amp;'CASE DATA'!$F277&amp;";",ROW($1:$99),1),";")),"",ROW($1:$99)),COLUMN(J276)+1)-SMALL(IF(ISERROR(SEARCH(MID(";"&amp;'CASE DATA'!$F277&amp;";",ROW($1:$99),1),";")),"",ROW($1:$99)),COLUMN(J276))-1)</f>
        <v/>
      </c>
      <c r="AF277" s="29" t="str">
        <f t="array" ref="AF277">MID(";"&amp;'CASE DATA'!$F277&amp;";",SMALL(IF(ISERROR(SEARCH(MID(";"&amp;'CASE DATA'!$F277&amp;";",ROW($1:$99),1),";")),"",ROW($1:$99)+1),COLUMN(K277)),SMALL(IF(ISERROR(SEARCH(MID(";"&amp;'CASE DATA'!$F277&amp;";",ROW($1:$99),1),";")),"",ROW($1:$99)),COLUMN(K276)+1)-SMALL(IF(ISERROR(SEARCH(MID(";"&amp;'CASE DATA'!$F277&amp;";",ROW($1:$99),1),";")),"",ROW($1:$99)),COLUMN(K276))-1)</f>
        <v/>
      </c>
      <c r="AG277" s="29" t="str">
        <f t="array" ref="AG277">MID(";"&amp;'CASE DATA'!$F277&amp;";",SMALL(IF(ISERROR(SEARCH(MID(";"&amp;'CASE DATA'!$F277&amp;";",ROW($1:$99),1),";")),"",ROW($1:$99)+1),COLUMN(L277)),SMALL(IF(ISERROR(SEARCH(MID(";"&amp;'CASE DATA'!$F277&amp;";",ROW($1:$99),1),";")),"",ROW($1:$99)),COLUMN(L276)+1)-SMALL(IF(ISERROR(SEARCH(MID(";"&amp;'CASE DATA'!$F277&amp;";",ROW($1:$99),1),";")),"",ROW($1:$99)),COLUMN(L276))-1)</f>
        <v/>
      </c>
      <c r="AH277" s="29"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24"/>
      <c r="D278" s="24"/>
      <c r="J278" s="31"/>
      <c r="K278" s="31"/>
      <c r="L278" s="31"/>
      <c r="M278" s="31"/>
      <c r="N278" s="31"/>
      <c r="O278" s="31"/>
      <c r="P278" s="31"/>
      <c r="Q278" s="31"/>
      <c r="R278" s="31"/>
      <c r="S278" s="31"/>
      <c r="T278" s="28">
        <f t="shared" si="5"/>
        <v>0</v>
      </c>
      <c r="U278" s="28"/>
      <c r="W278" s="29" t="str">
        <f t="array" ref="W278">MID(";"&amp;'CASE DATA'!$F278&amp;";",SMALL(IF(ISERROR(SEARCH(MID(";"&amp;'CASE DATA'!$F278&amp;";",ROW($1:$99),1),";")),"",ROW($1:$99)+1),COLUMN(A278)),SMALL(IF(ISERROR(SEARCH(MID(";"&amp;'CASE DATA'!$F278&amp;";",ROW($1:$99),1),";")),"",ROW($1:$99)),COLUMN(A277)+1)-SMALL(IF(ISERROR(SEARCH(MID(";"&amp;'CASE DATA'!$F278&amp;";",ROW($1:$99),1),";")),"",ROW($1:$99)),COLUMN(A277))-1)</f>
        <v/>
      </c>
      <c r="X278" s="29" t="str">
        <f t="array" ref="X278">MID(";"&amp;'CASE DATA'!$F278&amp;";",SMALL(IF(ISERROR(SEARCH(MID(";"&amp;'CASE DATA'!$F278&amp;";",ROW($1:$99),1),";")),"",ROW($1:$99)+1),COLUMN(B278)),SMALL(IF(ISERROR(SEARCH(MID(";"&amp;'CASE DATA'!$F278&amp;";",ROW($1:$99),1),";")),"",ROW($1:$99)),COLUMN(B277)+1)-SMALL(IF(ISERROR(SEARCH(MID(";"&amp;'CASE DATA'!$F278&amp;";",ROW($1:$99),1),";")),"",ROW($1:$99)),COLUMN(B277))-1)</f>
        <v/>
      </c>
      <c r="Y278" s="29" t="str">
        <f t="array" ref="Y278">MID(";"&amp;'CASE DATA'!$F278&amp;";",SMALL(IF(ISERROR(SEARCH(MID(";"&amp;'CASE DATA'!$F278&amp;";",ROW($1:$99),1),";")),"",ROW($1:$99)+1),COLUMN(D278)),SMALL(IF(ISERROR(SEARCH(MID(";"&amp;'CASE DATA'!$F278&amp;";",ROW($1:$99),1),";")),"",ROW($1:$99)),COLUMN(D277)+1)-SMALL(IF(ISERROR(SEARCH(MID(";"&amp;'CASE DATA'!$F278&amp;";",ROW($1:$99),1),";")),"",ROW($1:$99)),COLUMN(D277))-1)</f>
        <v/>
      </c>
      <c r="Z278" s="29" t="str">
        <f t="array" ref="Z278">MID(";"&amp;'CASE DATA'!$F278&amp;";",SMALL(IF(ISERROR(SEARCH(MID(";"&amp;'CASE DATA'!$F278&amp;";",ROW($1:$99),1),";")),"",ROW($1:$99)+1),COLUMN(E278)),SMALL(IF(ISERROR(SEARCH(MID(";"&amp;'CASE DATA'!$F278&amp;";",ROW($1:$99),1),";")),"",ROW($1:$99)),COLUMN(E277)+1)-SMALL(IF(ISERROR(SEARCH(MID(";"&amp;'CASE DATA'!$F278&amp;";",ROW($1:$99),1),";")),"",ROW($1:$99)),COLUMN(E277))-1)</f>
        <v/>
      </c>
      <c r="AA278" s="29" t="str">
        <f t="array" ref="AA278">MID(";"&amp;'CASE DATA'!$F278&amp;";",SMALL(IF(ISERROR(SEARCH(MID(";"&amp;'CASE DATA'!$F278&amp;";",ROW($1:$99),1),";")),"",ROW($1:$99)+1),COLUMN(F278)),SMALL(IF(ISERROR(SEARCH(MID(";"&amp;'CASE DATA'!$F278&amp;";",ROW($1:$99),1),";")),"",ROW($1:$99)),COLUMN(F277)+1)-SMALL(IF(ISERROR(SEARCH(MID(";"&amp;'CASE DATA'!$F278&amp;";",ROW($1:$99),1),";")),"",ROW($1:$99)),COLUMN(F277))-1)</f>
        <v/>
      </c>
      <c r="AB278" s="29" t="str">
        <f t="array" ref="AB278">MID(";"&amp;'CASE DATA'!$F278&amp;";",SMALL(IF(ISERROR(SEARCH(MID(";"&amp;'CASE DATA'!$F278&amp;";",ROW($1:$99),1),";")),"",ROW($1:$99)+1),COLUMN(G278)),SMALL(IF(ISERROR(SEARCH(MID(";"&amp;'CASE DATA'!$F278&amp;";",ROW($1:$99),1),";")),"",ROW($1:$99)),COLUMN(G277)+1)-SMALL(IF(ISERROR(SEARCH(MID(";"&amp;'CASE DATA'!$F278&amp;";",ROW($1:$99),1),";")),"",ROW($1:$99)),COLUMN(G277))-1)</f>
        <v/>
      </c>
      <c r="AC278" s="29" t="str">
        <f t="array" ref="AC278">MID(";"&amp;'CASE DATA'!$F278&amp;";",SMALL(IF(ISERROR(SEARCH(MID(";"&amp;'CASE DATA'!$F278&amp;";",ROW($1:$99),1),";")),"",ROW($1:$99)+1),COLUMN(H278)),SMALL(IF(ISERROR(SEARCH(MID(";"&amp;'CASE DATA'!$F278&amp;";",ROW($1:$99),1),";")),"",ROW($1:$99)),COLUMN(H277)+1)-SMALL(IF(ISERROR(SEARCH(MID(";"&amp;'CASE DATA'!$F278&amp;";",ROW($1:$99),1),";")),"",ROW($1:$99)),COLUMN(H277))-1)</f>
        <v/>
      </c>
      <c r="AD278" s="29" t="str">
        <f t="array" ref="AD278">MID(";"&amp;'CASE DATA'!$F278&amp;";",SMALL(IF(ISERROR(SEARCH(MID(";"&amp;'CASE DATA'!$F278&amp;";",ROW($1:$99),1),";")),"",ROW($1:$99)+1),COLUMN(I278)),SMALL(IF(ISERROR(SEARCH(MID(";"&amp;'CASE DATA'!$F278&amp;";",ROW($1:$99),1),";")),"",ROW($1:$99)),COLUMN(I277)+1)-SMALL(IF(ISERROR(SEARCH(MID(";"&amp;'CASE DATA'!$F278&amp;";",ROW($1:$99),1),";")),"",ROW($1:$99)),COLUMN(I277))-1)</f>
        <v/>
      </c>
      <c r="AE278" s="29" t="str">
        <f t="array" ref="AE278">MID(";"&amp;'CASE DATA'!$F278&amp;";",SMALL(IF(ISERROR(SEARCH(MID(";"&amp;'CASE DATA'!$F278&amp;";",ROW($1:$99),1),";")),"",ROW($1:$99)+1),COLUMN(J278)),SMALL(IF(ISERROR(SEARCH(MID(";"&amp;'CASE DATA'!$F278&amp;";",ROW($1:$99),1),";")),"",ROW($1:$99)),COLUMN(J277)+1)-SMALL(IF(ISERROR(SEARCH(MID(";"&amp;'CASE DATA'!$F278&amp;";",ROW($1:$99),1),";")),"",ROW($1:$99)),COLUMN(J277))-1)</f>
        <v/>
      </c>
      <c r="AF278" s="29" t="str">
        <f t="array" ref="AF278">MID(";"&amp;'CASE DATA'!$F278&amp;";",SMALL(IF(ISERROR(SEARCH(MID(";"&amp;'CASE DATA'!$F278&amp;";",ROW($1:$99),1),";")),"",ROW($1:$99)+1),COLUMN(K278)),SMALL(IF(ISERROR(SEARCH(MID(";"&amp;'CASE DATA'!$F278&amp;";",ROW($1:$99),1),";")),"",ROW($1:$99)),COLUMN(K277)+1)-SMALL(IF(ISERROR(SEARCH(MID(";"&amp;'CASE DATA'!$F278&amp;";",ROW($1:$99),1),";")),"",ROW($1:$99)),COLUMN(K277))-1)</f>
        <v/>
      </c>
      <c r="AG278" s="29" t="str">
        <f t="array" ref="AG278">MID(";"&amp;'CASE DATA'!$F278&amp;";",SMALL(IF(ISERROR(SEARCH(MID(";"&amp;'CASE DATA'!$F278&amp;";",ROW($1:$99),1),";")),"",ROW($1:$99)+1),COLUMN(L278)),SMALL(IF(ISERROR(SEARCH(MID(";"&amp;'CASE DATA'!$F278&amp;";",ROW($1:$99),1),";")),"",ROW($1:$99)),COLUMN(L277)+1)-SMALL(IF(ISERROR(SEARCH(MID(";"&amp;'CASE DATA'!$F278&amp;";",ROW($1:$99),1),";")),"",ROW($1:$99)),COLUMN(L277))-1)</f>
        <v/>
      </c>
      <c r="AH278" s="29"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24"/>
      <c r="D279" s="24"/>
      <c r="J279" s="31"/>
      <c r="K279" s="31"/>
      <c r="L279" s="31"/>
      <c r="M279" s="31"/>
      <c r="N279" s="31"/>
      <c r="O279" s="31"/>
      <c r="P279" s="31"/>
      <c r="Q279" s="31"/>
      <c r="R279" s="31"/>
      <c r="S279" s="31"/>
      <c r="T279" s="28">
        <f t="shared" si="5"/>
        <v>0</v>
      </c>
      <c r="U279" s="28"/>
      <c r="W279" s="29" t="str">
        <f t="array" ref="W279">MID(";"&amp;'CASE DATA'!$F279&amp;";",SMALL(IF(ISERROR(SEARCH(MID(";"&amp;'CASE DATA'!$F279&amp;";",ROW($1:$99),1),";")),"",ROW($1:$99)+1),COLUMN(A279)),SMALL(IF(ISERROR(SEARCH(MID(";"&amp;'CASE DATA'!$F279&amp;";",ROW($1:$99),1),";")),"",ROW($1:$99)),COLUMN(A278)+1)-SMALL(IF(ISERROR(SEARCH(MID(";"&amp;'CASE DATA'!$F279&amp;";",ROW($1:$99),1),";")),"",ROW($1:$99)),COLUMN(A278))-1)</f>
        <v/>
      </c>
      <c r="X279" s="29" t="str">
        <f t="array" ref="X279">MID(";"&amp;'CASE DATA'!$F279&amp;";",SMALL(IF(ISERROR(SEARCH(MID(";"&amp;'CASE DATA'!$F279&amp;";",ROW($1:$99),1),";")),"",ROW($1:$99)+1),COLUMN(B279)),SMALL(IF(ISERROR(SEARCH(MID(";"&amp;'CASE DATA'!$F279&amp;";",ROW($1:$99),1),";")),"",ROW($1:$99)),COLUMN(B278)+1)-SMALL(IF(ISERROR(SEARCH(MID(";"&amp;'CASE DATA'!$F279&amp;";",ROW($1:$99),1),";")),"",ROW($1:$99)),COLUMN(B278))-1)</f>
        <v/>
      </c>
      <c r="Y279" s="29" t="str">
        <f t="array" ref="Y279">MID(";"&amp;'CASE DATA'!$F279&amp;";",SMALL(IF(ISERROR(SEARCH(MID(";"&amp;'CASE DATA'!$F279&amp;";",ROW($1:$99),1),";")),"",ROW($1:$99)+1),COLUMN(D279)),SMALL(IF(ISERROR(SEARCH(MID(";"&amp;'CASE DATA'!$F279&amp;";",ROW($1:$99),1),";")),"",ROW($1:$99)),COLUMN(D278)+1)-SMALL(IF(ISERROR(SEARCH(MID(";"&amp;'CASE DATA'!$F279&amp;";",ROW($1:$99),1),";")),"",ROW($1:$99)),COLUMN(D278))-1)</f>
        <v/>
      </c>
      <c r="Z279" s="29" t="str">
        <f t="array" ref="Z279">MID(";"&amp;'CASE DATA'!$F279&amp;";",SMALL(IF(ISERROR(SEARCH(MID(";"&amp;'CASE DATA'!$F279&amp;";",ROW($1:$99),1),";")),"",ROW($1:$99)+1),COLUMN(E279)),SMALL(IF(ISERROR(SEARCH(MID(";"&amp;'CASE DATA'!$F279&amp;";",ROW($1:$99),1),";")),"",ROW($1:$99)),COLUMN(E278)+1)-SMALL(IF(ISERROR(SEARCH(MID(";"&amp;'CASE DATA'!$F279&amp;";",ROW($1:$99),1),";")),"",ROW($1:$99)),COLUMN(E278))-1)</f>
        <v/>
      </c>
      <c r="AA279" s="29" t="str">
        <f t="array" ref="AA279">MID(";"&amp;'CASE DATA'!$F279&amp;";",SMALL(IF(ISERROR(SEARCH(MID(";"&amp;'CASE DATA'!$F279&amp;";",ROW($1:$99),1),";")),"",ROW($1:$99)+1),COLUMN(F279)),SMALL(IF(ISERROR(SEARCH(MID(";"&amp;'CASE DATA'!$F279&amp;";",ROW($1:$99),1),";")),"",ROW($1:$99)),COLUMN(F278)+1)-SMALL(IF(ISERROR(SEARCH(MID(";"&amp;'CASE DATA'!$F279&amp;";",ROW($1:$99),1),";")),"",ROW($1:$99)),COLUMN(F278))-1)</f>
        <v/>
      </c>
      <c r="AB279" s="29" t="str">
        <f t="array" ref="AB279">MID(";"&amp;'CASE DATA'!$F279&amp;";",SMALL(IF(ISERROR(SEARCH(MID(";"&amp;'CASE DATA'!$F279&amp;";",ROW($1:$99),1),";")),"",ROW($1:$99)+1),COLUMN(G279)),SMALL(IF(ISERROR(SEARCH(MID(";"&amp;'CASE DATA'!$F279&amp;";",ROW($1:$99),1),";")),"",ROW($1:$99)),COLUMN(G278)+1)-SMALL(IF(ISERROR(SEARCH(MID(";"&amp;'CASE DATA'!$F279&amp;";",ROW($1:$99),1),";")),"",ROW($1:$99)),COLUMN(G278))-1)</f>
        <v/>
      </c>
      <c r="AC279" s="29" t="str">
        <f t="array" ref="AC279">MID(";"&amp;'CASE DATA'!$F279&amp;";",SMALL(IF(ISERROR(SEARCH(MID(";"&amp;'CASE DATA'!$F279&amp;";",ROW($1:$99),1),";")),"",ROW($1:$99)+1),COLUMN(H279)),SMALL(IF(ISERROR(SEARCH(MID(";"&amp;'CASE DATA'!$F279&amp;";",ROW($1:$99),1),";")),"",ROW($1:$99)),COLUMN(H278)+1)-SMALL(IF(ISERROR(SEARCH(MID(";"&amp;'CASE DATA'!$F279&amp;";",ROW($1:$99),1),";")),"",ROW($1:$99)),COLUMN(H278))-1)</f>
        <v/>
      </c>
      <c r="AD279" s="29" t="str">
        <f t="array" ref="AD279">MID(";"&amp;'CASE DATA'!$F279&amp;";",SMALL(IF(ISERROR(SEARCH(MID(";"&amp;'CASE DATA'!$F279&amp;";",ROW($1:$99),1),";")),"",ROW($1:$99)+1),COLUMN(I279)),SMALL(IF(ISERROR(SEARCH(MID(";"&amp;'CASE DATA'!$F279&amp;";",ROW($1:$99),1),";")),"",ROW($1:$99)),COLUMN(I278)+1)-SMALL(IF(ISERROR(SEARCH(MID(";"&amp;'CASE DATA'!$F279&amp;";",ROW($1:$99),1),";")),"",ROW($1:$99)),COLUMN(I278))-1)</f>
        <v/>
      </c>
      <c r="AE279" s="29" t="str">
        <f t="array" ref="AE279">MID(";"&amp;'CASE DATA'!$F279&amp;";",SMALL(IF(ISERROR(SEARCH(MID(";"&amp;'CASE DATA'!$F279&amp;";",ROW($1:$99),1),";")),"",ROW($1:$99)+1),COLUMN(J279)),SMALL(IF(ISERROR(SEARCH(MID(";"&amp;'CASE DATA'!$F279&amp;";",ROW($1:$99),1),";")),"",ROW($1:$99)),COLUMN(J278)+1)-SMALL(IF(ISERROR(SEARCH(MID(";"&amp;'CASE DATA'!$F279&amp;";",ROW($1:$99),1),";")),"",ROW($1:$99)),COLUMN(J278))-1)</f>
        <v/>
      </c>
      <c r="AF279" s="29" t="str">
        <f t="array" ref="AF279">MID(";"&amp;'CASE DATA'!$F279&amp;";",SMALL(IF(ISERROR(SEARCH(MID(";"&amp;'CASE DATA'!$F279&amp;";",ROW($1:$99),1),";")),"",ROW($1:$99)+1),COLUMN(K279)),SMALL(IF(ISERROR(SEARCH(MID(";"&amp;'CASE DATA'!$F279&amp;";",ROW($1:$99),1),";")),"",ROW($1:$99)),COLUMN(K278)+1)-SMALL(IF(ISERROR(SEARCH(MID(";"&amp;'CASE DATA'!$F279&amp;";",ROW($1:$99),1),";")),"",ROW($1:$99)),COLUMN(K278))-1)</f>
        <v/>
      </c>
      <c r="AG279" s="29" t="str">
        <f t="array" ref="AG279">MID(";"&amp;'CASE DATA'!$F279&amp;";",SMALL(IF(ISERROR(SEARCH(MID(";"&amp;'CASE DATA'!$F279&amp;";",ROW($1:$99),1),";")),"",ROW($1:$99)+1),COLUMN(L279)),SMALL(IF(ISERROR(SEARCH(MID(";"&amp;'CASE DATA'!$F279&amp;";",ROW($1:$99),1),";")),"",ROW($1:$99)),COLUMN(L278)+1)-SMALL(IF(ISERROR(SEARCH(MID(";"&amp;'CASE DATA'!$F279&amp;";",ROW($1:$99),1),";")),"",ROW($1:$99)),COLUMN(L278))-1)</f>
        <v/>
      </c>
      <c r="AH279" s="29"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24"/>
      <c r="D280" s="24"/>
      <c r="J280" s="31"/>
      <c r="K280" s="31"/>
      <c r="L280" s="31"/>
      <c r="M280" s="31"/>
      <c r="N280" s="31"/>
      <c r="O280" s="31"/>
      <c r="P280" s="31"/>
      <c r="Q280" s="31"/>
      <c r="R280" s="31"/>
      <c r="S280" s="31"/>
      <c r="T280" s="28">
        <f t="shared" si="5"/>
        <v>0</v>
      </c>
      <c r="U280" s="28"/>
      <c r="W280" s="29" t="str">
        <f t="array" ref="W280">MID(";"&amp;'CASE DATA'!$F280&amp;";",SMALL(IF(ISERROR(SEARCH(MID(";"&amp;'CASE DATA'!$F280&amp;";",ROW($1:$99),1),";")),"",ROW($1:$99)+1),COLUMN(A280)),SMALL(IF(ISERROR(SEARCH(MID(";"&amp;'CASE DATA'!$F280&amp;";",ROW($1:$99),1),";")),"",ROW($1:$99)),COLUMN(A279)+1)-SMALL(IF(ISERROR(SEARCH(MID(";"&amp;'CASE DATA'!$F280&amp;";",ROW($1:$99),1),";")),"",ROW($1:$99)),COLUMN(A279))-1)</f>
        <v/>
      </c>
      <c r="X280" s="29" t="str">
        <f t="array" ref="X280">MID(";"&amp;'CASE DATA'!$F280&amp;";",SMALL(IF(ISERROR(SEARCH(MID(";"&amp;'CASE DATA'!$F280&amp;";",ROW($1:$99),1),";")),"",ROW($1:$99)+1),COLUMN(B280)),SMALL(IF(ISERROR(SEARCH(MID(";"&amp;'CASE DATA'!$F280&amp;";",ROW($1:$99),1),";")),"",ROW($1:$99)),COLUMN(B279)+1)-SMALL(IF(ISERROR(SEARCH(MID(";"&amp;'CASE DATA'!$F280&amp;";",ROW($1:$99),1),";")),"",ROW($1:$99)),COLUMN(B279))-1)</f>
        <v/>
      </c>
      <c r="Y280" s="29" t="str">
        <f t="array" ref="Y280">MID(";"&amp;'CASE DATA'!$F280&amp;";",SMALL(IF(ISERROR(SEARCH(MID(";"&amp;'CASE DATA'!$F280&amp;";",ROW($1:$99),1),";")),"",ROW($1:$99)+1),COLUMN(D280)),SMALL(IF(ISERROR(SEARCH(MID(";"&amp;'CASE DATA'!$F280&amp;";",ROW($1:$99),1),";")),"",ROW($1:$99)),COLUMN(D279)+1)-SMALL(IF(ISERROR(SEARCH(MID(";"&amp;'CASE DATA'!$F280&amp;";",ROW($1:$99),1),";")),"",ROW($1:$99)),COLUMN(D279))-1)</f>
        <v/>
      </c>
      <c r="Z280" s="29" t="str">
        <f t="array" ref="Z280">MID(";"&amp;'CASE DATA'!$F280&amp;";",SMALL(IF(ISERROR(SEARCH(MID(";"&amp;'CASE DATA'!$F280&amp;";",ROW($1:$99),1),";")),"",ROW($1:$99)+1),COLUMN(E280)),SMALL(IF(ISERROR(SEARCH(MID(";"&amp;'CASE DATA'!$F280&amp;";",ROW($1:$99),1),";")),"",ROW($1:$99)),COLUMN(E279)+1)-SMALL(IF(ISERROR(SEARCH(MID(";"&amp;'CASE DATA'!$F280&amp;";",ROW($1:$99),1),";")),"",ROW($1:$99)),COLUMN(E279))-1)</f>
        <v/>
      </c>
      <c r="AA280" s="29" t="str">
        <f t="array" ref="AA280">MID(";"&amp;'CASE DATA'!$F280&amp;";",SMALL(IF(ISERROR(SEARCH(MID(";"&amp;'CASE DATA'!$F280&amp;";",ROW($1:$99),1),";")),"",ROW($1:$99)+1),COLUMN(F280)),SMALL(IF(ISERROR(SEARCH(MID(";"&amp;'CASE DATA'!$F280&amp;";",ROW($1:$99),1),";")),"",ROW($1:$99)),COLUMN(F279)+1)-SMALL(IF(ISERROR(SEARCH(MID(";"&amp;'CASE DATA'!$F280&amp;";",ROW($1:$99),1),";")),"",ROW($1:$99)),COLUMN(F279))-1)</f>
        <v/>
      </c>
      <c r="AB280" s="29" t="str">
        <f t="array" ref="AB280">MID(";"&amp;'CASE DATA'!$F280&amp;";",SMALL(IF(ISERROR(SEARCH(MID(";"&amp;'CASE DATA'!$F280&amp;";",ROW($1:$99),1),";")),"",ROW($1:$99)+1),COLUMN(G280)),SMALL(IF(ISERROR(SEARCH(MID(";"&amp;'CASE DATA'!$F280&amp;";",ROW($1:$99),1),";")),"",ROW($1:$99)),COLUMN(G279)+1)-SMALL(IF(ISERROR(SEARCH(MID(";"&amp;'CASE DATA'!$F280&amp;";",ROW($1:$99),1),";")),"",ROW($1:$99)),COLUMN(G279))-1)</f>
        <v/>
      </c>
      <c r="AC280" s="29" t="str">
        <f t="array" ref="AC280">MID(";"&amp;'CASE DATA'!$F280&amp;";",SMALL(IF(ISERROR(SEARCH(MID(";"&amp;'CASE DATA'!$F280&amp;";",ROW($1:$99),1),";")),"",ROW($1:$99)+1),COLUMN(H280)),SMALL(IF(ISERROR(SEARCH(MID(";"&amp;'CASE DATA'!$F280&amp;";",ROW($1:$99),1),";")),"",ROW($1:$99)),COLUMN(H279)+1)-SMALL(IF(ISERROR(SEARCH(MID(";"&amp;'CASE DATA'!$F280&amp;";",ROW($1:$99),1),";")),"",ROW($1:$99)),COLUMN(H279))-1)</f>
        <v/>
      </c>
      <c r="AD280" s="29" t="str">
        <f t="array" ref="AD280">MID(";"&amp;'CASE DATA'!$F280&amp;";",SMALL(IF(ISERROR(SEARCH(MID(";"&amp;'CASE DATA'!$F280&amp;";",ROW($1:$99),1),";")),"",ROW($1:$99)+1),COLUMN(I280)),SMALL(IF(ISERROR(SEARCH(MID(";"&amp;'CASE DATA'!$F280&amp;";",ROW($1:$99),1),";")),"",ROW($1:$99)),COLUMN(I279)+1)-SMALL(IF(ISERROR(SEARCH(MID(";"&amp;'CASE DATA'!$F280&amp;";",ROW($1:$99),1),";")),"",ROW($1:$99)),COLUMN(I279))-1)</f>
        <v/>
      </c>
      <c r="AE280" s="29" t="str">
        <f t="array" ref="AE280">MID(";"&amp;'CASE DATA'!$F280&amp;";",SMALL(IF(ISERROR(SEARCH(MID(";"&amp;'CASE DATA'!$F280&amp;";",ROW($1:$99),1),";")),"",ROW($1:$99)+1),COLUMN(J280)),SMALL(IF(ISERROR(SEARCH(MID(";"&amp;'CASE DATA'!$F280&amp;";",ROW($1:$99),1),";")),"",ROW($1:$99)),COLUMN(J279)+1)-SMALL(IF(ISERROR(SEARCH(MID(";"&amp;'CASE DATA'!$F280&amp;";",ROW($1:$99),1),";")),"",ROW($1:$99)),COLUMN(J279))-1)</f>
        <v/>
      </c>
      <c r="AF280" s="29" t="str">
        <f t="array" ref="AF280">MID(";"&amp;'CASE DATA'!$F280&amp;";",SMALL(IF(ISERROR(SEARCH(MID(";"&amp;'CASE DATA'!$F280&amp;";",ROW($1:$99),1),";")),"",ROW($1:$99)+1),COLUMN(K280)),SMALL(IF(ISERROR(SEARCH(MID(";"&amp;'CASE DATA'!$F280&amp;";",ROW($1:$99),1),";")),"",ROW($1:$99)),COLUMN(K279)+1)-SMALL(IF(ISERROR(SEARCH(MID(";"&amp;'CASE DATA'!$F280&amp;";",ROW($1:$99),1),";")),"",ROW($1:$99)),COLUMN(K279))-1)</f>
        <v/>
      </c>
      <c r="AG280" s="29" t="str">
        <f t="array" ref="AG280">MID(";"&amp;'CASE DATA'!$F280&amp;";",SMALL(IF(ISERROR(SEARCH(MID(";"&amp;'CASE DATA'!$F280&amp;";",ROW($1:$99),1),";")),"",ROW($1:$99)+1),COLUMN(L280)),SMALL(IF(ISERROR(SEARCH(MID(";"&amp;'CASE DATA'!$F280&amp;";",ROW($1:$99),1),";")),"",ROW($1:$99)),COLUMN(L279)+1)-SMALL(IF(ISERROR(SEARCH(MID(";"&amp;'CASE DATA'!$F280&amp;";",ROW($1:$99),1),";")),"",ROW($1:$99)),COLUMN(L279))-1)</f>
        <v/>
      </c>
      <c r="AH280" s="29"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24"/>
      <c r="D281" s="24"/>
      <c r="J281" s="31"/>
      <c r="K281" s="31"/>
      <c r="L281" s="31"/>
      <c r="M281" s="31"/>
      <c r="N281" s="31"/>
      <c r="O281" s="31"/>
      <c r="P281" s="31"/>
      <c r="Q281" s="31"/>
      <c r="R281" s="31"/>
      <c r="S281" s="31"/>
      <c r="T281" s="28">
        <f t="shared" si="5"/>
        <v>0</v>
      </c>
      <c r="U281" s="28"/>
      <c r="W281" s="29" t="str">
        <f t="array" ref="W281">MID(";"&amp;'CASE DATA'!$F281&amp;";",SMALL(IF(ISERROR(SEARCH(MID(";"&amp;'CASE DATA'!$F281&amp;";",ROW($1:$99),1),";")),"",ROW($1:$99)+1),COLUMN(A281)),SMALL(IF(ISERROR(SEARCH(MID(";"&amp;'CASE DATA'!$F281&amp;";",ROW($1:$99),1),";")),"",ROW($1:$99)),COLUMN(A280)+1)-SMALL(IF(ISERROR(SEARCH(MID(";"&amp;'CASE DATA'!$F281&amp;";",ROW($1:$99),1),";")),"",ROW($1:$99)),COLUMN(A280))-1)</f>
        <v/>
      </c>
      <c r="X281" s="29" t="str">
        <f t="array" ref="X281">MID(";"&amp;'CASE DATA'!$F281&amp;";",SMALL(IF(ISERROR(SEARCH(MID(";"&amp;'CASE DATA'!$F281&amp;";",ROW($1:$99),1),";")),"",ROW($1:$99)+1),COLUMN(B281)),SMALL(IF(ISERROR(SEARCH(MID(";"&amp;'CASE DATA'!$F281&amp;";",ROW($1:$99),1),";")),"",ROW($1:$99)),COLUMN(B280)+1)-SMALL(IF(ISERROR(SEARCH(MID(";"&amp;'CASE DATA'!$F281&amp;";",ROW($1:$99),1),";")),"",ROW($1:$99)),COLUMN(B280))-1)</f>
        <v/>
      </c>
      <c r="Y281" s="29" t="str">
        <f t="array" ref="Y281">MID(";"&amp;'CASE DATA'!$F281&amp;";",SMALL(IF(ISERROR(SEARCH(MID(";"&amp;'CASE DATA'!$F281&amp;";",ROW($1:$99),1),";")),"",ROW($1:$99)+1),COLUMN(D281)),SMALL(IF(ISERROR(SEARCH(MID(";"&amp;'CASE DATA'!$F281&amp;";",ROW($1:$99),1),";")),"",ROW($1:$99)),COLUMN(D280)+1)-SMALL(IF(ISERROR(SEARCH(MID(";"&amp;'CASE DATA'!$F281&amp;";",ROW($1:$99),1),";")),"",ROW($1:$99)),COLUMN(D280))-1)</f>
        <v/>
      </c>
      <c r="Z281" s="29" t="str">
        <f t="array" ref="Z281">MID(";"&amp;'CASE DATA'!$F281&amp;";",SMALL(IF(ISERROR(SEARCH(MID(";"&amp;'CASE DATA'!$F281&amp;";",ROW($1:$99),1),";")),"",ROW($1:$99)+1),COLUMN(E281)),SMALL(IF(ISERROR(SEARCH(MID(";"&amp;'CASE DATA'!$F281&amp;";",ROW($1:$99),1),";")),"",ROW($1:$99)),COLUMN(E280)+1)-SMALL(IF(ISERROR(SEARCH(MID(";"&amp;'CASE DATA'!$F281&amp;";",ROW($1:$99),1),";")),"",ROW($1:$99)),COLUMN(E280))-1)</f>
        <v/>
      </c>
      <c r="AA281" s="29" t="str">
        <f t="array" ref="AA281">MID(";"&amp;'CASE DATA'!$F281&amp;";",SMALL(IF(ISERROR(SEARCH(MID(";"&amp;'CASE DATA'!$F281&amp;";",ROW($1:$99),1),";")),"",ROW($1:$99)+1),COLUMN(F281)),SMALL(IF(ISERROR(SEARCH(MID(";"&amp;'CASE DATA'!$F281&amp;";",ROW($1:$99),1),";")),"",ROW($1:$99)),COLUMN(F280)+1)-SMALL(IF(ISERROR(SEARCH(MID(";"&amp;'CASE DATA'!$F281&amp;";",ROW($1:$99),1),";")),"",ROW($1:$99)),COLUMN(F280))-1)</f>
        <v/>
      </c>
      <c r="AB281" s="29" t="str">
        <f t="array" ref="AB281">MID(";"&amp;'CASE DATA'!$F281&amp;";",SMALL(IF(ISERROR(SEARCH(MID(";"&amp;'CASE DATA'!$F281&amp;";",ROW($1:$99),1),";")),"",ROW($1:$99)+1),COLUMN(G281)),SMALL(IF(ISERROR(SEARCH(MID(";"&amp;'CASE DATA'!$F281&amp;";",ROW($1:$99),1),";")),"",ROW($1:$99)),COLUMN(G280)+1)-SMALL(IF(ISERROR(SEARCH(MID(";"&amp;'CASE DATA'!$F281&amp;";",ROW($1:$99),1),";")),"",ROW($1:$99)),COLUMN(G280))-1)</f>
        <v/>
      </c>
      <c r="AC281" s="29" t="str">
        <f t="array" ref="AC281">MID(";"&amp;'CASE DATA'!$F281&amp;";",SMALL(IF(ISERROR(SEARCH(MID(";"&amp;'CASE DATA'!$F281&amp;";",ROW($1:$99),1),";")),"",ROW($1:$99)+1),COLUMN(H281)),SMALL(IF(ISERROR(SEARCH(MID(";"&amp;'CASE DATA'!$F281&amp;";",ROW($1:$99),1),";")),"",ROW($1:$99)),COLUMN(H280)+1)-SMALL(IF(ISERROR(SEARCH(MID(";"&amp;'CASE DATA'!$F281&amp;";",ROW($1:$99),1),";")),"",ROW($1:$99)),COLUMN(H280))-1)</f>
        <v/>
      </c>
      <c r="AD281" s="29" t="str">
        <f t="array" ref="AD281">MID(";"&amp;'CASE DATA'!$F281&amp;";",SMALL(IF(ISERROR(SEARCH(MID(";"&amp;'CASE DATA'!$F281&amp;";",ROW($1:$99),1),";")),"",ROW($1:$99)+1),COLUMN(I281)),SMALL(IF(ISERROR(SEARCH(MID(";"&amp;'CASE DATA'!$F281&amp;";",ROW($1:$99),1),";")),"",ROW($1:$99)),COLUMN(I280)+1)-SMALL(IF(ISERROR(SEARCH(MID(";"&amp;'CASE DATA'!$F281&amp;";",ROW($1:$99),1),";")),"",ROW($1:$99)),COLUMN(I280))-1)</f>
        <v/>
      </c>
      <c r="AE281" s="29" t="str">
        <f t="array" ref="AE281">MID(";"&amp;'CASE DATA'!$F281&amp;";",SMALL(IF(ISERROR(SEARCH(MID(";"&amp;'CASE DATA'!$F281&amp;";",ROW($1:$99),1),";")),"",ROW($1:$99)+1),COLUMN(J281)),SMALL(IF(ISERROR(SEARCH(MID(";"&amp;'CASE DATA'!$F281&amp;";",ROW($1:$99),1),";")),"",ROW($1:$99)),COLUMN(J280)+1)-SMALL(IF(ISERROR(SEARCH(MID(";"&amp;'CASE DATA'!$F281&amp;";",ROW($1:$99),1),";")),"",ROW($1:$99)),COLUMN(J280))-1)</f>
        <v/>
      </c>
      <c r="AF281" s="29" t="str">
        <f t="array" ref="AF281">MID(";"&amp;'CASE DATA'!$F281&amp;";",SMALL(IF(ISERROR(SEARCH(MID(";"&amp;'CASE DATA'!$F281&amp;";",ROW($1:$99),1),";")),"",ROW($1:$99)+1),COLUMN(K281)),SMALL(IF(ISERROR(SEARCH(MID(";"&amp;'CASE DATA'!$F281&amp;";",ROW($1:$99),1),";")),"",ROW($1:$99)),COLUMN(K280)+1)-SMALL(IF(ISERROR(SEARCH(MID(";"&amp;'CASE DATA'!$F281&amp;";",ROW($1:$99),1),";")),"",ROW($1:$99)),COLUMN(K280))-1)</f>
        <v/>
      </c>
      <c r="AG281" s="29" t="str">
        <f t="array" ref="AG281">MID(";"&amp;'CASE DATA'!$F281&amp;";",SMALL(IF(ISERROR(SEARCH(MID(";"&amp;'CASE DATA'!$F281&amp;";",ROW($1:$99),1),";")),"",ROW($1:$99)+1),COLUMN(L281)),SMALL(IF(ISERROR(SEARCH(MID(";"&amp;'CASE DATA'!$F281&amp;";",ROW($1:$99),1),";")),"",ROW($1:$99)),COLUMN(L280)+1)-SMALL(IF(ISERROR(SEARCH(MID(";"&amp;'CASE DATA'!$F281&amp;";",ROW($1:$99),1),";")),"",ROW($1:$99)),COLUMN(L280))-1)</f>
        <v/>
      </c>
      <c r="AH281" s="29"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24"/>
      <c r="D282" s="24"/>
      <c r="J282" s="31"/>
      <c r="K282" s="31"/>
      <c r="L282" s="31"/>
      <c r="M282" s="31"/>
      <c r="N282" s="31"/>
      <c r="O282" s="31"/>
      <c r="P282" s="31"/>
      <c r="Q282" s="31"/>
      <c r="R282" s="31"/>
      <c r="S282" s="31"/>
      <c r="T282" s="28">
        <f t="shared" si="5"/>
        <v>0</v>
      </c>
      <c r="U282" s="28"/>
      <c r="W282" s="29" t="str">
        <f t="array" ref="W282">MID(";"&amp;'CASE DATA'!$F282&amp;";",SMALL(IF(ISERROR(SEARCH(MID(";"&amp;'CASE DATA'!$F282&amp;";",ROW($1:$99),1),";")),"",ROW($1:$99)+1),COLUMN(A282)),SMALL(IF(ISERROR(SEARCH(MID(";"&amp;'CASE DATA'!$F282&amp;";",ROW($1:$99),1),";")),"",ROW($1:$99)),COLUMN(A281)+1)-SMALL(IF(ISERROR(SEARCH(MID(";"&amp;'CASE DATA'!$F282&amp;";",ROW($1:$99),1),";")),"",ROW($1:$99)),COLUMN(A281))-1)</f>
        <v/>
      </c>
      <c r="X282" s="29" t="str">
        <f t="array" ref="X282">MID(";"&amp;'CASE DATA'!$F282&amp;";",SMALL(IF(ISERROR(SEARCH(MID(";"&amp;'CASE DATA'!$F282&amp;";",ROW($1:$99),1),";")),"",ROW($1:$99)+1),COLUMN(B282)),SMALL(IF(ISERROR(SEARCH(MID(";"&amp;'CASE DATA'!$F282&amp;";",ROW($1:$99),1),";")),"",ROW($1:$99)),COLUMN(B281)+1)-SMALL(IF(ISERROR(SEARCH(MID(";"&amp;'CASE DATA'!$F282&amp;";",ROW($1:$99),1),";")),"",ROW($1:$99)),COLUMN(B281))-1)</f>
        <v/>
      </c>
      <c r="Y282" s="29" t="str">
        <f t="array" ref="Y282">MID(";"&amp;'CASE DATA'!$F282&amp;";",SMALL(IF(ISERROR(SEARCH(MID(";"&amp;'CASE DATA'!$F282&amp;";",ROW($1:$99),1),";")),"",ROW($1:$99)+1),COLUMN(D282)),SMALL(IF(ISERROR(SEARCH(MID(";"&amp;'CASE DATA'!$F282&amp;";",ROW($1:$99),1),";")),"",ROW($1:$99)),COLUMN(D281)+1)-SMALL(IF(ISERROR(SEARCH(MID(";"&amp;'CASE DATA'!$F282&amp;";",ROW($1:$99),1),";")),"",ROW($1:$99)),COLUMN(D281))-1)</f>
        <v/>
      </c>
      <c r="Z282" s="29" t="str">
        <f t="array" ref="Z282">MID(";"&amp;'CASE DATA'!$F282&amp;";",SMALL(IF(ISERROR(SEARCH(MID(";"&amp;'CASE DATA'!$F282&amp;";",ROW($1:$99),1),";")),"",ROW($1:$99)+1),COLUMN(E282)),SMALL(IF(ISERROR(SEARCH(MID(";"&amp;'CASE DATA'!$F282&amp;";",ROW($1:$99),1),";")),"",ROW($1:$99)),COLUMN(E281)+1)-SMALL(IF(ISERROR(SEARCH(MID(";"&amp;'CASE DATA'!$F282&amp;";",ROW($1:$99),1),";")),"",ROW($1:$99)),COLUMN(E281))-1)</f>
        <v/>
      </c>
      <c r="AA282" s="29" t="str">
        <f t="array" ref="AA282">MID(";"&amp;'CASE DATA'!$F282&amp;";",SMALL(IF(ISERROR(SEARCH(MID(";"&amp;'CASE DATA'!$F282&amp;";",ROW($1:$99),1),";")),"",ROW($1:$99)+1),COLUMN(F282)),SMALL(IF(ISERROR(SEARCH(MID(";"&amp;'CASE DATA'!$F282&amp;";",ROW($1:$99),1),";")),"",ROW($1:$99)),COLUMN(F281)+1)-SMALL(IF(ISERROR(SEARCH(MID(";"&amp;'CASE DATA'!$F282&amp;";",ROW($1:$99),1),";")),"",ROW($1:$99)),COLUMN(F281))-1)</f>
        <v/>
      </c>
      <c r="AB282" s="29" t="str">
        <f t="array" ref="AB282">MID(";"&amp;'CASE DATA'!$F282&amp;";",SMALL(IF(ISERROR(SEARCH(MID(";"&amp;'CASE DATA'!$F282&amp;";",ROW($1:$99),1),";")),"",ROW($1:$99)+1),COLUMN(G282)),SMALL(IF(ISERROR(SEARCH(MID(";"&amp;'CASE DATA'!$F282&amp;";",ROW($1:$99),1),";")),"",ROW($1:$99)),COLUMN(G281)+1)-SMALL(IF(ISERROR(SEARCH(MID(";"&amp;'CASE DATA'!$F282&amp;";",ROW($1:$99),1),";")),"",ROW($1:$99)),COLUMN(G281))-1)</f>
        <v/>
      </c>
      <c r="AC282" s="29" t="str">
        <f t="array" ref="AC282">MID(";"&amp;'CASE DATA'!$F282&amp;";",SMALL(IF(ISERROR(SEARCH(MID(";"&amp;'CASE DATA'!$F282&amp;";",ROW($1:$99),1),";")),"",ROW($1:$99)+1),COLUMN(H282)),SMALL(IF(ISERROR(SEARCH(MID(";"&amp;'CASE DATA'!$F282&amp;";",ROW($1:$99),1),";")),"",ROW($1:$99)),COLUMN(H281)+1)-SMALL(IF(ISERROR(SEARCH(MID(";"&amp;'CASE DATA'!$F282&amp;";",ROW($1:$99),1),";")),"",ROW($1:$99)),COLUMN(H281))-1)</f>
        <v/>
      </c>
      <c r="AD282" s="29" t="str">
        <f t="array" ref="AD282">MID(";"&amp;'CASE DATA'!$F282&amp;";",SMALL(IF(ISERROR(SEARCH(MID(";"&amp;'CASE DATA'!$F282&amp;";",ROW($1:$99),1),";")),"",ROW($1:$99)+1),COLUMN(I282)),SMALL(IF(ISERROR(SEARCH(MID(";"&amp;'CASE DATA'!$F282&amp;";",ROW($1:$99),1),";")),"",ROW($1:$99)),COLUMN(I281)+1)-SMALL(IF(ISERROR(SEARCH(MID(";"&amp;'CASE DATA'!$F282&amp;";",ROW($1:$99),1),";")),"",ROW($1:$99)),COLUMN(I281))-1)</f>
        <v/>
      </c>
      <c r="AE282" s="29" t="str">
        <f t="array" ref="AE282">MID(";"&amp;'CASE DATA'!$F282&amp;";",SMALL(IF(ISERROR(SEARCH(MID(";"&amp;'CASE DATA'!$F282&amp;";",ROW($1:$99),1),";")),"",ROW($1:$99)+1),COLUMN(J282)),SMALL(IF(ISERROR(SEARCH(MID(";"&amp;'CASE DATA'!$F282&amp;";",ROW($1:$99),1),";")),"",ROW($1:$99)),COLUMN(J281)+1)-SMALL(IF(ISERROR(SEARCH(MID(";"&amp;'CASE DATA'!$F282&amp;";",ROW($1:$99),1),";")),"",ROW($1:$99)),COLUMN(J281))-1)</f>
        <v/>
      </c>
      <c r="AF282" s="29" t="str">
        <f t="array" ref="AF282">MID(";"&amp;'CASE DATA'!$F282&amp;";",SMALL(IF(ISERROR(SEARCH(MID(";"&amp;'CASE DATA'!$F282&amp;";",ROW($1:$99),1),";")),"",ROW($1:$99)+1),COLUMN(K282)),SMALL(IF(ISERROR(SEARCH(MID(";"&amp;'CASE DATA'!$F282&amp;";",ROW($1:$99),1),";")),"",ROW($1:$99)),COLUMN(K281)+1)-SMALL(IF(ISERROR(SEARCH(MID(";"&amp;'CASE DATA'!$F282&amp;";",ROW($1:$99),1),";")),"",ROW($1:$99)),COLUMN(K281))-1)</f>
        <v/>
      </c>
      <c r="AG282" s="29" t="str">
        <f t="array" ref="AG282">MID(";"&amp;'CASE DATA'!$F282&amp;";",SMALL(IF(ISERROR(SEARCH(MID(";"&amp;'CASE DATA'!$F282&amp;";",ROW($1:$99),1),";")),"",ROW($1:$99)+1),COLUMN(L282)),SMALL(IF(ISERROR(SEARCH(MID(";"&amp;'CASE DATA'!$F282&amp;";",ROW($1:$99),1),";")),"",ROW($1:$99)),COLUMN(L281)+1)-SMALL(IF(ISERROR(SEARCH(MID(";"&amp;'CASE DATA'!$F282&amp;";",ROW($1:$99),1),";")),"",ROW($1:$99)),COLUMN(L281))-1)</f>
        <v/>
      </c>
      <c r="AH282" s="29"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24"/>
      <c r="D283" s="24"/>
      <c r="J283" s="31"/>
      <c r="K283" s="31"/>
      <c r="L283" s="31"/>
      <c r="M283" s="31"/>
      <c r="N283" s="31"/>
      <c r="O283" s="31"/>
      <c r="P283" s="31"/>
      <c r="Q283" s="31"/>
      <c r="R283" s="31"/>
      <c r="S283" s="31"/>
      <c r="T283" s="28">
        <f t="shared" si="5"/>
        <v>0</v>
      </c>
      <c r="U283" s="28"/>
      <c r="W283" s="29" t="str">
        <f t="array" ref="W283">MID(";"&amp;'CASE DATA'!$F283&amp;";",SMALL(IF(ISERROR(SEARCH(MID(";"&amp;'CASE DATA'!$F283&amp;";",ROW($1:$99),1),";")),"",ROW($1:$99)+1),COLUMN(A283)),SMALL(IF(ISERROR(SEARCH(MID(";"&amp;'CASE DATA'!$F283&amp;";",ROW($1:$99),1),";")),"",ROW($1:$99)),COLUMN(A282)+1)-SMALL(IF(ISERROR(SEARCH(MID(";"&amp;'CASE DATA'!$F283&amp;";",ROW($1:$99),1),";")),"",ROW($1:$99)),COLUMN(A282))-1)</f>
        <v/>
      </c>
      <c r="X283" s="29" t="str">
        <f t="array" ref="X283">MID(";"&amp;'CASE DATA'!$F283&amp;";",SMALL(IF(ISERROR(SEARCH(MID(";"&amp;'CASE DATA'!$F283&amp;";",ROW($1:$99),1),";")),"",ROW($1:$99)+1),COLUMN(B283)),SMALL(IF(ISERROR(SEARCH(MID(";"&amp;'CASE DATA'!$F283&amp;";",ROW($1:$99),1),";")),"",ROW($1:$99)),COLUMN(B282)+1)-SMALL(IF(ISERROR(SEARCH(MID(";"&amp;'CASE DATA'!$F283&amp;";",ROW($1:$99),1),";")),"",ROW($1:$99)),COLUMN(B282))-1)</f>
        <v/>
      </c>
      <c r="Y283" s="29" t="str">
        <f t="array" ref="Y283">MID(";"&amp;'CASE DATA'!$F283&amp;";",SMALL(IF(ISERROR(SEARCH(MID(";"&amp;'CASE DATA'!$F283&amp;";",ROW($1:$99),1),";")),"",ROW($1:$99)+1),COLUMN(D283)),SMALL(IF(ISERROR(SEARCH(MID(";"&amp;'CASE DATA'!$F283&amp;";",ROW($1:$99),1),";")),"",ROW($1:$99)),COLUMN(D282)+1)-SMALL(IF(ISERROR(SEARCH(MID(";"&amp;'CASE DATA'!$F283&amp;";",ROW($1:$99),1),";")),"",ROW($1:$99)),COLUMN(D282))-1)</f>
        <v/>
      </c>
      <c r="Z283" s="29" t="str">
        <f t="array" ref="Z283">MID(";"&amp;'CASE DATA'!$F283&amp;";",SMALL(IF(ISERROR(SEARCH(MID(";"&amp;'CASE DATA'!$F283&amp;";",ROW($1:$99),1),";")),"",ROW($1:$99)+1),COLUMN(E283)),SMALL(IF(ISERROR(SEARCH(MID(";"&amp;'CASE DATA'!$F283&amp;";",ROW($1:$99),1),";")),"",ROW($1:$99)),COLUMN(E282)+1)-SMALL(IF(ISERROR(SEARCH(MID(";"&amp;'CASE DATA'!$F283&amp;";",ROW($1:$99),1),";")),"",ROW($1:$99)),COLUMN(E282))-1)</f>
        <v/>
      </c>
      <c r="AA283" s="29" t="str">
        <f t="array" ref="AA283">MID(";"&amp;'CASE DATA'!$F283&amp;";",SMALL(IF(ISERROR(SEARCH(MID(";"&amp;'CASE DATA'!$F283&amp;";",ROW($1:$99),1),";")),"",ROW($1:$99)+1),COLUMN(F283)),SMALL(IF(ISERROR(SEARCH(MID(";"&amp;'CASE DATA'!$F283&amp;";",ROW($1:$99),1),";")),"",ROW($1:$99)),COLUMN(F282)+1)-SMALL(IF(ISERROR(SEARCH(MID(";"&amp;'CASE DATA'!$F283&amp;";",ROW($1:$99),1),";")),"",ROW($1:$99)),COLUMN(F282))-1)</f>
        <v/>
      </c>
      <c r="AB283" s="29" t="str">
        <f t="array" ref="AB283">MID(";"&amp;'CASE DATA'!$F283&amp;";",SMALL(IF(ISERROR(SEARCH(MID(";"&amp;'CASE DATA'!$F283&amp;";",ROW($1:$99),1),";")),"",ROW($1:$99)+1),COLUMN(G283)),SMALL(IF(ISERROR(SEARCH(MID(";"&amp;'CASE DATA'!$F283&amp;";",ROW($1:$99),1),";")),"",ROW($1:$99)),COLUMN(G282)+1)-SMALL(IF(ISERROR(SEARCH(MID(";"&amp;'CASE DATA'!$F283&amp;";",ROW($1:$99),1),";")),"",ROW($1:$99)),COLUMN(G282))-1)</f>
        <v/>
      </c>
      <c r="AC283" s="29" t="str">
        <f t="array" ref="AC283">MID(";"&amp;'CASE DATA'!$F283&amp;";",SMALL(IF(ISERROR(SEARCH(MID(";"&amp;'CASE DATA'!$F283&amp;";",ROW($1:$99),1),";")),"",ROW($1:$99)+1),COLUMN(H283)),SMALL(IF(ISERROR(SEARCH(MID(";"&amp;'CASE DATA'!$F283&amp;";",ROW($1:$99),1),";")),"",ROW($1:$99)),COLUMN(H282)+1)-SMALL(IF(ISERROR(SEARCH(MID(";"&amp;'CASE DATA'!$F283&amp;";",ROW($1:$99),1),";")),"",ROW($1:$99)),COLUMN(H282))-1)</f>
        <v/>
      </c>
      <c r="AD283" s="29" t="str">
        <f t="array" ref="AD283">MID(";"&amp;'CASE DATA'!$F283&amp;";",SMALL(IF(ISERROR(SEARCH(MID(";"&amp;'CASE DATA'!$F283&amp;";",ROW($1:$99),1),";")),"",ROW($1:$99)+1),COLUMN(I283)),SMALL(IF(ISERROR(SEARCH(MID(";"&amp;'CASE DATA'!$F283&amp;";",ROW($1:$99),1),";")),"",ROW($1:$99)),COLUMN(I282)+1)-SMALL(IF(ISERROR(SEARCH(MID(";"&amp;'CASE DATA'!$F283&amp;";",ROW($1:$99),1),";")),"",ROW($1:$99)),COLUMN(I282))-1)</f>
        <v/>
      </c>
      <c r="AE283" s="29" t="str">
        <f t="array" ref="AE283">MID(";"&amp;'CASE DATA'!$F283&amp;";",SMALL(IF(ISERROR(SEARCH(MID(";"&amp;'CASE DATA'!$F283&amp;";",ROW($1:$99),1),";")),"",ROW($1:$99)+1),COLUMN(J283)),SMALL(IF(ISERROR(SEARCH(MID(";"&amp;'CASE DATA'!$F283&amp;";",ROW($1:$99),1),";")),"",ROW($1:$99)),COLUMN(J282)+1)-SMALL(IF(ISERROR(SEARCH(MID(";"&amp;'CASE DATA'!$F283&amp;";",ROW($1:$99),1),";")),"",ROW($1:$99)),COLUMN(J282))-1)</f>
        <v/>
      </c>
      <c r="AF283" s="29" t="str">
        <f t="array" ref="AF283">MID(";"&amp;'CASE DATA'!$F283&amp;";",SMALL(IF(ISERROR(SEARCH(MID(";"&amp;'CASE DATA'!$F283&amp;";",ROW($1:$99),1),";")),"",ROW($1:$99)+1),COLUMN(K283)),SMALL(IF(ISERROR(SEARCH(MID(";"&amp;'CASE DATA'!$F283&amp;";",ROW($1:$99),1),";")),"",ROW($1:$99)),COLUMN(K282)+1)-SMALL(IF(ISERROR(SEARCH(MID(";"&amp;'CASE DATA'!$F283&amp;";",ROW($1:$99),1),";")),"",ROW($1:$99)),COLUMN(K282))-1)</f>
        <v/>
      </c>
      <c r="AG283" s="29" t="str">
        <f t="array" ref="AG283">MID(";"&amp;'CASE DATA'!$F283&amp;";",SMALL(IF(ISERROR(SEARCH(MID(";"&amp;'CASE DATA'!$F283&amp;";",ROW($1:$99),1),";")),"",ROW($1:$99)+1),COLUMN(L283)),SMALL(IF(ISERROR(SEARCH(MID(";"&amp;'CASE DATA'!$F283&amp;";",ROW($1:$99),1),";")),"",ROW($1:$99)),COLUMN(L282)+1)-SMALL(IF(ISERROR(SEARCH(MID(";"&amp;'CASE DATA'!$F283&amp;";",ROW($1:$99),1),";")),"",ROW($1:$99)),COLUMN(L282))-1)</f>
        <v/>
      </c>
      <c r="AH283" s="29"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24"/>
      <c r="D284" s="24"/>
      <c r="J284" s="31"/>
      <c r="K284" s="31"/>
      <c r="L284" s="31"/>
      <c r="M284" s="31"/>
      <c r="N284" s="31"/>
      <c r="O284" s="31"/>
      <c r="P284" s="31"/>
      <c r="Q284" s="31"/>
      <c r="R284" s="31"/>
      <c r="S284" s="31"/>
      <c r="T284" s="28">
        <f t="shared" si="5"/>
        <v>0</v>
      </c>
      <c r="U284" s="28"/>
      <c r="W284" s="29" t="str">
        <f t="array" ref="W284">MID(";"&amp;'CASE DATA'!$F284&amp;";",SMALL(IF(ISERROR(SEARCH(MID(";"&amp;'CASE DATA'!$F284&amp;";",ROW($1:$99),1),";")),"",ROW($1:$99)+1),COLUMN(A284)),SMALL(IF(ISERROR(SEARCH(MID(";"&amp;'CASE DATA'!$F284&amp;";",ROW($1:$99),1),";")),"",ROW($1:$99)),COLUMN(A283)+1)-SMALL(IF(ISERROR(SEARCH(MID(";"&amp;'CASE DATA'!$F284&amp;";",ROW($1:$99),1),";")),"",ROW($1:$99)),COLUMN(A283))-1)</f>
        <v/>
      </c>
      <c r="X284" s="29" t="str">
        <f t="array" ref="X284">MID(";"&amp;'CASE DATA'!$F284&amp;";",SMALL(IF(ISERROR(SEARCH(MID(";"&amp;'CASE DATA'!$F284&amp;";",ROW($1:$99),1),";")),"",ROW($1:$99)+1),COLUMN(B284)),SMALL(IF(ISERROR(SEARCH(MID(";"&amp;'CASE DATA'!$F284&amp;";",ROW($1:$99),1),";")),"",ROW($1:$99)),COLUMN(B283)+1)-SMALL(IF(ISERROR(SEARCH(MID(";"&amp;'CASE DATA'!$F284&amp;";",ROW($1:$99),1),";")),"",ROW($1:$99)),COLUMN(B283))-1)</f>
        <v/>
      </c>
      <c r="Y284" s="29" t="str">
        <f t="array" ref="Y284">MID(";"&amp;'CASE DATA'!$F284&amp;";",SMALL(IF(ISERROR(SEARCH(MID(";"&amp;'CASE DATA'!$F284&amp;";",ROW($1:$99),1),";")),"",ROW($1:$99)+1),COLUMN(D284)),SMALL(IF(ISERROR(SEARCH(MID(";"&amp;'CASE DATA'!$F284&amp;";",ROW($1:$99),1),";")),"",ROW($1:$99)),COLUMN(D283)+1)-SMALL(IF(ISERROR(SEARCH(MID(";"&amp;'CASE DATA'!$F284&amp;";",ROW($1:$99),1),";")),"",ROW($1:$99)),COLUMN(D283))-1)</f>
        <v/>
      </c>
      <c r="Z284" s="29" t="str">
        <f t="array" ref="Z284">MID(";"&amp;'CASE DATA'!$F284&amp;";",SMALL(IF(ISERROR(SEARCH(MID(";"&amp;'CASE DATA'!$F284&amp;";",ROW($1:$99),1),";")),"",ROW($1:$99)+1),COLUMN(E284)),SMALL(IF(ISERROR(SEARCH(MID(";"&amp;'CASE DATA'!$F284&amp;";",ROW($1:$99),1),";")),"",ROW($1:$99)),COLUMN(E283)+1)-SMALL(IF(ISERROR(SEARCH(MID(";"&amp;'CASE DATA'!$F284&amp;";",ROW($1:$99),1),";")),"",ROW($1:$99)),COLUMN(E283))-1)</f>
        <v/>
      </c>
      <c r="AA284" s="29" t="str">
        <f t="array" ref="AA284">MID(";"&amp;'CASE DATA'!$F284&amp;";",SMALL(IF(ISERROR(SEARCH(MID(";"&amp;'CASE DATA'!$F284&amp;";",ROW($1:$99),1),";")),"",ROW($1:$99)+1),COLUMN(F284)),SMALL(IF(ISERROR(SEARCH(MID(";"&amp;'CASE DATA'!$F284&amp;";",ROW($1:$99),1),";")),"",ROW($1:$99)),COLUMN(F283)+1)-SMALL(IF(ISERROR(SEARCH(MID(";"&amp;'CASE DATA'!$F284&amp;";",ROW($1:$99),1),";")),"",ROW($1:$99)),COLUMN(F283))-1)</f>
        <v/>
      </c>
      <c r="AB284" s="29" t="str">
        <f t="array" ref="AB284">MID(";"&amp;'CASE DATA'!$F284&amp;";",SMALL(IF(ISERROR(SEARCH(MID(";"&amp;'CASE DATA'!$F284&amp;";",ROW($1:$99),1),";")),"",ROW($1:$99)+1),COLUMN(G284)),SMALL(IF(ISERROR(SEARCH(MID(";"&amp;'CASE DATA'!$F284&amp;";",ROW($1:$99),1),";")),"",ROW($1:$99)),COLUMN(G283)+1)-SMALL(IF(ISERROR(SEARCH(MID(";"&amp;'CASE DATA'!$F284&amp;";",ROW($1:$99),1),";")),"",ROW($1:$99)),COLUMN(G283))-1)</f>
        <v/>
      </c>
      <c r="AC284" s="29" t="str">
        <f t="array" ref="AC284">MID(";"&amp;'CASE DATA'!$F284&amp;";",SMALL(IF(ISERROR(SEARCH(MID(";"&amp;'CASE DATA'!$F284&amp;";",ROW($1:$99),1),";")),"",ROW($1:$99)+1),COLUMN(H284)),SMALL(IF(ISERROR(SEARCH(MID(";"&amp;'CASE DATA'!$F284&amp;";",ROW($1:$99),1),";")),"",ROW($1:$99)),COLUMN(H283)+1)-SMALL(IF(ISERROR(SEARCH(MID(";"&amp;'CASE DATA'!$F284&amp;";",ROW($1:$99),1),";")),"",ROW($1:$99)),COLUMN(H283))-1)</f>
        <v/>
      </c>
      <c r="AD284" s="29" t="str">
        <f t="array" ref="AD284">MID(";"&amp;'CASE DATA'!$F284&amp;";",SMALL(IF(ISERROR(SEARCH(MID(";"&amp;'CASE DATA'!$F284&amp;";",ROW($1:$99),1),";")),"",ROW($1:$99)+1),COLUMN(I284)),SMALL(IF(ISERROR(SEARCH(MID(";"&amp;'CASE DATA'!$F284&amp;";",ROW($1:$99),1),";")),"",ROW($1:$99)),COLUMN(I283)+1)-SMALL(IF(ISERROR(SEARCH(MID(";"&amp;'CASE DATA'!$F284&amp;";",ROW($1:$99),1),";")),"",ROW($1:$99)),COLUMN(I283))-1)</f>
        <v/>
      </c>
      <c r="AE284" s="29" t="str">
        <f t="array" ref="AE284">MID(";"&amp;'CASE DATA'!$F284&amp;";",SMALL(IF(ISERROR(SEARCH(MID(";"&amp;'CASE DATA'!$F284&amp;";",ROW($1:$99),1),";")),"",ROW($1:$99)+1),COLUMN(J284)),SMALL(IF(ISERROR(SEARCH(MID(";"&amp;'CASE DATA'!$F284&amp;";",ROW($1:$99),1),";")),"",ROW($1:$99)),COLUMN(J283)+1)-SMALL(IF(ISERROR(SEARCH(MID(";"&amp;'CASE DATA'!$F284&amp;";",ROW($1:$99),1),";")),"",ROW($1:$99)),COLUMN(J283))-1)</f>
        <v/>
      </c>
      <c r="AF284" s="29" t="str">
        <f t="array" ref="AF284">MID(";"&amp;'CASE DATA'!$F284&amp;";",SMALL(IF(ISERROR(SEARCH(MID(";"&amp;'CASE DATA'!$F284&amp;";",ROW($1:$99),1),";")),"",ROW($1:$99)+1),COLUMN(K284)),SMALL(IF(ISERROR(SEARCH(MID(";"&amp;'CASE DATA'!$F284&amp;";",ROW($1:$99),1),";")),"",ROW($1:$99)),COLUMN(K283)+1)-SMALL(IF(ISERROR(SEARCH(MID(";"&amp;'CASE DATA'!$F284&amp;";",ROW($1:$99),1),";")),"",ROW($1:$99)),COLUMN(K283))-1)</f>
        <v/>
      </c>
      <c r="AG284" s="29" t="str">
        <f t="array" ref="AG284">MID(";"&amp;'CASE DATA'!$F284&amp;";",SMALL(IF(ISERROR(SEARCH(MID(";"&amp;'CASE DATA'!$F284&amp;";",ROW($1:$99),1),";")),"",ROW($1:$99)+1),COLUMN(L284)),SMALL(IF(ISERROR(SEARCH(MID(";"&amp;'CASE DATA'!$F284&amp;";",ROW($1:$99),1),";")),"",ROW($1:$99)),COLUMN(L283)+1)-SMALL(IF(ISERROR(SEARCH(MID(";"&amp;'CASE DATA'!$F284&amp;";",ROW($1:$99),1),";")),"",ROW($1:$99)),COLUMN(L283))-1)</f>
        <v/>
      </c>
      <c r="AH284" s="29"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24"/>
      <c r="D285" s="24"/>
      <c r="J285" s="31"/>
      <c r="K285" s="31"/>
      <c r="L285" s="31"/>
      <c r="M285" s="31"/>
      <c r="N285" s="31"/>
      <c r="O285" s="31"/>
      <c r="P285" s="31"/>
      <c r="Q285" s="31"/>
      <c r="R285" s="31"/>
      <c r="S285" s="31"/>
      <c r="T285" s="28">
        <f t="shared" si="5"/>
        <v>0</v>
      </c>
      <c r="U285" s="28"/>
      <c r="W285" s="29" t="str">
        <f t="array" ref="W285">MID(";"&amp;'CASE DATA'!$F285&amp;";",SMALL(IF(ISERROR(SEARCH(MID(";"&amp;'CASE DATA'!$F285&amp;";",ROW($1:$99),1),";")),"",ROW($1:$99)+1),COLUMN(A285)),SMALL(IF(ISERROR(SEARCH(MID(";"&amp;'CASE DATA'!$F285&amp;";",ROW($1:$99),1),";")),"",ROW($1:$99)),COLUMN(A284)+1)-SMALL(IF(ISERROR(SEARCH(MID(";"&amp;'CASE DATA'!$F285&amp;";",ROW($1:$99),1),";")),"",ROW($1:$99)),COLUMN(A284))-1)</f>
        <v/>
      </c>
      <c r="X285" s="29" t="str">
        <f t="array" ref="X285">MID(";"&amp;'CASE DATA'!$F285&amp;";",SMALL(IF(ISERROR(SEARCH(MID(";"&amp;'CASE DATA'!$F285&amp;";",ROW($1:$99),1),";")),"",ROW($1:$99)+1),COLUMN(B285)),SMALL(IF(ISERROR(SEARCH(MID(";"&amp;'CASE DATA'!$F285&amp;";",ROW($1:$99),1),";")),"",ROW($1:$99)),COLUMN(B284)+1)-SMALL(IF(ISERROR(SEARCH(MID(";"&amp;'CASE DATA'!$F285&amp;";",ROW($1:$99),1),";")),"",ROW($1:$99)),COLUMN(B284))-1)</f>
        <v/>
      </c>
      <c r="Y285" s="29" t="str">
        <f t="array" ref="Y285">MID(";"&amp;'CASE DATA'!$F285&amp;";",SMALL(IF(ISERROR(SEARCH(MID(";"&amp;'CASE DATA'!$F285&amp;";",ROW($1:$99),1),";")),"",ROW($1:$99)+1),COLUMN(D285)),SMALL(IF(ISERROR(SEARCH(MID(";"&amp;'CASE DATA'!$F285&amp;";",ROW($1:$99),1),";")),"",ROW($1:$99)),COLUMN(D284)+1)-SMALL(IF(ISERROR(SEARCH(MID(";"&amp;'CASE DATA'!$F285&amp;";",ROW($1:$99),1),";")),"",ROW($1:$99)),COLUMN(D284))-1)</f>
        <v/>
      </c>
      <c r="Z285" s="29" t="str">
        <f t="array" ref="Z285">MID(";"&amp;'CASE DATA'!$F285&amp;";",SMALL(IF(ISERROR(SEARCH(MID(";"&amp;'CASE DATA'!$F285&amp;";",ROW($1:$99),1),";")),"",ROW($1:$99)+1),COLUMN(E285)),SMALL(IF(ISERROR(SEARCH(MID(";"&amp;'CASE DATA'!$F285&amp;";",ROW($1:$99),1),";")),"",ROW($1:$99)),COLUMN(E284)+1)-SMALL(IF(ISERROR(SEARCH(MID(";"&amp;'CASE DATA'!$F285&amp;";",ROW($1:$99),1),";")),"",ROW($1:$99)),COLUMN(E284))-1)</f>
        <v/>
      </c>
      <c r="AA285" s="29" t="str">
        <f t="array" ref="AA285">MID(";"&amp;'CASE DATA'!$F285&amp;";",SMALL(IF(ISERROR(SEARCH(MID(";"&amp;'CASE DATA'!$F285&amp;";",ROW($1:$99),1),";")),"",ROW($1:$99)+1),COLUMN(F285)),SMALL(IF(ISERROR(SEARCH(MID(";"&amp;'CASE DATA'!$F285&amp;";",ROW($1:$99),1),";")),"",ROW($1:$99)),COLUMN(F284)+1)-SMALL(IF(ISERROR(SEARCH(MID(";"&amp;'CASE DATA'!$F285&amp;";",ROW($1:$99),1),";")),"",ROW($1:$99)),COLUMN(F284))-1)</f>
        <v/>
      </c>
      <c r="AB285" s="29" t="str">
        <f t="array" ref="AB285">MID(";"&amp;'CASE DATA'!$F285&amp;";",SMALL(IF(ISERROR(SEARCH(MID(";"&amp;'CASE DATA'!$F285&amp;";",ROW($1:$99),1),";")),"",ROW($1:$99)+1),COLUMN(G285)),SMALL(IF(ISERROR(SEARCH(MID(";"&amp;'CASE DATA'!$F285&amp;";",ROW($1:$99),1),";")),"",ROW($1:$99)),COLUMN(G284)+1)-SMALL(IF(ISERROR(SEARCH(MID(";"&amp;'CASE DATA'!$F285&amp;";",ROW($1:$99),1),";")),"",ROW($1:$99)),COLUMN(G284))-1)</f>
        <v/>
      </c>
      <c r="AC285" s="29" t="str">
        <f t="array" ref="AC285">MID(";"&amp;'CASE DATA'!$F285&amp;";",SMALL(IF(ISERROR(SEARCH(MID(";"&amp;'CASE DATA'!$F285&amp;";",ROW($1:$99),1),";")),"",ROW($1:$99)+1),COLUMN(H285)),SMALL(IF(ISERROR(SEARCH(MID(";"&amp;'CASE DATA'!$F285&amp;";",ROW($1:$99),1),";")),"",ROW($1:$99)),COLUMN(H284)+1)-SMALL(IF(ISERROR(SEARCH(MID(";"&amp;'CASE DATA'!$F285&amp;";",ROW($1:$99),1),";")),"",ROW($1:$99)),COLUMN(H284))-1)</f>
        <v/>
      </c>
      <c r="AD285" s="29" t="str">
        <f t="array" ref="AD285">MID(";"&amp;'CASE DATA'!$F285&amp;";",SMALL(IF(ISERROR(SEARCH(MID(";"&amp;'CASE DATA'!$F285&amp;";",ROW($1:$99),1),";")),"",ROW($1:$99)+1),COLUMN(I285)),SMALL(IF(ISERROR(SEARCH(MID(";"&amp;'CASE DATA'!$F285&amp;";",ROW($1:$99),1),";")),"",ROW($1:$99)),COLUMN(I284)+1)-SMALL(IF(ISERROR(SEARCH(MID(";"&amp;'CASE DATA'!$F285&amp;";",ROW($1:$99),1),";")),"",ROW($1:$99)),COLUMN(I284))-1)</f>
        <v/>
      </c>
      <c r="AE285" s="29" t="str">
        <f t="array" ref="AE285">MID(";"&amp;'CASE DATA'!$F285&amp;";",SMALL(IF(ISERROR(SEARCH(MID(";"&amp;'CASE DATA'!$F285&amp;";",ROW($1:$99),1),";")),"",ROW($1:$99)+1),COLUMN(J285)),SMALL(IF(ISERROR(SEARCH(MID(";"&amp;'CASE DATA'!$F285&amp;";",ROW($1:$99),1),";")),"",ROW($1:$99)),COLUMN(J284)+1)-SMALL(IF(ISERROR(SEARCH(MID(";"&amp;'CASE DATA'!$F285&amp;";",ROW($1:$99),1),";")),"",ROW($1:$99)),COLUMN(J284))-1)</f>
        <v/>
      </c>
      <c r="AF285" s="29" t="str">
        <f t="array" ref="AF285">MID(";"&amp;'CASE DATA'!$F285&amp;";",SMALL(IF(ISERROR(SEARCH(MID(";"&amp;'CASE DATA'!$F285&amp;";",ROW($1:$99),1),";")),"",ROW($1:$99)+1),COLUMN(K285)),SMALL(IF(ISERROR(SEARCH(MID(";"&amp;'CASE DATA'!$F285&amp;";",ROW($1:$99),1),";")),"",ROW($1:$99)),COLUMN(K284)+1)-SMALL(IF(ISERROR(SEARCH(MID(";"&amp;'CASE DATA'!$F285&amp;";",ROW($1:$99),1),";")),"",ROW($1:$99)),COLUMN(K284))-1)</f>
        <v/>
      </c>
      <c r="AG285" s="29" t="str">
        <f t="array" ref="AG285">MID(";"&amp;'CASE DATA'!$F285&amp;";",SMALL(IF(ISERROR(SEARCH(MID(";"&amp;'CASE DATA'!$F285&amp;";",ROW($1:$99),1),";")),"",ROW($1:$99)+1),COLUMN(L285)),SMALL(IF(ISERROR(SEARCH(MID(";"&amp;'CASE DATA'!$F285&amp;";",ROW($1:$99),1),";")),"",ROW($1:$99)),COLUMN(L284)+1)-SMALL(IF(ISERROR(SEARCH(MID(";"&amp;'CASE DATA'!$F285&amp;";",ROW($1:$99),1),";")),"",ROW($1:$99)),COLUMN(L284))-1)</f>
        <v/>
      </c>
      <c r="AH285" s="29"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24"/>
      <c r="D286" s="24"/>
      <c r="J286" s="31"/>
      <c r="K286" s="31"/>
      <c r="L286" s="31"/>
      <c r="M286" s="31"/>
      <c r="N286" s="31"/>
      <c r="O286" s="31"/>
      <c r="P286" s="31"/>
      <c r="Q286" s="31"/>
      <c r="R286" s="31"/>
      <c r="S286" s="31"/>
      <c r="T286" s="28">
        <f t="shared" si="5"/>
        <v>0</v>
      </c>
      <c r="U286" s="28"/>
      <c r="W286" s="29" t="str">
        <f t="array" ref="W286">MID(";"&amp;'CASE DATA'!$F286&amp;";",SMALL(IF(ISERROR(SEARCH(MID(";"&amp;'CASE DATA'!$F286&amp;";",ROW($1:$99),1),";")),"",ROW($1:$99)+1),COLUMN(A286)),SMALL(IF(ISERROR(SEARCH(MID(";"&amp;'CASE DATA'!$F286&amp;";",ROW($1:$99),1),";")),"",ROW($1:$99)),COLUMN(A285)+1)-SMALL(IF(ISERROR(SEARCH(MID(";"&amp;'CASE DATA'!$F286&amp;";",ROW($1:$99),1),";")),"",ROW($1:$99)),COLUMN(A285))-1)</f>
        <v/>
      </c>
      <c r="X286" s="29" t="str">
        <f t="array" ref="X286">MID(";"&amp;'CASE DATA'!$F286&amp;";",SMALL(IF(ISERROR(SEARCH(MID(";"&amp;'CASE DATA'!$F286&amp;";",ROW($1:$99),1),";")),"",ROW($1:$99)+1),COLUMN(B286)),SMALL(IF(ISERROR(SEARCH(MID(";"&amp;'CASE DATA'!$F286&amp;";",ROW($1:$99),1),";")),"",ROW($1:$99)),COLUMN(B285)+1)-SMALL(IF(ISERROR(SEARCH(MID(";"&amp;'CASE DATA'!$F286&amp;";",ROW($1:$99),1),";")),"",ROW($1:$99)),COLUMN(B285))-1)</f>
        <v/>
      </c>
      <c r="Y286" s="29" t="str">
        <f t="array" ref="Y286">MID(";"&amp;'CASE DATA'!$F286&amp;";",SMALL(IF(ISERROR(SEARCH(MID(";"&amp;'CASE DATA'!$F286&amp;";",ROW($1:$99),1),";")),"",ROW($1:$99)+1),COLUMN(D286)),SMALL(IF(ISERROR(SEARCH(MID(";"&amp;'CASE DATA'!$F286&amp;";",ROW($1:$99),1),";")),"",ROW($1:$99)),COLUMN(D285)+1)-SMALL(IF(ISERROR(SEARCH(MID(";"&amp;'CASE DATA'!$F286&amp;";",ROW($1:$99),1),";")),"",ROW($1:$99)),COLUMN(D285))-1)</f>
        <v/>
      </c>
      <c r="Z286" s="29" t="str">
        <f t="array" ref="Z286">MID(";"&amp;'CASE DATA'!$F286&amp;";",SMALL(IF(ISERROR(SEARCH(MID(";"&amp;'CASE DATA'!$F286&amp;";",ROW($1:$99),1),";")),"",ROW($1:$99)+1),COLUMN(E286)),SMALL(IF(ISERROR(SEARCH(MID(";"&amp;'CASE DATA'!$F286&amp;";",ROW($1:$99),1),";")),"",ROW($1:$99)),COLUMN(E285)+1)-SMALL(IF(ISERROR(SEARCH(MID(";"&amp;'CASE DATA'!$F286&amp;";",ROW($1:$99),1),";")),"",ROW($1:$99)),COLUMN(E285))-1)</f>
        <v/>
      </c>
      <c r="AA286" s="29" t="str">
        <f t="array" ref="AA286">MID(";"&amp;'CASE DATA'!$F286&amp;";",SMALL(IF(ISERROR(SEARCH(MID(";"&amp;'CASE DATA'!$F286&amp;";",ROW($1:$99),1),";")),"",ROW($1:$99)+1),COLUMN(F286)),SMALL(IF(ISERROR(SEARCH(MID(";"&amp;'CASE DATA'!$F286&amp;";",ROW($1:$99),1),";")),"",ROW($1:$99)),COLUMN(F285)+1)-SMALL(IF(ISERROR(SEARCH(MID(";"&amp;'CASE DATA'!$F286&amp;";",ROW($1:$99),1),";")),"",ROW($1:$99)),COLUMN(F285))-1)</f>
        <v/>
      </c>
      <c r="AB286" s="29" t="str">
        <f t="array" ref="AB286">MID(";"&amp;'CASE DATA'!$F286&amp;";",SMALL(IF(ISERROR(SEARCH(MID(";"&amp;'CASE DATA'!$F286&amp;";",ROW($1:$99),1),";")),"",ROW($1:$99)+1),COLUMN(G286)),SMALL(IF(ISERROR(SEARCH(MID(";"&amp;'CASE DATA'!$F286&amp;";",ROW($1:$99),1),";")),"",ROW($1:$99)),COLUMN(G285)+1)-SMALL(IF(ISERROR(SEARCH(MID(";"&amp;'CASE DATA'!$F286&amp;";",ROW($1:$99),1),";")),"",ROW($1:$99)),COLUMN(G285))-1)</f>
        <v/>
      </c>
      <c r="AC286" s="29" t="str">
        <f t="array" ref="AC286">MID(";"&amp;'CASE DATA'!$F286&amp;";",SMALL(IF(ISERROR(SEARCH(MID(";"&amp;'CASE DATA'!$F286&amp;";",ROW($1:$99),1),";")),"",ROW($1:$99)+1),COLUMN(H286)),SMALL(IF(ISERROR(SEARCH(MID(";"&amp;'CASE DATA'!$F286&amp;";",ROW($1:$99),1),";")),"",ROW($1:$99)),COLUMN(H285)+1)-SMALL(IF(ISERROR(SEARCH(MID(";"&amp;'CASE DATA'!$F286&amp;";",ROW($1:$99),1),";")),"",ROW($1:$99)),COLUMN(H285))-1)</f>
        <v/>
      </c>
      <c r="AD286" s="29" t="str">
        <f t="array" ref="AD286">MID(";"&amp;'CASE DATA'!$F286&amp;";",SMALL(IF(ISERROR(SEARCH(MID(";"&amp;'CASE DATA'!$F286&amp;";",ROW($1:$99),1),";")),"",ROW($1:$99)+1),COLUMN(I286)),SMALL(IF(ISERROR(SEARCH(MID(";"&amp;'CASE DATA'!$F286&amp;";",ROW($1:$99),1),";")),"",ROW($1:$99)),COLUMN(I285)+1)-SMALL(IF(ISERROR(SEARCH(MID(";"&amp;'CASE DATA'!$F286&amp;";",ROW($1:$99),1),";")),"",ROW($1:$99)),COLUMN(I285))-1)</f>
        <v/>
      </c>
      <c r="AE286" s="29" t="str">
        <f t="array" ref="AE286">MID(";"&amp;'CASE DATA'!$F286&amp;";",SMALL(IF(ISERROR(SEARCH(MID(";"&amp;'CASE DATA'!$F286&amp;";",ROW($1:$99),1),";")),"",ROW($1:$99)+1),COLUMN(J286)),SMALL(IF(ISERROR(SEARCH(MID(";"&amp;'CASE DATA'!$F286&amp;";",ROW($1:$99),1),";")),"",ROW($1:$99)),COLUMN(J285)+1)-SMALL(IF(ISERROR(SEARCH(MID(";"&amp;'CASE DATA'!$F286&amp;";",ROW($1:$99),1),";")),"",ROW($1:$99)),COLUMN(J285))-1)</f>
        <v/>
      </c>
      <c r="AF286" s="29" t="str">
        <f t="array" ref="AF286">MID(";"&amp;'CASE DATA'!$F286&amp;";",SMALL(IF(ISERROR(SEARCH(MID(";"&amp;'CASE DATA'!$F286&amp;";",ROW($1:$99),1),";")),"",ROW($1:$99)+1),COLUMN(K286)),SMALL(IF(ISERROR(SEARCH(MID(";"&amp;'CASE DATA'!$F286&amp;";",ROW($1:$99),1),";")),"",ROW($1:$99)),COLUMN(K285)+1)-SMALL(IF(ISERROR(SEARCH(MID(";"&amp;'CASE DATA'!$F286&amp;";",ROW($1:$99),1),";")),"",ROW($1:$99)),COLUMN(K285))-1)</f>
        <v/>
      </c>
      <c r="AG286" s="29" t="str">
        <f t="array" ref="AG286">MID(";"&amp;'CASE DATA'!$F286&amp;";",SMALL(IF(ISERROR(SEARCH(MID(";"&amp;'CASE DATA'!$F286&amp;";",ROW($1:$99),1),";")),"",ROW($1:$99)+1),COLUMN(L286)),SMALL(IF(ISERROR(SEARCH(MID(";"&amp;'CASE DATA'!$F286&amp;";",ROW($1:$99),1),";")),"",ROW($1:$99)),COLUMN(L285)+1)-SMALL(IF(ISERROR(SEARCH(MID(";"&amp;'CASE DATA'!$F286&amp;";",ROW($1:$99),1),";")),"",ROW($1:$99)),COLUMN(L285))-1)</f>
        <v/>
      </c>
      <c r="AH286" s="29"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24"/>
      <c r="D287" s="24"/>
      <c r="J287" s="31"/>
      <c r="K287" s="31"/>
      <c r="L287" s="31"/>
      <c r="M287" s="31"/>
      <c r="N287" s="31"/>
      <c r="O287" s="31"/>
      <c r="P287" s="31"/>
      <c r="Q287" s="31"/>
      <c r="R287" s="31"/>
      <c r="S287" s="31"/>
      <c r="T287" s="28">
        <f t="shared" si="5"/>
        <v>0</v>
      </c>
      <c r="U287" s="28"/>
      <c r="W287" s="29" t="str">
        <f t="array" ref="W287">MID(";"&amp;'CASE DATA'!$F287&amp;";",SMALL(IF(ISERROR(SEARCH(MID(";"&amp;'CASE DATA'!$F287&amp;";",ROW($1:$99),1),";")),"",ROW($1:$99)+1),COLUMN(A287)),SMALL(IF(ISERROR(SEARCH(MID(";"&amp;'CASE DATA'!$F287&amp;";",ROW($1:$99),1),";")),"",ROW($1:$99)),COLUMN(A286)+1)-SMALL(IF(ISERROR(SEARCH(MID(";"&amp;'CASE DATA'!$F287&amp;";",ROW($1:$99),1),";")),"",ROW($1:$99)),COLUMN(A286))-1)</f>
        <v/>
      </c>
      <c r="X287" s="29" t="str">
        <f t="array" ref="X287">MID(";"&amp;'CASE DATA'!$F287&amp;";",SMALL(IF(ISERROR(SEARCH(MID(";"&amp;'CASE DATA'!$F287&amp;";",ROW($1:$99),1),";")),"",ROW($1:$99)+1),COLUMN(B287)),SMALL(IF(ISERROR(SEARCH(MID(";"&amp;'CASE DATA'!$F287&amp;";",ROW($1:$99),1),";")),"",ROW($1:$99)),COLUMN(B286)+1)-SMALL(IF(ISERROR(SEARCH(MID(";"&amp;'CASE DATA'!$F287&amp;";",ROW($1:$99),1),";")),"",ROW($1:$99)),COLUMN(B286))-1)</f>
        <v/>
      </c>
      <c r="Y287" s="29" t="str">
        <f t="array" ref="Y287">MID(";"&amp;'CASE DATA'!$F287&amp;";",SMALL(IF(ISERROR(SEARCH(MID(";"&amp;'CASE DATA'!$F287&amp;";",ROW($1:$99),1),";")),"",ROW($1:$99)+1),COLUMN(D287)),SMALL(IF(ISERROR(SEARCH(MID(";"&amp;'CASE DATA'!$F287&amp;";",ROW($1:$99),1),";")),"",ROW($1:$99)),COLUMN(D286)+1)-SMALL(IF(ISERROR(SEARCH(MID(";"&amp;'CASE DATA'!$F287&amp;";",ROW($1:$99),1),";")),"",ROW($1:$99)),COLUMN(D286))-1)</f>
        <v/>
      </c>
      <c r="Z287" s="29" t="str">
        <f t="array" ref="Z287">MID(";"&amp;'CASE DATA'!$F287&amp;";",SMALL(IF(ISERROR(SEARCH(MID(";"&amp;'CASE DATA'!$F287&amp;";",ROW($1:$99),1),";")),"",ROW($1:$99)+1),COLUMN(E287)),SMALL(IF(ISERROR(SEARCH(MID(";"&amp;'CASE DATA'!$F287&amp;";",ROW($1:$99),1),";")),"",ROW($1:$99)),COLUMN(E286)+1)-SMALL(IF(ISERROR(SEARCH(MID(";"&amp;'CASE DATA'!$F287&amp;";",ROW($1:$99),1),";")),"",ROW($1:$99)),COLUMN(E286))-1)</f>
        <v/>
      </c>
      <c r="AA287" s="29" t="str">
        <f t="array" ref="AA287">MID(";"&amp;'CASE DATA'!$F287&amp;";",SMALL(IF(ISERROR(SEARCH(MID(";"&amp;'CASE DATA'!$F287&amp;";",ROW($1:$99),1),";")),"",ROW($1:$99)+1),COLUMN(F287)),SMALL(IF(ISERROR(SEARCH(MID(";"&amp;'CASE DATA'!$F287&amp;";",ROW($1:$99),1),";")),"",ROW($1:$99)),COLUMN(F286)+1)-SMALL(IF(ISERROR(SEARCH(MID(";"&amp;'CASE DATA'!$F287&amp;";",ROW($1:$99),1),";")),"",ROW($1:$99)),COLUMN(F286))-1)</f>
        <v/>
      </c>
      <c r="AB287" s="29" t="str">
        <f t="array" ref="AB287">MID(";"&amp;'CASE DATA'!$F287&amp;";",SMALL(IF(ISERROR(SEARCH(MID(";"&amp;'CASE DATA'!$F287&amp;";",ROW($1:$99),1),";")),"",ROW($1:$99)+1),COLUMN(G287)),SMALL(IF(ISERROR(SEARCH(MID(";"&amp;'CASE DATA'!$F287&amp;";",ROW($1:$99),1),";")),"",ROW($1:$99)),COLUMN(G286)+1)-SMALL(IF(ISERROR(SEARCH(MID(";"&amp;'CASE DATA'!$F287&amp;";",ROW($1:$99),1),";")),"",ROW($1:$99)),COLUMN(G286))-1)</f>
        <v/>
      </c>
      <c r="AC287" s="29" t="str">
        <f t="array" ref="AC287">MID(";"&amp;'CASE DATA'!$F287&amp;";",SMALL(IF(ISERROR(SEARCH(MID(";"&amp;'CASE DATA'!$F287&amp;";",ROW($1:$99),1),";")),"",ROW($1:$99)+1),COLUMN(H287)),SMALL(IF(ISERROR(SEARCH(MID(";"&amp;'CASE DATA'!$F287&amp;";",ROW($1:$99),1),";")),"",ROW($1:$99)),COLUMN(H286)+1)-SMALL(IF(ISERROR(SEARCH(MID(";"&amp;'CASE DATA'!$F287&amp;";",ROW($1:$99),1),";")),"",ROW($1:$99)),COLUMN(H286))-1)</f>
        <v/>
      </c>
      <c r="AD287" s="29" t="str">
        <f t="array" ref="AD287">MID(";"&amp;'CASE DATA'!$F287&amp;";",SMALL(IF(ISERROR(SEARCH(MID(";"&amp;'CASE DATA'!$F287&amp;";",ROW($1:$99),1),";")),"",ROW($1:$99)+1),COLUMN(I287)),SMALL(IF(ISERROR(SEARCH(MID(";"&amp;'CASE DATA'!$F287&amp;";",ROW($1:$99),1),";")),"",ROW($1:$99)),COLUMN(I286)+1)-SMALL(IF(ISERROR(SEARCH(MID(";"&amp;'CASE DATA'!$F287&amp;";",ROW($1:$99),1),";")),"",ROW($1:$99)),COLUMN(I286))-1)</f>
        <v/>
      </c>
      <c r="AE287" s="29" t="str">
        <f t="array" ref="AE287">MID(";"&amp;'CASE DATA'!$F287&amp;";",SMALL(IF(ISERROR(SEARCH(MID(";"&amp;'CASE DATA'!$F287&amp;";",ROW($1:$99),1),";")),"",ROW($1:$99)+1),COLUMN(J287)),SMALL(IF(ISERROR(SEARCH(MID(";"&amp;'CASE DATA'!$F287&amp;";",ROW($1:$99),1),";")),"",ROW($1:$99)),COLUMN(J286)+1)-SMALL(IF(ISERROR(SEARCH(MID(";"&amp;'CASE DATA'!$F287&amp;";",ROW($1:$99),1),";")),"",ROW($1:$99)),COLUMN(J286))-1)</f>
        <v/>
      </c>
      <c r="AF287" s="29" t="str">
        <f t="array" ref="AF287">MID(";"&amp;'CASE DATA'!$F287&amp;";",SMALL(IF(ISERROR(SEARCH(MID(";"&amp;'CASE DATA'!$F287&amp;";",ROW($1:$99),1),";")),"",ROW($1:$99)+1),COLUMN(K287)),SMALL(IF(ISERROR(SEARCH(MID(";"&amp;'CASE DATA'!$F287&amp;";",ROW($1:$99),1),";")),"",ROW($1:$99)),COLUMN(K286)+1)-SMALL(IF(ISERROR(SEARCH(MID(";"&amp;'CASE DATA'!$F287&amp;";",ROW($1:$99),1),";")),"",ROW($1:$99)),COLUMN(K286))-1)</f>
        <v/>
      </c>
      <c r="AG287" s="29" t="str">
        <f t="array" ref="AG287">MID(";"&amp;'CASE DATA'!$F287&amp;";",SMALL(IF(ISERROR(SEARCH(MID(";"&amp;'CASE DATA'!$F287&amp;";",ROW($1:$99),1),";")),"",ROW($1:$99)+1),COLUMN(L287)),SMALL(IF(ISERROR(SEARCH(MID(";"&amp;'CASE DATA'!$F287&amp;";",ROW($1:$99),1),";")),"",ROW($1:$99)),COLUMN(L286)+1)-SMALL(IF(ISERROR(SEARCH(MID(";"&amp;'CASE DATA'!$F287&amp;";",ROW($1:$99),1),";")),"",ROW($1:$99)),COLUMN(L286))-1)</f>
        <v/>
      </c>
      <c r="AH287" s="29"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24"/>
      <c r="D288" s="24"/>
      <c r="J288" s="31"/>
      <c r="K288" s="31"/>
      <c r="L288" s="31"/>
      <c r="M288" s="31"/>
      <c r="N288" s="31"/>
      <c r="O288" s="31"/>
      <c r="P288" s="31"/>
      <c r="Q288" s="31"/>
      <c r="R288" s="31"/>
      <c r="S288" s="31"/>
      <c r="T288" s="28">
        <f t="shared" si="5"/>
        <v>0</v>
      </c>
      <c r="U288" s="28"/>
      <c r="W288" s="29" t="str">
        <f t="array" ref="W288">MID(";"&amp;'CASE DATA'!$F288&amp;";",SMALL(IF(ISERROR(SEARCH(MID(";"&amp;'CASE DATA'!$F288&amp;";",ROW($1:$99),1),";")),"",ROW($1:$99)+1),COLUMN(A288)),SMALL(IF(ISERROR(SEARCH(MID(";"&amp;'CASE DATA'!$F288&amp;";",ROW($1:$99),1),";")),"",ROW($1:$99)),COLUMN(A287)+1)-SMALL(IF(ISERROR(SEARCH(MID(";"&amp;'CASE DATA'!$F288&amp;";",ROW($1:$99),1),";")),"",ROW($1:$99)),COLUMN(A287))-1)</f>
        <v/>
      </c>
      <c r="X288" s="29" t="str">
        <f t="array" ref="X288">MID(";"&amp;'CASE DATA'!$F288&amp;";",SMALL(IF(ISERROR(SEARCH(MID(";"&amp;'CASE DATA'!$F288&amp;";",ROW($1:$99),1),";")),"",ROW($1:$99)+1),COLUMN(B288)),SMALL(IF(ISERROR(SEARCH(MID(";"&amp;'CASE DATA'!$F288&amp;";",ROW($1:$99),1),";")),"",ROW($1:$99)),COLUMN(B287)+1)-SMALL(IF(ISERROR(SEARCH(MID(";"&amp;'CASE DATA'!$F288&amp;";",ROW($1:$99),1),";")),"",ROW($1:$99)),COLUMN(B287))-1)</f>
        <v/>
      </c>
      <c r="Y288" s="29" t="str">
        <f t="array" ref="Y288">MID(";"&amp;'CASE DATA'!$F288&amp;";",SMALL(IF(ISERROR(SEARCH(MID(";"&amp;'CASE DATA'!$F288&amp;";",ROW($1:$99),1),";")),"",ROW($1:$99)+1),COLUMN(D288)),SMALL(IF(ISERROR(SEARCH(MID(";"&amp;'CASE DATA'!$F288&amp;";",ROW($1:$99),1),";")),"",ROW($1:$99)),COLUMN(D287)+1)-SMALL(IF(ISERROR(SEARCH(MID(";"&amp;'CASE DATA'!$F288&amp;";",ROW($1:$99),1),";")),"",ROW($1:$99)),COLUMN(D287))-1)</f>
        <v/>
      </c>
      <c r="Z288" s="29" t="str">
        <f t="array" ref="Z288">MID(";"&amp;'CASE DATA'!$F288&amp;";",SMALL(IF(ISERROR(SEARCH(MID(";"&amp;'CASE DATA'!$F288&amp;";",ROW($1:$99),1),";")),"",ROW($1:$99)+1),COLUMN(E288)),SMALL(IF(ISERROR(SEARCH(MID(";"&amp;'CASE DATA'!$F288&amp;";",ROW($1:$99),1),";")),"",ROW($1:$99)),COLUMN(E287)+1)-SMALL(IF(ISERROR(SEARCH(MID(";"&amp;'CASE DATA'!$F288&amp;";",ROW($1:$99),1),";")),"",ROW($1:$99)),COLUMN(E287))-1)</f>
        <v/>
      </c>
      <c r="AA288" s="29" t="str">
        <f t="array" ref="AA288">MID(";"&amp;'CASE DATA'!$F288&amp;";",SMALL(IF(ISERROR(SEARCH(MID(";"&amp;'CASE DATA'!$F288&amp;";",ROW($1:$99),1),";")),"",ROW($1:$99)+1),COLUMN(F288)),SMALL(IF(ISERROR(SEARCH(MID(";"&amp;'CASE DATA'!$F288&amp;";",ROW($1:$99),1),";")),"",ROW($1:$99)),COLUMN(F287)+1)-SMALL(IF(ISERROR(SEARCH(MID(";"&amp;'CASE DATA'!$F288&amp;";",ROW($1:$99),1),";")),"",ROW($1:$99)),COLUMN(F287))-1)</f>
        <v/>
      </c>
      <c r="AB288" s="29" t="str">
        <f t="array" ref="AB288">MID(";"&amp;'CASE DATA'!$F288&amp;";",SMALL(IF(ISERROR(SEARCH(MID(";"&amp;'CASE DATA'!$F288&amp;";",ROW($1:$99),1),";")),"",ROW($1:$99)+1),COLUMN(G288)),SMALL(IF(ISERROR(SEARCH(MID(";"&amp;'CASE DATA'!$F288&amp;";",ROW($1:$99),1),";")),"",ROW($1:$99)),COLUMN(G287)+1)-SMALL(IF(ISERROR(SEARCH(MID(";"&amp;'CASE DATA'!$F288&amp;";",ROW($1:$99),1),";")),"",ROW($1:$99)),COLUMN(G287))-1)</f>
        <v/>
      </c>
      <c r="AC288" s="29" t="str">
        <f t="array" ref="AC288">MID(";"&amp;'CASE DATA'!$F288&amp;";",SMALL(IF(ISERROR(SEARCH(MID(";"&amp;'CASE DATA'!$F288&amp;";",ROW($1:$99),1),";")),"",ROW($1:$99)+1),COLUMN(H288)),SMALL(IF(ISERROR(SEARCH(MID(";"&amp;'CASE DATA'!$F288&amp;";",ROW($1:$99),1),";")),"",ROW($1:$99)),COLUMN(H287)+1)-SMALL(IF(ISERROR(SEARCH(MID(";"&amp;'CASE DATA'!$F288&amp;";",ROW($1:$99),1),";")),"",ROW($1:$99)),COLUMN(H287))-1)</f>
        <v/>
      </c>
      <c r="AD288" s="29" t="str">
        <f t="array" ref="AD288">MID(";"&amp;'CASE DATA'!$F288&amp;";",SMALL(IF(ISERROR(SEARCH(MID(";"&amp;'CASE DATA'!$F288&amp;";",ROW($1:$99),1),";")),"",ROW($1:$99)+1),COLUMN(I288)),SMALL(IF(ISERROR(SEARCH(MID(";"&amp;'CASE DATA'!$F288&amp;";",ROW($1:$99),1),";")),"",ROW($1:$99)),COLUMN(I287)+1)-SMALL(IF(ISERROR(SEARCH(MID(";"&amp;'CASE DATA'!$F288&amp;";",ROW($1:$99),1),";")),"",ROW($1:$99)),COLUMN(I287))-1)</f>
        <v/>
      </c>
      <c r="AE288" s="29" t="str">
        <f t="array" ref="AE288">MID(";"&amp;'CASE DATA'!$F288&amp;";",SMALL(IF(ISERROR(SEARCH(MID(";"&amp;'CASE DATA'!$F288&amp;";",ROW($1:$99),1),";")),"",ROW($1:$99)+1),COLUMN(J288)),SMALL(IF(ISERROR(SEARCH(MID(";"&amp;'CASE DATA'!$F288&amp;";",ROW($1:$99),1),";")),"",ROW($1:$99)),COLUMN(J287)+1)-SMALL(IF(ISERROR(SEARCH(MID(";"&amp;'CASE DATA'!$F288&amp;";",ROW($1:$99),1),";")),"",ROW($1:$99)),COLUMN(J287))-1)</f>
        <v/>
      </c>
      <c r="AF288" s="29" t="str">
        <f t="array" ref="AF288">MID(";"&amp;'CASE DATA'!$F288&amp;";",SMALL(IF(ISERROR(SEARCH(MID(";"&amp;'CASE DATA'!$F288&amp;";",ROW($1:$99),1),";")),"",ROW($1:$99)+1),COLUMN(K288)),SMALL(IF(ISERROR(SEARCH(MID(";"&amp;'CASE DATA'!$F288&amp;";",ROW($1:$99),1),";")),"",ROW($1:$99)),COLUMN(K287)+1)-SMALL(IF(ISERROR(SEARCH(MID(";"&amp;'CASE DATA'!$F288&amp;";",ROW($1:$99),1),";")),"",ROW($1:$99)),COLUMN(K287))-1)</f>
        <v/>
      </c>
      <c r="AG288" s="29" t="str">
        <f t="array" ref="AG288">MID(";"&amp;'CASE DATA'!$F288&amp;";",SMALL(IF(ISERROR(SEARCH(MID(";"&amp;'CASE DATA'!$F288&amp;";",ROW($1:$99),1),";")),"",ROW($1:$99)+1),COLUMN(L288)),SMALL(IF(ISERROR(SEARCH(MID(";"&amp;'CASE DATA'!$F288&amp;";",ROW($1:$99),1),";")),"",ROW($1:$99)),COLUMN(L287)+1)-SMALL(IF(ISERROR(SEARCH(MID(";"&amp;'CASE DATA'!$F288&amp;";",ROW($1:$99),1),";")),"",ROW($1:$99)),COLUMN(L287))-1)</f>
        <v/>
      </c>
      <c r="AH288" s="29"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24"/>
      <c r="D289" s="24"/>
      <c r="J289" s="31"/>
      <c r="K289" s="31"/>
      <c r="L289" s="31"/>
      <c r="M289" s="31"/>
      <c r="N289" s="31"/>
      <c r="O289" s="31"/>
      <c r="P289" s="31"/>
      <c r="Q289" s="31"/>
      <c r="R289" s="31"/>
      <c r="S289" s="31"/>
      <c r="T289" s="28">
        <f t="shared" si="5"/>
        <v>0</v>
      </c>
      <c r="U289" s="28"/>
      <c r="W289" s="29" t="str">
        <f t="array" ref="W289">MID(";"&amp;'CASE DATA'!$F289&amp;";",SMALL(IF(ISERROR(SEARCH(MID(";"&amp;'CASE DATA'!$F289&amp;";",ROW($1:$99),1),";")),"",ROW($1:$99)+1),COLUMN(A289)),SMALL(IF(ISERROR(SEARCH(MID(";"&amp;'CASE DATA'!$F289&amp;";",ROW($1:$99),1),";")),"",ROW($1:$99)),COLUMN(A288)+1)-SMALL(IF(ISERROR(SEARCH(MID(";"&amp;'CASE DATA'!$F289&amp;";",ROW($1:$99),1),";")),"",ROW($1:$99)),COLUMN(A288))-1)</f>
        <v/>
      </c>
      <c r="X289" s="29" t="str">
        <f t="array" ref="X289">MID(";"&amp;'CASE DATA'!$F289&amp;";",SMALL(IF(ISERROR(SEARCH(MID(";"&amp;'CASE DATA'!$F289&amp;";",ROW($1:$99),1),";")),"",ROW($1:$99)+1),COLUMN(B289)),SMALL(IF(ISERROR(SEARCH(MID(";"&amp;'CASE DATA'!$F289&amp;";",ROW($1:$99),1),";")),"",ROW($1:$99)),COLUMN(B288)+1)-SMALL(IF(ISERROR(SEARCH(MID(";"&amp;'CASE DATA'!$F289&amp;";",ROW($1:$99),1),";")),"",ROW($1:$99)),COLUMN(B288))-1)</f>
        <v/>
      </c>
      <c r="Y289" s="29" t="str">
        <f t="array" ref="Y289">MID(";"&amp;'CASE DATA'!$F289&amp;";",SMALL(IF(ISERROR(SEARCH(MID(";"&amp;'CASE DATA'!$F289&amp;";",ROW($1:$99),1),";")),"",ROW($1:$99)+1),COLUMN(D289)),SMALL(IF(ISERROR(SEARCH(MID(";"&amp;'CASE DATA'!$F289&amp;";",ROW($1:$99),1),";")),"",ROW($1:$99)),COLUMN(D288)+1)-SMALL(IF(ISERROR(SEARCH(MID(";"&amp;'CASE DATA'!$F289&amp;";",ROW($1:$99),1),";")),"",ROW($1:$99)),COLUMN(D288))-1)</f>
        <v/>
      </c>
      <c r="Z289" s="29" t="str">
        <f t="array" ref="Z289">MID(";"&amp;'CASE DATA'!$F289&amp;";",SMALL(IF(ISERROR(SEARCH(MID(";"&amp;'CASE DATA'!$F289&amp;";",ROW($1:$99),1),";")),"",ROW($1:$99)+1),COLUMN(E289)),SMALL(IF(ISERROR(SEARCH(MID(";"&amp;'CASE DATA'!$F289&amp;";",ROW($1:$99),1),";")),"",ROW($1:$99)),COLUMN(E288)+1)-SMALL(IF(ISERROR(SEARCH(MID(";"&amp;'CASE DATA'!$F289&amp;";",ROW($1:$99),1),";")),"",ROW($1:$99)),COLUMN(E288))-1)</f>
        <v/>
      </c>
      <c r="AA289" s="29" t="str">
        <f t="array" ref="AA289">MID(";"&amp;'CASE DATA'!$F289&amp;";",SMALL(IF(ISERROR(SEARCH(MID(";"&amp;'CASE DATA'!$F289&amp;";",ROW($1:$99),1),";")),"",ROW($1:$99)+1),COLUMN(F289)),SMALL(IF(ISERROR(SEARCH(MID(";"&amp;'CASE DATA'!$F289&amp;";",ROW($1:$99),1),";")),"",ROW($1:$99)),COLUMN(F288)+1)-SMALL(IF(ISERROR(SEARCH(MID(";"&amp;'CASE DATA'!$F289&amp;";",ROW($1:$99),1),";")),"",ROW($1:$99)),COLUMN(F288))-1)</f>
        <v/>
      </c>
      <c r="AB289" s="29" t="str">
        <f t="array" ref="AB289">MID(";"&amp;'CASE DATA'!$F289&amp;";",SMALL(IF(ISERROR(SEARCH(MID(";"&amp;'CASE DATA'!$F289&amp;";",ROW($1:$99),1),";")),"",ROW($1:$99)+1),COLUMN(G289)),SMALL(IF(ISERROR(SEARCH(MID(";"&amp;'CASE DATA'!$F289&amp;";",ROW($1:$99),1),";")),"",ROW($1:$99)),COLUMN(G288)+1)-SMALL(IF(ISERROR(SEARCH(MID(";"&amp;'CASE DATA'!$F289&amp;";",ROW($1:$99),1),";")),"",ROW($1:$99)),COLUMN(G288))-1)</f>
        <v/>
      </c>
      <c r="AC289" s="29" t="str">
        <f t="array" ref="AC289">MID(";"&amp;'CASE DATA'!$F289&amp;";",SMALL(IF(ISERROR(SEARCH(MID(";"&amp;'CASE DATA'!$F289&amp;";",ROW($1:$99),1),";")),"",ROW($1:$99)+1),COLUMN(H289)),SMALL(IF(ISERROR(SEARCH(MID(";"&amp;'CASE DATA'!$F289&amp;";",ROW($1:$99),1),";")),"",ROW($1:$99)),COLUMN(H288)+1)-SMALL(IF(ISERROR(SEARCH(MID(";"&amp;'CASE DATA'!$F289&amp;";",ROW($1:$99),1),";")),"",ROW($1:$99)),COLUMN(H288))-1)</f>
        <v/>
      </c>
      <c r="AD289" s="29" t="str">
        <f t="array" ref="AD289">MID(";"&amp;'CASE DATA'!$F289&amp;";",SMALL(IF(ISERROR(SEARCH(MID(";"&amp;'CASE DATA'!$F289&amp;";",ROW($1:$99),1),";")),"",ROW($1:$99)+1),COLUMN(I289)),SMALL(IF(ISERROR(SEARCH(MID(";"&amp;'CASE DATA'!$F289&amp;";",ROW($1:$99),1),";")),"",ROW($1:$99)),COLUMN(I288)+1)-SMALL(IF(ISERROR(SEARCH(MID(";"&amp;'CASE DATA'!$F289&amp;";",ROW($1:$99),1),";")),"",ROW($1:$99)),COLUMN(I288))-1)</f>
        <v/>
      </c>
      <c r="AE289" s="29" t="str">
        <f t="array" ref="AE289">MID(";"&amp;'CASE DATA'!$F289&amp;";",SMALL(IF(ISERROR(SEARCH(MID(";"&amp;'CASE DATA'!$F289&amp;";",ROW($1:$99),1),";")),"",ROW($1:$99)+1),COLUMN(J289)),SMALL(IF(ISERROR(SEARCH(MID(";"&amp;'CASE DATA'!$F289&amp;";",ROW($1:$99),1),";")),"",ROW($1:$99)),COLUMN(J288)+1)-SMALL(IF(ISERROR(SEARCH(MID(";"&amp;'CASE DATA'!$F289&amp;";",ROW($1:$99),1),";")),"",ROW($1:$99)),COLUMN(J288))-1)</f>
        <v/>
      </c>
      <c r="AF289" s="29" t="str">
        <f t="array" ref="AF289">MID(";"&amp;'CASE DATA'!$F289&amp;";",SMALL(IF(ISERROR(SEARCH(MID(";"&amp;'CASE DATA'!$F289&amp;";",ROW($1:$99),1),";")),"",ROW($1:$99)+1),COLUMN(K289)),SMALL(IF(ISERROR(SEARCH(MID(";"&amp;'CASE DATA'!$F289&amp;";",ROW($1:$99),1),";")),"",ROW($1:$99)),COLUMN(K288)+1)-SMALL(IF(ISERROR(SEARCH(MID(";"&amp;'CASE DATA'!$F289&amp;";",ROW($1:$99),1),";")),"",ROW($1:$99)),COLUMN(K288))-1)</f>
        <v/>
      </c>
      <c r="AG289" s="29" t="str">
        <f t="array" ref="AG289">MID(";"&amp;'CASE DATA'!$F289&amp;";",SMALL(IF(ISERROR(SEARCH(MID(";"&amp;'CASE DATA'!$F289&amp;";",ROW($1:$99),1),";")),"",ROW($1:$99)+1),COLUMN(L289)),SMALL(IF(ISERROR(SEARCH(MID(";"&amp;'CASE DATA'!$F289&amp;";",ROW($1:$99),1),";")),"",ROW($1:$99)),COLUMN(L288)+1)-SMALL(IF(ISERROR(SEARCH(MID(";"&amp;'CASE DATA'!$F289&amp;";",ROW($1:$99),1),";")),"",ROW($1:$99)),COLUMN(L288))-1)</f>
        <v/>
      </c>
      <c r="AH289" s="29"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24"/>
      <c r="D290" s="24"/>
      <c r="J290" s="31"/>
      <c r="K290" s="31"/>
      <c r="L290" s="31"/>
      <c r="M290" s="31"/>
      <c r="N290" s="31"/>
      <c r="O290" s="31"/>
      <c r="P290" s="31"/>
      <c r="Q290" s="31"/>
      <c r="R290" s="31"/>
      <c r="S290" s="31"/>
      <c r="T290" s="28">
        <f t="shared" si="5"/>
        <v>0</v>
      </c>
      <c r="U290" s="28"/>
      <c r="W290" s="29" t="str">
        <f t="array" ref="W290">MID(";"&amp;'CASE DATA'!$F290&amp;";",SMALL(IF(ISERROR(SEARCH(MID(";"&amp;'CASE DATA'!$F290&amp;";",ROW($1:$99),1),";")),"",ROW($1:$99)+1),COLUMN(A290)),SMALL(IF(ISERROR(SEARCH(MID(";"&amp;'CASE DATA'!$F290&amp;";",ROW($1:$99),1),";")),"",ROW($1:$99)),COLUMN(A289)+1)-SMALL(IF(ISERROR(SEARCH(MID(";"&amp;'CASE DATA'!$F290&amp;";",ROW($1:$99),1),";")),"",ROW($1:$99)),COLUMN(A289))-1)</f>
        <v/>
      </c>
      <c r="X290" s="29" t="str">
        <f t="array" ref="X290">MID(";"&amp;'CASE DATA'!$F290&amp;";",SMALL(IF(ISERROR(SEARCH(MID(";"&amp;'CASE DATA'!$F290&amp;";",ROW($1:$99),1),";")),"",ROW($1:$99)+1),COLUMN(B290)),SMALL(IF(ISERROR(SEARCH(MID(";"&amp;'CASE DATA'!$F290&amp;";",ROW($1:$99),1),";")),"",ROW($1:$99)),COLUMN(B289)+1)-SMALL(IF(ISERROR(SEARCH(MID(";"&amp;'CASE DATA'!$F290&amp;";",ROW($1:$99),1),";")),"",ROW($1:$99)),COLUMN(B289))-1)</f>
        <v/>
      </c>
      <c r="Y290" s="29" t="str">
        <f t="array" ref="Y290">MID(";"&amp;'CASE DATA'!$F290&amp;";",SMALL(IF(ISERROR(SEARCH(MID(";"&amp;'CASE DATA'!$F290&amp;";",ROW($1:$99),1),";")),"",ROW($1:$99)+1),COLUMN(D290)),SMALL(IF(ISERROR(SEARCH(MID(";"&amp;'CASE DATA'!$F290&amp;";",ROW($1:$99),1),";")),"",ROW($1:$99)),COLUMN(D289)+1)-SMALL(IF(ISERROR(SEARCH(MID(";"&amp;'CASE DATA'!$F290&amp;";",ROW($1:$99),1),";")),"",ROW($1:$99)),COLUMN(D289))-1)</f>
        <v/>
      </c>
      <c r="Z290" s="29" t="str">
        <f t="array" ref="Z290">MID(";"&amp;'CASE DATA'!$F290&amp;";",SMALL(IF(ISERROR(SEARCH(MID(";"&amp;'CASE DATA'!$F290&amp;";",ROW($1:$99),1),";")),"",ROW($1:$99)+1),COLUMN(E290)),SMALL(IF(ISERROR(SEARCH(MID(";"&amp;'CASE DATA'!$F290&amp;";",ROW($1:$99),1),";")),"",ROW($1:$99)),COLUMN(E289)+1)-SMALL(IF(ISERROR(SEARCH(MID(";"&amp;'CASE DATA'!$F290&amp;";",ROW($1:$99),1),";")),"",ROW($1:$99)),COLUMN(E289))-1)</f>
        <v/>
      </c>
      <c r="AA290" s="29" t="str">
        <f t="array" ref="AA290">MID(";"&amp;'CASE DATA'!$F290&amp;";",SMALL(IF(ISERROR(SEARCH(MID(";"&amp;'CASE DATA'!$F290&amp;";",ROW($1:$99),1),";")),"",ROW($1:$99)+1),COLUMN(F290)),SMALL(IF(ISERROR(SEARCH(MID(";"&amp;'CASE DATA'!$F290&amp;";",ROW($1:$99),1),";")),"",ROW($1:$99)),COLUMN(F289)+1)-SMALL(IF(ISERROR(SEARCH(MID(";"&amp;'CASE DATA'!$F290&amp;";",ROW($1:$99),1),";")),"",ROW($1:$99)),COLUMN(F289))-1)</f>
        <v/>
      </c>
      <c r="AB290" s="29" t="str">
        <f t="array" ref="AB290">MID(";"&amp;'CASE DATA'!$F290&amp;";",SMALL(IF(ISERROR(SEARCH(MID(";"&amp;'CASE DATA'!$F290&amp;";",ROW($1:$99),1),";")),"",ROW($1:$99)+1),COLUMN(G290)),SMALL(IF(ISERROR(SEARCH(MID(";"&amp;'CASE DATA'!$F290&amp;";",ROW($1:$99),1),";")),"",ROW($1:$99)),COLUMN(G289)+1)-SMALL(IF(ISERROR(SEARCH(MID(";"&amp;'CASE DATA'!$F290&amp;";",ROW($1:$99),1),";")),"",ROW($1:$99)),COLUMN(G289))-1)</f>
        <v/>
      </c>
      <c r="AC290" s="29" t="str">
        <f t="array" ref="AC290">MID(";"&amp;'CASE DATA'!$F290&amp;";",SMALL(IF(ISERROR(SEARCH(MID(";"&amp;'CASE DATA'!$F290&amp;";",ROW($1:$99),1),";")),"",ROW($1:$99)+1),COLUMN(H290)),SMALL(IF(ISERROR(SEARCH(MID(";"&amp;'CASE DATA'!$F290&amp;";",ROW($1:$99),1),";")),"",ROW($1:$99)),COLUMN(H289)+1)-SMALL(IF(ISERROR(SEARCH(MID(";"&amp;'CASE DATA'!$F290&amp;";",ROW($1:$99),1),";")),"",ROW($1:$99)),COLUMN(H289))-1)</f>
        <v/>
      </c>
      <c r="AD290" s="29" t="str">
        <f t="array" ref="AD290">MID(";"&amp;'CASE DATA'!$F290&amp;";",SMALL(IF(ISERROR(SEARCH(MID(";"&amp;'CASE DATA'!$F290&amp;";",ROW($1:$99),1),";")),"",ROW($1:$99)+1),COLUMN(I290)),SMALL(IF(ISERROR(SEARCH(MID(";"&amp;'CASE DATA'!$F290&amp;";",ROW($1:$99),1),";")),"",ROW($1:$99)),COLUMN(I289)+1)-SMALL(IF(ISERROR(SEARCH(MID(";"&amp;'CASE DATA'!$F290&amp;";",ROW($1:$99),1),";")),"",ROW($1:$99)),COLUMN(I289))-1)</f>
        <v/>
      </c>
      <c r="AE290" s="29" t="str">
        <f t="array" ref="AE290">MID(";"&amp;'CASE DATA'!$F290&amp;";",SMALL(IF(ISERROR(SEARCH(MID(";"&amp;'CASE DATA'!$F290&amp;";",ROW($1:$99),1),";")),"",ROW($1:$99)+1),COLUMN(J290)),SMALL(IF(ISERROR(SEARCH(MID(";"&amp;'CASE DATA'!$F290&amp;";",ROW($1:$99),1),";")),"",ROW($1:$99)),COLUMN(J289)+1)-SMALL(IF(ISERROR(SEARCH(MID(";"&amp;'CASE DATA'!$F290&amp;";",ROW($1:$99),1),";")),"",ROW($1:$99)),COLUMN(J289))-1)</f>
        <v/>
      </c>
      <c r="AF290" s="29" t="str">
        <f t="array" ref="AF290">MID(";"&amp;'CASE DATA'!$F290&amp;";",SMALL(IF(ISERROR(SEARCH(MID(";"&amp;'CASE DATA'!$F290&amp;";",ROW($1:$99),1),";")),"",ROW($1:$99)+1),COLUMN(K290)),SMALL(IF(ISERROR(SEARCH(MID(";"&amp;'CASE DATA'!$F290&amp;";",ROW($1:$99),1),";")),"",ROW($1:$99)),COLUMN(K289)+1)-SMALL(IF(ISERROR(SEARCH(MID(";"&amp;'CASE DATA'!$F290&amp;";",ROW($1:$99),1),";")),"",ROW($1:$99)),COLUMN(K289))-1)</f>
        <v/>
      </c>
      <c r="AG290" s="29" t="str">
        <f t="array" ref="AG290">MID(";"&amp;'CASE DATA'!$F290&amp;";",SMALL(IF(ISERROR(SEARCH(MID(";"&amp;'CASE DATA'!$F290&amp;";",ROW($1:$99),1),";")),"",ROW($1:$99)+1),COLUMN(L290)),SMALL(IF(ISERROR(SEARCH(MID(";"&amp;'CASE DATA'!$F290&amp;";",ROW($1:$99),1),";")),"",ROW($1:$99)),COLUMN(L289)+1)-SMALL(IF(ISERROR(SEARCH(MID(";"&amp;'CASE DATA'!$F290&amp;";",ROW($1:$99),1),";")),"",ROW($1:$99)),COLUMN(L289))-1)</f>
        <v/>
      </c>
      <c r="AH290" s="29"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24"/>
      <c r="D291" s="24"/>
      <c r="J291" s="31"/>
      <c r="K291" s="31"/>
      <c r="L291" s="31"/>
      <c r="M291" s="31"/>
      <c r="N291" s="31"/>
      <c r="O291" s="31"/>
      <c r="P291" s="31"/>
      <c r="Q291" s="31"/>
      <c r="R291" s="31"/>
      <c r="S291" s="31"/>
      <c r="T291" s="28">
        <f t="shared" si="5"/>
        <v>0</v>
      </c>
      <c r="U291" s="28"/>
      <c r="W291" s="29" t="str">
        <f t="array" ref="W291">MID(";"&amp;'CASE DATA'!$F291&amp;";",SMALL(IF(ISERROR(SEARCH(MID(";"&amp;'CASE DATA'!$F291&amp;";",ROW($1:$99),1),";")),"",ROW($1:$99)+1),COLUMN(A291)),SMALL(IF(ISERROR(SEARCH(MID(";"&amp;'CASE DATA'!$F291&amp;";",ROW($1:$99),1),";")),"",ROW($1:$99)),COLUMN(A290)+1)-SMALL(IF(ISERROR(SEARCH(MID(";"&amp;'CASE DATA'!$F291&amp;";",ROW($1:$99),1),";")),"",ROW($1:$99)),COLUMN(A290))-1)</f>
        <v/>
      </c>
      <c r="X291" s="29" t="str">
        <f t="array" ref="X291">MID(";"&amp;'CASE DATA'!$F291&amp;";",SMALL(IF(ISERROR(SEARCH(MID(";"&amp;'CASE DATA'!$F291&amp;";",ROW($1:$99),1),";")),"",ROW($1:$99)+1),COLUMN(B291)),SMALL(IF(ISERROR(SEARCH(MID(";"&amp;'CASE DATA'!$F291&amp;";",ROW($1:$99),1),";")),"",ROW($1:$99)),COLUMN(B290)+1)-SMALL(IF(ISERROR(SEARCH(MID(";"&amp;'CASE DATA'!$F291&amp;";",ROW($1:$99),1),";")),"",ROW($1:$99)),COLUMN(B290))-1)</f>
        <v/>
      </c>
      <c r="Y291" s="29" t="str">
        <f t="array" ref="Y291">MID(";"&amp;'CASE DATA'!$F291&amp;";",SMALL(IF(ISERROR(SEARCH(MID(";"&amp;'CASE DATA'!$F291&amp;";",ROW($1:$99),1),";")),"",ROW($1:$99)+1),COLUMN(D291)),SMALL(IF(ISERROR(SEARCH(MID(";"&amp;'CASE DATA'!$F291&amp;";",ROW($1:$99),1),";")),"",ROW($1:$99)),COLUMN(D290)+1)-SMALL(IF(ISERROR(SEARCH(MID(";"&amp;'CASE DATA'!$F291&amp;";",ROW($1:$99),1),";")),"",ROW($1:$99)),COLUMN(D290))-1)</f>
        <v/>
      </c>
      <c r="Z291" s="29" t="str">
        <f t="array" ref="Z291">MID(";"&amp;'CASE DATA'!$F291&amp;";",SMALL(IF(ISERROR(SEARCH(MID(";"&amp;'CASE DATA'!$F291&amp;";",ROW($1:$99),1),";")),"",ROW($1:$99)+1),COLUMN(E291)),SMALL(IF(ISERROR(SEARCH(MID(";"&amp;'CASE DATA'!$F291&amp;";",ROW($1:$99),1),";")),"",ROW($1:$99)),COLUMN(E290)+1)-SMALL(IF(ISERROR(SEARCH(MID(";"&amp;'CASE DATA'!$F291&amp;";",ROW($1:$99),1),";")),"",ROW($1:$99)),COLUMN(E290))-1)</f>
        <v/>
      </c>
      <c r="AA291" s="29" t="str">
        <f t="array" ref="AA291">MID(";"&amp;'CASE DATA'!$F291&amp;";",SMALL(IF(ISERROR(SEARCH(MID(";"&amp;'CASE DATA'!$F291&amp;";",ROW($1:$99),1),";")),"",ROW($1:$99)+1),COLUMN(F291)),SMALL(IF(ISERROR(SEARCH(MID(";"&amp;'CASE DATA'!$F291&amp;";",ROW($1:$99),1),";")),"",ROW($1:$99)),COLUMN(F290)+1)-SMALL(IF(ISERROR(SEARCH(MID(";"&amp;'CASE DATA'!$F291&amp;";",ROW($1:$99),1),";")),"",ROW($1:$99)),COLUMN(F290))-1)</f>
        <v/>
      </c>
      <c r="AB291" s="29" t="str">
        <f t="array" ref="AB291">MID(";"&amp;'CASE DATA'!$F291&amp;";",SMALL(IF(ISERROR(SEARCH(MID(";"&amp;'CASE DATA'!$F291&amp;";",ROW($1:$99),1),";")),"",ROW($1:$99)+1),COLUMN(G291)),SMALL(IF(ISERROR(SEARCH(MID(";"&amp;'CASE DATA'!$F291&amp;";",ROW($1:$99),1),";")),"",ROW($1:$99)),COLUMN(G290)+1)-SMALL(IF(ISERROR(SEARCH(MID(";"&amp;'CASE DATA'!$F291&amp;";",ROW($1:$99),1),";")),"",ROW($1:$99)),COLUMN(G290))-1)</f>
        <v/>
      </c>
      <c r="AC291" s="29" t="str">
        <f t="array" ref="AC291">MID(";"&amp;'CASE DATA'!$F291&amp;";",SMALL(IF(ISERROR(SEARCH(MID(";"&amp;'CASE DATA'!$F291&amp;";",ROW($1:$99),1),";")),"",ROW($1:$99)+1),COLUMN(H291)),SMALL(IF(ISERROR(SEARCH(MID(";"&amp;'CASE DATA'!$F291&amp;";",ROW($1:$99),1),";")),"",ROW($1:$99)),COLUMN(H290)+1)-SMALL(IF(ISERROR(SEARCH(MID(";"&amp;'CASE DATA'!$F291&amp;";",ROW($1:$99),1),";")),"",ROW($1:$99)),COLUMN(H290))-1)</f>
        <v/>
      </c>
      <c r="AD291" s="29" t="str">
        <f t="array" ref="AD291">MID(";"&amp;'CASE DATA'!$F291&amp;";",SMALL(IF(ISERROR(SEARCH(MID(";"&amp;'CASE DATA'!$F291&amp;";",ROW($1:$99),1),";")),"",ROW($1:$99)+1),COLUMN(I291)),SMALL(IF(ISERROR(SEARCH(MID(";"&amp;'CASE DATA'!$F291&amp;";",ROW($1:$99),1),";")),"",ROW($1:$99)),COLUMN(I290)+1)-SMALL(IF(ISERROR(SEARCH(MID(";"&amp;'CASE DATA'!$F291&amp;";",ROW($1:$99),1),";")),"",ROW($1:$99)),COLUMN(I290))-1)</f>
        <v/>
      </c>
      <c r="AE291" s="29" t="str">
        <f t="array" ref="AE291">MID(";"&amp;'CASE DATA'!$F291&amp;";",SMALL(IF(ISERROR(SEARCH(MID(";"&amp;'CASE DATA'!$F291&amp;";",ROW($1:$99),1),";")),"",ROW($1:$99)+1),COLUMN(J291)),SMALL(IF(ISERROR(SEARCH(MID(";"&amp;'CASE DATA'!$F291&amp;";",ROW($1:$99),1),";")),"",ROW($1:$99)),COLUMN(J290)+1)-SMALL(IF(ISERROR(SEARCH(MID(";"&amp;'CASE DATA'!$F291&amp;";",ROW($1:$99),1),";")),"",ROW($1:$99)),COLUMN(J290))-1)</f>
        <v/>
      </c>
      <c r="AF291" s="29" t="str">
        <f t="array" ref="AF291">MID(";"&amp;'CASE DATA'!$F291&amp;";",SMALL(IF(ISERROR(SEARCH(MID(";"&amp;'CASE DATA'!$F291&amp;";",ROW($1:$99),1),";")),"",ROW($1:$99)+1),COLUMN(K291)),SMALL(IF(ISERROR(SEARCH(MID(";"&amp;'CASE DATA'!$F291&amp;";",ROW($1:$99),1),";")),"",ROW($1:$99)),COLUMN(K290)+1)-SMALL(IF(ISERROR(SEARCH(MID(";"&amp;'CASE DATA'!$F291&amp;";",ROW($1:$99),1),";")),"",ROW($1:$99)),COLUMN(K290))-1)</f>
        <v/>
      </c>
      <c r="AG291" s="29" t="str">
        <f t="array" ref="AG291">MID(";"&amp;'CASE DATA'!$F291&amp;";",SMALL(IF(ISERROR(SEARCH(MID(";"&amp;'CASE DATA'!$F291&amp;";",ROW($1:$99),1),";")),"",ROW($1:$99)+1),COLUMN(L291)),SMALL(IF(ISERROR(SEARCH(MID(";"&amp;'CASE DATA'!$F291&amp;";",ROW($1:$99),1),";")),"",ROW($1:$99)),COLUMN(L290)+1)-SMALL(IF(ISERROR(SEARCH(MID(";"&amp;'CASE DATA'!$F291&amp;";",ROW($1:$99),1),";")),"",ROW($1:$99)),COLUMN(L290))-1)</f>
        <v/>
      </c>
      <c r="AH291" s="29"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24"/>
      <c r="D292" s="24"/>
      <c r="J292" s="31"/>
      <c r="K292" s="31"/>
      <c r="L292" s="31"/>
      <c r="M292" s="31"/>
      <c r="N292" s="31"/>
      <c r="O292" s="31"/>
      <c r="P292" s="31"/>
      <c r="Q292" s="31"/>
      <c r="R292" s="31"/>
      <c r="S292" s="31"/>
      <c r="T292" s="28">
        <f t="shared" si="5"/>
        <v>0</v>
      </c>
      <c r="U292" s="28"/>
      <c r="W292" s="29" t="str">
        <f t="array" ref="W292">MID(";"&amp;'CASE DATA'!$F292&amp;";",SMALL(IF(ISERROR(SEARCH(MID(";"&amp;'CASE DATA'!$F292&amp;";",ROW($1:$99),1),";")),"",ROW($1:$99)+1),COLUMN(A292)),SMALL(IF(ISERROR(SEARCH(MID(";"&amp;'CASE DATA'!$F292&amp;";",ROW($1:$99),1),";")),"",ROW($1:$99)),COLUMN(A291)+1)-SMALL(IF(ISERROR(SEARCH(MID(";"&amp;'CASE DATA'!$F292&amp;";",ROW($1:$99),1),";")),"",ROW($1:$99)),COLUMN(A291))-1)</f>
        <v/>
      </c>
      <c r="X292" s="29" t="str">
        <f t="array" ref="X292">MID(";"&amp;'CASE DATA'!$F292&amp;";",SMALL(IF(ISERROR(SEARCH(MID(";"&amp;'CASE DATA'!$F292&amp;";",ROW($1:$99),1),";")),"",ROW($1:$99)+1),COLUMN(B292)),SMALL(IF(ISERROR(SEARCH(MID(";"&amp;'CASE DATA'!$F292&amp;";",ROW($1:$99),1),";")),"",ROW($1:$99)),COLUMN(B291)+1)-SMALL(IF(ISERROR(SEARCH(MID(";"&amp;'CASE DATA'!$F292&amp;";",ROW($1:$99),1),";")),"",ROW($1:$99)),COLUMN(B291))-1)</f>
        <v/>
      </c>
      <c r="Y292" s="29" t="str">
        <f t="array" ref="Y292">MID(";"&amp;'CASE DATA'!$F292&amp;";",SMALL(IF(ISERROR(SEARCH(MID(";"&amp;'CASE DATA'!$F292&amp;";",ROW($1:$99),1),";")),"",ROW($1:$99)+1),COLUMN(D292)),SMALL(IF(ISERROR(SEARCH(MID(";"&amp;'CASE DATA'!$F292&amp;";",ROW($1:$99),1),";")),"",ROW($1:$99)),COLUMN(D291)+1)-SMALL(IF(ISERROR(SEARCH(MID(";"&amp;'CASE DATA'!$F292&amp;";",ROW($1:$99),1),";")),"",ROW($1:$99)),COLUMN(D291))-1)</f>
        <v/>
      </c>
      <c r="Z292" s="29" t="str">
        <f t="array" ref="Z292">MID(";"&amp;'CASE DATA'!$F292&amp;";",SMALL(IF(ISERROR(SEARCH(MID(";"&amp;'CASE DATA'!$F292&amp;";",ROW($1:$99),1),";")),"",ROW($1:$99)+1),COLUMN(E292)),SMALL(IF(ISERROR(SEARCH(MID(";"&amp;'CASE DATA'!$F292&amp;";",ROW($1:$99),1),";")),"",ROW($1:$99)),COLUMN(E291)+1)-SMALL(IF(ISERROR(SEARCH(MID(";"&amp;'CASE DATA'!$F292&amp;";",ROW($1:$99),1),";")),"",ROW($1:$99)),COLUMN(E291))-1)</f>
        <v/>
      </c>
      <c r="AA292" s="29" t="str">
        <f t="array" ref="AA292">MID(";"&amp;'CASE DATA'!$F292&amp;";",SMALL(IF(ISERROR(SEARCH(MID(";"&amp;'CASE DATA'!$F292&amp;";",ROW($1:$99),1),";")),"",ROW($1:$99)+1),COLUMN(F292)),SMALL(IF(ISERROR(SEARCH(MID(";"&amp;'CASE DATA'!$F292&amp;";",ROW($1:$99),1),";")),"",ROW($1:$99)),COLUMN(F291)+1)-SMALL(IF(ISERROR(SEARCH(MID(";"&amp;'CASE DATA'!$F292&amp;";",ROW($1:$99),1),";")),"",ROW($1:$99)),COLUMN(F291))-1)</f>
        <v/>
      </c>
      <c r="AB292" s="29" t="str">
        <f t="array" ref="AB292">MID(";"&amp;'CASE DATA'!$F292&amp;";",SMALL(IF(ISERROR(SEARCH(MID(";"&amp;'CASE DATA'!$F292&amp;";",ROW($1:$99),1),";")),"",ROW($1:$99)+1),COLUMN(G292)),SMALL(IF(ISERROR(SEARCH(MID(";"&amp;'CASE DATA'!$F292&amp;";",ROW($1:$99),1),";")),"",ROW($1:$99)),COLUMN(G291)+1)-SMALL(IF(ISERROR(SEARCH(MID(";"&amp;'CASE DATA'!$F292&amp;";",ROW($1:$99),1),";")),"",ROW($1:$99)),COLUMN(G291))-1)</f>
        <v/>
      </c>
      <c r="AC292" s="29" t="str">
        <f t="array" ref="AC292">MID(";"&amp;'CASE DATA'!$F292&amp;";",SMALL(IF(ISERROR(SEARCH(MID(";"&amp;'CASE DATA'!$F292&amp;";",ROW($1:$99),1),";")),"",ROW($1:$99)+1),COLUMN(H292)),SMALL(IF(ISERROR(SEARCH(MID(";"&amp;'CASE DATA'!$F292&amp;";",ROW($1:$99),1),";")),"",ROW($1:$99)),COLUMN(H291)+1)-SMALL(IF(ISERROR(SEARCH(MID(";"&amp;'CASE DATA'!$F292&amp;";",ROW($1:$99),1),";")),"",ROW($1:$99)),COLUMN(H291))-1)</f>
        <v/>
      </c>
      <c r="AD292" s="29" t="str">
        <f t="array" ref="AD292">MID(";"&amp;'CASE DATA'!$F292&amp;";",SMALL(IF(ISERROR(SEARCH(MID(";"&amp;'CASE DATA'!$F292&amp;";",ROW($1:$99),1),";")),"",ROW($1:$99)+1),COLUMN(I292)),SMALL(IF(ISERROR(SEARCH(MID(";"&amp;'CASE DATA'!$F292&amp;";",ROW($1:$99),1),";")),"",ROW($1:$99)),COLUMN(I291)+1)-SMALL(IF(ISERROR(SEARCH(MID(";"&amp;'CASE DATA'!$F292&amp;";",ROW($1:$99),1),";")),"",ROW($1:$99)),COLUMN(I291))-1)</f>
        <v/>
      </c>
      <c r="AE292" s="29" t="str">
        <f t="array" ref="AE292">MID(";"&amp;'CASE DATA'!$F292&amp;";",SMALL(IF(ISERROR(SEARCH(MID(";"&amp;'CASE DATA'!$F292&amp;";",ROW($1:$99),1),";")),"",ROW($1:$99)+1),COLUMN(J292)),SMALL(IF(ISERROR(SEARCH(MID(";"&amp;'CASE DATA'!$F292&amp;";",ROW($1:$99),1),";")),"",ROW($1:$99)),COLUMN(J291)+1)-SMALL(IF(ISERROR(SEARCH(MID(";"&amp;'CASE DATA'!$F292&amp;";",ROW($1:$99),1),";")),"",ROW($1:$99)),COLUMN(J291))-1)</f>
        <v/>
      </c>
      <c r="AF292" s="29" t="str">
        <f t="array" ref="AF292">MID(";"&amp;'CASE DATA'!$F292&amp;";",SMALL(IF(ISERROR(SEARCH(MID(";"&amp;'CASE DATA'!$F292&amp;";",ROW($1:$99),1),";")),"",ROW($1:$99)+1),COLUMN(K292)),SMALL(IF(ISERROR(SEARCH(MID(";"&amp;'CASE DATA'!$F292&amp;";",ROW($1:$99),1),";")),"",ROW($1:$99)),COLUMN(K291)+1)-SMALL(IF(ISERROR(SEARCH(MID(";"&amp;'CASE DATA'!$F292&amp;";",ROW($1:$99),1),";")),"",ROW($1:$99)),COLUMN(K291))-1)</f>
        <v/>
      </c>
      <c r="AG292" s="29" t="str">
        <f t="array" ref="AG292">MID(";"&amp;'CASE DATA'!$F292&amp;";",SMALL(IF(ISERROR(SEARCH(MID(";"&amp;'CASE DATA'!$F292&amp;";",ROW($1:$99),1),";")),"",ROW($1:$99)+1),COLUMN(L292)),SMALL(IF(ISERROR(SEARCH(MID(";"&amp;'CASE DATA'!$F292&amp;";",ROW($1:$99),1),";")),"",ROW($1:$99)),COLUMN(L291)+1)-SMALL(IF(ISERROR(SEARCH(MID(";"&amp;'CASE DATA'!$F292&amp;";",ROW($1:$99),1),";")),"",ROW($1:$99)),COLUMN(L291))-1)</f>
        <v/>
      </c>
      <c r="AH292" s="29"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24"/>
      <c r="D293" s="24"/>
      <c r="J293" s="31"/>
      <c r="K293" s="31"/>
      <c r="L293" s="31"/>
      <c r="M293" s="31"/>
      <c r="N293" s="31"/>
      <c r="O293" s="31"/>
      <c r="P293" s="31"/>
      <c r="Q293" s="31"/>
      <c r="R293" s="31"/>
      <c r="S293" s="31"/>
      <c r="T293" s="28">
        <f t="shared" si="5"/>
        <v>0</v>
      </c>
      <c r="U293" s="28"/>
      <c r="W293" s="29" t="str">
        <f t="array" ref="W293">MID(";"&amp;'CASE DATA'!$F293&amp;";",SMALL(IF(ISERROR(SEARCH(MID(";"&amp;'CASE DATA'!$F293&amp;";",ROW($1:$99),1),";")),"",ROW($1:$99)+1),COLUMN(A293)),SMALL(IF(ISERROR(SEARCH(MID(";"&amp;'CASE DATA'!$F293&amp;";",ROW($1:$99),1),";")),"",ROW($1:$99)),COLUMN(A292)+1)-SMALL(IF(ISERROR(SEARCH(MID(";"&amp;'CASE DATA'!$F293&amp;";",ROW($1:$99),1),";")),"",ROW($1:$99)),COLUMN(A292))-1)</f>
        <v/>
      </c>
      <c r="X293" s="29" t="str">
        <f t="array" ref="X293">MID(";"&amp;'CASE DATA'!$F293&amp;";",SMALL(IF(ISERROR(SEARCH(MID(";"&amp;'CASE DATA'!$F293&amp;";",ROW($1:$99),1),";")),"",ROW($1:$99)+1),COLUMN(B293)),SMALL(IF(ISERROR(SEARCH(MID(";"&amp;'CASE DATA'!$F293&amp;";",ROW($1:$99),1),";")),"",ROW($1:$99)),COLUMN(B292)+1)-SMALL(IF(ISERROR(SEARCH(MID(";"&amp;'CASE DATA'!$F293&amp;";",ROW($1:$99),1),";")),"",ROW($1:$99)),COLUMN(B292))-1)</f>
        <v/>
      </c>
      <c r="Y293" s="29" t="str">
        <f t="array" ref="Y293">MID(";"&amp;'CASE DATA'!$F293&amp;";",SMALL(IF(ISERROR(SEARCH(MID(";"&amp;'CASE DATA'!$F293&amp;";",ROW($1:$99),1),";")),"",ROW($1:$99)+1),COLUMN(D293)),SMALL(IF(ISERROR(SEARCH(MID(";"&amp;'CASE DATA'!$F293&amp;";",ROW($1:$99),1),";")),"",ROW($1:$99)),COLUMN(D292)+1)-SMALL(IF(ISERROR(SEARCH(MID(";"&amp;'CASE DATA'!$F293&amp;";",ROW($1:$99),1),";")),"",ROW($1:$99)),COLUMN(D292))-1)</f>
        <v/>
      </c>
      <c r="Z293" s="29" t="str">
        <f t="array" ref="Z293">MID(";"&amp;'CASE DATA'!$F293&amp;";",SMALL(IF(ISERROR(SEARCH(MID(";"&amp;'CASE DATA'!$F293&amp;";",ROW($1:$99),1),";")),"",ROW($1:$99)+1),COLUMN(E293)),SMALL(IF(ISERROR(SEARCH(MID(";"&amp;'CASE DATA'!$F293&amp;";",ROW($1:$99),1),";")),"",ROW($1:$99)),COLUMN(E292)+1)-SMALL(IF(ISERROR(SEARCH(MID(";"&amp;'CASE DATA'!$F293&amp;";",ROW($1:$99),1),";")),"",ROW($1:$99)),COLUMN(E292))-1)</f>
        <v/>
      </c>
      <c r="AA293" s="29" t="str">
        <f t="array" ref="AA293">MID(";"&amp;'CASE DATA'!$F293&amp;";",SMALL(IF(ISERROR(SEARCH(MID(";"&amp;'CASE DATA'!$F293&amp;";",ROW($1:$99),1),";")),"",ROW($1:$99)+1),COLUMN(F293)),SMALL(IF(ISERROR(SEARCH(MID(";"&amp;'CASE DATA'!$F293&amp;";",ROW($1:$99),1),";")),"",ROW($1:$99)),COLUMN(F292)+1)-SMALL(IF(ISERROR(SEARCH(MID(";"&amp;'CASE DATA'!$F293&amp;";",ROW($1:$99),1),";")),"",ROW($1:$99)),COLUMN(F292))-1)</f>
        <v/>
      </c>
      <c r="AB293" s="29" t="str">
        <f t="array" ref="AB293">MID(";"&amp;'CASE DATA'!$F293&amp;";",SMALL(IF(ISERROR(SEARCH(MID(";"&amp;'CASE DATA'!$F293&amp;";",ROW($1:$99),1),";")),"",ROW($1:$99)+1),COLUMN(G293)),SMALL(IF(ISERROR(SEARCH(MID(";"&amp;'CASE DATA'!$F293&amp;";",ROW($1:$99),1),";")),"",ROW($1:$99)),COLUMN(G292)+1)-SMALL(IF(ISERROR(SEARCH(MID(";"&amp;'CASE DATA'!$F293&amp;";",ROW($1:$99),1),";")),"",ROW($1:$99)),COLUMN(G292))-1)</f>
        <v/>
      </c>
      <c r="AC293" s="29" t="str">
        <f t="array" ref="AC293">MID(";"&amp;'CASE DATA'!$F293&amp;";",SMALL(IF(ISERROR(SEARCH(MID(";"&amp;'CASE DATA'!$F293&amp;";",ROW($1:$99),1),";")),"",ROW($1:$99)+1),COLUMN(H293)),SMALL(IF(ISERROR(SEARCH(MID(";"&amp;'CASE DATA'!$F293&amp;";",ROW($1:$99),1),";")),"",ROW($1:$99)),COLUMN(H292)+1)-SMALL(IF(ISERROR(SEARCH(MID(";"&amp;'CASE DATA'!$F293&amp;";",ROW($1:$99),1),";")),"",ROW($1:$99)),COLUMN(H292))-1)</f>
        <v/>
      </c>
      <c r="AD293" s="29" t="str">
        <f t="array" ref="AD293">MID(";"&amp;'CASE DATA'!$F293&amp;";",SMALL(IF(ISERROR(SEARCH(MID(";"&amp;'CASE DATA'!$F293&amp;";",ROW($1:$99),1),";")),"",ROW($1:$99)+1),COLUMN(I293)),SMALL(IF(ISERROR(SEARCH(MID(";"&amp;'CASE DATA'!$F293&amp;";",ROW($1:$99),1),";")),"",ROW($1:$99)),COLUMN(I292)+1)-SMALL(IF(ISERROR(SEARCH(MID(";"&amp;'CASE DATA'!$F293&amp;";",ROW($1:$99),1),";")),"",ROW($1:$99)),COLUMN(I292))-1)</f>
        <v/>
      </c>
      <c r="AE293" s="29" t="str">
        <f t="array" ref="AE293">MID(";"&amp;'CASE DATA'!$F293&amp;";",SMALL(IF(ISERROR(SEARCH(MID(";"&amp;'CASE DATA'!$F293&amp;";",ROW($1:$99),1),";")),"",ROW($1:$99)+1),COLUMN(J293)),SMALL(IF(ISERROR(SEARCH(MID(";"&amp;'CASE DATA'!$F293&amp;";",ROW($1:$99),1),";")),"",ROW($1:$99)),COLUMN(J292)+1)-SMALL(IF(ISERROR(SEARCH(MID(";"&amp;'CASE DATA'!$F293&amp;";",ROW($1:$99),1),";")),"",ROW($1:$99)),COLUMN(J292))-1)</f>
        <v/>
      </c>
      <c r="AF293" s="29" t="str">
        <f t="array" ref="AF293">MID(";"&amp;'CASE DATA'!$F293&amp;";",SMALL(IF(ISERROR(SEARCH(MID(";"&amp;'CASE DATA'!$F293&amp;";",ROW($1:$99),1),";")),"",ROW($1:$99)+1),COLUMN(K293)),SMALL(IF(ISERROR(SEARCH(MID(";"&amp;'CASE DATA'!$F293&amp;";",ROW($1:$99),1),";")),"",ROW($1:$99)),COLUMN(K292)+1)-SMALL(IF(ISERROR(SEARCH(MID(";"&amp;'CASE DATA'!$F293&amp;";",ROW($1:$99),1),";")),"",ROW($1:$99)),COLUMN(K292))-1)</f>
        <v/>
      </c>
      <c r="AG293" s="29" t="str">
        <f t="array" ref="AG293">MID(";"&amp;'CASE DATA'!$F293&amp;";",SMALL(IF(ISERROR(SEARCH(MID(";"&amp;'CASE DATA'!$F293&amp;";",ROW($1:$99),1),";")),"",ROW($1:$99)+1),COLUMN(L293)),SMALL(IF(ISERROR(SEARCH(MID(";"&amp;'CASE DATA'!$F293&amp;";",ROW($1:$99),1),";")),"",ROW($1:$99)),COLUMN(L292)+1)-SMALL(IF(ISERROR(SEARCH(MID(";"&amp;'CASE DATA'!$F293&amp;";",ROW($1:$99),1),";")),"",ROW($1:$99)),COLUMN(L292))-1)</f>
        <v/>
      </c>
      <c r="AH293" s="29"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24"/>
      <c r="D294" s="24"/>
      <c r="J294" s="31"/>
      <c r="K294" s="31"/>
      <c r="L294" s="31"/>
      <c r="M294" s="31"/>
      <c r="N294" s="31"/>
      <c r="O294" s="31"/>
      <c r="P294" s="31"/>
      <c r="Q294" s="31"/>
      <c r="R294" s="31"/>
      <c r="S294" s="31"/>
      <c r="T294" s="28">
        <f t="shared" si="5"/>
        <v>0</v>
      </c>
      <c r="U294" s="28"/>
      <c r="W294" s="29" t="str">
        <f t="array" ref="W294">MID(";"&amp;'CASE DATA'!$F294&amp;";",SMALL(IF(ISERROR(SEARCH(MID(";"&amp;'CASE DATA'!$F294&amp;";",ROW($1:$99),1),";")),"",ROW($1:$99)+1),COLUMN(A294)),SMALL(IF(ISERROR(SEARCH(MID(";"&amp;'CASE DATA'!$F294&amp;";",ROW($1:$99),1),";")),"",ROW($1:$99)),COLUMN(A293)+1)-SMALL(IF(ISERROR(SEARCH(MID(";"&amp;'CASE DATA'!$F294&amp;";",ROW($1:$99),1),";")),"",ROW($1:$99)),COLUMN(A293))-1)</f>
        <v/>
      </c>
      <c r="X294" s="29" t="str">
        <f t="array" ref="X294">MID(";"&amp;'CASE DATA'!$F294&amp;";",SMALL(IF(ISERROR(SEARCH(MID(";"&amp;'CASE DATA'!$F294&amp;";",ROW($1:$99),1),";")),"",ROW($1:$99)+1),COLUMN(B294)),SMALL(IF(ISERROR(SEARCH(MID(";"&amp;'CASE DATA'!$F294&amp;";",ROW($1:$99),1),";")),"",ROW($1:$99)),COLUMN(B293)+1)-SMALL(IF(ISERROR(SEARCH(MID(";"&amp;'CASE DATA'!$F294&amp;";",ROW($1:$99),1),";")),"",ROW($1:$99)),COLUMN(B293))-1)</f>
        <v/>
      </c>
      <c r="Y294" s="29" t="str">
        <f t="array" ref="Y294">MID(";"&amp;'CASE DATA'!$F294&amp;";",SMALL(IF(ISERROR(SEARCH(MID(";"&amp;'CASE DATA'!$F294&amp;";",ROW($1:$99),1),";")),"",ROW($1:$99)+1),COLUMN(D294)),SMALL(IF(ISERROR(SEARCH(MID(";"&amp;'CASE DATA'!$F294&amp;";",ROW($1:$99),1),";")),"",ROW($1:$99)),COLUMN(D293)+1)-SMALL(IF(ISERROR(SEARCH(MID(";"&amp;'CASE DATA'!$F294&amp;";",ROW($1:$99),1),";")),"",ROW($1:$99)),COLUMN(D293))-1)</f>
        <v/>
      </c>
      <c r="Z294" s="29" t="str">
        <f t="array" ref="Z294">MID(";"&amp;'CASE DATA'!$F294&amp;";",SMALL(IF(ISERROR(SEARCH(MID(";"&amp;'CASE DATA'!$F294&amp;";",ROW($1:$99),1),";")),"",ROW($1:$99)+1),COLUMN(E294)),SMALL(IF(ISERROR(SEARCH(MID(";"&amp;'CASE DATA'!$F294&amp;";",ROW($1:$99),1),";")),"",ROW($1:$99)),COLUMN(E293)+1)-SMALL(IF(ISERROR(SEARCH(MID(";"&amp;'CASE DATA'!$F294&amp;";",ROW($1:$99),1),";")),"",ROW($1:$99)),COLUMN(E293))-1)</f>
        <v/>
      </c>
      <c r="AA294" s="29" t="str">
        <f t="array" ref="AA294">MID(";"&amp;'CASE DATA'!$F294&amp;";",SMALL(IF(ISERROR(SEARCH(MID(";"&amp;'CASE DATA'!$F294&amp;";",ROW($1:$99),1),";")),"",ROW($1:$99)+1),COLUMN(F294)),SMALL(IF(ISERROR(SEARCH(MID(";"&amp;'CASE DATA'!$F294&amp;";",ROW($1:$99),1),";")),"",ROW($1:$99)),COLUMN(F293)+1)-SMALL(IF(ISERROR(SEARCH(MID(";"&amp;'CASE DATA'!$F294&amp;";",ROW($1:$99),1),";")),"",ROW($1:$99)),COLUMN(F293))-1)</f>
        <v/>
      </c>
      <c r="AB294" s="29" t="str">
        <f t="array" ref="AB294">MID(";"&amp;'CASE DATA'!$F294&amp;";",SMALL(IF(ISERROR(SEARCH(MID(";"&amp;'CASE DATA'!$F294&amp;";",ROW($1:$99),1),";")),"",ROW($1:$99)+1),COLUMN(G294)),SMALL(IF(ISERROR(SEARCH(MID(";"&amp;'CASE DATA'!$F294&amp;";",ROW($1:$99),1),";")),"",ROW($1:$99)),COLUMN(G293)+1)-SMALL(IF(ISERROR(SEARCH(MID(";"&amp;'CASE DATA'!$F294&amp;";",ROW($1:$99),1),";")),"",ROW($1:$99)),COLUMN(G293))-1)</f>
        <v/>
      </c>
      <c r="AC294" s="29" t="str">
        <f t="array" ref="AC294">MID(";"&amp;'CASE DATA'!$F294&amp;";",SMALL(IF(ISERROR(SEARCH(MID(";"&amp;'CASE DATA'!$F294&amp;";",ROW($1:$99),1),";")),"",ROW($1:$99)+1),COLUMN(H294)),SMALL(IF(ISERROR(SEARCH(MID(";"&amp;'CASE DATA'!$F294&amp;";",ROW($1:$99),1),";")),"",ROW($1:$99)),COLUMN(H293)+1)-SMALL(IF(ISERROR(SEARCH(MID(";"&amp;'CASE DATA'!$F294&amp;";",ROW($1:$99),1),";")),"",ROW($1:$99)),COLUMN(H293))-1)</f>
        <v/>
      </c>
      <c r="AD294" s="29" t="str">
        <f t="array" ref="AD294">MID(";"&amp;'CASE DATA'!$F294&amp;";",SMALL(IF(ISERROR(SEARCH(MID(";"&amp;'CASE DATA'!$F294&amp;";",ROW($1:$99),1),";")),"",ROW($1:$99)+1),COLUMN(I294)),SMALL(IF(ISERROR(SEARCH(MID(";"&amp;'CASE DATA'!$F294&amp;";",ROW($1:$99),1),";")),"",ROW($1:$99)),COLUMN(I293)+1)-SMALL(IF(ISERROR(SEARCH(MID(";"&amp;'CASE DATA'!$F294&amp;";",ROW($1:$99),1),";")),"",ROW($1:$99)),COLUMN(I293))-1)</f>
        <v/>
      </c>
      <c r="AE294" s="29" t="str">
        <f t="array" ref="AE294">MID(";"&amp;'CASE DATA'!$F294&amp;";",SMALL(IF(ISERROR(SEARCH(MID(";"&amp;'CASE DATA'!$F294&amp;";",ROW($1:$99),1),";")),"",ROW($1:$99)+1),COLUMN(J294)),SMALL(IF(ISERROR(SEARCH(MID(";"&amp;'CASE DATA'!$F294&amp;";",ROW($1:$99),1),";")),"",ROW($1:$99)),COLUMN(J293)+1)-SMALL(IF(ISERROR(SEARCH(MID(";"&amp;'CASE DATA'!$F294&amp;";",ROW($1:$99),1),";")),"",ROW($1:$99)),COLUMN(J293))-1)</f>
        <v/>
      </c>
      <c r="AF294" s="29" t="str">
        <f t="array" ref="AF294">MID(";"&amp;'CASE DATA'!$F294&amp;";",SMALL(IF(ISERROR(SEARCH(MID(";"&amp;'CASE DATA'!$F294&amp;";",ROW($1:$99),1),";")),"",ROW($1:$99)+1),COLUMN(K294)),SMALL(IF(ISERROR(SEARCH(MID(";"&amp;'CASE DATA'!$F294&amp;";",ROW($1:$99),1),";")),"",ROW($1:$99)),COLUMN(K293)+1)-SMALL(IF(ISERROR(SEARCH(MID(";"&amp;'CASE DATA'!$F294&amp;";",ROW($1:$99),1),";")),"",ROW($1:$99)),COLUMN(K293))-1)</f>
        <v/>
      </c>
      <c r="AG294" s="29" t="str">
        <f t="array" ref="AG294">MID(";"&amp;'CASE DATA'!$F294&amp;";",SMALL(IF(ISERROR(SEARCH(MID(";"&amp;'CASE DATA'!$F294&amp;";",ROW($1:$99),1),";")),"",ROW($1:$99)+1),COLUMN(L294)),SMALL(IF(ISERROR(SEARCH(MID(";"&amp;'CASE DATA'!$F294&amp;";",ROW($1:$99),1),";")),"",ROW($1:$99)),COLUMN(L293)+1)-SMALL(IF(ISERROR(SEARCH(MID(";"&amp;'CASE DATA'!$F294&amp;";",ROW($1:$99),1),";")),"",ROW($1:$99)),COLUMN(L293))-1)</f>
        <v/>
      </c>
      <c r="AH294" s="29"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24"/>
      <c r="D295" s="24"/>
      <c r="J295" s="31"/>
      <c r="K295" s="31"/>
      <c r="L295" s="31"/>
      <c r="M295" s="31"/>
      <c r="N295" s="31"/>
      <c r="O295" s="31"/>
      <c r="P295" s="31"/>
      <c r="Q295" s="31"/>
      <c r="R295" s="31"/>
      <c r="S295" s="31"/>
      <c r="T295" s="28">
        <f t="shared" si="5"/>
        <v>0</v>
      </c>
      <c r="U295" s="28"/>
      <c r="W295" s="29" t="str">
        <f t="array" ref="W295">MID(";"&amp;'CASE DATA'!$F295&amp;";",SMALL(IF(ISERROR(SEARCH(MID(";"&amp;'CASE DATA'!$F295&amp;";",ROW($1:$99),1),";")),"",ROW($1:$99)+1),COLUMN(A295)),SMALL(IF(ISERROR(SEARCH(MID(";"&amp;'CASE DATA'!$F295&amp;";",ROW($1:$99),1),";")),"",ROW($1:$99)),COLUMN(A294)+1)-SMALL(IF(ISERROR(SEARCH(MID(";"&amp;'CASE DATA'!$F295&amp;";",ROW($1:$99),1),";")),"",ROW($1:$99)),COLUMN(A294))-1)</f>
        <v/>
      </c>
      <c r="X295" s="29" t="str">
        <f t="array" ref="X295">MID(";"&amp;'CASE DATA'!$F295&amp;";",SMALL(IF(ISERROR(SEARCH(MID(";"&amp;'CASE DATA'!$F295&amp;";",ROW($1:$99),1),";")),"",ROW($1:$99)+1),COLUMN(B295)),SMALL(IF(ISERROR(SEARCH(MID(";"&amp;'CASE DATA'!$F295&amp;";",ROW($1:$99),1),";")),"",ROW($1:$99)),COLUMN(B294)+1)-SMALL(IF(ISERROR(SEARCH(MID(";"&amp;'CASE DATA'!$F295&amp;";",ROW($1:$99),1),";")),"",ROW($1:$99)),COLUMN(B294))-1)</f>
        <v/>
      </c>
      <c r="Y295" s="29" t="str">
        <f t="array" ref="Y295">MID(";"&amp;'CASE DATA'!$F295&amp;";",SMALL(IF(ISERROR(SEARCH(MID(";"&amp;'CASE DATA'!$F295&amp;";",ROW($1:$99),1),";")),"",ROW($1:$99)+1),COLUMN(D295)),SMALL(IF(ISERROR(SEARCH(MID(";"&amp;'CASE DATA'!$F295&amp;";",ROW($1:$99),1),";")),"",ROW($1:$99)),COLUMN(D294)+1)-SMALL(IF(ISERROR(SEARCH(MID(";"&amp;'CASE DATA'!$F295&amp;";",ROW($1:$99),1),";")),"",ROW($1:$99)),COLUMN(D294))-1)</f>
        <v/>
      </c>
      <c r="Z295" s="29" t="str">
        <f t="array" ref="Z295">MID(";"&amp;'CASE DATA'!$F295&amp;";",SMALL(IF(ISERROR(SEARCH(MID(";"&amp;'CASE DATA'!$F295&amp;";",ROW($1:$99),1),";")),"",ROW($1:$99)+1),COLUMN(E295)),SMALL(IF(ISERROR(SEARCH(MID(";"&amp;'CASE DATA'!$F295&amp;";",ROW($1:$99),1),";")),"",ROW($1:$99)),COLUMN(E294)+1)-SMALL(IF(ISERROR(SEARCH(MID(";"&amp;'CASE DATA'!$F295&amp;";",ROW($1:$99),1),";")),"",ROW($1:$99)),COLUMN(E294))-1)</f>
        <v/>
      </c>
      <c r="AA295" s="29" t="str">
        <f t="array" ref="AA295">MID(";"&amp;'CASE DATA'!$F295&amp;";",SMALL(IF(ISERROR(SEARCH(MID(";"&amp;'CASE DATA'!$F295&amp;";",ROW($1:$99),1),";")),"",ROW($1:$99)+1),COLUMN(F295)),SMALL(IF(ISERROR(SEARCH(MID(";"&amp;'CASE DATA'!$F295&amp;";",ROW($1:$99),1),";")),"",ROW($1:$99)),COLUMN(F294)+1)-SMALL(IF(ISERROR(SEARCH(MID(";"&amp;'CASE DATA'!$F295&amp;";",ROW($1:$99),1),";")),"",ROW($1:$99)),COLUMN(F294))-1)</f>
        <v/>
      </c>
      <c r="AB295" s="29" t="str">
        <f t="array" ref="AB295">MID(";"&amp;'CASE DATA'!$F295&amp;";",SMALL(IF(ISERROR(SEARCH(MID(";"&amp;'CASE DATA'!$F295&amp;";",ROW($1:$99),1),";")),"",ROW($1:$99)+1),COLUMN(G295)),SMALL(IF(ISERROR(SEARCH(MID(";"&amp;'CASE DATA'!$F295&amp;";",ROW($1:$99),1),";")),"",ROW($1:$99)),COLUMN(G294)+1)-SMALL(IF(ISERROR(SEARCH(MID(";"&amp;'CASE DATA'!$F295&amp;";",ROW($1:$99),1),";")),"",ROW($1:$99)),COLUMN(G294))-1)</f>
        <v/>
      </c>
      <c r="AC295" s="29" t="str">
        <f t="array" ref="AC295">MID(";"&amp;'CASE DATA'!$F295&amp;";",SMALL(IF(ISERROR(SEARCH(MID(";"&amp;'CASE DATA'!$F295&amp;";",ROW($1:$99),1),";")),"",ROW($1:$99)+1),COLUMN(H295)),SMALL(IF(ISERROR(SEARCH(MID(";"&amp;'CASE DATA'!$F295&amp;";",ROW($1:$99),1),";")),"",ROW($1:$99)),COLUMN(H294)+1)-SMALL(IF(ISERROR(SEARCH(MID(";"&amp;'CASE DATA'!$F295&amp;";",ROW($1:$99),1),";")),"",ROW($1:$99)),COLUMN(H294))-1)</f>
        <v/>
      </c>
      <c r="AD295" s="29" t="str">
        <f t="array" ref="AD295">MID(";"&amp;'CASE DATA'!$F295&amp;";",SMALL(IF(ISERROR(SEARCH(MID(";"&amp;'CASE DATA'!$F295&amp;";",ROW($1:$99),1),";")),"",ROW($1:$99)+1),COLUMN(I295)),SMALL(IF(ISERROR(SEARCH(MID(";"&amp;'CASE DATA'!$F295&amp;";",ROW($1:$99),1),";")),"",ROW($1:$99)),COLUMN(I294)+1)-SMALL(IF(ISERROR(SEARCH(MID(";"&amp;'CASE DATA'!$F295&amp;";",ROW($1:$99),1),";")),"",ROW($1:$99)),COLUMN(I294))-1)</f>
        <v/>
      </c>
      <c r="AE295" s="29" t="str">
        <f t="array" ref="AE295">MID(";"&amp;'CASE DATA'!$F295&amp;";",SMALL(IF(ISERROR(SEARCH(MID(";"&amp;'CASE DATA'!$F295&amp;";",ROW($1:$99),1),";")),"",ROW($1:$99)+1),COLUMN(J295)),SMALL(IF(ISERROR(SEARCH(MID(";"&amp;'CASE DATA'!$F295&amp;";",ROW($1:$99),1),";")),"",ROW($1:$99)),COLUMN(J294)+1)-SMALL(IF(ISERROR(SEARCH(MID(";"&amp;'CASE DATA'!$F295&amp;";",ROW($1:$99),1),";")),"",ROW($1:$99)),COLUMN(J294))-1)</f>
        <v/>
      </c>
      <c r="AF295" s="29" t="str">
        <f t="array" ref="AF295">MID(";"&amp;'CASE DATA'!$F295&amp;";",SMALL(IF(ISERROR(SEARCH(MID(";"&amp;'CASE DATA'!$F295&amp;";",ROW($1:$99),1),";")),"",ROW($1:$99)+1),COLUMN(K295)),SMALL(IF(ISERROR(SEARCH(MID(";"&amp;'CASE DATA'!$F295&amp;";",ROW($1:$99),1),";")),"",ROW($1:$99)),COLUMN(K294)+1)-SMALL(IF(ISERROR(SEARCH(MID(";"&amp;'CASE DATA'!$F295&amp;";",ROW($1:$99),1),";")),"",ROW($1:$99)),COLUMN(K294))-1)</f>
        <v/>
      </c>
      <c r="AG295" s="29" t="str">
        <f t="array" ref="AG295">MID(";"&amp;'CASE DATA'!$F295&amp;";",SMALL(IF(ISERROR(SEARCH(MID(";"&amp;'CASE DATA'!$F295&amp;";",ROW($1:$99),1),";")),"",ROW($1:$99)+1),COLUMN(L295)),SMALL(IF(ISERROR(SEARCH(MID(";"&amp;'CASE DATA'!$F295&amp;";",ROW($1:$99),1),";")),"",ROW($1:$99)),COLUMN(L294)+1)-SMALL(IF(ISERROR(SEARCH(MID(";"&amp;'CASE DATA'!$F295&amp;";",ROW($1:$99),1),";")),"",ROW($1:$99)),COLUMN(L294))-1)</f>
        <v/>
      </c>
      <c r="AH295" s="29"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24"/>
      <c r="D296" s="24"/>
      <c r="J296" s="31"/>
      <c r="K296" s="31"/>
      <c r="L296" s="31"/>
      <c r="M296" s="31"/>
      <c r="N296" s="31"/>
      <c r="O296" s="31"/>
      <c r="P296" s="31"/>
      <c r="Q296" s="31"/>
      <c r="R296" s="31"/>
      <c r="S296" s="31"/>
      <c r="T296" s="28">
        <f t="shared" si="5"/>
        <v>0</v>
      </c>
      <c r="U296" s="28"/>
      <c r="W296" s="29" t="str">
        <f t="array" ref="W296">MID(";"&amp;'CASE DATA'!$F296&amp;";",SMALL(IF(ISERROR(SEARCH(MID(";"&amp;'CASE DATA'!$F296&amp;";",ROW($1:$99),1),";")),"",ROW($1:$99)+1),COLUMN(A296)),SMALL(IF(ISERROR(SEARCH(MID(";"&amp;'CASE DATA'!$F296&amp;";",ROW($1:$99),1),";")),"",ROW($1:$99)),COLUMN(A295)+1)-SMALL(IF(ISERROR(SEARCH(MID(";"&amp;'CASE DATA'!$F296&amp;";",ROW($1:$99),1),";")),"",ROW($1:$99)),COLUMN(A295))-1)</f>
        <v/>
      </c>
      <c r="X296" s="29" t="str">
        <f t="array" ref="X296">MID(";"&amp;'CASE DATA'!$F296&amp;";",SMALL(IF(ISERROR(SEARCH(MID(";"&amp;'CASE DATA'!$F296&amp;";",ROW($1:$99),1),";")),"",ROW($1:$99)+1),COLUMN(B296)),SMALL(IF(ISERROR(SEARCH(MID(";"&amp;'CASE DATA'!$F296&amp;";",ROW($1:$99),1),";")),"",ROW($1:$99)),COLUMN(B295)+1)-SMALL(IF(ISERROR(SEARCH(MID(";"&amp;'CASE DATA'!$F296&amp;";",ROW($1:$99),1),";")),"",ROW($1:$99)),COLUMN(B295))-1)</f>
        <v/>
      </c>
      <c r="Y296" s="29" t="str">
        <f t="array" ref="Y296">MID(";"&amp;'CASE DATA'!$F296&amp;";",SMALL(IF(ISERROR(SEARCH(MID(";"&amp;'CASE DATA'!$F296&amp;";",ROW($1:$99),1),";")),"",ROW($1:$99)+1),COLUMN(D296)),SMALL(IF(ISERROR(SEARCH(MID(";"&amp;'CASE DATA'!$F296&amp;";",ROW($1:$99),1),";")),"",ROW($1:$99)),COLUMN(D295)+1)-SMALL(IF(ISERROR(SEARCH(MID(";"&amp;'CASE DATA'!$F296&amp;";",ROW($1:$99),1),";")),"",ROW($1:$99)),COLUMN(D295))-1)</f>
        <v/>
      </c>
      <c r="Z296" s="29" t="str">
        <f t="array" ref="Z296">MID(";"&amp;'CASE DATA'!$F296&amp;";",SMALL(IF(ISERROR(SEARCH(MID(";"&amp;'CASE DATA'!$F296&amp;";",ROW($1:$99),1),";")),"",ROW($1:$99)+1),COLUMN(E296)),SMALL(IF(ISERROR(SEARCH(MID(";"&amp;'CASE DATA'!$F296&amp;";",ROW($1:$99),1),";")),"",ROW($1:$99)),COLUMN(E295)+1)-SMALL(IF(ISERROR(SEARCH(MID(";"&amp;'CASE DATA'!$F296&amp;";",ROW($1:$99),1),";")),"",ROW($1:$99)),COLUMN(E295))-1)</f>
        <v/>
      </c>
      <c r="AA296" s="29" t="str">
        <f t="array" ref="AA296">MID(";"&amp;'CASE DATA'!$F296&amp;";",SMALL(IF(ISERROR(SEARCH(MID(";"&amp;'CASE DATA'!$F296&amp;";",ROW($1:$99),1),";")),"",ROW($1:$99)+1),COLUMN(F296)),SMALL(IF(ISERROR(SEARCH(MID(";"&amp;'CASE DATA'!$F296&amp;";",ROW($1:$99),1),";")),"",ROW($1:$99)),COLUMN(F295)+1)-SMALL(IF(ISERROR(SEARCH(MID(";"&amp;'CASE DATA'!$F296&amp;";",ROW($1:$99),1),";")),"",ROW($1:$99)),COLUMN(F295))-1)</f>
        <v/>
      </c>
      <c r="AB296" s="29" t="str">
        <f t="array" ref="AB296">MID(";"&amp;'CASE DATA'!$F296&amp;";",SMALL(IF(ISERROR(SEARCH(MID(";"&amp;'CASE DATA'!$F296&amp;";",ROW($1:$99),1),";")),"",ROW($1:$99)+1),COLUMN(G296)),SMALL(IF(ISERROR(SEARCH(MID(";"&amp;'CASE DATA'!$F296&amp;";",ROW($1:$99),1),";")),"",ROW($1:$99)),COLUMN(G295)+1)-SMALL(IF(ISERROR(SEARCH(MID(";"&amp;'CASE DATA'!$F296&amp;";",ROW($1:$99),1),";")),"",ROW($1:$99)),COLUMN(G295))-1)</f>
        <v/>
      </c>
      <c r="AC296" s="29" t="str">
        <f t="array" ref="AC296">MID(";"&amp;'CASE DATA'!$F296&amp;";",SMALL(IF(ISERROR(SEARCH(MID(";"&amp;'CASE DATA'!$F296&amp;";",ROW($1:$99),1),";")),"",ROW($1:$99)+1),COLUMN(H296)),SMALL(IF(ISERROR(SEARCH(MID(";"&amp;'CASE DATA'!$F296&amp;";",ROW($1:$99),1),";")),"",ROW($1:$99)),COLUMN(H295)+1)-SMALL(IF(ISERROR(SEARCH(MID(";"&amp;'CASE DATA'!$F296&amp;";",ROW($1:$99),1),";")),"",ROW($1:$99)),COLUMN(H295))-1)</f>
        <v/>
      </c>
      <c r="AD296" s="29" t="str">
        <f t="array" ref="AD296">MID(";"&amp;'CASE DATA'!$F296&amp;";",SMALL(IF(ISERROR(SEARCH(MID(";"&amp;'CASE DATA'!$F296&amp;";",ROW($1:$99),1),";")),"",ROW($1:$99)+1),COLUMN(I296)),SMALL(IF(ISERROR(SEARCH(MID(";"&amp;'CASE DATA'!$F296&amp;";",ROW($1:$99),1),";")),"",ROW($1:$99)),COLUMN(I295)+1)-SMALL(IF(ISERROR(SEARCH(MID(";"&amp;'CASE DATA'!$F296&amp;";",ROW($1:$99),1),";")),"",ROW($1:$99)),COLUMN(I295))-1)</f>
        <v/>
      </c>
      <c r="AE296" s="29" t="str">
        <f t="array" ref="AE296">MID(";"&amp;'CASE DATA'!$F296&amp;";",SMALL(IF(ISERROR(SEARCH(MID(";"&amp;'CASE DATA'!$F296&amp;";",ROW($1:$99),1),";")),"",ROW($1:$99)+1),COLUMN(J296)),SMALL(IF(ISERROR(SEARCH(MID(";"&amp;'CASE DATA'!$F296&amp;";",ROW($1:$99),1),";")),"",ROW($1:$99)),COLUMN(J295)+1)-SMALL(IF(ISERROR(SEARCH(MID(";"&amp;'CASE DATA'!$F296&amp;";",ROW($1:$99),1),";")),"",ROW($1:$99)),COLUMN(J295))-1)</f>
        <v/>
      </c>
      <c r="AF296" s="29" t="str">
        <f t="array" ref="AF296">MID(";"&amp;'CASE DATA'!$F296&amp;";",SMALL(IF(ISERROR(SEARCH(MID(";"&amp;'CASE DATA'!$F296&amp;";",ROW($1:$99),1),";")),"",ROW($1:$99)+1),COLUMN(K296)),SMALL(IF(ISERROR(SEARCH(MID(";"&amp;'CASE DATA'!$F296&amp;";",ROW($1:$99),1),";")),"",ROW($1:$99)),COLUMN(K295)+1)-SMALL(IF(ISERROR(SEARCH(MID(";"&amp;'CASE DATA'!$F296&amp;";",ROW($1:$99),1),";")),"",ROW($1:$99)),COLUMN(K295))-1)</f>
        <v/>
      </c>
      <c r="AG296" s="29" t="str">
        <f t="array" ref="AG296">MID(";"&amp;'CASE DATA'!$F296&amp;";",SMALL(IF(ISERROR(SEARCH(MID(";"&amp;'CASE DATA'!$F296&amp;";",ROW($1:$99),1),";")),"",ROW($1:$99)+1),COLUMN(L296)),SMALL(IF(ISERROR(SEARCH(MID(";"&amp;'CASE DATA'!$F296&amp;";",ROW($1:$99),1),";")),"",ROW($1:$99)),COLUMN(L295)+1)-SMALL(IF(ISERROR(SEARCH(MID(";"&amp;'CASE DATA'!$F296&amp;";",ROW($1:$99),1),";")),"",ROW($1:$99)),COLUMN(L295))-1)</f>
        <v/>
      </c>
      <c r="AH296" s="29"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24"/>
      <c r="D297" s="24"/>
      <c r="J297" s="31"/>
      <c r="K297" s="31"/>
      <c r="L297" s="31"/>
      <c r="M297" s="31"/>
      <c r="N297" s="31"/>
      <c r="O297" s="31"/>
      <c r="P297" s="31"/>
      <c r="Q297" s="31"/>
      <c r="R297" s="31"/>
      <c r="S297" s="31"/>
      <c r="T297" s="28">
        <f t="shared" si="5"/>
        <v>0</v>
      </c>
      <c r="U297" s="28"/>
      <c r="W297" s="29" t="str">
        <f t="array" ref="W297">MID(";"&amp;'CASE DATA'!$F297&amp;";",SMALL(IF(ISERROR(SEARCH(MID(";"&amp;'CASE DATA'!$F297&amp;";",ROW($1:$99),1),";")),"",ROW($1:$99)+1),COLUMN(A297)),SMALL(IF(ISERROR(SEARCH(MID(";"&amp;'CASE DATA'!$F297&amp;";",ROW($1:$99),1),";")),"",ROW($1:$99)),COLUMN(A296)+1)-SMALL(IF(ISERROR(SEARCH(MID(";"&amp;'CASE DATA'!$F297&amp;";",ROW($1:$99),1),";")),"",ROW($1:$99)),COLUMN(A296))-1)</f>
        <v/>
      </c>
      <c r="X297" s="29" t="str">
        <f t="array" ref="X297">MID(";"&amp;'CASE DATA'!$F297&amp;";",SMALL(IF(ISERROR(SEARCH(MID(";"&amp;'CASE DATA'!$F297&amp;";",ROW($1:$99),1),";")),"",ROW($1:$99)+1),COLUMN(B297)),SMALL(IF(ISERROR(SEARCH(MID(";"&amp;'CASE DATA'!$F297&amp;";",ROW($1:$99),1),";")),"",ROW($1:$99)),COLUMN(B296)+1)-SMALL(IF(ISERROR(SEARCH(MID(";"&amp;'CASE DATA'!$F297&amp;";",ROW($1:$99),1),";")),"",ROW($1:$99)),COLUMN(B296))-1)</f>
        <v/>
      </c>
      <c r="Y297" s="29" t="str">
        <f t="array" ref="Y297">MID(";"&amp;'CASE DATA'!$F297&amp;";",SMALL(IF(ISERROR(SEARCH(MID(";"&amp;'CASE DATA'!$F297&amp;";",ROW($1:$99),1),";")),"",ROW($1:$99)+1),COLUMN(D297)),SMALL(IF(ISERROR(SEARCH(MID(";"&amp;'CASE DATA'!$F297&amp;";",ROW($1:$99),1),";")),"",ROW($1:$99)),COLUMN(D296)+1)-SMALL(IF(ISERROR(SEARCH(MID(";"&amp;'CASE DATA'!$F297&amp;";",ROW($1:$99),1),";")),"",ROW($1:$99)),COLUMN(D296))-1)</f>
        <v/>
      </c>
      <c r="Z297" s="29" t="str">
        <f t="array" ref="Z297">MID(";"&amp;'CASE DATA'!$F297&amp;";",SMALL(IF(ISERROR(SEARCH(MID(";"&amp;'CASE DATA'!$F297&amp;";",ROW($1:$99),1),";")),"",ROW($1:$99)+1),COLUMN(E297)),SMALL(IF(ISERROR(SEARCH(MID(";"&amp;'CASE DATA'!$F297&amp;";",ROW($1:$99),1),";")),"",ROW($1:$99)),COLUMN(E296)+1)-SMALL(IF(ISERROR(SEARCH(MID(";"&amp;'CASE DATA'!$F297&amp;";",ROW($1:$99),1),";")),"",ROW($1:$99)),COLUMN(E296))-1)</f>
        <v/>
      </c>
      <c r="AA297" s="29" t="str">
        <f t="array" ref="AA297">MID(";"&amp;'CASE DATA'!$F297&amp;";",SMALL(IF(ISERROR(SEARCH(MID(";"&amp;'CASE DATA'!$F297&amp;";",ROW($1:$99),1),";")),"",ROW($1:$99)+1),COLUMN(F297)),SMALL(IF(ISERROR(SEARCH(MID(";"&amp;'CASE DATA'!$F297&amp;";",ROW($1:$99),1),";")),"",ROW($1:$99)),COLUMN(F296)+1)-SMALL(IF(ISERROR(SEARCH(MID(";"&amp;'CASE DATA'!$F297&amp;";",ROW($1:$99),1),";")),"",ROW($1:$99)),COLUMN(F296))-1)</f>
        <v/>
      </c>
      <c r="AB297" s="29" t="str">
        <f t="array" ref="AB297">MID(";"&amp;'CASE DATA'!$F297&amp;";",SMALL(IF(ISERROR(SEARCH(MID(";"&amp;'CASE DATA'!$F297&amp;";",ROW($1:$99),1),";")),"",ROW($1:$99)+1),COLUMN(G297)),SMALL(IF(ISERROR(SEARCH(MID(";"&amp;'CASE DATA'!$F297&amp;";",ROW($1:$99),1),";")),"",ROW($1:$99)),COLUMN(G296)+1)-SMALL(IF(ISERROR(SEARCH(MID(";"&amp;'CASE DATA'!$F297&amp;";",ROW($1:$99),1),";")),"",ROW($1:$99)),COLUMN(G296))-1)</f>
        <v/>
      </c>
      <c r="AC297" s="29" t="str">
        <f t="array" ref="AC297">MID(";"&amp;'CASE DATA'!$F297&amp;";",SMALL(IF(ISERROR(SEARCH(MID(";"&amp;'CASE DATA'!$F297&amp;";",ROW($1:$99),1),";")),"",ROW($1:$99)+1),COLUMN(H297)),SMALL(IF(ISERROR(SEARCH(MID(";"&amp;'CASE DATA'!$F297&amp;";",ROW($1:$99),1),";")),"",ROW($1:$99)),COLUMN(H296)+1)-SMALL(IF(ISERROR(SEARCH(MID(";"&amp;'CASE DATA'!$F297&amp;";",ROW($1:$99),1),";")),"",ROW($1:$99)),COLUMN(H296))-1)</f>
        <v/>
      </c>
      <c r="AD297" s="29" t="str">
        <f t="array" ref="AD297">MID(";"&amp;'CASE DATA'!$F297&amp;";",SMALL(IF(ISERROR(SEARCH(MID(";"&amp;'CASE DATA'!$F297&amp;";",ROW($1:$99),1),";")),"",ROW($1:$99)+1),COLUMN(I297)),SMALL(IF(ISERROR(SEARCH(MID(";"&amp;'CASE DATA'!$F297&amp;";",ROW($1:$99),1),";")),"",ROW($1:$99)),COLUMN(I296)+1)-SMALL(IF(ISERROR(SEARCH(MID(";"&amp;'CASE DATA'!$F297&amp;";",ROW($1:$99),1),";")),"",ROW($1:$99)),COLUMN(I296))-1)</f>
        <v/>
      </c>
      <c r="AE297" s="29" t="str">
        <f t="array" ref="AE297">MID(";"&amp;'CASE DATA'!$F297&amp;";",SMALL(IF(ISERROR(SEARCH(MID(";"&amp;'CASE DATA'!$F297&amp;";",ROW($1:$99),1),";")),"",ROW($1:$99)+1),COLUMN(J297)),SMALL(IF(ISERROR(SEARCH(MID(";"&amp;'CASE DATA'!$F297&amp;";",ROW($1:$99),1),";")),"",ROW($1:$99)),COLUMN(J296)+1)-SMALL(IF(ISERROR(SEARCH(MID(";"&amp;'CASE DATA'!$F297&amp;";",ROW($1:$99),1),";")),"",ROW($1:$99)),COLUMN(J296))-1)</f>
        <v/>
      </c>
      <c r="AF297" s="29" t="str">
        <f t="array" ref="AF297">MID(";"&amp;'CASE DATA'!$F297&amp;";",SMALL(IF(ISERROR(SEARCH(MID(";"&amp;'CASE DATA'!$F297&amp;";",ROW($1:$99),1),";")),"",ROW($1:$99)+1),COLUMN(K297)),SMALL(IF(ISERROR(SEARCH(MID(";"&amp;'CASE DATA'!$F297&amp;";",ROW($1:$99),1),";")),"",ROW($1:$99)),COLUMN(K296)+1)-SMALL(IF(ISERROR(SEARCH(MID(";"&amp;'CASE DATA'!$F297&amp;";",ROW($1:$99),1),";")),"",ROW($1:$99)),COLUMN(K296))-1)</f>
        <v/>
      </c>
      <c r="AG297" s="29" t="str">
        <f t="array" ref="AG297">MID(";"&amp;'CASE DATA'!$F297&amp;";",SMALL(IF(ISERROR(SEARCH(MID(";"&amp;'CASE DATA'!$F297&amp;";",ROW($1:$99),1),";")),"",ROW($1:$99)+1),COLUMN(L297)),SMALL(IF(ISERROR(SEARCH(MID(";"&amp;'CASE DATA'!$F297&amp;";",ROW($1:$99),1),";")),"",ROW($1:$99)),COLUMN(L296)+1)-SMALL(IF(ISERROR(SEARCH(MID(";"&amp;'CASE DATA'!$F297&amp;";",ROW($1:$99),1),";")),"",ROW($1:$99)),COLUMN(L296))-1)</f>
        <v/>
      </c>
      <c r="AH297" s="29"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24"/>
      <c r="D298" s="24"/>
      <c r="J298" s="31"/>
      <c r="K298" s="31"/>
      <c r="L298" s="31"/>
      <c r="M298" s="31"/>
      <c r="N298" s="31"/>
      <c r="O298" s="31"/>
      <c r="P298" s="31"/>
      <c r="Q298" s="31"/>
      <c r="R298" s="31"/>
      <c r="S298" s="31"/>
      <c r="T298" s="28">
        <f t="shared" si="5"/>
        <v>0</v>
      </c>
      <c r="U298" s="28"/>
      <c r="W298" s="29" t="str">
        <f t="array" ref="W298">MID(";"&amp;'CASE DATA'!$F298&amp;";",SMALL(IF(ISERROR(SEARCH(MID(";"&amp;'CASE DATA'!$F298&amp;";",ROW($1:$99),1),";")),"",ROW($1:$99)+1),COLUMN(A298)),SMALL(IF(ISERROR(SEARCH(MID(";"&amp;'CASE DATA'!$F298&amp;";",ROW($1:$99),1),";")),"",ROW($1:$99)),COLUMN(A297)+1)-SMALL(IF(ISERROR(SEARCH(MID(";"&amp;'CASE DATA'!$F298&amp;";",ROW($1:$99),1),";")),"",ROW($1:$99)),COLUMN(A297))-1)</f>
        <v/>
      </c>
      <c r="X298" s="29" t="str">
        <f t="array" ref="X298">MID(";"&amp;'CASE DATA'!$F298&amp;";",SMALL(IF(ISERROR(SEARCH(MID(";"&amp;'CASE DATA'!$F298&amp;";",ROW($1:$99),1),";")),"",ROW($1:$99)+1),COLUMN(B298)),SMALL(IF(ISERROR(SEARCH(MID(";"&amp;'CASE DATA'!$F298&amp;";",ROW($1:$99),1),";")),"",ROW($1:$99)),COLUMN(B297)+1)-SMALL(IF(ISERROR(SEARCH(MID(";"&amp;'CASE DATA'!$F298&amp;";",ROW($1:$99),1),";")),"",ROW($1:$99)),COLUMN(B297))-1)</f>
        <v/>
      </c>
      <c r="Y298" s="29" t="str">
        <f t="array" ref="Y298">MID(";"&amp;'CASE DATA'!$F298&amp;";",SMALL(IF(ISERROR(SEARCH(MID(";"&amp;'CASE DATA'!$F298&amp;";",ROW($1:$99),1),";")),"",ROW($1:$99)+1),COLUMN(D298)),SMALL(IF(ISERROR(SEARCH(MID(";"&amp;'CASE DATA'!$F298&amp;";",ROW($1:$99),1),";")),"",ROW($1:$99)),COLUMN(D297)+1)-SMALL(IF(ISERROR(SEARCH(MID(";"&amp;'CASE DATA'!$F298&amp;";",ROW($1:$99),1),";")),"",ROW($1:$99)),COLUMN(D297))-1)</f>
        <v/>
      </c>
      <c r="Z298" s="29" t="str">
        <f t="array" ref="Z298">MID(";"&amp;'CASE DATA'!$F298&amp;";",SMALL(IF(ISERROR(SEARCH(MID(";"&amp;'CASE DATA'!$F298&amp;";",ROW($1:$99),1),";")),"",ROW($1:$99)+1),COLUMN(E298)),SMALL(IF(ISERROR(SEARCH(MID(";"&amp;'CASE DATA'!$F298&amp;";",ROW($1:$99),1),";")),"",ROW($1:$99)),COLUMN(E297)+1)-SMALL(IF(ISERROR(SEARCH(MID(";"&amp;'CASE DATA'!$F298&amp;";",ROW($1:$99),1),";")),"",ROW($1:$99)),COLUMN(E297))-1)</f>
        <v/>
      </c>
      <c r="AA298" s="29" t="str">
        <f t="array" ref="AA298">MID(";"&amp;'CASE DATA'!$F298&amp;";",SMALL(IF(ISERROR(SEARCH(MID(";"&amp;'CASE DATA'!$F298&amp;";",ROW($1:$99),1),";")),"",ROW($1:$99)+1),COLUMN(F298)),SMALL(IF(ISERROR(SEARCH(MID(";"&amp;'CASE DATA'!$F298&amp;";",ROW($1:$99),1),";")),"",ROW($1:$99)),COLUMN(F297)+1)-SMALL(IF(ISERROR(SEARCH(MID(";"&amp;'CASE DATA'!$F298&amp;";",ROW($1:$99),1),";")),"",ROW($1:$99)),COLUMN(F297))-1)</f>
        <v/>
      </c>
      <c r="AB298" s="29" t="str">
        <f t="array" ref="AB298">MID(";"&amp;'CASE DATA'!$F298&amp;";",SMALL(IF(ISERROR(SEARCH(MID(";"&amp;'CASE DATA'!$F298&amp;";",ROW($1:$99),1),";")),"",ROW($1:$99)+1),COLUMN(G298)),SMALL(IF(ISERROR(SEARCH(MID(";"&amp;'CASE DATA'!$F298&amp;";",ROW($1:$99),1),";")),"",ROW($1:$99)),COLUMN(G297)+1)-SMALL(IF(ISERROR(SEARCH(MID(";"&amp;'CASE DATA'!$F298&amp;";",ROW($1:$99),1),";")),"",ROW($1:$99)),COLUMN(G297))-1)</f>
        <v/>
      </c>
      <c r="AC298" s="29" t="str">
        <f t="array" ref="AC298">MID(";"&amp;'CASE DATA'!$F298&amp;";",SMALL(IF(ISERROR(SEARCH(MID(";"&amp;'CASE DATA'!$F298&amp;";",ROW($1:$99),1),";")),"",ROW($1:$99)+1),COLUMN(H298)),SMALL(IF(ISERROR(SEARCH(MID(";"&amp;'CASE DATA'!$F298&amp;";",ROW($1:$99),1),";")),"",ROW($1:$99)),COLUMN(H297)+1)-SMALL(IF(ISERROR(SEARCH(MID(";"&amp;'CASE DATA'!$F298&amp;";",ROW($1:$99),1),";")),"",ROW($1:$99)),COLUMN(H297))-1)</f>
        <v/>
      </c>
      <c r="AD298" s="29" t="str">
        <f t="array" ref="AD298">MID(";"&amp;'CASE DATA'!$F298&amp;";",SMALL(IF(ISERROR(SEARCH(MID(";"&amp;'CASE DATA'!$F298&amp;";",ROW($1:$99),1),";")),"",ROW($1:$99)+1),COLUMN(I298)),SMALL(IF(ISERROR(SEARCH(MID(";"&amp;'CASE DATA'!$F298&amp;";",ROW($1:$99),1),";")),"",ROW($1:$99)),COLUMN(I297)+1)-SMALL(IF(ISERROR(SEARCH(MID(";"&amp;'CASE DATA'!$F298&amp;";",ROW($1:$99),1),";")),"",ROW($1:$99)),COLUMN(I297))-1)</f>
        <v/>
      </c>
      <c r="AE298" s="29" t="str">
        <f t="array" ref="AE298">MID(";"&amp;'CASE DATA'!$F298&amp;";",SMALL(IF(ISERROR(SEARCH(MID(";"&amp;'CASE DATA'!$F298&amp;";",ROW($1:$99),1),";")),"",ROW($1:$99)+1),COLUMN(J298)),SMALL(IF(ISERROR(SEARCH(MID(";"&amp;'CASE DATA'!$F298&amp;";",ROW($1:$99),1),";")),"",ROW($1:$99)),COLUMN(J297)+1)-SMALL(IF(ISERROR(SEARCH(MID(";"&amp;'CASE DATA'!$F298&amp;";",ROW($1:$99),1),";")),"",ROW($1:$99)),COLUMN(J297))-1)</f>
        <v/>
      </c>
      <c r="AF298" s="29" t="str">
        <f t="array" ref="AF298">MID(";"&amp;'CASE DATA'!$F298&amp;";",SMALL(IF(ISERROR(SEARCH(MID(";"&amp;'CASE DATA'!$F298&amp;";",ROW($1:$99),1),";")),"",ROW($1:$99)+1),COLUMN(K298)),SMALL(IF(ISERROR(SEARCH(MID(";"&amp;'CASE DATA'!$F298&amp;";",ROW($1:$99),1),";")),"",ROW($1:$99)),COLUMN(K297)+1)-SMALL(IF(ISERROR(SEARCH(MID(";"&amp;'CASE DATA'!$F298&amp;";",ROW($1:$99),1),";")),"",ROW($1:$99)),COLUMN(K297))-1)</f>
        <v/>
      </c>
      <c r="AG298" s="29" t="str">
        <f t="array" ref="AG298">MID(";"&amp;'CASE DATA'!$F298&amp;";",SMALL(IF(ISERROR(SEARCH(MID(";"&amp;'CASE DATA'!$F298&amp;";",ROW($1:$99),1),";")),"",ROW($1:$99)+1),COLUMN(L298)),SMALL(IF(ISERROR(SEARCH(MID(";"&amp;'CASE DATA'!$F298&amp;";",ROW($1:$99),1),";")),"",ROW($1:$99)),COLUMN(L297)+1)-SMALL(IF(ISERROR(SEARCH(MID(";"&amp;'CASE DATA'!$F298&amp;";",ROW($1:$99),1),";")),"",ROW($1:$99)),COLUMN(L297))-1)</f>
        <v/>
      </c>
      <c r="AH298" s="29"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24"/>
      <c r="D299" s="24"/>
      <c r="J299" s="31"/>
      <c r="K299" s="31"/>
      <c r="L299" s="31"/>
      <c r="M299" s="31"/>
      <c r="N299" s="31"/>
      <c r="O299" s="31"/>
      <c r="P299" s="31"/>
      <c r="Q299" s="31"/>
      <c r="R299" s="31"/>
      <c r="S299" s="31"/>
      <c r="T299" s="28">
        <f t="shared" si="5"/>
        <v>0</v>
      </c>
      <c r="U299" s="28"/>
      <c r="W299" s="29" t="str">
        <f t="array" ref="W299">MID(";"&amp;'CASE DATA'!$F299&amp;";",SMALL(IF(ISERROR(SEARCH(MID(";"&amp;'CASE DATA'!$F299&amp;";",ROW($1:$99),1),";")),"",ROW($1:$99)+1),COLUMN(A299)),SMALL(IF(ISERROR(SEARCH(MID(";"&amp;'CASE DATA'!$F299&amp;";",ROW($1:$99),1),";")),"",ROW($1:$99)),COLUMN(A298)+1)-SMALL(IF(ISERROR(SEARCH(MID(";"&amp;'CASE DATA'!$F299&amp;";",ROW($1:$99),1),";")),"",ROW($1:$99)),COLUMN(A298))-1)</f>
        <v/>
      </c>
      <c r="X299" s="29" t="str">
        <f t="array" ref="X299">MID(";"&amp;'CASE DATA'!$F299&amp;";",SMALL(IF(ISERROR(SEARCH(MID(";"&amp;'CASE DATA'!$F299&amp;";",ROW($1:$99),1),";")),"",ROW($1:$99)+1),COLUMN(B299)),SMALL(IF(ISERROR(SEARCH(MID(";"&amp;'CASE DATA'!$F299&amp;";",ROW($1:$99),1),";")),"",ROW($1:$99)),COLUMN(B298)+1)-SMALL(IF(ISERROR(SEARCH(MID(";"&amp;'CASE DATA'!$F299&amp;";",ROW($1:$99),1),";")),"",ROW($1:$99)),COLUMN(B298))-1)</f>
        <v/>
      </c>
      <c r="Y299" s="29" t="str">
        <f t="array" ref="Y299">MID(";"&amp;'CASE DATA'!$F299&amp;";",SMALL(IF(ISERROR(SEARCH(MID(";"&amp;'CASE DATA'!$F299&amp;";",ROW($1:$99),1),";")),"",ROW($1:$99)+1),COLUMN(D299)),SMALL(IF(ISERROR(SEARCH(MID(";"&amp;'CASE DATA'!$F299&amp;";",ROW($1:$99),1),";")),"",ROW($1:$99)),COLUMN(D298)+1)-SMALL(IF(ISERROR(SEARCH(MID(";"&amp;'CASE DATA'!$F299&amp;";",ROW($1:$99),1),";")),"",ROW($1:$99)),COLUMN(D298))-1)</f>
        <v/>
      </c>
      <c r="Z299" s="29" t="str">
        <f t="array" ref="Z299">MID(";"&amp;'CASE DATA'!$F299&amp;";",SMALL(IF(ISERROR(SEARCH(MID(";"&amp;'CASE DATA'!$F299&amp;";",ROW($1:$99),1),";")),"",ROW($1:$99)+1),COLUMN(E299)),SMALL(IF(ISERROR(SEARCH(MID(";"&amp;'CASE DATA'!$F299&amp;";",ROW($1:$99),1),";")),"",ROW($1:$99)),COLUMN(E298)+1)-SMALL(IF(ISERROR(SEARCH(MID(";"&amp;'CASE DATA'!$F299&amp;";",ROW($1:$99),1),";")),"",ROW($1:$99)),COLUMN(E298))-1)</f>
        <v/>
      </c>
      <c r="AA299" s="29" t="str">
        <f t="array" ref="AA299">MID(";"&amp;'CASE DATA'!$F299&amp;";",SMALL(IF(ISERROR(SEARCH(MID(";"&amp;'CASE DATA'!$F299&amp;";",ROW($1:$99),1),";")),"",ROW($1:$99)+1),COLUMN(F299)),SMALL(IF(ISERROR(SEARCH(MID(";"&amp;'CASE DATA'!$F299&amp;";",ROW($1:$99),1),";")),"",ROW($1:$99)),COLUMN(F298)+1)-SMALL(IF(ISERROR(SEARCH(MID(";"&amp;'CASE DATA'!$F299&amp;";",ROW($1:$99),1),";")),"",ROW($1:$99)),COLUMN(F298))-1)</f>
        <v/>
      </c>
      <c r="AB299" s="29" t="str">
        <f t="array" ref="AB299">MID(";"&amp;'CASE DATA'!$F299&amp;";",SMALL(IF(ISERROR(SEARCH(MID(";"&amp;'CASE DATA'!$F299&amp;";",ROW($1:$99),1),";")),"",ROW($1:$99)+1),COLUMN(G299)),SMALL(IF(ISERROR(SEARCH(MID(";"&amp;'CASE DATA'!$F299&amp;";",ROW($1:$99),1),";")),"",ROW($1:$99)),COLUMN(G298)+1)-SMALL(IF(ISERROR(SEARCH(MID(";"&amp;'CASE DATA'!$F299&amp;";",ROW($1:$99),1),";")),"",ROW($1:$99)),COLUMN(G298))-1)</f>
        <v/>
      </c>
      <c r="AC299" s="29" t="str">
        <f t="array" ref="AC299">MID(";"&amp;'CASE DATA'!$F299&amp;";",SMALL(IF(ISERROR(SEARCH(MID(";"&amp;'CASE DATA'!$F299&amp;";",ROW($1:$99),1),";")),"",ROW($1:$99)+1),COLUMN(H299)),SMALL(IF(ISERROR(SEARCH(MID(";"&amp;'CASE DATA'!$F299&amp;";",ROW($1:$99),1),";")),"",ROW($1:$99)),COLUMN(H298)+1)-SMALL(IF(ISERROR(SEARCH(MID(";"&amp;'CASE DATA'!$F299&amp;";",ROW($1:$99),1),";")),"",ROW($1:$99)),COLUMN(H298))-1)</f>
        <v/>
      </c>
      <c r="AD299" s="29" t="str">
        <f t="array" ref="AD299">MID(";"&amp;'CASE DATA'!$F299&amp;";",SMALL(IF(ISERROR(SEARCH(MID(";"&amp;'CASE DATA'!$F299&amp;";",ROW($1:$99),1),";")),"",ROW($1:$99)+1),COLUMN(I299)),SMALL(IF(ISERROR(SEARCH(MID(";"&amp;'CASE DATA'!$F299&amp;";",ROW($1:$99),1),";")),"",ROW($1:$99)),COLUMN(I298)+1)-SMALL(IF(ISERROR(SEARCH(MID(";"&amp;'CASE DATA'!$F299&amp;";",ROW($1:$99),1),";")),"",ROW($1:$99)),COLUMN(I298))-1)</f>
        <v/>
      </c>
      <c r="AE299" s="29" t="str">
        <f t="array" ref="AE299">MID(";"&amp;'CASE DATA'!$F299&amp;";",SMALL(IF(ISERROR(SEARCH(MID(";"&amp;'CASE DATA'!$F299&amp;";",ROW($1:$99),1),";")),"",ROW($1:$99)+1),COLUMN(J299)),SMALL(IF(ISERROR(SEARCH(MID(";"&amp;'CASE DATA'!$F299&amp;";",ROW($1:$99),1),";")),"",ROW($1:$99)),COLUMN(J298)+1)-SMALL(IF(ISERROR(SEARCH(MID(";"&amp;'CASE DATA'!$F299&amp;";",ROW($1:$99),1),";")),"",ROW($1:$99)),COLUMN(J298))-1)</f>
        <v/>
      </c>
      <c r="AF299" s="29" t="str">
        <f t="array" ref="AF299">MID(";"&amp;'CASE DATA'!$F299&amp;";",SMALL(IF(ISERROR(SEARCH(MID(";"&amp;'CASE DATA'!$F299&amp;";",ROW($1:$99),1),";")),"",ROW($1:$99)+1),COLUMN(K299)),SMALL(IF(ISERROR(SEARCH(MID(";"&amp;'CASE DATA'!$F299&amp;";",ROW($1:$99),1),";")),"",ROW($1:$99)),COLUMN(K298)+1)-SMALL(IF(ISERROR(SEARCH(MID(";"&amp;'CASE DATA'!$F299&amp;";",ROW($1:$99),1),";")),"",ROW($1:$99)),COLUMN(K298))-1)</f>
        <v/>
      </c>
      <c r="AG299" s="29" t="str">
        <f t="array" ref="AG299">MID(";"&amp;'CASE DATA'!$F299&amp;";",SMALL(IF(ISERROR(SEARCH(MID(";"&amp;'CASE DATA'!$F299&amp;";",ROW($1:$99),1),";")),"",ROW($1:$99)+1),COLUMN(L299)),SMALL(IF(ISERROR(SEARCH(MID(";"&amp;'CASE DATA'!$F299&amp;";",ROW($1:$99),1),";")),"",ROW($1:$99)),COLUMN(L298)+1)-SMALL(IF(ISERROR(SEARCH(MID(";"&amp;'CASE DATA'!$F299&amp;";",ROW($1:$99),1),";")),"",ROW($1:$99)),COLUMN(L298))-1)</f>
        <v/>
      </c>
      <c r="AH299" s="29"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24"/>
      <c r="D300" s="24"/>
      <c r="J300" s="31"/>
      <c r="K300" s="31"/>
      <c r="L300" s="31"/>
      <c r="M300" s="31"/>
      <c r="N300" s="31"/>
      <c r="O300" s="31"/>
      <c r="P300" s="31"/>
      <c r="Q300" s="31"/>
      <c r="R300" s="31"/>
      <c r="S300" s="31"/>
      <c r="T300" s="28">
        <f t="shared" si="5"/>
        <v>0</v>
      </c>
      <c r="U300" s="28"/>
      <c r="W300" s="29" t="str">
        <f t="array" ref="W300">MID(";"&amp;'CASE DATA'!$F300&amp;";",SMALL(IF(ISERROR(SEARCH(MID(";"&amp;'CASE DATA'!$F300&amp;";",ROW($1:$99),1),";")),"",ROW($1:$99)+1),COLUMN(A300)),SMALL(IF(ISERROR(SEARCH(MID(";"&amp;'CASE DATA'!$F300&amp;";",ROW($1:$99),1),";")),"",ROW($1:$99)),COLUMN(A299)+1)-SMALL(IF(ISERROR(SEARCH(MID(";"&amp;'CASE DATA'!$F300&amp;";",ROW($1:$99),1),";")),"",ROW($1:$99)),COLUMN(A299))-1)</f>
        <v/>
      </c>
      <c r="X300" s="29" t="str">
        <f t="array" ref="X300">MID(";"&amp;'CASE DATA'!$F300&amp;";",SMALL(IF(ISERROR(SEARCH(MID(";"&amp;'CASE DATA'!$F300&amp;";",ROW($1:$99),1),";")),"",ROW($1:$99)+1),COLUMN(B300)),SMALL(IF(ISERROR(SEARCH(MID(";"&amp;'CASE DATA'!$F300&amp;";",ROW($1:$99),1),";")),"",ROW($1:$99)),COLUMN(B299)+1)-SMALL(IF(ISERROR(SEARCH(MID(";"&amp;'CASE DATA'!$F300&amp;";",ROW($1:$99),1),";")),"",ROW($1:$99)),COLUMN(B299))-1)</f>
        <v/>
      </c>
      <c r="Y300" s="29" t="str">
        <f t="array" ref="Y300">MID(";"&amp;'CASE DATA'!$F300&amp;";",SMALL(IF(ISERROR(SEARCH(MID(";"&amp;'CASE DATA'!$F300&amp;";",ROW($1:$99),1),";")),"",ROW($1:$99)+1),COLUMN(D300)),SMALL(IF(ISERROR(SEARCH(MID(";"&amp;'CASE DATA'!$F300&amp;";",ROW($1:$99),1),";")),"",ROW($1:$99)),COLUMN(D299)+1)-SMALL(IF(ISERROR(SEARCH(MID(";"&amp;'CASE DATA'!$F300&amp;";",ROW($1:$99),1),";")),"",ROW($1:$99)),COLUMN(D299))-1)</f>
        <v/>
      </c>
      <c r="Z300" s="29" t="str">
        <f t="array" ref="Z300">MID(";"&amp;'CASE DATA'!$F300&amp;";",SMALL(IF(ISERROR(SEARCH(MID(";"&amp;'CASE DATA'!$F300&amp;";",ROW($1:$99),1),";")),"",ROW($1:$99)+1),COLUMN(E300)),SMALL(IF(ISERROR(SEARCH(MID(";"&amp;'CASE DATA'!$F300&amp;";",ROW($1:$99),1),";")),"",ROW($1:$99)),COLUMN(E299)+1)-SMALL(IF(ISERROR(SEARCH(MID(";"&amp;'CASE DATA'!$F300&amp;";",ROW($1:$99),1),";")),"",ROW($1:$99)),COLUMN(E299))-1)</f>
        <v/>
      </c>
      <c r="AA300" s="29" t="str">
        <f t="array" ref="AA300">MID(";"&amp;'CASE DATA'!$F300&amp;";",SMALL(IF(ISERROR(SEARCH(MID(";"&amp;'CASE DATA'!$F300&amp;";",ROW($1:$99),1),";")),"",ROW($1:$99)+1),COLUMN(F300)),SMALL(IF(ISERROR(SEARCH(MID(";"&amp;'CASE DATA'!$F300&amp;";",ROW($1:$99),1),";")),"",ROW($1:$99)),COLUMN(F299)+1)-SMALL(IF(ISERROR(SEARCH(MID(";"&amp;'CASE DATA'!$F300&amp;";",ROW($1:$99),1),";")),"",ROW($1:$99)),COLUMN(F299))-1)</f>
        <v/>
      </c>
      <c r="AB300" s="29" t="str">
        <f t="array" ref="AB300">MID(";"&amp;'CASE DATA'!$F300&amp;";",SMALL(IF(ISERROR(SEARCH(MID(";"&amp;'CASE DATA'!$F300&amp;";",ROW($1:$99),1),";")),"",ROW($1:$99)+1),COLUMN(G300)),SMALL(IF(ISERROR(SEARCH(MID(";"&amp;'CASE DATA'!$F300&amp;";",ROW($1:$99),1),";")),"",ROW($1:$99)),COLUMN(G299)+1)-SMALL(IF(ISERROR(SEARCH(MID(";"&amp;'CASE DATA'!$F300&amp;";",ROW($1:$99),1),";")),"",ROW($1:$99)),COLUMN(G299))-1)</f>
        <v/>
      </c>
      <c r="AC300" s="29" t="str">
        <f t="array" ref="AC300">MID(";"&amp;'CASE DATA'!$F300&amp;";",SMALL(IF(ISERROR(SEARCH(MID(";"&amp;'CASE DATA'!$F300&amp;";",ROW($1:$99),1),";")),"",ROW($1:$99)+1),COLUMN(H300)),SMALL(IF(ISERROR(SEARCH(MID(";"&amp;'CASE DATA'!$F300&amp;";",ROW($1:$99),1),";")),"",ROW($1:$99)),COLUMN(H299)+1)-SMALL(IF(ISERROR(SEARCH(MID(";"&amp;'CASE DATA'!$F300&amp;";",ROW($1:$99),1),";")),"",ROW($1:$99)),COLUMN(H299))-1)</f>
        <v/>
      </c>
      <c r="AD300" s="29" t="str">
        <f t="array" ref="AD300">MID(";"&amp;'CASE DATA'!$F300&amp;";",SMALL(IF(ISERROR(SEARCH(MID(";"&amp;'CASE DATA'!$F300&amp;";",ROW($1:$99),1),";")),"",ROW($1:$99)+1),COLUMN(I300)),SMALL(IF(ISERROR(SEARCH(MID(";"&amp;'CASE DATA'!$F300&amp;";",ROW($1:$99),1),";")),"",ROW($1:$99)),COLUMN(I299)+1)-SMALL(IF(ISERROR(SEARCH(MID(";"&amp;'CASE DATA'!$F300&amp;";",ROW($1:$99),1),";")),"",ROW($1:$99)),COLUMN(I299))-1)</f>
        <v/>
      </c>
      <c r="AE300" s="29" t="str">
        <f t="array" ref="AE300">MID(";"&amp;'CASE DATA'!$F300&amp;";",SMALL(IF(ISERROR(SEARCH(MID(";"&amp;'CASE DATA'!$F300&amp;";",ROW($1:$99),1),";")),"",ROW($1:$99)+1),COLUMN(J300)),SMALL(IF(ISERROR(SEARCH(MID(";"&amp;'CASE DATA'!$F300&amp;";",ROW($1:$99),1),";")),"",ROW($1:$99)),COLUMN(J299)+1)-SMALL(IF(ISERROR(SEARCH(MID(";"&amp;'CASE DATA'!$F300&amp;";",ROW($1:$99),1),";")),"",ROW($1:$99)),COLUMN(J299))-1)</f>
        <v/>
      </c>
      <c r="AF300" s="29" t="str">
        <f t="array" ref="AF300">MID(";"&amp;'CASE DATA'!$F300&amp;";",SMALL(IF(ISERROR(SEARCH(MID(";"&amp;'CASE DATA'!$F300&amp;";",ROW($1:$99),1),";")),"",ROW($1:$99)+1),COLUMN(K300)),SMALL(IF(ISERROR(SEARCH(MID(";"&amp;'CASE DATA'!$F300&amp;";",ROW($1:$99),1),";")),"",ROW($1:$99)),COLUMN(K299)+1)-SMALL(IF(ISERROR(SEARCH(MID(";"&amp;'CASE DATA'!$F300&amp;";",ROW($1:$99),1),";")),"",ROW($1:$99)),COLUMN(K299))-1)</f>
        <v/>
      </c>
      <c r="AG300" s="29" t="str">
        <f t="array" ref="AG300">MID(";"&amp;'CASE DATA'!$F300&amp;";",SMALL(IF(ISERROR(SEARCH(MID(";"&amp;'CASE DATA'!$F300&amp;";",ROW($1:$99),1),";")),"",ROW($1:$99)+1),COLUMN(L300)),SMALL(IF(ISERROR(SEARCH(MID(";"&amp;'CASE DATA'!$F300&amp;";",ROW($1:$99),1),";")),"",ROW($1:$99)),COLUMN(L299)+1)-SMALL(IF(ISERROR(SEARCH(MID(";"&amp;'CASE DATA'!$F300&amp;";",ROW($1:$99),1),";")),"",ROW($1:$99)),COLUMN(L299))-1)</f>
        <v/>
      </c>
      <c r="AH300" s="29"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4:AH3">
      <sortCondition descending="1" ref="B3"/>
    </sortState>
  </autoFilter>
  <mergeCells count="22">
    <mergeCell ref="T2:T3"/>
    <mergeCell ref="O2:O3"/>
    <mergeCell ref="P2:P3"/>
    <mergeCell ref="Q2:Q3"/>
    <mergeCell ref="R2:R3"/>
    <mergeCell ref="S2:S3"/>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zoomScaleNormal="100" workbookViewId="0">
      <pane xSplit="1" topLeftCell="N1" activePane="topRight" state="frozen"/>
      <selection pane="topRight" activeCell="Y7" sqref="Y7"/>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7" width="17.140625" customWidth="1"/>
    <col min="18" max="18" width="14" customWidth="1"/>
    <col min="19" max="19" width="14.140625" customWidth="1"/>
    <col min="20" max="20" width="12.42578125" customWidth="1"/>
    <col min="21" max="21" width="15.28515625" customWidth="1"/>
    <col min="22" max="22" width="11.42578125" customWidth="1"/>
    <col min="23" max="23" width="12.42578125" customWidth="1"/>
    <col min="24" max="24" width="20.7109375" customWidth="1"/>
    <col min="25" max="25" width="10.140625" customWidth="1"/>
    <col min="26" max="27" width="10.7109375" customWidth="1"/>
    <col min="28" max="28" width="14.42578125" customWidth="1"/>
    <col min="29" max="29" width="26" customWidth="1"/>
    <col min="30" max="30" width="13.7109375" customWidth="1"/>
    <col min="31" max="31" width="16.7109375" customWidth="1"/>
    <col min="32" max="32" width="11.42578125" customWidth="1"/>
  </cols>
  <sheetData>
    <row r="1" spans="1:32" ht="35.25" customHeight="1" x14ac:dyDescent="0.25">
      <c r="A1" s="1" t="s">
        <v>35</v>
      </c>
      <c r="B1" s="1"/>
      <c r="C1" s="1"/>
      <c r="D1" s="36" t="s">
        <v>36</v>
      </c>
      <c r="E1" s="89" t="s">
        <v>37</v>
      </c>
      <c r="F1" s="89"/>
      <c r="G1" s="89"/>
      <c r="H1" s="89"/>
      <c r="I1" s="90" t="s">
        <v>38</v>
      </c>
      <c r="J1" s="90"/>
      <c r="K1" s="90"/>
      <c r="L1" s="91" t="s">
        <v>39</v>
      </c>
      <c r="M1" s="91"/>
      <c r="N1" s="91"/>
      <c r="O1" s="91"/>
      <c r="P1" s="91"/>
      <c r="Q1" s="91"/>
      <c r="R1" s="91"/>
      <c r="S1" s="92" t="s">
        <v>40</v>
      </c>
      <c r="T1" s="92"/>
      <c r="U1" s="92"/>
      <c r="V1" s="92"/>
      <c r="W1" s="93" t="s">
        <v>41</v>
      </c>
      <c r="X1" s="93"/>
      <c r="Y1" s="93"/>
      <c r="Z1" s="94" t="s">
        <v>42</v>
      </c>
      <c r="AA1" s="94"/>
      <c r="AB1" s="94"/>
      <c r="AC1" s="94"/>
    </row>
    <row r="2" spans="1:32" ht="47.25" customHeight="1" x14ac:dyDescent="0.25">
      <c r="A2" s="35" t="s">
        <v>43</v>
      </c>
      <c r="B2" s="37" t="s">
        <v>44</v>
      </c>
      <c r="C2" s="38" t="s">
        <v>45</v>
      </c>
      <c r="D2" s="39" t="s">
        <v>46</v>
      </c>
      <c r="E2" s="40" t="s">
        <v>47</v>
      </c>
      <c r="F2" s="41" t="s">
        <v>48</v>
      </c>
      <c r="G2" s="41" t="s">
        <v>49</v>
      </c>
      <c r="H2" s="41" t="s">
        <v>50</v>
      </c>
      <c r="I2" s="42" t="s">
        <v>51</v>
      </c>
      <c r="J2" s="43" t="s">
        <v>52</v>
      </c>
      <c r="K2" s="43" t="s">
        <v>53</v>
      </c>
      <c r="L2" s="44" t="s">
        <v>54</v>
      </c>
      <c r="M2" s="44" t="s">
        <v>55</v>
      </c>
      <c r="N2" s="45" t="s">
        <v>49</v>
      </c>
      <c r="O2" s="44" t="s">
        <v>56</v>
      </c>
      <c r="P2" s="44" t="s">
        <v>57</v>
      </c>
      <c r="Q2" s="46" t="s">
        <v>58</v>
      </c>
      <c r="R2" s="46" t="s">
        <v>59</v>
      </c>
      <c r="S2" s="47" t="s">
        <v>60</v>
      </c>
      <c r="T2" s="47" t="s">
        <v>61</v>
      </c>
      <c r="U2" s="48" t="s">
        <v>56</v>
      </c>
      <c r="V2" s="49" t="s">
        <v>58</v>
      </c>
      <c r="W2" s="50" t="s">
        <v>62</v>
      </c>
      <c r="X2" s="51" t="s">
        <v>63</v>
      </c>
      <c r="Y2" s="52" t="s">
        <v>64</v>
      </c>
      <c r="Z2" s="53" t="s">
        <v>65</v>
      </c>
      <c r="AA2" s="54" t="s">
        <v>64</v>
      </c>
      <c r="AB2" s="55" t="s">
        <v>66</v>
      </c>
      <c r="AC2" s="56" t="s">
        <v>63</v>
      </c>
    </row>
    <row r="3" spans="1:32" x14ac:dyDescent="0.25">
      <c r="A3" s="57" t="str">
        <f>IF('CASE DATA'!A4="","z",'CASE DATA'!A4)</f>
        <v>z</v>
      </c>
      <c r="B3" s="57" t="str">
        <f>IF('CASE DATA'!A4="","",'CASE DATA'!E4)</f>
        <v/>
      </c>
      <c r="C3" s="58">
        <f>'CASE DATA'!D4</f>
        <v>0</v>
      </c>
      <c r="D3" s="59" t="str">
        <f>IF('CASE DATA'!I4="YES",SUM('CASE DATA'!J4:P4),"n/a")</f>
        <v>n/a</v>
      </c>
      <c r="E3" s="60" t="str">
        <f>IF(OR('CASE DATA'!G4="JUV", 'CASE DATA'!G5="JWV"), "YES", "NO")</f>
        <v>NO</v>
      </c>
      <c r="F3" s="60" t="str">
        <f t="array" ref="F3">IF(E3="YES",IF(SUM(COUNTIF('CASE DATA'!$G$4:$G$200, {"GTR","GPL","DEF","JUV"}))&gt;0, "YES","NO"),"N/A")</f>
        <v>N/A</v>
      </c>
      <c r="G3" s="60" t="str">
        <f>IF(E3="YES",IF(COUNTIF('CASE DATA'!$D$4:$D$200, "")-COUNTIF('CASE DATA'!$A$4:$A$200, "")&gt;0, "YES","NO"),"N/A")</f>
        <v>N/A</v>
      </c>
      <c r="H3" s="57" t="str">
        <f>_xlfn.IFS(E3="NO", "N/A", AND('BASIC INFO'!$B$3&gt;'BASIC INFO'!$B$6+6574.5, C3+730.5&lt;'BASIC INFO'!$B$3), "YES", 'BASIC INFO'!$B$3&lt;('BASIC INFO'!$B$6+6574.5), "NOT YET 18", C3+730.5&gt;'BASIC INFO'!$B$3, "NOT YET 2 YEARS")</f>
        <v>N/A</v>
      </c>
      <c r="I3" s="61" t="str">
        <f>IF(OR(AND(LEFT('CASE DATA'!F4,4)="321.",MID('CASE DATA'!A4,8,2)="SM"),MID('CASE DATA'!A4,8,2)="ST",MID('CASE DATA'!A4,8,2)="NT"),"TRAFFIC",IF(OR('CASE DATA'!G4="DISM", 'CASE DATA'!G4="ACQ", 'CASE DATA'!G4="NOTF", 'CASE DATA'!G4="WTHD", 'CASE DATA'!G4="TNSF"), "YES", "NO"))</f>
        <v>NO</v>
      </c>
      <c r="J3" s="62" t="str">
        <f>IF(I3="YES",'CASE DATA'!T4,"N/A")</f>
        <v>N/A</v>
      </c>
      <c r="K3" s="57" t="str">
        <f>IF(I3="YES",IF(C3+180&lt;'BASIC INFO'!$B$3, "YES", "NO"),"N/A")</f>
        <v>N/A</v>
      </c>
      <c r="L3" s="62" t="str">
        <f t="array" ref="L3">IF(I3="TRAFFIC","n/a",IF(OR('CASE DATA'!G4="GTR", 'CASE DATA'!G4="GPL"),IF(SUM(COUNTIF('CASE DATA'!W4:AH4, 'CODE SECTIONS'!$V$2:$V$218&amp;"*"))&gt;0,"felony","eligible"),"n/a"))</f>
        <v>n/a</v>
      </c>
      <c r="M3" s="62" t="str">
        <f t="array" ref="M3">IF(L3="eligible",IF(OR((SUM(COUNTIF('CASE DATA'!W4:AH4,'CODE SECTIONS'!$X$2:$X$19&amp;"*"))&gt;0),LEFT('CASE DATA'!W4:AH4,4)="717C", LEFT('CASE DATA'!W4:AH4, 3)="719", LEFT('CASE DATA'!W4:AH4,3)="720", LEFT('CASE DATA'!W4:AH4,3)="724", LEFT('CASE DATA'!W4:AH4,3)="726", LEFT('CASE DATA'!W4:AH4,3)="728", LEFT('CASE DATA'!W4:AH4,4)="901A"), "ineligible misd","eligible"),"n/a")</f>
        <v>n/a</v>
      </c>
      <c r="N3" s="62" t="str">
        <f>IF(M3="eligible",IF(COUNTIF('CASE DATA'!$D$4:$D$200, "")-COUNTIF('CASE DATA'!$A$4:$A$200, "")&gt;0, "YES","NO"),"N/A")</f>
        <v>N/A</v>
      </c>
      <c r="O3" s="62" t="str">
        <f>IF(M3="eligible",BANKRUPTCY!C4+BANKRUPTCY!D4,"N/A")</f>
        <v>N/A</v>
      </c>
      <c r="P3" s="62" t="str">
        <f>IF(M3="eligible",SOL!C4+SOL!D4+SOL!E4,"N/A")</f>
        <v>N/A</v>
      </c>
      <c r="Q3" s="62" t="str">
        <f>IF(M3="eligible",SUM('CASE DATA'!J4:S4),"N/A")</f>
        <v>N/A</v>
      </c>
      <c r="R3" s="62" t="str">
        <f>IF(M3="eligible",IF(C3+2920&lt;'BASIC INFO'!$B$3, "YES", "NO"),"N/A")</f>
        <v>N/A</v>
      </c>
      <c r="S3" s="61" t="str">
        <f>IF(OR('CASE DATA'!G4="DEF"), "YES", "NO")</f>
        <v>NO</v>
      </c>
      <c r="T3" s="57" t="str">
        <f>IF(S3="YES",'CASE DATA'!I4,"N/A")</f>
        <v>N/A</v>
      </c>
      <c r="U3" s="62" t="str">
        <f>IF(S3="YES",BANKRUPTCY!C4+BANKRUPTCY!D4,"N/A")</f>
        <v>N/A</v>
      </c>
      <c r="V3" s="62" t="str">
        <f>IF(S3="YES",SUM('CASE DATA'!J4:S4),"N/A")</f>
        <v>N/A</v>
      </c>
      <c r="W3" s="57" t="str">
        <f>IF(OR('CASE DATA'!F4="123.46",'CASE DATA'!F4="123.47"),"YES","NO")</f>
        <v>NO</v>
      </c>
      <c r="X3" s="60" t="str">
        <f>IF(W3="YES",COUNTIFS(AD$3:$AD$200,"&gt;"&amp;('CASE DATA'!D4),$AD$3:$AD$200,"&lt;"&amp;('CASE DATA'!D4+730.5)),"n/a")</f>
        <v>n/a</v>
      </c>
      <c r="Y3" s="62" t="str">
        <f>IF(W3="YES",IF(C3+730.5&lt;'BASIC INFO'!$B$3, "YES","NO"), "N/A")</f>
        <v>N/A</v>
      </c>
      <c r="Z3" s="57" t="str">
        <f>IF('CASE DATA'!F4="725.1","YES","NO")</f>
        <v>NO</v>
      </c>
      <c r="AA3" s="63" t="str">
        <f>IF(Z3="YES",IF(C3+730.5&lt;'BASIC INFO'!$B$3, "YES","NO"), "N/A")</f>
        <v>N/A</v>
      </c>
      <c r="AB3" t="str">
        <f>IF('BASIC INFO'!$B$6+6574.5&gt;C3, "YES", "NO")</f>
        <v>YES</v>
      </c>
      <c r="AC3" t="str">
        <f>IF(Z3="YES",COUNTIFS(AD$3:$AD$200,"&gt;"&amp;('CASE DATA'!D4),$AD$3:$AD$200,"&lt;"&amp;('CASE DATA'!D4+730.5)),"n/a")</f>
        <v>n/a</v>
      </c>
    </row>
    <row r="4" spans="1:32" x14ac:dyDescent="0.25">
      <c r="A4" s="57" t="str">
        <f>IF('CASE DATA'!A5="","z",'CASE DATA'!A5)</f>
        <v>z</v>
      </c>
      <c r="B4" s="57" t="str">
        <f>IF('CASE DATA'!A5="","",'CASE DATA'!E5)</f>
        <v/>
      </c>
      <c r="C4" s="58">
        <f>'CASE DATA'!D5</f>
        <v>0</v>
      </c>
      <c r="D4" s="59" t="str">
        <f>IF('CASE DATA'!I5="YES",SUM('CASE DATA'!J5:P5),"n/a")</f>
        <v>n/a</v>
      </c>
      <c r="E4" s="60" t="str">
        <f>IF(OR('CASE DATA'!G5="JUV", 'CASE DATA'!G5="JWV"), "YES", "NO")</f>
        <v>NO</v>
      </c>
      <c r="F4" s="60" t="str">
        <f t="array" ref="F4">IF(E4="YES",IF(SUM(COUNTIF('CASE DATA'!$G$4:$G$200, {"GTR","GPL","DEF","JUV"}))&gt;0, "YES","NO"),"N/A")</f>
        <v>N/A</v>
      </c>
      <c r="G4" s="60" t="str">
        <f>IF(E4="YES",IF(COUNTIF('CASE DATA'!$D$4:$D$200, "")-COUNTIF('CASE DATA'!$A$4:$A$200, "")&gt;0, "YES","NO"),"N/A")</f>
        <v>N/A</v>
      </c>
      <c r="H4" s="57" t="str">
        <f>_xlfn.IFS(E4="NO", "N/A", AND('BASIC INFO'!$B$3&gt;'BASIC INFO'!$B$6+6574.5, C4+730.5&lt;'BASIC INFO'!$B$3), "YES", 'BASIC INFO'!$B$3&lt;('BASIC INFO'!$B$6+6574.5), "NOT YET 18", C4+730.5&gt;'BASIC INFO'!$B$3, "NOT YET 2 YEARS")</f>
        <v>N/A</v>
      </c>
      <c r="I4" s="61" t="str">
        <f>IF(OR(AND(LEFT('CASE DATA'!F5,4)="321.",MID('CASE DATA'!A5,8,2)="SM"),MID('CASE DATA'!A5,8,2)="ST",MID('CASE DATA'!A5,8,2)="NT"),"TRAFFIC",IF(OR('CASE DATA'!G5="DISM", 'CASE DATA'!G5="ACQ", 'CASE DATA'!G5="NOTF", 'CASE DATA'!G5="WTHD", 'CASE DATA'!G5="TNSF"), "YES", "NO"))</f>
        <v>NO</v>
      </c>
      <c r="J4" s="62" t="str">
        <f>IF(I4="YES",'CASE DATA'!T5,"N/A")</f>
        <v>N/A</v>
      </c>
      <c r="K4" s="57" t="str">
        <f>IF(I4="YES",IF(C4+180&lt;'BASIC INFO'!$B$3, "YES", "NO"),"N/A")</f>
        <v>N/A</v>
      </c>
      <c r="L4" s="62" t="str">
        <f t="array" ref="L4">IF(I4="TRAFFIC","n/a",IF(OR('CASE DATA'!G5="GTR", 'CASE DATA'!G5="GPL"),IF(SUM(COUNTIF('CASE DATA'!W5:AH5, 'CODE SECTIONS'!$V$2:$V$218&amp;"*"))&gt;0,"felony","eligible"),"n/a"))</f>
        <v>n/a</v>
      </c>
      <c r="M4" s="62" t="str">
        <f t="array" ref="M4">IF(L4="eligible",IF(OR((SUM(COUNTIF('CASE DATA'!W5:AH5,'CODE SECTIONS'!$X$2:$X$19&amp;"*"))&gt;0),LEFT('CASE DATA'!W5:AH5,4)="717C", LEFT('CASE DATA'!W5:AH5, 3)="719", LEFT('CASE DATA'!W5:AH5,3)="720", LEFT('CASE DATA'!W5:AH5,3)="724", LEFT('CASE DATA'!W5:AH5,3)="726", LEFT('CASE DATA'!W5:AH5,3)="728", LEFT('CASE DATA'!W5:AH5,4)="901A"), "ineligible misd","eligible"),"n/a")</f>
        <v>n/a</v>
      </c>
      <c r="N4" s="62" t="str">
        <f>IF(M4="eligible",IF(COUNTIF('CASE DATA'!$D$4:$D$200, "")-COUNTIF('CASE DATA'!$A$4:$A$200, "")&gt;0, "YES","NO"),"N/A")</f>
        <v>N/A</v>
      </c>
      <c r="O4" s="62" t="str">
        <f>IF(M4="eligible",BANKRUPTCY!C5+BANKRUPTCY!D5,"N/A")</f>
        <v>N/A</v>
      </c>
      <c r="P4" s="62" t="str">
        <f>IF(M4="eligible",SOL!C5+SOL!D5+SOL!E5,"N/A")</f>
        <v>N/A</v>
      </c>
      <c r="Q4" s="62" t="str">
        <f>IF(M4="eligible",SUM('CASE DATA'!J5:S5),"N/A")</f>
        <v>N/A</v>
      </c>
      <c r="R4" s="62" t="str">
        <f>IF(M4="eligible",IF(C4+2920&lt;'BASIC INFO'!$B$3, "YES", "NO"),"N/A")</f>
        <v>N/A</v>
      </c>
      <c r="S4" s="61" t="str">
        <f>IF(OR('CASE DATA'!G5="DEF"), "YES", "NO")</f>
        <v>NO</v>
      </c>
      <c r="T4" s="57" t="str">
        <f>IF(S4="YES",'CASE DATA'!I5,"N/A")</f>
        <v>N/A</v>
      </c>
      <c r="U4" s="62" t="str">
        <f>IF(S4="YES",BANKRUPTCY!C5+BANKRUPTCY!D5,"N/A")</f>
        <v>N/A</v>
      </c>
      <c r="V4" s="62" t="str">
        <f>IF(S4="YES",SUM('CASE DATA'!J5:S5),"N/A")</f>
        <v>N/A</v>
      </c>
      <c r="W4" s="57" t="str">
        <f>IF(OR('CASE DATA'!F5="123.46",'CASE DATA'!F5="123.47"),"YES","NO")</f>
        <v>NO</v>
      </c>
      <c r="X4" s="60" t="str">
        <f>IF(W4="YES",COUNTIFS(AD$3:$AD$200,"&gt;"&amp;('CASE DATA'!D5),$AD$3:$AD$200,"&lt;"&amp;('CASE DATA'!D5+730.5)),"n/a")</f>
        <v>n/a</v>
      </c>
      <c r="Y4" s="62" t="str">
        <f>IF(W4="YES",IF(C4+730.5&lt;'BASIC INFO'!$B$3, "YES","NO"), "N/A")</f>
        <v>N/A</v>
      </c>
      <c r="Z4" s="57" t="str">
        <f>IF('CASE DATA'!F5="725.1","YES","NO")</f>
        <v>NO</v>
      </c>
      <c r="AA4" s="57" t="str">
        <f>IF(Z4="YES",IF(C4+730.5&lt;'BASIC INFO'!$B$3, "YES","NO"), "N/A")</f>
        <v>N/A</v>
      </c>
      <c r="AB4" s="57" t="str">
        <f>IF('BASIC INFO'!$B$6+6574.5&gt;C4, "YES", "NO")</f>
        <v>YES</v>
      </c>
      <c r="AC4" s="57" t="str">
        <f>IF(Z4="YES",COUNTIFS(AD$3:$AD$200,"&gt;"&amp;('CASE DATA'!D5),$AD$3:$AD$200,"&lt;"&amp;('CASE DATA'!D5+730.5)),"n/a")</f>
        <v>n/a</v>
      </c>
    </row>
    <row r="5" spans="1:32" x14ac:dyDescent="0.25">
      <c r="A5" s="57" t="str">
        <f>IF('CASE DATA'!A6="","z",'CASE DATA'!A6)</f>
        <v>z</v>
      </c>
      <c r="B5" s="57" t="str">
        <f>IF('CASE DATA'!A6="","",'CASE DATA'!E6)</f>
        <v/>
      </c>
      <c r="C5" s="58">
        <f>'CASE DATA'!D6</f>
        <v>0</v>
      </c>
      <c r="D5" s="59" t="str">
        <f>IF('CASE DATA'!I6="YES",SUM('CASE DATA'!J6:P6),"n/a")</f>
        <v>n/a</v>
      </c>
      <c r="E5" s="60" t="str">
        <f>IF(OR('CASE DATA'!G6="JUV", 'CASE DATA'!G6="JWV"), "YES", "NO")</f>
        <v>NO</v>
      </c>
      <c r="F5" s="60" t="str">
        <f t="array" ref="F5">IF(E5="YES",IF(SUM(COUNTIF('CASE DATA'!$G$4:$G$200, {"GTR","GPL","DEF","JUV"}))&gt;0, "YES","NO"),"N/A")</f>
        <v>N/A</v>
      </c>
      <c r="G5" s="60" t="str">
        <f>IF(E5="YES",IF(COUNTIF('CASE DATA'!$D$4:$D$200, "")-COUNTIF('CASE DATA'!$A$4:$A$200, "")&gt;0, "YES","NO"),"N/A")</f>
        <v>N/A</v>
      </c>
      <c r="H5" s="57" t="str">
        <f>_xlfn.IFS(E5="NO", "N/A", AND('BASIC INFO'!$B$3&gt;'BASIC INFO'!$B$6+6574.5, C5+730.5&lt;'BASIC INFO'!$B$3), "YES", 'BASIC INFO'!$B$3&lt;('BASIC INFO'!$B$6+6574.5), "NOT YET 18", C5+730.5&gt;'BASIC INFO'!$B$3, "NOT YET 2 YEARS")</f>
        <v>N/A</v>
      </c>
      <c r="I5" s="61" t="str">
        <f>IF(OR(AND(LEFT('CASE DATA'!F6,4)="321.",MID('CASE DATA'!A6,8,2)="SM"),MID('CASE DATA'!A6,8,2)="ST",MID('CASE DATA'!A6,8,2)="NT"),"TRAFFIC",IF(OR('CASE DATA'!G6="DISM", 'CASE DATA'!G6="ACQ", 'CASE DATA'!G6="NOTF", 'CASE DATA'!G6="WTHD", 'CASE DATA'!G6="TNSF"), "YES", "NO"))</f>
        <v>NO</v>
      </c>
      <c r="J5" s="62" t="str">
        <f>IF(I5="YES",'CASE DATA'!T6,"N/A")</f>
        <v>N/A</v>
      </c>
      <c r="K5" s="57" t="str">
        <f>IF(I5="YES",IF(C5+180&lt;'BASIC INFO'!$B$3, "YES", "NO"),"N/A")</f>
        <v>N/A</v>
      </c>
      <c r="L5" s="62" t="str">
        <f t="array" ref="L5">IF(I5="TRAFFIC","n/a",IF(OR('CASE DATA'!G6="GTR", 'CASE DATA'!G6="GPL"),IF(SUM(COUNTIF('CASE DATA'!W6:AH6, 'CODE SECTIONS'!$V$2:$V$218&amp;"*"))&gt;0,"felony","eligible"),"n/a"))</f>
        <v>n/a</v>
      </c>
      <c r="M5" s="62" t="str">
        <f t="array" ref="M5">IF(L5="eligible",IF(OR((SUM(COUNTIF('CASE DATA'!W6:AH6,'CODE SECTIONS'!$X$2:$X$19&amp;"*"))&gt;0),LEFT('CASE DATA'!W6:AH6,4)="717C", LEFT('CASE DATA'!W6:AH6, 3)="719", LEFT('CASE DATA'!W6:AH6,3)="720", LEFT('CASE DATA'!W6:AH6,3)="724", LEFT('CASE DATA'!W6:AH6,3)="726", LEFT('CASE DATA'!W6:AH6,3)="728", LEFT('CASE DATA'!W6:AH6,4)="901A"), "ineligible misd","eligible"),"n/a")</f>
        <v>n/a</v>
      </c>
      <c r="N5" s="62" t="str">
        <f>IF(M5="eligible",IF(COUNTIF('CASE DATA'!$D$4:$D$200, "")-COUNTIF('CASE DATA'!$A$4:$A$200, "")&gt;0, "YES","NO"),"N/A")</f>
        <v>N/A</v>
      </c>
      <c r="O5" s="62" t="str">
        <f>IF(M5="eligible",BANKRUPTCY!C6+BANKRUPTCY!D6,"N/A")</f>
        <v>N/A</v>
      </c>
      <c r="P5" s="62" t="str">
        <f>IF(M5="eligible",SOL!C6+SOL!D6+SOL!E6,"N/A")</f>
        <v>N/A</v>
      </c>
      <c r="Q5" s="62" t="str">
        <f>IF(M5="eligible",SUM('CASE DATA'!J6:S6),"N/A")</f>
        <v>N/A</v>
      </c>
      <c r="R5" s="62" t="str">
        <f>IF(M5="eligible",IF(C5+2920&lt;'BASIC INFO'!$B$3, "YES", "NO"),"N/A")</f>
        <v>N/A</v>
      </c>
      <c r="S5" s="61" t="str">
        <f>IF(OR('CASE DATA'!G6="DEF"), "YES", "NO")</f>
        <v>NO</v>
      </c>
      <c r="T5" s="57" t="str">
        <f>IF(S5="YES",'CASE DATA'!I6,"N/A")</f>
        <v>N/A</v>
      </c>
      <c r="U5" s="62" t="str">
        <f>IF(S5="YES",BANKRUPTCY!C6+BANKRUPTCY!D6,"N/A")</f>
        <v>N/A</v>
      </c>
      <c r="V5" s="62" t="str">
        <f>IF(S5="YES",SUM('CASE DATA'!J6:S6),"N/A")</f>
        <v>N/A</v>
      </c>
      <c r="W5" s="57" t="str">
        <f>IF(OR('CASE DATA'!F6="123.46",'CASE DATA'!F6="123.47"),"YES","NO")</f>
        <v>NO</v>
      </c>
      <c r="X5" s="60" t="str">
        <f>IF(W5="YES",COUNTIFS(AD$3:$AD$200,"&gt;"&amp;('CASE DATA'!D6),$AD$3:$AD$200,"&lt;"&amp;('CASE DATA'!D6+730.5)),"n/a")</f>
        <v>n/a</v>
      </c>
      <c r="Y5" s="62" t="str">
        <f>IF(W5="YES",IF(C5+730.5&lt;'BASIC INFO'!$B$3, "YES","NO"), "N/A")</f>
        <v>N/A</v>
      </c>
      <c r="Z5" s="57" t="str">
        <f>IF('CASE DATA'!F6="725.1","YES","NO")</f>
        <v>NO</v>
      </c>
      <c r="AA5" s="57" t="str">
        <f>IF(Z5="YES",IF(C5+730.5&lt;'BASIC INFO'!$B$3, "YES","NO"), "N/A")</f>
        <v>N/A</v>
      </c>
      <c r="AB5" s="57" t="str">
        <f>IF('BASIC INFO'!$B$6+6574.5&gt;C5, "YES", "NO")</f>
        <v>YES</v>
      </c>
      <c r="AC5" s="57" t="str">
        <f>IF(Z5="YES",COUNTIFS(AD$3:$AD$200,"&gt;"&amp;('CASE DATA'!D6),$AD$3:$AD$200,"&lt;"&amp;('CASE DATA'!D6+730.5)),"n/a")</f>
        <v>n/a</v>
      </c>
    </row>
    <row r="6" spans="1:32" x14ac:dyDescent="0.25">
      <c r="A6" s="57" t="str">
        <f>IF('CASE DATA'!A7="","z",'CASE DATA'!A7)</f>
        <v>z</v>
      </c>
      <c r="B6" s="57" t="str">
        <f>IF('CASE DATA'!A7="","",'CASE DATA'!E7)</f>
        <v/>
      </c>
      <c r="C6" s="58">
        <f>'CASE DATA'!D7</f>
        <v>0</v>
      </c>
      <c r="D6" s="59" t="str">
        <f>IF('CASE DATA'!I7="YES",SUM('CASE DATA'!J7:P7),"n/a")</f>
        <v>n/a</v>
      </c>
      <c r="E6" s="60" t="str">
        <f>IF(OR('CASE DATA'!G7="JUV", 'CASE DATA'!G7="JWV"), "YES", "NO")</f>
        <v>NO</v>
      </c>
      <c r="F6" s="60" t="str">
        <f t="array" ref="F6">IF(E6="YES",IF(SUM(COUNTIF('CASE DATA'!$G$4:$G$200, {"GTR","GPL","DEF","JUV"}))&gt;0, "YES","NO"),"N/A")</f>
        <v>N/A</v>
      </c>
      <c r="G6" s="60" t="str">
        <f>IF(E6="YES",IF(COUNTIF('CASE DATA'!$D$4:$D$200, "")-COUNTIF('CASE DATA'!$A$4:$A$200, "")&gt;0, "YES","NO"),"N/A")</f>
        <v>N/A</v>
      </c>
      <c r="H6" s="57" t="str">
        <f>_xlfn.IFS(E6="NO", "N/A", AND('BASIC INFO'!$B$3&gt;'BASIC INFO'!$B$6+6574.5, C6+730.5&lt;'BASIC INFO'!$B$3), "YES", 'BASIC INFO'!$B$3&lt;('BASIC INFO'!$B$6+6574.5), "NOT YET 18", C6+730.5&gt;'BASIC INFO'!$B$3, "NOT YET 2 YEARS")</f>
        <v>N/A</v>
      </c>
      <c r="I6" s="61" t="str">
        <f>IF(OR(AND(LEFT('CASE DATA'!F7,4)="321.",MID('CASE DATA'!A7,8,2)="SM"),MID('CASE DATA'!A7,8,2)="ST",MID('CASE DATA'!A7,8,2)="NT"),"TRAFFIC",IF(OR('CASE DATA'!G7="DISM", 'CASE DATA'!G7="ACQ", 'CASE DATA'!G7="NOTF", 'CASE DATA'!G7="WTHD", 'CASE DATA'!G7="TNSF"), "YES", "NO"))</f>
        <v>NO</v>
      </c>
      <c r="J6" s="62" t="str">
        <f>IF(I6="YES",'CASE DATA'!T7,"N/A")</f>
        <v>N/A</v>
      </c>
      <c r="K6" s="57" t="str">
        <f>IF(I6="YES",IF(C6+180&lt;'BASIC INFO'!$B$3, "YES", "NO"),"N/A")</f>
        <v>N/A</v>
      </c>
      <c r="L6" s="64" t="str">
        <f t="array" ref="L6">IF(I6="TRAFFIC","n/a",IF(OR('CASE DATA'!G7="GTR", 'CASE DATA'!G7="GPL"),IF(SUM(COUNTIF('CASE DATA'!W7:AH7, 'CODE SECTIONS'!$V$2:$V$218&amp;"*"))&gt;0,"felony","eligible"),"n/a"))</f>
        <v>n/a</v>
      </c>
      <c r="M6" s="62" t="str">
        <f t="array" ref="M6">IF(L6="eligible",IF(OR((SUM(COUNTIF('CASE DATA'!W7:AH7,'CODE SECTIONS'!$X$2:$X$19&amp;"*"))&gt;0),LEFT('CASE DATA'!W7:AH7,4)="717C", LEFT('CASE DATA'!W7:AH7, 3)="719", LEFT('CASE DATA'!W7:AH7,3)="720", LEFT('CASE DATA'!W7:AH7,3)="724", LEFT('CASE DATA'!W7:AH7,3)="726", LEFT('CASE DATA'!W7:AH7,3)="728", LEFT('CASE DATA'!W7:AH7,4)="901A"), "ineligible misd","eligible"),"n/a")</f>
        <v>n/a</v>
      </c>
      <c r="N6" s="62" t="str">
        <f>IF(M6="eligible",IF(COUNTIF('CASE DATA'!$D$4:$D$200, "")-COUNTIF('CASE DATA'!$A$4:$A$200, "")&gt;0, "YES","NO"),"N/A")</f>
        <v>N/A</v>
      </c>
      <c r="O6" s="62" t="str">
        <f>IF(M6="eligible",BANKRUPTCY!C7+BANKRUPTCY!D7,"N/A")</f>
        <v>N/A</v>
      </c>
      <c r="P6" s="62" t="str">
        <f>IF(M6="eligible",SOL!C7+SOL!D7+SOL!E7,"N/A")</f>
        <v>N/A</v>
      </c>
      <c r="Q6" s="62" t="str">
        <f>IF(M6="eligible",SUM('CASE DATA'!J7:S7),"N/A")</f>
        <v>N/A</v>
      </c>
      <c r="R6" s="62" t="str">
        <f>IF(M6="eligible",IF(C6+2920&lt;'BASIC INFO'!$B$3, "YES", "NO"),"N/A")</f>
        <v>N/A</v>
      </c>
      <c r="S6" s="61" t="str">
        <f>IF(OR('CASE DATA'!G7="DEF"), "YES", "NO")</f>
        <v>NO</v>
      </c>
      <c r="T6" s="57" t="str">
        <f>IF(S6="YES",'CASE DATA'!I7,"N/A")</f>
        <v>N/A</v>
      </c>
      <c r="U6" s="62" t="str">
        <f>IF(S6="YES",BANKRUPTCY!C7+BANKRUPTCY!D7,"N/A")</f>
        <v>N/A</v>
      </c>
      <c r="V6" s="62" t="str">
        <f>IF(S6="YES",SUM('CASE DATA'!J7:S7),"N/A")</f>
        <v>N/A</v>
      </c>
      <c r="W6" s="57" t="str">
        <f>IF(OR('CASE DATA'!F7="123.46",'CASE DATA'!F7="123.47"),"YES","NO")</f>
        <v>NO</v>
      </c>
      <c r="X6" s="60" t="str">
        <f>IF(W6="YES",COUNTIFS(AD$3:$AD$200,"&gt;"&amp;('CASE DATA'!D7),$AD$3:$AD$200,"&lt;"&amp;('CASE DATA'!D7+730.5)),"n/a")</f>
        <v>n/a</v>
      </c>
      <c r="Y6" s="62" t="str">
        <f>IF(W6="YES",IF(C6+730.5&lt;'BASIC INFO'!$B$3, "YES","NO"), "N/A")</f>
        <v>N/A</v>
      </c>
      <c r="Z6" s="57" t="str">
        <f>IF('CASE DATA'!F7="725.1","YES","NO")</f>
        <v>NO</v>
      </c>
      <c r="AA6" s="57" t="str">
        <f>IF(Z6="YES",IF(C6+730.5&lt;'BASIC INFO'!$B$3, "YES","NO"), "N/A")</f>
        <v>N/A</v>
      </c>
      <c r="AB6" s="57" t="str">
        <f>IF('BASIC INFO'!$B$6+6574.5&gt;C6, "YES", "NO")</f>
        <v>YES</v>
      </c>
      <c r="AC6" s="57" t="str">
        <f>IF(Z6="YES",COUNTIFS(AD$3:$AD$200,"&gt;"&amp;('CASE DATA'!D7),$AD$3:$AD$200,"&lt;"&amp;('CASE DATA'!D7+730.5)),"n/a")</f>
        <v>n/a</v>
      </c>
    </row>
    <row r="7" spans="1:32" x14ac:dyDescent="0.25">
      <c r="A7" s="57" t="str">
        <f>IF('CASE DATA'!A8="","z",'CASE DATA'!A8)</f>
        <v>z</v>
      </c>
      <c r="B7" s="57" t="str">
        <f>IF('CASE DATA'!A8="","",'CASE DATA'!E8)</f>
        <v/>
      </c>
      <c r="C7" s="58">
        <f>'CASE DATA'!D8</f>
        <v>0</v>
      </c>
      <c r="D7" s="59" t="str">
        <f>IF('CASE DATA'!I8="YES",SUM('CASE DATA'!J8:P8),"n/a")</f>
        <v>n/a</v>
      </c>
      <c r="E7" s="60" t="str">
        <f>IF(OR('CASE DATA'!G8="JUV", 'CASE DATA'!G8="JWV"), "YES", "NO")</f>
        <v>NO</v>
      </c>
      <c r="F7" s="60" t="str">
        <f t="array" ref="F7">IF(E7="YES",IF(SUM(COUNTIF('CASE DATA'!$G$4:$G$200, {"GTR","GPL","DEF","JUV"}))&gt;0, "YES","NO"),"N/A")</f>
        <v>N/A</v>
      </c>
      <c r="G7" s="60" t="str">
        <f>IF(E7="YES",IF(COUNTIF('CASE DATA'!$D$4:$D$200, "")-COUNTIF('CASE DATA'!$A$4:$A$200, "")&gt;0, "YES","NO"),"N/A")</f>
        <v>N/A</v>
      </c>
      <c r="H7" s="57" t="str">
        <f>_xlfn.IFS(E7="NO", "N/A", AND('BASIC INFO'!$B$3&gt;'BASIC INFO'!$B$6+6574.5, C7+730.5&lt;'BASIC INFO'!$B$3), "YES", 'BASIC INFO'!$B$3&lt;('BASIC INFO'!$B$6+6574.5), "NOT YET 18", C7+730.5&gt;'BASIC INFO'!$B$3, "NOT YET 2 YEARS")</f>
        <v>N/A</v>
      </c>
      <c r="I7" s="61" t="str">
        <f>IF(OR(AND(LEFT('CASE DATA'!F8,4)="321.",MID('CASE DATA'!A8,8,2)="SM"),MID('CASE DATA'!A8,8,2)="ST",MID('CASE DATA'!A8,8,2)="NT"),"TRAFFIC",IF(OR('CASE DATA'!G8="DISM", 'CASE DATA'!G8="ACQ", 'CASE DATA'!G8="NOTF", 'CASE DATA'!G8="WTHD", 'CASE DATA'!G8="TNSF"), "YES", "NO"))</f>
        <v>NO</v>
      </c>
      <c r="J7" s="62" t="str">
        <f>IF(I7="YES",'CASE DATA'!T8,"N/A")</f>
        <v>N/A</v>
      </c>
      <c r="K7" s="57" t="str">
        <f>IF(I7="YES",IF(C7+180&lt;'BASIC INFO'!$B$3, "YES", "NO"),"N/A")</f>
        <v>N/A</v>
      </c>
      <c r="L7" s="62" t="str">
        <f t="array" ref="L7">IF(I7="TRAFFIC","n/a",IF(OR('CASE DATA'!G8="GTR", 'CASE DATA'!G8="GPL"),IF(SUM(COUNTIF('CASE DATA'!W8:AH8, 'CODE SECTIONS'!$V$2:$V$218&amp;"*"))&gt;0,"felony","eligible"),"n/a"))</f>
        <v>n/a</v>
      </c>
      <c r="M7" s="62" t="str">
        <f t="array" ref="M7">IF(L7="eligible",IF(OR((SUM(COUNTIF('CASE DATA'!W8:AH8,'CODE SECTIONS'!$X$2:$X$19&amp;"*"))&gt;0),LEFT('CASE DATA'!W8:AH8,4)="717C", LEFT('CASE DATA'!W8:AH8, 3)="719", LEFT('CASE DATA'!W8:AH8,3)="720", LEFT('CASE DATA'!W8:AH8,3)="724", LEFT('CASE DATA'!W8:AH8,3)="726", LEFT('CASE DATA'!W8:AH8,3)="728", LEFT('CASE DATA'!W8:AH8,4)="901A"), "ineligible misd","eligible"),"n/a")</f>
        <v>n/a</v>
      </c>
      <c r="N7" s="62" t="str">
        <f>IF(M7="eligible",IF(COUNTIF('CASE DATA'!$D$4:$D$200, "")-COUNTIF('CASE DATA'!$A$4:$A$200, "")&gt;0, "YES","NO"),"N/A")</f>
        <v>N/A</v>
      </c>
      <c r="O7" s="62" t="str">
        <f>IF(M7="eligible",BANKRUPTCY!C8+BANKRUPTCY!D8,"N/A")</f>
        <v>N/A</v>
      </c>
      <c r="P7" s="62" t="str">
        <f>IF(M7="eligible",SOL!C8+SOL!D8+SOL!E8,"N/A")</f>
        <v>N/A</v>
      </c>
      <c r="Q7" s="62" t="str">
        <f>IF(M7="eligible",SUM('CASE DATA'!J8:S8),"N/A")</f>
        <v>N/A</v>
      </c>
      <c r="R7" s="62" t="str">
        <f>IF(M7="eligible",IF(C7+2920&lt;'BASIC INFO'!$B$3, "YES", "NO"),"N/A")</f>
        <v>N/A</v>
      </c>
      <c r="S7" s="61" t="str">
        <f>IF(OR('CASE DATA'!G8="DEF"), "YES", "NO")</f>
        <v>NO</v>
      </c>
      <c r="T7" s="57" t="str">
        <f>IF(S7="YES",'CASE DATA'!I8,"N/A")</f>
        <v>N/A</v>
      </c>
      <c r="U7" s="62" t="str">
        <f>IF(S7="YES",BANKRUPTCY!C8+BANKRUPTCY!D8,"N/A")</f>
        <v>N/A</v>
      </c>
      <c r="V7" s="62" t="str">
        <f>IF(S7="YES",SUM('CASE DATA'!J8:S8),"N/A")</f>
        <v>N/A</v>
      </c>
      <c r="W7" s="57" t="str">
        <f>IF(OR('CASE DATA'!F8="123.46",'CASE DATA'!F8="123.47"),"YES","NO")</f>
        <v>NO</v>
      </c>
      <c r="X7" s="60" t="str">
        <f>IF(W7="YES",COUNTIFS(AD$3:$AD$200,"&gt;"&amp;('CASE DATA'!D8),$AD$3:$AD$200,"&lt;"&amp;('CASE DATA'!D8+730.5)),"n/a")</f>
        <v>n/a</v>
      </c>
      <c r="Y7" s="62" t="str">
        <f>IF(W7="YES",IF(C7+730.5&lt;'BASIC INFO'!$B$3, "YES","NO"), "N/A")</f>
        <v>N/A</v>
      </c>
      <c r="Z7" s="57" t="str">
        <f>IF('CASE DATA'!F8="725.1","YES","NO")</f>
        <v>NO</v>
      </c>
      <c r="AA7" s="57" t="str">
        <f>IF(Z7="YES",IF(C7+730.5&lt;'BASIC INFO'!$B$3, "YES","NO"), "N/A")</f>
        <v>N/A</v>
      </c>
      <c r="AB7" s="57" t="str">
        <f>IF('BASIC INFO'!$B$6+6574.5&gt;C7, "YES", "NO")</f>
        <v>YES</v>
      </c>
      <c r="AC7" s="57" t="str">
        <f>IF(Z7="YES",COUNTIFS(AD$3:$AD$200,"&gt;"&amp;('CASE DATA'!D8),$AD$3:$AD$200,"&lt;"&amp;('CASE DATA'!D8+730.5)),"n/a")</f>
        <v>n/a</v>
      </c>
    </row>
    <row r="8" spans="1:32" x14ac:dyDescent="0.25">
      <c r="A8" s="57" t="str">
        <f>IF('CASE DATA'!A9="","z",'CASE DATA'!A9)</f>
        <v>z</v>
      </c>
      <c r="B8" s="57" t="str">
        <f>IF('CASE DATA'!A9="","",'CASE DATA'!E9)</f>
        <v/>
      </c>
      <c r="C8" s="58">
        <f>'CASE DATA'!D9</f>
        <v>0</v>
      </c>
      <c r="D8" s="59" t="str">
        <f>IF('CASE DATA'!I9="YES",SUM('CASE DATA'!J9:P9),"n/a")</f>
        <v>n/a</v>
      </c>
      <c r="E8" s="60" t="str">
        <f>IF(OR('CASE DATA'!G9="JUV", 'CASE DATA'!G9="JWV"), "YES", "NO")</f>
        <v>NO</v>
      </c>
      <c r="F8" s="60" t="str">
        <f t="array" ref="F8">IF(E8="YES",IF(SUM(COUNTIF('CASE DATA'!$G$4:$G$200, {"GTR","GPL","DEF","JUV"}))&gt;0, "YES","NO"),"N/A")</f>
        <v>N/A</v>
      </c>
      <c r="G8" s="60" t="str">
        <f>IF(E8="YES",IF(COUNTIF('CASE DATA'!$D$4:$D$200, "")-COUNTIF('CASE DATA'!$A$4:$A$200, "")&gt;0, "YES","NO"),"N/A")</f>
        <v>N/A</v>
      </c>
      <c r="H8" s="57" t="str">
        <f>_xlfn.IFS(E8="NO", "N/A", AND('BASIC INFO'!$B$3&gt;'BASIC INFO'!$B$6+6574.5, C8+730.5&lt;'BASIC INFO'!$B$3), "YES", 'BASIC INFO'!$B$3&lt;('BASIC INFO'!$B$6+6574.5), "NOT YET 18", C8+730.5&gt;'BASIC INFO'!$B$3, "NOT YET 2 YEARS")</f>
        <v>N/A</v>
      </c>
      <c r="I8" s="61" t="str">
        <f>IF(OR(AND(LEFT('CASE DATA'!F9,4)="321.",MID('CASE DATA'!A9,8,2)="SM"),MID('CASE DATA'!A9,8,2)="ST",MID('CASE DATA'!A9,8,2)="NT"),"TRAFFIC",IF(OR('CASE DATA'!G9="DISM", 'CASE DATA'!G9="ACQ", 'CASE DATA'!G9="NOTF", 'CASE DATA'!G9="WTHD", 'CASE DATA'!G9="TNSF"), "YES", "NO"))</f>
        <v>NO</v>
      </c>
      <c r="J8" s="62" t="str">
        <f>IF(I8="YES",'CASE DATA'!T9,"N/A")</f>
        <v>N/A</v>
      </c>
      <c r="K8" s="57" t="str">
        <f>IF(I8="YES",IF(C8+180&lt;'BASIC INFO'!$B$3, "YES", "NO"),"N/A")</f>
        <v>N/A</v>
      </c>
      <c r="L8" s="62" t="str">
        <f t="array" ref="L8">IF(I8="TRAFFIC","n/a",IF(OR('CASE DATA'!G9="GTR", 'CASE DATA'!G9="GPL"),IF(SUM(COUNTIF('CASE DATA'!W9:AH9, 'CODE SECTIONS'!$V$2:$V$218&amp;"*"))&gt;0,"felony","eligible"),"n/a"))</f>
        <v>n/a</v>
      </c>
      <c r="M8" s="62" t="str">
        <f t="array" ref="M8">IF(L8="eligible",IF(OR((SUM(COUNTIF('CASE DATA'!W9:AH9,'CODE SECTIONS'!$X$2:$X$19&amp;"*"))&gt;0),LEFT('CASE DATA'!W9:AH9,4)="717C", LEFT('CASE DATA'!W9:AH9, 3)="719", LEFT('CASE DATA'!W9:AH9,3)="720", LEFT('CASE DATA'!W9:AH9,3)="724", LEFT('CASE DATA'!W9:AH9,3)="726", LEFT('CASE DATA'!W9:AH9,3)="728", LEFT('CASE DATA'!W9:AH9,4)="901A"), "ineligible misd","eligible"),"n/a")</f>
        <v>n/a</v>
      </c>
      <c r="N8" s="62" t="str">
        <f>IF(M8="eligible",IF(COUNTIF('CASE DATA'!$D$4:$D$200, "")-COUNTIF('CASE DATA'!$A$4:$A$200, "")&gt;0, "YES","NO"),"N/A")</f>
        <v>N/A</v>
      </c>
      <c r="O8" s="62" t="str">
        <f>IF(M8="eligible",BANKRUPTCY!C9+BANKRUPTCY!D9,"N/A")</f>
        <v>N/A</v>
      </c>
      <c r="P8" s="62" t="str">
        <f>IF(M8="eligible",SOL!C9+SOL!D9+SOL!E9,"N/A")</f>
        <v>N/A</v>
      </c>
      <c r="Q8" s="62" t="str">
        <f>IF(M8="eligible",SUM('CASE DATA'!J9:S9),"N/A")</f>
        <v>N/A</v>
      </c>
      <c r="R8" s="62" t="str">
        <f>IF(M8="eligible",IF(C8+2920&lt;'BASIC INFO'!$B$3, "YES", "NO"),"N/A")</f>
        <v>N/A</v>
      </c>
      <c r="S8" s="61" t="str">
        <f>IF(OR('CASE DATA'!G9="DEF"), "YES", "NO")</f>
        <v>NO</v>
      </c>
      <c r="T8" s="57" t="str">
        <f>IF(S8="YES",'CASE DATA'!I9,"N/A")</f>
        <v>N/A</v>
      </c>
      <c r="U8" s="62" t="str">
        <f>IF(S8="YES",BANKRUPTCY!C9+BANKRUPTCY!D9,"N/A")</f>
        <v>N/A</v>
      </c>
      <c r="V8" s="62" t="str">
        <f>IF(S8="YES",SUM('CASE DATA'!J9:S9),"N/A")</f>
        <v>N/A</v>
      </c>
      <c r="W8" s="57" t="str">
        <f>IF(OR('CASE DATA'!F9="123.46",'CASE DATA'!F9="123.47"),"YES","NO")</f>
        <v>NO</v>
      </c>
      <c r="X8" s="60" t="str">
        <f>IF(W8="YES",COUNTIFS(AD$3:$AD$200,"&gt;"&amp;('CASE DATA'!D9),$AD$3:$AD$200,"&lt;"&amp;('CASE DATA'!D9+730.5)),"n/a")</f>
        <v>n/a</v>
      </c>
      <c r="Y8" s="62" t="str">
        <f>IF(W8="YES",IF(C8+730.5&lt;'BASIC INFO'!$B$3, "YES","NO"), "N/A")</f>
        <v>N/A</v>
      </c>
      <c r="Z8" s="57" t="str">
        <f>IF('CASE DATA'!F9="725.1","YES","NO")</f>
        <v>NO</v>
      </c>
      <c r="AA8" s="57" t="str">
        <f>IF(Z8="YES",IF(C8+730.5&lt;'BASIC INFO'!$B$3, "YES","NO"), "N/A")</f>
        <v>N/A</v>
      </c>
      <c r="AB8" s="57" t="str">
        <f>IF('BASIC INFO'!$B$6+6574.5&gt;C8, "YES", "NO")</f>
        <v>YES</v>
      </c>
      <c r="AC8" s="57" t="str">
        <f>IF(Z8="YES",COUNTIFS(AD$3:$AD$200,"&gt;"&amp;('CASE DATA'!D9),$AD$3:$AD$200,"&lt;"&amp;('CASE DATA'!D9+730.5)),"n/a")</f>
        <v>n/a</v>
      </c>
      <c r="AE8" s="58"/>
      <c r="AF8" s="24"/>
    </row>
    <row r="9" spans="1:32" x14ac:dyDescent="0.25">
      <c r="A9" s="57" t="str">
        <f>IF('CASE DATA'!A10="","z",'CASE DATA'!A10)</f>
        <v>z</v>
      </c>
      <c r="B9" s="57" t="str">
        <f>IF('CASE DATA'!A10="","",'CASE DATA'!E10)</f>
        <v/>
      </c>
      <c r="C9" s="58">
        <f>'CASE DATA'!D10</f>
        <v>0</v>
      </c>
      <c r="D9" s="59" t="str">
        <f>IF('CASE DATA'!I10="YES",SUM('CASE DATA'!J10:P10),"n/a")</f>
        <v>n/a</v>
      </c>
      <c r="E9" s="60" t="str">
        <f>IF(OR('CASE DATA'!G10="JUV", 'CASE DATA'!G10="JWV"), "YES", "NO")</f>
        <v>NO</v>
      </c>
      <c r="F9" s="60" t="str">
        <f t="array" ref="F9">IF(E9="YES",IF(SUM(COUNTIF('CASE DATA'!$G$4:$G$200, {"GTR","GPL","DEF","JUV"}))&gt;0, "YES","NO"),"N/A")</f>
        <v>N/A</v>
      </c>
      <c r="G9" s="60" t="str">
        <f>IF(E9="YES",IF(COUNTIF('CASE DATA'!$D$4:$D$200, "")-COUNTIF('CASE DATA'!$A$4:$A$200, "")&gt;0, "YES","NO"),"N/A")</f>
        <v>N/A</v>
      </c>
      <c r="H9" s="57" t="str">
        <f>_xlfn.IFS(E9="NO", "N/A", AND('BASIC INFO'!$B$3&gt;'BASIC INFO'!$B$6+6574.5, C9+730.5&lt;'BASIC INFO'!$B$3), "YES", 'BASIC INFO'!$B$3&lt;('BASIC INFO'!$B$6+6574.5), "NOT YET 18", C9+730.5&gt;'BASIC INFO'!$B$3, "NOT YET 2 YEARS")</f>
        <v>N/A</v>
      </c>
      <c r="I9" s="61" t="str">
        <f>IF(OR(AND(LEFT('CASE DATA'!F10,4)="321.",MID('CASE DATA'!A10,8,2)="SM"),MID('CASE DATA'!A10,8,2)="ST",MID('CASE DATA'!A10,8,2)="NT"),"TRAFFIC",IF(OR('CASE DATA'!G10="DISM", 'CASE DATA'!G10="ACQ", 'CASE DATA'!G10="NOTF", 'CASE DATA'!G10="WTHD", 'CASE DATA'!G10="TNSF"), "YES", "NO"))</f>
        <v>NO</v>
      </c>
      <c r="J9" s="62" t="str">
        <f>IF(I9="YES",'CASE DATA'!T10,"N/A")</f>
        <v>N/A</v>
      </c>
      <c r="K9" s="57" t="str">
        <f>IF(I9="YES",IF(C9+180&lt;'BASIC INFO'!$B$3, "YES", "NO"),"N/A")</f>
        <v>N/A</v>
      </c>
      <c r="L9" s="62" t="str">
        <f t="array" ref="L9">IF(I9="TRAFFIC","n/a",IF(OR('CASE DATA'!G10="GTR", 'CASE DATA'!G10="GPL"),IF(SUM(COUNTIF('CASE DATA'!W10:AH10, 'CODE SECTIONS'!$V$2:$V$218&amp;"*"))&gt;0,"felony","eligible"),"n/a"))</f>
        <v>n/a</v>
      </c>
      <c r="M9" s="62" t="str">
        <f t="array" ref="M9">IF(L9="eligible",IF(OR((SUM(COUNTIF('CASE DATA'!W10:AH10,'CODE SECTIONS'!$X$2:$X$19&amp;"*"))&gt;0),LEFT('CASE DATA'!W10:AH10,4)="717C", LEFT('CASE DATA'!W10:AH10, 3)="719", LEFT('CASE DATA'!W10:AH10,3)="720", LEFT('CASE DATA'!W10:AH10,3)="724", LEFT('CASE DATA'!W10:AH10,3)="726", LEFT('CASE DATA'!W10:AH10,3)="728", LEFT('CASE DATA'!W10:AH10,4)="901A"), "ineligible misd","eligible"),"n/a")</f>
        <v>n/a</v>
      </c>
      <c r="N9" s="62" t="str">
        <f>IF(M9="eligible",IF(COUNTIF('CASE DATA'!$D$4:$D$200, "")-COUNTIF('CASE DATA'!$A$4:$A$200, "")&gt;0, "YES","NO"),"N/A")</f>
        <v>N/A</v>
      </c>
      <c r="O9" s="62" t="str">
        <f>IF(M9="eligible",BANKRUPTCY!C10+BANKRUPTCY!D10,"N/A")</f>
        <v>N/A</v>
      </c>
      <c r="P9" s="62" t="str">
        <f>IF(M9="eligible",SOL!C10+SOL!D10+SOL!E10,"N/A")</f>
        <v>N/A</v>
      </c>
      <c r="Q9" s="62" t="str">
        <f>IF(M9="eligible",SUM('CASE DATA'!J10:S10),"N/A")</f>
        <v>N/A</v>
      </c>
      <c r="R9" s="62" t="str">
        <f>IF(M9="eligible",IF(C9+2920&lt;'BASIC INFO'!$B$3, "YES", "NO"),"N/A")</f>
        <v>N/A</v>
      </c>
      <c r="S9" s="61" t="str">
        <f>IF(OR('CASE DATA'!G10="DEF"), "YES", "NO")</f>
        <v>NO</v>
      </c>
      <c r="T9" s="57" t="str">
        <f>IF(S9="YES",'CASE DATA'!I10,"N/A")</f>
        <v>N/A</v>
      </c>
      <c r="U9" s="62" t="str">
        <f>IF(S9="YES",BANKRUPTCY!C10+BANKRUPTCY!D10,"N/A")</f>
        <v>N/A</v>
      </c>
      <c r="V9" s="62" t="str">
        <f>IF(S9="YES",SUM('CASE DATA'!J10:S10),"N/A")</f>
        <v>N/A</v>
      </c>
      <c r="W9" s="57" t="str">
        <f>IF(OR('CASE DATA'!F10="123.46",'CASE DATA'!F10="123.47"),"YES","NO")</f>
        <v>NO</v>
      </c>
      <c r="X9" s="60" t="str">
        <f>IF(W9="YES",COUNTIFS(AD$3:$AD$200,"&gt;"&amp;('CASE DATA'!D10),$AD$3:$AD$200,"&lt;"&amp;('CASE DATA'!D10+730.5)),"n/a")</f>
        <v>n/a</v>
      </c>
      <c r="Y9" s="62" t="str">
        <f>IF(W9="YES",IF(C9+730.5&lt;'BASIC INFO'!$B$3, "YES","NO"), "N/A")</f>
        <v>N/A</v>
      </c>
      <c r="Z9" s="57" t="str">
        <f>IF('CASE DATA'!F10="725.1","YES","NO")</f>
        <v>NO</v>
      </c>
      <c r="AA9" s="57" t="str">
        <f>IF(Z9="YES",IF(C9+730.5&lt;'BASIC INFO'!$B$3, "YES","NO"), "N/A")</f>
        <v>N/A</v>
      </c>
      <c r="AB9" s="57" t="str">
        <f>IF('BASIC INFO'!$B$6+6574.5&gt;C9, "YES", "NO")</f>
        <v>YES</v>
      </c>
      <c r="AC9" s="57" t="str">
        <f>IF(Z9="YES",COUNTIFS(AD$3:$AD$200,"&gt;"&amp;('CASE DATA'!D10),$AD$3:$AD$200,"&lt;"&amp;('CASE DATA'!D10+730.5)),"n/a")</f>
        <v>n/a</v>
      </c>
    </row>
    <row r="10" spans="1:32" x14ac:dyDescent="0.25">
      <c r="A10" s="57" t="str">
        <f>IF('CASE DATA'!A11="","z",'CASE DATA'!A11)</f>
        <v>z</v>
      </c>
      <c r="B10" s="57" t="str">
        <f>IF('CASE DATA'!A11="","",'CASE DATA'!E11)</f>
        <v/>
      </c>
      <c r="C10" s="58">
        <f>'CASE DATA'!D11</f>
        <v>0</v>
      </c>
      <c r="D10" s="59" t="str">
        <f>IF('CASE DATA'!I11="YES",SUM('CASE DATA'!J11:P11),"n/a")</f>
        <v>n/a</v>
      </c>
      <c r="E10" s="60" t="str">
        <f>IF(OR('CASE DATA'!G11="JUV", 'CASE DATA'!G11="JWV"), "YES", "NO")</f>
        <v>NO</v>
      </c>
      <c r="F10" s="60" t="str">
        <f t="array" ref="F10">IF(E10="YES",IF(SUM(COUNTIF('CASE DATA'!$G$4:$G$200, {"GTR","GPL","DEF","JUV"}))&gt;0, "YES","NO"),"N/A")</f>
        <v>N/A</v>
      </c>
      <c r="G10" s="60" t="str">
        <f>IF(E10="YES",IF(COUNTIF('CASE DATA'!$D$4:$D$200, "")-COUNTIF('CASE DATA'!$A$4:$A$200, "")&gt;0, "YES","NO"),"N/A")</f>
        <v>N/A</v>
      </c>
      <c r="H10" s="57" t="str">
        <f>_xlfn.IFS(E10="NO", "N/A", AND('BASIC INFO'!$B$3&gt;'BASIC INFO'!$B$6+6574.5, C10+730.5&lt;'BASIC INFO'!$B$3), "YES", 'BASIC INFO'!$B$3&lt;('BASIC INFO'!$B$6+6574.5), "NOT YET 18", C10+730.5&gt;'BASIC INFO'!$B$3, "NOT YET 2 YEARS")</f>
        <v>N/A</v>
      </c>
      <c r="I10" s="61" t="str">
        <f>IF(OR(AND(LEFT('CASE DATA'!F11,4)="321.",MID('CASE DATA'!A11,8,2)="SM"),MID('CASE DATA'!A11,8,2)="ST",MID('CASE DATA'!A11,8,2)="NT"),"TRAFFIC",IF(OR('CASE DATA'!G11="DISM", 'CASE DATA'!G11="ACQ", 'CASE DATA'!G11="NOTF", 'CASE DATA'!G11="WTHD", 'CASE DATA'!G11="TNSF"), "YES", "NO"))</f>
        <v>NO</v>
      </c>
      <c r="J10" s="62" t="str">
        <f>IF(I10="YES",'CASE DATA'!T11,"N/A")</f>
        <v>N/A</v>
      </c>
      <c r="K10" s="57" t="str">
        <f>IF(I10="YES",IF(C10+180&lt;'BASIC INFO'!$B$3, "YES", "NO"),"N/A")</f>
        <v>N/A</v>
      </c>
      <c r="L10" s="62" t="str">
        <f t="array" ref="L10">IF(I10="TRAFFIC","n/a",IF(OR('CASE DATA'!G11="GTR", 'CASE DATA'!G11="GPL"),IF(SUM(COUNTIF('CASE DATA'!W11:AH11, 'CODE SECTIONS'!$V$2:$V$218&amp;"*"))&gt;0,"felony","eligible"),"n/a"))</f>
        <v>n/a</v>
      </c>
      <c r="M10" s="62" t="str">
        <f t="array" ref="M10">IF(L10="eligible",IF(OR((SUM(COUNTIF('CASE DATA'!W11:AH11,'CODE SECTIONS'!$X$2:$X$19&amp;"*"))&gt;0),LEFT('CASE DATA'!W11:AH11,4)="717C", LEFT('CASE DATA'!W11:AH11, 3)="719", LEFT('CASE DATA'!W11:AH11,3)="720", LEFT('CASE DATA'!W11:AH11,3)="724", LEFT('CASE DATA'!W11:AH11,3)="726", LEFT('CASE DATA'!W11:AH11,3)="728", LEFT('CASE DATA'!W11:AH11,4)="901A"), "ineligible misd","eligible"),"n/a")</f>
        <v>n/a</v>
      </c>
      <c r="N10" s="62" t="str">
        <f>IF(M10="eligible",IF(COUNTIF('CASE DATA'!$D$4:$D$200, "")-COUNTIF('CASE DATA'!$A$4:$A$200, "")&gt;0, "YES","NO"),"N/A")</f>
        <v>N/A</v>
      </c>
      <c r="O10" s="62" t="str">
        <f>IF(M10="eligible",BANKRUPTCY!C11+BANKRUPTCY!D11,"N/A")</f>
        <v>N/A</v>
      </c>
      <c r="P10" s="62" t="str">
        <f>IF(M10="eligible",SOL!C11+SOL!D11+SOL!E11,"N/A")</f>
        <v>N/A</v>
      </c>
      <c r="Q10" s="62" t="str">
        <f>IF(M10="eligible",SUM('CASE DATA'!J11:S11),"N/A")</f>
        <v>N/A</v>
      </c>
      <c r="R10" s="62" t="str">
        <f>IF(M10="eligible",IF(C10+2920&lt;'BASIC INFO'!$B$3, "YES", "NO"),"N/A")</f>
        <v>N/A</v>
      </c>
      <c r="S10" s="61" t="str">
        <f>IF(OR('CASE DATA'!G11="DEF"), "YES", "NO")</f>
        <v>NO</v>
      </c>
      <c r="T10" s="57" t="str">
        <f>IF(S10="YES",'CASE DATA'!I11,"N/A")</f>
        <v>N/A</v>
      </c>
      <c r="U10" s="62" t="str">
        <f>IF(S10="YES",BANKRUPTCY!C11+BANKRUPTCY!D11,"N/A")</f>
        <v>N/A</v>
      </c>
      <c r="V10" s="62" t="str">
        <f>IF(S10="YES",SUM('CASE DATA'!J11:S11),"N/A")</f>
        <v>N/A</v>
      </c>
      <c r="W10" s="57" t="str">
        <f>IF(OR('CASE DATA'!F11="123.46",'CASE DATA'!F11="123.47"),"YES","NO")</f>
        <v>NO</v>
      </c>
      <c r="X10" s="60" t="str">
        <f>IF(W10="YES",COUNTIFS(AD$3:$AD$200,"&gt;"&amp;('CASE DATA'!D11),$AD$3:$AD$200,"&lt;"&amp;('CASE DATA'!D11+730.5)),"n/a")</f>
        <v>n/a</v>
      </c>
      <c r="Y10" s="62" t="str">
        <f>IF(W10="YES",IF(C10+730.5&lt;'BASIC INFO'!$B$3, "YES","NO"), "N/A")</f>
        <v>N/A</v>
      </c>
      <c r="Z10" s="57" t="str">
        <f>IF('CASE DATA'!F11="725.1","YES","NO")</f>
        <v>NO</v>
      </c>
      <c r="AA10" s="57" t="str">
        <f>IF(Z10="YES",IF(C10+730.5&lt;'BASIC INFO'!$B$3, "YES","NO"), "N/A")</f>
        <v>N/A</v>
      </c>
      <c r="AB10" s="57" t="str">
        <f>IF('BASIC INFO'!$B$6+6574.5&gt;C10, "YES", "NO")</f>
        <v>YES</v>
      </c>
      <c r="AC10" s="57" t="str">
        <f>IF(Z10="YES",COUNTIFS(AD$3:$AD$200,"&gt;"&amp;('CASE DATA'!D11),$AD$3:$AD$200,"&lt;"&amp;('CASE DATA'!D11+730.5)),"n/a")</f>
        <v>n/a</v>
      </c>
    </row>
    <row r="11" spans="1:32" x14ac:dyDescent="0.25">
      <c r="A11" s="57" t="str">
        <f>IF('CASE DATA'!A12="","z",'CASE DATA'!A12)</f>
        <v>z</v>
      </c>
      <c r="B11" s="57" t="str">
        <f>IF('CASE DATA'!A12="","",'CASE DATA'!E12)</f>
        <v/>
      </c>
      <c r="C11" s="58">
        <f>'CASE DATA'!D12</f>
        <v>0</v>
      </c>
      <c r="D11" s="59" t="str">
        <f>IF('CASE DATA'!I12="YES",SUM('CASE DATA'!J12:P12),"n/a")</f>
        <v>n/a</v>
      </c>
      <c r="E11" s="60" t="str">
        <f>IF(OR('CASE DATA'!G12="JUV", 'CASE DATA'!G12="JWV"), "YES", "NO")</f>
        <v>NO</v>
      </c>
      <c r="F11" s="60" t="str">
        <f t="array" ref="F11">IF(E11="YES",IF(SUM(COUNTIF('CASE DATA'!$G$4:$G$200, {"GTR","GPL","DEF","JUV"}))&gt;0, "YES","NO"),"N/A")</f>
        <v>N/A</v>
      </c>
      <c r="G11" s="60" t="str">
        <f>IF(E11="YES",IF(COUNTIF('CASE DATA'!$D$4:$D$200, "")-COUNTIF('CASE DATA'!$A$4:$A$200, "")&gt;0, "YES","NO"),"N/A")</f>
        <v>N/A</v>
      </c>
      <c r="H11" s="57" t="str">
        <f>_xlfn.IFS(E11="NO", "N/A", AND('BASIC INFO'!$B$3&gt;'BASIC INFO'!$B$6+6574.5, C11+730.5&lt;'BASIC INFO'!$B$3), "YES", 'BASIC INFO'!$B$3&lt;('BASIC INFO'!$B$6+6574.5), "NOT YET 18", C11+730.5&gt;'BASIC INFO'!$B$3, "NOT YET 2 YEARS")</f>
        <v>N/A</v>
      </c>
      <c r="I11" s="61" t="str">
        <f>IF(OR(AND(LEFT('CASE DATA'!F12,4)="321.",MID('CASE DATA'!A12,8,2)="SM"),MID('CASE DATA'!A12,8,2)="ST",MID('CASE DATA'!A12,8,2)="NT"),"TRAFFIC",IF(OR('CASE DATA'!G12="DISM", 'CASE DATA'!G12="ACQ", 'CASE DATA'!G12="NOTF", 'CASE DATA'!G12="WTHD", 'CASE DATA'!G12="TNSF"), "YES", "NO"))</f>
        <v>NO</v>
      </c>
      <c r="J11" s="62" t="str">
        <f>IF(I11="YES",'CASE DATA'!T12,"N/A")</f>
        <v>N/A</v>
      </c>
      <c r="K11" s="57" t="str">
        <f>IF(I11="YES",IF(C11+180&lt;'BASIC INFO'!$B$3, "YES", "NO"),"N/A")</f>
        <v>N/A</v>
      </c>
      <c r="L11" s="62" t="str">
        <f t="array" ref="L11">IF(I11="TRAFFIC","n/a",IF(OR('CASE DATA'!G12="GTR", 'CASE DATA'!G12="GPL"),IF(SUM(COUNTIF('CASE DATA'!W12:AH12, 'CODE SECTIONS'!$V$2:$V$218&amp;"*"))&gt;0,"felony","eligible"),"n/a"))</f>
        <v>n/a</v>
      </c>
      <c r="M11" s="62" t="str">
        <f t="array" ref="M11">IF(L11="eligible",IF(OR((SUM(COUNTIF('CASE DATA'!W12:AH12,'CODE SECTIONS'!$X$2:$X$19&amp;"*"))&gt;0),LEFT('CASE DATA'!W12:AH12,4)="717C", LEFT('CASE DATA'!W12:AH12, 3)="719", LEFT('CASE DATA'!W12:AH12,3)="720", LEFT('CASE DATA'!W12:AH12,3)="724", LEFT('CASE DATA'!W12:AH12,3)="726", LEFT('CASE DATA'!W12:AH12,3)="728", LEFT('CASE DATA'!W12:AH12,4)="901A"), "ineligible misd","eligible"),"n/a")</f>
        <v>n/a</v>
      </c>
      <c r="N11" s="62" t="str">
        <f>IF(M11="eligible",IF(COUNTIF('CASE DATA'!$D$4:$D$200, "")-COUNTIF('CASE DATA'!$A$4:$A$200, "")&gt;0, "YES","NO"),"N/A")</f>
        <v>N/A</v>
      </c>
      <c r="O11" s="62" t="str">
        <f>IF(M11="eligible",BANKRUPTCY!C12+BANKRUPTCY!D12,"N/A")</f>
        <v>N/A</v>
      </c>
      <c r="P11" s="62" t="str">
        <f>IF(M11="eligible",SOL!C12+SOL!D12+SOL!E12,"N/A")</f>
        <v>N/A</v>
      </c>
      <c r="Q11" s="62" t="str">
        <f>IF(M11="eligible",SUM('CASE DATA'!J12:S12),"N/A")</f>
        <v>N/A</v>
      </c>
      <c r="R11" s="62" t="str">
        <f>IF(M11="eligible",IF(C11+2920&lt;'BASIC INFO'!$B$3, "YES", "NO"),"N/A")</f>
        <v>N/A</v>
      </c>
      <c r="S11" s="61" t="str">
        <f>IF(OR('CASE DATA'!G12="DEF"), "YES", "NO")</f>
        <v>NO</v>
      </c>
      <c r="T11" s="57" t="str">
        <f>IF(S11="YES",'CASE DATA'!I12,"N/A")</f>
        <v>N/A</v>
      </c>
      <c r="U11" s="62" t="str">
        <f>IF(S11="YES",BANKRUPTCY!C12+BANKRUPTCY!D12,"N/A")</f>
        <v>N/A</v>
      </c>
      <c r="V11" s="62" t="str">
        <f>IF(S11="YES",SUM('CASE DATA'!J12:S12),"N/A")</f>
        <v>N/A</v>
      </c>
      <c r="W11" s="57" t="str">
        <f>IF(OR('CASE DATA'!F12="123.46",'CASE DATA'!F12="123.47"),"YES","NO")</f>
        <v>NO</v>
      </c>
      <c r="X11" s="60" t="str">
        <f>IF(W11="YES",COUNTIFS(AD$3:$AD$200,"&gt;"&amp;('CASE DATA'!D12),$AD$3:$AD$200,"&lt;"&amp;('CASE DATA'!D12+730.5)),"n/a")</f>
        <v>n/a</v>
      </c>
      <c r="Y11" s="62" t="str">
        <f>IF(W11="YES",IF(C11+730.5&lt;'BASIC INFO'!$B$3, "YES","NO"), "N/A")</f>
        <v>N/A</v>
      </c>
      <c r="Z11" s="57" t="str">
        <f>IF('CASE DATA'!F12="725.1","YES","NO")</f>
        <v>NO</v>
      </c>
      <c r="AA11" s="57" t="str">
        <f>IF(Z11="YES",IF(C11+730.5&lt;'BASIC INFO'!$B$3, "YES","NO"), "N/A")</f>
        <v>N/A</v>
      </c>
      <c r="AB11" s="57" t="str">
        <f>IF('BASIC INFO'!$B$6+6574.5&gt;C11, "YES", "NO")</f>
        <v>YES</v>
      </c>
      <c r="AC11" s="57" t="str">
        <f>IF(Z11="YES",COUNTIFS(AD$3:$AD$200,"&gt;"&amp;('CASE DATA'!D12),$AD$3:$AD$200,"&lt;"&amp;('CASE DATA'!D12+730.5)),"n/a")</f>
        <v>n/a</v>
      </c>
    </row>
    <row r="12" spans="1:32" x14ac:dyDescent="0.25">
      <c r="A12" s="57" t="str">
        <f>IF('CASE DATA'!A13="","z",'CASE DATA'!A13)</f>
        <v>z</v>
      </c>
      <c r="B12" s="57" t="str">
        <f>IF('CASE DATA'!A13="","",'CASE DATA'!E13)</f>
        <v/>
      </c>
      <c r="C12" s="58">
        <f>'CASE DATA'!D13</f>
        <v>0</v>
      </c>
      <c r="D12" s="59" t="str">
        <f>IF('CASE DATA'!I13="YES",SUM('CASE DATA'!J13:P13),"n/a")</f>
        <v>n/a</v>
      </c>
      <c r="E12" s="60" t="str">
        <f>IF(OR('CASE DATA'!G13="JUV", 'CASE DATA'!G13="JWV"), "YES", "NO")</f>
        <v>NO</v>
      </c>
      <c r="F12" s="60" t="str">
        <f t="array" ref="F12">IF(E12="YES",IF(SUM(COUNTIF('CASE DATA'!$G$4:$G$200, {"GTR","GPL","DEF","JUV"}))&gt;0, "YES","NO"),"N/A")</f>
        <v>N/A</v>
      </c>
      <c r="G12" s="60" t="str">
        <f>IF(E12="YES",IF(COUNTIF('CASE DATA'!$D$4:$D$200, "")-COUNTIF('CASE DATA'!$A$4:$A$200, "")&gt;0, "YES","NO"),"N/A")</f>
        <v>N/A</v>
      </c>
      <c r="H12" s="57" t="str">
        <f>_xlfn.IFS(E12="NO", "N/A", AND('BASIC INFO'!$B$3&gt;'BASIC INFO'!$B$6+6574.5, C12+730.5&lt;'BASIC INFO'!$B$3), "YES", 'BASIC INFO'!$B$3&lt;('BASIC INFO'!$B$6+6574.5), "NOT YET 18", C12+730.5&gt;'BASIC INFO'!$B$3, "NOT YET 2 YEARS")</f>
        <v>N/A</v>
      </c>
      <c r="I12" s="61" t="str">
        <f>IF(OR(AND(LEFT('CASE DATA'!F13,4)="321.",MID('CASE DATA'!A13,8,2)="SM"),MID('CASE DATA'!A13,8,2)="ST",MID('CASE DATA'!A13,8,2)="NT"),"TRAFFIC",IF(OR('CASE DATA'!G13="DISM", 'CASE DATA'!G13="ACQ", 'CASE DATA'!G13="NOTF", 'CASE DATA'!G13="WTHD", 'CASE DATA'!G13="TNSF"), "YES", "NO"))</f>
        <v>NO</v>
      </c>
      <c r="J12" s="62" t="str">
        <f>IF(I12="YES",'CASE DATA'!T13,"N/A")</f>
        <v>N/A</v>
      </c>
      <c r="K12" s="57" t="str">
        <f>IF(I12="YES",IF(C12+180&lt;'BASIC INFO'!$B$3, "YES", "NO"),"N/A")</f>
        <v>N/A</v>
      </c>
      <c r="L12" s="62" t="str">
        <f t="array" ref="L12">IF(I12="TRAFFIC","n/a",IF(OR('CASE DATA'!G13="GTR", 'CASE DATA'!G13="GPL"),IF(SUM(COUNTIF('CASE DATA'!W13:AH13, 'CODE SECTIONS'!$V$2:$V$218&amp;"*"))&gt;0,"felony","eligible"),"n/a"))</f>
        <v>n/a</v>
      </c>
      <c r="M12" s="62" t="str">
        <f t="array" ref="M12">IF(L12="eligible",IF(OR((SUM(COUNTIF('CASE DATA'!W13:AH13,'CODE SECTIONS'!$X$2:$X$19&amp;"*"))&gt;0),LEFT('CASE DATA'!W13:AH13,4)="717C", LEFT('CASE DATA'!W13:AH13, 3)="719", LEFT('CASE DATA'!W13:AH13,3)="720", LEFT('CASE DATA'!W13:AH13,3)="724", LEFT('CASE DATA'!W13:AH13,3)="726", LEFT('CASE DATA'!W13:AH13,3)="728", LEFT('CASE DATA'!W13:AH13,4)="901A"), "ineligible misd","eligible"),"n/a")</f>
        <v>n/a</v>
      </c>
      <c r="N12" s="62" t="str">
        <f>IF(M12="eligible",IF(COUNTIF('CASE DATA'!$D$4:$D$200, "")-COUNTIF('CASE DATA'!$A$4:$A$200, "")&gt;0, "YES","NO"),"N/A")</f>
        <v>N/A</v>
      </c>
      <c r="O12" s="62" t="str">
        <f>IF(M12="eligible",BANKRUPTCY!C13+BANKRUPTCY!D13,"N/A")</f>
        <v>N/A</v>
      </c>
      <c r="P12" s="62" t="str">
        <f>IF(M12="eligible",SOL!C13+SOL!D13+SOL!E13,"N/A")</f>
        <v>N/A</v>
      </c>
      <c r="Q12" s="62" t="str">
        <f>IF(M12="eligible",SUM('CASE DATA'!J13:S13),"N/A")</f>
        <v>N/A</v>
      </c>
      <c r="R12" s="62" t="str">
        <f>IF(M12="eligible",IF(C12+2920&lt;'BASIC INFO'!$B$3, "YES", "NO"),"N/A")</f>
        <v>N/A</v>
      </c>
      <c r="S12" s="61" t="str">
        <f>IF(OR('CASE DATA'!G13="DEF"), "YES", "NO")</f>
        <v>NO</v>
      </c>
      <c r="T12" s="57" t="str">
        <f>IF(S12="YES",'CASE DATA'!I13,"N/A")</f>
        <v>N/A</v>
      </c>
      <c r="U12" s="62" t="str">
        <f>IF(S12="YES",BANKRUPTCY!C13+BANKRUPTCY!D13,"N/A")</f>
        <v>N/A</v>
      </c>
      <c r="V12" s="62" t="str">
        <f>IF(S12="YES",SUM('CASE DATA'!J13:S13),"N/A")</f>
        <v>N/A</v>
      </c>
      <c r="W12" s="57" t="str">
        <f>IF(OR('CASE DATA'!F13="123.46",'CASE DATA'!F13="123.47"),"YES","NO")</f>
        <v>NO</v>
      </c>
      <c r="X12" s="60" t="str">
        <f>IF(W12="YES",COUNTIFS(AD$3:$AD$200,"&gt;"&amp;('CASE DATA'!D13),$AD$3:$AD$200,"&lt;"&amp;('CASE DATA'!D13+730.5)),"n/a")</f>
        <v>n/a</v>
      </c>
      <c r="Y12" s="62" t="str">
        <f>IF(W12="YES",IF(C12+730.5&lt;'BASIC INFO'!$B$3, "YES","NO"), "N/A")</f>
        <v>N/A</v>
      </c>
      <c r="Z12" s="57" t="str">
        <f>IF('CASE DATA'!F13="725.1","YES","NO")</f>
        <v>NO</v>
      </c>
      <c r="AA12" s="57" t="str">
        <f>IF(Z12="YES",IF(C12+730.5&lt;'BASIC INFO'!$B$3, "YES","NO"), "N/A")</f>
        <v>N/A</v>
      </c>
      <c r="AB12" s="57" t="str">
        <f>IF('BASIC INFO'!$B$6+6574.5&gt;C12, "YES", "NO")</f>
        <v>YES</v>
      </c>
      <c r="AC12" s="57" t="str">
        <f>IF(Z12="YES",COUNTIFS(AD$3:$AD$200,"&gt;"&amp;('CASE DATA'!D13),$AD$3:$AD$200,"&lt;"&amp;('CASE DATA'!D13+730.5)),"n/a")</f>
        <v>n/a</v>
      </c>
    </row>
    <row r="13" spans="1:32" x14ac:dyDescent="0.25">
      <c r="A13" s="57" t="str">
        <f>IF('CASE DATA'!A14="","z",'CASE DATA'!A14)</f>
        <v>z</v>
      </c>
      <c r="B13" s="57" t="str">
        <f>IF('CASE DATA'!A14="","",'CASE DATA'!E14)</f>
        <v/>
      </c>
      <c r="C13" s="58">
        <f>'CASE DATA'!D14</f>
        <v>0</v>
      </c>
      <c r="D13" s="59" t="str">
        <f>IF('CASE DATA'!I14="YES",SUM('CASE DATA'!J14:P14),"n/a")</f>
        <v>n/a</v>
      </c>
      <c r="E13" s="60" t="str">
        <f>IF(OR('CASE DATA'!G14="JUV", 'CASE DATA'!G14="JWV"), "YES", "NO")</f>
        <v>NO</v>
      </c>
      <c r="F13" s="60" t="str">
        <f t="array" ref="F13">IF(E13="YES",IF(SUM(COUNTIF('CASE DATA'!$G$4:$G$200, {"GTR","GPL","DEF","JUV"}))&gt;0, "YES","NO"),"N/A")</f>
        <v>N/A</v>
      </c>
      <c r="G13" s="60" t="str">
        <f>IF(E13="YES",IF(COUNTIF('CASE DATA'!$D$4:$D$200, "")-COUNTIF('CASE DATA'!$A$4:$A$200, "")&gt;0, "YES","NO"),"N/A")</f>
        <v>N/A</v>
      </c>
      <c r="H13" s="57" t="str">
        <f>_xlfn.IFS(E13="NO", "N/A", AND('BASIC INFO'!$B$3&gt;'BASIC INFO'!$B$6+6574.5, C13+730.5&lt;'BASIC INFO'!$B$3), "YES", 'BASIC INFO'!$B$3&lt;('BASIC INFO'!$B$6+6574.5), "NOT YET 18", C13+730.5&gt;'BASIC INFO'!$B$3, "NOT YET 2 YEARS")</f>
        <v>N/A</v>
      </c>
      <c r="I13" s="61" t="str">
        <f>IF(OR(AND(LEFT('CASE DATA'!F14,4)="321.",MID('CASE DATA'!A14,8,2)="SM"),MID('CASE DATA'!A14,8,2)="ST",MID('CASE DATA'!A14,8,2)="NT"),"TRAFFIC",IF(OR('CASE DATA'!G14="DISM", 'CASE DATA'!G14="ACQ", 'CASE DATA'!G14="NOTF", 'CASE DATA'!G14="WTHD", 'CASE DATA'!G14="TNSF"), "YES", "NO"))</f>
        <v>NO</v>
      </c>
      <c r="J13" s="62" t="str">
        <f>IF(I13="YES",'CASE DATA'!T14,"N/A")</f>
        <v>N/A</v>
      </c>
      <c r="K13" s="57" t="str">
        <f>IF(I13="YES",IF(C13+180&lt;'BASIC INFO'!$B$3, "YES", "NO"),"N/A")</f>
        <v>N/A</v>
      </c>
      <c r="L13" s="62" t="str">
        <f t="array" ref="L13">IF(I13="TRAFFIC","n/a",IF(OR('CASE DATA'!G14="GTR", 'CASE DATA'!G14="GPL"),IF(SUM(COUNTIF('CASE DATA'!W14:AH14, 'CODE SECTIONS'!$V$2:$V$218&amp;"*"))&gt;0,"felony","eligible"),"n/a"))</f>
        <v>n/a</v>
      </c>
      <c r="M13" s="62" t="str">
        <f t="array" ref="M13">IF(L13="eligible",IF(OR((SUM(COUNTIF('CASE DATA'!W14:AH14,'CODE SECTIONS'!$X$2:$X$19&amp;"*"))&gt;0),LEFT('CASE DATA'!W14:AH14,4)="717C", LEFT('CASE DATA'!W14:AH14, 3)="719", LEFT('CASE DATA'!W14:AH14,3)="720", LEFT('CASE DATA'!W14:AH14,3)="724", LEFT('CASE DATA'!W14:AH14,3)="726", LEFT('CASE DATA'!W14:AH14,3)="728", LEFT('CASE DATA'!W14:AH14,4)="901A"), "ineligible misd","eligible"),"n/a")</f>
        <v>n/a</v>
      </c>
      <c r="N13" s="62" t="str">
        <f>IF(M13="eligible",IF(COUNTIF('CASE DATA'!$D$4:$D$200, "")-COUNTIF('CASE DATA'!$A$4:$A$200, "")&gt;0, "YES","NO"),"N/A")</f>
        <v>N/A</v>
      </c>
      <c r="O13" s="62" t="str">
        <f>IF(M13="eligible",BANKRUPTCY!C14+BANKRUPTCY!D14,"N/A")</f>
        <v>N/A</v>
      </c>
      <c r="P13" s="62" t="str">
        <f>IF(M13="eligible",SOL!C14+SOL!D14+SOL!E14,"N/A")</f>
        <v>N/A</v>
      </c>
      <c r="Q13" s="62" t="str">
        <f>IF(M13="eligible",SUM('CASE DATA'!J14:S14),"N/A")</f>
        <v>N/A</v>
      </c>
      <c r="R13" s="62" t="str">
        <f>IF(M13="eligible",IF(C13+2920&lt;'BASIC INFO'!$B$3, "YES", "NO"),"N/A")</f>
        <v>N/A</v>
      </c>
      <c r="S13" s="61" t="str">
        <f>IF(OR('CASE DATA'!G14="DEF"), "YES", "NO")</f>
        <v>NO</v>
      </c>
      <c r="T13" s="57" t="str">
        <f>IF(S13="YES",'CASE DATA'!I14,"N/A")</f>
        <v>N/A</v>
      </c>
      <c r="U13" s="62" t="str">
        <f>IF(S13="YES",BANKRUPTCY!C14+BANKRUPTCY!D14,"N/A")</f>
        <v>N/A</v>
      </c>
      <c r="V13" s="62" t="str">
        <f>IF(S13="YES",SUM('CASE DATA'!J14:S14),"N/A")</f>
        <v>N/A</v>
      </c>
      <c r="W13" s="57" t="str">
        <f>IF(OR('CASE DATA'!F14="123.46",'CASE DATA'!F14="123.47"),"YES","NO")</f>
        <v>NO</v>
      </c>
      <c r="X13" s="60" t="str">
        <f>IF(W13="YES",COUNTIFS(AD$3:$AD$200,"&gt;"&amp;('CASE DATA'!D14),$AD$3:$AD$200,"&lt;"&amp;('CASE DATA'!D14+730.5)),"n/a")</f>
        <v>n/a</v>
      </c>
      <c r="Y13" s="62" t="str">
        <f>IF(W13="YES",IF(C13+730.5&lt;'BASIC INFO'!$B$3, "YES","NO"), "N/A")</f>
        <v>N/A</v>
      </c>
      <c r="Z13" s="57" t="str">
        <f>IF('CASE DATA'!F14="725.1","YES","NO")</f>
        <v>NO</v>
      </c>
      <c r="AA13" s="57" t="str">
        <f>IF(Z13="YES",IF(C13+730.5&lt;'BASIC INFO'!$B$3, "YES","NO"), "N/A")</f>
        <v>N/A</v>
      </c>
      <c r="AB13" s="57" t="str">
        <f>IF('BASIC INFO'!$B$6+6574.5&gt;C13, "YES", "NO")</f>
        <v>YES</v>
      </c>
      <c r="AC13" s="57" t="str">
        <f>IF(Z13="YES",COUNTIFS(AD$3:$AD$200,"&gt;"&amp;('CASE DATA'!D14),$AD$3:$AD$200,"&lt;"&amp;('CASE DATA'!D14+730.5)),"n/a")</f>
        <v>n/a</v>
      </c>
    </row>
    <row r="14" spans="1:32" x14ac:dyDescent="0.25">
      <c r="A14" s="57" t="str">
        <f>IF('CASE DATA'!A15="","z",'CASE DATA'!A15)</f>
        <v>z</v>
      </c>
      <c r="B14" s="57" t="str">
        <f>IF('CASE DATA'!A15="","",'CASE DATA'!E15)</f>
        <v/>
      </c>
      <c r="C14" s="58">
        <f>'CASE DATA'!D15</f>
        <v>0</v>
      </c>
      <c r="D14" s="59" t="str">
        <f>IF('CASE DATA'!I15="YES",SUM('CASE DATA'!J15:P15),"n/a")</f>
        <v>n/a</v>
      </c>
      <c r="E14" s="60" t="str">
        <f>IF(OR('CASE DATA'!G15="JUV", 'CASE DATA'!G15="JWV"), "YES", "NO")</f>
        <v>NO</v>
      </c>
      <c r="F14" s="60" t="str">
        <f t="array" ref="F14">IF(E14="YES",IF(SUM(COUNTIF('CASE DATA'!$G$4:$G$200, {"GTR","GPL","DEF","JUV"}))&gt;0, "YES","NO"),"N/A")</f>
        <v>N/A</v>
      </c>
      <c r="G14" s="60" t="str">
        <f>IF(E14="YES",IF(COUNTIF('CASE DATA'!$D$4:$D$200, "")-COUNTIF('CASE DATA'!$A$4:$A$200, "")&gt;0, "YES","NO"),"N/A")</f>
        <v>N/A</v>
      </c>
      <c r="H14" s="57" t="str">
        <f>_xlfn.IFS(E14="NO", "N/A", AND('BASIC INFO'!$B$3&gt;'BASIC INFO'!$B$6+6574.5, C14+730.5&lt;'BASIC INFO'!$B$3), "YES", 'BASIC INFO'!$B$3&lt;('BASIC INFO'!$B$6+6574.5), "NOT YET 18", C14+730.5&gt;'BASIC INFO'!$B$3, "NOT YET 2 YEARS")</f>
        <v>N/A</v>
      </c>
      <c r="I14" s="61" t="str">
        <f>IF(OR(AND(LEFT('CASE DATA'!F15,4)="321.",MID('CASE DATA'!A15,8,2)="SM"),MID('CASE DATA'!A15,8,2)="ST",MID('CASE DATA'!A15,8,2)="NT"),"TRAFFIC",IF(OR('CASE DATA'!G15="DISM", 'CASE DATA'!G15="ACQ", 'CASE DATA'!G15="NOTF", 'CASE DATA'!G15="WTHD", 'CASE DATA'!G15="TNSF"), "YES", "NO"))</f>
        <v>NO</v>
      </c>
      <c r="J14" s="62" t="str">
        <f>IF(I14="YES",'CASE DATA'!T15,"N/A")</f>
        <v>N/A</v>
      </c>
      <c r="K14" s="57" t="str">
        <f>IF(I14="YES",IF(C14+180&lt;'BASIC INFO'!$B$3, "YES", "NO"),"N/A")</f>
        <v>N/A</v>
      </c>
      <c r="L14" s="62" t="str">
        <f t="array" ref="L14">IF(I14="TRAFFIC","n/a",IF(OR('CASE DATA'!G15="GTR", 'CASE DATA'!G15="GPL"),IF(SUM(COUNTIF('CASE DATA'!W15:AH15, 'CODE SECTIONS'!$V$2:$V$218&amp;"*"))&gt;0,"felony","eligible"),"n/a"))</f>
        <v>n/a</v>
      </c>
      <c r="M14" s="62" t="str">
        <f t="array" ref="M14">IF(L14="eligible",IF(OR((SUM(COUNTIF('CASE DATA'!W15:AH15,'CODE SECTIONS'!$X$2:$X$19&amp;"*"))&gt;0),LEFT('CASE DATA'!W15:AH15,4)="717C", LEFT('CASE DATA'!W15:AH15, 3)="719", LEFT('CASE DATA'!W15:AH15,3)="720", LEFT('CASE DATA'!W15:AH15,3)="724", LEFT('CASE DATA'!W15:AH15,3)="726", LEFT('CASE DATA'!W15:AH15,3)="728", LEFT('CASE DATA'!W15:AH15,4)="901A"), "ineligible misd","eligible"),"n/a")</f>
        <v>n/a</v>
      </c>
      <c r="N14" s="62" t="str">
        <f>IF(M14="eligible",IF(COUNTIF('CASE DATA'!$D$4:$D$200, "")-COUNTIF('CASE DATA'!$A$4:$A$200, "")&gt;0, "YES","NO"),"N/A")</f>
        <v>N/A</v>
      </c>
      <c r="O14" s="62" t="str">
        <f>IF(M14="eligible",BANKRUPTCY!C15+BANKRUPTCY!D15,"N/A")</f>
        <v>N/A</v>
      </c>
      <c r="P14" s="62" t="str">
        <f>IF(M14="eligible",SOL!C15+SOL!D15+SOL!E15,"N/A")</f>
        <v>N/A</v>
      </c>
      <c r="Q14" s="62" t="str">
        <f>IF(M14="eligible",SUM('CASE DATA'!J15:S15),"N/A")</f>
        <v>N/A</v>
      </c>
      <c r="R14" s="62" t="str">
        <f>IF(M14="eligible",IF(C14+2920&lt;'BASIC INFO'!$B$3, "YES", "NO"),"N/A")</f>
        <v>N/A</v>
      </c>
      <c r="S14" s="61" t="str">
        <f>IF(OR('CASE DATA'!G15="DEF"), "YES", "NO")</f>
        <v>NO</v>
      </c>
      <c r="T14" s="57" t="str">
        <f>IF(S14="YES",'CASE DATA'!I15,"N/A")</f>
        <v>N/A</v>
      </c>
      <c r="U14" s="62" t="str">
        <f>IF(S14="YES",BANKRUPTCY!C15+BANKRUPTCY!D15,"N/A")</f>
        <v>N/A</v>
      </c>
      <c r="V14" s="62" t="str">
        <f>IF(S14="YES",SUM('CASE DATA'!J15:S15),"N/A")</f>
        <v>N/A</v>
      </c>
      <c r="W14" s="57" t="str">
        <f>IF(OR('CASE DATA'!F15="123.46",'CASE DATA'!F15="123.47"),"YES","NO")</f>
        <v>NO</v>
      </c>
      <c r="X14" s="60" t="str">
        <f>IF(W14="YES",COUNTIFS(AD$3:$AD$200,"&gt;"&amp;('CASE DATA'!D15),$AD$3:$AD$200,"&lt;"&amp;('CASE DATA'!D15+730.5)),"n/a")</f>
        <v>n/a</v>
      </c>
      <c r="Y14" s="62" t="str">
        <f>IF(W14="YES",IF(C14+730.5&lt;'BASIC INFO'!$B$3, "YES","NO"), "N/A")</f>
        <v>N/A</v>
      </c>
      <c r="Z14" s="57" t="str">
        <f>IF('CASE DATA'!F15="725.1","YES","NO")</f>
        <v>NO</v>
      </c>
      <c r="AA14" s="57" t="str">
        <f>IF(Z14="YES",IF(C14+730.5&lt;'BASIC INFO'!$B$3, "YES","NO"), "N/A")</f>
        <v>N/A</v>
      </c>
      <c r="AB14" s="57" t="str">
        <f>IF('BASIC INFO'!$B$6+6574.5&gt;C14, "YES", "NO")</f>
        <v>YES</v>
      </c>
      <c r="AC14" s="57" t="str">
        <f>IF(Z14="YES",COUNTIFS(AD$3:$AD$200,"&gt;"&amp;('CASE DATA'!D15),$AD$3:$AD$200,"&lt;"&amp;('CASE DATA'!D15+730.5)),"n/a")</f>
        <v>n/a</v>
      </c>
    </row>
    <row r="15" spans="1:32" x14ac:dyDescent="0.25">
      <c r="A15" s="57" t="str">
        <f>IF('CASE DATA'!A16="","z",'CASE DATA'!A16)</f>
        <v>z</v>
      </c>
      <c r="B15" s="57" t="str">
        <f>IF('CASE DATA'!A16="","",'CASE DATA'!E16)</f>
        <v/>
      </c>
      <c r="C15" s="58">
        <f>'CASE DATA'!D16</f>
        <v>0</v>
      </c>
      <c r="D15" s="59" t="str">
        <f>IF('CASE DATA'!I16="YES",SUM('CASE DATA'!J16:P16),"n/a")</f>
        <v>n/a</v>
      </c>
      <c r="E15" s="60" t="str">
        <f>IF(OR('CASE DATA'!G16="JUV", 'CASE DATA'!G16="JWV"), "YES", "NO")</f>
        <v>NO</v>
      </c>
      <c r="F15" s="60" t="str">
        <f t="array" ref="F15">IF(E15="YES",IF(SUM(COUNTIF('CASE DATA'!$G$4:$G$200, {"GTR","GPL","DEF","JUV"}))&gt;0, "YES","NO"),"N/A")</f>
        <v>N/A</v>
      </c>
      <c r="G15" s="60" t="str">
        <f>IF(E15="YES",IF(COUNTIF('CASE DATA'!$D$4:$D$200, "")-COUNTIF('CASE DATA'!$A$4:$A$200, "")&gt;0, "YES","NO"),"N/A")</f>
        <v>N/A</v>
      </c>
      <c r="H15" s="57" t="str">
        <f>_xlfn.IFS(E15="NO", "N/A", AND('BASIC INFO'!$B$3&gt;'BASIC INFO'!$B$6+6574.5, C15+730.5&lt;'BASIC INFO'!$B$3), "YES", 'BASIC INFO'!$B$3&lt;('BASIC INFO'!$B$6+6574.5), "NOT YET 18", C15+730.5&gt;'BASIC INFO'!$B$3, "NOT YET 2 YEARS")</f>
        <v>N/A</v>
      </c>
      <c r="I15" s="61" t="str">
        <f>IF(OR(AND(LEFT('CASE DATA'!F16,4)="321.",MID('CASE DATA'!A16,8,2)="SM"),MID('CASE DATA'!A16,8,2)="ST",MID('CASE DATA'!A16,8,2)="NT"),"TRAFFIC",IF(OR('CASE DATA'!G16="DISM", 'CASE DATA'!G16="ACQ", 'CASE DATA'!G16="NOTF", 'CASE DATA'!G16="WTHD", 'CASE DATA'!G16="TNSF"), "YES", "NO"))</f>
        <v>NO</v>
      </c>
      <c r="J15" s="62" t="str">
        <f>IF(I15="YES",'CASE DATA'!T16,"N/A")</f>
        <v>N/A</v>
      </c>
      <c r="K15" s="57" t="str">
        <f>IF(I15="YES",IF(C15+180&lt;'BASIC INFO'!$B$3, "YES", "NO"),"N/A")</f>
        <v>N/A</v>
      </c>
      <c r="L15" s="62" t="str">
        <f t="array" ref="L15">IF(I15="TRAFFIC","n/a",IF(OR('CASE DATA'!G16="GTR", 'CASE DATA'!G16="GPL"),IF(SUM(COUNTIF('CASE DATA'!W16:AH16, 'CODE SECTIONS'!$V$2:$V$218&amp;"*"))&gt;0,"felony","eligible"),"n/a"))</f>
        <v>n/a</v>
      </c>
      <c r="M15" s="62" t="str">
        <f t="array" ref="M15">IF(L15="eligible",IF(OR((SUM(COUNTIF('CASE DATA'!W16:AH16,'CODE SECTIONS'!$X$2:$X$19&amp;"*"))&gt;0),LEFT('CASE DATA'!W16:AH16,4)="717C", LEFT('CASE DATA'!W16:AH16, 3)="719", LEFT('CASE DATA'!W16:AH16,3)="720", LEFT('CASE DATA'!W16:AH16,3)="724", LEFT('CASE DATA'!W16:AH16,3)="726", LEFT('CASE DATA'!W16:AH16,3)="728", LEFT('CASE DATA'!W16:AH16,4)="901A"), "ineligible misd","eligible"),"n/a")</f>
        <v>n/a</v>
      </c>
      <c r="N15" s="62" t="str">
        <f>IF(M15="eligible",IF(COUNTIF('CASE DATA'!$D$4:$D$200, "")-COUNTIF('CASE DATA'!$A$4:$A$200, "")&gt;0, "YES","NO"),"N/A")</f>
        <v>N/A</v>
      </c>
      <c r="O15" s="62" t="str">
        <f>IF(M15="eligible",BANKRUPTCY!C16+BANKRUPTCY!D16,"N/A")</f>
        <v>N/A</v>
      </c>
      <c r="P15" s="62" t="str">
        <f>IF(M15="eligible",SOL!C16+SOL!D16+SOL!E16,"N/A")</f>
        <v>N/A</v>
      </c>
      <c r="Q15" s="62" t="str">
        <f>IF(M15="eligible",SUM('CASE DATA'!J16:S16),"N/A")</f>
        <v>N/A</v>
      </c>
      <c r="R15" s="62" t="str">
        <f>IF(M15="eligible",IF(C15+2920&lt;'BASIC INFO'!$B$3, "YES", "NO"),"N/A")</f>
        <v>N/A</v>
      </c>
      <c r="S15" s="61" t="str">
        <f>IF(OR('CASE DATA'!G16="DEF"), "YES", "NO")</f>
        <v>NO</v>
      </c>
      <c r="T15" s="57" t="str">
        <f>IF(S15="YES",'CASE DATA'!I16,"N/A")</f>
        <v>N/A</v>
      </c>
      <c r="U15" s="62" t="str">
        <f>IF(S15="YES",BANKRUPTCY!C16+BANKRUPTCY!D16,"N/A")</f>
        <v>N/A</v>
      </c>
      <c r="V15" s="62" t="str">
        <f>IF(S15="YES",SUM('CASE DATA'!J16:S16),"N/A")</f>
        <v>N/A</v>
      </c>
      <c r="W15" s="57" t="str">
        <f>IF(OR('CASE DATA'!F16="123.46",'CASE DATA'!F16="123.47"),"YES","NO")</f>
        <v>NO</v>
      </c>
      <c r="X15" s="60" t="str">
        <f>IF(W15="YES",COUNTIFS(AD$3:$AD$200,"&gt;"&amp;('CASE DATA'!D16),$AD$3:$AD$200,"&lt;"&amp;('CASE DATA'!D16+730.5)),"n/a")</f>
        <v>n/a</v>
      </c>
      <c r="Y15" s="62" t="str">
        <f>IF(W15="YES",IF(C15+730.5&lt;'BASIC INFO'!$B$3, "YES","NO"), "N/A")</f>
        <v>N/A</v>
      </c>
      <c r="Z15" s="57" t="str">
        <f>IF('CASE DATA'!F16="725.1","YES","NO")</f>
        <v>NO</v>
      </c>
      <c r="AA15" s="57" t="str">
        <f>IF(Z15="YES",IF(C15+730.5&lt;'BASIC INFO'!$B$3, "YES","NO"), "N/A")</f>
        <v>N/A</v>
      </c>
      <c r="AB15" s="57" t="str">
        <f>IF('BASIC INFO'!$B$6+6574.5&gt;C15, "YES", "NO")</f>
        <v>YES</v>
      </c>
      <c r="AC15" s="57" t="str">
        <f>IF(Z15="YES",COUNTIFS(AD$3:$AD$200,"&gt;"&amp;('CASE DATA'!D16),$AD$3:$AD$200,"&lt;"&amp;('CASE DATA'!D16+730.5)),"n/a")</f>
        <v>n/a</v>
      </c>
    </row>
    <row r="16" spans="1:32" x14ac:dyDescent="0.25">
      <c r="A16" s="57" t="str">
        <f>IF('CASE DATA'!A17="","z",'CASE DATA'!A17)</f>
        <v>z</v>
      </c>
      <c r="B16" s="57" t="str">
        <f>IF('CASE DATA'!A17="","",'CASE DATA'!E17)</f>
        <v/>
      </c>
      <c r="C16" s="58">
        <f>'CASE DATA'!D17</f>
        <v>0</v>
      </c>
      <c r="D16" s="59" t="str">
        <f>IF('CASE DATA'!I17="YES",SUM('CASE DATA'!J17:P17),"n/a")</f>
        <v>n/a</v>
      </c>
      <c r="E16" s="60" t="str">
        <f>IF(OR('CASE DATA'!G17="JUV", 'CASE DATA'!G17="JWV"), "YES", "NO")</f>
        <v>NO</v>
      </c>
      <c r="F16" s="60" t="str">
        <f t="array" ref="F16">IF(E16="YES",IF(SUM(COUNTIF('CASE DATA'!$G$4:$G$200, {"GTR","GPL","DEF","JUV"}))&gt;0, "YES","NO"),"N/A")</f>
        <v>N/A</v>
      </c>
      <c r="G16" s="60" t="str">
        <f>IF(E16="YES",IF(COUNTIF('CASE DATA'!$D$4:$D$200, "")-COUNTIF('CASE DATA'!$A$4:$A$200, "")&gt;0, "YES","NO"),"N/A")</f>
        <v>N/A</v>
      </c>
      <c r="H16" s="57" t="str">
        <f>_xlfn.IFS(E16="NO", "N/A", AND('BASIC INFO'!$B$3&gt;'BASIC INFO'!$B$6+6574.5, C16+730.5&lt;'BASIC INFO'!$B$3), "YES", 'BASIC INFO'!$B$3&lt;('BASIC INFO'!$B$6+6574.5), "NOT YET 18", C16+730.5&gt;'BASIC INFO'!$B$3, "NOT YET 2 YEARS")</f>
        <v>N/A</v>
      </c>
      <c r="I16" s="61" t="str">
        <f>IF(OR(AND(LEFT('CASE DATA'!F17,4)="321.",MID('CASE DATA'!A17,8,2)="SM"),MID('CASE DATA'!A17,8,2)="ST",MID('CASE DATA'!A17,8,2)="NT"),"TRAFFIC",IF(OR('CASE DATA'!G17="DISM", 'CASE DATA'!G17="ACQ", 'CASE DATA'!G17="NOTF", 'CASE DATA'!G17="WTHD", 'CASE DATA'!G17="TNSF"), "YES", "NO"))</f>
        <v>NO</v>
      </c>
      <c r="J16" s="62" t="str">
        <f>IF(I16="YES",'CASE DATA'!T17,"N/A")</f>
        <v>N/A</v>
      </c>
      <c r="K16" s="57" t="str">
        <f>IF(I16="YES",IF(C16+180&lt;'BASIC INFO'!$B$3, "YES", "NO"),"N/A")</f>
        <v>N/A</v>
      </c>
      <c r="L16" s="62" t="str">
        <f t="array" ref="L16">IF(I16="TRAFFIC","n/a",IF(OR('CASE DATA'!G17="GTR", 'CASE DATA'!G17="GPL"),IF(SUM(COUNTIF('CASE DATA'!W17:AH17, 'CODE SECTIONS'!$V$2:$V$218&amp;"*"))&gt;0,"felony","eligible"),"n/a"))</f>
        <v>n/a</v>
      </c>
      <c r="M16" s="62" t="str">
        <f t="array" ref="M16">IF(L16="eligible",IF(OR((SUM(COUNTIF('CASE DATA'!W17:AH17,'CODE SECTIONS'!$X$2:$X$19&amp;"*"))&gt;0),LEFT('CASE DATA'!W17:AH17,4)="717C", LEFT('CASE DATA'!W17:AH17, 3)="719", LEFT('CASE DATA'!W17:AH17,3)="720", LEFT('CASE DATA'!W17:AH17,3)="724", LEFT('CASE DATA'!W17:AH17,3)="726", LEFT('CASE DATA'!W17:AH17,3)="728", LEFT('CASE DATA'!W17:AH17,4)="901A"), "ineligible misd","eligible"),"n/a")</f>
        <v>n/a</v>
      </c>
      <c r="N16" s="62" t="str">
        <f>IF(M16="eligible",IF(COUNTIF('CASE DATA'!$D$4:$D$200, "")-COUNTIF('CASE DATA'!$A$4:$A$200, "")&gt;0, "YES","NO"),"N/A")</f>
        <v>N/A</v>
      </c>
      <c r="O16" s="62" t="str">
        <f>IF(M16="eligible",BANKRUPTCY!C17+BANKRUPTCY!D17,"N/A")</f>
        <v>N/A</v>
      </c>
      <c r="P16" s="62" t="str">
        <f>IF(M16="eligible",SOL!C17+SOL!D17+SOL!E17,"N/A")</f>
        <v>N/A</v>
      </c>
      <c r="Q16" s="62" t="str">
        <f>IF(M16="eligible",SUM('CASE DATA'!J17:S17),"N/A")</f>
        <v>N/A</v>
      </c>
      <c r="R16" s="62" t="str">
        <f>IF(M16="eligible",IF(C16+2920&lt;'BASIC INFO'!$B$3, "YES", "NO"),"N/A")</f>
        <v>N/A</v>
      </c>
      <c r="S16" s="61" t="str">
        <f>IF(OR('CASE DATA'!G17="DEF"), "YES", "NO")</f>
        <v>NO</v>
      </c>
      <c r="T16" s="57" t="str">
        <f>IF(S16="YES",'CASE DATA'!I17,"N/A")</f>
        <v>N/A</v>
      </c>
      <c r="U16" s="62" t="str">
        <f>IF(S16="YES",BANKRUPTCY!C17+BANKRUPTCY!D17,"N/A")</f>
        <v>N/A</v>
      </c>
      <c r="V16" s="62" t="str">
        <f>IF(S16="YES",SUM('CASE DATA'!J17:S17),"N/A")</f>
        <v>N/A</v>
      </c>
      <c r="W16" s="57" t="str">
        <f>IF(OR('CASE DATA'!F17="123.46",'CASE DATA'!F17="123.47"),"YES","NO")</f>
        <v>NO</v>
      </c>
      <c r="X16" s="60" t="str">
        <f>IF(W16="YES",COUNTIFS(AD$3:$AD$200,"&gt;"&amp;('CASE DATA'!D17),$AD$3:$AD$200,"&lt;"&amp;('CASE DATA'!D17+730.5)),"n/a")</f>
        <v>n/a</v>
      </c>
      <c r="Y16" s="62" t="str">
        <f>IF(W16="YES",IF(C16+730.5&lt;'BASIC INFO'!$B$3, "YES","NO"), "N/A")</f>
        <v>N/A</v>
      </c>
      <c r="Z16" s="57" t="str">
        <f>IF('CASE DATA'!F17="725.1","YES","NO")</f>
        <v>NO</v>
      </c>
      <c r="AA16" s="57" t="str">
        <f>IF(Z16="YES",IF(C16+730.5&lt;'BASIC INFO'!$B$3, "YES","NO"), "N/A")</f>
        <v>N/A</v>
      </c>
      <c r="AB16" s="57" t="str">
        <f>IF('BASIC INFO'!$B$6+6574.5&gt;C16, "YES", "NO")</f>
        <v>YES</v>
      </c>
      <c r="AC16" s="57" t="str">
        <f>IF(Z16="YES",COUNTIFS(AD$3:$AD$200,"&gt;"&amp;('CASE DATA'!D17),$AD$3:$AD$200,"&lt;"&amp;('CASE DATA'!D17+730.5)),"n/a")</f>
        <v>n/a</v>
      </c>
    </row>
    <row r="17" spans="1:29" x14ac:dyDescent="0.25">
      <c r="A17" s="57" t="str">
        <f>IF('CASE DATA'!A18="","z",'CASE DATA'!A18)</f>
        <v>z</v>
      </c>
      <c r="B17" s="57" t="str">
        <f>IF('CASE DATA'!A18="","",'CASE DATA'!E18)</f>
        <v/>
      </c>
      <c r="C17" s="58">
        <f>'CASE DATA'!D18</f>
        <v>0</v>
      </c>
      <c r="D17" s="59" t="str">
        <f>IF('CASE DATA'!I18="YES",SUM('CASE DATA'!J18:P18),"n/a")</f>
        <v>n/a</v>
      </c>
      <c r="E17" s="60" t="str">
        <f>IF(OR('CASE DATA'!G18="JUV", 'CASE DATA'!G18="JWV"), "YES", "NO")</f>
        <v>NO</v>
      </c>
      <c r="F17" s="60" t="str">
        <f t="array" ref="F17">IF(E17="YES",IF(SUM(COUNTIF('CASE DATA'!$G$4:$G$200, {"GTR","GPL","DEF","JUV"}))&gt;0, "YES","NO"),"N/A")</f>
        <v>N/A</v>
      </c>
      <c r="G17" s="60" t="str">
        <f>IF(E17="YES",IF(COUNTIF('CASE DATA'!$D$4:$D$200, "")-COUNTIF('CASE DATA'!$A$4:$A$200, "")&gt;0, "YES","NO"),"N/A")</f>
        <v>N/A</v>
      </c>
      <c r="H17" s="57" t="str">
        <f>_xlfn.IFS(E17="NO", "N/A", AND('BASIC INFO'!$B$3&gt;'BASIC INFO'!$B$6+6574.5, C17+730.5&lt;'BASIC INFO'!$B$3), "YES", 'BASIC INFO'!$B$3&lt;('BASIC INFO'!$B$6+6574.5), "NOT YET 18", C17+730.5&gt;'BASIC INFO'!$B$3, "NOT YET 2 YEARS")</f>
        <v>N/A</v>
      </c>
      <c r="I17" s="61" t="str">
        <f>IF(OR(AND(LEFT('CASE DATA'!F18,4)="321.",MID('CASE DATA'!A18,8,2)="SM"),MID('CASE DATA'!A18,8,2)="ST",MID('CASE DATA'!A18,8,2)="NT"),"TRAFFIC",IF(OR('CASE DATA'!G18="DISM", 'CASE DATA'!G18="ACQ", 'CASE DATA'!G18="NOTF", 'CASE DATA'!G18="WTHD", 'CASE DATA'!G18="TNSF"), "YES", "NO"))</f>
        <v>NO</v>
      </c>
      <c r="J17" s="62" t="str">
        <f>IF(I17="YES",'CASE DATA'!T18,"N/A")</f>
        <v>N/A</v>
      </c>
      <c r="K17" s="57" t="str">
        <f>IF(I17="YES",IF(C17+180&lt;'BASIC INFO'!$B$3, "YES", "NO"),"N/A")</f>
        <v>N/A</v>
      </c>
      <c r="L17" s="62" t="str">
        <f t="array" ref="L17">IF(I17="TRAFFIC","n/a",IF(OR('CASE DATA'!G18="GTR", 'CASE DATA'!G18="GPL"),IF(SUM(COUNTIF('CASE DATA'!W18:AH18, 'CODE SECTIONS'!$V$2:$V$218&amp;"*"))&gt;0,"felony","eligible"),"n/a"))</f>
        <v>n/a</v>
      </c>
      <c r="M17" s="62" t="str">
        <f t="array" ref="M17">IF(L17="eligible",IF(OR((SUM(COUNTIF('CASE DATA'!W18:AH18,'CODE SECTIONS'!$X$2:$X$19&amp;"*"))&gt;0),LEFT('CASE DATA'!W18:AH18,4)="717C", LEFT('CASE DATA'!W18:AH18, 3)="719", LEFT('CASE DATA'!W18:AH18,3)="720", LEFT('CASE DATA'!W18:AH18,3)="724", LEFT('CASE DATA'!W18:AH18,3)="726", LEFT('CASE DATA'!W18:AH18,3)="728", LEFT('CASE DATA'!W18:AH18,4)="901A"), "ineligible misd","eligible"),"n/a")</f>
        <v>n/a</v>
      </c>
      <c r="N17" s="62" t="str">
        <f>IF(M17="eligible",IF(COUNTIF('CASE DATA'!$D$4:$D$200, "")-COUNTIF('CASE DATA'!$A$4:$A$200, "")&gt;0, "YES","NO"),"N/A")</f>
        <v>N/A</v>
      </c>
      <c r="O17" s="62" t="str">
        <f>IF(M17="eligible",BANKRUPTCY!C18+BANKRUPTCY!D18,"N/A")</f>
        <v>N/A</v>
      </c>
      <c r="P17" s="62" t="str">
        <f>IF(M17="eligible",SOL!C18+SOL!D18+SOL!E18,"N/A")</f>
        <v>N/A</v>
      </c>
      <c r="Q17" s="62" t="str">
        <f>IF(M17="eligible",SUM('CASE DATA'!J18:S18),"N/A")</f>
        <v>N/A</v>
      </c>
      <c r="R17" s="62" t="str">
        <f>IF(M17="eligible",IF(C17+2920&lt;'BASIC INFO'!$B$3, "YES", "NO"),"N/A")</f>
        <v>N/A</v>
      </c>
      <c r="S17" s="61" t="str">
        <f>IF(OR('CASE DATA'!G18="DEF"), "YES", "NO")</f>
        <v>NO</v>
      </c>
      <c r="T17" s="57" t="str">
        <f>IF(S17="YES",'CASE DATA'!I18,"N/A")</f>
        <v>N/A</v>
      </c>
      <c r="U17" s="62" t="str">
        <f>IF(S17="YES",BANKRUPTCY!C18+BANKRUPTCY!D18,"N/A")</f>
        <v>N/A</v>
      </c>
      <c r="V17" s="62" t="str">
        <f>IF(S17="YES",SUM('CASE DATA'!J18:S18),"N/A")</f>
        <v>N/A</v>
      </c>
      <c r="W17" s="57" t="str">
        <f>IF(OR('CASE DATA'!F18="123.46",'CASE DATA'!F18="123.47"),"YES","NO")</f>
        <v>NO</v>
      </c>
      <c r="X17" s="60" t="str">
        <f>IF(W17="YES",COUNTIFS(AD$3:$AD$200,"&gt;"&amp;('CASE DATA'!D18),$AD$3:$AD$200,"&lt;"&amp;('CASE DATA'!D18+730.5)),"n/a")</f>
        <v>n/a</v>
      </c>
      <c r="Y17" s="62" t="str">
        <f>IF(W17="YES",IF(C17+730.5&lt;'BASIC INFO'!$B$3, "YES","NO"), "N/A")</f>
        <v>N/A</v>
      </c>
      <c r="Z17" s="57" t="str">
        <f>IF('CASE DATA'!F18="725.1","YES","NO")</f>
        <v>NO</v>
      </c>
      <c r="AA17" s="57" t="str">
        <f>IF(Z17="YES",IF(C17+730.5&lt;'BASIC INFO'!$B$3, "YES","NO"), "N/A")</f>
        <v>N/A</v>
      </c>
      <c r="AB17" s="57" t="str">
        <f>IF('BASIC INFO'!$B$6+6574.5&gt;C17, "YES", "NO")</f>
        <v>YES</v>
      </c>
      <c r="AC17" s="57" t="str">
        <f>IF(Z17="YES",COUNTIFS(AD$3:$AD$200,"&gt;"&amp;('CASE DATA'!D18),$AD$3:$AD$200,"&lt;"&amp;('CASE DATA'!D18+730.5)),"n/a")</f>
        <v>n/a</v>
      </c>
    </row>
    <row r="18" spans="1:29" x14ac:dyDescent="0.25">
      <c r="A18" s="57" t="str">
        <f>IF('CASE DATA'!A19="","z",'CASE DATA'!A19)</f>
        <v>z</v>
      </c>
      <c r="B18" s="57" t="str">
        <f>IF('CASE DATA'!A19="","",'CASE DATA'!E19)</f>
        <v/>
      </c>
      <c r="C18" s="58">
        <f>'CASE DATA'!D19</f>
        <v>0</v>
      </c>
      <c r="D18" s="59" t="str">
        <f>IF('CASE DATA'!I19="YES",SUM('CASE DATA'!J19:P19),"n/a")</f>
        <v>n/a</v>
      </c>
      <c r="E18" s="60" t="str">
        <f>IF(OR('CASE DATA'!G19="JUV", 'CASE DATA'!G19="JWV"), "YES", "NO")</f>
        <v>NO</v>
      </c>
      <c r="F18" s="60" t="str">
        <f t="array" ref="F18">IF(E18="YES",IF(SUM(COUNTIF('CASE DATA'!$G$4:$G$200, {"GTR","GPL","DEF","JUV"}))&gt;0, "YES","NO"),"N/A")</f>
        <v>N/A</v>
      </c>
      <c r="G18" s="60" t="str">
        <f>IF(E18="YES",IF(COUNTIF('CASE DATA'!$D$4:$D$200, "")-COUNTIF('CASE DATA'!$A$4:$A$200, "")&gt;0, "YES","NO"),"N/A")</f>
        <v>N/A</v>
      </c>
      <c r="H18" s="57" t="str">
        <f>_xlfn.IFS(E18="NO", "N/A", AND('BASIC INFO'!$B$3&gt;'BASIC INFO'!$B$6+6574.5, C18+730.5&lt;'BASIC INFO'!$B$3), "YES", 'BASIC INFO'!$B$3&lt;('BASIC INFO'!$B$6+6574.5), "NOT YET 18", C18+730.5&gt;'BASIC INFO'!$B$3, "NOT YET 2 YEARS")</f>
        <v>N/A</v>
      </c>
      <c r="I18" s="61" t="str">
        <f>IF(OR(AND(LEFT('CASE DATA'!F19,4)="321.",MID('CASE DATA'!A19,8,2)="SM"),MID('CASE DATA'!A19,8,2)="ST",MID('CASE DATA'!A19,8,2)="NT"),"TRAFFIC",IF(OR('CASE DATA'!G19="DISM", 'CASE DATA'!G19="ACQ", 'CASE DATA'!G19="NOTF", 'CASE DATA'!G19="WTHD", 'CASE DATA'!G19="TNSF"), "YES", "NO"))</f>
        <v>NO</v>
      </c>
      <c r="J18" s="62" t="str">
        <f>IF(I18="YES",'CASE DATA'!T19,"N/A")</f>
        <v>N/A</v>
      </c>
      <c r="K18" s="57" t="str">
        <f>IF(I18="YES",IF(C18+180&lt;'BASIC INFO'!$B$3, "YES", "NO"),"N/A")</f>
        <v>N/A</v>
      </c>
      <c r="L18" s="62" t="str">
        <f t="array" ref="L18">IF(I18="TRAFFIC","n/a",IF(OR('CASE DATA'!G19="GTR", 'CASE DATA'!G19="GPL"),IF(SUM(COUNTIF('CASE DATA'!W19:AH19, 'CODE SECTIONS'!$V$2:$V$218&amp;"*"))&gt;0,"felony","eligible"),"n/a"))</f>
        <v>n/a</v>
      </c>
      <c r="M18" s="62" t="str">
        <f t="array" ref="M18">IF(L18="eligible",IF(OR((SUM(COUNTIF('CASE DATA'!W19:AH19,'CODE SECTIONS'!$X$2:$X$19&amp;"*"))&gt;0),LEFT('CASE DATA'!W19:AH19,4)="717C", LEFT('CASE DATA'!W19:AH19, 3)="719", LEFT('CASE DATA'!W19:AH19,3)="720", LEFT('CASE DATA'!W19:AH19,3)="724", LEFT('CASE DATA'!W19:AH19,3)="726", LEFT('CASE DATA'!W19:AH19,3)="728", LEFT('CASE DATA'!W19:AH19,4)="901A"), "ineligible misd","eligible"),"n/a")</f>
        <v>n/a</v>
      </c>
      <c r="N18" s="62" t="str">
        <f>IF(M18="eligible",IF(COUNTIF('CASE DATA'!$D$4:$D$200, "")-COUNTIF('CASE DATA'!$A$4:$A$200, "")&gt;0, "YES","NO"),"N/A")</f>
        <v>N/A</v>
      </c>
      <c r="O18" s="62" t="str">
        <f>IF(M18="eligible",BANKRUPTCY!C19+BANKRUPTCY!D19,"N/A")</f>
        <v>N/A</v>
      </c>
      <c r="P18" s="62" t="str">
        <f>IF(M18="eligible",SOL!C19+SOL!D19+SOL!E19,"N/A")</f>
        <v>N/A</v>
      </c>
      <c r="Q18" s="62" t="str">
        <f>IF(M18="eligible",SUM('CASE DATA'!J19:S19),"N/A")</f>
        <v>N/A</v>
      </c>
      <c r="R18" s="62" t="str">
        <f>IF(M18="eligible",IF(C18+2920&lt;'BASIC INFO'!$B$3, "YES", "NO"),"N/A")</f>
        <v>N/A</v>
      </c>
      <c r="S18" s="61" t="str">
        <f>IF(OR('CASE DATA'!G19="DEF"), "YES", "NO")</f>
        <v>NO</v>
      </c>
      <c r="T18" s="57" t="str">
        <f>IF(S18="YES",'CASE DATA'!I19,"N/A")</f>
        <v>N/A</v>
      </c>
      <c r="U18" s="62" t="str">
        <f>IF(S18="YES",BANKRUPTCY!C19+BANKRUPTCY!D19,"N/A")</f>
        <v>N/A</v>
      </c>
      <c r="V18" s="62" t="str">
        <f>IF(S18="YES",SUM('CASE DATA'!J19:S19),"N/A")</f>
        <v>N/A</v>
      </c>
      <c r="W18" s="57" t="str">
        <f>IF(OR('CASE DATA'!F19="123.46",'CASE DATA'!F19="123.47"),"YES","NO")</f>
        <v>NO</v>
      </c>
      <c r="X18" s="60" t="str">
        <f>IF(W18="YES",COUNTIFS(AD$3:$AD$200,"&gt;"&amp;('CASE DATA'!D19),$AD$3:$AD$200,"&lt;"&amp;('CASE DATA'!D19+730.5)),"n/a")</f>
        <v>n/a</v>
      </c>
      <c r="Y18" s="62" t="str">
        <f>IF(W18="YES",IF(C18+730.5&lt;'BASIC INFO'!$B$3, "YES","NO"), "N/A")</f>
        <v>N/A</v>
      </c>
      <c r="Z18" s="57" t="str">
        <f>IF('CASE DATA'!F19="725.1","YES","NO")</f>
        <v>NO</v>
      </c>
      <c r="AA18" s="57" t="str">
        <f>IF(Z18="YES",IF(C18+730.5&lt;'BASIC INFO'!$B$3, "YES","NO"), "N/A")</f>
        <v>N/A</v>
      </c>
      <c r="AB18" s="57" t="str">
        <f>IF('BASIC INFO'!$B$6+6574.5&gt;C18, "YES", "NO")</f>
        <v>YES</v>
      </c>
      <c r="AC18" s="57" t="str">
        <f>IF(Z18="YES",COUNTIFS(AD$3:$AD$200,"&gt;"&amp;('CASE DATA'!D19),$AD$3:$AD$200,"&lt;"&amp;('CASE DATA'!D19+730.5)),"n/a")</f>
        <v>n/a</v>
      </c>
    </row>
    <row r="19" spans="1:29" x14ac:dyDescent="0.25">
      <c r="A19" s="57" t="str">
        <f>IF('CASE DATA'!A20="","z",'CASE DATA'!A20)</f>
        <v>z</v>
      </c>
      <c r="B19" s="57" t="str">
        <f>IF('CASE DATA'!A20="","",'CASE DATA'!E20)</f>
        <v/>
      </c>
      <c r="C19" s="58">
        <f>'CASE DATA'!D20</f>
        <v>0</v>
      </c>
      <c r="D19" s="59" t="str">
        <f>IF('CASE DATA'!I20="YES",SUM('CASE DATA'!J20:P20),"n/a")</f>
        <v>n/a</v>
      </c>
      <c r="E19" s="60" t="str">
        <f>IF(OR('CASE DATA'!G20="JUV", 'CASE DATA'!G20="JWV"), "YES", "NO")</f>
        <v>NO</v>
      </c>
      <c r="F19" s="60" t="str">
        <f t="array" ref="F19">IF(E19="YES",IF(SUM(COUNTIF('CASE DATA'!$G$4:$G$200, {"GTR","GPL","DEF","JUV"}))&gt;0, "YES","NO"),"N/A")</f>
        <v>N/A</v>
      </c>
      <c r="G19" s="60" t="str">
        <f>IF(E19="YES",IF(COUNTIF('CASE DATA'!$D$4:$D$200, "")-COUNTIF('CASE DATA'!$A$4:$A$200, "")&gt;0, "YES","NO"),"N/A")</f>
        <v>N/A</v>
      </c>
      <c r="H19" s="57" t="str">
        <f>_xlfn.IFS(E19="NO", "N/A", AND('BASIC INFO'!$B$3&gt;'BASIC INFO'!$B$6+6574.5, C19+730.5&lt;'BASIC INFO'!$B$3), "YES", 'BASIC INFO'!$B$3&lt;('BASIC INFO'!$B$6+6574.5), "NOT YET 18", C19+730.5&gt;'BASIC INFO'!$B$3, "NOT YET 2 YEARS")</f>
        <v>N/A</v>
      </c>
      <c r="I19" s="61" t="str">
        <f>IF(OR(AND(LEFT('CASE DATA'!F20,4)="321.",MID('CASE DATA'!A20,8,2)="SM"),MID('CASE DATA'!A20,8,2)="ST",MID('CASE DATA'!A20,8,2)="NT"),"TRAFFIC",IF(OR('CASE DATA'!G20="DISM", 'CASE DATA'!G20="ACQ", 'CASE DATA'!G20="NOTF", 'CASE DATA'!G20="WTHD", 'CASE DATA'!G20="TNSF"), "YES", "NO"))</f>
        <v>NO</v>
      </c>
      <c r="J19" s="62" t="str">
        <f>IF(I19="YES",'CASE DATA'!T20,"N/A")</f>
        <v>N/A</v>
      </c>
      <c r="K19" s="57" t="str">
        <f>IF(I19="YES",IF(C19+180&lt;'BASIC INFO'!$B$3, "YES", "NO"),"N/A")</f>
        <v>N/A</v>
      </c>
      <c r="L19" s="62" t="str">
        <f t="array" ref="L19">IF(I19="TRAFFIC","n/a",IF(OR('CASE DATA'!G20="GTR", 'CASE DATA'!G20="GPL"),IF(SUM(COUNTIF('CASE DATA'!W20:AH20, 'CODE SECTIONS'!$V$2:$V$218&amp;"*"))&gt;0,"felony","eligible"),"n/a"))</f>
        <v>n/a</v>
      </c>
      <c r="M19" s="62" t="str">
        <f t="array" ref="M19">IF(L19="eligible",IF(OR((SUM(COUNTIF('CASE DATA'!W20:AH20,'CODE SECTIONS'!$X$2:$X$19&amp;"*"))&gt;0),LEFT('CASE DATA'!W20:AH20,4)="717C", LEFT('CASE DATA'!W20:AH20, 3)="719", LEFT('CASE DATA'!W20:AH20,3)="720", LEFT('CASE DATA'!W20:AH20,3)="724", LEFT('CASE DATA'!W20:AH20,3)="726", LEFT('CASE DATA'!W20:AH20,3)="728", LEFT('CASE DATA'!W20:AH20,4)="901A"), "ineligible misd","eligible"),"n/a")</f>
        <v>n/a</v>
      </c>
      <c r="N19" s="62" t="str">
        <f>IF(M19="eligible",IF(COUNTIF('CASE DATA'!$D$4:$D$200, "")-COUNTIF('CASE DATA'!$A$4:$A$200, "")&gt;0, "YES","NO"),"N/A")</f>
        <v>N/A</v>
      </c>
      <c r="O19" s="62" t="str">
        <f>IF(M19="eligible",BANKRUPTCY!C20+BANKRUPTCY!D20,"N/A")</f>
        <v>N/A</v>
      </c>
      <c r="P19" s="62" t="str">
        <f>IF(M19="eligible",SOL!C20+SOL!D20+SOL!E20,"N/A")</f>
        <v>N/A</v>
      </c>
      <c r="Q19" s="62" t="str">
        <f>IF(M19="eligible",SUM('CASE DATA'!J20:S20),"N/A")</f>
        <v>N/A</v>
      </c>
      <c r="R19" s="62" t="str">
        <f>IF(M19="eligible",IF(C19+2920&lt;'BASIC INFO'!$B$3, "YES", "NO"),"N/A")</f>
        <v>N/A</v>
      </c>
      <c r="S19" s="61" t="str">
        <f>IF(OR('CASE DATA'!G20="DEF"), "YES", "NO")</f>
        <v>NO</v>
      </c>
      <c r="T19" s="57" t="str">
        <f>IF(S19="YES",'CASE DATA'!I20,"N/A")</f>
        <v>N/A</v>
      </c>
      <c r="U19" s="62" t="str">
        <f>IF(S19="YES",BANKRUPTCY!C20+BANKRUPTCY!D20,"N/A")</f>
        <v>N/A</v>
      </c>
      <c r="V19" s="62" t="str">
        <f>IF(S19="YES",SUM('CASE DATA'!J20:S20),"N/A")</f>
        <v>N/A</v>
      </c>
      <c r="W19" s="57" t="str">
        <f>IF(OR('CASE DATA'!F20="123.46",'CASE DATA'!F20="123.47"),"YES","NO")</f>
        <v>NO</v>
      </c>
      <c r="X19" s="60" t="str">
        <f>IF(W19="YES",COUNTIFS(AD$3:$AD$200,"&gt;"&amp;('CASE DATA'!D20),$AD$3:$AD$200,"&lt;"&amp;('CASE DATA'!D20+730.5)),"n/a")</f>
        <v>n/a</v>
      </c>
      <c r="Y19" s="62" t="str">
        <f>IF(W19="YES",IF(C19+730.5&lt;'BASIC INFO'!$B$3, "YES","NO"), "N/A")</f>
        <v>N/A</v>
      </c>
      <c r="Z19" s="57" t="str">
        <f>IF('CASE DATA'!F20="725.1","YES","NO")</f>
        <v>NO</v>
      </c>
      <c r="AA19" s="57" t="str">
        <f>IF(Z19="YES",IF(C19+730.5&lt;'BASIC INFO'!$B$3, "YES","NO"), "N/A")</f>
        <v>N/A</v>
      </c>
      <c r="AB19" s="57" t="str">
        <f>IF('BASIC INFO'!$B$6+6574.5&gt;C19, "YES", "NO")</f>
        <v>YES</v>
      </c>
      <c r="AC19" s="57" t="str">
        <f>IF(Z19="YES",COUNTIFS(AD$3:$AD$200,"&gt;"&amp;('CASE DATA'!D20),$AD$3:$AD$200,"&lt;"&amp;('CASE DATA'!D20+730.5)),"n/a")</f>
        <v>n/a</v>
      </c>
    </row>
    <row r="20" spans="1:29" x14ac:dyDescent="0.25">
      <c r="A20" s="57" t="str">
        <f>IF('CASE DATA'!A21="","z",'CASE DATA'!A21)</f>
        <v>z</v>
      </c>
      <c r="B20" s="57" t="str">
        <f>IF('CASE DATA'!A21="","",'CASE DATA'!E21)</f>
        <v/>
      </c>
      <c r="C20" s="58">
        <f>'CASE DATA'!D21</f>
        <v>0</v>
      </c>
      <c r="D20" s="59" t="str">
        <f>IF('CASE DATA'!I21="YES",SUM('CASE DATA'!J21:P21),"n/a")</f>
        <v>n/a</v>
      </c>
      <c r="E20" s="60" t="str">
        <f>IF(OR('CASE DATA'!G21="JUV", 'CASE DATA'!G21="JWV"), "YES", "NO")</f>
        <v>NO</v>
      </c>
      <c r="F20" s="60" t="str">
        <f t="array" ref="F20">IF(E20="YES",IF(SUM(COUNTIF('CASE DATA'!$G$4:$G$200, {"GTR","GPL","DEF","JUV"}))&gt;0, "YES","NO"),"N/A")</f>
        <v>N/A</v>
      </c>
      <c r="G20" s="60" t="str">
        <f>IF(E20="YES",IF(COUNTIF('CASE DATA'!$D$4:$D$200, "")-COUNTIF('CASE DATA'!$A$4:$A$200, "")&gt;0, "YES","NO"),"N/A")</f>
        <v>N/A</v>
      </c>
      <c r="H20" s="57" t="str">
        <f>_xlfn.IFS(E20="NO", "N/A", AND('BASIC INFO'!$B$3&gt;'BASIC INFO'!$B$6+6574.5, C20+730.5&lt;'BASIC INFO'!$B$3), "YES", 'BASIC INFO'!$B$3&lt;('BASIC INFO'!$B$6+6574.5), "NOT YET 18", C20+730.5&gt;'BASIC INFO'!$B$3, "NOT YET 2 YEARS")</f>
        <v>N/A</v>
      </c>
      <c r="I20" s="61" t="str">
        <f>IF(OR(AND(LEFT('CASE DATA'!F21,4)="321.",MID('CASE DATA'!A21,8,2)="SM"),MID('CASE DATA'!A21,8,2)="ST",MID('CASE DATA'!A21,8,2)="NT"),"TRAFFIC",IF(OR('CASE DATA'!G21="DISM", 'CASE DATA'!G21="ACQ", 'CASE DATA'!G21="NOTF", 'CASE DATA'!G21="WTHD", 'CASE DATA'!G21="TNSF"), "YES", "NO"))</f>
        <v>NO</v>
      </c>
      <c r="J20" s="62" t="str">
        <f>IF(I20="YES",'CASE DATA'!T21,"N/A")</f>
        <v>N/A</v>
      </c>
      <c r="K20" s="57" t="str">
        <f>IF(I20="YES",IF(C20+180&lt;'BASIC INFO'!$B$3, "YES", "NO"),"N/A")</f>
        <v>N/A</v>
      </c>
      <c r="L20" s="62" t="str">
        <f t="array" ref="L20">IF(I20="TRAFFIC","n/a",IF(OR('CASE DATA'!G21="GTR", 'CASE DATA'!G21="GPL"),IF(SUM(COUNTIF('CASE DATA'!W21:AH21, 'CODE SECTIONS'!$V$2:$V$218&amp;"*"))&gt;0,"felony","eligible"),"n/a"))</f>
        <v>n/a</v>
      </c>
      <c r="M20" s="62" t="str">
        <f t="array" ref="M20">IF(L20="eligible",IF(OR((SUM(COUNTIF('CASE DATA'!W21:AH21,'CODE SECTIONS'!$X$2:$X$19&amp;"*"))&gt;0),LEFT('CASE DATA'!W21:AH21,4)="717C", LEFT('CASE DATA'!W21:AH21, 3)="719", LEFT('CASE DATA'!W21:AH21,3)="720", LEFT('CASE DATA'!W21:AH21,3)="724", LEFT('CASE DATA'!W21:AH21,3)="726", LEFT('CASE DATA'!W21:AH21,3)="728", LEFT('CASE DATA'!W21:AH21,4)="901A"), "ineligible misd","eligible"),"n/a")</f>
        <v>n/a</v>
      </c>
      <c r="N20" s="62" t="str">
        <f>IF(M20="eligible",IF(COUNTIF('CASE DATA'!$D$4:$D$200, "")-COUNTIF('CASE DATA'!$A$4:$A$200, "")&gt;0, "YES","NO"),"N/A")</f>
        <v>N/A</v>
      </c>
      <c r="O20" s="62" t="str">
        <f>IF(M20="eligible",BANKRUPTCY!C21+BANKRUPTCY!D21,"N/A")</f>
        <v>N/A</v>
      </c>
      <c r="P20" s="62" t="str">
        <f>IF(M20="eligible",SOL!C21+SOL!D21+SOL!E21,"N/A")</f>
        <v>N/A</v>
      </c>
      <c r="Q20" s="62" t="str">
        <f>IF(M20="eligible",SUM('CASE DATA'!J21:S21),"N/A")</f>
        <v>N/A</v>
      </c>
      <c r="R20" s="62" t="str">
        <f>IF(M20="eligible",IF(C20+2920&lt;'BASIC INFO'!$B$3, "YES", "NO"),"N/A")</f>
        <v>N/A</v>
      </c>
      <c r="S20" s="61" t="str">
        <f>IF(OR('CASE DATA'!G21="DEF"), "YES", "NO")</f>
        <v>NO</v>
      </c>
      <c r="T20" s="57" t="str">
        <f>IF(S20="YES",'CASE DATA'!I21,"N/A")</f>
        <v>N/A</v>
      </c>
      <c r="U20" s="62" t="str">
        <f>IF(S20="YES",BANKRUPTCY!C21+BANKRUPTCY!D21,"N/A")</f>
        <v>N/A</v>
      </c>
      <c r="V20" s="62" t="str">
        <f>IF(S20="YES",SUM('CASE DATA'!J21:S21),"N/A")</f>
        <v>N/A</v>
      </c>
      <c r="W20" s="57" t="str">
        <f>IF(OR('CASE DATA'!F21="123.46",'CASE DATA'!F21="123.47"),"YES","NO")</f>
        <v>NO</v>
      </c>
      <c r="X20" s="60" t="str">
        <f>IF(W20="YES",COUNTIFS(AD$3:$AD$200,"&gt;"&amp;('CASE DATA'!D21),$AD$3:$AD$200,"&lt;"&amp;('CASE DATA'!D21+730.5)),"n/a")</f>
        <v>n/a</v>
      </c>
      <c r="Y20" s="62" t="str">
        <f>IF(W20="YES",IF(C20+730.5&lt;'BASIC INFO'!$B$3, "YES","NO"), "N/A")</f>
        <v>N/A</v>
      </c>
      <c r="Z20" s="57" t="str">
        <f>IF('CASE DATA'!F21="725.1","YES","NO")</f>
        <v>NO</v>
      </c>
      <c r="AA20" s="57" t="str">
        <f>IF(Z20="YES",IF(C20+730.5&lt;'BASIC INFO'!$B$3, "YES","NO"), "N/A")</f>
        <v>N/A</v>
      </c>
      <c r="AB20" s="57" t="str">
        <f>IF('BASIC INFO'!$B$6+6574.5&gt;C20, "YES", "NO")</f>
        <v>YES</v>
      </c>
      <c r="AC20" s="57" t="str">
        <f>IF(Z20="YES",COUNTIFS(AD$3:$AD$200,"&gt;"&amp;('CASE DATA'!D21),$AD$3:$AD$200,"&lt;"&amp;('CASE DATA'!D21+730.5)),"n/a")</f>
        <v>n/a</v>
      </c>
    </row>
    <row r="21" spans="1:29" x14ac:dyDescent="0.25">
      <c r="A21" s="57" t="str">
        <f>IF('CASE DATA'!A22="","z",'CASE DATA'!A22)</f>
        <v>z</v>
      </c>
      <c r="B21" s="57" t="str">
        <f>IF('CASE DATA'!A22="","",'CASE DATA'!E22)</f>
        <v/>
      </c>
      <c r="C21" s="58">
        <f>'CASE DATA'!D22</f>
        <v>0</v>
      </c>
      <c r="D21" s="59" t="str">
        <f>IF('CASE DATA'!I22="YES",SUM('CASE DATA'!J22:P22),"n/a")</f>
        <v>n/a</v>
      </c>
      <c r="E21" s="60" t="str">
        <f>IF(OR('CASE DATA'!G22="JUV", 'CASE DATA'!G22="JWV"), "YES", "NO")</f>
        <v>NO</v>
      </c>
      <c r="F21" s="60" t="str">
        <f t="array" ref="F21">IF(E21="YES",IF(SUM(COUNTIF('CASE DATA'!$G$4:$G$200, {"GTR","GPL","DEF","JUV"}))&gt;0, "YES","NO"),"N/A")</f>
        <v>N/A</v>
      </c>
      <c r="G21" s="60" t="str">
        <f>IF(E21="YES",IF(COUNTIF('CASE DATA'!$D$4:$D$200, "")-COUNTIF('CASE DATA'!$A$4:$A$200, "")&gt;0, "YES","NO"),"N/A")</f>
        <v>N/A</v>
      </c>
      <c r="H21" s="57" t="str">
        <f>_xlfn.IFS(E21="NO", "N/A", AND('BASIC INFO'!$B$3&gt;'BASIC INFO'!$B$6+6574.5, C21+730.5&lt;'BASIC INFO'!$B$3), "YES", 'BASIC INFO'!$B$3&lt;('BASIC INFO'!$B$6+6574.5), "NOT YET 18", C21+730.5&gt;'BASIC INFO'!$B$3, "NOT YET 2 YEARS")</f>
        <v>N/A</v>
      </c>
      <c r="I21" s="61" t="str">
        <f>IF(OR(AND(LEFT('CASE DATA'!F22,4)="321.",MID('CASE DATA'!A22,8,2)="SM"),MID('CASE DATA'!A22,8,2)="ST",MID('CASE DATA'!A22,8,2)="NT"),"TRAFFIC",IF(OR('CASE DATA'!G22="DISM", 'CASE DATA'!G22="ACQ", 'CASE DATA'!G22="NOTF", 'CASE DATA'!G22="WTHD", 'CASE DATA'!G22="TNSF"), "YES", "NO"))</f>
        <v>NO</v>
      </c>
      <c r="J21" s="62" t="str">
        <f>IF(I21="YES",'CASE DATA'!T22,"N/A")</f>
        <v>N/A</v>
      </c>
      <c r="K21" s="57" t="str">
        <f>IF(I21="YES",IF(C21+180&lt;'BASIC INFO'!$B$3, "YES", "NO"),"N/A")</f>
        <v>N/A</v>
      </c>
      <c r="L21" s="62" t="str">
        <f t="array" ref="L21">IF(I21="TRAFFIC","n/a",IF(OR('CASE DATA'!G22="GTR", 'CASE DATA'!G22="GPL"),IF(SUM(COUNTIF('CASE DATA'!W22:AH22, 'CODE SECTIONS'!$V$2:$V$218&amp;"*"))&gt;0,"felony","eligible"),"n/a"))</f>
        <v>n/a</v>
      </c>
      <c r="M21" s="62" t="str">
        <f t="array" ref="M21">IF(L21="eligible",IF(OR((SUM(COUNTIF('CASE DATA'!W22:AH22,'CODE SECTIONS'!$X$2:$X$19&amp;"*"))&gt;0),LEFT('CASE DATA'!W22:AH22,4)="717C", LEFT('CASE DATA'!W22:AH22, 3)="719", LEFT('CASE DATA'!W22:AH22,3)="720", LEFT('CASE DATA'!W22:AH22,3)="724", LEFT('CASE DATA'!W22:AH22,3)="726", LEFT('CASE DATA'!W22:AH22,3)="728", LEFT('CASE DATA'!W22:AH22,4)="901A"), "ineligible misd","eligible"),"n/a")</f>
        <v>n/a</v>
      </c>
      <c r="N21" s="62" t="str">
        <f>IF(M21="eligible",IF(COUNTIF('CASE DATA'!$D$4:$D$200, "")-COUNTIF('CASE DATA'!$A$4:$A$200, "")&gt;0, "YES","NO"),"N/A")</f>
        <v>N/A</v>
      </c>
      <c r="O21" s="62" t="str">
        <f>IF(M21="eligible",BANKRUPTCY!C22+BANKRUPTCY!D22,"N/A")</f>
        <v>N/A</v>
      </c>
      <c r="P21" s="62" t="str">
        <f>IF(M21="eligible",SOL!C22+SOL!D22+SOL!E22,"N/A")</f>
        <v>N/A</v>
      </c>
      <c r="Q21" s="62" t="str">
        <f>IF(M21="eligible",SUM('CASE DATA'!J22:S22),"N/A")</f>
        <v>N/A</v>
      </c>
      <c r="R21" s="62" t="str">
        <f>IF(M21="eligible",IF(C21+2920&lt;'BASIC INFO'!$B$3, "YES", "NO"),"N/A")</f>
        <v>N/A</v>
      </c>
      <c r="S21" s="61" t="str">
        <f>IF(OR('CASE DATA'!G22="DEF"), "YES", "NO")</f>
        <v>NO</v>
      </c>
      <c r="T21" s="57" t="str">
        <f>IF(S21="YES",'CASE DATA'!I22,"N/A")</f>
        <v>N/A</v>
      </c>
      <c r="U21" s="62" t="str">
        <f>IF(S21="YES",BANKRUPTCY!C22+BANKRUPTCY!D22,"N/A")</f>
        <v>N/A</v>
      </c>
      <c r="V21" s="62" t="str">
        <f>IF(S21="YES",SUM('CASE DATA'!J22:S22),"N/A")</f>
        <v>N/A</v>
      </c>
      <c r="W21" s="57" t="str">
        <f>IF(OR('CASE DATA'!F22="123.46",'CASE DATA'!F22="123.47"),"YES","NO")</f>
        <v>NO</v>
      </c>
      <c r="X21" s="60" t="str">
        <f>IF(W21="YES",COUNTIFS(AD$3:$AD$200,"&gt;"&amp;('CASE DATA'!D22),$AD$3:$AD$200,"&lt;"&amp;('CASE DATA'!D22+730.5)),"n/a")</f>
        <v>n/a</v>
      </c>
      <c r="Y21" s="62" t="str">
        <f>IF(W21="YES",IF(C21+730.5&lt;'BASIC INFO'!$B$3, "YES","NO"), "N/A")</f>
        <v>N/A</v>
      </c>
      <c r="Z21" s="57" t="str">
        <f>IF('CASE DATA'!F22="725.1","YES","NO")</f>
        <v>NO</v>
      </c>
      <c r="AA21" s="57" t="str">
        <f>IF(Z21="YES",IF(C21+730.5&lt;'BASIC INFO'!$B$3, "YES","NO"), "N/A")</f>
        <v>N/A</v>
      </c>
      <c r="AB21" s="57" t="str">
        <f>IF('BASIC INFO'!$B$6+6574.5&gt;C21, "YES", "NO")</f>
        <v>YES</v>
      </c>
      <c r="AC21" s="57" t="str">
        <f>IF(Z21="YES",COUNTIFS(AD$3:$AD$200,"&gt;"&amp;('CASE DATA'!D22),$AD$3:$AD$200,"&lt;"&amp;('CASE DATA'!D22+730.5)),"n/a")</f>
        <v>n/a</v>
      </c>
    </row>
    <row r="22" spans="1:29" x14ac:dyDescent="0.25">
      <c r="A22" s="57" t="str">
        <f>IF('CASE DATA'!A23="","z",'CASE DATA'!A23)</f>
        <v>z</v>
      </c>
      <c r="B22" s="57" t="str">
        <f>IF('CASE DATA'!A23="","",'CASE DATA'!E23)</f>
        <v/>
      </c>
      <c r="C22" s="58">
        <f>'CASE DATA'!D23</f>
        <v>0</v>
      </c>
      <c r="D22" s="59" t="str">
        <f>IF('CASE DATA'!I23="YES",SUM('CASE DATA'!J23:P23),"n/a")</f>
        <v>n/a</v>
      </c>
      <c r="E22" s="60" t="str">
        <f>IF(OR('CASE DATA'!G23="JUV", 'CASE DATA'!G23="JWV"), "YES", "NO")</f>
        <v>NO</v>
      </c>
      <c r="F22" s="60" t="str">
        <f t="array" ref="F22">IF(E22="YES",IF(SUM(COUNTIF('CASE DATA'!$G$4:$G$200, {"GTR","GPL","DEF","JUV"}))&gt;0, "YES","NO"),"N/A")</f>
        <v>N/A</v>
      </c>
      <c r="G22" s="60" t="str">
        <f>IF(E22="YES",IF(COUNTIF('CASE DATA'!$D$4:$D$200, "")-COUNTIF('CASE DATA'!$A$4:$A$200, "")&gt;0, "YES","NO"),"N/A")</f>
        <v>N/A</v>
      </c>
      <c r="H22" s="57" t="str">
        <f>_xlfn.IFS(E22="NO", "N/A", AND('BASIC INFO'!$B$3&gt;'BASIC INFO'!$B$6+6574.5, C22+730.5&lt;'BASIC INFO'!$B$3), "YES", 'BASIC INFO'!$B$3&lt;('BASIC INFO'!$B$6+6574.5), "NOT YET 18", C22+730.5&gt;'BASIC INFO'!$B$3, "NOT YET 2 YEARS")</f>
        <v>N/A</v>
      </c>
      <c r="I22" s="61" t="str">
        <f>IF(OR(AND(LEFT('CASE DATA'!F23,4)="321.",MID('CASE DATA'!A23,8,2)="SM"),MID('CASE DATA'!A23,8,2)="ST",MID('CASE DATA'!A23,8,2)="NT"),"TRAFFIC",IF(OR('CASE DATA'!G23="DISM", 'CASE DATA'!G23="ACQ", 'CASE DATA'!G23="NOTF", 'CASE DATA'!G23="WTHD", 'CASE DATA'!G23="TNSF"), "YES", "NO"))</f>
        <v>NO</v>
      </c>
      <c r="J22" s="62" t="str">
        <f>IF(I22="YES",'CASE DATA'!T23,"N/A")</f>
        <v>N/A</v>
      </c>
      <c r="K22" s="57" t="str">
        <f>IF(I22="YES",IF(C22+180&lt;'BASIC INFO'!$B$3, "YES", "NO"),"N/A")</f>
        <v>N/A</v>
      </c>
      <c r="L22" s="62" t="str">
        <f t="array" ref="L22">IF(I22="TRAFFIC","n/a",IF(OR('CASE DATA'!G23="GTR", 'CASE DATA'!G23="GPL"),IF(SUM(COUNTIF('CASE DATA'!W23:AH23, 'CODE SECTIONS'!$V$2:$V$218&amp;"*"))&gt;0,"felony","eligible"),"n/a"))</f>
        <v>n/a</v>
      </c>
      <c r="M22" s="62" t="str">
        <f t="array" ref="M22">IF(L22="eligible",IF(OR((SUM(COUNTIF('CASE DATA'!W23:AH23,'CODE SECTIONS'!$X$2:$X$19&amp;"*"))&gt;0),LEFT('CASE DATA'!W23:AH23,4)="717C", LEFT('CASE DATA'!W23:AH23, 3)="719", LEFT('CASE DATA'!W23:AH23,3)="720", LEFT('CASE DATA'!W23:AH23,3)="724", LEFT('CASE DATA'!W23:AH23,3)="726", LEFT('CASE DATA'!W23:AH23,3)="728", LEFT('CASE DATA'!W23:AH23,4)="901A"), "ineligible misd","eligible"),"n/a")</f>
        <v>n/a</v>
      </c>
      <c r="N22" s="62" t="str">
        <f>IF(M22="eligible",IF(COUNTIF('CASE DATA'!$D$4:$D$200, "")-COUNTIF('CASE DATA'!$A$4:$A$200, "")&gt;0, "YES","NO"),"N/A")</f>
        <v>N/A</v>
      </c>
      <c r="O22" s="62" t="str">
        <f>IF(M22="eligible",BANKRUPTCY!C23+BANKRUPTCY!D23,"N/A")</f>
        <v>N/A</v>
      </c>
      <c r="P22" s="62" t="str">
        <f>IF(M22="eligible",SOL!C23+SOL!D23+SOL!E23,"N/A")</f>
        <v>N/A</v>
      </c>
      <c r="Q22" s="62" t="str">
        <f>IF(M22="eligible",SUM('CASE DATA'!J23:S23),"N/A")</f>
        <v>N/A</v>
      </c>
      <c r="R22" s="62" t="str">
        <f>IF(M22="eligible",IF(C22+2920&lt;'BASIC INFO'!$B$3, "YES", "NO"),"N/A")</f>
        <v>N/A</v>
      </c>
      <c r="S22" s="61" t="str">
        <f>IF(OR('CASE DATA'!G23="DEF"), "YES", "NO")</f>
        <v>NO</v>
      </c>
      <c r="T22" s="57" t="str">
        <f>IF(S22="YES",'CASE DATA'!I23,"N/A")</f>
        <v>N/A</v>
      </c>
      <c r="U22" s="62" t="str">
        <f>IF(S22="YES",BANKRUPTCY!C23+BANKRUPTCY!D23,"N/A")</f>
        <v>N/A</v>
      </c>
      <c r="V22" s="62" t="str">
        <f>IF(S22="YES",SUM('CASE DATA'!J23:S23),"N/A")</f>
        <v>N/A</v>
      </c>
      <c r="W22" s="57" t="str">
        <f>IF(OR('CASE DATA'!F23="123.46",'CASE DATA'!F23="123.47"),"YES","NO")</f>
        <v>NO</v>
      </c>
      <c r="X22" s="60" t="str">
        <f>IF(W22="YES",COUNTIFS(AD$3:$AD$200,"&gt;"&amp;('CASE DATA'!D23),$AD$3:$AD$200,"&lt;"&amp;('CASE DATA'!D23+730.5)),"n/a")</f>
        <v>n/a</v>
      </c>
      <c r="Y22" s="62" t="str">
        <f>IF(W22="YES",IF(C22+730.5&lt;'BASIC INFO'!$B$3, "YES","NO"), "N/A")</f>
        <v>N/A</v>
      </c>
      <c r="Z22" s="57" t="str">
        <f>IF('CASE DATA'!F23="725.1","YES","NO")</f>
        <v>NO</v>
      </c>
      <c r="AA22" s="57" t="str">
        <f>IF(Z22="YES",IF(C22+730.5&lt;'BASIC INFO'!$B$3, "YES","NO"), "N/A")</f>
        <v>N/A</v>
      </c>
      <c r="AB22" s="57" t="str">
        <f>IF('BASIC INFO'!$B$6+6574.5&gt;C22, "YES", "NO")</f>
        <v>YES</v>
      </c>
      <c r="AC22" s="57" t="str">
        <f>IF(Z22="YES",COUNTIFS(AD$3:$AD$200,"&gt;"&amp;('CASE DATA'!D23),$AD$3:$AD$200,"&lt;"&amp;('CASE DATA'!D23+730.5)),"n/a")</f>
        <v>n/a</v>
      </c>
    </row>
    <row r="23" spans="1:29" x14ac:dyDescent="0.25">
      <c r="A23" s="57" t="str">
        <f>IF('CASE DATA'!A24="","z",'CASE DATA'!A24)</f>
        <v>z</v>
      </c>
      <c r="B23" s="57" t="str">
        <f>IF('CASE DATA'!A24="","",'CASE DATA'!E24)</f>
        <v/>
      </c>
      <c r="C23" s="58">
        <f>'CASE DATA'!D24</f>
        <v>0</v>
      </c>
      <c r="D23" s="59" t="str">
        <f>IF('CASE DATA'!I24="YES",SUM('CASE DATA'!J24:P24),"n/a")</f>
        <v>n/a</v>
      </c>
      <c r="E23" s="60" t="str">
        <f>IF(OR('CASE DATA'!G24="JUV", 'CASE DATA'!G24="JWV"), "YES", "NO")</f>
        <v>NO</v>
      </c>
      <c r="F23" s="60" t="str">
        <f t="array" ref="F23">IF(E23="YES",IF(SUM(COUNTIF('CASE DATA'!$G$4:$G$200, {"GTR","GPL","DEF","JUV"}))&gt;0, "YES","NO"),"N/A")</f>
        <v>N/A</v>
      </c>
      <c r="G23" s="60" t="str">
        <f>IF(E23="YES",IF(COUNTIF('CASE DATA'!$D$4:$D$200, "")-COUNTIF('CASE DATA'!$A$4:$A$200, "")&gt;0, "YES","NO"),"N/A")</f>
        <v>N/A</v>
      </c>
      <c r="H23" s="57" t="str">
        <f>_xlfn.IFS(E23="NO", "N/A", AND('BASIC INFO'!$B$3&gt;'BASIC INFO'!$B$6+6574.5, C23+730.5&lt;'BASIC INFO'!$B$3), "YES", 'BASIC INFO'!$B$3&lt;('BASIC INFO'!$B$6+6574.5), "NOT YET 18", C23+730.5&gt;'BASIC INFO'!$B$3, "NOT YET 2 YEARS")</f>
        <v>N/A</v>
      </c>
      <c r="I23" s="61" t="str">
        <f>IF(OR(AND(LEFT('CASE DATA'!F24,4)="321.",MID('CASE DATA'!A24,8,2)="SM"),MID('CASE DATA'!A24,8,2)="ST",MID('CASE DATA'!A24,8,2)="NT"),"TRAFFIC",IF(OR('CASE DATA'!G24="DISM", 'CASE DATA'!G24="ACQ", 'CASE DATA'!G24="NOTF", 'CASE DATA'!G24="WTHD", 'CASE DATA'!G24="TNSF"), "YES", "NO"))</f>
        <v>NO</v>
      </c>
      <c r="J23" s="62" t="str">
        <f>IF(I23="YES",'CASE DATA'!T24,"N/A")</f>
        <v>N/A</v>
      </c>
      <c r="K23" s="57" t="str">
        <f>IF(I23="YES",IF(C23+180&lt;'BASIC INFO'!$B$3, "YES", "NO"),"N/A")</f>
        <v>N/A</v>
      </c>
      <c r="L23" s="62" t="str">
        <f t="array" ref="L23">IF(I23="TRAFFIC","n/a",IF(OR('CASE DATA'!G24="GTR", 'CASE DATA'!G24="GPL"),IF(SUM(COUNTIF('CASE DATA'!W24:AH24, 'CODE SECTIONS'!$V$2:$V$218&amp;"*"))&gt;0,"felony","eligible"),"n/a"))</f>
        <v>n/a</v>
      </c>
      <c r="M23" s="62" t="str">
        <f t="array" ref="M23">IF(L23="eligible",IF(OR((SUM(COUNTIF('CASE DATA'!W24:AH24,'CODE SECTIONS'!$X$2:$X$19&amp;"*"))&gt;0),LEFT('CASE DATA'!W24:AH24,4)="717C", LEFT('CASE DATA'!W24:AH24, 3)="719", LEFT('CASE DATA'!W24:AH24,3)="720", LEFT('CASE DATA'!W24:AH24,3)="724", LEFT('CASE DATA'!W24:AH24,3)="726", LEFT('CASE DATA'!W24:AH24,3)="728", LEFT('CASE DATA'!W24:AH24,4)="901A"), "ineligible misd","eligible"),"n/a")</f>
        <v>n/a</v>
      </c>
      <c r="N23" s="62" t="str">
        <f>IF(M23="eligible",IF(COUNTIF('CASE DATA'!$D$4:$D$200, "")-COUNTIF('CASE DATA'!$A$4:$A$200, "")&gt;0, "YES","NO"),"N/A")</f>
        <v>N/A</v>
      </c>
      <c r="O23" s="62" t="str">
        <f>IF(M23="eligible",BANKRUPTCY!C24+BANKRUPTCY!D24,"N/A")</f>
        <v>N/A</v>
      </c>
      <c r="P23" s="62" t="str">
        <f>IF(M23="eligible",SOL!C24+SOL!D24+SOL!E24,"N/A")</f>
        <v>N/A</v>
      </c>
      <c r="Q23" s="62" t="str">
        <f>IF(M23="eligible",SUM('CASE DATA'!J24:S24),"N/A")</f>
        <v>N/A</v>
      </c>
      <c r="R23" s="62" t="str">
        <f>IF(M23="eligible",IF(C23+2920&lt;'BASIC INFO'!$B$3, "YES", "NO"),"N/A")</f>
        <v>N/A</v>
      </c>
      <c r="S23" s="61" t="str">
        <f>IF(OR('CASE DATA'!G24="DEF"), "YES", "NO")</f>
        <v>NO</v>
      </c>
      <c r="T23" s="57" t="str">
        <f>IF(S23="YES",'CASE DATA'!I24,"N/A")</f>
        <v>N/A</v>
      </c>
      <c r="U23" s="62" t="str">
        <f>IF(S23="YES",BANKRUPTCY!C24+BANKRUPTCY!D24,"N/A")</f>
        <v>N/A</v>
      </c>
      <c r="V23" s="62" t="str">
        <f>IF(S23="YES",SUM('CASE DATA'!J24:S24),"N/A")</f>
        <v>N/A</v>
      </c>
      <c r="W23" s="57" t="str">
        <f>IF(OR('CASE DATA'!F24="123.46",'CASE DATA'!F24="123.47"),"YES","NO")</f>
        <v>NO</v>
      </c>
      <c r="X23" s="60" t="str">
        <f>IF(W23="YES",COUNTIFS(AD$3:$AD$200,"&gt;"&amp;('CASE DATA'!D24),$AD$3:$AD$200,"&lt;"&amp;('CASE DATA'!D24+730.5)),"n/a")</f>
        <v>n/a</v>
      </c>
      <c r="Y23" s="62" t="str">
        <f>IF(W23="YES",IF(C23+730.5&lt;'BASIC INFO'!$B$3, "YES","NO"), "N/A")</f>
        <v>N/A</v>
      </c>
      <c r="Z23" s="57" t="str">
        <f>IF('CASE DATA'!F24="725.1","YES","NO")</f>
        <v>NO</v>
      </c>
      <c r="AA23" s="57" t="str">
        <f>IF(Z23="YES",IF(C23+730.5&lt;'BASIC INFO'!$B$3, "YES","NO"), "N/A")</f>
        <v>N/A</v>
      </c>
      <c r="AB23" s="57" t="str">
        <f>IF('BASIC INFO'!$B$6+6574.5&gt;C23, "YES", "NO")</f>
        <v>YES</v>
      </c>
      <c r="AC23" s="57" t="str">
        <f>IF(Z23="YES",COUNTIFS(AD$3:$AD$200,"&gt;"&amp;('CASE DATA'!D24),$AD$3:$AD$200,"&lt;"&amp;('CASE DATA'!D24+730.5)),"n/a")</f>
        <v>n/a</v>
      </c>
    </row>
    <row r="24" spans="1:29" x14ac:dyDescent="0.25">
      <c r="A24" s="57" t="str">
        <f>IF('CASE DATA'!A25="","z",'CASE DATA'!A25)</f>
        <v>z</v>
      </c>
      <c r="B24" s="57" t="str">
        <f>IF('CASE DATA'!A25="","",'CASE DATA'!E25)</f>
        <v/>
      </c>
      <c r="C24" s="58">
        <f>'CASE DATA'!D25</f>
        <v>0</v>
      </c>
      <c r="D24" s="59" t="str">
        <f>IF('CASE DATA'!I25="YES",SUM('CASE DATA'!J25:P25),"n/a")</f>
        <v>n/a</v>
      </c>
      <c r="E24" s="60" t="str">
        <f>IF(OR('CASE DATA'!G25="JUV", 'CASE DATA'!G25="JWV"), "YES", "NO")</f>
        <v>NO</v>
      </c>
      <c r="F24" s="60" t="str">
        <f t="array" ref="F24">IF(E24="YES",IF(SUM(COUNTIF('CASE DATA'!$G$4:$G$200, {"GTR","GPL","DEF","JUV"}))&gt;0, "YES","NO"),"N/A")</f>
        <v>N/A</v>
      </c>
      <c r="G24" s="60" t="str">
        <f>IF(E24="YES",IF(COUNTIF('CASE DATA'!$D$4:$D$200, "")-COUNTIF('CASE DATA'!$A$4:$A$200, "")&gt;0, "YES","NO"),"N/A")</f>
        <v>N/A</v>
      </c>
      <c r="H24" s="57" t="str">
        <f>_xlfn.IFS(E24="NO", "N/A", AND('BASIC INFO'!$B$3&gt;'BASIC INFO'!$B$6+6574.5, C24+730.5&lt;'BASIC INFO'!$B$3), "YES", 'BASIC INFO'!$B$3&lt;('BASIC INFO'!$B$6+6574.5), "NOT YET 18", C24+730.5&gt;'BASIC INFO'!$B$3, "NOT YET 2 YEARS")</f>
        <v>N/A</v>
      </c>
      <c r="I24" s="61" t="str">
        <f>IF(OR(AND(LEFT('CASE DATA'!F25,4)="321.",MID('CASE DATA'!A25,8,2)="SM"),MID('CASE DATA'!A25,8,2)="ST",MID('CASE DATA'!A25,8,2)="NT"),"TRAFFIC",IF(OR('CASE DATA'!G25="DISM", 'CASE DATA'!G25="ACQ", 'CASE DATA'!G25="NOTF", 'CASE DATA'!G25="WTHD", 'CASE DATA'!G25="TNSF"), "YES", "NO"))</f>
        <v>NO</v>
      </c>
      <c r="J24" s="62" t="str">
        <f>IF(I24="YES",'CASE DATA'!T25,"N/A")</f>
        <v>N/A</v>
      </c>
      <c r="K24" s="57" t="str">
        <f>IF(I24="YES",IF(C24+180&lt;'BASIC INFO'!$B$3, "YES", "NO"),"N/A")</f>
        <v>N/A</v>
      </c>
      <c r="L24" s="62" t="str">
        <f t="array" ref="L24">IF(I24="TRAFFIC","n/a",IF(OR('CASE DATA'!G25="GTR", 'CASE DATA'!G25="GPL"),IF(SUM(COUNTIF('CASE DATA'!W25:AH25, 'CODE SECTIONS'!$V$2:$V$218&amp;"*"))&gt;0,"felony","eligible"),"n/a"))</f>
        <v>n/a</v>
      </c>
      <c r="M24" s="62" t="str">
        <f t="array" ref="M24">IF(L24="eligible",IF(OR((SUM(COUNTIF('CASE DATA'!W25:AH25,'CODE SECTIONS'!$X$2:$X$19&amp;"*"))&gt;0),LEFT('CASE DATA'!W25:AH25,4)="717C", LEFT('CASE DATA'!W25:AH25, 3)="719", LEFT('CASE DATA'!W25:AH25,3)="720", LEFT('CASE DATA'!W25:AH25,3)="724", LEFT('CASE DATA'!W25:AH25,3)="726", LEFT('CASE DATA'!W25:AH25,3)="728", LEFT('CASE DATA'!W25:AH25,4)="901A"), "ineligible misd","eligible"),"n/a")</f>
        <v>n/a</v>
      </c>
      <c r="N24" s="62" t="str">
        <f>IF(M24="eligible",IF(COUNTIF('CASE DATA'!$D$4:$D$200, "")-COUNTIF('CASE DATA'!$A$4:$A$200, "")&gt;0, "YES","NO"),"N/A")</f>
        <v>N/A</v>
      </c>
      <c r="O24" s="62" t="str">
        <f>IF(M24="eligible",BANKRUPTCY!C25+BANKRUPTCY!D25,"N/A")</f>
        <v>N/A</v>
      </c>
      <c r="P24" s="62" t="str">
        <f>IF(M24="eligible",SOL!C25+SOL!D25+SOL!E25,"N/A")</f>
        <v>N/A</v>
      </c>
      <c r="Q24" s="62" t="str">
        <f>IF(M24="eligible",SUM('CASE DATA'!J25:S25),"N/A")</f>
        <v>N/A</v>
      </c>
      <c r="R24" s="62" t="str">
        <f>IF(M24="eligible",IF(C24+2920&lt;'BASIC INFO'!$B$3, "YES", "NO"),"N/A")</f>
        <v>N/A</v>
      </c>
      <c r="S24" s="61" t="str">
        <f>IF(OR('CASE DATA'!G25="DEF"), "YES", "NO")</f>
        <v>NO</v>
      </c>
      <c r="T24" s="57" t="str">
        <f>IF(S24="YES",'CASE DATA'!I25,"N/A")</f>
        <v>N/A</v>
      </c>
      <c r="U24" s="62" t="str">
        <f>IF(S24="YES",BANKRUPTCY!C25+BANKRUPTCY!D25,"N/A")</f>
        <v>N/A</v>
      </c>
      <c r="V24" s="62" t="str">
        <f>IF(S24="YES",SUM('CASE DATA'!J25:S25),"N/A")</f>
        <v>N/A</v>
      </c>
      <c r="W24" s="57" t="str">
        <f>IF(OR('CASE DATA'!F25="123.46",'CASE DATA'!F25="123.47"),"YES","NO")</f>
        <v>NO</v>
      </c>
      <c r="X24" s="60" t="str">
        <f>IF(W24="YES",COUNTIFS(AD$3:$AD$200,"&gt;"&amp;('CASE DATA'!D25),$AD$3:$AD$200,"&lt;"&amp;('CASE DATA'!D25+730.5)),"n/a")</f>
        <v>n/a</v>
      </c>
      <c r="Y24" s="62" t="str">
        <f>IF(W24="YES",IF(C24+730.5&lt;'BASIC INFO'!$B$3, "YES","NO"), "N/A")</f>
        <v>N/A</v>
      </c>
      <c r="Z24" s="57" t="str">
        <f>IF('CASE DATA'!F25="725.1","YES","NO")</f>
        <v>NO</v>
      </c>
      <c r="AA24" s="57" t="str">
        <f>IF(Z24="YES",IF(C24+730.5&lt;'BASIC INFO'!$B$3, "YES","NO"), "N/A")</f>
        <v>N/A</v>
      </c>
      <c r="AB24" s="57" t="str">
        <f>IF('BASIC INFO'!$B$6+6574.5&gt;C24, "YES", "NO")</f>
        <v>YES</v>
      </c>
      <c r="AC24" s="57" t="str">
        <f>IF(Z24="YES",COUNTIFS(AD$3:$AD$200,"&gt;"&amp;('CASE DATA'!D25),$AD$3:$AD$200,"&lt;"&amp;('CASE DATA'!D25+730.5)),"n/a")</f>
        <v>n/a</v>
      </c>
    </row>
    <row r="25" spans="1:29" x14ac:dyDescent="0.25">
      <c r="A25" s="57" t="str">
        <f>IF('CASE DATA'!A26="","z",'CASE DATA'!A26)</f>
        <v>z</v>
      </c>
      <c r="B25" s="57" t="str">
        <f>IF('CASE DATA'!A26="","",'CASE DATA'!E26)</f>
        <v/>
      </c>
      <c r="C25" s="58">
        <f>'CASE DATA'!D26</f>
        <v>0</v>
      </c>
      <c r="D25" s="59" t="str">
        <f>IF('CASE DATA'!I26="YES",SUM('CASE DATA'!J26:P26),"n/a")</f>
        <v>n/a</v>
      </c>
      <c r="E25" s="60" t="str">
        <f>IF(OR('CASE DATA'!G26="JUV", 'CASE DATA'!G26="JWV"), "YES", "NO")</f>
        <v>NO</v>
      </c>
      <c r="F25" s="60" t="str">
        <f t="array" ref="F25">IF(E25="YES",IF(SUM(COUNTIF('CASE DATA'!$G$4:$G$200, {"GTR","GPL","DEF","JUV"}))&gt;0, "YES","NO"),"N/A")</f>
        <v>N/A</v>
      </c>
      <c r="G25" s="60" t="str">
        <f>IF(E25="YES",IF(COUNTIF('CASE DATA'!$D$4:$D$200, "")-COUNTIF('CASE DATA'!$A$4:$A$200, "")&gt;0, "YES","NO"),"N/A")</f>
        <v>N/A</v>
      </c>
      <c r="H25" s="57" t="str">
        <f>_xlfn.IFS(E25="NO", "N/A", AND('BASIC INFO'!$B$3&gt;'BASIC INFO'!$B$6+6574.5, C25+730.5&lt;'BASIC INFO'!$B$3), "YES", 'BASIC INFO'!$B$3&lt;('BASIC INFO'!$B$6+6574.5), "NOT YET 18", C25+730.5&gt;'BASIC INFO'!$B$3, "NOT YET 2 YEARS")</f>
        <v>N/A</v>
      </c>
      <c r="I25" s="61" t="str">
        <f>IF(OR(AND(LEFT('CASE DATA'!F26,4)="321.",MID('CASE DATA'!A26,8,2)="SM"),MID('CASE DATA'!A26,8,2)="ST",MID('CASE DATA'!A26,8,2)="NT"),"TRAFFIC",IF(OR('CASE DATA'!G26="DISM", 'CASE DATA'!G26="ACQ", 'CASE DATA'!G26="NOTF", 'CASE DATA'!G26="WTHD", 'CASE DATA'!G26="TNSF"), "YES", "NO"))</f>
        <v>NO</v>
      </c>
      <c r="J25" s="62" t="str">
        <f>IF(I25="YES",'CASE DATA'!T26,"N/A")</f>
        <v>N/A</v>
      </c>
      <c r="K25" s="57" t="str">
        <f>IF(I25="YES",IF(C25+180&lt;'BASIC INFO'!$B$3, "YES", "NO"),"N/A")</f>
        <v>N/A</v>
      </c>
      <c r="L25" s="62" t="str">
        <f t="array" ref="L25">IF(I25="TRAFFIC","n/a",IF(OR('CASE DATA'!G26="GTR", 'CASE DATA'!G26="GPL"),IF(SUM(COUNTIF('CASE DATA'!W26:AH26, 'CODE SECTIONS'!$V$2:$V$218&amp;"*"))&gt;0,"felony","eligible"),"n/a"))</f>
        <v>n/a</v>
      </c>
      <c r="M25" s="62" t="str">
        <f t="array" ref="M25">IF(L25="eligible",IF(OR((SUM(COUNTIF('CASE DATA'!W26:AH26,'CODE SECTIONS'!$X$2:$X$19&amp;"*"))&gt;0),LEFT('CASE DATA'!W26:AH26,4)="717C", LEFT('CASE DATA'!W26:AH26, 3)="719", LEFT('CASE DATA'!W26:AH26,3)="720", LEFT('CASE DATA'!W26:AH26,3)="724", LEFT('CASE DATA'!W26:AH26,3)="726", LEFT('CASE DATA'!W26:AH26,3)="728", LEFT('CASE DATA'!W26:AH26,4)="901A"), "ineligible misd","eligible"),"n/a")</f>
        <v>n/a</v>
      </c>
      <c r="N25" s="62" t="str">
        <f>IF(M25="eligible",IF(COUNTIF('CASE DATA'!$D$4:$D$200, "")-COUNTIF('CASE DATA'!$A$4:$A$200, "")&gt;0, "YES","NO"),"N/A")</f>
        <v>N/A</v>
      </c>
      <c r="O25" s="62" t="str">
        <f>IF(M25="eligible",BANKRUPTCY!C26+BANKRUPTCY!D26,"N/A")</f>
        <v>N/A</v>
      </c>
      <c r="P25" s="62" t="str">
        <f>IF(M25="eligible",SOL!C26+SOL!D26+SOL!E26,"N/A")</f>
        <v>N/A</v>
      </c>
      <c r="Q25" s="62" t="str">
        <f>IF(M25="eligible",SUM('CASE DATA'!J26:S26),"N/A")</f>
        <v>N/A</v>
      </c>
      <c r="R25" s="62" t="str">
        <f>IF(M25="eligible",IF(C25+2920&lt;'BASIC INFO'!$B$3, "YES", "NO"),"N/A")</f>
        <v>N/A</v>
      </c>
      <c r="S25" s="61" t="str">
        <f>IF(OR('CASE DATA'!G26="DEF"), "YES", "NO")</f>
        <v>NO</v>
      </c>
      <c r="T25" s="57" t="str">
        <f>IF(S25="YES",'CASE DATA'!I26,"N/A")</f>
        <v>N/A</v>
      </c>
      <c r="U25" s="62" t="str">
        <f>IF(S25="YES",BANKRUPTCY!C26+BANKRUPTCY!D26,"N/A")</f>
        <v>N/A</v>
      </c>
      <c r="V25" s="62" t="str">
        <f>IF(S25="YES",SUM('CASE DATA'!J26:S26),"N/A")</f>
        <v>N/A</v>
      </c>
      <c r="W25" s="57" t="str">
        <f>IF(OR('CASE DATA'!F26="123.46",'CASE DATA'!F26="123.47"),"YES","NO")</f>
        <v>NO</v>
      </c>
      <c r="X25" s="60" t="str">
        <f>IF(W25="YES",COUNTIFS(AD$3:$AD$200,"&gt;"&amp;('CASE DATA'!D26),$AD$3:$AD$200,"&lt;"&amp;('CASE DATA'!D26+730.5)),"n/a")</f>
        <v>n/a</v>
      </c>
      <c r="Y25" s="62" t="str">
        <f>IF(W25="YES",IF(C25+730.5&lt;'BASIC INFO'!$B$3, "YES","NO"), "N/A")</f>
        <v>N/A</v>
      </c>
      <c r="Z25" s="57" t="str">
        <f>IF('CASE DATA'!F26="725.1","YES","NO")</f>
        <v>NO</v>
      </c>
      <c r="AA25" s="57" t="str">
        <f>IF(Z25="YES",IF(C25+730.5&lt;'BASIC INFO'!$B$3, "YES","NO"), "N/A")</f>
        <v>N/A</v>
      </c>
      <c r="AB25" s="57" t="str">
        <f>IF('BASIC INFO'!$B$6+6574.5&gt;C25, "YES", "NO")</f>
        <v>YES</v>
      </c>
      <c r="AC25" s="57" t="str">
        <f>IF(Z25="YES",COUNTIFS(AD$3:$AD$200,"&gt;"&amp;('CASE DATA'!D26),$AD$3:$AD$200,"&lt;"&amp;('CASE DATA'!D26+730.5)),"n/a")</f>
        <v>n/a</v>
      </c>
    </row>
    <row r="26" spans="1:29" x14ac:dyDescent="0.25">
      <c r="A26" s="57" t="str">
        <f>IF('CASE DATA'!A27="","z",'CASE DATA'!A27)</f>
        <v>z</v>
      </c>
      <c r="B26" s="57" t="str">
        <f>IF('CASE DATA'!A27="","",'CASE DATA'!E27)</f>
        <v/>
      </c>
      <c r="C26" s="58">
        <f>'CASE DATA'!D27</f>
        <v>0</v>
      </c>
      <c r="D26" s="59" t="str">
        <f>IF('CASE DATA'!I27="YES",SUM('CASE DATA'!J27:P27),"n/a")</f>
        <v>n/a</v>
      </c>
      <c r="E26" s="60" t="str">
        <f>IF(OR('CASE DATA'!G27="JUV", 'CASE DATA'!G27="JWV"), "YES", "NO")</f>
        <v>NO</v>
      </c>
      <c r="F26" s="60" t="str">
        <f t="array" ref="F26">IF(E26="YES",IF(SUM(COUNTIF('CASE DATA'!$G$4:$G$200, {"GTR","GPL","DEF","JUV"}))&gt;0, "YES","NO"),"N/A")</f>
        <v>N/A</v>
      </c>
      <c r="G26" s="60" t="str">
        <f>IF(E26="YES",IF(COUNTIF('CASE DATA'!$D$4:$D$200, "")-COUNTIF('CASE DATA'!$A$4:$A$200, "")&gt;0, "YES","NO"),"N/A")</f>
        <v>N/A</v>
      </c>
      <c r="H26" s="57" t="str">
        <f>_xlfn.IFS(E26="NO", "N/A", AND('BASIC INFO'!$B$3&gt;'BASIC INFO'!$B$6+6574.5, C26+730.5&lt;'BASIC INFO'!$B$3), "YES", 'BASIC INFO'!$B$3&lt;('BASIC INFO'!$B$6+6574.5), "NOT YET 18", C26+730.5&gt;'BASIC INFO'!$B$3, "NOT YET 2 YEARS")</f>
        <v>N/A</v>
      </c>
      <c r="I26" s="61" t="str">
        <f>IF(OR(AND(LEFT('CASE DATA'!F27,4)="321.",MID('CASE DATA'!A27,8,2)="SM"),MID('CASE DATA'!A27,8,2)="ST",MID('CASE DATA'!A27,8,2)="NT"),"TRAFFIC",IF(OR('CASE DATA'!G27="DISM", 'CASE DATA'!G27="ACQ", 'CASE DATA'!G27="NOTF", 'CASE DATA'!G27="WTHD", 'CASE DATA'!G27="TNSF"), "YES", "NO"))</f>
        <v>NO</v>
      </c>
      <c r="J26" s="62" t="str">
        <f>IF(I26="YES",'CASE DATA'!T27,"N/A")</f>
        <v>N/A</v>
      </c>
      <c r="K26" s="57" t="str">
        <f>IF(I26="YES",IF(C26+180&lt;'BASIC INFO'!$B$3, "YES", "NO"),"N/A")</f>
        <v>N/A</v>
      </c>
      <c r="L26" s="62" t="str">
        <f t="array" ref="L26">IF(I26="TRAFFIC","n/a",IF(OR('CASE DATA'!G27="GTR", 'CASE DATA'!G27="GPL"),IF(SUM(COUNTIF('CASE DATA'!W27:AH27, 'CODE SECTIONS'!$V$2:$V$218&amp;"*"))&gt;0,"felony","eligible"),"n/a"))</f>
        <v>n/a</v>
      </c>
      <c r="M26" s="62" t="str">
        <f t="array" ref="M26">IF(L26="eligible",IF(OR((SUM(COUNTIF('CASE DATA'!W27:AH27,'CODE SECTIONS'!$X$2:$X$19&amp;"*"))&gt;0),LEFT('CASE DATA'!W27:AH27,4)="717C", LEFT('CASE DATA'!W27:AH27, 3)="719", LEFT('CASE DATA'!W27:AH27,3)="720", LEFT('CASE DATA'!W27:AH27,3)="724", LEFT('CASE DATA'!W27:AH27,3)="726", LEFT('CASE DATA'!W27:AH27,3)="728", LEFT('CASE DATA'!W27:AH27,4)="901A"), "ineligible misd","eligible"),"n/a")</f>
        <v>n/a</v>
      </c>
      <c r="N26" s="62" t="str">
        <f>IF(M26="eligible",IF(COUNTIF('CASE DATA'!$D$4:$D$200, "")-COUNTIF('CASE DATA'!$A$4:$A$200, "")&gt;0, "YES","NO"),"N/A")</f>
        <v>N/A</v>
      </c>
      <c r="O26" s="62" t="str">
        <f>IF(M26="eligible",BANKRUPTCY!C27+BANKRUPTCY!D27,"N/A")</f>
        <v>N/A</v>
      </c>
      <c r="P26" s="62" t="str">
        <f>IF(M26="eligible",SOL!C27+SOL!D27+SOL!E27,"N/A")</f>
        <v>N/A</v>
      </c>
      <c r="Q26" s="62" t="str">
        <f>IF(M26="eligible",SUM('CASE DATA'!J27:S27),"N/A")</f>
        <v>N/A</v>
      </c>
      <c r="R26" s="62" t="str">
        <f>IF(M26="eligible",IF(C26+2920&lt;'BASIC INFO'!$B$3, "YES", "NO"),"N/A")</f>
        <v>N/A</v>
      </c>
      <c r="S26" s="61" t="str">
        <f>IF(OR('CASE DATA'!G27="DEF"), "YES", "NO")</f>
        <v>NO</v>
      </c>
      <c r="T26" s="57" t="str">
        <f>IF(S26="YES",'CASE DATA'!I27,"N/A")</f>
        <v>N/A</v>
      </c>
      <c r="U26" s="62" t="str">
        <f>IF(S26="YES",BANKRUPTCY!C27+BANKRUPTCY!D27,"N/A")</f>
        <v>N/A</v>
      </c>
      <c r="V26" s="62" t="str">
        <f>IF(S26="YES",SUM('CASE DATA'!J27:S27),"N/A")</f>
        <v>N/A</v>
      </c>
      <c r="W26" s="57" t="str">
        <f>IF(OR('CASE DATA'!F27="123.46",'CASE DATA'!F27="123.47"),"YES","NO")</f>
        <v>NO</v>
      </c>
      <c r="X26" s="60" t="str">
        <f>IF(W26="YES",COUNTIFS(AD$3:$AD$200,"&gt;"&amp;('CASE DATA'!D27),$AD$3:$AD$200,"&lt;"&amp;('CASE DATA'!D27+730.5)),"n/a")</f>
        <v>n/a</v>
      </c>
      <c r="Y26" s="62" t="str">
        <f>IF(W26="YES",IF(C26+730.5&lt;'BASIC INFO'!$B$3, "YES","NO"), "N/A")</f>
        <v>N/A</v>
      </c>
      <c r="Z26" s="57" t="str">
        <f>IF('CASE DATA'!F27="725.1","YES","NO")</f>
        <v>NO</v>
      </c>
      <c r="AA26" s="57" t="str">
        <f>IF(Z26="YES",IF(C26+730.5&lt;'BASIC INFO'!$B$3, "YES","NO"), "N/A")</f>
        <v>N/A</v>
      </c>
      <c r="AB26" s="57" t="str">
        <f>IF('BASIC INFO'!$B$6+6574.5&gt;C26, "YES", "NO")</f>
        <v>YES</v>
      </c>
      <c r="AC26" s="57" t="str">
        <f>IF(Z26="YES",COUNTIFS(AD$3:$AD$200,"&gt;"&amp;('CASE DATA'!D27),$AD$3:$AD$200,"&lt;"&amp;('CASE DATA'!D27+730.5)),"n/a")</f>
        <v>n/a</v>
      </c>
    </row>
    <row r="27" spans="1:29" x14ac:dyDescent="0.25">
      <c r="A27" s="57" t="str">
        <f>IF('CASE DATA'!A28="","z",'CASE DATA'!A28)</f>
        <v>z</v>
      </c>
      <c r="B27" s="57" t="str">
        <f>IF('CASE DATA'!A28="","",'CASE DATA'!E28)</f>
        <v/>
      </c>
      <c r="C27" s="58">
        <f>'CASE DATA'!D28</f>
        <v>0</v>
      </c>
      <c r="D27" s="59" t="str">
        <f>IF('CASE DATA'!I28="YES",SUM('CASE DATA'!J28:P28),"n/a")</f>
        <v>n/a</v>
      </c>
      <c r="E27" s="60" t="str">
        <f>IF(OR('CASE DATA'!G28="JUV", 'CASE DATA'!G28="JWV"), "YES", "NO")</f>
        <v>NO</v>
      </c>
      <c r="F27" s="60" t="str">
        <f t="array" ref="F27">IF(E27="YES",IF(SUM(COUNTIF('CASE DATA'!$G$4:$G$200, {"GTR","GPL","DEF","JUV"}))&gt;0, "YES","NO"),"N/A")</f>
        <v>N/A</v>
      </c>
      <c r="G27" s="60" t="str">
        <f>IF(E27="YES",IF(COUNTIF('CASE DATA'!$D$4:$D$200, "")-COUNTIF('CASE DATA'!$A$4:$A$200, "")&gt;0, "YES","NO"),"N/A")</f>
        <v>N/A</v>
      </c>
      <c r="H27" s="57" t="str">
        <f>_xlfn.IFS(E27="NO", "N/A", AND('BASIC INFO'!$B$3&gt;'BASIC INFO'!$B$6+6574.5, C27+730.5&lt;'BASIC INFO'!$B$3), "YES", 'BASIC INFO'!$B$3&lt;('BASIC INFO'!$B$6+6574.5), "NOT YET 18", C27+730.5&gt;'BASIC INFO'!$B$3, "NOT YET 2 YEARS")</f>
        <v>N/A</v>
      </c>
      <c r="I27" s="61" t="str">
        <f>IF(OR(AND(LEFT('CASE DATA'!F28,4)="321.",MID('CASE DATA'!A28,8,2)="SM"),MID('CASE DATA'!A28,8,2)="ST",MID('CASE DATA'!A28,8,2)="NT"),"TRAFFIC",IF(OR('CASE DATA'!G28="DISM", 'CASE DATA'!G28="ACQ", 'CASE DATA'!G28="NOTF", 'CASE DATA'!G28="WTHD", 'CASE DATA'!G28="TNSF"), "YES", "NO"))</f>
        <v>NO</v>
      </c>
      <c r="J27" s="62" t="str">
        <f>IF(I27="YES",'CASE DATA'!T28,"N/A")</f>
        <v>N/A</v>
      </c>
      <c r="K27" s="57" t="str">
        <f>IF(I27="YES",IF(C27+180&lt;'BASIC INFO'!$B$3, "YES", "NO"),"N/A")</f>
        <v>N/A</v>
      </c>
      <c r="L27" s="62" t="str">
        <f t="array" ref="L27">IF(I27="TRAFFIC","n/a",IF(OR('CASE DATA'!G28="GTR", 'CASE DATA'!G28="GPL"),IF(SUM(COUNTIF('CASE DATA'!W28:AH28, 'CODE SECTIONS'!$V$2:$V$218&amp;"*"))&gt;0,"felony","eligible"),"n/a"))</f>
        <v>n/a</v>
      </c>
      <c r="M27" s="62" t="str">
        <f t="array" ref="M27">IF(L27="eligible",IF(OR((SUM(COUNTIF('CASE DATA'!W28:AH28,'CODE SECTIONS'!$X$2:$X$19&amp;"*"))&gt;0),LEFT('CASE DATA'!W28:AH28,4)="717C", LEFT('CASE DATA'!W28:AH28, 3)="719", LEFT('CASE DATA'!W28:AH28,3)="720", LEFT('CASE DATA'!W28:AH28,3)="724", LEFT('CASE DATA'!W28:AH28,3)="726", LEFT('CASE DATA'!W28:AH28,3)="728", LEFT('CASE DATA'!W28:AH28,4)="901A"), "ineligible misd","eligible"),"n/a")</f>
        <v>n/a</v>
      </c>
      <c r="N27" s="62" t="str">
        <f>IF(M27="eligible",IF(COUNTIF('CASE DATA'!$D$4:$D$200, "")-COUNTIF('CASE DATA'!$A$4:$A$200, "")&gt;0, "YES","NO"),"N/A")</f>
        <v>N/A</v>
      </c>
      <c r="O27" s="62" t="str">
        <f>IF(M27="eligible",BANKRUPTCY!C28+BANKRUPTCY!D28,"N/A")</f>
        <v>N/A</v>
      </c>
      <c r="P27" s="62" t="str">
        <f>IF(M27="eligible",SOL!C28+SOL!D28+SOL!E28,"N/A")</f>
        <v>N/A</v>
      </c>
      <c r="Q27" s="62" t="str">
        <f>IF(M27="eligible",SUM('CASE DATA'!J28:S28),"N/A")</f>
        <v>N/A</v>
      </c>
      <c r="R27" s="62" t="str">
        <f>IF(M27="eligible",IF(C27+2920&lt;'BASIC INFO'!$B$3, "YES", "NO"),"N/A")</f>
        <v>N/A</v>
      </c>
      <c r="S27" s="61" t="str">
        <f>IF(OR('CASE DATA'!G28="DEF"), "YES", "NO")</f>
        <v>NO</v>
      </c>
      <c r="T27" s="57" t="str">
        <f>IF(S27="YES",'CASE DATA'!I28,"N/A")</f>
        <v>N/A</v>
      </c>
      <c r="U27" s="62" t="str">
        <f>IF(S27="YES",BANKRUPTCY!C28+BANKRUPTCY!D28,"N/A")</f>
        <v>N/A</v>
      </c>
      <c r="V27" s="62" t="str">
        <f>IF(S27="YES",SUM('CASE DATA'!J28:S28),"N/A")</f>
        <v>N/A</v>
      </c>
      <c r="W27" s="57" t="str">
        <f>IF(OR('CASE DATA'!F28="123.46",'CASE DATA'!F28="123.47"),"YES","NO")</f>
        <v>NO</v>
      </c>
      <c r="X27" s="60" t="str">
        <f>IF(W27="YES",COUNTIFS(AD$3:$AD$200,"&gt;"&amp;('CASE DATA'!D28),$AD$3:$AD$200,"&lt;"&amp;('CASE DATA'!D28+730.5)),"n/a")</f>
        <v>n/a</v>
      </c>
      <c r="Y27" s="62" t="str">
        <f>IF(W27="YES",IF(C27+730.5&lt;'BASIC INFO'!$B$3, "YES","NO"), "N/A")</f>
        <v>N/A</v>
      </c>
      <c r="Z27" s="57" t="str">
        <f>IF('CASE DATA'!F28="725.1","YES","NO")</f>
        <v>NO</v>
      </c>
      <c r="AA27" s="57" t="str">
        <f>IF(Z27="YES",IF(C27+730.5&lt;'BASIC INFO'!$B$3, "YES","NO"), "N/A")</f>
        <v>N/A</v>
      </c>
      <c r="AB27" s="57" t="str">
        <f>IF('BASIC INFO'!$B$6+6574.5&gt;C27, "YES", "NO")</f>
        <v>YES</v>
      </c>
      <c r="AC27" s="57" t="str">
        <f>IF(Z27="YES",COUNTIFS(AD$3:$AD$200,"&gt;"&amp;('CASE DATA'!D28),$AD$3:$AD$200,"&lt;"&amp;('CASE DATA'!D28+730.5)),"n/a")</f>
        <v>n/a</v>
      </c>
    </row>
    <row r="28" spans="1:29" x14ac:dyDescent="0.25">
      <c r="A28" s="57" t="str">
        <f>IF('CASE DATA'!A29="","z",'CASE DATA'!A29)</f>
        <v>z</v>
      </c>
      <c r="B28" s="57" t="str">
        <f>IF('CASE DATA'!A29="","",'CASE DATA'!E29)</f>
        <v/>
      </c>
      <c r="C28" s="58">
        <f>'CASE DATA'!D29</f>
        <v>0</v>
      </c>
      <c r="D28" s="59" t="str">
        <f>IF('CASE DATA'!I29="YES",SUM('CASE DATA'!J29:P29),"n/a")</f>
        <v>n/a</v>
      </c>
      <c r="E28" s="60" t="str">
        <f>IF(OR('CASE DATA'!G29="JUV", 'CASE DATA'!G29="JWV"), "YES", "NO")</f>
        <v>NO</v>
      </c>
      <c r="F28" s="60" t="str">
        <f t="array" ref="F28">IF(E28="YES",IF(SUM(COUNTIF('CASE DATA'!$G$4:$G$200, {"GTR","GPL","DEF","JUV"}))&gt;0, "YES","NO"),"N/A")</f>
        <v>N/A</v>
      </c>
      <c r="G28" s="60" t="str">
        <f>IF(E28="YES",IF(COUNTIF('CASE DATA'!$D$4:$D$200, "")-COUNTIF('CASE DATA'!$A$4:$A$200, "")&gt;0, "YES","NO"),"N/A")</f>
        <v>N/A</v>
      </c>
      <c r="H28" s="57" t="str">
        <f>_xlfn.IFS(E28="NO", "N/A", AND('BASIC INFO'!$B$3&gt;'BASIC INFO'!$B$6+6574.5, C28+730.5&lt;'BASIC INFO'!$B$3), "YES", 'BASIC INFO'!$B$3&lt;('BASIC INFO'!$B$6+6574.5), "NOT YET 18", C28+730.5&gt;'BASIC INFO'!$B$3, "NOT YET 2 YEARS")</f>
        <v>N/A</v>
      </c>
      <c r="I28" s="61" t="str">
        <f>IF(OR(AND(LEFT('CASE DATA'!F29,4)="321.",MID('CASE DATA'!A29,8,2)="SM"),MID('CASE DATA'!A29,8,2)="ST",MID('CASE DATA'!A29,8,2)="NT"),"TRAFFIC",IF(OR('CASE DATA'!G29="DISM", 'CASE DATA'!G29="ACQ", 'CASE DATA'!G29="NOTF", 'CASE DATA'!G29="WTHD", 'CASE DATA'!G29="TNSF"), "YES", "NO"))</f>
        <v>NO</v>
      </c>
      <c r="J28" s="62" t="str">
        <f>IF(I28="YES",'CASE DATA'!T29,"N/A")</f>
        <v>N/A</v>
      </c>
      <c r="K28" s="57" t="str">
        <f>IF(I28="YES",IF(C28+180&lt;'BASIC INFO'!$B$3, "YES", "NO"),"N/A")</f>
        <v>N/A</v>
      </c>
      <c r="L28" s="62" t="str">
        <f t="array" ref="L28">IF(I28="TRAFFIC","n/a",IF(OR('CASE DATA'!G29="GTR", 'CASE DATA'!G29="GPL"),IF(SUM(COUNTIF('CASE DATA'!W29:AH29, 'CODE SECTIONS'!$V$2:$V$218&amp;"*"))&gt;0,"felony","eligible"),"n/a"))</f>
        <v>n/a</v>
      </c>
      <c r="M28" s="62" t="str">
        <f t="array" ref="M28">IF(L28="eligible",IF(OR((SUM(COUNTIF('CASE DATA'!W29:AH29,'CODE SECTIONS'!$X$2:$X$19&amp;"*"))&gt;0),LEFT('CASE DATA'!W29:AH29,4)="717C", LEFT('CASE DATA'!W29:AH29, 3)="719", LEFT('CASE DATA'!W29:AH29,3)="720", LEFT('CASE DATA'!W29:AH29,3)="724", LEFT('CASE DATA'!W29:AH29,3)="726", LEFT('CASE DATA'!W29:AH29,3)="728", LEFT('CASE DATA'!W29:AH29,4)="901A"), "ineligible misd","eligible"),"n/a")</f>
        <v>n/a</v>
      </c>
      <c r="N28" s="62" t="str">
        <f>IF(M28="eligible",IF(COUNTIF('CASE DATA'!$D$4:$D$200, "")-COUNTIF('CASE DATA'!$A$4:$A$200, "")&gt;0, "YES","NO"),"N/A")</f>
        <v>N/A</v>
      </c>
      <c r="O28" s="62" t="str">
        <f>IF(M28="eligible",BANKRUPTCY!C29+BANKRUPTCY!D29,"N/A")</f>
        <v>N/A</v>
      </c>
      <c r="P28" s="62" t="str">
        <f>IF(M28="eligible",SOL!C29+SOL!D29+SOL!E29,"N/A")</f>
        <v>N/A</v>
      </c>
      <c r="Q28" s="62" t="str">
        <f>IF(M28="eligible",SUM('CASE DATA'!J29:S29),"N/A")</f>
        <v>N/A</v>
      </c>
      <c r="R28" s="62" t="str">
        <f>IF(M28="eligible",IF(C28+2920&lt;'BASIC INFO'!$B$3, "YES", "NO"),"N/A")</f>
        <v>N/A</v>
      </c>
      <c r="S28" s="61" t="str">
        <f>IF(OR('CASE DATA'!G29="DEF"), "YES", "NO")</f>
        <v>NO</v>
      </c>
      <c r="T28" s="57" t="str">
        <f>IF(S28="YES",'CASE DATA'!I29,"N/A")</f>
        <v>N/A</v>
      </c>
      <c r="U28" s="62" t="str">
        <f>IF(S28="YES",BANKRUPTCY!C29+BANKRUPTCY!D29,"N/A")</f>
        <v>N/A</v>
      </c>
      <c r="V28" s="62" t="str">
        <f>IF(S28="YES",SUM('CASE DATA'!J29:S29),"N/A")</f>
        <v>N/A</v>
      </c>
      <c r="W28" s="57" t="str">
        <f>IF(OR('CASE DATA'!F29="123.46",'CASE DATA'!F29="123.47"),"YES","NO")</f>
        <v>NO</v>
      </c>
      <c r="X28" s="60" t="str">
        <f>IF(W28="YES",COUNTIFS(AD$3:$AD$200,"&gt;"&amp;('CASE DATA'!D29),$AD$3:$AD$200,"&lt;"&amp;('CASE DATA'!D29+730.5)),"n/a")</f>
        <v>n/a</v>
      </c>
      <c r="Y28" s="62" t="str">
        <f>IF(W28="YES",IF(C28+730.5&lt;'BASIC INFO'!$B$3, "YES","NO"), "N/A")</f>
        <v>N/A</v>
      </c>
      <c r="Z28" s="57" t="str">
        <f>IF('CASE DATA'!F29="725.1","YES","NO")</f>
        <v>NO</v>
      </c>
      <c r="AA28" s="57" t="str">
        <f>IF(Z28="YES",IF(C28+730.5&lt;'BASIC INFO'!$B$3, "YES","NO"), "N/A")</f>
        <v>N/A</v>
      </c>
      <c r="AB28" s="57" t="str">
        <f>IF('BASIC INFO'!$B$6+6574.5&gt;C28, "YES", "NO")</f>
        <v>YES</v>
      </c>
      <c r="AC28" s="57" t="str">
        <f>IF(Z28="YES",COUNTIFS(AD$3:$AD$200,"&gt;"&amp;('CASE DATA'!D29),$AD$3:$AD$200,"&lt;"&amp;('CASE DATA'!D29+730.5)),"n/a")</f>
        <v>n/a</v>
      </c>
    </row>
    <row r="29" spans="1:29" x14ac:dyDescent="0.25">
      <c r="A29" s="57" t="str">
        <f>IF('CASE DATA'!A30="","z",'CASE DATA'!A30)</f>
        <v>z</v>
      </c>
      <c r="B29" s="57" t="str">
        <f>IF('CASE DATA'!A30="","",'CASE DATA'!E30)</f>
        <v/>
      </c>
      <c r="C29" s="58">
        <f>'CASE DATA'!D30</f>
        <v>0</v>
      </c>
      <c r="D29" s="59" t="str">
        <f>IF('CASE DATA'!I30="YES",SUM('CASE DATA'!J30:P30),"n/a")</f>
        <v>n/a</v>
      </c>
      <c r="E29" s="60" t="str">
        <f>IF(OR('CASE DATA'!G30="JUV", 'CASE DATA'!G30="JWV"), "YES", "NO")</f>
        <v>NO</v>
      </c>
      <c r="F29" s="60" t="str">
        <f t="array" ref="F29">IF(E29="YES",IF(SUM(COUNTIF('CASE DATA'!$G$4:$G$200, {"GTR","GPL","DEF","JUV"}))&gt;0, "YES","NO"),"N/A")</f>
        <v>N/A</v>
      </c>
      <c r="G29" s="60" t="str">
        <f>IF(E29="YES",IF(COUNTIF('CASE DATA'!$D$4:$D$200, "")-COUNTIF('CASE DATA'!$A$4:$A$200, "")&gt;0, "YES","NO"),"N/A")</f>
        <v>N/A</v>
      </c>
      <c r="H29" s="57" t="str">
        <f>_xlfn.IFS(E29="NO", "N/A", AND('BASIC INFO'!$B$3&gt;'BASIC INFO'!$B$6+6574.5, C29+730.5&lt;'BASIC INFO'!$B$3), "YES", 'BASIC INFO'!$B$3&lt;('BASIC INFO'!$B$6+6574.5), "NOT YET 18", C29+730.5&gt;'BASIC INFO'!$B$3, "NOT YET 2 YEARS")</f>
        <v>N/A</v>
      </c>
      <c r="I29" s="61" t="str">
        <f>IF(OR(AND(LEFT('CASE DATA'!F30,4)="321.",MID('CASE DATA'!A30,8,2)="SM"),MID('CASE DATA'!A30,8,2)="ST",MID('CASE DATA'!A30,8,2)="NT"),"TRAFFIC",IF(OR('CASE DATA'!G30="DISM", 'CASE DATA'!G30="ACQ", 'CASE DATA'!G30="NOTF", 'CASE DATA'!G30="WTHD", 'CASE DATA'!G30="TNSF"), "YES", "NO"))</f>
        <v>NO</v>
      </c>
      <c r="J29" s="62" t="str">
        <f>IF(I29="YES",'CASE DATA'!T30,"N/A")</f>
        <v>N/A</v>
      </c>
      <c r="K29" s="57" t="str">
        <f>IF(I29="YES",IF(C29+180&lt;'BASIC INFO'!$B$3, "YES", "NO"),"N/A")</f>
        <v>N/A</v>
      </c>
      <c r="L29" s="62" t="str">
        <f t="array" ref="L29">IF(I29="TRAFFIC","n/a",IF(OR('CASE DATA'!G30="GTR", 'CASE DATA'!G30="GPL"),IF(SUM(COUNTIF('CASE DATA'!W30:AH30, 'CODE SECTIONS'!$V$2:$V$218&amp;"*"))&gt;0,"felony","eligible"),"n/a"))</f>
        <v>n/a</v>
      </c>
      <c r="M29" s="62" t="str">
        <f t="array" ref="M29">IF(L29="eligible",IF(OR((SUM(COUNTIF('CASE DATA'!W30:AH30,'CODE SECTIONS'!$X$2:$X$19&amp;"*"))&gt;0),LEFT('CASE DATA'!W30:AH30,4)="717C", LEFT('CASE DATA'!W30:AH30, 3)="719", LEFT('CASE DATA'!W30:AH30,3)="720", LEFT('CASE DATA'!W30:AH30,3)="724", LEFT('CASE DATA'!W30:AH30,3)="726", LEFT('CASE DATA'!W30:AH30,3)="728", LEFT('CASE DATA'!W30:AH30,4)="901A"), "ineligible misd","eligible"),"n/a")</f>
        <v>n/a</v>
      </c>
      <c r="N29" s="62" t="str">
        <f>IF(M29="eligible",IF(COUNTIF('CASE DATA'!$D$4:$D$200, "")-COUNTIF('CASE DATA'!$A$4:$A$200, "")&gt;0, "YES","NO"),"N/A")</f>
        <v>N/A</v>
      </c>
      <c r="O29" s="62" t="str">
        <f>IF(M29="eligible",BANKRUPTCY!C30+BANKRUPTCY!D30,"N/A")</f>
        <v>N/A</v>
      </c>
      <c r="P29" s="62" t="str">
        <f>IF(M29="eligible",SOL!C30+SOL!D30+SOL!E30,"N/A")</f>
        <v>N/A</v>
      </c>
      <c r="Q29" s="62" t="str">
        <f>IF(M29="eligible",SUM('CASE DATA'!J30:S30),"N/A")</f>
        <v>N/A</v>
      </c>
      <c r="R29" s="62" t="str">
        <f>IF(M29="eligible",IF(C29+2920&lt;'BASIC INFO'!$B$3, "YES", "NO"),"N/A")</f>
        <v>N/A</v>
      </c>
      <c r="S29" s="61" t="str">
        <f>IF(OR('CASE DATA'!G30="DEF"), "YES", "NO")</f>
        <v>NO</v>
      </c>
      <c r="T29" s="57" t="str">
        <f>IF(S29="YES",'CASE DATA'!I30,"N/A")</f>
        <v>N/A</v>
      </c>
      <c r="U29" s="62" t="str">
        <f>IF(S29="YES",BANKRUPTCY!C30+BANKRUPTCY!D30,"N/A")</f>
        <v>N/A</v>
      </c>
      <c r="V29" s="62" t="str">
        <f>IF(S29="YES",SUM('CASE DATA'!J30:S30),"N/A")</f>
        <v>N/A</v>
      </c>
      <c r="W29" s="57" t="str">
        <f>IF(OR('CASE DATA'!F30="123.46",'CASE DATA'!F30="123.47"),"YES","NO")</f>
        <v>NO</v>
      </c>
      <c r="X29" s="60" t="str">
        <f>IF(W29="YES",COUNTIFS(AD$3:$AD$200,"&gt;"&amp;('CASE DATA'!D30),$AD$3:$AD$200,"&lt;"&amp;('CASE DATA'!D30+730.5)),"n/a")</f>
        <v>n/a</v>
      </c>
      <c r="Y29" s="62" t="str">
        <f>IF(W29="YES",IF(C29+730.5&lt;'BASIC INFO'!$B$3, "YES","NO"), "N/A")</f>
        <v>N/A</v>
      </c>
      <c r="Z29" s="57" t="str">
        <f>IF('CASE DATA'!F30="725.1","YES","NO")</f>
        <v>NO</v>
      </c>
      <c r="AA29" s="57" t="str">
        <f>IF(Z29="YES",IF(C29+730.5&lt;'BASIC INFO'!$B$3, "YES","NO"), "N/A")</f>
        <v>N/A</v>
      </c>
      <c r="AB29" s="57" t="str">
        <f>IF('BASIC INFO'!$B$6+6574.5&gt;C29, "YES", "NO")</f>
        <v>YES</v>
      </c>
      <c r="AC29" s="57" t="str">
        <f>IF(Z29="YES",COUNTIFS(AD$3:$AD$200,"&gt;"&amp;('CASE DATA'!D30),$AD$3:$AD$200,"&lt;"&amp;('CASE DATA'!D30+730.5)),"n/a")</f>
        <v>n/a</v>
      </c>
    </row>
    <row r="30" spans="1:29" x14ac:dyDescent="0.25">
      <c r="A30" s="57" t="str">
        <f>IF('CASE DATA'!A31="","z",'CASE DATA'!A31)</f>
        <v>z</v>
      </c>
      <c r="B30" s="57" t="str">
        <f>IF('CASE DATA'!A31="","",'CASE DATA'!E31)</f>
        <v/>
      </c>
      <c r="C30" s="58">
        <f>'CASE DATA'!D31</f>
        <v>0</v>
      </c>
      <c r="D30" s="59" t="str">
        <f>IF('CASE DATA'!I31="YES",SUM('CASE DATA'!J31:P31),"n/a")</f>
        <v>n/a</v>
      </c>
      <c r="E30" s="60" t="str">
        <f>IF(OR('CASE DATA'!G31="JUV", 'CASE DATA'!G31="JWV"), "YES", "NO")</f>
        <v>NO</v>
      </c>
      <c r="F30" s="60" t="str">
        <f t="array" ref="F30">IF(E30="YES",IF(SUM(COUNTIF('CASE DATA'!$G$4:$G$200, {"GTR","GPL","DEF","JUV"}))&gt;0, "YES","NO"),"N/A")</f>
        <v>N/A</v>
      </c>
      <c r="G30" s="60" t="str">
        <f>IF(E30="YES",IF(COUNTIF('CASE DATA'!$D$4:$D$200, "")-COUNTIF('CASE DATA'!$A$4:$A$200, "")&gt;0, "YES","NO"),"N/A")</f>
        <v>N/A</v>
      </c>
      <c r="H30" s="57" t="str">
        <f>_xlfn.IFS(E30="NO", "N/A", AND('BASIC INFO'!$B$3&gt;'BASIC INFO'!$B$6+6574.5, C30+730.5&lt;'BASIC INFO'!$B$3), "YES", 'BASIC INFO'!$B$3&lt;('BASIC INFO'!$B$6+6574.5), "NOT YET 18", C30+730.5&gt;'BASIC INFO'!$B$3, "NOT YET 2 YEARS")</f>
        <v>N/A</v>
      </c>
      <c r="I30" s="61" t="str">
        <f>IF(OR(AND(LEFT('CASE DATA'!F31,4)="321.",MID('CASE DATA'!A31,8,2)="SM"),MID('CASE DATA'!A31,8,2)="ST",MID('CASE DATA'!A31,8,2)="NT"),"TRAFFIC",IF(OR('CASE DATA'!G31="DISM", 'CASE DATA'!G31="ACQ", 'CASE DATA'!G31="NOTF", 'CASE DATA'!G31="WTHD", 'CASE DATA'!G31="TNSF"), "YES", "NO"))</f>
        <v>NO</v>
      </c>
      <c r="J30" s="62" t="str">
        <f>IF(I30="YES",'CASE DATA'!T31,"N/A")</f>
        <v>N/A</v>
      </c>
      <c r="K30" s="57" t="str">
        <f>IF(I30="YES",IF(C30+180&lt;'BASIC INFO'!$B$3, "YES", "NO"),"N/A")</f>
        <v>N/A</v>
      </c>
      <c r="L30" s="62" t="str">
        <f t="array" ref="L30">IF(I30="TRAFFIC","n/a",IF(OR('CASE DATA'!G31="GTR", 'CASE DATA'!G31="GPL"),IF(SUM(COUNTIF('CASE DATA'!W31:AH31, 'CODE SECTIONS'!$V$2:$V$218&amp;"*"))&gt;0,"felony","eligible"),"n/a"))</f>
        <v>n/a</v>
      </c>
      <c r="M30" s="62" t="str">
        <f t="array" ref="M30">IF(L30="eligible",IF(OR((SUM(COUNTIF('CASE DATA'!W31:AH31,'CODE SECTIONS'!$X$2:$X$19&amp;"*"))&gt;0),LEFT('CASE DATA'!W31:AH31,4)="717C", LEFT('CASE DATA'!W31:AH31, 3)="719", LEFT('CASE DATA'!W31:AH31,3)="720", LEFT('CASE DATA'!W31:AH31,3)="724", LEFT('CASE DATA'!W31:AH31,3)="726", LEFT('CASE DATA'!W31:AH31,3)="728", LEFT('CASE DATA'!W31:AH31,4)="901A"), "ineligible misd","eligible"),"n/a")</f>
        <v>n/a</v>
      </c>
      <c r="N30" s="62" t="str">
        <f>IF(M30="eligible",IF(COUNTIF('CASE DATA'!$D$4:$D$200, "")-COUNTIF('CASE DATA'!$A$4:$A$200, "")&gt;0, "YES","NO"),"N/A")</f>
        <v>N/A</v>
      </c>
      <c r="O30" s="62" t="str">
        <f>IF(M30="eligible",BANKRUPTCY!C31+BANKRUPTCY!D31,"N/A")</f>
        <v>N/A</v>
      </c>
      <c r="P30" s="62" t="str">
        <f>IF(M30="eligible",SOL!C31+SOL!D31+SOL!E31,"N/A")</f>
        <v>N/A</v>
      </c>
      <c r="Q30" s="62" t="str">
        <f>IF(M30="eligible",SUM('CASE DATA'!J31:S31),"N/A")</f>
        <v>N/A</v>
      </c>
      <c r="R30" s="62" t="str">
        <f>IF(M30="eligible",IF(C30+2920&lt;'BASIC INFO'!$B$3, "YES", "NO"),"N/A")</f>
        <v>N/A</v>
      </c>
      <c r="S30" s="61" t="str">
        <f>IF(OR('CASE DATA'!G31="DEF"), "YES", "NO")</f>
        <v>NO</v>
      </c>
      <c r="T30" s="57" t="str">
        <f>IF(S30="YES",'CASE DATA'!I31,"N/A")</f>
        <v>N/A</v>
      </c>
      <c r="U30" s="62" t="str">
        <f>IF(S30="YES",BANKRUPTCY!C31+BANKRUPTCY!D31,"N/A")</f>
        <v>N/A</v>
      </c>
      <c r="V30" s="62" t="str">
        <f>IF(S30="YES",SUM('CASE DATA'!J31:S31),"N/A")</f>
        <v>N/A</v>
      </c>
      <c r="W30" s="57" t="str">
        <f>IF(OR('CASE DATA'!F31="123.46",'CASE DATA'!F31="123.47"),"YES","NO")</f>
        <v>NO</v>
      </c>
      <c r="X30" s="60" t="str">
        <f>IF(W30="YES",COUNTIFS(AD$3:$AD$200,"&gt;"&amp;('CASE DATA'!D31),$AD$3:$AD$200,"&lt;"&amp;('CASE DATA'!D31+730.5)),"n/a")</f>
        <v>n/a</v>
      </c>
      <c r="Y30" s="62" t="str">
        <f>IF(W30="YES",IF(C30+730.5&lt;'BASIC INFO'!$B$3, "YES","NO"), "N/A")</f>
        <v>N/A</v>
      </c>
      <c r="Z30" s="57" t="str">
        <f>IF('CASE DATA'!F31="725.1","YES","NO")</f>
        <v>NO</v>
      </c>
      <c r="AA30" s="57" t="str">
        <f>IF(Z30="YES",IF(C30+730.5&lt;'BASIC INFO'!$B$3, "YES","NO"), "N/A")</f>
        <v>N/A</v>
      </c>
      <c r="AB30" s="57" t="str">
        <f>IF('BASIC INFO'!$B$6+6574.5&gt;C30, "YES", "NO")</f>
        <v>YES</v>
      </c>
      <c r="AC30" s="57" t="str">
        <f>IF(Z30="YES",COUNTIFS(AD$3:$AD$200,"&gt;"&amp;('CASE DATA'!D31),$AD$3:$AD$200,"&lt;"&amp;('CASE DATA'!D31+730.5)),"n/a")</f>
        <v>n/a</v>
      </c>
    </row>
    <row r="31" spans="1:29" x14ac:dyDescent="0.25">
      <c r="A31" s="57" t="str">
        <f>IF('CASE DATA'!A32="","z",'CASE DATA'!A32)</f>
        <v>z</v>
      </c>
      <c r="B31" s="57" t="str">
        <f>IF('CASE DATA'!A32="","",'CASE DATA'!E32)</f>
        <v/>
      </c>
      <c r="C31" s="58">
        <f>'CASE DATA'!D32</f>
        <v>0</v>
      </c>
      <c r="D31" s="59" t="str">
        <f>IF('CASE DATA'!I32="YES",SUM('CASE DATA'!J32:P32),"n/a")</f>
        <v>n/a</v>
      </c>
      <c r="E31" s="60" t="str">
        <f>IF(OR('CASE DATA'!G32="JUV", 'CASE DATA'!G32="JWV"), "YES", "NO")</f>
        <v>NO</v>
      </c>
      <c r="F31" s="60" t="str">
        <f t="array" ref="F31">IF(E31="YES",IF(SUM(COUNTIF('CASE DATA'!$G$4:$G$200, {"GTR","GPL","DEF","JUV"}))&gt;0, "YES","NO"),"N/A")</f>
        <v>N/A</v>
      </c>
      <c r="G31" s="60" t="str">
        <f>IF(E31="YES",IF(COUNTIF('CASE DATA'!$D$4:$D$200, "")-COUNTIF('CASE DATA'!$A$4:$A$200, "")&gt;0, "YES","NO"),"N/A")</f>
        <v>N/A</v>
      </c>
      <c r="H31" s="57" t="str">
        <f>_xlfn.IFS(E31="NO", "N/A", AND('BASIC INFO'!$B$3&gt;'BASIC INFO'!$B$6+6574.5, C31+730.5&lt;'BASIC INFO'!$B$3), "YES", 'BASIC INFO'!$B$3&lt;('BASIC INFO'!$B$6+6574.5), "NOT YET 18", C31+730.5&gt;'BASIC INFO'!$B$3, "NOT YET 2 YEARS")</f>
        <v>N/A</v>
      </c>
      <c r="I31" s="61" t="str">
        <f>IF(OR(AND(LEFT('CASE DATA'!F32,4)="321.",MID('CASE DATA'!A32,8,2)="SM"),MID('CASE DATA'!A32,8,2)="ST",MID('CASE DATA'!A32,8,2)="NT"),"TRAFFIC",IF(OR('CASE DATA'!G32="DISM", 'CASE DATA'!G32="ACQ", 'CASE DATA'!G32="NOTF", 'CASE DATA'!G32="WTHD", 'CASE DATA'!G32="TNSF"), "YES", "NO"))</f>
        <v>NO</v>
      </c>
      <c r="J31" s="62" t="str">
        <f>IF(I31="YES",'CASE DATA'!T32,"N/A")</f>
        <v>N/A</v>
      </c>
      <c r="K31" s="57" t="str">
        <f>IF(I31="YES",IF(C31+180&lt;'BASIC INFO'!$B$3, "YES", "NO"),"N/A")</f>
        <v>N/A</v>
      </c>
      <c r="L31" s="62" t="str">
        <f t="array" ref="L31">IF(I31="TRAFFIC","n/a",IF(OR('CASE DATA'!G32="GTR", 'CASE DATA'!G32="GPL"),IF(SUM(COUNTIF('CASE DATA'!W32:AH32, 'CODE SECTIONS'!$V$2:$V$218&amp;"*"))&gt;0,"felony","eligible"),"n/a"))</f>
        <v>n/a</v>
      </c>
      <c r="M31" s="62" t="str">
        <f t="array" ref="M31">IF(L31="eligible",IF(OR((SUM(COUNTIF('CASE DATA'!W32:AH32,'CODE SECTIONS'!$X$2:$X$19&amp;"*"))&gt;0),LEFT('CASE DATA'!W32:AH32,4)="717C", LEFT('CASE DATA'!W32:AH32, 3)="719", LEFT('CASE DATA'!W32:AH32,3)="720", LEFT('CASE DATA'!W32:AH32,3)="724", LEFT('CASE DATA'!W32:AH32,3)="726", LEFT('CASE DATA'!W32:AH32,3)="728", LEFT('CASE DATA'!W32:AH32,4)="901A"), "ineligible misd","eligible"),"n/a")</f>
        <v>n/a</v>
      </c>
      <c r="N31" s="62" t="str">
        <f>IF(M31="eligible",IF(COUNTIF('CASE DATA'!$D$4:$D$200, "")-COUNTIF('CASE DATA'!$A$4:$A$200, "")&gt;0, "YES","NO"),"N/A")</f>
        <v>N/A</v>
      </c>
      <c r="O31" s="62" t="str">
        <f>IF(M31="eligible",BANKRUPTCY!C32+BANKRUPTCY!D32,"N/A")</f>
        <v>N/A</v>
      </c>
      <c r="P31" s="62" t="str">
        <f>IF(M31="eligible",SOL!C32+SOL!D32+SOL!E32,"N/A")</f>
        <v>N/A</v>
      </c>
      <c r="Q31" s="62" t="str">
        <f>IF(M31="eligible",SUM('CASE DATA'!J32:S32),"N/A")</f>
        <v>N/A</v>
      </c>
      <c r="R31" s="62" t="str">
        <f>IF(M31="eligible",IF(C31+2920&lt;'BASIC INFO'!$B$3, "YES", "NO"),"N/A")</f>
        <v>N/A</v>
      </c>
      <c r="S31" s="61" t="str">
        <f>IF(OR('CASE DATA'!G32="DEF"), "YES", "NO")</f>
        <v>NO</v>
      </c>
      <c r="T31" s="57" t="str">
        <f>IF(S31="YES",'CASE DATA'!I32,"N/A")</f>
        <v>N/A</v>
      </c>
      <c r="U31" s="62" t="str">
        <f>IF(S31="YES",BANKRUPTCY!C32+BANKRUPTCY!D32,"N/A")</f>
        <v>N/A</v>
      </c>
      <c r="V31" s="62" t="str">
        <f>IF(S31="YES",SUM('CASE DATA'!J32:S32),"N/A")</f>
        <v>N/A</v>
      </c>
      <c r="W31" s="57" t="str">
        <f>IF(OR('CASE DATA'!F32="123.46",'CASE DATA'!F32="123.47"),"YES","NO")</f>
        <v>NO</v>
      </c>
      <c r="X31" s="60" t="str">
        <f>IF(W31="YES",COUNTIFS(AD$3:$AD$200,"&gt;"&amp;('CASE DATA'!D32),$AD$3:$AD$200,"&lt;"&amp;('CASE DATA'!D32+730.5)),"n/a")</f>
        <v>n/a</v>
      </c>
      <c r="Y31" s="62" t="str">
        <f>IF(W31="YES",IF(C31+730.5&lt;'BASIC INFO'!$B$3, "YES","NO"), "N/A")</f>
        <v>N/A</v>
      </c>
      <c r="Z31" s="57" t="str">
        <f>IF('CASE DATA'!F32="725.1","YES","NO")</f>
        <v>NO</v>
      </c>
      <c r="AA31" s="57" t="str">
        <f>IF(Z31="YES",IF(C31+730.5&lt;'BASIC INFO'!$B$3, "YES","NO"), "N/A")</f>
        <v>N/A</v>
      </c>
      <c r="AB31" s="57" t="str">
        <f>IF('BASIC INFO'!$B$6+6574.5&gt;C31, "YES", "NO")</f>
        <v>YES</v>
      </c>
      <c r="AC31" s="57" t="str">
        <f>IF(Z31="YES",COUNTIFS(AD$3:$AD$200,"&gt;"&amp;('CASE DATA'!D32),$AD$3:$AD$200,"&lt;"&amp;('CASE DATA'!D32+730.5)),"n/a")</f>
        <v>n/a</v>
      </c>
    </row>
    <row r="32" spans="1:29" x14ac:dyDescent="0.25">
      <c r="A32" s="57" t="str">
        <f>IF('CASE DATA'!A33="","z",'CASE DATA'!A33)</f>
        <v>z</v>
      </c>
      <c r="B32" s="57" t="str">
        <f>IF('CASE DATA'!A33="","",'CASE DATA'!E33)</f>
        <v/>
      </c>
      <c r="C32" s="58">
        <f>'CASE DATA'!D33</f>
        <v>0</v>
      </c>
      <c r="D32" s="59" t="str">
        <f>IF('CASE DATA'!I33="YES",SUM('CASE DATA'!J33:P33),"n/a")</f>
        <v>n/a</v>
      </c>
      <c r="E32" s="60" t="str">
        <f>IF(OR('CASE DATA'!G33="JUV", 'CASE DATA'!G33="JWV"), "YES", "NO")</f>
        <v>NO</v>
      </c>
      <c r="F32" s="60" t="str">
        <f t="array" ref="F32">IF(E32="YES",IF(SUM(COUNTIF('CASE DATA'!$G$4:$G$200, {"GTR","GPL","DEF","JUV"}))&gt;0, "YES","NO"),"N/A")</f>
        <v>N/A</v>
      </c>
      <c r="G32" s="60" t="str">
        <f>IF(E32="YES",IF(COUNTIF('CASE DATA'!$D$4:$D$200, "")-COUNTIF('CASE DATA'!$A$4:$A$200, "")&gt;0, "YES","NO"),"N/A")</f>
        <v>N/A</v>
      </c>
      <c r="H32" s="57" t="str">
        <f>_xlfn.IFS(E32="NO", "N/A", AND('BASIC INFO'!$B$3&gt;'BASIC INFO'!$B$6+6574.5, C32+730.5&lt;'BASIC INFO'!$B$3), "YES", 'BASIC INFO'!$B$3&lt;('BASIC INFO'!$B$6+6574.5), "NOT YET 18", C32+730.5&gt;'BASIC INFO'!$B$3, "NOT YET 2 YEARS")</f>
        <v>N/A</v>
      </c>
      <c r="I32" s="61" t="str">
        <f>IF(OR(AND(LEFT('CASE DATA'!F33,4)="321.",MID('CASE DATA'!A33,8,2)="SM"),MID('CASE DATA'!A33,8,2)="ST",MID('CASE DATA'!A33,8,2)="NT"),"TRAFFIC",IF(OR('CASE DATA'!G33="DISM", 'CASE DATA'!G33="ACQ", 'CASE DATA'!G33="NOTF", 'CASE DATA'!G33="WTHD", 'CASE DATA'!G33="TNSF"), "YES", "NO"))</f>
        <v>NO</v>
      </c>
      <c r="J32" s="62" t="str">
        <f>IF(I32="YES",'CASE DATA'!T33,"N/A")</f>
        <v>N/A</v>
      </c>
      <c r="K32" s="57" t="str">
        <f>IF(I32="YES",IF(C32+180&lt;'BASIC INFO'!$B$3, "YES", "NO"),"N/A")</f>
        <v>N/A</v>
      </c>
      <c r="L32" s="62" t="str">
        <f t="array" ref="L32">IF(I32="TRAFFIC","n/a",IF(OR('CASE DATA'!G33="GTR", 'CASE DATA'!G33="GPL"),IF(SUM(COUNTIF('CASE DATA'!W33:AH33, 'CODE SECTIONS'!$V$2:$V$218&amp;"*"))&gt;0,"felony","eligible"),"n/a"))</f>
        <v>n/a</v>
      </c>
      <c r="M32" s="62" t="str">
        <f t="array" ref="M32">IF(L32="eligible",IF(OR((SUM(COUNTIF('CASE DATA'!W33:AH33,'CODE SECTIONS'!$X$2:$X$19&amp;"*"))&gt;0),LEFT('CASE DATA'!W33:AH33,4)="717C", LEFT('CASE DATA'!W33:AH33, 3)="719", LEFT('CASE DATA'!W33:AH33,3)="720", LEFT('CASE DATA'!W33:AH33,3)="724", LEFT('CASE DATA'!W33:AH33,3)="726", LEFT('CASE DATA'!W33:AH33,3)="728", LEFT('CASE DATA'!W33:AH33,4)="901A"), "ineligible misd","eligible"),"n/a")</f>
        <v>n/a</v>
      </c>
      <c r="N32" s="62" t="str">
        <f>IF(M32="eligible",IF(COUNTIF('CASE DATA'!$D$4:$D$200, "")-COUNTIF('CASE DATA'!$A$4:$A$200, "")&gt;0, "YES","NO"),"N/A")</f>
        <v>N/A</v>
      </c>
      <c r="O32" s="62" t="str">
        <f>IF(M32="eligible",BANKRUPTCY!C33+BANKRUPTCY!D33,"N/A")</f>
        <v>N/A</v>
      </c>
      <c r="P32" s="62" t="str">
        <f>IF(M32="eligible",SOL!C33+SOL!D33+SOL!E33,"N/A")</f>
        <v>N/A</v>
      </c>
      <c r="Q32" s="62" t="str">
        <f>IF(M32="eligible",SUM('CASE DATA'!J33:S33),"N/A")</f>
        <v>N/A</v>
      </c>
      <c r="R32" s="62" t="str">
        <f>IF(M32="eligible",IF(C32+2920&lt;'BASIC INFO'!$B$3, "YES", "NO"),"N/A")</f>
        <v>N/A</v>
      </c>
      <c r="S32" s="61" t="str">
        <f>IF(OR('CASE DATA'!G33="DEF"), "YES", "NO")</f>
        <v>NO</v>
      </c>
      <c r="T32" s="57" t="str">
        <f>IF(S32="YES",'CASE DATA'!I33,"N/A")</f>
        <v>N/A</v>
      </c>
      <c r="U32" s="62" t="str">
        <f>IF(S32="YES",BANKRUPTCY!C33+BANKRUPTCY!D33,"N/A")</f>
        <v>N/A</v>
      </c>
      <c r="V32" s="62" t="str">
        <f>IF(S32="YES",SUM('CASE DATA'!J33:S33),"N/A")</f>
        <v>N/A</v>
      </c>
      <c r="W32" s="57" t="str">
        <f>IF(OR('CASE DATA'!F33="123.46",'CASE DATA'!F33="123.47"),"YES","NO")</f>
        <v>NO</v>
      </c>
      <c r="X32" s="60" t="str">
        <f>IF(W32="YES",COUNTIFS(AD$3:$AD$200,"&gt;"&amp;('CASE DATA'!D33),$AD$3:$AD$200,"&lt;"&amp;('CASE DATA'!D33+730.5)),"n/a")</f>
        <v>n/a</v>
      </c>
      <c r="Y32" s="62" t="str">
        <f>IF(W32="YES",IF(C32+730.5&lt;'BASIC INFO'!$B$3, "YES","NO"), "N/A")</f>
        <v>N/A</v>
      </c>
      <c r="Z32" s="57" t="str">
        <f>IF('CASE DATA'!F33="725.1","YES","NO")</f>
        <v>NO</v>
      </c>
      <c r="AA32" s="57" t="str">
        <f>IF(Z32="YES",IF(C32+730.5&lt;'BASIC INFO'!$B$3, "YES","NO"), "N/A")</f>
        <v>N/A</v>
      </c>
      <c r="AB32" s="57" t="str">
        <f>IF('BASIC INFO'!$B$6+6574.5&gt;C32, "YES", "NO")</f>
        <v>YES</v>
      </c>
      <c r="AC32" s="57" t="str">
        <f>IF(Z32="YES",COUNTIFS(AD$3:$AD$200,"&gt;"&amp;('CASE DATA'!D33),$AD$3:$AD$200,"&lt;"&amp;('CASE DATA'!D33+730.5)),"n/a")</f>
        <v>n/a</v>
      </c>
    </row>
    <row r="33" spans="1:29" x14ac:dyDescent="0.25">
      <c r="A33" s="57" t="str">
        <f>IF('CASE DATA'!A34="","z",'CASE DATA'!A34)</f>
        <v>z</v>
      </c>
      <c r="B33" s="57" t="str">
        <f>IF('CASE DATA'!A34="","",'CASE DATA'!E34)</f>
        <v/>
      </c>
      <c r="C33" s="58">
        <f>'CASE DATA'!D34</f>
        <v>0</v>
      </c>
      <c r="D33" s="59" t="str">
        <f>IF('CASE DATA'!I34="YES",SUM('CASE DATA'!J34:P34),"n/a")</f>
        <v>n/a</v>
      </c>
      <c r="E33" s="60" t="str">
        <f>IF(OR('CASE DATA'!G34="JUV", 'CASE DATA'!G34="JWV"), "YES", "NO")</f>
        <v>NO</v>
      </c>
      <c r="F33" s="60" t="str">
        <f t="array" ref="F33">IF(E33="YES",IF(SUM(COUNTIF('CASE DATA'!$G$4:$G$200, {"GTR","GPL","DEF","JUV"}))&gt;0, "YES","NO"),"N/A")</f>
        <v>N/A</v>
      </c>
      <c r="G33" s="60" t="str">
        <f>IF(E33="YES",IF(COUNTIF('CASE DATA'!$D$4:$D$200, "")-COUNTIF('CASE DATA'!$A$4:$A$200, "")&gt;0, "YES","NO"),"N/A")</f>
        <v>N/A</v>
      </c>
      <c r="H33" s="57" t="str">
        <f>_xlfn.IFS(E33="NO", "N/A", AND('BASIC INFO'!$B$3&gt;'BASIC INFO'!$B$6+6574.5, C33+730.5&lt;'BASIC INFO'!$B$3), "YES", 'BASIC INFO'!$B$3&lt;('BASIC INFO'!$B$6+6574.5), "NOT YET 18", C33+730.5&gt;'BASIC INFO'!$B$3, "NOT YET 2 YEARS")</f>
        <v>N/A</v>
      </c>
      <c r="I33" s="61" t="str">
        <f>IF(OR(AND(LEFT('CASE DATA'!F34,4)="321.",MID('CASE DATA'!A34,8,2)="SM"),MID('CASE DATA'!A34,8,2)="ST",MID('CASE DATA'!A34,8,2)="NT"),"TRAFFIC",IF(OR('CASE DATA'!G34="DISM", 'CASE DATA'!G34="ACQ", 'CASE DATA'!G34="NOTF", 'CASE DATA'!G34="WTHD", 'CASE DATA'!G34="TNSF"), "YES", "NO"))</f>
        <v>NO</v>
      </c>
      <c r="J33" s="62" t="str">
        <f>IF(I33="YES",'CASE DATA'!T34,"N/A")</f>
        <v>N/A</v>
      </c>
      <c r="K33" s="57" t="str">
        <f>IF(I33="YES",IF(C33+180&lt;'BASIC INFO'!$B$3, "YES", "NO"),"N/A")</f>
        <v>N/A</v>
      </c>
      <c r="L33" s="62" t="str">
        <f t="array" ref="L33">IF(I33="TRAFFIC","n/a",IF(OR('CASE DATA'!G34="GTR", 'CASE DATA'!G34="GPL"),IF(SUM(COUNTIF('CASE DATA'!W34:AH34, 'CODE SECTIONS'!$V$2:$V$218&amp;"*"))&gt;0,"felony","eligible"),"n/a"))</f>
        <v>n/a</v>
      </c>
      <c r="M33" s="62" t="str">
        <f t="array" ref="M33">IF(L33="eligible",IF(OR((SUM(COUNTIF('CASE DATA'!W34:AH34,'CODE SECTIONS'!$X$2:$X$19&amp;"*"))&gt;0),LEFT('CASE DATA'!W34:AH34,4)="717C", LEFT('CASE DATA'!W34:AH34, 3)="719", LEFT('CASE DATA'!W34:AH34,3)="720", LEFT('CASE DATA'!W34:AH34,3)="724", LEFT('CASE DATA'!W34:AH34,3)="726", LEFT('CASE DATA'!W34:AH34,3)="728", LEFT('CASE DATA'!W34:AH34,4)="901A"), "ineligible misd","eligible"),"n/a")</f>
        <v>n/a</v>
      </c>
      <c r="N33" s="62" t="str">
        <f>IF(M33="eligible",IF(COUNTIF('CASE DATA'!$D$4:$D$200, "")-COUNTIF('CASE DATA'!$A$4:$A$200, "")&gt;0, "YES","NO"),"N/A")</f>
        <v>N/A</v>
      </c>
      <c r="O33" s="62" t="str">
        <f>IF(M33="eligible",BANKRUPTCY!C34+BANKRUPTCY!D34,"N/A")</f>
        <v>N/A</v>
      </c>
      <c r="P33" s="62" t="str">
        <f>IF(M33="eligible",SOL!C34+SOL!D34+SOL!E34,"N/A")</f>
        <v>N/A</v>
      </c>
      <c r="Q33" s="62" t="str">
        <f>IF(M33="eligible",SUM('CASE DATA'!J34:S34),"N/A")</f>
        <v>N/A</v>
      </c>
      <c r="R33" s="62" t="str">
        <f>IF(M33="eligible",IF(C33+2920&lt;'BASIC INFO'!$B$3, "YES", "NO"),"N/A")</f>
        <v>N/A</v>
      </c>
      <c r="S33" s="61" t="str">
        <f>IF(OR('CASE DATA'!G34="DEF"), "YES", "NO")</f>
        <v>NO</v>
      </c>
      <c r="T33" s="57" t="str">
        <f>IF(S33="YES",'CASE DATA'!I34,"N/A")</f>
        <v>N/A</v>
      </c>
      <c r="U33" s="62" t="str">
        <f>IF(S33="YES",BANKRUPTCY!C34+BANKRUPTCY!D34,"N/A")</f>
        <v>N/A</v>
      </c>
      <c r="V33" s="62" t="str">
        <f>IF(S33="YES",SUM('CASE DATA'!J34:S34),"N/A")</f>
        <v>N/A</v>
      </c>
      <c r="W33" s="57" t="str">
        <f>IF(OR('CASE DATA'!F34="123.46",'CASE DATA'!F34="123.47"),"YES","NO")</f>
        <v>NO</v>
      </c>
      <c r="X33" s="60" t="str">
        <f>IF(W33="YES",COUNTIFS(AD$3:$AD$200,"&gt;"&amp;('CASE DATA'!D34),$AD$3:$AD$200,"&lt;"&amp;('CASE DATA'!D34+730.5)),"n/a")</f>
        <v>n/a</v>
      </c>
      <c r="Y33" s="62" t="str">
        <f>IF(W33="YES",IF(C33+730.5&lt;'BASIC INFO'!$B$3, "YES","NO"), "N/A")</f>
        <v>N/A</v>
      </c>
      <c r="Z33" s="57" t="str">
        <f>IF('CASE DATA'!F34="725.1","YES","NO")</f>
        <v>NO</v>
      </c>
      <c r="AA33" s="57" t="str">
        <f>IF(Z33="YES",IF(C33+730.5&lt;'BASIC INFO'!$B$3, "YES","NO"), "N/A")</f>
        <v>N/A</v>
      </c>
      <c r="AB33" s="57" t="str">
        <f>IF('BASIC INFO'!$B$6+6574.5&gt;C33, "YES", "NO")</f>
        <v>YES</v>
      </c>
      <c r="AC33" s="57" t="str">
        <f>IF(Z33="YES",COUNTIFS(AD$3:$AD$200,"&gt;"&amp;('CASE DATA'!D34),$AD$3:$AD$200,"&lt;"&amp;('CASE DATA'!D34+730.5)),"n/a")</f>
        <v>n/a</v>
      </c>
    </row>
    <row r="34" spans="1:29" x14ac:dyDescent="0.25">
      <c r="A34" s="57" t="str">
        <f>IF('CASE DATA'!A35="","z",'CASE DATA'!A35)</f>
        <v>z</v>
      </c>
      <c r="B34" s="57" t="str">
        <f>IF('CASE DATA'!A35="","",'CASE DATA'!E35)</f>
        <v/>
      </c>
      <c r="C34" s="58">
        <f>'CASE DATA'!D35</f>
        <v>0</v>
      </c>
      <c r="D34" s="59" t="str">
        <f>IF('CASE DATA'!I35="YES",SUM('CASE DATA'!J35:P35),"n/a")</f>
        <v>n/a</v>
      </c>
      <c r="E34" s="60" t="str">
        <f>IF(OR('CASE DATA'!G35="JUV", 'CASE DATA'!G35="JWV"), "YES", "NO")</f>
        <v>NO</v>
      </c>
      <c r="F34" s="60" t="str">
        <f t="array" ref="F34">IF(E34="YES",IF(SUM(COUNTIF('CASE DATA'!$G$4:$G$200, {"GTR","GPL","DEF","JUV"}))&gt;0, "YES","NO"),"N/A")</f>
        <v>N/A</v>
      </c>
      <c r="G34" s="60" t="str">
        <f>IF(E34="YES",IF(COUNTIF('CASE DATA'!$D$4:$D$200, "")-COUNTIF('CASE DATA'!$A$4:$A$200, "")&gt;0, "YES","NO"),"N/A")</f>
        <v>N/A</v>
      </c>
      <c r="H34" s="57" t="str">
        <f>_xlfn.IFS(E34="NO", "N/A", AND('BASIC INFO'!$B$3&gt;'BASIC INFO'!$B$6+6574.5, C34+730.5&lt;'BASIC INFO'!$B$3), "YES", 'BASIC INFO'!$B$3&lt;('BASIC INFO'!$B$6+6574.5), "NOT YET 18", C34+730.5&gt;'BASIC INFO'!$B$3, "NOT YET 2 YEARS")</f>
        <v>N/A</v>
      </c>
      <c r="I34" s="61" t="str">
        <f>IF(OR(AND(LEFT('CASE DATA'!F35,4)="321.",MID('CASE DATA'!A35,8,2)="SM"),MID('CASE DATA'!A35,8,2)="ST",MID('CASE DATA'!A35,8,2)="NT"),"TRAFFIC",IF(OR('CASE DATA'!G35="DISM", 'CASE DATA'!G35="ACQ", 'CASE DATA'!G35="NOTF", 'CASE DATA'!G35="WTHD", 'CASE DATA'!G35="TNSF"), "YES", "NO"))</f>
        <v>NO</v>
      </c>
      <c r="J34" s="62" t="str">
        <f>IF(I34="YES",'CASE DATA'!T35,"N/A")</f>
        <v>N/A</v>
      </c>
      <c r="K34" s="57" t="str">
        <f>IF(I34="YES",IF(C34+180&lt;'BASIC INFO'!$B$3, "YES", "NO"),"N/A")</f>
        <v>N/A</v>
      </c>
      <c r="L34" s="62" t="str">
        <f t="array" ref="L34">IF(I34="TRAFFIC","n/a",IF(OR('CASE DATA'!G35="GTR", 'CASE DATA'!G35="GPL"),IF(SUM(COUNTIF('CASE DATA'!W35:AH35, 'CODE SECTIONS'!$V$2:$V$218&amp;"*"))&gt;0,"felony","eligible"),"n/a"))</f>
        <v>n/a</v>
      </c>
      <c r="M34" s="62" t="str">
        <f t="array" ref="M34">IF(L34="eligible",IF(OR((SUM(COUNTIF('CASE DATA'!W35:AH35,'CODE SECTIONS'!$X$2:$X$19&amp;"*"))&gt;0),LEFT('CASE DATA'!W35:AH35,4)="717C", LEFT('CASE DATA'!W35:AH35, 3)="719", LEFT('CASE DATA'!W35:AH35,3)="720", LEFT('CASE DATA'!W35:AH35,3)="724", LEFT('CASE DATA'!W35:AH35,3)="726", LEFT('CASE DATA'!W35:AH35,3)="728", LEFT('CASE DATA'!W35:AH35,4)="901A"), "ineligible misd","eligible"),"n/a")</f>
        <v>n/a</v>
      </c>
      <c r="N34" s="62" t="str">
        <f>IF(M34="eligible",IF(COUNTIF('CASE DATA'!$D$4:$D$200, "")-COUNTIF('CASE DATA'!$A$4:$A$200, "")&gt;0, "YES","NO"),"N/A")</f>
        <v>N/A</v>
      </c>
      <c r="O34" s="62" t="str">
        <f>IF(M34="eligible",BANKRUPTCY!C35+BANKRUPTCY!D35,"N/A")</f>
        <v>N/A</v>
      </c>
      <c r="P34" s="62" t="str">
        <f>IF(M34="eligible",SOL!C35+SOL!D35+SOL!E35,"N/A")</f>
        <v>N/A</v>
      </c>
      <c r="Q34" s="62" t="str">
        <f>IF(M34="eligible",SUM('CASE DATA'!J35:S35),"N/A")</f>
        <v>N/A</v>
      </c>
      <c r="R34" s="62" t="str">
        <f>IF(M34="eligible",IF(C34+2920&lt;'BASIC INFO'!$B$3, "YES", "NO"),"N/A")</f>
        <v>N/A</v>
      </c>
      <c r="S34" s="61" t="str">
        <f>IF(OR('CASE DATA'!G35="DEF"), "YES", "NO")</f>
        <v>NO</v>
      </c>
      <c r="T34" s="57" t="str">
        <f>IF(S34="YES",'CASE DATA'!I35,"N/A")</f>
        <v>N/A</v>
      </c>
      <c r="U34" s="62" t="str">
        <f>IF(S34="YES",BANKRUPTCY!C35+BANKRUPTCY!D35,"N/A")</f>
        <v>N/A</v>
      </c>
      <c r="V34" s="62" t="str">
        <f>IF(S34="YES",SUM('CASE DATA'!J35:S35),"N/A")</f>
        <v>N/A</v>
      </c>
      <c r="W34" s="57" t="str">
        <f>IF(OR('CASE DATA'!F35="123.46",'CASE DATA'!F35="123.47"),"YES","NO")</f>
        <v>NO</v>
      </c>
      <c r="X34" s="60" t="str">
        <f>IF(W34="YES",COUNTIFS(AD$3:$AD$200,"&gt;"&amp;('CASE DATA'!D35),$AD$3:$AD$200,"&lt;"&amp;('CASE DATA'!D35+730.5)),"n/a")</f>
        <v>n/a</v>
      </c>
      <c r="Y34" s="62" t="str">
        <f>IF(W34="YES",IF(C34+730.5&lt;'BASIC INFO'!$B$3, "YES","NO"), "N/A")</f>
        <v>N/A</v>
      </c>
      <c r="Z34" s="57" t="str">
        <f>IF('CASE DATA'!F35="725.1","YES","NO")</f>
        <v>NO</v>
      </c>
      <c r="AA34" s="57" t="str">
        <f>IF(Z34="YES",IF(C34+730.5&lt;'BASIC INFO'!$B$3, "YES","NO"), "N/A")</f>
        <v>N/A</v>
      </c>
      <c r="AB34" s="57" t="str">
        <f>IF('BASIC INFO'!$B$6+6574.5&gt;C34, "YES", "NO")</f>
        <v>YES</v>
      </c>
      <c r="AC34" s="57" t="str">
        <f>IF(Z34="YES",COUNTIFS(AD$3:$AD$200,"&gt;"&amp;('CASE DATA'!D35),$AD$3:$AD$200,"&lt;"&amp;('CASE DATA'!D35+730.5)),"n/a")</f>
        <v>n/a</v>
      </c>
    </row>
    <row r="35" spans="1:29" x14ac:dyDescent="0.25">
      <c r="A35" s="57" t="str">
        <f>IF('CASE DATA'!A36="","z",'CASE DATA'!A36)</f>
        <v>z</v>
      </c>
      <c r="B35" s="57" t="str">
        <f>IF('CASE DATA'!A36="","",'CASE DATA'!E36)</f>
        <v/>
      </c>
      <c r="C35" s="58">
        <f>'CASE DATA'!D36</f>
        <v>0</v>
      </c>
      <c r="D35" s="59" t="str">
        <f>IF('CASE DATA'!I36="YES",SUM('CASE DATA'!J36:P36),"n/a")</f>
        <v>n/a</v>
      </c>
      <c r="E35" s="60" t="str">
        <f>IF(OR('CASE DATA'!G36="JUV", 'CASE DATA'!G36="JWV"), "YES", "NO")</f>
        <v>NO</v>
      </c>
      <c r="F35" s="60" t="str">
        <f t="array" ref="F35">IF(E35="YES",IF(SUM(COUNTIF('CASE DATA'!$G$4:$G$200, {"GTR","GPL","DEF","JUV"}))&gt;0, "YES","NO"),"N/A")</f>
        <v>N/A</v>
      </c>
      <c r="G35" s="60" t="str">
        <f>IF(E35="YES",IF(COUNTIF('CASE DATA'!$D$4:$D$200, "")-COUNTIF('CASE DATA'!$A$4:$A$200, "")&gt;0, "YES","NO"),"N/A")</f>
        <v>N/A</v>
      </c>
      <c r="H35" s="57" t="str">
        <f>_xlfn.IFS(E35="NO", "N/A", AND('BASIC INFO'!$B$3&gt;'BASIC INFO'!$B$6+6574.5, C35+730.5&lt;'BASIC INFO'!$B$3), "YES", 'BASIC INFO'!$B$3&lt;('BASIC INFO'!$B$6+6574.5), "NOT YET 18", C35+730.5&gt;'BASIC INFO'!$B$3, "NOT YET 2 YEARS")</f>
        <v>N/A</v>
      </c>
      <c r="I35" s="61" t="str">
        <f>IF(OR(AND(LEFT('CASE DATA'!F36,4)="321.",MID('CASE DATA'!A36,8,2)="SM"),MID('CASE DATA'!A36,8,2)="ST",MID('CASE DATA'!A36,8,2)="NT"),"TRAFFIC",IF(OR('CASE DATA'!G36="DISM", 'CASE DATA'!G36="ACQ", 'CASE DATA'!G36="NOTF", 'CASE DATA'!G36="WTHD", 'CASE DATA'!G36="TNSF"), "YES", "NO"))</f>
        <v>NO</v>
      </c>
      <c r="J35" s="62" t="str">
        <f>IF(I35="YES",'CASE DATA'!T36,"N/A")</f>
        <v>N/A</v>
      </c>
      <c r="K35" s="57" t="str">
        <f>IF(I35="YES",IF(C35+180&lt;'BASIC INFO'!$B$3, "YES", "NO"),"N/A")</f>
        <v>N/A</v>
      </c>
      <c r="L35" s="62" t="str">
        <f t="array" ref="L35">IF(I35="TRAFFIC","n/a",IF(OR('CASE DATA'!G36="GTR", 'CASE DATA'!G36="GPL"),IF(SUM(COUNTIF('CASE DATA'!W36:AH36, 'CODE SECTIONS'!$V$2:$V$218&amp;"*"))&gt;0,"felony","eligible"),"n/a"))</f>
        <v>n/a</v>
      </c>
      <c r="M35" s="62" t="str">
        <f t="array" ref="M35">IF(L35="eligible",IF(OR((SUM(COUNTIF('CASE DATA'!W36:AH36,'CODE SECTIONS'!$X$2:$X$19&amp;"*"))&gt;0),LEFT('CASE DATA'!W36:AH36,4)="717C", LEFT('CASE DATA'!W36:AH36, 3)="719", LEFT('CASE DATA'!W36:AH36,3)="720", LEFT('CASE DATA'!W36:AH36,3)="724", LEFT('CASE DATA'!W36:AH36,3)="726", LEFT('CASE DATA'!W36:AH36,3)="728", LEFT('CASE DATA'!W36:AH36,4)="901A"), "ineligible misd","eligible"),"n/a")</f>
        <v>n/a</v>
      </c>
      <c r="N35" s="62" t="str">
        <f>IF(M35="eligible",IF(COUNTIF('CASE DATA'!$D$4:$D$200, "")-COUNTIF('CASE DATA'!$A$4:$A$200, "")&gt;0, "YES","NO"),"N/A")</f>
        <v>N/A</v>
      </c>
      <c r="O35" s="62" t="str">
        <f>IF(M35="eligible",BANKRUPTCY!C36+BANKRUPTCY!D36,"N/A")</f>
        <v>N/A</v>
      </c>
      <c r="P35" s="62" t="str">
        <f>IF(M35="eligible",SOL!C36+SOL!D36+SOL!E36,"N/A")</f>
        <v>N/A</v>
      </c>
      <c r="Q35" s="62" t="str">
        <f>IF(M35="eligible",SUM('CASE DATA'!J36:S36),"N/A")</f>
        <v>N/A</v>
      </c>
      <c r="R35" s="62" t="str">
        <f>IF(M35="eligible",IF(C35+2920&lt;'BASIC INFO'!$B$3, "YES", "NO"),"N/A")</f>
        <v>N/A</v>
      </c>
      <c r="S35" s="61" t="str">
        <f>IF(OR('CASE DATA'!G36="DEF"), "YES", "NO")</f>
        <v>NO</v>
      </c>
      <c r="T35" s="57" t="str">
        <f>IF(S35="YES",'CASE DATA'!I36,"N/A")</f>
        <v>N/A</v>
      </c>
      <c r="U35" s="62" t="str">
        <f>IF(S35="YES",BANKRUPTCY!C36+BANKRUPTCY!D36,"N/A")</f>
        <v>N/A</v>
      </c>
      <c r="V35" s="62" t="str">
        <f>IF(S35="YES",SUM('CASE DATA'!J36:S36),"N/A")</f>
        <v>N/A</v>
      </c>
      <c r="W35" s="57" t="str">
        <f>IF(OR('CASE DATA'!F36="123.46",'CASE DATA'!F36="123.47"),"YES","NO")</f>
        <v>NO</v>
      </c>
      <c r="X35" s="60" t="str">
        <f>IF(W35="YES",COUNTIFS(AD$3:$AD$200,"&gt;"&amp;('CASE DATA'!D36),$AD$3:$AD$200,"&lt;"&amp;('CASE DATA'!D36+730.5)),"n/a")</f>
        <v>n/a</v>
      </c>
      <c r="Y35" s="62" t="str">
        <f>IF(W35="YES",IF(C35+730.5&lt;'BASIC INFO'!$B$3, "YES","NO"), "N/A")</f>
        <v>N/A</v>
      </c>
      <c r="Z35" s="57" t="str">
        <f>IF('CASE DATA'!F36="725.1","YES","NO")</f>
        <v>NO</v>
      </c>
      <c r="AA35" s="57" t="str">
        <f>IF(Z35="YES",IF(C35+730.5&lt;'BASIC INFO'!$B$3, "YES","NO"), "N/A")</f>
        <v>N/A</v>
      </c>
      <c r="AB35" s="57" t="str">
        <f>IF('BASIC INFO'!$B$6+6574.5&gt;C35, "YES", "NO")</f>
        <v>YES</v>
      </c>
      <c r="AC35" s="57" t="str">
        <f>IF(Z35="YES",COUNTIFS(AD$3:$AD$200,"&gt;"&amp;('CASE DATA'!D36),$AD$3:$AD$200,"&lt;"&amp;('CASE DATA'!D36+730.5)),"n/a")</f>
        <v>n/a</v>
      </c>
    </row>
    <row r="36" spans="1:29" x14ac:dyDescent="0.25">
      <c r="A36" s="57" t="str">
        <f>IF('CASE DATA'!A37="","z",'CASE DATA'!A37)</f>
        <v>z</v>
      </c>
      <c r="B36" s="57" t="str">
        <f>IF('CASE DATA'!A37="","",'CASE DATA'!E37)</f>
        <v/>
      </c>
      <c r="C36" s="58">
        <f>'CASE DATA'!D37</f>
        <v>0</v>
      </c>
      <c r="D36" s="59" t="str">
        <f>IF('CASE DATA'!I37="YES",SUM('CASE DATA'!J37:P37),"n/a")</f>
        <v>n/a</v>
      </c>
      <c r="E36" s="60" t="str">
        <f>IF(OR('CASE DATA'!G37="JUV", 'CASE DATA'!G37="JWV"), "YES", "NO")</f>
        <v>NO</v>
      </c>
      <c r="F36" s="60" t="str">
        <f t="array" ref="F36">IF(E36="YES",IF(SUM(COUNTIF('CASE DATA'!$G$4:$G$200, {"GTR","GPL","DEF","JUV"}))&gt;0, "YES","NO"),"N/A")</f>
        <v>N/A</v>
      </c>
      <c r="G36" s="60" t="str">
        <f>IF(E36="YES",IF(COUNTIF('CASE DATA'!$D$4:$D$200, "")-COUNTIF('CASE DATA'!$A$4:$A$200, "")&gt;0, "YES","NO"),"N/A")</f>
        <v>N/A</v>
      </c>
      <c r="H36" s="57" t="str">
        <f>_xlfn.IFS(E36="NO", "N/A", AND('BASIC INFO'!$B$3&gt;'BASIC INFO'!$B$6+6574.5, C36+730.5&lt;'BASIC INFO'!$B$3), "YES", 'BASIC INFO'!$B$3&lt;('BASIC INFO'!$B$6+6574.5), "NOT YET 18", C36+730.5&gt;'BASIC INFO'!$B$3, "NOT YET 2 YEARS")</f>
        <v>N/A</v>
      </c>
      <c r="I36" s="61" t="str">
        <f>IF(OR(AND(LEFT('CASE DATA'!F37,4)="321.",MID('CASE DATA'!A37,8,2)="SM"),MID('CASE DATA'!A37,8,2)="ST",MID('CASE DATA'!A37,8,2)="NT"),"TRAFFIC",IF(OR('CASE DATA'!G37="DISM", 'CASE DATA'!G37="ACQ", 'CASE DATA'!G37="NOTF", 'CASE DATA'!G37="WTHD", 'CASE DATA'!G37="TNSF"), "YES", "NO"))</f>
        <v>NO</v>
      </c>
      <c r="J36" s="62" t="str">
        <f>IF(I36="YES",'CASE DATA'!T37,"N/A")</f>
        <v>N/A</v>
      </c>
      <c r="K36" s="57" t="str">
        <f>IF(I36="YES",IF(C36+180&lt;'BASIC INFO'!$B$3, "YES", "NO"),"N/A")</f>
        <v>N/A</v>
      </c>
      <c r="L36" s="62" t="str">
        <f t="array" ref="L36">IF(I36="TRAFFIC","n/a",IF(OR('CASE DATA'!G37="GTR", 'CASE DATA'!G37="GPL"),IF(SUM(COUNTIF('CASE DATA'!W37:AH37, 'CODE SECTIONS'!$V$2:$V$218&amp;"*"))&gt;0,"felony","eligible"),"n/a"))</f>
        <v>n/a</v>
      </c>
      <c r="M36" s="62" t="str">
        <f t="array" ref="M36">IF(L36="eligible",IF(OR((SUM(COUNTIF('CASE DATA'!W37:AH37,'CODE SECTIONS'!$X$2:$X$19&amp;"*"))&gt;0),LEFT('CASE DATA'!W37:AH37,4)="717C", LEFT('CASE DATA'!W37:AH37, 3)="719", LEFT('CASE DATA'!W37:AH37,3)="720", LEFT('CASE DATA'!W37:AH37,3)="724", LEFT('CASE DATA'!W37:AH37,3)="726", LEFT('CASE DATA'!W37:AH37,3)="728", LEFT('CASE DATA'!W37:AH37,4)="901A"), "ineligible misd","eligible"),"n/a")</f>
        <v>n/a</v>
      </c>
      <c r="N36" s="62" t="str">
        <f>IF(M36="eligible",IF(COUNTIF('CASE DATA'!$D$4:$D$200, "")-COUNTIF('CASE DATA'!$A$4:$A$200, "")&gt;0, "YES","NO"),"N/A")</f>
        <v>N/A</v>
      </c>
      <c r="O36" s="62" t="str">
        <f>IF(M36="eligible",BANKRUPTCY!C37+BANKRUPTCY!D37,"N/A")</f>
        <v>N/A</v>
      </c>
      <c r="P36" s="62" t="str">
        <f>IF(M36="eligible",SOL!C37+SOL!D37+SOL!E37,"N/A")</f>
        <v>N/A</v>
      </c>
      <c r="Q36" s="62" t="str">
        <f>IF(M36="eligible",SUM('CASE DATA'!J37:S37),"N/A")</f>
        <v>N/A</v>
      </c>
      <c r="R36" s="62" t="str">
        <f>IF(M36="eligible",IF(C36+2920&lt;'BASIC INFO'!$B$3, "YES", "NO"),"N/A")</f>
        <v>N/A</v>
      </c>
      <c r="S36" s="61" t="str">
        <f>IF(OR('CASE DATA'!G37="DEF"), "YES", "NO")</f>
        <v>NO</v>
      </c>
      <c r="T36" s="57" t="str">
        <f>IF(S36="YES",'CASE DATA'!I37,"N/A")</f>
        <v>N/A</v>
      </c>
      <c r="U36" s="62" t="str">
        <f>IF(S36="YES",BANKRUPTCY!C37+BANKRUPTCY!D37,"N/A")</f>
        <v>N/A</v>
      </c>
      <c r="V36" s="62" t="str">
        <f>IF(S36="YES",SUM('CASE DATA'!J37:S37),"N/A")</f>
        <v>N/A</v>
      </c>
      <c r="W36" s="57" t="str">
        <f>IF(OR('CASE DATA'!F37="123.46",'CASE DATA'!F37="123.47"),"YES","NO")</f>
        <v>NO</v>
      </c>
      <c r="X36" s="60" t="str">
        <f>IF(W36="YES",COUNTIFS(AD$3:$AD$200,"&gt;"&amp;('CASE DATA'!D37),$AD$3:$AD$200,"&lt;"&amp;('CASE DATA'!D37+730.5)),"n/a")</f>
        <v>n/a</v>
      </c>
      <c r="Y36" s="62" t="str">
        <f>IF(W36="YES",IF(C36+730.5&lt;'BASIC INFO'!$B$3, "YES","NO"), "N/A")</f>
        <v>N/A</v>
      </c>
      <c r="Z36" s="57" t="str">
        <f>IF('CASE DATA'!F37="725.1","YES","NO")</f>
        <v>NO</v>
      </c>
      <c r="AA36" s="57" t="str">
        <f>IF(Z36="YES",IF(C36+730.5&lt;'BASIC INFO'!$B$3, "YES","NO"), "N/A")</f>
        <v>N/A</v>
      </c>
      <c r="AB36" s="57" t="str">
        <f>IF('BASIC INFO'!$B$6+6574.5&gt;C36, "YES", "NO")</f>
        <v>YES</v>
      </c>
      <c r="AC36" s="57" t="str">
        <f>IF(Z36="YES",COUNTIFS(AD$3:$AD$200,"&gt;"&amp;('CASE DATA'!D37),$AD$3:$AD$200,"&lt;"&amp;('CASE DATA'!D37+730.5)),"n/a")</f>
        <v>n/a</v>
      </c>
    </row>
    <row r="37" spans="1:29" x14ac:dyDescent="0.25">
      <c r="A37" s="57" t="str">
        <f>IF('CASE DATA'!A38="","z",'CASE DATA'!A38)</f>
        <v>z</v>
      </c>
      <c r="B37" s="57" t="str">
        <f>IF('CASE DATA'!A38="","",'CASE DATA'!E38)</f>
        <v/>
      </c>
      <c r="C37" s="58">
        <f>'CASE DATA'!D38</f>
        <v>0</v>
      </c>
      <c r="D37" s="59" t="str">
        <f>IF('CASE DATA'!I38="YES",SUM('CASE DATA'!J38:P38),"n/a")</f>
        <v>n/a</v>
      </c>
      <c r="E37" s="60" t="str">
        <f>IF(OR('CASE DATA'!G38="JUV", 'CASE DATA'!G38="JWV"), "YES", "NO")</f>
        <v>NO</v>
      </c>
      <c r="F37" s="60" t="str">
        <f t="array" ref="F37">IF(E37="YES",IF(SUM(COUNTIF('CASE DATA'!$G$4:$G$200, {"GTR","GPL","DEF","JUV"}))&gt;0, "YES","NO"),"N/A")</f>
        <v>N/A</v>
      </c>
      <c r="G37" s="60" t="str">
        <f>IF(E37="YES",IF(COUNTIF('CASE DATA'!$D$4:$D$200, "")-COUNTIF('CASE DATA'!$A$4:$A$200, "")&gt;0, "YES","NO"),"N/A")</f>
        <v>N/A</v>
      </c>
      <c r="H37" s="57" t="str">
        <f>_xlfn.IFS(E37="NO", "N/A", AND('BASIC INFO'!$B$3&gt;'BASIC INFO'!$B$6+6574.5, C37+730.5&lt;'BASIC INFO'!$B$3), "YES", 'BASIC INFO'!$B$3&lt;('BASIC INFO'!$B$6+6574.5), "NOT YET 18", C37+730.5&gt;'BASIC INFO'!$B$3, "NOT YET 2 YEARS")</f>
        <v>N/A</v>
      </c>
      <c r="I37" s="61" t="str">
        <f>IF(OR(AND(LEFT('CASE DATA'!F38,4)="321.",MID('CASE DATA'!A38,8,2)="SM"),MID('CASE DATA'!A38,8,2)="ST",MID('CASE DATA'!A38,8,2)="NT"),"TRAFFIC",IF(OR('CASE DATA'!G38="DISM", 'CASE DATA'!G38="ACQ", 'CASE DATA'!G38="NOTF", 'CASE DATA'!G38="WTHD", 'CASE DATA'!G38="TNSF"), "YES", "NO"))</f>
        <v>NO</v>
      </c>
      <c r="J37" s="62" t="str">
        <f>IF(I37="YES",'CASE DATA'!T38,"N/A")</f>
        <v>N/A</v>
      </c>
      <c r="K37" s="57" t="str">
        <f>IF(I37="YES",IF(C37+180&lt;'BASIC INFO'!$B$3, "YES", "NO"),"N/A")</f>
        <v>N/A</v>
      </c>
      <c r="L37" s="62" t="str">
        <f t="array" ref="L37">IF(I37="TRAFFIC","n/a",IF(OR('CASE DATA'!G38="GTR", 'CASE DATA'!G38="GPL"),IF(SUM(COUNTIF('CASE DATA'!W38:AH38, 'CODE SECTIONS'!$V$2:$V$218&amp;"*"))&gt;0,"felony","eligible"),"n/a"))</f>
        <v>n/a</v>
      </c>
      <c r="M37" s="62" t="str">
        <f t="array" ref="M37">IF(L37="eligible",IF(OR((SUM(COUNTIF('CASE DATA'!W38:AH38,'CODE SECTIONS'!$X$2:$X$19&amp;"*"))&gt;0),LEFT('CASE DATA'!W38:AH38,4)="717C", LEFT('CASE DATA'!W38:AH38, 3)="719", LEFT('CASE DATA'!W38:AH38,3)="720", LEFT('CASE DATA'!W38:AH38,3)="724", LEFT('CASE DATA'!W38:AH38,3)="726", LEFT('CASE DATA'!W38:AH38,3)="728", LEFT('CASE DATA'!W38:AH38,4)="901A"), "ineligible misd","eligible"),"n/a")</f>
        <v>n/a</v>
      </c>
      <c r="N37" s="62" t="str">
        <f>IF(M37="eligible",IF(COUNTIF('CASE DATA'!$D$4:$D$200, "")-COUNTIF('CASE DATA'!$A$4:$A$200, "")&gt;0, "YES","NO"),"N/A")</f>
        <v>N/A</v>
      </c>
      <c r="O37" s="62" t="str">
        <f>IF(M37="eligible",BANKRUPTCY!C38+BANKRUPTCY!D38,"N/A")</f>
        <v>N/A</v>
      </c>
      <c r="P37" s="62" t="str">
        <f>IF(M37="eligible",SOL!C38+SOL!D38+SOL!E38,"N/A")</f>
        <v>N/A</v>
      </c>
      <c r="Q37" s="62" t="str">
        <f>IF(M37="eligible",SUM('CASE DATA'!J38:S38),"N/A")</f>
        <v>N/A</v>
      </c>
      <c r="R37" s="62" t="str">
        <f>IF(M37="eligible",IF(C37+2920&lt;'BASIC INFO'!$B$3, "YES", "NO"),"N/A")</f>
        <v>N/A</v>
      </c>
      <c r="S37" s="61" t="str">
        <f>IF(OR('CASE DATA'!G38="DEF"), "YES", "NO")</f>
        <v>NO</v>
      </c>
      <c r="T37" s="57" t="str">
        <f>IF(S37="YES",'CASE DATA'!I38,"N/A")</f>
        <v>N/A</v>
      </c>
      <c r="U37" s="62" t="str">
        <f>IF(S37="YES",BANKRUPTCY!C38+BANKRUPTCY!D38,"N/A")</f>
        <v>N/A</v>
      </c>
      <c r="V37" s="62" t="str">
        <f>IF(S37="YES",SUM('CASE DATA'!J38:S38),"N/A")</f>
        <v>N/A</v>
      </c>
      <c r="W37" s="57" t="str">
        <f>IF(OR('CASE DATA'!F38="123.46",'CASE DATA'!F38="123.47"),"YES","NO")</f>
        <v>NO</v>
      </c>
      <c r="X37" s="60" t="str">
        <f>IF(W37="YES",COUNTIFS(AD$3:$AD$200,"&gt;"&amp;('CASE DATA'!D38),$AD$3:$AD$200,"&lt;"&amp;('CASE DATA'!D38+730.5)),"n/a")</f>
        <v>n/a</v>
      </c>
      <c r="Y37" s="62" t="str">
        <f>IF(W37="YES",IF(C37+730.5&lt;'BASIC INFO'!$B$3, "YES","NO"), "N/A")</f>
        <v>N/A</v>
      </c>
      <c r="Z37" s="57" t="str">
        <f>IF('CASE DATA'!F38="725.1","YES","NO")</f>
        <v>NO</v>
      </c>
      <c r="AA37" s="57" t="str">
        <f>IF(Z37="YES",IF(C37+730.5&lt;'BASIC INFO'!$B$3, "YES","NO"), "N/A")</f>
        <v>N/A</v>
      </c>
      <c r="AB37" s="57" t="str">
        <f>IF('BASIC INFO'!$B$6+6574.5&gt;C37, "YES", "NO")</f>
        <v>YES</v>
      </c>
      <c r="AC37" s="57" t="str">
        <f>IF(Z37="YES",COUNTIFS(AD$3:$AD$200,"&gt;"&amp;('CASE DATA'!D38),$AD$3:$AD$200,"&lt;"&amp;('CASE DATA'!D38+730.5)),"n/a")</f>
        <v>n/a</v>
      </c>
    </row>
    <row r="38" spans="1:29" x14ac:dyDescent="0.25">
      <c r="A38" s="57" t="str">
        <f>IF('CASE DATA'!A39="","z",'CASE DATA'!A39)</f>
        <v>z</v>
      </c>
      <c r="B38" s="57" t="str">
        <f>IF('CASE DATA'!A39="","",'CASE DATA'!E39)</f>
        <v/>
      </c>
      <c r="C38" s="58">
        <f>'CASE DATA'!D39</f>
        <v>0</v>
      </c>
      <c r="D38" s="59" t="str">
        <f>IF('CASE DATA'!I39="YES",SUM('CASE DATA'!J39:P39),"n/a")</f>
        <v>n/a</v>
      </c>
      <c r="E38" s="60" t="str">
        <f>IF(OR('CASE DATA'!G39="JUV", 'CASE DATA'!G39="JWV"), "YES", "NO")</f>
        <v>NO</v>
      </c>
      <c r="F38" s="60" t="str">
        <f t="array" ref="F38">IF(E38="YES",IF(SUM(COUNTIF('CASE DATA'!$G$4:$G$200, {"GTR","GPL","DEF","JUV"}))&gt;0, "YES","NO"),"N/A")</f>
        <v>N/A</v>
      </c>
      <c r="G38" s="60" t="str">
        <f>IF(E38="YES",IF(COUNTIF('CASE DATA'!$D$4:$D$200, "")-COUNTIF('CASE DATA'!$A$4:$A$200, "")&gt;0, "YES","NO"),"N/A")</f>
        <v>N/A</v>
      </c>
      <c r="H38" s="57" t="str">
        <f>_xlfn.IFS(E38="NO", "N/A", AND('BASIC INFO'!$B$3&gt;'BASIC INFO'!$B$6+6574.5, C38+730.5&lt;'BASIC INFO'!$B$3), "YES", 'BASIC INFO'!$B$3&lt;('BASIC INFO'!$B$6+6574.5), "NOT YET 18", C38+730.5&gt;'BASIC INFO'!$B$3, "NOT YET 2 YEARS")</f>
        <v>N/A</v>
      </c>
      <c r="I38" s="61" t="str">
        <f>IF(OR(AND(LEFT('CASE DATA'!F39,4)="321.",MID('CASE DATA'!A39,8,2)="SM"),MID('CASE DATA'!A39,8,2)="ST",MID('CASE DATA'!A39,8,2)="NT"),"TRAFFIC",IF(OR('CASE DATA'!G39="DISM", 'CASE DATA'!G39="ACQ", 'CASE DATA'!G39="NOTF", 'CASE DATA'!G39="WTHD", 'CASE DATA'!G39="TNSF"), "YES", "NO"))</f>
        <v>NO</v>
      </c>
      <c r="J38" s="62" t="str">
        <f>IF(I38="YES",'CASE DATA'!T39,"N/A")</f>
        <v>N/A</v>
      </c>
      <c r="K38" s="57" t="str">
        <f>IF(I38="YES",IF(C38+180&lt;'BASIC INFO'!$B$3, "YES", "NO"),"N/A")</f>
        <v>N/A</v>
      </c>
      <c r="L38" s="62" t="str">
        <f t="array" ref="L38">IF(I38="TRAFFIC","n/a",IF(OR('CASE DATA'!G39="GTR", 'CASE DATA'!G39="GPL"),IF(SUM(COUNTIF('CASE DATA'!W39:AH39, 'CODE SECTIONS'!$V$2:$V$218&amp;"*"))&gt;0,"felony","eligible"),"n/a"))</f>
        <v>n/a</v>
      </c>
      <c r="M38" s="62" t="str">
        <f t="array" ref="M38">IF(L38="eligible",IF(OR((SUM(COUNTIF('CASE DATA'!W39:AH39,'CODE SECTIONS'!$X$2:$X$19&amp;"*"))&gt;0),LEFT('CASE DATA'!W39:AH39,4)="717C", LEFT('CASE DATA'!W39:AH39, 3)="719", LEFT('CASE DATA'!W39:AH39,3)="720", LEFT('CASE DATA'!W39:AH39,3)="724", LEFT('CASE DATA'!W39:AH39,3)="726", LEFT('CASE DATA'!W39:AH39,3)="728", LEFT('CASE DATA'!W39:AH39,4)="901A"), "ineligible misd","eligible"),"n/a")</f>
        <v>n/a</v>
      </c>
      <c r="N38" s="62" t="str">
        <f>IF(M38="eligible",IF(COUNTIF('CASE DATA'!$D$4:$D$200, "")-COUNTIF('CASE DATA'!$A$4:$A$200, "")&gt;0, "YES","NO"),"N/A")</f>
        <v>N/A</v>
      </c>
      <c r="O38" s="62" t="str">
        <f>IF(M38="eligible",BANKRUPTCY!C39+BANKRUPTCY!D39,"N/A")</f>
        <v>N/A</v>
      </c>
      <c r="P38" s="62" t="str">
        <f>IF(M38="eligible",SOL!C39+SOL!D39+SOL!E39,"N/A")</f>
        <v>N/A</v>
      </c>
      <c r="Q38" s="62" t="str">
        <f>IF(M38="eligible",SUM('CASE DATA'!J39:S39),"N/A")</f>
        <v>N/A</v>
      </c>
      <c r="R38" s="62" t="str">
        <f>IF(M38="eligible",IF(C38+2920&lt;'BASIC INFO'!$B$3, "YES", "NO"),"N/A")</f>
        <v>N/A</v>
      </c>
      <c r="S38" s="61" t="str">
        <f>IF(OR('CASE DATA'!G39="DEF"), "YES", "NO")</f>
        <v>NO</v>
      </c>
      <c r="T38" s="57" t="str">
        <f>IF(S38="YES",'CASE DATA'!I39,"N/A")</f>
        <v>N/A</v>
      </c>
      <c r="U38" s="62" t="str">
        <f>IF(S38="YES",BANKRUPTCY!C39+BANKRUPTCY!D39,"N/A")</f>
        <v>N/A</v>
      </c>
      <c r="V38" s="62" t="str">
        <f>IF(S38="YES",SUM('CASE DATA'!J39:S39),"N/A")</f>
        <v>N/A</v>
      </c>
      <c r="W38" s="57" t="str">
        <f>IF(OR('CASE DATA'!F39="123.46",'CASE DATA'!F39="123.47"),"YES","NO")</f>
        <v>NO</v>
      </c>
      <c r="X38" s="60" t="str">
        <f>IF(W38="YES",COUNTIFS(AD$3:$AD$200,"&gt;"&amp;('CASE DATA'!D39),$AD$3:$AD$200,"&lt;"&amp;('CASE DATA'!D39+730.5)),"n/a")</f>
        <v>n/a</v>
      </c>
      <c r="Y38" s="62" t="str">
        <f>IF(W38="YES",IF(C38+730.5&lt;'BASIC INFO'!$B$3, "YES","NO"), "N/A")</f>
        <v>N/A</v>
      </c>
      <c r="Z38" s="57" t="str">
        <f>IF('CASE DATA'!F39="725.1","YES","NO")</f>
        <v>NO</v>
      </c>
      <c r="AA38" s="57" t="str">
        <f>IF(Z38="YES",IF(C38+730.5&lt;'BASIC INFO'!$B$3, "YES","NO"), "N/A")</f>
        <v>N/A</v>
      </c>
      <c r="AB38" s="57" t="str">
        <f>IF('BASIC INFO'!$B$6+6574.5&gt;C38, "YES", "NO")</f>
        <v>YES</v>
      </c>
      <c r="AC38" s="57" t="str">
        <f>IF(Z38="YES",COUNTIFS(AD$3:$AD$200,"&gt;"&amp;('CASE DATA'!D39),$AD$3:$AD$200,"&lt;"&amp;('CASE DATA'!D39+730.5)),"n/a")</f>
        <v>n/a</v>
      </c>
    </row>
    <row r="39" spans="1:29" x14ac:dyDescent="0.25">
      <c r="A39" s="57" t="str">
        <f>IF('CASE DATA'!A40="","z",'CASE DATA'!A40)</f>
        <v>z</v>
      </c>
      <c r="B39" s="57" t="str">
        <f>IF('CASE DATA'!A40="","",'CASE DATA'!E40)</f>
        <v/>
      </c>
      <c r="C39" s="58">
        <f>'CASE DATA'!D40</f>
        <v>0</v>
      </c>
      <c r="D39" s="59" t="str">
        <f>IF('CASE DATA'!I40="YES",SUM('CASE DATA'!J40:P40),"n/a")</f>
        <v>n/a</v>
      </c>
      <c r="E39" s="60" t="str">
        <f>IF(OR('CASE DATA'!G40="JUV", 'CASE DATA'!G40="JWV"), "YES", "NO")</f>
        <v>NO</v>
      </c>
      <c r="F39" s="60" t="str">
        <f t="array" ref="F39">IF(E39="YES",IF(SUM(COUNTIF('CASE DATA'!$G$4:$G$200, {"GTR","GPL","DEF","JUV"}))&gt;0, "YES","NO"),"N/A")</f>
        <v>N/A</v>
      </c>
      <c r="G39" s="60" t="str">
        <f>IF(E39="YES",IF(COUNTIF('CASE DATA'!$D$4:$D$200, "")-COUNTIF('CASE DATA'!$A$4:$A$200, "")&gt;0, "YES","NO"),"N/A")</f>
        <v>N/A</v>
      </c>
      <c r="H39" s="57" t="str">
        <f>_xlfn.IFS(E39="NO", "N/A", AND('BASIC INFO'!$B$3&gt;'BASIC INFO'!$B$6+6574.5, C39+730.5&lt;'BASIC INFO'!$B$3), "YES", 'BASIC INFO'!$B$3&lt;('BASIC INFO'!$B$6+6574.5), "NOT YET 18", C39+730.5&gt;'BASIC INFO'!$B$3, "NOT YET 2 YEARS")</f>
        <v>N/A</v>
      </c>
      <c r="I39" s="61" t="str">
        <f>IF(OR(AND(LEFT('CASE DATA'!F40,4)="321.",MID('CASE DATA'!A40,8,2)="SM"),MID('CASE DATA'!A40,8,2)="ST",MID('CASE DATA'!A40,8,2)="NT"),"TRAFFIC",IF(OR('CASE DATA'!G40="DISM", 'CASE DATA'!G40="ACQ", 'CASE DATA'!G40="NOTF", 'CASE DATA'!G40="WTHD", 'CASE DATA'!G40="TNSF"), "YES", "NO"))</f>
        <v>NO</v>
      </c>
      <c r="J39" s="62" t="str">
        <f>IF(I39="YES",'CASE DATA'!T40,"N/A")</f>
        <v>N/A</v>
      </c>
      <c r="K39" s="57" t="str">
        <f>IF(I39="YES",IF(C39+180&lt;'BASIC INFO'!$B$3, "YES", "NO"),"N/A")</f>
        <v>N/A</v>
      </c>
      <c r="L39" s="62" t="str">
        <f t="array" ref="L39">IF(I39="TRAFFIC","n/a",IF(OR('CASE DATA'!G40="GTR", 'CASE DATA'!G40="GPL"),IF(SUM(COUNTIF('CASE DATA'!W40:AH40, 'CODE SECTIONS'!$V$2:$V$218&amp;"*"))&gt;0,"felony","eligible"),"n/a"))</f>
        <v>n/a</v>
      </c>
      <c r="M39" s="62" t="str">
        <f t="array" ref="M39">IF(L39="eligible",IF(OR((SUM(COUNTIF('CASE DATA'!W40:AH40,'CODE SECTIONS'!$X$2:$X$19&amp;"*"))&gt;0),LEFT('CASE DATA'!W40:AH40,4)="717C", LEFT('CASE DATA'!W40:AH40, 3)="719", LEFT('CASE DATA'!W40:AH40,3)="720", LEFT('CASE DATA'!W40:AH40,3)="724", LEFT('CASE DATA'!W40:AH40,3)="726", LEFT('CASE DATA'!W40:AH40,3)="728", LEFT('CASE DATA'!W40:AH40,4)="901A"), "ineligible misd","eligible"),"n/a")</f>
        <v>n/a</v>
      </c>
      <c r="N39" s="62" t="str">
        <f>IF(M39="eligible",IF(COUNTIF('CASE DATA'!$D$4:$D$200, "")-COUNTIF('CASE DATA'!$A$4:$A$200, "")&gt;0, "YES","NO"),"N/A")</f>
        <v>N/A</v>
      </c>
      <c r="O39" s="62" t="str">
        <f>IF(M39="eligible",BANKRUPTCY!C40+BANKRUPTCY!D40,"N/A")</f>
        <v>N/A</v>
      </c>
      <c r="P39" s="62" t="str">
        <f>IF(M39="eligible",SOL!C40+SOL!D40+SOL!E40,"N/A")</f>
        <v>N/A</v>
      </c>
      <c r="Q39" s="62" t="str">
        <f>IF(M39="eligible",SUM('CASE DATA'!J40:S40),"N/A")</f>
        <v>N/A</v>
      </c>
      <c r="R39" s="62" t="str">
        <f>IF(M39="eligible",IF(C39+2920&lt;'BASIC INFO'!$B$3, "YES", "NO"),"N/A")</f>
        <v>N/A</v>
      </c>
      <c r="S39" s="61" t="str">
        <f>IF(OR('CASE DATA'!G40="DEF"), "YES", "NO")</f>
        <v>NO</v>
      </c>
      <c r="T39" s="57" t="str">
        <f>IF(S39="YES",'CASE DATA'!I40,"N/A")</f>
        <v>N/A</v>
      </c>
      <c r="U39" s="62" t="str">
        <f>IF(S39="YES",BANKRUPTCY!C40+BANKRUPTCY!D40,"N/A")</f>
        <v>N/A</v>
      </c>
      <c r="V39" s="62" t="str">
        <f>IF(S39="YES",SUM('CASE DATA'!J40:S40),"N/A")</f>
        <v>N/A</v>
      </c>
      <c r="W39" s="57" t="str">
        <f>IF(OR('CASE DATA'!F40="123.46",'CASE DATA'!F40="123.47"),"YES","NO")</f>
        <v>NO</v>
      </c>
      <c r="X39" s="60" t="str">
        <f>IF(W39="YES",COUNTIFS(AD$3:$AD$200,"&gt;"&amp;('CASE DATA'!D40),$AD$3:$AD$200,"&lt;"&amp;('CASE DATA'!D40+730.5)),"n/a")</f>
        <v>n/a</v>
      </c>
      <c r="Y39" s="62" t="str">
        <f>IF(W39="YES",IF(C39+730.5&lt;'BASIC INFO'!$B$3, "YES","NO"), "N/A")</f>
        <v>N/A</v>
      </c>
      <c r="Z39" s="57" t="str">
        <f>IF('CASE DATA'!F40="725.1","YES","NO")</f>
        <v>NO</v>
      </c>
      <c r="AA39" s="57" t="str">
        <f>IF(Z39="YES",IF(C39+730.5&lt;'BASIC INFO'!$B$3, "YES","NO"), "N/A")</f>
        <v>N/A</v>
      </c>
      <c r="AB39" s="57" t="str">
        <f>IF('BASIC INFO'!$B$6+6574.5&gt;C39, "YES", "NO")</f>
        <v>YES</v>
      </c>
      <c r="AC39" s="57" t="str">
        <f>IF(Z39="YES",COUNTIFS(AD$3:$AD$200,"&gt;"&amp;('CASE DATA'!D40),$AD$3:$AD$200,"&lt;"&amp;('CASE DATA'!D40+730.5)),"n/a")</f>
        <v>n/a</v>
      </c>
    </row>
    <row r="40" spans="1:29" x14ac:dyDescent="0.25">
      <c r="A40" s="57" t="str">
        <f>IF('CASE DATA'!A41="","z",'CASE DATA'!A41)</f>
        <v>z</v>
      </c>
      <c r="B40" s="57" t="str">
        <f>IF('CASE DATA'!A41="","",'CASE DATA'!E41)</f>
        <v/>
      </c>
      <c r="C40" s="58">
        <f>'CASE DATA'!D41</f>
        <v>0</v>
      </c>
      <c r="D40" s="59" t="str">
        <f>IF('CASE DATA'!I41="YES",SUM('CASE DATA'!J41:P41),"n/a")</f>
        <v>n/a</v>
      </c>
      <c r="E40" s="60" t="str">
        <f>IF(OR('CASE DATA'!G41="JUV", 'CASE DATA'!G41="JWV"), "YES", "NO")</f>
        <v>NO</v>
      </c>
      <c r="F40" s="60" t="str">
        <f t="array" ref="F40">IF(E40="YES",IF(SUM(COUNTIF('CASE DATA'!$G$4:$G$200, {"GTR","GPL","DEF","JUV"}))&gt;0, "YES","NO"),"N/A")</f>
        <v>N/A</v>
      </c>
      <c r="G40" s="60" t="str">
        <f>IF(E40="YES",IF(COUNTIF('CASE DATA'!$D$4:$D$200, "")-COUNTIF('CASE DATA'!$A$4:$A$200, "")&gt;0, "YES","NO"),"N/A")</f>
        <v>N/A</v>
      </c>
      <c r="H40" s="57" t="str">
        <f>_xlfn.IFS(E40="NO", "N/A", AND('BASIC INFO'!$B$3&gt;'BASIC INFO'!$B$6+6574.5, C40+730.5&lt;'BASIC INFO'!$B$3), "YES", 'BASIC INFO'!$B$3&lt;('BASIC INFO'!$B$6+6574.5), "NOT YET 18", C40+730.5&gt;'BASIC INFO'!$B$3, "NOT YET 2 YEARS")</f>
        <v>N/A</v>
      </c>
      <c r="I40" s="61" t="str">
        <f>IF(OR(AND(LEFT('CASE DATA'!F41,4)="321.",MID('CASE DATA'!A41,8,2)="SM"),MID('CASE DATA'!A41,8,2)="ST",MID('CASE DATA'!A41,8,2)="NT"),"TRAFFIC",IF(OR('CASE DATA'!G41="DISM", 'CASE DATA'!G41="ACQ", 'CASE DATA'!G41="NOTF", 'CASE DATA'!G41="WTHD", 'CASE DATA'!G41="TNSF"), "YES", "NO"))</f>
        <v>NO</v>
      </c>
      <c r="J40" s="62" t="str">
        <f>IF(I40="YES",'CASE DATA'!T41,"N/A")</f>
        <v>N/A</v>
      </c>
      <c r="K40" s="57" t="str">
        <f>IF(I40="YES",IF(C40+180&lt;'BASIC INFO'!$B$3, "YES", "NO"),"N/A")</f>
        <v>N/A</v>
      </c>
      <c r="L40" s="62" t="str">
        <f t="array" ref="L40">IF(I40="TRAFFIC","n/a",IF(OR('CASE DATA'!G41="GTR", 'CASE DATA'!G41="GPL"),IF(SUM(COUNTIF('CASE DATA'!W41:AH41, 'CODE SECTIONS'!$V$2:$V$218&amp;"*"))&gt;0,"felony","eligible"),"n/a"))</f>
        <v>n/a</v>
      </c>
      <c r="M40" s="62" t="str">
        <f t="array" ref="M40">IF(L40="eligible",IF(OR((SUM(COUNTIF('CASE DATA'!W41:AH41,'CODE SECTIONS'!$X$2:$X$19&amp;"*"))&gt;0),LEFT('CASE DATA'!W41:AH41,4)="717C", LEFT('CASE DATA'!W41:AH41, 3)="719", LEFT('CASE DATA'!W41:AH41,3)="720", LEFT('CASE DATA'!W41:AH41,3)="724", LEFT('CASE DATA'!W41:AH41,3)="726", LEFT('CASE DATA'!W41:AH41,3)="728", LEFT('CASE DATA'!W41:AH41,4)="901A"), "ineligible misd","eligible"),"n/a")</f>
        <v>n/a</v>
      </c>
      <c r="N40" s="62" t="str">
        <f>IF(M40="eligible",IF(COUNTIF('CASE DATA'!$D$4:$D$200, "")-COUNTIF('CASE DATA'!$A$4:$A$200, "")&gt;0, "YES","NO"),"N/A")</f>
        <v>N/A</v>
      </c>
      <c r="O40" s="62" t="str">
        <f>IF(M40="eligible",BANKRUPTCY!C41+BANKRUPTCY!D41,"N/A")</f>
        <v>N/A</v>
      </c>
      <c r="P40" s="62" t="str">
        <f>IF(M40="eligible",SOL!C41+SOL!D41+SOL!E41,"N/A")</f>
        <v>N/A</v>
      </c>
      <c r="Q40" s="62" t="str">
        <f>IF(M40="eligible",SUM('CASE DATA'!J41:S41),"N/A")</f>
        <v>N/A</v>
      </c>
      <c r="R40" s="62" t="str">
        <f>IF(M40="eligible",IF(C40+2920&lt;'BASIC INFO'!$B$3, "YES", "NO"),"N/A")</f>
        <v>N/A</v>
      </c>
      <c r="S40" s="61" t="str">
        <f>IF(OR('CASE DATA'!G41="DEF"), "YES", "NO")</f>
        <v>NO</v>
      </c>
      <c r="T40" s="57" t="str">
        <f>IF(S40="YES",'CASE DATA'!I41,"N/A")</f>
        <v>N/A</v>
      </c>
      <c r="U40" s="62" t="str">
        <f>IF(S40="YES",BANKRUPTCY!C41+BANKRUPTCY!D41,"N/A")</f>
        <v>N/A</v>
      </c>
      <c r="V40" s="62" t="str">
        <f>IF(S40="YES",SUM('CASE DATA'!J41:S41),"N/A")</f>
        <v>N/A</v>
      </c>
      <c r="W40" s="57" t="str">
        <f>IF(OR('CASE DATA'!F41="123.46",'CASE DATA'!F41="123.47"),"YES","NO")</f>
        <v>NO</v>
      </c>
      <c r="X40" s="60" t="str">
        <f>IF(W40="YES",COUNTIFS(AD$3:$AD$200,"&gt;"&amp;('CASE DATA'!D41),$AD$3:$AD$200,"&lt;"&amp;('CASE DATA'!D41+730.5)),"n/a")</f>
        <v>n/a</v>
      </c>
      <c r="Y40" s="62" t="str">
        <f>IF(W40="YES",IF(C40+730.5&lt;'BASIC INFO'!$B$3, "YES","NO"), "N/A")</f>
        <v>N/A</v>
      </c>
      <c r="Z40" s="57" t="str">
        <f>IF('CASE DATA'!F41="725.1","YES","NO")</f>
        <v>NO</v>
      </c>
      <c r="AA40" s="57" t="str">
        <f>IF(Z40="YES",IF(C40+730.5&lt;'BASIC INFO'!$B$3, "YES","NO"), "N/A")</f>
        <v>N/A</v>
      </c>
      <c r="AB40" s="57" t="str">
        <f>IF('BASIC INFO'!$B$6+6574.5&gt;C40, "YES", "NO")</f>
        <v>YES</v>
      </c>
      <c r="AC40" s="57" t="str">
        <f>IF(Z40="YES",COUNTIFS(AD$3:$AD$200,"&gt;"&amp;('CASE DATA'!D41),$AD$3:$AD$200,"&lt;"&amp;('CASE DATA'!D41+730.5)),"n/a")</f>
        <v>n/a</v>
      </c>
    </row>
    <row r="41" spans="1:29" x14ac:dyDescent="0.25">
      <c r="A41" s="57" t="str">
        <f>IF('CASE DATA'!A42="","z",'CASE DATA'!A42)</f>
        <v>z</v>
      </c>
      <c r="B41" s="57" t="str">
        <f>IF('CASE DATA'!A42="","",'CASE DATA'!E42)</f>
        <v/>
      </c>
      <c r="C41" s="58">
        <f>'CASE DATA'!D42</f>
        <v>0</v>
      </c>
      <c r="D41" s="59" t="str">
        <f>IF('CASE DATA'!I42="YES",SUM('CASE DATA'!J42:P42),"n/a")</f>
        <v>n/a</v>
      </c>
      <c r="E41" s="60" t="str">
        <f>IF(OR('CASE DATA'!G42="JUV", 'CASE DATA'!G42="JWV"), "YES", "NO")</f>
        <v>NO</v>
      </c>
      <c r="F41" s="60" t="str">
        <f t="array" ref="F41">IF(E41="YES",IF(SUM(COUNTIF('CASE DATA'!$G$4:$G$200, {"GTR","GPL","DEF","JUV"}))&gt;0, "YES","NO"),"N/A")</f>
        <v>N/A</v>
      </c>
      <c r="G41" s="60" t="str">
        <f>IF(E41="YES",IF(COUNTIF('CASE DATA'!$D$4:$D$200, "")-COUNTIF('CASE DATA'!$A$4:$A$200, "")&gt;0, "YES","NO"),"N/A")</f>
        <v>N/A</v>
      </c>
      <c r="H41" s="57" t="str">
        <f>_xlfn.IFS(E41="NO", "N/A", AND('BASIC INFO'!$B$3&gt;'BASIC INFO'!$B$6+6574.5, C41+730.5&lt;'BASIC INFO'!$B$3), "YES", 'BASIC INFO'!$B$3&lt;('BASIC INFO'!$B$6+6574.5), "NOT YET 18", C41+730.5&gt;'BASIC INFO'!$B$3, "NOT YET 2 YEARS")</f>
        <v>N/A</v>
      </c>
      <c r="I41" s="61" t="str">
        <f>IF(OR(AND(LEFT('CASE DATA'!F42,4)="321.",MID('CASE DATA'!A42,8,2)="SM"),MID('CASE DATA'!A42,8,2)="ST",MID('CASE DATA'!A42,8,2)="NT"),"TRAFFIC",IF(OR('CASE DATA'!G42="DISM", 'CASE DATA'!G42="ACQ", 'CASE DATA'!G42="NOTF", 'CASE DATA'!G42="WTHD", 'CASE DATA'!G42="TNSF"), "YES", "NO"))</f>
        <v>NO</v>
      </c>
      <c r="J41" s="62" t="str">
        <f>IF(I41="YES",'CASE DATA'!T42,"N/A")</f>
        <v>N/A</v>
      </c>
      <c r="K41" s="57" t="str">
        <f>IF(I41="YES",IF(C41+180&lt;'BASIC INFO'!$B$3, "YES", "NO"),"N/A")</f>
        <v>N/A</v>
      </c>
      <c r="L41" s="62" t="str">
        <f t="array" ref="L41">IF(I41="TRAFFIC","n/a",IF(OR('CASE DATA'!G42="GTR", 'CASE DATA'!G42="GPL"),IF(SUM(COUNTIF('CASE DATA'!W42:AH42, 'CODE SECTIONS'!$V$2:$V$218&amp;"*"))&gt;0,"felony","eligible"),"n/a"))</f>
        <v>n/a</v>
      </c>
      <c r="M41" s="62" t="str">
        <f t="array" ref="M41">IF(L41="eligible",IF(OR((SUM(COUNTIF('CASE DATA'!W42:AH42,'CODE SECTIONS'!$X$2:$X$19&amp;"*"))&gt;0),LEFT('CASE DATA'!W42:AH42,4)="717C", LEFT('CASE DATA'!W42:AH42, 3)="719", LEFT('CASE DATA'!W42:AH42,3)="720", LEFT('CASE DATA'!W42:AH42,3)="724", LEFT('CASE DATA'!W42:AH42,3)="726", LEFT('CASE DATA'!W42:AH42,3)="728", LEFT('CASE DATA'!W42:AH42,4)="901A"), "ineligible misd","eligible"),"n/a")</f>
        <v>n/a</v>
      </c>
      <c r="N41" s="62" t="str">
        <f>IF(M41="eligible",IF(COUNTIF('CASE DATA'!$D$4:$D$200, "")-COUNTIF('CASE DATA'!$A$4:$A$200, "")&gt;0, "YES","NO"),"N/A")</f>
        <v>N/A</v>
      </c>
      <c r="O41" s="62" t="str">
        <f>IF(M41="eligible",BANKRUPTCY!C42+BANKRUPTCY!D42,"N/A")</f>
        <v>N/A</v>
      </c>
      <c r="P41" s="62" t="str">
        <f>IF(M41="eligible",SOL!C42+SOL!D42+SOL!E42,"N/A")</f>
        <v>N/A</v>
      </c>
      <c r="Q41" s="62" t="str">
        <f>IF(M41="eligible",SUM('CASE DATA'!J42:S42),"N/A")</f>
        <v>N/A</v>
      </c>
      <c r="R41" s="62" t="str">
        <f>IF(M41="eligible",IF(C41+2920&lt;'BASIC INFO'!$B$3, "YES", "NO"),"N/A")</f>
        <v>N/A</v>
      </c>
      <c r="S41" s="61" t="str">
        <f>IF(OR('CASE DATA'!G42="DEF"), "YES", "NO")</f>
        <v>NO</v>
      </c>
      <c r="T41" s="57" t="str">
        <f>IF(S41="YES",'CASE DATA'!I42,"N/A")</f>
        <v>N/A</v>
      </c>
      <c r="U41" s="62" t="str">
        <f>IF(S41="YES",BANKRUPTCY!C42+BANKRUPTCY!D42,"N/A")</f>
        <v>N/A</v>
      </c>
      <c r="V41" s="62" t="str">
        <f>IF(S41="YES",SUM('CASE DATA'!J42:S42),"N/A")</f>
        <v>N/A</v>
      </c>
      <c r="W41" s="57" t="str">
        <f>IF(OR('CASE DATA'!F42="123.46",'CASE DATA'!F42="123.47"),"YES","NO")</f>
        <v>NO</v>
      </c>
      <c r="X41" s="60" t="str">
        <f>IF(W41="YES",COUNTIFS(AD$3:$AD$200,"&gt;"&amp;('CASE DATA'!D42),$AD$3:$AD$200,"&lt;"&amp;('CASE DATA'!D42+730.5)),"n/a")</f>
        <v>n/a</v>
      </c>
      <c r="Y41" s="62" t="str">
        <f>IF(W41="YES",IF(C41+730.5&lt;'BASIC INFO'!$B$3, "YES","NO"), "N/A")</f>
        <v>N/A</v>
      </c>
      <c r="Z41" s="57" t="str">
        <f>IF('CASE DATA'!F42="725.1","YES","NO")</f>
        <v>NO</v>
      </c>
      <c r="AA41" s="57" t="str">
        <f>IF(Z41="YES",IF(C41+730.5&lt;'BASIC INFO'!$B$3, "YES","NO"), "N/A")</f>
        <v>N/A</v>
      </c>
      <c r="AB41" s="57" t="str">
        <f>IF('BASIC INFO'!$B$6+6574.5&gt;C41, "YES", "NO")</f>
        <v>YES</v>
      </c>
      <c r="AC41" s="57" t="str">
        <f>IF(Z41="YES",COUNTIFS(AD$3:$AD$200,"&gt;"&amp;('CASE DATA'!D42),$AD$3:$AD$200,"&lt;"&amp;('CASE DATA'!D42+730.5)),"n/a")</f>
        <v>n/a</v>
      </c>
    </row>
    <row r="42" spans="1:29" x14ac:dyDescent="0.25">
      <c r="A42" s="57" t="str">
        <f>IF('CASE DATA'!A43="","z",'CASE DATA'!A43)</f>
        <v>z</v>
      </c>
      <c r="B42" s="57" t="str">
        <f>IF('CASE DATA'!A43="","",'CASE DATA'!E43)</f>
        <v/>
      </c>
      <c r="C42" s="58">
        <f>'CASE DATA'!D43</f>
        <v>0</v>
      </c>
      <c r="D42" s="59" t="str">
        <f>IF('CASE DATA'!I43="YES",SUM('CASE DATA'!J43:P43),"n/a")</f>
        <v>n/a</v>
      </c>
      <c r="E42" s="60" t="str">
        <f>IF(OR('CASE DATA'!G43="JUV", 'CASE DATA'!G43="JWV"), "YES", "NO")</f>
        <v>NO</v>
      </c>
      <c r="F42" s="60" t="str">
        <f t="array" ref="F42">IF(E42="YES",IF(SUM(COUNTIF('CASE DATA'!$G$4:$G$200, {"GTR","GPL","DEF","JUV"}))&gt;0, "YES","NO"),"N/A")</f>
        <v>N/A</v>
      </c>
      <c r="G42" s="60" t="str">
        <f>IF(E42="YES",IF(COUNTIF('CASE DATA'!$D$4:$D$200, "")-COUNTIF('CASE DATA'!$A$4:$A$200, "")&gt;0, "YES","NO"),"N/A")</f>
        <v>N/A</v>
      </c>
      <c r="H42" s="57" t="str">
        <f>_xlfn.IFS(E42="NO", "N/A", AND('BASIC INFO'!$B$3&gt;'BASIC INFO'!$B$6+6574.5, C42+730.5&lt;'BASIC INFO'!$B$3), "YES", 'BASIC INFO'!$B$3&lt;('BASIC INFO'!$B$6+6574.5), "NOT YET 18", C42+730.5&gt;'BASIC INFO'!$B$3, "NOT YET 2 YEARS")</f>
        <v>N/A</v>
      </c>
      <c r="I42" s="61" t="str">
        <f>IF(OR(AND(LEFT('CASE DATA'!F43,4)="321.",MID('CASE DATA'!A43,8,2)="SM"),MID('CASE DATA'!A43,8,2)="ST",MID('CASE DATA'!A43,8,2)="NT"),"TRAFFIC",IF(OR('CASE DATA'!G43="DISM", 'CASE DATA'!G43="ACQ", 'CASE DATA'!G43="NOTF", 'CASE DATA'!G43="WTHD", 'CASE DATA'!G43="TNSF"), "YES", "NO"))</f>
        <v>NO</v>
      </c>
      <c r="J42" s="62" t="str">
        <f>IF(I42="YES",'CASE DATA'!T43,"N/A")</f>
        <v>N/A</v>
      </c>
      <c r="K42" s="57" t="str">
        <f>IF(I42="YES",IF(C42+180&lt;'BASIC INFO'!$B$3, "YES", "NO"),"N/A")</f>
        <v>N/A</v>
      </c>
      <c r="L42" s="62" t="str">
        <f t="array" ref="L42">IF(I42="TRAFFIC","n/a",IF(OR('CASE DATA'!G43="GTR", 'CASE DATA'!G43="GPL"),IF(SUM(COUNTIF('CASE DATA'!W43:AH43, 'CODE SECTIONS'!$V$2:$V$218&amp;"*"))&gt;0,"felony","eligible"),"n/a"))</f>
        <v>n/a</v>
      </c>
      <c r="M42" s="62" t="str">
        <f t="array" ref="M42">IF(L42="eligible",IF(OR((SUM(COUNTIF('CASE DATA'!W43:AH43,'CODE SECTIONS'!$X$2:$X$19&amp;"*"))&gt;0),LEFT('CASE DATA'!W43:AH43,4)="717C", LEFT('CASE DATA'!W43:AH43, 3)="719", LEFT('CASE DATA'!W43:AH43,3)="720", LEFT('CASE DATA'!W43:AH43,3)="724", LEFT('CASE DATA'!W43:AH43,3)="726", LEFT('CASE DATA'!W43:AH43,3)="728", LEFT('CASE DATA'!W43:AH43,4)="901A"), "ineligible misd","eligible"),"n/a")</f>
        <v>n/a</v>
      </c>
      <c r="N42" s="62" t="str">
        <f>IF(M42="eligible",IF(COUNTIF('CASE DATA'!$D$4:$D$200, "")-COUNTIF('CASE DATA'!$A$4:$A$200, "")&gt;0, "YES","NO"),"N/A")</f>
        <v>N/A</v>
      </c>
      <c r="O42" s="62" t="str">
        <f>IF(M42="eligible",BANKRUPTCY!C43+BANKRUPTCY!D43,"N/A")</f>
        <v>N/A</v>
      </c>
      <c r="P42" s="62" t="str">
        <f>IF(M42="eligible",SOL!C43+SOL!D43+SOL!E43,"N/A")</f>
        <v>N/A</v>
      </c>
      <c r="Q42" s="62" t="str">
        <f>IF(M42="eligible",SUM('CASE DATA'!J43:S43),"N/A")</f>
        <v>N/A</v>
      </c>
      <c r="R42" s="62" t="str">
        <f>IF(M42="eligible",IF(C42+2920&lt;'BASIC INFO'!$B$3, "YES", "NO"),"N/A")</f>
        <v>N/A</v>
      </c>
      <c r="S42" s="61" t="str">
        <f>IF(OR('CASE DATA'!G43="DEF"), "YES", "NO")</f>
        <v>NO</v>
      </c>
      <c r="T42" s="57" t="str">
        <f>IF(S42="YES",'CASE DATA'!I43,"N/A")</f>
        <v>N/A</v>
      </c>
      <c r="U42" s="62" t="str">
        <f>IF(S42="YES",BANKRUPTCY!C43+BANKRUPTCY!D43,"N/A")</f>
        <v>N/A</v>
      </c>
      <c r="V42" s="62" t="str">
        <f>IF(S42="YES",SUM('CASE DATA'!J43:S43),"N/A")</f>
        <v>N/A</v>
      </c>
      <c r="W42" s="57" t="str">
        <f>IF(OR('CASE DATA'!F43="123.46",'CASE DATA'!F43="123.47"),"YES","NO")</f>
        <v>NO</v>
      </c>
      <c r="X42" s="60" t="str">
        <f>IF(W42="YES",COUNTIFS(AD$3:$AD$200,"&gt;"&amp;('CASE DATA'!D43),$AD$3:$AD$200,"&lt;"&amp;('CASE DATA'!D43+730.5)),"n/a")</f>
        <v>n/a</v>
      </c>
      <c r="Y42" s="62" t="str">
        <f>IF(W42="YES",IF(C42+730.5&lt;'BASIC INFO'!$B$3, "YES","NO"), "N/A")</f>
        <v>N/A</v>
      </c>
      <c r="Z42" s="57" t="str">
        <f>IF('CASE DATA'!F43="725.1","YES","NO")</f>
        <v>NO</v>
      </c>
      <c r="AA42" s="57" t="str">
        <f>IF(Z42="YES",IF(C42+730.5&lt;'BASIC INFO'!$B$3, "YES","NO"), "N/A")</f>
        <v>N/A</v>
      </c>
      <c r="AB42" s="57" t="str">
        <f>IF('BASIC INFO'!$B$6+6574.5&gt;C42, "YES", "NO")</f>
        <v>YES</v>
      </c>
      <c r="AC42" s="57" t="str">
        <f>IF(Z42="YES",COUNTIFS(AD$3:$AD$200,"&gt;"&amp;('CASE DATA'!D43),$AD$3:$AD$200,"&lt;"&amp;('CASE DATA'!D43+730.5)),"n/a")</f>
        <v>n/a</v>
      </c>
    </row>
    <row r="43" spans="1:29" x14ac:dyDescent="0.25">
      <c r="A43" s="57" t="str">
        <f>IF('CASE DATA'!A44="","z",'CASE DATA'!A44)</f>
        <v>z</v>
      </c>
      <c r="B43" s="57" t="str">
        <f>IF('CASE DATA'!A44="","",'CASE DATA'!E44)</f>
        <v/>
      </c>
      <c r="C43" s="58">
        <f>'CASE DATA'!D44</f>
        <v>0</v>
      </c>
      <c r="D43" s="59" t="str">
        <f>IF('CASE DATA'!I44="YES",SUM('CASE DATA'!J44:P44),"n/a")</f>
        <v>n/a</v>
      </c>
      <c r="E43" s="60" t="str">
        <f>IF(OR('CASE DATA'!G44="JUV", 'CASE DATA'!G44="JWV"), "YES", "NO")</f>
        <v>NO</v>
      </c>
      <c r="F43" s="60" t="str">
        <f t="array" ref="F43">IF(E43="YES",IF(SUM(COUNTIF('CASE DATA'!$G$4:$G$200, {"GTR","GPL","DEF","JUV"}))&gt;0, "YES","NO"),"N/A")</f>
        <v>N/A</v>
      </c>
      <c r="G43" s="60" t="str">
        <f>IF(E43="YES",IF(COUNTIF('CASE DATA'!$D$4:$D$200, "")-COUNTIF('CASE DATA'!$A$4:$A$200, "")&gt;0, "YES","NO"),"N/A")</f>
        <v>N/A</v>
      </c>
      <c r="H43" s="57" t="str">
        <f>_xlfn.IFS(E43="NO", "N/A", AND('BASIC INFO'!$B$3&gt;'BASIC INFO'!$B$6+6574.5, C43+730.5&lt;'BASIC INFO'!$B$3), "YES", 'BASIC INFO'!$B$3&lt;('BASIC INFO'!$B$6+6574.5), "NOT YET 18", C43+730.5&gt;'BASIC INFO'!$B$3, "NOT YET 2 YEARS")</f>
        <v>N/A</v>
      </c>
      <c r="I43" s="61" t="str">
        <f>IF(OR(AND(LEFT('CASE DATA'!F44,4)="321.",MID('CASE DATA'!A44,8,2)="SM"),MID('CASE DATA'!A44,8,2)="ST",MID('CASE DATA'!A44,8,2)="NT"),"TRAFFIC",IF(OR('CASE DATA'!G44="DISM", 'CASE DATA'!G44="ACQ", 'CASE DATA'!G44="NOTF", 'CASE DATA'!G44="WTHD", 'CASE DATA'!G44="TNSF"), "YES", "NO"))</f>
        <v>NO</v>
      </c>
      <c r="J43" s="62" t="str">
        <f>IF(I43="YES",'CASE DATA'!T44,"N/A")</f>
        <v>N/A</v>
      </c>
      <c r="K43" s="57" t="str">
        <f>IF(I43="YES",IF(C43+180&lt;'BASIC INFO'!$B$3, "YES", "NO"),"N/A")</f>
        <v>N/A</v>
      </c>
      <c r="L43" s="62" t="str">
        <f t="array" ref="L43">IF(I43="TRAFFIC","n/a",IF(OR('CASE DATA'!G44="GTR", 'CASE DATA'!G44="GPL"),IF(SUM(COUNTIF('CASE DATA'!W44:AH44, 'CODE SECTIONS'!$V$2:$V$218&amp;"*"))&gt;0,"felony","eligible"),"n/a"))</f>
        <v>n/a</v>
      </c>
      <c r="M43" s="62" t="str">
        <f t="array" ref="M43">IF(L43="eligible",IF(OR((SUM(COUNTIF('CASE DATA'!W44:AH44,'CODE SECTIONS'!$X$2:$X$19&amp;"*"))&gt;0),LEFT('CASE DATA'!W44:AH44,4)="717C", LEFT('CASE DATA'!W44:AH44, 3)="719", LEFT('CASE DATA'!W44:AH44,3)="720", LEFT('CASE DATA'!W44:AH44,3)="724", LEFT('CASE DATA'!W44:AH44,3)="726", LEFT('CASE DATA'!W44:AH44,3)="728", LEFT('CASE DATA'!W44:AH44,4)="901A"), "ineligible misd","eligible"),"n/a")</f>
        <v>n/a</v>
      </c>
      <c r="N43" s="62" t="str">
        <f>IF(M43="eligible",IF(COUNTIF('CASE DATA'!$D$4:$D$200, "")-COUNTIF('CASE DATA'!$A$4:$A$200, "")&gt;0, "YES","NO"),"N/A")</f>
        <v>N/A</v>
      </c>
      <c r="O43" s="62" t="str">
        <f>IF(M43="eligible",BANKRUPTCY!C44+BANKRUPTCY!D44,"N/A")</f>
        <v>N/A</v>
      </c>
      <c r="P43" s="62" t="str">
        <f>IF(M43="eligible",SOL!C44+SOL!D44+SOL!E44,"N/A")</f>
        <v>N/A</v>
      </c>
      <c r="Q43" s="62" t="str">
        <f>IF(M43="eligible",SUM('CASE DATA'!J44:S44),"N/A")</f>
        <v>N/A</v>
      </c>
      <c r="R43" s="62" t="str">
        <f>IF(M43="eligible",IF(C43+2920&lt;'BASIC INFO'!$B$3, "YES", "NO"),"N/A")</f>
        <v>N/A</v>
      </c>
      <c r="S43" s="61" t="str">
        <f>IF(OR('CASE DATA'!G44="DEF"), "YES", "NO")</f>
        <v>NO</v>
      </c>
      <c r="T43" s="57" t="str">
        <f>IF(S43="YES",'CASE DATA'!I44,"N/A")</f>
        <v>N/A</v>
      </c>
      <c r="U43" s="62" t="str">
        <f>IF(S43="YES",BANKRUPTCY!C44+BANKRUPTCY!D44,"N/A")</f>
        <v>N/A</v>
      </c>
      <c r="V43" s="62" t="str">
        <f>IF(S43="YES",SUM('CASE DATA'!J44:S44),"N/A")</f>
        <v>N/A</v>
      </c>
      <c r="W43" s="57" t="str">
        <f>IF(OR('CASE DATA'!F44="123.46",'CASE DATA'!F44="123.47"),"YES","NO")</f>
        <v>NO</v>
      </c>
      <c r="X43" s="60" t="str">
        <f>IF(W43="YES",COUNTIFS(AD$3:$AD$200,"&gt;"&amp;('CASE DATA'!D44),$AD$3:$AD$200,"&lt;"&amp;('CASE DATA'!D44+730.5)),"n/a")</f>
        <v>n/a</v>
      </c>
      <c r="Y43" s="62" t="str">
        <f>IF(W43="YES",IF(C43+730.5&lt;'BASIC INFO'!$B$3, "YES","NO"), "N/A")</f>
        <v>N/A</v>
      </c>
      <c r="Z43" s="57" t="str">
        <f>IF('CASE DATA'!F44="725.1","YES","NO")</f>
        <v>NO</v>
      </c>
      <c r="AA43" s="57" t="str">
        <f>IF(Z43="YES",IF(C43+730.5&lt;'BASIC INFO'!$B$3, "YES","NO"), "N/A")</f>
        <v>N/A</v>
      </c>
      <c r="AB43" s="57" t="str">
        <f>IF('BASIC INFO'!$B$6+6574.5&gt;C43, "YES", "NO")</f>
        <v>YES</v>
      </c>
      <c r="AC43" s="57" t="str">
        <f>IF(Z43="YES",COUNTIFS(AD$3:$AD$200,"&gt;"&amp;('CASE DATA'!D44),$AD$3:$AD$200,"&lt;"&amp;('CASE DATA'!D44+730.5)),"n/a")</f>
        <v>n/a</v>
      </c>
    </row>
    <row r="44" spans="1:29" x14ac:dyDescent="0.25">
      <c r="A44" s="57" t="str">
        <f>IF('CASE DATA'!A45="","z",'CASE DATA'!A45)</f>
        <v>z</v>
      </c>
      <c r="B44" s="57" t="str">
        <f>IF('CASE DATA'!A45="","",'CASE DATA'!E45)</f>
        <v/>
      </c>
      <c r="C44" s="58">
        <f>'CASE DATA'!D45</f>
        <v>0</v>
      </c>
      <c r="D44" s="59" t="str">
        <f>IF('CASE DATA'!I45="YES",SUM('CASE DATA'!J45:P45),"n/a")</f>
        <v>n/a</v>
      </c>
      <c r="E44" s="60" t="str">
        <f>IF(OR('CASE DATA'!G45="JUV", 'CASE DATA'!G45="JWV"), "YES", "NO")</f>
        <v>NO</v>
      </c>
      <c r="F44" s="60" t="str">
        <f t="array" ref="F44">IF(E44="YES",IF(SUM(COUNTIF('CASE DATA'!$G$4:$G$200, {"GTR","GPL","DEF","JUV"}))&gt;0, "YES","NO"),"N/A")</f>
        <v>N/A</v>
      </c>
      <c r="G44" s="60" t="str">
        <f>IF(E44="YES",IF(COUNTIF('CASE DATA'!$D$4:$D$200, "")-COUNTIF('CASE DATA'!$A$4:$A$200, "")&gt;0, "YES","NO"),"N/A")</f>
        <v>N/A</v>
      </c>
      <c r="H44" s="57" t="str">
        <f>_xlfn.IFS(E44="NO", "N/A", AND('BASIC INFO'!$B$3&gt;'BASIC INFO'!$B$6+6574.5, C44+730.5&lt;'BASIC INFO'!$B$3), "YES", 'BASIC INFO'!$B$3&lt;('BASIC INFO'!$B$6+6574.5), "NOT YET 18", C44+730.5&gt;'BASIC INFO'!$B$3, "NOT YET 2 YEARS")</f>
        <v>N/A</v>
      </c>
      <c r="I44" s="61" t="str">
        <f>IF(OR(AND(LEFT('CASE DATA'!F45,4)="321.",MID('CASE DATA'!A45,8,2)="SM"),MID('CASE DATA'!A45,8,2)="ST",MID('CASE DATA'!A45,8,2)="NT"),"TRAFFIC",IF(OR('CASE DATA'!G45="DISM", 'CASE DATA'!G45="ACQ", 'CASE DATA'!G45="NOTF", 'CASE DATA'!G45="WTHD", 'CASE DATA'!G45="TNSF"), "YES", "NO"))</f>
        <v>NO</v>
      </c>
      <c r="J44" s="62" t="str">
        <f>IF(I44="YES",'CASE DATA'!T45,"N/A")</f>
        <v>N/A</v>
      </c>
      <c r="K44" s="57" t="str">
        <f>IF(I44="YES",IF(C44+180&lt;'BASIC INFO'!$B$3, "YES", "NO"),"N/A")</f>
        <v>N/A</v>
      </c>
      <c r="L44" s="62" t="str">
        <f t="array" ref="L44">IF(I44="TRAFFIC","n/a",IF(OR('CASE DATA'!G45="GTR", 'CASE DATA'!G45="GPL"),IF(SUM(COUNTIF('CASE DATA'!W45:AH45, 'CODE SECTIONS'!$V$2:$V$218&amp;"*"))&gt;0,"felony","eligible"),"n/a"))</f>
        <v>n/a</v>
      </c>
      <c r="M44" s="62" t="str">
        <f t="array" ref="M44">IF(L44="eligible",IF(OR((SUM(COUNTIF('CASE DATA'!W45:AH45,'CODE SECTIONS'!$X$2:$X$19&amp;"*"))&gt;0),LEFT('CASE DATA'!W45:AH45,4)="717C", LEFT('CASE DATA'!W45:AH45, 3)="719", LEFT('CASE DATA'!W45:AH45,3)="720", LEFT('CASE DATA'!W45:AH45,3)="724", LEFT('CASE DATA'!W45:AH45,3)="726", LEFT('CASE DATA'!W45:AH45,3)="728", LEFT('CASE DATA'!W45:AH45,4)="901A"), "ineligible misd","eligible"),"n/a")</f>
        <v>n/a</v>
      </c>
      <c r="N44" s="62" t="str">
        <f>IF(M44="eligible",IF(COUNTIF('CASE DATA'!$D$4:$D$200, "")-COUNTIF('CASE DATA'!$A$4:$A$200, "")&gt;0, "YES","NO"),"N/A")</f>
        <v>N/A</v>
      </c>
      <c r="O44" s="62" t="str">
        <f>IF(M44="eligible",BANKRUPTCY!C45+BANKRUPTCY!D45,"N/A")</f>
        <v>N/A</v>
      </c>
      <c r="P44" s="62" t="str">
        <f>IF(M44="eligible",SOL!C45+SOL!D45+SOL!E45,"N/A")</f>
        <v>N/A</v>
      </c>
      <c r="Q44" s="62" t="str">
        <f>IF(M44="eligible",SUM('CASE DATA'!J45:S45),"N/A")</f>
        <v>N/A</v>
      </c>
      <c r="R44" s="62" t="str">
        <f>IF(M44="eligible",IF(C44+2920&lt;'BASIC INFO'!$B$3, "YES", "NO"),"N/A")</f>
        <v>N/A</v>
      </c>
      <c r="S44" s="61" t="str">
        <f>IF(OR('CASE DATA'!G45="DEF"), "YES", "NO")</f>
        <v>NO</v>
      </c>
      <c r="T44" s="57" t="str">
        <f>IF(S44="YES",'CASE DATA'!I45,"N/A")</f>
        <v>N/A</v>
      </c>
      <c r="U44" s="62" t="str">
        <f>IF(S44="YES",BANKRUPTCY!C45+BANKRUPTCY!D45,"N/A")</f>
        <v>N/A</v>
      </c>
      <c r="V44" s="62" t="str">
        <f>IF(S44="YES",SUM('CASE DATA'!J45:S45),"N/A")</f>
        <v>N/A</v>
      </c>
      <c r="W44" s="57" t="str">
        <f>IF(OR('CASE DATA'!F45="123.46",'CASE DATA'!F45="123.47"),"YES","NO")</f>
        <v>NO</v>
      </c>
      <c r="X44" s="60" t="str">
        <f>IF(W44="YES",COUNTIFS(AD$3:$AD$200,"&gt;"&amp;('CASE DATA'!D45),$AD$3:$AD$200,"&lt;"&amp;('CASE DATA'!D45+730.5)),"n/a")</f>
        <v>n/a</v>
      </c>
      <c r="Y44" s="62" t="str">
        <f>IF(W44="YES",IF(C44+730.5&lt;'BASIC INFO'!$B$3, "YES","NO"), "N/A")</f>
        <v>N/A</v>
      </c>
      <c r="Z44" s="57" t="str">
        <f>IF('CASE DATA'!F45="725.1","YES","NO")</f>
        <v>NO</v>
      </c>
      <c r="AA44" s="57" t="str">
        <f>IF(Z44="YES",IF(C44+730.5&lt;'BASIC INFO'!$B$3, "YES","NO"), "N/A")</f>
        <v>N/A</v>
      </c>
      <c r="AB44" s="57" t="str">
        <f>IF('BASIC INFO'!$B$6+6574.5&gt;C44, "YES", "NO")</f>
        <v>YES</v>
      </c>
      <c r="AC44" s="57" t="str">
        <f>IF(Z44="YES",COUNTIFS(AD$3:$AD$200,"&gt;"&amp;('CASE DATA'!D45),$AD$3:$AD$200,"&lt;"&amp;('CASE DATA'!D45+730.5)),"n/a")</f>
        <v>n/a</v>
      </c>
    </row>
    <row r="45" spans="1:29" x14ac:dyDescent="0.25">
      <c r="A45" s="57" t="str">
        <f>IF('CASE DATA'!A46="","z",'CASE DATA'!A46)</f>
        <v>z</v>
      </c>
      <c r="B45" s="57" t="str">
        <f>IF('CASE DATA'!A46="","",'CASE DATA'!E46)</f>
        <v/>
      </c>
      <c r="C45" s="58">
        <f>'CASE DATA'!D46</f>
        <v>0</v>
      </c>
      <c r="D45" s="59" t="str">
        <f>IF('CASE DATA'!I46="YES",SUM('CASE DATA'!J46:P46),"n/a")</f>
        <v>n/a</v>
      </c>
      <c r="E45" s="60" t="str">
        <f>IF(OR('CASE DATA'!G46="JUV", 'CASE DATA'!G46="JWV"), "YES", "NO")</f>
        <v>NO</v>
      </c>
      <c r="F45" s="60" t="str">
        <f t="array" ref="F45">IF(E45="YES",IF(SUM(COUNTIF('CASE DATA'!$G$4:$G$200, {"GTR","GPL","DEF","JUV"}))&gt;0, "YES","NO"),"N/A")</f>
        <v>N/A</v>
      </c>
      <c r="G45" s="60" t="str">
        <f>IF(E45="YES",IF(COUNTIF('CASE DATA'!$D$4:$D$200, "")-COUNTIF('CASE DATA'!$A$4:$A$200, "")&gt;0, "YES","NO"),"N/A")</f>
        <v>N/A</v>
      </c>
      <c r="H45" s="57" t="str">
        <f>_xlfn.IFS(E45="NO", "N/A", AND('BASIC INFO'!$B$3&gt;'BASIC INFO'!$B$6+6574.5, C45+730.5&lt;'BASIC INFO'!$B$3), "YES", 'BASIC INFO'!$B$3&lt;('BASIC INFO'!$B$6+6574.5), "NOT YET 18", C45+730.5&gt;'BASIC INFO'!$B$3, "NOT YET 2 YEARS")</f>
        <v>N/A</v>
      </c>
      <c r="I45" s="61" t="str">
        <f>IF(OR(AND(LEFT('CASE DATA'!F46,4)="321.",MID('CASE DATA'!A46,8,2)="SM"),MID('CASE DATA'!A46,8,2)="ST",MID('CASE DATA'!A46,8,2)="NT"),"TRAFFIC",IF(OR('CASE DATA'!G46="DISM", 'CASE DATA'!G46="ACQ", 'CASE DATA'!G46="NOTF", 'CASE DATA'!G46="WTHD", 'CASE DATA'!G46="TNSF"), "YES", "NO"))</f>
        <v>NO</v>
      </c>
      <c r="J45" s="62" t="str">
        <f>IF(I45="YES",'CASE DATA'!T46,"N/A")</f>
        <v>N/A</v>
      </c>
      <c r="K45" s="57" t="str">
        <f>IF(I45="YES",IF(C45+180&lt;'BASIC INFO'!$B$3, "YES", "NO"),"N/A")</f>
        <v>N/A</v>
      </c>
      <c r="L45" s="62" t="str">
        <f t="array" ref="L45">IF(I45="TRAFFIC","n/a",IF(OR('CASE DATA'!G46="GTR", 'CASE DATA'!G46="GPL"),IF(SUM(COUNTIF('CASE DATA'!W46:AH46, 'CODE SECTIONS'!$V$2:$V$218&amp;"*"))&gt;0,"felony","eligible"),"n/a"))</f>
        <v>n/a</v>
      </c>
      <c r="M45" s="62" t="str">
        <f t="array" ref="M45">IF(L45="eligible",IF(OR((SUM(COUNTIF('CASE DATA'!W46:AH46,'CODE SECTIONS'!$X$2:$X$19&amp;"*"))&gt;0),LEFT('CASE DATA'!W46:AH46,4)="717C", LEFT('CASE DATA'!W46:AH46, 3)="719", LEFT('CASE DATA'!W46:AH46,3)="720", LEFT('CASE DATA'!W46:AH46,3)="724", LEFT('CASE DATA'!W46:AH46,3)="726", LEFT('CASE DATA'!W46:AH46,3)="728", LEFT('CASE DATA'!W46:AH46,4)="901A"), "ineligible misd","eligible"),"n/a")</f>
        <v>n/a</v>
      </c>
      <c r="N45" s="62" t="str">
        <f>IF(M45="eligible",IF(COUNTIF('CASE DATA'!$D$4:$D$200, "")-COUNTIF('CASE DATA'!$A$4:$A$200, "")&gt;0, "YES","NO"),"N/A")</f>
        <v>N/A</v>
      </c>
      <c r="O45" s="62" t="str">
        <f>IF(M45="eligible",BANKRUPTCY!C46+BANKRUPTCY!D46,"N/A")</f>
        <v>N/A</v>
      </c>
      <c r="P45" s="62" t="str">
        <f>IF(M45="eligible",SOL!C46+SOL!D46+SOL!E46,"N/A")</f>
        <v>N/A</v>
      </c>
      <c r="Q45" s="62" t="str">
        <f>IF(M45="eligible",SUM('CASE DATA'!J46:S46),"N/A")</f>
        <v>N/A</v>
      </c>
      <c r="R45" s="62" t="str">
        <f>IF(M45="eligible",IF(C45+2920&lt;'BASIC INFO'!$B$3, "YES", "NO"),"N/A")</f>
        <v>N/A</v>
      </c>
      <c r="S45" s="61" t="str">
        <f>IF(OR('CASE DATA'!G46="DEF"), "YES", "NO")</f>
        <v>NO</v>
      </c>
      <c r="T45" s="57" t="str">
        <f>IF(S45="YES",'CASE DATA'!I46,"N/A")</f>
        <v>N/A</v>
      </c>
      <c r="U45" s="62" t="str">
        <f>IF(S45="YES",BANKRUPTCY!C46+BANKRUPTCY!D46,"N/A")</f>
        <v>N/A</v>
      </c>
      <c r="V45" s="62" t="str">
        <f>IF(S45="YES",SUM('CASE DATA'!J46:S46),"N/A")</f>
        <v>N/A</v>
      </c>
      <c r="W45" s="57" t="str">
        <f>IF(OR('CASE DATA'!F46="123.46",'CASE DATA'!F46="123.47"),"YES","NO")</f>
        <v>NO</v>
      </c>
      <c r="X45" s="60" t="str">
        <f>IF(W45="YES",COUNTIFS(AD$3:$AD$200,"&gt;"&amp;('CASE DATA'!D46),$AD$3:$AD$200,"&lt;"&amp;('CASE DATA'!D46+730.5)),"n/a")</f>
        <v>n/a</v>
      </c>
      <c r="Y45" s="62" t="str">
        <f>IF(W45="YES",IF(C45+730.5&lt;'BASIC INFO'!$B$3, "YES","NO"), "N/A")</f>
        <v>N/A</v>
      </c>
      <c r="Z45" s="57" t="str">
        <f>IF('CASE DATA'!F46="725.1","YES","NO")</f>
        <v>NO</v>
      </c>
      <c r="AA45" s="57" t="str">
        <f>IF(Z45="YES",IF(C45+730.5&lt;'BASIC INFO'!$B$3, "YES","NO"), "N/A")</f>
        <v>N/A</v>
      </c>
      <c r="AB45" s="57" t="str">
        <f>IF('BASIC INFO'!$B$6+6574.5&gt;C45, "YES", "NO")</f>
        <v>YES</v>
      </c>
      <c r="AC45" s="57" t="str">
        <f>IF(Z45="YES",COUNTIFS(AD$3:$AD$200,"&gt;"&amp;('CASE DATA'!D46),$AD$3:$AD$200,"&lt;"&amp;('CASE DATA'!D46+730.5)),"n/a")</f>
        <v>n/a</v>
      </c>
    </row>
    <row r="46" spans="1:29" x14ac:dyDescent="0.25">
      <c r="A46" s="57" t="str">
        <f>IF('CASE DATA'!A47="","z",'CASE DATA'!A47)</f>
        <v>z</v>
      </c>
      <c r="B46" s="57" t="str">
        <f>IF('CASE DATA'!A47="","",'CASE DATA'!E47)</f>
        <v/>
      </c>
      <c r="C46" s="58">
        <f>'CASE DATA'!D47</f>
        <v>0</v>
      </c>
      <c r="D46" s="59" t="str">
        <f>IF('CASE DATA'!I47="YES",SUM('CASE DATA'!J47:P47),"n/a")</f>
        <v>n/a</v>
      </c>
      <c r="E46" s="60" t="str">
        <f>IF(OR('CASE DATA'!G47="JUV", 'CASE DATA'!G47="JWV"), "YES", "NO")</f>
        <v>NO</v>
      </c>
      <c r="F46" s="60" t="str">
        <f t="array" ref="F46">IF(E46="YES",IF(SUM(COUNTIF('CASE DATA'!$G$4:$G$200, {"GTR","GPL","DEF","JUV"}))&gt;0, "YES","NO"),"N/A")</f>
        <v>N/A</v>
      </c>
      <c r="G46" s="60" t="str">
        <f>IF(E46="YES",IF(COUNTIF('CASE DATA'!$D$4:$D$200, "")-COUNTIF('CASE DATA'!$A$4:$A$200, "")&gt;0, "YES","NO"),"N/A")</f>
        <v>N/A</v>
      </c>
      <c r="H46" s="57" t="str">
        <f>_xlfn.IFS(E46="NO", "N/A", AND('BASIC INFO'!$B$3&gt;'BASIC INFO'!$B$6+6574.5, C46+730.5&lt;'BASIC INFO'!$B$3), "YES", 'BASIC INFO'!$B$3&lt;('BASIC INFO'!$B$6+6574.5), "NOT YET 18", C46+730.5&gt;'BASIC INFO'!$B$3, "NOT YET 2 YEARS")</f>
        <v>N/A</v>
      </c>
      <c r="I46" s="61" t="str">
        <f>IF(OR(AND(LEFT('CASE DATA'!F47,4)="321.",MID('CASE DATA'!A47,8,2)="SM"),MID('CASE DATA'!A47,8,2)="ST",MID('CASE DATA'!A47,8,2)="NT"),"TRAFFIC",IF(OR('CASE DATA'!G47="DISM", 'CASE DATA'!G47="ACQ", 'CASE DATA'!G47="NOTF", 'CASE DATA'!G47="WTHD", 'CASE DATA'!G47="TNSF"), "YES", "NO"))</f>
        <v>NO</v>
      </c>
      <c r="J46" s="62" t="str">
        <f>IF(I46="YES",'CASE DATA'!T47,"N/A")</f>
        <v>N/A</v>
      </c>
      <c r="K46" s="57" t="str">
        <f>IF(I46="YES",IF(C46+180&lt;'BASIC INFO'!$B$3, "YES", "NO"),"N/A")</f>
        <v>N/A</v>
      </c>
      <c r="L46" s="62" t="str">
        <f t="array" ref="L46">IF(I46="TRAFFIC","n/a",IF(OR('CASE DATA'!G47="GTR", 'CASE DATA'!G47="GPL"),IF(SUM(COUNTIF('CASE DATA'!W47:AH47, 'CODE SECTIONS'!$V$2:$V$218&amp;"*"))&gt;0,"felony","eligible"),"n/a"))</f>
        <v>n/a</v>
      </c>
      <c r="M46" s="62" t="str">
        <f t="array" ref="M46">IF(L46="eligible",IF(OR((SUM(COUNTIF('CASE DATA'!W47:AH47,'CODE SECTIONS'!$X$2:$X$19&amp;"*"))&gt;0),LEFT('CASE DATA'!W47:AH47,4)="717C", LEFT('CASE DATA'!W47:AH47, 3)="719", LEFT('CASE DATA'!W47:AH47,3)="720", LEFT('CASE DATA'!W47:AH47,3)="724", LEFT('CASE DATA'!W47:AH47,3)="726", LEFT('CASE DATA'!W47:AH47,3)="728", LEFT('CASE DATA'!W47:AH47,4)="901A"), "ineligible misd","eligible"),"n/a")</f>
        <v>n/a</v>
      </c>
      <c r="N46" s="62" t="str">
        <f>IF(M46="eligible",IF(COUNTIF('CASE DATA'!$D$4:$D$200, "")-COUNTIF('CASE DATA'!$A$4:$A$200, "")&gt;0, "YES","NO"),"N/A")</f>
        <v>N/A</v>
      </c>
      <c r="O46" s="62" t="str">
        <f>IF(M46="eligible",BANKRUPTCY!C47+BANKRUPTCY!D47,"N/A")</f>
        <v>N/A</v>
      </c>
      <c r="P46" s="62" t="str">
        <f>IF(M46="eligible",SOL!C47+SOL!D47+SOL!E47,"N/A")</f>
        <v>N/A</v>
      </c>
      <c r="Q46" s="62" t="str">
        <f>IF(M46="eligible",SUM('CASE DATA'!J47:S47),"N/A")</f>
        <v>N/A</v>
      </c>
      <c r="R46" s="62" t="str">
        <f>IF(M46="eligible",IF(C46+2920&lt;'BASIC INFO'!$B$3, "YES", "NO"),"N/A")</f>
        <v>N/A</v>
      </c>
      <c r="S46" s="61" t="str">
        <f>IF(OR('CASE DATA'!G47="DEF"), "YES", "NO")</f>
        <v>NO</v>
      </c>
      <c r="T46" s="57" t="str">
        <f>IF(S46="YES",'CASE DATA'!I47,"N/A")</f>
        <v>N/A</v>
      </c>
      <c r="U46" s="62" t="str">
        <f>IF(S46="YES",BANKRUPTCY!C47+BANKRUPTCY!D47,"N/A")</f>
        <v>N/A</v>
      </c>
      <c r="V46" s="62" t="str">
        <f>IF(S46="YES",SUM('CASE DATA'!J47:S47),"N/A")</f>
        <v>N/A</v>
      </c>
      <c r="W46" s="57" t="str">
        <f>IF(OR('CASE DATA'!F47="123.46",'CASE DATA'!F47="123.47"),"YES","NO")</f>
        <v>NO</v>
      </c>
      <c r="X46" s="60" t="str">
        <f>IF(W46="YES",COUNTIFS(AD$3:$AD$200,"&gt;"&amp;('CASE DATA'!D47),$AD$3:$AD$200,"&lt;"&amp;('CASE DATA'!D47+730.5)),"n/a")</f>
        <v>n/a</v>
      </c>
      <c r="Y46" s="62" t="str">
        <f>IF(W46="YES",IF(C46+730.5&lt;'BASIC INFO'!$B$3, "YES","NO"), "N/A")</f>
        <v>N/A</v>
      </c>
      <c r="Z46" s="57" t="str">
        <f>IF('CASE DATA'!F47="725.1","YES","NO")</f>
        <v>NO</v>
      </c>
      <c r="AA46" s="57" t="str">
        <f>IF(Z46="YES",IF(C46+730.5&lt;'BASIC INFO'!$B$3, "YES","NO"), "N/A")</f>
        <v>N/A</v>
      </c>
      <c r="AB46" s="57" t="str">
        <f>IF('BASIC INFO'!$B$6+6574.5&gt;C46, "YES", "NO")</f>
        <v>YES</v>
      </c>
      <c r="AC46" s="57" t="str">
        <f>IF(Z46="YES",COUNTIFS(AD$3:$AD$200,"&gt;"&amp;('CASE DATA'!D47),$AD$3:$AD$200,"&lt;"&amp;('CASE DATA'!D47+730.5)),"n/a")</f>
        <v>n/a</v>
      </c>
    </row>
    <row r="47" spans="1:29" x14ac:dyDescent="0.25">
      <c r="A47" s="57" t="str">
        <f>IF('CASE DATA'!A48="","z",'CASE DATA'!A48)</f>
        <v>z</v>
      </c>
      <c r="B47" s="57" t="str">
        <f>IF('CASE DATA'!A48="","",'CASE DATA'!E48)</f>
        <v/>
      </c>
      <c r="C47" s="58">
        <f>'CASE DATA'!D48</f>
        <v>0</v>
      </c>
      <c r="D47" s="59" t="str">
        <f>IF('CASE DATA'!I48="YES",SUM('CASE DATA'!J48:P48),"n/a")</f>
        <v>n/a</v>
      </c>
      <c r="E47" s="60" t="str">
        <f>IF(OR('CASE DATA'!G48="JUV", 'CASE DATA'!G48="JWV"), "YES", "NO")</f>
        <v>NO</v>
      </c>
      <c r="F47" s="60" t="str">
        <f t="array" ref="F47">IF(E47="YES",IF(SUM(COUNTIF('CASE DATA'!$G$4:$G$200, {"GTR","GPL","DEF","JUV"}))&gt;0, "YES","NO"),"N/A")</f>
        <v>N/A</v>
      </c>
      <c r="G47" s="60" t="str">
        <f>IF(E47="YES",IF(COUNTIF('CASE DATA'!$D$4:$D$200, "")-COUNTIF('CASE DATA'!$A$4:$A$200, "")&gt;0, "YES","NO"),"N/A")</f>
        <v>N/A</v>
      </c>
      <c r="H47" s="57" t="str">
        <f>_xlfn.IFS(E47="NO", "N/A", AND('BASIC INFO'!$B$3&gt;'BASIC INFO'!$B$6+6574.5, C47+730.5&lt;'BASIC INFO'!$B$3), "YES", 'BASIC INFO'!$B$3&lt;('BASIC INFO'!$B$6+6574.5), "NOT YET 18", C47+730.5&gt;'BASIC INFO'!$B$3, "NOT YET 2 YEARS")</f>
        <v>N/A</v>
      </c>
      <c r="I47" s="61" t="str">
        <f>IF(OR(AND(LEFT('CASE DATA'!F48,4)="321.",MID('CASE DATA'!A48,8,2)="SM"),MID('CASE DATA'!A48,8,2)="ST",MID('CASE DATA'!A48,8,2)="NT"),"TRAFFIC",IF(OR('CASE DATA'!G48="DISM", 'CASE DATA'!G48="ACQ", 'CASE DATA'!G48="NOTF", 'CASE DATA'!G48="WTHD", 'CASE DATA'!G48="TNSF"), "YES", "NO"))</f>
        <v>NO</v>
      </c>
      <c r="J47" s="62" t="str">
        <f>IF(I47="YES",'CASE DATA'!T48,"N/A")</f>
        <v>N/A</v>
      </c>
      <c r="K47" s="57" t="str">
        <f>IF(I47="YES",IF(C47+180&lt;'BASIC INFO'!$B$3, "YES", "NO"),"N/A")</f>
        <v>N/A</v>
      </c>
      <c r="L47" s="62" t="str">
        <f t="array" ref="L47">IF(I47="TRAFFIC","n/a",IF(OR('CASE DATA'!G48="GTR", 'CASE DATA'!G48="GPL"),IF(SUM(COUNTIF('CASE DATA'!W48:AH48, 'CODE SECTIONS'!$V$2:$V$218&amp;"*"))&gt;0,"felony","eligible"),"n/a"))</f>
        <v>n/a</v>
      </c>
      <c r="M47" s="62" t="str">
        <f t="array" ref="M47">IF(L47="eligible",IF(OR((SUM(COUNTIF('CASE DATA'!W48:AH48,'CODE SECTIONS'!$X$2:$X$19&amp;"*"))&gt;0),LEFT('CASE DATA'!W48:AH48,4)="717C", LEFT('CASE DATA'!W48:AH48, 3)="719", LEFT('CASE DATA'!W48:AH48,3)="720", LEFT('CASE DATA'!W48:AH48,3)="724", LEFT('CASE DATA'!W48:AH48,3)="726", LEFT('CASE DATA'!W48:AH48,3)="728", LEFT('CASE DATA'!W48:AH48,4)="901A"), "ineligible misd","eligible"),"n/a")</f>
        <v>n/a</v>
      </c>
      <c r="N47" s="62" t="str">
        <f>IF(M47="eligible",IF(COUNTIF('CASE DATA'!$D$4:$D$200, "")-COUNTIF('CASE DATA'!$A$4:$A$200, "")&gt;0, "YES","NO"),"N/A")</f>
        <v>N/A</v>
      </c>
      <c r="O47" s="62" t="str">
        <f>IF(M47="eligible",BANKRUPTCY!C48+BANKRUPTCY!D48,"N/A")</f>
        <v>N/A</v>
      </c>
      <c r="P47" s="62" t="str">
        <f>IF(M47="eligible",SOL!C48+SOL!D48+SOL!E48,"N/A")</f>
        <v>N/A</v>
      </c>
      <c r="Q47" s="62" t="str">
        <f>IF(M47="eligible",SUM('CASE DATA'!J48:S48),"N/A")</f>
        <v>N/A</v>
      </c>
      <c r="R47" s="62" t="str">
        <f>IF(M47="eligible",IF(C47+2920&lt;'BASIC INFO'!$B$3, "YES", "NO"),"N/A")</f>
        <v>N/A</v>
      </c>
      <c r="S47" s="61" t="str">
        <f>IF(OR('CASE DATA'!G48="DEF"), "YES", "NO")</f>
        <v>NO</v>
      </c>
      <c r="T47" s="57" t="str">
        <f>IF(S47="YES",'CASE DATA'!I48,"N/A")</f>
        <v>N/A</v>
      </c>
      <c r="U47" s="62" t="str">
        <f>IF(S47="YES",BANKRUPTCY!C48+BANKRUPTCY!D48,"N/A")</f>
        <v>N/A</v>
      </c>
      <c r="V47" s="62" t="str">
        <f>IF(S47="YES",SUM('CASE DATA'!J48:S48),"N/A")</f>
        <v>N/A</v>
      </c>
      <c r="W47" s="57" t="str">
        <f>IF(OR('CASE DATA'!F48="123.46",'CASE DATA'!F48="123.47"),"YES","NO")</f>
        <v>NO</v>
      </c>
      <c r="X47" s="60" t="str">
        <f>IF(W47="YES",COUNTIFS(AD$3:$AD$200,"&gt;"&amp;('CASE DATA'!D48),$AD$3:$AD$200,"&lt;"&amp;('CASE DATA'!D48+730.5)),"n/a")</f>
        <v>n/a</v>
      </c>
      <c r="Y47" s="62" t="str">
        <f>IF(W47="YES",IF(C47+730.5&lt;'BASIC INFO'!$B$3, "YES","NO"), "N/A")</f>
        <v>N/A</v>
      </c>
      <c r="Z47" s="57" t="str">
        <f>IF('CASE DATA'!F48="725.1","YES","NO")</f>
        <v>NO</v>
      </c>
      <c r="AA47" s="57" t="str">
        <f>IF(Z47="YES",IF(C47+730.5&lt;'BASIC INFO'!$B$3, "YES","NO"), "N/A")</f>
        <v>N/A</v>
      </c>
      <c r="AB47" s="57" t="str">
        <f>IF('BASIC INFO'!$B$6+6574.5&gt;C47, "YES", "NO")</f>
        <v>YES</v>
      </c>
      <c r="AC47" s="57" t="str">
        <f>IF(Z47="YES",COUNTIFS(AD$3:$AD$200,"&gt;"&amp;('CASE DATA'!D48),$AD$3:$AD$200,"&lt;"&amp;('CASE DATA'!D48+730.5)),"n/a")</f>
        <v>n/a</v>
      </c>
    </row>
    <row r="48" spans="1:29" x14ac:dyDescent="0.25">
      <c r="A48" s="57" t="str">
        <f>IF('CASE DATA'!A49="","z",'CASE DATA'!A49)</f>
        <v>z</v>
      </c>
      <c r="B48" s="57" t="str">
        <f>IF('CASE DATA'!A49="","",'CASE DATA'!E49)</f>
        <v/>
      </c>
      <c r="C48" s="58">
        <f>'CASE DATA'!D49</f>
        <v>0</v>
      </c>
      <c r="D48" s="59" t="str">
        <f>IF('CASE DATA'!I49="YES",SUM('CASE DATA'!J49:P49),"n/a")</f>
        <v>n/a</v>
      </c>
      <c r="E48" s="60" t="str">
        <f>IF(OR('CASE DATA'!G49="JUV", 'CASE DATA'!G49="JWV"), "YES", "NO")</f>
        <v>NO</v>
      </c>
      <c r="F48" s="60" t="str">
        <f t="array" ref="F48">IF(E48="YES",IF(SUM(COUNTIF('CASE DATA'!$G$4:$G$200, {"GTR","GPL","DEF","JUV"}))&gt;0, "YES","NO"),"N/A")</f>
        <v>N/A</v>
      </c>
      <c r="G48" s="60" t="str">
        <f>IF(E48="YES",IF(COUNTIF('CASE DATA'!$D$4:$D$200, "")-COUNTIF('CASE DATA'!$A$4:$A$200, "")&gt;0, "YES","NO"),"N/A")</f>
        <v>N/A</v>
      </c>
      <c r="H48" s="57" t="str">
        <f>_xlfn.IFS(E48="NO", "N/A", AND('BASIC INFO'!$B$3&gt;'BASIC INFO'!$B$6+6574.5, C48+730.5&lt;'BASIC INFO'!$B$3), "YES", 'BASIC INFO'!$B$3&lt;('BASIC INFO'!$B$6+6574.5), "NOT YET 18", C48+730.5&gt;'BASIC INFO'!$B$3, "NOT YET 2 YEARS")</f>
        <v>N/A</v>
      </c>
      <c r="I48" s="61" t="str">
        <f>IF(OR(AND(LEFT('CASE DATA'!F49,4)="321.",MID('CASE DATA'!A49,8,2)="SM"),MID('CASE DATA'!A49,8,2)="ST",MID('CASE DATA'!A49,8,2)="NT"),"TRAFFIC",IF(OR('CASE DATA'!G49="DISM", 'CASE DATA'!G49="ACQ", 'CASE DATA'!G49="NOTF", 'CASE DATA'!G49="WTHD", 'CASE DATA'!G49="TNSF"), "YES", "NO"))</f>
        <v>NO</v>
      </c>
      <c r="J48" s="62" t="str">
        <f>IF(I48="YES",'CASE DATA'!T49,"N/A")</f>
        <v>N/A</v>
      </c>
      <c r="K48" s="57" t="str">
        <f>IF(I48="YES",IF(C48+180&lt;'BASIC INFO'!$B$3, "YES", "NO"),"N/A")</f>
        <v>N/A</v>
      </c>
      <c r="L48" s="62" t="str">
        <f t="array" ref="L48">IF(I48="TRAFFIC","n/a",IF(OR('CASE DATA'!G49="GTR", 'CASE DATA'!G49="GPL"),IF(SUM(COUNTIF('CASE DATA'!W49:AH49, 'CODE SECTIONS'!$V$2:$V$218&amp;"*"))&gt;0,"felony","eligible"),"n/a"))</f>
        <v>n/a</v>
      </c>
      <c r="M48" s="62" t="str">
        <f t="array" ref="M48">IF(L48="eligible",IF(OR((SUM(COUNTIF('CASE DATA'!W49:AH49,'CODE SECTIONS'!$X$2:$X$19&amp;"*"))&gt;0),LEFT('CASE DATA'!W49:AH49,4)="717C", LEFT('CASE DATA'!W49:AH49, 3)="719", LEFT('CASE DATA'!W49:AH49,3)="720", LEFT('CASE DATA'!W49:AH49,3)="724", LEFT('CASE DATA'!W49:AH49,3)="726", LEFT('CASE DATA'!W49:AH49,3)="728", LEFT('CASE DATA'!W49:AH49,4)="901A"), "ineligible misd","eligible"),"n/a")</f>
        <v>n/a</v>
      </c>
      <c r="N48" s="62" t="str">
        <f>IF(M48="eligible",IF(COUNTIF('CASE DATA'!$D$4:$D$200, "")-COUNTIF('CASE DATA'!$A$4:$A$200, "")&gt;0, "YES","NO"),"N/A")</f>
        <v>N/A</v>
      </c>
      <c r="O48" s="62" t="str">
        <f>IF(M48="eligible",BANKRUPTCY!C49+BANKRUPTCY!D49,"N/A")</f>
        <v>N/A</v>
      </c>
      <c r="P48" s="62" t="str">
        <f>IF(M48="eligible",SOL!C49+SOL!D49+SOL!E49,"N/A")</f>
        <v>N/A</v>
      </c>
      <c r="Q48" s="62" t="str">
        <f>IF(M48="eligible",SUM('CASE DATA'!J49:S49),"N/A")</f>
        <v>N/A</v>
      </c>
      <c r="R48" s="62" t="str">
        <f>IF(M48="eligible",IF(C48+2920&lt;'BASIC INFO'!$B$3, "YES", "NO"),"N/A")</f>
        <v>N/A</v>
      </c>
      <c r="S48" s="61" t="str">
        <f>IF(OR('CASE DATA'!G49="DEF"), "YES", "NO")</f>
        <v>NO</v>
      </c>
      <c r="T48" s="57" t="str">
        <f>IF(S48="YES",'CASE DATA'!I49,"N/A")</f>
        <v>N/A</v>
      </c>
      <c r="U48" s="62" t="str">
        <f>IF(S48="YES",BANKRUPTCY!C49+BANKRUPTCY!D49,"N/A")</f>
        <v>N/A</v>
      </c>
      <c r="V48" s="62" t="str">
        <f>IF(S48="YES",SUM('CASE DATA'!J49:S49),"N/A")</f>
        <v>N/A</v>
      </c>
      <c r="W48" s="57" t="str">
        <f>IF(OR('CASE DATA'!F49="123.46",'CASE DATA'!F49="123.47"),"YES","NO")</f>
        <v>NO</v>
      </c>
      <c r="X48" s="60" t="str">
        <f>IF(W48="YES",COUNTIFS(AD$3:$AD$200,"&gt;"&amp;('CASE DATA'!D49),$AD$3:$AD$200,"&lt;"&amp;('CASE DATA'!D49+730.5)),"n/a")</f>
        <v>n/a</v>
      </c>
      <c r="Y48" s="62" t="str">
        <f>IF(W48="YES",IF(C48+730.5&lt;'BASIC INFO'!$B$3, "YES","NO"), "N/A")</f>
        <v>N/A</v>
      </c>
      <c r="Z48" s="57" t="str">
        <f>IF('CASE DATA'!F49="725.1","YES","NO")</f>
        <v>NO</v>
      </c>
      <c r="AA48" s="57" t="str">
        <f>IF(Z48="YES",IF(C48+730.5&lt;'BASIC INFO'!$B$3, "YES","NO"), "N/A")</f>
        <v>N/A</v>
      </c>
      <c r="AB48" s="57" t="str">
        <f>IF('BASIC INFO'!$B$6+6574.5&gt;C48, "YES", "NO")</f>
        <v>YES</v>
      </c>
      <c r="AC48" s="57" t="str">
        <f>IF(Z48="YES",COUNTIFS(AD$3:$AD$200,"&gt;"&amp;('CASE DATA'!D49),$AD$3:$AD$200,"&lt;"&amp;('CASE DATA'!D49+730.5)),"n/a")</f>
        <v>n/a</v>
      </c>
    </row>
    <row r="49" spans="1:29" x14ac:dyDescent="0.25">
      <c r="A49" s="57" t="str">
        <f>IF('CASE DATA'!A50="","z",'CASE DATA'!A50)</f>
        <v>z</v>
      </c>
      <c r="B49" s="57" t="str">
        <f>IF('CASE DATA'!A50="","",'CASE DATA'!E50)</f>
        <v/>
      </c>
      <c r="C49" s="58">
        <f>'CASE DATA'!D50</f>
        <v>0</v>
      </c>
      <c r="D49" s="59" t="str">
        <f>IF('CASE DATA'!I50="YES",SUM('CASE DATA'!J50:P50),"n/a")</f>
        <v>n/a</v>
      </c>
      <c r="E49" s="60" t="str">
        <f>IF(OR('CASE DATA'!G50="JUV", 'CASE DATA'!G50="JWV"), "YES", "NO")</f>
        <v>NO</v>
      </c>
      <c r="F49" s="60" t="str">
        <f t="array" ref="F49">IF(E49="YES",IF(SUM(COUNTIF('CASE DATA'!$G$4:$G$200, {"GTR","GPL","DEF","JUV"}))&gt;0, "YES","NO"),"N/A")</f>
        <v>N/A</v>
      </c>
      <c r="G49" s="60" t="str">
        <f>IF(E49="YES",IF(COUNTIF('CASE DATA'!$D$4:$D$200, "")-COUNTIF('CASE DATA'!$A$4:$A$200, "")&gt;0, "YES","NO"),"N/A")</f>
        <v>N/A</v>
      </c>
      <c r="H49" s="57" t="str">
        <f>_xlfn.IFS(E49="NO", "N/A", AND('BASIC INFO'!$B$3&gt;'BASIC INFO'!$B$6+6574.5, C49+730.5&lt;'BASIC INFO'!$B$3), "YES", 'BASIC INFO'!$B$3&lt;('BASIC INFO'!$B$6+6574.5), "NOT YET 18", C49+730.5&gt;'BASIC INFO'!$B$3, "NOT YET 2 YEARS")</f>
        <v>N/A</v>
      </c>
      <c r="I49" s="61" t="str">
        <f>IF(OR(AND(LEFT('CASE DATA'!F50,4)="321.",MID('CASE DATA'!A50,8,2)="SM"),MID('CASE DATA'!A50,8,2)="ST",MID('CASE DATA'!A50,8,2)="NT"),"TRAFFIC",IF(OR('CASE DATA'!G50="DISM", 'CASE DATA'!G50="ACQ", 'CASE DATA'!G50="NOTF", 'CASE DATA'!G50="WTHD", 'CASE DATA'!G50="TNSF"), "YES", "NO"))</f>
        <v>NO</v>
      </c>
      <c r="J49" s="62" t="str">
        <f>IF(I49="YES",'CASE DATA'!T50,"N/A")</f>
        <v>N/A</v>
      </c>
      <c r="K49" s="57" t="str">
        <f>IF(I49="YES",IF(C49+180&lt;'BASIC INFO'!$B$3, "YES", "NO"),"N/A")</f>
        <v>N/A</v>
      </c>
      <c r="L49" s="62" t="str">
        <f t="array" ref="L49">IF(I49="TRAFFIC","n/a",IF(OR('CASE DATA'!G50="GTR", 'CASE DATA'!G50="GPL"),IF(SUM(COUNTIF('CASE DATA'!W50:AH50, 'CODE SECTIONS'!$V$2:$V$218&amp;"*"))&gt;0,"felony","eligible"),"n/a"))</f>
        <v>n/a</v>
      </c>
      <c r="M49" s="62" t="str">
        <f t="array" ref="M49">IF(L49="eligible",IF(OR((SUM(COUNTIF('CASE DATA'!W50:AH50,'CODE SECTIONS'!$X$2:$X$19&amp;"*"))&gt;0),LEFT('CASE DATA'!W50:AH50,4)="717C", LEFT('CASE DATA'!W50:AH50, 3)="719", LEFT('CASE DATA'!W50:AH50,3)="720", LEFT('CASE DATA'!W50:AH50,3)="724", LEFT('CASE DATA'!W50:AH50,3)="726", LEFT('CASE DATA'!W50:AH50,3)="728", LEFT('CASE DATA'!W50:AH50,4)="901A"), "ineligible misd","eligible"),"n/a")</f>
        <v>n/a</v>
      </c>
      <c r="N49" s="62" t="str">
        <f>IF(M49="eligible",IF(COUNTIF('CASE DATA'!$D$4:$D$200, "")-COUNTIF('CASE DATA'!$A$4:$A$200, "")&gt;0, "YES","NO"),"N/A")</f>
        <v>N/A</v>
      </c>
      <c r="O49" s="62" t="str">
        <f>IF(M49="eligible",BANKRUPTCY!C50+BANKRUPTCY!D50,"N/A")</f>
        <v>N/A</v>
      </c>
      <c r="P49" s="62" t="str">
        <f>IF(M49="eligible",SOL!C50+SOL!D50+SOL!E50,"N/A")</f>
        <v>N/A</v>
      </c>
      <c r="Q49" s="62" t="str">
        <f>IF(M49="eligible",SUM('CASE DATA'!J50:S50),"N/A")</f>
        <v>N/A</v>
      </c>
      <c r="R49" s="62" t="str">
        <f>IF(M49="eligible",IF(C49+2920&lt;'BASIC INFO'!$B$3, "YES", "NO"),"N/A")</f>
        <v>N/A</v>
      </c>
      <c r="S49" s="61" t="str">
        <f>IF(OR('CASE DATA'!G50="DEF"), "YES", "NO")</f>
        <v>NO</v>
      </c>
      <c r="T49" s="57" t="str">
        <f>IF(S49="YES",'CASE DATA'!I50,"N/A")</f>
        <v>N/A</v>
      </c>
      <c r="U49" s="62" t="str">
        <f>IF(S49="YES",BANKRUPTCY!C50+BANKRUPTCY!D50,"N/A")</f>
        <v>N/A</v>
      </c>
      <c r="V49" s="62" t="str">
        <f>IF(S49="YES",SUM('CASE DATA'!J50:S50),"N/A")</f>
        <v>N/A</v>
      </c>
      <c r="W49" s="57" t="str">
        <f>IF(OR('CASE DATA'!F50="123.46",'CASE DATA'!F50="123.47"),"YES","NO")</f>
        <v>NO</v>
      </c>
      <c r="X49" s="60" t="str">
        <f>IF(W49="YES",COUNTIFS(AD$3:$AD$200,"&gt;"&amp;('CASE DATA'!D50),$AD$3:$AD$200,"&lt;"&amp;('CASE DATA'!D50+730.5)),"n/a")</f>
        <v>n/a</v>
      </c>
      <c r="Y49" s="62" t="str">
        <f>IF(W49="YES",IF(C49+730.5&lt;'BASIC INFO'!$B$3, "YES","NO"), "N/A")</f>
        <v>N/A</v>
      </c>
      <c r="Z49" s="57" t="str">
        <f>IF('CASE DATA'!F50="725.1","YES","NO")</f>
        <v>NO</v>
      </c>
      <c r="AA49" s="57" t="str">
        <f>IF(Z49="YES",IF(C49+730.5&lt;'BASIC INFO'!$B$3, "YES","NO"), "N/A")</f>
        <v>N/A</v>
      </c>
      <c r="AB49" s="57" t="str">
        <f>IF('BASIC INFO'!$B$6+6574.5&gt;C49, "YES", "NO")</f>
        <v>YES</v>
      </c>
      <c r="AC49" s="57" t="str">
        <f>IF(Z49="YES",COUNTIFS(AD$3:$AD$200,"&gt;"&amp;('CASE DATA'!D50),$AD$3:$AD$200,"&lt;"&amp;('CASE DATA'!D50+730.5)),"n/a")</f>
        <v>n/a</v>
      </c>
    </row>
    <row r="50" spans="1:29" x14ac:dyDescent="0.25">
      <c r="A50" s="57" t="str">
        <f>IF('CASE DATA'!A51="","z",'CASE DATA'!A51)</f>
        <v>z</v>
      </c>
      <c r="B50" s="57" t="str">
        <f>IF('CASE DATA'!A51="","",'CASE DATA'!E51)</f>
        <v/>
      </c>
      <c r="C50" s="58">
        <f>'CASE DATA'!D51</f>
        <v>0</v>
      </c>
      <c r="D50" s="59" t="str">
        <f>IF('CASE DATA'!I51="YES",SUM('CASE DATA'!J51:P51),"n/a")</f>
        <v>n/a</v>
      </c>
      <c r="E50" s="60" t="str">
        <f>IF(OR('CASE DATA'!G51="JUV", 'CASE DATA'!G51="JWV"), "YES", "NO")</f>
        <v>NO</v>
      </c>
      <c r="F50" s="60" t="str">
        <f t="array" ref="F50">IF(E50="YES",IF(SUM(COUNTIF('CASE DATA'!$G$4:$G$200, {"GTR","GPL","DEF","JUV"}))&gt;0, "YES","NO"),"N/A")</f>
        <v>N/A</v>
      </c>
      <c r="G50" s="60" t="str">
        <f>IF(E50="YES",IF(COUNTIF('CASE DATA'!$D$4:$D$200, "")-COUNTIF('CASE DATA'!$A$4:$A$200, "")&gt;0, "YES","NO"),"N/A")</f>
        <v>N/A</v>
      </c>
      <c r="H50" s="57" t="str">
        <f>_xlfn.IFS(E50="NO", "N/A", AND('BASIC INFO'!$B$3&gt;'BASIC INFO'!$B$6+6574.5, C50+730.5&lt;'BASIC INFO'!$B$3), "YES", 'BASIC INFO'!$B$3&lt;('BASIC INFO'!$B$6+6574.5), "NOT YET 18", C50+730.5&gt;'BASIC INFO'!$B$3, "NOT YET 2 YEARS")</f>
        <v>N/A</v>
      </c>
      <c r="I50" s="61" t="str">
        <f>IF(OR(AND(LEFT('CASE DATA'!F51,4)="321.",MID('CASE DATA'!A51,8,2)="SM"),MID('CASE DATA'!A51,8,2)="ST",MID('CASE DATA'!A51,8,2)="NT"),"TRAFFIC",IF(OR('CASE DATA'!G51="DISM", 'CASE DATA'!G51="ACQ", 'CASE DATA'!G51="NOTF", 'CASE DATA'!G51="WTHD", 'CASE DATA'!G51="TNSF"), "YES", "NO"))</f>
        <v>NO</v>
      </c>
      <c r="J50" s="62" t="str">
        <f>IF(I50="YES",'CASE DATA'!T51,"N/A")</f>
        <v>N/A</v>
      </c>
      <c r="K50" s="57" t="str">
        <f>IF(I50="YES",IF(C50+180&lt;'BASIC INFO'!$B$3, "YES", "NO"),"N/A")</f>
        <v>N/A</v>
      </c>
      <c r="L50" s="62" t="str">
        <f t="array" ref="L50">IF(I50="TRAFFIC","n/a",IF(OR('CASE DATA'!G51="GTR", 'CASE DATA'!G51="GPL"),IF(SUM(COUNTIF('CASE DATA'!W51:AH51, 'CODE SECTIONS'!$V$2:$V$218&amp;"*"))&gt;0,"felony","eligible"),"n/a"))</f>
        <v>n/a</v>
      </c>
      <c r="M50" s="62" t="str">
        <f t="array" ref="M50">IF(L50="eligible",IF(OR((SUM(COUNTIF('CASE DATA'!W51:AH51,'CODE SECTIONS'!$X$2:$X$19&amp;"*"))&gt;0),LEFT('CASE DATA'!W51:AH51,4)="717C", LEFT('CASE DATA'!W51:AH51, 3)="719", LEFT('CASE DATA'!W51:AH51,3)="720", LEFT('CASE DATA'!W51:AH51,3)="724", LEFT('CASE DATA'!W51:AH51,3)="726", LEFT('CASE DATA'!W51:AH51,3)="728", LEFT('CASE DATA'!W51:AH51,4)="901A"), "ineligible misd","eligible"),"n/a")</f>
        <v>n/a</v>
      </c>
      <c r="N50" s="62" t="str">
        <f>IF(M50="eligible",IF(COUNTIF('CASE DATA'!$D$4:$D$200, "")-COUNTIF('CASE DATA'!$A$4:$A$200, "")&gt;0, "YES","NO"),"N/A")</f>
        <v>N/A</v>
      </c>
      <c r="O50" s="62" t="str">
        <f>IF(M50="eligible",BANKRUPTCY!C51+BANKRUPTCY!D51,"N/A")</f>
        <v>N/A</v>
      </c>
      <c r="P50" s="62" t="str">
        <f>IF(M50="eligible",SOL!C51+SOL!D51+SOL!E51,"N/A")</f>
        <v>N/A</v>
      </c>
      <c r="Q50" s="62" t="str">
        <f>IF(M50="eligible",SUM('CASE DATA'!J51:S51),"N/A")</f>
        <v>N/A</v>
      </c>
      <c r="R50" s="62" t="str">
        <f>IF(M50="eligible",IF(C50+2920&lt;'BASIC INFO'!$B$3, "YES", "NO"),"N/A")</f>
        <v>N/A</v>
      </c>
      <c r="S50" s="61" t="str">
        <f>IF(OR('CASE DATA'!G51="DEF"), "YES", "NO")</f>
        <v>NO</v>
      </c>
      <c r="T50" s="57" t="str">
        <f>IF(S50="YES",'CASE DATA'!I51,"N/A")</f>
        <v>N/A</v>
      </c>
      <c r="U50" s="62" t="str">
        <f>IF(S50="YES",BANKRUPTCY!C51+BANKRUPTCY!D51,"N/A")</f>
        <v>N/A</v>
      </c>
      <c r="V50" s="62" t="str">
        <f>IF(S50="YES",SUM('CASE DATA'!J51:S51),"N/A")</f>
        <v>N/A</v>
      </c>
      <c r="W50" s="57" t="str">
        <f>IF(OR('CASE DATA'!F51="123.46",'CASE DATA'!F51="123.47"),"YES","NO")</f>
        <v>NO</v>
      </c>
      <c r="X50" s="60" t="str">
        <f>IF(W50="YES",COUNTIFS(AD$3:$AD$200,"&gt;"&amp;('CASE DATA'!D51),$AD$3:$AD$200,"&lt;"&amp;('CASE DATA'!D51+730.5)),"n/a")</f>
        <v>n/a</v>
      </c>
      <c r="Y50" s="62" t="str">
        <f>IF(W50="YES",IF(C50+730.5&lt;'BASIC INFO'!$B$3, "YES","NO"), "N/A")</f>
        <v>N/A</v>
      </c>
      <c r="Z50" s="57" t="str">
        <f>IF('CASE DATA'!F51="725.1","YES","NO")</f>
        <v>NO</v>
      </c>
      <c r="AA50" s="57" t="str">
        <f>IF(Z50="YES",IF(C50+730.5&lt;'BASIC INFO'!$B$3, "YES","NO"), "N/A")</f>
        <v>N/A</v>
      </c>
      <c r="AB50" s="57" t="str">
        <f>IF('BASIC INFO'!$B$6+6574.5&gt;C50, "YES", "NO")</f>
        <v>YES</v>
      </c>
      <c r="AC50" s="57" t="str">
        <f>IF(Z50="YES",COUNTIFS(AD$3:$AD$200,"&gt;"&amp;('CASE DATA'!D51),$AD$3:$AD$200,"&lt;"&amp;('CASE DATA'!D51+730.5)),"n/a")</f>
        <v>n/a</v>
      </c>
    </row>
    <row r="51" spans="1:29" x14ac:dyDescent="0.25">
      <c r="A51" s="57" t="str">
        <f>IF('CASE DATA'!A52="","z",'CASE DATA'!A52)</f>
        <v>z</v>
      </c>
      <c r="B51" s="57" t="str">
        <f>IF('CASE DATA'!A52="","",'CASE DATA'!E52)</f>
        <v/>
      </c>
      <c r="C51" s="58">
        <f>'CASE DATA'!D52</f>
        <v>0</v>
      </c>
      <c r="D51" s="59" t="str">
        <f>IF('CASE DATA'!I52="YES",SUM('CASE DATA'!J52:P52),"n/a")</f>
        <v>n/a</v>
      </c>
      <c r="E51" s="60" t="str">
        <f>IF(OR('CASE DATA'!G52="JUV", 'CASE DATA'!G52="JWV"), "YES", "NO")</f>
        <v>NO</v>
      </c>
      <c r="F51" s="60" t="str">
        <f t="array" ref="F51">IF(E51="YES",IF(SUM(COUNTIF('CASE DATA'!$G$4:$G$200, {"GTR","GPL","DEF","JUV"}))&gt;0, "YES","NO"),"N/A")</f>
        <v>N/A</v>
      </c>
      <c r="G51" s="60" t="str">
        <f>IF(E51="YES",IF(COUNTIF('CASE DATA'!$D$4:$D$200, "")-COUNTIF('CASE DATA'!$A$4:$A$200, "")&gt;0, "YES","NO"),"N/A")</f>
        <v>N/A</v>
      </c>
      <c r="H51" s="57" t="str">
        <f>_xlfn.IFS(E51="NO", "N/A", AND('BASIC INFO'!$B$3&gt;'BASIC INFO'!$B$6+6574.5, C51+730.5&lt;'BASIC INFO'!$B$3), "YES", 'BASIC INFO'!$B$3&lt;('BASIC INFO'!$B$6+6574.5), "NOT YET 18", C51+730.5&gt;'BASIC INFO'!$B$3, "NOT YET 2 YEARS")</f>
        <v>N/A</v>
      </c>
      <c r="I51" s="61" t="str">
        <f>IF(OR(AND(LEFT('CASE DATA'!F52,4)="321.",MID('CASE DATA'!A52,8,2)="SM"),MID('CASE DATA'!A52,8,2)="ST",MID('CASE DATA'!A52,8,2)="NT"),"TRAFFIC",IF(OR('CASE DATA'!G52="DISM", 'CASE DATA'!G52="ACQ", 'CASE DATA'!G52="NOTF", 'CASE DATA'!G52="WTHD", 'CASE DATA'!G52="TNSF"), "YES", "NO"))</f>
        <v>NO</v>
      </c>
      <c r="J51" s="62" t="str">
        <f>IF(I51="YES",'CASE DATA'!T52,"N/A")</f>
        <v>N/A</v>
      </c>
      <c r="K51" s="57" t="str">
        <f>IF(I51="YES",IF(C51+180&lt;'BASIC INFO'!$B$3, "YES", "NO"),"N/A")</f>
        <v>N/A</v>
      </c>
      <c r="L51" s="62" t="str">
        <f t="array" ref="L51">IF(I51="TRAFFIC","n/a",IF(OR('CASE DATA'!G52="GTR", 'CASE DATA'!G52="GPL"),IF(SUM(COUNTIF('CASE DATA'!W52:AH52, 'CODE SECTIONS'!$V$2:$V$218&amp;"*"))&gt;0,"felony","eligible"),"n/a"))</f>
        <v>n/a</v>
      </c>
      <c r="M51" s="62" t="str">
        <f t="array" ref="M51">IF(L51="eligible",IF(OR((SUM(COUNTIF('CASE DATA'!W52:AH52,'CODE SECTIONS'!$X$2:$X$19&amp;"*"))&gt;0),LEFT('CASE DATA'!W52:AH52,4)="717C", LEFT('CASE DATA'!W52:AH52, 3)="719", LEFT('CASE DATA'!W52:AH52,3)="720", LEFT('CASE DATA'!W52:AH52,3)="724", LEFT('CASE DATA'!W52:AH52,3)="726", LEFT('CASE DATA'!W52:AH52,3)="728", LEFT('CASE DATA'!W52:AH52,4)="901A"), "ineligible misd","eligible"),"n/a")</f>
        <v>n/a</v>
      </c>
      <c r="N51" s="62" t="str">
        <f>IF(M51="eligible",IF(COUNTIF('CASE DATA'!$D$4:$D$200, "")-COUNTIF('CASE DATA'!$A$4:$A$200, "")&gt;0, "YES","NO"),"N/A")</f>
        <v>N/A</v>
      </c>
      <c r="O51" s="62" t="str">
        <f>IF(M51="eligible",BANKRUPTCY!C52+BANKRUPTCY!D52,"N/A")</f>
        <v>N/A</v>
      </c>
      <c r="P51" s="62" t="str">
        <f>IF(M51="eligible",SOL!C52+SOL!D52+SOL!E52,"N/A")</f>
        <v>N/A</v>
      </c>
      <c r="Q51" s="62" t="str">
        <f>IF(M51="eligible",SUM('CASE DATA'!J52:S52),"N/A")</f>
        <v>N/A</v>
      </c>
      <c r="R51" s="62" t="str">
        <f>IF(M51="eligible",IF(C51+2920&lt;'BASIC INFO'!$B$3, "YES", "NO"),"N/A")</f>
        <v>N/A</v>
      </c>
      <c r="S51" s="61" t="str">
        <f>IF(OR('CASE DATA'!G52="DEF"), "YES", "NO")</f>
        <v>NO</v>
      </c>
      <c r="T51" s="57" t="str">
        <f>IF(S51="YES",'CASE DATA'!I52,"N/A")</f>
        <v>N/A</v>
      </c>
      <c r="U51" s="62" t="str">
        <f>IF(S51="YES",BANKRUPTCY!C52+BANKRUPTCY!D52,"N/A")</f>
        <v>N/A</v>
      </c>
      <c r="V51" s="62" t="str">
        <f>IF(S51="YES",SUM('CASE DATA'!J52:S52),"N/A")</f>
        <v>N/A</v>
      </c>
      <c r="W51" s="57" t="str">
        <f>IF(OR('CASE DATA'!F52="123.46",'CASE DATA'!F52="123.47"),"YES","NO")</f>
        <v>NO</v>
      </c>
      <c r="X51" s="60" t="str">
        <f>IF(W51="YES",COUNTIFS(AD$3:$AD$200,"&gt;"&amp;('CASE DATA'!D52),$AD$3:$AD$200,"&lt;"&amp;('CASE DATA'!D52+730.5)),"n/a")</f>
        <v>n/a</v>
      </c>
      <c r="Y51" s="62" t="str">
        <f>IF(W51="YES",IF(C51+730.5&lt;'BASIC INFO'!$B$3, "YES","NO"), "N/A")</f>
        <v>N/A</v>
      </c>
      <c r="Z51" s="57" t="str">
        <f>IF('CASE DATA'!F52="725.1","YES","NO")</f>
        <v>NO</v>
      </c>
      <c r="AA51" s="57" t="str">
        <f>IF(Z51="YES",IF(C51+730.5&lt;'BASIC INFO'!$B$3, "YES","NO"), "N/A")</f>
        <v>N/A</v>
      </c>
      <c r="AB51" s="57" t="str">
        <f>IF('BASIC INFO'!$B$6+6574.5&gt;C51, "YES", "NO")</f>
        <v>YES</v>
      </c>
      <c r="AC51" s="57" t="str">
        <f>IF(Z51="YES",COUNTIFS(AD$3:$AD$200,"&gt;"&amp;('CASE DATA'!D52),$AD$3:$AD$200,"&lt;"&amp;('CASE DATA'!D52+730.5)),"n/a")</f>
        <v>n/a</v>
      </c>
    </row>
    <row r="52" spans="1:29" x14ac:dyDescent="0.25">
      <c r="A52" s="57" t="str">
        <f>IF('CASE DATA'!A53="","z",'CASE DATA'!A53)</f>
        <v>z</v>
      </c>
      <c r="B52" s="57" t="str">
        <f>IF('CASE DATA'!A53="","",'CASE DATA'!E53)</f>
        <v/>
      </c>
      <c r="C52" s="58">
        <f>'CASE DATA'!D53</f>
        <v>0</v>
      </c>
      <c r="D52" s="59" t="str">
        <f>IF('CASE DATA'!I53="YES",SUM('CASE DATA'!J53:P53),"n/a")</f>
        <v>n/a</v>
      </c>
      <c r="E52" s="60" t="str">
        <f>IF(OR('CASE DATA'!G53="JUV", 'CASE DATA'!G53="JWV"), "YES", "NO")</f>
        <v>NO</v>
      </c>
      <c r="F52" s="60" t="str">
        <f t="array" ref="F52">IF(E52="YES",IF(SUM(COUNTIF('CASE DATA'!$G$4:$G$200, {"GTR","GPL","DEF","JUV"}))&gt;0, "YES","NO"),"N/A")</f>
        <v>N/A</v>
      </c>
      <c r="G52" s="60" t="str">
        <f>IF(E52="YES",IF(COUNTIF('CASE DATA'!$D$4:$D$200, "")-COUNTIF('CASE DATA'!$A$4:$A$200, "")&gt;0, "YES","NO"),"N/A")</f>
        <v>N/A</v>
      </c>
      <c r="H52" s="57" t="str">
        <f>_xlfn.IFS(E52="NO", "N/A", AND('BASIC INFO'!$B$3&gt;'BASIC INFO'!$B$6+6574.5, C52+730.5&lt;'BASIC INFO'!$B$3), "YES", 'BASIC INFO'!$B$3&lt;('BASIC INFO'!$B$6+6574.5), "NOT YET 18", C52+730.5&gt;'BASIC INFO'!$B$3, "NOT YET 2 YEARS")</f>
        <v>N/A</v>
      </c>
      <c r="I52" s="61" t="str">
        <f>IF(OR(AND(LEFT('CASE DATA'!F53,4)="321.",MID('CASE DATA'!A53,8,2)="SM"),MID('CASE DATA'!A53,8,2)="ST",MID('CASE DATA'!A53,8,2)="NT"),"TRAFFIC",IF(OR('CASE DATA'!G53="DISM", 'CASE DATA'!G53="ACQ", 'CASE DATA'!G53="NOTF", 'CASE DATA'!G53="WTHD", 'CASE DATA'!G53="TNSF"), "YES", "NO"))</f>
        <v>NO</v>
      </c>
      <c r="J52" s="62" t="str">
        <f>IF(I52="YES",'CASE DATA'!T53,"N/A")</f>
        <v>N/A</v>
      </c>
      <c r="K52" s="57" t="str">
        <f>IF(I52="YES",IF(C52+180&lt;'BASIC INFO'!$B$3, "YES", "NO"),"N/A")</f>
        <v>N/A</v>
      </c>
      <c r="L52" s="62" t="str">
        <f t="array" ref="L52">IF(I52="TRAFFIC","n/a",IF(OR('CASE DATA'!G53="GTR", 'CASE DATA'!G53="GPL"),IF(SUM(COUNTIF('CASE DATA'!W53:AH53, 'CODE SECTIONS'!$V$2:$V$218&amp;"*"))&gt;0,"felony","eligible"),"n/a"))</f>
        <v>n/a</v>
      </c>
      <c r="M52" s="62" t="str">
        <f t="array" ref="M52">IF(L52="eligible",IF(OR((SUM(COUNTIF('CASE DATA'!W53:AH53,'CODE SECTIONS'!$X$2:$X$19&amp;"*"))&gt;0),LEFT('CASE DATA'!W53:AH53,4)="717C", LEFT('CASE DATA'!W53:AH53, 3)="719", LEFT('CASE DATA'!W53:AH53,3)="720", LEFT('CASE DATA'!W53:AH53,3)="724", LEFT('CASE DATA'!W53:AH53,3)="726", LEFT('CASE DATA'!W53:AH53,3)="728", LEFT('CASE DATA'!W53:AH53,4)="901A"), "ineligible misd","eligible"),"n/a")</f>
        <v>n/a</v>
      </c>
      <c r="N52" s="62" t="str">
        <f>IF(M52="eligible",IF(COUNTIF('CASE DATA'!$D$4:$D$200, "")-COUNTIF('CASE DATA'!$A$4:$A$200, "")&gt;0, "YES","NO"),"N/A")</f>
        <v>N/A</v>
      </c>
      <c r="O52" s="62" t="str">
        <f>IF(M52="eligible",BANKRUPTCY!C53+BANKRUPTCY!D53,"N/A")</f>
        <v>N/A</v>
      </c>
      <c r="P52" s="62" t="str">
        <f>IF(M52="eligible",SOL!C53+SOL!D53+SOL!E53,"N/A")</f>
        <v>N/A</v>
      </c>
      <c r="Q52" s="62" t="str">
        <f>IF(M52="eligible",SUM('CASE DATA'!J53:S53),"N/A")</f>
        <v>N/A</v>
      </c>
      <c r="R52" s="62" t="str">
        <f>IF(M52="eligible",IF(C52+2920&lt;'BASIC INFO'!$B$3, "YES", "NO"),"N/A")</f>
        <v>N/A</v>
      </c>
      <c r="S52" s="61" t="str">
        <f>IF(OR('CASE DATA'!G53="DEF"), "YES", "NO")</f>
        <v>NO</v>
      </c>
      <c r="T52" s="57" t="str">
        <f>IF(S52="YES",'CASE DATA'!I53,"N/A")</f>
        <v>N/A</v>
      </c>
      <c r="U52" s="62" t="str">
        <f>IF(S52="YES",BANKRUPTCY!C53+BANKRUPTCY!D53,"N/A")</f>
        <v>N/A</v>
      </c>
      <c r="V52" s="62" t="str">
        <f>IF(S52="YES",SUM('CASE DATA'!J53:S53),"N/A")</f>
        <v>N/A</v>
      </c>
      <c r="W52" s="57" t="str">
        <f>IF(OR('CASE DATA'!F53="123.46",'CASE DATA'!F53="123.47"),"YES","NO")</f>
        <v>NO</v>
      </c>
      <c r="X52" s="60" t="str">
        <f>IF(W52="YES",COUNTIFS(AD$3:$AD$200,"&gt;"&amp;('CASE DATA'!D53),$AD$3:$AD$200,"&lt;"&amp;('CASE DATA'!D53+730.5)),"n/a")</f>
        <v>n/a</v>
      </c>
      <c r="Y52" s="62" t="str">
        <f>IF(W52="YES",IF(C52+730.5&lt;'BASIC INFO'!$B$3, "YES","NO"), "N/A")</f>
        <v>N/A</v>
      </c>
      <c r="Z52" s="57" t="str">
        <f>IF('CASE DATA'!F53="725.1","YES","NO")</f>
        <v>NO</v>
      </c>
      <c r="AA52" s="57" t="str">
        <f>IF(Z52="YES",IF(C52+730.5&lt;'BASIC INFO'!$B$3, "YES","NO"), "N/A")</f>
        <v>N/A</v>
      </c>
      <c r="AB52" s="57" t="str">
        <f>IF('BASIC INFO'!$B$6+6574.5&gt;C52, "YES", "NO")</f>
        <v>YES</v>
      </c>
      <c r="AC52" s="57" t="str">
        <f>IF(Z52="YES",COUNTIFS(AD$3:$AD$200,"&gt;"&amp;('CASE DATA'!D53),$AD$3:$AD$200,"&lt;"&amp;('CASE DATA'!D53+730.5)),"n/a")</f>
        <v>n/a</v>
      </c>
    </row>
    <row r="53" spans="1:29" x14ac:dyDescent="0.25">
      <c r="A53" s="57" t="str">
        <f>IF('CASE DATA'!A54="","z",'CASE DATA'!A54)</f>
        <v>z</v>
      </c>
      <c r="B53" s="57" t="str">
        <f>IF('CASE DATA'!A54="","",'CASE DATA'!E54)</f>
        <v/>
      </c>
      <c r="C53" s="58">
        <f>'CASE DATA'!D54</f>
        <v>0</v>
      </c>
      <c r="D53" s="59" t="str">
        <f>IF('CASE DATA'!I54="YES",SUM('CASE DATA'!J54:P54),"n/a")</f>
        <v>n/a</v>
      </c>
      <c r="E53" s="60" t="str">
        <f>IF(OR('CASE DATA'!G54="JUV", 'CASE DATA'!G54="JWV"), "YES", "NO")</f>
        <v>NO</v>
      </c>
      <c r="F53" s="60" t="str">
        <f t="array" ref="F53">IF(E53="YES",IF(SUM(COUNTIF('CASE DATA'!$G$4:$G$200, {"GTR","GPL","DEF","JUV"}))&gt;0, "YES","NO"),"N/A")</f>
        <v>N/A</v>
      </c>
      <c r="G53" s="60" t="str">
        <f>IF(E53="YES",IF(COUNTIF('CASE DATA'!$D$4:$D$200, "")-COUNTIF('CASE DATA'!$A$4:$A$200, "")&gt;0, "YES","NO"),"N/A")</f>
        <v>N/A</v>
      </c>
      <c r="H53" s="57" t="str">
        <f>_xlfn.IFS(E53="NO", "N/A", AND('BASIC INFO'!$B$3&gt;'BASIC INFO'!$B$6+6574.5, C53+730.5&lt;'BASIC INFO'!$B$3), "YES", 'BASIC INFO'!$B$3&lt;('BASIC INFO'!$B$6+6574.5), "NOT YET 18", C53+730.5&gt;'BASIC INFO'!$B$3, "NOT YET 2 YEARS")</f>
        <v>N/A</v>
      </c>
      <c r="I53" s="61" t="str">
        <f>IF(OR(AND(LEFT('CASE DATA'!F54,4)="321.",MID('CASE DATA'!A54,8,2)="SM"),MID('CASE DATA'!A54,8,2)="ST",MID('CASE DATA'!A54,8,2)="NT"),"TRAFFIC",IF(OR('CASE DATA'!G54="DISM", 'CASE DATA'!G54="ACQ", 'CASE DATA'!G54="NOTF", 'CASE DATA'!G54="WTHD", 'CASE DATA'!G54="TNSF"), "YES", "NO"))</f>
        <v>NO</v>
      </c>
      <c r="J53" s="62" t="str">
        <f>IF(I53="YES",'CASE DATA'!T54,"N/A")</f>
        <v>N/A</v>
      </c>
      <c r="K53" s="57" t="str">
        <f>IF(I53="YES",IF(C53+180&lt;'BASIC INFO'!$B$3, "YES", "NO"),"N/A")</f>
        <v>N/A</v>
      </c>
      <c r="L53" s="62" t="str">
        <f t="array" ref="L53">IF(I53="TRAFFIC","n/a",IF(OR('CASE DATA'!G54="GTR", 'CASE DATA'!G54="GPL"),IF(SUM(COUNTIF('CASE DATA'!W54:AH54, 'CODE SECTIONS'!$V$2:$V$218&amp;"*"))&gt;0,"felony","eligible"),"n/a"))</f>
        <v>n/a</v>
      </c>
      <c r="M53" s="62" t="str">
        <f t="array" ref="M53">IF(L53="eligible",IF(OR((SUM(COUNTIF('CASE DATA'!W54:AH54,'CODE SECTIONS'!$X$2:$X$19&amp;"*"))&gt;0),LEFT('CASE DATA'!W54:AH54,4)="717C", LEFT('CASE DATA'!W54:AH54, 3)="719", LEFT('CASE DATA'!W54:AH54,3)="720", LEFT('CASE DATA'!W54:AH54,3)="724", LEFT('CASE DATA'!W54:AH54,3)="726", LEFT('CASE DATA'!W54:AH54,3)="728", LEFT('CASE DATA'!W54:AH54,4)="901A"), "ineligible misd","eligible"),"n/a")</f>
        <v>n/a</v>
      </c>
      <c r="N53" s="62" t="str">
        <f>IF(M53="eligible",IF(COUNTIF('CASE DATA'!$D$4:$D$200, "")-COUNTIF('CASE DATA'!$A$4:$A$200, "")&gt;0, "YES","NO"),"N/A")</f>
        <v>N/A</v>
      </c>
      <c r="O53" s="62" t="str">
        <f>IF(M53="eligible",BANKRUPTCY!C54+BANKRUPTCY!D54,"N/A")</f>
        <v>N/A</v>
      </c>
      <c r="P53" s="62" t="str">
        <f>IF(M53="eligible",SOL!C54+SOL!D54+SOL!E54,"N/A")</f>
        <v>N/A</v>
      </c>
      <c r="Q53" s="62" t="str">
        <f>IF(M53="eligible",SUM('CASE DATA'!J54:S54),"N/A")</f>
        <v>N/A</v>
      </c>
      <c r="R53" s="62" t="str">
        <f>IF(M53="eligible",IF(C53+2920&lt;'BASIC INFO'!$B$3, "YES", "NO"),"N/A")</f>
        <v>N/A</v>
      </c>
      <c r="S53" s="61" t="str">
        <f>IF(OR('CASE DATA'!G54="DEF"), "YES", "NO")</f>
        <v>NO</v>
      </c>
      <c r="T53" s="57" t="str">
        <f>IF(S53="YES",'CASE DATA'!I54,"N/A")</f>
        <v>N/A</v>
      </c>
      <c r="U53" s="62" t="str">
        <f>IF(S53="YES",BANKRUPTCY!C54+BANKRUPTCY!D54,"N/A")</f>
        <v>N/A</v>
      </c>
      <c r="V53" s="62" t="str">
        <f>IF(S53="YES",SUM('CASE DATA'!J54:S54),"N/A")</f>
        <v>N/A</v>
      </c>
      <c r="W53" s="57" t="str">
        <f>IF(OR('CASE DATA'!F54="123.46",'CASE DATA'!F54="123.47"),"YES","NO")</f>
        <v>NO</v>
      </c>
      <c r="X53" s="60" t="str">
        <f>IF(W53="YES",COUNTIFS(AD$3:$AD$200,"&gt;"&amp;('CASE DATA'!D54),$AD$3:$AD$200,"&lt;"&amp;('CASE DATA'!D54+730.5)),"n/a")</f>
        <v>n/a</v>
      </c>
      <c r="Y53" s="62" t="str">
        <f>IF(W53="YES",IF(C53+730.5&lt;'BASIC INFO'!$B$3, "YES","NO"), "N/A")</f>
        <v>N/A</v>
      </c>
      <c r="Z53" s="57" t="str">
        <f>IF('CASE DATA'!F54="725.1","YES","NO")</f>
        <v>NO</v>
      </c>
      <c r="AA53" s="57" t="str">
        <f>IF(Z53="YES",IF(C53+730.5&lt;'BASIC INFO'!$B$3, "YES","NO"), "N/A")</f>
        <v>N/A</v>
      </c>
      <c r="AB53" s="57" t="str">
        <f>IF('BASIC INFO'!$B$6+6574.5&gt;C53, "YES", "NO")</f>
        <v>YES</v>
      </c>
      <c r="AC53" s="57" t="str">
        <f>IF(Z53="YES",COUNTIFS(AD$3:$AD$200,"&gt;"&amp;('CASE DATA'!D54),$AD$3:$AD$200,"&lt;"&amp;('CASE DATA'!D54+730.5)),"n/a")</f>
        <v>n/a</v>
      </c>
    </row>
    <row r="54" spans="1:29" x14ac:dyDescent="0.25">
      <c r="A54" s="57" t="str">
        <f>IF('CASE DATA'!A55="","z",'CASE DATA'!A55)</f>
        <v>z</v>
      </c>
      <c r="B54" s="57" t="str">
        <f>IF('CASE DATA'!A55="","",'CASE DATA'!E55)</f>
        <v/>
      </c>
      <c r="C54" s="58">
        <f>'CASE DATA'!D55</f>
        <v>0</v>
      </c>
      <c r="D54" s="59" t="str">
        <f>IF('CASE DATA'!I55="YES",SUM('CASE DATA'!J55:P55),"n/a")</f>
        <v>n/a</v>
      </c>
      <c r="E54" s="60" t="str">
        <f>IF(OR('CASE DATA'!G55="JUV", 'CASE DATA'!G55="JWV"), "YES", "NO")</f>
        <v>NO</v>
      </c>
      <c r="F54" s="60" t="str">
        <f t="array" ref="F54">IF(E54="YES",IF(SUM(COUNTIF('CASE DATA'!$G$4:$G$200, {"GTR","GPL","DEF","JUV"}))&gt;0, "YES","NO"),"N/A")</f>
        <v>N/A</v>
      </c>
      <c r="G54" s="60" t="str">
        <f>IF(E54="YES",IF(COUNTIF('CASE DATA'!$D$4:$D$200, "")-COUNTIF('CASE DATA'!$A$4:$A$200, "")&gt;0, "YES","NO"),"N/A")</f>
        <v>N/A</v>
      </c>
      <c r="H54" s="57" t="str">
        <f>_xlfn.IFS(E54="NO", "N/A", AND('BASIC INFO'!$B$3&gt;'BASIC INFO'!$B$6+6574.5, C54+730.5&lt;'BASIC INFO'!$B$3), "YES", 'BASIC INFO'!$B$3&lt;('BASIC INFO'!$B$6+6574.5), "NOT YET 18", C54+730.5&gt;'BASIC INFO'!$B$3, "NOT YET 2 YEARS")</f>
        <v>N/A</v>
      </c>
      <c r="I54" s="61" t="str">
        <f>IF(OR(AND(LEFT('CASE DATA'!F55,4)="321.",MID('CASE DATA'!A55,8,2)="SM"),MID('CASE DATA'!A55,8,2)="ST",MID('CASE DATA'!A55,8,2)="NT"),"TRAFFIC",IF(OR('CASE DATA'!G55="DISM", 'CASE DATA'!G55="ACQ", 'CASE DATA'!G55="NOTF", 'CASE DATA'!G55="WTHD", 'CASE DATA'!G55="TNSF"), "YES", "NO"))</f>
        <v>NO</v>
      </c>
      <c r="J54" s="62" t="str">
        <f>IF(I54="YES",'CASE DATA'!T55,"N/A")</f>
        <v>N/A</v>
      </c>
      <c r="K54" s="57" t="str">
        <f>IF(I54="YES",IF(C54+180&lt;'BASIC INFO'!$B$3, "YES", "NO"),"N/A")</f>
        <v>N/A</v>
      </c>
      <c r="L54" s="62" t="str">
        <f t="array" ref="L54">IF(I54="TRAFFIC","n/a",IF(OR('CASE DATA'!G55="GTR", 'CASE DATA'!G55="GPL"),IF(SUM(COUNTIF('CASE DATA'!W55:AH55, 'CODE SECTIONS'!$V$2:$V$218&amp;"*"))&gt;0,"felony","eligible"),"n/a"))</f>
        <v>n/a</v>
      </c>
      <c r="M54" s="62" t="str">
        <f t="array" ref="M54">IF(L54="eligible",IF(OR((SUM(COUNTIF('CASE DATA'!W55:AH55,'CODE SECTIONS'!$X$2:$X$19&amp;"*"))&gt;0),LEFT('CASE DATA'!W55:AH55,4)="717C", LEFT('CASE DATA'!W55:AH55, 3)="719", LEFT('CASE DATA'!W55:AH55,3)="720", LEFT('CASE DATA'!W55:AH55,3)="724", LEFT('CASE DATA'!W55:AH55,3)="726", LEFT('CASE DATA'!W55:AH55,3)="728", LEFT('CASE DATA'!W55:AH55,4)="901A"), "ineligible misd","eligible"),"n/a")</f>
        <v>n/a</v>
      </c>
      <c r="N54" s="62" t="str">
        <f>IF(M54="eligible",IF(COUNTIF('CASE DATA'!$D$4:$D$200, "")-COUNTIF('CASE DATA'!$A$4:$A$200, "")&gt;0, "YES","NO"),"N/A")</f>
        <v>N/A</v>
      </c>
      <c r="O54" s="62" t="str">
        <f>IF(M54="eligible",BANKRUPTCY!C55+BANKRUPTCY!D55,"N/A")</f>
        <v>N/A</v>
      </c>
      <c r="P54" s="62" t="str">
        <f>IF(M54="eligible",SOL!C55+SOL!D55+SOL!E55,"N/A")</f>
        <v>N/A</v>
      </c>
      <c r="Q54" s="62" t="str">
        <f>IF(M54="eligible",SUM('CASE DATA'!J55:S55),"N/A")</f>
        <v>N/A</v>
      </c>
      <c r="R54" s="62" t="str">
        <f>IF(M54="eligible",IF(C54+2920&lt;'BASIC INFO'!$B$3, "YES", "NO"),"N/A")</f>
        <v>N/A</v>
      </c>
      <c r="S54" s="61" t="str">
        <f>IF(OR('CASE DATA'!G55="DEF"), "YES", "NO")</f>
        <v>NO</v>
      </c>
      <c r="T54" s="57" t="str">
        <f>IF(S54="YES",'CASE DATA'!I55,"N/A")</f>
        <v>N/A</v>
      </c>
      <c r="U54" s="62" t="str">
        <f>IF(S54="YES",BANKRUPTCY!C55+BANKRUPTCY!D55,"N/A")</f>
        <v>N/A</v>
      </c>
      <c r="V54" s="62" t="str">
        <f>IF(S54="YES",SUM('CASE DATA'!J55:S55),"N/A")</f>
        <v>N/A</v>
      </c>
      <c r="W54" s="57" t="str">
        <f>IF(OR('CASE DATA'!F55="123.46",'CASE DATA'!F55="123.47"),"YES","NO")</f>
        <v>NO</v>
      </c>
      <c r="X54" s="60" t="str">
        <f>IF(W54="YES",COUNTIFS(AD$3:$AD$200,"&gt;"&amp;('CASE DATA'!D55),$AD$3:$AD$200,"&lt;"&amp;('CASE DATA'!D55+730.5)),"n/a")</f>
        <v>n/a</v>
      </c>
      <c r="Y54" s="62" t="str">
        <f>IF(W54="YES",IF(C54+730.5&lt;'BASIC INFO'!$B$3, "YES","NO"), "N/A")</f>
        <v>N/A</v>
      </c>
      <c r="Z54" s="57" t="str">
        <f>IF('CASE DATA'!F55="725.1","YES","NO")</f>
        <v>NO</v>
      </c>
      <c r="AA54" s="57" t="str">
        <f>IF(Z54="YES",IF(C54+730.5&lt;'BASIC INFO'!$B$3, "YES","NO"), "N/A")</f>
        <v>N/A</v>
      </c>
      <c r="AB54" s="57" t="str">
        <f>IF('BASIC INFO'!$B$6+6574.5&gt;C54, "YES", "NO")</f>
        <v>YES</v>
      </c>
      <c r="AC54" s="57" t="str">
        <f>IF(Z54="YES",COUNTIFS(AD$3:$AD$200,"&gt;"&amp;('CASE DATA'!D55),$AD$3:$AD$200,"&lt;"&amp;('CASE DATA'!D55+730.5)),"n/a")</f>
        <v>n/a</v>
      </c>
    </row>
    <row r="55" spans="1:29" x14ac:dyDescent="0.25">
      <c r="A55" s="57" t="str">
        <f>IF('CASE DATA'!A56="","z",'CASE DATA'!A56)</f>
        <v>z</v>
      </c>
      <c r="B55" s="57" t="str">
        <f>IF('CASE DATA'!A56="","",'CASE DATA'!E56)</f>
        <v/>
      </c>
      <c r="C55" s="58">
        <f>'CASE DATA'!D56</f>
        <v>0</v>
      </c>
      <c r="D55" s="59" t="str">
        <f>IF('CASE DATA'!I56="YES",SUM('CASE DATA'!J56:P56),"n/a")</f>
        <v>n/a</v>
      </c>
      <c r="E55" s="60" t="str">
        <f>IF(OR('CASE DATA'!G56="JUV", 'CASE DATA'!G56="JWV"), "YES", "NO")</f>
        <v>NO</v>
      </c>
      <c r="F55" s="60" t="str">
        <f t="array" ref="F55">IF(E55="YES",IF(SUM(COUNTIF('CASE DATA'!$G$4:$G$200, {"GTR","GPL","DEF","JUV"}))&gt;0, "YES","NO"),"N/A")</f>
        <v>N/A</v>
      </c>
      <c r="G55" s="60" t="str">
        <f>IF(E55="YES",IF(COUNTIF('CASE DATA'!$D$4:$D$200, "")-COUNTIF('CASE DATA'!$A$4:$A$200, "")&gt;0, "YES","NO"),"N/A")</f>
        <v>N/A</v>
      </c>
      <c r="H55" s="57" t="str">
        <f>_xlfn.IFS(E55="NO", "N/A", AND('BASIC INFO'!$B$3&gt;'BASIC INFO'!$B$6+6574.5, C55+730.5&lt;'BASIC INFO'!$B$3), "YES", 'BASIC INFO'!$B$3&lt;('BASIC INFO'!$B$6+6574.5), "NOT YET 18", C55+730.5&gt;'BASIC INFO'!$B$3, "NOT YET 2 YEARS")</f>
        <v>N/A</v>
      </c>
      <c r="I55" s="61" t="str">
        <f>IF(OR(AND(LEFT('CASE DATA'!F56,4)="321.",MID('CASE DATA'!A56,8,2)="SM"),MID('CASE DATA'!A56,8,2)="ST",MID('CASE DATA'!A56,8,2)="NT"),"TRAFFIC",IF(OR('CASE DATA'!G56="DISM", 'CASE DATA'!G56="ACQ", 'CASE DATA'!G56="NOTF", 'CASE DATA'!G56="WTHD", 'CASE DATA'!G56="TNSF"), "YES", "NO"))</f>
        <v>NO</v>
      </c>
      <c r="J55" s="62" t="str">
        <f>IF(I55="YES",'CASE DATA'!T56,"N/A")</f>
        <v>N/A</v>
      </c>
      <c r="K55" s="57" t="str">
        <f>IF(I55="YES",IF(C55+180&lt;'BASIC INFO'!$B$3, "YES", "NO"),"N/A")</f>
        <v>N/A</v>
      </c>
      <c r="L55" s="62" t="str">
        <f t="array" ref="L55">IF(I55="TRAFFIC","n/a",IF(OR('CASE DATA'!G56="GTR", 'CASE DATA'!G56="GPL"),IF(SUM(COUNTIF('CASE DATA'!W56:AH56, 'CODE SECTIONS'!$V$2:$V$218&amp;"*"))&gt;0,"felony","eligible"),"n/a"))</f>
        <v>n/a</v>
      </c>
      <c r="M55" s="62" t="str">
        <f t="array" ref="M55">IF(L55="eligible",IF(OR((SUM(COUNTIF('CASE DATA'!W56:AH56,'CODE SECTIONS'!$X$2:$X$19&amp;"*"))&gt;0),LEFT('CASE DATA'!W56:AH56,4)="717C", LEFT('CASE DATA'!W56:AH56, 3)="719", LEFT('CASE DATA'!W56:AH56,3)="720", LEFT('CASE DATA'!W56:AH56,3)="724", LEFT('CASE DATA'!W56:AH56,3)="726", LEFT('CASE DATA'!W56:AH56,3)="728", LEFT('CASE DATA'!W56:AH56,4)="901A"), "ineligible misd","eligible"),"n/a")</f>
        <v>n/a</v>
      </c>
      <c r="N55" s="62" t="str">
        <f>IF(M55="eligible",IF(COUNTIF('CASE DATA'!$D$4:$D$200, "")-COUNTIF('CASE DATA'!$A$4:$A$200, "")&gt;0, "YES","NO"),"N/A")</f>
        <v>N/A</v>
      </c>
      <c r="O55" s="62" t="str">
        <f>IF(M55="eligible",BANKRUPTCY!C56+BANKRUPTCY!D56,"N/A")</f>
        <v>N/A</v>
      </c>
      <c r="P55" s="62" t="str">
        <f>IF(M55="eligible",SOL!C56+SOL!D56+SOL!E56,"N/A")</f>
        <v>N/A</v>
      </c>
      <c r="Q55" s="62" t="str">
        <f>IF(M55="eligible",SUM('CASE DATA'!J56:S56),"N/A")</f>
        <v>N/A</v>
      </c>
      <c r="R55" s="62" t="str">
        <f>IF(M55="eligible",IF(C55+2920&lt;'BASIC INFO'!$B$3, "YES", "NO"),"N/A")</f>
        <v>N/A</v>
      </c>
      <c r="S55" s="61" t="str">
        <f>IF(OR('CASE DATA'!G56="DEF"), "YES", "NO")</f>
        <v>NO</v>
      </c>
      <c r="T55" s="57" t="str">
        <f>IF(S55="YES",'CASE DATA'!I56,"N/A")</f>
        <v>N/A</v>
      </c>
      <c r="U55" s="62" t="str">
        <f>IF(S55="YES",BANKRUPTCY!C56+BANKRUPTCY!D56,"N/A")</f>
        <v>N/A</v>
      </c>
      <c r="V55" s="62" t="str">
        <f>IF(S55="YES",SUM('CASE DATA'!J56:S56),"N/A")</f>
        <v>N/A</v>
      </c>
      <c r="W55" s="57" t="str">
        <f>IF(OR('CASE DATA'!F56="123.46",'CASE DATA'!F56="123.47"),"YES","NO")</f>
        <v>NO</v>
      </c>
      <c r="X55" s="60" t="str">
        <f>IF(W55="YES",COUNTIFS(AD$3:$AD$200,"&gt;"&amp;('CASE DATA'!D56),$AD$3:$AD$200,"&lt;"&amp;('CASE DATA'!D56+730.5)),"n/a")</f>
        <v>n/a</v>
      </c>
      <c r="Y55" s="62" t="str">
        <f>IF(W55="YES",IF(C55+730.5&lt;'BASIC INFO'!$B$3, "YES","NO"), "N/A")</f>
        <v>N/A</v>
      </c>
      <c r="Z55" s="57" t="str">
        <f>IF('CASE DATA'!F56="725.1","YES","NO")</f>
        <v>NO</v>
      </c>
      <c r="AA55" s="57" t="str">
        <f>IF(Z55="YES",IF(C55+730.5&lt;'BASIC INFO'!$B$3, "YES","NO"), "N/A")</f>
        <v>N/A</v>
      </c>
      <c r="AB55" s="57" t="str">
        <f>IF('BASIC INFO'!$B$6+6574.5&gt;C55, "YES", "NO")</f>
        <v>YES</v>
      </c>
      <c r="AC55" s="57" t="str">
        <f>IF(Z55="YES",COUNTIFS(AD$3:$AD$200,"&gt;"&amp;('CASE DATA'!D56),$AD$3:$AD$200,"&lt;"&amp;('CASE DATA'!D56+730.5)),"n/a")</f>
        <v>n/a</v>
      </c>
    </row>
    <row r="56" spans="1:29" x14ac:dyDescent="0.25">
      <c r="A56" s="57" t="str">
        <f>IF('CASE DATA'!A57="","z",'CASE DATA'!A57)</f>
        <v>z</v>
      </c>
      <c r="B56" s="57" t="str">
        <f>IF('CASE DATA'!A57="","",'CASE DATA'!E57)</f>
        <v/>
      </c>
      <c r="C56" s="58">
        <f>'CASE DATA'!D57</f>
        <v>0</v>
      </c>
      <c r="D56" s="59" t="str">
        <f>IF('CASE DATA'!I57="YES",SUM('CASE DATA'!J57:P57),"n/a")</f>
        <v>n/a</v>
      </c>
      <c r="E56" s="60" t="str">
        <f>IF(OR('CASE DATA'!G57="JUV", 'CASE DATA'!G57="JWV"), "YES", "NO")</f>
        <v>NO</v>
      </c>
      <c r="F56" s="60" t="str">
        <f t="array" ref="F56">IF(E56="YES",IF(SUM(COUNTIF('CASE DATA'!$G$4:$G$200, {"GTR","GPL","DEF","JUV"}))&gt;0, "YES","NO"),"N/A")</f>
        <v>N/A</v>
      </c>
      <c r="G56" s="60" t="str">
        <f>IF(E56="YES",IF(COUNTIF('CASE DATA'!$D$4:$D$200, "")-COUNTIF('CASE DATA'!$A$4:$A$200, "")&gt;0, "YES","NO"),"N/A")</f>
        <v>N/A</v>
      </c>
      <c r="H56" s="57" t="str">
        <f>_xlfn.IFS(E56="NO", "N/A", AND('BASIC INFO'!$B$3&gt;'BASIC INFO'!$B$6+6574.5, C56+730.5&lt;'BASIC INFO'!$B$3), "YES", 'BASIC INFO'!$B$3&lt;('BASIC INFO'!$B$6+6574.5), "NOT YET 18", C56+730.5&gt;'BASIC INFO'!$B$3, "NOT YET 2 YEARS")</f>
        <v>N/A</v>
      </c>
      <c r="I56" s="61" t="str">
        <f>IF(OR(AND(LEFT('CASE DATA'!F57,4)="321.",MID('CASE DATA'!A57,8,2)="SM"),MID('CASE DATA'!A57,8,2)="ST",MID('CASE DATA'!A57,8,2)="NT"),"TRAFFIC",IF(OR('CASE DATA'!G57="DISM", 'CASE DATA'!G57="ACQ", 'CASE DATA'!G57="NOTF", 'CASE DATA'!G57="WTHD", 'CASE DATA'!G57="TNSF"), "YES", "NO"))</f>
        <v>NO</v>
      </c>
      <c r="J56" s="62" t="str">
        <f>IF(I56="YES",'CASE DATA'!T57,"N/A")</f>
        <v>N/A</v>
      </c>
      <c r="K56" s="57" t="str">
        <f>IF(I56="YES",IF(C56+180&lt;'BASIC INFO'!$B$3, "YES", "NO"),"N/A")</f>
        <v>N/A</v>
      </c>
      <c r="L56" s="62" t="str">
        <f t="array" ref="L56">IF(I56="TRAFFIC","n/a",IF(OR('CASE DATA'!G57="GTR", 'CASE DATA'!G57="GPL"),IF(SUM(COUNTIF('CASE DATA'!W57:AH57, 'CODE SECTIONS'!$V$2:$V$218&amp;"*"))&gt;0,"felony","eligible"),"n/a"))</f>
        <v>n/a</v>
      </c>
      <c r="M56" s="62" t="str">
        <f t="array" ref="M56">IF(L56="eligible",IF(OR((SUM(COUNTIF('CASE DATA'!W57:AH57,'CODE SECTIONS'!$X$2:$X$19&amp;"*"))&gt;0),LEFT('CASE DATA'!W57:AH57,4)="717C", LEFT('CASE DATA'!W57:AH57, 3)="719", LEFT('CASE DATA'!W57:AH57,3)="720", LEFT('CASE DATA'!W57:AH57,3)="724", LEFT('CASE DATA'!W57:AH57,3)="726", LEFT('CASE DATA'!W57:AH57,3)="728", LEFT('CASE DATA'!W57:AH57,4)="901A"), "ineligible misd","eligible"),"n/a")</f>
        <v>n/a</v>
      </c>
      <c r="N56" s="62" t="str">
        <f>IF(M56="eligible",IF(COUNTIF('CASE DATA'!$D$4:$D$200, "")-COUNTIF('CASE DATA'!$A$4:$A$200, "")&gt;0, "YES","NO"),"N/A")</f>
        <v>N/A</v>
      </c>
      <c r="O56" s="62" t="str">
        <f>IF(M56="eligible",BANKRUPTCY!C57+BANKRUPTCY!D57,"N/A")</f>
        <v>N/A</v>
      </c>
      <c r="P56" s="62" t="str">
        <f>IF(M56="eligible",SOL!C57+SOL!D57+SOL!E57,"N/A")</f>
        <v>N/A</v>
      </c>
      <c r="Q56" s="62" t="str">
        <f>IF(M56="eligible",SUM('CASE DATA'!J57:S57),"N/A")</f>
        <v>N/A</v>
      </c>
      <c r="R56" s="62" t="str">
        <f>IF(M56="eligible",IF(C56+2920&lt;'BASIC INFO'!$B$3, "YES", "NO"),"N/A")</f>
        <v>N/A</v>
      </c>
      <c r="S56" s="61" t="str">
        <f>IF(OR('CASE DATA'!G57="DEF"), "YES", "NO")</f>
        <v>NO</v>
      </c>
      <c r="T56" s="57" t="str">
        <f>IF(S56="YES",'CASE DATA'!I57,"N/A")</f>
        <v>N/A</v>
      </c>
      <c r="U56" s="62" t="str">
        <f>IF(S56="YES",BANKRUPTCY!C57+BANKRUPTCY!D57,"N/A")</f>
        <v>N/A</v>
      </c>
      <c r="V56" s="62" t="str">
        <f>IF(S56="YES",SUM('CASE DATA'!J57:S57),"N/A")</f>
        <v>N/A</v>
      </c>
      <c r="W56" s="57" t="str">
        <f>IF(OR('CASE DATA'!F57="123.46",'CASE DATA'!F57="123.47"),"YES","NO")</f>
        <v>NO</v>
      </c>
      <c r="X56" s="60" t="str">
        <f>IF(W56="YES",COUNTIFS(AD$3:$AD$200,"&gt;"&amp;('CASE DATA'!D57),$AD$3:$AD$200,"&lt;"&amp;('CASE DATA'!D57+730.5)),"n/a")</f>
        <v>n/a</v>
      </c>
      <c r="Y56" s="62" t="str">
        <f>IF(W56="YES",IF(C56+730.5&lt;'BASIC INFO'!$B$3, "YES","NO"), "N/A")</f>
        <v>N/A</v>
      </c>
      <c r="Z56" s="57" t="str">
        <f>IF('CASE DATA'!F57="725.1","YES","NO")</f>
        <v>NO</v>
      </c>
      <c r="AA56" s="57" t="str">
        <f>IF(Z56="YES",IF(C56+730.5&lt;'BASIC INFO'!$B$3, "YES","NO"), "N/A")</f>
        <v>N/A</v>
      </c>
      <c r="AB56" s="57" t="str">
        <f>IF('BASIC INFO'!$B$6+6574.5&gt;C56, "YES", "NO")</f>
        <v>YES</v>
      </c>
      <c r="AC56" s="57" t="str">
        <f>IF(Z56="YES",COUNTIFS(AD$3:$AD$200,"&gt;"&amp;('CASE DATA'!D57),$AD$3:$AD$200,"&lt;"&amp;('CASE DATA'!D57+730.5)),"n/a")</f>
        <v>n/a</v>
      </c>
    </row>
    <row r="57" spans="1:29" x14ac:dyDescent="0.25">
      <c r="A57" s="57" t="str">
        <f>IF('CASE DATA'!A58="","z",'CASE DATA'!A58)</f>
        <v>z</v>
      </c>
      <c r="B57" s="57" t="str">
        <f>IF('CASE DATA'!A58="","",'CASE DATA'!E58)</f>
        <v/>
      </c>
      <c r="C57" s="58">
        <f>'CASE DATA'!D58</f>
        <v>0</v>
      </c>
      <c r="D57" s="59" t="str">
        <f>IF('CASE DATA'!I58="YES",SUM('CASE DATA'!J58:P58),"n/a")</f>
        <v>n/a</v>
      </c>
      <c r="E57" s="60" t="str">
        <f>IF(OR('CASE DATA'!G58="JUV", 'CASE DATA'!G58="JWV"), "YES", "NO")</f>
        <v>NO</v>
      </c>
      <c r="F57" s="60" t="str">
        <f t="array" ref="F57">IF(E57="YES",IF(SUM(COUNTIF('CASE DATA'!$G$4:$G$200, {"GTR","GPL","DEF","JUV"}))&gt;0, "YES","NO"),"N/A")</f>
        <v>N/A</v>
      </c>
      <c r="G57" s="60" t="str">
        <f>IF(E57="YES",IF(COUNTIF('CASE DATA'!$D$4:$D$200, "")-COUNTIF('CASE DATA'!$A$4:$A$200, "")&gt;0, "YES","NO"),"N/A")</f>
        <v>N/A</v>
      </c>
      <c r="H57" s="57" t="str">
        <f>_xlfn.IFS(E57="NO", "N/A", AND('BASIC INFO'!$B$3&gt;'BASIC INFO'!$B$6+6574.5, C57+730.5&lt;'BASIC INFO'!$B$3), "YES", 'BASIC INFO'!$B$3&lt;('BASIC INFO'!$B$6+6574.5), "NOT YET 18", C57+730.5&gt;'BASIC INFO'!$B$3, "NOT YET 2 YEARS")</f>
        <v>N/A</v>
      </c>
      <c r="I57" s="61" t="str">
        <f>IF(OR(AND(LEFT('CASE DATA'!F58,4)="321.",MID('CASE DATA'!A58,8,2)="SM"),MID('CASE DATA'!A58,8,2)="ST",MID('CASE DATA'!A58,8,2)="NT"),"TRAFFIC",IF(OR('CASE DATA'!G58="DISM", 'CASE DATA'!G58="ACQ", 'CASE DATA'!G58="NOTF", 'CASE DATA'!G58="WTHD", 'CASE DATA'!G58="TNSF"), "YES", "NO"))</f>
        <v>NO</v>
      </c>
      <c r="J57" s="62" t="str">
        <f>IF(I57="YES",'CASE DATA'!T58,"N/A")</f>
        <v>N/A</v>
      </c>
      <c r="K57" s="57" t="str">
        <f>IF(I57="YES",IF(C57+180&lt;'BASIC INFO'!$B$3, "YES", "NO"),"N/A")</f>
        <v>N/A</v>
      </c>
      <c r="L57" s="62" t="str">
        <f t="array" ref="L57">IF(I57="TRAFFIC","n/a",IF(OR('CASE DATA'!G58="GTR", 'CASE DATA'!G58="GPL"),IF(SUM(COUNTIF('CASE DATA'!W58:AH58, 'CODE SECTIONS'!$V$2:$V$218&amp;"*"))&gt;0,"felony","eligible"),"n/a"))</f>
        <v>n/a</v>
      </c>
      <c r="M57" s="62" t="str">
        <f t="array" ref="M57">IF(L57="eligible",IF(OR((SUM(COUNTIF('CASE DATA'!W58:AH58,'CODE SECTIONS'!$X$2:$X$19&amp;"*"))&gt;0),LEFT('CASE DATA'!W58:AH58,4)="717C", LEFT('CASE DATA'!W58:AH58, 3)="719", LEFT('CASE DATA'!W58:AH58,3)="720", LEFT('CASE DATA'!W58:AH58,3)="724", LEFT('CASE DATA'!W58:AH58,3)="726", LEFT('CASE DATA'!W58:AH58,3)="728", LEFT('CASE DATA'!W58:AH58,4)="901A"), "ineligible misd","eligible"),"n/a")</f>
        <v>n/a</v>
      </c>
      <c r="N57" s="62" t="str">
        <f>IF(M57="eligible",IF(COUNTIF('CASE DATA'!$D$4:$D$200, "")-COUNTIF('CASE DATA'!$A$4:$A$200, "")&gt;0, "YES","NO"),"N/A")</f>
        <v>N/A</v>
      </c>
      <c r="O57" s="62" t="str">
        <f>IF(M57="eligible",BANKRUPTCY!C58+BANKRUPTCY!D58,"N/A")</f>
        <v>N/A</v>
      </c>
      <c r="P57" s="62" t="str">
        <f>IF(M57="eligible",SOL!C58+SOL!D58+SOL!E58,"N/A")</f>
        <v>N/A</v>
      </c>
      <c r="Q57" s="62" t="str">
        <f>IF(M57="eligible",SUM('CASE DATA'!J58:S58),"N/A")</f>
        <v>N/A</v>
      </c>
      <c r="R57" s="62" t="str">
        <f>IF(M57="eligible",IF(C57+2920&lt;'BASIC INFO'!$B$3, "YES", "NO"),"N/A")</f>
        <v>N/A</v>
      </c>
      <c r="S57" s="61" t="str">
        <f>IF(OR('CASE DATA'!G58="DEF"), "YES", "NO")</f>
        <v>NO</v>
      </c>
      <c r="T57" s="57" t="str">
        <f>IF(S57="YES",'CASE DATA'!I58,"N/A")</f>
        <v>N/A</v>
      </c>
      <c r="U57" s="62" t="str">
        <f>IF(S57="YES",BANKRUPTCY!C58+BANKRUPTCY!D58,"N/A")</f>
        <v>N/A</v>
      </c>
      <c r="V57" s="62" t="str">
        <f>IF(S57="YES",SUM('CASE DATA'!J58:S58),"N/A")</f>
        <v>N/A</v>
      </c>
      <c r="W57" s="57" t="str">
        <f>IF(OR('CASE DATA'!F58="123.46",'CASE DATA'!F58="123.47"),"YES","NO")</f>
        <v>NO</v>
      </c>
      <c r="X57" s="60" t="str">
        <f>IF(W57="YES",COUNTIFS(AD$3:$AD$200,"&gt;"&amp;('CASE DATA'!D58),$AD$3:$AD$200,"&lt;"&amp;('CASE DATA'!D58+730.5)),"n/a")</f>
        <v>n/a</v>
      </c>
      <c r="Y57" s="62" t="str">
        <f>IF(W57="YES",IF(C57+730.5&lt;'BASIC INFO'!$B$3, "YES","NO"), "N/A")</f>
        <v>N/A</v>
      </c>
      <c r="Z57" s="57" t="str">
        <f>IF('CASE DATA'!F58="725.1","YES","NO")</f>
        <v>NO</v>
      </c>
      <c r="AA57" s="57" t="str">
        <f>IF(Z57="YES",IF(C57+730.5&lt;'BASIC INFO'!$B$3, "YES","NO"), "N/A")</f>
        <v>N/A</v>
      </c>
      <c r="AB57" s="57" t="str">
        <f>IF('BASIC INFO'!$B$6+6574.5&gt;C57, "YES", "NO")</f>
        <v>YES</v>
      </c>
      <c r="AC57" s="57" t="str">
        <f>IF(Z57="YES",COUNTIFS(AD$3:$AD$200,"&gt;"&amp;('CASE DATA'!D58),$AD$3:$AD$200,"&lt;"&amp;('CASE DATA'!D58+730.5)),"n/a")</f>
        <v>n/a</v>
      </c>
    </row>
    <row r="58" spans="1:29" x14ac:dyDescent="0.25">
      <c r="A58" s="57" t="str">
        <f>IF('CASE DATA'!A59="","z",'CASE DATA'!A59)</f>
        <v>z</v>
      </c>
      <c r="B58" s="57" t="str">
        <f>IF('CASE DATA'!A59="","",'CASE DATA'!E59)</f>
        <v/>
      </c>
      <c r="C58" s="58">
        <f>'CASE DATA'!D59</f>
        <v>0</v>
      </c>
      <c r="D58" s="59" t="str">
        <f>IF('CASE DATA'!I59="YES",SUM('CASE DATA'!J59:P59),"n/a")</f>
        <v>n/a</v>
      </c>
      <c r="E58" s="60" t="str">
        <f>IF(OR('CASE DATA'!G59="JUV", 'CASE DATA'!G59="JWV"), "YES", "NO")</f>
        <v>NO</v>
      </c>
      <c r="F58" s="60" t="str">
        <f t="array" ref="F58">IF(E58="YES",IF(SUM(COUNTIF('CASE DATA'!$G$4:$G$200, {"GTR","GPL","DEF","JUV"}))&gt;0, "YES","NO"),"N/A")</f>
        <v>N/A</v>
      </c>
      <c r="G58" s="60" t="str">
        <f>IF(E58="YES",IF(COUNTIF('CASE DATA'!$D$4:$D$200, "")-COUNTIF('CASE DATA'!$A$4:$A$200, "")&gt;0, "YES","NO"),"N/A")</f>
        <v>N/A</v>
      </c>
      <c r="H58" s="57" t="str">
        <f>_xlfn.IFS(E58="NO", "N/A", AND('BASIC INFO'!$B$3&gt;'BASIC INFO'!$B$6+6574.5, C58+730.5&lt;'BASIC INFO'!$B$3), "YES", 'BASIC INFO'!$B$3&lt;('BASIC INFO'!$B$6+6574.5), "NOT YET 18", C58+730.5&gt;'BASIC INFO'!$B$3, "NOT YET 2 YEARS")</f>
        <v>N/A</v>
      </c>
      <c r="I58" s="61" t="str">
        <f>IF(OR(AND(LEFT('CASE DATA'!F59,4)="321.",MID('CASE DATA'!A59,8,2)="SM"),MID('CASE DATA'!A59,8,2)="ST",MID('CASE DATA'!A59,8,2)="NT"),"TRAFFIC",IF(OR('CASE DATA'!G59="DISM", 'CASE DATA'!G59="ACQ", 'CASE DATA'!G59="NOTF", 'CASE DATA'!G59="WTHD", 'CASE DATA'!G59="TNSF"), "YES", "NO"))</f>
        <v>NO</v>
      </c>
      <c r="J58" s="62" t="str">
        <f>IF(I58="YES",'CASE DATA'!T59,"N/A")</f>
        <v>N/A</v>
      </c>
      <c r="K58" s="57" t="str">
        <f>IF(I58="YES",IF(C58+180&lt;'BASIC INFO'!$B$3, "YES", "NO"),"N/A")</f>
        <v>N/A</v>
      </c>
      <c r="L58" s="62" t="str">
        <f t="array" ref="L58">IF(I58="TRAFFIC","n/a",IF(OR('CASE DATA'!G59="GTR", 'CASE DATA'!G59="GPL"),IF(SUM(COUNTIF('CASE DATA'!W59:AH59, 'CODE SECTIONS'!$V$2:$V$218&amp;"*"))&gt;0,"felony","eligible"),"n/a"))</f>
        <v>n/a</v>
      </c>
      <c r="M58" s="62" t="str">
        <f t="array" ref="M58">IF(L58="eligible",IF(OR((SUM(COUNTIF('CASE DATA'!W59:AH59,'CODE SECTIONS'!$X$2:$X$19&amp;"*"))&gt;0),LEFT('CASE DATA'!W59:AH59,4)="717C", LEFT('CASE DATA'!W59:AH59, 3)="719", LEFT('CASE DATA'!W59:AH59,3)="720", LEFT('CASE DATA'!W59:AH59,3)="724", LEFT('CASE DATA'!W59:AH59,3)="726", LEFT('CASE DATA'!W59:AH59,3)="728", LEFT('CASE DATA'!W59:AH59,4)="901A"), "ineligible misd","eligible"),"n/a")</f>
        <v>n/a</v>
      </c>
      <c r="N58" s="62" t="str">
        <f>IF(M58="eligible",IF(COUNTIF('CASE DATA'!$D$4:$D$200, "")-COUNTIF('CASE DATA'!$A$4:$A$200, "")&gt;0, "YES","NO"),"N/A")</f>
        <v>N/A</v>
      </c>
      <c r="O58" s="62" t="str">
        <f>IF(M58="eligible",BANKRUPTCY!C59+BANKRUPTCY!D59,"N/A")</f>
        <v>N/A</v>
      </c>
      <c r="P58" s="62" t="str">
        <f>IF(M58="eligible",SOL!C59+SOL!D59+SOL!E59,"N/A")</f>
        <v>N/A</v>
      </c>
      <c r="Q58" s="62" t="str">
        <f>IF(M58="eligible",SUM('CASE DATA'!J59:S59),"N/A")</f>
        <v>N/A</v>
      </c>
      <c r="R58" s="62" t="str">
        <f>IF(M58="eligible",IF(C58+2920&lt;'BASIC INFO'!$B$3, "YES", "NO"),"N/A")</f>
        <v>N/A</v>
      </c>
      <c r="S58" s="61" t="str">
        <f>IF(OR('CASE DATA'!G59="DEF"), "YES", "NO")</f>
        <v>NO</v>
      </c>
      <c r="T58" s="57" t="str">
        <f>IF(S58="YES",'CASE DATA'!I59,"N/A")</f>
        <v>N/A</v>
      </c>
      <c r="U58" s="62" t="str">
        <f>IF(S58="YES",BANKRUPTCY!C59+BANKRUPTCY!D59,"N/A")</f>
        <v>N/A</v>
      </c>
      <c r="V58" s="62" t="str">
        <f>IF(S58="YES",SUM('CASE DATA'!J59:S59),"N/A")</f>
        <v>N/A</v>
      </c>
      <c r="W58" s="57" t="str">
        <f>IF(OR('CASE DATA'!F59="123.46",'CASE DATA'!F59="123.47"),"YES","NO")</f>
        <v>NO</v>
      </c>
      <c r="X58" s="60" t="str">
        <f>IF(W58="YES",COUNTIFS(AD$3:$AD$200,"&gt;"&amp;('CASE DATA'!D59),$AD$3:$AD$200,"&lt;"&amp;('CASE DATA'!D59+730.5)),"n/a")</f>
        <v>n/a</v>
      </c>
      <c r="Y58" s="62" t="str">
        <f>IF(W58="YES",IF(C58+730.5&lt;'BASIC INFO'!$B$3, "YES","NO"), "N/A")</f>
        <v>N/A</v>
      </c>
      <c r="Z58" s="57" t="str">
        <f>IF('CASE DATA'!F59="725.1","YES","NO")</f>
        <v>NO</v>
      </c>
      <c r="AA58" s="57" t="str">
        <f>IF(Z58="YES",IF(C58+730.5&lt;'BASIC INFO'!$B$3, "YES","NO"), "N/A")</f>
        <v>N/A</v>
      </c>
      <c r="AB58" s="57" t="str">
        <f>IF('BASIC INFO'!$B$6+6574.5&gt;C58, "YES", "NO")</f>
        <v>YES</v>
      </c>
      <c r="AC58" s="57" t="str">
        <f>IF(Z58="YES",COUNTIFS(AD$3:$AD$200,"&gt;"&amp;('CASE DATA'!D59),$AD$3:$AD$200,"&lt;"&amp;('CASE DATA'!D59+730.5)),"n/a")</f>
        <v>n/a</v>
      </c>
    </row>
    <row r="59" spans="1:29" x14ac:dyDescent="0.25">
      <c r="A59" s="57" t="str">
        <f>IF('CASE DATA'!A60="","z",'CASE DATA'!A60)</f>
        <v>z</v>
      </c>
      <c r="B59" s="57" t="str">
        <f>IF('CASE DATA'!A60="","",'CASE DATA'!E60)</f>
        <v/>
      </c>
      <c r="C59" s="58">
        <f>'CASE DATA'!D60</f>
        <v>0</v>
      </c>
      <c r="D59" s="59" t="str">
        <f>IF('CASE DATA'!I60="YES",SUM('CASE DATA'!J60:P60),"n/a")</f>
        <v>n/a</v>
      </c>
      <c r="E59" s="60" t="str">
        <f>IF(OR('CASE DATA'!G60="JUV", 'CASE DATA'!G60="JWV"), "YES", "NO")</f>
        <v>NO</v>
      </c>
      <c r="F59" s="60" t="str">
        <f t="array" ref="F59">IF(E59="YES",IF(SUM(COUNTIF('CASE DATA'!$G$4:$G$200, {"GTR","GPL","DEF","JUV"}))&gt;0, "YES","NO"),"N/A")</f>
        <v>N/A</v>
      </c>
      <c r="G59" s="60" t="str">
        <f>IF(E59="YES",IF(COUNTIF('CASE DATA'!$D$4:$D$200, "")-COUNTIF('CASE DATA'!$A$4:$A$200, "")&gt;0, "YES","NO"),"N/A")</f>
        <v>N/A</v>
      </c>
      <c r="H59" s="57" t="str">
        <f>_xlfn.IFS(E59="NO", "N/A", AND('BASIC INFO'!$B$3&gt;'BASIC INFO'!$B$6+6574.5, C59+730.5&lt;'BASIC INFO'!$B$3), "YES", 'BASIC INFO'!$B$3&lt;('BASIC INFO'!$B$6+6574.5), "NOT YET 18", C59+730.5&gt;'BASIC INFO'!$B$3, "NOT YET 2 YEARS")</f>
        <v>N/A</v>
      </c>
      <c r="I59" s="61" t="str">
        <f>IF(OR(AND(LEFT('CASE DATA'!F60,4)="321.",MID('CASE DATA'!A60,8,2)="SM"),MID('CASE DATA'!A60,8,2)="ST",MID('CASE DATA'!A60,8,2)="NT"),"TRAFFIC",IF(OR('CASE DATA'!G60="DISM", 'CASE DATA'!G60="ACQ", 'CASE DATA'!G60="NOTF", 'CASE DATA'!G60="WTHD", 'CASE DATA'!G60="TNSF"), "YES", "NO"))</f>
        <v>NO</v>
      </c>
      <c r="J59" s="62" t="str">
        <f>IF(I59="YES",'CASE DATA'!T60,"N/A")</f>
        <v>N/A</v>
      </c>
      <c r="K59" s="57" t="str">
        <f>IF(I59="YES",IF(C59+180&lt;'BASIC INFO'!$B$3, "YES", "NO"),"N/A")</f>
        <v>N/A</v>
      </c>
      <c r="L59" s="62" t="str">
        <f t="array" ref="L59">IF(I59="TRAFFIC","n/a",IF(OR('CASE DATA'!G60="GTR", 'CASE DATA'!G60="GPL"),IF(SUM(COUNTIF('CASE DATA'!W60:AH60, 'CODE SECTIONS'!$V$2:$V$218&amp;"*"))&gt;0,"felony","eligible"),"n/a"))</f>
        <v>n/a</v>
      </c>
      <c r="M59" s="62" t="str">
        <f t="array" ref="M59">IF(L59="eligible",IF(OR((SUM(COUNTIF('CASE DATA'!W60:AH60,'CODE SECTIONS'!$X$2:$X$19&amp;"*"))&gt;0),LEFT('CASE DATA'!W60:AH60,4)="717C", LEFT('CASE DATA'!W60:AH60, 3)="719", LEFT('CASE DATA'!W60:AH60,3)="720", LEFT('CASE DATA'!W60:AH60,3)="724", LEFT('CASE DATA'!W60:AH60,3)="726", LEFT('CASE DATA'!W60:AH60,3)="728", LEFT('CASE DATA'!W60:AH60,4)="901A"), "ineligible misd","eligible"),"n/a")</f>
        <v>n/a</v>
      </c>
      <c r="N59" s="62" t="str">
        <f>IF(M59="eligible",IF(COUNTIF('CASE DATA'!$D$4:$D$200, "")-COUNTIF('CASE DATA'!$A$4:$A$200, "")&gt;0, "YES","NO"),"N/A")</f>
        <v>N/A</v>
      </c>
      <c r="O59" s="62" t="str">
        <f>IF(M59="eligible",BANKRUPTCY!C60+BANKRUPTCY!D60,"N/A")</f>
        <v>N/A</v>
      </c>
      <c r="P59" s="62" t="str">
        <f>IF(M59="eligible",SOL!C60+SOL!D60+SOL!E60,"N/A")</f>
        <v>N/A</v>
      </c>
      <c r="Q59" s="62" t="str">
        <f>IF(M59="eligible",SUM('CASE DATA'!J60:S60),"N/A")</f>
        <v>N/A</v>
      </c>
      <c r="R59" s="62" t="str">
        <f>IF(M59="eligible",IF(C59+2920&lt;'BASIC INFO'!$B$3, "YES", "NO"),"N/A")</f>
        <v>N/A</v>
      </c>
      <c r="S59" s="61" t="str">
        <f>IF(OR('CASE DATA'!G60="DEF"), "YES", "NO")</f>
        <v>NO</v>
      </c>
      <c r="T59" s="57" t="str">
        <f>IF(S59="YES",'CASE DATA'!I60,"N/A")</f>
        <v>N/A</v>
      </c>
      <c r="U59" s="62" t="str">
        <f>IF(S59="YES",BANKRUPTCY!C60+BANKRUPTCY!D60,"N/A")</f>
        <v>N/A</v>
      </c>
      <c r="V59" s="62" t="str">
        <f>IF(S59="YES",SUM('CASE DATA'!J60:S60),"N/A")</f>
        <v>N/A</v>
      </c>
      <c r="W59" s="57" t="str">
        <f>IF(OR('CASE DATA'!F60="123.46",'CASE DATA'!F60="123.47"),"YES","NO")</f>
        <v>NO</v>
      </c>
      <c r="X59" s="60" t="str">
        <f>IF(W59="YES",COUNTIFS(AD$3:$AD$200,"&gt;"&amp;('CASE DATA'!D60),$AD$3:$AD$200,"&lt;"&amp;('CASE DATA'!D60+730.5)),"n/a")</f>
        <v>n/a</v>
      </c>
      <c r="Y59" s="62" t="str">
        <f>IF(W59="YES",IF(C59+730.5&lt;'BASIC INFO'!$B$3, "YES","NO"), "N/A")</f>
        <v>N/A</v>
      </c>
      <c r="Z59" s="57" t="str">
        <f>IF('CASE DATA'!F60="725.1","YES","NO")</f>
        <v>NO</v>
      </c>
      <c r="AA59" s="57" t="str">
        <f>IF(Z59="YES",IF(C59+730.5&lt;'BASIC INFO'!$B$3, "YES","NO"), "N/A")</f>
        <v>N/A</v>
      </c>
      <c r="AB59" s="57" t="str">
        <f>IF('BASIC INFO'!$B$6+6574.5&gt;C59, "YES", "NO")</f>
        <v>YES</v>
      </c>
      <c r="AC59" s="57" t="str">
        <f>IF(Z59="YES",COUNTIFS(AD$3:$AD$200,"&gt;"&amp;('CASE DATA'!D60),$AD$3:$AD$200,"&lt;"&amp;('CASE DATA'!D60+730.5)),"n/a")</f>
        <v>n/a</v>
      </c>
    </row>
    <row r="60" spans="1:29" x14ac:dyDescent="0.25">
      <c r="A60" s="57" t="str">
        <f>IF('CASE DATA'!A61="","z",'CASE DATA'!A61)</f>
        <v>z</v>
      </c>
      <c r="B60" s="57" t="str">
        <f>IF('CASE DATA'!A61="","",'CASE DATA'!E61)</f>
        <v/>
      </c>
      <c r="C60" s="58">
        <f>'CASE DATA'!D61</f>
        <v>0</v>
      </c>
      <c r="D60" s="59" t="str">
        <f>IF('CASE DATA'!I61="YES",SUM('CASE DATA'!J61:P61),"n/a")</f>
        <v>n/a</v>
      </c>
      <c r="E60" s="60" t="str">
        <f>IF(OR('CASE DATA'!G61="JUV", 'CASE DATA'!G61="JWV"), "YES", "NO")</f>
        <v>NO</v>
      </c>
      <c r="F60" s="60" t="str">
        <f t="array" ref="F60">IF(E60="YES",IF(SUM(COUNTIF('CASE DATA'!$G$4:$G$200, {"GTR","GPL","DEF","JUV"}))&gt;0, "YES","NO"),"N/A")</f>
        <v>N/A</v>
      </c>
      <c r="G60" s="60" t="str">
        <f>IF(E60="YES",IF(COUNTIF('CASE DATA'!$D$4:$D$200, "")-COUNTIF('CASE DATA'!$A$4:$A$200, "")&gt;0, "YES","NO"),"N/A")</f>
        <v>N/A</v>
      </c>
      <c r="H60" s="57" t="str">
        <f>_xlfn.IFS(E60="NO", "N/A", AND('BASIC INFO'!$B$3&gt;'BASIC INFO'!$B$6+6574.5, C60+730.5&lt;'BASIC INFO'!$B$3), "YES", 'BASIC INFO'!$B$3&lt;('BASIC INFO'!$B$6+6574.5), "NOT YET 18", C60+730.5&gt;'BASIC INFO'!$B$3, "NOT YET 2 YEARS")</f>
        <v>N/A</v>
      </c>
      <c r="I60" s="61" t="str">
        <f>IF(OR(AND(LEFT('CASE DATA'!F61,4)="321.",MID('CASE DATA'!A61,8,2)="SM"),MID('CASE DATA'!A61,8,2)="ST",MID('CASE DATA'!A61,8,2)="NT"),"TRAFFIC",IF(OR('CASE DATA'!G61="DISM", 'CASE DATA'!G61="ACQ", 'CASE DATA'!G61="NOTF", 'CASE DATA'!G61="WTHD", 'CASE DATA'!G61="TNSF"), "YES", "NO"))</f>
        <v>NO</v>
      </c>
      <c r="J60" s="62" t="str">
        <f>IF(I60="YES",'CASE DATA'!T61,"N/A")</f>
        <v>N/A</v>
      </c>
      <c r="K60" s="57" t="str">
        <f>IF(I60="YES",IF(C60+180&lt;'BASIC INFO'!$B$3, "YES", "NO"),"N/A")</f>
        <v>N/A</v>
      </c>
      <c r="L60" s="62" t="str">
        <f t="array" ref="L60">IF(I60="TRAFFIC","n/a",IF(OR('CASE DATA'!G61="GTR", 'CASE DATA'!G61="GPL"),IF(SUM(COUNTIF('CASE DATA'!W61:AH61, 'CODE SECTIONS'!$V$2:$V$218&amp;"*"))&gt;0,"felony","eligible"),"n/a"))</f>
        <v>n/a</v>
      </c>
      <c r="M60" s="62" t="str">
        <f t="array" ref="M60">IF(L60="eligible",IF(OR((SUM(COUNTIF('CASE DATA'!W61:AH61,'CODE SECTIONS'!$X$2:$X$19&amp;"*"))&gt;0),LEFT('CASE DATA'!W61:AH61,4)="717C", LEFT('CASE DATA'!W61:AH61, 3)="719", LEFT('CASE DATA'!W61:AH61,3)="720", LEFT('CASE DATA'!W61:AH61,3)="724", LEFT('CASE DATA'!W61:AH61,3)="726", LEFT('CASE DATA'!W61:AH61,3)="728", LEFT('CASE DATA'!W61:AH61,4)="901A"), "ineligible misd","eligible"),"n/a")</f>
        <v>n/a</v>
      </c>
      <c r="N60" s="62" t="str">
        <f>IF(M60="eligible",IF(COUNTIF('CASE DATA'!$D$4:$D$200, "")-COUNTIF('CASE DATA'!$A$4:$A$200, "")&gt;0, "YES","NO"),"N/A")</f>
        <v>N/A</v>
      </c>
      <c r="O60" s="62" t="str">
        <f>IF(M60="eligible",BANKRUPTCY!C61+BANKRUPTCY!D61,"N/A")</f>
        <v>N/A</v>
      </c>
      <c r="P60" s="62" t="str">
        <f>IF(M60="eligible",SOL!C61+SOL!D61+SOL!E61,"N/A")</f>
        <v>N/A</v>
      </c>
      <c r="Q60" s="62" t="str">
        <f>IF(M60="eligible",SUM('CASE DATA'!J61:S61),"N/A")</f>
        <v>N/A</v>
      </c>
      <c r="R60" s="62" t="str">
        <f>IF(M60="eligible",IF(C60+2920&lt;'BASIC INFO'!$B$3, "YES", "NO"),"N/A")</f>
        <v>N/A</v>
      </c>
      <c r="S60" s="61" t="str">
        <f>IF(OR('CASE DATA'!G61="DEF"), "YES", "NO")</f>
        <v>NO</v>
      </c>
      <c r="T60" s="57" t="str">
        <f>IF(S60="YES",'CASE DATA'!I61,"N/A")</f>
        <v>N/A</v>
      </c>
      <c r="U60" s="62" t="str">
        <f>IF(S60="YES",BANKRUPTCY!C61+BANKRUPTCY!D61,"N/A")</f>
        <v>N/A</v>
      </c>
      <c r="V60" s="62" t="str">
        <f>IF(S60="YES",SUM('CASE DATA'!J61:S61),"N/A")</f>
        <v>N/A</v>
      </c>
      <c r="W60" s="57" t="str">
        <f>IF(OR('CASE DATA'!F61="123.46",'CASE DATA'!F61="123.47"),"YES","NO")</f>
        <v>NO</v>
      </c>
      <c r="X60" s="60" t="str">
        <f>IF(W60="YES",COUNTIFS(AD$3:$AD$200,"&gt;"&amp;('CASE DATA'!D61),$AD$3:$AD$200,"&lt;"&amp;('CASE DATA'!D61+730.5)),"n/a")</f>
        <v>n/a</v>
      </c>
      <c r="Y60" s="62" t="str">
        <f>IF(W60="YES",IF(C60+730.5&lt;'BASIC INFO'!$B$3, "YES","NO"), "N/A")</f>
        <v>N/A</v>
      </c>
      <c r="Z60" s="57" t="str">
        <f>IF('CASE DATA'!F61="725.1","YES","NO")</f>
        <v>NO</v>
      </c>
      <c r="AA60" s="57" t="str">
        <f>IF(Z60="YES",IF(C60+730.5&lt;'BASIC INFO'!$B$3, "YES","NO"), "N/A")</f>
        <v>N/A</v>
      </c>
      <c r="AB60" s="57" t="str">
        <f>IF('BASIC INFO'!$B$6+6574.5&gt;C60, "YES", "NO")</f>
        <v>YES</v>
      </c>
      <c r="AC60" s="57" t="str">
        <f>IF(Z60="YES",COUNTIFS(AD$3:$AD$200,"&gt;"&amp;('CASE DATA'!D61),$AD$3:$AD$200,"&lt;"&amp;('CASE DATA'!D61+730.5)),"n/a")</f>
        <v>n/a</v>
      </c>
    </row>
    <row r="61" spans="1:29" x14ac:dyDescent="0.25">
      <c r="A61" s="57" t="str">
        <f>IF('CASE DATA'!A62="","z",'CASE DATA'!A62)</f>
        <v>z</v>
      </c>
      <c r="B61" s="57" t="str">
        <f>IF('CASE DATA'!A62="","",'CASE DATA'!E62)</f>
        <v/>
      </c>
      <c r="C61" s="58">
        <f>'CASE DATA'!D62</f>
        <v>0</v>
      </c>
      <c r="D61" s="59" t="str">
        <f>IF('CASE DATA'!I62="YES",SUM('CASE DATA'!J62:P62),"n/a")</f>
        <v>n/a</v>
      </c>
      <c r="E61" s="60" t="str">
        <f>IF(OR('CASE DATA'!G62="JUV", 'CASE DATA'!G62="JWV"), "YES", "NO")</f>
        <v>NO</v>
      </c>
      <c r="F61" s="60" t="str">
        <f t="array" ref="F61">IF(E61="YES",IF(SUM(COUNTIF('CASE DATA'!$G$4:$G$200, {"GTR","GPL","DEF","JUV"}))&gt;0, "YES","NO"),"N/A")</f>
        <v>N/A</v>
      </c>
      <c r="G61" s="60" t="str">
        <f>IF(E61="YES",IF(COUNTIF('CASE DATA'!$D$4:$D$200, "")-COUNTIF('CASE DATA'!$A$4:$A$200, "")&gt;0, "YES","NO"),"N/A")</f>
        <v>N/A</v>
      </c>
      <c r="H61" s="57" t="str">
        <f>_xlfn.IFS(E61="NO", "N/A", AND('BASIC INFO'!$B$3&gt;'BASIC INFO'!$B$6+6574.5, C61+730.5&lt;'BASIC INFO'!$B$3), "YES", 'BASIC INFO'!$B$3&lt;('BASIC INFO'!$B$6+6574.5), "NOT YET 18", C61+730.5&gt;'BASIC INFO'!$B$3, "NOT YET 2 YEARS")</f>
        <v>N/A</v>
      </c>
      <c r="I61" s="61" t="str">
        <f>IF(OR(AND(LEFT('CASE DATA'!F62,4)="321.",MID('CASE DATA'!A62,8,2)="SM"),MID('CASE DATA'!A62,8,2)="ST",MID('CASE DATA'!A62,8,2)="NT"),"TRAFFIC",IF(OR('CASE DATA'!G62="DISM", 'CASE DATA'!G62="ACQ", 'CASE DATA'!G62="NOTF", 'CASE DATA'!G62="WTHD", 'CASE DATA'!G62="TNSF"), "YES", "NO"))</f>
        <v>NO</v>
      </c>
      <c r="J61" s="62" t="str">
        <f>IF(I61="YES",'CASE DATA'!T62,"N/A")</f>
        <v>N/A</v>
      </c>
      <c r="K61" s="57" t="str">
        <f>IF(I61="YES",IF(C61+180&lt;'BASIC INFO'!$B$3, "YES", "NO"),"N/A")</f>
        <v>N/A</v>
      </c>
      <c r="L61" s="62" t="str">
        <f t="array" ref="L61">IF(I61="TRAFFIC","n/a",IF(OR('CASE DATA'!G62="GTR", 'CASE DATA'!G62="GPL"),IF(SUM(COUNTIF('CASE DATA'!W62:AH62, 'CODE SECTIONS'!$V$2:$V$218&amp;"*"))&gt;0,"felony","eligible"),"n/a"))</f>
        <v>n/a</v>
      </c>
      <c r="M61" s="62" t="str">
        <f t="array" ref="M61">IF(L61="eligible",IF(OR((SUM(COUNTIF('CASE DATA'!W62:AH62,'CODE SECTIONS'!$X$2:$X$19&amp;"*"))&gt;0),LEFT('CASE DATA'!W62:AH62,4)="717C", LEFT('CASE DATA'!W62:AH62, 3)="719", LEFT('CASE DATA'!W62:AH62,3)="720", LEFT('CASE DATA'!W62:AH62,3)="724", LEFT('CASE DATA'!W62:AH62,3)="726", LEFT('CASE DATA'!W62:AH62,3)="728", LEFT('CASE DATA'!W62:AH62,4)="901A"), "ineligible misd","eligible"),"n/a")</f>
        <v>n/a</v>
      </c>
      <c r="N61" s="62" t="str">
        <f>IF(M61="eligible",IF(COUNTIF('CASE DATA'!$D$4:$D$200, "")-COUNTIF('CASE DATA'!$A$4:$A$200, "")&gt;0, "YES","NO"),"N/A")</f>
        <v>N/A</v>
      </c>
      <c r="O61" s="62" t="str">
        <f>IF(M61="eligible",BANKRUPTCY!C62+BANKRUPTCY!D62,"N/A")</f>
        <v>N/A</v>
      </c>
      <c r="P61" s="62" t="str">
        <f>IF(M61="eligible",SOL!C62+SOL!D62+SOL!E62,"N/A")</f>
        <v>N/A</v>
      </c>
      <c r="Q61" s="62" t="str">
        <f>IF(M61="eligible",SUM('CASE DATA'!J62:S62),"N/A")</f>
        <v>N/A</v>
      </c>
      <c r="R61" s="62" t="str">
        <f>IF(M61="eligible",IF(C61+2920&lt;'BASIC INFO'!$B$3, "YES", "NO"),"N/A")</f>
        <v>N/A</v>
      </c>
      <c r="S61" s="61" t="str">
        <f>IF(OR('CASE DATA'!G62="DEF"), "YES", "NO")</f>
        <v>NO</v>
      </c>
      <c r="T61" s="57" t="str">
        <f>IF(S61="YES",'CASE DATA'!I62,"N/A")</f>
        <v>N/A</v>
      </c>
      <c r="U61" s="62" t="str">
        <f>IF(S61="YES",BANKRUPTCY!C62+BANKRUPTCY!D62,"N/A")</f>
        <v>N/A</v>
      </c>
      <c r="V61" s="62" t="str">
        <f>IF(S61="YES",SUM('CASE DATA'!J62:S62),"N/A")</f>
        <v>N/A</v>
      </c>
      <c r="W61" s="57" t="str">
        <f>IF(OR('CASE DATA'!F62="123.46",'CASE DATA'!F62="123.47"),"YES","NO")</f>
        <v>NO</v>
      </c>
      <c r="X61" s="60" t="str">
        <f>IF(W61="YES",COUNTIFS(AD$3:$AD$200,"&gt;"&amp;('CASE DATA'!D62),$AD$3:$AD$200,"&lt;"&amp;('CASE DATA'!D62+730.5)),"n/a")</f>
        <v>n/a</v>
      </c>
      <c r="Y61" s="62" t="str">
        <f>IF(W61="YES",IF(C61+730.5&lt;'BASIC INFO'!$B$3, "YES","NO"), "N/A")</f>
        <v>N/A</v>
      </c>
      <c r="Z61" s="57" t="str">
        <f>IF('CASE DATA'!F62="725.1","YES","NO")</f>
        <v>NO</v>
      </c>
      <c r="AA61" s="57" t="str">
        <f>IF(Z61="YES",IF(C61+730.5&lt;'BASIC INFO'!$B$3, "YES","NO"), "N/A")</f>
        <v>N/A</v>
      </c>
      <c r="AB61" s="57" t="str">
        <f>IF('BASIC INFO'!$B$6+6574.5&gt;C61, "YES", "NO")</f>
        <v>YES</v>
      </c>
      <c r="AC61" s="57" t="str">
        <f>IF(Z61="YES",COUNTIFS(AD$3:$AD$200,"&gt;"&amp;('CASE DATA'!D62),$AD$3:$AD$200,"&lt;"&amp;('CASE DATA'!D62+730.5)),"n/a")</f>
        <v>n/a</v>
      </c>
    </row>
    <row r="62" spans="1:29" x14ac:dyDescent="0.25">
      <c r="A62" s="57" t="str">
        <f>IF('CASE DATA'!A63="","z",'CASE DATA'!A63)</f>
        <v>z</v>
      </c>
      <c r="B62" s="57" t="str">
        <f>IF('CASE DATA'!A63="","",'CASE DATA'!E63)</f>
        <v/>
      </c>
      <c r="C62" s="58">
        <f>'CASE DATA'!D63</f>
        <v>0</v>
      </c>
      <c r="D62" s="59" t="str">
        <f>IF('CASE DATA'!I63="YES",SUM('CASE DATA'!J63:P63),"n/a")</f>
        <v>n/a</v>
      </c>
      <c r="E62" s="60" t="str">
        <f>IF(OR('CASE DATA'!G63="JUV", 'CASE DATA'!G63="JWV"), "YES", "NO")</f>
        <v>NO</v>
      </c>
      <c r="F62" s="60" t="str">
        <f t="array" ref="F62">IF(E62="YES",IF(SUM(COUNTIF('CASE DATA'!$G$4:$G$200, {"GTR","GPL","DEF","JUV"}))&gt;0, "YES","NO"),"N/A")</f>
        <v>N/A</v>
      </c>
      <c r="G62" s="60" t="str">
        <f>IF(E62="YES",IF(COUNTIF('CASE DATA'!$D$4:$D$200, "")-COUNTIF('CASE DATA'!$A$4:$A$200, "")&gt;0, "YES","NO"),"N/A")</f>
        <v>N/A</v>
      </c>
      <c r="H62" s="57" t="str">
        <f>_xlfn.IFS(E62="NO", "N/A", AND('BASIC INFO'!$B$3&gt;'BASIC INFO'!$B$6+6574.5, C62+730.5&lt;'BASIC INFO'!$B$3), "YES", 'BASIC INFO'!$B$3&lt;('BASIC INFO'!$B$6+6574.5), "NOT YET 18", C62+730.5&gt;'BASIC INFO'!$B$3, "NOT YET 2 YEARS")</f>
        <v>N/A</v>
      </c>
      <c r="I62" s="61" t="str">
        <f>IF(OR(AND(LEFT('CASE DATA'!F63,4)="321.",MID('CASE DATA'!A63,8,2)="SM"),MID('CASE DATA'!A63,8,2)="ST",MID('CASE DATA'!A63,8,2)="NT"),"TRAFFIC",IF(OR('CASE DATA'!G63="DISM", 'CASE DATA'!G63="ACQ", 'CASE DATA'!G63="NOTF", 'CASE DATA'!G63="WTHD", 'CASE DATA'!G63="TNSF"), "YES", "NO"))</f>
        <v>NO</v>
      </c>
      <c r="J62" s="62" t="str">
        <f>IF(I62="YES",'CASE DATA'!T63,"N/A")</f>
        <v>N/A</v>
      </c>
      <c r="K62" s="57" t="str">
        <f>IF(I62="YES",IF(C62+180&lt;'BASIC INFO'!$B$3, "YES", "NO"),"N/A")</f>
        <v>N/A</v>
      </c>
      <c r="L62" s="62" t="str">
        <f t="array" ref="L62">IF(I62="TRAFFIC","n/a",IF(OR('CASE DATA'!G63="GTR", 'CASE DATA'!G63="GPL"),IF(SUM(COUNTIF('CASE DATA'!W63:AH63, 'CODE SECTIONS'!$V$2:$V$218&amp;"*"))&gt;0,"felony","eligible"),"n/a"))</f>
        <v>n/a</v>
      </c>
      <c r="M62" s="62" t="str">
        <f t="array" ref="M62">IF(L62="eligible",IF(OR((SUM(COUNTIF('CASE DATA'!W63:AH63,'CODE SECTIONS'!$X$2:$X$19&amp;"*"))&gt;0),LEFT('CASE DATA'!W63:AH63,4)="717C", LEFT('CASE DATA'!W63:AH63, 3)="719", LEFT('CASE DATA'!W63:AH63,3)="720", LEFT('CASE DATA'!W63:AH63,3)="724", LEFT('CASE DATA'!W63:AH63,3)="726", LEFT('CASE DATA'!W63:AH63,3)="728", LEFT('CASE DATA'!W63:AH63,4)="901A"), "ineligible misd","eligible"),"n/a")</f>
        <v>n/a</v>
      </c>
      <c r="N62" s="62" t="str">
        <f>IF(M62="eligible",IF(COUNTIF('CASE DATA'!$D$4:$D$200, "")-COUNTIF('CASE DATA'!$A$4:$A$200, "")&gt;0, "YES","NO"),"N/A")</f>
        <v>N/A</v>
      </c>
      <c r="O62" s="62" t="str">
        <f>IF(M62="eligible",BANKRUPTCY!C63+BANKRUPTCY!D63,"N/A")</f>
        <v>N/A</v>
      </c>
      <c r="P62" s="62" t="str">
        <f>IF(M62="eligible",SOL!C63+SOL!D63+SOL!E63,"N/A")</f>
        <v>N/A</v>
      </c>
      <c r="Q62" s="62" t="str">
        <f>IF(M62="eligible",SUM('CASE DATA'!J63:S63),"N/A")</f>
        <v>N/A</v>
      </c>
      <c r="R62" s="62" t="str">
        <f>IF(M62="eligible",IF(C62+2920&lt;'BASIC INFO'!$B$3, "YES", "NO"),"N/A")</f>
        <v>N/A</v>
      </c>
      <c r="S62" s="61" t="str">
        <f>IF(OR('CASE DATA'!G63="DEF"), "YES", "NO")</f>
        <v>NO</v>
      </c>
      <c r="T62" s="57" t="str">
        <f>IF(S62="YES",'CASE DATA'!I63,"N/A")</f>
        <v>N/A</v>
      </c>
      <c r="U62" s="62" t="str">
        <f>IF(S62="YES",BANKRUPTCY!C63+BANKRUPTCY!D63,"N/A")</f>
        <v>N/A</v>
      </c>
      <c r="V62" s="62" t="str">
        <f>IF(S62="YES",SUM('CASE DATA'!J63:S63),"N/A")</f>
        <v>N/A</v>
      </c>
      <c r="W62" s="57" t="str">
        <f>IF(OR('CASE DATA'!F63="123.46",'CASE DATA'!F63="123.47"),"YES","NO")</f>
        <v>NO</v>
      </c>
      <c r="X62" s="60" t="str">
        <f>IF(W62="YES",COUNTIFS(AD$3:$AD$200,"&gt;"&amp;('CASE DATA'!D63),$AD$3:$AD$200,"&lt;"&amp;('CASE DATA'!D63+730.5)),"n/a")</f>
        <v>n/a</v>
      </c>
      <c r="Y62" s="62" t="str">
        <f>IF(W62="YES",IF(C62+730.5&lt;'BASIC INFO'!$B$3, "YES","NO"), "N/A")</f>
        <v>N/A</v>
      </c>
      <c r="Z62" s="57" t="str">
        <f>IF('CASE DATA'!F63="725.1","YES","NO")</f>
        <v>NO</v>
      </c>
      <c r="AA62" s="57" t="str">
        <f>IF(Z62="YES",IF(C62+730.5&lt;'BASIC INFO'!$B$3, "YES","NO"), "N/A")</f>
        <v>N/A</v>
      </c>
      <c r="AB62" s="57" t="str">
        <f>IF('BASIC INFO'!$B$6+6574.5&gt;C62, "YES", "NO")</f>
        <v>YES</v>
      </c>
      <c r="AC62" s="57" t="str">
        <f>IF(Z62="YES",COUNTIFS(AD$3:$AD$200,"&gt;"&amp;('CASE DATA'!D63),$AD$3:$AD$200,"&lt;"&amp;('CASE DATA'!D63+730.5)),"n/a")</f>
        <v>n/a</v>
      </c>
    </row>
    <row r="63" spans="1:29" x14ac:dyDescent="0.25">
      <c r="A63" s="57" t="str">
        <f>IF('CASE DATA'!A64="","z",'CASE DATA'!A64)</f>
        <v>z</v>
      </c>
      <c r="B63" s="57" t="str">
        <f>IF('CASE DATA'!A64="","",'CASE DATA'!E64)</f>
        <v/>
      </c>
      <c r="C63" s="58">
        <f>'CASE DATA'!D64</f>
        <v>0</v>
      </c>
      <c r="D63" s="59" t="str">
        <f>IF('CASE DATA'!I64="YES",SUM('CASE DATA'!J64:P64),"n/a")</f>
        <v>n/a</v>
      </c>
      <c r="E63" s="60" t="str">
        <f>IF(OR('CASE DATA'!G64="JUV", 'CASE DATA'!G64="JWV"), "YES", "NO")</f>
        <v>NO</v>
      </c>
      <c r="F63" s="60" t="str">
        <f t="array" ref="F63">IF(E63="YES",IF(SUM(COUNTIF('CASE DATA'!$G$4:$G$200, {"GTR","GPL","DEF","JUV"}))&gt;0, "YES","NO"),"N/A")</f>
        <v>N/A</v>
      </c>
      <c r="G63" s="60" t="str">
        <f>IF(E63="YES",IF(COUNTIF('CASE DATA'!$D$4:$D$200, "")-COUNTIF('CASE DATA'!$A$4:$A$200, "")&gt;0, "YES","NO"),"N/A")</f>
        <v>N/A</v>
      </c>
      <c r="H63" s="57" t="str">
        <f>_xlfn.IFS(E63="NO", "N/A", AND('BASIC INFO'!$B$3&gt;'BASIC INFO'!$B$6+6574.5, C63+730.5&lt;'BASIC INFO'!$B$3), "YES", 'BASIC INFO'!$B$3&lt;('BASIC INFO'!$B$6+6574.5), "NOT YET 18", C63+730.5&gt;'BASIC INFO'!$B$3, "NOT YET 2 YEARS")</f>
        <v>N/A</v>
      </c>
      <c r="I63" s="61" t="str">
        <f>IF(OR(AND(LEFT('CASE DATA'!F64,4)="321.",MID('CASE DATA'!A64,8,2)="SM"),MID('CASE DATA'!A64,8,2)="ST",MID('CASE DATA'!A64,8,2)="NT"),"TRAFFIC",IF(OR('CASE DATA'!G64="DISM", 'CASE DATA'!G64="ACQ", 'CASE DATA'!G64="NOTF", 'CASE DATA'!G64="WTHD", 'CASE DATA'!G64="TNSF"), "YES", "NO"))</f>
        <v>NO</v>
      </c>
      <c r="J63" s="62" t="str">
        <f>IF(I63="YES",'CASE DATA'!T64,"N/A")</f>
        <v>N/A</v>
      </c>
      <c r="K63" s="57" t="str">
        <f>IF(I63="YES",IF(C63+180&lt;'BASIC INFO'!$B$3, "YES", "NO"),"N/A")</f>
        <v>N/A</v>
      </c>
      <c r="L63" s="62" t="str">
        <f t="array" ref="L63">IF(I63="TRAFFIC","n/a",IF(OR('CASE DATA'!G64="GTR", 'CASE DATA'!G64="GPL"),IF(SUM(COUNTIF('CASE DATA'!W64:AH64, 'CODE SECTIONS'!$V$2:$V$218&amp;"*"))&gt;0,"felony","eligible"),"n/a"))</f>
        <v>n/a</v>
      </c>
      <c r="M63" s="62" t="str">
        <f t="array" ref="M63">IF(L63="eligible",IF(OR((SUM(COUNTIF('CASE DATA'!W64:AH64,'CODE SECTIONS'!$X$2:$X$19&amp;"*"))&gt;0),LEFT('CASE DATA'!W64:AH64,4)="717C", LEFT('CASE DATA'!W64:AH64, 3)="719", LEFT('CASE DATA'!W64:AH64,3)="720", LEFT('CASE DATA'!W64:AH64,3)="724", LEFT('CASE DATA'!W64:AH64,3)="726", LEFT('CASE DATA'!W64:AH64,3)="728", LEFT('CASE DATA'!W64:AH64,4)="901A"), "ineligible misd","eligible"),"n/a")</f>
        <v>n/a</v>
      </c>
      <c r="N63" s="62" t="str">
        <f>IF(M63="eligible",IF(COUNTIF('CASE DATA'!$D$4:$D$200, "")-COUNTIF('CASE DATA'!$A$4:$A$200, "")&gt;0, "YES","NO"),"N/A")</f>
        <v>N/A</v>
      </c>
      <c r="O63" s="62" t="str">
        <f>IF(M63="eligible",BANKRUPTCY!C64+BANKRUPTCY!D64,"N/A")</f>
        <v>N/A</v>
      </c>
      <c r="P63" s="62" t="str">
        <f>IF(M63="eligible",SOL!C64+SOL!D64+SOL!E64,"N/A")</f>
        <v>N/A</v>
      </c>
      <c r="Q63" s="62" t="str">
        <f>IF(M63="eligible",SUM('CASE DATA'!J64:S64),"N/A")</f>
        <v>N/A</v>
      </c>
      <c r="R63" s="62" t="str">
        <f>IF(M63="eligible",IF(C63+2920&lt;'BASIC INFO'!$B$3, "YES", "NO"),"N/A")</f>
        <v>N/A</v>
      </c>
      <c r="S63" s="61" t="str">
        <f>IF(OR('CASE DATA'!G64="DEF"), "YES", "NO")</f>
        <v>NO</v>
      </c>
      <c r="T63" s="57" t="str">
        <f>IF(S63="YES",'CASE DATA'!I64,"N/A")</f>
        <v>N/A</v>
      </c>
      <c r="U63" s="62" t="str">
        <f>IF(S63="YES",BANKRUPTCY!C64+BANKRUPTCY!D64,"N/A")</f>
        <v>N/A</v>
      </c>
      <c r="V63" s="62" t="str">
        <f>IF(S63="YES",SUM('CASE DATA'!J64:S64),"N/A")</f>
        <v>N/A</v>
      </c>
      <c r="W63" s="57" t="str">
        <f>IF(OR('CASE DATA'!F64="123.46",'CASE DATA'!F64="123.47"),"YES","NO")</f>
        <v>NO</v>
      </c>
      <c r="X63" s="60" t="str">
        <f>IF(W63="YES",COUNTIFS(AD$3:$AD$200,"&gt;"&amp;('CASE DATA'!D64),$AD$3:$AD$200,"&lt;"&amp;('CASE DATA'!D64+730.5)),"n/a")</f>
        <v>n/a</v>
      </c>
      <c r="Y63" s="62" t="str">
        <f>IF(W63="YES",IF(C63+730.5&lt;'BASIC INFO'!$B$3, "YES","NO"), "N/A")</f>
        <v>N/A</v>
      </c>
      <c r="Z63" s="57" t="str">
        <f>IF('CASE DATA'!F64="725.1","YES","NO")</f>
        <v>NO</v>
      </c>
      <c r="AA63" s="57" t="str">
        <f>IF(Z63="YES",IF(C63+730.5&lt;'BASIC INFO'!$B$3, "YES","NO"), "N/A")</f>
        <v>N/A</v>
      </c>
      <c r="AB63" s="57" t="str">
        <f>IF('BASIC INFO'!$B$6+6574.5&gt;C63, "YES", "NO")</f>
        <v>YES</v>
      </c>
      <c r="AC63" s="57" t="str">
        <f>IF(Z63="YES",COUNTIFS(AD$3:$AD$200,"&gt;"&amp;('CASE DATA'!D64),$AD$3:$AD$200,"&lt;"&amp;('CASE DATA'!D64+730.5)),"n/a")</f>
        <v>n/a</v>
      </c>
    </row>
    <row r="64" spans="1:29" x14ac:dyDescent="0.25">
      <c r="A64" s="57" t="str">
        <f>IF('CASE DATA'!A65="","z",'CASE DATA'!A65)</f>
        <v>z</v>
      </c>
      <c r="B64" s="57" t="str">
        <f>IF('CASE DATA'!A65="","",'CASE DATA'!E65)</f>
        <v/>
      </c>
      <c r="C64" s="58">
        <f>'CASE DATA'!D65</f>
        <v>0</v>
      </c>
      <c r="D64" s="59" t="str">
        <f>IF('CASE DATA'!I65="YES",SUM('CASE DATA'!J65:P65),"n/a")</f>
        <v>n/a</v>
      </c>
      <c r="E64" s="60" t="str">
        <f>IF(OR('CASE DATA'!G65="JUV", 'CASE DATA'!G65="JWV"), "YES", "NO")</f>
        <v>NO</v>
      </c>
      <c r="F64" s="60" t="str">
        <f t="array" ref="F64">IF(E64="YES",IF(SUM(COUNTIF('CASE DATA'!$G$4:$G$200, {"GTR","GPL","DEF","JUV"}))&gt;0, "YES","NO"),"N/A")</f>
        <v>N/A</v>
      </c>
      <c r="G64" s="60" t="str">
        <f>IF(E64="YES",IF(COUNTIF('CASE DATA'!$D$4:$D$200, "")-COUNTIF('CASE DATA'!$A$4:$A$200, "")&gt;0, "YES","NO"),"N/A")</f>
        <v>N/A</v>
      </c>
      <c r="H64" s="57" t="str">
        <f>_xlfn.IFS(E64="NO", "N/A", AND('BASIC INFO'!$B$3&gt;'BASIC INFO'!$B$6+6574.5, C64+730.5&lt;'BASIC INFO'!$B$3), "YES", 'BASIC INFO'!$B$3&lt;('BASIC INFO'!$B$6+6574.5), "NOT YET 18", C64+730.5&gt;'BASIC INFO'!$B$3, "NOT YET 2 YEARS")</f>
        <v>N/A</v>
      </c>
      <c r="I64" s="61" t="str">
        <f>IF(OR(AND(LEFT('CASE DATA'!F65,4)="321.",MID('CASE DATA'!A65,8,2)="SM"),MID('CASE DATA'!A65,8,2)="ST",MID('CASE DATA'!A65,8,2)="NT"),"TRAFFIC",IF(OR('CASE DATA'!G65="DISM", 'CASE DATA'!G65="ACQ", 'CASE DATA'!G65="NOTF", 'CASE DATA'!G65="WTHD", 'CASE DATA'!G65="TNSF"), "YES", "NO"))</f>
        <v>NO</v>
      </c>
      <c r="J64" s="62" t="str">
        <f>IF(I64="YES",'CASE DATA'!T65,"N/A")</f>
        <v>N/A</v>
      </c>
      <c r="K64" s="57" t="str">
        <f>IF(I64="YES",IF(C64+180&lt;'BASIC INFO'!$B$3, "YES", "NO"),"N/A")</f>
        <v>N/A</v>
      </c>
      <c r="L64" s="62" t="str">
        <f t="array" ref="L64">IF(I64="TRAFFIC","n/a",IF(OR('CASE DATA'!G65="GTR", 'CASE DATA'!G65="GPL"),IF(SUM(COUNTIF('CASE DATA'!W65:AH65, 'CODE SECTIONS'!$V$2:$V$218&amp;"*"))&gt;0,"felony","eligible"),"n/a"))</f>
        <v>n/a</v>
      </c>
      <c r="M64" s="62" t="str">
        <f t="array" ref="M64">IF(L64="eligible",IF(OR((SUM(COUNTIF('CASE DATA'!W65:AH65,'CODE SECTIONS'!$X$2:$X$19&amp;"*"))&gt;0),LEFT('CASE DATA'!W65:AH65,4)="717C", LEFT('CASE DATA'!W65:AH65, 3)="719", LEFT('CASE DATA'!W65:AH65,3)="720", LEFT('CASE DATA'!W65:AH65,3)="724", LEFT('CASE DATA'!W65:AH65,3)="726", LEFT('CASE DATA'!W65:AH65,3)="728", LEFT('CASE DATA'!W65:AH65,4)="901A"), "ineligible misd","eligible"),"n/a")</f>
        <v>n/a</v>
      </c>
      <c r="N64" s="62" t="str">
        <f>IF(M64="eligible",IF(COUNTIF('CASE DATA'!$D$4:$D$200, "")-COUNTIF('CASE DATA'!$A$4:$A$200, "")&gt;0, "YES","NO"),"N/A")</f>
        <v>N/A</v>
      </c>
      <c r="O64" s="62" t="str">
        <f>IF(M64="eligible",BANKRUPTCY!C65+BANKRUPTCY!D65,"N/A")</f>
        <v>N/A</v>
      </c>
      <c r="P64" s="62" t="str">
        <f>IF(M64="eligible",SOL!C65+SOL!D65+SOL!E65,"N/A")</f>
        <v>N/A</v>
      </c>
      <c r="Q64" s="62" t="str">
        <f>IF(M64="eligible",SUM('CASE DATA'!J65:S65),"N/A")</f>
        <v>N/A</v>
      </c>
      <c r="R64" s="62" t="str">
        <f>IF(M64="eligible",IF(C64+2920&lt;'BASIC INFO'!$B$3, "YES", "NO"),"N/A")</f>
        <v>N/A</v>
      </c>
      <c r="S64" s="61" t="str">
        <f>IF(OR('CASE DATA'!G65="DEF"), "YES", "NO")</f>
        <v>NO</v>
      </c>
      <c r="T64" s="57" t="str">
        <f>IF(S64="YES",'CASE DATA'!I65,"N/A")</f>
        <v>N/A</v>
      </c>
      <c r="U64" s="62" t="str">
        <f>IF(S64="YES",BANKRUPTCY!C65+BANKRUPTCY!D65,"N/A")</f>
        <v>N/A</v>
      </c>
      <c r="V64" s="62" t="str">
        <f>IF(S64="YES",SUM('CASE DATA'!J65:S65),"N/A")</f>
        <v>N/A</v>
      </c>
      <c r="W64" s="57" t="str">
        <f>IF(OR('CASE DATA'!F65="123.46",'CASE DATA'!F65="123.47"),"YES","NO")</f>
        <v>NO</v>
      </c>
      <c r="X64" s="60" t="str">
        <f>IF(W64="YES",COUNTIFS(AD$3:$AD$200,"&gt;"&amp;('CASE DATA'!D65),$AD$3:$AD$200,"&lt;"&amp;('CASE DATA'!D65+730.5)),"n/a")</f>
        <v>n/a</v>
      </c>
      <c r="Y64" s="62" t="str">
        <f>IF(W64="YES",IF(C64+730.5&lt;'BASIC INFO'!$B$3, "YES","NO"), "N/A")</f>
        <v>N/A</v>
      </c>
      <c r="Z64" s="57" t="str">
        <f>IF('CASE DATA'!F65="725.1","YES","NO")</f>
        <v>NO</v>
      </c>
      <c r="AA64" s="57" t="str">
        <f>IF(Z64="YES",IF(C64+730.5&lt;'BASIC INFO'!$B$3, "YES","NO"), "N/A")</f>
        <v>N/A</v>
      </c>
      <c r="AB64" s="57" t="str">
        <f>IF('BASIC INFO'!$B$6+6574.5&gt;C64, "YES", "NO")</f>
        <v>YES</v>
      </c>
      <c r="AC64" s="57" t="str">
        <f>IF(Z64="YES",COUNTIFS(AD$3:$AD$200,"&gt;"&amp;('CASE DATA'!D65),$AD$3:$AD$200,"&lt;"&amp;('CASE DATA'!D65+730.5)),"n/a")</f>
        <v>n/a</v>
      </c>
    </row>
    <row r="65" spans="1:29" x14ac:dyDescent="0.25">
      <c r="A65" s="57" t="str">
        <f>IF('CASE DATA'!A66="","z",'CASE DATA'!A66)</f>
        <v>z</v>
      </c>
      <c r="B65" s="57" t="str">
        <f>IF('CASE DATA'!A66="","",'CASE DATA'!E66)</f>
        <v/>
      </c>
      <c r="C65" s="58">
        <f>'CASE DATA'!D66</f>
        <v>0</v>
      </c>
      <c r="D65" s="59" t="str">
        <f>IF('CASE DATA'!I66="YES",SUM('CASE DATA'!J66:P66),"n/a")</f>
        <v>n/a</v>
      </c>
      <c r="E65" s="60" t="str">
        <f>IF(OR('CASE DATA'!G66="JUV", 'CASE DATA'!G66="JWV"), "YES", "NO")</f>
        <v>NO</v>
      </c>
      <c r="F65" s="60" t="str">
        <f t="array" ref="F65">IF(E65="YES",IF(SUM(COUNTIF('CASE DATA'!$G$4:$G$200, {"GTR","GPL","DEF","JUV"}))&gt;0, "YES","NO"),"N/A")</f>
        <v>N/A</v>
      </c>
      <c r="G65" s="60" t="str">
        <f>IF(E65="YES",IF(COUNTIF('CASE DATA'!$D$4:$D$200, "")-COUNTIF('CASE DATA'!$A$4:$A$200, "")&gt;0, "YES","NO"),"N/A")</f>
        <v>N/A</v>
      </c>
      <c r="H65" s="57" t="str">
        <f>_xlfn.IFS(E65="NO", "N/A", AND('BASIC INFO'!$B$3&gt;'BASIC INFO'!$B$6+6574.5, C65+730.5&lt;'BASIC INFO'!$B$3), "YES", 'BASIC INFO'!$B$3&lt;('BASIC INFO'!$B$6+6574.5), "NOT YET 18", C65+730.5&gt;'BASIC INFO'!$B$3, "NOT YET 2 YEARS")</f>
        <v>N/A</v>
      </c>
      <c r="I65" s="61" t="str">
        <f>IF(OR(AND(LEFT('CASE DATA'!F66,4)="321.",MID('CASE DATA'!A66,8,2)="SM"),MID('CASE DATA'!A66,8,2)="ST",MID('CASE DATA'!A66,8,2)="NT"),"TRAFFIC",IF(OR('CASE DATA'!G66="DISM", 'CASE DATA'!G66="ACQ", 'CASE DATA'!G66="NOTF", 'CASE DATA'!G66="WTHD", 'CASE DATA'!G66="TNSF"), "YES", "NO"))</f>
        <v>NO</v>
      </c>
      <c r="J65" s="62" t="str">
        <f>IF(I65="YES",'CASE DATA'!T66,"N/A")</f>
        <v>N/A</v>
      </c>
      <c r="K65" s="57" t="str">
        <f>IF(I65="YES",IF(C65+180&lt;'BASIC INFO'!$B$3, "YES", "NO"),"N/A")</f>
        <v>N/A</v>
      </c>
      <c r="L65" s="62" t="str">
        <f t="array" ref="L65">IF(I65="TRAFFIC","n/a",IF(OR('CASE DATA'!G66="GTR", 'CASE DATA'!G66="GPL"),IF(SUM(COUNTIF('CASE DATA'!W66:AH66, 'CODE SECTIONS'!$V$2:$V$218&amp;"*"))&gt;0,"felony","eligible"),"n/a"))</f>
        <v>n/a</v>
      </c>
      <c r="M65" s="62" t="str">
        <f t="array" ref="M65">IF(L65="eligible",IF(OR((SUM(COUNTIF('CASE DATA'!W66:AH66,'CODE SECTIONS'!$X$2:$X$19&amp;"*"))&gt;0),LEFT('CASE DATA'!W66:AH66,4)="717C", LEFT('CASE DATA'!W66:AH66, 3)="719", LEFT('CASE DATA'!W66:AH66,3)="720", LEFT('CASE DATA'!W66:AH66,3)="724", LEFT('CASE DATA'!W66:AH66,3)="726", LEFT('CASE DATA'!W66:AH66,3)="728", LEFT('CASE DATA'!W66:AH66,4)="901A"), "ineligible misd","eligible"),"n/a")</f>
        <v>n/a</v>
      </c>
      <c r="N65" s="62" t="str">
        <f>IF(M65="eligible",IF(COUNTIF('CASE DATA'!$D$4:$D$200, "")-COUNTIF('CASE DATA'!$A$4:$A$200, "")&gt;0, "YES","NO"),"N/A")</f>
        <v>N/A</v>
      </c>
      <c r="O65" s="62" t="str">
        <f>IF(M65="eligible",BANKRUPTCY!C66+BANKRUPTCY!D66,"N/A")</f>
        <v>N/A</v>
      </c>
      <c r="P65" s="62" t="str">
        <f>IF(M65="eligible",SOL!C66+SOL!D66+SOL!E66,"N/A")</f>
        <v>N/A</v>
      </c>
      <c r="Q65" s="62" t="str">
        <f>IF(M65="eligible",SUM('CASE DATA'!J66:S66),"N/A")</f>
        <v>N/A</v>
      </c>
      <c r="R65" s="62" t="str">
        <f>IF(M65="eligible",IF(C65+2920&lt;'BASIC INFO'!$B$3, "YES", "NO"),"N/A")</f>
        <v>N/A</v>
      </c>
      <c r="S65" s="61" t="str">
        <f>IF(OR('CASE DATA'!G66="DEF"), "YES", "NO")</f>
        <v>NO</v>
      </c>
      <c r="T65" s="57" t="str">
        <f>IF(S65="YES",'CASE DATA'!I66,"N/A")</f>
        <v>N/A</v>
      </c>
      <c r="U65" s="62" t="str">
        <f>IF(S65="YES",BANKRUPTCY!C66+BANKRUPTCY!D66,"N/A")</f>
        <v>N/A</v>
      </c>
      <c r="V65" s="62" t="str">
        <f>IF(S65="YES",SUM('CASE DATA'!J66:S66),"N/A")</f>
        <v>N/A</v>
      </c>
      <c r="W65" s="57" t="str">
        <f>IF(OR('CASE DATA'!F66="123.46",'CASE DATA'!F66="123.47"),"YES","NO")</f>
        <v>NO</v>
      </c>
      <c r="X65" s="60" t="str">
        <f>IF(W65="YES",COUNTIFS(AD$3:$AD$200,"&gt;"&amp;('CASE DATA'!D66),$AD$3:$AD$200,"&lt;"&amp;('CASE DATA'!D66+730.5)),"n/a")</f>
        <v>n/a</v>
      </c>
      <c r="Y65" s="62" t="str">
        <f>IF(W65="YES",IF(C65+730.5&lt;'BASIC INFO'!$B$3, "YES","NO"), "N/A")</f>
        <v>N/A</v>
      </c>
      <c r="Z65" s="57" t="str">
        <f>IF('CASE DATA'!F66="725.1","YES","NO")</f>
        <v>NO</v>
      </c>
      <c r="AA65" s="57" t="str">
        <f>IF(Z65="YES",IF(C65+730.5&lt;'BASIC INFO'!$B$3, "YES","NO"), "N/A")</f>
        <v>N/A</v>
      </c>
      <c r="AB65" s="57" t="str">
        <f>IF('BASIC INFO'!$B$6+6574.5&gt;C65, "YES", "NO")</f>
        <v>YES</v>
      </c>
      <c r="AC65" s="57" t="str">
        <f>IF(Z65="YES",COUNTIFS(AD$3:$AD$200,"&gt;"&amp;('CASE DATA'!D66),$AD$3:$AD$200,"&lt;"&amp;('CASE DATA'!D66+730.5)),"n/a")</f>
        <v>n/a</v>
      </c>
    </row>
    <row r="66" spans="1:29" x14ac:dyDescent="0.25">
      <c r="A66" s="57" t="str">
        <f>IF('CASE DATA'!A67="","z",'CASE DATA'!A67)</f>
        <v>z</v>
      </c>
      <c r="B66" s="57" t="str">
        <f>IF('CASE DATA'!A67="","",'CASE DATA'!E67)</f>
        <v/>
      </c>
      <c r="C66" s="58">
        <f>'CASE DATA'!D67</f>
        <v>0</v>
      </c>
      <c r="D66" s="59" t="str">
        <f>IF('CASE DATA'!I67="YES",SUM('CASE DATA'!J67:P67),"n/a")</f>
        <v>n/a</v>
      </c>
      <c r="E66" s="60" t="str">
        <f>IF(OR('CASE DATA'!G67="JUV", 'CASE DATA'!G67="JWV"), "YES", "NO")</f>
        <v>NO</v>
      </c>
      <c r="F66" s="60" t="str">
        <f t="array" ref="F66">IF(E66="YES",IF(SUM(COUNTIF('CASE DATA'!$G$4:$G$200, {"GTR","GPL","DEF","JUV"}))&gt;0, "YES","NO"),"N/A")</f>
        <v>N/A</v>
      </c>
      <c r="G66" s="60" t="str">
        <f>IF(E66="YES",IF(COUNTIF('CASE DATA'!$D$4:$D$200, "")-COUNTIF('CASE DATA'!$A$4:$A$200, "")&gt;0, "YES","NO"),"N/A")</f>
        <v>N/A</v>
      </c>
      <c r="H66" s="57" t="str">
        <f>_xlfn.IFS(E66="NO", "N/A", AND('BASIC INFO'!$B$3&gt;'BASIC INFO'!$B$6+6574.5, C66+730.5&lt;'BASIC INFO'!$B$3), "YES", 'BASIC INFO'!$B$3&lt;('BASIC INFO'!$B$6+6574.5), "NOT YET 18", C66+730.5&gt;'BASIC INFO'!$B$3, "NOT YET 2 YEARS")</f>
        <v>N/A</v>
      </c>
      <c r="I66" s="61" t="str">
        <f>IF(OR(AND(LEFT('CASE DATA'!F67,4)="321.",MID('CASE DATA'!A67,8,2)="SM"),MID('CASE DATA'!A67,8,2)="ST",MID('CASE DATA'!A67,8,2)="NT"),"TRAFFIC",IF(OR('CASE DATA'!G67="DISM", 'CASE DATA'!G67="ACQ", 'CASE DATA'!G67="NOTF", 'CASE DATA'!G67="WTHD", 'CASE DATA'!G67="TNSF"), "YES", "NO"))</f>
        <v>NO</v>
      </c>
      <c r="J66" s="62" t="str">
        <f>IF(I66="YES",'CASE DATA'!T67,"N/A")</f>
        <v>N/A</v>
      </c>
      <c r="K66" s="57" t="str">
        <f>IF(I66="YES",IF(C66+180&lt;'BASIC INFO'!$B$3, "YES", "NO"),"N/A")</f>
        <v>N/A</v>
      </c>
      <c r="L66" s="62" t="str">
        <f t="array" ref="L66">IF(I66="TRAFFIC","n/a",IF(OR('CASE DATA'!G67="GTR", 'CASE DATA'!G67="GPL"),IF(SUM(COUNTIF('CASE DATA'!W67:AH67, 'CODE SECTIONS'!$V$2:$V$218&amp;"*"))&gt;0,"felony","eligible"),"n/a"))</f>
        <v>n/a</v>
      </c>
      <c r="M66" s="62" t="str">
        <f t="array" ref="M66">IF(L66="eligible",IF(OR((SUM(COUNTIF('CASE DATA'!W67:AH67,'CODE SECTIONS'!$X$2:$X$19&amp;"*"))&gt;0),LEFT('CASE DATA'!W67:AH67,4)="717C", LEFT('CASE DATA'!W67:AH67, 3)="719", LEFT('CASE DATA'!W67:AH67,3)="720", LEFT('CASE DATA'!W67:AH67,3)="724", LEFT('CASE DATA'!W67:AH67,3)="726", LEFT('CASE DATA'!W67:AH67,3)="728", LEFT('CASE DATA'!W67:AH67,4)="901A"), "ineligible misd","eligible"),"n/a")</f>
        <v>n/a</v>
      </c>
      <c r="N66" s="62" t="str">
        <f>IF(M66="eligible",IF(COUNTIF('CASE DATA'!$D$4:$D$200, "")-COUNTIF('CASE DATA'!$A$4:$A$200, "")&gt;0, "YES","NO"),"N/A")</f>
        <v>N/A</v>
      </c>
      <c r="O66" s="62" t="str">
        <f>IF(M66="eligible",BANKRUPTCY!C67+BANKRUPTCY!D67,"N/A")</f>
        <v>N/A</v>
      </c>
      <c r="P66" s="62" t="str">
        <f>IF(M66="eligible",SOL!C67+SOL!D67+SOL!E67,"N/A")</f>
        <v>N/A</v>
      </c>
      <c r="Q66" s="62" t="str">
        <f>IF(M66="eligible",SUM('CASE DATA'!J67:S67),"N/A")</f>
        <v>N/A</v>
      </c>
      <c r="R66" s="62" t="str">
        <f>IF(M66="eligible",IF(C66+2920&lt;'BASIC INFO'!$B$3, "YES", "NO"),"N/A")</f>
        <v>N/A</v>
      </c>
      <c r="S66" s="61" t="str">
        <f>IF(OR('CASE DATA'!G67="DEF"), "YES", "NO")</f>
        <v>NO</v>
      </c>
      <c r="T66" s="57" t="str">
        <f>IF(S66="YES",'CASE DATA'!I67,"N/A")</f>
        <v>N/A</v>
      </c>
      <c r="U66" s="62" t="str">
        <f>IF(S66="YES",BANKRUPTCY!C67+BANKRUPTCY!D67,"N/A")</f>
        <v>N/A</v>
      </c>
      <c r="V66" s="62" t="str">
        <f>IF(S66="YES",SUM('CASE DATA'!J67:S67),"N/A")</f>
        <v>N/A</v>
      </c>
      <c r="W66" s="57" t="str">
        <f>IF(OR('CASE DATA'!F67="123.46",'CASE DATA'!F67="123.47"),"YES","NO")</f>
        <v>NO</v>
      </c>
      <c r="X66" s="60" t="str">
        <f>IF(W66="YES",COUNTIFS(AD$3:$AD$200,"&gt;"&amp;('CASE DATA'!D67),$AD$3:$AD$200,"&lt;"&amp;('CASE DATA'!D67+730.5)),"n/a")</f>
        <v>n/a</v>
      </c>
      <c r="Y66" s="62" t="str">
        <f>IF(W66="YES",IF(C66+730.5&lt;'BASIC INFO'!$B$3, "YES","NO"), "N/A")</f>
        <v>N/A</v>
      </c>
      <c r="Z66" s="57" t="str">
        <f>IF('CASE DATA'!F67="725.1","YES","NO")</f>
        <v>NO</v>
      </c>
      <c r="AA66" s="57" t="str">
        <f>IF(Z66="YES",IF(C66+730.5&lt;'BASIC INFO'!$B$3, "YES","NO"), "N/A")</f>
        <v>N/A</v>
      </c>
      <c r="AB66" s="57" t="str">
        <f>IF('BASIC INFO'!$B$6+6574.5&gt;C66, "YES", "NO")</f>
        <v>YES</v>
      </c>
      <c r="AC66" s="57" t="str">
        <f>IF(Z66="YES",COUNTIFS(AD$3:$AD$200,"&gt;"&amp;('CASE DATA'!D67),$AD$3:$AD$200,"&lt;"&amp;('CASE DATA'!D67+730.5)),"n/a")</f>
        <v>n/a</v>
      </c>
    </row>
    <row r="67" spans="1:29" x14ac:dyDescent="0.25">
      <c r="A67" s="57" t="str">
        <f>IF('CASE DATA'!A68="","z",'CASE DATA'!A68)</f>
        <v>z</v>
      </c>
      <c r="B67" s="57" t="str">
        <f>IF('CASE DATA'!A68="","",'CASE DATA'!E68)</f>
        <v/>
      </c>
      <c r="C67" s="58">
        <f>'CASE DATA'!D68</f>
        <v>0</v>
      </c>
      <c r="D67" s="59" t="str">
        <f>IF('CASE DATA'!I68="YES",SUM('CASE DATA'!J68:P68),"n/a")</f>
        <v>n/a</v>
      </c>
      <c r="E67" s="60" t="str">
        <f>IF(OR('CASE DATA'!G68="JUV", 'CASE DATA'!G68="JWV"), "YES", "NO")</f>
        <v>NO</v>
      </c>
      <c r="F67" s="60" t="str">
        <f t="array" ref="F67">IF(E67="YES",IF(SUM(COUNTIF('CASE DATA'!$G$4:$G$200, {"GTR","GPL","DEF","JUV"}))&gt;0, "YES","NO"),"N/A")</f>
        <v>N/A</v>
      </c>
      <c r="G67" s="60" t="str">
        <f>IF(E67="YES",IF(COUNTIF('CASE DATA'!$D$4:$D$200, "")-COUNTIF('CASE DATA'!$A$4:$A$200, "")&gt;0, "YES","NO"),"N/A")</f>
        <v>N/A</v>
      </c>
      <c r="H67" s="57" t="str">
        <f>_xlfn.IFS(E67="NO", "N/A", AND('BASIC INFO'!$B$3&gt;'BASIC INFO'!$B$6+6574.5, C67+730.5&lt;'BASIC INFO'!$B$3), "YES", 'BASIC INFO'!$B$3&lt;('BASIC INFO'!$B$6+6574.5), "NOT YET 18", C67+730.5&gt;'BASIC INFO'!$B$3, "NOT YET 2 YEARS")</f>
        <v>N/A</v>
      </c>
      <c r="I67" s="61" t="str">
        <f>IF(OR(AND(LEFT('CASE DATA'!F68,4)="321.",MID('CASE DATA'!A68,8,2)="SM"),MID('CASE DATA'!A68,8,2)="ST",MID('CASE DATA'!A68,8,2)="NT"),"TRAFFIC",IF(OR('CASE DATA'!G68="DISM", 'CASE DATA'!G68="ACQ", 'CASE DATA'!G68="NOTF", 'CASE DATA'!G68="WTHD", 'CASE DATA'!G68="TNSF"), "YES", "NO"))</f>
        <v>NO</v>
      </c>
      <c r="J67" s="62" t="str">
        <f>IF(I67="YES",'CASE DATA'!T68,"N/A")</f>
        <v>N/A</v>
      </c>
      <c r="K67" s="57" t="str">
        <f>IF(I67="YES",IF(C67+180&lt;'BASIC INFO'!$B$3, "YES", "NO"),"N/A")</f>
        <v>N/A</v>
      </c>
      <c r="L67" s="62" t="str">
        <f t="array" ref="L67">IF(I67="TRAFFIC","n/a",IF(OR('CASE DATA'!G68="GTR", 'CASE DATA'!G68="GPL"),IF(SUM(COUNTIF('CASE DATA'!W68:AH68, 'CODE SECTIONS'!$V$2:$V$218&amp;"*"))&gt;0,"felony","eligible"),"n/a"))</f>
        <v>n/a</v>
      </c>
      <c r="M67" s="62" t="str">
        <f t="array" ref="M67">IF(L67="eligible",IF(OR((SUM(COUNTIF('CASE DATA'!W68:AH68,'CODE SECTIONS'!$X$2:$X$19&amp;"*"))&gt;0),LEFT('CASE DATA'!W68:AH68,4)="717C", LEFT('CASE DATA'!W68:AH68, 3)="719", LEFT('CASE DATA'!W68:AH68,3)="720", LEFT('CASE DATA'!W68:AH68,3)="724", LEFT('CASE DATA'!W68:AH68,3)="726", LEFT('CASE DATA'!W68:AH68,3)="728", LEFT('CASE DATA'!W68:AH68,4)="901A"), "ineligible misd","eligible"),"n/a")</f>
        <v>n/a</v>
      </c>
      <c r="N67" s="62" t="str">
        <f>IF(M67="eligible",IF(COUNTIF('CASE DATA'!$D$4:$D$200, "")-COUNTIF('CASE DATA'!$A$4:$A$200, "")&gt;0, "YES","NO"),"N/A")</f>
        <v>N/A</v>
      </c>
      <c r="O67" s="62" t="str">
        <f>IF(M67="eligible",BANKRUPTCY!C68+BANKRUPTCY!D68,"N/A")</f>
        <v>N/A</v>
      </c>
      <c r="P67" s="62" t="str">
        <f>IF(M67="eligible",SOL!C68+SOL!D68+SOL!E68,"N/A")</f>
        <v>N/A</v>
      </c>
      <c r="Q67" s="62" t="str">
        <f>IF(M67="eligible",SUM('CASE DATA'!J68:S68),"N/A")</f>
        <v>N/A</v>
      </c>
      <c r="R67" s="62" t="str">
        <f>IF(M67="eligible",IF(C67+2920&lt;'BASIC INFO'!$B$3, "YES", "NO"),"N/A")</f>
        <v>N/A</v>
      </c>
      <c r="S67" s="61" t="str">
        <f>IF(OR('CASE DATA'!G68="DEF"), "YES", "NO")</f>
        <v>NO</v>
      </c>
      <c r="T67" s="57" t="str">
        <f>IF(S67="YES",'CASE DATA'!I68,"N/A")</f>
        <v>N/A</v>
      </c>
      <c r="U67" s="62" t="str">
        <f>IF(S67="YES",BANKRUPTCY!C68+BANKRUPTCY!D68,"N/A")</f>
        <v>N/A</v>
      </c>
      <c r="V67" s="62" t="str">
        <f>IF(S67="YES",SUM('CASE DATA'!J68:S68),"N/A")</f>
        <v>N/A</v>
      </c>
      <c r="W67" s="57" t="str">
        <f>IF(OR('CASE DATA'!F68="123.46",'CASE DATA'!F68="123.47"),"YES","NO")</f>
        <v>NO</v>
      </c>
      <c r="X67" s="60" t="str">
        <f>IF(W67="YES",COUNTIFS(AD$3:$AD$200,"&gt;"&amp;('CASE DATA'!D68),$AD$3:$AD$200,"&lt;"&amp;('CASE DATA'!D68+730.5)),"n/a")</f>
        <v>n/a</v>
      </c>
      <c r="Y67" s="62" t="str">
        <f>IF(W67="YES",IF(C67+730.5&lt;'BASIC INFO'!$B$3, "YES","NO"), "N/A")</f>
        <v>N/A</v>
      </c>
      <c r="Z67" s="57" t="str">
        <f>IF('CASE DATA'!F68="725.1","YES","NO")</f>
        <v>NO</v>
      </c>
      <c r="AA67" s="57" t="str">
        <f>IF(Z67="YES",IF(C67+730.5&lt;'BASIC INFO'!$B$3, "YES","NO"), "N/A")</f>
        <v>N/A</v>
      </c>
      <c r="AB67" s="57" t="str">
        <f>IF('BASIC INFO'!$B$6+6574.5&gt;C67, "YES", "NO")</f>
        <v>YES</v>
      </c>
      <c r="AC67" s="57" t="str">
        <f>IF(Z67="YES",COUNTIFS(AD$3:$AD$200,"&gt;"&amp;('CASE DATA'!D68),$AD$3:$AD$200,"&lt;"&amp;('CASE DATA'!D68+730.5)),"n/a")</f>
        <v>n/a</v>
      </c>
    </row>
    <row r="68" spans="1:29" x14ac:dyDescent="0.25">
      <c r="A68" s="57" t="str">
        <f>IF('CASE DATA'!A69="","z",'CASE DATA'!A69)</f>
        <v>z</v>
      </c>
      <c r="B68" s="57" t="str">
        <f>IF('CASE DATA'!A69="","",'CASE DATA'!E69)</f>
        <v/>
      </c>
      <c r="C68" s="58">
        <f>'CASE DATA'!D69</f>
        <v>0</v>
      </c>
      <c r="D68" s="59" t="str">
        <f>IF('CASE DATA'!I69="YES",SUM('CASE DATA'!J69:P69),"n/a")</f>
        <v>n/a</v>
      </c>
      <c r="E68" s="60" t="str">
        <f>IF(OR('CASE DATA'!G69="JUV", 'CASE DATA'!G69="JWV"), "YES", "NO")</f>
        <v>NO</v>
      </c>
      <c r="F68" s="60" t="str">
        <f t="array" ref="F68">IF(E68="YES",IF(SUM(COUNTIF('CASE DATA'!$G$4:$G$200, {"GTR","GPL","DEF","JUV"}))&gt;0, "YES","NO"),"N/A")</f>
        <v>N/A</v>
      </c>
      <c r="G68" s="60" t="str">
        <f>IF(E68="YES",IF(COUNTIF('CASE DATA'!$D$4:$D$200, "")-COUNTIF('CASE DATA'!$A$4:$A$200, "")&gt;0, "YES","NO"),"N/A")</f>
        <v>N/A</v>
      </c>
      <c r="H68" s="57" t="str">
        <f>_xlfn.IFS(E68="NO", "N/A", AND('BASIC INFO'!$B$3&gt;'BASIC INFO'!$B$6+6574.5, C68+730.5&lt;'BASIC INFO'!$B$3), "YES", 'BASIC INFO'!$B$3&lt;('BASIC INFO'!$B$6+6574.5), "NOT YET 18", C68+730.5&gt;'BASIC INFO'!$B$3, "NOT YET 2 YEARS")</f>
        <v>N/A</v>
      </c>
      <c r="I68" s="61" t="str">
        <f>IF(OR(AND(LEFT('CASE DATA'!F69,4)="321.",MID('CASE DATA'!A69,8,2)="SM"),MID('CASE DATA'!A69,8,2)="ST",MID('CASE DATA'!A69,8,2)="NT"),"TRAFFIC",IF(OR('CASE DATA'!G69="DISM", 'CASE DATA'!G69="ACQ", 'CASE DATA'!G69="NOTF", 'CASE DATA'!G69="WTHD", 'CASE DATA'!G69="TNSF"), "YES", "NO"))</f>
        <v>NO</v>
      </c>
      <c r="J68" s="62" t="str">
        <f>IF(I68="YES",'CASE DATA'!T69,"N/A")</f>
        <v>N/A</v>
      </c>
      <c r="K68" s="57" t="str">
        <f>IF(I68="YES",IF(C68+180&lt;'BASIC INFO'!$B$3, "YES", "NO"),"N/A")</f>
        <v>N/A</v>
      </c>
      <c r="L68" s="62" t="str">
        <f t="array" ref="L68">IF(I68="TRAFFIC","n/a",IF(OR('CASE DATA'!G69="GTR", 'CASE DATA'!G69="GPL"),IF(SUM(COUNTIF('CASE DATA'!W69:AH69, 'CODE SECTIONS'!$V$2:$V$218&amp;"*"))&gt;0,"felony","eligible"),"n/a"))</f>
        <v>n/a</v>
      </c>
      <c r="M68" s="62" t="str">
        <f t="array" ref="M68">IF(L68="eligible",IF(OR((SUM(COUNTIF('CASE DATA'!W69:AH69,'CODE SECTIONS'!$X$2:$X$19&amp;"*"))&gt;0),LEFT('CASE DATA'!W69:AH69,4)="717C", LEFT('CASE DATA'!W69:AH69, 3)="719", LEFT('CASE DATA'!W69:AH69,3)="720", LEFT('CASE DATA'!W69:AH69,3)="724", LEFT('CASE DATA'!W69:AH69,3)="726", LEFT('CASE DATA'!W69:AH69,3)="728", LEFT('CASE DATA'!W69:AH69,4)="901A"), "ineligible misd","eligible"),"n/a")</f>
        <v>n/a</v>
      </c>
      <c r="N68" s="62" t="str">
        <f>IF(M68="eligible",IF(COUNTIF('CASE DATA'!$D$4:$D$200, "")-COUNTIF('CASE DATA'!$A$4:$A$200, "")&gt;0, "YES","NO"),"N/A")</f>
        <v>N/A</v>
      </c>
      <c r="O68" s="62" t="str">
        <f>IF(M68="eligible",BANKRUPTCY!C69+BANKRUPTCY!D69,"N/A")</f>
        <v>N/A</v>
      </c>
      <c r="P68" s="62" t="str">
        <f>IF(M68="eligible",SOL!C69+SOL!D69+SOL!E69,"N/A")</f>
        <v>N/A</v>
      </c>
      <c r="Q68" s="62" t="str">
        <f>IF(M68="eligible",SUM('CASE DATA'!J69:S69),"N/A")</f>
        <v>N/A</v>
      </c>
      <c r="R68" s="62" t="str">
        <f>IF(M68="eligible",IF(C68+2920&lt;'BASIC INFO'!$B$3, "YES", "NO"),"N/A")</f>
        <v>N/A</v>
      </c>
      <c r="S68" s="61" t="str">
        <f>IF(OR('CASE DATA'!G69="DEF"), "YES", "NO")</f>
        <v>NO</v>
      </c>
      <c r="T68" s="57" t="str">
        <f>IF(S68="YES",'CASE DATA'!I69,"N/A")</f>
        <v>N/A</v>
      </c>
      <c r="U68" s="62" t="str">
        <f>IF(S68="YES",BANKRUPTCY!C69+BANKRUPTCY!D69,"N/A")</f>
        <v>N/A</v>
      </c>
      <c r="V68" s="62" t="str">
        <f>IF(S68="YES",SUM('CASE DATA'!J69:S69),"N/A")</f>
        <v>N/A</v>
      </c>
      <c r="W68" s="57" t="str">
        <f>IF(OR('CASE DATA'!F69="123.46",'CASE DATA'!F69="123.47"),"YES","NO")</f>
        <v>NO</v>
      </c>
      <c r="X68" s="60" t="str">
        <f>IF(W68="YES",COUNTIFS(AD$3:$AD$200,"&gt;"&amp;('CASE DATA'!D69),$AD$3:$AD$200,"&lt;"&amp;('CASE DATA'!D69+730.5)),"n/a")</f>
        <v>n/a</v>
      </c>
      <c r="Y68" s="62" t="str">
        <f>IF(W68="YES",IF(C68+730.5&lt;'BASIC INFO'!$B$3, "YES","NO"), "N/A")</f>
        <v>N/A</v>
      </c>
      <c r="Z68" s="57" t="str">
        <f>IF('CASE DATA'!F69="725.1","YES","NO")</f>
        <v>NO</v>
      </c>
      <c r="AA68" s="57" t="str">
        <f>IF(Z68="YES",IF(C68+730.5&lt;'BASIC INFO'!$B$3, "YES","NO"), "N/A")</f>
        <v>N/A</v>
      </c>
      <c r="AB68" s="57" t="str">
        <f>IF('BASIC INFO'!$B$6+6574.5&gt;C68, "YES", "NO")</f>
        <v>YES</v>
      </c>
      <c r="AC68" s="57" t="str">
        <f>IF(Z68="YES",COUNTIFS(AD$3:$AD$200,"&gt;"&amp;('CASE DATA'!D69),$AD$3:$AD$200,"&lt;"&amp;('CASE DATA'!D69+730.5)),"n/a")</f>
        <v>n/a</v>
      </c>
    </row>
    <row r="69" spans="1:29" x14ac:dyDescent="0.25">
      <c r="A69" s="57" t="str">
        <f>IF('CASE DATA'!A70="","z",'CASE DATA'!A70)</f>
        <v>z</v>
      </c>
      <c r="B69" s="57" t="str">
        <f>IF('CASE DATA'!A70="","",'CASE DATA'!E70)</f>
        <v/>
      </c>
      <c r="C69" s="58">
        <f>'CASE DATA'!D70</f>
        <v>0</v>
      </c>
      <c r="D69" s="59" t="str">
        <f>IF('CASE DATA'!I70="YES",SUM('CASE DATA'!J70:P70),"n/a")</f>
        <v>n/a</v>
      </c>
      <c r="E69" s="60" t="str">
        <f>IF(OR('CASE DATA'!G70="JUV", 'CASE DATA'!G70="JWV"), "YES", "NO")</f>
        <v>NO</v>
      </c>
      <c r="F69" s="60" t="str">
        <f t="array" ref="F69">IF(E69="YES",IF(SUM(COUNTIF('CASE DATA'!$G$4:$G$200, {"GTR","GPL","DEF","JUV"}))&gt;0, "YES","NO"),"N/A")</f>
        <v>N/A</v>
      </c>
      <c r="G69" s="60" t="str">
        <f>IF(E69="YES",IF(COUNTIF('CASE DATA'!$D$4:$D$200, "")-COUNTIF('CASE DATA'!$A$4:$A$200, "")&gt;0, "YES","NO"),"N/A")</f>
        <v>N/A</v>
      </c>
      <c r="H69" s="57" t="str">
        <f>_xlfn.IFS(E69="NO", "N/A", AND('BASIC INFO'!$B$3&gt;'BASIC INFO'!$B$6+6574.5, C69+730.5&lt;'BASIC INFO'!$B$3), "YES", 'BASIC INFO'!$B$3&lt;('BASIC INFO'!$B$6+6574.5), "NOT YET 18", C69+730.5&gt;'BASIC INFO'!$B$3, "NOT YET 2 YEARS")</f>
        <v>N/A</v>
      </c>
      <c r="I69" s="61" t="str">
        <f>IF(OR(AND(LEFT('CASE DATA'!F70,4)="321.",MID('CASE DATA'!A70,8,2)="SM"),MID('CASE DATA'!A70,8,2)="ST",MID('CASE DATA'!A70,8,2)="NT"),"TRAFFIC",IF(OR('CASE DATA'!G70="DISM", 'CASE DATA'!G70="ACQ", 'CASE DATA'!G70="NOTF", 'CASE DATA'!G70="WTHD", 'CASE DATA'!G70="TNSF"), "YES", "NO"))</f>
        <v>NO</v>
      </c>
      <c r="J69" s="62" t="str">
        <f>IF(I69="YES",'CASE DATA'!T70,"N/A")</f>
        <v>N/A</v>
      </c>
      <c r="K69" s="57" t="str">
        <f>IF(I69="YES",IF(C69+180&lt;'BASIC INFO'!$B$3, "YES", "NO"),"N/A")</f>
        <v>N/A</v>
      </c>
      <c r="L69" s="62" t="str">
        <f t="array" ref="L69">IF(I69="TRAFFIC","n/a",IF(OR('CASE DATA'!G70="GTR", 'CASE DATA'!G70="GPL"),IF(SUM(COUNTIF('CASE DATA'!W70:AH70, 'CODE SECTIONS'!$V$2:$V$218&amp;"*"))&gt;0,"felony","eligible"),"n/a"))</f>
        <v>n/a</v>
      </c>
      <c r="M69" s="62" t="str">
        <f t="array" ref="M69">IF(L69="eligible",IF(OR((SUM(COUNTIF('CASE DATA'!W70:AH70,'CODE SECTIONS'!$X$2:$X$19&amp;"*"))&gt;0),LEFT('CASE DATA'!W70:AH70,4)="717C", LEFT('CASE DATA'!W70:AH70, 3)="719", LEFT('CASE DATA'!W70:AH70,3)="720", LEFT('CASE DATA'!W70:AH70,3)="724", LEFT('CASE DATA'!W70:AH70,3)="726", LEFT('CASE DATA'!W70:AH70,3)="728", LEFT('CASE DATA'!W70:AH70,4)="901A"), "ineligible misd","eligible"),"n/a")</f>
        <v>n/a</v>
      </c>
      <c r="N69" s="62" t="str">
        <f>IF(M69="eligible",IF(COUNTIF('CASE DATA'!$D$4:$D$200, "")-COUNTIF('CASE DATA'!$A$4:$A$200, "")&gt;0, "YES","NO"),"N/A")</f>
        <v>N/A</v>
      </c>
      <c r="O69" s="62" t="str">
        <f>IF(M69="eligible",BANKRUPTCY!C70+BANKRUPTCY!D70,"N/A")</f>
        <v>N/A</v>
      </c>
      <c r="P69" s="62" t="str">
        <f>IF(M69="eligible",SOL!C70+SOL!D70+SOL!E70,"N/A")</f>
        <v>N/A</v>
      </c>
      <c r="Q69" s="62" t="str">
        <f>IF(M69="eligible",SUM('CASE DATA'!J70:S70),"N/A")</f>
        <v>N/A</v>
      </c>
      <c r="R69" s="62" t="str">
        <f>IF(M69="eligible",IF(C69+2920&lt;'BASIC INFO'!$B$3, "YES", "NO"),"N/A")</f>
        <v>N/A</v>
      </c>
      <c r="S69" s="61" t="str">
        <f>IF(OR('CASE DATA'!G70="DEF"), "YES", "NO")</f>
        <v>NO</v>
      </c>
      <c r="T69" s="57" t="str">
        <f>IF(S69="YES",'CASE DATA'!I70,"N/A")</f>
        <v>N/A</v>
      </c>
      <c r="U69" s="62" t="str">
        <f>IF(S69="YES",BANKRUPTCY!C70+BANKRUPTCY!D70,"N/A")</f>
        <v>N/A</v>
      </c>
      <c r="V69" s="62" t="str">
        <f>IF(S69="YES",SUM('CASE DATA'!J70:S70),"N/A")</f>
        <v>N/A</v>
      </c>
      <c r="W69" s="57" t="str">
        <f>IF(OR('CASE DATA'!F70="123.46",'CASE DATA'!F70="123.47"),"YES","NO")</f>
        <v>NO</v>
      </c>
      <c r="X69" s="60" t="str">
        <f>IF(W69="YES",COUNTIFS(AD$3:$AD$200,"&gt;"&amp;('CASE DATA'!D70),$AD$3:$AD$200,"&lt;"&amp;('CASE DATA'!D70+730.5)),"n/a")</f>
        <v>n/a</v>
      </c>
      <c r="Y69" s="62" t="str">
        <f>IF(W69="YES",IF(C69+730.5&lt;'BASIC INFO'!$B$3, "YES","NO"), "N/A")</f>
        <v>N/A</v>
      </c>
      <c r="Z69" s="57" t="str">
        <f>IF('CASE DATA'!F70="725.1","YES","NO")</f>
        <v>NO</v>
      </c>
      <c r="AA69" s="57" t="str">
        <f>IF(Z69="YES",IF(C69+730.5&lt;'BASIC INFO'!$B$3, "YES","NO"), "N/A")</f>
        <v>N/A</v>
      </c>
      <c r="AB69" s="57" t="str">
        <f>IF('BASIC INFO'!$B$6+6574.5&gt;C69, "YES", "NO")</f>
        <v>YES</v>
      </c>
      <c r="AC69" s="57" t="str">
        <f>IF(Z69="YES",COUNTIFS(AD$3:$AD$200,"&gt;"&amp;('CASE DATA'!D70),$AD$3:$AD$200,"&lt;"&amp;('CASE DATA'!D70+730.5)),"n/a")</f>
        <v>n/a</v>
      </c>
    </row>
    <row r="70" spans="1:29" x14ac:dyDescent="0.25">
      <c r="A70" s="57" t="str">
        <f>IF('CASE DATA'!A71="","z",'CASE DATA'!A71)</f>
        <v>z</v>
      </c>
      <c r="B70" s="57" t="str">
        <f>IF('CASE DATA'!A71="","",'CASE DATA'!E71)</f>
        <v/>
      </c>
      <c r="C70" s="58">
        <f>'CASE DATA'!D71</f>
        <v>0</v>
      </c>
      <c r="D70" s="59" t="str">
        <f>IF('CASE DATA'!I71="YES",SUM('CASE DATA'!J71:P71),"n/a")</f>
        <v>n/a</v>
      </c>
      <c r="E70" s="60" t="str">
        <f>IF(OR('CASE DATA'!G71="JUV", 'CASE DATA'!G71="JWV"), "YES", "NO")</f>
        <v>NO</v>
      </c>
      <c r="F70" s="60" t="str">
        <f t="array" ref="F70">IF(E70="YES",IF(SUM(COUNTIF('CASE DATA'!$G$4:$G$200, {"GTR","GPL","DEF","JUV"}))&gt;0, "YES","NO"),"N/A")</f>
        <v>N/A</v>
      </c>
      <c r="G70" s="60" t="str">
        <f>IF(E70="YES",IF(COUNTIF('CASE DATA'!$D$4:$D$200, "")-COUNTIF('CASE DATA'!$A$4:$A$200, "")&gt;0, "YES","NO"),"N/A")</f>
        <v>N/A</v>
      </c>
      <c r="H70" s="57" t="str">
        <f>_xlfn.IFS(E70="NO", "N/A", AND('BASIC INFO'!$B$3&gt;'BASIC INFO'!$B$6+6574.5, C70+730.5&lt;'BASIC INFO'!$B$3), "YES", 'BASIC INFO'!$B$3&lt;('BASIC INFO'!$B$6+6574.5), "NOT YET 18", C70+730.5&gt;'BASIC INFO'!$B$3, "NOT YET 2 YEARS")</f>
        <v>N/A</v>
      </c>
      <c r="I70" s="61" t="str">
        <f>IF(OR(AND(LEFT('CASE DATA'!F71,4)="321.",MID('CASE DATA'!A71,8,2)="SM"),MID('CASE DATA'!A71,8,2)="ST",MID('CASE DATA'!A71,8,2)="NT"),"TRAFFIC",IF(OR('CASE DATA'!G71="DISM", 'CASE DATA'!G71="ACQ", 'CASE DATA'!G71="NOTF", 'CASE DATA'!G71="WTHD", 'CASE DATA'!G71="TNSF"), "YES", "NO"))</f>
        <v>NO</v>
      </c>
      <c r="J70" s="62" t="str">
        <f>IF(I70="YES",'CASE DATA'!T71,"N/A")</f>
        <v>N/A</v>
      </c>
      <c r="K70" s="57" t="str">
        <f>IF(I70="YES",IF(C70+180&lt;'BASIC INFO'!$B$3, "YES", "NO"),"N/A")</f>
        <v>N/A</v>
      </c>
      <c r="L70" s="62" t="str">
        <f t="array" ref="L70">IF(I70="TRAFFIC","n/a",IF(OR('CASE DATA'!G71="GTR", 'CASE DATA'!G71="GPL"),IF(SUM(COUNTIF('CASE DATA'!W71:AH71, 'CODE SECTIONS'!$V$2:$V$218&amp;"*"))&gt;0,"felony","eligible"),"n/a"))</f>
        <v>n/a</v>
      </c>
      <c r="M70" s="62" t="str">
        <f t="array" ref="M70">IF(L70="eligible",IF(OR((SUM(COUNTIF('CASE DATA'!W71:AH71,'CODE SECTIONS'!$X$2:$X$19&amp;"*"))&gt;0),LEFT('CASE DATA'!W71:AH71,4)="717C", LEFT('CASE DATA'!W71:AH71, 3)="719", LEFT('CASE DATA'!W71:AH71,3)="720", LEFT('CASE DATA'!W71:AH71,3)="724", LEFT('CASE DATA'!W71:AH71,3)="726", LEFT('CASE DATA'!W71:AH71,3)="728", LEFT('CASE DATA'!W71:AH71,4)="901A"), "ineligible misd","eligible"),"n/a")</f>
        <v>n/a</v>
      </c>
      <c r="N70" s="62" t="str">
        <f>IF(M70="eligible",IF(COUNTIF('CASE DATA'!$D$4:$D$200, "")-COUNTIF('CASE DATA'!$A$4:$A$200, "")&gt;0, "YES","NO"),"N/A")</f>
        <v>N/A</v>
      </c>
      <c r="O70" s="62" t="str">
        <f>IF(M70="eligible",BANKRUPTCY!C71+BANKRUPTCY!D71,"N/A")</f>
        <v>N/A</v>
      </c>
      <c r="P70" s="62" t="str">
        <f>IF(M70="eligible",SOL!C71+SOL!D71+SOL!E71,"N/A")</f>
        <v>N/A</v>
      </c>
      <c r="Q70" s="62" t="str">
        <f>IF(M70="eligible",SUM('CASE DATA'!J71:S71),"N/A")</f>
        <v>N/A</v>
      </c>
      <c r="R70" s="62" t="str">
        <f>IF(M70="eligible",IF(C70+2920&lt;'BASIC INFO'!$B$3, "YES", "NO"),"N/A")</f>
        <v>N/A</v>
      </c>
      <c r="S70" s="61" t="str">
        <f>IF(OR('CASE DATA'!G71="DEF"), "YES", "NO")</f>
        <v>NO</v>
      </c>
      <c r="T70" s="57" t="str">
        <f>IF(S70="YES",'CASE DATA'!I71,"N/A")</f>
        <v>N/A</v>
      </c>
      <c r="U70" s="62" t="str">
        <f>IF(S70="YES",BANKRUPTCY!C71+BANKRUPTCY!D71,"N/A")</f>
        <v>N/A</v>
      </c>
      <c r="V70" s="62" t="str">
        <f>IF(S70="YES",SUM('CASE DATA'!J71:S71),"N/A")</f>
        <v>N/A</v>
      </c>
      <c r="W70" s="57" t="str">
        <f>IF(OR('CASE DATA'!F71="123.46",'CASE DATA'!F71="123.47"),"YES","NO")</f>
        <v>NO</v>
      </c>
      <c r="X70" s="60" t="str">
        <f>IF(W70="YES",COUNTIFS(AD$3:$AD$200,"&gt;"&amp;('CASE DATA'!D71),$AD$3:$AD$200,"&lt;"&amp;('CASE DATA'!D71+730.5)),"n/a")</f>
        <v>n/a</v>
      </c>
      <c r="Y70" s="62" t="str">
        <f>IF(W70="YES",IF(C70+730.5&lt;'BASIC INFO'!$B$3, "YES","NO"), "N/A")</f>
        <v>N/A</v>
      </c>
      <c r="Z70" s="57" t="str">
        <f>IF('CASE DATA'!F71="725.1","YES","NO")</f>
        <v>NO</v>
      </c>
      <c r="AA70" s="57" t="str">
        <f>IF(Z70="YES",IF(C70+730.5&lt;'BASIC INFO'!$B$3, "YES","NO"), "N/A")</f>
        <v>N/A</v>
      </c>
      <c r="AB70" s="57" t="str">
        <f>IF('BASIC INFO'!$B$6+6574.5&gt;C70, "YES", "NO")</f>
        <v>YES</v>
      </c>
      <c r="AC70" s="57" t="str">
        <f>IF(Z70="YES",COUNTIFS(AD$3:$AD$200,"&gt;"&amp;('CASE DATA'!D71),$AD$3:$AD$200,"&lt;"&amp;('CASE DATA'!D71+730.5)),"n/a")</f>
        <v>n/a</v>
      </c>
    </row>
    <row r="71" spans="1:29" x14ac:dyDescent="0.25">
      <c r="A71" s="57" t="str">
        <f>IF('CASE DATA'!A72="","z",'CASE DATA'!A72)</f>
        <v>z</v>
      </c>
      <c r="B71" s="57" t="str">
        <f>IF('CASE DATA'!A72="","",'CASE DATA'!E72)</f>
        <v/>
      </c>
      <c r="C71" s="58">
        <f>'CASE DATA'!D72</f>
        <v>0</v>
      </c>
      <c r="D71" s="59" t="str">
        <f>IF('CASE DATA'!I72="YES",SUM('CASE DATA'!J72:P72),"n/a")</f>
        <v>n/a</v>
      </c>
      <c r="E71" s="60" t="str">
        <f>IF(OR('CASE DATA'!G72="JUV", 'CASE DATA'!G72="JWV"), "YES", "NO")</f>
        <v>NO</v>
      </c>
      <c r="F71" s="60" t="str">
        <f t="array" ref="F71">IF(E71="YES",IF(SUM(COUNTIF('CASE DATA'!$G$4:$G$200, {"GTR","GPL","DEF","JUV"}))&gt;0, "YES","NO"),"N/A")</f>
        <v>N/A</v>
      </c>
      <c r="G71" s="60" t="str">
        <f>IF(E71="YES",IF(COUNTIF('CASE DATA'!$D$4:$D$200, "")-COUNTIF('CASE DATA'!$A$4:$A$200, "")&gt;0, "YES","NO"),"N/A")</f>
        <v>N/A</v>
      </c>
      <c r="H71" s="57" t="str">
        <f>_xlfn.IFS(E71="NO", "N/A", AND('BASIC INFO'!$B$3&gt;'BASIC INFO'!$B$6+6574.5, C71+730.5&lt;'BASIC INFO'!$B$3), "YES", 'BASIC INFO'!$B$3&lt;('BASIC INFO'!$B$6+6574.5), "NOT YET 18", C71+730.5&gt;'BASIC INFO'!$B$3, "NOT YET 2 YEARS")</f>
        <v>N/A</v>
      </c>
      <c r="I71" s="61" t="str">
        <f>IF(OR(AND(LEFT('CASE DATA'!F72,4)="321.",MID('CASE DATA'!A72,8,2)="SM"),MID('CASE DATA'!A72,8,2)="ST",MID('CASE DATA'!A72,8,2)="NT"),"TRAFFIC",IF(OR('CASE DATA'!G72="DISM", 'CASE DATA'!G72="ACQ", 'CASE DATA'!G72="NOTF", 'CASE DATA'!G72="WTHD", 'CASE DATA'!G72="TNSF"), "YES", "NO"))</f>
        <v>NO</v>
      </c>
      <c r="J71" s="62" t="str">
        <f>IF(I71="YES",'CASE DATA'!T72,"N/A")</f>
        <v>N/A</v>
      </c>
      <c r="K71" s="57" t="str">
        <f>IF(I71="YES",IF(C71+180&lt;'BASIC INFO'!$B$3, "YES", "NO"),"N/A")</f>
        <v>N/A</v>
      </c>
      <c r="L71" s="62" t="str">
        <f t="array" ref="L71">IF(I71="TRAFFIC","n/a",IF(OR('CASE DATA'!G72="GTR", 'CASE DATA'!G72="GPL"),IF(SUM(COUNTIF('CASE DATA'!W72:AH72, 'CODE SECTIONS'!$V$2:$V$218&amp;"*"))&gt;0,"felony","eligible"),"n/a"))</f>
        <v>n/a</v>
      </c>
      <c r="M71" s="62" t="str">
        <f t="array" ref="M71">IF(L71="eligible",IF(OR((SUM(COUNTIF('CASE DATA'!W72:AH72,'CODE SECTIONS'!$X$2:$X$19&amp;"*"))&gt;0),LEFT('CASE DATA'!W72:AH72,4)="717C", LEFT('CASE DATA'!W72:AH72, 3)="719", LEFT('CASE DATA'!W72:AH72,3)="720", LEFT('CASE DATA'!W72:AH72,3)="724", LEFT('CASE DATA'!W72:AH72,3)="726", LEFT('CASE DATA'!W72:AH72,3)="728", LEFT('CASE DATA'!W72:AH72,4)="901A"), "ineligible misd","eligible"),"n/a")</f>
        <v>n/a</v>
      </c>
      <c r="N71" s="62" t="str">
        <f>IF(M71="eligible",IF(COUNTIF('CASE DATA'!$D$4:$D$200, "")-COUNTIF('CASE DATA'!$A$4:$A$200, "")&gt;0, "YES","NO"),"N/A")</f>
        <v>N/A</v>
      </c>
      <c r="O71" s="62" t="str">
        <f>IF(M71="eligible",BANKRUPTCY!C72+BANKRUPTCY!D72,"N/A")</f>
        <v>N/A</v>
      </c>
      <c r="P71" s="62" t="str">
        <f>IF(M71="eligible",SOL!C72+SOL!D72+SOL!E72,"N/A")</f>
        <v>N/A</v>
      </c>
      <c r="Q71" s="62" t="str">
        <f>IF(M71="eligible",SUM('CASE DATA'!J72:S72),"N/A")</f>
        <v>N/A</v>
      </c>
      <c r="R71" s="62" t="str">
        <f>IF(M71="eligible",IF(C71+2920&lt;'BASIC INFO'!$B$3, "YES", "NO"),"N/A")</f>
        <v>N/A</v>
      </c>
      <c r="S71" s="61" t="str">
        <f>IF(OR('CASE DATA'!G72="DEF"), "YES", "NO")</f>
        <v>NO</v>
      </c>
      <c r="T71" s="57" t="str">
        <f>IF(S71="YES",'CASE DATA'!I72,"N/A")</f>
        <v>N/A</v>
      </c>
      <c r="U71" s="62" t="str">
        <f>IF(S71="YES",BANKRUPTCY!C72+BANKRUPTCY!D72,"N/A")</f>
        <v>N/A</v>
      </c>
      <c r="V71" s="62" t="str">
        <f>IF(S71="YES",SUM('CASE DATA'!J72:S72),"N/A")</f>
        <v>N/A</v>
      </c>
      <c r="W71" s="57" t="str">
        <f>IF(OR('CASE DATA'!F72="123.46",'CASE DATA'!F72="123.47"),"YES","NO")</f>
        <v>NO</v>
      </c>
      <c r="X71" s="60" t="str">
        <f>IF(W71="YES",COUNTIFS(AD$3:$AD$200,"&gt;"&amp;('CASE DATA'!D72),$AD$3:$AD$200,"&lt;"&amp;('CASE DATA'!D72+730.5)),"n/a")</f>
        <v>n/a</v>
      </c>
      <c r="Y71" s="62" t="str">
        <f>IF(W71="YES",IF(C71+730.5&lt;'BASIC INFO'!$B$3, "YES","NO"), "N/A")</f>
        <v>N/A</v>
      </c>
      <c r="Z71" s="57" t="str">
        <f>IF('CASE DATA'!F72="725.1","YES","NO")</f>
        <v>NO</v>
      </c>
      <c r="AA71" s="57" t="str">
        <f>IF(Z71="YES",IF(C71+730.5&lt;'BASIC INFO'!$B$3, "YES","NO"), "N/A")</f>
        <v>N/A</v>
      </c>
      <c r="AB71" s="57" t="str">
        <f>IF('BASIC INFO'!$B$6+6574.5&gt;C71, "YES", "NO")</f>
        <v>YES</v>
      </c>
      <c r="AC71" s="57" t="str">
        <f>IF(Z71="YES",COUNTIFS(AD$3:$AD$200,"&gt;"&amp;('CASE DATA'!D72),$AD$3:$AD$200,"&lt;"&amp;('CASE DATA'!D72+730.5)),"n/a")</f>
        <v>n/a</v>
      </c>
    </row>
    <row r="72" spans="1:29" x14ac:dyDescent="0.25">
      <c r="A72" s="57" t="str">
        <f>IF('CASE DATA'!A73="","z",'CASE DATA'!A73)</f>
        <v>z</v>
      </c>
      <c r="B72" s="57" t="str">
        <f>IF('CASE DATA'!A73="","",'CASE DATA'!E73)</f>
        <v/>
      </c>
      <c r="C72" s="58">
        <f>'CASE DATA'!D73</f>
        <v>0</v>
      </c>
      <c r="D72" s="59" t="str">
        <f>IF('CASE DATA'!I73="YES",SUM('CASE DATA'!J73:P73),"n/a")</f>
        <v>n/a</v>
      </c>
      <c r="E72" s="60" t="str">
        <f>IF(OR('CASE DATA'!G73="JUV", 'CASE DATA'!G73="JWV"), "YES", "NO")</f>
        <v>NO</v>
      </c>
      <c r="F72" s="60" t="str">
        <f t="array" ref="F72">IF(E72="YES",IF(SUM(COUNTIF('CASE DATA'!$G$4:$G$200, {"GTR","GPL","DEF","JUV"}))&gt;0, "YES","NO"),"N/A")</f>
        <v>N/A</v>
      </c>
      <c r="G72" s="60" t="str">
        <f>IF(E72="YES",IF(COUNTIF('CASE DATA'!$D$4:$D$200, "")-COUNTIF('CASE DATA'!$A$4:$A$200, "")&gt;0, "YES","NO"),"N/A")</f>
        <v>N/A</v>
      </c>
      <c r="H72" s="57" t="str">
        <f>_xlfn.IFS(E72="NO", "N/A", AND('BASIC INFO'!$B$3&gt;'BASIC INFO'!$B$6+6574.5, C72+730.5&lt;'BASIC INFO'!$B$3), "YES", 'BASIC INFO'!$B$3&lt;('BASIC INFO'!$B$6+6574.5), "NOT YET 18", C72+730.5&gt;'BASIC INFO'!$B$3, "NOT YET 2 YEARS")</f>
        <v>N/A</v>
      </c>
      <c r="I72" s="61" t="str">
        <f>IF(OR(AND(LEFT('CASE DATA'!F73,4)="321.",MID('CASE DATA'!A73,8,2)="SM"),MID('CASE DATA'!A73,8,2)="ST",MID('CASE DATA'!A73,8,2)="NT"),"TRAFFIC",IF(OR('CASE DATA'!G73="DISM", 'CASE DATA'!G73="ACQ", 'CASE DATA'!G73="NOTF", 'CASE DATA'!G73="WTHD", 'CASE DATA'!G73="TNSF"), "YES", "NO"))</f>
        <v>NO</v>
      </c>
      <c r="J72" s="62" t="str">
        <f>IF(I72="YES",'CASE DATA'!T73,"N/A")</f>
        <v>N/A</v>
      </c>
      <c r="K72" s="57" t="str">
        <f>IF(I72="YES",IF(C72+180&lt;'BASIC INFO'!$B$3, "YES", "NO"),"N/A")</f>
        <v>N/A</v>
      </c>
      <c r="L72" s="62" t="str">
        <f t="array" ref="L72">IF(I72="TRAFFIC","n/a",IF(OR('CASE DATA'!G73="GTR", 'CASE DATA'!G73="GPL"),IF(SUM(COUNTIF('CASE DATA'!W73:AH73, 'CODE SECTIONS'!$V$2:$V$218&amp;"*"))&gt;0,"felony","eligible"),"n/a"))</f>
        <v>n/a</v>
      </c>
      <c r="M72" s="62" t="str">
        <f t="array" ref="M72">IF(L72="eligible",IF(OR((SUM(COUNTIF('CASE DATA'!W73:AH73,'CODE SECTIONS'!$X$2:$X$19&amp;"*"))&gt;0),LEFT('CASE DATA'!W73:AH73,4)="717C", LEFT('CASE DATA'!W73:AH73, 3)="719", LEFT('CASE DATA'!W73:AH73,3)="720", LEFT('CASE DATA'!W73:AH73,3)="724", LEFT('CASE DATA'!W73:AH73,3)="726", LEFT('CASE DATA'!W73:AH73,3)="728", LEFT('CASE DATA'!W73:AH73,4)="901A"), "ineligible misd","eligible"),"n/a")</f>
        <v>n/a</v>
      </c>
      <c r="N72" s="62" t="str">
        <f>IF(M72="eligible",IF(COUNTIF('CASE DATA'!$D$4:$D$200, "")-COUNTIF('CASE DATA'!$A$4:$A$200, "")&gt;0, "YES","NO"),"N/A")</f>
        <v>N/A</v>
      </c>
      <c r="O72" s="62" t="str">
        <f>IF(M72="eligible",BANKRUPTCY!C73+BANKRUPTCY!D73,"N/A")</f>
        <v>N/A</v>
      </c>
      <c r="P72" s="62" t="str">
        <f>IF(M72="eligible",SOL!C73+SOL!D73+SOL!E73,"N/A")</f>
        <v>N/A</v>
      </c>
      <c r="Q72" s="62" t="str">
        <f>IF(M72="eligible",SUM('CASE DATA'!J73:S73),"N/A")</f>
        <v>N/A</v>
      </c>
      <c r="R72" s="62" t="str">
        <f>IF(M72="eligible",IF(C72+2920&lt;'BASIC INFO'!$B$3, "YES", "NO"),"N/A")</f>
        <v>N/A</v>
      </c>
      <c r="S72" s="61" t="str">
        <f>IF(OR('CASE DATA'!G73="DEF"), "YES", "NO")</f>
        <v>NO</v>
      </c>
      <c r="T72" s="57" t="str">
        <f>IF(S72="YES",'CASE DATA'!I73,"N/A")</f>
        <v>N/A</v>
      </c>
      <c r="U72" s="62" t="str">
        <f>IF(S72="YES",BANKRUPTCY!C73+BANKRUPTCY!D73,"N/A")</f>
        <v>N/A</v>
      </c>
      <c r="V72" s="62" t="str">
        <f>IF(S72="YES",SUM('CASE DATA'!J73:S73),"N/A")</f>
        <v>N/A</v>
      </c>
      <c r="W72" s="57" t="str">
        <f>IF(OR('CASE DATA'!F73="123.46",'CASE DATA'!F73="123.47"),"YES","NO")</f>
        <v>NO</v>
      </c>
      <c r="X72" s="60" t="str">
        <f>IF(W72="YES",COUNTIFS(AD$3:$AD$200,"&gt;"&amp;('CASE DATA'!D73),$AD$3:$AD$200,"&lt;"&amp;('CASE DATA'!D73+730.5)),"n/a")</f>
        <v>n/a</v>
      </c>
      <c r="Y72" s="62" t="str">
        <f>IF(W72="YES",IF(C72+730.5&lt;'BASIC INFO'!$B$3, "YES","NO"), "N/A")</f>
        <v>N/A</v>
      </c>
      <c r="Z72" s="57" t="str">
        <f>IF('CASE DATA'!F73="725.1","YES","NO")</f>
        <v>NO</v>
      </c>
      <c r="AA72" s="57" t="str">
        <f>IF(Z72="YES",IF(C72+730.5&lt;'BASIC INFO'!$B$3, "YES","NO"), "N/A")</f>
        <v>N/A</v>
      </c>
      <c r="AB72" s="57" t="str">
        <f>IF('BASIC INFO'!$B$6+6574.5&gt;C72, "YES", "NO")</f>
        <v>YES</v>
      </c>
      <c r="AC72" s="57" t="str">
        <f>IF(Z72="YES",COUNTIFS(AD$3:$AD$200,"&gt;"&amp;('CASE DATA'!D73),$AD$3:$AD$200,"&lt;"&amp;('CASE DATA'!D73+730.5)),"n/a")</f>
        <v>n/a</v>
      </c>
    </row>
    <row r="73" spans="1:29" x14ac:dyDescent="0.25">
      <c r="A73" s="57" t="str">
        <f>IF('CASE DATA'!A74="","z",'CASE DATA'!A74)</f>
        <v>z</v>
      </c>
      <c r="B73" s="57" t="str">
        <f>IF('CASE DATA'!A74="","",'CASE DATA'!E74)</f>
        <v/>
      </c>
      <c r="C73" s="58">
        <f>'CASE DATA'!D74</f>
        <v>0</v>
      </c>
      <c r="D73" s="59" t="str">
        <f>IF('CASE DATA'!I74="YES",SUM('CASE DATA'!J74:P74),"n/a")</f>
        <v>n/a</v>
      </c>
      <c r="E73" s="60" t="str">
        <f>IF(OR('CASE DATA'!G74="JUV", 'CASE DATA'!G74="JWV"), "YES", "NO")</f>
        <v>NO</v>
      </c>
      <c r="F73" s="60" t="str">
        <f t="array" ref="F73">IF(E73="YES",IF(SUM(COUNTIF('CASE DATA'!$G$4:$G$200, {"GTR","GPL","DEF","JUV"}))&gt;0, "YES","NO"),"N/A")</f>
        <v>N/A</v>
      </c>
      <c r="G73" s="60" t="str">
        <f>IF(E73="YES",IF(COUNTIF('CASE DATA'!$D$4:$D$200, "")-COUNTIF('CASE DATA'!$A$4:$A$200, "")&gt;0, "YES","NO"),"N/A")</f>
        <v>N/A</v>
      </c>
      <c r="H73" s="57" t="str">
        <f>_xlfn.IFS(E73="NO", "N/A", AND('BASIC INFO'!$B$3&gt;'BASIC INFO'!$B$6+6574.5, C73+730.5&lt;'BASIC INFO'!$B$3), "YES", 'BASIC INFO'!$B$3&lt;('BASIC INFO'!$B$6+6574.5), "NOT YET 18", C73+730.5&gt;'BASIC INFO'!$B$3, "NOT YET 2 YEARS")</f>
        <v>N/A</v>
      </c>
      <c r="I73" s="61" t="str">
        <f>IF(OR(AND(LEFT('CASE DATA'!F74,4)="321.",MID('CASE DATA'!A74,8,2)="SM"),MID('CASE DATA'!A74,8,2)="ST",MID('CASE DATA'!A74,8,2)="NT"),"TRAFFIC",IF(OR('CASE DATA'!G74="DISM", 'CASE DATA'!G74="ACQ", 'CASE DATA'!G74="NOTF", 'CASE DATA'!G74="WTHD", 'CASE DATA'!G74="TNSF"), "YES", "NO"))</f>
        <v>NO</v>
      </c>
      <c r="J73" s="62" t="str">
        <f>IF(I73="YES",'CASE DATA'!T74,"N/A")</f>
        <v>N/A</v>
      </c>
      <c r="K73" s="57" t="str">
        <f>IF(I73="YES",IF(C73+180&lt;'BASIC INFO'!$B$3, "YES", "NO"),"N/A")</f>
        <v>N/A</v>
      </c>
      <c r="L73" s="62" t="str">
        <f t="array" ref="L73">IF(I73="TRAFFIC","n/a",IF(OR('CASE DATA'!G74="GTR", 'CASE DATA'!G74="GPL"),IF(SUM(COUNTIF('CASE DATA'!W74:AH74, 'CODE SECTIONS'!$V$2:$V$218&amp;"*"))&gt;0,"felony","eligible"),"n/a"))</f>
        <v>n/a</v>
      </c>
      <c r="M73" s="62" t="str">
        <f t="array" ref="M73">IF(L73="eligible",IF(OR((SUM(COUNTIF('CASE DATA'!W74:AH74,'CODE SECTIONS'!$X$2:$X$19&amp;"*"))&gt;0),LEFT('CASE DATA'!W74:AH74,4)="717C", LEFT('CASE DATA'!W74:AH74, 3)="719", LEFT('CASE DATA'!W74:AH74,3)="720", LEFT('CASE DATA'!W74:AH74,3)="724", LEFT('CASE DATA'!W74:AH74,3)="726", LEFT('CASE DATA'!W74:AH74,3)="728", LEFT('CASE DATA'!W74:AH74,4)="901A"), "ineligible misd","eligible"),"n/a")</f>
        <v>n/a</v>
      </c>
      <c r="N73" s="62" t="str">
        <f>IF(M73="eligible",IF(COUNTIF('CASE DATA'!$D$4:$D$200, "")-COUNTIF('CASE DATA'!$A$4:$A$200, "")&gt;0, "YES","NO"),"N/A")</f>
        <v>N/A</v>
      </c>
      <c r="O73" s="62" t="str">
        <f>IF(M73="eligible",BANKRUPTCY!C74+BANKRUPTCY!D74,"N/A")</f>
        <v>N/A</v>
      </c>
      <c r="P73" s="62" t="str">
        <f>IF(M73="eligible",SOL!C74+SOL!D74+SOL!E74,"N/A")</f>
        <v>N/A</v>
      </c>
      <c r="Q73" s="62" t="str">
        <f>IF(M73="eligible",SUM('CASE DATA'!J74:S74),"N/A")</f>
        <v>N/A</v>
      </c>
      <c r="R73" s="62" t="str">
        <f>IF(M73="eligible",IF(C73+2920&lt;'BASIC INFO'!$B$3, "YES", "NO"),"N/A")</f>
        <v>N/A</v>
      </c>
      <c r="S73" s="61" t="str">
        <f>IF(OR('CASE DATA'!G74="DEF"), "YES", "NO")</f>
        <v>NO</v>
      </c>
      <c r="T73" s="57" t="str">
        <f>IF(S73="YES",'CASE DATA'!I74,"N/A")</f>
        <v>N/A</v>
      </c>
      <c r="U73" s="62" t="str">
        <f>IF(S73="YES",BANKRUPTCY!C74+BANKRUPTCY!D74,"N/A")</f>
        <v>N/A</v>
      </c>
      <c r="V73" s="62" t="str">
        <f>IF(S73="YES",SUM('CASE DATA'!J74:S74),"N/A")</f>
        <v>N/A</v>
      </c>
      <c r="W73" s="57" t="str">
        <f>IF(OR('CASE DATA'!F74="123.46",'CASE DATA'!F74="123.47"),"YES","NO")</f>
        <v>NO</v>
      </c>
      <c r="X73" s="60" t="str">
        <f>IF(W73="YES",COUNTIFS(AD$3:$AD$200,"&gt;"&amp;('CASE DATA'!D74),$AD$3:$AD$200,"&lt;"&amp;('CASE DATA'!D74+730.5)),"n/a")</f>
        <v>n/a</v>
      </c>
      <c r="Y73" s="62" t="str">
        <f>IF(W73="YES",IF(C73+730.5&lt;'BASIC INFO'!$B$3, "YES","NO"), "N/A")</f>
        <v>N/A</v>
      </c>
      <c r="Z73" s="57" t="str">
        <f>IF('CASE DATA'!F74="725.1","YES","NO")</f>
        <v>NO</v>
      </c>
      <c r="AA73" s="57" t="str">
        <f>IF(Z73="YES",IF(C73+730.5&lt;'BASIC INFO'!$B$3, "YES","NO"), "N/A")</f>
        <v>N/A</v>
      </c>
      <c r="AB73" s="57" t="str">
        <f>IF('BASIC INFO'!$B$6+6574.5&gt;C73, "YES", "NO")</f>
        <v>YES</v>
      </c>
      <c r="AC73" s="57" t="str">
        <f>IF(Z73="YES",COUNTIFS(AD$3:$AD$200,"&gt;"&amp;('CASE DATA'!D74),$AD$3:$AD$200,"&lt;"&amp;('CASE DATA'!D74+730.5)),"n/a")</f>
        <v>n/a</v>
      </c>
    </row>
    <row r="74" spans="1:29" x14ac:dyDescent="0.25">
      <c r="A74" s="57" t="str">
        <f>IF('CASE DATA'!A75="","z",'CASE DATA'!A75)</f>
        <v>z</v>
      </c>
      <c r="B74" s="57" t="str">
        <f>IF('CASE DATA'!A75="","",'CASE DATA'!E75)</f>
        <v/>
      </c>
      <c r="C74" s="58">
        <f>'CASE DATA'!D75</f>
        <v>0</v>
      </c>
      <c r="D74" s="59" t="str">
        <f>IF('CASE DATA'!I75="YES",SUM('CASE DATA'!J75:P75),"n/a")</f>
        <v>n/a</v>
      </c>
      <c r="E74" s="60" t="str">
        <f>IF(OR('CASE DATA'!G75="JUV", 'CASE DATA'!G75="JWV"), "YES", "NO")</f>
        <v>NO</v>
      </c>
      <c r="F74" s="60" t="str">
        <f t="array" ref="F74">IF(E74="YES",IF(SUM(COUNTIF('CASE DATA'!$G$4:$G$200, {"GTR","GPL","DEF","JUV"}))&gt;0, "YES","NO"),"N/A")</f>
        <v>N/A</v>
      </c>
      <c r="G74" s="60" t="str">
        <f>IF(E74="YES",IF(COUNTIF('CASE DATA'!$D$4:$D$200, "")-COUNTIF('CASE DATA'!$A$4:$A$200, "")&gt;0, "YES","NO"),"N/A")</f>
        <v>N/A</v>
      </c>
      <c r="H74" s="57" t="str">
        <f>_xlfn.IFS(E74="NO", "N/A", AND('BASIC INFO'!$B$3&gt;'BASIC INFO'!$B$6+6574.5, C74+730.5&lt;'BASIC INFO'!$B$3), "YES", 'BASIC INFO'!$B$3&lt;('BASIC INFO'!$B$6+6574.5), "NOT YET 18", C74+730.5&gt;'BASIC INFO'!$B$3, "NOT YET 2 YEARS")</f>
        <v>N/A</v>
      </c>
      <c r="I74" s="61" t="str">
        <f>IF(OR(AND(LEFT('CASE DATA'!F75,4)="321.",MID('CASE DATA'!A75,8,2)="SM"),MID('CASE DATA'!A75,8,2)="ST",MID('CASE DATA'!A75,8,2)="NT"),"TRAFFIC",IF(OR('CASE DATA'!G75="DISM", 'CASE DATA'!G75="ACQ", 'CASE DATA'!G75="NOTF", 'CASE DATA'!G75="WTHD", 'CASE DATA'!G75="TNSF"), "YES", "NO"))</f>
        <v>NO</v>
      </c>
      <c r="J74" s="62" t="str">
        <f>IF(I74="YES",'CASE DATA'!T75,"N/A")</f>
        <v>N/A</v>
      </c>
      <c r="K74" s="57" t="str">
        <f>IF(I74="YES",IF(C74+180&lt;'BASIC INFO'!$B$3, "YES", "NO"),"N/A")</f>
        <v>N/A</v>
      </c>
      <c r="L74" s="62" t="str">
        <f t="array" ref="L74">IF(I74="TRAFFIC","n/a",IF(OR('CASE DATA'!G75="GTR", 'CASE DATA'!G75="GPL"),IF(SUM(COUNTIF('CASE DATA'!W75:AH75, 'CODE SECTIONS'!$V$2:$V$218&amp;"*"))&gt;0,"felony","eligible"),"n/a"))</f>
        <v>n/a</v>
      </c>
      <c r="M74" s="62" t="str">
        <f t="array" ref="M74">IF(L74="eligible",IF(OR((SUM(COUNTIF('CASE DATA'!W75:AH75,'CODE SECTIONS'!$X$2:$X$19&amp;"*"))&gt;0),LEFT('CASE DATA'!W75:AH75,4)="717C", LEFT('CASE DATA'!W75:AH75, 3)="719", LEFT('CASE DATA'!W75:AH75,3)="720", LEFT('CASE DATA'!W75:AH75,3)="724", LEFT('CASE DATA'!W75:AH75,3)="726", LEFT('CASE DATA'!W75:AH75,3)="728", LEFT('CASE DATA'!W75:AH75,4)="901A"), "ineligible misd","eligible"),"n/a")</f>
        <v>n/a</v>
      </c>
      <c r="N74" s="62" t="str">
        <f>IF(M74="eligible",IF(COUNTIF('CASE DATA'!$D$4:$D$200, "")-COUNTIF('CASE DATA'!$A$4:$A$200, "")&gt;0, "YES","NO"),"N/A")</f>
        <v>N/A</v>
      </c>
      <c r="O74" s="62" t="str">
        <f>IF(M74="eligible",BANKRUPTCY!C75+BANKRUPTCY!D75,"N/A")</f>
        <v>N/A</v>
      </c>
      <c r="P74" s="62" t="str">
        <f>IF(M74="eligible",SOL!C75+SOL!D75+SOL!E75,"N/A")</f>
        <v>N/A</v>
      </c>
      <c r="Q74" s="62" t="str">
        <f>IF(M74="eligible",SUM('CASE DATA'!J75:S75),"N/A")</f>
        <v>N/A</v>
      </c>
      <c r="R74" s="62" t="str">
        <f>IF(M74="eligible",IF(C74+2920&lt;'BASIC INFO'!$B$3, "YES", "NO"),"N/A")</f>
        <v>N/A</v>
      </c>
      <c r="S74" s="61" t="str">
        <f>IF(OR('CASE DATA'!G75="DEF"), "YES", "NO")</f>
        <v>NO</v>
      </c>
      <c r="T74" s="57" t="str">
        <f>IF(S74="YES",'CASE DATA'!I75,"N/A")</f>
        <v>N/A</v>
      </c>
      <c r="U74" s="62" t="str">
        <f>IF(S74="YES",BANKRUPTCY!C75+BANKRUPTCY!D75,"N/A")</f>
        <v>N/A</v>
      </c>
      <c r="V74" s="62" t="str">
        <f>IF(S74="YES",SUM('CASE DATA'!J75:S75),"N/A")</f>
        <v>N/A</v>
      </c>
      <c r="W74" s="57" t="str">
        <f>IF(OR('CASE DATA'!F75="123.46",'CASE DATA'!F75="123.47"),"YES","NO")</f>
        <v>NO</v>
      </c>
      <c r="X74" s="60" t="str">
        <f>IF(W74="YES",COUNTIFS(AD$3:$AD$200,"&gt;"&amp;('CASE DATA'!D75),$AD$3:$AD$200,"&lt;"&amp;('CASE DATA'!D75+730.5)),"n/a")</f>
        <v>n/a</v>
      </c>
      <c r="Y74" s="62" t="str">
        <f>IF(W74="YES",IF(C74+730.5&lt;'BASIC INFO'!$B$3, "YES","NO"), "N/A")</f>
        <v>N/A</v>
      </c>
      <c r="Z74" s="57" t="str">
        <f>IF('CASE DATA'!F75="725.1","YES","NO")</f>
        <v>NO</v>
      </c>
      <c r="AA74" s="57" t="str">
        <f>IF(Z74="YES",IF(C74+730.5&lt;'BASIC INFO'!$B$3, "YES","NO"), "N/A")</f>
        <v>N/A</v>
      </c>
      <c r="AB74" s="57" t="str">
        <f>IF('BASIC INFO'!$B$6+6574.5&gt;C74, "YES", "NO")</f>
        <v>YES</v>
      </c>
      <c r="AC74" s="57" t="str">
        <f>IF(Z74="YES",COUNTIFS(AD$3:$AD$200,"&gt;"&amp;('CASE DATA'!D75),$AD$3:$AD$200,"&lt;"&amp;('CASE DATA'!D75+730.5)),"n/a")</f>
        <v>n/a</v>
      </c>
    </row>
    <row r="75" spans="1:29" x14ac:dyDescent="0.25">
      <c r="A75" s="57" t="str">
        <f>IF('CASE DATA'!A76="","z",'CASE DATA'!A76)</f>
        <v>z</v>
      </c>
      <c r="B75" s="57" t="str">
        <f>IF('CASE DATA'!A76="","",'CASE DATA'!E76)</f>
        <v/>
      </c>
      <c r="C75" s="58">
        <f>'CASE DATA'!D76</f>
        <v>0</v>
      </c>
      <c r="D75" s="59" t="str">
        <f>IF('CASE DATA'!I76="YES",SUM('CASE DATA'!J76:P76),"n/a")</f>
        <v>n/a</v>
      </c>
      <c r="E75" s="60" t="str">
        <f>IF(OR('CASE DATA'!G76="JUV", 'CASE DATA'!G76="JWV"), "YES", "NO")</f>
        <v>NO</v>
      </c>
      <c r="F75" s="60" t="str">
        <f t="array" ref="F75">IF(E75="YES",IF(SUM(COUNTIF('CASE DATA'!$G$4:$G$200, {"GTR","GPL","DEF","JUV"}))&gt;0, "YES","NO"),"N/A")</f>
        <v>N/A</v>
      </c>
      <c r="G75" s="60" t="str">
        <f>IF(E75="YES",IF(COUNTIF('CASE DATA'!$D$4:$D$200, "")-COUNTIF('CASE DATA'!$A$4:$A$200, "")&gt;0, "YES","NO"),"N/A")</f>
        <v>N/A</v>
      </c>
      <c r="H75" s="57" t="str">
        <f>_xlfn.IFS(E75="NO", "N/A", AND('BASIC INFO'!$B$3&gt;'BASIC INFO'!$B$6+6574.5, C75+730.5&lt;'BASIC INFO'!$B$3), "YES", 'BASIC INFO'!$B$3&lt;('BASIC INFO'!$B$6+6574.5), "NOT YET 18", C75+730.5&gt;'BASIC INFO'!$B$3, "NOT YET 2 YEARS")</f>
        <v>N/A</v>
      </c>
      <c r="I75" s="61" t="str">
        <f>IF(OR(AND(LEFT('CASE DATA'!F76,4)="321.",MID('CASE DATA'!A76,8,2)="SM"),MID('CASE DATA'!A76,8,2)="ST",MID('CASE DATA'!A76,8,2)="NT"),"TRAFFIC",IF(OR('CASE DATA'!G76="DISM", 'CASE DATA'!G76="ACQ", 'CASE DATA'!G76="NOTF", 'CASE DATA'!G76="WTHD", 'CASE DATA'!G76="TNSF"), "YES", "NO"))</f>
        <v>NO</v>
      </c>
      <c r="J75" s="62" t="str">
        <f>IF(I75="YES",'CASE DATA'!T76,"N/A")</f>
        <v>N/A</v>
      </c>
      <c r="K75" s="57" t="str">
        <f>IF(I75="YES",IF(C75+180&lt;'BASIC INFO'!$B$3, "YES", "NO"),"N/A")</f>
        <v>N/A</v>
      </c>
      <c r="L75" s="62" t="str">
        <f t="array" ref="L75">IF(I75="TRAFFIC","n/a",IF(OR('CASE DATA'!G76="GTR", 'CASE DATA'!G76="GPL"),IF(SUM(COUNTIF('CASE DATA'!W76:AH76, 'CODE SECTIONS'!$V$2:$V$218&amp;"*"))&gt;0,"felony","eligible"),"n/a"))</f>
        <v>n/a</v>
      </c>
      <c r="M75" s="62" t="str">
        <f t="array" ref="M75">IF(L75="eligible",IF(OR((SUM(COUNTIF('CASE DATA'!W76:AH76,'CODE SECTIONS'!$X$2:$X$19&amp;"*"))&gt;0),LEFT('CASE DATA'!W76:AH76,4)="717C", LEFT('CASE DATA'!W76:AH76, 3)="719", LEFT('CASE DATA'!W76:AH76,3)="720", LEFT('CASE DATA'!W76:AH76,3)="724", LEFT('CASE DATA'!W76:AH76,3)="726", LEFT('CASE DATA'!W76:AH76,3)="728", LEFT('CASE DATA'!W76:AH76,4)="901A"), "ineligible misd","eligible"),"n/a")</f>
        <v>n/a</v>
      </c>
      <c r="N75" s="62" t="str">
        <f>IF(M75="eligible",IF(COUNTIF('CASE DATA'!$D$4:$D$200, "")-COUNTIF('CASE DATA'!$A$4:$A$200, "")&gt;0, "YES","NO"),"N/A")</f>
        <v>N/A</v>
      </c>
      <c r="O75" s="62" t="str">
        <f>IF(M75="eligible",BANKRUPTCY!C76+BANKRUPTCY!D76,"N/A")</f>
        <v>N/A</v>
      </c>
      <c r="P75" s="62" t="str">
        <f>IF(M75="eligible",SOL!C76+SOL!D76+SOL!E76,"N/A")</f>
        <v>N/A</v>
      </c>
      <c r="Q75" s="62" t="str">
        <f>IF(M75="eligible",SUM('CASE DATA'!J76:S76),"N/A")</f>
        <v>N/A</v>
      </c>
      <c r="R75" s="62" t="str">
        <f>IF(M75="eligible",IF(C75+2920&lt;'BASIC INFO'!$B$3, "YES", "NO"),"N/A")</f>
        <v>N/A</v>
      </c>
      <c r="S75" s="61" t="str">
        <f>IF(OR('CASE DATA'!G76="DEF"), "YES", "NO")</f>
        <v>NO</v>
      </c>
      <c r="T75" s="57" t="str">
        <f>IF(S75="YES",'CASE DATA'!I76,"N/A")</f>
        <v>N/A</v>
      </c>
      <c r="U75" s="62" t="str">
        <f>IF(S75="YES",BANKRUPTCY!C76+BANKRUPTCY!D76,"N/A")</f>
        <v>N/A</v>
      </c>
      <c r="V75" s="62" t="str">
        <f>IF(S75="YES",SUM('CASE DATA'!J76:S76),"N/A")</f>
        <v>N/A</v>
      </c>
      <c r="W75" s="57" t="str">
        <f>IF(OR('CASE DATA'!F76="123.46",'CASE DATA'!F76="123.47"),"YES","NO")</f>
        <v>NO</v>
      </c>
      <c r="X75" s="60" t="str">
        <f>IF(W75="YES",COUNTIFS(AD$3:$AD$200,"&gt;"&amp;('CASE DATA'!D76),$AD$3:$AD$200,"&lt;"&amp;('CASE DATA'!D76+730.5)),"n/a")</f>
        <v>n/a</v>
      </c>
      <c r="Y75" s="62" t="str">
        <f>IF(W75="YES",IF(C75+730.5&lt;'BASIC INFO'!$B$3, "YES","NO"), "N/A")</f>
        <v>N/A</v>
      </c>
      <c r="Z75" s="57" t="str">
        <f>IF('CASE DATA'!F76="725.1","YES","NO")</f>
        <v>NO</v>
      </c>
      <c r="AA75" s="57" t="str">
        <f>IF(Z75="YES",IF(C75+730.5&lt;'BASIC INFO'!$B$3, "YES","NO"), "N/A")</f>
        <v>N/A</v>
      </c>
      <c r="AB75" s="57" t="str">
        <f>IF('BASIC INFO'!$B$6+6574.5&gt;C75, "YES", "NO")</f>
        <v>YES</v>
      </c>
      <c r="AC75" s="57" t="str">
        <f>IF(Z75="YES",COUNTIFS(AD$3:$AD$200,"&gt;"&amp;('CASE DATA'!D76),$AD$3:$AD$200,"&lt;"&amp;('CASE DATA'!D76+730.5)),"n/a")</f>
        <v>n/a</v>
      </c>
    </row>
    <row r="76" spans="1:29" x14ac:dyDescent="0.25">
      <c r="A76" s="57" t="str">
        <f>IF('CASE DATA'!A77="","z",'CASE DATA'!A77)</f>
        <v>z</v>
      </c>
      <c r="B76" s="57" t="str">
        <f>IF('CASE DATA'!A77="","",'CASE DATA'!E77)</f>
        <v/>
      </c>
      <c r="C76" s="58">
        <f>'CASE DATA'!D77</f>
        <v>0</v>
      </c>
      <c r="D76" s="59" t="str">
        <f>IF('CASE DATA'!I77="YES",SUM('CASE DATA'!J77:P77),"n/a")</f>
        <v>n/a</v>
      </c>
      <c r="E76" s="60" t="str">
        <f>IF(OR('CASE DATA'!G77="JUV", 'CASE DATA'!G77="JWV"), "YES", "NO")</f>
        <v>NO</v>
      </c>
      <c r="F76" s="60" t="str">
        <f t="array" ref="F76">IF(E76="YES",IF(SUM(COUNTIF('CASE DATA'!$G$4:$G$200, {"GTR","GPL","DEF","JUV"}))&gt;0, "YES","NO"),"N/A")</f>
        <v>N/A</v>
      </c>
      <c r="G76" s="60" t="str">
        <f>IF(E76="YES",IF(COUNTIF('CASE DATA'!$D$4:$D$200, "")-COUNTIF('CASE DATA'!$A$4:$A$200, "")&gt;0, "YES","NO"),"N/A")</f>
        <v>N/A</v>
      </c>
      <c r="H76" s="57" t="str">
        <f>_xlfn.IFS(E76="NO", "N/A", AND('BASIC INFO'!$B$3&gt;'BASIC INFO'!$B$6+6574.5, C76+730.5&lt;'BASIC INFO'!$B$3), "YES", 'BASIC INFO'!$B$3&lt;('BASIC INFO'!$B$6+6574.5), "NOT YET 18", C76+730.5&gt;'BASIC INFO'!$B$3, "NOT YET 2 YEARS")</f>
        <v>N/A</v>
      </c>
      <c r="I76" s="61" t="str">
        <f>IF(OR(AND(LEFT('CASE DATA'!F77,4)="321.",MID('CASE DATA'!A77,8,2)="SM"),MID('CASE DATA'!A77,8,2)="ST",MID('CASE DATA'!A77,8,2)="NT"),"TRAFFIC",IF(OR('CASE DATA'!G77="DISM", 'CASE DATA'!G77="ACQ", 'CASE DATA'!G77="NOTF", 'CASE DATA'!G77="WTHD", 'CASE DATA'!G77="TNSF"), "YES", "NO"))</f>
        <v>NO</v>
      </c>
      <c r="J76" s="62" t="str">
        <f>IF(I76="YES",'CASE DATA'!T77,"N/A")</f>
        <v>N/A</v>
      </c>
      <c r="K76" s="57" t="str">
        <f>IF(I76="YES",IF(C76+180&lt;'BASIC INFO'!$B$3, "YES", "NO"),"N/A")</f>
        <v>N/A</v>
      </c>
      <c r="L76" s="62" t="str">
        <f t="array" ref="L76">IF(I76="TRAFFIC","n/a",IF(OR('CASE DATA'!G77="GTR", 'CASE DATA'!G77="GPL"),IF(SUM(COUNTIF('CASE DATA'!W77:AH77, 'CODE SECTIONS'!$V$2:$V$218&amp;"*"))&gt;0,"felony","eligible"),"n/a"))</f>
        <v>n/a</v>
      </c>
      <c r="M76" s="62" t="str">
        <f t="array" ref="M76">IF(L76="eligible",IF(OR((SUM(COUNTIF('CASE DATA'!W77:AH77,'CODE SECTIONS'!$X$2:$X$19&amp;"*"))&gt;0),LEFT('CASE DATA'!W77:AH77,4)="717C", LEFT('CASE DATA'!W77:AH77, 3)="719", LEFT('CASE DATA'!W77:AH77,3)="720", LEFT('CASE DATA'!W77:AH77,3)="724", LEFT('CASE DATA'!W77:AH77,3)="726", LEFT('CASE DATA'!W77:AH77,3)="728", LEFT('CASE DATA'!W77:AH77,4)="901A"), "ineligible misd","eligible"),"n/a")</f>
        <v>n/a</v>
      </c>
      <c r="N76" s="62" t="str">
        <f>IF(M76="eligible",IF(COUNTIF('CASE DATA'!$D$4:$D$200, "")-COUNTIF('CASE DATA'!$A$4:$A$200, "")&gt;0, "YES","NO"),"N/A")</f>
        <v>N/A</v>
      </c>
      <c r="O76" s="62" t="str">
        <f>IF(M76="eligible",BANKRUPTCY!C77+BANKRUPTCY!D77,"N/A")</f>
        <v>N/A</v>
      </c>
      <c r="P76" s="62" t="str">
        <f>IF(M76="eligible",SOL!C77+SOL!D77+SOL!E77,"N/A")</f>
        <v>N/A</v>
      </c>
      <c r="Q76" s="62" t="str">
        <f>IF(M76="eligible",SUM('CASE DATA'!J77:S77),"N/A")</f>
        <v>N/A</v>
      </c>
      <c r="R76" s="62" t="str">
        <f>IF(M76="eligible",IF(C76+2920&lt;'BASIC INFO'!$B$3, "YES", "NO"),"N/A")</f>
        <v>N/A</v>
      </c>
      <c r="S76" s="61" t="str">
        <f>IF(OR('CASE DATA'!G77="DEF"), "YES", "NO")</f>
        <v>NO</v>
      </c>
      <c r="T76" s="57" t="str">
        <f>IF(S76="YES",'CASE DATA'!I77,"N/A")</f>
        <v>N/A</v>
      </c>
      <c r="U76" s="62" t="str">
        <f>IF(S76="YES",BANKRUPTCY!C77+BANKRUPTCY!D77,"N/A")</f>
        <v>N/A</v>
      </c>
      <c r="V76" s="62" t="str">
        <f>IF(S76="YES",SUM('CASE DATA'!J77:S77),"N/A")</f>
        <v>N/A</v>
      </c>
      <c r="W76" s="57" t="str">
        <f>IF(OR('CASE DATA'!F77="123.46",'CASE DATA'!F77="123.47"),"YES","NO")</f>
        <v>NO</v>
      </c>
      <c r="X76" s="60" t="str">
        <f>IF(W76="YES",COUNTIFS(AD$3:$AD$200,"&gt;"&amp;('CASE DATA'!D77),$AD$3:$AD$200,"&lt;"&amp;('CASE DATA'!D77+730.5)),"n/a")</f>
        <v>n/a</v>
      </c>
      <c r="Y76" s="62" t="str">
        <f>IF(W76="YES",IF(C76+730.5&lt;'BASIC INFO'!$B$3, "YES","NO"), "N/A")</f>
        <v>N/A</v>
      </c>
      <c r="Z76" s="57" t="str">
        <f>IF('CASE DATA'!F77="725.1","YES","NO")</f>
        <v>NO</v>
      </c>
      <c r="AA76" s="57" t="str">
        <f>IF(Z76="YES",IF(C76+730.5&lt;'BASIC INFO'!$B$3, "YES","NO"), "N/A")</f>
        <v>N/A</v>
      </c>
      <c r="AB76" s="57" t="str">
        <f>IF('BASIC INFO'!$B$6+6574.5&gt;C76, "YES", "NO")</f>
        <v>YES</v>
      </c>
      <c r="AC76" s="57" t="str">
        <f>IF(Z76="YES",COUNTIFS(AD$3:$AD$200,"&gt;"&amp;('CASE DATA'!D77),$AD$3:$AD$200,"&lt;"&amp;('CASE DATA'!D77+730.5)),"n/a")</f>
        <v>n/a</v>
      </c>
    </row>
    <row r="77" spans="1:29" x14ac:dyDescent="0.25">
      <c r="A77" s="57" t="str">
        <f>IF('CASE DATA'!A78="","z",'CASE DATA'!A78)</f>
        <v>z</v>
      </c>
      <c r="B77" s="57" t="str">
        <f>IF('CASE DATA'!A78="","",'CASE DATA'!E78)</f>
        <v/>
      </c>
      <c r="C77" s="58">
        <f>'CASE DATA'!D78</f>
        <v>0</v>
      </c>
      <c r="D77" s="59" t="str">
        <f>IF('CASE DATA'!I78="YES",SUM('CASE DATA'!J78:P78),"n/a")</f>
        <v>n/a</v>
      </c>
      <c r="E77" s="60" t="str">
        <f>IF(OR('CASE DATA'!G78="JUV", 'CASE DATA'!G78="JWV"), "YES", "NO")</f>
        <v>NO</v>
      </c>
      <c r="F77" s="60" t="str">
        <f t="array" ref="F77">IF(E77="YES",IF(SUM(COUNTIF('CASE DATA'!$G$4:$G$200, {"GTR","GPL","DEF","JUV"}))&gt;0, "YES","NO"),"N/A")</f>
        <v>N/A</v>
      </c>
      <c r="G77" s="60" t="str">
        <f>IF(E77="YES",IF(COUNTIF('CASE DATA'!$D$4:$D$200, "")-COUNTIF('CASE DATA'!$A$4:$A$200, "")&gt;0, "YES","NO"),"N/A")</f>
        <v>N/A</v>
      </c>
      <c r="H77" s="57" t="str">
        <f>_xlfn.IFS(E77="NO", "N/A", AND('BASIC INFO'!$B$3&gt;'BASIC INFO'!$B$6+6574.5, C77+730.5&lt;'BASIC INFO'!$B$3), "YES", 'BASIC INFO'!$B$3&lt;('BASIC INFO'!$B$6+6574.5), "NOT YET 18", C77+730.5&gt;'BASIC INFO'!$B$3, "NOT YET 2 YEARS")</f>
        <v>N/A</v>
      </c>
      <c r="I77" s="61" t="str">
        <f>IF(OR(AND(LEFT('CASE DATA'!F78,4)="321.",MID('CASE DATA'!A78,8,2)="SM"),MID('CASE DATA'!A78,8,2)="ST",MID('CASE DATA'!A78,8,2)="NT"),"TRAFFIC",IF(OR('CASE DATA'!G78="DISM", 'CASE DATA'!G78="ACQ", 'CASE DATA'!G78="NOTF", 'CASE DATA'!G78="WTHD", 'CASE DATA'!G78="TNSF"), "YES", "NO"))</f>
        <v>NO</v>
      </c>
      <c r="J77" s="62" t="str">
        <f>IF(I77="YES",'CASE DATA'!T78,"N/A")</f>
        <v>N/A</v>
      </c>
      <c r="K77" s="57" t="str">
        <f>IF(I77="YES",IF(C77+180&lt;'BASIC INFO'!$B$3, "YES", "NO"),"N/A")</f>
        <v>N/A</v>
      </c>
      <c r="L77" s="62" t="str">
        <f t="array" ref="L77">IF(I77="TRAFFIC","n/a",IF(OR('CASE DATA'!G78="GTR", 'CASE DATA'!G78="GPL"),IF(SUM(COUNTIF('CASE DATA'!W78:AH78, 'CODE SECTIONS'!$V$2:$V$218&amp;"*"))&gt;0,"felony","eligible"),"n/a"))</f>
        <v>n/a</v>
      </c>
      <c r="M77" s="62" t="str">
        <f t="array" ref="M77">IF(L77="eligible",IF(OR((SUM(COUNTIF('CASE DATA'!W78:AH78,'CODE SECTIONS'!$X$2:$X$19&amp;"*"))&gt;0),LEFT('CASE DATA'!W78:AH78,4)="717C", LEFT('CASE DATA'!W78:AH78, 3)="719", LEFT('CASE DATA'!W78:AH78,3)="720", LEFT('CASE DATA'!W78:AH78,3)="724", LEFT('CASE DATA'!W78:AH78,3)="726", LEFT('CASE DATA'!W78:AH78,3)="728", LEFT('CASE DATA'!W78:AH78,4)="901A"), "ineligible misd","eligible"),"n/a")</f>
        <v>n/a</v>
      </c>
      <c r="N77" s="62" t="str">
        <f>IF(M77="eligible",IF(COUNTIF('CASE DATA'!$D$4:$D$200, "")-COUNTIF('CASE DATA'!$A$4:$A$200, "")&gt;0, "YES","NO"),"N/A")</f>
        <v>N/A</v>
      </c>
      <c r="O77" s="62" t="str">
        <f>IF(M77="eligible",BANKRUPTCY!C78+BANKRUPTCY!D78,"N/A")</f>
        <v>N/A</v>
      </c>
      <c r="P77" s="62" t="str">
        <f>IF(M77="eligible",SOL!C78+SOL!D78+SOL!E78,"N/A")</f>
        <v>N/A</v>
      </c>
      <c r="Q77" s="62" t="str">
        <f>IF(M77="eligible",SUM('CASE DATA'!J78:S78),"N/A")</f>
        <v>N/A</v>
      </c>
      <c r="R77" s="62" t="str">
        <f>IF(M77="eligible",IF(C77+2920&lt;'BASIC INFO'!$B$3, "YES", "NO"),"N/A")</f>
        <v>N/A</v>
      </c>
      <c r="S77" s="61" t="str">
        <f>IF(OR('CASE DATA'!G78="DEF"), "YES", "NO")</f>
        <v>NO</v>
      </c>
      <c r="T77" s="57" t="str">
        <f>IF(S77="YES",'CASE DATA'!I78,"N/A")</f>
        <v>N/A</v>
      </c>
      <c r="U77" s="62" t="str">
        <f>IF(S77="YES",BANKRUPTCY!C78+BANKRUPTCY!D78,"N/A")</f>
        <v>N/A</v>
      </c>
      <c r="V77" s="62" t="str">
        <f>IF(S77="YES",SUM('CASE DATA'!J78:S78),"N/A")</f>
        <v>N/A</v>
      </c>
      <c r="W77" s="57" t="str">
        <f>IF(OR('CASE DATA'!F78="123.46",'CASE DATA'!F78="123.47"),"YES","NO")</f>
        <v>NO</v>
      </c>
      <c r="X77" s="60" t="str">
        <f>IF(W77="YES",COUNTIFS(AD$3:$AD$200,"&gt;"&amp;('CASE DATA'!D78),$AD$3:$AD$200,"&lt;"&amp;('CASE DATA'!D78+730.5)),"n/a")</f>
        <v>n/a</v>
      </c>
      <c r="Y77" s="62" t="str">
        <f>IF(W77="YES",IF(C77+730.5&lt;'BASIC INFO'!$B$3, "YES","NO"), "N/A")</f>
        <v>N/A</v>
      </c>
      <c r="Z77" s="57" t="str">
        <f>IF('CASE DATA'!F78="725.1","YES","NO")</f>
        <v>NO</v>
      </c>
      <c r="AA77" s="57" t="str">
        <f>IF(Z77="YES",IF(C77+730.5&lt;'BASIC INFO'!$B$3, "YES","NO"), "N/A")</f>
        <v>N/A</v>
      </c>
      <c r="AB77" s="57" t="str">
        <f>IF('BASIC INFO'!$B$6+6574.5&gt;C77, "YES", "NO")</f>
        <v>YES</v>
      </c>
      <c r="AC77" s="57" t="str">
        <f>IF(Z77="YES",COUNTIFS(AD$3:$AD$200,"&gt;"&amp;('CASE DATA'!D78),$AD$3:$AD$200,"&lt;"&amp;('CASE DATA'!D78+730.5)),"n/a")</f>
        <v>n/a</v>
      </c>
    </row>
    <row r="78" spans="1:29" x14ac:dyDescent="0.25">
      <c r="A78" s="57" t="str">
        <f>IF('CASE DATA'!A79="","z",'CASE DATA'!A79)</f>
        <v>z</v>
      </c>
      <c r="B78" s="57" t="str">
        <f>IF('CASE DATA'!A79="","",'CASE DATA'!E79)</f>
        <v/>
      </c>
      <c r="C78" s="58">
        <f>'CASE DATA'!D79</f>
        <v>0</v>
      </c>
      <c r="D78" s="59" t="str">
        <f>IF('CASE DATA'!I79="YES",SUM('CASE DATA'!J79:P79),"n/a")</f>
        <v>n/a</v>
      </c>
      <c r="E78" s="60" t="str">
        <f>IF(OR('CASE DATA'!G79="JUV", 'CASE DATA'!G79="JWV"), "YES", "NO")</f>
        <v>NO</v>
      </c>
      <c r="F78" s="60" t="str">
        <f t="array" ref="F78">IF(E78="YES",IF(SUM(COUNTIF('CASE DATA'!$G$4:$G$200, {"GTR","GPL","DEF","JUV"}))&gt;0, "YES","NO"),"N/A")</f>
        <v>N/A</v>
      </c>
      <c r="G78" s="60" t="str">
        <f>IF(E78="YES",IF(COUNTIF('CASE DATA'!$D$4:$D$200, "")-COUNTIF('CASE DATA'!$A$4:$A$200, "")&gt;0, "YES","NO"),"N/A")</f>
        <v>N/A</v>
      </c>
      <c r="H78" s="57" t="str">
        <f>_xlfn.IFS(E78="NO", "N/A", AND('BASIC INFO'!$B$3&gt;'BASIC INFO'!$B$6+6574.5, C78+730.5&lt;'BASIC INFO'!$B$3), "YES", 'BASIC INFO'!$B$3&lt;('BASIC INFO'!$B$6+6574.5), "NOT YET 18", C78+730.5&gt;'BASIC INFO'!$B$3, "NOT YET 2 YEARS")</f>
        <v>N/A</v>
      </c>
      <c r="I78" s="61" t="str">
        <f>IF(OR(AND(LEFT('CASE DATA'!F79,4)="321.",MID('CASE DATA'!A79,8,2)="SM"),MID('CASE DATA'!A79,8,2)="ST",MID('CASE DATA'!A79,8,2)="NT"),"TRAFFIC",IF(OR('CASE DATA'!G79="DISM", 'CASE DATA'!G79="ACQ", 'CASE DATA'!G79="NOTF", 'CASE DATA'!G79="WTHD", 'CASE DATA'!G79="TNSF"), "YES", "NO"))</f>
        <v>NO</v>
      </c>
      <c r="J78" s="62" t="str">
        <f>IF(I78="YES",'CASE DATA'!T79,"N/A")</f>
        <v>N/A</v>
      </c>
      <c r="K78" s="57" t="str">
        <f>IF(I78="YES",IF(C78+180&lt;'BASIC INFO'!$B$3, "YES", "NO"),"N/A")</f>
        <v>N/A</v>
      </c>
      <c r="L78" s="62" t="str">
        <f t="array" ref="L78">IF(I78="TRAFFIC","n/a",IF(OR('CASE DATA'!G79="GTR", 'CASE DATA'!G79="GPL"),IF(SUM(COUNTIF('CASE DATA'!W79:AH79, 'CODE SECTIONS'!$V$2:$V$218&amp;"*"))&gt;0,"felony","eligible"),"n/a"))</f>
        <v>n/a</v>
      </c>
      <c r="M78" s="62" t="str">
        <f t="array" ref="M78">IF(L78="eligible",IF(OR((SUM(COUNTIF('CASE DATA'!W79:AH79,'CODE SECTIONS'!$X$2:$X$19&amp;"*"))&gt;0),LEFT('CASE DATA'!W79:AH79,4)="717C", LEFT('CASE DATA'!W79:AH79, 3)="719", LEFT('CASE DATA'!W79:AH79,3)="720", LEFT('CASE DATA'!W79:AH79,3)="724", LEFT('CASE DATA'!W79:AH79,3)="726", LEFT('CASE DATA'!W79:AH79,3)="728", LEFT('CASE DATA'!W79:AH79,4)="901A"), "ineligible misd","eligible"),"n/a")</f>
        <v>n/a</v>
      </c>
      <c r="N78" s="62" t="str">
        <f>IF(M78="eligible",IF(COUNTIF('CASE DATA'!$D$4:$D$200, "")-COUNTIF('CASE DATA'!$A$4:$A$200, "")&gt;0, "YES","NO"),"N/A")</f>
        <v>N/A</v>
      </c>
      <c r="O78" s="62" t="str">
        <f>IF(M78="eligible",BANKRUPTCY!C79+BANKRUPTCY!D79,"N/A")</f>
        <v>N/A</v>
      </c>
      <c r="P78" s="62" t="str">
        <f>IF(M78="eligible",SOL!C79+SOL!D79+SOL!E79,"N/A")</f>
        <v>N/A</v>
      </c>
      <c r="Q78" s="62" t="str">
        <f>IF(M78="eligible",SUM('CASE DATA'!J79:S79),"N/A")</f>
        <v>N/A</v>
      </c>
      <c r="R78" s="62" t="str">
        <f>IF(M78="eligible",IF(C78+2920&lt;'BASIC INFO'!$B$3, "YES", "NO"),"N/A")</f>
        <v>N/A</v>
      </c>
      <c r="S78" s="61" t="str">
        <f>IF(OR('CASE DATA'!G79="DEF"), "YES", "NO")</f>
        <v>NO</v>
      </c>
      <c r="T78" s="57" t="str">
        <f>IF(S78="YES",'CASE DATA'!I79,"N/A")</f>
        <v>N/A</v>
      </c>
      <c r="U78" s="62" t="str">
        <f>IF(S78="YES",BANKRUPTCY!C79+BANKRUPTCY!D79,"N/A")</f>
        <v>N/A</v>
      </c>
      <c r="V78" s="62" t="str">
        <f>IF(S78="YES",SUM('CASE DATA'!J79:S79),"N/A")</f>
        <v>N/A</v>
      </c>
      <c r="W78" s="57" t="str">
        <f>IF(OR('CASE DATA'!F79="123.46",'CASE DATA'!F79="123.47"),"YES","NO")</f>
        <v>NO</v>
      </c>
      <c r="X78" s="60" t="str">
        <f>IF(W78="YES",COUNTIFS(AD$3:$AD$200,"&gt;"&amp;('CASE DATA'!D79),$AD$3:$AD$200,"&lt;"&amp;('CASE DATA'!D79+730.5)),"n/a")</f>
        <v>n/a</v>
      </c>
      <c r="Y78" s="62" t="str">
        <f>IF(W78="YES",IF(C78+730.5&lt;'BASIC INFO'!$B$3, "YES","NO"), "N/A")</f>
        <v>N/A</v>
      </c>
      <c r="Z78" s="57" t="str">
        <f>IF('CASE DATA'!F79="725.1","YES","NO")</f>
        <v>NO</v>
      </c>
      <c r="AA78" s="57" t="str">
        <f>IF(Z78="YES",IF(C78+730.5&lt;'BASIC INFO'!$B$3, "YES","NO"), "N/A")</f>
        <v>N/A</v>
      </c>
      <c r="AB78" s="57" t="str">
        <f>IF('BASIC INFO'!$B$6+6574.5&gt;C78, "YES", "NO")</f>
        <v>YES</v>
      </c>
      <c r="AC78" s="57" t="str">
        <f>IF(Z78="YES",COUNTIFS(AD$3:$AD$200,"&gt;"&amp;('CASE DATA'!D79),$AD$3:$AD$200,"&lt;"&amp;('CASE DATA'!D79+730.5)),"n/a")</f>
        <v>n/a</v>
      </c>
    </row>
    <row r="79" spans="1:29" x14ac:dyDescent="0.25">
      <c r="A79" s="57" t="str">
        <f>IF('CASE DATA'!A80="","z",'CASE DATA'!A80)</f>
        <v>z</v>
      </c>
      <c r="B79" s="57" t="str">
        <f>IF('CASE DATA'!A80="","",'CASE DATA'!E80)</f>
        <v/>
      </c>
      <c r="C79" s="58">
        <f>'CASE DATA'!D80</f>
        <v>0</v>
      </c>
      <c r="D79" s="59" t="str">
        <f>IF('CASE DATA'!I80="YES",SUM('CASE DATA'!J80:P80),"n/a")</f>
        <v>n/a</v>
      </c>
      <c r="E79" s="60" t="str">
        <f>IF(OR('CASE DATA'!G80="JUV", 'CASE DATA'!G80="JWV"), "YES", "NO")</f>
        <v>NO</v>
      </c>
      <c r="F79" s="60" t="str">
        <f t="array" ref="F79">IF(E79="YES",IF(SUM(COUNTIF('CASE DATA'!$G$4:$G$200, {"GTR","GPL","DEF","JUV"}))&gt;0, "YES","NO"),"N/A")</f>
        <v>N/A</v>
      </c>
      <c r="G79" s="60" t="str">
        <f>IF(E79="YES",IF(COUNTIF('CASE DATA'!$D$4:$D$200, "")-COUNTIF('CASE DATA'!$A$4:$A$200, "")&gt;0, "YES","NO"),"N/A")</f>
        <v>N/A</v>
      </c>
      <c r="H79" s="57" t="str">
        <f>_xlfn.IFS(E79="NO", "N/A", AND('BASIC INFO'!$B$3&gt;'BASIC INFO'!$B$6+6574.5, C79+730.5&lt;'BASIC INFO'!$B$3), "YES", 'BASIC INFO'!$B$3&lt;('BASIC INFO'!$B$6+6574.5), "NOT YET 18", C79+730.5&gt;'BASIC INFO'!$B$3, "NOT YET 2 YEARS")</f>
        <v>N/A</v>
      </c>
      <c r="I79" s="61" t="str">
        <f>IF(OR(AND(LEFT('CASE DATA'!F80,4)="321.",MID('CASE DATA'!A80,8,2)="SM"),MID('CASE DATA'!A80,8,2)="ST",MID('CASE DATA'!A80,8,2)="NT"),"TRAFFIC",IF(OR('CASE DATA'!G80="DISM", 'CASE DATA'!G80="ACQ", 'CASE DATA'!G80="NOTF", 'CASE DATA'!G80="WTHD", 'CASE DATA'!G80="TNSF"), "YES", "NO"))</f>
        <v>NO</v>
      </c>
      <c r="J79" s="62" t="str">
        <f>IF(I79="YES",'CASE DATA'!T80,"N/A")</f>
        <v>N/A</v>
      </c>
      <c r="K79" s="57" t="str">
        <f>IF(I79="YES",IF(C79+180&lt;'BASIC INFO'!$B$3, "YES", "NO"),"N/A")</f>
        <v>N/A</v>
      </c>
      <c r="L79" s="62" t="str">
        <f t="array" ref="L79">IF(I79="TRAFFIC","n/a",IF(OR('CASE DATA'!G80="GTR", 'CASE DATA'!G80="GPL"),IF(SUM(COUNTIF('CASE DATA'!W80:AH80, 'CODE SECTIONS'!$V$2:$V$218&amp;"*"))&gt;0,"felony","eligible"),"n/a"))</f>
        <v>n/a</v>
      </c>
      <c r="M79" s="62" t="str">
        <f t="array" ref="M79">IF(L79="eligible",IF(OR((SUM(COUNTIF('CASE DATA'!W80:AH80,'CODE SECTIONS'!$X$2:$X$19&amp;"*"))&gt;0),LEFT('CASE DATA'!W80:AH80,4)="717C", LEFT('CASE DATA'!W80:AH80, 3)="719", LEFT('CASE DATA'!W80:AH80,3)="720", LEFT('CASE DATA'!W80:AH80,3)="724", LEFT('CASE DATA'!W80:AH80,3)="726", LEFT('CASE DATA'!W80:AH80,3)="728", LEFT('CASE DATA'!W80:AH80,4)="901A"), "ineligible misd","eligible"),"n/a")</f>
        <v>n/a</v>
      </c>
      <c r="N79" s="62" t="str">
        <f>IF(M79="eligible",IF(COUNTIF('CASE DATA'!$D$4:$D$200, "")-COUNTIF('CASE DATA'!$A$4:$A$200, "")&gt;0, "YES","NO"),"N/A")</f>
        <v>N/A</v>
      </c>
      <c r="O79" s="62" t="str">
        <f>IF(M79="eligible",BANKRUPTCY!C80+BANKRUPTCY!D80,"N/A")</f>
        <v>N/A</v>
      </c>
      <c r="P79" s="62" t="str">
        <f>IF(M79="eligible",SOL!C80+SOL!D80+SOL!E80,"N/A")</f>
        <v>N/A</v>
      </c>
      <c r="Q79" s="62" t="str">
        <f>IF(M79="eligible",SUM('CASE DATA'!J80:S80),"N/A")</f>
        <v>N/A</v>
      </c>
      <c r="R79" s="62" t="str">
        <f>IF(M79="eligible",IF(C79+2920&lt;'BASIC INFO'!$B$3, "YES", "NO"),"N/A")</f>
        <v>N/A</v>
      </c>
      <c r="S79" s="61" t="str">
        <f>IF(OR('CASE DATA'!G80="DEF"), "YES", "NO")</f>
        <v>NO</v>
      </c>
      <c r="T79" s="57" t="str">
        <f>IF(S79="YES",'CASE DATA'!I80,"N/A")</f>
        <v>N/A</v>
      </c>
      <c r="U79" s="62" t="str">
        <f>IF(S79="YES",BANKRUPTCY!C80+BANKRUPTCY!D80,"N/A")</f>
        <v>N/A</v>
      </c>
      <c r="V79" s="62" t="str">
        <f>IF(S79="YES",SUM('CASE DATA'!J80:S80),"N/A")</f>
        <v>N/A</v>
      </c>
      <c r="W79" s="57" t="str">
        <f>IF(OR('CASE DATA'!F80="123.46",'CASE DATA'!F80="123.47"),"YES","NO")</f>
        <v>NO</v>
      </c>
      <c r="X79" s="60" t="str">
        <f>IF(W79="YES",COUNTIFS(AD$3:$AD$200,"&gt;"&amp;('CASE DATA'!D80),$AD$3:$AD$200,"&lt;"&amp;('CASE DATA'!D80+730.5)),"n/a")</f>
        <v>n/a</v>
      </c>
      <c r="Y79" s="62" t="str">
        <f>IF(W79="YES",IF(C79+730.5&lt;'BASIC INFO'!$B$3, "YES","NO"), "N/A")</f>
        <v>N/A</v>
      </c>
      <c r="Z79" s="57" t="str">
        <f>IF('CASE DATA'!F80="725.1","YES","NO")</f>
        <v>NO</v>
      </c>
      <c r="AA79" s="57" t="str">
        <f>IF(Z79="YES",IF(C79+730.5&lt;'BASIC INFO'!$B$3, "YES","NO"), "N/A")</f>
        <v>N/A</v>
      </c>
      <c r="AB79" s="57" t="str">
        <f>IF('BASIC INFO'!$B$6+6574.5&gt;C79, "YES", "NO")</f>
        <v>YES</v>
      </c>
      <c r="AC79" s="57" t="str">
        <f>IF(Z79="YES",COUNTIFS(AD$3:$AD$200,"&gt;"&amp;('CASE DATA'!D80),$AD$3:$AD$200,"&lt;"&amp;('CASE DATA'!D80+730.5)),"n/a")</f>
        <v>n/a</v>
      </c>
    </row>
    <row r="80" spans="1:29" x14ac:dyDescent="0.25">
      <c r="A80" s="57" t="str">
        <f>IF('CASE DATA'!A81="","z",'CASE DATA'!A81)</f>
        <v>z</v>
      </c>
      <c r="B80" s="57" t="str">
        <f>IF('CASE DATA'!A81="","",'CASE DATA'!E81)</f>
        <v/>
      </c>
      <c r="C80" s="58">
        <f>'CASE DATA'!D81</f>
        <v>0</v>
      </c>
      <c r="D80" s="59" t="str">
        <f>IF('CASE DATA'!I81="YES",SUM('CASE DATA'!J81:P81),"n/a")</f>
        <v>n/a</v>
      </c>
      <c r="E80" s="60" t="str">
        <f>IF(OR('CASE DATA'!G81="JUV", 'CASE DATA'!G81="JWV"), "YES", "NO")</f>
        <v>NO</v>
      </c>
      <c r="F80" s="60" t="str">
        <f t="array" ref="F80">IF(E80="YES",IF(SUM(COUNTIF('CASE DATA'!$G$4:$G$200, {"GTR","GPL","DEF","JUV"}))&gt;0, "YES","NO"),"N/A")</f>
        <v>N/A</v>
      </c>
      <c r="G80" s="60" t="str">
        <f>IF(E80="YES",IF(COUNTIF('CASE DATA'!$D$4:$D$200, "")-COUNTIF('CASE DATA'!$A$4:$A$200, "")&gt;0, "YES","NO"),"N/A")</f>
        <v>N/A</v>
      </c>
      <c r="H80" s="57" t="str">
        <f>_xlfn.IFS(E80="NO", "N/A", AND('BASIC INFO'!$B$3&gt;'BASIC INFO'!$B$6+6574.5, C80+730.5&lt;'BASIC INFO'!$B$3), "YES", 'BASIC INFO'!$B$3&lt;('BASIC INFO'!$B$6+6574.5), "NOT YET 18", C80+730.5&gt;'BASIC INFO'!$B$3, "NOT YET 2 YEARS")</f>
        <v>N/A</v>
      </c>
      <c r="I80" s="61" t="str">
        <f>IF(OR(AND(LEFT('CASE DATA'!F81,4)="321.",MID('CASE DATA'!A81,8,2)="SM"),MID('CASE DATA'!A81,8,2)="ST",MID('CASE DATA'!A81,8,2)="NT"),"TRAFFIC",IF(OR('CASE DATA'!G81="DISM", 'CASE DATA'!G81="ACQ", 'CASE DATA'!G81="NOTF", 'CASE DATA'!G81="WTHD", 'CASE DATA'!G81="TNSF"), "YES", "NO"))</f>
        <v>NO</v>
      </c>
      <c r="J80" s="62" t="str">
        <f>IF(I80="YES",'CASE DATA'!T81,"N/A")</f>
        <v>N/A</v>
      </c>
      <c r="K80" s="57" t="str">
        <f>IF(I80="YES",IF(C80+180&lt;'BASIC INFO'!$B$3, "YES", "NO"),"N/A")</f>
        <v>N/A</v>
      </c>
      <c r="L80" s="62" t="str">
        <f t="array" ref="L80">IF(I80="TRAFFIC","n/a",IF(OR('CASE DATA'!G81="GTR", 'CASE DATA'!G81="GPL"),IF(SUM(COUNTIF('CASE DATA'!W81:AH81, 'CODE SECTIONS'!$V$2:$V$218&amp;"*"))&gt;0,"felony","eligible"),"n/a"))</f>
        <v>n/a</v>
      </c>
      <c r="M80" s="62" t="str">
        <f t="array" ref="M80">IF(L80="eligible",IF(OR((SUM(COUNTIF('CASE DATA'!W81:AH81,'CODE SECTIONS'!$X$2:$X$19&amp;"*"))&gt;0),LEFT('CASE DATA'!W81:AH81,4)="717C", LEFT('CASE DATA'!W81:AH81, 3)="719", LEFT('CASE DATA'!W81:AH81,3)="720", LEFT('CASE DATA'!W81:AH81,3)="724", LEFT('CASE DATA'!W81:AH81,3)="726", LEFT('CASE DATA'!W81:AH81,3)="728", LEFT('CASE DATA'!W81:AH81,4)="901A"), "ineligible misd","eligible"),"n/a")</f>
        <v>n/a</v>
      </c>
      <c r="N80" s="62" t="str">
        <f>IF(M80="eligible",IF(COUNTIF('CASE DATA'!$D$4:$D$200, "")-COUNTIF('CASE DATA'!$A$4:$A$200, "")&gt;0, "YES","NO"),"N/A")</f>
        <v>N/A</v>
      </c>
      <c r="O80" s="62" t="str">
        <f>IF(M80="eligible",BANKRUPTCY!C81+BANKRUPTCY!D81,"N/A")</f>
        <v>N/A</v>
      </c>
      <c r="P80" s="62" t="str">
        <f>IF(M80="eligible",SOL!C81+SOL!D81+SOL!E81,"N/A")</f>
        <v>N/A</v>
      </c>
      <c r="Q80" s="62" t="str">
        <f>IF(M80="eligible",SUM('CASE DATA'!J81:S81),"N/A")</f>
        <v>N/A</v>
      </c>
      <c r="R80" s="62" t="str">
        <f>IF(M80="eligible",IF(C80+2920&lt;'BASIC INFO'!$B$3, "YES", "NO"),"N/A")</f>
        <v>N/A</v>
      </c>
      <c r="S80" s="61" t="str">
        <f>IF(OR('CASE DATA'!G81="DEF"), "YES", "NO")</f>
        <v>NO</v>
      </c>
      <c r="T80" s="57" t="str">
        <f>IF(S80="YES",'CASE DATA'!I81,"N/A")</f>
        <v>N/A</v>
      </c>
      <c r="U80" s="62" t="str">
        <f>IF(S80="YES",BANKRUPTCY!C81+BANKRUPTCY!D81,"N/A")</f>
        <v>N/A</v>
      </c>
      <c r="V80" s="62" t="str">
        <f>IF(S80="YES",SUM('CASE DATA'!J81:S81),"N/A")</f>
        <v>N/A</v>
      </c>
      <c r="W80" s="57" t="str">
        <f>IF(OR('CASE DATA'!F81="123.46",'CASE DATA'!F81="123.47"),"YES","NO")</f>
        <v>NO</v>
      </c>
      <c r="X80" s="60" t="str">
        <f>IF(W80="YES",COUNTIFS(AD$3:$AD$200,"&gt;"&amp;('CASE DATA'!D81),$AD$3:$AD$200,"&lt;"&amp;('CASE DATA'!D81+730.5)),"n/a")</f>
        <v>n/a</v>
      </c>
      <c r="Y80" s="62" t="str">
        <f>IF(W80="YES",IF(C80+730.5&lt;'BASIC INFO'!$B$3, "YES","NO"), "N/A")</f>
        <v>N/A</v>
      </c>
      <c r="Z80" s="57" t="str">
        <f>IF('CASE DATA'!F81="725.1","YES","NO")</f>
        <v>NO</v>
      </c>
      <c r="AA80" s="57" t="str">
        <f>IF(Z80="YES",IF(C80+730.5&lt;'BASIC INFO'!$B$3, "YES","NO"), "N/A")</f>
        <v>N/A</v>
      </c>
      <c r="AB80" s="57" t="str">
        <f>IF('BASIC INFO'!$B$6+6574.5&gt;C80, "YES", "NO")</f>
        <v>YES</v>
      </c>
      <c r="AC80" s="57" t="str">
        <f>IF(Z80="YES",COUNTIFS(AD$3:$AD$200,"&gt;"&amp;('CASE DATA'!D81),$AD$3:$AD$200,"&lt;"&amp;('CASE DATA'!D81+730.5)),"n/a")</f>
        <v>n/a</v>
      </c>
    </row>
    <row r="81" spans="1:29" x14ac:dyDescent="0.25">
      <c r="A81" s="57" t="str">
        <f>IF('CASE DATA'!A82="","z",'CASE DATA'!A82)</f>
        <v>z</v>
      </c>
      <c r="B81" s="57" t="str">
        <f>IF('CASE DATA'!A82="","",'CASE DATA'!E82)</f>
        <v/>
      </c>
      <c r="C81" s="58">
        <f>'CASE DATA'!D82</f>
        <v>0</v>
      </c>
      <c r="D81" s="59" t="str">
        <f>IF('CASE DATA'!I82="YES",SUM('CASE DATA'!J82:P82),"n/a")</f>
        <v>n/a</v>
      </c>
      <c r="E81" s="60" t="str">
        <f>IF(OR('CASE DATA'!G82="JUV", 'CASE DATA'!G82="JWV"), "YES", "NO")</f>
        <v>NO</v>
      </c>
      <c r="F81" s="60" t="str">
        <f t="array" ref="F81">IF(E81="YES",IF(SUM(COUNTIF('CASE DATA'!$G$4:$G$200, {"GTR","GPL","DEF","JUV"}))&gt;0, "YES","NO"),"N/A")</f>
        <v>N/A</v>
      </c>
      <c r="G81" s="60" t="str">
        <f>IF(E81="YES",IF(COUNTIF('CASE DATA'!$D$4:$D$200, "")-COUNTIF('CASE DATA'!$A$4:$A$200, "")&gt;0, "YES","NO"),"N/A")</f>
        <v>N/A</v>
      </c>
      <c r="H81" s="57" t="str">
        <f>_xlfn.IFS(E81="NO", "N/A", AND('BASIC INFO'!$B$3&gt;'BASIC INFO'!$B$6+6574.5, C81+730.5&lt;'BASIC INFO'!$B$3), "YES", 'BASIC INFO'!$B$3&lt;('BASIC INFO'!$B$6+6574.5), "NOT YET 18", C81+730.5&gt;'BASIC INFO'!$B$3, "NOT YET 2 YEARS")</f>
        <v>N/A</v>
      </c>
      <c r="I81" s="61" t="str">
        <f>IF(OR(AND(LEFT('CASE DATA'!F82,4)="321.",MID('CASE DATA'!A82,8,2)="SM"),MID('CASE DATA'!A82,8,2)="ST",MID('CASE DATA'!A82,8,2)="NT"),"TRAFFIC",IF(OR('CASE DATA'!G82="DISM", 'CASE DATA'!G82="ACQ", 'CASE DATA'!G82="NOTF", 'CASE DATA'!G82="WTHD", 'CASE DATA'!G82="TNSF"), "YES", "NO"))</f>
        <v>NO</v>
      </c>
      <c r="J81" s="62" t="str">
        <f>IF(I81="YES",'CASE DATA'!T82,"N/A")</f>
        <v>N/A</v>
      </c>
      <c r="K81" s="57" t="str">
        <f>IF(I81="YES",IF(C81+180&lt;'BASIC INFO'!$B$3, "YES", "NO"),"N/A")</f>
        <v>N/A</v>
      </c>
      <c r="L81" s="62" t="str">
        <f t="array" ref="L81">IF(I81="TRAFFIC","n/a",IF(OR('CASE DATA'!G82="GTR", 'CASE DATA'!G82="GPL"),IF(SUM(COUNTIF('CASE DATA'!W82:AH82, 'CODE SECTIONS'!$V$2:$V$218&amp;"*"))&gt;0,"felony","eligible"),"n/a"))</f>
        <v>n/a</v>
      </c>
      <c r="M81" s="62" t="str">
        <f t="array" ref="M81">IF(L81="eligible",IF(OR((SUM(COUNTIF('CASE DATA'!W82:AH82,'CODE SECTIONS'!$X$2:$X$19&amp;"*"))&gt;0),LEFT('CASE DATA'!W82:AH82,4)="717C", LEFT('CASE DATA'!W82:AH82, 3)="719", LEFT('CASE DATA'!W82:AH82,3)="720", LEFT('CASE DATA'!W82:AH82,3)="724", LEFT('CASE DATA'!W82:AH82,3)="726", LEFT('CASE DATA'!W82:AH82,3)="728", LEFT('CASE DATA'!W82:AH82,4)="901A"), "ineligible misd","eligible"),"n/a")</f>
        <v>n/a</v>
      </c>
      <c r="N81" s="62" t="str">
        <f>IF(M81="eligible",IF(COUNTIF('CASE DATA'!$D$4:$D$200, "")-COUNTIF('CASE DATA'!$A$4:$A$200, "")&gt;0, "YES","NO"),"N/A")</f>
        <v>N/A</v>
      </c>
      <c r="O81" s="62" t="str">
        <f>IF(M81="eligible",BANKRUPTCY!C82+BANKRUPTCY!D82,"N/A")</f>
        <v>N/A</v>
      </c>
      <c r="P81" s="62" t="str">
        <f>IF(M81="eligible",SOL!C82+SOL!D82+SOL!E82,"N/A")</f>
        <v>N/A</v>
      </c>
      <c r="Q81" s="62" t="str">
        <f>IF(M81="eligible",SUM('CASE DATA'!J82:S82),"N/A")</f>
        <v>N/A</v>
      </c>
      <c r="R81" s="62" t="str">
        <f>IF(M81="eligible",IF(C81+2920&lt;'BASIC INFO'!$B$3, "YES", "NO"),"N/A")</f>
        <v>N/A</v>
      </c>
      <c r="S81" s="61" t="str">
        <f>IF(OR('CASE DATA'!G82="DEF"), "YES", "NO")</f>
        <v>NO</v>
      </c>
      <c r="T81" s="57" t="str">
        <f>IF(S81="YES",'CASE DATA'!I82,"N/A")</f>
        <v>N/A</v>
      </c>
      <c r="U81" s="62" t="str">
        <f>IF(S81="YES",BANKRUPTCY!C82+BANKRUPTCY!D82,"N/A")</f>
        <v>N/A</v>
      </c>
      <c r="V81" s="62" t="str">
        <f>IF(S81="YES",SUM('CASE DATA'!J82:S82),"N/A")</f>
        <v>N/A</v>
      </c>
      <c r="W81" s="57" t="str">
        <f>IF(OR('CASE DATA'!F82="123.46",'CASE DATA'!F82="123.47"),"YES","NO")</f>
        <v>NO</v>
      </c>
      <c r="X81" s="60" t="str">
        <f>IF(W81="YES",COUNTIFS(AD$3:$AD$200,"&gt;"&amp;('CASE DATA'!D82),$AD$3:$AD$200,"&lt;"&amp;('CASE DATA'!D82+730.5)),"n/a")</f>
        <v>n/a</v>
      </c>
      <c r="Y81" s="62" t="str">
        <f>IF(W81="YES",IF(C81+730.5&lt;'BASIC INFO'!$B$3, "YES","NO"), "N/A")</f>
        <v>N/A</v>
      </c>
      <c r="Z81" s="57" t="str">
        <f>IF('CASE DATA'!F82="725.1","YES","NO")</f>
        <v>NO</v>
      </c>
      <c r="AA81" s="57" t="str">
        <f>IF(Z81="YES",IF(C81+730.5&lt;'BASIC INFO'!$B$3, "YES","NO"), "N/A")</f>
        <v>N/A</v>
      </c>
      <c r="AB81" s="57" t="str">
        <f>IF('BASIC INFO'!$B$6+6574.5&gt;C81, "YES", "NO")</f>
        <v>YES</v>
      </c>
      <c r="AC81" s="57" t="str">
        <f>IF(Z81="YES",COUNTIFS(AD$3:$AD$200,"&gt;"&amp;('CASE DATA'!D82),$AD$3:$AD$200,"&lt;"&amp;('CASE DATA'!D82+730.5)),"n/a")</f>
        <v>n/a</v>
      </c>
    </row>
    <row r="82" spans="1:29" x14ac:dyDescent="0.25">
      <c r="A82" s="57" t="str">
        <f>IF('CASE DATA'!A83="","z",'CASE DATA'!A83)</f>
        <v>z</v>
      </c>
      <c r="B82" s="57" t="str">
        <f>IF('CASE DATA'!A83="","",'CASE DATA'!E83)</f>
        <v/>
      </c>
      <c r="C82" s="58">
        <f>'CASE DATA'!D83</f>
        <v>0</v>
      </c>
      <c r="D82" s="59" t="str">
        <f>IF('CASE DATA'!I83="YES",SUM('CASE DATA'!J83:P83),"n/a")</f>
        <v>n/a</v>
      </c>
      <c r="E82" s="60" t="str">
        <f>IF(OR('CASE DATA'!G83="JUV", 'CASE DATA'!G83="JWV"), "YES", "NO")</f>
        <v>NO</v>
      </c>
      <c r="F82" s="60" t="str">
        <f t="array" ref="F82">IF(E82="YES",IF(SUM(COUNTIF('CASE DATA'!$G$4:$G$200, {"GTR","GPL","DEF","JUV"}))&gt;0, "YES","NO"),"N/A")</f>
        <v>N/A</v>
      </c>
      <c r="G82" s="60" t="str">
        <f>IF(E82="YES",IF(COUNTIF('CASE DATA'!$D$4:$D$200, "")-COUNTIF('CASE DATA'!$A$4:$A$200, "")&gt;0, "YES","NO"),"N/A")</f>
        <v>N/A</v>
      </c>
      <c r="H82" s="57" t="str">
        <f>_xlfn.IFS(E82="NO", "N/A", AND('BASIC INFO'!$B$3&gt;'BASIC INFO'!$B$6+6574.5, C82+730.5&lt;'BASIC INFO'!$B$3), "YES", 'BASIC INFO'!$B$3&lt;('BASIC INFO'!$B$6+6574.5), "NOT YET 18", C82+730.5&gt;'BASIC INFO'!$B$3, "NOT YET 2 YEARS")</f>
        <v>N/A</v>
      </c>
      <c r="I82" s="61" t="str">
        <f>IF(OR(AND(LEFT('CASE DATA'!F83,4)="321.",MID('CASE DATA'!A83,8,2)="SM"),MID('CASE DATA'!A83,8,2)="ST",MID('CASE DATA'!A83,8,2)="NT"),"TRAFFIC",IF(OR('CASE DATA'!G83="DISM", 'CASE DATA'!G83="ACQ", 'CASE DATA'!G83="NOTF", 'CASE DATA'!G83="WTHD", 'CASE DATA'!G83="TNSF"), "YES", "NO"))</f>
        <v>NO</v>
      </c>
      <c r="J82" s="62" t="str">
        <f>IF(I82="YES",'CASE DATA'!T83,"N/A")</f>
        <v>N/A</v>
      </c>
      <c r="K82" s="57" t="str">
        <f>IF(I82="YES",IF(C82+180&lt;'BASIC INFO'!$B$3, "YES", "NO"),"N/A")</f>
        <v>N/A</v>
      </c>
      <c r="L82" s="62" t="str">
        <f t="array" ref="L82">IF(I82="TRAFFIC","n/a",IF(OR('CASE DATA'!G83="GTR", 'CASE DATA'!G83="GPL"),IF(SUM(COUNTIF('CASE DATA'!W83:AH83, 'CODE SECTIONS'!$V$2:$V$218&amp;"*"))&gt;0,"felony","eligible"),"n/a"))</f>
        <v>n/a</v>
      </c>
      <c r="M82" s="62" t="str">
        <f t="array" ref="M82">IF(L82="eligible",IF(OR((SUM(COUNTIF('CASE DATA'!W83:AH83,'CODE SECTIONS'!$X$2:$X$19&amp;"*"))&gt;0),LEFT('CASE DATA'!W83:AH83,4)="717C", LEFT('CASE DATA'!W83:AH83, 3)="719", LEFT('CASE DATA'!W83:AH83,3)="720", LEFT('CASE DATA'!W83:AH83,3)="724", LEFT('CASE DATA'!W83:AH83,3)="726", LEFT('CASE DATA'!W83:AH83,3)="728", LEFT('CASE DATA'!W83:AH83,4)="901A"), "ineligible misd","eligible"),"n/a")</f>
        <v>n/a</v>
      </c>
      <c r="N82" s="62" t="str">
        <f>IF(M82="eligible",IF(COUNTIF('CASE DATA'!$D$4:$D$200, "")-COUNTIF('CASE DATA'!$A$4:$A$200, "")&gt;0, "YES","NO"),"N/A")</f>
        <v>N/A</v>
      </c>
      <c r="O82" s="62" t="str">
        <f>IF(M82="eligible",BANKRUPTCY!C83+BANKRUPTCY!D83,"N/A")</f>
        <v>N/A</v>
      </c>
      <c r="P82" s="62" t="str">
        <f>IF(M82="eligible",SOL!C83+SOL!D83+SOL!E83,"N/A")</f>
        <v>N/A</v>
      </c>
      <c r="Q82" s="62" t="str">
        <f>IF(M82="eligible",SUM('CASE DATA'!J83:S83),"N/A")</f>
        <v>N/A</v>
      </c>
      <c r="R82" s="62" t="str">
        <f>IF(M82="eligible",IF(C82+2920&lt;'BASIC INFO'!$B$3, "YES", "NO"),"N/A")</f>
        <v>N/A</v>
      </c>
      <c r="S82" s="61" t="str">
        <f>IF(OR('CASE DATA'!G83="DEF"), "YES", "NO")</f>
        <v>NO</v>
      </c>
      <c r="T82" s="57" t="str">
        <f>IF(S82="YES",'CASE DATA'!I83,"N/A")</f>
        <v>N/A</v>
      </c>
      <c r="U82" s="62" t="str">
        <f>IF(S82="YES",BANKRUPTCY!C83+BANKRUPTCY!D83,"N/A")</f>
        <v>N/A</v>
      </c>
      <c r="V82" s="62" t="str">
        <f>IF(S82="YES",SUM('CASE DATA'!J83:S83),"N/A")</f>
        <v>N/A</v>
      </c>
      <c r="W82" s="57" t="str">
        <f>IF(OR('CASE DATA'!F83="123.46",'CASE DATA'!F83="123.47"),"YES","NO")</f>
        <v>NO</v>
      </c>
      <c r="X82" s="60" t="str">
        <f>IF(W82="YES",COUNTIFS(AD$3:$AD$200,"&gt;"&amp;('CASE DATA'!D83),$AD$3:$AD$200,"&lt;"&amp;('CASE DATA'!D83+730.5)),"n/a")</f>
        <v>n/a</v>
      </c>
      <c r="Y82" s="62" t="str">
        <f>IF(W82="YES",IF(C82+730.5&lt;'BASIC INFO'!$B$3, "YES","NO"), "N/A")</f>
        <v>N/A</v>
      </c>
      <c r="Z82" s="57" t="str">
        <f>IF('CASE DATA'!F83="725.1","YES","NO")</f>
        <v>NO</v>
      </c>
      <c r="AA82" s="57" t="str">
        <f>IF(Z82="YES",IF(C82+730.5&lt;'BASIC INFO'!$B$3, "YES","NO"), "N/A")</f>
        <v>N/A</v>
      </c>
      <c r="AB82" s="57" t="str">
        <f>IF('BASIC INFO'!$B$6+6574.5&gt;C82, "YES", "NO")</f>
        <v>YES</v>
      </c>
      <c r="AC82" s="57" t="str">
        <f>IF(Z82="YES",COUNTIFS(AD$3:$AD$200,"&gt;"&amp;('CASE DATA'!D83),$AD$3:$AD$200,"&lt;"&amp;('CASE DATA'!D83+730.5)),"n/a")</f>
        <v>n/a</v>
      </c>
    </row>
    <row r="83" spans="1:29" x14ac:dyDescent="0.25">
      <c r="A83" s="57" t="str">
        <f>IF('CASE DATA'!A84="","z",'CASE DATA'!A84)</f>
        <v>z</v>
      </c>
      <c r="B83" s="57" t="str">
        <f>IF('CASE DATA'!A84="","",'CASE DATA'!E84)</f>
        <v/>
      </c>
      <c r="C83" s="58">
        <f>'CASE DATA'!D84</f>
        <v>0</v>
      </c>
      <c r="D83" s="59" t="str">
        <f>IF('CASE DATA'!I84="YES",SUM('CASE DATA'!J84:P84),"n/a")</f>
        <v>n/a</v>
      </c>
      <c r="E83" s="60" t="str">
        <f>IF(OR('CASE DATA'!G84="JUV", 'CASE DATA'!G84="JWV"), "YES", "NO")</f>
        <v>NO</v>
      </c>
      <c r="F83" s="60" t="str">
        <f t="array" ref="F83">IF(E83="YES",IF(SUM(COUNTIF('CASE DATA'!$G$4:$G$200, {"GTR","GPL","DEF","JUV"}))&gt;0, "YES","NO"),"N/A")</f>
        <v>N/A</v>
      </c>
      <c r="G83" s="60" t="str">
        <f>IF(E83="YES",IF(COUNTIF('CASE DATA'!$D$4:$D$200, "")-COUNTIF('CASE DATA'!$A$4:$A$200, "")&gt;0, "YES","NO"),"N/A")</f>
        <v>N/A</v>
      </c>
      <c r="H83" s="57" t="str">
        <f>_xlfn.IFS(E83="NO", "N/A", AND('BASIC INFO'!$B$3&gt;'BASIC INFO'!$B$6+6574.5, C83+730.5&lt;'BASIC INFO'!$B$3), "YES", 'BASIC INFO'!$B$3&lt;('BASIC INFO'!$B$6+6574.5), "NOT YET 18", C83+730.5&gt;'BASIC INFO'!$B$3, "NOT YET 2 YEARS")</f>
        <v>N/A</v>
      </c>
      <c r="I83" s="61" t="str">
        <f>IF(OR(AND(LEFT('CASE DATA'!F84,4)="321.",MID('CASE DATA'!A84,8,2)="SM"),MID('CASE DATA'!A84,8,2)="ST",MID('CASE DATA'!A84,8,2)="NT"),"TRAFFIC",IF(OR('CASE DATA'!G84="DISM", 'CASE DATA'!G84="ACQ", 'CASE DATA'!G84="NOTF", 'CASE DATA'!G84="WTHD", 'CASE DATA'!G84="TNSF"), "YES", "NO"))</f>
        <v>NO</v>
      </c>
      <c r="J83" s="62" t="str">
        <f>IF(I83="YES",'CASE DATA'!T84,"N/A")</f>
        <v>N/A</v>
      </c>
      <c r="K83" s="57" t="str">
        <f>IF(I83="YES",IF(C83+180&lt;'BASIC INFO'!$B$3, "YES", "NO"),"N/A")</f>
        <v>N/A</v>
      </c>
      <c r="L83" s="62" t="str">
        <f t="array" ref="L83">IF(I83="TRAFFIC","n/a",IF(OR('CASE DATA'!G84="GTR", 'CASE DATA'!G84="GPL"),IF(SUM(COUNTIF('CASE DATA'!W84:AH84, 'CODE SECTIONS'!$V$2:$V$218&amp;"*"))&gt;0,"felony","eligible"),"n/a"))</f>
        <v>n/a</v>
      </c>
      <c r="M83" s="62" t="str">
        <f t="array" ref="M83">IF(L83="eligible",IF(OR((SUM(COUNTIF('CASE DATA'!W84:AH84,'CODE SECTIONS'!$X$2:$X$19&amp;"*"))&gt;0),LEFT('CASE DATA'!W84:AH84,4)="717C", LEFT('CASE DATA'!W84:AH84, 3)="719", LEFT('CASE DATA'!W84:AH84,3)="720", LEFT('CASE DATA'!W84:AH84,3)="724", LEFT('CASE DATA'!W84:AH84,3)="726", LEFT('CASE DATA'!W84:AH84,3)="728", LEFT('CASE DATA'!W84:AH84,4)="901A"), "ineligible misd","eligible"),"n/a")</f>
        <v>n/a</v>
      </c>
      <c r="N83" s="62" t="str">
        <f>IF(M83="eligible",IF(COUNTIF('CASE DATA'!$D$4:$D$200, "")-COUNTIF('CASE DATA'!$A$4:$A$200, "")&gt;0, "YES","NO"),"N/A")</f>
        <v>N/A</v>
      </c>
      <c r="O83" s="62" t="str">
        <f>IF(M83="eligible",BANKRUPTCY!C84+BANKRUPTCY!D84,"N/A")</f>
        <v>N/A</v>
      </c>
      <c r="P83" s="62" t="str">
        <f>IF(M83="eligible",SOL!C84+SOL!D84+SOL!E84,"N/A")</f>
        <v>N/A</v>
      </c>
      <c r="Q83" s="62" t="str">
        <f>IF(M83="eligible",SUM('CASE DATA'!J84:S84),"N/A")</f>
        <v>N/A</v>
      </c>
      <c r="R83" s="62" t="str">
        <f>IF(M83="eligible",IF(C83+2920&lt;'BASIC INFO'!$B$3, "YES", "NO"),"N/A")</f>
        <v>N/A</v>
      </c>
      <c r="S83" s="61" t="str">
        <f>IF(OR('CASE DATA'!G84="DEF"), "YES", "NO")</f>
        <v>NO</v>
      </c>
      <c r="T83" s="57" t="str">
        <f>IF(S83="YES",'CASE DATA'!I84,"N/A")</f>
        <v>N/A</v>
      </c>
      <c r="U83" s="62" t="str">
        <f>IF(S83="YES",BANKRUPTCY!C84+BANKRUPTCY!D84,"N/A")</f>
        <v>N/A</v>
      </c>
      <c r="V83" s="62" t="str">
        <f>IF(S83="YES",SUM('CASE DATA'!J84:S84),"N/A")</f>
        <v>N/A</v>
      </c>
      <c r="W83" s="57" t="str">
        <f>IF(OR('CASE DATA'!F84="123.46",'CASE DATA'!F84="123.47"),"YES","NO")</f>
        <v>NO</v>
      </c>
      <c r="X83" s="60" t="str">
        <f>IF(W83="YES",COUNTIFS(AD$3:$AD$200,"&gt;"&amp;('CASE DATA'!D84),$AD$3:$AD$200,"&lt;"&amp;('CASE DATA'!D84+730.5)),"n/a")</f>
        <v>n/a</v>
      </c>
      <c r="Y83" s="62" t="str">
        <f>IF(W83="YES",IF(C83+730.5&lt;'BASIC INFO'!$B$3, "YES","NO"), "N/A")</f>
        <v>N/A</v>
      </c>
      <c r="Z83" s="57" t="str">
        <f>IF('CASE DATA'!F84="725.1","YES","NO")</f>
        <v>NO</v>
      </c>
      <c r="AA83" s="57" t="str">
        <f>IF(Z83="YES",IF(C83+730.5&lt;'BASIC INFO'!$B$3, "YES","NO"), "N/A")</f>
        <v>N/A</v>
      </c>
      <c r="AB83" s="57" t="str">
        <f>IF('BASIC INFO'!$B$6+6574.5&gt;C83, "YES", "NO")</f>
        <v>YES</v>
      </c>
      <c r="AC83" s="57" t="str">
        <f>IF(Z83="YES",COUNTIFS(AD$3:$AD$200,"&gt;"&amp;('CASE DATA'!D84),$AD$3:$AD$200,"&lt;"&amp;('CASE DATA'!D84+730.5)),"n/a")</f>
        <v>n/a</v>
      </c>
    </row>
    <row r="84" spans="1:29" x14ac:dyDescent="0.25">
      <c r="A84" s="57" t="str">
        <f>IF('CASE DATA'!A85="","z",'CASE DATA'!A85)</f>
        <v>z</v>
      </c>
      <c r="B84" s="57" t="str">
        <f>IF('CASE DATA'!A85="","",'CASE DATA'!E85)</f>
        <v/>
      </c>
      <c r="C84" s="58">
        <f>'CASE DATA'!D85</f>
        <v>0</v>
      </c>
      <c r="D84" s="59" t="str">
        <f>IF('CASE DATA'!I85="YES",SUM('CASE DATA'!J85:P85),"n/a")</f>
        <v>n/a</v>
      </c>
      <c r="E84" s="60" t="str">
        <f>IF(OR('CASE DATA'!G85="JUV", 'CASE DATA'!G85="JWV"), "YES", "NO")</f>
        <v>NO</v>
      </c>
      <c r="F84" s="60" t="str">
        <f t="array" ref="F84">IF(E84="YES",IF(SUM(COUNTIF('CASE DATA'!$G$4:$G$200, {"GTR","GPL","DEF","JUV"}))&gt;0, "YES","NO"),"N/A")</f>
        <v>N/A</v>
      </c>
      <c r="G84" s="60" t="str">
        <f>IF(E84="YES",IF(COUNTIF('CASE DATA'!$D$4:$D$200, "")-COUNTIF('CASE DATA'!$A$4:$A$200, "")&gt;0, "YES","NO"),"N/A")</f>
        <v>N/A</v>
      </c>
      <c r="H84" s="57" t="str">
        <f>_xlfn.IFS(E84="NO", "N/A", AND('BASIC INFO'!$B$3&gt;'BASIC INFO'!$B$6+6574.5, C84+730.5&lt;'BASIC INFO'!$B$3), "YES", 'BASIC INFO'!$B$3&lt;('BASIC INFO'!$B$6+6574.5), "NOT YET 18", C84+730.5&gt;'BASIC INFO'!$B$3, "NOT YET 2 YEARS")</f>
        <v>N/A</v>
      </c>
      <c r="I84" s="61" t="str">
        <f>IF(OR(AND(LEFT('CASE DATA'!F85,4)="321.",MID('CASE DATA'!A85,8,2)="SM"),MID('CASE DATA'!A85,8,2)="ST",MID('CASE DATA'!A85,8,2)="NT"),"TRAFFIC",IF(OR('CASE DATA'!G85="DISM", 'CASE DATA'!G85="ACQ", 'CASE DATA'!G85="NOTF", 'CASE DATA'!G85="WTHD", 'CASE DATA'!G85="TNSF"), "YES", "NO"))</f>
        <v>NO</v>
      </c>
      <c r="J84" s="62" t="str">
        <f>IF(I84="YES",'CASE DATA'!T85,"N/A")</f>
        <v>N/A</v>
      </c>
      <c r="K84" s="57" t="str">
        <f>IF(I84="YES",IF(C84+180&lt;'BASIC INFO'!$B$3, "YES", "NO"),"N/A")</f>
        <v>N/A</v>
      </c>
      <c r="L84" s="62" t="str">
        <f t="array" ref="L84">IF(I84="TRAFFIC","n/a",IF(OR('CASE DATA'!G85="GTR", 'CASE DATA'!G85="GPL"),IF(SUM(COUNTIF('CASE DATA'!W85:AH85, 'CODE SECTIONS'!$V$2:$V$218&amp;"*"))&gt;0,"felony","eligible"),"n/a"))</f>
        <v>n/a</v>
      </c>
      <c r="M84" s="62" t="str">
        <f t="array" ref="M84">IF(L84="eligible",IF(OR((SUM(COUNTIF('CASE DATA'!W85:AH85,'CODE SECTIONS'!$X$2:$X$19&amp;"*"))&gt;0),LEFT('CASE DATA'!W85:AH85,4)="717C", LEFT('CASE DATA'!W85:AH85, 3)="719", LEFT('CASE DATA'!W85:AH85,3)="720", LEFT('CASE DATA'!W85:AH85,3)="724", LEFT('CASE DATA'!W85:AH85,3)="726", LEFT('CASE DATA'!W85:AH85,3)="728", LEFT('CASE DATA'!W85:AH85,4)="901A"), "ineligible misd","eligible"),"n/a")</f>
        <v>n/a</v>
      </c>
      <c r="N84" s="62" t="str">
        <f>IF(M84="eligible",IF(COUNTIF('CASE DATA'!$D$4:$D$200, "")-COUNTIF('CASE DATA'!$A$4:$A$200, "")&gt;0, "YES","NO"),"N/A")</f>
        <v>N/A</v>
      </c>
      <c r="O84" s="62" t="str">
        <f>IF(M84="eligible",BANKRUPTCY!C85+BANKRUPTCY!D85,"N/A")</f>
        <v>N/A</v>
      </c>
      <c r="P84" s="62" t="str">
        <f>IF(M84="eligible",SOL!C85+SOL!D85+SOL!E85,"N/A")</f>
        <v>N/A</v>
      </c>
      <c r="Q84" s="62" t="str">
        <f>IF(M84="eligible",SUM('CASE DATA'!J85:S85),"N/A")</f>
        <v>N/A</v>
      </c>
      <c r="R84" s="62" t="str">
        <f>IF(M84="eligible",IF(C84+2920&lt;'BASIC INFO'!$B$3, "YES", "NO"),"N/A")</f>
        <v>N/A</v>
      </c>
      <c r="S84" s="61" t="str">
        <f>IF(OR('CASE DATA'!G85="DEF"), "YES", "NO")</f>
        <v>NO</v>
      </c>
      <c r="T84" s="57" t="str">
        <f>IF(S84="YES",'CASE DATA'!I85,"N/A")</f>
        <v>N/A</v>
      </c>
      <c r="U84" s="62" t="str">
        <f>IF(S84="YES",BANKRUPTCY!C85+BANKRUPTCY!D85,"N/A")</f>
        <v>N/A</v>
      </c>
      <c r="V84" s="62" t="str">
        <f>IF(S84="YES",SUM('CASE DATA'!J85:S85),"N/A")</f>
        <v>N/A</v>
      </c>
      <c r="W84" s="57" t="str">
        <f>IF(OR('CASE DATA'!F85="123.46",'CASE DATA'!F85="123.47"),"YES","NO")</f>
        <v>NO</v>
      </c>
      <c r="X84" s="60" t="str">
        <f>IF(W84="YES",COUNTIFS(AD$3:$AD$200,"&gt;"&amp;('CASE DATA'!D85),$AD$3:$AD$200,"&lt;"&amp;('CASE DATA'!D85+730.5)),"n/a")</f>
        <v>n/a</v>
      </c>
      <c r="Y84" s="62" t="str">
        <f>IF(W84="YES",IF(C84+730.5&lt;'BASIC INFO'!$B$3, "YES","NO"), "N/A")</f>
        <v>N/A</v>
      </c>
      <c r="Z84" s="57" t="str">
        <f>IF('CASE DATA'!F85="725.1","YES","NO")</f>
        <v>NO</v>
      </c>
      <c r="AA84" s="57" t="str">
        <f>IF(Z84="YES",IF(C84+730.5&lt;'BASIC INFO'!$B$3, "YES","NO"), "N/A")</f>
        <v>N/A</v>
      </c>
      <c r="AB84" s="57" t="str">
        <f>IF('BASIC INFO'!$B$6+6574.5&gt;C84, "YES", "NO")</f>
        <v>YES</v>
      </c>
      <c r="AC84" s="57" t="str">
        <f>IF(Z84="YES",COUNTIFS(AD$3:$AD$200,"&gt;"&amp;('CASE DATA'!D85),$AD$3:$AD$200,"&lt;"&amp;('CASE DATA'!D85+730.5)),"n/a")</f>
        <v>n/a</v>
      </c>
    </row>
    <row r="85" spans="1:29" x14ac:dyDescent="0.25">
      <c r="A85" s="57" t="str">
        <f>IF('CASE DATA'!A86="","z",'CASE DATA'!A86)</f>
        <v>z</v>
      </c>
      <c r="B85" s="57" t="str">
        <f>IF('CASE DATA'!A86="","",'CASE DATA'!E86)</f>
        <v/>
      </c>
      <c r="C85" s="58">
        <f>'CASE DATA'!D86</f>
        <v>0</v>
      </c>
      <c r="D85" s="59" t="str">
        <f>IF('CASE DATA'!I86="YES",SUM('CASE DATA'!J86:P86),"n/a")</f>
        <v>n/a</v>
      </c>
      <c r="E85" s="60" t="str">
        <f>IF(OR('CASE DATA'!G86="JUV", 'CASE DATA'!G86="JWV"), "YES", "NO")</f>
        <v>NO</v>
      </c>
      <c r="F85" s="60" t="str">
        <f t="array" ref="F85">IF(E85="YES",IF(SUM(COUNTIF('CASE DATA'!$G$4:$G$200, {"GTR","GPL","DEF","JUV"}))&gt;0, "YES","NO"),"N/A")</f>
        <v>N/A</v>
      </c>
      <c r="G85" s="60" t="str">
        <f>IF(E85="YES",IF(COUNTIF('CASE DATA'!$D$4:$D$200, "")-COUNTIF('CASE DATA'!$A$4:$A$200, "")&gt;0, "YES","NO"),"N/A")</f>
        <v>N/A</v>
      </c>
      <c r="H85" s="57" t="str">
        <f>_xlfn.IFS(E85="NO", "N/A", AND('BASIC INFO'!$B$3&gt;'BASIC INFO'!$B$6+6574.5, C85+730.5&lt;'BASIC INFO'!$B$3), "YES", 'BASIC INFO'!$B$3&lt;('BASIC INFO'!$B$6+6574.5), "NOT YET 18", C85+730.5&gt;'BASIC INFO'!$B$3, "NOT YET 2 YEARS")</f>
        <v>N/A</v>
      </c>
      <c r="I85" s="61" t="str">
        <f>IF(OR(AND(LEFT('CASE DATA'!F86,4)="321.",MID('CASE DATA'!A86,8,2)="SM"),MID('CASE DATA'!A86,8,2)="ST",MID('CASE DATA'!A86,8,2)="NT"),"TRAFFIC",IF(OR('CASE DATA'!G86="DISM", 'CASE DATA'!G86="ACQ", 'CASE DATA'!G86="NOTF", 'CASE DATA'!G86="WTHD", 'CASE DATA'!G86="TNSF"), "YES", "NO"))</f>
        <v>NO</v>
      </c>
      <c r="J85" s="62" t="str">
        <f>IF(I85="YES",'CASE DATA'!T86,"N/A")</f>
        <v>N/A</v>
      </c>
      <c r="K85" s="57" t="str">
        <f>IF(I85="YES",IF(C85+180&lt;'BASIC INFO'!$B$3, "YES", "NO"),"N/A")</f>
        <v>N/A</v>
      </c>
      <c r="L85" s="62" t="str">
        <f t="array" ref="L85">IF(I85="TRAFFIC","n/a",IF(OR('CASE DATA'!G86="GTR", 'CASE DATA'!G86="GPL"),IF(SUM(COUNTIF('CASE DATA'!W86:AH86, 'CODE SECTIONS'!$V$2:$V$218&amp;"*"))&gt;0,"felony","eligible"),"n/a"))</f>
        <v>n/a</v>
      </c>
      <c r="M85" s="62" t="str">
        <f t="array" ref="M85">IF(L85="eligible",IF(OR((SUM(COUNTIF('CASE DATA'!W86:AH86,'CODE SECTIONS'!$X$2:$X$19&amp;"*"))&gt;0),LEFT('CASE DATA'!W86:AH86,4)="717C", LEFT('CASE DATA'!W86:AH86, 3)="719", LEFT('CASE DATA'!W86:AH86,3)="720", LEFT('CASE DATA'!W86:AH86,3)="724", LEFT('CASE DATA'!W86:AH86,3)="726", LEFT('CASE DATA'!W86:AH86,3)="728", LEFT('CASE DATA'!W86:AH86,4)="901A"), "ineligible misd","eligible"),"n/a")</f>
        <v>n/a</v>
      </c>
      <c r="N85" s="62" t="str">
        <f>IF(M85="eligible",IF(COUNTIF('CASE DATA'!$D$4:$D$200, "")-COUNTIF('CASE DATA'!$A$4:$A$200, "")&gt;0, "YES","NO"),"N/A")</f>
        <v>N/A</v>
      </c>
      <c r="O85" s="62" t="str">
        <f>IF(M85="eligible",BANKRUPTCY!C86+BANKRUPTCY!D86,"N/A")</f>
        <v>N/A</v>
      </c>
      <c r="P85" s="62" t="str">
        <f>IF(M85="eligible",SOL!C86+SOL!D86+SOL!E86,"N/A")</f>
        <v>N/A</v>
      </c>
      <c r="Q85" s="62" t="str">
        <f>IF(M85="eligible",SUM('CASE DATA'!J86:S86),"N/A")</f>
        <v>N/A</v>
      </c>
      <c r="R85" s="62" t="str">
        <f>IF(M85="eligible",IF(C85+2920&lt;'BASIC INFO'!$B$3, "YES", "NO"),"N/A")</f>
        <v>N/A</v>
      </c>
      <c r="S85" s="61" t="str">
        <f>IF(OR('CASE DATA'!G86="DEF"), "YES", "NO")</f>
        <v>NO</v>
      </c>
      <c r="T85" s="57" t="str">
        <f>IF(S85="YES",'CASE DATA'!I86,"N/A")</f>
        <v>N/A</v>
      </c>
      <c r="U85" s="62" t="str">
        <f>IF(S85="YES",BANKRUPTCY!C86+BANKRUPTCY!D86,"N/A")</f>
        <v>N/A</v>
      </c>
      <c r="V85" s="62" t="str">
        <f>IF(S85="YES",SUM('CASE DATA'!J86:S86),"N/A")</f>
        <v>N/A</v>
      </c>
      <c r="W85" s="57" t="str">
        <f>IF(OR('CASE DATA'!F86="123.46",'CASE DATA'!F86="123.47"),"YES","NO")</f>
        <v>NO</v>
      </c>
      <c r="X85" s="60" t="str">
        <f>IF(W85="YES",COUNTIFS(AD$3:$AD$200,"&gt;"&amp;('CASE DATA'!D86),$AD$3:$AD$200,"&lt;"&amp;('CASE DATA'!D86+730.5)),"n/a")</f>
        <v>n/a</v>
      </c>
      <c r="Y85" s="62" t="str">
        <f>IF(W85="YES",IF(C85+730.5&lt;'BASIC INFO'!$B$3, "YES","NO"), "N/A")</f>
        <v>N/A</v>
      </c>
      <c r="Z85" s="57" t="str">
        <f>IF('CASE DATA'!F86="725.1","YES","NO")</f>
        <v>NO</v>
      </c>
      <c r="AA85" s="57" t="str">
        <f>IF(Z85="YES",IF(C85+730.5&lt;'BASIC INFO'!$B$3, "YES","NO"), "N/A")</f>
        <v>N/A</v>
      </c>
      <c r="AB85" s="57" t="str">
        <f>IF('BASIC INFO'!$B$6+6574.5&gt;C85, "YES", "NO")</f>
        <v>YES</v>
      </c>
      <c r="AC85" s="57" t="str">
        <f>IF(Z85="YES",COUNTIFS(AD$3:$AD$200,"&gt;"&amp;('CASE DATA'!D86),$AD$3:$AD$200,"&lt;"&amp;('CASE DATA'!D86+730.5)),"n/a")</f>
        <v>n/a</v>
      </c>
    </row>
    <row r="86" spans="1:29" x14ac:dyDescent="0.25">
      <c r="A86" s="57" t="str">
        <f>IF('CASE DATA'!A87="","z",'CASE DATA'!A87)</f>
        <v>z</v>
      </c>
      <c r="B86" s="57" t="str">
        <f>IF('CASE DATA'!A87="","",'CASE DATA'!E87)</f>
        <v/>
      </c>
      <c r="C86" s="58">
        <f>'CASE DATA'!D87</f>
        <v>0</v>
      </c>
      <c r="D86" s="59" t="str">
        <f>IF('CASE DATA'!I87="YES",SUM('CASE DATA'!J87:P87),"n/a")</f>
        <v>n/a</v>
      </c>
      <c r="E86" s="60" t="str">
        <f>IF(OR('CASE DATA'!G87="JUV", 'CASE DATA'!G87="JWV"), "YES", "NO")</f>
        <v>NO</v>
      </c>
      <c r="F86" s="60" t="str">
        <f t="array" ref="F86">IF(E86="YES",IF(SUM(COUNTIF('CASE DATA'!$G$4:$G$200, {"GTR","GPL","DEF","JUV"}))&gt;0, "YES","NO"),"N/A")</f>
        <v>N/A</v>
      </c>
      <c r="G86" s="60" t="str">
        <f>IF(E86="YES",IF(COUNTIF('CASE DATA'!$D$4:$D$200, "")-COUNTIF('CASE DATA'!$A$4:$A$200, "")&gt;0, "YES","NO"),"N/A")</f>
        <v>N/A</v>
      </c>
      <c r="H86" s="57" t="str">
        <f>_xlfn.IFS(E86="NO", "N/A", AND('BASIC INFO'!$B$3&gt;'BASIC INFO'!$B$6+6574.5, C86+730.5&lt;'BASIC INFO'!$B$3), "YES", 'BASIC INFO'!$B$3&lt;('BASIC INFO'!$B$6+6574.5), "NOT YET 18", C86+730.5&gt;'BASIC INFO'!$B$3, "NOT YET 2 YEARS")</f>
        <v>N/A</v>
      </c>
      <c r="I86" s="61" t="str">
        <f>IF(OR(AND(LEFT('CASE DATA'!F87,4)="321.",MID('CASE DATA'!A87,8,2)="SM"),MID('CASE DATA'!A87,8,2)="ST",MID('CASE DATA'!A87,8,2)="NT"),"TRAFFIC",IF(OR('CASE DATA'!G87="DISM", 'CASE DATA'!G87="ACQ", 'CASE DATA'!G87="NOTF", 'CASE DATA'!G87="WTHD", 'CASE DATA'!G87="TNSF"), "YES", "NO"))</f>
        <v>NO</v>
      </c>
      <c r="J86" s="62" t="str">
        <f>IF(I86="YES",'CASE DATA'!T87,"N/A")</f>
        <v>N/A</v>
      </c>
      <c r="K86" s="57" t="str">
        <f>IF(I86="YES",IF(C86+180&lt;'BASIC INFO'!$B$3, "YES", "NO"),"N/A")</f>
        <v>N/A</v>
      </c>
      <c r="L86" s="62" t="str">
        <f t="array" ref="L86">IF(I86="TRAFFIC","n/a",IF(OR('CASE DATA'!G87="GTR", 'CASE DATA'!G87="GPL"),IF(SUM(COUNTIF('CASE DATA'!W87:AH87, 'CODE SECTIONS'!$V$2:$V$218&amp;"*"))&gt;0,"felony","eligible"),"n/a"))</f>
        <v>n/a</v>
      </c>
      <c r="M86" s="62" t="str">
        <f t="array" ref="M86">IF(L86="eligible",IF(OR((SUM(COUNTIF('CASE DATA'!W87:AH87,'CODE SECTIONS'!$X$2:$X$19&amp;"*"))&gt;0),LEFT('CASE DATA'!W87:AH87,4)="717C", LEFT('CASE DATA'!W87:AH87, 3)="719", LEFT('CASE DATA'!W87:AH87,3)="720", LEFT('CASE DATA'!W87:AH87,3)="724", LEFT('CASE DATA'!W87:AH87,3)="726", LEFT('CASE DATA'!W87:AH87,3)="728", LEFT('CASE DATA'!W87:AH87,4)="901A"), "ineligible misd","eligible"),"n/a")</f>
        <v>n/a</v>
      </c>
      <c r="N86" s="62" t="str">
        <f>IF(M86="eligible",IF(COUNTIF('CASE DATA'!$D$4:$D$200, "")-COUNTIF('CASE DATA'!$A$4:$A$200, "")&gt;0, "YES","NO"),"N/A")</f>
        <v>N/A</v>
      </c>
      <c r="O86" s="62" t="str">
        <f>IF(M86="eligible",BANKRUPTCY!C87+BANKRUPTCY!D87,"N/A")</f>
        <v>N/A</v>
      </c>
      <c r="P86" s="62" t="str">
        <f>IF(M86="eligible",SOL!C87+SOL!D87+SOL!E87,"N/A")</f>
        <v>N/A</v>
      </c>
      <c r="Q86" s="62" t="str">
        <f>IF(M86="eligible",SUM('CASE DATA'!J87:S87),"N/A")</f>
        <v>N/A</v>
      </c>
      <c r="R86" s="62" t="str">
        <f>IF(M86="eligible",IF(C86+2920&lt;'BASIC INFO'!$B$3, "YES", "NO"),"N/A")</f>
        <v>N/A</v>
      </c>
      <c r="S86" s="61" t="str">
        <f>IF(OR('CASE DATA'!G87="DEF"), "YES", "NO")</f>
        <v>NO</v>
      </c>
      <c r="T86" s="57" t="str">
        <f>IF(S86="YES",'CASE DATA'!I87,"N/A")</f>
        <v>N/A</v>
      </c>
      <c r="U86" s="62" t="str">
        <f>IF(S86="YES",BANKRUPTCY!C87+BANKRUPTCY!D87,"N/A")</f>
        <v>N/A</v>
      </c>
      <c r="V86" s="62" t="str">
        <f>IF(S86="YES",SUM('CASE DATA'!J87:S87),"N/A")</f>
        <v>N/A</v>
      </c>
      <c r="W86" s="57" t="str">
        <f>IF(OR('CASE DATA'!F87="123.46",'CASE DATA'!F87="123.47"),"YES","NO")</f>
        <v>NO</v>
      </c>
      <c r="X86" s="60" t="str">
        <f>IF(W86="YES",COUNTIFS(AD$3:$AD$200,"&gt;"&amp;('CASE DATA'!D87),$AD$3:$AD$200,"&lt;"&amp;('CASE DATA'!D87+730.5)),"n/a")</f>
        <v>n/a</v>
      </c>
      <c r="Y86" s="62" t="str">
        <f>IF(W86="YES",IF(C86+730.5&lt;'BASIC INFO'!$B$3, "YES","NO"), "N/A")</f>
        <v>N/A</v>
      </c>
      <c r="Z86" s="57" t="str">
        <f>IF('CASE DATA'!F87="725.1","YES","NO")</f>
        <v>NO</v>
      </c>
      <c r="AA86" s="57" t="str">
        <f>IF(Z86="YES",IF(C86+730.5&lt;'BASIC INFO'!$B$3, "YES","NO"), "N/A")</f>
        <v>N/A</v>
      </c>
      <c r="AB86" s="57" t="str">
        <f>IF('BASIC INFO'!$B$6+6574.5&gt;C86, "YES", "NO")</f>
        <v>YES</v>
      </c>
      <c r="AC86" s="57" t="str">
        <f>IF(Z86="YES",COUNTIFS(AD$3:$AD$200,"&gt;"&amp;('CASE DATA'!D87),$AD$3:$AD$200,"&lt;"&amp;('CASE DATA'!D87+730.5)),"n/a")</f>
        <v>n/a</v>
      </c>
    </row>
    <row r="87" spans="1:29" x14ac:dyDescent="0.25">
      <c r="A87" s="57" t="str">
        <f>IF('CASE DATA'!A88="","z",'CASE DATA'!A88)</f>
        <v>z</v>
      </c>
      <c r="B87" s="57" t="str">
        <f>IF('CASE DATA'!A88="","",'CASE DATA'!E88)</f>
        <v/>
      </c>
      <c r="C87" s="58">
        <f>'CASE DATA'!D88</f>
        <v>0</v>
      </c>
      <c r="D87" s="59" t="str">
        <f>IF('CASE DATA'!I88="YES",SUM('CASE DATA'!J88:P88),"n/a")</f>
        <v>n/a</v>
      </c>
      <c r="E87" s="60" t="str">
        <f>IF(OR('CASE DATA'!G88="JUV", 'CASE DATA'!G88="JWV"), "YES", "NO")</f>
        <v>NO</v>
      </c>
      <c r="F87" s="60" t="str">
        <f t="array" ref="F87">IF(E87="YES",IF(SUM(COUNTIF('CASE DATA'!$G$4:$G$200, {"GTR","GPL","DEF","JUV"}))&gt;0, "YES","NO"),"N/A")</f>
        <v>N/A</v>
      </c>
      <c r="G87" s="60" t="str">
        <f>IF(E87="YES",IF(COUNTIF('CASE DATA'!$D$4:$D$200, "")-COUNTIF('CASE DATA'!$A$4:$A$200, "")&gt;0, "YES","NO"),"N/A")</f>
        <v>N/A</v>
      </c>
      <c r="H87" s="57" t="str">
        <f>_xlfn.IFS(E87="NO", "N/A", AND('BASIC INFO'!$B$3&gt;'BASIC INFO'!$B$6+6574.5, C87+730.5&lt;'BASIC INFO'!$B$3), "YES", 'BASIC INFO'!$B$3&lt;('BASIC INFO'!$B$6+6574.5), "NOT YET 18", C87+730.5&gt;'BASIC INFO'!$B$3, "NOT YET 2 YEARS")</f>
        <v>N/A</v>
      </c>
      <c r="I87" s="61" t="str">
        <f>IF(OR(AND(LEFT('CASE DATA'!F88,4)="321.",MID('CASE DATA'!A88,8,2)="SM"),MID('CASE DATA'!A88,8,2)="ST",MID('CASE DATA'!A88,8,2)="NT"),"TRAFFIC",IF(OR('CASE DATA'!G88="DISM", 'CASE DATA'!G88="ACQ", 'CASE DATA'!G88="NOTF", 'CASE DATA'!G88="WTHD", 'CASE DATA'!G88="TNSF"), "YES", "NO"))</f>
        <v>NO</v>
      </c>
      <c r="J87" s="62" t="str">
        <f>IF(I87="YES",'CASE DATA'!T88,"N/A")</f>
        <v>N/A</v>
      </c>
      <c r="K87" s="57" t="str">
        <f>IF(I87="YES",IF(C87+180&lt;'BASIC INFO'!$B$3, "YES", "NO"),"N/A")</f>
        <v>N/A</v>
      </c>
      <c r="L87" s="62" t="str">
        <f t="array" ref="L87">IF(I87="TRAFFIC","n/a",IF(OR('CASE DATA'!G88="GTR", 'CASE DATA'!G88="GPL"),IF(SUM(COUNTIF('CASE DATA'!W88:AH88, 'CODE SECTIONS'!$V$2:$V$218&amp;"*"))&gt;0,"felony","eligible"),"n/a"))</f>
        <v>n/a</v>
      </c>
      <c r="M87" s="62" t="str">
        <f t="array" ref="M87">IF(L87="eligible",IF(OR((SUM(COUNTIF('CASE DATA'!W88:AH88,'CODE SECTIONS'!$X$2:$X$19&amp;"*"))&gt;0),LEFT('CASE DATA'!W88:AH88,4)="717C", LEFT('CASE DATA'!W88:AH88, 3)="719", LEFT('CASE DATA'!W88:AH88,3)="720", LEFT('CASE DATA'!W88:AH88,3)="724", LEFT('CASE DATA'!W88:AH88,3)="726", LEFT('CASE DATA'!W88:AH88,3)="728", LEFT('CASE DATA'!W88:AH88,4)="901A"), "ineligible misd","eligible"),"n/a")</f>
        <v>n/a</v>
      </c>
      <c r="N87" s="62" t="str">
        <f>IF(M87="eligible",IF(COUNTIF('CASE DATA'!$D$4:$D$200, "")-COUNTIF('CASE DATA'!$A$4:$A$200, "")&gt;0, "YES","NO"),"N/A")</f>
        <v>N/A</v>
      </c>
      <c r="O87" s="62" t="str">
        <f>IF(M87="eligible",BANKRUPTCY!C88+BANKRUPTCY!D88,"N/A")</f>
        <v>N/A</v>
      </c>
      <c r="P87" s="62" t="str">
        <f>IF(M87="eligible",SOL!C88+SOL!D88+SOL!E88,"N/A")</f>
        <v>N/A</v>
      </c>
      <c r="Q87" s="62" t="str">
        <f>IF(M87="eligible",SUM('CASE DATA'!J88:S88),"N/A")</f>
        <v>N/A</v>
      </c>
      <c r="R87" s="62" t="str">
        <f>IF(M87="eligible",IF(C87+2920&lt;'BASIC INFO'!$B$3, "YES", "NO"),"N/A")</f>
        <v>N/A</v>
      </c>
      <c r="S87" s="61" t="str">
        <f>IF(OR('CASE DATA'!G88="DEF"), "YES", "NO")</f>
        <v>NO</v>
      </c>
      <c r="T87" s="57" t="str">
        <f>IF(S87="YES",'CASE DATA'!I88,"N/A")</f>
        <v>N/A</v>
      </c>
      <c r="U87" s="62" t="str">
        <f>IF(S87="YES",BANKRUPTCY!C88+BANKRUPTCY!D88,"N/A")</f>
        <v>N/A</v>
      </c>
      <c r="V87" s="62" t="str">
        <f>IF(S87="YES",SUM('CASE DATA'!J88:S88),"N/A")</f>
        <v>N/A</v>
      </c>
      <c r="W87" s="57" t="str">
        <f>IF(OR('CASE DATA'!F88="123.46",'CASE DATA'!F88="123.47"),"YES","NO")</f>
        <v>NO</v>
      </c>
      <c r="X87" s="60" t="str">
        <f>IF(W87="YES",COUNTIFS(AD$3:$AD$200,"&gt;"&amp;('CASE DATA'!D88),$AD$3:$AD$200,"&lt;"&amp;('CASE DATA'!D88+730.5)),"n/a")</f>
        <v>n/a</v>
      </c>
      <c r="Y87" s="62" t="str">
        <f>IF(W87="YES",IF(C87+730.5&lt;'BASIC INFO'!$B$3, "YES","NO"), "N/A")</f>
        <v>N/A</v>
      </c>
      <c r="Z87" s="57" t="str">
        <f>IF('CASE DATA'!F88="725.1","YES","NO")</f>
        <v>NO</v>
      </c>
      <c r="AA87" s="57" t="str">
        <f>IF(Z87="YES",IF(C87+730.5&lt;'BASIC INFO'!$B$3, "YES","NO"), "N/A")</f>
        <v>N/A</v>
      </c>
      <c r="AB87" s="57" t="str">
        <f>IF('BASIC INFO'!$B$6+6574.5&gt;C87, "YES", "NO")</f>
        <v>YES</v>
      </c>
      <c r="AC87" s="57" t="str">
        <f>IF(Z87="YES",COUNTIFS(AD$3:$AD$200,"&gt;"&amp;('CASE DATA'!D88),$AD$3:$AD$200,"&lt;"&amp;('CASE DATA'!D88+730.5)),"n/a")</f>
        <v>n/a</v>
      </c>
    </row>
    <row r="88" spans="1:29" x14ac:dyDescent="0.25">
      <c r="A88" s="57" t="str">
        <f>IF('CASE DATA'!A89="","z",'CASE DATA'!A89)</f>
        <v>z</v>
      </c>
      <c r="B88" s="57" t="str">
        <f>IF('CASE DATA'!A89="","",'CASE DATA'!E89)</f>
        <v/>
      </c>
      <c r="C88" s="58">
        <f>'CASE DATA'!D89</f>
        <v>0</v>
      </c>
      <c r="D88" s="59" t="str">
        <f>IF('CASE DATA'!I89="YES",SUM('CASE DATA'!J89:P89),"n/a")</f>
        <v>n/a</v>
      </c>
      <c r="E88" s="60" t="str">
        <f>IF(OR('CASE DATA'!G89="JUV", 'CASE DATA'!G89="JWV"), "YES", "NO")</f>
        <v>NO</v>
      </c>
      <c r="F88" s="60" t="str">
        <f t="array" ref="F88">IF(E88="YES",IF(SUM(COUNTIF('CASE DATA'!$G$4:$G$200, {"GTR","GPL","DEF","JUV"}))&gt;0, "YES","NO"),"N/A")</f>
        <v>N/A</v>
      </c>
      <c r="G88" s="60" t="str">
        <f>IF(E88="YES",IF(COUNTIF('CASE DATA'!$D$4:$D$200, "")-COUNTIF('CASE DATA'!$A$4:$A$200, "")&gt;0, "YES","NO"),"N/A")</f>
        <v>N/A</v>
      </c>
      <c r="H88" s="57" t="str">
        <f>_xlfn.IFS(E88="NO", "N/A", AND('BASIC INFO'!$B$3&gt;'BASIC INFO'!$B$6+6574.5, C88+730.5&lt;'BASIC INFO'!$B$3), "YES", 'BASIC INFO'!$B$3&lt;('BASIC INFO'!$B$6+6574.5), "NOT YET 18", C88+730.5&gt;'BASIC INFO'!$B$3, "NOT YET 2 YEARS")</f>
        <v>N/A</v>
      </c>
      <c r="I88" s="61" t="str">
        <f>IF(OR(AND(LEFT('CASE DATA'!F89,4)="321.",MID('CASE DATA'!A89,8,2)="SM"),MID('CASE DATA'!A89,8,2)="ST",MID('CASE DATA'!A89,8,2)="NT"),"TRAFFIC",IF(OR('CASE DATA'!G89="DISM", 'CASE DATA'!G89="ACQ", 'CASE DATA'!G89="NOTF", 'CASE DATA'!G89="WTHD", 'CASE DATA'!G89="TNSF"), "YES", "NO"))</f>
        <v>NO</v>
      </c>
      <c r="J88" s="62" t="str">
        <f>IF(I88="YES",'CASE DATA'!T89,"N/A")</f>
        <v>N/A</v>
      </c>
      <c r="K88" s="57" t="str">
        <f>IF(I88="YES",IF(C88+180&lt;'BASIC INFO'!$B$3, "YES", "NO"),"N/A")</f>
        <v>N/A</v>
      </c>
      <c r="L88" s="62" t="str">
        <f t="array" ref="L88">IF(I88="TRAFFIC","n/a",IF(OR('CASE DATA'!G89="GTR", 'CASE DATA'!G89="GPL"),IF(SUM(COUNTIF('CASE DATA'!W89:AH89, 'CODE SECTIONS'!$V$2:$V$218&amp;"*"))&gt;0,"felony","eligible"),"n/a"))</f>
        <v>n/a</v>
      </c>
      <c r="M88" s="62" t="str">
        <f t="array" ref="M88">IF(L88="eligible",IF(OR((SUM(COUNTIF('CASE DATA'!W89:AH89,'CODE SECTIONS'!$X$2:$X$19&amp;"*"))&gt;0),LEFT('CASE DATA'!W89:AH89,4)="717C", LEFT('CASE DATA'!W89:AH89, 3)="719", LEFT('CASE DATA'!W89:AH89,3)="720", LEFT('CASE DATA'!W89:AH89,3)="724", LEFT('CASE DATA'!W89:AH89,3)="726", LEFT('CASE DATA'!W89:AH89,3)="728", LEFT('CASE DATA'!W89:AH89,4)="901A"), "ineligible misd","eligible"),"n/a")</f>
        <v>n/a</v>
      </c>
      <c r="N88" s="62" t="str">
        <f>IF(M88="eligible",IF(COUNTIF('CASE DATA'!$D$4:$D$200, "")-COUNTIF('CASE DATA'!$A$4:$A$200, "")&gt;0, "YES","NO"),"N/A")</f>
        <v>N/A</v>
      </c>
      <c r="O88" s="62" t="str">
        <f>IF(M88="eligible",BANKRUPTCY!C89+BANKRUPTCY!D89,"N/A")</f>
        <v>N/A</v>
      </c>
      <c r="P88" s="62" t="str">
        <f>IF(M88="eligible",SOL!C89+SOL!D89+SOL!E89,"N/A")</f>
        <v>N/A</v>
      </c>
      <c r="Q88" s="62" t="str">
        <f>IF(M88="eligible",SUM('CASE DATA'!J89:S89),"N/A")</f>
        <v>N/A</v>
      </c>
      <c r="R88" s="62" t="str">
        <f>IF(M88="eligible",IF(C88+2920&lt;'BASIC INFO'!$B$3, "YES", "NO"),"N/A")</f>
        <v>N/A</v>
      </c>
      <c r="S88" s="61" t="str">
        <f>IF(OR('CASE DATA'!G89="DEF"), "YES", "NO")</f>
        <v>NO</v>
      </c>
      <c r="T88" s="57" t="str">
        <f>IF(S88="YES",'CASE DATA'!I89,"N/A")</f>
        <v>N/A</v>
      </c>
      <c r="U88" s="62" t="str">
        <f>IF(S88="YES",BANKRUPTCY!C89+BANKRUPTCY!D89,"N/A")</f>
        <v>N/A</v>
      </c>
      <c r="V88" s="62" t="str">
        <f>IF(S88="YES",SUM('CASE DATA'!J89:S89),"N/A")</f>
        <v>N/A</v>
      </c>
      <c r="W88" s="57" t="str">
        <f>IF(OR('CASE DATA'!F89="123.46",'CASE DATA'!F89="123.47"),"YES","NO")</f>
        <v>NO</v>
      </c>
      <c r="X88" s="60" t="str">
        <f>IF(W88="YES",COUNTIFS(AD$3:$AD$200,"&gt;"&amp;('CASE DATA'!D89),$AD$3:$AD$200,"&lt;"&amp;('CASE DATA'!D89+730.5)),"n/a")</f>
        <v>n/a</v>
      </c>
      <c r="Y88" s="62" t="str">
        <f>IF(W88="YES",IF(C88+730.5&lt;'BASIC INFO'!$B$3, "YES","NO"), "N/A")</f>
        <v>N/A</v>
      </c>
      <c r="Z88" s="57" t="str">
        <f>IF('CASE DATA'!F89="725.1","YES","NO")</f>
        <v>NO</v>
      </c>
      <c r="AA88" s="57" t="str">
        <f>IF(Z88="YES",IF(C88+730.5&lt;'BASIC INFO'!$B$3, "YES","NO"), "N/A")</f>
        <v>N/A</v>
      </c>
      <c r="AB88" s="57" t="str">
        <f>IF('BASIC INFO'!$B$6+6574.5&gt;C88, "YES", "NO")</f>
        <v>YES</v>
      </c>
      <c r="AC88" s="57" t="str">
        <f>IF(Z88="YES",COUNTIFS(AD$3:$AD$200,"&gt;"&amp;('CASE DATA'!D89),$AD$3:$AD$200,"&lt;"&amp;('CASE DATA'!D89+730.5)),"n/a")</f>
        <v>n/a</v>
      </c>
    </row>
    <row r="89" spans="1:29" x14ac:dyDescent="0.25">
      <c r="A89" s="57" t="str">
        <f>IF('CASE DATA'!A90="","z",'CASE DATA'!A90)</f>
        <v>z</v>
      </c>
      <c r="B89" s="57" t="str">
        <f>IF('CASE DATA'!A90="","",'CASE DATA'!E90)</f>
        <v/>
      </c>
      <c r="C89" s="58">
        <f>'CASE DATA'!D90</f>
        <v>0</v>
      </c>
      <c r="D89" s="59" t="str">
        <f>IF('CASE DATA'!I90="YES",SUM('CASE DATA'!J90:P90),"n/a")</f>
        <v>n/a</v>
      </c>
      <c r="E89" s="60" t="str">
        <f>IF(OR('CASE DATA'!G90="JUV", 'CASE DATA'!G90="JWV"), "YES", "NO")</f>
        <v>NO</v>
      </c>
      <c r="F89" s="60" t="str">
        <f t="array" ref="F89">IF(E89="YES",IF(SUM(COUNTIF('CASE DATA'!$G$4:$G$200, {"GTR","GPL","DEF","JUV"}))&gt;0, "YES","NO"),"N/A")</f>
        <v>N/A</v>
      </c>
      <c r="G89" s="60" t="str">
        <f>IF(E89="YES",IF(COUNTIF('CASE DATA'!$D$4:$D$200, "")-COUNTIF('CASE DATA'!$A$4:$A$200, "")&gt;0, "YES","NO"),"N/A")</f>
        <v>N/A</v>
      </c>
      <c r="H89" s="57" t="str">
        <f>_xlfn.IFS(E89="NO", "N/A", AND('BASIC INFO'!$B$3&gt;'BASIC INFO'!$B$6+6574.5, C89+730.5&lt;'BASIC INFO'!$B$3), "YES", 'BASIC INFO'!$B$3&lt;('BASIC INFO'!$B$6+6574.5), "NOT YET 18", C89+730.5&gt;'BASIC INFO'!$B$3, "NOT YET 2 YEARS")</f>
        <v>N/A</v>
      </c>
      <c r="I89" s="61" t="str">
        <f>IF(OR(AND(LEFT('CASE DATA'!F90,4)="321.",MID('CASE DATA'!A90,8,2)="SM"),MID('CASE DATA'!A90,8,2)="ST",MID('CASE DATA'!A90,8,2)="NT"),"TRAFFIC",IF(OR('CASE DATA'!G90="DISM", 'CASE DATA'!G90="ACQ", 'CASE DATA'!G90="NOTF", 'CASE DATA'!G90="WTHD", 'CASE DATA'!G90="TNSF"), "YES", "NO"))</f>
        <v>NO</v>
      </c>
      <c r="J89" s="62" t="str">
        <f>IF(I89="YES",'CASE DATA'!T90,"N/A")</f>
        <v>N/A</v>
      </c>
      <c r="K89" s="57" t="str">
        <f>IF(I89="YES",IF(C89+180&lt;'BASIC INFO'!$B$3, "YES", "NO"),"N/A")</f>
        <v>N/A</v>
      </c>
      <c r="L89" s="62" t="str">
        <f t="array" ref="L89">IF(I89="TRAFFIC","n/a",IF(OR('CASE DATA'!G90="GTR", 'CASE DATA'!G90="GPL"),IF(SUM(COUNTIF('CASE DATA'!W90:AH90, 'CODE SECTIONS'!$V$2:$V$218&amp;"*"))&gt;0,"felony","eligible"),"n/a"))</f>
        <v>n/a</v>
      </c>
      <c r="M89" s="62" t="str">
        <f t="array" ref="M89">IF(L89="eligible",IF(OR((SUM(COUNTIF('CASE DATA'!W90:AH90,'CODE SECTIONS'!$X$2:$X$19&amp;"*"))&gt;0),LEFT('CASE DATA'!W90:AH90,4)="717C", LEFT('CASE DATA'!W90:AH90, 3)="719", LEFT('CASE DATA'!W90:AH90,3)="720", LEFT('CASE DATA'!W90:AH90,3)="724", LEFT('CASE DATA'!W90:AH90,3)="726", LEFT('CASE DATA'!W90:AH90,3)="728", LEFT('CASE DATA'!W90:AH90,4)="901A"), "ineligible misd","eligible"),"n/a")</f>
        <v>n/a</v>
      </c>
      <c r="N89" s="62" t="str">
        <f>IF(M89="eligible",IF(COUNTIF('CASE DATA'!$D$4:$D$200, "")-COUNTIF('CASE DATA'!$A$4:$A$200, "")&gt;0, "YES","NO"),"N/A")</f>
        <v>N/A</v>
      </c>
      <c r="O89" s="62" t="str">
        <f>IF(M89="eligible",BANKRUPTCY!C90+BANKRUPTCY!D90,"N/A")</f>
        <v>N/A</v>
      </c>
      <c r="P89" s="62" t="str">
        <f>IF(M89="eligible",SOL!C90+SOL!D90+SOL!E90,"N/A")</f>
        <v>N/A</v>
      </c>
      <c r="Q89" s="62" t="str">
        <f>IF(M89="eligible",SUM('CASE DATA'!J90:S90),"N/A")</f>
        <v>N/A</v>
      </c>
      <c r="R89" s="62" t="str">
        <f>IF(M89="eligible",IF(C89+2920&lt;'BASIC INFO'!$B$3, "YES", "NO"),"N/A")</f>
        <v>N/A</v>
      </c>
      <c r="S89" s="61" t="str">
        <f>IF(OR('CASE DATA'!G90="DEF"), "YES", "NO")</f>
        <v>NO</v>
      </c>
      <c r="T89" s="57" t="str">
        <f>IF(S89="YES",'CASE DATA'!I90,"N/A")</f>
        <v>N/A</v>
      </c>
      <c r="U89" s="62" t="str">
        <f>IF(S89="YES",BANKRUPTCY!C90+BANKRUPTCY!D90,"N/A")</f>
        <v>N/A</v>
      </c>
      <c r="V89" s="62" t="str">
        <f>IF(S89="YES",SUM('CASE DATA'!J90:S90),"N/A")</f>
        <v>N/A</v>
      </c>
      <c r="W89" s="57" t="str">
        <f>IF(OR('CASE DATA'!F90="123.46",'CASE DATA'!F90="123.47"),"YES","NO")</f>
        <v>NO</v>
      </c>
      <c r="X89" s="60" t="str">
        <f>IF(W89="YES",COUNTIFS(AD$3:$AD$200,"&gt;"&amp;('CASE DATA'!D90),$AD$3:$AD$200,"&lt;"&amp;('CASE DATA'!D90+730.5)),"n/a")</f>
        <v>n/a</v>
      </c>
      <c r="Y89" s="62" t="str">
        <f>IF(W89="YES",IF(C89+730.5&lt;'BASIC INFO'!$B$3, "YES","NO"), "N/A")</f>
        <v>N/A</v>
      </c>
      <c r="Z89" s="57" t="str">
        <f>IF('CASE DATA'!F90="725.1","YES","NO")</f>
        <v>NO</v>
      </c>
      <c r="AA89" s="57" t="str">
        <f>IF(Z89="YES",IF(C89+730.5&lt;'BASIC INFO'!$B$3, "YES","NO"), "N/A")</f>
        <v>N/A</v>
      </c>
      <c r="AB89" s="57" t="str">
        <f>IF('BASIC INFO'!$B$6+6574.5&gt;C89, "YES", "NO")</f>
        <v>YES</v>
      </c>
      <c r="AC89" s="57" t="str">
        <f>IF(Z89="YES",COUNTIFS(AD$3:$AD$200,"&gt;"&amp;('CASE DATA'!D90),$AD$3:$AD$200,"&lt;"&amp;('CASE DATA'!D90+730.5)),"n/a")</f>
        <v>n/a</v>
      </c>
    </row>
    <row r="90" spans="1:29" x14ac:dyDescent="0.25">
      <c r="A90" s="57" t="str">
        <f>IF('CASE DATA'!A91="","z",'CASE DATA'!A91)</f>
        <v>z</v>
      </c>
      <c r="B90" s="57" t="str">
        <f>IF('CASE DATA'!A91="","",'CASE DATA'!E91)</f>
        <v/>
      </c>
      <c r="C90" s="58">
        <f>'CASE DATA'!D91</f>
        <v>0</v>
      </c>
      <c r="D90" s="59" t="str">
        <f>IF('CASE DATA'!I91="YES",SUM('CASE DATA'!J91:P91),"n/a")</f>
        <v>n/a</v>
      </c>
      <c r="E90" s="60" t="str">
        <f>IF(OR('CASE DATA'!G91="JUV", 'CASE DATA'!G91="JWV"), "YES", "NO")</f>
        <v>NO</v>
      </c>
      <c r="F90" s="60" t="str">
        <f t="array" ref="F90">IF(E90="YES",IF(SUM(COUNTIF('CASE DATA'!$G$4:$G$200, {"GTR","GPL","DEF","JUV"}))&gt;0, "YES","NO"),"N/A")</f>
        <v>N/A</v>
      </c>
      <c r="G90" s="60" t="str">
        <f>IF(E90="YES",IF(COUNTIF('CASE DATA'!$D$4:$D$200, "")-COUNTIF('CASE DATA'!$A$4:$A$200, "")&gt;0, "YES","NO"),"N/A")</f>
        <v>N/A</v>
      </c>
      <c r="H90" s="57" t="str">
        <f>_xlfn.IFS(E90="NO", "N/A", AND('BASIC INFO'!$B$3&gt;'BASIC INFO'!$B$6+6574.5, C90+730.5&lt;'BASIC INFO'!$B$3), "YES", 'BASIC INFO'!$B$3&lt;('BASIC INFO'!$B$6+6574.5), "NOT YET 18", C90+730.5&gt;'BASIC INFO'!$B$3, "NOT YET 2 YEARS")</f>
        <v>N/A</v>
      </c>
      <c r="I90" s="61" t="str">
        <f>IF(OR(AND(LEFT('CASE DATA'!F91,4)="321.",MID('CASE DATA'!A91,8,2)="SM"),MID('CASE DATA'!A91,8,2)="ST",MID('CASE DATA'!A91,8,2)="NT"),"TRAFFIC",IF(OR('CASE DATA'!G91="DISM", 'CASE DATA'!G91="ACQ", 'CASE DATA'!G91="NOTF", 'CASE DATA'!G91="WTHD", 'CASE DATA'!G91="TNSF"), "YES", "NO"))</f>
        <v>NO</v>
      </c>
      <c r="J90" s="62" t="str">
        <f>IF(I90="YES",'CASE DATA'!T91,"N/A")</f>
        <v>N/A</v>
      </c>
      <c r="K90" s="57" t="str">
        <f>IF(I90="YES",IF(C90+180&lt;'BASIC INFO'!$B$3, "YES", "NO"),"N/A")</f>
        <v>N/A</v>
      </c>
      <c r="L90" s="62" t="str">
        <f t="array" ref="L90">IF(I90="TRAFFIC","n/a",IF(OR('CASE DATA'!G91="GTR", 'CASE DATA'!G91="GPL"),IF(SUM(COUNTIF('CASE DATA'!W91:AH91, 'CODE SECTIONS'!$V$2:$V$218&amp;"*"))&gt;0,"felony","eligible"),"n/a"))</f>
        <v>n/a</v>
      </c>
      <c r="M90" s="62" t="str">
        <f t="array" ref="M90">IF(L90="eligible",IF(OR((SUM(COUNTIF('CASE DATA'!W91:AH91,'CODE SECTIONS'!$X$2:$X$19&amp;"*"))&gt;0),LEFT('CASE DATA'!W91:AH91,4)="717C", LEFT('CASE DATA'!W91:AH91, 3)="719", LEFT('CASE DATA'!W91:AH91,3)="720", LEFT('CASE DATA'!W91:AH91,3)="724", LEFT('CASE DATA'!W91:AH91,3)="726", LEFT('CASE DATA'!W91:AH91,3)="728", LEFT('CASE DATA'!W91:AH91,4)="901A"), "ineligible misd","eligible"),"n/a")</f>
        <v>n/a</v>
      </c>
      <c r="N90" s="62" t="str">
        <f>IF(M90="eligible",IF(COUNTIF('CASE DATA'!$D$4:$D$200, "")-COUNTIF('CASE DATA'!$A$4:$A$200, "")&gt;0, "YES","NO"),"N/A")</f>
        <v>N/A</v>
      </c>
      <c r="O90" s="62" t="str">
        <f>IF(M90="eligible",BANKRUPTCY!C91+BANKRUPTCY!D91,"N/A")</f>
        <v>N/A</v>
      </c>
      <c r="P90" s="62" t="str">
        <f>IF(M90="eligible",SOL!C91+SOL!D91+SOL!E91,"N/A")</f>
        <v>N/A</v>
      </c>
      <c r="Q90" s="62" t="str">
        <f>IF(M90="eligible",SUM('CASE DATA'!J91:S91),"N/A")</f>
        <v>N/A</v>
      </c>
      <c r="R90" s="62" t="str">
        <f>IF(M90="eligible",IF(C90+2920&lt;'BASIC INFO'!$B$3, "YES", "NO"),"N/A")</f>
        <v>N/A</v>
      </c>
      <c r="S90" s="61" t="str">
        <f>IF(OR('CASE DATA'!G91="DEF"), "YES", "NO")</f>
        <v>NO</v>
      </c>
      <c r="T90" s="57" t="str">
        <f>IF(S90="YES",'CASE DATA'!I91,"N/A")</f>
        <v>N/A</v>
      </c>
      <c r="U90" s="62" t="str">
        <f>IF(S90="YES",BANKRUPTCY!C91+BANKRUPTCY!D91,"N/A")</f>
        <v>N/A</v>
      </c>
      <c r="V90" s="62" t="str">
        <f>IF(S90="YES",SUM('CASE DATA'!J91:S91),"N/A")</f>
        <v>N/A</v>
      </c>
      <c r="W90" s="57" t="str">
        <f>IF(OR('CASE DATA'!F91="123.46",'CASE DATA'!F91="123.47"),"YES","NO")</f>
        <v>NO</v>
      </c>
      <c r="X90" s="60" t="str">
        <f>IF(W90="YES",COUNTIFS(AD$3:$AD$200,"&gt;"&amp;('CASE DATA'!D91),$AD$3:$AD$200,"&lt;"&amp;('CASE DATA'!D91+730.5)),"n/a")</f>
        <v>n/a</v>
      </c>
      <c r="Y90" s="62" t="str">
        <f>IF(W90="YES",IF(C90+730.5&lt;'BASIC INFO'!$B$3, "YES","NO"), "N/A")</f>
        <v>N/A</v>
      </c>
      <c r="Z90" s="57" t="str">
        <f>IF('CASE DATA'!F91="725.1","YES","NO")</f>
        <v>NO</v>
      </c>
      <c r="AA90" s="57" t="str">
        <f>IF(Z90="YES",IF(C90+730.5&lt;'BASIC INFO'!$B$3, "YES","NO"), "N/A")</f>
        <v>N/A</v>
      </c>
      <c r="AB90" s="57" t="str">
        <f>IF('BASIC INFO'!$B$6+6574.5&gt;C90, "YES", "NO")</f>
        <v>YES</v>
      </c>
      <c r="AC90" s="57" t="str">
        <f>IF(Z90="YES",COUNTIFS(AD$3:$AD$200,"&gt;"&amp;('CASE DATA'!D91),$AD$3:$AD$200,"&lt;"&amp;('CASE DATA'!D91+730.5)),"n/a")</f>
        <v>n/a</v>
      </c>
    </row>
    <row r="91" spans="1:29" x14ac:dyDescent="0.25">
      <c r="A91" s="57" t="str">
        <f>IF('CASE DATA'!A92="","z",'CASE DATA'!A92)</f>
        <v>z</v>
      </c>
      <c r="B91" s="57" t="str">
        <f>IF('CASE DATA'!A92="","",'CASE DATA'!E92)</f>
        <v/>
      </c>
      <c r="C91" s="58">
        <f>'CASE DATA'!D92</f>
        <v>0</v>
      </c>
      <c r="D91" s="59" t="str">
        <f>IF('CASE DATA'!I92="YES",SUM('CASE DATA'!J92:P92),"n/a")</f>
        <v>n/a</v>
      </c>
      <c r="E91" s="60" t="str">
        <f>IF(OR('CASE DATA'!G92="JUV", 'CASE DATA'!G92="JWV"), "YES", "NO")</f>
        <v>NO</v>
      </c>
      <c r="F91" s="60" t="str">
        <f t="array" ref="F91">IF(E91="YES",IF(SUM(COUNTIF('CASE DATA'!$G$4:$G$200, {"GTR","GPL","DEF","JUV"}))&gt;0, "YES","NO"),"N/A")</f>
        <v>N/A</v>
      </c>
      <c r="G91" s="60" t="str">
        <f>IF(E91="YES",IF(COUNTIF('CASE DATA'!$D$4:$D$200, "")-COUNTIF('CASE DATA'!$A$4:$A$200, "")&gt;0, "YES","NO"),"N/A")</f>
        <v>N/A</v>
      </c>
      <c r="H91" s="57" t="str">
        <f>_xlfn.IFS(E91="NO", "N/A", AND('BASIC INFO'!$B$3&gt;'BASIC INFO'!$B$6+6574.5, C91+730.5&lt;'BASIC INFO'!$B$3), "YES", 'BASIC INFO'!$B$3&lt;('BASIC INFO'!$B$6+6574.5), "NOT YET 18", C91+730.5&gt;'BASIC INFO'!$B$3, "NOT YET 2 YEARS")</f>
        <v>N/A</v>
      </c>
      <c r="I91" s="61" t="str">
        <f>IF(OR(AND(LEFT('CASE DATA'!F92,4)="321.",MID('CASE DATA'!A92,8,2)="SM"),MID('CASE DATA'!A92,8,2)="ST",MID('CASE DATA'!A92,8,2)="NT"),"TRAFFIC",IF(OR('CASE DATA'!G92="DISM", 'CASE DATA'!G92="ACQ", 'CASE DATA'!G92="NOTF", 'CASE DATA'!G92="WTHD", 'CASE DATA'!G92="TNSF"), "YES", "NO"))</f>
        <v>NO</v>
      </c>
      <c r="J91" s="62" t="str">
        <f>IF(I91="YES",'CASE DATA'!T92,"N/A")</f>
        <v>N/A</v>
      </c>
      <c r="K91" s="57" t="str">
        <f>IF(I91="YES",IF(C91+180&lt;'BASIC INFO'!$B$3, "YES", "NO"),"N/A")</f>
        <v>N/A</v>
      </c>
      <c r="L91" s="62" t="str">
        <f t="array" ref="L91">IF(I91="TRAFFIC","n/a",IF(OR('CASE DATA'!G92="GTR", 'CASE DATA'!G92="GPL"),IF(SUM(COUNTIF('CASE DATA'!W92:AH92, 'CODE SECTIONS'!$V$2:$V$218&amp;"*"))&gt;0,"felony","eligible"),"n/a"))</f>
        <v>n/a</v>
      </c>
      <c r="M91" s="62" t="str">
        <f t="array" ref="M91">IF(L91="eligible",IF(OR((SUM(COUNTIF('CASE DATA'!W92:AH92,'CODE SECTIONS'!$X$2:$X$19&amp;"*"))&gt;0),LEFT('CASE DATA'!W92:AH92,4)="717C", LEFT('CASE DATA'!W92:AH92, 3)="719", LEFT('CASE DATA'!W92:AH92,3)="720", LEFT('CASE DATA'!W92:AH92,3)="724", LEFT('CASE DATA'!W92:AH92,3)="726", LEFT('CASE DATA'!W92:AH92,3)="728", LEFT('CASE DATA'!W92:AH92,4)="901A"), "ineligible misd","eligible"),"n/a")</f>
        <v>n/a</v>
      </c>
      <c r="N91" s="62" t="str">
        <f>IF(M91="eligible",IF(COUNTIF('CASE DATA'!$D$4:$D$200, "")-COUNTIF('CASE DATA'!$A$4:$A$200, "")&gt;0, "YES","NO"),"N/A")</f>
        <v>N/A</v>
      </c>
      <c r="O91" s="62" t="str">
        <f>IF(M91="eligible",BANKRUPTCY!C92+BANKRUPTCY!D92,"N/A")</f>
        <v>N/A</v>
      </c>
      <c r="P91" s="62" t="str">
        <f>IF(M91="eligible",SOL!C92+SOL!D92+SOL!E92,"N/A")</f>
        <v>N/A</v>
      </c>
      <c r="Q91" s="62" t="str">
        <f>IF(M91="eligible",SUM('CASE DATA'!J92:S92),"N/A")</f>
        <v>N/A</v>
      </c>
      <c r="R91" s="62" t="str">
        <f>IF(M91="eligible",IF(C91+2920&lt;'BASIC INFO'!$B$3, "YES", "NO"),"N/A")</f>
        <v>N/A</v>
      </c>
      <c r="S91" s="61" t="str">
        <f>IF(OR('CASE DATA'!G92="DEF"), "YES", "NO")</f>
        <v>NO</v>
      </c>
      <c r="T91" s="57" t="str">
        <f>IF(S91="YES",'CASE DATA'!I92,"N/A")</f>
        <v>N/A</v>
      </c>
      <c r="U91" s="62" t="str">
        <f>IF(S91="YES",BANKRUPTCY!C92+BANKRUPTCY!D92,"N/A")</f>
        <v>N/A</v>
      </c>
      <c r="V91" s="62" t="str">
        <f>IF(S91="YES",SUM('CASE DATA'!J92:S92),"N/A")</f>
        <v>N/A</v>
      </c>
      <c r="W91" s="57" t="str">
        <f>IF(OR('CASE DATA'!F92="123.46",'CASE DATA'!F92="123.47"),"YES","NO")</f>
        <v>NO</v>
      </c>
      <c r="X91" s="60" t="str">
        <f>IF(W91="YES",COUNTIFS(AD$3:$AD$200,"&gt;"&amp;('CASE DATA'!D92),$AD$3:$AD$200,"&lt;"&amp;('CASE DATA'!D92+730.5)),"n/a")</f>
        <v>n/a</v>
      </c>
      <c r="Y91" s="62" t="str">
        <f>IF(W91="YES",IF(C91+730.5&lt;'BASIC INFO'!$B$3, "YES","NO"), "N/A")</f>
        <v>N/A</v>
      </c>
      <c r="Z91" s="57" t="str">
        <f>IF('CASE DATA'!F92="725.1","YES","NO")</f>
        <v>NO</v>
      </c>
      <c r="AA91" s="57" t="str">
        <f>IF(Z91="YES",IF(C91+730.5&lt;'BASIC INFO'!$B$3, "YES","NO"), "N/A")</f>
        <v>N/A</v>
      </c>
      <c r="AB91" s="57" t="str">
        <f>IF('BASIC INFO'!$B$6+6574.5&gt;C91, "YES", "NO")</f>
        <v>YES</v>
      </c>
      <c r="AC91" s="57" t="str">
        <f>IF(Z91="YES",COUNTIFS(AD$3:$AD$200,"&gt;"&amp;('CASE DATA'!D92),$AD$3:$AD$200,"&lt;"&amp;('CASE DATA'!D92+730.5)),"n/a")</f>
        <v>n/a</v>
      </c>
    </row>
    <row r="92" spans="1:29" x14ac:dyDescent="0.25">
      <c r="A92" s="57" t="str">
        <f>IF('CASE DATA'!A93="","z",'CASE DATA'!A93)</f>
        <v>z</v>
      </c>
      <c r="B92" s="57" t="str">
        <f>IF('CASE DATA'!A93="","",'CASE DATA'!E93)</f>
        <v/>
      </c>
      <c r="C92" s="58">
        <f>'CASE DATA'!D93</f>
        <v>0</v>
      </c>
      <c r="D92" s="59" t="str">
        <f>IF('CASE DATA'!I93="YES",SUM('CASE DATA'!J93:P93),"n/a")</f>
        <v>n/a</v>
      </c>
      <c r="E92" s="60" t="str">
        <f>IF(OR('CASE DATA'!G93="JUV", 'CASE DATA'!G93="JWV"), "YES", "NO")</f>
        <v>NO</v>
      </c>
      <c r="F92" s="60" t="str">
        <f t="array" ref="F92">IF(E92="YES",IF(SUM(COUNTIF('CASE DATA'!$G$4:$G$200, {"GTR","GPL","DEF","JUV"}))&gt;0, "YES","NO"),"N/A")</f>
        <v>N/A</v>
      </c>
      <c r="G92" s="60" t="str">
        <f>IF(E92="YES",IF(COUNTIF('CASE DATA'!$D$4:$D$200, "")-COUNTIF('CASE DATA'!$A$4:$A$200, "")&gt;0, "YES","NO"),"N/A")</f>
        <v>N/A</v>
      </c>
      <c r="H92" s="57" t="str">
        <f>_xlfn.IFS(E92="NO", "N/A", AND('BASIC INFO'!$B$3&gt;'BASIC INFO'!$B$6+6574.5, C92+730.5&lt;'BASIC INFO'!$B$3), "YES", 'BASIC INFO'!$B$3&lt;('BASIC INFO'!$B$6+6574.5), "NOT YET 18", C92+730.5&gt;'BASIC INFO'!$B$3, "NOT YET 2 YEARS")</f>
        <v>N/A</v>
      </c>
      <c r="I92" s="61" t="str">
        <f>IF(OR(AND(LEFT('CASE DATA'!F93,4)="321.",MID('CASE DATA'!A93,8,2)="SM"),MID('CASE DATA'!A93,8,2)="ST",MID('CASE DATA'!A93,8,2)="NT"),"TRAFFIC",IF(OR('CASE DATA'!G93="DISM", 'CASE DATA'!G93="ACQ", 'CASE DATA'!G93="NOTF", 'CASE DATA'!G93="WTHD", 'CASE DATA'!G93="TNSF"), "YES", "NO"))</f>
        <v>NO</v>
      </c>
      <c r="J92" s="62" t="str">
        <f>IF(I92="YES",'CASE DATA'!T93,"N/A")</f>
        <v>N/A</v>
      </c>
      <c r="K92" s="57" t="str">
        <f>IF(I92="YES",IF(C92+180&lt;'BASIC INFO'!$B$3, "YES", "NO"),"N/A")</f>
        <v>N/A</v>
      </c>
      <c r="L92" s="62" t="str">
        <f t="array" ref="L92">IF(I92="TRAFFIC","n/a",IF(OR('CASE DATA'!G93="GTR", 'CASE DATA'!G93="GPL"),IF(SUM(COUNTIF('CASE DATA'!W93:AH93, 'CODE SECTIONS'!$V$2:$V$218&amp;"*"))&gt;0,"felony","eligible"),"n/a"))</f>
        <v>n/a</v>
      </c>
      <c r="M92" s="62" t="str">
        <f t="array" ref="M92">IF(L92="eligible",IF(OR((SUM(COUNTIF('CASE DATA'!W93:AH93,'CODE SECTIONS'!$X$2:$X$19&amp;"*"))&gt;0),LEFT('CASE DATA'!W93:AH93,4)="717C", LEFT('CASE DATA'!W93:AH93, 3)="719", LEFT('CASE DATA'!W93:AH93,3)="720", LEFT('CASE DATA'!W93:AH93,3)="724", LEFT('CASE DATA'!W93:AH93,3)="726", LEFT('CASE DATA'!W93:AH93,3)="728", LEFT('CASE DATA'!W93:AH93,4)="901A"), "ineligible misd","eligible"),"n/a")</f>
        <v>n/a</v>
      </c>
      <c r="N92" s="62" t="str">
        <f>IF(M92="eligible",IF(COUNTIF('CASE DATA'!$D$4:$D$200, "")-COUNTIF('CASE DATA'!$A$4:$A$200, "")&gt;0, "YES","NO"),"N/A")</f>
        <v>N/A</v>
      </c>
      <c r="O92" s="62" t="str">
        <f>IF(M92="eligible",BANKRUPTCY!C93+BANKRUPTCY!D93,"N/A")</f>
        <v>N/A</v>
      </c>
      <c r="P92" s="62" t="str">
        <f>IF(M92="eligible",SOL!C93+SOL!D93+SOL!E93,"N/A")</f>
        <v>N/A</v>
      </c>
      <c r="Q92" s="62" t="str">
        <f>IF(M92="eligible",SUM('CASE DATA'!J93:S93),"N/A")</f>
        <v>N/A</v>
      </c>
      <c r="R92" s="62" t="str">
        <f>IF(M92="eligible",IF(C92+2920&lt;'BASIC INFO'!$B$3, "YES", "NO"),"N/A")</f>
        <v>N/A</v>
      </c>
      <c r="S92" s="61" t="str">
        <f>IF(OR('CASE DATA'!G93="DEF"), "YES", "NO")</f>
        <v>NO</v>
      </c>
      <c r="T92" s="57" t="str">
        <f>IF(S92="YES",'CASE DATA'!I93,"N/A")</f>
        <v>N/A</v>
      </c>
      <c r="U92" s="62" t="str">
        <f>IF(S92="YES",BANKRUPTCY!C93+BANKRUPTCY!D93,"N/A")</f>
        <v>N/A</v>
      </c>
      <c r="V92" s="62" t="str">
        <f>IF(S92="YES",SUM('CASE DATA'!J93:S93),"N/A")</f>
        <v>N/A</v>
      </c>
      <c r="W92" s="57" t="str">
        <f>IF(OR('CASE DATA'!F93="123.46",'CASE DATA'!F93="123.47"),"YES","NO")</f>
        <v>NO</v>
      </c>
      <c r="X92" s="60" t="str">
        <f>IF(W92="YES",COUNTIFS(AD$3:$AD$200,"&gt;"&amp;('CASE DATA'!D93),$AD$3:$AD$200,"&lt;"&amp;('CASE DATA'!D93+730.5)),"n/a")</f>
        <v>n/a</v>
      </c>
      <c r="Y92" s="62" t="str">
        <f>IF(W92="YES",IF(C92+730.5&lt;'BASIC INFO'!$B$3, "YES","NO"), "N/A")</f>
        <v>N/A</v>
      </c>
      <c r="Z92" s="57" t="str">
        <f>IF('CASE DATA'!F93="725.1","YES","NO")</f>
        <v>NO</v>
      </c>
      <c r="AA92" s="57" t="str">
        <f>IF(Z92="YES",IF(C92+730.5&lt;'BASIC INFO'!$B$3, "YES","NO"), "N/A")</f>
        <v>N/A</v>
      </c>
      <c r="AB92" s="57" t="str">
        <f>IF('BASIC INFO'!$B$6+6574.5&gt;C92, "YES", "NO")</f>
        <v>YES</v>
      </c>
      <c r="AC92" s="57" t="str">
        <f>IF(Z92="YES",COUNTIFS(AD$3:$AD$200,"&gt;"&amp;('CASE DATA'!D93),$AD$3:$AD$200,"&lt;"&amp;('CASE DATA'!D93+730.5)),"n/a")</f>
        <v>n/a</v>
      </c>
    </row>
    <row r="93" spans="1:29" x14ac:dyDescent="0.25">
      <c r="A93" s="57" t="str">
        <f>IF('CASE DATA'!A94="","z",'CASE DATA'!A94)</f>
        <v>z</v>
      </c>
      <c r="B93" s="57" t="str">
        <f>IF('CASE DATA'!A94="","",'CASE DATA'!E94)</f>
        <v/>
      </c>
      <c r="C93" s="58">
        <f>'CASE DATA'!D94</f>
        <v>0</v>
      </c>
      <c r="D93" s="59" t="str">
        <f>IF('CASE DATA'!I94="YES",SUM('CASE DATA'!J94:P94),"n/a")</f>
        <v>n/a</v>
      </c>
      <c r="E93" s="60" t="str">
        <f>IF(OR('CASE DATA'!G94="JUV", 'CASE DATA'!G94="JWV"), "YES", "NO")</f>
        <v>NO</v>
      </c>
      <c r="F93" s="60" t="str">
        <f t="array" ref="F93">IF(E93="YES",IF(SUM(COUNTIF('CASE DATA'!$G$4:$G$200, {"GTR","GPL","DEF","JUV"}))&gt;0, "YES","NO"),"N/A")</f>
        <v>N/A</v>
      </c>
      <c r="G93" s="60" t="str">
        <f>IF(E93="YES",IF(COUNTIF('CASE DATA'!$D$4:$D$200, "")-COUNTIF('CASE DATA'!$A$4:$A$200, "")&gt;0, "YES","NO"),"N/A")</f>
        <v>N/A</v>
      </c>
      <c r="H93" s="57" t="str">
        <f>_xlfn.IFS(E93="NO", "N/A", AND('BASIC INFO'!$B$3&gt;'BASIC INFO'!$B$6+6574.5, C93+730.5&lt;'BASIC INFO'!$B$3), "YES", 'BASIC INFO'!$B$3&lt;('BASIC INFO'!$B$6+6574.5), "NOT YET 18", C93+730.5&gt;'BASIC INFO'!$B$3, "NOT YET 2 YEARS")</f>
        <v>N/A</v>
      </c>
      <c r="I93" s="61" t="str">
        <f>IF(OR(AND(LEFT('CASE DATA'!F94,4)="321.",MID('CASE DATA'!A94,8,2)="SM"),MID('CASE DATA'!A94,8,2)="ST",MID('CASE DATA'!A94,8,2)="NT"),"TRAFFIC",IF(OR('CASE DATA'!G94="DISM", 'CASE DATA'!G94="ACQ", 'CASE DATA'!G94="NOTF", 'CASE DATA'!G94="WTHD", 'CASE DATA'!G94="TNSF"), "YES", "NO"))</f>
        <v>NO</v>
      </c>
      <c r="J93" s="62" t="str">
        <f>IF(I93="YES",'CASE DATA'!T94,"N/A")</f>
        <v>N/A</v>
      </c>
      <c r="K93" s="57" t="str">
        <f>IF(I93="YES",IF(C93+180&lt;'BASIC INFO'!$B$3, "YES", "NO"),"N/A")</f>
        <v>N/A</v>
      </c>
      <c r="L93" s="62" t="str">
        <f t="array" ref="L93">IF(I93="TRAFFIC","n/a",IF(OR('CASE DATA'!G94="GTR", 'CASE DATA'!G94="GPL"),IF(SUM(COUNTIF('CASE DATA'!W94:AH94, 'CODE SECTIONS'!$V$2:$V$218&amp;"*"))&gt;0,"felony","eligible"),"n/a"))</f>
        <v>n/a</v>
      </c>
      <c r="M93" s="62" t="str">
        <f t="array" ref="M93">IF(L93="eligible",IF(OR((SUM(COUNTIF('CASE DATA'!W94:AH94,'CODE SECTIONS'!$X$2:$X$19&amp;"*"))&gt;0),LEFT('CASE DATA'!W94:AH94,4)="717C", LEFT('CASE DATA'!W94:AH94, 3)="719", LEFT('CASE DATA'!W94:AH94,3)="720", LEFT('CASE DATA'!W94:AH94,3)="724", LEFT('CASE DATA'!W94:AH94,3)="726", LEFT('CASE DATA'!W94:AH94,3)="728", LEFT('CASE DATA'!W94:AH94,4)="901A"), "ineligible misd","eligible"),"n/a")</f>
        <v>n/a</v>
      </c>
      <c r="N93" s="62" t="str">
        <f>IF(M93="eligible",IF(COUNTIF('CASE DATA'!$D$4:$D$200, "")-COUNTIF('CASE DATA'!$A$4:$A$200, "")&gt;0, "YES","NO"),"N/A")</f>
        <v>N/A</v>
      </c>
      <c r="O93" s="62" t="str">
        <f>IF(M93="eligible",BANKRUPTCY!C94+BANKRUPTCY!D94,"N/A")</f>
        <v>N/A</v>
      </c>
      <c r="P93" s="62" t="str">
        <f>IF(M93="eligible",SOL!C94+SOL!D94+SOL!E94,"N/A")</f>
        <v>N/A</v>
      </c>
      <c r="Q93" s="62" t="str">
        <f>IF(M93="eligible",SUM('CASE DATA'!J94:S94),"N/A")</f>
        <v>N/A</v>
      </c>
      <c r="R93" s="62" t="str">
        <f>IF(M93="eligible",IF(C93+2920&lt;'BASIC INFO'!$B$3, "YES", "NO"),"N/A")</f>
        <v>N/A</v>
      </c>
      <c r="S93" s="61" t="str">
        <f>IF(OR('CASE DATA'!G94="DEF"), "YES", "NO")</f>
        <v>NO</v>
      </c>
      <c r="T93" s="57" t="str">
        <f>IF(S93="YES",'CASE DATA'!I94,"N/A")</f>
        <v>N/A</v>
      </c>
      <c r="U93" s="62" t="str">
        <f>IF(S93="YES",BANKRUPTCY!C94+BANKRUPTCY!D94,"N/A")</f>
        <v>N/A</v>
      </c>
      <c r="V93" s="62" t="str">
        <f>IF(S93="YES",SUM('CASE DATA'!J94:S94),"N/A")</f>
        <v>N/A</v>
      </c>
      <c r="W93" s="57" t="str">
        <f>IF(OR('CASE DATA'!F94="123.46",'CASE DATA'!F94="123.47"),"YES","NO")</f>
        <v>NO</v>
      </c>
      <c r="X93" s="60" t="str">
        <f>IF(W93="YES",COUNTIFS(AD$3:$AD$200,"&gt;"&amp;('CASE DATA'!D94),$AD$3:$AD$200,"&lt;"&amp;('CASE DATA'!D94+730.5)),"n/a")</f>
        <v>n/a</v>
      </c>
      <c r="Y93" s="62" t="str">
        <f>IF(W93="YES",IF(C93+730.5&lt;'BASIC INFO'!$B$3, "YES","NO"), "N/A")</f>
        <v>N/A</v>
      </c>
      <c r="Z93" s="57" t="str">
        <f>IF('CASE DATA'!F94="725.1","YES","NO")</f>
        <v>NO</v>
      </c>
      <c r="AA93" s="57" t="str">
        <f>IF(Z93="YES",IF(C93+730.5&lt;'BASIC INFO'!$B$3, "YES","NO"), "N/A")</f>
        <v>N/A</v>
      </c>
      <c r="AB93" s="57" t="str">
        <f>IF('BASIC INFO'!$B$6+6574.5&gt;C93, "YES", "NO")</f>
        <v>YES</v>
      </c>
      <c r="AC93" s="57" t="str">
        <f>IF(Z93="YES",COUNTIFS(AD$3:$AD$200,"&gt;"&amp;('CASE DATA'!D94),$AD$3:$AD$200,"&lt;"&amp;('CASE DATA'!D94+730.5)),"n/a")</f>
        <v>n/a</v>
      </c>
    </row>
    <row r="94" spans="1:29" x14ac:dyDescent="0.25">
      <c r="A94" s="57" t="str">
        <f>IF('CASE DATA'!A95="","z",'CASE DATA'!A95)</f>
        <v>z</v>
      </c>
      <c r="B94" s="57" t="str">
        <f>IF('CASE DATA'!A95="","",'CASE DATA'!E95)</f>
        <v/>
      </c>
      <c r="C94" s="58">
        <f>'CASE DATA'!D95</f>
        <v>0</v>
      </c>
      <c r="D94" s="59" t="str">
        <f>IF('CASE DATA'!I95="YES",SUM('CASE DATA'!J95:P95),"n/a")</f>
        <v>n/a</v>
      </c>
      <c r="E94" s="60" t="str">
        <f>IF(OR('CASE DATA'!G95="JUV", 'CASE DATA'!G95="JWV"), "YES", "NO")</f>
        <v>NO</v>
      </c>
      <c r="F94" s="60" t="str">
        <f t="array" ref="F94">IF(E94="YES",IF(SUM(COUNTIF('CASE DATA'!$G$4:$G$200, {"GTR","GPL","DEF","JUV"}))&gt;0, "YES","NO"),"N/A")</f>
        <v>N/A</v>
      </c>
      <c r="G94" s="60" t="str">
        <f>IF(E94="YES",IF(COUNTIF('CASE DATA'!$D$4:$D$200, "")-COUNTIF('CASE DATA'!$A$4:$A$200, "")&gt;0, "YES","NO"),"N/A")</f>
        <v>N/A</v>
      </c>
      <c r="H94" s="57" t="str">
        <f>_xlfn.IFS(E94="NO", "N/A", AND('BASIC INFO'!$B$3&gt;'BASIC INFO'!$B$6+6574.5, C94+730.5&lt;'BASIC INFO'!$B$3), "YES", 'BASIC INFO'!$B$3&lt;('BASIC INFO'!$B$6+6574.5), "NOT YET 18", C94+730.5&gt;'BASIC INFO'!$B$3, "NOT YET 2 YEARS")</f>
        <v>N/A</v>
      </c>
      <c r="I94" s="61" t="str">
        <f>IF(OR(AND(LEFT('CASE DATA'!F95,4)="321.",MID('CASE DATA'!A95,8,2)="SM"),MID('CASE DATA'!A95,8,2)="ST",MID('CASE DATA'!A95,8,2)="NT"),"TRAFFIC",IF(OR('CASE DATA'!G95="DISM", 'CASE DATA'!G95="ACQ", 'CASE DATA'!G95="NOTF", 'CASE DATA'!G95="WTHD", 'CASE DATA'!G95="TNSF"), "YES", "NO"))</f>
        <v>NO</v>
      </c>
      <c r="J94" s="62" t="str">
        <f>IF(I94="YES",'CASE DATA'!T95,"N/A")</f>
        <v>N/A</v>
      </c>
      <c r="K94" s="57" t="str">
        <f>IF(I94="YES",IF(C94+180&lt;'BASIC INFO'!$B$3, "YES", "NO"),"N/A")</f>
        <v>N/A</v>
      </c>
      <c r="L94" s="62" t="str">
        <f t="array" ref="L94">IF(I94="TRAFFIC","n/a",IF(OR('CASE DATA'!G95="GTR", 'CASE DATA'!G95="GPL"),IF(SUM(COUNTIF('CASE DATA'!W95:AH95, 'CODE SECTIONS'!$V$2:$V$218&amp;"*"))&gt;0,"felony","eligible"),"n/a"))</f>
        <v>n/a</v>
      </c>
      <c r="M94" s="62" t="str">
        <f t="array" ref="M94">IF(L94="eligible",IF(OR((SUM(COUNTIF('CASE DATA'!W95:AH95,'CODE SECTIONS'!$X$2:$X$19&amp;"*"))&gt;0),LEFT('CASE DATA'!W95:AH95,4)="717C", LEFT('CASE DATA'!W95:AH95, 3)="719", LEFT('CASE DATA'!W95:AH95,3)="720", LEFT('CASE DATA'!W95:AH95,3)="724", LEFT('CASE DATA'!W95:AH95,3)="726", LEFT('CASE DATA'!W95:AH95,3)="728", LEFT('CASE DATA'!W95:AH95,4)="901A"), "ineligible misd","eligible"),"n/a")</f>
        <v>n/a</v>
      </c>
      <c r="N94" s="62" t="str">
        <f>IF(M94="eligible",IF(COUNTIF('CASE DATA'!$D$4:$D$200, "")-COUNTIF('CASE DATA'!$A$4:$A$200, "")&gt;0, "YES","NO"),"N/A")</f>
        <v>N/A</v>
      </c>
      <c r="O94" s="62" t="str">
        <f>IF(M94="eligible",BANKRUPTCY!C95+BANKRUPTCY!D95,"N/A")</f>
        <v>N/A</v>
      </c>
      <c r="P94" s="62" t="str">
        <f>IF(M94="eligible",SOL!C95+SOL!D95+SOL!E95,"N/A")</f>
        <v>N/A</v>
      </c>
      <c r="Q94" s="62" t="str">
        <f>IF(M94="eligible",SUM('CASE DATA'!J95:S95),"N/A")</f>
        <v>N/A</v>
      </c>
      <c r="R94" s="62" t="str">
        <f>IF(M94="eligible",IF(C94+2920&lt;'BASIC INFO'!$B$3, "YES", "NO"),"N/A")</f>
        <v>N/A</v>
      </c>
      <c r="S94" s="61" t="str">
        <f>IF(OR('CASE DATA'!G95="DEF"), "YES", "NO")</f>
        <v>NO</v>
      </c>
      <c r="T94" s="57" t="str">
        <f>IF(S94="YES",'CASE DATA'!I95,"N/A")</f>
        <v>N/A</v>
      </c>
      <c r="U94" s="62" t="str">
        <f>IF(S94="YES",BANKRUPTCY!C95+BANKRUPTCY!D95,"N/A")</f>
        <v>N/A</v>
      </c>
      <c r="V94" s="62" t="str">
        <f>IF(S94="YES",SUM('CASE DATA'!J95:S95),"N/A")</f>
        <v>N/A</v>
      </c>
      <c r="W94" s="57" t="str">
        <f>IF(OR('CASE DATA'!F95="123.46",'CASE DATA'!F95="123.47"),"YES","NO")</f>
        <v>NO</v>
      </c>
      <c r="X94" s="60" t="str">
        <f>IF(W94="YES",COUNTIFS(AD$3:$AD$200,"&gt;"&amp;('CASE DATA'!D95),$AD$3:$AD$200,"&lt;"&amp;('CASE DATA'!D95+730.5)),"n/a")</f>
        <v>n/a</v>
      </c>
      <c r="Y94" s="62" t="str">
        <f>IF(W94="YES",IF(C94+730.5&lt;'BASIC INFO'!$B$3, "YES","NO"), "N/A")</f>
        <v>N/A</v>
      </c>
      <c r="Z94" s="57" t="str">
        <f>IF('CASE DATA'!F95="725.1","YES","NO")</f>
        <v>NO</v>
      </c>
      <c r="AA94" s="57" t="str">
        <f>IF(Z94="YES",IF(C94+730.5&lt;'BASIC INFO'!$B$3, "YES","NO"), "N/A")</f>
        <v>N/A</v>
      </c>
      <c r="AB94" s="57" t="str">
        <f>IF('BASIC INFO'!$B$6+6574.5&gt;C94, "YES", "NO")</f>
        <v>YES</v>
      </c>
      <c r="AC94" s="57" t="str">
        <f>IF(Z94="YES",COUNTIFS(AD$3:$AD$200,"&gt;"&amp;('CASE DATA'!D95),$AD$3:$AD$200,"&lt;"&amp;('CASE DATA'!D95+730.5)),"n/a")</f>
        <v>n/a</v>
      </c>
    </row>
    <row r="95" spans="1:29" x14ac:dyDescent="0.25">
      <c r="A95" s="57" t="str">
        <f>IF('CASE DATA'!A96="","z",'CASE DATA'!A96)</f>
        <v>z</v>
      </c>
      <c r="B95" s="57" t="str">
        <f>IF('CASE DATA'!A96="","",'CASE DATA'!E96)</f>
        <v/>
      </c>
      <c r="C95" s="58">
        <f>'CASE DATA'!D96</f>
        <v>0</v>
      </c>
      <c r="D95" s="59" t="str">
        <f>IF('CASE DATA'!I96="YES",SUM('CASE DATA'!J96:P96),"n/a")</f>
        <v>n/a</v>
      </c>
      <c r="E95" s="60" t="str">
        <f>IF(OR('CASE DATA'!G96="JUV", 'CASE DATA'!G96="JWV"), "YES", "NO")</f>
        <v>NO</v>
      </c>
      <c r="F95" s="60" t="str">
        <f t="array" ref="F95">IF(E95="YES",IF(SUM(COUNTIF('CASE DATA'!$G$4:$G$200, {"GTR","GPL","DEF","JUV"}))&gt;0, "YES","NO"),"N/A")</f>
        <v>N/A</v>
      </c>
      <c r="G95" s="60" t="str">
        <f>IF(E95="YES",IF(COUNTIF('CASE DATA'!$D$4:$D$200, "")-COUNTIF('CASE DATA'!$A$4:$A$200, "")&gt;0, "YES","NO"),"N/A")</f>
        <v>N/A</v>
      </c>
      <c r="H95" s="57" t="str">
        <f>_xlfn.IFS(E95="NO", "N/A", AND('BASIC INFO'!$B$3&gt;'BASIC INFO'!$B$6+6574.5, C95+730.5&lt;'BASIC INFO'!$B$3), "YES", 'BASIC INFO'!$B$3&lt;('BASIC INFO'!$B$6+6574.5), "NOT YET 18", C95+730.5&gt;'BASIC INFO'!$B$3, "NOT YET 2 YEARS")</f>
        <v>N/A</v>
      </c>
      <c r="I95" s="61" t="str">
        <f>IF(OR(AND(LEFT('CASE DATA'!F96,4)="321.",MID('CASE DATA'!A96,8,2)="SM"),MID('CASE DATA'!A96,8,2)="ST",MID('CASE DATA'!A96,8,2)="NT"),"TRAFFIC",IF(OR('CASE DATA'!G96="DISM", 'CASE DATA'!G96="ACQ", 'CASE DATA'!G96="NOTF", 'CASE DATA'!G96="WTHD", 'CASE DATA'!G96="TNSF"), "YES", "NO"))</f>
        <v>NO</v>
      </c>
      <c r="J95" s="62" t="str">
        <f>IF(I95="YES",'CASE DATA'!T96,"N/A")</f>
        <v>N/A</v>
      </c>
      <c r="K95" s="57" t="str">
        <f>IF(I95="YES",IF(C95+180&lt;'BASIC INFO'!$B$3, "YES", "NO"),"N/A")</f>
        <v>N/A</v>
      </c>
      <c r="L95" s="62" t="str">
        <f t="array" ref="L95">IF(I95="TRAFFIC","n/a",IF(OR('CASE DATA'!G96="GTR", 'CASE DATA'!G96="GPL"),IF(SUM(COUNTIF('CASE DATA'!W96:AH96, 'CODE SECTIONS'!$V$2:$V$218&amp;"*"))&gt;0,"felony","eligible"),"n/a"))</f>
        <v>n/a</v>
      </c>
      <c r="M95" s="62" t="str">
        <f t="array" ref="M95">IF(L95="eligible",IF(OR((SUM(COUNTIF('CASE DATA'!W96:AH96,'CODE SECTIONS'!$X$2:$X$19&amp;"*"))&gt;0),LEFT('CASE DATA'!W96:AH96,4)="717C", LEFT('CASE DATA'!W96:AH96, 3)="719", LEFT('CASE DATA'!W96:AH96,3)="720", LEFT('CASE DATA'!W96:AH96,3)="724", LEFT('CASE DATA'!W96:AH96,3)="726", LEFT('CASE DATA'!W96:AH96,3)="728", LEFT('CASE DATA'!W96:AH96,4)="901A"), "ineligible misd","eligible"),"n/a")</f>
        <v>n/a</v>
      </c>
      <c r="N95" s="62" t="str">
        <f>IF(M95="eligible",IF(COUNTIF('CASE DATA'!$D$4:$D$200, "")-COUNTIF('CASE DATA'!$A$4:$A$200, "")&gt;0, "YES","NO"),"N/A")</f>
        <v>N/A</v>
      </c>
      <c r="O95" s="62" t="str">
        <f>IF(M95="eligible",BANKRUPTCY!C96+BANKRUPTCY!D96,"N/A")</f>
        <v>N/A</v>
      </c>
      <c r="P95" s="62" t="str">
        <f>IF(M95="eligible",SOL!C96+SOL!D96+SOL!E96,"N/A")</f>
        <v>N/A</v>
      </c>
      <c r="Q95" s="62" t="str">
        <f>IF(M95="eligible",SUM('CASE DATA'!J96:S96),"N/A")</f>
        <v>N/A</v>
      </c>
      <c r="R95" s="62" t="str">
        <f>IF(M95="eligible",IF(C95+2920&lt;'BASIC INFO'!$B$3, "YES", "NO"),"N/A")</f>
        <v>N/A</v>
      </c>
      <c r="S95" s="61" t="str">
        <f>IF(OR('CASE DATA'!G96="DEF"), "YES", "NO")</f>
        <v>NO</v>
      </c>
      <c r="T95" s="57" t="str">
        <f>IF(S95="YES",'CASE DATA'!I96,"N/A")</f>
        <v>N/A</v>
      </c>
      <c r="U95" s="62" t="str">
        <f>IF(S95="YES",BANKRUPTCY!C96+BANKRUPTCY!D96,"N/A")</f>
        <v>N/A</v>
      </c>
      <c r="V95" s="62" t="str">
        <f>IF(S95="YES",SUM('CASE DATA'!J96:S96),"N/A")</f>
        <v>N/A</v>
      </c>
      <c r="W95" s="57" t="str">
        <f>IF(OR('CASE DATA'!F96="123.46",'CASE DATA'!F96="123.47"),"YES","NO")</f>
        <v>NO</v>
      </c>
      <c r="X95" s="60" t="str">
        <f>IF(W95="YES",COUNTIFS(AD$3:$AD$200,"&gt;"&amp;('CASE DATA'!D96),$AD$3:$AD$200,"&lt;"&amp;('CASE DATA'!D96+730.5)),"n/a")</f>
        <v>n/a</v>
      </c>
      <c r="Y95" s="62" t="str">
        <f>IF(W95="YES",IF(C95+730.5&lt;'BASIC INFO'!$B$3, "YES","NO"), "N/A")</f>
        <v>N/A</v>
      </c>
      <c r="Z95" s="57" t="str">
        <f>IF('CASE DATA'!F96="725.1","YES","NO")</f>
        <v>NO</v>
      </c>
      <c r="AA95" s="57" t="str">
        <f>IF(Z95="YES",IF(C95+730.5&lt;'BASIC INFO'!$B$3, "YES","NO"), "N/A")</f>
        <v>N/A</v>
      </c>
      <c r="AB95" s="57" t="str">
        <f>IF('BASIC INFO'!$B$6+6574.5&gt;C95, "YES", "NO")</f>
        <v>YES</v>
      </c>
      <c r="AC95" s="57" t="str">
        <f>IF(Z95="YES",COUNTIFS(AD$3:$AD$200,"&gt;"&amp;('CASE DATA'!D96),$AD$3:$AD$200,"&lt;"&amp;('CASE DATA'!D96+730.5)),"n/a")</f>
        <v>n/a</v>
      </c>
    </row>
    <row r="96" spans="1:29" x14ac:dyDescent="0.25">
      <c r="A96" s="57" t="str">
        <f>IF('CASE DATA'!A97="","z",'CASE DATA'!A97)</f>
        <v>z</v>
      </c>
      <c r="B96" s="57" t="str">
        <f>IF('CASE DATA'!A97="","",'CASE DATA'!E97)</f>
        <v/>
      </c>
      <c r="C96" s="58">
        <f>'CASE DATA'!D97</f>
        <v>0</v>
      </c>
      <c r="D96" s="59" t="str">
        <f>IF('CASE DATA'!I97="YES",SUM('CASE DATA'!J97:P97),"n/a")</f>
        <v>n/a</v>
      </c>
      <c r="E96" s="60" t="str">
        <f>IF(OR('CASE DATA'!G97="JUV", 'CASE DATA'!G97="JWV"), "YES", "NO")</f>
        <v>NO</v>
      </c>
      <c r="F96" s="60" t="str">
        <f t="array" ref="F96">IF(E96="YES",IF(SUM(COUNTIF('CASE DATA'!$G$4:$G$200, {"GTR","GPL","DEF","JUV"}))&gt;0, "YES","NO"),"N/A")</f>
        <v>N/A</v>
      </c>
      <c r="G96" s="60" t="str">
        <f>IF(E96="YES",IF(COUNTIF('CASE DATA'!$D$4:$D$200, "")-COUNTIF('CASE DATA'!$A$4:$A$200, "")&gt;0, "YES","NO"),"N/A")</f>
        <v>N/A</v>
      </c>
      <c r="H96" s="57" t="str">
        <f>_xlfn.IFS(E96="NO", "N/A", AND('BASIC INFO'!$B$3&gt;'BASIC INFO'!$B$6+6574.5, C96+730.5&lt;'BASIC INFO'!$B$3), "YES", 'BASIC INFO'!$B$3&lt;('BASIC INFO'!$B$6+6574.5), "NOT YET 18", C96+730.5&gt;'BASIC INFO'!$B$3, "NOT YET 2 YEARS")</f>
        <v>N/A</v>
      </c>
      <c r="I96" s="61" t="str">
        <f>IF(OR(AND(LEFT('CASE DATA'!F97,4)="321.",MID('CASE DATA'!A97,8,2)="SM"),MID('CASE DATA'!A97,8,2)="ST",MID('CASE DATA'!A97,8,2)="NT"),"TRAFFIC",IF(OR('CASE DATA'!G97="DISM", 'CASE DATA'!G97="ACQ", 'CASE DATA'!G97="NOTF", 'CASE DATA'!G97="WTHD", 'CASE DATA'!G97="TNSF"), "YES", "NO"))</f>
        <v>NO</v>
      </c>
      <c r="J96" s="62" t="str">
        <f>IF(I96="YES",'CASE DATA'!T97,"N/A")</f>
        <v>N/A</v>
      </c>
      <c r="K96" s="57" t="str">
        <f>IF(I96="YES",IF(C96+180&lt;'BASIC INFO'!$B$3, "YES", "NO"),"N/A")</f>
        <v>N/A</v>
      </c>
      <c r="L96" s="62" t="str">
        <f t="array" ref="L96">IF(I96="TRAFFIC","n/a",IF(OR('CASE DATA'!G97="GTR", 'CASE DATA'!G97="GPL"),IF(SUM(COUNTIF('CASE DATA'!W97:AH97, 'CODE SECTIONS'!$V$2:$V$218&amp;"*"))&gt;0,"felony","eligible"),"n/a"))</f>
        <v>n/a</v>
      </c>
      <c r="M96" s="62" t="str">
        <f t="array" ref="M96">IF(L96="eligible",IF(OR((SUM(COUNTIF('CASE DATA'!W97:AH97,'CODE SECTIONS'!$X$2:$X$19&amp;"*"))&gt;0),LEFT('CASE DATA'!W97:AH97,4)="717C", LEFT('CASE DATA'!W97:AH97, 3)="719", LEFT('CASE DATA'!W97:AH97,3)="720", LEFT('CASE DATA'!W97:AH97,3)="724", LEFT('CASE DATA'!W97:AH97,3)="726", LEFT('CASE DATA'!W97:AH97,3)="728", LEFT('CASE DATA'!W97:AH97,4)="901A"), "ineligible misd","eligible"),"n/a")</f>
        <v>n/a</v>
      </c>
      <c r="N96" s="62" t="str">
        <f>IF(M96="eligible",IF(COUNTIF('CASE DATA'!$D$4:$D$200, "")-COUNTIF('CASE DATA'!$A$4:$A$200, "")&gt;0, "YES","NO"),"N/A")</f>
        <v>N/A</v>
      </c>
      <c r="O96" s="62" t="str">
        <f>IF(M96="eligible",BANKRUPTCY!C97+BANKRUPTCY!D97,"N/A")</f>
        <v>N/A</v>
      </c>
      <c r="P96" s="62" t="str">
        <f>IF(M96="eligible",SOL!C97+SOL!D97+SOL!E97,"N/A")</f>
        <v>N/A</v>
      </c>
      <c r="Q96" s="62" t="str">
        <f>IF(M96="eligible",SUM('CASE DATA'!J97:S97),"N/A")</f>
        <v>N/A</v>
      </c>
      <c r="R96" s="62" t="str">
        <f>IF(M96="eligible",IF(C96+2920&lt;'BASIC INFO'!$B$3, "YES", "NO"),"N/A")</f>
        <v>N/A</v>
      </c>
      <c r="S96" s="61" t="str">
        <f>IF(OR('CASE DATA'!G97="DEF"), "YES", "NO")</f>
        <v>NO</v>
      </c>
      <c r="T96" s="57" t="str">
        <f>IF(S96="YES",'CASE DATA'!I97,"N/A")</f>
        <v>N/A</v>
      </c>
      <c r="U96" s="62" t="str">
        <f>IF(S96="YES",BANKRUPTCY!C97+BANKRUPTCY!D97,"N/A")</f>
        <v>N/A</v>
      </c>
      <c r="V96" s="62" t="str">
        <f>IF(S96="YES",SUM('CASE DATA'!J97:S97),"N/A")</f>
        <v>N/A</v>
      </c>
      <c r="W96" s="57" t="str">
        <f>IF(OR('CASE DATA'!F97="123.46",'CASE DATA'!F97="123.47"),"YES","NO")</f>
        <v>NO</v>
      </c>
      <c r="X96" s="60" t="str">
        <f>IF(W96="YES",COUNTIFS(AD$3:$AD$200,"&gt;"&amp;('CASE DATA'!D97),$AD$3:$AD$200,"&lt;"&amp;('CASE DATA'!D97+730.5)),"n/a")</f>
        <v>n/a</v>
      </c>
      <c r="Y96" s="62" t="str">
        <f>IF(W96="YES",IF(C96+730.5&lt;'BASIC INFO'!$B$3, "YES","NO"), "N/A")</f>
        <v>N/A</v>
      </c>
      <c r="Z96" s="57" t="str">
        <f>IF('CASE DATA'!F97="725.1","YES","NO")</f>
        <v>NO</v>
      </c>
      <c r="AA96" s="57" t="str">
        <f>IF(Z96="YES",IF(C96+730.5&lt;'BASIC INFO'!$B$3, "YES","NO"), "N/A")</f>
        <v>N/A</v>
      </c>
      <c r="AB96" s="57" t="str">
        <f>IF('BASIC INFO'!$B$6+6574.5&gt;C96, "YES", "NO")</f>
        <v>YES</v>
      </c>
      <c r="AC96" s="57" t="str">
        <f>IF(Z96="YES",COUNTIFS(AD$3:$AD$200,"&gt;"&amp;('CASE DATA'!D97),$AD$3:$AD$200,"&lt;"&amp;('CASE DATA'!D97+730.5)),"n/a")</f>
        <v>n/a</v>
      </c>
    </row>
    <row r="97" spans="1:29" x14ac:dyDescent="0.25">
      <c r="A97" s="57" t="str">
        <f>IF('CASE DATA'!A98="","z",'CASE DATA'!A98)</f>
        <v>z</v>
      </c>
      <c r="B97" s="57" t="str">
        <f>IF('CASE DATA'!A98="","",'CASE DATA'!E98)</f>
        <v/>
      </c>
      <c r="C97" s="58">
        <f>'CASE DATA'!D98</f>
        <v>0</v>
      </c>
      <c r="D97" s="59" t="str">
        <f>IF('CASE DATA'!I98="YES",SUM('CASE DATA'!J98:P98),"n/a")</f>
        <v>n/a</v>
      </c>
      <c r="E97" s="60" t="str">
        <f>IF(OR('CASE DATA'!G98="JUV", 'CASE DATA'!G98="JWV"), "YES", "NO")</f>
        <v>NO</v>
      </c>
      <c r="F97" s="60" t="str">
        <f t="array" ref="F97">IF(E97="YES",IF(SUM(COUNTIF('CASE DATA'!$G$4:$G$200, {"GTR","GPL","DEF","JUV"}))&gt;0, "YES","NO"),"N/A")</f>
        <v>N/A</v>
      </c>
      <c r="G97" s="60" t="str">
        <f>IF(E97="YES",IF(COUNTIF('CASE DATA'!$D$4:$D$200, "")-COUNTIF('CASE DATA'!$A$4:$A$200, "")&gt;0, "YES","NO"),"N/A")</f>
        <v>N/A</v>
      </c>
      <c r="H97" s="57" t="str">
        <f>_xlfn.IFS(E97="NO", "N/A", AND('BASIC INFO'!$B$3&gt;'BASIC INFO'!$B$6+6574.5, C97+730.5&lt;'BASIC INFO'!$B$3), "YES", 'BASIC INFO'!$B$3&lt;('BASIC INFO'!$B$6+6574.5), "NOT YET 18", C97+730.5&gt;'BASIC INFO'!$B$3, "NOT YET 2 YEARS")</f>
        <v>N/A</v>
      </c>
      <c r="I97" s="61" t="str">
        <f>IF(OR(AND(LEFT('CASE DATA'!F98,4)="321.",MID('CASE DATA'!A98,8,2)="SM"),MID('CASE DATA'!A98,8,2)="ST",MID('CASE DATA'!A98,8,2)="NT"),"TRAFFIC",IF(OR('CASE DATA'!G98="DISM", 'CASE DATA'!G98="ACQ", 'CASE DATA'!G98="NOTF", 'CASE DATA'!G98="WTHD", 'CASE DATA'!G98="TNSF"), "YES", "NO"))</f>
        <v>NO</v>
      </c>
      <c r="J97" s="62" t="str">
        <f>IF(I97="YES",'CASE DATA'!T98,"N/A")</f>
        <v>N/A</v>
      </c>
      <c r="K97" s="57" t="str">
        <f>IF(I97="YES",IF(C97+180&lt;'BASIC INFO'!$B$3, "YES", "NO"),"N/A")</f>
        <v>N/A</v>
      </c>
      <c r="L97" s="62" t="str">
        <f t="array" ref="L97">IF(I97="TRAFFIC","n/a",IF(OR('CASE DATA'!G98="GTR", 'CASE DATA'!G98="GPL"),IF(SUM(COUNTIF('CASE DATA'!W98:AH98, 'CODE SECTIONS'!$V$2:$V$218&amp;"*"))&gt;0,"felony","eligible"),"n/a"))</f>
        <v>n/a</v>
      </c>
      <c r="M97" s="62" t="str">
        <f t="array" ref="M97">IF(L97="eligible",IF(OR((SUM(COUNTIF('CASE DATA'!W98:AH98,'CODE SECTIONS'!$X$2:$X$19&amp;"*"))&gt;0),LEFT('CASE DATA'!W98:AH98,4)="717C", LEFT('CASE DATA'!W98:AH98, 3)="719", LEFT('CASE DATA'!W98:AH98,3)="720", LEFT('CASE DATA'!W98:AH98,3)="724", LEFT('CASE DATA'!W98:AH98,3)="726", LEFT('CASE DATA'!W98:AH98,3)="728", LEFT('CASE DATA'!W98:AH98,4)="901A"), "ineligible misd","eligible"),"n/a")</f>
        <v>n/a</v>
      </c>
      <c r="N97" s="62" t="str">
        <f>IF(M97="eligible",IF(COUNTIF('CASE DATA'!$D$4:$D$200, "")-COUNTIF('CASE DATA'!$A$4:$A$200, "")&gt;0, "YES","NO"),"N/A")</f>
        <v>N/A</v>
      </c>
      <c r="O97" s="62" t="str">
        <f>IF(M97="eligible",BANKRUPTCY!C98+BANKRUPTCY!D98,"N/A")</f>
        <v>N/A</v>
      </c>
      <c r="P97" s="62" t="str">
        <f>IF(M97="eligible",SOL!C98+SOL!D98+SOL!E98,"N/A")</f>
        <v>N/A</v>
      </c>
      <c r="Q97" s="62" t="str">
        <f>IF(M97="eligible",SUM('CASE DATA'!J98:S98),"N/A")</f>
        <v>N/A</v>
      </c>
      <c r="R97" s="62" t="str">
        <f>IF(M97="eligible",IF(C97+2920&lt;'BASIC INFO'!$B$3, "YES", "NO"),"N/A")</f>
        <v>N/A</v>
      </c>
      <c r="S97" s="61" t="str">
        <f>IF(OR('CASE DATA'!G98="DEF"), "YES", "NO")</f>
        <v>NO</v>
      </c>
      <c r="T97" s="57" t="str">
        <f>IF(S97="YES",'CASE DATA'!I98,"N/A")</f>
        <v>N/A</v>
      </c>
      <c r="U97" s="62" t="str">
        <f>IF(S97="YES",BANKRUPTCY!C98+BANKRUPTCY!D98,"N/A")</f>
        <v>N/A</v>
      </c>
      <c r="V97" s="62" t="str">
        <f>IF(S97="YES",SUM('CASE DATA'!J98:S98),"N/A")</f>
        <v>N/A</v>
      </c>
      <c r="W97" s="57" t="str">
        <f>IF(OR('CASE DATA'!F98="123.46",'CASE DATA'!F98="123.47"),"YES","NO")</f>
        <v>NO</v>
      </c>
      <c r="X97" s="60" t="str">
        <f>IF(W97="YES",COUNTIFS(AD$3:$AD$200,"&gt;"&amp;('CASE DATA'!D98),$AD$3:$AD$200,"&lt;"&amp;('CASE DATA'!D98+730.5)),"n/a")</f>
        <v>n/a</v>
      </c>
      <c r="Y97" s="62" t="str">
        <f>IF(W97="YES",IF(C97+730.5&lt;'BASIC INFO'!$B$3, "YES","NO"), "N/A")</f>
        <v>N/A</v>
      </c>
      <c r="Z97" s="57" t="str">
        <f>IF('CASE DATA'!F98="725.1","YES","NO")</f>
        <v>NO</v>
      </c>
      <c r="AA97" s="57" t="str">
        <f>IF(Z97="YES",IF(C97+730.5&lt;'BASIC INFO'!$B$3, "YES","NO"), "N/A")</f>
        <v>N/A</v>
      </c>
      <c r="AB97" s="57" t="str">
        <f>IF('BASIC INFO'!$B$6+6574.5&gt;C97, "YES", "NO")</f>
        <v>YES</v>
      </c>
      <c r="AC97" s="57" t="str">
        <f>IF(Z97="YES",COUNTIFS(AD$3:$AD$200,"&gt;"&amp;('CASE DATA'!D98),$AD$3:$AD$200,"&lt;"&amp;('CASE DATA'!D98+730.5)),"n/a")</f>
        <v>n/a</v>
      </c>
    </row>
    <row r="98" spans="1:29" x14ac:dyDescent="0.25">
      <c r="A98" s="57" t="str">
        <f>IF('CASE DATA'!A99="","z",'CASE DATA'!A99)</f>
        <v>z</v>
      </c>
      <c r="B98" s="57" t="str">
        <f>IF('CASE DATA'!A99="","",'CASE DATA'!E99)</f>
        <v/>
      </c>
      <c r="C98" s="58">
        <f>'CASE DATA'!D99</f>
        <v>0</v>
      </c>
      <c r="D98" s="59" t="str">
        <f>IF('CASE DATA'!I99="YES",SUM('CASE DATA'!J99:P99),"n/a")</f>
        <v>n/a</v>
      </c>
      <c r="E98" s="60" t="str">
        <f>IF(OR('CASE DATA'!G99="JUV", 'CASE DATA'!G99="JWV"), "YES", "NO")</f>
        <v>NO</v>
      </c>
      <c r="F98" s="60" t="str">
        <f t="array" ref="F98">IF(E98="YES",IF(SUM(COUNTIF('CASE DATA'!$G$4:$G$200, {"GTR","GPL","DEF","JUV"}))&gt;0, "YES","NO"),"N/A")</f>
        <v>N/A</v>
      </c>
      <c r="G98" s="60" t="str">
        <f>IF(E98="YES",IF(COUNTIF('CASE DATA'!$D$4:$D$200, "")-COUNTIF('CASE DATA'!$A$4:$A$200, "")&gt;0, "YES","NO"),"N/A")</f>
        <v>N/A</v>
      </c>
      <c r="H98" s="57" t="str">
        <f>_xlfn.IFS(E98="NO", "N/A", AND('BASIC INFO'!$B$3&gt;'BASIC INFO'!$B$6+6574.5, C98+730.5&lt;'BASIC INFO'!$B$3), "YES", 'BASIC INFO'!$B$3&lt;('BASIC INFO'!$B$6+6574.5), "NOT YET 18", C98+730.5&gt;'BASIC INFO'!$B$3, "NOT YET 2 YEARS")</f>
        <v>N/A</v>
      </c>
      <c r="I98" s="61" t="str">
        <f>IF(OR(AND(LEFT('CASE DATA'!F99,4)="321.",MID('CASE DATA'!A99,8,2)="SM"),MID('CASE DATA'!A99,8,2)="ST",MID('CASE DATA'!A99,8,2)="NT"),"TRAFFIC",IF(OR('CASE DATA'!G99="DISM", 'CASE DATA'!G99="ACQ", 'CASE DATA'!G99="NOTF", 'CASE DATA'!G99="WTHD", 'CASE DATA'!G99="TNSF"), "YES", "NO"))</f>
        <v>NO</v>
      </c>
      <c r="J98" s="62" t="str">
        <f>IF(I98="YES",'CASE DATA'!T99,"N/A")</f>
        <v>N/A</v>
      </c>
      <c r="K98" s="57" t="str">
        <f>IF(I98="YES",IF(C98+180&lt;'BASIC INFO'!$B$3, "YES", "NO"),"N/A")</f>
        <v>N/A</v>
      </c>
      <c r="L98" s="62" t="str">
        <f t="array" ref="L98">IF(I98="TRAFFIC","n/a",IF(OR('CASE DATA'!G99="GTR", 'CASE DATA'!G99="GPL"),IF(SUM(COUNTIF('CASE DATA'!W99:AH99, 'CODE SECTIONS'!$V$2:$V$218&amp;"*"))&gt;0,"felony","eligible"),"n/a"))</f>
        <v>n/a</v>
      </c>
      <c r="M98" s="62" t="str">
        <f t="array" ref="M98">IF(L98="eligible",IF(OR((SUM(COUNTIF('CASE DATA'!W99:AH99,'CODE SECTIONS'!$X$2:$X$19&amp;"*"))&gt;0),LEFT('CASE DATA'!W99:AH99,4)="717C", LEFT('CASE DATA'!W99:AH99, 3)="719", LEFT('CASE DATA'!W99:AH99,3)="720", LEFT('CASE DATA'!W99:AH99,3)="724", LEFT('CASE DATA'!W99:AH99,3)="726", LEFT('CASE DATA'!W99:AH99,3)="728", LEFT('CASE DATA'!W99:AH99,4)="901A"), "ineligible misd","eligible"),"n/a")</f>
        <v>n/a</v>
      </c>
      <c r="N98" s="62" t="str">
        <f>IF(M98="eligible",IF(COUNTIF('CASE DATA'!$D$4:$D$200, "")-COUNTIF('CASE DATA'!$A$4:$A$200, "")&gt;0, "YES","NO"),"N/A")</f>
        <v>N/A</v>
      </c>
      <c r="O98" s="62" t="str">
        <f>IF(M98="eligible",BANKRUPTCY!C99+BANKRUPTCY!D99,"N/A")</f>
        <v>N/A</v>
      </c>
      <c r="P98" s="62" t="str">
        <f>IF(M98="eligible",SOL!C99+SOL!D99+SOL!E99,"N/A")</f>
        <v>N/A</v>
      </c>
      <c r="Q98" s="62" t="str">
        <f>IF(M98="eligible",SUM('CASE DATA'!J99:S99),"N/A")</f>
        <v>N/A</v>
      </c>
      <c r="R98" s="62" t="str">
        <f>IF(M98="eligible",IF(C98+2920&lt;'BASIC INFO'!$B$3, "YES", "NO"),"N/A")</f>
        <v>N/A</v>
      </c>
      <c r="S98" s="61" t="str">
        <f>IF(OR('CASE DATA'!G99="DEF"), "YES", "NO")</f>
        <v>NO</v>
      </c>
      <c r="T98" s="57" t="str">
        <f>IF(S98="YES",'CASE DATA'!I99,"N/A")</f>
        <v>N/A</v>
      </c>
      <c r="U98" s="62" t="str">
        <f>IF(S98="YES",BANKRUPTCY!C99+BANKRUPTCY!D99,"N/A")</f>
        <v>N/A</v>
      </c>
      <c r="V98" s="62" t="str">
        <f>IF(S98="YES",SUM('CASE DATA'!J99:S99),"N/A")</f>
        <v>N/A</v>
      </c>
      <c r="W98" s="57" t="str">
        <f>IF(OR('CASE DATA'!F99="123.46",'CASE DATA'!F99="123.47"),"YES","NO")</f>
        <v>NO</v>
      </c>
      <c r="X98" s="60" t="str">
        <f>IF(W98="YES",COUNTIFS(AD$3:$AD$200,"&gt;"&amp;('CASE DATA'!D99),$AD$3:$AD$200,"&lt;"&amp;('CASE DATA'!D99+730.5)),"n/a")</f>
        <v>n/a</v>
      </c>
      <c r="Y98" s="62" t="str">
        <f>IF(W98="YES",IF(C98+730.5&lt;'BASIC INFO'!$B$3, "YES","NO"), "N/A")</f>
        <v>N/A</v>
      </c>
      <c r="Z98" s="57" t="str">
        <f>IF('CASE DATA'!F99="725.1","YES","NO")</f>
        <v>NO</v>
      </c>
      <c r="AA98" s="57" t="str">
        <f>IF(Z98="YES",IF(C98+730.5&lt;'BASIC INFO'!$B$3, "YES","NO"), "N/A")</f>
        <v>N/A</v>
      </c>
      <c r="AB98" s="57" t="str">
        <f>IF('BASIC INFO'!$B$6+6574.5&gt;C98, "YES", "NO")</f>
        <v>YES</v>
      </c>
      <c r="AC98" s="57" t="str">
        <f>IF(Z98="YES",COUNTIFS(AD$3:$AD$200,"&gt;"&amp;('CASE DATA'!D99),$AD$3:$AD$200,"&lt;"&amp;('CASE DATA'!D99+730.5)),"n/a")</f>
        <v>n/a</v>
      </c>
    </row>
    <row r="99" spans="1:29" x14ac:dyDescent="0.25">
      <c r="A99" s="57" t="str">
        <f>IF('CASE DATA'!A100="","z",'CASE DATA'!A100)</f>
        <v>z</v>
      </c>
      <c r="B99" s="57" t="str">
        <f>IF('CASE DATA'!A100="","",'CASE DATA'!E100)</f>
        <v/>
      </c>
      <c r="C99" s="58">
        <f>'CASE DATA'!D100</f>
        <v>0</v>
      </c>
      <c r="D99" s="59" t="str">
        <f>IF('CASE DATA'!I100="YES",SUM('CASE DATA'!J100:P100),"n/a")</f>
        <v>n/a</v>
      </c>
      <c r="E99" s="60" t="str">
        <f>IF(OR('CASE DATA'!G100="JUV", 'CASE DATA'!G100="JWV"), "YES", "NO")</f>
        <v>NO</v>
      </c>
      <c r="F99" s="60" t="str">
        <f t="array" ref="F99">IF(E99="YES",IF(SUM(COUNTIF('CASE DATA'!$G$4:$G$200, {"GTR","GPL","DEF","JUV"}))&gt;0, "YES","NO"),"N/A")</f>
        <v>N/A</v>
      </c>
      <c r="G99" s="60" t="str">
        <f>IF(E99="YES",IF(COUNTIF('CASE DATA'!$D$4:$D$200, "")-COUNTIF('CASE DATA'!$A$4:$A$200, "")&gt;0, "YES","NO"),"N/A")</f>
        <v>N/A</v>
      </c>
      <c r="H99" s="57" t="str">
        <f>_xlfn.IFS(E99="NO", "N/A", AND('BASIC INFO'!$B$3&gt;'BASIC INFO'!$B$6+6574.5, C99+730.5&lt;'BASIC INFO'!$B$3), "YES", 'BASIC INFO'!$B$3&lt;('BASIC INFO'!$B$6+6574.5), "NOT YET 18", C99+730.5&gt;'BASIC INFO'!$B$3, "NOT YET 2 YEARS")</f>
        <v>N/A</v>
      </c>
      <c r="I99" s="61" t="str">
        <f>IF(OR(AND(LEFT('CASE DATA'!F100,4)="321.",MID('CASE DATA'!A100,8,2)="SM"),MID('CASE DATA'!A100,8,2)="ST",MID('CASE DATA'!A100,8,2)="NT"),"TRAFFIC",IF(OR('CASE DATA'!G100="DISM", 'CASE DATA'!G100="ACQ", 'CASE DATA'!G100="NOTF", 'CASE DATA'!G100="WTHD", 'CASE DATA'!G100="TNSF"), "YES", "NO"))</f>
        <v>NO</v>
      </c>
      <c r="J99" s="62" t="str">
        <f>IF(I99="YES",'CASE DATA'!T100,"N/A")</f>
        <v>N/A</v>
      </c>
      <c r="K99" s="57" t="str">
        <f>IF(I99="YES",IF(C99+180&lt;'BASIC INFO'!$B$3, "YES", "NO"),"N/A")</f>
        <v>N/A</v>
      </c>
      <c r="L99" s="62" t="str">
        <f t="array" ref="L99">IF(I99="TRAFFIC","n/a",IF(OR('CASE DATA'!G100="GTR", 'CASE DATA'!G100="GPL"),IF(SUM(COUNTIF('CASE DATA'!W100:AH100, 'CODE SECTIONS'!$V$2:$V$218&amp;"*"))&gt;0,"felony","eligible"),"n/a"))</f>
        <v>n/a</v>
      </c>
      <c r="M99" s="62" t="str">
        <f t="array" ref="M99">IF(L99="eligible",IF(OR((SUM(COUNTIF('CASE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62" t="str">
        <f>IF(M99="eligible",IF(COUNTIF('CASE DATA'!$D$4:$D$200, "")-COUNTIF('CASE DATA'!$A$4:$A$200, "")&gt;0, "YES","NO"),"N/A")</f>
        <v>N/A</v>
      </c>
      <c r="O99" s="62" t="str">
        <f>IF(M99="eligible",BANKRUPTCY!C100+BANKRUPTCY!D100,"N/A")</f>
        <v>N/A</v>
      </c>
      <c r="P99" s="62" t="str">
        <f>IF(M99="eligible",SOL!C100+SOL!D100+SOL!E100,"N/A")</f>
        <v>N/A</v>
      </c>
      <c r="Q99" s="62" t="str">
        <f>IF(M99="eligible",SUM('CASE DATA'!J100:S100),"N/A")</f>
        <v>N/A</v>
      </c>
      <c r="R99" s="62" t="str">
        <f>IF(M99="eligible",IF(C99+2920&lt;'BASIC INFO'!$B$3, "YES", "NO"),"N/A")</f>
        <v>N/A</v>
      </c>
      <c r="S99" s="61" t="str">
        <f>IF(OR('CASE DATA'!G100="DEF"), "YES", "NO")</f>
        <v>NO</v>
      </c>
      <c r="T99" s="57" t="str">
        <f>IF(S99="YES",'CASE DATA'!I100,"N/A")</f>
        <v>N/A</v>
      </c>
      <c r="U99" s="62" t="str">
        <f>IF(S99="YES",BANKRUPTCY!C100+BANKRUPTCY!D100,"N/A")</f>
        <v>N/A</v>
      </c>
      <c r="V99" s="62" t="str">
        <f>IF(S99="YES",SUM('CASE DATA'!J100:S100),"N/A")</f>
        <v>N/A</v>
      </c>
      <c r="W99" s="57" t="str">
        <f>IF(OR('CASE DATA'!F100="123.46",'CASE DATA'!F100="123.47"),"YES","NO")</f>
        <v>NO</v>
      </c>
      <c r="X99" s="60" t="str">
        <f>IF(W99="YES",COUNTIFS(AD$3:$AD$200,"&gt;"&amp;('CASE DATA'!D100),$AD$3:$AD$200,"&lt;"&amp;('CASE DATA'!D100+730.5)),"n/a")</f>
        <v>n/a</v>
      </c>
      <c r="Y99" s="62" t="str">
        <f>IF(W99="YES",IF(C99+730.5&lt;'BASIC INFO'!$B$3, "YES","NO"), "N/A")</f>
        <v>N/A</v>
      </c>
      <c r="Z99" s="57" t="str">
        <f>IF('CASE DATA'!F100="725.1","YES","NO")</f>
        <v>NO</v>
      </c>
      <c r="AA99" s="57" t="str">
        <f>IF(Z99="YES",IF(C99+730.5&lt;'BASIC INFO'!$B$3, "YES","NO"), "N/A")</f>
        <v>N/A</v>
      </c>
      <c r="AB99" s="57" t="str">
        <f>IF('BASIC INFO'!$B$6+6574.5&gt;C99, "YES", "NO")</f>
        <v>YES</v>
      </c>
      <c r="AC99" s="57" t="str">
        <f>IF(Z99="YES",COUNTIFS(AD$3:$AD$200,"&gt;"&amp;('CASE DATA'!D100),$AD$3:$AD$200,"&lt;"&amp;('CASE DATA'!D100+730.5)),"n/a")</f>
        <v>n/a</v>
      </c>
    </row>
    <row r="100" spans="1:29" x14ac:dyDescent="0.25">
      <c r="A100" s="57" t="str">
        <f>IF('CASE DATA'!A101="","z",'CASE DATA'!A101)</f>
        <v>z</v>
      </c>
      <c r="B100" s="57" t="str">
        <f>IF('CASE DATA'!A101="","",'CASE DATA'!E101)</f>
        <v/>
      </c>
      <c r="C100" s="58">
        <f>'CASE DATA'!D101</f>
        <v>0</v>
      </c>
      <c r="D100" s="59" t="str">
        <f>IF('CASE DATA'!I101="YES",SUM('CASE DATA'!J101:P101),"n/a")</f>
        <v>n/a</v>
      </c>
      <c r="E100" s="60" t="str">
        <f>IF(OR('CASE DATA'!G101="JUV", 'CASE DATA'!G101="JWV"), "YES", "NO")</f>
        <v>NO</v>
      </c>
      <c r="F100" s="60" t="str">
        <f t="array" ref="F100">IF(E100="YES",IF(SUM(COUNTIF('CASE DATA'!$G$4:$G$200, {"GTR","GPL","DEF","JUV"}))&gt;0, "YES","NO"),"N/A")</f>
        <v>N/A</v>
      </c>
      <c r="G100" s="60" t="str">
        <f>IF(E100="YES",IF(COUNTIF('CASE DATA'!$D$4:$D$200, "")-COUNTIF('CASE DATA'!$A$4:$A$200, "")&gt;0, "YES","NO"),"N/A")</f>
        <v>N/A</v>
      </c>
      <c r="H100" s="57" t="str">
        <f>_xlfn.IFS(E100="NO", "N/A", AND('BASIC INFO'!$B$3&gt;'BASIC INFO'!$B$6+6574.5, C100+730.5&lt;'BASIC INFO'!$B$3), "YES", 'BASIC INFO'!$B$3&lt;('BASIC INFO'!$B$6+6574.5), "NOT YET 18", C100+730.5&gt;'BASIC INFO'!$B$3, "NOT YET 2 YEARS")</f>
        <v>N/A</v>
      </c>
      <c r="I100" s="61" t="str">
        <f>IF(OR(AND(LEFT('CASE DATA'!F101,4)="321.",MID('CASE DATA'!A101,8,2)="SM"),MID('CASE DATA'!A101,8,2)="ST",MID('CASE DATA'!A101,8,2)="NT"),"TRAFFIC",IF(OR('CASE DATA'!G101="DISM", 'CASE DATA'!G101="ACQ", 'CASE DATA'!G101="NOTF", 'CASE DATA'!G101="WTHD", 'CASE DATA'!G101="TNSF"), "YES", "NO"))</f>
        <v>NO</v>
      </c>
      <c r="J100" s="62" t="str">
        <f>IF(I100="YES",'CASE DATA'!T101,"N/A")</f>
        <v>N/A</v>
      </c>
      <c r="K100" s="57" t="str">
        <f>IF(I100="YES",IF(C100+180&lt;'BASIC INFO'!$B$3, "YES", "NO"),"N/A")</f>
        <v>N/A</v>
      </c>
      <c r="L100" s="62" t="str">
        <f t="array" ref="L100">IF(I100="TRAFFIC","n/a",IF(OR('CASE DATA'!G101="GTR", 'CASE DATA'!G101="GPL"),IF(SUM(COUNTIF('CASE DATA'!W101:AH101, 'CODE SECTIONS'!$V$2:$V$218&amp;"*"))&gt;0,"felony","eligible"),"n/a"))</f>
        <v>n/a</v>
      </c>
      <c r="M100" s="62" t="str">
        <f t="array" ref="M100">IF(L100="eligible",IF(OR((SUM(COUNTIF('CASE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62" t="str">
        <f>IF(M100="eligible",IF(COUNTIF('CASE DATA'!$D$4:$D$200, "")-COUNTIF('CASE DATA'!$A$4:$A$200, "")&gt;0, "YES","NO"),"N/A")</f>
        <v>N/A</v>
      </c>
      <c r="O100" s="62" t="str">
        <f>IF(M100="eligible",BANKRUPTCY!C101+BANKRUPTCY!D101,"N/A")</f>
        <v>N/A</v>
      </c>
      <c r="P100" s="62" t="str">
        <f>IF(M100="eligible",SOL!C101+SOL!D101+SOL!E101,"N/A")</f>
        <v>N/A</v>
      </c>
      <c r="Q100" s="62" t="str">
        <f>IF(M100="eligible",SUM('CASE DATA'!J101:S101),"N/A")</f>
        <v>N/A</v>
      </c>
      <c r="R100" s="62" t="str">
        <f>IF(M100="eligible",IF(C100+2920&lt;'BASIC INFO'!$B$3, "YES", "NO"),"N/A")</f>
        <v>N/A</v>
      </c>
      <c r="S100" s="61" t="str">
        <f>IF(OR('CASE DATA'!G101="DEF"), "YES", "NO")</f>
        <v>NO</v>
      </c>
      <c r="T100" s="57" t="str">
        <f>IF(S100="YES",'CASE DATA'!I101,"N/A")</f>
        <v>N/A</v>
      </c>
      <c r="U100" s="62" t="str">
        <f>IF(S100="YES",BANKRUPTCY!C101+BANKRUPTCY!D101,"N/A")</f>
        <v>N/A</v>
      </c>
      <c r="V100" s="62" t="str">
        <f>IF(S100="YES",SUM('CASE DATA'!J101:S101),"N/A")</f>
        <v>N/A</v>
      </c>
      <c r="W100" s="57" t="str">
        <f>IF(OR('CASE DATA'!F101="123.46",'CASE DATA'!F101="123.47"),"YES","NO")</f>
        <v>NO</v>
      </c>
      <c r="X100" s="60" t="str">
        <f>IF(W100="YES",COUNTIFS(AD$3:$AD$200,"&gt;"&amp;('CASE DATA'!D101),$AD$3:$AD$200,"&lt;"&amp;('CASE DATA'!D101+730.5)),"n/a")</f>
        <v>n/a</v>
      </c>
      <c r="Y100" s="62" t="str">
        <f>IF(W100="YES",IF(C100+730.5&lt;'BASIC INFO'!$B$3, "YES","NO"), "N/A")</f>
        <v>N/A</v>
      </c>
      <c r="Z100" s="57" t="str">
        <f>IF('CASE DATA'!F101="725.1","YES","NO")</f>
        <v>NO</v>
      </c>
      <c r="AA100" s="57" t="str">
        <f>IF(Z100="YES",IF(C100+730.5&lt;'BASIC INFO'!$B$3, "YES","NO"), "N/A")</f>
        <v>N/A</v>
      </c>
      <c r="AB100" s="57" t="str">
        <f>IF('BASIC INFO'!$B$6+6574.5&gt;C100, "YES", "NO")</f>
        <v>YES</v>
      </c>
      <c r="AC100" s="57" t="str">
        <f>IF(Z100="YES",COUNTIFS(AD$3:$AD$200,"&gt;"&amp;('CASE DATA'!D101),$AD$3:$AD$200,"&lt;"&amp;('CASE DATA'!D101+730.5)),"n/a")</f>
        <v>n/a</v>
      </c>
    </row>
    <row r="101" spans="1:29" x14ac:dyDescent="0.25">
      <c r="A101" s="57" t="str">
        <f>IF('CASE DATA'!A102="","z",'CASE DATA'!A102)</f>
        <v>z</v>
      </c>
      <c r="B101" s="57" t="str">
        <f>IF('CASE DATA'!A102="","",'CASE DATA'!E102)</f>
        <v/>
      </c>
      <c r="C101" s="58">
        <f>'CASE DATA'!D102</f>
        <v>0</v>
      </c>
      <c r="D101" s="59" t="str">
        <f>IF('CASE DATA'!I102="YES",SUM('CASE DATA'!J102:P102),"n/a")</f>
        <v>n/a</v>
      </c>
      <c r="E101" s="60" t="str">
        <f>IF(OR('CASE DATA'!G102="JUV", 'CASE DATA'!G102="JWV"), "YES", "NO")</f>
        <v>NO</v>
      </c>
      <c r="F101" s="60" t="str">
        <f t="array" ref="F101">IF(E101="YES",IF(SUM(COUNTIF('CASE DATA'!$G$4:$G$200, {"GTR","GPL","DEF","JUV"}))&gt;0, "YES","NO"),"N/A")</f>
        <v>N/A</v>
      </c>
      <c r="G101" s="60" t="str">
        <f>IF(E101="YES",IF(COUNTIF('CASE DATA'!$D$4:$D$200, "")-COUNTIF('CASE DATA'!$A$4:$A$200, "")&gt;0, "YES","NO"),"N/A")</f>
        <v>N/A</v>
      </c>
      <c r="H101" s="57" t="str">
        <f>_xlfn.IFS(E101="NO", "N/A", AND('BASIC INFO'!$B$3&gt;'BASIC INFO'!$B$6+6574.5, C101+730.5&lt;'BASIC INFO'!$B$3), "YES", 'BASIC INFO'!$B$3&lt;('BASIC INFO'!$B$6+6574.5), "NOT YET 18", C101+730.5&gt;'BASIC INFO'!$B$3, "NOT YET 2 YEARS")</f>
        <v>N/A</v>
      </c>
      <c r="I101" s="61" t="str">
        <f>IF(OR(AND(LEFT('CASE DATA'!F102,4)="321.",MID('CASE DATA'!A102,8,2)="SM"),MID('CASE DATA'!A102,8,2)="ST",MID('CASE DATA'!A102,8,2)="NT"),"TRAFFIC",IF(OR('CASE DATA'!G102="DISM", 'CASE DATA'!G102="ACQ", 'CASE DATA'!G102="NOTF", 'CASE DATA'!G102="WTHD", 'CASE DATA'!G102="TNSF"), "YES", "NO"))</f>
        <v>NO</v>
      </c>
      <c r="J101" s="62" t="str">
        <f>IF(I101="YES",'CASE DATA'!T102,"N/A")</f>
        <v>N/A</v>
      </c>
      <c r="K101" s="57" t="str">
        <f>IF(I101="YES",IF(C101+180&lt;'BASIC INFO'!$B$3, "YES", "NO"),"N/A")</f>
        <v>N/A</v>
      </c>
      <c r="L101" s="62" t="str">
        <f t="array" ref="L101">IF(I101="TRAFFIC","n/a",IF(OR('CASE DATA'!G102="GTR", 'CASE DATA'!G102="GPL"),IF(SUM(COUNTIF('CASE DATA'!W102:AH102, 'CODE SECTIONS'!$V$2:$V$218&amp;"*"))&gt;0,"felony","eligible"),"n/a"))</f>
        <v>n/a</v>
      </c>
      <c r="M101" s="62" t="str">
        <f t="array" ref="M101">IF(L101="eligible",IF(OR((SUM(COUNTIF('CASE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62" t="str">
        <f>IF(M101="eligible",IF(COUNTIF('CASE DATA'!$D$4:$D$200, "")-COUNTIF('CASE DATA'!$A$4:$A$200, "")&gt;0, "YES","NO"),"N/A")</f>
        <v>N/A</v>
      </c>
      <c r="O101" s="62" t="str">
        <f>IF(M101="eligible",BANKRUPTCY!C102+BANKRUPTCY!D102,"N/A")</f>
        <v>N/A</v>
      </c>
      <c r="P101" s="62" t="str">
        <f>IF(M101="eligible",SOL!C102+SOL!D102+SOL!E102,"N/A")</f>
        <v>N/A</v>
      </c>
      <c r="Q101" s="62" t="str">
        <f>IF(M101="eligible",SUM('CASE DATA'!J102:S102),"N/A")</f>
        <v>N/A</v>
      </c>
      <c r="R101" s="62" t="str">
        <f>IF(M101="eligible",IF(C101+2920&lt;'BASIC INFO'!$B$3, "YES", "NO"),"N/A")</f>
        <v>N/A</v>
      </c>
      <c r="S101" s="61" t="str">
        <f>IF(OR('CASE DATA'!G102="DEF"), "YES", "NO")</f>
        <v>NO</v>
      </c>
      <c r="T101" s="57" t="str">
        <f>IF(S101="YES",'CASE DATA'!I102,"N/A")</f>
        <v>N/A</v>
      </c>
      <c r="U101" s="62" t="str">
        <f>IF(S101="YES",BANKRUPTCY!C102+BANKRUPTCY!D102,"N/A")</f>
        <v>N/A</v>
      </c>
      <c r="V101" s="62" t="str">
        <f>IF(S101="YES",SUM('CASE DATA'!J102:S102),"N/A")</f>
        <v>N/A</v>
      </c>
      <c r="W101" s="57" t="str">
        <f>IF(OR('CASE DATA'!F102="123.46",'CASE DATA'!F102="123.47"),"YES","NO")</f>
        <v>NO</v>
      </c>
      <c r="X101" s="60" t="str">
        <f>IF(W101="YES",COUNTIFS(AD$3:$AD$200,"&gt;"&amp;('CASE DATA'!D102),$AD$3:$AD$200,"&lt;"&amp;('CASE DATA'!D102+730.5)),"n/a")</f>
        <v>n/a</v>
      </c>
      <c r="Y101" s="62" t="str">
        <f>IF(W101="YES",IF(C101+730.5&lt;'BASIC INFO'!$B$3, "YES","NO"), "N/A")</f>
        <v>N/A</v>
      </c>
      <c r="Z101" s="57" t="str">
        <f>IF('CASE DATA'!F102="725.1","YES","NO")</f>
        <v>NO</v>
      </c>
      <c r="AA101" s="57" t="str">
        <f>IF(Z101="YES",IF(C101+730.5&lt;'BASIC INFO'!$B$3, "YES","NO"), "N/A")</f>
        <v>N/A</v>
      </c>
      <c r="AB101" s="57" t="str">
        <f>IF('BASIC INFO'!$B$6+6574.5&gt;C101, "YES", "NO")</f>
        <v>YES</v>
      </c>
      <c r="AC101" s="57" t="str">
        <f>IF(Z101="YES",COUNTIFS(AD$3:$AD$200,"&gt;"&amp;('CASE DATA'!D102),$AD$3:$AD$200,"&lt;"&amp;('CASE DATA'!D102+730.5)),"n/a")</f>
        <v>n/a</v>
      </c>
    </row>
    <row r="102" spans="1:29" x14ac:dyDescent="0.25">
      <c r="A102" s="57" t="str">
        <f>IF('CASE DATA'!A103="","z",'CASE DATA'!A103)</f>
        <v>z</v>
      </c>
      <c r="B102" s="57" t="str">
        <f>IF('CASE DATA'!A103="","",'CASE DATA'!E103)</f>
        <v/>
      </c>
      <c r="C102" s="58">
        <f>'CASE DATA'!D103</f>
        <v>0</v>
      </c>
      <c r="D102" s="59" t="str">
        <f>IF('CASE DATA'!I103="YES",SUM('CASE DATA'!J103:P103),"n/a")</f>
        <v>n/a</v>
      </c>
      <c r="E102" s="60" t="str">
        <f>IF(OR('CASE DATA'!G103="JUV", 'CASE DATA'!G103="JWV"), "YES", "NO")</f>
        <v>NO</v>
      </c>
      <c r="F102" s="60" t="str">
        <f t="array" ref="F102">IF(E102="YES",IF(SUM(COUNTIF('CASE DATA'!$G$4:$G$200, {"GTR","GPL","DEF","JUV"}))&gt;0, "YES","NO"),"N/A")</f>
        <v>N/A</v>
      </c>
      <c r="G102" s="60" t="str">
        <f>IF(E102="YES",IF(COUNTIF('CASE DATA'!$D$4:$D$200, "")-COUNTIF('CASE DATA'!$A$4:$A$200, "")&gt;0, "YES","NO"),"N/A")</f>
        <v>N/A</v>
      </c>
      <c r="H102" s="57" t="str">
        <f>_xlfn.IFS(E102="NO", "N/A", AND('BASIC INFO'!$B$3&gt;'BASIC INFO'!$B$6+6574.5, C102+730.5&lt;'BASIC INFO'!$B$3), "YES", 'BASIC INFO'!$B$3&lt;('BASIC INFO'!$B$6+6574.5), "NOT YET 18", C102+730.5&gt;'BASIC INFO'!$B$3, "NOT YET 2 YEARS")</f>
        <v>N/A</v>
      </c>
      <c r="I102" s="61" t="str">
        <f>IF(OR(AND(LEFT('CASE DATA'!F103,4)="321.",MID('CASE DATA'!A103,8,2)="SM"),MID('CASE DATA'!A103,8,2)="ST",MID('CASE DATA'!A103,8,2)="NT"),"TRAFFIC",IF(OR('CASE DATA'!G103="DISM", 'CASE DATA'!G103="ACQ", 'CASE DATA'!G103="NOTF", 'CASE DATA'!G103="WTHD", 'CASE DATA'!G103="TNSF"), "YES", "NO"))</f>
        <v>NO</v>
      </c>
      <c r="J102" s="62" t="str">
        <f>IF(I102="YES",'CASE DATA'!T103,"N/A")</f>
        <v>N/A</v>
      </c>
      <c r="K102" s="57" t="str">
        <f>IF(I102="YES",IF(C102+180&lt;'BASIC INFO'!$B$3, "YES", "NO"),"N/A")</f>
        <v>N/A</v>
      </c>
      <c r="L102" s="62" t="str">
        <f t="array" ref="L102">IF(I102="TRAFFIC","n/a",IF(OR('CASE DATA'!G103="GTR", 'CASE DATA'!G103="GPL"),IF(SUM(COUNTIF('CASE DATA'!W103:AH103, 'CODE SECTIONS'!$V$2:$V$218&amp;"*"))&gt;0,"felony","eligible"),"n/a"))</f>
        <v>n/a</v>
      </c>
      <c r="M102" s="62" t="str">
        <f t="array" ref="M102">IF(L102="eligible",IF(OR((SUM(COUNTIF('CASE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62" t="str">
        <f>IF(M102="eligible",IF(COUNTIF('CASE DATA'!$D$4:$D$200, "")-COUNTIF('CASE DATA'!$A$4:$A$200, "")&gt;0, "YES","NO"),"N/A")</f>
        <v>N/A</v>
      </c>
      <c r="O102" s="62" t="str">
        <f>IF(M102="eligible",BANKRUPTCY!C103+BANKRUPTCY!D103,"N/A")</f>
        <v>N/A</v>
      </c>
      <c r="P102" s="62" t="str">
        <f>IF(M102="eligible",SOL!C103+SOL!D103+SOL!E103,"N/A")</f>
        <v>N/A</v>
      </c>
      <c r="Q102" s="62" t="str">
        <f>IF(M102="eligible",SUM('CASE DATA'!J103:S103),"N/A")</f>
        <v>N/A</v>
      </c>
      <c r="R102" s="62" t="str">
        <f>IF(M102="eligible",IF(C102+2920&lt;'BASIC INFO'!$B$3, "YES", "NO"),"N/A")</f>
        <v>N/A</v>
      </c>
      <c r="S102" s="61" t="str">
        <f>IF(OR('CASE DATA'!G103="DEF"), "YES", "NO")</f>
        <v>NO</v>
      </c>
      <c r="T102" s="57" t="str">
        <f>IF(S102="YES",'CASE DATA'!I103,"N/A")</f>
        <v>N/A</v>
      </c>
      <c r="U102" s="62" t="str">
        <f>IF(S102="YES",BANKRUPTCY!C103+BANKRUPTCY!D103,"N/A")</f>
        <v>N/A</v>
      </c>
      <c r="V102" s="62" t="str">
        <f>IF(S102="YES",SUM('CASE DATA'!J103:S103),"N/A")</f>
        <v>N/A</v>
      </c>
      <c r="W102" s="57" t="str">
        <f>IF(OR('CASE DATA'!F103="123.46",'CASE DATA'!F103="123.47"),"YES","NO")</f>
        <v>NO</v>
      </c>
      <c r="X102" s="60" t="str">
        <f>IF(W102="YES",COUNTIFS(AD$3:$AD$200,"&gt;"&amp;('CASE DATA'!D103),$AD$3:$AD$200,"&lt;"&amp;('CASE DATA'!D103+730.5)),"n/a")</f>
        <v>n/a</v>
      </c>
      <c r="Y102" s="62" t="str">
        <f>IF(W102="YES",IF(C102+730.5&lt;'BASIC INFO'!$B$3, "YES","NO"), "N/A")</f>
        <v>N/A</v>
      </c>
      <c r="Z102" s="57" t="str">
        <f>IF('CASE DATA'!F103="725.1","YES","NO")</f>
        <v>NO</v>
      </c>
      <c r="AA102" s="57" t="str">
        <f>IF(Z102="YES",IF(C102+730.5&lt;'BASIC INFO'!$B$3, "YES","NO"), "N/A")</f>
        <v>N/A</v>
      </c>
      <c r="AB102" s="57" t="str">
        <f>IF('BASIC INFO'!$B$6+6574.5&gt;C102, "YES", "NO")</f>
        <v>YES</v>
      </c>
      <c r="AC102" s="57" t="str">
        <f>IF(Z102="YES",COUNTIFS(AD$3:$AD$200,"&gt;"&amp;('CASE DATA'!D103),$AD$3:$AD$200,"&lt;"&amp;('CASE DATA'!D103+730.5)),"n/a")</f>
        <v>n/a</v>
      </c>
    </row>
    <row r="103" spans="1:29" x14ac:dyDescent="0.25">
      <c r="A103" s="57" t="str">
        <f>IF('CASE DATA'!A104="","z",'CASE DATA'!A104)</f>
        <v>z</v>
      </c>
      <c r="B103" s="57" t="str">
        <f>IF('CASE DATA'!A104="","",'CASE DATA'!E104)</f>
        <v/>
      </c>
      <c r="C103" s="58">
        <f>'CASE DATA'!D104</f>
        <v>0</v>
      </c>
      <c r="D103" s="59" t="str">
        <f>IF('CASE DATA'!I104="YES",SUM('CASE DATA'!J104:P104),"n/a")</f>
        <v>n/a</v>
      </c>
      <c r="E103" s="60" t="str">
        <f>IF(OR('CASE DATA'!G104="JUV", 'CASE DATA'!G104="JWV"), "YES", "NO")</f>
        <v>NO</v>
      </c>
      <c r="F103" s="60" t="str">
        <f t="array" ref="F103">IF(E103="YES",IF(SUM(COUNTIF('CASE DATA'!$G$4:$G$200, {"GTR","GPL","DEF","JUV"}))&gt;0, "YES","NO"),"N/A")</f>
        <v>N/A</v>
      </c>
      <c r="G103" s="60" t="str">
        <f>IF(E103="YES",IF(COUNTIF('CASE DATA'!$D$4:$D$200, "")-COUNTIF('CASE DATA'!$A$4:$A$200, "")&gt;0, "YES","NO"),"N/A")</f>
        <v>N/A</v>
      </c>
      <c r="H103" s="57" t="str">
        <f>_xlfn.IFS(E103="NO", "N/A", AND('BASIC INFO'!$B$3&gt;'BASIC INFO'!$B$6+6574.5, C103+730.5&lt;'BASIC INFO'!$B$3), "YES", 'BASIC INFO'!$B$3&lt;('BASIC INFO'!$B$6+6574.5), "NOT YET 18", C103+730.5&gt;'BASIC INFO'!$B$3, "NOT YET 2 YEARS")</f>
        <v>N/A</v>
      </c>
      <c r="I103" s="61" t="str">
        <f>IF(OR(AND(LEFT('CASE DATA'!F104,4)="321.",MID('CASE DATA'!A104,8,2)="SM"),MID('CASE DATA'!A104,8,2)="ST",MID('CASE DATA'!A104,8,2)="NT"),"TRAFFIC",IF(OR('CASE DATA'!G104="DISM", 'CASE DATA'!G104="ACQ", 'CASE DATA'!G104="NOTF", 'CASE DATA'!G104="WTHD", 'CASE DATA'!G104="TNSF"), "YES", "NO"))</f>
        <v>NO</v>
      </c>
      <c r="J103" s="62" t="str">
        <f>IF(I103="YES",'CASE DATA'!T104,"N/A")</f>
        <v>N/A</v>
      </c>
      <c r="K103" s="57" t="str">
        <f>IF(I103="YES",IF(C103+180&lt;'BASIC INFO'!$B$3, "YES", "NO"),"N/A")</f>
        <v>N/A</v>
      </c>
      <c r="L103" s="62" t="str">
        <f t="array" ref="L103">IF(I103="TRAFFIC","n/a",IF(OR('CASE DATA'!G104="GTR", 'CASE DATA'!G104="GPL"),IF(SUM(COUNTIF('CASE DATA'!W104:AH104, 'CODE SECTIONS'!$V$2:$V$218&amp;"*"))&gt;0,"felony","eligible"),"n/a"))</f>
        <v>n/a</v>
      </c>
      <c r="M103" s="62" t="str">
        <f t="array" ref="M103">IF(L103="eligible",IF(OR((SUM(COUNTIF('CASE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62" t="str">
        <f>IF(M103="eligible",IF(COUNTIF('CASE DATA'!$D$4:$D$200, "")-COUNTIF('CASE DATA'!$A$4:$A$200, "")&gt;0, "YES","NO"),"N/A")</f>
        <v>N/A</v>
      </c>
      <c r="O103" s="62" t="str">
        <f>IF(M103="eligible",BANKRUPTCY!C104+BANKRUPTCY!D104,"N/A")</f>
        <v>N/A</v>
      </c>
      <c r="P103" s="62" t="str">
        <f>IF(M103="eligible",SOL!C104+SOL!D104+SOL!E104,"N/A")</f>
        <v>N/A</v>
      </c>
      <c r="Q103" s="62" t="str">
        <f>IF(M103="eligible",SUM('CASE DATA'!J104:S104),"N/A")</f>
        <v>N/A</v>
      </c>
      <c r="R103" s="62" t="str">
        <f>IF(M103="eligible",IF(C103+2920&lt;'BASIC INFO'!$B$3, "YES", "NO"),"N/A")</f>
        <v>N/A</v>
      </c>
      <c r="S103" s="61" t="str">
        <f>IF(OR('CASE DATA'!G104="DEF"), "YES", "NO")</f>
        <v>NO</v>
      </c>
      <c r="T103" s="57" t="str">
        <f>IF(S103="YES",'CASE DATA'!I104,"N/A")</f>
        <v>N/A</v>
      </c>
      <c r="U103" s="62" t="str">
        <f>IF(S103="YES",BANKRUPTCY!C104+BANKRUPTCY!D104,"N/A")</f>
        <v>N/A</v>
      </c>
      <c r="V103" s="62" t="str">
        <f>IF(S103="YES",SUM('CASE DATA'!J104:S104),"N/A")</f>
        <v>N/A</v>
      </c>
      <c r="W103" s="57" t="str">
        <f>IF(OR('CASE DATA'!F104="123.46",'CASE DATA'!F104="123.47"),"YES","NO")</f>
        <v>NO</v>
      </c>
      <c r="X103" s="60" t="str">
        <f>IF(W103="YES",COUNTIFS(AD$3:$AD$200,"&gt;"&amp;('CASE DATA'!D104),$AD$3:$AD$200,"&lt;"&amp;('CASE DATA'!D104+730.5)),"n/a")</f>
        <v>n/a</v>
      </c>
      <c r="Y103" s="62" t="str">
        <f>IF(W103="YES",IF(C103+730.5&lt;'BASIC INFO'!$B$3, "YES","NO"), "N/A")</f>
        <v>N/A</v>
      </c>
      <c r="Z103" s="57" t="str">
        <f>IF('CASE DATA'!F104="725.1","YES","NO")</f>
        <v>NO</v>
      </c>
      <c r="AA103" s="57" t="str">
        <f>IF(Z103="YES",IF(C103+730.5&lt;'BASIC INFO'!$B$3, "YES","NO"), "N/A")</f>
        <v>N/A</v>
      </c>
      <c r="AB103" s="57" t="str">
        <f>IF('BASIC INFO'!$B$6+6574.5&gt;C103, "YES", "NO")</f>
        <v>YES</v>
      </c>
      <c r="AC103" s="57" t="str">
        <f>IF(Z103="YES",COUNTIFS(AD$3:$AD$200,"&gt;"&amp;('CASE DATA'!D104),$AD$3:$AD$200,"&lt;"&amp;('CASE DATA'!D104+730.5)),"n/a")</f>
        <v>n/a</v>
      </c>
    </row>
    <row r="104" spans="1:29" x14ac:dyDescent="0.25">
      <c r="A104" s="57" t="str">
        <f>IF('CASE DATA'!A105="","z",'CASE DATA'!A105)</f>
        <v>z</v>
      </c>
      <c r="B104" s="57" t="str">
        <f>IF('CASE DATA'!A105="","",'CASE DATA'!E105)</f>
        <v/>
      </c>
      <c r="C104" s="58">
        <f>'CASE DATA'!D105</f>
        <v>0</v>
      </c>
      <c r="D104" s="59" t="str">
        <f>IF('CASE DATA'!I105="YES",SUM('CASE DATA'!J105:P105),"n/a")</f>
        <v>n/a</v>
      </c>
      <c r="E104" s="60" t="str">
        <f>IF(OR('CASE DATA'!G105="JUV", 'CASE DATA'!G105="JWV"), "YES", "NO")</f>
        <v>NO</v>
      </c>
      <c r="F104" s="60" t="str">
        <f t="array" ref="F104">IF(E104="YES",IF(SUM(COUNTIF('CASE DATA'!$G$4:$G$200, {"GTR","GPL","DEF","JUV"}))&gt;0, "YES","NO"),"N/A")</f>
        <v>N/A</v>
      </c>
      <c r="G104" s="60" t="str">
        <f>IF(E104="YES",IF(COUNTIF('CASE DATA'!$D$4:$D$200, "")-COUNTIF('CASE DATA'!$A$4:$A$200, "")&gt;0, "YES","NO"),"N/A")</f>
        <v>N/A</v>
      </c>
      <c r="H104" s="57" t="str">
        <f>_xlfn.IFS(E104="NO", "N/A", AND('BASIC INFO'!$B$3&gt;'BASIC INFO'!$B$6+6574.5, C104+730.5&lt;'BASIC INFO'!$B$3), "YES", 'BASIC INFO'!$B$3&lt;('BASIC INFO'!$B$6+6574.5), "NOT YET 18", C104+730.5&gt;'BASIC INFO'!$B$3, "NOT YET 2 YEARS")</f>
        <v>N/A</v>
      </c>
      <c r="I104" s="61" t="str">
        <f>IF(OR(AND(LEFT('CASE DATA'!F105,4)="321.",MID('CASE DATA'!A105,8,2)="SM"),MID('CASE DATA'!A105,8,2)="ST",MID('CASE DATA'!A105,8,2)="NT"),"TRAFFIC",IF(OR('CASE DATA'!G105="DISM", 'CASE DATA'!G105="ACQ", 'CASE DATA'!G105="NOTF", 'CASE DATA'!G105="WTHD", 'CASE DATA'!G105="TNSF"), "YES", "NO"))</f>
        <v>NO</v>
      </c>
      <c r="J104" s="62" t="str">
        <f>IF(I104="YES",'CASE DATA'!T105,"N/A")</f>
        <v>N/A</v>
      </c>
      <c r="K104" s="57" t="str">
        <f>IF(I104="YES",IF(C104+180&lt;'BASIC INFO'!$B$3, "YES", "NO"),"N/A")</f>
        <v>N/A</v>
      </c>
      <c r="L104" s="62" t="str">
        <f t="array" ref="L104">IF(I104="TRAFFIC","n/a",IF(OR('CASE DATA'!G105="GTR", 'CASE DATA'!G105="GPL"),IF(SUM(COUNTIF('CASE DATA'!W105:AH105, 'CODE SECTIONS'!$V$2:$V$218&amp;"*"))&gt;0,"felony","eligible"),"n/a"))</f>
        <v>n/a</v>
      </c>
      <c r="M104" s="62" t="str">
        <f t="array" ref="M104">IF(L104="eligible",IF(OR((SUM(COUNTIF('CASE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62" t="str">
        <f>IF(M104="eligible",IF(COUNTIF('CASE DATA'!$D$4:$D$200, "")-COUNTIF('CASE DATA'!$A$4:$A$200, "")&gt;0, "YES","NO"),"N/A")</f>
        <v>N/A</v>
      </c>
      <c r="O104" s="62" t="str">
        <f>IF(M104="eligible",BANKRUPTCY!C105+BANKRUPTCY!D105,"N/A")</f>
        <v>N/A</v>
      </c>
      <c r="P104" s="62" t="str">
        <f>IF(M104="eligible",SOL!C105+SOL!D105+SOL!E105,"N/A")</f>
        <v>N/A</v>
      </c>
      <c r="Q104" s="62" t="str">
        <f>IF(M104="eligible",SUM('CASE DATA'!J105:S105),"N/A")</f>
        <v>N/A</v>
      </c>
      <c r="R104" s="62" t="str">
        <f>IF(M104="eligible",IF(C104+2920&lt;'BASIC INFO'!$B$3, "YES", "NO"),"N/A")</f>
        <v>N/A</v>
      </c>
      <c r="S104" s="61" t="str">
        <f>IF(OR('CASE DATA'!G105="DEF"), "YES", "NO")</f>
        <v>NO</v>
      </c>
      <c r="T104" s="57" t="str">
        <f>IF(S104="YES",'CASE DATA'!I105,"N/A")</f>
        <v>N/A</v>
      </c>
      <c r="U104" s="62" t="str">
        <f>IF(S104="YES",BANKRUPTCY!C105+BANKRUPTCY!D105,"N/A")</f>
        <v>N/A</v>
      </c>
      <c r="V104" s="62" t="str">
        <f>IF(S104="YES",SUM('CASE DATA'!J105:S105),"N/A")</f>
        <v>N/A</v>
      </c>
      <c r="W104" s="57" t="str">
        <f>IF(OR('CASE DATA'!F105="123.46",'CASE DATA'!F105="123.47"),"YES","NO")</f>
        <v>NO</v>
      </c>
      <c r="X104" s="60" t="str">
        <f>IF(W104="YES",COUNTIFS(AD$3:$AD$200,"&gt;"&amp;('CASE DATA'!D105),$AD$3:$AD$200,"&lt;"&amp;('CASE DATA'!D105+730.5)),"n/a")</f>
        <v>n/a</v>
      </c>
      <c r="Y104" s="62" t="str">
        <f>IF(W104="YES",IF(C104+730.5&lt;'BASIC INFO'!$B$3, "YES","NO"), "N/A")</f>
        <v>N/A</v>
      </c>
      <c r="Z104" s="57" t="str">
        <f>IF('CASE DATA'!F105="725.1","YES","NO")</f>
        <v>NO</v>
      </c>
      <c r="AA104" s="57" t="str">
        <f>IF(Z104="YES",IF(C104+730.5&lt;'BASIC INFO'!$B$3, "YES","NO"), "N/A")</f>
        <v>N/A</v>
      </c>
      <c r="AB104" s="57" t="str">
        <f>IF('BASIC INFO'!$B$6+6574.5&gt;C104, "YES", "NO")</f>
        <v>YES</v>
      </c>
      <c r="AC104" s="57" t="str">
        <f>IF(Z104="YES",COUNTIFS(AD$3:$AD$200,"&gt;"&amp;('CASE DATA'!D105),$AD$3:$AD$200,"&lt;"&amp;('CASE DATA'!D105+730.5)),"n/a")</f>
        <v>n/a</v>
      </c>
    </row>
    <row r="105" spans="1:29" x14ac:dyDescent="0.25">
      <c r="A105" s="57" t="str">
        <f>IF('CASE DATA'!A106="","z",'CASE DATA'!A106)</f>
        <v>z</v>
      </c>
      <c r="B105" s="57" t="str">
        <f>IF('CASE DATA'!A106="","",'CASE DATA'!E106)</f>
        <v/>
      </c>
      <c r="C105" s="58">
        <f>'CASE DATA'!D106</f>
        <v>0</v>
      </c>
      <c r="D105" s="59" t="str">
        <f>IF('CASE DATA'!I106="YES",SUM('CASE DATA'!J106:P106),"n/a")</f>
        <v>n/a</v>
      </c>
      <c r="E105" s="60" t="str">
        <f>IF(OR('CASE DATA'!G106="JUV", 'CASE DATA'!G106="JWV"), "YES", "NO")</f>
        <v>NO</v>
      </c>
      <c r="F105" s="60" t="str">
        <f t="array" ref="F105">IF(E105="YES",IF(SUM(COUNTIF('CASE DATA'!$G$4:$G$200, {"GTR","GPL","DEF","JUV"}))&gt;0, "YES","NO"),"N/A")</f>
        <v>N/A</v>
      </c>
      <c r="G105" s="60" t="str">
        <f>IF(E105="YES",IF(COUNTIF('CASE DATA'!$D$4:$D$200, "")-COUNTIF('CASE DATA'!$A$4:$A$200, "")&gt;0, "YES","NO"),"N/A")</f>
        <v>N/A</v>
      </c>
      <c r="H105" s="57" t="str">
        <f>_xlfn.IFS(E105="NO", "N/A", AND('BASIC INFO'!$B$3&gt;'BASIC INFO'!$B$6+6574.5, C105+730.5&lt;'BASIC INFO'!$B$3), "YES", 'BASIC INFO'!$B$3&lt;('BASIC INFO'!$B$6+6574.5), "NOT YET 18", C105+730.5&gt;'BASIC INFO'!$B$3, "NOT YET 2 YEARS")</f>
        <v>N/A</v>
      </c>
      <c r="I105" s="61" t="str">
        <f>IF(OR(AND(LEFT('CASE DATA'!F106,4)="321.",MID('CASE DATA'!A106,8,2)="SM"),MID('CASE DATA'!A106,8,2)="ST",MID('CASE DATA'!A106,8,2)="NT"),"TRAFFIC",IF(OR('CASE DATA'!G106="DISM", 'CASE DATA'!G106="ACQ", 'CASE DATA'!G106="NOTF", 'CASE DATA'!G106="WTHD", 'CASE DATA'!G106="TNSF"), "YES", "NO"))</f>
        <v>NO</v>
      </c>
      <c r="J105" s="62" t="str">
        <f>IF(I105="YES",'CASE DATA'!T106,"N/A")</f>
        <v>N/A</v>
      </c>
      <c r="K105" s="57" t="str">
        <f>IF(I105="YES",IF(C105+180&lt;'BASIC INFO'!$B$3, "YES", "NO"),"N/A")</f>
        <v>N/A</v>
      </c>
      <c r="L105" s="62" t="str">
        <f t="array" ref="L105">IF(I105="TRAFFIC","n/a",IF(OR('CASE DATA'!G106="GTR", 'CASE DATA'!G106="GPL"),IF(SUM(COUNTIF('CASE DATA'!W106:AH106, 'CODE SECTIONS'!$V$2:$V$218&amp;"*"))&gt;0,"felony","eligible"),"n/a"))</f>
        <v>n/a</v>
      </c>
      <c r="M105" s="62" t="str">
        <f t="array" ref="M105">IF(L105="eligible",IF(OR((SUM(COUNTIF('CASE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62" t="str">
        <f>IF(M105="eligible",IF(COUNTIF('CASE DATA'!$D$4:$D$200, "")-COUNTIF('CASE DATA'!$A$4:$A$200, "")&gt;0, "YES","NO"),"N/A")</f>
        <v>N/A</v>
      </c>
      <c r="O105" s="62" t="str">
        <f>IF(M105="eligible",BANKRUPTCY!C106+BANKRUPTCY!D106,"N/A")</f>
        <v>N/A</v>
      </c>
      <c r="P105" s="62" t="str">
        <f>IF(M105="eligible",SOL!C106+SOL!D106+SOL!E106,"N/A")</f>
        <v>N/A</v>
      </c>
      <c r="Q105" s="62" t="str">
        <f>IF(M105="eligible",SUM('CASE DATA'!J106:S106),"N/A")</f>
        <v>N/A</v>
      </c>
      <c r="R105" s="62" t="str">
        <f>IF(M105="eligible",IF(C105+2920&lt;'BASIC INFO'!$B$3, "YES", "NO"),"N/A")</f>
        <v>N/A</v>
      </c>
      <c r="S105" s="61" t="str">
        <f>IF(OR('CASE DATA'!G106="DEF"), "YES", "NO")</f>
        <v>NO</v>
      </c>
      <c r="T105" s="57" t="str">
        <f>IF(S105="YES",'CASE DATA'!I106,"N/A")</f>
        <v>N/A</v>
      </c>
      <c r="U105" s="62" t="str">
        <f>IF(S105="YES",BANKRUPTCY!C106+BANKRUPTCY!D106,"N/A")</f>
        <v>N/A</v>
      </c>
      <c r="V105" s="62" t="str">
        <f>IF(S105="YES",SUM('CASE DATA'!J106:S106),"N/A")</f>
        <v>N/A</v>
      </c>
      <c r="W105" s="57" t="str">
        <f>IF(OR('CASE DATA'!F106="123.46",'CASE DATA'!F106="123.47"),"YES","NO")</f>
        <v>NO</v>
      </c>
      <c r="X105" s="60" t="str">
        <f>IF(W105="YES",COUNTIFS(AD$3:$AD$200,"&gt;"&amp;('CASE DATA'!D106),$AD$3:$AD$200,"&lt;"&amp;('CASE DATA'!D106+730.5)),"n/a")</f>
        <v>n/a</v>
      </c>
      <c r="Y105" s="62" t="str">
        <f>IF(W105="YES",IF(C105+730.5&lt;'BASIC INFO'!$B$3, "YES","NO"), "N/A")</f>
        <v>N/A</v>
      </c>
      <c r="Z105" s="57" t="str">
        <f>IF('CASE DATA'!F106="725.1","YES","NO")</f>
        <v>NO</v>
      </c>
      <c r="AA105" s="57" t="str">
        <f>IF(Z105="YES",IF(C105+730.5&lt;'BASIC INFO'!$B$3, "YES","NO"), "N/A")</f>
        <v>N/A</v>
      </c>
      <c r="AB105" s="57" t="str">
        <f>IF('BASIC INFO'!$B$6+6574.5&gt;C105, "YES", "NO")</f>
        <v>YES</v>
      </c>
      <c r="AC105" s="57" t="str">
        <f>IF(Z105="YES",COUNTIFS(AD$3:$AD$200,"&gt;"&amp;('CASE DATA'!D106),$AD$3:$AD$200,"&lt;"&amp;('CASE DATA'!D106+730.5)),"n/a")</f>
        <v>n/a</v>
      </c>
    </row>
    <row r="106" spans="1:29" x14ac:dyDescent="0.25">
      <c r="A106" s="57" t="str">
        <f>IF('CASE DATA'!A107="","z",'CASE DATA'!A107)</f>
        <v>z</v>
      </c>
      <c r="B106" s="57" t="str">
        <f>IF('CASE DATA'!A107="","",'CASE DATA'!E107)</f>
        <v/>
      </c>
      <c r="C106" s="58">
        <f>'CASE DATA'!D107</f>
        <v>0</v>
      </c>
      <c r="D106" s="59" t="str">
        <f>IF('CASE DATA'!I107="YES",SUM('CASE DATA'!J107:P107),"n/a")</f>
        <v>n/a</v>
      </c>
      <c r="E106" s="60" t="str">
        <f>IF(OR('CASE DATA'!G107="JUV", 'CASE DATA'!G107="JWV"), "YES", "NO")</f>
        <v>NO</v>
      </c>
      <c r="F106" s="60" t="str">
        <f t="array" ref="F106">IF(E106="YES",IF(SUM(COUNTIF('CASE DATA'!$G$4:$G$200, {"GTR","GPL","DEF","JUV"}))&gt;0, "YES","NO"),"N/A")</f>
        <v>N/A</v>
      </c>
      <c r="G106" s="60" t="str">
        <f>IF(E106="YES",IF(COUNTIF('CASE DATA'!$D$4:$D$200, "")-COUNTIF('CASE DATA'!$A$4:$A$200, "")&gt;0, "YES","NO"),"N/A")</f>
        <v>N/A</v>
      </c>
      <c r="H106" s="57" t="str">
        <f>_xlfn.IFS(E106="NO", "N/A", AND('BASIC INFO'!$B$3&gt;'BASIC INFO'!$B$6+6574.5, C106+730.5&lt;'BASIC INFO'!$B$3), "YES", 'BASIC INFO'!$B$3&lt;('BASIC INFO'!$B$6+6574.5), "NOT YET 18", C106+730.5&gt;'BASIC INFO'!$B$3, "NOT YET 2 YEARS")</f>
        <v>N/A</v>
      </c>
      <c r="I106" s="61" t="str">
        <f>IF(OR(AND(LEFT('CASE DATA'!F107,4)="321.",MID('CASE DATA'!A107,8,2)="SM"),MID('CASE DATA'!A107,8,2)="ST",MID('CASE DATA'!A107,8,2)="NT"),"TRAFFIC",IF(OR('CASE DATA'!G107="DISM", 'CASE DATA'!G107="ACQ", 'CASE DATA'!G107="NOTF", 'CASE DATA'!G107="WTHD", 'CASE DATA'!G107="TNSF"), "YES", "NO"))</f>
        <v>NO</v>
      </c>
      <c r="J106" s="62" t="str">
        <f>IF(I106="YES",'CASE DATA'!T107,"N/A")</f>
        <v>N/A</v>
      </c>
      <c r="K106" s="57" t="str">
        <f>IF(I106="YES",IF(C106+180&lt;'BASIC INFO'!$B$3, "YES", "NO"),"N/A")</f>
        <v>N/A</v>
      </c>
      <c r="L106" s="62" t="str">
        <f t="array" ref="L106">IF(I106="TRAFFIC","n/a",IF(OR('CASE DATA'!G107="GTR", 'CASE DATA'!G107="GPL"),IF(SUM(COUNTIF('CASE DATA'!W107:AH107, 'CODE SECTIONS'!$V$2:$V$218&amp;"*"))&gt;0,"felony","eligible"),"n/a"))</f>
        <v>n/a</v>
      </c>
      <c r="M106" s="62" t="str">
        <f t="array" ref="M106">IF(L106="eligible",IF(OR((SUM(COUNTIF('CASE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62" t="str">
        <f>IF(M106="eligible",IF(COUNTIF('CASE DATA'!$D$4:$D$200, "")-COUNTIF('CASE DATA'!$A$4:$A$200, "")&gt;0, "YES","NO"),"N/A")</f>
        <v>N/A</v>
      </c>
      <c r="O106" s="62" t="str">
        <f>IF(M106="eligible",BANKRUPTCY!C107+BANKRUPTCY!D107,"N/A")</f>
        <v>N/A</v>
      </c>
      <c r="P106" s="62" t="str">
        <f>IF(M106="eligible",SOL!C107+SOL!D107+SOL!E107,"N/A")</f>
        <v>N/A</v>
      </c>
      <c r="Q106" s="62" t="str">
        <f>IF(M106="eligible",SUM('CASE DATA'!J107:S107),"N/A")</f>
        <v>N/A</v>
      </c>
      <c r="R106" s="62" t="str">
        <f>IF(M106="eligible",IF(C106+2920&lt;'BASIC INFO'!$B$3, "YES", "NO"),"N/A")</f>
        <v>N/A</v>
      </c>
      <c r="S106" s="61" t="str">
        <f>IF(OR('CASE DATA'!G107="DEF"), "YES", "NO")</f>
        <v>NO</v>
      </c>
      <c r="T106" s="57" t="str">
        <f>IF(S106="YES",'CASE DATA'!I107,"N/A")</f>
        <v>N/A</v>
      </c>
      <c r="U106" s="62" t="str">
        <f>IF(S106="YES",BANKRUPTCY!C107+BANKRUPTCY!D107,"N/A")</f>
        <v>N/A</v>
      </c>
      <c r="V106" s="62" t="str">
        <f>IF(S106="YES",SUM('CASE DATA'!J107:S107),"N/A")</f>
        <v>N/A</v>
      </c>
      <c r="W106" s="57" t="str">
        <f>IF(OR('CASE DATA'!F107="123.46",'CASE DATA'!F107="123.47"),"YES","NO")</f>
        <v>NO</v>
      </c>
      <c r="X106" s="60" t="str">
        <f>IF(W106="YES",COUNTIFS(AD$3:$AD$200,"&gt;"&amp;('CASE DATA'!D107),$AD$3:$AD$200,"&lt;"&amp;('CASE DATA'!D107+730.5)),"n/a")</f>
        <v>n/a</v>
      </c>
      <c r="Y106" s="62" t="str">
        <f>IF(W106="YES",IF(C106+730.5&lt;'BASIC INFO'!$B$3, "YES","NO"), "N/A")</f>
        <v>N/A</v>
      </c>
      <c r="Z106" s="57" t="str">
        <f>IF('CASE DATA'!F107="725.1","YES","NO")</f>
        <v>NO</v>
      </c>
      <c r="AA106" s="57" t="str">
        <f>IF(Z106="YES",IF(C106+730.5&lt;'BASIC INFO'!$B$3, "YES","NO"), "N/A")</f>
        <v>N/A</v>
      </c>
      <c r="AB106" s="57" t="str">
        <f>IF('BASIC INFO'!$B$6+6574.5&gt;C106, "YES", "NO")</f>
        <v>YES</v>
      </c>
      <c r="AC106" s="57" t="str">
        <f>IF(Z106="YES",COUNTIFS(AD$3:$AD$200,"&gt;"&amp;('CASE DATA'!D107),$AD$3:$AD$200,"&lt;"&amp;('CASE DATA'!D107+730.5)),"n/a")</f>
        <v>n/a</v>
      </c>
    </row>
    <row r="107" spans="1:29" x14ac:dyDescent="0.25">
      <c r="A107" s="57" t="str">
        <f>IF('CASE DATA'!A108="","z",'CASE DATA'!A108)</f>
        <v>z</v>
      </c>
      <c r="B107" s="57" t="str">
        <f>IF('CASE DATA'!A108="","",'CASE DATA'!E108)</f>
        <v/>
      </c>
      <c r="C107" s="58">
        <f>'CASE DATA'!D108</f>
        <v>0</v>
      </c>
      <c r="D107" s="59" t="str">
        <f>IF('CASE DATA'!I108="YES",SUM('CASE DATA'!J108:P108),"n/a")</f>
        <v>n/a</v>
      </c>
      <c r="E107" s="60" t="str">
        <f>IF(OR('CASE DATA'!G108="JUV", 'CASE DATA'!G108="JWV"), "YES", "NO")</f>
        <v>NO</v>
      </c>
      <c r="F107" s="60" t="str">
        <f t="array" ref="F107">IF(E107="YES",IF(SUM(COUNTIF('CASE DATA'!$G$4:$G$200, {"GTR","GPL","DEF","JUV"}))&gt;0, "YES","NO"),"N/A")</f>
        <v>N/A</v>
      </c>
      <c r="G107" s="60" t="str">
        <f>IF(E107="YES",IF(COUNTIF('CASE DATA'!$D$4:$D$200, "")-COUNTIF('CASE DATA'!$A$4:$A$200, "")&gt;0, "YES","NO"),"N/A")</f>
        <v>N/A</v>
      </c>
      <c r="H107" s="57" t="str">
        <f>_xlfn.IFS(E107="NO", "N/A", AND('BASIC INFO'!$B$3&gt;'BASIC INFO'!$B$6+6574.5, C107+730.5&lt;'BASIC INFO'!$B$3), "YES", 'BASIC INFO'!$B$3&lt;('BASIC INFO'!$B$6+6574.5), "NOT YET 18", C107+730.5&gt;'BASIC INFO'!$B$3, "NOT YET 2 YEARS")</f>
        <v>N/A</v>
      </c>
      <c r="I107" s="61" t="str">
        <f>IF(OR(AND(LEFT('CASE DATA'!F108,4)="321.",MID('CASE DATA'!A108,8,2)="SM"),MID('CASE DATA'!A108,8,2)="ST",MID('CASE DATA'!A108,8,2)="NT"),"TRAFFIC",IF(OR('CASE DATA'!G108="DISM", 'CASE DATA'!G108="ACQ", 'CASE DATA'!G108="NOTF", 'CASE DATA'!G108="WTHD", 'CASE DATA'!G108="TNSF"), "YES", "NO"))</f>
        <v>NO</v>
      </c>
      <c r="J107" s="62" t="str">
        <f>IF(I107="YES",'CASE DATA'!T108,"N/A")</f>
        <v>N/A</v>
      </c>
      <c r="K107" s="57" t="str">
        <f>IF(I107="YES",IF(C107+180&lt;'BASIC INFO'!$B$3, "YES", "NO"),"N/A")</f>
        <v>N/A</v>
      </c>
      <c r="L107" s="62" t="str">
        <f t="array" ref="L107">IF(I107="TRAFFIC","n/a",IF(OR('CASE DATA'!G108="GTR", 'CASE DATA'!G108="GPL"),IF(SUM(COUNTIF('CASE DATA'!W108:AH108, 'CODE SECTIONS'!$V$2:$V$218&amp;"*"))&gt;0,"felony","eligible"),"n/a"))</f>
        <v>n/a</v>
      </c>
      <c r="M107" s="62" t="str">
        <f t="array" ref="M107">IF(L107="eligible",IF(OR((SUM(COUNTIF('CASE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62" t="str">
        <f>IF(M107="eligible",IF(COUNTIF('CASE DATA'!$D$4:$D$200, "")-COUNTIF('CASE DATA'!$A$4:$A$200, "")&gt;0, "YES","NO"),"N/A")</f>
        <v>N/A</v>
      </c>
      <c r="O107" s="62" t="str">
        <f>IF(M107="eligible",BANKRUPTCY!C108+BANKRUPTCY!D108,"N/A")</f>
        <v>N/A</v>
      </c>
      <c r="P107" s="62" t="str">
        <f>IF(M107="eligible",SOL!C108+SOL!D108+SOL!E108,"N/A")</f>
        <v>N/A</v>
      </c>
      <c r="Q107" s="62" t="str">
        <f>IF(M107="eligible",SUM('CASE DATA'!J108:S108),"N/A")</f>
        <v>N/A</v>
      </c>
      <c r="R107" s="62" t="str">
        <f>IF(M107="eligible",IF(C107+2920&lt;'BASIC INFO'!$B$3, "YES", "NO"),"N/A")</f>
        <v>N/A</v>
      </c>
      <c r="S107" s="61" t="str">
        <f>IF(OR('CASE DATA'!G108="DEF"), "YES", "NO")</f>
        <v>NO</v>
      </c>
      <c r="T107" s="57" t="str">
        <f>IF(S107="YES",'CASE DATA'!I108,"N/A")</f>
        <v>N/A</v>
      </c>
      <c r="U107" s="62" t="str">
        <f>IF(S107="YES",BANKRUPTCY!C108+BANKRUPTCY!D108,"N/A")</f>
        <v>N/A</v>
      </c>
      <c r="V107" s="62" t="str">
        <f>IF(S107="YES",SUM('CASE DATA'!J108:S108),"N/A")</f>
        <v>N/A</v>
      </c>
      <c r="W107" s="57" t="str">
        <f>IF(OR('CASE DATA'!F108="123.46",'CASE DATA'!F108="123.47"),"YES","NO")</f>
        <v>NO</v>
      </c>
      <c r="X107" s="60" t="str">
        <f>IF(W107="YES",COUNTIFS(AD$3:$AD$200,"&gt;"&amp;('CASE DATA'!D108),$AD$3:$AD$200,"&lt;"&amp;('CASE DATA'!D108+730.5)),"n/a")</f>
        <v>n/a</v>
      </c>
      <c r="Y107" s="62" t="str">
        <f>IF(W107="YES",IF(C107+730.5&lt;'BASIC INFO'!$B$3, "YES","NO"), "N/A")</f>
        <v>N/A</v>
      </c>
      <c r="Z107" s="57" t="str">
        <f>IF('CASE DATA'!F108="725.1","YES","NO")</f>
        <v>NO</v>
      </c>
      <c r="AA107" s="57" t="str">
        <f>IF(Z107="YES",IF(C107+730.5&lt;'BASIC INFO'!$B$3, "YES","NO"), "N/A")</f>
        <v>N/A</v>
      </c>
      <c r="AB107" s="57" t="str">
        <f>IF('BASIC INFO'!$B$6+6574.5&gt;C107, "YES", "NO")</f>
        <v>YES</v>
      </c>
      <c r="AC107" s="57" t="str">
        <f>IF(Z107="YES",COUNTIFS(AD$3:$AD$200,"&gt;"&amp;('CASE DATA'!D108),$AD$3:$AD$200,"&lt;"&amp;('CASE DATA'!D108+730.5)),"n/a")</f>
        <v>n/a</v>
      </c>
    </row>
    <row r="108" spans="1:29" x14ac:dyDescent="0.25">
      <c r="A108" s="57" t="str">
        <f>IF('CASE DATA'!A109="","z",'CASE DATA'!A109)</f>
        <v>z</v>
      </c>
      <c r="B108" s="57" t="str">
        <f>IF('CASE DATA'!A109="","",'CASE DATA'!E109)</f>
        <v/>
      </c>
      <c r="C108" s="58">
        <f>'CASE DATA'!D109</f>
        <v>0</v>
      </c>
      <c r="D108" s="59" t="str">
        <f>IF('CASE DATA'!I109="YES",SUM('CASE DATA'!J109:P109),"n/a")</f>
        <v>n/a</v>
      </c>
      <c r="E108" s="60" t="str">
        <f>IF(OR('CASE DATA'!G109="JUV", 'CASE DATA'!G109="JWV"), "YES", "NO")</f>
        <v>NO</v>
      </c>
      <c r="F108" s="60" t="str">
        <f t="array" ref="F108">IF(E108="YES",IF(SUM(COUNTIF('CASE DATA'!$G$4:$G$200, {"GTR","GPL","DEF","JUV"}))&gt;0, "YES","NO"),"N/A")</f>
        <v>N/A</v>
      </c>
      <c r="G108" s="60" t="str">
        <f>IF(E108="YES",IF(COUNTIF('CASE DATA'!$D$4:$D$200, "")-COUNTIF('CASE DATA'!$A$4:$A$200, "")&gt;0, "YES","NO"),"N/A")</f>
        <v>N/A</v>
      </c>
      <c r="H108" s="57" t="str">
        <f>_xlfn.IFS(E108="NO", "N/A", AND('BASIC INFO'!$B$3&gt;'BASIC INFO'!$B$6+6574.5, C108+730.5&lt;'BASIC INFO'!$B$3), "YES", 'BASIC INFO'!$B$3&lt;('BASIC INFO'!$B$6+6574.5), "NOT YET 18", C108+730.5&gt;'BASIC INFO'!$B$3, "NOT YET 2 YEARS")</f>
        <v>N/A</v>
      </c>
      <c r="I108" s="61" t="str">
        <f>IF(OR(AND(LEFT('CASE DATA'!F109,4)="321.",MID('CASE DATA'!A109,8,2)="SM"),MID('CASE DATA'!A109,8,2)="ST",MID('CASE DATA'!A109,8,2)="NT"),"TRAFFIC",IF(OR('CASE DATA'!G109="DISM", 'CASE DATA'!G109="ACQ", 'CASE DATA'!G109="NOTF", 'CASE DATA'!G109="WTHD", 'CASE DATA'!G109="TNSF"), "YES", "NO"))</f>
        <v>NO</v>
      </c>
      <c r="J108" s="62" t="str">
        <f>IF(I108="YES",'CASE DATA'!T109,"N/A")</f>
        <v>N/A</v>
      </c>
      <c r="K108" s="57" t="str">
        <f>IF(I108="YES",IF(C108+180&lt;'BASIC INFO'!$B$3, "YES", "NO"),"N/A")</f>
        <v>N/A</v>
      </c>
      <c r="L108" s="62" t="str">
        <f t="array" ref="L108">IF(I108="TRAFFIC","n/a",IF(OR('CASE DATA'!G109="GTR", 'CASE DATA'!G109="GPL"),IF(SUM(COUNTIF('CASE DATA'!W109:AH109, 'CODE SECTIONS'!$V$2:$V$218&amp;"*"))&gt;0,"felony","eligible"),"n/a"))</f>
        <v>n/a</v>
      </c>
      <c r="M108" s="62" t="str">
        <f t="array" ref="M108">IF(L108="eligible",IF(OR((SUM(COUNTIF('CASE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62" t="str">
        <f>IF(M108="eligible",IF(COUNTIF('CASE DATA'!$D$4:$D$200, "")-COUNTIF('CASE DATA'!$A$4:$A$200, "")&gt;0, "YES","NO"),"N/A")</f>
        <v>N/A</v>
      </c>
      <c r="O108" s="62" t="str">
        <f>IF(M108="eligible",BANKRUPTCY!C109+BANKRUPTCY!D109,"N/A")</f>
        <v>N/A</v>
      </c>
      <c r="P108" s="62" t="str">
        <f>IF(M108="eligible",SOL!C109+SOL!D109+SOL!E109,"N/A")</f>
        <v>N/A</v>
      </c>
      <c r="Q108" s="62" t="str">
        <f>IF(M108="eligible",SUM('CASE DATA'!J109:S109),"N/A")</f>
        <v>N/A</v>
      </c>
      <c r="R108" s="62" t="str">
        <f>IF(M108="eligible",IF(C108+2920&lt;'BASIC INFO'!$B$3, "YES", "NO"),"N/A")</f>
        <v>N/A</v>
      </c>
      <c r="S108" s="61" t="str">
        <f>IF(OR('CASE DATA'!G109="DEF"), "YES", "NO")</f>
        <v>NO</v>
      </c>
      <c r="T108" s="57" t="str">
        <f>IF(S108="YES",'CASE DATA'!I109,"N/A")</f>
        <v>N/A</v>
      </c>
      <c r="U108" s="62" t="str">
        <f>IF(S108="YES",BANKRUPTCY!C109+BANKRUPTCY!D109,"N/A")</f>
        <v>N/A</v>
      </c>
      <c r="V108" s="62" t="str">
        <f>IF(S108="YES",SUM('CASE DATA'!J109:S109),"N/A")</f>
        <v>N/A</v>
      </c>
      <c r="W108" s="57" t="str">
        <f>IF(OR('CASE DATA'!F109="123.46",'CASE DATA'!F109="123.47"),"YES","NO")</f>
        <v>NO</v>
      </c>
      <c r="X108" s="60" t="str">
        <f>IF(W108="YES",COUNTIFS(AD$3:$AD$200,"&gt;"&amp;('CASE DATA'!D109),$AD$3:$AD$200,"&lt;"&amp;('CASE DATA'!D109+730.5)),"n/a")</f>
        <v>n/a</v>
      </c>
      <c r="Y108" s="62" t="str">
        <f>IF(W108="YES",IF(C108+730.5&lt;'BASIC INFO'!$B$3, "YES","NO"), "N/A")</f>
        <v>N/A</v>
      </c>
      <c r="Z108" s="57" t="str">
        <f>IF('CASE DATA'!F109="725.1","YES","NO")</f>
        <v>NO</v>
      </c>
      <c r="AA108" s="57" t="str">
        <f>IF(Z108="YES",IF(C108+730.5&lt;'BASIC INFO'!$B$3, "YES","NO"), "N/A")</f>
        <v>N/A</v>
      </c>
      <c r="AB108" s="57" t="str">
        <f>IF('BASIC INFO'!$B$6+6574.5&gt;C108, "YES", "NO")</f>
        <v>YES</v>
      </c>
      <c r="AC108" s="57" t="str">
        <f>IF(Z108="YES",COUNTIFS(AD$3:$AD$200,"&gt;"&amp;('CASE DATA'!D109),$AD$3:$AD$200,"&lt;"&amp;('CASE DATA'!D109+730.5)),"n/a")</f>
        <v>n/a</v>
      </c>
    </row>
    <row r="109" spans="1:29" x14ac:dyDescent="0.25">
      <c r="A109" s="57" t="str">
        <f>IF('CASE DATA'!A110="","z",'CASE DATA'!A110)</f>
        <v>z</v>
      </c>
      <c r="B109" s="57" t="str">
        <f>IF('CASE DATA'!A110="","",'CASE DATA'!E110)</f>
        <v/>
      </c>
      <c r="C109" s="58">
        <f>'CASE DATA'!D110</f>
        <v>0</v>
      </c>
      <c r="D109" s="59" t="str">
        <f>IF('CASE DATA'!I110="YES",SUM('CASE DATA'!J110:P110),"n/a")</f>
        <v>n/a</v>
      </c>
      <c r="E109" s="60" t="str">
        <f>IF(OR('CASE DATA'!G110="JUV", 'CASE DATA'!G110="JWV"), "YES", "NO")</f>
        <v>NO</v>
      </c>
      <c r="F109" s="60" t="str">
        <f t="array" ref="F109">IF(E109="YES",IF(SUM(COUNTIF('CASE DATA'!$G$4:$G$200, {"GTR","GPL","DEF","JUV"}))&gt;0, "YES","NO"),"N/A")</f>
        <v>N/A</v>
      </c>
      <c r="G109" s="60" t="str">
        <f>IF(E109="YES",IF(COUNTIF('CASE DATA'!$D$4:$D$200, "")-COUNTIF('CASE DATA'!$A$4:$A$200, "")&gt;0, "YES","NO"),"N/A")</f>
        <v>N/A</v>
      </c>
      <c r="H109" s="57" t="str">
        <f>_xlfn.IFS(E109="NO", "N/A", AND('BASIC INFO'!$B$3&gt;'BASIC INFO'!$B$6+6574.5, C109+730.5&lt;'BASIC INFO'!$B$3), "YES", 'BASIC INFO'!$B$3&lt;('BASIC INFO'!$B$6+6574.5), "NOT YET 18", C109+730.5&gt;'BASIC INFO'!$B$3, "NOT YET 2 YEARS")</f>
        <v>N/A</v>
      </c>
      <c r="I109" s="61" t="str">
        <f>IF(OR(AND(LEFT('CASE DATA'!F110,4)="321.",MID('CASE DATA'!A110,8,2)="SM"),MID('CASE DATA'!A110,8,2)="ST",MID('CASE DATA'!A110,8,2)="NT"),"TRAFFIC",IF(OR('CASE DATA'!G110="DISM", 'CASE DATA'!G110="ACQ", 'CASE DATA'!G110="NOTF", 'CASE DATA'!G110="WTHD", 'CASE DATA'!G110="TNSF"), "YES", "NO"))</f>
        <v>NO</v>
      </c>
      <c r="J109" s="62" t="str">
        <f>IF(I109="YES",'CASE DATA'!T110,"N/A")</f>
        <v>N/A</v>
      </c>
      <c r="K109" s="57" t="str">
        <f>IF(I109="YES",IF(C109+180&lt;'BASIC INFO'!$B$3, "YES", "NO"),"N/A")</f>
        <v>N/A</v>
      </c>
      <c r="L109" s="62" t="str">
        <f t="array" ref="L109">IF(I109="TRAFFIC","n/a",IF(OR('CASE DATA'!G110="GTR", 'CASE DATA'!G110="GPL"),IF(SUM(COUNTIF('CASE DATA'!W110:AH110, 'CODE SECTIONS'!$V$2:$V$218&amp;"*"))&gt;0,"felony","eligible"),"n/a"))</f>
        <v>n/a</v>
      </c>
      <c r="M109" s="62" t="str">
        <f t="array" ref="M109">IF(L109="eligible",IF(OR((SUM(COUNTIF('CASE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62" t="str">
        <f>IF(M109="eligible",IF(COUNTIF('CASE DATA'!$D$4:$D$200, "")-COUNTIF('CASE DATA'!$A$4:$A$200, "")&gt;0, "YES","NO"),"N/A")</f>
        <v>N/A</v>
      </c>
      <c r="O109" s="62" t="str">
        <f>IF(M109="eligible",BANKRUPTCY!C110+BANKRUPTCY!D110,"N/A")</f>
        <v>N/A</v>
      </c>
      <c r="P109" s="62" t="str">
        <f>IF(M109="eligible",SOL!C110+SOL!D110+SOL!E110,"N/A")</f>
        <v>N/A</v>
      </c>
      <c r="Q109" s="62" t="str">
        <f>IF(M109="eligible",SUM('CASE DATA'!J110:S110),"N/A")</f>
        <v>N/A</v>
      </c>
      <c r="R109" s="62" t="str">
        <f>IF(M109="eligible",IF(C109+2920&lt;'BASIC INFO'!$B$3, "YES", "NO"),"N/A")</f>
        <v>N/A</v>
      </c>
      <c r="S109" s="61" t="str">
        <f>IF(OR('CASE DATA'!G110="DEF"), "YES", "NO")</f>
        <v>NO</v>
      </c>
      <c r="T109" s="57" t="str">
        <f>IF(S109="YES",'CASE DATA'!I110,"N/A")</f>
        <v>N/A</v>
      </c>
      <c r="U109" s="62" t="str">
        <f>IF(S109="YES",BANKRUPTCY!C110+BANKRUPTCY!D110,"N/A")</f>
        <v>N/A</v>
      </c>
      <c r="V109" s="62" t="str">
        <f>IF(S109="YES",SUM('CASE DATA'!J110:S110),"N/A")</f>
        <v>N/A</v>
      </c>
      <c r="W109" s="57" t="str">
        <f>IF(OR('CASE DATA'!F110="123.46",'CASE DATA'!F110="123.47"),"YES","NO")</f>
        <v>NO</v>
      </c>
      <c r="X109" s="60" t="str">
        <f>IF(W109="YES",COUNTIFS(AD$3:$AD$200,"&gt;"&amp;('CASE DATA'!D110),$AD$3:$AD$200,"&lt;"&amp;('CASE DATA'!D110+730.5)),"n/a")</f>
        <v>n/a</v>
      </c>
      <c r="Y109" s="62" t="str">
        <f>IF(W109="YES",IF(C109+730.5&lt;'BASIC INFO'!$B$3, "YES","NO"), "N/A")</f>
        <v>N/A</v>
      </c>
      <c r="Z109" s="57" t="str">
        <f>IF('CASE DATA'!F110="725.1","YES","NO")</f>
        <v>NO</v>
      </c>
      <c r="AA109" s="57" t="str">
        <f>IF(Z109="YES",IF(C109+730.5&lt;'BASIC INFO'!$B$3, "YES","NO"), "N/A")</f>
        <v>N/A</v>
      </c>
      <c r="AB109" s="57" t="str">
        <f>IF('BASIC INFO'!$B$6+6574.5&gt;C109, "YES", "NO")</f>
        <v>YES</v>
      </c>
      <c r="AC109" s="57" t="str">
        <f>IF(Z109="YES",COUNTIFS(AD$3:$AD$200,"&gt;"&amp;('CASE DATA'!D110),$AD$3:$AD$200,"&lt;"&amp;('CASE DATA'!D110+730.5)),"n/a")</f>
        <v>n/a</v>
      </c>
    </row>
    <row r="110" spans="1:29" x14ac:dyDescent="0.25">
      <c r="A110" s="57" t="str">
        <f>IF('CASE DATA'!A111="","z",'CASE DATA'!A111)</f>
        <v>z</v>
      </c>
      <c r="B110" s="57" t="str">
        <f>IF('CASE DATA'!A111="","",'CASE DATA'!E111)</f>
        <v/>
      </c>
      <c r="C110" s="58">
        <f>'CASE DATA'!D111</f>
        <v>0</v>
      </c>
      <c r="D110" s="59" t="str">
        <f>IF('CASE DATA'!I111="YES",SUM('CASE DATA'!J111:P111),"n/a")</f>
        <v>n/a</v>
      </c>
      <c r="E110" s="60" t="str">
        <f>IF(OR('CASE DATA'!G111="JUV", 'CASE DATA'!G111="JWV"), "YES", "NO")</f>
        <v>NO</v>
      </c>
      <c r="F110" s="60" t="str">
        <f t="array" ref="F110">IF(E110="YES",IF(SUM(COUNTIF('CASE DATA'!$G$4:$G$200, {"GTR","GPL","DEF","JUV"}))&gt;0, "YES","NO"),"N/A")</f>
        <v>N/A</v>
      </c>
      <c r="G110" s="60" t="str">
        <f>IF(E110="YES",IF(COUNTIF('CASE DATA'!$D$4:$D$200, "")-COUNTIF('CASE DATA'!$A$4:$A$200, "")&gt;0, "YES","NO"),"N/A")</f>
        <v>N/A</v>
      </c>
      <c r="H110" s="57" t="str">
        <f>_xlfn.IFS(E110="NO", "N/A", AND('BASIC INFO'!$B$3&gt;'BASIC INFO'!$B$6+6574.5, C110+730.5&lt;'BASIC INFO'!$B$3), "YES", 'BASIC INFO'!$B$3&lt;('BASIC INFO'!$B$6+6574.5), "NOT YET 18", C110+730.5&gt;'BASIC INFO'!$B$3, "NOT YET 2 YEARS")</f>
        <v>N/A</v>
      </c>
      <c r="I110" s="61" t="str">
        <f>IF(OR(AND(LEFT('CASE DATA'!F111,4)="321.",MID('CASE DATA'!A111,8,2)="SM"),MID('CASE DATA'!A111,8,2)="ST",MID('CASE DATA'!A111,8,2)="NT"),"TRAFFIC",IF(OR('CASE DATA'!G111="DISM", 'CASE DATA'!G111="ACQ", 'CASE DATA'!G111="NOTF", 'CASE DATA'!G111="WTHD", 'CASE DATA'!G111="TNSF"), "YES", "NO"))</f>
        <v>NO</v>
      </c>
      <c r="J110" s="62" t="str">
        <f>IF(I110="YES",'CASE DATA'!T111,"N/A")</f>
        <v>N/A</v>
      </c>
      <c r="K110" s="57" t="str">
        <f>IF(I110="YES",IF(C110+180&lt;'BASIC INFO'!$B$3, "YES", "NO"),"N/A")</f>
        <v>N/A</v>
      </c>
      <c r="L110" s="62" t="str">
        <f t="array" ref="L110">IF(I110="TRAFFIC","n/a",IF(OR('CASE DATA'!G111="GTR", 'CASE DATA'!G111="GPL"),IF(SUM(COUNTIF('CASE DATA'!W111:AH111, 'CODE SECTIONS'!$V$2:$V$218&amp;"*"))&gt;0,"felony","eligible"),"n/a"))</f>
        <v>n/a</v>
      </c>
      <c r="M110" s="62" t="str">
        <f t="array" ref="M110">IF(L110="eligible",IF(OR((SUM(COUNTIF('CASE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62" t="str">
        <f>IF(M110="eligible",IF(COUNTIF('CASE DATA'!$D$4:$D$200, "")-COUNTIF('CASE DATA'!$A$4:$A$200, "")&gt;0, "YES","NO"),"N/A")</f>
        <v>N/A</v>
      </c>
      <c r="O110" s="62" t="str">
        <f>IF(M110="eligible",BANKRUPTCY!C111+BANKRUPTCY!D111,"N/A")</f>
        <v>N/A</v>
      </c>
      <c r="P110" s="62" t="str">
        <f>IF(M110="eligible",SOL!C111+SOL!D111+SOL!E111,"N/A")</f>
        <v>N/A</v>
      </c>
      <c r="Q110" s="62" t="str">
        <f>IF(M110="eligible",SUM('CASE DATA'!J111:S111),"N/A")</f>
        <v>N/A</v>
      </c>
      <c r="R110" s="62" t="str">
        <f>IF(M110="eligible",IF(C110+2920&lt;'BASIC INFO'!$B$3, "YES", "NO"),"N/A")</f>
        <v>N/A</v>
      </c>
      <c r="S110" s="61" t="str">
        <f>IF(OR('CASE DATA'!G111="DEF"), "YES", "NO")</f>
        <v>NO</v>
      </c>
      <c r="T110" s="57" t="str">
        <f>IF(S110="YES",'CASE DATA'!I111,"N/A")</f>
        <v>N/A</v>
      </c>
      <c r="U110" s="62" t="str">
        <f>IF(S110="YES",BANKRUPTCY!C111+BANKRUPTCY!D111,"N/A")</f>
        <v>N/A</v>
      </c>
      <c r="V110" s="62" t="str">
        <f>IF(S110="YES",SUM('CASE DATA'!J111:S111),"N/A")</f>
        <v>N/A</v>
      </c>
      <c r="W110" s="57" t="str">
        <f>IF(OR('CASE DATA'!F111="123.46",'CASE DATA'!F111="123.47"),"YES","NO")</f>
        <v>NO</v>
      </c>
      <c r="X110" s="60" t="str">
        <f>IF(W110="YES",COUNTIFS(AD$3:$AD$200,"&gt;"&amp;('CASE DATA'!D111),$AD$3:$AD$200,"&lt;"&amp;('CASE DATA'!D111+730.5)),"n/a")</f>
        <v>n/a</v>
      </c>
      <c r="Y110" s="62" t="str">
        <f>IF(W110="YES",IF(C110+730.5&lt;'BASIC INFO'!$B$3, "YES","NO"), "N/A")</f>
        <v>N/A</v>
      </c>
      <c r="Z110" s="57" t="str">
        <f>IF('CASE DATA'!F111="725.1","YES","NO")</f>
        <v>NO</v>
      </c>
      <c r="AA110" s="57" t="str">
        <f>IF(Z110="YES",IF(C110+730.5&lt;'BASIC INFO'!$B$3, "YES","NO"), "N/A")</f>
        <v>N/A</v>
      </c>
      <c r="AB110" s="57" t="str">
        <f>IF('BASIC INFO'!$B$6+6574.5&gt;C110, "YES", "NO")</f>
        <v>YES</v>
      </c>
      <c r="AC110" s="57" t="str">
        <f>IF(Z110="YES",COUNTIFS(AD$3:$AD$200,"&gt;"&amp;('CASE DATA'!D111),$AD$3:$AD$200,"&lt;"&amp;('CASE DATA'!D111+730.5)),"n/a")</f>
        <v>n/a</v>
      </c>
    </row>
    <row r="111" spans="1:29" x14ac:dyDescent="0.25">
      <c r="A111" s="57" t="str">
        <f>IF('CASE DATA'!A112="","z",'CASE DATA'!A112)</f>
        <v>z</v>
      </c>
      <c r="B111" s="57" t="str">
        <f>IF('CASE DATA'!A112="","",'CASE DATA'!E112)</f>
        <v/>
      </c>
      <c r="C111" s="58">
        <f>'CASE DATA'!D112</f>
        <v>0</v>
      </c>
      <c r="D111" s="59" t="str">
        <f>IF('CASE DATA'!I112="YES",SUM('CASE DATA'!J112:P112),"n/a")</f>
        <v>n/a</v>
      </c>
      <c r="E111" s="60" t="str">
        <f>IF(OR('CASE DATA'!G112="JUV", 'CASE DATA'!G112="JWV"), "YES", "NO")</f>
        <v>NO</v>
      </c>
      <c r="F111" s="60" t="str">
        <f t="array" ref="F111">IF(E111="YES",IF(SUM(COUNTIF('CASE DATA'!$G$4:$G$200, {"GTR","GPL","DEF","JUV"}))&gt;0, "YES","NO"),"N/A")</f>
        <v>N/A</v>
      </c>
      <c r="G111" s="60" t="str">
        <f>IF(E111="YES",IF(COUNTIF('CASE DATA'!$D$4:$D$200, "")-COUNTIF('CASE DATA'!$A$4:$A$200, "")&gt;0, "YES","NO"),"N/A")</f>
        <v>N/A</v>
      </c>
      <c r="H111" s="57" t="str">
        <f>_xlfn.IFS(E111="NO", "N/A", AND('BASIC INFO'!$B$3&gt;'BASIC INFO'!$B$6+6574.5, C111+730.5&lt;'BASIC INFO'!$B$3), "YES", 'BASIC INFO'!$B$3&lt;('BASIC INFO'!$B$6+6574.5), "NOT YET 18", C111+730.5&gt;'BASIC INFO'!$B$3, "NOT YET 2 YEARS")</f>
        <v>N/A</v>
      </c>
      <c r="I111" s="61" t="str">
        <f>IF(OR(AND(LEFT('CASE DATA'!F112,4)="321.",MID('CASE DATA'!A112,8,2)="SM"),MID('CASE DATA'!A112,8,2)="ST",MID('CASE DATA'!A112,8,2)="NT"),"TRAFFIC",IF(OR('CASE DATA'!G112="DISM", 'CASE DATA'!G112="ACQ", 'CASE DATA'!G112="NOTF", 'CASE DATA'!G112="WTHD", 'CASE DATA'!G112="TNSF"), "YES", "NO"))</f>
        <v>NO</v>
      </c>
      <c r="J111" s="62" t="str">
        <f>IF(I111="YES",'CASE DATA'!T112,"N/A")</f>
        <v>N/A</v>
      </c>
      <c r="K111" s="57" t="str">
        <f>IF(I111="YES",IF(C111+180&lt;'BASIC INFO'!$B$3, "YES", "NO"),"N/A")</f>
        <v>N/A</v>
      </c>
      <c r="L111" s="62" t="str">
        <f t="array" ref="L111">IF(I111="TRAFFIC","n/a",IF(OR('CASE DATA'!G112="GTR", 'CASE DATA'!G112="GPL"),IF(SUM(COUNTIF('CASE DATA'!W112:AH112, 'CODE SECTIONS'!$V$2:$V$218&amp;"*"))&gt;0,"felony","eligible"),"n/a"))</f>
        <v>n/a</v>
      </c>
      <c r="M111" s="62" t="str">
        <f t="array" ref="M111">IF(L111="eligible",IF(OR((SUM(COUNTIF('CASE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62" t="str">
        <f>IF(M111="eligible",IF(COUNTIF('CASE DATA'!$D$4:$D$200, "")-COUNTIF('CASE DATA'!$A$4:$A$200, "")&gt;0, "YES","NO"),"N/A")</f>
        <v>N/A</v>
      </c>
      <c r="O111" s="62" t="str">
        <f>IF(M111="eligible",BANKRUPTCY!C112+BANKRUPTCY!D112,"N/A")</f>
        <v>N/A</v>
      </c>
      <c r="P111" s="62" t="str">
        <f>IF(M111="eligible",SOL!C112+SOL!D112+SOL!E112,"N/A")</f>
        <v>N/A</v>
      </c>
      <c r="Q111" s="62" t="str">
        <f>IF(M111="eligible",SUM('CASE DATA'!J112:S112),"N/A")</f>
        <v>N/A</v>
      </c>
      <c r="R111" s="62" t="str">
        <f>IF(M111="eligible",IF(C111+2920&lt;'BASIC INFO'!$B$3, "YES", "NO"),"N/A")</f>
        <v>N/A</v>
      </c>
      <c r="S111" s="61" t="str">
        <f>IF(OR('CASE DATA'!G112="DEF"), "YES", "NO")</f>
        <v>NO</v>
      </c>
      <c r="T111" s="57" t="str">
        <f>IF(S111="YES",'CASE DATA'!I112,"N/A")</f>
        <v>N/A</v>
      </c>
      <c r="U111" s="62" t="str">
        <f>IF(S111="YES",BANKRUPTCY!C112+BANKRUPTCY!D112,"N/A")</f>
        <v>N/A</v>
      </c>
      <c r="V111" s="62" t="str">
        <f>IF(S111="YES",SUM('CASE DATA'!J112:S112),"N/A")</f>
        <v>N/A</v>
      </c>
      <c r="W111" s="57" t="str">
        <f>IF(OR('CASE DATA'!F112="123.46",'CASE DATA'!F112="123.47"),"YES","NO")</f>
        <v>NO</v>
      </c>
      <c r="X111" s="60" t="str">
        <f>IF(W111="YES",COUNTIFS(AD$3:$AD$200,"&gt;"&amp;('CASE DATA'!D112),$AD$3:$AD$200,"&lt;"&amp;('CASE DATA'!D112+730.5)),"n/a")</f>
        <v>n/a</v>
      </c>
      <c r="Y111" s="62" t="str">
        <f>IF(W111="YES",IF(C111+730.5&lt;'BASIC INFO'!$B$3, "YES","NO"), "N/A")</f>
        <v>N/A</v>
      </c>
      <c r="Z111" s="57" t="str">
        <f>IF('CASE DATA'!F112="725.1","YES","NO")</f>
        <v>NO</v>
      </c>
      <c r="AA111" s="57" t="str">
        <f>IF(Z111="YES",IF(C111+730.5&lt;'BASIC INFO'!$B$3, "YES","NO"), "N/A")</f>
        <v>N/A</v>
      </c>
      <c r="AB111" s="57" t="str">
        <f>IF('BASIC INFO'!$B$6+6574.5&gt;C111, "YES", "NO")</f>
        <v>YES</v>
      </c>
      <c r="AC111" s="57" t="str">
        <f>IF(Z111="YES",COUNTIFS(AD$3:$AD$200,"&gt;"&amp;('CASE DATA'!D112),$AD$3:$AD$200,"&lt;"&amp;('CASE DATA'!D112+730.5)),"n/a")</f>
        <v>n/a</v>
      </c>
    </row>
    <row r="112" spans="1:29" x14ac:dyDescent="0.25">
      <c r="A112" s="57" t="str">
        <f>IF('CASE DATA'!A113="","z",'CASE DATA'!A113)</f>
        <v>z</v>
      </c>
      <c r="B112" s="57" t="str">
        <f>IF('CASE DATA'!A113="","",'CASE DATA'!E113)</f>
        <v/>
      </c>
      <c r="C112" s="58">
        <f>'CASE DATA'!D113</f>
        <v>0</v>
      </c>
      <c r="D112" s="59" t="str">
        <f>IF('CASE DATA'!I113="YES",SUM('CASE DATA'!J113:P113),"n/a")</f>
        <v>n/a</v>
      </c>
      <c r="E112" s="60" t="str">
        <f>IF(OR('CASE DATA'!G113="JUV", 'CASE DATA'!G113="JWV"), "YES", "NO")</f>
        <v>NO</v>
      </c>
      <c r="F112" s="60" t="str">
        <f t="array" ref="F112">IF(E112="YES",IF(SUM(COUNTIF('CASE DATA'!$G$4:$G$200, {"GTR","GPL","DEF","JUV"}))&gt;0, "YES","NO"),"N/A")</f>
        <v>N/A</v>
      </c>
      <c r="G112" s="60" t="str">
        <f>IF(E112="YES",IF(COUNTIF('CASE DATA'!$D$4:$D$200, "")-COUNTIF('CASE DATA'!$A$4:$A$200, "")&gt;0, "YES","NO"),"N/A")</f>
        <v>N/A</v>
      </c>
      <c r="H112" s="57" t="str">
        <f>_xlfn.IFS(E112="NO", "N/A", AND('BASIC INFO'!$B$3&gt;'BASIC INFO'!$B$6+6574.5, C112+730.5&lt;'BASIC INFO'!$B$3), "YES", 'BASIC INFO'!$B$3&lt;('BASIC INFO'!$B$6+6574.5), "NOT YET 18", C112+730.5&gt;'BASIC INFO'!$B$3, "NOT YET 2 YEARS")</f>
        <v>N/A</v>
      </c>
      <c r="I112" s="61" t="str">
        <f>IF(OR(AND(LEFT('CASE DATA'!F113,4)="321.",MID('CASE DATA'!A113,8,2)="SM"),MID('CASE DATA'!A113,8,2)="ST",MID('CASE DATA'!A113,8,2)="NT"),"TRAFFIC",IF(OR('CASE DATA'!G113="DISM", 'CASE DATA'!G113="ACQ", 'CASE DATA'!G113="NOTF", 'CASE DATA'!G113="WTHD", 'CASE DATA'!G113="TNSF"), "YES", "NO"))</f>
        <v>NO</v>
      </c>
      <c r="J112" s="62" t="str">
        <f>IF(I112="YES",'CASE DATA'!T113,"N/A")</f>
        <v>N/A</v>
      </c>
      <c r="K112" s="57" t="str">
        <f>IF(I112="YES",IF(C112+180&lt;'BASIC INFO'!$B$3, "YES", "NO"),"N/A")</f>
        <v>N/A</v>
      </c>
      <c r="L112" s="62" t="str">
        <f t="array" ref="L112">IF(I112="TRAFFIC","n/a",IF(OR('CASE DATA'!G113="GTR", 'CASE DATA'!G113="GPL"),IF(SUM(COUNTIF('CASE DATA'!W113:AH113, 'CODE SECTIONS'!$V$2:$V$218&amp;"*"))&gt;0,"felony","eligible"),"n/a"))</f>
        <v>n/a</v>
      </c>
      <c r="M112" s="62" t="str">
        <f t="array" ref="M112">IF(L112="eligible",IF(OR((SUM(COUNTIF('CASE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62" t="str">
        <f>IF(M112="eligible",IF(COUNTIF('CASE DATA'!$D$4:$D$200, "")-COUNTIF('CASE DATA'!$A$4:$A$200, "")&gt;0, "YES","NO"),"N/A")</f>
        <v>N/A</v>
      </c>
      <c r="O112" s="62" t="str">
        <f>IF(M112="eligible",BANKRUPTCY!C113+BANKRUPTCY!D113,"N/A")</f>
        <v>N/A</v>
      </c>
      <c r="P112" s="62" t="str">
        <f>IF(M112="eligible",SOL!C113+SOL!D113+SOL!E113,"N/A")</f>
        <v>N/A</v>
      </c>
      <c r="Q112" s="62" t="str">
        <f>IF(M112="eligible",SUM('CASE DATA'!J113:S113),"N/A")</f>
        <v>N/A</v>
      </c>
      <c r="R112" s="62" t="str">
        <f>IF(M112="eligible",IF(C112+2920&lt;'BASIC INFO'!$B$3, "YES", "NO"),"N/A")</f>
        <v>N/A</v>
      </c>
      <c r="S112" s="61" t="str">
        <f>IF(OR('CASE DATA'!G113="DEF"), "YES", "NO")</f>
        <v>NO</v>
      </c>
      <c r="T112" s="57" t="str">
        <f>IF(S112="YES",'CASE DATA'!I113,"N/A")</f>
        <v>N/A</v>
      </c>
      <c r="U112" s="62" t="str">
        <f>IF(S112="YES",BANKRUPTCY!C113+BANKRUPTCY!D113,"N/A")</f>
        <v>N/A</v>
      </c>
      <c r="V112" s="62" t="str">
        <f>IF(S112="YES",SUM('CASE DATA'!J113:S113),"N/A")</f>
        <v>N/A</v>
      </c>
      <c r="W112" s="57" t="str">
        <f>IF(OR('CASE DATA'!F113="123.46",'CASE DATA'!F113="123.47"),"YES","NO")</f>
        <v>NO</v>
      </c>
      <c r="X112" s="60" t="str">
        <f>IF(W112="YES",COUNTIFS(AD$3:$AD$200,"&gt;"&amp;('CASE DATA'!D113),$AD$3:$AD$200,"&lt;"&amp;('CASE DATA'!D113+730.5)),"n/a")</f>
        <v>n/a</v>
      </c>
      <c r="Y112" s="62" t="str">
        <f>IF(W112="YES",IF(C112+730.5&lt;'BASIC INFO'!$B$3, "YES","NO"), "N/A")</f>
        <v>N/A</v>
      </c>
      <c r="Z112" s="57" t="str">
        <f>IF('CASE DATA'!F113="725.1","YES","NO")</f>
        <v>NO</v>
      </c>
      <c r="AA112" s="57" t="str">
        <f>IF(Z112="YES",IF(C112+730.5&lt;'BASIC INFO'!$B$3, "YES","NO"), "N/A")</f>
        <v>N/A</v>
      </c>
      <c r="AB112" s="57" t="str">
        <f>IF('BASIC INFO'!$B$6+6574.5&gt;C112, "YES", "NO")</f>
        <v>YES</v>
      </c>
      <c r="AC112" s="57" t="str">
        <f>IF(Z112="YES",COUNTIFS(AD$3:$AD$200,"&gt;"&amp;('CASE DATA'!D113),$AD$3:$AD$200,"&lt;"&amp;('CASE DATA'!D113+730.5)),"n/a")</f>
        <v>n/a</v>
      </c>
    </row>
    <row r="113" spans="1:29" x14ac:dyDescent="0.25">
      <c r="A113" s="57" t="str">
        <f>IF('CASE DATA'!A114="","z",'CASE DATA'!A114)</f>
        <v>z</v>
      </c>
      <c r="B113" s="57" t="str">
        <f>IF('CASE DATA'!A114="","",'CASE DATA'!E114)</f>
        <v/>
      </c>
      <c r="C113" s="58">
        <f>'CASE DATA'!D114</f>
        <v>0</v>
      </c>
      <c r="D113" s="59" t="str">
        <f>IF('CASE DATA'!I114="YES",SUM('CASE DATA'!J114:P114),"n/a")</f>
        <v>n/a</v>
      </c>
      <c r="E113" s="60" t="str">
        <f>IF(OR('CASE DATA'!G114="JUV", 'CASE DATA'!G114="JWV"), "YES", "NO")</f>
        <v>NO</v>
      </c>
      <c r="F113" s="60" t="str">
        <f t="array" ref="F113">IF(E113="YES",IF(SUM(COUNTIF('CASE DATA'!$G$4:$G$200, {"GTR","GPL","DEF","JUV"}))&gt;0, "YES","NO"),"N/A")</f>
        <v>N/A</v>
      </c>
      <c r="G113" s="60" t="str">
        <f>IF(E113="YES",IF(COUNTIF('CASE DATA'!$D$4:$D$200, "")-COUNTIF('CASE DATA'!$A$4:$A$200, "")&gt;0, "YES","NO"),"N/A")</f>
        <v>N/A</v>
      </c>
      <c r="H113" s="57" t="str">
        <f>_xlfn.IFS(E113="NO", "N/A", AND('BASIC INFO'!$B$3&gt;'BASIC INFO'!$B$6+6574.5, C113+730.5&lt;'BASIC INFO'!$B$3), "YES", 'BASIC INFO'!$B$3&lt;('BASIC INFO'!$B$6+6574.5), "NOT YET 18", C113+730.5&gt;'BASIC INFO'!$B$3, "NOT YET 2 YEARS")</f>
        <v>N/A</v>
      </c>
      <c r="I113" s="61" t="str">
        <f>IF(OR(AND(LEFT('CASE DATA'!F114,4)="321.",MID('CASE DATA'!A114,8,2)="SM"),MID('CASE DATA'!A114,8,2)="ST",MID('CASE DATA'!A114,8,2)="NT"),"TRAFFIC",IF(OR('CASE DATA'!G114="DISM", 'CASE DATA'!G114="ACQ", 'CASE DATA'!G114="NOTF", 'CASE DATA'!G114="WTHD", 'CASE DATA'!G114="TNSF"), "YES", "NO"))</f>
        <v>NO</v>
      </c>
      <c r="J113" s="62" t="str">
        <f>IF(I113="YES",'CASE DATA'!T114,"N/A")</f>
        <v>N/A</v>
      </c>
      <c r="K113" s="57" t="str">
        <f>IF(I113="YES",IF(C113+180&lt;'BASIC INFO'!$B$3, "YES", "NO"),"N/A")</f>
        <v>N/A</v>
      </c>
      <c r="L113" s="62" t="str">
        <f t="array" ref="L113">IF(I113="TRAFFIC","n/a",IF(OR('CASE DATA'!G114="GTR", 'CASE DATA'!G114="GPL"),IF(SUM(COUNTIF('CASE DATA'!W114:AH114, 'CODE SECTIONS'!$V$2:$V$218&amp;"*"))&gt;0,"felony","eligible"),"n/a"))</f>
        <v>n/a</v>
      </c>
      <c r="M113" s="62" t="str">
        <f t="array" ref="M113">IF(L113="eligible",IF(OR((SUM(COUNTIF('CASE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62" t="str">
        <f>IF(M113="eligible",IF(COUNTIF('CASE DATA'!$D$4:$D$200, "")-COUNTIF('CASE DATA'!$A$4:$A$200, "")&gt;0, "YES","NO"),"N/A")</f>
        <v>N/A</v>
      </c>
      <c r="O113" s="62" t="str">
        <f>IF(M113="eligible",BANKRUPTCY!C114+BANKRUPTCY!D114,"N/A")</f>
        <v>N/A</v>
      </c>
      <c r="P113" s="62" t="str">
        <f>IF(M113="eligible",SOL!C114+SOL!D114+SOL!E114,"N/A")</f>
        <v>N/A</v>
      </c>
      <c r="Q113" s="62" t="str">
        <f>IF(M113="eligible",SUM('CASE DATA'!J114:S114),"N/A")</f>
        <v>N/A</v>
      </c>
      <c r="R113" s="62" t="str">
        <f>IF(M113="eligible",IF(C113+2920&lt;'BASIC INFO'!$B$3, "YES", "NO"),"N/A")</f>
        <v>N/A</v>
      </c>
      <c r="S113" s="61" t="str">
        <f>IF(OR('CASE DATA'!G114="DEF"), "YES", "NO")</f>
        <v>NO</v>
      </c>
      <c r="T113" s="57" t="str">
        <f>IF(S113="YES",'CASE DATA'!I114,"N/A")</f>
        <v>N/A</v>
      </c>
      <c r="U113" s="62" t="str">
        <f>IF(S113="YES",BANKRUPTCY!C114+BANKRUPTCY!D114,"N/A")</f>
        <v>N/A</v>
      </c>
      <c r="V113" s="62" t="str">
        <f>IF(S113="YES",SUM('CASE DATA'!J114:S114),"N/A")</f>
        <v>N/A</v>
      </c>
      <c r="W113" s="57" t="str">
        <f>IF(OR('CASE DATA'!F114="123.46",'CASE DATA'!F114="123.47"),"YES","NO")</f>
        <v>NO</v>
      </c>
      <c r="X113" s="60" t="str">
        <f>IF(W113="YES",COUNTIFS(AD$3:$AD$200,"&gt;"&amp;('CASE DATA'!D114),$AD$3:$AD$200,"&lt;"&amp;('CASE DATA'!D114+730.5)),"n/a")</f>
        <v>n/a</v>
      </c>
      <c r="Y113" s="62" t="str">
        <f>IF(W113="YES",IF(C113+730.5&lt;'BASIC INFO'!$B$3, "YES","NO"), "N/A")</f>
        <v>N/A</v>
      </c>
      <c r="Z113" s="57" t="str">
        <f>IF('CASE DATA'!F114="725.1","YES","NO")</f>
        <v>NO</v>
      </c>
      <c r="AA113" s="57" t="str">
        <f>IF(Z113="YES",IF(C113+730.5&lt;'BASIC INFO'!$B$3, "YES","NO"), "N/A")</f>
        <v>N/A</v>
      </c>
      <c r="AB113" s="57" t="str">
        <f>IF('BASIC INFO'!$B$6+6574.5&gt;C113, "YES", "NO")</f>
        <v>YES</v>
      </c>
      <c r="AC113" s="57" t="str">
        <f>IF(Z113="YES",COUNTIFS(AD$3:$AD$200,"&gt;"&amp;('CASE DATA'!D114),$AD$3:$AD$200,"&lt;"&amp;('CASE DATA'!D114+730.5)),"n/a")</f>
        <v>n/a</v>
      </c>
    </row>
    <row r="114" spans="1:29" x14ac:dyDescent="0.25">
      <c r="A114" s="57" t="str">
        <f>IF('CASE DATA'!A115="","z",'CASE DATA'!A115)</f>
        <v>z</v>
      </c>
      <c r="B114" s="57" t="str">
        <f>IF('CASE DATA'!A115="","",'CASE DATA'!E115)</f>
        <v/>
      </c>
      <c r="C114" s="58">
        <f>'CASE DATA'!D115</f>
        <v>0</v>
      </c>
      <c r="D114" s="59" t="str">
        <f>IF('CASE DATA'!I115="YES",SUM('CASE DATA'!J115:P115),"n/a")</f>
        <v>n/a</v>
      </c>
      <c r="E114" s="60" t="str">
        <f>IF(OR('CASE DATA'!G115="JUV", 'CASE DATA'!G115="JWV"), "YES", "NO")</f>
        <v>NO</v>
      </c>
      <c r="F114" s="60" t="str">
        <f t="array" ref="F114">IF(E114="YES",IF(SUM(COUNTIF('CASE DATA'!$G$4:$G$200, {"GTR","GPL","DEF","JUV"}))&gt;0, "YES","NO"),"N/A")</f>
        <v>N/A</v>
      </c>
      <c r="G114" s="60" t="str">
        <f>IF(E114="YES",IF(COUNTIF('CASE DATA'!$D$4:$D$200, "")-COUNTIF('CASE DATA'!$A$4:$A$200, "")&gt;0, "YES","NO"),"N/A")</f>
        <v>N/A</v>
      </c>
      <c r="H114" s="57" t="str">
        <f>_xlfn.IFS(E114="NO", "N/A", AND('BASIC INFO'!$B$3&gt;'BASIC INFO'!$B$6+6574.5, C114+730.5&lt;'BASIC INFO'!$B$3), "YES", 'BASIC INFO'!$B$3&lt;('BASIC INFO'!$B$6+6574.5), "NOT YET 18", C114+730.5&gt;'BASIC INFO'!$B$3, "NOT YET 2 YEARS")</f>
        <v>N/A</v>
      </c>
      <c r="I114" s="61" t="str">
        <f>IF(OR(AND(LEFT('CASE DATA'!F115,4)="321.",MID('CASE DATA'!A115,8,2)="SM"),MID('CASE DATA'!A115,8,2)="ST",MID('CASE DATA'!A115,8,2)="NT"),"TRAFFIC",IF(OR('CASE DATA'!G115="DISM", 'CASE DATA'!G115="ACQ", 'CASE DATA'!G115="NOTF", 'CASE DATA'!G115="WTHD", 'CASE DATA'!G115="TNSF"), "YES", "NO"))</f>
        <v>NO</v>
      </c>
      <c r="J114" s="62" t="str">
        <f>IF(I114="YES",'CASE DATA'!T115,"N/A")</f>
        <v>N/A</v>
      </c>
      <c r="K114" s="57" t="str">
        <f>IF(I114="YES",IF(C114+180&lt;'BASIC INFO'!$B$3, "YES", "NO"),"N/A")</f>
        <v>N/A</v>
      </c>
      <c r="L114" s="62" t="str">
        <f t="array" ref="L114">IF(I114="TRAFFIC","n/a",IF(OR('CASE DATA'!G115="GTR", 'CASE DATA'!G115="GPL"),IF(SUM(COUNTIF('CASE DATA'!W115:AH115, 'CODE SECTIONS'!$V$2:$V$218&amp;"*"))&gt;0,"felony","eligible"),"n/a"))</f>
        <v>n/a</v>
      </c>
      <c r="M114" s="62" t="str">
        <f t="array" ref="M114">IF(L114="eligible",IF(OR((SUM(COUNTIF('CASE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62" t="str">
        <f>IF(M114="eligible",IF(COUNTIF('CASE DATA'!$D$4:$D$200, "")-COUNTIF('CASE DATA'!$A$4:$A$200, "")&gt;0, "YES","NO"),"N/A")</f>
        <v>N/A</v>
      </c>
      <c r="O114" s="62" t="str">
        <f>IF(M114="eligible",BANKRUPTCY!C115+BANKRUPTCY!D115,"N/A")</f>
        <v>N/A</v>
      </c>
      <c r="P114" s="62" t="str">
        <f>IF(M114="eligible",SOL!C115+SOL!D115+SOL!E115,"N/A")</f>
        <v>N/A</v>
      </c>
      <c r="Q114" s="62" t="str">
        <f>IF(M114="eligible",SUM('CASE DATA'!J115:S115),"N/A")</f>
        <v>N/A</v>
      </c>
      <c r="R114" s="62" t="str">
        <f>IF(M114="eligible",IF(C114+2920&lt;'BASIC INFO'!$B$3, "YES", "NO"),"N/A")</f>
        <v>N/A</v>
      </c>
      <c r="S114" s="61" t="str">
        <f>IF(OR('CASE DATA'!G115="DEF"), "YES", "NO")</f>
        <v>NO</v>
      </c>
      <c r="T114" s="57" t="str">
        <f>IF(S114="YES",'CASE DATA'!I115,"N/A")</f>
        <v>N/A</v>
      </c>
      <c r="U114" s="62" t="str">
        <f>IF(S114="YES",BANKRUPTCY!C115+BANKRUPTCY!D115,"N/A")</f>
        <v>N/A</v>
      </c>
      <c r="V114" s="62" t="str">
        <f>IF(S114="YES",SUM('CASE DATA'!J115:S115),"N/A")</f>
        <v>N/A</v>
      </c>
      <c r="W114" s="57" t="str">
        <f>IF(OR('CASE DATA'!F115="123.46",'CASE DATA'!F115="123.47"),"YES","NO")</f>
        <v>NO</v>
      </c>
      <c r="X114" s="60" t="str">
        <f>IF(W114="YES",COUNTIFS(AD$3:$AD$200,"&gt;"&amp;('CASE DATA'!D115),$AD$3:$AD$200,"&lt;"&amp;('CASE DATA'!D115+730.5)),"n/a")</f>
        <v>n/a</v>
      </c>
      <c r="Y114" s="62" t="str">
        <f>IF(W114="YES",IF(C114+730.5&lt;'BASIC INFO'!$B$3, "YES","NO"), "N/A")</f>
        <v>N/A</v>
      </c>
      <c r="Z114" s="57" t="str">
        <f>IF('CASE DATA'!F115="725.1","YES","NO")</f>
        <v>NO</v>
      </c>
      <c r="AA114" s="57" t="str">
        <f>IF(Z114="YES",IF(C114+730.5&lt;'BASIC INFO'!$B$3, "YES","NO"), "N/A")</f>
        <v>N/A</v>
      </c>
      <c r="AB114" s="57" t="str">
        <f>IF('BASIC INFO'!$B$6+6574.5&gt;C114, "YES", "NO")</f>
        <v>YES</v>
      </c>
      <c r="AC114" s="57" t="str">
        <f>IF(Z114="YES",COUNTIFS(AD$3:$AD$200,"&gt;"&amp;('CASE DATA'!D115),$AD$3:$AD$200,"&lt;"&amp;('CASE DATA'!D115+730.5)),"n/a")</f>
        <v>n/a</v>
      </c>
    </row>
    <row r="115" spans="1:29" x14ac:dyDescent="0.25">
      <c r="A115" s="57" t="str">
        <f>IF('CASE DATA'!A116="","z",'CASE DATA'!A116)</f>
        <v>z</v>
      </c>
      <c r="B115" s="57" t="str">
        <f>IF('CASE DATA'!A116="","",'CASE DATA'!E116)</f>
        <v/>
      </c>
      <c r="C115" s="58">
        <f>'CASE DATA'!D116</f>
        <v>0</v>
      </c>
      <c r="D115" s="59" t="str">
        <f>IF('CASE DATA'!I116="YES",SUM('CASE DATA'!J116:P116),"n/a")</f>
        <v>n/a</v>
      </c>
      <c r="E115" s="60" t="str">
        <f>IF(OR('CASE DATA'!G116="JUV", 'CASE DATA'!G116="JWV"), "YES", "NO")</f>
        <v>NO</v>
      </c>
      <c r="F115" s="60" t="str">
        <f t="array" ref="F115">IF(E115="YES",IF(SUM(COUNTIF('CASE DATA'!$G$4:$G$200, {"GTR","GPL","DEF","JUV"}))&gt;0, "YES","NO"),"N/A")</f>
        <v>N/A</v>
      </c>
      <c r="G115" s="60" t="str">
        <f>IF(E115="YES",IF(COUNTIF('CASE DATA'!$D$4:$D$200, "")-COUNTIF('CASE DATA'!$A$4:$A$200, "")&gt;0, "YES","NO"),"N/A")</f>
        <v>N/A</v>
      </c>
      <c r="H115" s="57" t="str">
        <f>_xlfn.IFS(E115="NO", "N/A", AND('BASIC INFO'!$B$3&gt;'BASIC INFO'!$B$6+6574.5, C115+730.5&lt;'BASIC INFO'!$B$3), "YES", 'BASIC INFO'!$B$3&lt;('BASIC INFO'!$B$6+6574.5), "NOT YET 18", C115+730.5&gt;'BASIC INFO'!$B$3, "NOT YET 2 YEARS")</f>
        <v>N/A</v>
      </c>
      <c r="I115" s="61" t="str">
        <f>IF(OR(AND(LEFT('CASE DATA'!F116,4)="321.",MID('CASE DATA'!A116,8,2)="SM"),MID('CASE DATA'!A116,8,2)="ST",MID('CASE DATA'!A116,8,2)="NT"),"TRAFFIC",IF(OR('CASE DATA'!G116="DISM", 'CASE DATA'!G116="ACQ", 'CASE DATA'!G116="NOTF", 'CASE DATA'!G116="WTHD", 'CASE DATA'!G116="TNSF"), "YES", "NO"))</f>
        <v>NO</v>
      </c>
      <c r="J115" s="62" t="str">
        <f>IF(I115="YES",'CASE DATA'!T116,"N/A")</f>
        <v>N/A</v>
      </c>
      <c r="K115" s="57" t="str">
        <f>IF(I115="YES",IF(C115+180&lt;'BASIC INFO'!$B$3, "YES", "NO"),"N/A")</f>
        <v>N/A</v>
      </c>
      <c r="L115" s="62" t="str">
        <f t="array" ref="L115">IF(I115="TRAFFIC","n/a",IF(OR('CASE DATA'!G116="GTR", 'CASE DATA'!G116="GPL"),IF(SUM(COUNTIF('CASE DATA'!W116:AH116, 'CODE SECTIONS'!$V$2:$V$218&amp;"*"))&gt;0,"felony","eligible"),"n/a"))</f>
        <v>n/a</v>
      </c>
      <c r="M115" s="62" t="str">
        <f t="array" ref="M115">IF(L115="eligible",IF(OR((SUM(COUNTIF('CASE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62" t="str">
        <f>IF(M115="eligible",IF(COUNTIF('CASE DATA'!$D$4:$D$200, "")-COUNTIF('CASE DATA'!$A$4:$A$200, "")&gt;0, "YES","NO"),"N/A")</f>
        <v>N/A</v>
      </c>
      <c r="O115" s="62" t="str">
        <f>IF(M115="eligible",BANKRUPTCY!C116+BANKRUPTCY!D116,"N/A")</f>
        <v>N/A</v>
      </c>
      <c r="P115" s="62" t="str">
        <f>IF(M115="eligible",SOL!C116+SOL!D116+SOL!E116,"N/A")</f>
        <v>N/A</v>
      </c>
      <c r="Q115" s="62" t="str">
        <f>IF(M115="eligible",SUM('CASE DATA'!J116:S116),"N/A")</f>
        <v>N/A</v>
      </c>
      <c r="R115" s="62" t="str">
        <f>IF(M115="eligible",IF(C115+2920&lt;'BASIC INFO'!$B$3, "YES", "NO"),"N/A")</f>
        <v>N/A</v>
      </c>
      <c r="S115" s="61" t="str">
        <f>IF(OR('CASE DATA'!G116="DEF"), "YES", "NO")</f>
        <v>NO</v>
      </c>
      <c r="T115" s="57" t="str">
        <f>IF(S115="YES",'CASE DATA'!I116,"N/A")</f>
        <v>N/A</v>
      </c>
      <c r="U115" s="62" t="str">
        <f>IF(S115="YES",BANKRUPTCY!C116+BANKRUPTCY!D116,"N/A")</f>
        <v>N/A</v>
      </c>
      <c r="V115" s="62" t="str">
        <f>IF(S115="YES",SUM('CASE DATA'!J116:S116),"N/A")</f>
        <v>N/A</v>
      </c>
      <c r="W115" s="57" t="str">
        <f>IF(OR('CASE DATA'!F116="123.46",'CASE DATA'!F116="123.47"),"YES","NO")</f>
        <v>NO</v>
      </c>
      <c r="X115" s="60" t="str">
        <f>IF(W115="YES",COUNTIFS(AD$3:$AD$200,"&gt;"&amp;('CASE DATA'!D116),$AD$3:$AD$200,"&lt;"&amp;('CASE DATA'!D116+730.5)),"n/a")</f>
        <v>n/a</v>
      </c>
      <c r="Y115" s="62" t="str">
        <f>IF(W115="YES",IF(C115+730.5&lt;'BASIC INFO'!$B$3, "YES","NO"), "N/A")</f>
        <v>N/A</v>
      </c>
      <c r="Z115" s="57" t="str">
        <f>IF('CASE DATA'!F116="725.1","YES","NO")</f>
        <v>NO</v>
      </c>
      <c r="AA115" s="57" t="str">
        <f>IF(Z115="YES",IF(C115+730.5&lt;'BASIC INFO'!$B$3, "YES","NO"), "N/A")</f>
        <v>N/A</v>
      </c>
      <c r="AB115" s="57" t="str">
        <f>IF('BASIC INFO'!$B$6+6574.5&gt;C115, "YES", "NO")</f>
        <v>YES</v>
      </c>
      <c r="AC115" s="57" t="str">
        <f>IF(Z115="YES",COUNTIFS(AD$3:$AD$200,"&gt;"&amp;('CASE DATA'!D116),$AD$3:$AD$200,"&lt;"&amp;('CASE DATA'!D116+730.5)),"n/a")</f>
        <v>n/a</v>
      </c>
    </row>
    <row r="116" spans="1:29" x14ac:dyDescent="0.25">
      <c r="A116" s="57" t="str">
        <f>IF('CASE DATA'!A117="","z",'CASE DATA'!A117)</f>
        <v>z</v>
      </c>
      <c r="B116" s="57" t="str">
        <f>IF('CASE DATA'!A117="","",'CASE DATA'!E117)</f>
        <v/>
      </c>
      <c r="C116" s="58">
        <f>'CASE DATA'!D117</f>
        <v>0</v>
      </c>
      <c r="D116" s="59" t="str">
        <f>IF('CASE DATA'!I117="YES",SUM('CASE DATA'!J117:P117),"n/a")</f>
        <v>n/a</v>
      </c>
      <c r="E116" s="60" t="str">
        <f>IF(OR('CASE DATA'!G117="JUV", 'CASE DATA'!G117="JWV"), "YES", "NO")</f>
        <v>NO</v>
      </c>
      <c r="F116" s="60" t="str">
        <f t="array" ref="F116">IF(E116="YES",IF(SUM(COUNTIF('CASE DATA'!$G$4:$G$200, {"GTR","GPL","DEF","JUV"}))&gt;0, "YES","NO"),"N/A")</f>
        <v>N/A</v>
      </c>
      <c r="G116" s="60" t="str">
        <f>IF(E116="YES",IF(COUNTIF('CASE DATA'!$D$4:$D$200, "")-COUNTIF('CASE DATA'!$A$4:$A$200, "")&gt;0, "YES","NO"),"N/A")</f>
        <v>N/A</v>
      </c>
      <c r="H116" s="57" t="str">
        <f>_xlfn.IFS(E116="NO", "N/A", AND('BASIC INFO'!$B$3&gt;'BASIC INFO'!$B$6+6574.5, C116+730.5&lt;'BASIC INFO'!$B$3), "YES", 'BASIC INFO'!$B$3&lt;('BASIC INFO'!$B$6+6574.5), "NOT YET 18", C116+730.5&gt;'BASIC INFO'!$B$3, "NOT YET 2 YEARS")</f>
        <v>N/A</v>
      </c>
      <c r="I116" s="61" t="str">
        <f>IF(OR(AND(LEFT('CASE DATA'!F117,4)="321.",MID('CASE DATA'!A117,8,2)="SM"),MID('CASE DATA'!A117,8,2)="ST",MID('CASE DATA'!A117,8,2)="NT"),"TRAFFIC",IF(OR('CASE DATA'!G117="DISM", 'CASE DATA'!G117="ACQ", 'CASE DATA'!G117="NOTF", 'CASE DATA'!G117="WTHD", 'CASE DATA'!G117="TNSF"), "YES", "NO"))</f>
        <v>NO</v>
      </c>
      <c r="J116" s="62" t="str">
        <f>IF(I116="YES",'CASE DATA'!T117,"N/A")</f>
        <v>N/A</v>
      </c>
      <c r="K116" s="57" t="str">
        <f>IF(I116="YES",IF(C116+180&lt;'BASIC INFO'!$B$3, "YES", "NO"),"N/A")</f>
        <v>N/A</v>
      </c>
      <c r="L116" s="62" t="str">
        <f t="array" ref="L116">IF(I116="TRAFFIC","n/a",IF(OR('CASE DATA'!G117="GTR", 'CASE DATA'!G117="GPL"),IF(SUM(COUNTIF('CASE DATA'!W117:AH117, 'CODE SECTIONS'!$V$2:$V$218&amp;"*"))&gt;0,"felony","eligible"),"n/a"))</f>
        <v>n/a</v>
      </c>
      <c r="M116" s="62" t="str">
        <f t="array" ref="M116">IF(L116="eligible",IF(OR((SUM(COUNTIF('CASE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62" t="str">
        <f>IF(M116="eligible",IF(COUNTIF('CASE DATA'!$D$4:$D$200, "")-COUNTIF('CASE DATA'!$A$4:$A$200, "")&gt;0, "YES","NO"),"N/A")</f>
        <v>N/A</v>
      </c>
      <c r="O116" s="62" t="str">
        <f>IF(M116="eligible",BANKRUPTCY!C117+BANKRUPTCY!D117,"N/A")</f>
        <v>N/A</v>
      </c>
      <c r="P116" s="62" t="str">
        <f>IF(M116="eligible",SOL!C117+SOL!D117+SOL!E117,"N/A")</f>
        <v>N/A</v>
      </c>
      <c r="Q116" s="62" t="str">
        <f>IF(M116="eligible",SUM('CASE DATA'!J117:S117),"N/A")</f>
        <v>N/A</v>
      </c>
      <c r="R116" s="62" t="str">
        <f>IF(M116="eligible",IF(C116+2920&lt;'BASIC INFO'!$B$3, "YES", "NO"),"N/A")</f>
        <v>N/A</v>
      </c>
      <c r="S116" s="61" t="str">
        <f>IF(OR('CASE DATA'!G117="DEF"), "YES", "NO")</f>
        <v>NO</v>
      </c>
      <c r="T116" s="57" t="str">
        <f>IF(S116="YES",'CASE DATA'!I117,"N/A")</f>
        <v>N/A</v>
      </c>
      <c r="U116" s="62" t="str">
        <f>IF(S116="YES",BANKRUPTCY!C117+BANKRUPTCY!D117,"N/A")</f>
        <v>N/A</v>
      </c>
      <c r="V116" s="62" t="str">
        <f>IF(S116="YES",SUM('CASE DATA'!J117:S117),"N/A")</f>
        <v>N/A</v>
      </c>
      <c r="W116" s="57" t="str">
        <f>IF(OR('CASE DATA'!F117="123.46",'CASE DATA'!F117="123.47"),"YES","NO")</f>
        <v>NO</v>
      </c>
      <c r="X116" s="60" t="str">
        <f>IF(W116="YES",COUNTIFS(AD$3:$AD$200,"&gt;"&amp;('CASE DATA'!D117),$AD$3:$AD$200,"&lt;"&amp;('CASE DATA'!D117+730.5)),"n/a")</f>
        <v>n/a</v>
      </c>
      <c r="Y116" s="62" t="str">
        <f>IF(W116="YES",IF(C116+730.5&lt;'BASIC INFO'!$B$3, "YES","NO"), "N/A")</f>
        <v>N/A</v>
      </c>
      <c r="Z116" s="57" t="str">
        <f>IF('CASE DATA'!F117="725.1","YES","NO")</f>
        <v>NO</v>
      </c>
      <c r="AA116" s="57" t="str">
        <f>IF(Z116="YES",IF(C116+730.5&lt;'BASIC INFO'!$B$3, "YES","NO"), "N/A")</f>
        <v>N/A</v>
      </c>
      <c r="AB116" s="57" t="str">
        <f>IF('BASIC INFO'!$B$6+6574.5&gt;C116, "YES", "NO")</f>
        <v>YES</v>
      </c>
      <c r="AC116" s="57" t="str">
        <f>IF(Z116="YES",COUNTIFS(AD$3:$AD$200,"&gt;"&amp;('CASE DATA'!D117),$AD$3:$AD$200,"&lt;"&amp;('CASE DATA'!D117+730.5)),"n/a")</f>
        <v>n/a</v>
      </c>
    </row>
    <row r="117" spans="1:29" x14ac:dyDescent="0.25">
      <c r="A117" s="57" t="str">
        <f>IF('CASE DATA'!A118="","z",'CASE DATA'!A118)</f>
        <v>z</v>
      </c>
      <c r="B117" s="57" t="str">
        <f>IF('CASE DATA'!A118="","",'CASE DATA'!E118)</f>
        <v/>
      </c>
      <c r="C117" s="58">
        <f>'CASE DATA'!D118</f>
        <v>0</v>
      </c>
      <c r="D117" s="59" t="str">
        <f>IF('CASE DATA'!I118="YES",SUM('CASE DATA'!J118:P118),"n/a")</f>
        <v>n/a</v>
      </c>
      <c r="E117" s="60" t="str">
        <f>IF(OR('CASE DATA'!G118="JUV", 'CASE DATA'!G118="JWV"), "YES", "NO")</f>
        <v>NO</v>
      </c>
      <c r="F117" s="60" t="str">
        <f t="array" ref="F117">IF(E117="YES",IF(SUM(COUNTIF('CASE DATA'!$G$4:$G$200, {"GTR","GPL","DEF","JUV"}))&gt;0, "YES","NO"),"N/A")</f>
        <v>N/A</v>
      </c>
      <c r="G117" s="60" t="str">
        <f>IF(E117="YES",IF(COUNTIF('CASE DATA'!$D$4:$D$200, "")-COUNTIF('CASE DATA'!$A$4:$A$200, "")&gt;0, "YES","NO"),"N/A")</f>
        <v>N/A</v>
      </c>
      <c r="H117" s="57" t="str">
        <f>_xlfn.IFS(E117="NO", "N/A", AND('BASIC INFO'!$B$3&gt;'BASIC INFO'!$B$6+6574.5, C117+730.5&lt;'BASIC INFO'!$B$3), "YES", 'BASIC INFO'!$B$3&lt;('BASIC INFO'!$B$6+6574.5), "NOT YET 18", C117+730.5&gt;'BASIC INFO'!$B$3, "NOT YET 2 YEARS")</f>
        <v>N/A</v>
      </c>
      <c r="I117" s="61" t="str">
        <f>IF(OR(AND(LEFT('CASE DATA'!F118,4)="321.",MID('CASE DATA'!A118,8,2)="SM"),MID('CASE DATA'!A118,8,2)="ST",MID('CASE DATA'!A118,8,2)="NT"),"TRAFFIC",IF(OR('CASE DATA'!G118="DISM", 'CASE DATA'!G118="ACQ", 'CASE DATA'!G118="NOTF", 'CASE DATA'!G118="WTHD", 'CASE DATA'!G118="TNSF"), "YES", "NO"))</f>
        <v>NO</v>
      </c>
      <c r="J117" s="62" t="str">
        <f>IF(I117="YES",'CASE DATA'!T118,"N/A")</f>
        <v>N/A</v>
      </c>
      <c r="K117" s="57" t="str">
        <f>IF(I117="YES",IF(C117+180&lt;'BASIC INFO'!$B$3, "YES", "NO"),"N/A")</f>
        <v>N/A</v>
      </c>
      <c r="L117" s="62" t="str">
        <f t="array" ref="L117">IF(I117="TRAFFIC","n/a",IF(OR('CASE DATA'!G118="GTR", 'CASE DATA'!G118="GPL"),IF(SUM(COUNTIF('CASE DATA'!W118:AH118, 'CODE SECTIONS'!$V$2:$V$218&amp;"*"))&gt;0,"felony","eligible"),"n/a"))</f>
        <v>n/a</v>
      </c>
      <c r="M117" s="62" t="str">
        <f t="array" ref="M117">IF(L117="eligible",IF(OR((SUM(COUNTIF('CASE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62" t="str">
        <f>IF(M117="eligible",IF(COUNTIF('CASE DATA'!$D$4:$D$200, "")-COUNTIF('CASE DATA'!$A$4:$A$200, "")&gt;0, "YES","NO"),"N/A")</f>
        <v>N/A</v>
      </c>
      <c r="O117" s="62" t="str">
        <f>IF(M117="eligible",BANKRUPTCY!C118+BANKRUPTCY!D118,"N/A")</f>
        <v>N/A</v>
      </c>
      <c r="P117" s="62" t="str">
        <f>IF(M117="eligible",SOL!C118+SOL!D118+SOL!E118,"N/A")</f>
        <v>N/A</v>
      </c>
      <c r="Q117" s="62" t="str">
        <f>IF(M117="eligible",SUM('CASE DATA'!J118:S118),"N/A")</f>
        <v>N/A</v>
      </c>
      <c r="R117" s="62" t="str">
        <f>IF(M117="eligible",IF(C117+2920&lt;'BASIC INFO'!$B$3, "YES", "NO"),"N/A")</f>
        <v>N/A</v>
      </c>
      <c r="S117" s="61" t="str">
        <f>IF(OR('CASE DATA'!G118="DEF"), "YES", "NO")</f>
        <v>NO</v>
      </c>
      <c r="T117" s="57" t="str">
        <f>IF(S117="YES",'CASE DATA'!I118,"N/A")</f>
        <v>N/A</v>
      </c>
      <c r="U117" s="62" t="str">
        <f>IF(S117="YES",BANKRUPTCY!C118+BANKRUPTCY!D118,"N/A")</f>
        <v>N/A</v>
      </c>
      <c r="V117" s="62" t="str">
        <f>IF(S117="YES",SUM('CASE DATA'!J118:S118),"N/A")</f>
        <v>N/A</v>
      </c>
      <c r="W117" s="57" t="str">
        <f>IF(OR('CASE DATA'!F118="123.46",'CASE DATA'!F118="123.47"),"YES","NO")</f>
        <v>NO</v>
      </c>
      <c r="X117" s="60" t="str">
        <f>IF(W117="YES",COUNTIFS(AD$3:$AD$200,"&gt;"&amp;('CASE DATA'!D118),$AD$3:$AD$200,"&lt;"&amp;('CASE DATA'!D118+730.5)),"n/a")</f>
        <v>n/a</v>
      </c>
      <c r="Y117" s="62" t="str">
        <f>IF(W117="YES",IF(C117+730.5&lt;'BASIC INFO'!$B$3, "YES","NO"), "N/A")</f>
        <v>N/A</v>
      </c>
      <c r="Z117" s="57" t="str">
        <f>IF('CASE DATA'!F118="725.1","YES","NO")</f>
        <v>NO</v>
      </c>
      <c r="AA117" s="57" t="str">
        <f>IF(Z117="YES",IF(C117+730.5&lt;'BASIC INFO'!$B$3, "YES","NO"), "N/A")</f>
        <v>N/A</v>
      </c>
      <c r="AB117" s="57" t="str">
        <f>IF('BASIC INFO'!$B$6+6574.5&gt;C117, "YES", "NO")</f>
        <v>YES</v>
      </c>
      <c r="AC117" s="57" t="str">
        <f>IF(Z117="YES",COUNTIFS(AD$3:$AD$200,"&gt;"&amp;('CASE DATA'!D118),$AD$3:$AD$200,"&lt;"&amp;('CASE DATA'!D118+730.5)),"n/a")</f>
        <v>n/a</v>
      </c>
    </row>
    <row r="118" spans="1:29" x14ac:dyDescent="0.25">
      <c r="A118" s="57" t="str">
        <f>IF('CASE DATA'!A119="","z",'CASE DATA'!A119)</f>
        <v>z</v>
      </c>
      <c r="B118" s="57" t="str">
        <f>IF('CASE DATA'!A119="","",'CASE DATA'!E119)</f>
        <v/>
      </c>
      <c r="C118" s="58">
        <f>'CASE DATA'!D119</f>
        <v>0</v>
      </c>
      <c r="D118" s="59" t="str">
        <f>IF('CASE DATA'!I119="YES",SUM('CASE DATA'!J119:P119),"n/a")</f>
        <v>n/a</v>
      </c>
      <c r="E118" s="60" t="str">
        <f>IF(OR('CASE DATA'!G119="JUV", 'CASE DATA'!G119="JWV"), "YES", "NO")</f>
        <v>NO</v>
      </c>
      <c r="F118" s="60" t="str">
        <f t="array" ref="F118">IF(E118="YES",IF(SUM(COUNTIF('CASE DATA'!$G$4:$G$200, {"GTR","GPL","DEF","JUV"}))&gt;0, "YES","NO"),"N/A")</f>
        <v>N/A</v>
      </c>
      <c r="G118" s="60" t="str">
        <f>IF(E118="YES",IF(COUNTIF('CASE DATA'!$D$4:$D$200, "")-COUNTIF('CASE DATA'!$A$4:$A$200, "")&gt;0, "YES","NO"),"N/A")</f>
        <v>N/A</v>
      </c>
      <c r="H118" s="57" t="str">
        <f>_xlfn.IFS(E118="NO", "N/A", AND('BASIC INFO'!$B$3&gt;'BASIC INFO'!$B$6+6574.5, C118+730.5&lt;'BASIC INFO'!$B$3), "YES", 'BASIC INFO'!$B$3&lt;('BASIC INFO'!$B$6+6574.5), "NOT YET 18", C118+730.5&gt;'BASIC INFO'!$B$3, "NOT YET 2 YEARS")</f>
        <v>N/A</v>
      </c>
      <c r="I118" s="61" t="str">
        <f>IF(OR(AND(LEFT('CASE DATA'!F119,4)="321.",MID('CASE DATA'!A119,8,2)="SM"),MID('CASE DATA'!A119,8,2)="ST",MID('CASE DATA'!A119,8,2)="NT"),"TRAFFIC",IF(OR('CASE DATA'!G119="DISM", 'CASE DATA'!G119="ACQ", 'CASE DATA'!G119="NOTF", 'CASE DATA'!G119="WTHD", 'CASE DATA'!G119="TNSF"), "YES", "NO"))</f>
        <v>NO</v>
      </c>
      <c r="J118" s="62" t="str">
        <f>IF(I118="YES",'CASE DATA'!T119,"N/A")</f>
        <v>N/A</v>
      </c>
      <c r="K118" s="57" t="str">
        <f>IF(I118="YES",IF(C118+180&lt;'BASIC INFO'!$B$3, "YES", "NO"),"N/A")</f>
        <v>N/A</v>
      </c>
      <c r="L118" s="62" t="str">
        <f t="array" ref="L118">IF(I118="TRAFFIC","n/a",IF(OR('CASE DATA'!G119="GTR", 'CASE DATA'!G119="GPL"),IF(SUM(COUNTIF('CASE DATA'!W119:AH119, 'CODE SECTIONS'!$V$2:$V$218&amp;"*"))&gt;0,"felony","eligible"),"n/a"))</f>
        <v>n/a</v>
      </c>
      <c r="M118" s="62" t="str">
        <f t="array" ref="M118">IF(L118="eligible",IF(OR((SUM(COUNTIF('CASE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62" t="str">
        <f>IF(M118="eligible",IF(COUNTIF('CASE DATA'!$D$4:$D$200, "")-COUNTIF('CASE DATA'!$A$4:$A$200, "")&gt;0, "YES","NO"),"N/A")</f>
        <v>N/A</v>
      </c>
      <c r="O118" s="62" t="str">
        <f>IF(M118="eligible",BANKRUPTCY!C119+BANKRUPTCY!D119,"N/A")</f>
        <v>N/A</v>
      </c>
      <c r="P118" s="62" t="str">
        <f>IF(M118="eligible",SOL!C119+SOL!D119+SOL!E119,"N/A")</f>
        <v>N/A</v>
      </c>
      <c r="Q118" s="62" t="str">
        <f>IF(M118="eligible",SUM('CASE DATA'!J119:S119),"N/A")</f>
        <v>N/A</v>
      </c>
      <c r="R118" s="62" t="str">
        <f>IF(M118="eligible",IF(C118+2920&lt;'BASIC INFO'!$B$3, "YES", "NO"),"N/A")</f>
        <v>N/A</v>
      </c>
      <c r="S118" s="61" t="str">
        <f>IF(OR('CASE DATA'!G119="DEF"), "YES", "NO")</f>
        <v>NO</v>
      </c>
      <c r="T118" s="57" t="str">
        <f>IF(S118="YES",'CASE DATA'!I119,"N/A")</f>
        <v>N/A</v>
      </c>
      <c r="U118" s="62" t="str">
        <f>IF(S118="YES",BANKRUPTCY!C119+BANKRUPTCY!D119,"N/A")</f>
        <v>N/A</v>
      </c>
      <c r="V118" s="62" t="str">
        <f>IF(S118="YES",SUM('CASE DATA'!J119:S119),"N/A")</f>
        <v>N/A</v>
      </c>
      <c r="W118" s="57" t="str">
        <f>IF(OR('CASE DATA'!F119="123.46",'CASE DATA'!F119="123.47"),"YES","NO")</f>
        <v>NO</v>
      </c>
      <c r="X118" s="60" t="str">
        <f>IF(W118="YES",COUNTIFS(AD$3:$AD$200,"&gt;"&amp;('CASE DATA'!D119),$AD$3:$AD$200,"&lt;"&amp;('CASE DATA'!D119+730.5)),"n/a")</f>
        <v>n/a</v>
      </c>
      <c r="Y118" s="62" t="str">
        <f>IF(W118="YES",IF(C118+730.5&lt;'BASIC INFO'!$B$3, "YES","NO"), "N/A")</f>
        <v>N/A</v>
      </c>
      <c r="Z118" s="57" t="str">
        <f>IF('CASE DATA'!F119="725.1","YES","NO")</f>
        <v>NO</v>
      </c>
      <c r="AA118" s="57" t="str">
        <f>IF(Z118="YES",IF(C118+730.5&lt;'BASIC INFO'!$B$3, "YES","NO"), "N/A")</f>
        <v>N/A</v>
      </c>
      <c r="AB118" s="57" t="str">
        <f>IF('BASIC INFO'!$B$6+6574.5&gt;C118, "YES", "NO")</f>
        <v>YES</v>
      </c>
      <c r="AC118" s="57" t="str">
        <f>IF(Z118="YES",COUNTIFS(AD$3:$AD$200,"&gt;"&amp;('CASE DATA'!D119),$AD$3:$AD$200,"&lt;"&amp;('CASE DATA'!D119+730.5)),"n/a")</f>
        <v>n/a</v>
      </c>
    </row>
    <row r="119" spans="1:29" x14ac:dyDescent="0.25">
      <c r="A119" s="57" t="str">
        <f>IF('CASE DATA'!A120="","z",'CASE DATA'!A120)</f>
        <v>z</v>
      </c>
      <c r="B119" s="57" t="str">
        <f>IF('CASE DATA'!A120="","",'CASE DATA'!E120)</f>
        <v/>
      </c>
      <c r="C119" s="58">
        <f>'CASE DATA'!D120</f>
        <v>0</v>
      </c>
      <c r="D119" s="59" t="str">
        <f>IF('CASE DATA'!I120="YES",SUM('CASE DATA'!J120:P120),"n/a")</f>
        <v>n/a</v>
      </c>
      <c r="E119" s="60" t="str">
        <f>IF(OR('CASE DATA'!G120="JUV", 'CASE DATA'!G120="JWV"), "YES", "NO")</f>
        <v>NO</v>
      </c>
      <c r="F119" s="60" t="str">
        <f t="array" ref="F119">IF(E119="YES",IF(SUM(COUNTIF('CASE DATA'!$G$4:$G$200, {"GTR","GPL","DEF","JUV"}))&gt;0, "YES","NO"),"N/A")</f>
        <v>N/A</v>
      </c>
      <c r="G119" s="60" t="str">
        <f>IF(E119="YES",IF(COUNTIF('CASE DATA'!$D$4:$D$200, "")-COUNTIF('CASE DATA'!$A$4:$A$200, "")&gt;0, "YES","NO"),"N/A")</f>
        <v>N/A</v>
      </c>
      <c r="H119" s="57" t="str">
        <f>_xlfn.IFS(E119="NO", "N/A", AND('BASIC INFO'!$B$3&gt;'BASIC INFO'!$B$6+6574.5, C119+730.5&lt;'BASIC INFO'!$B$3), "YES", 'BASIC INFO'!$B$3&lt;('BASIC INFO'!$B$6+6574.5), "NOT YET 18", C119+730.5&gt;'BASIC INFO'!$B$3, "NOT YET 2 YEARS")</f>
        <v>N/A</v>
      </c>
      <c r="I119" s="61" t="str">
        <f>IF(OR(AND(LEFT('CASE DATA'!F120,4)="321.",MID('CASE DATA'!A120,8,2)="SM"),MID('CASE DATA'!A120,8,2)="ST",MID('CASE DATA'!A120,8,2)="NT"),"TRAFFIC",IF(OR('CASE DATA'!G120="DISM", 'CASE DATA'!G120="ACQ", 'CASE DATA'!G120="NOTF", 'CASE DATA'!G120="WTHD", 'CASE DATA'!G120="TNSF"), "YES", "NO"))</f>
        <v>NO</v>
      </c>
      <c r="J119" s="62" t="str">
        <f>IF(I119="YES",'CASE DATA'!T120,"N/A")</f>
        <v>N/A</v>
      </c>
      <c r="K119" s="57" t="str">
        <f>IF(I119="YES",IF(C119+180&lt;'BASIC INFO'!$B$3, "YES", "NO"),"N/A")</f>
        <v>N/A</v>
      </c>
      <c r="L119" s="62" t="str">
        <f t="array" ref="L119">IF(I119="TRAFFIC","n/a",IF(OR('CASE DATA'!G120="GTR", 'CASE DATA'!G120="GPL"),IF(SUM(COUNTIF('CASE DATA'!W120:AH120, 'CODE SECTIONS'!$V$2:$V$218&amp;"*"))&gt;0,"felony","eligible"),"n/a"))</f>
        <v>n/a</v>
      </c>
      <c r="M119" s="62" t="str">
        <f t="array" ref="M119">IF(L119="eligible",IF(OR((SUM(COUNTIF('CASE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62" t="str">
        <f>IF(M119="eligible",IF(COUNTIF('CASE DATA'!$D$4:$D$200, "")-COUNTIF('CASE DATA'!$A$4:$A$200, "")&gt;0, "YES","NO"),"N/A")</f>
        <v>N/A</v>
      </c>
      <c r="O119" s="62" t="str">
        <f>IF(M119="eligible",BANKRUPTCY!C120+BANKRUPTCY!D120,"N/A")</f>
        <v>N/A</v>
      </c>
      <c r="P119" s="62" t="str">
        <f>IF(M119="eligible",SOL!C120+SOL!D120+SOL!E120,"N/A")</f>
        <v>N/A</v>
      </c>
      <c r="Q119" s="62" t="str">
        <f>IF(M119="eligible",SUM('CASE DATA'!J120:S120),"N/A")</f>
        <v>N/A</v>
      </c>
      <c r="R119" s="62" t="str">
        <f>IF(M119="eligible",IF(C119+2920&lt;'BASIC INFO'!$B$3, "YES", "NO"),"N/A")</f>
        <v>N/A</v>
      </c>
      <c r="S119" s="61" t="str">
        <f>IF(OR('CASE DATA'!G120="DEF"), "YES", "NO")</f>
        <v>NO</v>
      </c>
      <c r="T119" s="57" t="str">
        <f>IF(S119="YES",'CASE DATA'!I120,"N/A")</f>
        <v>N/A</v>
      </c>
      <c r="U119" s="62" t="str">
        <f>IF(S119="YES",BANKRUPTCY!C120+BANKRUPTCY!D120,"N/A")</f>
        <v>N/A</v>
      </c>
      <c r="V119" s="62" t="str">
        <f>IF(S119="YES",SUM('CASE DATA'!J120:S120),"N/A")</f>
        <v>N/A</v>
      </c>
      <c r="W119" s="57" t="str">
        <f>IF(OR('CASE DATA'!F120="123.46",'CASE DATA'!F120="123.47"),"YES","NO")</f>
        <v>NO</v>
      </c>
      <c r="X119" s="60" t="str">
        <f>IF(W119="YES",COUNTIFS(AD$3:$AD$200,"&gt;"&amp;('CASE DATA'!D120),$AD$3:$AD$200,"&lt;"&amp;('CASE DATA'!D120+730.5)),"n/a")</f>
        <v>n/a</v>
      </c>
      <c r="Y119" s="62" t="str">
        <f>IF(W119="YES",IF(C119+730.5&lt;'BASIC INFO'!$B$3, "YES","NO"), "N/A")</f>
        <v>N/A</v>
      </c>
      <c r="Z119" s="57" t="str">
        <f>IF('CASE DATA'!F120="725.1","YES","NO")</f>
        <v>NO</v>
      </c>
      <c r="AA119" s="57" t="str">
        <f>IF(Z119="YES",IF(C119+730.5&lt;'BASIC INFO'!$B$3, "YES","NO"), "N/A")</f>
        <v>N/A</v>
      </c>
      <c r="AB119" s="57" t="str">
        <f>IF('BASIC INFO'!$B$6+6574.5&gt;C119, "YES", "NO")</f>
        <v>YES</v>
      </c>
      <c r="AC119" s="57" t="str">
        <f>IF(Z119="YES",COUNTIFS(AD$3:$AD$200,"&gt;"&amp;('CASE DATA'!D120),$AD$3:$AD$200,"&lt;"&amp;('CASE DATA'!D120+730.5)),"n/a")</f>
        <v>n/a</v>
      </c>
    </row>
    <row r="120" spans="1:29" x14ac:dyDescent="0.25">
      <c r="A120" s="57" t="str">
        <f>IF('CASE DATA'!A121="","z",'CASE DATA'!A121)</f>
        <v>z</v>
      </c>
      <c r="B120" s="57" t="str">
        <f>IF('CASE DATA'!A121="","",'CASE DATA'!E121)</f>
        <v/>
      </c>
      <c r="C120" s="58">
        <f>'CASE DATA'!D121</f>
        <v>0</v>
      </c>
      <c r="D120" s="59" t="str">
        <f>IF('CASE DATA'!I121="YES",SUM('CASE DATA'!J121:P121),"n/a")</f>
        <v>n/a</v>
      </c>
      <c r="E120" s="60" t="str">
        <f>IF(OR('CASE DATA'!G121="JUV", 'CASE DATA'!G121="JWV"), "YES", "NO")</f>
        <v>NO</v>
      </c>
      <c r="F120" s="60" t="str">
        <f t="array" ref="F120">IF(E120="YES",IF(SUM(COUNTIF('CASE DATA'!$G$4:$G$200, {"GTR","GPL","DEF","JUV"}))&gt;0, "YES","NO"),"N/A")</f>
        <v>N/A</v>
      </c>
      <c r="G120" s="60" t="str">
        <f>IF(E120="YES",IF(COUNTIF('CASE DATA'!$D$4:$D$200, "")-COUNTIF('CASE DATA'!$A$4:$A$200, "")&gt;0, "YES","NO"),"N/A")</f>
        <v>N/A</v>
      </c>
      <c r="H120" s="57" t="str">
        <f>_xlfn.IFS(E120="NO", "N/A", AND('BASIC INFO'!$B$3&gt;'BASIC INFO'!$B$6+6574.5, C120+730.5&lt;'BASIC INFO'!$B$3), "YES", 'BASIC INFO'!$B$3&lt;('BASIC INFO'!$B$6+6574.5), "NOT YET 18", C120+730.5&gt;'BASIC INFO'!$B$3, "NOT YET 2 YEARS")</f>
        <v>N/A</v>
      </c>
      <c r="I120" s="61" t="str">
        <f>IF(OR(AND(LEFT('CASE DATA'!F121,4)="321.",MID('CASE DATA'!A121,8,2)="SM"),MID('CASE DATA'!A121,8,2)="ST",MID('CASE DATA'!A121,8,2)="NT"),"TRAFFIC",IF(OR('CASE DATA'!G121="DISM", 'CASE DATA'!G121="ACQ", 'CASE DATA'!G121="NOTF", 'CASE DATA'!G121="WTHD", 'CASE DATA'!G121="TNSF"), "YES", "NO"))</f>
        <v>NO</v>
      </c>
      <c r="J120" s="62" t="str">
        <f>IF(I120="YES",'CASE DATA'!T121,"N/A")</f>
        <v>N/A</v>
      </c>
      <c r="K120" s="57" t="str">
        <f>IF(I120="YES",IF(C120+180&lt;'BASIC INFO'!$B$3, "YES", "NO"),"N/A")</f>
        <v>N/A</v>
      </c>
      <c r="L120" s="62" t="str">
        <f t="array" ref="L120">IF(I120="TRAFFIC","n/a",IF(OR('CASE DATA'!G121="GTR", 'CASE DATA'!G121="GPL"),IF(SUM(COUNTIF('CASE DATA'!W121:AH121, 'CODE SECTIONS'!$V$2:$V$218&amp;"*"))&gt;0,"felony","eligible"),"n/a"))</f>
        <v>n/a</v>
      </c>
      <c r="M120" s="62" t="str">
        <f t="array" ref="M120">IF(L120="eligible",IF(OR((SUM(COUNTIF('CASE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62" t="str">
        <f>IF(M120="eligible",IF(COUNTIF('CASE DATA'!$D$4:$D$200, "")-COUNTIF('CASE DATA'!$A$4:$A$200, "")&gt;0, "YES","NO"),"N/A")</f>
        <v>N/A</v>
      </c>
      <c r="O120" s="62" t="str">
        <f>IF(M120="eligible",BANKRUPTCY!C121+BANKRUPTCY!D121,"N/A")</f>
        <v>N/A</v>
      </c>
      <c r="P120" s="62" t="str">
        <f>IF(M120="eligible",SOL!C121+SOL!D121+SOL!E121,"N/A")</f>
        <v>N/A</v>
      </c>
      <c r="Q120" s="62" t="str">
        <f>IF(M120="eligible",SUM('CASE DATA'!J121:S121),"N/A")</f>
        <v>N/A</v>
      </c>
      <c r="R120" s="62" t="str">
        <f>IF(M120="eligible",IF(C120+2920&lt;'BASIC INFO'!$B$3, "YES", "NO"),"N/A")</f>
        <v>N/A</v>
      </c>
      <c r="S120" s="61" t="str">
        <f>IF(OR('CASE DATA'!G121="DEF"), "YES", "NO")</f>
        <v>NO</v>
      </c>
      <c r="T120" s="57" t="str">
        <f>IF(S120="YES",'CASE DATA'!I121,"N/A")</f>
        <v>N/A</v>
      </c>
      <c r="U120" s="62" t="str">
        <f>IF(S120="YES",BANKRUPTCY!C121+BANKRUPTCY!D121,"N/A")</f>
        <v>N/A</v>
      </c>
      <c r="V120" s="62" t="str">
        <f>IF(S120="YES",SUM('CASE DATA'!J121:S121),"N/A")</f>
        <v>N/A</v>
      </c>
      <c r="W120" s="57" t="str">
        <f>IF(OR('CASE DATA'!F121="123.46",'CASE DATA'!F121="123.47"),"YES","NO")</f>
        <v>NO</v>
      </c>
      <c r="X120" s="60" t="str">
        <f>IF(W120="YES",COUNTIFS(AD$3:$AD$200,"&gt;"&amp;('CASE DATA'!D121),$AD$3:$AD$200,"&lt;"&amp;('CASE DATA'!D121+730.5)),"n/a")</f>
        <v>n/a</v>
      </c>
      <c r="Y120" s="62" t="str">
        <f>IF(W120="YES",IF(C120+730.5&lt;'BASIC INFO'!$B$3, "YES","NO"), "N/A")</f>
        <v>N/A</v>
      </c>
      <c r="Z120" s="57" t="str">
        <f>IF('CASE DATA'!F121="725.1","YES","NO")</f>
        <v>NO</v>
      </c>
      <c r="AA120" s="57" t="str">
        <f>IF(Z120="YES",IF(C120+730.5&lt;'BASIC INFO'!$B$3, "YES","NO"), "N/A")</f>
        <v>N/A</v>
      </c>
      <c r="AB120" s="57" t="str">
        <f>IF('BASIC INFO'!$B$6+6574.5&gt;C120, "YES", "NO")</f>
        <v>YES</v>
      </c>
      <c r="AC120" s="57" t="str">
        <f>IF(Z120="YES",COUNTIFS(AD$3:$AD$200,"&gt;"&amp;('CASE DATA'!D121),$AD$3:$AD$200,"&lt;"&amp;('CASE DATA'!D121+730.5)),"n/a")</f>
        <v>n/a</v>
      </c>
    </row>
    <row r="121" spans="1:29" x14ac:dyDescent="0.25">
      <c r="A121" s="57" t="str">
        <f>IF('CASE DATA'!A122="","z",'CASE DATA'!A122)</f>
        <v>z</v>
      </c>
      <c r="B121" s="57" t="str">
        <f>IF('CASE DATA'!A122="","",'CASE DATA'!E122)</f>
        <v/>
      </c>
      <c r="C121" s="58">
        <f>'CASE DATA'!D122</f>
        <v>0</v>
      </c>
      <c r="D121" s="59" t="str">
        <f>IF('CASE DATA'!I122="YES",SUM('CASE DATA'!J122:P122),"n/a")</f>
        <v>n/a</v>
      </c>
      <c r="E121" s="60" t="str">
        <f>IF(OR('CASE DATA'!G122="JUV", 'CASE DATA'!G122="JWV"), "YES", "NO")</f>
        <v>NO</v>
      </c>
      <c r="F121" s="60" t="str">
        <f t="array" ref="F121">IF(E121="YES",IF(SUM(COUNTIF('CASE DATA'!$G$4:$G$200, {"GTR","GPL","DEF","JUV"}))&gt;0, "YES","NO"),"N/A")</f>
        <v>N/A</v>
      </c>
      <c r="G121" s="60" t="str">
        <f>IF(E121="YES",IF(COUNTIF('CASE DATA'!$D$4:$D$200, "")-COUNTIF('CASE DATA'!$A$4:$A$200, "")&gt;0, "YES","NO"),"N/A")</f>
        <v>N/A</v>
      </c>
      <c r="H121" s="57" t="str">
        <f>_xlfn.IFS(E121="NO", "N/A", AND('BASIC INFO'!$B$3&gt;'BASIC INFO'!$B$6+6574.5, C121+730.5&lt;'BASIC INFO'!$B$3), "YES", 'BASIC INFO'!$B$3&lt;('BASIC INFO'!$B$6+6574.5), "NOT YET 18", C121+730.5&gt;'BASIC INFO'!$B$3, "NOT YET 2 YEARS")</f>
        <v>N/A</v>
      </c>
      <c r="I121" s="61" t="str">
        <f>IF(OR(AND(LEFT('CASE DATA'!F122,4)="321.",MID('CASE DATA'!A122,8,2)="SM"),MID('CASE DATA'!A122,8,2)="ST",MID('CASE DATA'!A122,8,2)="NT"),"TRAFFIC",IF(OR('CASE DATA'!G122="DISM", 'CASE DATA'!G122="ACQ", 'CASE DATA'!G122="NOTF", 'CASE DATA'!G122="WTHD", 'CASE DATA'!G122="TNSF"), "YES", "NO"))</f>
        <v>NO</v>
      </c>
      <c r="J121" s="62" t="str">
        <f>IF(I121="YES",'CASE DATA'!T122,"N/A")</f>
        <v>N/A</v>
      </c>
      <c r="K121" s="57" t="str">
        <f>IF(I121="YES",IF(C121+180&lt;'BASIC INFO'!$B$3, "YES", "NO"),"N/A")</f>
        <v>N/A</v>
      </c>
      <c r="L121" s="62" t="str">
        <f t="array" ref="L121">IF(I121="TRAFFIC","n/a",IF(OR('CASE DATA'!G122="GTR", 'CASE DATA'!G122="GPL"),IF(SUM(COUNTIF('CASE DATA'!W122:AH122, 'CODE SECTIONS'!$V$2:$V$218&amp;"*"))&gt;0,"felony","eligible"),"n/a"))</f>
        <v>n/a</v>
      </c>
      <c r="M121" s="62" t="str">
        <f t="array" ref="M121">IF(L121="eligible",IF(OR((SUM(COUNTIF('CASE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62" t="str">
        <f>IF(M121="eligible",IF(COUNTIF('CASE DATA'!$D$4:$D$200, "")-COUNTIF('CASE DATA'!$A$4:$A$200, "")&gt;0, "YES","NO"),"N/A")</f>
        <v>N/A</v>
      </c>
      <c r="O121" s="62" t="str">
        <f>IF(M121="eligible",BANKRUPTCY!C122+BANKRUPTCY!D122,"N/A")</f>
        <v>N/A</v>
      </c>
      <c r="P121" s="62" t="str">
        <f>IF(M121="eligible",SOL!C122+SOL!D122+SOL!E122,"N/A")</f>
        <v>N/A</v>
      </c>
      <c r="Q121" s="62" t="str">
        <f>IF(M121="eligible",SUM('CASE DATA'!J122:S122),"N/A")</f>
        <v>N/A</v>
      </c>
      <c r="R121" s="62" t="str">
        <f>IF(M121="eligible",IF(C121+2920&lt;'BASIC INFO'!$B$3, "YES", "NO"),"N/A")</f>
        <v>N/A</v>
      </c>
      <c r="S121" s="61" t="str">
        <f>IF(OR('CASE DATA'!G122="DEF"), "YES", "NO")</f>
        <v>NO</v>
      </c>
      <c r="T121" s="57" t="str">
        <f>IF(S121="YES",'CASE DATA'!I122,"N/A")</f>
        <v>N/A</v>
      </c>
      <c r="U121" s="62" t="str">
        <f>IF(S121="YES",BANKRUPTCY!C122+BANKRUPTCY!D122,"N/A")</f>
        <v>N/A</v>
      </c>
      <c r="V121" s="62" t="str">
        <f>IF(S121="YES",SUM('CASE DATA'!J122:S122),"N/A")</f>
        <v>N/A</v>
      </c>
      <c r="W121" s="57" t="str">
        <f>IF(OR('CASE DATA'!F122="123.46",'CASE DATA'!F122="123.47"),"YES","NO")</f>
        <v>NO</v>
      </c>
      <c r="X121" s="60" t="str">
        <f>IF(W121="YES",COUNTIFS(AD$3:$AD$200,"&gt;"&amp;('CASE DATA'!D122),$AD$3:$AD$200,"&lt;"&amp;('CASE DATA'!D122+730.5)),"n/a")</f>
        <v>n/a</v>
      </c>
      <c r="Y121" s="62" t="str">
        <f>IF(W121="YES",IF(C121+730.5&lt;'BASIC INFO'!$B$3, "YES","NO"), "N/A")</f>
        <v>N/A</v>
      </c>
      <c r="Z121" s="57" t="str">
        <f>IF('CASE DATA'!F122="725.1","YES","NO")</f>
        <v>NO</v>
      </c>
      <c r="AA121" s="57" t="str">
        <f>IF(Z121="YES",IF(C121+730.5&lt;'BASIC INFO'!$B$3, "YES","NO"), "N/A")</f>
        <v>N/A</v>
      </c>
      <c r="AB121" s="57" t="str">
        <f>IF('BASIC INFO'!$B$6+6574.5&gt;C121, "YES", "NO")</f>
        <v>YES</v>
      </c>
      <c r="AC121" s="57" t="str">
        <f>IF(Z121="YES",COUNTIFS(AD$3:$AD$200,"&gt;"&amp;('CASE DATA'!D122),$AD$3:$AD$200,"&lt;"&amp;('CASE DATA'!D122+730.5)),"n/a")</f>
        <v>n/a</v>
      </c>
    </row>
    <row r="122" spans="1:29" x14ac:dyDescent="0.25">
      <c r="A122" s="57" t="str">
        <f>IF('CASE DATA'!A123="","z",'CASE DATA'!A123)</f>
        <v>z</v>
      </c>
      <c r="B122" s="57" t="str">
        <f>IF('CASE DATA'!A123="","",'CASE DATA'!E123)</f>
        <v/>
      </c>
      <c r="C122" s="58">
        <f>'CASE DATA'!D123</f>
        <v>0</v>
      </c>
      <c r="D122" s="59" t="str">
        <f>IF('CASE DATA'!I123="YES",SUM('CASE DATA'!J123:P123),"n/a")</f>
        <v>n/a</v>
      </c>
      <c r="E122" s="60" t="str">
        <f>IF(OR('CASE DATA'!G123="JUV", 'CASE DATA'!G123="JWV"), "YES", "NO")</f>
        <v>NO</v>
      </c>
      <c r="F122" s="60" t="str">
        <f t="array" ref="F122">IF(E122="YES",IF(SUM(COUNTIF('CASE DATA'!$G$4:$G$200, {"GTR","GPL","DEF","JUV"}))&gt;0, "YES","NO"),"N/A")</f>
        <v>N/A</v>
      </c>
      <c r="G122" s="60" t="str">
        <f>IF(E122="YES",IF(COUNTIF('CASE DATA'!$D$4:$D$200, "")-COUNTIF('CASE DATA'!$A$4:$A$200, "")&gt;0, "YES","NO"),"N/A")</f>
        <v>N/A</v>
      </c>
      <c r="H122" s="57" t="str">
        <f>_xlfn.IFS(E122="NO", "N/A", AND('BASIC INFO'!$B$3&gt;'BASIC INFO'!$B$6+6574.5, C122+730.5&lt;'BASIC INFO'!$B$3), "YES", 'BASIC INFO'!$B$3&lt;('BASIC INFO'!$B$6+6574.5), "NOT YET 18", C122+730.5&gt;'BASIC INFO'!$B$3, "NOT YET 2 YEARS")</f>
        <v>N/A</v>
      </c>
      <c r="I122" s="61" t="str">
        <f>IF(OR(AND(LEFT('CASE DATA'!F123,4)="321.",MID('CASE DATA'!A123,8,2)="SM"),MID('CASE DATA'!A123,8,2)="ST",MID('CASE DATA'!A123,8,2)="NT"),"TRAFFIC",IF(OR('CASE DATA'!G123="DISM", 'CASE DATA'!G123="ACQ", 'CASE DATA'!G123="NOTF", 'CASE DATA'!G123="WTHD", 'CASE DATA'!G123="TNSF"), "YES", "NO"))</f>
        <v>NO</v>
      </c>
      <c r="J122" s="62" t="str">
        <f>IF(I122="YES",'CASE DATA'!T123,"N/A")</f>
        <v>N/A</v>
      </c>
      <c r="K122" s="57" t="str">
        <f>IF(I122="YES",IF(C122+180&lt;'BASIC INFO'!$B$3, "YES", "NO"),"N/A")</f>
        <v>N/A</v>
      </c>
      <c r="L122" s="62" t="str">
        <f t="array" ref="L122">IF(I122="TRAFFIC","n/a",IF(OR('CASE DATA'!G123="GTR", 'CASE DATA'!G123="GPL"),IF(SUM(COUNTIF('CASE DATA'!W123:AH123, 'CODE SECTIONS'!$V$2:$V$218&amp;"*"))&gt;0,"felony","eligible"),"n/a"))</f>
        <v>n/a</v>
      </c>
      <c r="M122" s="62" t="str">
        <f t="array" ref="M122">IF(L122="eligible",IF(OR((SUM(COUNTIF('CASE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62" t="str">
        <f>IF(M122="eligible",IF(COUNTIF('CASE DATA'!$D$4:$D$200, "")-COUNTIF('CASE DATA'!$A$4:$A$200, "")&gt;0, "YES","NO"),"N/A")</f>
        <v>N/A</v>
      </c>
      <c r="O122" s="62" t="str">
        <f>IF(M122="eligible",BANKRUPTCY!C123+BANKRUPTCY!D123,"N/A")</f>
        <v>N/A</v>
      </c>
      <c r="P122" s="62" t="str">
        <f>IF(M122="eligible",SOL!C123+SOL!D123+SOL!E123,"N/A")</f>
        <v>N/A</v>
      </c>
      <c r="Q122" s="62" t="str">
        <f>IF(M122="eligible",SUM('CASE DATA'!J123:S123),"N/A")</f>
        <v>N/A</v>
      </c>
      <c r="R122" s="62" t="str">
        <f>IF(M122="eligible",IF(C122+2920&lt;'BASIC INFO'!$B$3, "YES", "NO"),"N/A")</f>
        <v>N/A</v>
      </c>
      <c r="S122" s="61" t="str">
        <f>IF(OR('CASE DATA'!G123="DEF"), "YES", "NO")</f>
        <v>NO</v>
      </c>
      <c r="T122" s="57" t="str">
        <f>IF(S122="YES",'CASE DATA'!I123,"N/A")</f>
        <v>N/A</v>
      </c>
      <c r="U122" s="62" t="str">
        <f>IF(S122="YES",BANKRUPTCY!C123+BANKRUPTCY!D123,"N/A")</f>
        <v>N/A</v>
      </c>
      <c r="V122" s="62" t="str">
        <f>IF(S122="YES",SUM('CASE DATA'!J123:S123),"N/A")</f>
        <v>N/A</v>
      </c>
      <c r="W122" s="57" t="str">
        <f>IF(OR('CASE DATA'!F123="123.46",'CASE DATA'!F123="123.47"),"YES","NO")</f>
        <v>NO</v>
      </c>
      <c r="X122" s="60" t="str">
        <f>IF(W122="YES",COUNTIFS(AD$3:$AD$200,"&gt;"&amp;('CASE DATA'!D123),$AD$3:$AD$200,"&lt;"&amp;('CASE DATA'!D123+730.5)),"n/a")</f>
        <v>n/a</v>
      </c>
      <c r="Y122" s="62" t="str">
        <f>IF(W122="YES",IF(C122+730.5&lt;'BASIC INFO'!$B$3, "YES","NO"), "N/A")</f>
        <v>N/A</v>
      </c>
      <c r="Z122" s="57" t="str">
        <f>IF('CASE DATA'!F123="725.1","YES","NO")</f>
        <v>NO</v>
      </c>
      <c r="AA122" s="57" t="str">
        <f>IF(Z122="YES",IF(C122+730.5&lt;'BASIC INFO'!$B$3, "YES","NO"), "N/A")</f>
        <v>N/A</v>
      </c>
      <c r="AB122" s="57" t="str">
        <f>IF('BASIC INFO'!$B$6+6574.5&gt;C122, "YES", "NO")</f>
        <v>YES</v>
      </c>
      <c r="AC122" s="57" t="str">
        <f>IF(Z122="YES",COUNTIFS(AD$3:$AD$200,"&gt;"&amp;('CASE DATA'!D123),$AD$3:$AD$200,"&lt;"&amp;('CASE DATA'!D123+730.5)),"n/a")</f>
        <v>n/a</v>
      </c>
    </row>
    <row r="123" spans="1:29" x14ac:dyDescent="0.25">
      <c r="A123" s="57" t="str">
        <f>IF('CASE DATA'!A124="","z",'CASE DATA'!A124)</f>
        <v>z</v>
      </c>
      <c r="B123" s="57" t="str">
        <f>IF('CASE DATA'!A124="","",'CASE DATA'!E124)</f>
        <v/>
      </c>
      <c r="C123" s="58">
        <f>'CASE DATA'!D124</f>
        <v>0</v>
      </c>
      <c r="D123" s="59" t="str">
        <f>IF('CASE DATA'!I124="YES",SUM('CASE DATA'!J124:P124),"n/a")</f>
        <v>n/a</v>
      </c>
      <c r="E123" s="60" t="str">
        <f>IF(OR('CASE DATA'!G124="JUV", 'CASE DATA'!G124="JWV"), "YES", "NO")</f>
        <v>NO</v>
      </c>
      <c r="F123" s="60" t="str">
        <f t="array" ref="F123">IF(E123="YES",IF(SUM(COUNTIF('CASE DATA'!$G$4:$G$200, {"GTR","GPL","DEF","JUV"}))&gt;0, "YES","NO"),"N/A")</f>
        <v>N/A</v>
      </c>
      <c r="G123" s="60" t="str">
        <f>IF(E123="YES",IF(COUNTIF('CASE DATA'!$D$4:$D$200, "")-COUNTIF('CASE DATA'!$A$4:$A$200, "")&gt;0, "YES","NO"),"N/A")</f>
        <v>N/A</v>
      </c>
      <c r="H123" s="57" t="str">
        <f>_xlfn.IFS(E123="NO", "N/A", AND('BASIC INFO'!$B$3&gt;'BASIC INFO'!$B$6+6574.5, C123+730.5&lt;'BASIC INFO'!$B$3), "YES", 'BASIC INFO'!$B$3&lt;('BASIC INFO'!$B$6+6574.5), "NOT YET 18", C123+730.5&gt;'BASIC INFO'!$B$3, "NOT YET 2 YEARS")</f>
        <v>N/A</v>
      </c>
      <c r="I123" s="61" t="str">
        <f>IF(OR(AND(LEFT('CASE DATA'!F124,4)="321.",MID('CASE DATA'!A124,8,2)="SM"),MID('CASE DATA'!A124,8,2)="ST",MID('CASE DATA'!A124,8,2)="NT"),"TRAFFIC",IF(OR('CASE DATA'!G124="DISM", 'CASE DATA'!G124="ACQ", 'CASE DATA'!G124="NOTF", 'CASE DATA'!G124="WTHD", 'CASE DATA'!G124="TNSF"), "YES", "NO"))</f>
        <v>NO</v>
      </c>
      <c r="J123" s="62" t="str">
        <f>IF(I123="YES",'CASE DATA'!T124,"N/A")</f>
        <v>N/A</v>
      </c>
      <c r="K123" s="57" t="str">
        <f>IF(I123="YES",IF(C123+180&lt;'BASIC INFO'!$B$3, "YES", "NO"),"N/A")</f>
        <v>N/A</v>
      </c>
      <c r="L123" s="62" t="str">
        <f t="array" ref="L123">IF(I123="TRAFFIC","n/a",IF(OR('CASE DATA'!G124="GTR", 'CASE DATA'!G124="GPL"),IF(SUM(COUNTIF('CASE DATA'!W124:AH124, 'CODE SECTIONS'!$V$2:$V$218&amp;"*"))&gt;0,"felony","eligible"),"n/a"))</f>
        <v>n/a</v>
      </c>
      <c r="M123" s="62" t="str">
        <f t="array" ref="M123">IF(L123="eligible",IF(OR((SUM(COUNTIF('CASE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62" t="str">
        <f>IF(M123="eligible",IF(COUNTIF('CASE DATA'!$D$4:$D$200, "")-COUNTIF('CASE DATA'!$A$4:$A$200, "")&gt;0, "YES","NO"),"N/A")</f>
        <v>N/A</v>
      </c>
      <c r="O123" s="62" t="str">
        <f>IF(M123="eligible",BANKRUPTCY!C124+BANKRUPTCY!D124,"N/A")</f>
        <v>N/A</v>
      </c>
      <c r="P123" s="62" t="str">
        <f>IF(M123="eligible",SOL!C124+SOL!D124+SOL!E124,"N/A")</f>
        <v>N/A</v>
      </c>
      <c r="Q123" s="62" t="str">
        <f>IF(M123="eligible",SUM('CASE DATA'!J124:S124),"N/A")</f>
        <v>N/A</v>
      </c>
      <c r="R123" s="62" t="str">
        <f>IF(M123="eligible",IF(C123+2920&lt;'BASIC INFO'!$B$3, "YES", "NO"),"N/A")</f>
        <v>N/A</v>
      </c>
      <c r="S123" s="61" t="str">
        <f>IF(OR('CASE DATA'!G124="DEF"), "YES", "NO")</f>
        <v>NO</v>
      </c>
      <c r="T123" s="57" t="str">
        <f>IF(S123="YES",'CASE DATA'!I124,"N/A")</f>
        <v>N/A</v>
      </c>
      <c r="U123" s="62" t="str">
        <f>IF(S123="YES",BANKRUPTCY!C124+BANKRUPTCY!D124,"N/A")</f>
        <v>N/A</v>
      </c>
      <c r="V123" s="62" t="str">
        <f>IF(S123="YES",SUM('CASE DATA'!J124:S124),"N/A")</f>
        <v>N/A</v>
      </c>
      <c r="W123" s="57" t="str">
        <f>IF(OR('CASE DATA'!F124="123.46",'CASE DATA'!F124="123.47"),"YES","NO")</f>
        <v>NO</v>
      </c>
      <c r="X123" s="60" t="str">
        <f>IF(W123="YES",COUNTIFS(AD$3:$AD$200,"&gt;"&amp;('CASE DATA'!D124),$AD$3:$AD$200,"&lt;"&amp;('CASE DATA'!D124+730.5)),"n/a")</f>
        <v>n/a</v>
      </c>
      <c r="Y123" s="62" t="str">
        <f>IF(W123="YES",IF(C123+730.5&lt;'BASIC INFO'!$B$3, "YES","NO"), "N/A")</f>
        <v>N/A</v>
      </c>
      <c r="Z123" s="57" t="str">
        <f>IF('CASE DATA'!F124="725.1","YES","NO")</f>
        <v>NO</v>
      </c>
      <c r="AA123" s="57" t="str">
        <f>IF(Z123="YES",IF(C123+730.5&lt;'BASIC INFO'!$B$3, "YES","NO"), "N/A")</f>
        <v>N/A</v>
      </c>
      <c r="AB123" s="57" t="str">
        <f>IF('BASIC INFO'!$B$6+6574.5&gt;C123, "YES", "NO")</f>
        <v>YES</v>
      </c>
      <c r="AC123" s="57" t="str">
        <f>IF(Z123="YES",COUNTIFS(AD$3:$AD$200,"&gt;"&amp;('CASE DATA'!D124),$AD$3:$AD$200,"&lt;"&amp;('CASE DATA'!D124+730.5)),"n/a")</f>
        <v>n/a</v>
      </c>
    </row>
    <row r="124" spans="1:29" x14ac:dyDescent="0.25">
      <c r="A124" s="57" t="str">
        <f>IF('CASE DATA'!A125="","z",'CASE DATA'!A125)</f>
        <v>z</v>
      </c>
      <c r="B124" s="57" t="str">
        <f>IF('CASE DATA'!A125="","",'CASE DATA'!E125)</f>
        <v/>
      </c>
      <c r="C124" s="58">
        <f>'CASE DATA'!D125</f>
        <v>0</v>
      </c>
      <c r="D124" s="59" t="str">
        <f>IF('CASE DATA'!I125="YES",SUM('CASE DATA'!J125:P125),"n/a")</f>
        <v>n/a</v>
      </c>
      <c r="E124" s="60" t="str">
        <f>IF(OR('CASE DATA'!G125="JUV", 'CASE DATA'!G125="JWV"), "YES", "NO")</f>
        <v>NO</v>
      </c>
      <c r="F124" s="60" t="str">
        <f t="array" ref="F124">IF(E124="YES",IF(SUM(COUNTIF('CASE DATA'!$G$4:$G$200, {"GTR","GPL","DEF","JUV"}))&gt;0, "YES","NO"),"N/A")</f>
        <v>N/A</v>
      </c>
      <c r="G124" s="60" t="str">
        <f>IF(E124="YES",IF(COUNTIF('CASE DATA'!$D$4:$D$200, "")-COUNTIF('CASE DATA'!$A$4:$A$200, "")&gt;0, "YES","NO"),"N/A")</f>
        <v>N/A</v>
      </c>
      <c r="H124" s="57" t="str">
        <f>_xlfn.IFS(E124="NO", "N/A", AND('BASIC INFO'!$B$3&gt;'BASIC INFO'!$B$6+6574.5, C124+730.5&lt;'BASIC INFO'!$B$3), "YES", 'BASIC INFO'!$B$3&lt;('BASIC INFO'!$B$6+6574.5), "NOT YET 18", C124+730.5&gt;'BASIC INFO'!$B$3, "NOT YET 2 YEARS")</f>
        <v>N/A</v>
      </c>
      <c r="I124" s="61" t="str">
        <f>IF(OR(AND(LEFT('CASE DATA'!F125,4)="321.",MID('CASE DATA'!A125,8,2)="SM"),MID('CASE DATA'!A125,8,2)="ST",MID('CASE DATA'!A125,8,2)="NT"),"TRAFFIC",IF(OR('CASE DATA'!G125="DISM", 'CASE DATA'!G125="ACQ", 'CASE DATA'!G125="NOTF", 'CASE DATA'!G125="WTHD", 'CASE DATA'!G125="TNSF"), "YES", "NO"))</f>
        <v>NO</v>
      </c>
      <c r="J124" s="62" t="str">
        <f>IF(I124="YES",'CASE DATA'!T125,"N/A")</f>
        <v>N/A</v>
      </c>
      <c r="K124" s="57" t="str">
        <f>IF(I124="YES",IF(C124+180&lt;'BASIC INFO'!$B$3, "YES", "NO"),"N/A")</f>
        <v>N/A</v>
      </c>
      <c r="L124" s="62" t="str">
        <f t="array" ref="L124">IF(I124="TRAFFIC","n/a",IF(OR('CASE DATA'!G125="GTR", 'CASE DATA'!G125="GPL"),IF(SUM(COUNTIF('CASE DATA'!W125:AH125, 'CODE SECTIONS'!$V$2:$V$218&amp;"*"))&gt;0,"felony","eligible"),"n/a"))</f>
        <v>n/a</v>
      </c>
      <c r="M124" s="62" t="str">
        <f t="array" ref="M124">IF(L124="eligible",IF(OR((SUM(COUNTIF('CASE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62" t="str">
        <f>IF(M124="eligible",IF(COUNTIF('CASE DATA'!$D$4:$D$200, "")-COUNTIF('CASE DATA'!$A$4:$A$200, "")&gt;0, "YES","NO"),"N/A")</f>
        <v>N/A</v>
      </c>
      <c r="O124" s="62" t="str">
        <f>IF(M124="eligible",BANKRUPTCY!C125+BANKRUPTCY!D125,"N/A")</f>
        <v>N/A</v>
      </c>
      <c r="P124" s="62" t="str">
        <f>IF(M124="eligible",SOL!C125+SOL!D125+SOL!E125,"N/A")</f>
        <v>N/A</v>
      </c>
      <c r="Q124" s="62" t="str">
        <f>IF(M124="eligible",SUM('CASE DATA'!J125:S125),"N/A")</f>
        <v>N/A</v>
      </c>
      <c r="R124" s="62" t="str">
        <f>IF(M124="eligible",IF(C124+2920&lt;'BASIC INFO'!$B$3, "YES", "NO"),"N/A")</f>
        <v>N/A</v>
      </c>
      <c r="S124" s="61" t="str">
        <f>IF(OR('CASE DATA'!G125="DEF"), "YES", "NO")</f>
        <v>NO</v>
      </c>
      <c r="T124" s="57" t="str">
        <f>IF(S124="YES",'CASE DATA'!I125,"N/A")</f>
        <v>N/A</v>
      </c>
      <c r="U124" s="62" t="str">
        <f>IF(S124="YES",BANKRUPTCY!C125+BANKRUPTCY!D125,"N/A")</f>
        <v>N/A</v>
      </c>
      <c r="V124" s="62" t="str">
        <f>IF(S124="YES",SUM('CASE DATA'!J125:S125),"N/A")</f>
        <v>N/A</v>
      </c>
      <c r="W124" s="57" t="str">
        <f>IF(OR('CASE DATA'!F125="123.46",'CASE DATA'!F125="123.47"),"YES","NO")</f>
        <v>NO</v>
      </c>
      <c r="X124" s="60" t="str">
        <f>IF(W124="YES",COUNTIFS(AD$3:$AD$200,"&gt;"&amp;('CASE DATA'!D125),$AD$3:$AD$200,"&lt;"&amp;('CASE DATA'!D125+730.5)),"n/a")</f>
        <v>n/a</v>
      </c>
      <c r="Y124" s="62" t="str">
        <f>IF(W124="YES",IF(C124+730.5&lt;'BASIC INFO'!$B$3, "YES","NO"), "N/A")</f>
        <v>N/A</v>
      </c>
      <c r="Z124" s="57" t="str">
        <f>IF('CASE DATA'!F125="725.1","YES","NO")</f>
        <v>NO</v>
      </c>
      <c r="AA124" s="57" t="str">
        <f>IF(Z124="YES",IF(C124+730.5&lt;'BASIC INFO'!$B$3, "YES","NO"), "N/A")</f>
        <v>N/A</v>
      </c>
      <c r="AB124" s="57" t="str">
        <f>IF('BASIC INFO'!$B$6+6574.5&gt;C124, "YES", "NO")</f>
        <v>YES</v>
      </c>
      <c r="AC124" s="57" t="str">
        <f>IF(Z124="YES",COUNTIFS(AD$3:$AD$200,"&gt;"&amp;('CASE DATA'!D125),$AD$3:$AD$200,"&lt;"&amp;('CASE DATA'!D125+730.5)),"n/a")</f>
        <v>n/a</v>
      </c>
    </row>
    <row r="125" spans="1:29" x14ac:dyDescent="0.25">
      <c r="A125" s="57" t="str">
        <f>IF('CASE DATA'!A126="","z",'CASE DATA'!A126)</f>
        <v>z</v>
      </c>
      <c r="B125" s="57" t="str">
        <f>IF('CASE DATA'!A126="","",'CASE DATA'!E126)</f>
        <v/>
      </c>
      <c r="C125" s="58">
        <f>'CASE DATA'!D126</f>
        <v>0</v>
      </c>
      <c r="D125" s="59" t="str">
        <f>IF('CASE DATA'!I126="YES",SUM('CASE DATA'!J126:P126),"n/a")</f>
        <v>n/a</v>
      </c>
      <c r="E125" s="60" t="str">
        <f>IF(OR('CASE DATA'!G126="JUV", 'CASE DATA'!G126="JWV"), "YES", "NO")</f>
        <v>NO</v>
      </c>
      <c r="F125" s="60" t="str">
        <f t="array" ref="F125">IF(E125="YES",IF(SUM(COUNTIF('CASE DATA'!$G$4:$G$200, {"GTR","GPL","DEF","JUV"}))&gt;0, "YES","NO"),"N/A")</f>
        <v>N/A</v>
      </c>
      <c r="G125" s="60" t="str">
        <f>IF(E125="YES",IF(COUNTIF('CASE DATA'!$D$4:$D$200, "")-COUNTIF('CASE DATA'!$A$4:$A$200, "")&gt;0, "YES","NO"),"N/A")</f>
        <v>N/A</v>
      </c>
      <c r="H125" s="57" t="str">
        <f>_xlfn.IFS(E125="NO", "N/A", AND('BASIC INFO'!$B$3&gt;'BASIC INFO'!$B$6+6574.5, C125+730.5&lt;'BASIC INFO'!$B$3), "YES", 'BASIC INFO'!$B$3&lt;('BASIC INFO'!$B$6+6574.5), "NOT YET 18", C125+730.5&gt;'BASIC INFO'!$B$3, "NOT YET 2 YEARS")</f>
        <v>N/A</v>
      </c>
      <c r="I125" s="61" t="str">
        <f>IF(OR(AND(LEFT('CASE DATA'!F126,4)="321.",MID('CASE DATA'!A126,8,2)="SM"),MID('CASE DATA'!A126,8,2)="ST",MID('CASE DATA'!A126,8,2)="NT"),"TRAFFIC",IF(OR('CASE DATA'!G126="DISM", 'CASE DATA'!G126="ACQ", 'CASE DATA'!G126="NOTF", 'CASE DATA'!G126="WTHD", 'CASE DATA'!G126="TNSF"), "YES", "NO"))</f>
        <v>NO</v>
      </c>
      <c r="J125" s="62" t="str">
        <f>IF(I125="YES",'CASE DATA'!T126,"N/A")</f>
        <v>N/A</v>
      </c>
      <c r="K125" s="57" t="str">
        <f>IF(I125="YES",IF(C125+180&lt;'BASIC INFO'!$B$3, "YES", "NO"),"N/A")</f>
        <v>N/A</v>
      </c>
      <c r="L125" s="62" t="str">
        <f t="array" ref="L125">IF(I125="TRAFFIC","n/a",IF(OR('CASE DATA'!G126="GTR", 'CASE DATA'!G126="GPL"),IF(SUM(COUNTIF('CASE DATA'!W126:AH126, 'CODE SECTIONS'!$V$2:$V$218&amp;"*"))&gt;0,"felony","eligible"),"n/a"))</f>
        <v>n/a</v>
      </c>
      <c r="M125" s="62" t="str">
        <f t="array" ref="M125">IF(L125="eligible",IF(OR((SUM(COUNTIF('CASE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62" t="str">
        <f>IF(M125="eligible",IF(COUNTIF('CASE DATA'!$D$4:$D$200, "")-COUNTIF('CASE DATA'!$A$4:$A$200, "")&gt;0, "YES","NO"),"N/A")</f>
        <v>N/A</v>
      </c>
      <c r="O125" s="62" t="str">
        <f>IF(M125="eligible",BANKRUPTCY!C126+BANKRUPTCY!D126,"N/A")</f>
        <v>N/A</v>
      </c>
      <c r="P125" s="62" t="str">
        <f>IF(M125="eligible",SOL!C126+SOL!D126+SOL!E126,"N/A")</f>
        <v>N/A</v>
      </c>
      <c r="Q125" s="62" t="str">
        <f>IF(M125="eligible",SUM('CASE DATA'!J126:S126),"N/A")</f>
        <v>N/A</v>
      </c>
      <c r="R125" s="62" t="str">
        <f>IF(M125="eligible",IF(C125+2920&lt;'BASIC INFO'!$B$3, "YES", "NO"),"N/A")</f>
        <v>N/A</v>
      </c>
      <c r="S125" s="61" t="str">
        <f>IF(OR('CASE DATA'!G126="DEF"), "YES", "NO")</f>
        <v>NO</v>
      </c>
      <c r="T125" s="57" t="str">
        <f>IF(S125="YES",'CASE DATA'!I126,"N/A")</f>
        <v>N/A</v>
      </c>
      <c r="U125" s="62" t="str">
        <f>IF(S125="YES",BANKRUPTCY!C126+BANKRUPTCY!D126,"N/A")</f>
        <v>N/A</v>
      </c>
      <c r="V125" s="62" t="str">
        <f>IF(S125="YES",SUM('CASE DATA'!J126:S126),"N/A")</f>
        <v>N/A</v>
      </c>
      <c r="W125" s="57" t="str">
        <f>IF(OR('CASE DATA'!F126="123.46",'CASE DATA'!F126="123.47"),"YES","NO")</f>
        <v>NO</v>
      </c>
      <c r="X125" s="60" t="str">
        <f>IF(W125="YES",COUNTIFS(AD$3:$AD$200,"&gt;"&amp;('CASE DATA'!D126),$AD$3:$AD$200,"&lt;"&amp;('CASE DATA'!D126+730.5)),"n/a")</f>
        <v>n/a</v>
      </c>
      <c r="Y125" s="62" t="str">
        <f>IF(W125="YES",IF(C125+730.5&lt;'BASIC INFO'!$B$3, "YES","NO"), "N/A")</f>
        <v>N/A</v>
      </c>
      <c r="Z125" s="57" t="str">
        <f>IF('CASE DATA'!F126="725.1","YES","NO")</f>
        <v>NO</v>
      </c>
      <c r="AA125" s="57" t="str">
        <f>IF(Z125="YES",IF(C125+730.5&lt;'BASIC INFO'!$B$3, "YES","NO"), "N/A")</f>
        <v>N/A</v>
      </c>
      <c r="AB125" s="57" t="str">
        <f>IF('BASIC INFO'!$B$6+6574.5&gt;C125, "YES", "NO")</f>
        <v>YES</v>
      </c>
      <c r="AC125" s="57" t="str">
        <f>IF(Z125="YES",COUNTIFS(AD$3:$AD$200,"&gt;"&amp;('CASE DATA'!D126),$AD$3:$AD$200,"&lt;"&amp;('CASE DATA'!D126+730.5)),"n/a")</f>
        <v>n/a</v>
      </c>
    </row>
    <row r="126" spans="1:29" x14ac:dyDescent="0.25">
      <c r="A126" s="57" t="str">
        <f>IF('CASE DATA'!A127="","z",'CASE DATA'!A127)</f>
        <v>z</v>
      </c>
      <c r="B126" s="57" t="str">
        <f>IF('CASE DATA'!A127="","",'CASE DATA'!E127)</f>
        <v/>
      </c>
      <c r="C126" s="58">
        <f>'CASE DATA'!D127</f>
        <v>0</v>
      </c>
      <c r="D126" s="59" t="str">
        <f>IF('CASE DATA'!I127="YES",SUM('CASE DATA'!J127:P127),"n/a")</f>
        <v>n/a</v>
      </c>
      <c r="E126" s="60" t="str">
        <f>IF(OR('CASE DATA'!G127="JUV", 'CASE DATA'!G127="JWV"), "YES", "NO")</f>
        <v>NO</v>
      </c>
      <c r="F126" s="60" t="str">
        <f t="array" ref="F126">IF(E126="YES",IF(SUM(COUNTIF('CASE DATA'!$G$4:$G$200, {"GTR","GPL","DEF","JUV"}))&gt;0, "YES","NO"),"N/A")</f>
        <v>N/A</v>
      </c>
      <c r="G126" s="60" t="str">
        <f>IF(E126="YES",IF(COUNTIF('CASE DATA'!$D$4:$D$200, "")-COUNTIF('CASE DATA'!$A$4:$A$200, "")&gt;0, "YES","NO"),"N/A")</f>
        <v>N/A</v>
      </c>
      <c r="H126" s="57" t="str">
        <f>_xlfn.IFS(E126="NO", "N/A", AND('BASIC INFO'!$B$3&gt;'BASIC INFO'!$B$6+6574.5, C126+730.5&lt;'BASIC INFO'!$B$3), "YES", 'BASIC INFO'!$B$3&lt;('BASIC INFO'!$B$6+6574.5), "NOT YET 18", C126+730.5&gt;'BASIC INFO'!$B$3, "NOT YET 2 YEARS")</f>
        <v>N/A</v>
      </c>
      <c r="I126" s="61" t="str">
        <f>IF(OR(AND(LEFT('CASE DATA'!F127,4)="321.",MID('CASE DATA'!A127,8,2)="SM"),MID('CASE DATA'!A127,8,2)="ST",MID('CASE DATA'!A127,8,2)="NT"),"TRAFFIC",IF(OR('CASE DATA'!G127="DISM", 'CASE DATA'!G127="ACQ", 'CASE DATA'!G127="NOTF", 'CASE DATA'!G127="WTHD", 'CASE DATA'!G127="TNSF"), "YES", "NO"))</f>
        <v>NO</v>
      </c>
      <c r="J126" s="62" t="str">
        <f>IF(I126="YES",'CASE DATA'!T127,"N/A")</f>
        <v>N/A</v>
      </c>
      <c r="K126" s="57" t="str">
        <f>IF(I126="YES",IF(C126+180&lt;'BASIC INFO'!$B$3, "YES", "NO"),"N/A")</f>
        <v>N/A</v>
      </c>
      <c r="L126" s="62" t="str">
        <f t="array" ref="L126">IF(I126="TRAFFIC","n/a",IF(OR('CASE DATA'!G127="GTR", 'CASE DATA'!G127="GPL"),IF(SUM(COUNTIF('CASE DATA'!W127:AH127, 'CODE SECTIONS'!$V$2:$V$218&amp;"*"))&gt;0,"felony","eligible"),"n/a"))</f>
        <v>n/a</v>
      </c>
      <c r="M126" s="62" t="str">
        <f t="array" ref="M126">IF(L126="eligible",IF(OR((SUM(COUNTIF('CASE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62" t="str">
        <f>IF(M126="eligible",IF(COUNTIF('CASE DATA'!$D$4:$D$200, "")-COUNTIF('CASE DATA'!$A$4:$A$200, "")&gt;0, "YES","NO"),"N/A")</f>
        <v>N/A</v>
      </c>
      <c r="O126" s="62" t="str">
        <f>IF(M126="eligible",BANKRUPTCY!C127+BANKRUPTCY!D127,"N/A")</f>
        <v>N/A</v>
      </c>
      <c r="P126" s="62" t="str">
        <f>IF(M126="eligible",SOL!C127+SOL!D127+SOL!E127,"N/A")</f>
        <v>N/A</v>
      </c>
      <c r="Q126" s="62" t="str">
        <f>IF(M126="eligible",SUM('CASE DATA'!J127:S127),"N/A")</f>
        <v>N/A</v>
      </c>
      <c r="R126" s="62" t="str">
        <f>IF(M126="eligible",IF(C126+2920&lt;'BASIC INFO'!$B$3, "YES", "NO"),"N/A")</f>
        <v>N/A</v>
      </c>
      <c r="S126" s="61" t="str">
        <f>IF(OR('CASE DATA'!G127="DEF"), "YES", "NO")</f>
        <v>NO</v>
      </c>
      <c r="T126" s="57" t="str">
        <f>IF(S126="YES",'CASE DATA'!I127,"N/A")</f>
        <v>N/A</v>
      </c>
      <c r="U126" s="62" t="str">
        <f>IF(S126="YES",BANKRUPTCY!C127+BANKRUPTCY!D127,"N/A")</f>
        <v>N/A</v>
      </c>
      <c r="V126" s="62" t="str">
        <f>IF(S126="YES",SUM('CASE DATA'!J127:S127),"N/A")</f>
        <v>N/A</v>
      </c>
      <c r="W126" s="57" t="str">
        <f>IF(OR('CASE DATA'!F127="123.46",'CASE DATA'!F127="123.47"),"YES","NO")</f>
        <v>NO</v>
      </c>
      <c r="X126" s="60" t="str">
        <f>IF(W126="YES",COUNTIFS(AD$3:$AD$200,"&gt;"&amp;('CASE DATA'!D127),$AD$3:$AD$200,"&lt;"&amp;('CASE DATA'!D127+730.5)),"n/a")</f>
        <v>n/a</v>
      </c>
      <c r="Y126" s="62" t="str">
        <f>IF(W126="YES",IF(C126+730.5&lt;'BASIC INFO'!$B$3, "YES","NO"), "N/A")</f>
        <v>N/A</v>
      </c>
      <c r="Z126" s="57" t="str">
        <f>IF('CASE DATA'!F127="725.1","YES","NO")</f>
        <v>NO</v>
      </c>
      <c r="AA126" s="57" t="str">
        <f>IF(Z126="YES",IF(C126+730.5&lt;'BASIC INFO'!$B$3, "YES","NO"), "N/A")</f>
        <v>N/A</v>
      </c>
      <c r="AB126" s="57" t="str">
        <f>IF('BASIC INFO'!$B$6+6574.5&gt;C126, "YES", "NO")</f>
        <v>YES</v>
      </c>
      <c r="AC126" s="57" t="str">
        <f>IF(Z126="YES",COUNTIFS(AD$3:$AD$200,"&gt;"&amp;('CASE DATA'!D127),$AD$3:$AD$200,"&lt;"&amp;('CASE DATA'!D127+730.5)),"n/a")</f>
        <v>n/a</v>
      </c>
    </row>
    <row r="127" spans="1:29" x14ac:dyDescent="0.25">
      <c r="A127" s="57" t="str">
        <f>IF('CASE DATA'!A128="","z",'CASE DATA'!A128)</f>
        <v>z</v>
      </c>
      <c r="B127" s="57" t="str">
        <f>IF('CASE DATA'!A128="","",'CASE DATA'!E128)</f>
        <v/>
      </c>
      <c r="C127" s="58">
        <f>'CASE DATA'!D128</f>
        <v>0</v>
      </c>
      <c r="D127" s="59" t="str">
        <f>IF('CASE DATA'!I128="YES",SUM('CASE DATA'!J128:P128),"n/a")</f>
        <v>n/a</v>
      </c>
      <c r="E127" s="60" t="str">
        <f>IF(OR('CASE DATA'!G128="JUV", 'CASE DATA'!G128="JWV"), "YES", "NO")</f>
        <v>NO</v>
      </c>
      <c r="F127" s="60" t="str">
        <f t="array" ref="F127">IF(E127="YES",IF(SUM(COUNTIF('CASE DATA'!$G$4:$G$200, {"GTR","GPL","DEF","JUV"}))&gt;0, "YES","NO"),"N/A")</f>
        <v>N/A</v>
      </c>
      <c r="G127" s="60" t="str">
        <f>IF(E127="YES",IF(COUNTIF('CASE DATA'!$D$4:$D$200, "")-COUNTIF('CASE DATA'!$A$4:$A$200, "")&gt;0, "YES","NO"),"N/A")</f>
        <v>N/A</v>
      </c>
      <c r="H127" s="57" t="str">
        <f>_xlfn.IFS(E127="NO", "N/A", AND('BASIC INFO'!$B$3&gt;'BASIC INFO'!$B$6+6574.5, C127+730.5&lt;'BASIC INFO'!$B$3), "YES", 'BASIC INFO'!$B$3&lt;('BASIC INFO'!$B$6+6574.5), "NOT YET 18", C127+730.5&gt;'BASIC INFO'!$B$3, "NOT YET 2 YEARS")</f>
        <v>N/A</v>
      </c>
      <c r="I127" s="61" t="str">
        <f>IF(OR(AND(LEFT('CASE DATA'!F128,4)="321.",MID('CASE DATA'!A128,8,2)="SM"),MID('CASE DATA'!A128,8,2)="ST",MID('CASE DATA'!A128,8,2)="NT"),"TRAFFIC",IF(OR('CASE DATA'!G128="DISM", 'CASE DATA'!G128="ACQ", 'CASE DATA'!G128="NOTF", 'CASE DATA'!G128="WTHD", 'CASE DATA'!G128="TNSF"), "YES", "NO"))</f>
        <v>NO</v>
      </c>
      <c r="J127" s="62" t="str">
        <f>IF(I127="YES",'CASE DATA'!T128,"N/A")</f>
        <v>N/A</v>
      </c>
      <c r="K127" s="57" t="str">
        <f>IF(I127="YES",IF(C127+180&lt;'BASIC INFO'!$B$3, "YES", "NO"),"N/A")</f>
        <v>N/A</v>
      </c>
      <c r="L127" s="62" t="str">
        <f t="array" ref="L127">IF(I127="TRAFFIC","n/a",IF(OR('CASE DATA'!G128="GTR", 'CASE DATA'!G128="GPL"),IF(SUM(COUNTIF('CASE DATA'!W128:AH128, 'CODE SECTIONS'!$V$2:$V$218&amp;"*"))&gt;0,"felony","eligible"),"n/a"))</f>
        <v>n/a</v>
      </c>
      <c r="M127" s="62" t="str">
        <f t="array" ref="M127">IF(L127="eligible",IF(OR((SUM(COUNTIF('CASE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62" t="str">
        <f>IF(M127="eligible",IF(COUNTIF('CASE DATA'!$D$4:$D$200, "")-COUNTIF('CASE DATA'!$A$4:$A$200, "")&gt;0, "YES","NO"),"N/A")</f>
        <v>N/A</v>
      </c>
      <c r="O127" s="62" t="str">
        <f>IF(M127="eligible",BANKRUPTCY!C128+BANKRUPTCY!D128,"N/A")</f>
        <v>N/A</v>
      </c>
      <c r="P127" s="62" t="str">
        <f>IF(M127="eligible",SOL!C128+SOL!D128+SOL!E128,"N/A")</f>
        <v>N/A</v>
      </c>
      <c r="Q127" s="62" t="str">
        <f>IF(M127="eligible",SUM('CASE DATA'!J128:S128),"N/A")</f>
        <v>N/A</v>
      </c>
      <c r="R127" s="62" t="str">
        <f>IF(M127="eligible",IF(C127+2920&lt;'BASIC INFO'!$B$3, "YES", "NO"),"N/A")</f>
        <v>N/A</v>
      </c>
      <c r="S127" s="61" t="str">
        <f>IF(OR('CASE DATA'!G128="DEF"), "YES", "NO")</f>
        <v>NO</v>
      </c>
      <c r="T127" s="57" t="str">
        <f>IF(S127="YES",'CASE DATA'!I128,"N/A")</f>
        <v>N/A</v>
      </c>
      <c r="U127" s="62" t="str">
        <f>IF(S127="YES",BANKRUPTCY!C128+BANKRUPTCY!D128,"N/A")</f>
        <v>N/A</v>
      </c>
      <c r="V127" s="62" t="str">
        <f>IF(S127="YES",SUM('CASE DATA'!J128:S128),"N/A")</f>
        <v>N/A</v>
      </c>
      <c r="W127" s="57" t="str">
        <f>IF(OR('CASE DATA'!F128="123.46",'CASE DATA'!F128="123.47"),"YES","NO")</f>
        <v>NO</v>
      </c>
      <c r="X127" s="60" t="str">
        <f>IF(W127="YES",COUNTIFS(AD$3:$AD$200,"&gt;"&amp;('CASE DATA'!D128),$AD$3:$AD$200,"&lt;"&amp;('CASE DATA'!D128+730.5)),"n/a")</f>
        <v>n/a</v>
      </c>
      <c r="Y127" s="62" t="str">
        <f>IF(W127="YES",IF(C127+730.5&lt;'BASIC INFO'!$B$3, "YES","NO"), "N/A")</f>
        <v>N/A</v>
      </c>
      <c r="Z127" s="57" t="str">
        <f>IF('CASE DATA'!F128="725.1","YES","NO")</f>
        <v>NO</v>
      </c>
      <c r="AA127" s="57" t="str">
        <f>IF(Z127="YES",IF(C127+730.5&lt;'BASIC INFO'!$B$3, "YES","NO"), "N/A")</f>
        <v>N/A</v>
      </c>
      <c r="AB127" s="57" t="str">
        <f>IF('BASIC INFO'!$B$6+6574.5&gt;C127, "YES", "NO")</f>
        <v>YES</v>
      </c>
      <c r="AC127" s="57" t="str">
        <f>IF(Z127="YES",COUNTIFS(AD$3:$AD$200,"&gt;"&amp;('CASE DATA'!D128),$AD$3:$AD$200,"&lt;"&amp;('CASE DATA'!D128+730.5)),"n/a")</f>
        <v>n/a</v>
      </c>
    </row>
    <row r="128" spans="1:29" x14ac:dyDescent="0.25">
      <c r="A128" s="57" t="str">
        <f>IF('CASE DATA'!A129="","z",'CASE DATA'!A129)</f>
        <v>z</v>
      </c>
      <c r="B128" s="57" t="str">
        <f>IF('CASE DATA'!A129="","",'CASE DATA'!E129)</f>
        <v/>
      </c>
      <c r="C128" s="58">
        <f>'CASE DATA'!D129</f>
        <v>0</v>
      </c>
      <c r="D128" s="59" t="str">
        <f>IF('CASE DATA'!I129="YES",SUM('CASE DATA'!J129:P129),"n/a")</f>
        <v>n/a</v>
      </c>
      <c r="E128" s="60" t="str">
        <f>IF(OR('CASE DATA'!G129="JUV", 'CASE DATA'!G129="JWV"), "YES", "NO")</f>
        <v>NO</v>
      </c>
      <c r="F128" s="60" t="str">
        <f t="array" ref="F128">IF(E128="YES",IF(SUM(COUNTIF('CASE DATA'!$G$4:$G$200, {"GTR","GPL","DEF","JUV"}))&gt;0, "YES","NO"),"N/A")</f>
        <v>N/A</v>
      </c>
      <c r="G128" s="60" t="str">
        <f>IF(E128="YES",IF(COUNTIF('CASE DATA'!$D$4:$D$200, "")-COUNTIF('CASE DATA'!$A$4:$A$200, "")&gt;0, "YES","NO"),"N/A")</f>
        <v>N/A</v>
      </c>
      <c r="H128" s="57" t="str">
        <f>_xlfn.IFS(E128="NO", "N/A", AND('BASIC INFO'!$B$3&gt;'BASIC INFO'!$B$6+6574.5, C128+730.5&lt;'BASIC INFO'!$B$3), "YES", 'BASIC INFO'!$B$3&lt;('BASIC INFO'!$B$6+6574.5), "NOT YET 18", C128+730.5&gt;'BASIC INFO'!$B$3, "NOT YET 2 YEARS")</f>
        <v>N/A</v>
      </c>
      <c r="I128" s="61" t="str">
        <f>IF(OR(AND(LEFT('CASE DATA'!F129,4)="321.",MID('CASE DATA'!A129,8,2)="SM"),MID('CASE DATA'!A129,8,2)="ST",MID('CASE DATA'!A129,8,2)="NT"),"TRAFFIC",IF(OR('CASE DATA'!G129="DISM", 'CASE DATA'!G129="ACQ", 'CASE DATA'!G129="NOTF", 'CASE DATA'!G129="WTHD", 'CASE DATA'!G129="TNSF"), "YES", "NO"))</f>
        <v>NO</v>
      </c>
      <c r="J128" s="62" t="str">
        <f>IF(I128="YES",'CASE DATA'!T129,"N/A")</f>
        <v>N/A</v>
      </c>
      <c r="K128" s="57" t="str">
        <f>IF(I128="YES",IF(C128+180&lt;'BASIC INFO'!$B$3, "YES", "NO"),"N/A")</f>
        <v>N/A</v>
      </c>
      <c r="L128" s="62" t="str">
        <f t="array" ref="L128">IF(I128="TRAFFIC","n/a",IF(OR('CASE DATA'!G129="GTR", 'CASE DATA'!G129="GPL"),IF(SUM(COUNTIF('CASE DATA'!W129:AH129, 'CODE SECTIONS'!$V$2:$V$218&amp;"*"))&gt;0,"felony","eligible"),"n/a"))</f>
        <v>n/a</v>
      </c>
      <c r="M128" s="62" t="str">
        <f t="array" ref="M128">IF(L128="eligible",IF(OR((SUM(COUNTIF('CASE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62" t="str">
        <f>IF(M128="eligible",IF(COUNTIF('CASE DATA'!$D$4:$D$200, "")-COUNTIF('CASE DATA'!$A$4:$A$200, "")&gt;0, "YES","NO"),"N/A")</f>
        <v>N/A</v>
      </c>
      <c r="O128" s="62" t="str">
        <f>IF(M128="eligible",BANKRUPTCY!C129+BANKRUPTCY!D129,"N/A")</f>
        <v>N/A</v>
      </c>
      <c r="P128" s="62" t="str">
        <f>IF(M128="eligible",SOL!C129+SOL!D129+SOL!E129,"N/A")</f>
        <v>N/A</v>
      </c>
      <c r="Q128" s="62" t="str">
        <f>IF(M128="eligible",SUM('CASE DATA'!J129:S129),"N/A")</f>
        <v>N/A</v>
      </c>
      <c r="R128" s="62" t="str">
        <f>IF(M128="eligible",IF(C128+2920&lt;'BASIC INFO'!$B$3, "YES", "NO"),"N/A")</f>
        <v>N/A</v>
      </c>
      <c r="S128" s="61" t="str">
        <f>IF(OR('CASE DATA'!G129="DEF"), "YES", "NO")</f>
        <v>NO</v>
      </c>
      <c r="T128" s="57" t="str">
        <f>IF(S128="YES",'CASE DATA'!I129,"N/A")</f>
        <v>N/A</v>
      </c>
      <c r="U128" s="62" t="str">
        <f>IF(S128="YES",BANKRUPTCY!C129+BANKRUPTCY!D129,"N/A")</f>
        <v>N/A</v>
      </c>
      <c r="V128" s="62" t="str">
        <f>IF(S128="YES",SUM('CASE DATA'!J129:S129),"N/A")</f>
        <v>N/A</v>
      </c>
      <c r="W128" s="57" t="str">
        <f>IF(OR('CASE DATA'!F129="123.46",'CASE DATA'!F129="123.47"),"YES","NO")</f>
        <v>NO</v>
      </c>
      <c r="X128" s="60" t="str">
        <f>IF(W128="YES",COUNTIFS(AD$3:$AD$200,"&gt;"&amp;('CASE DATA'!D129),$AD$3:$AD$200,"&lt;"&amp;('CASE DATA'!D129+730.5)),"n/a")</f>
        <v>n/a</v>
      </c>
      <c r="Y128" s="62" t="str">
        <f>IF(W128="YES",IF(C128+730.5&lt;'BASIC INFO'!$B$3, "YES","NO"), "N/A")</f>
        <v>N/A</v>
      </c>
      <c r="Z128" s="57" t="str">
        <f>IF('CASE DATA'!F129="725.1","YES","NO")</f>
        <v>NO</v>
      </c>
      <c r="AA128" s="57" t="str">
        <f>IF(Z128="YES",IF(C128+730.5&lt;'BASIC INFO'!$B$3, "YES","NO"), "N/A")</f>
        <v>N/A</v>
      </c>
      <c r="AB128" s="57" t="str">
        <f>IF('BASIC INFO'!$B$6+6574.5&gt;C128, "YES", "NO")</f>
        <v>YES</v>
      </c>
      <c r="AC128" s="57" t="str">
        <f>IF(Z128="YES",COUNTIFS(AD$3:$AD$200,"&gt;"&amp;('CASE DATA'!D129),$AD$3:$AD$200,"&lt;"&amp;('CASE DATA'!D129+730.5)),"n/a")</f>
        <v>n/a</v>
      </c>
    </row>
    <row r="129" spans="1:29" x14ac:dyDescent="0.25">
      <c r="A129" s="57" t="str">
        <f>IF('CASE DATA'!A130="","z",'CASE DATA'!A130)</f>
        <v>z</v>
      </c>
      <c r="B129" s="57" t="str">
        <f>IF('CASE DATA'!A130="","",'CASE DATA'!E130)</f>
        <v/>
      </c>
      <c r="C129" s="58">
        <f>'CASE DATA'!D130</f>
        <v>0</v>
      </c>
      <c r="D129" s="59" t="str">
        <f>IF('CASE DATA'!I130="YES",SUM('CASE DATA'!J130:P130),"n/a")</f>
        <v>n/a</v>
      </c>
      <c r="E129" s="60" t="str">
        <f>IF(OR('CASE DATA'!G130="JUV", 'CASE DATA'!G130="JWV"), "YES", "NO")</f>
        <v>NO</v>
      </c>
      <c r="F129" s="60" t="str">
        <f t="array" ref="F129">IF(E129="YES",IF(SUM(COUNTIF('CASE DATA'!$G$4:$G$200, {"GTR","GPL","DEF","JUV"}))&gt;0, "YES","NO"),"N/A")</f>
        <v>N/A</v>
      </c>
      <c r="G129" s="60" t="str">
        <f>IF(E129="YES",IF(COUNTIF('CASE DATA'!$D$4:$D$200, "")-COUNTIF('CASE DATA'!$A$4:$A$200, "")&gt;0, "YES","NO"),"N/A")</f>
        <v>N/A</v>
      </c>
      <c r="H129" s="57" t="str">
        <f>_xlfn.IFS(E129="NO", "N/A", AND('BASIC INFO'!$B$3&gt;'BASIC INFO'!$B$6+6574.5, C129+730.5&lt;'BASIC INFO'!$B$3), "YES", 'BASIC INFO'!$B$3&lt;('BASIC INFO'!$B$6+6574.5), "NOT YET 18", C129+730.5&gt;'BASIC INFO'!$B$3, "NOT YET 2 YEARS")</f>
        <v>N/A</v>
      </c>
      <c r="I129" s="61" t="str">
        <f>IF(OR(AND(LEFT('CASE DATA'!F130,4)="321.",MID('CASE DATA'!A130,8,2)="SM"),MID('CASE DATA'!A130,8,2)="ST",MID('CASE DATA'!A130,8,2)="NT"),"TRAFFIC",IF(OR('CASE DATA'!G130="DISM", 'CASE DATA'!G130="ACQ", 'CASE DATA'!G130="NOTF", 'CASE DATA'!G130="WTHD", 'CASE DATA'!G130="TNSF"), "YES", "NO"))</f>
        <v>NO</v>
      </c>
      <c r="J129" s="62" t="str">
        <f>IF(I129="YES",'CASE DATA'!T130,"N/A")</f>
        <v>N/A</v>
      </c>
      <c r="K129" s="57" t="str">
        <f>IF(I129="YES",IF(C129+180&lt;'BASIC INFO'!$B$3, "YES", "NO"),"N/A")</f>
        <v>N/A</v>
      </c>
      <c r="L129" s="62" t="str">
        <f t="array" ref="L129">IF(I129="TRAFFIC","n/a",IF(OR('CASE DATA'!G130="GTR", 'CASE DATA'!G130="GPL"),IF(SUM(COUNTIF('CASE DATA'!W130:AH130, 'CODE SECTIONS'!$V$2:$V$218&amp;"*"))&gt;0,"felony","eligible"),"n/a"))</f>
        <v>n/a</v>
      </c>
      <c r="M129" s="62" t="str">
        <f t="array" ref="M129">IF(L129="eligible",IF(OR((SUM(COUNTIF('CASE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62" t="str">
        <f>IF(M129="eligible",IF(COUNTIF('CASE DATA'!$D$4:$D$200, "")-COUNTIF('CASE DATA'!$A$4:$A$200, "")&gt;0, "YES","NO"),"N/A")</f>
        <v>N/A</v>
      </c>
      <c r="O129" s="62" t="str">
        <f>IF(M129="eligible",BANKRUPTCY!C130+BANKRUPTCY!D130,"N/A")</f>
        <v>N/A</v>
      </c>
      <c r="P129" s="62" t="str">
        <f>IF(M129="eligible",SOL!C130+SOL!D130+SOL!E130,"N/A")</f>
        <v>N/A</v>
      </c>
      <c r="Q129" s="62" t="str">
        <f>IF(M129="eligible",SUM('CASE DATA'!J130:S130),"N/A")</f>
        <v>N/A</v>
      </c>
      <c r="R129" s="62" t="str">
        <f>IF(M129="eligible",IF(C129+2920&lt;'BASIC INFO'!$B$3, "YES", "NO"),"N/A")</f>
        <v>N/A</v>
      </c>
      <c r="S129" s="61" t="str">
        <f>IF(OR('CASE DATA'!G130="DEF"), "YES", "NO")</f>
        <v>NO</v>
      </c>
      <c r="T129" s="57" t="str">
        <f>IF(S129="YES",'CASE DATA'!I130,"N/A")</f>
        <v>N/A</v>
      </c>
      <c r="U129" s="62" t="str">
        <f>IF(S129="YES",BANKRUPTCY!C130+BANKRUPTCY!D130,"N/A")</f>
        <v>N/A</v>
      </c>
      <c r="V129" s="62" t="str">
        <f>IF(S129="YES",SUM('CASE DATA'!J130:S130),"N/A")</f>
        <v>N/A</v>
      </c>
      <c r="W129" s="57" t="str">
        <f>IF(OR('CASE DATA'!F130="123.46",'CASE DATA'!F130="123.47"),"YES","NO")</f>
        <v>NO</v>
      </c>
      <c r="X129" s="60" t="str">
        <f>IF(W129="YES",COUNTIFS(AD$3:$AD$200,"&gt;"&amp;('CASE DATA'!D130),$AD$3:$AD$200,"&lt;"&amp;('CASE DATA'!D130+730.5)),"n/a")</f>
        <v>n/a</v>
      </c>
      <c r="Y129" s="62" t="str">
        <f>IF(W129="YES",IF(C129+730.5&lt;'BASIC INFO'!$B$3, "YES","NO"), "N/A")</f>
        <v>N/A</v>
      </c>
      <c r="Z129" s="57" t="str">
        <f>IF('CASE DATA'!F130="725.1","YES","NO")</f>
        <v>NO</v>
      </c>
      <c r="AA129" s="57" t="str">
        <f>IF(Z129="YES",IF(C129+730.5&lt;'BASIC INFO'!$B$3, "YES","NO"), "N/A")</f>
        <v>N/A</v>
      </c>
      <c r="AB129" s="57" t="str">
        <f>IF('BASIC INFO'!$B$6+6574.5&gt;C129, "YES", "NO")</f>
        <v>YES</v>
      </c>
      <c r="AC129" s="57" t="str">
        <f>IF(Z129="YES",COUNTIFS(AD$3:$AD$200,"&gt;"&amp;('CASE DATA'!D130),$AD$3:$AD$200,"&lt;"&amp;('CASE DATA'!D130+730.5)),"n/a")</f>
        <v>n/a</v>
      </c>
    </row>
    <row r="130" spans="1:29" x14ac:dyDescent="0.25">
      <c r="A130" s="57" t="str">
        <f>IF('CASE DATA'!A131="","z",'CASE DATA'!A131)</f>
        <v>z</v>
      </c>
      <c r="B130" s="57" t="str">
        <f>IF('CASE DATA'!A131="","",'CASE DATA'!E131)</f>
        <v/>
      </c>
      <c r="C130" s="58">
        <f>'CASE DATA'!D131</f>
        <v>0</v>
      </c>
      <c r="D130" s="59" t="str">
        <f>IF('CASE DATA'!I131="YES",SUM('CASE DATA'!J131:P131),"n/a")</f>
        <v>n/a</v>
      </c>
      <c r="E130" s="60" t="str">
        <f>IF(OR('CASE DATA'!G131="JUV", 'CASE DATA'!G131="JWV"), "YES", "NO")</f>
        <v>NO</v>
      </c>
      <c r="F130" s="60" t="str">
        <f t="array" ref="F130">IF(E130="YES",IF(SUM(COUNTIF('CASE DATA'!$G$4:$G$200, {"GTR","GPL","DEF","JUV"}))&gt;0, "YES","NO"),"N/A")</f>
        <v>N/A</v>
      </c>
      <c r="G130" s="60" t="str">
        <f>IF(E130="YES",IF(COUNTIF('CASE DATA'!$D$4:$D$200, "")-COUNTIF('CASE DATA'!$A$4:$A$200, "")&gt;0, "YES","NO"),"N/A")</f>
        <v>N/A</v>
      </c>
      <c r="H130" s="57" t="str">
        <f>_xlfn.IFS(E130="NO", "N/A", AND('BASIC INFO'!$B$3&gt;'BASIC INFO'!$B$6+6574.5, C130+730.5&lt;'BASIC INFO'!$B$3), "YES", 'BASIC INFO'!$B$3&lt;('BASIC INFO'!$B$6+6574.5), "NOT YET 18", C130+730.5&gt;'BASIC INFO'!$B$3, "NOT YET 2 YEARS")</f>
        <v>N/A</v>
      </c>
      <c r="I130" s="61" t="str">
        <f>IF(OR(AND(LEFT('CASE DATA'!F131,4)="321.",MID('CASE DATA'!A131,8,2)="SM"),MID('CASE DATA'!A131,8,2)="ST",MID('CASE DATA'!A131,8,2)="NT"),"TRAFFIC",IF(OR('CASE DATA'!G131="DISM", 'CASE DATA'!G131="ACQ", 'CASE DATA'!G131="NOTF", 'CASE DATA'!G131="WTHD", 'CASE DATA'!G131="TNSF"), "YES", "NO"))</f>
        <v>NO</v>
      </c>
      <c r="J130" s="62" t="str">
        <f>IF(I130="YES",'CASE DATA'!T131,"N/A")</f>
        <v>N/A</v>
      </c>
      <c r="K130" s="57" t="str">
        <f>IF(I130="YES",IF(C130+180&lt;'BASIC INFO'!$B$3, "YES", "NO"),"N/A")</f>
        <v>N/A</v>
      </c>
      <c r="L130" s="62" t="str">
        <f t="array" ref="L130">IF(I130="TRAFFIC","n/a",IF(OR('CASE DATA'!G131="GTR", 'CASE DATA'!G131="GPL"),IF(SUM(COUNTIF('CASE DATA'!W131:AH131, 'CODE SECTIONS'!$V$2:$V$218&amp;"*"))&gt;0,"felony","eligible"),"n/a"))</f>
        <v>n/a</v>
      </c>
      <c r="M130" s="62" t="str">
        <f t="array" ref="M130">IF(L130="eligible",IF(OR((SUM(COUNTIF('CASE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62" t="str">
        <f>IF(M130="eligible",IF(COUNTIF('CASE DATA'!$D$4:$D$200, "")-COUNTIF('CASE DATA'!$A$4:$A$200, "")&gt;0, "YES","NO"),"N/A")</f>
        <v>N/A</v>
      </c>
      <c r="O130" s="62" t="str">
        <f>IF(M130="eligible",BANKRUPTCY!C131+BANKRUPTCY!D131,"N/A")</f>
        <v>N/A</v>
      </c>
      <c r="P130" s="62" t="str">
        <f>IF(M130="eligible",SOL!C131+SOL!D131+SOL!E131,"N/A")</f>
        <v>N/A</v>
      </c>
      <c r="Q130" s="62" t="str">
        <f>IF(M130="eligible",SUM('CASE DATA'!J131:S131),"N/A")</f>
        <v>N/A</v>
      </c>
      <c r="R130" s="62" t="str">
        <f>IF(M130="eligible",IF(C130+2920&lt;'BASIC INFO'!$B$3, "YES", "NO"),"N/A")</f>
        <v>N/A</v>
      </c>
      <c r="S130" s="61" t="str">
        <f>IF(OR('CASE DATA'!G131="DEF"), "YES", "NO")</f>
        <v>NO</v>
      </c>
      <c r="T130" s="57" t="str">
        <f>IF(S130="YES",'CASE DATA'!I131,"N/A")</f>
        <v>N/A</v>
      </c>
      <c r="U130" s="62" t="str">
        <f>IF(S130="YES",BANKRUPTCY!C131+BANKRUPTCY!D131,"N/A")</f>
        <v>N/A</v>
      </c>
      <c r="V130" s="62" t="str">
        <f>IF(S130="YES",SUM('CASE DATA'!J131:S131),"N/A")</f>
        <v>N/A</v>
      </c>
      <c r="W130" s="57" t="str">
        <f>IF(OR('CASE DATA'!F131="123.46",'CASE DATA'!F131="123.47"),"YES","NO")</f>
        <v>NO</v>
      </c>
      <c r="X130" s="60" t="str">
        <f>IF(W130="YES",COUNTIFS(AD$3:$AD$200,"&gt;"&amp;('CASE DATA'!D131),$AD$3:$AD$200,"&lt;"&amp;('CASE DATA'!D131+730.5)),"n/a")</f>
        <v>n/a</v>
      </c>
      <c r="Y130" s="62" t="str">
        <f>IF(W130="YES",IF(C130+730.5&lt;'BASIC INFO'!$B$3, "YES","NO"), "N/A")</f>
        <v>N/A</v>
      </c>
      <c r="Z130" s="57" t="str">
        <f>IF('CASE DATA'!F131="725.1","YES","NO")</f>
        <v>NO</v>
      </c>
      <c r="AA130" s="57" t="str">
        <f>IF(Z130="YES",IF(C130+730.5&lt;'BASIC INFO'!$B$3, "YES","NO"), "N/A")</f>
        <v>N/A</v>
      </c>
      <c r="AB130" s="57" t="str">
        <f>IF('BASIC INFO'!$B$6+6574.5&gt;C130, "YES", "NO")</f>
        <v>YES</v>
      </c>
      <c r="AC130" s="57" t="str">
        <f>IF(Z130="YES",COUNTIFS(AD$3:$AD$200,"&gt;"&amp;('CASE DATA'!D131),$AD$3:$AD$200,"&lt;"&amp;('CASE DATA'!D131+730.5)),"n/a")</f>
        <v>n/a</v>
      </c>
    </row>
    <row r="131" spans="1:29" x14ac:dyDescent="0.25">
      <c r="A131" s="57" t="str">
        <f>IF('CASE DATA'!A132="","z",'CASE DATA'!A132)</f>
        <v>z</v>
      </c>
      <c r="B131" s="57" t="str">
        <f>IF('CASE DATA'!A132="","",'CASE DATA'!E132)</f>
        <v/>
      </c>
      <c r="C131" s="58">
        <f>'CASE DATA'!D132</f>
        <v>0</v>
      </c>
      <c r="D131" s="59" t="str">
        <f>IF('CASE DATA'!I132="YES",SUM('CASE DATA'!J132:P132),"n/a")</f>
        <v>n/a</v>
      </c>
      <c r="E131" s="60" t="str">
        <f>IF(OR('CASE DATA'!G132="JUV", 'CASE DATA'!G132="JWV"), "YES", "NO")</f>
        <v>NO</v>
      </c>
      <c r="F131" s="60" t="str">
        <f t="array" ref="F131">IF(E131="YES",IF(SUM(COUNTIF('CASE DATA'!$G$4:$G$200, {"GTR","GPL","DEF","JUV"}))&gt;0, "YES","NO"),"N/A")</f>
        <v>N/A</v>
      </c>
      <c r="G131" s="60" t="str">
        <f>IF(E131="YES",IF(COUNTIF('CASE DATA'!$D$4:$D$200, "")-COUNTIF('CASE DATA'!$A$4:$A$200, "")&gt;0, "YES","NO"),"N/A")</f>
        <v>N/A</v>
      </c>
      <c r="H131" s="57" t="str">
        <f>_xlfn.IFS(E131="NO", "N/A", AND('BASIC INFO'!$B$3&gt;'BASIC INFO'!$B$6+6574.5, C131+730.5&lt;'BASIC INFO'!$B$3), "YES", 'BASIC INFO'!$B$3&lt;('BASIC INFO'!$B$6+6574.5), "NOT YET 18", C131+730.5&gt;'BASIC INFO'!$B$3, "NOT YET 2 YEARS")</f>
        <v>N/A</v>
      </c>
      <c r="I131" s="61" t="str">
        <f>IF(OR(AND(LEFT('CASE DATA'!F132,4)="321.",MID('CASE DATA'!A132,8,2)="SM"),MID('CASE DATA'!A132,8,2)="ST",MID('CASE DATA'!A132,8,2)="NT"),"TRAFFIC",IF(OR('CASE DATA'!G132="DISM", 'CASE DATA'!G132="ACQ", 'CASE DATA'!G132="NOTF", 'CASE DATA'!G132="WTHD", 'CASE DATA'!G132="TNSF"), "YES", "NO"))</f>
        <v>NO</v>
      </c>
      <c r="J131" s="62" t="str">
        <f>IF(I131="YES",'CASE DATA'!T132,"N/A")</f>
        <v>N/A</v>
      </c>
      <c r="K131" s="57" t="str">
        <f>IF(I131="YES",IF(C131+180&lt;'BASIC INFO'!$B$3, "YES", "NO"),"N/A")</f>
        <v>N/A</v>
      </c>
      <c r="L131" s="62" t="str">
        <f t="array" ref="L131">IF(I131="TRAFFIC","n/a",IF(OR('CASE DATA'!G132="GTR", 'CASE DATA'!G132="GPL"),IF(SUM(COUNTIF('CASE DATA'!W132:AH132, 'CODE SECTIONS'!$V$2:$V$218&amp;"*"))&gt;0,"felony","eligible"),"n/a"))</f>
        <v>n/a</v>
      </c>
      <c r="M131" s="62" t="str">
        <f t="array" ref="M131">IF(L131="eligible",IF(OR((SUM(COUNTIF('CASE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62" t="str">
        <f>IF(M131="eligible",IF(COUNTIF('CASE DATA'!$D$4:$D$200, "")-COUNTIF('CASE DATA'!$A$4:$A$200, "")&gt;0, "YES","NO"),"N/A")</f>
        <v>N/A</v>
      </c>
      <c r="O131" s="62" t="str">
        <f>IF(M131="eligible",BANKRUPTCY!C132+BANKRUPTCY!D132,"N/A")</f>
        <v>N/A</v>
      </c>
      <c r="P131" s="62" t="str">
        <f>IF(M131="eligible",SOL!C132+SOL!D132+SOL!E132,"N/A")</f>
        <v>N/A</v>
      </c>
      <c r="Q131" s="62" t="str">
        <f>IF(M131="eligible",SUM('CASE DATA'!J132:S132),"N/A")</f>
        <v>N/A</v>
      </c>
      <c r="R131" s="62" t="str">
        <f>IF(M131="eligible",IF(C131+2920&lt;'BASIC INFO'!$B$3, "YES", "NO"),"N/A")</f>
        <v>N/A</v>
      </c>
      <c r="S131" s="61" t="str">
        <f>IF(OR('CASE DATA'!G132="DEF"), "YES", "NO")</f>
        <v>NO</v>
      </c>
      <c r="T131" s="57" t="str">
        <f>IF(S131="YES",'CASE DATA'!I132,"N/A")</f>
        <v>N/A</v>
      </c>
      <c r="U131" s="62" t="str">
        <f>IF(S131="YES",BANKRUPTCY!C132+BANKRUPTCY!D132,"N/A")</f>
        <v>N/A</v>
      </c>
      <c r="V131" s="62" t="str">
        <f>IF(S131="YES",SUM('CASE DATA'!J132:S132),"N/A")</f>
        <v>N/A</v>
      </c>
      <c r="W131" s="57" t="str">
        <f>IF(OR('CASE DATA'!F132="123.46",'CASE DATA'!F132="123.47"),"YES","NO")</f>
        <v>NO</v>
      </c>
      <c r="X131" s="60" t="str">
        <f>IF(W131="YES",COUNTIFS(AD$3:$AD$200,"&gt;"&amp;('CASE DATA'!D132),$AD$3:$AD$200,"&lt;"&amp;('CASE DATA'!D132+730.5)),"n/a")</f>
        <v>n/a</v>
      </c>
      <c r="Y131" s="62" t="str">
        <f>IF(W131="YES",IF(C131+730.5&lt;'BASIC INFO'!$B$3, "YES","NO"), "N/A")</f>
        <v>N/A</v>
      </c>
      <c r="Z131" s="57" t="str">
        <f>IF('CASE DATA'!F132="725.1","YES","NO")</f>
        <v>NO</v>
      </c>
      <c r="AA131" s="57" t="str">
        <f>IF(Z131="YES",IF(C131+730.5&lt;'BASIC INFO'!$B$3, "YES","NO"), "N/A")</f>
        <v>N/A</v>
      </c>
      <c r="AB131" s="57" t="str">
        <f>IF('BASIC INFO'!$B$6+6574.5&gt;C131, "YES", "NO")</f>
        <v>YES</v>
      </c>
      <c r="AC131" s="57" t="str">
        <f>IF(Z131="YES",COUNTIFS(AD$3:$AD$200,"&gt;"&amp;('CASE DATA'!D132),$AD$3:$AD$200,"&lt;"&amp;('CASE DATA'!D132+730.5)),"n/a")</f>
        <v>n/a</v>
      </c>
    </row>
    <row r="132" spans="1:29" x14ac:dyDescent="0.25">
      <c r="A132" s="57" t="str">
        <f>IF('CASE DATA'!A133="","z",'CASE DATA'!A133)</f>
        <v>z</v>
      </c>
      <c r="B132" s="57" t="str">
        <f>IF('CASE DATA'!A133="","",'CASE DATA'!E133)</f>
        <v/>
      </c>
      <c r="C132" s="58">
        <f>'CASE DATA'!D133</f>
        <v>0</v>
      </c>
      <c r="D132" s="59" t="str">
        <f>IF('CASE DATA'!I133="YES",SUM('CASE DATA'!J133:P133),"n/a")</f>
        <v>n/a</v>
      </c>
      <c r="E132" s="60" t="str">
        <f>IF(OR('CASE DATA'!G133="JUV", 'CASE DATA'!G133="JWV"), "YES", "NO")</f>
        <v>NO</v>
      </c>
      <c r="F132" s="60" t="str">
        <f t="array" ref="F132">IF(E132="YES",IF(SUM(COUNTIF('CASE DATA'!$G$4:$G$200, {"GTR","GPL","DEF","JUV"}))&gt;0, "YES","NO"),"N/A")</f>
        <v>N/A</v>
      </c>
      <c r="G132" s="60" t="str">
        <f>IF(E132="YES",IF(COUNTIF('CASE DATA'!$D$4:$D$200, "")-COUNTIF('CASE DATA'!$A$4:$A$200, "")&gt;0, "YES","NO"),"N/A")</f>
        <v>N/A</v>
      </c>
      <c r="H132" s="57" t="str">
        <f>_xlfn.IFS(E132="NO", "N/A", AND('BASIC INFO'!$B$3&gt;'BASIC INFO'!$B$6+6574.5, C132+730.5&lt;'BASIC INFO'!$B$3), "YES", 'BASIC INFO'!$B$3&lt;('BASIC INFO'!$B$6+6574.5), "NOT YET 18", C132+730.5&gt;'BASIC INFO'!$B$3, "NOT YET 2 YEARS")</f>
        <v>N/A</v>
      </c>
      <c r="I132" s="61" t="str">
        <f>IF(OR(AND(LEFT('CASE DATA'!F133,4)="321.",MID('CASE DATA'!A133,8,2)="SM"),MID('CASE DATA'!A133,8,2)="ST",MID('CASE DATA'!A133,8,2)="NT"),"TRAFFIC",IF(OR('CASE DATA'!G133="DISM", 'CASE DATA'!G133="ACQ", 'CASE DATA'!G133="NOTF", 'CASE DATA'!G133="WTHD", 'CASE DATA'!G133="TNSF"), "YES", "NO"))</f>
        <v>NO</v>
      </c>
      <c r="J132" s="62" t="str">
        <f>IF(I132="YES",'CASE DATA'!T133,"N/A")</f>
        <v>N/A</v>
      </c>
      <c r="K132" s="57" t="str">
        <f>IF(I132="YES",IF(C132+180&lt;'BASIC INFO'!$B$3, "YES", "NO"),"N/A")</f>
        <v>N/A</v>
      </c>
      <c r="L132" s="62" t="str">
        <f t="array" ref="L132">IF(I132="TRAFFIC","n/a",IF(OR('CASE DATA'!G133="GTR", 'CASE DATA'!G133="GPL"),IF(SUM(COUNTIF('CASE DATA'!W133:AH133, 'CODE SECTIONS'!$V$2:$V$218&amp;"*"))&gt;0,"felony","eligible"),"n/a"))</f>
        <v>n/a</v>
      </c>
      <c r="M132" s="62" t="str">
        <f t="array" ref="M132">IF(L132="eligible",IF(OR((SUM(COUNTIF('CASE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62" t="str">
        <f>IF(M132="eligible",IF(COUNTIF('CASE DATA'!$D$4:$D$200, "")-COUNTIF('CASE DATA'!$A$4:$A$200, "")&gt;0, "YES","NO"),"N/A")</f>
        <v>N/A</v>
      </c>
      <c r="O132" s="62" t="str">
        <f>IF(M132="eligible",BANKRUPTCY!C133+BANKRUPTCY!D133,"N/A")</f>
        <v>N/A</v>
      </c>
      <c r="P132" s="62" t="str">
        <f>IF(M132="eligible",SOL!C133+SOL!D133+SOL!E133,"N/A")</f>
        <v>N/A</v>
      </c>
      <c r="Q132" s="62" t="str">
        <f>IF(M132="eligible",SUM('CASE DATA'!J133:S133),"N/A")</f>
        <v>N/A</v>
      </c>
      <c r="R132" s="62" t="str">
        <f>IF(M132="eligible",IF(C132+2920&lt;'BASIC INFO'!$B$3, "YES", "NO"),"N/A")</f>
        <v>N/A</v>
      </c>
      <c r="S132" s="61" t="str">
        <f>IF(OR('CASE DATA'!G133="DEF"), "YES", "NO")</f>
        <v>NO</v>
      </c>
      <c r="T132" s="57" t="str">
        <f>IF(S132="YES",'CASE DATA'!I133,"N/A")</f>
        <v>N/A</v>
      </c>
      <c r="U132" s="62" t="str">
        <f>IF(S132="YES",BANKRUPTCY!C133+BANKRUPTCY!D133,"N/A")</f>
        <v>N/A</v>
      </c>
      <c r="V132" s="62" t="str">
        <f>IF(S132="YES",SUM('CASE DATA'!J133:S133),"N/A")</f>
        <v>N/A</v>
      </c>
      <c r="W132" s="57" t="str">
        <f>IF(OR('CASE DATA'!F133="123.46",'CASE DATA'!F133="123.47"),"YES","NO")</f>
        <v>NO</v>
      </c>
      <c r="X132" s="60" t="str">
        <f>IF(W132="YES",COUNTIFS(AD$3:$AD$200,"&gt;"&amp;('CASE DATA'!D133),$AD$3:$AD$200,"&lt;"&amp;('CASE DATA'!D133+730.5)),"n/a")</f>
        <v>n/a</v>
      </c>
      <c r="Y132" s="62" t="str">
        <f>IF(W132="YES",IF(C132+730.5&lt;'BASIC INFO'!$B$3, "YES","NO"), "N/A")</f>
        <v>N/A</v>
      </c>
      <c r="Z132" s="57" t="str">
        <f>IF('CASE DATA'!F133="725.1","YES","NO")</f>
        <v>NO</v>
      </c>
      <c r="AA132" s="57" t="str">
        <f>IF(Z132="YES",IF(C132+730.5&lt;'BASIC INFO'!$B$3, "YES","NO"), "N/A")</f>
        <v>N/A</v>
      </c>
      <c r="AB132" s="57" t="str">
        <f>IF('BASIC INFO'!$B$6+6574.5&gt;C132, "YES", "NO")</f>
        <v>YES</v>
      </c>
      <c r="AC132" s="57" t="str">
        <f>IF(Z132="YES",COUNTIFS(AD$3:$AD$200,"&gt;"&amp;('CASE DATA'!D133),$AD$3:$AD$200,"&lt;"&amp;('CASE DATA'!D133+730.5)),"n/a")</f>
        <v>n/a</v>
      </c>
    </row>
    <row r="133" spans="1:29" x14ac:dyDescent="0.25">
      <c r="A133" s="57" t="str">
        <f>IF('CASE DATA'!A134="","z",'CASE DATA'!A134)</f>
        <v>z</v>
      </c>
      <c r="B133" s="57" t="str">
        <f>IF('CASE DATA'!A134="","",'CASE DATA'!E134)</f>
        <v/>
      </c>
      <c r="C133" s="58">
        <f>'CASE DATA'!D134</f>
        <v>0</v>
      </c>
      <c r="D133" s="59" t="str">
        <f>IF('CASE DATA'!I134="YES",SUM('CASE DATA'!J134:P134),"n/a")</f>
        <v>n/a</v>
      </c>
      <c r="E133" s="60" t="str">
        <f>IF(OR('CASE DATA'!G134="JUV", 'CASE DATA'!G134="JWV"), "YES", "NO")</f>
        <v>NO</v>
      </c>
      <c r="F133" s="60" t="str">
        <f t="array" ref="F133">IF(E133="YES",IF(SUM(COUNTIF('CASE DATA'!$G$4:$G$200, {"GTR","GPL","DEF","JUV"}))&gt;0, "YES","NO"),"N/A")</f>
        <v>N/A</v>
      </c>
      <c r="G133" s="60" t="str">
        <f>IF(E133="YES",IF(COUNTIF('CASE DATA'!$D$4:$D$200, "")-COUNTIF('CASE DATA'!$A$4:$A$200, "")&gt;0, "YES","NO"),"N/A")</f>
        <v>N/A</v>
      </c>
      <c r="H133" s="57" t="str">
        <f>_xlfn.IFS(E133="NO", "N/A", AND('BASIC INFO'!$B$3&gt;'BASIC INFO'!$B$6+6574.5, C133+730.5&lt;'BASIC INFO'!$B$3), "YES", 'BASIC INFO'!$B$3&lt;('BASIC INFO'!$B$6+6574.5), "NOT YET 18", C133+730.5&gt;'BASIC INFO'!$B$3, "NOT YET 2 YEARS")</f>
        <v>N/A</v>
      </c>
      <c r="I133" s="61" t="str">
        <f>IF(OR(AND(LEFT('CASE DATA'!F134,4)="321.",MID('CASE DATA'!A134,8,2)="SM"),MID('CASE DATA'!A134,8,2)="ST",MID('CASE DATA'!A134,8,2)="NT"),"TRAFFIC",IF(OR('CASE DATA'!G134="DISM", 'CASE DATA'!G134="ACQ", 'CASE DATA'!G134="NOTF", 'CASE DATA'!G134="WTHD", 'CASE DATA'!G134="TNSF"), "YES", "NO"))</f>
        <v>NO</v>
      </c>
      <c r="J133" s="62" t="str">
        <f>IF(I133="YES",'CASE DATA'!T134,"N/A")</f>
        <v>N/A</v>
      </c>
      <c r="K133" s="57" t="str">
        <f>IF(I133="YES",IF(C133+180&lt;'BASIC INFO'!$B$3, "YES", "NO"),"N/A")</f>
        <v>N/A</v>
      </c>
      <c r="L133" s="62" t="str">
        <f t="array" ref="L133">IF(I133="TRAFFIC","n/a",IF(OR('CASE DATA'!G134="GTR", 'CASE DATA'!G134="GPL"),IF(SUM(COUNTIF('CASE DATA'!W134:AH134, 'CODE SECTIONS'!$V$2:$V$218&amp;"*"))&gt;0,"felony","eligible"),"n/a"))</f>
        <v>n/a</v>
      </c>
      <c r="M133" s="62" t="str">
        <f t="array" ref="M133">IF(L133="eligible",IF(OR((SUM(COUNTIF('CASE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62" t="str">
        <f>IF(M133="eligible",IF(COUNTIF('CASE DATA'!$D$4:$D$200, "")-COUNTIF('CASE DATA'!$A$4:$A$200, "")&gt;0, "YES","NO"),"N/A")</f>
        <v>N/A</v>
      </c>
      <c r="O133" s="62" t="str">
        <f>IF(M133="eligible",BANKRUPTCY!C134+BANKRUPTCY!D134,"N/A")</f>
        <v>N/A</v>
      </c>
      <c r="P133" s="62" t="str">
        <f>IF(M133="eligible",SOL!C134+SOL!D134+SOL!E134,"N/A")</f>
        <v>N/A</v>
      </c>
      <c r="Q133" s="62" t="str">
        <f>IF(M133="eligible",SUM('CASE DATA'!J134:S134),"N/A")</f>
        <v>N/A</v>
      </c>
      <c r="R133" s="62" t="str">
        <f>IF(M133="eligible",IF(C133+2920&lt;'BASIC INFO'!$B$3, "YES", "NO"),"N/A")</f>
        <v>N/A</v>
      </c>
      <c r="S133" s="61" t="str">
        <f>IF(OR('CASE DATA'!G134="DEF"), "YES", "NO")</f>
        <v>NO</v>
      </c>
      <c r="T133" s="57" t="str">
        <f>IF(S133="YES",'CASE DATA'!I134,"N/A")</f>
        <v>N/A</v>
      </c>
      <c r="U133" s="62" t="str">
        <f>IF(S133="YES",BANKRUPTCY!C134+BANKRUPTCY!D134,"N/A")</f>
        <v>N/A</v>
      </c>
      <c r="V133" s="62" t="str">
        <f>IF(S133="YES",SUM('CASE DATA'!J134:S134),"N/A")</f>
        <v>N/A</v>
      </c>
      <c r="W133" s="57" t="str">
        <f>IF(OR('CASE DATA'!F134="123.46",'CASE DATA'!F134="123.47"),"YES","NO")</f>
        <v>NO</v>
      </c>
      <c r="X133" s="60" t="str">
        <f>IF(W133="YES",COUNTIFS(AD$3:$AD$200,"&gt;"&amp;('CASE DATA'!D134),$AD$3:$AD$200,"&lt;"&amp;('CASE DATA'!D134+730.5)),"n/a")</f>
        <v>n/a</v>
      </c>
      <c r="Y133" s="62" t="str">
        <f>IF(W133="YES",IF(C133+730.5&lt;'BASIC INFO'!$B$3, "YES","NO"), "N/A")</f>
        <v>N/A</v>
      </c>
      <c r="Z133" s="57" t="str">
        <f>IF('CASE DATA'!F134="725.1","YES","NO")</f>
        <v>NO</v>
      </c>
      <c r="AA133" s="57" t="str">
        <f>IF(Z133="YES",IF(C133+730.5&lt;'BASIC INFO'!$B$3, "YES","NO"), "N/A")</f>
        <v>N/A</v>
      </c>
      <c r="AB133" s="57" t="str">
        <f>IF('BASIC INFO'!$B$6+6574.5&gt;C133, "YES", "NO")</f>
        <v>YES</v>
      </c>
      <c r="AC133" s="57" t="str">
        <f>IF(Z133="YES",COUNTIFS(AD$3:$AD$200,"&gt;"&amp;('CASE DATA'!D134),$AD$3:$AD$200,"&lt;"&amp;('CASE DATA'!D134+730.5)),"n/a")</f>
        <v>n/a</v>
      </c>
    </row>
    <row r="134" spans="1:29" x14ac:dyDescent="0.25">
      <c r="A134" s="57" t="str">
        <f>IF('CASE DATA'!A135="","z",'CASE DATA'!A135)</f>
        <v>z</v>
      </c>
      <c r="B134" s="57" t="str">
        <f>IF('CASE DATA'!A135="","",'CASE DATA'!E135)</f>
        <v/>
      </c>
      <c r="C134" s="58">
        <f>'CASE DATA'!D135</f>
        <v>0</v>
      </c>
      <c r="D134" s="59" t="str">
        <f>IF('CASE DATA'!I135="YES",SUM('CASE DATA'!J135:P135),"n/a")</f>
        <v>n/a</v>
      </c>
      <c r="E134" s="60" t="str">
        <f>IF(OR('CASE DATA'!G135="JUV", 'CASE DATA'!G135="JWV"), "YES", "NO")</f>
        <v>NO</v>
      </c>
      <c r="F134" s="60" t="str">
        <f t="array" ref="F134">IF(E134="YES",IF(SUM(COUNTIF('CASE DATA'!$G$4:$G$200, {"GTR","GPL","DEF","JUV"}))&gt;0, "YES","NO"),"N/A")</f>
        <v>N/A</v>
      </c>
      <c r="G134" s="60" t="str">
        <f>IF(E134="YES",IF(COUNTIF('CASE DATA'!$D$4:$D$200, "")-COUNTIF('CASE DATA'!$A$4:$A$200, "")&gt;0, "YES","NO"),"N/A")</f>
        <v>N/A</v>
      </c>
      <c r="H134" s="57" t="str">
        <f>_xlfn.IFS(E134="NO", "N/A", AND('BASIC INFO'!$B$3&gt;'BASIC INFO'!$B$6+6574.5, C134+730.5&lt;'BASIC INFO'!$B$3), "YES", 'BASIC INFO'!$B$3&lt;('BASIC INFO'!$B$6+6574.5), "NOT YET 18", C134+730.5&gt;'BASIC INFO'!$B$3, "NOT YET 2 YEARS")</f>
        <v>N/A</v>
      </c>
      <c r="I134" s="61" t="str">
        <f>IF(OR(AND(LEFT('CASE DATA'!F135,4)="321.",MID('CASE DATA'!A135,8,2)="SM"),MID('CASE DATA'!A135,8,2)="ST",MID('CASE DATA'!A135,8,2)="NT"),"TRAFFIC",IF(OR('CASE DATA'!G135="DISM", 'CASE DATA'!G135="ACQ", 'CASE DATA'!G135="NOTF", 'CASE DATA'!G135="WTHD", 'CASE DATA'!G135="TNSF"), "YES", "NO"))</f>
        <v>NO</v>
      </c>
      <c r="J134" s="62" t="str">
        <f>IF(I134="YES",'CASE DATA'!T135,"N/A")</f>
        <v>N/A</v>
      </c>
      <c r="K134" s="57" t="str">
        <f>IF(I134="YES",IF(C134+180&lt;'BASIC INFO'!$B$3, "YES", "NO"),"N/A")</f>
        <v>N/A</v>
      </c>
      <c r="L134" s="62" t="str">
        <f t="array" ref="L134">IF(I134="TRAFFIC","n/a",IF(OR('CASE DATA'!G135="GTR", 'CASE DATA'!G135="GPL"),IF(SUM(COUNTIF('CASE DATA'!W135:AH135, 'CODE SECTIONS'!$V$2:$V$218&amp;"*"))&gt;0,"felony","eligible"),"n/a"))</f>
        <v>n/a</v>
      </c>
      <c r="M134" s="62" t="str">
        <f t="array" ref="M134">IF(L134="eligible",IF(OR((SUM(COUNTIF('CASE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62" t="str">
        <f>IF(M134="eligible",IF(COUNTIF('CASE DATA'!$D$4:$D$200, "")-COUNTIF('CASE DATA'!$A$4:$A$200, "")&gt;0, "YES","NO"),"N/A")</f>
        <v>N/A</v>
      </c>
      <c r="O134" s="62" t="str">
        <f>IF(M134="eligible",BANKRUPTCY!C135+BANKRUPTCY!D135,"N/A")</f>
        <v>N/A</v>
      </c>
      <c r="P134" s="62" t="str">
        <f>IF(M134="eligible",SOL!C135+SOL!D135+SOL!E135,"N/A")</f>
        <v>N/A</v>
      </c>
      <c r="Q134" s="62" t="str">
        <f>IF(M134="eligible",SUM('CASE DATA'!J135:S135),"N/A")</f>
        <v>N/A</v>
      </c>
      <c r="R134" s="62" t="str">
        <f>IF(M134="eligible",IF(C134+2920&lt;'BASIC INFO'!$B$3, "YES", "NO"),"N/A")</f>
        <v>N/A</v>
      </c>
      <c r="S134" s="61" t="str">
        <f>IF(OR('CASE DATA'!G135="DEF"), "YES", "NO")</f>
        <v>NO</v>
      </c>
      <c r="T134" s="57" t="str">
        <f>IF(S134="YES",'CASE DATA'!I135,"N/A")</f>
        <v>N/A</v>
      </c>
      <c r="U134" s="62" t="str">
        <f>IF(S134="YES",BANKRUPTCY!C135+BANKRUPTCY!D135,"N/A")</f>
        <v>N/A</v>
      </c>
      <c r="V134" s="62" t="str">
        <f>IF(S134="YES",SUM('CASE DATA'!J135:S135),"N/A")</f>
        <v>N/A</v>
      </c>
      <c r="W134" s="57" t="str">
        <f>IF(OR('CASE DATA'!F135="123.46",'CASE DATA'!F135="123.47"),"YES","NO")</f>
        <v>NO</v>
      </c>
      <c r="X134" s="60" t="str">
        <f>IF(W134="YES",COUNTIFS(AD$3:$AD$200,"&gt;"&amp;('CASE DATA'!D135),$AD$3:$AD$200,"&lt;"&amp;('CASE DATA'!D135+730.5)),"n/a")</f>
        <v>n/a</v>
      </c>
      <c r="Y134" s="62" t="str">
        <f>IF(W134="YES",IF(C134+730.5&lt;'BASIC INFO'!$B$3, "YES","NO"), "N/A")</f>
        <v>N/A</v>
      </c>
      <c r="Z134" s="57" t="str">
        <f>IF('CASE DATA'!F135="725.1","YES","NO")</f>
        <v>NO</v>
      </c>
      <c r="AA134" s="57" t="str">
        <f>IF(Z134="YES",IF(C134+730.5&lt;'BASIC INFO'!$B$3, "YES","NO"), "N/A")</f>
        <v>N/A</v>
      </c>
      <c r="AB134" s="57" t="str">
        <f>IF('BASIC INFO'!$B$6+6574.5&gt;C134, "YES", "NO")</f>
        <v>YES</v>
      </c>
      <c r="AC134" s="57" t="str">
        <f>IF(Z134="YES",COUNTIFS(AD$3:$AD$200,"&gt;"&amp;('CASE DATA'!D135),$AD$3:$AD$200,"&lt;"&amp;('CASE DATA'!D135+730.5)),"n/a")</f>
        <v>n/a</v>
      </c>
    </row>
    <row r="135" spans="1:29" x14ac:dyDescent="0.25">
      <c r="A135" s="57" t="str">
        <f>IF('CASE DATA'!A136="","z",'CASE DATA'!A136)</f>
        <v>z</v>
      </c>
      <c r="B135" s="57" t="str">
        <f>IF('CASE DATA'!A136="","",'CASE DATA'!E136)</f>
        <v/>
      </c>
      <c r="C135" s="58">
        <f>'CASE DATA'!D136</f>
        <v>0</v>
      </c>
      <c r="D135" s="59" t="str">
        <f>IF('CASE DATA'!I136="YES",SUM('CASE DATA'!J136:P136),"n/a")</f>
        <v>n/a</v>
      </c>
      <c r="E135" s="60" t="str">
        <f>IF(OR('CASE DATA'!G136="JUV", 'CASE DATA'!G136="JWV"), "YES", "NO")</f>
        <v>NO</v>
      </c>
      <c r="F135" s="60" t="str">
        <f t="array" ref="F135">IF(E135="YES",IF(SUM(COUNTIF('CASE DATA'!$G$4:$G$200, {"GTR","GPL","DEF","JUV"}))&gt;0, "YES","NO"),"N/A")</f>
        <v>N/A</v>
      </c>
      <c r="G135" s="60" t="str">
        <f>IF(E135="YES",IF(COUNTIF('CASE DATA'!$D$4:$D$200, "")-COUNTIF('CASE DATA'!$A$4:$A$200, "")&gt;0, "YES","NO"),"N/A")</f>
        <v>N/A</v>
      </c>
      <c r="H135" s="57" t="str">
        <f>_xlfn.IFS(E135="NO", "N/A", AND('BASIC INFO'!$B$3&gt;'BASIC INFO'!$B$6+6574.5, C135+730.5&lt;'BASIC INFO'!$B$3), "YES", 'BASIC INFO'!$B$3&lt;('BASIC INFO'!$B$6+6574.5), "NOT YET 18", C135+730.5&gt;'BASIC INFO'!$B$3, "NOT YET 2 YEARS")</f>
        <v>N/A</v>
      </c>
      <c r="I135" s="61" t="str">
        <f>IF(OR(AND(LEFT('CASE DATA'!F136,4)="321.",MID('CASE DATA'!A136,8,2)="SM"),MID('CASE DATA'!A136,8,2)="ST",MID('CASE DATA'!A136,8,2)="NT"),"TRAFFIC",IF(OR('CASE DATA'!G136="DISM", 'CASE DATA'!G136="ACQ", 'CASE DATA'!G136="NOTF", 'CASE DATA'!G136="WTHD", 'CASE DATA'!G136="TNSF"), "YES", "NO"))</f>
        <v>NO</v>
      </c>
      <c r="J135" s="62" t="str">
        <f>IF(I135="YES",'CASE DATA'!T136,"N/A")</f>
        <v>N/A</v>
      </c>
      <c r="K135" s="57" t="str">
        <f>IF(I135="YES",IF(C135+180&lt;'BASIC INFO'!$B$3, "YES", "NO"),"N/A")</f>
        <v>N/A</v>
      </c>
      <c r="L135" s="62" t="str">
        <f t="array" ref="L135">IF(I135="TRAFFIC","n/a",IF(OR('CASE DATA'!G136="GTR", 'CASE DATA'!G136="GPL"),IF(SUM(COUNTIF('CASE DATA'!W136:AH136, 'CODE SECTIONS'!$V$2:$V$218&amp;"*"))&gt;0,"felony","eligible"),"n/a"))</f>
        <v>n/a</v>
      </c>
      <c r="M135" s="62" t="str">
        <f t="array" ref="M135">IF(L135="eligible",IF(OR((SUM(COUNTIF('CASE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62" t="str">
        <f>IF(M135="eligible",IF(COUNTIF('CASE DATA'!$D$4:$D$200, "")-COUNTIF('CASE DATA'!$A$4:$A$200, "")&gt;0, "YES","NO"),"N/A")</f>
        <v>N/A</v>
      </c>
      <c r="O135" s="62" t="str">
        <f>IF(M135="eligible",BANKRUPTCY!C136+BANKRUPTCY!D136,"N/A")</f>
        <v>N/A</v>
      </c>
      <c r="P135" s="62" t="str">
        <f>IF(M135="eligible",SOL!C136+SOL!D136+SOL!E136,"N/A")</f>
        <v>N/A</v>
      </c>
      <c r="Q135" s="62" t="str">
        <f>IF(M135="eligible",SUM('CASE DATA'!J136:S136),"N/A")</f>
        <v>N/A</v>
      </c>
      <c r="R135" s="62" t="str">
        <f>IF(M135="eligible",IF(C135+2920&lt;'BASIC INFO'!$B$3, "YES", "NO"),"N/A")</f>
        <v>N/A</v>
      </c>
      <c r="S135" s="61" t="str">
        <f>IF(OR('CASE DATA'!G136="DEF"), "YES", "NO")</f>
        <v>NO</v>
      </c>
      <c r="T135" s="57" t="str">
        <f>IF(S135="YES",'CASE DATA'!I136,"N/A")</f>
        <v>N/A</v>
      </c>
      <c r="U135" s="62" t="str">
        <f>IF(S135="YES",BANKRUPTCY!C136+BANKRUPTCY!D136,"N/A")</f>
        <v>N/A</v>
      </c>
      <c r="V135" s="62" t="str">
        <f>IF(S135="YES",SUM('CASE DATA'!J136:S136),"N/A")</f>
        <v>N/A</v>
      </c>
      <c r="W135" s="57" t="str">
        <f>IF(OR('CASE DATA'!F136="123.46",'CASE DATA'!F136="123.47"),"YES","NO")</f>
        <v>NO</v>
      </c>
      <c r="X135" s="60" t="str">
        <f>IF(W135="YES",COUNTIFS(AD$3:$AD$200,"&gt;"&amp;('CASE DATA'!D136),$AD$3:$AD$200,"&lt;"&amp;('CASE DATA'!D136+730.5)),"n/a")</f>
        <v>n/a</v>
      </c>
      <c r="Y135" s="62" t="str">
        <f>IF(W135="YES",IF(C135+730.5&lt;'BASIC INFO'!$B$3, "YES","NO"), "N/A")</f>
        <v>N/A</v>
      </c>
      <c r="Z135" s="57" t="str">
        <f>IF('CASE DATA'!F136="725.1","YES","NO")</f>
        <v>NO</v>
      </c>
      <c r="AA135" s="57" t="str">
        <f>IF(Z135="YES",IF(C135+730.5&lt;'BASIC INFO'!$B$3, "YES","NO"), "N/A")</f>
        <v>N/A</v>
      </c>
      <c r="AB135" s="57" t="str">
        <f>IF('BASIC INFO'!$B$6+6574.5&gt;C135, "YES", "NO")</f>
        <v>YES</v>
      </c>
      <c r="AC135" s="57" t="str">
        <f>IF(Z135="YES",COUNTIFS(AD$3:$AD$200,"&gt;"&amp;('CASE DATA'!D136),$AD$3:$AD$200,"&lt;"&amp;('CASE DATA'!D136+730.5)),"n/a")</f>
        <v>n/a</v>
      </c>
    </row>
    <row r="136" spans="1:29" x14ac:dyDescent="0.25">
      <c r="A136" s="57" t="str">
        <f>IF('CASE DATA'!A137="","z",'CASE DATA'!A137)</f>
        <v>z</v>
      </c>
      <c r="B136" s="57" t="str">
        <f>IF('CASE DATA'!A137="","",'CASE DATA'!E137)</f>
        <v/>
      </c>
      <c r="C136" s="58">
        <f>'CASE DATA'!D137</f>
        <v>0</v>
      </c>
      <c r="D136" s="59" t="str">
        <f>IF('CASE DATA'!I137="YES",SUM('CASE DATA'!J137:P137),"n/a")</f>
        <v>n/a</v>
      </c>
      <c r="E136" s="60" t="str">
        <f>IF(OR('CASE DATA'!G137="JUV", 'CASE DATA'!G137="JWV"), "YES", "NO")</f>
        <v>NO</v>
      </c>
      <c r="F136" s="60" t="str">
        <f t="array" ref="F136">IF(E136="YES",IF(SUM(COUNTIF('CASE DATA'!$G$4:$G$200, {"GTR","GPL","DEF","JUV"}))&gt;0, "YES","NO"),"N/A")</f>
        <v>N/A</v>
      </c>
      <c r="G136" s="60" t="str">
        <f>IF(E136="YES",IF(COUNTIF('CASE DATA'!$D$4:$D$200, "")-COUNTIF('CASE DATA'!$A$4:$A$200, "")&gt;0, "YES","NO"),"N/A")</f>
        <v>N/A</v>
      </c>
      <c r="H136" s="57" t="str">
        <f>_xlfn.IFS(E136="NO", "N/A", AND('BASIC INFO'!$B$3&gt;'BASIC INFO'!$B$6+6574.5, C136+730.5&lt;'BASIC INFO'!$B$3), "YES", 'BASIC INFO'!$B$3&lt;('BASIC INFO'!$B$6+6574.5), "NOT YET 18", C136+730.5&gt;'BASIC INFO'!$B$3, "NOT YET 2 YEARS")</f>
        <v>N/A</v>
      </c>
      <c r="I136" s="61" t="str">
        <f>IF(OR(AND(LEFT('CASE DATA'!F137,4)="321.",MID('CASE DATA'!A137,8,2)="SM"),MID('CASE DATA'!A137,8,2)="ST",MID('CASE DATA'!A137,8,2)="NT"),"TRAFFIC",IF(OR('CASE DATA'!G137="DISM", 'CASE DATA'!G137="ACQ", 'CASE DATA'!G137="NOTF", 'CASE DATA'!G137="WTHD", 'CASE DATA'!G137="TNSF"), "YES", "NO"))</f>
        <v>NO</v>
      </c>
      <c r="J136" s="62" t="str">
        <f>IF(I136="YES",'CASE DATA'!T137,"N/A")</f>
        <v>N/A</v>
      </c>
      <c r="K136" s="57" t="str">
        <f>IF(I136="YES",IF(C136+180&lt;'BASIC INFO'!$B$3, "YES", "NO"),"N/A")</f>
        <v>N/A</v>
      </c>
      <c r="L136" s="62" t="str">
        <f t="array" ref="L136">IF(I136="TRAFFIC","n/a",IF(OR('CASE DATA'!G137="GTR", 'CASE DATA'!G137="GPL"),IF(SUM(COUNTIF('CASE DATA'!W137:AH137, 'CODE SECTIONS'!$V$2:$V$218&amp;"*"))&gt;0,"felony","eligible"),"n/a"))</f>
        <v>n/a</v>
      </c>
      <c r="M136" s="62" t="str">
        <f t="array" ref="M136">IF(L136="eligible",IF(OR((SUM(COUNTIF('CASE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62" t="str">
        <f>IF(M136="eligible",IF(COUNTIF('CASE DATA'!$D$4:$D$200, "")-COUNTIF('CASE DATA'!$A$4:$A$200, "")&gt;0, "YES","NO"),"N/A")</f>
        <v>N/A</v>
      </c>
      <c r="O136" s="62" t="str">
        <f>IF(M136="eligible",BANKRUPTCY!C137+BANKRUPTCY!D137,"N/A")</f>
        <v>N/A</v>
      </c>
      <c r="P136" s="62" t="str">
        <f>IF(M136="eligible",SOL!C137+SOL!D137+SOL!E137,"N/A")</f>
        <v>N/A</v>
      </c>
      <c r="Q136" s="62" t="str">
        <f>IF(M136="eligible",SUM('CASE DATA'!J137:S137),"N/A")</f>
        <v>N/A</v>
      </c>
      <c r="R136" s="62" t="str">
        <f>IF(M136="eligible",IF(C136+2920&lt;'BASIC INFO'!$B$3, "YES", "NO"),"N/A")</f>
        <v>N/A</v>
      </c>
      <c r="S136" s="61" t="str">
        <f>IF(OR('CASE DATA'!G137="DEF"), "YES", "NO")</f>
        <v>NO</v>
      </c>
      <c r="T136" s="57" t="str">
        <f>IF(S136="YES",'CASE DATA'!I137,"N/A")</f>
        <v>N/A</v>
      </c>
      <c r="U136" s="62" t="str">
        <f>IF(S136="YES",BANKRUPTCY!C137+BANKRUPTCY!D137,"N/A")</f>
        <v>N/A</v>
      </c>
      <c r="V136" s="62" t="str">
        <f>IF(S136="YES",SUM('CASE DATA'!J137:S137),"N/A")</f>
        <v>N/A</v>
      </c>
      <c r="W136" s="57" t="str">
        <f>IF(OR('CASE DATA'!F137="123.46",'CASE DATA'!F137="123.47"),"YES","NO")</f>
        <v>NO</v>
      </c>
      <c r="X136" s="60" t="str">
        <f>IF(W136="YES",COUNTIFS(AD$3:$AD$200,"&gt;"&amp;('CASE DATA'!D137),$AD$3:$AD$200,"&lt;"&amp;('CASE DATA'!D137+730.5)),"n/a")</f>
        <v>n/a</v>
      </c>
      <c r="Y136" s="62" t="str">
        <f>IF(W136="YES",IF(C136+730.5&lt;'BASIC INFO'!$B$3, "YES","NO"), "N/A")</f>
        <v>N/A</v>
      </c>
      <c r="Z136" s="57" t="str">
        <f>IF('CASE DATA'!F137="725.1","YES","NO")</f>
        <v>NO</v>
      </c>
      <c r="AA136" s="57" t="str">
        <f>IF(Z136="YES",IF(C136+730.5&lt;'BASIC INFO'!$B$3, "YES","NO"), "N/A")</f>
        <v>N/A</v>
      </c>
      <c r="AB136" s="57" t="str">
        <f>IF('BASIC INFO'!$B$6+6574.5&gt;C136, "YES", "NO")</f>
        <v>YES</v>
      </c>
      <c r="AC136" s="57" t="str">
        <f>IF(Z136="YES",COUNTIFS(AD$3:$AD$200,"&gt;"&amp;('CASE DATA'!D137),$AD$3:$AD$200,"&lt;"&amp;('CASE DATA'!D137+730.5)),"n/a")</f>
        <v>n/a</v>
      </c>
    </row>
    <row r="137" spans="1:29" x14ac:dyDescent="0.25">
      <c r="A137" s="57" t="str">
        <f>IF('CASE DATA'!A138="","z",'CASE DATA'!A138)</f>
        <v>z</v>
      </c>
      <c r="B137" s="57" t="str">
        <f>IF('CASE DATA'!A138="","",'CASE DATA'!E138)</f>
        <v/>
      </c>
      <c r="C137" s="58">
        <f>'CASE DATA'!D138</f>
        <v>0</v>
      </c>
      <c r="D137" s="59" t="str">
        <f>IF('CASE DATA'!I138="YES",SUM('CASE DATA'!J138:P138),"n/a")</f>
        <v>n/a</v>
      </c>
      <c r="E137" s="60" t="str">
        <f>IF(OR('CASE DATA'!G138="JUV", 'CASE DATA'!G138="JWV"), "YES", "NO")</f>
        <v>NO</v>
      </c>
      <c r="F137" s="60" t="str">
        <f t="array" ref="F137">IF(E137="YES",IF(SUM(COUNTIF('CASE DATA'!$G$4:$G$200, {"GTR","GPL","DEF","JUV"}))&gt;0, "YES","NO"),"N/A")</f>
        <v>N/A</v>
      </c>
      <c r="G137" s="60" t="str">
        <f>IF(E137="YES",IF(COUNTIF('CASE DATA'!$D$4:$D$200, "")-COUNTIF('CASE DATA'!$A$4:$A$200, "")&gt;0, "YES","NO"),"N/A")</f>
        <v>N/A</v>
      </c>
      <c r="H137" s="57" t="str">
        <f>_xlfn.IFS(E137="NO", "N/A", AND('BASIC INFO'!$B$3&gt;'BASIC INFO'!$B$6+6574.5, C137+730.5&lt;'BASIC INFO'!$B$3), "YES", 'BASIC INFO'!$B$3&lt;('BASIC INFO'!$B$6+6574.5), "NOT YET 18", C137+730.5&gt;'BASIC INFO'!$B$3, "NOT YET 2 YEARS")</f>
        <v>N/A</v>
      </c>
      <c r="I137" s="61" t="str">
        <f>IF(OR(AND(LEFT('CASE DATA'!F138,4)="321.",MID('CASE DATA'!A138,8,2)="SM"),MID('CASE DATA'!A138,8,2)="ST",MID('CASE DATA'!A138,8,2)="NT"),"TRAFFIC",IF(OR('CASE DATA'!G138="DISM", 'CASE DATA'!G138="ACQ", 'CASE DATA'!G138="NOTF", 'CASE DATA'!G138="WTHD", 'CASE DATA'!G138="TNSF"), "YES", "NO"))</f>
        <v>NO</v>
      </c>
      <c r="J137" s="62" t="str">
        <f>IF(I137="YES",'CASE DATA'!T138,"N/A")</f>
        <v>N/A</v>
      </c>
      <c r="K137" s="57" t="str">
        <f>IF(I137="YES",IF(C137+180&lt;'BASIC INFO'!$B$3, "YES", "NO"),"N/A")</f>
        <v>N/A</v>
      </c>
      <c r="L137" s="62" t="str">
        <f t="array" ref="L137">IF(I137="TRAFFIC","n/a",IF(OR('CASE DATA'!G138="GTR", 'CASE DATA'!G138="GPL"),IF(SUM(COUNTIF('CASE DATA'!W138:AH138, 'CODE SECTIONS'!$V$2:$V$218&amp;"*"))&gt;0,"felony","eligible"),"n/a"))</f>
        <v>n/a</v>
      </c>
      <c r="M137" s="62" t="str">
        <f t="array" ref="M137">IF(L137="eligible",IF(OR((SUM(COUNTIF('CASE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62" t="str">
        <f>IF(M137="eligible",IF(COUNTIF('CASE DATA'!$D$4:$D$200, "")-COUNTIF('CASE DATA'!$A$4:$A$200, "")&gt;0, "YES","NO"),"N/A")</f>
        <v>N/A</v>
      </c>
      <c r="O137" s="62" t="str">
        <f>IF(M137="eligible",BANKRUPTCY!C138+BANKRUPTCY!D138,"N/A")</f>
        <v>N/A</v>
      </c>
      <c r="P137" s="62" t="str">
        <f>IF(M137="eligible",SOL!C138+SOL!D138+SOL!E138,"N/A")</f>
        <v>N/A</v>
      </c>
      <c r="Q137" s="62" t="str">
        <f>IF(M137="eligible",SUM('CASE DATA'!J138:S138),"N/A")</f>
        <v>N/A</v>
      </c>
      <c r="R137" s="62" t="str">
        <f>IF(M137="eligible",IF(C137+2920&lt;'BASIC INFO'!$B$3, "YES", "NO"),"N/A")</f>
        <v>N/A</v>
      </c>
      <c r="S137" s="61" t="str">
        <f>IF(OR('CASE DATA'!G138="DEF"), "YES", "NO")</f>
        <v>NO</v>
      </c>
      <c r="T137" s="57" t="str">
        <f>IF(S137="YES",'CASE DATA'!I138,"N/A")</f>
        <v>N/A</v>
      </c>
      <c r="U137" s="62" t="str">
        <f>IF(S137="YES",BANKRUPTCY!C138+BANKRUPTCY!D138,"N/A")</f>
        <v>N/A</v>
      </c>
      <c r="V137" s="62" t="str">
        <f>IF(S137="YES",SUM('CASE DATA'!J138:S138),"N/A")</f>
        <v>N/A</v>
      </c>
      <c r="W137" s="57" t="str">
        <f>IF(OR('CASE DATA'!F138="123.46",'CASE DATA'!F138="123.47"),"YES","NO")</f>
        <v>NO</v>
      </c>
      <c r="X137" s="60" t="str">
        <f>IF(W137="YES",COUNTIFS(AD$3:$AD$200,"&gt;"&amp;('CASE DATA'!D138),$AD$3:$AD$200,"&lt;"&amp;('CASE DATA'!D138+730.5)),"n/a")</f>
        <v>n/a</v>
      </c>
      <c r="Y137" s="62" t="str">
        <f>IF(W137="YES",IF(C137+730.5&lt;'BASIC INFO'!$B$3, "YES","NO"), "N/A")</f>
        <v>N/A</v>
      </c>
      <c r="Z137" s="57" t="str">
        <f>IF('CASE DATA'!F138="725.1","YES","NO")</f>
        <v>NO</v>
      </c>
      <c r="AA137" s="57" t="str">
        <f>IF(Z137="YES",IF(C137+730.5&lt;'BASIC INFO'!$B$3, "YES","NO"), "N/A")</f>
        <v>N/A</v>
      </c>
      <c r="AB137" s="57" t="str">
        <f>IF('BASIC INFO'!$B$6+6574.5&gt;C137, "YES", "NO")</f>
        <v>YES</v>
      </c>
      <c r="AC137" s="57" t="str">
        <f>IF(Z137="YES",COUNTIFS(AD$3:$AD$200,"&gt;"&amp;('CASE DATA'!D138),$AD$3:$AD$200,"&lt;"&amp;('CASE DATA'!D138+730.5)),"n/a")</f>
        <v>n/a</v>
      </c>
    </row>
    <row r="138" spans="1:29" x14ac:dyDescent="0.25">
      <c r="A138" s="57" t="str">
        <f>IF('CASE DATA'!A139="","z",'CASE DATA'!A139)</f>
        <v>z</v>
      </c>
      <c r="B138" s="57" t="str">
        <f>IF('CASE DATA'!A139="","",'CASE DATA'!E139)</f>
        <v/>
      </c>
      <c r="C138" s="58">
        <f>'CASE DATA'!D139</f>
        <v>0</v>
      </c>
      <c r="D138" s="59" t="str">
        <f>IF('CASE DATA'!I139="YES",SUM('CASE DATA'!J139:P139),"n/a")</f>
        <v>n/a</v>
      </c>
      <c r="E138" s="60" t="str">
        <f>IF(OR('CASE DATA'!G139="JUV", 'CASE DATA'!G139="JWV"), "YES", "NO")</f>
        <v>NO</v>
      </c>
      <c r="F138" s="60" t="str">
        <f t="array" ref="F138">IF(E138="YES",IF(SUM(COUNTIF('CASE DATA'!$G$4:$G$200, {"GTR","GPL","DEF","JUV"}))&gt;0, "YES","NO"),"N/A")</f>
        <v>N/A</v>
      </c>
      <c r="G138" s="60" t="str">
        <f>IF(E138="YES",IF(COUNTIF('CASE DATA'!$D$4:$D$200, "")-COUNTIF('CASE DATA'!$A$4:$A$200, "")&gt;0, "YES","NO"),"N/A")</f>
        <v>N/A</v>
      </c>
      <c r="H138" s="57" t="str">
        <f>_xlfn.IFS(E138="NO", "N/A", AND('BASIC INFO'!$B$3&gt;'BASIC INFO'!$B$6+6574.5, C138+730.5&lt;'BASIC INFO'!$B$3), "YES", 'BASIC INFO'!$B$3&lt;('BASIC INFO'!$B$6+6574.5), "NOT YET 18", C138+730.5&gt;'BASIC INFO'!$B$3, "NOT YET 2 YEARS")</f>
        <v>N/A</v>
      </c>
      <c r="I138" s="61" t="str">
        <f>IF(OR(AND(LEFT('CASE DATA'!F139,4)="321.",MID('CASE DATA'!A139,8,2)="SM"),MID('CASE DATA'!A139,8,2)="ST",MID('CASE DATA'!A139,8,2)="NT"),"TRAFFIC",IF(OR('CASE DATA'!G139="DISM", 'CASE DATA'!G139="ACQ", 'CASE DATA'!G139="NOTF", 'CASE DATA'!G139="WTHD", 'CASE DATA'!G139="TNSF"), "YES", "NO"))</f>
        <v>NO</v>
      </c>
      <c r="J138" s="62" t="str">
        <f>IF(I138="YES",'CASE DATA'!T139,"N/A")</f>
        <v>N/A</v>
      </c>
      <c r="K138" s="57" t="str">
        <f>IF(I138="YES",IF(C138+180&lt;'BASIC INFO'!$B$3, "YES", "NO"),"N/A")</f>
        <v>N/A</v>
      </c>
      <c r="L138" s="62" t="str">
        <f t="array" ref="L138">IF(I138="TRAFFIC","n/a",IF(OR('CASE DATA'!G139="GTR", 'CASE DATA'!G139="GPL"),IF(SUM(COUNTIF('CASE DATA'!W139:AH139, 'CODE SECTIONS'!$V$2:$V$218&amp;"*"))&gt;0,"felony","eligible"),"n/a"))</f>
        <v>n/a</v>
      </c>
      <c r="M138" s="62" t="str">
        <f t="array" ref="M138">IF(L138="eligible",IF(OR((SUM(COUNTIF('CASE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62" t="str">
        <f>IF(M138="eligible",IF(COUNTIF('CASE DATA'!$D$4:$D$200, "")-COUNTIF('CASE DATA'!$A$4:$A$200, "")&gt;0, "YES","NO"),"N/A")</f>
        <v>N/A</v>
      </c>
      <c r="O138" s="62" t="str">
        <f>IF(M138="eligible",BANKRUPTCY!C139+BANKRUPTCY!D139,"N/A")</f>
        <v>N/A</v>
      </c>
      <c r="P138" s="62" t="str">
        <f>IF(M138="eligible",SOL!C139+SOL!D139+SOL!E139,"N/A")</f>
        <v>N/A</v>
      </c>
      <c r="Q138" s="62" t="str">
        <f>IF(M138="eligible",SUM('CASE DATA'!J139:S139),"N/A")</f>
        <v>N/A</v>
      </c>
      <c r="R138" s="62" t="str">
        <f>IF(M138="eligible",IF(C138+2920&lt;'BASIC INFO'!$B$3, "YES", "NO"),"N/A")</f>
        <v>N/A</v>
      </c>
      <c r="S138" s="61" t="str">
        <f>IF(OR('CASE DATA'!G139="DEF"), "YES", "NO")</f>
        <v>NO</v>
      </c>
      <c r="T138" s="57" t="str">
        <f>IF(S138="YES",'CASE DATA'!I139,"N/A")</f>
        <v>N/A</v>
      </c>
      <c r="U138" s="62" t="str">
        <f>IF(S138="YES",BANKRUPTCY!C139+BANKRUPTCY!D139,"N/A")</f>
        <v>N/A</v>
      </c>
      <c r="V138" s="62" t="str">
        <f>IF(S138="YES",SUM('CASE DATA'!J139:S139),"N/A")</f>
        <v>N/A</v>
      </c>
      <c r="W138" s="57" t="str">
        <f>IF(OR('CASE DATA'!F139="123.46",'CASE DATA'!F139="123.47"),"YES","NO")</f>
        <v>NO</v>
      </c>
      <c r="X138" s="60" t="str">
        <f>IF(W138="YES",COUNTIFS(AD$3:$AD$200,"&gt;"&amp;('CASE DATA'!D139),$AD$3:$AD$200,"&lt;"&amp;('CASE DATA'!D139+730.5)),"n/a")</f>
        <v>n/a</v>
      </c>
      <c r="Y138" s="62" t="str">
        <f>IF(W138="YES",IF(C138+730.5&lt;'BASIC INFO'!$B$3, "YES","NO"), "N/A")</f>
        <v>N/A</v>
      </c>
      <c r="Z138" s="57" t="str">
        <f>IF('CASE DATA'!F139="725.1","YES","NO")</f>
        <v>NO</v>
      </c>
      <c r="AA138" s="57" t="str">
        <f>IF(Z138="YES",IF(C138+730.5&lt;'BASIC INFO'!$B$3, "YES","NO"), "N/A")</f>
        <v>N/A</v>
      </c>
      <c r="AB138" s="57" t="str">
        <f>IF('BASIC INFO'!$B$6+6574.5&gt;C138, "YES", "NO")</f>
        <v>YES</v>
      </c>
      <c r="AC138" s="57" t="str">
        <f>IF(Z138="YES",COUNTIFS(AD$3:$AD$200,"&gt;"&amp;('CASE DATA'!D139),$AD$3:$AD$200,"&lt;"&amp;('CASE DATA'!D139+730.5)),"n/a")</f>
        <v>n/a</v>
      </c>
    </row>
    <row r="139" spans="1:29" x14ac:dyDescent="0.25">
      <c r="A139" s="57" t="str">
        <f>IF('CASE DATA'!A140="","z",'CASE DATA'!A140)</f>
        <v>z</v>
      </c>
      <c r="B139" s="57" t="str">
        <f>IF('CASE DATA'!A140="","",'CASE DATA'!E140)</f>
        <v/>
      </c>
      <c r="C139" s="58">
        <f>'CASE DATA'!D140</f>
        <v>0</v>
      </c>
      <c r="D139" s="59" t="str">
        <f>IF('CASE DATA'!I140="YES",SUM('CASE DATA'!J140:P140),"n/a")</f>
        <v>n/a</v>
      </c>
      <c r="E139" s="60" t="str">
        <f>IF(OR('CASE DATA'!G140="JUV", 'CASE DATA'!G140="JWV"), "YES", "NO")</f>
        <v>NO</v>
      </c>
      <c r="F139" s="60" t="str">
        <f t="array" ref="F139">IF(E139="YES",IF(SUM(COUNTIF('CASE DATA'!$G$4:$G$200, {"GTR","GPL","DEF","JUV"}))&gt;0, "YES","NO"),"N/A")</f>
        <v>N/A</v>
      </c>
      <c r="G139" s="60" t="str">
        <f>IF(E139="YES",IF(COUNTIF('CASE DATA'!$D$4:$D$200, "")-COUNTIF('CASE DATA'!$A$4:$A$200, "")&gt;0, "YES","NO"),"N/A")</f>
        <v>N/A</v>
      </c>
      <c r="H139" s="57" t="str">
        <f>_xlfn.IFS(E139="NO", "N/A", AND('BASIC INFO'!$B$3&gt;'BASIC INFO'!$B$6+6574.5, C139+730.5&lt;'BASIC INFO'!$B$3), "YES", 'BASIC INFO'!$B$3&lt;('BASIC INFO'!$B$6+6574.5), "NOT YET 18", C139+730.5&gt;'BASIC INFO'!$B$3, "NOT YET 2 YEARS")</f>
        <v>N/A</v>
      </c>
      <c r="I139" s="61" t="str">
        <f>IF(OR(AND(LEFT('CASE DATA'!F140,4)="321.",MID('CASE DATA'!A140,8,2)="SM"),MID('CASE DATA'!A140,8,2)="ST",MID('CASE DATA'!A140,8,2)="NT"),"TRAFFIC",IF(OR('CASE DATA'!G140="DISM", 'CASE DATA'!G140="ACQ", 'CASE DATA'!G140="NOTF", 'CASE DATA'!G140="WTHD", 'CASE DATA'!G140="TNSF"), "YES", "NO"))</f>
        <v>NO</v>
      </c>
      <c r="J139" s="62" t="str">
        <f>IF(I139="YES",'CASE DATA'!T140,"N/A")</f>
        <v>N/A</v>
      </c>
      <c r="K139" s="57" t="str">
        <f>IF(I139="YES",IF(C139+180&lt;'BASIC INFO'!$B$3, "YES", "NO"),"N/A")</f>
        <v>N/A</v>
      </c>
      <c r="L139" s="62" t="str">
        <f t="array" ref="L139">IF(I139="TRAFFIC","n/a",IF(OR('CASE DATA'!G140="GTR", 'CASE DATA'!G140="GPL"),IF(SUM(COUNTIF('CASE DATA'!W140:AH140, 'CODE SECTIONS'!$V$2:$V$218&amp;"*"))&gt;0,"felony","eligible"),"n/a"))</f>
        <v>n/a</v>
      </c>
      <c r="M139" s="62" t="str">
        <f t="array" ref="M139">IF(L139="eligible",IF(OR((SUM(COUNTIF('CASE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62" t="str">
        <f>IF(M139="eligible",IF(COUNTIF('CASE DATA'!$D$4:$D$200, "")-COUNTIF('CASE DATA'!$A$4:$A$200, "")&gt;0, "YES","NO"),"N/A")</f>
        <v>N/A</v>
      </c>
      <c r="O139" s="62" t="str">
        <f>IF(M139="eligible",BANKRUPTCY!C140+BANKRUPTCY!D140,"N/A")</f>
        <v>N/A</v>
      </c>
      <c r="P139" s="62" t="str">
        <f>IF(M139="eligible",SOL!C140+SOL!D140+SOL!E140,"N/A")</f>
        <v>N/A</v>
      </c>
      <c r="Q139" s="62" t="str">
        <f>IF(M139="eligible",SUM('CASE DATA'!J140:S140),"N/A")</f>
        <v>N/A</v>
      </c>
      <c r="R139" s="62" t="str">
        <f>IF(M139="eligible",IF(C139+2920&lt;'BASIC INFO'!$B$3, "YES", "NO"),"N/A")</f>
        <v>N/A</v>
      </c>
      <c r="S139" s="61" t="str">
        <f>IF(OR('CASE DATA'!G140="DEF"), "YES", "NO")</f>
        <v>NO</v>
      </c>
      <c r="T139" s="57" t="str">
        <f>IF(S139="YES",'CASE DATA'!I140,"N/A")</f>
        <v>N/A</v>
      </c>
      <c r="U139" s="62" t="str">
        <f>IF(S139="YES",BANKRUPTCY!C140+BANKRUPTCY!D140,"N/A")</f>
        <v>N/A</v>
      </c>
      <c r="V139" s="62" t="str">
        <f>IF(S139="YES",SUM('CASE DATA'!J140:S140),"N/A")</f>
        <v>N/A</v>
      </c>
      <c r="W139" s="57" t="str">
        <f>IF(OR('CASE DATA'!F140="123.46",'CASE DATA'!F140="123.47"),"YES","NO")</f>
        <v>NO</v>
      </c>
      <c r="X139" s="60" t="str">
        <f>IF(W139="YES",COUNTIFS(AD$3:$AD$200,"&gt;"&amp;('CASE DATA'!D140),$AD$3:$AD$200,"&lt;"&amp;('CASE DATA'!D140+730.5)),"n/a")</f>
        <v>n/a</v>
      </c>
      <c r="Y139" s="62" t="str">
        <f>IF(W139="YES",IF(C139+730.5&lt;'BASIC INFO'!$B$3, "YES","NO"), "N/A")</f>
        <v>N/A</v>
      </c>
      <c r="Z139" s="57" t="str">
        <f>IF('CASE DATA'!F140="725.1","YES","NO")</f>
        <v>NO</v>
      </c>
      <c r="AA139" s="57" t="str">
        <f>IF(Z139="YES",IF(C139+730.5&lt;'BASIC INFO'!$B$3, "YES","NO"), "N/A")</f>
        <v>N/A</v>
      </c>
      <c r="AB139" s="57" t="str">
        <f>IF('BASIC INFO'!$B$6+6574.5&gt;C139, "YES", "NO")</f>
        <v>YES</v>
      </c>
      <c r="AC139" s="57" t="str">
        <f>IF(Z139="YES",COUNTIFS(AD$3:$AD$200,"&gt;"&amp;('CASE DATA'!D140),$AD$3:$AD$200,"&lt;"&amp;('CASE DATA'!D140+730.5)),"n/a")</f>
        <v>n/a</v>
      </c>
    </row>
    <row r="140" spans="1:29" x14ac:dyDescent="0.25">
      <c r="A140" s="57" t="str">
        <f>IF('CASE DATA'!A141="","z",'CASE DATA'!A141)</f>
        <v>z</v>
      </c>
      <c r="B140" s="57" t="str">
        <f>IF('CASE DATA'!A141="","",'CASE DATA'!E141)</f>
        <v/>
      </c>
      <c r="C140" s="58">
        <f>'CASE DATA'!D141</f>
        <v>0</v>
      </c>
      <c r="D140" s="59" t="str">
        <f>IF('CASE DATA'!I141="YES",SUM('CASE DATA'!J141:P141),"n/a")</f>
        <v>n/a</v>
      </c>
      <c r="E140" s="60" t="str">
        <f>IF(OR('CASE DATA'!G141="JUV", 'CASE DATA'!G141="JWV"), "YES", "NO")</f>
        <v>NO</v>
      </c>
      <c r="F140" s="60" t="str">
        <f t="array" ref="F140">IF(E140="YES",IF(SUM(COUNTIF('CASE DATA'!$G$4:$G$200, {"GTR","GPL","DEF","JUV"}))&gt;0, "YES","NO"),"N/A")</f>
        <v>N/A</v>
      </c>
      <c r="G140" s="60" t="str">
        <f>IF(E140="YES",IF(COUNTIF('CASE DATA'!$D$4:$D$200, "")-COUNTIF('CASE DATA'!$A$4:$A$200, "")&gt;0, "YES","NO"),"N/A")</f>
        <v>N/A</v>
      </c>
      <c r="H140" s="57" t="str">
        <f>_xlfn.IFS(E140="NO", "N/A", AND('BASIC INFO'!$B$3&gt;'BASIC INFO'!$B$6+6574.5, C140+730.5&lt;'BASIC INFO'!$B$3), "YES", 'BASIC INFO'!$B$3&lt;('BASIC INFO'!$B$6+6574.5), "NOT YET 18", C140+730.5&gt;'BASIC INFO'!$B$3, "NOT YET 2 YEARS")</f>
        <v>N/A</v>
      </c>
      <c r="I140" s="61" t="str">
        <f>IF(OR(AND(LEFT('CASE DATA'!F141,4)="321.",MID('CASE DATA'!A141,8,2)="SM"),MID('CASE DATA'!A141,8,2)="ST",MID('CASE DATA'!A141,8,2)="NT"),"TRAFFIC",IF(OR('CASE DATA'!G141="DISM", 'CASE DATA'!G141="ACQ", 'CASE DATA'!G141="NOTF", 'CASE DATA'!G141="WTHD", 'CASE DATA'!G141="TNSF"), "YES", "NO"))</f>
        <v>NO</v>
      </c>
      <c r="J140" s="62" t="str">
        <f>IF(I140="YES",'CASE DATA'!T141,"N/A")</f>
        <v>N/A</v>
      </c>
      <c r="K140" s="57" t="str">
        <f>IF(I140="YES",IF(C140+180&lt;'BASIC INFO'!$B$3, "YES", "NO"),"N/A")</f>
        <v>N/A</v>
      </c>
      <c r="L140" s="62" t="str">
        <f t="array" ref="L140">IF(I140="TRAFFIC","n/a",IF(OR('CASE DATA'!G141="GTR", 'CASE DATA'!G141="GPL"),IF(SUM(COUNTIF('CASE DATA'!W141:AH141, 'CODE SECTIONS'!$V$2:$V$218&amp;"*"))&gt;0,"felony","eligible"),"n/a"))</f>
        <v>n/a</v>
      </c>
      <c r="M140" s="62" t="str">
        <f t="array" ref="M140">IF(L140="eligible",IF(OR((SUM(COUNTIF('CASE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62" t="str">
        <f>IF(M140="eligible",IF(COUNTIF('CASE DATA'!$D$4:$D$200, "")-COUNTIF('CASE DATA'!$A$4:$A$200, "")&gt;0, "YES","NO"),"N/A")</f>
        <v>N/A</v>
      </c>
      <c r="O140" s="62" t="str">
        <f>IF(M140="eligible",BANKRUPTCY!C141+BANKRUPTCY!D141,"N/A")</f>
        <v>N/A</v>
      </c>
      <c r="P140" s="62" t="str">
        <f>IF(M140="eligible",SOL!C141+SOL!D141+SOL!E141,"N/A")</f>
        <v>N/A</v>
      </c>
      <c r="Q140" s="62" t="str">
        <f>IF(M140="eligible",SUM('CASE DATA'!J141:S141),"N/A")</f>
        <v>N/A</v>
      </c>
      <c r="R140" s="62" t="str">
        <f>IF(M140="eligible",IF(C140+2920&lt;'BASIC INFO'!$B$3, "YES", "NO"),"N/A")</f>
        <v>N/A</v>
      </c>
      <c r="S140" s="61" t="str">
        <f>IF(OR('CASE DATA'!G141="DEF"), "YES", "NO")</f>
        <v>NO</v>
      </c>
      <c r="T140" s="57" t="str">
        <f>IF(S140="YES",'CASE DATA'!I141,"N/A")</f>
        <v>N/A</v>
      </c>
      <c r="U140" s="62" t="str">
        <f>IF(S140="YES",BANKRUPTCY!C141+BANKRUPTCY!D141,"N/A")</f>
        <v>N/A</v>
      </c>
      <c r="V140" s="62" t="str">
        <f>IF(S140="YES",SUM('CASE DATA'!J141:S141),"N/A")</f>
        <v>N/A</v>
      </c>
      <c r="W140" s="57" t="str">
        <f>IF(OR('CASE DATA'!F141="123.46",'CASE DATA'!F141="123.47"),"YES","NO")</f>
        <v>NO</v>
      </c>
      <c r="X140" s="60" t="str">
        <f>IF(W140="YES",COUNTIFS(AD$3:$AD$200,"&gt;"&amp;('CASE DATA'!D141),$AD$3:$AD$200,"&lt;"&amp;('CASE DATA'!D141+730.5)),"n/a")</f>
        <v>n/a</v>
      </c>
      <c r="Y140" s="62" t="str">
        <f>IF(W140="YES",IF(C140+730.5&lt;'BASIC INFO'!$B$3, "YES","NO"), "N/A")</f>
        <v>N/A</v>
      </c>
      <c r="Z140" s="57" t="str">
        <f>IF('CASE DATA'!F141="725.1","YES","NO")</f>
        <v>NO</v>
      </c>
      <c r="AA140" s="57" t="str">
        <f>IF(Z140="YES",IF(C140+730.5&lt;'BASIC INFO'!$B$3, "YES","NO"), "N/A")</f>
        <v>N/A</v>
      </c>
      <c r="AB140" s="57" t="str">
        <f>IF('BASIC INFO'!$B$6+6574.5&gt;C140, "YES", "NO")</f>
        <v>YES</v>
      </c>
      <c r="AC140" s="57" t="str">
        <f>IF(Z140="YES",COUNTIFS(AD$3:$AD$200,"&gt;"&amp;('CASE DATA'!D141),$AD$3:$AD$200,"&lt;"&amp;('CASE DATA'!D141+730.5)),"n/a")</f>
        <v>n/a</v>
      </c>
    </row>
    <row r="141" spans="1:29" x14ac:dyDescent="0.25">
      <c r="A141" s="57" t="str">
        <f>IF('CASE DATA'!A142="","z",'CASE DATA'!A142)</f>
        <v>z</v>
      </c>
      <c r="B141" s="57" t="str">
        <f>IF('CASE DATA'!A142="","",'CASE DATA'!E142)</f>
        <v/>
      </c>
      <c r="C141" s="58">
        <f>'CASE DATA'!D142</f>
        <v>0</v>
      </c>
      <c r="D141" s="59" t="str">
        <f>IF('CASE DATA'!I142="YES",SUM('CASE DATA'!J142:P142),"n/a")</f>
        <v>n/a</v>
      </c>
      <c r="E141" s="60" t="str">
        <f>IF(OR('CASE DATA'!G142="JUV", 'CASE DATA'!G142="JWV"), "YES", "NO")</f>
        <v>NO</v>
      </c>
      <c r="F141" s="60" t="str">
        <f t="array" ref="F141">IF(E141="YES",IF(SUM(COUNTIF('CASE DATA'!$G$4:$G$200, {"GTR","GPL","DEF","JUV"}))&gt;0, "YES","NO"),"N/A")</f>
        <v>N/A</v>
      </c>
      <c r="G141" s="60" t="str">
        <f>IF(E141="YES",IF(COUNTIF('CASE DATA'!$D$4:$D$200, "")-COUNTIF('CASE DATA'!$A$4:$A$200, "")&gt;0, "YES","NO"),"N/A")</f>
        <v>N/A</v>
      </c>
      <c r="H141" s="57" t="str">
        <f>_xlfn.IFS(E141="NO", "N/A", AND('BASIC INFO'!$B$3&gt;'BASIC INFO'!$B$6+6574.5, C141+730.5&lt;'BASIC INFO'!$B$3), "YES", 'BASIC INFO'!$B$3&lt;('BASIC INFO'!$B$6+6574.5), "NOT YET 18", C141+730.5&gt;'BASIC INFO'!$B$3, "NOT YET 2 YEARS")</f>
        <v>N/A</v>
      </c>
      <c r="I141" s="61" t="str">
        <f>IF(OR(AND(LEFT('CASE DATA'!F142,4)="321.",MID('CASE DATA'!A142,8,2)="SM"),MID('CASE DATA'!A142,8,2)="ST",MID('CASE DATA'!A142,8,2)="NT"),"TRAFFIC",IF(OR('CASE DATA'!G142="DISM", 'CASE DATA'!G142="ACQ", 'CASE DATA'!G142="NOTF", 'CASE DATA'!G142="WTHD", 'CASE DATA'!G142="TNSF"), "YES", "NO"))</f>
        <v>NO</v>
      </c>
      <c r="J141" s="62" t="str">
        <f>IF(I141="YES",'CASE DATA'!T142,"N/A")</f>
        <v>N/A</v>
      </c>
      <c r="K141" s="57" t="str">
        <f>IF(I141="YES",IF(C141+180&lt;'BASIC INFO'!$B$3, "YES", "NO"),"N/A")</f>
        <v>N/A</v>
      </c>
      <c r="L141" s="62" t="str">
        <f t="array" ref="L141">IF(I141="TRAFFIC","n/a",IF(OR('CASE DATA'!G142="GTR", 'CASE DATA'!G142="GPL"),IF(SUM(COUNTIF('CASE DATA'!W142:AH142, 'CODE SECTIONS'!$V$2:$V$218&amp;"*"))&gt;0,"felony","eligible"),"n/a"))</f>
        <v>n/a</v>
      </c>
      <c r="M141" s="62" t="str">
        <f t="array" ref="M141">IF(L141="eligible",IF(OR((SUM(COUNTIF('CASE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62" t="str">
        <f>IF(M141="eligible",IF(COUNTIF('CASE DATA'!$D$4:$D$200, "")-COUNTIF('CASE DATA'!$A$4:$A$200, "")&gt;0, "YES","NO"),"N/A")</f>
        <v>N/A</v>
      </c>
      <c r="O141" s="62" t="str">
        <f>IF(M141="eligible",BANKRUPTCY!C142+BANKRUPTCY!D142,"N/A")</f>
        <v>N/A</v>
      </c>
      <c r="P141" s="62" t="str">
        <f>IF(M141="eligible",SOL!C142+SOL!D142+SOL!E142,"N/A")</f>
        <v>N/A</v>
      </c>
      <c r="Q141" s="62" t="str">
        <f>IF(M141="eligible",SUM('CASE DATA'!J142:S142),"N/A")</f>
        <v>N/A</v>
      </c>
      <c r="R141" s="62" t="str">
        <f>IF(M141="eligible",IF(C141+2920&lt;'BASIC INFO'!$B$3, "YES", "NO"),"N/A")</f>
        <v>N/A</v>
      </c>
      <c r="S141" s="61" t="str">
        <f>IF(OR('CASE DATA'!G142="DEF"), "YES", "NO")</f>
        <v>NO</v>
      </c>
      <c r="T141" s="57" t="str">
        <f>IF(S141="YES",'CASE DATA'!I142,"N/A")</f>
        <v>N/A</v>
      </c>
      <c r="U141" s="62" t="str">
        <f>IF(S141="YES",BANKRUPTCY!C142+BANKRUPTCY!D142,"N/A")</f>
        <v>N/A</v>
      </c>
      <c r="V141" s="62" t="str">
        <f>IF(S141="YES",SUM('CASE DATA'!J142:S142),"N/A")</f>
        <v>N/A</v>
      </c>
      <c r="W141" s="57" t="str">
        <f>IF(OR('CASE DATA'!F142="123.46",'CASE DATA'!F142="123.47"),"YES","NO")</f>
        <v>NO</v>
      </c>
      <c r="X141" s="60" t="str">
        <f>IF(W141="YES",COUNTIFS(AD$3:$AD$200,"&gt;"&amp;('CASE DATA'!D142),$AD$3:$AD$200,"&lt;"&amp;('CASE DATA'!D142+730.5)),"n/a")</f>
        <v>n/a</v>
      </c>
      <c r="Y141" s="62" t="str">
        <f>IF(W141="YES",IF(C141+730.5&lt;'BASIC INFO'!$B$3, "YES","NO"), "N/A")</f>
        <v>N/A</v>
      </c>
      <c r="Z141" s="57" t="str">
        <f>IF('CASE DATA'!F142="725.1","YES","NO")</f>
        <v>NO</v>
      </c>
      <c r="AA141" s="57" t="str">
        <f>IF(Z141="YES",IF(C141+730.5&lt;'BASIC INFO'!$B$3, "YES","NO"), "N/A")</f>
        <v>N/A</v>
      </c>
      <c r="AB141" s="57" t="str">
        <f>IF('BASIC INFO'!$B$6+6574.5&gt;C141, "YES", "NO")</f>
        <v>YES</v>
      </c>
      <c r="AC141" s="57" t="str">
        <f>IF(Z141="YES",COUNTIFS(AD$3:$AD$200,"&gt;"&amp;('CASE DATA'!D142),$AD$3:$AD$200,"&lt;"&amp;('CASE DATA'!D142+730.5)),"n/a")</f>
        <v>n/a</v>
      </c>
    </row>
    <row r="142" spans="1:29" x14ac:dyDescent="0.25">
      <c r="A142" s="57" t="str">
        <f>IF('CASE DATA'!A143="","z",'CASE DATA'!A143)</f>
        <v>z</v>
      </c>
      <c r="B142" s="57" t="str">
        <f>IF('CASE DATA'!A143="","",'CASE DATA'!E143)</f>
        <v/>
      </c>
      <c r="C142" s="58">
        <f>'CASE DATA'!D143</f>
        <v>0</v>
      </c>
      <c r="D142" s="59" t="str">
        <f>IF('CASE DATA'!I143="YES",SUM('CASE DATA'!J143:P143),"n/a")</f>
        <v>n/a</v>
      </c>
      <c r="E142" s="60" t="str">
        <f>IF(OR('CASE DATA'!G143="JUV", 'CASE DATA'!G143="JWV"), "YES", "NO")</f>
        <v>NO</v>
      </c>
      <c r="F142" s="60" t="str">
        <f t="array" ref="F142">IF(E142="YES",IF(SUM(COUNTIF('CASE DATA'!$G$4:$G$200, {"GTR","GPL","DEF","JUV"}))&gt;0, "YES","NO"),"N/A")</f>
        <v>N/A</v>
      </c>
      <c r="G142" s="60" t="str">
        <f>IF(E142="YES",IF(COUNTIF('CASE DATA'!$D$4:$D$200, "")-COUNTIF('CASE DATA'!$A$4:$A$200, "")&gt;0, "YES","NO"),"N/A")</f>
        <v>N/A</v>
      </c>
      <c r="H142" s="57" t="str">
        <f>_xlfn.IFS(E142="NO", "N/A", AND('BASIC INFO'!$B$3&gt;'BASIC INFO'!$B$6+6574.5, C142+730.5&lt;'BASIC INFO'!$B$3), "YES", 'BASIC INFO'!$B$3&lt;('BASIC INFO'!$B$6+6574.5), "NOT YET 18", C142+730.5&gt;'BASIC INFO'!$B$3, "NOT YET 2 YEARS")</f>
        <v>N/A</v>
      </c>
      <c r="I142" s="61" t="str">
        <f>IF(OR(AND(LEFT('CASE DATA'!F143,4)="321.",MID('CASE DATA'!A143,8,2)="SM"),MID('CASE DATA'!A143,8,2)="ST",MID('CASE DATA'!A143,8,2)="NT"),"TRAFFIC",IF(OR('CASE DATA'!G143="DISM", 'CASE DATA'!G143="ACQ", 'CASE DATA'!G143="NOTF", 'CASE DATA'!G143="WTHD", 'CASE DATA'!G143="TNSF"), "YES", "NO"))</f>
        <v>NO</v>
      </c>
      <c r="J142" s="62" t="str">
        <f>IF(I142="YES",'CASE DATA'!T143,"N/A")</f>
        <v>N/A</v>
      </c>
      <c r="K142" s="57" t="str">
        <f>IF(I142="YES",IF(C142+180&lt;'BASIC INFO'!$B$3, "YES", "NO"),"N/A")</f>
        <v>N/A</v>
      </c>
      <c r="L142" s="62" t="str">
        <f t="array" ref="L142">IF(I142="TRAFFIC","n/a",IF(OR('CASE DATA'!G143="GTR", 'CASE DATA'!G143="GPL"),IF(SUM(COUNTIF('CASE DATA'!W143:AH143, 'CODE SECTIONS'!$V$2:$V$218&amp;"*"))&gt;0,"felony","eligible"),"n/a"))</f>
        <v>n/a</v>
      </c>
      <c r="M142" s="62" t="str">
        <f t="array" ref="M142">IF(L142="eligible",IF(OR((SUM(COUNTIF('CASE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62" t="str">
        <f>IF(M142="eligible",IF(COUNTIF('CASE DATA'!$D$4:$D$200, "")-COUNTIF('CASE DATA'!$A$4:$A$200, "")&gt;0, "YES","NO"),"N/A")</f>
        <v>N/A</v>
      </c>
      <c r="O142" s="62" t="str">
        <f>IF(M142="eligible",BANKRUPTCY!C143+BANKRUPTCY!D143,"N/A")</f>
        <v>N/A</v>
      </c>
      <c r="P142" s="62" t="str">
        <f>IF(M142="eligible",SOL!C143+SOL!D143+SOL!E143,"N/A")</f>
        <v>N/A</v>
      </c>
      <c r="Q142" s="62" t="str">
        <f>IF(M142="eligible",SUM('CASE DATA'!J143:S143),"N/A")</f>
        <v>N/A</v>
      </c>
      <c r="R142" s="62" t="str">
        <f>IF(M142="eligible",IF(C142+2920&lt;'BASIC INFO'!$B$3, "YES", "NO"),"N/A")</f>
        <v>N/A</v>
      </c>
      <c r="S142" s="61" t="str">
        <f>IF(OR('CASE DATA'!G143="DEF"), "YES", "NO")</f>
        <v>NO</v>
      </c>
      <c r="T142" s="57" t="str">
        <f>IF(S142="YES",'CASE DATA'!I143,"N/A")</f>
        <v>N/A</v>
      </c>
      <c r="U142" s="62" t="str">
        <f>IF(S142="YES",BANKRUPTCY!C143+BANKRUPTCY!D143,"N/A")</f>
        <v>N/A</v>
      </c>
      <c r="V142" s="62" t="str">
        <f>IF(S142="YES",SUM('CASE DATA'!J143:S143),"N/A")</f>
        <v>N/A</v>
      </c>
      <c r="W142" s="57" t="str">
        <f>IF(OR('CASE DATA'!F143="123.46",'CASE DATA'!F143="123.47"),"YES","NO")</f>
        <v>NO</v>
      </c>
      <c r="X142" s="60" t="str">
        <f>IF(W142="YES",COUNTIFS(AD$3:$AD$200,"&gt;"&amp;('CASE DATA'!D143),$AD$3:$AD$200,"&lt;"&amp;('CASE DATA'!D143+730.5)),"n/a")</f>
        <v>n/a</v>
      </c>
      <c r="Y142" s="62" t="str">
        <f>IF(W142="YES",IF(C142+730.5&lt;'BASIC INFO'!$B$3, "YES","NO"), "N/A")</f>
        <v>N/A</v>
      </c>
      <c r="Z142" s="57" t="str">
        <f>IF('CASE DATA'!F143="725.1","YES","NO")</f>
        <v>NO</v>
      </c>
      <c r="AA142" s="57" t="str">
        <f>IF(Z142="YES",IF(C142+730.5&lt;'BASIC INFO'!$B$3, "YES","NO"), "N/A")</f>
        <v>N/A</v>
      </c>
      <c r="AB142" s="57" t="str">
        <f>IF('BASIC INFO'!$B$6+6574.5&gt;C142, "YES", "NO")</f>
        <v>YES</v>
      </c>
      <c r="AC142" s="57" t="str">
        <f>IF(Z142="YES",COUNTIFS(AD$3:$AD$200,"&gt;"&amp;('CASE DATA'!D143),$AD$3:$AD$200,"&lt;"&amp;('CASE DATA'!D143+730.5)),"n/a")</f>
        <v>n/a</v>
      </c>
    </row>
    <row r="143" spans="1:29" x14ac:dyDescent="0.25">
      <c r="A143" s="57" t="str">
        <f>IF('CASE DATA'!A144="","z",'CASE DATA'!A144)</f>
        <v>z</v>
      </c>
      <c r="B143" s="57" t="str">
        <f>IF('CASE DATA'!A144="","",'CASE DATA'!E144)</f>
        <v/>
      </c>
      <c r="C143" s="58">
        <f>'CASE DATA'!D144</f>
        <v>0</v>
      </c>
      <c r="D143" s="59" t="str">
        <f>IF('CASE DATA'!I144="YES",SUM('CASE DATA'!J144:P144),"n/a")</f>
        <v>n/a</v>
      </c>
      <c r="E143" s="60" t="str">
        <f>IF(OR('CASE DATA'!G144="JUV", 'CASE DATA'!G144="JWV"), "YES", "NO")</f>
        <v>NO</v>
      </c>
      <c r="F143" s="60" t="str">
        <f t="array" ref="F143">IF(E143="YES",IF(SUM(COUNTIF('CASE DATA'!$G$4:$G$200, {"GTR","GPL","DEF","JUV"}))&gt;0, "YES","NO"),"N/A")</f>
        <v>N/A</v>
      </c>
      <c r="G143" s="60" t="str">
        <f>IF(E143="YES",IF(COUNTIF('CASE DATA'!$D$4:$D$200, "")-COUNTIF('CASE DATA'!$A$4:$A$200, "")&gt;0, "YES","NO"),"N/A")</f>
        <v>N/A</v>
      </c>
      <c r="H143" s="57" t="str">
        <f>_xlfn.IFS(E143="NO", "N/A", AND('BASIC INFO'!$B$3&gt;'BASIC INFO'!$B$6+6574.5, C143+730.5&lt;'BASIC INFO'!$B$3), "YES", 'BASIC INFO'!$B$3&lt;('BASIC INFO'!$B$6+6574.5), "NOT YET 18", C143+730.5&gt;'BASIC INFO'!$B$3, "NOT YET 2 YEARS")</f>
        <v>N/A</v>
      </c>
      <c r="I143" s="61" t="str">
        <f>IF(OR(AND(LEFT('CASE DATA'!F144,4)="321.",MID('CASE DATA'!A144,8,2)="SM"),MID('CASE DATA'!A144,8,2)="ST",MID('CASE DATA'!A144,8,2)="NT"),"TRAFFIC",IF(OR('CASE DATA'!G144="DISM", 'CASE DATA'!G144="ACQ", 'CASE DATA'!G144="NOTF", 'CASE DATA'!G144="WTHD", 'CASE DATA'!G144="TNSF"), "YES", "NO"))</f>
        <v>NO</v>
      </c>
      <c r="J143" s="62" t="str">
        <f>IF(I143="YES",'CASE DATA'!T144,"N/A")</f>
        <v>N/A</v>
      </c>
      <c r="K143" s="57" t="str">
        <f>IF(I143="YES",IF(C143+180&lt;'BASIC INFO'!$B$3, "YES", "NO"),"N/A")</f>
        <v>N/A</v>
      </c>
      <c r="L143" s="62" t="str">
        <f t="array" ref="L143">IF(I143="TRAFFIC","n/a",IF(OR('CASE DATA'!G144="GTR", 'CASE DATA'!G144="GPL"),IF(SUM(COUNTIF('CASE DATA'!W144:AH144, 'CODE SECTIONS'!$V$2:$V$218&amp;"*"))&gt;0,"felony","eligible"),"n/a"))</f>
        <v>n/a</v>
      </c>
      <c r="M143" s="62" t="str">
        <f t="array" ref="M143">IF(L143="eligible",IF(OR((SUM(COUNTIF('CASE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62" t="str">
        <f>IF(M143="eligible",IF(COUNTIF('CASE DATA'!$D$4:$D$200, "")-COUNTIF('CASE DATA'!$A$4:$A$200, "")&gt;0, "YES","NO"),"N/A")</f>
        <v>N/A</v>
      </c>
      <c r="O143" s="62" t="str">
        <f>IF(M143="eligible",BANKRUPTCY!C144+BANKRUPTCY!D144,"N/A")</f>
        <v>N/A</v>
      </c>
      <c r="P143" s="62" t="str">
        <f>IF(M143="eligible",SOL!C144+SOL!D144+SOL!E144,"N/A")</f>
        <v>N/A</v>
      </c>
      <c r="Q143" s="62" t="str">
        <f>IF(M143="eligible",SUM('CASE DATA'!J144:S144),"N/A")</f>
        <v>N/A</v>
      </c>
      <c r="R143" s="62" t="str">
        <f>IF(M143="eligible",IF(C143+2920&lt;'BASIC INFO'!$B$3, "YES", "NO"),"N/A")</f>
        <v>N/A</v>
      </c>
      <c r="S143" s="61" t="str">
        <f>IF(OR('CASE DATA'!G144="DEF"), "YES", "NO")</f>
        <v>NO</v>
      </c>
      <c r="T143" s="57" t="str">
        <f>IF(S143="YES",'CASE DATA'!I144,"N/A")</f>
        <v>N/A</v>
      </c>
      <c r="U143" s="62" t="str">
        <f>IF(S143="YES",BANKRUPTCY!C144+BANKRUPTCY!D144,"N/A")</f>
        <v>N/A</v>
      </c>
      <c r="V143" s="62" t="str">
        <f>IF(S143="YES",SUM('CASE DATA'!J144:S144),"N/A")</f>
        <v>N/A</v>
      </c>
      <c r="W143" s="57" t="str">
        <f>IF(OR('CASE DATA'!F144="123.46",'CASE DATA'!F144="123.47"),"YES","NO")</f>
        <v>NO</v>
      </c>
      <c r="X143" s="60" t="str">
        <f>IF(W143="YES",COUNTIFS(AD$3:$AD$200,"&gt;"&amp;('CASE DATA'!D144),$AD$3:$AD$200,"&lt;"&amp;('CASE DATA'!D144+730.5)),"n/a")</f>
        <v>n/a</v>
      </c>
      <c r="Y143" s="62" t="str">
        <f>IF(W143="YES",IF(C143+730.5&lt;'BASIC INFO'!$B$3, "YES","NO"), "N/A")</f>
        <v>N/A</v>
      </c>
      <c r="Z143" s="57" t="str">
        <f>IF('CASE DATA'!F144="725.1","YES","NO")</f>
        <v>NO</v>
      </c>
      <c r="AA143" s="57" t="str">
        <f>IF(Z143="YES",IF(C143+730.5&lt;'BASIC INFO'!$B$3, "YES","NO"), "N/A")</f>
        <v>N/A</v>
      </c>
      <c r="AB143" s="57" t="str">
        <f>IF('BASIC INFO'!$B$6+6574.5&gt;C143, "YES", "NO")</f>
        <v>YES</v>
      </c>
      <c r="AC143" s="57" t="str">
        <f>IF(Z143="YES",COUNTIFS(AD$3:$AD$200,"&gt;"&amp;('CASE DATA'!D144),$AD$3:$AD$200,"&lt;"&amp;('CASE DATA'!D144+730.5)),"n/a")</f>
        <v>n/a</v>
      </c>
    </row>
    <row r="144" spans="1:29" x14ac:dyDescent="0.25">
      <c r="A144" s="57" t="str">
        <f>IF('CASE DATA'!A145="","z",'CASE DATA'!A145)</f>
        <v>z</v>
      </c>
      <c r="B144" s="57" t="str">
        <f>IF('CASE DATA'!A145="","",'CASE DATA'!E145)</f>
        <v/>
      </c>
      <c r="C144" s="58">
        <f>'CASE DATA'!D145</f>
        <v>0</v>
      </c>
      <c r="D144" s="59" t="str">
        <f>IF('CASE DATA'!I145="YES",SUM('CASE DATA'!J145:P145),"n/a")</f>
        <v>n/a</v>
      </c>
      <c r="E144" s="60" t="str">
        <f>IF(OR('CASE DATA'!G145="JUV", 'CASE DATA'!G145="JWV"), "YES", "NO")</f>
        <v>NO</v>
      </c>
      <c r="F144" s="60" t="str">
        <f t="array" ref="F144">IF(E144="YES",IF(SUM(COUNTIF('CASE DATA'!$G$4:$G$200, {"GTR","GPL","DEF","JUV"}))&gt;0, "YES","NO"),"N/A")</f>
        <v>N/A</v>
      </c>
      <c r="G144" s="60" t="str">
        <f>IF(E144="YES",IF(COUNTIF('CASE DATA'!$D$4:$D$200, "")-COUNTIF('CASE DATA'!$A$4:$A$200, "")&gt;0, "YES","NO"),"N/A")</f>
        <v>N/A</v>
      </c>
      <c r="H144" s="57" t="str">
        <f>_xlfn.IFS(E144="NO", "N/A", AND('BASIC INFO'!$B$3&gt;'BASIC INFO'!$B$6+6574.5, C144+730.5&lt;'BASIC INFO'!$B$3), "YES", 'BASIC INFO'!$B$3&lt;('BASIC INFO'!$B$6+6574.5), "NOT YET 18", C144+730.5&gt;'BASIC INFO'!$B$3, "NOT YET 2 YEARS")</f>
        <v>N/A</v>
      </c>
      <c r="I144" s="61" t="str">
        <f>IF(OR(AND(LEFT('CASE DATA'!F145,4)="321.",MID('CASE DATA'!A145,8,2)="SM"),MID('CASE DATA'!A145,8,2)="ST",MID('CASE DATA'!A145,8,2)="NT"),"TRAFFIC",IF(OR('CASE DATA'!G145="DISM", 'CASE DATA'!G145="ACQ", 'CASE DATA'!G145="NOTF", 'CASE DATA'!G145="WTHD", 'CASE DATA'!G145="TNSF"), "YES", "NO"))</f>
        <v>NO</v>
      </c>
      <c r="J144" s="62" t="str">
        <f>IF(I144="YES",'CASE DATA'!T145,"N/A")</f>
        <v>N/A</v>
      </c>
      <c r="K144" s="57" t="str">
        <f>IF(I144="YES",IF(C144+180&lt;'BASIC INFO'!$B$3, "YES", "NO"),"N/A")</f>
        <v>N/A</v>
      </c>
      <c r="L144" s="62" t="str">
        <f t="array" ref="L144">IF(I144="TRAFFIC","n/a",IF(OR('CASE DATA'!G145="GTR", 'CASE DATA'!G145="GPL"),IF(SUM(COUNTIF('CASE DATA'!W145:AH145, 'CODE SECTIONS'!$V$2:$V$218&amp;"*"))&gt;0,"felony","eligible"),"n/a"))</f>
        <v>n/a</v>
      </c>
      <c r="M144" s="62" t="str">
        <f t="array" ref="M144">IF(L144="eligible",IF(OR((SUM(COUNTIF('CASE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62" t="str">
        <f>IF(M144="eligible",IF(COUNTIF('CASE DATA'!$D$4:$D$200, "")-COUNTIF('CASE DATA'!$A$4:$A$200, "")&gt;0, "YES","NO"),"N/A")</f>
        <v>N/A</v>
      </c>
      <c r="O144" s="62" t="str">
        <f>IF(M144="eligible",BANKRUPTCY!C145+BANKRUPTCY!D145,"N/A")</f>
        <v>N/A</v>
      </c>
      <c r="P144" s="62" t="str">
        <f>IF(M144="eligible",SOL!C145+SOL!D145+SOL!E145,"N/A")</f>
        <v>N/A</v>
      </c>
      <c r="Q144" s="62" t="str">
        <f>IF(M144="eligible",SUM('CASE DATA'!J145:S145),"N/A")</f>
        <v>N/A</v>
      </c>
      <c r="R144" s="62" t="str">
        <f>IF(M144="eligible",IF(C144+2920&lt;'BASIC INFO'!$B$3, "YES", "NO"),"N/A")</f>
        <v>N/A</v>
      </c>
      <c r="S144" s="61" t="str">
        <f>IF(OR('CASE DATA'!G145="DEF"), "YES", "NO")</f>
        <v>NO</v>
      </c>
      <c r="T144" s="57" t="str">
        <f>IF(S144="YES",'CASE DATA'!I145,"N/A")</f>
        <v>N/A</v>
      </c>
      <c r="U144" s="62" t="str">
        <f>IF(S144="YES",BANKRUPTCY!C145+BANKRUPTCY!D145,"N/A")</f>
        <v>N/A</v>
      </c>
      <c r="V144" s="62" t="str">
        <f>IF(S144="YES",SUM('CASE DATA'!J145:S145),"N/A")</f>
        <v>N/A</v>
      </c>
      <c r="W144" s="57" t="str">
        <f>IF(OR('CASE DATA'!F145="123.46",'CASE DATA'!F145="123.47"),"YES","NO")</f>
        <v>NO</v>
      </c>
      <c r="X144" s="60" t="str">
        <f>IF(W144="YES",COUNTIFS(AD$3:$AD$200,"&gt;"&amp;('CASE DATA'!D145),$AD$3:$AD$200,"&lt;"&amp;('CASE DATA'!D145+730.5)),"n/a")</f>
        <v>n/a</v>
      </c>
      <c r="Y144" s="62" t="str">
        <f>IF(W144="YES",IF(C144+730.5&lt;'BASIC INFO'!$B$3, "YES","NO"), "N/A")</f>
        <v>N/A</v>
      </c>
      <c r="Z144" s="57" t="str">
        <f>IF('CASE DATA'!F145="725.1","YES","NO")</f>
        <v>NO</v>
      </c>
      <c r="AA144" s="57" t="str">
        <f>IF(Z144="YES",IF(C144+730.5&lt;'BASIC INFO'!$B$3, "YES","NO"), "N/A")</f>
        <v>N/A</v>
      </c>
      <c r="AB144" s="57" t="str">
        <f>IF('BASIC INFO'!$B$6+6574.5&gt;C144, "YES", "NO")</f>
        <v>YES</v>
      </c>
      <c r="AC144" s="57" t="str">
        <f>IF(Z144="YES",COUNTIFS(AD$3:$AD$200,"&gt;"&amp;('CASE DATA'!D145),$AD$3:$AD$200,"&lt;"&amp;('CASE DATA'!D145+730.5)),"n/a")</f>
        <v>n/a</v>
      </c>
    </row>
    <row r="145" spans="1:29" x14ac:dyDescent="0.25">
      <c r="A145" s="57" t="str">
        <f>IF('CASE DATA'!A146="","z",'CASE DATA'!A146)</f>
        <v>z</v>
      </c>
      <c r="B145" s="57" t="str">
        <f>IF('CASE DATA'!A146="","",'CASE DATA'!E146)</f>
        <v/>
      </c>
      <c r="C145" s="58">
        <f>'CASE DATA'!D146</f>
        <v>0</v>
      </c>
      <c r="D145" s="59" t="str">
        <f>IF('CASE DATA'!I146="YES",SUM('CASE DATA'!J146:P146),"n/a")</f>
        <v>n/a</v>
      </c>
      <c r="E145" s="60" t="str">
        <f>IF(OR('CASE DATA'!G146="JUV", 'CASE DATA'!G146="JWV"), "YES", "NO")</f>
        <v>NO</v>
      </c>
      <c r="F145" s="60" t="str">
        <f t="array" ref="F145">IF(E145="YES",IF(SUM(COUNTIF('CASE DATA'!$G$4:$G$200, {"GTR","GPL","DEF","JUV"}))&gt;0, "YES","NO"),"N/A")</f>
        <v>N/A</v>
      </c>
      <c r="G145" s="60" t="str">
        <f>IF(E145="YES",IF(COUNTIF('CASE DATA'!$D$4:$D$200, "")-COUNTIF('CASE DATA'!$A$4:$A$200, "")&gt;0, "YES","NO"),"N/A")</f>
        <v>N/A</v>
      </c>
      <c r="H145" s="57" t="str">
        <f>_xlfn.IFS(E145="NO", "N/A", AND('BASIC INFO'!$B$3&gt;'BASIC INFO'!$B$6+6574.5, C145+730.5&lt;'BASIC INFO'!$B$3), "YES", 'BASIC INFO'!$B$3&lt;('BASIC INFO'!$B$6+6574.5), "NOT YET 18", C145+730.5&gt;'BASIC INFO'!$B$3, "NOT YET 2 YEARS")</f>
        <v>N/A</v>
      </c>
      <c r="I145" s="61" t="str">
        <f>IF(OR(AND(LEFT('CASE DATA'!F146,4)="321.",MID('CASE DATA'!A146,8,2)="SM"),MID('CASE DATA'!A146,8,2)="ST",MID('CASE DATA'!A146,8,2)="NT"),"TRAFFIC",IF(OR('CASE DATA'!G146="DISM", 'CASE DATA'!G146="ACQ", 'CASE DATA'!G146="NOTF", 'CASE DATA'!G146="WTHD", 'CASE DATA'!G146="TNSF"), "YES", "NO"))</f>
        <v>NO</v>
      </c>
      <c r="J145" s="62" t="str">
        <f>IF(I145="YES",'CASE DATA'!T146,"N/A")</f>
        <v>N/A</v>
      </c>
      <c r="K145" s="57" t="str">
        <f>IF(I145="YES",IF(C145+180&lt;'BASIC INFO'!$B$3, "YES", "NO"),"N/A")</f>
        <v>N/A</v>
      </c>
      <c r="L145" s="62" t="str">
        <f t="array" ref="L145">IF(I145="TRAFFIC","n/a",IF(OR('CASE DATA'!G146="GTR", 'CASE DATA'!G146="GPL"),IF(SUM(COUNTIF('CASE DATA'!W146:AH146, 'CODE SECTIONS'!$V$2:$V$218&amp;"*"))&gt;0,"felony","eligible"),"n/a"))</f>
        <v>n/a</v>
      </c>
      <c r="M145" s="62" t="str">
        <f t="array" ref="M145">IF(L145="eligible",IF(OR((SUM(COUNTIF('CASE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62" t="str">
        <f>IF(M145="eligible",IF(COUNTIF('CASE DATA'!$D$4:$D$200, "")-COUNTIF('CASE DATA'!$A$4:$A$200, "")&gt;0, "YES","NO"),"N/A")</f>
        <v>N/A</v>
      </c>
      <c r="O145" s="62" t="str">
        <f>IF(M145="eligible",BANKRUPTCY!C146+BANKRUPTCY!D146,"N/A")</f>
        <v>N/A</v>
      </c>
      <c r="P145" s="62" t="str">
        <f>IF(M145="eligible",SOL!C146+SOL!D146+SOL!E146,"N/A")</f>
        <v>N/A</v>
      </c>
      <c r="Q145" s="62" t="str">
        <f>IF(M145="eligible",SUM('CASE DATA'!J146:S146),"N/A")</f>
        <v>N/A</v>
      </c>
      <c r="R145" s="62" t="str">
        <f>IF(M145="eligible",IF(C145+2920&lt;'BASIC INFO'!$B$3, "YES", "NO"),"N/A")</f>
        <v>N/A</v>
      </c>
      <c r="S145" s="61" t="str">
        <f>IF(OR('CASE DATA'!G146="DEF"), "YES", "NO")</f>
        <v>NO</v>
      </c>
      <c r="T145" s="57" t="str">
        <f>IF(S145="YES",'CASE DATA'!I146,"N/A")</f>
        <v>N/A</v>
      </c>
      <c r="U145" s="62" t="str">
        <f>IF(S145="YES",BANKRUPTCY!C146+BANKRUPTCY!D146,"N/A")</f>
        <v>N/A</v>
      </c>
      <c r="V145" s="62" t="str">
        <f>IF(S145="YES",SUM('CASE DATA'!J146:S146),"N/A")</f>
        <v>N/A</v>
      </c>
      <c r="W145" s="57" t="str">
        <f>IF(OR('CASE DATA'!F146="123.46",'CASE DATA'!F146="123.47"),"YES","NO")</f>
        <v>NO</v>
      </c>
      <c r="X145" s="60" t="str">
        <f>IF(W145="YES",COUNTIFS(AD$3:$AD$200,"&gt;"&amp;('CASE DATA'!D146),$AD$3:$AD$200,"&lt;"&amp;('CASE DATA'!D146+730.5)),"n/a")</f>
        <v>n/a</v>
      </c>
      <c r="Y145" s="62" t="str">
        <f>IF(W145="YES",IF(C145+730.5&lt;'BASIC INFO'!$B$3, "YES","NO"), "N/A")</f>
        <v>N/A</v>
      </c>
      <c r="Z145" s="57" t="str">
        <f>IF('CASE DATA'!F146="725.1","YES","NO")</f>
        <v>NO</v>
      </c>
      <c r="AA145" s="57" t="str">
        <f>IF(Z145="YES",IF(C145+730.5&lt;'BASIC INFO'!$B$3, "YES","NO"), "N/A")</f>
        <v>N/A</v>
      </c>
      <c r="AB145" s="57" t="str">
        <f>IF('BASIC INFO'!$B$6+6574.5&gt;C145, "YES", "NO")</f>
        <v>YES</v>
      </c>
      <c r="AC145" s="57" t="str">
        <f>IF(Z145="YES",COUNTIFS(AD$3:$AD$200,"&gt;"&amp;('CASE DATA'!D146),$AD$3:$AD$200,"&lt;"&amp;('CASE DATA'!D146+730.5)),"n/a")</f>
        <v>n/a</v>
      </c>
    </row>
    <row r="146" spans="1:29" x14ac:dyDescent="0.25">
      <c r="A146" s="57" t="str">
        <f>IF('CASE DATA'!A147="","z",'CASE DATA'!A147)</f>
        <v>z</v>
      </c>
      <c r="B146" s="57" t="str">
        <f>IF('CASE DATA'!A147="","",'CASE DATA'!E147)</f>
        <v/>
      </c>
      <c r="C146" s="58">
        <f>'CASE DATA'!D147</f>
        <v>0</v>
      </c>
      <c r="D146" s="59" t="str">
        <f>IF('CASE DATA'!I147="YES",SUM('CASE DATA'!J147:P147),"n/a")</f>
        <v>n/a</v>
      </c>
      <c r="E146" s="60" t="str">
        <f>IF(OR('CASE DATA'!G147="JUV", 'CASE DATA'!G147="JWV"), "YES", "NO")</f>
        <v>NO</v>
      </c>
      <c r="F146" s="60" t="str">
        <f t="array" ref="F146">IF(E146="YES",IF(SUM(COUNTIF('CASE DATA'!$G$4:$G$200, {"GTR","GPL","DEF","JUV"}))&gt;0, "YES","NO"),"N/A")</f>
        <v>N/A</v>
      </c>
      <c r="G146" s="60" t="str">
        <f>IF(E146="YES",IF(COUNTIF('CASE DATA'!$D$4:$D$200, "")-COUNTIF('CASE DATA'!$A$4:$A$200, "")&gt;0, "YES","NO"),"N/A")</f>
        <v>N/A</v>
      </c>
      <c r="H146" s="57" t="str">
        <f>_xlfn.IFS(E146="NO", "N/A", AND('BASIC INFO'!$B$3&gt;'BASIC INFO'!$B$6+6574.5, C146+730.5&lt;'BASIC INFO'!$B$3), "YES", 'BASIC INFO'!$B$3&lt;('BASIC INFO'!$B$6+6574.5), "NOT YET 18", C146+730.5&gt;'BASIC INFO'!$B$3, "NOT YET 2 YEARS")</f>
        <v>N/A</v>
      </c>
      <c r="I146" s="61" t="str">
        <f>IF(OR(AND(LEFT('CASE DATA'!F147,4)="321.",MID('CASE DATA'!A147,8,2)="SM"),MID('CASE DATA'!A147,8,2)="ST",MID('CASE DATA'!A147,8,2)="NT"),"TRAFFIC",IF(OR('CASE DATA'!G147="DISM", 'CASE DATA'!G147="ACQ", 'CASE DATA'!G147="NOTF", 'CASE DATA'!G147="WTHD", 'CASE DATA'!G147="TNSF"), "YES", "NO"))</f>
        <v>NO</v>
      </c>
      <c r="J146" s="62" t="str">
        <f>IF(I146="YES",'CASE DATA'!T147,"N/A")</f>
        <v>N/A</v>
      </c>
      <c r="K146" s="57" t="str">
        <f>IF(I146="YES",IF(C146+180&lt;'BASIC INFO'!$B$3, "YES", "NO"),"N/A")</f>
        <v>N/A</v>
      </c>
      <c r="L146" s="62" t="str">
        <f t="array" ref="L146">IF(I146="TRAFFIC","n/a",IF(OR('CASE DATA'!G147="GTR", 'CASE DATA'!G147="GPL"),IF(SUM(COUNTIF('CASE DATA'!W147:AH147, 'CODE SECTIONS'!$V$2:$V$218&amp;"*"))&gt;0,"felony","eligible"),"n/a"))</f>
        <v>n/a</v>
      </c>
      <c r="M146" s="62" t="str">
        <f t="array" ref="M146">IF(L146="eligible",IF(OR((SUM(COUNTIF('CASE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62" t="str">
        <f>IF(M146="eligible",IF(COUNTIF('CASE DATA'!$D$4:$D$200, "")-COUNTIF('CASE DATA'!$A$4:$A$200, "")&gt;0, "YES","NO"),"N/A")</f>
        <v>N/A</v>
      </c>
      <c r="O146" s="62" t="str">
        <f>IF(M146="eligible",BANKRUPTCY!C147+BANKRUPTCY!D147,"N/A")</f>
        <v>N/A</v>
      </c>
      <c r="P146" s="62" t="str">
        <f>IF(M146="eligible",SOL!C147+SOL!D147+SOL!E147,"N/A")</f>
        <v>N/A</v>
      </c>
      <c r="Q146" s="62" t="str">
        <f>IF(M146="eligible",SUM('CASE DATA'!J147:S147),"N/A")</f>
        <v>N/A</v>
      </c>
      <c r="R146" s="62" t="str">
        <f>IF(M146="eligible",IF(C146+2920&lt;'BASIC INFO'!$B$3, "YES", "NO"),"N/A")</f>
        <v>N/A</v>
      </c>
      <c r="S146" s="61" t="str">
        <f>IF(OR('CASE DATA'!G147="DEF"), "YES", "NO")</f>
        <v>NO</v>
      </c>
      <c r="T146" s="57" t="str">
        <f>IF(S146="YES",'CASE DATA'!I147,"N/A")</f>
        <v>N/A</v>
      </c>
      <c r="U146" s="62" t="str">
        <f>IF(S146="YES",BANKRUPTCY!C147+BANKRUPTCY!D147,"N/A")</f>
        <v>N/A</v>
      </c>
      <c r="V146" s="62" t="str">
        <f>IF(S146="YES",SUM('CASE DATA'!J147:S147),"N/A")</f>
        <v>N/A</v>
      </c>
      <c r="W146" s="57" t="str">
        <f>IF(OR('CASE DATA'!F147="123.46",'CASE DATA'!F147="123.47"),"YES","NO")</f>
        <v>NO</v>
      </c>
      <c r="X146" s="60" t="str">
        <f>IF(W146="YES",COUNTIFS(AD$3:$AD$200,"&gt;"&amp;('CASE DATA'!D147),$AD$3:$AD$200,"&lt;"&amp;('CASE DATA'!D147+730.5)),"n/a")</f>
        <v>n/a</v>
      </c>
      <c r="Y146" s="62" t="str">
        <f>IF(W146="YES",IF(C146+730.5&lt;'BASIC INFO'!$B$3, "YES","NO"), "N/A")</f>
        <v>N/A</v>
      </c>
      <c r="Z146" s="57" t="str">
        <f>IF('CASE DATA'!F147="725.1","YES","NO")</f>
        <v>NO</v>
      </c>
      <c r="AA146" s="57" t="str">
        <f>IF(Z146="YES",IF(C146+730.5&lt;'BASIC INFO'!$B$3, "YES","NO"), "N/A")</f>
        <v>N/A</v>
      </c>
      <c r="AB146" s="57" t="str">
        <f>IF('BASIC INFO'!$B$6+6574.5&gt;C146, "YES", "NO")</f>
        <v>YES</v>
      </c>
      <c r="AC146" s="57" t="str">
        <f>IF(Z146="YES",COUNTIFS(AD$3:$AD$200,"&gt;"&amp;('CASE DATA'!D147),$AD$3:$AD$200,"&lt;"&amp;('CASE DATA'!D147+730.5)),"n/a")</f>
        <v>n/a</v>
      </c>
    </row>
    <row r="147" spans="1:29" x14ac:dyDescent="0.25">
      <c r="A147" s="57" t="str">
        <f>IF('CASE DATA'!A148="","z",'CASE DATA'!A148)</f>
        <v>z</v>
      </c>
      <c r="B147" s="57" t="str">
        <f>IF('CASE DATA'!A148="","",'CASE DATA'!E148)</f>
        <v/>
      </c>
      <c r="C147" s="58">
        <f>'CASE DATA'!D148</f>
        <v>0</v>
      </c>
      <c r="D147" s="59" t="str">
        <f>IF('CASE DATA'!I148="YES",SUM('CASE DATA'!J148:P148),"n/a")</f>
        <v>n/a</v>
      </c>
      <c r="E147" s="60" t="str">
        <f>IF(OR('CASE DATA'!G148="JUV", 'CASE DATA'!G148="JWV"), "YES", "NO")</f>
        <v>NO</v>
      </c>
      <c r="F147" s="60" t="str">
        <f t="array" ref="F147">IF(E147="YES",IF(SUM(COUNTIF('CASE DATA'!$G$4:$G$200, {"GTR","GPL","DEF","JUV"}))&gt;0, "YES","NO"),"N/A")</f>
        <v>N/A</v>
      </c>
      <c r="G147" s="60" t="str">
        <f>IF(E147="YES",IF(COUNTIF('CASE DATA'!$D$4:$D$200, "")-COUNTIF('CASE DATA'!$A$4:$A$200, "")&gt;0, "YES","NO"),"N/A")</f>
        <v>N/A</v>
      </c>
      <c r="H147" s="57" t="str">
        <f>_xlfn.IFS(E147="NO", "N/A", AND('BASIC INFO'!$B$3&gt;'BASIC INFO'!$B$6+6574.5, C147+730.5&lt;'BASIC INFO'!$B$3), "YES", 'BASIC INFO'!$B$3&lt;('BASIC INFO'!$B$6+6574.5), "NOT YET 18", C147+730.5&gt;'BASIC INFO'!$B$3, "NOT YET 2 YEARS")</f>
        <v>N/A</v>
      </c>
      <c r="I147" s="61" t="str">
        <f>IF(OR(AND(LEFT('CASE DATA'!F148,4)="321.",MID('CASE DATA'!A148,8,2)="SM"),MID('CASE DATA'!A148,8,2)="ST",MID('CASE DATA'!A148,8,2)="NT"),"TRAFFIC",IF(OR('CASE DATA'!G148="DISM", 'CASE DATA'!G148="ACQ", 'CASE DATA'!G148="NOTF", 'CASE DATA'!G148="WTHD", 'CASE DATA'!G148="TNSF"), "YES", "NO"))</f>
        <v>NO</v>
      </c>
      <c r="J147" s="62" t="str">
        <f>IF(I147="YES",'CASE DATA'!T148,"N/A")</f>
        <v>N/A</v>
      </c>
      <c r="K147" s="57" t="str">
        <f>IF(I147="YES",IF(C147+180&lt;'BASIC INFO'!$B$3, "YES", "NO"),"N/A")</f>
        <v>N/A</v>
      </c>
      <c r="L147" s="62" t="str">
        <f t="array" ref="L147">IF(I147="TRAFFIC","n/a",IF(OR('CASE DATA'!G148="GTR", 'CASE DATA'!G148="GPL"),IF(SUM(COUNTIF('CASE DATA'!W148:AH148, 'CODE SECTIONS'!$V$2:$V$218&amp;"*"))&gt;0,"felony","eligible"),"n/a"))</f>
        <v>n/a</v>
      </c>
      <c r="M147" s="62" t="str">
        <f t="array" ref="M147">IF(L147="eligible",IF(OR((SUM(COUNTIF('CASE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62" t="str">
        <f>IF(M147="eligible",IF(COUNTIF('CASE DATA'!$D$4:$D$200, "")-COUNTIF('CASE DATA'!$A$4:$A$200, "")&gt;0, "YES","NO"),"N/A")</f>
        <v>N/A</v>
      </c>
      <c r="O147" s="62" t="str">
        <f>IF(M147="eligible",BANKRUPTCY!C148+BANKRUPTCY!D148,"N/A")</f>
        <v>N/A</v>
      </c>
      <c r="P147" s="62" t="str">
        <f>IF(M147="eligible",SOL!C148+SOL!D148+SOL!E148,"N/A")</f>
        <v>N/A</v>
      </c>
      <c r="Q147" s="62" t="str">
        <f>IF(M147="eligible",SUM('CASE DATA'!J148:S148),"N/A")</f>
        <v>N/A</v>
      </c>
      <c r="R147" s="62" t="str">
        <f>IF(M147="eligible",IF(C147+2920&lt;'BASIC INFO'!$B$3, "YES", "NO"),"N/A")</f>
        <v>N/A</v>
      </c>
      <c r="S147" s="61" t="str">
        <f>IF(OR('CASE DATA'!G148="DEF"), "YES", "NO")</f>
        <v>NO</v>
      </c>
      <c r="T147" s="57" t="str">
        <f>IF(S147="YES",'CASE DATA'!I148,"N/A")</f>
        <v>N/A</v>
      </c>
      <c r="U147" s="62" t="str">
        <f>IF(S147="YES",BANKRUPTCY!C148+BANKRUPTCY!D148,"N/A")</f>
        <v>N/A</v>
      </c>
      <c r="V147" s="62" t="str">
        <f>IF(S147="YES",SUM('CASE DATA'!J148:S148),"N/A")</f>
        <v>N/A</v>
      </c>
      <c r="W147" s="57" t="str">
        <f>IF(OR('CASE DATA'!F148="123.46",'CASE DATA'!F148="123.47"),"YES","NO")</f>
        <v>NO</v>
      </c>
      <c r="X147" s="60" t="str">
        <f>IF(W147="YES",COUNTIFS(AD$3:$AD$200,"&gt;"&amp;('CASE DATA'!D148),$AD$3:$AD$200,"&lt;"&amp;('CASE DATA'!D148+730.5)),"n/a")</f>
        <v>n/a</v>
      </c>
      <c r="Y147" s="62" t="str">
        <f>IF(W147="YES",IF(C147+730.5&lt;'BASIC INFO'!$B$3, "YES","NO"), "N/A")</f>
        <v>N/A</v>
      </c>
      <c r="Z147" s="57" t="str">
        <f>IF('CASE DATA'!F148="725.1","YES","NO")</f>
        <v>NO</v>
      </c>
      <c r="AA147" s="57" t="str">
        <f>IF(Z147="YES",IF(C147+730.5&lt;'BASIC INFO'!$B$3, "YES","NO"), "N/A")</f>
        <v>N/A</v>
      </c>
      <c r="AB147" s="57" t="str">
        <f>IF('BASIC INFO'!$B$6+6574.5&gt;C147, "YES", "NO")</f>
        <v>YES</v>
      </c>
      <c r="AC147" s="57" t="str">
        <f>IF(Z147="YES",COUNTIFS(AD$3:$AD$200,"&gt;"&amp;('CASE DATA'!D148),$AD$3:$AD$200,"&lt;"&amp;('CASE DATA'!D148+730.5)),"n/a")</f>
        <v>n/a</v>
      </c>
    </row>
    <row r="148" spans="1:29" x14ac:dyDescent="0.25">
      <c r="A148" s="57" t="str">
        <f>IF('CASE DATA'!A149="","z",'CASE DATA'!A149)</f>
        <v>z</v>
      </c>
      <c r="B148" s="57" t="str">
        <f>IF('CASE DATA'!A149="","",'CASE DATA'!E149)</f>
        <v/>
      </c>
      <c r="C148" s="58">
        <f>'CASE DATA'!D149</f>
        <v>0</v>
      </c>
      <c r="D148" s="59" t="str">
        <f>IF('CASE DATA'!I149="YES",SUM('CASE DATA'!J149:P149),"n/a")</f>
        <v>n/a</v>
      </c>
      <c r="E148" s="60" t="str">
        <f>IF(OR('CASE DATA'!G149="JUV", 'CASE DATA'!G149="JWV"), "YES", "NO")</f>
        <v>NO</v>
      </c>
      <c r="F148" s="60" t="str">
        <f t="array" ref="F148">IF(E148="YES",IF(SUM(COUNTIF('CASE DATA'!$G$4:$G$200, {"GTR","GPL","DEF","JUV"}))&gt;0, "YES","NO"),"N/A")</f>
        <v>N/A</v>
      </c>
      <c r="G148" s="60" t="str">
        <f>IF(E148="YES",IF(COUNTIF('CASE DATA'!$D$4:$D$200, "")-COUNTIF('CASE DATA'!$A$4:$A$200, "")&gt;0, "YES","NO"),"N/A")</f>
        <v>N/A</v>
      </c>
      <c r="H148" s="57" t="str">
        <f>_xlfn.IFS(E148="NO", "N/A", AND('BASIC INFO'!$B$3&gt;'BASIC INFO'!$B$6+6574.5, C148+730.5&lt;'BASIC INFO'!$B$3), "YES", 'BASIC INFO'!$B$3&lt;('BASIC INFO'!$B$6+6574.5), "NOT YET 18", C148+730.5&gt;'BASIC INFO'!$B$3, "NOT YET 2 YEARS")</f>
        <v>N/A</v>
      </c>
      <c r="I148" s="61" t="str">
        <f>IF(OR(AND(LEFT('CASE DATA'!F149,4)="321.",MID('CASE DATA'!A149,8,2)="SM"),MID('CASE DATA'!A149,8,2)="ST",MID('CASE DATA'!A149,8,2)="NT"),"TRAFFIC",IF(OR('CASE DATA'!G149="DISM", 'CASE DATA'!G149="ACQ", 'CASE DATA'!G149="NOTF", 'CASE DATA'!G149="WTHD", 'CASE DATA'!G149="TNSF"), "YES", "NO"))</f>
        <v>NO</v>
      </c>
      <c r="J148" s="62" t="str">
        <f>IF(I148="YES",'CASE DATA'!T149,"N/A")</f>
        <v>N/A</v>
      </c>
      <c r="K148" s="57" t="str">
        <f>IF(I148="YES",IF(C148+180&lt;'BASIC INFO'!$B$3, "YES", "NO"),"N/A")</f>
        <v>N/A</v>
      </c>
      <c r="L148" s="62" t="str">
        <f t="array" ref="L148">IF(I148="TRAFFIC","n/a",IF(OR('CASE DATA'!G149="GTR", 'CASE DATA'!G149="GPL"),IF(SUM(COUNTIF('CASE DATA'!W149:AH149, 'CODE SECTIONS'!$V$2:$V$218&amp;"*"))&gt;0,"felony","eligible"),"n/a"))</f>
        <v>n/a</v>
      </c>
      <c r="M148" s="62" t="str">
        <f t="array" ref="M148">IF(L148="eligible",IF(OR((SUM(COUNTIF('CASE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62" t="str">
        <f>IF(M148="eligible",IF(COUNTIF('CASE DATA'!$D$4:$D$200, "")-COUNTIF('CASE DATA'!$A$4:$A$200, "")&gt;0, "YES","NO"),"N/A")</f>
        <v>N/A</v>
      </c>
      <c r="O148" s="62" t="str">
        <f>IF(M148="eligible",BANKRUPTCY!C149+BANKRUPTCY!D149,"N/A")</f>
        <v>N/A</v>
      </c>
      <c r="P148" s="62" t="str">
        <f>IF(M148="eligible",SOL!C149+SOL!D149+SOL!E149,"N/A")</f>
        <v>N/A</v>
      </c>
      <c r="Q148" s="62" t="str">
        <f>IF(M148="eligible",SUM('CASE DATA'!J149:S149),"N/A")</f>
        <v>N/A</v>
      </c>
      <c r="R148" s="62" t="str">
        <f>IF(M148="eligible",IF(C148+2920&lt;'BASIC INFO'!$B$3, "YES", "NO"),"N/A")</f>
        <v>N/A</v>
      </c>
      <c r="S148" s="61" t="str">
        <f>IF(OR('CASE DATA'!G149="DEF"), "YES", "NO")</f>
        <v>NO</v>
      </c>
      <c r="T148" s="57" t="str">
        <f>IF(S148="YES",'CASE DATA'!I149,"N/A")</f>
        <v>N/A</v>
      </c>
      <c r="U148" s="62" t="str">
        <f>IF(S148="YES",BANKRUPTCY!C149+BANKRUPTCY!D149,"N/A")</f>
        <v>N/A</v>
      </c>
      <c r="V148" s="62" t="str">
        <f>IF(S148="YES",SUM('CASE DATA'!J149:S149),"N/A")</f>
        <v>N/A</v>
      </c>
      <c r="W148" s="57" t="str">
        <f>IF(OR('CASE DATA'!F149="123.46",'CASE DATA'!F149="123.47"),"YES","NO")</f>
        <v>NO</v>
      </c>
      <c r="X148" s="60" t="str">
        <f>IF(W148="YES",COUNTIFS(AD$3:$AD$200,"&gt;"&amp;('CASE DATA'!D149),$AD$3:$AD$200,"&lt;"&amp;('CASE DATA'!D149+730.5)),"n/a")</f>
        <v>n/a</v>
      </c>
      <c r="Y148" s="62" t="str">
        <f>IF(W148="YES",IF(C148+730.5&lt;'BASIC INFO'!$B$3, "YES","NO"), "N/A")</f>
        <v>N/A</v>
      </c>
      <c r="Z148" s="57" t="str">
        <f>IF('CASE DATA'!F149="725.1","YES","NO")</f>
        <v>NO</v>
      </c>
      <c r="AA148" s="57" t="str">
        <f>IF(Z148="YES",IF(C148+730.5&lt;'BASIC INFO'!$B$3, "YES","NO"), "N/A")</f>
        <v>N/A</v>
      </c>
      <c r="AB148" s="57" t="str">
        <f>IF('BASIC INFO'!$B$6+6574.5&gt;C148, "YES", "NO")</f>
        <v>YES</v>
      </c>
      <c r="AC148" s="57" t="str">
        <f>IF(Z148="YES",COUNTIFS(AD$3:$AD$200,"&gt;"&amp;('CASE DATA'!D149),$AD$3:$AD$200,"&lt;"&amp;('CASE DATA'!D149+730.5)),"n/a")</f>
        <v>n/a</v>
      </c>
    </row>
    <row r="149" spans="1:29" x14ac:dyDescent="0.25">
      <c r="A149" s="57" t="str">
        <f>IF('CASE DATA'!A150="","z",'CASE DATA'!A150)</f>
        <v>z</v>
      </c>
      <c r="B149" s="57" t="str">
        <f>IF('CASE DATA'!A150="","",'CASE DATA'!E150)</f>
        <v/>
      </c>
      <c r="C149" s="58">
        <f>'CASE DATA'!D150</f>
        <v>0</v>
      </c>
      <c r="D149" s="59" t="str">
        <f>IF('CASE DATA'!I150="YES",SUM('CASE DATA'!J150:P150),"n/a")</f>
        <v>n/a</v>
      </c>
      <c r="E149" s="60" t="str">
        <f>IF(OR('CASE DATA'!G150="JUV", 'CASE DATA'!G150="JWV"), "YES", "NO")</f>
        <v>NO</v>
      </c>
      <c r="F149" s="60" t="str">
        <f t="array" ref="F149">IF(E149="YES",IF(SUM(COUNTIF('CASE DATA'!$G$4:$G$200, {"GTR","GPL","DEF","JUV"}))&gt;0, "YES","NO"),"N/A")</f>
        <v>N/A</v>
      </c>
      <c r="G149" s="60" t="str">
        <f>IF(E149="YES",IF(COUNTIF('CASE DATA'!$D$4:$D$200, "")-COUNTIF('CASE DATA'!$A$4:$A$200, "")&gt;0, "YES","NO"),"N/A")</f>
        <v>N/A</v>
      </c>
      <c r="H149" s="57" t="str">
        <f>_xlfn.IFS(E149="NO", "N/A", AND('BASIC INFO'!$B$3&gt;'BASIC INFO'!$B$6+6574.5, C149+730.5&lt;'BASIC INFO'!$B$3), "YES", 'BASIC INFO'!$B$3&lt;('BASIC INFO'!$B$6+6574.5), "NOT YET 18", C149+730.5&gt;'BASIC INFO'!$B$3, "NOT YET 2 YEARS")</f>
        <v>N/A</v>
      </c>
      <c r="I149" s="61" t="str">
        <f>IF(OR(AND(LEFT('CASE DATA'!F150,4)="321.",MID('CASE DATA'!A150,8,2)="SM"),MID('CASE DATA'!A150,8,2)="ST",MID('CASE DATA'!A150,8,2)="NT"),"TRAFFIC",IF(OR('CASE DATA'!G150="DISM", 'CASE DATA'!G150="ACQ", 'CASE DATA'!G150="NOTF", 'CASE DATA'!G150="WTHD", 'CASE DATA'!G150="TNSF"), "YES", "NO"))</f>
        <v>NO</v>
      </c>
      <c r="J149" s="62" t="str">
        <f>IF(I149="YES",'CASE DATA'!T150,"N/A")</f>
        <v>N/A</v>
      </c>
      <c r="K149" s="57" t="str">
        <f>IF(I149="YES",IF(C149+180&lt;'BASIC INFO'!$B$3, "YES", "NO"),"N/A")</f>
        <v>N/A</v>
      </c>
      <c r="L149" s="62" t="str">
        <f t="array" ref="L149">IF(I149="TRAFFIC","n/a",IF(OR('CASE DATA'!G150="GTR", 'CASE DATA'!G150="GPL"),IF(SUM(COUNTIF('CASE DATA'!W150:AH150, 'CODE SECTIONS'!$V$2:$V$218&amp;"*"))&gt;0,"felony","eligible"),"n/a"))</f>
        <v>n/a</v>
      </c>
      <c r="M149" s="62" t="str">
        <f t="array" ref="M149">IF(L149="eligible",IF(OR((SUM(COUNTIF('CASE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62" t="str">
        <f>IF(M149="eligible",IF(COUNTIF('CASE DATA'!$D$4:$D$200, "")-COUNTIF('CASE DATA'!$A$4:$A$200, "")&gt;0, "YES","NO"),"N/A")</f>
        <v>N/A</v>
      </c>
      <c r="O149" s="62" t="str">
        <f>IF(M149="eligible",BANKRUPTCY!C150+BANKRUPTCY!D150,"N/A")</f>
        <v>N/A</v>
      </c>
      <c r="P149" s="62" t="str">
        <f>IF(M149="eligible",SOL!C150+SOL!D150+SOL!E150,"N/A")</f>
        <v>N/A</v>
      </c>
      <c r="Q149" s="62" t="str">
        <f>IF(M149="eligible",SUM('CASE DATA'!J150:S150),"N/A")</f>
        <v>N/A</v>
      </c>
      <c r="R149" s="62" t="str">
        <f>IF(M149="eligible",IF(C149+2920&lt;'BASIC INFO'!$B$3, "YES", "NO"),"N/A")</f>
        <v>N/A</v>
      </c>
      <c r="S149" s="61" t="str">
        <f>IF(OR('CASE DATA'!G150="DEF"), "YES", "NO")</f>
        <v>NO</v>
      </c>
      <c r="T149" s="57" t="str">
        <f>IF(S149="YES",'CASE DATA'!I150,"N/A")</f>
        <v>N/A</v>
      </c>
      <c r="U149" s="62" t="str">
        <f>IF(S149="YES",BANKRUPTCY!C150+BANKRUPTCY!D150,"N/A")</f>
        <v>N/A</v>
      </c>
      <c r="V149" s="62" t="str">
        <f>IF(S149="YES",SUM('CASE DATA'!J150:S150),"N/A")</f>
        <v>N/A</v>
      </c>
      <c r="W149" s="57" t="str">
        <f>IF(OR('CASE DATA'!F150="123.46",'CASE DATA'!F150="123.47"),"YES","NO")</f>
        <v>NO</v>
      </c>
      <c r="X149" s="60" t="str">
        <f>IF(W149="YES",COUNTIFS(AD$3:$AD$200,"&gt;"&amp;('CASE DATA'!D150),$AD$3:$AD$200,"&lt;"&amp;('CASE DATA'!D150+730.5)),"n/a")</f>
        <v>n/a</v>
      </c>
      <c r="Y149" s="62" t="str">
        <f>IF(W149="YES",IF(C149+730.5&lt;'BASIC INFO'!$B$3, "YES","NO"), "N/A")</f>
        <v>N/A</v>
      </c>
      <c r="Z149" s="57" t="str">
        <f>IF('CASE DATA'!F150="725.1","YES","NO")</f>
        <v>NO</v>
      </c>
      <c r="AA149" s="57" t="str">
        <f>IF(Z149="YES",IF(C149+730.5&lt;'BASIC INFO'!$B$3, "YES","NO"), "N/A")</f>
        <v>N/A</v>
      </c>
      <c r="AB149" s="57" t="str">
        <f>IF('BASIC INFO'!$B$6+6574.5&gt;C149, "YES", "NO")</f>
        <v>YES</v>
      </c>
      <c r="AC149" s="57" t="str">
        <f>IF(Z149="YES",COUNTIFS(AD$3:$AD$200,"&gt;"&amp;('CASE DATA'!D150),$AD$3:$AD$200,"&lt;"&amp;('CASE DATA'!D150+730.5)),"n/a")</f>
        <v>n/a</v>
      </c>
    </row>
    <row r="150" spans="1:29" x14ac:dyDescent="0.25">
      <c r="A150" s="57" t="str">
        <f>IF('CASE DATA'!A151="","z",'CASE DATA'!A151)</f>
        <v>z</v>
      </c>
      <c r="B150" s="57" t="str">
        <f>IF('CASE DATA'!A151="","",'CASE DATA'!E151)</f>
        <v/>
      </c>
      <c r="C150" s="58">
        <f>'CASE DATA'!D151</f>
        <v>0</v>
      </c>
      <c r="D150" s="59" t="str">
        <f>IF('CASE DATA'!I151="YES",SUM('CASE DATA'!J151:P151),"n/a")</f>
        <v>n/a</v>
      </c>
      <c r="E150" s="60" t="str">
        <f>IF(OR('CASE DATA'!G151="JUV", 'CASE DATA'!G151="JWV"), "YES", "NO")</f>
        <v>NO</v>
      </c>
      <c r="F150" s="60" t="str">
        <f t="array" ref="F150">IF(E150="YES",IF(SUM(COUNTIF('CASE DATA'!$G$4:$G$200, {"GTR","GPL","DEF","JUV"}))&gt;0, "YES","NO"),"N/A")</f>
        <v>N/A</v>
      </c>
      <c r="G150" s="60" t="str">
        <f>IF(E150="YES",IF(COUNTIF('CASE DATA'!$D$4:$D$200, "")-COUNTIF('CASE DATA'!$A$4:$A$200, "")&gt;0, "YES","NO"),"N/A")</f>
        <v>N/A</v>
      </c>
      <c r="H150" s="57" t="str">
        <f>_xlfn.IFS(E150="NO", "N/A", AND('BASIC INFO'!$B$3&gt;'BASIC INFO'!$B$6+6574.5, C150+730.5&lt;'BASIC INFO'!$B$3), "YES", 'BASIC INFO'!$B$3&lt;('BASIC INFO'!$B$6+6574.5), "NOT YET 18", C150+730.5&gt;'BASIC INFO'!$B$3, "NOT YET 2 YEARS")</f>
        <v>N/A</v>
      </c>
      <c r="I150" s="61" t="str">
        <f>IF(OR(AND(LEFT('CASE DATA'!F151,4)="321.",MID('CASE DATA'!A151,8,2)="SM"),MID('CASE DATA'!A151,8,2)="ST",MID('CASE DATA'!A151,8,2)="NT"),"TRAFFIC",IF(OR('CASE DATA'!G151="DISM", 'CASE DATA'!G151="ACQ", 'CASE DATA'!G151="NOTF", 'CASE DATA'!G151="WTHD", 'CASE DATA'!G151="TNSF"), "YES", "NO"))</f>
        <v>NO</v>
      </c>
      <c r="J150" s="62" t="str">
        <f>IF(I150="YES",'CASE DATA'!T151,"N/A")</f>
        <v>N/A</v>
      </c>
      <c r="K150" s="57" t="str">
        <f>IF(I150="YES",IF(C150+180&lt;'BASIC INFO'!$B$3, "YES", "NO"),"N/A")</f>
        <v>N/A</v>
      </c>
      <c r="L150" s="62" t="str">
        <f t="array" ref="L150">IF(I150="TRAFFIC","n/a",IF(OR('CASE DATA'!G151="GTR", 'CASE DATA'!G151="GPL"),IF(SUM(COUNTIF('CASE DATA'!W151:AH151, 'CODE SECTIONS'!$V$2:$V$218&amp;"*"))&gt;0,"felony","eligible"),"n/a"))</f>
        <v>n/a</v>
      </c>
      <c r="M150" s="62" t="str">
        <f t="array" ref="M150">IF(L150="eligible",IF(OR((SUM(COUNTIF('CASE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62" t="str">
        <f>IF(M150="eligible",IF(COUNTIF('CASE DATA'!$D$4:$D$200, "")-COUNTIF('CASE DATA'!$A$4:$A$200, "")&gt;0, "YES","NO"),"N/A")</f>
        <v>N/A</v>
      </c>
      <c r="O150" s="62" t="str">
        <f>IF(M150="eligible",BANKRUPTCY!C151+BANKRUPTCY!D151,"N/A")</f>
        <v>N/A</v>
      </c>
      <c r="P150" s="62" t="str">
        <f>IF(M150="eligible",SOL!C151+SOL!D151+SOL!E151,"N/A")</f>
        <v>N/A</v>
      </c>
      <c r="Q150" s="62" t="str">
        <f>IF(M150="eligible",SUM('CASE DATA'!J151:S151),"N/A")</f>
        <v>N/A</v>
      </c>
      <c r="R150" s="62" t="str">
        <f>IF(M150="eligible",IF(C150+2920&lt;'BASIC INFO'!$B$3, "YES", "NO"),"N/A")</f>
        <v>N/A</v>
      </c>
      <c r="S150" s="61" t="str">
        <f>IF(OR('CASE DATA'!G151="DEF"), "YES", "NO")</f>
        <v>NO</v>
      </c>
      <c r="T150" s="57" t="str">
        <f>IF(S150="YES",'CASE DATA'!I151,"N/A")</f>
        <v>N/A</v>
      </c>
      <c r="U150" s="62" t="str">
        <f>IF(S150="YES",BANKRUPTCY!C151+BANKRUPTCY!D151,"N/A")</f>
        <v>N/A</v>
      </c>
      <c r="V150" s="62" t="str">
        <f>IF(S150="YES",SUM('CASE DATA'!J151:S151),"N/A")</f>
        <v>N/A</v>
      </c>
      <c r="W150" s="57" t="str">
        <f>IF(OR('CASE DATA'!F151="123.46",'CASE DATA'!F151="123.47"),"YES","NO")</f>
        <v>NO</v>
      </c>
      <c r="X150" s="60" t="str">
        <f>IF(W150="YES",COUNTIFS(AD$3:$AD$200,"&gt;"&amp;('CASE DATA'!D151),$AD$3:$AD$200,"&lt;"&amp;('CASE DATA'!D151+730.5)),"n/a")</f>
        <v>n/a</v>
      </c>
      <c r="Y150" s="62" t="str">
        <f>IF(W150="YES",IF(C150+730.5&lt;'BASIC INFO'!$B$3, "YES","NO"), "N/A")</f>
        <v>N/A</v>
      </c>
      <c r="Z150" s="57" t="str">
        <f>IF('CASE DATA'!F151="725.1","YES","NO")</f>
        <v>NO</v>
      </c>
      <c r="AA150" s="57" t="str">
        <f>IF(Z150="YES",IF(C150+730.5&lt;'BASIC INFO'!$B$3, "YES","NO"), "N/A")</f>
        <v>N/A</v>
      </c>
      <c r="AB150" s="57" t="str">
        <f>IF('BASIC INFO'!$B$6+6574.5&gt;C150, "YES", "NO")</f>
        <v>YES</v>
      </c>
      <c r="AC150" s="57" t="str">
        <f>IF(Z150="YES",COUNTIFS(AD$3:$AD$200,"&gt;"&amp;('CASE DATA'!D151),$AD$3:$AD$200,"&lt;"&amp;('CASE DATA'!D151+730.5)),"n/a")</f>
        <v>n/a</v>
      </c>
    </row>
    <row r="151" spans="1:29" x14ac:dyDescent="0.25">
      <c r="A151" s="57" t="str">
        <f>IF('CASE DATA'!A152="","z",'CASE DATA'!A152)</f>
        <v>z</v>
      </c>
      <c r="B151" s="57" t="str">
        <f>IF('CASE DATA'!A152="","",'CASE DATA'!E152)</f>
        <v/>
      </c>
      <c r="C151" s="58">
        <f>'CASE DATA'!D152</f>
        <v>0</v>
      </c>
      <c r="D151" s="59" t="str">
        <f>IF('CASE DATA'!I152="YES",SUM('CASE DATA'!J152:P152),"n/a")</f>
        <v>n/a</v>
      </c>
      <c r="E151" s="60" t="str">
        <f>IF(OR('CASE DATA'!G152="JUV", 'CASE DATA'!G152="JWV"), "YES", "NO")</f>
        <v>NO</v>
      </c>
      <c r="F151" s="60" t="str">
        <f t="array" ref="F151">IF(E151="YES",IF(SUM(COUNTIF('CASE DATA'!$G$4:$G$200, {"GTR","GPL","DEF","JUV"}))&gt;0, "YES","NO"),"N/A")</f>
        <v>N/A</v>
      </c>
      <c r="G151" s="60" t="str">
        <f>IF(E151="YES",IF(COUNTIF('CASE DATA'!$D$4:$D$200, "")-COUNTIF('CASE DATA'!$A$4:$A$200, "")&gt;0, "YES","NO"),"N/A")</f>
        <v>N/A</v>
      </c>
      <c r="H151" s="57" t="str">
        <f>_xlfn.IFS(E151="NO", "N/A", AND('BASIC INFO'!$B$3&gt;'BASIC INFO'!$B$6+6574.5, C151+730.5&lt;'BASIC INFO'!$B$3), "YES", 'BASIC INFO'!$B$3&lt;('BASIC INFO'!$B$6+6574.5), "NOT YET 18", C151+730.5&gt;'BASIC INFO'!$B$3, "NOT YET 2 YEARS")</f>
        <v>N/A</v>
      </c>
      <c r="I151" s="61" t="str">
        <f>IF(OR(AND(LEFT('CASE DATA'!F152,4)="321.",MID('CASE DATA'!A152,8,2)="SM"),MID('CASE DATA'!A152,8,2)="ST",MID('CASE DATA'!A152,8,2)="NT"),"TRAFFIC",IF(OR('CASE DATA'!G152="DISM", 'CASE DATA'!G152="ACQ", 'CASE DATA'!G152="NOTF", 'CASE DATA'!G152="WTHD", 'CASE DATA'!G152="TNSF"), "YES", "NO"))</f>
        <v>NO</v>
      </c>
      <c r="J151" s="62" t="str">
        <f>IF(I151="YES",'CASE DATA'!T152,"N/A")</f>
        <v>N/A</v>
      </c>
      <c r="K151" s="57" t="str">
        <f>IF(I151="YES",IF(C151+180&lt;'BASIC INFO'!$B$3, "YES", "NO"),"N/A")</f>
        <v>N/A</v>
      </c>
      <c r="L151" s="62" t="str">
        <f t="array" ref="L151">IF(I151="TRAFFIC","n/a",IF(OR('CASE DATA'!G152="GTR", 'CASE DATA'!G152="GPL"),IF(SUM(COUNTIF('CASE DATA'!W152:AH152, 'CODE SECTIONS'!$V$2:$V$218&amp;"*"))&gt;0,"felony","eligible"),"n/a"))</f>
        <v>n/a</v>
      </c>
      <c r="M151" s="62" t="str">
        <f t="array" ref="M151">IF(L151="eligible",IF(OR((SUM(COUNTIF('CASE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62" t="str">
        <f>IF(M151="eligible",IF(COUNTIF('CASE DATA'!$D$4:$D$200, "")-COUNTIF('CASE DATA'!$A$4:$A$200, "")&gt;0, "YES","NO"),"N/A")</f>
        <v>N/A</v>
      </c>
      <c r="O151" s="62" t="str">
        <f>IF(M151="eligible",BANKRUPTCY!C152+BANKRUPTCY!D152,"N/A")</f>
        <v>N/A</v>
      </c>
      <c r="P151" s="62" t="str">
        <f>IF(M151="eligible",SOL!C152+SOL!D152+SOL!E152,"N/A")</f>
        <v>N/A</v>
      </c>
      <c r="Q151" s="62" t="str">
        <f>IF(M151="eligible",SUM('CASE DATA'!J152:S152),"N/A")</f>
        <v>N/A</v>
      </c>
      <c r="R151" s="62" t="str">
        <f>IF(M151="eligible",IF(C151+2920&lt;'BASIC INFO'!$B$3, "YES", "NO"),"N/A")</f>
        <v>N/A</v>
      </c>
      <c r="S151" s="61" t="str">
        <f>IF(OR('CASE DATA'!G152="DEF"), "YES", "NO")</f>
        <v>NO</v>
      </c>
      <c r="T151" s="57" t="str">
        <f>IF(S151="YES",'CASE DATA'!I152,"N/A")</f>
        <v>N/A</v>
      </c>
      <c r="U151" s="62" t="str">
        <f>IF(S151="YES",BANKRUPTCY!C152+BANKRUPTCY!D152,"N/A")</f>
        <v>N/A</v>
      </c>
      <c r="V151" s="62" t="str">
        <f>IF(S151="YES",SUM('CASE DATA'!J152:S152),"N/A")</f>
        <v>N/A</v>
      </c>
      <c r="W151" s="57" t="str">
        <f>IF(OR('CASE DATA'!F152="123.46",'CASE DATA'!F152="123.47"),"YES","NO")</f>
        <v>NO</v>
      </c>
      <c r="X151" s="60" t="str">
        <f>IF(W151="YES",COUNTIFS(AD$3:$AD$200,"&gt;"&amp;('CASE DATA'!D152),$AD$3:$AD$200,"&lt;"&amp;('CASE DATA'!D152+730.5)),"n/a")</f>
        <v>n/a</v>
      </c>
      <c r="Y151" s="62" t="str">
        <f>IF(W151="YES",IF(C151+730.5&lt;'BASIC INFO'!$B$3, "YES","NO"), "N/A")</f>
        <v>N/A</v>
      </c>
      <c r="Z151" s="57" t="str">
        <f>IF('CASE DATA'!F152="725.1","YES","NO")</f>
        <v>NO</v>
      </c>
      <c r="AA151" s="57" t="str">
        <f>IF(Z151="YES",IF(C151+730.5&lt;'BASIC INFO'!$B$3, "YES","NO"), "N/A")</f>
        <v>N/A</v>
      </c>
      <c r="AB151" s="57" t="str">
        <f>IF('BASIC INFO'!$B$6+6574.5&gt;C151, "YES", "NO")</f>
        <v>YES</v>
      </c>
      <c r="AC151" s="57" t="str">
        <f>IF(Z151="YES",COUNTIFS(AD$3:$AD$200,"&gt;"&amp;('CASE DATA'!D152),$AD$3:$AD$200,"&lt;"&amp;('CASE DATA'!D152+730.5)),"n/a")</f>
        <v>n/a</v>
      </c>
    </row>
    <row r="152" spans="1:29" x14ac:dyDescent="0.25">
      <c r="A152" s="57" t="str">
        <f>IF('CASE DATA'!A153="","z",'CASE DATA'!A153)</f>
        <v>z</v>
      </c>
      <c r="B152" s="57" t="str">
        <f>IF('CASE DATA'!A153="","",'CASE DATA'!E153)</f>
        <v/>
      </c>
      <c r="C152" s="58">
        <f>'CASE DATA'!D153</f>
        <v>0</v>
      </c>
      <c r="D152" s="59" t="str">
        <f>IF('CASE DATA'!I153="YES",SUM('CASE DATA'!J153:P153),"n/a")</f>
        <v>n/a</v>
      </c>
      <c r="E152" s="60" t="str">
        <f>IF(OR('CASE DATA'!G153="JUV", 'CASE DATA'!G153="JWV"), "YES", "NO")</f>
        <v>NO</v>
      </c>
      <c r="F152" s="60" t="str">
        <f t="array" ref="F152">IF(E152="YES",IF(SUM(COUNTIF('CASE DATA'!$G$4:$G$200, {"GTR","GPL","DEF","JUV"}))&gt;0, "YES","NO"),"N/A")</f>
        <v>N/A</v>
      </c>
      <c r="G152" s="60" t="str">
        <f>IF(E152="YES",IF(COUNTIF('CASE DATA'!$D$4:$D$200, "")-COUNTIF('CASE DATA'!$A$4:$A$200, "")&gt;0, "YES","NO"),"N/A")</f>
        <v>N/A</v>
      </c>
      <c r="H152" s="57" t="str">
        <f>_xlfn.IFS(E152="NO", "N/A", AND('BASIC INFO'!$B$3&gt;'BASIC INFO'!$B$6+6574.5, C152+730.5&lt;'BASIC INFO'!$B$3), "YES", 'BASIC INFO'!$B$3&lt;('BASIC INFO'!$B$6+6574.5), "NOT YET 18", C152+730.5&gt;'BASIC INFO'!$B$3, "NOT YET 2 YEARS")</f>
        <v>N/A</v>
      </c>
      <c r="I152" s="61" t="str">
        <f>IF(OR(AND(LEFT('CASE DATA'!F153,4)="321.",MID('CASE DATA'!A153,8,2)="SM"),MID('CASE DATA'!A153,8,2)="ST",MID('CASE DATA'!A153,8,2)="NT"),"TRAFFIC",IF(OR('CASE DATA'!G153="DISM", 'CASE DATA'!G153="ACQ", 'CASE DATA'!G153="NOTF", 'CASE DATA'!G153="WTHD", 'CASE DATA'!G153="TNSF"), "YES", "NO"))</f>
        <v>NO</v>
      </c>
      <c r="J152" s="62" t="str">
        <f>IF(I152="YES",'CASE DATA'!T153,"N/A")</f>
        <v>N/A</v>
      </c>
      <c r="K152" s="57" t="str">
        <f>IF(I152="YES",IF(C152+180&lt;'BASIC INFO'!$B$3, "YES", "NO"),"N/A")</f>
        <v>N/A</v>
      </c>
      <c r="L152" s="62" t="str">
        <f t="array" ref="L152">IF(I152="TRAFFIC","n/a",IF(OR('CASE DATA'!G153="GTR", 'CASE DATA'!G153="GPL"),IF(SUM(COUNTIF('CASE DATA'!W153:AH153, 'CODE SECTIONS'!$V$2:$V$218&amp;"*"))&gt;0,"felony","eligible"),"n/a"))</f>
        <v>n/a</v>
      </c>
      <c r="M152" s="62" t="str">
        <f t="array" ref="M152">IF(L152="eligible",IF(OR((SUM(COUNTIF('CASE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62" t="str">
        <f>IF(M152="eligible",IF(COUNTIF('CASE DATA'!$D$4:$D$200, "")-COUNTIF('CASE DATA'!$A$4:$A$200, "")&gt;0, "YES","NO"),"N/A")</f>
        <v>N/A</v>
      </c>
      <c r="O152" s="62" t="str">
        <f>IF(M152="eligible",BANKRUPTCY!C153+BANKRUPTCY!D153,"N/A")</f>
        <v>N/A</v>
      </c>
      <c r="P152" s="62" t="str">
        <f>IF(M152="eligible",SOL!C153+SOL!D153+SOL!E153,"N/A")</f>
        <v>N/A</v>
      </c>
      <c r="Q152" s="62" t="str">
        <f>IF(M152="eligible",SUM('CASE DATA'!J153:S153),"N/A")</f>
        <v>N/A</v>
      </c>
      <c r="R152" s="62" t="str">
        <f>IF(M152="eligible",IF(C152+2920&lt;'BASIC INFO'!$B$3, "YES", "NO"),"N/A")</f>
        <v>N/A</v>
      </c>
      <c r="S152" s="61" t="str">
        <f>IF(OR('CASE DATA'!G153="DEF"), "YES", "NO")</f>
        <v>NO</v>
      </c>
      <c r="T152" s="57" t="str">
        <f>IF(S152="YES",'CASE DATA'!I153,"N/A")</f>
        <v>N/A</v>
      </c>
      <c r="U152" s="62" t="str">
        <f>IF(S152="YES",BANKRUPTCY!C153+BANKRUPTCY!D153,"N/A")</f>
        <v>N/A</v>
      </c>
      <c r="V152" s="62" t="str">
        <f>IF(S152="YES",SUM('CASE DATA'!J153:S153),"N/A")</f>
        <v>N/A</v>
      </c>
      <c r="W152" s="57" t="str">
        <f>IF(OR('CASE DATA'!F153="123.46",'CASE DATA'!F153="123.47"),"YES","NO")</f>
        <v>NO</v>
      </c>
      <c r="X152" s="60" t="str">
        <f>IF(W152="YES",COUNTIFS(AD$3:$AD$200,"&gt;"&amp;('CASE DATA'!D153),$AD$3:$AD$200,"&lt;"&amp;('CASE DATA'!D153+730.5)),"n/a")</f>
        <v>n/a</v>
      </c>
      <c r="Y152" s="62" t="str">
        <f>IF(W152="YES",IF(C152+730.5&lt;'BASIC INFO'!$B$3, "YES","NO"), "N/A")</f>
        <v>N/A</v>
      </c>
      <c r="Z152" s="57" t="str">
        <f>IF('CASE DATA'!F153="725.1","YES","NO")</f>
        <v>NO</v>
      </c>
      <c r="AA152" s="57" t="str">
        <f>IF(Z152="YES",IF(C152+730.5&lt;'BASIC INFO'!$B$3, "YES","NO"), "N/A")</f>
        <v>N/A</v>
      </c>
      <c r="AB152" s="57" t="str">
        <f>IF('BASIC INFO'!$B$6+6574.5&gt;C152, "YES", "NO")</f>
        <v>YES</v>
      </c>
      <c r="AC152" s="57" t="str">
        <f>IF(Z152="YES",COUNTIFS(AD$3:$AD$200,"&gt;"&amp;('CASE DATA'!D153),$AD$3:$AD$200,"&lt;"&amp;('CASE DATA'!D153+730.5)),"n/a")</f>
        <v>n/a</v>
      </c>
    </row>
    <row r="153" spans="1:29" x14ac:dyDescent="0.25">
      <c r="A153" s="57" t="str">
        <f>IF('CASE DATA'!A154="","z",'CASE DATA'!A154)</f>
        <v>z</v>
      </c>
      <c r="B153" s="57" t="str">
        <f>IF('CASE DATA'!A154="","",'CASE DATA'!E154)</f>
        <v/>
      </c>
      <c r="C153" s="58">
        <f>'CASE DATA'!D154</f>
        <v>0</v>
      </c>
      <c r="D153" s="59" t="str">
        <f>IF('CASE DATA'!I154="YES",SUM('CASE DATA'!J154:P154),"n/a")</f>
        <v>n/a</v>
      </c>
      <c r="E153" s="60" t="str">
        <f>IF(OR('CASE DATA'!G154="JUV", 'CASE DATA'!G154="JWV"), "YES", "NO")</f>
        <v>NO</v>
      </c>
      <c r="F153" s="60" t="str">
        <f t="array" ref="F153">IF(E153="YES",IF(SUM(COUNTIF('CASE DATA'!$G$4:$G$200, {"GTR","GPL","DEF","JUV"}))&gt;0, "YES","NO"),"N/A")</f>
        <v>N/A</v>
      </c>
      <c r="G153" s="60" t="str">
        <f>IF(E153="YES",IF(COUNTIF('CASE DATA'!$D$4:$D$200, "")-COUNTIF('CASE DATA'!$A$4:$A$200, "")&gt;0, "YES","NO"),"N/A")</f>
        <v>N/A</v>
      </c>
      <c r="H153" s="57" t="str">
        <f>_xlfn.IFS(E153="NO", "N/A", AND('BASIC INFO'!$B$3&gt;'BASIC INFO'!$B$6+6574.5, C153+730.5&lt;'BASIC INFO'!$B$3), "YES", 'BASIC INFO'!$B$3&lt;('BASIC INFO'!$B$6+6574.5), "NOT YET 18", C153+730.5&gt;'BASIC INFO'!$B$3, "NOT YET 2 YEARS")</f>
        <v>N/A</v>
      </c>
      <c r="I153" s="61" t="str">
        <f>IF(OR(AND(LEFT('CASE DATA'!F154,4)="321.",MID('CASE DATA'!A154,8,2)="SM"),MID('CASE DATA'!A154,8,2)="ST",MID('CASE DATA'!A154,8,2)="NT"),"TRAFFIC",IF(OR('CASE DATA'!G154="DISM", 'CASE DATA'!G154="ACQ", 'CASE DATA'!G154="NOTF", 'CASE DATA'!G154="WTHD", 'CASE DATA'!G154="TNSF"), "YES", "NO"))</f>
        <v>NO</v>
      </c>
      <c r="J153" s="62" t="str">
        <f>IF(I153="YES",'CASE DATA'!T154,"N/A")</f>
        <v>N/A</v>
      </c>
      <c r="K153" s="57" t="str">
        <f>IF(I153="YES",IF(C153+180&lt;'BASIC INFO'!$B$3, "YES", "NO"),"N/A")</f>
        <v>N/A</v>
      </c>
      <c r="L153" s="62" t="str">
        <f t="array" ref="L153">IF(I153="TRAFFIC","n/a",IF(OR('CASE DATA'!G154="GTR", 'CASE DATA'!G154="GPL"),IF(SUM(COUNTIF('CASE DATA'!W154:AH154, 'CODE SECTIONS'!$V$2:$V$218&amp;"*"))&gt;0,"felony","eligible"),"n/a"))</f>
        <v>n/a</v>
      </c>
      <c r="M153" s="62" t="str">
        <f t="array" ref="M153">IF(L153="eligible",IF(OR((SUM(COUNTIF('CASE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62" t="str">
        <f>IF(M153="eligible",IF(COUNTIF('CASE DATA'!$D$4:$D$200, "")-COUNTIF('CASE DATA'!$A$4:$A$200, "")&gt;0, "YES","NO"),"N/A")</f>
        <v>N/A</v>
      </c>
      <c r="O153" s="62" t="str">
        <f>IF(M153="eligible",BANKRUPTCY!C154+BANKRUPTCY!D154,"N/A")</f>
        <v>N/A</v>
      </c>
      <c r="P153" s="62" t="str">
        <f>IF(M153="eligible",SOL!C154+SOL!D154+SOL!E154,"N/A")</f>
        <v>N/A</v>
      </c>
      <c r="Q153" s="62" t="str">
        <f>IF(M153="eligible",SUM('CASE DATA'!J154:S154),"N/A")</f>
        <v>N/A</v>
      </c>
      <c r="R153" s="62" t="str">
        <f>IF(M153="eligible",IF(C153+2920&lt;'BASIC INFO'!$B$3, "YES", "NO"),"N/A")</f>
        <v>N/A</v>
      </c>
      <c r="S153" s="61" t="str">
        <f>IF(OR('CASE DATA'!G154="DEF"), "YES", "NO")</f>
        <v>NO</v>
      </c>
      <c r="T153" s="57" t="str">
        <f>IF(S153="YES",'CASE DATA'!I154,"N/A")</f>
        <v>N/A</v>
      </c>
      <c r="U153" s="62" t="str">
        <f>IF(S153="YES",BANKRUPTCY!C154+BANKRUPTCY!D154,"N/A")</f>
        <v>N/A</v>
      </c>
      <c r="V153" s="62" t="str">
        <f>IF(S153="YES",SUM('CASE DATA'!J154:S154),"N/A")</f>
        <v>N/A</v>
      </c>
      <c r="W153" s="57" t="str">
        <f>IF(OR('CASE DATA'!F154="123.46",'CASE DATA'!F154="123.47"),"YES","NO")</f>
        <v>NO</v>
      </c>
      <c r="X153" s="60" t="str">
        <f>IF(W153="YES",COUNTIFS(AD$3:$AD$200,"&gt;"&amp;('CASE DATA'!D154),$AD$3:$AD$200,"&lt;"&amp;('CASE DATA'!D154+730.5)),"n/a")</f>
        <v>n/a</v>
      </c>
      <c r="Y153" s="62" t="str">
        <f>IF(W153="YES",IF(C153+730.5&lt;'BASIC INFO'!$B$3, "YES","NO"), "N/A")</f>
        <v>N/A</v>
      </c>
      <c r="Z153" s="57" t="str">
        <f>IF('CASE DATA'!F154="725.1","YES","NO")</f>
        <v>NO</v>
      </c>
      <c r="AA153" s="57" t="str">
        <f>IF(Z153="YES",IF(C153+730.5&lt;'BASIC INFO'!$B$3, "YES","NO"), "N/A")</f>
        <v>N/A</v>
      </c>
      <c r="AB153" s="57" t="str">
        <f>IF('BASIC INFO'!$B$6+6574.5&gt;C153, "YES", "NO")</f>
        <v>YES</v>
      </c>
      <c r="AC153" s="57" t="str">
        <f>IF(Z153="YES",COUNTIFS(AD$3:$AD$200,"&gt;"&amp;('CASE DATA'!D154),$AD$3:$AD$200,"&lt;"&amp;('CASE DATA'!D154+730.5)),"n/a")</f>
        <v>n/a</v>
      </c>
    </row>
    <row r="154" spans="1:29" x14ac:dyDescent="0.25">
      <c r="A154" s="57" t="str">
        <f>IF('CASE DATA'!A155="","z",'CASE DATA'!A155)</f>
        <v>z</v>
      </c>
      <c r="B154" s="57" t="str">
        <f>IF('CASE DATA'!A155="","",'CASE DATA'!E155)</f>
        <v/>
      </c>
      <c r="C154" s="58">
        <f>'CASE DATA'!D155</f>
        <v>0</v>
      </c>
      <c r="D154" s="59" t="str">
        <f>IF('CASE DATA'!I155="YES",SUM('CASE DATA'!J155:P155),"n/a")</f>
        <v>n/a</v>
      </c>
      <c r="E154" s="60" t="str">
        <f>IF(OR('CASE DATA'!G155="JUV", 'CASE DATA'!G155="JWV"), "YES", "NO")</f>
        <v>NO</v>
      </c>
      <c r="F154" s="60" t="str">
        <f t="array" ref="F154">IF(E154="YES",IF(SUM(COUNTIF('CASE DATA'!$G$4:$G$200, {"GTR","GPL","DEF","JUV"}))&gt;0, "YES","NO"),"N/A")</f>
        <v>N/A</v>
      </c>
      <c r="G154" s="60" t="str">
        <f>IF(E154="YES",IF(COUNTIF('CASE DATA'!$D$4:$D$200, "")-COUNTIF('CASE DATA'!$A$4:$A$200, "")&gt;0, "YES","NO"),"N/A")</f>
        <v>N/A</v>
      </c>
      <c r="H154" s="57" t="str">
        <f>_xlfn.IFS(E154="NO", "N/A", AND('BASIC INFO'!$B$3&gt;'BASIC INFO'!$B$6+6574.5, C154+730.5&lt;'BASIC INFO'!$B$3), "YES", 'BASIC INFO'!$B$3&lt;('BASIC INFO'!$B$6+6574.5), "NOT YET 18", C154+730.5&gt;'BASIC INFO'!$B$3, "NOT YET 2 YEARS")</f>
        <v>N/A</v>
      </c>
      <c r="I154" s="61" t="str">
        <f>IF(OR(AND(LEFT('CASE DATA'!F155,4)="321.",MID('CASE DATA'!A155,8,2)="SM"),MID('CASE DATA'!A155,8,2)="ST",MID('CASE DATA'!A155,8,2)="NT"),"TRAFFIC",IF(OR('CASE DATA'!G155="DISM", 'CASE DATA'!G155="ACQ", 'CASE DATA'!G155="NOTF", 'CASE DATA'!G155="WTHD", 'CASE DATA'!G155="TNSF"), "YES", "NO"))</f>
        <v>NO</v>
      </c>
      <c r="J154" s="62" t="str">
        <f>IF(I154="YES",'CASE DATA'!T155,"N/A")</f>
        <v>N/A</v>
      </c>
      <c r="K154" s="57" t="str">
        <f>IF(I154="YES",IF(C154+180&lt;'BASIC INFO'!$B$3, "YES", "NO"),"N/A")</f>
        <v>N/A</v>
      </c>
      <c r="L154" s="62" t="str">
        <f t="array" ref="L154">IF(I154="TRAFFIC","n/a",IF(OR('CASE DATA'!G155="GTR", 'CASE DATA'!G155="GPL"),IF(SUM(COUNTIF('CASE DATA'!W155:AH155, 'CODE SECTIONS'!$V$2:$V$218&amp;"*"))&gt;0,"felony","eligible"),"n/a"))</f>
        <v>n/a</v>
      </c>
      <c r="M154" s="62" t="str">
        <f t="array" ref="M154">IF(L154="eligible",IF(OR((SUM(COUNTIF('CASE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62" t="str">
        <f>IF(M154="eligible",IF(COUNTIF('CASE DATA'!$D$4:$D$200, "")-COUNTIF('CASE DATA'!$A$4:$A$200, "")&gt;0, "YES","NO"),"N/A")</f>
        <v>N/A</v>
      </c>
      <c r="O154" s="62" t="str">
        <f>IF(M154="eligible",BANKRUPTCY!C155+BANKRUPTCY!D155,"N/A")</f>
        <v>N/A</v>
      </c>
      <c r="P154" s="62" t="str">
        <f>IF(M154="eligible",SOL!C155+SOL!D155+SOL!E155,"N/A")</f>
        <v>N/A</v>
      </c>
      <c r="Q154" s="62" t="str">
        <f>IF(M154="eligible",SUM('CASE DATA'!J155:S155),"N/A")</f>
        <v>N/A</v>
      </c>
      <c r="R154" s="62" t="str">
        <f>IF(M154="eligible",IF(C154+2920&lt;'BASIC INFO'!$B$3, "YES", "NO"),"N/A")</f>
        <v>N/A</v>
      </c>
      <c r="S154" s="61" t="str">
        <f>IF(OR('CASE DATA'!G155="DEF"), "YES", "NO")</f>
        <v>NO</v>
      </c>
      <c r="T154" s="57" t="str">
        <f>IF(S154="YES",'CASE DATA'!I155,"N/A")</f>
        <v>N/A</v>
      </c>
      <c r="U154" s="62" t="str">
        <f>IF(S154="YES",BANKRUPTCY!C155+BANKRUPTCY!D155,"N/A")</f>
        <v>N/A</v>
      </c>
      <c r="V154" s="62" t="str">
        <f>IF(S154="YES",SUM('CASE DATA'!J155:S155),"N/A")</f>
        <v>N/A</v>
      </c>
      <c r="W154" s="57" t="str">
        <f>IF(OR('CASE DATA'!F155="123.46",'CASE DATA'!F155="123.47"),"YES","NO")</f>
        <v>NO</v>
      </c>
      <c r="X154" s="60" t="str">
        <f>IF(W154="YES",COUNTIFS(AD$3:$AD$200,"&gt;"&amp;('CASE DATA'!D155),$AD$3:$AD$200,"&lt;"&amp;('CASE DATA'!D155+730.5)),"n/a")</f>
        <v>n/a</v>
      </c>
      <c r="Y154" s="62" t="str">
        <f>IF(W154="YES",IF(C154+730.5&lt;'BASIC INFO'!$B$3, "YES","NO"), "N/A")</f>
        <v>N/A</v>
      </c>
      <c r="Z154" s="57" t="str">
        <f>IF('CASE DATA'!F155="725.1","YES","NO")</f>
        <v>NO</v>
      </c>
      <c r="AA154" s="57" t="str">
        <f>IF(Z154="YES",IF(C154+730.5&lt;'BASIC INFO'!$B$3, "YES","NO"), "N/A")</f>
        <v>N/A</v>
      </c>
      <c r="AB154" s="57" t="str">
        <f>IF('BASIC INFO'!$B$6+6574.5&gt;C154, "YES", "NO")</f>
        <v>YES</v>
      </c>
      <c r="AC154" s="57" t="str">
        <f>IF(Z154="YES",COUNTIFS(AD$3:$AD$200,"&gt;"&amp;('CASE DATA'!D155),$AD$3:$AD$200,"&lt;"&amp;('CASE DATA'!D155+730.5)),"n/a")</f>
        <v>n/a</v>
      </c>
    </row>
    <row r="155" spans="1:29" x14ac:dyDescent="0.25">
      <c r="A155" s="57" t="str">
        <f>IF('CASE DATA'!A156="","z",'CASE DATA'!A156)</f>
        <v>z</v>
      </c>
      <c r="B155" s="57" t="str">
        <f>IF('CASE DATA'!A156="","",'CASE DATA'!E156)</f>
        <v/>
      </c>
      <c r="C155" s="58">
        <f>'CASE DATA'!D156</f>
        <v>0</v>
      </c>
      <c r="D155" s="59" t="str">
        <f>IF('CASE DATA'!I156="YES",SUM('CASE DATA'!J156:P156),"n/a")</f>
        <v>n/a</v>
      </c>
      <c r="E155" s="60" t="str">
        <f>IF(OR('CASE DATA'!G156="JUV", 'CASE DATA'!G156="JWV"), "YES", "NO")</f>
        <v>NO</v>
      </c>
      <c r="F155" s="60" t="str">
        <f t="array" ref="F155">IF(E155="YES",IF(SUM(COUNTIF('CASE DATA'!$G$4:$G$200, {"GTR","GPL","DEF","JUV"}))&gt;0, "YES","NO"),"N/A")</f>
        <v>N/A</v>
      </c>
      <c r="G155" s="60" t="str">
        <f>IF(E155="YES",IF(COUNTIF('CASE DATA'!$D$4:$D$200, "")-COUNTIF('CASE DATA'!$A$4:$A$200, "")&gt;0, "YES","NO"),"N/A")</f>
        <v>N/A</v>
      </c>
      <c r="H155" s="57" t="str">
        <f>_xlfn.IFS(E155="NO", "N/A", AND('BASIC INFO'!$B$3&gt;'BASIC INFO'!$B$6+6574.5, C155+730.5&lt;'BASIC INFO'!$B$3), "YES", 'BASIC INFO'!$B$3&lt;('BASIC INFO'!$B$6+6574.5), "NOT YET 18", C155+730.5&gt;'BASIC INFO'!$B$3, "NOT YET 2 YEARS")</f>
        <v>N/A</v>
      </c>
      <c r="I155" s="61" t="str">
        <f>IF(OR(AND(LEFT('CASE DATA'!F156,4)="321.",MID('CASE DATA'!A156,8,2)="SM"),MID('CASE DATA'!A156,8,2)="ST",MID('CASE DATA'!A156,8,2)="NT"),"TRAFFIC",IF(OR('CASE DATA'!G156="DISM", 'CASE DATA'!G156="ACQ", 'CASE DATA'!G156="NOTF", 'CASE DATA'!G156="WTHD", 'CASE DATA'!G156="TNSF"), "YES", "NO"))</f>
        <v>NO</v>
      </c>
      <c r="J155" s="62" t="str">
        <f>IF(I155="YES",'CASE DATA'!T156,"N/A")</f>
        <v>N/A</v>
      </c>
      <c r="K155" s="57" t="str">
        <f>IF(I155="YES",IF(C155+180&lt;'BASIC INFO'!$B$3, "YES", "NO"),"N/A")</f>
        <v>N/A</v>
      </c>
      <c r="L155" s="62" t="str">
        <f t="array" ref="L155">IF(I155="TRAFFIC","n/a",IF(OR('CASE DATA'!G156="GTR", 'CASE DATA'!G156="GPL"),IF(SUM(COUNTIF('CASE DATA'!W156:AH156, 'CODE SECTIONS'!$V$2:$V$218&amp;"*"))&gt;0,"felony","eligible"),"n/a"))</f>
        <v>n/a</v>
      </c>
      <c r="M155" s="62" t="str">
        <f t="array" ref="M155">IF(L155="eligible",IF(OR((SUM(COUNTIF('CASE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62" t="str">
        <f>IF(M155="eligible",IF(COUNTIF('CASE DATA'!$D$4:$D$200, "")-COUNTIF('CASE DATA'!$A$4:$A$200, "")&gt;0, "YES","NO"),"N/A")</f>
        <v>N/A</v>
      </c>
      <c r="O155" s="62" t="str">
        <f>IF(M155="eligible",BANKRUPTCY!C156+BANKRUPTCY!D156,"N/A")</f>
        <v>N/A</v>
      </c>
      <c r="P155" s="62" t="str">
        <f>IF(M155="eligible",SOL!C156+SOL!D156+SOL!E156,"N/A")</f>
        <v>N/A</v>
      </c>
      <c r="Q155" s="62" t="str">
        <f>IF(M155="eligible",SUM('CASE DATA'!J156:S156),"N/A")</f>
        <v>N/A</v>
      </c>
      <c r="R155" s="62" t="str">
        <f>IF(M155="eligible",IF(C155+2920&lt;'BASIC INFO'!$B$3, "YES", "NO"),"N/A")</f>
        <v>N/A</v>
      </c>
      <c r="S155" s="61" t="str">
        <f>IF(OR('CASE DATA'!G156="DEF"), "YES", "NO")</f>
        <v>NO</v>
      </c>
      <c r="T155" s="57" t="str">
        <f>IF(S155="YES",'CASE DATA'!I156,"N/A")</f>
        <v>N/A</v>
      </c>
      <c r="U155" s="62" t="str">
        <f>IF(S155="YES",BANKRUPTCY!C156+BANKRUPTCY!D156,"N/A")</f>
        <v>N/A</v>
      </c>
      <c r="V155" s="62" t="str">
        <f>IF(S155="YES",SUM('CASE DATA'!J156:S156),"N/A")</f>
        <v>N/A</v>
      </c>
      <c r="W155" s="57" t="str">
        <f>IF(OR('CASE DATA'!F156="123.46",'CASE DATA'!F156="123.47"),"YES","NO")</f>
        <v>NO</v>
      </c>
      <c r="X155" s="60" t="str">
        <f>IF(W155="YES",COUNTIFS(AD$3:$AD$200,"&gt;"&amp;('CASE DATA'!D156),$AD$3:$AD$200,"&lt;"&amp;('CASE DATA'!D156+730.5)),"n/a")</f>
        <v>n/a</v>
      </c>
      <c r="Y155" s="62" t="str">
        <f>IF(W155="YES",IF(C155+730.5&lt;'BASIC INFO'!$B$3, "YES","NO"), "N/A")</f>
        <v>N/A</v>
      </c>
      <c r="Z155" s="57" t="str">
        <f>IF('CASE DATA'!F156="725.1","YES","NO")</f>
        <v>NO</v>
      </c>
      <c r="AA155" s="57" t="str">
        <f>IF(Z155="YES",IF(C155+730.5&lt;'BASIC INFO'!$B$3, "YES","NO"), "N/A")</f>
        <v>N/A</v>
      </c>
      <c r="AB155" s="57" t="str">
        <f>IF('BASIC INFO'!$B$6+6574.5&gt;C155, "YES", "NO")</f>
        <v>YES</v>
      </c>
      <c r="AC155" s="57" t="str">
        <f>IF(Z155="YES",COUNTIFS(AD$3:$AD$200,"&gt;"&amp;('CASE DATA'!D156),$AD$3:$AD$200,"&lt;"&amp;('CASE DATA'!D156+730.5)),"n/a")</f>
        <v>n/a</v>
      </c>
    </row>
    <row r="156" spans="1:29" x14ac:dyDescent="0.25">
      <c r="A156" s="57" t="str">
        <f>IF('CASE DATA'!A157="","z",'CASE DATA'!A157)</f>
        <v>z</v>
      </c>
      <c r="B156" s="57" t="str">
        <f>IF('CASE DATA'!A157="","",'CASE DATA'!E157)</f>
        <v/>
      </c>
      <c r="C156" s="58">
        <f>'CASE DATA'!D157</f>
        <v>0</v>
      </c>
      <c r="D156" s="59" t="str">
        <f>IF('CASE DATA'!I157="YES",SUM('CASE DATA'!J157:P157),"n/a")</f>
        <v>n/a</v>
      </c>
      <c r="E156" s="60" t="str">
        <f>IF(OR('CASE DATA'!G157="JUV", 'CASE DATA'!G157="JWV"), "YES", "NO")</f>
        <v>NO</v>
      </c>
      <c r="F156" s="60" t="str">
        <f t="array" ref="F156">IF(E156="YES",IF(SUM(COUNTIF('CASE DATA'!$G$4:$G$200, {"GTR","GPL","DEF","JUV"}))&gt;0, "YES","NO"),"N/A")</f>
        <v>N/A</v>
      </c>
      <c r="G156" s="60" t="str">
        <f>IF(E156="YES",IF(COUNTIF('CASE DATA'!$D$4:$D$200, "")-COUNTIF('CASE DATA'!$A$4:$A$200, "")&gt;0, "YES","NO"),"N/A")</f>
        <v>N/A</v>
      </c>
      <c r="H156" s="57" t="str">
        <f>_xlfn.IFS(E156="NO", "N/A", AND('BASIC INFO'!$B$3&gt;'BASIC INFO'!$B$6+6574.5, C156+730.5&lt;'BASIC INFO'!$B$3), "YES", 'BASIC INFO'!$B$3&lt;('BASIC INFO'!$B$6+6574.5), "NOT YET 18", C156+730.5&gt;'BASIC INFO'!$B$3, "NOT YET 2 YEARS")</f>
        <v>N/A</v>
      </c>
      <c r="I156" s="61" t="str">
        <f>IF(OR(AND(LEFT('CASE DATA'!F157,4)="321.",MID('CASE DATA'!A157,8,2)="SM"),MID('CASE DATA'!A157,8,2)="ST",MID('CASE DATA'!A157,8,2)="NT"),"TRAFFIC",IF(OR('CASE DATA'!G157="DISM", 'CASE DATA'!G157="ACQ", 'CASE DATA'!G157="NOTF", 'CASE DATA'!G157="WTHD", 'CASE DATA'!G157="TNSF"), "YES", "NO"))</f>
        <v>NO</v>
      </c>
      <c r="J156" s="62" t="str">
        <f>IF(I156="YES",'CASE DATA'!T157,"N/A")</f>
        <v>N/A</v>
      </c>
      <c r="K156" s="57" t="str">
        <f>IF(I156="YES",IF(C156+180&lt;'BASIC INFO'!$B$3, "YES", "NO"),"N/A")</f>
        <v>N/A</v>
      </c>
      <c r="L156" s="62" t="str">
        <f t="array" ref="L156">IF(I156="TRAFFIC","n/a",IF(OR('CASE DATA'!G157="GTR", 'CASE DATA'!G157="GPL"),IF(SUM(COUNTIF('CASE DATA'!W157:AH157, 'CODE SECTIONS'!$V$2:$V$218&amp;"*"))&gt;0,"felony","eligible"),"n/a"))</f>
        <v>n/a</v>
      </c>
      <c r="M156" s="62" t="str">
        <f t="array" ref="M156">IF(L156="eligible",IF(OR((SUM(COUNTIF('CASE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62" t="str">
        <f>IF(M156="eligible",IF(COUNTIF('CASE DATA'!$D$4:$D$200, "")-COUNTIF('CASE DATA'!$A$4:$A$200, "")&gt;0, "YES","NO"),"N/A")</f>
        <v>N/A</v>
      </c>
      <c r="O156" s="62" t="str">
        <f>IF(M156="eligible",BANKRUPTCY!C157+BANKRUPTCY!D157,"N/A")</f>
        <v>N/A</v>
      </c>
      <c r="P156" s="62" t="str">
        <f>IF(M156="eligible",SOL!C157+SOL!D157+SOL!E157,"N/A")</f>
        <v>N/A</v>
      </c>
      <c r="Q156" s="62" t="str">
        <f>IF(M156="eligible",SUM('CASE DATA'!J157:S157),"N/A")</f>
        <v>N/A</v>
      </c>
      <c r="R156" s="62" t="str">
        <f>IF(M156="eligible",IF(C156+2920&lt;'BASIC INFO'!$B$3, "YES", "NO"),"N/A")</f>
        <v>N/A</v>
      </c>
      <c r="S156" s="61" t="str">
        <f>IF(OR('CASE DATA'!G157="DEF"), "YES", "NO")</f>
        <v>NO</v>
      </c>
      <c r="T156" s="57" t="str">
        <f>IF(S156="YES",'CASE DATA'!I157,"N/A")</f>
        <v>N/A</v>
      </c>
      <c r="U156" s="62" t="str">
        <f>IF(S156="YES",BANKRUPTCY!C157+BANKRUPTCY!D157,"N/A")</f>
        <v>N/A</v>
      </c>
      <c r="V156" s="62" t="str">
        <f>IF(S156="YES",SUM('CASE DATA'!J157:S157),"N/A")</f>
        <v>N/A</v>
      </c>
      <c r="W156" s="57" t="str">
        <f>IF(OR('CASE DATA'!F157="123.46",'CASE DATA'!F157="123.47"),"YES","NO")</f>
        <v>NO</v>
      </c>
      <c r="X156" s="60" t="str">
        <f>IF(W156="YES",COUNTIFS(AD$3:$AD$200,"&gt;"&amp;('CASE DATA'!D157),$AD$3:$AD$200,"&lt;"&amp;('CASE DATA'!D157+730.5)),"n/a")</f>
        <v>n/a</v>
      </c>
      <c r="Y156" s="62" t="str">
        <f>IF(W156="YES",IF(C156+730.5&lt;'BASIC INFO'!$B$3, "YES","NO"), "N/A")</f>
        <v>N/A</v>
      </c>
      <c r="Z156" s="57" t="str">
        <f>IF('CASE DATA'!F157="725.1","YES","NO")</f>
        <v>NO</v>
      </c>
      <c r="AA156" s="57" t="str">
        <f>IF(Z156="YES",IF(C156+730.5&lt;'BASIC INFO'!$B$3, "YES","NO"), "N/A")</f>
        <v>N/A</v>
      </c>
      <c r="AB156" s="57" t="str">
        <f>IF('BASIC INFO'!$B$6+6574.5&gt;C156, "YES", "NO")</f>
        <v>YES</v>
      </c>
      <c r="AC156" s="57" t="str">
        <f>IF(Z156="YES",COUNTIFS(AD$3:$AD$200,"&gt;"&amp;('CASE DATA'!D157),$AD$3:$AD$200,"&lt;"&amp;('CASE DATA'!D157+730.5)),"n/a")</f>
        <v>n/a</v>
      </c>
    </row>
    <row r="157" spans="1:29" x14ac:dyDescent="0.25">
      <c r="A157" s="57" t="str">
        <f>IF('CASE DATA'!A158="","z",'CASE DATA'!A158)</f>
        <v>z</v>
      </c>
      <c r="B157" s="57" t="str">
        <f>IF('CASE DATA'!A158="","",'CASE DATA'!E158)</f>
        <v/>
      </c>
      <c r="C157" s="58">
        <f>'CASE DATA'!D158</f>
        <v>0</v>
      </c>
      <c r="D157" s="59" t="str">
        <f>IF('CASE DATA'!I158="YES",SUM('CASE DATA'!J158:P158),"n/a")</f>
        <v>n/a</v>
      </c>
      <c r="E157" s="60" t="str">
        <f>IF(OR('CASE DATA'!G158="JUV", 'CASE DATA'!G158="JWV"), "YES", "NO")</f>
        <v>NO</v>
      </c>
      <c r="F157" s="60" t="str">
        <f t="array" ref="F157">IF(E157="YES",IF(SUM(COUNTIF('CASE DATA'!$G$4:$G$200, {"GTR","GPL","DEF","JUV"}))&gt;0, "YES","NO"),"N/A")</f>
        <v>N/A</v>
      </c>
      <c r="G157" s="60" t="str">
        <f>IF(E157="YES",IF(COUNTIF('CASE DATA'!$D$4:$D$200, "")-COUNTIF('CASE DATA'!$A$4:$A$200, "")&gt;0, "YES","NO"),"N/A")</f>
        <v>N/A</v>
      </c>
      <c r="H157" s="57" t="str">
        <f>_xlfn.IFS(E157="NO", "N/A", AND('BASIC INFO'!$B$3&gt;'BASIC INFO'!$B$6+6574.5, C157+730.5&lt;'BASIC INFO'!$B$3), "YES", 'BASIC INFO'!$B$3&lt;('BASIC INFO'!$B$6+6574.5), "NOT YET 18", C157+730.5&gt;'BASIC INFO'!$B$3, "NOT YET 2 YEARS")</f>
        <v>N/A</v>
      </c>
      <c r="I157" s="61" t="str">
        <f>IF(OR(AND(LEFT('CASE DATA'!F158,4)="321.",MID('CASE DATA'!A158,8,2)="SM"),MID('CASE DATA'!A158,8,2)="ST",MID('CASE DATA'!A158,8,2)="NT"),"TRAFFIC",IF(OR('CASE DATA'!G158="DISM", 'CASE DATA'!G158="ACQ", 'CASE DATA'!G158="NOTF", 'CASE DATA'!G158="WTHD", 'CASE DATA'!G158="TNSF"), "YES", "NO"))</f>
        <v>NO</v>
      </c>
      <c r="J157" s="62" t="str">
        <f>IF(I157="YES",'CASE DATA'!T158,"N/A")</f>
        <v>N/A</v>
      </c>
      <c r="K157" s="57" t="str">
        <f>IF(I157="YES",IF(C157+180&lt;'BASIC INFO'!$B$3, "YES", "NO"),"N/A")</f>
        <v>N/A</v>
      </c>
      <c r="L157" s="62" t="str">
        <f t="array" ref="L157">IF(I157="TRAFFIC","n/a",IF(OR('CASE DATA'!G158="GTR", 'CASE DATA'!G158="GPL"),IF(SUM(COUNTIF('CASE DATA'!W158:AH158, 'CODE SECTIONS'!$V$2:$V$218&amp;"*"))&gt;0,"felony","eligible"),"n/a"))</f>
        <v>n/a</v>
      </c>
      <c r="M157" s="62" t="str">
        <f t="array" ref="M157">IF(L157="eligible",IF(OR((SUM(COUNTIF('CASE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62" t="str">
        <f>IF(M157="eligible",IF(COUNTIF('CASE DATA'!$D$4:$D$200, "")-COUNTIF('CASE DATA'!$A$4:$A$200, "")&gt;0, "YES","NO"),"N/A")</f>
        <v>N/A</v>
      </c>
      <c r="O157" s="62" t="str">
        <f>IF(M157="eligible",BANKRUPTCY!C158+BANKRUPTCY!D158,"N/A")</f>
        <v>N/A</v>
      </c>
      <c r="P157" s="62" t="str">
        <f>IF(M157="eligible",SOL!C158+SOL!D158+SOL!E158,"N/A")</f>
        <v>N/A</v>
      </c>
      <c r="Q157" s="62" t="str">
        <f>IF(M157="eligible",SUM('CASE DATA'!J158:S158),"N/A")</f>
        <v>N/A</v>
      </c>
      <c r="R157" s="62" t="str">
        <f>IF(M157="eligible",IF(C157+2920&lt;'BASIC INFO'!$B$3, "YES", "NO"),"N/A")</f>
        <v>N/A</v>
      </c>
      <c r="S157" s="61" t="str">
        <f>IF(OR('CASE DATA'!G158="DEF"), "YES", "NO")</f>
        <v>NO</v>
      </c>
      <c r="T157" s="57" t="str">
        <f>IF(S157="YES",'CASE DATA'!I158,"N/A")</f>
        <v>N/A</v>
      </c>
      <c r="U157" s="62" t="str">
        <f>IF(S157="YES",BANKRUPTCY!C158+BANKRUPTCY!D158,"N/A")</f>
        <v>N/A</v>
      </c>
      <c r="V157" s="62" t="str">
        <f>IF(S157="YES",SUM('CASE DATA'!J158:S158),"N/A")</f>
        <v>N/A</v>
      </c>
      <c r="W157" s="57" t="str">
        <f>IF(OR('CASE DATA'!F158="123.46",'CASE DATA'!F158="123.47"),"YES","NO")</f>
        <v>NO</v>
      </c>
      <c r="X157" s="60" t="str">
        <f>IF(W157="YES",COUNTIFS(AD$3:$AD$200,"&gt;"&amp;('CASE DATA'!D158),$AD$3:$AD$200,"&lt;"&amp;('CASE DATA'!D158+730.5)),"n/a")</f>
        <v>n/a</v>
      </c>
      <c r="Y157" s="62" t="str">
        <f>IF(W157="YES",IF(C157+730.5&lt;'BASIC INFO'!$B$3, "YES","NO"), "N/A")</f>
        <v>N/A</v>
      </c>
      <c r="Z157" s="57" t="str">
        <f>IF('CASE DATA'!F158="725.1","YES","NO")</f>
        <v>NO</v>
      </c>
      <c r="AA157" s="57" t="str">
        <f>IF(Z157="YES",IF(C157+730.5&lt;'BASIC INFO'!$B$3, "YES","NO"), "N/A")</f>
        <v>N/A</v>
      </c>
      <c r="AB157" s="57" t="str">
        <f>IF('BASIC INFO'!$B$6+6574.5&gt;C157, "YES", "NO")</f>
        <v>YES</v>
      </c>
      <c r="AC157" s="57" t="str">
        <f>IF(Z157="YES",COUNTIFS(AD$3:$AD$200,"&gt;"&amp;('CASE DATA'!D158),$AD$3:$AD$200,"&lt;"&amp;('CASE DATA'!D158+730.5)),"n/a")</f>
        <v>n/a</v>
      </c>
    </row>
    <row r="158" spans="1:29" x14ac:dyDescent="0.25">
      <c r="A158" s="57" t="str">
        <f>IF('CASE DATA'!A159="","z",'CASE DATA'!A159)</f>
        <v>z</v>
      </c>
      <c r="B158" s="57" t="str">
        <f>IF('CASE DATA'!A159="","",'CASE DATA'!E159)</f>
        <v/>
      </c>
      <c r="C158" s="58">
        <f>'CASE DATA'!D159</f>
        <v>0</v>
      </c>
      <c r="D158" s="59" t="str">
        <f>IF('CASE DATA'!I159="YES",SUM('CASE DATA'!J159:P159),"n/a")</f>
        <v>n/a</v>
      </c>
      <c r="E158" s="60" t="str">
        <f>IF(OR('CASE DATA'!G159="JUV", 'CASE DATA'!G159="JWV"), "YES", "NO")</f>
        <v>NO</v>
      </c>
      <c r="F158" s="60" t="str">
        <f t="array" ref="F158">IF(E158="YES",IF(SUM(COUNTIF('CASE DATA'!$G$4:$G$200, {"GTR","GPL","DEF","JUV"}))&gt;0, "YES","NO"),"N/A")</f>
        <v>N/A</v>
      </c>
      <c r="G158" s="60" t="str">
        <f>IF(E158="YES",IF(COUNTIF('CASE DATA'!$D$4:$D$200, "")-COUNTIF('CASE DATA'!$A$4:$A$200, "")&gt;0, "YES","NO"),"N/A")</f>
        <v>N/A</v>
      </c>
      <c r="H158" s="57" t="str">
        <f>_xlfn.IFS(E158="NO", "N/A", AND('BASIC INFO'!$B$3&gt;'BASIC INFO'!$B$6+6574.5, C158+730.5&lt;'BASIC INFO'!$B$3), "YES", 'BASIC INFO'!$B$3&lt;('BASIC INFO'!$B$6+6574.5), "NOT YET 18", C158+730.5&gt;'BASIC INFO'!$B$3, "NOT YET 2 YEARS")</f>
        <v>N/A</v>
      </c>
      <c r="I158" s="61" t="str">
        <f>IF(OR(AND(LEFT('CASE DATA'!F159,4)="321.",MID('CASE DATA'!A159,8,2)="SM"),MID('CASE DATA'!A159,8,2)="ST",MID('CASE DATA'!A159,8,2)="NT"),"TRAFFIC",IF(OR('CASE DATA'!G159="DISM", 'CASE DATA'!G159="ACQ", 'CASE DATA'!G159="NOTF", 'CASE DATA'!G159="WTHD", 'CASE DATA'!G159="TNSF"), "YES", "NO"))</f>
        <v>NO</v>
      </c>
      <c r="J158" s="62" t="str">
        <f>IF(I158="YES",'CASE DATA'!T159,"N/A")</f>
        <v>N/A</v>
      </c>
      <c r="K158" s="57" t="str">
        <f>IF(I158="YES",IF(C158+180&lt;'BASIC INFO'!$B$3, "YES", "NO"),"N/A")</f>
        <v>N/A</v>
      </c>
      <c r="L158" s="62" t="str">
        <f t="array" ref="L158">IF(I158="TRAFFIC","n/a",IF(OR('CASE DATA'!G159="GTR", 'CASE DATA'!G159="GPL"),IF(SUM(COUNTIF('CASE DATA'!W159:AH159, 'CODE SECTIONS'!$V$2:$V$218&amp;"*"))&gt;0,"felony","eligible"),"n/a"))</f>
        <v>n/a</v>
      </c>
      <c r="M158" s="62" t="str">
        <f t="array" ref="M158">IF(L158="eligible",IF(OR((SUM(COUNTIF('CASE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62" t="str">
        <f>IF(M158="eligible",IF(COUNTIF('CASE DATA'!$D$4:$D$200, "")-COUNTIF('CASE DATA'!$A$4:$A$200, "")&gt;0, "YES","NO"),"N/A")</f>
        <v>N/A</v>
      </c>
      <c r="O158" s="62" t="str">
        <f>IF(M158="eligible",BANKRUPTCY!C159+BANKRUPTCY!D159,"N/A")</f>
        <v>N/A</v>
      </c>
      <c r="P158" s="62" t="str">
        <f>IF(M158="eligible",SOL!C159+SOL!D159+SOL!E159,"N/A")</f>
        <v>N/A</v>
      </c>
      <c r="Q158" s="62" t="str">
        <f>IF(M158="eligible",SUM('CASE DATA'!J159:S159),"N/A")</f>
        <v>N/A</v>
      </c>
      <c r="R158" s="62" t="str">
        <f>IF(M158="eligible",IF(C158+2920&lt;'BASIC INFO'!$B$3, "YES", "NO"),"N/A")</f>
        <v>N/A</v>
      </c>
      <c r="S158" s="61" t="str">
        <f>IF(OR('CASE DATA'!G159="DEF"), "YES", "NO")</f>
        <v>NO</v>
      </c>
      <c r="T158" s="57" t="str">
        <f>IF(S158="YES",'CASE DATA'!I159,"N/A")</f>
        <v>N/A</v>
      </c>
      <c r="U158" s="62" t="str">
        <f>IF(S158="YES",BANKRUPTCY!C159+BANKRUPTCY!D159,"N/A")</f>
        <v>N/A</v>
      </c>
      <c r="V158" s="62" t="str">
        <f>IF(S158="YES",SUM('CASE DATA'!J159:S159),"N/A")</f>
        <v>N/A</v>
      </c>
      <c r="W158" s="57" t="str">
        <f>IF(OR('CASE DATA'!F159="123.46",'CASE DATA'!F159="123.47"),"YES","NO")</f>
        <v>NO</v>
      </c>
      <c r="X158" s="60" t="str">
        <f>IF(W158="YES",COUNTIFS(AD$3:$AD$200,"&gt;"&amp;('CASE DATA'!D159),$AD$3:$AD$200,"&lt;"&amp;('CASE DATA'!D159+730.5)),"n/a")</f>
        <v>n/a</v>
      </c>
      <c r="Y158" s="62" t="str">
        <f>IF(W158="YES",IF(C158+730.5&lt;'BASIC INFO'!$B$3, "YES","NO"), "N/A")</f>
        <v>N/A</v>
      </c>
      <c r="Z158" s="57" t="str">
        <f>IF('CASE DATA'!F159="725.1","YES","NO")</f>
        <v>NO</v>
      </c>
      <c r="AA158" s="57" t="str">
        <f>IF(Z158="YES",IF(C158+730.5&lt;'BASIC INFO'!$B$3, "YES","NO"), "N/A")</f>
        <v>N/A</v>
      </c>
      <c r="AB158" s="57" t="str">
        <f>IF('BASIC INFO'!$B$6+6574.5&gt;C158, "YES", "NO")</f>
        <v>YES</v>
      </c>
      <c r="AC158" s="57" t="str">
        <f>IF(Z158="YES",COUNTIFS(AD$3:$AD$200,"&gt;"&amp;('CASE DATA'!D159),$AD$3:$AD$200,"&lt;"&amp;('CASE DATA'!D159+730.5)),"n/a")</f>
        <v>n/a</v>
      </c>
    </row>
    <row r="159" spans="1:29" x14ac:dyDescent="0.25">
      <c r="A159" s="57" t="str">
        <f>IF('CASE DATA'!A160="","z",'CASE DATA'!A160)</f>
        <v>z</v>
      </c>
      <c r="B159" s="57" t="str">
        <f>IF('CASE DATA'!A160="","",'CASE DATA'!E160)</f>
        <v/>
      </c>
      <c r="C159" s="58">
        <f>'CASE DATA'!D160</f>
        <v>0</v>
      </c>
      <c r="D159" s="59" t="str">
        <f>IF('CASE DATA'!I160="YES",SUM('CASE DATA'!J160:P160),"n/a")</f>
        <v>n/a</v>
      </c>
      <c r="E159" s="60" t="str">
        <f>IF(OR('CASE DATA'!G160="JUV", 'CASE DATA'!G160="JWV"), "YES", "NO")</f>
        <v>NO</v>
      </c>
      <c r="F159" s="60" t="str">
        <f t="array" ref="F159">IF(E159="YES",IF(SUM(COUNTIF('CASE DATA'!$G$4:$G$200, {"GTR","GPL","DEF","JUV"}))&gt;0, "YES","NO"),"N/A")</f>
        <v>N/A</v>
      </c>
      <c r="G159" s="60" t="str">
        <f>IF(E159="YES",IF(COUNTIF('CASE DATA'!$D$4:$D$200, "")-COUNTIF('CASE DATA'!$A$4:$A$200, "")&gt;0, "YES","NO"),"N/A")</f>
        <v>N/A</v>
      </c>
      <c r="H159" s="57" t="str">
        <f>_xlfn.IFS(E159="NO", "N/A", AND('BASIC INFO'!$B$3&gt;'BASIC INFO'!$B$6+6574.5, C159+730.5&lt;'BASIC INFO'!$B$3), "YES", 'BASIC INFO'!$B$3&lt;('BASIC INFO'!$B$6+6574.5), "NOT YET 18", C159+730.5&gt;'BASIC INFO'!$B$3, "NOT YET 2 YEARS")</f>
        <v>N/A</v>
      </c>
      <c r="I159" s="61" t="str">
        <f>IF(OR(AND(LEFT('CASE DATA'!F160,4)="321.",MID('CASE DATA'!A160,8,2)="SM"),MID('CASE DATA'!A160,8,2)="ST",MID('CASE DATA'!A160,8,2)="NT"),"TRAFFIC",IF(OR('CASE DATA'!G160="DISM", 'CASE DATA'!G160="ACQ", 'CASE DATA'!G160="NOTF", 'CASE DATA'!G160="WTHD", 'CASE DATA'!G160="TNSF"), "YES", "NO"))</f>
        <v>NO</v>
      </c>
      <c r="J159" s="62" t="str">
        <f>IF(I159="YES",'CASE DATA'!T160,"N/A")</f>
        <v>N/A</v>
      </c>
      <c r="K159" s="57" t="str">
        <f>IF(I159="YES",IF(C159+180&lt;'BASIC INFO'!$B$3, "YES", "NO"),"N/A")</f>
        <v>N/A</v>
      </c>
      <c r="L159" s="62" t="str">
        <f t="array" ref="L159">IF(I159="TRAFFIC","n/a",IF(OR('CASE DATA'!G160="GTR", 'CASE DATA'!G160="GPL"),IF(SUM(COUNTIF('CASE DATA'!W160:AH160, 'CODE SECTIONS'!$V$2:$V$218&amp;"*"))&gt;0,"felony","eligible"),"n/a"))</f>
        <v>n/a</v>
      </c>
      <c r="M159" s="62" t="str">
        <f t="array" ref="M159">IF(L159="eligible",IF(OR((SUM(COUNTIF('CASE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62" t="str">
        <f>IF(M159="eligible",IF(COUNTIF('CASE DATA'!$D$4:$D$200, "")-COUNTIF('CASE DATA'!$A$4:$A$200, "")&gt;0, "YES","NO"),"N/A")</f>
        <v>N/A</v>
      </c>
      <c r="O159" s="62" t="str">
        <f>IF(M159="eligible",BANKRUPTCY!C160+BANKRUPTCY!D160,"N/A")</f>
        <v>N/A</v>
      </c>
      <c r="P159" s="62" t="str">
        <f>IF(M159="eligible",SOL!C160+SOL!D160+SOL!E160,"N/A")</f>
        <v>N/A</v>
      </c>
      <c r="Q159" s="62" t="str">
        <f>IF(M159="eligible",SUM('CASE DATA'!J160:S160),"N/A")</f>
        <v>N/A</v>
      </c>
      <c r="R159" s="62" t="str">
        <f>IF(M159="eligible",IF(C159+2920&lt;'BASIC INFO'!$B$3, "YES", "NO"),"N/A")</f>
        <v>N/A</v>
      </c>
      <c r="S159" s="61" t="str">
        <f>IF(OR('CASE DATA'!G160="DEF"), "YES", "NO")</f>
        <v>NO</v>
      </c>
      <c r="T159" s="57" t="str">
        <f>IF(S159="YES",'CASE DATA'!I160,"N/A")</f>
        <v>N/A</v>
      </c>
      <c r="U159" s="62" t="str">
        <f>IF(S159="YES",BANKRUPTCY!C160+BANKRUPTCY!D160,"N/A")</f>
        <v>N/A</v>
      </c>
      <c r="V159" s="62" t="str">
        <f>IF(S159="YES",SUM('CASE DATA'!J160:S160),"N/A")</f>
        <v>N/A</v>
      </c>
      <c r="W159" s="57" t="str">
        <f>IF(OR('CASE DATA'!F160="123.46",'CASE DATA'!F160="123.47"),"YES","NO")</f>
        <v>NO</v>
      </c>
      <c r="X159" s="60" t="str">
        <f>IF(W159="YES",COUNTIFS(AD$3:$AD$200,"&gt;"&amp;('CASE DATA'!D160),$AD$3:$AD$200,"&lt;"&amp;('CASE DATA'!D160+730.5)),"n/a")</f>
        <v>n/a</v>
      </c>
      <c r="Y159" s="62" t="str">
        <f>IF(W159="YES",IF(C159+730.5&lt;'BASIC INFO'!$B$3, "YES","NO"), "N/A")</f>
        <v>N/A</v>
      </c>
      <c r="Z159" s="57" t="str">
        <f>IF('CASE DATA'!F160="725.1","YES","NO")</f>
        <v>NO</v>
      </c>
      <c r="AA159" s="57" t="str">
        <f>IF(Z159="YES",IF(C159+730.5&lt;'BASIC INFO'!$B$3, "YES","NO"), "N/A")</f>
        <v>N/A</v>
      </c>
      <c r="AB159" s="57" t="str">
        <f>IF('BASIC INFO'!$B$6+6574.5&gt;C159, "YES", "NO")</f>
        <v>YES</v>
      </c>
      <c r="AC159" s="57" t="str">
        <f>IF(Z159="YES",COUNTIFS(AD$3:$AD$200,"&gt;"&amp;('CASE DATA'!D160),$AD$3:$AD$200,"&lt;"&amp;('CASE DATA'!D160+730.5)),"n/a")</f>
        <v>n/a</v>
      </c>
    </row>
    <row r="160" spans="1:29" x14ac:dyDescent="0.25">
      <c r="A160" s="57" t="str">
        <f>IF('CASE DATA'!A161="","z",'CASE DATA'!A161)</f>
        <v>z</v>
      </c>
      <c r="B160" s="57" t="str">
        <f>IF('CASE DATA'!A161="","",'CASE DATA'!E161)</f>
        <v/>
      </c>
      <c r="C160" s="58">
        <f>'CASE DATA'!D161</f>
        <v>0</v>
      </c>
      <c r="D160" s="59" t="str">
        <f>IF('CASE DATA'!I161="YES",SUM('CASE DATA'!J161:P161),"n/a")</f>
        <v>n/a</v>
      </c>
      <c r="E160" s="60" t="str">
        <f>IF(OR('CASE DATA'!G161="JUV", 'CASE DATA'!G161="JWV"), "YES", "NO")</f>
        <v>NO</v>
      </c>
      <c r="F160" s="60" t="str">
        <f t="array" ref="F160">IF(E160="YES",IF(SUM(COUNTIF('CASE DATA'!$G$4:$G$200, {"GTR","GPL","DEF","JUV"}))&gt;0, "YES","NO"),"N/A")</f>
        <v>N/A</v>
      </c>
      <c r="G160" s="60" t="str">
        <f>IF(E160="YES",IF(COUNTIF('CASE DATA'!$D$4:$D$200, "")-COUNTIF('CASE DATA'!$A$4:$A$200, "")&gt;0, "YES","NO"),"N/A")</f>
        <v>N/A</v>
      </c>
      <c r="H160" s="57" t="str">
        <f>_xlfn.IFS(E160="NO", "N/A", AND('BASIC INFO'!$B$3&gt;'BASIC INFO'!$B$6+6574.5, C160+730.5&lt;'BASIC INFO'!$B$3), "YES", 'BASIC INFO'!$B$3&lt;('BASIC INFO'!$B$6+6574.5), "NOT YET 18", C160+730.5&gt;'BASIC INFO'!$B$3, "NOT YET 2 YEARS")</f>
        <v>N/A</v>
      </c>
      <c r="I160" s="61" t="str">
        <f>IF(OR(AND(LEFT('CASE DATA'!F161,4)="321.",MID('CASE DATA'!A161,8,2)="SM"),MID('CASE DATA'!A161,8,2)="ST",MID('CASE DATA'!A161,8,2)="NT"),"TRAFFIC",IF(OR('CASE DATA'!G161="DISM", 'CASE DATA'!G161="ACQ", 'CASE DATA'!G161="NOTF", 'CASE DATA'!G161="WTHD", 'CASE DATA'!G161="TNSF"), "YES", "NO"))</f>
        <v>NO</v>
      </c>
      <c r="J160" s="62" t="str">
        <f>IF(I160="YES",'CASE DATA'!T161,"N/A")</f>
        <v>N/A</v>
      </c>
      <c r="K160" s="57" t="str">
        <f>IF(I160="YES",IF(C160+180&lt;'BASIC INFO'!$B$3, "YES", "NO"),"N/A")</f>
        <v>N/A</v>
      </c>
      <c r="L160" s="62" t="str">
        <f t="array" ref="L160">IF(I160="TRAFFIC","n/a",IF(OR('CASE DATA'!G161="GTR", 'CASE DATA'!G161="GPL"),IF(SUM(COUNTIF('CASE DATA'!W161:AH161, 'CODE SECTIONS'!$V$2:$V$218&amp;"*"))&gt;0,"felony","eligible"),"n/a"))</f>
        <v>n/a</v>
      </c>
      <c r="M160" s="62" t="str">
        <f t="array" ref="M160">IF(L160="eligible",IF(OR((SUM(COUNTIF('CASE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62" t="str">
        <f>IF(M160="eligible",IF(COUNTIF('CASE DATA'!$D$4:$D$200, "")-COUNTIF('CASE DATA'!$A$4:$A$200, "")&gt;0, "YES","NO"),"N/A")</f>
        <v>N/A</v>
      </c>
      <c r="O160" s="62" t="str">
        <f>IF(M160="eligible",BANKRUPTCY!C161+BANKRUPTCY!D161,"N/A")</f>
        <v>N/A</v>
      </c>
      <c r="P160" s="62" t="str">
        <f>IF(M160="eligible",SOL!C161+SOL!D161+SOL!E161,"N/A")</f>
        <v>N/A</v>
      </c>
      <c r="Q160" s="62" t="str">
        <f>IF(M160="eligible",SUM('CASE DATA'!J161:S161),"N/A")</f>
        <v>N/A</v>
      </c>
      <c r="R160" s="62" t="str">
        <f>IF(M160="eligible",IF(C160+2920&lt;'BASIC INFO'!$B$3, "YES", "NO"),"N/A")</f>
        <v>N/A</v>
      </c>
      <c r="S160" s="61" t="str">
        <f>IF(OR('CASE DATA'!G161="DEF"), "YES", "NO")</f>
        <v>NO</v>
      </c>
      <c r="T160" s="57" t="str">
        <f>IF(S160="YES",'CASE DATA'!I161,"N/A")</f>
        <v>N/A</v>
      </c>
      <c r="U160" s="62" t="str">
        <f>IF(S160="YES",BANKRUPTCY!C161+BANKRUPTCY!D161,"N/A")</f>
        <v>N/A</v>
      </c>
      <c r="V160" s="62" t="str">
        <f>IF(S160="YES",SUM('CASE DATA'!J161:S161),"N/A")</f>
        <v>N/A</v>
      </c>
      <c r="W160" s="57" t="str">
        <f>IF(OR('CASE DATA'!F161="123.46",'CASE DATA'!F161="123.47"),"YES","NO")</f>
        <v>NO</v>
      </c>
      <c r="X160" s="60" t="str">
        <f>IF(W160="YES",COUNTIFS(AD$3:$AD$200,"&gt;"&amp;('CASE DATA'!D161),$AD$3:$AD$200,"&lt;"&amp;('CASE DATA'!D161+730.5)),"n/a")</f>
        <v>n/a</v>
      </c>
      <c r="Y160" s="62" t="str">
        <f>IF(W160="YES",IF(C160+730.5&lt;'BASIC INFO'!$B$3, "YES","NO"), "N/A")</f>
        <v>N/A</v>
      </c>
      <c r="Z160" s="57" t="str">
        <f>IF('CASE DATA'!F161="725.1","YES","NO")</f>
        <v>NO</v>
      </c>
      <c r="AA160" s="57" t="str">
        <f>IF(Z160="YES",IF(C160+730.5&lt;'BASIC INFO'!$B$3, "YES","NO"), "N/A")</f>
        <v>N/A</v>
      </c>
      <c r="AB160" s="57" t="str">
        <f>IF('BASIC INFO'!$B$6+6574.5&gt;C160, "YES", "NO")</f>
        <v>YES</v>
      </c>
      <c r="AC160" s="57" t="str">
        <f>IF(Z160="YES",COUNTIFS(AD$3:$AD$200,"&gt;"&amp;('CASE DATA'!D161),$AD$3:$AD$200,"&lt;"&amp;('CASE DATA'!D161+730.5)),"n/a")</f>
        <v>n/a</v>
      </c>
    </row>
    <row r="161" spans="1:29" x14ac:dyDescent="0.25">
      <c r="A161" s="57" t="str">
        <f>IF('CASE DATA'!A162="","z",'CASE DATA'!A162)</f>
        <v>z</v>
      </c>
      <c r="B161" s="57" t="str">
        <f>IF('CASE DATA'!A162="","",'CASE DATA'!E162)</f>
        <v/>
      </c>
      <c r="C161" s="58">
        <f>'CASE DATA'!D162</f>
        <v>0</v>
      </c>
      <c r="D161" s="59" t="str">
        <f>IF('CASE DATA'!I162="YES",SUM('CASE DATA'!J162:P162),"n/a")</f>
        <v>n/a</v>
      </c>
      <c r="E161" s="60" t="str">
        <f>IF(OR('CASE DATA'!G162="JUV", 'CASE DATA'!G162="JWV"), "YES", "NO")</f>
        <v>NO</v>
      </c>
      <c r="F161" s="60" t="str">
        <f t="array" ref="F161">IF(E161="YES",IF(SUM(COUNTIF('CASE DATA'!$G$4:$G$200, {"GTR","GPL","DEF","JUV"}))&gt;0, "YES","NO"),"N/A")</f>
        <v>N/A</v>
      </c>
      <c r="G161" s="60" t="str">
        <f>IF(E161="YES",IF(COUNTIF('CASE DATA'!$D$4:$D$200, "")-COUNTIF('CASE DATA'!$A$4:$A$200, "")&gt;0, "YES","NO"),"N/A")</f>
        <v>N/A</v>
      </c>
      <c r="H161" s="57" t="str">
        <f>_xlfn.IFS(E161="NO", "N/A", AND('BASIC INFO'!$B$3&gt;'BASIC INFO'!$B$6+6574.5, C161+730.5&lt;'BASIC INFO'!$B$3), "YES", 'BASIC INFO'!$B$3&lt;('BASIC INFO'!$B$6+6574.5), "NOT YET 18", C161+730.5&gt;'BASIC INFO'!$B$3, "NOT YET 2 YEARS")</f>
        <v>N/A</v>
      </c>
      <c r="I161" s="61" t="str">
        <f>IF(OR(AND(LEFT('CASE DATA'!F162,4)="321.",MID('CASE DATA'!A162,8,2)="SM"),MID('CASE DATA'!A162,8,2)="ST",MID('CASE DATA'!A162,8,2)="NT"),"TRAFFIC",IF(OR('CASE DATA'!G162="DISM", 'CASE DATA'!G162="ACQ", 'CASE DATA'!G162="NOTF", 'CASE DATA'!G162="WTHD", 'CASE DATA'!G162="TNSF"), "YES", "NO"))</f>
        <v>NO</v>
      </c>
      <c r="J161" s="62" t="str">
        <f>IF(I161="YES",'CASE DATA'!T162,"N/A")</f>
        <v>N/A</v>
      </c>
      <c r="K161" s="57" t="str">
        <f>IF(I161="YES",IF(C161+180&lt;'BASIC INFO'!$B$3, "YES", "NO"),"N/A")</f>
        <v>N/A</v>
      </c>
      <c r="L161" s="62" t="str">
        <f t="array" ref="L161">IF(I161="TRAFFIC","n/a",IF(OR('CASE DATA'!G162="GTR", 'CASE DATA'!G162="GPL"),IF(SUM(COUNTIF('CASE DATA'!W162:AH162, 'CODE SECTIONS'!$V$2:$V$218&amp;"*"))&gt;0,"felony","eligible"),"n/a"))</f>
        <v>n/a</v>
      </c>
      <c r="M161" s="62" t="str">
        <f t="array" ref="M161">IF(L161="eligible",IF(OR((SUM(COUNTIF('CASE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62" t="str">
        <f>IF(M161="eligible",IF(COUNTIF('CASE DATA'!$D$4:$D$200, "")-COUNTIF('CASE DATA'!$A$4:$A$200, "")&gt;0, "YES","NO"),"N/A")</f>
        <v>N/A</v>
      </c>
      <c r="O161" s="62" t="str">
        <f>IF(M161="eligible",BANKRUPTCY!C162+BANKRUPTCY!D162,"N/A")</f>
        <v>N/A</v>
      </c>
      <c r="P161" s="62" t="str">
        <f>IF(M161="eligible",SOL!C162+SOL!D162+SOL!E162,"N/A")</f>
        <v>N/A</v>
      </c>
      <c r="Q161" s="62" t="str">
        <f>IF(M161="eligible",SUM('CASE DATA'!J162:S162),"N/A")</f>
        <v>N/A</v>
      </c>
      <c r="R161" s="62" t="str">
        <f>IF(M161="eligible",IF(C161+2920&lt;'BASIC INFO'!$B$3, "YES", "NO"),"N/A")</f>
        <v>N/A</v>
      </c>
      <c r="S161" s="61" t="str">
        <f>IF(OR('CASE DATA'!G162="DEF"), "YES", "NO")</f>
        <v>NO</v>
      </c>
      <c r="T161" s="57" t="str">
        <f>IF(S161="YES",'CASE DATA'!I162,"N/A")</f>
        <v>N/A</v>
      </c>
      <c r="U161" s="62" t="str">
        <f>IF(S161="YES",BANKRUPTCY!C162+BANKRUPTCY!D162,"N/A")</f>
        <v>N/A</v>
      </c>
      <c r="V161" s="62" t="str">
        <f>IF(S161="YES",SUM('CASE DATA'!J162:S162),"N/A")</f>
        <v>N/A</v>
      </c>
      <c r="W161" s="57" t="str">
        <f>IF(OR('CASE DATA'!F162="123.46",'CASE DATA'!F162="123.47"),"YES","NO")</f>
        <v>NO</v>
      </c>
      <c r="X161" s="60" t="str">
        <f>IF(W161="YES",COUNTIFS(AD$3:$AD$200,"&gt;"&amp;('CASE DATA'!D162),$AD$3:$AD$200,"&lt;"&amp;('CASE DATA'!D162+730.5)),"n/a")</f>
        <v>n/a</v>
      </c>
      <c r="Y161" s="62" t="str">
        <f>IF(W161="YES",IF(C161+730.5&lt;'BASIC INFO'!$B$3, "YES","NO"), "N/A")</f>
        <v>N/A</v>
      </c>
      <c r="Z161" s="57" t="str">
        <f>IF('CASE DATA'!F162="725.1","YES","NO")</f>
        <v>NO</v>
      </c>
      <c r="AA161" s="57" t="str">
        <f>IF(Z161="YES",IF(C161+730.5&lt;'BASIC INFO'!$B$3, "YES","NO"), "N/A")</f>
        <v>N/A</v>
      </c>
      <c r="AB161" s="57" t="str">
        <f>IF('BASIC INFO'!$B$6+6574.5&gt;C161, "YES", "NO")</f>
        <v>YES</v>
      </c>
      <c r="AC161" s="57" t="str">
        <f>IF(Z161="YES",COUNTIFS(AD$3:$AD$200,"&gt;"&amp;('CASE DATA'!D162),$AD$3:$AD$200,"&lt;"&amp;('CASE DATA'!D162+730.5)),"n/a")</f>
        <v>n/a</v>
      </c>
    </row>
    <row r="162" spans="1:29" x14ac:dyDescent="0.25">
      <c r="A162" s="57" t="str">
        <f>IF('CASE DATA'!A163="","z",'CASE DATA'!A163)</f>
        <v>z</v>
      </c>
      <c r="B162" s="57" t="str">
        <f>IF('CASE DATA'!A163="","",'CASE DATA'!E163)</f>
        <v/>
      </c>
      <c r="C162" s="58">
        <f>'CASE DATA'!D163</f>
        <v>0</v>
      </c>
      <c r="D162" s="59" t="str">
        <f>IF('CASE DATA'!I163="YES",SUM('CASE DATA'!J163:P163),"n/a")</f>
        <v>n/a</v>
      </c>
      <c r="E162" s="60" t="str">
        <f>IF(OR('CASE DATA'!G163="JUV", 'CASE DATA'!G163="JWV"), "YES", "NO")</f>
        <v>NO</v>
      </c>
      <c r="F162" s="60" t="str">
        <f t="array" ref="F162">IF(E162="YES",IF(SUM(COUNTIF('CASE DATA'!$G$4:$G$200, {"GTR","GPL","DEF","JUV"}))&gt;0, "YES","NO"),"N/A")</f>
        <v>N/A</v>
      </c>
      <c r="G162" s="60" t="str">
        <f>IF(E162="YES",IF(COUNTIF('CASE DATA'!$D$4:$D$200, "")-COUNTIF('CASE DATA'!$A$4:$A$200, "")&gt;0, "YES","NO"),"N/A")</f>
        <v>N/A</v>
      </c>
      <c r="H162" s="57" t="str">
        <f>_xlfn.IFS(E162="NO", "N/A", AND('BASIC INFO'!$B$3&gt;'BASIC INFO'!$B$6+6574.5, C162+730.5&lt;'BASIC INFO'!$B$3), "YES", 'BASIC INFO'!$B$3&lt;('BASIC INFO'!$B$6+6574.5), "NOT YET 18", C162+730.5&gt;'BASIC INFO'!$B$3, "NOT YET 2 YEARS")</f>
        <v>N/A</v>
      </c>
      <c r="I162" s="61" t="str">
        <f>IF(OR(AND(LEFT('CASE DATA'!F163,4)="321.",MID('CASE DATA'!A163,8,2)="SM"),MID('CASE DATA'!A163,8,2)="ST",MID('CASE DATA'!A163,8,2)="NT"),"TRAFFIC",IF(OR('CASE DATA'!G163="DISM", 'CASE DATA'!G163="ACQ", 'CASE DATA'!G163="NOTF", 'CASE DATA'!G163="WTHD", 'CASE DATA'!G163="TNSF"), "YES", "NO"))</f>
        <v>NO</v>
      </c>
      <c r="J162" s="62" t="str">
        <f>IF(I162="YES",'CASE DATA'!T163,"N/A")</f>
        <v>N/A</v>
      </c>
      <c r="K162" s="57" t="str">
        <f>IF(I162="YES",IF(C162+180&lt;'BASIC INFO'!$B$3, "YES", "NO"),"N/A")</f>
        <v>N/A</v>
      </c>
      <c r="L162" s="62" t="str">
        <f t="array" ref="L162">IF(I162="TRAFFIC","n/a",IF(OR('CASE DATA'!G163="GTR", 'CASE DATA'!G163="GPL"),IF(SUM(COUNTIF('CASE DATA'!W163:AH163, 'CODE SECTIONS'!$V$2:$V$218&amp;"*"))&gt;0,"felony","eligible"),"n/a"))</f>
        <v>n/a</v>
      </c>
      <c r="M162" s="62" t="str">
        <f t="array" ref="M162">IF(L162="eligible",IF(OR((SUM(COUNTIF('CASE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62" t="str">
        <f>IF(M162="eligible",IF(COUNTIF('CASE DATA'!$D$4:$D$200, "")-COUNTIF('CASE DATA'!$A$4:$A$200, "")&gt;0, "YES","NO"),"N/A")</f>
        <v>N/A</v>
      </c>
      <c r="O162" s="62" t="str">
        <f>IF(M162="eligible",BANKRUPTCY!C163+BANKRUPTCY!D163,"N/A")</f>
        <v>N/A</v>
      </c>
      <c r="P162" s="62" t="str">
        <f>IF(M162="eligible",SOL!C163+SOL!D163+SOL!E163,"N/A")</f>
        <v>N/A</v>
      </c>
      <c r="Q162" s="62" t="str">
        <f>IF(M162="eligible",SUM('CASE DATA'!J163:S163),"N/A")</f>
        <v>N/A</v>
      </c>
      <c r="R162" s="62" t="str">
        <f>IF(M162="eligible",IF(C162+2920&lt;'BASIC INFO'!$B$3, "YES", "NO"),"N/A")</f>
        <v>N/A</v>
      </c>
      <c r="S162" s="61" t="str">
        <f>IF(OR('CASE DATA'!G163="DEF"), "YES", "NO")</f>
        <v>NO</v>
      </c>
      <c r="T162" s="57" t="str">
        <f>IF(S162="YES",'CASE DATA'!I163,"N/A")</f>
        <v>N/A</v>
      </c>
      <c r="U162" s="62" t="str">
        <f>IF(S162="YES",BANKRUPTCY!C163+BANKRUPTCY!D163,"N/A")</f>
        <v>N/A</v>
      </c>
      <c r="V162" s="62" t="str">
        <f>IF(S162="YES",SUM('CASE DATA'!J163:S163),"N/A")</f>
        <v>N/A</v>
      </c>
      <c r="W162" s="57" t="str">
        <f>IF(OR('CASE DATA'!F163="123.46",'CASE DATA'!F163="123.47"),"YES","NO")</f>
        <v>NO</v>
      </c>
      <c r="X162" s="60" t="str">
        <f>IF(W162="YES",COUNTIFS(AD$3:$AD$200,"&gt;"&amp;('CASE DATA'!D163),$AD$3:$AD$200,"&lt;"&amp;('CASE DATA'!D163+730.5)),"n/a")</f>
        <v>n/a</v>
      </c>
      <c r="Y162" s="62" t="str">
        <f>IF(W162="YES",IF(C162+730.5&lt;'BASIC INFO'!$B$3, "YES","NO"), "N/A")</f>
        <v>N/A</v>
      </c>
      <c r="Z162" s="57" t="str">
        <f>IF('CASE DATA'!F163="725.1","YES","NO")</f>
        <v>NO</v>
      </c>
      <c r="AA162" s="57" t="str">
        <f>IF(Z162="YES",IF(C162+730.5&lt;'BASIC INFO'!$B$3, "YES","NO"), "N/A")</f>
        <v>N/A</v>
      </c>
      <c r="AB162" s="57" t="str">
        <f>IF('BASIC INFO'!$B$6+6574.5&gt;C162, "YES", "NO")</f>
        <v>YES</v>
      </c>
      <c r="AC162" s="57" t="str">
        <f>IF(Z162="YES",COUNTIFS(AD$3:$AD$200,"&gt;"&amp;('CASE DATA'!D163),$AD$3:$AD$200,"&lt;"&amp;('CASE DATA'!D163+730.5)),"n/a")</f>
        <v>n/a</v>
      </c>
    </row>
    <row r="163" spans="1:29" x14ac:dyDescent="0.25">
      <c r="A163" s="57" t="str">
        <f>IF('CASE DATA'!A164="","z",'CASE DATA'!A164)</f>
        <v>z</v>
      </c>
      <c r="B163" s="57" t="str">
        <f>IF('CASE DATA'!A164="","",'CASE DATA'!E164)</f>
        <v/>
      </c>
      <c r="C163" s="58">
        <f>'CASE DATA'!D164</f>
        <v>0</v>
      </c>
      <c r="D163" s="59" t="str">
        <f>IF('CASE DATA'!I164="YES",SUM('CASE DATA'!J164:P164),"n/a")</f>
        <v>n/a</v>
      </c>
      <c r="E163" s="60" t="str">
        <f>IF(OR('CASE DATA'!G164="JUV", 'CASE DATA'!G164="JWV"), "YES", "NO")</f>
        <v>NO</v>
      </c>
      <c r="F163" s="60" t="str">
        <f t="array" ref="F163">IF(E163="YES",IF(SUM(COUNTIF('CASE DATA'!$G$4:$G$200, {"GTR","GPL","DEF","JUV"}))&gt;0, "YES","NO"),"N/A")</f>
        <v>N/A</v>
      </c>
      <c r="G163" s="60" t="str">
        <f>IF(E163="YES",IF(COUNTIF('CASE DATA'!$D$4:$D$200, "")-COUNTIF('CASE DATA'!$A$4:$A$200, "")&gt;0, "YES","NO"),"N/A")</f>
        <v>N/A</v>
      </c>
      <c r="H163" s="57" t="str">
        <f>_xlfn.IFS(E163="NO", "N/A", AND('BASIC INFO'!$B$3&gt;'BASIC INFO'!$B$6+6574.5, C163+730.5&lt;'BASIC INFO'!$B$3), "YES", 'BASIC INFO'!$B$3&lt;('BASIC INFO'!$B$6+6574.5), "NOT YET 18", C163+730.5&gt;'BASIC INFO'!$B$3, "NOT YET 2 YEARS")</f>
        <v>N/A</v>
      </c>
      <c r="I163" s="61" t="str">
        <f>IF(OR(AND(LEFT('CASE DATA'!F164,4)="321.",MID('CASE DATA'!A164,8,2)="SM"),MID('CASE DATA'!A164,8,2)="ST",MID('CASE DATA'!A164,8,2)="NT"),"TRAFFIC",IF(OR('CASE DATA'!G164="DISM", 'CASE DATA'!G164="ACQ", 'CASE DATA'!G164="NOTF", 'CASE DATA'!G164="WTHD", 'CASE DATA'!G164="TNSF"), "YES", "NO"))</f>
        <v>NO</v>
      </c>
      <c r="J163" s="62" t="str">
        <f>IF(I163="YES",'CASE DATA'!T164,"N/A")</f>
        <v>N/A</v>
      </c>
      <c r="K163" s="57" t="str">
        <f>IF(I163="YES",IF(C163+180&lt;'BASIC INFO'!$B$3, "YES", "NO"),"N/A")</f>
        <v>N/A</v>
      </c>
      <c r="L163" s="62" t="str">
        <f t="array" ref="L163">IF(I163="TRAFFIC","n/a",IF(OR('CASE DATA'!G164="GTR", 'CASE DATA'!G164="GPL"),IF(SUM(COUNTIF('CASE DATA'!W164:AH164, 'CODE SECTIONS'!$V$2:$V$218&amp;"*"))&gt;0,"felony","eligible"),"n/a"))</f>
        <v>n/a</v>
      </c>
      <c r="M163" s="62" t="str">
        <f t="array" ref="M163">IF(L163="eligible",IF(OR((SUM(COUNTIF('CASE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62" t="str">
        <f>IF(M163="eligible",IF(COUNTIF('CASE DATA'!$D$4:$D$200, "")-COUNTIF('CASE DATA'!$A$4:$A$200, "")&gt;0, "YES","NO"),"N/A")</f>
        <v>N/A</v>
      </c>
      <c r="O163" s="62" t="str">
        <f>IF(M163="eligible",BANKRUPTCY!C164+BANKRUPTCY!D164,"N/A")</f>
        <v>N/A</v>
      </c>
      <c r="P163" s="62" t="str">
        <f>IF(M163="eligible",SOL!C164+SOL!D164+SOL!E164,"N/A")</f>
        <v>N/A</v>
      </c>
      <c r="Q163" s="62" t="str">
        <f>IF(M163="eligible",SUM('CASE DATA'!J164:S164),"N/A")</f>
        <v>N/A</v>
      </c>
      <c r="R163" s="62" t="str">
        <f>IF(M163="eligible",IF(C163+2920&lt;'BASIC INFO'!$B$3, "YES", "NO"),"N/A")</f>
        <v>N/A</v>
      </c>
      <c r="S163" s="61" t="str">
        <f>IF(OR('CASE DATA'!G164="DEF"), "YES", "NO")</f>
        <v>NO</v>
      </c>
      <c r="T163" s="57" t="str">
        <f>IF(S163="YES",'CASE DATA'!I164,"N/A")</f>
        <v>N/A</v>
      </c>
      <c r="U163" s="62" t="str">
        <f>IF(S163="YES",BANKRUPTCY!C164+BANKRUPTCY!D164,"N/A")</f>
        <v>N/A</v>
      </c>
      <c r="V163" s="62" t="str">
        <f>IF(S163="YES",SUM('CASE DATA'!J164:S164),"N/A")</f>
        <v>N/A</v>
      </c>
      <c r="W163" s="57" t="str">
        <f>IF(OR('CASE DATA'!F164="123.46",'CASE DATA'!F164="123.47"),"YES","NO")</f>
        <v>NO</v>
      </c>
      <c r="X163" s="60" t="str">
        <f>IF(W163="YES",COUNTIFS(AD$3:$AD$200,"&gt;"&amp;('CASE DATA'!D164),$AD$3:$AD$200,"&lt;"&amp;('CASE DATA'!D164+730.5)),"n/a")</f>
        <v>n/a</v>
      </c>
      <c r="Y163" s="62" t="str">
        <f>IF(W163="YES",IF(C163+730.5&lt;'BASIC INFO'!$B$3, "YES","NO"), "N/A")</f>
        <v>N/A</v>
      </c>
      <c r="Z163" s="57" t="str">
        <f>IF('CASE DATA'!F164="725.1","YES","NO")</f>
        <v>NO</v>
      </c>
      <c r="AA163" s="57" t="str">
        <f>IF(Z163="YES",IF(C163+730.5&lt;'BASIC INFO'!$B$3, "YES","NO"), "N/A")</f>
        <v>N/A</v>
      </c>
      <c r="AB163" s="57" t="str">
        <f>IF('BASIC INFO'!$B$6+6574.5&gt;C163, "YES", "NO")</f>
        <v>YES</v>
      </c>
      <c r="AC163" s="57" t="str">
        <f>IF(Z163="YES",COUNTIFS(AD$3:$AD$200,"&gt;"&amp;('CASE DATA'!D164),$AD$3:$AD$200,"&lt;"&amp;('CASE DATA'!D164+730.5)),"n/a")</f>
        <v>n/a</v>
      </c>
    </row>
    <row r="164" spans="1:29" x14ac:dyDescent="0.25">
      <c r="A164" s="57" t="str">
        <f>IF('CASE DATA'!A165="","z",'CASE DATA'!A165)</f>
        <v>z</v>
      </c>
      <c r="B164" s="57" t="str">
        <f>IF('CASE DATA'!A165="","",'CASE DATA'!E165)</f>
        <v/>
      </c>
      <c r="C164" s="58">
        <f>'CASE DATA'!D165</f>
        <v>0</v>
      </c>
      <c r="D164" s="59" t="str">
        <f>IF('CASE DATA'!I165="YES",SUM('CASE DATA'!J165:P165),"n/a")</f>
        <v>n/a</v>
      </c>
      <c r="E164" s="60" t="str">
        <f>IF(OR('CASE DATA'!G165="JUV", 'CASE DATA'!G165="JWV"), "YES", "NO")</f>
        <v>NO</v>
      </c>
      <c r="F164" s="60" t="str">
        <f t="array" ref="F164">IF(E164="YES",IF(SUM(COUNTIF('CASE DATA'!$G$4:$G$200, {"GTR","GPL","DEF","JUV"}))&gt;0, "YES","NO"),"N/A")</f>
        <v>N/A</v>
      </c>
      <c r="G164" s="60" t="str">
        <f>IF(E164="YES",IF(COUNTIF('CASE DATA'!$D$4:$D$200, "")-COUNTIF('CASE DATA'!$A$4:$A$200, "")&gt;0, "YES","NO"),"N/A")</f>
        <v>N/A</v>
      </c>
      <c r="H164" s="57" t="str">
        <f>_xlfn.IFS(E164="NO", "N/A", AND('BASIC INFO'!$B$3&gt;'BASIC INFO'!$B$6+6574.5, C164+730.5&lt;'BASIC INFO'!$B$3), "YES", 'BASIC INFO'!$B$3&lt;('BASIC INFO'!$B$6+6574.5), "NOT YET 18", C164+730.5&gt;'BASIC INFO'!$B$3, "NOT YET 2 YEARS")</f>
        <v>N/A</v>
      </c>
      <c r="I164" s="61" t="str">
        <f>IF(OR(AND(LEFT('CASE DATA'!F165,4)="321.",MID('CASE DATA'!A165,8,2)="SM"),MID('CASE DATA'!A165,8,2)="ST",MID('CASE DATA'!A165,8,2)="NT"),"TRAFFIC",IF(OR('CASE DATA'!G165="DISM", 'CASE DATA'!G165="ACQ", 'CASE DATA'!G165="NOTF", 'CASE DATA'!G165="WTHD", 'CASE DATA'!G165="TNSF"), "YES", "NO"))</f>
        <v>NO</v>
      </c>
      <c r="J164" s="62" t="str">
        <f>IF(I164="YES",'CASE DATA'!T165,"N/A")</f>
        <v>N/A</v>
      </c>
      <c r="K164" s="57" t="str">
        <f>IF(I164="YES",IF(C164+180&lt;'BASIC INFO'!$B$3, "YES", "NO"),"N/A")</f>
        <v>N/A</v>
      </c>
      <c r="L164" s="62" t="str">
        <f t="array" ref="L164">IF(I164="TRAFFIC","n/a",IF(OR('CASE DATA'!G165="GTR", 'CASE DATA'!G165="GPL"),IF(SUM(COUNTIF('CASE DATA'!W165:AH165, 'CODE SECTIONS'!$V$2:$V$218&amp;"*"))&gt;0,"felony","eligible"),"n/a"))</f>
        <v>n/a</v>
      </c>
      <c r="M164" s="62" t="str">
        <f t="array" ref="M164">IF(L164="eligible",IF(OR((SUM(COUNTIF('CASE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62" t="str">
        <f>IF(M164="eligible",IF(COUNTIF('CASE DATA'!$D$4:$D$200, "")-COUNTIF('CASE DATA'!$A$4:$A$200, "")&gt;0, "YES","NO"),"N/A")</f>
        <v>N/A</v>
      </c>
      <c r="O164" s="62" t="str">
        <f>IF(M164="eligible",BANKRUPTCY!C165+BANKRUPTCY!D165,"N/A")</f>
        <v>N/A</v>
      </c>
      <c r="P164" s="62" t="str">
        <f>IF(M164="eligible",SOL!C165+SOL!D165+SOL!E165,"N/A")</f>
        <v>N/A</v>
      </c>
      <c r="Q164" s="62" t="str">
        <f>IF(M164="eligible",SUM('CASE DATA'!J165:S165),"N/A")</f>
        <v>N/A</v>
      </c>
      <c r="R164" s="62" t="str">
        <f>IF(M164="eligible",IF(C164+2920&lt;'BASIC INFO'!$B$3, "YES", "NO"),"N/A")</f>
        <v>N/A</v>
      </c>
      <c r="S164" s="61" t="str">
        <f>IF(OR('CASE DATA'!G165="DEF"), "YES", "NO")</f>
        <v>NO</v>
      </c>
      <c r="T164" s="57" t="str">
        <f>IF(S164="YES",'CASE DATA'!I165,"N/A")</f>
        <v>N/A</v>
      </c>
      <c r="U164" s="62" t="str">
        <f>IF(S164="YES",BANKRUPTCY!C165+BANKRUPTCY!D165,"N/A")</f>
        <v>N/A</v>
      </c>
      <c r="V164" s="62" t="str">
        <f>IF(S164="YES",SUM('CASE DATA'!J165:S165),"N/A")</f>
        <v>N/A</v>
      </c>
      <c r="W164" s="57" t="str">
        <f>IF(OR('CASE DATA'!F165="123.46",'CASE DATA'!F165="123.47"),"YES","NO")</f>
        <v>NO</v>
      </c>
      <c r="X164" s="60" t="str">
        <f>IF(W164="YES",COUNTIFS(AD$3:$AD$200,"&gt;"&amp;('CASE DATA'!D165),$AD$3:$AD$200,"&lt;"&amp;('CASE DATA'!D165+730.5)),"n/a")</f>
        <v>n/a</v>
      </c>
      <c r="Y164" s="62" t="str">
        <f>IF(W164="YES",IF(C164+730.5&lt;'BASIC INFO'!$B$3, "YES","NO"), "N/A")</f>
        <v>N/A</v>
      </c>
      <c r="Z164" s="57" t="str">
        <f>IF('CASE DATA'!F165="725.1","YES","NO")</f>
        <v>NO</v>
      </c>
      <c r="AA164" s="57" t="str">
        <f>IF(Z164="YES",IF(C164+730.5&lt;'BASIC INFO'!$B$3, "YES","NO"), "N/A")</f>
        <v>N/A</v>
      </c>
      <c r="AB164" s="57" t="str">
        <f>IF('BASIC INFO'!$B$6+6574.5&gt;C164, "YES", "NO")</f>
        <v>YES</v>
      </c>
      <c r="AC164" s="57" t="str">
        <f>IF(Z164="YES",COUNTIFS(AD$3:$AD$200,"&gt;"&amp;('CASE DATA'!D165),$AD$3:$AD$200,"&lt;"&amp;('CASE DATA'!D165+730.5)),"n/a")</f>
        <v>n/a</v>
      </c>
    </row>
    <row r="165" spans="1:29" x14ac:dyDescent="0.25">
      <c r="A165" s="57" t="str">
        <f>IF('CASE DATA'!A166="","z",'CASE DATA'!A166)</f>
        <v>z</v>
      </c>
      <c r="B165" s="57" t="str">
        <f>IF('CASE DATA'!A166="","",'CASE DATA'!E166)</f>
        <v/>
      </c>
      <c r="C165" s="58">
        <f>'CASE DATA'!D166</f>
        <v>0</v>
      </c>
      <c r="D165" s="59" t="str">
        <f>IF('CASE DATA'!I166="YES",SUM('CASE DATA'!J166:P166),"n/a")</f>
        <v>n/a</v>
      </c>
      <c r="E165" s="60" t="str">
        <f>IF(OR('CASE DATA'!G166="JUV", 'CASE DATA'!G166="JWV"), "YES", "NO")</f>
        <v>NO</v>
      </c>
      <c r="F165" s="60" t="str">
        <f t="array" ref="F165">IF(E165="YES",IF(SUM(COUNTIF('CASE DATA'!$G$4:$G$200, {"GTR","GPL","DEF","JUV"}))&gt;0, "YES","NO"),"N/A")</f>
        <v>N/A</v>
      </c>
      <c r="G165" s="60" t="str">
        <f>IF(E165="YES",IF(COUNTIF('CASE DATA'!$D$4:$D$200, "")-COUNTIF('CASE DATA'!$A$4:$A$200, "")&gt;0, "YES","NO"),"N/A")</f>
        <v>N/A</v>
      </c>
      <c r="H165" s="57" t="str">
        <f>_xlfn.IFS(E165="NO", "N/A", AND('BASIC INFO'!$B$3&gt;'BASIC INFO'!$B$6+6574.5, C165+730.5&lt;'BASIC INFO'!$B$3), "YES", 'BASIC INFO'!$B$3&lt;('BASIC INFO'!$B$6+6574.5), "NOT YET 18", C165+730.5&gt;'BASIC INFO'!$B$3, "NOT YET 2 YEARS")</f>
        <v>N/A</v>
      </c>
      <c r="I165" s="61" t="str">
        <f>IF(OR(AND(LEFT('CASE DATA'!F166,4)="321.",MID('CASE DATA'!A166,8,2)="SM"),MID('CASE DATA'!A166,8,2)="ST",MID('CASE DATA'!A166,8,2)="NT"),"TRAFFIC",IF(OR('CASE DATA'!G166="DISM", 'CASE DATA'!G166="ACQ", 'CASE DATA'!G166="NOTF", 'CASE DATA'!G166="WTHD", 'CASE DATA'!G166="TNSF"), "YES", "NO"))</f>
        <v>NO</v>
      </c>
      <c r="J165" s="62" t="str">
        <f>IF(I165="YES",'CASE DATA'!T166,"N/A")</f>
        <v>N/A</v>
      </c>
      <c r="K165" s="57" t="str">
        <f>IF(I165="YES",IF(C165+180&lt;'BASIC INFO'!$B$3, "YES", "NO"),"N/A")</f>
        <v>N/A</v>
      </c>
      <c r="L165" s="62" t="str">
        <f t="array" ref="L165">IF(I165="TRAFFIC","n/a",IF(OR('CASE DATA'!G166="GTR", 'CASE DATA'!G166="GPL"),IF(SUM(COUNTIF('CASE DATA'!W166:AH166, 'CODE SECTIONS'!$V$2:$V$218&amp;"*"))&gt;0,"felony","eligible"),"n/a"))</f>
        <v>n/a</v>
      </c>
      <c r="M165" s="62" t="str">
        <f t="array" ref="M165">IF(L165="eligible",IF(OR((SUM(COUNTIF('CASE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62" t="str">
        <f>IF(M165="eligible",IF(COUNTIF('CASE DATA'!$D$4:$D$200, "")-COUNTIF('CASE DATA'!$A$4:$A$200, "")&gt;0, "YES","NO"),"N/A")</f>
        <v>N/A</v>
      </c>
      <c r="O165" s="62" t="str">
        <f>IF(M165="eligible",BANKRUPTCY!C166+BANKRUPTCY!D166,"N/A")</f>
        <v>N/A</v>
      </c>
      <c r="P165" s="62" t="str">
        <f>IF(M165="eligible",SOL!C166+SOL!D166+SOL!E166,"N/A")</f>
        <v>N/A</v>
      </c>
      <c r="Q165" s="62" t="str">
        <f>IF(M165="eligible",SUM('CASE DATA'!J166:S166),"N/A")</f>
        <v>N/A</v>
      </c>
      <c r="R165" s="62" t="str">
        <f>IF(M165="eligible",IF(C165+2920&lt;'BASIC INFO'!$B$3, "YES", "NO"),"N/A")</f>
        <v>N/A</v>
      </c>
      <c r="S165" s="61" t="str">
        <f>IF(OR('CASE DATA'!G166="DEF"), "YES", "NO")</f>
        <v>NO</v>
      </c>
      <c r="T165" s="57" t="str">
        <f>IF(S165="YES",'CASE DATA'!I166,"N/A")</f>
        <v>N/A</v>
      </c>
      <c r="U165" s="62" t="str">
        <f>IF(S165="YES",BANKRUPTCY!C166+BANKRUPTCY!D166,"N/A")</f>
        <v>N/A</v>
      </c>
      <c r="V165" s="62" t="str">
        <f>IF(S165="YES",SUM('CASE DATA'!J166:S166),"N/A")</f>
        <v>N/A</v>
      </c>
      <c r="W165" s="57" t="str">
        <f>IF(OR('CASE DATA'!F166="123.46",'CASE DATA'!F166="123.47"),"YES","NO")</f>
        <v>NO</v>
      </c>
      <c r="X165" s="60" t="str">
        <f>IF(W165="YES",COUNTIFS(AD$3:$AD$200,"&gt;"&amp;('CASE DATA'!D166),$AD$3:$AD$200,"&lt;"&amp;('CASE DATA'!D166+730.5)),"n/a")</f>
        <v>n/a</v>
      </c>
      <c r="Y165" s="62" t="str">
        <f>IF(W165="YES",IF(C165+730.5&lt;'BASIC INFO'!$B$3, "YES","NO"), "N/A")</f>
        <v>N/A</v>
      </c>
      <c r="Z165" s="57" t="str">
        <f>IF('CASE DATA'!F166="725.1","YES","NO")</f>
        <v>NO</v>
      </c>
      <c r="AA165" s="57" t="str">
        <f>IF(Z165="YES",IF(C165+730.5&lt;'BASIC INFO'!$B$3, "YES","NO"), "N/A")</f>
        <v>N/A</v>
      </c>
      <c r="AB165" s="57" t="str">
        <f>IF('BASIC INFO'!$B$6+6574.5&gt;C165, "YES", "NO")</f>
        <v>YES</v>
      </c>
      <c r="AC165" s="57" t="str">
        <f>IF(Z165="YES",COUNTIFS(AD$3:$AD$200,"&gt;"&amp;('CASE DATA'!D166),$AD$3:$AD$200,"&lt;"&amp;('CASE DATA'!D166+730.5)),"n/a")</f>
        <v>n/a</v>
      </c>
    </row>
    <row r="166" spans="1:29" x14ac:dyDescent="0.25">
      <c r="A166" s="57" t="str">
        <f>IF('CASE DATA'!A167="","z",'CASE DATA'!A167)</f>
        <v>z</v>
      </c>
      <c r="B166" s="57" t="str">
        <f>IF('CASE DATA'!A167="","",'CASE DATA'!E167)</f>
        <v/>
      </c>
      <c r="C166" s="58">
        <f>'CASE DATA'!D167</f>
        <v>0</v>
      </c>
      <c r="D166" s="59" t="str">
        <f>IF('CASE DATA'!I167="YES",SUM('CASE DATA'!J167:P167),"n/a")</f>
        <v>n/a</v>
      </c>
      <c r="E166" s="60" t="str">
        <f>IF(OR('CASE DATA'!G167="JUV", 'CASE DATA'!G167="JWV"), "YES", "NO")</f>
        <v>NO</v>
      </c>
      <c r="F166" s="60" t="str">
        <f t="array" ref="F166">IF(E166="YES",IF(SUM(COUNTIF('CASE DATA'!$G$4:$G$200, {"GTR","GPL","DEF","JUV"}))&gt;0, "YES","NO"),"N/A")</f>
        <v>N/A</v>
      </c>
      <c r="G166" s="60" t="str">
        <f>IF(E166="YES",IF(COUNTIF('CASE DATA'!$D$4:$D$200, "")-COUNTIF('CASE DATA'!$A$4:$A$200, "")&gt;0, "YES","NO"),"N/A")</f>
        <v>N/A</v>
      </c>
      <c r="H166" s="57" t="str">
        <f>_xlfn.IFS(E166="NO", "N/A", AND('BASIC INFO'!$B$3&gt;'BASIC INFO'!$B$6+6574.5, C166+730.5&lt;'BASIC INFO'!$B$3), "YES", 'BASIC INFO'!$B$3&lt;('BASIC INFO'!$B$6+6574.5), "NOT YET 18", C166+730.5&gt;'BASIC INFO'!$B$3, "NOT YET 2 YEARS")</f>
        <v>N/A</v>
      </c>
      <c r="I166" s="61" t="str">
        <f>IF(OR(AND(LEFT('CASE DATA'!F167,4)="321.",MID('CASE DATA'!A167,8,2)="SM"),MID('CASE DATA'!A167,8,2)="ST",MID('CASE DATA'!A167,8,2)="NT"),"TRAFFIC",IF(OR('CASE DATA'!G167="DISM", 'CASE DATA'!G167="ACQ", 'CASE DATA'!G167="NOTF", 'CASE DATA'!G167="WTHD", 'CASE DATA'!G167="TNSF"), "YES", "NO"))</f>
        <v>NO</v>
      </c>
      <c r="J166" s="62" t="str">
        <f>IF(I166="YES",'CASE DATA'!T167,"N/A")</f>
        <v>N/A</v>
      </c>
      <c r="K166" s="57" t="str">
        <f>IF(I166="YES",IF(C166+180&lt;'BASIC INFO'!$B$3, "YES", "NO"),"N/A")</f>
        <v>N/A</v>
      </c>
      <c r="L166" s="62" t="str">
        <f t="array" ref="L166">IF(I166="TRAFFIC","n/a",IF(OR('CASE DATA'!G167="GTR", 'CASE DATA'!G167="GPL"),IF(SUM(COUNTIF('CASE DATA'!W167:AH167, 'CODE SECTIONS'!$V$2:$V$218&amp;"*"))&gt;0,"felony","eligible"),"n/a"))</f>
        <v>n/a</v>
      </c>
      <c r="M166" s="62" t="str">
        <f t="array" ref="M166">IF(L166="eligible",IF(OR((SUM(COUNTIF('CASE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62" t="str">
        <f>IF(M166="eligible",IF(COUNTIF('CASE DATA'!$D$4:$D$200, "")-COUNTIF('CASE DATA'!$A$4:$A$200, "")&gt;0, "YES","NO"),"N/A")</f>
        <v>N/A</v>
      </c>
      <c r="O166" s="62" t="str">
        <f>IF(M166="eligible",BANKRUPTCY!C167+BANKRUPTCY!D167,"N/A")</f>
        <v>N/A</v>
      </c>
      <c r="P166" s="62" t="str">
        <f>IF(M166="eligible",SOL!C167+SOL!D167+SOL!E167,"N/A")</f>
        <v>N/A</v>
      </c>
      <c r="Q166" s="62" t="str">
        <f>IF(M166="eligible",SUM('CASE DATA'!J167:S167),"N/A")</f>
        <v>N/A</v>
      </c>
      <c r="R166" s="62" t="str">
        <f>IF(M166="eligible",IF(C166+2920&lt;'BASIC INFO'!$B$3, "YES", "NO"),"N/A")</f>
        <v>N/A</v>
      </c>
      <c r="S166" s="61" t="str">
        <f>IF(OR('CASE DATA'!G167="DEF"), "YES", "NO")</f>
        <v>NO</v>
      </c>
      <c r="T166" s="57" t="str">
        <f>IF(S166="YES",'CASE DATA'!I167,"N/A")</f>
        <v>N/A</v>
      </c>
      <c r="U166" s="62" t="str">
        <f>IF(S166="YES",BANKRUPTCY!C167+BANKRUPTCY!D167,"N/A")</f>
        <v>N/A</v>
      </c>
      <c r="V166" s="62" t="str">
        <f>IF(S166="YES",SUM('CASE DATA'!J167:S167),"N/A")</f>
        <v>N/A</v>
      </c>
      <c r="W166" s="57" t="str">
        <f>IF(OR('CASE DATA'!F167="123.46",'CASE DATA'!F167="123.47"),"YES","NO")</f>
        <v>NO</v>
      </c>
      <c r="X166" s="60" t="str">
        <f>IF(W166="YES",COUNTIFS(AD$3:$AD$200,"&gt;"&amp;('CASE DATA'!D167),$AD$3:$AD$200,"&lt;"&amp;('CASE DATA'!D167+730.5)),"n/a")</f>
        <v>n/a</v>
      </c>
      <c r="Y166" s="62" t="str">
        <f>IF(W166="YES",IF(C166+730.5&lt;'BASIC INFO'!$B$3, "YES","NO"), "N/A")</f>
        <v>N/A</v>
      </c>
      <c r="Z166" s="57" t="str">
        <f>IF('CASE DATA'!F167="725.1","YES","NO")</f>
        <v>NO</v>
      </c>
      <c r="AA166" s="57" t="str">
        <f>IF(Z166="YES",IF(C166+730.5&lt;'BASIC INFO'!$B$3, "YES","NO"), "N/A")</f>
        <v>N/A</v>
      </c>
      <c r="AB166" s="57" t="str">
        <f>IF('BASIC INFO'!$B$6+6574.5&gt;C166, "YES", "NO")</f>
        <v>YES</v>
      </c>
      <c r="AC166" s="57" t="str">
        <f>IF(Z166="YES",COUNTIFS(AD$3:$AD$200,"&gt;"&amp;('CASE DATA'!D167),$AD$3:$AD$200,"&lt;"&amp;('CASE DATA'!D167+730.5)),"n/a")</f>
        <v>n/a</v>
      </c>
    </row>
    <row r="167" spans="1:29" x14ac:dyDescent="0.25">
      <c r="A167" s="57" t="str">
        <f>IF('CASE DATA'!A168="","z",'CASE DATA'!A168)</f>
        <v>z</v>
      </c>
      <c r="B167" s="57" t="str">
        <f>IF('CASE DATA'!A168="","",'CASE DATA'!E168)</f>
        <v/>
      </c>
      <c r="C167" s="58">
        <f>'CASE DATA'!D168</f>
        <v>0</v>
      </c>
      <c r="D167" s="59" t="str">
        <f>IF('CASE DATA'!I168="YES",SUM('CASE DATA'!J168:P168),"n/a")</f>
        <v>n/a</v>
      </c>
      <c r="E167" s="60" t="str">
        <f>IF(OR('CASE DATA'!G168="JUV", 'CASE DATA'!G168="JWV"), "YES", "NO")</f>
        <v>NO</v>
      </c>
      <c r="F167" s="60" t="str">
        <f t="array" ref="F167">IF(E167="YES",IF(SUM(COUNTIF('CASE DATA'!$G$4:$G$200, {"GTR","GPL","DEF","JUV"}))&gt;0, "YES","NO"),"N/A")</f>
        <v>N/A</v>
      </c>
      <c r="G167" s="60" t="str">
        <f>IF(E167="YES",IF(COUNTIF('CASE DATA'!$D$4:$D$200, "")-COUNTIF('CASE DATA'!$A$4:$A$200, "")&gt;0, "YES","NO"),"N/A")</f>
        <v>N/A</v>
      </c>
      <c r="H167" s="57" t="str">
        <f>_xlfn.IFS(E167="NO", "N/A", AND('BASIC INFO'!$B$3&gt;'BASIC INFO'!$B$6+6574.5, C167+730.5&lt;'BASIC INFO'!$B$3), "YES", 'BASIC INFO'!$B$3&lt;('BASIC INFO'!$B$6+6574.5), "NOT YET 18", C167+730.5&gt;'BASIC INFO'!$B$3, "NOT YET 2 YEARS")</f>
        <v>N/A</v>
      </c>
      <c r="I167" s="61" t="str">
        <f>IF(OR(AND(LEFT('CASE DATA'!F168,4)="321.",MID('CASE DATA'!A168,8,2)="SM"),MID('CASE DATA'!A168,8,2)="ST",MID('CASE DATA'!A168,8,2)="NT"),"TRAFFIC",IF(OR('CASE DATA'!G168="DISM", 'CASE DATA'!G168="ACQ", 'CASE DATA'!G168="NOTF", 'CASE DATA'!G168="WTHD", 'CASE DATA'!G168="TNSF"), "YES", "NO"))</f>
        <v>NO</v>
      </c>
      <c r="J167" s="62" t="str">
        <f>IF(I167="YES",'CASE DATA'!T168,"N/A")</f>
        <v>N/A</v>
      </c>
      <c r="K167" s="57" t="str">
        <f>IF(I167="YES",IF(C167+180&lt;'BASIC INFO'!$B$3, "YES", "NO"),"N/A")</f>
        <v>N/A</v>
      </c>
      <c r="L167" s="62" t="str">
        <f t="array" ref="L167">IF(I167="TRAFFIC","n/a",IF(OR('CASE DATA'!G168="GTR", 'CASE DATA'!G168="GPL"),IF(SUM(COUNTIF('CASE DATA'!W168:AH168, 'CODE SECTIONS'!$V$2:$V$218&amp;"*"))&gt;0,"felony","eligible"),"n/a"))</f>
        <v>n/a</v>
      </c>
      <c r="M167" s="62" t="str">
        <f t="array" ref="M167">IF(L167="eligible",IF(OR((SUM(COUNTIF('CASE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62" t="str">
        <f>IF(M167="eligible",IF(COUNTIF('CASE DATA'!$D$4:$D$200, "")-COUNTIF('CASE DATA'!$A$4:$A$200, "")&gt;0, "YES","NO"),"N/A")</f>
        <v>N/A</v>
      </c>
      <c r="O167" s="62" t="str">
        <f>IF(M167="eligible",BANKRUPTCY!C168+BANKRUPTCY!D168,"N/A")</f>
        <v>N/A</v>
      </c>
      <c r="P167" s="62" t="str">
        <f>IF(M167="eligible",SOL!C168+SOL!D168+SOL!E168,"N/A")</f>
        <v>N/A</v>
      </c>
      <c r="Q167" s="62" t="str">
        <f>IF(M167="eligible",SUM('CASE DATA'!J168:S168),"N/A")</f>
        <v>N/A</v>
      </c>
      <c r="R167" s="62" t="str">
        <f>IF(M167="eligible",IF(C167+2920&lt;'BASIC INFO'!$B$3, "YES", "NO"),"N/A")</f>
        <v>N/A</v>
      </c>
      <c r="S167" s="61" t="str">
        <f>IF(OR('CASE DATA'!G168="DEF"), "YES", "NO")</f>
        <v>NO</v>
      </c>
      <c r="T167" s="57" t="str">
        <f>IF(S167="YES",'CASE DATA'!I168,"N/A")</f>
        <v>N/A</v>
      </c>
      <c r="U167" s="62" t="str">
        <f>IF(S167="YES",BANKRUPTCY!C168+BANKRUPTCY!D168,"N/A")</f>
        <v>N/A</v>
      </c>
      <c r="V167" s="62" t="str">
        <f>IF(S167="YES",SUM('CASE DATA'!J168:S168),"N/A")</f>
        <v>N/A</v>
      </c>
      <c r="W167" s="57" t="str">
        <f>IF(OR('CASE DATA'!F168="123.46",'CASE DATA'!F168="123.47"),"YES","NO")</f>
        <v>NO</v>
      </c>
      <c r="X167" s="60" t="str">
        <f>IF(W167="YES",COUNTIFS(AD$3:$AD$200,"&gt;"&amp;('CASE DATA'!D168),$AD$3:$AD$200,"&lt;"&amp;('CASE DATA'!D168+730.5)),"n/a")</f>
        <v>n/a</v>
      </c>
      <c r="Y167" s="62" t="str">
        <f>IF(W167="YES",IF(C167+730.5&lt;'BASIC INFO'!$B$3, "YES","NO"), "N/A")</f>
        <v>N/A</v>
      </c>
      <c r="Z167" s="57" t="str">
        <f>IF('CASE DATA'!F168="725.1","YES","NO")</f>
        <v>NO</v>
      </c>
      <c r="AA167" s="57" t="str">
        <f>IF(Z167="YES",IF(C167+730.5&lt;'BASIC INFO'!$B$3, "YES","NO"), "N/A")</f>
        <v>N/A</v>
      </c>
      <c r="AB167" s="57" t="str">
        <f>IF('BASIC INFO'!$B$6+6574.5&gt;C167, "YES", "NO")</f>
        <v>YES</v>
      </c>
      <c r="AC167" s="57" t="str">
        <f>IF(Z167="YES",COUNTIFS(AD$3:$AD$200,"&gt;"&amp;('CASE DATA'!D168),$AD$3:$AD$200,"&lt;"&amp;('CASE DATA'!D168+730.5)),"n/a")</f>
        <v>n/a</v>
      </c>
    </row>
    <row r="168" spans="1:29" x14ac:dyDescent="0.25">
      <c r="A168" s="57" t="str">
        <f>IF('CASE DATA'!A169="","z",'CASE DATA'!A169)</f>
        <v>z</v>
      </c>
      <c r="B168" s="57" t="str">
        <f>IF('CASE DATA'!A169="","",'CASE DATA'!E169)</f>
        <v/>
      </c>
      <c r="C168" s="58">
        <f>'CASE DATA'!D169</f>
        <v>0</v>
      </c>
      <c r="D168" s="59" t="str">
        <f>IF('CASE DATA'!I169="YES",SUM('CASE DATA'!J169:P169),"n/a")</f>
        <v>n/a</v>
      </c>
      <c r="E168" s="60" t="str">
        <f>IF(OR('CASE DATA'!G169="JUV", 'CASE DATA'!G169="JWV"), "YES", "NO")</f>
        <v>NO</v>
      </c>
      <c r="F168" s="60" t="str">
        <f t="array" ref="F168">IF(E168="YES",IF(SUM(COUNTIF('CASE DATA'!$G$4:$G$200, {"GTR","GPL","DEF","JUV"}))&gt;0, "YES","NO"),"N/A")</f>
        <v>N/A</v>
      </c>
      <c r="G168" s="60" t="str">
        <f>IF(E168="YES",IF(COUNTIF('CASE DATA'!$D$4:$D$200, "")-COUNTIF('CASE DATA'!$A$4:$A$200, "")&gt;0, "YES","NO"),"N/A")</f>
        <v>N/A</v>
      </c>
      <c r="H168" s="57" t="str">
        <f>_xlfn.IFS(E168="NO", "N/A", AND('BASIC INFO'!$B$3&gt;'BASIC INFO'!$B$6+6574.5, C168+730.5&lt;'BASIC INFO'!$B$3), "YES", 'BASIC INFO'!$B$3&lt;('BASIC INFO'!$B$6+6574.5), "NOT YET 18", C168+730.5&gt;'BASIC INFO'!$B$3, "NOT YET 2 YEARS")</f>
        <v>N/A</v>
      </c>
      <c r="I168" s="61" t="str">
        <f>IF(OR(AND(LEFT('CASE DATA'!F169,4)="321.",MID('CASE DATA'!A169,8,2)="SM"),MID('CASE DATA'!A169,8,2)="ST",MID('CASE DATA'!A169,8,2)="NT"),"TRAFFIC",IF(OR('CASE DATA'!G169="DISM", 'CASE DATA'!G169="ACQ", 'CASE DATA'!G169="NOTF", 'CASE DATA'!G169="WTHD", 'CASE DATA'!G169="TNSF"), "YES", "NO"))</f>
        <v>NO</v>
      </c>
      <c r="J168" s="62" t="str">
        <f>IF(I168="YES",'CASE DATA'!T169,"N/A")</f>
        <v>N/A</v>
      </c>
      <c r="K168" s="57" t="str">
        <f>IF(I168="YES",IF(C168+180&lt;'BASIC INFO'!$B$3, "YES", "NO"),"N/A")</f>
        <v>N/A</v>
      </c>
      <c r="L168" s="62" t="str">
        <f t="array" ref="L168">IF(I168="TRAFFIC","n/a",IF(OR('CASE DATA'!G169="GTR", 'CASE DATA'!G169="GPL"),IF(SUM(COUNTIF('CASE DATA'!W169:AH169, 'CODE SECTIONS'!$V$2:$V$218&amp;"*"))&gt;0,"felony","eligible"),"n/a"))</f>
        <v>n/a</v>
      </c>
      <c r="M168" s="62" t="str">
        <f t="array" ref="M168">IF(L168="eligible",IF(OR((SUM(COUNTIF('CASE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62" t="str">
        <f>IF(M168="eligible",IF(COUNTIF('CASE DATA'!$D$4:$D$200, "")-COUNTIF('CASE DATA'!$A$4:$A$200, "")&gt;0, "YES","NO"),"N/A")</f>
        <v>N/A</v>
      </c>
      <c r="O168" s="62" t="str">
        <f>IF(M168="eligible",BANKRUPTCY!C169+BANKRUPTCY!D169,"N/A")</f>
        <v>N/A</v>
      </c>
      <c r="P168" s="62" t="str">
        <f>IF(M168="eligible",SOL!C169+SOL!D169+SOL!E169,"N/A")</f>
        <v>N/A</v>
      </c>
      <c r="Q168" s="62" t="str">
        <f>IF(M168="eligible",SUM('CASE DATA'!J169:S169),"N/A")</f>
        <v>N/A</v>
      </c>
      <c r="R168" s="62" t="str">
        <f>IF(M168="eligible",IF(C168+2920&lt;'BASIC INFO'!$B$3, "YES", "NO"),"N/A")</f>
        <v>N/A</v>
      </c>
      <c r="S168" s="61" t="str">
        <f>IF(OR('CASE DATA'!G169="DEF"), "YES", "NO")</f>
        <v>NO</v>
      </c>
      <c r="T168" s="57" t="str">
        <f>IF(S168="YES",'CASE DATA'!I169,"N/A")</f>
        <v>N/A</v>
      </c>
      <c r="U168" s="62" t="str">
        <f>IF(S168="YES",BANKRUPTCY!C169+BANKRUPTCY!D169,"N/A")</f>
        <v>N/A</v>
      </c>
      <c r="V168" s="62" t="str">
        <f>IF(S168="YES",SUM('CASE DATA'!J169:S169),"N/A")</f>
        <v>N/A</v>
      </c>
      <c r="W168" s="57" t="str">
        <f>IF(OR('CASE DATA'!F169="123.46",'CASE DATA'!F169="123.47"),"YES","NO")</f>
        <v>NO</v>
      </c>
      <c r="X168" s="60" t="str">
        <f>IF(W168="YES",COUNTIFS(AD$3:$AD$200,"&gt;"&amp;('CASE DATA'!D169),$AD$3:$AD$200,"&lt;"&amp;('CASE DATA'!D169+730.5)),"n/a")</f>
        <v>n/a</v>
      </c>
      <c r="Y168" s="62" t="str">
        <f>IF(W168="YES",IF(C168+730.5&lt;'BASIC INFO'!$B$3, "YES","NO"), "N/A")</f>
        <v>N/A</v>
      </c>
      <c r="Z168" s="57" t="str">
        <f>IF('CASE DATA'!F169="725.1","YES","NO")</f>
        <v>NO</v>
      </c>
      <c r="AA168" s="57" t="str">
        <f>IF(Z168="YES",IF(C168+730.5&lt;'BASIC INFO'!$B$3, "YES","NO"), "N/A")</f>
        <v>N/A</v>
      </c>
      <c r="AB168" s="57" t="str">
        <f>IF('BASIC INFO'!$B$6+6574.5&gt;C168, "YES", "NO")</f>
        <v>YES</v>
      </c>
      <c r="AC168" s="57" t="str">
        <f>IF(Z168="YES",COUNTIFS(AD$3:$AD$200,"&gt;"&amp;('CASE DATA'!D169),$AD$3:$AD$200,"&lt;"&amp;('CASE DATA'!D169+730.5)),"n/a")</f>
        <v>n/a</v>
      </c>
    </row>
    <row r="169" spans="1:29" x14ac:dyDescent="0.25">
      <c r="A169" s="57" t="str">
        <f>IF('CASE DATA'!A170="","z",'CASE DATA'!A170)</f>
        <v>z</v>
      </c>
      <c r="B169" s="57" t="str">
        <f>IF('CASE DATA'!A170="","",'CASE DATA'!E170)</f>
        <v/>
      </c>
      <c r="C169" s="58">
        <f>'CASE DATA'!D170</f>
        <v>0</v>
      </c>
      <c r="D169" s="59" t="str">
        <f>IF('CASE DATA'!I170="YES",SUM('CASE DATA'!J170:P170),"n/a")</f>
        <v>n/a</v>
      </c>
      <c r="E169" s="60" t="str">
        <f>IF(OR('CASE DATA'!G170="JUV", 'CASE DATA'!G170="JWV"), "YES", "NO")</f>
        <v>NO</v>
      </c>
      <c r="F169" s="60" t="str">
        <f t="array" ref="F169">IF(E169="YES",IF(SUM(COUNTIF('CASE DATA'!$G$4:$G$200, {"GTR","GPL","DEF","JUV"}))&gt;0, "YES","NO"),"N/A")</f>
        <v>N/A</v>
      </c>
      <c r="G169" s="60" t="str">
        <f>IF(E169="YES",IF(COUNTIF('CASE DATA'!$D$4:$D$200, "")-COUNTIF('CASE DATA'!$A$4:$A$200, "")&gt;0, "YES","NO"),"N/A")</f>
        <v>N/A</v>
      </c>
      <c r="H169" s="57" t="str">
        <f>_xlfn.IFS(E169="NO", "N/A", AND('BASIC INFO'!$B$3&gt;'BASIC INFO'!$B$6+6574.5, C169+730.5&lt;'BASIC INFO'!$B$3), "YES", 'BASIC INFO'!$B$3&lt;('BASIC INFO'!$B$6+6574.5), "NOT YET 18", C169+730.5&gt;'BASIC INFO'!$B$3, "NOT YET 2 YEARS")</f>
        <v>N/A</v>
      </c>
      <c r="I169" s="61" t="str">
        <f>IF(OR(AND(LEFT('CASE DATA'!F170,4)="321.",MID('CASE DATA'!A170,8,2)="SM"),MID('CASE DATA'!A170,8,2)="ST",MID('CASE DATA'!A170,8,2)="NT"),"TRAFFIC",IF(OR('CASE DATA'!G170="DISM", 'CASE DATA'!G170="ACQ", 'CASE DATA'!G170="NOTF", 'CASE DATA'!G170="WTHD", 'CASE DATA'!G170="TNSF"), "YES", "NO"))</f>
        <v>NO</v>
      </c>
      <c r="J169" s="62" t="str">
        <f>IF(I169="YES",'CASE DATA'!T170,"N/A")</f>
        <v>N/A</v>
      </c>
      <c r="K169" s="57" t="str">
        <f>IF(I169="YES",IF(C169+180&lt;'BASIC INFO'!$B$3, "YES", "NO"),"N/A")</f>
        <v>N/A</v>
      </c>
      <c r="L169" s="62" t="str">
        <f t="array" ref="L169">IF(I169="TRAFFIC","n/a",IF(OR('CASE DATA'!G170="GTR", 'CASE DATA'!G170="GPL"),IF(SUM(COUNTIF('CASE DATA'!W170:AH170, 'CODE SECTIONS'!$V$2:$V$218&amp;"*"))&gt;0,"felony","eligible"),"n/a"))</f>
        <v>n/a</v>
      </c>
      <c r="M169" s="62" t="str">
        <f t="array" ref="M169">IF(L169="eligible",IF(OR((SUM(COUNTIF('CASE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62" t="str">
        <f>IF(M169="eligible",IF(COUNTIF('CASE DATA'!$D$4:$D$200, "")-COUNTIF('CASE DATA'!$A$4:$A$200, "")&gt;0, "YES","NO"),"N/A")</f>
        <v>N/A</v>
      </c>
      <c r="O169" s="62" t="str">
        <f>IF(M169="eligible",BANKRUPTCY!C170+BANKRUPTCY!D170,"N/A")</f>
        <v>N/A</v>
      </c>
      <c r="P169" s="62" t="str">
        <f>IF(M169="eligible",SOL!C170+SOL!D170+SOL!E170,"N/A")</f>
        <v>N/A</v>
      </c>
      <c r="Q169" s="62" t="str">
        <f>IF(M169="eligible",SUM('CASE DATA'!J170:S170),"N/A")</f>
        <v>N/A</v>
      </c>
      <c r="R169" s="62" t="str">
        <f>IF(M169="eligible",IF(C169+2920&lt;'BASIC INFO'!$B$3, "YES", "NO"),"N/A")</f>
        <v>N/A</v>
      </c>
      <c r="S169" s="61" t="str">
        <f>IF(OR('CASE DATA'!G170="DEF"), "YES", "NO")</f>
        <v>NO</v>
      </c>
      <c r="T169" s="57" t="str">
        <f>IF(S169="YES",'CASE DATA'!I170,"N/A")</f>
        <v>N/A</v>
      </c>
      <c r="U169" s="62" t="str">
        <f>IF(S169="YES",BANKRUPTCY!C170+BANKRUPTCY!D170,"N/A")</f>
        <v>N/A</v>
      </c>
      <c r="V169" s="62" t="str">
        <f>IF(S169="YES",SUM('CASE DATA'!J170:S170),"N/A")</f>
        <v>N/A</v>
      </c>
      <c r="W169" s="57" t="str">
        <f>IF(OR('CASE DATA'!F170="123.46",'CASE DATA'!F170="123.47"),"YES","NO")</f>
        <v>NO</v>
      </c>
      <c r="X169" s="60" t="str">
        <f>IF(W169="YES",COUNTIFS(AD$3:$AD$200,"&gt;"&amp;('CASE DATA'!D170),$AD$3:$AD$200,"&lt;"&amp;('CASE DATA'!D170+730.5)),"n/a")</f>
        <v>n/a</v>
      </c>
      <c r="Y169" s="62" t="str">
        <f>IF(W169="YES",IF(C169+730.5&lt;'BASIC INFO'!$B$3, "YES","NO"), "N/A")</f>
        <v>N/A</v>
      </c>
      <c r="Z169" s="57" t="str">
        <f>IF('CASE DATA'!F170="725.1","YES","NO")</f>
        <v>NO</v>
      </c>
      <c r="AA169" s="57" t="str">
        <f>IF(Z169="YES",IF(C169+730.5&lt;'BASIC INFO'!$B$3, "YES","NO"), "N/A")</f>
        <v>N/A</v>
      </c>
      <c r="AB169" s="57" t="str">
        <f>IF('BASIC INFO'!$B$6+6574.5&gt;C169, "YES", "NO")</f>
        <v>YES</v>
      </c>
      <c r="AC169" s="57" t="str">
        <f>IF(Z169="YES",COUNTIFS(AD$3:$AD$200,"&gt;"&amp;('CASE DATA'!D170),$AD$3:$AD$200,"&lt;"&amp;('CASE DATA'!D170+730.5)),"n/a")</f>
        <v>n/a</v>
      </c>
    </row>
    <row r="170" spans="1:29" x14ac:dyDescent="0.25">
      <c r="A170" s="57" t="str">
        <f>IF('CASE DATA'!A171="","z",'CASE DATA'!A171)</f>
        <v>z</v>
      </c>
      <c r="B170" s="57" t="str">
        <f>IF('CASE DATA'!A171="","",'CASE DATA'!E171)</f>
        <v/>
      </c>
      <c r="C170" s="58">
        <f>'CASE DATA'!D171</f>
        <v>0</v>
      </c>
      <c r="D170" s="59" t="str">
        <f>IF('CASE DATA'!I171="YES",SUM('CASE DATA'!J171:P171),"n/a")</f>
        <v>n/a</v>
      </c>
      <c r="E170" s="60" t="str">
        <f>IF(OR('CASE DATA'!G171="JUV", 'CASE DATA'!G171="JWV"), "YES", "NO")</f>
        <v>NO</v>
      </c>
      <c r="F170" s="60" t="str">
        <f t="array" ref="F170">IF(E170="YES",IF(SUM(COUNTIF('CASE DATA'!$G$4:$G$200, {"GTR","GPL","DEF","JUV"}))&gt;0, "YES","NO"),"N/A")</f>
        <v>N/A</v>
      </c>
      <c r="G170" s="60" t="str">
        <f>IF(E170="YES",IF(COUNTIF('CASE DATA'!$D$4:$D$200, "")-COUNTIF('CASE DATA'!$A$4:$A$200, "")&gt;0, "YES","NO"),"N/A")</f>
        <v>N/A</v>
      </c>
      <c r="H170" s="57" t="str">
        <f>_xlfn.IFS(E170="NO", "N/A", AND('BASIC INFO'!$B$3&gt;'BASIC INFO'!$B$6+6574.5, C170+730.5&lt;'BASIC INFO'!$B$3), "YES", 'BASIC INFO'!$B$3&lt;('BASIC INFO'!$B$6+6574.5), "NOT YET 18", C170+730.5&gt;'BASIC INFO'!$B$3, "NOT YET 2 YEARS")</f>
        <v>N/A</v>
      </c>
      <c r="I170" s="61" t="str">
        <f>IF(OR(AND(LEFT('CASE DATA'!F171,4)="321.",MID('CASE DATA'!A171,8,2)="SM"),MID('CASE DATA'!A171,8,2)="ST",MID('CASE DATA'!A171,8,2)="NT"),"TRAFFIC",IF(OR('CASE DATA'!G171="DISM", 'CASE DATA'!G171="ACQ", 'CASE DATA'!G171="NOTF", 'CASE DATA'!G171="WTHD", 'CASE DATA'!G171="TNSF"), "YES", "NO"))</f>
        <v>NO</v>
      </c>
      <c r="J170" s="62" t="str">
        <f>IF(I170="YES",'CASE DATA'!T171,"N/A")</f>
        <v>N/A</v>
      </c>
      <c r="K170" s="57" t="str">
        <f>IF(I170="YES",IF(C170+180&lt;'BASIC INFO'!$B$3, "YES", "NO"),"N/A")</f>
        <v>N/A</v>
      </c>
      <c r="L170" s="62" t="str">
        <f t="array" ref="L170">IF(I170="TRAFFIC","n/a",IF(OR('CASE DATA'!G171="GTR", 'CASE DATA'!G171="GPL"),IF(SUM(COUNTIF('CASE DATA'!W171:AH171, 'CODE SECTIONS'!$V$2:$V$218&amp;"*"))&gt;0,"felony","eligible"),"n/a"))</f>
        <v>n/a</v>
      </c>
      <c r="M170" s="62" t="str">
        <f t="array" ref="M170">IF(L170="eligible",IF(OR((SUM(COUNTIF('CASE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62" t="str">
        <f>IF(M170="eligible",IF(COUNTIF('CASE DATA'!$D$4:$D$200, "")-COUNTIF('CASE DATA'!$A$4:$A$200, "")&gt;0, "YES","NO"),"N/A")</f>
        <v>N/A</v>
      </c>
      <c r="O170" s="62" t="str">
        <f>IF(M170="eligible",BANKRUPTCY!C171+BANKRUPTCY!D171,"N/A")</f>
        <v>N/A</v>
      </c>
      <c r="P170" s="62" t="str">
        <f>IF(M170="eligible",SOL!C171+SOL!D171+SOL!E171,"N/A")</f>
        <v>N/A</v>
      </c>
      <c r="Q170" s="62" t="str">
        <f>IF(M170="eligible",SUM('CASE DATA'!J171:S171),"N/A")</f>
        <v>N/A</v>
      </c>
      <c r="R170" s="62" t="str">
        <f>IF(M170="eligible",IF(C170+2920&lt;'BASIC INFO'!$B$3, "YES", "NO"),"N/A")</f>
        <v>N/A</v>
      </c>
      <c r="S170" s="61" t="str">
        <f>IF(OR('CASE DATA'!G171="DEF"), "YES", "NO")</f>
        <v>NO</v>
      </c>
      <c r="T170" s="57" t="str">
        <f>IF(S170="YES",'CASE DATA'!I171,"N/A")</f>
        <v>N/A</v>
      </c>
      <c r="U170" s="62" t="str">
        <f>IF(S170="YES",BANKRUPTCY!C171+BANKRUPTCY!D171,"N/A")</f>
        <v>N/A</v>
      </c>
      <c r="V170" s="62" t="str">
        <f>IF(S170="YES",SUM('CASE DATA'!J171:S171),"N/A")</f>
        <v>N/A</v>
      </c>
      <c r="W170" s="57" t="str">
        <f>IF(OR('CASE DATA'!F171="123.46",'CASE DATA'!F171="123.47"),"YES","NO")</f>
        <v>NO</v>
      </c>
      <c r="X170" s="60" t="str">
        <f>IF(W170="YES",COUNTIFS(AD$3:$AD$200,"&gt;"&amp;('CASE DATA'!D171),$AD$3:$AD$200,"&lt;"&amp;('CASE DATA'!D171+730.5)),"n/a")</f>
        <v>n/a</v>
      </c>
      <c r="Y170" s="62" t="str">
        <f>IF(W170="YES",IF(C170+730.5&lt;'BASIC INFO'!$B$3, "YES","NO"), "N/A")</f>
        <v>N/A</v>
      </c>
      <c r="Z170" s="57" t="str">
        <f>IF('CASE DATA'!F171="725.1","YES","NO")</f>
        <v>NO</v>
      </c>
      <c r="AA170" s="57" t="str">
        <f>IF(Z170="YES",IF(C170+730.5&lt;'BASIC INFO'!$B$3, "YES","NO"), "N/A")</f>
        <v>N/A</v>
      </c>
      <c r="AB170" s="57" t="str">
        <f>IF('BASIC INFO'!$B$6+6574.5&gt;C170, "YES", "NO")</f>
        <v>YES</v>
      </c>
      <c r="AC170" s="57" t="str">
        <f>IF(Z170="YES",COUNTIFS(AD$3:$AD$200,"&gt;"&amp;('CASE DATA'!D171),$AD$3:$AD$200,"&lt;"&amp;('CASE DATA'!D171+730.5)),"n/a")</f>
        <v>n/a</v>
      </c>
    </row>
    <row r="171" spans="1:29" x14ac:dyDescent="0.25">
      <c r="A171" s="57" t="str">
        <f>IF('CASE DATA'!A172="","z",'CASE DATA'!A172)</f>
        <v>z</v>
      </c>
      <c r="B171" s="57" t="str">
        <f>IF('CASE DATA'!A172="","",'CASE DATA'!E172)</f>
        <v/>
      </c>
      <c r="C171" s="58">
        <f>'CASE DATA'!D172</f>
        <v>0</v>
      </c>
      <c r="D171" s="59" t="str">
        <f>IF('CASE DATA'!I172="YES",SUM('CASE DATA'!J172:P172),"n/a")</f>
        <v>n/a</v>
      </c>
      <c r="E171" s="60" t="str">
        <f>IF(OR('CASE DATA'!G172="JUV", 'CASE DATA'!G172="JWV"), "YES", "NO")</f>
        <v>NO</v>
      </c>
      <c r="F171" s="60" t="str">
        <f t="array" ref="F171">IF(E171="YES",IF(SUM(COUNTIF('CASE DATA'!$G$4:$G$200, {"GTR","GPL","DEF","JUV"}))&gt;0, "YES","NO"),"N/A")</f>
        <v>N/A</v>
      </c>
      <c r="G171" s="60" t="str">
        <f>IF(E171="YES",IF(COUNTIF('CASE DATA'!$D$4:$D$200, "")-COUNTIF('CASE DATA'!$A$4:$A$200, "")&gt;0, "YES","NO"),"N/A")</f>
        <v>N/A</v>
      </c>
      <c r="H171" s="57" t="str">
        <f>_xlfn.IFS(E171="NO", "N/A", AND('BASIC INFO'!$B$3&gt;'BASIC INFO'!$B$6+6574.5, C171+730.5&lt;'BASIC INFO'!$B$3), "YES", 'BASIC INFO'!$B$3&lt;('BASIC INFO'!$B$6+6574.5), "NOT YET 18", C171+730.5&gt;'BASIC INFO'!$B$3, "NOT YET 2 YEARS")</f>
        <v>N/A</v>
      </c>
      <c r="I171" s="61" t="str">
        <f>IF(OR(AND(LEFT('CASE DATA'!F172,4)="321.",MID('CASE DATA'!A172,8,2)="SM"),MID('CASE DATA'!A172,8,2)="ST",MID('CASE DATA'!A172,8,2)="NT"),"TRAFFIC",IF(OR('CASE DATA'!G172="DISM", 'CASE DATA'!G172="ACQ", 'CASE DATA'!G172="NOTF", 'CASE DATA'!G172="WTHD", 'CASE DATA'!G172="TNSF"), "YES", "NO"))</f>
        <v>NO</v>
      </c>
      <c r="J171" s="62" t="str">
        <f>IF(I171="YES",'CASE DATA'!T172,"N/A")</f>
        <v>N/A</v>
      </c>
      <c r="K171" s="57" t="str">
        <f>IF(I171="YES",IF(C171+180&lt;'BASIC INFO'!$B$3, "YES", "NO"),"N/A")</f>
        <v>N/A</v>
      </c>
      <c r="L171" s="62" t="str">
        <f t="array" ref="L171">IF(I171="TRAFFIC","n/a",IF(OR('CASE DATA'!G172="GTR", 'CASE DATA'!G172="GPL"),IF(SUM(COUNTIF('CASE DATA'!W172:AH172, 'CODE SECTIONS'!$V$2:$V$218&amp;"*"))&gt;0,"felony","eligible"),"n/a"))</f>
        <v>n/a</v>
      </c>
      <c r="M171" s="62" t="str">
        <f t="array" ref="M171">IF(L171="eligible",IF(OR((SUM(COUNTIF('CASE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62" t="str">
        <f>IF(M171="eligible",IF(COUNTIF('CASE DATA'!$D$4:$D$200, "")-COUNTIF('CASE DATA'!$A$4:$A$200, "")&gt;0, "YES","NO"),"N/A")</f>
        <v>N/A</v>
      </c>
      <c r="O171" s="62" t="str">
        <f>IF(M171="eligible",BANKRUPTCY!C172+BANKRUPTCY!D172,"N/A")</f>
        <v>N/A</v>
      </c>
      <c r="P171" s="62" t="str">
        <f>IF(M171="eligible",SOL!C172+SOL!D172+SOL!E172,"N/A")</f>
        <v>N/A</v>
      </c>
      <c r="Q171" s="62" t="str">
        <f>IF(M171="eligible",SUM('CASE DATA'!J172:S172),"N/A")</f>
        <v>N/A</v>
      </c>
      <c r="R171" s="62" t="str">
        <f>IF(M171="eligible",IF(C171+2920&lt;'BASIC INFO'!$B$3, "YES", "NO"),"N/A")</f>
        <v>N/A</v>
      </c>
      <c r="S171" s="61" t="str">
        <f>IF(OR('CASE DATA'!G172="DEF"), "YES", "NO")</f>
        <v>NO</v>
      </c>
      <c r="T171" s="57" t="str">
        <f>IF(S171="YES",'CASE DATA'!I172,"N/A")</f>
        <v>N/A</v>
      </c>
      <c r="U171" s="62" t="str">
        <f>IF(S171="YES",BANKRUPTCY!C172+BANKRUPTCY!D172,"N/A")</f>
        <v>N/A</v>
      </c>
      <c r="V171" s="62" t="str">
        <f>IF(S171="YES",SUM('CASE DATA'!J172:S172),"N/A")</f>
        <v>N/A</v>
      </c>
      <c r="W171" s="57" t="str">
        <f>IF(OR('CASE DATA'!F172="123.46",'CASE DATA'!F172="123.47"),"YES","NO")</f>
        <v>NO</v>
      </c>
      <c r="X171" s="60" t="str">
        <f>IF(W171="YES",COUNTIFS(AD$3:$AD$200,"&gt;"&amp;('CASE DATA'!D172),$AD$3:$AD$200,"&lt;"&amp;('CASE DATA'!D172+730.5)),"n/a")</f>
        <v>n/a</v>
      </c>
      <c r="Y171" s="62" t="str">
        <f>IF(W171="YES",IF(C171+730.5&lt;'BASIC INFO'!$B$3, "YES","NO"), "N/A")</f>
        <v>N/A</v>
      </c>
      <c r="Z171" s="57" t="str">
        <f>IF('CASE DATA'!F172="725.1","YES","NO")</f>
        <v>NO</v>
      </c>
      <c r="AA171" s="57" t="str">
        <f>IF(Z171="YES",IF(C171+730.5&lt;'BASIC INFO'!$B$3, "YES","NO"), "N/A")</f>
        <v>N/A</v>
      </c>
      <c r="AB171" s="57" t="str">
        <f>IF('BASIC INFO'!$B$6+6574.5&gt;C171, "YES", "NO")</f>
        <v>YES</v>
      </c>
      <c r="AC171" s="57" t="str">
        <f>IF(Z171="YES",COUNTIFS(AD$3:$AD$200,"&gt;"&amp;('CASE DATA'!D172),$AD$3:$AD$200,"&lt;"&amp;('CASE DATA'!D172+730.5)),"n/a")</f>
        <v>n/a</v>
      </c>
    </row>
    <row r="172" spans="1:29" x14ac:dyDescent="0.25">
      <c r="A172" s="57" t="str">
        <f>IF('CASE DATA'!A173="","z",'CASE DATA'!A173)</f>
        <v>z</v>
      </c>
      <c r="B172" s="57" t="str">
        <f>IF('CASE DATA'!A173="","",'CASE DATA'!E173)</f>
        <v/>
      </c>
      <c r="C172" s="58">
        <f>'CASE DATA'!D173</f>
        <v>0</v>
      </c>
      <c r="D172" s="59" t="str">
        <f>IF('CASE DATA'!I173="YES",SUM('CASE DATA'!J173:P173),"n/a")</f>
        <v>n/a</v>
      </c>
      <c r="E172" s="60" t="str">
        <f>IF(OR('CASE DATA'!G173="JUV", 'CASE DATA'!G173="JWV"), "YES", "NO")</f>
        <v>NO</v>
      </c>
      <c r="F172" s="60" t="str">
        <f t="array" ref="F172">IF(E172="YES",IF(SUM(COUNTIF('CASE DATA'!$G$4:$G$200, {"GTR","GPL","DEF","JUV"}))&gt;0, "YES","NO"),"N/A")</f>
        <v>N/A</v>
      </c>
      <c r="G172" s="60" t="str">
        <f>IF(E172="YES",IF(COUNTIF('CASE DATA'!$D$4:$D$200, "")-COUNTIF('CASE DATA'!$A$4:$A$200, "")&gt;0, "YES","NO"),"N/A")</f>
        <v>N/A</v>
      </c>
      <c r="H172" s="57" t="str">
        <f>_xlfn.IFS(E172="NO", "N/A", AND('BASIC INFO'!$B$3&gt;'BASIC INFO'!$B$6+6574.5, C172+730.5&lt;'BASIC INFO'!$B$3), "YES", 'BASIC INFO'!$B$3&lt;('BASIC INFO'!$B$6+6574.5), "NOT YET 18", C172+730.5&gt;'BASIC INFO'!$B$3, "NOT YET 2 YEARS")</f>
        <v>N/A</v>
      </c>
      <c r="I172" s="61" t="str">
        <f>IF(OR(AND(LEFT('CASE DATA'!F173,4)="321.",MID('CASE DATA'!A173,8,2)="SM"),MID('CASE DATA'!A173,8,2)="ST",MID('CASE DATA'!A173,8,2)="NT"),"TRAFFIC",IF(OR('CASE DATA'!G173="DISM", 'CASE DATA'!G173="ACQ", 'CASE DATA'!G173="NOTF", 'CASE DATA'!G173="WTHD", 'CASE DATA'!G173="TNSF"), "YES", "NO"))</f>
        <v>NO</v>
      </c>
      <c r="J172" s="62" t="str">
        <f>IF(I172="YES",'CASE DATA'!T173,"N/A")</f>
        <v>N/A</v>
      </c>
      <c r="K172" s="57" t="str">
        <f>IF(I172="YES",IF(C172+180&lt;'BASIC INFO'!$B$3, "YES", "NO"),"N/A")</f>
        <v>N/A</v>
      </c>
      <c r="L172" s="62" t="str">
        <f t="array" ref="L172">IF(I172="TRAFFIC","n/a",IF(OR('CASE DATA'!G173="GTR", 'CASE DATA'!G173="GPL"),IF(SUM(COUNTIF('CASE DATA'!W173:AH173, 'CODE SECTIONS'!$V$2:$V$218&amp;"*"))&gt;0,"felony","eligible"),"n/a"))</f>
        <v>n/a</v>
      </c>
      <c r="M172" s="62" t="str">
        <f t="array" ref="M172">IF(L172="eligible",IF(OR((SUM(COUNTIF('CASE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62" t="str">
        <f>IF(M172="eligible",IF(COUNTIF('CASE DATA'!$D$4:$D$200, "")-COUNTIF('CASE DATA'!$A$4:$A$200, "")&gt;0, "YES","NO"),"N/A")</f>
        <v>N/A</v>
      </c>
      <c r="O172" s="62" t="str">
        <f>IF(M172="eligible",BANKRUPTCY!C173+BANKRUPTCY!D173,"N/A")</f>
        <v>N/A</v>
      </c>
      <c r="P172" s="62" t="str">
        <f>IF(M172="eligible",SOL!C173+SOL!D173+SOL!E173,"N/A")</f>
        <v>N/A</v>
      </c>
      <c r="Q172" s="62" t="str">
        <f>IF(M172="eligible",SUM('CASE DATA'!J173:S173),"N/A")</f>
        <v>N/A</v>
      </c>
      <c r="R172" s="62" t="str">
        <f>IF(M172="eligible",IF(C172+2920&lt;'BASIC INFO'!$B$3, "YES", "NO"),"N/A")</f>
        <v>N/A</v>
      </c>
      <c r="S172" s="61" t="str">
        <f>IF(OR('CASE DATA'!G173="DEF"), "YES", "NO")</f>
        <v>NO</v>
      </c>
      <c r="T172" s="57" t="str">
        <f>IF(S172="YES",'CASE DATA'!I173,"N/A")</f>
        <v>N/A</v>
      </c>
      <c r="U172" s="62" t="str">
        <f>IF(S172="YES",BANKRUPTCY!C173+BANKRUPTCY!D173,"N/A")</f>
        <v>N/A</v>
      </c>
      <c r="V172" s="62" t="str">
        <f>IF(S172="YES",SUM('CASE DATA'!J173:S173),"N/A")</f>
        <v>N/A</v>
      </c>
      <c r="W172" s="57" t="str">
        <f>IF(OR('CASE DATA'!F173="123.46",'CASE DATA'!F173="123.47"),"YES","NO")</f>
        <v>NO</v>
      </c>
      <c r="X172" s="60" t="str">
        <f>IF(W172="YES",COUNTIFS(AD$3:$AD$200,"&gt;"&amp;('CASE DATA'!D173),$AD$3:$AD$200,"&lt;"&amp;('CASE DATA'!D173+730.5)),"n/a")</f>
        <v>n/a</v>
      </c>
      <c r="Y172" s="62" t="str">
        <f>IF(W172="YES",IF(C172+730.5&lt;'BASIC INFO'!$B$3, "YES","NO"), "N/A")</f>
        <v>N/A</v>
      </c>
      <c r="Z172" s="57" t="str">
        <f>IF('CASE DATA'!F173="725.1","YES","NO")</f>
        <v>NO</v>
      </c>
      <c r="AA172" s="57" t="str">
        <f>IF(Z172="YES",IF(C172+730.5&lt;'BASIC INFO'!$B$3, "YES","NO"), "N/A")</f>
        <v>N/A</v>
      </c>
      <c r="AB172" s="57" t="str">
        <f>IF('BASIC INFO'!$B$6+6574.5&gt;C172, "YES", "NO")</f>
        <v>YES</v>
      </c>
      <c r="AC172" s="57" t="str">
        <f>IF(Z172="YES",COUNTIFS(AD$3:$AD$200,"&gt;"&amp;('CASE DATA'!D173),$AD$3:$AD$200,"&lt;"&amp;('CASE DATA'!D173+730.5)),"n/a")</f>
        <v>n/a</v>
      </c>
    </row>
    <row r="173" spans="1:29" x14ac:dyDescent="0.25">
      <c r="A173" s="57" t="str">
        <f>IF('CASE DATA'!A174="","z",'CASE DATA'!A174)</f>
        <v>z</v>
      </c>
      <c r="B173" s="57" t="str">
        <f>IF('CASE DATA'!A174="","",'CASE DATA'!E174)</f>
        <v/>
      </c>
      <c r="C173" s="58">
        <f>'CASE DATA'!D174</f>
        <v>0</v>
      </c>
      <c r="D173" s="59" t="str">
        <f>IF('CASE DATA'!I174="YES",SUM('CASE DATA'!J174:P174),"n/a")</f>
        <v>n/a</v>
      </c>
      <c r="E173" s="60" t="str">
        <f>IF(OR('CASE DATA'!G174="JUV", 'CASE DATA'!G174="JWV"), "YES", "NO")</f>
        <v>NO</v>
      </c>
      <c r="F173" s="60" t="str">
        <f t="array" ref="F173">IF(E173="YES",IF(SUM(COUNTIF('CASE DATA'!$G$4:$G$200, {"GTR","GPL","DEF","JUV"}))&gt;0, "YES","NO"),"N/A")</f>
        <v>N/A</v>
      </c>
      <c r="G173" s="60" t="str">
        <f>IF(E173="YES",IF(COUNTIF('CASE DATA'!$D$4:$D$200, "")-COUNTIF('CASE DATA'!$A$4:$A$200, "")&gt;0, "YES","NO"),"N/A")</f>
        <v>N/A</v>
      </c>
      <c r="H173" s="57" t="str">
        <f>_xlfn.IFS(E173="NO", "N/A", AND('BASIC INFO'!$B$3&gt;'BASIC INFO'!$B$6+6574.5, C173+730.5&lt;'BASIC INFO'!$B$3), "YES", 'BASIC INFO'!$B$3&lt;('BASIC INFO'!$B$6+6574.5), "NOT YET 18", C173+730.5&gt;'BASIC INFO'!$B$3, "NOT YET 2 YEARS")</f>
        <v>N/A</v>
      </c>
      <c r="I173" s="61" t="str">
        <f>IF(OR(AND(LEFT('CASE DATA'!F174,4)="321.",MID('CASE DATA'!A174,8,2)="SM"),MID('CASE DATA'!A174,8,2)="ST",MID('CASE DATA'!A174,8,2)="NT"),"TRAFFIC",IF(OR('CASE DATA'!G174="DISM", 'CASE DATA'!G174="ACQ", 'CASE DATA'!G174="NOTF", 'CASE DATA'!G174="WTHD", 'CASE DATA'!G174="TNSF"), "YES", "NO"))</f>
        <v>NO</v>
      </c>
      <c r="J173" s="62" t="str">
        <f>IF(I173="YES",'CASE DATA'!T174,"N/A")</f>
        <v>N/A</v>
      </c>
      <c r="K173" s="57" t="str">
        <f>IF(I173="YES",IF(C173+180&lt;'BASIC INFO'!$B$3, "YES", "NO"),"N/A")</f>
        <v>N/A</v>
      </c>
      <c r="L173" s="62" t="str">
        <f t="array" ref="L173">IF(I173="TRAFFIC","n/a",IF(OR('CASE DATA'!G174="GTR", 'CASE DATA'!G174="GPL"),IF(SUM(COUNTIF('CASE DATA'!W174:AH174, 'CODE SECTIONS'!$V$2:$V$218&amp;"*"))&gt;0,"felony","eligible"),"n/a"))</f>
        <v>n/a</v>
      </c>
      <c r="M173" s="62" t="str">
        <f t="array" ref="M173">IF(L173="eligible",IF(OR((SUM(COUNTIF('CASE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62" t="str">
        <f>IF(M173="eligible",IF(COUNTIF('CASE DATA'!$D$4:$D$200, "")-COUNTIF('CASE DATA'!$A$4:$A$200, "")&gt;0, "YES","NO"),"N/A")</f>
        <v>N/A</v>
      </c>
      <c r="O173" s="62" t="str">
        <f>IF(M173="eligible",BANKRUPTCY!C174+BANKRUPTCY!D174,"N/A")</f>
        <v>N/A</v>
      </c>
      <c r="P173" s="62" t="str">
        <f>IF(M173="eligible",SOL!C174+SOL!D174+SOL!E174,"N/A")</f>
        <v>N/A</v>
      </c>
      <c r="Q173" s="62" t="str">
        <f>IF(M173="eligible",SUM('CASE DATA'!J174:S174),"N/A")</f>
        <v>N/A</v>
      </c>
      <c r="R173" s="62" t="str">
        <f>IF(M173="eligible",IF(C173+2920&lt;'BASIC INFO'!$B$3, "YES", "NO"),"N/A")</f>
        <v>N/A</v>
      </c>
      <c r="S173" s="61" t="str">
        <f>IF(OR('CASE DATA'!G174="DEF"), "YES", "NO")</f>
        <v>NO</v>
      </c>
      <c r="T173" s="57" t="str">
        <f>IF(S173="YES",'CASE DATA'!I174,"N/A")</f>
        <v>N/A</v>
      </c>
      <c r="U173" s="62" t="str">
        <f>IF(S173="YES",BANKRUPTCY!C174+BANKRUPTCY!D174,"N/A")</f>
        <v>N/A</v>
      </c>
      <c r="V173" s="62" t="str">
        <f>IF(S173="YES",SUM('CASE DATA'!J174:S174),"N/A")</f>
        <v>N/A</v>
      </c>
      <c r="W173" s="57" t="str">
        <f>IF(OR('CASE DATA'!F174="123.46",'CASE DATA'!F174="123.47"),"YES","NO")</f>
        <v>NO</v>
      </c>
      <c r="X173" s="60" t="str">
        <f>IF(W173="YES",COUNTIFS(AD$3:$AD$200,"&gt;"&amp;('CASE DATA'!D174),$AD$3:$AD$200,"&lt;"&amp;('CASE DATA'!D174+730.5)),"n/a")</f>
        <v>n/a</v>
      </c>
      <c r="Y173" s="62" t="str">
        <f>IF(W173="YES",IF(C173+730.5&lt;'BASIC INFO'!$B$3, "YES","NO"), "N/A")</f>
        <v>N/A</v>
      </c>
      <c r="Z173" s="57" t="str">
        <f>IF('CASE DATA'!F174="725.1","YES","NO")</f>
        <v>NO</v>
      </c>
      <c r="AA173" s="57" t="str">
        <f>IF(Z173="YES",IF(C173+730.5&lt;'BASIC INFO'!$B$3, "YES","NO"), "N/A")</f>
        <v>N/A</v>
      </c>
      <c r="AB173" s="57" t="str">
        <f>IF('BASIC INFO'!$B$6+6574.5&gt;C173, "YES", "NO")</f>
        <v>YES</v>
      </c>
      <c r="AC173" s="57" t="str">
        <f>IF(Z173="YES",COUNTIFS(AD$3:$AD$200,"&gt;"&amp;('CASE DATA'!D174),$AD$3:$AD$200,"&lt;"&amp;('CASE DATA'!D174+730.5)),"n/a")</f>
        <v>n/a</v>
      </c>
    </row>
    <row r="174" spans="1:29" x14ac:dyDescent="0.25">
      <c r="A174" s="57" t="str">
        <f>IF('CASE DATA'!A175="","z",'CASE DATA'!A175)</f>
        <v>z</v>
      </c>
      <c r="B174" s="57" t="str">
        <f>IF('CASE DATA'!A175="","",'CASE DATA'!E175)</f>
        <v/>
      </c>
      <c r="C174" s="58">
        <f>'CASE DATA'!D175</f>
        <v>0</v>
      </c>
      <c r="D174" s="59" t="str">
        <f>IF('CASE DATA'!I175="YES",SUM('CASE DATA'!J175:P175),"n/a")</f>
        <v>n/a</v>
      </c>
      <c r="E174" s="60" t="str">
        <f>IF(OR('CASE DATA'!G175="JUV", 'CASE DATA'!G175="JWV"), "YES", "NO")</f>
        <v>NO</v>
      </c>
      <c r="F174" s="60" t="str">
        <f t="array" ref="F174">IF(E174="YES",IF(SUM(COUNTIF('CASE DATA'!$G$4:$G$200, {"GTR","GPL","DEF","JUV"}))&gt;0, "YES","NO"),"N/A")</f>
        <v>N/A</v>
      </c>
      <c r="G174" s="60" t="str">
        <f>IF(E174="YES",IF(COUNTIF('CASE DATA'!$D$4:$D$200, "")-COUNTIF('CASE DATA'!$A$4:$A$200, "")&gt;0, "YES","NO"),"N/A")</f>
        <v>N/A</v>
      </c>
      <c r="H174" s="57" t="str">
        <f>_xlfn.IFS(E174="NO", "N/A", AND('BASIC INFO'!$B$3&gt;'BASIC INFO'!$B$6+6574.5, C174+730.5&lt;'BASIC INFO'!$B$3), "YES", 'BASIC INFO'!$B$3&lt;('BASIC INFO'!$B$6+6574.5), "NOT YET 18", C174+730.5&gt;'BASIC INFO'!$B$3, "NOT YET 2 YEARS")</f>
        <v>N/A</v>
      </c>
      <c r="I174" s="61" t="str">
        <f>IF(OR(AND(LEFT('CASE DATA'!F175,4)="321.",MID('CASE DATA'!A175,8,2)="SM"),MID('CASE DATA'!A175,8,2)="ST",MID('CASE DATA'!A175,8,2)="NT"),"TRAFFIC",IF(OR('CASE DATA'!G175="DISM", 'CASE DATA'!G175="ACQ", 'CASE DATA'!G175="NOTF", 'CASE DATA'!G175="WTHD", 'CASE DATA'!G175="TNSF"), "YES", "NO"))</f>
        <v>NO</v>
      </c>
      <c r="J174" s="62" t="str">
        <f>IF(I174="YES",'CASE DATA'!T175,"N/A")</f>
        <v>N/A</v>
      </c>
      <c r="K174" s="57" t="str">
        <f>IF(I174="YES",IF(C174+180&lt;'BASIC INFO'!$B$3, "YES", "NO"),"N/A")</f>
        <v>N/A</v>
      </c>
      <c r="L174" s="62" t="str">
        <f t="array" ref="L174">IF(I174="TRAFFIC","n/a",IF(OR('CASE DATA'!G175="GTR", 'CASE DATA'!G175="GPL"),IF(SUM(COUNTIF('CASE DATA'!W175:AH175, 'CODE SECTIONS'!$V$2:$V$218&amp;"*"))&gt;0,"felony","eligible"),"n/a"))</f>
        <v>n/a</v>
      </c>
      <c r="M174" s="62" t="str">
        <f t="array" ref="M174">IF(L174="eligible",IF(OR((SUM(COUNTIF('CASE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62" t="str">
        <f>IF(M174="eligible",IF(COUNTIF('CASE DATA'!$D$4:$D$200, "")-COUNTIF('CASE DATA'!$A$4:$A$200, "")&gt;0, "YES","NO"),"N/A")</f>
        <v>N/A</v>
      </c>
      <c r="O174" s="62" t="str">
        <f>IF(M174="eligible",BANKRUPTCY!C175+BANKRUPTCY!D175,"N/A")</f>
        <v>N/A</v>
      </c>
      <c r="P174" s="62" t="str">
        <f>IF(M174="eligible",SOL!C175+SOL!D175+SOL!E175,"N/A")</f>
        <v>N/A</v>
      </c>
      <c r="Q174" s="62" t="str">
        <f>IF(M174="eligible",SUM('CASE DATA'!J175:S175),"N/A")</f>
        <v>N/A</v>
      </c>
      <c r="R174" s="62" t="str">
        <f>IF(M174="eligible",IF(C174+2920&lt;'BASIC INFO'!$B$3, "YES", "NO"),"N/A")</f>
        <v>N/A</v>
      </c>
      <c r="S174" s="61" t="str">
        <f>IF(OR('CASE DATA'!G175="DEF"), "YES", "NO")</f>
        <v>NO</v>
      </c>
      <c r="T174" s="57" t="str">
        <f>IF(S174="YES",'CASE DATA'!I175,"N/A")</f>
        <v>N/A</v>
      </c>
      <c r="U174" s="62" t="str">
        <f>IF(S174="YES",BANKRUPTCY!C175+BANKRUPTCY!D175,"N/A")</f>
        <v>N/A</v>
      </c>
      <c r="V174" s="62" t="str">
        <f>IF(S174="YES",SUM('CASE DATA'!J175:S175),"N/A")</f>
        <v>N/A</v>
      </c>
      <c r="W174" s="57" t="str">
        <f>IF(OR('CASE DATA'!F175="123.46",'CASE DATA'!F175="123.47"),"YES","NO")</f>
        <v>NO</v>
      </c>
      <c r="X174" s="60" t="str">
        <f>IF(W174="YES",COUNTIFS(AD$3:$AD$200,"&gt;"&amp;('CASE DATA'!D175),$AD$3:$AD$200,"&lt;"&amp;('CASE DATA'!D175+730.5)),"n/a")</f>
        <v>n/a</v>
      </c>
      <c r="Y174" s="62" t="str">
        <f>IF(W174="YES",IF(C174+730.5&lt;'BASIC INFO'!$B$3, "YES","NO"), "N/A")</f>
        <v>N/A</v>
      </c>
      <c r="Z174" s="57" t="str">
        <f>IF('CASE DATA'!F175="725.1","YES","NO")</f>
        <v>NO</v>
      </c>
      <c r="AA174" s="57" t="str">
        <f>IF(Z174="YES",IF(C174+730.5&lt;'BASIC INFO'!$B$3, "YES","NO"), "N/A")</f>
        <v>N/A</v>
      </c>
      <c r="AB174" s="57" t="str">
        <f>IF('BASIC INFO'!$B$6+6574.5&gt;C174, "YES", "NO")</f>
        <v>YES</v>
      </c>
      <c r="AC174" s="57" t="str">
        <f>IF(Z174="YES",COUNTIFS(AD$3:$AD$200,"&gt;"&amp;('CASE DATA'!D175),$AD$3:$AD$200,"&lt;"&amp;('CASE DATA'!D175+730.5)),"n/a")</f>
        <v>n/a</v>
      </c>
    </row>
    <row r="175" spans="1:29" x14ac:dyDescent="0.25">
      <c r="A175" s="57" t="str">
        <f>IF('CASE DATA'!A176="","z",'CASE DATA'!A176)</f>
        <v>z</v>
      </c>
      <c r="B175" s="57" t="str">
        <f>IF('CASE DATA'!A176="","",'CASE DATA'!E176)</f>
        <v/>
      </c>
      <c r="C175" s="58">
        <f>'CASE DATA'!D176</f>
        <v>0</v>
      </c>
      <c r="D175" s="59" t="str">
        <f>IF('CASE DATA'!I176="YES",SUM('CASE DATA'!J176:P176),"n/a")</f>
        <v>n/a</v>
      </c>
      <c r="E175" s="60" t="str">
        <f>IF(OR('CASE DATA'!G176="JUV", 'CASE DATA'!G176="JWV"), "YES", "NO")</f>
        <v>NO</v>
      </c>
      <c r="F175" s="60" t="str">
        <f t="array" ref="F175">IF(E175="YES",IF(SUM(COUNTIF('CASE DATA'!$G$4:$G$200, {"GTR","GPL","DEF","JUV"}))&gt;0, "YES","NO"),"N/A")</f>
        <v>N/A</v>
      </c>
      <c r="G175" s="60" t="str">
        <f>IF(E175="YES",IF(COUNTIF('CASE DATA'!$D$4:$D$200, "")-COUNTIF('CASE DATA'!$A$4:$A$200, "")&gt;0, "YES","NO"),"N/A")</f>
        <v>N/A</v>
      </c>
      <c r="H175" s="57" t="str">
        <f>_xlfn.IFS(E175="NO", "N/A", AND('BASIC INFO'!$B$3&gt;'BASIC INFO'!$B$6+6574.5, C175+730.5&lt;'BASIC INFO'!$B$3), "YES", 'BASIC INFO'!$B$3&lt;('BASIC INFO'!$B$6+6574.5), "NOT YET 18", C175+730.5&gt;'BASIC INFO'!$B$3, "NOT YET 2 YEARS")</f>
        <v>N/A</v>
      </c>
      <c r="I175" s="61" t="str">
        <f>IF(OR(AND(LEFT('CASE DATA'!F176,4)="321.",MID('CASE DATA'!A176,8,2)="SM"),MID('CASE DATA'!A176,8,2)="ST",MID('CASE DATA'!A176,8,2)="NT"),"TRAFFIC",IF(OR('CASE DATA'!G176="DISM", 'CASE DATA'!G176="ACQ", 'CASE DATA'!G176="NOTF", 'CASE DATA'!G176="WTHD", 'CASE DATA'!G176="TNSF"), "YES", "NO"))</f>
        <v>NO</v>
      </c>
      <c r="J175" s="62" t="str">
        <f>IF(I175="YES",'CASE DATA'!T176,"N/A")</f>
        <v>N/A</v>
      </c>
      <c r="K175" s="57" t="str">
        <f>IF(I175="YES",IF(C175+180&lt;'BASIC INFO'!$B$3, "YES", "NO"),"N/A")</f>
        <v>N/A</v>
      </c>
      <c r="L175" s="62" t="str">
        <f t="array" ref="L175">IF(I175="TRAFFIC","n/a",IF(OR('CASE DATA'!G176="GTR", 'CASE DATA'!G176="GPL"),IF(SUM(COUNTIF('CASE DATA'!W176:AH176, 'CODE SECTIONS'!$V$2:$V$218&amp;"*"))&gt;0,"felony","eligible"),"n/a"))</f>
        <v>n/a</v>
      </c>
      <c r="M175" s="62" t="str">
        <f t="array" ref="M175">IF(L175="eligible",IF(OR((SUM(COUNTIF('CASE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62" t="str">
        <f>IF(M175="eligible",IF(COUNTIF('CASE DATA'!$D$4:$D$200, "")-COUNTIF('CASE DATA'!$A$4:$A$200, "")&gt;0, "YES","NO"),"N/A")</f>
        <v>N/A</v>
      </c>
      <c r="O175" s="62" t="str">
        <f>IF(M175="eligible",BANKRUPTCY!C176+BANKRUPTCY!D176,"N/A")</f>
        <v>N/A</v>
      </c>
      <c r="P175" s="62" t="str">
        <f>IF(M175="eligible",SOL!C176+SOL!D176+SOL!E176,"N/A")</f>
        <v>N/A</v>
      </c>
      <c r="Q175" s="62" t="str">
        <f>IF(M175="eligible",SUM('CASE DATA'!J176:S176),"N/A")</f>
        <v>N/A</v>
      </c>
      <c r="R175" s="62" t="str">
        <f>IF(M175="eligible",IF(C175+2920&lt;'BASIC INFO'!$B$3, "YES", "NO"),"N/A")</f>
        <v>N/A</v>
      </c>
      <c r="S175" s="61" t="str">
        <f>IF(OR('CASE DATA'!G176="DEF"), "YES", "NO")</f>
        <v>NO</v>
      </c>
      <c r="T175" s="57" t="str">
        <f>IF(S175="YES",'CASE DATA'!I176,"N/A")</f>
        <v>N/A</v>
      </c>
      <c r="U175" s="62" t="str">
        <f>IF(S175="YES",BANKRUPTCY!C176+BANKRUPTCY!D176,"N/A")</f>
        <v>N/A</v>
      </c>
      <c r="V175" s="62" t="str">
        <f>IF(S175="YES",SUM('CASE DATA'!J176:S176),"N/A")</f>
        <v>N/A</v>
      </c>
      <c r="W175" s="57" t="str">
        <f>IF(OR('CASE DATA'!F176="123.46",'CASE DATA'!F176="123.47"),"YES","NO")</f>
        <v>NO</v>
      </c>
      <c r="X175" s="60" t="str">
        <f>IF(W175="YES",COUNTIFS(AD$3:$AD$200,"&gt;"&amp;('CASE DATA'!D176),$AD$3:$AD$200,"&lt;"&amp;('CASE DATA'!D176+730.5)),"n/a")</f>
        <v>n/a</v>
      </c>
      <c r="Y175" s="62" t="str">
        <f>IF(W175="YES",IF(C175+730.5&lt;'BASIC INFO'!$B$3, "YES","NO"), "N/A")</f>
        <v>N/A</v>
      </c>
      <c r="Z175" s="57" t="str">
        <f>IF('CASE DATA'!F176="725.1","YES","NO")</f>
        <v>NO</v>
      </c>
      <c r="AA175" s="57" t="str">
        <f>IF(Z175="YES",IF(C175+730.5&lt;'BASIC INFO'!$B$3, "YES","NO"), "N/A")</f>
        <v>N/A</v>
      </c>
      <c r="AB175" s="57" t="str">
        <f>IF('BASIC INFO'!$B$6+6574.5&gt;C175, "YES", "NO")</f>
        <v>YES</v>
      </c>
      <c r="AC175" s="57" t="str">
        <f>IF(Z175="YES",COUNTIFS(AD$3:$AD$200,"&gt;"&amp;('CASE DATA'!D176),$AD$3:$AD$200,"&lt;"&amp;('CASE DATA'!D176+730.5)),"n/a")</f>
        <v>n/a</v>
      </c>
    </row>
    <row r="176" spans="1:29" x14ac:dyDescent="0.25">
      <c r="A176" s="57" t="str">
        <f>IF('CASE DATA'!A177="","z",'CASE DATA'!A177)</f>
        <v>z</v>
      </c>
      <c r="B176" s="57" t="str">
        <f>IF('CASE DATA'!A177="","",'CASE DATA'!E177)</f>
        <v/>
      </c>
      <c r="C176" s="58">
        <f>'CASE DATA'!D177</f>
        <v>0</v>
      </c>
      <c r="D176" s="59" t="str">
        <f>IF('CASE DATA'!I177="YES",SUM('CASE DATA'!J177:P177),"n/a")</f>
        <v>n/a</v>
      </c>
      <c r="E176" s="60" t="str">
        <f>IF(OR('CASE DATA'!G177="JUV", 'CASE DATA'!G177="JWV"), "YES", "NO")</f>
        <v>NO</v>
      </c>
      <c r="F176" s="60" t="str">
        <f t="array" ref="F176">IF(E176="YES",IF(SUM(COUNTIF('CASE DATA'!$G$4:$G$200, {"GTR","GPL","DEF","JUV"}))&gt;0, "YES","NO"),"N/A")</f>
        <v>N/A</v>
      </c>
      <c r="G176" s="60" t="str">
        <f>IF(E176="YES",IF(COUNTIF('CASE DATA'!$D$4:$D$200, "")-COUNTIF('CASE DATA'!$A$4:$A$200, "")&gt;0, "YES","NO"),"N/A")</f>
        <v>N/A</v>
      </c>
      <c r="H176" s="57" t="str">
        <f>_xlfn.IFS(E176="NO", "N/A", AND('BASIC INFO'!$B$3&gt;'BASIC INFO'!$B$6+6574.5, C176+730.5&lt;'BASIC INFO'!$B$3), "YES", 'BASIC INFO'!$B$3&lt;('BASIC INFO'!$B$6+6574.5), "NOT YET 18", C176+730.5&gt;'BASIC INFO'!$B$3, "NOT YET 2 YEARS")</f>
        <v>N/A</v>
      </c>
      <c r="I176" s="61" t="str">
        <f>IF(OR(AND(LEFT('CASE DATA'!F177,4)="321.",MID('CASE DATA'!A177,8,2)="SM"),MID('CASE DATA'!A177,8,2)="ST",MID('CASE DATA'!A177,8,2)="NT"),"TRAFFIC",IF(OR('CASE DATA'!G177="DISM", 'CASE DATA'!G177="ACQ", 'CASE DATA'!G177="NOTF", 'CASE DATA'!G177="WTHD", 'CASE DATA'!G177="TNSF"), "YES", "NO"))</f>
        <v>NO</v>
      </c>
      <c r="J176" s="62" t="str">
        <f>IF(I176="YES",'CASE DATA'!T177,"N/A")</f>
        <v>N/A</v>
      </c>
      <c r="K176" s="57" t="str">
        <f>IF(I176="YES",IF(C176+180&lt;'BASIC INFO'!$B$3, "YES", "NO"),"N/A")</f>
        <v>N/A</v>
      </c>
      <c r="L176" s="62" t="str">
        <f t="array" ref="L176">IF(I176="TRAFFIC","n/a",IF(OR('CASE DATA'!G177="GTR", 'CASE DATA'!G177="GPL"),IF(SUM(COUNTIF('CASE DATA'!W177:AH177, 'CODE SECTIONS'!$V$2:$V$218&amp;"*"))&gt;0,"felony","eligible"),"n/a"))</f>
        <v>n/a</v>
      </c>
      <c r="M176" s="62" t="str">
        <f t="array" ref="M176">IF(L176="eligible",IF(OR((SUM(COUNTIF('CASE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62" t="str">
        <f>IF(M176="eligible",IF(COUNTIF('CASE DATA'!$D$4:$D$200, "")-COUNTIF('CASE DATA'!$A$4:$A$200, "")&gt;0, "YES","NO"),"N/A")</f>
        <v>N/A</v>
      </c>
      <c r="O176" s="62" t="str">
        <f>IF(M176="eligible",BANKRUPTCY!C177+BANKRUPTCY!D177,"N/A")</f>
        <v>N/A</v>
      </c>
      <c r="P176" s="62" t="str">
        <f>IF(M176="eligible",SOL!C177+SOL!D177+SOL!E177,"N/A")</f>
        <v>N/A</v>
      </c>
      <c r="Q176" s="62" t="str">
        <f>IF(M176="eligible",SUM('CASE DATA'!J177:S177),"N/A")</f>
        <v>N/A</v>
      </c>
      <c r="R176" s="62" t="str">
        <f>IF(M176="eligible",IF(C176+2920&lt;'BASIC INFO'!$B$3, "YES", "NO"),"N/A")</f>
        <v>N/A</v>
      </c>
      <c r="S176" s="61" t="str">
        <f>IF(OR('CASE DATA'!G177="DEF"), "YES", "NO")</f>
        <v>NO</v>
      </c>
      <c r="T176" s="57" t="str">
        <f>IF(S176="YES",'CASE DATA'!I177,"N/A")</f>
        <v>N/A</v>
      </c>
      <c r="U176" s="62" t="str">
        <f>IF(S176="YES",BANKRUPTCY!C177+BANKRUPTCY!D177,"N/A")</f>
        <v>N/A</v>
      </c>
      <c r="V176" s="62" t="str">
        <f>IF(S176="YES",SUM('CASE DATA'!J177:S177),"N/A")</f>
        <v>N/A</v>
      </c>
      <c r="W176" s="57" t="str">
        <f>IF(OR('CASE DATA'!F177="123.46",'CASE DATA'!F177="123.47"),"YES","NO")</f>
        <v>NO</v>
      </c>
      <c r="X176" s="60" t="str">
        <f>IF(W176="YES",COUNTIFS(AD$3:$AD$200,"&gt;"&amp;('CASE DATA'!D177),$AD$3:$AD$200,"&lt;"&amp;('CASE DATA'!D177+730.5)),"n/a")</f>
        <v>n/a</v>
      </c>
      <c r="Y176" s="62" t="str">
        <f>IF(W176="YES",IF(C176+730.5&lt;'BASIC INFO'!$B$3, "YES","NO"), "N/A")</f>
        <v>N/A</v>
      </c>
      <c r="Z176" s="57" t="str">
        <f>IF('CASE DATA'!F177="725.1","YES","NO")</f>
        <v>NO</v>
      </c>
      <c r="AA176" s="57" t="str">
        <f>IF(Z176="YES",IF(C176+730.5&lt;'BASIC INFO'!$B$3, "YES","NO"), "N/A")</f>
        <v>N/A</v>
      </c>
      <c r="AB176" s="57" t="str">
        <f>IF('BASIC INFO'!$B$6+6574.5&gt;C176, "YES", "NO")</f>
        <v>YES</v>
      </c>
      <c r="AC176" s="57" t="str">
        <f>IF(Z176="YES",COUNTIFS(AD$3:$AD$200,"&gt;"&amp;('CASE DATA'!D177),$AD$3:$AD$200,"&lt;"&amp;('CASE DATA'!D177+730.5)),"n/a")</f>
        <v>n/a</v>
      </c>
    </row>
    <row r="177" spans="1:29" x14ac:dyDescent="0.25">
      <c r="A177" s="57" t="str">
        <f>IF('CASE DATA'!A178="","z",'CASE DATA'!A178)</f>
        <v>z</v>
      </c>
      <c r="B177" s="57" t="str">
        <f>IF('CASE DATA'!A178="","",'CASE DATA'!E178)</f>
        <v/>
      </c>
      <c r="C177" s="58">
        <f>'CASE DATA'!D178</f>
        <v>0</v>
      </c>
      <c r="D177" s="59" t="str">
        <f>IF('CASE DATA'!I178="YES",SUM('CASE DATA'!J178:P178),"n/a")</f>
        <v>n/a</v>
      </c>
      <c r="E177" s="60" t="str">
        <f>IF(OR('CASE DATA'!G178="JUV", 'CASE DATA'!G178="JWV"), "YES", "NO")</f>
        <v>NO</v>
      </c>
      <c r="F177" s="60" t="str">
        <f t="array" ref="F177">IF(E177="YES",IF(SUM(COUNTIF('CASE DATA'!$G$4:$G$200, {"GTR","GPL","DEF","JUV"}))&gt;0, "YES","NO"),"N/A")</f>
        <v>N/A</v>
      </c>
      <c r="G177" s="60" t="str">
        <f>IF(E177="YES",IF(COUNTIF('CASE DATA'!$D$4:$D$200, "")-COUNTIF('CASE DATA'!$A$4:$A$200, "")&gt;0, "YES","NO"),"N/A")</f>
        <v>N/A</v>
      </c>
      <c r="H177" s="57" t="str">
        <f>_xlfn.IFS(E177="NO", "N/A", AND('BASIC INFO'!$B$3&gt;'BASIC INFO'!$B$6+6574.5, C177+730.5&lt;'BASIC INFO'!$B$3), "YES", 'BASIC INFO'!$B$3&lt;('BASIC INFO'!$B$6+6574.5), "NOT YET 18", C177+730.5&gt;'BASIC INFO'!$B$3, "NOT YET 2 YEARS")</f>
        <v>N/A</v>
      </c>
      <c r="I177" s="61" t="str">
        <f>IF(OR(AND(LEFT('CASE DATA'!F178,4)="321.",MID('CASE DATA'!A178,8,2)="SM"),MID('CASE DATA'!A178,8,2)="ST",MID('CASE DATA'!A178,8,2)="NT"),"TRAFFIC",IF(OR('CASE DATA'!G178="DISM", 'CASE DATA'!G178="ACQ", 'CASE DATA'!G178="NOTF", 'CASE DATA'!G178="WTHD", 'CASE DATA'!G178="TNSF"), "YES", "NO"))</f>
        <v>NO</v>
      </c>
      <c r="J177" s="62" t="str">
        <f>IF(I177="YES",'CASE DATA'!T178,"N/A")</f>
        <v>N/A</v>
      </c>
      <c r="K177" s="57" t="str">
        <f>IF(I177="YES",IF(C177+180&lt;'BASIC INFO'!$B$3, "YES", "NO"),"N/A")</f>
        <v>N/A</v>
      </c>
      <c r="L177" s="62" t="str">
        <f t="array" ref="L177">IF(I177="TRAFFIC","n/a",IF(OR('CASE DATA'!G178="GTR", 'CASE DATA'!G178="GPL"),IF(SUM(COUNTIF('CASE DATA'!W178:AH178, 'CODE SECTIONS'!$V$2:$V$218&amp;"*"))&gt;0,"felony","eligible"),"n/a"))</f>
        <v>n/a</v>
      </c>
      <c r="M177" s="62" t="str">
        <f t="array" ref="M177">IF(L177="eligible",IF(OR((SUM(COUNTIF('CASE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62" t="str">
        <f>IF(M177="eligible",IF(COUNTIF('CASE DATA'!$D$4:$D$200, "")-COUNTIF('CASE DATA'!$A$4:$A$200, "")&gt;0, "YES","NO"),"N/A")</f>
        <v>N/A</v>
      </c>
      <c r="O177" s="62" t="str">
        <f>IF(M177="eligible",BANKRUPTCY!C178+BANKRUPTCY!D178,"N/A")</f>
        <v>N/A</v>
      </c>
      <c r="P177" s="62" t="str">
        <f>IF(M177="eligible",SOL!C178+SOL!D178+SOL!E178,"N/A")</f>
        <v>N/A</v>
      </c>
      <c r="Q177" s="62" t="str">
        <f>IF(M177="eligible",SUM('CASE DATA'!J178:S178),"N/A")</f>
        <v>N/A</v>
      </c>
      <c r="R177" s="62" t="str">
        <f>IF(M177="eligible",IF(C177+2920&lt;'BASIC INFO'!$B$3, "YES", "NO"),"N/A")</f>
        <v>N/A</v>
      </c>
      <c r="S177" s="61" t="str">
        <f>IF(OR('CASE DATA'!G178="DEF"), "YES", "NO")</f>
        <v>NO</v>
      </c>
      <c r="T177" s="57" t="str">
        <f>IF(S177="YES",'CASE DATA'!I178,"N/A")</f>
        <v>N/A</v>
      </c>
      <c r="U177" s="62" t="str">
        <f>IF(S177="YES",BANKRUPTCY!C178+BANKRUPTCY!D178,"N/A")</f>
        <v>N/A</v>
      </c>
      <c r="V177" s="62" t="str">
        <f>IF(S177="YES",SUM('CASE DATA'!J178:S178),"N/A")</f>
        <v>N/A</v>
      </c>
      <c r="W177" s="57" t="str">
        <f>IF(OR('CASE DATA'!F178="123.46",'CASE DATA'!F178="123.47"),"YES","NO")</f>
        <v>NO</v>
      </c>
      <c r="X177" s="60" t="str">
        <f>IF(W177="YES",COUNTIFS(AD$3:$AD$200,"&gt;"&amp;('CASE DATA'!D178),$AD$3:$AD$200,"&lt;"&amp;('CASE DATA'!D178+730.5)),"n/a")</f>
        <v>n/a</v>
      </c>
      <c r="Y177" s="62" t="str">
        <f>IF(W177="YES",IF(C177+730.5&lt;'BASIC INFO'!$B$3, "YES","NO"), "N/A")</f>
        <v>N/A</v>
      </c>
      <c r="Z177" s="57" t="str">
        <f>IF('CASE DATA'!F178="725.1","YES","NO")</f>
        <v>NO</v>
      </c>
      <c r="AA177" s="57" t="str">
        <f>IF(Z177="YES",IF(C177+730.5&lt;'BASIC INFO'!$B$3, "YES","NO"), "N/A")</f>
        <v>N/A</v>
      </c>
      <c r="AB177" s="57" t="str">
        <f>IF('BASIC INFO'!$B$6+6574.5&gt;C177, "YES", "NO")</f>
        <v>YES</v>
      </c>
      <c r="AC177" s="57" t="str">
        <f>IF(Z177="YES",COUNTIFS(AD$3:$AD$200,"&gt;"&amp;('CASE DATA'!D178),$AD$3:$AD$200,"&lt;"&amp;('CASE DATA'!D178+730.5)),"n/a")</f>
        <v>n/a</v>
      </c>
    </row>
    <row r="178" spans="1:29" x14ac:dyDescent="0.25">
      <c r="A178" s="57" t="str">
        <f>IF('CASE DATA'!A179="","z",'CASE DATA'!A179)</f>
        <v>z</v>
      </c>
      <c r="B178" s="57" t="str">
        <f>IF('CASE DATA'!A179="","",'CASE DATA'!E179)</f>
        <v/>
      </c>
      <c r="C178" s="58">
        <f>'CASE DATA'!D179</f>
        <v>0</v>
      </c>
      <c r="D178" s="59" t="str">
        <f>IF('CASE DATA'!I179="YES",SUM('CASE DATA'!J179:P179),"n/a")</f>
        <v>n/a</v>
      </c>
      <c r="E178" s="60" t="str">
        <f>IF(OR('CASE DATA'!G179="JUV", 'CASE DATA'!G179="JWV"), "YES", "NO")</f>
        <v>NO</v>
      </c>
      <c r="F178" s="60" t="str">
        <f t="array" ref="F178">IF(E178="YES",IF(SUM(COUNTIF('CASE DATA'!$G$4:$G$200, {"GTR","GPL","DEF","JUV"}))&gt;0, "YES","NO"),"N/A")</f>
        <v>N/A</v>
      </c>
      <c r="G178" s="60" t="str">
        <f>IF(E178="YES",IF(COUNTIF('CASE DATA'!$D$4:$D$200, "")-COUNTIF('CASE DATA'!$A$4:$A$200, "")&gt;0, "YES","NO"),"N/A")</f>
        <v>N/A</v>
      </c>
      <c r="H178" s="57" t="str">
        <f>_xlfn.IFS(E178="NO", "N/A", AND('BASIC INFO'!$B$3&gt;'BASIC INFO'!$B$6+6574.5, C178+730.5&lt;'BASIC INFO'!$B$3), "YES", 'BASIC INFO'!$B$3&lt;('BASIC INFO'!$B$6+6574.5), "NOT YET 18", C178+730.5&gt;'BASIC INFO'!$B$3, "NOT YET 2 YEARS")</f>
        <v>N/A</v>
      </c>
      <c r="I178" s="61" t="str">
        <f>IF(OR(AND(LEFT('CASE DATA'!F179,4)="321.",MID('CASE DATA'!A179,8,2)="SM"),MID('CASE DATA'!A179,8,2)="ST",MID('CASE DATA'!A179,8,2)="NT"),"TRAFFIC",IF(OR('CASE DATA'!G179="DISM", 'CASE DATA'!G179="ACQ", 'CASE DATA'!G179="NOTF", 'CASE DATA'!G179="WTHD", 'CASE DATA'!G179="TNSF"), "YES", "NO"))</f>
        <v>NO</v>
      </c>
      <c r="J178" s="62" t="str">
        <f>IF(I178="YES",'CASE DATA'!T179,"N/A")</f>
        <v>N/A</v>
      </c>
      <c r="K178" s="57" t="str">
        <f>IF(I178="YES",IF(C178+180&lt;'BASIC INFO'!$B$3, "YES", "NO"),"N/A")</f>
        <v>N/A</v>
      </c>
      <c r="L178" s="62" t="str">
        <f t="array" ref="L178">IF(I178="TRAFFIC","n/a",IF(OR('CASE DATA'!G179="GTR", 'CASE DATA'!G179="GPL"),IF(SUM(COUNTIF('CASE DATA'!W179:AH179, 'CODE SECTIONS'!$V$2:$V$218&amp;"*"))&gt;0,"felony","eligible"),"n/a"))</f>
        <v>n/a</v>
      </c>
      <c r="M178" s="62" t="str">
        <f t="array" ref="M178">IF(L178="eligible",IF(OR((SUM(COUNTIF('CASE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62" t="str">
        <f>IF(M178="eligible",IF(COUNTIF('CASE DATA'!$D$4:$D$200, "")-COUNTIF('CASE DATA'!$A$4:$A$200, "")&gt;0, "YES","NO"),"N/A")</f>
        <v>N/A</v>
      </c>
      <c r="O178" s="62" t="str">
        <f>IF(M178="eligible",BANKRUPTCY!C179+BANKRUPTCY!D179,"N/A")</f>
        <v>N/A</v>
      </c>
      <c r="P178" s="62" t="str">
        <f>IF(M178="eligible",SOL!C179+SOL!D179+SOL!E179,"N/A")</f>
        <v>N/A</v>
      </c>
      <c r="Q178" s="62" t="str">
        <f>IF(M178="eligible",SUM('CASE DATA'!J179:S179),"N/A")</f>
        <v>N/A</v>
      </c>
      <c r="R178" s="62" t="str">
        <f>IF(M178="eligible",IF(C178+2920&lt;'BASIC INFO'!$B$3, "YES", "NO"),"N/A")</f>
        <v>N/A</v>
      </c>
      <c r="S178" s="61" t="str">
        <f>IF(OR('CASE DATA'!G179="DEF"), "YES", "NO")</f>
        <v>NO</v>
      </c>
      <c r="T178" s="57" t="str">
        <f>IF(S178="YES",'CASE DATA'!I179,"N/A")</f>
        <v>N/A</v>
      </c>
      <c r="U178" s="62" t="str">
        <f>IF(S178="YES",BANKRUPTCY!C179+BANKRUPTCY!D179,"N/A")</f>
        <v>N/A</v>
      </c>
      <c r="V178" s="62" t="str">
        <f>IF(S178="YES",SUM('CASE DATA'!J179:S179),"N/A")</f>
        <v>N/A</v>
      </c>
      <c r="W178" s="57" t="str">
        <f>IF(OR('CASE DATA'!F179="123.46",'CASE DATA'!F179="123.47"),"YES","NO")</f>
        <v>NO</v>
      </c>
      <c r="X178" s="60" t="str">
        <f>IF(W178="YES",COUNTIFS(AD$3:$AD$200,"&gt;"&amp;('CASE DATA'!D179),$AD$3:$AD$200,"&lt;"&amp;('CASE DATA'!D179+730.5)),"n/a")</f>
        <v>n/a</v>
      </c>
      <c r="Y178" s="62" t="str">
        <f>IF(W178="YES",IF(C178+730.5&lt;'BASIC INFO'!$B$3, "YES","NO"), "N/A")</f>
        <v>N/A</v>
      </c>
      <c r="Z178" s="57" t="str">
        <f>IF('CASE DATA'!F179="725.1","YES","NO")</f>
        <v>NO</v>
      </c>
      <c r="AA178" s="57" t="str">
        <f>IF(Z178="YES",IF(C178+730.5&lt;'BASIC INFO'!$B$3, "YES","NO"), "N/A")</f>
        <v>N/A</v>
      </c>
      <c r="AB178" s="57" t="str">
        <f>IF('BASIC INFO'!$B$6+6574.5&gt;C178, "YES", "NO")</f>
        <v>YES</v>
      </c>
      <c r="AC178" s="57" t="str">
        <f>IF(Z178="YES",COUNTIFS(AD$3:$AD$200,"&gt;"&amp;('CASE DATA'!D179),$AD$3:$AD$200,"&lt;"&amp;('CASE DATA'!D179+730.5)),"n/a")</f>
        <v>n/a</v>
      </c>
    </row>
    <row r="179" spans="1:29" x14ac:dyDescent="0.25">
      <c r="A179" s="57" t="str">
        <f>IF('CASE DATA'!A180="","z",'CASE DATA'!A180)</f>
        <v>z</v>
      </c>
      <c r="B179" s="57" t="str">
        <f>IF('CASE DATA'!A180="","",'CASE DATA'!E180)</f>
        <v/>
      </c>
      <c r="C179" s="58">
        <f>'CASE DATA'!D180</f>
        <v>0</v>
      </c>
      <c r="D179" s="59" t="str">
        <f>IF('CASE DATA'!I180="YES",SUM('CASE DATA'!J180:P180),"n/a")</f>
        <v>n/a</v>
      </c>
      <c r="E179" s="60" t="str">
        <f>IF(OR('CASE DATA'!G180="JUV", 'CASE DATA'!G180="JWV"), "YES", "NO")</f>
        <v>NO</v>
      </c>
      <c r="F179" s="60" t="str">
        <f t="array" ref="F179">IF(E179="YES",IF(SUM(COUNTIF('CASE DATA'!$G$4:$G$200, {"GTR","GPL","DEF","JUV"}))&gt;0, "YES","NO"),"N/A")</f>
        <v>N/A</v>
      </c>
      <c r="G179" s="60" t="str">
        <f>IF(E179="YES",IF(COUNTIF('CASE DATA'!$D$4:$D$200, "")-COUNTIF('CASE DATA'!$A$4:$A$200, "")&gt;0, "YES","NO"),"N/A")</f>
        <v>N/A</v>
      </c>
      <c r="H179" s="57" t="str">
        <f>_xlfn.IFS(E179="NO", "N/A", AND('BASIC INFO'!$B$3&gt;'BASIC INFO'!$B$6+6574.5, C179+730.5&lt;'BASIC INFO'!$B$3), "YES", 'BASIC INFO'!$B$3&lt;('BASIC INFO'!$B$6+6574.5), "NOT YET 18", C179+730.5&gt;'BASIC INFO'!$B$3, "NOT YET 2 YEARS")</f>
        <v>N/A</v>
      </c>
      <c r="I179" s="61" t="str">
        <f>IF(OR(AND(LEFT('CASE DATA'!F180,4)="321.",MID('CASE DATA'!A180,8,2)="SM"),MID('CASE DATA'!A180,8,2)="ST",MID('CASE DATA'!A180,8,2)="NT"),"TRAFFIC",IF(OR('CASE DATA'!G180="DISM", 'CASE DATA'!G180="ACQ", 'CASE DATA'!G180="NOTF", 'CASE DATA'!G180="WTHD", 'CASE DATA'!G180="TNSF"), "YES", "NO"))</f>
        <v>NO</v>
      </c>
      <c r="J179" s="62" t="str">
        <f>IF(I179="YES",'CASE DATA'!T180,"N/A")</f>
        <v>N/A</v>
      </c>
      <c r="K179" s="57" t="str">
        <f>IF(I179="YES",IF(C179+180&lt;'BASIC INFO'!$B$3, "YES", "NO"),"N/A")</f>
        <v>N/A</v>
      </c>
      <c r="L179" s="62" t="str">
        <f t="array" ref="L179">IF(I179="TRAFFIC","n/a",IF(OR('CASE DATA'!G180="GTR", 'CASE DATA'!G180="GPL"),IF(SUM(COUNTIF('CASE DATA'!W180:AH180, 'CODE SECTIONS'!$V$2:$V$218&amp;"*"))&gt;0,"felony","eligible"),"n/a"))</f>
        <v>n/a</v>
      </c>
      <c r="M179" s="62" t="str">
        <f t="array" ref="M179">IF(L179="eligible",IF(OR((SUM(COUNTIF('CASE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62" t="str">
        <f>IF(M179="eligible",IF(COUNTIF('CASE DATA'!$D$4:$D$200, "")-COUNTIF('CASE DATA'!$A$4:$A$200, "")&gt;0, "YES","NO"),"N/A")</f>
        <v>N/A</v>
      </c>
      <c r="O179" s="62" t="str">
        <f>IF(M179="eligible",BANKRUPTCY!C180+BANKRUPTCY!D180,"N/A")</f>
        <v>N/A</v>
      </c>
      <c r="P179" s="62" t="str">
        <f>IF(M179="eligible",SOL!C180+SOL!D180+SOL!E180,"N/A")</f>
        <v>N/A</v>
      </c>
      <c r="Q179" s="62" t="str">
        <f>IF(M179="eligible",SUM('CASE DATA'!J180:S180),"N/A")</f>
        <v>N/A</v>
      </c>
      <c r="R179" s="62" t="str">
        <f>IF(M179="eligible",IF(C179+2920&lt;'BASIC INFO'!$B$3, "YES", "NO"),"N/A")</f>
        <v>N/A</v>
      </c>
      <c r="S179" s="61" t="str">
        <f>IF(OR('CASE DATA'!G180="DEF"), "YES", "NO")</f>
        <v>NO</v>
      </c>
      <c r="T179" s="57" t="str">
        <f>IF(S179="YES",'CASE DATA'!I180,"N/A")</f>
        <v>N/A</v>
      </c>
      <c r="U179" s="62" t="str">
        <f>IF(S179="YES",BANKRUPTCY!C180+BANKRUPTCY!D180,"N/A")</f>
        <v>N/A</v>
      </c>
      <c r="V179" s="62" t="str">
        <f>IF(S179="YES",SUM('CASE DATA'!J180:S180),"N/A")</f>
        <v>N/A</v>
      </c>
      <c r="W179" s="57" t="str">
        <f>IF(OR('CASE DATA'!F180="123.46",'CASE DATA'!F180="123.47"),"YES","NO")</f>
        <v>NO</v>
      </c>
      <c r="X179" s="60" t="str">
        <f>IF(W179="YES",COUNTIFS(AD$3:$AD$200,"&gt;"&amp;('CASE DATA'!D180),$AD$3:$AD$200,"&lt;"&amp;('CASE DATA'!D180+730.5)),"n/a")</f>
        <v>n/a</v>
      </c>
      <c r="Y179" s="62" t="str">
        <f>IF(W179="YES",IF(C179+730.5&lt;'BASIC INFO'!$B$3, "YES","NO"), "N/A")</f>
        <v>N/A</v>
      </c>
      <c r="Z179" s="57" t="str">
        <f>IF('CASE DATA'!F180="725.1","YES","NO")</f>
        <v>NO</v>
      </c>
      <c r="AA179" s="57" t="str">
        <f>IF(Z179="YES",IF(C179+730.5&lt;'BASIC INFO'!$B$3, "YES","NO"), "N/A")</f>
        <v>N/A</v>
      </c>
      <c r="AB179" s="57" t="str">
        <f>IF('BASIC INFO'!$B$6+6574.5&gt;C179, "YES", "NO")</f>
        <v>YES</v>
      </c>
      <c r="AC179" s="57" t="str">
        <f>IF(Z179="YES",COUNTIFS(AD$3:$AD$200,"&gt;"&amp;('CASE DATA'!D180),$AD$3:$AD$200,"&lt;"&amp;('CASE DATA'!D180+730.5)),"n/a")</f>
        <v>n/a</v>
      </c>
    </row>
    <row r="180" spans="1:29" x14ac:dyDescent="0.25">
      <c r="A180" s="57" t="str">
        <f>IF('CASE DATA'!A181="","z",'CASE DATA'!A181)</f>
        <v>z</v>
      </c>
      <c r="B180" s="57" t="str">
        <f>IF('CASE DATA'!A181="","",'CASE DATA'!E181)</f>
        <v/>
      </c>
      <c r="C180" s="58">
        <f>'CASE DATA'!D181</f>
        <v>0</v>
      </c>
      <c r="D180" s="59" t="str">
        <f>IF('CASE DATA'!I181="YES",SUM('CASE DATA'!J181:P181),"n/a")</f>
        <v>n/a</v>
      </c>
      <c r="E180" s="60" t="str">
        <f>IF(OR('CASE DATA'!G181="JUV", 'CASE DATA'!G181="JWV"), "YES", "NO")</f>
        <v>NO</v>
      </c>
      <c r="F180" s="60" t="str">
        <f t="array" ref="F180">IF(E180="YES",IF(SUM(COUNTIF('CASE DATA'!$G$4:$G$200, {"GTR","GPL","DEF","JUV"}))&gt;0, "YES","NO"),"N/A")</f>
        <v>N/A</v>
      </c>
      <c r="G180" s="60" t="str">
        <f>IF(E180="YES",IF(COUNTIF('CASE DATA'!$D$4:$D$200, "")-COUNTIF('CASE DATA'!$A$4:$A$200, "")&gt;0, "YES","NO"),"N/A")</f>
        <v>N/A</v>
      </c>
      <c r="H180" s="57" t="str">
        <f>_xlfn.IFS(E180="NO", "N/A", AND('BASIC INFO'!$B$3&gt;'BASIC INFO'!$B$6+6574.5, C180+730.5&lt;'BASIC INFO'!$B$3), "YES", 'BASIC INFO'!$B$3&lt;('BASIC INFO'!$B$6+6574.5), "NOT YET 18", C180+730.5&gt;'BASIC INFO'!$B$3, "NOT YET 2 YEARS")</f>
        <v>N/A</v>
      </c>
      <c r="I180" s="61" t="str">
        <f>IF(OR(AND(LEFT('CASE DATA'!F181,4)="321.",MID('CASE DATA'!A181,8,2)="SM"),MID('CASE DATA'!A181,8,2)="ST",MID('CASE DATA'!A181,8,2)="NT"),"TRAFFIC",IF(OR('CASE DATA'!G181="DISM", 'CASE DATA'!G181="ACQ", 'CASE DATA'!G181="NOTF", 'CASE DATA'!G181="WTHD", 'CASE DATA'!G181="TNSF"), "YES", "NO"))</f>
        <v>NO</v>
      </c>
      <c r="J180" s="62" t="str">
        <f>IF(I180="YES",'CASE DATA'!T181,"N/A")</f>
        <v>N/A</v>
      </c>
      <c r="K180" s="57" t="str">
        <f>IF(I180="YES",IF(C180+180&lt;'BASIC INFO'!$B$3, "YES", "NO"),"N/A")</f>
        <v>N/A</v>
      </c>
      <c r="L180" s="62" t="str">
        <f t="array" ref="L180">IF(I180="TRAFFIC","n/a",IF(OR('CASE DATA'!G181="GTR", 'CASE DATA'!G181="GPL"),IF(SUM(COUNTIF('CASE DATA'!W181:AH181, 'CODE SECTIONS'!$V$2:$V$218&amp;"*"))&gt;0,"felony","eligible"),"n/a"))</f>
        <v>n/a</v>
      </c>
      <c r="M180" s="62" t="str">
        <f t="array" ref="M180">IF(L180="eligible",IF(OR((SUM(COUNTIF('CASE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62" t="str">
        <f>IF(M180="eligible",IF(COUNTIF('CASE DATA'!$D$4:$D$200, "")-COUNTIF('CASE DATA'!$A$4:$A$200, "")&gt;0, "YES","NO"),"N/A")</f>
        <v>N/A</v>
      </c>
      <c r="O180" s="62" t="str">
        <f>IF(M180="eligible",BANKRUPTCY!C181+BANKRUPTCY!D181,"N/A")</f>
        <v>N/A</v>
      </c>
      <c r="P180" s="62" t="str">
        <f>IF(M180="eligible",SOL!C181+SOL!D181+SOL!E181,"N/A")</f>
        <v>N/A</v>
      </c>
      <c r="Q180" s="62" t="str">
        <f>IF(M180="eligible",SUM('CASE DATA'!J181:S181),"N/A")</f>
        <v>N/A</v>
      </c>
      <c r="R180" s="62" t="str">
        <f>IF(M180="eligible",IF(C180+2920&lt;'BASIC INFO'!$B$3, "YES", "NO"),"N/A")</f>
        <v>N/A</v>
      </c>
      <c r="S180" s="61" t="str">
        <f>IF(OR('CASE DATA'!G181="DEF"), "YES", "NO")</f>
        <v>NO</v>
      </c>
      <c r="T180" s="57" t="str">
        <f>IF(S180="YES",'CASE DATA'!I181,"N/A")</f>
        <v>N/A</v>
      </c>
      <c r="U180" s="62" t="str">
        <f>IF(S180="YES",BANKRUPTCY!C181+BANKRUPTCY!D181,"N/A")</f>
        <v>N/A</v>
      </c>
      <c r="V180" s="62" t="str">
        <f>IF(S180="YES",SUM('CASE DATA'!J181:S181),"N/A")</f>
        <v>N/A</v>
      </c>
      <c r="W180" s="57" t="str">
        <f>IF(OR('CASE DATA'!F181="123.46",'CASE DATA'!F181="123.47"),"YES","NO")</f>
        <v>NO</v>
      </c>
      <c r="X180" s="60" t="str">
        <f>IF(W180="YES",COUNTIFS(AD$3:$AD$200,"&gt;"&amp;('CASE DATA'!D181),$AD$3:$AD$200,"&lt;"&amp;('CASE DATA'!D181+730.5)),"n/a")</f>
        <v>n/a</v>
      </c>
      <c r="Y180" s="62" t="str">
        <f>IF(W180="YES",IF(C180+730.5&lt;'BASIC INFO'!$B$3, "YES","NO"), "N/A")</f>
        <v>N/A</v>
      </c>
      <c r="Z180" s="57" t="str">
        <f>IF('CASE DATA'!F181="725.1","YES","NO")</f>
        <v>NO</v>
      </c>
      <c r="AA180" s="57" t="str">
        <f>IF(Z180="YES",IF(C180+730.5&lt;'BASIC INFO'!$B$3, "YES","NO"), "N/A")</f>
        <v>N/A</v>
      </c>
      <c r="AB180" s="57" t="str">
        <f>IF('BASIC INFO'!$B$6+6574.5&gt;C180, "YES", "NO")</f>
        <v>YES</v>
      </c>
      <c r="AC180" s="57" t="str">
        <f>IF(Z180="YES",COUNTIFS(AD$3:$AD$200,"&gt;"&amp;('CASE DATA'!D181),$AD$3:$AD$200,"&lt;"&amp;('CASE DATA'!D181+730.5)),"n/a")</f>
        <v>n/a</v>
      </c>
    </row>
    <row r="181" spans="1:29" x14ac:dyDescent="0.25">
      <c r="A181" s="57" t="str">
        <f>IF('CASE DATA'!A182="","z",'CASE DATA'!A182)</f>
        <v>z</v>
      </c>
      <c r="B181" s="57" t="str">
        <f>IF('CASE DATA'!A182="","",'CASE DATA'!E182)</f>
        <v/>
      </c>
      <c r="C181" s="58">
        <f>'CASE DATA'!D182</f>
        <v>0</v>
      </c>
      <c r="D181" s="59" t="str">
        <f>IF('CASE DATA'!I182="YES",SUM('CASE DATA'!J182:P182),"n/a")</f>
        <v>n/a</v>
      </c>
      <c r="E181" s="60" t="str">
        <f>IF(OR('CASE DATA'!G182="JUV", 'CASE DATA'!G182="JWV"), "YES", "NO")</f>
        <v>NO</v>
      </c>
      <c r="F181" s="60" t="str">
        <f t="array" ref="F181">IF(E181="YES",IF(SUM(COUNTIF('CASE DATA'!$G$4:$G$200, {"GTR","GPL","DEF","JUV"}))&gt;0, "YES","NO"),"N/A")</f>
        <v>N/A</v>
      </c>
      <c r="G181" s="60" t="str">
        <f>IF(E181="YES",IF(COUNTIF('CASE DATA'!$D$4:$D$200, "")-COUNTIF('CASE DATA'!$A$4:$A$200, "")&gt;0, "YES","NO"),"N/A")</f>
        <v>N/A</v>
      </c>
      <c r="H181" s="57" t="str">
        <f>_xlfn.IFS(E181="NO", "N/A", AND('BASIC INFO'!$B$3&gt;'BASIC INFO'!$B$6+6574.5, C181+730.5&lt;'BASIC INFO'!$B$3), "YES", 'BASIC INFO'!$B$3&lt;('BASIC INFO'!$B$6+6574.5), "NOT YET 18", C181+730.5&gt;'BASIC INFO'!$B$3, "NOT YET 2 YEARS")</f>
        <v>N/A</v>
      </c>
      <c r="I181" s="61" t="str">
        <f>IF(OR(AND(LEFT('CASE DATA'!F182,4)="321.",MID('CASE DATA'!A182,8,2)="SM"),MID('CASE DATA'!A182,8,2)="ST",MID('CASE DATA'!A182,8,2)="NT"),"TRAFFIC",IF(OR('CASE DATA'!G182="DISM", 'CASE DATA'!G182="ACQ", 'CASE DATA'!G182="NOTF", 'CASE DATA'!G182="WTHD", 'CASE DATA'!G182="TNSF"), "YES", "NO"))</f>
        <v>NO</v>
      </c>
      <c r="J181" s="62" t="str">
        <f>IF(I181="YES",'CASE DATA'!T182,"N/A")</f>
        <v>N/A</v>
      </c>
      <c r="K181" s="57" t="str">
        <f>IF(I181="YES",IF(C181+180&lt;'BASIC INFO'!$B$3, "YES", "NO"),"N/A")</f>
        <v>N/A</v>
      </c>
      <c r="L181" s="62" t="str">
        <f t="array" ref="L181">IF(I181="TRAFFIC","n/a",IF(OR('CASE DATA'!G182="GTR", 'CASE DATA'!G182="GPL"),IF(SUM(COUNTIF('CASE DATA'!W182:AH182, 'CODE SECTIONS'!$V$2:$V$218&amp;"*"))&gt;0,"felony","eligible"),"n/a"))</f>
        <v>n/a</v>
      </c>
      <c r="M181" s="62" t="str">
        <f t="array" ref="M181">IF(L181="eligible",IF(OR((SUM(COUNTIF('CASE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62" t="str">
        <f>IF(M181="eligible",IF(COUNTIF('CASE DATA'!$D$4:$D$200, "")-COUNTIF('CASE DATA'!$A$4:$A$200, "")&gt;0, "YES","NO"),"N/A")</f>
        <v>N/A</v>
      </c>
      <c r="O181" s="62" t="str">
        <f>IF(M181="eligible",BANKRUPTCY!C182+BANKRUPTCY!D182,"N/A")</f>
        <v>N/A</v>
      </c>
      <c r="P181" s="62" t="str">
        <f>IF(M181="eligible",SOL!C182+SOL!D182+SOL!E182,"N/A")</f>
        <v>N/A</v>
      </c>
      <c r="Q181" s="62" t="str">
        <f>IF(M181="eligible",SUM('CASE DATA'!J182:S182),"N/A")</f>
        <v>N/A</v>
      </c>
      <c r="R181" s="62" t="str">
        <f>IF(M181="eligible",IF(C181+2920&lt;'BASIC INFO'!$B$3, "YES", "NO"),"N/A")</f>
        <v>N/A</v>
      </c>
      <c r="S181" s="61" t="str">
        <f>IF(OR('CASE DATA'!G182="DEF"), "YES", "NO")</f>
        <v>NO</v>
      </c>
      <c r="T181" s="57" t="str">
        <f>IF(S181="YES",'CASE DATA'!I182,"N/A")</f>
        <v>N/A</v>
      </c>
      <c r="U181" s="62" t="str">
        <f>IF(S181="YES",BANKRUPTCY!C182+BANKRUPTCY!D182,"N/A")</f>
        <v>N/A</v>
      </c>
      <c r="V181" s="62" t="str">
        <f>IF(S181="YES",SUM('CASE DATA'!J182:S182),"N/A")</f>
        <v>N/A</v>
      </c>
      <c r="W181" s="57" t="str">
        <f>IF(OR('CASE DATA'!F182="123.46",'CASE DATA'!F182="123.47"),"YES","NO")</f>
        <v>NO</v>
      </c>
      <c r="X181" s="60" t="str">
        <f>IF(W181="YES",COUNTIFS(AD$3:$AD$200,"&gt;"&amp;('CASE DATA'!D182),$AD$3:$AD$200,"&lt;"&amp;('CASE DATA'!D182+730.5)),"n/a")</f>
        <v>n/a</v>
      </c>
      <c r="Y181" s="62" t="str">
        <f>IF(W181="YES",IF(C181+730.5&lt;'BASIC INFO'!$B$3, "YES","NO"), "N/A")</f>
        <v>N/A</v>
      </c>
      <c r="Z181" s="57" t="str">
        <f>IF('CASE DATA'!F182="725.1","YES","NO")</f>
        <v>NO</v>
      </c>
      <c r="AA181" s="57" t="str">
        <f>IF(Z181="YES",IF(C181+730.5&lt;'BASIC INFO'!$B$3, "YES","NO"), "N/A")</f>
        <v>N/A</v>
      </c>
      <c r="AB181" s="57" t="str">
        <f>IF('BASIC INFO'!$B$6+6574.5&gt;C181, "YES", "NO")</f>
        <v>YES</v>
      </c>
      <c r="AC181" s="57" t="str">
        <f>IF(Z181="YES",COUNTIFS(AD$3:$AD$200,"&gt;"&amp;('CASE DATA'!D182),$AD$3:$AD$200,"&lt;"&amp;('CASE DATA'!D182+730.5)),"n/a")</f>
        <v>n/a</v>
      </c>
    </row>
    <row r="182" spans="1:29" x14ac:dyDescent="0.25">
      <c r="A182" s="57" t="str">
        <f>IF('CASE DATA'!A183="","z",'CASE DATA'!A183)</f>
        <v>z</v>
      </c>
      <c r="B182" s="57" t="str">
        <f>IF('CASE DATA'!A183="","",'CASE DATA'!E183)</f>
        <v/>
      </c>
      <c r="C182" s="58">
        <f>'CASE DATA'!D183</f>
        <v>0</v>
      </c>
      <c r="D182" s="59" t="str">
        <f>IF('CASE DATA'!I183="YES",SUM('CASE DATA'!J183:P183),"n/a")</f>
        <v>n/a</v>
      </c>
      <c r="E182" s="60" t="str">
        <f>IF(OR('CASE DATA'!G183="JUV", 'CASE DATA'!G183="JWV"), "YES", "NO")</f>
        <v>NO</v>
      </c>
      <c r="F182" s="60" t="str">
        <f t="array" ref="F182">IF(E182="YES",IF(SUM(COUNTIF('CASE DATA'!$G$4:$G$200, {"GTR","GPL","DEF","JUV"}))&gt;0, "YES","NO"),"N/A")</f>
        <v>N/A</v>
      </c>
      <c r="G182" s="60" t="str">
        <f>IF(E182="YES",IF(COUNTIF('CASE DATA'!$D$4:$D$200, "")-COUNTIF('CASE DATA'!$A$4:$A$200, "")&gt;0, "YES","NO"),"N/A")</f>
        <v>N/A</v>
      </c>
      <c r="H182" s="57" t="str">
        <f>_xlfn.IFS(E182="NO", "N/A", AND('BASIC INFO'!$B$3&gt;'BASIC INFO'!$B$6+6574.5, C182+730.5&lt;'BASIC INFO'!$B$3), "YES", 'BASIC INFO'!$B$3&lt;('BASIC INFO'!$B$6+6574.5), "NOT YET 18", C182+730.5&gt;'BASIC INFO'!$B$3, "NOT YET 2 YEARS")</f>
        <v>N/A</v>
      </c>
      <c r="I182" s="61" t="str">
        <f>IF(OR(AND(LEFT('CASE DATA'!F183,4)="321.",MID('CASE DATA'!A183,8,2)="SM"),MID('CASE DATA'!A183,8,2)="ST",MID('CASE DATA'!A183,8,2)="NT"),"TRAFFIC",IF(OR('CASE DATA'!G183="DISM", 'CASE DATA'!G183="ACQ", 'CASE DATA'!G183="NOTF", 'CASE DATA'!G183="WTHD", 'CASE DATA'!G183="TNSF"), "YES", "NO"))</f>
        <v>NO</v>
      </c>
      <c r="J182" s="62" t="str">
        <f>IF(I182="YES",'CASE DATA'!T183,"N/A")</f>
        <v>N/A</v>
      </c>
      <c r="K182" s="57" t="str">
        <f>IF(I182="YES",IF(C182+180&lt;'BASIC INFO'!$B$3, "YES", "NO"),"N/A")</f>
        <v>N/A</v>
      </c>
      <c r="L182" s="62" t="str">
        <f t="array" ref="L182">IF(I182="TRAFFIC","n/a",IF(OR('CASE DATA'!G183="GTR", 'CASE DATA'!G183="GPL"),IF(SUM(COUNTIF('CASE DATA'!W183:AH183, 'CODE SECTIONS'!$V$2:$V$218&amp;"*"))&gt;0,"felony","eligible"),"n/a"))</f>
        <v>n/a</v>
      </c>
      <c r="M182" s="62" t="str">
        <f t="array" ref="M182">IF(L182="eligible",IF(OR((SUM(COUNTIF('CASE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62" t="str">
        <f>IF(M182="eligible",IF(COUNTIF('CASE DATA'!$D$4:$D$200, "")-COUNTIF('CASE DATA'!$A$4:$A$200, "")&gt;0, "YES","NO"),"N/A")</f>
        <v>N/A</v>
      </c>
      <c r="O182" s="62" t="str">
        <f>IF(M182="eligible",BANKRUPTCY!C183+BANKRUPTCY!D183,"N/A")</f>
        <v>N/A</v>
      </c>
      <c r="P182" s="62" t="str">
        <f>IF(M182="eligible",SOL!C183+SOL!D183+SOL!E183,"N/A")</f>
        <v>N/A</v>
      </c>
      <c r="Q182" s="62" t="str">
        <f>IF(M182="eligible",SUM('CASE DATA'!J183:S183),"N/A")</f>
        <v>N/A</v>
      </c>
      <c r="R182" s="62" t="str">
        <f>IF(M182="eligible",IF(C182+2920&lt;'BASIC INFO'!$B$3, "YES", "NO"),"N/A")</f>
        <v>N/A</v>
      </c>
      <c r="S182" s="61" t="str">
        <f>IF(OR('CASE DATA'!G183="DEF"), "YES", "NO")</f>
        <v>NO</v>
      </c>
      <c r="T182" s="57" t="str">
        <f>IF(S182="YES",'CASE DATA'!I183,"N/A")</f>
        <v>N/A</v>
      </c>
      <c r="U182" s="62" t="str">
        <f>IF(S182="YES",BANKRUPTCY!C183+BANKRUPTCY!D183,"N/A")</f>
        <v>N/A</v>
      </c>
      <c r="V182" s="62" t="str">
        <f>IF(S182="YES",SUM('CASE DATA'!J183:S183),"N/A")</f>
        <v>N/A</v>
      </c>
      <c r="W182" s="57" t="str">
        <f>IF(OR('CASE DATA'!F183="123.46",'CASE DATA'!F183="123.47"),"YES","NO")</f>
        <v>NO</v>
      </c>
      <c r="X182" s="60" t="str">
        <f>IF(W182="YES",COUNTIFS(AD$3:$AD$200,"&gt;"&amp;('CASE DATA'!D183),$AD$3:$AD$200,"&lt;"&amp;('CASE DATA'!D183+730.5)),"n/a")</f>
        <v>n/a</v>
      </c>
      <c r="Y182" s="62" t="str">
        <f>IF(W182="YES",IF(C182+730.5&lt;'BASIC INFO'!$B$3, "YES","NO"), "N/A")</f>
        <v>N/A</v>
      </c>
      <c r="Z182" s="57" t="str">
        <f>IF('CASE DATA'!F183="725.1","YES","NO")</f>
        <v>NO</v>
      </c>
      <c r="AA182" s="57" t="str">
        <f>IF(Z182="YES",IF(C182+730.5&lt;'BASIC INFO'!$B$3, "YES","NO"), "N/A")</f>
        <v>N/A</v>
      </c>
      <c r="AB182" s="57" t="str">
        <f>IF('BASIC INFO'!$B$6+6574.5&gt;C182, "YES", "NO")</f>
        <v>YES</v>
      </c>
      <c r="AC182" s="57" t="str">
        <f>IF(Z182="YES",COUNTIFS(AD$3:$AD$200,"&gt;"&amp;('CASE DATA'!D183),$AD$3:$AD$200,"&lt;"&amp;('CASE DATA'!D183+730.5)),"n/a")</f>
        <v>n/a</v>
      </c>
    </row>
    <row r="183" spans="1:29" x14ac:dyDescent="0.25">
      <c r="A183" s="57" t="str">
        <f>IF('CASE DATA'!A184="","z",'CASE DATA'!A184)</f>
        <v>z</v>
      </c>
      <c r="B183" s="57" t="str">
        <f>IF('CASE DATA'!A184="","",'CASE DATA'!E184)</f>
        <v/>
      </c>
      <c r="C183" s="58">
        <f>'CASE DATA'!D184</f>
        <v>0</v>
      </c>
      <c r="D183" s="59" t="str">
        <f>IF('CASE DATA'!I184="YES",SUM('CASE DATA'!J184:P184),"n/a")</f>
        <v>n/a</v>
      </c>
      <c r="E183" s="60" t="str">
        <f>IF(OR('CASE DATA'!G184="JUV", 'CASE DATA'!G184="JWV"), "YES", "NO")</f>
        <v>NO</v>
      </c>
      <c r="F183" s="60" t="str">
        <f t="array" ref="F183">IF(E183="YES",IF(SUM(COUNTIF('CASE DATA'!$G$4:$G$200, {"GTR","GPL","DEF","JUV"}))&gt;0, "YES","NO"),"N/A")</f>
        <v>N/A</v>
      </c>
      <c r="G183" s="60" t="str">
        <f>IF(E183="YES",IF(COUNTIF('CASE DATA'!$D$4:$D$200, "")-COUNTIF('CASE DATA'!$A$4:$A$200, "")&gt;0, "YES","NO"),"N/A")</f>
        <v>N/A</v>
      </c>
      <c r="H183" s="57" t="str">
        <f>_xlfn.IFS(E183="NO", "N/A", AND('BASIC INFO'!$B$3&gt;'BASIC INFO'!$B$6+6574.5, C183+730.5&lt;'BASIC INFO'!$B$3), "YES", 'BASIC INFO'!$B$3&lt;('BASIC INFO'!$B$6+6574.5), "NOT YET 18", C183+730.5&gt;'BASIC INFO'!$B$3, "NOT YET 2 YEARS")</f>
        <v>N/A</v>
      </c>
      <c r="I183" s="61" t="str">
        <f>IF(OR(AND(LEFT('CASE DATA'!F184,4)="321.",MID('CASE DATA'!A184,8,2)="SM"),MID('CASE DATA'!A184,8,2)="ST",MID('CASE DATA'!A184,8,2)="NT"),"TRAFFIC",IF(OR('CASE DATA'!G184="DISM", 'CASE DATA'!G184="ACQ", 'CASE DATA'!G184="NOTF", 'CASE DATA'!G184="WTHD", 'CASE DATA'!G184="TNSF"), "YES", "NO"))</f>
        <v>NO</v>
      </c>
      <c r="J183" s="62" t="str">
        <f>IF(I183="YES",'CASE DATA'!T184,"N/A")</f>
        <v>N/A</v>
      </c>
      <c r="K183" s="57" t="str">
        <f>IF(I183="YES",IF(C183+180&lt;'BASIC INFO'!$B$3, "YES", "NO"),"N/A")</f>
        <v>N/A</v>
      </c>
      <c r="L183" s="62" t="str">
        <f t="array" ref="L183">IF(I183="TRAFFIC","n/a",IF(OR('CASE DATA'!G184="GTR", 'CASE DATA'!G184="GPL"),IF(SUM(COUNTIF('CASE DATA'!W184:AH184, 'CODE SECTIONS'!$V$2:$V$218&amp;"*"))&gt;0,"felony","eligible"),"n/a"))</f>
        <v>n/a</v>
      </c>
      <c r="M183" s="62" t="str">
        <f t="array" ref="M183">IF(L183="eligible",IF(OR((SUM(COUNTIF('CASE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62" t="str">
        <f>IF(M183="eligible",IF(COUNTIF('CASE DATA'!$D$4:$D$200, "")-COUNTIF('CASE DATA'!$A$4:$A$200, "")&gt;0, "YES","NO"),"N/A")</f>
        <v>N/A</v>
      </c>
      <c r="O183" s="62" t="str">
        <f>IF(M183="eligible",BANKRUPTCY!C184+BANKRUPTCY!D184,"N/A")</f>
        <v>N/A</v>
      </c>
      <c r="P183" s="62" t="str">
        <f>IF(M183="eligible",SOL!C184+SOL!D184+SOL!E184,"N/A")</f>
        <v>N/A</v>
      </c>
      <c r="Q183" s="62" t="str">
        <f>IF(M183="eligible",SUM('CASE DATA'!J184:S184),"N/A")</f>
        <v>N/A</v>
      </c>
      <c r="R183" s="62" t="str">
        <f>IF(M183="eligible",IF(C183+2920&lt;'BASIC INFO'!$B$3, "YES", "NO"),"N/A")</f>
        <v>N/A</v>
      </c>
      <c r="S183" s="61" t="str">
        <f>IF(OR('CASE DATA'!G184="DEF"), "YES", "NO")</f>
        <v>NO</v>
      </c>
      <c r="T183" s="57" t="str">
        <f>IF(S183="YES",'CASE DATA'!I184,"N/A")</f>
        <v>N/A</v>
      </c>
      <c r="U183" s="62" t="str">
        <f>IF(S183="YES",BANKRUPTCY!C184+BANKRUPTCY!D184,"N/A")</f>
        <v>N/A</v>
      </c>
      <c r="V183" s="62" t="str">
        <f>IF(S183="YES",SUM('CASE DATA'!J184:S184),"N/A")</f>
        <v>N/A</v>
      </c>
      <c r="W183" s="57" t="str">
        <f>IF(OR('CASE DATA'!F184="123.46",'CASE DATA'!F184="123.47"),"YES","NO")</f>
        <v>NO</v>
      </c>
      <c r="X183" s="60" t="str">
        <f>IF(W183="YES",COUNTIFS(AD$3:$AD$200,"&gt;"&amp;('CASE DATA'!D184),$AD$3:$AD$200,"&lt;"&amp;('CASE DATA'!D184+730.5)),"n/a")</f>
        <v>n/a</v>
      </c>
      <c r="Y183" s="62" t="str">
        <f>IF(W183="YES",IF(C183+730.5&lt;'BASIC INFO'!$B$3, "YES","NO"), "N/A")</f>
        <v>N/A</v>
      </c>
      <c r="Z183" s="57" t="str">
        <f>IF('CASE DATA'!F184="725.1","YES","NO")</f>
        <v>NO</v>
      </c>
      <c r="AA183" s="57" t="str">
        <f>IF(Z183="YES",IF(C183+730.5&lt;'BASIC INFO'!$B$3, "YES","NO"), "N/A")</f>
        <v>N/A</v>
      </c>
      <c r="AB183" s="57" t="str">
        <f>IF('BASIC INFO'!$B$6+6574.5&gt;C183, "YES", "NO")</f>
        <v>YES</v>
      </c>
      <c r="AC183" s="57" t="str">
        <f>IF(Z183="YES",COUNTIFS(AD$3:$AD$200,"&gt;"&amp;('CASE DATA'!D184),$AD$3:$AD$200,"&lt;"&amp;('CASE DATA'!D184+730.5)),"n/a")</f>
        <v>n/a</v>
      </c>
    </row>
    <row r="184" spans="1:29" x14ac:dyDescent="0.25">
      <c r="A184" s="57" t="str">
        <f>IF('CASE DATA'!A185="","z",'CASE DATA'!A185)</f>
        <v>z</v>
      </c>
      <c r="B184" s="57" t="str">
        <f>IF('CASE DATA'!A185="","",'CASE DATA'!E185)</f>
        <v/>
      </c>
      <c r="C184" s="58">
        <f>'CASE DATA'!D185</f>
        <v>0</v>
      </c>
      <c r="D184" s="59" t="str">
        <f>IF('CASE DATA'!I185="YES",SUM('CASE DATA'!J185:P185),"n/a")</f>
        <v>n/a</v>
      </c>
      <c r="E184" s="60" t="str">
        <f>IF(OR('CASE DATA'!G185="JUV", 'CASE DATA'!G185="JWV"), "YES", "NO")</f>
        <v>NO</v>
      </c>
      <c r="F184" s="60" t="str">
        <f t="array" ref="F184">IF(E184="YES",IF(SUM(COUNTIF('CASE DATA'!$G$4:$G$200, {"GTR","GPL","DEF","JUV"}))&gt;0, "YES","NO"),"N/A")</f>
        <v>N/A</v>
      </c>
      <c r="G184" s="60" t="str">
        <f>IF(E184="YES",IF(COUNTIF('CASE DATA'!$D$4:$D$200, "")-COUNTIF('CASE DATA'!$A$4:$A$200, "")&gt;0, "YES","NO"),"N/A")</f>
        <v>N/A</v>
      </c>
      <c r="H184" s="57" t="str">
        <f>_xlfn.IFS(E184="NO", "N/A", AND('BASIC INFO'!$B$3&gt;'BASIC INFO'!$B$6+6574.5, C184+730.5&lt;'BASIC INFO'!$B$3), "YES", 'BASIC INFO'!$B$3&lt;('BASIC INFO'!$B$6+6574.5), "NOT YET 18", C184+730.5&gt;'BASIC INFO'!$B$3, "NOT YET 2 YEARS")</f>
        <v>N/A</v>
      </c>
      <c r="I184" s="61" t="str">
        <f>IF(OR(AND(LEFT('CASE DATA'!F185,4)="321.",MID('CASE DATA'!A185,8,2)="SM"),MID('CASE DATA'!A185,8,2)="ST",MID('CASE DATA'!A185,8,2)="NT"),"TRAFFIC",IF(OR('CASE DATA'!G185="DISM", 'CASE DATA'!G185="ACQ", 'CASE DATA'!G185="NOTF", 'CASE DATA'!G185="WTHD", 'CASE DATA'!G185="TNSF"), "YES", "NO"))</f>
        <v>NO</v>
      </c>
      <c r="J184" s="62" t="str">
        <f>IF(I184="YES",'CASE DATA'!T185,"N/A")</f>
        <v>N/A</v>
      </c>
      <c r="K184" s="57" t="str">
        <f>IF(I184="YES",IF(C184+180&lt;'BASIC INFO'!$B$3, "YES", "NO"),"N/A")</f>
        <v>N/A</v>
      </c>
      <c r="L184" s="62" t="str">
        <f t="array" ref="L184">IF(I184="TRAFFIC","n/a",IF(OR('CASE DATA'!G185="GTR", 'CASE DATA'!G185="GPL"),IF(SUM(COUNTIF('CASE DATA'!W185:AH185, 'CODE SECTIONS'!$V$2:$V$218&amp;"*"))&gt;0,"felony","eligible"),"n/a"))</f>
        <v>n/a</v>
      </c>
      <c r="M184" s="62" t="str">
        <f t="array" ref="M184">IF(L184="eligible",IF(OR((SUM(COUNTIF('CASE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62" t="str">
        <f>IF(M184="eligible",IF(COUNTIF('CASE DATA'!$D$4:$D$200, "")-COUNTIF('CASE DATA'!$A$4:$A$200, "")&gt;0, "YES","NO"),"N/A")</f>
        <v>N/A</v>
      </c>
      <c r="O184" s="62" t="str">
        <f>IF(M184="eligible",BANKRUPTCY!C185+BANKRUPTCY!D185,"N/A")</f>
        <v>N/A</v>
      </c>
      <c r="P184" s="62" t="str">
        <f>IF(M184="eligible",SOL!C185+SOL!D185+SOL!E185,"N/A")</f>
        <v>N/A</v>
      </c>
      <c r="Q184" s="62" t="str">
        <f>IF(M184="eligible",SUM('CASE DATA'!J185:S185),"N/A")</f>
        <v>N/A</v>
      </c>
      <c r="R184" s="62" t="str">
        <f>IF(M184="eligible",IF(C184+2920&lt;'BASIC INFO'!$B$3, "YES", "NO"),"N/A")</f>
        <v>N/A</v>
      </c>
      <c r="S184" s="61" t="str">
        <f>IF(OR('CASE DATA'!G185="DEF"), "YES", "NO")</f>
        <v>NO</v>
      </c>
      <c r="T184" s="57" t="str">
        <f>IF(S184="YES",'CASE DATA'!I185,"N/A")</f>
        <v>N/A</v>
      </c>
      <c r="U184" s="62" t="str">
        <f>IF(S184="YES",BANKRUPTCY!C185+BANKRUPTCY!D185,"N/A")</f>
        <v>N/A</v>
      </c>
      <c r="V184" s="62" t="str">
        <f>IF(S184="YES",SUM('CASE DATA'!J185:S185),"N/A")</f>
        <v>N/A</v>
      </c>
      <c r="W184" s="57" t="str">
        <f>IF(OR('CASE DATA'!F185="123.46",'CASE DATA'!F185="123.47"),"YES","NO")</f>
        <v>NO</v>
      </c>
      <c r="X184" s="60" t="str">
        <f>IF(W184="YES",COUNTIFS(AD$3:$AD$200,"&gt;"&amp;('CASE DATA'!D185),$AD$3:$AD$200,"&lt;"&amp;('CASE DATA'!D185+730.5)),"n/a")</f>
        <v>n/a</v>
      </c>
      <c r="Y184" s="62" t="str">
        <f>IF(W184="YES",IF(C184+730.5&lt;'BASIC INFO'!$B$3, "YES","NO"), "N/A")</f>
        <v>N/A</v>
      </c>
      <c r="Z184" s="57" t="str">
        <f>IF('CASE DATA'!F185="725.1","YES","NO")</f>
        <v>NO</v>
      </c>
      <c r="AA184" s="57" t="str">
        <f>IF(Z184="YES",IF(C184+730.5&lt;'BASIC INFO'!$B$3, "YES","NO"), "N/A")</f>
        <v>N/A</v>
      </c>
      <c r="AB184" s="57" t="str">
        <f>IF('BASIC INFO'!$B$6+6574.5&gt;C184, "YES", "NO")</f>
        <v>YES</v>
      </c>
      <c r="AC184" s="57" t="str">
        <f>IF(Z184="YES",COUNTIFS(AD$3:$AD$200,"&gt;"&amp;('CASE DATA'!D185),$AD$3:$AD$200,"&lt;"&amp;('CASE DATA'!D185+730.5)),"n/a")</f>
        <v>n/a</v>
      </c>
    </row>
    <row r="185" spans="1:29" x14ac:dyDescent="0.25">
      <c r="A185" s="57" t="str">
        <f>IF('CASE DATA'!A186="","z",'CASE DATA'!A186)</f>
        <v>z</v>
      </c>
      <c r="B185" s="57" t="str">
        <f>IF('CASE DATA'!A186="","",'CASE DATA'!E186)</f>
        <v/>
      </c>
      <c r="C185" s="58">
        <f>'CASE DATA'!D186</f>
        <v>0</v>
      </c>
      <c r="D185" s="59" t="str">
        <f>IF('CASE DATA'!I186="YES",SUM('CASE DATA'!J186:P186),"n/a")</f>
        <v>n/a</v>
      </c>
      <c r="E185" s="60" t="str">
        <f>IF(OR('CASE DATA'!G186="JUV", 'CASE DATA'!G186="JWV"), "YES", "NO")</f>
        <v>NO</v>
      </c>
      <c r="F185" s="60" t="str">
        <f t="array" ref="F185">IF(E185="YES",IF(SUM(COUNTIF('CASE DATA'!$G$4:$G$200, {"GTR","GPL","DEF","JUV"}))&gt;0, "YES","NO"),"N/A")</f>
        <v>N/A</v>
      </c>
      <c r="G185" s="60" t="str">
        <f>IF(E185="YES",IF(COUNTIF('CASE DATA'!$D$4:$D$200, "")-COUNTIF('CASE DATA'!$A$4:$A$200, "")&gt;0, "YES","NO"),"N/A")</f>
        <v>N/A</v>
      </c>
      <c r="H185" s="57" t="str">
        <f>_xlfn.IFS(E185="NO", "N/A", AND('BASIC INFO'!$B$3&gt;'BASIC INFO'!$B$6+6574.5, C185+730.5&lt;'BASIC INFO'!$B$3), "YES", 'BASIC INFO'!$B$3&lt;('BASIC INFO'!$B$6+6574.5), "NOT YET 18", C185+730.5&gt;'BASIC INFO'!$B$3, "NOT YET 2 YEARS")</f>
        <v>N/A</v>
      </c>
      <c r="I185" s="61" t="str">
        <f>IF(OR(AND(LEFT('CASE DATA'!F186,4)="321.",MID('CASE DATA'!A186,8,2)="SM"),MID('CASE DATA'!A186,8,2)="ST",MID('CASE DATA'!A186,8,2)="NT"),"TRAFFIC",IF(OR('CASE DATA'!G186="DISM", 'CASE DATA'!G186="ACQ", 'CASE DATA'!G186="NOTF", 'CASE DATA'!G186="WTHD", 'CASE DATA'!G186="TNSF"), "YES", "NO"))</f>
        <v>NO</v>
      </c>
      <c r="J185" s="62" t="str">
        <f>IF(I185="YES",'CASE DATA'!T186,"N/A")</f>
        <v>N/A</v>
      </c>
      <c r="K185" s="57" t="str">
        <f>IF(I185="YES",IF(C185+180&lt;'BASIC INFO'!$B$3, "YES", "NO"),"N/A")</f>
        <v>N/A</v>
      </c>
      <c r="L185" s="62" t="str">
        <f t="array" ref="L185">IF(I185="TRAFFIC","n/a",IF(OR('CASE DATA'!G186="GTR", 'CASE DATA'!G186="GPL"),IF(SUM(COUNTIF('CASE DATA'!W186:AH186, 'CODE SECTIONS'!$V$2:$V$218&amp;"*"))&gt;0,"felony","eligible"),"n/a"))</f>
        <v>n/a</v>
      </c>
      <c r="M185" s="62" t="str">
        <f t="array" ref="M185">IF(L185="eligible",IF(OR((SUM(COUNTIF('CASE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62" t="str">
        <f>IF(M185="eligible",IF(COUNTIF('CASE DATA'!$D$4:$D$200, "")-COUNTIF('CASE DATA'!$A$4:$A$200, "")&gt;0, "YES","NO"),"N/A")</f>
        <v>N/A</v>
      </c>
      <c r="O185" s="62" t="str">
        <f>IF(M185="eligible",BANKRUPTCY!C186+BANKRUPTCY!D186,"N/A")</f>
        <v>N/A</v>
      </c>
      <c r="P185" s="62" t="str">
        <f>IF(M185="eligible",SOL!C186+SOL!D186+SOL!E186,"N/A")</f>
        <v>N/A</v>
      </c>
      <c r="Q185" s="62" t="str">
        <f>IF(M185="eligible",SUM('CASE DATA'!J186:S186),"N/A")</f>
        <v>N/A</v>
      </c>
      <c r="R185" s="62" t="str">
        <f>IF(M185="eligible",IF(C185+2920&lt;'BASIC INFO'!$B$3, "YES", "NO"),"N/A")</f>
        <v>N/A</v>
      </c>
      <c r="S185" s="61" t="str">
        <f>IF(OR('CASE DATA'!G186="DEF"), "YES", "NO")</f>
        <v>NO</v>
      </c>
      <c r="T185" s="57" t="str">
        <f>IF(S185="YES",'CASE DATA'!I186,"N/A")</f>
        <v>N/A</v>
      </c>
      <c r="U185" s="62" t="str">
        <f>IF(S185="YES",BANKRUPTCY!C186+BANKRUPTCY!D186,"N/A")</f>
        <v>N/A</v>
      </c>
      <c r="V185" s="62" t="str">
        <f>IF(S185="YES",SUM('CASE DATA'!J186:S186),"N/A")</f>
        <v>N/A</v>
      </c>
      <c r="W185" s="57" t="str">
        <f>IF(OR('CASE DATA'!F186="123.46",'CASE DATA'!F186="123.47"),"YES","NO")</f>
        <v>NO</v>
      </c>
      <c r="X185" s="60" t="str">
        <f>IF(W185="YES",COUNTIFS(AD$3:$AD$200,"&gt;"&amp;('CASE DATA'!D186),$AD$3:$AD$200,"&lt;"&amp;('CASE DATA'!D186+730.5)),"n/a")</f>
        <v>n/a</v>
      </c>
      <c r="Y185" s="62" t="str">
        <f>IF(W185="YES",IF(C185+730.5&lt;'BASIC INFO'!$B$3, "YES","NO"), "N/A")</f>
        <v>N/A</v>
      </c>
      <c r="Z185" s="57" t="str">
        <f>IF('CASE DATA'!F186="725.1","YES","NO")</f>
        <v>NO</v>
      </c>
      <c r="AA185" s="57" t="str">
        <f>IF(Z185="YES",IF(C185+730.5&lt;'BASIC INFO'!$B$3, "YES","NO"), "N/A")</f>
        <v>N/A</v>
      </c>
      <c r="AB185" s="57" t="str">
        <f>IF('BASIC INFO'!$B$6+6574.5&gt;C185, "YES", "NO")</f>
        <v>YES</v>
      </c>
      <c r="AC185" s="57" t="str">
        <f>IF(Z185="YES",COUNTIFS(AD$3:$AD$200,"&gt;"&amp;('CASE DATA'!D186),$AD$3:$AD$200,"&lt;"&amp;('CASE DATA'!D186+730.5)),"n/a")</f>
        <v>n/a</v>
      </c>
    </row>
    <row r="186" spans="1:29" x14ac:dyDescent="0.25">
      <c r="A186" s="57" t="str">
        <f>IF('CASE DATA'!A187="","z",'CASE DATA'!A187)</f>
        <v>z</v>
      </c>
      <c r="B186" s="57" t="str">
        <f>IF('CASE DATA'!A187="","",'CASE DATA'!E187)</f>
        <v/>
      </c>
      <c r="C186" s="58">
        <f>'CASE DATA'!D187</f>
        <v>0</v>
      </c>
      <c r="D186" s="59" t="str">
        <f>IF('CASE DATA'!I187="YES",SUM('CASE DATA'!J187:P187),"n/a")</f>
        <v>n/a</v>
      </c>
      <c r="E186" s="60" t="str">
        <f>IF(OR('CASE DATA'!G187="JUV", 'CASE DATA'!G187="JWV"), "YES", "NO")</f>
        <v>NO</v>
      </c>
      <c r="F186" s="60" t="str">
        <f t="array" ref="F186">IF(E186="YES",IF(SUM(COUNTIF('CASE DATA'!$G$4:$G$200, {"GTR","GPL","DEF","JUV"}))&gt;0, "YES","NO"),"N/A")</f>
        <v>N/A</v>
      </c>
      <c r="G186" s="60" t="str">
        <f>IF(E186="YES",IF(COUNTIF('CASE DATA'!$D$4:$D$200, "")-COUNTIF('CASE DATA'!$A$4:$A$200, "")&gt;0, "YES","NO"),"N/A")</f>
        <v>N/A</v>
      </c>
      <c r="H186" s="57" t="str">
        <f>_xlfn.IFS(E186="NO", "N/A", AND('BASIC INFO'!$B$3&gt;'BASIC INFO'!$B$6+6574.5, C186+730.5&lt;'BASIC INFO'!$B$3), "YES", 'BASIC INFO'!$B$3&lt;('BASIC INFO'!$B$6+6574.5), "NOT YET 18", C186+730.5&gt;'BASIC INFO'!$B$3, "NOT YET 2 YEARS")</f>
        <v>N/A</v>
      </c>
      <c r="I186" s="61" t="str">
        <f>IF(OR(AND(LEFT('CASE DATA'!F187,4)="321.",MID('CASE DATA'!A187,8,2)="SM"),MID('CASE DATA'!A187,8,2)="ST",MID('CASE DATA'!A187,8,2)="NT"),"TRAFFIC",IF(OR('CASE DATA'!G187="DISM", 'CASE DATA'!G187="ACQ", 'CASE DATA'!G187="NOTF", 'CASE DATA'!G187="WTHD", 'CASE DATA'!G187="TNSF"), "YES", "NO"))</f>
        <v>NO</v>
      </c>
      <c r="J186" s="62" t="str">
        <f>IF(I186="YES",'CASE DATA'!T187,"N/A")</f>
        <v>N/A</v>
      </c>
      <c r="K186" s="57" t="str">
        <f>IF(I186="YES",IF(C186+180&lt;'BASIC INFO'!$B$3, "YES", "NO"),"N/A")</f>
        <v>N/A</v>
      </c>
      <c r="L186" s="62" t="str">
        <f t="array" ref="L186">IF(I186="TRAFFIC","n/a",IF(OR('CASE DATA'!G187="GTR", 'CASE DATA'!G187="GPL"),IF(SUM(COUNTIF('CASE DATA'!W187:AH187, 'CODE SECTIONS'!$V$2:$V$218&amp;"*"))&gt;0,"felony","eligible"),"n/a"))</f>
        <v>n/a</v>
      </c>
      <c r="M186" s="62" t="str">
        <f t="array" ref="M186">IF(L186="eligible",IF(OR((SUM(COUNTIF('CASE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62" t="str">
        <f>IF(M186="eligible",IF(COUNTIF('CASE DATA'!$D$4:$D$200, "")-COUNTIF('CASE DATA'!$A$4:$A$200, "")&gt;0, "YES","NO"),"N/A")</f>
        <v>N/A</v>
      </c>
      <c r="O186" s="62" t="str">
        <f>IF(M186="eligible",BANKRUPTCY!C187+BANKRUPTCY!D187,"N/A")</f>
        <v>N/A</v>
      </c>
      <c r="P186" s="62" t="str">
        <f>IF(M186="eligible",SOL!C187+SOL!D187+SOL!E187,"N/A")</f>
        <v>N/A</v>
      </c>
      <c r="Q186" s="62" t="str">
        <f>IF(M186="eligible",SUM('CASE DATA'!J187:S187),"N/A")</f>
        <v>N/A</v>
      </c>
      <c r="R186" s="62" t="str">
        <f>IF(M186="eligible",IF(C186+2920&lt;'BASIC INFO'!$B$3, "YES", "NO"),"N/A")</f>
        <v>N/A</v>
      </c>
      <c r="S186" s="61" t="str">
        <f>IF(OR('CASE DATA'!G187="DEF"), "YES", "NO")</f>
        <v>NO</v>
      </c>
      <c r="T186" s="57" t="str">
        <f>IF(S186="YES",'CASE DATA'!I187,"N/A")</f>
        <v>N/A</v>
      </c>
      <c r="U186" s="62" t="str">
        <f>IF(S186="YES",BANKRUPTCY!C187+BANKRUPTCY!D187,"N/A")</f>
        <v>N/A</v>
      </c>
      <c r="V186" s="62" t="str">
        <f>IF(S186="YES",SUM('CASE DATA'!J187:S187),"N/A")</f>
        <v>N/A</v>
      </c>
      <c r="W186" s="57" t="str">
        <f>IF(OR('CASE DATA'!F187="123.46",'CASE DATA'!F187="123.47"),"YES","NO")</f>
        <v>NO</v>
      </c>
      <c r="X186" s="60" t="str">
        <f>IF(W186="YES",COUNTIFS(AD$3:$AD$200,"&gt;"&amp;('CASE DATA'!D187),$AD$3:$AD$200,"&lt;"&amp;('CASE DATA'!D187+730.5)),"n/a")</f>
        <v>n/a</v>
      </c>
      <c r="Y186" s="62" t="str">
        <f>IF(W186="YES",IF(C186+730.5&lt;'BASIC INFO'!$B$3, "YES","NO"), "N/A")</f>
        <v>N/A</v>
      </c>
      <c r="Z186" s="57" t="str">
        <f>IF('CASE DATA'!F187="725.1","YES","NO")</f>
        <v>NO</v>
      </c>
      <c r="AA186" s="57" t="str">
        <f>IF(Z186="YES",IF(C186+730.5&lt;'BASIC INFO'!$B$3, "YES","NO"), "N/A")</f>
        <v>N/A</v>
      </c>
      <c r="AB186" s="57" t="str">
        <f>IF('BASIC INFO'!$B$6+6574.5&gt;C186, "YES", "NO")</f>
        <v>YES</v>
      </c>
      <c r="AC186" s="57" t="str">
        <f>IF(Z186="YES",COUNTIFS(AD$3:$AD$200,"&gt;"&amp;('CASE DATA'!D187),$AD$3:$AD$200,"&lt;"&amp;('CASE DATA'!D187+730.5)),"n/a")</f>
        <v>n/a</v>
      </c>
    </row>
    <row r="187" spans="1:29" x14ac:dyDescent="0.25">
      <c r="A187" s="57" t="str">
        <f>IF('CASE DATA'!A188="","z",'CASE DATA'!A188)</f>
        <v>z</v>
      </c>
      <c r="B187" s="57" t="str">
        <f>IF('CASE DATA'!A188="","",'CASE DATA'!E188)</f>
        <v/>
      </c>
      <c r="C187" s="58">
        <f>'CASE DATA'!D188</f>
        <v>0</v>
      </c>
      <c r="D187" s="59" t="str">
        <f>IF('CASE DATA'!I188="YES",SUM('CASE DATA'!J188:P188),"n/a")</f>
        <v>n/a</v>
      </c>
      <c r="E187" s="60" t="str">
        <f>IF(OR('CASE DATA'!G188="JUV", 'CASE DATA'!G188="JWV"), "YES", "NO")</f>
        <v>NO</v>
      </c>
      <c r="F187" s="60" t="str">
        <f t="array" ref="F187">IF(E187="YES",IF(SUM(COUNTIF('CASE DATA'!$G$4:$G$200, {"GTR","GPL","DEF","JUV"}))&gt;0, "YES","NO"),"N/A")</f>
        <v>N/A</v>
      </c>
      <c r="G187" s="60" t="str">
        <f>IF(E187="YES",IF(COUNTIF('CASE DATA'!$D$4:$D$200, "")-COUNTIF('CASE DATA'!$A$4:$A$200, "")&gt;0, "YES","NO"),"N/A")</f>
        <v>N/A</v>
      </c>
      <c r="H187" s="57" t="str">
        <f>_xlfn.IFS(E187="NO", "N/A", AND('BASIC INFO'!$B$3&gt;'BASIC INFO'!$B$6+6574.5, C187+730.5&lt;'BASIC INFO'!$B$3), "YES", 'BASIC INFO'!$B$3&lt;('BASIC INFO'!$B$6+6574.5), "NOT YET 18", C187+730.5&gt;'BASIC INFO'!$B$3, "NOT YET 2 YEARS")</f>
        <v>N/A</v>
      </c>
      <c r="I187" s="61" t="str">
        <f>IF(OR(AND(LEFT('CASE DATA'!F188,4)="321.",MID('CASE DATA'!A188,8,2)="SM"),MID('CASE DATA'!A188,8,2)="ST",MID('CASE DATA'!A188,8,2)="NT"),"TRAFFIC",IF(OR('CASE DATA'!G188="DISM", 'CASE DATA'!G188="ACQ", 'CASE DATA'!G188="NOTF", 'CASE DATA'!G188="WTHD", 'CASE DATA'!G188="TNSF"), "YES", "NO"))</f>
        <v>NO</v>
      </c>
      <c r="J187" s="62" t="str">
        <f>IF(I187="YES",'CASE DATA'!T188,"N/A")</f>
        <v>N/A</v>
      </c>
      <c r="K187" s="57" t="str">
        <f>IF(I187="YES",IF(C187+180&lt;'BASIC INFO'!$B$3, "YES", "NO"),"N/A")</f>
        <v>N/A</v>
      </c>
      <c r="L187" s="62" t="str">
        <f t="array" ref="L187">IF(I187="TRAFFIC","n/a",IF(OR('CASE DATA'!G188="GTR", 'CASE DATA'!G188="GPL"),IF(SUM(COUNTIF('CASE DATA'!W188:AH188, 'CODE SECTIONS'!$V$2:$V$218&amp;"*"))&gt;0,"felony","eligible"),"n/a"))</f>
        <v>n/a</v>
      </c>
      <c r="M187" s="62" t="str">
        <f t="array" ref="M187">IF(L187="eligible",IF(OR((SUM(COUNTIF('CASE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62" t="str">
        <f>IF(M187="eligible",IF(COUNTIF('CASE DATA'!$D$4:$D$200, "")-COUNTIF('CASE DATA'!$A$4:$A$200, "")&gt;0, "YES","NO"),"N/A")</f>
        <v>N/A</v>
      </c>
      <c r="O187" s="62" t="str">
        <f>IF(M187="eligible",BANKRUPTCY!C188+BANKRUPTCY!D188,"N/A")</f>
        <v>N/A</v>
      </c>
      <c r="P187" s="62" t="str">
        <f>IF(M187="eligible",SOL!C188+SOL!D188+SOL!E188,"N/A")</f>
        <v>N/A</v>
      </c>
      <c r="Q187" s="62" t="str">
        <f>IF(M187="eligible",SUM('CASE DATA'!J188:S188),"N/A")</f>
        <v>N/A</v>
      </c>
      <c r="R187" s="62" t="str">
        <f>IF(M187="eligible",IF(C187+2920&lt;'BASIC INFO'!$B$3, "YES", "NO"),"N/A")</f>
        <v>N/A</v>
      </c>
      <c r="S187" s="61" t="str">
        <f>IF(OR('CASE DATA'!G188="DEF"), "YES", "NO")</f>
        <v>NO</v>
      </c>
      <c r="T187" s="57" t="str">
        <f>IF(S187="YES",'CASE DATA'!I188,"N/A")</f>
        <v>N/A</v>
      </c>
      <c r="U187" s="62" t="str">
        <f>IF(S187="YES",BANKRUPTCY!C188+BANKRUPTCY!D188,"N/A")</f>
        <v>N/A</v>
      </c>
      <c r="V187" s="62" t="str">
        <f>IF(S187="YES",SUM('CASE DATA'!J188:S188),"N/A")</f>
        <v>N/A</v>
      </c>
      <c r="W187" s="57" t="str">
        <f>IF(OR('CASE DATA'!F188="123.46",'CASE DATA'!F188="123.47"),"YES","NO")</f>
        <v>NO</v>
      </c>
      <c r="X187" s="60" t="str">
        <f>IF(W187="YES",COUNTIFS(AD$3:$AD$200,"&gt;"&amp;('CASE DATA'!D188),$AD$3:$AD$200,"&lt;"&amp;('CASE DATA'!D188+730.5)),"n/a")</f>
        <v>n/a</v>
      </c>
      <c r="Y187" s="62" t="str">
        <f>IF(W187="YES",IF(C187+730.5&lt;'BASIC INFO'!$B$3, "YES","NO"), "N/A")</f>
        <v>N/A</v>
      </c>
      <c r="Z187" s="57" t="str">
        <f>IF('CASE DATA'!F188="725.1","YES","NO")</f>
        <v>NO</v>
      </c>
      <c r="AA187" s="57" t="str">
        <f>IF(Z187="YES",IF(C187+730.5&lt;'BASIC INFO'!$B$3, "YES","NO"), "N/A")</f>
        <v>N/A</v>
      </c>
      <c r="AB187" s="57" t="str">
        <f>IF('BASIC INFO'!$B$6+6574.5&gt;C187, "YES", "NO")</f>
        <v>YES</v>
      </c>
      <c r="AC187" s="57" t="str">
        <f>IF(Z187="YES",COUNTIFS(AD$3:$AD$200,"&gt;"&amp;('CASE DATA'!D188),$AD$3:$AD$200,"&lt;"&amp;('CASE DATA'!D188+730.5)),"n/a")</f>
        <v>n/a</v>
      </c>
    </row>
    <row r="188" spans="1:29" x14ac:dyDescent="0.25">
      <c r="A188" s="57" t="str">
        <f>IF('CASE DATA'!A189="","z",'CASE DATA'!A189)</f>
        <v>z</v>
      </c>
      <c r="B188" s="57" t="str">
        <f>IF('CASE DATA'!A189="","",'CASE DATA'!E189)</f>
        <v/>
      </c>
      <c r="C188" s="58">
        <f>'CASE DATA'!D189</f>
        <v>0</v>
      </c>
      <c r="D188" s="59" t="str">
        <f>IF('CASE DATA'!I189="YES",SUM('CASE DATA'!J189:P189),"n/a")</f>
        <v>n/a</v>
      </c>
      <c r="E188" s="60" t="str">
        <f>IF(OR('CASE DATA'!G189="JUV", 'CASE DATA'!G189="JWV"), "YES", "NO")</f>
        <v>NO</v>
      </c>
      <c r="F188" s="60" t="str">
        <f t="array" ref="F188">IF(E188="YES",IF(SUM(COUNTIF('CASE DATA'!$G$4:$G$200, {"GTR","GPL","DEF","JUV"}))&gt;0, "YES","NO"),"N/A")</f>
        <v>N/A</v>
      </c>
      <c r="G188" s="60" t="str">
        <f>IF(E188="YES",IF(COUNTIF('CASE DATA'!$D$4:$D$200, "")-COUNTIF('CASE DATA'!$A$4:$A$200, "")&gt;0, "YES","NO"),"N/A")</f>
        <v>N/A</v>
      </c>
      <c r="H188" s="57" t="str">
        <f>_xlfn.IFS(E188="NO", "N/A", AND('BASIC INFO'!$B$3&gt;'BASIC INFO'!$B$6+6574.5, C188+730.5&lt;'BASIC INFO'!$B$3), "YES", 'BASIC INFO'!$B$3&lt;('BASIC INFO'!$B$6+6574.5), "NOT YET 18", C188+730.5&gt;'BASIC INFO'!$B$3, "NOT YET 2 YEARS")</f>
        <v>N/A</v>
      </c>
      <c r="I188" s="61" t="str">
        <f>IF(OR(AND(LEFT('CASE DATA'!F189,4)="321.",MID('CASE DATA'!A189,8,2)="SM"),MID('CASE DATA'!A189,8,2)="ST",MID('CASE DATA'!A189,8,2)="NT"),"TRAFFIC",IF(OR('CASE DATA'!G189="DISM", 'CASE DATA'!G189="ACQ", 'CASE DATA'!G189="NOTF", 'CASE DATA'!G189="WTHD", 'CASE DATA'!G189="TNSF"), "YES", "NO"))</f>
        <v>NO</v>
      </c>
      <c r="J188" s="62" t="str">
        <f>IF(I188="YES",'CASE DATA'!T189,"N/A")</f>
        <v>N/A</v>
      </c>
      <c r="K188" s="57" t="str">
        <f>IF(I188="YES",IF(C188+180&lt;'BASIC INFO'!$B$3, "YES", "NO"),"N/A")</f>
        <v>N/A</v>
      </c>
      <c r="L188" s="62" t="str">
        <f t="array" ref="L188">IF(I188="TRAFFIC","n/a",IF(OR('CASE DATA'!G189="GTR", 'CASE DATA'!G189="GPL"),IF(SUM(COUNTIF('CASE DATA'!W189:AH189, 'CODE SECTIONS'!$V$2:$V$218&amp;"*"))&gt;0,"felony","eligible"),"n/a"))</f>
        <v>n/a</v>
      </c>
      <c r="M188" s="62" t="str">
        <f t="array" ref="M188">IF(L188="eligible",IF(OR((SUM(COUNTIF('CASE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62" t="str">
        <f>IF(M188="eligible",IF(COUNTIF('CASE DATA'!$D$4:$D$200, "")-COUNTIF('CASE DATA'!$A$4:$A$200, "")&gt;0, "YES","NO"),"N/A")</f>
        <v>N/A</v>
      </c>
      <c r="O188" s="62" t="str">
        <f>IF(M188="eligible",BANKRUPTCY!C189+BANKRUPTCY!D189,"N/A")</f>
        <v>N/A</v>
      </c>
      <c r="P188" s="62" t="str">
        <f>IF(M188="eligible",SOL!C189+SOL!D189+SOL!E189,"N/A")</f>
        <v>N/A</v>
      </c>
      <c r="Q188" s="62" t="str">
        <f>IF(M188="eligible",SUM('CASE DATA'!J189:S189),"N/A")</f>
        <v>N/A</v>
      </c>
      <c r="R188" s="62" t="str">
        <f>IF(M188="eligible",IF(C188+2920&lt;'BASIC INFO'!$B$3, "YES", "NO"),"N/A")</f>
        <v>N/A</v>
      </c>
      <c r="S188" s="61" t="str">
        <f>IF(OR('CASE DATA'!G189="DEF"), "YES", "NO")</f>
        <v>NO</v>
      </c>
      <c r="T188" s="57" t="str">
        <f>IF(S188="YES",'CASE DATA'!I189,"N/A")</f>
        <v>N/A</v>
      </c>
      <c r="U188" s="62" t="str">
        <f>IF(S188="YES",BANKRUPTCY!C189+BANKRUPTCY!D189,"N/A")</f>
        <v>N/A</v>
      </c>
      <c r="V188" s="62" t="str">
        <f>IF(S188="YES",SUM('CASE DATA'!J189:S189),"N/A")</f>
        <v>N/A</v>
      </c>
      <c r="W188" s="57" t="str">
        <f>IF(OR('CASE DATA'!F189="123.46",'CASE DATA'!F189="123.47"),"YES","NO")</f>
        <v>NO</v>
      </c>
      <c r="X188" s="60" t="str">
        <f>IF(W188="YES",COUNTIFS(AD$3:$AD$200,"&gt;"&amp;('CASE DATA'!D189),$AD$3:$AD$200,"&lt;"&amp;('CASE DATA'!D189+730.5)),"n/a")</f>
        <v>n/a</v>
      </c>
      <c r="Y188" s="62" t="str">
        <f>IF(W188="YES",IF(C188+730.5&lt;'BASIC INFO'!$B$3, "YES","NO"), "N/A")</f>
        <v>N/A</v>
      </c>
      <c r="Z188" s="57" t="str">
        <f>IF('CASE DATA'!F189="725.1","YES","NO")</f>
        <v>NO</v>
      </c>
      <c r="AA188" s="57" t="str">
        <f>IF(Z188="YES",IF(C188+730.5&lt;'BASIC INFO'!$B$3, "YES","NO"), "N/A")</f>
        <v>N/A</v>
      </c>
      <c r="AB188" s="57" t="str">
        <f>IF('BASIC INFO'!$B$6+6574.5&gt;C188, "YES", "NO")</f>
        <v>YES</v>
      </c>
      <c r="AC188" s="57" t="str">
        <f>IF(Z188="YES",COUNTIFS(AD$3:$AD$200,"&gt;"&amp;('CASE DATA'!D189),$AD$3:$AD$200,"&lt;"&amp;('CASE DATA'!D189+730.5)),"n/a")</f>
        <v>n/a</v>
      </c>
    </row>
    <row r="189" spans="1:29" x14ac:dyDescent="0.25">
      <c r="A189" s="57" t="str">
        <f>IF('CASE DATA'!A190="","z",'CASE DATA'!A190)</f>
        <v>z</v>
      </c>
      <c r="B189" s="57" t="str">
        <f>IF('CASE DATA'!A190="","",'CASE DATA'!E190)</f>
        <v/>
      </c>
      <c r="C189" s="58">
        <f>'CASE DATA'!D190</f>
        <v>0</v>
      </c>
      <c r="D189" s="59" t="str">
        <f>IF('CASE DATA'!I190="YES",SUM('CASE DATA'!J190:P190),"n/a")</f>
        <v>n/a</v>
      </c>
      <c r="E189" s="60" t="str">
        <f>IF(OR('CASE DATA'!G190="JUV", 'CASE DATA'!G190="JWV"), "YES", "NO")</f>
        <v>NO</v>
      </c>
      <c r="F189" s="60" t="str">
        <f t="array" ref="F189">IF(E189="YES",IF(SUM(COUNTIF('CASE DATA'!$G$4:$G$200, {"GTR","GPL","DEF","JUV"}))&gt;0, "YES","NO"),"N/A")</f>
        <v>N/A</v>
      </c>
      <c r="G189" s="60" t="str">
        <f>IF(E189="YES",IF(COUNTIF('CASE DATA'!$D$4:$D$200, "")-COUNTIF('CASE DATA'!$A$4:$A$200, "")&gt;0, "YES","NO"),"N/A")</f>
        <v>N/A</v>
      </c>
      <c r="H189" s="57" t="str">
        <f>_xlfn.IFS(E189="NO", "N/A", AND('BASIC INFO'!$B$3&gt;'BASIC INFO'!$B$6+6574.5, C189+730.5&lt;'BASIC INFO'!$B$3), "YES", 'BASIC INFO'!$B$3&lt;('BASIC INFO'!$B$6+6574.5), "NOT YET 18", C189+730.5&gt;'BASIC INFO'!$B$3, "NOT YET 2 YEARS")</f>
        <v>N/A</v>
      </c>
      <c r="I189" s="61" t="str">
        <f>IF(OR(AND(LEFT('CASE DATA'!F190,4)="321.",MID('CASE DATA'!A190,8,2)="SM"),MID('CASE DATA'!A190,8,2)="ST",MID('CASE DATA'!A190,8,2)="NT"),"TRAFFIC",IF(OR('CASE DATA'!G190="DISM", 'CASE DATA'!G190="ACQ", 'CASE DATA'!G190="NOTF", 'CASE DATA'!G190="WTHD", 'CASE DATA'!G190="TNSF"), "YES", "NO"))</f>
        <v>NO</v>
      </c>
      <c r="J189" s="62" t="str">
        <f>IF(I189="YES",'CASE DATA'!T190,"N/A")</f>
        <v>N/A</v>
      </c>
      <c r="K189" s="57" t="str">
        <f>IF(I189="YES",IF(C189+180&lt;'BASIC INFO'!$B$3, "YES", "NO"),"N/A")</f>
        <v>N/A</v>
      </c>
      <c r="L189" s="62" t="str">
        <f t="array" ref="L189">IF(I189="TRAFFIC","n/a",IF(OR('CASE DATA'!G190="GTR", 'CASE DATA'!G190="GPL"),IF(SUM(COUNTIF('CASE DATA'!W190:AH190, 'CODE SECTIONS'!$V$2:$V$218&amp;"*"))&gt;0,"felony","eligible"),"n/a"))</f>
        <v>n/a</v>
      </c>
      <c r="M189" s="62" t="str">
        <f t="array" ref="M189">IF(L189="eligible",IF(OR((SUM(COUNTIF('CASE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62" t="str">
        <f>IF(M189="eligible",IF(COUNTIF('CASE DATA'!$D$4:$D$200, "")-COUNTIF('CASE DATA'!$A$4:$A$200, "")&gt;0, "YES","NO"),"N/A")</f>
        <v>N/A</v>
      </c>
      <c r="O189" s="62" t="str">
        <f>IF(M189="eligible",BANKRUPTCY!C190+BANKRUPTCY!D190,"N/A")</f>
        <v>N/A</v>
      </c>
      <c r="P189" s="62" t="str">
        <f>IF(M189="eligible",SOL!C190+SOL!D190+SOL!E190,"N/A")</f>
        <v>N/A</v>
      </c>
      <c r="Q189" s="62" t="str">
        <f>IF(M189="eligible",SUM('CASE DATA'!J190:S190),"N/A")</f>
        <v>N/A</v>
      </c>
      <c r="R189" s="62" t="str">
        <f>IF(M189="eligible",IF(C189+2920&lt;'BASIC INFO'!$B$3, "YES", "NO"),"N/A")</f>
        <v>N/A</v>
      </c>
      <c r="S189" s="61" t="str">
        <f>IF(OR('CASE DATA'!G190="DEF"), "YES", "NO")</f>
        <v>NO</v>
      </c>
      <c r="T189" s="57" t="str">
        <f>IF(S189="YES",'CASE DATA'!I190,"N/A")</f>
        <v>N/A</v>
      </c>
      <c r="U189" s="62" t="str">
        <f>IF(S189="YES",BANKRUPTCY!C190+BANKRUPTCY!D190,"N/A")</f>
        <v>N/A</v>
      </c>
      <c r="V189" s="62" t="str">
        <f>IF(S189="YES",SUM('CASE DATA'!J190:S190),"N/A")</f>
        <v>N/A</v>
      </c>
      <c r="W189" s="57" t="str">
        <f>IF(OR('CASE DATA'!F190="123.46",'CASE DATA'!F190="123.47"),"YES","NO")</f>
        <v>NO</v>
      </c>
      <c r="X189" s="60" t="str">
        <f>IF(W189="YES",COUNTIFS(AD$3:$AD$200,"&gt;"&amp;('CASE DATA'!D190),$AD$3:$AD$200,"&lt;"&amp;('CASE DATA'!D190+730.5)),"n/a")</f>
        <v>n/a</v>
      </c>
      <c r="Y189" s="62" t="str">
        <f>IF(W189="YES",IF(C189+730.5&lt;'BASIC INFO'!$B$3, "YES","NO"), "N/A")</f>
        <v>N/A</v>
      </c>
      <c r="Z189" s="57" t="str">
        <f>IF('CASE DATA'!F190="725.1","YES","NO")</f>
        <v>NO</v>
      </c>
      <c r="AA189" s="57" t="str">
        <f>IF(Z189="YES",IF(C189+730.5&lt;'BASIC INFO'!$B$3, "YES","NO"), "N/A")</f>
        <v>N/A</v>
      </c>
      <c r="AB189" s="57" t="str">
        <f>IF('BASIC INFO'!$B$6+6574.5&gt;C189, "YES", "NO")</f>
        <v>YES</v>
      </c>
      <c r="AC189" s="57" t="str">
        <f>IF(Z189="YES",COUNTIFS(AD$3:$AD$200,"&gt;"&amp;('CASE DATA'!D190),$AD$3:$AD$200,"&lt;"&amp;('CASE DATA'!D190+730.5)),"n/a")</f>
        <v>n/a</v>
      </c>
    </row>
    <row r="190" spans="1:29" x14ac:dyDescent="0.25">
      <c r="A190" s="57" t="str">
        <f>IF('CASE DATA'!A191="","z",'CASE DATA'!A191)</f>
        <v>z</v>
      </c>
      <c r="B190" s="57" t="str">
        <f>IF('CASE DATA'!A191="","",'CASE DATA'!E191)</f>
        <v/>
      </c>
      <c r="C190" s="58">
        <f>'CASE DATA'!D191</f>
        <v>0</v>
      </c>
      <c r="D190" s="59" t="str">
        <f>IF('CASE DATA'!I191="YES",SUM('CASE DATA'!J191:P191),"n/a")</f>
        <v>n/a</v>
      </c>
      <c r="E190" s="60" t="str">
        <f>IF(OR('CASE DATA'!G191="JUV", 'CASE DATA'!G191="JWV"), "YES", "NO")</f>
        <v>NO</v>
      </c>
      <c r="F190" s="60" t="str">
        <f t="array" ref="F190">IF(E190="YES",IF(SUM(COUNTIF('CASE DATA'!$G$4:$G$200, {"GTR","GPL","DEF","JUV"}))&gt;0, "YES","NO"),"N/A")</f>
        <v>N/A</v>
      </c>
      <c r="G190" s="60" t="str">
        <f>IF(E190="YES",IF(COUNTIF('CASE DATA'!$D$4:$D$200, "")-COUNTIF('CASE DATA'!$A$4:$A$200, "")&gt;0, "YES","NO"),"N/A")</f>
        <v>N/A</v>
      </c>
      <c r="H190" s="57" t="str">
        <f>_xlfn.IFS(E190="NO", "N/A", AND('BASIC INFO'!$B$3&gt;'BASIC INFO'!$B$6+6574.5, C190+730.5&lt;'BASIC INFO'!$B$3), "YES", 'BASIC INFO'!$B$3&lt;('BASIC INFO'!$B$6+6574.5), "NOT YET 18", C190+730.5&gt;'BASIC INFO'!$B$3, "NOT YET 2 YEARS")</f>
        <v>N/A</v>
      </c>
      <c r="I190" s="61" t="str">
        <f>IF(OR(AND(LEFT('CASE DATA'!F191,4)="321.",MID('CASE DATA'!A191,8,2)="SM"),MID('CASE DATA'!A191,8,2)="ST",MID('CASE DATA'!A191,8,2)="NT"),"TRAFFIC",IF(OR('CASE DATA'!G191="DISM", 'CASE DATA'!G191="ACQ", 'CASE DATA'!G191="NOTF", 'CASE DATA'!G191="WTHD", 'CASE DATA'!G191="TNSF"), "YES", "NO"))</f>
        <v>NO</v>
      </c>
      <c r="J190" s="62" t="str">
        <f>IF(I190="YES",'CASE DATA'!T191,"N/A")</f>
        <v>N/A</v>
      </c>
      <c r="K190" s="57" t="str">
        <f>IF(I190="YES",IF(C190+180&lt;'BASIC INFO'!$B$3, "YES", "NO"),"N/A")</f>
        <v>N/A</v>
      </c>
      <c r="L190" s="62" t="str">
        <f t="array" ref="L190">IF(I190="TRAFFIC","n/a",IF(OR('CASE DATA'!G191="GTR", 'CASE DATA'!G191="GPL"),IF(SUM(COUNTIF('CASE DATA'!W191:AH191, 'CODE SECTIONS'!$V$2:$V$218&amp;"*"))&gt;0,"felony","eligible"),"n/a"))</f>
        <v>n/a</v>
      </c>
      <c r="M190" s="62" t="str">
        <f t="array" ref="M190">IF(L190="eligible",IF(OR((SUM(COUNTIF('CASE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62" t="str">
        <f>IF(M190="eligible",IF(COUNTIF('CASE DATA'!$D$4:$D$200, "")-COUNTIF('CASE DATA'!$A$4:$A$200, "")&gt;0, "YES","NO"),"N/A")</f>
        <v>N/A</v>
      </c>
      <c r="O190" s="62" t="str">
        <f>IF(M190="eligible",BANKRUPTCY!C191+BANKRUPTCY!D191,"N/A")</f>
        <v>N/A</v>
      </c>
      <c r="P190" s="62" t="str">
        <f>IF(M190="eligible",SOL!C191+SOL!D191+SOL!E191,"N/A")</f>
        <v>N/A</v>
      </c>
      <c r="Q190" s="62" t="str">
        <f>IF(M190="eligible",SUM('CASE DATA'!J191:S191),"N/A")</f>
        <v>N/A</v>
      </c>
      <c r="R190" s="62" t="str">
        <f>IF(M190="eligible",IF(C190+2920&lt;'BASIC INFO'!$B$3, "YES", "NO"),"N/A")</f>
        <v>N/A</v>
      </c>
      <c r="S190" s="61" t="str">
        <f>IF(OR('CASE DATA'!G191="DEF"), "YES", "NO")</f>
        <v>NO</v>
      </c>
      <c r="T190" s="57" t="str">
        <f>IF(S190="YES",'CASE DATA'!I191,"N/A")</f>
        <v>N/A</v>
      </c>
      <c r="U190" s="62" t="str">
        <f>IF(S190="YES",BANKRUPTCY!C191+BANKRUPTCY!D191,"N/A")</f>
        <v>N/A</v>
      </c>
      <c r="V190" s="62" t="str">
        <f>IF(S190="YES",SUM('CASE DATA'!J191:S191),"N/A")</f>
        <v>N/A</v>
      </c>
      <c r="W190" s="57" t="str">
        <f>IF(OR('CASE DATA'!F191="123.46",'CASE DATA'!F191="123.47"),"YES","NO")</f>
        <v>NO</v>
      </c>
      <c r="X190" s="60" t="str">
        <f>IF(W190="YES",COUNTIFS(AD$3:$AD$200,"&gt;"&amp;('CASE DATA'!D191),$AD$3:$AD$200,"&lt;"&amp;('CASE DATA'!D191+730.5)),"n/a")</f>
        <v>n/a</v>
      </c>
      <c r="Y190" s="62" t="str">
        <f>IF(W190="YES",IF(C190+730.5&lt;'BASIC INFO'!$B$3, "YES","NO"), "N/A")</f>
        <v>N/A</v>
      </c>
      <c r="Z190" s="57" t="str">
        <f>IF('CASE DATA'!F191="725.1","YES","NO")</f>
        <v>NO</v>
      </c>
      <c r="AA190" s="57" t="str">
        <f>IF(Z190="YES",IF(C190+730.5&lt;'BASIC INFO'!$B$3, "YES","NO"), "N/A")</f>
        <v>N/A</v>
      </c>
      <c r="AB190" s="57" t="str">
        <f>IF('BASIC INFO'!$B$6+6574.5&gt;C190, "YES", "NO")</f>
        <v>YES</v>
      </c>
      <c r="AC190" s="57" t="str">
        <f>IF(Z190="YES",COUNTIFS(AD$3:$AD$200,"&gt;"&amp;('CASE DATA'!D191),$AD$3:$AD$200,"&lt;"&amp;('CASE DATA'!D191+730.5)),"n/a")</f>
        <v>n/a</v>
      </c>
    </row>
    <row r="191" spans="1:29" x14ac:dyDescent="0.25">
      <c r="A191" s="57" t="str">
        <f>IF('CASE DATA'!A192="","z",'CASE DATA'!A192)</f>
        <v>z</v>
      </c>
      <c r="B191" s="57" t="str">
        <f>IF('CASE DATA'!A192="","",'CASE DATA'!E192)</f>
        <v/>
      </c>
      <c r="C191" s="58">
        <f>'CASE DATA'!D192</f>
        <v>0</v>
      </c>
      <c r="D191" s="59" t="str">
        <f>IF('CASE DATA'!I192="YES",SUM('CASE DATA'!J192:P192),"n/a")</f>
        <v>n/a</v>
      </c>
      <c r="E191" s="60" t="str">
        <f>IF(OR('CASE DATA'!G192="JUV", 'CASE DATA'!G192="JWV"), "YES", "NO")</f>
        <v>NO</v>
      </c>
      <c r="F191" s="60" t="str">
        <f t="array" ref="F191">IF(E191="YES",IF(SUM(COUNTIF('CASE DATA'!$G$4:$G$200, {"GTR","GPL","DEF","JUV"}))&gt;0, "YES","NO"),"N/A")</f>
        <v>N/A</v>
      </c>
      <c r="G191" s="60" t="str">
        <f>IF(E191="YES",IF(COUNTIF('CASE DATA'!$D$4:$D$200, "")-COUNTIF('CASE DATA'!$A$4:$A$200, "")&gt;0, "YES","NO"),"N/A")</f>
        <v>N/A</v>
      </c>
      <c r="H191" s="57" t="str">
        <f>_xlfn.IFS(E191="NO", "N/A", AND('BASIC INFO'!$B$3&gt;'BASIC INFO'!$B$6+6574.5, C191+730.5&lt;'BASIC INFO'!$B$3), "YES", 'BASIC INFO'!$B$3&lt;('BASIC INFO'!$B$6+6574.5), "NOT YET 18", C191+730.5&gt;'BASIC INFO'!$B$3, "NOT YET 2 YEARS")</f>
        <v>N/A</v>
      </c>
      <c r="I191" s="61" t="str">
        <f>IF(OR(AND(LEFT('CASE DATA'!F192,4)="321.",MID('CASE DATA'!A192,8,2)="SM"),MID('CASE DATA'!A192,8,2)="ST",MID('CASE DATA'!A192,8,2)="NT"),"TRAFFIC",IF(OR('CASE DATA'!G192="DISM", 'CASE DATA'!G192="ACQ", 'CASE DATA'!G192="NOTF", 'CASE DATA'!G192="WTHD", 'CASE DATA'!G192="TNSF"), "YES", "NO"))</f>
        <v>NO</v>
      </c>
      <c r="J191" s="62" t="str">
        <f>IF(I191="YES",'CASE DATA'!T192,"N/A")</f>
        <v>N/A</v>
      </c>
      <c r="K191" s="57" t="str">
        <f>IF(I191="YES",IF(C191+180&lt;'BASIC INFO'!$B$3, "YES", "NO"),"N/A")</f>
        <v>N/A</v>
      </c>
      <c r="L191" s="62" t="str">
        <f t="array" ref="L191">IF(I191="TRAFFIC","n/a",IF(OR('CASE DATA'!G192="GTR", 'CASE DATA'!G192="GPL"),IF(SUM(COUNTIF('CASE DATA'!W192:AH192, 'CODE SECTIONS'!$V$2:$V$218&amp;"*"))&gt;0,"felony","eligible"),"n/a"))</f>
        <v>n/a</v>
      </c>
      <c r="M191" s="62" t="str">
        <f t="array" ref="M191">IF(L191="eligible",IF(OR((SUM(COUNTIF('CASE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62" t="str">
        <f>IF(M191="eligible",IF(COUNTIF('CASE DATA'!$D$4:$D$200, "")-COUNTIF('CASE DATA'!$A$4:$A$200, "")&gt;0, "YES","NO"),"N/A")</f>
        <v>N/A</v>
      </c>
      <c r="O191" s="62" t="str">
        <f>IF(M191="eligible",BANKRUPTCY!C192+BANKRUPTCY!D192,"N/A")</f>
        <v>N/A</v>
      </c>
      <c r="P191" s="62" t="str">
        <f>IF(M191="eligible",SOL!C192+SOL!D192+SOL!E192,"N/A")</f>
        <v>N/A</v>
      </c>
      <c r="Q191" s="62" t="str">
        <f>IF(M191="eligible",SUM('CASE DATA'!J192:S192),"N/A")</f>
        <v>N/A</v>
      </c>
      <c r="R191" s="62" t="str">
        <f>IF(M191="eligible",IF(C191+2920&lt;'BASIC INFO'!$B$3, "YES", "NO"),"N/A")</f>
        <v>N/A</v>
      </c>
      <c r="S191" s="61" t="str">
        <f>IF(OR('CASE DATA'!G192="DEF"), "YES", "NO")</f>
        <v>NO</v>
      </c>
      <c r="T191" s="57" t="str">
        <f>IF(S191="YES",'CASE DATA'!I192,"N/A")</f>
        <v>N/A</v>
      </c>
      <c r="U191" s="62" t="str">
        <f>IF(S191="YES",BANKRUPTCY!C192+BANKRUPTCY!D192,"N/A")</f>
        <v>N/A</v>
      </c>
      <c r="V191" s="62" t="str">
        <f>IF(S191="YES",SUM('CASE DATA'!J192:S192),"N/A")</f>
        <v>N/A</v>
      </c>
      <c r="W191" s="57" t="str">
        <f>IF(OR('CASE DATA'!F192="123.46",'CASE DATA'!F192="123.47"),"YES","NO")</f>
        <v>NO</v>
      </c>
      <c r="X191" s="60" t="str">
        <f>IF(W191="YES",COUNTIFS(AD$3:$AD$200,"&gt;"&amp;('CASE DATA'!D192),$AD$3:$AD$200,"&lt;"&amp;('CASE DATA'!D192+730.5)),"n/a")</f>
        <v>n/a</v>
      </c>
      <c r="Y191" s="62" t="str">
        <f>IF(W191="YES",IF(C191+730.5&lt;'BASIC INFO'!$B$3, "YES","NO"), "N/A")</f>
        <v>N/A</v>
      </c>
      <c r="Z191" s="57" t="str">
        <f>IF('CASE DATA'!F192="725.1","YES","NO")</f>
        <v>NO</v>
      </c>
      <c r="AA191" s="57" t="str">
        <f>IF(Z191="YES",IF(C191+730.5&lt;'BASIC INFO'!$B$3, "YES","NO"), "N/A")</f>
        <v>N/A</v>
      </c>
      <c r="AB191" s="57" t="str">
        <f>IF('BASIC INFO'!$B$6+6574.5&gt;C191, "YES", "NO")</f>
        <v>YES</v>
      </c>
      <c r="AC191" s="57" t="str">
        <f>IF(Z191="YES",COUNTIFS(AD$3:$AD$200,"&gt;"&amp;('CASE DATA'!D192),$AD$3:$AD$200,"&lt;"&amp;('CASE DATA'!D192+730.5)),"n/a")</f>
        <v>n/a</v>
      </c>
    </row>
    <row r="192" spans="1:29" x14ac:dyDescent="0.25">
      <c r="A192" s="57" t="str">
        <f>IF('CASE DATA'!A193="","z",'CASE DATA'!A193)</f>
        <v>z</v>
      </c>
      <c r="B192" s="57" t="str">
        <f>IF('CASE DATA'!A193="","",'CASE DATA'!E193)</f>
        <v/>
      </c>
      <c r="C192" s="58">
        <f>'CASE DATA'!D193</f>
        <v>0</v>
      </c>
      <c r="D192" s="59" t="str">
        <f>IF('CASE DATA'!I193="YES",SUM('CASE DATA'!J193:P193),"n/a")</f>
        <v>n/a</v>
      </c>
      <c r="E192" s="60" t="str">
        <f>IF(OR('CASE DATA'!G193="JUV", 'CASE DATA'!G193="JWV"), "YES", "NO")</f>
        <v>NO</v>
      </c>
      <c r="F192" s="60" t="str">
        <f t="array" ref="F192">IF(E192="YES",IF(SUM(COUNTIF('CASE DATA'!$G$4:$G$200, {"GTR","GPL","DEF","JUV"}))&gt;0, "YES","NO"),"N/A")</f>
        <v>N/A</v>
      </c>
      <c r="G192" s="60" t="str">
        <f>IF(E192="YES",IF(COUNTIF('CASE DATA'!$D$4:$D$200, "")-COUNTIF('CASE DATA'!$A$4:$A$200, "")&gt;0, "YES","NO"),"N/A")</f>
        <v>N/A</v>
      </c>
      <c r="H192" s="57" t="str">
        <f>_xlfn.IFS(E192="NO", "N/A", AND('BASIC INFO'!$B$3&gt;'BASIC INFO'!$B$6+6574.5, C192+730.5&lt;'BASIC INFO'!$B$3), "YES", 'BASIC INFO'!$B$3&lt;('BASIC INFO'!$B$6+6574.5), "NOT YET 18", C192+730.5&gt;'BASIC INFO'!$B$3, "NOT YET 2 YEARS")</f>
        <v>N/A</v>
      </c>
      <c r="I192" s="61" t="str">
        <f>IF(OR(AND(LEFT('CASE DATA'!F193,4)="321.",MID('CASE DATA'!A193,8,2)="SM"),MID('CASE DATA'!A193,8,2)="ST",MID('CASE DATA'!A193,8,2)="NT"),"TRAFFIC",IF(OR('CASE DATA'!G193="DISM", 'CASE DATA'!G193="ACQ", 'CASE DATA'!G193="NOTF", 'CASE DATA'!G193="WTHD", 'CASE DATA'!G193="TNSF"), "YES", "NO"))</f>
        <v>NO</v>
      </c>
      <c r="J192" s="62" t="str">
        <f>IF(I192="YES",'CASE DATA'!T193,"N/A")</f>
        <v>N/A</v>
      </c>
      <c r="K192" s="57" t="str">
        <f>IF(I192="YES",IF(C192+180&lt;'BASIC INFO'!$B$3, "YES", "NO"),"N/A")</f>
        <v>N/A</v>
      </c>
      <c r="L192" s="62" t="str">
        <f t="array" ref="L192">IF(I192="TRAFFIC","n/a",IF(OR('CASE DATA'!G193="GTR", 'CASE DATA'!G193="GPL"),IF(SUM(COUNTIF('CASE DATA'!W193:AH193, 'CODE SECTIONS'!$V$2:$V$218&amp;"*"))&gt;0,"felony","eligible"),"n/a"))</f>
        <v>n/a</v>
      </c>
      <c r="M192" s="62" t="str">
        <f t="array" ref="M192">IF(L192="eligible",IF(OR((SUM(COUNTIF('CASE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62" t="str">
        <f>IF(M192="eligible",IF(COUNTIF('CASE DATA'!$D$4:$D$200, "")-COUNTIF('CASE DATA'!$A$4:$A$200, "")&gt;0, "YES","NO"),"N/A")</f>
        <v>N/A</v>
      </c>
      <c r="O192" s="62" t="str">
        <f>IF(M192="eligible",BANKRUPTCY!C193+BANKRUPTCY!D193,"N/A")</f>
        <v>N/A</v>
      </c>
      <c r="P192" s="62" t="str">
        <f>IF(M192="eligible",SOL!C193+SOL!D193+SOL!E193,"N/A")</f>
        <v>N/A</v>
      </c>
      <c r="Q192" s="62" t="str">
        <f>IF(M192="eligible",SUM('CASE DATA'!J193:S193),"N/A")</f>
        <v>N/A</v>
      </c>
      <c r="R192" s="62" t="str">
        <f>IF(M192="eligible",IF(C192+2920&lt;'BASIC INFO'!$B$3, "YES", "NO"),"N/A")</f>
        <v>N/A</v>
      </c>
      <c r="S192" s="61" t="str">
        <f>IF(OR('CASE DATA'!G193="DEF"), "YES", "NO")</f>
        <v>NO</v>
      </c>
      <c r="T192" s="57" t="str">
        <f>IF(S192="YES",'CASE DATA'!I193,"N/A")</f>
        <v>N/A</v>
      </c>
      <c r="U192" s="62" t="str">
        <f>IF(S192="YES",BANKRUPTCY!C193+BANKRUPTCY!D193,"N/A")</f>
        <v>N/A</v>
      </c>
      <c r="V192" s="62" t="str">
        <f>IF(S192="YES",SUM('CASE DATA'!J193:S193),"N/A")</f>
        <v>N/A</v>
      </c>
      <c r="W192" s="57" t="str">
        <f>IF(OR('CASE DATA'!F193="123.46",'CASE DATA'!F193="123.47"),"YES","NO")</f>
        <v>NO</v>
      </c>
      <c r="X192" s="60" t="str">
        <f>IF(W192="YES",COUNTIFS(AD$3:$AD$200,"&gt;"&amp;('CASE DATA'!D193),$AD$3:$AD$200,"&lt;"&amp;('CASE DATA'!D193+730.5)),"n/a")</f>
        <v>n/a</v>
      </c>
      <c r="Y192" s="62" t="str">
        <f>IF(W192="YES",IF(C192+730.5&lt;'BASIC INFO'!$B$3, "YES","NO"), "N/A")</f>
        <v>N/A</v>
      </c>
      <c r="Z192" s="57" t="str">
        <f>IF('CASE DATA'!F193="725.1","YES","NO")</f>
        <v>NO</v>
      </c>
      <c r="AA192" s="57" t="str">
        <f>IF(Z192="YES",IF(C192+730.5&lt;'BASIC INFO'!$B$3, "YES","NO"), "N/A")</f>
        <v>N/A</v>
      </c>
      <c r="AB192" s="57" t="str">
        <f>IF('BASIC INFO'!$B$6+6574.5&gt;C192, "YES", "NO")</f>
        <v>YES</v>
      </c>
      <c r="AC192" s="57" t="str">
        <f>IF(Z192="YES",COUNTIFS(AD$3:$AD$200,"&gt;"&amp;('CASE DATA'!D193),$AD$3:$AD$200,"&lt;"&amp;('CASE DATA'!D193+730.5)),"n/a")</f>
        <v>n/a</v>
      </c>
    </row>
    <row r="193" spans="1:29" x14ac:dyDescent="0.25">
      <c r="A193" s="57" t="str">
        <f>IF('CASE DATA'!A194="","z",'CASE DATA'!A194)</f>
        <v>z</v>
      </c>
      <c r="B193" s="57" t="str">
        <f>IF('CASE DATA'!A194="","",'CASE DATA'!E194)</f>
        <v/>
      </c>
      <c r="C193" s="58">
        <f>'CASE DATA'!D194</f>
        <v>0</v>
      </c>
      <c r="D193" s="59" t="str">
        <f>IF('CASE DATA'!I194="YES",SUM('CASE DATA'!J194:P194),"n/a")</f>
        <v>n/a</v>
      </c>
      <c r="E193" s="60" t="str">
        <f>IF(OR('CASE DATA'!G194="JUV", 'CASE DATA'!G194="JWV"), "YES", "NO")</f>
        <v>NO</v>
      </c>
      <c r="F193" s="60" t="str">
        <f t="array" ref="F193">IF(E193="YES",IF(SUM(COUNTIF('CASE DATA'!$G$4:$G$200, {"GTR","GPL","DEF","JUV"}))&gt;0, "YES","NO"),"N/A")</f>
        <v>N/A</v>
      </c>
      <c r="G193" s="60" t="str">
        <f>IF(E193="YES",IF(COUNTIF('CASE DATA'!$D$4:$D$200, "")-COUNTIF('CASE DATA'!$A$4:$A$200, "")&gt;0, "YES","NO"),"N/A")</f>
        <v>N/A</v>
      </c>
      <c r="H193" s="57" t="str">
        <f>_xlfn.IFS(E193="NO", "N/A", AND('BASIC INFO'!$B$3&gt;'BASIC INFO'!$B$6+6574.5, C193+730.5&lt;'BASIC INFO'!$B$3), "YES", 'BASIC INFO'!$B$3&lt;('BASIC INFO'!$B$6+6574.5), "NOT YET 18", C193+730.5&gt;'BASIC INFO'!$B$3, "NOT YET 2 YEARS")</f>
        <v>N/A</v>
      </c>
      <c r="I193" s="61" t="str">
        <f>IF(OR(AND(LEFT('CASE DATA'!F194,4)="321.",MID('CASE DATA'!A194,8,2)="SM"),MID('CASE DATA'!A194,8,2)="ST",MID('CASE DATA'!A194,8,2)="NT"),"TRAFFIC",IF(OR('CASE DATA'!G194="DISM", 'CASE DATA'!G194="ACQ", 'CASE DATA'!G194="NOTF", 'CASE DATA'!G194="WTHD", 'CASE DATA'!G194="TNSF"), "YES", "NO"))</f>
        <v>NO</v>
      </c>
      <c r="J193" s="62" t="str">
        <f>IF(I193="YES",'CASE DATA'!T194,"N/A")</f>
        <v>N/A</v>
      </c>
      <c r="K193" s="57" t="str">
        <f>IF(I193="YES",IF(C193+180&lt;'BASIC INFO'!$B$3, "YES", "NO"),"N/A")</f>
        <v>N/A</v>
      </c>
      <c r="L193" s="62" t="str">
        <f t="array" ref="L193">IF(I193="TRAFFIC","n/a",IF(OR('CASE DATA'!G194="GTR", 'CASE DATA'!G194="GPL"),IF(SUM(COUNTIF('CASE DATA'!W194:AH194, 'CODE SECTIONS'!$V$2:$V$218&amp;"*"))&gt;0,"felony","eligible"),"n/a"))</f>
        <v>n/a</v>
      </c>
      <c r="M193" s="62" t="str">
        <f t="array" ref="M193">IF(L193="eligible",IF(OR((SUM(COUNTIF('CASE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62" t="str">
        <f>IF(M193="eligible",IF(COUNTIF('CASE DATA'!$D$4:$D$200, "")-COUNTIF('CASE DATA'!$A$4:$A$200, "")&gt;0, "YES","NO"),"N/A")</f>
        <v>N/A</v>
      </c>
      <c r="O193" s="62" t="str">
        <f>IF(M193="eligible",BANKRUPTCY!C194+BANKRUPTCY!D194,"N/A")</f>
        <v>N/A</v>
      </c>
      <c r="P193" s="62" t="str">
        <f>IF(M193="eligible",SOL!C194+SOL!D194+SOL!E194,"N/A")</f>
        <v>N/A</v>
      </c>
      <c r="Q193" s="62" t="str">
        <f>IF(M193="eligible",SUM('CASE DATA'!J194:S194),"N/A")</f>
        <v>N/A</v>
      </c>
      <c r="R193" s="62" t="str">
        <f>IF(M193="eligible",IF(C193+2920&lt;'BASIC INFO'!$B$3, "YES", "NO"),"N/A")</f>
        <v>N/A</v>
      </c>
      <c r="S193" s="61" t="str">
        <f>IF(OR('CASE DATA'!G194="DEF"), "YES", "NO")</f>
        <v>NO</v>
      </c>
      <c r="T193" s="57" t="str">
        <f>IF(S193="YES",'CASE DATA'!I194,"N/A")</f>
        <v>N/A</v>
      </c>
      <c r="U193" s="62" t="str">
        <f>IF(S193="YES",BANKRUPTCY!C194+BANKRUPTCY!D194,"N/A")</f>
        <v>N/A</v>
      </c>
      <c r="V193" s="62" t="str">
        <f>IF(S193="YES",SUM('CASE DATA'!J194:S194),"N/A")</f>
        <v>N/A</v>
      </c>
      <c r="W193" s="57" t="str">
        <f>IF(OR('CASE DATA'!F194="123.46",'CASE DATA'!F194="123.47"),"YES","NO")</f>
        <v>NO</v>
      </c>
      <c r="X193" s="60" t="str">
        <f>IF(W193="YES",COUNTIFS(AD$3:$AD$200,"&gt;"&amp;('CASE DATA'!D194),$AD$3:$AD$200,"&lt;"&amp;('CASE DATA'!D194+730.5)),"n/a")</f>
        <v>n/a</v>
      </c>
      <c r="Y193" s="62" t="str">
        <f>IF(W193="YES",IF(C193+730.5&lt;'BASIC INFO'!$B$3, "YES","NO"), "N/A")</f>
        <v>N/A</v>
      </c>
      <c r="Z193" s="57" t="str">
        <f>IF('CASE DATA'!F194="725.1","YES","NO")</f>
        <v>NO</v>
      </c>
      <c r="AA193" s="57" t="str">
        <f>IF(Z193="YES",IF(C193+730.5&lt;'BASIC INFO'!$B$3, "YES","NO"), "N/A")</f>
        <v>N/A</v>
      </c>
      <c r="AB193" s="57" t="str">
        <f>IF('BASIC INFO'!$B$6+6574.5&gt;C193, "YES", "NO")</f>
        <v>YES</v>
      </c>
      <c r="AC193" s="57" t="str">
        <f>IF(Z193="YES",COUNTIFS(AD$3:$AD$200,"&gt;"&amp;('CASE DATA'!D194),$AD$3:$AD$200,"&lt;"&amp;('CASE DATA'!D194+730.5)),"n/a")</f>
        <v>n/a</v>
      </c>
    </row>
    <row r="194" spans="1:29" x14ac:dyDescent="0.25">
      <c r="A194" s="57" t="str">
        <f>IF('CASE DATA'!A195="","z",'CASE DATA'!A195)</f>
        <v>z</v>
      </c>
      <c r="B194" s="57" t="str">
        <f>IF('CASE DATA'!A195="","",'CASE DATA'!E195)</f>
        <v/>
      </c>
      <c r="C194" s="58">
        <f>'CASE DATA'!D195</f>
        <v>0</v>
      </c>
      <c r="D194" s="59" t="str">
        <f>IF('CASE DATA'!I195="YES",SUM('CASE DATA'!J195:P195),"n/a")</f>
        <v>n/a</v>
      </c>
      <c r="E194" s="60" t="str">
        <f>IF(OR('CASE DATA'!G195="JUV", 'CASE DATA'!G195="JWV"), "YES", "NO")</f>
        <v>NO</v>
      </c>
      <c r="F194" s="60" t="str">
        <f t="array" ref="F194">IF(E194="YES",IF(SUM(COUNTIF('CASE DATA'!$G$4:$G$200, {"GTR","GPL","DEF","JUV"}))&gt;0, "YES","NO"),"N/A")</f>
        <v>N/A</v>
      </c>
      <c r="G194" s="60" t="str">
        <f>IF(E194="YES",IF(COUNTIF('CASE DATA'!$D$4:$D$200, "")-COUNTIF('CASE DATA'!$A$4:$A$200, "")&gt;0, "YES","NO"),"N/A")</f>
        <v>N/A</v>
      </c>
      <c r="H194" s="57" t="str">
        <f>_xlfn.IFS(E194="NO", "N/A", AND('BASIC INFO'!$B$3&gt;'BASIC INFO'!$B$6+6574.5, C194+730.5&lt;'BASIC INFO'!$B$3), "YES", 'BASIC INFO'!$B$3&lt;('BASIC INFO'!$B$6+6574.5), "NOT YET 18", C194+730.5&gt;'BASIC INFO'!$B$3, "NOT YET 2 YEARS")</f>
        <v>N/A</v>
      </c>
      <c r="I194" s="61" t="str">
        <f>IF(OR(AND(LEFT('CASE DATA'!F195,4)="321.",MID('CASE DATA'!A195,8,2)="SM"),MID('CASE DATA'!A195,8,2)="ST",MID('CASE DATA'!A195,8,2)="NT"),"TRAFFIC",IF(OR('CASE DATA'!G195="DISM", 'CASE DATA'!G195="ACQ", 'CASE DATA'!G195="NOTF", 'CASE DATA'!G195="WTHD", 'CASE DATA'!G195="TNSF"), "YES", "NO"))</f>
        <v>NO</v>
      </c>
      <c r="J194" s="62" t="str">
        <f>IF(I194="YES",'CASE DATA'!T195,"N/A")</f>
        <v>N/A</v>
      </c>
      <c r="K194" s="57" t="str">
        <f>IF(I194="YES",IF(C194+180&lt;'BASIC INFO'!$B$3, "YES", "NO"),"N/A")</f>
        <v>N/A</v>
      </c>
      <c r="L194" s="62" t="str">
        <f t="array" ref="L194">IF(I194="TRAFFIC","n/a",IF(OR('CASE DATA'!G195="GTR", 'CASE DATA'!G195="GPL"),IF(SUM(COUNTIF('CASE DATA'!W195:AH195, 'CODE SECTIONS'!$V$2:$V$218&amp;"*"))&gt;0,"felony","eligible"),"n/a"))</f>
        <v>n/a</v>
      </c>
      <c r="M194" s="62" t="str">
        <f t="array" ref="M194">IF(L194="eligible",IF(OR((SUM(COUNTIF('CASE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62" t="str">
        <f>IF(M194="eligible",IF(COUNTIF('CASE DATA'!$D$4:$D$200, "")-COUNTIF('CASE DATA'!$A$4:$A$200, "")&gt;0, "YES","NO"),"N/A")</f>
        <v>N/A</v>
      </c>
      <c r="O194" s="62" t="str">
        <f>IF(M194="eligible",BANKRUPTCY!C195+BANKRUPTCY!D195,"N/A")</f>
        <v>N/A</v>
      </c>
      <c r="P194" s="62" t="str">
        <f>IF(M194="eligible",SOL!C195+SOL!D195+SOL!E195,"N/A")</f>
        <v>N/A</v>
      </c>
      <c r="Q194" s="62" t="str">
        <f>IF(M194="eligible",SUM('CASE DATA'!J195:S195),"N/A")</f>
        <v>N/A</v>
      </c>
      <c r="R194" s="62" t="str">
        <f>IF(M194="eligible",IF(C194+2920&lt;'BASIC INFO'!$B$3, "YES", "NO"),"N/A")</f>
        <v>N/A</v>
      </c>
      <c r="S194" s="61" t="str">
        <f>IF(OR('CASE DATA'!G195="DEF"), "YES", "NO")</f>
        <v>NO</v>
      </c>
      <c r="T194" s="57" t="str">
        <f>IF(S194="YES",'CASE DATA'!I195,"N/A")</f>
        <v>N/A</v>
      </c>
      <c r="U194" s="62" t="str">
        <f>IF(S194="YES",BANKRUPTCY!C195+BANKRUPTCY!D195,"N/A")</f>
        <v>N/A</v>
      </c>
      <c r="V194" s="62" t="str">
        <f>IF(S194="YES",SUM('CASE DATA'!J195:S195),"N/A")</f>
        <v>N/A</v>
      </c>
      <c r="W194" s="57" t="str">
        <f>IF(OR('CASE DATA'!F195="123.46",'CASE DATA'!F195="123.47"),"YES","NO")</f>
        <v>NO</v>
      </c>
      <c r="X194" s="60" t="str">
        <f>IF(W194="YES",COUNTIFS(AD$3:$AD$200,"&gt;"&amp;('CASE DATA'!D195),$AD$3:$AD$200,"&lt;"&amp;('CASE DATA'!D195+730.5)),"n/a")</f>
        <v>n/a</v>
      </c>
      <c r="Y194" s="62" t="str">
        <f>IF(W194="YES",IF(C194+730.5&lt;'BASIC INFO'!$B$3, "YES","NO"), "N/A")</f>
        <v>N/A</v>
      </c>
      <c r="Z194" s="57" t="str">
        <f>IF('CASE DATA'!F195="725.1","YES","NO")</f>
        <v>NO</v>
      </c>
      <c r="AA194" s="57" t="str">
        <f>IF(Z194="YES",IF(C194+730.5&lt;'BASIC INFO'!$B$3, "YES","NO"), "N/A")</f>
        <v>N/A</v>
      </c>
      <c r="AB194" s="57" t="str">
        <f>IF('BASIC INFO'!$B$6+6574.5&gt;C194, "YES", "NO")</f>
        <v>YES</v>
      </c>
      <c r="AC194" s="57" t="str">
        <f>IF(Z194="YES",COUNTIFS(AD$3:$AD$200,"&gt;"&amp;('CASE DATA'!D195),$AD$3:$AD$200,"&lt;"&amp;('CASE DATA'!D195+730.5)),"n/a")</f>
        <v>n/a</v>
      </c>
    </row>
    <row r="195" spans="1:29" x14ac:dyDescent="0.25">
      <c r="A195" s="57" t="str">
        <f>IF('CASE DATA'!A196="","z",'CASE DATA'!A196)</f>
        <v>z</v>
      </c>
      <c r="B195" s="57" t="str">
        <f>IF('CASE DATA'!A196="","",'CASE DATA'!E196)</f>
        <v/>
      </c>
      <c r="C195" s="58">
        <f>'CASE DATA'!D196</f>
        <v>0</v>
      </c>
      <c r="D195" s="59" t="str">
        <f>IF('CASE DATA'!I196="YES",SUM('CASE DATA'!J196:P196),"n/a")</f>
        <v>n/a</v>
      </c>
      <c r="E195" s="60" t="str">
        <f>IF(OR('CASE DATA'!G196="JUV", 'CASE DATA'!G196="JWV"), "YES", "NO")</f>
        <v>NO</v>
      </c>
      <c r="F195" s="60" t="str">
        <f t="array" ref="F195">IF(E195="YES",IF(SUM(COUNTIF('CASE DATA'!$G$4:$G$200, {"GTR","GPL","DEF","JUV"}))&gt;0, "YES","NO"),"N/A")</f>
        <v>N/A</v>
      </c>
      <c r="G195" s="60" t="str">
        <f>IF(E195="YES",IF(COUNTIF('CASE DATA'!$D$4:$D$200, "")-COUNTIF('CASE DATA'!$A$4:$A$200, "")&gt;0, "YES","NO"),"N/A")</f>
        <v>N/A</v>
      </c>
      <c r="H195" s="57" t="str">
        <f>_xlfn.IFS(E195="NO", "N/A", AND('BASIC INFO'!$B$3&gt;'BASIC INFO'!$B$6+6574.5, C195+730.5&lt;'BASIC INFO'!$B$3), "YES", 'BASIC INFO'!$B$3&lt;('BASIC INFO'!$B$6+6574.5), "NOT YET 18", C195+730.5&gt;'BASIC INFO'!$B$3, "NOT YET 2 YEARS")</f>
        <v>N/A</v>
      </c>
      <c r="I195" s="61" t="str">
        <f>IF(OR(AND(LEFT('CASE DATA'!F196,4)="321.",MID('CASE DATA'!A196,8,2)="SM"),MID('CASE DATA'!A196,8,2)="ST",MID('CASE DATA'!A196,8,2)="NT"),"TRAFFIC",IF(OR('CASE DATA'!G196="DISM", 'CASE DATA'!G196="ACQ", 'CASE DATA'!G196="NOTF", 'CASE DATA'!G196="WTHD", 'CASE DATA'!G196="TNSF"), "YES", "NO"))</f>
        <v>NO</v>
      </c>
      <c r="J195" s="62" t="str">
        <f>IF(I195="YES",'CASE DATA'!T196,"N/A")</f>
        <v>N/A</v>
      </c>
      <c r="K195" s="57" t="str">
        <f>IF(I195="YES",IF(C195+180&lt;'BASIC INFO'!$B$3, "YES", "NO"),"N/A")</f>
        <v>N/A</v>
      </c>
      <c r="L195" s="62" t="str">
        <f t="array" ref="L195">IF(I195="TRAFFIC","n/a",IF(OR('CASE DATA'!G196="GTR", 'CASE DATA'!G196="GPL"),IF(SUM(COUNTIF('CASE DATA'!W196:AH196, 'CODE SECTIONS'!$V$2:$V$218&amp;"*"))&gt;0,"felony","eligible"),"n/a"))</f>
        <v>n/a</v>
      </c>
      <c r="M195" s="62" t="str">
        <f t="array" ref="M195">IF(L195="eligible",IF(OR((SUM(COUNTIF('CASE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62" t="str">
        <f>IF(M195="eligible",IF(COUNTIF('CASE DATA'!$D$4:$D$200, "")-COUNTIF('CASE DATA'!$A$4:$A$200, "")&gt;0, "YES","NO"),"N/A")</f>
        <v>N/A</v>
      </c>
      <c r="O195" s="62" t="str">
        <f>IF(M195="eligible",BANKRUPTCY!C196+BANKRUPTCY!D196,"N/A")</f>
        <v>N/A</v>
      </c>
      <c r="P195" s="62" t="str">
        <f>IF(M195="eligible",SOL!C196+SOL!D196+SOL!E196,"N/A")</f>
        <v>N/A</v>
      </c>
      <c r="Q195" s="62" t="str">
        <f>IF(M195="eligible",SUM('CASE DATA'!J196:S196),"N/A")</f>
        <v>N/A</v>
      </c>
      <c r="R195" s="62" t="str">
        <f>IF(M195="eligible",IF(C195+2920&lt;'BASIC INFO'!$B$3, "YES", "NO"),"N/A")</f>
        <v>N/A</v>
      </c>
      <c r="S195" s="61" t="str">
        <f>IF(OR('CASE DATA'!G196="DEF"), "YES", "NO")</f>
        <v>NO</v>
      </c>
      <c r="T195" s="57" t="str">
        <f>IF(S195="YES",'CASE DATA'!I196,"N/A")</f>
        <v>N/A</v>
      </c>
      <c r="U195" s="62" t="str">
        <f>IF(S195="YES",BANKRUPTCY!C196+BANKRUPTCY!D196,"N/A")</f>
        <v>N/A</v>
      </c>
      <c r="V195" s="62" t="str">
        <f>IF(S195="YES",SUM('CASE DATA'!J196:S196),"N/A")</f>
        <v>N/A</v>
      </c>
      <c r="W195" s="57" t="str">
        <f>IF(OR('CASE DATA'!F196="123.46",'CASE DATA'!F196="123.47"),"YES","NO")</f>
        <v>NO</v>
      </c>
      <c r="X195" s="60" t="str">
        <f>IF(W195="YES",COUNTIFS(AD$3:$AD$200,"&gt;"&amp;('CASE DATA'!D196),$AD$3:$AD$200,"&lt;"&amp;('CASE DATA'!D196+730.5)),"n/a")</f>
        <v>n/a</v>
      </c>
      <c r="Y195" s="62" t="str">
        <f>IF(W195="YES",IF(C195+730.5&lt;'BASIC INFO'!$B$3, "YES","NO"), "N/A")</f>
        <v>N/A</v>
      </c>
      <c r="Z195" s="57" t="str">
        <f>IF('CASE DATA'!F196="725.1","YES","NO")</f>
        <v>NO</v>
      </c>
      <c r="AA195" s="57" t="str">
        <f>IF(Z195="YES",IF(C195+730.5&lt;'BASIC INFO'!$B$3, "YES","NO"), "N/A")</f>
        <v>N/A</v>
      </c>
      <c r="AB195" s="57" t="str">
        <f>IF('BASIC INFO'!$B$6+6574.5&gt;C195, "YES", "NO")</f>
        <v>YES</v>
      </c>
      <c r="AC195" s="57" t="str">
        <f>IF(Z195="YES",COUNTIFS(AD$3:$AD$200,"&gt;"&amp;('CASE DATA'!D196),$AD$3:$AD$200,"&lt;"&amp;('CASE DATA'!D196+730.5)),"n/a")</f>
        <v>n/a</v>
      </c>
    </row>
    <row r="196" spans="1:29" x14ac:dyDescent="0.25">
      <c r="A196" s="57" t="str">
        <f>IF('CASE DATA'!A197="","z",'CASE DATA'!A197)</f>
        <v>z</v>
      </c>
      <c r="B196" s="57" t="str">
        <f>IF('CASE DATA'!A197="","",'CASE DATA'!E197)</f>
        <v/>
      </c>
      <c r="C196" s="58">
        <f>'CASE DATA'!D197</f>
        <v>0</v>
      </c>
      <c r="D196" s="59" t="str">
        <f>IF('CASE DATA'!I197="YES",SUM('CASE DATA'!J197:P197),"n/a")</f>
        <v>n/a</v>
      </c>
      <c r="E196" s="60" t="str">
        <f>IF(OR('CASE DATA'!G197="JUV", 'CASE DATA'!G197="JWV"), "YES", "NO")</f>
        <v>NO</v>
      </c>
      <c r="F196" s="60" t="str">
        <f t="array" ref="F196">IF(E196="YES",IF(SUM(COUNTIF('CASE DATA'!$G$4:$G$200, {"GTR","GPL","DEF","JUV"}))&gt;0, "YES","NO"),"N/A")</f>
        <v>N/A</v>
      </c>
      <c r="G196" s="60" t="str">
        <f>IF(E196="YES",IF(COUNTIF('CASE DATA'!$D$4:$D$200, "")-COUNTIF('CASE DATA'!$A$4:$A$200, "")&gt;0, "YES","NO"),"N/A")</f>
        <v>N/A</v>
      </c>
      <c r="H196" s="57" t="str">
        <f>_xlfn.IFS(E196="NO", "N/A", AND('BASIC INFO'!$B$3&gt;'BASIC INFO'!$B$6+6574.5, C196+730.5&lt;'BASIC INFO'!$B$3), "YES", 'BASIC INFO'!$B$3&lt;('BASIC INFO'!$B$6+6574.5), "NOT YET 18", C196+730.5&gt;'BASIC INFO'!$B$3, "NOT YET 2 YEARS")</f>
        <v>N/A</v>
      </c>
      <c r="I196" s="61" t="str">
        <f>IF(OR(AND(LEFT('CASE DATA'!F197,4)="321.",MID('CASE DATA'!A197,8,2)="SM"),MID('CASE DATA'!A197,8,2)="ST",MID('CASE DATA'!A197,8,2)="NT"),"TRAFFIC",IF(OR('CASE DATA'!G197="DISM", 'CASE DATA'!G197="ACQ", 'CASE DATA'!G197="NOTF", 'CASE DATA'!G197="WTHD", 'CASE DATA'!G197="TNSF"), "YES", "NO"))</f>
        <v>NO</v>
      </c>
      <c r="J196" s="62" t="str">
        <f>IF(I196="YES",'CASE DATA'!T197,"N/A")</f>
        <v>N/A</v>
      </c>
      <c r="K196" s="57" t="str">
        <f>IF(I196="YES",IF(C196+180&lt;'BASIC INFO'!$B$3, "YES", "NO"),"N/A")</f>
        <v>N/A</v>
      </c>
      <c r="L196" s="62" t="str">
        <f t="array" ref="L196">IF(I196="TRAFFIC","n/a",IF(OR('CASE DATA'!G197="GTR", 'CASE DATA'!G197="GPL"),IF(SUM(COUNTIF('CASE DATA'!W197:AH197, 'CODE SECTIONS'!$V$2:$V$218&amp;"*"))&gt;0,"felony","eligible"),"n/a"))</f>
        <v>n/a</v>
      </c>
      <c r="M196" s="62" t="str">
        <f t="array" ref="M196">IF(L196="eligible",IF(OR((SUM(COUNTIF('CASE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62" t="str">
        <f>IF(M196="eligible",IF(COUNTIF('CASE DATA'!$D$4:$D$200, "")-COUNTIF('CASE DATA'!$A$4:$A$200, "")&gt;0, "YES","NO"),"N/A")</f>
        <v>N/A</v>
      </c>
      <c r="O196" s="62" t="str">
        <f>IF(M196="eligible",BANKRUPTCY!C197+BANKRUPTCY!D197,"N/A")</f>
        <v>N/A</v>
      </c>
      <c r="P196" s="62" t="str">
        <f>IF(M196="eligible",SOL!C197+SOL!D197+SOL!E197,"N/A")</f>
        <v>N/A</v>
      </c>
      <c r="Q196" s="62" t="str">
        <f>IF(M196="eligible",SUM('CASE DATA'!J197:S197),"N/A")</f>
        <v>N/A</v>
      </c>
      <c r="R196" s="62" t="str">
        <f>IF(M196="eligible",IF(C196+2920&lt;'BASIC INFO'!$B$3, "YES", "NO"),"N/A")</f>
        <v>N/A</v>
      </c>
      <c r="S196" s="61" t="str">
        <f>IF(OR('CASE DATA'!G197="DEF"), "YES", "NO")</f>
        <v>NO</v>
      </c>
      <c r="T196" s="57" t="str">
        <f>IF(S196="YES",'CASE DATA'!I197,"N/A")</f>
        <v>N/A</v>
      </c>
      <c r="U196" s="62" t="str">
        <f>IF(S196="YES",BANKRUPTCY!C197+BANKRUPTCY!D197,"N/A")</f>
        <v>N/A</v>
      </c>
      <c r="V196" s="62" t="str">
        <f>IF(S196="YES",SUM('CASE DATA'!J197:S197),"N/A")</f>
        <v>N/A</v>
      </c>
      <c r="W196" s="57" t="str">
        <f>IF(OR('CASE DATA'!F197="123.46",'CASE DATA'!F197="123.47"),"YES","NO")</f>
        <v>NO</v>
      </c>
      <c r="X196" s="60" t="str">
        <f>IF(W196="YES",COUNTIFS(AD$3:$AD$200,"&gt;"&amp;('CASE DATA'!D197),$AD$3:$AD$200,"&lt;"&amp;('CASE DATA'!D197+730.5)),"n/a")</f>
        <v>n/a</v>
      </c>
      <c r="Y196" s="62" t="str">
        <f>IF(W196="YES",IF(C196+730.5&lt;'BASIC INFO'!$B$3, "YES","NO"), "N/A")</f>
        <v>N/A</v>
      </c>
      <c r="Z196" s="57" t="str">
        <f>IF('CASE DATA'!F197="725.1","YES","NO")</f>
        <v>NO</v>
      </c>
      <c r="AA196" s="57" t="str">
        <f>IF(Z196="YES",IF(C196+730.5&lt;'BASIC INFO'!$B$3, "YES","NO"), "N/A")</f>
        <v>N/A</v>
      </c>
      <c r="AB196" s="57" t="str">
        <f>IF('BASIC INFO'!$B$6+6574.5&gt;C196, "YES", "NO")</f>
        <v>YES</v>
      </c>
      <c r="AC196" s="57" t="str">
        <f>IF(Z196="YES",COUNTIFS(AD$3:$AD$200,"&gt;"&amp;('CASE DATA'!D197),$AD$3:$AD$200,"&lt;"&amp;('CASE DATA'!D197+730.5)),"n/a")</f>
        <v>n/a</v>
      </c>
    </row>
    <row r="197" spans="1:29" x14ac:dyDescent="0.25">
      <c r="A197" s="57" t="str">
        <f>IF('CASE DATA'!A198="","z",'CASE DATA'!A198)</f>
        <v>z</v>
      </c>
      <c r="B197" s="57" t="str">
        <f>IF('CASE DATA'!A198="","",'CASE DATA'!E198)</f>
        <v/>
      </c>
      <c r="C197" s="58">
        <f>'CASE DATA'!D198</f>
        <v>0</v>
      </c>
      <c r="D197" s="59" t="str">
        <f>IF('CASE DATA'!I198="YES",SUM('CASE DATA'!J198:P198),"n/a")</f>
        <v>n/a</v>
      </c>
      <c r="E197" s="60" t="str">
        <f>IF(OR('CASE DATA'!G198="JUV", 'CASE DATA'!G198="JWV"), "YES", "NO")</f>
        <v>NO</v>
      </c>
      <c r="F197" s="60" t="str">
        <f t="array" ref="F197">IF(E197="YES",IF(SUM(COUNTIF('CASE DATA'!$G$4:$G$200, {"GTR","GPL","DEF","JUV"}))&gt;0, "YES","NO"),"N/A")</f>
        <v>N/A</v>
      </c>
      <c r="G197" s="60" t="str">
        <f>IF(E197="YES",IF(COUNTIF('CASE DATA'!$D$4:$D$200, "")-COUNTIF('CASE DATA'!$A$4:$A$200, "")&gt;0, "YES","NO"),"N/A")</f>
        <v>N/A</v>
      </c>
      <c r="H197" s="57" t="str">
        <f>_xlfn.IFS(E197="NO", "N/A", AND('BASIC INFO'!$B$3&gt;'BASIC INFO'!$B$6+6574.5, C197+730.5&lt;'BASIC INFO'!$B$3), "YES", 'BASIC INFO'!$B$3&lt;('BASIC INFO'!$B$6+6574.5), "NOT YET 18", C197+730.5&gt;'BASIC INFO'!$B$3, "NOT YET 2 YEARS")</f>
        <v>N/A</v>
      </c>
      <c r="I197" s="61" t="str">
        <f>IF(OR(AND(LEFT('CASE DATA'!F198,4)="321.",MID('CASE DATA'!A198,8,2)="SM"),MID('CASE DATA'!A198,8,2)="ST",MID('CASE DATA'!A198,8,2)="NT"),"TRAFFIC",IF(OR('CASE DATA'!G198="DISM", 'CASE DATA'!G198="ACQ", 'CASE DATA'!G198="NOTF", 'CASE DATA'!G198="WTHD", 'CASE DATA'!G198="TNSF"), "YES", "NO"))</f>
        <v>NO</v>
      </c>
      <c r="J197" s="62" t="str">
        <f>IF(I197="YES",'CASE DATA'!T198,"N/A")</f>
        <v>N/A</v>
      </c>
      <c r="K197" s="57" t="str">
        <f>IF(I197="YES",IF(C197+180&lt;'BASIC INFO'!$B$3, "YES", "NO"),"N/A")</f>
        <v>N/A</v>
      </c>
      <c r="L197" s="62" t="str">
        <f t="array" ref="L197">IF(I197="TRAFFIC","n/a",IF(OR('CASE DATA'!G198="GTR", 'CASE DATA'!G198="GPL"),IF(SUM(COUNTIF('CASE DATA'!W198:AH198, 'CODE SECTIONS'!$V$2:$V$218&amp;"*"))&gt;0,"felony","eligible"),"n/a"))</f>
        <v>n/a</v>
      </c>
      <c r="M197" s="62" t="str">
        <f t="array" ref="M197">IF(L197="eligible",IF(OR((SUM(COUNTIF('CASE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62" t="str">
        <f>IF(M197="eligible",IF(COUNTIF('CASE DATA'!$D$4:$D$200, "")-COUNTIF('CASE DATA'!$A$4:$A$200, "")&gt;0, "YES","NO"),"N/A")</f>
        <v>N/A</v>
      </c>
      <c r="O197" s="62" t="str">
        <f>IF(M197="eligible",BANKRUPTCY!C198+BANKRUPTCY!D198,"N/A")</f>
        <v>N/A</v>
      </c>
      <c r="P197" s="62" t="str">
        <f>IF(M197="eligible",SOL!C198+SOL!D198+SOL!E198,"N/A")</f>
        <v>N/A</v>
      </c>
      <c r="Q197" s="62" t="str">
        <f>IF(M197="eligible",SUM('CASE DATA'!J198:S198),"N/A")</f>
        <v>N/A</v>
      </c>
      <c r="R197" s="62" t="str">
        <f>IF(M197="eligible",IF(C197+2920&lt;'BASIC INFO'!$B$3, "YES", "NO"),"N/A")</f>
        <v>N/A</v>
      </c>
      <c r="S197" s="61" t="str">
        <f>IF(OR('CASE DATA'!G198="DEF"), "YES", "NO")</f>
        <v>NO</v>
      </c>
      <c r="T197" s="57" t="str">
        <f>IF(S197="YES",'CASE DATA'!I198,"N/A")</f>
        <v>N/A</v>
      </c>
      <c r="U197" s="62" t="str">
        <f>IF(S197="YES",BANKRUPTCY!C198+BANKRUPTCY!D198,"N/A")</f>
        <v>N/A</v>
      </c>
      <c r="V197" s="62" t="str">
        <f>IF(S197="YES",SUM('CASE DATA'!J198:S198),"N/A")</f>
        <v>N/A</v>
      </c>
      <c r="W197" s="57" t="str">
        <f>IF(OR('CASE DATA'!F198="123.46",'CASE DATA'!F198="123.47"),"YES","NO")</f>
        <v>NO</v>
      </c>
      <c r="X197" s="60" t="str">
        <f>IF(W197="YES",COUNTIFS(AD$3:$AD$200,"&gt;"&amp;('CASE DATA'!D198),$AD$3:$AD$200,"&lt;"&amp;('CASE DATA'!D198+730.5)),"n/a")</f>
        <v>n/a</v>
      </c>
      <c r="Y197" s="62" t="str">
        <f>IF(W197="YES",IF(C197+730.5&lt;'BASIC INFO'!$B$3, "YES","NO"), "N/A")</f>
        <v>N/A</v>
      </c>
      <c r="Z197" s="57" t="str">
        <f>IF('CASE DATA'!F198="725.1","YES","NO")</f>
        <v>NO</v>
      </c>
      <c r="AA197" s="57" t="str">
        <f>IF(Z197="YES",IF(C197+730.5&lt;'BASIC INFO'!$B$3, "YES","NO"), "N/A")</f>
        <v>N/A</v>
      </c>
      <c r="AB197" s="57" t="str">
        <f>IF('BASIC INFO'!$B$6+6574.5&gt;C197, "YES", "NO")</f>
        <v>YES</v>
      </c>
      <c r="AC197" s="57" t="str">
        <f>IF(Z197="YES",COUNTIFS(AD$3:$AD$200,"&gt;"&amp;('CASE DATA'!D198),$AD$3:$AD$200,"&lt;"&amp;('CASE DATA'!D198+730.5)),"n/a")</f>
        <v>n/a</v>
      </c>
    </row>
    <row r="198" spans="1:29" x14ac:dyDescent="0.25">
      <c r="A198" s="57" t="str">
        <f>IF('CASE DATA'!A199="","z",'CASE DATA'!A199)</f>
        <v>z</v>
      </c>
      <c r="B198" s="57" t="str">
        <f>IF('CASE DATA'!A199="","",'CASE DATA'!E199)</f>
        <v/>
      </c>
      <c r="C198" s="58">
        <f>'CASE DATA'!D199</f>
        <v>0</v>
      </c>
      <c r="D198" s="59" t="str">
        <f>IF('CASE DATA'!I199="YES",SUM('CASE DATA'!J199:P199),"n/a")</f>
        <v>n/a</v>
      </c>
      <c r="E198" s="60" t="str">
        <f>IF(OR('CASE DATA'!G199="JUV", 'CASE DATA'!G199="JWV"), "YES", "NO")</f>
        <v>NO</v>
      </c>
      <c r="F198" s="60" t="str">
        <f t="array" ref="F198">IF(E198="YES",IF(SUM(COUNTIF('CASE DATA'!$G$4:$G$200, {"GTR","GPL","DEF","JUV"}))&gt;0, "YES","NO"),"N/A")</f>
        <v>N/A</v>
      </c>
      <c r="G198" s="60" t="str">
        <f>IF(E198="YES",IF(COUNTIF('CASE DATA'!$D$4:$D$200, "")-COUNTIF('CASE DATA'!$A$4:$A$200, "")&gt;0, "YES","NO"),"N/A")</f>
        <v>N/A</v>
      </c>
      <c r="H198" s="57" t="str">
        <f>_xlfn.IFS(E198="NO", "N/A", AND('BASIC INFO'!$B$3&gt;'BASIC INFO'!$B$6+6574.5, C198+730.5&lt;'BASIC INFO'!$B$3), "YES", 'BASIC INFO'!$B$3&lt;('BASIC INFO'!$B$6+6574.5), "NOT YET 18", C198+730.5&gt;'BASIC INFO'!$B$3, "NOT YET 2 YEARS")</f>
        <v>N/A</v>
      </c>
      <c r="I198" s="61" t="str">
        <f>IF(OR(AND(LEFT('CASE DATA'!F199,4)="321.",MID('CASE DATA'!A199,8,2)="SM"),MID('CASE DATA'!A199,8,2)="ST",MID('CASE DATA'!A199,8,2)="NT"),"TRAFFIC",IF(OR('CASE DATA'!G199="DISM", 'CASE DATA'!G199="ACQ", 'CASE DATA'!G199="NOTF", 'CASE DATA'!G199="WTHD", 'CASE DATA'!G199="TNSF"), "YES", "NO"))</f>
        <v>NO</v>
      </c>
      <c r="J198" s="62" t="str">
        <f>IF(I198="YES",'CASE DATA'!T199,"N/A")</f>
        <v>N/A</v>
      </c>
      <c r="K198" s="57" t="str">
        <f>IF(I198="YES",IF(C198+180&lt;'BASIC INFO'!$B$3, "YES", "NO"),"N/A")</f>
        <v>N/A</v>
      </c>
      <c r="L198" s="62" t="str">
        <f t="array" ref="L198">IF(I198="TRAFFIC","n/a",IF(OR('CASE DATA'!G199="GTR", 'CASE DATA'!G199="GPL"),IF(SUM(COUNTIF('CASE DATA'!W199:AH199, 'CODE SECTIONS'!$V$2:$V$218&amp;"*"))&gt;0,"felony","eligible"),"n/a"))</f>
        <v>n/a</v>
      </c>
      <c r="M198" s="62" t="str">
        <f t="array" ref="M198">IF(L198="eligible",IF(OR((SUM(COUNTIF('CASE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62" t="str">
        <f>IF(M198="eligible",IF(COUNTIF('CASE DATA'!$D$4:$D$200, "")-COUNTIF('CASE DATA'!$A$4:$A$200, "")&gt;0, "YES","NO"),"N/A")</f>
        <v>N/A</v>
      </c>
      <c r="O198" s="62" t="str">
        <f>IF(M198="eligible",BANKRUPTCY!C199+BANKRUPTCY!D199,"N/A")</f>
        <v>N/A</v>
      </c>
      <c r="P198" s="62" t="str">
        <f>IF(M198="eligible",SOL!C199+SOL!D199+SOL!E199,"N/A")</f>
        <v>N/A</v>
      </c>
      <c r="Q198" s="62" t="str">
        <f>IF(M198="eligible",SUM('CASE DATA'!J199:S199),"N/A")</f>
        <v>N/A</v>
      </c>
      <c r="R198" s="62" t="str">
        <f>IF(M198="eligible",IF(C198+2920&lt;'BASIC INFO'!$B$3, "YES", "NO"),"N/A")</f>
        <v>N/A</v>
      </c>
      <c r="S198" s="61" t="str">
        <f>IF(OR('CASE DATA'!G199="DEF"), "YES", "NO")</f>
        <v>NO</v>
      </c>
      <c r="T198" s="57" t="str">
        <f>IF(S198="YES",'CASE DATA'!I199,"N/A")</f>
        <v>N/A</v>
      </c>
      <c r="U198" s="62" t="str">
        <f>IF(S198="YES",BANKRUPTCY!C199+BANKRUPTCY!D199,"N/A")</f>
        <v>N/A</v>
      </c>
      <c r="V198" s="62" t="str">
        <f>IF(S198="YES",SUM('CASE DATA'!J199:S199),"N/A")</f>
        <v>N/A</v>
      </c>
      <c r="W198" s="57" t="str">
        <f>IF(OR('CASE DATA'!F199="123.46",'CASE DATA'!F199="123.47"),"YES","NO")</f>
        <v>NO</v>
      </c>
      <c r="X198" s="60" t="str">
        <f>IF(W198="YES",COUNTIFS(AD$3:$AD$200,"&gt;"&amp;('CASE DATA'!D199),$AD$3:$AD$200,"&lt;"&amp;('CASE DATA'!D199+730.5)),"n/a")</f>
        <v>n/a</v>
      </c>
      <c r="Y198" s="62" t="str">
        <f>IF(W198="YES",IF(C198+730.5&lt;'BASIC INFO'!$B$3, "YES","NO"), "N/A")</f>
        <v>N/A</v>
      </c>
      <c r="Z198" s="57" t="str">
        <f>IF('CASE DATA'!F199="725.1","YES","NO")</f>
        <v>NO</v>
      </c>
      <c r="AA198" s="57" t="str">
        <f>IF(Z198="YES",IF(C198+730.5&lt;'BASIC INFO'!$B$3, "YES","NO"), "N/A")</f>
        <v>N/A</v>
      </c>
      <c r="AB198" s="57" t="str">
        <f>IF('BASIC INFO'!$B$6+6574.5&gt;C198, "YES", "NO")</f>
        <v>YES</v>
      </c>
      <c r="AC198" s="57" t="str">
        <f>IF(Z198="YES",COUNTIFS(AD$3:$AD$200,"&gt;"&amp;('CASE DATA'!D199),$AD$3:$AD$200,"&lt;"&amp;('CASE DATA'!D199+730.5)),"n/a")</f>
        <v>n/a</v>
      </c>
    </row>
    <row r="199" spans="1:29" x14ac:dyDescent="0.25">
      <c r="A199" s="57" t="str">
        <f>IF('CASE DATA'!A200="","z",'CASE DATA'!A200)</f>
        <v>z</v>
      </c>
      <c r="B199" s="57" t="str">
        <f>IF('CASE DATA'!A200="","",'CASE DATA'!E200)</f>
        <v/>
      </c>
      <c r="C199" s="58">
        <f>'CASE DATA'!D200</f>
        <v>0</v>
      </c>
      <c r="D199" s="59" t="str">
        <f>IF('CASE DATA'!I200="YES",SUM('CASE DATA'!J200:P200),"n/a")</f>
        <v>n/a</v>
      </c>
      <c r="E199" s="60" t="str">
        <f>IF(OR('CASE DATA'!G200="JUV", 'CASE DATA'!G200="JWV"), "YES", "NO")</f>
        <v>NO</v>
      </c>
      <c r="F199" s="60" t="str">
        <f t="array" ref="F199">IF(E199="YES",IF(SUM(COUNTIF('CASE DATA'!$G$4:$G$200, {"GTR","GPL","DEF","JUV"}))&gt;0, "YES","NO"),"N/A")</f>
        <v>N/A</v>
      </c>
      <c r="G199" s="60" t="str">
        <f>IF(E199="YES",IF(COUNTIF('CASE DATA'!$D$4:$D$200, "")-COUNTIF('CASE DATA'!$A$4:$A$200, "")&gt;0, "YES","NO"),"N/A")</f>
        <v>N/A</v>
      </c>
      <c r="H199" s="57" t="str">
        <f>_xlfn.IFS(E199="NO", "N/A", AND('BASIC INFO'!$B$3&gt;'BASIC INFO'!$B$6+6574.5, C199+730.5&lt;'BASIC INFO'!$B$3), "YES", 'BASIC INFO'!$B$3&lt;('BASIC INFO'!$B$6+6574.5), "NOT YET 18", C199+730.5&gt;'BASIC INFO'!$B$3, "NOT YET 2 YEARS")</f>
        <v>N/A</v>
      </c>
      <c r="I199" s="61" t="str">
        <f>IF(OR(AND(LEFT('CASE DATA'!F200,4)="321.",MID('CASE DATA'!A200,8,2)="SM"),MID('CASE DATA'!A200,8,2)="ST",MID('CASE DATA'!A200,8,2)="NT"),"TRAFFIC",IF(OR('CASE DATA'!G200="DISM", 'CASE DATA'!G200="ACQ", 'CASE DATA'!G200="NOTF", 'CASE DATA'!G200="WTHD", 'CASE DATA'!G200="TNSF"), "YES", "NO"))</f>
        <v>NO</v>
      </c>
      <c r="J199" s="62" t="str">
        <f>IF(I199="YES",'CASE DATA'!T200,"N/A")</f>
        <v>N/A</v>
      </c>
      <c r="K199" s="57" t="str">
        <f>IF(I199="YES",IF(C199+180&lt;'BASIC INFO'!$B$3, "YES", "NO"),"N/A")</f>
        <v>N/A</v>
      </c>
      <c r="L199" s="62" t="str">
        <f t="array" ref="L199">IF(I199="TRAFFIC","n/a",IF(OR('CASE DATA'!G200="GTR", 'CASE DATA'!G200="GPL"),IF(SUM(COUNTIF('CASE DATA'!W200:AH200, 'CODE SECTIONS'!$V$2:$V$218&amp;"*"))&gt;0,"felony","eligible"),"n/a"))</f>
        <v>n/a</v>
      </c>
      <c r="M199" s="62" t="str">
        <f t="array" ref="M199">IF(L199="eligible",IF(OR((SUM(COUNTIF('CASE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62" t="str">
        <f>IF(M199="eligible",IF(COUNTIF('CASE DATA'!$D$4:$D$200, "")-COUNTIF('CASE DATA'!$A$4:$A$200, "")&gt;0, "YES","NO"),"N/A")</f>
        <v>N/A</v>
      </c>
      <c r="O199" s="62" t="str">
        <f>IF(M199="eligible",BANKRUPTCY!C200+BANKRUPTCY!D200,"N/A")</f>
        <v>N/A</v>
      </c>
      <c r="P199" s="62" t="str">
        <f>IF(M199="eligible",SOL!C200+SOL!D200+SOL!E200,"N/A")</f>
        <v>N/A</v>
      </c>
      <c r="Q199" s="62" t="str">
        <f>IF(M199="eligible",SUM('CASE DATA'!J200:S200),"N/A")</f>
        <v>N/A</v>
      </c>
      <c r="R199" s="62" t="str">
        <f>IF(M199="eligible",IF(C199+2920&lt;'BASIC INFO'!$B$3, "YES", "NO"),"N/A")</f>
        <v>N/A</v>
      </c>
      <c r="S199" s="61" t="str">
        <f>IF(OR('CASE DATA'!G200="DEF"), "YES", "NO")</f>
        <v>NO</v>
      </c>
      <c r="T199" s="57" t="str">
        <f>IF(S199="YES",'CASE DATA'!I200,"N/A")</f>
        <v>N/A</v>
      </c>
      <c r="U199" s="62" t="str">
        <f>IF(S199="YES",BANKRUPTCY!C200+BANKRUPTCY!D200,"N/A")</f>
        <v>N/A</v>
      </c>
      <c r="V199" s="62" t="str">
        <f>IF(S199="YES",SUM('CASE DATA'!J200:S200),"N/A")</f>
        <v>N/A</v>
      </c>
      <c r="W199" s="57" t="str">
        <f>IF(OR('CASE DATA'!F200="123.46",'CASE DATA'!F200="123.47"),"YES","NO")</f>
        <v>NO</v>
      </c>
      <c r="X199" s="60" t="str">
        <f>IF(W199="YES",COUNTIFS(AD$3:$AD$200,"&gt;"&amp;('CASE DATA'!D200),$AD$3:$AD$200,"&lt;"&amp;('CASE DATA'!D200+730.5)),"n/a")</f>
        <v>n/a</v>
      </c>
      <c r="Y199" s="62" t="str">
        <f>IF(W199="YES",IF(C199+730.5&lt;'BASIC INFO'!$B$3, "YES","NO"), "N/A")</f>
        <v>N/A</v>
      </c>
      <c r="Z199" s="57" t="str">
        <f>IF('CASE DATA'!F200="725.1","YES","NO")</f>
        <v>NO</v>
      </c>
      <c r="AA199" s="57" t="str">
        <f>IF(Z199="YES",IF(C199+730.5&lt;'BASIC INFO'!$B$3, "YES","NO"), "N/A")</f>
        <v>N/A</v>
      </c>
      <c r="AB199" s="57" t="str">
        <f>IF('BASIC INFO'!$B$6+6574.5&gt;C199, "YES", "NO")</f>
        <v>YES</v>
      </c>
      <c r="AC199" s="57" t="str">
        <f>IF(Z199="YES",COUNTIFS(AD$3:$AD$200,"&gt;"&amp;('CASE DATA'!D200),$AD$3:$AD$200,"&lt;"&amp;('CASE DATA'!D200+730.5)),"n/a")</f>
        <v>n/a</v>
      </c>
    </row>
    <row r="200" spans="1:29" x14ac:dyDescent="0.25">
      <c r="A200" s="57" t="str">
        <f>IF('CASE DATA'!A201="","z",'CASE DATA'!A201)</f>
        <v>z</v>
      </c>
      <c r="B200" s="57" t="str">
        <f>IF('CASE DATA'!A201="","",'CASE DATA'!E201)</f>
        <v/>
      </c>
      <c r="C200" s="58">
        <f>'CASE DATA'!D201</f>
        <v>0</v>
      </c>
      <c r="D200" s="59" t="str">
        <f>IF('CASE DATA'!I201="YES",SUM('CASE DATA'!J201:P201),"n/a")</f>
        <v>n/a</v>
      </c>
      <c r="E200" s="60" t="str">
        <f>IF(OR('CASE DATA'!G201="JUV", 'CASE DATA'!G201="JWV"), "YES", "NO")</f>
        <v>NO</v>
      </c>
      <c r="F200" s="60" t="str">
        <f t="array" ref="F200">IF(E200="YES",IF(SUM(COUNTIF('CASE DATA'!$G$4:$G$200, {"GTR","GPL","DEF","JUV"}))&gt;0, "YES","NO"),"N/A")</f>
        <v>N/A</v>
      </c>
      <c r="G200" s="60" t="str">
        <f>IF(E200="YES",IF(COUNTIF('CASE DATA'!$D$4:$D$200, "")-COUNTIF('CASE DATA'!$A$4:$A$200, "")&gt;0, "YES","NO"),"N/A")</f>
        <v>N/A</v>
      </c>
      <c r="H200" s="57" t="str">
        <f>_xlfn.IFS(E200="NO", "N/A", AND('BASIC INFO'!$B$3&gt;'BASIC INFO'!$B$6+6574.5, C200+730.5&lt;'BASIC INFO'!$B$3), "YES", 'BASIC INFO'!$B$3&lt;('BASIC INFO'!$B$6+6574.5), "NOT YET 18", C200+730.5&gt;'BASIC INFO'!$B$3, "NOT YET 2 YEARS")</f>
        <v>N/A</v>
      </c>
      <c r="I200" s="61" t="str">
        <f>IF(OR(AND(LEFT('CASE DATA'!F201,4)="321.",MID('CASE DATA'!A201,8,2)="SM"),MID('CASE DATA'!A201,8,2)="ST",MID('CASE DATA'!A201,8,2)="NT"),"TRAFFIC",IF(OR('CASE DATA'!G201="DISM", 'CASE DATA'!G201="ACQ", 'CASE DATA'!G201="NOTF", 'CASE DATA'!G201="WTHD", 'CASE DATA'!G201="TNSF"), "YES", "NO"))</f>
        <v>NO</v>
      </c>
      <c r="J200" s="62" t="str">
        <f>IF(I200="YES",'CASE DATA'!T201,"N/A")</f>
        <v>N/A</v>
      </c>
      <c r="K200" s="57" t="str">
        <f>IF(I200="YES",IF(C200+180&lt;'BASIC INFO'!$B$3, "YES", "NO"),"N/A")</f>
        <v>N/A</v>
      </c>
      <c r="L200" s="62" t="str">
        <f t="array" ref="L200">IF(I200="TRAFFIC","n/a",IF(OR('CASE DATA'!G201="GTR", 'CASE DATA'!G201="GPL"),IF(SUM(COUNTIF('CASE DATA'!W201:AH201, 'CODE SECTIONS'!$V$2:$V$218&amp;"*"))&gt;0,"felony","eligible"),"n/a"))</f>
        <v>n/a</v>
      </c>
      <c r="M200" s="62" t="str">
        <f t="array" ref="M200">IF(L200="eligible",IF(OR((SUM(COUNTIF('CASE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62" t="str">
        <f>IF(M200="eligible",IF(COUNTIF('CASE DATA'!$D$4:$D$200, "")-COUNTIF('CASE DATA'!$A$4:$A$200, "")&gt;0, "YES","NO"),"N/A")</f>
        <v>N/A</v>
      </c>
      <c r="O200" s="62" t="str">
        <f>IF(M200="eligible",BANKRUPTCY!C201+BANKRUPTCY!D201,"N/A")</f>
        <v>N/A</v>
      </c>
      <c r="P200" s="62" t="str">
        <f>IF(M200="eligible",SOL!C201+SOL!D201+SOL!E201,"N/A")</f>
        <v>N/A</v>
      </c>
      <c r="Q200" s="62" t="str">
        <f>IF(M200="eligible",SUM('CASE DATA'!J201:S201),"N/A")</f>
        <v>N/A</v>
      </c>
      <c r="R200" s="62" t="str">
        <f>IF(M200="eligible",IF(C200+2920&lt;'BASIC INFO'!$B$3, "YES", "NO"),"N/A")</f>
        <v>N/A</v>
      </c>
      <c r="S200" s="61" t="str">
        <f>IF(OR('CASE DATA'!G201="DEF"), "YES", "NO")</f>
        <v>NO</v>
      </c>
      <c r="T200" s="57" t="str">
        <f>IF(S200="YES",'CASE DATA'!I201,"N/A")</f>
        <v>N/A</v>
      </c>
      <c r="U200" s="62" t="str">
        <f>IF(S200="YES",BANKRUPTCY!C201+BANKRUPTCY!D201,"N/A")</f>
        <v>N/A</v>
      </c>
      <c r="V200" s="62" t="str">
        <f>IF(S200="YES",SUM('CASE DATA'!J201:S201),"N/A")</f>
        <v>N/A</v>
      </c>
      <c r="W200" s="57" t="str">
        <f>IF(OR('CASE DATA'!F201="123.46",'CASE DATA'!F201="123.47"),"YES","NO")</f>
        <v>NO</v>
      </c>
      <c r="X200" s="60" t="str">
        <f>IF(W200="YES",COUNTIFS(AD$3:$AD$200,"&gt;"&amp;('CASE DATA'!D201),$AD$3:$AD$200,"&lt;"&amp;('CASE DATA'!D201+730.5)),"n/a")</f>
        <v>n/a</v>
      </c>
      <c r="Y200" s="62" t="str">
        <f>IF(W200="YES",IF(C200+730.5&lt;'BASIC INFO'!$B$3, "YES","NO"), "N/A")</f>
        <v>N/A</v>
      </c>
      <c r="Z200" s="57" t="str">
        <f>IF('CASE DATA'!F201="725.1","YES","NO")</f>
        <v>NO</v>
      </c>
      <c r="AA200" s="57" t="str">
        <f>IF(Z200="YES",IF(C200+730.5&lt;'BASIC INFO'!$B$3, "YES","NO"), "N/A")</f>
        <v>N/A</v>
      </c>
      <c r="AB200" s="57" t="str">
        <f>IF('BASIC INFO'!$B$6+6574.5&gt;C200, "YES", "NO")</f>
        <v>YES</v>
      </c>
      <c r="AC200" s="57" t="str">
        <f>IF(Z200="YES",COUNTIFS(AD$3:$AD$200,"&gt;"&amp;('CASE DATA'!D201),$AD$3:$AD$200,"&lt;"&amp;('CASE DATA'!D201+730.5)),"n/a")</f>
        <v>n/a</v>
      </c>
    </row>
  </sheetData>
  <autoFilter ref="A2:AC2" xr:uid="{00000000-0009-0000-0000-000002000000}">
    <sortState xmlns:xlrd2="http://schemas.microsoft.com/office/spreadsheetml/2017/richdata2" ref="A2:AC3">
      <sortCondition ref="A2:A3"/>
    </sortState>
  </autoFilter>
  <mergeCells count="7">
    <mergeCell ref="W1:Y1"/>
    <mergeCell ref="Z1:AC1"/>
    <mergeCell ref="A1:C1"/>
    <mergeCell ref="E1:H1"/>
    <mergeCell ref="I1:K1"/>
    <mergeCell ref="L1:R1"/>
    <mergeCell ref="S1:V1"/>
  </mergeCells>
  <conditionalFormatting sqref="A3:C200">
    <cfRule type="expression" dxfId="99" priority="2">
      <formula>$A3="z"</formula>
    </cfRule>
  </conditionalFormatting>
  <conditionalFormatting sqref="D3:D200">
    <cfRule type="expression" dxfId="98" priority="3">
      <formula>D3="n/a"</formula>
    </cfRule>
  </conditionalFormatting>
  <conditionalFormatting sqref="E3:E200">
    <cfRule type="cellIs" dxfId="97" priority="4" operator="equal">
      <formula>"NO"</formula>
    </cfRule>
    <cfRule type="cellIs" dxfId="96" priority="5" operator="equal">
      <formula>"YES"</formula>
    </cfRule>
  </conditionalFormatting>
  <conditionalFormatting sqref="F3:G200">
    <cfRule type="cellIs" dxfId="95" priority="6" operator="equal">
      <formula>"NO"</formula>
    </cfRule>
    <cfRule type="cellIs" dxfId="94" priority="7" operator="equal">
      <formula>"YES"</formula>
    </cfRule>
  </conditionalFormatting>
  <conditionalFormatting sqref="F3:H200">
    <cfRule type="cellIs" dxfId="93" priority="8" operator="equal">
      <formula>"N/A"</formula>
    </cfRule>
  </conditionalFormatting>
  <conditionalFormatting sqref="H3:H200">
    <cfRule type="cellIs" dxfId="92" priority="9" operator="equal">
      <formula>"NOT YET 18"</formula>
    </cfRule>
    <cfRule type="cellIs" dxfId="91" priority="10" operator="equal">
      <formula>"NOT YET 2 YEARS"</formula>
    </cfRule>
    <cfRule type="cellIs" dxfId="90" priority="11" operator="equal">
      <formula>"NO"</formula>
    </cfRule>
    <cfRule type="cellIs" dxfId="89" priority="12" operator="equal">
      <formula>"YES"</formula>
    </cfRule>
  </conditionalFormatting>
  <conditionalFormatting sqref="I3:I200">
    <cfRule type="cellIs" dxfId="88" priority="13" operator="equal">
      <formula>"TRAFFIC"</formula>
    </cfRule>
    <cfRule type="cellIs" dxfId="87" priority="14" operator="equal">
      <formula>"NO"</formula>
    </cfRule>
    <cfRule type="cellIs" dxfId="86" priority="15" operator="equal">
      <formula>"YES"</formula>
    </cfRule>
  </conditionalFormatting>
  <conditionalFormatting sqref="J3:J200">
    <cfRule type="cellIs" dxfId="85" priority="16" operator="equal">
      <formula>0</formula>
    </cfRule>
    <cfRule type="cellIs" dxfId="84" priority="17" operator="equal">
      <formula>"N/A"</formula>
    </cfRule>
    <cfRule type="cellIs" dxfId="83" priority="18" operator="greaterThan">
      <formula>0</formula>
    </cfRule>
  </conditionalFormatting>
  <conditionalFormatting sqref="K3:K200">
    <cfRule type="cellIs" dxfId="82" priority="19" operator="equal">
      <formula>"YES"</formula>
    </cfRule>
    <cfRule type="cellIs" dxfId="81" priority="20" operator="equal">
      <formula>"NO"</formula>
    </cfRule>
    <cfRule type="cellIs" dxfId="80" priority="21" operator="equal">
      <formula>"N/A"</formula>
    </cfRule>
  </conditionalFormatting>
  <conditionalFormatting sqref="L3:L200">
    <cfRule type="cellIs" dxfId="79" priority="22" operator="equal">
      <formula>"felony"</formula>
    </cfRule>
  </conditionalFormatting>
  <conditionalFormatting sqref="L4">
    <cfRule type="expression" dxfId="78" priority="23">
      <formula>$L4="Traffic"</formula>
    </cfRule>
    <cfRule type="cellIs" dxfId="77" priority="24" operator="equal">
      <formula>"N/A"</formula>
    </cfRule>
    <cfRule type="cellIs" dxfId="76" priority="25" operator="equal">
      <formula>"felony"</formula>
    </cfRule>
    <cfRule type="cellIs" dxfId="75" priority="26" operator="equal">
      <formula>"eligible"</formula>
    </cfRule>
  </conditionalFormatting>
  <conditionalFormatting sqref="L3:M200">
    <cfRule type="cellIs" dxfId="74" priority="27" operator="equal">
      <formula>"N/A"</formula>
    </cfRule>
    <cfRule type="cellIs" dxfId="73" priority="28" operator="equal">
      <formula>"eligible"</formula>
    </cfRule>
  </conditionalFormatting>
  <conditionalFormatting sqref="L3:R200">
    <cfRule type="expression" dxfId="72" priority="29">
      <formula>$L3="Traffic"</formula>
    </cfRule>
    <cfRule type="cellIs" dxfId="71" priority="30" operator="equal">
      <formula>"N/A"</formula>
    </cfRule>
    <cfRule type="cellIs" dxfId="70" priority="31" operator="equal">
      <formula>"felony"</formula>
    </cfRule>
    <cfRule type="cellIs" dxfId="69" priority="32" operator="equal">
      <formula>"eligible"</formula>
    </cfRule>
  </conditionalFormatting>
  <conditionalFormatting sqref="M3">
    <cfRule type="cellIs" dxfId="68" priority="33" operator="equal">
      <formula>"ineligible misd"</formula>
    </cfRule>
    <cfRule type="cellIs" dxfId="67" priority="34" operator="equal">
      <formula>"eligible"</formula>
    </cfRule>
  </conditionalFormatting>
  <conditionalFormatting sqref="M3:M200">
    <cfRule type="cellIs" dxfId="66" priority="35" operator="equal">
      <formula>"ineligible misd"</formula>
    </cfRule>
  </conditionalFormatting>
  <conditionalFormatting sqref="M3:N3">
    <cfRule type="cellIs" dxfId="65" priority="36" operator="equal">
      <formula>"N/A"</formula>
    </cfRule>
  </conditionalFormatting>
  <conditionalFormatting sqref="N3">
    <cfRule type="cellIs" dxfId="64" priority="37" operator="equal">
      <formula>"YES"</formula>
    </cfRule>
    <cfRule type="cellIs" dxfId="63" priority="38" operator="equal">
      <formula>"NO"</formula>
    </cfRule>
  </conditionalFormatting>
  <conditionalFormatting sqref="N4:N200">
    <cfRule type="cellIs" dxfId="62" priority="39" operator="equal">
      <formula>"N/A"</formula>
    </cfRule>
    <cfRule type="cellIs" dxfId="61" priority="40" operator="equal">
      <formula>"YES"</formula>
    </cfRule>
    <cfRule type="cellIs" dxfId="60" priority="41" operator="equal">
      <formula>"NO"</formula>
    </cfRule>
  </conditionalFormatting>
  <conditionalFormatting sqref="O5:O7 O10:O200">
    <cfRule type="cellIs" dxfId="59" priority="42" operator="equal">
      <formula>0</formula>
    </cfRule>
    <cfRule type="cellIs" dxfId="58" priority="43" operator="equal">
      <formula>"N/A"</formula>
    </cfRule>
    <cfRule type="cellIs" dxfId="57" priority="44" operator="greaterThan">
      <formula>0</formula>
    </cfRule>
  </conditionalFormatting>
  <conditionalFormatting sqref="O3:P3">
    <cfRule type="cellIs" dxfId="56" priority="45" operator="equal">
      <formula>0</formula>
    </cfRule>
    <cfRule type="cellIs" dxfId="55" priority="46" operator="equal">
      <formula>"N/A"</formula>
    </cfRule>
    <cfRule type="cellIs" dxfId="54" priority="47" operator="greaterThan">
      <formula>0</formula>
    </cfRule>
  </conditionalFormatting>
  <conditionalFormatting sqref="O3:P4">
    <cfRule type="cellIs" dxfId="53" priority="48" operator="equal">
      <formula>0</formula>
    </cfRule>
    <cfRule type="cellIs" dxfId="52" priority="49" operator="equal">
      <formula>"N/A"</formula>
    </cfRule>
    <cfRule type="cellIs" dxfId="51" priority="50" operator="greaterThan">
      <formula>0</formula>
    </cfRule>
  </conditionalFormatting>
  <conditionalFormatting sqref="O5:P200">
    <cfRule type="cellIs" dxfId="50" priority="51" operator="equal">
      <formula>0</formula>
    </cfRule>
    <cfRule type="cellIs" dxfId="49" priority="52" operator="equal">
      <formula>"N/A"</formula>
    </cfRule>
    <cfRule type="cellIs" dxfId="48" priority="53" operator="greaterThan">
      <formula>0</formula>
    </cfRule>
  </conditionalFormatting>
  <conditionalFormatting sqref="O8:Q9">
    <cfRule type="cellIs" dxfId="47" priority="54" operator="equal">
      <formula>0</formula>
    </cfRule>
    <cfRule type="cellIs" dxfId="46" priority="55" operator="equal">
      <formula>"N/A"</formula>
    </cfRule>
    <cfRule type="cellIs" dxfId="45" priority="56" operator="greaterThan">
      <formula>0</formula>
    </cfRule>
  </conditionalFormatting>
  <conditionalFormatting sqref="P5:P7 P10:P200">
    <cfRule type="cellIs" dxfId="44" priority="57" operator="equal">
      <formula>0</formula>
    </cfRule>
    <cfRule type="cellIs" dxfId="43" priority="58" operator="equal">
      <formula>"N/A"</formula>
    </cfRule>
    <cfRule type="cellIs" dxfId="42" priority="59" operator="greaterThan">
      <formula>0</formula>
    </cfRule>
  </conditionalFormatting>
  <conditionalFormatting sqref="Q3:Q200">
    <cfRule type="cellIs" dxfId="41" priority="60" operator="equal">
      <formula>0</formula>
    </cfRule>
    <cfRule type="cellIs" dxfId="40" priority="61" operator="equal">
      <formula>"N/A"</formula>
    </cfRule>
    <cfRule type="cellIs" dxfId="39" priority="62" operator="greaterThan">
      <formula>0</formula>
    </cfRule>
    <cfRule type="cellIs" dxfId="38" priority="63" operator="equal">
      <formula>0</formula>
    </cfRule>
    <cfRule type="cellIs" dxfId="37" priority="64" operator="equal">
      <formula>"N/A"</formula>
    </cfRule>
    <cfRule type="cellIs" dxfId="36" priority="65" operator="greaterThan">
      <formula>0</formula>
    </cfRule>
    <cfRule type="cellIs" dxfId="35" priority="66" operator="equal">
      <formula>0</formula>
    </cfRule>
    <cfRule type="cellIs" dxfId="34" priority="67" operator="equal">
      <formula>"N/A"</formula>
    </cfRule>
    <cfRule type="cellIs" dxfId="33" priority="68" operator="greaterThan">
      <formula>0</formula>
    </cfRule>
  </conditionalFormatting>
  <conditionalFormatting sqref="R3">
    <cfRule type="cellIs" dxfId="32" priority="69" operator="equal">
      <formula>"N/A"</formula>
    </cfRule>
    <cfRule type="cellIs" dxfId="31" priority="70" operator="equal">
      <formula>"NO"</formula>
    </cfRule>
    <cfRule type="cellIs" dxfId="30" priority="71" operator="equal">
      <formula>"YES"</formula>
    </cfRule>
  </conditionalFormatting>
  <conditionalFormatting sqref="R4:R200">
    <cfRule type="cellIs" dxfId="29" priority="72" operator="equal">
      <formula>"N/A"</formula>
    </cfRule>
    <cfRule type="cellIs" dxfId="28" priority="73" operator="equal">
      <formula>"NO"</formula>
    </cfRule>
    <cfRule type="cellIs" dxfId="27" priority="74" operator="equal">
      <formula>"YES"</formula>
    </cfRule>
  </conditionalFormatting>
  <conditionalFormatting sqref="S3:S200">
    <cfRule type="cellIs" dxfId="26" priority="75" operator="equal">
      <formula>"NO"</formula>
    </cfRule>
    <cfRule type="cellIs" dxfId="25" priority="76" operator="equal">
      <formula>"YES"</formula>
    </cfRule>
    <cfRule type="cellIs" dxfId="24" priority="77" operator="equal">
      <formula>"YES"</formula>
    </cfRule>
  </conditionalFormatting>
  <conditionalFormatting sqref="T3:T200">
    <cfRule type="cellIs" dxfId="23" priority="78" operator="equal">
      <formula>"NO"</formula>
    </cfRule>
    <cfRule type="cellIs" dxfId="22" priority="79" operator="equal">
      <formula>"YES"</formula>
    </cfRule>
    <cfRule type="cellIs" dxfId="21" priority="80" operator="equal">
      <formula>"N/A"</formula>
    </cfRule>
  </conditionalFormatting>
  <conditionalFormatting sqref="U3:U200">
    <cfRule type="cellIs" dxfId="20" priority="81" operator="equal">
      <formula>"N/A"</formula>
    </cfRule>
  </conditionalFormatting>
  <conditionalFormatting sqref="U3:V200">
    <cfRule type="cellIs" dxfId="19" priority="82" operator="equal">
      <formula>0</formula>
    </cfRule>
    <cfRule type="cellIs" dxfId="18" priority="83" operator="greaterThan">
      <formula>0</formula>
    </cfRule>
  </conditionalFormatting>
  <conditionalFormatting sqref="V3:V200">
    <cfRule type="cellIs" dxfId="17" priority="84" operator="equal">
      <formula>"N/A"</formula>
    </cfRule>
  </conditionalFormatting>
  <conditionalFormatting sqref="W3:W200">
    <cfRule type="cellIs" dxfId="16" priority="85" operator="equal">
      <formula>"NO"</formula>
    </cfRule>
    <cfRule type="cellIs" dxfId="15" priority="86" operator="equal">
      <formula>"YES"</formula>
    </cfRule>
  </conditionalFormatting>
  <conditionalFormatting sqref="X3:X200">
    <cfRule type="cellIs" dxfId="14" priority="87" operator="equal">
      <formula>"N/A"</formula>
    </cfRule>
    <cfRule type="cellIs" dxfId="13" priority="88" operator="equal">
      <formula>0</formula>
    </cfRule>
    <cfRule type="cellIs" dxfId="12" priority="89" operator="greaterThan">
      <formula>0</formula>
    </cfRule>
  </conditionalFormatting>
  <conditionalFormatting sqref="Y3:Y200">
    <cfRule type="cellIs" dxfId="11" priority="90" operator="equal">
      <formula>"NO"</formula>
    </cfRule>
    <cfRule type="cellIs" dxfId="10" priority="91" operator="equal">
      <formula>"YES"</formula>
    </cfRule>
    <cfRule type="cellIs" dxfId="9" priority="92" operator="equal">
      <formula>"N/A"</formula>
    </cfRule>
  </conditionalFormatting>
  <conditionalFormatting sqref="Z3:AC3">
    <cfRule type="expression" dxfId="8" priority="93">
      <formula>$Z3="YES"</formula>
    </cfRule>
    <cfRule type="expression" dxfId="7" priority="94">
      <formula>$Z3="NO"</formula>
    </cfRule>
  </conditionalFormatting>
  <conditionalFormatting sqref="Z4:AC200">
    <cfRule type="expression" dxfId="6" priority="95">
      <formula>$Z4="YES"</formula>
    </cfRule>
    <cfRule type="expression" dxfId="5" priority="96">
      <formula>$Z4="NO"</formula>
    </cfRule>
  </conditionalFormatting>
  <conditionalFormatting sqref="AA3">
    <cfRule type="expression" dxfId="4" priority="97">
      <formula>$AA3="NO"</formula>
    </cfRule>
  </conditionalFormatting>
  <conditionalFormatting sqref="AE8">
    <cfRule type="cellIs" dxfId="3" priority="98" operator="equal">
      <formula>"NO"</formula>
    </cfRule>
    <cfRule type="cellIs" dxfId="2"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zoomScaleNormal="100" workbookViewId="0">
      <pane ySplit="1" topLeftCell="A2" activePane="bottomLeft" state="frozen"/>
      <selection pane="bottomLeft" activeCell="C8" sqref="C8"/>
    </sheetView>
  </sheetViews>
  <sheetFormatPr defaultColWidth="8.7109375" defaultRowHeight="15" x14ac:dyDescent="0.25"/>
  <cols>
    <col min="1" max="6" width="20.7109375" customWidth="1"/>
    <col min="7" max="7" width="14.7109375" customWidth="1"/>
  </cols>
  <sheetData>
    <row r="1" spans="1:7" x14ac:dyDescent="0.25">
      <c r="A1" s="95" t="s">
        <v>10</v>
      </c>
      <c r="B1" s="95"/>
      <c r="C1" s="65">
        <f>SUM(C4:C100)</f>
        <v>0</v>
      </c>
      <c r="D1" s="66">
        <f>SUM(D4:D100)</f>
        <v>0</v>
      </c>
      <c r="E1" s="67">
        <f>SUM(E4:E100)</f>
        <v>0</v>
      </c>
      <c r="F1" s="68">
        <f>SUM(F4:F100)</f>
        <v>0</v>
      </c>
      <c r="G1" s="32">
        <f>SUM(C1:F1)</f>
        <v>0</v>
      </c>
    </row>
    <row r="2" spans="1:7" x14ac:dyDescent="0.25">
      <c r="B2" s="96" t="s">
        <v>67</v>
      </c>
      <c r="C2" s="96"/>
      <c r="D2" s="96"/>
      <c r="E2" s="96"/>
      <c r="F2" s="96"/>
    </row>
    <row r="3" spans="1:7" x14ac:dyDescent="0.25">
      <c r="A3" s="69" t="s">
        <v>43</v>
      </c>
      <c r="B3" s="70" t="s">
        <v>68</v>
      </c>
      <c r="C3" s="71" t="s">
        <v>69</v>
      </c>
      <c r="D3" s="72" t="s">
        <v>70</v>
      </c>
      <c r="E3" s="73" t="s">
        <v>71</v>
      </c>
      <c r="F3" s="74" t="s">
        <v>72</v>
      </c>
      <c r="G3" s="32"/>
    </row>
    <row r="4" spans="1:7" x14ac:dyDescent="0.25">
      <c r="A4" s="57" t="str">
        <f>IF('CASE DATA'!A4="","",'CASE DATA'!A4)</f>
        <v/>
      </c>
      <c r="B4" s="62" t="str">
        <f>IF('CASE DATA'!A4&lt;&gt;"",IF('CASE DATA'!G4=0, "open charge", 'CASE DATA'!G4),"")</f>
        <v/>
      </c>
      <c r="C4" s="75">
        <f>IF(OR(B4="DISM", B4="JWV", B4="JUV", B4="CIV"), SUM('CASE DATA'!J4:S4), 'CASE DATA'!J4+'CASE DATA'!K4)</f>
        <v>0</v>
      </c>
      <c r="D4" s="76">
        <f>IF(OR(B4="DISM",B4="JWV",B4="JUV",B4="CIV"),0,SUM('CASE DATA'!L4:P4))</f>
        <v>0</v>
      </c>
      <c r="E4" s="77">
        <f>IF(OR(B4="DISM", B4="JWV", B4="JUV", B4="CIV"), 0, 'CASE DATA'!Q4)</f>
        <v>0</v>
      </c>
      <c r="F4" s="78">
        <f>IF(OR(B4="DISM", B4="JWV", B4="JUV", B4="CIV"), 0, 'CASE DATA'!R4+'CASE DATA'!S4)</f>
        <v>0</v>
      </c>
    </row>
    <row r="5" spans="1:7" x14ac:dyDescent="0.25">
      <c r="A5" s="57" t="str">
        <f>IF('CASE DATA'!A5="","",'CASE DATA'!A5)</f>
        <v/>
      </c>
      <c r="B5" s="62" t="str">
        <f>IF('CASE DATA'!A5&lt;&gt;"",IF('CASE DATA'!G5=0, "open charge", 'CASE DATA'!G5),"")</f>
        <v/>
      </c>
      <c r="C5" s="75">
        <f>IF(OR(B5="DISM", B5="JWV", B5="JUV", B5="CIV"), SUM('CASE DATA'!J5:S5), 'CASE DATA'!J5+'CASE DATA'!K5)</f>
        <v>0</v>
      </c>
      <c r="D5" s="76">
        <f>IF(OR(B5="DISM",B5="JWV",B5="JUV",B5="CIV"),0,SUM('CASE DATA'!L5:P5))</f>
        <v>0</v>
      </c>
      <c r="E5" s="77">
        <f>IF(OR(B5="DISM", B5="JWV", B5="JUV", B5="CIV"), 0, 'CASE DATA'!Q5)</f>
        <v>0</v>
      </c>
      <c r="F5" s="78">
        <f>IF(OR(B5="DISM", B5="JWV", B5="JUV", B5="CIV"), 0, 'CASE DATA'!R5+'CASE DATA'!S5)</f>
        <v>0</v>
      </c>
    </row>
    <row r="6" spans="1:7" x14ac:dyDescent="0.25">
      <c r="A6" s="57" t="str">
        <f>IF('CASE DATA'!A6="","",'CASE DATA'!A6)</f>
        <v/>
      </c>
      <c r="B6" s="62" t="str">
        <f>IF('CASE DATA'!A6&lt;&gt;"",IF('CASE DATA'!G6=0, "open charge", 'CASE DATA'!G6),"")</f>
        <v/>
      </c>
      <c r="C6" s="75">
        <f>IF(OR(B6="DISM", B6="JWV", B6="JUV", B6="CIV"), SUM('CASE DATA'!J6:S6), 'CASE DATA'!J6+'CASE DATA'!K6)</f>
        <v>0</v>
      </c>
      <c r="D6" s="76">
        <f>IF(OR(B6="DISM",B6="JWV",B6="JUV",B6="CIV"),0,SUM('CASE DATA'!L6:P6))</f>
        <v>0</v>
      </c>
      <c r="E6" s="77">
        <f>IF(OR(B6="DISM", B6="JWV", B6="JUV", B6="CIV"), 0, 'CASE DATA'!Q6)</f>
        <v>0</v>
      </c>
      <c r="F6" s="78">
        <f>IF(OR(B6="DISM", B6="JWV", B6="JUV", B6="CIV"), 0, 'CASE DATA'!R6+'CASE DATA'!S6)</f>
        <v>0</v>
      </c>
    </row>
    <row r="7" spans="1:7" x14ac:dyDescent="0.25">
      <c r="A7" s="57" t="str">
        <f>IF('CASE DATA'!A7="","",'CASE DATA'!A7)</f>
        <v/>
      </c>
      <c r="B7" s="62" t="str">
        <f>IF('CASE DATA'!A7&lt;&gt;"",IF('CASE DATA'!G7=0, "open charge", 'CASE DATA'!G7),"")</f>
        <v/>
      </c>
      <c r="C7" s="75">
        <f>IF(OR(B7="DISM", B7="JWV", B7="JUV", B7="CIV"), SUM('CASE DATA'!J7:S7), 'CASE DATA'!J7+'CASE DATA'!K7)</f>
        <v>0</v>
      </c>
      <c r="D7" s="76">
        <f>IF(OR(B7="DISM",B7="JWV",B7="JUV",B7="CIV"),0,SUM('CASE DATA'!L7:P7))</f>
        <v>0</v>
      </c>
      <c r="E7" s="77">
        <f>IF(OR(B7="DISM", B7="JWV", B7="JUV", B7="CIV"), 0, 'CASE DATA'!Q7)</f>
        <v>0</v>
      </c>
      <c r="F7" s="78">
        <f>IF(OR(B7="DISM", B7="JWV", B7="JUV", B7="CIV"), 0, 'CASE DATA'!R7+'CASE DATA'!S7)</f>
        <v>0</v>
      </c>
    </row>
    <row r="8" spans="1:7" x14ac:dyDescent="0.25">
      <c r="A8" s="57" t="str">
        <f>IF('CASE DATA'!A8="","",'CASE DATA'!A8)</f>
        <v/>
      </c>
      <c r="B8" s="62" t="str">
        <f>IF('CASE DATA'!A8&lt;&gt;"",IF('CASE DATA'!G8=0, "open charge", 'CASE DATA'!G8),"")</f>
        <v/>
      </c>
      <c r="C8" s="75">
        <f>IF(OR(B8="DISM", B8="JWV", B8="JUV", B8="CIV"), SUM('CASE DATA'!J8:S8), 'CASE DATA'!J8+'CASE DATA'!K8)</f>
        <v>0</v>
      </c>
      <c r="D8" s="76">
        <f>IF(OR(B8="DISM",B8="JWV",B8="JUV",B8="CIV"),0,SUM('CASE DATA'!L8:P8))</f>
        <v>0</v>
      </c>
      <c r="E8" s="77">
        <f>IF(OR(B8="DISM", B8="JWV", B8="JUV", B8="CIV"), 0, 'CASE DATA'!Q8)</f>
        <v>0</v>
      </c>
      <c r="F8" s="78">
        <f>IF(OR(B8="DISM", B8="JWV", B8="JUV", B8="CIV"), 0, 'CASE DATA'!R8+'CASE DATA'!S8)</f>
        <v>0</v>
      </c>
    </row>
    <row r="9" spans="1:7" x14ac:dyDescent="0.25">
      <c r="A9" s="57" t="str">
        <f>IF('CASE DATA'!A9="","",'CASE DATA'!A9)</f>
        <v/>
      </c>
      <c r="B9" s="62" t="str">
        <f>IF('CASE DATA'!A9&lt;&gt;"",IF('CASE DATA'!G9=0, "open charge", 'CASE DATA'!G9),"")</f>
        <v/>
      </c>
      <c r="C9" s="75">
        <f>IF(OR(B9="DISM", B9="JWV", B9="JUV", B9="CIV"), SUM('CASE DATA'!J9:S9), 'CASE DATA'!J9+'CASE DATA'!K9)</f>
        <v>0</v>
      </c>
      <c r="D9" s="76">
        <f>IF(OR(B9="DISM",B9="JWV",B9="JUV",B9="CIV"),0,SUM('CASE DATA'!L9:P9))</f>
        <v>0</v>
      </c>
      <c r="E9" s="77">
        <f>IF(OR(B9="DISM", B9="JWV", B9="JUV", B9="CIV"), 0, 'CASE DATA'!Q9)</f>
        <v>0</v>
      </c>
      <c r="F9" s="78">
        <f>IF(OR(B9="DISM", B9="JWV", B9="JUV", B9="CIV"), 0, 'CASE DATA'!R9+'CASE DATA'!S9)</f>
        <v>0</v>
      </c>
    </row>
    <row r="10" spans="1:7" x14ac:dyDescent="0.25">
      <c r="A10" s="57" t="str">
        <f>IF('CASE DATA'!A10="","",'CASE DATA'!A10)</f>
        <v/>
      </c>
      <c r="B10" s="62" t="str">
        <f>IF('CASE DATA'!A10&lt;&gt;"",IF('CASE DATA'!G10=0, "open charge", 'CASE DATA'!G10),"")</f>
        <v/>
      </c>
      <c r="C10" s="75">
        <f>IF(OR(B10="DISM", B10="JWV", B10="JUV", B10="CIV"), SUM('CASE DATA'!J10:S10), 'CASE DATA'!J10+'CASE DATA'!K10)</f>
        <v>0</v>
      </c>
      <c r="D10" s="76">
        <f>IF(OR(B10="DISM",B10="JWV",B10="JUV",B10="CIV"),0,SUM('CASE DATA'!L10:P10))</f>
        <v>0</v>
      </c>
      <c r="E10" s="77">
        <f>IF(OR(B10="DISM", B10="JWV", B10="JUV", B10="CIV"), 0, 'CASE DATA'!Q10)</f>
        <v>0</v>
      </c>
      <c r="F10" s="78">
        <f>IF(OR(B10="DISM", B10="JWV", B10="JUV", B10="CIV"), 0, 'CASE DATA'!R10+'CASE DATA'!S10)</f>
        <v>0</v>
      </c>
    </row>
    <row r="11" spans="1:7" x14ac:dyDescent="0.25">
      <c r="A11" s="57" t="str">
        <f>IF('CASE DATA'!A11="","",'CASE DATA'!A11)</f>
        <v/>
      </c>
      <c r="B11" s="62" t="str">
        <f>IF('CASE DATA'!A11&lt;&gt;"",IF('CASE DATA'!G11=0, "open charge", 'CASE DATA'!G11),"")</f>
        <v/>
      </c>
      <c r="C11" s="75">
        <f>IF(OR(B11="DISM", B11="JWV", B11="JUV", B11="CIV"), SUM('CASE DATA'!J11:S11), 'CASE DATA'!J11+'CASE DATA'!K11)</f>
        <v>0</v>
      </c>
      <c r="D11" s="76">
        <f>IF(OR(B11="DISM",B11="JWV",B11="JUV",B11="CIV"),0,SUM('CASE DATA'!L11:P11))</f>
        <v>0</v>
      </c>
      <c r="E11" s="77">
        <f>IF(OR(B11="DISM", B11="JWV", B11="JUV", B11="CIV"), 0, 'CASE DATA'!Q11)</f>
        <v>0</v>
      </c>
      <c r="F11" s="78">
        <f>IF(OR(B11="DISM", B11="JWV", B11="JUV", B11="CIV"), 0, 'CASE DATA'!R11+'CASE DATA'!S11)</f>
        <v>0</v>
      </c>
    </row>
    <row r="12" spans="1:7" x14ac:dyDescent="0.25">
      <c r="A12" s="57" t="str">
        <f>IF('CASE DATA'!A12="","",'CASE DATA'!A12)</f>
        <v/>
      </c>
      <c r="B12" s="62" t="str">
        <f>IF('CASE DATA'!A12&lt;&gt;"",IF('CASE DATA'!G12=0, "open charge", 'CASE DATA'!G12),"")</f>
        <v/>
      </c>
      <c r="C12" s="75">
        <f>IF(OR(B12="DISM", B12="JWV", B12="JUV", B12="CIV"), SUM('CASE DATA'!J12:S12), 'CASE DATA'!J12+'CASE DATA'!K12)</f>
        <v>0</v>
      </c>
      <c r="D12" s="76">
        <f>IF(OR(B12="DISM",B12="JWV",B12="JUV",B12="CIV"),0,SUM('CASE DATA'!L12:P12))</f>
        <v>0</v>
      </c>
      <c r="E12" s="77">
        <f>IF(OR(B12="DISM", B12="JWV", B12="JUV", B12="CIV"), 0, 'CASE DATA'!Q12)</f>
        <v>0</v>
      </c>
      <c r="F12" s="78">
        <f>IF(OR(B12="DISM", B12="JWV", B12="JUV", B12="CIV"), 0, 'CASE DATA'!R12+'CASE DATA'!S12)</f>
        <v>0</v>
      </c>
    </row>
    <row r="13" spans="1:7" x14ac:dyDescent="0.25">
      <c r="A13" s="57" t="str">
        <f>IF('CASE DATA'!A13="","",'CASE DATA'!A13)</f>
        <v/>
      </c>
      <c r="B13" s="62" t="str">
        <f>IF('CASE DATA'!A13&lt;&gt;"",IF('CASE DATA'!G13=0, "open charge", 'CASE DATA'!G13),"")</f>
        <v/>
      </c>
      <c r="C13" s="75">
        <f>IF(OR(B13="DISM", B13="JWV", B13="JUV", B13="CIV"), SUM('CASE DATA'!J13:S13), 'CASE DATA'!J13+'CASE DATA'!K13)</f>
        <v>0</v>
      </c>
      <c r="D13" s="76">
        <f>IF(OR(B13="DISM",B13="JWV",B13="JUV",B13="CIV"),0,SUM('CASE DATA'!L13:P13))</f>
        <v>0</v>
      </c>
      <c r="E13" s="77">
        <f>IF(OR(B13="DISM", B13="JWV", B13="JUV", B13="CIV"), 0, 'CASE DATA'!Q13)</f>
        <v>0</v>
      </c>
      <c r="F13" s="78">
        <f>IF(OR(B13="DISM", B13="JWV", B13="JUV", B13="CIV"), 0, 'CASE DATA'!R13+'CASE DATA'!S13)</f>
        <v>0</v>
      </c>
    </row>
    <row r="14" spans="1:7" x14ac:dyDescent="0.25">
      <c r="A14" s="57" t="str">
        <f>IF('CASE DATA'!A14="","",'CASE DATA'!A14)</f>
        <v/>
      </c>
      <c r="B14" s="62" t="str">
        <f>IF('CASE DATA'!A14&lt;&gt;"",IF('CASE DATA'!G14=0, "open charge", 'CASE DATA'!G14),"")</f>
        <v/>
      </c>
      <c r="C14" s="75">
        <f>IF(OR(B14="DISM", B14="JWV", B14="JUV", B14="CIV"), SUM('CASE DATA'!J14:S14), 'CASE DATA'!J14+'CASE DATA'!K14)</f>
        <v>0</v>
      </c>
      <c r="D14" s="76">
        <f>IF(OR(B14="DISM",B14="JWV",B14="JUV",B14="CIV"),0,SUM('CASE DATA'!L14:P14))</f>
        <v>0</v>
      </c>
      <c r="E14" s="77">
        <f>IF(OR(B14="DISM", B14="JWV", B14="JUV", B14="CIV"), 0, 'CASE DATA'!Q14)</f>
        <v>0</v>
      </c>
      <c r="F14" s="78">
        <f>IF(OR(B14="DISM", B14="JWV", B14="JUV", B14="CIV"), 0, 'CASE DATA'!R14+'CASE DATA'!S14)</f>
        <v>0</v>
      </c>
    </row>
    <row r="15" spans="1:7" x14ac:dyDescent="0.25">
      <c r="A15" s="57" t="str">
        <f>IF('CASE DATA'!A15="","",'CASE DATA'!A15)</f>
        <v/>
      </c>
      <c r="B15" s="62" t="str">
        <f>IF('CASE DATA'!A15&lt;&gt;"",IF('CASE DATA'!G15=0, "open charge", 'CASE DATA'!G15),"")</f>
        <v/>
      </c>
      <c r="C15" s="75">
        <f>IF(OR(B15="DISM", B15="JWV", B15="JUV", B15="CIV"), SUM('CASE DATA'!J15:S15), 'CASE DATA'!J15+'CASE DATA'!K15)</f>
        <v>0</v>
      </c>
      <c r="D15" s="76">
        <f>IF(OR(B15="DISM",B15="JWV",B15="JUV",B15="CIV"),0,SUM('CASE DATA'!L15:P15))</f>
        <v>0</v>
      </c>
      <c r="E15" s="77">
        <f>IF(OR(B15="DISM", B15="JWV", B15="JUV", B15="CIV"), 0, 'CASE DATA'!Q15)</f>
        <v>0</v>
      </c>
      <c r="F15" s="78">
        <f>IF(OR(B15="DISM", B15="JWV", B15="JUV", B15="CIV"), 0, 'CASE DATA'!R15+'CASE DATA'!S15)</f>
        <v>0</v>
      </c>
    </row>
    <row r="16" spans="1:7" x14ac:dyDescent="0.25">
      <c r="A16" s="57" t="str">
        <f>IF('CASE DATA'!A16="","",'CASE DATA'!A16)</f>
        <v/>
      </c>
      <c r="B16" s="62" t="str">
        <f>IF('CASE DATA'!A16&lt;&gt;"",IF('CASE DATA'!G16=0, "open charge", 'CASE DATA'!G16),"")</f>
        <v/>
      </c>
      <c r="C16" s="75">
        <f>IF(OR(B16="DISM", B16="JWV", B16="JUV", B16="CIV"), SUM('CASE DATA'!J16:S16), 'CASE DATA'!J16+'CASE DATA'!K16)</f>
        <v>0</v>
      </c>
      <c r="D16" s="76">
        <f>IF(OR(B16="DISM",B16="JWV",B16="JUV",B16="CIV"),0,SUM('CASE DATA'!L16:P16))</f>
        <v>0</v>
      </c>
      <c r="E16" s="77">
        <f>IF(OR(B16="DISM", B16="JWV", B16="JUV", B16="CIV"), 0, 'CASE DATA'!Q16)</f>
        <v>0</v>
      </c>
      <c r="F16" s="78">
        <f>IF(OR(B16="DISM", B16="JWV", B16="JUV", B16="CIV"), 0, 'CASE DATA'!R16+'CASE DATA'!S16)</f>
        <v>0</v>
      </c>
    </row>
    <row r="17" spans="1:6" x14ac:dyDescent="0.25">
      <c r="A17" s="57" t="str">
        <f>IF('CASE DATA'!A17="","",'CASE DATA'!A17)</f>
        <v/>
      </c>
      <c r="B17" s="62" t="str">
        <f>IF('CASE DATA'!A17&lt;&gt;"",IF('CASE DATA'!G17=0, "open charge", 'CASE DATA'!G17),"")</f>
        <v/>
      </c>
      <c r="C17" s="75">
        <f>IF(OR(B17="DISM", B17="JWV", B17="JUV", B17="CIV"), SUM('CASE DATA'!J17:S17), 'CASE DATA'!J17+'CASE DATA'!K17)</f>
        <v>0</v>
      </c>
      <c r="D17" s="76">
        <f>IF(OR(B17="DISM",B17="JWV",B17="JUV",B17="CIV"),0,SUM('CASE DATA'!L17:P17))</f>
        <v>0</v>
      </c>
      <c r="E17" s="77">
        <f>IF(OR(B17="DISM", B17="JWV", B17="JUV", B17="CIV"), 0, 'CASE DATA'!Q17)</f>
        <v>0</v>
      </c>
      <c r="F17" s="78">
        <f>IF(OR(B17="DISM", B17="JWV", B17="JUV", B17="CIV"), 0, 'CASE DATA'!R17+'CASE DATA'!S17)</f>
        <v>0</v>
      </c>
    </row>
    <row r="18" spans="1:6" x14ac:dyDescent="0.25">
      <c r="A18" s="57" t="str">
        <f>IF('CASE DATA'!A18="","",'CASE DATA'!A18)</f>
        <v/>
      </c>
      <c r="B18" s="62" t="str">
        <f>IF('CASE DATA'!A18&lt;&gt;"",IF('CASE DATA'!G18=0, "open charge", 'CASE DATA'!G18),"")</f>
        <v/>
      </c>
      <c r="C18" s="75">
        <f>IF(OR(B18="DISM", B18="JWV", B18="JUV", B18="CIV"), SUM('CASE DATA'!J18:S18), 'CASE DATA'!J18+'CASE DATA'!K18)</f>
        <v>0</v>
      </c>
      <c r="D18" s="76">
        <f>IF(OR(B18="DISM",B18="JWV",B18="JUV",B18="CIV"),0,SUM('CASE DATA'!L18:P18))</f>
        <v>0</v>
      </c>
      <c r="E18" s="77">
        <f>IF(OR(B18="DISM", B18="JWV", B18="JUV", B18="CIV"), 0, 'CASE DATA'!Q18)</f>
        <v>0</v>
      </c>
      <c r="F18" s="78">
        <f>IF(OR(B18="DISM", B18="JWV", B18="JUV", B18="CIV"), 0, 'CASE DATA'!R18+'CASE DATA'!S18)</f>
        <v>0</v>
      </c>
    </row>
    <row r="19" spans="1:6" x14ac:dyDescent="0.25">
      <c r="A19" s="57" t="str">
        <f>IF('CASE DATA'!A19="","",'CASE DATA'!A19)</f>
        <v/>
      </c>
      <c r="B19" s="62" t="str">
        <f>IF('CASE DATA'!A19&lt;&gt;"",IF('CASE DATA'!G19=0, "open charge", 'CASE DATA'!G19),"")</f>
        <v/>
      </c>
      <c r="C19" s="75">
        <f>IF(OR(B19="DISM", B19="JWV", B19="JUV", B19="CIV"), SUM('CASE DATA'!J19:S19), 'CASE DATA'!J19+'CASE DATA'!K19)</f>
        <v>0</v>
      </c>
      <c r="D19" s="76">
        <f>IF(OR(B19="DISM",B19="JWV",B19="JUV",B19="CIV"),0,SUM('CASE DATA'!L19:P19))</f>
        <v>0</v>
      </c>
      <c r="E19" s="77">
        <f>IF(OR(B19="DISM", B19="JWV", B19="JUV", B19="CIV"), 0, 'CASE DATA'!Q19)</f>
        <v>0</v>
      </c>
      <c r="F19" s="78">
        <f>IF(OR(B19="DISM", B19="JWV", B19="JUV", B19="CIV"), 0, 'CASE DATA'!R19+'CASE DATA'!S19)</f>
        <v>0</v>
      </c>
    </row>
    <row r="20" spans="1:6" x14ac:dyDescent="0.25">
      <c r="A20" s="57" t="str">
        <f>IF('CASE DATA'!A20="","",'CASE DATA'!A20)</f>
        <v/>
      </c>
      <c r="B20" s="62" t="str">
        <f>IF('CASE DATA'!A20&lt;&gt;"",IF('CASE DATA'!G20=0, "open charge", 'CASE DATA'!G20),"")</f>
        <v/>
      </c>
      <c r="C20" s="75">
        <f>IF(OR(B20="DISM", B20="JWV", B20="JUV", B20="CIV"), SUM('CASE DATA'!J20:S20), 'CASE DATA'!J20+'CASE DATA'!K20)</f>
        <v>0</v>
      </c>
      <c r="D20" s="76">
        <f>IF(OR(B20="DISM",B20="JWV",B20="JUV",B20="CIV"),0,SUM('CASE DATA'!L20:P20))</f>
        <v>0</v>
      </c>
      <c r="E20" s="77">
        <f>IF(OR(B20="DISM", B20="JWV", B20="JUV", B20="CIV"), 0, 'CASE DATA'!Q20)</f>
        <v>0</v>
      </c>
      <c r="F20" s="78">
        <f>IF(OR(B20="DISM", B20="JWV", B20="JUV", B20="CIV"), 0, 'CASE DATA'!R20+'CASE DATA'!S20)</f>
        <v>0</v>
      </c>
    </row>
    <row r="21" spans="1:6" x14ac:dyDescent="0.25">
      <c r="A21" s="57" t="str">
        <f>IF('CASE DATA'!A21="","",'CASE DATA'!A21)</f>
        <v/>
      </c>
      <c r="B21" s="62" t="str">
        <f>IF('CASE DATA'!A21&lt;&gt;"",IF('CASE DATA'!G21=0, "open charge", 'CASE DATA'!G21),"")</f>
        <v/>
      </c>
      <c r="C21" s="75">
        <f>IF(OR(B21="DISM", B21="JWV", B21="JUV", B21="CIV"), SUM('CASE DATA'!J21:S21), 'CASE DATA'!J21+'CASE DATA'!K21)</f>
        <v>0</v>
      </c>
      <c r="D21" s="76">
        <f>IF(OR(B21="DISM",B21="JWV",B21="JUV",B21="CIV"),0,SUM('CASE DATA'!L21:P21))</f>
        <v>0</v>
      </c>
      <c r="E21" s="77">
        <f>IF(OR(B21="DISM", B21="JWV", B21="JUV", B21="CIV"), 0, 'CASE DATA'!Q21)</f>
        <v>0</v>
      </c>
      <c r="F21" s="78">
        <f>IF(OR(B21="DISM", B21="JWV", B21="JUV", B21="CIV"), 0, 'CASE DATA'!R21+'CASE DATA'!S21)</f>
        <v>0</v>
      </c>
    </row>
    <row r="22" spans="1:6" x14ac:dyDescent="0.25">
      <c r="A22" s="57" t="str">
        <f>IF('CASE DATA'!A22="","",'CASE DATA'!A22)</f>
        <v/>
      </c>
      <c r="B22" s="62" t="str">
        <f>IF('CASE DATA'!A22&lt;&gt;"",IF('CASE DATA'!G22=0, "open charge", 'CASE DATA'!G22),"")</f>
        <v/>
      </c>
      <c r="C22" s="75">
        <f>IF(OR(B22="DISM", B22="JWV", B22="JUV", B22="CIV"), SUM('CASE DATA'!J22:S22), 'CASE DATA'!J22+'CASE DATA'!K22)</f>
        <v>0</v>
      </c>
      <c r="D22" s="76">
        <f>IF(OR(B22="DISM",B22="JWV",B22="JUV",B22="CIV"),0,SUM('CASE DATA'!L22:P22))</f>
        <v>0</v>
      </c>
      <c r="E22" s="77">
        <f>IF(OR(B22="DISM", B22="JWV", B22="JUV", B22="CIV"), 0, 'CASE DATA'!Q22)</f>
        <v>0</v>
      </c>
      <c r="F22" s="78">
        <f>IF(OR(B22="DISM", B22="JWV", B22="JUV", B22="CIV"), 0, 'CASE DATA'!R22+'CASE DATA'!S22)</f>
        <v>0</v>
      </c>
    </row>
    <row r="23" spans="1:6" x14ac:dyDescent="0.25">
      <c r="A23" s="57" t="str">
        <f>IF('CASE DATA'!A23="","",'CASE DATA'!A23)</f>
        <v/>
      </c>
      <c r="B23" s="62" t="str">
        <f>IF('CASE DATA'!A23&lt;&gt;"",IF('CASE DATA'!G23=0, "open charge", 'CASE DATA'!G23),"")</f>
        <v/>
      </c>
      <c r="C23" s="75">
        <f>IF(OR(B23="DISM", B23="JWV", B23="JUV", B23="CIV"), SUM('CASE DATA'!J23:S23), 'CASE DATA'!J23+'CASE DATA'!K23)</f>
        <v>0</v>
      </c>
      <c r="D23" s="76">
        <f>IF(OR(B23="DISM",B23="JWV",B23="JUV",B23="CIV"),0,SUM('CASE DATA'!L23:P23))</f>
        <v>0</v>
      </c>
      <c r="E23" s="77">
        <f>IF(OR(B23="DISM", B23="JWV", B23="JUV", B23="CIV"), 0, 'CASE DATA'!Q23)</f>
        <v>0</v>
      </c>
      <c r="F23" s="78">
        <f>IF(OR(B23="DISM", B23="JWV", B23="JUV", B23="CIV"), 0, 'CASE DATA'!R23+'CASE DATA'!S23)</f>
        <v>0</v>
      </c>
    </row>
    <row r="24" spans="1:6" x14ac:dyDescent="0.25">
      <c r="A24" s="57" t="str">
        <f>IF('CASE DATA'!A24="","",'CASE DATA'!A24)</f>
        <v/>
      </c>
      <c r="B24" s="62" t="str">
        <f>IF('CASE DATA'!A24&lt;&gt;"",IF('CASE DATA'!G24=0, "open charge", 'CASE DATA'!G24),"")</f>
        <v/>
      </c>
      <c r="C24" s="75">
        <f>IF(OR(B24="DISM", B24="JWV", B24="JUV", B24="CIV"), SUM('CASE DATA'!J24:S24), 'CASE DATA'!J24+'CASE DATA'!K24)</f>
        <v>0</v>
      </c>
      <c r="D24" s="76">
        <f>IF(OR(B24="DISM",B24="JWV",B24="JUV",B24="CIV"),0,SUM('CASE DATA'!L24:P24))</f>
        <v>0</v>
      </c>
      <c r="E24" s="77">
        <f>IF(OR(B24="DISM", B24="JWV", B24="JUV", B24="CIV"), 0, 'CASE DATA'!Q24)</f>
        <v>0</v>
      </c>
      <c r="F24" s="78">
        <f>IF(OR(B24="DISM", B24="JWV", B24="JUV", B24="CIV"), 0, 'CASE DATA'!R24+'CASE DATA'!S24)</f>
        <v>0</v>
      </c>
    </row>
    <row r="25" spans="1:6" x14ac:dyDescent="0.25">
      <c r="A25" s="57" t="str">
        <f>IF('CASE DATA'!A25="","",'CASE DATA'!A25)</f>
        <v/>
      </c>
      <c r="B25" s="62" t="str">
        <f>IF('CASE DATA'!A25&lt;&gt;"",IF('CASE DATA'!G25=0, "open charge", 'CASE DATA'!G25),"")</f>
        <v/>
      </c>
      <c r="C25" s="75">
        <f>IF(OR(B25="DISM", B25="JWV", B25="JUV", B25="CIV"), SUM('CASE DATA'!J25:S25), 'CASE DATA'!J25+'CASE DATA'!K25)</f>
        <v>0</v>
      </c>
      <c r="D25" s="76">
        <f>IF(OR(B25="DISM",B25="JWV",B25="JUV",B25="CIV"),0,SUM('CASE DATA'!L25:P25))</f>
        <v>0</v>
      </c>
      <c r="E25" s="77">
        <f>IF(OR(B25="DISM", B25="JWV", B25="JUV", B25="CIV"), 0, 'CASE DATA'!Q25)</f>
        <v>0</v>
      </c>
      <c r="F25" s="78">
        <f>IF(OR(B25="DISM", B25="JWV", B25="JUV", B25="CIV"), 0, 'CASE DATA'!R25+'CASE DATA'!S25)</f>
        <v>0</v>
      </c>
    </row>
    <row r="26" spans="1:6" x14ac:dyDescent="0.25">
      <c r="A26" s="57" t="str">
        <f>IF('CASE DATA'!A26="","",'CASE DATA'!A26)</f>
        <v/>
      </c>
      <c r="B26" s="62" t="str">
        <f>IF('CASE DATA'!A26&lt;&gt;"",IF('CASE DATA'!G26=0, "open charge", 'CASE DATA'!G26),"")</f>
        <v/>
      </c>
      <c r="C26" s="75">
        <f>IF(OR(B26="DISM", B26="JWV", B26="JUV", B26="CIV"), SUM('CASE DATA'!J26:S26), 'CASE DATA'!J26+'CASE DATA'!K26)</f>
        <v>0</v>
      </c>
      <c r="D26" s="76">
        <f>IF(OR(B26="DISM",B26="JWV",B26="JUV",B26="CIV"),0,SUM('CASE DATA'!L26:P26))</f>
        <v>0</v>
      </c>
      <c r="E26" s="77">
        <f>IF(OR(B26="DISM", B26="JWV", B26="JUV", B26="CIV"), 0, 'CASE DATA'!Q26)</f>
        <v>0</v>
      </c>
      <c r="F26" s="78">
        <f>IF(OR(B26="DISM", B26="JWV", B26="JUV", B26="CIV"), 0, 'CASE DATA'!R26+'CASE DATA'!S26)</f>
        <v>0</v>
      </c>
    </row>
    <row r="27" spans="1:6" x14ac:dyDescent="0.25">
      <c r="A27" s="57" t="str">
        <f>IF('CASE DATA'!A27="","",'CASE DATA'!A27)</f>
        <v/>
      </c>
      <c r="B27" s="62" t="str">
        <f>IF('CASE DATA'!A27&lt;&gt;"",IF('CASE DATA'!G27=0, "open charge", 'CASE DATA'!G27),"")</f>
        <v/>
      </c>
      <c r="C27" s="75">
        <f>IF(OR(B27="DISM", B27="JWV", B27="JUV", B27="CIV"), SUM('CASE DATA'!J27:S27), 'CASE DATA'!J27+'CASE DATA'!K27)</f>
        <v>0</v>
      </c>
      <c r="D27" s="76">
        <f>IF(OR(B27="DISM",B27="JWV",B27="JUV",B27="CIV"),0,SUM('CASE DATA'!L27:P27))</f>
        <v>0</v>
      </c>
      <c r="E27" s="77">
        <f>IF(OR(B27="DISM", B27="JWV", B27="JUV", B27="CIV"), 0, 'CASE DATA'!Q27)</f>
        <v>0</v>
      </c>
      <c r="F27" s="78">
        <f>IF(OR(B27="DISM", B27="JWV", B27="JUV", B27="CIV"), 0, 'CASE DATA'!R27+'CASE DATA'!S27)</f>
        <v>0</v>
      </c>
    </row>
    <row r="28" spans="1:6" x14ac:dyDescent="0.25">
      <c r="A28" s="57" t="str">
        <f>IF('CASE DATA'!A28="","",'CASE DATA'!A28)</f>
        <v/>
      </c>
      <c r="B28" s="62" t="str">
        <f>IF('CASE DATA'!A28&lt;&gt;"",IF('CASE DATA'!G28=0, "open charge", 'CASE DATA'!G28),"")</f>
        <v/>
      </c>
      <c r="C28" s="75">
        <f>IF(OR(B28="DISM", B28="JWV", B28="JUV", B28="CIV"), SUM('CASE DATA'!J28:S28), 'CASE DATA'!J28+'CASE DATA'!K28)</f>
        <v>0</v>
      </c>
      <c r="D28" s="76">
        <f>IF(OR(B28="DISM",B28="JWV",B28="JUV",B28="CIV"),0,SUM('CASE DATA'!L28:P28))</f>
        <v>0</v>
      </c>
      <c r="E28" s="77">
        <f>IF(OR(B28="DISM", B28="JWV", B28="JUV", B28="CIV"), 0, 'CASE DATA'!Q28)</f>
        <v>0</v>
      </c>
      <c r="F28" s="78">
        <f>IF(OR(B28="DISM", B28="JWV", B28="JUV", B28="CIV"), 0, 'CASE DATA'!R28+'CASE DATA'!S28)</f>
        <v>0</v>
      </c>
    </row>
    <row r="29" spans="1:6" x14ac:dyDescent="0.25">
      <c r="A29" s="57" t="str">
        <f>IF('CASE DATA'!A29="","",'CASE DATA'!A29)</f>
        <v/>
      </c>
      <c r="B29" s="62" t="str">
        <f>IF('CASE DATA'!A29&lt;&gt;"",IF('CASE DATA'!G29=0, "open charge", 'CASE DATA'!G29),"")</f>
        <v/>
      </c>
      <c r="C29" s="75">
        <f>IF(OR(B29="DISM", B29="JWV", B29="JUV", B29="CIV"), SUM('CASE DATA'!J29:S29), 'CASE DATA'!J29+'CASE DATA'!K29)</f>
        <v>0</v>
      </c>
      <c r="D29" s="76">
        <f>IF(OR(B29="DISM",B29="JWV",B29="JUV",B29="CIV"),0,SUM('CASE DATA'!L29:P29))</f>
        <v>0</v>
      </c>
      <c r="E29" s="77">
        <f>IF(OR(B29="DISM", B29="JWV", B29="JUV", B29="CIV"), 0, 'CASE DATA'!Q29)</f>
        <v>0</v>
      </c>
      <c r="F29" s="78">
        <f>IF(OR(B29="DISM", B29="JWV", B29="JUV", B29="CIV"), 0, 'CASE DATA'!R29+'CASE DATA'!S29)</f>
        <v>0</v>
      </c>
    </row>
    <row r="30" spans="1:6" x14ac:dyDescent="0.25">
      <c r="A30" s="57" t="str">
        <f>IF('CASE DATA'!A30="","",'CASE DATA'!A30)</f>
        <v/>
      </c>
      <c r="B30" s="62" t="str">
        <f>IF('CASE DATA'!A30&lt;&gt;"",IF('CASE DATA'!G30=0, "open charge", 'CASE DATA'!G30),"")</f>
        <v/>
      </c>
      <c r="C30" s="75">
        <f>IF(OR(B30="DISM", B30="JWV", B30="JUV", B30="CIV"), SUM('CASE DATA'!J30:S30), 'CASE DATA'!J30+'CASE DATA'!K30)</f>
        <v>0</v>
      </c>
      <c r="D30" s="76">
        <f>IF(OR(B30="DISM",B30="JWV",B30="JUV",B30="CIV"),0,SUM('CASE DATA'!L30:P30))</f>
        <v>0</v>
      </c>
      <c r="E30" s="77">
        <f>IF(OR(B30="DISM", B30="JWV", B30="JUV", B30="CIV"), 0, 'CASE DATA'!Q30)</f>
        <v>0</v>
      </c>
      <c r="F30" s="78">
        <f>IF(OR(B30="DISM", B30="JWV", B30="JUV", B30="CIV"), 0, 'CASE DATA'!R30+'CASE DATA'!S30)</f>
        <v>0</v>
      </c>
    </row>
    <row r="31" spans="1:6" x14ac:dyDescent="0.25">
      <c r="A31" s="57" t="str">
        <f>IF('CASE DATA'!A31="","",'CASE DATA'!A31)</f>
        <v/>
      </c>
      <c r="B31" s="62" t="str">
        <f>IF('CASE DATA'!A31&lt;&gt;"",IF('CASE DATA'!G31=0, "open charge", 'CASE DATA'!G31),"")</f>
        <v/>
      </c>
      <c r="C31" s="75">
        <f>IF(OR(B31="DISM", B31="JWV", B31="JUV", B31="CIV"), SUM('CASE DATA'!J31:S31), 'CASE DATA'!J31+'CASE DATA'!K31)</f>
        <v>0</v>
      </c>
      <c r="D31" s="76">
        <f>IF(OR(B31="DISM",B31="JWV",B31="JUV",B31="CIV"),0,SUM('CASE DATA'!L31:P31))</f>
        <v>0</v>
      </c>
      <c r="E31" s="77">
        <f>IF(OR(B31="DISM", B31="JWV", B31="JUV", B31="CIV"), 0, 'CASE DATA'!Q31)</f>
        <v>0</v>
      </c>
      <c r="F31" s="78">
        <f>IF(OR(B31="DISM", B31="JWV", B31="JUV", B31="CIV"), 0, 'CASE DATA'!R31+'CASE DATA'!S31)</f>
        <v>0</v>
      </c>
    </row>
    <row r="32" spans="1:6" x14ac:dyDescent="0.25">
      <c r="A32" s="57" t="str">
        <f>IF('CASE DATA'!A32="","",'CASE DATA'!A32)</f>
        <v/>
      </c>
      <c r="B32" s="62" t="str">
        <f>IF('CASE DATA'!A32&lt;&gt;"",IF('CASE DATA'!G32=0, "open charge", 'CASE DATA'!G32),"")</f>
        <v/>
      </c>
      <c r="C32" s="75">
        <f>IF(OR(B32="DISM", B32="JWV", B32="JUV", B32="CIV"), SUM('CASE DATA'!J32:S32), 'CASE DATA'!J32+'CASE DATA'!K32)</f>
        <v>0</v>
      </c>
      <c r="D32" s="76">
        <f>IF(OR(B32="DISM",B32="JWV",B32="JUV",B32="CIV"),0,SUM('CASE DATA'!L32:P32))</f>
        <v>0</v>
      </c>
      <c r="E32" s="77">
        <f>IF(OR(B32="DISM", B32="JWV", B32="JUV", B32="CIV"), 0, 'CASE DATA'!Q32)</f>
        <v>0</v>
      </c>
      <c r="F32" s="78">
        <f>IF(OR(B32="DISM", B32="JWV", B32="JUV", B32="CIV"), 0, 'CASE DATA'!R32+'CASE DATA'!S32)</f>
        <v>0</v>
      </c>
    </row>
    <row r="33" spans="1:7" x14ac:dyDescent="0.25">
      <c r="A33" s="57" t="str">
        <f>IF('CASE DATA'!A33="","",'CASE DATA'!A33)</f>
        <v/>
      </c>
      <c r="B33" s="62" t="str">
        <f>IF('CASE DATA'!A33&lt;&gt;"",IF('CASE DATA'!G33=0, "open charge", 'CASE DATA'!G33),"")</f>
        <v/>
      </c>
      <c r="C33" s="75">
        <f>IF(OR(B33="DISM", B33="JWV", B33="JUV", B33="CIV"), SUM('CASE DATA'!J33:S33), 'CASE DATA'!J33+'CASE DATA'!K33)</f>
        <v>0</v>
      </c>
      <c r="D33" s="76">
        <f>IF(OR(B33="DISM",B33="JWV",B33="JUV",B33="CIV"),0,SUM('CASE DATA'!L33:P33))</f>
        <v>0</v>
      </c>
      <c r="E33" s="77">
        <f>IF(OR(B33="DISM", B33="JWV", B33="JUV", B33="CIV"), 0, 'CASE DATA'!Q33)</f>
        <v>0</v>
      </c>
      <c r="F33" s="78">
        <f>IF(OR(B33="DISM", B33="JWV", B33="JUV", B33="CIV"), 0, 'CASE DATA'!R33+'CASE DATA'!S33)</f>
        <v>0</v>
      </c>
    </row>
    <row r="34" spans="1:7" x14ac:dyDescent="0.25">
      <c r="A34" s="57" t="str">
        <f>IF('CASE DATA'!A34="","",'CASE DATA'!A34)</f>
        <v/>
      </c>
      <c r="B34" s="62" t="str">
        <f>IF('CASE DATA'!A34&lt;&gt;"",IF('CASE DATA'!G34=0, "open charge", 'CASE DATA'!G34),"")</f>
        <v/>
      </c>
      <c r="C34" s="75">
        <f>IF(OR(B34="DISM", B34="JWV", B34="JUV", B34="CIV"), SUM('CASE DATA'!J34:S34), 'CASE DATA'!J34+'CASE DATA'!K34)</f>
        <v>0</v>
      </c>
      <c r="D34" s="76">
        <f>IF(OR(B34="DISM",B34="JWV",B34="JUV",B34="CIV"),0,SUM('CASE DATA'!L34:P34))</f>
        <v>0</v>
      </c>
      <c r="E34" s="77">
        <f>IF(OR(B34="DISM", B34="JWV", B34="JUV", B34="CIV"), 0, 'CASE DATA'!Q34)</f>
        <v>0</v>
      </c>
      <c r="F34" s="78">
        <f>IF(OR(B34="DISM", B34="JWV", B34="JUV", B34="CIV"), 0, 'CASE DATA'!R34+'CASE DATA'!S34)</f>
        <v>0</v>
      </c>
    </row>
    <row r="35" spans="1:7" x14ac:dyDescent="0.25">
      <c r="A35" s="57" t="str">
        <f>IF('CASE DATA'!A35="","",'CASE DATA'!A35)</f>
        <v/>
      </c>
      <c r="B35" s="62" t="str">
        <f>IF('CASE DATA'!A35&lt;&gt;"",IF('CASE DATA'!G35=0, "open charge", 'CASE DATA'!G35),"")</f>
        <v/>
      </c>
      <c r="C35" s="75">
        <f>IF(OR(B35="DISM", B35="JWV", B35="JUV", B35="CIV"), SUM('CASE DATA'!J35:S35), 'CASE DATA'!J35+'CASE DATA'!K35)</f>
        <v>0</v>
      </c>
      <c r="D35" s="76">
        <f>IF(OR(B35="DISM",B35="JWV",B35="JUV",B35="CIV"),0,SUM('CASE DATA'!L35:P35))</f>
        <v>0</v>
      </c>
      <c r="E35" s="77">
        <f>IF(OR(B35="DISM", B35="JWV", B35="JUV", B35="CIV"), 0, 'CASE DATA'!Q35)</f>
        <v>0</v>
      </c>
      <c r="F35" s="78">
        <f>IF(OR(B35="DISM", B35="JWV", B35="JUV", B35="CIV"), 0, 'CASE DATA'!R35+'CASE DATA'!S35)</f>
        <v>0</v>
      </c>
    </row>
    <row r="36" spans="1:7" x14ac:dyDescent="0.25">
      <c r="A36" s="57" t="str">
        <f>IF('CASE DATA'!A36="","",'CASE DATA'!A36)</f>
        <v/>
      </c>
      <c r="B36" s="62" t="str">
        <f>IF('CASE DATA'!A36&lt;&gt;"",IF('CASE DATA'!G36=0, "open charge", 'CASE DATA'!G36),"")</f>
        <v/>
      </c>
      <c r="C36" s="75">
        <f>IF(OR(B36="DISM", B36="JWV", B36="JUV", B36="CIV"), SUM('CASE DATA'!J36:S36), 'CASE DATA'!J36+'CASE DATA'!K36)</f>
        <v>0</v>
      </c>
      <c r="D36" s="76">
        <f>IF(OR(B36="DISM",B36="JWV",B36="JUV",B36="CIV"),0,SUM('CASE DATA'!L36:P36))</f>
        <v>0</v>
      </c>
      <c r="E36" s="77">
        <f>IF(OR(B36="DISM", B36="JWV", B36="JUV", B36="CIV"), 0, 'CASE DATA'!Q36)</f>
        <v>0</v>
      </c>
      <c r="F36" s="78">
        <f>IF(OR(B36="DISM", B36="JWV", B36="JUV", B36="CIV"), 0, 'CASE DATA'!R36+'CASE DATA'!S36)</f>
        <v>0</v>
      </c>
    </row>
    <row r="37" spans="1:7" x14ac:dyDescent="0.25">
      <c r="A37" s="57" t="str">
        <f>IF('CASE DATA'!A37="","",'CASE DATA'!A37)</f>
        <v/>
      </c>
      <c r="B37" s="62" t="str">
        <f>IF('CASE DATA'!A37&lt;&gt;"",IF('CASE DATA'!G37=0, "open charge", 'CASE DATA'!G37),"")</f>
        <v/>
      </c>
      <c r="C37" s="75">
        <f>IF(OR(B37="DISM", B37="JWV", B37="JUV", B37="CIV"), SUM('CASE DATA'!J37:S37), 'CASE DATA'!J37+'CASE DATA'!K37)</f>
        <v>0</v>
      </c>
      <c r="D37" s="76">
        <f>IF(OR(B37="DISM",B37="JWV",B37="JUV",B37="CIV"),0,SUM('CASE DATA'!L37:P37))</f>
        <v>0</v>
      </c>
      <c r="E37" s="77">
        <f>IF(OR(B37="DISM", B37="JWV", B37="JUV", B37="CIV"), 0, 'CASE DATA'!Q37)</f>
        <v>0</v>
      </c>
      <c r="F37" s="78">
        <f>IF(OR(B37="DISM", B37="JWV", B37="JUV", B37="CIV"), 0, 'CASE DATA'!R37+'CASE DATA'!S37)</f>
        <v>0</v>
      </c>
    </row>
    <row r="38" spans="1:7" x14ac:dyDescent="0.25">
      <c r="A38" s="57" t="str">
        <f>IF('CASE DATA'!A38="","",'CASE DATA'!A38)</f>
        <v/>
      </c>
      <c r="B38" s="62" t="str">
        <f>IF('CASE DATA'!A38&lt;&gt;"",IF('CASE DATA'!G38=0, "open charge", 'CASE DATA'!G38),"")</f>
        <v/>
      </c>
      <c r="C38" s="75">
        <f>IF(OR(B38="DISM", B38="JWV", B38="JUV", B38="CIV"), SUM('CASE DATA'!J38:S38), 'CASE DATA'!J38+'CASE DATA'!K38)</f>
        <v>0</v>
      </c>
      <c r="D38" s="76">
        <f>IF(OR(B38="DISM",B38="JWV",B38="JUV",B38="CIV"),0,SUM('CASE DATA'!L38:P38))</f>
        <v>0</v>
      </c>
      <c r="E38" s="77">
        <f>IF(OR(B38="DISM", B38="JWV", B38="JUV", B38="CIV"), 0, 'CASE DATA'!Q38)</f>
        <v>0</v>
      </c>
      <c r="F38" s="78">
        <f>IF(OR(B38="DISM", B38="JWV", B38="JUV", B38="CIV"), 0, 'CASE DATA'!R38+'CASE DATA'!S38)</f>
        <v>0</v>
      </c>
    </row>
    <row r="39" spans="1:7" x14ac:dyDescent="0.25">
      <c r="A39" s="57" t="str">
        <f>IF('CASE DATA'!A39="","",'CASE DATA'!A39)</f>
        <v/>
      </c>
      <c r="B39" s="62" t="str">
        <f>IF('CASE DATA'!A39&lt;&gt;"",IF('CASE DATA'!G39=0, "open charge", 'CASE DATA'!G39),"")</f>
        <v/>
      </c>
      <c r="C39" s="75">
        <f>IF(OR(B39="DISM", B39="JWV", B39="JUV", B39="CIV"), SUM('CASE DATA'!J39:S39), 'CASE DATA'!J39+'CASE DATA'!K39)</f>
        <v>0</v>
      </c>
      <c r="D39" s="76">
        <f>IF(OR(B39="DISM",B39="JWV",B39="JUV",B39="CIV"),0,SUM('CASE DATA'!L39:P39))</f>
        <v>0</v>
      </c>
      <c r="E39" s="77">
        <f>IF(OR(B39="DISM", B39="JWV", B39="JUV", B39="CIV"), 0, 'CASE DATA'!Q39)</f>
        <v>0</v>
      </c>
      <c r="F39" s="78">
        <f>IF(OR(B39="DISM", B39="JWV", B39="JUV", B39="CIV"), 0, 'CASE DATA'!R39+'CASE DATA'!S39)</f>
        <v>0</v>
      </c>
    </row>
    <row r="40" spans="1:7" x14ac:dyDescent="0.25">
      <c r="A40" s="57" t="str">
        <f>IF('CASE DATA'!A40="","",'CASE DATA'!A40)</f>
        <v/>
      </c>
      <c r="B40" s="62" t="str">
        <f>IF('CASE DATA'!A40&lt;&gt;"",IF('CASE DATA'!G40=0, "open charge", 'CASE DATA'!G40),"")</f>
        <v/>
      </c>
      <c r="C40" s="75">
        <f>IF(OR(B40="DISM", B40="JWV", B40="JUV", B40="CIV"), SUM('CASE DATA'!J40:S40), 'CASE DATA'!J40+'CASE DATA'!K40)</f>
        <v>0</v>
      </c>
      <c r="D40" s="76">
        <f>IF(OR(B40="DISM",B40="JWV",B40="JUV",B40="CIV"),0,SUM('CASE DATA'!L40:P40))</f>
        <v>0</v>
      </c>
      <c r="E40" s="77">
        <f>IF(OR(B40="DISM", B40="JWV", B40="JUV", B40="CIV"), 0, 'CASE DATA'!Q40)</f>
        <v>0</v>
      </c>
      <c r="F40" s="78">
        <f>IF(OR(B40="DISM", B40="JWV", B40="JUV", B40="CIV"), 0, 'CASE DATA'!R40+'CASE DATA'!S40)</f>
        <v>0</v>
      </c>
    </row>
    <row r="41" spans="1:7" x14ac:dyDescent="0.25">
      <c r="A41" s="57" t="str">
        <f>IF('CASE DATA'!A41="","",'CASE DATA'!A41)</f>
        <v/>
      </c>
      <c r="B41" s="62" t="str">
        <f>IF('CASE DATA'!A41&lt;&gt;"",IF('CASE DATA'!G41=0, "open charge", 'CASE DATA'!G41),"")</f>
        <v/>
      </c>
      <c r="C41" s="75">
        <f>IF(OR(B41="DISM", B41="JWV", B41="JUV", B41="CIV"), SUM('CASE DATA'!J41:S41), 'CASE DATA'!J41+'CASE DATA'!K41)</f>
        <v>0</v>
      </c>
      <c r="D41" s="76">
        <f>IF(OR(B41="DISM",B41="JWV",B41="JUV",B41="CIV"),0,SUM('CASE DATA'!L41:P41))</f>
        <v>0</v>
      </c>
      <c r="E41" s="77">
        <f>IF(OR(B41="DISM", B41="JWV", B41="JUV", B41="CIV"), 0, 'CASE DATA'!Q41)</f>
        <v>0</v>
      </c>
      <c r="F41" s="78">
        <f>IF(OR(B41="DISM", B41="JWV", B41="JUV", B41="CIV"), 0, 'CASE DATA'!R41+'CASE DATA'!S41)</f>
        <v>0</v>
      </c>
    </row>
    <row r="42" spans="1:7" x14ac:dyDescent="0.25">
      <c r="A42" s="57" t="str">
        <f>IF('CASE DATA'!A42="","",'CASE DATA'!A42)</f>
        <v/>
      </c>
      <c r="B42" s="62" t="str">
        <f>IF('CASE DATA'!A42&lt;&gt;"",IF('CASE DATA'!G42=0, "open charge", 'CASE DATA'!G42),"")</f>
        <v/>
      </c>
      <c r="C42" s="75">
        <f>IF(OR(B42="DISM", B42="JWV", B42="JUV", B42="CIV"), SUM('CASE DATA'!J42:S42), 'CASE DATA'!J42+'CASE DATA'!K42)</f>
        <v>0</v>
      </c>
      <c r="D42" s="76">
        <f>IF(OR(B42="DISM",B42="JWV",B42="JUV",B42="CIV"),0,SUM('CASE DATA'!L42:P42))</f>
        <v>0</v>
      </c>
      <c r="E42" s="77">
        <f>IF(OR(B42="DISM", B42="JWV", B42="JUV", B42="CIV"), 0, 'CASE DATA'!Q42)</f>
        <v>0</v>
      </c>
      <c r="F42" s="78">
        <f>IF(OR(B42="DISM", B42="JWV", B42="JUV", B42="CIV"), 0, 'CASE DATA'!R42+'CASE DATA'!S42)</f>
        <v>0</v>
      </c>
    </row>
    <row r="43" spans="1:7" x14ac:dyDescent="0.25">
      <c r="A43" s="57" t="str">
        <f>IF('CASE DATA'!A43="","",'CASE DATA'!A43)</f>
        <v/>
      </c>
      <c r="B43" s="62" t="str">
        <f>IF('CASE DATA'!A43&lt;&gt;"",IF('CASE DATA'!G43=0, "open charge", 'CASE DATA'!G43),"")</f>
        <v/>
      </c>
      <c r="C43" s="75">
        <f>IF(OR(B43="DISM", B43="JWV", B43="JUV", B43="CIV"), SUM('CASE DATA'!J43:S43), 'CASE DATA'!J43+'CASE DATA'!K43)</f>
        <v>0</v>
      </c>
      <c r="D43" s="76">
        <f>IF(OR(B43="DISM",B43="JWV",B43="JUV",B43="CIV"),0,SUM('CASE DATA'!L43:P43))</f>
        <v>0</v>
      </c>
      <c r="E43" s="77">
        <f>IF(OR(B43="DISM", B43="JWV", B43="JUV", B43="CIV"), 0, 'CASE DATA'!Q43)</f>
        <v>0</v>
      </c>
      <c r="F43" s="78">
        <f>IF(OR(B43="DISM", B43="JWV", B43="JUV", B43="CIV"), 0, 'CASE DATA'!R43+'CASE DATA'!S43)</f>
        <v>0</v>
      </c>
    </row>
    <row r="44" spans="1:7" x14ac:dyDescent="0.25">
      <c r="A44" s="57" t="str">
        <f>IF('CASE DATA'!A44="","",'CASE DATA'!A44)</f>
        <v/>
      </c>
      <c r="B44" s="62" t="str">
        <f>IF('CASE DATA'!A44&lt;&gt;"",IF('CASE DATA'!G44=0, "open charge", 'CASE DATA'!G44),"")</f>
        <v/>
      </c>
      <c r="C44" s="75">
        <f>IF(OR(B44="DISM", B44="JWV", B44="JUV", B44="CIV"), SUM('CASE DATA'!J44:S44), 'CASE DATA'!J44+'CASE DATA'!K44)</f>
        <v>0</v>
      </c>
      <c r="D44" s="76">
        <f>IF(OR(B44="DISM",B44="JWV",B44="JUV",B44="CIV"),0,SUM('CASE DATA'!L44:P44))</f>
        <v>0</v>
      </c>
      <c r="E44" s="77">
        <f>IF(OR(B44="DISM", B44="JWV", B44="JUV", B44="CIV"), 0, 'CASE DATA'!Q44)</f>
        <v>0</v>
      </c>
      <c r="F44" s="78">
        <f>IF(OR(B44="DISM", B44="JWV", B44="JUV", B44="CIV"), 0, 'CASE DATA'!R44+'CASE DATA'!S44)</f>
        <v>0</v>
      </c>
    </row>
    <row r="45" spans="1:7" x14ac:dyDescent="0.25">
      <c r="A45" s="57" t="str">
        <f>IF('CASE DATA'!A45="","",'CASE DATA'!A45)</f>
        <v/>
      </c>
      <c r="B45" s="62" t="str">
        <f>IF('CASE DATA'!A45&lt;&gt;"",IF('CASE DATA'!G45=0, "open charge", 'CASE DATA'!G45),"")</f>
        <v/>
      </c>
      <c r="C45" s="75">
        <f>IF(OR(B45="DISM", B45="JWV", B45="JUV", B45="CIV"), SUM('CASE DATA'!J45:S45), 'CASE DATA'!J45+'CASE DATA'!K45)</f>
        <v>0</v>
      </c>
      <c r="D45" s="76">
        <f>IF(OR(B45="DISM",B45="JWV",B45="JUV",B45="CIV"),0,SUM('CASE DATA'!L45:P45))</f>
        <v>0</v>
      </c>
      <c r="E45" s="77">
        <f>IF(OR(B45="DISM", B45="JWV", B45="JUV", B45="CIV"), 0, 'CASE DATA'!Q45)</f>
        <v>0</v>
      </c>
      <c r="F45" s="78">
        <f>IF(OR(B45="DISM", B45="JWV", B45="JUV", B45="CIV"), 0, 'CASE DATA'!R45+'CASE DATA'!S45)</f>
        <v>0</v>
      </c>
      <c r="G45" s="32"/>
    </row>
    <row r="46" spans="1:7" x14ac:dyDescent="0.25">
      <c r="A46" s="57" t="str">
        <f>IF('CASE DATA'!A46="","",'CASE DATA'!A46)</f>
        <v/>
      </c>
      <c r="B46" s="62" t="str">
        <f>IF('CASE DATA'!A46&lt;&gt;"",IF('CASE DATA'!G46=0, "open charge", 'CASE DATA'!G46),"")</f>
        <v/>
      </c>
      <c r="C46" s="75">
        <f>IF(OR(B46="DISM", B46="JWV", B46="JUV", B46="CIV"), SUM('CASE DATA'!J46:S46), 'CASE DATA'!J46+'CASE DATA'!K46)</f>
        <v>0</v>
      </c>
      <c r="D46" s="76">
        <f>IF(OR(B46="DISM",B46="JWV",B46="JUV",B46="CIV"),0,SUM('CASE DATA'!L46:P46))</f>
        <v>0</v>
      </c>
      <c r="E46" s="77">
        <f>IF(OR(B46="DISM", B46="JWV", B46="JUV", B46="CIV"), 0, 'CASE DATA'!Q46)</f>
        <v>0</v>
      </c>
      <c r="F46" s="78">
        <f>IF(OR(B46="DISM", B46="JWV", B46="JUV", B46="CIV"), 0, 'CASE DATA'!R46+'CASE DATA'!S46)</f>
        <v>0</v>
      </c>
    </row>
    <row r="47" spans="1:7" x14ac:dyDescent="0.25">
      <c r="A47" s="57" t="str">
        <f>IF('CASE DATA'!A47="","",'CASE DATA'!A47)</f>
        <v/>
      </c>
      <c r="B47" s="62" t="str">
        <f>IF('CASE DATA'!A47&lt;&gt;"",IF('CASE DATA'!G47=0, "open charge", 'CASE DATA'!G47),"")</f>
        <v/>
      </c>
      <c r="C47" s="75">
        <f>IF(OR(B47="DISM", B47="JWV", B47="JUV", B47="CIV"), SUM('CASE DATA'!J47:S47), 'CASE DATA'!J47+'CASE DATA'!K47)</f>
        <v>0</v>
      </c>
      <c r="D47" s="76">
        <f>IF(OR(B47="DISM",B47="JWV",B47="JUV",B47="CIV"),0,SUM('CASE DATA'!L47:P47))</f>
        <v>0</v>
      </c>
      <c r="E47" s="77">
        <f>IF(OR(B47="DISM", B47="JWV", B47="JUV", B47="CIV"), 0, 'CASE DATA'!Q47)</f>
        <v>0</v>
      </c>
      <c r="F47" s="78">
        <f>IF(OR(B47="DISM", B47="JWV", B47="JUV", B47="CIV"), 0, 'CASE DATA'!R47+'CASE DATA'!S47)</f>
        <v>0</v>
      </c>
    </row>
    <row r="48" spans="1:7" x14ac:dyDescent="0.25">
      <c r="A48" s="57" t="str">
        <f>IF('CASE DATA'!A48="","",'CASE DATA'!A48)</f>
        <v/>
      </c>
      <c r="B48" s="62" t="str">
        <f>IF('CASE DATA'!A48&lt;&gt;"",IF('CASE DATA'!G48=0, "open charge", 'CASE DATA'!G48),"")</f>
        <v/>
      </c>
      <c r="C48" s="75">
        <f>IF(OR(B48="DISM", B48="JWV", B48="JUV", B48="CIV"), SUM('CASE DATA'!J48:S48), 'CASE DATA'!J48+'CASE DATA'!K48)</f>
        <v>0</v>
      </c>
      <c r="D48" s="76">
        <f>IF(OR(B48="DISM",B48="JWV",B48="JUV",B48="CIV"),0,SUM('CASE DATA'!L48:P48))</f>
        <v>0</v>
      </c>
      <c r="E48" s="77">
        <f>IF(OR(B48="DISM", B48="JWV", B48="JUV", B48="CIV"), 0, 'CASE DATA'!Q48)</f>
        <v>0</v>
      </c>
      <c r="F48" s="78">
        <f>IF(OR(B48="DISM", B48="JWV", B48="JUV", B48="CIV"), 0, 'CASE DATA'!R48+'CASE DATA'!S48)</f>
        <v>0</v>
      </c>
    </row>
    <row r="49" spans="1:6" x14ac:dyDescent="0.25">
      <c r="A49" s="57" t="str">
        <f>IF('CASE DATA'!A49="","",'CASE DATA'!A49)</f>
        <v/>
      </c>
      <c r="B49" s="62" t="str">
        <f>IF('CASE DATA'!A49&lt;&gt;"",IF('CASE DATA'!G49=0, "open charge", 'CASE DATA'!G49),"")</f>
        <v/>
      </c>
      <c r="C49" s="75">
        <f>IF(OR(B49="DISM", B49="JWV", B49="JUV", B49="CIV"), SUM('CASE DATA'!J49:S49), 'CASE DATA'!J49+'CASE DATA'!K49)</f>
        <v>0</v>
      </c>
      <c r="D49" s="76">
        <f>IF(OR(B49="DISM",B49="JWV",B49="JUV",B49="CIV"),0,SUM('CASE DATA'!L49:P49))</f>
        <v>0</v>
      </c>
      <c r="E49" s="77">
        <f>IF(OR(B49="DISM", B49="JWV", B49="JUV", B49="CIV"), 0, 'CASE DATA'!Q49)</f>
        <v>0</v>
      </c>
      <c r="F49" s="78">
        <f>IF(OR(B49="DISM", B49="JWV", B49="JUV", B49="CIV"), 0, 'CASE DATA'!R49+'CASE DATA'!S49)</f>
        <v>0</v>
      </c>
    </row>
    <row r="50" spans="1:6" x14ac:dyDescent="0.25">
      <c r="A50" s="57" t="str">
        <f>IF('CASE DATA'!A50="","",'CASE DATA'!A50)</f>
        <v/>
      </c>
      <c r="B50" s="62" t="str">
        <f>IF('CASE DATA'!A50&lt;&gt;"",IF('CASE DATA'!G50=0, "open charge", 'CASE DATA'!G50),"")</f>
        <v/>
      </c>
      <c r="C50" s="75">
        <f>IF(OR(B50="DISM", B50="JWV", B50="JUV", B50="CIV"), SUM('CASE DATA'!J50:S50), 'CASE DATA'!J50+'CASE DATA'!K50)</f>
        <v>0</v>
      </c>
      <c r="D50" s="76">
        <f>IF(OR(B50="DISM",B50="JWV",B50="JUV",B50="CIV"),0,SUM('CASE DATA'!L50:P50))</f>
        <v>0</v>
      </c>
      <c r="E50" s="77">
        <f>IF(OR(B50="DISM", B50="JWV", B50="JUV", B50="CIV"), 0, 'CASE DATA'!Q50)</f>
        <v>0</v>
      </c>
      <c r="F50" s="78">
        <f>IF(OR(B50="DISM", B50="JWV", B50="JUV", B50="CIV"), 0, 'CASE DATA'!R50+'CASE DATA'!S50)</f>
        <v>0</v>
      </c>
    </row>
    <row r="51" spans="1:6" x14ac:dyDescent="0.25">
      <c r="A51" s="57" t="str">
        <f>IF('CASE DATA'!A51="","",'CASE DATA'!A51)</f>
        <v/>
      </c>
      <c r="B51" s="62" t="str">
        <f>IF('CASE DATA'!A51&lt;&gt;"",IF('CASE DATA'!G51=0, "open charge", 'CASE DATA'!G51),"")</f>
        <v/>
      </c>
      <c r="C51" s="75">
        <f>IF(OR(B51="DISM", B51="JWV", B51="JUV", B51="CIV"), SUM('CASE DATA'!J51:S51), 'CASE DATA'!J51+'CASE DATA'!K51)</f>
        <v>0</v>
      </c>
      <c r="D51" s="76">
        <f>IF(OR(B51="DISM",B51="JWV",B51="JUV",B51="CIV"),0,SUM('CASE DATA'!L51:P51))</f>
        <v>0</v>
      </c>
      <c r="E51" s="77">
        <f>IF(OR(B51="DISM", B51="JWV", B51="JUV", B51="CIV"), 0, 'CASE DATA'!Q51)</f>
        <v>0</v>
      </c>
      <c r="F51" s="78">
        <f>IF(OR(B51="DISM", B51="JWV", B51="JUV", B51="CIV"), 0, 'CASE DATA'!R51+'CASE DATA'!S51)</f>
        <v>0</v>
      </c>
    </row>
    <row r="52" spans="1:6" x14ac:dyDescent="0.25">
      <c r="A52" s="57" t="str">
        <f>IF('CASE DATA'!A52="","",'CASE DATA'!A52)</f>
        <v/>
      </c>
      <c r="B52" s="62" t="str">
        <f>IF('CASE DATA'!A52&lt;&gt;"",IF('CASE DATA'!G52=0, "open charge", 'CASE DATA'!G52),"")</f>
        <v/>
      </c>
      <c r="C52" s="75">
        <f>IF(OR(B52="DISM", B52="JWV", B52="JUV", B52="CIV"), SUM('CASE DATA'!J52:S52), 'CASE DATA'!J52+'CASE DATA'!K52)</f>
        <v>0</v>
      </c>
      <c r="D52" s="76">
        <f>IF(OR(B52="DISM",B52="JWV",B52="JUV",B52="CIV"),0,SUM('CASE DATA'!L52:P52))</f>
        <v>0</v>
      </c>
      <c r="E52" s="77">
        <f>IF(OR(B52="DISM", B52="JWV", B52="JUV", B52="CIV"), 0, 'CASE DATA'!Q52)</f>
        <v>0</v>
      </c>
      <c r="F52" s="78">
        <f>IF(OR(B52="DISM", B52="JWV", B52="JUV", B52="CIV"), 0, 'CASE DATA'!R52+'CASE DATA'!S52)</f>
        <v>0</v>
      </c>
    </row>
    <row r="53" spans="1:6" x14ac:dyDescent="0.25">
      <c r="A53" s="57" t="str">
        <f>IF('CASE DATA'!A53="","",'CASE DATA'!A53)</f>
        <v/>
      </c>
      <c r="B53" s="62" t="str">
        <f>IF('CASE DATA'!A53&lt;&gt;"",IF('CASE DATA'!G53=0, "open charge", 'CASE DATA'!G53),"")</f>
        <v/>
      </c>
      <c r="C53" s="75">
        <f>IF(OR(B53="DISM", B53="JWV", B53="JUV", B53="CIV"), SUM('CASE DATA'!J53:S53), 'CASE DATA'!J53+'CASE DATA'!K53)</f>
        <v>0</v>
      </c>
      <c r="D53" s="76">
        <f>IF(OR(B53="DISM",B53="JWV",B53="JUV",B53="CIV"),0,SUM('CASE DATA'!L53:P53))</f>
        <v>0</v>
      </c>
      <c r="E53" s="77">
        <f>IF(OR(B53="DISM", B53="JWV", B53="JUV", B53="CIV"), 0, 'CASE DATA'!Q53)</f>
        <v>0</v>
      </c>
      <c r="F53" s="78">
        <f>IF(OR(B53="DISM", B53="JWV", B53="JUV", B53="CIV"), 0, 'CASE DATA'!R53+'CASE DATA'!S53)</f>
        <v>0</v>
      </c>
    </row>
    <row r="54" spans="1:6" x14ac:dyDescent="0.25">
      <c r="A54" s="57" t="str">
        <f>IF('CASE DATA'!A54="","",'CASE DATA'!A54)</f>
        <v/>
      </c>
      <c r="B54" s="62" t="str">
        <f>IF('CASE DATA'!A54&lt;&gt;"",IF('CASE DATA'!G54=0, "open charge", 'CASE DATA'!G54),"")</f>
        <v/>
      </c>
      <c r="C54" s="75">
        <f>IF(OR(B54="DISM", B54="JWV", B54="JUV", B54="CIV"), SUM('CASE DATA'!J54:S54), 'CASE DATA'!J54+'CASE DATA'!K54)</f>
        <v>0</v>
      </c>
      <c r="D54" s="76">
        <f>IF(OR(B54="DISM",B54="JWV",B54="JUV",B54="CIV"),0,SUM('CASE DATA'!L54:P54))</f>
        <v>0</v>
      </c>
      <c r="E54" s="77">
        <f>IF(OR(B54="DISM", B54="JWV", B54="JUV", B54="CIV"), 0, 'CASE DATA'!Q54)</f>
        <v>0</v>
      </c>
      <c r="F54" s="78">
        <f>IF(OR(B54="DISM", B54="JWV", B54="JUV", B54="CIV"), 0, 'CASE DATA'!R54+'CASE DATA'!S54)</f>
        <v>0</v>
      </c>
    </row>
    <row r="55" spans="1:6" x14ac:dyDescent="0.25">
      <c r="A55" s="57" t="str">
        <f>IF('CASE DATA'!A55="","",'CASE DATA'!A55)</f>
        <v/>
      </c>
      <c r="B55" s="62" t="str">
        <f>IF('CASE DATA'!A55&lt;&gt;"",IF('CASE DATA'!G55=0, "open charge", 'CASE DATA'!G55),"")</f>
        <v/>
      </c>
      <c r="C55" s="75">
        <f>IF(OR(B55="DISM", B55="JWV", B55="JUV", B55="CIV"), SUM('CASE DATA'!J55:S55), 'CASE DATA'!J55+'CASE DATA'!K55)</f>
        <v>0</v>
      </c>
      <c r="D55" s="76">
        <f>IF(OR(B55="DISM",B55="JWV",B55="JUV",B55="CIV"),0,SUM('CASE DATA'!L55:P55))</f>
        <v>0</v>
      </c>
      <c r="E55" s="77">
        <f>IF(OR(B55="DISM", B55="JWV", B55="JUV", B55="CIV"), 0, 'CASE DATA'!Q55)</f>
        <v>0</v>
      </c>
      <c r="F55" s="78">
        <f>IF(OR(B55="DISM", B55="JWV", B55="JUV", B55="CIV"), 0, 'CASE DATA'!R55+'CASE DATA'!S55)</f>
        <v>0</v>
      </c>
    </row>
    <row r="56" spans="1:6" x14ac:dyDescent="0.25">
      <c r="A56" s="57" t="str">
        <f>IF('CASE DATA'!A56="","",'CASE DATA'!A56)</f>
        <v/>
      </c>
      <c r="B56" s="62" t="str">
        <f>IF('CASE DATA'!A56&lt;&gt;"",IF('CASE DATA'!G56=0, "open charge", 'CASE DATA'!G56),"")</f>
        <v/>
      </c>
      <c r="C56" s="75">
        <f>IF(OR(B56="DISM", B56="JWV", B56="JUV", B56="CIV"), SUM('CASE DATA'!J56:S56), 'CASE DATA'!J56+'CASE DATA'!K56)</f>
        <v>0</v>
      </c>
      <c r="D56" s="76">
        <f>IF(OR(B56="DISM",B56="JWV",B56="JUV",B56="CIV"),0,SUM('CASE DATA'!L56:P56))</f>
        <v>0</v>
      </c>
      <c r="E56" s="77">
        <f>IF(OR(B56="DISM", B56="JWV", B56="JUV", B56="CIV"), 0, 'CASE DATA'!Q56)</f>
        <v>0</v>
      </c>
      <c r="F56" s="78">
        <f>IF(OR(B56="DISM", B56="JWV", B56="JUV", B56="CIV"), 0, 'CASE DATA'!R56+'CASE DATA'!S56)</f>
        <v>0</v>
      </c>
    </row>
    <row r="57" spans="1:6" x14ac:dyDescent="0.25">
      <c r="A57" s="57" t="str">
        <f>IF('CASE DATA'!A57="","",'CASE DATA'!A57)</f>
        <v/>
      </c>
      <c r="B57" s="62" t="str">
        <f>IF('CASE DATA'!A57&lt;&gt;"",IF('CASE DATA'!G57=0, "open charge", 'CASE DATA'!G57),"")</f>
        <v/>
      </c>
      <c r="C57" s="75">
        <f>IF(OR(B57="DISM", B57="JWV", B57="JUV", B57="CIV"), SUM('CASE DATA'!J57:S57), 'CASE DATA'!J57+'CASE DATA'!K57)</f>
        <v>0</v>
      </c>
      <c r="D57" s="76">
        <f>IF(OR(B57="DISM",B57="JWV",B57="JUV",B57="CIV"),0,SUM('CASE DATA'!L57:P57))</f>
        <v>0</v>
      </c>
      <c r="E57" s="77">
        <f>IF(OR(B57="DISM", B57="JWV", B57="JUV", B57="CIV"), 0, 'CASE DATA'!Q57)</f>
        <v>0</v>
      </c>
      <c r="F57" s="78">
        <f>IF(OR(B57="DISM", B57="JWV", B57="JUV", B57="CIV"), 0, 'CASE DATA'!R57+'CASE DATA'!S57)</f>
        <v>0</v>
      </c>
    </row>
    <row r="58" spans="1:6" x14ac:dyDescent="0.25">
      <c r="A58" s="57" t="str">
        <f>IF('CASE DATA'!A58="","",'CASE DATA'!A58)</f>
        <v/>
      </c>
      <c r="B58" s="62" t="str">
        <f>IF('CASE DATA'!A58&lt;&gt;"",IF('CASE DATA'!G58=0, "open charge", 'CASE DATA'!G58),"")</f>
        <v/>
      </c>
      <c r="C58" s="75">
        <f>IF(OR(B58="DISM", B58="JWV", B58="JUV", B58="CIV"), SUM('CASE DATA'!J58:S58), 'CASE DATA'!J58+'CASE DATA'!K58)</f>
        <v>0</v>
      </c>
      <c r="D58" s="76">
        <f>IF(OR(B58="DISM",B58="JWV",B58="JUV",B58="CIV"),0,SUM('CASE DATA'!L58:P58))</f>
        <v>0</v>
      </c>
      <c r="E58" s="77">
        <f>IF(OR(B58="DISM", B58="JWV", B58="JUV", B58="CIV"), 0, 'CASE DATA'!Q58)</f>
        <v>0</v>
      </c>
      <c r="F58" s="78">
        <f>IF(OR(B58="DISM", B58="JWV", B58="JUV", B58="CIV"), 0, 'CASE DATA'!R58+'CASE DATA'!S58)</f>
        <v>0</v>
      </c>
    </row>
    <row r="59" spans="1:6" x14ac:dyDescent="0.25">
      <c r="A59" s="57" t="str">
        <f>IF('CASE DATA'!A59="","",'CASE DATA'!A59)</f>
        <v/>
      </c>
      <c r="B59" s="62" t="str">
        <f>IF('CASE DATA'!A59&lt;&gt;"",IF('CASE DATA'!G59=0, "open charge", 'CASE DATA'!G59),"")</f>
        <v/>
      </c>
      <c r="C59" s="75">
        <f>IF(OR(B59="DISM", B59="JWV", B59="JUV", B59="CIV"), SUM('CASE DATA'!J59:S59), 'CASE DATA'!J59+'CASE DATA'!K59)</f>
        <v>0</v>
      </c>
      <c r="D59" s="76">
        <f>IF(OR(B59="DISM",B59="JWV",B59="JUV",B59="CIV"),0,SUM('CASE DATA'!L59:P59))</f>
        <v>0</v>
      </c>
      <c r="E59" s="77">
        <f>IF(OR(B59="DISM", B59="JWV", B59="JUV", B59="CIV"), 0, 'CASE DATA'!Q59)</f>
        <v>0</v>
      </c>
      <c r="F59" s="78">
        <f>IF(OR(B59="DISM", B59="JWV", B59="JUV", B59="CIV"), 0, 'CASE DATA'!R59+'CASE DATA'!S59)</f>
        <v>0</v>
      </c>
    </row>
    <row r="60" spans="1:6" x14ac:dyDescent="0.25">
      <c r="A60" s="57" t="str">
        <f>IF('CASE DATA'!A60="","",'CASE DATA'!A60)</f>
        <v/>
      </c>
      <c r="B60" s="62" t="str">
        <f>IF('CASE DATA'!A60&lt;&gt;"",IF('CASE DATA'!G60=0, "open charge", 'CASE DATA'!G60),"")</f>
        <v/>
      </c>
      <c r="C60" s="75">
        <f>IF(OR(B60="DISM", B60="JWV", B60="JUV", B60="CIV"), SUM('CASE DATA'!J60:S60), 'CASE DATA'!J60+'CASE DATA'!K60)</f>
        <v>0</v>
      </c>
      <c r="D60" s="76">
        <f>IF(OR(B60="DISM",B60="JWV",B60="JUV",B60="CIV"),0,SUM('CASE DATA'!L60:P60))</f>
        <v>0</v>
      </c>
      <c r="E60" s="77">
        <f>IF(OR(B60="DISM", B60="JWV", B60="JUV", B60="CIV"), 0, 'CASE DATA'!Q60)</f>
        <v>0</v>
      </c>
      <c r="F60" s="78">
        <f>IF(OR(B60="DISM", B60="JWV", B60="JUV", B60="CIV"), 0, 'CASE DATA'!R60+'CASE DATA'!S60)</f>
        <v>0</v>
      </c>
    </row>
    <row r="61" spans="1:6" x14ac:dyDescent="0.25">
      <c r="A61" s="57" t="str">
        <f>IF('CASE DATA'!A61="","",'CASE DATA'!A61)</f>
        <v/>
      </c>
      <c r="B61" s="62" t="str">
        <f>IF('CASE DATA'!A61&lt;&gt;"",IF('CASE DATA'!G61=0, "open charge", 'CASE DATA'!G61),"")</f>
        <v/>
      </c>
      <c r="C61" s="75">
        <f>IF(OR(B61="DISM", B61="JWV", B61="JUV", B61="CIV"), SUM('CASE DATA'!J61:S61), 'CASE DATA'!J61+'CASE DATA'!K61)</f>
        <v>0</v>
      </c>
      <c r="D61" s="76">
        <f>IF(OR(B61="DISM",B61="JWV",B61="JUV",B61="CIV"),0,SUM('CASE DATA'!L61:P61))</f>
        <v>0</v>
      </c>
      <c r="E61" s="77">
        <f>IF(OR(B61="DISM", B61="JWV", B61="JUV", B61="CIV"), 0, 'CASE DATA'!Q61)</f>
        <v>0</v>
      </c>
      <c r="F61" s="78">
        <f>IF(OR(B61="DISM", B61="JWV", B61="JUV", B61="CIV"), 0, 'CASE DATA'!R61+'CASE DATA'!S61)</f>
        <v>0</v>
      </c>
    </row>
    <row r="62" spans="1:6" x14ac:dyDescent="0.25">
      <c r="A62" s="57" t="str">
        <f>IF('CASE DATA'!A62="","",'CASE DATA'!A62)</f>
        <v/>
      </c>
      <c r="B62" s="62" t="str">
        <f>IF('CASE DATA'!A62&lt;&gt;"",IF('CASE DATA'!G62=0, "open charge", 'CASE DATA'!G62),"")</f>
        <v/>
      </c>
      <c r="C62" s="75">
        <f>IF(OR(B62="DISM", B62="JWV", B62="JUV", B62="CIV"), SUM('CASE DATA'!J62:S62), 'CASE DATA'!J62+'CASE DATA'!K62)</f>
        <v>0</v>
      </c>
      <c r="D62" s="76">
        <f>IF(OR(B62="DISM",B62="JWV",B62="JUV",B62="CIV"),0,SUM('CASE DATA'!L62:P62))</f>
        <v>0</v>
      </c>
      <c r="E62" s="77">
        <f>IF(OR(B62="DISM", B62="JWV", B62="JUV", B62="CIV"), 0, 'CASE DATA'!Q62)</f>
        <v>0</v>
      </c>
      <c r="F62" s="78">
        <f>IF(OR(B62="DISM", B62="JWV", B62="JUV", B62="CIV"), 0, 'CASE DATA'!R62+'CASE DATA'!S62)</f>
        <v>0</v>
      </c>
    </row>
    <row r="63" spans="1:6" x14ac:dyDescent="0.25">
      <c r="A63" s="57" t="str">
        <f>IF('CASE DATA'!A63="","",'CASE DATA'!A63)</f>
        <v/>
      </c>
      <c r="B63" s="62" t="str">
        <f>IF('CASE DATA'!A63&lt;&gt;"",IF('CASE DATA'!G63=0, "open charge", 'CASE DATA'!G63),"")</f>
        <v/>
      </c>
      <c r="C63" s="75">
        <f>IF(OR(B63="DISM", B63="JWV", B63="JUV", B63="CIV"), SUM('CASE DATA'!J63:S63), 'CASE DATA'!J63+'CASE DATA'!K63)</f>
        <v>0</v>
      </c>
      <c r="D63" s="76">
        <f>IF(OR(B63="DISM",B63="JWV",B63="JUV",B63="CIV"),0,SUM('CASE DATA'!L63:P63))</f>
        <v>0</v>
      </c>
      <c r="E63" s="77">
        <f>IF(OR(B63="DISM", B63="JWV", B63="JUV", B63="CIV"), 0, 'CASE DATA'!Q63)</f>
        <v>0</v>
      </c>
      <c r="F63" s="78">
        <f>IF(OR(B63="DISM", B63="JWV", B63="JUV", B63="CIV"), 0, 'CASE DATA'!R63+'CASE DATA'!S63)</f>
        <v>0</v>
      </c>
    </row>
    <row r="64" spans="1:6" x14ac:dyDescent="0.25">
      <c r="A64" s="57" t="str">
        <f>IF('CASE DATA'!A64="","",'CASE DATA'!A64)</f>
        <v/>
      </c>
      <c r="B64" s="62" t="str">
        <f>IF('CASE DATA'!A64&lt;&gt;"",IF('CASE DATA'!G64=0, "open charge", 'CASE DATA'!G64),"")</f>
        <v/>
      </c>
      <c r="C64" s="75">
        <f>IF(OR(B64="DISM", B64="JWV", B64="JUV", B64="CIV"), SUM('CASE DATA'!J64:S64), 'CASE DATA'!J64+'CASE DATA'!K64)</f>
        <v>0</v>
      </c>
      <c r="D64" s="76">
        <f>IF(OR(B64="DISM",B64="JWV",B64="JUV",B64="CIV"),0,SUM('CASE DATA'!L64:P64))</f>
        <v>0</v>
      </c>
      <c r="E64" s="77">
        <f>IF(OR(B64="DISM", B64="JWV", B64="JUV", B64="CIV"), 0, 'CASE DATA'!Q64)</f>
        <v>0</v>
      </c>
      <c r="F64" s="78">
        <f>IF(OR(B64="DISM", B64="JWV", B64="JUV", B64="CIV"), 0, 'CASE DATA'!R64+'CASE DATA'!S64)</f>
        <v>0</v>
      </c>
    </row>
    <row r="65" spans="1:6" x14ac:dyDescent="0.25">
      <c r="A65" s="57" t="str">
        <f>IF('CASE DATA'!A65="","",'CASE DATA'!A65)</f>
        <v/>
      </c>
      <c r="B65" s="62" t="str">
        <f>IF('CASE DATA'!A65&lt;&gt;"",IF('CASE DATA'!G65=0, "open charge", 'CASE DATA'!G65),"")</f>
        <v/>
      </c>
      <c r="C65" s="75">
        <f>IF(OR(B65="DISM", B65="JWV", B65="JUV", B65="CIV"), SUM('CASE DATA'!J65:S65), 'CASE DATA'!J65+'CASE DATA'!K65)</f>
        <v>0</v>
      </c>
      <c r="D65" s="76">
        <f>IF(OR(B65="DISM",B65="JWV",B65="JUV",B65="CIV"),0,SUM('CASE DATA'!L65:P65))</f>
        <v>0</v>
      </c>
      <c r="E65" s="77">
        <f>IF(OR(B65="DISM", B65="JWV", B65="JUV", B65="CIV"), 0, 'CASE DATA'!Q65)</f>
        <v>0</v>
      </c>
      <c r="F65" s="78">
        <f>IF(OR(B65="DISM", B65="JWV", B65="JUV", B65="CIV"), 0, 'CASE DATA'!R65+'CASE DATA'!S65)</f>
        <v>0</v>
      </c>
    </row>
    <row r="66" spans="1:6" x14ac:dyDescent="0.25">
      <c r="A66" s="57" t="str">
        <f>IF('CASE DATA'!A66="","",'CASE DATA'!A66)</f>
        <v/>
      </c>
      <c r="B66" s="62" t="str">
        <f>IF('CASE DATA'!A66&lt;&gt;"",IF('CASE DATA'!G66=0, "open charge", 'CASE DATA'!G66),"")</f>
        <v/>
      </c>
      <c r="C66" s="75">
        <f>IF(OR(B66="DISM", B66="JWV", B66="JUV", B66="CIV"), SUM('CASE DATA'!J66:S66), 'CASE DATA'!J66+'CASE DATA'!K66)</f>
        <v>0</v>
      </c>
      <c r="D66" s="76">
        <f>IF(OR(B66="DISM",B66="JWV",B66="JUV",B66="CIV"),0,SUM('CASE DATA'!L66:P66))</f>
        <v>0</v>
      </c>
      <c r="E66" s="77">
        <f>IF(OR(B66="DISM", B66="JWV", B66="JUV", B66="CIV"), 0, 'CASE DATA'!Q66)</f>
        <v>0</v>
      </c>
      <c r="F66" s="78">
        <f>IF(OR(B66="DISM", B66="JWV", B66="JUV", B66="CIV"), 0, 'CASE DATA'!R66+'CASE DATA'!S66)</f>
        <v>0</v>
      </c>
    </row>
    <row r="67" spans="1:6" x14ac:dyDescent="0.25">
      <c r="A67" s="57" t="str">
        <f>IF('CASE DATA'!A67="","",'CASE DATA'!A67)</f>
        <v/>
      </c>
      <c r="B67" s="62" t="str">
        <f>IF('CASE DATA'!A67&lt;&gt;"",IF('CASE DATA'!G67=0, "open charge", 'CASE DATA'!G67),"")</f>
        <v/>
      </c>
      <c r="C67" s="75">
        <f>IF(OR(B67="DISM", B67="JWV", B67="JUV", B67="CIV"), SUM('CASE DATA'!J67:S67), 'CASE DATA'!J67+'CASE DATA'!K67)</f>
        <v>0</v>
      </c>
      <c r="D67" s="76">
        <f>IF(OR(B67="DISM",B67="JWV",B67="JUV",B67="CIV"),0,SUM('CASE DATA'!L67:P67))</f>
        <v>0</v>
      </c>
      <c r="E67" s="77">
        <f>IF(OR(B67="DISM", B67="JWV", B67="JUV", B67="CIV"), 0, 'CASE DATA'!Q67)</f>
        <v>0</v>
      </c>
      <c r="F67" s="78">
        <f>IF(OR(B67="DISM", B67="JWV", B67="JUV", B67="CIV"), 0, 'CASE DATA'!R67+'CASE DATA'!S67)</f>
        <v>0</v>
      </c>
    </row>
    <row r="68" spans="1:6" x14ac:dyDescent="0.25">
      <c r="A68" s="57" t="str">
        <f>IF('CASE DATA'!A68="","",'CASE DATA'!A68)</f>
        <v/>
      </c>
      <c r="B68" s="62" t="str">
        <f>IF('CASE DATA'!A68&lt;&gt;"",IF('CASE DATA'!G68=0, "open charge", 'CASE DATA'!G68),"")</f>
        <v/>
      </c>
      <c r="C68" s="75">
        <f>IF(OR(B68="DISM", B68="JWV", B68="JUV", B68="CIV"), SUM('CASE DATA'!J68:S68), 'CASE DATA'!J68+'CASE DATA'!K68)</f>
        <v>0</v>
      </c>
      <c r="D68" s="76">
        <f>IF(OR(B68="DISM",B68="JWV",B68="JUV",B68="CIV"),0,SUM('CASE DATA'!L68:P68))</f>
        <v>0</v>
      </c>
      <c r="E68" s="77">
        <f>IF(OR(B68="DISM", B68="JWV", B68="JUV", B68="CIV"), 0, 'CASE DATA'!Q68)</f>
        <v>0</v>
      </c>
      <c r="F68" s="78">
        <f>IF(OR(B68="DISM", B68="JWV", B68="JUV", B68="CIV"), 0, 'CASE DATA'!R68+'CASE DATA'!S68)</f>
        <v>0</v>
      </c>
    </row>
    <row r="69" spans="1:6" x14ac:dyDescent="0.25">
      <c r="A69" s="57" t="str">
        <f>IF('CASE DATA'!A69="","",'CASE DATA'!A69)</f>
        <v/>
      </c>
      <c r="B69" s="62" t="str">
        <f>IF('CASE DATA'!A69&lt;&gt;"",IF('CASE DATA'!G69=0, "open charge", 'CASE DATA'!G69),"")</f>
        <v/>
      </c>
      <c r="C69" s="75">
        <f>IF(OR(B69="DISM", B69="JWV", B69="JUV", B69="CIV"), SUM('CASE DATA'!J69:S69), 'CASE DATA'!J69+'CASE DATA'!K69)</f>
        <v>0</v>
      </c>
      <c r="D69" s="76">
        <f>IF(OR(B69="DISM",B69="JWV",B69="JUV",B69="CIV"),0,SUM('CASE DATA'!L69:P69))</f>
        <v>0</v>
      </c>
      <c r="E69" s="77">
        <f>IF(OR(B69="DISM", B69="JWV", B69="JUV", B69="CIV"), 0, 'CASE DATA'!Q69)</f>
        <v>0</v>
      </c>
      <c r="F69" s="78">
        <f>IF(OR(B69="DISM", B69="JWV", B69="JUV", B69="CIV"), 0, 'CASE DATA'!R69+'CASE DATA'!S69)</f>
        <v>0</v>
      </c>
    </row>
    <row r="70" spans="1:6" x14ac:dyDescent="0.25">
      <c r="A70" s="57" t="str">
        <f>IF('CASE DATA'!A70="","",'CASE DATA'!A70)</f>
        <v/>
      </c>
      <c r="B70" s="62" t="str">
        <f>IF('CASE DATA'!A70&lt;&gt;"",IF('CASE DATA'!G70=0, "open charge", 'CASE DATA'!G70),"")</f>
        <v/>
      </c>
      <c r="C70" s="75">
        <f>IF(OR(B70="DISM", B70="JWV", B70="JUV", B70="CIV"), SUM('CASE DATA'!J70:S70), 'CASE DATA'!J70+'CASE DATA'!K70)</f>
        <v>0</v>
      </c>
      <c r="D70" s="76">
        <f>IF(OR(B70="DISM",B70="JWV",B70="JUV",B70="CIV"),0,SUM('CASE DATA'!L70:P70))</f>
        <v>0</v>
      </c>
      <c r="E70" s="77">
        <f>IF(OR(B70="DISM", B70="JWV", B70="JUV", B70="CIV"), 0, 'CASE DATA'!Q70)</f>
        <v>0</v>
      </c>
      <c r="F70" s="78">
        <f>IF(OR(B70="DISM", B70="JWV", B70="JUV", B70="CIV"), 0, 'CASE DATA'!R70+'CASE DATA'!S70)</f>
        <v>0</v>
      </c>
    </row>
    <row r="71" spans="1:6" x14ac:dyDescent="0.25">
      <c r="A71" s="57" t="str">
        <f>IF('CASE DATA'!A71="","",'CASE DATA'!A71)</f>
        <v/>
      </c>
      <c r="B71" s="62" t="str">
        <f>IF('CASE DATA'!A71&lt;&gt;"",IF('CASE DATA'!G71=0, "open charge", 'CASE DATA'!G71),"")</f>
        <v/>
      </c>
      <c r="C71" s="75">
        <f>IF(OR(B71="DISM", B71="JWV", B71="JUV", B71="CIV"), SUM('CASE DATA'!J71:S71), 'CASE DATA'!J71+'CASE DATA'!K71)</f>
        <v>0</v>
      </c>
      <c r="D71" s="76">
        <f>IF(OR(B71="DISM",B71="JWV",B71="JUV",B71="CIV"),0,SUM('CASE DATA'!L71:P71))</f>
        <v>0</v>
      </c>
      <c r="E71" s="77">
        <f>IF(OR(B71="DISM", B71="JWV", B71="JUV", B71="CIV"), 0, 'CASE DATA'!Q71)</f>
        <v>0</v>
      </c>
      <c r="F71" s="78">
        <f>IF(OR(B71="DISM", B71="JWV", B71="JUV", B71="CIV"), 0, 'CASE DATA'!R71+'CASE DATA'!S71)</f>
        <v>0</v>
      </c>
    </row>
    <row r="72" spans="1:6" x14ac:dyDescent="0.25">
      <c r="A72" s="57" t="str">
        <f>IF('CASE DATA'!A72="","",'CASE DATA'!A72)</f>
        <v/>
      </c>
      <c r="B72" s="62" t="str">
        <f>IF('CASE DATA'!A72&lt;&gt;"",IF('CASE DATA'!G72=0, "open charge", 'CASE DATA'!G72),"")</f>
        <v/>
      </c>
      <c r="C72" s="75">
        <f>IF(OR(B72="DISM", B72="JWV", B72="JUV", B72="CIV"), SUM('CASE DATA'!J72:S72), 'CASE DATA'!J72+'CASE DATA'!K72)</f>
        <v>0</v>
      </c>
      <c r="D72" s="76">
        <f>IF(OR(B72="DISM",B72="JWV",B72="JUV",B72="CIV"),0,SUM('CASE DATA'!L72:P72))</f>
        <v>0</v>
      </c>
      <c r="E72" s="77">
        <f>IF(OR(B72="DISM", B72="JWV", B72="JUV", B72="CIV"), 0, 'CASE DATA'!Q72)</f>
        <v>0</v>
      </c>
      <c r="F72" s="78">
        <f>IF(OR(B72="DISM", B72="JWV", B72="JUV", B72="CIV"), 0, 'CASE DATA'!R72+'CASE DATA'!S72)</f>
        <v>0</v>
      </c>
    </row>
    <row r="73" spans="1:6" x14ac:dyDescent="0.25">
      <c r="A73" s="57" t="str">
        <f>IF('CASE DATA'!A73="","",'CASE DATA'!A73)</f>
        <v/>
      </c>
      <c r="B73" s="62" t="str">
        <f>IF('CASE DATA'!A73&lt;&gt;"",IF('CASE DATA'!G73=0, "open charge", 'CASE DATA'!G73),"")</f>
        <v/>
      </c>
      <c r="C73" s="75">
        <f>IF(OR(B73="DISM", B73="JWV", B73="JUV", B73="CIV"), SUM('CASE DATA'!J73:S73), 'CASE DATA'!J73+'CASE DATA'!K73)</f>
        <v>0</v>
      </c>
      <c r="D73" s="76">
        <f>IF(OR(B73="DISM",B73="JWV",B73="JUV",B73="CIV"),0,SUM('CASE DATA'!L73:P73))</f>
        <v>0</v>
      </c>
      <c r="E73" s="77">
        <f>IF(OR(B73="DISM", B73="JWV", B73="JUV", B73="CIV"), 0, 'CASE DATA'!Q73)</f>
        <v>0</v>
      </c>
      <c r="F73" s="78">
        <f>IF(OR(B73="DISM", B73="JWV", B73="JUV", B73="CIV"), 0, 'CASE DATA'!R73+'CASE DATA'!S73)</f>
        <v>0</v>
      </c>
    </row>
    <row r="74" spans="1:6" x14ac:dyDescent="0.25">
      <c r="A74" s="57" t="str">
        <f>IF('CASE DATA'!A74="","",'CASE DATA'!A74)</f>
        <v/>
      </c>
      <c r="B74" s="62" t="str">
        <f>IF('CASE DATA'!A74&lt;&gt;"",IF('CASE DATA'!G74=0, "open charge", 'CASE DATA'!G74),"")</f>
        <v/>
      </c>
      <c r="C74" s="75">
        <f>IF(OR(B74="DISM", B74="JWV", B74="JUV", B74="CIV"), SUM('CASE DATA'!J74:S74), 'CASE DATA'!J74+'CASE DATA'!K74)</f>
        <v>0</v>
      </c>
      <c r="D74" s="76">
        <f>IF(OR(B74="DISM",B74="JWV",B74="JUV",B74="CIV"),0,SUM('CASE DATA'!L74:P74))</f>
        <v>0</v>
      </c>
      <c r="E74" s="77">
        <f>IF(OR(B74="DISM", B74="JWV", B74="JUV", B74="CIV"), 0, 'CASE DATA'!Q74)</f>
        <v>0</v>
      </c>
      <c r="F74" s="78">
        <f>IF(OR(B74="DISM", B74="JWV", B74="JUV", B74="CIV"), 0, 'CASE DATA'!R74+'CASE DATA'!S74)</f>
        <v>0</v>
      </c>
    </row>
    <row r="75" spans="1:6" x14ac:dyDescent="0.25">
      <c r="A75" s="57" t="str">
        <f>IF('CASE DATA'!A75="","",'CASE DATA'!A75)</f>
        <v/>
      </c>
      <c r="B75" s="62" t="str">
        <f>IF('CASE DATA'!A75&lt;&gt;"",IF('CASE DATA'!G75=0, "open charge", 'CASE DATA'!G75),"")</f>
        <v/>
      </c>
      <c r="C75" s="75">
        <f>IF(OR(B75="DISM", B75="JWV", B75="JUV", B75="CIV"), SUM('CASE DATA'!J75:S75), 'CASE DATA'!J75+'CASE DATA'!K75)</f>
        <v>0</v>
      </c>
      <c r="D75" s="76">
        <f>IF(OR(B75="DISM",B75="JWV",B75="JUV",B75="CIV"),0,SUM('CASE DATA'!L75:P75))</f>
        <v>0</v>
      </c>
      <c r="E75" s="77">
        <f>IF(OR(B75="DISM", B75="JWV", B75="JUV", B75="CIV"), 0, 'CASE DATA'!Q75)</f>
        <v>0</v>
      </c>
      <c r="F75" s="78">
        <f>IF(OR(B75="DISM", B75="JWV", B75="JUV", B75="CIV"), 0, 'CASE DATA'!R75+'CASE DATA'!S75)</f>
        <v>0</v>
      </c>
    </row>
    <row r="76" spans="1:6" x14ac:dyDescent="0.25">
      <c r="A76" s="57" t="str">
        <f>IF('CASE DATA'!A76="","",'CASE DATA'!A76)</f>
        <v/>
      </c>
      <c r="B76" s="62" t="str">
        <f>IF('CASE DATA'!A76&lt;&gt;"",IF('CASE DATA'!G76=0, "open charge", 'CASE DATA'!G76),"")</f>
        <v/>
      </c>
      <c r="C76" s="75">
        <f>IF(OR(B76="DISM", B76="JWV", B76="JUV", B76="CIV"), SUM('CASE DATA'!J76:S76), 'CASE DATA'!J76+'CASE DATA'!K76)</f>
        <v>0</v>
      </c>
      <c r="D76" s="76">
        <f>IF(OR(B76="DISM",B76="JWV",B76="JUV",B76="CIV"),0,SUM('CASE DATA'!L76:P76))</f>
        <v>0</v>
      </c>
      <c r="E76" s="77">
        <f>IF(OR(B76="DISM", B76="JWV", B76="JUV", B76="CIV"), 0, 'CASE DATA'!Q76)</f>
        <v>0</v>
      </c>
      <c r="F76" s="78">
        <f>IF(OR(B76="DISM", B76="JWV", B76="JUV", B76="CIV"), 0, 'CASE DATA'!R76+'CASE DATA'!S76)</f>
        <v>0</v>
      </c>
    </row>
    <row r="77" spans="1:6" x14ac:dyDescent="0.25">
      <c r="A77" s="57" t="str">
        <f>IF('CASE DATA'!A77="","",'CASE DATA'!A77)</f>
        <v/>
      </c>
      <c r="B77" s="62" t="str">
        <f>IF('CASE DATA'!A77&lt;&gt;"",IF('CASE DATA'!G77=0, "open charge", 'CASE DATA'!G77),"")</f>
        <v/>
      </c>
      <c r="C77" s="75">
        <f>IF(OR(B77="DISM", B77="JWV", B77="JUV", B77="CIV"), SUM('CASE DATA'!J77:S77), 'CASE DATA'!J77+'CASE DATA'!K77)</f>
        <v>0</v>
      </c>
      <c r="D77" s="76">
        <f>IF(OR(B77="DISM",B77="JWV",B77="JUV",B77="CIV"),0,SUM('CASE DATA'!L77:P77))</f>
        <v>0</v>
      </c>
      <c r="E77" s="77">
        <f>IF(OR(B77="DISM", B77="JWV", B77="JUV", B77="CIV"), 0, 'CASE DATA'!Q77)</f>
        <v>0</v>
      </c>
      <c r="F77" s="78">
        <f>IF(OR(B77="DISM", B77="JWV", B77="JUV", B77="CIV"), 0, 'CASE DATA'!R77+'CASE DATA'!S77)</f>
        <v>0</v>
      </c>
    </row>
    <row r="78" spans="1:6" x14ac:dyDescent="0.25">
      <c r="A78" s="57" t="str">
        <f>IF('CASE DATA'!A78="","",'CASE DATA'!A78)</f>
        <v/>
      </c>
      <c r="B78" s="62" t="str">
        <f>IF('CASE DATA'!A78&lt;&gt;"",IF('CASE DATA'!G78=0, "open charge", 'CASE DATA'!G78),"")</f>
        <v/>
      </c>
      <c r="C78" s="75">
        <f>IF(OR(B78="DISM", B78="JWV", B78="JUV", B78="CIV"), SUM('CASE DATA'!J78:S78), 'CASE DATA'!J78+'CASE DATA'!K78)</f>
        <v>0</v>
      </c>
      <c r="D78" s="76">
        <f>IF(OR(B78="DISM",B78="JWV",B78="JUV",B78="CIV"),0,SUM('CASE DATA'!L78:P78))</f>
        <v>0</v>
      </c>
      <c r="E78" s="77">
        <f>IF(OR(B78="DISM", B78="JWV", B78="JUV", B78="CIV"), 0, 'CASE DATA'!Q78)</f>
        <v>0</v>
      </c>
      <c r="F78" s="78">
        <f>IF(OR(B78="DISM", B78="JWV", B78="JUV", B78="CIV"), 0, 'CASE DATA'!R78+'CASE DATA'!S78)</f>
        <v>0</v>
      </c>
    </row>
    <row r="79" spans="1:6" x14ac:dyDescent="0.25">
      <c r="A79" s="57" t="str">
        <f>IF('CASE DATA'!A79="","",'CASE DATA'!A79)</f>
        <v/>
      </c>
      <c r="B79" s="62" t="str">
        <f>IF('CASE DATA'!A79&lt;&gt;"",IF('CASE DATA'!G79=0, "open charge", 'CASE DATA'!G79),"")</f>
        <v/>
      </c>
      <c r="C79" s="75">
        <f>IF(OR(B79="DISM", B79="JWV", B79="JUV", B79="CIV"), SUM('CASE DATA'!J79:S79), 'CASE DATA'!J79+'CASE DATA'!K79)</f>
        <v>0</v>
      </c>
      <c r="D79" s="76">
        <f>IF(OR(B79="DISM",B79="JWV",B79="JUV",B79="CIV"),0,SUM('CASE DATA'!L79:P79))</f>
        <v>0</v>
      </c>
      <c r="E79" s="77">
        <f>IF(OR(B79="DISM", B79="JWV", B79="JUV", B79="CIV"), 0, 'CASE DATA'!Q79)</f>
        <v>0</v>
      </c>
      <c r="F79" s="78">
        <f>IF(OR(B79="DISM", B79="JWV", B79="JUV", B79="CIV"), 0, 'CASE DATA'!R79+'CASE DATA'!S79)</f>
        <v>0</v>
      </c>
    </row>
    <row r="80" spans="1:6" x14ac:dyDescent="0.25">
      <c r="A80" s="57" t="str">
        <f>IF('CASE DATA'!A80="","",'CASE DATA'!A80)</f>
        <v/>
      </c>
      <c r="B80" s="62" t="str">
        <f>IF('CASE DATA'!A80&lt;&gt;"",IF('CASE DATA'!G80=0, "open charge", 'CASE DATA'!G80),"")</f>
        <v/>
      </c>
      <c r="C80" s="75">
        <f>IF(OR(B80="DISM", B80="JWV", B80="JUV", B80="CIV"), SUM('CASE DATA'!J80:S80), 'CASE DATA'!J80+'CASE DATA'!K80)</f>
        <v>0</v>
      </c>
      <c r="D80" s="76">
        <f>IF(OR(B80="DISM",B80="JWV",B80="JUV",B80="CIV"),0,SUM('CASE DATA'!L80:P80))</f>
        <v>0</v>
      </c>
      <c r="E80" s="77">
        <f>IF(OR(B80="DISM", B80="JWV", B80="JUV", B80="CIV"), 0, 'CASE DATA'!Q80)</f>
        <v>0</v>
      </c>
      <c r="F80" s="78">
        <f>IF(OR(B80="DISM", B80="JWV", B80="JUV", B80="CIV"), 0, 'CASE DATA'!R80+'CASE DATA'!S80)</f>
        <v>0</v>
      </c>
    </row>
    <row r="81" spans="1:6" x14ac:dyDescent="0.25">
      <c r="A81" s="57" t="str">
        <f>IF('CASE DATA'!A81="","",'CASE DATA'!A81)</f>
        <v/>
      </c>
      <c r="B81" s="62" t="str">
        <f>IF('CASE DATA'!A81&lt;&gt;"",IF('CASE DATA'!G81=0, "open charge", 'CASE DATA'!G81),"")</f>
        <v/>
      </c>
      <c r="C81" s="75">
        <f>IF(OR(B81="DISM", B81="JWV", B81="JUV", B81="CIV"), SUM('CASE DATA'!J81:S81), 'CASE DATA'!J81+'CASE DATA'!K81)</f>
        <v>0</v>
      </c>
      <c r="D81" s="76">
        <f>IF(OR(B81="DISM",B81="JWV",B81="JUV",B81="CIV"),0,SUM('CASE DATA'!L81:P81))</f>
        <v>0</v>
      </c>
      <c r="E81" s="77">
        <f>IF(OR(B81="DISM", B81="JWV", B81="JUV", B81="CIV"), 0, 'CASE DATA'!Q81)</f>
        <v>0</v>
      </c>
      <c r="F81" s="78">
        <f>IF(OR(B81="DISM", B81="JWV", B81="JUV", B81="CIV"), 0, 'CASE DATA'!R81+'CASE DATA'!S81)</f>
        <v>0</v>
      </c>
    </row>
    <row r="82" spans="1:6" x14ac:dyDescent="0.25">
      <c r="A82" s="57" t="str">
        <f>IF('CASE DATA'!A82="","",'CASE DATA'!A82)</f>
        <v/>
      </c>
      <c r="B82" s="62" t="str">
        <f>IF('CASE DATA'!A82&lt;&gt;"",IF('CASE DATA'!G82=0, "open charge", 'CASE DATA'!G82),"")</f>
        <v/>
      </c>
      <c r="C82" s="75">
        <f>IF(OR(B82="DISM", B82="JWV", B82="JUV", B82="CIV"), SUM('CASE DATA'!J82:S82), 'CASE DATA'!J82+'CASE DATA'!K82)</f>
        <v>0</v>
      </c>
      <c r="D82" s="76">
        <f>IF(OR(B82="DISM",B82="JWV",B82="JUV",B82="CIV"),0,SUM('CASE DATA'!L82:P82))</f>
        <v>0</v>
      </c>
      <c r="E82" s="77">
        <f>IF(OR(B82="DISM", B82="JWV", B82="JUV", B82="CIV"), 0, 'CASE DATA'!Q82)</f>
        <v>0</v>
      </c>
      <c r="F82" s="78">
        <f>IF(OR(B82="DISM", B82="JWV", B82="JUV", B82="CIV"), 0, 'CASE DATA'!R82+'CASE DATA'!S82)</f>
        <v>0</v>
      </c>
    </row>
    <row r="83" spans="1:6" x14ac:dyDescent="0.25">
      <c r="A83" s="57" t="str">
        <f>IF('CASE DATA'!A83="","",'CASE DATA'!A83)</f>
        <v/>
      </c>
      <c r="B83" s="62" t="str">
        <f>IF('CASE DATA'!A83&lt;&gt;"",IF('CASE DATA'!G83=0, "open charge", 'CASE DATA'!G83),"")</f>
        <v/>
      </c>
      <c r="C83" s="75">
        <f>IF(OR(B83="DISM", B83="JWV", B83="JUV", B83="CIV"), SUM('CASE DATA'!J83:S83), 'CASE DATA'!J83+'CASE DATA'!K83)</f>
        <v>0</v>
      </c>
      <c r="D83" s="76">
        <f>IF(OR(B83="DISM",B83="JWV",B83="JUV",B83="CIV"),0,SUM('CASE DATA'!L83:P83))</f>
        <v>0</v>
      </c>
      <c r="E83" s="77">
        <f>IF(OR(B83="DISM", B83="JWV", B83="JUV", B83="CIV"), 0, 'CASE DATA'!Q83)</f>
        <v>0</v>
      </c>
      <c r="F83" s="78">
        <f>IF(OR(B83="DISM", B83="JWV", B83="JUV", B83="CIV"), 0, 'CASE DATA'!R83+'CASE DATA'!S83)</f>
        <v>0</v>
      </c>
    </row>
    <row r="84" spans="1:6" x14ac:dyDescent="0.25">
      <c r="A84" s="57" t="str">
        <f>IF('CASE DATA'!A84="","",'CASE DATA'!A84)</f>
        <v/>
      </c>
      <c r="B84" s="62" t="str">
        <f>IF('CASE DATA'!A84&lt;&gt;"",IF('CASE DATA'!G84=0, "open charge", 'CASE DATA'!G84),"")</f>
        <v/>
      </c>
      <c r="C84" s="75">
        <f>IF(OR(B84="DISM", B84="JWV", B84="JUV", B84="CIV"), SUM('CASE DATA'!J84:S84), 'CASE DATA'!J84+'CASE DATA'!K84)</f>
        <v>0</v>
      </c>
      <c r="D84" s="76">
        <f>IF(OR(B84="DISM",B84="JWV",B84="JUV",B84="CIV"),0,SUM('CASE DATA'!L84:P84))</f>
        <v>0</v>
      </c>
      <c r="E84" s="77">
        <f>IF(OR(B84="DISM", B84="JWV", B84="JUV", B84="CIV"), 0, 'CASE DATA'!Q84)</f>
        <v>0</v>
      </c>
      <c r="F84" s="78">
        <f>IF(OR(B84="DISM", B84="JWV", B84="JUV", B84="CIV"), 0, 'CASE DATA'!R84+'CASE DATA'!S84)</f>
        <v>0</v>
      </c>
    </row>
    <row r="85" spans="1:6" x14ac:dyDescent="0.25">
      <c r="A85" s="57" t="str">
        <f>IF('CASE DATA'!A85="","",'CASE DATA'!A85)</f>
        <v/>
      </c>
      <c r="B85" s="62" t="str">
        <f>IF('CASE DATA'!A85&lt;&gt;"",IF('CASE DATA'!G85=0, "open charge", 'CASE DATA'!G85),"")</f>
        <v/>
      </c>
      <c r="C85" s="75">
        <f>IF(OR(B85="DISM", B85="JWV", B85="JUV", B85="CIV"), SUM('CASE DATA'!J85:S85), 'CASE DATA'!J85+'CASE DATA'!K85)</f>
        <v>0</v>
      </c>
      <c r="D85" s="76">
        <f>IF(OR(B85="DISM",B85="JWV",B85="JUV",B85="CIV"),0,SUM('CASE DATA'!L85:P85))</f>
        <v>0</v>
      </c>
      <c r="E85" s="77">
        <f>IF(OR(B85="DISM", B85="JWV", B85="JUV", B85="CIV"), 0, 'CASE DATA'!Q85)</f>
        <v>0</v>
      </c>
      <c r="F85" s="78">
        <f>IF(OR(B85="DISM", B85="JWV", B85="JUV", B85="CIV"), 0, 'CASE DATA'!R85+'CASE DATA'!S85)</f>
        <v>0</v>
      </c>
    </row>
    <row r="86" spans="1:6" x14ac:dyDescent="0.25">
      <c r="A86" s="57" t="str">
        <f>IF('CASE DATA'!A86="","",'CASE DATA'!A86)</f>
        <v/>
      </c>
      <c r="B86" s="62" t="str">
        <f>IF('CASE DATA'!A86&lt;&gt;"",IF('CASE DATA'!G86=0, "open charge", 'CASE DATA'!G86),"")</f>
        <v/>
      </c>
      <c r="C86" s="75">
        <f>IF(OR(B86="DISM", B86="JWV", B86="JUV", B86="CIV"), SUM('CASE DATA'!J86:S86), 'CASE DATA'!J86+'CASE DATA'!K86)</f>
        <v>0</v>
      </c>
      <c r="D86" s="76">
        <f>IF(OR(B86="DISM",B86="JWV",B86="JUV",B86="CIV"),0,SUM('CASE DATA'!L86:P86))</f>
        <v>0</v>
      </c>
      <c r="E86" s="77">
        <f>IF(OR(B86="DISM", B86="JWV", B86="JUV", B86="CIV"), 0, 'CASE DATA'!Q86)</f>
        <v>0</v>
      </c>
      <c r="F86" s="78">
        <f>IF(OR(B86="DISM", B86="JWV", B86="JUV", B86="CIV"), 0, 'CASE DATA'!R86+'CASE DATA'!S86)</f>
        <v>0</v>
      </c>
    </row>
    <row r="87" spans="1:6" x14ac:dyDescent="0.25">
      <c r="A87" s="57" t="str">
        <f>IF('CASE DATA'!A87="","",'CASE DATA'!A87)</f>
        <v/>
      </c>
      <c r="B87" s="62" t="str">
        <f>IF('CASE DATA'!A87&lt;&gt;"",IF('CASE DATA'!G87=0, "open charge", 'CASE DATA'!G87),"")</f>
        <v/>
      </c>
      <c r="C87" s="75">
        <f>IF(OR(B87="DISM", B87="JWV", B87="JUV", B87="CIV"), SUM('CASE DATA'!J87:S87), 'CASE DATA'!J87+'CASE DATA'!K87)</f>
        <v>0</v>
      </c>
      <c r="D87" s="76">
        <f>IF(OR(B87="DISM",B87="JWV",B87="JUV",B87="CIV"),0,SUM('CASE DATA'!L87:P87))</f>
        <v>0</v>
      </c>
      <c r="E87" s="77">
        <f>IF(OR(B87="DISM", B87="JWV", B87="JUV", B87="CIV"), 0, 'CASE DATA'!Q87)</f>
        <v>0</v>
      </c>
      <c r="F87" s="78">
        <f>IF(OR(B87="DISM", B87="JWV", B87="JUV", B87="CIV"), 0, 'CASE DATA'!R87+'CASE DATA'!S87)</f>
        <v>0</v>
      </c>
    </row>
    <row r="88" spans="1:6" x14ac:dyDescent="0.25">
      <c r="A88" s="57" t="str">
        <f>IF('CASE DATA'!A88="","",'CASE DATA'!A88)</f>
        <v/>
      </c>
      <c r="B88" s="62" t="str">
        <f>IF('CASE DATA'!A88&lt;&gt;"",IF('CASE DATA'!G88=0, "open charge", 'CASE DATA'!G88),"")</f>
        <v/>
      </c>
      <c r="C88" s="75">
        <f>IF(OR(B88="DISM", B88="JWV", B88="JUV", B88="CIV"), SUM('CASE DATA'!J88:S88), 'CASE DATA'!J88+'CASE DATA'!K88)</f>
        <v>0</v>
      </c>
      <c r="D88" s="76">
        <f>IF(OR(B88="DISM",B88="JWV",B88="JUV",B88="CIV"),0,SUM('CASE DATA'!L88:P88))</f>
        <v>0</v>
      </c>
      <c r="E88" s="77">
        <f>IF(OR(B88="DISM", B88="JWV", B88="JUV", B88="CIV"), 0, 'CASE DATA'!Q88)</f>
        <v>0</v>
      </c>
      <c r="F88" s="78">
        <f>IF(OR(B88="DISM", B88="JWV", B88="JUV", B88="CIV"), 0, 'CASE DATA'!R88+'CASE DATA'!S88)</f>
        <v>0</v>
      </c>
    </row>
    <row r="89" spans="1:6" x14ac:dyDescent="0.25">
      <c r="A89" s="57" t="str">
        <f>IF('CASE DATA'!A89="","",'CASE DATA'!A89)</f>
        <v/>
      </c>
      <c r="B89" s="62" t="str">
        <f>IF('CASE DATA'!A89&lt;&gt;"",IF('CASE DATA'!G89=0, "open charge", 'CASE DATA'!G89),"")</f>
        <v/>
      </c>
      <c r="C89" s="75">
        <f>IF(OR(B89="DISM", B89="JWV", B89="JUV", B89="CIV"), SUM('CASE DATA'!J89:S89), 'CASE DATA'!J89+'CASE DATA'!K89)</f>
        <v>0</v>
      </c>
      <c r="D89" s="76">
        <f>IF(OR(B89="DISM",B89="JWV",B89="JUV",B89="CIV"),0,SUM('CASE DATA'!L89:P89))</f>
        <v>0</v>
      </c>
      <c r="E89" s="77">
        <f>IF(OR(B89="DISM", B89="JWV", B89="JUV", B89="CIV"), 0, 'CASE DATA'!Q89)</f>
        <v>0</v>
      </c>
      <c r="F89" s="78">
        <f>IF(OR(B89="DISM", B89="JWV", B89="JUV", B89="CIV"), 0, 'CASE DATA'!R89+'CASE DATA'!S89)</f>
        <v>0</v>
      </c>
    </row>
    <row r="90" spans="1:6" x14ac:dyDescent="0.25">
      <c r="A90" s="57" t="str">
        <f>IF('CASE DATA'!A90="","",'CASE DATA'!A90)</f>
        <v/>
      </c>
      <c r="B90" s="62" t="str">
        <f>IF('CASE DATA'!A90&lt;&gt;"",IF('CASE DATA'!G90=0, "open charge", 'CASE DATA'!G90),"")</f>
        <v/>
      </c>
      <c r="C90" s="75">
        <f>IF(OR(B90="DISM", B90="JWV", B90="JUV", B90="CIV"), SUM('CASE DATA'!J90:S90), 'CASE DATA'!J90+'CASE DATA'!K90)</f>
        <v>0</v>
      </c>
      <c r="D90" s="76">
        <f>IF(OR(B90="DISM",B90="JWV",B90="JUV",B90="CIV"),0,SUM('CASE DATA'!L90:P90))</f>
        <v>0</v>
      </c>
      <c r="E90" s="77">
        <f>IF(OR(B90="DISM", B90="JWV", B90="JUV", B90="CIV"), 0, 'CASE DATA'!Q90)</f>
        <v>0</v>
      </c>
      <c r="F90" s="78">
        <f>IF(OR(B90="DISM", B90="JWV", B90="JUV", B90="CIV"), 0, 'CASE DATA'!R90+'CASE DATA'!S90)</f>
        <v>0</v>
      </c>
    </row>
    <row r="91" spans="1:6" x14ac:dyDescent="0.25">
      <c r="A91" s="57" t="str">
        <f>IF('CASE DATA'!A91="","",'CASE DATA'!A91)</f>
        <v/>
      </c>
      <c r="B91" s="62" t="str">
        <f>IF('CASE DATA'!A91&lt;&gt;"",IF('CASE DATA'!G91=0, "open charge", 'CASE DATA'!G91),"")</f>
        <v/>
      </c>
      <c r="C91" s="75">
        <f>IF(OR(B91="DISM", B91="JWV", B91="JUV", B91="CIV"), SUM('CASE DATA'!J91:S91), 'CASE DATA'!J91+'CASE DATA'!K91)</f>
        <v>0</v>
      </c>
      <c r="D91" s="76">
        <f>IF(OR(B91="DISM",B91="JWV",B91="JUV",B91="CIV"),0,SUM('CASE DATA'!L91:P91))</f>
        <v>0</v>
      </c>
      <c r="E91" s="77">
        <f>IF(OR(B91="DISM", B91="JWV", B91="JUV", B91="CIV"), 0, 'CASE DATA'!Q91)</f>
        <v>0</v>
      </c>
      <c r="F91" s="78">
        <f>IF(OR(B91="DISM", B91="JWV", B91="JUV", B91="CIV"), 0, 'CASE DATA'!R91+'CASE DATA'!S91)</f>
        <v>0</v>
      </c>
    </row>
    <row r="92" spans="1:6" x14ac:dyDescent="0.25">
      <c r="A92" s="57" t="str">
        <f>IF('CASE DATA'!A92="","",'CASE DATA'!A92)</f>
        <v/>
      </c>
      <c r="B92" s="62" t="str">
        <f>IF('CASE DATA'!A92&lt;&gt;"",IF('CASE DATA'!G92=0, "open charge", 'CASE DATA'!G92),"")</f>
        <v/>
      </c>
      <c r="C92" s="75">
        <f>IF(OR(B92="DISM", B92="JWV", B92="JUV", B92="CIV"), SUM('CASE DATA'!J92:S92), 'CASE DATA'!J92+'CASE DATA'!K92)</f>
        <v>0</v>
      </c>
      <c r="D92" s="76">
        <f>IF(OR(B92="DISM",B92="JWV",B92="JUV",B92="CIV"),0,SUM('CASE DATA'!L92:P92))</f>
        <v>0</v>
      </c>
      <c r="E92" s="77">
        <f>IF(OR(B92="DISM", B92="JWV", B92="JUV", B92="CIV"), 0, 'CASE DATA'!Q92)</f>
        <v>0</v>
      </c>
      <c r="F92" s="78">
        <f>IF(OR(B92="DISM", B92="JWV", B92="JUV", B92="CIV"), 0, 'CASE DATA'!R92+'CASE DATA'!S92)</f>
        <v>0</v>
      </c>
    </row>
    <row r="93" spans="1:6" x14ac:dyDescent="0.25">
      <c r="A93" s="57" t="str">
        <f>IF('CASE DATA'!A93="","",'CASE DATA'!A93)</f>
        <v/>
      </c>
      <c r="B93" s="62" t="str">
        <f>IF('CASE DATA'!A93&lt;&gt;"",IF('CASE DATA'!G93=0, "open charge", 'CASE DATA'!G93),"")</f>
        <v/>
      </c>
      <c r="C93" s="75">
        <f>IF(OR(B93="DISM", B93="JWV", B93="JUV", B93="CIV"), SUM('CASE DATA'!J93:S93), 'CASE DATA'!J93+'CASE DATA'!K93)</f>
        <v>0</v>
      </c>
      <c r="D93" s="76">
        <f>IF(OR(B93="DISM",B93="JWV",B93="JUV",B93="CIV"),0,SUM('CASE DATA'!L93:P93))</f>
        <v>0</v>
      </c>
      <c r="E93" s="77">
        <f>IF(OR(B93="DISM", B93="JWV", B93="JUV", B93="CIV"), 0, 'CASE DATA'!Q93)</f>
        <v>0</v>
      </c>
      <c r="F93" s="78">
        <f>IF(OR(B93="DISM", B93="JWV", B93="JUV", B93="CIV"), 0, 'CASE DATA'!R93+'CASE DATA'!S93)</f>
        <v>0</v>
      </c>
    </row>
    <row r="94" spans="1:6" x14ac:dyDescent="0.25">
      <c r="A94" s="57" t="str">
        <f>IF('CASE DATA'!A94="","",'CASE DATA'!A94)</f>
        <v/>
      </c>
      <c r="B94" s="62" t="str">
        <f>IF('CASE DATA'!A94&lt;&gt;"",IF('CASE DATA'!G94=0, "open charge", 'CASE DATA'!G94),"")</f>
        <v/>
      </c>
      <c r="C94" s="75">
        <f>IF(OR(B94="DISM", B94="JWV", B94="JUV", B94="CIV"), SUM('CASE DATA'!J94:S94), 'CASE DATA'!J94+'CASE DATA'!K94)</f>
        <v>0</v>
      </c>
      <c r="D94" s="76">
        <f>IF(OR(B94="DISM",B94="JWV",B94="JUV",B94="CIV"),0,SUM('CASE DATA'!L94:P94))</f>
        <v>0</v>
      </c>
      <c r="E94" s="77">
        <f>IF(OR(B94="DISM", B94="JWV", B94="JUV", B94="CIV"), 0, 'CASE DATA'!Q94)</f>
        <v>0</v>
      </c>
      <c r="F94" s="78">
        <f>IF(OR(B94="DISM", B94="JWV", B94="JUV", B94="CIV"), 0, 'CASE DATA'!R94+'CASE DATA'!S94)</f>
        <v>0</v>
      </c>
    </row>
    <row r="95" spans="1:6" x14ac:dyDescent="0.25">
      <c r="A95" s="57" t="str">
        <f>IF('CASE DATA'!A95="","",'CASE DATA'!A95)</f>
        <v/>
      </c>
      <c r="B95" s="62" t="str">
        <f>IF('CASE DATA'!A95&lt;&gt;"",IF('CASE DATA'!G95=0, "open charge", 'CASE DATA'!G95),"")</f>
        <v/>
      </c>
      <c r="C95" s="75">
        <f>IF(OR(B95="DISM", B95="JWV", B95="JUV", B95="CIV"), SUM('CASE DATA'!J95:S95), 'CASE DATA'!J95+'CASE DATA'!K95)</f>
        <v>0</v>
      </c>
      <c r="D95" s="76">
        <f>IF(OR(B95="DISM",B95="JWV",B95="JUV",B95="CIV"),0,SUM('CASE DATA'!L95:P95))</f>
        <v>0</v>
      </c>
      <c r="E95" s="77">
        <f>IF(OR(B95="DISM", B95="JWV", B95="JUV", B95="CIV"), 0, 'CASE DATA'!Q95)</f>
        <v>0</v>
      </c>
      <c r="F95" s="78">
        <f>IF(OR(B95="DISM", B95="JWV", B95="JUV", B95="CIV"), 0, 'CASE DATA'!R95+'CASE DATA'!S95)</f>
        <v>0</v>
      </c>
    </row>
    <row r="96" spans="1:6" x14ac:dyDescent="0.25">
      <c r="A96" s="57" t="str">
        <f>IF('CASE DATA'!A96="","",'CASE DATA'!A96)</f>
        <v/>
      </c>
      <c r="B96" s="62" t="str">
        <f>IF('CASE DATA'!A96&lt;&gt;"",IF('CASE DATA'!G96=0, "open charge", 'CASE DATA'!G96),"")</f>
        <v/>
      </c>
      <c r="C96" s="75">
        <f>IF(OR(B96="DISM", B96="JWV", B96="JUV", B96="CIV"), SUM('CASE DATA'!J96:S96), 'CASE DATA'!J96+'CASE DATA'!K96)</f>
        <v>0</v>
      </c>
      <c r="D96" s="76">
        <f>IF(OR(B96="DISM",B96="JWV",B96="JUV",B96="CIV"),0,SUM('CASE DATA'!L96:P96))</f>
        <v>0</v>
      </c>
      <c r="E96" s="77">
        <f>IF(OR(B96="DISM", B96="JWV", B96="JUV", B96="CIV"), 0, 'CASE DATA'!Q96)</f>
        <v>0</v>
      </c>
      <c r="F96" s="78">
        <f>IF(OR(B96="DISM", B96="JWV", B96="JUV", B96="CIV"), 0, 'CASE DATA'!R96+'CASE DATA'!S96)</f>
        <v>0</v>
      </c>
    </row>
    <row r="97" spans="1:6" x14ac:dyDescent="0.25">
      <c r="A97" s="57" t="str">
        <f>IF('CASE DATA'!A97="","",'CASE DATA'!A97)</f>
        <v/>
      </c>
      <c r="B97" s="62" t="str">
        <f>IF('CASE DATA'!A97&lt;&gt;"",IF('CASE DATA'!G97=0, "open charge", 'CASE DATA'!G97),"")</f>
        <v/>
      </c>
      <c r="C97" s="75">
        <f>IF(OR(B97="DISM", B97="JWV", B97="JUV", B97="CIV"), SUM('CASE DATA'!J97:S97), 'CASE DATA'!J97+'CASE DATA'!K97)</f>
        <v>0</v>
      </c>
      <c r="D97" s="76">
        <f>IF(OR(B97="DISM",B97="JWV",B97="JUV",B97="CIV"),0,SUM('CASE DATA'!L97:P97))</f>
        <v>0</v>
      </c>
      <c r="E97" s="77">
        <f>IF(OR(B97="DISM", B97="JWV", B97="JUV", B97="CIV"), 0, 'CASE DATA'!Q97)</f>
        <v>0</v>
      </c>
      <c r="F97" s="78">
        <f>IF(OR(B97="DISM", B97="JWV", B97="JUV", B97="CIV"), 0, 'CASE DATA'!R97+'CASE DATA'!S97)</f>
        <v>0</v>
      </c>
    </row>
    <row r="98" spans="1:6" x14ac:dyDescent="0.25">
      <c r="A98" s="57" t="str">
        <f>IF('CASE DATA'!A98="","",'CASE DATA'!A98)</f>
        <v/>
      </c>
      <c r="B98" s="62" t="str">
        <f>IF('CASE DATA'!A98&lt;&gt;"",IF('CASE DATA'!G98=0, "open charge", 'CASE DATA'!G98),"")</f>
        <v/>
      </c>
      <c r="C98" s="75">
        <f>IF(OR(B98="DISM", B98="JWV", B98="JUV", B98="CIV"), SUM('CASE DATA'!J98:S98), 'CASE DATA'!J98+'CASE DATA'!K98)</f>
        <v>0</v>
      </c>
      <c r="D98" s="76">
        <f>IF(OR(B98="DISM",B98="JWV",B98="JUV",B98="CIV"),0,SUM('CASE DATA'!L98:P98))</f>
        <v>0</v>
      </c>
      <c r="E98" s="77">
        <f>IF(OR(B98="DISM", B98="JWV", B98="JUV", B98="CIV"), 0, 'CASE DATA'!Q98)</f>
        <v>0</v>
      </c>
      <c r="F98" s="78">
        <f>IF(OR(B98="DISM", B98="JWV", B98="JUV", B98="CIV"), 0, 'CASE DATA'!R98+'CASE DATA'!S98)</f>
        <v>0</v>
      </c>
    </row>
    <row r="99" spans="1:6" x14ac:dyDescent="0.25">
      <c r="A99" s="57" t="str">
        <f>IF('CASE DATA'!A99="","",'CASE DATA'!A99)</f>
        <v/>
      </c>
      <c r="B99" s="62" t="str">
        <f>IF('CASE DATA'!A99&lt;&gt;"",IF('CASE DATA'!G99=0, "open charge", 'CASE DATA'!G99),"")</f>
        <v/>
      </c>
      <c r="C99" s="75">
        <f>IF(OR(B99="DISM", B99="JWV", B99="JUV", B99="CIV"), SUM('CASE DATA'!J99:S99), 'CASE DATA'!J99+'CASE DATA'!K99)</f>
        <v>0</v>
      </c>
      <c r="D99" s="76">
        <f>IF(OR(B99="DISM",B99="JWV",B99="JUV",B99="CIV"),0,SUM('CASE DATA'!L99:P99))</f>
        <v>0</v>
      </c>
      <c r="E99" s="77">
        <f>IF(OR(B99="DISM", B99="JWV", B99="JUV", B99="CIV"), 0, 'CASE DATA'!Q99)</f>
        <v>0</v>
      </c>
      <c r="F99" s="78">
        <f>IF(OR(B99="DISM", B99="JWV", B99="JUV", B99="CIV"), 0, 'CASE DATA'!R99+'CASE DATA'!S99)</f>
        <v>0</v>
      </c>
    </row>
    <row r="100" spans="1:6" x14ac:dyDescent="0.25">
      <c r="A100" s="57" t="str">
        <f>IF('CASE DATA'!A100="","",'CASE DATA'!A100)</f>
        <v/>
      </c>
      <c r="B100" s="62" t="str">
        <f>IF('CASE DATA'!A100&lt;&gt;"",IF('CASE DATA'!G100=0, "open charge", 'CASE DATA'!G100),"")</f>
        <v/>
      </c>
      <c r="C100" s="75">
        <f>IF(OR(B100="DISM", B100="JWV", B100="JUV", B100="CIV"), SUM('CASE DATA'!J100:S100), 'CASE DATA'!J100+'CASE DATA'!K100)</f>
        <v>0</v>
      </c>
      <c r="D100" s="76">
        <f>IF(OR(B100="DISM",B100="JWV",B100="JUV",B100="CIV"),0,SUM('CASE DATA'!L100:P100))</f>
        <v>0</v>
      </c>
      <c r="E100" s="77">
        <f>IF(OR(B100="DISM", B100="JWV", B100="JUV", B100="CIV"), 0, 'CASE DATA'!Q100)</f>
        <v>0</v>
      </c>
      <c r="F100" s="78">
        <f>IF(OR(B100="DISM", B100="JWV", B100="JUV", B100="CIV"), 0, 'CASE DATA'!R100+'CASE DATA'!S100)</f>
        <v>0</v>
      </c>
    </row>
    <row r="101" spans="1:6" x14ac:dyDescent="0.25">
      <c r="A101" s="57" t="str">
        <f>IF('CASE DATA'!A101="","",'CASE DATA'!A101)</f>
        <v/>
      </c>
      <c r="B101" s="62" t="str">
        <f>IF('CASE DATA'!A101&lt;&gt;"",IF('CASE DATA'!G101=0, "open charge", 'CASE DATA'!G101),"")</f>
        <v/>
      </c>
      <c r="C101" s="75">
        <f>IF(OR(B101="DISM", B101="JWV", B101="JUV", B101="CIV"), SUM('CASE DATA'!J101:S101), 'CASE DATA'!J101+'CASE DATA'!K101)</f>
        <v>0</v>
      </c>
      <c r="D101" s="76">
        <f>IF(OR(B101="DISM",B101="JWV",B101="JUV",B101="CIV"),0,SUM('CASE DATA'!L101:P101))</f>
        <v>0</v>
      </c>
      <c r="E101" s="77">
        <f>IF(OR(B101="DISM", B101="JWV", B101="JUV", B101="CIV"), 0, 'CASE DATA'!Q101)</f>
        <v>0</v>
      </c>
      <c r="F101" s="78">
        <f>IF(OR(B101="DISM", B101="JWV", B101="JUV", B101="CIV"), 0, 'CASE DATA'!R101+'CASE DATA'!S101)</f>
        <v>0</v>
      </c>
    </row>
    <row r="102" spans="1:6" x14ac:dyDescent="0.25">
      <c r="A102" s="57" t="str">
        <f>IF('CASE DATA'!A102="","",'CASE DATA'!A102)</f>
        <v/>
      </c>
      <c r="B102" s="62" t="str">
        <f>IF('CASE DATA'!A102&lt;&gt;"",IF('CASE DATA'!G102=0, "open charge", 'CASE DATA'!G102),"")</f>
        <v/>
      </c>
      <c r="C102" s="75">
        <f>IF(OR(B102="DISM", B102="JWV", B102="JUV", B102="CIV"), SUM('CASE DATA'!J102:S102), 'CASE DATA'!J102+'CASE DATA'!K102)</f>
        <v>0</v>
      </c>
      <c r="D102" s="76">
        <f>IF(OR(B102="DISM",B102="JWV",B102="JUV",B102="CIV"),0,SUM('CASE DATA'!L102:P102))</f>
        <v>0</v>
      </c>
      <c r="E102" s="77">
        <f>IF(OR(B102="DISM", B102="JWV", B102="JUV", B102="CIV"), 0, 'CASE DATA'!Q102)</f>
        <v>0</v>
      </c>
      <c r="F102" s="78">
        <f>IF(OR(B102="DISM", B102="JWV", B102="JUV", B102="CIV"), 0, 'CASE DATA'!R102+'CASE DATA'!S102)</f>
        <v>0</v>
      </c>
    </row>
    <row r="103" spans="1:6" x14ac:dyDescent="0.25">
      <c r="A103" s="57" t="str">
        <f>IF('CASE DATA'!A103="","",'CASE DATA'!A103)</f>
        <v/>
      </c>
      <c r="B103" s="62" t="str">
        <f>IF('CASE DATA'!A103&lt;&gt;"",IF('CASE DATA'!G103=0, "open charge", 'CASE DATA'!G103),"")</f>
        <v/>
      </c>
      <c r="C103" s="75">
        <f>IF(OR(B103="DISM", B103="JWV", B103="JUV", B103="CIV"), SUM('CASE DATA'!J103:S103), 'CASE DATA'!J103+'CASE DATA'!K103)</f>
        <v>0</v>
      </c>
      <c r="D103" s="76">
        <f>IF(OR(B103="DISM",B103="JWV",B103="JUV",B103="CIV"),0,SUM('CASE DATA'!L103:P103))</f>
        <v>0</v>
      </c>
      <c r="E103" s="77">
        <f>IF(OR(B103="DISM", B103="JWV", B103="JUV", B103="CIV"), 0, 'CASE DATA'!Q103)</f>
        <v>0</v>
      </c>
      <c r="F103" s="78">
        <f>IF(OR(B103="DISM", B103="JWV", B103="JUV", B103="CIV"), 0, 'CASE DATA'!R103+'CASE DATA'!S103)</f>
        <v>0</v>
      </c>
    </row>
    <row r="104" spans="1:6" x14ac:dyDescent="0.25">
      <c r="A104" s="57" t="str">
        <f>IF('CASE DATA'!A104="","",'CASE DATA'!A104)</f>
        <v/>
      </c>
      <c r="B104" s="62" t="str">
        <f>IF('CASE DATA'!A104&lt;&gt;"",IF('CASE DATA'!G104=0, "open charge", 'CASE DATA'!G104),"")</f>
        <v/>
      </c>
      <c r="C104" s="75">
        <f>IF(OR(B104="DISM", B104="JWV", B104="JUV", B104="CIV"), SUM('CASE DATA'!J104:S104), 'CASE DATA'!J104+'CASE DATA'!K104)</f>
        <v>0</v>
      </c>
      <c r="D104" s="76">
        <f>IF(OR(B104="DISM",B104="JWV",B104="JUV",B104="CIV"),0,SUM('CASE DATA'!L104:P104))</f>
        <v>0</v>
      </c>
      <c r="E104" s="77">
        <f>IF(OR(B104="DISM", B104="JWV", B104="JUV", B104="CIV"), 0, 'CASE DATA'!Q104)</f>
        <v>0</v>
      </c>
      <c r="F104" s="78">
        <f>IF(OR(B104="DISM", B104="JWV", B104="JUV", B104="CIV"), 0, 'CASE DATA'!R104+'CASE DATA'!S104)</f>
        <v>0</v>
      </c>
    </row>
    <row r="105" spans="1:6" x14ac:dyDescent="0.25">
      <c r="A105" s="57" t="str">
        <f>IF('CASE DATA'!A105="","",'CASE DATA'!A105)</f>
        <v/>
      </c>
      <c r="B105" s="62" t="str">
        <f>IF('CASE DATA'!A105&lt;&gt;"",IF('CASE DATA'!G105=0, "open charge", 'CASE DATA'!G105),"")</f>
        <v/>
      </c>
      <c r="C105" s="75">
        <f>IF(OR(B105="DISM", B105="JWV", B105="JUV", B105="CIV"), SUM('CASE DATA'!J105:S105), 'CASE DATA'!J105+'CASE DATA'!K105)</f>
        <v>0</v>
      </c>
      <c r="D105" s="76">
        <f>IF(OR(B105="DISM",B105="JWV",B105="JUV",B105="CIV"),0,SUM('CASE DATA'!L105:P105))</f>
        <v>0</v>
      </c>
      <c r="E105" s="77">
        <f>IF(OR(B105="DISM", B105="JWV", B105="JUV", B105="CIV"), 0, 'CASE DATA'!Q105)</f>
        <v>0</v>
      </c>
      <c r="F105" s="78">
        <f>IF(OR(B105="DISM", B105="JWV", B105="JUV", B105="CIV"), 0, 'CASE DATA'!R105+'CASE DATA'!S105)</f>
        <v>0</v>
      </c>
    </row>
    <row r="106" spans="1:6" x14ac:dyDescent="0.25">
      <c r="A106" s="57" t="str">
        <f>IF('CASE DATA'!A106="","",'CASE DATA'!A106)</f>
        <v/>
      </c>
      <c r="B106" s="62" t="str">
        <f>IF('CASE DATA'!A106&lt;&gt;"",IF('CASE DATA'!G106=0, "open charge", 'CASE DATA'!G106),"")</f>
        <v/>
      </c>
      <c r="C106" s="75">
        <f>IF(OR(B106="DISM", B106="JWV", B106="JUV", B106="CIV"), SUM('CASE DATA'!J106:S106), 'CASE DATA'!J106+'CASE DATA'!K106)</f>
        <v>0</v>
      </c>
      <c r="D106" s="76">
        <f>IF(OR(B106="DISM",B106="JWV",B106="JUV",B106="CIV"),0,SUM('CASE DATA'!L106:P106))</f>
        <v>0</v>
      </c>
      <c r="E106" s="77">
        <f>IF(OR(B106="DISM", B106="JWV", B106="JUV", B106="CIV"), 0, 'CASE DATA'!Q106)</f>
        <v>0</v>
      </c>
      <c r="F106" s="78">
        <f>IF(OR(B106="DISM", B106="JWV", B106="JUV", B106="CIV"), 0, 'CASE DATA'!R106+'CASE DATA'!S106)</f>
        <v>0</v>
      </c>
    </row>
    <row r="107" spans="1:6" x14ac:dyDescent="0.25">
      <c r="A107" s="57" t="str">
        <f>IF('CASE DATA'!A107="","",'CASE DATA'!A107)</f>
        <v/>
      </c>
      <c r="B107" s="62" t="str">
        <f>IF('CASE DATA'!A107&lt;&gt;"",IF('CASE DATA'!G107=0, "open charge", 'CASE DATA'!G107),"")</f>
        <v/>
      </c>
      <c r="C107" s="75">
        <f>IF(OR(B107="DISM", B107="JWV", B107="JUV", B107="CIV"), SUM('CASE DATA'!J107:S107), 'CASE DATA'!J107+'CASE DATA'!K107)</f>
        <v>0</v>
      </c>
      <c r="D107" s="76">
        <f>IF(OR(B107="DISM",B107="JWV",B107="JUV",B107="CIV"),0,SUM('CASE DATA'!L107:P107))</f>
        <v>0</v>
      </c>
      <c r="E107" s="77">
        <f>IF(OR(B107="DISM", B107="JWV", B107="JUV", B107="CIV"), 0, 'CASE DATA'!Q107)</f>
        <v>0</v>
      </c>
      <c r="F107" s="78">
        <f>IF(OR(B107="DISM", B107="JWV", B107="JUV", B107="CIV"), 0, 'CASE DATA'!R107+'CASE DATA'!S107)</f>
        <v>0</v>
      </c>
    </row>
    <row r="108" spans="1:6" x14ac:dyDescent="0.25">
      <c r="A108" s="57" t="str">
        <f>IF('CASE DATA'!A108="","",'CASE DATA'!A108)</f>
        <v/>
      </c>
      <c r="B108" s="62" t="str">
        <f>IF('CASE DATA'!A108&lt;&gt;"",IF('CASE DATA'!G108=0, "open charge", 'CASE DATA'!G108),"")</f>
        <v/>
      </c>
      <c r="C108" s="75">
        <f>IF(OR(B108="DISM", B108="JWV", B108="JUV", B108="CIV"), SUM('CASE DATA'!J108:S108), 'CASE DATA'!J108+'CASE DATA'!K108)</f>
        <v>0</v>
      </c>
      <c r="D108" s="76">
        <f>IF(OR(B108="DISM",B108="JWV",B108="JUV",B108="CIV"),0,SUM('CASE DATA'!L108:P108))</f>
        <v>0</v>
      </c>
      <c r="E108" s="77">
        <f>IF(OR(B108="DISM", B108="JWV", B108="JUV", B108="CIV"), 0, 'CASE DATA'!Q108)</f>
        <v>0</v>
      </c>
      <c r="F108" s="78">
        <f>IF(OR(B108="DISM", B108="JWV", B108="JUV", B108="CIV"), 0, 'CASE DATA'!R108+'CASE DATA'!S108)</f>
        <v>0</v>
      </c>
    </row>
    <row r="109" spans="1:6" x14ac:dyDescent="0.25">
      <c r="A109" s="57" t="str">
        <f>IF('CASE DATA'!A109="","",'CASE DATA'!A109)</f>
        <v/>
      </c>
      <c r="B109" s="62" t="str">
        <f>IF('CASE DATA'!A109&lt;&gt;"",IF('CASE DATA'!G109=0, "open charge", 'CASE DATA'!G109),"")</f>
        <v/>
      </c>
      <c r="C109" s="75">
        <f>IF(OR(B109="DISM", B109="JWV", B109="JUV", B109="CIV"), SUM('CASE DATA'!J109:S109), 'CASE DATA'!J109+'CASE DATA'!K109)</f>
        <v>0</v>
      </c>
      <c r="D109" s="76">
        <f>IF(OR(B109="DISM",B109="JWV",B109="JUV",B109="CIV"),0,SUM('CASE DATA'!L109:P109))</f>
        <v>0</v>
      </c>
      <c r="E109" s="77">
        <f>IF(OR(B109="DISM", B109="JWV", B109="JUV", B109="CIV"), 0, 'CASE DATA'!Q109)</f>
        <v>0</v>
      </c>
      <c r="F109" s="78">
        <f>IF(OR(B109="DISM", B109="JWV", B109="JUV", B109="CIV"), 0, 'CASE DATA'!R109+'CASE DATA'!S109)</f>
        <v>0</v>
      </c>
    </row>
    <row r="110" spans="1:6" x14ac:dyDescent="0.25">
      <c r="A110" s="57" t="str">
        <f>IF('CASE DATA'!A110="","",'CASE DATA'!A110)</f>
        <v/>
      </c>
      <c r="B110" s="62" t="str">
        <f>IF('CASE DATA'!A110&lt;&gt;"",IF('CASE DATA'!G110=0, "open charge", 'CASE DATA'!G110),"")</f>
        <v/>
      </c>
      <c r="C110" s="75">
        <f>IF(OR(B110="DISM", B110="JWV", B110="JUV", B110="CIV"), SUM('CASE DATA'!J110:S110), 'CASE DATA'!J110+'CASE DATA'!K110)</f>
        <v>0</v>
      </c>
      <c r="D110" s="76">
        <f>IF(OR(B110="DISM",B110="JWV",B110="JUV",B110="CIV"),0,SUM('CASE DATA'!L110:P110))</f>
        <v>0</v>
      </c>
      <c r="E110" s="77">
        <f>IF(OR(B110="DISM", B110="JWV", B110="JUV", B110="CIV"), 0, 'CASE DATA'!Q110)</f>
        <v>0</v>
      </c>
      <c r="F110" s="78">
        <f>IF(OR(B110="DISM", B110="JWV", B110="JUV", B110="CIV"), 0, 'CASE DATA'!R110+'CASE DATA'!S110)</f>
        <v>0</v>
      </c>
    </row>
    <row r="111" spans="1:6" x14ac:dyDescent="0.25">
      <c r="A111" s="57" t="str">
        <f>IF('CASE DATA'!A111="","",'CASE DATA'!A111)</f>
        <v/>
      </c>
      <c r="B111" s="62" t="str">
        <f>IF('CASE DATA'!A111&lt;&gt;"",IF('CASE DATA'!G111=0, "open charge", 'CASE DATA'!G111),"")</f>
        <v/>
      </c>
      <c r="C111" s="75">
        <f>IF(OR(B111="DISM", B111="JWV", B111="JUV", B111="CIV"), SUM('CASE DATA'!J111:S111), 'CASE DATA'!J111+'CASE DATA'!K111)</f>
        <v>0</v>
      </c>
      <c r="D111" s="76">
        <f>IF(OR(B111="DISM",B111="JWV",B111="JUV",B111="CIV"),0,SUM('CASE DATA'!L111:P111))</f>
        <v>0</v>
      </c>
      <c r="E111" s="77">
        <f>IF(OR(B111="DISM", B111="JWV", B111="JUV", B111="CIV"), 0, 'CASE DATA'!Q111)</f>
        <v>0</v>
      </c>
      <c r="F111" s="78">
        <f>IF(OR(B111="DISM", B111="JWV", B111="JUV", B111="CIV"), 0, 'CASE DATA'!R111+'CASE DATA'!S111)</f>
        <v>0</v>
      </c>
    </row>
    <row r="112" spans="1:6" x14ac:dyDescent="0.25">
      <c r="A112" s="57" t="str">
        <f>IF('CASE DATA'!A112="","",'CASE DATA'!A112)</f>
        <v/>
      </c>
      <c r="B112" s="62" t="str">
        <f>IF('CASE DATA'!A112&lt;&gt;"",IF('CASE DATA'!G112=0, "open charge", 'CASE DATA'!G112),"")</f>
        <v/>
      </c>
      <c r="C112" s="75">
        <f>IF(OR(B112="DISM", B112="JWV", B112="JUV", B112="CIV"), SUM('CASE DATA'!J112:S112), 'CASE DATA'!J112+'CASE DATA'!K112)</f>
        <v>0</v>
      </c>
      <c r="D112" s="76">
        <f>IF(OR(B112="DISM",B112="JWV",B112="JUV",B112="CIV"),0,SUM('CASE DATA'!L112:P112))</f>
        <v>0</v>
      </c>
      <c r="E112" s="77">
        <f>IF(OR(B112="DISM", B112="JWV", B112="JUV", B112="CIV"), 0, 'CASE DATA'!Q112)</f>
        <v>0</v>
      </c>
      <c r="F112" s="78">
        <f>IF(OR(B112="DISM", B112="JWV", B112="JUV", B112="CIV"), 0, 'CASE DATA'!R112+'CASE DATA'!S112)</f>
        <v>0</v>
      </c>
    </row>
    <row r="113" spans="1:6" x14ac:dyDescent="0.25">
      <c r="A113" s="57" t="str">
        <f>IF('CASE DATA'!A113="","",'CASE DATA'!A113)</f>
        <v/>
      </c>
      <c r="B113" s="62" t="str">
        <f>IF('CASE DATA'!A113&lt;&gt;"",IF('CASE DATA'!G113=0, "open charge", 'CASE DATA'!G113),"")</f>
        <v/>
      </c>
      <c r="C113" s="75">
        <f>IF(OR(B113="DISM", B113="JWV", B113="JUV", B113="CIV"), SUM('CASE DATA'!J113:S113), 'CASE DATA'!J113+'CASE DATA'!K113)</f>
        <v>0</v>
      </c>
      <c r="D113" s="76">
        <f>IF(OR(B113="DISM",B113="JWV",B113="JUV",B113="CIV"),0,SUM('CASE DATA'!L113:P113))</f>
        <v>0</v>
      </c>
      <c r="E113" s="77">
        <f>IF(OR(B113="DISM", B113="JWV", B113="JUV", B113="CIV"), 0, 'CASE DATA'!Q113)</f>
        <v>0</v>
      </c>
      <c r="F113" s="78">
        <f>IF(OR(B113="DISM", B113="JWV", B113="JUV", B113="CIV"), 0, 'CASE DATA'!R113+'CASE DATA'!S113)</f>
        <v>0</v>
      </c>
    </row>
    <row r="114" spans="1:6" x14ac:dyDescent="0.25">
      <c r="A114" s="57" t="str">
        <f>IF('CASE DATA'!A114="","",'CASE DATA'!A114)</f>
        <v/>
      </c>
      <c r="B114" s="62" t="str">
        <f>IF('CASE DATA'!A114&lt;&gt;"",IF('CASE DATA'!G114=0, "open charge", 'CASE DATA'!G114),"")</f>
        <v/>
      </c>
      <c r="C114" s="75">
        <f>IF(OR(B114="DISM", B114="JWV", B114="JUV", B114="CIV"), SUM('CASE DATA'!J114:S114), 'CASE DATA'!J114+'CASE DATA'!K114)</f>
        <v>0</v>
      </c>
      <c r="D114" s="76">
        <f>IF(OR(B114="DISM",B114="JWV",B114="JUV",B114="CIV"),0,SUM('CASE DATA'!L114:P114))</f>
        <v>0</v>
      </c>
      <c r="E114" s="77">
        <f>IF(OR(B114="DISM", B114="JWV", B114="JUV", B114="CIV"), 0, 'CASE DATA'!Q114)</f>
        <v>0</v>
      </c>
      <c r="F114" s="78">
        <f>IF(OR(B114="DISM", B114="JWV", B114="JUV", B114="CIV"), 0, 'CASE DATA'!R114+'CASE DATA'!S114)</f>
        <v>0</v>
      </c>
    </row>
    <row r="115" spans="1:6" x14ac:dyDescent="0.25">
      <c r="A115" s="57" t="str">
        <f>IF('CASE DATA'!A115="","",'CASE DATA'!A115)</f>
        <v/>
      </c>
      <c r="B115" s="62" t="str">
        <f>IF('CASE DATA'!A115&lt;&gt;"",IF('CASE DATA'!G115=0, "open charge", 'CASE DATA'!G115),"")</f>
        <v/>
      </c>
      <c r="C115" s="75">
        <f>IF(OR(B115="DISM", B115="JWV", B115="JUV", B115="CIV"), SUM('CASE DATA'!J115:S115), 'CASE DATA'!J115+'CASE DATA'!K115)</f>
        <v>0</v>
      </c>
      <c r="D115" s="76">
        <f>IF(OR(B115="DISM",B115="JWV",B115="JUV",B115="CIV"),0,SUM('CASE DATA'!L115:P115))</f>
        <v>0</v>
      </c>
      <c r="E115" s="77">
        <f>IF(OR(B115="DISM", B115="JWV", B115="JUV", B115="CIV"), 0, 'CASE DATA'!Q115)</f>
        <v>0</v>
      </c>
      <c r="F115" s="78">
        <f>IF(OR(B115="DISM", B115="JWV", B115="JUV", B115="CIV"), 0, 'CASE DATA'!R115+'CASE DATA'!S115)</f>
        <v>0</v>
      </c>
    </row>
    <row r="116" spans="1:6" x14ac:dyDescent="0.25">
      <c r="A116" s="57" t="str">
        <f>IF('CASE DATA'!A116="","",'CASE DATA'!A116)</f>
        <v/>
      </c>
      <c r="B116" s="62" t="str">
        <f>IF('CASE DATA'!A116&lt;&gt;"",IF('CASE DATA'!G116=0, "open charge", 'CASE DATA'!G116),"")</f>
        <v/>
      </c>
      <c r="C116" s="75">
        <f>IF(OR(B116="DISM", B116="JWV", B116="JUV", B116="CIV"), SUM('CASE DATA'!J116:S116), 'CASE DATA'!J116+'CASE DATA'!K116)</f>
        <v>0</v>
      </c>
      <c r="D116" s="76">
        <f>IF(OR(B116="DISM",B116="JWV",B116="JUV",B116="CIV"),0,SUM('CASE DATA'!L116:P116))</f>
        <v>0</v>
      </c>
      <c r="E116" s="77">
        <f>IF(OR(B116="DISM", B116="JWV", B116="JUV", B116="CIV"), 0, 'CASE DATA'!Q116)</f>
        <v>0</v>
      </c>
      <c r="F116" s="78">
        <f>IF(OR(B116="DISM", B116="JWV", B116="JUV", B116="CIV"), 0, 'CASE DATA'!R116+'CASE DATA'!S116)</f>
        <v>0</v>
      </c>
    </row>
    <row r="117" spans="1:6" x14ac:dyDescent="0.25">
      <c r="A117" s="57" t="str">
        <f>IF('CASE DATA'!A117="","",'CASE DATA'!A117)</f>
        <v/>
      </c>
      <c r="B117" s="62" t="str">
        <f>IF('CASE DATA'!A117&lt;&gt;"",IF('CASE DATA'!G117=0, "open charge", 'CASE DATA'!G117),"")</f>
        <v/>
      </c>
      <c r="C117" s="75">
        <f>IF(OR(B117="DISM", B117="JWV", B117="JUV", B117="CIV"), SUM('CASE DATA'!J117:S117), 'CASE DATA'!J117+'CASE DATA'!K117)</f>
        <v>0</v>
      </c>
      <c r="D117" s="76">
        <f>IF(OR(B117="DISM",B117="JWV",B117="JUV",B117="CIV"),0,SUM('CASE DATA'!L117:P117))</f>
        <v>0</v>
      </c>
      <c r="E117" s="77">
        <f>IF(OR(B117="DISM", B117="JWV", B117="JUV", B117="CIV"), 0, 'CASE DATA'!Q117)</f>
        <v>0</v>
      </c>
      <c r="F117" s="78">
        <f>IF(OR(B117="DISM", B117="JWV", B117="JUV", B117="CIV"), 0, 'CASE DATA'!R117+'CASE DATA'!S117)</f>
        <v>0</v>
      </c>
    </row>
    <row r="118" spans="1:6" x14ac:dyDescent="0.25">
      <c r="A118" s="57" t="str">
        <f>IF('CASE DATA'!A118="","",'CASE DATA'!A118)</f>
        <v/>
      </c>
      <c r="B118" s="62" t="str">
        <f>IF('CASE DATA'!A118&lt;&gt;"",IF('CASE DATA'!G118=0, "open charge", 'CASE DATA'!G118),"")</f>
        <v/>
      </c>
      <c r="C118" s="75">
        <f>IF(OR(B118="DISM", B118="JWV", B118="JUV", B118="CIV"), SUM('CASE DATA'!J118:S118), 'CASE DATA'!J118+'CASE DATA'!K118)</f>
        <v>0</v>
      </c>
      <c r="D118" s="76">
        <f>IF(OR(B118="DISM",B118="JWV",B118="JUV",B118="CIV"),0,SUM('CASE DATA'!L118:P118))</f>
        <v>0</v>
      </c>
      <c r="E118" s="77">
        <f>IF(OR(B118="DISM", B118="JWV", B118="JUV", B118="CIV"), 0, 'CASE DATA'!Q118)</f>
        <v>0</v>
      </c>
      <c r="F118" s="78">
        <f>IF(OR(B118="DISM", B118="JWV", B118="JUV", B118="CIV"), 0, 'CASE DATA'!R118+'CASE DATA'!S118)</f>
        <v>0</v>
      </c>
    </row>
    <row r="119" spans="1:6" x14ac:dyDescent="0.25">
      <c r="A119" s="57" t="str">
        <f>IF('CASE DATA'!A119="","",'CASE DATA'!A119)</f>
        <v/>
      </c>
      <c r="B119" s="62" t="str">
        <f>IF('CASE DATA'!A119&lt;&gt;"",IF('CASE DATA'!G119=0, "open charge", 'CASE DATA'!G119),"")</f>
        <v/>
      </c>
      <c r="C119" s="75">
        <f>IF(OR(B119="DISM", B119="JWV", B119="JUV", B119="CIV"), SUM('CASE DATA'!J119:S119), 'CASE DATA'!J119+'CASE DATA'!K119)</f>
        <v>0</v>
      </c>
      <c r="D119" s="76">
        <f>IF(OR(B119="DISM",B119="JWV",B119="JUV",B119="CIV"),0,SUM('CASE DATA'!L119:P119))</f>
        <v>0</v>
      </c>
      <c r="E119" s="77">
        <f>IF(OR(B119="DISM", B119="JWV", B119="JUV", B119="CIV"), 0, 'CASE DATA'!Q119)</f>
        <v>0</v>
      </c>
      <c r="F119" s="78">
        <f>IF(OR(B119="DISM", B119="JWV", B119="JUV", B119="CIV"), 0, 'CASE DATA'!R119+'CASE DATA'!S119)</f>
        <v>0</v>
      </c>
    </row>
    <row r="120" spans="1:6" x14ac:dyDescent="0.25">
      <c r="A120" s="57" t="str">
        <f>IF('CASE DATA'!A120="","",'CASE DATA'!A120)</f>
        <v/>
      </c>
      <c r="B120" s="62" t="str">
        <f>IF('CASE DATA'!A120&lt;&gt;"",IF('CASE DATA'!G120=0, "open charge", 'CASE DATA'!G120),"")</f>
        <v/>
      </c>
      <c r="C120" s="75">
        <f>IF(OR(B120="DISM", B120="JWV", B120="JUV", B120="CIV"), SUM('CASE DATA'!J120:S120), 'CASE DATA'!J120+'CASE DATA'!K120)</f>
        <v>0</v>
      </c>
      <c r="D120" s="76">
        <f>IF(OR(B120="DISM",B120="JWV",B120="JUV",B120="CIV"),0,SUM('CASE DATA'!L120:P120))</f>
        <v>0</v>
      </c>
      <c r="E120" s="77">
        <f>IF(OR(B120="DISM", B120="JWV", B120="JUV", B120="CIV"), 0, 'CASE DATA'!Q120)</f>
        <v>0</v>
      </c>
      <c r="F120" s="78">
        <f>IF(OR(B120="DISM", B120="JWV", B120="JUV", B120="CIV"), 0, 'CASE DATA'!R120+'CASE DATA'!S120)</f>
        <v>0</v>
      </c>
    </row>
    <row r="121" spans="1:6" x14ac:dyDescent="0.25">
      <c r="A121" s="57" t="str">
        <f>IF('CASE DATA'!A121="","",'CASE DATA'!A121)</f>
        <v/>
      </c>
      <c r="B121" s="62" t="str">
        <f>IF('CASE DATA'!A121&lt;&gt;"",IF('CASE DATA'!G121=0, "open charge", 'CASE DATA'!G121),"")</f>
        <v/>
      </c>
      <c r="C121" s="75">
        <f>IF(OR(B121="DISM", B121="JWV", B121="JUV", B121="CIV"), SUM('CASE DATA'!J121:S121), 'CASE DATA'!J121+'CASE DATA'!K121)</f>
        <v>0</v>
      </c>
      <c r="D121" s="76">
        <f>IF(OR(B121="DISM",B121="JWV",B121="JUV",B121="CIV"),0,SUM('CASE DATA'!L121:P121))</f>
        <v>0</v>
      </c>
      <c r="E121" s="77">
        <f>IF(OR(B121="DISM", B121="JWV", B121="JUV", B121="CIV"), 0, 'CASE DATA'!Q121)</f>
        <v>0</v>
      </c>
      <c r="F121" s="78">
        <f>IF(OR(B121="DISM", B121="JWV", B121="JUV", B121="CIV"), 0, 'CASE DATA'!R121+'CASE DATA'!S121)</f>
        <v>0</v>
      </c>
    </row>
    <row r="122" spans="1:6" x14ac:dyDescent="0.25">
      <c r="A122" s="57" t="str">
        <f>IF('CASE DATA'!A122="","",'CASE DATA'!A122)</f>
        <v/>
      </c>
      <c r="B122" s="62" t="str">
        <f>IF('CASE DATA'!A122&lt;&gt;"",IF('CASE DATA'!G122=0, "open charge", 'CASE DATA'!G122),"")</f>
        <v/>
      </c>
      <c r="C122" s="75">
        <f>IF(OR(B122="DISM", B122="JWV", B122="JUV", B122="CIV"), SUM('CASE DATA'!J122:S122), 'CASE DATA'!J122+'CASE DATA'!K122)</f>
        <v>0</v>
      </c>
      <c r="D122" s="76">
        <f>IF(OR(B122="DISM",B122="JWV",B122="JUV",B122="CIV"),0,SUM('CASE DATA'!L122:P122))</f>
        <v>0</v>
      </c>
      <c r="E122" s="77">
        <f>IF(OR(B122="DISM", B122="JWV", B122="JUV", B122="CIV"), 0, 'CASE DATA'!Q122)</f>
        <v>0</v>
      </c>
      <c r="F122" s="78">
        <f>IF(OR(B122="DISM", B122="JWV", B122="JUV", B122="CIV"), 0, 'CASE DATA'!R122+'CASE DATA'!S122)</f>
        <v>0</v>
      </c>
    </row>
    <row r="123" spans="1:6" x14ac:dyDescent="0.25">
      <c r="A123" s="57" t="str">
        <f>IF('CASE DATA'!A123="","",'CASE DATA'!A123)</f>
        <v/>
      </c>
      <c r="B123" s="62" t="str">
        <f>IF('CASE DATA'!A123&lt;&gt;"",IF('CASE DATA'!G123=0, "open charge", 'CASE DATA'!G123),"")</f>
        <v/>
      </c>
      <c r="C123" s="75">
        <f>IF(OR(B123="DISM", B123="JWV", B123="JUV", B123="CIV"), SUM('CASE DATA'!J123:S123), 'CASE DATA'!J123+'CASE DATA'!K123)</f>
        <v>0</v>
      </c>
      <c r="D123" s="76">
        <f>IF(OR(B123="DISM",B123="JWV",B123="JUV",B123="CIV"),0,SUM('CASE DATA'!L123:P123))</f>
        <v>0</v>
      </c>
      <c r="E123" s="77">
        <f>IF(OR(B123="DISM", B123="JWV", B123="JUV", B123="CIV"), 0, 'CASE DATA'!Q123)</f>
        <v>0</v>
      </c>
      <c r="F123" s="78">
        <f>IF(OR(B123="DISM", B123="JWV", B123="JUV", B123="CIV"), 0, 'CASE DATA'!R123+'CASE DATA'!S123)</f>
        <v>0</v>
      </c>
    </row>
    <row r="124" spans="1:6" x14ac:dyDescent="0.25">
      <c r="A124" s="57" t="str">
        <f>IF('CASE DATA'!A124="","",'CASE DATA'!A124)</f>
        <v/>
      </c>
      <c r="B124" s="62" t="str">
        <f>IF('CASE DATA'!A124&lt;&gt;"",IF('CASE DATA'!G124=0, "open charge", 'CASE DATA'!G124),"")</f>
        <v/>
      </c>
      <c r="C124" s="75">
        <f>IF(OR(B124="DISM", B124="JWV", B124="JUV", B124="CIV"), SUM('CASE DATA'!J124:S124), 'CASE DATA'!J124+'CASE DATA'!K124)</f>
        <v>0</v>
      </c>
      <c r="D124" s="76">
        <f>IF(OR(B124="DISM",B124="JWV",B124="JUV",B124="CIV"),0,SUM('CASE DATA'!L124:P124))</f>
        <v>0</v>
      </c>
      <c r="E124" s="77">
        <f>IF(OR(B124="DISM", B124="JWV", B124="JUV", B124="CIV"), 0, 'CASE DATA'!Q124)</f>
        <v>0</v>
      </c>
      <c r="F124" s="78">
        <f>IF(OR(B124="DISM", B124="JWV", B124="JUV", B124="CIV"), 0, 'CASE DATA'!R124+'CASE DATA'!S124)</f>
        <v>0</v>
      </c>
    </row>
    <row r="125" spans="1:6" x14ac:dyDescent="0.25">
      <c r="A125" s="57" t="str">
        <f>IF('CASE DATA'!A125="","",'CASE DATA'!A125)</f>
        <v/>
      </c>
      <c r="B125" s="62" t="str">
        <f>IF('CASE DATA'!A125&lt;&gt;"",IF('CASE DATA'!G125=0, "open charge", 'CASE DATA'!G125),"")</f>
        <v/>
      </c>
      <c r="C125" s="75">
        <f>IF(OR(B125="DISM", B125="JWV", B125="JUV", B125="CIV"), SUM('CASE DATA'!J125:S125), 'CASE DATA'!J125+'CASE DATA'!K125)</f>
        <v>0</v>
      </c>
      <c r="D125" s="76">
        <f>IF(OR(B125="DISM",B125="JWV",B125="JUV",B125="CIV"),0,SUM('CASE DATA'!L125:P125))</f>
        <v>0</v>
      </c>
      <c r="E125" s="77">
        <f>IF(OR(B125="DISM", B125="JWV", B125="JUV", B125="CIV"), 0, 'CASE DATA'!Q125)</f>
        <v>0</v>
      </c>
      <c r="F125" s="78">
        <f>IF(OR(B125="DISM", B125="JWV", B125="JUV", B125="CIV"), 0, 'CASE DATA'!R125+'CASE DATA'!S125)</f>
        <v>0</v>
      </c>
    </row>
    <row r="126" spans="1:6" x14ac:dyDescent="0.25">
      <c r="A126" s="57" t="str">
        <f>IF('CASE DATA'!A126="","",'CASE DATA'!A126)</f>
        <v/>
      </c>
      <c r="B126" s="62" t="str">
        <f>IF('CASE DATA'!A126&lt;&gt;"",IF('CASE DATA'!G126=0, "open charge", 'CASE DATA'!G126),"")</f>
        <v/>
      </c>
      <c r="C126" s="75">
        <f>IF(OR(B126="DISM", B126="JWV", B126="JUV", B126="CIV"), SUM('CASE DATA'!J126:S126), 'CASE DATA'!J126+'CASE DATA'!K126)</f>
        <v>0</v>
      </c>
      <c r="D126" s="76">
        <f>IF(OR(B126="DISM",B126="JWV",B126="JUV",B126="CIV"),0,SUM('CASE DATA'!L126:P126))</f>
        <v>0</v>
      </c>
      <c r="E126" s="77">
        <f>IF(OR(B126="DISM", B126="JWV", B126="JUV", B126="CIV"), 0, 'CASE DATA'!Q126)</f>
        <v>0</v>
      </c>
      <c r="F126" s="78">
        <f>IF(OR(B126="DISM", B126="JWV", B126="JUV", B126="CIV"), 0, 'CASE DATA'!R126+'CASE DATA'!S126)</f>
        <v>0</v>
      </c>
    </row>
    <row r="127" spans="1:6" x14ac:dyDescent="0.25">
      <c r="A127" s="57" t="str">
        <f>IF('CASE DATA'!A127="","",'CASE DATA'!A127)</f>
        <v/>
      </c>
      <c r="B127" s="62" t="str">
        <f>IF('CASE DATA'!A127&lt;&gt;"",IF('CASE DATA'!G127=0, "open charge", 'CASE DATA'!G127),"")</f>
        <v/>
      </c>
      <c r="C127" s="75">
        <f>IF(OR(B127="DISM", B127="JWV", B127="JUV", B127="CIV"), SUM('CASE DATA'!J127:S127), 'CASE DATA'!J127+'CASE DATA'!K127)</f>
        <v>0</v>
      </c>
      <c r="D127" s="76">
        <f>IF(OR(B127="DISM",B127="JWV",B127="JUV",B127="CIV"),0,SUM('CASE DATA'!L127:P127))</f>
        <v>0</v>
      </c>
      <c r="E127" s="77">
        <f>IF(OR(B127="DISM", B127="JWV", B127="JUV", B127="CIV"), 0, 'CASE DATA'!Q127)</f>
        <v>0</v>
      </c>
      <c r="F127" s="78">
        <f>IF(OR(B127="DISM", B127="JWV", B127="JUV", B127="CIV"), 0, 'CASE DATA'!R127+'CASE DATA'!S127)</f>
        <v>0</v>
      </c>
    </row>
    <row r="128" spans="1:6" x14ac:dyDescent="0.25">
      <c r="A128" s="57" t="str">
        <f>IF('CASE DATA'!A128="","",'CASE DATA'!A128)</f>
        <v/>
      </c>
      <c r="B128" s="62" t="str">
        <f>IF('CASE DATA'!A128&lt;&gt;"",IF('CASE DATA'!G128=0, "open charge", 'CASE DATA'!G128),"")</f>
        <v/>
      </c>
      <c r="C128" s="75">
        <f>IF(OR(B128="DISM", B128="JWV", B128="JUV", B128="CIV"), SUM('CASE DATA'!J128:S128), 'CASE DATA'!J128+'CASE DATA'!K128)</f>
        <v>0</v>
      </c>
      <c r="D128" s="76">
        <f>IF(OR(B128="DISM",B128="JWV",B128="JUV",B128="CIV"),0,SUM('CASE DATA'!L128:P128))</f>
        <v>0</v>
      </c>
      <c r="E128" s="77">
        <f>IF(OR(B128="DISM", B128="JWV", B128="JUV", B128="CIV"), 0, 'CASE DATA'!Q128)</f>
        <v>0</v>
      </c>
      <c r="F128" s="78">
        <f>IF(OR(B128="DISM", B128="JWV", B128="JUV", B128="CIV"), 0, 'CASE DATA'!R128+'CASE DATA'!S128)</f>
        <v>0</v>
      </c>
    </row>
    <row r="129" spans="1:6" x14ac:dyDescent="0.25">
      <c r="A129" s="57" t="str">
        <f>IF('CASE DATA'!A129="","",'CASE DATA'!A129)</f>
        <v/>
      </c>
      <c r="B129" s="62" t="str">
        <f>IF('CASE DATA'!A129&lt;&gt;"",IF('CASE DATA'!G129=0, "open charge", 'CASE DATA'!G129),"")</f>
        <v/>
      </c>
      <c r="C129" s="75">
        <f>IF(OR(B129="DISM", B129="JWV", B129="JUV", B129="CIV"), SUM('CASE DATA'!J129:S129), 'CASE DATA'!J129+'CASE DATA'!K129)</f>
        <v>0</v>
      </c>
      <c r="D129" s="76">
        <f>IF(OR(B129="DISM",B129="JWV",B129="JUV",B129="CIV"),0,SUM('CASE DATA'!L129:P129))</f>
        <v>0</v>
      </c>
      <c r="E129" s="77">
        <f>IF(OR(B129="DISM", B129="JWV", B129="JUV", B129="CIV"), 0, 'CASE DATA'!Q129)</f>
        <v>0</v>
      </c>
      <c r="F129" s="78">
        <f>IF(OR(B129="DISM", B129="JWV", B129="JUV", B129="CIV"), 0, 'CASE DATA'!R129+'CASE DATA'!S129)</f>
        <v>0</v>
      </c>
    </row>
    <row r="130" spans="1:6" x14ac:dyDescent="0.25">
      <c r="A130" s="57" t="str">
        <f>IF('CASE DATA'!A130="","",'CASE DATA'!A130)</f>
        <v/>
      </c>
      <c r="B130" s="62" t="str">
        <f>IF('CASE DATA'!A130&lt;&gt;"",IF('CASE DATA'!G130=0, "open charge", 'CASE DATA'!G130),"")</f>
        <v/>
      </c>
      <c r="C130" s="75">
        <f>IF(OR(B130="DISM", B130="JWV", B130="JUV", B130="CIV"), SUM('CASE DATA'!J130:S130), 'CASE DATA'!J130+'CASE DATA'!K130)</f>
        <v>0</v>
      </c>
      <c r="D130" s="76">
        <f>IF(OR(B130="DISM",B130="JWV",B130="JUV",B130="CIV"),0,SUM('CASE DATA'!L130:P130))</f>
        <v>0</v>
      </c>
      <c r="E130" s="77">
        <f>IF(OR(B130="DISM", B130="JWV", B130="JUV", B130="CIV"), 0, 'CASE DATA'!Q130)</f>
        <v>0</v>
      </c>
      <c r="F130" s="78">
        <f>IF(OR(B130="DISM", B130="JWV", B130="JUV", B130="CIV"), 0, 'CASE DATA'!R130+'CASE DATA'!S130)</f>
        <v>0</v>
      </c>
    </row>
    <row r="131" spans="1:6" x14ac:dyDescent="0.25">
      <c r="A131" s="57" t="str">
        <f>IF('CASE DATA'!A131="","",'CASE DATA'!A131)</f>
        <v/>
      </c>
      <c r="B131" s="62" t="str">
        <f>IF('CASE DATA'!A131&lt;&gt;"",IF('CASE DATA'!G131=0, "open charge", 'CASE DATA'!G131),"")</f>
        <v/>
      </c>
      <c r="C131" s="75">
        <f>IF(OR(B131="DISM", B131="JWV", B131="JUV", B131="CIV"), SUM('CASE DATA'!J131:S131), 'CASE DATA'!J131+'CASE DATA'!K131)</f>
        <v>0</v>
      </c>
      <c r="D131" s="76">
        <f>IF(OR(B131="DISM",B131="JWV",B131="JUV",B131="CIV"),0,SUM('CASE DATA'!L131:P131))</f>
        <v>0</v>
      </c>
      <c r="E131" s="77">
        <f>IF(OR(B131="DISM", B131="JWV", B131="JUV", B131="CIV"), 0, 'CASE DATA'!Q131)</f>
        <v>0</v>
      </c>
      <c r="F131" s="78">
        <f>IF(OR(B131="DISM", B131="JWV", B131="JUV", B131="CIV"), 0, 'CASE DATA'!R131+'CASE DATA'!S131)</f>
        <v>0</v>
      </c>
    </row>
    <row r="132" spans="1:6" x14ac:dyDescent="0.25">
      <c r="A132" s="57" t="str">
        <f>IF('CASE DATA'!A132="","",'CASE DATA'!A132)</f>
        <v/>
      </c>
      <c r="B132" s="62" t="str">
        <f>IF('CASE DATA'!A132&lt;&gt;"",IF('CASE DATA'!G132=0, "open charge", 'CASE DATA'!G132),"")</f>
        <v/>
      </c>
      <c r="C132" s="75">
        <f>IF(OR(B132="DISM", B132="JWV", B132="JUV", B132="CIV"), SUM('CASE DATA'!J132:S132), 'CASE DATA'!J132+'CASE DATA'!K132)</f>
        <v>0</v>
      </c>
      <c r="D132" s="76">
        <f>IF(OR(B132="DISM",B132="JWV",B132="JUV",B132="CIV"),0,SUM('CASE DATA'!L132:P132))</f>
        <v>0</v>
      </c>
      <c r="E132" s="77">
        <f>IF(OR(B132="DISM", B132="JWV", B132="JUV", B132="CIV"), 0, 'CASE DATA'!Q132)</f>
        <v>0</v>
      </c>
      <c r="F132" s="78">
        <f>IF(OR(B132="DISM", B132="JWV", B132="JUV", B132="CIV"), 0, 'CASE DATA'!R132+'CASE DATA'!S132)</f>
        <v>0</v>
      </c>
    </row>
    <row r="133" spans="1:6" x14ac:dyDescent="0.25">
      <c r="A133" s="57" t="str">
        <f>IF('CASE DATA'!A133="","",'CASE DATA'!A133)</f>
        <v/>
      </c>
      <c r="B133" s="62" t="str">
        <f>IF('CASE DATA'!A133&lt;&gt;"",IF('CASE DATA'!G133=0, "open charge", 'CASE DATA'!G133),"")</f>
        <v/>
      </c>
      <c r="C133" s="75">
        <f>IF(OR(B133="DISM", B133="JWV", B133="JUV", B133="CIV"), SUM('CASE DATA'!J133:S133), 'CASE DATA'!J133+'CASE DATA'!K133)</f>
        <v>0</v>
      </c>
      <c r="D133" s="76">
        <f>IF(OR(B133="DISM",B133="JWV",B133="JUV",B133="CIV"),0,SUM('CASE DATA'!L133:P133))</f>
        <v>0</v>
      </c>
      <c r="E133" s="77">
        <f>IF(OR(B133="DISM", B133="JWV", B133="JUV", B133="CIV"), 0, 'CASE DATA'!Q133)</f>
        <v>0</v>
      </c>
      <c r="F133" s="78">
        <f>IF(OR(B133="DISM", B133="JWV", B133="JUV", B133="CIV"), 0, 'CASE DATA'!R133+'CASE DATA'!S133)</f>
        <v>0</v>
      </c>
    </row>
    <row r="134" spans="1:6" x14ac:dyDescent="0.25">
      <c r="A134" s="57" t="str">
        <f>IF('CASE DATA'!A134="","",'CASE DATA'!A134)</f>
        <v/>
      </c>
      <c r="B134" s="62" t="str">
        <f>IF('CASE DATA'!A134&lt;&gt;"",IF('CASE DATA'!G134=0, "open charge", 'CASE DATA'!G134),"")</f>
        <v/>
      </c>
      <c r="C134" s="75">
        <f>IF(OR(B134="DISM", B134="JWV", B134="JUV", B134="CIV"), SUM('CASE DATA'!J134:S134), 'CASE DATA'!J134+'CASE DATA'!K134)</f>
        <v>0</v>
      </c>
      <c r="D134" s="76">
        <f>IF(OR(B134="DISM",B134="JWV",B134="JUV",B134="CIV"),0,SUM('CASE DATA'!L134:P134))</f>
        <v>0</v>
      </c>
      <c r="E134" s="77">
        <f>IF(OR(B134="DISM", B134="JWV", B134="JUV", B134="CIV"), 0, 'CASE DATA'!Q134)</f>
        <v>0</v>
      </c>
      <c r="F134" s="78">
        <f>IF(OR(B134="DISM", B134="JWV", B134="JUV", B134="CIV"), 0, 'CASE DATA'!R134+'CASE DATA'!S134)</f>
        <v>0</v>
      </c>
    </row>
    <row r="135" spans="1:6" x14ac:dyDescent="0.25">
      <c r="A135" s="57" t="str">
        <f>IF('CASE DATA'!A135="","",'CASE DATA'!A135)</f>
        <v/>
      </c>
      <c r="B135" s="62" t="str">
        <f>IF('CASE DATA'!A135&lt;&gt;"",IF('CASE DATA'!G135=0, "open charge", 'CASE DATA'!G135),"")</f>
        <v/>
      </c>
      <c r="C135" s="75">
        <f>IF(OR(B135="DISM", B135="JWV", B135="JUV", B135="CIV"), SUM('CASE DATA'!J135:S135), 'CASE DATA'!J135+'CASE DATA'!K135)</f>
        <v>0</v>
      </c>
      <c r="D135" s="76">
        <f>IF(OR(B135="DISM",B135="JWV",B135="JUV",B135="CIV"),0,SUM('CASE DATA'!L135:P135))</f>
        <v>0</v>
      </c>
      <c r="E135" s="77">
        <f>IF(OR(B135="DISM", B135="JWV", B135="JUV", B135="CIV"), 0, 'CASE DATA'!Q135)</f>
        <v>0</v>
      </c>
      <c r="F135" s="78">
        <f>IF(OR(B135="DISM", B135="JWV", B135="JUV", B135="CIV"), 0, 'CASE DATA'!R135+'CASE DATA'!S135)</f>
        <v>0</v>
      </c>
    </row>
    <row r="136" spans="1:6" x14ac:dyDescent="0.25">
      <c r="A136" s="57" t="str">
        <f>IF('CASE DATA'!A136="","",'CASE DATA'!A136)</f>
        <v/>
      </c>
      <c r="B136" s="62" t="str">
        <f>IF('CASE DATA'!A136&lt;&gt;"",IF('CASE DATA'!G136=0, "open charge", 'CASE DATA'!G136),"")</f>
        <v/>
      </c>
      <c r="C136" s="75">
        <f>IF(OR(B136="DISM", B136="JWV", B136="JUV", B136="CIV"), SUM('CASE DATA'!J136:S136), 'CASE DATA'!J136+'CASE DATA'!K136)</f>
        <v>0</v>
      </c>
      <c r="D136" s="76">
        <f>IF(OR(B136="DISM",B136="JWV",B136="JUV",B136="CIV"),0,SUM('CASE DATA'!L136:P136))</f>
        <v>0</v>
      </c>
      <c r="E136" s="77">
        <f>IF(OR(B136="DISM", B136="JWV", B136="JUV", B136="CIV"), 0, 'CASE DATA'!Q136)</f>
        <v>0</v>
      </c>
      <c r="F136" s="78">
        <f>IF(OR(B136="DISM", B136="JWV", B136="JUV", B136="CIV"), 0, 'CASE DATA'!R136+'CASE DATA'!S136)</f>
        <v>0</v>
      </c>
    </row>
    <row r="137" spans="1:6" x14ac:dyDescent="0.25">
      <c r="A137" s="57" t="str">
        <f>IF('CASE DATA'!A137="","",'CASE DATA'!A137)</f>
        <v/>
      </c>
      <c r="B137" s="62" t="str">
        <f>IF('CASE DATA'!A137&lt;&gt;"",IF('CASE DATA'!G137=0, "open charge", 'CASE DATA'!G137),"")</f>
        <v/>
      </c>
      <c r="C137" s="75">
        <f>IF(OR(B137="DISM", B137="JWV", B137="JUV", B137="CIV"), SUM('CASE DATA'!J137:S137), 'CASE DATA'!J137+'CASE DATA'!K137)</f>
        <v>0</v>
      </c>
      <c r="D137" s="76">
        <f>IF(OR(B137="DISM",B137="JWV",B137="JUV",B137="CIV"),0,SUM('CASE DATA'!L137:P137))</f>
        <v>0</v>
      </c>
      <c r="E137" s="77">
        <f>IF(OR(B137="DISM", B137="JWV", B137="JUV", B137="CIV"), 0, 'CASE DATA'!Q137)</f>
        <v>0</v>
      </c>
      <c r="F137" s="78">
        <f>IF(OR(B137="DISM", B137="JWV", B137="JUV", B137="CIV"), 0, 'CASE DATA'!R137+'CASE DATA'!S137)</f>
        <v>0</v>
      </c>
    </row>
    <row r="138" spans="1:6" x14ac:dyDescent="0.25">
      <c r="A138" s="57" t="str">
        <f>IF('CASE DATA'!A138="","",'CASE DATA'!A138)</f>
        <v/>
      </c>
      <c r="B138" s="62" t="str">
        <f>IF('CASE DATA'!A138&lt;&gt;"",IF('CASE DATA'!G138=0, "open charge", 'CASE DATA'!G138),"")</f>
        <v/>
      </c>
      <c r="C138" s="75">
        <f>IF(OR(B138="DISM", B138="JWV", B138="JUV", B138="CIV"), SUM('CASE DATA'!J138:S138), 'CASE DATA'!J138+'CASE DATA'!K138)</f>
        <v>0</v>
      </c>
      <c r="D138" s="76">
        <f>IF(OR(B138="DISM",B138="JWV",B138="JUV",B138="CIV"),0,SUM('CASE DATA'!L138:P138))</f>
        <v>0</v>
      </c>
      <c r="E138" s="77">
        <f>IF(OR(B138="DISM", B138="JWV", B138="JUV", B138="CIV"), 0, 'CASE DATA'!Q138)</f>
        <v>0</v>
      </c>
      <c r="F138" s="78">
        <f>IF(OR(B138="DISM", B138="JWV", B138="JUV", B138="CIV"), 0, 'CASE DATA'!R138+'CASE DATA'!S138)</f>
        <v>0</v>
      </c>
    </row>
    <row r="139" spans="1:6" x14ac:dyDescent="0.25">
      <c r="A139" s="57" t="str">
        <f>IF('CASE DATA'!A139="","",'CASE DATA'!A139)</f>
        <v/>
      </c>
      <c r="B139" s="62" t="str">
        <f>IF('CASE DATA'!A139&lt;&gt;"",IF('CASE DATA'!G139=0, "open charge", 'CASE DATA'!G139),"")</f>
        <v/>
      </c>
      <c r="C139" s="75">
        <f>IF(OR(B139="DISM", B139="JWV", B139="JUV", B139="CIV"), SUM('CASE DATA'!J139:S139), 'CASE DATA'!J139+'CASE DATA'!K139)</f>
        <v>0</v>
      </c>
      <c r="D139" s="76">
        <f>IF(OR(B139="DISM",B139="JWV",B139="JUV",B139="CIV"),0,SUM('CASE DATA'!L139:P139))</f>
        <v>0</v>
      </c>
      <c r="E139" s="77">
        <f>IF(OR(B139="DISM", B139="JWV", B139="JUV", B139="CIV"), 0, 'CASE DATA'!Q139)</f>
        <v>0</v>
      </c>
      <c r="F139" s="78">
        <f>IF(OR(B139="DISM", B139="JWV", B139="JUV", B139="CIV"), 0, 'CASE DATA'!R139+'CASE DATA'!S139)</f>
        <v>0</v>
      </c>
    </row>
    <row r="140" spans="1:6" x14ac:dyDescent="0.25">
      <c r="A140" s="57" t="str">
        <f>IF('CASE DATA'!A140="","",'CASE DATA'!A140)</f>
        <v/>
      </c>
      <c r="B140" s="62" t="str">
        <f>IF('CASE DATA'!A140&lt;&gt;"",IF('CASE DATA'!G140=0, "open charge", 'CASE DATA'!G140),"")</f>
        <v/>
      </c>
      <c r="C140" s="75">
        <f>IF(OR(B140="DISM", B140="JWV", B140="JUV", B140="CIV"), SUM('CASE DATA'!J140:S140), 'CASE DATA'!J140+'CASE DATA'!K140)</f>
        <v>0</v>
      </c>
      <c r="D140" s="76">
        <f>IF(OR(B140="DISM",B140="JWV",B140="JUV",B140="CIV"),0,SUM('CASE DATA'!L140:P140))</f>
        <v>0</v>
      </c>
      <c r="E140" s="77">
        <f>IF(OR(B140="DISM", B140="JWV", B140="JUV", B140="CIV"), 0, 'CASE DATA'!Q140)</f>
        <v>0</v>
      </c>
      <c r="F140" s="78">
        <f>IF(OR(B140="DISM", B140="JWV", B140="JUV", B140="CIV"), 0, 'CASE DATA'!R140+'CASE DATA'!S140)</f>
        <v>0</v>
      </c>
    </row>
    <row r="141" spans="1:6" x14ac:dyDescent="0.25">
      <c r="A141" s="57" t="str">
        <f>IF('CASE DATA'!A141="","",'CASE DATA'!A141)</f>
        <v/>
      </c>
      <c r="B141" s="62" t="str">
        <f>IF('CASE DATA'!A141&lt;&gt;"",IF('CASE DATA'!G141=0, "open charge", 'CASE DATA'!G141),"")</f>
        <v/>
      </c>
      <c r="C141" s="75">
        <f>IF(OR(B141="DISM", B141="JWV", B141="JUV", B141="CIV"), SUM('CASE DATA'!J141:S141), 'CASE DATA'!J141+'CASE DATA'!K141)</f>
        <v>0</v>
      </c>
      <c r="D141" s="76">
        <f>IF(OR(B141="DISM",B141="JWV",B141="JUV",B141="CIV"),0,SUM('CASE DATA'!L141:P141))</f>
        <v>0</v>
      </c>
      <c r="E141" s="77">
        <f>IF(OR(B141="DISM", B141="JWV", B141="JUV", B141="CIV"), 0, 'CASE DATA'!Q141)</f>
        <v>0</v>
      </c>
      <c r="F141" s="78">
        <f>IF(OR(B141="DISM", B141="JWV", B141="JUV", B141="CIV"), 0, 'CASE DATA'!R141+'CASE DATA'!S141)</f>
        <v>0</v>
      </c>
    </row>
    <row r="142" spans="1:6" x14ac:dyDescent="0.25">
      <c r="A142" s="57" t="str">
        <f>IF('CASE DATA'!A142="","",'CASE DATA'!A142)</f>
        <v/>
      </c>
      <c r="B142" s="62" t="str">
        <f>IF('CASE DATA'!A142&lt;&gt;"",IF('CASE DATA'!G142=0, "open charge", 'CASE DATA'!G142),"")</f>
        <v/>
      </c>
      <c r="C142" s="75">
        <f>IF(OR(B142="DISM", B142="JWV", B142="JUV", B142="CIV"), SUM('CASE DATA'!J142:S142), 'CASE DATA'!J142+'CASE DATA'!K142)</f>
        <v>0</v>
      </c>
      <c r="D142" s="76">
        <f>IF(OR(B142="DISM",B142="JWV",B142="JUV",B142="CIV"),0,SUM('CASE DATA'!L142:P142))</f>
        <v>0</v>
      </c>
      <c r="E142" s="77">
        <f>IF(OR(B142="DISM", B142="JWV", B142="JUV", B142="CIV"), 0, 'CASE DATA'!Q142)</f>
        <v>0</v>
      </c>
      <c r="F142" s="78">
        <f>IF(OR(B142="DISM", B142="JWV", B142="JUV", B142="CIV"), 0, 'CASE DATA'!R142+'CASE DATA'!S142)</f>
        <v>0</v>
      </c>
    </row>
    <row r="143" spans="1:6" x14ac:dyDescent="0.25">
      <c r="A143" s="57" t="str">
        <f>IF('CASE DATA'!A143="","",'CASE DATA'!A143)</f>
        <v/>
      </c>
      <c r="B143" s="62" t="str">
        <f>IF('CASE DATA'!A143&lt;&gt;"",IF('CASE DATA'!G143=0, "open charge", 'CASE DATA'!G143),"")</f>
        <v/>
      </c>
      <c r="C143" s="75">
        <f>IF(OR(B143="DISM", B143="JWV", B143="JUV", B143="CIV"), SUM('CASE DATA'!J143:S143), 'CASE DATA'!J143+'CASE DATA'!K143)</f>
        <v>0</v>
      </c>
      <c r="D143" s="76">
        <f>IF(OR(B143="DISM",B143="JWV",B143="JUV",B143="CIV"),0,SUM('CASE DATA'!L143:P143))</f>
        <v>0</v>
      </c>
      <c r="E143" s="77">
        <f>IF(OR(B143="DISM", B143="JWV", B143="JUV", B143="CIV"), 0, 'CASE DATA'!Q143)</f>
        <v>0</v>
      </c>
      <c r="F143" s="78">
        <f>IF(OR(B143="DISM", B143="JWV", B143="JUV", B143="CIV"), 0, 'CASE DATA'!R143+'CASE DATA'!S143)</f>
        <v>0</v>
      </c>
    </row>
    <row r="144" spans="1:6" x14ac:dyDescent="0.25">
      <c r="A144" s="57" t="str">
        <f>IF('CASE DATA'!A144="","",'CASE DATA'!A144)</f>
        <v/>
      </c>
      <c r="B144" s="62" t="str">
        <f>IF('CASE DATA'!A144&lt;&gt;"",IF('CASE DATA'!G144=0, "open charge", 'CASE DATA'!G144),"")</f>
        <v/>
      </c>
      <c r="C144" s="75">
        <f>IF(OR(B144="DISM", B144="JWV", B144="JUV", B144="CIV"), SUM('CASE DATA'!J144:S144), 'CASE DATA'!J144+'CASE DATA'!K144)</f>
        <v>0</v>
      </c>
      <c r="D144" s="76">
        <f>IF(OR(B144="DISM",B144="JWV",B144="JUV",B144="CIV"),0,SUM('CASE DATA'!L144:P144))</f>
        <v>0</v>
      </c>
      <c r="E144" s="77">
        <f>IF(OR(B144="DISM", B144="JWV", B144="JUV", B144="CIV"), 0, 'CASE DATA'!Q144)</f>
        <v>0</v>
      </c>
      <c r="F144" s="78">
        <f>IF(OR(B144="DISM", B144="JWV", B144="JUV", B144="CIV"), 0, 'CASE DATA'!R144+'CASE DATA'!S144)</f>
        <v>0</v>
      </c>
    </row>
    <row r="145" spans="1:6" x14ac:dyDescent="0.25">
      <c r="A145" s="57" t="str">
        <f>IF('CASE DATA'!A145="","",'CASE DATA'!A145)</f>
        <v/>
      </c>
      <c r="B145" s="62" t="str">
        <f>IF('CASE DATA'!A145&lt;&gt;"",IF('CASE DATA'!G145=0, "open charge", 'CASE DATA'!G145),"")</f>
        <v/>
      </c>
      <c r="C145" s="75">
        <f>IF(OR(B145="DISM", B145="JWV", B145="JUV", B145="CIV"), SUM('CASE DATA'!J145:S145), 'CASE DATA'!J145+'CASE DATA'!K145)</f>
        <v>0</v>
      </c>
      <c r="D145" s="76">
        <f>IF(OR(B145="DISM",B145="JWV",B145="JUV",B145="CIV"),0,SUM('CASE DATA'!L145:P145))</f>
        <v>0</v>
      </c>
      <c r="E145" s="77">
        <f>IF(OR(B145="DISM", B145="JWV", B145="JUV", B145="CIV"), 0, 'CASE DATA'!Q145)</f>
        <v>0</v>
      </c>
      <c r="F145" s="78">
        <f>IF(OR(B145="DISM", B145="JWV", B145="JUV", B145="CIV"), 0, 'CASE DATA'!R145+'CASE DATA'!S145)</f>
        <v>0</v>
      </c>
    </row>
    <row r="146" spans="1:6" x14ac:dyDescent="0.25">
      <c r="A146" s="57" t="str">
        <f>IF('CASE DATA'!A146="","",'CASE DATA'!A146)</f>
        <v/>
      </c>
      <c r="B146" s="62" t="str">
        <f>IF('CASE DATA'!A146&lt;&gt;"",IF('CASE DATA'!G146=0, "open charge", 'CASE DATA'!G146),"")</f>
        <v/>
      </c>
      <c r="C146" s="75">
        <f>IF(OR(B146="DISM", B146="JWV", B146="JUV", B146="CIV"), SUM('CASE DATA'!J146:S146), 'CASE DATA'!J146+'CASE DATA'!K146)</f>
        <v>0</v>
      </c>
      <c r="D146" s="76">
        <f>IF(OR(B146="DISM",B146="JWV",B146="JUV",B146="CIV"),0,SUM('CASE DATA'!L146:P146))</f>
        <v>0</v>
      </c>
      <c r="E146" s="77">
        <f>IF(OR(B146="DISM", B146="JWV", B146="JUV", B146="CIV"), 0, 'CASE DATA'!Q146)</f>
        <v>0</v>
      </c>
      <c r="F146" s="78">
        <f>IF(OR(B146="DISM", B146="JWV", B146="JUV", B146="CIV"), 0, 'CASE DATA'!R146+'CASE DATA'!S146)</f>
        <v>0</v>
      </c>
    </row>
    <row r="147" spans="1:6" x14ac:dyDescent="0.25">
      <c r="A147" s="57" t="str">
        <f>IF('CASE DATA'!A147="","",'CASE DATA'!A147)</f>
        <v/>
      </c>
      <c r="B147" s="62" t="str">
        <f>IF('CASE DATA'!A147&lt;&gt;"",IF('CASE DATA'!G147=0, "open charge", 'CASE DATA'!G147),"")</f>
        <v/>
      </c>
      <c r="C147" s="75">
        <f>IF(OR(B147="DISM", B147="JWV", B147="JUV", B147="CIV"), SUM('CASE DATA'!J147:S147), 'CASE DATA'!J147+'CASE DATA'!K147)</f>
        <v>0</v>
      </c>
      <c r="D147" s="76">
        <f>IF(OR(B147="DISM",B147="JWV",B147="JUV",B147="CIV"),0,SUM('CASE DATA'!L147:P147))</f>
        <v>0</v>
      </c>
      <c r="E147" s="77">
        <f>IF(OR(B147="DISM", B147="JWV", B147="JUV", B147="CIV"), 0, 'CASE DATA'!Q147)</f>
        <v>0</v>
      </c>
      <c r="F147" s="78">
        <f>IF(OR(B147="DISM", B147="JWV", B147="JUV", B147="CIV"), 0, 'CASE DATA'!R147+'CASE DATA'!S147)</f>
        <v>0</v>
      </c>
    </row>
    <row r="148" spans="1:6" x14ac:dyDescent="0.25">
      <c r="A148" s="57" t="str">
        <f>IF('CASE DATA'!A148="","",'CASE DATA'!A148)</f>
        <v/>
      </c>
      <c r="B148" s="62" t="str">
        <f>IF('CASE DATA'!A148&lt;&gt;"",IF('CASE DATA'!G148=0, "open charge", 'CASE DATA'!G148),"")</f>
        <v/>
      </c>
      <c r="C148" s="75">
        <f>IF(OR(B148="DISM", B148="JWV", B148="JUV", B148="CIV"), SUM('CASE DATA'!J148:S148), 'CASE DATA'!J148+'CASE DATA'!K148)</f>
        <v>0</v>
      </c>
      <c r="D148" s="76">
        <f>IF(OR(B148="DISM",B148="JWV",B148="JUV",B148="CIV"),0,SUM('CASE DATA'!L148:P148))</f>
        <v>0</v>
      </c>
      <c r="E148" s="77">
        <f>IF(OR(B148="DISM", B148="JWV", B148="JUV", B148="CIV"), 0, 'CASE DATA'!Q148)</f>
        <v>0</v>
      </c>
      <c r="F148" s="78">
        <f>IF(OR(B148="DISM", B148="JWV", B148="JUV", B148="CIV"), 0, 'CASE DATA'!R148+'CASE DATA'!S148)</f>
        <v>0</v>
      </c>
    </row>
    <row r="149" spans="1:6" x14ac:dyDescent="0.25">
      <c r="A149" s="57" t="str">
        <f>IF('CASE DATA'!A149="","",'CASE DATA'!A149)</f>
        <v/>
      </c>
      <c r="B149" s="62" t="str">
        <f>IF('CASE DATA'!A149&lt;&gt;"",IF('CASE DATA'!G149=0, "open charge", 'CASE DATA'!G149),"")</f>
        <v/>
      </c>
      <c r="C149" s="75">
        <f>IF(OR(B149="DISM", B149="JWV", B149="JUV", B149="CIV"), SUM('CASE DATA'!J149:S149), 'CASE DATA'!J149+'CASE DATA'!K149)</f>
        <v>0</v>
      </c>
      <c r="D149" s="76">
        <f>IF(OR(B149="DISM",B149="JWV",B149="JUV",B149="CIV"),0,SUM('CASE DATA'!L149:P149))</f>
        <v>0</v>
      </c>
      <c r="E149" s="77">
        <f>IF(OR(B149="DISM", B149="JWV", B149="JUV", B149="CIV"), 0, 'CASE DATA'!Q149)</f>
        <v>0</v>
      </c>
      <c r="F149" s="78">
        <f>IF(OR(B149="DISM", B149="JWV", B149="JUV", B149="CIV"), 0, 'CASE DATA'!R149+'CASE DATA'!S149)</f>
        <v>0</v>
      </c>
    </row>
    <row r="150" spans="1:6" x14ac:dyDescent="0.25">
      <c r="A150" s="57" t="str">
        <f>IF('CASE DATA'!A150="","",'CASE DATA'!A150)</f>
        <v/>
      </c>
      <c r="B150" s="62" t="str">
        <f>IF('CASE DATA'!A150&lt;&gt;"",IF('CASE DATA'!G150=0, "open charge", 'CASE DATA'!G150),"")</f>
        <v/>
      </c>
      <c r="C150" s="75">
        <f>IF(OR(B150="DISM", B150="JWV", B150="JUV", B150="CIV"), SUM('CASE DATA'!J150:S150), 'CASE DATA'!J150+'CASE DATA'!K150)</f>
        <v>0</v>
      </c>
      <c r="D150" s="76">
        <f>IF(OR(B150="DISM",B150="JWV",B150="JUV",B150="CIV"),0,SUM('CASE DATA'!L150:P150))</f>
        <v>0</v>
      </c>
      <c r="E150" s="77">
        <f>IF(OR(B150="DISM", B150="JWV", B150="JUV", B150="CIV"), 0, 'CASE DATA'!Q150)</f>
        <v>0</v>
      </c>
      <c r="F150" s="78">
        <f>IF(OR(B150="DISM", B150="JWV", B150="JUV", B150="CIV"), 0, 'CASE DATA'!R150+'CASE DATA'!S150)</f>
        <v>0</v>
      </c>
    </row>
    <row r="151" spans="1:6" x14ac:dyDescent="0.25">
      <c r="A151" s="57" t="str">
        <f>IF('CASE DATA'!A151="","",'CASE DATA'!A151)</f>
        <v/>
      </c>
      <c r="B151" s="62" t="str">
        <f>IF('CASE DATA'!A151&lt;&gt;"",IF('CASE DATA'!G151=0, "open charge", 'CASE DATA'!G151),"")</f>
        <v/>
      </c>
      <c r="C151" s="75">
        <f>IF(OR(B151="DISM", B151="JWV", B151="JUV", B151="CIV"), SUM('CASE DATA'!J151:S151), 'CASE DATA'!J151+'CASE DATA'!K151)</f>
        <v>0</v>
      </c>
      <c r="D151" s="76">
        <f>IF(OR(B151="DISM",B151="JWV",B151="JUV",B151="CIV"),0,SUM('CASE DATA'!L151:P151))</f>
        <v>0</v>
      </c>
      <c r="E151" s="77">
        <f>IF(OR(B151="DISM", B151="JWV", B151="JUV", B151="CIV"), 0, 'CASE DATA'!Q151)</f>
        <v>0</v>
      </c>
      <c r="F151" s="78">
        <f>IF(OR(B151="DISM", B151="JWV", B151="JUV", B151="CIV"), 0, 'CASE DATA'!R151+'CASE DATA'!S151)</f>
        <v>0</v>
      </c>
    </row>
    <row r="152" spans="1:6" x14ac:dyDescent="0.25">
      <c r="A152" s="57" t="str">
        <f>IF('CASE DATA'!A152="","",'CASE DATA'!A152)</f>
        <v/>
      </c>
      <c r="B152" s="62" t="str">
        <f>IF('CASE DATA'!A152&lt;&gt;"",IF('CASE DATA'!G152=0, "open charge", 'CASE DATA'!G152),"")</f>
        <v/>
      </c>
      <c r="C152" s="75">
        <f>IF(OR(B152="DISM", B152="JWV", B152="JUV", B152="CIV"), SUM('CASE DATA'!J152:S152), 'CASE DATA'!J152+'CASE DATA'!K152)</f>
        <v>0</v>
      </c>
      <c r="D152" s="76">
        <f>IF(OR(B152="DISM",B152="JWV",B152="JUV",B152="CIV"),0,SUM('CASE DATA'!L152:P152))</f>
        <v>0</v>
      </c>
      <c r="E152" s="77">
        <f>IF(OR(B152="DISM", B152="JWV", B152="JUV", B152="CIV"), 0, 'CASE DATA'!Q152)</f>
        <v>0</v>
      </c>
      <c r="F152" s="78">
        <f>IF(OR(B152="DISM", B152="JWV", B152="JUV", B152="CIV"), 0, 'CASE DATA'!R152+'CASE DATA'!S152)</f>
        <v>0</v>
      </c>
    </row>
    <row r="153" spans="1:6" x14ac:dyDescent="0.25">
      <c r="A153" s="57" t="str">
        <f>IF('CASE DATA'!A153="","",'CASE DATA'!A153)</f>
        <v/>
      </c>
      <c r="B153" s="62" t="str">
        <f>IF('CASE DATA'!A153&lt;&gt;"",IF('CASE DATA'!G153=0, "open charge", 'CASE DATA'!G153),"")</f>
        <v/>
      </c>
      <c r="C153" s="75">
        <f>IF(OR(B153="DISM", B153="JWV", B153="JUV", B153="CIV"), SUM('CASE DATA'!J153:S153), 'CASE DATA'!J153+'CASE DATA'!K153)</f>
        <v>0</v>
      </c>
      <c r="D153" s="76">
        <f>IF(OR(B153="DISM",B153="JWV",B153="JUV",B153="CIV"),0,SUM('CASE DATA'!L153:P153))</f>
        <v>0</v>
      </c>
      <c r="E153" s="77">
        <f>IF(OR(B153="DISM", B153="JWV", B153="JUV", B153="CIV"), 0, 'CASE DATA'!Q153)</f>
        <v>0</v>
      </c>
      <c r="F153" s="78">
        <f>IF(OR(B153="DISM", B153="JWV", B153="JUV", B153="CIV"), 0, 'CASE DATA'!R153+'CASE DATA'!S153)</f>
        <v>0</v>
      </c>
    </row>
    <row r="154" spans="1:6" x14ac:dyDescent="0.25">
      <c r="A154" s="57" t="str">
        <f>IF('CASE DATA'!A154="","",'CASE DATA'!A154)</f>
        <v/>
      </c>
      <c r="B154" s="62" t="str">
        <f>IF('CASE DATA'!A154&lt;&gt;"",IF('CASE DATA'!G154=0, "open charge", 'CASE DATA'!G154),"")</f>
        <v/>
      </c>
      <c r="C154" s="75">
        <f>IF(OR(B154="DISM", B154="JWV", B154="JUV", B154="CIV"), SUM('CASE DATA'!J154:S154), 'CASE DATA'!J154+'CASE DATA'!K154)</f>
        <v>0</v>
      </c>
      <c r="D154" s="76">
        <f>IF(OR(B154="DISM",B154="JWV",B154="JUV",B154="CIV"),0,SUM('CASE DATA'!L154:P154))</f>
        <v>0</v>
      </c>
      <c r="E154" s="77">
        <f>IF(OR(B154="DISM", B154="JWV", B154="JUV", B154="CIV"), 0, 'CASE DATA'!Q154)</f>
        <v>0</v>
      </c>
      <c r="F154" s="78">
        <f>IF(OR(B154="DISM", B154="JWV", B154="JUV", B154="CIV"), 0, 'CASE DATA'!R154+'CASE DATA'!S154)</f>
        <v>0</v>
      </c>
    </row>
    <row r="155" spans="1:6" x14ac:dyDescent="0.25">
      <c r="A155" s="57" t="str">
        <f>IF('CASE DATA'!A155="","",'CASE DATA'!A155)</f>
        <v/>
      </c>
      <c r="B155" s="62" t="str">
        <f>IF('CASE DATA'!A155&lt;&gt;"",IF('CASE DATA'!G155=0, "open charge", 'CASE DATA'!G155),"")</f>
        <v/>
      </c>
      <c r="C155" s="75">
        <f>IF(OR(B155="DISM", B155="JWV", B155="JUV", B155="CIV"), SUM('CASE DATA'!J155:S155), 'CASE DATA'!J155+'CASE DATA'!K155)</f>
        <v>0</v>
      </c>
      <c r="D155" s="76">
        <f>IF(OR(B155="DISM",B155="JWV",B155="JUV",B155="CIV"),0,SUM('CASE DATA'!L155:P155))</f>
        <v>0</v>
      </c>
      <c r="E155" s="77">
        <f>IF(OR(B155="DISM", B155="JWV", B155="JUV", B155="CIV"), 0, 'CASE DATA'!Q155)</f>
        <v>0</v>
      </c>
      <c r="F155" s="78">
        <f>IF(OR(B155="DISM", B155="JWV", B155="JUV", B155="CIV"), 0, 'CASE DATA'!R155+'CASE DATA'!S155)</f>
        <v>0</v>
      </c>
    </row>
    <row r="156" spans="1:6" x14ac:dyDescent="0.25">
      <c r="A156" s="57" t="str">
        <f>IF('CASE DATA'!A156="","",'CASE DATA'!A156)</f>
        <v/>
      </c>
      <c r="B156" s="62" t="str">
        <f>IF('CASE DATA'!A156&lt;&gt;"",IF('CASE DATA'!G156=0, "open charge", 'CASE DATA'!G156),"")</f>
        <v/>
      </c>
      <c r="C156" s="75">
        <f>IF(OR(B156="DISM", B156="JWV", B156="JUV", B156="CIV"), SUM('CASE DATA'!J156:S156), 'CASE DATA'!J156+'CASE DATA'!K156)</f>
        <v>0</v>
      </c>
      <c r="D156" s="76">
        <f>IF(OR(B156="DISM",B156="JWV",B156="JUV",B156="CIV"),0,SUM('CASE DATA'!L156:P156))</f>
        <v>0</v>
      </c>
      <c r="E156" s="77">
        <f>IF(OR(B156="DISM", B156="JWV", B156="JUV", B156="CIV"), 0, 'CASE DATA'!Q156)</f>
        <v>0</v>
      </c>
      <c r="F156" s="78">
        <f>IF(OR(B156="DISM", B156="JWV", B156="JUV", B156="CIV"), 0, 'CASE DATA'!R156+'CASE DATA'!S156)</f>
        <v>0</v>
      </c>
    </row>
    <row r="157" spans="1:6" x14ac:dyDescent="0.25">
      <c r="A157" s="57" t="str">
        <f>IF('CASE DATA'!A157="","",'CASE DATA'!A157)</f>
        <v/>
      </c>
      <c r="B157" s="62" t="str">
        <f>IF('CASE DATA'!A157&lt;&gt;"",IF('CASE DATA'!G157=0, "open charge", 'CASE DATA'!G157),"")</f>
        <v/>
      </c>
      <c r="C157" s="75">
        <f>IF(OR(B157="DISM", B157="JWV", B157="JUV", B157="CIV"), SUM('CASE DATA'!J157:S157), 'CASE DATA'!J157+'CASE DATA'!K157)</f>
        <v>0</v>
      </c>
      <c r="D157" s="76">
        <f>IF(OR(B157="DISM",B157="JWV",B157="JUV",B157="CIV"),0,SUM('CASE DATA'!L157:P157))</f>
        <v>0</v>
      </c>
      <c r="E157" s="77">
        <f>IF(OR(B157="DISM", B157="JWV", B157="JUV", B157="CIV"), 0, 'CASE DATA'!Q157)</f>
        <v>0</v>
      </c>
      <c r="F157" s="78">
        <f>IF(OR(B157="DISM", B157="JWV", B157="JUV", B157="CIV"), 0, 'CASE DATA'!R157+'CASE DATA'!S157)</f>
        <v>0</v>
      </c>
    </row>
    <row r="158" spans="1:6" x14ac:dyDescent="0.25">
      <c r="A158" s="57" t="str">
        <f>IF('CASE DATA'!A158="","",'CASE DATA'!A158)</f>
        <v/>
      </c>
      <c r="B158" s="62" t="str">
        <f>IF('CASE DATA'!A158&lt;&gt;"",IF('CASE DATA'!G158=0, "open charge", 'CASE DATA'!G158),"")</f>
        <v/>
      </c>
      <c r="C158" s="75">
        <f>IF(OR(B158="DISM", B158="JWV", B158="JUV", B158="CIV"), SUM('CASE DATA'!J158:S158), 'CASE DATA'!J158+'CASE DATA'!K158)</f>
        <v>0</v>
      </c>
      <c r="D158" s="76">
        <f>IF(OR(B158="DISM",B158="JWV",B158="JUV",B158="CIV"),0,SUM('CASE DATA'!L158:P158))</f>
        <v>0</v>
      </c>
      <c r="E158" s="77">
        <f>IF(OR(B158="DISM", B158="JWV", B158="JUV", B158="CIV"), 0, 'CASE DATA'!Q158)</f>
        <v>0</v>
      </c>
      <c r="F158" s="78">
        <f>IF(OR(B158="DISM", B158="JWV", B158="JUV", B158="CIV"), 0, 'CASE DATA'!R158+'CASE DATA'!S158)</f>
        <v>0</v>
      </c>
    </row>
    <row r="159" spans="1:6" x14ac:dyDescent="0.25">
      <c r="A159" s="57" t="str">
        <f>IF('CASE DATA'!A159="","",'CASE DATA'!A159)</f>
        <v/>
      </c>
      <c r="B159" s="62" t="str">
        <f>IF('CASE DATA'!A159&lt;&gt;"",IF('CASE DATA'!G159=0, "open charge", 'CASE DATA'!G159),"")</f>
        <v/>
      </c>
      <c r="C159" s="75">
        <f>IF(OR(B159="DISM", B159="JWV", B159="JUV", B159="CIV"), SUM('CASE DATA'!J159:S159), 'CASE DATA'!J159+'CASE DATA'!K159)</f>
        <v>0</v>
      </c>
      <c r="D159" s="76">
        <f>IF(OR(B159="DISM",B159="JWV",B159="JUV",B159="CIV"),0,SUM('CASE DATA'!L159:P159))</f>
        <v>0</v>
      </c>
      <c r="E159" s="77">
        <f>IF(OR(B159="DISM", B159="JWV", B159="JUV", B159="CIV"), 0, 'CASE DATA'!Q159)</f>
        <v>0</v>
      </c>
      <c r="F159" s="78">
        <f>IF(OR(B159="DISM", B159="JWV", B159="JUV", B159="CIV"), 0, 'CASE DATA'!R159+'CASE DATA'!S159)</f>
        <v>0</v>
      </c>
    </row>
    <row r="160" spans="1:6" x14ac:dyDescent="0.25">
      <c r="A160" s="57" t="str">
        <f>IF('CASE DATA'!A160="","",'CASE DATA'!A160)</f>
        <v/>
      </c>
      <c r="B160" s="62" t="str">
        <f>IF('CASE DATA'!A160&lt;&gt;"",IF('CASE DATA'!G160=0, "open charge", 'CASE DATA'!G160),"")</f>
        <v/>
      </c>
      <c r="C160" s="75">
        <f>IF(OR(B160="DISM", B160="JWV", B160="JUV", B160="CIV"), SUM('CASE DATA'!J160:S160), 'CASE DATA'!J160+'CASE DATA'!K160)</f>
        <v>0</v>
      </c>
      <c r="D160" s="76">
        <f>IF(OR(B160="DISM",B160="JWV",B160="JUV",B160="CIV"),0,SUM('CASE DATA'!L160:P160))</f>
        <v>0</v>
      </c>
      <c r="E160" s="77">
        <f>IF(OR(B160="DISM", B160="JWV", B160="JUV", B160="CIV"), 0, 'CASE DATA'!Q160)</f>
        <v>0</v>
      </c>
      <c r="F160" s="78">
        <f>IF(OR(B160="DISM", B160="JWV", B160="JUV", B160="CIV"), 0, 'CASE DATA'!R160+'CASE DATA'!S160)</f>
        <v>0</v>
      </c>
    </row>
    <row r="161" spans="1:6" x14ac:dyDescent="0.25">
      <c r="A161" s="57" t="str">
        <f>IF('CASE DATA'!A161="","",'CASE DATA'!A161)</f>
        <v/>
      </c>
      <c r="B161" s="62" t="str">
        <f>IF('CASE DATA'!A161&lt;&gt;"",IF('CASE DATA'!G161=0, "open charge", 'CASE DATA'!G161),"")</f>
        <v/>
      </c>
      <c r="C161" s="75">
        <f>IF(OR(B161="DISM", B161="JWV", B161="JUV", B161="CIV"), SUM('CASE DATA'!J161:S161), 'CASE DATA'!J161+'CASE DATA'!K161)</f>
        <v>0</v>
      </c>
      <c r="D161" s="76">
        <f>IF(OR(B161="DISM",B161="JWV",B161="JUV",B161="CIV"),0,SUM('CASE DATA'!L161:P161))</f>
        <v>0</v>
      </c>
      <c r="E161" s="77">
        <f>IF(OR(B161="DISM", B161="JWV", B161="JUV", B161="CIV"), 0, 'CASE DATA'!Q161)</f>
        <v>0</v>
      </c>
      <c r="F161" s="78">
        <f>IF(OR(B161="DISM", B161="JWV", B161="JUV", B161="CIV"), 0, 'CASE DATA'!R161+'CASE DATA'!S161)</f>
        <v>0</v>
      </c>
    </row>
    <row r="162" spans="1:6" x14ac:dyDescent="0.25">
      <c r="A162" s="57" t="str">
        <f>IF('CASE DATA'!A162="","",'CASE DATA'!A162)</f>
        <v/>
      </c>
      <c r="B162" s="62" t="str">
        <f>IF('CASE DATA'!A162&lt;&gt;"",IF('CASE DATA'!G162=0, "open charge", 'CASE DATA'!G162),"")</f>
        <v/>
      </c>
      <c r="C162" s="75">
        <f>IF(OR(B162="DISM", B162="JWV", B162="JUV", B162="CIV"), SUM('CASE DATA'!J162:S162), 'CASE DATA'!J162+'CASE DATA'!K162)</f>
        <v>0</v>
      </c>
      <c r="D162" s="76">
        <f>IF(OR(B162="DISM",B162="JWV",B162="JUV",B162="CIV"),0,SUM('CASE DATA'!L162:P162))</f>
        <v>0</v>
      </c>
      <c r="E162" s="77">
        <f>IF(OR(B162="DISM", B162="JWV", B162="JUV", B162="CIV"), 0, 'CASE DATA'!Q162)</f>
        <v>0</v>
      </c>
      <c r="F162" s="78">
        <f>IF(OR(B162="DISM", B162="JWV", B162="JUV", B162="CIV"), 0, 'CASE DATA'!R162+'CASE DATA'!S162)</f>
        <v>0</v>
      </c>
    </row>
    <row r="163" spans="1:6" x14ac:dyDescent="0.25">
      <c r="A163" s="57" t="str">
        <f>IF('CASE DATA'!A163="","",'CASE DATA'!A163)</f>
        <v/>
      </c>
      <c r="B163" s="62" t="str">
        <f>IF('CASE DATA'!A163&lt;&gt;"",IF('CASE DATA'!G163=0, "open charge", 'CASE DATA'!G163),"")</f>
        <v/>
      </c>
      <c r="C163" s="75">
        <f>IF(OR(B163="DISM", B163="JWV", B163="JUV", B163="CIV"), SUM('CASE DATA'!J163:S163), 'CASE DATA'!J163+'CASE DATA'!K163)</f>
        <v>0</v>
      </c>
      <c r="D163" s="76">
        <f>IF(OR(B163="DISM",B163="JWV",B163="JUV",B163="CIV"),0,SUM('CASE DATA'!L163:P163))</f>
        <v>0</v>
      </c>
      <c r="E163" s="77">
        <f>IF(OR(B163="DISM", B163="JWV", B163="JUV", B163="CIV"), 0, 'CASE DATA'!Q163)</f>
        <v>0</v>
      </c>
      <c r="F163" s="78">
        <f>IF(OR(B163="DISM", B163="JWV", B163="JUV", B163="CIV"), 0, 'CASE DATA'!R163+'CASE DATA'!S163)</f>
        <v>0</v>
      </c>
    </row>
    <row r="164" spans="1:6" x14ac:dyDescent="0.25">
      <c r="A164" s="57" t="str">
        <f>IF('CASE DATA'!A164="","",'CASE DATA'!A164)</f>
        <v/>
      </c>
      <c r="B164" s="62" t="str">
        <f>IF('CASE DATA'!A164&lt;&gt;"",IF('CASE DATA'!G164=0, "open charge", 'CASE DATA'!G164),"")</f>
        <v/>
      </c>
      <c r="C164" s="75">
        <f>IF(OR(B164="DISM", B164="JWV", B164="JUV", B164="CIV"), SUM('CASE DATA'!J164:S164), 'CASE DATA'!J164+'CASE DATA'!K164)</f>
        <v>0</v>
      </c>
      <c r="D164" s="76">
        <f>IF(OR(B164="DISM",B164="JWV",B164="JUV",B164="CIV"),0,SUM('CASE DATA'!L164:P164))</f>
        <v>0</v>
      </c>
      <c r="E164" s="77">
        <f>IF(OR(B164="DISM", B164="JWV", B164="JUV", B164="CIV"), 0, 'CASE DATA'!Q164)</f>
        <v>0</v>
      </c>
      <c r="F164" s="78">
        <f>IF(OR(B164="DISM", B164="JWV", B164="JUV", B164="CIV"), 0, 'CASE DATA'!R164+'CASE DATA'!S164)</f>
        <v>0</v>
      </c>
    </row>
    <row r="165" spans="1:6" x14ac:dyDescent="0.25">
      <c r="A165" s="57" t="str">
        <f>IF('CASE DATA'!A165="","",'CASE DATA'!A165)</f>
        <v/>
      </c>
      <c r="B165" s="62" t="str">
        <f>IF('CASE DATA'!A165&lt;&gt;"",IF('CASE DATA'!G165=0, "open charge", 'CASE DATA'!G165),"")</f>
        <v/>
      </c>
      <c r="C165" s="75">
        <f>IF(OR(B165="DISM", B165="JWV", B165="JUV", B165="CIV"), SUM('CASE DATA'!J165:S165), 'CASE DATA'!J165+'CASE DATA'!K165)</f>
        <v>0</v>
      </c>
      <c r="D165" s="76">
        <f>IF(OR(B165="DISM",B165="JWV",B165="JUV",B165="CIV"),0,SUM('CASE DATA'!L165:P165))</f>
        <v>0</v>
      </c>
      <c r="E165" s="77">
        <f>IF(OR(B165="DISM", B165="JWV", B165="JUV", B165="CIV"), 0, 'CASE DATA'!Q165)</f>
        <v>0</v>
      </c>
      <c r="F165" s="78">
        <f>IF(OR(B165="DISM", B165="JWV", B165="JUV", B165="CIV"), 0, 'CASE DATA'!R165+'CASE DATA'!S165)</f>
        <v>0</v>
      </c>
    </row>
    <row r="166" spans="1:6" x14ac:dyDescent="0.25">
      <c r="A166" s="57" t="str">
        <f>IF('CASE DATA'!A166="","",'CASE DATA'!A166)</f>
        <v/>
      </c>
      <c r="B166" s="62" t="str">
        <f>IF('CASE DATA'!A166&lt;&gt;"",IF('CASE DATA'!G166=0, "open charge", 'CASE DATA'!G166),"")</f>
        <v/>
      </c>
      <c r="C166" s="75">
        <f>IF(OR(B166="DISM", B166="JWV", B166="JUV", B166="CIV"), SUM('CASE DATA'!J166:S166), 'CASE DATA'!J166+'CASE DATA'!K166)</f>
        <v>0</v>
      </c>
      <c r="D166" s="76">
        <f>IF(OR(B166="DISM",B166="JWV",B166="JUV",B166="CIV"),0,SUM('CASE DATA'!L166:P166))</f>
        <v>0</v>
      </c>
      <c r="E166" s="77">
        <f>IF(OR(B166="DISM", B166="JWV", B166="JUV", B166="CIV"), 0, 'CASE DATA'!Q166)</f>
        <v>0</v>
      </c>
      <c r="F166" s="78">
        <f>IF(OR(B166="DISM", B166="JWV", B166="JUV", B166="CIV"), 0, 'CASE DATA'!R166+'CASE DATA'!S166)</f>
        <v>0</v>
      </c>
    </row>
    <row r="167" spans="1:6" x14ac:dyDescent="0.25">
      <c r="A167" s="57" t="str">
        <f>IF('CASE DATA'!A167="","",'CASE DATA'!A167)</f>
        <v/>
      </c>
      <c r="B167" s="62" t="str">
        <f>IF('CASE DATA'!A167&lt;&gt;"",IF('CASE DATA'!G167=0, "open charge", 'CASE DATA'!G167),"")</f>
        <v/>
      </c>
      <c r="C167" s="75">
        <f>IF(OR(B167="DISM", B167="JWV", B167="JUV", B167="CIV"), SUM('CASE DATA'!J167:S167), 'CASE DATA'!J167+'CASE DATA'!K167)</f>
        <v>0</v>
      </c>
      <c r="D167" s="76">
        <f>IF(OR(B167="DISM",B167="JWV",B167="JUV",B167="CIV"),0,SUM('CASE DATA'!L167:P167))</f>
        <v>0</v>
      </c>
      <c r="E167" s="77">
        <f>IF(OR(B167="DISM", B167="JWV", B167="JUV", B167="CIV"), 0, 'CASE DATA'!Q167)</f>
        <v>0</v>
      </c>
      <c r="F167" s="78">
        <f>IF(OR(B167="DISM", B167="JWV", B167="JUV", B167="CIV"), 0, 'CASE DATA'!R167+'CASE DATA'!S167)</f>
        <v>0</v>
      </c>
    </row>
    <row r="168" spans="1:6" x14ac:dyDescent="0.25">
      <c r="A168" s="57" t="str">
        <f>IF('CASE DATA'!A168="","",'CASE DATA'!A168)</f>
        <v/>
      </c>
      <c r="B168" s="62" t="str">
        <f>IF('CASE DATA'!A168&lt;&gt;"",IF('CASE DATA'!G168=0, "open charge", 'CASE DATA'!G168),"")</f>
        <v/>
      </c>
      <c r="C168" s="75">
        <f>IF(OR(B168="DISM", B168="JWV", B168="JUV", B168="CIV"), SUM('CASE DATA'!J168:S168), 'CASE DATA'!J168+'CASE DATA'!K168)</f>
        <v>0</v>
      </c>
      <c r="D168" s="76">
        <f>IF(OR(B168="DISM",B168="JWV",B168="JUV",B168="CIV"),0,SUM('CASE DATA'!L168:P168))</f>
        <v>0</v>
      </c>
      <c r="E168" s="77">
        <f>IF(OR(B168="DISM", B168="JWV", B168="JUV", B168="CIV"), 0, 'CASE DATA'!Q168)</f>
        <v>0</v>
      </c>
      <c r="F168" s="78">
        <f>IF(OR(B168="DISM", B168="JWV", B168="JUV", B168="CIV"), 0, 'CASE DATA'!R168+'CASE DATA'!S168)</f>
        <v>0</v>
      </c>
    </row>
    <row r="169" spans="1:6" x14ac:dyDescent="0.25">
      <c r="A169" s="57" t="str">
        <f>IF('CASE DATA'!A169="","",'CASE DATA'!A169)</f>
        <v/>
      </c>
      <c r="B169" s="62" t="str">
        <f>IF('CASE DATA'!A169&lt;&gt;"",IF('CASE DATA'!G169=0, "open charge", 'CASE DATA'!G169),"")</f>
        <v/>
      </c>
      <c r="C169" s="75">
        <f>IF(OR(B169="DISM", B169="JWV", B169="JUV", B169="CIV"), SUM('CASE DATA'!J169:S169), 'CASE DATA'!J169+'CASE DATA'!K169)</f>
        <v>0</v>
      </c>
      <c r="D169" s="76">
        <f>IF(OR(B169="DISM",B169="JWV",B169="JUV",B169="CIV"),0,SUM('CASE DATA'!L169:P169))</f>
        <v>0</v>
      </c>
      <c r="E169" s="77">
        <f>IF(OR(B169="DISM", B169="JWV", B169="JUV", B169="CIV"), 0, 'CASE DATA'!Q169)</f>
        <v>0</v>
      </c>
      <c r="F169" s="78">
        <f>IF(OR(B169="DISM", B169="JWV", B169="JUV", B169="CIV"), 0, 'CASE DATA'!R169+'CASE DATA'!S169)</f>
        <v>0</v>
      </c>
    </row>
    <row r="170" spans="1:6" x14ac:dyDescent="0.25">
      <c r="A170" s="57" t="str">
        <f>IF('CASE DATA'!A170="","",'CASE DATA'!A170)</f>
        <v/>
      </c>
      <c r="B170" s="62" t="str">
        <f>IF('CASE DATA'!A170&lt;&gt;"",IF('CASE DATA'!G170=0, "open charge", 'CASE DATA'!G170),"")</f>
        <v/>
      </c>
      <c r="C170" s="75">
        <f>IF(OR(B170="DISM", B170="JWV", B170="JUV", B170="CIV"), SUM('CASE DATA'!J170:S170), 'CASE DATA'!J170+'CASE DATA'!K170)</f>
        <v>0</v>
      </c>
      <c r="D170" s="76">
        <f>IF(OR(B170="DISM",B170="JWV",B170="JUV",B170="CIV"),0,SUM('CASE DATA'!L170:P170))</f>
        <v>0</v>
      </c>
      <c r="E170" s="77">
        <f>IF(OR(B170="DISM", B170="JWV", B170="JUV", B170="CIV"), 0, 'CASE DATA'!Q170)</f>
        <v>0</v>
      </c>
      <c r="F170" s="78">
        <f>IF(OR(B170="DISM", B170="JWV", B170="JUV", B170="CIV"), 0, 'CASE DATA'!R170+'CASE DATA'!S170)</f>
        <v>0</v>
      </c>
    </row>
    <row r="171" spans="1:6" x14ac:dyDescent="0.25">
      <c r="A171" s="57" t="str">
        <f>IF('CASE DATA'!A171="","",'CASE DATA'!A171)</f>
        <v/>
      </c>
      <c r="B171" s="62" t="str">
        <f>IF('CASE DATA'!A171&lt;&gt;"",IF('CASE DATA'!G171=0, "open charge", 'CASE DATA'!G171),"")</f>
        <v/>
      </c>
      <c r="C171" s="75">
        <f>IF(OR(B171="DISM", B171="JWV", B171="JUV", B171="CIV"), SUM('CASE DATA'!J171:S171), 'CASE DATA'!J171+'CASE DATA'!K171)</f>
        <v>0</v>
      </c>
      <c r="D171" s="76">
        <f>IF(OR(B171="DISM",B171="JWV",B171="JUV",B171="CIV"),0,SUM('CASE DATA'!L171:P171))</f>
        <v>0</v>
      </c>
      <c r="E171" s="77">
        <f>IF(OR(B171="DISM", B171="JWV", B171="JUV", B171="CIV"), 0, 'CASE DATA'!Q171)</f>
        <v>0</v>
      </c>
      <c r="F171" s="78">
        <f>IF(OR(B171="DISM", B171="JWV", B171="JUV", B171="CIV"), 0, 'CASE DATA'!R171+'CASE DATA'!S171)</f>
        <v>0</v>
      </c>
    </row>
    <row r="172" spans="1:6" x14ac:dyDescent="0.25">
      <c r="A172" s="57" t="str">
        <f>IF('CASE DATA'!A172="","",'CASE DATA'!A172)</f>
        <v/>
      </c>
      <c r="B172" s="62" t="str">
        <f>IF('CASE DATA'!A172&lt;&gt;"",IF('CASE DATA'!G172=0, "open charge", 'CASE DATA'!G172),"")</f>
        <v/>
      </c>
      <c r="C172" s="75">
        <f>IF(OR(B172="DISM", B172="JWV", B172="JUV", B172="CIV"), SUM('CASE DATA'!J172:S172), 'CASE DATA'!J172+'CASE DATA'!K172)</f>
        <v>0</v>
      </c>
      <c r="D172" s="76">
        <f>IF(OR(B172="DISM",B172="JWV",B172="JUV",B172="CIV"),0,SUM('CASE DATA'!L172:P172))</f>
        <v>0</v>
      </c>
      <c r="E172" s="77">
        <f>IF(OR(B172="DISM", B172="JWV", B172="JUV", B172="CIV"), 0, 'CASE DATA'!Q172)</f>
        <v>0</v>
      </c>
      <c r="F172" s="78">
        <f>IF(OR(B172="DISM", B172="JWV", B172="JUV", B172="CIV"), 0, 'CASE DATA'!R172+'CASE DATA'!S172)</f>
        <v>0</v>
      </c>
    </row>
    <row r="173" spans="1:6" x14ac:dyDescent="0.25">
      <c r="A173" s="57" t="str">
        <f>IF('CASE DATA'!A173="","",'CASE DATA'!A173)</f>
        <v/>
      </c>
      <c r="B173" s="62" t="str">
        <f>IF('CASE DATA'!A173&lt;&gt;"",IF('CASE DATA'!G173=0, "open charge", 'CASE DATA'!G173),"")</f>
        <v/>
      </c>
      <c r="C173" s="75">
        <f>IF(OR(B173="DISM", B173="JWV", B173="JUV", B173="CIV"), SUM('CASE DATA'!J173:S173), 'CASE DATA'!J173+'CASE DATA'!K173)</f>
        <v>0</v>
      </c>
      <c r="D173" s="76">
        <f>IF(OR(B173="DISM",B173="JWV",B173="JUV",B173="CIV"),0,SUM('CASE DATA'!L173:P173))</f>
        <v>0</v>
      </c>
      <c r="E173" s="77">
        <f>IF(OR(B173="DISM", B173="JWV", B173="JUV", B173="CIV"), 0, 'CASE DATA'!Q173)</f>
        <v>0</v>
      </c>
      <c r="F173" s="78">
        <f>IF(OR(B173="DISM", B173="JWV", B173="JUV", B173="CIV"), 0, 'CASE DATA'!R173+'CASE DATA'!S173)</f>
        <v>0</v>
      </c>
    </row>
    <row r="174" spans="1:6" x14ac:dyDescent="0.25">
      <c r="A174" s="57" t="str">
        <f>IF('CASE DATA'!A174="","",'CASE DATA'!A174)</f>
        <v/>
      </c>
      <c r="B174" s="62" t="str">
        <f>IF('CASE DATA'!A174&lt;&gt;"",IF('CASE DATA'!G174=0, "open charge", 'CASE DATA'!G174),"")</f>
        <v/>
      </c>
      <c r="C174" s="75">
        <f>IF(OR(B174="DISM", B174="JWV", B174="JUV", B174="CIV"), SUM('CASE DATA'!J174:S174), 'CASE DATA'!J174+'CASE DATA'!K174)</f>
        <v>0</v>
      </c>
      <c r="D174" s="76">
        <f>IF(OR(B174="DISM",B174="JWV",B174="JUV",B174="CIV"),0,SUM('CASE DATA'!L174:P174))</f>
        <v>0</v>
      </c>
      <c r="E174" s="77">
        <f>IF(OR(B174="DISM", B174="JWV", B174="JUV", B174="CIV"), 0, 'CASE DATA'!Q174)</f>
        <v>0</v>
      </c>
      <c r="F174" s="78">
        <f>IF(OR(B174="DISM", B174="JWV", B174="JUV", B174="CIV"), 0, 'CASE DATA'!R174+'CASE DATA'!S174)</f>
        <v>0</v>
      </c>
    </row>
    <row r="175" spans="1:6" x14ac:dyDescent="0.25">
      <c r="A175" s="57" t="str">
        <f>IF('CASE DATA'!A175="","",'CASE DATA'!A175)</f>
        <v/>
      </c>
      <c r="B175" s="62" t="str">
        <f>IF('CASE DATA'!A175&lt;&gt;"",IF('CASE DATA'!G175=0, "open charge", 'CASE DATA'!G175),"")</f>
        <v/>
      </c>
      <c r="C175" s="75">
        <f>IF(OR(B175="DISM", B175="JWV", B175="JUV", B175="CIV"), SUM('CASE DATA'!J175:S175), 'CASE DATA'!J175+'CASE DATA'!K175)</f>
        <v>0</v>
      </c>
      <c r="D175" s="76">
        <f>IF(OR(B175="DISM",B175="JWV",B175="JUV",B175="CIV"),0,SUM('CASE DATA'!L175:P175))</f>
        <v>0</v>
      </c>
      <c r="E175" s="77">
        <f>IF(OR(B175="DISM", B175="JWV", B175="JUV", B175="CIV"), 0, 'CASE DATA'!Q175)</f>
        <v>0</v>
      </c>
      <c r="F175" s="78">
        <f>IF(OR(B175="DISM", B175="JWV", B175="JUV", B175="CIV"), 0, 'CASE DATA'!R175+'CASE DATA'!S175)</f>
        <v>0</v>
      </c>
    </row>
    <row r="176" spans="1:6" x14ac:dyDescent="0.25">
      <c r="A176" s="57" t="str">
        <f>IF('CASE DATA'!A176="","",'CASE DATA'!A176)</f>
        <v/>
      </c>
      <c r="B176" s="62" t="str">
        <f>IF('CASE DATA'!A176&lt;&gt;"",IF('CASE DATA'!G176=0, "open charge", 'CASE DATA'!G176),"")</f>
        <v/>
      </c>
      <c r="C176" s="75">
        <f>IF(OR(B176="DISM", B176="JWV", B176="JUV", B176="CIV"), SUM('CASE DATA'!J176:S176), 'CASE DATA'!J176+'CASE DATA'!K176)</f>
        <v>0</v>
      </c>
      <c r="D176" s="76">
        <f>IF(OR(B176="DISM",B176="JWV",B176="JUV",B176="CIV"),0,SUM('CASE DATA'!L176:P176))</f>
        <v>0</v>
      </c>
      <c r="E176" s="77">
        <f>IF(OR(B176="DISM", B176="JWV", B176="JUV", B176="CIV"), 0, 'CASE DATA'!Q176)</f>
        <v>0</v>
      </c>
      <c r="F176" s="78">
        <f>IF(OR(B176="DISM", B176="JWV", B176="JUV", B176="CIV"), 0, 'CASE DATA'!R176+'CASE DATA'!S176)</f>
        <v>0</v>
      </c>
    </row>
    <row r="177" spans="1:6" x14ac:dyDescent="0.25">
      <c r="A177" s="57" t="str">
        <f>IF('CASE DATA'!A177="","",'CASE DATA'!A177)</f>
        <v/>
      </c>
      <c r="B177" s="62" t="str">
        <f>IF('CASE DATA'!A177&lt;&gt;"",IF('CASE DATA'!G177=0, "open charge", 'CASE DATA'!G177),"")</f>
        <v/>
      </c>
      <c r="C177" s="75">
        <f>IF(OR(B177="DISM", B177="JWV", B177="JUV", B177="CIV"), SUM('CASE DATA'!J177:S177), 'CASE DATA'!J177+'CASE DATA'!K177)</f>
        <v>0</v>
      </c>
      <c r="D177" s="76">
        <f>IF(OR(B177="DISM",B177="JWV",B177="JUV",B177="CIV"),0,SUM('CASE DATA'!L177:P177))</f>
        <v>0</v>
      </c>
      <c r="E177" s="77">
        <f>IF(OR(B177="DISM", B177="JWV", B177="JUV", B177="CIV"), 0, 'CASE DATA'!Q177)</f>
        <v>0</v>
      </c>
      <c r="F177" s="78">
        <f>IF(OR(B177="DISM", B177="JWV", B177="JUV", B177="CIV"), 0, 'CASE DATA'!R177+'CASE DATA'!S177)</f>
        <v>0</v>
      </c>
    </row>
    <row r="178" spans="1:6" x14ac:dyDescent="0.25">
      <c r="A178" s="57" t="str">
        <f>IF('CASE DATA'!A178="","",'CASE DATA'!A178)</f>
        <v/>
      </c>
      <c r="B178" s="62" t="str">
        <f>IF('CASE DATA'!A178&lt;&gt;"",IF('CASE DATA'!G178=0, "open charge", 'CASE DATA'!G178),"")</f>
        <v/>
      </c>
      <c r="C178" s="75">
        <f>IF(OR(B178="DISM", B178="JWV", B178="JUV", B178="CIV"), SUM('CASE DATA'!J178:S178), 'CASE DATA'!J178+'CASE DATA'!K178)</f>
        <v>0</v>
      </c>
      <c r="D178" s="76">
        <f>IF(OR(B178="DISM",B178="JWV",B178="JUV",B178="CIV"),0,SUM('CASE DATA'!L178:P178))</f>
        <v>0</v>
      </c>
      <c r="E178" s="77">
        <f>IF(OR(B178="DISM", B178="JWV", B178="JUV", B178="CIV"), 0, 'CASE DATA'!Q178)</f>
        <v>0</v>
      </c>
      <c r="F178" s="78">
        <f>IF(OR(B178="DISM", B178="JWV", B178="JUV", B178="CIV"), 0, 'CASE DATA'!R178+'CASE DATA'!S178)</f>
        <v>0</v>
      </c>
    </row>
    <row r="179" spans="1:6" x14ac:dyDescent="0.25">
      <c r="A179" s="57" t="str">
        <f>IF('CASE DATA'!A179="","",'CASE DATA'!A179)</f>
        <v/>
      </c>
      <c r="B179" s="62" t="str">
        <f>IF('CASE DATA'!A179&lt;&gt;"",IF('CASE DATA'!G179=0, "open charge", 'CASE DATA'!G179),"")</f>
        <v/>
      </c>
      <c r="C179" s="75">
        <f>IF(OR(B179="DISM", B179="JWV", B179="JUV", B179="CIV"), SUM('CASE DATA'!J179:S179), 'CASE DATA'!J179+'CASE DATA'!K179)</f>
        <v>0</v>
      </c>
      <c r="D179" s="76">
        <f>IF(OR(B179="DISM",B179="JWV",B179="JUV",B179="CIV"),0,SUM('CASE DATA'!L179:P179))</f>
        <v>0</v>
      </c>
      <c r="E179" s="77">
        <f>IF(OR(B179="DISM", B179="JWV", B179="JUV", B179="CIV"), 0, 'CASE DATA'!Q179)</f>
        <v>0</v>
      </c>
      <c r="F179" s="78">
        <f>IF(OR(B179="DISM", B179="JWV", B179="JUV", B179="CIV"), 0, 'CASE DATA'!R179+'CASE DATA'!S179)</f>
        <v>0</v>
      </c>
    </row>
    <row r="180" spans="1:6" x14ac:dyDescent="0.25">
      <c r="A180" s="57" t="str">
        <f>IF('CASE DATA'!A180="","",'CASE DATA'!A180)</f>
        <v/>
      </c>
      <c r="B180" s="62" t="str">
        <f>IF('CASE DATA'!A180&lt;&gt;"",IF('CASE DATA'!G180=0, "open charge", 'CASE DATA'!G180),"")</f>
        <v/>
      </c>
      <c r="C180" s="75">
        <f>IF(OR(B180="DISM", B180="JWV", B180="JUV", B180="CIV"), SUM('CASE DATA'!J180:S180), 'CASE DATA'!J180+'CASE DATA'!K180)</f>
        <v>0</v>
      </c>
      <c r="D180" s="76">
        <f>IF(OR(B180="DISM",B180="JWV",B180="JUV",B180="CIV"),0,SUM('CASE DATA'!L180:P180))</f>
        <v>0</v>
      </c>
      <c r="E180" s="77">
        <f>IF(OR(B180="DISM", B180="JWV", B180="JUV", B180="CIV"), 0, 'CASE DATA'!Q180)</f>
        <v>0</v>
      </c>
      <c r="F180" s="78">
        <f>IF(OR(B180="DISM", B180="JWV", B180="JUV", B180="CIV"), 0, 'CASE DATA'!R180+'CASE DATA'!S180)</f>
        <v>0</v>
      </c>
    </row>
    <row r="181" spans="1:6" x14ac:dyDescent="0.25">
      <c r="A181" s="57" t="str">
        <f>IF('CASE DATA'!A181="","",'CASE DATA'!A181)</f>
        <v/>
      </c>
      <c r="B181" s="62" t="str">
        <f>IF('CASE DATA'!A181&lt;&gt;"",IF('CASE DATA'!G181=0, "open charge", 'CASE DATA'!G181),"")</f>
        <v/>
      </c>
      <c r="C181" s="75">
        <f>IF(OR(B181="DISM", B181="JWV", B181="JUV", B181="CIV"), SUM('CASE DATA'!J181:S181), 'CASE DATA'!J181+'CASE DATA'!K181)</f>
        <v>0</v>
      </c>
      <c r="D181" s="76">
        <f>IF(OR(B181="DISM",B181="JWV",B181="JUV",B181="CIV"),0,SUM('CASE DATA'!L181:P181))</f>
        <v>0</v>
      </c>
      <c r="E181" s="77">
        <f>IF(OR(B181="DISM", B181="JWV", B181="JUV", B181="CIV"), 0, 'CASE DATA'!Q181)</f>
        <v>0</v>
      </c>
      <c r="F181" s="78">
        <f>IF(OR(B181="DISM", B181="JWV", B181="JUV", B181="CIV"), 0, 'CASE DATA'!R181+'CASE DATA'!S181)</f>
        <v>0</v>
      </c>
    </row>
    <row r="182" spans="1:6" x14ac:dyDescent="0.25">
      <c r="A182" s="57" t="str">
        <f>IF('CASE DATA'!A182="","",'CASE DATA'!A182)</f>
        <v/>
      </c>
      <c r="B182" s="62" t="str">
        <f>IF('CASE DATA'!A182&lt;&gt;"",IF('CASE DATA'!G182=0, "open charge", 'CASE DATA'!G182),"")</f>
        <v/>
      </c>
      <c r="C182" s="75">
        <f>IF(OR(B182="DISM", B182="JWV", B182="JUV", B182="CIV"), SUM('CASE DATA'!J182:S182), 'CASE DATA'!J182+'CASE DATA'!K182)</f>
        <v>0</v>
      </c>
      <c r="D182" s="76">
        <f>IF(OR(B182="DISM",B182="JWV",B182="JUV",B182="CIV"),0,SUM('CASE DATA'!L182:P182))</f>
        <v>0</v>
      </c>
      <c r="E182" s="77">
        <f>IF(OR(B182="DISM", B182="JWV", B182="JUV", B182="CIV"), 0, 'CASE DATA'!Q182)</f>
        <v>0</v>
      </c>
      <c r="F182" s="78">
        <f>IF(OR(B182="DISM", B182="JWV", B182="JUV", B182="CIV"), 0, 'CASE DATA'!R182+'CASE DATA'!S182)</f>
        <v>0</v>
      </c>
    </row>
    <row r="183" spans="1:6" x14ac:dyDescent="0.25">
      <c r="A183" s="57" t="str">
        <f>IF('CASE DATA'!A183="","",'CASE DATA'!A183)</f>
        <v/>
      </c>
      <c r="B183" s="62" t="str">
        <f>IF('CASE DATA'!A183&lt;&gt;"",IF('CASE DATA'!G183=0, "open charge", 'CASE DATA'!G183),"")</f>
        <v/>
      </c>
      <c r="C183" s="75">
        <f>IF(OR(B183="DISM", B183="JWV", B183="JUV", B183="CIV"), SUM('CASE DATA'!J183:S183), 'CASE DATA'!J183+'CASE DATA'!K183)</f>
        <v>0</v>
      </c>
      <c r="D183" s="76">
        <f>IF(OR(B183="DISM",B183="JWV",B183="JUV",B183="CIV"),0,SUM('CASE DATA'!L183:P183))</f>
        <v>0</v>
      </c>
      <c r="E183" s="77">
        <f>IF(OR(B183="DISM", B183="JWV", B183="JUV", B183="CIV"), 0, 'CASE DATA'!Q183)</f>
        <v>0</v>
      </c>
      <c r="F183" s="78">
        <f>IF(OR(B183="DISM", B183="JWV", B183="JUV", B183="CIV"), 0, 'CASE DATA'!R183+'CASE DATA'!S183)</f>
        <v>0</v>
      </c>
    </row>
    <row r="184" spans="1:6" x14ac:dyDescent="0.25">
      <c r="A184" s="57" t="str">
        <f>IF('CASE DATA'!A184="","",'CASE DATA'!A184)</f>
        <v/>
      </c>
      <c r="B184" s="62" t="str">
        <f>IF('CASE DATA'!A184&lt;&gt;"",IF('CASE DATA'!G184=0, "open charge", 'CASE DATA'!G184),"")</f>
        <v/>
      </c>
      <c r="C184" s="75">
        <f>IF(OR(B184="DISM", B184="JWV", B184="JUV", B184="CIV"), SUM('CASE DATA'!J184:S184), 'CASE DATA'!J184+'CASE DATA'!K184)</f>
        <v>0</v>
      </c>
      <c r="D184" s="76">
        <f>IF(OR(B184="DISM",B184="JWV",B184="JUV",B184="CIV"),0,SUM('CASE DATA'!L184:P184))</f>
        <v>0</v>
      </c>
      <c r="E184" s="77">
        <f>IF(OR(B184="DISM", B184="JWV", B184="JUV", B184="CIV"), 0, 'CASE DATA'!Q184)</f>
        <v>0</v>
      </c>
      <c r="F184" s="78">
        <f>IF(OR(B184="DISM", B184="JWV", B184="JUV", B184="CIV"), 0, 'CASE DATA'!R184+'CASE DATA'!S184)</f>
        <v>0</v>
      </c>
    </row>
    <row r="185" spans="1:6" x14ac:dyDescent="0.25">
      <c r="A185" s="57" t="str">
        <f>IF('CASE DATA'!A185="","",'CASE DATA'!A185)</f>
        <v/>
      </c>
      <c r="B185" s="62" t="str">
        <f>IF('CASE DATA'!A185&lt;&gt;"",IF('CASE DATA'!G185=0, "open charge", 'CASE DATA'!G185),"")</f>
        <v/>
      </c>
      <c r="C185" s="75">
        <f>IF(OR(B185="DISM", B185="JWV", B185="JUV", B185="CIV"), SUM('CASE DATA'!J185:S185), 'CASE DATA'!J185+'CASE DATA'!K185)</f>
        <v>0</v>
      </c>
      <c r="D185" s="76">
        <f>IF(OR(B185="DISM",B185="JWV",B185="JUV",B185="CIV"),0,SUM('CASE DATA'!L185:P185))</f>
        <v>0</v>
      </c>
      <c r="E185" s="77">
        <f>IF(OR(B185="DISM", B185="JWV", B185="JUV", B185="CIV"), 0, 'CASE DATA'!Q185)</f>
        <v>0</v>
      </c>
      <c r="F185" s="78">
        <f>IF(OR(B185="DISM", B185="JWV", B185="JUV", B185="CIV"), 0, 'CASE DATA'!R185+'CASE DATA'!S185)</f>
        <v>0</v>
      </c>
    </row>
    <row r="186" spans="1:6" x14ac:dyDescent="0.25">
      <c r="A186" s="57" t="str">
        <f>IF('CASE DATA'!A186="","",'CASE DATA'!A186)</f>
        <v/>
      </c>
      <c r="B186" s="62" t="str">
        <f>IF('CASE DATA'!A186&lt;&gt;"",IF('CASE DATA'!G186=0, "open charge", 'CASE DATA'!G186),"")</f>
        <v/>
      </c>
      <c r="C186" s="75">
        <f>IF(OR(B186="DISM", B186="JWV", B186="JUV", B186="CIV"), SUM('CASE DATA'!J186:S186), 'CASE DATA'!J186+'CASE DATA'!K186)</f>
        <v>0</v>
      </c>
      <c r="D186" s="76">
        <f>IF(OR(B186="DISM",B186="JWV",B186="JUV",B186="CIV"),0,SUM('CASE DATA'!L186:P186))</f>
        <v>0</v>
      </c>
      <c r="E186" s="77">
        <f>IF(OR(B186="DISM", B186="JWV", B186="JUV", B186="CIV"), 0, 'CASE DATA'!Q186)</f>
        <v>0</v>
      </c>
      <c r="F186" s="78">
        <f>IF(OR(B186="DISM", B186="JWV", B186="JUV", B186="CIV"), 0, 'CASE DATA'!R186+'CASE DATA'!S186)</f>
        <v>0</v>
      </c>
    </row>
    <row r="187" spans="1:6" x14ac:dyDescent="0.25">
      <c r="A187" s="57" t="str">
        <f>IF('CASE DATA'!A187="","",'CASE DATA'!A187)</f>
        <v/>
      </c>
      <c r="B187" s="62" t="str">
        <f>IF('CASE DATA'!A187&lt;&gt;"",IF('CASE DATA'!G187=0, "open charge", 'CASE DATA'!G187),"")</f>
        <v/>
      </c>
      <c r="C187" s="75">
        <f>IF(OR(B187="DISM", B187="JWV", B187="JUV", B187="CIV"), SUM('CASE DATA'!J187:S187), 'CASE DATA'!J187+'CASE DATA'!K187)</f>
        <v>0</v>
      </c>
      <c r="D187" s="76">
        <f>IF(OR(B187="DISM",B187="JWV",B187="JUV",B187="CIV"),0,SUM('CASE DATA'!L187:P187))</f>
        <v>0</v>
      </c>
      <c r="E187" s="77">
        <f>IF(OR(B187="DISM", B187="JWV", B187="JUV", B187="CIV"), 0, 'CASE DATA'!Q187)</f>
        <v>0</v>
      </c>
      <c r="F187" s="78">
        <f>IF(OR(B187="DISM", B187="JWV", B187="JUV", B187="CIV"), 0, 'CASE DATA'!R187+'CASE DATA'!S187)</f>
        <v>0</v>
      </c>
    </row>
    <row r="188" spans="1:6" x14ac:dyDescent="0.25">
      <c r="A188" s="57" t="str">
        <f>IF('CASE DATA'!A188="","",'CASE DATA'!A188)</f>
        <v/>
      </c>
      <c r="B188" s="62" t="str">
        <f>IF('CASE DATA'!A188&lt;&gt;"",IF('CASE DATA'!G188=0, "open charge", 'CASE DATA'!G188),"")</f>
        <v/>
      </c>
      <c r="C188" s="75">
        <f>IF(OR(B188="DISM", B188="JWV", B188="JUV", B188="CIV"), SUM('CASE DATA'!J188:S188), 'CASE DATA'!J188+'CASE DATA'!K188)</f>
        <v>0</v>
      </c>
      <c r="D188" s="76">
        <f>IF(OR(B188="DISM",B188="JWV",B188="JUV",B188="CIV"),0,SUM('CASE DATA'!L188:P188))</f>
        <v>0</v>
      </c>
      <c r="E188" s="77">
        <f>IF(OR(B188="DISM", B188="JWV", B188="JUV", B188="CIV"), 0, 'CASE DATA'!Q188)</f>
        <v>0</v>
      </c>
      <c r="F188" s="78">
        <f>IF(OR(B188="DISM", B188="JWV", B188="JUV", B188="CIV"), 0, 'CASE DATA'!R188+'CASE DATA'!S188)</f>
        <v>0</v>
      </c>
    </row>
    <row r="189" spans="1:6" x14ac:dyDescent="0.25">
      <c r="A189" s="57" t="str">
        <f>IF('CASE DATA'!A189="","",'CASE DATA'!A189)</f>
        <v/>
      </c>
      <c r="B189" s="62" t="str">
        <f>IF('CASE DATA'!A189&lt;&gt;"",IF('CASE DATA'!G189=0, "open charge", 'CASE DATA'!G189),"")</f>
        <v/>
      </c>
      <c r="C189" s="75">
        <f>IF(OR(B189="DISM", B189="JWV", B189="JUV", B189="CIV"), SUM('CASE DATA'!J189:S189), 'CASE DATA'!J189+'CASE DATA'!K189)</f>
        <v>0</v>
      </c>
      <c r="D189" s="76">
        <f>IF(OR(B189="DISM",B189="JWV",B189="JUV",B189="CIV"),0,SUM('CASE DATA'!L189:P189))</f>
        <v>0</v>
      </c>
      <c r="E189" s="77">
        <f>IF(OR(B189="DISM", B189="JWV", B189="JUV", B189="CIV"), 0, 'CASE DATA'!Q189)</f>
        <v>0</v>
      </c>
      <c r="F189" s="78">
        <f>IF(OR(B189="DISM", B189="JWV", B189="JUV", B189="CIV"), 0, 'CASE DATA'!R189+'CASE DATA'!S189)</f>
        <v>0</v>
      </c>
    </row>
    <row r="190" spans="1:6" x14ac:dyDescent="0.25">
      <c r="A190" s="57" t="str">
        <f>IF('CASE DATA'!A190="","",'CASE DATA'!A190)</f>
        <v/>
      </c>
      <c r="B190" s="62" t="str">
        <f>IF('CASE DATA'!A190&lt;&gt;"",IF('CASE DATA'!G190=0, "open charge", 'CASE DATA'!G190),"")</f>
        <v/>
      </c>
      <c r="C190" s="75">
        <f>IF(OR(B190="DISM", B190="JWV", B190="JUV", B190="CIV"), SUM('CASE DATA'!J190:S190), 'CASE DATA'!J190+'CASE DATA'!K190)</f>
        <v>0</v>
      </c>
      <c r="D190" s="76">
        <f>IF(OR(B190="DISM",B190="JWV",B190="JUV",B190="CIV"),0,SUM('CASE DATA'!L190:P190))</f>
        <v>0</v>
      </c>
      <c r="E190" s="77">
        <f>IF(OR(B190="DISM", B190="JWV", B190="JUV", B190="CIV"), 0, 'CASE DATA'!Q190)</f>
        <v>0</v>
      </c>
      <c r="F190" s="78">
        <f>IF(OR(B190="DISM", B190="JWV", B190="JUV", B190="CIV"), 0, 'CASE DATA'!R190+'CASE DATA'!S190)</f>
        <v>0</v>
      </c>
    </row>
    <row r="191" spans="1:6" x14ac:dyDescent="0.25">
      <c r="A191" s="57" t="str">
        <f>IF('CASE DATA'!A191="","",'CASE DATA'!A191)</f>
        <v/>
      </c>
      <c r="B191" s="62" t="str">
        <f>IF('CASE DATA'!A191&lt;&gt;"",IF('CASE DATA'!G191=0, "open charge", 'CASE DATA'!G191),"")</f>
        <v/>
      </c>
      <c r="C191" s="75">
        <f>IF(OR(B191="DISM", B191="JWV", B191="JUV", B191="CIV"), SUM('CASE DATA'!J191:S191), 'CASE DATA'!J191+'CASE DATA'!K191)</f>
        <v>0</v>
      </c>
      <c r="D191" s="76">
        <f>IF(OR(B191="DISM",B191="JWV",B191="JUV",B191="CIV"),0,SUM('CASE DATA'!L191:P191))</f>
        <v>0</v>
      </c>
      <c r="E191" s="77">
        <f>IF(OR(B191="DISM", B191="JWV", B191="JUV", B191="CIV"), 0, 'CASE DATA'!Q191)</f>
        <v>0</v>
      </c>
      <c r="F191" s="78">
        <f>IF(OR(B191="DISM", B191="JWV", B191="JUV", B191="CIV"), 0, 'CASE DATA'!R191+'CASE DATA'!S191)</f>
        <v>0</v>
      </c>
    </row>
    <row r="192" spans="1:6" x14ac:dyDescent="0.25">
      <c r="A192" s="57" t="str">
        <f>IF('CASE DATA'!A192="","",'CASE DATA'!A192)</f>
        <v/>
      </c>
      <c r="B192" s="62" t="str">
        <f>IF('CASE DATA'!A192&lt;&gt;"",IF('CASE DATA'!G192=0, "open charge", 'CASE DATA'!G192),"")</f>
        <v/>
      </c>
      <c r="C192" s="75">
        <f>IF(OR(B192="DISM", B192="JWV", B192="JUV", B192="CIV"), SUM('CASE DATA'!J192:S192), 'CASE DATA'!J192+'CASE DATA'!K192)</f>
        <v>0</v>
      </c>
      <c r="D192" s="76">
        <f>IF(OR(B192="DISM",B192="JWV",B192="JUV",B192="CIV"),0,SUM('CASE DATA'!L192:P192))</f>
        <v>0</v>
      </c>
      <c r="E192" s="77">
        <f>IF(OR(B192="DISM", B192="JWV", B192="JUV", B192="CIV"), 0, 'CASE DATA'!Q192)</f>
        <v>0</v>
      </c>
      <c r="F192" s="78">
        <f>IF(OR(B192="DISM", B192="JWV", B192="JUV", B192="CIV"), 0, 'CASE DATA'!R192+'CASE DATA'!S192)</f>
        <v>0</v>
      </c>
    </row>
    <row r="193" spans="1:6" x14ac:dyDescent="0.25">
      <c r="A193" s="57" t="str">
        <f>IF('CASE DATA'!A193="","",'CASE DATA'!A193)</f>
        <v/>
      </c>
      <c r="B193" s="62" t="str">
        <f>IF('CASE DATA'!A193&lt;&gt;"",IF('CASE DATA'!G193=0, "open charge", 'CASE DATA'!G193),"")</f>
        <v/>
      </c>
      <c r="C193" s="75">
        <f>IF(OR(B193="DISM", B193="JWV", B193="JUV", B193="CIV"), SUM('CASE DATA'!J193:S193), 'CASE DATA'!J193+'CASE DATA'!K193)</f>
        <v>0</v>
      </c>
      <c r="D193" s="76">
        <f>IF(OR(B193="DISM",B193="JWV",B193="JUV",B193="CIV"),0,SUM('CASE DATA'!L193:P193))</f>
        <v>0</v>
      </c>
      <c r="E193" s="77">
        <f>IF(OR(B193="DISM", B193="JWV", B193="JUV", B193="CIV"), 0, 'CASE DATA'!Q193)</f>
        <v>0</v>
      </c>
      <c r="F193" s="78">
        <f>IF(OR(B193="DISM", B193="JWV", B193="JUV", B193="CIV"), 0, 'CASE DATA'!R193+'CASE DATA'!S193)</f>
        <v>0</v>
      </c>
    </row>
    <row r="194" spans="1:6" x14ac:dyDescent="0.25">
      <c r="A194" s="57" t="str">
        <f>IF('CASE DATA'!A194="","",'CASE DATA'!A194)</f>
        <v/>
      </c>
      <c r="B194" s="62" t="str">
        <f>IF('CASE DATA'!A194&lt;&gt;"",IF('CASE DATA'!G194=0, "open charge", 'CASE DATA'!G194),"")</f>
        <v/>
      </c>
      <c r="C194" s="75">
        <f>IF(OR(B194="DISM", B194="JWV", B194="JUV", B194="CIV"), SUM('CASE DATA'!J194:S194), 'CASE DATA'!J194+'CASE DATA'!K194)</f>
        <v>0</v>
      </c>
      <c r="D194" s="76">
        <f>IF(OR(B194="DISM",B194="JWV",B194="JUV",B194="CIV"),0,SUM('CASE DATA'!L194:P194))</f>
        <v>0</v>
      </c>
      <c r="E194" s="77">
        <f>IF(OR(B194="DISM", B194="JWV", B194="JUV", B194="CIV"), 0, 'CASE DATA'!Q194)</f>
        <v>0</v>
      </c>
      <c r="F194" s="78">
        <f>IF(OR(B194="DISM", B194="JWV", B194="JUV", B194="CIV"), 0, 'CASE DATA'!R194+'CASE DATA'!S194)</f>
        <v>0</v>
      </c>
    </row>
    <row r="195" spans="1:6" x14ac:dyDescent="0.25">
      <c r="A195" s="57" t="str">
        <f>IF('CASE DATA'!A195="","",'CASE DATA'!A195)</f>
        <v/>
      </c>
      <c r="B195" s="62" t="str">
        <f>IF('CASE DATA'!A195&lt;&gt;"",IF('CASE DATA'!G195=0, "open charge", 'CASE DATA'!G195),"")</f>
        <v/>
      </c>
      <c r="C195" s="75">
        <f>IF(OR(B195="DISM", B195="JWV", B195="JUV", B195="CIV"), SUM('CASE DATA'!J195:S195), 'CASE DATA'!J195+'CASE DATA'!K195)</f>
        <v>0</v>
      </c>
      <c r="D195" s="76">
        <f>IF(OR(B195="DISM",B195="JWV",B195="JUV",B195="CIV"),0,SUM('CASE DATA'!L195:P195))</f>
        <v>0</v>
      </c>
      <c r="E195" s="77">
        <f>IF(OR(B195="DISM", B195="JWV", B195="JUV", B195="CIV"), 0, 'CASE DATA'!Q195)</f>
        <v>0</v>
      </c>
      <c r="F195" s="78">
        <f>IF(OR(B195="DISM", B195="JWV", B195="JUV", B195="CIV"), 0, 'CASE DATA'!R195+'CASE DATA'!S195)</f>
        <v>0</v>
      </c>
    </row>
    <row r="196" spans="1:6" x14ac:dyDescent="0.25">
      <c r="A196" s="57" t="str">
        <f>IF('CASE DATA'!A196="","",'CASE DATA'!A196)</f>
        <v/>
      </c>
      <c r="B196" s="62" t="str">
        <f>IF('CASE DATA'!A196&lt;&gt;"",IF('CASE DATA'!G196=0, "open charge", 'CASE DATA'!G196),"")</f>
        <v/>
      </c>
      <c r="C196" s="75">
        <f>IF(OR(B196="DISM", B196="JWV", B196="JUV", B196="CIV"), SUM('CASE DATA'!J196:S196), 'CASE DATA'!J196+'CASE DATA'!K196)</f>
        <v>0</v>
      </c>
      <c r="D196" s="76">
        <f>IF(OR(B196="DISM",B196="JWV",B196="JUV",B196="CIV"),0,SUM('CASE DATA'!L196:P196))</f>
        <v>0</v>
      </c>
      <c r="E196" s="77">
        <f>IF(OR(B196="DISM", B196="JWV", B196="JUV", B196="CIV"), 0, 'CASE DATA'!Q196)</f>
        <v>0</v>
      </c>
      <c r="F196" s="78">
        <f>IF(OR(B196="DISM", B196="JWV", B196="JUV", B196="CIV"), 0, 'CASE DATA'!R196+'CASE DATA'!S196)</f>
        <v>0</v>
      </c>
    </row>
    <row r="197" spans="1:6" x14ac:dyDescent="0.25">
      <c r="A197" s="57" t="str">
        <f>IF('CASE DATA'!A197="","",'CASE DATA'!A197)</f>
        <v/>
      </c>
      <c r="B197" s="62" t="str">
        <f>IF('CASE DATA'!A197&lt;&gt;"",IF('CASE DATA'!G197=0, "open charge", 'CASE DATA'!G197),"")</f>
        <v/>
      </c>
      <c r="C197" s="75">
        <f>IF(OR(B197="DISM", B197="JWV", B197="JUV", B197="CIV"), SUM('CASE DATA'!J197:S197), 'CASE DATA'!J197+'CASE DATA'!K197)</f>
        <v>0</v>
      </c>
      <c r="D197" s="76">
        <f>IF(OR(B197="DISM",B197="JWV",B197="JUV",B197="CIV"),0,SUM('CASE DATA'!L197:P197))</f>
        <v>0</v>
      </c>
      <c r="E197" s="77">
        <f>IF(OR(B197="DISM", B197="JWV", B197="JUV", B197="CIV"), 0, 'CASE DATA'!Q197)</f>
        <v>0</v>
      </c>
      <c r="F197" s="78">
        <f>IF(OR(B197="DISM", B197="JWV", B197="JUV", B197="CIV"), 0, 'CASE DATA'!R197+'CASE DATA'!S197)</f>
        <v>0</v>
      </c>
    </row>
    <row r="198" spans="1:6" x14ac:dyDescent="0.25">
      <c r="A198" s="57" t="str">
        <f>IF('CASE DATA'!A198="","",'CASE DATA'!A198)</f>
        <v/>
      </c>
      <c r="B198" s="62" t="str">
        <f>IF('CASE DATA'!A198&lt;&gt;"",IF('CASE DATA'!G198=0, "open charge", 'CASE DATA'!G198),"")</f>
        <v/>
      </c>
      <c r="C198" s="75">
        <f>IF(OR(B198="DISM", B198="JWV", B198="JUV", B198="CIV"), SUM('CASE DATA'!J198:S198), 'CASE DATA'!J198+'CASE DATA'!K198)</f>
        <v>0</v>
      </c>
      <c r="D198" s="76">
        <f>IF(OR(B198="DISM",B198="JWV",B198="JUV",B198="CIV"),0,SUM('CASE DATA'!L198:P198))</f>
        <v>0</v>
      </c>
      <c r="E198" s="77">
        <f>IF(OR(B198="DISM", B198="JWV", B198="JUV", B198="CIV"), 0, 'CASE DATA'!Q198)</f>
        <v>0</v>
      </c>
      <c r="F198" s="78">
        <f>IF(OR(B198="DISM", B198="JWV", B198="JUV", B198="CIV"), 0, 'CASE DATA'!R198+'CASE DATA'!S198)</f>
        <v>0</v>
      </c>
    </row>
    <row r="199" spans="1:6" x14ac:dyDescent="0.25">
      <c r="A199" s="57" t="str">
        <f>IF('CASE DATA'!A199="","",'CASE DATA'!A199)</f>
        <v/>
      </c>
      <c r="B199" s="62" t="str">
        <f>IF('CASE DATA'!A199&lt;&gt;"",IF('CASE DATA'!G199=0, "open charge", 'CASE DATA'!G199),"")</f>
        <v/>
      </c>
      <c r="C199" s="75">
        <f>IF(OR(B199="DISM", B199="JWV", B199="JUV", B199="CIV"), SUM('CASE DATA'!J199:S199), 'CASE DATA'!J199+'CASE DATA'!K199)</f>
        <v>0</v>
      </c>
      <c r="D199" s="76">
        <f>IF(OR(B199="DISM",B199="JWV",B199="JUV",B199="CIV"),0,SUM('CASE DATA'!L199:P199))</f>
        <v>0</v>
      </c>
      <c r="E199" s="77">
        <f>IF(OR(B199="DISM", B199="JWV", B199="JUV", B199="CIV"), 0, 'CASE DATA'!Q199)</f>
        <v>0</v>
      </c>
      <c r="F199" s="78">
        <f>IF(OR(B199="DISM", B199="JWV", B199="JUV", B199="CIV"), 0, 'CASE DATA'!R199+'CASE DATA'!S199)</f>
        <v>0</v>
      </c>
    </row>
    <row r="200" spans="1:6" x14ac:dyDescent="0.25">
      <c r="A200" s="57" t="str">
        <f>IF('CASE DATA'!A200="","",'CASE DATA'!A200)</f>
        <v/>
      </c>
      <c r="B200" s="62" t="str">
        <f>IF('CASE DATA'!A200&lt;&gt;"",IF('CASE DATA'!G200=0, "open charge", 'CASE DATA'!G200),"")</f>
        <v/>
      </c>
      <c r="C200" s="75">
        <f>IF(OR(B200="DISM", B200="JWV", B200="JUV", B200="CIV"), SUM('CASE DATA'!J200:S200), 'CASE DATA'!J200+'CASE DATA'!K200)</f>
        <v>0</v>
      </c>
      <c r="D200" s="76">
        <f>IF(OR(B200="DISM",B200="JWV",B200="JUV",B200="CIV"),0,SUM('CASE DATA'!L200:P200))</f>
        <v>0</v>
      </c>
      <c r="E200" s="77">
        <f>IF(OR(B200="DISM", B200="JWV", B200="JUV", B200="CIV"), 0, 'CASE DATA'!Q200)</f>
        <v>0</v>
      </c>
      <c r="F200" s="78">
        <f>IF(OR(B200="DISM", B200="JWV", B200="JUV", B200="CIV"), 0, 'CASE DATA'!R200+'CASE DATA'!S200)</f>
        <v>0</v>
      </c>
    </row>
    <row r="201" spans="1:6" x14ac:dyDescent="0.25">
      <c r="A201" s="57" t="str">
        <f>IF('CASE DATA'!A201="","",'CASE DATA'!A201)</f>
        <v/>
      </c>
      <c r="B201" s="62" t="str">
        <f>IF('CASE DATA'!A201&lt;&gt;"",IF('CASE DATA'!G201=0, "open charge", 'CASE DATA'!G201),"")</f>
        <v/>
      </c>
      <c r="C201" s="75">
        <f>IF(OR(B201="DISM", B201="JWV", B201="JUV", B201="CIV"), SUM('CASE DATA'!J201:S201), 'CASE DATA'!J201+'CASE DATA'!K201)</f>
        <v>0</v>
      </c>
      <c r="D201" s="76">
        <f>IF(OR(B201="DISM",B201="JWV",B201="JUV",B201="CIV"),0,SUM('CASE DATA'!L201:P201))</f>
        <v>0</v>
      </c>
      <c r="E201" s="77">
        <f>IF(OR(B201="DISM", B201="JWV", B201="JUV", B201="CIV"), 0, 'CASE DATA'!Q201)</f>
        <v>0</v>
      </c>
      <c r="F201" s="78">
        <f>IF(OR(B201="DISM", B201="JWV", B201="JUV", B201="CIV"), 0, 'CASE DATA'!R201+'CASE DATA'!S201)</f>
        <v>0</v>
      </c>
    </row>
  </sheetData>
  <autoFilter ref="A3:G3" xr:uid="{00000000-0009-0000-0000-000003000000}"/>
  <mergeCells count="2">
    <mergeCell ref="A1:B1"/>
    <mergeCell ref="B2:F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A6" sqref="A6"/>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79" t="s">
        <v>43</v>
      </c>
      <c r="B1" s="80" t="s">
        <v>73</v>
      </c>
      <c r="C1" s="81" t="s">
        <v>74</v>
      </c>
      <c r="D1" s="81" t="s">
        <v>75</v>
      </c>
    </row>
    <row r="2" spans="1:5" x14ac:dyDescent="0.25">
      <c r="A2" s="57" t="str">
        <f>IF('CASE DATA'!A4="","",'CASE DATA'!A4)</f>
        <v/>
      </c>
      <c r="B2" s="57">
        <f>'CASE DATA'!B4</f>
        <v>0</v>
      </c>
      <c r="C2" s="57" t="str">
        <f>IF(SUM('CASE DATA'!J4:S4)&gt;0,IF(OR('CASE DATA'!G4="GTR",'CASE DATA'!G4="GPL",'CASE DATA'!G4="DEF"),IF('CASE DATA'!H4="YES","License &amp; registration","Registration only"),"Z - Neither license nor registration"),"Z - no debt")</f>
        <v>Z - no debt</v>
      </c>
      <c r="D2" s="82">
        <v>500</v>
      </c>
      <c r="E2" s="32"/>
    </row>
    <row r="3" spans="1:5" x14ac:dyDescent="0.25">
      <c r="A3" s="57" t="str">
        <f>IF('CASE DATA'!A5="","",'CASE DATA'!A5)</f>
        <v/>
      </c>
      <c r="B3" s="57">
        <f>'CASE DATA'!B5</f>
        <v>0</v>
      </c>
      <c r="C3" s="57" t="str">
        <f>IF(SUM('CASE DATA'!J5:S5)&gt;0,IF(OR('CASE DATA'!G5="GTR",'CASE DATA'!G5="GPL",'CASE DATA'!G5="DEF"),IF('CASE DATA'!H5="YES","License &amp; registration","Registration only"),"Z - Neither license nor registration"),"Z - no debt")</f>
        <v>Z - no debt</v>
      </c>
      <c r="D3" s="82">
        <f>SUM('CASE DATA'!J5:S5)</f>
        <v>0</v>
      </c>
      <c r="E3" s="32"/>
    </row>
    <row r="4" spans="1:5" x14ac:dyDescent="0.25">
      <c r="A4" s="57" t="str">
        <f>IF('CASE DATA'!A6="","",'CASE DATA'!A6)</f>
        <v/>
      </c>
      <c r="B4" s="57">
        <f>'CASE DATA'!B6</f>
        <v>0</v>
      </c>
      <c r="C4" s="57" t="str">
        <f>IF(SUM('CASE DATA'!J6:S6)&gt;0,IF(OR('CASE DATA'!G6="GTR",'CASE DATA'!G6="GPL",'CASE DATA'!G6="DEF"),IF('CASE DATA'!H6="YES","License &amp; registration","Registration only"),"Z - Neither license nor registration"),"Z - no debt")</f>
        <v>Z - no debt</v>
      </c>
      <c r="D4" s="82">
        <f>SUM('CASE DATA'!J6:S6)</f>
        <v>0</v>
      </c>
      <c r="E4" s="32"/>
    </row>
    <row r="5" spans="1:5" x14ac:dyDescent="0.25">
      <c r="A5" s="57" t="str">
        <f>IF('CASE DATA'!A7="","",'CASE DATA'!A7)</f>
        <v/>
      </c>
      <c r="B5" s="57">
        <f>'CASE DATA'!B7</f>
        <v>0</v>
      </c>
      <c r="C5" s="57" t="str">
        <f>IF(SUM('CASE DATA'!J7:S7)&gt;0,IF(OR('CASE DATA'!G7="GTR",'CASE DATA'!G7="GPL",'CASE DATA'!G7="DEF"),IF('CASE DATA'!H7="YES","License &amp; registration","Registration only"),"Z - Neither license nor registration"),"Z - no debt")</f>
        <v>Z - no debt</v>
      </c>
      <c r="D5" s="82">
        <f>SUM('CASE DATA'!J7:S7)</f>
        <v>0</v>
      </c>
      <c r="E5" s="32"/>
    </row>
    <row r="6" spans="1:5" x14ac:dyDescent="0.25">
      <c r="A6" s="57" t="str">
        <f>IF('CASE DATA'!A8="","",'CASE DATA'!A8)</f>
        <v/>
      </c>
      <c r="B6" s="57">
        <f>'CASE DATA'!B8</f>
        <v>0</v>
      </c>
      <c r="C6" s="57" t="str">
        <f>IF(SUM('CASE DATA'!J8:S8)&gt;0,IF(OR('CASE DATA'!G8="GTR",'CASE DATA'!G8="GPL",'CASE DATA'!G8="DEF"),IF('CASE DATA'!H8="YES","License &amp; registration","Registration only"),"Z - Neither license nor registration"),"Z - no debt")</f>
        <v>Z - no debt</v>
      </c>
      <c r="D6" s="82">
        <f>SUM('CASE DATA'!J8:S8)</f>
        <v>0</v>
      </c>
      <c r="E6" s="32"/>
    </row>
    <row r="7" spans="1:5" x14ac:dyDescent="0.25">
      <c r="A7" s="57" t="str">
        <f>IF('CASE DATA'!A9="","",'CASE DATA'!A9)</f>
        <v/>
      </c>
      <c r="B7" s="57">
        <f>'CASE DATA'!B9</f>
        <v>0</v>
      </c>
      <c r="C7" s="57" t="str">
        <f>IF(SUM('CASE DATA'!J9:S9)&gt;0,IF(OR('CASE DATA'!G9="GTR",'CASE DATA'!G9="GPL",'CASE DATA'!G9="DEF"),IF('CASE DATA'!H9="YES","License &amp; registration","Registration only"),"Z - Neither license nor registration"),"Z - no debt")</f>
        <v>Z - no debt</v>
      </c>
      <c r="D7" s="82">
        <f>SUM('CASE DATA'!J9:S9)</f>
        <v>0</v>
      </c>
      <c r="E7" s="32"/>
    </row>
    <row r="8" spans="1:5" x14ac:dyDescent="0.25">
      <c r="A8" s="57" t="str">
        <f>IF('CASE DATA'!A10="","",'CASE DATA'!A10)</f>
        <v/>
      </c>
      <c r="B8" s="57">
        <f>'CASE DATA'!B10</f>
        <v>0</v>
      </c>
      <c r="C8" s="57" t="str">
        <f>IF(SUM('CASE DATA'!J10:S10)&gt;0,IF(OR('CASE DATA'!G10="GTR",'CASE DATA'!G10="GPL",'CASE DATA'!G10="DEF"),IF('CASE DATA'!H10="YES","License &amp; registration","Registration only"),"Z - Neither license nor registration"),"Z - no debt")</f>
        <v>Z - no debt</v>
      </c>
      <c r="D8" s="82">
        <f>SUM('CASE DATA'!J10:S10)</f>
        <v>0</v>
      </c>
      <c r="E8" s="32"/>
    </row>
    <row r="9" spans="1:5" x14ac:dyDescent="0.25">
      <c r="A9" s="57" t="str">
        <f>IF('CASE DATA'!A11="","",'CASE DATA'!A11)</f>
        <v/>
      </c>
      <c r="B9" s="57">
        <f>'CASE DATA'!B11</f>
        <v>0</v>
      </c>
      <c r="C9" s="57" t="str">
        <f>IF(SUM('CASE DATA'!J11:S11)&gt;0,IF(OR('CASE DATA'!G11="GTR",'CASE DATA'!G11="GPL",'CASE DATA'!G11="DEF"),IF('CASE DATA'!H11="YES","License &amp; registration","Registration only"),"Z - Neither license nor registration"),"Z - no debt")</f>
        <v>Z - no debt</v>
      </c>
      <c r="D9" s="82">
        <f>SUM('CASE DATA'!J11:S11)</f>
        <v>0</v>
      </c>
      <c r="E9" s="32"/>
    </row>
    <row r="10" spans="1:5" x14ac:dyDescent="0.25">
      <c r="A10" s="57" t="str">
        <f>IF('CASE DATA'!A12="","",'CASE DATA'!A12)</f>
        <v/>
      </c>
      <c r="B10" s="57">
        <f>'CASE DATA'!B12</f>
        <v>0</v>
      </c>
      <c r="C10" s="57" t="str">
        <f>IF(SUM('CASE DATA'!J12:S12)&gt;0,IF(OR('CASE DATA'!G12="GTR",'CASE DATA'!G12="GPL",'CASE DATA'!G12="DEF"),IF('CASE DATA'!H12="YES","License &amp; registration","Registration only"),"Z - Neither license nor registration"),"Z - no debt")</f>
        <v>Z - no debt</v>
      </c>
      <c r="D10" s="82">
        <f>SUM('CASE DATA'!J12:S12)</f>
        <v>0</v>
      </c>
      <c r="E10" s="32"/>
    </row>
    <row r="11" spans="1:5" x14ac:dyDescent="0.25">
      <c r="A11" s="57" t="str">
        <f>IF('CASE DATA'!A13="","",'CASE DATA'!A13)</f>
        <v/>
      </c>
      <c r="B11" s="57">
        <f>'CASE DATA'!B13</f>
        <v>0</v>
      </c>
      <c r="C11" s="57" t="str">
        <f>IF(SUM('CASE DATA'!J13:S13)&gt;0,IF(OR('CASE DATA'!G13="GTR",'CASE DATA'!G13="GPL",'CASE DATA'!G13="DEF"),IF('CASE DATA'!H13="YES","License &amp; registration","Registration only"),"Z - Neither license nor registration"),"Z - no debt")</f>
        <v>Z - no debt</v>
      </c>
      <c r="D11" s="82">
        <f>SUM('CASE DATA'!J13:S13)</f>
        <v>0</v>
      </c>
      <c r="E11" s="32"/>
    </row>
    <row r="12" spans="1:5" x14ac:dyDescent="0.25">
      <c r="A12" s="57" t="str">
        <f>IF('CASE DATA'!A14="","",'CASE DATA'!A14)</f>
        <v/>
      </c>
      <c r="B12" s="57">
        <f>'CASE DATA'!B14</f>
        <v>0</v>
      </c>
      <c r="C12" s="57" t="str">
        <f>IF(SUM('CASE DATA'!J14:S14)&gt;0,IF(OR('CASE DATA'!G14="GTR",'CASE DATA'!G14="GPL",'CASE DATA'!G14="DEF"),IF('CASE DATA'!H14="YES","License &amp; registration","Registration only"),"Z - Neither license nor registration"),"Z - no debt")</f>
        <v>Z - no debt</v>
      </c>
      <c r="D12" s="82">
        <f>SUM('CASE DATA'!J14:S14)</f>
        <v>0</v>
      </c>
      <c r="E12" s="32"/>
    </row>
    <row r="13" spans="1:5" x14ac:dyDescent="0.25">
      <c r="A13" s="57" t="str">
        <f>IF('CASE DATA'!A15="","",'CASE DATA'!A15)</f>
        <v/>
      </c>
      <c r="B13" s="57">
        <f>'CASE DATA'!B15</f>
        <v>0</v>
      </c>
      <c r="C13" s="57" t="str">
        <f>IF(SUM('CASE DATA'!J15:S15)&gt;0,IF(OR('CASE DATA'!G15="GTR",'CASE DATA'!G15="GPL",'CASE DATA'!G15="DEF"),IF('CASE DATA'!H15="YES","License &amp; registration","Registration only"),"Z - Neither license nor registration"),"Z - no debt")</f>
        <v>Z - no debt</v>
      </c>
      <c r="D13" s="82">
        <f>SUM('CASE DATA'!J15:S15)</f>
        <v>0</v>
      </c>
      <c r="E13" s="32"/>
    </row>
    <row r="14" spans="1:5" x14ac:dyDescent="0.25">
      <c r="A14" s="57" t="str">
        <f>IF('CASE DATA'!A16="","",'CASE DATA'!A16)</f>
        <v/>
      </c>
      <c r="B14" s="57">
        <f>'CASE DATA'!B16</f>
        <v>0</v>
      </c>
      <c r="C14" s="57" t="str">
        <f>IF(SUM('CASE DATA'!J16:S16)&gt;0,IF(OR('CASE DATA'!G16="GTR",'CASE DATA'!G16="GPL",'CASE DATA'!G16="DEF"),IF('CASE DATA'!H16="YES","License &amp; registration","Registration only"),"Z - Neither license nor registration"),"Z - no debt")</f>
        <v>Z - no debt</v>
      </c>
      <c r="D14" s="82">
        <f>SUM('CASE DATA'!J16:S16)</f>
        <v>0</v>
      </c>
      <c r="E14" s="32"/>
    </row>
    <row r="15" spans="1:5" x14ac:dyDescent="0.25">
      <c r="A15" s="57" t="str">
        <f>IF('CASE DATA'!A17="","",'CASE DATA'!A17)</f>
        <v/>
      </c>
      <c r="B15" s="57">
        <f>'CASE DATA'!B17</f>
        <v>0</v>
      </c>
      <c r="C15" s="57" t="str">
        <f>IF(SUM('CASE DATA'!J17:S17)&gt;0,IF(OR('CASE DATA'!G17="GTR",'CASE DATA'!G17="GPL",'CASE DATA'!G17="DEF"),IF('CASE DATA'!H17="YES","License &amp; registration","Registration only"),"Z - Neither license nor registration"),"Z - no debt")</f>
        <v>Z - no debt</v>
      </c>
      <c r="D15" s="82">
        <f>SUM('CASE DATA'!J17:S17)</f>
        <v>0</v>
      </c>
      <c r="E15" s="32"/>
    </row>
    <row r="16" spans="1:5" x14ac:dyDescent="0.25">
      <c r="A16" s="57" t="str">
        <f>IF('CASE DATA'!A18="","",'CASE DATA'!A18)</f>
        <v/>
      </c>
      <c r="B16" s="57">
        <f>'CASE DATA'!B18</f>
        <v>0</v>
      </c>
      <c r="C16" s="57" t="str">
        <f>IF(SUM('CASE DATA'!J18:S18)&gt;0,IF(OR('CASE DATA'!G18="GTR",'CASE DATA'!G18="GPL",'CASE DATA'!G18="DEF"),IF('CASE DATA'!H18="YES","License &amp; registration","Registration only"),"Z - Neither license nor registration"),"Z - no debt")</f>
        <v>Z - no debt</v>
      </c>
      <c r="D16" s="82">
        <f>SUM('CASE DATA'!J18:S18)</f>
        <v>0</v>
      </c>
      <c r="E16" s="32"/>
    </row>
    <row r="17" spans="1:5" x14ac:dyDescent="0.25">
      <c r="A17" s="57" t="str">
        <f>IF('CASE DATA'!A19="","",'CASE DATA'!A19)</f>
        <v/>
      </c>
      <c r="B17" s="57">
        <f>'CASE DATA'!B19</f>
        <v>0</v>
      </c>
      <c r="C17" s="57" t="str">
        <f>IF(SUM('CASE DATA'!J19:S19)&gt;0,IF(OR('CASE DATA'!G19="GTR",'CASE DATA'!G19="GPL",'CASE DATA'!G19="DEF"),IF('CASE DATA'!H19="YES","License &amp; registration","Registration only"),"Z - Neither license nor registration"),"Z - no debt")</f>
        <v>Z - no debt</v>
      </c>
      <c r="D17" s="82">
        <f>SUM('CASE DATA'!J19:S19)</f>
        <v>0</v>
      </c>
      <c r="E17" s="32"/>
    </row>
    <row r="18" spans="1:5" x14ac:dyDescent="0.25">
      <c r="A18" s="57" t="str">
        <f>IF('CASE DATA'!A20="","",'CASE DATA'!A20)</f>
        <v/>
      </c>
      <c r="B18" s="57">
        <f>'CASE DATA'!B20</f>
        <v>0</v>
      </c>
      <c r="C18" s="57" t="str">
        <f>IF(SUM('CASE DATA'!J20:S20)&gt;0,IF(OR('CASE DATA'!G20="GTR",'CASE DATA'!G20="GPL",'CASE DATA'!G20="DEF"),IF('CASE DATA'!H20="YES","License &amp; registration","Registration only"),"Z - Neither license nor registration"),"Z - no debt")</f>
        <v>Z - no debt</v>
      </c>
      <c r="D18" s="82">
        <f>SUM('CASE DATA'!J20:S20)</f>
        <v>0</v>
      </c>
      <c r="E18" s="32"/>
    </row>
    <row r="19" spans="1:5" x14ac:dyDescent="0.25">
      <c r="A19" s="57" t="str">
        <f>IF('CASE DATA'!A21="","",'CASE DATA'!A21)</f>
        <v/>
      </c>
      <c r="B19" s="57">
        <f>'CASE DATA'!B21</f>
        <v>0</v>
      </c>
      <c r="C19" s="57" t="str">
        <f>IF(SUM('CASE DATA'!J21:S21)&gt;0,IF(OR('CASE DATA'!G21="GTR",'CASE DATA'!G21="GPL",'CASE DATA'!G21="DEF"),IF('CASE DATA'!H21="YES","License &amp; registration","Registration only"),"Z - Neither license nor registration"),"Z - no debt")</f>
        <v>Z - no debt</v>
      </c>
      <c r="D19" s="82">
        <f>SUM('CASE DATA'!J21:S21)</f>
        <v>0</v>
      </c>
      <c r="E19" s="32"/>
    </row>
    <row r="20" spans="1:5" x14ac:dyDescent="0.25">
      <c r="A20" s="57" t="str">
        <f>IF('CASE DATA'!A22="","",'CASE DATA'!A22)</f>
        <v/>
      </c>
      <c r="B20" s="57">
        <f>'CASE DATA'!B22</f>
        <v>0</v>
      </c>
      <c r="C20" s="57" t="str">
        <f>IF(SUM('CASE DATA'!J22:S22)&gt;0,IF(OR('CASE DATA'!G22="GTR",'CASE DATA'!G22="GPL",'CASE DATA'!G22="DEF"),IF('CASE DATA'!H22="YES","License &amp; registration","Registration only"),"Z - Neither license nor registration"),"Z - no debt")</f>
        <v>Z - no debt</v>
      </c>
      <c r="D20" s="82">
        <f>SUM('CASE DATA'!J22:S22)</f>
        <v>0</v>
      </c>
      <c r="E20" s="32"/>
    </row>
    <row r="21" spans="1:5" x14ac:dyDescent="0.25">
      <c r="A21" s="57" t="str">
        <f>IF('CASE DATA'!A23="","",'CASE DATA'!A23)</f>
        <v/>
      </c>
      <c r="B21" s="57">
        <f>'CASE DATA'!B23</f>
        <v>0</v>
      </c>
      <c r="C21" s="57" t="str">
        <f>IF(SUM('CASE DATA'!J23:S23)&gt;0,IF(OR('CASE DATA'!G23="GTR",'CASE DATA'!G23="GPL",'CASE DATA'!G23="DEF"),IF('CASE DATA'!H23="YES","License &amp; registration","Registration only"),"Z - Neither license nor registration"),"Z - no debt")</f>
        <v>Z - no debt</v>
      </c>
      <c r="D21" s="82">
        <f>SUM('CASE DATA'!J23:S23)</f>
        <v>0</v>
      </c>
      <c r="E21" s="32"/>
    </row>
    <row r="22" spans="1:5" x14ac:dyDescent="0.25">
      <c r="A22" s="57" t="str">
        <f>IF('CASE DATA'!A24="","",'CASE DATA'!A24)</f>
        <v/>
      </c>
      <c r="B22" s="57">
        <f>'CASE DATA'!B24</f>
        <v>0</v>
      </c>
      <c r="C22" s="57" t="str">
        <f>IF(SUM('CASE DATA'!J24:S24)&gt;0,IF(OR('CASE DATA'!G24="GTR",'CASE DATA'!G24="GPL",'CASE DATA'!G24="DEF"),IF('CASE DATA'!H24="YES","License &amp; registration","Registration only"),"Z - Neither license nor registration"),"Z - no debt")</f>
        <v>Z - no debt</v>
      </c>
      <c r="D22" s="82">
        <f>SUM('CASE DATA'!J24:S24)</f>
        <v>0</v>
      </c>
      <c r="E22" s="32"/>
    </row>
    <row r="23" spans="1:5" x14ac:dyDescent="0.25">
      <c r="A23" s="57" t="str">
        <f>IF('CASE DATA'!A25="","",'CASE DATA'!A25)</f>
        <v/>
      </c>
      <c r="B23" s="57">
        <f>'CASE DATA'!B25</f>
        <v>0</v>
      </c>
      <c r="C23" s="57" t="str">
        <f>IF(SUM('CASE DATA'!J25:S25)&gt;0,IF(OR('CASE DATA'!G25="GTR",'CASE DATA'!G25="GPL",'CASE DATA'!G25="DEF"),IF('CASE DATA'!H25="YES","License &amp; registration","Registration only"),"Z - Neither license nor registration"),"Z - no debt")</f>
        <v>Z - no debt</v>
      </c>
      <c r="D23" s="82">
        <f>SUM('CASE DATA'!J25:S25)</f>
        <v>0</v>
      </c>
      <c r="E23" s="32"/>
    </row>
    <row r="24" spans="1:5" x14ac:dyDescent="0.25">
      <c r="A24" s="57" t="str">
        <f>IF('CASE DATA'!A26="","",'CASE DATA'!A26)</f>
        <v/>
      </c>
      <c r="B24" s="57">
        <f>'CASE DATA'!B26</f>
        <v>0</v>
      </c>
      <c r="C24" s="57" t="str">
        <f>IF(SUM('CASE DATA'!J26:S26)&gt;0,IF(OR('CASE DATA'!G26="GTR",'CASE DATA'!G26="GPL",'CASE DATA'!G26="DEF"),IF('CASE DATA'!H26="YES","License &amp; registration","Registration only"),"Z - Neither license nor registration"),"Z - no debt")</f>
        <v>Z - no debt</v>
      </c>
      <c r="D24" s="82">
        <f>SUM('CASE DATA'!J26:S26)</f>
        <v>0</v>
      </c>
      <c r="E24" s="32"/>
    </row>
    <row r="25" spans="1:5" x14ac:dyDescent="0.25">
      <c r="A25" s="57" t="str">
        <f>IF('CASE DATA'!A27="","",'CASE DATA'!A27)</f>
        <v/>
      </c>
      <c r="B25" s="57">
        <f>'CASE DATA'!B27</f>
        <v>0</v>
      </c>
      <c r="C25" s="57" t="str">
        <f>IF(SUM('CASE DATA'!J27:S27)&gt;0,IF(OR('CASE DATA'!G27="GTR",'CASE DATA'!G27="GPL",'CASE DATA'!G27="DEF"),IF('CASE DATA'!H27="YES","License &amp; registration","Registration only"),"Z - Neither license nor registration"),"Z - no debt")</f>
        <v>Z - no debt</v>
      </c>
      <c r="D25" s="82">
        <f>SUM('CASE DATA'!J27:S27)</f>
        <v>0</v>
      </c>
      <c r="E25" s="32"/>
    </row>
    <row r="26" spans="1:5" x14ac:dyDescent="0.25">
      <c r="A26" s="57" t="str">
        <f>IF('CASE DATA'!A28="","",'CASE DATA'!A28)</f>
        <v/>
      </c>
      <c r="B26" s="57">
        <f>'CASE DATA'!B28</f>
        <v>0</v>
      </c>
      <c r="C26" s="57" t="str">
        <f>IF(SUM('CASE DATA'!J28:S28)&gt;0,IF(OR('CASE DATA'!G28="GTR",'CASE DATA'!G28="GPL",'CASE DATA'!G28="DEF"),IF('CASE DATA'!H28="YES","License &amp; registration","Registration only"),"Z - Neither license nor registration"),"Z - no debt")</f>
        <v>Z - no debt</v>
      </c>
      <c r="D26" s="82">
        <f>SUM('CASE DATA'!J28:S28)</f>
        <v>0</v>
      </c>
      <c r="E26" s="32"/>
    </row>
    <row r="27" spans="1:5" x14ac:dyDescent="0.25">
      <c r="A27" s="57" t="str">
        <f>IF('CASE DATA'!A29="","",'CASE DATA'!A29)</f>
        <v/>
      </c>
      <c r="B27" s="57">
        <f>'CASE DATA'!B29</f>
        <v>0</v>
      </c>
      <c r="C27" s="57" t="str">
        <f>IF(SUM('CASE DATA'!J29:S29)&gt;0,IF(OR('CASE DATA'!G29="GTR",'CASE DATA'!G29="GPL",'CASE DATA'!G29="DEF"),IF('CASE DATA'!H29="YES","License &amp; registration","Registration only"),"Z - Neither license nor registration"),"Z - no debt")</f>
        <v>Z - no debt</v>
      </c>
      <c r="D27" s="82">
        <f>SUM('CASE DATA'!J29:S29)</f>
        <v>0</v>
      </c>
      <c r="E27" s="32"/>
    </row>
    <row r="28" spans="1:5" x14ac:dyDescent="0.25">
      <c r="A28" s="57" t="str">
        <f>IF('CASE DATA'!A30="","",'CASE DATA'!A30)</f>
        <v/>
      </c>
      <c r="B28" s="57">
        <f>'CASE DATA'!B30</f>
        <v>0</v>
      </c>
      <c r="C28" s="57" t="str">
        <f>IF(SUM('CASE DATA'!J30:S30)&gt;0,IF(OR('CASE DATA'!G30="GTR",'CASE DATA'!G30="GPL",'CASE DATA'!G30="DEF"),IF('CASE DATA'!H30="YES","License &amp; registration","Registration only"),"Z - Neither license nor registration"),"Z - no debt")</f>
        <v>Z - no debt</v>
      </c>
      <c r="D28" s="82">
        <f>SUM('CASE DATA'!J30:S30)</f>
        <v>0</v>
      </c>
      <c r="E28" s="32"/>
    </row>
    <row r="29" spans="1:5" x14ac:dyDescent="0.25">
      <c r="A29" s="57" t="str">
        <f>IF('CASE DATA'!A31="","",'CASE DATA'!A31)</f>
        <v/>
      </c>
      <c r="B29" s="57">
        <f>'CASE DATA'!B31</f>
        <v>0</v>
      </c>
      <c r="C29" s="57" t="str">
        <f>IF(SUM('CASE DATA'!J31:S31)&gt;0,IF(OR('CASE DATA'!G31="GTR",'CASE DATA'!G31="GPL",'CASE DATA'!G31="DEF"),IF('CASE DATA'!H31="YES","License &amp; registration","Registration only"),"Z - Neither license nor registration"),"Z - no debt")</f>
        <v>Z - no debt</v>
      </c>
      <c r="D29" s="82">
        <f>SUM('CASE DATA'!J31:S31)</f>
        <v>0</v>
      </c>
      <c r="E29" s="32"/>
    </row>
    <row r="30" spans="1:5" x14ac:dyDescent="0.25">
      <c r="A30" s="57" t="str">
        <f>IF('CASE DATA'!A32="","",'CASE DATA'!A32)</f>
        <v/>
      </c>
      <c r="B30" s="57">
        <f>'CASE DATA'!B32</f>
        <v>0</v>
      </c>
      <c r="C30" s="57" t="str">
        <f>IF(SUM('CASE DATA'!J32:S32)&gt;0,IF(OR('CASE DATA'!G32="GTR",'CASE DATA'!G32="GPL",'CASE DATA'!G32="DEF"),IF('CASE DATA'!H32="YES","License &amp; registration","Registration only"),"Z - Neither license nor registration"),"Z - no debt")</f>
        <v>Z - no debt</v>
      </c>
      <c r="D30" s="82">
        <f>SUM('CASE DATA'!J32:S32)</f>
        <v>0</v>
      </c>
      <c r="E30" s="32"/>
    </row>
    <row r="31" spans="1:5" x14ac:dyDescent="0.25">
      <c r="A31" s="57" t="str">
        <f>IF('CASE DATA'!A33="","",'CASE DATA'!A33)</f>
        <v/>
      </c>
      <c r="B31" s="57">
        <f>'CASE DATA'!B33</f>
        <v>0</v>
      </c>
      <c r="C31" s="57" t="str">
        <f>IF(SUM('CASE DATA'!J33:S33)&gt;0,IF(OR('CASE DATA'!G33="GTR",'CASE DATA'!G33="GPL",'CASE DATA'!G33="DEF"),IF('CASE DATA'!H33="YES","License &amp; registration","Registration only"),"Z - Neither license nor registration"),"Z - no debt")</f>
        <v>Z - no debt</v>
      </c>
      <c r="D31" s="82">
        <f>SUM('CASE DATA'!J33:S33)</f>
        <v>0</v>
      </c>
      <c r="E31" s="32"/>
    </row>
    <row r="32" spans="1:5" x14ac:dyDescent="0.25">
      <c r="A32" s="57" t="str">
        <f>IF('CASE DATA'!A34="","",'CASE DATA'!A34)</f>
        <v/>
      </c>
      <c r="B32" s="57">
        <f>'CASE DATA'!B34</f>
        <v>0</v>
      </c>
      <c r="C32" s="57" t="str">
        <f>IF(SUM('CASE DATA'!J34:S34)&gt;0,IF(OR('CASE DATA'!G34="GTR",'CASE DATA'!G34="GPL",'CASE DATA'!G34="DEF"),IF('CASE DATA'!H34="YES","License &amp; registration","Registration only"),"Z - Neither license nor registration"),"Z - no debt")</f>
        <v>Z - no debt</v>
      </c>
      <c r="D32" s="82">
        <f>SUM('CASE DATA'!J34:S34)</f>
        <v>0</v>
      </c>
      <c r="E32" s="32"/>
    </row>
    <row r="33" spans="1:5" x14ac:dyDescent="0.25">
      <c r="A33" s="57" t="str">
        <f>IF('CASE DATA'!A35="","",'CASE DATA'!A35)</f>
        <v/>
      </c>
      <c r="B33" s="57">
        <f>'CASE DATA'!B35</f>
        <v>0</v>
      </c>
      <c r="C33" s="57" t="str">
        <f>IF(SUM('CASE DATA'!J35:S35)&gt;0,IF(OR('CASE DATA'!G35="GTR",'CASE DATA'!G35="GPL",'CASE DATA'!G35="DEF"),IF('CASE DATA'!H35="YES","License &amp; registration","Registration only"),"Z - Neither license nor registration"),"Z - no debt")</f>
        <v>Z - no debt</v>
      </c>
      <c r="D33" s="82">
        <f>SUM('CASE DATA'!J35:S35)</f>
        <v>0</v>
      </c>
      <c r="E33" s="32"/>
    </row>
    <row r="34" spans="1:5" x14ac:dyDescent="0.25">
      <c r="A34" s="57" t="str">
        <f>IF('CASE DATA'!A36="","",'CASE DATA'!A36)</f>
        <v/>
      </c>
      <c r="B34" s="57">
        <f>'CASE DATA'!B36</f>
        <v>0</v>
      </c>
      <c r="C34" s="57" t="str">
        <f>IF(SUM('CASE DATA'!J36:S36)&gt;0,IF(OR('CASE DATA'!G36="GTR",'CASE DATA'!G36="GPL",'CASE DATA'!G36="DEF"),IF('CASE DATA'!H36="YES","License &amp; registration","Registration only"),"Z - Neither license nor registration"),"Z - no debt")</f>
        <v>Z - no debt</v>
      </c>
      <c r="D34" s="82">
        <f>SUM('CASE DATA'!J36:S36)</f>
        <v>0</v>
      </c>
      <c r="E34" s="32"/>
    </row>
    <row r="35" spans="1:5" x14ac:dyDescent="0.25">
      <c r="A35" s="57" t="str">
        <f>IF('CASE DATA'!A37="","",'CASE DATA'!A37)</f>
        <v/>
      </c>
      <c r="B35" s="57">
        <f>'CASE DATA'!B37</f>
        <v>0</v>
      </c>
      <c r="C35" s="57" t="str">
        <f>IF(SUM('CASE DATA'!J37:S37)&gt;0,IF(OR('CASE DATA'!G37="GTR",'CASE DATA'!G37="GPL",'CASE DATA'!G37="DEF"),IF('CASE DATA'!H37="YES","License &amp; registration","Registration only"),"Z - Neither license nor registration"),"Z - no debt")</f>
        <v>Z - no debt</v>
      </c>
      <c r="D35" s="82">
        <f>SUM('CASE DATA'!J37:S37)</f>
        <v>0</v>
      </c>
      <c r="E35" s="32"/>
    </row>
    <row r="36" spans="1:5" x14ac:dyDescent="0.25">
      <c r="A36" s="57" t="str">
        <f>IF('CASE DATA'!A38="","",'CASE DATA'!A38)</f>
        <v/>
      </c>
      <c r="B36" s="57">
        <f>'CASE DATA'!B38</f>
        <v>0</v>
      </c>
      <c r="C36" s="57" t="str">
        <f>IF(SUM('CASE DATA'!J38:S38)&gt;0,IF(OR('CASE DATA'!G38="GTR",'CASE DATA'!G38="GPL",'CASE DATA'!G38="DEF"),IF('CASE DATA'!H38="YES","License &amp; registration","Registration only"),"Z - Neither license nor registration"),"Z - no debt")</f>
        <v>Z - no debt</v>
      </c>
      <c r="D36" s="82">
        <f>SUM('CASE DATA'!J38:S38)</f>
        <v>0</v>
      </c>
      <c r="E36" s="32"/>
    </row>
    <row r="37" spans="1:5" x14ac:dyDescent="0.25">
      <c r="A37" s="57" t="str">
        <f>IF('CASE DATA'!A39="","",'CASE DATA'!A39)</f>
        <v/>
      </c>
      <c r="B37" s="57">
        <f>'CASE DATA'!B39</f>
        <v>0</v>
      </c>
      <c r="C37" s="57" t="str">
        <f>IF(SUM('CASE DATA'!J39:S39)&gt;0,IF(OR('CASE DATA'!G39="GTR",'CASE DATA'!G39="GPL",'CASE DATA'!G39="DEF"),IF('CASE DATA'!H39="YES","License &amp; registration","Registration only"),"Z - Neither license nor registration"),"Z - no debt")</f>
        <v>Z - no debt</v>
      </c>
      <c r="D37" s="82">
        <f>SUM('CASE DATA'!J39:S39)</f>
        <v>0</v>
      </c>
      <c r="E37" s="32"/>
    </row>
    <row r="38" spans="1:5" x14ac:dyDescent="0.25">
      <c r="A38" s="57" t="str">
        <f>IF('CASE DATA'!A40="","",'CASE DATA'!A40)</f>
        <v/>
      </c>
      <c r="B38" s="57">
        <f>'CASE DATA'!B40</f>
        <v>0</v>
      </c>
      <c r="C38" s="57" t="str">
        <f>IF(SUM('CASE DATA'!J40:S40)&gt;0,IF(OR('CASE DATA'!G40="GTR",'CASE DATA'!G40="GPL",'CASE DATA'!G40="DEF"),IF('CASE DATA'!H40="YES","License &amp; registration","Registration only"),"Z - Neither license nor registration"),"Z - no debt")</f>
        <v>Z - no debt</v>
      </c>
      <c r="D38" s="82">
        <f>SUM('CASE DATA'!J40:S40)</f>
        <v>0</v>
      </c>
      <c r="E38" s="32"/>
    </row>
    <row r="39" spans="1:5" x14ac:dyDescent="0.25">
      <c r="A39" s="57" t="str">
        <f>IF('CASE DATA'!A41="","",'CASE DATA'!A41)</f>
        <v/>
      </c>
      <c r="B39" s="57">
        <f>'CASE DATA'!B41</f>
        <v>0</v>
      </c>
      <c r="C39" s="57" t="str">
        <f>IF(SUM('CASE DATA'!J41:S41)&gt;0,IF(OR('CASE DATA'!G41="GTR",'CASE DATA'!G41="GPL",'CASE DATA'!G41="DEF"),IF('CASE DATA'!H41="YES","License &amp; registration","Registration only"),"Z - Neither license nor registration"),"Z - no debt")</f>
        <v>Z - no debt</v>
      </c>
      <c r="D39" s="82">
        <f>SUM('CASE DATA'!J41:S41)</f>
        <v>0</v>
      </c>
      <c r="E39" s="32"/>
    </row>
    <row r="40" spans="1:5" x14ac:dyDescent="0.25">
      <c r="A40" s="57" t="str">
        <f>IF('CASE DATA'!A42="","",'CASE DATA'!A42)</f>
        <v/>
      </c>
      <c r="B40" s="57">
        <f>'CASE DATA'!B42</f>
        <v>0</v>
      </c>
      <c r="C40" s="57" t="str">
        <f>IF(SUM('CASE DATA'!J42:S42)&gt;0,IF(OR('CASE DATA'!G42="GTR",'CASE DATA'!G42="GPL",'CASE DATA'!G42="DEF"),IF('CASE DATA'!H42="YES","License &amp; registration","Registration only"),"Z - Neither license nor registration"),"Z - no debt")</f>
        <v>Z - no debt</v>
      </c>
      <c r="D40" s="82">
        <f>SUM('CASE DATA'!J42:S42)</f>
        <v>0</v>
      </c>
      <c r="E40" s="32"/>
    </row>
    <row r="41" spans="1:5" x14ac:dyDescent="0.25">
      <c r="A41" s="57" t="str">
        <f>IF('CASE DATA'!A43="","",'CASE DATA'!A43)</f>
        <v/>
      </c>
      <c r="B41" s="57">
        <f>'CASE DATA'!B43</f>
        <v>0</v>
      </c>
      <c r="C41" s="57" t="str">
        <f>IF(SUM('CASE DATA'!J43:S43)&gt;0,IF(OR('CASE DATA'!G43="GTR",'CASE DATA'!G43="GPL",'CASE DATA'!G43="DEF"),IF('CASE DATA'!H43="YES","License &amp; registration","Registration only"),"Z - Neither license nor registration"),"Z - no debt")</f>
        <v>Z - no debt</v>
      </c>
      <c r="D41" s="82">
        <f>SUM('CASE DATA'!J43:S43)</f>
        <v>0</v>
      </c>
      <c r="E41" s="32"/>
    </row>
    <row r="42" spans="1:5" x14ac:dyDescent="0.25">
      <c r="A42" s="57" t="str">
        <f>IF('CASE DATA'!A44="","",'CASE DATA'!A44)</f>
        <v/>
      </c>
      <c r="B42" s="57">
        <f>'CASE DATA'!B44</f>
        <v>0</v>
      </c>
      <c r="C42" s="57" t="str">
        <f>IF(SUM('CASE DATA'!J44:S44)&gt;0,IF(OR('CASE DATA'!G44="GTR",'CASE DATA'!G44="GPL",'CASE DATA'!G44="DEF"),IF('CASE DATA'!H44="YES","License &amp; registration","Registration only"),"Z - Neither license nor registration"),"Z - no debt")</f>
        <v>Z - no debt</v>
      </c>
      <c r="D42" s="82">
        <f>SUM('CASE DATA'!J44:S44)</f>
        <v>0</v>
      </c>
    </row>
    <row r="43" spans="1:5" x14ac:dyDescent="0.25">
      <c r="A43" s="57" t="str">
        <f>IF('CASE DATA'!A45="","",'CASE DATA'!A45)</f>
        <v/>
      </c>
      <c r="B43" s="57">
        <f>'CASE DATA'!B45</f>
        <v>0</v>
      </c>
      <c r="C43" s="57" t="str">
        <f>IF(SUM('CASE DATA'!J45:S45)&gt;0,IF(OR('CASE DATA'!G45="GTR",'CASE DATA'!G45="GPL",'CASE DATA'!G45="DEF"),IF('CASE DATA'!H45="YES","License &amp; registration","Registration only"),"Z - Neither license nor registration"),"Z - no debt")</f>
        <v>Z - no debt</v>
      </c>
      <c r="D43" s="82">
        <f>SUM('CASE DATA'!J45:S45)</f>
        <v>0</v>
      </c>
    </row>
    <row r="44" spans="1:5" x14ac:dyDescent="0.25">
      <c r="A44" s="57" t="str">
        <f>IF('CASE DATA'!A46="","",'CASE DATA'!A46)</f>
        <v/>
      </c>
      <c r="B44" s="57">
        <f>'CASE DATA'!B46</f>
        <v>0</v>
      </c>
      <c r="C44" s="57" t="str">
        <f>IF(SUM('CASE DATA'!J46:S46)&gt;0,IF(OR('CASE DATA'!G46="GTR",'CASE DATA'!G46="GPL",'CASE DATA'!G46="DEF"),IF('CASE DATA'!H46="YES","License &amp; registration","Registration only"),"Z - Neither license nor registration"),"Z - no debt")</f>
        <v>Z - no debt</v>
      </c>
      <c r="D44" s="82">
        <f>SUM('CASE DATA'!J46:S46)</f>
        <v>0</v>
      </c>
    </row>
    <row r="45" spans="1:5" x14ac:dyDescent="0.25">
      <c r="A45" s="57" t="str">
        <f>IF('CASE DATA'!A47="","",'CASE DATA'!A47)</f>
        <v/>
      </c>
      <c r="B45" s="57">
        <f>'CASE DATA'!B47</f>
        <v>0</v>
      </c>
      <c r="C45" s="57" t="str">
        <f>IF(SUM('CASE DATA'!J47:S47)&gt;0,IF(OR('CASE DATA'!G47="GTR",'CASE DATA'!G47="GPL",'CASE DATA'!G47="DEF"),IF('CASE DATA'!H47="YES","License &amp; registration","Registration only"),"Z - Neither license nor registration"),"Z - no debt")</f>
        <v>Z - no debt</v>
      </c>
      <c r="D45" s="82">
        <f>SUM('CASE DATA'!J47:S47)</f>
        <v>0</v>
      </c>
    </row>
    <row r="46" spans="1:5" x14ac:dyDescent="0.25">
      <c r="A46" s="57" t="str">
        <f>IF('CASE DATA'!A48="","",'CASE DATA'!A48)</f>
        <v/>
      </c>
      <c r="B46" s="57">
        <f>'CASE DATA'!B48</f>
        <v>0</v>
      </c>
      <c r="C46" s="57" t="str">
        <f>IF(SUM('CASE DATA'!J48:S48)&gt;0,IF(OR('CASE DATA'!G48="GTR",'CASE DATA'!G48="GPL",'CASE DATA'!G48="DEF"),IF('CASE DATA'!H48="YES","License &amp; registration","Registration only"),"Z - Neither license nor registration"),"Z - no debt")</f>
        <v>Z - no debt</v>
      </c>
      <c r="D46" s="82">
        <f>SUM('CASE DATA'!J48:S48)</f>
        <v>0</v>
      </c>
    </row>
    <row r="47" spans="1:5" x14ac:dyDescent="0.25">
      <c r="A47" s="57" t="str">
        <f>IF('CASE DATA'!A49="","",'CASE DATA'!A49)</f>
        <v/>
      </c>
      <c r="B47" s="57">
        <f>'CASE DATA'!B49</f>
        <v>0</v>
      </c>
      <c r="C47" s="57" t="str">
        <f>IF(SUM('CASE DATA'!J49:S49)&gt;0,IF(OR('CASE DATA'!G49="GTR",'CASE DATA'!G49="GPL",'CASE DATA'!G49="DEF"),IF('CASE DATA'!H49="YES","License &amp; registration","Registration only"),"Z - Neither license nor registration"),"Z - no debt")</f>
        <v>Z - no debt</v>
      </c>
      <c r="D47" s="82">
        <f>SUM('CASE DATA'!J49:S49)</f>
        <v>0</v>
      </c>
    </row>
    <row r="48" spans="1:5" x14ac:dyDescent="0.25">
      <c r="A48" s="57" t="str">
        <f>IF('CASE DATA'!A50="","",'CASE DATA'!A50)</f>
        <v/>
      </c>
      <c r="B48" s="57">
        <f>'CASE DATA'!B50</f>
        <v>0</v>
      </c>
      <c r="C48" s="57" t="str">
        <f>IF(SUM('CASE DATA'!J50:S50)&gt;0,IF(OR('CASE DATA'!G50="GTR",'CASE DATA'!G50="GPL",'CASE DATA'!G50="DEF"),IF('CASE DATA'!H50="YES","License &amp; registration","Registration only"),"Z - Neither license nor registration"),"Z - no debt")</f>
        <v>Z - no debt</v>
      </c>
      <c r="D48" s="82">
        <f>SUM('CASE DATA'!J50:S50)</f>
        <v>0</v>
      </c>
    </row>
    <row r="49" spans="1:4" x14ac:dyDescent="0.25">
      <c r="A49" s="57" t="str">
        <f>IF('CASE DATA'!A51="","",'CASE DATA'!A51)</f>
        <v/>
      </c>
      <c r="B49" s="57">
        <f>'CASE DATA'!B51</f>
        <v>0</v>
      </c>
      <c r="C49" s="57" t="str">
        <f>IF(SUM('CASE DATA'!J51:S51)&gt;0,IF(OR('CASE DATA'!G51="GTR",'CASE DATA'!G51="GPL",'CASE DATA'!G51="DEF"),IF('CASE DATA'!H51="YES","License &amp; registration","Registration only"),"Z - Neither license nor registration"),"Z - no debt")</f>
        <v>Z - no debt</v>
      </c>
      <c r="D49" s="82">
        <f>SUM('CASE DATA'!J51:S51)</f>
        <v>0</v>
      </c>
    </row>
    <row r="50" spans="1:4" x14ac:dyDescent="0.25">
      <c r="A50" s="57" t="str">
        <f>IF('CASE DATA'!A52="","",'CASE DATA'!A52)</f>
        <v/>
      </c>
      <c r="B50" s="57">
        <f>'CASE DATA'!B52</f>
        <v>0</v>
      </c>
      <c r="C50" s="57" t="str">
        <f>IF(SUM('CASE DATA'!J52:S52)&gt;0,IF(OR('CASE DATA'!G52="GTR",'CASE DATA'!G52="GPL",'CASE DATA'!G52="DEF"),IF('CASE DATA'!H52="YES","License &amp; registration","Registration only"),"Z - Neither license nor registration"),"Z - no debt")</f>
        <v>Z - no debt</v>
      </c>
      <c r="D50" s="82">
        <f>SUM('CASE DATA'!J52:S52)</f>
        <v>0</v>
      </c>
    </row>
    <row r="51" spans="1:4" x14ac:dyDescent="0.25">
      <c r="A51" s="57" t="str">
        <f>IF('CASE DATA'!A53="","",'CASE DATA'!A53)</f>
        <v/>
      </c>
      <c r="B51" s="57">
        <f>'CASE DATA'!B53</f>
        <v>0</v>
      </c>
      <c r="C51" s="57" t="str">
        <f>IF(SUM('CASE DATA'!J53:S53)&gt;0,IF(OR('CASE DATA'!G53="GTR",'CASE DATA'!G53="GPL",'CASE DATA'!G53="DEF"),IF('CASE DATA'!H53="YES","License &amp; registration","Registration only"),"Z - Neither license nor registration"),"Z - no debt")</f>
        <v>Z - no debt</v>
      </c>
      <c r="D51" s="82">
        <f>SUM('CASE DATA'!J53:S53)</f>
        <v>0</v>
      </c>
    </row>
    <row r="52" spans="1:4" x14ac:dyDescent="0.25">
      <c r="A52" s="57" t="str">
        <f>IF('CASE DATA'!A54="","",'CASE DATA'!A54)</f>
        <v/>
      </c>
      <c r="B52" s="57">
        <f>'CASE DATA'!B54</f>
        <v>0</v>
      </c>
      <c r="C52" s="57" t="str">
        <f>IF(SUM('CASE DATA'!J54:S54)&gt;0,IF(OR('CASE DATA'!G54="GTR",'CASE DATA'!G54="GPL",'CASE DATA'!G54="DEF"),IF('CASE DATA'!H54="YES","License &amp; registration","Registration only"),"Z - Neither license nor registration"),"Z - no debt")</f>
        <v>Z - no debt</v>
      </c>
      <c r="D52" s="82">
        <f>SUM('CASE DATA'!J54:S54)</f>
        <v>0</v>
      </c>
    </row>
    <row r="53" spans="1:4" x14ac:dyDescent="0.25">
      <c r="A53" s="57" t="str">
        <f>IF('CASE DATA'!A55="","",'CASE DATA'!A55)</f>
        <v/>
      </c>
      <c r="B53" s="57">
        <f>'CASE DATA'!B55</f>
        <v>0</v>
      </c>
      <c r="C53" s="57" t="str">
        <f>IF(SUM('CASE DATA'!J55:S55)&gt;0,IF(OR('CASE DATA'!G55="GTR",'CASE DATA'!G55="GPL",'CASE DATA'!G55="DEF"),IF('CASE DATA'!H55="YES","License &amp; registration","Registration only"),"Z - Neither license nor registration"),"Z - no debt")</f>
        <v>Z - no debt</v>
      </c>
      <c r="D53" s="82">
        <f>SUM('CASE DATA'!J55:S55)</f>
        <v>0</v>
      </c>
    </row>
    <row r="54" spans="1:4" x14ac:dyDescent="0.25">
      <c r="A54" s="57" t="str">
        <f>IF('CASE DATA'!A56="","",'CASE DATA'!A56)</f>
        <v/>
      </c>
      <c r="B54" s="57">
        <f>'CASE DATA'!B56</f>
        <v>0</v>
      </c>
      <c r="C54" s="57" t="str">
        <f>IF(SUM('CASE DATA'!J56:S56)&gt;0,IF(OR('CASE DATA'!G56="GTR",'CASE DATA'!G56="GPL",'CASE DATA'!G56="DEF"),IF('CASE DATA'!H56="YES","License &amp; registration","Registration only"),"Z - Neither license nor registration"),"Z - no debt")</f>
        <v>Z - no debt</v>
      </c>
      <c r="D54" s="82">
        <f>SUM('CASE DATA'!J56:S56)</f>
        <v>0</v>
      </c>
    </row>
    <row r="55" spans="1:4" x14ac:dyDescent="0.25">
      <c r="A55" s="57" t="str">
        <f>IF('CASE DATA'!A57="","",'CASE DATA'!A57)</f>
        <v/>
      </c>
      <c r="B55" s="57">
        <f>'CASE DATA'!B57</f>
        <v>0</v>
      </c>
      <c r="C55" s="57" t="str">
        <f>IF(SUM('CASE DATA'!J57:S57)&gt;0,IF(OR('CASE DATA'!G57="GTR",'CASE DATA'!G57="GPL",'CASE DATA'!G57="DEF"),IF('CASE DATA'!H57="YES","License &amp; registration","Registration only"),"Z - Neither license nor registration"),"Z - no debt")</f>
        <v>Z - no debt</v>
      </c>
      <c r="D55" s="82">
        <f>SUM('CASE DATA'!J57:S57)</f>
        <v>0</v>
      </c>
    </row>
    <row r="56" spans="1:4" x14ac:dyDescent="0.25">
      <c r="A56" s="57" t="str">
        <f>IF('CASE DATA'!A58="","",'CASE DATA'!A58)</f>
        <v/>
      </c>
      <c r="B56" s="57">
        <f>'CASE DATA'!B58</f>
        <v>0</v>
      </c>
      <c r="C56" s="57" t="str">
        <f>IF(SUM('CASE DATA'!J58:S58)&gt;0,IF(OR('CASE DATA'!G58="GTR",'CASE DATA'!G58="GPL",'CASE DATA'!G58="DEF"),IF('CASE DATA'!H58="YES","License &amp; registration","Registration only"),"Z - Neither license nor registration"),"Z - no debt")</f>
        <v>Z - no debt</v>
      </c>
      <c r="D56" s="82">
        <f>SUM('CASE DATA'!J58:S58)</f>
        <v>0</v>
      </c>
    </row>
    <row r="57" spans="1:4" x14ac:dyDescent="0.25">
      <c r="A57" s="57" t="str">
        <f>IF('CASE DATA'!A59="","",'CASE DATA'!A59)</f>
        <v/>
      </c>
      <c r="B57" s="57">
        <f>'CASE DATA'!B59</f>
        <v>0</v>
      </c>
      <c r="C57" s="57" t="str">
        <f>IF(SUM('CASE DATA'!J59:S59)&gt;0,IF(OR('CASE DATA'!G59="GTR",'CASE DATA'!G59="GPL",'CASE DATA'!G59="DEF"),IF('CASE DATA'!H59="YES","License &amp; registration","Registration only"),"Z - Neither license nor registration"),"Z - no debt")</f>
        <v>Z - no debt</v>
      </c>
      <c r="D57" s="82">
        <f>SUM('CASE DATA'!J59:S59)</f>
        <v>0</v>
      </c>
    </row>
    <row r="58" spans="1:4" x14ac:dyDescent="0.25">
      <c r="A58" s="57" t="str">
        <f>IF('CASE DATA'!A60="","",'CASE DATA'!A60)</f>
        <v/>
      </c>
      <c r="B58" s="57">
        <f>'CASE DATA'!B60</f>
        <v>0</v>
      </c>
      <c r="C58" s="57" t="str">
        <f>IF(SUM('CASE DATA'!J60:S60)&gt;0,IF(OR('CASE DATA'!G60="GTR",'CASE DATA'!G60="GPL",'CASE DATA'!G60="DEF"),IF('CASE DATA'!H60="YES","License &amp; registration","Registration only"),"Z - Neither license nor registration"),"Z - no debt")</f>
        <v>Z - no debt</v>
      </c>
      <c r="D58" s="82">
        <f>SUM('CASE DATA'!J60:S60)</f>
        <v>0</v>
      </c>
    </row>
    <row r="59" spans="1:4" x14ac:dyDescent="0.25">
      <c r="A59" s="57" t="str">
        <f>IF('CASE DATA'!A61="","",'CASE DATA'!A61)</f>
        <v/>
      </c>
      <c r="B59" s="57">
        <f>'CASE DATA'!B61</f>
        <v>0</v>
      </c>
      <c r="C59" s="57" t="str">
        <f>IF(SUM('CASE DATA'!J61:S61)&gt;0,IF(OR('CASE DATA'!G61="GTR",'CASE DATA'!G61="GPL",'CASE DATA'!G61="DEF"),IF('CASE DATA'!H61="YES","License &amp; registration","Registration only"),"Z - Neither license nor registration"),"Z - no debt")</f>
        <v>Z - no debt</v>
      </c>
      <c r="D59" s="82">
        <f>SUM('CASE DATA'!J61:S61)</f>
        <v>0</v>
      </c>
    </row>
    <row r="60" spans="1:4" x14ac:dyDescent="0.25">
      <c r="A60" s="57" t="str">
        <f>IF('CASE DATA'!A62="","",'CASE DATA'!A62)</f>
        <v/>
      </c>
      <c r="B60" s="57">
        <f>'CASE DATA'!B62</f>
        <v>0</v>
      </c>
      <c r="C60" s="57" t="str">
        <f>IF(SUM('CASE DATA'!J62:S62)&gt;0,IF(OR('CASE DATA'!G62="GTR",'CASE DATA'!G62="GPL",'CASE DATA'!G62="DEF"),IF('CASE DATA'!H62="YES","License &amp; registration","Registration only"),"Z - Neither license nor registration"),"Z - no debt")</f>
        <v>Z - no debt</v>
      </c>
      <c r="D60" s="82">
        <f>SUM('CASE DATA'!J62:S62)</f>
        <v>0</v>
      </c>
    </row>
    <row r="61" spans="1:4" x14ac:dyDescent="0.25">
      <c r="A61" s="57" t="str">
        <f>IF('CASE DATA'!A63="","",'CASE DATA'!A63)</f>
        <v/>
      </c>
      <c r="B61" s="57">
        <f>'CASE DATA'!B63</f>
        <v>0</v>
      </c>
      <c r="C61" s="57" t="str">
        <f>IF(SUM('CASE DATA'!J63:S63)&gt;0,IF(OR('CASE DATA'!G63="GTR",'CASE DATA'!G63="GPL",'CASE DATA'!G63="DEF"),IF('CASE DATA'!H63="YES","License &amp; registration","Registration only"),"Z - Neither license nor registration"),"Z - no debt")</f>
        <v>Z - no debt</v>
      </c>
      <c r="D61" s="82">
        <f>SUM('CASE DATA'!J63:S63)</f>
        <v>0</v>
      </c>
    </row>
    <row r="62" spans="1:4" x14ac:dyDescent="0.25">
      <c r="A62" s="57" t="str">
        <f>IF('CASE DATA'!A64="","",'CASE DATA'!A64)</f>
        <v/>
      </c>
      <c r="B62" s="57">
        <f>'CASE DATA'!B64</f>
        <v>0</v>
      </c>
      <c r="C62" s="57" t="str">
        <f>IF(SUM('CASE DATA'!J64:S64)&gt;0,IF(OR('CASE DATA'!G64="GTR",'CASE DATA'!G64="GPL",'CASE DATA'!G64="DEF"),IF('CASE DATA'!H64="YES","License &amp; registration","Registration only"),"Z - Neither license nor registration"),"Z - no debt")</f>
        <v>Z - no debt</v>
      </c>
      <c r="D62" s="82">
        <f>SUM('CASE DATA'!J64:S64)</f>
        <v>0</v>
      </c>
    </row>
    <row r="63" spans="1:4" x14ac:dyDescent="0.25">
      <c r="A63" s="57" t="str">
        <f>IF('CASE DATA'!A65="","",'CASE DATA'!A65)</f>
        <v/>
      </c>
      <c r="B63" s="57">
        <f>'CASE DATA'!B65</f>
        <v>0</v>
      </c>
      <c r="C63" s="57" t="str">
        <f>IF(SUM('CASE DATA'!J65:S65)&gt;0,IF(OR('CASE DATA'!G65="GTR",'CASE DATA'!G65="GPL",'CASE DATA'!G65="DEF"),IF('CASE DATA'!H65="YES","License &amp; registration","Registration only"),"Z - Neither license nor registration"),"Z - no debt")</f>
        <v>Z - no debt</v>
      </c>
      <c r="D63" s="82">
        <f>SUM('CASE DATA'!J65:S65)</f>
        <v>0</v>
      </c>
    </row>
    <row r="64" spans="1:4" x14ac:dyDescent="0.25">
      <c r="A64" s="57" t="str">
        <f>IF('CASE DATA'!A66="","",'CASE DATA'!A66)</f>
        <v/>
      </c>
      <c r="B64" s="57">
        <f>'CASE DATA'!B66</f>
        <v>0</v>
      </c>
      <c r="C64" s="57" t="str">
        <f>IF(SUM('CASE DATA'!J66:S66)&gt;0,IF(OR('CASE DATA'!G66="GTR",'CASE DATA'!G66="GPL",'CASE DATA'!G66="DEF"),IF('CASE DATA'!H66="YES","License &amp; registration","Registration only"),"Z - Neither license nor registration"),"Z - no debt")</f>
        <v>Z - no debt</v>
      </c>
      <c r="D64" s="82">
        <f>SUM('CASE DATA'!J66:S66)</f>
        <v>0</v>
      </c>
    </row>
    <row r="65" spans="1:4" x14ac:dyDescent="0.25">
      <c r="A65" s="57" t="str">
        <f>IF('CASE DATA'!A67="","",'CASE DATA'!A67)</f>
        <v/>
      </c>
      <c r="B65" s="57">
        <f>'CASE DATA'!B67</f>
        <v>0</v>
      </c>
      <c r="C65" s="57" t="str">
        <f>IF(SUM('CASE DATA'!J67:S67)&gt;0,IF(OR('CASE DATA'!G67="GTR",'CASE DATA'!G67="GPL",'CASE DATA'!G67="DEF"),IF('CASE DATA'!H67="YES","License &amp; registration","Registration only"),"Z - Neither license nor registration"),"Z - no debt")</f>
        <v>Z - no debt</v>
      </c>
      <c r="D65" s="82">
        <f>SUM('CASE DATA'!J67:S67)</f>
        <v>0</v>
      </c>
    </row>
    <row r="66" spans="1:4" x14ac:dyDescent="0.25">
      <c r="A66" s="57" t="str">
        <f>IF('CASE DATA'!A68="","",'CASE DATA'!A68)</f>
        <v/>
      </c>
      <c r="B66" s="57">
        <f>'CASE DATA'!B68</f>
        <v>0</v>
      </c>
      <c r="C66" s="57" t="str">
        <f>IF(SUM('CASE DATA'!J68:S68)&gt;0,IF(OR('CASE DATA'!G68="GTR",'CASE DATA'!G68="GPL",'CASE DATA'!G68="DEF"),IF('CASE DATA'!H68="YES","License &amp; registration","Registration only"),"Z - Neither license nor registration"),"Z - no debt")</f>
        <v>Z - no debt</v>
      </c>
      <c r="D66" s="82">
        <f>SUM('CASE DATA'!J68:S68)</f>
        <v>0</v>
      </c>
    </row>
    <row r="67" spans="1:4" x14ac:dyDescent="0.25">
      <c r="A67" s="57" t="str">
        <f>IF('CASE DATA'!A69="","",'CASE DATA'!A69)</f>
        <v/>
      </c>
      <c r="B67" s="57">
        <f>'CASE DATA'!B69</f>
        <v>0</v>
      </c>
      <c r="C67" s="57" t="str">
        <f>IF(SUM('CASE DATA'!J69:S69)&gt;0,IF(OR('CASE DATA'!G69="GTR",'CASE DATA'!G69="GPL",'CASE DATA'!G69="DEF"),IF('CASE DATA'!H69="YES","License &amp; registration","Registration only"),"Z - Neither license nor registration"),"Z - no debt")</f>
        <v>Z - no debt</v>
      </c>
      <c r="D67" s="82">
        <f>SUM('CASE DATA'!J69:S69)</f>
        <v>0</v>
      </c>
    </row>
    <row r="68" spans="1:4" x14ac:dyDescent="0.25">
      <c r="A68" s="57" t="str">
        <f>IF('CASE DATA'!A70="","",'CASE DATA'!A70)</f>
        <v/>
      </c>
      <c r="B68" s="57">
        <f>'CASE DATA'!B70</f>
        <v>0</v>
      </c>
      <c r="C68" s="57" t="str">
        <f>IF(SUM('CASE DATA'!J70:S70)&gt;0,IF(OR('CASE DATA'!G70="GTR",'CASE DATA'!G70="GPL",'CASE DATA'!G70="DEF"),IF('CASE DATA'!H70="YES","License &amp; registration","Registration only"),"Z - Neither license nor registration"),"Z - no debt")</f>
        <v>Z - no debt</v>
      </c>
      <c r="D68" s="82">
        <f>SUM('CASE DATA'!J70:S70)</f>
        <v>0</v>
      </c>
    </row>
    <row r="69" spans="1:4" x14ac:dyDescent="0.25">
      <c r="A69" s="57" t="str">
        <f>IF('CASE DATA'!A71="","",'CASE DATA'!A71)</f>
        <v/>
      </c>
      <c r="B69" s="57">
        <f>'CASE DATA'!B71</f>
        <v>0</v>
      </c>
      <c r="C69" s="57" t="str">
        <f>IF(SUM('CASE DATA'!J71:S71)&gt;0,IF(OR('CASE DATA'!G71="GTR",'CASE DATA'!G71="GPL",'CASE DATA'!G71="DEF"),IF('CASE DATA'!H71="YES","License &amp; registration","Registration only"),"Z - Neither license nor registration"),"Z - no debt")</f>
        <v>Z - no debt</v>
      </c>
      <c r="D69" s="82">
        <f>SUM('CASE DATA'!J71:S71)</f>
        <v>0</v>
      </c>
    </row>
    <row r="70" spans="1:4" x14ac:dyDescent="0.25">
      <c r="A70" s="57" t="str">
        <f>IF('CASE DATA'!A72="","",'CASE DATA'!A72)</f>
        <v/>
      </c>
      <c r="B70" s="57">
        <f>'CASE DATA'!B72</f>
        <v>0</v>
      </c>
      <c r="C70" s="57" t="str">
        <f>IF(SUM('CASE DATA'!J72:S72)&gt;0,IF(OR('CASE DATA'!G72="GTR",'CASE DATA'!G72="GPL",'CASE DATA'!G72="DEF"),IF('CASE DATA'!H72="YES","License &amp; registration","Registration only"),"Z - Neither license nor registration"),"Z - no debt")</f>
        <v>Z - no debt</v>
      </c>
      <c r="D70" s="82">
        <f>SUM('CASE DATA'!J72:S72)</f>
        <v>0</v>
      </c>
    </row>
    <row r="71" spans="1:4" x14ac:dyDescent="0.25">
      <c r="A71" s="57" t="str">
        <f>IF('CASE DATA'!A73="","",'CASE DATA'!A73)</f>
        <v/>
      </c>
      <c r="B71" s="57">
        <f>'CASE DATA'!B73</f>
        <v>0</v>
      </c>
      <c r="C71" s="57" t="str">
        <f>IF(SUM('CASE DATA'!J73:S73)&gt;0,IF(OR('CASE DATA'!G73="GTR",'CASE DATA'!G73="GPL",'CASE DATA'!G73="DEF"),IF('CASE DATA'!H73="YES","License &amp; registration","Registration only"),"Z - Neither license nor registration"),"Z - no debt")</f>
        <v>Z - no debt</v>
      </c>
      <c r="D71" s="82">
        <f>SUM('CASE DATA'!J73:S73)</f>
        <v>0</v>
      </c>
    </row>
    <row r="72" spans="1:4" x14ac:dyDescent="0.25">
      <c r="A72" s="57" t="str">
        <f>IF('CASE DATA'!A74="","",'CASE DATA'!A74)</f>
        <v/>
      </c>
      <c r="B72" s="57">
        <f>'CASE DATA'!B74</f>
        <v>0</v>
      </c>
      <c r="C72" s="57" t="str">
        <f>IF(SUM('CASE DATA'!J74:S74)&gt;0,IF(OR('CASE DATA'!G74="GTR",'CASE DATA'!G74="GPL",'CASE DATA'!G74="DEF"),IF('CASE DATA'!H74="YES","License &amp; registration","Registration only"),"Z - Neither license nor registration"),"Z - no debt")</f>
        <v>Z - no debt</v>
      </c>
      <c r="D72" s="82">
        <f>SUM('CASE DATA'!J74:S74)</f>
        <v>0</v>
      </c>
    </row>
    <row r="73" spans="1:4" x14ac:dyDescent="0.25">
      <c r="A73" s="57" t="str">
        <f>IF('CASE DATA'!A75="","",'CASE DATA'!A75)</f>
        <v/>
      </c>
      <c r="B73" s="57">
        <f>'CASE DATA'!B75</f>
        <v>0</v>
      </c>
      <c r="C73" s="57" t="str">
        <f>IF(SUM('CASE DATA'!J75:S75)&gt;0,IF(OR('CASE DATA'!G75="GTR",'CASE DATA'!G75="GPL",'CASE DATA'!G75="DEF"),IF('CASE DATA'!H75="YES","License &amp; registration","Registration only"),"Z - Neither license nor registration"),"Z - no debt")</f>
        <v>Z - no debt</v>
      </c>
      <c r="D73" s="82">
        <f>SUM('CASE DATA'!J75:S75)</f>
        <v>0</v>
      </c>
    </row>
    <row r="74" spans="1:4" x14ac:dyDescent="0.25">
      <c r="A74" s="57" t="str">
        <f>IF('CASE DATA'!A76="","",'CASE DATA'!A76)</f>
        <v/>
      </c>
      <c r="B74" s="57">
        <f>'CASE DATA'!B76</f>
        <v>0</v>
      </c>
      <c r="C74" s="57" t="str">
        <f>IF(SUM('CASE DATA'!J76:S76)&gt;0,IF(OR('CASE DATA'!G76="GTR",'CASE DATA'!G76="GPL",'CASE DATA'!G76="DEF"),IF('CASE DATA'!H76="YES","License &amp; registration","Registration only"),"Z - Neither license nor registration"),"Z - no debt")</f>
        <v>Z - no debt</v>
      </c>
      <c r="D74" s="82">
        <f>SUM('CASE DATA'!J76:S76)</f>
        <v>0</v>
      </c>
    </row>
    <row r="75" spans="1:4" x14ac:dyDescent="0.25">
      <c r="A75" s="57" t="str">
        <f>IF('CASE DATA'!A77="","",'CASE DATA'!A77)</f>
        <v/>
      </c>
      <c r="B75" s="57">
        <f>'CASE DATA'!B77</f>
        <v>0</v>
      </c>
      <c r="C75" s="57" t="str">
        <f>IF(SUM('CASE DATA'!J77:S77)&gt;0,IF(OR('CASE DATA'!G77="GTR",'CASE DATA'!G77="GPL",'CASE DATA'!G77="DEF"),IF('CASE DATA'!H77="YES","License &amp; registration","Registration only"),"Z - Neither license nor registration"),"Z - no debt")</f>
        <v>Z - no debt</v>
      </c>
      <c r="D75" s="82">
        <f>SUM('CASE DATA'!J77:S77)</f>
        <v>0</v>
      </c>
    </row>
    <row r="76" spans="1:4" x14ac:dyDescent="0.25">
      <c r="A76" s="57" t="str">
        <f>IF('CASE DATA'!A78="","",'CASE DATA'!A78)</f>
        <v/>
      </c>
      <c r="B76" s="57">
        <f>'CASE DATA'!B78</f>
        <v>0</v>
      </c>
      <c r="C76" s="57" t="str">
        <f>IF(SUM('CASE DATA'!J78:S78)&gt;0,IF(OR('CASE DATA'!G78="GTR",'CASE DATA'!G78="GPL",'CASE DATA'!G78="DEF"),IF('CASE DATA'!H78="YES","License &amp; registration","Registration only"),"Z - Neither license nor registration"),"Z - no debt")</f>
        <v>Z - no debt</v>
      </c>
      <c r="D76" s="82">
        <f>SUM('CASE DATA'!J78:S78)</f>
        <v>0</v>
      </c>
    </row>
    <row r="77" spans="1:4" x14ac:dyDescent="0.25">
      <c r="A77" s="57" t="str">
        <f>IF('CASE DATA'!A79="","",'CASE DATA'!A79)</f>
        <v/>
      </c>
      <c r="B77" s="57">
        <f>'CASE DATA'!B79</f>
        <v>0</v>
      </c>
      <c r="C77" s="57" t="str">
        <f>IF(SUM('CASE DATA'!J79:S79)&gt;0,IF(OR('CASE DATA'!G79="GTR",'CASE DATA'!G79="GPL",'CASE DATA'!G79="DEF"),IF('CASE DATA'!H79="YES","License &amp; registration","Registration only"),"Z - Neither license nor registration"),"Z - no debt")</f>
        <v>Z - no debt</v>
      </c>
      <c r="D77" s="82">
        <f>SUM('CASE DATA'!J79:S79)</f>
        <v>0</v>
      </c>
    </row>
    <row r="78" spans="1:4" x14ac:dyDescent="0.25">
      <c r="A78" s="57" t="str">
        <f>IF('CASE DATA'!A80="","",'CASE DATA'!A80)</f>
        <v/>
      </c>
      <c r="B78" s="57">
        <f>'CASE DATA'!B80</f>
        <v>0</v>
      </c>
      <c r="C78" s="57" t="str">
        <f>IF(SUM('CASE DATA'!J80:S80)&gt;0,IF(OR('CASE DATA'!G80="GTR",'CASE DATA'!G80="GPL",'CASE DATA'!G80="DEF"),IF('CASE DATA'!H80="YES","License &amp; registration","Registration only"),"Z - Neither license nor registration"),"Z - no debt")</f>
        <v>Z - no debt</v>
      </c>
      <c r="D78" s="82">
        <f>SUM('CASE DATA'!J80:S80)</f>
        <v>0</v>
      </c>
    </row>
    <row r="79" spans="1:4" x14ac:dyDescent="0.25">
      <c r="A79" s="57" t="str">
        <f>IF('CASE DATA'!A81="","",'CASE DATA'!A81)</f>
        <v/>
      </c>
      <c r="B79" s="57">
        <f>'CASE DATA'!B81</f>
        <v>0</v>
      </c>
      <c r="C79" s="57" t="str">
        <f>IF(SUM('CASE DATA'!J81:S81)&gt;0,IF(OR('CASE DATA'!G81="GTR",'CASE DATA'!G81="GPL",'CASE DATA'!G81="DEF"),IF('CASE DATA'!H81="YES","License &amp; registration","Registration only"),"Z - Neither license nor registration"),"Z - no debt")</f>
        <v>Z - no debt</v>
      </c>
      <c r="D79" s="82">
        <f>SUM('CASE DATA'!J81:S81)</f>
        <v>0</v>
      </c>
    </row>
    <row r="80" spans="1:4" x14ac:dyDescent="0.25">
      <c r="A80" s="57" t="str">
        <f>IF('CASE DATA'!A82="","",'CASE DATA'!A82)</f>
        <v/>
      </c>
      <c r="B80" s="57">
        <f>'CASE DATA'!B82</f>
        <v>0</v>
      </c>
      <c r="C80" s="57" t="str">
        <f>IF(SUM('CASE DATA'!J82:S82)&gt;0,IF(OR('CASE DATA'!G82="GTR",'CASE DATA'!G82="GPL",'CASE DATA'!G82="DEF"),IF('CASE DATA'!H82="YES","License &amp; registration","Registration only"),"Z - Neither license nor registration"),"Z - no debt")</f>
        <v>Z - no debt</v>
      </c>
      <c r="D80" s="82">
        <f>SUM('CASE DATA'!J82:S82)</f>
        <v>0</v>
      </c>
    </row>
    <row r="81" spans="1:4" x14ac:dyDescent="0.25">
      <c r="A81" s="57" t="str">
        <f>IF('CASE DATA'!A83="","",'CASE DATA'!A83)</f>
        <v/>
      </c>
      <c r="B81" s="57">
        <f>'CASE DATA'!B83</f>
        <v>0</v>
      </c>
      <c r="C81" s="57" t="str">
        <f>IF(SUM('CASE DATA'!J83:S83)&gt;0,IF(OR('CASE DATA'!G83="GTR",'CASE DATA'!G83="GPL",'CASE DATA'!G83="DEF"),IF('CASE DATA'!H83="YES","License &amp; registration","Registration only"),"Z - Neither license nor registration"),"Z - no debt")</f>
        <v>Z - no debt</v>
      </c>
      <c r="D81" s="82">
        <f>SUM('CASE DATA'!J83:S83)</f>
        <v>0</v>
      </c>
    </row>
    <row r="82" spans="1:4" x14ac:dyDescent="0.25">
      <c r="A82" s="57" t="str">
        <f>IF('CASE DATA'!A84="","",'CASE DATA'!A84)</f>
        <v/>
      </c>
      <c r="B82" s="57">
        <f>'CASE DATA'!B84</f>
        <v>0</v>
      </c>
      <c r="C82" s="57" t="str">
        <f>IF(SUM('CASE DATA'!J84:S84)&gt;0,IF(OR('CASE DATA'!G84="GTR",'CASE DATA'!G84="GPL",'CASE DATA'!G84="DEF"),IF('CASE DATA'!H84="YES","License &amp; registration","Registration only"),"Z - Neither license nor registration"),"Z - no debt")</f>
        <v>Z - no debt</v>
      </c>
      <c r="D82" s="82">
        <f>SUM('CASE DATA'!J84:S84)</f>
        <v>0</v>
      </c>
    </row>
    <row r="83" spans="1:4" x14ac:dyDescent="0.25">
      <c r="A83" s="57" t="str">
        <f>IF('CASE DATA'!A85="","",'CASE DATA'!A85)</f>
        <v/>
      </c>
      <c r="B83" s="57">
        <f>'CASE DATA'!B85</f>
        <v>0</v>
      </c>
      <c r="C83" s="57" t="str">
        <f>IF(SUM('CASE DATA'!J85:S85)&gt;0,IF(OR('CASE DATA'!G85="GTR",'CASE DATA'!G85="GPL",'CASE DATA'!G85="DEF"),IF('CASE DATA'!H85="YES","License &amp; registration","Registration only"),"Z - Neither license nor registration"),"Z - no debt")</f>
        <v>Z - no debt</v>
      </c>
      <c r="D83" s="82">
        <f>SUM('CASE DATA'!J85:S85)</f>
        <v>0</v>
      </c>
    </row>
    <row r="84" spans="1:4" x14ac:dyDescent="0.25">
      <c r="A84" s="57" t="str">
        <f>IF('CASE DATA'!A86="","",'CASE DATA'!A86)</f>
        <v/>
      </c>
      <c r="B84" s="57">
        <f>'CASE DATA'!B86</f>
        <v>0</v>
      </c>
      <c r="C84" s="57" t="str">
        <f>IF(SUM('CASE DATA'!J86:S86)&gt;0,IF(OR('CASE DATA'!G86="GTR",'CASE DATA'!G86="GPL",'CASE DATA'!G86="DEF"),IF('CASE DATA'!H86="YES","License &amp; registration","Registration only"),"Z - Neither license nor registration"),"Z - no debt")</f>
        <v>Z - no debt</v>
      </c>
      <c r="D84" s="82">
        <f>SUM('CASE DATA'!J86:S86)</f>
        <v>0</v>
      </c>
    </row>
    <row r="85" spans="1:4" x14ac:dyDescent="0.25">
      <c r="A85" s="57" t="str">
        <f>IF('CASE DATA'!A87="","",'CASE DATA'!A87)</f>
        <v/>
      </c>
      <c r="B85" s="57">
        <f>'CASE DATA'!B87</f>
        <v>0</v>
      </c>
      <c r="C85" s="57" t="str">
        <f>IF(SUM('CASE DATA'!J87:S87)&gt;0,IF(OR('CASE DATA'!G87="GTR",'CASE DATA'!G87="GPL",'CASE DATA'!G87="DEF"),IF('CASE DATA'!H87="YES","License &amp; registration","Registration only"),"Z - Neither license nor registration"),"Z - no debt")</f>
        <v>Z - no debt</v>
      </c>
      <c r="D85" s="82">
        <f>SUM('CASE DATA'!J87:S87)</f>
        <v>0</v>
      </c>
    </row>
    <row r="86" spans="1:4" x14ac:dyDescent="0.25">
      <c r="A86" s="57" t="str">
        <f>IF('CASE DATA'!A88="","",'CASE DATA'!A88)</f>
        <v/>
      </c>
      <c r="B86" s="57">
        <f>'CASE DATA'!B88</f>
        <v>0</v>
      </c>
      <c r="C86" s="57" t="str">
        <f>IF(SUM('CASE DATA'!J88:S88)&gt;0,IF(OR('CASE DATA'!G88="GTR",'CASE DATA'!G88="GPL",'CASE DATA'!G88="DEF"),IF('CASE DATA'!H88="YES","License &amp; registration","Registration only"),"Z - Neither license nor registration"),"Z - no debt")</f>
        <v>Z - no debt</v>
      </c>
      <c r="D86" s="82">
        <f>SUM('CASE DATA'!J88:S88)</f>
        <v>0</v>
      </c>
    </row>
    <row r="87" spans="1:4" x14ac:dyDescent="0.25">
      <c r="A87" s="57" t="str">
        <f>IF('CASE DATA'!A89="","",'CASE DATA'!A89)</f>
        <v/>
      </c>
      <c r="B87" s="57">
        <f>'CASE DATA'!B89</f>
        <v>0</v>
      </c>
      <c r="C87" s="57" t="str">
        <f>IF(SUM('CASE DATA'!J89:S89)&gt;0,IF(OR('CASE DATA'!G89="GTR",'CASE DATA'!G89="GPL",'CASE DATA'!G89="DEF"),IF('CASE DATA'!H89="YES","License &amp; registration","Registration only"),"Z - Neither license nor registration"),"Z - no debt")</f>
        <v>Z - no debt</v>
      </c>
      <c r="D87" s="82">
        <f>SUM('CASE DATA'!J89:S89)</f>
        <v>0</v>
      </c>
    </row>
    <row r="88" spans="1:4" x14ac:dyDescent="0.25">
      <c r="A88" s="57" t="str">
        <f>IF('CASE DATA'!A90="","",'CASE DATA'!A90)</f>
        <v/>
      </c>
      <c r="B88" s="57">
        <f>'CASE DATA'!B90</f>
        <v>0</v>
      </c>
      <c r="C88" s="57" t="str">
        <f>IF(SUM('CASE DATA'!J90:S90)&gt;0,IF(OR('CASE DATA'!G90="GTR",'CASE DATA'!G90="GPL",'CASE DATA'!G90="DEF"),IF('CASE DATA'!H90="YES","License &amp; registration","Registration only"),"Z - Neither license nor registration"),"Z - no debt")</f>
        <v>Z - no debt</v>
      </c>
      <c r="D88" s="82">
        <f>SUM('CASE DATA'!J90:S90)</f>
        <v>0</v>
      </c>
    </row>
    <row r="89" spans="1:4" x14ac:dyDescent="0.25">
      <c r="A89" s="57" t="str">
        <f>IF('CASE DATA'!A91="","",'CASE DATA'!A91)</f>
        <v/>
      </c>
      <c r="B89" s="57">
        <f>'CASE DATA'!B91</f>
        <v>0</v>
      </c>
      <c r="C89" s="57" t="str">
        <f>IF(SUM('CASE DATA'!J91:S91)&gt;0,IF(OR('CASE DATA'!G91="GTR",'CASE DATA'!G91="GPL",'CASE DATA'!G91="DEF"),IF('CASE DATA'!H91="YES","License &amp; registration","Registration only"),"Z - Neither license nor registration"),"Z - no debt")</f>
        <v>Z - no debt</v>
      </c>
      <c r="D89" s="82">
        <f>SUM('CASE DATA'!J91:S91)</f>
        <v>0</v>
      </c>
    </row>
    <row r="90" spans="1:4" x14ac:dyDescent="0.25">
      <c r="A90" s="57" t="str">
        <f>IF('CASE DATA'!A92="","",'CASE DATA'!A92)</f>
        <v/>
      </c>
      <c r="B90" s="57">
        <f>'CASE DATA'!B92</f>
        <v>0</v>
      </c>
      <c r="C90" s="57" t="str">
        <f>IF(SUM('CASE DATA'!J92:S92)&gt;0,IF(OR('CASE DATA'!G92="GTR",'CASE DATA'!G92="GPL",'CASE DATA'!G92="DEF"),IF('CASE DATA'!H92="YES","License &amp; registration","Registration only"),"Z - Neither license nor registration"),"Z - no debt")</f>
        <v>Z - no debt</v>
      </c>
      <c r="D90" s="82">
        <f>SUM('CASE DATA'!J92:S92)</f>
        <v>0</v>
      </c>
    </row>
    <row r="91" spans="1:4" x14ac:dyDescent="0.25">
      <c r="A91" s="57" t="str">
        <f>IF('CASE DATA'!A93="","",'CASE DATA'!A93)</f>
        <v/>
      </c>
      <c r="B91" s="57">
        <f>'CASE DATA'!B93</f>
        <v>0</v>
      </c>
      <c r="C91" s="57" t="str">
        <f>IF(SUM('CASE DATA'!J93:S93)&gt;0,IF(OR('CASE DATA'!G93="GTR",'CASE DATA'!G93="GPL",'CASE DATA'!G93="DEF"),IF('CASE DATA'!H93="YES","License &amp; registration","Registration only"),"Z - Neither license nor registration"),"Z - no debt")</f>
        <v>Z - no debt</v>
      </c>
      <c r="D91" s="82">
        <f>SUM('CASE DATA'!J93:S93)</f>
        <v>0</v>
      </c>
    </row>
    <row r="92" spans="1:4" x14ac:dyDescent="0.25">
      <c r="A92" s="57" t="str">
        <f>IF('CASE DATA'!A94="","",'CASE DATA'!A94)</f>
        <v/>
      </c>
      <c r="B92" s="57">
        <f>'CASE DATA'!B94</f>
        <v>0</v>
      </c>
      <c r="C92" s="57" t="str">
        <f>IF(SUM('CASE DATA'!J94:S94)&gt;0,IF(OR('CASE DATA'!G94="GTR",'CASE DATA'!G94="GPL",'CASE DATA'!G94="DEF"),IF('CASE DATA'!H94="YES","License &amp; registration","Registration only"),"Z - Neither license nor registration"),"Z - no debt")</f>
        <v>Z - no debt</v>
      </c>
      <c r="D92" s="82">
        <f>SUM('CASE DATA'!J94:S94)</f>
        <v>0</v>
      </c>
    </row>
    <row r="93" spans="1:4" x14ac:dyDescent="0.25">
      <c r="A93" s="57" t="str">
        <f>IF('CASE DATA'!A95="","",'CASE DATA'!A95)</f>
        <v/>
      </c>
      <c r="B93" s="57">
        <f>'CASE DATA'!B95</f>
        <v>0</v>
      </c>
      <c r="C93" s="57" t="str">
        <f>IF(SUM('CASE DATA'!J95:S95)&gt;0,IF(OR('CASE DATA'!G95="GTR",'CASE DATA'!G95="GPL",'CASE DATA'!G95="DEF"),IF('CASE DATA'!H95="YES","License &amp; registration","Registration only"),"Z - Neither license nor registration"),"Z - no debt")</f>
        <v>Z - no debt</v>
      </c>
      <c r="D93" s="82">
        <f>SUM('CASE DATA'!J95:S95)</f>
        <v>0</v>
      </c>
    </row>
    <row r="94" spans="1:4" x14ac:dyDescent="0.25">
      <c r="A94" s="57" t="str">
        <f>IF('CASE DATA'!A96="","",'CASE DATA'!A96)</f>
        <v/>
      </c>
      <c r="B94" s="57">
        <f>'CASE DATA'!B96</f>
        <v>0</v>
      </c>
      <c r="C94" s="57" t="str">
        <f>IF(SUM('CASE DATA'!J96:S96)&gt;0,IF(OR('CASE DATA'!G96="GTR",'CASE DATA'!G96="GPL",'CASE DATA'!G96="DEF"),IF('CASE DATA'!H96="YES","License &amp; registration","Registration only"),"Z - Neither license nor registration"),"Z - no debt")</f>
        <v>Z - no debt</v>
      </c>
      <c r="D94" s="82">
        <f>SUM('CASE DATA'!J96:S96)</f>
        <v>0</v>
      </c>
    </row>
    <row r="95" spans="1:4" x14ac:dyDescent="0.25">
      <c r="A95" s="57" t="str">
        <f>IF('CASE DATA'!A97="","",'CASE DATA'!A97)</f>
        <v/>
      </c>
      <c r="B95" s="57">
        <f>'CASE DATA'!B97</f>
        <v>0</v>
      </c>
      <c r="C95" s="57" t="str">
        <f>IF(SUM('CASE DATA'!J97:S97)&gt;0,IF(OR('CASE DATA'!G97="GTR",'CASE DATA'!G97="GPL",'CASE DATA'!G97="DEF"),IF('CASE DATA'!H97="YES","License &amp; registration","Registration only"),"Z - Neither license nor registration"),"Z - no debt")</f>
        <v>Z - no debt</v>
      </c>
      <c r="D95" s="82">
        <f>SUM('CASE DATA'!J97:S97)</f>
        <v>0</v>
      </c>
    </row>
    <row r="96" spans="1:4" x14ac:dyDescent="0.25">
      <c r="A96" s="57" t="str">
        <f>IF('CASE DATA'!A98="","",'CASE DATA'!A98)</f>
        <v/>
      </c>
      <c r="B96" s="57">
        <f>'CASE DATA'!B98</f>
        <v>0</v>
      </c>
      <c r="C96" s="57" t="str">
        <f>IF(SUM('CASE DATA'!J98:S98)&gt;0,IF(OR('CASE DATA'!G98="GTR",'CASE DATA'!G98="GPL",'CASE DATA'!G98="DEF"),IF('CASE DATA'!H98="YES","License &amp; registration","Registration only"),"Z - Neither license nor registration"),"Z - no debt")</f>
        <v>Z - no debt</v>
      </c>
      <c r="D96" s="82">
        <f>SUM('CASE DATA'!J98:S98)</f>
        <v>0</v>
      </c>
    </row>
    <row r="97" spans="1:4" x14ac:dyDescent="0.25">
      <c r="A97" s="57" t="str">
        <f>IF('CASE DATA'!A99="","",'CASE DATA'!A99)</f>
        <v/>
      </c>
      <c r="B97" s="57">
        <f>'CASE DATA'!B99</f>
        <v>0</v>
      </c>
      <c r="C97" s="57" t="str">
        <f>IF(SUM('CASE DATA'!J99:S99)&gt;0,IF(OR('CASE DATA'!G99="GTR",'CASE DATA'!G99="GPL",'CASE DATA'!G99="DEF"),IF('CASE DATA'!H99="YES","License &amp; registration","Registration only"),"Z - Neither license nor registration"),"Z - no debt")</f>
        <v>Z - no debt</v>
      </c>
      <c r="D97" s="82">
        <f>SUM('CASE DATA'!J99:S99)</f>
        <v>0</v>
      </c>
    </row>
    <row r="98" spans="1:4" x14ac:dyDescent="0.25">
      <c r="A98" s="57" t="str">
        <f>IF('CASE DATA'!A100="","",'CASE DATA'!A100)</f>
        <v/>
      </c>
      <c r="B98" s="57">
        <f>'CASE DATA'!B100</f>
        <v>0</v>
      </c>
      <c r="C98" s="57" t="str">
        <f>IF(SUM('CASE DATA'!J100:S100)&gt;0,IF(OR('CASE DATA'!G100="GTR",'CASE DATA'!G100="GPL",'CASE DATA'!G100="DEF"),IF('CASE DATA'!H100="YES","License &amp; registration","Registration only"),"Z - Neither license nor registration"),"Z - no debt")</f>
        <v>Z - no debt</v>
      </c>
      <c r="D98" s="82">
        <f>SUM('CASE DATA'!J100:S100)</f>
        <v>0</v>
      </c>
    </row>
    <row r="99" spans="1:4" x14ac:dyDescent="0.25">
      <c r="A99" s="57" t="str">
        <f>IF('CASE DATA'!A101="","",'CASE DATA'!A101)</f>
        <v/>
      </c>
      <c r="B99" s="57">
        <f>'CASE DATA'!B101</f>
        <v>0</v>
      </c>
      <c r="C99" s="57" t="str">
        <f>IF(SUM('CASE DATA'!J101:S101)&gt;0,IF(OR('CASE DATA'!G101="GTR",'CASE DATA'!G101="GPL",'CASE DATA'!G101="DEF"),IF('CASE DATA'!H101="YES","License &amp; registration","Registration only"),"Z - Neither license nor registration"),"Z - no debt")</f>
        <v>Z - no debt</v>
      </c>
      <c r="D99" s="82">
        <f>SUM('CASE DATA'!J101:S101)</f>
        <v>0</v>
      </c>
    </row>
    <row r="100" spans="1:4" x14ac:dyDescent="0.25">
      <c r="A100" s="57" t="str">
        <f>IF('CASE DATA'!A102="","",'CASE DATA'!A102)</f>
        <v/>
      </c>
      <c r="B100" s="57">
        <f>'CASE DATA'!B102</f>
        <v>0</v>
      </c>
      <c r="C100" s="57" t="str">
        <f>IF(SUM('CASE DATA'!J102:S102)&gt;0,IF(OR('CASE DATA'!G102="GTR",'CASE DATA'!G102="GPL",'CASE DATA'!G102="DEF"),IF('CASE DATA'!H102="YES","License &amp; registration","Registration only"),"Z - Neither license nor registration"),"Z - no debt")</f>
        <v>Z - no debt</v>
      </c>
      <c r="D100" s="82">
        <f>SUM('CASE DATA'!J102:S102)</f>
        <v>0</v>
      </c>
    </row>
    <row r="101" spans="1:4" x14ac:dyDescent="0.25">
      <c r="A101" s="57" t="str">
        <f>IF('CASE DATA'!A103="","",'CASE DATA'!A103)</f>
        <v/>
      </c>
      <c r="B101" s="57">
        <f>'CASE DATA'!B103</f>
        <v>0</v>
      </c>
      <c r="C101" s="57" t="str">
        <f>IF(SUM('CASE DATA'!J103:S103)&gt;0,IF(OR('CASE DATA'!G103="GTR",'CASE DATA'!G103="GPL",'CASE DATA'!G103="DEF"),IF('CASE DATA'!H103="YES","License &amp; registration","Registration only"),"Z - Neither license nor registration"),"Z - no debt")</f>
        <v>Z - no debt</v>
      </c>
      <c r="D101" s="82">
        <f>SUM('CASE DATA'!J103:S103)</f>
        <v>0</v>
      </c>
    </row>
    <row r="102" spans="1:4" x14ac:dyDescent="0.25">
      <c r="A102" s="57" t="str">
        <f>IF('CASE DATA'!A104="","",'CASE DATA'!A104)</f>
        <v/>
      </c>
      <c r="B102" s="57">
        <f>'CASE DATA'!B104</f>
        <v>0</v>
      </c>
      <c r="C102" s="57" t="str">
        <f>IF(SUM('CASE DATA'!J104:S104)&gt;0,IF(OR('CASE DATA'!G104="GTR",'CASE DATA'!G104="GPL",'CASE DATA'!G104="DEF"),IF('CASE DATA'!H104="YES","License &amp; registration","Registration only"),"Z - Neither license nor registration"),"Z - no debt")</f>
        <v>Z - no debt</v>
      </c>
      <c r="D102" s="82">
        <f>SUM('CASE DATA'!J104:S104)</f>
        <v>0</v>
      </c>
    </row>
    <row r="103" spans="1:4" x14ac:dyDescent="0.25">
      <c r="A103" s="57" t="str">
        <f>IF('CASE DATA'!A105="","",'CASE DATA'!A105)</f>
        <v/>
      </c>
      <c r="B103" s="57">
        <f>'CASE DATA'!B105</f>
        <v>0</v>
      </c>
      <c r="C103" s="57" t="str">
        <f>IF(SUM('CASE DATA'!J105:S105)&gt;0,IF(OR('CASE DATA'!G105="GTR",'CASE DATA'!G105="GPL",'CASE DATA'!G105="DEF"),IF('CASE DATA'!H105="YES","License &amp; registration","Registration only"),"Z - Neither license nor registration"),"Z - no debt")</f>
        <v>Z - no debt</v>
      </c>
      <c r="D103" s="82">
        <f>SUM('CASE DATA'!J105:S105)</f>
        <v>0</v>
      </c>
    </row>
    <row r="104" spans="1:4" x14ac:dyDescent="0.25">
      <c r="A104" s="57" t="str">
        <f>IF('CASE DATA'!A106="","",'CASE DATA'!A106)</f>
        <v/>
      </c>
      <c r="B104" s="57">
        <f>'CASE DATA'!B106</f>
        <v>0</v>
      </c>
      <c r="C104" s="57" t="str">
        <f>IF(SUM('CASE DATA'!J106:S106)&gt;0,IF(OR('CASE DATA'!G106="GTR",'CASE DATA'!G106="GPL",'CASE DATA'!G106="DEF"),IF('CASE DATA'!H106="YES","License &amp; registration","Registration only"),"Z - Neither license nor registration"),"Z - no debt")</f>
        <v>Z - no debt</v>
      </c>
      <c r="D104" s="82">
        <f>SUM('CASE DATA'!J106:S106)</f>
        <v>0</v>
      </c>
    </row>
    <row r="105" spans="1:4" x14ac:dyDescent="0.25">
      <c r="A105" s="57" t="str">
        <f>IF('CASE DATA'!A107="","",'CASE DATA'!A107)</f>
        <v/>
      </c>
      <c r="B105" s="57">
        <f>'CASE DATA'!B107</f>
        <v>0</v>
      </c>
      <c r="C105" s="57" t="str">
        <f>IF(SUM('CASE DATA'!J107:S107)&gt;0,IF(OR('CASE DATA'!G107="GTR",'CASE DATA'!G107="GPL",'CASE DATA'!G107="DEF"),IF('CASE DATA'!H107="YES","License &amp; registration","Registration only"),"Z - Neither license nor registration"),"Z - no debt")</f>
        <v>Z - no debt</v>
      </c>
      <c r="D105" s="82">
        <f>SUM('CASE DATA'!J107:S107)</f>
        <v>0</v>
      </c>
    </row>
    <row r="106" spans="1:4" x14ac:dyDescent="0.25">
      <c r="A106" s="57" t="str">
        <f>IF('CASE DATA'!A108="","",'CASE DATA'!A108)</f>
        <v/>
      </c>
      <c r="B106" s="57">
        <f>'CASE DATA'!B108</f>
        <v>0</v>
      </c>
      <c r="C106" s="57" t="str">
        <f>IF(SUM('CASE DATA'!J108:S108)&gt;0,IF(OR('CASE DATA'!G108="GTR",'CASE DATA'!G108="GPL",'CASE DATA'!G108="DEF"),IF('CASE DATA'!H108="YES","License &amp; registration","Registration only"),"Z - Neither license nor registration"),"Z - no debt")</f>
        <v>Z - no debt</v>
      </c>
      <c r="D106" s="82">
        <f>SUM('CASE DATA'!J108:S108)</f>
        <v>0</v>
      </c>
    </row>
    <row r="107" spans="1:4" x14ac:dyDescent="0.25">
      <c r="A107" s="57" t="str">
        <f>IF('CASE DATA'!A109="","",'CASE DATA'!A109)</f>
        <v/>
      </c>
      <c r="B107" s="57">
        <f>'CASE DATA'!B109</f>
        <v>0</v>
      </c>
      <c r="C107" s="57" t="str">
        <f>IF(SUM('CASE DATA'!J109:S109)&gt;0,IF(OR('CASE DATA'!G109="GTR",'CASE DATA'!G109="GPL",'CASE DATA'!G109="DEF"),IF('CASE DATA'!H109="YES","License &amp; registration","Registration only"),"Z - Neither license nor registration"),"Z - no debt")</f>
        <v>Z - no debt</v>
      </c>
      <c r="D107" s="82">
        <f>SUM('CASE DATA'!J109:S109)</f>
        <v>0</v>
      </c>
    </row>
    <row r="108" spans="1:4" x14ac:dyDescent="0.25">
      <c r="A108" s="57" t="str">
        <f>IF('CASE DATA'!A110="","",'CASE DATA'!A110)</f>
        <v/>
      </c>
      <c r="B108" s="57">
        <f>'CASE DATA'!B110</f>
        <v>0</v>
      </c>
      <c r="C108" s="57" t="str">
        <f>IF(SUM('CASE DATA'!J110:S110)&gt;0,IF(OR('CASE DATA'!G110="GTR",'CASE DATA'!G110="GPL",'CASE DATA'!G110="DEF"),IF('CASE DATA'!H110="YES","License &amp; registration","Registration only"),"Z - Neither license nor registration"),"Z - no debt")</f>
        <v>Z - no debt</v>
      </c>
      <c r="D108" s="82">
        <f>SUM('CASE DATA'!J110:S110)</f>
        <v>0</v>
      </c>
    </row>
    <row r="109" spans="1:4" x14ac:dyDescent="0.25">
      <c r="A109" s="57" t="str">
        <f>IF('CASE DATA'!A111="","",'CASE DATA'!A111)</f>
        <v/>
      </c>
      <c r="B109" s="57">
        <f>'CASE DATA'!B111</f>
        <v>0</v>
      </c>
      <c r="C109" s="57" t="str">
        <f>IF(SUM('CASE DATA'!J111:S111)&gt;0,IF(OR('CASE DATA'!G111="GTR",'CASE DATA'!G111="GPL",'CASE DATA'!G111="DEF"),IF('CASE DATA'!H111="YES","License &amp; registration","Registration only"),"Z - Neither license nor registration"),"Z - no debt")</f>
        <v>Z - no debt</v>
      </c>
      <c r="D109" s="82">
        <f>SUM('CASE DATA'!J111:S111)</f>
        <v>0</v>
      </c>
    </row>
    <row r="110" spans="1:4" x14ac:dyDescent="0.25">
      <c r="A110" s="57" t="str">
        <f>IF('CASE DATA'!A112="","",'CASE DATA'!A112)</f>
        <v/>
      </c>
      <c r="B110" s="57">
        <f>'CASE DATA'!B112</f>
        <v>0</v>
      </c>
      <c r="C110" s="57" t="str">
        <f>IF(SUM('CASE DATA'!J112:S112)&gt;0,IF(OR('CASE DATA'!G112="GTR",'CASE DATA'!G112="GPL",'CASE DATA'!G112="DEF"),IF('CASE DATA'!H112="YES","License &amp; registration","Registration only"),"Z - Neither license nor registration"),"Z - no debt")</f>
        <v>Z - no debt</v>
      </c>
      <c r="D110" s="82">
        <f>SUM('CASE DATA'!J112:S112)</f>
        <v>0</v>
      </c>
    </row>
    <row r="111" spans="1:4" x14ac:dyDescent="0.25">
      <c r="A111" s="57" t="str">
        <f>IF('CASE DATA'!A113="","",'CASE DATA'!A113)</f>
        <v/>
      </c>
      <c r="B111" s="57">
        <f>'CASE DATA'!B113</f>
        <v>0</v>
      </c>
      <c r="C111" s="57" t="str">
        <f>IF(SUM('CASE DATA'!J113:S113)&gt;0,IF(OR('CASE DATA'!G113="GTR",'CASE DATA'!G113="GPL",'CASE DATA'!G113="DEF"),IF('CASE DATA'!H113="YES","License &amp; registration","Registration only"),"Z - Neither license nor registration"),"Z - no debt")</f>
        <v>Z - no debt</v>
      </c>
      <c r="D111" s="82">
        <f>SUM('CASE DATA'!J113:S113)</f>
        <v>0</v>
      </c>
    </row>
    <row r="112" spans="1:4" x14ac:dyDescent="0.25">
      <c r="A112" s="57" t="str">
        <f>IF('CASE DATA'!A114="","",'CASE DATA'!A114)</f>
        <v/>
      </c>
      <c r="B112" s="57">
        <f>'CASE DATA'!B114</f>
        <v>0</v>
      </c>
      <c r="C112" s="57" t="str">
        <f>IF(SUM('CASE DATA'!J114:S114)&gt;0,IF(OR('CASE DATA'!G114="GTR",'CASE DATA'!G114="GPL",'CASE DATA'!G114="DEF"),IF('CASE DATA'!H114="YES","License &amp; registration","Registration only"),"Z - Neither license nor registration"),"Z - no debt")</f>
        <v>Z - no debt</v>
      </c>
      <c r="D112" s="82">
        <f>SUM('CASE DATA'!J114:S114)</f>
        <v>0</v>
      </c>
    </row>
    <row r="113" spans="1:4" x14ac:dyDescent="0.25">
      <c r="A113" s="57" t="str">
        <f>IF('CASE DATA'!A115="","",'CASE DATA'!A115)</f>
        <v/>
      </c>
      <c r="B113" s="57">
        <f>'CASE DATA'!B115</f>
        <v>0</v>
      </c>
      <c r="C113" s="57" t="str">
        <f>IF(SUM('CASE DATA'!J115:S115)&gt;0,IF(OR('CASE DATA'!G115="GTR",'CASE DATA'!G115="GPL",'CASE DATA'!G115="DEF"),IF('CASE DATA'!H115="YES","License &amp; registration","Registration only"),"Z - Neither license nor registration"),"Z - no debt")</f>
        <v>Z - no debt</v>
      </c>
      <c r="D113" s="82">
        <f>SUM('CASE DATA'!J115:S115)</f>
        <v>0</v>
      </c>
    </row>
    <row r="114" spans="1:4" x14ac:dyDescent="0.25">
      <c r="A114" s="57" t="str">
        <f>IF('CASE DATA'!A116="","",'CASE DATA'!A116)</f>
        <v/>
      </c>
      <c r="B114" s="57">
        <f>'CASE DATA'!B116</f>
        <v>0</v>
      </c>
      <c r="C114" s="57" t="str">
        <f>IF(SUM('CASE DATA'!J116:S116)&gt;0,IF(OR('CASE DATA'!G116="GTR",'CASE DATA'!G116="GPL",'CASE DATA'!G116="DEF"),IF('CASE DATA'!H116="YES","License &amp; registration","Registration only"),"Z - Neither license nor registration"),"Z - no debt")</f>
        <v>Z - no debt</v>
      </c>
      <c r="D114" s="82">
        <f>SUM('CASE DATA'!J116:S116)</f>
        <v>0</v>
      </c>
    </row>
    <row r="115" spans="1:4" x14ac:dyDescent="0.25">
      <c r="A115" s="57" t="str">
        <f>IF('CASE DATA'!A117="","",'CASE DATA'!A117)</f>
        <v/>
      </c>
      <c r="B115" s="57">
        <f>'CASE DATA'!B117</f>
        <v>0</v>
      </c>
      <c r="C115" s="57" t="str">
        <f>IF(SUM('CASE DATA'!J117:S117)&gt;0,IF(OR('CASE DATA'!G117="GTR",'CASE DATA'!G117="GPL",'CASE DATA'!G117="DEF"),IF('CASE DATA'!H117="YES","License &amp; registration","Registration only"),"Z - Neither license nor registration"),"Z - no debt")</f>
        <v>Z - no debt</v>
      </c>
      <c r="D115" s="82">
        <f>SUM('CASE DATA'!J117:S117)</f>
        <v>0</v>
      </c>
    </row>
    <row r="116" spans="1:4" x14ac:dyDescent="0.25">
      <c r="A116" s="57" t="str">
        <f>IF('CASE DATA'!A118="","",'CASE DATA'!A118)</f>
        <v/>
      </c>
      <c r="B116" s="57">
        <f>'CASE DATA'!B118</f>
        <v>0</v>
      </c>
      <c r="C116" s="57" t="str">
        <f>IF(SUM('CASE DATA'!J118:S118)&gt;0,IF(OR('CASE DATA'!G118="GTR",'CASE DATA'!G118="GPL",'CASE DATA'!G118="DEF"),IF('CASE DATA'!H118="YES","License &amp; registration","Registration only"),"Z - Neither license nor registration"),"Z - no debt")</f>
        <v>Z - no debt</v>
      </c>
      <c r="D116" s="82">
        <f>SUM('CASE DATA'!J118:S118)</f>
        <v>0</v>
      </c>
    </row>
    <row r="117" spans="1:4" x14ac:dyDescent="0.25">
      <c r="A117" s="57" t="str">
        <f>IF('CASE DATA'!A119="","",'CASE DATA'!A119)</f>
        <v/>
      </c>
      <c r="B117" s="57">
        <f>'CASE DATA'!B119</f>
        <v>0</v>
      </c>
      <c r="C117" s="57" t="str">
        <f>IF(SUM('CASE DATA'!J119:S119)&gt;0,IF(OR('CASE DATA'!G119="GTR",'CASE DATA'!G119="GPL",'CASE DATA'!G119="DEF"),IF('CASE DATA'!H119="YES","License &amp; registration","Registration only"),"Z - Neither license nor registration"),"Z - no debt")</f>
        <v>Z - no debt</v>
      </c>
      <c r="D117" s="82">
        <f>SUM('CASE DATA'!J119:S119)</f>
        <v>0</v>
      </c>
    </row>
    <row r="118" spans="1:4" x14ac:dyDescent="0.25">
      <c r="A118" s="57" t="str">
        <f>IF('CASE DATA'!A120="","",'CASE DATA'!A120)</f>
        <v/>
      </c>
      <c r="B118" s="57">
        <f>'CASE DATA'!B120</f>
        <v>0</v>
      </c>
      <c r="C118" s="57" t="str">
        <f>IF(SUM('CASE DATA'!J120:S120)&gt;0,IF(OR('CASE DATA'!G120="GTR",'CASE DATA'!G120="GPL",'CASE DATA'!G120="DEF"),IF('CASE DATA'!H120="YES","License &amp; registration","Registration only"),"Z - Neither license nor registration"),"Z - no debt")</f>
        <v>Z - no debt</v>
      </c>
      <c r="D118" s="82">
        <f>SUM('CASE DATA'!J120:S120)</f>
        <v>0</v>
      </c>
    </row>
    <row r="119" spans="1:4" x14ac:dyDescent="0.25">
      <c r="A119" s="57" t="str">
        <f>IF('CASE DATA'!A121="","",'CASE DATA'!A121)</f>
        <v/>
      </c>
      <c r="B119" s="57">
        <f>'CASE DATA'!B121</f>
        <v>0</v>
      </c>
      <c r="C119" s="57" t="str">
        <f>IF(SUM('CASE DATA'!J121:S121)&gt;0,IF(OR('CASE DATA'!G121="GTR",'CASE DATA'!G121="GPL",'CASE DATA'!G121="DEF"),IF('CASE DATA'!H121="YES","License &amp; registration","Registration only"),"Z - Neither license nor registration"),"Z - no debt")</f>
        <v>Z - no debt</v>
      </c>
      <c r="D119" s="82">
        <f>SUM('CASE DATA'!J121:S121)</f>
        <v>0</v>
      </c>
    </row>
    <row r="120" spans="1:4" x14ac:dyDescent="0.25">
      <c r="A120" s="57" t="str">
        <f>IF('CASE DATA'!A122="","",'CASE DATA'!A122)</f>
        <v/>
      </c>
      <c r="B120" s="57">
        <f>'CASE DATA'!B122</f>
        <v>0</v>
      </c>
      <c r="C120" s="57" t="str">
        <f>IF(SUM('CASE DATA'!J122:S122)&gt;0,IF(OR('CASE DATA'!G122="GTR",'CASE DATA'!G122="GPL",'CASE DATA'!G122="DEF"),IF('CASE DATA'!H122="YES","License &amp; registration","Registration only"),"Z - Neither license nor registration"),"Z - no debt")</f>
        <v>Z - no debt</v>
      </c>
      <c r="D120" s="82">
        <f>SUM('CASE DATA'!J122:S122)</f>
        <v>0</v>
      </c>
    </row>
    <row r="121" spans="1:4" x14ac:dyDescent="0.25">
      <c r="A121" s="57" t="str">
        <f>IF('CASE DATA'!A123="","",'CASE DATA'!A123)</f>
        <v/>
      </c>
      <c r="B121" s="57">
        <f>'CASE DATA'!B123</f>
        <v>0</v>
      </c>
      <c r="C121" s="57" t="str">
        <f>IF(SUM('CASE DATA'!J123:S123)&gt;0,IF(OR('CASE DATA'!G123="GTR",'CASE DATA'!G123="GPL",'CASE DATA'!G123="DEF"),IF('CASE DATA'!H123="YES","License &amp; registration","Registration only"),"Z - Neither license nor registration"),"Z - no debt")</f>
        <v>Z - no debt</v>
      </c>
      <c r="D121" s="82">
        <f>SUM('CASE DATA'!J123:S123)</f>
        <v>0</v>
      </c>
    </row>
    <row r="122" spans="1:4" x14ac:dyDescent="0.25">
      <c r="A122" s="57" t="str">
        <f>IF('CASE DATA'!A124="","",'CASE DATA'!A124)</f>
        <v/>
      </c>
      <c r="B122" s="57">
        <f>'CASE DATA'!B124</f>
        <v>0</v>
      </c>
      <c r="C122" s="57" t="str">
        <f>IF(SUM('CASE DATA'!J124:S124)&gt;0,IF(OR('CASE DATA'!G124="GTR",'CASE DATA'!G124="GPL",'CASE DATA'!G124="DEF"),IF('CASE DATA'!H124="YES","License &amp; registration","Registration only"),"Z - Neither license nor registration"),"Z - no debt")</f>
        <v>Z - no debt</v>
      </c>
      <c r="D122" s="82">
        <f>SUM('CASE DATA'!J124:S124)</f>
        <v>0</v>
      </c>
    </row>
    <row r="123" spans="1:4" x14ac:dyDescent="0.25">
      <c r="A123" s="57" t="str">
        <f>IF('CASE DATA'!A125="","",'CASE DATA'!A125)</f>
        <v/>
      </c>
      <c r="B123" s="57">
        <f>'CASE DATA'!B125</f>
        <v>0</v>
      </c>
      <c r="C123" s="57" t="str">
        <f>IF(SUM('CASE DATA'!J125:S125)&gt;0,IF(OR('CASE DATA'!G125="GTR",'CASE DATA'!G125="GPL",'CASE DATA'!G125="DEF"),IF('CASE DATA'!H125="YES","License &amp; registration","Registration only"),"Z - Neither license nor registration"),"Z - no debt")</f>
        <v>Z - no debt</v>
      </c>
      <c r="D123" s="82">
        <f>SUM('CASE DATA'!J125:S125)</f>
        <v>0</v>
      </c>
    </row>
    <row r="124" spans="1:4" x14ac:dyDescent="0.25">
      <c r="A124" s="57" t="str">
        <f>IF('CASE DATA'!A126="","",'CASE DATA'!A126)</f>
        <v/>
      </c>
      <c r="B124" s="57">
        <f>'CASE DATA'!B126</f>
        <v>0</v>
      </c>
      <c r="C124" s="57" t="str">
        <f>IF(SUM('CASE DATA'!J126:S126)&gt;0,IF(OR('CASE DATA'!G126="GTR",'CASE DATA'!G126="GPL",'CASE DATA'!G126="DEF"),IF('CASE DATA'!H126="YES","License &amp; registration","Registration only"),"Z - Neither license nor registration"),"Z - no debt")</f>
        <v>Z - no debt</v>
      </c>
      <c r="D124" s="82">
        <f>SUM('CASE DATA'!J126:S126)</f>
        <v>0</v>
      </c>
    </row>
    <row r="125" spans="1:4" x14ac:dyDescent="0.25">
      <c r="A125" s="57" t="str">
        <f>IF('CASE DATA'!A127="","",'CASE DATA'!A127)</f>
        <v/>
      </c>
      <c r="B125" s="57">
        <f>'CASE DATA'!B127</f>
        <v>0</v>
      </c>
      <c r="C125" s="57" t="str">
        <f>IF(SUM('CASE DATA'!J127:S127)&gt;0,IF(OR('CASE DATA'!G127="GTR",'CASE DATA'!G127="GPL",'CASE DATA'!G127="DEF"),IF('CASE DATA'!H127="YES","License &amp; registration","Registration only"),"Z - Neither license nor registration"),"Z - no debt")</f>
        <v>Z - no debt</v>
      </c>
      <c r="D125" s="82">
        <f>SUM('CASE DATA'!J127:S127)</f>
        <v>0</v>
      </c>
    </row>
    <row r="126" spans="1:4" x14ac:dyDescent="0.25">
      <c r="A126" s="57" t="str">
        <f>IF('CASE DATA'!A128="","",'CASE DATA'!A128)</f>
        <v/>
      </c>
      <c r="B126" s="57">
        <f>'CASE DATA'!B128</f>
        <v>0</v>
      </c>
      <c r="C126" s="57" t="str">
        <f>IF(SUM('CASE DATA'!J128:S128)&gt;0,IF(OR('CASE DATA'!G128="GTR",'CASE DATA'!G128="GPL",'CASE DATA'!G128="DEF"),IF('CASE DATA'!H128="YES","License &amp; registration","Registration only"),"Z - Neither license nor registration"),"Z - no debt")</f>
        <v>Z - no debt</v>
      </c>
      <c r="D126" s="82">
        <f>SUM('CASE DATA'!J128:S128)</f>
        <v>0</v>
      </c>
    </row>
    <row r="127" spans="1:4" x14ac:dyDescent="0.25">
      <c r="A127" s="57" t="str">
        <f>IF('CASE DATA'!A129="","",'CASE DATA'!A129)</f>
        <v/>
      </c>
      <c r="B127" s="57">
        <f>'CASE DATA'!B129</f>
        <v>0</v>
      </c>
      <c r="C127" s="57" t="str">
        <f>IF(SUM('CASE DATA'!J129:S129)&gt;0,IF(OR('CASE DATA'!G129="GTR",'CASE DATA'!G129="GPL",'CASE DATA'!G129="DEF"),IF('CASE DATA'!H129="YES","License &amp; registration","Registration only"),"Z - Neither license nor registration"),"Z - no debt")</f>
        <v>Z - no debt</v>
      </c>
      <c r="D127" s="82">
        <f>SUM('CASE DATA'!J129:S129)</f>
        <v>0</v>
      </c>
    </row>
    <row r="128" spans="1:4" x14ac:dyDescent="0.25">
      <c r="A128" s="57" t="str">
        <f>IF('CASE DATA'!A130="","",'CASE DATA'!A130)</f>
        <v/>
      </c>
      <c r="B128" s="57">
        <f>'CASE DATA'!B130</f>
        <v>0</v>
      </c>
      <c r="C128" s="57" t="str">
        <f>IF(SUM('CASE DATA'!J130:S130)&gt;0,IF(OR('CASE DATA'!G130="GTR",'CASE DATA'!G130="GPL",'CASE DATA'!G130="DEF"),IF('CASE DATA'!H130="YES","License &amp; registration","Registration only"),"Z - Neither license nor registration"),"Z - no debt")</f>
        <v>Z - no debt</v>
      </c>
      <c r="D128" s="82">
        <f>SUM('CASE DATA'!J130:S130)</f>
        <v>0</v>
      </c>
    </row>
    <row r="129" spans="1:4" x14ac:dyDescent="0.25">
      <c r="A129" s="57" t="str">
        <f>IF('CASE DATA'!A131="","",'CASE DATA'!A131)</f>
        <v/>
      </c>
      <c r="B129" s="57">
        <f>'CASE DATA'!B131</f>
        <v>0</v>
      </c>
      <c r="C129" s="57" t="str">
        <f>IF(SUM('CASE DATA'!J131:S131)&gt;0,IF(OR('CASE DATA'!G131="GTR",'CASE DATA'!G131="GPL",'CASE DATA'!G131="DEF"),IF('CASE DATA'!H131="YES","License &amp; registration","Registration only"),"Z - Neither license nor registration"),"Z - no debt")</f>
        <v>Z - no debt</v>
      </c>
      <c r="D129" s="82">
        <f>SUM('CASE DATA'!J131:S131)</f>
        <v>0</v>
      </c>
    </row>
    <row r="130" spans="1:4" x14ac:dyDescent="0.25">
      <c r="A130" s="57" t="str">
        <f>IF('CASE DATA'!A132="","",'CASE DATA'!A132)</f>
        <v/>
      </c>
      <c r="B130" s="57">
        <f>'CASE DATA'!B132</f>
        <v>0</v>
      </c>
      <c r="C130" s="57" t="str">
        <f>IF(SUM('CASE DATA'!J132:S132)&gt;0,IF(OR('CASE DATA'!G132="GTR",'CASE DATA'!G132="GPL",'CASE DATA'!G132="DEF"),IF('CASE DATA'!H132="YES","License &amp; registration","Registration only"),"Z - Neither license nor registration"),"Z - no debt")</f>
        <v>Z - no debt</v>
      </c>
      <c r="D130" s="82">
        <f>SUM('CASE DATA'!J132:S132)</f>
        <v>0</v>
      </c>
    </row>
    <row r="131" spans="1:4" x14ac:dyDescent="0.25">
      <c r="A131" s="57" t="str">
        <f>IF('CASE DATA'!A133="","",'CASE DATA'!A133)</f>
        <v/>
      </c>
      <c r="B131" s="57">
        <f>'CASE DATA'!B133</f>
        <v>0</v>
      </c>
      <c r="C131" s="57" t="str">
        <f>IF(SUM('CASE DATA'!J133:S133)&gt;0,IF(OR('CASE DATA'!G133="GTR",'CASE DATA'!G133="GPL",'CASE DATA'!G133="DEF"),IF('CASE DATA'!H133="YES","License &amp; registration","Registration only"),"Z - Neither license nor registration"),"Z - no debt")</f>
        <v>Z - no debt</v>
      </c>
      <c r="D131" s="82">
        <f>SUM('CASE DATA'!J133:S133)</f>
        <v>0</v>
      </c>
    </row>
    <row r="132" spans="1:4" x14ac:dyDescent="0.25">
      <c r="A132" s="57" t="str">
        <f>IF('CASE DATA'!A134="","",'CASE DATA'!A134)</f>
        <v/>
      </c>
      <c r="B132" s="57">
        <f>'CASE DATA'!B134</f>
        <v>0</v>
      </c>
      <c r="C132" s="57" t="str">
        <f>IF(SUM('CASE DATA'!J134:S134)&gt;0,IF(OR('CASE DATA'!G134="GTR",'CASE DATA'!G134="GPL",'CASE DATA'!G134="DEF"),IF('CASE DATA'!H134="YES","License &amp; registration","Registration only"),"Z - Neither license nor registration"),"Z - no debt")</f>
        <v>Z - no debt</v>
      </c>
      <c r="D132" s="82">
        <f>SUM('CASE DATA'!J134:S134)</f>
        <v>0</v>
      </c>
    </row>
    <row r="133" spans="1:4" x14ac:dyDescent="0.25">
      <c r="A133" s="57" t="str">
        <f>IF('CASE DATA'!A135="","",'CASE DATA'!A135)</f>
        <v/>
      </c>
      <c r="B133" s="57">
        <f>'CASE DATA'!B135</f>
        <v>0</v>
      </c>
      <c r="C133" s="57" t="str">
        <f>IF(SUM('CASE DATA'!J135:S135)&gt;0,IF(OR('CASE DATA'!G135="GTR",'CASE DATA'!G135="GPL",'CASE DATA'!G135="DEF"),IF('CASE DATA'!H135="YES","License &amp; registration","Registration only"),"Z - Neither license nor registration"),"Z - no debt")</f>
        <v>Z - no debt</v>
      </c>
      <c r="D133" s="82">
        <f>SUM('CASE DATA'!J135:S135)</f>
        <v>0</v>
      </c>
    </row>
    <row r="134" spans="1:4" x14ac:dyDescent="0.25">
      <c r="A134" s="57" t="str">
        <f>IF('CASE DATA'!A136="","",'CASE DATA'!A136)</f>
        <v/>
      </c>
      <c r="B134" s="57">
        <f>'CASE DATA'!B136</f>
        <v>0</v>
      </c>
      <c r="C134" s="57" t="str">
        <f>IF(SUM('CASE DATA'!J136:S136)&gt;0,IF(OR('CASE DATA'!G136="GTR",'CASE DATA'!G136="GPL",'CASE DATA'!G136="DEF"),IF('CASE DATA'!H136="YES","License &amp; registration","Registration only"),"Z - Neither license nor registration"),"Z - no debt")</f>
        <v>Z - no debt</v>
      </c>
      <c r="D134" s="82">
        <f>SUM('CASE DATA'!J136:S136)</f>
        <v>0</v>
      </c>
    </row>
    <row r="135" spans="1:4" x14ac:dyDescent="0.25">
      <c r="A135" s="57" t="str">
        <f>IF('CASE DATA'!A137="","",'CASE DATA'!A137)</f>
        <v/>
      </c>
      <c r="B135" s="57">
        <f>'CASE DATA'!B137</f>
        <v>0</v>
      </c>
      <c r="C135" s="57" t="str">
        <f>IF(SUM('CASE DATA'!J137:S137)&gt;0,IF(OR('CASE DATA'!G137="GTR",'CASE DATA'!G137="GPL",'CASE DATA'!G137="DEF"),IF('CASE DATA'!H137="YES","License &amp; registration","Registration only"),"Z - Neither license nor registration"),"Z - no debt")</f>
        <v>Z - no debt</v>
      </c>
      <c r="D135" s="82">
        <f>SUM('CASE DATA'!J137:S137)</f>
        <v>0</v>
      </c>
    </row>
    <row r="136" spans="1:4" x14ac:dyDescent="0.25">
      <c r="A136" s="57" t="str">
        <f>IF('CASE DATA'!A138="","",'CASE DATA'!A138)</f>
        <v/>
      </c>
      <c r="B136" s="57">
        <f>'CASE DATA'!B138</f>
        <v>0</v>
      </c>
      <c r="C136" s="57" t="str">
        <f>IF(SUM('CASE DATA'!J138:S138)&gt;0,IF(OR('CASE DATA'!G138="GTR",'CASE DATA'!G138="GPL",'CASE DATA'!G138="DEF"),IF('CASE DATA'!H138="YES","License &amp; registration","Registration only"),"Z - Neither license nor registration"),"Z - no debt")</f>
        <v>Z - no debt</v>
      </c>
      <c r="D136" s="82">
        <f>SUM('CASE DATA'!J138:S138)</f>
        <v>0</v>
      </c>
    </row>
    <row r="137" spans="1:4" x14ac:dyDescent="0.25">
      <c r="A137" s="57" t="str">
        <f>IF('CASE DATA'!A139="","",'CASE DATA'!A139)</f>
        <v/>
      </c>
      <c r="B137" s="57">
        <f>'CASE DATA'!B139</f>
        <v>0</v>
      </c>
      <c r="C137" s="57" t="str">
        <f>IF(SUM('CASE DATA'!J139:S139)&gt;0,IF(OR('CASE DATA'!G139="GTR",'CASE DATA'!G139="GPL",'CASE DATA'!G139="DEF"),IF('CASE DATA'!H139="YES","License &amp; registration","Registration only"),"Z - Neither license nor registration"),"Z - no debt")</f>
        <v>Z - no debt</v>
      </c>
      <c r="D137" s="82">
        <f>SUM('CASE DATA'!J139:S139)</f>
        <v>0</v>
      </c>
    </row>
    <row r="138" spans="1:4" x14ac:dyDescent="0.25">
      <c r="A138" s="57" t="str">
        <f>IF('CASE DATA'!A140="","",'CASE DATA'!A140)</f>
        <v/>
      </c>
      <c r="B138" s="57">
        <f>'CASE DATA'!B140</f>
        <v>0</v>
      </c>
      <c r="C138" s="57" t="str">
        <f>IF(SUM('CASE DATA'!J140:S140)&gt;0,IF(OR('CASE DATA'!G140="GTR",'CASE DATA'!G140="GPL",'CASE DATA'!G140="DEF"),IF('CASE DATA'!H140="YES","License &amp; registration","Registration only"),"Z - Neither license nor registration"),"Z - no debt")</f>
        <v>Z - no debt</v>
      </c>
      <c r="D138" s="82">
        <f>SUM('CASE DATA'!J140:S140)</f>
        <v>0</v>
      </c>
    </row>
    <row r="139" spans="1:4" x14ac:dyDescent="0.25">
      <c r="A139" s="57" t="str">
        <f>IF('CASE DATA'!A141="","",'CASE DATA'!A141)</f>
        <v/>
      </c>
      <c r="B139" s="57">
        <f>'CASE DATA'!B141</f>
        <v>0</v>
      </c>
      <c r="C139" s="57" t="str">
        <f>IF(SUM('CASE DATA'!J141:S141)&gt;0,IF(OR('CASE DATA'!G141="GTR",'CASE DATA'!G141="GPL",'CASE DATA'!G141="DEF"),IF('CASE DATA'!H141="YES","License &amp; registration","Registration only"),"Z - Neither license nor registration"),"Z - no debt")</f>
        <v>Z - no debt</v>
      </c>
      <c r="D139" s="82">
        <f>SUM('CASE DATA'!J141:S141)</f>
        <v>0</v>
      </c>
    </row>
    <row r="140" spans="1:4" x14ac:dyDescent="0.25">
      <c r="A140" s="57" t="str">
        <f>IF('CASE DATA'!A142="","",'CASE DATA'!A142)</f>
        <v/>
      </c>
      <c r="B140" s="57">
        <f>'CASE DATA'!B142</f>
        <v>0</v>
      </c>
      <c r="C140" s="57" t="str">
        <f>IF(SUM('CASE DATA'!J142:S142)&gt;0,IF(OR('CASE DATA'!G142="GTR",'CASE DATA'!G142="GPL",'CASE DATA'!G142="DEF"),IF('CASE DATA'!H142="YES","License &amp; registration","Registration only"),"Z - Neither license nor registration"),"Z - no debt")</f>
        <v>Z - no debt</v>
      </c>
      <c r="D140" s="82">
        <f>SUM('CASE DATA'!J142:S142)</f>
        <v>0</v>
      </c>
    </row>
    <row r="141" spans="1:4" x14ac:dyDescent="0.25">
      <c r="A141" s="57" t="str">
        <f>IF('CASE DATA'!A143="","",'CASE DATA'!A143)</f>
        <v/>
      </c>
      <c r="B141" s="57">
        <f>'CASE DATA'!B143</f>
        <v>0</v>
      </c>
      <c r="C141" s="57" t="str">
        <f>IF(SUM('CASE DATA'!J143:S143)&gt;0,IF(OR('CASE DATA'!G143="GTR",'CASE DATA'!G143="GPL",'CASE DATA'!G143="DEF"),IF('CASE DATA'!H143="YES","License &amp; registration","Registration only"),"Z - Neither license nor registration"),"Z - no debt")</f>
        <v>Z - no debt</v>
      </c>
      <c r="D141" s="82">
        <f>SUM('CASE DATA'!J143:S143)</f>
        <v>0</v>
      </c>
    </row>
    <row r="142" spans="1:4" x14ac:dyDescent="0.25">
      <c r="A142" s="57" t="str">
        <f>IF('CASE DATA'!A144="","",'CASE DATA'!A144)</f>
        <v/>
      </c>
      <c r="B142" s="57">
        <f>'CASE DATA'!B144</f>
        <v>0</v>
      </c>
      <c r="C142" s="57" t="str">
        <f>IF(SUM('CASE DATA'!J144:S144)&gt;0,IF(OR('CASE DATA'!G144="GTR",'CASE DATA'!G144="GPL",'CASE DATA'!G144="DEF"),IF('CASE DATA'!H144="YES","License &amp; registration","Registration only"),"Z - Neither license nor registration"),"Z - no debt")</f>
        <v>Z - no debt</v>
      </c>
      <c r="D142" s="82">
        <f>SUM('CASE DATA'!J144:S144)</f>
        <v>0</v>
      </c>
    </row>
    <row r="143" spans="1:4" x14ac:dyDescent="0.25">
      <c r="A143" s="57" t="str">
        <f>IF('CASE DATA'!A145="","",'CASE DATA'!A145)</f>
        <v/>
      </c>
      <c r="B143" s="57">
        <f>'CASE DATA'!B145</f>
        <v>0</v>
      </c>
      <c r="C143" s="57" t="str">
        <f>IF(SUM('CASE DATA'!J145:S145)&gt;0,IF(OR('CASE DATA'!G145="GTR",'CASE DATA'!G145="GPL",'CASE DATA'!G145="DEF"),IF('CASE DATA'!H145="YES","License &amp; registration","Registration only"),"Z - Neither license nor registration"),"Z - no debt")</f>
        <v>Z - no debt</v>
      </c>
      <c r="D143" s="82">
        <f>SUM('CASE DATA'!J145:S145)</f>
        <v>0</v>
      </c>
    </row>
    <row r="144" spans="1:4" x14ac:dyDescent="0.25">
      <c r="A144" s="57" t="str">
        <f>IF('CASE DATA'!A146="","",'CASE DATA'!A146)</f>
        <v/>
      </c>
      <c r="B144" s="57">
        <f>'CASE DATA'!B146</f>
        <v>0</v>
      </c>
      <c r="C144" s="57" t="str">
        <f>IF(SUM('CASE DATA'!J146:S146)&gt;0,IF(OR('CASE DATA'!G146="GTR",'CASE DATA'!G146="GPL",'CASE DATA'!G146="DEF"),IF('CASE DATA'!H146="YES","License &amp; registration","Registration only"),"Z - Neither license nor registration"),"Z - no debt")</f>
        <v>Z - no debt</v>
      </c>
      <c r="D144" s="82">
        <f>SUM('CASE DATA'!J146:S146)</f>
        <v>0</v>
      </c>
    </row>
    <row r="145" spans="1:4" x14ac:dyDescent="0.25">
      <c r="A145" s="57" t="str">
        <f>IF('CASE DATA'!A147="","",'CASE DATA'!A147)</f>
        <v/>
      </c>
      <c r="B145" s="57">
        <f>'CASE DATA'!B147</f>
        <v>0</v>
      </c>
      <c r="C145" s="57" t="str">
        <f>IF(SUM('CASE DATA'!J147:S147)&gt;0,IF(OR('CASE DATA'!G147="GTR",'CASE DATA'!G147="GPL",'CASE DATA'!G147="DEF"),IF('CASE DATA'!H147="YES","License &amp; registration","Registration only"),"Z - Neither license nor registration"),"Z - no debt")</f>
        <v>Z - no debt</v>
      </c>
      <c r="D145" s="82">
        <f>SUM('CASE DATA'!J147:S147)</f>
        <v>0</v>
      </c>
    </row>
    <row r="146" spans="1:4" x14ac:dyDescent="0.25">
      <c r="A146" s="57" t="str">
        <f>IF('CASE DATA'!A148="","",'CASE DATA'!A148)</f>
        <v/>
      </c>
      <c r="B146" s="57">
        <f>'CASE DATA'!B148</f>
        <v>0</v>
      </c>
      <c r="C146" s="57" t="str">
        <f>IF(SUM('CASE DATA'!J148:S148)&gt;0,IF(OR('CASE DATA'!G148="GTR",'CASE DATA'!G148="GPL",'CASE DATA'!G148="DEF"),IF('CASE DATA'!H148="YES","License &amp; registration","Registration only"),"Z - Neither license nor registration"),"Z - no debt")</f>
        <v>Z - no debt</v>
      </c>
      <c r="D146" s="82">
        <f>SUM('CASE DATA'!J148:S148)</f>
        <v>0</v>
      </c>
    </row>
    <row r="147" spans="1:4" x14ac:dyDescent="0.25">
      <c r="A147" s="57" t="str">
        <f>IF('CASE DATA'!A149="","",'CASE DATA'!A149)</f>
        <v/>
      </c>
      <c r="B147" s="57">
        <f>'CASE DATA'!B149</f>
        <v>0</v>
      </c>
      <c r="C147" s="57" t="str">
        <f>IF(SUM('CASE DATA'!J149:S149)&gt;0,IF(OR('CASE DATA'!G149="GTR",'CASE DATA'!G149="GPL",'CASE DATA'!G149="DEF"),IF('CASE DATA'!H149="YES","License &amp; registration","Registration only"),"Z - Neither license nor registration"),"Z - no debt")</f>
        <v>Z - no debt</v>
      </c>
      <c r="D147" s="82">
        <f>SUM('CASE DATA'!J149:S149)</f>
        <v>0</v>
      </c>
    </row>
    <row r="148" spans="1:4" x14ac:dyDescent="0.25">
      <c r="A148" s="57" t="str">
        <f>IF('CASE DATA'!A150="","",'CASE DATA'!A150)</f>
        <v/>
      </c>
      <c r="B148" s="57">
        <f>'CASE DATA'!B150</f>
        <v>0</v>
      </c>
      <c r="C148" s="57" t="str">
        <f>IF(SUM('CASE DATA'!J150:S150)&gt;0,IF(OR('CASE DATA'!G150="GTR",'CASE DATA'!G150="GPL",'CASE DATA'!G150="DEF"),IF('CASE DATA'!H150="YES","License &amp; registration","Registration only"),"Z - Neither license nor registration"),"Z - no debt")</f>
        <v>Z - no debt</v>
      </c>
      <c r="D148" s="82">
        <f>SUM('CASE DATA'!J150:S150)</f>
        <v>0</v>
      </c>
    </row>
    <row r="149" spans="1:4" x14ac:dyDescent="0.25">
      <c r="A149" s="57" t="str">
        <f>IF('CASE DATA'!A151="","",'CASE DATA'!A151)</f>
        <v/>
      </c>
      <c r="B149" s="57">
        <f>'CASE DATA'!B151</f>
        <v>0</v>
      </c>
      <c r="C149" s="57" t="str">
        <f>IF(SUM('CASE DATA'!J151:S151)&gt;0,IF(OR('CASE DATA'!G151="GTR",'CASE DATA'!G151="GPL",'CASE DATA'!G151="DEF"),IF('CASE DATA'!H151="YES","License &amp; registration","Registration only"),"Z - Neither license nor registration"),"Z - no debt")</f>
        <v>Z - no debt</v>
      </c>
      <c r="D149" s="82">
        <f>SUM('CASE DATA'!J151:S151)</f>
        <v>0</v>
      </c>
    </row>
    <row r="150" spans="1:4" x14ac:dyDescent="0.25">
      <c r="A150" s="57" t="str">
        <f>IF('CASE DATA'!A152="","",'CASE DATA'!A152)</f>
        <v/>
      </c>
      <c r="B150" s="57">
        <f>'CASE DATA'!B152</f>
        <v>0</v>
      </c>
      <c r="C150" s="57" t="str">
        <f>IF(SUM('CASE DATA'!J152:S152)&gt;0,IF(OR('CASE DATA'!G152="GTR",'CASE DATA'!G152="GPL",'CASE DATA'!G152="DEF"),IF('CASE DATA'!H152="YES","License &amp; registration","Registration only"),"Z - Neither license nor registration"),"Z - no debt")</f>
        <v>Z - no debt</v>
      </c>
      <c r="D150" s="82">
        <f>SUM('CASE DATA'!J152:S152)</f>
        <v>0</v>
      </c>
    </row>
    <row r="151" spans="1:4" x14ac:dyDescent="0.25">
      <c r="A151" s="57" t="str">
        <f>IF('CASE DATA'!A153="","",'CASE DATA'!A153)</f>
        <v/>
      </c>
      <c r="B151" s="57">
        <f>'CASE DATA'!B153</f>
        <v>0</v>
      </c>
      <c r="C151" s="57" t="str">
        <f>IF(SUM('CASE DATA'!J153:S153)&gt;0,IF(OR('CASE DATA'!G153="GTR",'CASE DATA'!G153="GPL",'CASE DATA'!G153="DEF"),IF('CASE DATA'!H153="YES","License &amp; registration","Registration only"),"Z - Neither license nor registration"),"Z - no debt")</f>
        <v>Z - no debt</v>
      </c>
      <c r="D151" s="82">
        <f>SUM('CASE DATA'!J153:S153)</f>
        <v>0</v>
      </c>
    </row>
    <row r="152" spans="1:4" x14ac:dyDescent="0.25">
      <c r="A152" s="57" t="str">
        <f>IF('CASE DATA'!A154="","",'CASE DATA'!A154)</f>
        <v/>
      </c>
      <c r="B152" s="57">
        <f>'CASE DATA'!B154</f>
        <v>0</v>
      </c>
      <c r="C152" s="57" t="str">
        <f>IF(SUM('CASE DATA'!J154:S154)&gt;0,IF(OR('CASE DATA'!G154="GTR",'CASE DATA'!G154="GPL",'CASE DATA'!G154="DEF"),IF('CASE DATA'!H154="YES","License &amp; registration","Registration only"),"Z - Neither license nor registration"),"Z - no debt")</f>
        <v>Z - no debt</v>
      </c>
      <c r="D152" s="82">
        <f>SUM('CASE DATA'!J154:S154)</f>
        <v>0</v>
      </c>
    </row>
    <row r="153" spans="1:4" x14ac:dyDescent="0.25">
      <c r="A153" s="57" t="str">
        <f>IF('CASE DATA'!A155="","",'CASE DATA'!A155)</f>
        <v/>
      </c>
      <c r="B153" s="57">
        <f>'CASE DATA'!B155</f>
        <v>0</v>
      </c>
      <c r="C153" s="57" t="str">
        <f>IF(SUM('CASE DATA'!J155:S155)&gt;0,IF(OR('CASE DATA'!G155="GTR",'CASE DATA'!G155="GPL",'CASE DATA'!G155="DEF"),IF('CASE DATA'!H155="YES","License &amp; registration","Registration only"),"Z - Neither license nor registration"),"Z - no debt")</f>
        <v>Z - no debt</v>
      </c>
      <c r="D153" s="82">
        <f>SUM('CASE DATA'!J155:S155)</f>
        <v>0</v>
      </c>
    </row>
    <row r="154" spans="1:4" x14ac:dyDescent="0.25">
      <c r="A154" s="57" t="str">
        <f>IF('CASE DATA'!A156="","",'CASE DATA'!A156)</f>
        <v/>
      </c>
      <c r="B154" s="57">
        <f>'CASE DATA'!B156</f>
        <v>0</v>
      </c>
      <c r="C154" s="57" t="str">
        <f>IF(SUM('CASE DATA'!J156:S156)&gt;0,IF(OR('CASE DATA'!G156="GTR",'CASE DATA'!G156="GPL",'CASE DATA'!G156="DEF"),IF('CASE DATA'!H156="YES","License &amp; registration","Registration only"),"Z - Neither license nor registration"),"Z - no debt")</f>
        <v>Z - no debt</v>
      </c>
      <c r="D154" s="82">
        <f>SUM('CASE DATA'!J156:S156)</f>
        <v>0</v>
      </c>
    </row>
    <row r="155" spans="1:4" x14ac:dyDescent="0.25">
      <c r="A155" s="57" t="str">
        <f>IF('CASE DATA'!A157="","",'CASE DATA'!A157)</f>
        <v/>
      </c>
      <c r="B155" s="57">
        <f>'CASE DATA'!B157</f>
        <v>0</v>
      </c>
      <c r="C155" s="57" t="str">
        <f>IF(SUM('CASE DATA'!J157:S157)&gt;0,IF(OR('CASE DATA'!G157="GTR",'CASE DATA'!G157="GPL",'CASE DATA'!G157="DEF"),IF('CASE DATA'!H157="YES","License &amp; registration","Registration only"),"Z - Neither license nor registration"),"Z - no debt")</f>
        <v>Z - no debt</v>
      </c>
      <c r="D155" s="82">
        <f>SUM('CASE DATA'!J157:S157)</f>
        <v>0</v>
      </c>
    </row>
    <row r="156" spans="1:4" x14ac:dyDescent="0.25">
      <c r="A156" s="57" t="str">
        <f>IF('CASE DATA'!A158="","",'CASE DATA'!A158)</f>
        <v/>
      </c>
      <c r="B156" s="57">
        <f>'CASE DATA'!B158</f>
        <v>0</v>
      </c>
      <c r="C156" s="57" t="str">
        <f>IF(SUM('CASE DATA'!J158:S158)&gt;0,IF(OR('CASE DATA'!G158="GTR",'CASE DATA'!G158="GPL",'CASE DATA'!G158="DEF"),IF('CASE DATA'!H158="YES","License &amp; registration","Registration only"),"Z - Neither license nor registration"),"Z - no debt")</f>
        <v>Z - no debt</v>
      </c>
      <c r="D156" s="82">
        <f>SUM('CASE DATA'!J158:S158)</f>
        <v>0</v>
      </c>
    </row>
    <row r="157" spans="1:4" x14ac:dyDescent="0.25">
      <c r="A157" s="57" t="str">
        <f>IF('CASE DATA'!A159="","",'CASE DATA'!A159)</f>
        <v/>
      </c>
      <c r="B157" s="57">
        <f>'CASE DATA'!B159</f>
        <v>0</v>
      </c>
      <c r="C157" s="57" t="str">
        <f>IF(SUM('CASE DATA'!J159:S159)&gt;0,IF(OR('CASE DATA'!G159="GTR",'CASE DATA'!G159="GPL",'CASE DATA'!G159="DEF"),IF('CASE DATA'!H159="YES","License &amp; registration","Registration only"),"Z - Neither license nor registration"),"Z - no debt")</f>
        <v>Z - no debt</v>
      </c>
      <c r="D157" s="82">
        <f>SUM('CASE DATA'!J159:S159)</f>
        <v>0</v>
      </c>
    </row>
    <row r="158" spans="1:4" x14ac:dyDescent="0.25">
      <c r="A158" s="57" t="str">
        <f>IF('CASE DATA'!A160="","",'CASE DATA'!A160)</f>
        <v/>
      </c>
      <c r="B158" s="57">
        <f>'CASE DATA'!B160</f>
        <v>0</v>
      </c>
      <c r="C158" s="57" t="str">
        <f>IF(SUM('CASE DATA'!J160:S160)&gt;0,IF(OR('CASE DATA'!G160="GTR",'CASE DATA'!G160="GPL",'CASE DATA'!G160="DEF"),IF('CASE DATA'!H160="YES","License &amp; registration","Registration only"),"Z - Neither license nor registration"),"Z - no debt")</f>
        <v>Z - no debt</v>
      </c>
      <c r="D158" s="82">
        <f>SUM('CASE DATA'!J160:S160)</f>
        <v>0</v>
      </c>
    </row>
    <row r="159" spans="1:4" x14ac:dyDescent="0.25">
      <c r="A159" s="57" t="str">
        <f>IF('CASE DATA'!A161="","",'CASE DATA'!A161)</f>
        <v/>
      </c>
      <c r="B159" s="57">
        <f>'CASE DATA'!B161</f>
        <v>0</v>
      </c>
      <c r="C159" s="57" t="str">
        <f>IF(SUM('CASE DATA'!J161:S161)&gt;0,IF(OR('CASE DATA'!G161="GTR",'CASE DATA'!G161="GPL",'CASE DATA'!G161="DEF"),IF('CASE DATA'!H161="YES","License &amp; registration","Registration only"),"Z - Neither license nor registration"),"Z - no debt")</f>
        <v>Z - no debt</v>
      </c>
      <c r="D159" s="82">
        <f>SUM('CASE DATA'!J161:S161)</f>
        <v>0</v>
      </c>
    </row>
    <row r="160" spans="1:4" x14ac:dyDescent="0.25">
      <c r="A160" s="57" t="str">
        <f>IF('CASE DATA'!A162="","",'CASE DATA'!A162)</f>
        <v/>
      </c>
      <c r="B160" s="57">
        <f>'CASE DATA'!B162</f>
        <v>0</v>
      </c>
      <c r="C160" s="57" t="str">
        <f>IF(SUM('CASE DATA'!J162:S162)&gt;0,IF(OR('CASE DATA'!G162="GTR",'CASE DATA'!G162="GPL",'CASE DATA'!G162="DEF"),IF('CASE DATA'!H162="YES","License &amp; registration","Registration only"),"Z - Neither license nor registration"),"Z - no debt")</f>
        <v>Z - no debt</v>
      </c>
      <c r="D160" s="82">
        <f>SUM('CASE DATA'!J162:S162)</f>
        <v>0</v>
      </c>
    </row>
    <row r="161" spans="1:4" x14ac:dyDescent="0.25">
      <c r="A161" s="57" t="str">
        <f>IF('CASE DATA'!A163="","",'CASE DATA'!A163)</f>
        <v/>
      </c>
      <c r="B161" s="57">
        <f>'CASE DATA'!B163</f>
        <v>0</v>
      </c>
      <c r="C161" s="57" t="str">
        <f>IF(SUM('CASE DATA'!J163:S163)&gt;0,IF(OR('CASE DATA'!G163="GTR",'CASE DATA'!G163="GPL",'CASE DATA'!G163="DEF"),IF('CASE DATA'!H163="YES","License &amp; registration","Registration only"),"Z - Neither license nor registration"),"Z - no debt")</f>
        <v>Z - no debt</v>
      </c>
      <c r="D161" s="82">
        <f>SUM('CASE DATA'!J163:S163)</f>
        <v>0</v>
      </c>
    </row>
    <row r="162" spans="1:4" x14ac:dyDescent="0.25">
      <c r="A162" s="57" t="str">
        <f>IF('CASE DATA'!A164="","",'CASE DATA'!A164)</f>
        <v/>
      </c>
      <c r="B162" s="57">
        <f>'CASE DATA'!B164</f>
        <v>0</v>
      </c>
      <c r="C162" s="57" t="str">
        <f>IF(SUM('CASE DATA'!J164:S164)&gt;0,IF(OR('CASE DATA'!G164="GTR",'CASE DATA'!G164="GPL",'CASE DATA'!G164="DEF"),IF('CASE DATA'!H164="YES","License &amp; registration","Registration only"),"Z - Neither license nor registration"),"Z - no debt")</f>
        <v>Z - no debt</v>
      </c>
      <c r="D162" s="82">
        <f>SUM('CASE DATA'!J164:S164)</f>
        <v>0</v>
      </c>
    </row>
    <row r="163" spans="1:4" x14ac:dyDescent="0.25">
      <c r="A163" s="57" t="str">
        <f>IF('CASE DATA'!A165="","",'CASE DATA'!A165)</f>
        <v/>
      </c>
      <c r="B163" s="57">
        <f>'CASE DATA'!B165</f>
        <v>0</v>
      </c>
      <c r="C163" s="57" t="str">
        <f>IF(SUM('CASE DATA'!J165:S165)&gt;0,IF(OR('CASE DATA'!G165="GTR",'CASE DATA'!G165="GPL",'CASE DATA'!G165="DEF"),IF('CASE DATA'!H165="YES","License &amp; registration","Registration only"),"Z - Neither license nor registration"),"Z - no debt")</f>
        <v>Z - no debt</v>
      </c>
      <c r="D163" s="82">
        <f>SUM('CASE DATA'!J165:S165)</f>
        <v>0</v>
      </c>
    </row>
    <row r="164" spans="1:4" x14ac:dyDescent="0.25">
      <c r="A164" s="57" t="str">
        <f>IF('CASE DATA'!A166="","",'CASE DATA'!A166)</f>
        <v/>
      </c>
      <c r="B164" s="57">
        <f>'CASE DATA'!B166</f>
        <v>0</v>
      </c>
      <c r="C164" s="57" t="str">
        <f>IF(SUM('CASE DATA'!J166:S166)&gt;0,IF(OR('CASE DATA'!G166="GTR",'CASE DATA'!G166="GPL",'CASE DATA'!G166="DEF"),IF('CASE DATA'!H166="YES","License &amp; registration","Registration only"),"Z - Neither license nor registration"),"Z - no debt")</f>
        <v>Z - no debt</v>
      </c>
      <c r="D164" s="82">
        <f>SUM('CASE DATA'!J166:S166)</f>
        <v>0</v>
      </c>
    </row>
    <row r="165" spans="1:4" x14ac:dyDescent="0.25">
      <c r="A165" s="57" t="str">
        <f>IF('CASE DATA'!A167="","",'CASE DATA'!A167)</f>
        <v/>
      </c>
      <c r="B165" s="57">
        <f>'CASE DATA'!B167</f>
        <v>0</v>
      </c>
      <c r="C165" s="57" t="str">
        <f>IF(SUM('CASE DATA'!J167:S167)&gt;0,IF(OR('CASE DATA'!G167="GTR",'CASE DATA'!G167="GPL",'CASE DATA'!G167="DEF"),IF('CASE DATA'!H167="YES","License &amp; registration","Registration only"),"Z - Neither license nor registration"),"Z - no debt")</f>
        <v>Z - no debt</v>
      </c>
      <c r="D165" s="82">
        <f>SUM('CASE DATA'!J167:S167)</f>
        <v>0</v>
      </c>
    </row>
    <row r="166" spans="1:4" x14ac:dyDescent="0.25">
      <c r="A166" s="57" t="str">
        <f>IF('CASE DATA'!A168="","",'CASE DATA'!A168)</f>
        <v/>
      </c>
      <c r="B166" s="57">
        <f>'CASE DATA'!B168</f>
        <v>0</v>
      </c>
      <c r="C166" s="57" t="str">
        <f>IF(SUM('CASE DATA'!J168:S168)&gt;0,IF(OR('CASE DATA'!G168="GTR",'CASE DATA'!G168="GPL",'CASE DATA'!G168="DEF"),IF('CASE DATA'!H168="YES","License &amp; registration","Registration only"),"Z - Neither license nor registration"),"Z - no debt")</f>
        <v>Z - no debt</v>
      </c>
      <c r="D166" s="82">
        <f>SUM('CASE DATA'!J168:S168)</f>
        <v>0</v>
      </c>
    </row>
    <row r="167" spans="1:4" x14ac:dyDescent="0.25">
      <c r="A167" s="57" t="str">
        <f>IF('CASE DATA'!A169="","",'CASE DATA'!A169)</f>
        <v/>
      </c>
      <c r="B167" s="57">
        <f>'CASE DATA'!B169</f>
        <v>0</v>
      </c>
      <c r="C167" s="57" t="str">
        <f>IF(SUM('CASE DATA'!J169:S169)&gt;0,IF(OR('CASE DATA'!G169="GTR",'CASE DATA'!G169="GPL",'CASE DATA'!G169="DEF"),IF('CASE DATA'!H169="YES","License &amp; registration","Registration only"),"Z - Neither license nor registration"),"Z - no debt")</f>
        <v>Z - no debt</v>
      </c>
      <c r="D167" s="82">
        <f>SUM('CASE DATA'!J169:S169)</f>
        <v>0</v>
      </c>
    </row>
    <row r="168" spans="1:4" x14ac:dyDescent="0.25">
      <c r="A168" s="57" t="str">
        <f>IF('CASE DATA'!A170="","",'CASE DATA'!A170)</f>
        <v/>
      </c>
      <c r="B168" s="57">
        <f>'CASE DATA'!B170</f>
        <v>0</v>
      </c>
      <c r="C168" s="57" t="str">
        <f>IF(SUM('CASE DATA'!J170:S170)&gt;0,IF(OR('CASE DATA'!G170="GTR",'CASE DATA'!G170="GPL",'CASE DATA'!G170="DEF"),IF('CASE DATA'!H170="YES","License &amp; registration","Registration only"),"Z - Neither license nor registration"),"Z - no debt")</f>
        <v>Z - no debt</v>
      </c>
      <c r="D168" s="82">
        <f>SUM('CASE DATA'!J170:S170)</f>
        <v>0</v>
      </c>
    </row>
    <row r="169" spans="1:4" x14ac:dyDescent="0.25">
      <c r="A169" s="57" t="str">
        <f>IF('CASE DATA'!A171="","",'CASE DATA'!A171)</f>
        <v/>
      </c>
      <c r="B169" s="57">
        <f>'CASE DATA'!B171</f>
        <v>0</v>
      </c>
      <c r="C169" s="57" t="str">
        <f>IF(SUM('CASE DATA'!J171:S171)&gt;0,IF(OR('CASE DATA'!G171="GTR",'CASE DATA'!G171="GPL",'CASE DATA'!G171="DEF"),IF('CASE DATA'!H171="YES","License &amp; registration","Registration only"),"Z - Neither license nor registration"),"Z - no debt")</f>
        <v>Z - no debt</v>
      </c>
      <c r="D169" s="82">
        <f>SUM('CASE DATA'!J171:S171)</f>
        <v>0</v>
      </c>
    </row>
    <row r="170" spans="1:4" x14ac:dyDescent="0.25">
      <c r="A170" s="57" t="str">
        <f>IF('CASE DATA'!A172="","",'CASE DATA'!A172)</f>
        <v/>
      </c>
      <c r="B170" s="57">
        <f>'CASE DATA'!B172</f>
        <v>0</v>
      </c>
      <c r="C170" s="57" t="str">
        <f>IF(SUM('CASE DATA'!J172:S172)&gt;0,IF(OR('CASE DATA'!G172="GTR",'CASE DATA'!G172="GPL",'CASE DATA'!G172="DEF"),IF('CASE DATA'!H172="YES","License &amp; registration","Registration only"),"Z - Neither license nor registration"),"Z - no debt")</f>
        <v>Z - no debt</v>
      </c>
      <c r="D170" s="82">
        <f>SUM('CASE DATA'!J172:S172)</f>
        <v>0</v>
      </c>
    </row>
    <row r="171" spans="1:4" x14ac:dyDescent="0.25">
      <c r="A171" s="57" t="str">
        <f>IF('CASE DATA'!A173="","",'CASE DATA'!A173)</f>
        <v/>
      </c>
      <c r="B171" s="57">
        <f>'CASE DATA'!B173</f>
        <v>0</v>
      </c>
      <c r="C171" s="57" t="str">
        <f>IF(SUM('CASE DATA'!J173:S173)&gt;0,IF(OR('CASE DATA'!G173="GTR",'CASE DATA'!G173="GPL",'CASE DATA'!G173="DEF"),IF('CASE DATA'!H173="YES","License &amp; registration","Registration only"),"Z - Neither license nor registration"),"Z - no debt")</f>
        <v>Z - no debt</v>
      </c>
      <c r="D171" s="82">
        <f>SUM('CASE DATA'!J173:S173)</f>
        <v>0</v>
      </c>
    </row>
    <row r="172" spans="1:4" x14ac:dyDescent="0.25">
      <c r="A172" s="57" t="str">
        <f>IF('CASE DATA'!A174="","",'CASE DATA'!A174)</f>
        <v/>
      </c>
      <c r="B172" s="57">
        <f>'CASE DATA'!B174</f>
        <v>0</v>
      </c>
      <c r="C172" s="57" t="str">
        <f>IF(SUM('CASE DATA'!J174:S174)&gt;0,IF(OR('CASE DATA'!G174="GTR",'CASE DATA'!G174="GPL",'CASE DATA'!G174="DEF"),IF('CASE DATA'!H174="YES","License &amp; registration","Registration only"),"Z - Neither license nor registration"),"Z - no debt")</f>
        <v>Z - no debt</v>
      </c>
      <c r="D172" s="82">
        <f>SUM('CASE DATA'!J174:S174)</f>
        <v>0</v>
      </c>
    </row>
    <row r="173" spans="1:4" x14ac:dyDescent="0.25">
      <c r="A173" s="57" t="str">
        <f>IF('CASE DATA'!A175="","",'CASE DATA'!A175)</f>
        <v/>
      </c>
      <c r="B173" s="57">
        <f>'CASE DATA'!B175</f>
        <v>0</v>
      </c>
      <c r="C173" s="57" t="str">
        <f>IF(SUM('CASE DATA'!J175:S175)&gt;0,IF(OR('CASE DATA'!G175="GTR",'CASE DATA'!G175="GPL",'CASE DATA'!G175="DEF"),IF('CASE DATA'!H175="YES","License &amp; registration","Registration only"),"Z - Neither license nor registration"),"Z - no debt")</f>
        <v>Z - no debt</v>
      </c>
      <c r="D173" s="82">
        <f>SUM('CASE DATA'!J175:S175)</f>
        <v>0</v>
      </c>
    </row>
    <row r="174" spans="1:4" x14ac:dyDescent="0.25">
      <c r="A174" s="57" t="str">
        <f>IF('CASE DATA'!A176="","",'CASE DATA'!A176)</f>
        <v/>
      </c>
      <c r="B174" s="57">
        <f>'CASE DATA'!B176</f>
        <v>0</v>
      </c>
      <c r="C174" s="57" t="str">
        <f>IF(SUM('CASE DATA'!J176:S176)&gt;0,IF(OR('CASE DATA'!G176="GTR",'CASE DATA'!G176="GPL",'CASE DATA'!G176="DEF"),IF('CASE DATA'!H176="YES","License &amp; registration","Registration only"),"Z - Neither license nor registration"),"Z - no debt")</f>
        <v>Z - no debt</v>
      </c>
      <c r="D174" s="82">
        <f>SUM('CASE DATA'!J176:S176)</f>
        <v>0</v>
      </c>
    </row>
    <row r="175" spans="1:4" x14ac:dyDescent="0.25">
      <c r="A175" s="57" t="str">
        <f>IF('CASE DATA'!A177="","",'CASE DATA'!A177)</f>
        <v/>
      </c>
      <c r="B175" s="57">
        <f>'CASE DATA'!B177</f>
        <v>0</v>
      </c>
      <c r="C175" s="57" t="str">
        <f>IF(SUM('CASE DATA'!J177:S177)&gt;0,IF(OR('CASE DATA'!G177="GTR",'CASE DATA'!G177="GPL",'CASE DATA'!G177="DEF"),IF('CASE DATA'!H177="YES","License &amp; registration","Registration only"),"Z - Neither license nor registration"),"Z - no debt")</f>
        <v>Z - no debt</v>
      </c>
      <c r="D175" s="82">
        <f>SUM('CASE DATA'!J177:S177)</f>
        <v>0</v>
      </c>
    </row>
    <row r="176" spans="1:4" x14ac:dyDescent="0.25">
      <c r="A176" s="57" t="str">
        <f>IF('CASE DATA'!A178="","",'CASE DATA'!A178)</f>
        <v/>
      </c>
      <c r="B176" s="57">
        <f>'CASE DATA'!B178</f>
        <v>0</v>
      </c>
      <c r="C176" s="57" t="str">
        <f>IF(SUM('CASE DATA'!J178:S178)&gt;0,IF(OR('CASE DATA'!G178="GTR",'CASE DATA'!G178="GPL",'CASE DATA'!G178="DEF"),IF('CASE DATA'!H178="YES","License &amp; registration","Registration only"),"Z - Neither license nor registration"),"Z - no debt")</f>
        <v>Z - no debt</v>
      </c>
      <c r="D176" s="82">
        <f>SUM('CASE DATA'!J178:S178)</f>
        <v>0</v>
      </c>
    </row>
    <row r="177" spans="1:4" x14ac:dyDescent="0.25">
      <c r="A177" s="57" t="str">
        <f>IF('CASE DATA'!A179="","",'CASE DATA'!A179)</f>
        <v/>
      </c>
      <c r="B177" s="57">
        <f>'CASE DATA'!B179</f>
        <v>0</v>
      </c>
      <c r="C177" s="57" t="str">
        <f>IF(SUM('CASE DATA'!J179:S179)&gt;0,IF(OR('CASE DATA'!G179="GTR",'CASE DATA'!G179="GPL",'CASE DATA'!G179="DEF"),IF('CASE DATA'!H179="YES","License &amp; registration","Registration only"),"Z - Neither license nor registration"),"Z - no debt")</f>
        <v>Z - no debt</v>
      </c>
      <c r="D177" s="82">
        <f>SUM('CASE DATA'!J179:S179)</f>
        <v>0</v>
      </c>
    </row>
    <row r="178" spans="1:4" x14ac:dyDescent="0.25">
      <c r="A178" s="57" t="str">
        <f>IF('CASE DATA'!A180="","",'CASE DATA'!A180)</f>
        <v/>
      </c>
      <c r="B178" s="57">
        <f>'CASE DATA'!B180</f>
        <v>0</v>
      </c>
      <c r="C178" s="57" t="str">
        <f>IF(SUM('CASE DATA'!J180:S180)&gt;0,IF(OR('CASE DATA'!G180="GTR",'CASE DATA'!G180="GPL",'CASE DATA'!G180="DEF"),IF('CASE DATA'!H180="YES","License &amp; registration","Registration only"),"Z - Neither license nor registration"),"Z - no debt")</f>
        <v>Z - no debt</v>
      </c>
      <c r="D178" s="82">
        <f>SUM('CASE DATA'!J180:S180)</f>
        <v>0</v>
      </c>
    </row>
    <row r="179" spans="1:4" x14ac:dyDescent="0.25">
      <c r="A179" s="57" t="str">
        <f>IF('CASE DATA'!A181="","",'CASE DATA'!A181)</f>
        <v/>
      </c>
      <c r="B179" s="57">
        <f>'CASE DATA'!B181</f>
        <v>0</v>
      </c>
      <c r="C179" s="57" t="str">
        <f>IF(SUM('CASE DATA'!J181:S181)&gt;0,IF(OR('CASE DATA'!G181="GTR",'CASE DATA'!G181="GPL",'CASE DATA'!G181="DEF"),IF('CASE DATA'!H181="YES","License &amp; registration","Registration only"),"Z - Neither license nor registration"),"Z - no debt")</f>
        <v>Z - no debt</v>
      </c>
      <c r="D179" s="82">
        <f>SUM('CASE DATA'!J181:S181)</f>
        <v>0</v>
      </c>
    </row>
    <row r="180" spans="1:4" x14ac:dyDescent="0.25">
      <c r="A180" s="57" t="str">
        <f>IF('CASE DATA'!A182="","",'CASE DATA'!A182)</f>
        <v/>
      </c>
      <c r="B180" s="57">
        <f>'CASE DATA'!B182</f>
        <v>0</v>
      </c>
      <c r="C180" s="57" t="str">
        <f>IF(SUM('CASE DATA'!J182:S182)&gt;0,IF(OR('CASE DATA'!G182="GTR",'CASE DATA'!G182="GPL",'CASE DATA'!G182="DEF"),IF('CASE DATA'!H182="YES","License &amp; registration","Registration only"),"Z - Neither license nor registration"),"Z - no debt")</f>
        <v>Z - no debt</v>
      </c>
      <c r="D180" s="82">
        <f>SUM('CASE DATA'!J182:S182)</f>
        <v>0</v>
      </c>
    </row>
    <row r="181" spans="1:4" x14ac:dyDescent="0.25">
      <c r="A181" s="57" t="str">
        <f>IF('CASE DATA'!A183="","",'CASE DATA'!A183)</f>
        <v/>
      </c>
      <c r="B181" s="57">
        <f>'CASE DATA'!B183</f>
        <v>0</v>
      </c>
      <c r="C181" s="57" t="str">
        <f>IF(SUM('CASE DATA'!J183:S183)&gt;0,IF(OR('CASE DATA'!G183="GTR",'CASE DATA'!G183="GPL",'CASE DATA'!G183="DEF"),IF('CASE DATA'!H183="YES","License &amp; registration","Registration only"),"Z - Neither license nor registration"),"Z - no debt")</f>
        <v>Z - no debt</v>
      </c>
      <c r="D181" s="82">
        <f>SUM('CASE DATA'!J183:S183)</f>
        <v>0</v>
      </c>
    </row>
    <row r="182" spans="1:4" x14ac:dyDescent="0.25">
      <c r="A182" s="57" t="str">
        <f>IF('CASE DATA'!A184="","",'CASE DATA'!A184)</f>
        <v/>
      </c>
      <c r="B182" s="57">
        <f>'CASE DATA'!B184</f>
        <v>0</v>
      </c>
      <c r="C182" s="57" t="str">
        <f>IF(SUM('CASE DATA'!J184:S184)&gt;0,IF(OR('CASE DATA'!G184="GTR",'CASE DATA'!G184="GPL",'CASE DATA'!G184="DEF"),IF('CASE DATA'!H184="YES","License &amp; registration","Registration only"),"Z - Neither license nor registration"),"Z - no debt")</f>
        <v>Z - no debt</v>
      </c>
      <c r="D182" s="82">
        <f>SUM('CASE DATA'!J184:S184)</f>
        <v>0</v>
      </c>
    </row>
    <row r="183" spans="1:4" x14ac:dyDescent="0.25">
      <c r="A183" s="57" t="str">
        <f>IF('CASE DATA'!A185="","",'CASE DATA'!A185)</f>
        <v/>
      </c>
      <c r="B183" s="57">
        <f>'CASE DATA'!B185</f>
        <v>0</v>
      </c>
      <c r="C183" s="57" t="str">
        <f>IF(SUM('CASE DATA'!J185:S185)&gt;0,IF(OR('CASE DATA'!G185="GTR",'CASE DATA'!G185="GPL",'CASE DATA'!G185="DEF"),IF('CASE DATA'!H185="YES","License &amp; registration","Registration only"),"Z - Neither license nor registration"),"Z - no debt")</f>
        <v>Z - no debt</v>
      </c>
      <c r="D183" s="82">
        <f>SUM('CASE DATA'!J185:S185)</f>
        <v>0</v>
      </c>
    </row>
    <row r="184" spans="1:4" x14ac:dyDescent="0.25">
      <c r="A184" s="57" t="str">
        <f>IF('CASE DATA'!A186="","",'CASE DATA'!A186)</f>
        <v/>
      </c>
      <c r="B184" s="57">
        <f>'CASE DATA'!B186</f>
        <v>0</v>
      </c>
      <c r="C184" s="57" t="str">
        <f>IF(SUM('CASE DATA'!J186:S186)&gt;0,IF(OR('CASE DATA'!G186="GTR",'CASE DATA'!G186="GPL",'CASE DATA'!G186="DEF"),IF('CASE DATA'!H186="YES","License &amp; registration","Registration only"),"Z - Neither license nor registration"),"Z - no debt")</f>
        <v>Z - no debt</v>
      </c>
      <c r="D184" s="82">
        <f>SUM('CASE DATA'!J186:S186)</f>
        <v>0</v>
      </c>
    </row>
    <row r="185" spans="1:4" x14ac:dyDescent="0.25">
      <c r="A185" s="57" t="str">
        <f>IF('CASE DATA'!A187="","",'CASE DATA'!A187)</f>
        <v/>
      </c>
      <c r="B185" s="57">
        <f>'CASE DATA'!B187</f>
        <v>0</v>
      </c>
      <c r="C185" s="57" t="str">
        <f>IF(SUM('CASE DATA'!J187:S187)&gt;0,IF(OR('CASE DATA'!G187="GTR",'CASE DATA'!G187="GPL",'CASE DATA'!G187="DEF"),IF('CASE DATA'!H187="YES","License &amp; registration","Registration only"),"Z - Neither license nor registration"),"Z - no debt")</f>
        <v>Z - no debt</v>
      </c>
      <c r="D185" s="82">
        <f>SUM('CASE DATA'!J187:S187)</f>
        <v>0</v>
      </c>
    </row>
    <row r="186" spans="1:4" x14ac:dyDescent="0.25">
      <c r="A186" s="57" t="str">
        <f>IF('CASE DATA'!A188="","",'CASE DATA'!A188)</f>
        <v/>
      </c>
      <c r="B186" s="57">
        <f>'CASE DATA'!B188</f>
        <v>0</v>
      </c>
      <c r="C186" s="57" t="str">
        <f>IF(SUM('CASE DATA'!J188:S188)&gt;0,IF(OR('CASE DATA'!G188="GTR",'CASE DATA'!G188="GPL",'CASE DATA'!G188="DEF"),IF('CASE DATA'!H188="YES","License &amp; registration","Registration only"),"Z - Neither license nor registration"),"Z - no debt")</f>
        <v>Z - no debt</v>
      </c>
      <c r="D186" s="82">
        <f>SUM('CASE DATA'!J188:S188)</f>
        <v>0</v>
      </c>
    </row>
    <row r="187" spans="1:4" x14ac:dyDescent="0.25">
      <c r="A187" s="57" t="str">
        <f>IF('CASE DATA'!A189="","",'CASE DATA'!A189)</f>
        <v/>
      </c>
      <c r="B187" s="57">
        <f>'CASE DATA'!B189</f>
        <v>0</v>
      </c>
      <c r="C187" s="57" t="str">
        <f>IF(SUM('CASE DATA'!J189:S189)&gt;0,IF(OR('CASE DATA'!G189="GTR",'CASE DATA'!G189="GPL",'CASE DATA'!G189="DEF"),IF('CASE DATA'!H189="YES","License &amp; registration","Registration only"),"Z - Neither license nor registration"),"Z - no debt")</f>
        <v>Z - no debt</v>
      </c>
      <c r="D187" s="82">
        <f>SUM('CASE DATA'!J189:S189)</f>
        <v>0</v>
      </c>
    </row>
    <row r="188" spans="1:4" x14ac:dyDescent="0.25">
      <c r="A188" s="57" t="str">
        <f>IF('CASE DATA'!A190="","",'CASE DATA'!A190)</f>
        <v/>
      </c>
      <c r="B188" s="57">
        <f>'CASE DATA'!B190</f>
        <v>0</v>
      </c>
      <c r="C188" s="57" t="str">
        <f>IF(SUM('CASE DATA'!J190:S190)&gt;0,IF(OR('CASE DATA'!G190="GTR",'CASE DATA'!G190="GPL",'CASE DATA'!G190="DEF"),IF('CASE DATA'!H190="YES","License &amp; registration","Registration only"),"Z - Neither license nor registration"),"Z - no debt")</f>
        <v>Z - no debt</v>
      </c>
      <c r="D188" s="82">
        <f>SUM('CASE DATA'!J190:S190)</f>
        <v>0</v>
      </c>
    </row>
    <row r="189" spans="1:4" x14ac:dyDescent="0.25">
      <c r="A189" s="57" t="str">
        <f>IF('CASE DATA'!A191="","",'CASE DATA'!A191)</f>
        <v/>
      </c>
      <c r="B189" s="57">
        <f>'CASE DATA'!B191</f>
        <v>0</v>
      </c>
      <c r="C189" s="57" t="str">
        <f>IF(SUM('CASE DATA'!J191:S191)&gt;0,IF(OR('CASE DATA'!G191="GTR",'CASE DATA'!G191="GPL",'CASE DATA'!G191="DEF"),IF('CASE DATA'!H191="YES","License &amp; registration","Registration only"),"Z - Neither license nor registration"),"Z - no debt")</f>
        <v>Z - no debt</v>
      </c>
      <c r="D189" s="82">
        <f>SUM('CASE DATA'!J191:S191)</f>
        <v>0</v>
      </c>
    </row>
    <row r="190" spans="1:4" x14ac:dyDescent="0.25">
      <c r="A190" s="57" t="str">
        <f>IF('CASE DATA'!A192="","",'CASE DATA'!A192)</f>
        <v/>
      </c>
      <c r="B190" s="57">
        <f>'CASE DATA'!B192</f>
        <v>0</v>
      </c>
      <c r="C190" s="57" t="str">
        <f>IF(SUM('CASE DATA'!J192:S192)&gt;0,IF(OR('CASE DATA'!G192="GTR",'CASE DATA'!G192="GPL",'CASE DATA'!G192="DEF"),IF('CASE DATA'!H192="YES","License &amp; registration","Registration only"),"Z - Neither license nor registration"),"Z - no debt")</f>
        <v>Z - no debt</v>
      </c>
      <c r="D190" s="82">
        <f>SUM('CASE DATA'!J192:S192)</f>
        <v>0</v>
      </c>
    </row>
    <row r="191" spans="1:4" x14ac:dyDescent="0.25">
      <c r="A191" s="57" t="str">
        <f>IF('CASE DATA'!A193="","",'CASE DATA'!A193)</f>
        <v/>
      </c>
      <c r="B191" s="57">
        <f>'CASE DATA'!B193</f>
        <v>0</v>
      </c>
      <c r="C191" s="57" t="str">
        <f>IF(SUM('CASE DATA'!J193:S193)&gt;0,IF(OR('CASE DATA'!G193="GTR",'CASE DATA'!G193="GPL",'CASE DATA'!G193="DEF"),IF('CASE DATA'!H193="YES","License &amp; registration","Registration only"),"Z - Neither license nor registration"),"Z - no debt")</f>
        <v>Z - no debt</v>
      </c>
      <c r="D191" s="82">
        <f>SUM('CASE DATA'!J193:S193)</f>
        <v>0</v>
      </c>
    </row>
    <row r="192" spans="1:4" x14ac:dyDescent="0.25">
      <c r="A192" s="57" t="str">
        <f>IF('CASE DATA'!A194="","",'CASE DATA'!A194)</f>
        <v/>
      </c>
      <c r="B192" s="57">
        <f>'CASE DATA'!B194</f>
        <v>0</v>
      </c>
      <c r="C192" s="57" t="str">
        <f>IF(SUM('CASE DATA'!J194:S194)&gt;0,IF(OR('CASE DATA'!G194="GTR",'CASE DATA'!G194="GPL",'CASE DATA'!G194="DEF"),IF('CASE DATA'!H194="YES","License &amp; registration","Registration only"),"Z - Neither license nor registration"),"Z - no debt")</f>
        <v>Z - no debt</v>
      </c>
      <c r="D192" s="82">
        <f>SUM('CASE DATA'!J194:S194)</f>
        <v>0</v>
      </c>
    </row>
    <row r="193" spans="1:4" x14ac:dyDescent="0.25">
      <c r="A193" s="57" t="str">
        <f>IF('CASE DATA'!A195="","",'CASE DATA'!A195)</f>
        <v/>
      </c>
      <c r="B193" s="57">
        <f>'CASE DATA'!B195</f>
        <v>0</v>
      </c>
      <c r="C193" s="57" t="str">
        <f>IF(SUM('CASE DATA'!J195:S195)&gt;0,IF(OR('CASE DATA'!G195="GTR",'CASE DATA'!G195="GPL",'CASE DATA'!G195="DEF"),IF('CASE DATA'!H195="YES","License &amp; registration","Registration only"),"Z - Neither license nor registration"),"Z - no debt")</f>
        <v>Z - no debt</v>
      </c>
      <c r="D193" s="82">
        <f>SUM('CASE DATA'!J195:S195)</f>
        <v>0</v>
      </c>
    </row>
    <row r="194" spans="1:4" x14ac:dyDescent="0.25">
      <c r="A194" s="57" t="str">
        <f>IF('CASE DATA'!A196="","",'CASE DATA'!A196)</f>
        <v/>
      </c>
      <c r="B194" s="57">
        <f>'CASE DATA'!B196</f>
        <v>0</v>
      </c>
      <c r="C194" s="57" t="str">
        <f>IF(SUM('CASE DATA'!J196:S196)&gt;0,IF(OR('CASE DATA'!G196="GTR",'CASE DATA'!G196="GPL",'CASE DATA'!G196="DEF"),IF('CASE DATA'!H196="YES","License &amp; registration","Registration only"),"Z - Neither license nor registration"),"Z - no debt")</f>
        <v>Z - no debt</v>
      </c>
      <c r="D194" s="82">
        <f>SUM('CASE DATA'!J196:S196)</f>
        <v>0</v>
      </c>
    </row>
    <row r="195" spans="1:4" x14ac:dyDescent="0.25">
      <c r="A195" s="57" t="str">
        <f>IF('CASE DATA'!A197="","",'CASE DATA'!A197)</f>
        <v/>
      </c>
      <c r="B195" s="57">
        <f>'CASE DATA'!B197</f>
        <v>0</v>
      </c>
      <c r="C195" s="57" t="str">
        <f>IF(SUM('CASE DATA'!J197:S197)&gt;0,IF(OR('CASE DATA'!G197="GTR",'CASE DATA'!G197="GPL",'CASE DATA'!G197="DEF"),IF('CASE DATA'!H197="YES","License &amp; registration","Registration only"),"Z - Neither license nor registration"),"Z - no debt")</f>
        <v>Z - no debt</v>
      </c>
      <c r="D195" s="82">
        <f>SUM('CASE DATA'!J197:S197)</f>
        <v>0</v>
      </c>
    </row>
    <row r="196" spans="1:4" x14ac:dyDescent="0.25">
      <c r="A196" s="57" t="str">
        <f>IF('CASE DATA'!A198="","",'CASE DATA'!A198)</f>
        <v/>
      </c>
      <c r="B196" s="57">
        <f>'CASE DATA'!B198</f>
        <v>0</v>
      </c>
      <c r="C196" s="57" t="str">
        <f>IF(SUM('CASE DATA'!J198:S198)&gt;0,IF(OR('CASE DATA'!G198="GTR",'CASE DATA'!G198="GPL",'CASE DATA'!G198="DEF"),IF('CASE DATA'!H198="YES","License &amp; registration","Registration only"),"Z - Neither license nor registration"),"Z - no debt")</f>
        <v>Z - no debt</v>
      </c>
      <c r="D196" s="82">
        <f>SUM('CASE DATA'!J198:S198)</f>
        <v>0</v>
      </c>
    </row>
    <row r="197" spans="1:4" x14ac:dyDescent="0.25">
      <c r="A197" s="57" t="str">
        <f>IF('CASE DATA'!A199="","",'CASE DATA'!A199)</f>
        <v/>
      </c>
      <c r="B197" s="57">
        <f>'CASE DATA'!B199</f>
        <v>0</v>
      </c>
      <c r="C197" s="57" t="str">
        <f>IF(SUM('CASE DATA'!J199:S199)&gt;0,IF(OR('CASE DATA'!G199="GTR",'CASE DATA'!G199="GPL",'CASE DATA'!G199="DEF"),IF('CASE DATA'!H199="YES","License &amp; registration","Registration only"),"Z - Neither license nor registration"),"Z - no debt")</f>
        <v>Z - no debt</v>
      </c>
      <c r="D197" s="82">
        <f>SUM('CASE DATA'!J199:S199)</f>
        <v>0</v>
      </c>
    </row>
    <row r="198" spans="1:4" x14ac:dyDescent="0.25">
      <c r="A198" s="57" t="str">
        <f>IF('CASE DATA'!A200="","",'CASE DATA'!A200)</f>
        <v/>
      </c>
      <c r="B198" s="57">
        <f>'CASE DATA'!B200</f>
        <v>0</v>
      </c>
      <c r="C198" s="57" t="str">
        <f>IF(SUM('CASE DATA'!J200:S200)&gt;0,IF(OR('CASE DATA'!G200="GTR",'CASE DATA'!G200="GPL",'CASE DATA'!G200="DEF"),IF('CASE DATA'!H200="YES","License &amp; registration","Registration only"),"Z - Neither license nor registration"),"Z - no debt")</f>
        <v>Z - no debt</v>
      </c>
      <c r="D198" s="82">
        <f>SUM('CASE DATA'!J200:S200)</f>
        <v>0</v>
      </c>
    </row>
    <row r="199" spans="1:4" x14ac:dyDescent="0.25">
      <c r="A199" s="57" t="str">
        <f>IF('CASE DATA'!A201="","",'CASE DATA'!A201)</f>
        <v/>
      </c>
      <c r="B199" s="57">
        <f>'CASE DATA'!B201</f>
        <v>0</v>
      </c>
      <c r="C199" s="57" t="str">
        <f>IF(SUM('CASE DATA'!J201:S201)&gt;0,IF(OR('CASE DATA'!G201="GTR",'CASE DATA'!G201="GPL",'CASE DATA'!G201="DEF"),IF('CASE DATA'!H201="YES","License &amp; registration","Registration only"),"Z - Neither license nor registration"),"Z - no debt")</f>
        <v>Z - no debt</v>
      </c>
      <c r="D199" s="82">
        <f>SUM('CASE DATA'!J201:S201)</f>
        <v>0</v>
      </c>
    </row>
    <row r="200" spans="1:4" x14ac:dyDescent="0.25">
      <c r="A200" s="57" t="str">
        <f>IF('CASE DATA'!A202="","",'CASE DATA'!A202)</f>
        <v/>
      </c>
      <c r="B200" s="57">
        <f>'CASE DATA'!B202</f>
        <v>0</v>
      </c>
      <c r="C200" s="57" t="str">
        <f>IF(SUM('CASE DATA'!J202:S202)&gt;0,IF(OR('CASE DATA'!G202="GTR",'CASE DATA'!G202="GPL",'CASE DATA'!G202="DEF"),IF('CASE DATA'!H202="YES","License &amp; registration","Registration only"),"Z - Neither license nor registration"),"Z - no debt")</f>
        <v>Z - no debt</v>
      </c>
      <c r="D200" s="82">
        <f>SUM('CASE DATA'!J202:S202)</f>
        <v>0</v>
      </c>
    </row>
    <row r="201" spans="1:4" x14ac:dyDescent="0.25">
      <c r="A201" s="57" t="str">
        <f>IF('CASE DATA'!A203="","",'CASE DATA'!A203)</f>
        <v/>
      </c>
      <c r="B201" s="57">
        <f>'CASE DATA'!B203</f>
        <v>0</v>
      </c>
      <c r="C201" s="57" t="str">
        <f>IF(SUM('CASE DATA'!J203:S203)&gt;0,IF(OR('CASE DATA'!G203="GTR",'CASE DATA'!G203="GPL",'CASE DATA'!G203="DEF"),IF('CASE DATA'!H203="YES","License &amp; registration","Registration only"),"Z - Neither license nor registration"),"Z - no debt")</f>
        <v>Z - no debt</v>
      </c>
      <c r="D201" s="82">
        <f>SUM('CASE DATA'!J203:S203)</f>
        <v>0</v>
      </c>
    </row>
    <row r="202" spans="1:4" x14ac:dyDescent="0.25">
      <c r="A202" s="57" t="str">
        <f>IF('CASE DATA'!A204="","",'CASE DATA'!A204)</f>
        <v/>
      </c>
      <c r="B202" s="57">
        <f>'CASE DATA'!B204</f>
        <v>0</v>
      </c>
      <c r="C202" s="57" t="str">
        <f>IF(SUM('CASE DATA'!J204:S204)&gt;0,IF(OR('CASE DATA'!G204="GTR",'CASE DATA'!G204="GPL",'CASE DATA'!G204="DEF"),IF('CASE DATA'!H204="YES","License &amp; registration","Registration only"),"Z - Neither license nor registration"),"Z - no debt")</f>
        <v>Z - no debt</v>
      </c>
      <c r="D202" s="82">
        <f>SUM('CASE DATA'!J204:S204)</f>
        <v>0</v>
      </c>
    </row>
    <row r="203" spans="1:4" x14ac:dyDescent="0.25">
      <c r="A203" s="57" t="str">
        <f>IF('CASE DATA'!A205="","",'CASE DATA'!A205)</f>
        <v/>
      </c>
      <c r="B203" s="57">
        <f>'CASE DATA'!B205</f>
        <v>0</v>
      </c>
      <c r="C203" s="57" t="str">
        <f>IF(SUM('CASE DATA'!J205:S205)&gt;0,IF(OR('CASE DATA'!G205="GTR",'CASE DATA'!G205="GPL",'CASE DATA'!G205="DEF"),IF('CASE DATA'!H205="YES","License &amp; registration","Registration only"),"Z - Neither license nor registration"),"Z - no debt")</f>
        <v>Z - no debt</v>
      </c>
      <c r="D203" s="82">
        <f>SUM('CASE DATA'!J205:S205)</f>
        <v>0</v>
      </c>
    </row>
    <row r="204" spans="1:4" x14ac:dyDescent="0.25">
      <c r="A204" s="57" t="str">
        <f>IF('CASE DATA'!A206="","",'CASE DATA'!A206)</f>
        <v/>
      </c>
      <c r="B204" s="57">
        <f>'CASE DATA'!B206</f>
        <v>0</v>
      </c>
      <c r="C204" s="57" t="str">
        <f>IF(SUM('CASE DATA'!J206:S206)&gt;0,IF(OR('CASE DATA'!G206="GTR",'CASE DATA'!G206="GPL",'CASE DATA'!G206="DEF"),IF('CASE DATA'!H206="YES","License &amp; registration","Registration only"),"Z - Neither license nor registration"),"Z - no debt")</f>
        <v>Z - no debt</v>
      </c>
      <c r="D204" s="82">
        <f>SUM('CASE DATA'!J206:S206)</f>
        <v>0</v>
      </c>
    </row>
    <row r="205" spans="1:4" x14ac:dyDescent="0.25">
      <c r="A205" s="57" t="str">
        <f>IF('CASE DATA'!A207="","",'CASE DATA'!A207)</f>
        <v/>
      </c>
      <c r="B205" s="57">
        <f>'CASE DATA'!B207</f>
        <v>0</v>
      </c>
      <c r="C205" s="57" t="str">
        <f>IF(SUM('CASE DATA'!J207:S207)&gt;0,IF(OR('CASE DATA'!G207="GTR",'CASE DATA'!G207="GPL",'CASE DATA'!G207="DEF"),IF('CASE DATA'!H207="YES","License &amp; registration","Registration only"),"Z - Neither license nor registration"),"Z - no debt")</f>
        <v>Z - no debt</v>
      </c>
      <c r="D205" s="82">
        <f>SUM('CASE DATA'!J207:S207)</f>
        <v>0</v>
      </c>
    </row>
    <row r="206" spans="1:4" x14ac:dyDescent="0.25">
      <c r="A206" s="57" t="str">
        <f>IF('CASE DATA'!A208="","",'CASE DATA'!A208)</f>
        <v/>
      </c>
      <c r="B206" s="57">
        <f>'CASE DATA'!B208</f>
        <v>0</v>
      </c>
      <c r="C206" s="57" t="str">
        <f>IF(SUM('CASE DATA'!J208:S208)&gt;0,IF(OR('CASE DATA'!G208="GTR",'CASE DATA'!G208="GPL",'CASE DATA'!G208="DEF"),IF('CASE DATA'!H208="YES","License &amp; registration","Registration only"),"Z - Neither license nor registration"),"Z - no debt")</f>
        <v>Z - no debt</v>
      </c>
      <c r="D206" s="82">
        <f>SUM('CASE DATA'!J208:S208)</f>
        <v>0</v>
      </c>
    </row>
    <row r="207" spans="1:4" x14ac:dyDescent="0.25">
      <c r="A207" s="57" t="str">
        <f>IF('CASE DATA'!A209="","",'CASE DATA'!A209)</f>
        <v/>
      </c>
      <c r="B207" s="57">
        <f>'CASE DATA'!B209</f>
        <v>0</v>
      </c>
      <c r="C207" s="57" t="str">
        <f>IF(SUM('CASE DATA'!J209:S209)&gt;0,IF(OR('CASE DATA'!G209="GTR",'CASE DATA'!G209="GPL",'CASE DATA'!G209="DEF"),IF('CASE DATA'!H209="YES","License &amp; registration","Registration only"),"Z - Neither license nor registration"),"Z - no debt")</f>
        <v>Z - no debt</v>
      </c>
      <c r="D207" s="82">
        <f>SUM('CASE DATA'!J209:S209)</f>
        <v>0</v>
      </c>
    </row>
    <row r="208" spans="1:4" x14ac:dyDescent="0.25">
      <c r="A208" s="57" t="str">
        <f>IF('CASE DATA'!A210="","",'CASE DATA'!A210)</f>
        <v/>
      </c>
      <c r="B208" s="57">
        <f>'CASE DATA'!B210</f>
        <v>0</v>
      </c>
      <c r="C208" s="57" t="str">
        <f>IF(SUM('CASE DATA'!J210:S210)&gt;0,IF(OR('CASE DATA'!G210="GTR",'CASE DATA'!G210="GPL",'CASE DATA'!G210="DEF"),IF('CASE DATA'!H210="YES","License &amp; registration","Registration only"),"Z - Neither license nor registration"),"Z - no debt")</f>
        <v>Z - no debt</v>
      </c>
      <c r="D208" s="82">
        <f>SUM('CASE DATA'!J210:S210)</f>
        <v>0</v>
      </c>
    </row>
    <row r="209" spans="1:4" x14ac:dyDescent="0.25">
      <c r="A209" s="57" t="str">
        <f>IF('CASE DATA'!A211="","",'CASE DATA'!A211)</f>
        <v/>
      </c>
      <c r="B209" s="57">
        <f>'CASE DATA'!B211</f>
        <v>0</v>
      </c>
      <c r="C209" s="57" t="str">
        <f>IF(SUM('CASE DATA'!J211:S211)&gt;0,IF(OR('CASE DATA'!G211="GTR",'CASE DATA'!G211="GPL",'CASE DATA'!G211="DEF"),IF('CASE DATA'!H211="YES","License &amp; registration","Registration only"),"Z - Neither license nor registration"),"Z - no debt")</f>
        <v>Z - no debt</v>
      </c>
      <c r="D209" s="82">
        <f>SUM('CASE DATA'!J211:S211)</f>
        <v>0</v>
      </c>
    </row>
    <row r="210" spans="1:4" x14ac:dyDescent="0.25">
      <c r="A210" s="57" t="str">
        <f>IF('CASE DATA'!A212="","",'CASE DATA'!A212)</f>
        <v/>
      </c>
      <c r="B210" s="57">
        <f>'CASE DATA'!B212</f>
        <v>0</v>
      </c>
      <c r="C210" s="57" t="str">
        <f>IF(SUM('CASE DATA'!J212:S212)&gt;0,IF(OR('CASE DATA'!G212="GTR",'CASE DATA'!G212="GPL",'CASE DATA'!G212="DEF"),IF('CASE DATA'!H212="YES","License &amp; registration","Registration only"),"Z - Neither license nor registration"),"Z - no debt")</f>
        <v>Z - no debt</v>
      </c>
      <c r="D210" s="82">
        <f>SUM('CASE DATA'!J212:S212)</f>
        <v>0</v>
      </c>
    </row>
    <row r="211" spans="1:4" x14ac:dyDescent="0.25">
      <c r="A211" s="57" t="str">
        <f>IF('CASE DATA'!A213="","",'CASE DATA'!A213)</f>
        <v/>
      </c>
      <c r="B211" s="57">
        <f>'CASE DATA'!B213</f>
        <v>0</v>
      </c>
      <c r="C211" s="57" t="str">
        <f>IF(SUM('CASE DATA'!J213:S213)&gt;0,IF(OR('CASE DATA'!G213="GTR",'CASE DATA'!G213="GPL",'CASE DATA'!G213="DEF"),IF('CASE DATA'!H213="YES","License &amp; registration","Registration only"),"Z - Neither license nor registration"),"Z - no debt")</f>
        <v>Z - no debt</v>
      </c>
      <c r="D211" s="82">
        <f>SUM('CASE DATA'!J213:S213)</f>
        <v>0</v>
      </c>
    </row>
    <row r="212" spans="1:4" x14ac:dyDescent="0.25">
      <c r="A212" s="57" t="str">
        <f>IF('CASE DATA'!A214="","",'CASE DATA'!A214)</f>
        <v/>
      </c>
      <c r="B212" s="57">
        <f>'CASE DATA'!B214</f>
        <v>0</v>
      </c>
      <c r="C212" s="57" t="str">
        <f>IF(SUM('CASE DATA'!J214:S214)&gt;0,IF(OR('CASE DATA'!G214="GTR",'CASE DATA'!G214="GPL",'CASE DATA'!G214="DEF"),IF('CASE DATA'!H214="YES","License &amp; registration","Registration only"),"Z - Neither license nor registration"),"Z - no debt")</f>
        <v>Z - no debt</v>
      </c>
      <c r="D212" s="82">
        <f>SUM('CASE DATA'!J214:S214)</f>
        <v>0</v>
      </c>
    </row>
    <row r="213" spans="1:4" x14ac:dyDescent="0.25">
      <c r="A213" s="57" t="str">
        <f>IF('CASE DATA'!A215="","",'CASE DATA'!A215)</f>
        <v/>
      </c>
      <c r="B213" s="57">
        <f>'CASE DATA'!B215</f>
        <v>0</v>
      </c>
      <c r="C213" s="57" t="str">
        <f>IF(SUM('CASE DATA'!J215:S215)&gt;0,IF(OR('CASE DATA'!G215="GTR",'CASE DATA'!G215="GPL",'CASE DATA'!G215="DEF"),IF('CASE DATA'!H215="YES","License &amp; registration","Registration only"),"Z - Neither license nor registration"),"Z - no debt")</f>
        <v>Z - no debt</v>
      </c>
      <c r="D213" s="82">
        <f>SUM('CASE DATA'!J215:S215)</f>
        <v>0</v>
      </c>
    </row>
    <row r="214" spans="1:4" x14ac:dyDescent="0.25">
      <c r="A214" s="57" t="str">
        <f>IF('CASE DATA'!A216="","",'CASE DATA'!A216)</f>
        <v/>
      </c>
      <c r="B214" s="57">
        <f>'CASE DATA'!B216</f>
        <v>0</v>
      </c>
      <c r="C214" s="57" t="str">
        <f>IF(SUM('CASE DATA'!J216:S216)&gt;0,IF(OR('CASE DATA'!G216="GTR",'CASE DATA'!G216="GPL",'CASE DATA'!G216="DEF"),IF('CASE DATA'!H216="YES","License &amp; registration","Registration only"),"Z - Neither license nor registration"),"Z - no debt")</f>
        <v>Z - no debt</v>
      </c>
      <c r="D214" s="82">
        <f>SUM('CASE DATA'!J216:S216)</f>
        <v>0</v>
      </c>
    </row>
    <row r="215" spans="1:4" x14ac:dyDescent="0.25">
      <c r="A215" s="57" t="str">
        <f>IF('CASE DATA'!A217="","",'CASE DATA'!A217)</f>
        <v/>
      </c>
      <c r="B215" s="57">
        <f>'CASE DATA'!B217</f>
        <v>0</v>
      </c>
      <c r="C215" s="57" t="str">
        <f>IF(SUM('CASE DATA'!J217:S217)&gt;0,IF(OR('CASE DATA'!G217="GTR",'CASE DATA'!G217="GPL",'CASE DATA'!G217="DEF"),IF('CASE DATA'!H217="YES","License &amp; registration","Registration only"),"Z - Neither license nor registration"),"Z - no debt")</f>
        <v>Z - no debt</v>
      </c>
      <c r="D215" s="82">
        <f>SUM('CASE DATA'!J217:S217)</f>
        <v>0</v>
      </c>
    </row>
    <row r="216" spans="1:4" x14ac:dyDescent="0.25">
      <c r="A216" s="57" t="str">
        <f>IF('CASE DATA'!A218="","",'CASE DATA'!A218)</f>
        <v/>
      </c>
      <c r="B216" s="57">
        <f>'CASE DATA'!B218</f>
        <v>0</v>
      </c>
      <c r="C216" s="57" t="str">
        <f>IF(SUM('CASE DATA'!J218:S218)&gt;0,IF(OR('CASE DATA'!G218="GTR",'CASE DATA'!G218="GPL",'CASE DATA'!G218="DEF"),IF('CASE DATA'!H218="YES","License &amp; registration","Registration only"),"Z - Neither license nor registration"),"Z - no debt")</f>
        <v>Z - no debt</v>
      </c>
      <c r="D216" s="82">
        <f>SUM('CASE DATA'!J218:S218)</f>
        <v>0</v>
      </c>
    </row>
    <row r="217" spans="1:4" x14ac:dyDescent="0.25">
      <c r="A217" s="57" t="str">
        <f>IF('CASE DATA'!A219="","",'CASE DATA'!A219)</f>
        <v/>
      </c>
      <c r="B217" s="57">
        <f>'CASE DATA'!B219</f>
        <v>0</v>
      </c>
      <c r="C217" s="57" t="str">
        <f>IF(SUM('CASE DATA'!J219:S219)&gt;0,IF(OR('CASE DATA'!G219="GTR",'CASE DATA'!G219="GPL",'CASE DATA'!G219="DEF"),IF('CASE DATA'!H219="YES","License &amp; registration","Registration only"),"Z - Neither license nor registration"),"Z - no debt")</f>
        <v>Z - no debt</v>
      </c>
      <c r="D217" s="82">
        <f>SUM('CASE DATA'!J219:S219)</f>
        <v>0</v>
      </c>
    </row>
    <row r="218" spans="1:4" x14ac:dyDescent="0.25">
      <c r="A218" s="57" t="str">
        <f>IF('CASE DATA'!A220="","",'CASE DATA'!A220)</f>
        <v/>
      </c>
      <c r="B218" s="57">
        <f>'CASE DATA'!B220</f>
        <v>0</v>
      </c>
      <c r="C218" s="57" t="str">
        <f>IF(SUM('CASE DATA'!J220:S220)&gt;0,IF(OR('CASE DATA'!G220="GTR",'CASE DATA'!G220="GPL",'CASE DATA'!G220="DEF"),IF('CASE DATA'!H220="YES","License &amp; registration","Registration only"),"Z - Neither license nor registration"),"Z - no debt")</f>
        <v>Z - no debt</v>
      </c>
      <c r="D218" s="82">
        <f>SUM('CASE DATA'!J220:S220)</f>
        <v>0</v>
      </c>
    </row>
    <row r="219" spans="1:4" x14ac:dyDescent="0.25">
      <c r="A219" s="57" t="str">
        <f>IF('CASE DATA'!A221="","",'CASE DATA'!A221)</f>
        <v/>
      </c>
      <c r="B219" s="57">
        <f>'CASE DATA'!B221</f>
        <v>0</v>
      </c>
      <c r="C219" s="57" t="str">
        <f>IF(SUM('CASE DATA'!J221:S221)&gt;0,IF(OR('CASE DATA'!G221="GTR",'CASE DATA'!G221="GPL",'CASE DATA'!G221="DEF"),IF('CASE DATA'!H221="YES","License &amp; registration","Registration only"),"Z - Neither license nor registration"),"Z - no debt")</f>
        <v>Z - no debt</v>
      </c>
      <c r="D219" s="82">
        <f>SUM('CASE DATA'!J221:S221)</f>
        <v>0</v>
      </c>
    </row>
    <row r="220" spans="1:4" x14ac:dyDescent="0.25">
      <c r="A220" s="57" t="str">
        <f>IF('CASE DATA'!A222="","",'CASE DATA'!A222)</f>
        <v/>
      </c>
      <c r="B220" s="57">
        <f>'CASE DATA'!B222</f>
        <v>0</v>
      </c>
      <c r="C220" s="57" t="str">
        <f>IF(SUM('CASE DATA'!J222:S222)&gt;0,IF(OR('CASE DATA'!G222="GTR",'CASE DATA'!G222="GPL",'CASE DATA'!G222="DEF"),IF('CASE DATA'!H222="YES","License &amp; registration","Registration only"),"Z - Neither license nor registration"),"Z - no debt")</f>
        <v>Z - no debt</v>
      </c>
      <c r="D220" s="82">
        <f>SUM('CASE DATA'!J222:S222)</f>
        <v>0</v>
      </c>
    </row>
    <row r="221" spans="1:4" x14ac:dyDescent="0.25">
      <c r="A221" s="57" t="str">
        <f>IF('CASE DATA'!A223="","",'CASE DATA'!A223)</f>
        <v/>
      </c>
      <c r="B221" s="57">
        <f>'CASE DATA'!B223</f>
        <v>0</v>
      </c>
      <c r="C221" s="57" t="str">
        <f>IF(SUM('CASE DATA'!J223:S223)&gt;0,IF(OR('CASE DATA'!G223="GTR",'CASE DATA'!G223="GPL",'CASE DATA'!G223="DEF"),IF('CASE DATA'!H223="YES","License &amp; registration","Registration only"),"Z - Neither license nor registration"),"Z - no debt")</f>
        <v>Z - no debt</v>
      </c>
      <c r="D221" s="82">
        <f>SUM('CASE DATA'!J223:S223)</f>
        <v>0</v>
      </c>
    </row>
    <row r="222" spans="1:4" x14ac:dyDescent="0.25">
      <c r="A222" s="57" t="str">
        <f>IF('CASE DATA'!A224="","",'CASE DATA'!A224)</f>
        <v/>
      </c>
      <c r="B222" s="57">
        <f>'CASE DATA'!B224</f>
        <v>0</v>
      </c>
      <c r="C222" s="57" t="str">
        <f>IF(SUM('CASE DATA'!J224:S224)&gt;0,IF(OR('CASE DATA'!G224="GTR",'CASE DATA'!G224="GPL",'CASE DATA'!G224="DEF"),IF('CASE DATA'!H224="YES","License &amp; registration","Registration only"),"Z - Neither license nor registration"),"Z - no debt")</f>
        <v>Z - no debt</v>
      </c>
      <c r="D222" s="82">
        <f>SUM('CASE DATA'!J224:S224)</f>
        <v>0</v>
      </c>
    </row>
    <row r="223" spans="1:4" x14ac:dyDescent="0.25">
      <c r="A223" s="57" t="str">
        <f>IF('CASE DATA'!A225="","",'CASE DATA'!A225)</f>
        <v/>
      </c>
      <c r="B223" s="57">
        <f>'CASE DATA'!B225</f>
        <v>0</v>
      </c>
      <c r="C223" s="57" t="str">
        <f>IF(SUM('CASE DATA'!J225:S225)&gt;0,IF(OR('CASE DATA'!G225="GTR",'CASE DATA'!G225="GPL",'CASE DATA'!G225="DEF"),IF('CASE DATA'!H225="YES","License &amp; registration","Registration only"),"Z - Neither license nor registration"),"Z - no debt")</f>
        <v>Z - no debt</v>
      </c>
      <c r="D223" s="82">
        <f>SUM('CASE DATA'!J225:S225)</f>
        <v>0</v>
      </c>
    </row>
    <row r="224" spans="1:4" x14ac:dyDescent="0.25">
      <c r="A224" s="57" t="str">
        <f>IF('CASE DATA'!A226="","",'CASE DATA'!A226)</f>
        <v/>
      </c>
      <c r="B224" s="57">
        <f>'CASE DATA'!B226</f>
        <v>0</v>
      </c>
      <c r="C224" s="57" t="str">
        <f>IF(SUM('CASE DATA'!J226:S226)&gt;0,IF(OR('CASE DATA'!G226="GTR",'CASE DATA'!G226="GPL",'CASE DATA'!G226="DEF"),IF('CASE DATA'!H226="YES","License &amp; registration","Registration only"),"Z - Neither license nor registration"),"Z - no debt")</f>
        <v>Z - no debt</v>
      </c>
      <c r="D224" s="82">
        <f>SUM('CASE DATA'!J226:S226)</f>
        <v>0</v>
      </c>
    </row>
    <row r="225" spans="1:4" x14ac:dyDescent="0.25">
      <c r="A225" s="57" t="str">
        <f>IF('CASE DATA'!A227="","",'CASE DATA'!A227)</f>
        <v/>
      </c>
      <c r="B225" s="57">
        <f>'CASE DATA'!B227</f>
        <v>0</v>
      </c>
      <c r="C225" s="57" t="str">
        <f>IF(SUM('CASE DATA'!J227:S227)&gt;0,IF(OR('CASE DATA'!G227="GTR",'CASE DATA'!G227="GPL",'CASE DATA'!G227="DEF"),IF('CASE DATA'!H227="YES","License &amp; registration","Registration only"),"Z - Neither license nor registration"),"Z - no debt")</f>
        <v>Z - no debt</v>
      </c>
      <c r="D225" s="82">
        <f>SUM('CASE DATA'!J227:S227)</f>
        <v>0</v>
      </c>
    </row>
    <row r="226" spans="1:4" x14ac:dyDescent="0.25">
      <c r="A226" s="57" t="str">
        <f>IF('CASE DATA'!A228="","",'CASE DATA'!A228)</f>
        <v/>
      </c>
      <c r="B226" s="57">
        <f>'CASE DATA'!B228</f>
        <v>0</v>
      </c>
      <c r="C226" s="57" t="str">
        <f>IF(SUM('CASE DATA'!J228:S228)&gt;0,IF(OR('CASE DATA'!G228="GTR",'CASE DATA'!G228="GPL",'CASE DATA'!G228="DEF"),IF('CASE DATA'!H228="YES","License &amp; registration","Registration only"),"Z - Neither license nor registration"),"Z - no debt")</f>
        <v>Z - no debt</v>
      </c>
      <c r="D226" s="82">
        <f>SUM('CASE DATA'!J228:S228)</f>
        <v>0</v>
      </c>
    </row>
    <row r="227" spans="1:4" x14ac:dyDescent="0.25">
      <c r="A227" s="57" t="str">
        <f>IF('CASE DATA'!A229="","",'CASE DATA'!A229)</f>
        <v/>
      </c>
      <c r="B227" s="57">
        <f>'CASE DATA'!B229</f>
        <v>0</v>
      </c>
      <c r="C227" s="57" t="str">
        <f>IF(SUM('CASE DATA'!J229:S229)&gt;0,IF(OR('CASE DATA'!G229="GTR",'CASE DATA'!G229="GPL",'CASE DATA'!G229="DEF"),IF('CASE DATA'!H229="YES","License &amp; registration","Registration only"),"Z - Neither license nor registration"),"Z - no debt")</f>
        <v>Z - no debt</v>
      </c>
      <c r="D227" s="82">
        <f>SUM('CASE DATA'!J229:S229)</f>
        <v>0</v>
      </c>
    </row>
    <row r="228" spans="1:4" x14ac:dyDescent="0.25">
      <c r="A228" s="57" t="str">
        <f>IF('CASE DATA'!A230="","",'CASE DATA'!A230)</f>
        <v/>
      </c>
      <c r="B228" s="57">
        <f>'CASE DATA'!B230</f>
        <v>0</v>
      </c>
      <c r="C228" s="57" t="str">
        <f>IF(SUM('CASE DATA'!J230:S230)&gt;0,IF(OR('CASE DATA'!G230="GTR",'CASE DATA'!G230="GPL",'CASE DATA'!G230="DEF"),IF('CASE DATA'!H230="YES","License &amp; registration","Registration only"),"Z - Neither license nor registration"),"Z - no debt")</f>
        <v>Z - no debt</v>
      </c>
      <c r="D228" s="82">
        <f>SUM('CASE DATA'!J230:S230)</f>
        <v>0</v>
      </c>
    </row>
    <row r="229" spans="1:4" x14ac:dyDescent="0.25">
      <c r="A229" s="57" t="str">
        <f>IF('CASE DATA'!A231="","",'CASE DATA'!A231)</f>
        <v/>
      </c>
      <c r="B229" s="57">
        <f>'CASE DATA'!B231</f>
        <v>0</v>
      </c>
      <c r="C229" s="57" t="str">
        <f>IF(SUM('CASE DATA'!J231:S231)&gt;0,IF(OR('CASE DATA'!G231="GTR",'CASE DATA'!G231="GPL",'CASE DATA'!G231="DEF"),IF('CASE DATA'!H231="YES","License &amp; registration","Registration only"),"Z - Neither license nor registration"),"Z - no debt")</f>
        <v>Z - no debt</v>
      </c>
      <c r="D229" s="82">
        <f>SUM('CASE DATA'!J231:S231)</f>
        <v>0</v>
      </c>
    </row>
    <row r="230" spans="1:4" x14ac:dyDescent="0.25">
      <c r="A230" s="57" t="str">
        <f>IF('CASE DATA'!A232="","",'CASE DATA'!A232)</f>
        <v/>
      </c>
      <c r="B230" s="57">
        <f>'CASE DATA'!B232</f>
        <v>0</v>
      </c>
      <c r="C230" s="57" t="str">
        <f>IF(SUM('CASE DATA'!J232:S232)&gt;0,IF(OR('CASE DATA'!G232="GTR",'CASE DATA'!G232="GPL",'CASE DATA'!G232="DEF"),IF('CASE DATA'!H232="YES","License &amp; registration","Registration only"),"Z - Neither license nor registration"),"Z - no debt")</f>
        <v>Z - no debt</v>
      </c>
      <c r="D230" s="82">
        <f>SUM('CASE DATA'!J232:S232)</f>
        <v>0</v>
      </c>
    </row>
    <row r="231" spans="1:4" x14ac:dyDescent="0.25">
      <c r="A231" s="57" t="str">
        <f>IF('CASE DATA'!A233="","",'CASE DATA'!A233)</f>
        <v/>
      </c>
      <c r="B231" s="57">
        <f>'CASE DATA'!B233</f>
        <v>0</v>
      </c>
      <c r="C231" s="57" t="str">
        <f>IF(SUM('CASE DATA'!J233:S233)&gt;0,IF(OR('CASE DATA'!G233="GTR",'CASE DATA'!G233="GPL",'CASE DATA'!G233="DEF"),IF('CASE DATA'!H233="YES","License &amp; registration","Registration only"),"Z - Neither license nor registration"),"Z - no debt")</f>
        <v>Z - no debt</v>
      </c>
      <c r="D231" s="82">
        <f>SUM('CASE DATA'!J233:S233)</f>
        <v>0</v>
      </c>
    </row>
    <row r="232" spans="1:4" x14ac:dyDescent="0.25">
      <c r="A232" s="57" t="str">
        <f>IF('CASE DATA'!A234="","",'CASE DATA'!A234)</f>
        <v/>
      </c>
      <c r="B232" s="57">
        <f>'CASE DATA'!B234</f>
        <v>0</v>
      </c>
      <c r="C232" s="57" t="str">
        <f>IF(SUM('CASE DATA'!J234:S234)&gt;0,IF(OR('CASE DATA'!G234="GTR",'CASE DATA'!G234="GPL",'CASE DATA'!G234="DEF"),IF('CASE DATA'!H234="YES","License &amp; registration","Registration only"),"Z - Neither license nor registration"),"Z - no debt")</f>
        <v>Z - no debt</v>
      </c>
      <c r="D232" s="82">
        <f>SUM('CASE DATA'!J234:S234)</f>
        <v>0</v>
      </c>
    </row>
    <row r="233" spans="1:4" x14ac:dyDescent="0.25">
      <c r="A233" s="57" t="str">
        <f>IF('CASE DATA'!A235="","",'CASE DATA'!A235)</f>
        <v/>
      </c>
      <c r="B233" s="57">
        <f>'CASE DATA'!B235</f>
        <v>0</v>
      </c>
      <c r="C233" s="57" t="str">
        <f>IF(SUM('CASE DATA'!J235:S235)&gt;0,IF(OR('CASE DATA'!G235="GTR",'CASE DATA'!G235="GPL",'CASE DATA'!G235="DEF"),IF('CASE DATA'!H235="YES","License &amp; registration","Registration only"),"Z - Neither license nor registration"),"Z - no debt")</f>
        <v>Z - no debt</v>
      </c>
      <c r="D233" s="82">
        <f>SUM('CASE DATA'!J235:S235)</f>
        <v>0</v>
      </c>
    </row>
    <row r="234" spans="1:4" x14ac:dyDescent="0.25">
      <c r="A234" s="57" t="str">
        <f>IF('CASE DATA'!A236="","",'CASE DATA'!A236)</f>
        <v/>
      </c>
      <c r="B234" s="57">
        <f>'CASE DATA'!B236</f>
        <v>0</v>
      </c>
      <c r="C234" s="57" t="str">
        <f>IF(SUM('CASE DATA'!J236:S236)&gt;0,IF(OR('CASE DATA'!G236="GTR",'CASE DATA'!G236="GPL",'CASE DATA'!G236="DEF"),IF('CASE DATA'!H236="YES","License &amp; registration","Registration only"),"Z - Neither license nor registration"),"Z - no debt")</f>
        <v>Z - no debt</v>
      </c>
      <c r="D234" s="82">
        <f>SUM('CASE DATA'!J236:S236)</f>
        <v>0</v>
      </c>
    </row>
    <row r="235" spans="1:4" x14ac:dyDescent="0.25">
      <c r="A235" s="57" t="str">
        <f>IF('CASE DATA'!A237="","",'CASE DATA'!A237)</f>
        <v/>
      </c>
      <c r="B235" s="57">
        <f>'CASE DATA'!B237</f>
        <v>0</v>
      </c>
      <c r="C235" s="57" t="str">
        <f>IF(SUM('CASE DATA'!J237:S237)&gt;0,IF(OR('CASE DATA'!G237="GTR",'CASE DATA'!G237="GPL",'CASE DATA'!G237="DEF"),IF('CASE DATA'!H237="YES","License &amp; registration","Registration only"),"Z - Neither license nor registration"),"Z - no debt")</f>
        <v>Z - no debt</v>
      </c>
      <c r="D235" s="82">
        <f>SUM('CASE DATA'!J237:S237)</f>
        <v>0</v>
      </c>
    </row>
    <row r="236" spans="1:4" x14ac:dyDescent="0.25">
      <c r="A236" s="57" t="str">
        <f>IF('CASE DATA'!A238="","",'CASE DATA'!A238)</f>
        <v/>
      </c>
      <c r="B236" s="57">
        <f>'CASE DATA'!B238</f>
        <v>0</v>
      </c>
      <c r="C236" s="57" t="str">
        <f>IF(SUM('CASE DATA'!J238:S238)&gt;0,IF(OR('CASE DATA'!G238="GTR",'CASE DATA'!G238="GPL",'CASE DATA'!G238="DEF"),IF('CASE DATA'!H238="YES","License &amp; registration","Registration only"),"Z - Neither license nor registration"),"Z - no debt")</f>
        <v>Z - no debt</v>
      </c>
      <c r="D236" s="82">
        <f>SUM('CASE DATA'!J238:S238)</f>
        <v>0</v>
      </c>
    </row>
    <row r="237" spans="1:4" x14ac:dyDescent="0.25">
      <c r="A237" s="57" t="str">
        <f>IF('CASE DATA'!A239="","",'CASE DATA'!A239)</f>
        <v/>
      </c>
      <c r="B237" s="57">
        <f>'CASE DATA'!B239</f>
        <v>0</v>
      </c>
      <c r="C237" s="57" t="str">
        <f>IF(SUM('CASE DATA'!J239:S239)&gt;0,IF(OR('CASE DATA'!G239="GTR",'CASE DATA'!G239="GPL",'CASE DATA'!G239="DEF"),IF('CASE DATA'!H239="YES","License &amp; registration","Registration only"),"Z - Neither license nor registration"),"Z - no debt")</f>
        <v>Z - no debt</v>
      </c>
      <c r="D237" s="82">
        <f>SUM('CASE DATA'!J239:S239)</f>
        <v>0</v>
      </c>
    </row>
    <row r="238" spans="1:4" x14ac:dyDescent="0.25">
      <c r="A238" s="57" t="str">
        <f>IF('CASE DATA'!A240="","",'CASE DATA'!A240)</f>
        <v/>
      </c>
      <c r="B238" s="57">
        <f>'CASE DATA'!B240</f>
        <v>0</v>
      </c>
      <c r="C238" s="57" t="str">
        <f>IF(SUM('CASE DATA'!J240:S240)&gt;0,IF(OR('CASE DATA'!G240="GTR",'CASE DATA'!G240="GPL",'CASE DATA'!G240="DEF"),IF('CASE DATA'!H240="YES","License &amp; registration","Registration only"),"Z - Neither license nor registration"),"Z - no debt")</f>
        <v>Z - no debt</v>
      </c>
      <c r="D238" s="82">
        <f>SUM('CASE DATA'!J240:S240)</f>
        <v>0</v>
      </c>
    </row>
    <row r="239" spans="1:4" x14ac:dyDescent="0.25">
      <c r="A239" s="57" t="str">
        <f>IF('CASE DATA'!A241="","",'CASE DATA'!A241)</f>
        <v/>
      </c>
      <c r="B239" s="57">
        <f>'CASE DATA'!B241</f>
        <v>0</v>
      </c>
      <c r="C239" s="57" t="str">
        <f>IF(SUM('CASE DATA'!J241:S241)&gt;0,IF(OR('CASE DATA'!G241="GTR",'CASE DATA'!G241="GPL",'CASE DATA'!G241="DEF"),IF('CASE DATA'!H241="YES","License &amp; registration","Registration only"),"Z - Neither license nor registration"),"Z - no debt")</f>
        <v>Z - no debt</v>
      </c>
      <c r="D239" s="82">
        <f>SUM('CASE DATA'!J241:S241)</f>
        <v>0</v>
      </c>
    </row>
    <row r="240" spans="1:4" x14ac:dyDescent="0.25">
      <c r="A240" s="57" t="str">
        <f>IF('CASE DATA'!A242="","",'CASE DATA'!A242)</f>
        <v/>
      </c>
      <c r="B240" s="57">
        <f>'CASE DATA'!B242</f>
        <v>0</v>
      </c>
      <c r="C240" s="57" t="str">
        <f>IF(SUM('CASE DATA'!J242:S242)&gt;0,IF(OR('CASE DATA'!G242="GTR",'CASE DATA'!G242="GPL",'CASE DATA'!G242="DEF"),IF('CASE DATA'!H242="YES","License &amp; registration","Registration only"),"Z - Neither license nor registration"),"Z - no debt")</f>
        <v>Z - no debt</v>
      </c>
      <c r="D240" s="82">
        <f>SUM('CASE DATA'!J242:S242)</f>
        <v>0</v>
      </c>
    </row>
    <row r="241" spans="1:4" x14ac:dyDescent="0.25">
      <c r="A241" s="57" t="str">
        <f>IF('CASE DATA'!A243="","",'CASE DATA'!A243)</f>
        <v/>
      </c>
      <c r="B241" s="57">
        <f>'CASE DATA'!B243</f>
        <v>0</v>
      </c>
      <c r="C241" s="57" t="str">
        <f>IF(SUM('CASE DATA'!J243:S243)&gt;0,IF(OR('CASE DATA'!G243="GTR",'CASE DATA'!G243="GPL",'CASE DATA'!G243="DEF"),IF('CASE DATA'!H243="YES","License &amp; registration","Registration only"),"Z - Neither license nor registration"),"Z - no debt")</f>
        <v>Z - no debt</v>
      </c>
      <c r="D241" s="82">
        <f>SUM('CASE DATA'!J243:S243)</f>
        <v>0</v>
      </c>
    </row>
    <row r="242" spans="1:4" x14ac:dyDescent="0.25">
      <c r="A242" s="57" t="str">
        <f>IF('CASE DATA'!A244="","",'CASE DATA'!A244)</f>
        <v/>
      </c>
      <c r="B242" s="57">
        <f>'CASE DATA'!B244</f>
        <v>0</v>
      </c>
      <c r="C242" s="57" t="str">
        <f>IF(SUM('CASE DATA'!J244:S244)&gt;0,IF(OR('CASE DATA'!G244="GTR",'CASE DATA'!G244="GPL",'CASE DATA'!G244="DEF"),IF('CASE DATA'!H244="YES","License &amp; registration","Registration only"),"Z - Neither license nor registration"),"Z - no debt")</f>
        <v>Z - no debt</v>
      </c>
      <c r="D242" s="82">
        <f>SUM('CASE DATA'!J244:S244)</f>
        <v>0</v>
      </c>
    </row>
    <row r="243" spans="1:4" x14ac:dyDescent="0.25">
      <c r="A243" s="57" t="str">
        <f>IF('CASE DATA'!A245="","",'CASE DATA'!A245)</f>
        <v/>
      </c>
      <c r="B243" s="57">
        <f>'CASE DATA'!B245</f>
        <v>0</v>
      </c>
      <c r="C243" s="57" t="str">
        <f>IF(SUM('CASE DATA'!J245:S245)&gt;0,IF(OR('CASE DATA'!G245="GTR",'CASE DATA'!G245="GPL",'CASE DATA'!G245="DEF"),IF('CASE DATA'!H245="YES","License &amp; registration","Registration only"),"Z - Neither license nor registration"),"Z - no debt")</f>
        <v>Z - no debt</v>
      </c>
      <c r="D243" s="82">
        <f>SUM('CASE DATA'!J245:S245)</f>
        <v>0</v>
      </c>
    </row>
    <row r="244" spans="1:4" x14ac:dyDescent="0.25">
      <c r="A244" s="57" t="str">
        <f>IF('CASE DATA'!A246="","",'CASE DATA'!A246)</f>
        <v/>
      </c>
      <c r="B244" s="57">
        <f>'CASE DATA'!B246</f>
        <v>0</v>
      </c>
      <c r="C244" s="57" t="str">
        <f>IF(SUM('CASE DATA'!J246:S246)&gt;0,IF(OR('CASE DATA'!G246="GTR",'CASE DATA'!G246="GPL",'CASE DATA'!G246="DEF"),IF('CASE DATA'!H246="YES","License &amp; registration","Registration only"),"Z - Neither license nor registration"),"Z - no debt")</f>
        <v>Z - no debt</v>
      </c>
      <c r="D244" s="82">
        <f>SUM('CASE DATA'!J246:S246)</f>
        <v>0</v>
      </c>
    </row>
    <row r="245" spans="1:4" x14ac:dyDescent="0.25">
      <c r="A245" s="57" t="str">
        <f>IF('CASE DATA'!A247="","",'CASE DATA'!A247)</f>
        <v/>
      </c>
      <c r="B245" s="57">
        <f>'CASE DATA'!B247</f>
        <v>0</v>
      </c>
      <c r="C245" s="57" t="str">
        <f>IF(SUM('CASE DATA'!J247:S247)&gt;0,IF(OR('CASE DATA'!G247="GTR",'CASE DATA'!G247="GPL",'CASE DATA'!G247="DEF"),IF('CASE DATA'!H247="YES","License &amp; registration","Registration only"),"Z - Neither license nor registration"),"Z - no debt")</f>
        <v>Z - no debt</v>
      </c>
      <c r="D245" s="82">
        <f>SUM('CASE DATA'!J247:S247)</f>
        <v>0</v>
      </c>
    </row>
    <row r="246" spans="1:4" x14ac:dyDescent="0.25">
      <c r="A246" s="57" t="str">
        <f>IF('CASE DATA'!A248="","",'CASE DATA'!A248)</f>
        <v/>
      </c>
      <c r="B246" s="57">
        <f>'CASE DATA'!B248</f>
        <v>0</v>
      </c>
      <c r="C246" s="57" t="str">
        <f>IF(SUM('CASE DATA'!J248:S248)&gt;0,IF(OR('CASE DATA'!G248="GTR",'CASE DATA'!G248="GPL",'CASE DATA'!G248="DEF"),IF('CASE DATA'!H248="YES","License &amp; registration","Registration only"),"Z - Neither license nor registration"),"Z - no debt")</f>
        <v>Z - no debt</v>
      </c>
      <c r="D246" s="82">
        <f>SUM('CASE DATA'!J248:S248)</f>
        <v>0</v>
      </c>
    </row>
    <row r="247" spans="1:4" x14ac:dyDescent="0.25">
      <c r="A247" s="57" t="str">
        <f>IF('CASE DATA'!A249="","",'CASE DATA'!A249)</f>
        <v/>
      </c>
      <c r="B247" s="57">
        <f>'CASE DATA'!B249</f>
        <v>0</v>
      </c>
      <c r="C247" s="57" t="str">
        <f>IF(SUM('CASE DATA'!J249:S249)&gt;0,IF(OR('CASE DATA'!G249="GTR",'CASE DATA'!G249="GPL",'CASE DATA'!G249="DEF"),IF('CASE DATA'!H249="YES","License &amp; registration","Registration only"),"Z - Neither license nor registration"),"Z - no debt")</f>
        <v>Z - no debt</v>
      </c>
      <c r="D247" s="82">
        <f>SUM('CASE DATA'!J249:S249)</f>
        <v>0</v>
      </c>
    </row>
    <row r="248" spans="1:4" x14ac:dyDescent="0.25">
      <c r="A248" s="57" t="str">
        <f>IF('CASE DATA'!A250="","",'CASE DATA'!A250)</f>
        <v/>
      </c>
      <c r="B248" s="57">
        <f>'CASE DATA'!B250</f>
        <v>0</v>
      </c>
      <c r="C248" s="57" t="str">
        <f>IF(SUM('CASE DATA'!J250:S250)&gt;0,IF(OR('CASE DATA'!G250="GTR",'CASE DATA'!G250="GPL",'CASE DATA'!G250="DEF"),IF('CASE DATA'!H250="YES","License &amp; registration","Registration only"),"Z - Neither license nor registration"),"Z - no debt")</f>
        <v>Z - no debt</v>
      </c>
      <c r="D248" s="82">
        <f>SUM('CASE DATA'!J250:S250)</f>
        <v>0</v>
      </c>
    </row>
    <row r="249" spans="1:4" x14ac:dyDescent="0.25">
      <c r="A249" s="57" t="str">
        <f>IF('CASE DATA'!A251="","",'CASE DATA'!A251)</f>
        <v/>
      </c>
      <c r="B249" s="57">
        <f>'CASE DATA'!B251</f>
        <v>0</v>
      </c>
      <c r="C249" s="57" t="str">
        <f>IF(SUM('CASE DATA'!J251:S251)&gt;0,IF(OR('CASE DATA'!G251="GTR",'CASE DATA'!G251="GPL",'CASE DATA'!G251="DEF"),IF('CASE DATA'!H251="YES","License &amp; registration","Registration only"),"Z - Neither license nor registration"),"Z - no debt")</f>
        <v>Z - no debt</v>
      </c>
      <c r="D249" s="82">
        <f>SUM('CASE DATA'!J251:S251)</f>
        <v>0</v>
      </c>
    </row>
    <row r="250" spans="1:4" x14ac:dyDescent="0.25">
      <c r="A250" s="57" t="str">
        <f>IF('CASE DATA'!A252="","",'CASE DATA'!A252)</f>
        <v/>
      </c>
      <c r="B250" s="57">
        <f>'CASE DATA'!B252</f>
        <v>0</v>
      </c>
      <c r="C250" s="57" t="str">
        <f>IF(SUM('CASE DATA'!J252:S252)&gt;0,IF(OR('CASE DATA'!G252="GTR",'CASE DATA'!G252="GPL",'CASE DATA'!G252="DEF"),IF('CASE DATA'!H252="YES","License &amp; registration","Registration only"),"Z - Neither license nor registration"),"Z - no debt")</f>
        <v>Z - no debt</v>
      </c>
      <c r="D250" s="82">
        <f>SUM('CASE DATA'!J252:S252)</f>
        <v>0</v>
      </c>
    </row>
    <row r="251" spans="1:4" x14ac:dyDescent="0.25">
      <c r="A251" s="57" t="str">
        <f>IF('CASE DATA'!A253="","",'CASE DATA'!A253)</f>
        <v/>
      </c>
      <c r="B251" s="57">
        <f>'CASE DATA'!B253</f>
        <v>0</v>
      </c>
      <c r="C251" s="57" t="str">
        <f>IF(SUM('CASE DATA'!J253:S253)&gt;0,IF(OR('CASE DATA'!G253="GTR",'CASE DATA'!G253="GPL",'CASE DATA'!G253="DEF"),IF('CASE DATA'!H253="YES","License &amp; registration","Registration only"),"Z - Neither license nor registration"),"Z - no debt")</f>
        <v>Z - no debt</v>
      </c>
      <c r="D251" s="82">
        <f>SUM('CASE DATA'!J253:S253)</f>
        <v>0</v>
      </c>
    </row>
    <row r="252" spans="1:4" x14ac:dyDescent="0.25">
      <c r="A252" s="57" t="str">
        <f>IF('CASE DATA'!A254="","",'CASE DATA'!A254)</f>
        <v/>
      </c>
      <c r="B252" s="57">
        <f>'CASE DATA'!B254</f>
        <v>0</v>
      </c>
      <c r="C252" s="57" t="str">
        <f>IF(SUM('CASE DATA'!J254:S254)&gt;0,IF(OR('CASE DATA'!G254="GTR",'CASE DATA'!G254="GPL",'CASE DATA'!G254="DEF"),IF('CASE DATA'!H254="YES","License &amp; registration","Registration only"),"Z - Neither license nor registration"),"Z - no debt")</f>
        <v>Z - no debt</v>
      </c>
      <c r="D252" s="82">
        <f>SUM('CASE DATA'!J254:S254)</f>
        <v>0</v>
      </c>
    </row>
    <row r="253" spans="1:4" x14ac:dyDescent="0.25">
      <c r="A253" s="57" t="str">
        <f>IF('CASE DATA'!A255="","",'CASE DATA'!A255)</f>
        <v/>
      </c>
      <c r="B253" s="57">
        <f>'CASE DATA'!B255</f>
        <v>0</v>
      </c>
      <c r="C253" s="57" t="str">
        <f>IF(SUM('CASE DATA'!J255:S255)&gt;0,IF(OR('CASE DATA'!G255="GTR",'CASE DATA'!G255="GPL",'CASE DATA'!G255="DEF"),IF('CASE DATA'!H255="YES","License &amp; registration","Registration only"),"Z - Neither license nor registration"),"Z - no debt")</f>
        <v>Z - no debt</v>
      </c>
      <c r="D253" s="82">
        <f>SUM('CASE DATA'!J255:S255)</f>
        <v>0</v>
      </c>
    </row>
    <row r="254" spans="1:4" x14ac:dyDescent="0.25">
      <c r="A254" s="57" t="str">
        <f>IF('CASE DATA'!A256="","",'CASE DATA'!A256)</f>
        <v/>
      </c>
      <c r="B254" s="57">
        <f>'CASE DATA'!B256</f>
        <v>0</v>
      </c>
      <c r="C254" s="57" t="str">
        <f>IF(SUM('CASE DATA'!J256:S256)&gt;0,IF(OR('CASE DATA'!G256="GTR",'CASE DATA'!G256="GPL",'CASE DATA'!G256="DEF"),IF('CASE DATA'!H256="YES","License &amp; registration","Registration only"),"Z - Neither license nor registration"),"Z - no debt")</f>
        <v>Z - no debt</v>
      </c>
      <c r="D254" s="82">
        <f>SUM('CASE DATA'!J256:S256)</f>
        <v>0</v>
      </c>
    </row>
    <row r="255" spans="1:4" x14ac:dyDescent="0.25">
      <c r="A255" s="57" t="str">
        <f>IF('CASE DATA'!A257="","",'CASE DATA'!A257)</f>
        <v/>
      </c>
      <c r="B255" s="57">
        <f>'CASE DATA'!B257</f>
        <v>0</v>
      </c>
      <c r="C255" s="57" t="str">
        <f>IF(SUM('CASE DATA'!J257:S257)&gt;0,IF(OR('CASE DATA'!G257="GTR",'CASE DATA'!G257="GPL",'CASE DATA'!G257="DEF"),IF('CASE DATA'!H257="YES","License &amp; registration","Registration only"),"Z - Neither license nor registration"),"Z - no debt")</f>
        <v>Z - no debt</v>
      </c>
      <c r="D255" s="82">
        <f>SUM('CASE DATA'!J257:S257)</f>
        <v>0</v>
      </c>
    </row>
    <row r="256" spans="1:4" x14ac:dyDescent="0.25">
      <c r="A256" s="57" t="str">
        <f>IF('CASE DATA'!A258="","",'CASE DATA'!A258)</f>
        <v/>
      </c>
      <c r="B256" s="57">
        <f>'CASE DATA'!B258</f>
        <v>0</v>
      </c>
      <c r="C256" s="57" t="str">
        <f>IF(SUM('CASE DATA'!J258:S258)&gt;0,IF(OR('CASE DATA'!G258="GTR",'CASE DATA'!G258="GPL",'CASE DATA'!G258="DEF"),IF('CASE DATA'!H258="YES","License &amp; registration","Registration only"),"Z - Neither license nor registration"),"Z - no debt")</f>
        <v>Z - no debt</v>
      </c>
      <c r="D256" s="82">
        <f>SUM('CASE DATA'!J258:S258)</f>
        <v>0</v>
      </c>
    </row>
    <row r="257" spans="1:4" x14ac:dyDescent="0.25">
      <c r="A257" s="57" t="str">
        <f>IF('CASE DATA'!A259="","",'CASE DATA'!A259)</f>
        <v/>
      </c>
      <c r="B257" s="57">
        <f>'CASE DATA'!B259</f>
        <v>0</v>
      </c>
      <c r="C257" s="57" t="str">
        <f>IF(SUM('CASE DATA'!J259:S259)&gt;0,IF(OR('CASE DATA'!G259="GTR",'CASE DATA'!G259="GPL",'CASE DATA'!G259="DEF"),IF('CASE DATA'!H259="YES","License &amp; registration","Registration only"),"Z - Neither license nor registration"),"Z - no debt")</f>
        <v>Z - no debt</v>
      </c>
      <c r="D257" s="82">
        <f>SUM('CASE DATA'!J259:S259)</f>
        <v>0</v>
      </c>
    </row>
    <row r="258" spans="1:4" x14ac:dyDescent="0.25">
      <c r="A258" s="57" t="str">
        <f>IF('CASE DATA'!A260="","",'CASE DATA'!A260)</f>
        <v/>
      </c>
      <c r="B258" s="57">
        <f>'CASE DATA'!B260</f>
        <v>0</v>
      </c>
      <c r="C258" s="57" t="str">
        <f>IF(SUM('CASE DATA'!J260:S260)&gt;0,IF(OR('CASE DATA'!G260="GTR",'CASE DATA'!G260="GPL",'CASE DATA'!G260="DEF"),IF('CASE DATA'!H260="YES","License &amp; registration","Registration only"),"Z - Neither license nor registration"),"Z - no debt")</f>
        <v>Z - no debt</v>
      </c>
      <c r="D258" s="82">
        <f>SUM('CASE DATA'!J260:S260)</f>
        <v>0</v>
      </c>
    </row>
    <row r="259" spans="1:4" x14ac:dyDescent="0.25">
      <c r="A259" s="57" t="str">
        <f>IF('CASE DATA'!A261="","",'CASE DATA'!A261)</f>
        <v/>
      </c>
      <c r="B259" s="57">
        <f>'CASE DATA'!B261</f>
        <v>0</v>
      </c>
      <c r="C259" s="57" t="str">
        <f>IF(SUM('CASE DATA'!J261:S261)&gt;0,IF(OR('CASE DATA'!G261="GTR",'CASE DATA'!G261="GPL",'CASE DATA'!G261="DEF"),IF('CASE DATA'!H261="YES","License &amp; registration","Registration only"),"Z - Neither license nor registration"),"Z - no debt")</f>
        <v>Z - no debt</v>
      </c>
      <c r="D259" s="82">
        <f>SUM('CASE DATA'!J261:S261)</f>
        <v>0</v>
      </c>
    </row>
    <row r="260" spans="1:4" x14ac:dyDescent="0.25">
      <c r="A260" s="57" t="str">
        <f>IF('CASE DATA'!A262="","",'CASE DATA'!A262)</f>
        <v/>
      </c>
      <c r="B260" s="57">
        <f>'CASE DATA'!B262</f>
        <v>0</v>
      </c>
      <c r="C260" s="57" t="str">
        <f>IF(SUM('CASE DATA'!J262:S262)&gt;0,IF(OR('CASE DATA'!G262="GTR",'CASE DATA'!G262="GPL",'CASE DATA'!G262="DEF"),IF('CASE DATA'!H262="YES","License &amp; registration","Registration only"),"Z - Neither license nor registration"),"Z - no debt")</f>
        <v>Z - no debt</v>
      </c>
      <c r="D260" s="82">
        <f>SUM('CASE DATA'!J262:S262)</f>
        <v>0</v>
      </c>
    </row>
    <row r="261" spans="1:4" x14ac:dyDescent="0.25">
      <c r="A261" s="57" t="str">
        <f>IF('CASE DATA'!A263="","",'CASE DATA'!A263)</f>
        <v/>
      </c>
      <c r="B261" s="57">
        <f>'CASE DATA'!B263</f>
        <v>0</v>
      </c>
      <c r="C261" s="57" t="str">
        <f>IF(SUM('CASE DATA'!J263:S263)&gt;0,IF(OR('CASE DATA'!G263="GTR",'CASE DATA'!G263="GPL",'CASE DATA'!G263="DEF"),IF('CASE DATA'!H263="YES","License &amp; registration","Registration only"),"Z - Neither license nor registration"),"Z - no debt")</f>
        <v>Z - no debt</v>
      </c>
      <c r="D261" s="82">
        <f>SUM('CASE DATA'!J263:S263)</f>
        <v>0</v>
      </c>
    </row>
    <row r="262" spans="1:4" x14ac:dyDescent="0.25">
      <c r="A262" s="57" t="str">
        <f>IF('CASE DATA'!A264="","",'CASE DATA'!A264)</f>
        <v/>
      </c>
      <c r="B262" s="57">
        <f>'CASE DATA'!B264</f>
        <v>0</v>
      </c>
      <c r="C262" s="57" t="str">
        <f>IF(SUM('CASE DATA'!J264:S264)&gt;0,IF(OR('CASE DATA'!G264="GTR",'CASE DATA'!G264="GPL",'CASE DATA'!G264="DEF"),IF('CASE DATA'!H264="YES","License &amp; registration","Registration only"),"Z - Neither license nor registration"),"Z - no debt")</f>
        <v>Z - no debt</v>
      </c>
      <c r="D262" s="82">
        <f>SUM('CASE DATA'!J264:S264)</f>
        <v>0</v>
      </c>
    </row>
    <row r="263" spans="1:4" x14ac:dyDescent="0.25">
      <c r="A263" s="57" t="str">
        <f>IF('CASE DATA'!A265="","",'CASE DATA'!A265)</f>
        <v/>
      </c>
      <c r="B263" s="57">
        <f>'CASE DATA'!B265</f>
        <v>0</v>
      </c>
      <c r="C263" s="57" t="str">
        <f>IF(SUM('CASE DATA'!J265:S265)&gt;0,IF(OR('CASE DATA'!G265="GTR",'CASE DATA'!G265="GPL",'CASE DATA'!G265="DEF"),IF('CASE DATA'!H265="YES","License &amp; registration","Registration only"),"Z - Neither license nor registration"),"Z - no debt")</f>
        <v>Z - no debt</v>
      </c>
      <c r="D263" s="82">
        <f>SUM('CASE DATA'!J265:S265)</f>
        <v>0</v>
      </c>
    </row>
    <row r="264" spans="1:4" x14ac:dyDescent="0.25">
      <c r="A264" s="57" t="str">
        <f>IF('CASE DATA'!A266="","",'CASE DATA'!A266)</f>
        <v/>
      </c>
      <c r="B264" s="57">
        <f>'CASE DATA'!B266</f>
        <v>0</v>
      </c>
      <c r="C264" s="57" t="str">
        <f>IF(SUM('CASE DATA'!J266:S266)&gt;0,IF(OR('CASE DATA'!G266="GTR",'CASE DATA'!G266="GPL",'CASE DATA'!G266="DEF"),IF('CASE DATA'!H266="YES","License &amp; registration","Registration only"),"Z - Neither license nor registration"),"Z - no debt")</f>
        <v>Z - no debt</v>
      </c>
      <c r="D264" s="82">
        <f>SUM('CASE DATA'!J266:S266)</f>
        <v>0</v>
      </c>
    </row>
    <row r="265" spans="1:4" x14ac:dyDescent="0.25">
      <c r="A265" s="57" t="str">
        <f>IF('CASE DATA'!A267="","",'CASE DATA'!A267)</f>
        <v/>
      </c>
      <c r="B265" s="57">
        <f>'CASE DATA'!B267</f>
        <v>0</v>
      </c>
      <c r="C265" s="57" t="str">
        <f>IF(SUM('CASE DATA'!J267:S267)&gt;0,IF(OR('CASE DATA'!G267="GTR",'CASE DATA'!G267="GPL",'CASE DATA'!G267="DEF"),IF('CASE DATA'!H267="YES","License &amp; registration","Registration only"),"Z - Neither license nor registration"),"Z - no debt")</f>
        <v>Z - no debt</v>
      </c>
      <c r="D265" s="82">
        <f>SUM('CASE DATA'!J267:S267)</f>
        <v>0</v>
      </c>
    </row>
    <row r="266" spans="1:4" x14ac:dyDescent="0.25">
      <c r="A266" s="57" t="str">
        <f>IF('CASE DATA'!A268="","",'CASE DATA'!A268)</f>
        <v/>
      </c>
      <c r="B266" s="57">
        <f>'CASE DATA'!B268</f>
        <v>0</v>
      </c>
      <c r="C266" s="57" t="str">
        <f>IF(SUM('CASE DATA'!J268:S268)&gt;0,IF(OR('CASE DATA'!G268="GTR",'CASE DATA'!G268="GPL",'CASE DATA'!G268="DEF"),IF('CASE DATA'!H268="YES","License &amp; registration","Registration only"),"Z - Neither license nor registration"),"Z - no debt")</f>
        <v>Z - no debt</v>
      </c>
      <c r="D266" s="82">
        <f>SUM('CASE DATA'!J268:S268)</f>
        <v>0</v>
      </c>
    </row>
    <row r="267" spans="1:4" x14ac:dyDescent="0.25">
      <c r="A267" s="57" t="str">
        <f>IF('CASE DATA'!A269="","",'CASE DATA'!A269)</f>
        <v/>
      </c>
      <c r="B267" s="57">
        <f>'CASE DATA'!B269</f>
        <v>0</v>
      </c>
      <c r="C267" s="57" t="str">
        <f>IF(SUM('CASE DATA'!J269:S269)&gt;0,IF(OR('CASE DATA'!G269="GTR",'CASE DATA'!G269="GPL",'CASE DATA'!G269="DEF"),IF('CASE DATA'!H269="YES","License &amp; registration","Registration only"),"Z - Neither license nor registration"),"Z - no debt")</f>
        <v>Z - no debt</v>
      </c>
      <c r="D267" s="82">
        <f>SUM('CASE DATA'!J269:S269)</f>
        <v>0</v>
      </c>
    </row>
    <row r="268" spans="1:4" x14ac:dyDescent="0.25">
      <c r="A268" s="57" t="str">
        <f>IF('CASE DATA'!A270="","",'CASE DATA'!A270)</f>
        <v/>
      </c>
      <c r="B268" s="57">
        <f>'CASE DATA'!B270</f>
        <v>0</v>
      </c>
      <c r="C268" s="57" t="str">
        <f>IF(SUM('CASE DATA'!J270:S270)&gt;0,IF(OR('CASE DATA'!G270="GTR",'CASE DATA'!G270="GPL",'CASE DATA'!G270="DEF"),IF('CASE DATA'!H270="YES","License &amp; registration","Registration only"),"Z - Neither license nor registration"),"Z - no debt")</f>
        <v>Z - no debt</v>
      </c>
      <c r="D268" s="82">
        <f>SUM('CASE DATA'!J270:S270)</f>
        <v>0</v>
      </c>
    </row>
    <row r="269" spans="1:4" x14ac:dyDescent="0.25">
      <c r="A269" s="57" t="str">
        <f>IF('CASE DATA'!A271="","",'CASE DATA'!A271)</f>
        <v/>
      </c>
      <c r="B269" s="57">
        <f>'CASE DATA'!B271</f>
        <v>0</v>
      </c>
      <c r="C269" s="57" t="str">
        <f>IF(SUM('CASE DATA'!J271:S271)&gt;0,IF(OR('CASE DATA'!G271="GTR",'CASE DATA'!G271="GPL",'CASE DATA'!G271="DEF"),IF('CASE DATA'!H271="YES","License &amp; registration","Registration only"),"Z - Neither license nor registration"),"Z - no debt")</f>
        <v>Z - no debt</v>
      </c>
      <c r="D269" s="82">
        <f>SUM('CASE DATA'!J271:S271)</f>
        <v>0</v>
      </c>
    </row>
    <row r="270" spans="1:4" x14ac:dyDescent="0.25">
      <c r="A270" s="57" t="str">
        <f>IF('CASE DATA'!A272="","",'CASE DATA'!A272)</f>
        <v/>
      </c>
      <c r="B270" s="57">
        <f>'CASE DATA'!B272</f>
        <v>0</v>
      </c>
      <c r="C270" s="57" t="str">
        <f>IF(SUM('CASE DATA'!J272:S272)&gt;0,IF(OR('CASE DATA'!G272="GTR",'CASE DATA'!G272="GPL",'CASE DATA'!G272="DEF"),IF('CASE DATA'!H272="YES","License &amp; registration","Registration only"),"Z - Neither license nor registration"),"Z - no debt")</f>
        <v>Z - no debt</v>
      </c>
      <c r="D270" s="82">
        <f>SUM('CASE DATA'!J272:S272)</f>
        <v>0</v>
      </c>
    </row>
    <row r="271" spans="1:4" x14ac:dyDescent="0.25">
      <c r="A271" s="57" t="str">
        <f>IF('CASE DATA'!A273="","",'CASE DATA'!A273)</f>
        <v/>
      </c>
      <c r="B271" s="57">
        <f>'CASE DATA'!B273</f>
        <v>0</v>
      </c>
      <c r="C271" s="57" t="str">
        <f>IF(SUM('CASE DATA'!J273:S273)&gt;0,IF(OR('CASE DATA'!G273="GTR",'CASE DATA'!G273="GPL",'CASE DATA'!G273="DEF"),IF('CASE DATA'!H273="YES","License &amp; registration","Registration only"),"Z - Neither license nor registration"),"Z - no debt")</f>
        <v>Z - no debt</v>
      </c>
      <c r="D271" s="82">
        <f>SUM('CASE DATA'!J273:S273)</f>
        <v>0</v>
      </c>
    </row>
    <row r="272" spans="1:4" x14ac:dyDescent="0.25">
      <c r="A272" s="57" t="str">
        <f>IF('CASE DATA'!A274="","",'CASE DATA'!A274)</f>
        <v/>
      </c>
      <c r="B272" s="57">
        <f>'CASE DATA'!B274</f>
        <v>0</v>
      </c>
      <c r="C272" s="57" t="str">
        <f>IF(SUM('CASE DATA'!J274:S274)&gt;0,IF(OR('CASE DATA'!G274="GTR",'CASE DATA'!G274="GPL",'CASE DATA'!G274="DEF"),IF('CASE DATA'!H274="YES","License &amp; registration","Registration only"),"Z - Neither license nor registration"),"Z - no debt")</f>
        <v>Z - no debt</v>
      </c>
      <c r="D272" s="82">
        <f>SUM('CASE DATA'!J274:S274)</f>
        <v>0</v>
      </c>
    </row>
    <row r="273" spans="1:4" x14ac:dyDescent="0.25">
      <c r="A273" s="57" t="str">
        <f>IF('CASE DATA'!A275="","",'CASE DATA'!A275)</f>
        <v/>
      </c>
      <c r="B273" s="57">
        <f>'CASE DATA'!B275</f>
        <v>0</v>
      </c>
      <c r="C273" s="57" t="str">
        <f>IF(SUM('CASE DATA'!J275:S275)&gt;0,IF(OR('CASE DATA'!G275="GTR",'CASE DATA'!G275="GPL",'CASE DATA'!G275="DEF"),IF('CASE DATA'!H275="YES","License &amp; registration","Registration only"),"Z - Neither license nor registration"),"Z - no debt")</f>
        <v>Z - no debt</v>
      </c>
      <c r="D273" s="82">
        <f>SUM('CASE DATA'!J275:S275)</f>
        <v>0</v>
      </c>
    </row>
    <row r="274" spans="1:4" x14ac:dyDescent="0.25">
      <c r="A274" s="57" t="str">
        <f>IF('CASE DATA'!A276="","",'CASE DATA'!A276)</f>
        <v/>
      </c>
      <c r="B274" s="57">
        <f>'CASE DATA'!B276</f>
        <v>0</v>
      </c>
      <c r="C274" s="57" t="str">
        <f>IF(SUM('CASE DATA'!J276:S276)&gt;0,IF(OR('CASE DATA'!G276="GTR",'CASE DATA'!G276="GPL",'CASE DATA'!G276="DEF"),IF('CASE DATA'!H276="YES","License &amp; registration","Registration only"),"Z - Neither license nor registration"),"Z - no debt")</f>
        <v>Z - no debt</v>
      </c>
      <c r="D274" s="82">
        <f>SUM('CASE DATA'!J276:S276)</f>
        <v>0</v>
      </c>
    </row>
    <row r="275" spans="1:4" x14ac:dyDescent="0.25">
      <c r="A275" s="57" t="str">
        <f>IF('CASE DATA'!A277="","",'CASE DATA'!A277)</f>
        <v/>
      </c>
      <c r="B275" s="57">
        <f>'CASE DATA'!B277</f>
        <v>0</v>
      </c>
      <c r="C275" s="57" t="str">
        <f>IF(SUM('CASE DATA'!J277:S277)&gt;0,IF(OR('CASE DATA'!G277="GTR",'CASE DATA'!G277="GPL",'CASE DATA'!G277="DEF"),IF('CASE DATA'!H277="YES","License &amp; registration","Registration only"),"Z - Neither license nor registration"),"Z - no debt")</f>
        <v>Z - no debt</v>
      </c>
      <c r="D275" s="82">
        <f>SUM('CASE DATA'!J277:S277)</f>
        <v>0</v>
      </c>
    </row>
    <row r="276" spans="1:4" x14ac:dyDescent="0.25">
      <c r="A276" s="57" t="str">
        <f>IF('CASE DATA'!A278="","",'CASE DATA'!A278)</f>
        <v/>
      </c>
      <c r="B276" s="57">
        <f>'CASE DATA'!B278</f>
        <v>0</v>
      </c>
      <c r="C276" s="57" t="str">
        <f>IF(SUM('CASE DATA'!J278:S278)&gt;0,IF(OR('CASE DATA'!G278="GTR",'CASE DATA'!G278="GPL",'CASE DATA'!G278="DEF"),IF('CASE DATA'!H278="YES","License &amp; registration","Registration only"),"Z - Neither license nor registration"),"Z - no debt")</f>
        <v>Z - no debt</v>
      </c>
      <c r="D276" s="82">
        <f>SUM('CASE DATA'!J278:S278)</f>
        <v>0</v>
      </c>
    </row>
    <row r="277" spans="1:4" x14ac:dyDescent="0.25">
      <c r="A277" s="57" t="str">
        <f>IF('CASE DATA'!A279="","",'CASE DATA'!A279)</f>
        <v/>
      </c>
      <c r="B277" s="57">
        <f>'CASE DATA'!B279</f>
        <v>0</v>
      </c>
      <c r="C277" s="57" t="str">
        <f>IF(SUM('CASE DATA'!J279:S279)&gt;0,IF(OR('CASE DATA'!G279="GTR",'CASE DATA'!G279="GPL",'CASE DATA'!G279="DEF"),IF('CASE DATA'!H279="YES","License &amp; registration","Registration only"),"Z - Neither license nor registration"),"Z - no debt")</f>
        <v>Z - no debt</v>
      </c>
      <c r="D277" s="82">
        <f>SUM('CASE DATA'!J279:S279)</f>
        <v>0</v>
      </c>
    </row>
    <row r="278" spans="1:4" x14ac:dyDescent="0.25">
      <c r="A278" s="57" t="str">
        <f>IF('CASE DATA'!A280="","",'CASE DATA'!A280)</f>
        <v/>
      </c>
      <c r="B278" s="57">
        <f>'CASE DATA'!B280</f>
        <v>0</v>
      </c>
      <c r="C278" s="57" t="str">
        <f>IF(SUM('CASE DATA'!J280:S280)&gt;0,IF(OR('CASE DATA'!G280="GTR",'CASE DATA'!G280="GPL",'CASE DATA'!G280="DEF"),IF('CASE DATA'!H280="YES","License &amp; registration","Registration only"),"Z - Neither license nor registration"),"Z - no debt")</f>
        <v>Z - no debt</v>
      </c>
      <c r="D278" s="82">
        <f>SUM('CASE DATA'!J280:S280)</f>
        <v>0</v>
      </c>
    </row>
    <row r="279" spans="1:4" x14ac:dyDescent="0.25">
      <c r="A279" s="57" t="str">
        <f>IF('CASE DATA'!A281="","",'CASE DATA'!A281)</f>
        <v/>
      </c>
      <c r="B279" s="57">
        <f>'CASE DATA'!B281</f>
        <v>0</v>
      </c>
      <c r="C279" s="57" t="str">
        <f>IF(SUM('CASE DATA'!J281:S281)&gt;0,IF(OR('CASE DATA'!G281="GTR",'CASE DATA'!G281="GPL",'CASE DATA'!G281="DEF"),IF('CASE DATA'!H281="YES","License &amp; registration","Registration only"),"Z - Neither license nor registration"),"Z - no debt")</f>
        <v>Z - no debt</v>
      </c>
      <c r="D279" s="82">
        <f>SUM('CASE DATA'!J281:S281)</f>
        <v>0</v>
      </c>
    </row>
    <row r="280" spans="1:4" x14ac:dyDescent="0.25">
      <c r="A280" s="57" t="str">
        <f>IF('CASE DATA'!A282="","",'CASE DATA'!A282)</f>
        <v/>
      </c>
      <c r="B280" s="57">
        <f>'CASE DATA'!B282</f>
        <v>0</v>
      </c>
      <c r="C280" s="57" t="str">
        <f>IF(SUM('CASE DATA'!J282:S282)&gt;0,IF(OR('CASE DATA'!G282="GTR",'CASE DATA'!G282="GPL",'CASE DATA'!G282="DEF"),IF('CASE DATA'!H282="YES","License &amp; registration","Registration only"),"Z - Neither license nor registration"),"Z - no debt")</f>
        <v>Z - no debt</v>
      </c>
      <c r="D280" s="82">
        <f>SUM('CASE DATA'!J282:S282)</f>
        <v>0</v>
      </c>
    </row>
    <row r="281" spans="1:4" x14ac:dyDescent="0.25">
      <c r="A281" s="57" t="str">
        <f>IF('CASE DATA'!A283="","",'CASE DATA'!A283)</f>
        <v/>
      </c>
      <c r="B281" s="57">
        <f>'CASE DATA'!B283</f>
        <v>0</v>
      </c>
      <c r="C281" s="57" t="str">
        <f>IF(SUM('CASE DATA'!J283:S283)&gt;0,IF(OR('CASE DATA'!G283="GTR",'CASE DATA'!G283="GPL",'CASE DATA'!G283="DEF"),IF('CASE DATA'!H283="YES","License &amp; registration","Registration only"),"Z - Neither license nor registration"),"Z - no debt")</f>
        <v>Z - no debt</v>
      </c>
      <c r="D281" s="82">
        <f>SUM('CASE DATA'!J283:S283)</f>
        <v>0</v>
      </c>
    </row>
    <row r="282" spans="1:4" x14ac:dyDescent="0.25">
      <c r="A282" s="57" t="str">
        <f>IF('CASE DATA'!A284="","",'CASE DATA'!A284)</f>
        <v/>
      </c>
      <c r="B282" s="57">
        <f>'CASE DATA'!B284</f>
        <v>0</v>
      </c>
      <c r="C282" s="57" t="str">
        <f>IF(SUM('CASE DATA'!J284:S284)&gt;0,IF(OR('CASE DATA'!G284="GTR",'CASE DATA'!G284="GPL",'CASE DATA'!G284="DEF"),IF('CASE DATA'!H284="YES","License &amp; registration","Registration only"),"Z - Neither license nor registration"),"Z - no debt")</f>
        <v>Z - no debt</v>
      </c>
      <c r="D282" s="82">
        <f>SUM('CASE DATA'!J284:S284)</f>
        <v>0</v>
      </c>
    </row>
    <row r="283" spans="1:4" x14ac:dyDescent="0.25">
      <c r="A283" s="57" t="str">
        <f>IF('CASE DATA'!A285="","",'CASE DATA'!A285)</f>
        <v/>
      </c>
      <c r="B283" s="57">
        <f>'CASE DATA'!B285</f>
        <v>0</v>
      </c>
      <c r="C283" s="57" t="str">
        <f>IF(SUM('CASE DATA'!J285:S285)&gt;0,IF(OR('CASE DATA'!G285="GTR",'CASE DATA'!G285="GPL",'CASE DATA'!G285="DEF"),IF('CASE DATA'!H285="YES","License &amp; registration","Registration only"),"Z - Neither license nor registration"),"Z - no debt")</f>
        <v>Z - no debt</v>
      </c>
      <c r="D283" s="82">
        <f>SUM('CASE DATA'!J285:S285)</f>
        <v>0</v>
      </c>
    </row>
    <row r="284" spans="1:4" x14ac:dyDescent="0.25">
      <c r="A284" s="57" t="str">
        <f>IF('CASE DATA'!A286="","",'CASE DATA'!A286)</f>
        <v/>
      </c>
      <c r="B284" s="57">
        <f>'CASE DATA'!B286</f>
        <v>0</v>
      </c>
      <c r="C284" s="57" t="str">
        <f>IF(SUM('CASE DATA'!J286:S286)&gt;0,IF(OR('CASE DATA'!G286="GTR",'CASE DATA'!G286="GPL",'CASE DATA'!G286="DEF"),IF('CASE DATA'!H286="YES","License &amp; registration","Registration only"),"Z - Neither license nor registration"),"Z - no debt")</f>
        <v>Z - no debt</v>
      </c>
      <c r="D284" s="82">
        <f>SUM('CASE DATA'!J286:S286)</f>
        <v>0</v>
      </c>
    </row>
    <row r="285" spans="1:4" x14ac:dyDescent="0.25">
      <c r="A285" s="57" t="str">
        <f>IF('CASE DATA'!A287="","",'CASE DATA'!A287)</f>
        <v/>
      </c>
      <c r="B285" s="57">
        <f>'CASE DATA'!B287</f>
        <v>0</v>
      </c>
      <c r="C285" s="57" t="str">
        <f>IF(SUM('CASE DATA'!J287:S287)&gt;0,IF(OR('CASE DATA'!G287="GTR",'CASE DATA'!G287="GPL",'CASE DATA'!G287="DEF"),IF('CASE DATA'!H287="YES","License &amp; registration","Registration only"),"Z - Neither license nor registration"),"Z - no debt")</f>
        <v>Z - no debt</v>
      </c>
      <c r="D285" s="82">
        <f>SUM('CASE DATA'!J287:S287)</f>
        <v>0</v>
      </c>
    </row>
    <row r="286" spans="1:4" x14ac:dyDescent="0.25">
      <c r="A286" s="57" t="str">
        <f>IF('CASE DATA'!A288="","",'CASE DATA'!A288)</f>
        <v/>
      </c>
      <c r="B286" s="57">
        <f>'CASE DATA'!B288</f>
        <v>0</v>
      </c>
      <c r="C286" s="57" t="str">
        <f>IF(SUM('CASE DATA'!J288:S288)&gt;0,IF(OR('CASE DATA'!G288="GTR",'CASE DATA'!G288="GPL",'CASE DATA'!G288="DEF"),IF('CASE DATA'!H288="YES","License &amp; registration","Registration only"),"Z - Neither license nor registration"),"Z - no debt")</f>
        <v>Z - no debt</v>
      </c>
      <c r="D286" s="82">
        <f>SUM('CASE DATA'!J288:S288)</f>
        <v>0</v>
      </c>
    </row>
    <row r="287" spans="1:4" x14ac:dyDescent="0.25">
      <c r="A287" s="57" t="str">
        <f>IF('CASE DATA'!A289="","",'CASE DATA'!A289)</f>
        <v/>
      </c>
      <c r="B287" s="57">
        <f>'CASE DATA'!B289</f>
        <v>0</v>
      </c>
      <c r="C287" s="57" t="str">
        <f>IF(SUM('CASE DATA'!J289:S289)&gt;0,IF(OR('CASE DATA'!G289="GTR",'CASE DATA'!G289="GPL",'CASE DATA'!G289="DEF"),IF('CASE DATA'!H289="YES","License &amp; registration","Registration only"),"Z - Neither license nor registration"),"Z - no debt")</f>
        <v>Z - no debt</v>
      </c>
      <c r="D287" s="82">
        <f>SUM('CASE DATA'!J289:S289)</f>
        <v>0</v>
      </c>
    </row>
    <row r="288" spans="1:4" x14ac:dyDescent="0.25">
      <c r="A288" s="57" t="str">
        <f>IF('CASE DATA'!A290="","",'CASE DATA'!A290)</f>
        <v/>
      </c>
      <c r="B288" s="57">
        <f>'CASE DATA'!B290</f>
        <v>0</v>
      </c>
      <c r="C288" s="57" t="str">
        <f>IF(SUM('CASE DATA'!J290:S290)&gt;0,IF(OR('CASE DATA'!G290="GTR",'CASE DATA'!G290="GPL",'CASE DATA'!G290="DEF"),IF('CASE DATA'!H290="YES","License &amp; registration","Registration only"),"Z - Neither license nor registration"),"Z - no debt")</f>
        <v>Z - no debt</v>
      </c>
      <c r="D288" s="82">
        <f>SUM('CASE DATA'!J290:S290)</f>
        <v>0</v>
      </c>
    </row>
    <row r="289" spans="1:4" x14ac:dyDescent="0.25">
      <c r="A289" s="57" t="str">
        <f>IF('CASE DATA'!A291="","",'CASE DATA'!A291)</f>
        <v/>
      </c>
      <c r="B289" s="57">
        <f>'CASE DATA'!B291</f>
        <v>0</v>
      </c>
      <c r="C289" s="57" t="str">
        <f>IF(SUM('CASE DATA'!J291:S291)&gt;0,IF(OR('CASE DATA'!G291="GTR",'CASE DATA'!G291="GPL",'CASE DATA'!G291="DEF"),IF('CASE DATA'!H291="YES","License &amp; registration","Registration only"),"Z - Neither license nor registration"),"Z - no debt")</f>
        <v>Z - no debt</v>
      </c>
      <c r="D289" s="82">
        <f>SUM('CASE DATA'!J291:S291)</f>
        <v>0</v>
      </c>
    </row>
    <row r="290" spans="1:4" x14ac:dyDescent="0.25">
      <c r="A290" s="57" t="str">
        <f>IF('CASE DATA'!A292="","",'CASE DATA'!A292)</f>
        <v/>
      </c>
      <c r="B290" s="57">
        <f>'CASE DATA'!B292</f>
        <v>0</v>
      </c>
      <c r="C290" s="57" t="str">
        <f>IF(SUM('CASE DATA'!J292:S292)&gt;0,IF(OR('CASE DATA'!G292="GTR",'CASE DATA'!G292="GPL",'CASE DATA'!G292="DEF"),IF('CASE DATA'!H292="YES","License &amp; registration","Registration only"),"Z - Neither license nor registration"),"Z - no debt")</f>
        <v>Z - no debt</v>
      </c>
      <c r="D290" s="82">
        <f>SUM('CASE DATA'!J292:S292)</f>
        <v>0</v>
      </c>
    </row>
    <row r="291" spans="1:4" x14ac:dyDescent="0.25">
      <c r="A291" s="57" t="str">
        <f>IF('CASE DATA'!A293="","",'CASE DATA'!A293)</f>
        <v/>
      </c>
      <c r="B291" s="57">
        <f>'CASE DATA'!B293</f>
        <v>0</v>
      </c>
      <c r="C291" s="57" t="str">
        <f>IF(SUM('CASE DATA'!J293:S293)&gt;0,IF(OR('CASE DATA'!G293="GTR",'CASE DATA'!G293="GPL",'CASE DATA'!G293="DEF"),IF('CASE DATA'!H293="YES","License &amp; registration","Registration only"),"Z - Neither license nor registration"),"Z - no debt")</f>
        <v>Z - no debt</v>
      </c>
      <c r="D291" s="82">
        <f>SUM('CASE DATA'!J293:S293)</f>
        <v>0</v>
      </c>
    </row>
    <row r="292" spans="1:4" x14ac:dyDescent="0.25">
      <c r="A292" s="57" t="str">
        <f>IF('CASE DATA'!A294="","",'CASE DATA'!A294)</f>
        <v/>
      </c>
      <c r="B292" s="57">
        <f>'CASE DATA'!B294</f>
        <v>0</v>
      </c>
      <c r="C292" s="57" t="str">
        <f>IF(SUM('CASE DATA'!J294:S294)&gt;0,IF(OR('CASE DATA'!G294="GTR",'CASE DATA'!G294="GPL",'CASE DATA'!G294="DEF"),IF('CASE DATA'!H294="YES","License &amp; registration","Registration only"),"Z - Neither license nor registration"),"Z - no debt")</f>
        <v>Z - no debt</v>
      </c>
      <c r="D292" s="82">
        <f>SUM('CASE DATA'!J294:S294)</f>
        <v>0</v>
      </c>
    </row>
    <row r="293" spans="1:4" x14ac:dyDescent="0.25">
      <c r="A293" s="57" t="str">
        <f>IF('CASE DATA'!A295="","",'CASE DATA'!A295)</f>
        <v/>
      </c>
      <c r="B293" s="57">
        <f>'CASE DATA'!B295</f>
        <v>0</v>
      </c>
      <c r="C293" s="57" t="str">
        <f>IF(SUM('CASE DATA'!J295:S295)&gt;0,IF(OR('CASE DATA'!G295="GTR",'CASE DATA'!G295="GPL",'CASE DATA'!G295="DEF"),IF('CASE DATA'!H295="YES","License &amp; registration","Registration only"),"Z - Neither license nor registration"),"Z - no debt")</f>
        <v>Z - no debt</v>
      </c>
      <c r="D293" s="82">
        <f>SUM('CASE DATA'!J295:S295)</f>
        <v>0</v>
      </c>
    </row>
    <row r="294" spans="1:4" x14ac:dyDescent="0.25">
      <c r="A294" s="57" t="str">
        <f>IF('CASE DATA'!A296="","",'CASE DATA'!A296)</f>
        <v/>
      </c>
      <c r="B294" s="57">
        <f>'CASE DATA'!B296</f>
        <v>0</v>
      </c>
      <c r="C294" s="57" t="str">
        <f>IF(SUM('CASE DATA'!J296:S296)&gt;0,IF(OR('CASE DATA'!G296="GTR",'CASE DATA'!G296="GPL",'CASE DATA'!G296="DEF"),IF('CASE DATA'!H296="YES","License &amp; registration","Registration only"),"Z - Neither license nor registration"),"Z - no debt")</f>
        <v>Z - no debt</v>
      </c>
      <c r="D294" s="82">
        <f>SUM('CASE DATA'!J296:S296)</f>
        <v>0</v>
      </c>
    </row>
    <row r="295" spans="1:4" x14ac:dyDescent="0.25">
      <c r="A295" s="57" t="str">
        <f>IF('CASE DATA'!A297="","",'CASE DATA'!A297)</f>
        <v/>
      </c>
      <c r="B295" s="57">
        <f>'CASE DATA'!B297</f>
        <v>0</v>
      </c>
      <c r="C295" s="57" t="str">
        <f>IF(SUM('CASE DATA'!J297:S297)&gt;0,IF(OR('CASE DATA'!G297="GTR",'CASE DATA'!G297="GPL",'CASE DATA'!G297="DEF"),IF('CASE DATA'!H297="YES","License &amp; registration","Registration only"),"Z - Neither license nor registration"),"Z - no debt")</f>
        <v>Z - no debt</v>
      </c>
      <c r="D295" s="82">
        <f>SUM('CASE DATA'!J297:S297)</f>
        <v>0</v>
      </c>
    </row>
    <row r="296" spans="1:4" x14ac:dyDescent="0.25">
      <c r="A296" s="57" t="str">
        <f>IF('CASE DATA'!A298="","",'CASE DATA'!A298)</f>
        <v/>
      </c>
      <c r="B296" s="57">
        <f>'CASE DATA'!B298</f>
        <v>0</v>
      </c>
      <c r="C296" s="57" t="str">
        <f>IF(SUM('CASE DATA'!J298:S298)&gt;0,IF(OR('CASE DATA'!G298="GTR",'CASE DATA'!G298="GPL",'CASE DATA'!G298="DEF"),IF('CASE DATA'!H298="YES","License &amp; registration","Registration only"),"Z - Neither license nor registration"),"Z - no debt")</f>
        <v>Z - no debt</v>
      </c>
      <c r="D296" s="82">
        <f>SUM('CASE DATA'!J298:S298)</f>
        <v>0</v>
      </c>
    </row>
    <row r="297" spans="1:4" x14ac:dyDescent="0.25">
      <c r="A297" s="57" t="str">
        <f>IF('CASE DATA'!A299="","",'CASE DATA'!A299)</f>
        <v/>
      </c>
      <c r="B297" s="57">
        <f>'CASE DATA'!B299</f>
        <v>0</v>
      </c>
      <c r="C297" s="57" t="str">
        <f>IF(SUM('CASE DATA'!J299:S299)&gt;0,IF(OR('CASE DATA'!G299="GTR",'CASE DATA'!G299="GPL",'CASE DATA'!G299="DEF"),IF('CASE DATA'!H299="YES","License &amp; registration","Registration only"),"Z - Neither license nor registration"),"Z - no debt")</f>
        <v>Z - no debt</v>
      </c>
      <c r="D297" s="82">
        <f>SUM('CASE DATA'!J299:S299)</f>
        <v>0</v>
      </c>
    </row>
    <row r="298" spans="1:4" x14ac:dyDescent="0.25">
      <c r="A298" s="57" t="str">
        <f>IF('CASE DATA'!A300="","",'CASE DATA'!A300)</f>
        <v/>
      </c>
      <c r="B298" s="57">
        <f>'CASE DATA'!B300</f>
        <v>0</v>
      </c>
      <c r="C298" s="57" t="str">
        <f>IF(SUM('CASE DATA'!J300:S300)&gt;0,IF(OR('CASE DATA'!G300="GTR",'CASE DATA'!G300="GPL",'CASE DATA'!G300="DEF"),IF('CASE DATA'!H300="YES","License &amp; registration","Registration only"),"Z - Neither license nor registration"),"Z - no debt")</f>
        <v>Z - no debt</v>
      </c>
      <c r="D298" s="82">
        <f>SUM('CASE DATA'!J300:S300)</f>
        <v>0</v>
      </c>
    </row>
    <row r="299" spans="1:4" x14ac:dyDescent="0.25">
      <c r="A299" s="57" t="str">
        <f>IF('CASE DATA'!A301="","",'CASE DATA'!A301)</f>
        <v/>
      </c>
      <c r="B299" s="57">
        <f>'CASE DATA'!B301</f>
        <v>0</v>
      </c>
      <c r="C299" s="57" t="str">
        <f>IF(SUM('CASE DATA'!J301:S301)&gt;0,IF(OR('CASE DATA'!G301="GTR",'CASE DATA'!G301="GPL",'CASE DATA'!G301="DEF"),IF('CASE DATA'!H301="YES","License &amp; registration","Registration only"),"Z - Neither license nor registration"),"Z - no debt")</f>
        <v>Z - no debt</v>
      </c>
      <c r="D299" s="82">
        <f>SUM('CASE DATA'!J301:S301)</f>
        <v>0</v>
      </c>
    </row>
    <row r="300" spans="1:4" x14ac:dyDescent="0.25">
      <c r="A300" s="57" t="str">
        <f>IF('CASE DATA'!A302="","",'CASE DATA'!A302)</f>
        <v/>
      </c>
      <c r="B300" s="57">
        <f>'CASE DATA'!B302</f>
        <v>0</v>
      </c>
      <c r="C300" s="57" t="str">
        <f>IF(SUM('CASE DATA'!J302:S302)&gt;0,IF(OR('CASE DATA'!G302="GTR",'CASE DATA'!G302="GPL",'CASE DATA'!G302="DEF"),IF('CASE DATA'!H302="YES","License &amp; registration","Registration only"),"Z - Neither license nor registration"),"Z - no debt")</f>
        <v>Z - no debt</v>
      </c>
      <c r="D300" s="82">
        <f>SUM('CASE DATA'!J302:S302)</f>
        <v>0</v>
      </c>
    </row>
  </sheetData>
  <autoFilter ref="A1:D1" xr:uid="{00000000-0009-0000-0000-000004000000}"/>
  <conditionalFormatting sqref="A2:D300">
    <cfRule type="expression" dxfId="1" priority="2">
      <formula>OR($C2="Z - Neither license nor registration",$C2="Z - no debt",$D2=0)</formula>
    </cfRule>
    <cfRule type="expression" dxfId="0"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0"/>
  <sheetViews>
    <sheetView zoomScaleNormal="100" workbookViewId="0">
      <pane ySplit="1" topLeftCell="A2" activePane="bottomLeft" state="frozen"/>
      <selection pane="bottomLeft" activeCell="D16" sqref="D16"/>
    </sheetView>
  </sheetViews>
  <sheetFormatPr defaultColWidth="8.7109375" defaultRowHeight="15" x14ac:dyDescent="0.25"/>
  <cols>
    <col min="1" max="4" width="20.7109375" customWidth="1"/>
    <col min="5" max="5" width="10.140625" customWidth="1"/>
  </cols>
  <sheetData>
    <row r="1" spans="1:5" x14ac:dyDescent="0.25">
      <c r="A1" s="95" t="s">
        <v>10</v>
      </c>
      <c r="B1" s="95"/>
      <c r="C1" s="65">
        <f>SUM(C4:C100)</f>
        <v>0</v>
      </c>
      <c r="D1" s="68">
        <f>SUM(D4:D100)</f>
        <v>0</v>
      </c>
      <c r="E1" s="32">
        <f>SUM(C1:D1)</f>
        <v>0</v>
      </c>
    </row>
    <row r="2" spans="1:5" x14ac:dyDescent="0.25">
      <c r="A2" s="97" t="s">
        <v>43</v>
      </c>
      <c r="B2" s="96" t="s">
        <v>76</v>
      </c>
      <c r="C2" s="96"/>
      <c r="D2" s="96"/>
    </row>
    <row r="3" spans="1:5" x14ac:dyDescent="0.25">
      <c r="A3" s="97"/>
      <c r="B3" s="70" t="s">
        <v>68</v>
      </c>
      <c r="C3" s="71" t="s">
        <v>77</v>
      </c>
      <c r="D3" s="74" t="s">
        <v>78</v>
      </c>
      <c r="E3" s="32"/>
    </row>
    <row r="4" spans="1:5" x14ac:dyDescent="0.25">
      <c r="A4" s="57" t="str">
        <f>IF('CASE DATA'!A4="","",'CASE DATA'!A4)</f>
        <v/>
      </c>
      <c r="B4" s="62" t="str">
        <f>IF('CASE DATA'!A4&lt;&gt;"",IF('CASE DATA'!G4=0, "open charge", 'CASE DATA'!G4),"")</f>
        <v/>
      </c>
      <c r="C4" s="75">
        <f>IF(OR(B4="DISM",B4="JWV",B4="JUV",B4="CIV"),SUM('CASE DATA'!J4:S4),SUM('CASE DATA'!J4:P4)+'CASE DATA'!S4)</f>
        <v>0</v>
      </c>
      <c r="D4" s="78">
        <f>IF(OR(B4="DISM", B4="JWV", B4="JUV", B4="CIV"), 0, 'CASE DATA'!Q4+'CASE DATA'!R4)</f>
        <v>0</v>
      </c>
    </row>
    <row r="5" spans="1:5" x14ac:dyDescent="0.25">
      <c r="A5" s="57" t="str">
        <f>IF('CASE DATA'!A5="","",'CASE DATA'!A5)</f>
        <v/>
      </c>
      <c r="B5" s="62" t="str">
        <f>IF('CASE DATA'!A5&lt;&gt;"",IF('CASE DATA'!G5=0, "open charge", 'CASE DATA'!G5),"")</f>
        <v/>
      </c>
      <c r="C5" s="75">
        <f>IF(OR(B5="DISM",B5="JWV",B5="JUV",B5="CIV"),SUM('CASE DATA'!J5:S5),SUM('CASE DATA'!J5:P5)+'CASE DATA'!S5)</f>
        <v>0</v>
      </c>
      <c r="D5" s="78">
        <f>IF(OR(B5="DISM", B5="JWV", B5="JUV", B5="CIV"), 0, 'CASE DATA'!Q5+'CASE DATA'!R5)</f>
        <v>0</v>
      </c>
    </row>
    <row r="6" spans="1:5" x14ac:dyDescent="0.25">
      <c r="A6" s="57" t="str">
        <f>IF('CASE DATA'!A6="","",'CASE DATA'!A6)</f>
        <v/>
      </c>
      <c r="B6" s="62" t="str">
        <f>IF('CASE DATA'!A6&lt;&gt;"",IF('CASE DATA'!G6=0, "open charge", 'CASE DATA'!G6),"")</f>
        <v/>
      </c>
      <c r="C6" s="75">
        <f>IF(OR(B6="DISM",B6="JWV",B6="JUV",B6="CIV"),SUM('CASE DATA'!J6:S6),SUM('CASE DATA'!J6:P6)+'CASE DATA'!S6)</f>
        <v>0</v>
      </c>
      <c r="D6" s="78">
        <f>IF(OR(B6="DISM", B6="JWV", B6="JUV", B6="CIV"), 0, 'CASE DATA'!Q6+'CASE DATA'!R6)</f>
        <v>0</v>
      </c>
    </row>
    <row r="7" spans="1:5" x14ac:dyDescent="0.25">
      <c r="A7" s="57" t="str">
        <f>IF('CASE DATA'!A7="","",'CASE DATA'!A7)</f>
        <v/>
      </c>
      <c r="B7" s="62" t="str">
        <f>IF('CASE DATA'!A7&lt;&gt;"",IF('CASE DATA'!G7=0, "open charge", 'CASE DATA'!G7),"")</f>
        <v/>
      </c>
      <c r="C7" s="75">
        <f>IF(OR(B7="DISM",B7="JWV",B7="JUV",B7="CIV"),SUM('CASE DATA'!J7:S7),SUM('CASE DATA'!J7:P7)+'CASE DATA'!S7)</f>
        <v>0</v>
      </c>
      <c r="D7" s="78">
        <f>IF(OR(B7="DISM", B7="JWV", B7="JUV", B7="CIV"), 0, 'CASE DATA'!Q7+'CASE DATA'!R7)</f>
        <v>0</v>
      </c>
    </row>
    <row r="8" spans="1:5" x14ac:dyDescent="0.25">
      <c r="A8" s="57" t="str">
        <f>IF('CASE DATA'!A8="","",'CASE DATA'!A8)</f>
        <v/>
      </c>
      <c r="B8" s="62" t="str">
        <f>IF('CASE DATA'!A8&lt;&gt;"",IF('CASE DATA'!G8=0, "open charge", 'CASE DATA'!G8),"")</f>
        <v/>
      </c>
      <c r="C8" s="75">
        <f>IF(OR(B8="DISM",B8="JWV",B8="JUV",B8="CIV"),SUM('CASE DATA'!J8:S8),SUM('CASE DATA'!J8:P8)+'CASE DATA'!S8)</f>
        <v>0</v>
      </c>
      <c r="D8" s="78">
        <f>IF(OR(B8="DISM", B8="JWV", B8="JUV", B8="CIV"), 0, 'CASE DATA'!Q8+'CASE DATA'!R8)</f>
        <v>0</v>
      </c>
    </row>
    <row r="9" spans="1:5" x14ac:dyDescent="0.25">
      <c r="A9" s="57" t="str">
        <f>IF('CASE DATA'!A9="","",'CASE DATA'!A9)</f>
        <v/>
      </c>
      <c r="B9" s="62" t="str">
        <f>IF('CASE DATA'!A9&lt;&gt;"",IF('CASE DATA'!G9=0, "open charge", 'CASE DATA'!G9),"")</f>
        <v/>
      </c>
      <c r="C9" s="75">
        <f>IF(OR(B9="DISM",B9="JWV",B9="JUV",B9="CIV"),SUM('CASE DATA'!J9:S9),SUM('CASE DATA'!J9:P9)+'CASE DATA'!S9)</f>
        <v>0</v>
      </c>
      <c r="D9" s="78">
        <f>IF(OR(B9="DISM", B9="JWV", B9="JUV", B9="CIV"), 0, 'CASE DATA'!Q9+'CASE DATA'!R9)</f>
        <v>0</v>
      </c>
    </row>
    <row r="10" spans="1:5" x14ac:dyDescent="0.25">
      <c r="A10" s="57" t="str">
        <f>IF('CASE DATA'!A10="","",'CASE DATA'!A10)</f>
        <v/>
      </c>
      <c r="B10" s="62" t="str">
        <f>IF('CASE DATA'!A10&lt;&gt;"",IF('CASE DATA'!G10=0, "open charge", 'CASE DATA'!G10),"")</f>
        <v/>
      </c>
      <c r="C10" s="75">
        <f>IF(OR(B10="DISM",B10="JWV",B10="JUV",B10="CIV"),SUM('CASE DATA'!J10:S10),SUM('CASE DATA'!J10:P10)+'CASE DATA'!S10)</f>
        <v>0</v>
      </c>
      <c r="D10" s="78">
        <f>IF(OR(B10="DISM", B10="JWV", B10="JUV", B10="CIV"), 0, 'CASE DATA'!Q10+'CASE DATA'!R10)</f>
        <v>0</v>
      </c>
    </row>
    <row r="11" spans="1:5" x14ac:dyDescent="0.25">
      <c r="A11" s="57" t="str">
        <f>IF('CASE DATA'!A11="","",'CASE DATA'!A11)</f>
        <v/>
      </c>
      <c r="B11" s="62" t="str">
        <f>IF('CASE DATA'!A11&lt;&gt;"",IF('CASE DATA'!G11=0, "open charge", 'CASE DATA'!G11),"")</f>
        <v/>
      </c>
      <c r="C11" s="75">
        <f>IF(OR(B11="DISM",B11="JWV",B11="JUV",B11="CIV"),SUM('CASE DATA'!J11:S11),SUM('CASE DATA'!J11:P11)+'CASE DATA'!S11)</f>
        <v>0</v>
      </c>
      <c r="D11" s="78">
        <f>IF(OR(B11="DISM", B11="JWV", B11="JUV", B11="CIV"), 0, 'CASE DATA'!Q11+'CASE DATA'!R11)</f>
        <v>0</v>
      </c>
    </row>
    <row r="12" spans="1:5" x14ac:dyDescent="0.25">
      <c r="A12" s="57" t="str">
        <f>IF('CASE DATA'!A12="","",'CASE DATA'!A12)</f>
        <v/>
      </c>
      <c r="B12" s="62" t="str">
        <f>IF('CASE DATA'!A12&lt;&gt;"",IF('CASE DATA'!G12=0, "open charge", 'CASE DATA'!G12),"")</f>
        <v/>
      </c>
      <c r="C12" s="75">
        <f>IF(OR(B12="DISM",B12="JWV",B12="JUV",B12="CIV"),SUM('CASE DATA'!J12:S12),SUM('CASE DATA'!J12:P12)+'CASE DATA'!S12)</f>
        <v>0</v>
      </c>
      <c r="D12" s="78">
        <f>IF(OR(B12="DISM", B12="JWV", B12="JUV", B12="CIV"), 0, 'CASE DATA'!Q12+'CASE DATA'!R12)</f>
        <v>0</v>
      </c>
    </row>
    <row r="13" spans="1:5" x14ac:dyDescent="0.25">
      <c r="A13" s="57" t="str">
        <f>IF('CASE DATA'!A13="","",'CASE DATA'!A13)</f>
        <v/>
      </c>
      <c r="B13" s="62" t="str">
        <f>IF('CASE DATA'!A13&lt;&gt;"",IF('CASE DATA'!G13=0, "open charge", 'CASE DATA'!G13),"")</f>
        <v/>
      </c>
      <c r="C13" s="75">
        <f>IF(OR(B13="DISM",B13="JWV",B13="JUV",B13="CIV"),SUM('CASE DATA'!J13:S13),SUM('CASE DATA'!J13:P13)+'CASE DATA'!S13)</f>
        <v>0</v>
      </c>
      <c r="D13" s="78">
        <f>IF(OR(B13="DISM", B13="JWV", B13="JUV", B13="CIV"), 0, 'CASE DATA'!Q13+'CASE DATA'!R13)</f>
        <v>0</v>
      </c>
    </row>
    <row r="14" spans="1:5" x14ac:dyDescent="0.25">
      <c r="A14" s="57" t="str">
        <f>IF('CASE DATA'!A14="","",'CASE DATA'!A14)</f>
        <v/>
      </c>
      <c r="B14" s="62" t="str">
        <f>IF('CASE DATA'!A14&lt;&gt;"",IF('CASE DATA'!G14=0, "open charge", 'CASE DATA'!G14),"")</f>
        <v/>
      </c>
      <c r="C14" s="75">
        <f>IF(OR(B14="DISM",B14="JWV",B14="JUV",B14="CIV"),SUM('CASE DATA'!J14:S14),SUM('CASE DATA'!J14:P14)+'CASE DATA'!S14)</f>
        <v>0</v>
      </c>
      <c r="D14" s="78">
        <f>IF(OR(B14="DISM", B14="JWV", B14="JUV", B14="CIV"), 0, 'CASE DATA'!Q14+'CASE DATA'!R14)</f>
        <v>0</v>
      </c>
    </row>
    <row r="15" spans="1:5" x14ac:dyDescent="0.25">
      <c r="A15" s="57" t="str">
        <f>IF('CASE DATA'!A15="","",'CASE DATA'!A15)</f>
        <v/>
      </c>
      <c r="B15" s="62" t="str">
        <f>IF('CASE DATA'!A15&lt;&gt;"",IF('CASE DATA'!G15=0, "open charge", 'CASE DATA'!G15),"")</f>
        <v/>
      </c>
      <c r="C15" s="75">
        <f>IF(OR(B15="DISM",B15="JWV",B15="JUV",B15="CIV"),SUM('CASE DATA'!J15:S15),SUM('CASE DATA'!J15:P15)+'CASE DATA'!S15)</f>
        <v>0</v>
      </c>
      <c r="D15" s="78">
        <f>IF(OR(B15="DISM", B15="JWV", B15="JUV", B15="CIV"), 0, 'CASE DATA'!Q15+'CASE DATA'!R15)</f>
        <v>0</v>
      </c>
    </row>
    <row r="16" spans="1:5" x14ac:dyDescent="0.25">
      <c r="A16" s="57" t="str">
        <f>IF('CASE DATA'!A16="","",'CASE DATA'!A16)</f>
        <v/>
      </c>
      <c r="B16" s="62" t="str">
        <f>IF('CASE DATA'!A16&lt;&gt;"",IF('CASE DATA'!G16=0, "open charge", 'CASE DATA'!G16),"")</f>
        <v/>
      </c>
      <c r="C16" s="75">
        <f>IF(OR(B16="DISM",B16="JWV",B16="JUV",B16="CIV"),SUM('CASE DATA'!J16:S16),SUM('CASE DATA'!J16:P16)+'CASE DATA'!S16)</f>
        <v>0</v>
      </c>
      <c r="D16" s="78">
        <f>IF(OR(B16="DISM", B16="JWV", B16="JUV", B16="CIV"), 0, 'CASE DATA'!Q16+'CASE DATA'!R16)</f>
        <v>0</v>
      </c>
    </row>
    <row r="17" spans="1:4" x14ac:dyDescent="0.25">
      <c r="A17" s="57" t="str">
        <f>IF('CASE DATA'!A17="","",'CASE DATA'!A17)</f>
        <v/>
      </c>
      <c r="B17" s="62" t="str">
        <f>IF('CASE DATA'!A17&lt;&gt;"",IF('CASE DATA'!G17=0, "open charge", 'CASE DATA'!G17),"")</f>
        <v/>
      </c>
      <c r="C17" s="75">
        <f>IF(OR(B17="DISM",B17="JWV",B17="JUV",B17="CIV"),SUM('CASE DATA'!J17:S17),SUM('CASE DATA'!J17:P17)+'CASE DATA'!S17)</f>
        <v>0</v>
      </c>
      <c r="D17" s="78">
        <f>IF(OR(B17="DISM", B17="JWV", B17="JUV", B17="CIV"), 0, 'CASE DATA'!Q17+'CASE DATA'!R17)</f>
        <v>0</v>
      </c>
    </row>
    <row r="18" spans="1:4" x14ac:dyDescent="0.25">
      <c r="A18" s="57" t="str">
        <f>IF('CASE DATA'!A18="","",'CASE DATA'!A18)</f>
        <v/>
      </c>
      <c r="B18" s="62" t="str">
        <f>IF('CASE DATA'!A18&lt;&gt;"",IF('CASE DATA'!G18=0, "open charge", 'CASE DATA'!G18),"")</f>
        <v/>
      </c>
      <c r="C18" s="75">
        <f>IF(OR(B18="DISM",B18="JWV",B18="JUV",B18="CIV"),SUM('CASE DATA'!J18:S18),SUM('CASE DATA'!J18:P18)+'CASE DATA'!S18)</f>
        <v>0</v>
      </c>
      <c r="D18" s="78">
        <f>IF(OR(B18="DISM", B18="JWV", B18="JUV", B18="CIV"), 0, 'CASE DATA'!Q18+'CASE DATA'!R18)</f>
        <v>0</v>
      </c>
    </row>
    <row r="19" spans="1:4" x14ac:dyDescent="0.25">
      <c r="A19" s="57" t="str">
        <f>IF('CASE DATA'!A19="","",'CASE DATA'!A19)</f>
        <v/>
      </c>
      <c r="B19" s="62" t="str">
        <f>IF('CASE DATA'!A19&lt;&gt;"",IF('CASE DATA'!G19=0, "open charge", 'CASE DATA'!G19),"")</f>
        <v/>
      </c>
      <c r="C19" s="75">
        <f>IF(OR(B19="DISM",B19="JWV",B19="JUV",B19="CIV"),SUM('CASE DATA'!J19:S19),SUM('CASE DATA'!J19:P19)+'CASE DATA'!S19)</f>
        <v>0</v>
      </c>
      <c r="D19" s="78">
        <f>IF(OR(B19="DISM", B19="JWV", B19="JUV", B19="CIV"), 0, 'CASE DATA'!Q19+'CASE DATA'!R19)</f>
        <v>0</v>
      </c>
    </row>
    <row r="20" spans="1:4" x14ac:dyDescent="0.25">
      <c r="A20" s="57" t="str">
        <f>IF('CASE DATA'!A20="","",'CASE DATA'!A20)</f>
        <v/>
      </c>
      <c r="B20" s="62" t="str">
        <f>IF('CASE DATA'!A20&lt;&gt;"",IF('CASE DATA'!G20=0, "open charge", 'CASE DATA'!G20),"")</f>
        <v/>
      </c>
      <c r="C20" s="75">
        <f>IF(OR(B20="DISM",B20="JWV",B20="JUV",B20="CIV"),SUM('CASE DATA'!J20:S20),SUM('CASE DATA'!J20:P20)+'CASE DATA'!S20)</f>
        <v>0</v>
      </c>
      <c r="D20" s="78">
        <f>IF(OR(B20="DISM", B20="JWV", B20="JUV", B20="CIV"), 0, 'CASE DATA'!Q20+'CASE DATA'!R20)</f>
        <v>0</v>
      </c>
    </row>
    <row r="21" spans="1:4" x14ac:dyDescent="0.25">
      <c r="A21" s="57" t="str">
        <f>IF('CASE DATA'!A21="","",'CASE DATA'!A21)</f>
        <v/>
      </c>
      <c r="B21" s="62" t="str">
        <f>IF('CASE DATA'!A21&lt;&gt;"",IF('CASE DATA'!G21=0, "open charge", 'CASE DATA'!G21),"")</f>
        <v/>
      </c>
      <c r="C21" s="75">
        <f>IF(OR(B21="DISM",B21="JWV",B21="JUV",B21="CIV"),SUM('CASE DATA'!J21:S21),SUM('CASE DATA'!J21:P21)+'CASE DATA'!S21)</f>
        <v>0</v>
      </c>
      <c r="D21" s="78">
        <f>IF(OR(B21="DISM", B21="JWV", B21="JUV", B21="CIV"), 0, 'CASE DATA'!Q21+'CASE DATA'!R21)</f>
        <v>0</v>
      </c>
    </row>
    <row r="22" spans="1:4" x14ac:dyDescent="0.25">
      <c r="A22" s="57" t="str">
        <f>IF('CASE DATA'!A22="","",'CASE DATA'!A22)</f>
        <v/>
      </c>
      <c r="B22" s="62" t="str">
        <f>IF('CASE DATA'!A22&lt;&gt;"",IF('CASE DATA'!G22=0, "open charge", 'CASE DATA'!G22),"")</f>
        <v/>
      </c>
      <c r="C22" s="75">
        <f>IF(OR(B22="DISM",B22="JWV",B22="JUV",B22="CIV"),SUM('CASE DATA'!J22:S22),SUM('CASE DATA'!J22:P22)+'CASE DATA'!S22)</f>
        <v>0</v>
      </c>
      <c r="D22" s="78">
        <f>IF(OR(B22="DISM", B22="JWV", B22="JUV", B22="CIV"), 0, 'CASE DATA'!Q22+'CASE DATA'!R22)</f>
        <v>0</v>
      </c>
    </row>
    <row r="23" spans="1:4" x14ac:dyDescent="0.25">
      <c r="A23" s="57" t="str">
        <f>IF('CASE DATA'!A23="","",'CASE DATA'!A23)</f>
        <v/>
      </c>
      <c r="B23" s="62" t="str">
        <f>IF('CASE DATA'!A23&lt;&gt;"",IF('CASE DATA'!G23=0, "open charge", 'CASE DATA'!G23),"")</f>
        <v/>
      </c>
      <c r="C23" s="75">
        <f>IF(OR(B23="DISM",B23="JWV",B23="JUV",B23="CIV"),SUM('CASE DATA'!J23:S23),SUM('CASE DATA'!J23:P23)+'CASE DATA'!S23)</f>
        <v>0</v>
      </c>
      <c r="D23" s="78">
        <f>IF(OR(B23="DISM", B23="JWV", B23="JUV", B23="CIV"), 0, 'CASE DATA'!Q23+'CASE DATA'!R23)</f>
        <v>0</v>
      </c>
    </row>
    <row r="24" spans="1:4" x14ac:dyDescent="0.25">
      <c r="A24" s="57" t="str">
        <f>IF('CASE DATA'!A24="","",'CASE DATA'!A24)</f>
        <v/>
      </c>
      <c r="B24" s="62" t="str">
        <f>IF('CASE DATA'!A24&lt;&gt;"",IF('CASE DATA'!G24=0, "open charge", 'CASE DATA'!G24),"")</f>
        <v/>
      </c>
      <c r="C24" s="75">
        <f>IF(OR(B24="DISM",B24="JWV",B24="JUV",B24="CIV"),SUM('CASE DATA'!J24:S24),SUM('CASE DATA'!J24:P24)+'CASE DATA'!S24)</f>
        <v>0</v>
      </c>
      <c r="D24" s="78">
        <f>IF(OR(B24="DISM", B24="JWV", B24="JUV", B24="CIV"), 0, 'CASE DATA'!Q24+'CASE DATA'!R24)</f>
        <v>0</v>
      </c>
    </row>
    <row r="25" spans="1:4" x14ac:dyDescent="0.25">
      <c r="A25" s="57" t="str">
        <f>IF('CASE DATA'!A25="","",'CASE DATA'!A25)</f>
        <v/>
      </c>
      <c r="B25" s="62" t="str">
        <f>IF('CASE DATA'!A25&lt;&gt;"",IF('CASE DATA'!G25=0, "open charge", 'CASE DATA'!G25),"")</f>
        <v/>
      </c>
      <c r="C25" s="75">
        <f>IF(OR(B25="DISM",B25="JWV",B25="JUV",B25="CIV"),SUM('CASE DATA'!J25:S25),SUM('CASE DATA'!J25:P25)+'CASE DATA'!S25)</f>
        <v>0</v>
      </c>
      <c r="D25" s="78">
        <f>IF(OR(B25="DISM", B25="JWV", B25="JUV", B25="CIV"), 0, 'CASE DATA'!Q25+'CASE DATA'!R25)</f>
        <v>0</v>
      </c>
    </row>
    <row r="26" spans="1:4" x14ac:dyDescent="0.25">
      <c r="A26" s="57" t="str">
        <f>IF('CASE DATA'!A26="","",'CASE DATA'!A26)</f>
        <v/>
      </c>
      <c r="B26" s="62" t="str">
        <f>IF('CASE DATA'!A26&lt;&gt;"",IF('CASE DATA'!G26=0, "open charge", 'CASE DATA'!G26),"")</f>
        <v/>
      </c>
      <c r="C26" s="75">
        <f>IF(OR(B26="DISM",B26="JWV",B26="JUV",B26="CIV"),SUM('CASE DATA'!J26:S26),SUM('CASE DATA'!J26:P26)+'CASE DATA'!S26)</f>
        <v>0</v>
      </c>
      <c r="D26" s="78">
        <f>IF(OR(B26="DISM", B26="JWV", B26="JUV", B26="CIV"), 0, 'CASE DATA'!Q26+'CASE DATA'!R26)</f>
        <v>0</v>
      </c>
    </row>
    <row r="27" spans="1:4" x14ac:dyDescent="0.25">
      <c r="A27" s="57" t="str">
        <f>IF('CASE DATA'!A27="","",'CASE DATA'!A27)</f>
        <v/>
      </c>
      <c r="B27" s="62" t="str">
        <f>IF('CASE DATA'!A27&lt;&gt;"",IF('CASE DATA'!G27=0, "open charge", 'CASE DATA'!G27),"")</f>
        <v/>
      </c>
      <c r="C27" s="75">
        <f>IF(OR(B27="DISM",B27="JWV",B27="JUV",B27="CIV"),SUM('CASE DATA'!J27:S27),SUM('CASE DATA'!J27:P27)+'CASE DATA'!S27)</f>
        <v>0</v>
      </c>
      <c r="D27" s="78">
        <f>IF(OR(B27="DISM", B27="JWV", B27="JUV", B27="CIV"), 0, 'CASE DATA'!Q27+'CASE DATA'!R27)</f>
        <v>0</v>
      </c>
    </row>
    <row r="28" spans="1:4" x14ac:dyDescent="0.25">
      <c r="A28" s="57" t="str">
        <f>IF('CASE DATA'!A28="","",'CASE DATA'!A28)</f>
        <v/>
      </c>
      <c r="B28" s="62" t="str">
        <f>IF('CASE DATA'!A28&lt;&gt;"",IF('CASE DATA'!G28=0, "open charge", 'CASE DATA'!G28),"")</f>
        <v/>
      </c>
      <c r="C28" s="75">
        <f>IF(OR(B28="DISM",B28="JWV",B28="JUV",B28="CIV"),SUM('CASE DATA'!J28:S28),SUM('CASE DATA'!J28:P28)+'CASE DATA'!S28)</f>
        <v>0</v>
      </c>
      <c r="D28" s="78">
        <f>IF(OR(B28="DISM", B28="JWV", B28="JUV", B28="CIV"), 0, 'CASE DATA'!Q28+'CASE DATA'!R28)</f>
        <v>0</v>
      </c>
    </row>
    <row r="29" spans="1:4" x14ac:dyDescent="0.25">
      <c r="A29" s="57" t="str">
        <f>IF('CASE DATA'!A29="","",'CASE DATA'!A29)</f>
        <v/>
      </c>
      <c r="B29" s="62" t="str">
        <f>IF('CASE DATA'!A29&lt;&gt;"",IF('CASE DATA'!G29=0, "open charge", 'CASE DATA'!G29),"")</f>
        <v/>
      </c>
      <c r="C29" s="75">
        <f>IF(OR(B29="DISM",B29="JWV",B29="JUV",B29="CIV"),SUM('CASE DATA'!J29:S29),SUM('CASE DATA'!J29:P29)+'CASE DATA'!S29)</f>
        <v>0</v>
      </c>
      <c r="D29" s="78">
        <f>IF(OR(B29="DISM", B29="JWV", B29="JUV", B29="CIV"), 0, 'CASE DATA'!Q29+'CASE DATA'!R29)</f>
        <v>0</v>
      </c>
    </row>
    <row r="30" spans="1:4" x14ac:dyDescent="0.25">
      <c r="A30" s="57" t="str">
        <f>IF('CASE DATA'!A30="","",'CASE DATA'!A30)</f>
        <v/>
      </c>
      <c r="B30" s="62" t="str">
        <f>IF('CASE DATA'!A30&lt;&gt;"",IF('CASE DATA'!G30=0, "open charge", 'CASE DATA'!G30),"")</f>
        <v/>
      </c>
      <c r="C30" s="75">
        <f>IF(OR(B30="DISM",B30="JWV",B30="JUV",B30="CIV"),SUM('CASE DATA'!J30:S30),SUM('CASE DATA'!J30:P30)+'CASE DATA'!S30)</f>
        <v>0</v>
      </c>
      <c r="D30" s="78">
        <f>IF(OR(B30="DISM", B30="JWV", B30="JUV", B30="CIV"), 0, 'CASE DATA'!Q30+'CASE DATA'!R30)</f>
        <v>0</v>
      </c>
    </row>
    <row r="31" spans="1:4" x14ac:dyDescent="0.25">
      <c r="A31" s="57" t="str">
        <f>IF('CASE DATA'!A31="","",'CASE DATA'!A31)</f>
        <v/>
      </c>
      <c r="B31" s="62" t="str">
        <f>IF('CASE DATA'!A31&lt;&gt;"",IF('CASE DATA'!G31=0, "open charge", 'CASE DATA'!G31),"")</f>
        <v/>
      </c>
      <c r="C31" s="75">
        <f>IF(OR(B31="DISM",B31="JWV",B31="JUV",B31="CIV"),SUM('CASE DATA'!J31:S31),SUM('CASE DATA'!J31:P31)+'CASE DATA'!S31)</f>
        <v>0</v>
      </c>
      <c r="D31" s="78">
        <f>IF(OR(B31="DISM", B31="JWV", B31="JUV", B31="CIV"), 0, 'CASE DATA'!Q31+'CASE DATA'!R31)</f>
        <v>0</v>
      </c>
    </row>
    <row r="32" spans="1:4" x14ac:dyDescent="0.25">
      <c r="A32" s="57" t="str">
        <f>IF('CASE DATA'!A32="","",'CASE DATA'!A32)</f>
        <v/>
      </c>
      <c r="B32" s="62" t="str">
        <f>IF('CASE DATA'!A32&lt;&gt;"",IF('CASE DATA'!G32=0, "open charge", 'CASE DATA'!G32),"")</f>
        <v/>
      </c>
      <c r="C32" s="75">
        <f>IF(OR(B32="DISM",B32="JWV",B32="JUV",B32="CIV"),SUM('CASE DATA'!J32:S32),SUM('CASE DATA'!J32:P32)+'CASE DATA'!S32)</f>
        <v>0</v>
      </c>
      <c r="D32" s="78">
        <f>IF(OR(B32="DISM", B32="JWV", B32="JUV", B32="CIV"), 0, 'CASE DATA'!Q32+'CASE DATA'!R32)</f>
        <v>0</v>
      </c>
    </row>
    <row r="33" spans="1:5" x14ac:dyDescent="0.25">
      <c r="A33" s="57" t="str">
        <f>IF('CASE DATA'!A33="","",'CASE DATA'!A33)</f>
        <v/>
      </c>
      <c r="B33" s="62" t="str">
        <f>IF('CASE DATA'!A33&lt;&gt;"",IF('CASE DATA'!G33=0, "open charge", 'CASE DATA'!G33),"")</f>
        <v/>
      </c>
      <c r="C33" s="75">
        <f>IF(OR(B33="DISM",B33="JWV",B33="JUV",B33="CIV"),SUM('CASE DATA'!J33:S33),SUM('CASE DATA'!J33:P33)+'CASE DATA'!S33)</f>
        <v>0</v>
      </c>
      <c r="D33" s="78">
        <f>IF(OR(B33="DISM", B33="JWV", B33="JUV", B33="CIV"), 0, 'CASE DATA'!Q33+'CASE DATA'!R33)</f>
        <v>0</v>
      </c>
    </row>
    <row r="34" spans="1:5" x14ac:dyDescent="0.25">
      <c r="A34" s="57" t="str">
        <f>IF('CASE DATA'!A34="","",'CASE DATA'!A34)</f>
        <v/>
      </c>
      <c r="B34" s="62" t="str">
        <f>IF('CASE DATA'!A34&lt;&gt;"",IF('CASE DATA'!G34=0, "open charge", 'CASE DATA'!G34),"")</f>
        <v/>
      </c>
      <c r="C34" s="75">
        <f>IF(OR(B34="DISM",B34="JWV",B34="JUV",B34="CIV"),SUM('CASE DATA'!J34:S34),SUM('CASE DATA'!J34:P34)+'CASE DATA'!S34)</f>
        <v>0</v>
      </c>
      <c r="D34" s="78">
        <f>IF(OR(B34="DISM", B34="JWV", B34="JUV", B34="CIV"), 0, 'CASE DATA'!Q34+'CASE DATA'!R34)</f>
        <v>0</v>
      </c>
    </row>
    <row r="35" spans="1:5" x14ac:dyDescent="0.25">
      <c r="A35" s="57" t="str">
        <f>IF('CASE DATA'!A35="","",'CASE DATA'!A35)</f>
        <v/>
      </c>
      <c r="B35" s="62" t="str">
        <f>IF('CASE DATA'!A35&lt;&gt;"",IF('CASE DATA'!G35=0, "open charge", 'CASE DATA'!G35),"")</f>
        <v/>
      </c>
      <c r="C35" s="75">
        <f>IF(OR(B35="DISM",B35="JWV",B35="JUV",B35="CIV"),SUM('CASE DATA'!J35:S35),SUM('CASE DATA'!J35:P35)+'CASE DATA'!S35)</f>
        <v>0</v>
      </c>
      <c r="D35" s="78">
        <f>IF(OR(B35="DISM", B35="JWV", B35="JUV", B35="CIV"), 0, 'CASE DATA'!Q35+'CASE DATA'!R35)</f>
        <v>0</v>
      </c>
    </row>
    <row r="36" spans="1:5" x14ac:dyDescent="0.25">
      <c r="A36" s="57" t="str">
        <f>IF('CASE DATA'!A36="","",'CASE DATA'!A36)</f>
        <v/>
      </c>
      <c r="B36" s="62" t="str">
        <f>IF('CASE DATA'!A36&lt;&gt;"",IF('CASE DATA'!G36=0, "open charge", 'CASE DATA'!G36),"")</f>
        <v/>
      </c>
      <c r="C36" s="75">
        <f>IF(OR(B36="DISM",B36="JWV",B36="JUV",B36="CIV"),SUM('CASE DATA'!J36:S36),SUM('CASE DATA'!J36:P36)+'CASE DATA'!S36)</f>
        <v>0</v>
      </c>
      <c r="D36" s="78">
        <f>IF(OR(B36="DISM", B36="JWV", B36="JUV", B36="CIV"), 0, 'CASE DATA'!Q36+'CASE DATA'!R36)</f>
        <v>0</v>
      </c>
    </row>
    <row r="37" spans="1:5" x14ac:dyDescent="0.25">
      <c r="A37" s="57" t="str">
        <f>IF('CASE DATA'!A37="","",'CASE DATA'!A37)</f>
        <v/>
      </c>
      <c r="B37" s="62" t="str">
        <f>IF('CASE DATA'!A37&lt;&gt;"",IF('CASE DATA'!G37=0, "open charge", 'CASE DATA'!G37),"")</f>
        <v/>
      </c>
      <c r="C37" s="75">
        <f>IF(OR(B37="DISM",B37="JWV",B37="JUV",B37="CIV"),SUM('CASE DATA'!J37:S37),SUM('CASE DATA'!J37:P37)+'CASE DATA'!S37)</f>
        <v>0</v>
      </c>
      <c r="D37" s="78">
        <f>IF(OR(B37="DISM", B37="JWV", B37="JUV", B37="CIV"), 0, 'CASE DATA'!Q37+'CASE DATA'!R37)</f>
        <v>0</v>
      </c>
    </row>
    <row r="38" spans="1:5" x14ac:dyDescent="0.25">
      <c r="A38" s="57" t="str">
        <f>IF('CASE DATA'!A38="","",'CASE DATA'!A38)</f>
        <v/>
      </c>
      <c r="B38" s="62" t="str">
        <f>IF('CASE DATA'!A38&lt;&gt;"",IF('CASE DATA'!G38=0, "open charge", 'CASE DATA'!G38),"")</f>
        <v/>
      </c>
      <c r="C38" s="75">
        <f>IF(OR(B38="DISM",B38="JWV",B38="JUV",B38="CIV"),SUM('CASE DATA'!J38:S38),SUM('CASE DATA'!J38:P38)+'CASE DATA'!S38)</f>
        <v>0</v>
      </c>
      <c r="D38" s="78">
        <f>IF(OR(B38="DISM", B38="JWV", B38="JUV", B38="CIV"), 0, 'CASE DATA'!Q38+'CASE DATA'!R38)</f>
        <v>0</v>
      </c>
    </row>
    <row r="39" spans="1:5" x14ac:dyDescent="0.25">
      <c r="A39" s="57" t="str">
        <f>IF('CASE DATA'!A39="","",'CASE DATA'!A39)</f>
        <v/>
      </c>
      <c r="B39" s="62" t="str">
        <f>IF('CASE DATA'!A39&lt;&gt;"",IF('CASE DATA'!G39=0, "open charge", 'CASE DATA'!G39),"")</f>
        <v/>
      </c>
      <c r="C39" s="75">
        <f>IF(OR(B39="DISM",B39="JWV",B39="JUV",B39="CIV"),SUM('CASE DATA'!J39:S39),SUM('CASE DATA'!J39:P39)+'CASE DATA'!S39)</f>
        <v>0</v>
      </c>
      <c r="D39" s="78">
        <f>IF(OR(B39="DISM", B39="JWV", B39="JUV", B39="CIV"), 0, 'CASE DATA'!Q39+'CASE DATA'!R39)</f>
        <v>0</v>
      </c>
    </row>
    <row r="40" spans="1:5" x14ac:dyDescent="0.25">
      <c r="A40" s="57" t="str">
        <f>IF('CASE DATA'!A40="","",'CASE DATA'!A40)</f>
        <v/>
      </c>
      <c r="B40" s="62" t="str">
        <f>IF('CASE DATA'!A40&lt;&gt;"",IF('CASE DATA'!G40=0, "open charge", 'CASE DATA'!G40),"")</f>
        <v/>
      </c>
      <c r="C40" s="75">
        <f>IF(OR(B40="DISM",B40="JWV",B40="JUV",B40="CIV"),SUM('CASE DATA'!J40:S40),SUM('CASE DATA'!J40:P40)+'CASE DATA'!S40)</f>
        <v>0</v>
      </c>
      <c r="D40" s="78">
        <f>IF(OR(B40="DISM", B40="JWV", B40="JUV", B40="CIV"), 0, 'CASE DATA'!Q40+'CASE DATA'!R40)</f>
        <v>0</v>
      </c>
    </row>
    <row r="41" spans="1:5" x14ac:dyDescent="0.25">
      <c r="A41" s="57" t="str">
        <f>IF('CASE DATA'!A41="","",'CASE DATA'!A41)</f>
        <v/>
      </c>
      <c r="B41" s="62" t="str">
        <f>IF('CASE DATA'!A41&lt;&gt;"",IF('CASE DATA'!G41=0, "open charge", 'CASE DATA'!G41),"")</f>
        <v/>
      </c>
      <c r="C41" s="75">
        <f>IF(OR(B41="DISM",B41="JWV",B41="JUV",B41="CIV"),SUM('CASE DATA'!J41:S41),SUM('CASE DATA'!J41:P41)+'CASE DATA'!S41)</f>
        <v>0</v>
      </c>
      <c r="D41" s="78">
        <f>IF(OR(B41="DISM", B41="JWV", B41="JUV", B41="CIV"), 0, 'CASE DATA'!Q41+'CASE DATA'!R41)</f>
        <v>0</v>
      </c>
    </row>
    <row r="42" spans="1:5" x14ac:dyDescent="0.25">
      <c r="A42" s="57" t="str">
        <f>IF('CASE DATA'!A42="","",'CASE DATA'!A42)</f>
        <v/>
      </c>
      <c r="B42" s="62" t="str">
        <f>IF('CASE DATA'!A42&lt;&gt;"",IF('CASE DATA'!G42=0, "open charge", 'CASE DATA'!G42),"")</f>
        <v/>
      </c>
      <c r="C42" s="75">
        <f>IF(OR(B42="DISM",B42="JWV",B42="JUV",B42="CIV"),SUM('CASE DATA'!J42:S42),SUM('CASE DATA'!J42:P42)+'CASE DATA'!S42)</f>
        <v>0</v>
      </c>
      <c r="D42" s="78">
        <f>IF(OR(B42="DISM", B42="JWV", B42="JUV", B42="CIV"), 0, 'CASE DATA'!Q42+'CASE DATA'!R42)</f>
        <v>0</v>
      </c>
    </row>
    <row r="43" spans="1:5" x14ac:dyDescent="0.25">
      <c r="A43" s="57" t="str">
        <f>IF('CASE DATA'!A43="","",'CASE DATA'!A43)</f>
        <v/>
      </c>
      <c r="B43" s="62" t="str">
        <f>IF('CASE DATA'!A43&lt;&gt;"",IF('CASE DATA'!G43=0, "open charge", 'CASE DATA'!G43),"")</f>
        <v/>
      </c>
      <c r="C43" s="75">
        <f>IF(OR(B43="DISM",B43="JWV",B43="JUV",B43="CIV"),SUM('CASE DATA'!J43:S43),SUM('CASE DATA'!J43:P43)+'CASE DATA'!S43)</f>
        <v>0</v>
      </c>
      <c r="D43" s="78">
        <f>IF(OR(B43="DISM", B43="JWV", B43="JUV", B43="CIV"), 0, 'CASE DATA'!Q43+'CASE DATA'!R43)</f>
        <v>0</v>
      </c>
    </row>
    <row r="44" spans="1:5" x14ac:dyDescent="0.25">
      <c r="A44" s="57" t="str">
        <f>IF('CASE DATA'!A44="","",'CASE DATA'!A44)</f>
        <v/>
      </c>
      <c r="B44" s="62" t="str">
        <f>IF('CASE DATA'!A44&lt;&gt;"",IF('CASE DATA'!G44=0, "open charge", 'CASE DATA'!G44),"")</f>
        <v/>
      </c>
      <c r="C44" s="75">
        <f>IF(OR(B44="DISM",B44="JWV",B44="JUV",B44="CIV"),SUM('CASE DATA'!J44:S44),SUM('CASE DATA'!J44:P44)+'CASE DATA'!S44)</f>
        <v>0</v>
      </c>
      <c r="D44" s="78">
        <f>IF(OR(B44="DISM", B44="JWV", B44="JUV", B44="CIV"), 0, 'CASE DATA'!Q44+'CASE DATA'!R44)</f>
        <v>0</v>
      </c>
    </row>
    <row r="45" spans="1:5" x14ac:dyDescent="0.25">
      <c r="A45" s="57" t="str">
        <f>IF('CASE DATA'!A45="","",'CASE DATA'!A45)</f>
        <v/>
      </c>
      <c r="B45" s="62" t="str">
        <f>IF('CASE DATA'!A45&lt;&gt;"",IF('CASE DATA'!G45=0, "open charge", 'CASE DATA'!G45),"")</f>
        <v/>
      </c>
      <c r="C45" s="75">
        <f>IF(OR(B45="DISM",B45="JWV",B45="JUV",B45="CIV"),SUM('CASE DATA'!J45:S45),SUM('CASE DATA'!J45:P45)+'CASE DATA'!S45)</f>
        <v>0</v>
      </c>
      <c r="D45" s="78">
        <f>IF(OR(B45="DISM", B45="JWV", B45="JUV", B45="CIV"), 0, 'CASE DATA'!Q45+'CASE DATA'!R45)</f>
        <v>0</v>
      </c>
      <c r="E45" s="32"/>
    </row>
    <row r="46" spans="1:5" x14ac:dyDescent="0.25">
      <c r="A46" s="57" t="str">
        <f>IF('CASE DATA'!A46="","",'CASE DATA'!A46)</f>
        <v/>
      </c>
      <c r="B46" s="62" t="str">
        <f>IF('CASE DATA'!A46&lt;&gt;"",IF('CASE DATA'!G46=0, "open charge", 'CASE DATA'!G46),"")</f>
        <v/>
      </c>
      <c r="C46" s="75">
        <f>IF(OR(B46="DISM",B46="JWV",B46="JUV",B46="CIV"),SUM('CASE DATA'!J46:S46),SUM('CASE DATA'!J46:P46)+'CASE DATA'!S46)</f>
        <v>0</v>
      </c>
      <c r="D46" s="78">
        <f>IF(OR(B46="DISM", B46="JWV", B46="JUV", B46="CIV"), 0, 'CASE DATA'!Q46+'CASE DATA'!R46)</f>
        <v>0</v>
      </c>
    </row>
    <row r="47" spans="1:5" x14ac:dyDescent="0.25">
      <c r="A47" s="57" t="str">
        <f>IF('CASE DATA'!A47="","",'CASE DATA'!A47)</f>
        <v/>
      </c>
      <c r="B47" s="62" t="str">
        <f>IF('CASE DATA'!A47&lt;&gt;"",IF('CASE DATA'!G47=0, "open charge", 'CASE DATA'!G47),"")</f>
        <v/>
      </c>
      <c r="C47" s="75">
        <f>IF(OR(B47="DISM",B47="JWV",B47="JUV",B47="CIV"),SUM('CASE DATA'!J47:S47),SUM('CASE DATA'!J47:P47)+'CASE DATA'!S47)</f>
        <v>0</v>
      </c>
      <c r="D47" s="78">
        <f>IF(OR(B47="DISM", B47="JWV", B47="JUV", B47="CIV"), 0, 'CASE DATA'!Q47+'CASE DATA'!R47)</f>
        <v>0</v>
      </c>
    </row>
    <row r="48" spans="1:5" x14ac:dyDescent="0.25">
      <c r="A48" s="57" t="str">
        <f>IF('CASE DATA'!A48="","",'CASE DATA'!A48)</f>
        <v/>
      </c>
      <c r="B48" s="62" t="str">
        <f>IF('CASE DATA'!A48&lt;&gt;"",IF('CASE DATA'!G48=0, "open charge", 'CASE DATA'!G48),"")</f>
        <v/>
      </c>
      <c r="C48" s="75">
        <f>IF(OR(B48="DISM",B48="JWV",B48="JUV",B48="CIV"),SUM('CASE DATA'!J48:S48),SUM('CASE DATA'!J48:P48)+'CASE DATA'!S48)</f>
        <v>0</v>
      </c>
      <c r="D48" s="78">
        <f>IF(OR(B48="DISM", B48="JWV", B48="JUV", B48="CIV"), 0, 'CASE DATA'!Q48+'CASE DATA'!R48)</f>
        <v>0</v>
      </c>
    </row>
    <row r="49" spans="1:4" x14ac:dyDescent="0.25">
      <c r="A49" s="57" t="str">
        <f>IF('CASE DATA'!A49="","",'CASE DATA'!A49)</f>
        <v/>
      </c>
      <c r="B49" s="62" t="str">
        <f>IF('CASE DATA'!A49&lt;&gt;"",IF('CASE DATA'!G49=0, "open charge", 'CASE DATA'!G49),"")</f>
        <v/>
      </c>
      <c r="C49" s="75">
        <f>IF(OR(B49="DISM",B49="JWV",B49="JUV",B49="CIV"),SUM('CASE DATA'!J49:S49),SUM('CASE DATA'!J49:P49)+'CASE DATA'!S49)</f>
        <v>0</v>
      </c>
      <c r="D49" s="78">
        <f>IF(OR(B49="DISM", B49="JWV", B49="JUV", B49="CIV"), 0, 'CASE DATA'!Q49+'CASE DATA'!R49)</f>
        <v>0</v>
      </c>
    </row>
    <row r="50" spans="1:4" x14ac:dyDescent="0.25">
      <c r="A50" s="57" t="str">
        <f>IF('CASE DATA'!A50="","",'CASE DATA'!A50)</f>
        <v/>
      </c>
      <c r="B50" s="62" t="str">
        <f>IF('CASE DATA'!A50&lt;&gt;"",IF('CASE DATA'!G50=0, "open charge", 'CASE DATA'!G50),"")</f>
        <v/>
      </c>
      <c r="C50" s="75">
        <f>IF(OR(B50="DISM",B50="JWV",B50="JUV",B50="CIV"),SUM('CASE DATA'!J50:S50),SUM('CASE DATA'!J50:P50)+'CASE DATA'!S50)</f>
        <v>0</v>
      </c>
      <c r="D50" s="78">
        <f>IF(OR(B50="DISM", B50="JWV", B50="JUV", B50="CIV"), 0, 'CASE DATA'!Q50+'CASE DATA'!R50)</f>
        <v>0</v>
      </c>
    </row>
    <row r="51" spans="1:4" x14ac:dyDescent="0.25">
      <c r="A51" s="57" t="str">
        <f>IF('CASE DATA'!A51="","",'CASE DATA'!A51)</f>
        <v/>
      </c>
      <c r="B51" s="62" t="str">
        <f>IF('CASE DATA'!A51&lt;&gt;"",IF('CASE DATA'!G51=0, "open charge", 'CASE DATA'!G51),"")</f>
        <v/>
      </c>
      <c r="C51" s="75">
        <f>IF(OR(B51="DISM",B51="JWV",B51="JUV",B51="CIV"),SUM('CASE DATA'!J51:S51),SUM('CASE DATA'!J51:P51)+'CASE DATA'!S51)</f>
        <v>0</v>
      </c>
      <c r="D51" s="78">
        <f>IF(OR(B51="DISM", B51="JWV", B51="JUV", B51="CIV"), 0, 'CASE DATA'!Q51+'CASE DATA'!R51)</f>
        <v>0</v>
      </c>
    </row>
    <row r="52" spans="1:4" x14ac:dyDescent="0.25">
      <c r="A52" s="57" t="str">
        <f>IF('CASE DATA'!A52="","",'CASE DATA'!A52)</f>
        <v/>
      </c>
      <c r="B52" s="62" t="str">
        <f>IF('CASE DATA'!A52&lt;&gt;"",IF('CASE DATA'!G52=0, "open charge", 'CASE DATA'!G52),"")</f>
        <v/>
      </c>
      <c r="C52" s="75">
        <f>IF(OR(B52="DISM",B52="JWV",B52="JUV",B52="CIV"),SUM('CASE DATA'!J52:S52),SUM('CASE DATA'!J52:P52)+'CASE DATA'!S52)</f>
        <v>0</v>
      </c>
      <c r="D52" s="78">
        <f>IF(OR(B52="DISM", B52="JWV", B52="JUV", B52="CIV"), 0, 'CASE DATA'!Q52+'CASE DATA'!R52)</f>
        <v>0</v>
      </c>
    </row>
    <row r="53" spans="1:4" x14ac:dyDescent="0.25">
      <c r="A53" s="57" t="str">
        <f>IF('CASE DATA'!A53="","",'CASE DATA'!A53)</f>
        <v/>
      </c>
      <c r="B53" s="62" t="str">
        <f>IF('CASE DATA'!A53&lt;&gt;"",IF('CASE DATA'!G53=0, "open charge", 'CASE DATA'!G53),"")</f>
        <v/>
      </c>
      <c r="C53" s="75">
        <f>IF(OR(B53="DISM",B53="JWV",B53="JUV",B53="CIV"),SUM('CASE DATA'!J53:S53),SUM('CASE DATA'!J53:P53)+'CASE DATA'!S53)</f>
        <v>0</v>
      </c>
      <c r="D53" s="78">
        <f>IF(OR(B53="DISM", B53="JWV", B53="JUV", B53="CIV"), 0, 'CASE DATA'!Q53+'CASE DATA'!R53)</f>
        <v>0</v>
      </c>
    </row>
    <row r="54" spans="1:4" x14ac:dyDescent="0.25">
      <c r="A54" s="57" t="str">
        <f>IF('CASE DATA'!A54="","",'CASE DATA'!A54)</f>
        <v/>
      </c>
      <c r="B54" s="62" t="str">
        <f>IF('CASE DATA'!A54&lt;&gt;"",IF('CASE DATA'!G54=0, "open charge", 'CASE DATA'!G54),"")</f>
        <v/>
      </c>
      <c r="C54" s="75">
        <f>IF(OR(B54="DISM",B54="JWV",B54="JUV",B54="CIV"),SUM('CASE DATA'!J54:S54),SUM('CASE DATA'!J54:P54)+'CASE DATA'!S54)</f>
        <v>0</v>
      </c>
      <c r="D54" s="78">
        <f>IF(OR(B54="DISM", B54="JWV", B54="JUV", B54="CIV"), 0, 'CASE DATA'!Q54+'CASE DATA'!R54)</f>
        <v>0</v>
      </c>
    </row>
    <row r="55" spans="1:4" x14ac:dyDescent="0.25">
      <c r="A55" s="57" t="str">
        <f>IF('CASE DATA'!A55="","",'CASE DATA'!A55)</f>
        <v/>
      </c>
      <c r="B55" s="62" t="str">
        <f>IF('CASE DATA'!A55&lt;&gt;"",IF('CASE DATA'!G55=0, "open charge", 'CASE DATA'!G55),"")</f>
        <v/>
      </c>
      <c r="C55" s="75">
        <f>IF(OR(B55="DISM",B55="JWV",B55="JUV",B55="CIV"),SUM('CASE DATA'!J55:S55),SUM('CASE DATA'!J55:P55)+'CASE DATA'!S55)</f>
        <v>0</v>
      </c>
      <c r="D55" s="78">
        <f>IF(OR(B55="DISM", B55="JWV", B55="JUV", B55="CIV"), 0, 'CASE DATA'!Q55+'CASE DATA'!R55)</f>
        <v>0</v>
      </c>
    </row>
    <row r="56" spans="1:4" x14ac:dyDescent="0.25">
      <c r="A56" s="57" t="str">
        <f>IF('CASE DATA'!A56="","",'CASE DATA'!A56)</f>
        <v/>
      </c>
      <c r="B56" s="62" t="str">
        <f>IF('CASE DATA'!A56&lt;&gt;"",IF('CASE DATA'!G56=0, "open charge", 'CASE DATA'!G56),"")</f>
        <v/>
      </c>
      <c r="C56" s="75">
        <f>IF(OR(B56="DISM",B56="JWV",B56="JUV",B56="CIV"),SUM('CASE DATA'!J56:S56),SUM('CASE DATA'!J56:P56)+'CASE DATA'!S56)</f>
        <v>0</v>
      </c>
      <c r="D56" s="78">
        <f>IF(OR(B56="DISM", B56="JWV", B56="JUV", B56="CIV"), 0, 'CASE DATA'!Q56+'CASE DATA'!R56)</f>
        <v>0</v>
      </c>
    </row>
    <row r="57" spans="1:4" x14ac:dyDescent="0.25">
      <c r="A57" s="57" t="str">
        <f>IF('CASE DATA'!A57="","",'CASE DATA'!A57)</f>
        <v/>
      </c>
      <c r="B57" s="62" t="str">
        <f>IF('CASE DATA'!A57&lt;&gt;"",IF('CASE DATA'!G57=0, "open charge", 'CASE DATA'!G57),"")</f>
        <v/>
      </c>
      <c r="C57" s="75">
        <f>IF(OR(B57="DISM",B57="JWV",B57="JUV",B57="CIV"),SUM('CASE DATA'!J57:S57),SUM('CASE DATA'!J57:P57)+'CASE DATA'!S57)</f>
        <v>0</v>
      </c>
      <c r="D57" s="78">
        <f>IF(OR(B57="DISM", B57="JWV", B57="JUV", B57="CIV"), 0, 'CASE DATA'!Q57+'CASE DATA'!R57)</f>
        <v>0</v>
      </c>
    </row>
    <row r="58" spans="1:4" x14ac:dyDescent="0.25">
      <c r="A58" s="57" t="str">
        <f>IF('CASE DATA'!A58="","",'CASE DATA'!A58)</f>
        <v/>
      </c>
      <c r="B58" s="62" t="str">
        <f>IF('CASE DATA'!A58&lt;&gt;"",IF('CASE DATA'!G58=0, "open charge", 'CASE DATA'!G58),"")</f>
        <v/>
      </c>
      <c r="C58" s="75">
        <f>IF(OR(B58="DISM",B58="JWV",B58="JUV",B58="CIV"),SUM('CASE DATA'!J58:S58),SUM('CASE DATA'!J58:P58)+'CASE DATA'!S58)</f>
        <v>0</v>
      </c>
      <c r="D58" s="78">
        <f>IF(OR(B58="DISM", B58="JWV", B58="JUV", B58="CIV"), 0, 'CASE DATA'!Q58+'CASE DATA'!R58)</f>
        <v>0</v>
      </c>
    </row>
    <row r="59" spans="1:4" x14ac:dyDescent="0.25">
      <c r="A59" s="57" t="str">
        <f>IF('CASE DATA'!A59="","",'CASE DATA'!A59)</f>
        <v/>
      </c>
      <c r="B59" s="62" t="str">
        <f>IF('CASE DATA'!A59&lt;&gt;"",IF('CASE DATA'!G59=0, "open charge", 'CASE DATA'!G59),"")</f>
        <v/>
      </c>
      <c r="C59" s="75">
        <f>IF(OR(B59="DISM",B59="JWV",B59="JUV",B59="CIV"),SUM('CASE DATA'!J59:S59),SUM('CASE DATA'!J59:P59)+'CASE DATA'!S59)</f>
        <v>0</v>
      </c>
      <c r="D59" s="78">
        <f>IF(OR(B59="DISM", B59="JWV", B59="JUV", B59="CIV"), 0, 'CASE DATA'!Q59+'CASE DATA'!R59)</f>
        <v>0</v>
      </c>
    </row>
    <row r="60" spans="1:4" x14ac:dyDescent="0.25">
      <c r="A60" s="57" t="str">
        <f>IF('CASE DATA'!A60="","",'CASE DATA'!A60)</f>
        <v/>
      </c>
      <c r="B60" s="62" t="str">
        <f>IF('CASE DATA'!A60&lt;&gt;"",IF('CASE DATA'!G60=0, "open charge", 'CASE DATA'!G60),"")</f>
        <v/>
      </c>
      <c r="C60" s="75">
        <f>IF(OR(B60="DISM",B60="JWV",B60="JUV",B60="CIV"),SUM('CASE DATA'!J60:S60),SUM('CASE DATA'!J60:P60)+'CASE DATA'!S60)</f>
        <v>0</v>
      </c>
      <c r="D60" s="78">
        <f>IF(OR(B60="DISM", B60="JWV", B60="JUV", B60="CIV"), 0, 'CASE DATA'!Q60+'CASE DATA'!R60)</f>
        <v>0</v>
      </c>
    </row>
    <row r="61" spans="1:4" x14ac:dyDescent="0.25">
      <c r="A61" s="57" t="str">
        <f>IF('CASE DATA'!A61="","",'CASE DATA'!A61)</f>
        <v/>
      </c>
      <c r="B61" s="62" t="str">
        <f>IF('CASE DATA'!A61&lt;&gt;"",IF('CASE DATA'!G61=0, "open charge", 'CASE DATA'!G61),"")</f>
        <v/>
      </c>
      <c r="C61" s="75">
        <f>IF(OR(B61="DISM",B61="JWV",B61="JUV",B61="CIV"),SUM('CASE DATA'!J61:S61),SUM('CASE DATA'!J61:P61)+'CASE DATA'!S61)</f>
        <v>0</v>
      </c>
      <c r="D61" s="78">
        <f>IF(OR(B61="DISM", B61="JWV", B61="JUV", B61="CIV"), 0, 'CASE DATA'!Q61+'CASE DATA'!R61)</f>
        <v>0</v>
      </c>
    </row>
    <row r="62" spans="1:4" x14ac:dyDescent="0.25">
      <c r="A62" s="57" t="str">
        <f>IF('CASE DATA'!A62="","",'CASE DATA'!A62)</f>
        <v/>
      </c>
      <c r="B62" s="62" t="str">
        <f>IF('CASE DATA'!A62&lt;&gt;"",IF('CASE DATA'!G62=0, "open charge", 'CASE DATA'!G62),"")</f>
        <v/>
      </c>
      <c r="C62" s="75">
        <f>IF(OR(B62="DISM",B62="JWV",B62="JUV",B62="CIV"),SUM('CASE DATA'!J62:S62),SUM('CASE DATA'!J62:P62)+'CASE DATA'!S62)</f>
        <v>0</v>
      </c>
      <c r="D62" s="78">
        <f>IF(OR(B62="DISM", B62="JWV", B62="JUV", B62="CIV"), 0, 'CASE DATA'!Q62+'CASE DATA'!R62)</f>
        <v>0</v>
      </c>
    </row>
    <row r="63" spans="1:4" x14ac:dyDescent="0.25">
      <c r="A63" s="57" t="str">
        <f>IF('CASE DATA'!A63="","",'CASE DATA'!A63)</f>
        <v/>
      </c>
      <c r="B63" s="62" t="str">
        <f>IF('CASE DATA'!A63&lt;&gt;"",IF('CASE DATA'!G63=0, "open charge", 'CASE DATA'!G63),"")</f>
        <v/>
      </c>
      <c r="C63" s="75">
        <f>IF(OR(B63="DISM",B63="JWV",B63="JUV",B63="CIV"),SUM('CASE DATA'!J63:S63),SUM('CASE DATA'!J63:P63)+'CASE DATA'!S63)</f>
        <v>0</v>
      </c>
      <c r="D63" s="78">
        <f>IF(OR(B63="DISM", B63="JWV", B63="JUV", B63="CIV"), 0, 'CASE DATA'!Q63+'CASE DATA'!R63)</f>
        <v>0</v>
      </c>
    </row>
    <row r="64" spans="1:4" x14ac:dyDescent="0.25">
      <c r="A64" s="57" t="str">
        <f>IF('CASE DATA'!A64="","",'CASE DATA'!A64)</f>
        <v/>
      </c>
      <c r="B64" s="62" t="str">
        <f>IF('CASE DATA'!A64&lt;&gt;"",IF('CASE DATA'!G64=0, "open charge", 'CASE DATA'!G64),"")</f>
        <v/>
      </c>
      <c r="C64" s="75">
        <f>IF(OR(B64="DISM",B64="JWV",B64="JUV",B64="CIV"),SUM('CASE DATA'!J64:S64),SUM('CASE DATA'!J64:P64)+'CASE DATA'!S64)</f>
        <v>0</v>
      </c>
      <c r="D64" s="78">
        <f>IF(OR(B64="DISM", B64="JWV", B64="JUV", B64="CIV"), 0, 'CASE DATA'!Q64+'CASE DATA'!R64)</f>
        <v>0</v>
      </c>
    </row>
    <row r="65" spans="1:4" x14ac:dyDescent="0.25">
      <c r="A65" s="57" t="str">
        <f>IF('CASE DATA'!A65="","",'CASE DATA'!A65)</f>
        <v/>
      </c>
      <c r="B65" s="62" t="str">
        <f>IF('CASE DATA'!A65&lt;&gt;"",IF('CASE DATA'!G65=0, "open charge", 'CASE DATA'!G65),"")</f>
        <v/>
      </c>
      <c r="C65" s="75">
        <f>IF(OR(B65="DISM",B65="JWV",B65="JUV",B65="CIV"),SUM('CASE DATA'!J65:S65),SUM('CASE DATA'!J65:P65)+'CASE DATA'!S65)</f>
        <v>0</v>
      </c>
      <c r="D65" s="78">
        <f>IF(OR(B65="DISM", B65="JWV", B65="JUV", B65="CIV"), 0, 'CASE DATA'!Q65+'CASE DATA'!R65)</f>
        <v>0</v>
      </c>
    </row>
    <row r="66" spans="1:4" x14ac:dyDescent="0.25">
      <c r="A66" s="57" t="str">
        <f>IF('CASE DATA'!A66="","",'CASE DATA'!A66)</f>
        <v/>
      </c>
      <c r="B66" s="62" t="str">
        <f>IF('CASE DATA'!A66&lt;&gt;"",IF('CASE DATA'!G66=0, "open charge", 'CASE DATA'!G66),"")</f>
        <v/>
      </c>
      <c r="C66" s="75">
        <f>IF(OR(B66="DISM",B66="JWV",B66="JUV",B66="CIV"),SUM('CASE DATA'!J66:S66),SUM('CASE DATA'!J66:P66)+'CASE DATA'!S66)</f>
        <v>0</v>
      </c>
      <c r="D66" s="78">
        <f>IF(OR(B66="DISM", B66="JWV", B66="JUV", B66="CIV"), 0, 'CASE DATA'!Q66+'CASE DATA'!R66)</f>
        <v>0</v>
      </c>
    </row>
    <row r="67" spans="1:4" x14ac:dyDescent="0.25">
      <c r="A67" s="57" t="str">
        <f>IF('CASE DATA'!A67="","",'CASE DATA'!A67)</f>
        <v/>
      </c>
      <c r="B67" s="62" t="str">
        <f>IF('CASE DATA'!A67&lt;&gt;"",IF('CASE DATA'!G67=0, "open charge", 'CASE DATA'!G67),"")</f>
        <v/>
      </c>
      <c r="C67" s="75">
        <f>IF(OR(B67="DISM",B67="JWV",B67="JUV",B67="CIV"),SUM('CASE DATA'!J67:S67),SUM('CASE DATA'!J67:P67)+'CASE DATA'!S67)</f>
        <v>0</v>
      </c>
      <c r="D67" s="78">
        <f>IF(OR(B67="DISM", B67="JWV", B67="JUV", B67="CIV"), 0, 'CASE DATA'!Q67+'CASE DATA'!R67)</f>
        <v>0</v>
      </c>
    </row>
    <row r="68" spans="1:4" x14ac:dyDescent="0.25">
      <c r="A68" s="57" t="str">
        <f>IF('CASE DATA'!A68="","",'CASE DATA'!A68)</f>
        <v/>
      </c>
      <c r="B68" s="62" t="str">
        <f>IF('CASE DATA'!A68&lt;&gt;"",IF('CASE DATA'!G68=0, "open charge", 'CASE DATA'!G68),"")</f>
        <v/>
      </c>
      <c r="C68" s="75">
        <f>IF(OR(B68="DISM",B68="JWV",B68="JUV",B68="CIV"),SUM('CASE DATA'!J68:S68),SUM('CASE DATA'!J68:P68)+'CASE DATA'!S68)</f>
        <v>0</v>
      </c>
      <c r="D68" s="78">
        <f>IF(OR(B68="DISM", B68="JWV", B68="JUV", B68="CIV"), 0, 'CASE DATA'!Q68+'CASE DATA'!R68)</f>
        <v>0</v>
      </c>
    </row>
    <row r="69" spans="1:4" x14ac:dyDescent="0.25">
      <c r="A69" s="57" t="str">
        <f>IF('CASE DATA'!A69="","",'CASE DATA'!A69)</f>
        <v/>
      </c>
      <c r="B69" s="62" t="str">
        <f>IF('CASE DATA'!A69&lt;&gt;"",IF('CASE DATA'!G69=0, "open charge", 'CASE DATA'!G69),"")</f>
        <v/>
      </c>
      <c r="C69" s="75">
        <f>IF(OR(B69="DISM",B69="JWV",B69="JUV",B69="CIV"),SUM('CASE DATA'!J69:S69),SUM('CASE DATA'!J69:P69)+'CASE DATA'!S69)</f>
        <v>0</v>
      </c>
      <c r="D69" s="78">
        <f>IF(OR(B69="DISM", B69="JWV", B69="JUV", B69="CIV"), 0, 'CASE DATA'!Q69+'CASE DATA'!R69)</f>
        <v>0</v>
      </c>
    </row>
    <row r="70" spans="1:4" x14ac:dyDescent="0.25">
      <c r="A70" s="57" t="str">
        <f>IF('CASE DATA'!A70="","",'CASE DATA'!A70)</f>
        <v/>
      </c>
      <c r="B70" s="62" t="str">
        <f>IF('CASE DATA'!A70&lt;&gt;"",IF('CASE DATA'!G70=0, "open charge", 'CASE DATA'!G70),"")</f>
        <v/>
      </c>
      <c r="C70" s="75">
        <f>IF(OR(B70="DISM",B70="JWV",B70="JUV",B70="CIV"),SUM('CASE DATA'!J70:S70),SUM('CASE DATA'!J70:P70)+'CASE DATA'!S70)</f>
        <v>0</v>
      </c>
      <c r="D70" s="78">
        <f>IF(OR(B70="DISM", B70="JWV", B70="JUV", B70="CIV"), 0, 'CASE DATA'!Q70+'CASE DATA'!R70)</f>
        <v>0</v>
      </c>
    </row>
    <row r="71" spans="1:4" x14ac:dyDescent="0.25">
      <c r="A71" s="57" t="str">
        <f>IF('CASE DATA'!A71="","",'CASE DATA'!A71)</f>
        <v/>
      </c>
      <c r="B71" s="62" t="str">
        <f>IF('CASE DATA'!A71&lt;&gt;"",IF('CASE DATA'!G71=0, "open charge", 'CASE DATA'!G71),"")</f>
        <v/>
      </c>
      <c r="C71" s="75">
        <f>IF(OR(B71="DISM",B71="JWV",B71="JUV",B71="CIV"),SUM('CASE DATA'!J71:S71),SUM('CASE DATA'!J71:P71)+'CASE DATA'!S71)</f>
        <v>0</v>
      </c>
      <c r="D71" s="78">
        <f>IF(OR(B71="DISM", B71="JWV", B71="JUV", B71="CIV"), 0, 'CASE DATA'!Q71+'CASE DATA'!R71)</f>
        <v>0</v>
      </c>
    </row>
    <row r="72" spans="1:4" x14ac:dyDescent="0.25">
      <c r="A72" s="57" t="str">
        <f>IF('CASE DATA'!A72="","",'CASE DATA'!A72)</f>
        <v/>
      </c>
      <c r="B72" s="62" t="str">
        <f>IF('CASE DATA'!A72&lt;&gt;"",IF('CASE DATA'!G72=0, "open charge", 'CASE DATA'!G72),"")</f>
        <v/>
      </c>
      <c r="C72" s="75">
        <f>IF(OR(B72="DISM",B72="JWV",B72="JUV",B72="CIV"),SUM('CASE DATA'!J72:S72),SUM('CASE DATA'!J72:P72)+'CASE DATA'!S72)</f>
        <v>0</v>
      </c>
      <c r="D72" s="78">
        <f>IF(OR(B72="DISM", B72="JWV", B72="JUV", B72="CIV"), 0, 'CASE DATA'!Q72+'CASE DATA'!R72)</f>
        <v>0</v>
      </c>
    </row>
    <row r="73" spans="1:4" x14ac:dyDescent="0.25">
      <c r="A73" s="57" t="str">
        <f>IF('CASE DATA'!A73="","",'CASE DATA'!A73)</f>
        <v/>
      </c>
      <c r="B73" s="62" t="str">
        <f>IF('CASE DATA'!A73&lt;&gt;"",IF('CASE DATA'!G73=0, "open charge", 'CASE DATA'!G73),"")</f>
        <v/>
      </c>
      <c r="C73" s="75">
        <f>IF(OR(B73="DISM",B73="JWV",B73="JUV",B73="CIV"),SUM('CASE DATA'!J73:S73),SUM('CASE DATA'!J73:P73)+'CASE DATA'!S73)</f>
        <v>0</v>
      </c>
      <c r="D73" s="78">
        <f>IF(OR(B73="DISM", B73="JWV", B73="JUV", B73="CIV"), 0, 'CASE DATA'!Q73+'CASE DATA'!R73)</f>
        <v>0</v>
      </c>
    </row>
    <row r="74" spans="1:4" x14ac:dyDescent="0.25">
      <c r="A74" s="57" t="str">
        <f>IF('CASE DATA'!A74="","",'CASE DATA'!A74)</f>
        <v/>
      </c>
      <c r="B74" s="62" t="str">
        <f>IF('CASE DATA'!A74&lt;&gt;"",IF('CASE DATA'!G74=0, "open charge", 'CASE DATA'!G74),"")</f>
        <v/>
      </c>
      <c r="C74" s="75">
        <f>IF(OR(B74="DISM",B74="JWV",B74="JUV",B74="CIV"),SUM('CASE DATA'!J74:S74),SUM('CASE DATA'!J74:P74)+'CASE DATA'!S74)</f>
        <v>0</v>
      </c>
      <c r="D74" s="78">
        <f>IF(OR(B74="DISM", B74="JWV", B74="JUV", B74="CIV"), 0, 'CASE DATA'!Q74+'CASE DATA'!R74)</f>
        <v>0</v>
      </c>
    </row>
    <row r="75" spans="1:4" x14ac:dyDescent="0.25">
      <c r="A75" s="57" t="str">
        <f>IF('CASE DATA'!A75="","",'CASE DATA'!A75)</f>
        <v/>
      </c>
      <c r="B75" s="62" t="str">
        <f>IF('CASE DATA'!A75&lt;&gt;"",IF('CASE DATA'!G75=0, "open charge", 'CASE DATA'!G75),"")</f>
        <v/>
      </c>
      <c r="C75" s="75">
        <f>IF(OR(B75="DISM",B75="JWV",B75="JUV",B75="CIV"),SUM('CASE DATA'!J75:S75),SUM('CASE DATA'!J75:P75)+'CASE DATA'!S75)</f>
        <v>0</v>
      </c>
      <c r="D75" s="78">
        <f>IF(OR(B75="DISM", B75="JWV", B75="JUV", B75="CIV"), 0, 'CASE DATA'!Q75+'CASE DATA'!R75)</f>
        <v>0</v>
      </c>
    </row>
    <row r="76" spans="1:4" x14ac:dyDescent="0.25">
      <c r="A76" s="57" t="str">
        <f>IF('CASE DATA'!A76="","",'CASE DATA'!A76)</f>
        <v/>
      </c>
      <c r="B76" s="62" t="str">
        <f>IF('CASE DATA'!A76&lt;&gt;"",IF('CASE DATA'!G76=0, "open charge", 'CASE DATA'!G76),"")</f>
        <v/>
      </c>
      <c r="C76" s="75">
        <f>IF(OR(B76="DISM",B76="JWV",B76="JUV",B76="CIV"),SUM('CASE DATA'!J76:S76),SUM('CASE DATA'!J76:P76)+'CASE DATA'!S76)</f>
        <v>0</v>
      </c>
      <c r="D76" s="78">
        <f>IF(OR(B76="DISM", B76="JWV", B76="JUV", B76="CIV"), 0, 'CASE DATA'!Q76+'CASE DATA'!R76)</f>
        <v>0</v>
      </c>
    </row>
    <row r="77" spans="1:4" x14ac:dyDescent="0.25">
      <c r="A77" s="57" t="str">
        <f>IF('CASE DATA'!A77="","",'CASE DATA'!A77)</f>
        <v/>
      </c>
      <c r="B77" s="62" t="str">
        <f>IF('CASE DATA'!A77&lt;&gt;"",IF('CASE DATA'!G77=0, "open charge", 'CASE DATA'!G77),"")</f>
        <v/>
      </c>
      <c r="C77" s="75">
        <f>IF(OR(B77="DISM",B77="JWV",B77="JUV",B77="CIV"),SUM('CASE DATA'!J77:S77),SUM('CASE DATA'!J77:P77)+'CASE DATA'!S77)</f>
        <v>0</v>
      </c>
      <c r="D77" s="78">
        <f>IF(OR(B77="DISM", B77="JWV", B77="JUV", B77="CIV"), 0, 'CASE DATA'!Q77+'CASE DATA'!R77)</f>
        <v>0</v>
      </c>
    </row>
    <row r="78" spans="1:4" x14ac:dyDescent="0.25">
      <c r="A78" s="57" t="str">
        <f>IF('CASE DATA'!A78="","",'CASE DATA'!A78)</f>
        <v/>
      </c>
      <c r="B78" s="62" t="str">
        <f>IF('CASE DATA'!A78&lt;&gt;"",IF('CASE DATA'!G78=0, "open charge", 'CASE DATA'!G78),"")</f>
        <v/>
      </c>
      <c r="C78" s="75">
        <f>IF(OR(B78="DISM",B78="JWV",B78="JUV",B78="CIV"),SUM('CASE DATA'!J78:S78),SUM('CASE DATA'!J78:P78)+'CASE DATA'!S78)</f>
        <v>0</v>
      </c>
      <c r="D78" s="78">
        <f>IF(OR(B78="DISM", B78="JWV", B78="JUV", B78="CIV"), 0, 'CASE DATA'!Q78+'CASE DATA'!R78)</f>
        <v>0</v>
      </c>
    </row>
    <row r="79" spans="1:4" x14ac:dyDescent="0.25">
      <c r="A79" s="57" t="str">
        <f>IF('CASE DATA'!A79="","",'CASE DATA'!A79)</f>
        <v/>
      </c>
      <c r="B79" s="62" t="str">
        <f>IF('CASE DATA'!A79&lt;&gt;"",IF('CASE DATA'!G79=0, "open charge", 'CASE DATA'!G79),"")</f>
        <v/>
      </c>
      <c r="C79" s="75">
        <f>IF(OR(B79="DISM",B79="JWV",B79="JUV",B79="CIV"),SUM('CASE DATA'!J79:S79),SUM('CASE DATA'!J79:P79)+'CASE DATA'!S79)</f>
        <v>0</v>
      </c>
      <c r="D79" s="78">
        <f>IF(OR(B79="DISM", B79="JWV", B79="JUV", B79="CIV"), 0, 'CASE DATA'!Q79+'CASE DATA'!R79)</f>
        <v>0</v>
      </c>
    </row>
    <row r="80" spans="1:4" x14ac:dyDescent="0.25">
      <c r="A80" s="57" t="str">
        <f>IF('CASE DATA'!A80="","",'CASE DATA'!A80)</f>
        <v/>
      </c>
      <c r="B80" s="62" t="str">
        <f>IF('CASE DATA'!A80&lt;&gt;"",IF('CASE DATA'!G80=0, "open charge", 'CASE DATA'!G80),"")</f>
        <v/>
      </c>
      <c r="C80" s="75">
        <f>IF(OR(B80="DISM",B80="JWV",B80="JUV",B80="CIV"),SUM('CASE DATA'!J80:S80),SUM('CASE DATA'!J80:P80)+'CASE DATA'!S80)</f>
        <v>0</v>
      </c>
      <c r="D80" s="78">
        <f>IF(OR(B80="DISM", B80="JWV", B80="JUV", B80="CIV"), 0, 'CASE DATA'!Q80+'CASE DATA'!R80)</f>
        <v>0</v>
      </c>
    </row>
    <row r="81" spans="1:4" x14ac:dyDescent="0.25">
      <c r="A81" s="57" t="str">
        <f>IF('CASE DATA'!A81="","",'CASE DATA'!A81)</f>
        <v/>
      </c>
      <c r="B81" s="62" t="str">
        <f>IF('CASE DATA'!A81&lt;&gt;"",IF('CASE DATA'!G81=0, "open charge", 'CASE DATA'!G81),"")</f>
        <v/>
      </c>
      <c r="C81" s="75">
        <f>IF(OR(B81="DISM",B81="JWV",B81="JUV",B81="CIV"),SUM('CASE DATA'!J81:S81),SUM('CASE DATA'!J81:P81)+'CASE DATA'!S81)</f>
        <v>0</v>
      </c>
      <c r="D81" s="78">
        <f>IF(OR(B81="DISM", B81="JWV", B81="JUV", B81="CIV"), 0, 'CASE DATA'!Q81+'CASE DATA'!R81)</f>
        <v>0</v>
      </c>
    </row>
    <row r="82" spans="1:4" x14ac:dyDescent="0.25">
      <c r="A82" s="57" t="str">
        <f>IF('CASE DATA'!A82="","",'CASE DATA'!A82)</f>
        <v/>
      </c>
      <c r="B82" s="62" t="str">
        <f>IF('CASE DATA'!A82&lt;&gt;"",IF('CASE DATA'!G82=0, "open charge", 'CASE DATA'!G82),"")</f>
        <v/>
      </c>
      <c r="C82" s="75">
        <f>IF(OR(B82="DISM",B82="JWV",B82="JUV",B82="CIV"),SUM('CASE DATA'!J82:S82),SUM('CASE DATA'!J82:P82)+'CASE DATA'!S82)</f>
        <v>0</v>
      </c>
      <c r="D82" s="78">
        <f>IF(OR(B82="DISM", B82="JWV", B82="JUV", B82="CIV"), 0, 'CASE DATA'!Q82+'CASE DATA'!R82)</f>
        <v>0</v>
      </c>
    </row>
    <row r="83" spans="1:4" x14ac:dyDescent="0.25">
      <c r="A83" s="57" t="str">
        <f>IF('CASE DATA'!A83="","",'CASE DATA'!A83)</f>
        <v/>
      </c>
      <c r="B83" s="62" t="str">
        <f>IF('CASE DATA'!A83&lt;&gt;"",IF('CASE DATA'!G83=0, "open charge", 'CASE DATA'!G83),"")</f>
        <v/>
      </c>
      <c r="C83" s="75">
        <f>IF(OR(B83="DISM",B83="JWV",B83="JUV",B83="CIV"),SUM('CASE DATA'!J83:S83),SUM('CASE DATA'!J83:P83)+'CASE DATA'!S83)</f>
        <v>0</v>
      </c>
      <c r="D83" s="78">
        <f>IF(OR(B83="DISM", B83="JWV", B83="JUV", B83="CIV"), 0, 'CASE DATA'!Q83+'CASE DATA'!R83)</f>
        <v>0</v>
      </c>
    </row>
    <row r="84" spans="1:4" x14ac:dyDescent="0.25">
      <c r="A84" s="57" t="str">
        <f>IF('CASE DATA'!A84="","",'CASE DATA'!A84)</f>
        <v/>
      </c>
      <c r="B84" s="62" t="str">
        <f>IF('CASE DATA'!A84&lt;&gt;"",IF('CASE DATA'!G84=0, "open charge", 'CASE DATA'!G84),"")</f>
        <v/>
      </c>
      <c r="C84" s="75">
        <f>IF(OR(B84="DISM",B84="JWV",B84="JUV",B84="CIV"),SUM('CASE DATA'!J84:S84),SUM('CASE DATA'!J84:P84)+'CASE DATA'!S84)</f>
        <v>0</v>
      </c>
      <c r="D84" s="78">
        <f>IF(OR(B84="DISM", B84="JWV", B84="JUV", B84="CIV"), 0, 'CASE DATA'!Q84+'CASE DATA'!R84)</f>
        <v>0</v>
      </c>
    </row>
    <row r="85" spans="1:4" x14ac:dyDescent="0.25">
      <c r="A85" s="57" t="str">
        <f>IF('CASE DATA'!A85="","",'CASE DATA'!A85)</f>
        <v/>
      </c>
      <c r="B85" s="62" t="str">
        <f>IF('CASE DATA'!A85&lt;&gt;"",IF('CASE DATA'!G85=0, "open charge", 'CASE DATA'!G85),"")</f>
        <v/>
      </c>
      <c r="C85" s="75">
        <f>IF(OR(B85="DISM",B85="JWV",B85="JUV",B85="CIV"),SUM('CASE DATA'!J85:S85),SUM('CASE DATA'!J85:P85)+'CASE DATA'!S85)</f>
        <v>0</v>
      </c>
      <c r="D85" s="78">
        <f>IF(OR(B85="DISM", B85="JWV", B85="JUV", B85="CIV"), 0, 'CASE DATA'!Q85+'CASE DATA'!R85)</f>
        <v>0</v>
      </c>
    </row>
    <row r="86" spans="1:4" x14ac:dyDescent="0.25">
      <c r="A86" s="57" t="str">
        <f>IF('CASE DATA'!A86="","",'CASE DATA'!A86)</f>
        <v/>
      </c>
      <c r="B86" s="62" t="str">
        <f>IF('CASE DATA'!A86&lt;&gt;"",IF('CASE DATA'!G86=0, "open charge", 'CASE DATA'!G86),"")</f>
        <v/>
      </c>
      <c r="C86" s="75">
        <f>IF(OR(B86="DISM",B86="JWV",B86="JUV",B86="CIV"),SUM('CASE DATA'!J86:S86),SUM('CASE DATA'!J86:P86)+'CASE DATA'!S86)</f>
        <v>0</v>
      </c>
      <c r="D86" s="78">
        <f>IF(OR(B86="DISM", B86="JWV", B86="JUV", B86="CIV"), 0, 'CASE DATA'!Q86+'CASE DATA'!R86)</f>
        <v>0</v>
      </c>
    </row>
    <row r="87" spans="1:4" x14ac:dyDescent="0.25">
      <c r="A87" s="57" t="str">
        <f>IF('CASE DATA'!A87="","",'CASE DATA'!A87)</f>
        <v/>
      </c>
      <c r="B87" s="62" t="str">
        <f>IF('CASE DATA'!A87&lt;&gt;"",IF('CASE DATA'!G87=0, "open charge", 'CASE DATA'!G87),"")</f>
        <v/>
      </c>
      <c r="C87" s="75">
        <f>IF(OR(B87="DISM",B87="JWV",B87="JUV",B87="CIV"),SUM('CASE DATA'!J87:S87),SUM('CASE DATA'!J87:P87)+'CASE DATA'!S87)</f>
        <v>0</v>
      </c>
      <c r="D87" s="78">
        <f>IF(OR(B87="DISM", B87="JWV", B87="JUV", B87="CIV"), 0, 'CASE DATA'!Q87+'CASE DATA'!R87)</f>
        <v>0</v>
      </c>
    </row>
    <row r="88" spans="1:4" x14ac:dyDescent="0.25">
      <c r="A88" s="57" t="str">
        <f>IF('CASE DATA'!A88="","",'CASE DATA'!A88)</f>
        <v/>
      </c>
      <c r="B88" s="62" t="str">
        <f>IF('CASE DATA'!A88&lt;&gt;"",IF('CASE DATA'!G88=0, "open charge", 'CASE DATA'!G88),"")</f>
        <v/>
      </c>
      <c r="C88" s="75">
        <f>IF(OR(B88="DISM",B88="JWV",B88="JUV",B88="CIV"),SUM('CASE DATA'!J88:S88),SUM('CASE DATA'!J88:P88)+'CASE DATA'!S88)</f>
        <v>0</v>
      </c>
      <c r="D88" s="78">
        <f>IF(OR(B88="DISM", B88="JWV", B88="JUV", B88="CIV"), 0, 'CASE DATA'!Q88+'CASE DATA'!R88)</f>
        <v>0</v>
      </c>
    </row>
    <row r="89" spans="1:4" x14ac:dyDescent="0.25">
      <c r="A89" s="57" t="str">
        <f>IF('CASE DATA'!A89="","",'CASE DATA'!A89)</f>
        <v/>
      </c>
      <c r="B89" s="62" t="str">
        <f>IF('CASE DATA'!A89&lt;&gt;"",IF('CASE DATA'!G89=0, "open charge", 'CASE DATA'!G89),"")</f>
        <v/>
      </c>
      <c r="C89" s="75">
        <f>IF(OR(B89="DISM",B89="JWV",B89="JUV",B89="CIV"),SUM('CASE DATA'!J89:S89),SUM('CASE DATA'!J89:P89)+'CASE DATA'!S89)</f>
        <v>0</v>
      </c>
      <c r="D89" s="78">
        <f>IF(OR(B89="DISM", B89="JWV", B89="JUV", B89="CIV"), 0, 'CASE DATA'!Q89+'CASE DATA'!R89)</f>
        <v>0</v>
      </c>
    </row>
    <row r="90" spans="1:4" x14ac:dyDescent="0.25">
      <c r="A90" s="57" t="str">
        <f>IF('CASE DATA'!A90="","",'CASE DATA'!A90)</f>
        <v/>
      </c>
      <c r="B90" s="62" t="str">
        <f>IF('CASE DATA'!A90&lt;&gt;"",IF('CASE DATA'!G90=0, "open charge", 'CASE DATA'!G90),"")</f>
        <v/>
      </c>
      <c r="C90" s="75">
        <f>IF(OR(B90="DISM",B90="JWV",B90="JUV",B90="CIV"),SUM('CASE DATA'!J90:S90),SUM('CASE DATA'!J90:P90)+'CASE DATA'!S90)</f>
        <v>0</v>
      </c>
      <c r="D90" s="78">
        <f>IF(OR(B90="DISM", B90="JWV", B90="JUV", B90="CIV"), 0, 'CASE DATA'!Q90+'CASE DATA'!R90)</f>
        <v>0</v>
      </c>
    </row>
    <row r="91" spans="1:4" x14ac:dyDescent="0.25">
      <c r="A91" s="57" t="str">
        <f>IF('CASE DATA'!A91="","",'CASE DATA'!A91)</f>
        <v/>
      </c>
      <c r="B91" s="62" t="str">
        <f>IF('CASE DATA'!A91&lt;&gt;"",IF('CASE DATA'!G91=0, "open charge", 'CASE DATA'!G91),"")</f>
        <v/>
      </c>
      <c r="C91" s="75">
        <f>IF(OR(B91="DISM",B91="JWV",B91="JUV",B91="CIV"),SUM('CASE DATA'!J91:S91),SUM('CASE DATA'!J91:P91)+'CASE DATA'!S91)</f>
        <v>0</v>
      </c>
      <c r="D91" s="78">
        <f>IF(OR(B91="DISM", B91="JWV", B91="JUV", B91="CIV"), 0, 'CASE DATA'!Q91+'CASE DATA'!R91)</f>
        <v>0</v>
      </c>
    </row>
    <row r="92" spans="1:4" x14ac:dyDescent="0.25">
      <c r="A92" s="57" t="str">
        <f>IF('CASE DATA'!A92="","",'CASE DATA'!A92)</f>
        <v/>
      </c>
      <c r="B92" s="62" t="str">
        <f>IF('CASE DATA'!A92&lt;&gt;"",IF('CASE DATA'!G92=0, "open charge", 'CASE DATA'!G92),"")</f>
        <v/>
      </c>
      <c r="C92" s="75">
        <f>IF(OR(B92="DISM",B92="JWV",B92="JUV",B92="CIV"),SUM('CASE DATA'!J92:S92),SUM('CASE DATA'!J92:P92)+'CASE DATA'!S92)</f>
        <v>0</v>
      </c>
      <c r="D92" s="78">
        <f>IF(OR(B92="DISM", B92="JWV", B92="JUV", B92="CIV"), 0, 'CASE DATA'!Q92+'CASE DATA'!R92)</f>
        <v>0</v>
      </c>
    </row>
    <row r="93" spans="1:4" x14ac:dyDescent="0.25">
      <c r="A93" s="57" t="str">
        <f>IF('CASE DATA'!A93="","",'CASE DATA'!A93)</f>
        <v/>
      </c>
      <c r="B93" s="62" t="str">
        <f>IF('CASE DATA'!A93&lt;&gt;"",IF('CASE DATA'!G93=0, "open charge", 'CASE DATA'!G93),"")</f>
        <v/>
      </c>
      <c r="C93" s="75">
        <f>IF(OR(B93="DISM",B93="JWV",B93="JUV",B93="CIV"),SUM('CASE DATA'!J93:S93),SUM('CASE DATA'!J93:P93)+'CASE DATA'!S93)</f>
        <v>0</v>
      </c>
      <c r="D93" s="78">
        <f>IF(OR(B93="DISM", B93="JWV", B93="JUV", B93="CIV"), 0, 'CASE DATA'!Q93+'CASE DATA'!R93)</f>
        <v>0</v>
      </c>
    </row>
    <row r="94" spans="1:4" x14ac:dyDescent="0.25">
      <c r="A94" s="57" t="str">
        <f>IF('CASE DATA'!A94="","",'CASE DATA'!A94)</f>
        <v/>
      </c>
      <c r="B94" s="62" t="str">
        <f>IF('CASE DATA'!A94&lt;&gt;"",IF('CASE DATA'!G94=0, "open charge", 'CASE DATA'!G94),"")</f>
        <v/>
      </c>
      <c r="C94" s="75">
        <f>IF(OR(B94="DISM",B94="JWV",B94="JUV",B94="CIV"),SUM('CASE DATA'!J94:S94),SUM('CASE DATA'!J94:P94)+'CASE DATA'!S94)</f>
        <v>0</v>
      </c>
      <c r="D94" s="78">
        <f>IF(OR(B94="DISM", B94="JWV", B94="JUV", B94="CIV"), 0, 'CASE DATA'!Q94+'CASE DATA'!R94)</f>
        <v>0</v>
      </c>
    </row>
    <row r="95" spans="1:4" x14ac:dyDescent="0.25">
      <c r="A95" s="57" t="str">
        <f>IF('CASE DATA'!A95="","",'CASE DATA'!A95)</f>
        <v/>
      </c>
      <c r="B95" s="62" t="str">
        <f>IF('CASE DATA'!A95&lt;&gt;"",IF('CASE DATA'!G95=0, "open charge", 'CASE DATA'!G95),"")</f>
        <v/>
      </c>
      <c r="C95" s="75">
        <f>IF(OR(B95="DISM",B95="JWV",B95="JUV",B95="CIV"),SUM('CASE DATA'!J95:S95),SUM('CASE DATA'!J95:P95)+'CASE DATA'!S95)</f>
        <v>0</v>
      </c>
      <c r="D95" s="78">
        <f>IF(OR(B95="DISM", B95="JWV", B95="JUV", B95="CIV"), 0, 'CASE DATA'!Q95+'CASE DATA'!R95)</f>
        <v>0</v>
      </c>
    </row>
    <row r="96" spans="1:4" x14ac:dyDescent="0.25">
      <c r="A96" s="57" t="str">
        <f>IF('CASE DATA'!A96="","",'CASE DATA'!A96)</f>
        <v/>
      </c>
      <c r="B96" s="62" t="str">
        <f>IF('CASE DATA'!A96&lt;&gt;"",IF('CASE DATA'!G96=0, "open charge", 'CASE DATA'!G96),"")</f>
        <v/>
      </c>
      <c r="C96" s="75">
        <f>IF(OR(B96="DISM",B96="JWV",B96="JUV",B96="CIV"),SUM('CASE DATA'!J96:S96),SUM('CASE DATA'!J96:P96)+'CASE DATA'!S96)</f>
        <v>0</v>
      </c>
      <c r="D96" s="78">
        <f>IF(OR(B96="DISM", B96="JWV", B96="JUV", B96="CIV"), 0, 'CASE DATA'!Q96+'CASE DATA'!R96)</f>
        <v>0</v>
      </c>
    </row>
    <row r="97" spans="1:4" x14ac:dyDescent="0.25">
      <c r="A97" s="57" t="str">
        <f>IF('CASE DATA'!A97="","",'CASE DATA'!A97)</f>
        <v/>
      </c>
      <c r="B97" s="62" t="str">
        <f>IF('CASE DATA'!A97&lt;&gt;"",IF('CASE DATA'!G97=0, "open charge", 'CASE DATA'!G97),"")</f>
        <v/>
      </c>
      <c r="C97" s="75">
        <f>IF(OR(B97="DISM",B97="JWV",B97="JUV",B97="CIV"),SUM('CASE DATA'!J97:S97),SUM('CASE DATA'!J97:P97)+'CASE DATA'!S97)</f>
        <v>0</v>
      </c>
      <c r="D97" s="78">
        <f>IF(OR(B97="DISM", B97="JWV", B97="JUV", B97="CIV"), 0, 'CASE DATA'!Q97+'CASE DATA'!R97)</f>
        <v>0</v>
      </c>
    </row>
    <row r="98" spans="1:4" x14ac:dyDescent="0.25">
      <c r="A98" s="57" t="str">
        <f>IF('CASE DATA'!A98="","",'CASE DATA'!A98)</f>
        <v/>
      </c>
      <c r="B98" s="62" t="str">
        <f>IF('CASE DATA'!A98&lt;&gt;"",IF('CASE DATA'!G98=0, "open charge", 'CASE DATA'!G98),"")</f>
        <v/>
      </c>
      <c r="C98" s="75">
        <f>IF(OR(B98="DISM",B98="JWV",B98="JUV",B98="CIV"),SUM('CASE DATA'!J98:S98),SUM('CASE DATA'!J98:P98)+'CASE DATA'!S98)</f>
        <v>0</v>
      </c>
      <c r="D98" s="78">
        <f>IF(OR(B98="DISM", B98="JWV", B98="JUV", B98="CIV"), 0, 'CASE DATA'!Q98+'CASE DATA'!R98)</f>
        <v>0</v>
      </c>
    </row>
    <row r="99" spans="1:4" x14ac:dyDescent="0.25">
      <c r="A99" s="57" t="str">
        <f>IF('CASE DATA'!A99="","",'CASE DATA'!A99)</f>
        <v/>
      </c>
      <c r="B99" s="62" t="str">
        <f>IF('CASE DATA'!A99&lt;&gt;"",IF('CASE DATA'!G99=0, "open charge", 'CASE DATA'!G99),"")</f>
        <v/>
      </c>
      <c r="C99" s="75">
        <f>IF(OR(B99="DISM",B99="JWV",B99="JUV",B99="CIV"),SUM('CASE DATA'!J99:S99),SUM('CASE DATA'!J99:P99)+'CASE DATA'!S99)</f>
        <v>0</v>
      </c>
      <c r="D99" s="78">
        <f>IF(OR(B99="DISM", B99="JWV", B99="JUV", B99="CIV"), 0, 'CASE DATA'!Q99+'CASE DATA'!R99)</f>
        <v>0</v>
      </c>
    </row>
    <row r="100" spans="1:4" x14ac:dyDescent="0.25">
      <c r="A100" s="57" t="str">
        <f>IF('CASE DATA'!A100="","",'CASE DATA'!A100)</f>
        <v/>
      </c>
      <c r="B100" s="62" t="str">
        <f>IF('CASE DATA'!A100&lt;&gt;"",IF('CASE DATA'!G100=0, "open charge", 'CASE DATA'!G100),"")</f>
        <v/>
      </c>
      <c r="C100" s="75">
        <f>IF(OR(B100="DISM",B100="JWV",B100="JUV",B100="CIV"),SUM('CASE DATA'!J100:S100),SUM('CASE DATA'!J100:P100)+'CASE DATA'!S100)</f>
        <v>0</v>
      </c>
      <c r="D100" s="78">
        <f>IF(OR(B100="DISM", B100="JWV", B100="JUV", B100="CIV"), 0, 'CASE DATA'!Q100+'CASE DATA'!R100)</f>
        <v>0</v>
      </c>
    </row>
    <row r="101" spans="1:4" x14ac:dyDescent="0.25">
      <c r="A101" s="57" t="str">
        <f>IF('CASE DATA'!A101="","",'CASE DATA'!A101)</f>
        <v/>
      </c>
      <c r="B101" s="62" t="str">
        <f>IF('CASE DATA'!A101&lt;&gt;"",IF('CASE DATA'!G101=0, "open charge", 'CASE DATA'!G101),"")</f>
        <v/>
      </c>
      <c r="C101" s="75">
        <f>IF(OR(B101="DISM",B101="JWV",B101="JUV",B101="CIV"),SUM('CASE DATA'!J101:S101),SUM('CASE DATA'!J101:P101)+'CASE DATA'!S101)</f>
        <v>0</v>
      </c>
      <c r="D101" s="78">
        <f>IF(OR(B101="DISM", B101="JWV", B101="JUV", B101="CIV"), 0, 'CASE DATA'!Q101+'CASE DATA'!R101)</f>
        <v>0</v>
      </c>
    </row>
    <row r="102" spans="1:4" x14ac:dyDescent="0.25">
      <c r="A102" s="57" t="str">
        <f>IF('CASE DATA'!A102="","",'CASE DATA'!A102)</f>
        <v/>
      </c>
      <c r="B102" s="62" t="str">
        <f>IF('CASE DATA'!A102&lt;&gt;"",IF('CASE DATA'!G102=0, "open charge", 'CASE DATA'!G102),"")</f>
        <v/>
      </c>
      <c r="C102" s="75">
        <f>IF(OR(B102="DISM",B102="JWV",B102="JUV",B102="CIV"),SUM('CASE DATA'!J102:S102),SUM('CASE DATA'!J102:P102)+'CASE DATA'!S102)</f>
        <v>0</v>
      </c>
      <c r="D102" s="78">
        <f>IF(OR(B102="DISM", B102="JWV", B102="JUV", B102="CIV"), 0, 'CASE DATA'!Q102+'CASE DATA'!R102)</f>
        <v>0</v>
      </c>
    </row>
    <row r="103" spans="1:4" x14ac:dyDescent="0.25">
      <c r="A103" s="57" t="str">
        <f>IF('CASE DATA'!A103="","",'CASE DATA'!A103)</f>
        <v/>
      </c>
      <c r="B103" s="62" t="str">
        <f>IF('CASE DATA'!A103&lt;&gt;"",IF('CASE DATA'!G103=0, "open charge", 'CASE DATA'!G103),"")</f>
        <v/>
      </c>
      <c r="C103" s="75">
        <f>IF(OR(B103="DISM",B103="JWV",B103="JUV",B103="CIV"),SUM('CASE DATA'!J103:S103),SUM('CASE DATA'!J103:P103)+'CASE DATA'!S103)</f>
        <v>0</v>
      </c>
      <c r="D103" s="78">
        <f>IF(OR(B103="DISM", B103="JWV", B103="JUV", B103="CIV"), 0, 'CASE DATA'!Q103+'CASE DATA'!R103)</f>
        <v>0</v>
      </c>
    </row>
    <row r="104" spans="1:4" x14ac:dyDescent="0.25">
      <c r="A104" s="57" t="str">
        <f>IF('CASE DATA'!A104="","",'CASE DATA'!A104)</f>
        <v/>
      </c>
      <c r="B104" s="62" t="str">
        <f>IF('CASE DATA'!A104&lt;&gt;"",IF('CASE DATA'!G104=0, "open charge", 'CASE DATA'!G104),"")</f>
        <v/>
      </c>
      <c r="C104" s="75">
        <f>IF(OR(B104="DISM",B104="JWV",B104="JUV",B104="CIV"),SUM('CASE DATA'!J104:S104),SUM('CASE DATA'!J104:P104)+'CASE DATA'!S104)</f>
        <v>0</v>
      </c>
      <c r="D104" s="78">
        <f>IF(OR(B104="DISM", B104="JWV", B104="JUV", B104="CIV"), 0, 'CASE DATA'!Q104+'CASE DATA'!R104)</f>
        <v>0</v>
      </c>
    </row>
    <row r="105" spans="1:4" x14ac:dyDescent="0.25">
      <c r="A105" s="57" t="str">
        <f>IF('CASE DATA'!A105="","",'CASE DATA'!A105)</f>
        <v/>
      </c>
      <c r="B105" s="62" t="str">
        <f>IF('CASE DATA'!A105&lt;&gt;"",IF('CASE DATA'!G105=0, "open charge", 'CASE DATA'!G105),"")</f>
        <v/>
      </c>
      <c r="C105" s="75">
        <f>IF(OR(B105="DISM",B105="JWV",B105="JUV",B105="CIV"),SUM('CASE DATA'!J105:S105),SUM('CASE DATA'!J105:P105)+'CASE DATA'!S105)</f>
        <v>0</v>
      </c>
      <c r="D105" s="78">
        <f>IF(OR(B105="DISM", B105="JWV", B105="JUV", B105="CIV"), 0, 'CASE DATA'!Q105+'CASE DATA'!R105)</f>
        <v>0</v>
      </c>
    </row>
    <row r="106" spans="1:4" x14ac:dyDescent="0.25">
      <c r="A106" s="57" t="str">
        <f>IF('CASE DATA'!A106="","",'CASE DATA'!A106)</f>
        <v/>
      </c>
      <c r="B106" s="62" t="str">
        <f>IF('CASE DATA'!A106&lt;&gt;"",IF('CASE DATA'!G106=0, "open charge", 'CASE DATA'!G106),"")</f>
        <v/>
      </c>
      <c r="C106" s="75">
        <f>IF(OR(B106="DISM",B106="JWV",B106="JUV",B106="CIV"),SUM('CASE DATA'!J106:S106),SUM('CASE DATA'!J106:P106)+'CASE DATA'!S106)</f>
        <v>0</v>
      </c>
      <c r="D106" s="78">
        <f>IF(OR(B106="DISM", B106="JWV", B106="JUV", B106="CIV"), 0, 'CASE DATA'!Q106+'CASE DATA'!R106)</f>
        <v>0</v>
      </c>
    </row>
    <row r="107" spans="1:4" x14ac:dyDescent="0.25">
      <c r="A107" s="57" t="str">
        <f>IF('CASE DATA'!A107="","",'CASE DATA'!A107)</f>
        <v/>
      </c>
      <c r="B107" s="62" t="str">
        <f>IF('CASE DATA'!A107&lt;&gt;"",IF('CASE DATA'!G107=0, "open charge", 'CASE DATA'!G107),"")</f>
        <v/>
      </c>
      <c r="C107" s="75">
        <f>IF(OR(B107="DISM",B107="JWV",B107="JUV",B107="CIV"),SUM('CASE DATA'!J107:S107),SUM('CASE DATA'!J107:P107)+'CASE DATA'!S107)</f>
        <v>0</v>
      </c>
      <c r="D107" s="78">
        <f>IF(OR(B107="DISM", B107="JWV", B107="JUV", B107="CIV"), 0, 'CASE DATA'!Q107+'CASE DATA'!R107)</f>
        <v>0</v>
      </c>
    </row>
    <row r="108" spans="1:4" x14ac:dyDescent="0.25">
      <c r="A108" s="57" t="str">
        <f>IF('CASE DATA'!A108="","",'CASE DATA'!A108)</f>
        <v/>
      </c>
      <c r="B108" s="62" t="str">
        <f>IF('CASE DATA'!A108&lt;&gt;"",IF('CASE DATA'!G108=0, "open charge", 'CASE DATA'!G108),"")</f>
        <v/>
      </c>
      <c r="C108" s="75">
        <f>IF(OR(B108="DISM",B108="JWV",B108="JUV",B108="CIV"),SUM('CASE DATA'!J108:S108),SUM('CASE DATA'!J108:P108)+'CASE DATA'!S108)</f>
        <v>0</v>
      </c>
      <c r="D108" s="78">
        <f>IF(OR(B108="DISM", B108="JWV", B108="JUV", B108="CIV"), 0, 'CASE DATA'!Q108+'CASE DATA'!R108)</f>
        <v>0</v>
      </c>
    </row>
    <row r="109" spans="1:4" x14ac:dyDescent="0.25">
      <c r="A109" s="57" t="str">
        <f>IF('CASE DATA'!A109="","",'CASE DATA'!A109)</f>
        <v/>
      </c>
      <c r="B109" s="62" t="str">
        <f>IF('CASE DATA'!A109&lt;&gt;"",IF('CASE DATA'!G109=0, "open charge", 'CASE DATA'!G109),"")</f>
        <v/>
      </c>
      <c r="C109" s="75">
        <f>IF(OR(B109="DISM",B109="JWV",B109="JUV",B109="CIV"),SUM('CASE DATA'!J109:S109),SUM('CASE DATA'!J109:P109)+'CASE DATA'!S109)</f>
        <v>0</v>
      </c>
      <c r="D109" s="78">
        <f>IF(OR(B109="DISM", B109="JWV", B109="JUV", B109="CIV"), 0, 'CASE DATA'!Q109+'CASE DATA'!R109)</f>
        <v>0</v>
      </c>
    </row>
    <row r="110" spans="1:4" x14ac:dyDescent="0.25">
      <c r="A110" s="57" t="str">
        <f>IF('CASE DATA'!A110="","",'CASE DATA'!A110)</f>
        <v/>
      </c>
      <c r="B110" s="62" t="str">
        <f>IF('CASE DATA'!A110&lt;&gt;"",IF('CASE DATA'!G110=0, "open charge", 'CASE DATA'!G110),"")</f>
        <v/>
      </c>
      <c r="C110" s="75">
        <f>IF(OR(B110="DISM",B110="JWV",B110="JUV",B110="CIV"),SUM('CASE DATA'!J110:S110),SUM('CASE DATA'!J110:P110)+'CASE DATA'!S110)</f>
        <v>0</v>
      </c>
      <c r="D110" s="78">
        <f>IF(OR(B110="DISM", B110="JWV", B110="JUV", B110="CIV"), 0, 'CASE DATA'!Q110+'CASE DATA'!R110)</f>
        <v>0</v>
      </c>
    </row>
    <row r="111" spans="1:4" x14ac:dyDescent="0.25">
      <c r="A111" s="57" t="str">
        <f>IF('CASE DATA'!A111="","",'CASE DATA'!A111)</f>
        <v/>
      </c>
      <c r="B111" s="62" t="str">
        <f>IF('CASE DATA'!A111&lt;&gt;"",IF('CASE DATA'!G111=0, "open charge", 'CASE DATA'!G111),"")</f>
        <v/>
      </c>
      <c r="C111" s="75">
        <f>IF(OR(B111="DISM",B111="JWV",B111="JUV",B111="CIV"),SUM('CASE DATA'!J111:S111),SUM('CASE DATA'!J111:P111)+'CASE DATA'!S111)</f>
        <v>0</v>
      </c>
      <c r="D111" s="78">
        <f>IF(OR(B111="DISM", B111="JWV", B111="JUV", B111="CIV"), 0, 'CASE DATA'!Q111+'CASE DATA'!R111)</f>
        <v>0</v>
      </c>
    </row>
    <row r="112" spans="1:4" x14ac:dyDescent="0.25">
      <c r="A112" s="57" t="str">
        <f>IF('CASE DATA'!A112="","",'CASE DATA'!A112)</f>
        <v/>
      </c>
      <c r="B112" s="62" t="str">
        <f>IF('CASE DATA'!A112&lt;&gt;"",IF('CASE DATA'!G112=0, "open charge", 'CASE DATA'!G112),"")</f>
        <v/>
      </c>
      <c r="C112" s="75">
        <f>IF(OR(B112="DISM",B112="JWV",B112="JUV",B112="CIV"),SUM('CASE DATA'!J112:S112),SUM('CASE DATA'!J112:P112)+'CASE DATA'!S112)</f>
        <v>0</v>
      </c>
      <c r="D112" s="78">
        <f>IF(OR(B112="DISM", B112="JWV", B112="JUV", B112="CIV"), 0, 'CASE DATA'!Q112+'CASE DATA'!R112)</f>
        <v>0</v>
      </c>
    </row>
    <row r="113" spans="1:4" x14ac:dyDescent="0.25">
      <c r="A113" s="57" t="str">
        <f>IF('CASE DATA'!A113="","",'CASE DATA'!A113)</f>
        <v/>
      </c>
      <c r="B113" s="62" t="str">
        <f>IF('CASE DATA'!A113&lt;&gt;"",IF('CASE DATA'!G113=0, "open charge", 'CASE DATA'!G113),"")</f>
        <v/>
      </c>
      <c r="C113" s="75">
        <f>IF(OR(B113="DISM",B113="JWV",B113="JUV",B113="CIV"),SUM('CASE DATA'!J113:S113),SUM('CASE DATA'!J113:P113)+'CASE DATA'!S113)</f>
        <v>0</v>
      </c>
      <c r="D113" s="78">
        <f>IF(OR(B113="DISM", B113="JWV", B113="JUV", B113="CIV"), 0, 'CASE DATA'!Q113+'CASE DATA'!R113)</f>
        <v>0</v>
      </c>
    </row>
    <row r="114" spans="1:4" x14ac:dyDescent="0.25">
      <c r="A114" s="57" t="str">
        <f>IF('CASE DATA'!A114="","",'CASE DATA'!A114)</f>
        <v/>
      </c>
      <c r="B114" s="62" t="str">
        <f>IF('CASE DATA'!A114&lt;&gt;"",IF('CASE DATA'!G114=0, "open charge", 'CASE DATA'!G114),"")</f>
        <v/>
      </c>
      <c r="C114" s="75">
        <f>IF(OR(B114="DISM",B114="JWV",B114="JUV",B114="CIV"),SUM('CASE DATA'!J114:S114),SUM('CASE DATA'!J114:P114)+'CASE DATA'!S114)</f>
        <v>0</v>
      </c>
      <c r="D114" s="78">
        <f>IF(OR(B114="DISM", B114="JWV", B114="JUV", B114="CIV"), 0, 'CASE DATA'!Q114+'CASE DATA'!R114)</f>
        <v>0</v>
      </c>
    </row>
    <row r="115" spans="1:4" x14ac:dyDescent="0.25">
      <c r="A115" s="57" t="str">
        <f>IF('CASE DATA'!A115="","",'CASE DATA'!A115)</f>
        <v/>
      </c>
      <c r="B115" s="62" t="str">
        <f>IF('CASE DATA'!A115&lt;&gt;"",IF('CASE DATA'!G115=0, "open charge", 'CASE DATA'!G115),"")</f>
        <v/>
      </c>
      <c r="C115" s="75">
        <f>IF(OR(B115="DISM",B115="JWV",B115="JUV",B115="CIV"),SUM('CASE DATA'!J115:S115),SUM('CASE DATA'!J115:P115)+'CASE DATA'!S115)</f>
        <v>0</v>
      </c>
      <c r="D115" s="78">
        <f>IF(OR(B115="DISM", B115="JWV", B115="JUV", B115="CIV"), 0, 'CASE DATA'!Q115+'CASE DATA'!R115)</f>
        <v>0</v>
      </c>
    </row>
    <row r="116" spans="1:4" x14ac:dyDescent="0.25">
      <c r="A116" s="57" t="str">
        <f>IF('CASE DATA'!A116="","",'CASE DATA'!A116)</f>
        <v/>
      </c>
      <c r="B116" s="62" t="str">
        <f>IF('CASE DATA'!A116&lt;&gt;"",IF('CASE DATA'!G116=0, "open charge", 'CASE DATA'!G116),"")</f>
        <v/>
      </c>
      <c r="C116" s="75">
        <f>IF(OR(B116="DISM",B116="JWV",B116="JUV",B116="CIV"),SUM('CASE DATA'!J116:S116),SUM('CASE DATA'!J116:P116)+'CASE DATA'!S116)</f>
        <v>0</v>
      </c>
      <c r="D116" s="78">
        <f>IF(OR(B116="DISM", B116="JWV", B116="JUV", B116="CIV"), 0, 'CASE DATA'!Q116+'CASE DATA'!R116)</f>
        <v>0</v>
      </c>
    </row>
    <row r="117" spans="1:4" x14ac:dyDescent="0.25">
      <c r="A117" s="57" t="str">
        <f>IF('CASE DATA'!A117="","",'CASE DATA'!A117)</f>
        <v/>
      </c>
      <c r="B117" s="62" t="str">
        <f>IF('CASE DATA'!A117&lt;&gt;"",IF('CASE DATA'!G117=0, "open charge", 'CASE DATA'!G117),"")</f>
        <v/>
      </c>
      <c r="C117" s="75">
        <f>IF(OR(B117="DISM",B117="JWV",B117="JUV",B117="CIV"),SUM('CASE DATA'!J117:S117),SUM('CASE DATA'!J117:P117)+'CASE DATA'!S117)</f>
        <v>0</v>
      </c>
      <c r="D117" s="78">
        <f>IF(OR(B117="DISM", B117="JWV", B117="JUV", B117="CIV"), 0, 'CASE DATA'!Q117+'CASE DATA'!R117)</f>
        <v>0</v>
      </c>
    </row>
    <row r="118" spans="1:4" x14ac:dyDescent="0.25">
      <c r="A118" s="57" t="str">
        <f>IF('CASE DATA'!A118="","",'CASE DATA'!A118)</f>
        <v/>
      </c>
      <c r="B118" s="62" t="str">
        <f>IF('CASE DATA'!A118&lt;&gt;"",IF('CASE DATA'!G118=0, "open charge", 'CASE DATA'!G118),"")</f>
        <v/>
      </c>
      <c r="C118" s="75">
        <f>IF(OR(B118="DISM",B118="JWV",B118="JUV",B118="CIV"),SUM('CASE DATA'!J118:S118),SUM('CASE DATA'!J118:P118)+'CASE DATA'!S118)</f>
        <v>0</v>
      </c>
      <c r="D118" s="78">
        <f>IF(OR(B118="DISM", B118="JWV", B118="JUV", B118="CIV"), 0, 'CASE DATA'!Q118+'CASE DATA'!R118)</f>
        <v>0</v>
      </c>
    </row>
    <row r="119" spans="1:4" x14ac:dyDescent="0.25">
      <c r="A119" s="57" t="str">
        <f>IF('CASE DATA'!A119="","",'CASE DATA'!A119)</f>
        <v/>
      </c>
      <c r="B119" s="62" t="str">
        <f>IF('CASE DATA'!A119&lt;&gt;"",IF('CASE DATA'!G119=0, "open charge", 'CASE DATA'!G119),"")</f>
        <v/>
      </c>
      <c r="C119" s="75">
        <f>IF(OR(B119="DISM",B119="JWV",B119="JUV",B119="CIV"),SUM('CASE DATA'!J119:S119),SUM('CASE DATA'!J119:P119)+'CASE DATA'!S119)</f>
        <v>0</v>
      </c>
      <c r="D119" s="78">
        <f>IF(OR(B119="DISM", B119="JWV", B119="JUV", B119="CIV"), 0, 'CASE DATA'!Q119+'CASE DATA'!R119)</f>
        <v>0</v>
      </c>
    </row>
    <row r="120" spans="1:4" x14ac:dyDescent="0.25">
      <c r="A120" s="57" t="str">
        <f>IF('CASE DATA'!A120="","",'CASE DATA'!A120)</f>
        <v/>
      </c>
      <c r="B120" s="62" t="str">
        <f>IF('CASE DATA'!A120&lt;&gt;"",IF('CASE DATA'!G120=0, "open charge", 'CASE DATA'!G120),"")</f>
        <v/>
      </c>
      <c r="C120" s="75">
        <f>IF(OR(B120="DISM",B120="JWV",B120="JUV",B120="CIV"),SUM('CASE DATA'!J120:S120),SUM('CASE DATA'!J120:P120)+'CASE DATA'!S120)</f>
        <v>0</v>
      </c>
      <c r="D120" s="78">
        <f>IF(OR(B120="DISM", B120="JWV", B120="JUV", B120="CIV"), 0, 'CASE DATA'!Q120+'CASE DATA'!R120)</f>
        <v>0</v>
      </c>
    </row>
    <row r="121" spans="1:4" x14ac:dyDescent="0.25">
      <c r="A121" s="57" t="str">
        <f>IF('CASE DATA'!A121="","",'CASE DATA'!A121)</f>
        <v/>
      </c>
      <c r="B121" s="62" t="str">
        <f>IF('CASE DATA'!A121&lt;&gt;"",IF('CASE DATA'!G121=0, "open charge", 'CASE DATA'!G121),"")</f>
        <v/>
      </c>
      <c r="C121" s="75">
        <f>IF(OR(B121="DISM",B121="JWV",B121="JUV",B121="CIV"),SUM('CASE DATA'!J121:S121),SUM('CASE DATA'!J121:P121)+'CASE DATA'!S121)</f>
        <v>0</v>
      </c>
      <c r="D121" s="78">
        <f>IF(OR(B121="DISM", B121="JWV", B121="JUV", B121="CIV"), 0, 'CASE DATA'!Q121+'CASE DATA'!R121)</f>
        <v>0</v>
      </c>
    </row>
    <row r="122" spans="1:4" x14ac:dyDescent="0.25">
      <c r="A122" s="57" t="str">
        <f>IF('CASE DATA'!A122="","",'CASE DATA'!A122)</f>
        <v/>
      </c>
      <c r="B122" s="62" t="str">
        <f>IF('CASE DATA'!A122&lt;&gt;"",IF('CASE DATA'!G122=0, "open charge", 'CASE DATA'!G122),"")</f>
        <v/>
      </c>
      <c r="C122" s="75">
        <f>IF(OR(B122="DISM",B122="JWV",B122="JUV",B122="CIV"),SUM('CASE DATA'!J122:S122),SUM('CASE DATA'!J122:P122)+'CASE DATA'!S122)</f>
        <v>0</v>
      </c>
      <c r="D122" s="78">
        <f>IF(OR(B122="DISM", B122="JWV", B122="JUV", B122="CIV"), 0, 'CASE DATA'!Q122+'CASE DATA'!R122)</f>
        <v>0</v>
      </c>
    </row>
    <row r="123" spans="1:4" x14ac:dyDescent="0.25">
      <c r="A123" s="57" t="str">
        <f>IF('CASE DATA'!A123="","",'CASE DATA'!A123)</f>
        <v/>
      </c>
      <c r="B123" s="62" t="str">
        <f>IF('CASE DATA'!A123&lt;&gt;"",IF('CASE DATA'!G123=0, "open charge", 'CASE DATA'!G123),"")</f>
        <v/>
      </c>
      <c r="C123" s="75">
        <f>IF(OR(B123="DISM",B123="JWV",B123="JUV",B123="CIV"),SUM('CASE DATA'!J123:S123),SUM('CASE DATA'!J123:P123)+'CASE DATA'!S123)</f>
        <v>0</v>
      </c>
      <c r="D123" s="78">
        <f>IF(OR(B123="DISM", B123="JWV", B123="JUV", B123="CIV"), 0, 'CASE DATA'!Q123+'CASE DATA'!R123)</f>
        <v>0</v>
      </c>
    </row>
    <row r="124" spans="1:4" x14ac:dyDescent="0.25">
      <c r="A124" s="57" t="str">
        <f>IF('CASE DATA'!A124="","",'CASE DATA'!A124)</f>
        <v/>
      </c>
      <c r="B124" s="62" t="str">
        <f>IF('CASE DATA'!A124&lt;&gt;"",IF('CASE DATA'!G124=0, "open charge", 'CASE DATA'!G124),"")</f>
        <v/>
      </c>
      <c r="C124" s="75">
        <f>IF(OR(B124="DISM",B124="JWV",B124="JUV",B124="CIV"),SUM('CASE DATA'!J124:S124),SUM('CASE DATA'!J124:P124)+'CASE DATA'!S124)</f>
        <v>0</v>
      </c>
      <c r="D124" s="78">
        <f>IF(OR(B124="DISM", B124="JWV", B124="JUV", B124="CIV"), 0, 'CASE DATA'!Q124+'CASE DATA'!R124)</f>
        <v>0</v>
      </c>
    </row>
    <row r="125" spans="1:4" x14ac:dyDescent="0.25">
      <c r="A125" s="57" t="str">
        <f>IF('CASE DATA'!A125="","",'CASE DATA'!A125)</f>
        <v/>
      </c>
      <c r="B125" s="62" t="str">
        <f>IF('CASE DATA'!A125&lt;&gt;"",IF('CASE DATA'!G125=0, "open charge", 'CASE DATA'!G125),"")</f>
        <v/>
      </c>
      <c r="C125" s="75">
        <f>IF(OR(B125="DISM",B125="JWV",B125="JUV",B125="CIV"),SUM('CASE DATA'!J125:S125),SUM('CASE DATA'!J125:P125)+'CASE DATA'!S125)</f>
        <v>0</v>
      </c>
      <c r="D125" s="78">
        <f>IF(OR(B125="DISM", B125="JWV", B125="JUV", B125="CIV"), 0, 'CASE DATA'!Q125+'CASE DATA'!R125)</f>
        <v>0</v>
      </c>
    </row>
    <row r="126" spans="1:4" x14ac:dyDescent="0.25">
      <c r="A126" s="57" t="str">
        <f>IF('CASE DATA'!A126="","",'CASE DATA'!A126)</f>
        <v/>
      </c>
      <c r="B126" s="62" t="str">
        <f>IF('CASE DATA'!A126&lt;&gt;"",IF('CASE DATA'!G126=0, "open charge", 'CASE DATA'!G126),"")</f>
        <v/>
      </c>
      <c r="C126" s="75">
        <f>IF(OR(B126="DISM",B126="JWV",B126="JUV",B126="CIV"),SUM('CASE DATA'!J126:S126),SUM('CASE DATA'!J126:P126)+'CASE DATA'!S126)</f>
        <v>0</v>
      </c>
      <c r="D126" s="78">
        <f>IF(OR(B126="DISM", B126="JWV", B126="JUV", B126="CIV"), 0, 'CASE DATA'!Q126+'CASE DATA'!R126)</f>
        <v>0</v>
      </c>
    </row>
    <row r="127" spans="1:4" x14ac:dyDescent="0.25">
      <c r="A127" s="57" t="str">
        <f>IF('CASE DATA'!A127="","",'CASE DATA'!A127)</f>
        <v/>
      </c>
      <c r="B127" s="62" t="str">
        <f>IF('CASE DATA'!A127&lt;&gt;"",IF('CASE DATA'!G127=0, "open charge", 'CASE DATA'!G127),"")</f>
        <v/>
      </c>
      <c r="C127" s="75">
        <f>IF(OR(B127="DISM",B127="JWV",B127="JUV",B127="CIV"),SUM('CASE DATA'!J127:S127),SUM('CASE DATA'!J127:P127)+'CASE DATA'!S127)</f>
        <v>0</v>
      </c>
      <c r="D127" s="78">
        <f>IF(OR(B127="DISM", B127="JWV", B127="JUV", B127="CIV"), 0, 'CASE DATA'!Q127+'CASE DATA'!R127)</f>
        <v>0</v>
      </c>
    </row>
    <row r="128" spans="1:4" x14ac:dyDescent="0.25">
      <c r="A128" s="57" t="str">
        <f>IF('CASE DATA'!A128="","",'CASE DATA'!A128)</f>
        <v/>
      </c>
      <c r="B128" s="62" t="str">
        <f>IF('CASE DATA'!A128&lt;&gt;"",IF('CASE DATA'!G128=0, "open charge", 'CASE DATA'!G128),"")</f>
        <v/>
      </c>
      <c r="C128" s="75">
        <f>IF(OR(B128="DISM",B128="JWV",B128="JUV",B128="CIV"),SUM('CASE DATA'!J128:S128),SUM('CASE DATA'!J128:P128)+'CASE DATA'!S128)</f>
        <v>0</v>
      </c>
      <c r="D128" s="78">
        <f>IF(OR(B128="DISM", B128="JWV", B128="JUV", B128="CIV"), 0, 'CASE DATA'!Q128+'CASE DATA'!R128)</f>
        <v>0</v>
      </c>
    </row>
    <row r="129" spans="1:4" x14ac:dyDescent="0.25">
      <c r="A129" s="57" t="str">
        <f>IF('CASE DATA'!A129="","",'CASE DATA'!A129)</f>
        <v/>
      </c>
      <c r="B129" s="62" t="str">
        <f>IF('CASE DATA'!A129&lt;&gt;"",IF('CASE DATA'!G129=0, "open charge", 'CASE DATA'!G129),"")</f>
        <v/>
      </c>
      <c r="C129" s="75">
        <f>IF(OR(B129="DISM",B129="JWV",B129="JUV",B129="CIV"),SUM('CASE DATA'!J129:S129),SUM('CASE DATA'!J129:P129)+'CASE DATA'!S129)</f>
        <v>0</v>
      </c>
      <c r="D129" s="78">
        <f>IF(OR(B129="DISM", B129="JWV", B129="JUV", B129="CIV"), 0, 'CASE DATA'!Q129+'CASE DATA'!R129)</f>
        <v>0</v>
      </c>
    </row>
    <row r="130" spans="1:4" x14ac:dyDescent="0.25">
      <c r="A130" s="57" t="str">
        <f>IF('CASE DATA'!A130="","",'CASE DATA'!A130)</f>
        <v/>
      </c>
      <c r="B130" s="62" t="str">
        <f>IF('CASE DATA'!A130&lt;&gt;"",IF('CASE DATA'!G130=0, "open charge", 'CASE DATA'!G130),"")</f>
        <v/>
      </c>
      <c r="C130" s="75">
        <f>IF(OR(B130="DISM",B130="JWV",B130="JUV",B130="CIV"),SUM('CASE DATA'!J130:S130),SUM('CASE DATA'!J130:P130)+'CASE DATA'!S130)</f>
        <v>0</v>
      </c>
      <c r="D130" s="78">
        <f>IF(OR(B130="DISM", B130="JWV", B130="JUV", B130="CIV"), 0, 'CASE DATA'!Q130+'CASE DATA'!R130)</f>
        <v>0</v>
      </c>
    </row>
    <row r="131" spans="1:4" x14ac:dyDescent="0.25">
      <c r="A131" s="57" t="str">
        <f>IF('CASE DATA'!A131="","",'CASE DATA'!A131)</f>
        <v/>
      </c>
      <c r="B131" s="62" t="str">
        <f>IF('CASE DATA'!A131&lt;&gt;"",IF('CASE DATA'!G131=0, "open charge", 'CASE DATA'!G131),"")</f>
        <v/>
      </c>
      <c r="C131" s="75">
        <f>IF(OR(B131="DISM",B131="JWV",B131="JUV",B131="CIV"),SUM('CASE DATA'!J131:S131),SUM('CASE DATA'!J131:P131)+'CASE DATA'!S131)</f>
        <v>0</v>
      </c>
      <c r="D131" s="78">
        <f>IF(OR(B131="DISM", B131="JWV", B131="JUV", B131="CIV"), 0, 'CASE DATA'!Q131+'CASE DATA'!R131)</f>
        <v>0</v>
      </c>
    </row>
    <row r="132" spans="1:4" x14ac:dyDescent="0.25">
      <c r="A132" s="57" t="str">
        <f>IF('CASE DATA'!A132="","",'CASE DATA'!A132)</f>
        <v/>
      </c>
      <c r="B132" s="62" t="str">
        <f>IF('CASE DATA'!A132&lt;&gt;"",IF('CASE DATA'!G132=0, "open charge", 'CASE DATA'!G132),"")</f>
        <v/>
      </c>
      <c r="C132" s="75">
        <f>IF(OR(B132="DISM",B132="JWV",B132="JUV",B132="CIV"),SUM('CASE DATA'!J132:S132),SUM('CASE DATA'!J132:P132)+'CASE DATA'!S132)</f>
        <v>0</v>
      </c>
      <c r="D132" s="78">
        <f>IF(OR(B132="DISM", B132="JWV", B132="JUV", B132="CIV"), 0, 'CASE DATA'!Q132+'CASE DATA'!R132)</f>
        <v>0</v>
      </c>
    </row>
    <row r="133" spans="1:4" x14ac:dyDescent="0.25">
      <c r="A133" s="57" t="str">
        <f>IF('CASE DATA'!A133="","",'CASE DATA'!A133)</f>
        <v/>
      </c>
      <c r="B133" s="62" t="str">
        <f>IF('CASE DATA'!A133&lt;&gt;"",IF('CASE DATA'!G133=0, "open charge", 'CASE DATA'!G133),"")</f>
        <v/>
      </c>
      <c r="C133" s="75">
        <f>IF(OR(B133="DISM",B133="JWV",B133="JUV",B133="CIV"),SUM('CASE DATA'!J133:S133),SUM('CASE DATA'!J133:P133)+'CASE DATA'!S133)</f>
        <v>0</v>
      </c>
      <c r="D133" s="78">
        <f>IF(OR(B133="DISM", B133="JWV", B133="JUV", B133="CIV"), 0, 'CASE DATA'!Q133+'CASE DATA'!R133)</f>
        <v>0</v>
      </c>
    </row>
    <row r="134" spans="1:4" x14ac:dyDescent="0.25">
      <c r="A134" s="57" t="str">
        <f>IF('CASE DATA'!A134="","",'CASE DATA'!A134)</f>
        <v/>
      </c>
      <c r="B134" s="62" t="str">
        <f>IF('CASE DATA'!A134&lt;&gt;"",IF('CASE DATA'!G134=0, "open charge", 'CASE DATA'!G134),"")</f>
        <v/>
      </c>
      <c r="C134" s="75">
        <f>IF(OR(B134="DISM",B134="JWV",B134="JUV",B134="CIV"),SUM('CASE DATA'!J134:S134),SUM('CASE DATA'!J134:P134)+'CASE DATA'!S134)</f>
        <v>0</v>
      </c>
      <c r="D134" s="78">
        <f>IF(OR(B134="DISM", B134="JWV", B134="JUV", B134="CIV"), 0, 'CASE DATA'!Q134+'CASE DATA'!R134)</f>
        <v>0</v>
      </c>
    </row>
    <row r="135" spans="1:4" x14ac:dyDescent="0.25">
      <c r="A135" s="57" t="str">
        <f>IF('CASE DATA'!A135="","",'CASE DATA'!A135)</f>
        <v/>
      </c>
      <c r="B135" s="62" t="str">
        <f>IF('CASE DATA'!A135&lt;&gt;"",IF('CASE DATA'!G135=0, "open charge", 'CASE DATA'!G135),"")</f>
        <v/>
      </c>
      <c r="C135" s="75">
        <f>IF(OR(B135="DISM",B135="JWV",B135="JUV",B135="CIV"),SUM('CASE DATA'!J135:S135),SUM('CASE DATA'!J135:P135)+'CASE DATA'!S135)</f>
        <v>0</v>
      </c>
      <c r="D135" s="78">
        <f>IF(OR(B135="DISM", B135="JWV", B135="JUV", B135="CIV"), 0, 'CASE DATA'!Q135+'CASE DATA'!R135)</f>
        <v>0</v>
      </c>
    </row>
    <row r="136" spans="1:4" x14ac:dyDescent="0.25">
      <c r="A136" s="57" t="str">
        <f>IF('CASE DATA'!A136="","",'CASE DATA'!A136)</f>
        <v/>
      </c>
      <c r="B136" s="62" t="str">
        <f>IF('CASE DATA'!A136&lt;&gt;"",IF('CASE DATA'!G136=0, "open charge", 'CASE DATA'!G136),"")</f>
        <v/>
      </c>
      <c r="C136" s="75">
        <f>IF(OR(B136="DISM",B136="JWV",B136="JUV",B136="CIV"),SUM('CASE DATA'!J136:S136),SUM('CASE DATA'!J136:P136)+'CASE DATA'!S136)</f>
        <v>0</v>
      </c>
      <c r="D136" s="78">
        <f>IF(OR(B136="DISM", B136="JWV", B136="JUV", B136="CIV"), 0, 'CASE DATA'!Q136+'CASE DATA'!R136)</f>
        <v>0</v>
      </c>
    </row>
    <row r="137" spans="1:4" x14ac:dyDescent="0.25">
      <c r="A137" s="57" t="str">
        <f>IF('CASE DATA'!A137="","",'CASE DATA'!A137)</f>
        <v/>
      </c>
      <c r="B137" s="62" t="str">
        <f>IF('CASE DATA'!A137&lt;&gt;"",IF('CASE DATA'!G137=0, "open charge", 'CASE DATA'!G137),"")</f>
        <v/>
      </c>
      <c r="C137" s="75">
        <f>IF(OR(B137="DISM",B137="JWV",B137="JUV",B137="CIV"),SUM('CASE DATA'!J137:S137),SUM('CASE DATA'!J137:P137)+'CASE DATA'!S137)</f>
        <v>0</v>
      </c>
      <c r="D137" s="78">
        <f>IF(OR(B137="DISM", B137="JWV", B137="JUV", B137="CIV"), 0, 'CASE DATA'!Q137+'CASE DATA'!R137)</f>
        <v>0</v>
      </c>
    </row>
    <row r="138" spans="1:4" x14ac:dyDescent="0.25">
      <c r="A138" s="57" t="str">
        <f>IF('CASE DATA'!A138="","",'CASE DATA'!A138)</f>
        <v/>
      </c>
      <c r="B138" s="62" t="str">
        <f>IF('CASE DATA'!A138&lt;&gt;"",IF('CASE DATA'!G138=0, "open charge", 'CASE DATA'!G138),"")</f>
        <v/>
      </c>
      <c r="C138" s="75">
        <f>IF(OR(B138="DISM",B138="JWV",B138="JUV",B138="CIV"),SUM('CASE DATA'!J138:S138),SUM('CASE DATA'!J138:P138)+'CASE DATA'!S138)</f>
        <v>0</v>
      </c>
      <c r="D138" s="78">
        <f>IF(OR(B138="DISM", B138="JWV", B138="JUV", B138="CIV"), 0, 'CASE DATA'!Q138+'CASE DATA'!R138)</f>
        <v>0</v>
      </c>
    </row>
    <row r="139" spans="1:4" x14ac:dyDescent="0.25">
      <c r="A139" s="57" t="str">
        <f>IF('CASE DATA'!A139="","",'CASE DATA'!A139)</f>
        <v/>
      </c>
      <c r="B139" s="62" t="str">
        <f>IF('CASE DATA'!A139&lt;&gt;"",IF('CASE DATA'!G139=0, "open charge", 'CASE DATA'!G139),"")</f>
        <v/>
      </c>
      <c r="C139" s="75">
        <f>IF(OR(B139="DISM",B139="JWV",B139="JUV",B139="CIV"),SUM('CASE DATA'!J139:S139),SUM('CASE DATA'!J139:P139)+'CASE DATA'!S139)</f>
        <v>0</v>
      </c>
      <c r="D139" s="78">
        <f>IF(OR(B139="DISM", B139="JWV", B139="JUV", B139="CIV"), 0, 'CASE DATA'!Q139+'CASE DATA'!R139)</f>
        <v>0</v>
      </c>
    </row>
    <row r="140" spans="1:4" x14ac:dyDescent="0.25">
      <c r="A140" s="57" t="str">
        <f>IF('CASE DATA'!A140="","",'CASE DATA'!A140)</f>
        <v/>
      </c>
      <c r="B140" s="62" t="str">
        <f>IF('CASE DATA'!A140&lt;&gt;"",IF('CASE DATA'!G140=0, "open charge", 'CASE DATA'!G140),"")</f>
        <v/>
      </c>
      <c r="C140" s="75">
        <f>IF(OR(B140="DISM",B140="JWV",B140="JUV",B140="CIV"),SUM('CASE DATA'!J140:S140),SUM('CASE DATA'!J140:P140)+'CASE DATA'!S140)</f>
        <v>0</v>
      </c>
      <c r="D140" s="78">
        <f>IF(OR(B140="DISM", B140="JWV", B140="JUV", B140="CIV"), 0, 'CASE DATA'!Q140+'CASE DATA'!R140)</f>
        <v>0</v>
      </c>
    </row>
    <row r="141" spans="1:4" x14ac:dyDescent="0.25">
      <c r="A141" s="57" t="str">
        <f>IF('CASE DATA'!A141="","",'CASE DATA'!A141)</f>
        <v/>
      </c>
      <c r="B141" s="62" t="str">
        <f>IF('CASE DATA'!A141&lt;&gt;"",IF('CASE DATA'!G141=0, "open charge", 'CASE DATA'!G141),"")</f>
        <v/>
      </c>
      <c r="C141" s="75">
        <f>IF(OR(B141="DISM",B141="JWV",B141="JUV",B141="CIV"),SUM('CASE DATA'!J141:S141),SUM('CASE DATA'!J141:P141)+'CASE DATA'!S141)</f>
        <v>0</v>
      </c>
      <c r="D141" s="78">
        <f>IF(OR(B141="DISM", B141="JWV", B141="JUV", B141="CIV"), 0, 'CASE DATA'!Q141+'CASE DATA'!R141)</f>
        <v>0</v>
      </c>
    </row>
    <row r="142" spans="1:4" x14ac:dyDescent="0.25">
      <c r="A142" s="57" t="str">
        <f>IF('CASE DATA'!A142="","",'CASE DATA'!A142)</f>
        <v/>
      </c>
      <c r="B142" s="62" t="str">
        <f>IF('CASE DATA'!A142&lt;&gt;"",IF('CASE DATA'!G142=0, "open charge", 'CASE DATA'!G142),"")</f>
        <v/>
      </c>
      <c r="C142" s="75">
        <f>IF(OR(B142="DISM",B142="JWV",B142="JUV",B142="CIV"),SUM('CASE DATA'!J142:S142),SUM('CASE DATA'!J142:P142)+'CASE DATA'!S142)</f>
        <v>0</v>
      </c>
      <c r="D142" s="78">
        <f>IF(OR(B142="DISM", B142="JWV", B142="JUV", B142="CIV"), 0, 'CASE DATA'!Q142+'CASE DATA'!R142)</f>
        <v>0</v>
      </c>
    </row>
    <row r="143" spans="1:4" x14ac:dyDescent="0.25">
      <c r="A143" s="57" t="str">
        <f>IF('CASE DATA'!A143="","",'CASE DATA'!A143)</f>
        <v/>
      </c>
      <c r="B143" s="62" t="str">
        <f>IF('CASE DATA'!A143&lt;&gt;"",IF('CASE DATA'!G143=0, "open charge", 'CASE DATA'!G143),"")</f>
        <v/>
      </c>
      <c r="C143" s="75">
        <f>IF(OR(B143="DISM",B143="JWV",B143="JUV",B143="CIV"),SUM('CASE DATA'!J143:S143),SUM('CASE DATA'!J143:P143)+'CASE DATA'!S143)</f>
        <v>0</v>
      </c>
      <c r="D143" s="78">
        <f>IF(OR(B143="DISM", B143="JWV", B143="JUV", B143="CIV"), 0, 'CASE DATA'!Q143+'CASE DATA'!R143)</f>
        <v>0</v>
      </c>
    </row>
    <row r="144" spans="1:4" x14ac:dyDescent="0.25">
      <c r="A144" s="57" t="str">
        <f>IF('CASE DATA'!A144="","",'CASE DATA'!A144)</f>
        <v/>
      </c>
      <c r="B144" s="62" t="str">
        <f>IF('CASE DATA'!A144&lt;&gt;"",IF('CASE DATA'!G144=0, "open charge", 'CASE DATA'!G144),"")</f>
        <v/>
      </c>
      <c r="C144" s="75">
        <f>IF(OR(B144="DISM",B144="JWV",B144="JUV",B144="CIV"),SUM('CASE DATA'!J144:S144),SUM('CASE DATA'!J144:P144)+'CASE DATA'!S144)</f>
        <v>0</v>
      </c>
      <c r="D144" s="78">
        <f>IF(OR(B144="DISM", B144="JWV", B144="JUV", B144="CIV"), 0, 'CASE DATA'!Q144+'CASE DATA'!R144)</f>
        <v>0</v>
      </c>
    </row>
    <row r="145" spans="1:4" x14ac:dyDescent="0.25">
      <c r="A145" s="57" t="str">
        <f>IF('CASE DATA'!A145="","",'CASE DATA'!A145)</f>
        <v/>
      </c>
      <c r="B145" s="62" t="str">
        <f>IF('CASE DATA'!A145&lt;&gt;"",IF('CASE DATA'!G145=0, "open charge", 'CASE DATA'!G145),"")</f>
        <v/>
      </c>
      <c r="C145" s="75">
        <f>IF(OR(B145="DISM",B145="JWV",B145="JUV",B145="CIV"),SUM('CASE DATA'!J145:S145),SUM('CASE DATA'!J145:P145)+'CASE DATA'!S145)</f>
        <v>0</v>
      </c>
      <c r="D145" s="78">
        <f>IF(OR(B145="DISM", B145="JWV", B145="JUV", B145="CIV"), 0, 'CASE DATA'!Q145+'CASE DATA'!R145)</f>
        <v>0</v>
      </c>
    </row>
    <row r="146" spans="1:4" x14ac:dyDescent="0.25">
      <c r="A146" s="57" t="str">
        <f>IF('CASE DATA'!A146="","",'CASE DATA'!A146)</f>
        <v/>
      </c>
      <c r="B146" s="62" t="str">
        <f>IF('CASE DATA'!A146&lt;&gt;"",IF('CASE DATA'!G146=0, "open charge", 'CASE DATA'!G146),"")</f>
        <v/>
      </c>
      <c r="C146" s="75">
        <f>IF(OR(B146="DISM",B146="JWV",B146="JUV",B146="CIV"),SUM('CASE DATA'!J146:S146),SUM('CASE DATA'!J146:P146)+'CASE DATA'!S146)</f>
        <v>0</v>
      </c>
      <c r="D146" s="78">
        <f>IF(OR(B146="DISM", B146="JWV", B146="JUV", B146="CIV"), 0, 'CASE DATA'!Q146+'CASE DATA'!R146)</f>
        <v>0</v>
      </c>
    </row>
    <row r="147" spans="1:4" x14ac:dyDescent="0.25">
      <c r="A147" s="57" t="str">
        <f>IF('CASE DATA'!A147="","",'CASE DATA'!A147)</f>
        <v/>
      </c>
      <c r="B147" s="62" t="str">
        <f>IF('CASE DATA'!A147&lt;&gt;"",IF('CASE DATA'!G147=0, "open charge", 'CASE DATA'!G147),"")</f>
        <v/>
      </c>
      <c r="C147" s="75">
        <f>IF(OR(B147="DISM",B147="JWV",B147="JUV",B147="CIV"),SUM('CASE DATA'!J147:S147),SUM('CASE DATA'!J147:P147)+'CASE DATA'!S147)</f>
        <v>0</v>
      </c>
      <c r="D147" s="78">
        <f>IF(OR(B147="DISM", B147="JWV", B147="JUV", B147="CIV"), 0, 'CASE DATA'!Q147+'CASE DATA'!R147)</f>
        <v>0</v>
      </c>
    </row>
    <row r="148" spans="1:4" x14ac:dyDescent="0.25">
      <c r="A148" s="57" t="str">
        <f>IF('CASE DATA'!A148="","",'CASE DATA'!A148)</f>
        <v/>
      </c>
      <c r="B148" s="62" t="str">
        <f>IF('CASE DATA'!A148&lt;&gt;"",IF('CASE DATA'!G148=0, "open charge", 'CASE DATA'!G148),"")</f>
        <v/>
      </c>
      <c r="C148" s="75">
        <f>IF(OR(B148="DISM",B148="JWV",B148="JUV",B148="CIV"),SUM('CASE DATA'!J148:S148),SUM('CASE DATA'!J148:P148)+'CASE DATA'!S148)</f>
        <v>0</v>
      </c>
      <c r="D148" s="78">
        <f>IF(OR(B148="DISM", B148="JWV", B148="JUV", B148="CIV"), 0, 'CASE DATA'!Q148+'CASE DATA'!R148)</f>
        <v>0</v>
      </c>
    </row>
    <row r="149" spans="1:4" x14ac:dyDescent="0.25">
      <c r="A149" s="57" t="str">
        <f>IF('CASE DATA'!A149="","",'CASE DATA'!A149)</f>
        <v/>
      </c>
      <c r="B149" s="62" t="str">
        <f>IF('CASE DATA'!A149&lt;&gt;"",IF('CASE DATA'!G149=0, "open charge", 'CASE DATA'!G149),"")</f>
        <v/>
      </c>
      <c r="C149" s="75">
        <f>IF(OR(B149="DISM",B149="JWV",B149="JUV",B149="CIV"),SUM('CASE DATA'!J149:S149),SUM('CASE DATA'!J149:P149)+'CASE DATA'!S149)</f>
        <v>0</v>
      </c>
      <c r="D149" s="78">
        <f>IF(OR(B149="DISM", B149="JWV", B149="JUV", B149="CIV"), 0, 'CASE DATA'!Q149+'CASE DATA'!R149)</f>
        <v>0</v>
      </c>
    </row>
    <row r="150" spans="1:4" x14ac:dyDescent="0.25">
      <c r="A150" s="57" t="str">
        <f>IF('CASE DATA'!A150="","",'CASE DATA'!A150)</f>
        <v/>
      </c>
      <c r="B150" s="62" t="str">
        <f>IF('CASE DATA'!A150&lt;&gt;"",IF('CASE DATA'!G150=0, "open charge", 'CASE DATA'!G150),"")</f>
        <v/>
      </c>
      <c r="C150" s="75">
        <f>IF(OR(B150="DISM",B150="JWV",B150="JUV",B150="CIV"),SUM('CASE DATA'!J150:S150),SUM('CASE DATA'!J150:P150)+'CASE DATA'!S150)</f>
        <v>0</v>
      </c>
      <c r="D150" s="78">
        <f>IF(OR(B150="DISM", B150="JWV", B150="JUV", B150="CIV"), 0, 'CASE DATA'!Q150+'CASE DATA'!R150)</f>
        <v>0</v>
      </c>
    </row>
    <row r="151" spans="1:4" x14ac:dyDescent="0.25">
      <c r="A151" s="57" t="str">
        <f>IF('CASE DATA'!A151="","",'CASE DATA'!A151)</f>
        <v/>
      </c>
      <c r="B151" s="62" t="str">
        <f>IF('CASE DATA'!A151&lt;&gt;"",IF('CASE DATA'!G151=0, "open charge", 'CASE DATA'!G151),"")</f>
        <v/>
      </c>
      <c r="C151" s="75">
        <f>IF(OR(B151="DISM",B151="JWV",B151="JUV",B151="CIV"),SUM('CASE DATA'!J151:S151),SUM('CASE DATA'!J151:P151)+'CASE DATA'!S151)</f>
        <v>0</v>
      </c>
      <c r="D151" s="78">
        <f>IF(OR(B151="DISM", B151="JWV", B151="JUV", B151="CIV"), 0, 'CASE DATA'!Q151+'CASE DATA'!R151)</f>
        <v>0</v>
      </c>
    </row>
    <row r="152" spans="1:4" x14ac:dyDescent="0.25">
      <c r="A152" s="57" t="str">
        <f>IF('CASE DATA'!A152="","",'CASE DATA'!A152)</f>
        <v/>
      </c>
      <c r="B152" s="62" t="str">
        <f>IF('CASE DATA'!A152&lt;&gt;"",IF('CASE DATA'!G152=0, "open charge", 'CASE DATA'!G152),"")</f>
        <v/>
      </c>
      <c r="C152" s="75">
        <f>IF(OR(B152="DISM",B152="JWV",B152="JUV",B152="CIV"),SUM('CASE DATA'!J152:S152),SUM('CASE DATA'!J152:P152)+'CASE DATA'!S152)</f>
        <v>0</v>
      </c>
      <c r="D152" s="78">
        <f>IF(OR(B152="DISM", B152="JWV", B152="JUV", B152="CIV"), 0, 'CASE DATA'!Q152+'CASE DATA'!R152)</f>
        <v>0</v>
      </c>
    </row>
    <row r="153" spans="1:4" x14ac:dyDescent="0.25">
      <c r="A153" s="57" t="str">
        <f>IF('CASE DATA'!A153="","",'CASE DATA'!A153)</f>
        <v/>
      </c>
      <c r="B153" s="62" t="str">
        <f>IF('CASE DATA'!A153&lt;&gt;"",IF('CASE DATA'!G153=0, "open charge", 'CASE DATA'!G153),"")</f>
        <v/>
      </c>
      <c r="C153" s="75">
        <f>IF(OR(B153="DISM",B153="JWV",B153="JUV",B153="CIV"),SUM('CASE DATA'!J153:S153),SUM('CASE DATA'!J153:P153)+'CASE DATA'!S153)</f>
        <v>0</v>
      </c>
      <c r="D153" s="78">
        <f>IF(OR(B153="DISM", B153="JWV", B153="JUV", B153="CIV"), 0, 'CASE DATA'!Q153+'CASE DATA'!R153)</f>
        <v>0</v>
      </c>
    </row>
    <row r="154" spans="1:4" x14ac:dyDescent="0.25">
      <c r="A154" s="57" t="str">
        <f>IF('CASE DATA'!A154="","",'CASE DATA'!A154)</f>
        <v/>
      </c>
      <c r="B154" s="62" t="str">
        <f>IF('CASE DATA'!A154&lt;&gt;"",IF('CASE DATA'!G154=0, "open charge", 'CASE DATA'!G154),"")</f>
        <v/>
      </c>
      <c r="C154" s="75">
        <f>IF(OR(B154="DISM",B154="JWV",B154="JUV",B154="CIV"),SUM('CASE DATA'!J154:S154),SUM('CASE DATA'!J154:P154)+'CASE DATA'!S154)</f>
        <v>0</v>
      </c>
      <c r="D154" s="78">
        <f>IF(OR(B154="DISM", B154="JWV", B154="JUV", B154="CIV"), 0, 'CASE DATA'!Q154+'CASE DATA'!R154)</f>
        <v>0</v>
      </c>
    </row>
    <row r="155" spans="1:4" x14ac:dyDescent="0.25">
      <c r="A155" s="57" t="str">
        <f>IF('CASE DATA'!A155="","",'CASE DATA'!A155)</f>
        <v/>
      </c>
      <c r="B155" s="62" t="str">
        <f>IF('CASE DATA'!A155&lt;&gt;"",IF('CASE DATA'!G155=0, "open charge", 'CASE DATA'!G155),"")</f>
        <v/>
      </c>
      <c r="C155" s="75">
        <f>IF(OR(B155="DISM",B155="JWV",B155="JUV",B155="CIV"),SUM('CASE DATA'!J155:S155),SUM('CASE DATA'!J155:P155)+'CASE DATA'!S155)</f>
        <v>0</v>
      </c>
      <c r="D155" s="78">
        <f>IF(OR(B155="DISM", B155="JWV", B155="JUV", B155="CIV"), 0, 'CASE DATA'!Q155+'CASE DATA'!R155)</f>
        <v>0</v>
      </c>
    </row>
    <row r="156" spans="1:4" x14ac:dyDescent="0.25">
      <c r="A156" s="57" t="str">
        <f>IF('CASE DATA'!A156="","",'CASE DATA'!A156)</f>
        <v/>
      </c>
      <c r="B156" s="62" t="str">
        <f>IF('CASE DATA'!A156&lt;&gt;"",IF('CASE DATA'!G156=0, "open charge", 'CASE DATA'!G156),"")</f>
        <v/>
      </c>
      <c r="C156" s="75">
        <f>IF(OR(B156="DISM",B156="JWV",B156="JUV",B156="CIV"),SUM('CASE DATA'!J156:S156),SUM('CASE DATA'!J156:P156)+'CASE DATA'!S156)</f>
        <v>0</v>
      </c>
      <c r="D156" s="78">
        <f>IF(OR(B156="DISM", B156="JWV", B156="JUV", B156="CIV"), 0, 'CASE DATA'!Q156+'CASE DATA'!R156)</f>
        <v>0</v>
      </c>
    </row>
    <row r="157" spans="1:4" x14ac:dyDescent="0.25">
      <c r="A157" s="57" t="str">
        <f>IF('CASE DATA'!A157="","",'CASE DATA'!A157)</f>
        <v/>
      </c>
      <c r="B157" s="62" t="str">
        <f>IF('CASE DATA'!A157&lt;&gt;"",IF('CASE DATA'!G157=0, "open charge", 'CASE DATA'!G157),"")</f>
        <v/>
      </c>
      <c r="C157" s="75">
        <f>IF(OR(B157="DISM",B157="JWV",B157="JUV",B157="CIV"),SUM('CASE DATA'!J157:S157),SUM('CASE DATA'!J157:P157)+'CASE DATA'!S157)</f>
        <v>0</v>
      </c>
      <c r="D157" s="78">
        <f>IF(OR(B157="DISM", B157="JWV", B157="JUV", B157="CIV"), 0, 'CASE DATA'!Q157+'CASE DATA'!R157)</f>
        <v>0</v>
      </c>
    </row>
    <row r="158" spans="1:4" x14ac:dyDescent="0.25">
      <c r="A158" s="57" t="str">
        <f>IF('CASE DATA'!A158="","",'CASE DATA'!A158)</f>
        <v/>
      </c>
      <c r="B158" s="62" t="str">
        <f>IF('CASE DATA'!A158&lt;&gt;"",IF('CASE DATA'!G158=0, "open charge", 'CASE DATA'!G158),"")</f>
        <v/>
      </c>
      <c r="C158" s="75">
        <f>IF(OR(B158="DISM",B158="JWV",B158="JUV",B158="CIV"),SUM('CASE DATA'!J158:S158),SUM('CASE DATA'!J158:P158)+'CASE DATA'!S158)</f>
        <v>0</v>
      </c>
      <c r="D158" s="78">
        <f>IF(OR(B158="DISM", B158="JWV", B158="JUV", B158="CIV"), 0, 'CASE DATA'!Q158+'CASE DATA'!R158)</f>
        <v>0</v>
      </c>
    </row>
    <row r="159" spans="1:4" x14ac:dyDescent="0.25">
      <c r="A159" s="57" t="str">
        <f>IF('CASE DATA'!A159="","",'CASE DATA'!A159)</f>
        <v/>
      </c>
      <c r="B159" s="62" t="str">
        <f>IF('CASE DATA'!A159&lt;&gt;"",IF('CASE DATA'!G159=0, "open charge", 'CASE DATA'!G159),"")</f>
        <v/>
      </c>
      <c r="C159" s="75">
        <f>IF(OR(B159="DISM",B159="JWV",B159="JUV",B159="CIV"),SUM('CASE DATA'!J159:S159),SUM('CASE DATA'!J159:P159)+'CASE DATA'!S159)</f>
        <v>0</v>
      </c>
      <c r="D159" s="78">
        <f>IF(OR(B159="DISM", B159="JWV", B159="JUV", B159="CIV"), 0, 'CASE DATA'!Q159+'CASE DATA'!R159)</f>
        <v>0</v>
      </c>
    </row>
    <row r="160" spans="1:4" x14ac:dyDescent="0.25">
      <c r="A160" s="57" t="str">
        <f>IF('CASE DATA'!A160="","",'CASE DATA'!A160)</f>
        <v/>
      </c>
      <c r="B160" s="62" t="str">
        <f>IF('CASE DATA'!A160&lt;&gt;"",IF('CASE DATA'!G160=0, "open charge", 'CASE DATA'!G160),"")</f>
        <v/>
      </c>
      <c r="C160" s="75">
        <f>IF(OR(B160="DISM",B160="JWV",B160="JUV",B160="CIV"),SUM('CASE DATA'!J160:S160),SUM('CASE DATA'!J160:P160)+'CASE DATA'!S160)</f>
        <v>0</v>
      </c>
      <c r="D160" s="78">
        <f>IF(OR(B160="DISM", B160="JWV", B160="JUV", B160="CIV"), 0, 'CASE DATA'!Q160+'CASE DATA'!R160)</f>
        <v>0</v>
      </c>
    </row>
    <row r="161" spans="1:4" x14ac:dyDescent="0.25">
      <c r="A161" s="57" t="str">
        <f>IF('CASE DATA'!A161="","",'CASE DATA'!A161)</f>
        <v/>
      </c>
      <c r="B161" s="62" t="str">
        <f>IF('CASE DATA'!A161&lt;&gt;"",IF('CASE DATA'!G161=0, "open charge", 'CASE DATA'!G161),"")</f>
        <v/>
      </c>
      <c r="C161" s="75">
        <f>IF(OR(B161="DISM",B161="JWV",B161="JUV",B161="CIV"),SUM('CASE DATA'!J161:S161),SUM('CASE DATA'!J161:P161)+'CASE DATA'!S161)</f>
        <v>0</v>
      </c>
      <c r="D161" s="78">
        <f>IF(OR(B161="DISM", B161="JWV", B161="JUV", B161="CIV"), 0, 'CASE DATA'!Q161+'CASE DATA'!R161)</f>
        <v>0</v>
      </c>
    </row>
    <row r="162" spans="1:4" x14ac:dyDescent="0.25">
      <c r="A162" s="57" t="str">
        <f>IF('CASE DATA'!A162="","",'CASE DATA'!A162)</f>
        <v/>
      </c>
      <c r="B162" s="62" t="str">
        <f>IF('CASE DATA'!A162&lt;&gt;"",IF('CASE DATA'!G162=0, "open charge", 'CASE DATA'!G162),"")</f>
        <v/>
      </c>
      <c r="C162" s="75">
        <f>IF(OR(B162="DISM",B162="JWV",B162="JUV",B162="CIV"),SUM('CASE DATA'!J162:S162),SUM('CASE DATA'!J162:P162)+'CASE DATA'!S162)</f>
        <v>0</v>
      </c>
      <c r="D162" s="78">
        <f>IF(OR(B162="DISM", B162="JWV", B162="JUV", B162="CIV"), 0, 'CASE DATA'!Q162+'CASE DATA'!R162)</f>
        <v>0</v>
      </c>
    </row>
    <row r="163" spans="1:4" x14ac:dyDescent="0.25">
      <c r="A163" s="57" t="str">
        <f>IF('CASE DATA'!A163="","",'CASE DATA'!A163)</f>
        <v/>
      </c>
      <c r="B163" s="62" t="str">
        <f>IF('CASE DATA'!A163&lt;&gt;"",IF('CASE DATA'!G163=0, "open charge", 'CASE DATA'!G163),"")</f>
        <v/>
      </c>
      <c r="C163" s="75">
        <f>IF(OR(B163="DISM",B163="JWV",B163="JUV",B163="CIV"),SUM('CASE DATA'!J163:S163),SUM('CASE DATA'!J163:P163)+'CASE DATA'!S163)</f>
        <v>0</v>
      </c>
      <c r="D163" s="78">
        <f>IF(OR(B163="DISM", B163="JWV", B163="JUV", B163="CIV"), 0, 'CASE DATA'!Q163+'CASE DATA'!R163)</f>
        <v>0</v>
      </c>
    </row>
    <row r="164" spans="1:4" x14ac:dyDescent="0.25">
      <c r="A164" s="57" t="str">
        <f>IF('CASE DATA'!A164="","",'CASE DATA'!A164)</f>
        <v/>
      </c>
      <c r="B164" s="62" t="str">
        <f>IF('CASE DATA'!A164&lt;&gt;"",IF('CASE DATA'!G164=0, "open charge", 'CASE DATA'!G164),"")</f>
        <v/>
      </c>
      <c r="C164" s="75">
        <f>IF(OR(B164="DISM",B164="JWV",B164="JUV",B164="CIV"),SUM('CASE DATA'!J164:S164),SUM('CASE DATA'!J164:P164)+'CASE DATA'!S164)</f>
        <v>0</v>
      </c>
      <c r="D164" s="78">
        <f>IF(OR(B164="DISM", B164="JWV", B164="JUV", B164="CIV"), 0, 'CASE DATA'!Q164+'CASE DATA'!R164)</f>
        <v>0</v>
      </c>
    </row>
    <row r="165" spans="1:4" x14ac:dyDescent="0.25">
      <c r="A165" s="57" t="str">
        <f>IF('CASE DATA'!A165="","",'CASE DATA'!A165)</f>
        <v/>
      </c>
      <c r="B165" s="62" t="str">
        <f>IF('CASE DATA'!A165&lt;&gt;"",IF('CASE DATA'!G165=0, "open charge", 'CASE DATA'!G165),"")</f>
        <v/>
      </c>
      <c r="C165" s="75">
        <f>IF(OR(B165="DISM",B165="JWV",B165="JUV",B165="CIV"),SUM('CASE DATA'!J165:S165),SUM('CASE DATA'!J165:P165)+'CASE DATA'!S165)</f>
        <v>0</v>
      </c>
      <c r="D165" s="78">
        <f>IF(OR(B165="DISM", B165="JWV", B165="JUV", B165="CIV"), 0, 'CASE DATA'!Q165+'CASE DATA'!R165)</f>
        <v>0</v>
      </c>
    </row>
    <row r="166" spans="1:4" x14ac:dyDescent="0.25">
      <c r="A166" s="57" t="str">
        <f>IF('CASE DATA'!A166="","",'CASE DATA'!A166)</f>
        <v/>
      </c>
      <c r="B166" s="62" t="str">
        <f>IF('CASE DATA'!A166&lt;&gt;"",IF('CASE DATA'!G166=0, "open charge", 'CASE DATA'!G166),"")</f>
        <v/>
      </c>
      <c r="C166" s="75">
        <f>IF(OR(B166="DISM",B166="JWV",B166="JUV",B166="CIV"),SUM('CASE DATA'!J166:S166),SUM('CASE DATA'!J166:P166)+'CASE DATA'!S166)</f>
        <v>0</v>
      </c>
      <c r="D166" s="78">
        <f>IF(OR(B166="DISM", B166="JWV", B166="JUV", B166="CIV"), 0, 'CASE DATA'!Q166+'CASE DATA'!R166)</f>
        <v>0</v>
      </c>
    </row>
    <row r="167" spans="1:4" x14ac:dyDescent="0.25">
      <c r="A167" s="57" t="str">
        <f>IF('CASE DATA'!A167="","",'CASE DATA'!A167)</f>
        <v/>
      </c>
      <c r="B167" s="62" t="str">
        <f>IF('CASE DATA'!A167&lt;&gt;"",IF('CASE DATA'!G167=0, "open charge", 'CASE DATA'!G167),"")</f>
        <v/>
      </c>
      <c r="C167" s="75">
        <f>IF(OR(B167="DISM",B167="JWV",B167="JUV",B167="CIV"),SUM('CASE DATA'!J167:S167),SUM('CASE DATA'!J167:P167)+'CASE DATA'!S167)</f>
        <v>0</v>
      </c>
      <c r="D167" s="78">
        <f>IF(OR(B167="DISM", B167="JWV", B167="JUV", B167="CIV"), 0, 'CASE DATA'!Q167+'CASE DATA'!R167)</f>
        <v>0</v>
      </c>
    </row>
    <row r="168" spans="1:4" x14ac:dyDescent="0.25">
      <c r="A168" s="57" t="str">
        <f>IF('CASE DATA'!A168="","",'CASE DATA'!A168)</f>
        <v/>
      </c>
      <c r="B168" s="62" t="str">
        <f>IF('CASE DATA'!A168&lt;&gt;"",IF('CASE DATA'!G168=0, "open charge", 'CASE DATA'!G168),"")</f>
        <v/>
      </c>
      <c r="C168" s="75">
        <f>IF(OR(B168="DISM",B168="JWV",B168="JUV",B168="CIV"),SUM('CASE DATA'!J168:S168),SUM('CASE DATA'!J168:P168)+'CASE DATA'!S168)</f>
        <v>0</v>
      </c>
      <c r="D168" s="78">
        <f>IF(OR(B168="DISM", B168="JWV", B168="JUV", B168="CIV"), 0, 'CASE DATA'!Q168+'CASE DATA'!R168)</f>
        <v>0</v>
      </c>
    </row>
    <row r="169" spans="1:4" x14ac:dyDescent="0.25">
      <c r="A169" s="57" t="str">
        <f>IF('CASE DATA'!A169="","",'CASE DATA'!A169)</f>
        <v/>
      </c>
      <c r="B169" s="62" t="str">
        <f>IF('CASE DATA'!A169&lt;&gt;"",IF('CASE DATA'!G169=0, "open charge", 'CASE DATA'!G169),"")</f>
        <v/>
      </c>
      <c r="C169" s="75">
        <f>IF(OR(B169="DISM",B169="JWV",B169="JUV",B169="CIV"),SUM('CASE DATA'!J169:S169),SUM('CASE DATA'!J169:P169)+'CASE DATA'!S169)</f>
        <v>0</v>
      </c>
      <c r="D169" s="78">
        <f>IF(OR(B169="DISM", B169="JWV", B169="JUV", B169="CIV"), 0, 'CASE DATA'!Q169+'CASE DATA'!R169)</f>
        <v>0</v>
      </c>
    </row>
    <row r="170" spans="1:4" x14ac:dyDescent="0.25">
      <c r="A170" s="57" t="str">
        <f>IF('CASE DATA'!A170="","",'CASE DATA'!A170)</f>
        <v/>
      </c>
      <c r="B170" s="62" t="str">
        <f>IF('CASE DATA'!A170&lt;&gt;"",IF('CASE DATA'!G170=0, "open charge", 'CASE DATA'!G170),"")</f>
        <v/>
      </c>
      <c r="C170" s="75">
        <f>IF(OR(B170="DISM",B170="JWV",B170="JUV",B170="CIV"),SUM('CASE DATA'!J170:S170),SUM('CASE DATA'!J170:P170)+'CASE DATA'!S170)</f>
        <v>0</v>
      </c>
      <c r="D170" s="78">
        <f>IF(OR(B170="DISM", B170="JWV", B170="JUV", B170="CIV"), 0, 'CASE DATA'!Q170+'CASE DATA'!R170)</f>
        <v>0</v>
      </c>
    </row>
    <row r="171" spans="1:4" x14ac:dyDescent="0.25">
      <c r="A171" s="57" t="str">
        <f>IF('CASE DATA'!A171="","",'CASE DATA'!A171)</f>
        <v/>
      </c>
      <c r="B171" s="62" t="str">
        <f>IF('CASE DATA'!A171&lt;&gt;"",IF('CASE DATA'!G171=0, "open charge", 'CASE DATA'!G171),"")</f>
        <v/>
      </c>
      <c r="C171" s="75">
        <f>IF(OR(B171="DISM",B171="JWV",B171="JUV",B171="CIV"),SUM('CASE DATA'!J171:S171),SUM('CASE DATA'!J171:P171)+'CASE DATA'!S171)</f>
        <v>0</v>
      </c>
      <c r="D171" s="78">
        <f>IF(OR(B171="DISM", B171="JWV", B171="JUV", B171="CIV"), 0, 'CASE DATA'!Q171+'CASE DATA'!R171)</f>
        <v>0</v>
      </c>
    </row>
    <row r="172" spans="1:4" x14ac:dyDescent="0.25">
      <c r="A172" s="57" t="str">
        <f>IF('CASE DATA'!A172="","",'CASE DATA'!A172)</f>
        <v/>
      </c>
      <c r="B172" s="62" t="str">
        <f>IF('CASE DATA'!A172&lt;&gt;"",IF('CASE DATA'!G172=0, "open charge", 'CASE DATA'!G172),"")</f>
        <v/>
      </c>
      <c r="C172" s="75">
        <f>IF(OR(B172="DISM",B172="JWV",B172="JUV",B172="CIV"),SUM('CASE DATA'!J172:S172),SUM('CASE DATA'!J172:P172)+'CASE DATA'!S172)</f>
        <v>0</v>
      </c>
      <c r="D172" s="78">
        <f>IF(OR(B172="DISM", B172="JWV", B172="JUV", B172="CIV"), 0, 'CASE DATA'!Q172+'CASE DATA'!R172)</f>
        <v>0</v>
      </c>
    </row>
    <row r="173" spans="1:4" x14ac:dyDescent="0.25">
      <c r="A173" s="57" t="str">
        <f>IF('CASE DATA'!A173="","",'CASE DATA'!A173)</f>
        <v/>
      </c>
      <c r="B173" s="62" t="str">
        <f>IF('CASE DATA'!A173&lt;&gt;"",IF('CASE DATA'!G173=0, "open charge", 'CASE DATA'!G173),"")</f>
        <v/>
      </c>
      <c r="C173" s="75">
        <f>IF(OR(B173="DISM",B173="JWV",B173="JUV",B173="CIV"),SUM('CASE DATA'!J173:S173),SUM('CASE DATA'!J173:P173)+'CASE DATA'!S173)</f>
        <v>0</v>
      </c>
      <c r="D173" s="78">
        <f>IF(OR(B173="DISM", B173="JWV", B173="JUV", B173="CIV"), 0, 'CASE DATA'!Q173+'CASE DATA'!R173)</f>
        <v>0</v>
      </c>
    </row>
    <row r="174" spans="1:4" x14ac:dyDescent="0.25">
      <c r="A174" s="57" t="str">
        <f>IF('CASE DATA'!A174="","",'CASE DATA'!A174)</f>
        <v/>
      </c>
      <c r="B174" s="62" t="str">
        <f>IF('CASE DATA'!A174&lt;&gt;"",IF('CASE DATA'!G174=0, "open charge", 'CASE DATA'!G174),"")</f>
        <v/>
      </c>
      <c r="C174" s="75">
        <f>IF(OR(B174="DISM",B174="JWV",B174="JUV",B174="CIV"),SUM('CASE DATA'!J174:S174),SUM('CASE DATA'!J174:P174)+'CASE DATA'!S174)</f>
        <v>0</v>
      </c>
      <c r="D174" s="78">
        <f>IF(OR(B174="DISM", B174="JWV", B174="JUV", B174="CIV"), 0, 'CASE DATA'!Q174+'CASE DATA'!R174)</f>
        <v>0</v>
      </c>
    </row>
    <row r="175" spans="1:4" x14ac:dyDescent="0.25">
      <c r="A175" s="57" t="str">
        <f>IF('CASE DATA'!A175="","",'CASE DATA'!A175)</f>
        <v/>
      </c>
      <c r="B175" s="62" t="str">
        <f>IF('CASE DATA'!A175&lt;&gt;"",IF('CASE DATA'!G175=0, "open charge", 'CASE DATA'!G175),"")</f>
        <v/>
      </c>
      <c r="C175" s="75">
        <f>IF(OR(B175="DISM",B175="JWV",B175="JUV",B175="CIV"),SUM('CASE DATA'!J175:S175),SUM('CASE DATA'!J175:P175)+'CASE DATA'!S175)</f>
        <v>0</v>
      </c>
      <c r="D175" s="78">
        <f>IF(OR(B175="DISM", B175="JWV", B175="JUV", B175="CIV"), 0, 'CASE DATA'!Q175+'CASE DATA'!R175)</f>
        <v>0</v>
      </c>
    </row>
    <row r="176" spans="1:4" x14ac:dyDescent="0.25">
      <c r="A176" s="57" t="str">
        <f>IF('CASE DATA'!A176="","",'CASE DATA'!A176)</f>
        <v/>
      </c>
      <c r="B176" s="62" t="str">
        <f>IF('CASE DATA'!A176&lt;&gt;"",IF('CASE DATA'!G176=0, "open charge", 'CASE DATA'!G176),"")</f>
        <v/>
      </c>
      <c r="C176" s="75">
        <f>IF(OR(B176="DISM",B176="JWV",B176="JUV",B176="CIV"),SUM('CASE DATA'!J176:S176),SUM('CASE DATA'!J176:P176)+'CASE DATA'!S176)</f>
        <v>0</v>
      </c>
      <c r="D176" s="78">
        <f>IF(OR(B176="DISM", B176="JWV", B176="JUV", B176="CIV"), 0, 'CASE DATA'!Q176+'CASE DATA'!R176)</f>
        <v>0</v>
      </c>
    </row>
    <row r="177" spans="1:4" x14ac:dyDescent="0.25">
      <c r="A177" s="57" t="str">
        <f>IF('CASE DATA'!A177="","",'CASE DATA'!A177)</f>
        <v/>
      </c>
      <c r="B177" s="62" t="str">
        <f>IF('CASE DATA'!A177&lt;&gt;"",IF('CASE DATA'!G177=0, "open charge", 'CASE DATA'!G177),"")</f>
        <v/>
      </c>
      <c r="C177" s="75">
        <f>IF(OR(B177="DISM",B177="JWV",B177="JUV",B177="CIV"),SUM('CASE DATA'!J177:S177),SUM('CASE DATA'!J177:P177)+'CASE DATA'!S177)</f>
        <v>0</v>
      </c>
      <c r="D177" s="78">
        <f>IF(OR(B177="DISM", B177="JWV", B177="JUV", B177="CIV"), 0, 'CASE DATA'!Q177+'CASE DATA'!R177)</f>
        <v>0</v>
      </c>
    </row>
    <row r="178" spans="1:4" x14ac:dyDescent="0.25">
      <c r="A178" s="57" t="str">
        <f>IF('CASE DATA'!A178="","",'CASE DATA'!A178)</f>
        <v/>
      </c>
      <c r="B178" s="62" t="str">
        <f>IF('CASE DATA'!A178&lt;&gt;"",IF('CASE DATA'!G178=0, "open charge", 'CASE DATA'!G178),"")</f>
        <v/>
      </c>
      <c r="C178" s="75">
        <f>IF(OR(B178="DISM",B178="JWV",B178="JUV",B178="CIV"),SUM('CASE DATA'!J178:S178),SUM('CASE DATA'!J178:P178)+'CASE DATA'!S178)</f>
        <v>0</v>
      </c>
      <c r="D178" s="78">
        <f>IF(OR(B178="DISM", B178="JWV", B178="JUV", B178="CIV"), 0, 'CASE DATA'!Q178+'CASE DATA'!R178)</f>
        <v>0</v>
      </c>
    </row>
    <row r="179" spans="1:4" x14ac:dyDescent="0.25">
      <c r="A179" s="57" t="str">
        <f>IF('CASE DATA'!A179="","",'CASE DATA'!A179)</f>
        <v/>
      </c>
      <c r="B179" s="62" t="str">
        <f>IF('CASE DATA'!A179&lt;&gt;"",IF('CASE DATA'!G179=0, "open charge", 'CASE DATA'!G179),"")</f>
        <v/>
      </c>
      <c r="C179" s="75">
        <f>IF(OR(B179="DISM",B179="JWV",B179="JUV",B179="CIV"),SUM('CASE DATA'!J179:S179),SUM('CASE DATA'!J179:P179)+'CASE DATA'!S179)</f>
        <v>0</v>
      </c>
      <c r="D179" s="78">
        <f>IF(OR(B179="DISM", B179="JWV", B179="JUV", B179="CIV"), 0, 'CASE DATA'!Q179+'CASE DATA'!R179)</f>
        <v>0</v>
      </c>
    </row>
    <row r="180" spans="1:4" x14ac:dyDescent="0.25">
      <c r="A180" s="57" t="str">
        <f>IF('CASE DATA'!A180="","",'CASE DATA'!A180)</f>
        <v/>
      </c>
      <c r="B180" s="62" t="str">
        <f>IF('CASE DATA'!A180&lt;&gt;"",IF('CASE DATA'!G180=0, "open charge", 'CASE DATA'!G180),"")</f>
        <v/>
      </c>
      <c r="C180" s="75">
        <f>IF(OR(B180="DISM",B180="JWV",B180="JUV",B180="CIV"),SUM('CASE DATA'!J180:S180),SUM('CASE DATA'!J180:P180)+'CASE DATA'!S180)</f>
        <v>0</v>
      </c>
      <c r="D180" s="78">
        <f>IF(OR(B180="DISM", B180="JWV", B180="JUV", B180="CIV"), 0, 'CASE DATA'!Q180+'CASE DATA'!R180)</f>
        <v>0</v>
      </c>
    </row>
    <row r="181" spans="1:4" x14ac:dyDescent="0.25">
      <c r="A181" s="57" t="str">
        <f>IF('CASE DATA'!A181="","",'CASE DATA'!A181)</f>
        <v/>
      </c>
      <c r="B181" s="62" t="str">
        <f>IF('CASE DATA'!A181&lt;&gt;"",IF('CASE DATA'!G181=0, "open charge", 'CASE DATA'!G181),"")</f>
        <v/>
      </c>
      <c r="C181" s="75">
        <f>IF(OR(B181="DISM",B181="JWV",B181="JUV",B181="CIV"),SUM('CASE DATA'!J181:S181),SUM('CASE DATA'!J181:P181)+'CASE DATA'!S181)</f>
        <v>0</v>
      </c>
      <c r="D181" s="78">
        <f>IF(OR(B181="DISM", B181="JWV", B181="JUV", B181="CIV"), 0, 'CASE DATA'!Q181+'CASE DATA'!R181)</f>
        <v>0</v>
      </c>
    </row>
    <row r="182" spans="1:4" x14ac:dyDescent="0.25">
      <c r="A182" s="57" t="str">
        <f>IF('CASE DATA'!A182="","",'CASE DATA'!A182)</f>
        <v/>
      </c>
      <c r="B182" s="62" t="str">
        <f>IF('CASE DATA'!A182&lt;&gt;"",IF('CASE DATA'!G182=0, "open charge", 'CASE DATA'!G182),"")</f>
        <v/>
      </c>
      <c r="C182" s="75">
        <f>IF(OR(B182="DISM",B182="JWV",B182="JUV",B182="CIV"),SUM('CASE DATA'!J182:S182),SUM('CASE DATA'!J182:P182)+'CASE DATA'!S182)</f>
        <v>0</v>
      </c>
      <c r="D182" s="78">
        <f>IF(OR(B182="DISM", B182="JWV", B182="JUV", B182="CIV"), 0, 'CASE DATA'!Q182+'CASE DATA'!R182)</f>
        <v>0</v>
      </c>
    </row>
    <row r="183" spans="1:4" x14ac:dyDescent="0.25">
      <c r="A183" s="57" t="str">
        <f>IF('CASE DATA'!A183="","",'CASE DATA'!A183)</f>
        <v/>
      </c>
      <c r="B183" s="62" t="str">
        <f>IF('CASE DATA'!A183&lt;&gt;"",IF('CASE DATA'!G183=0, "open charge", 'CASE DATA'!G183),"")</f>
        <v/>
      </c>
      <c r="C183" s="75">
        <f>IF(OR(B183="DISM",B183="JWV",B183="JUV",B183="CIV"),SUM('CASE DATA'!J183:S183),SUM('CASE DATA'!J183:P183)+'CASE DATA'!S183)</f>
        <v>0</v>
      </c>
      <c r="D183" s="78">
        <f>IF(OR(B183="DISM", B183="JWV", B183="JUV", B183="CIV"), 0, 'CASE DATA'!Q183+'CASE DATA'!R183)</f>
        <v>0</v>
      </c>
    </row>
    <row r="184" spans="1:4" x14ac:dyDescent="0.25">
      <c r="A184" s="57" t="str">
        <f>IF('CASE DATA'!A184="","",'CASE DATA'!A184)</f>
        <v/>
      </c>
      <c r="B184" s="62" t="str">
        <f>IF('CASE DATA'!A184&lt;&gt;"",IF('CASE DATA'!G184=0, "open charge", 'CASE DATA'!G184),"")</f>
        <v/>
      </c>
      <c r="C184" s="75">
        <f>IF(OR(B184="DISM",B184="JWV",B184="JUV",B184="CIV"),SUM('CASE DATA'!J184:S184),SUM('CASE DATA'!J184:P184)+'CASE DATA'!S184)</f>
        <v>0</v>
      </c>
      <c r="D184" s="78">
        <f>IF(OR(B184="DISM", B184="JWV", B184="JUV", B184="CIV"), 0, 'CASE DATA'!Q184+'CASE DATA'!R184)</f>
        <v>0</v>
      </c>
    </row>
    <row r="185" spans="1:4" x14ac:dyDescent="0.25">
      <c r="A185" s="57" t="str">
        <f>IF('CASE DATA'!A185="","",'CASE DATA'!A185)</f>
        <v/>
      </c>
      <c r="B185" s="62" t="str">
        <f>IF('CASE DATA'!A185&lt;&gt;"",IF('CASE DATA'!G185=0, "open charge", 'CASE DATA'!G185),"")</f>
        <v/>
      </c>
      <c r="C185" s="75">
        <f>IF(OR(B185="DISM",B185="JWV",B185="JUV",B185="CIV"),SUM('CASE DATA'!J185:S185),SUM('CASE DATA'!J185:P185)+'CASE DATA'!S185)</f>
        <v>0</v>
      </c>
      <c r="D185" s="78">
        <f>IF(OR(B185="DISM", B185="JWV", B185="JUV", B185="CIV"), 0, 'CASE DATA'!Q185+'CASE DATA'!R185)</f>
        <v>0</v>
      </c>
    </row>
    <row r="186" spans="1:4" x14ac:dyDescent="0.25">
      <c r="A186" s="57" t="str">
        <f>IF('CASE DATA'!A186="","",'CASE DATA'!A186)</f>
        <v/>
      </c>
      <c r="B186" s="62" t="str">
        <f>IF('CASE DATA'!A186&lt;&gt;"",IF('CASE DATA'!G186=0, "open charge", 'CASE DATA'!G186),"")</f>
        <v/>
      </c>
      <c r="C186" s="75">
        <f>IF(OR(B186="DISM",B186="JWV",B186="JUV",B186="CIV"),SUM('CASE DATA'!J186:S186),SUM('CASE DATA'!J186:P186)+'CASE DATA'!S186)</f>
        <v>0</v>
      </c>
      <c r="D186" s="78">
        <f>IF(OR(B186="DISM", B186="JWV", B186="JUV", B186="CIV"), 0, 'CASE DATA'!Q186+'CASE DATA'!R186)</f>
        <v>0</v>
      </c>
    </row>
    <row r="187" spans="1:4" x14ac:dyDescent="0.25">
      <c r="A187" s="57" t="str">
        <f>IF('CASE DATA'!A187="","",'CASE DATA'!A187)</f>
        <v/>
      </c>
      <c r="B187" s="62" t="str">
        <f>IF('CASE DATA'!A187&lt;&gt;"",IF('CASE DATA'!G187=0, "open charge", 'CASE DATA'!G187),"")</f>
        <v/>
      </c>
      <c r="C187" s="75">
        <f>IF(OR(B187="DISM",B187="JWV",B187="JUV",B187="CIV"),SUM('CASE DATA'!J187:S187),SUM('CASE DATA'!J187:P187)+'CASE DATA'!S187)</f>
        <v>0</v>
      </c>
      <c r="D187" s="78">
        <f>IF(OR(B187="DISM", B187="JWV", B187="JUV", B187="CIV"), 0, 'CASE DATA'!Q187+'CASE DATA'!R187)</f>
        <v>0</v>
      </c>
    </row>
    <row r="188" spans="1:4" x14ac:dyDescent="0.25">
      <c r="A188" s="57" t="str">
        <f>IF('CASE DATA'!A188="","",'CASE DATA'!A188)</f>
        <v/>
      </c>
      <c r="B188" s="62" t="str">
        <f>IF('CASE DATA'!A188&lt;&gt;"",IF('CASE DATA'!G188=0, "open charge", 'CASE DATA'!G188),"")</f>
        <v/>
      </c>
      <c r="C188" s="75">
        <f>IF(OR(B188="DISM",B188="JWV",B188="JUV",B188="CIV"),SUM('CASE DATA'!J188:S188),SUM('CASE DATA'!J188:P188)+'CASE DATA'!S188)</f>
        <v>0</v>
      </c>
      <c r="D188" s="78">
        <f>IF(OR(B188="DISM", B188="JWV", B188="JUV", B188="CIV"), 0, 'CASE DATA'!Q188+'CASE DATA'!R188)</f>
        <v>0</v>
      </c>
    </row>
    <row r="189" spans="1:4" x14ac:dyDescent="0.25">
      <c r="A189" s="57" t="str">
        <f>IF('CASE DATA'!A189="","",'CASE DATA'!A189)</f>
        <v/>
      </c>
      <c r="B189" s="62" t="str">
        <f>IF('CASE DATA'!A189&lt;&gt;"",IF('CASE DATA'!G189=0, "open charge", 'CASE DATA'!G189),"")</f>
        <v/>
      </c>
      <c r="C189" s="75">
        <f>IF(OR(B189="DISM",B189="JWV",B189="JUV",B189="CIV"),SUM('CASE DATA'!J189:S189),SUM('CASE DATA'!J189:P189)+'CASE DATA'!S189)</f>
        <v>0</v>
      </c>
      <c r="D189" s="78">
        <f>IF(OR(B189="DISM", B189="JWV", B189="JUV", B189="CIV"), 0, 'CASE DATA'!Q189+'CASE DATA'!R189)</f>
        <v>0</v>
      </c>
    </row>
    <row r="190" spans="1:4" x14ac:dyDescent="0.25">
      <c r="A190" s="57" t="str">
        <f>IF('CASE DATA'!A190="","",'CASE DATA'!A190)</f>
        <v/>
      </c>
      <c r="B190" s="62" t="str">
        <f>IF('CASE DATA'!A190&lt;&gt;"",IF('CASE DATA'!G190=0, "open charge", 'CASE DATA'!G190),"")</f>
        <v/>
      </c>
      <c r="C190" s="75">
        <f>IF(OR(B190="DISM",B190="JWV",B190="JUV",B190="CIV"),SUM('CASE DATA'!J190:S190),SUM('CASE DATA'!J190:P190)+'CASE DATA'!S190)</f>
        <v>0</v>
      </c>
      <c r="D190" s="78">
        <f>IF(OR(B190="DISM", B190="JWV", B190="JUV", B190="CIV"), 0, 'CASE DATA'!Q190+'CASE DATA'!R190)</f>
        <v>0</v>
      </c>
    </row>
    <row r="191" spans="1:4" x14ac:dyDescent="0.25">
      <c r="A191" s="57" t="str">
        <f>IF('CASE DATA'!A191="","",'CASE DATA'!A191)</f>
        <v/>
      </c>
      <c r="B191" s="62" t="str">
        <f>IF('CASE DATA'!A191&lt;&gt;"",IF('CASE DATA'!G191=0, "open charge", 'CASE DATA'!G191),"")</f>
        <v/>
      </c>
      <c r="C191" s="75">
        <f>IF(OR(B191="DISM",B191="JWV",B191="JUV",B191="CIV"),SUM('CASE DATA'!J191:S191),SUM('CASE DATA'!J191:P191)+'CASE DATA'!S191)</f>
        <v>0</v>
      </c>
      <c r="D191" s="78">
        <f>IF(OR(B191="DISM", B191="JWV", B191="JUV", B191="CIV"), 0, 'CASE DATA'!Q191+'CASE DATA'!R191)</f>
        <v>0</v>
      </c>
    </row>
    <row r="192" spans="1:4" x14ac:dyDescent="0.25">
      <c r="A192" s="57" t="str">
        <f>IF('CASE DATA'!A192="","",'CASE DATA'!A192)</f>
        <v/>
      </c>
      <c r="B192" s="62" t="str">
        <f>IF('CASE DATA'!A192&lt;&gt;"",IF('CASE DATA'!G192=0, "open charge", 'CASE DATA'!G192),"")</f>
        <v/>
      </c>
      <c r="C192" s="75">
        <f>IF(OR(B192="DISM",B192="JWV",B192="JUV",B192="CIV"),SUM('CASE DATA'!J192:S192),SUM('CASE DATA'!J192:P192)+'CASE DATA'!S192)</f>
        <v>0</v>
      </c>
      <c r="D192" s="78">
        <f>IF(OR(B192="DISM", B192="JWV", B192="JUV", B192="CIV"), 0, 'CASE DATA'!Q192+'CASE DATA'!R192)</f>
        <v>0</v>
      </c>
    </row>
    <row r="193" spans="1:4" x14ac:dyDescent="0.25">
      <c r="A193" s="57" t="str">
        <f>IF('CASE DATA'!A193="","",'CASE DATA'!A193)</f>
        <v/>
      </c>
      <c r="B193" s="62" t="str">
        <f>IF('CASE DATA'!A193&lt;&gt;"",IF('CASE DATA'!G193=0, "open charge", 'CASE DATA'!G193),"")</f>
        <v/>
      </c>
      <c r="C193" s="75">
        <f>IF(OR(B193="DISM",B193="JWV",B193="JUV",B193="CIV"),SUM('CASE DATA'!J193:S193),SUM('CASE DATA'!J193:P193)+'CASE DATA'!S193)</f>
        <v>0</v>
      </c>
      <c r="D193" s="78">
        <f>IF(OR(B193="DISM", B193="JWV", B193="JUV", B193="CIV"), 0, 'CASE DATA'!Q193+'CASE DATA'!R193)</f>
        <v>0</v>
      </c>
    </row>
    <row r="194" spans="1:4" x14ac:dyDescent="0.25">
      <c r="A194" s="57" t="str">
        <f>IF('CASE DATA'!A194="","",'CASE DATA'!A194)</f>
        <v/>
      </c>
      <c r="B194" s="62" t="str">
        <f>IF('CASE DATA'!A194&lt;&gt;"",IF('CASE DATA'!G194=0, "open charge", 'CASE DATA'!G194),"")</f>
        <v/>
      </c>
      <c r="C194" s="75">
        <f>IF(OR(B194="DISM",B194="JWV",B194="JUV",B194="CIV"),SUM('CASE DATA'!J194:S194),SUM('CASE DATA'!J194:P194)+'CASE DATA'!S194)</f>
        <v>0</v>
      </c>
      <c r="D194" s="78">
        <f>IF(OR(B194="DISM", B194="JWV", B194="JUV", B194="CIV"), 0, 'CASE DATA'!Q194+'CASE DATA'!R194)</f>
        <v>0</v>
      </c>
    </row>
    <row r="195" spans="1:4" x14ac:dyDescent="0.25">
      <c r="A195" s="57" t="str">
        <f>IF('CASE DATA'!A195="","",'CASE DATA'!A195)</f>
        <v/>
      </c>
      <c r="B195" s="62" t="str">
        <f>IF('CASE DATA'!A195&lt;&gt;"",IF('CASE DATA'!G195=0, "open charge", 'CASE DATA'!G195),"")</f>
        <v/>
      </c>
      <c r="C195" s="75">
        <f>IF(OR(B195="DISM",B195="JWV",B195="JUV",B195="CIV"),SUM('CASE DATA'!J195:S195),SUM('CASE DATA'!J195:P195)+'CASE DATA'!S195)</f>
        <v>0</v>
      </c>
      <c r="D195" s="78">
        <f>IF(OR(B195="DISM", B195="JWV", B195="JUV", B195="CIV"), 0, 'CASE DATA'!Q195+'CASE DATA'!R195)</f>
        <v>0</v>
      </c>
    </row>
    <row r="196" spans="1:4" x14ac:dyDescent="0.25">
      <c r="A196" s="57" t="str">
        <f>IF('CASE DATA'!A196="","",'CASE DATA'!A196)</f>
        <v/>
      </c>
      <c r="B196" s="62" t="str">
        <f>IF('CASE DATA'!A196&lt;&gt;"",IF('CASE DATA'!G196=0, "open charge", 'CASE DATA'!G196),"")</f>
        <v/>
      </c>
      <c r="C196" s="75">
        <f>IF(OR(B196="DISM",B196="JWV",B196="JUV",B196="CIV"),SUM('CASE DATA'!J196:S196),SUM('CASE DATA'!J196:P196)+'CASE DATA'!S196)</f>
        <v>0</v>
      </c>
      <c r="D196" s="78">
        <f>IF(OR(B196="DISM", B196="JWV", B196="JUV", B196="CIV"), 0, 'CASE DATA'!Q196+'CASE DATA'!R196)</f>
        <v>0</v>
      </c>
    </row>
    <row r="197" spans="1:4" x14ac:dyDescent="0.25">
      <c r="A197" s="57" t="str">
        <f>IF('CASE DATA'!A197="","",'CASE DATA'!A197)</f>
        <v/>
      </c>
      <c r="B197" s="62" t="str">
        <f>IF('CASE DATA'!A197&lt;&gt;"",IF('CASE DATA'!G197=0, "open charge", 'CASE DATA'!G197),"")</f>
        <v/>
      </c>
      <c r="C197" s="75">
        <f>IF(OR(B197="DISM",B197="JWV",B197="JUV",B197="CIV"),SUM('CASE DATA'!J197:S197),SUM('CASE DATA'!J197:P197)+'CASE DATA'!S197)</f>
        <v>0</v>
      </c>
      <c r="D197" s="78">
        <f>IF(OR(B197="DISM", B197="JWV", B197="JUV", B197="CIV"), 0, 'CASE DATA'!Q197+'CASE DATA'!R197)</f>
        <v>0</v>
      </c>
    </row>
    <row r="198" spans="1:4" x14ac:dyDescent="0.25">
      <c r="A198" s="57" t="str">
        <f>IF('CASE DATA'!A198="","",'CASE DATA'!A198)</f>
        <v/>
      </c>
      <c r="B198" s="62" t="str">
        <f>IF('CASE DATA'!A198&lt;&gt;"",IF('CASE DATA'!G198=0, "open charge", 'CASE DATA'!G198),"")</f>
        <v/>
      </c>
      <c r="C198" s="75">
        <f>IF(OR(B198="DISM",B198="JWV",B198="JUV",B198="CIV"),SUM('CASE DATA'!J198:S198),SUM('CASE DATA'!J198:P198)+'CASE DATA'!S198)</f>
        <v>0</v>
      </c>
      <c r="D198" s="78">
        <f>IF(OR(B198="DISM", B198="JWV", B198="JUV", B198="CIV"), 0, 'CASE DATA'!Q198+'CASE DATA'!R198)</f>
        <v>0</v>
      </c>
    </row>
    <row r="199" spans="1:4" x14ac:dyDescent="0.25">
      <c r="A199" s="57" t="str">
        <f>IF('CASE DATA'!A199="","",'CASE DATA'!A199)</f>
        <v/>
      </c>
      <c r="B199" s="62" t="str">
        <f>IF('CASE DATA'!A199&lt;&gt;"",IF('CASE DATA'!G199=0, "open charge", 'CASE DATA'!G199),"")</f>
        <v/>
      </c>
      <c r="C199" s="75">
        <f>IF(OR(B199="DISM",B199="JWV",B199="JUV",B199="CIV"),SUM('CASE DATA'!J199:S199),SUM('CASE DATA'!J199:P199)+'CASE DATA'!S199)</f>
        <v>0</v>
      </c>
      <c r="D199" s="78">
        <f>IF(OR(B199="DISM", B199="JWV", B199="JUV", B199="CIV"), 0, 'CASE DATA'!Q199+'CASE DATA'!R199)</f>
        <v>0</v>
      </c>
    </row>
    <row r="200" spans="1:4" x14ac:dyDescent="0.25">
      <c r="A200" s="57" t="str">
        <f>IF('CASE DATA'!A200="","",'CASE DATA'!A200)</f>
        <v/>
      </c>
      <c r="B200" s="62" t="str">
        <f>IF('CASE DATA'!A200&lt;&gt;"",IF('CASE DATA'!G200=0, "open charge", 'CASE DATA'!G200),"")</f>
        <v/>
      </c>
      <c r="C200" s="75">
        <f>IF(OR(B200="DISM",B200="JWV",B200="JUV",B200="CIV"),SUM('CASE DATA'!J200:S200),SUM('CASE DATA'!J200:P200)+'CASE DATA'!S200)</f>
        <v>0</v>
      </c>
      <c r="D200" s="78">
        <f>IF(OR(B200="DISM", B200="JWV", B200="JUV", B200="CIV"), 0, 'CASE DATA'!Q200+'CASE DATA'!R200)</f>
        <v>0</v>
      </c>
    </row>
  </sheetData>
  <mergeCells count="3">
    <mergeCell ref="A1:B1"/>
    <mergeCell ref="A2:A3"/>
    <mergeCell ref="B2:D2"/>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0"/>
  <sheetViews>
    <sheetView zoomScaleNormal="100" workbookViewId="0">
      <pane ySplit="1" topLeftCell="A2" activePane="bottomLeft" state="frozen"/>
      <selection pane="bottomLeft" activeCell="I20" sqref="I20"/>
    </sheetView>
  </sheetViews>
  <sheetFormatPr defaultColWidth="8.7109375" defaultRowHeight="15" x14ac:dyDescent="0.25"/>
  <cols>
    <col min="1" max="6" width="20.7109375" customWidth="1"/>
    <col min="7" max="7" width="14.7109375" customWidth="1"/>
    <col min="8" max="8" width="10.5703125" customWidth="1"/>
  </cols>
  <sheetData>
    <row r="1" spans="1:9" x14ac:dyDescent="0.25">
      <c r="A1" s="95" t="s">
        <v>10</v>
      </c>
      <c r="B1" s="95"/>
      <c r="C1" s="65">
        <f>SUM(C4:C100)</f>
        <v>0</v>
      </c>
      <c r="D1" s="83">
        <f>SUM(D4:D100)</f>
        <v>0</v>
      </c>
      <c r="E1" s="67">
        <f>SUM(E4:E100)</f>
        <v>0</v>
      </c>
      <c r="F1" s="68">
        <f>SUM(F4:F100)</f>
        <v>0</v>
      </c>
      <c r="G1" s="32">
        <f>SUM(C1:F1)</f>
        <v>0</v>
      </c>
    </row>
    <row r="2" spans="1:9" x14ac:dyDescent="0.25">
      <c r="A2" s="97" t="s">
        <v>43</v>
      </c>
      <c r="B2" s="96" t="s">
        <v>79</v>
      </c>
      <c r="C2" s="96"/>
      <c r="D2" s="96"/>
      <c r="E2" s="96"/>
      <c r="F2" s="96"/>
    </row>
    <row r="3" spans="1:9" x14ac:dyDescent="0.25">
      <c r="A3" s="97"/>
      <c r="B3" s="70" t="s">
        <v>68</v>
      </c>
      <c r="C3" s="71" t="s">
        <v>80</v>
      </c>
      <c r="D3" s="84" t="s">
        <v>81</v>
      </c>
      <c r="E3" s="73" t="s">
        <v>82</v>
      </c>
      <c r="F3" s="74" t="s">
        <v>83</v>
      </c>
      <c r="G3" s="32"/>
    </row>
    <row r="4" spans="1:9" x14ac:dyDescent="0.25">
      <c r="A4" s="57" t="str">
        <f>IF('CASE DATA'!A4="","",'CASE DATA'!A4)</f>
        <v/>
      </c>
      <c r="B4" s="62" t="str">
        <f>IF('CASE DATA'!A4&lt;&gt;"",IF('CASE DATA'!G4=0, "open charge", 'CASE DATA'!G4),"")</f>
        <v/>
      </c>
      <c r="C4" s="75">
        <f>IFERROR(IF('CASE DATA'!D4+7300&lt;'BASIC INFO'!$B$3,'CASE DATA'!J4+'CASE DATA'!K4,0),0)</f>
        <v>0</v>
      </c>
      <c r="D4" s="85">
        <f>IFERROR(IF('CASE DATA'!D4+7300&lt;DATE(2010,1,1),SUM('CASE DATA'!K4:S4),0),0)</f>
        <v>0</v>
      </c>
      <c r="E4" s="77">
        <f>IF(D4=0,IF('CASE DATA'!D4+7300&lt;'BASIC INFO'!$B$3,SUM('CASE DATA'!K4:S4),0),0)</f>
        <v>0</v>
      </c>
      <c r="F4" s="78">
        <f>IFERROR(IF('CASE DATA'!D4+7300&gt;'BASIC INFO'!$B$3,SUM('CASE DATA'!J4:S4),0),0)</f>
        <v>0</v>
      </c>
    </row>
    <row r="5" spans="1:9" x14ac:dyDescent="0.25">
      <c r="A5" s="57" t="str">
        <f>IF('CASE DATA'!A5="","",'CASE DATA'!A5)</f>
        <v/>
      </c>
      <c r="B5" s="62" t="str">
        <f>IF('CASE DATA'!A5&lt;&gt;"",IF('CASE DATA'!G5=0, "open charge", 'CASE DATA'!G5),"")</f>
        <v/>
      </c>
      <c r="C5" s="75">
        <f>IFERROR(IF('CASE DATA'!D5+7300&lt;'BASIC INFO'!$B$3,'CASE DATA'!J5+'CASE DATA'!K5,0),0)</f>
        <v>0</v>
      </c>
      <c r="D5" s="85">
        <f>IFERROR(IF('CASE DATA'!D5+7300&lt;DATE(2010,1,1),SUM('CASE DATA'!K5:S5),0),0)</f>
        <v>0</v>
      </c>
      <c r="E5" s="77">
        <f>IF(D5=0,IF('CASE DATA'!D5+7300&lt;'BASIC INFO'!$B$3,SUM('CASE DATA'!K5:S5),0),0)</f>
        <v>0</v>
      </c>
      <c r="F5" s="78">
        <f>IFERROR(IF('CASE DATA'!D5+7300&gt;'BASIC INFO'!$B$3,SUM('CASE DATA'!J5:S5),0),0)</f>
        <v>0</v>
      </c>
    </row>
    <row r="6" spans="1:9" x14ac:dyDescent="0.25">
      <c r="A6" s="57" t="str">
        <f>IF('CASE DATA'!A6="","",'CASE DATA'!A6)</f>
        <v/>
      </c>
      <c r="B6" s="62" t="str">
        <f>IF('CASE DATA'!A6&lt;&gt;"",IF('CASE DATA'!G6=0, "open charge", 'CASE DATA'!G6),"")</f>
        <v/>
      </c>
      <c r="C6" s="75">
        <f>IFERROR(IF('CASE DATA'!D6+7300&lt;'BASIC INFO'!$B$3,'CASE DATA'!J6+'CASE DATA'!K6,0),0)</f>
        <v>0</v>
      </c>
      <c r="D6" s="85">
        <f>IFERROR(IF('CASE DATA'!D6+7300&lt;DATE(2010,1,1),SUM('CASE DATA'!K6:S6),0),0)</f>
        <v>0</v>
      </c>
      <c r="E6" s="77">
        <f>IF(D6=0,IF('CASE DATA'!D6+7300&lt;'BASIC INFO'!$B$3,SUM('CASE DATA'!K6:S6),0),0)</f>
        <v>0</v>
      </c>
      <c r="F6" s="78">
        <f>IFERROR(IF('CASE DATA'!D6+7300&gt;'BASIC INFO'!$B$3,SUM('CASE DATA'!J6:S6),0),0)</f>
        <v>0</v>
      </c>
    </row>
    <row r="7" spans="1:9" x14ac:dyDescent="0.25">
      <c r="A7" s="57" t="str">
        <f>IF('CASE DATA'!A7="","",'CASE DATA'!A7)</f>
        <v/>
      </c>
      <c r="B7" s="62" t="str">
        <f>IF('CASE DATA'!A7&lt;&gt;"",IF('CASE DATA'!G7=0, "open charge", 'CASE DATA'!G7),"")</f>
        <v/>
      </c>
      <c r="C7" s="75">
        <f>IFERROR(IF('CASE DATA'!D7+7300&lt;'BASIC INFO'!$B$3,'CASE DATA'!J7+'CASE DATA'!K7,0),0)</f>
        <v>0</v>
      </c>
      <c r="D7" s="85">
        <f>IFERROR(IF('CASE DATA'!D7+7300&lt;DATE(2010,1,1),SUM('CASE DATA'!K7:S7),0),0)</f>
        <v>0</v>
      </c>
      <c r="E7" s="77">
        <f>IF(D7=0,IF('CASE DATA'!D7+7300&lt;'BASIC INFO'!$B$3,SUM('CASE DATA'!K7:S7),0),0)</f>
        <v>0</v>
      </c>
      <c r="F7" s="78">
        <f>IFERROR(IF('CASE DATA'!D7+7300&gt;'BASIC INFO'!$B$3,SUM('CASE DATA'!J7:S7),0),0)</f>
        <v>0</v>
      </c>
    </row>
    <row r="8" spans="1:9" x14ac:dyDescent="0.25">
      <c r="A8" s="57" t="str">
        <f>IF('CASE DATA'!A8="","",'CASE DATA'!A8)</f>
        <v/>
      </c>
      <c r="B8" s="62" t="str">
        <f>IF('CASE DATA'!A8&lt;&gt;"",IF('CASE DATA'!G8=0, "open charge", 'CASE DATA'!G8),"")</f>
        <v/>
      </c>
      <c r="C8" s="75">
        <f>IFERROR(IF('CASE DATA'!D8+7300&lt;'BASIC INFO'!$B$3,'CASE DATA'!J8+'CASE DATA'!K8,0),0)</f>
        <v>0</v>
      </c>
      <c r="D8" s="85">
        <f>IFERROR(IF('CASE DATA'!D8+7300&lt;DATE(2010,1,1),SUM('CASE DATA'!K8:S8),0),0)</f>
        <v>0</v>
      </c>
      <c r="E8" s="77">
        <f>IF(D8=0,IF('CASE DATA'!D8+7300&lt;'BASIC INFO'!$B$3,SUM('CASE DATA'!K8:S8),0),0)</f>
        <v>0</v>
      </c>
      <c r="F8" s="78">
        <f>IFERROR(IF('CASE DATA'!D8+7300&gt;'BASIC INFO'!$B$3,SUM('CASE DATA'!J8:S8),0),0)</f>
        <v>0</v>
      </c>
    </row>
    <row r="9" spans="1:9" x14ac:dyDescent="0.25">
      <c r="A9" s="57" t="str">
        <f>IF('CASE DATA'!A9="","",'CASE DATA'!A9)</f>
        <v/>
      </c>
      <c r="B9" s="62" t="str">
        <f>IF('CASE DATA'!A9&lt;&gt;"",IF('CASE DATA'!G9=0, "open charge", 'CASE DATA'!G9),"")</f>
        <v/>
      </c>
      <c r="C9" s="75">
        <f>IFERROR(IF('CASE DATA'!D9+7300&lt;'BASIC INFO'!$B$3,'CASE DATA'!J9+'CASE DATA'!K9,0),0)</f>
        <v>0</v>
      </c>
      <c r="D9" s="85">
        <f>IFERROR(IF('CASE DATA'!D9+7300&lt;DATE(2010,1,1),SUM('CASE DATA'!K9:S9),0),0)</f>
        <v>0</v>
      </c>
      <c r="E9" s="77">
        <f>IF(D9=0,IF('CASE DATA'!D9+7300&lt;'BASIC INFO'!$B$3,SUM('CASE DATA'!K9:S9),0),0)</f>
        <v>0</v>
      </c>
      <c r="F9" s="78">
        <f>IFERROR(IF('CASE DATA'!D9+7300&gt;'BASIC INFO'!$B$3,SUM('CASE DATA'!J9:S9),0),0)</f>
        <v>0</v>
      </c>
    </row>
    <row r="10" spans="1:9" x14ac:dyDescent="0.25">
      <c r="A10" s="57" t="str">
        <f>IF('CASE DATA'!A10="","",'CASE DATA'!A10)</f>
        <v/>
      </c>
      <c r="B10" s="62" t="str">
        <f>IF('CASE DATA'!A10&lt;&gt;"",IF('CASE DATA'!G10=0, "open charge", 'CASE DATA'!G10),"")</f>
        <v/>
      </c>
      <c r="C10" s="75">
        <f>IFERROR(IF('CASE DATA'!D10+7300&lt;'BASIC INFO'!$B$3,'CASE DATA'!J10+'CASE DATA'!K10,0),0)</f>
        <v>0</v>
      </c>
      <c r="D10" s="85">
        <f>IFERROR(IF('CASE DATA'!D10+7300&lt;DATE(2010,1,1),SUM('CASE DATA'!K10:S10),0),0)</f>
        <v>0</v>
      </c>
      <c r="E10" s="77">
        <f>IF(D10=0,IF('CASE DATA'!D10+7300&lt;'BASIC INFO'!$B$3,SUM('CASE DATA'!K10:S10),0),0)</f>
        <v>0</v>
      </c>
      <c r="F10" s="78">
        <f>IFERROR(IF('CASE DATA'!D10+7300&gt;'BASIC INFO'!$B$3,SUM('CASE DATA'!J10:S10),0),0)</f>
        <v>0</v>
      </c>
    </row>
    <row r="11" spans="1:9" x14ac:dyDescent="0.25">
      <c r="A11" s="57" t="str">
        <f>IF('CASE DATA'!A11="","",'CASE DATA'!A11)</f>
        <v/>
      </c>
      <c r="B11" s="62" t="str">
        <f>IF('CASE DATA'!A11&lt;&gt;"",IF('CASE DATA'!G11=0, "open charge", 'CASE DATA'!G11),"")</f>
        <v/>
      </c>
      <c r="C11" s="75">
        <f>IFERROR(IF('CASE DATA'!D11+7300&lt;'BASIC INFO'!$B$3,'CASE DATA'!J11+'CASE DATA'!K11,0),0)</f>
        <v>0</v>
      </c>
      <c r="D11" s="85">
        <f>IFERROR(IF('CASE DATA'!D11+7300&lt;DATE(2010,1,1),SUM('CASE DATA'!K11:S11),0),0)</f>
        <v>0</v>
      </c>
      <c r="E11" s="77">
        <f>IF(D11=0,IF('CASE DATA'!D11+7300&lt;'BASIC INFO'!$B$3,SUM('CASE DATA'!K11:S11),0),0)</f>
        <v>0</v>
      </c>
      <c r="F11" s="78">
        <f>IFERROR(IF('CASE DATA'!D11+7300&gt;'BASIC INFO'!$B$3,SUM('CASE DATA'!J11:S11),0),0)</f>
        <v>0</v>
      </c>
    </row>
    <row r="12" spans="1:9" x14ac:dyDescent="0.25">
      <c r="A12" s="57" t="str">
        <f>IF('CASE DATA'!A12="","",'CASE DATA'!A12)</f>
        <v/>
      </c>
      <c r="B12" s="62" t="str">
        <f>IF('CASE DATA'!A12&lt;&gt;"",IF('CASE DATA'!G12=0, "open charge", 'CASE DATA'!G12),"")</f>
        <v/>
      </c>
      <c r="C12" s="75">
        <f>IFERROR(IF('CASE DATA'!D12+7300&lt;'BASIC INFO'!$B$3,'CASE DATA'!J12+'CASE DATA'!K12,0),0)</f>
        <v>0</v>
      </c>
      <c r="D12" s="85">
        <f>IFERROR(IF('CASE DATA'!D12+7300&lt;DATE(2010,1,1),SUM('CASE DATA'!K12:S12),0),0)</f>
        <v>0</v>
      </c>
      <c r="E12" s="77">
        <f>IF(D12=0,IF('CASE DATA'!D12+7300&lt;'BASIC INFO'!$B$3,SUM('CASE DATA'!K12:S12),0),0)</f>
        <v>0</v>
      </c>
      <c r="F12" s="78">
        <f>IFERROR(IF('CASE DATA'!D12+7300&gt;'BASIC INFO'!$B$3,SUM('CASE DATA'!J12:S12),0),0)</f>
        <v>0</v>
      </c>
    </row>
    <row r="13" spans="1:9" x14ac:dyDescent="0.25">
      <c r="A13" s="57" t="str">
        <f>IF('CASE DATA'!A13="","",'CASE DATA'!A13)</f>
        <v/>
      </c>
      <c r="B13" s="62" t="str">
        <f>IF('CASE DATA'!A13&lt;&gt;"",IF('CASE DATA'!G13=0, "open charge", 'CASE DATA'!G13),"")</f>
        <v/>
      </c>
      <c r="C13" s="75">
        <f>IFERROR(IF('CASE DATA'!D13+7300&lt;'BASIC INFO'!$B$3,'CASE DATA'!J13+'CASE DATA'!K13,0),0)</f>
        <v>0</v>
      </c>
      <c r="D13" s="85">
        <f>IFERROR(IF('CASE DATA'!D13+7300&lt;DATE(2010,1,1),SUM('CASE DATA'!K13:S13),0),0)</f>
        <v>0</v>
      </c>
      <c r="E13" s="77">
        <f>IF(D13=0,IF('CASE DATA'!D13+7300&lt;'BASIC INFO'!$B$3,SUM('CASE DATA'!K13:S13),0),0)</f>
        <v>0</v>
      </c>
      <c r="F13" s="78">
        <f>IFERROR(IF('CASE DATA'!D13+7300&gt;'BASIC INFO'!$B$3,SUM('CASE DATA'!J13:S13),0),0)</f>
        <v>0</v>
      </c>
    </row>
    <row r="14" spans="1:9" x14ac:dyDescent="0.25">
      <c r="A14" s="57" t="str">
        <f>IF('CASE DATA'!A14="","",'CASE DATA'!A14)</f>
        <v/>
      </c>
      <c r="B14" s="62" t="str">
        <f>IF('CASE DATA'!A14&lt;&gt;"",IF('CASE DATA'!G14=0, "open charge", 'CASE DATA'!G14),"")</f>
        <v/>
      </c>
      <c r="C14" s="75">
        <f>IFERROR(IF('CASE DATA'!D14+7300&lt;'BASIC INFO'!$B$3,'CASE DATA'!J14+'CASE DATA'!K14,0),0)</f>
        <v>0</v>
      </c>
      <c r="D14" s="85">
        <f>IFERROR(IF('CASE DATA'!D14+7300&lt;DATE(2010,1,1),SUM('CASE DATA'!K14:S14),0),0)</f>
        <v>0</v>
      </c>
      <c r="E14" s="77">
        <f>IF(D14=0,IF('CASE DATA'!D14+7300&lt;'BASIC INFO'!$B$3,SUM('CASE DATA'!K14:S14),0),0)</f>
        <v>0</v>
      </c>
      <c r="F14" s="78">
        <f>IFERROR(IF('CASE DATA'!D14+7300&gt;'BASIC INFO'!$B$3,SUM('CASE DATA'!J14:S14),0),0)</f>
        <v>0</v>
      </c>
      <c r="G14" s="24">
        <f>'CASE DATA'!D14+7300</f>
        <v>7300</v>
      </c>
      <c r="H14" s="24">
        <f>'BASIC INFO'!$B$3</f>
        <v>0</v>
      </c>
      <c r="I14" t="b">
        <f>G14&gt;H14</f>
        <v>1</v>
      </c>
    </row>
    <row r="15" spans="1:9" x14ac:dyDescent="0.25">
      <c r="A15" s="57" t="str">
        <f>IF('CASE DATA'!A15="","",'CASE DATA'!A15)</f>
        <v/>
      </c>
      <c r="B15" s="62" t="str">
        <f>IF('CASE DATA'!A15&lt;&gt;"",IF('CASE DATA'!G15=0, "open charge", 'CASE DATA'!G15),"")</f>
        <v/>
      </c>
      <c r="C15" s="75">
        <f>IFERROR(IF('CASE DATA'!D15+7300&lt;'BASIC INFO'!$B$3,'CASE DATA'!J15+'CASE DATA'!K15,0),0)</f>
        <v>0</v>
      </c>
      <c r="D15" s="85">
        <f>IFERROR(IF('CASE DATA'!D15+7300&lt;DATE(2010,1,1),SUM('CASE DATA'!K15:S15),0),0)</f>
        <v>0</v>
      </c>
      <c r="E15" s="77">
        <f>IF(D15=0,IF('CASE DATA'!D15+7300&lt;'BASIC INFO'!$B$3,SUM('CASE DATA'!K15:S15),0),0)</f>
        <v>0</v>
      </c>
      <c r="F15" s="78">
        <f>IFERROR(IF('CASE DATA'!D15+7300&gt;'BASIC INFO'!$B$3,SUM('CASE DATA'!J15:S15),0),0)</f>
        <v>0</v>
      </c>
    </row>
    <row r="16" spans="1:9" x14ac:dyDescent="0.25">
      <c r="A16" s="57" t="str">
        <f>IF('CASE DATA'!A16="","",'CASE DATA'!A16)</f>
        <v/>
      </c>
      <c r="B16" s="62" t="str">
        <f>IF('CASE DATA'!A16&lt;&gt;"",IF('CASE DATA'!G16=0, "open charge", 'CASE DATA'!G16),"")</f>
        <v/>
      </c>
      <c r="C16" s="75">
        <f>IFERROR(IF('CASE DATA'!D16+7300&lt;'BASIC INFO'!$B$3,'CASE DATA'!J16+'CASE DATA'!K16,0),0)</f>
        <v>0</v>
      </c>
      <c r="D16" s="85">
        <f>IFERROR(IF('CASE DATA'!D16+7300&lt;DATE(2010,1,1),SUM('CASE DATA'!K16:S16),0),0)</f>
        <v>0</v>
      </c>
      <c r="E16" s="77">
        <f>IF(D16=0,IF('CASE DATA'!D16+7300&lt;'BASIC INFO'!$B$3,SUM('CASE DATA'!K16:S16),0),0)</f>
        <v>0</v>
      </c>
      <c r="F16" s="78">
        <f>IFERROR(IF('CASE DATA'!D16+7300&gt;'BASIC INFO'!$B$3,SUM('CASE DATA'!J16:S16),0),0)</f>
        <v>0</v>
      </c>
    </row>
    <row r="17" spans="1:6" x14ac:dyDescent="0.25">
      <c r="A17" s="57" t="str">
        <f>IF('CASE DATA'!A17="","",'CASE DATA'!A17)</f>
        <v/>
      </c>
      <c r="B17" s="62" t="str">
        <f>IF('CASE DATA'!A17&lt;&gt;"",IF('CASE DATA'!G17=0, "open charge", 'CASE DATA'!G17),"")</f>
        <v/>
      </c>
      <c r="C17" s="75">
        <f>IFERROR(IF('CASE DATA'!D17+7300&lt;'BASIC INFO'!$B$3,'CASE DATA'!J17+'CASE DATA'!K17,0),0)</f>
        <v>0</v>
      </c>
      <c r="D17" s="85">
        <f>IFERROR(IF('CASE DATA'!D17+7300&lt;DATE(2010,1,1),SUM('CASE DATA'!K17:S17),0),0)</f>
        <v>0</v>
      </c>
      <c r="E17" s="77">
        <f>IF(D17=0,IF('CASE DATA'!D17+7300&lt;'BASIC INFO'!$B$3,SUM('CASE DATA'!K17:S17),0),0)</f>
        <v>0</v>
      </c>
      <c r="F17" s="78">
        <f>IFERROR(IF('CASE DATA'!D17+7300&gt;'BASIC INFO'!$B$3,SUM('CASE DATA'!J17:S17),0),0)</f>
        <v>0</v>
      </c>
    </row>
    <row r="18" spans="1:6" x14ac:dyDescent="0.25">
      <c r="A18" s="57" t="str">
        <f>IF('CASE DATA'!A18="","",'CASE DATA'!A18)</f>
        <v/>
      </c>
      <c r="B18" s="62" t="str">
        <f>IF('CASE DATA'!A18&lt;&gt;"",IF('CASE DATA'!G18=0, "open charge", 'CASE DATA'!G18),"")</f>
        <v/>
      </c>
      <c r="C18" s="75">
        <f>IFERROR(IF('CASE DATA'!D18+7300&lt;'BASIC INFO'!$B$3,'CASE DATA'!J18+'CASE DATA'!K18,0),0)</f>
        <v>0</v>
      </c>
      <c r="D18" s="85">
        <f>IFERROR(IF('CASE DATA'!D18+7300&lt;DATE(2010,1,1),SUM('CASE DATA'!K18:S18),0),0)</f>
        <v>0</v>
      </c>
      <c r="E18" s="77">
        <f>IF(D18=0,IF('CASE DATA'!D18+7300&lt;'BASIC INFO'!$B$3,SUM('CASE DATA'!K18:S18),0),0)</f>
        <v>0</v>
      </c>
      <c r="F18" s="78">
        <f>IFERROR(IF('CASE DATA'!D18+7300&gt;'BASIC INFO'!$B$3,SUM('CASE DATA'!J18:S18),0),0)</f>
        <v>0</v>
      </c>
    </row>
    <row r="19" spans="1:6" x14ac:dyDescent="0.25">
      <c r="A19" s="57" t="str">
        <f>IF('CASE DATA'!A19="","",'CASE DATA'!A19)</f>
        <v/>
      </c>
      <c r="B19" s="62" t="str">
        <f>IF('CASE DATA'!A19&lt;&gt;"",IF('CASE DATA'!G19=0, "open charge", 'CASE DATA'!G19),"")</f>
        <v/>
      </c>
      <c r="C19" s="75">
        <f>IFERROR(IF('CASE DATA'!D19+7300&lt;'BASIC INFO'!$B$3,'CASE DATA'!J19+'CASE DATA'!K19,0),0)</f>
        <v>0</v>
      </c>
      <c r="D19" s="85">
        <f>IFERROR(IF('CASE DATA'!D19+7300&lt;DATE(2010,1,1),SUM('CASE DATA'!K19:S19),0),0)</f>
        <v>0</v>
      </c>
      <c r="E19" s="77">
        <f>IF(D19=0,IF('CASE DATA'!D19+7300&lt;'BASIC INFO'!$B$3,SUM('CASE DATA'!K19:S19),0),0)</f>
        <v>0</v>
      </c>
      <c r="F19" s="78">
        <f>IFERROR(IF('CASE DATA'!D19+7300&gt;'BASIC INFO'!$B$3,SUM('CASE DATA'!J19:S19),0),0)</f>
        <v>0</v>
      </c>
    </row>
    <row r="20" spans="1:6" x14ac:dyDescent="0.25">
      <c r="A20" s="57" t="str">
        <f>IF('CASE DATA'!A20="","",'CASE DATA'!A20)</f>
        <v/>
      </c>
      <c r="B20" s="62" t="str">
        <f>IF('CASE DATA'!A20&lt;&gt;"",IF('CASE DATA'!G20=0, "open charge", 'CASE DATA'!G20),"")</f>
        <v/>
      </c>
      <c r="C20" s="75">
        <f>IFERROR(IF('CASE DATA'!D20+7300&lt;'BASIC INFO'!$B$3,'CASE DATA'!J20+'CASE DATA'!K20,0),0)</f>
        <v>0</v>
      </c>
      <c r="D20" s="85">
        <f>IFERROR(IF('CASE DATA'!D20+7300&lt;DATE(2010,1,1),SUM('CASE DATA'!K20:S20),0),0)</f>
        <v>0</v>
      </c>
      <c r="E20" s="77">
        <f>IF(D20=0,IF('CASE DATA'!D20+7300&lt;'BASIC INFO'!$B$3,SUM('CASE DATA'!K20:S20),0),0)</f>
        <v>0</v>
      </c>
      <c r="F20" s="78">
        <f>IFERROR(IF('CASE DATA'!D20+7300&gt;'BASIC INFO'!$B$3,SUM('CASE DATA'!J20:S20),0),0)</f>
        <v>0</v>
      </c>
    </row>
    <row r="21" spans="1:6" x14ac:dyDescent="0.25">
      <c r="A21" s="57" t="str">
        <f>IF('CASE DATA'!A21="","",'CASE DATA'!A21)</f>
        <v/>
      </c>
      <c r="B21" s="62" t="str">
        <f>IF('CASE DATA'!A21&lt;&gt;"",IF('CASE DATA'!G21=0, "open charge", 'CASE DATA'!G21),"")</f>
        <v/>
      </c>
      <c r="C21" s="75">
        <f>IFERROR(IF('CASE DATA'!D21+7300&lt;'BASIC INFO'!$B$3,'CASE DATA'!J21+'CASE DATA'!K21,0),0)</f>
        <v>0</v>
      </c>
      <c r="D21" s="85">
        <f>IFERROR(IF('CASE DATA'!D21+7300&lt;DATE(2010,1,1),SUM('CASE DATA'!K21:S21),0),0)</f>
        <v>0</v>
      </c>
      <c r="E21" s="77">
        <f>IF(D21=0,IF('CASE DATA'!D21+7300&lt;'BASIC INFO'!$B$3,SUM('CASE DATA'!K21:S21),0),0)</f>
        <v>0</v>
      </c>
      <c r="F21" s="78">
        <f>IFERROR(IF('CASE DATA'!D21+7300&gt;'BASIC INFO'!$B$3,SUM('CASE DATA'!J21:S21),0),0)</f>
        <v>0</v>
      </c>
    </row>
    <row r="22" spans="1:6" x14ac:dyDescent="0.25">
      <c r="A22" s="57" t="str">
        <f>IF('CASE DATA'!A22="","",'CASE DATA'!A22)</f>
        <v/>
      </c>
      <c r="B22" s="62" t="str">
        <f>IF('CASE DATA'!A22&lt;&gt;"",IF('CASE DATA'!G22=0, "open charge", 'CASE DATA'!G22),"")</f>
        <v/>
      </c>
      <c r="C22" s="75">
        <f>IFERROR(IF('CASE DATA'!D22+7300&lt;'BASIC INFO'!$B$3,'CASE DATA'!J22+'CASE DATA'!K22,0),0)</f>
        <v>0</v>
      </c>
      <c r="D22" s="85">
        <f>IFERROR(IF('CASE DATA'!D22+7300&lt;DATE(2010,1,1),SUM('CASE DATA'!K22:S22),0),0)</f>
        <v>0</v>
      </c>
      <c r="E22" s="77">
        <f>IF(D22=0,IF('CASE DATA'!D22+7300&lt;'BASIC INFO'!$B$3,SUM('CASE DATA'!K22:S22),0),0)</f>
        <v>0</v>
      </c>
      <c r="F22" s="78">
        <f>IFERROR(IF('CASE DATA'!D22+7300&gt;'BASIC INFO'!$B$3,SUM('CASE DATA'!J22:S22),0),0)</f>
        <v>0</v>
      </c>
    </row>
    <row r="23" spans="1:6" x14ac:dyDescent="0.25">
      <c r="A23" s="57" t="str">
        <f>IF('CASE DATA'!A23="","",'CASE DATA'!A23)</f>
        <v/>
      </c>
      <c r="B23" s="62" t="str">
        <f>IF('CASE DATA'!A23&lt;&gt;"",IF('CASE DATA'!G23=0, "open charge", 'CASE DATA'!G23),"")</f>
        <v/>
      </c>
      <c r="C23" s="75">
        <f>IFERROR(IF('CASE DATA'!D23+7300&lt;'BASIC INFO'!$B$3,'CASE DATA'!J23+'CASE DATA'!K23,0),0)</f>
        <v>0</v>
      </c>
      <c r="D23" s="85">
        <f>IFERROR(IF('CASE DATA'!D23+7300&lt;DATE(2010,1,1),SUM('CASE DATA'!K23:S23),0),0)</f>
        <v>0</v>
      </c>
      <c r="E23" s="77">
        <f>IF(D23=0,IF('CASE DATA'!D23+7300&lt;'BASIC INFO'!$B$3,SUM('CASE DATA'!K23:S23),0),0)</f>
        <v>0</v>
      </c>
      <c r="F23" s="78">
        <f>IFERROR(IF('CASE DATA'!D23+7300&gt;'BASIC INFO'!$B$3,SUM('CASE DATA'!J23:S23),0),0)</f>
        <v>0</v>
      </c>
    </row>
    <row r="24" spans="1:6" x14ac:dyDescent="0.25">
      <c r="A24" s="57" t="str">
        <f>IF('CASE DATA'!A24="","",'CASE DATA'!A24)</f>
        <v/>
      </c>
      <c r="B24" s="62" t="str">
        <f>IF('CASE DATA'!A24&lt;&gt;"",IF('CASE DATA'!G24=0, "open charge", 'CASE DATA'!G24),"")</f>
        <v/>
      </c>
      <c r="C24" s="75">
        <f>IFERROR(IF('CASE DATA'!D24+7300&lt;'BASIC INFO'!$B$3,'CASE DATA'!J24+'CASE DATA'!K24,0),0)</f>
        <v>0</v>
      </c>
      <c r="D24" s="85">
        <f>IFERROR(IF('CASE DATA'!D24+7300&lt;DATE(2010,1,1),SUM('CASE DATA'!K24:S24),0),0)</f>
        <v>0</v>
      </c>
      <c r="E24" s="77">
        <f>IF(D24=0,IF('CASE DATA'!D24+7300&lt;'BASIC INFO'!$B$3,SUM('CASE DATA'!K24:S24),0),0)</f>
        <v>0</v>
      </c>
      <c r="F24" s="78">
        <f>IFERROR(IF('CASE DATA'!D24+7300&gt;'BASIC INFO'!$B$3,SUM('CASE DATA'!J24:S24),0),0)</f>
        <v>0</v>
      </c>
    </row>
    <row r="25" spans="1:6" x14ac:dyDescent="0.25">
      <c r="A25" s="57" t="str">
        <f>IF('CASE DATA'!A25="","",'CASE DATA'!A25)</f>
        <v/>
      </c>
      <c r="B25" s="62" t="str">
        <f>IF('CASE DATA'!A25&lt;&gt;"",IF('CASE DATA'!G25=0, "open charge", 'CASE DATA'!G25),"")</f>
        <v/>
      </c>
      <c r="C25" s="75">
        <f>IFERROR(IF('CASE DATA'!D25+7300&lt;'BASIC INFO'!$B$3,'CASE DATA'!J25+'CASE DATA'!K25,0),0)</f>
        <v>0</v>
      </c>
      <c r="D25" s="85">
        <f>IFERROR(IF('CASE DATA'!D25+7300&lt;DATE(2010,1,1),SUM('CASE DATA'!K25:S25),0),0)</f>
        <v>0</v>
      </c>
      <c r="E25" s="77">
        <f>IF(D25=0,IF('CASE DATA'!D25+7300&lt;'BASIC INFO'!$B$3,SUM('CASE DATA'!K25:S25),0),0)</f>
        <v>0</v>
      </c>
      <c r="F25" s="78">
        <f>IFERROR(IF('CASE DATA'!D25+7300&gt;'BASIC INFO'!$B$3,SUM('CASE DATA'!J25:S25),0),0)</f>
        <v>0</v>
      </c>
    </row>
    <row r="26" spans="1:6" x14ac:dyDescent="0.25">
      <c r="A26" s="57" t="str">
        <f>IF('CASE DATA'!A26="","",'CASE DATA'!A26)</f>
        <v/>
      </c>
      <c r="B26" s="62" t="str">
        <f>IF('CASE DATA'!A26&lt;&gt;"",IF('CASE DATA'!G26=0, "open charge", 'CASE DATA'!G26),"")</f>
        <v/>
      </c>
      <c r="C26" s="75">
        <f>IFERROR(IF('CASE DATA'!D26+7300&lt;'BASIC INFO'!$B$3,'CASE DATA'!J26+'CASE DATA'!K26,0),0)</f>
        <v>0</v>
      </c>
      <c r="D26" s="85">
        <f>IFERROR(IF('CASE DATA'!D26+7300&lt;DATE(2010,1,1),SUM('CASE DATA'!K26:S26),0),0)</f>
        <v>0</v>
      </c>
      <c r="E26" s="77">
        <f>IF(D26=0,IF('CASE DATA'!D26+7300&lt;'BASIC INFO'!$B$3,SUM('CASE DATA'!K26:S26),0),0)</f>
        <v>0</v>
      </c>
      <c r="F26" s="78">
        <f>IFERROR(IF('CASE DATA'!D26+7300&gt;'BASIC INFO'!$B$3,SUM('CASE DATA'!J26:S26),0),0)</f>
        <v>0</v>
      </c>
    </row>
    <row r="27" spans="1:6" x14ac:dyDescent="0.25">
      <c r="A27" s="57" t="str">
        <f>IF('CASE DATA'!A27="","",'CASE DATA'!A27)</f>
        <v/>
      </c>
      <c r="B27" s="62" t="str">
        <f>IF('CASE DATA'!A27&lt;&gt;"",IF('CASE DATA'!G27=0, "open charge", 'CASE DATA'!G27),"")</f>
        <v/>
      </c>
      <c r="C27" s="75">
        <f>IFERROR(IF('CASE DATA'!D27+7300&lt;'BASIC INFO'!$B$3,'CASE DATA'!J27+'CASE DATA'!K27,0),0)</f>
        <v>0</v>
      </c>
      <c r="D27" s="85">
        <f>IFERROR(IF('CASE DATA'!D27+7300&lt;DATE(2010,1,1),SUM('CASE DATA'!K27:S27),0),0)</f>
        <v>0</v>
      </c>
      <c r="E27" s="77">
        <f>IF(D27=0,IF('CASE DATA'!D27+7300&lt;'BASIC INFO'!$B$3,SUM('CASE DATA'!K27:S27),0),0)</f>
        <v>0</v>
      </c>
      <c r="F27" s="78">
        <f>IFERROR(IF('CASE DATA'!D27+7300&gt;'BASIC INFO'!$B$3,SUM('CASE DATA'!J27:S27),0),0)</f>
        <v>0</v>
      </c>
    </row>
    <row r="28" spans="1:6" x14ac:dyDescent="0.25">
      <c r="A28" s="57" t="str">
        <f>IF('CASE DATA'!A28="","",'CASE DATA'!A28)</f>
        <v/>
      </c>
      <c r="B28" s="62" t="str">
        <f>IF('CASE DATA'!A28&lt;&gt;"",IF('CASE DATA'!G28=0, "open charge", 'CASE DATA'!G28),"")</f>
        <v/>
      </c>
      <c r="C28" s="75">
        <f>IFERROR(IF('CASE DATA'!D28+7300&lt;'BASIC INFO'!$B$3,'CASE DATA'!J28+'CASE DATA'!K28,0),0)</f>
        <v>0</v>
      </c>
      <c r="D28" s="85">
        <f>IFERROR(IF('CASE DATA'!D28+7300&lt;DATE(2010,1,1),SUM('CASE DATA'!K28:S28),0),0)</f>
        <v>0</v>
      </c>
      <c r="E28" s="77">
        <f>IF(D28=0,IF('CASE DATA'!D28+7300&lt;'BASIC INFO'!$B$3,SUM('CASE DATA'!K28:S28),0),0)</f>
        <v>0</v>
      </c>
      <c r="F28" s="78">
        <f>IFERROR(IF('CASE DATA'!D28+7300&gt;'BASIC INFO'!$B$3,SUM('CASE DATA'!J28:S28),0),0)</f>
        <v>0</v>
      </c>
    </row>
    <row r="29" spans="1:6" x14ac:dyDescent="0.25">
      <c r="A29" s="57" t="str">
        <f>IF('CASE DATA'!A29="","",'CASE DATA'!A29)</f>
        <v/>
      </c>
      <c r="B29" s="62" t="str">
        <f>IF('CASE DATA'!A29&lt;&gt;"",IF('CASE DATA'!G29=0, "open charge", 'CASE DATA'!G29),"")</f>
        <v/>
      </c>
      <c r="C29" s="75">
        <f>IFERROR(IF('CASE DATA'!D29+7300&lt;'BASIC INFO'!$B$3,'CASE DATA'!J29+'CASE DATA'!K29,0),0)</f>
        <v>0</v>
      </c>
      <c r="D29" s="85">
        <f>IFERROR(IF('CASE DATA'!D29+7300&lt;DATE(2010,1,1),SUM('CASE DATA'!K29:S29),0),0)</f>
        <v>0</v>
      </c>
      <c r="E29" s="77">
        <f>IF(D29=0,IF('CASE DATA'!D29+7300&lt;'BASIC INFO'!$B$3,SUM('CASE DATA'!K29:S29),0),0)</f>
        <v>0</v>
      </c>
      <c r="F29" s="78">
        <f>IFERROR(IF('CASE DATA'!D29+7300&gt;'BASIC INFO'!$B$3,SUM('CASE DATA'!J29:S29),0),0)</f>
        <v>0</v>
      </c>
    </row>
    <row r="30" spans="1:6" x14ac:dyDescent="0.25">
      <c r="A30" s="57" t="str">
        <f>IF('CASE DATA'!A30="","",'CASE DATA'!A30)</f>
        <v/>
      </c>
      <c r="B30" s="62" t="str">
        <f>IF('CASE DATA'!A30&lt;&gt;"",IF('CASE DATA'!G30=0, "open charge", 'CASE DATA'!G30),"")</f>
        <v/>
      </c>
      <c r="C30" s="75">
        <f>IFERROR(IF('CASE DATA'!D30+7300&lt;'BASIC INFO'!$B$3,'CASE DATA'!J30+'CASE DATA'!K30,0),0)</f>
        <v>0</v>
      </c>
      <c r="D30" s="85">
        <f>IFERROR(IF('CASE DATA'!D30+7300&lt;DATE(2010,1,1),SUM('CASE DATA'!K30:S30),0),0)</f>
        <v>0</v>
      </c>
      <c r="E30" s="77">
        <f>IF(D30=0,IF('CASE DATA'!D30+7300&lt;'BASIC INFO'!$B$3,SUM('CASE DATA'!K30:S30),0),0)</f>
        <v>0</v>
      </c>
      <c r="F30" s="78">
        <f>IFERROR(IF('CASE DATA'!D30+7300&gt;'BASIC INFO'!$B$3,SUM('CASE DATA'!J30:S30),0),0)</f>
        <v>0</v>
      </c>
    </row>
    <row r="31" spans="1:6" x14ac:dyDescent="0.25">
      <c r="A31" s="57" t="str">
        <f>IF('CASE DATA'!A31="","",'CASE DATA'!A31)</f>
        <v/>
      </c>
      <c r="B31" s="62" t="str">
        <f>IF('CASE DATA'!A31&lt;&gt;"",IF('CASE DATA'!G31=0, "open charge", 'CASE DATA'!G31),"")</f>
        <v/>
      </c>
      <c r="C31" s="75">
        <f>IFERROR(IF('CASE DATA'!D31+7300&lt;'BASIC INFO'!$B$3,'CASE DATA'!J31+'CASE DATA'!K31,0),0)</f>
        <v>0</v>
      </c>
      <c r="D31" s="85">
        <f>IFERROR(IF('CASE DATA'!D31+7300&lt;DATE(2010,1,1),SUM('CASE DATA'!K31:S31),0),0)</f>
        <v>0</v>
      </c>
      <c r="E31" s="77">
        <f>IF(D31=0,IF('CASE DATA'!D31+7300&lt;'BASIC INFO'!$B$3,SUM('CASE DATA'!K31:S31),0),0)</f>
        <v>0</v>
      </c>
      <c r="F31" s="78">
        <f>IFERROR(IF('CASE DATA'!D31+7300&gt;'BASIC INFO'!$B$3,SUM('CASE DATA'!J31:S31),0),0)</f>
        <v>0</v>
      </c>
    </row>
    <row r="32" spans="1:6" x14ac:dyDescent="0.25">
      <c r="A32" s="57" t="str">
        <f>IF('CASE DATA'!A32="","",'CASE DATA'!A32)</f>
        <v/>
      </c>
      <c r="B32" s="62" t="str">
        <f>IF('CASE DATA'!A32&lt;&gt;"",IF('CASE DATA'!G32=0, "open charge", 'CASE DATA'!G32),"")</f>
        <v/>
      </c>
      <c r="C32" s="75">
        <f>IFERROR(IF('CASE DATA'!D32+7300&lt;'BASIC INFO'!$B$3,'CASE DATA'!J32+'CASE DATA'!K32,0),0)</f>
        <v>0</v>
      </c>
      <c r="D32" s="85">
        <f>IFERROR(IF('CASE DATA'!D32+7300&lt;DATE(2010,1,1),SUM('CASE DATA'!K32:S32),0),0)</f>
        <v>0</v>
      </c>
      <c r="E32" s="77">
        <f>IF(D32=0,IF('CASE DATA'!D32+7300&lt;'BASIC INFO'!$B$3,SUM('CASE DATA'!K32:S32),0),0)</f>
        <v>0</v>
      </c>
      <c r="F32" s="78">
        <f>IFERROR(IF('CASE DATA'!D32+7300&gt;'BASIC INFO'!$B$3,SUM('CASE DATA'!J32:S32),0),0)</f>
        <v>0</v>
      </c>
    </row>
    <row r="33" spans="1:7" x14ac:dyDescent="0.25">
      <c r="A33" s="57" t="str">
        <f>IF('CASE DATA'!A33="","",'CASE DATA'!A33)</f>
        <v/>
      </c>
      <c r="B33" s="62" t="str">
        <f>IF('CASE DATA'!A33&lt;&gt;"",IF('CASE DATA'!G33=0, "open charge", 'CASE DATA'!G33),"")</f>
        <v/>
      </c>
      <c r="C33" s="75">
        <f>IFERROR(IF('CASE DATA'!D33+7300&lt;'BASIC INFO'!$B$3,'CASE DATA'!J33+'CASE DATA'!K33,0),0)</f>
        <v>0</v>
      </c>
      <c r="D33" s="85">
        <f>IFERROR(IF('CASE DATA'!D33+7300&lt;DATE(2010,1,1),SUM('CASE DATA'!K33:S33),0),0)</f>
        <v>0</v>
      </c>
      <c r="E33" s="77">
        <f>IF(D33=0,IF('CASE DATA'!D33+7300&lt;'BASIC INFO'!$B$3,SUM('CASE DATA'!K33:S33),0),0)</f>
        <v>0</v>
      </c>
      <c r="F33" s="78">
        <f>IFERROR(IF('CASE DATA'!D33+7300&gt;'BASIC INFO'!$B$3,SUM('CASE DATA'!J33:S33),0),0)</f>
        <v>0</v>
      </c>
    </row>
    <row r="34" spans="1:7" x14ac:dyDescent="0.25">
      <c r="A34" s="57" t="str">
        <f>IF('CASE DATA'!A34="","",'CASE DATA'!A34)</f>
        <v/>
      </c>
      <c r="B34" s="62" t="str">
        <f>IF('CASE DATA'!A34&lt;&gt;"",IF('CASE DATA'!G34=0, "open charge", 'CASE DATA'!G34),"")</f>
        <v/>
      </c>
      <c r="C34" s="75">
        <f>IFERROR(IF('CASE DATA'!D34+7300&lt;'BASIC INFO'!$B$3,'CASE DATA'!J34+'CASE DATA'!K34,0),0)</f>
        <v>0</v>
      </c>
      <c r="D34" s="85">
        <f>IFERROR(IF('CASE DATA'!D34+7300&lt;DATE(2010,1,1),SUM('CASE DATA'!K34:S34),0),0)</f>
        <v>0</v>
      </c>
      <c r="E34" s="77">
        <f>IF(D34=0,IF('CASE DATA'!D34+7300&lt;'BASIC INFO'!$B$3,SUM('CASE DATA'!K34:S34),0),0)</f>
        <v>0</v>
      </c>
      <c r="F34" s="78">
        <f>IFERROR(IF('CASE DATA'!D34+7300&gt;'BASIC INFO'!$B$3,SUM('CASE DATA'!J34:S34),0),0)</f>
        <v>0</v>
      </c>
    </row>
    <row r="35" spans="1:7" x14ac:dyDescent="0.25">
      <c r="A35" s="57" t="str">
        <f>IF('CASE DATA'!A35="","",'CASE DATA'!A35)</f>
        <v/>
      </c>
      <c r="B35" s="62" t="str">
        <f>IF('CASE DATA'!A35&lt;&gt;"",IF('CASE DATA'!G35=0, "open charge", 'CASE DATA'!G35),"")</f>
        <v/>
      </c>
      <c r="C35" s="75">
        <f>IFERROR(IF('CASE DATA'!D35+7300&lt;'BASIC INFO'!$B$3,'CASE DATA'!J35+'CASE DATA'!K35,0),0)</f>
        <v>0</v>
      </c>
      <c r="D35" s="85">
        <f>IFERROR(IF('CASE DATA'!D35+7300&lt;DATE(2010,1,1),SUM('CASE DATA'!K35:S35),0),0)</f>
        <v>0</v>
      </c>
      <c r="E35" s="77">
        <f>IF(D35=0,IF('CASE DATA'!D35+7300&lt;'BASIC INFO'!$B$3,SUM('CASE DATA'!K35:S35),0),0)</f>
        <v>0</v>
      </c>
      <c r="F35" s="78">
        <f>IFERROR(IF('CASE DATA'!D35+7300&gt;'BASIC INFO'!$B$3,SUM('CASE DATA'!J35:S35),0),0)</f>
        <v>0</v>
      </c>
    </row>
    <row r="36" spans="1:7" x14ac:dyDescent="0.25">
      <c r="A36" s="57" t="str">
        <f>IF('CASE DATA'!A36="","",'CASE DATA'!A36)</f>
        <v/>
      </c>
      <c r="B36" s="62" t="str">
        <f>IF('CASE DATA'!A36&lt;&gt;"",IF('CASE DATA'!G36=0, "open charge", 'CASE DATA'!G36),"")</f>
        <v/>
      </c>
      <c r="C36" s="75">
        <f>IFERROR(IF('CASE DATA'!D36+7300&lt;'BASIC INFO'!$B$3,'CASE DATA'!J36+'CASE DATA'!K36,0),0)</f>
        <v>0</v>
      </c>
      <c r="D36" s="85">
        <f>IFERROR(IF('CASE DATA'!D36+7300&lt;DATE(2010,1,1),SUM('CASE DATA'!K36:S36),0),0)</f>
        <v>0</v>
      </c>
      <c r="E36" s="77">
        <f>IF(D36=0,IF('CASE DATA'!D36+7300&lt;'BASIC INFO'!$B$3,SUM('CASE DATA'!K36:S36),0),0)</f>
        <v>0</v>
      </c>
      <c r="F36" s="78">
        <f>IFERROR(IF('CASE DATA'!D36+7300&gt;'BASIC INFO'!$B$3,SUM('CASE DATA'!J36:S36),0),0)</f>
        <v>0</v>
      </c>
    </row>
    <row r="37" spans="1:7" x14ac:dyDescent="0.25">
      <c r="A37" s="57" t="str">
        <f>IF('CASE DATA'!A37="","",'CASE DATA'!A37)</f>
        <v/>
      </c>
      <c r="B37" s="62" t="str">
        <f>IF('CASE DATA'!A37&lt;&gt;"",IF('CASE DATA'!G37=0, "open charge", 'CASE DATA'!G37),"")</f>
        <v/>
      </c>
      <c r="C37" s="75">
        <f>IFERROR(IF('CASE DATA'!D37+7300&lt;'BASIC INFO'!$B$3,'CASE DATA'!J37+'CASE DATA'!K37,0),0)</f>
        <v>0</v>
      </c>
      <c r="D37" s="85">
        <f>IFERROR(IF('CASE DATA'!D37+7300&lt;DATE(2010,1,1),SUM('CASE DATA'!K37:S37),0),0)</f>
        <v>0</v>
      </c>
      <c r="E37" s="77">
        <f>IF(D37=0,IF('CASE DATA'!D37+7300&lt;'BASIC INFO'!$B$3,SUM('CASE DATA'!K37:S37),0),0)</f>
        <v>0</v>
      </c>
      <c r="F37" s="78">
        <f>IFERROR(IF('CASE DATA'!D37+7300&gt;'BASIC INFO'!$B$3,SUM('CASE DATA'!J37:S37),0),0)</f>
        <v>0</v>
      </c>
    </row>
    <row r="38" spans="1:7" x14ac:dyDescent="0.25">
      <c r="A38" s="57" t="str">
        <f>IF('CASE DATA'!A38="","",'CASE DATA'!A38)</f>
        <v/>
      </c>
      <c r="B38" s="62" t="str">
        <f>IF('CASE DATA'!A38&lt;&gt;"",IF('CASE DATA'!G38=0, "open charge", 'CASE DATA'!G38),"")</f>
        <v/>
      </c>
      <c r="C38" s="75">
        <f>IFERROR(IF('CASE DATA'!D38+7300&lt;'BASIC INFO'!$B$3,'CASE DATA'!J38+'CASE DATA'!K38,0),0)</f>
        <v>0</v>
      </c>
      <c r="D38" s="85">
        <f>IFERROR(IF('CASE DATA'!D38+7300&lt;DATE(2010,1,1),SUM('CASE DATA'!K38:S38),0),0)</f>
        <v>0</v>
      </c>
      <c r="E38" s="77">
        <f>IF(D38=0,IF('CASE DATA'!D38+7300&lt;'BASIC INFO'!$B$3,SUM('CASE DATA'!K38:S38),0),0)</f>
        <v>0</v>
      </c>
      <c r="F38" s="78">
        <f>IFERROR(IF('CASE DATA'!D38+7300&gt;'BASIC INFO'!$B$3,SUM('CASE DATA'!J38:S38),0),0)</f>
        <v>0</v>
      </c>
    </row>
    <row r="39" spans="1:7" x14ac:dyDescent="0.25">
      <c r="A39" s="57" t="str">
        <f>IF('CASE DATA'!A39="","",'CASE DATA'!A39)</f>
        <v/>
      </c>
      <c r="B39" s="62" t="str">
        <f>IF('CASE DATA'!A39&lt;&gt;"",IF('CASE DATA'!G39=0, "open charge", 'CASE DATA'!G39),"")</f>
        <v/>
      </c>
      <c r="C39" s="75">
        <f>IFERROR(IF('CASE DATA'!D39+7300&lt;'BASIC INFO'!$B$3,'CASE DATA'!J39+'CASE DATA'!K39,0),0)</f>
        <v>0</v>
      </c>
      <c r="D39" s="85">
        <f>IFERROR(IF('CASE DATA'!D39+7300&lt;DATE(2010,1,1),SUM('CASE DATA'!K39:S39),0),0)</f>
        <v>0</v>
      </c>
      <c r="E39" s="77">
        <f>IF(D39=0,IF('CASE DATA'!D39+7300&lt;'BASIC INFO'!$B$3,SUM('CASE DATA'!K39:S39),0),0)</f>
        <v>0</v>
      </c>
      <c r="F39" s="78">
        <f>IFERROR(IF('CASE DATA'!D39+7300&gt;'BASIC INFO'!$B$3,SUM('CASE DATA'!J39:S39),0),0)</f>
        <v>0</v>
      </c>
    </row>
    <row r="40" spans="1:7" x14ac:dyDescent="0.25">
      <c r="A40" s="57" t="str">
        <f>IF('CASE DATA'!A40="","",'CASE DATA'!A40)</f>
        <v/>
      </c>
      <c r="B40" s="62" t="str">
        <f>IF('CASE DATA'!A40&lt;&gt;"",IF('CASE DATA'!G40=0, "open charge", 'CASE DATA'!G40),"")</f>
        <v/>
      </c>
      <c r="C40" s="75">
        <f>IFERROR(IF('CASE DATA'!D40+7300&lt;'BASIC INFO'!$B$3,'CASE DATA'!J40+'CASE DATA'!K40,0),0)</f>
        <v>0</v>
      </c>
      <c r="D40" s="85">
        <f>IFERROR(IF('CASE DATA'!D40+7300&lt;DATE(2010,1,1),SUM('CASE DATA'!K40:S40),0),0)</f>
        <v>0</v>
      </c>
      <c r="E40" s="77">
        <f>IF(D40=0,IF('CASE DATA'!D40+7300&lt;'BASIC INFO'!$B$3,SUM('CASE DATA'!K40:S40),0),0)</f>
        <v>0</v>
      </c>
      <c r="F40" s="78">
        <f>IFERROR(IF('CASE DATA'!D40+7300&gt;'BASIC INFO'!$B$3,SUM('CASE DATA'!J40:S40),0),0)</f>
        <v>0</v>
      </c>
    </row>
    <row r="41" spans="1:7" x14ac:dyDescent="0.25">
      <c r="A41" s="57" t="str">
        <f>IF('CASE DATA'!A41="","",'CASE DATA'!A41)</f>
        <v/>
      </c>
      <c r="B41" s="62" t="str">
        <f>IF('CASE DATA'!A41&lt;&gt;"",IF('CASE DATA'!G41=0, "open charge", 'CASE DATA'!G41),"")</f>
        <v/>
      </c>
      <c r="C41" s="75">
        <f>IFERROR(IF('CASE DATA'!D41+7300&lt;'BASIC INFO'!$B$3,'CASE DATA'!J41+'CASE DATA'!K41,0),0)</f>
        <v>0</v>
      </c>
      <c r="D41" s="85">
        <f>IFERROR(IF('CASE DATA'!D41+7300&lt;DATE(2010,1,1),SUM('CASE DATA'!K41:S41),0),0)</f>
        <v>0</v>
      </c>
      <c r="E41" s="77">
        <f>IF(D41=0,IF('CASE DATA'!D41+7300&lt;'BASIC INFO'!$B$3,SUM('CASE DATA'!K41:S41),0),0)</f>
        <v>0</v>
      </c>
      <c r="F41" s="78">
        <f>IFERROR(IF('CASE DATA'!D41+7300&gt;'BASIC INFO'!$B$3,SUM('CASE DATA'!J41:S41),0),0)</f>
        <v>0</v>
      </c>
    </row>
    <row r="42" spans="1:7" x14ac:dyDescent="0.25">
      <c r="A42" s="57" t="str">
        <f>IF('CASE DATA'!A42="","",'CASE DATA'!A42)</f>
        <v/>
      </c>
      <c r="B42" s="62" t="str">
        <f>IF('CASE DATA'!A42&lt;&gt;"",IF('CASE DATA'!G42=0, "open charge", 'CASE DATA'!G42),"")</f>
        <v/>
      </c>
      <c r="C42" s="75">
        <f>IFERROR(IF('CASE DATA'!D42+7300&lt;'BASIC INFO'!$B$3,'CASE DATA'!J42+'CASE DATA'!K42,0),0)</f>
        <v>0</v>
      </c>
      <c r="D42" s="85">
        <f>IFERROR(IF('CASE DATA'!D42+7300&lt;DATE(2010,1,1),SUM('CASE DATA'!K42:S42),0),0)</f>
        <v>0</v>
      </c>
      <c r="E42" s="77">
        <f>IF(D42=0,IF('CASE DATA'!D42+7300&lt;'BASIC INFO'!$B$3,SUM('CASE DATA'!K42:S42),0),0)</f>
        <v>0</v>
      </c>
      <c r="F42" s="78">
        <f>IFERROR(IF('CASE DATA'!D42+7300&gt;'BASIC INFO'!$B$3,SUM('CASE DATA'!J42:S42),0),0)</f>
        <v>0</v>
      </c>
    </row>
    <row r="43" spans="1:7" x14ac:dyDescent="0.25">
      <c r="A43" s="57" t="str">
        <f>IF('CASE DATA'!A43="","",'CASE DATA'!A43)</f>
        <v/>
      </c>
      <c r="B43" s="62" t="str">
        <f>IF('CASE DATA'!A43&lt;&gt;"",IF('CASE DATA'!G43=0, "open charge", 'CASE DATA'!G43),"")</f>
        <v/>
      </c>
      <c r="C43" s="75">
        <f>IFERROR(IF('CASE DATA'!D43+7300&lt;'BASIC INFO'!$B$3,'CASE DATA'!J43+'CASE DATA'!K43,0),0)</f>
        <v>0</v>
      </c>
      <c r="D43" s="85">
        <f>IFERROR(IF('CASE DATA'!D43+7300&lt;DATE(2010,1,1),SUM('CASE DATA'!K43:S43),0),0)</f>
        <v>0</v>
      </c>
      <c r="E43" s="77">
        <f>IF(D43=0,IF('CASE DATA'!D43+7300&lt;'BASIC INFO'!$B$3,SUM('CASE DATA'!K43:S43),0),0)</f>
        <v>0</v>
      </c>
      <c r="F43" s="78">
        <f>IFERROR(IF('CASE DATA'!D43+7300&gt;'BASIC INFO'!$B$3,SUM('CASE DATA'!J43:S43),0),0)</f>
        <v>0</v>
      </c>
    </row>
    <row r="44" spans="1:7" x14ac:dyDescent="0.25">
      <c r="A44" s="57" t="str">
        <f>IF('CASE DATA'!A44="","",'CASE DATA'!A44)</f>
        <v/>
      </c>
      <c r="B44" s="62" t="str">
        <f>IF('CASE DATA'!A44&lt;&gt;"",IF('CASE DATA'!G44=0, "open charge", 'CASE DATA'!G44),"")</f>
        <v/>
      </c>
      <c r="C44" s="75">
        <f>IFERROR(IF('CASE DATA'!D44+7300&lt;'BASIC INFO'!$B$3,'CASE DATA'!J44+'CASE DATA'!K44,0),0)</f>
        <v>0</v>
      </c>
      <c r="D44" s="85">
        <f>IFERROR(IF('CASE DATA'!D44+7300&lt;DATE(2010,1,1),SUM('CASE DATA'!K44:S44),0),0)</f>
        <v>0</v>
      </c>
      <c r="E44" s="77">
        <f>IF(D44=0,IF('CASE DATA'!D44+7300&lt;'BASIC INFO'!$B$3,SUM('CASE DATA'!K44:S44),0),0)</f>
        <v>0</v>
      </c>
      <c r="F44" s="78">
        <f>IFERROR(IF('CASE DATA'!D44+7300&gt;'BASIC INFO'!$B$3,SUM('CASE DATA'!J44:S44),0),0)</f>
        <v>0</v>
      </c>
    </row>
    <row r="45" spans="1:7" x14ac:dyDescent="0.25">
      <c r="A45" s="57" t="str">
        <f>IF('CASE DATA'!A45="","",'CASE DATA'!A45)</f>
        <v/>
      </c>
      <c r="B45" s="62" t="str">
        <f>IF('CASE DATA'!A45&lt;&gt;"",IF('CASE DATA'!G45=0, "open charge", 'CASE DATA'!G45),"")</f>
        <v/>
      </c>
      <c r="C45" s="75">
        <f>IFERROR(IF('CASE DATA'!D45+7300&lt;'BASIC INFO'!$B$3,'CASE DATA'!J45+'CASE DATA'!K45,0),0)</f>
        <v>0</v>
      </c>
      <c r="D45" s="85">
        <f>IFERROR(IF('CASE DATA'!D45+7300&lt;DATE(2010,1,1),SUM('CASE DATA'!K45:S45),0),0)</f>
        <v>0</v>
      </c>
      <c r="E45" s="77">
        <f>IF(D45=0,IF('CASE DATA'!D45+7300&lt;'BASIC INFO'!$B$3,SUM('CASE DATA'!K45:S45),0),0)</f>
        <v>0</v>
      </c>
      <c r="F45" s="78">
        <f>IFERROR(IF('CASE DATA'!D45+7300&gt;'BASIC INFO'!$B$3,SUM('CASE DATA'!J45:S45),0),0)</f>
        <v>0</v>
      </c>
      <c r="G45" s="32"/>
    </row>
    <row r="46" spans="1:7" x14ac:dyDescent="0.25">
      <c r="A46" s="57" t="str">
        <f>IF('CASE DATA'!A46="","",'CASE DATA'!A46)</f>
        <v/>
      </c>
      <c r="B46" s="62" t="str">
        <f>IF('CASE DATA'!A46&lt;&gt;"",IF('CASE DATA'!G46=0, "open charge", 'CASE DATA'!G46),"")</f>
        <v/>
      </c>
      <c r="C46" s="75">
        <f>IFERROR(IF('CASE DATA'!D46+7300&lt;'BASIC INFO'!$B$3,'CASE DATA'!J46+'CASE DATA'!K46,0),0)</f>
        <v>0</v>
      </c>
      <c r="D46" s="85">
        <f>IFERROR(IF('CASE DATA'!D46+7300&lt;DATE(2010,1,1),SUM('CASE DATA'!K46:S46),0),0)</f>
        <v>0</v>
      </c>
      <c r="E46" s="77">
        <f>IF(D46=0,IF('CASE DATA'!D46+7300&lt;'BASIC INFO'!$B$3,SUM('CASE DATA'!K46:S46),0),0)</f>
        <v>0</v>
      </c>
      <c r="F46" s="78">
        <f>IFERROR(IF('CASE DATA'!D46+7300&gt;'BASIC INFO'!$B$3,SUM('CASE DATA'!J46:S46),0),0)</f>
        <v>0</v>
      </c>
    </row>
    <row r="47" spans="1:7" x14ac:dyDescent="0.25">
      <c r="A47" s="57" t="str">
        <f>IF('CASE DATA'!A47="","",'CASE DATA'!A47)</f>
        <v/>
      </c>
      <c r="B47" s="62" t="str">
        <f>IF('CASE DATA'!A47&lt;&gt;"",IF('CASE DATA'!G47=0, "open charge", 'CASE DATA'!G47),"")</f>
        <v/>
      </c>
      <c r="C47" s="75">
        <f>IFERROR(IF('CASE DATA'!D47+7300&lt;'BASIC INFO'!$B$3,'CASE DATA'!J47+'CASE DATA'!K47,0),0)</f>
        <v>0</v>
      </c>
      <c r="D47" s="85">
        <f>IFERROR(IF('CASE DATA'!D47+7300&lt;DATE(2010,1,1),SUM('CASE DATA'!K47:S47),0),0)</f>
        <v>0</v>
      </c>
      <c r="E47" s="77">
        <f>IF(D47=0,IF('CASE DATA'!D47+7300&lt;'BASIC INFO'!$B$3,SUM('CASE DATA'!K47:S47),0),0)</f>
        <v>0</v>
      </c>
      <c r="F47" s="78">
        <f>IFERROR(IF('CASE DATA'!D47+7300&gt;'BASIC INFO'!$B$3,SUM('CASE DATA'!J47:S47),0),0)</f>
        <v>0</v>
      </c>
    </row>
    <row r="48" spans="1:7" x14ac:dyDescent="0.25">
      <c r="A48" s="57" t="str">
        <f>IF('CASE DATA'!A48="","",'CASE DATA'!A48)</f>
        <v/>
      </c>
      <c r="B48" s="62" t="str">
        <f>IF('CASE DATA'!A48&lt;&gt;"",IF('CASE DATA'!G48=0, "open charge", 'CASE DATA'!G48),"")</f>
        <v/>
      </c>
      <c r="C48" s="75">
        <f>IFERROR(IF('CASE DATA'!D48+7300&lt;'BASIC INFO'!$B$3,'CASE DATA'!J48+'CASE DATA'!K48,0),0)</f>
        <v>0</v>
      </c>
      <c r="D48" s="85">
        <f>IFERROR(IF('CASE DATA'!D48+7300&lt;DATE(2010,1,1),SUM('CASE DATA'!K48:S48),0),0)</f>
        <v>0</v>
      </c>
      <c r="E48" s="77">
        <f>IF(D48=0,IF('CASE DATA'!D48+7300&lt;'BASIC INFO'!$B$3,SUM('CASE DATA'!K48:S48),0),0)</f>
        <v>0</v>
      </c>
      <c r="F48" s="78">
        <f>IFERROR(IF('CASE DATA'!D48+7300&gt;'BASIC INFO'!$B$3,SUM('CASE DATA'!J48:S48),0),0)</f>
        <v>0</v>
      </c>
    </row>
    <row r="49" spans="1:6" x14ac:dyDescent="0.25">
      <c r="A49" s="57" t="str">
        <f>IF('CASE DATA'!A49="","",'CASE DATA'!A49)</f>
        <v/>
      </c>
      <c r="B49" s="62" t="str">
        <f>IF('CASE DATA'!A49&lt;&gt;"",IF('CASE DATA'!G49=0, "open charge", 'CASE DATA'!G49),"")</f>
        <v/>
      </c>
      <c r="C49" s="75">
        <f>IFERROR(IF('CASE DATA'!D49+7300&lt;'BASIC INFO'!$B$3,'CASE DATA'!J49+'CASE DATA'!K49,0),0)</f>
        <v>0</v>
      </c>
      <c r="D49" s="85">
        <f>IFERROR(IF('CASE DATA'!D49+7300&lt;DATE(2010,1,1),SUM('CASE DATA'!K49:S49),0),0)</f>
        <v>0</v>
      </c>
      <c r="E49" s="77">
        <f>IF(D49=0,IF('CASE DATA'!D49+7300&lt;'BASIC INFO'!$B$3,SUM('CASE DATA'!K49:S49),0),0)</f>
        <v>0</v>
      </c>
      <c r="F49" s="78">
        <f>IFERROR(IF('CASE DATA'!D49+7300&gt;'BASIC INFO'!$B$3,SUM('CASE DATA'!J49:S49),0),0)</f>
        <v>0</v>
      </c>
    </row>
    <row r="50" spans="1:6" x14ac:dyDescent="0.25">
      <c r="A50" s="57" t="str">
        <f>IF('CASE DATA'!A50="","",'CASE DATA'!A50)</f>
        <v/>
      </c>
      <c r="B50" s="62" t="str">
        <f>IF('CASE DATA'!A50&lt;&gt;"",IF('CASE DATA'!G50=0, "open charge", 'CASE DATA'!G50),"")</f>
        <v/>
      </c>
      <c r="C50" s="75">
        <f>IFERROR(IF('CASE DATA'!D50+7300&lt;'BASIC INFO'!$B$3,'CASE DATA'!J50+'CASE DATA'!K50,0),0)</f>
        <v>0</v>
      </c>
      <c r="D50" s="85">
        <f>IFERROR(IF('CASE DATA'!D50+7300&lt;DATE(2010,1,1),SUM('CASE DATA'!K50:S50),0),0)</f>
        <v>0</v>
      </c>
      <c r="E50" s="77">
        <f>IF(D50=0,IF('CASE DATA'!D50+7300&lt;'BASIC INFO'!$B$3,SUM('CASE DATA'!K50:S50),0),0)</f>
        <v>0</v>
      </c>
      <c r="F50" s="78">
        <f>IFERROR(IF('CASE DATA'!D50+7300&gt;'BASIC INFO'!$B$3,SUM('CASE DATA'!J50:S50),0),0)</f>
        <v>0</v>
      </c>
    </row>
    <row r="51" spans="1:6" x14ac:dyDescent="0.25">
      <c r="A51" s="57" t="str">
        <f>IF('CASE DATA'!A51="","",'CASE DATA'!A51)</f>
        <v/>
      </c>
      <c r="B51" s="62" t="str">
        <f>IF('CASE DATA'!A51&lt;&gt;"",IF('CASE DATA'!G51=0, "open charge", 'CASE DATA'!G51),"")</f>
        <v/>
      </c>
      <c r="C51" s="75">
        <f>IFERROR(IF('CASE DATA'!D51+7300&lt;'BASIC INFO'!$B$3,'CASE DATA'!J51+'CASE DATA'!K51,0),0)</f>
        <v>0</v>
      </c>
      <c r="D51" s="85">
        <f>IFERROR(IF('CASE DATA'!D51+7300&lt;DATE(2010,1,1),SUM('CASE DATA'!K51:S51),0),0)</f>
        <v>0</v>
      </c>
      <c r="E51" s="77">
        <f>IF(D51=0,IF('CASE DATA'!D51+7300&lt;'BASIC INFO'!$B$3,SUM('CASE DATA'!K51:S51),0),0)</f>
        <v>0</v>
      </c>
      <c r="F51" s="78">
        <f>IFERROR(IF('CASE DATA'!D51+7300&gt;'BASIC INFO'!$B$3,SUM('CASE DATA'!J51:S51),0),0)</f>
        <v>0</v>
      </c>
    </row>
    <row r="52" spans="1:6" x14ac:dyDescent="0.25">
      <c r="A52" s="57" t="str">
        <f>IF('CASE DATA'!A52="","",'CASE DATA'!A52)</f>
        <v/>
      </c>
      <c r="B52" s="62" t="str">
        <f>IF('CASE DATA'!A52&lt;&gt;"",IF('CASE DATA'!G52=0, "open charge", 'CASE DATA'!G52),"")</f>
        <v/>
      </c>
      <c r="C52" s="75">
        <f>IFERROR(IF('CASE DATA'!D52+7300&lt;'BASIC INFO'!$B$3,'CASE DATA'!J52+'CASE DATA'!K52,0),0)</f>
        <v>0</v>
      </c>
      <c r="D52" s="85">
        <f>IFERROR(IF('CASE DATA'!D52+7300&lt;DATE(2010,1,1),SUM('CASE DATA'!K52:S52),0),0)</f>
        <v>0</v>
      </c>
      <c r="E52" s="77">
        <f>IF(D52=0,IF('CASE DATA'!D52+7300&lt;'BASIC INFO'!$B$3,SUM('CASE DATA'!K52:S52),0),0)</f>
        <v>0</v>
      </c>
      <c r="F52" s="78">
        <f>IFERROR(IF('CASE DATA'!D52+7300&gt;'BASIC INFO'!$B$3,SUM('CASE DATA'!J52:S52),0),0)</f>
        <v>0</v>
      </c>
    </row>
    <row r="53" spans="1:6" x14ac:dyDescent="0.25">
      <c r="A53" s="57" t="str">
        <f>IF('CASE DATA'!A53="","",'CASE DATA'!A53)</f>
        <v/>
      </c>
      <c r="B53" s="62" t="str">
        <f>IF('CASE DATA'!A53&lt;&gt;"",IF('CASE DATA'!G53=0, "open charge", 'CASE DATA'!G53),"")</f>
        <v/>
      </c>
      <c r="C53" s="75">
        <f>IFERROR(IF('CASE DATA'!D53+7300&lt;'BASIC INFO'!$B$3,'CASE DATA'!J53+'CASE DATA'!K53,0),0)</f>
        <v>0</v>
      </c>
      <c r="D53" s="85">
        <f>IFERROR(IF('CASE DATA'!D53+7300&lt;DATE(2010,1,1),SUM('CASE DATA'!K53:S53),0),0)</f>
        <v>0</v>
      </c>
      <c r="E53" s="77">
        <f>IF(D53=0,IF('CASE DATA'!D53+7300&lt;'BASIC INFO'!$B$3,SUM('CASE DATA'!K53:S53),0),0)</f>
        <v>0</v>
      </c>
      <c r="F53" s="78">
        <f>IFERROR(IF('CASE DATA'!D53+7300&gt;'BASIC INFO'!$B$3,SUM('CASE DATA'!J53:S53),0),0)</f>
        <v>0</v>
      </c>
    </row>
    <row r="54" spans="1:6" x14ac:dyDescent="0.25">
      <c r="A54" s="57" t="str">
        <f>IF('CASE DATA'!A54="","",'CASE DATA'!A54)</f>
        <v/>
      </c>
      <c r="B54" s="62" t="str">
        <f>IF('CASE DATA'!A54&lt;&gt;"",IF('CASE DATA'!G54=0, "open charge", 'CASE DATA'!G54),"")</f>
        <v/>
      </c>
      <c r="C54" s="75">
        <f>IFERROR(IF('CASE DATA'!D54+7300&lt;'BASIC INFO'!$B$3,'CASE DATA'!J54+'CASE DATA'!K54,0),0)</f>
        <v>0</v>
      </c>
      <c r="D54" s="85">
        <f>IFERROR(IF('CASE DATA'!D54+7300&lt;DATE(2010,1,1),SUM('CASE DATA'!K54:S54),0),0)</f>
        <v>0</v>
      </c>
      <c r="E54" s="77">
        <f>IF(D54=0,IF('CASE DATA'!D54+7300&lt;'BASIC INFO'!$B$3,SUM('CASE DATA'!K54:S54),0),0)</f>
        <v>0</v>
      </c>
      <c r="F54" s="78">
        <f>IFERROR(IF('CASE DATA'!D54+7300&gt;'BASIC INFO'!$B$3,SUM('CASE DATA'!J54:S54),0),0)</f>
        <v>0</v>
      </c>
    </row>
    <row r="55" spans="1:6" x14ac:dyDescent="0.25">
      <c r="A55" s="57" t="str">
        <f>IF('CASE DATA'!A55="","",'CASE DATA'!A55)</f>
        <v/>
      </c>
      <c r="B55" s="62" t="str">
        <f>IF('CASE DATA'!A55&lt;&gt;"",IF('CASE DATA'!G55=0, "open charge", 'CASE DATA'!G55),"")</f>
        <v/>
      </c>
      <c r="C55" s="75">
        <f>IFERROR(IF('CASE DATA'!D55+7300&lt;'BASIC INFO'!$B$3,'CASE DATA'!J55+'CASE DATA'!K55,0),0)</f>
        <v>0</v>
      </c>
      <c r="D55" s="85">
        <f>IFERROR(IF('CASE DATA'!D55+7300&lt;DATE(2010,1,1),SUM('CASE DATA'!K55:S55),0),0)</f>
        <v>0</v>
      </c>
      <c r="E55" s="77">
        <f>IF(D55=0,IF('CASE DATA'!D55+7300&lt;'BASIC INFO'!$B$3,SUM('CASE DATA'!K55:S55),0),0)</f>
        <v>0</v>
      </c>
      <c r="F55" s="78">
        <f>IFERROR(IF('CASE DATA'!D55+7300&gt;'BASIC INFO'!$B$3,SUM('CASE DATA'!J55:S55),0),0)</f>
        <v>0</v>
      </c>
    </row>
    <row r="56" spans="1:6" x14ac:dyDescent="0.25">
      <c r="A56" s="57" t="str">
        <f>IF('CASE DATA'!A56="","",'CASE DATA'!A56)</f>
        <v/>
      </c>
      <c r="B56" s="62" t="str">
        <f>IF('CASE DATA'!A56&lt;&gt;"",IF('CASE DATA'!G56=0, "open charge", 'CASE DATA'!G56),"")</f>
        <v/>
      </c>
      <c r="C56" s="75">
        <f>IFERROR(IF('CASE DATA'!D56+7300&lt;'BASIC INFO'!$B$3,'CASE DATA'!J56+'CASE DATA'!K56,0),0)</f>
        <v>0</v>
      </c>
      <c r="D56" s="85">
        <f>IFERROR(IF('CASE DATA'!D56+7300&lt;DATE(2010,1,1),SUM('CASE DATA'!K56:S56),0),0)</f>
        <v>0</v>
      </c>
      <c r="E56" s="77">
        <f>IF(D56=0,IF('CASE DATA'!D56+7300&lt;'BASIC INFO'!$B$3,SUM('CASE DATA'!K56:S56),0),0)</f>
        <v>0</v>
      </c>
      <c r="F56" s="78">
        <f>IFERROR(IF('CASE DATA'!D56+7300&gt;'BASIC INFO'!$B$3,SUM('CASE DATA'!J56:S56),0),0)</f>
        <v>0</v>
      </c>
    </row>
    <row r="57" spans="1:6" x14ac:dyDescent="0.25">
      <c r="A57" s="57" t="str">
        <f>IF('CASE DATA'!A57="","",'CASE DATA'!A57)</f>
        <v/>
      </c>
      <c r="B57" s="62" t="str">
        <f>IF('CASE DATA'!A57&lt;&gt;"",IF('CASE DATA'!G57=0, "open charge", 'CASE DATA'!G57),"")</f>
        <v/>
      </c>
      <c r="C57" s="75">
        <f>IFERROR(IF('CASE DATA'!D57+7300&lt;'BASIC INFO'!$B$3,'CASE DATA'!J57+'CASE DATA'!K57,0),0)</f>
        <v>0</v>
      </c>
      <c r="D57" s="85">
        <f>IFERROR(IF('CASE DATA'!D57+7300&lt;DATE(2010,1,1),SUM('CASE DATA'!K57:S57),0),0)</f>
        <v>0</v>
      </c>
      <c r="E57" s="77">
        <f>IF(D57=0,IF('CASE DATA'!D57+7300&lt;'BASIC INFO'!$B$3,SUM('CASE DATA'!K57:S57),0),0)</f>
        <v>0</v>
      </c>
      <c r="F57" s="78">
        <f>IFERROR(IF('CASE DATA'!D57+7300&gt;'BASIC INFO'!$B$3,SUM('CASE DATA'!J57:S57),0),0)</f>
        <v>0</v>
      </c>
    </row>
    <row r="58" spans="1:6" x14ac:dyDescent="0.25">
      <c r="A58" s="57" t="str">
        <f>IF('CASE DATA'!A58="","",'CASE DATA'!A58)</f>
        <v/>
      </c>
      <c r="B58" s="62" t="str">
        <f>IF('CASE DATA'!A58&lt;&gt;"",IF('CASE DATA'!G58=0, "open charge", 'CASE DATA'!G58),"")</f>
        <v/>
      </c>
      <c r="C58" s="75">
        <f>IFERROR(IF('CASE DATA'!D58+7300&lt;'BASIC INFO'!$B$3,'CASE DATA'!J58+'CASE DATA'!K58,0),0)</f>
        <v>0</v>
      </c>
      <c r="D58" s="85">
        <f>IFERROR(IF('CASE DATA'!D58+7300&lt;DATE(2010,1,1),SUM('CASE DATA'!K58:S58),0),0)</f>
        <v>0</v>
      </c>
      <c r="E58" s="77">
        <f>IF(D58=0,IF('CASE DATA'!D58+7300&lt;'BASIC INFO'!$B$3,SUM('CASE DATA'!K58:S58),0),0)</f>
        <v>0</v>
      </c>
      <c r="F58" s="78">
        <f>IFERROR(IF('CASE DATA'!D58+7300&gt;'BASIC INFO'!$B$3,SUM('CASE DATA'!J58:S58),0),0)</f>
        <v>0</v>
      </c>
    </row>
    <row r="59" spans="1:6" x14ac:dyDescent="0.25">
      <c r="A59" s="57" t="str">
        <f>IF('CASE DATA'!A59="","",'CASE DATA'!A59)</f>
        <v/>
      </c>
      <c r="B59" s="62" t="str">
        <f>IF('CASE DATA'!A59&lt;&gt;"",IF('CASE DATA'!G59=0, "open charge", 'CASE DATA'!G59),"")</f>
        <v/>
      </c>
      <c r="C59" s="75">
        <f>IFERROR(IF('CASE DATA'!D59+7300&lt;'BASIC INFO'!$B$3,'CASE DATA'!J59+'CASE DATA'!K59,0),0)</f>
        <v>0</v>
      </c>
      <c r="D59" s="85">
        <f>IFERROR(IF('CASE DATA'!D59+7300&lt;DATE(2010,1,1),SUM('CASE DATA'!K59:S59),0),0)</f>
        <v>0</v>
      </c>
      <c r="E59" s="77">
        <f>IF(D59=0,IF('CASE DATA'!D59+7300&lt;'BASIC INFO'!$B$3,SUM('CASE DATA'!K59:S59),0),0)</f>
        <v>0</v>
      </c>
      <c r="F59" s="78">
        <f>IFERROR(IF('CASE DATA'!D59+7300&gt;'BASIC INFO'!$B$3,SUM('CASE DATA'!J59:S59),0),0)</f>
        <v>0</v>
      </c>
    </row>
    <row r="60" spans="1:6" x14ac:dyDescent="0.25">
      <c r="A60" s="57" t="str">
        <f>IF('CASE DATA'!A60="","",'CASE DATA'!A60)</f>
        <v/>
      </c>
      <c r="B60" s="62" t="str">
        <f>IF('CASE DATA'!A60&lt;&gt;"",IF('CASE DATA'!G60=0, "open charge", 'CASE DATA'!G60),"")</f>
        <v/>
      </c>
      <c r="C60" s="75">
        <f>IFERROR(IF('CASE DATA'!D60+7300&lt;'BASIC INFO'!$B$3,'CASE DATA'!J60+'CASE DATA'!K60,0),0)</f>
        <v>0</v>
      </c>
      <c r="D60" s="85">
        <f>IFERROR(IF('CASE DATA'!D60+7300&lt;DATE(2010,1,1),SUM('CASE DATA'!K60:S60),0),0)</f>
        <v>0</v>
      </c>
      <c r="E60" s="77">
        <f>IF(D60=0,IF('CASE DATA'!D60+7300&lt;'BASIC INFO'!$B$3,SUM('CASE DATA'!K60:S60),0),0)</f>
        <v>0</v>
      </c>
      <c r="F60" s="78">
        <f>IFERROR(IF('CASE DATA'!D60+7300&gt;'BASIC INFO'!$B$3,SUM('CASE DATA'!J60:S60),0),0)</f>
        <v>0</v>
      </c>
    </row>
    <row r="61" spans="1:6" x14ac:dyDescent="0.25">
      <c r="A61" s="57" t="str">
        <f>IF('CASE DATA'!A61="","",'CASE DATA'!A61)</f>
        <v/>
      </c>
      <c r="B61" s="62" t="str">
        <f>IF('CASE DATA'!A61&lt;&gt;"",IF('CASE DATA'!G61=0, "open charge", 'CASE DATA'!G61),"")</f>
        <v/>
      </c>
      <c r="C61" s="75">
        <f>IFERROR(IF('CASE DATA'!D61+7300&lt;'BASIC INFO'!$B$3,'CASE DATA'!J61+'CASE DATA'!K61,0),0)</f>
        <v>0</v>
      </c>
      <c r="D61" s="85">
        <f>IFERROR(IF('CASE DATA'!D61+7300&lt;DATE(2010,1,1),SUM('CASE DATA'!K61:S61),0),0)</f>
        <v>0</v>
      </c>
      <c r="E61" s="77">
        <f>IF(D61=0,IF('CASE DATA'!D61+7300&lt;'BASIC INFO'!$B$3,SUM('CASE DATA'!K61:S61),0),0)</f>
        <v>0</v>
      </c>
      <c r="F61" s="78">
        <f>IFERROR(IF('CASE DATA'!D61+7300&gt;'BASIC INFO'!$B$3,SUM('CASE DATA'!J61:S61),0),0)</f>
        <v>0</v>
      </c>
    </row>
    <row r="62" spans="1:6" x14ac:dyDescent="0.25">
      <c r="A62" s="57" t="str">
        <f>IF('CASE DATA'!A62="","",'CASE DATA'!A62)</f>
        <v/>
      </c>
      <c r="B62" s="62" t="str">
        <f>IF('CASE DATA'!A62&lt;&gt;"",IF('CASE DATA'!G62=0, "open charge", 'CASE DATA'!G62),"")</f>
        <v/>
      </c>
      <c r="C62" s="75">
        <f>IFERROR(IF('CASE DATA'!D62+7300&lt;'BASIC INFO'!$B$3,'CASE DATA'!J62+'CASE DATA'!K62,0),0)</f>
        <v>0</v>
      </c>
      <c r="D62" s="85">
        <f>IFERROR(IF('CASE DATA'!D62+7300&lt;DATE(2010,1,1),SUM('CASE DATA'!K62:S62),0),0)</f>
        <v>0</v>
      </c>
      <c r="E62" s="77">
        <f>IF(D62=0,IF('CASE DATA'!D62+7300&lt;'BASIC INFO'!$B$3,SUM('CASE DATA'!K62:S62),0),0)</f>
        <v>0</v>
      </c>
      <c r="F62" s="78">
        <f>IFERROR(IF('CASE DATA'!D62+7300&gt;'BASIC INFO'!$B$3,SUM('CASE DATA'!J62:S62),0),0)</f>
        <v>0</v>
      </c>
    </row>
    <row r="63" spans="1:6" x14ac:dyDescent="0.25">
      <c r="A63" s="57" t="str">
        <f>IF('CASE DATA'!A63="","",'CASE DATA'!A63)</f>
        <v/>
      </c>
      <c r="B63" s="62" t="str">
        <f>IF('CASE DATA'!A63&lt;&gt;"",IF('CASE DATA'!G63=0, "open charge", 'CASE DATA'!G63),"")</f>
        <v/>
      </c>
      <c r="C63" s="75">
        <f>IFERROR(IF('CASE DATA'!D63+7300&lt;'BASIC INFO'!$B$3,'CASE DATA'!J63+'CASE DATA'!K63,0),0)</f>
        <v>0</v>
      </c>
      <c r="D63" s="85">
        <f>IFERROR(IF('CASE DATA'!D63+7300&lt;DATE(2010,1,1),SUM('CASE DATA'!K63:S63),0),0)</f>
        <v>0</v>
      </c>
      <c r="E63" s="77">
        <f>IF(D63=0,IF('CASE DATA'!D63+7300&lt;'BASIC INFO'!$B$3,SUM('CASE DATA'!K63:S63),0),0)</f>
        <v>0</v>
      </c>
      <c r="F63" s="78">
        <f>IFERROR(IF('CASE DATA'!D63+7300&gt;'BASIC INFO'!$B$3,SUM('CASE DATA'!J63:S63),0),0)</f>
        <v>0</v>
      </c>
    </row>
    <row r="64" spans="1:6" x14ac:dyDescent="0.25">
      <c r="A64" s="57" t="str">
        <f>IF('CASE DATA'!A64="","",'CASE DATA'!A64)</f>
        <v/>
      </c>
      <c r="B64" s="62" t="str">
        <f>IF('CASE DATA'!A64&lt;&gt;"",IF('CASE DATA'!G64=0, "open charge", 'CASE DATA'!G64),"")</f>
        <v/>
      </c>
      <c r="C64" s="75">
        <f>IFERROR(IF('CASE DATA'!D64+7300&lt;'BASIC INFO'!$B$3,'CASE DATA'!J64+'CASE DATA'!K64,0),0)</f>
        <v>0</v>
      </c>
      <c r="D64" s="85">
        <f>IFERROR(IF('CASE DATA'!D64+7300&lt;DATE(2010,1,1),SUM('CASE DATA'!K64:S64),0),0)</f>
        <v>0</v>
      </c>
      <c r="E64" s="77">
        <f>IF(D64=0,IF('CASE DATA'!D64+7300&lt;'BASIC INFO'!$B$3,SUM('CASE DATA'!K64:S64),0),0)</f>
        <v>0</v>
      </c>
      <c r="F64" s="78">
        <f>IFERROR(IF('CASE DATA'!D64+7300&gt;'BASIC INFO'!$B$3,SUM('CASE DATA'!J64:S64),0),0)</f>
        <v>0</v>
      </c>
    </row>
    <row r="65" spans="1:6" x14ac:dyDescent="0.25">
      <c r="A65" s="57" t="str">
        <f>IF('CASE DATA'!A65="","",'CASE DATA'!A65)</f>
        <v/>
      </c>
      <c r="B65" s="62" t="str">
        <f>IF('CASE DATA'!A65&lt;&gt;"",IF('CASE DATA'!G65=0, "open charge", 'CASE DATA'!G65),"")</f>
        <v/>
      </c>
      <c r="C65" s="75">
        <f>IFERROR(IF('CASE DATA'!D65+7300&lt;'BASIC INFO'!$B$3,'CASE DATA'!J65+'CASE DATA'!K65,0),0)</f>
        <v>0</v>
      </c>
      <c r="D65" s="85">
        <f>IFERROR(IF('CASE DATA'!D65+7300&lt;DATE(2010,1,1),SUM('CASE DATA'!K65:S65),0),0)</f>
        <v>0</v>
      </c>
      <c r="E65" s="77">
        <f>IF(D65=0,IF('CASE DATA'!D65+7300&lt;'BASIC INFO'!$B$3,SUM('CASE DATA'!K65:S65),0),0)</f>
        <v>0</v>
      </c>
      <c r="F65" s="78">
        <f>IFERROR(IF('CASE DATA'!D65+7300&gt;'BASIC INFO'!$B$3,SUM('CASE DATA'!J65:S65),0),0)</f>
        <v>0</v>
      </c>
    </row>
    <row r="66" spans="1:6" x14ac:dyDescent="0.25">
      <c r="A66" s="57" t="str">
        <f>IF('CASE DATA'!A66="","",'CASE DATA'!A66)</f>
        <v/>
      </c>
      <c r="B66" s="62" t="str">
        <f>IF('CASE DATA'!A66&lt;&gt;"",IF('CASE DATA'!G66=0, "open charge", 'CASE DATA'!G66),"")</f>
        <v/>
      </c>
      <c r="C66" s="75">
        <f>IFERROR(IF('CASE DATA'!D66+7300&lt;'BASIC INFO'!$B$3,'CASE DATA'!J66+'CASE DATA'!K66,0),0)</f>
        <v>0</v>
      </c>
      <c r="D66" s="85">
        <f>IFERROR(IF('CASE DATA'!D66+7300&lt;DATE(2010,1,1),SUM('CASE DATA'!K66:S66),0),0)</f>
        <v>0</v>
      </c>
      <c r="E66" s="77">
        <f>IF(D66=0,IF('CASE DATA'!D66+7300&lt;'BASIC INFO'!$B$3,SUM('CASE DATA'!K66:S66),0),0)</f>
        <v>0</v>
      </c>
      <c r="F66" s="78">
        <f>IFERROR(IF('CASE DATA'!D66+7300&gt;'BASIC INFO'!$B$3,SUM('CASE DATA'!J66:S66),0),0)</f>
        <v>0</v>
      </c>
    </row>
    <row r="67" spans="1:6" x14ac:dyDescent="0.25">
      <c r="A67" s="57" t="str">
        <f>IF('CASE DATA'!A67="","",'CASE DATA'!A67)</f>
        <v/>
      </c>
      <c r="B67" s="62" t="str">
        <f>IF('CASE DATA'!A67&lt;&gt;"",IF('CASE DATA'!G67=0, "open charge", 'CASE DATA'!G67),"")</f>
        <v/>
      </c>
      <c r="C67" s="75">
        <f>IFERROR(IF('CASE DATA'!D67+7300&lt;'BASIC INFO'!$B$3,'CASE DATA'!J67+'CASE DATA'!K67,0),0)</f>
        <v>0</v>
      </c>
      <c r="D67" s="85">
        <f>IFERROR(IF('CASE DATA'!D67+7300&lt;DATE(2010,1,1),SUM('CASE DATA'!K67:S67),0),0)</f>
        <v>0</v>
      </c>
      <c r="E67" s="77">
        <f>IF(D67=0,IF('CASE DATA'!D67+7300&lt;'BASIC INFO'!$B$3,SUM('CASE DATA'!K67:S67),0),0)</f>
        <v>0</v>
      </c>
      <c r="F67" s="78">
        <f>IFERROR(IF('CASE DATA'!D67+7300&gt;'BASIC INFO'!$B$3,SUM('CASE DATA'!J67:S67),0),0)</f>
        <v>0</v>
      </c>
    </row>
    <row r="68" spans="1:6" x14ac:dyDescent="0.25">
      <c r="A68" s="57" t="str">
        <f>IF('CASE DATA'!A68="","",'CASE DATA'!A68)</f>
        <v/>
      </c>
      <c r="B68" s="62" t="str">
        <f>IF('CASE DATA'!A68&lt;&gt;"",IF('CASE DATA'!G68=0, "open charge", 'CASE DATA'!G68),"")</f>
        <v/>
      </c>
      <c r="C68" s="75">
        <f>IFERROR(IF('CASE DATA'!D68+7300&lt;'BASIC INFO'!$B$3,'CASE DATA'!J68+'CASE DATA'!K68,0),0)</f>
        <v>0</v>
      </c>
      <c r="D68" s="85">
        <f>IFERROR(IF('CASE DATA'!D68+7300&lt;DATE(2010,1,1),SUM('CASE DATA'!K68:S68),0),0)</f>
        <v>0</v>
      </c>
      <c r="E68" s="77">
        <f>IF(D68=0,IF('CASE DATA'!D68+7300&lt;'BASIC INFO'!$B$3,SUM('CASE DATA'!K68:S68),0),0)</f>
        <v>0</v>
      </c>
      <c r="F68" s="78">
        <f>IFERROR(IF('CASE DATA'!D68+7300&gt;'BASIC INFO'!$B$3,SUM('CASE DATA'!J68:S68),0),0)</f>
        <v>0</v>
      </c>
    </row>
    <row r="69" spans="1:6" x14ac:dyDescent="0.25">
      <c r="A69" s="57" t="str">
        <f>IF('CASE DATA'!A69="","",'CASE DATA'!A69)</f>
        <v/>
      </c>
      <c r="B69" s="62" t="str">
        <f>IF('CASE DATA'!A69&lt;&gt;"",IF('CASE DATA'!G69=0, "open charge", 'CASE DATA'!G69),"")</f>
        <v/>
      </c>
      <c r="C69" s="75">
        <f>IFERROR(IF('CASE DATA'!D69+7300&lt;'BASIC INFO'!$B$3,'CASE DATA'!J69+'CASE DATA'!K69,0),0)</f>
        <v>0</v>
      </c>
      <c r="D69" s="85">
        <f>IFERROR(IF('CASE DATA'!D69+7300&lt;DATE(2010,1,1),SUM('CASE DATA'!K69:S69),0),0)</f>
        <v>0</v>
      </c>
      <c r="E69" s="77">
        <f>IF(D69=0,IF('CASE DATA'!D69+7300&lt;'BASIC INFO'!$B$3,SUM('CASE DATA'!K69:S69),0),0)</f>
        <v>0</v>
      </c>
      <c r="F69" s="78">
        <f>IFERROR(IF('CASE DATA'!D69+7300&gt;'BASIC INFO'!$B$3,SUM('CASE DATA'!J69:S69),0),0)</f>
        <v>0</v>
      </c>
    </row>
    <row r="70" spans="1:6" x14ac:dyDescent="0.25">
      <c r="A70" s="57" t="str">
        <f>IF('CASE DATA'!A70="","",'CASE DATA'!A70)</f>
        <v/>
      </c>
      <c r="B70" s="62" t="str">
        <f>IF('CASE DATA'!A70&lt;&gt;"",IF('CASE DATA'!G70=0, "open charge", 'CASE DATA'!G70),"")</f>
        <v/>
      </c>
      <c r="C70" s="75">
        <f>IFERROR(IF('CASE DATA'!D70+7300&lt;'BASIC INFO'!$B$3,'CASE DATA'!J70+'CASE DATA'!K70,0),0)</f>
        <v>0</v>
      </c>
      <c r="D70" s="85">
        <f>IFERROR(IF('CASE DATA'!D70+7300&lt;DATE(2010,1,1),SUM('CASE DATA'!K70:S70),0),0)</f>
        <v>0</v>
      </c>
      <c r="E70" s="77">
        <f>IF(D70=0,IF('CASE DATA'!D70+7300&lt;'BASIC INFO'!$B$3,SUM('CASE DATA'!K70:S70),0),0)</f>
        <v>0</v>
      </c>
      <c r="F70" s="78">
        <f>IFERROR(IF('CASE DATA'!D70+7300&gt;'BASIC INFO'!$B$3,SUM('CASE DATA'!J70:S70),0),0)</f>
        <v>0</v>
      </c>
    </row>
    <row r="71" spans="1:6" x14ac:dyDescent="0.25">
      <c r="A71" s="57" t="str">
        <f>IF('CASE DATA'!A71="","",'CASE DATA'!A71)</f>
        <v/>
      </c>
      <c r="B71" s="62" t="str">
        <f>IF('CASE DATA'!A71&lt;&gt;"",IF('CASE DATA'!G71=0, "open charge", 'CASE DATA'!G71),"")</f>
        <v/>
      </c>
      <c r="C71" s="75">
        <f>IFERROR(IF('CASE DATA'!D71+7300&lt;'BASIC INFO'!$B$3,'CASE DATA'!J71+'CASE DATA'!K71,0),0)</f>
        <v>0</v>
      </c>
      <c r="D71" s="85">
        <f>IFERROR(IF('CASE DATA'!D71+7300&lt;DATE(2010,1,1),SUM('CASE DATA'!K71:S71),0),0)</f>
        <v>0</v>
      </c>
      <c r="E71" s="77">
        <f>IF(D71=0,IF('CASE DATA'!D71+7300&lt;'BASIC INFO'!$B$3,SUM('CASE DATA'!K71:S71),0),0)</f>
        <v>0</v>
      </c>
      <c r="F71" s="78">
        <f>IFERROR(IF('CASE DATA'!D71+7300&gt;'BASIC INFO'!$B$3,SUM('CASE DATA'!J71:S71),0),0)</f>
        <v>0</v>
      </c>
    </row>
    <row r="72" spans="1:6" x14ac:dyDescent="0.25">
      <c r="A72" s="57" t="str">
        <f>IF('CASE DATA'!A72="","",'CASE DATA'!A72)</f>
        <v/>
      </c>
      <c r="B72" s="62" t="str">
        <f>IF('CASE DATA'!A72&lt;&gt;"",IF('CASE DATA'!G72=0, "open charge", 'CASE DATA'!G72),"")</f>
        <v/>
      </c>
      <c r="C72" s="75">
        <f>IFERROR(IF('CASE DATA'!D72+7300&lt;'BASIC INFO'!$B$3,'CASE DATA'!J72+'CASE DATA'!K72,0),0)</f>
        <v>0</v>
      </c>
      <c r="D72" s="85">
        <f>IFERROR(IF('CASE DATA'!D72+7300&lt;DATE(2010,1,1),SUM('CASE DATA'!K72:S72),0),0)</f>
        <v>0</v>
      </c>
      <c r="E72" s="77">
        <f>IF(D72=0,IF('CASE DATA'!D72+7300&lt;'BASIC INFO'!$B$3,SUM('CASE DATA'!K72:S72),0),0)</f>
        <v>0</v>
      </c>
      <c r="F72" s="78">
        <f>IFERROR(IF('CASE DATA'!D72+7300&gt;'BASIC INFO'!$B$3,SUM('CASE DATA'!J72:S72),0),0)</f>
        <v>0</v>
      </c>
    </row>
    <row r="73" spans="1:6" x14ac:dyDescent="0.25">
      <c r="A73" s="57" t="str">
        <f>IF('CASE DATA'!A73="","",'CASE DATA'!A73)</f>
        <v/>
      </c>
      <c r="B73" s="62" t="str">
        <f>IF('CASE DATA'!A73&lt;&gt;"",IF('CASE DATA'!G73=0, "open charge", 'CASE DATA'!G73),"")</f>
        <v/>
      </c>
      <c r="C73" s="75">
        <f>IFERROR(IF('CASE DATA'!D73+7300&lt;'BASIC INFO'!$B$3,'CASE DATA'!J73+'CASE DATA'!K73,0),0)</f>
        <v>0</v>
      </c>
      <c r="D73" s="85">
        <f>IFERROR(IF('CASE DATA'!D73+7300&lt;DATE(2010,1,1),SUM('CASE DATA'!K73:S73),0),0)</f>
        <v>0</v>
      </c>
      <c r="E73" s="77">
        <f>IF(D73=0,IF('CASE DATA'!D73+7300&lt;'BASIC INFO'!$B$3,SUM('CASE DATA'!K73:S73),0),0)</f>
        <v>0</v>
      </c>
      <c r="F73" s="78">
        <f>IFERROR(IF('CASE DATA'!D73+7300&gt;'BASIC INFO'!$B$3,SUM('CASE DATA'!J73:S73),0),0)</f>
        <v>0</v>
      </c>
    </row>
    <row r="74" spans="1:6" x14ac:dyDescent="0.25">
      <c r="A74" s="57" t="str">
        <f>IF('CASE DATA'!A74="","",'CASE DATA'!A74)</f>
        <v/>
      </c>
      <c r="B74" s="62" t="str">
        <f>IF('CASE DATA'!A74&lt;&gt;"",IF('CASE DATA'!G74=0, "open charge", 'CASE DATA'!G74),"")</f>
        <v/>
      </c>
      <c r="C74" s="75">
        <f>IFERROR(IF('CASE DATA'!D74+7300&lt;'BASIC INFO'!$B$3,'CASE DATA'!J74+'CASE DATA'!K74,0),0)</f>
        <v>0</v>
      </c>
      <c r="D74" s="85">
        <f>IFERROR(IF('CASE DATA'!D74+7300&lt;DATE(2010,1,1),SUM('CASE DATA'!K74:S74),0),0)</f>
        <v>0</v>
      </c>
      <c r="E74" s="77">
        <f>IF(D74=0,IF('CASE DATA'!D74+7300&lt;'BASIC INFO'!$B$3,SUM('CASE DATA'!K74:S74),0),0)</f>
        <v>0</v>
      </c>
      <c r="F74" s="78">
        <f>IFERROR(IF('CASE DATA'!D74+7300&gt;'BASIC INFO'!$B$3,SUM('CASE DATA'!J74:S74),0),0)</f>
        <v>0</v>
      </c>
    </row>
    <row r="75" spans="1:6" x14ac:dyDescent="0.25">
      <c r="A75" s="57" t="str">
        <f>IF('CASE DATA'!A75="","",'CASE DATA'!A75)</f>
        <v/>
      </c>
      <c r="B75" s="62" t="str">
        <f>IF('CASE DATA'!A75&lt;&gt;"",IF('CASE DATA'!G75=0, "open charge", 'CASE DATA'!G75),"")</f>
        <v/>
      </c>
      <c r="C75" s="75">
        <f>IFERROR(IF('CASE DATA'!D75+7300&lt;'BASIC INFO'!$B$3,'CASE DATA'!J75+'CASE DATA'!K75,0),0)</f>
        <v>0</v>
      </c>
      <c r="D75" s="85">
        <f>IFERROR(IF('CASE DATA'!D75+7300&lt;DATE(2010,1,1),SUM('CASE DATA'!K75:S75),0),0)</f>
        <v>0</v>
      </c>
      <c r="E75" s="77">
        <f>IF(D75=0,IF('CASE DATA'!D75+7300&lt;'BASIC INFO'!$B$3,SUM('CASE DATA'!K75:S75),0),0)</f>
        <v>0</v>
      </c>
      <c r="F75" s="78">
        <f>IFERROR(IF('CASE DATA'!D75+7300&gt;'BASIC INFO'!$B$3,SUM('CASE DATA'!J75:S75),0),0)</f>
        <v>0</v>
      </c>
    </row>
    <row r="76" spans="1:6" x14ac:dyDescent="0.25">
      <c r="A76" s="57" t="str">
        <f>IF('CASE DATA'!A76="","",'CASE DATA'!A76)</f>
        <v/>
      </c>
      <c r="B76" s="62" t="str">
        <f>IF('CASE DATA'!A76&lt;&gt;"",IF('CASE DATA'!G76=0, "open charge", 'CASE DATA'!G76),"")</f>
        <v/>
      </c>
      <c r="C76" s="75">
        <f>IFERROR(IF('CASE DATA'!D76+7300&lt;'BASIC INFO'!$B$3,'CASE DATA'!J76+'CASE DATA'!K76,0),0)</f>
        <v>0</v>
      </c>
      <c r="D76" s="85">
        <f>IFERROR(IF('CASE DATA'!D76+7300&lt;DATE(2010,1,1),SUM('CASE DATA'!K76:S76),0),0)</f>
        <v>0</v>
      </c>
      <c r="E76" s="77">
        <f>IF(D76=0,IF('CASE DATA'!D76+7300&lt;'BASIC INFO'!$B$3,SUM('CASE DATA'!K76:S76),0),0)</f>
        <v>0</v>
      </c>
      <c r="F76" s="78">
        <f>IFERROR(IF('CASE DATA'!D76+7300&gt;'BASIC INFO'!$B$3,SUM('CASE DATA'!J76:S76),0),0)</f>
        <v>0</v>
      </c>
    </row>
    <row r="77" spans="1:6" x14ac:dyDescent="0.25">
      <c r="A77" s="57" t="str">
        <f>IF('CASE DATA'!A77="","",'CASE DATA'!A77)</f>
        <v/>
      </c>
      <c r="B77" s="62" t="str">
        <f>IF('CASE DATA'!A77&lt;&gt;"",IF('CASE DATA'!G77=0, "open charge", 'CASE DATA'!G77),"")</f>
        <v/>
      </c>
      <c r="C77" s="75">
        <f>IFERROR(IF('CASE DATA'!D77+7300&lt;'BASIC INFO'!$B$3,'CASE DATA'!J77+'CASE DATA'!K77,0),0)</f>
        <v>0</v>
      </c>
      <c r="D77" s="85">
        <f>IFERROR(IF('CASE DATA'!D77+7300&lt;DATE(2010,1,1),SUM('CASE DATA'!K77:S77),0),0)</f>
        <v>0</v>
      </c>
      <c r="E77" s="77">
        <f>IF(D77=0,IF('CASE DATA'!D77+7300&lt;'BASIC INFO'!$B$3,SUM('CASE DATA'!K77:S77),0),0)</f>
        <v>0</v>
      </c>
      <c r="F77" s="78">
        <f>IFERROR(IF('CASE DATA'!D77+7300&gt;'BASIC INFO'!$B$3,SUM('CASE DATA'!J77:S77),0),0)</f>
        <v>0</v>
      </c>
    </row>
    <row r="78" spans="1:6" x14ac:dyDescent="0.25">
      <c r="A78" s="57" t="str">
        <f>IF('CASE DATA'!A78="","",'CASE DATA'!A78)</f>
        <v/>
      </c>
      <c r="B78" s="62" t="str">
        <f>IF('CASE DATA'!A78&lt;&gt;"",IF('CASE DATA'!G78=0, "open charge", 'CASE DATA'!G78),"")</f>
        <v/>
      </c>
      <c r="C78" s="75">
        <f>IFERROR(IF('CASE DATA'!D78+7300&lt;'BASIC INFO'!$B$3,'CASE DATA'!J78+'CASE DATA'!K78,0),0)</f>
        <v>0</v>
      </c>
      <c r="D78" s="85">
        <f>IFERROR(IF('CASE DATA'!D78+7300&lt;DATE(2010,1,1),SUM('CASE DATA'!K78:S78),0),0)</f>
        <v>0</v>
      </c>
      <c r="E78" s="77">
        <f>IF(D78=0,IF('CASE DATA'!D78+7300&lt;'BASIC INFO'!$B$3,SUM('CASE DATA'!K78:S78),0),0)</f>
        <v>0</v>
      </c>
      <c r="F78" s="78">
        <f>IFERROR(IF('CASE DATA'!D78+7300&gt;'BASIC INFO'!$B$3,SUM('CASE DATA'!J78:S78),0),0)</f>
        <v>0</v>
      </c>
    </row>
    <row r="79" spans="1:6" x14ac:dyDescent="0.25">
      <c r="A79" s="57" t="str">
        <f>IF('CASE DATA'!A79="","",'CASE DATA'!A79)</f>
        <v/>
      </c>
      <c r="B79" s="62" t="str">
        <f>IF('CASE DATA'!A79&lt;&gt;"",IF('CASE DATA'!G79=0, "open charge", 'CASE DATA'!G79),"")</f>
        <v/>
      </c>
      <c r="C79" s="75">
        <f>IFERROR(IF('CASE DATA'!D79+7300&lt;'BASIC INFO'!$B$3,'CASE DATA'!J79+'CASE DATA'!K79,0),0)</f>
        <v>0</v>
      </c>
      <c r="D79" s="85">
        <f>IFERROR(IF('CASE DATA'!D79+7300&lt;DATE(2010,1,1),SUM('CASE DATA'!K79:S79),0),0)</f>
        <v>0</v>
      </c>
      <c r="E79" s="77">
        <f>IF(D79=0,IF('CASE DATA'!D79+7300&lt;'BASIC INFO'!$B$3,SUM('CASE DATA'!K79:S79),0),0)</f>
        <v>0</v>
      </c>
      <c r="F79" s="78">
        <f>IFERROR(IF('CASE DATA'!D79+7300&gt;'BASIC INFO'!$B$3,SUM('CASE DATA'!J79:S79),0),0)</f>
        <v>0</v>
      </c>
    </row>
    <row r="80" spans="1:6" x14ac:dyDescent="0.25">
      <c r="A80" s="57" t="str">
        <f>IF('CASE DATA'!A80="","",'CASE DATA'!A80)</f>
        <v/>
      </c>
      <c r="B80" s="62" t="str">
        <f>IF('CASE DATA'!A80&lt;&gt;"",IF('CASE DATA'!G80=0, "open charge", 'CASE DATA'!G80),"")</f>
        <v/>
      </c>
      <c r="C80" s="75">
        <f>IFERROR(IF('CASE DATA'!D80+7300&lt;'BASIC INFO'!$B$3,'CASE DATA'!J80+'CASE DATA'!K80,0),0)</f>
        <v>0</v>
      </c>
      <c r="D80" s="85">
        <f>IFERROR(IF('CASE DATA'!D80+7300&lt;DATE(2010,1,1),SUM('CASE DATA'!K80:S80),0),0)</f>
        <v>0</v>
      </c>
      <c r="E80" s="77">
        <f>IF(D80=0,IF('CASE DATA'!D80+7300&lt;'BASIC INFO'!$B$3,SUM('CASE DATA'!K80:S80),0),0)</f>
        <v>0</v>
      </c>
      <c r="F80" s="78">
        <f>IFERROR(IF('CASE DATA'!D80+7300&gt;'BASIC INFO'!$B$3,SUM('CASE DATA'!J80:S80),0),0)</f>
        <v>0</v>
      </c>
    </row>
    <row r="81" spans="1:6" x14ac:dyDescent="0.25">
      <c r="A81" s="57" t="str">
        <f>IF('CASE DATA'!A81="","",'CASE DATA'!A81)</f>
        <v/>
      </c>
      <c r="B81" s="62" t="str">
        <f>IF('CASE DATA'!A81&lt;&gt;"",IF('CASE DATA'!G81=0, "open charge", 'CASE DATA'!G81),"")</f>
        <v/>
      </c>
      <c r="C81" s="75">
        <f>IFERROR(IF('CASE DATA'!D81+7300&lt;'BASIC INFO'!$B$3,'CASE DATA'!J81+'CASE DATA'!K81,0),0)</f>
        <v>0</v>
      </c>
      <c r="D81" s="85">
        <f>IFERROR(IF('CASE DATA'!D81+7300&lt;DATE(2010,1,1),SUM('CASE DATA'!K81:S81),0),0)</f>
        <v>0</v>
      </c>
      <c r="E81" s="77">
        <f>IF(D81=0,IF('CASE DATA'!D81+7300&lt;'BASIC INFO'!$B$3,SUM('CASE DATA'!K81:S81),0),0)</f>
        <v>0</v>
      </c>
      <c r="F81" s="78">
        <f>IFERROR(IF('CASE DATA'!D81+7300&gt;'BASIC INFO'!$B$3,SUM('CASE DATA'!J81:S81),0),0)</f>
        <v>0</v>
      </c>
    </row>
    <row r="82" spans="1:6" x14ac:dyDescent="0.25">
      <c r="A82" s="57" t="str">
        <f>IF('CASE DATA'!A82="","",'CASE DATA'!A82)</f>
        <v/>
      </c>
      <c r="B82" s="62" t="str">
        <f>IF('CASE DATA'!A82&lt;&gt;"",IF('CASE DATA'!G82=0, "open charge", 'CASE DATA'!G82),"")</f>
        <v/>
      </c>
      <c r="C82" s="75">
        <f>IFERROR(IF('CASE DATA'!D82+7300&lt;'BASIC INFO'!$B$3,'CASE DATA'!J82+'CASE DATA'!K82,0),0)</f>
        <v>0</v>
      </c>
      <c r="D82" s="85">
        <f>IFERROR(IF('CASE DATA'!D82+7300&lt;DATE(2010,1,1),SUM('CASE DATA'!K82:S82),0),0)</f>
        <v>0</v>
      </c>
      <c r="E82" s="77">
        <f>IF(D82=0,IF('CASE DATA'!D82+7300&lt;'BASIC INFO'!$B$3,SUM('CASE DATA'!K82:S82),0),0)</f>
        <v>0</v>
      </c>
      <c r="F82" s="78">
        <f>IFERROR(IF('CASE DATA'!D82+7300&gt;'BASIC INFO'!$B$3,SUM('CASE DATA'!J82:S82),0),0)</f>
        <v>0</v>
      </c>
    </row>
    <row r="83" spans="1:6" x14ac:dyDescent="0.25">
      <c r="A83" s="57" t="str">
        <f>IF('CASE DATA'!A83="","",'CASE DATA'!A83)</f>
        <v/>
      </c>
      <c r="B83" s="62" t="str">
        <f>IF('CASE DATA'!A83&lt;&gt;"",IF('CASE DATA'!G83=0, "open charge", 'CASE DATA'!G83),"")</f>
        <v/>
      </c>
      <c r="C83" s="75">
        <f>IFERROR(IF('CASE DATA'!D83+7300&lt;'BASIC INFO'!$B$3,'CASE DATA'!J83+'CASE DATA'!K83,0),0)</f>
        <v>0</v>
      </c>
      <c r="D83" s="85">
        <f>IFERROR(IF('CASE DATA'!D83+7300&lt;DATE(2010,1,1),SUM('CASE DATA'!K83:S83),0),0)</f>
        <v>0</v>
      </c>
      <c r="E83" s="77">
        <f>IF(D83=0,IF('CASE DATA'!D83+7300&lt;'BASIC INFO'!$B$3,SUM('CASE DATA'!K83:S83),0),0)</f>
        <v>0</v>
      </c>
      <c r="F83" s="78">
        <f>IFERROR(IF('CASE DATA'!D83+7300&gt;'BASIC INFO'!$B$3,SUM('CASE DATA'!J83:S83),0),0)</f>
        <v>0</v>
      </c>
    </row>
    <row r="84" spans="1:6" x14ac:dyDescent="0.25">
      <c r="A84" s="57" t="str">
        <f>IF('CASE DATA'!A84="","",'CASE DATA'!A84)</f>
        <v/>
      </c>
      <c r="B84" s="62" t="str">
        <f>IF('CASE DATA'!A84&lt;&gt;"",IF('CASE DATA'!G84=0, "open charge", 'CASE DATA'!G84),"")</f>
        <v/>
      </c>
      <c r="C84" s="75">
        <f>IFERROR(IF('CASE DATA'!D84+7300&lt;'BASIC INFO'!$B$3,'CASE DATA'!J84+'CASE DATA'!K84,0),0)</f>
        <v>0</v>
      </c>
      <c r="D84" s="85">
        <f>IFERROR(IF('CASE DATA'!D84+7300&lt;DATE(2010,1,1),SUM('CASE DATA'!K84:S84),0),0)</f>
        <v>0</v>
      </c>
      <c r="E84" s="77">
        <f>IF(D84=0,IF('CASE DATA'!D84+7300&lt;'BASIC INFO'!$B$3,SUM('CASE DATA'!K84:S84),0),0)</f>
        <v>0</v>
      </c>
      <c r="F84" s="78">
        <f>IFERROR(IF('CASE DATA'!D84+7300&gt;'BASIC INFO'!$B$3,SUM('CASE DATA'!J84:S84),0),0)</f>
        <v>0</v>
      </c>
    </row>
    <row r="85" spans="1:6" x14ac:dyDescent="0.25">
      <c r="A85" s="57" t="str">
        <f>IF('CASE DATA'!A85="","",'CASE DATA'!A85)</f>
        <v/>
      </c>
      <c r="B85" s="62" t="str">
        <f>IF('CASE DATA'!A85&lt;&gt;"",IF('CASE DATA'!G85=0, "open charge", 'CASE DATA'!G85),"")</f>
        <v/>
      </c>
      <c r="C85" s="75">
        <f>IFERROR(IF('CASE DATA'!D85+7300&lt;'BASIC INFO'!$B$3,'CASE DATA'!J85+'CASE DATA'!K85,0),0)</f>
        <v>0</v>
      </c>
      <c r="D85" s="85">
        <f>IFERROR(IF('CASE DATA'!D85+7300&lt;DATE(2010,1,1),SUM('CASE DATA'!K85:S85),0),0)</f>
        <v>0</v>
      </c>
      <c r="E85" s="77">
        <f>IF(D85=0,IF('CASE DATA'!D85+7300&lt;'BASIC INFO'!$B$3,SUM('CASE DATA'!K85:S85),0),0)</f>
        <v>0</v>
      </c>
      <c r="F85" s="78">
        <f>IFERROR(IF('CASE DATA'!D85+7300&gt;'BASIC INFO'!$B$3,SUM('CASE DATA'!J85:S85),0),0)</f>
        <v>0</v>
      </c>
    </row>
    <row r="86" spans="1:6" x14ac:dyDescent="0.25">
      <c r="A86" s="57" t="str">
        <f>IF('CASE DATA'!A86="","",'CASE DATA'!A86)</f>
        <v/>
      </c>
      <c r="B86" s="62" t="str">
        <f>IF('CASE DATA'!A86&lt;&gt;"",IF('CASE DATA'!G86=0, "open charge", 'CASE DATA'!G86),"")</f>
        <v/>
      </c>
      <c r="C86" s="75">
        <f>IFERROR(IF('CASE DATA'!D86+7300&lt;'BASIC INFO'!$B$3,'CASE DATA'!J86+'CASE DATA'!K86,0),0)</f>
        <v>0</v>
      </c>
      <c r="D86" s="85">
        <f>IFERROR(IF('CASE DATA'!D86+7300&lt;DATE(2010,1,1),SUM('CASE DATA'!K86:S86),0),0)</f>
        <v>0</v>
      </c>
      <c r="E86" s="77">
        <f>IF(D86=0,IF('CASE DATA'!D86+7300&lt;'BASIC INFO'!$B$3,SUM('CASE DATA'!K86:S86),0),0)</f>
        <v>0</v>
      </c>
      <c r="F86" s="78">
        <f>IFERROR(IF('CASE DATA'!D86+7300&gt;'BASIC INFO'!$B$3,SUM('CASE DATA'!J86:S86),0),0)</f>
        <v>0</v>
      </c>
    </row>
    <row r="87" spans="1:6" x14ac:dyDescent="0.25">
      <c r="A87" s="57" t="str">
        <f>IF('CASE DATA'!A87="","",'CASE DATA'!A87)</f>
        <v/>
      </c>
      <c r="B87" s="62" t="str">
        <f>IF('CASE DATA'!A87&lt;&gt;"",IF('CASE DATA'!G87=0, "open charge", 'CASE DATA'!G87),"")</f>
        <v/>
      </c>
      <c r="C87" s="75">
        <f>IFERROR(IF('CASE DATA'!D87+7300&lt;'BASIC INFO'!$B$3,'CASE DATA'!J87+'CASE DATA'!K87,0),0)</f>
        <v>0</v>
      </c>
      <c r="D87" s="85">
        <f>IFERROR(IF('CASE DATA'!D87+7300&lt;DATE(2010,1,1),SUM('CASE DATA'!K87:S87),0),0)</f>
        <v>0</v>
      </c>
      <c r="E87" s="77">
        <f>IF(D87=0,IF('CASE DATA'!D87+7300&lt;'BASIC INFO'!$B$3,SUM('CASE DATA'!K87:S87),0),0)</f>
        <v>0</v>
      </c>
      <c r="F87" s="78">
        <f>IFERROR(IF('CASE DATA'!D87+7300&gt;'BASIC INFO'!$B$3,SUM('CASE DATA'!J87:S87),0),0)</f>
        <v>0</v>
      </c>
    </row>
    <row r="88" spans="1:6" x14ac:dyDescent="0.25">
      <c r="A88" s="57" t="str">
        <f>IF('CASE DATA'!A88="","",'CASE DATA'!A88)</f>
        <v/>
      </c>
      <c r="B88" s="62" t="str">
        <f>IF('CASE DATA'!A88&lt;&gt;"",IF('CASE DATA'!G88=0, "open charge", 'CASE DATA'!G88),"")</f>
        <v/>
      </c>
      <c r="C88" s="75">
        <f>IFERROR(IF('CASE DATA'!D88+7300&lt;'BASIC INFO'!$B$3,'CASE DATA'!J88+'CASE DATA'!K88,0),0)</f>
        <v>0</v>
      </c>
      <c r="D88" s="85">
        <f>IFERROR(IF('CASE DATA'!D88+7300&lt;DATE(2010,1,1),SUM('CASE DATA'!K88:S88),0),0)</f>
        <v>0</v>
      </c>
      <c r="E88" s="77">
        <f>IF(D88=0,IF('CASE DATA'!D88+7300&lt;'BASIC INFO'!$B$3,SUM('CASE DATA'!K88:S88),0),0)</f>
        <v>0</v>
      </c>
      <c r="F88" s="78">
        <f>IFERROR(IF('CASE DATA'!D88+7300&gt;'BASIC INFO'!$B$3,SUM('CASE DATA'!J88:S88),0),0)</f>
        <v>0</v>
      </c>
    </row>
    <row r="89" spans="1:6" x14ac:dyDescent="0.25">
      <c r="A89" s="57" t="str">
        <f>IF('CASE DATA'!A89="","",'CASE DATA'!A89)</f>
        <v/>
      </c>
      <c r="B89" s="62" t="str">
        <f>IF('CASE DATA'!A89&lt;&gt;"",IF('CASE DATA'!G89=0, "open charge", 'CASE DATA'!G89),"")</f>
        <v/>
      </c>
      <c r="C89" s="75">
        <f>IFERROR(IF('CASE DATA'!D89+7300&lt;'BASIC INFO'!$B$3,'CASE DATA'!J89+'CASE DATA'!K89,0),0)</f>
        <v>0</v>
      </c>
      <c r="D89" s="85">
        <f>IFERROR(IF('CASE DATA'!D89+7300&lt;DATE(2010,1,1),SUM('CASE DATA'!K89:S89),0),0)</f>
        <v>0</v>
      </c>
      <c r="E89" s="77">
        <f>IF(D89=0,IF('CASE DATA'!D89+7300&lt;'BASIC INFO'!$B$3,SUM('CASE DATA'!K89:S89),0),0)</f>
        <v>0</v>
      </c>
      <c r="F89" s="78">
        <f>IFERROR(IF('CASE DATA'!D89+7300&gt;'BASIC INFO'!$B$3,SUM('CASE DATA'!J89:S89),0),0)</f>
        <v>0</v>
      </c>
    </row>
    <row r="90" spans="1:6" x14ac:dyDescent="0.25">
      <c r="A90" s="57" t="str">
        <f>IF('CASE DATA'!A90="","",'CASE DATA'!A90)</f>
        <v/>
      </c>
      <c r="B90" s="62" t="str">
        <f>IF('CASE DATA'!A90&lt;&gt;"",IF('CASE DATA'!G90=0, "open charge", 'CASE DATA'!G90),"")</f>
        <v/>
      </c>
      <c r="C90" s="75">
        <f>IFERROR(IF('CASE DATA'!D90+7300&lt;'BASIC INFO'!$B$3,'CASE DATA'!J90+'CASE DATA'!K90,0),0)</f>
        <v>0</v>
      </c>
      <c r="D90" s="85">
        <f>IFERROR(IF('CASE DATA'!D90+7300&lt;DATE(2010,1,1),SUM('CASE DATA'!K90:S90),0),0)</f>
        <v>0</v>
      </c>
      <c r="E90" s="77">
        <f>IF(D90=0,IF('CASE DATA'!D90+7300&lt;'BASIC INFO'!$B$3,SUM('CASE DATA'!K90:S90),0),0)</f>
        <v>0</v>
      </c>
      <c r="F90" s="78">
        <f>IFERROR(IF('CASE DATA'!D90+7300&gt;'BASIC INFO'!$B$3,SUM('CASE DATA'!J90:S90),0),0)</f>
        <v>0</v>
      </c>
    </row>
    <row r="91" spans="1:6" x14ac:dyDescent="0.25">
      <c r="A91" s="57" t="str">
        <f>IF('CASE DATA'!A91="","",'CASE DATA'!A91)</f>
        <v/>
      </c>
      <c r="B91" s="62" t="str">
        <f>IF('CASE DATA'!A91&lt;&gt;"",IF('CASE DATA'!G91=0, "open charge", 'CASE DATA'!G91),"")</f>
        <v/>
      </c>
      <c r="C91" s="75">
        <f>IFERROR(IF('CASE DATA'!D91+7300&lt;'BASIC INFO'!$B$3,'CASE DATA'!J91+'CASE DATA'!K91,0),0)</f>
        <v>0</v>
      </c>
      <c r="D91" s="85">
        <f>IFERROR(IF('CASE DATA'!D91+7300&lt;DATE(2010,1,1),SUM('CASE DATA'!K91:S91),0),0)</f>
        <v>0</v>
      </c>
      <c r="E91" s="77">
        <f>IF(D91=0,IF('CASE DATA'!D91+7300&lt;'BASIC INFO'!$B$3,SUM('CASE DATA'!K91:S91),0),0)</f>
        <v>0</v>
      </c>
      <c r="F91" s="78">
        <f>IFERROR(IF('CASE DATA'!D91+7300&gt;'BASIC INFO'!$B$3,SUM('CASE DATA'!J91:S91),0),0)</f>
        <v>0</v>
      </c>
    </row>
    <row r="92" spans="1:6" x14ac:dyDescent="0.25">
      <c r="A92" s="57" t="str">
        <f>IF('CASE DATA'!A92="","",'CASE DATA'!A92)</f>
        <v/>
      </c>
      <c r="B92" s="62" t="str">
        <f>IF('CASE DATA'!A92&lt;&gt;"",IF('CASE DATA'!G92=0, "open charge", 'CASE DATA'!G92),"")</f>
        <v/>
      </c>
      <c r="C92" s="75">
        <f>IFERROR(IF('CASE DATA'!D92+7300&lt;'BASIC INFO'!$B$3,'CASE DATA'!J92+'CASE DATA'!K92,0),0)</f>
        <v>0</v>
      </c>
      <c r="D92" s="85">
        <f>IFERROR(IF('CASE DATA'!D92+7300&lt;DATE(2010,1,1),SUM('CASE DATA'!K92:S92),0),0)</f>
        <v>0</v>
      </c>
      <c r="E92" s="77">
        <f>IF(D92=0,IF('CASE DATA'!D92+7300&lt;'BASIC INFO'!$B$3,SUM('CASE DATA'!K92:S92),0),0)</f>
        <v>0</v>
      </c>
      <c r="F92" s="78">
        <f>IFERROR(IF('CASE DATA'!D92+7300&gt;'BASIC INFO'!$B$3,SUM('CASE DATA'!J92:S92),0),0)</f>
        <v>0</v>
      </c>
    </row>
    <row r="93" spans="1:6" x14ac:dyDescent="0.25">
      <c r="A93" s="57" t="str">
        <f>IF('CASE DATA'!A93="","",'CASE DATA'!A93)</f>
        <v/>
      </c>
      <c r="B93" s="62" t="str">
        <f>IF('CASE DATA'!A93&lt;&gt;"",IF('CASE DATA'!G93=0, "open charge", 'CASE DATA'!G93),"")</f>
        <v/>
      </c>
      <c r="C93" s="75">
        <f>IFERROR(IF('CASE DATA'!D93+7300&lt;'BASIC INFO'!$B$3,'CASE DATA'!J93+'CASE DATA'!K93,0),0)</f>
        <v>0</v>
      </c>
      <c r="D93" s="85">
        <f>IFERROR(IF('CASE DATA'!D93+7300&lt;DATE(2010,1,1),SUM('CASE DATA'!K93:S93),0),0)</f>
        <v>0</v>
      </c>
      <c r="E93" s="77">
        <f>IF(D93=0,IF('CASE DATA'!D93+7300&lt;'BASIC INFO'!$B$3,SUM('CASE DATA'!K93:S93),0),0)</f>
        <v>0</v>
      </c>
      <c r="F93" s="78">
        <f>IFERROR(IF('CASE DATA'!D93+7300&gt;'BASIC INFO'!$B$3,SUM('CASE DATA'!J93:S93),0),0)</f>
        <v>0</v>
      </c>
    </row>
    <row r="94" spans="1:6" x14ac:dyDescent="0.25">
      <c r="A94" s="57" t="str">
        <f>IF('CASE DATA'!A94="","",'CASE DATA'!A94)</f>
        <v/>
      </c>
      <c r="B94" s="62" t="str">
        <f>IF('CASE DATA'!A94&lt;&gt;"",IF('CASE DATA'!G94=0, "open charge", 'CASE DATA'!G94),"")</f>
        <v/>
      </c>
      <c r="C94" s="75">
        <f>IFERROR(IF('CASE DATA'!D94+7300&lt;'BASIC INFO'!$B$3,'CASE DATA'!J94+'CASE DATA'!K94,0),0)</f>
        <v>0</v>
      </c>
      <c r="D94" s="85">
        <f>IFERROR(IF('CASE DATA'!D94+7300&lt;DATE(2010,1,1),SUM('CASE DATA'!K94:S94),0),0)</f>
        <v>0</v>
      </c>
      <c r="E94" s="77">
        <f>IF(D94=0,IF('CASE DATA'!D94+7300&lt;'BASIC INFO'!$B$3,SUM('CASE DATA'!K94:S94),0),0)</f>
        <v>0</v>
      </c>
      <c r="F94" s="78">
        <f>IFERROR(IF('CASE DATA'!D94+7300&gt;'BASIC INFO'!$B$3,SUM('CASE DATA'!J94:S94),0),0)</f>
        <v>0</v>
      </c>
    </row>
    <row r="95" spans="1:6" x14ac:dyDescent="0.25">
      <c r="A95" s="57" t="str">
        <f>IF('CASE DATA'!A95="","",'CASE DATA'!A95)</f>
        <v/>
      </c>
      <c r="B95" s="62" t="str">
        <f>IF('CASE DATA'!A95&lt;&gt;"",IF('CASE DATA'!G95=0, "open charge", 'CASE DATA'!G95),"")</f>
        <v/>
      </c>
      <c r="C95" s="75">
        <f>IFERROR(IF('CASE DATA'!D95+7300&lt;'BASIC INFO'!$B$3,'CASE DATA'!J95+'CASE DATA'!K95,0),0)</f>
        <v>0</v>
      </c>
      <c r="D95" s="85">
        <f>IFERROR(IF('CASE DATA'!D95+7300&lt;DATE(2010,1,1),SUM('CASE DATA'!K95:S95),0),0)</f>
        <v>0</v>
      </c>
      <c r="E95" s="77">
        <f>IF(D95=0,IF('CASE DATA'!D95+7300&lt;'BASIC INFO'!$B$3,SUM('CASE DATA'!K95:S95),0),0)</f>
        <v>0</v>
      </c>
      <c r="F95" s="78">
        <f>IFERROR(IF('CASE DATA'!D95+7300&gt;'BASIC INFO'!$B$3,SUM('CASE DATA'!J95:S95),0),0)</f>
        <v>0</v>
      </c>
    </row>
    <row r="96" spans="1:6" x14ac:dyDescent="0.25">
      <c r="A96" s="57" t="str">
        <f>IF('CASE DATA'!A96="","",'CASE DATA'!A96)</f>
        <v/>
      </c>
      <c r="B96" s="62" t="str">
        <f>IF('CASE DATA'!A96&lt;&gt;"",IF('CASE DATA'!G96=0, "open charge", 'CASE DATA'!G96),"")</f>
        <v/>
      </c>
      <c r="C96" s="75">
        <f>IFERROR(IF('CASE DATA'!D96+7300&lt;'BASIC INFO'!$B$3,'CASE DATA'!J96+'CASE DATA'!K96,0),0)</f>
        <v>0</v>
      </c>
      <c r="D96" s="85">
        <f>IFERROR(IF('CASE DATA'!D96+7300&lt;DATE(2010,1,1),SUM('CASE DATA'!K96:S96),0),0)</f>
        <v>0</v>
      </c>
      <c r="E96" s="77">
        <f>IF(D96=0,IF('CASE DATA'!D96+7300&lt;'BASIC INFO'!$B$3,SUM('CASE DATA'!K96:S96),0),0)</f>
        <v>0</v>
      </c>
      <c r="F96" s="78">
        <f>IFERROR(IF('CASE DATA'!D96+7300&gt;'BASIC INFO'!$B$3,SUM('CASE DATA'!J96:S96),0),0)</f>
        <v>0</v>
      </c>
    </row>
    <row r="97" spans="1:6" x14ac:dyDescent="0.25">
      <c r="A97" s="57" t="str">
        <f>IF('CASE DATA'!A97="","",'CASE DATA'!A97)</f>
        <v/>
      </c>
      <c r="B97" s="62" t="str">
        <f>IF('CASE DATA'!A97&lt;&gt;"",IF('CASE DATA'!G97=0, "open charge", 'CASE DATA'!G97),"")</f>
        <v/>
      </c>
      <c r="C97" s="75">
        <f>IFERROR(IF('CASE DATA'!D97+7300&lt;'BASIC INFO'!$B$3,'CASE DATA'!J97+'CASE DATA'!K97,0),0)</f>
        <v>0</v>
      </c>
      <c r="D97" s="85">
        <f>IFERROR(IF('CASE DATA'!D97+7300&lt;DATE(2010,1,1),SUM('CASE DATA'!K97:S97),0),0)</f>
        <v>0</v>
      </c>
      <c r="E97" s="77">
        <f>IF(D97=0,IF('CASE DATA'!D97+7300&lt;'BASIC INFO'!$B$3,SUM('CASE DATA'!K97:S97),0),0)</f>
        <v>0</v>
      </c>
      <c r="F97" s="78">
        <f>IFERROR(IF('CASE DATA'!D97+7300&gt;'BASIC INFO'!$B$3,SUM('CASE DATA'!J97:S97),0),0)</f>
        <v>0</v>
      </c>
    </row>
    <row r="98" spans="1:6" x14ac:dyDescent="0.25">
      <c r="A98" s="57" t="str">
        <f>IF('CASE DATA'!A98="","",'CASE DATA'!A98)</f>
        <v/>
      </c>
      <c r="B98" s="62" t="str">
        <f>IF('CASE DATA'!A98&lt;&gt;"",IF('CASE DATA'!G98=0, "open charge", 'CASE DATA'!G98),"")</f>
        <v/>
      </c>
      <c r="C98" s="75">
        <f>IFERROR(IF('CASE DATA'!D98+7300&lt;'BASIC INFO'!$B$3,'CASE DATA'!J98+'CASE DATA'!K98,0),0)</f>
        <v>0</v>
      </c>
      <c r="D98" s="85">
        <f>IFERROR(IF('CASE DATA'!D98+7300&lt;DATE(2010,1,1),SUM('CASE DATA'!K98:S98),0),0)</f>
        <v>0</v>
      </c>
      <c r="E98" s="77">
        <f>IF(D98=0,IF('CASE DATA'!D98+7300&lt;'BASIC INFO'!$B$3,SUM('CASE DATA'!K98:S98),0),0)</f>
        <v>0</v>
      </c>
      <c r="F98" s="78">
        <f>IFERROR(IF('CASE DATA'!D98+7300&gt;'BASIC INFO'!$B$3,SUM('CASE DATA'!J98:S98),0),0)</f>
        <v>0</v>
      </c>
    </row>
    <row r="99" spans="1:6" x14ac:dyDescent="0.25">
      <c r="A99" s="57" t="str">
        <f>IF('CASE DATA'!A99="","",'CASE DATA'!A99)</f>
        <v/>
      </c>
      <c r="B99" s="62" t="str">
        <f>IF('CASE DATA'!A99&lt;&gt;"",IF('CASE DATA'!G99=0, "open charge", 'CASE DATA'!G99),"")</f>
        <v/>
      </c>
      <c r="C99" s="75">
        <f>IFERROR(IF('CASE DATA'!D99+7300&lt;'BASIC INFO'!$B$3,'CASE DATA'!J99+'CASE DATA'!K99,0),0)</f>
        <v>0</v>
      </c>
      <c r="D99" s="85">
        <f>IFERROR(IF('CASE DATA'!D99+7300&lt;DATE(2010,1,1),SUM('CASE DATA'!K99:S99),0),0)</f>
        <v>0</v>
      </c>
      <c r="E99" s="77">
        <f>IF(D99=0,IF('CASE DATA'!D99+7300&lt;'BASIC INFO'!$B$3,SUM('CASE DATA'!K99:S99),0),0)</f>
        <v>0</v>
      </c>
      <c r="F99" s="78">
        <f>IFERROR(IF('CASE DATA'!D99+7300&gt;'BASIC INFO'!$B$3,SUM('CASE DATA'!J99:S99),0),0)</f>
        <v>0</v>
      </c>
    </row>
    <row r="100" spans="1:6" x14ac:dyDescent="0.25">
      <c r="A100" s="57" t="str">
        <f>IF('CASE DATA'!A100="","",'CASE DATA'!A100)</f>
        <v/>
      </c>
      <c r="B100" s="62" t="str">
        <f>IF('CASE DATA'!A100&lt;&gt;"",IF('CASE DATA'!G100=0, "open charge", 'CASE DATA'!G100),"")</f>
        <v/>
      </c>
      <c r="C100" s="75">
        <f>IFERROR(IF('CASE DATA'!D100+7300&lt;'BASIC INFO'!$B$3,'CASE DATA'!J100+'CASE DATA'!K100,0),0)</f>
        <v>0</v>
      </c>
      <c r="D100" s="85">
        <f>IFERROR(IF('CASE DATA'!D100+7300&lt;DATE(2010,1,1),SUM('CASE DATA'!K100:S100),0),0)</f>
        <v>0</v>
      </c>
      <c r="E100" s="77">
        <f>IF(D100=0,IF('CASE DATA'!D100+7300&lt;'BASIC INFO'!$B$3,SUM('CASE DATA'!K100:S100),0),0)</f>
        <v>0</v>
      </c>
      <c r="F100" s="78">
        <f>IFERROR(IF('CASE DATA'!D100+7300&gt;'BASIC INFO'!$B$3,SUM('CASE DATA'!J100:S100),0),0)</f>
        <v>0</v>
      </c>
    </row>
    <row r="101" spans="1:6" x14ac:dyDescent="0.25">
      <c r="A101" s="57" t="str">
        <f>IF('CASE DATA'!A101="","",'CASE DATA'!A101)</f>
        <v/>
      </c>
      <c r="B101" s="62" t="str">
        <f>IF('CASE DATA'!A101&lt;&gt;"",IF('CASE DATA'!G101=0, "open charge", 'CASE DATA'!G101),"")</f>
        <v/>
      </c>
      <c r="C101" s="75">
        <f>IFERROR(IF('CASE DATA'!D101+7300&lt;'BASIC INFO'!$B$3,'CASE DATA'!J101+'CASE DATA'!K101,0),0)</f>
        <v>0</v>
      </c>
      <c r="D101" s="85">
        <f>IFERROR(IF('CASE DATA'!D101+7300&lt;DATE(2010,1,1),SUM('CASE DATA'!K101:S101),0),0)</f>
        <v>0</v>
      </c>
      <c r="E101" s="77">
        <f>IF(D101=0,IF('CASE DATA'!D101+7300&lt;'BASIC INFO'!$B$3,SUM('CASE DATA'!K101:S101),0),0)</f>
        <v>0</v>
      </c>
      <c r="F101" s="78">
        <f>IFERROR(IF('CASE DATA'!D101+7300&gt;'BASIC INFO'!$B$3,SUM('CASE DATA'!J101:S101),0),0)</f>
        <v>0</v>
      </c>
    </row>
    <row r="102" spans="1:6" x14ac:dyDescent="0.25">
      <c r="A102" s="57" t="str">
        <f>IF('CASE DATA'!A102="","",'CASE DATA'!A102)</f>
        <v/>
      </c>
      <c r="B102" s="62" t="str">
        <f>IF('CASE DATA'!A102&lt;&gt;"",IF('CASE DATA'!G102=0, "open charge", 'CASE DATA'!G102),"")</f>
        <v/>
      </c>
      <c r="C102" s="75">
        <f>IFERROR(IF('CASE DATA'!D102+7300&lt;'BASIC INFO'!$B$3,'CASE DATA'!J102+'CASE DATA'!K102,0),0)</f>
        <v>0</v>
      </c>
      <c r="D102" s="85">
        <f>IFERROR(IF('CASE DATA'!D102+7300&lt;DATE(2010,1,1),SUM('CASE DATA'!K102:S102),0),0)</f>
        <v>0</v>
      </c>
      <c r="E102" s="77">
        <f>IF(D102=0,IF('CASE DATA'!D102+7300&lt;'BASIC INFO'!$B$3,SUM('CASE DATA'!K102:S102),0),0)</f>
        <v>0</v>
      </c>
      <c r="F102" s="78">
        <f>IFERROR(IF('CASE DATA'!D102+7300&gt;'BASIC INFO'!$B$3,SUM('CASE DATA'!J102:S102),0),0)</f>
        <v>0</v>
      </c>
    </row>
    <row r="103" spans="1:6" x14ac:dyDescent="0.25">
      <c r="A103" s="57" t="str">
        <f>IF('CASE DATA'!A103="","",'CASE DATA'!A103)</f>
        <v/>
      </c>
      <c r="B103" s="62" t="str">
        <f>IF('CASE DATA'!A103&lt;&gt;"",IF('CASE DATA'!G103=0, "open charge", 'CASE DATA'!G103),"")</f>
        <v/>
      </c>
      <c r="C103" s="75">
        <f>IFERROR(IF('CASE DATA'!D103+7300&lt;'BASIC INFO'!$B$3,'CASE DATA'!J103+'CASE DATA'!K103,0),0)</f>
        <v>0</v>
      </c>
      <c r="D103" s="85">
        <f>IFERROR(IF('CASE DATA'!D103+7300&lt;DATE(2010,1,1),SUM('CASE DATA'!K103:S103),0),0)</f>
        <v>0</v>
      </c>
      <c r="E103" s="77">
        <f>IF(D103=0,IF('CASE DATA'!D103+7300&lt;'BASIC INFO'!$B$3,SUM('CASE DATA'!K103:S103),0),0)</f>
        <v>0</v>
      </c>
      <c r="F103" s="78">
        <f>IFERROR(IF('CASE DATA'!D103+7300&gt;'BASIC INFO'!$B$3,SUM('CASE DATA'!J103:S103),0),0)</f>
        <v>0</v>
      </c>
    </row>
    <row r="104" spans="1:6" x14ac:dyDescent="0.25">
      <c r="A104" s="57" t="str">
        <f>IF('CASE DATA'!A104="","",'CASE DATA'!A104)</f>
        <v/>
      </c>
      <c r="B104" s="62" t="str">
        <f>IF('CASE DATA'!A104&lt;&gt;"",IF('CASE DATA'!G104=0, "open charge", 'CASE DATA'!G104),"")</f>
        <v/>
      </c>
      <c r="C104" s="75">
        <f>IFERROR(IF('CASE DATA'!D104+7300&lt;'BASIC INFO'!$B$3,'CASE DATA'!J104+'CASE DATA'!K104,0),0)</f>
        <v>0</v>
      </c>
      <c r="D104" s="85">
        <f>IFERROR(IF('CASE DATA'!D104+7300&lt;DATE(2010,1,1),SUM('CASE DATA'!K104:S104),0),0)</f>
        <v>0</v>
      </c>
      <c r="E104" s="77">
        <f>IF(D104=0,IF('CASE DATA'!D104+7300&lt;'BASIC INFO'!$B$3,SUM('CASE DATA'!K104:S104),0),0)</f>
        <v>0</v>
      </c>
      <c r="F104" s="78">
        <f>IFERROR(IF('CASE DATA'!D104+7300&gt;'BASIC INFO'!$B$3,SUM('CASE DATA'!J104:S104),0),0)</f>
        <v>0</v>
      </c>
    </row>
    <row r="105" spans="1:6" x14ac:dyDescent="0.25">
      <c r="A105" s="57" t="str">
        <f>IF('CASE DATA'!A105="","",'CASE DATA'!A105)</f>
        <v/>
      </c>
      <c r="B105" s="62" t="str">
        <f>IF('CASE DATA'!A105&lt;&gt;"",IF('CASE DATA'!G105=0, "open charge", 'CASE DATA'!G105),"")</f>
        <v/>
      </c>
      <c r="C105" s="75">
        <f>IFERROR(IF('CASE DATA'!D105+7300&lt;'BASIC INFO'!$B$3,'CASE DATA'!J105+'CASE DATA'!K105,0),0)</f>
        <v>0</v>
      </c>
      <c r="D105" s="85">
        <f>IFERROR(IF('CASE DATA'!D105+7300&lt;DATE(2010,1,1),SUM('CASE DATA'!K105:S105),0),0)</f>
        <v>0</v>
      </c>
      <c r="E105" s="77">
        <f>IF(D105=0,IF('CASE DATA'!D105+7300&lt;'BASIC INFO'!$B$3,SUM('CASE DATA'!K105:S105),0),0)</f>
        <v>0</v>
      </c>
      <c r="F105" s="78">
        <f>IFERROR(IF('CASE DATA'!D105+7300&gt;'BASIC INFO'!$B$3,SUM('CASE DATA'!J105:S105),0),0)</f>
        <v>0</v>
      </c>
    </row>
    <row r="106" spans="1:6" x14ac:dyDescent="0.25">
      <c r="A106" s="57" t="str">
        <f>IF('CASE DATA'!A106="","",'CASE DATA'!A106)</f>
        <v/>
      </c>
      <c r="B106" s="62" t="str">
        <f>IF('CASE DATA'!A106&lt;&gt;"",IF('CASE DATA'!G106=0, "open charge", 'CASE DATA'!G106),"")</f>
        <v/>
      </c>
      <c r="C106" s="75">
        <f>IFERROR(IF('CASE DATA'!D106+7300&lt;'BASIC INFO'!$B$3,'CASE DATA'!J106+'CASE DATA'!K106,0),0)</f>
        <v>0</v>
      </c>
      <c r="D106" s="85">
        <f>IFERROR(IF('CASE DATA'!D106+7300&lt;DATE(2010,1,1),SUM('CASE DATA'!K106:S106),0),0)</f>
        <v>0</v>
      </c>
      <c r="E106" s="77">
        <f>IF(D106=0,IF('CASE DATA'!D106+7300&lt;'BASIC INFO'!$B$3,SUM('CASE DATA'!K106:S106),0),0)</f>
        <v>0</v>
      </c>
      <c r="F106" s="78">
        <f>IFERROR(IF('CASE DATA'!D106+7300&gt;'BASIC INFO'!$B$3,SUM('CASE DATA'!J106:S106),0),0)</f>
        <v>0</v>
      </c>
    </row>
    <row r="107" spans="1:6" x14ac:dyDescent="0.25">
      <c r="A107" s="57" t="str">
        <f>IF('CASE DATA'!A107="","",'CASE DATA'!A107)</f>
        <v/>
      </c>
      <c r="B107" s="62" t="str">
        <f>IF('CASE DATA'!A107&lt;&gt;"",IF('CASE DATA'!G107=0, "open charge", 'CASE DATA'!G107),"")</f>
        <v/>
      </c>
      <c r="C107" s="75">
        <f>IFERROR(IF('CASE DATA'!D107+7300&lt;'BASIC INFO'!$B$3,'CASE DATA'!J107+'CASE DATA'!K107,0),0)</f>
        <v>0</v>
      </c>
      <c r="D107" s="85">
        <f>IFERROR(IF('CASE DATA'!D107+7300&lt;DATE(2010,1,1),SUM('CASE DATA'!K107:S107),0),0)</f>
        <v>0</v>
      </c>
      <c r="E107" s="77">
        <f>IF(D107=0,IF('CASE DATA'!D107+7300&lt;'BASIC INFO'!$B$3,SUM('CASE DATA'!K107:S107),0),0)</f>
        <v>0</v>
      </c>
      <c r="F107" s="78">
        <f>IFERROR(IF('CASE DATA'!D107+7300&gt;'BASIC INFO'!$B$3,SUM('CASE DATA'!J107:S107),0),0)</f>
        <v>0</v>
      </c>
    </row>
    <row r="108" spans="1:6" x14ac:dyDescent="0.25">
      <c r="A108" s="57" t="str">
        <f>IF('CASE DATA'!A108="","",'CASE DATA'!A108)</f>
        <v/>
      </c>
      <c r="B108" s="62" t="str">
        <f>IF('CASE DATA'!A108&lt;&gt;"",IF('CASE DATA'!G108=0, "open charge", 'CASE DATA'!G108),"")</f>
        <v/>
      </c>
      <c r="C108" s="75">
        <f>IFERROR(IF('CASE DATA'!D108+7300&lt;'BASIC INFO'!$B$3,'CASE DATA'!J108+'CASE DATA'!K108,0),0)</f>
        <v>0</v>
      </c>
      <c r="D108" s="85">
        <f>IFERROR(IF('CASE DATA'!D108+7300&lt;DATE(2010,1,1),SUM('CASE DATA'!K108:S108),0),0)</f>
        <v>0</v>
      </c>
      <c r="E108" s="77">
        <f>IF(D108=0,IF('CASE DATA'!D108+7300&lt;'BASIC INFO'!$B$3,SUM('CASE DATA'!K108:S108),0),0)</f>
        <v>0</v>
      </c>
      <c r="F108" s="78">
        <f>IFERROR(IF('CASE DATA'!D108+7300&gt;'BASIC INFO'!$B$3,SUM('CASE DATA'!J108:S108),0),0)</f>
        <v>0</v>
      </c>
    </row>
    <row r="109" spans="1:6" x14ac:dyDescent="0.25">
      <c r="A109" s="57" t="str">
        <f>IF('CASE DATA'!A109="","",'CASE DATA'!A109)</f>
        <v/>
      </c>
      <c r="B109" s="62" t="str">
        <f>IF('CASE DATA'!A109&lt;&gt;"",IF('CASE DATA'!G109=0, "open charge", 'CASE DATA'!G109),"")</f>
        <v/>
      </c>
      <c r="C109" s="75">
        <f>IFERROR(IF('CASE DATA'!D109+7300&lt;'BASIC INFO'!$B$3,'CASE DATA'!J109+'CASE DATA'!K109,0),0)</f>
        <v>0</v>
      </c>
      <c r="D109" s="85">
        <f>IFERROR(IF('CASE DATA'!D109+7300&lt;DATE(2010,1,1),SUM('CASE DATA'!K109:S109),0),0)</f>
        <v>0</v>
      </c>
      <c r="E109" s="77">
        <f>IF(D109=0,IF('CASE DATA'!D109+7300&lt;'BASIC INFO'!$B$3,SUM('CASE DATA'!K109:S109),0),0)</f>
        <v>0</v>
      </c>
      <c r="F109" s="78">
        <f>IFERROR(IF('CASE DATA'!D109+7300&gt;'BASIC INFO'!$B$3,SUM('CASE DATA'!J109:S109),0),0)</f>
        <v>0</v>
      </c>
    </row>
    <row r="110" spans="1:6" x14ac:dyDescent="0.25">
      <c r="A110" s="57" t="str">
        <f>IF('CASE DATA'!A110="","",'CASE DATA'!A110)</f>
        <v/>
      </c>
      <c r="B110" s="62" t="str">
        <f>IF('CASE DATA'!A110&lt;&gt;"",IF('CASE DATA'!G110=0, "open charge", 'CASE DATA'!G110),"")</f>
        <v/>
      </c>
      <c r="C110" s="75">
        <f>IFERROR(IF('CASE DATA'!D110+7300&lt;'BASIC INFO'!$B$3,'CASE DATA'!J110+'CASE DATA'!K110,0),0)</f>
        <v>0</v>
      </c>
      <c r="D110" s="85">
        <f>IFERROR(IF('CASE DATA'!D110+7300&lt;DATE(2010,1,1),SUM('CASE DATA'!K110:S110),0),0)</f>
        <v>0</v>
      </c>
      <c r="E110" s="77">
        <f>IF(D110=0,IF('CASE DATA'!D110+7300&lt;'BASIC INFO'!$B$3,SUM('CASE DATA'!K110:S110),0),0)</f>
        <v>0</v>
      </c>
      <c r="F110" s="78">
        <f>IFERROR(IF('CASE DATA'!D110+7300&gt;'BASIC INFO'!$B$3,SUM('CASE DATA'!J110:S110),0),0)</f>
        <v>0</v>
      </c>
    </row>
    <row r="111" spans="1:6" x14ac:dyDescent="0.25">
      <c r="A111" s="57" t="str">
        <f>IF('CASE DATA'!A111="","",'CASE DATA'!A111)</f>
        <v/>
      </c>
      <c r="B111" s="62" t="str">
        <f>IF('CASE DATA'!A111&lt;&gt;"",IF('CASE DATA'!G111=0, "open charge", 'CASE DATA'!G111),"")</f>
        <v/>
      </c>
      <c r="C111" s="75">
        <f>IFERROR(IF('CASE DATA'!D111+7300&lt;'BASIC INFO'!$B$3,'CASE DATA'!J111+'CASE DATA'!K111,0),0)</f>
        <v>0</v>
      </c>
      <c r="D111" s="85">
        <f>IFERROR(IF('CASE DATA'!D111+7300&lt;DATE(2010,1,1),SUM('CASE DATA'!K111:S111),0),0)</f>
        <v>0</v>
      </c>
      <c r="E111" s="77">
        <f>IF(D111=0,IF('CASE DATA'!D111+7300&lt;'BASIC INFO'!$B$3,SUM('CASE DATA'!K111:S111),0),0)</f>
        <v>0</v>
      </c>
      <c r="F111" s="78">
        <f>IFERROR(IF('CASE DATA'!D111+7300&gt;'BASIC INFO'!$B$3,SUM('CASE DATA'!J111:S111),0),0)</f>
        <v>0</v>
      </c>
    </row>
    <row r="112" spans="1:6" x14ac:dyDescent="0.25">
      <c r="A112" s="57" t="str">
        <f>IF('CASE DATA'!A112="","",'CASE DATA'!A112)</f>
        <v/>
      </c>
      <c r="B112" s="62" t="str">
        <f>IF('CASE DATA'!A112&lt;&gt;"",IF('CASE DATA'!G112=0, "open charge", 'CASE DATA'!G112),"")</f>
        <v/>
      </c>
      <c r="C112" s="75">
        <f>IFERROR(IF('CASE DATA'!D112+7300&lt;'BASIC INFO'!$B$3,'CASE DATA'!J112+'CASE DATA'!K112,0),0)</f>
        <v>0</v>
      </c>
      <c r="D112" s="85">
        <f>IFERROR(IF('CASE DATA'!D112+7300&lt;DATE(2010,1,1),SUM('CASE DATA'!K112:S112),0),0)</f>
        <v>0</v>
      </c>
      <c r="E112" s="77">
        <f>IF(D112=0,IF('CASE DATA'!D112+7300&lt;'BASIC INFO'!$B$3,SUM('CASE DATA'!K112:S112),0),0)</f>
        <v>0</v>
      </c>
      <c r="F112" s="78">
        <f>IFERROR(IF('CASE DATA'!D112+7300&gt;'BASIC INFO'!$B$3,SUM('CASE DATA'!J112:S112),0),0)</f>
        <v>0</v>
      </c>
    </row>
    <row r="113" spans="1:6" x14ac:dyDescent="0.25">
      <c r="A113" s="57" t="str">
        <f>IF('CASE DATA'!A113="","",'CASE DATA'!A113)</f>
        <v/>
      </c>
      <c r="B113" s="62" t="str">
        <f>IF('CASE DATA'!A113&lt;&gt;"",IF('CASE DATA'!G113=0, "open charge", 'CASE DATA'!G113),"")</f>
        <v/>
      </c>
      <c r="C113" s="75">
        <f>IFERROR(IF('CASE DATA'!D113+7300&lt;'BASIC INFO'!$B$3,'CASE DATA'!J113+'CASE DATA'!K113,0),0)</f>
        <v>0</v>
      </c>
      <c r="D113" s="85">
        <f>IFERROR(IF('CASE DATA'!D113+7300&lt;DATE(2010,1,1),SUM('CASE DATA'!K113:S113),0),0)</f>
        <v>0</v>
      </c>
      <c r="E113" s="77">
        <f>IF(D113=0,IF('CASE DATA'!D113+7300&lt;'BASIC INFO'!$B$3,SUM('CASE DATA'!K113:S113),0),0)</f>
        <v>0</v>
      </c>
      <c r="F113" s="78">
        <f>IFERROR(IF('CASE DATA'!D113+7300&gt;'BASIC INFO'!$B$3,SUM('CASE DATA'!J113:S113),0),0)</f>
        <v>0</v>
      </c>
    </row>
    <row r="114" spans="1:6" x14ac:dyDescent="0.25">
      <c r="A114" s="57" t="str">
        <f>IF('CASE DATA'!A114="","",'CASE DATA'!A114)</f>
        <v/>
      </c>
      <c r="B114" s="62" t="str">
        <f>IF('CASE DATA'!A114&lt;&gt;"",IF('CASE DATA'!G114=0, "open charge", 'CASE DATA'!G114),"")</f>
        <v/>
      </c>
      <c r="C114" s="75">
        <f>IFERROR(IF('CASE DATA'!D114+7300&lt;'BASIC INFO'!$B$3,'CASE DATA'!J114+'CASE DATA'!K114,0),0)</f>
        <v>0</v>
      </c>
      <c r="D114" s="85">
        <f>IFERROR(IF('CASE DATA'!D114+7300&lt;DATE(2010,1,1),SUM('CASE DATA'!K114:S114),0),0)</f>
        <v>0</v>
      </c>
      <c r="E114" s="77">
        <f>IF(D114=0,IF('CASE DATA'!D114+7300&lt;'BASIC INFO'!$B$3,SUM('CASE DATA'!K114:S114),0),0)</f>
        <v>0</v>
      </c>
      <c r="F114" s="78">
        <f>IFERROR(IF('CASE DATA'!D114+7300&gt;'BASIC INFO'!$B$3,SUM('CASE DATA'!J114:S114),0),0)</f>
        <v>0</v>
      </c>
    </row>
    <row r="115" spans="1:6" x14ac:dyDescent="0.25">
      <c r="A115" s="57" t="str">
        <f>IF('CASE DATA'!A115="","",'CASE DATA'!A115)</f>
        <v/>
      </c>
      <c r="B115" s="62" t="str">
        <f>IF('CASE DATA'!A115&lt;&gt;"",IF('CASE DATA'!G115=0, "open charge", 'CASE DATA'!G115),"")</f>
        <v/>
      </c>
      <c r="C115" s="75">
        <f>IFERROR(IF('CASE DATA'!D115+7300&lt;'BASIC INFO'!$B$3,'CASE DATA'!J115+'CASE DATA'!K115,0),0)</f>
        <v>0</v>
      </c>
      <c r="D115" s="85">
        <f>IFERROR(IF('CASE DATA'!D115+7300&lt;DATE(2010,1,1),SUM('CASE DATA'!K115:S115),0),0)</f>
        <v>0</v>
      </c>
      <c r="E115" s="77">
        <f>IF(D115=0,IF('CASE DATA'!D115+7300&lt;'BASIC INFO'!$B$3,SUM('CASE DATA'!K115:S115),0),0)</f>
        <v>0</v>
      </c>
      <c r="F115" s="78">
        <f>IFERROR(IF('CASE DATA'!D115+7300&gt;'BASIC INFO'!$B$3,SUM('CASE DATA'!J115:S115),0),0)</f>
        <v>0</v>
      </c>
    </row>
    <row r="116" spans="1:6" x14ac:dyDescent="0.25">
      <c r="A116" s="57" t="str">
        <f>IF('CASE DATA'!A116="","",'CASE DATA'!A116)</f>
        <v/>
      </c>
      <c r="B116" s="62" t="str">
        <f>IF('CASE DATA'!A116&lt;&gt;"",IF('CASE DATA'!G116=0, "open charge", 'CASE DATA'!G116),"")</f>
        <v/>
      </c>
      <c r="C116" s="75">
        <f>IFERROR(IF('CASE DATA'!D116+7300&lt;'BASIC INFO'!$B$3,'CASE DATA'!J116+'CASE DATA'!K116,0),0)</f>
        <v>0</v>
      </c>
      <c r="D116" s="85">
        <f>IFERROR(IF('CASE DATA'!D116+7300&lt;DATE(2010,1,1),SUM('CASE DATA'!K116:S116),0),0)</f>
        <v>0</v>
      </c>
      <c r="E116" s="77">
        <f>IF(D116=0,IF('CASE DATA'!D116+7300&lt;'BASIC INFO'!$B$3,SUM('CASE DATA'!K116:S116),0),0)</f>
        <v>0</v>
      </c>
      <c r="F116" s="78">
        <f>IFERROR(IF('CASE DATA'!D116+7300&gt;'BASIC INFO'!$B$3,SUM('CASE DATA'!J116:S116),0),0)</f>
        <v>0</v>
      </c>
    </row>
    <row r="117" spans="1:6" x14ac:dyDescent="0.25">
      <c r="A117" s="57" t="str">
        <f>IF('CASE DATA'!A117="","",'CASE DATA'!A117)</f>
        <v/>
      </c>
      <c r="B117" s="62" t="str">
        <f>IF('CASE DATA'!A117&lt;&gt;"",IF('CASE DATA'!G117=0, "open charge", 'CASE DATA'!G117),"")</f>
        <v/>
      </c>
      <c r="C117" s="75">
        <f>IFERROR(IF('CASE DATA'!D117+7300&lt;'BASIC INFO'!$B$3,'CASE DATA'!J117+'CASE DATA'!K117,0),0)</f>
        <v>0</v>
      </c>
      <c r="D117" s="85">
        <f>IFERROR(IF('CASE DATA'!D117+7300&lt;DATE(2010,1,1),SUM('CASE DATA'!K117:S117),0),0)</f>
        <v>0</v>
      </c>
      <c r="E117" s="77">
        <f>IF(D117=0,IF('CASE DATA'!D117+7300&lt;'BASIC INFO'!$B$3,SUM('CASE DATA'!K117:S117),0),0)</f>
        <v>0</v>
      </c>
      <c r="F117" s="78">
        <f>IFERROR(IF('CASE DATA'!D117+7300&gt;'BASIC INFO'!$B$3,SUM('CASE DATA'!J117:S117),0),0)</f>
        <v>0</v>
      </c>
    </row>
    <row r="118" spans="1:6" x14ac:dyDescent="0.25">
      <c r="A118" s="57" t="str">
        <f>IF('CASE DATA'!A118="","",'CASE DATA'!A118)</f>
        <v/>
      </c>
      <c r="B118" s="62" t="str">
        <f>IF('CASE DATA'!A118&lt;&gt;"",IF('CASE DATA'!G118=0, "open charge", 'CASE DATA'!G118),"")</f>
        <v/>
      </c>
      <c r="C118" s="75">
        <f>IFERROR(IF('CASE DATA'!D118+7300&lt;'BASIC INFO'!$B$3,'CASE DATA'!J118+'CASE DATA'!K118,0),0)</f>
        <v>0</v>
      </c>
      <c r="D118" s="85">
        <f>IFERROR(IF('CASE DATA'!D118+7300&lt;DATE(2010,1,1),SUM('CASE DATA'!K118:S118),0),0)</f>
        <v>0</v>
      </c>
      <c r="E118" s="77">
        <f>IF(D118=0,IF('CASE DATA'!D118+7300&lt;'BASIC INFO'!$B$3,SUM('CASE DATA'!K118:S118),0),0)</f>
        <v>0</v>
      </c>
      <c r="F118" s="78">
        <f>IFERROR(IF('CASE DATA'!D118+7300&gt;'BASIC INFO'!$B$3,SUM('CASE DATA'!J118:S118),0),0)</f>
        <v>0</v>
      </c>
    </row>
    <row r="119" spans="1:6" x14ac:dyDescent="0.25">
      <c r="A119" s="57" t="str">
        <f>IF('CASE DATA'!A119="","",'CASE DATA'!A119)</f>
        <v/>
      </c>
      <c r="B119" s="62" t="str">
        <f>IF('CASE DATA'!A119&lt;&gt;"",IF('CASE DATA'!G119=0, "open charge", 'CASE DATA'!G119),"")</f>
        <v/>
      </c>
      <c r="C119" s="75">
        <f>IFERROR(IF('CASE DATA'!D119+7300&lt;'BASIC INFO'!$B$3,'CASE DATA'!J119+'CASE DATA'!K119,0),0)</f>
        <v>0</v>
      </c>
      <c r="D119" s="85">
        <f>IFERROR(IF('CASE DATA'!D119+7300&lt;DATE(2010,1,1),SUM('CASE DATA'!K119:S119),0),0)</f>
        <v>0</v>
      </c>
      <c r="E119" s="77">
        <f>IF(D119=0,IF('CASE DATA'!D119+7300&lt;'BASIC INFO'!$B$3,SUM('CASE DATA'!K119:S119),0),0)</f>
        <v>0</v>
      </c>
      <c r="F119" s="78">
        <f>IFERROR(IF('CASE DATA'!D119+7300&gt;'BASIC INFO'!$B$3,SUM('CASE DATA'!J119:S119),0),0)</f>
        <v>0</v>
      </c>
    </row>
    <row r="120" spans="1:6" x14ac:dyDescent="0.25">
      <c r="A120" s="57" t="str">
        <f>IF('CASE DATA'!A120="","",'CASE DATA'!A120)</f>
        <v/>
      </c>
      <c r="B120" s="62" t="str">
        <f>IF('CASE DATA'!A120&lt;&gt;"",IF('CASE DATA'!G120=0, "open charge", 'CASE DATA'!G120),"")</f>
        <v/>
      </c>
      <c r="C120" s="75">
        <f>IFERROR(IF('CASE DATA'!D120+7300&lt;'BASIC INFO'!$B$3,'CASE DATA'!J120+'CASE DATA'!K120,0),0)</f>
        <v>0</v>
      </c>
      <c r="D120" s="85">
        <f>IFERROR(IF('CASE DATA'!D120+7300&lt;DATE(2010,1,1),SUM('CASE DATA'!K120:S120),0),0)</f>
        <v>0</v>
      </c>
      <c r="E120" s="77">
        <f>IF(D120=0,IF('CASE DATA'!D120+7300&lt;'BASIC INFO'!$B$3,SUM('CASE DATA'!K120:S120),0),0)</f>
        <v>0</v>
      </c>
      <c r="F120" s="78">
        <f>IFERROR(IF('CASE DATA'!D120+7300&gt;'BASIC INFO'!$B$3,SUM('CASE DATA'!J120:S120),0),0)</f>
        <v>0</v>
      </c>
    </row>
    <row r="121" spans="1:6" x14ac:dyDescent="0.25">
      <c r="A121" s="57" t="str">
        <f>IF('CASE DATA'!A121="","",'CASE DATA'!A121)</f>
        <v/>
      </c>
      <c r="B121" s="62" t="str">
        <f>IF('CASE DATA'!A121&lt;&gt;"",IF('CASE DATA'!G121=0, "open charge", 'CASE DATA'!G121),"")</f>
        <v/>
      </c>
      <c r="C121" s="75">
        <f>IFERROR(IF('CASE DATA'!D121+7300&lt;'BASIC INFO'!$B$3,'CASE DATA'!J121+'CASE DATA'!K121,0),0)</f>
        <v>0</v>
      </c>
      <c r="D121" s="85">
        <f>IFERROR(IF('CASE DATA'!D121+7300&lt;DATE(2010,1,1),SUM('CASE DATA'!K121:S121),0),0)</f>
        <v>0</v>
      </c>
      <c r="E121" s="77">
        <f>IF(D121=0,IF('CASE DATA'!D121+7300&lt;'BASIC INFO'!$B$3,SUM('CASE DATA'!K121:S121),0),0)</f>
        <v>0</v>
      </c>
      <c r="F121" s="78">
        <f>IFERROR(IF('CASE DATA'!D121+7300&gt;'BASIC INFO'!$B$3,SUM('CASE DATA'!J121:S121),0),0)</f>
        <v>0</v>
      </c>
    </row>
    <row r="122" spans="1:6" x14ac:dyDescent="0.25">
      <c r="A122" s="57" t="str">
        <f>IF('CASE DATA'!A122="","",'CASE DATA'!A122)</f>
        <v/>
      </c>
      <c r="B122" s="62" t="str">
        <f>IF('CASE DATA'!A122&lt;&gt;"",IF('CASE DATA'!G122=0, "open charge", 'CASE DATA'!G122),"")</f>
        <v/>
      </c>
      <c r="C122" s="75">
        <f>IFERROR(IF('CASE DATA'!D122+7300&lt;'BASIC INFO'!$B$3,'CASE DATA'!J122+'CASE DATA'!K122,0),0)</f>
        <v>0</v>
      </c>
      <c r="D122" s="85">
        <f>IFERROR(IF('CASE DATA'!D122+7300&lt;DATE(2010,1,1),SUM('CASE DATA'!K122:S122),0),0)</f>
        <v>0</v>
      </c>
      <c r="E122" s="77">
        <f>IF(D122=0,IF('CASE DATA'!D122+7300&lt;'BASIC INFO'!$B$3,SUM('CASE DATA'!K122:S122),0),0)</f>
        <v>0</v>
      </c>
      <c r="F122" s="78">
        <f>IFERROR(IF('CASE DATA'!D122+7300&gt;'BASIC INFO'!$B$3,SUM('CASE DATA'!J122:S122),0),0)</f>
        <v>0</v>
      </c>
    </row>
    <row r="123" spans="1:6" x14ac:dyDescent="0.25">
      <c r="A123" s="57" t="str">
        <f>IF('CASE DATA'!A123="","",'CASE DATA'!A123)</f>
        <v/>
      </c>
      <c r="B123" s="62" t="str">
        <f>IF('CASE DATA'!A123&lt;&gt;"",IF('CASE DATA'!G123=0, "open charge", 'CASE DATA'!G123),"")</f>
        <v/>
      </c>
      <c r="C123" s="75">
        <f>IFERROR(IF('CASE DATA'!D123+7300&lt;'BASIC INFO'!$B$3,'CASE DATA'!J123+'CASE DATA'!K123,0),0)</f>
        <v>0</v>
      </c>
      <c r="D123" s="85">
        <f>IFERROR(IF('CASE DATA'!D123+7300&lt;DATE(2010,1,1),SUM('CASE DATA'!K123:S123),0),0)</f>
        <v>0</v>
      </c>
      <c r="E123" s="77">
        <f>IF(D123=0,IF('CASE DATA'!D123+7300&lt;'BASIC INFO'!$B$3,SUM('CASE DATA'!K123:S123),0),0)</f>
        <v>0</v>
      </c>
      <c r="F123" s="78">
        <f>IFERROR(IF('CASE DATA'!D123+7300&gt;'BASIC INFO'!$B$3,SUM('CASE DATA'!J123:S123),0),0)</f>
        <v>0</v>
      </c>
    </row>
    <row r="124" spans="1:6" x14ac:dyDescent="0.25">
      <c r="A124" s="57" t="str">
        <f>IF('CASE DATA'!A124="","",'CASE DATA'!A124)</f>
        <v/>
      </c>
      <c r="B124" s="62" t="str">
        <f>IF('CASE DATA'!A124&lt;&gt;"",IF('CASE DATA'!G124=0, "open charge", 'CASE DATA'!G124),"")</f>
        <v/>
      </c>
      <c r="C124" s="75">
        <f>IFERROR(IF('CASE DATA'!D124+7300&lt;'BASIC INFO'!$B$3,'CASE DATA'!J124+'CASE DATA'!K124,0),0)</f>
        <v>0</v>
      </c>
      <c r="D124" s="85">
        <f>IFERROR(IF('CASE DATA'!D124+7300&lt;DATE(2010,1,1),SUM('CASE DATA'!K124:S124),0),0)</f>
        <v>0</v>
      </c>
      <c r="E124" s="77">
        <f>IF(D124=0,IF('CASE DATA'!D124+7300&lt;'BASIC INFO'!$B$3,SUM('CASE DATA'!K124:S124),0),0)</f>
        <v>0</v>
      </c>
      <c r="F124" s="78">
        <f>IFERROR(IF('CASE DATA'!D124+7300&gt;'BASIC INFO'!$B$3,SUM('CASE DATA'!J124:S124),0),0)</f>
        <v>0</v>
      </c>
    </row>
    <row r="125" spans="1:6" x14ac:dyDescent="0.25">
      <c r="A125" s="57" t="str">
        <f>IF('CASE DATA'!A125="","",'CASE DATA'!A125)</f>
        <v/>
      </c>
      <c r="B125" s="62" t="str">
        <f>IF('CASE DATA'!A125&lt;&gt;"",IF('CASE DATA'!G125=0, "open charge", 'CASE DATA'!G125),"")</f>
        <v/>
      </c>
      <c r="C125" s="75">
        <f>IFERROR(IF('CASE DATA'!D125+7300&lt;'BASIC INFO'!$B$3,'CASE DATA'!J125+'CASE DATA'!K125,0),0)</f>
        <v>0</v>
      </c>
      <c r="D125" s="85">
        <f>IFERROR(IF('CASE DATA'!D125+7300&lt;DATE(2010,1,1),SUM('CASE DATA'!K125:S125),0),0)</f>
        <v>0</v>
      </c>
      <c r="E125" s="77">
        <f>IF(D125=0,IF('CASE DATA'!D125+7300&lt;'BASIC INFO'!$B$3,SUM('CASE DATA'!K125:S125),0),0)</f>
        <v>0</v>
      </c>
      <c r="F125" s="78">
        <f>IFERROR(IF('CASE DATA'!D125+7300&gt;'BASIC INFO'!$B$3,SUM('CASE DATA'!J125:S125),0),0)</f>
        <v>0</v>
      </c>
    </row>
    <row r="126" spans="1:6" x14ac:dyDescent="0.25">
      <c r="A126" s="57" t="str">
        <f>IF('CASE DATA'!A126="","",'CASE DATA'!A126)</f>
        <v/>
      </c>
      <c r="B126" s="62" t="str">
        <f>IF('CASE DATA'!A126&lt;&gt;"",IF('CASE DATA'!G126=0, "open charge", 'CASE DATA'!G126),"")</f>
        <v/>
      </c>
      <c r="C126" s="75">
        <f>IFERROR(IF('CASE DATA'!D126+7300&lt;'BASIC INFO'!$B$3,'CASE DATA'!J126+'CASE DATA'!K126,0),0)</f>
        <v>0</v>
      </c>
      <c r="D126" s="85">
        <f>IFERROR(IF('CASE DATA'!D126+7300&lt;DATE(2010,1,1),SUM('CASE DATA'!K126:S126),0),0)</f>
        <v>0</v>
      </c>
      <c r="E126" s="77">
        <f>IF(D126=0,IF('CASE DATA'!D126+7300&lt;'BASIC INFO'!$B$3,SUM('CASE DATA'!K126:S126),0),0)</f>
        <v>0</v>
      </c>
      <c r="F126" s="78">
        <f>IFERROR(IF('CASE DATA'!D126+7300&gt;'BASIC INFO'!$B$3,SUM('CASE DATA'!J126:S126),0),0)</f>
        <v>0</v>
      </c>
    </row>
    <row r="127" spans="1:6" x14ac:dyDescent="0.25">
      <c r="A127" s="57" t="str">
        <f>IF('CASE DATA'!A127="","",'CASE DATA'!A127)</f>
        <v/>
      </c>
      <c r="B127" s="62" t="str">
        <f>IF('CASE DATA'!A127&lt;&gt;"",IF('CASE DATA'!G127=0, "open charge", 'CASE DATA'!G127),"")</f>
        <v/>
      </c>
      <c r="C127" s="75">
        <f>IFERROR(IF('CASE DATA'!D127+7300&lt;'BASIC INFO'!$B$3,'CASE DATA'!J127+'CASE DATA'!K127,0),0)</f>
        <v>0</v>
      </c>
      <c r="D127" s="85">
        <f>IFERROR(IF('CASE DATA'!D127+7300&lt;DATE(2010,1,1),SUM('CASE DATA'!K127:S127),0),0)</f>
        <v>0</v>
      </c>
      <c r="E127" s="77">
        <f>IF(D127=0,IF('CASE DATA'!D127+7300&lt;'BASIC INFO'!$B$3,SUM('CASE DATA'!K127:S127),0),0)</f>
        <v>0</v>
      </c>
      <c r="F127" s="78">
        <f>IFERROR(IF('CASE DATA'!D127+7300&gt;'BASIC INFO'!$B$3,SUM('CASE DATA'!J127:S127),0),0)</f>
        <v>0</v>
      </c>
    </row>
    <row r="128" spans="1:6" x14ac:dyDescent="0.25">
      <c r="A128" s="57" t="str">
        <f>IF('CASE DATA'!A128="","",'CASE DATA'!A128)</f>
        <v/>
      </c>
      <c r="B128" s="62" t="str">
        <f>IF('CASE DATA'!A128&lt;&gt;"",IF('CASE DATA'!G128=0, "open charge", 'CASE DATA'!G128),"")</f>
        <v/>
      </c>
      <c r="C128" s="75">
        <f>IFERROR(IF('CASE DATA'!D128+7300&lt;'BASIC INFO'!$B$3,'CASE DATA'!J128+'CASE DATA'!K128,0),0)</f>
        <v>0</v>
      </c>
      <c r="D128" s="85">
        <f>IFERROR(IF('CASE DATA'!D128+7300&lt;DATE(2010,1,1),SUM('CASE DATA'!K128:S128),0),0)</f>
        <v>0</v>
      </c>
      <c r="E128" s="77">
        <f>IF(D128=0,IF('CASE DATA'!D128+7300&lt;'BASIC INFO'!$B$3,SUM('CASE DATA'!K128:S128),0),0)</f>
        <v>0</v>
      </c>
      <c r="F128" s="78">
        <f>IFERROR(IF('CASE DATA'!D128+7300&gt;'BASIC INFO'!$B$3,SUM('CASE DATA'!J128:S128),0),0)</f>
        <v>0</v>
      </c>
    </row>
    <row r="129" spans="1:6" x14ac:dyDescent="0.25">
      <c r="A129" s="57" t="str">
        <f>IF('CASE DATA'!A129="","",'CASE DATA'!A129)</f>
        <v/>
      </c>
      <c r="B129" s="62" t="str">
        <f>IF('CASE DATA'!A129&lt;&gt;"",IF('CASE DATA'!G129=0, "open charge", 'CASE DATA'!G129),"")</f>
        <v/>
      </c>
      <c r="C129" s="75">
        <f>IFERROR(IF('CASE DATA'!D129+7300&lt;'BASIC INFO'!$B$3,'CASE DATA'!J129+'CASE DATA'!K129,0),0)</f>
        <v>0</v>
      </c>
      <c r="D129" s="85">
        <f>IFERROR(IF('CASE DATA'!D129+7300&lt;DATE(2010,1,1),SUM('CASE DATA'!K129:S129),0),0)</f>
        <v>0</v>
      </c>
      <c r="E129" s="77">
        <f>IF(D129=0,IF('CASE DATA'!D129+7300&lt;'BASIC INFO'!$B$3,SUM('CASE DATA'!K129:S129),0),0)</f>
        <v>0</v>
      </c>
      <c r="F129" s="78">
        <f>IFERROR(IF('CASE DATA'!D129+7300&gt;'BASIC INFO'!$B$3,SUM('CASE DATA'!J129:S129),0),0)</f>
        <v>0</v>
      </c>
    </row>
    <row r="130" spans="1:6" x14ac:dyDescent="0.25">
      <c r="A130" s="57" t="str">
        <f>IF('CASE DATA'!A130="","",'CASE DATA'!A130)</f>
        <v/>
      </c>
      <c r="B130" s="62" t="str">
        <f>IF('CASE DATA'!A130&lt;&gt;"",IF('CASE DATA'!G130=0, "open charge", 'CASE DATA'!G130),"")</f>
        <v/>
      </c>
      <c r="C130" s="75">
        <f>IFERROR(IF('CASE DATA'!D130+7300&lt;'BASIC INFO'!$B$3,'CASE DATA'!J130+'CASE DATA'!K130,0),0)</f>
        <v>0</v>
      </c>
      <c r="D130" s="85">
        <f>IFERROR(IF('CASE DATA'!D130+7300&lt;DATE(2010,1,1),SUM('CASE DATA'!K130:S130),0),0)</f>
        <v>0</v>
      </c>
      <c r="E130" s="77">
        <f>IF(D130=0,IF('CASE DATA'!D130+7300&lt;'BASIC INFO'!$B$3,SUM('CASE DATA'!K130:S130),0),0)</f>
        <v>0</v>
      </c>
      <c r="F130" s="78">
        <f>IFERROR(IF('CASE DATA'!D130+7300&gt;'BASIC INFO'!$B$3,SUM('CASE DATA'!J130:S130),0),0)</f>
        <v>0</v>
      </c>
    </row>
    <row r="131" spans="1:6" x14ac:dyDescent="0.25">
      <c r="A131" s="57" t="str">
        <f>IF('CASE DATA'!A131="","",'CASE DATA'!A131)</f>
        <v/>
      </c>
      <c r="B131" s="62" t="str">
        <f>IF('CASE DATA'!A131&lt;&gt;"",IF('CASE DATA'!G131=0, "open charge", 'CASE DATA'!G131),"")</f>
        <v/>
      </c>
      <c r="C131" s="75">
        <f>IFERROR(IF('CASE DATA'!D131+7300&lt;'BASIC INFO'!$B$3,'CASE DATA'!J131+'CASE DATA'!K131,0),0)</f>
        <v>0</v>
      </c>
      <c r="D131" s="85">
        <f>IFERROR(IF('CASE DATA'!D131+7300&lt;DATE(2010,1,1),SUM('CASE DATA'!K131:S131),0),0)</f>
        <v>0</v>
      </c>
      <c r="E131" s="77">
        <f>IF(D131=0,IF('CASE DATA'!D131+7300&lt;'BASIC INFO'!$B$3,SUM('CASE DATA'!K131:S131),0),0)</f>
        <v>0</v>
      </c>
      <c r="F131" s="78">
        <f>IFERROR(IF('CASE DATA'!D131+7300&gt;'BASIC INFO'!$B$3,SUM('CASE DATA'!J131:S131),0),0)</f>
        <v>0</v>
      </c>
    </row>
    <row r="132" spans="1:6" x14ac:dyDescent="0.25">
      <c r="A132" s="57" t="str">
        <f>IF('CASE DATA'!A132="","",'CASE DATA'!A132)</f>
        <v/>
      </c>
      <c r="B132" s="62" t="str">
        <f>IF('CASE DATA'!A132&lt;&gt;"",IF('CASE DATA'!G132=0, "open charge", 'CASE DATA'!G132),"")</f>
        <v/>
      </c>
      <c r="C132" s="75">
        <f>IFERROR(IF('CASE DATA'!D132+7300&lt;'BASIC INFO'!$B$3,'CASE DATA'!J132+'CASE DATA'!K132,0),0)</f>
        <v>0</v>
      </c>
      <c r="D132" s="85">
        <f>IFERROR(IF('CASE DATA'!D132+7300&lt;DATE(2010,1,1),SUM('CASE DATA'!K132:S132),0),0)</f>
        <v>0</v>
      </c>
      <c r="E132" s="77">
        <f>IF(D132=0,IF('CASE DATA'!D132+7300&lt;'BASIC INFO'!$B$3,SUM('CASE DATA'!K132:S132),0),0)</f>
        <v>0</v>
      </c>
      <c r="F132" s="78">
        <f>IFERROR(IF('CASE DATA'!D132+7300&gt;'BASIC INFO'!$B$3,SUM('CASE DATA'!J132:S132),0),0)</f>
        <v>0</v>
      </c>
    </row>
    <row r="133" spans="1:6" x14ac:dyDescent="0.25">
      <c r="A133" s="57" t="str">
        <f>IF('CASE DATA'!A133="","",'CASE DATA'!A133)</f>
        <v/>
      </c>
      <c r="B133" s="62" t="str">
        <f>IF('CASE DATA'!A133&lt;&gt;"",IF('CASE DATA'!G133=0, "open charge", 'CASE DATA'!G133),"")</f>
        <v/>
      </c>
      <c r="C133" s="75">
        <f>IFERROR(IF('CASE DATA'!D133+7300&lt;'BASIC INFO'!$B$3,'CASE DATA'!J133+'CASE DATA'!K133,0),0)</f>
        <v>0</v>
      </c>
      <c r="D133" s="85">
        <f>IFERROR(IF('CASE DATA'!D133+7300&lt;DATE(2010,1,1),SUM('CASE DATA'!K133:S133),0),0)</f>
        <v>0</v>
      </c>
      <c r="E133" s="77">
        <f>IF(D133=0,IF('CASE DATA'!D133+7300&lt;'BASIC INFO'!$B$3,SUM('CASE DATA'!K133:S133),0),0)</f>
        <v>0</v>
      </c>
      <c r="F133" s="78">
        <f>IFERROR(IF('CASE DATA'!D133+7300&gt;'BASIC INFO'!$B$3,SUM('CASE DATA'!J133:S133),0),0)</f>
        <v>0</v>
      </c>
    </row>
    <row r="134" spans="1:6" x14ac:dyDescent="0.25">
      <c r="A134" s="57" t="str">
        <f>IF('CASE DATA'!A134="","",'CASE DATA'!A134)</f>
        <v/>
      </c>
      <c r="B134" s="62" t="str">
        <f>IF('CASE DATA'!A134&lt;&gt;"",IF('CASE DATA'!G134=0, "open charge", 'CASE DATA'!G134),"")</f>
        <v/>
      </c>
      <c r="C134" s="75">
        <f>IFERROR(IF('CASE DATA'!D134+7300&lt;'BASIC INFO'!$B$3,'CASE DATA'!J134+'CASE DATA'!K134,0),0)</f>
        <v>0</v>
      </c>
      <c r="D134" s="85">
        <f>IFERROR(IF('CASE DATA'!D134+7300&lt;DATE(2010,1,1),SUM('CASE DATA'!K134:S134),0),0)</f>
        <v>0</v>
      </c>
      <c r="E134" s="77">
        <f>IF(D134=0,IF('CASE DATA'!D134+7300&lt;'BASIC INFO'!$B$3,SUM('CASE DATA'!K134:S134),0),0)</f>
        <v>0</v>
      </c>
      <c r="F134" s="78">
        <f>IFERROR(IF('CASE DATA'!D134+7300&gt;'BASIC INFO'!$B$3,SUM('CASE DATA'!J134:S134),0),0)</f>
        <v>0</v>
      </c>
    </row>
    <row r="135" spans="1:6" x14ac:dyDescent="0.25">
      <c r="A135" s="57" t="str">
        <f>IF('CASE DATA'!A135="","",'CASE DATA'!A135)</f>
        <v/>
      </c>
      <c r="B135" s="62" t="str">
        <f>IF('CASE DATA'!A135&lt;&gt;"",IF('CASE DATA'!G135=0, "open charge", 'CASE DATA'!G135),"")</f>
        <v/>
      </c>
      <c r="C135" s="75">
        <f>IFERROR(IF('CASE DATA'!D135+7300&lt;'BASIC INFO'!$B$3,'CASE DATA'!J135+'CASE DATA'!K135,0),0)</f>
        <v>0</v>
      </c>
      <c r="D135" s="85">
        <f>IFERROR(IF('CASE DATA'!D135+7300&lt;DATE(2010,1,1),SUM('CASE DATA'!K135:S135),0),0)</f>
        <v>0</v>
      </c>
      <c r="E135" s="77">
        <f>IF(D135=0,IF('CASE DATA'!D135+7300&lt;'BASIC INFO'!$B$3,SUM('CASE DATA'!K135:S135),0),0)</f>
        <v>0</v>
      </c>
      <c r="F135" s="78">
        <f>IFERROR(IF('CASE DATA'!D135+7300&gt;'BASIC INFO'!$B$3,SUM('CASE DATA'!J135:S135),0),0)</f>
        <v>0</v>
      </c>
    </row>
    <row r="136" spans="1:6" x14ac:dyDescent="0.25">
      <c r="A136" s="57" t="str">
        <f>IF('CASE DATA'!A136="","",'CASE DATA'!A136)</f>
        <v/>
      </c>
      <c r="B136" s="62" t="str">
        <f>IF('CASE DATA'!A136&lt;&gt;"",IF('CASE DATA'!G136=0, "open charge", 'CASE DATA'!G136),"")</f>
        <v/>
      </c>
      <c r="C136" s="75">
        <f>IFERROR(IF('CASE DATA'!D136+7300&lt;'BASIC INFO'!$B$3,'CASE DATA'!J136+'CASE DATA'!K136,0),0)</f>
        <v>0</v>
      </c>
      <c r="D136" s="85">
        <f>IFERROR(IF('CASE DATA'!D136+7300&lt;DATE(2010,1,1),SUM('CASE DATA'!K136:S136),0),0)</f>
        <v>0</v>
      </c>
      <c r="E136" s="77">
        <f>IF(D136=0,IF('CASE DATA'!D136+7300&lt;'BASIC INFO'!$B$3,SUM('CASE DATA'!K136:S136),0),0)</f>
        <v>0</v>
      </c>
      <c r="F136" s="78">
        <f>IFERROR(IF('CASE DATA'!D136+7300&gt;'BASIC INFO'!$B$3,SUM('CASE DATA'!J136:S136),0),0)</f>
        <v>0</v>
      </c>
    </row>
    <row r="137" spans="1:6" x14ac:dyDescent="0.25">
      <c r="A137" s="57" t="str">
        <f>IF('CASE DATA'!A137="","",'CASE DATA'!A137)</f>
        <v/>
      </c>
      <c r="B137" s="62" t="str">
        <f>IF('CASE DATA'!A137&lt;&gt;"",IF('CASE DATA'!G137=0, "open charge", 'CASE DATA'!G137),"")</f>
        <v/>
      </c>
      <c r="C137" s="75">
        <f>IFERROR(IF('CASE DATA'!D137+7300&lt;'BASIC INFO'!$B$3,'CASE DATA'!J137+'CASE DATA'!K137,0),0)</f>
        <v>0</v>
      </c>
      <c r="D137" s="85">
        <f>IFERROR(IF('CASE DATA'!D137+7300&lt;DATE(2010,1,1),SUM('CASE DATA'!K137:S137),0),0)</f>
        <v>0</v>
      </c>
      <c r="E137" s="77">
        <f>IF(D137=0,IF('CASE DATA'!D137+7300&lt;'BASIC INFO'!$B$3,SUM('CASE DATA'!K137:S137),0),0)</f>
        <v>0</v>
      </c>
      <c r="F137" s="78">
        <f>IFERROR(IF('CASE DATA'!D137+7300&gt;'BASIC INFO'!$B$3,SUM('CASE DATA'!J137:S137),0),0)</f>
        <v>0</v>
      </c>
    </row>
    <row r="138" spans="1:6" x14ac:dyDescent="0.25">
      <c r="A138" s="57" t="str">
        <f>IF('CASE DATA'!A138="","",'CASE DATA'!A138)</f>
        <v/>
      </c>
      <c r="B138" s="62" t="str">
        <f>IF('CASE DATA'!A138&lt;&gt;"",IF('CASE DATA'!G138=0, "open charge", 'CASE DATA'!G138),"")</f>
        <v/>
      </c>
      <c r="C138" s="75">
        <f>IFERROR(IF('CASE DATA'!D138+7300&lt;'BASIC INFO'!$B$3,'CASE DATA'!J138+'CASE DATA'!K138,0),0)</f>
        <v>0</v>
      </c>
      <c r="D138" s="85">
        <f>IFERROR(IF('CASE DATA'!D138+7300&lt;DATE(2010,1,1),SUM('CASE DATA'!K138:S138),0),0)</f>
        <v>0</v>
      </c>
      <c r="E138" s="77">
        <f>IF(D138=0,IF('CASE DATA'!D138+7300&lt;'BASIC INFO'!$B$3,SUM('CASE DATA'!K138:S138),0),0)</f>
        <v>0</v>
      </c>
      <c r="F138" s="78">
        <f>IFERROR(IF('CASE DATA'!D138+7300&gt;'BASIC INFO'!$B$3,SUM('CASE DATA'!J138:S138),0),0)</f>
        <v>0</v>
      </c>
    </row>
    <row r="139" spans="1:6" x14ac:dyDescent="0.25">
      <c r="A139" s="57" t="str">
        <f>IF('CASE DATA'!A139="","",'CASE DATA'!A139)</f>
        <v/>
      </c>
      <c r="B139" s="62" t="str">
        <f>IF('CASE DATA'!A139&lt;&gt;"",IF('CASE DATA'!G139=0, "open charge", 'CASE DATA'!G139),"")</f>
        <v/>
      </c>
      <c r="C139" s="75">
        <f>IFERROR(IF('CASE DATA'!D139+7300&lt;'BASIC INFO'!$B$3,'CASE DATA'!J139+'CASE DATA'!K139,0),0)</f>
        <v>0</v>
      </c>
      <c r="D139" s="85">
        <f>IFERROR(IF('CASE DATA'!D139+7300&lt;DATE(2010,1,1),SUM('CASE DATA'!K139:S139),0),0)</f>
        <v>0</v>
      </c>
      <c r="E139" s="77">
        <f>IF(D139=0,IF('CASE DATA'!D139+7300&lt;'BASIC INFO'!$B$3,SUM('CASE DATA'!K139:S139),0),0)</f>
        <v>0</v>
      </c>
      <c r="F139" s="78">
        <f>IFERROR(IF('CASE DATA'!D139+7300&gt;'BASIC INFO'!$B$3,SUM('CASE DATA'!J139:S139),0),0)</f>
        <v>0</v>
      </c>
    </row>
    <row r="140" spans="1:6" x14ac:dyDescent="0.25">
      <c r="A140" s="57" t="str">
        <f>IF('CASE DATA'!A140="","",'CASE DATA'!A140)</f>
        <v/>
      </c>
      <c r="B140" s="62" t="str">
        <f>IF('CASE DATA'!A140&lt;&gt;"",IF('CASE DATA'!G140=0, "open charge", 'CASE DATA'!G140),"")</f>
        <v/>
      </c>
      <c r="C140" s="75">
        <f>IFERROR(IF('CASE DATA'!D140+7300&lt;'BASIC INFO'!$B$3,'CASE DATA'!J140+'CASE DATA'!K140,0),0)</f>
        <v>0</v>
      </c>
      <c r="D140" s="85">
        <f>IFERROR(IF('CASE DATA'!D140+7300&lt;DATE(2010,1,1),SUM('CASE DATA'!K140:S140),0),0)</f>
        <v>0</v>
      </c>
      <c r="E140" s="77">
        <f>IF(D140=0,IF('CASE DATA'!D140+7300&lt;'BASIC INFO'!$B$3,SUM('CASE DATA'!K140:S140),0),0)</f>
        <v>0</v>
      </c>
      <c r="F140" s="78">
        <f>IFERROR(IF('CASE DATA'!D140+7300&gt;'BASIC INFO'!$B$3,SUM('CASE DATA'!J140:S140),0),0)</f>
        <v>0</v>
      </c>
    </row>
    <row r="141" spans="1:6" x14ac:dyDescent="0.25">
      <c r="A141" s="57" t="str">
        <f>IF('CASE DATA'!A141="","",'CASE DATA'!A141)</f>
        <v/>
      </c>
      <c r="B141" s="62" t="str">
        <f>IF('CASE DATA'!A141&lt;&gt;"",IF('CASE DATA'!G141=0, "open charge", 'CASE DATA'!G141),"")</f>
        <v/>
      </c>
      <c r="C141" s="75">
        <f>IFERROR(IF('CASE DATA'!D141+7300&lt;'BASIC INFO'!$B$3,'CASE DATA'!J141+'CASE DATA'!K141,0),0)</f>
        <v>0</v>
      </c>
      <c r="D141" s="85">
        <f>IFERROR(IF('CASE DATA'!D141+7300&lt;DATE(2010,1,1),SUM('CASE DATA'!K141:S141),0),0)</f>
        <v>0</v>
      </c>
      <c r="E141" s="77">
        <f>IF(D141=0,IF('CASE DATA'!D141+7300&lt;'BASIC INFO'!$B$3,SUM('CASE DATA'!K141:S141),0),0)</f>
        <v>0</v>
      </c>
      <c r="F141" s="78">
        <f>IFERROR(IF('CASE DATA'!D141+7300&gt;'BASIC INFO'!$B$3,SUM('CASE DATA'!J141:S141),0),0)</f>
        <v>0</v>
      </c>
    </row>
    <row r="142" spans="1:6" x14ac:dyDescent="0.25">
      <c r="A142" s="57" t="str">
        <f>IF('CASE DATA'!A142="","",'CASE DATA'!A142)</f>
        <v/>
      </c>
      <c r="B142" s="62" t="str">
        <f>IF('CASE DATA'!A142&lt;&gt;"",IF('CASE DATA'!G142=0, "open charge", 'CASE DATA'!G142),"")</f>
        <v/>
      </c>
      <c r="C142" s="75">
        <f>IFERROR(IF('CASE DATA'!D142+7300&lt;'BASIC INFO'!$B$3,'CASE DATA'!J142+'CASE DATA'!K142,0),0)</f>
        <v>0</v>
      </c>
      <c r="D142" s="85">
        <f>IFERROR(IF('CASE DATA'!D142+7300&lt;DATE(2010,1,1),SUM('CASE DATA'!K142:S142),0),0)</f>
        <v>0</v>
      </c>
      <c r="E142" s="77">
        <f>IF(D142=0,IF('CASE DATA'!D142+7300&lt;'BASIC INFO'!$B$3,SUM('CASE DATA'!K142:S142),0),0)</f>
        <v>0</v>
      </c>
      <c r="F142" s="78">
        <f>IFERROR(IF('CASE DATA'!D142+7300&gt;'BASIC INFO'!$B$3,SUM('CASE DATA'!J142:S142),0),0)</f>
        <v>0</v>
      </c>
    </row>
    <row r="143" spans="1:6" x14ac:dyDescent="0.25">
      <c r="A143" s="57" t="str">
        <f>IF('CASE DATA'!A143="","",'CASE DATA'!A143)</f>
        <v/>
      </c>
      <c r="B143" s="62" t="str">
        <f>IF('CASE DATA'!A143&lt;&gt;"",IF('CASE DATA'!G143=0, "open charge", 'CASE DATA'!G143),"")</f>
        <v/>
      </c>
      <c r="C143" s="75">
        <f>IFERROR(IF('CASE DATA'!D143+7300&lt;'BASIC INFO'!$B$3,'CASE DATA'!J143+'CASE DATA'!K143,0),0)</f>
        <v>0</v>
      </c>
      <c r="D143" s="85">
        <f>IFERROR(IF('CASE DATA'!D143+7300&lt;DATE(2010,1,1),SUM('CASE DATA'!K143:S143),0),0)</f>
        <v>0</v>
      </c>
      <c r="E143" s="77">
        <f>IF(D143=0,IF('CASE DATA'!D143+7300&lt;'BASIC INFO'!$B$3,SUM('CASE DATA'!K143:S143),0),0)</f>
        <v>0</v>
      </c>
      <c r="F143" s="78">
        <f>IFERROR(IF('CASE DATA'!D143+7300&gt;'BASIC INFO'!$B$3,SUM('CASE DATA'!J143:S143),0),0)</f>
        <v>0</v>
      </c>
    </row>
    <row r="144" spans="1:6" x14ac:dyDescent="0.25">
      <c r="A144" s="57" t="str">
        <f>IF('CASE DATA'!A144="","",'CASE DATA'!A144)</f>
        <v/>
      </c>
      <c r="B144" s="62" t="str">
        <f>IF('CASE DATA'!A144&lt;&gt;"",IF('CASE DATA'!G144=0, "open charge", 'CASE DATA'!G144),"")</f>
        <v/>
      </c>
      <c r="C144" s="75">
        <f>IFERROR(IF('CASE DATA'!D144+7300&lt;'BASIC INFO'!$B$3,'CASE DATA'!J144+'CASE DATA'!K144,0),0)</f>
        <v>0</v>
      </c>
      <c r="D144" s="85">
        <f>IFERROR(IF('CASE DATA'!D144+7300&lt;DATE(2010,1,1),SUM('CASE DATA'!K144:S144),0),0)</f>
        <v>0</v>
      </c>
      <c r="E144" s="77">
        <f>IF(D144=0,IF('CASE DATA'!D144+7300&lt;'BASIC INFO'!$B$3,SUM('CASE DATA'!K144:S144),0),0)</f>
        <v>0</v>
      </c>
      <c r="F144" s="78">
        <f>IFERROR(IF('CASE DATA'!D144+7300&gt;'BASIC INFO'!$B$3,SUM('CASE DATA'!J144:S144),0),0)</f>
        <v>0</v>
      </c>
    </row>
    <row r="145" spans="1:6" x14ac:dyDescent="0.25">
      <c r="A145" s="57" t="str">
        <f>IF('CASE DATA'!A145="","",'CASE DATA'!A145)</f>
        <v/>
      </c>
      <c r="B145" s="62" t="str">
        <f>IF('CASE DATA'!A145&lt;&gt;"",IF('CASE DATA'!G145=0, "open charge", 'CASE DATA'!G145),"")</f>
        <v/>
      </c>
      <c r="C145" s="75">
        <f>IFERROR(IF('CASE DATA'!D145+7300&lt;'BASIC INFO'!$B$3,'CASE DATA'!J145+'CASE DATA'!K145,0),0)</f>
        <v>0</v>
      </c>
      <c r="D145" s="85">
        <f>IFERROR(IF('CASE DATA'!D145+7300&lt;DATE(2010,1,1),SUM('CASE DATA'!K145:S145),0),0)</f>
        <v>0</v>
      </c>
      <c r="E145" s="77">
        <f>IF(D145=0,IF('CASE DATA'!D145+7300&lt;'BASIC INFO'!$B$3,SUM('CASE DATA'!K145:S145),0),0)</f>
        <v>0</v>
      </c>
      <c r="F145" s="78">
        <f>IFERROR(IF('CASE DATA'!D145+7300&gt;'BASIC INFO'!$B$3,SUM('CASE DATA'!J145:S145),0),0)</f>
        <v>0</v>
      </c>
    </row>
    <row r="146" spans="1:6" x14ac:dyDescent="0.25">
      <c r="A146" s="57" t="str">
        <f>IF('CASE DATA'!A146="","",'CASE DATA'!A146)</f>
        <v/>
      </c>
      <c r="B146" s="62" t="str">
        <f>IF('CASE DATA'!A146&lt;&gt;"",IF('CASE DATA'!G146=0, "open charge", 'CASE DATA'!G146),"")</f>
        <v/>
      </c>
      <c r="C146" s="75">
        <f>IFERROR(IF('CASE DATA'!D146+7300&lt;'BASIC INFO'!$B$3,'CASE DATA'!J146+'CASE DATA'!K146,0),0)</f>
        <v>0</v>
      </c>
      <c r="D146" s="85">
        <f>IFERROR(IF('CASE DATA'!D146+7300&lt;DATE(2010,1,1),SUM('CASE DATA'!K146:S146),0),0)</f>
        <v>0</v>
      </c>
      <c r="E146" s="77">
        <f>IF(D146=0,IF('CASE DATA'!D146+7300&lt;'BASIC INFO'!$B$3,SUM('CASE DATA'!K146:S146),0),0)</f>
        <v>0</v>
      </c>
      <c r="F146" s="78">
        <f>IFERROR(IF('CASE DATA'!D146+7300&gt;'BASIC INFO'!$B$3,SUM('CASE DATA'!J146:S146),0),0)</f>
        <v>0</v>
      </c>
    </row>
    <row r="147" spans="1:6" x14ac:dyDescent="0.25">
      <c r="A147" s="57" t="str">
        <f>IF('CASE DATA'!A147="","",'CASE DATA'!A147)</f>
        <v/>
      </c>
      <c r="B147" s="62" t="str">
        <f>IF('CASE DATA'!A147&lt;&gt;"",IF('CASE DATA'!G147=0, "open charge", 'CASE DATA'!G147),"")</f>
        <v/>
      </c>
      <c r="C147" s="75">
        <f>IFERROR(IF('CASE DATA'!D147+7300&lt;'BASIC INFO'!$B$3,'CASE DATA'!J147+'CASE DATA'!K147,0),0)</f>
        <v>0</v>
      </c>
      <c r="D147" s="85">
        <f>IFERROR(IF('CASE DATA'!D147+7300&lt;DATE(2010,1,1),SUM('CASE DATA'!K147:S147),0),0)</f>
        <v>0</v>
      </c>
      <c r="E147" s="77">
        <f>IF(D147=0,IF('CASE DATA'!D147+7300&lt;'BASIC INFO'!$B$3,SUM('CASE DATA'!K147:S147),0),0)</f>
        <v>0</v>
      </c>
      <c r="F147" s="78">
        <f>IFERROR(IF('CASE DATA'!D147+7300&gt;'BASIC INFO'!$B$3,SUM('CASE DATA'!J147:S147),0),0)</f>
        <v>0</v>
      </c>
    </row>
    <row r="148" spans="1:6" x14ac:dyDescent="0.25">
      <c r="A148" s="57" t="str">
        <f>IF('CASE DATA'!A148="","",'CASE DATA'!A148)</f>
        <v/>
      </c>
      <c r="B148" s="62" t="str">
        <f>IF('CASE DATA'!A148&lt;&gt;"",IF('CASE DATA'!G148=0, "open charge", 'CASE DATA'!G148),"")</f>
        <v/>
      </c>
      <c r="C148" s="75">
        <f>IFERROR(IF('CASE DATA'!D148+7300&lt;'BASIC INFO'!$B$3,'CASE DATA'!J148+'CASE DATA'!K148,0),0)</f>
        <v>0</v>
      </c>
      <c r="D148" s="85">
        <f>IFERROR(IF('CASE DATA'!D148+7300&lt;DATE(2010,1,1),SUM('CASE DATA'!K148:S148),0),0)</f>
        <v>0</v>
      </c>
      <c r="E148" s="77">
        <f>IF(D148=0,IF('CASE DATA'!D148+7300&lt;'BASIC INFO'!$B$3,SUM('CASE DATA'!K148:S148),0),0)</f>
        <v>0</v>
      </c>
      <c r="F148" s="78">
        <f>IFERROR(IF('CASE DATA'!D148+7300&gt;'BASIC INFO'!$B$3,SUM('CASE DATA'!J148:S148),0),0)</f>
        <v>0</v>
      </c>
    </row>
    <row r="149" spans="1:6" x14ac:dyDescent="0.25">
      <c r="A149" s="57" t="str">
        <f>IF('CASE DATA'!A149="","",'CASE DATA'!A149)</f>
        <v/>
      </c>
      <c r="B149" s="62" t="str">
        <f>IF('CASE DATA'!A149&lt;&gt;"",IF('CASE DATA'!G149=0, "open charge", 'CASE DATA'!G149),"")</f>
        <v/>
      </c>
      <c r="C149" s="75">
        <f>IFERROR(IF('CASE DATA'!D149+7300&lt;'BASIC INFO'!$B$3,'CASE DATA'!J149+'CASE DATA'!K149,0),0)</f>
        <v>0</v>
      </c>
      <c r="D149" s="85">
        <f>IFERROR(IF('CASE DATA'!D149+7300&lt;DATE(2010,1,1),SUM('CASE DATA'!K149:S149),0),0)</f>
        <v>0</v>
      </c>
      <c r="E149" s="77">
        <f>IF(D149=0,IF('CASE DATA'!D149+7300&lt;'BASIC INFO'!$B$3,SUM('CASE DATA'!K149:S149),0),0)</f>
        <v>0</v>
      </c>
      <c r="F149" s="78">
        <f>IFERROR(IF('CASE DATA'!D149+7300&gt;'BASIC INFO'!$B$3,SUM('CASE DATA'!J149:S149),0),0)</f>
        <v>0</v>
      </c>
    </row>
    <row r="150" spans="1:6" x14ac:dyDescent="0.25">
      <c r="A150" s="57" t="str">
        <f>IF('CASE DATA'!A150="","",'CASE DATA'!A150)</f>
        <v/>
      </c>
      <c r="B150" s="62" t="str">
        <f>IF('CASE DATA'!A150&lt;&gt;"",IF('CASE DATA'!G150=0, "open charge", 'CASE DATA'!G150),"")</f>
        <v/>
      </c>
      <c r="C150" s="75">
        <f>IFERROR(IF('CASE DATA'!D150+7300&lt;'BASIC INFO'!$B$3,'CASE DATA'!J150+'CASE DATA'!K150,0),0)</f>
        <v>0</v>
      </c>
      <c r="D150" s="85">
        <f>IFERROR(IF('CASE DATA'!D150+7300&lt;DATE(2010,1,1),SUM('CASE DATA'!K150:S150),0),0)</f>
        <v>0</v>
      </c>
      <c r="E150" s="77">
        <f>IF(D150=0,IF('CASE DATA'!D150+7300&lt;'BASIC INFO'!$B$3,SUM('CASE DATA'!K150:S150),0),0)</f>
        <v>0</v>
      </c>
      <c r="F150" s="78">
        <f>IFERROR(IF('CASE DATA'!D150+7300&gt;'BASIC INFO'!$B$3,SUM('CASE DATA'!J150:S150),0),0)</f>
        <v>0</v>
      </c>
    </row>
  </sheetData>
  <mergeCells count="3">
    <mergeCell ref="A1:B1"/>
    <mergeCell ref="A2:A3"/>
    <mergeCell ref="B2:F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R9" sqref="R9"/>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86" t="s">
        <v>84</v>
      </c>
      <c r="X1" s="86" t="s">
        <v>85</v>
      </c>
    </row>
    <row r="2" spans="22:24" x14ac:dyDescent="0.25">
      <c r="V2" s="88" t="s">
        <v>86</v>
      </c>
      <c r="X2" s="88">
        <v>123.46</v>
      </c>
    </row>
    <row r="3" spans="22:24" x14ac:dyDescent="0.25">
      <c r="V3" s="88" t="s">
        <v>87</v>
      </c>
      <c r="X3" s="88">
        <v>123.47</v>
      </c>
    </row>
    <row r="4" spans="22:24" x14ac:dyDescent="0.25">
      <c r="V4" s="88" t="s">
        <v>88</v>
      </c>
      <c r="X4" s="88" t="s">
        <v>89</v>
      </c>
    </row>
    <row r="5" spans="22:24" x14ac:dyDescent="0.25">
      <c r="V5" s="88" t="s">
        <v>90</v>
      </c>
      <c r="X5" s="88">
        <v>321.21800000000002</v>
      </c>
    </row>
    <row r="6" spans="22:24" x14ac:dyDescent="0.25">
      <c r="V6" s="88" t="s">
        <v>91</v>
      </c>
      <c r="X6" s="88" t="s">
        <v>92</v>
      </c>
    </row>
    <row r="7" spans="22:24" x14ac:dyDescent="0.25">
      <c r="V7" s="88" t="s">
        <v>93</v>
      </c>
      <c r="X7" s="88" t="s">
        <v>94</v>
      </c>
    </row>
    <row r="8" spans="22:24" x14ac:dyDescent="0.25">
      <c r="V8" s="88" t="s">
        <v>95</v>
      </c>
      <c r="X8" s="88" t="s">
        <v>96</v>
      </c>
    </row>
    <row r="9" spans="22:24" ht="15" customHeight="1" x14ac:dyDescent="0.25">
      <c r="V9" s="88" t="s">
        <v>90</v>
      </c>
      <c r="X9" s="88">
        <v>707.5</v>
      </c>
    </row>
    <row r="10" spans="22:24" x14ac:dyDescent="0.25">
      <c r="V10" s="88" t="s">
        <v>91</v>
      </c>
      <c r="X10" s="88" t="s">
        <v>97</v>
      </c>
    </row>
    <row r="11" spans="22:24" x14ac:dyDescent="0.25">
      <c r="V11" s="88" t="s">
        <v>98</v>
      </c>
      <c r="X11" s="88" t="s">
        <v>99</v>
      </c>
    </row>
    <row r="12" spans="22:24" x14ac:dyDescent="0.25">
      <c r="V12" s="88" t="s">
        <v>100</v>
      </c>
      <c r="X12" s="88">
        <v>708.7</v>
      </c>
    </row>
    <row r="13" spans="22:24" x14ac:dyDescent="0.25">
      <c r="V13" s="88" t="s">
        <v>101</v>
      </c>
      <c r="X13" s="88">
        <v>708.11</v>
      </c>
    </row>
    <row r="14" spans="22:24" x14ac:dyDescent="0.25">
      <c r="V14" s="88" t="s">
        <v>102</v>
      </c>
      <c r="X14" s="88">
        <v>708.12</v>
      </c>
    </row>
    <row r="15" spans="22:24" x14ac:dyDescent="0.25">
      <c r="V15" s="88" t="s">
        <v>103</v>
      </c>
      <c r="X15" s="88" t="s">
        <v>104</v>
      </c>
    </row>
    <row r="16" spans="22:24" x14ac:dyDescent="0.25">
      <c r="V16" s="88" t="s">
        <v>105</v>
      </c>
      <c r="X16" s="88" t="s">
        <v>106</v>
      </c>
    </row>
    <row r="17" spans="22:24" x14ac:dyDescent="0.25">
      <c r="V17" s="88" t="s">
        <v>107</v>
      </c>
      <c r="X17" s="88">
        <v>721.2</v>
      </c>
    </row>
    <row r="18" spans="22:24" x14ac:dyDescent="0.25">
      <c r="V18" s="88" t="s">
        <v>108</v>
      </c>
      <c r="X18" s="88">
        <v>721.1</v>
      </c>
    </row>
    <row r="19" spans="22:24" x14ac:dyDescent="0.25">
      <c r="V19" s="88" t="s">
        <v>109</v>
      </c>
      <c r="X19" s="88">
        <v>723.1</v>
      </c>
    </row>
    <row r="20" spans="22:24" x14ac:dyDescent="0.25">
      <c r="V20" s="88" t="s">
        <v>110</v>
      </c>
    </row>
    <row r="21" spans="22:24" x14ac:dyDescent="0.25">
      <c r="V21" s="88" t="s">
        <v>111</v>
      </c>
    </row>
    <row r="22" spans="22:24" x14ac:dyDescent="0.25">
      <c r="V22" s="88" t="s">
        <v>112</v>
      </c>
    </row>
    <row r="23" spans="22:24" x14ac:dyDescent="0.25">
      <c r="V23" s="88" t="s">
        <v>113</v>
      </c>
    </row>
    <row r="24" spans="22:24" x14ac:dyDescent="0.25">
      <c r="V24" s="88" t="s">
        <v>114</v>
      </c>
    </row>
    <row r="25" spans="22:24" x14ac:dyDescent="0.25">
      <c r="V25" s="88" t="s">
        <v>115</v>
      </c>
    </row>
    <row r="26" spans="22:24" x14ac:dyDescent="0.25">
      <c r="V26" s="88" t="s">
        <v>116</v>
      </c>
    </row>
    <row r="27" spans="22:24" x14ac:dyDescent="0.25">
      <c r="V27" s="88" t="s">
        <v>117</v>
      </c>
    </row>
    <row r="28" spans="22:24" x14ac:dyDescent="0.25">
      <c r="V28" s="88" t="s">
        <v>118</v>
      </c>
    </row>
    <row r="29" spans="22:24" x14ac:dyDescent="0.25">
      <c r="V29" s="88" t="s">
        <v>119</v>
      </c>
    </row>
    <row r="30" spans="22:24" x14ac:dyDescent="0.25">
      <c r="V30" s="88" t="s">
        <v>120</v>
      </c>
    </row>
    <row r="31" spans="22:24" x14ac:dyDescent="0.25">
      <c r="V31" s="88" t="s">
        <v>121</v>
      </c>
    </row>
    <row r="32" spans="22:24" x14ac:dyDescent="0.25">
      <c r="V32" s="88" t="s">
        <v>122</v>
      </c>
    </row>
    <row r="33" spans="22:22" x14ac:dyDescent="0.25">
      <c r="V33" s="88" t="s">
        <v>123</v>
      </c>
    </row>
    <row r="34" spans="22:22" x14ac:dyDescent="0.25">
      <c r="V34" s="88" t="s">
        <v>124</v>
      </c>
    </row>
    <row r="35" spans="22:22" x14ac:dyDescent="0.25">
      <c r="V35" s="88" t="s">
        <v>125</v>
      </c>
    </row>
    <row r="36" spans="22:22" x14ac:dyDescent="0.25">
      <c r="V36" s="88" t="s">
        <v>126</v>
      </c>
    </row>
    <row r="37" spans="22:22" x14ac:dyDescent="0.25">
      <c r="V37" s="88" t="s">
        <v>127</v>
      </c>
    </row>
    <row r="38" spans="22:22" x14ac:dyDescent="0.25">
      <c r="V38" s="88" t="s">
        <v>128</v>
      </c>
    </row>
    <row r="39" spans="22:22" x14ac:dyDescent="0.25">
      <c r="V39" s="88">
        <v>707.2</v>
      </c>
    </row>
    <row r="40" spans="22:22" x14ac:dyDescent="0.25">
      <c r="V40" s="88">
        <v>707.3</v>
      </c>
    </row>
    <row r="41" spans="22:22" x14ac:dyDescent="0.25">
      <c r="V41" s="88" t="s">
        <v>129</v>
      </c>
    </row>
    <row r="42" spans="22:22" x14ac:dyDescent="0.25">
      <c r="V42" s="88">
        <v>707.4</v>
      </c>
    </row>
    <row r="43" spans="22:22" x14ac:dyDescent="0.25">
      <c r="V43" s="88" t="s">
        <v>130</v>
      </c>
    </row>
    <row r="44" spans="22:22" x14ac:dyDescent="0.25">
      <c r="V44" s="88" t="s">
        <v>131</v>
      </c>
    </row>
    <row r="45" spans="22:22" x14ac:dyDescent="0.25">
      <c r="V45" s="88" t="s">
        <v>132</v>
      </c>
    </row>
    <row r="46" spans="22:22" x14ac:dyDescent="0.25">
      <c r="V46" s="88" t="s">
        <v>133</v>
      </c>
    </row>
    <row r="47" spans="22:22" x14ac:dyDescent="0.25">
      <c r="V47" s="88" t="s">
        <v>134</v>
      </c>
    </row>
    <row r="48" spans="22:22" x14ac:dyDescent="0.25">
      <c r="V48" s="88" t="s">
        <v>135</v>
      </c>
    </row>
    <row r="49" spans="22:22" x14ac:dyDescent="0.25">
      <c r="V49" s="88" t="s">
        <v>136</v>
      </c>
    </row>
    <row r="50" spans="22:22" x14ac:dyDescent="0.25">
      <c r="V50" s="88" t="s">
        <v>137</v>
      </c>
    </row>
    <row r="51" spans="22:22" x14ac:dyDescent="0.25">
      <c r="V51" s="88" t="s">
        <v>138</v>
      </c>
    </row>
    <row r="52" spans="22:22" x14ac:dyDescent="0.25">
      <c r="V52" s="88" t="s">
        <v>139</v>
      </c>
    </row>
    <row r="53" spans="22:22" x14ac:dyDescent="0.25">
      <c r="V53" s="88" t="s">
        <v>140</v>
      </c>
    </row>
    <row r="54" spans="22:22" x14ac:dyDescent="0.25">
      <c r="V54" s="88" t="s">
        <v>141</v>
      </c>
    </row>
    <row r="55" spans="22:22" x14ac:dyDescent="0.25">
      <c r="V55" s="88" t="s">
        <v>142</v>
      </c>
    </row>
    <row r="56" spans="22:22" x14ac:dyDescent="0.25">
      <c r="V56" s="88" t="s">
        <v>143</v>
      </c>
    </row>
    <row r="57" spans="22:22" x14ac:dyDescent="0.25">
      <c r="V57" s="88">
        <v>707.9</v>
      </c>
    </row>
    <row r="58" spans="22:22" x14ac:dyDescent="0.25">
      <c r="V58" s="88">
        <v>707.11</v>
      </c>
    </row>
    <row r="59" spans="22:22" x14ac:dyDescent="0.25">
      <c r="V59" s="88" t="s">
        <v>144</v>
      </c>
    </row>
    <row r="60" spans="22:22" x14ac:dyDescent="0.25">
      <c r="V60" s="88" t="s">
        <v>145</v>
      </c>
    </row>
    <row r="61" spans="22:22" x14ac:dyDescent="0.25">
      <c r="V61" s="88" t="s">
        <v>146</v>
      </c>
    </row>
    <row r="62" spans="22:22" x14ac:dyDescent="0.25">
      <c r="V62" s="88" t="s">
        <v>147</v>
      </c>
    </row>
    <row r="63" spans="22:22" x14ac:dyDescent="0.25">
      <c r="V63" s="88" t="s">
        <v>148</v>
      </c>
    </row>
    <row r="64" spans="22:22" x14ac:dyDescent="0.25">
      <c r="V64" s="88" t="s">
        <v>149</v>
      </c>
    </row>
    <row r="65" spans="22:22" x14ac:dyDescent="0.25">
      <c r="V65" s="88" t="s">
        <v>150</v>
      </c>
    </row>
    <row r="66" spans="22:22" x14ac:dyDescent="0.25">
      <c r="V66" s="88" t="s">
        <v>151</v>
      </c>
    </row>
    <row r="67" spans="22:22" x14ac:dyDescent="0.25">
      <c r="V67" s="88" t="s">
        <v>152</v>
      </c>
    </row>
    <row r="68" spans="22:22" x14ac:dyDescent="0.25">
      <c r="V68" s="88" t="s">
        <v>153</v>
      </c>
    </row>
    <row r="69" spans="22:22" x14ac:dyDescent="0.25">
      <c r="V69" s="88" t="s">
        <v>154</v>
      </c>
    </row>
    <row r="70" spans="22:22" x14ac:dyDescent="0.25">
      <c r="V70" s="88" t="s">
        <v>155</v>
      </c>
    </row>
    <row r="71" spans="22:22" x14ac:dyDescent="0.25">
      <c r="V71" s="88" t="s">
        <v>156</v>
      </c>
    </row>
    <row r="72" spans="22:22" x14ac:dyDescent="0.25">
      <c r="V72" s="88" t="s">
        <v>157</v>
      </c>
    </row>
    <row r="73" spans="22:22" x14ac:dyDescent="0.25">
      <c r="V73" s="88">
        <v>708.6</v>
      </c>
    </row>
    <row r="74" spans="22:22" x14ac:dyDescent="0.25">
      <c r="V74" s="88">
        <v>708.5</v>
      </c>
    </row>
    <row r="75" spans="22:22" x14ac:dyDescent="0.25">
      <c r="V75" s="88">
        <v>708.8</v>
      </c>
    </row>
    <row r="76" spans="22:22" x14ac:dyDescent="0.25">
      <c r="V76" s="88" t="s">
        <v>158</v>
      </c>
    </row>
    <row r="77" spans="22:22" x14ac:dyDescent="0.25">
      <c r="V77" s="88" t="s">
        <v>159</v>
      </c>
    </row>
    <row r="78" spans="22:22" x14ac:dyDescent="0.25">
      <c r="V78" s="88" t="s">
        <v>160</v>
      </c>
    </row>
    <row r="79" spans="22:22" x14ac:dyDescent="0.25">
      <c r="V79" s="88" t="s">
        <v>161</v>
      </c>
    </row>
    <row r="80" spans="22:22" x14ac:dyDescent="0.25">
      <c r="V80" s="88">
        <v>708.14</v>
      </c>
    </row>
    <row r="81" spans="22:22" x14ac:dyDescent="0.25">
      <c r="V81" s="88" t="s">
        <v>162</v>
      </c>
    </row>
    <row r="82" spans="22:22" x14ac:dyDescent="0.25">
      <c r="V82" s="88" t="s">
        <v>163</v>
      </c>
    </row>
    <row r="83" spans="22:22" x14ac:dyDescent="0.25">
      <c r="V83" s="88" t="s">
        <v>164</v>
      </c>
    </row>
    <row r="84" spans="22:22" x14ac:dyDescent="0.25">
      <c r="V84" s="88" t="s">
        <v>165</v>
      </c>
    </row>
    <row r="85" spans="22:22" x14ac:dyDescent="0.25">
      <c r="V85" s="88" t="s">
        <v>166</v>
      </c>
    </row>
    <row r="86" spans="22:22" x14ac:dyDescent="0.25">
      <c r="V86" s="88" t="s">
        <v>167</v>
      </c>
    </row>
    <row r="87" spans="22:22" x14ac:dyDescent="0.25">
      <c r="V87" s="88">
        <v>709.2</v>
      </c>
    </row>
    <row r="88" spans="22:22" x14ac:dyDescent="0.25">
      <c r="V88" s="88">
        <v>709.3</v>
      </c>
    </row>
    <row r="89" spans="22:22" x14ac:dyDescent="0.25">
      <c r="V89" s="88">
        <v>709.4</v>
      </c>
    </row>
    <row r="90" spans="22:22" x14ac:dyDescent="0.25">
      <c r="V90" s="88" t="s">
        <v>168</v>
      </c>
    </row>
    <row r="91" spans="22:22" x14ac:dyDescent="0.25">
      <c r="V91" s="88" t="s">
        <v>169</v>
      </c>
    </row>
    <row r="92" spans="22:22" x14ac:dyDescent="0.25">
      <c r="V92" s="88" t="s">
        <v>170</v>
      </c>
    </row>
    <row r="93" spans="22:22" x14ac:dyDescent="0.25">
      <c r="V93" s="88" t="s">
        <v>171</v>
      </c>
    </row>
    <row r="94" spans="22:22" x14ac:dyDescent="0.25">
      <c r="V94" s="88" t="s">
        <v>172</v>
      </c>
    </row>
    <row r="95" spans="22:22" x14ac:dyDescent="0.25">
      <c r="V95" s="88" t="s">
        <v>173</v>
      </c>
    </row>
    <row r="96" spans="22:22" x14ac:dyDescent="0.25">
      <c r="V96" s="88" t="s">
        <v>174</v>
      </c>
    </row>
    <row r="97" spans="22:22" x14ac:dyDescent="0.25">
      <c r="V97" s="88" t="s">
        <v>175</v>
      </c>
    </row>
    <row r="98" spans="22:22" x14ac:dyDescent="0.25">
      <c r="V98" s="88" t="s">
        <v>176</v>
      </c>
    </row>
    <row r="99" spans="22:22" x14ac:dyDescent="0.25">
      <c r="V99" s="88">
        <v>709.18</v>
      </c>
    </row>
    <row r="100" spans="22:22" x14ac:dyDescent="0.25">
      <c r="V100" s="88" t="s">
        <v>177</v>
      </c>
    </row>
    <row r="101" spans="22:22" x14ac:dyDescent="0.25">
      <c r="V101" s="88" t="s">
        <v>178</v>
      </c>
    </row>
    <row r="102" spans="22:22" x14ac:dyDescent="0.25">
      <c r="V102" s="88" t="s">
        <v>179</v>
      </c>
    </row>
    <row r="103" spans="22:22" x14ac:dyDescent="0.25">
      <c r="V103" s="88" t="s">
        <v>180</v>
      </c>
    </row>
    <row r="104" spans="22:22" x14ac:dyDescent="0.25">
      <c r="V104" s="88">
        <v>710.2</v>
      </c>
    </row>
    <row r="105" spans="22:22" x14ac:dyDescent="0.25">
      <c r="V105" s="88">
        <v>710.3</v>
      </c>
    </row>
    <row r="106" spans="22:22" x14ac:dyDescent="0.25">
      <c r="V106" s="88">
        <v>710.4</v>
      </c>
    </row>
    <row r="107" spans="22:22" x14ac:dyDescent="0.25">
      <c r="V107" s="88">
        <v>710.5</v>
      </c>
    </row>
    <row r="108" spans="22:22" x14ac:dyDescent="0.25">
      <c r="V108" s="88" t="s">
        <v>181</v>
      </c>
    </row>
    <row r="109" spans="22:22" x14ac:dyDescent="0.25">
      <c r="V109" s="88" t="s">
        <v>182</v>
      </c>
    </row>
    <row r="110" spans="22:22" x14ac:dyDescent="0.25">
      <c r="V110" s="88" t="s">
        <v>183</v>
      </c>
    </row>
    <row r="111" spans="22:22" x14ac:dyDescent="0.25">
      <c r="V111" s="88">
        <v>710.11</v>
      </c>
    </row>
    <row r="112" spans="22:22" x14ac:dyDescent="0.25">
      <c r="V112" s="88" t="s">
        <v>184</v>
      </c>
    </row>
    <row r="113" spans="22:22" x14ac:dyDescent="0.25">
      <c r="V113" s="88" t="s">
        <v>185</v>
      </c>
    </row>
    <row r="114" spans="22:22" x14ac:dyDescent="0.25">
      <c r="V114" s="88" t="s">
        <v>186</v>
      </c>
    </row>
    <row r="115" spans="22:22" x14ac:dyDescent="0.25">
      <c r="V115" s="88" t="s">
        <v>187</v>
      </c>
    </row>
    <row r="116" spans="22:22" x14ac:dyDescent="0.25">
      <c r="V116" s="88" t="s">
        <v>188</v>
      </c>
    </row>
    <row r="117" spans="22:22" x14ac:dyDescent="0.25">
      <c r="V117" s="88" t="s">
        <v>189</v>
      </c>
    </row>
    <row r="118" spans="22:22" x14ac:dyDescent="0.25">
      <c r="V118" s="88" t="s">
        <v>190</v>
      </c>
    </row>
    <row r="119" spans="22:22" x14ac:dyDescent="0.25">
      <c r="V119" s="88" t="s">
        <v>191</v>
      </c>
    </row>
    <row r="120" spans="22:22" x14ac:dyDescent="0.25">
      <c r="V120" s="88">
        <v>711.2</v>
      </c>
    </row>
    <row r="121" spans="22:22" x14ac:dyDescent="0.25">
      <c r="V121" s="88">
        <v>711.3</v>
      </c>
    </row>
    <row r="122" spans="22:22" x14ac:dyDescent="0.25">
      <c r="V122" s="88">
        <v>711.4</v>
      </c>
    </row>
    <row r="123" spans="22:22" x14ac:dyDescent="0.25">
      <c r="V123" s="88">
        <v>712.2</v>
      </c>
    </row>
    <row r="124" spans="22:22" x14ac:dyDescent="0.25">
      <c r="V124" s="88">
        <v>712.3</v>
      </c>
    </row>
    <row r="125" spans="22:22" x14ac:dyDescent="0.25">
      <c r="V125" s="88" t="s">
        <v>192</v>
      </c>
    </row>
    <row r="126" spans="22:22" x14ac:dyDescent="0.25">
      <c r="V126" s="88">
        <v>712.7</v>
      </c>
    </row>
    <row r="127" spans="22:22" x14ac:dyDescent="0.25">
      <c r="V127" s="88">
        <v>712.8</v>
      </c>
    </row>
    <row r="128" spans="22:22" x14ac:dyDescent="0.25">
      <c r="V128" s="88">
        <v>713.3</v>
      </c>
    </row>
    <row r="129" spans="22:22" x14ac:dyDescent="0.25">
      <c r="V129" s="88">
        <v>713.4</v>
      </c>
    </row>
    <row r="130" spans="22:22" x14ac:dyDescent="0.25">
      <c r="V130" s="88">
        <v>713.5</v>
      </c>
    </row>
    <row r="131" spans="22:22" x14ac:dyDescent="0.25">
      <c r="V131" s="88">
        <v>713.6</v>
      </c>
    </row>
    <row r="132" spans="22:22" x14ac:dyDescent="0.25">
      <c r="V132" s="88" t="s">
        <v>193</v>
      </c>
    </row>
    <row r="133" spans="22:22" x14ac:dyDescent="0.25">
      <c r="V133" s="88" t="s">
        <v>194</v>
      </c>
    </row>
    <row r="134" spans="22:22" x14ac:dyDescent="0.25">
      <c r="V134" s="88" t="s">
        <v>195</v>
      </c>
    </row>
    <row r="135" spans="22:22" x14ac:dyDescent="0.25">
      <c r="V135" s="88" t="s">
        <v>196</v>
      </c>
    </row>
    <row r="136" spans="22:22" x14ac:dyDescent="0.25">
      <c r="V136" s="88">
        <v>714.9</v>
      </c>
    </row>
    <row r="137" spans="22:22" x14ac:dyDescent="0.25">
      <c r="V137" s="88">
        <v>714.1</v>
      </c>
    </row>
    <row r="138" spans="22:22" x14ac:dyDescent="0.25">
      <c r="V138" s="88" t="s">
        <v>197</v>
      </c>
    </row>
    <row r="139" spans="22:22" x14ac:dyDescent="0.25">
      <c r="V139" s="88" t="s">
        <v>198</v>
      </c>
    </row>
    <row r="140" spans="22:22" x14ac:dyDescent="0.25">
      <c r="V140" s="88" t="s">
        <v>199</v>
      </c>
    </row>
    <row r="141" spans="22:22" x14ac:dyDescent="0.25">
      <c r="V141" s="88" t="s">
        <v>200</v>
      </c>
    </row>
    <row r="142" spans="22:22" x14ac:dyDescent="0.25">
      <c r="V142" s="88" t="s">
        <v>201</v>
      </c>
    </row>
    <row r="143" spans="22:22" x14ac:dyDescent="0.25">
      <c r="V143" s="88" t="s">
        <v>202</v>
      </c>
    </row>
    <row r="144" spans="22:22" x14ac:dyDescent="0.25">
      <c r="V144" s="88" t="s">
        <v>203</v>
      </c>
    </row>
    <row r="145" spans="22:22" x14ac:dyDescent="0.25">
      <c r="V145" s="88" t="s">
        <v>204</v>
      </c>
    </row>
    <row r="146" spans="22:22" x14ac:dyDescent="0.25">
      <c r="V146" s="88" t="s">
        <v>205</v>
      </c>
    </row>
    <row r="147" spans="22:22" x14ac:dyDescent="0.25">
      <c r="V147" s="88">
        <v>716.3</v>
      </c>
    </row>
    <row r="148" spans="22:22" x14ac:dyDescent="0.25">
      <c r="V148" s="88">
        <v>716.4</v>
      </c>
    </row>
    <row r="149" spans="22:22" x14ac:dyDescent="0.25">
      <c r="V149" s="88" t="s">
        <v>206</v>
      </c>
    </row>
    <row r="150" spans="22:22" x14ac:dyDescent="0.25">
      <c r="V150" s="88" t="s">
        <v>207</v>
      </c>
    </row>
    <row r="151" spans="22:22" x14ac:dyDescent="0.25">
      <c r="V151" s="88" t="s">
        <v>208</v>
      </c>
    </row>
    <row r="152" spans="22:22" x14ac:dyDescent="0.25">
      <c r="V152" s="88" t="s">
        <v>209</v>
      </c>
    </row>
    <row r="153" spans="22:22" x14ac:dyDescent="0.25">
      <c r="V153" s="88" t="s">
        <v>210</v>
      </c>
    </row>
    <row r="154" spans="22:22" x14ac:dyDescent="0.25">
      <c r="V154" s="88">
        <v>716.12</v>
      </c>
    </row>
    <row r="155" spans="22:22" x14ac:dyDescent="0.25">
      <c r="V155" s="88" t="s">
        <v>211</v>
      </c>
    </row>
    <row r="156" spans="22:22" x14ac:dyDescent="0.25">
      <c r="V156" s="88" t="s">
        <v>212</v>
      </c>
    </row>
    <row r="157" spans="22:22" x14ac:dyDescent="0.25">
      <c r="V157" s="88" t="s">
        <v>213</v>
      </c>
    </row>
    <row r="158" spans="22:22" x14ac:dyDescent="0.25">
      <c r="V158" s="88" t="s">
        <v>214</v>
      </c>
    </row>
    <row r="159" spans="22:22" x14ac:dyDescent="0.25">
      <c r="V159" s="88" t="s">
        <v>215</v>
      </c>
    </row>
    <row r="160" spans="22:22" x14ac:dyDescent="0.25">
      <c r="V160" s="88" t="s">
        <v>216</v>
      </c>
    </row>
    <row r="161" spans="22:22" x14ac:dyDescent="0.25">
      <c r="V161" s="88" t="s">
        <v>217</v>
      </c>
    </row>
    <row r="162" spans="22:22" x14ac:dyDescent="0.25">
      <c r="V162" s="88" t="s">
        <v>218</v>
      </c>
    </row>
    <row r="163" spans="22:22" x14ac:dyDescent="0.25">
      <c r="V163" s="88" t="s">
        <v>219</v>
      </c>
    </row>
    <row r="164" spans="22:22" x14ac:dyDescent="0.25">
      <c r="V164" s="88" t="s">
        <v>220</v>
      </c>
    </row>
    <row r="165" spans="22:22" x14ac:dyDescent="0.25">
      <c r="V165" s="88" t="s">
        <v>221</v>
      </c>
    </row>
    <row r="166" spans="22:22" x14ac:dyDescent="0.25">
      <c r="V166" s="88" t="s">
        <v>222</v>
      </c>
    </row>
    <row r="167" spans="22:22" x14ac:dyDescent="0.25">
      <c r="V167" s="88" t="s">
        <v>223</v>
      </c>
    </row>
    <row r="168" spans="22:22" x14ac:dyDescent="0.25">
      <c r="V168" s="88">
        <v>719.9</v>
      </c>
    </row>
    <row r="169" spans="22:22" x14ac:dyDescent="0.25">
      <c r="V169" s="88">
        <v>719.8</v>
      </c>
    </row>
    <row r="170" spans="22:22" x14ac:dyDescent="0.25">
      <c r="V170" s="88">
        <v>720.2</v>
      </c>
    </row>
    <row r="171" spans="22:22" x14ac:dyDescent="0.25">
      <c r="V171" s="88">
        <v>720.3</v>
      </c>
    </row>
    <row r="172" spans="22:22" x14ac:dyDescent="0.25">
      <c r="V172" s="88">
        <v>721.1</v>
      </c>
    </row>
    <row r="173" spans="22:22" x14ac:dyDescent="0.25">
      <c r="V173" s="88">
        <v>722.1</v>
      </c>
    </row>
    <row r="174" spans="22:22" x14ac:dyDescent="0.25">
      <c r="V174" s="88">
        <v>722.2</v>
      </c>
    </row>
    <row r="175" spans="22:22" x14ac:dyDescent="0.25">
      <c r="V175" s="88">
        <v>722.1</v>
      </c>
    </row>
    <row r="176" spans="22:22" x14ac:dyDescent="0.25">
      <c r="V176" s="88" t="s">
        <v>224</v>
      </c>
    </row>
    <row r="177" spans="22:22" x14ac:dyDescent="0.25">
      <c r="V177" s="88" t="s">
        <v>225</v>
      </c>
    </row>
    <row r="178" spans="22:22" x14ac:dyDescent="0.25">
      <c r="V178" s="88" t="s">
        <v>226</v>
      </c>
    </row>
    <row r="179" spans="22:22" x14ac:dyDescent="0.25">
      <c r="V179" s="88" t="s">
        <v>227</v>
      </c>
    </row>
    <row r="180" spans="22:22" x14ac:dyDescent="0.25">
      <c r="V180" s="88" t="s">
        <v>228</v>
      </c>
    </row>
    <row r="181" spans="22:22" x14ac:dyDescent="0.25">
      <c r="V181" s="88" t="s">
        <v>229</v>
      </c>
    </row>
    <row r="182" spans="22:22" x14ac:dyDescent="0.25">
      <c r="V182" s="88">
        <v>724.3</v>
      </c>
    </row>
    <row r="183" spans="22:22" x14ac:dyDescent="0.25">
      <c r="V183" s="88" t="s">
        <v>230</v>
      </c>
    </row>
    <row r="184" spans="22:22" x14ac:dyDescent="0.25">
      <c r="V184" s="88">
        <v>724.1</v>
      </c>
    </row>
    <row r="185" spans="22:22" x14ac:dyDescent="0.25">
      <c r="V185" s="88" t="s">
        <v>231</v>
      </c>
    </row>
    <row r="186" spans="22:22" x14ac:dyDescent="0.25">
      <c r="V186" s="88" t="s">
        <v>232</v>
      </c>
    </row>
    <row r="187" spans="22:22" x14ac:dyDescent="0.25">
      <c r="V187" s="88" t="s">
        <v>233</v>
      </c>
    </row>
    <row r="188" spans="22:22" x14ac:dyDescent="0.25">
      <c r="V188" s="88">
        <v>724.17</v>
      </c>
    </row>
    <row r="189" spans="22:22" x14ac:dyDescent="0.25">
      <c r="V189" s="88">
        <v>724.21</v>
      </c>
    </row>
    <row r="190" spans="22:22" x14ac:dyDescent="0.25">
      <c r="V190" s="88" t="s">
        <v>234</v>
      </c>
    </row>
    <row r="191" spans="22:22" x14ac:dyDescent="0.25">
      <c r="V191" s="88" t="s">
        <v>235</v>
      </c>
    </row>
    <row r="192" spans="22:22" x14ac:dyDescent="0.25">
      <c r="V192" s="88" t="s">
        <v>236</v>
      </c>
    </row>
    <row r="193" spans="22:22" x14ac:dyDescent="0.25">
      <c r="V193" s="88" t="s">
        <v>237</v>
      </c>
    </row>
    <row r="194" spans="22:22" x14ac:dyDescent="0.25">
      <c r="V194" s="88" t="s">
        <v>238</v>
      </c>
    </row>
    <row r="195" spans="22:22" x14ac:dyDescent="0.25">
      <c r="V195" s="88" t="s">
        <v>239</v>
      </c>
    </row>
    <row r="196" spans="22:22" x14ac:dyDescent="0.25">
      <c r="V196" s="88" t="s">
        <v>240</v>
      </c>
    </row>
    <row r="197" spans="22:22" x14ac:dyDescent="0.25">
      <c r="V197" s="88" t="s">
        <v>241</v>
      </c>
    </row>
    <row r="198" spans="22:22" x14ac:dyDescent="0.25">
      <c r="V198" s="88" t="s">
        <v>242</v>
      </c>
    </row>
    <row r="199" spans="22:22" x14ac:dyDescent="0.25">
      <c r="V199" s="88" t="s">
        <v>243</v>
      </c>
    </row>
    <row r="200" spans="22:22" x14ac:dyDescent="0.25">
      <c r="V200" s="88" t="s">
        <v>244</v>
      </c>
    </row>
    <row r="201" spans="22:22" x14ac:dyDescent="0.25">
      <c r="V201" s="88" t="s">
        <v>245</v>
      </c>
    </row>
    <row r="202" spans="22:22" x14ac:dyDescent="0.25">
      <c r="V202" s="88" t="s">
        <v>246</v>
      </c>
    </row>
    <row r="203" spans="22:22" x14ac:dyDescent="0.25">
      <c r="V203" s="88" t="s">
        <v>247</v>
      </c>
    </row>
    <row r="204" spans="22:22" x14ac:dyDescent="0.25">
      <c r="V204" s="88" t="s">
        <v>248</v>
      </c>
    </row>
    <row r="205" spans="22:22" x14ac:dyDescent="0.25">
      <c r="V205" s="88" t="s">
        <v>249</v>
      </c>
    </row>
    <row r="206" spans="22:22" x14ac:dyDescent="0.25">
      <c r="V206" s="88" t="s">
        <v>250</v>
      </c>
    </row>
    <row r="207" spans="22:22" x14ac:dyDescent="0.25">
      <c r="V207" s="88" t="s">
        <v>251</v>
      </c>
    </row>
    <row r="208" spans="22:22" x14ac:dyDescent="0.25">
      <c r="V208" s="88">
        <v>726.2</v>
      </c>
    </row>
    <row r="209" spans="22:22" x14ac:dyDescent="0.25">
      <c r="V209" s="88">
        <v>726.3</v>
      </c>
    </row>
    <row r="210" spans="22:22" x14ac:dyDescent="0.25">
      <c r="V210" s="88">
        <v>726.5</v>
      </c>
    </row>
    <row r="211" spans="22:22" x14ac:dyDescent="0.25">
      <c r="V211" s="88" t="s">
        <v>252</v>
      </c>
    </row>
    <row r="212" spans="22:22" x14ac:dyDescent="0.25">
      <c r="V212" s="88" t="s">
        <v>253</v>
      </c>
    </row>
    <row r="213" spans="22:22" x14ac:dyDescent="0.25">
      <c r="V213" s="88" t="s">
        <v>254</v>
      </c>
    </row>
    <row r="214" spans="22:22" x14ac:dyDescent="0.25">
      <c r="V214" s="88" t="s">
        <v>255</v>
      </c>
    </row>
    <row r="215" spans="22:22" x14ac:dyDescent="0.25">
      <c r="V215" s="88" t="s">
        <v>256</v>
      </c>
    </row>
    <row r="216" spans="22:22" x14ac:dyDescent="0.25">
      <c r="V216" s="88" t="s">
        <v>257</v>
      </c>
    </row>
    <row r="217" spans="22:22" x14ac:dyDescent="0.25">
      <c r="V217" s="88" t="s">
        <v>258</v>
      </c>
    </row>
    <row r="218" spans="22:22" x14ac:dyDescent="0.25">
      <c r="V218" s="88" t="s">
        <v>259</v>
      </c>
    </row>
    <row r="219" spans="22:22" x14ac:dyDescent="0.25">
      <c r="V219" s="8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BASIC INFO</vt:lpstr>
      <vt:lpstr>CASE DATA</vt:lpstr>
      <vt:lpstr>EXPUNGEMENT &amp; 910.7</vt:lpstr>
      <vt:lpstr>BANKRUPTCY</vt:lpstr>
      <vt:lpstr>LICENSE-REGIS</vt:lpstr>
      <vt:lpstr>EXEMPTIONS</vt:lpstr>
      <vt:lpstr>SOL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Arianna Eddy</cp:lastModifiedBy>
  <cp:revision>1</cp:revision>
  <dcterms:created xsi:type="dcterms:W3CDTF">2017-01-04T22:59:04Z</dcterms:created>
  <dcterms:modified xsi:type="dcterms:W3CDTF">2025-04-28T21:23:28Z</dcterms:modified>
  <dc:language>en-US</dc:language>
</cp:coreProperties>
</file>