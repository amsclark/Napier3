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CRS update\"/>
    </mc:Choice>
  </mc:AlternateContent>
  <xr:revisionPtr revIDLastSave="0" documentId="13_ncr:1_{67868B3B-3F33-4260-97DE-41843A3C0B75}" xr6:coauthVersionLast="47" xr6:coauthVersionMax="47" xr10:uidLastSave="{00000000-0000-0000-0000-000000000000}"/>
  <bookViews>
    <workbookView xWindow="1305" yWindow="0" windowWidth="24990" windowHeight="20025" tabRatio="653" activeTab="1" xr2:uid="{00000000-000D-0000-FFFF-FFFF00000000}"/>
  </bookViews>
  <sheets>
    <sheet name="BASIC INFO" sheetId="1" r:id="rId1"/>
    <sheet name="CASE DATA" sheetId="2" r:id="rId2"/>
    <sheet name="EXPUNGEMENT &amp; 910.7" sheetId="3" r:id="rId3"/>
    <sheet name="BANKRUPTCY" sheetId="4" r:id="rId4"/>
    <sheet name="LICENSE-REGIS" sheetId="5" r:id="rId5"/>
    <sheet name="EXEMPTIONS" sheetId="6" r:id="rId6"/>
    <sheet name="SOL" sheetId="7" r:id="rId7"/>
    <sheet name="POLK R&amp;B APPEAL" sheetId="8" r:id="rId8"/>
    <sheet name="CODE SECTIONS" sheetId="9" r:id="rId9"/>
  </sheets>
  <definedNames>
    <definedName name="_xlnm._FilterDatabase" localSheetId="3" hidden="1">BANKRUPTCY!$A$3:$G$3</definedName>
    <definedName name="_xlnm._FilterDatabase" localSheetId="1" hidden="1">'CASE DATA'!$A$2:$AI$300</definedName>
    <definedName name="_xlnm._FilterDatabase" localSheetId="2" hidden="1">'EXPUNGEMENT &amp; 910.7'!$A$2:$AB$2</definedName>
    <definedName name="_xlnm._FilterDatabase" localSheetId="4" hidden="1">'LICENSE-REGIS'!$A$1:$D$1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3" l="1"/>
  <c r="AI300" i="2" a="1"/>
  <c r="AI300" i="2" s="1"/>
  <c r="AH300" i="2"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AI299" i="2" a="1"/>
  <c r="AI299" i="2" s="1"/>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AI298" i="2" a="1"/>
  <c r="AI298" i="2" s="1"/>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AI297" i="2" a="1"/>
  <c r="AI297" i="2" s="1"/>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AI296" i="2" a="1"/>
  <c r="AI296" i="2" s="1"/>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AI295" i="2" a="1"/>
  <c r="AI295" i="2" s="1"/>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AI294" i="2" a="1"/>
  <c r="AI294" i="2" s="1"/>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AI293" i="2" a="1"/>
  <c r="AI293" i="2" s="1"/>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AI292" i="2" a="1"/>
  <c r="AI292" i="2" s="1"/>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AI291" i="2" a="1"/>
  <c r="AI291" i="2" s="1"/>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AI290" i="2" a="1"/>
  <c r="AI290" i="2" s="1"/>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AI289" i="2" a="1"/>
  <c r="AI289" i="2" s="1"/>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AI288" i="2" a="1"/>
  <c r="AI288" i="2" s="1"/>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AI287" i="2" a="1"/>
  <c r="AI287" i="2" s="1"/>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AI286" i="2" a="1"/>
  <c r="AI286" i="2" s="1"/>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AI285" i="2" a="1"/>
  <c r="AI285" i="2" s="1"/>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AI284" i="2" a="1"/>
  <c r="AI284" i="2" s="1"/>
  <c r="AH284" i="2" a="1"/>
  <c r="AH284" i="2" s="1"/>
  <c r="AG284" i="2" a="1"/>
  <c r="AG284" i="2" s="1"/>
  <c r="AF284" i="2" a="1"/>
  <c r="AF284" i="2" s="1"/>
  <c r="AE284" i="2" a="1"/>
  <c r="AE284" i="2" s="1"/>
  <c r="AD284" i="2" a="1"/>
  <c r="AD284" i="2" s="1"/>
  <c r="AC284" i="2" a="1"/>
  <c r="AC284" i="2" s="1"/>
  <c r="AB284" i="2" a="1"/>
  <c r="AB284" i="2" s="1"/>
  <c r="AA284" i="2" a="1"/>
  <c r="AA284" i="2" s="1"/>
  <c r="Z284" i="2" a="1"/>
  <c r="Z284" i="2" s="1"/>
  <c r="Y284" i="2" a="1"/>
  <c r="Y284" i="2" s="1"/>
  <c r="X284" i="2" a="1"/>
  <c r="X284" i="2" s="1"/>
  <c r="AI283" i="2" a="1"/>
  <c r="AI283" i="2" s="1"/>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AI282" i="2" a="1"/>
  <c r="AI282" i="2" s="1"/>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AI281" i="2" a="1"/>
  <c r="AI281" i="2" s="1"/>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AI280" i="2" a="1"/>
  <c r="AI280" i="2" s="1"/>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AI279" i="2" a="1"/>
  <c r="AI279" i="2" s="1"/>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AI278" i="2" a="1"/>
  <c r="AI278" i="2" s="1"/>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AI277" i="2" a="1"/>
  <c r="AI277" i="2" s="1"/>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AI276" i="2" a="1"/>
  <c r="AI276" i="2" s="1"/>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AI275" i="2" a="1"/>
  <c r="AI275" i="2" s="1"/>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AI274" i="2" a="1"/>
  <c r="AI274" i="2" s="1"/>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AI273" i="2" a="1"/>
  <c r="AI273" i="2" s="1"/>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AI272" i="2" a="1"/>
  <c r="AI272" i="2" s="1"/>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AI271" i="2" a="1"/>
  <c r="AI271" i="2" s="1"/>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AI270" i="2" a="1"/>
  <c r="AI270" i="2" s="1"/>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AI269" i="2" a="1"/>
  <c r="AI269" i="2" s="1"/>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AI268" i="2" a="1"/>
  <c r="AI268" i="2" s="1"/>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AI267" i="2" a="1"/>
  <c r="AI267" i="2" s="1"/>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AI266" i="2" a="1"/>
  <c r="AI266" i="2" s="1"/>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AI265" i="2" a="1"/>
  <c r="AI265" i="2" s="1"/>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AI264" i="2" a="1"/>
  <c r="AI264" i="2" s="1"/>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AI263" i="2" a="1"/>
  <c r="AI263" i="2" s="1"/>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AI262" i="2" a="1"/>
  <c r="AI262" i="2" s="1"/>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AI261" i="2" a="1"/>
  <c r="AI261" i="2" s="1"/>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AI260" i="2" a="1"/>
  <c r="AI260" i="2" s="1"/>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AI259" i="2" a="1"/>
  <c r="AI259" i="2" s="1"/>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AI258" i="2" a="1"/>
  <c r="AI258" i="2" s="1"/>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AI257" i="2" a="1"/>
  <c r="AI257" i="2" s="1"/>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AI256" i="2" a="1"/>
  <c r="AI256" i="2" s="1"/>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AI255" i="2" a="1"/>
  <c r="AI255" i="2" s="1"/>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AI254" i="2" a="1"/>
  <c r="AI254" i="2" s="1"/>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AI253" i="2" a="1"/>
  <c r="AI253" i="2" s="1"/>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AI252" i="2" a="1"/>
  <c r="AI252" i="2" s="1"/>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AI251" i="2" a="1"/>
  <c r="AI251" i="2" s="1"/>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AI250" i="2" a="1"/>
  <c r="AI250" i="2" s="1"/>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AI249" i="2" a="1"/>
  <c r="AI249" i="2" s="1"/>
  <c r="AH249" i="2" a="1"/>
  <c r="AH249" i="2" s="1"/>
  <c r="AG249" i="2" a="1"/>
  <c r="AG249" i="2" s="1"/>
  <c r="AF249" i="2" a="1"/>
  <c r="AF249" i="2" s="1"/>
  <c r="AE249" i="2" a="1"/>
  <c r="AE249" i="2" s="1"/>
  <c r="AD249" i="2" a="1"/>
  <c r="AD249" i="2" s="1"/>
  <c r="AC249" i="2" a="1"/>
  <c r="AC249" i="2" s="1"/>
  <c r="AB249" i="2" a="1"/>
  <c r="AB249" i="2" s="1"/>
  <c r="AA249" i="2" a="1"/>
  <c r="AA249" i="2" s="1"/>
  <c r="Z249" i="2" a="1"/>
  <c r="Z249" i="2" s="1"/>
  <c r="Y249" i="2" a="1"/>
  <c r="Y249" i="2" s="1"/>
  <c r="X249" i="2" a="1"/>
  <c r="X249" i="2" s="1"/>
  <c r="AI248" i="2" a="1"/>
  <c r="AI248" i="2" s="1"/>
  <c r="AH248" i="2" a="1"/>
  <c r="AH248" i="2" s="1"/>
  <c r="AG248" i="2" a="1"/>
  <c r="AG248" i="2" s="1"/>
  <c r="AF248" i="2" a="1"/>
  <c r="AF248" i="2" s="1"/>
  <c r="AE248" i="2" a="1"/>
  <c r="AE248" i="2" s="1"/>
  <c r="AD248" i="2" a="1"/>
  <c r="AD248" i="2" s="1"/>
  <c r="AC248" i="2" a="1"/>
  <c r="AC248" i="2" s="1"/>
  <c r="AB248" i="2" a="1"/>
  <c r="AB248" i="2" s="1"/>
  <c r="AA248" i="2" a="1"/>
  <c r="AA248" i="2" s="1"/>
  <c r="Z248" i="2" a="1"/>
  <c r="Z248" i="2" s="1"/>
  <c r="Y248" i="2" a="1"/>
  <c r="Y248" i="2" s="1"/>
  <c r="X248" i="2" a="1"/>
  <c r="X248" i="2" s="1"/>
  <c r="AI247" i="2" a="1"/>
  <c r="AI247" i="2" s="1"/>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AI246" i="2" a="1"/>
  <c r="AI246" i="2" s="1"/>
  <c r="AH246" i="2" a="1"/>
  <c r="AH246" i="2" s="1"/>
  <c r="AG246" i="2" a="1"/>
  <c r="AG246" i="2" s="1"/>
  <c r="AF246" i="2" a="1"/>
  <c r="AF246" i="2" s="1"/>
  <c r="AE246" i="2" a="1"/>
  <c r="AE246" i="2" s="1"/>
  <c r="AD246" i="2" a="1"/>
  <c r="AD246" i="2" s="1"/>
  <c r="AC246" i="2" a="1"/>
  <c r="AC246" i="2" s="1"/>
  <c r="AB246" i="2" a="1"/>
  <c r="AB246" i="2" s="1"/>
  <c r="AA246" i="2" a="1"/>
  <c r="AA246" i="2" s="1"/>
  <c r="Z246" i="2" a="1"/>
  <c r="Z246" i="2" s="1"/>
  <c r="Y246" i="2" a="1"/>
  <c r="Y246" i="2" s="1"/>
  <c r="X246" i="2" a="1"/>
  <c r="X246" i="2" s="1"/>
  <c r="AI245" i="2" a="1"/>
  <c r="AI245" i="2" s="1"/>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AI244" i="2" a="1"/>
  <c r="AI244" i="2" s="1"/>
  <c r="AH244" i="2" a="1"/>
  <c r="AH244" i="2" s="1"/>
  <c r="AG244" i="2" a="1"/>
  <c r="AG244" i="2" s="1"/>
  <c r="AF244" i="2" a="1"/>
  <c r="AF244" i="2" s="1"/>
  <c r="AE244" i="2" a="1"/>
  <c r="AE244" i="2" s="1"/>
  <c r="AD244" i="2" a="1"/>
  <c r="AD244" i="2" s="1"/>
  <c r="AC244" i="2" a="1"/>
  <c r="AC244" i="2" s="1"/>
  <c r="AB244" i="2" a="1"/>
  <c r="AB244" i="2" s="1"/>
  <c r="AA244" i="2" a="1"/>
  <c r="AA244" i="2" s="1"/>
  <c r="Z244" i="2" a="1"/>
  <c r="Z244" i="2" s="1"/>
  <c r="Y244" i="2" a="1"/>
  <c r="Y244" i="2" s="1"/>
  <c r="X244" i="2" a="1"/>
  <c r="X244" i="2" s="1"/>
  <c r="AI243" i="2" a="1"/>
  <c r="AI243" i="2" s="1"/>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AI242" i="2" a="1"/>
  <c r="AI242" i="2" s="1"/>
  <c r="AH242" i="2" a="1"/>
  <c r="AH242" i="2" s="1"/>
  <c r="AG242" i="2" a="1"/>
  <c r="AG242" i="2" s="1"/>
  <c r="AF242" i="2" a="1"/>
  <c r="AF242" i="2" s="1"/>
  <c r="AE242" i="2" a="1"/>
  <c r="AE242" i="2" s="1"/>
  <c r="AD242" i="2" a="1"/>
  <c r="AD242" i="2" s="1"/>
  <c r="AC242" i="2" a="1"/>
  <c r="AC242" i="2" s="1"/>
  <c r="AB242" i="2" a="1"/>
  <c r="AB242" i="2" s="1"/>
  <c r="AA242" i="2" a="1"/>
  <c r="AA242" i="2" s="1"/>
  <c r="Z242" i="2" a="1"/>
  <c r="Z242" i="2" s="1"/>
  <c r="Y242" i="2" a="1"/>
  <c r="Y242" i="2" s="1"/>
  <c r="X242" i="2" a="1"/>
  <c r="X242" i="2" s="1"/>
  <c r="AI241" i="2" a="1"/>
  <c r="AI241" i="2" s="1"/>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AI240" i="2" a="1"/>
  <c r="AI240" i="2" s="1"/>
  <c r="AH240" i="2" a="1"/>
  <c r="AH240" i="2" s="1"/>
  <c r="AG240" i="2" a="1"/>
  <c r="AG240" i="2" s="1"/>
  <c r="AF240" i="2" a="1"/>
  <c r="AF240" i="2" s="1"/>
  <c r="AE240" i="2" a="1"/>
  <c r="AE240" i="2" s="1"/>
  <c r="AD240" i="2" a="1"/>
  <c r="AD240" i="2" s="1"/>
  <c r="AC240" i="2" a="1"/>
  <c r="AC240" i="2" s="1"/>
  <c r="AB240" i="2" a="1"/>
  <c r="AB240" i="2" s="1"/>
  <c r="AA240" i="2" a="1"/>
  <c r="AA240" i="2" s="1"/>
  <c r="Z240" i="2" a="1"/>
  <c r="Z240" i="2" s="1"/>
  <c r="Y240" i="2" a="1"/>
  <c r="Y240" i="2" s="1"/>
  <c r="X240" i="2" a="1"/>
  <c r="X240" i="2" s="1"/>
  <c r="AI239" i="2" a="1"/>
  <c r="AI239" i="2" s="1"/>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AI238" i="2" a="1"/>
  <c r="AI238" i="2" s="1"/>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AI237" i="2" a="1"/>
  <c r="AI237" i="2" s="1"/>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AI236" i="2" a="1"/>
  <c r="AI236" i="2" s="1"/>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AI235" i="2" a="1"/>
  <c r="AI235" i="2" s="1"/>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AI234" i="2" a="1"/>
  <c r="AI234" i="2" s="1"/>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AI233" i="2" a="1"/>
  <c r="AI233" i="2" s="1"/>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AI232" i="2" a="1"/>
  <c r="AI232" i="2" s="1"/>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AI231" i="2" a="1"/>
  <c r="AI231" i="2" s="1"/>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AI230" i="2" a="1"/>
  <c r="AI230" i="2" s="1"/>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AI229" i="2" a="1"/>
  <c r="AI229" i="2" s="1"/>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AI228" i="2" a="1"/>
  <c r="AI228" i="2" s="1"/>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AI227" i="2" a="1"/>
  <c r="AI227" i="2" s="1"/>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AI226" i="2" a="1"/>
  <c r="AI226" i="2" s="1"/>
  <c r="AH226" i="2" a="1"/>
  <c r="AH226" i="2" s="1"/>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AI225" i="2" a="1"/>
  <c r="AI225" i="2" s="1"/>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AI224" i="2" a="1"/>
  <c r="AI224" i="2" s="1"/>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AI223" i="2" a="1"/>
  <c r="AI223" i="2" s="1"/>
  <c r="AH223" i="2" a="1"/>
  <c r="AH223" i="2" s="1"/>
  <c r="AG223" i="2" a="1"/>
  <c r="AG223" i="2" s="1"/>
  <c r="AF223" i="2" a="1"/>
  <c r="AF223" i="2" s="1"/>
  <c r="AE223" i="2" a="1"/>
  <c r="AE223" i="2" s="1"/>
  <c r="AD223" i="2" a="1"/>
  <c r="AD223" i="2" s="1"/>
  <c r="AC223" i="2" a="1"/>
  <c r="AC223" i="2" s="1"/>
  <c r="AB223" i="2" a="1"/>
  <c r="AB223" i="2" s="1"/>
  <c r="AA223" i="2" a="1"/>
  <c r="AA223" i="2" s="1"/>
  <c r="Z223" i="2" a="1"/>
  <c r="Z223" i="2" s="1"/>
  <c r="Y223" i="2" a="1"/>
  <c r="Y223" i="2" s="1"/>
  <c r="X223" i="2" a="1"/>
  <c r="X223" i="2" s="1"/>
  <c r="AI222" i="2" a="1"/>
  <c r="AI222" i="2" s="1"/>
  <c r="AH222" i="2" a="1"/>
  <c r="AH222" i="2" s="1"/>
  <c r="AG222" i="2" a="1"/>
  <c r="AG222" i="2" s="1"/>
  <c r="AF222" i="2" a="1"/>
  <c r="AF222" i="2" s="1"/>
  <c r="AE222" i="2" a="1"/>
  <c r="AE222" i="2" s="1"/>
  <c r="AD222" i="2" a="1"/>
  <c r="AD222" i="2" s="1"/>
  <c r="AC222" i="2" a="1"/>
  <c r="AC222" i="2" s="1"/>
  <c r="AB222" i="2" a="1"/>
  <c r="AB222" i="2" s="1"/>
  <c r="AA222" i="2" a="1"/>
  <c r="AA222" i="2" s="1"/>
  <c r="Z222" i="2" a="1"/>
  <c r="Z222" i="2" s="1"/>
  <c r="Y222" i="2" a="1"/>
  <c r="Y222" i="2" s="1"/>
  <c r="X222" i="2" a="1"/>
  <c r="X222" i="2" s="1"/>
  <c r="AI221" i="2" a="1"/>
  <c r="AI221" i="2" s="1"/>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AI220" i="2" a="1"/>
  <c r="AI220" i="2" s="1"/>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AI219" i="2" a="1"/>
  <c r="AI219" i="2" s="1"/>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AI218" i="2" a="1"/>
  <c r="AI218" i="2" s="1"/>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AI217" i="2" a="1"/>
  <c r="AI217" i="2" s="1"/>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AI216" i="2" a="1"/>
  <c r="AI216" i="2" s="1"/>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AI215" i="2" a="1"/>
  <c r="AI215" i="2" s="1"/>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AI214" i="2" a="1"/>
  <c r="AI214" i="2" s="1"/>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AI213" i="2" a="1"/>
  <c r="AI213" i="2" s="1"/>
  <c r="AH213" i="2" a="1"/>
  <c r="AH213" i="2" s="1"/>
  <c r="AG213" i="2" a="1"/>
  <c r="AG213" i="2" s="1"/>
  <c r="AF213" i="2" a="1"/>
  <c r="AF213" i="2" s="1"/>
  <c r="AE213" i="2" a="1"/>
  <c r="AE213" i="2" s="1"/>
  <c r="AD213" i="2" a="1"/>
  <c r="AD213" i="2" s="1"/>
  <c r="AC213" i="2" a="1"/>
  <c r="AC213" i="2" s="1"/>
  <c r="AB213" i="2" a="1"/>
  <c r="AB213" i="2" s="1"/>
  <c r="AA213" i="2" a="1"/>
  <c r="AA213" i="2" s="1"/>
  <c r="Z213" i="2" a="1"/>
  <c r="Z213" i="2" s="1"/>
  <c r="Y213" i="2" a="1"/>
  <c r="Y213" i="2" s="1"/>
  <c r="X213" i="2" a="1"/>
  <c r="X213" i="2" s="1"/>
  <c r="AI212" i="2" a="1"/>
  <c r="AI212" i="2" s="1"/>
  <c r="AH212" i="2" a="1"/>
  <c r="AH212" i="2" s="1"/>
  <c r="AG212" i="2" a="1"/>
  <c r="AG212" i="2" s="1"/>
  <c r="AF212" i="2" a="1"/>
  <c r="AF212" i="2" s="1"/>
  <c r="AE212" i="2" a="1"/>
  <c r="AE212" i="2" s="1"/>
  <c r="AD212" i="2" a="1"/>
  <c r="AD212" i="2" s="1"/>
  <c r="AC212" i="2" a="1"/>
  <c r="AC212" i="2" s="1"/>
  <c r="AB212" i="2" a="1"/>
  <c r="AB212" i="2" s="1"/>
  <c r="AA212" i="2" a="1"/>
  <c r="AA212" i="2" s="1"/>
  <c r="Z212" i="2" a="1"/>
  <c r="Z212" i="2" s="1"/>
  <c r="Y212" i="2" a="1"/>
  <c r="Y212" i="2" s="1"/>
  <c r="X212" i="2" a="1"/>
  <c r="X212" i="2" s="1"/>
  <c r="AI211" i="2" a="1"/>
  <c r="AI211" i="2" s="1"/>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AI210" i="2" a="1"/>
  <c r="AI210" i="2" s="1"/>
  <c r="AH210" i="2" a="1"/>
  <c r="AH210" i="2" s="1"/>
  <c r="AG210" i="2" a="1"/>
  <c r="AG210" i="2" s="1"/>
  <c r="AF210" i="2" a="1"/>
  <c r="AF210" i="2" s="1"/>
  <c r="AE210" i="2" a="1"/>
  <c r="AE210" i="2" s="1"/>
  <c r="AD210" i="2" a="1"/>
  <c r="AD210" i="2" s="1"/>
  <c r="AC210" i="2" a="1"/>
  <c r="AC210" i="2" s="1"/>
  <c r="AB210" i="2" a="1"/>
  <c r="AB210" i="2" s="1"/>
  <c r="AA210" i="2" a="1"/>
  <c r="AA210" i="2" s="1"/>
  <c r="Z210" i="2" a="1"/>
  <c r="Z210" i="2" s="1"/>
  <c r="Y210" i="2" a="1"/>
  <c r="Y210" i="2" s="1"/>
  <c r="X210" i="2" a="1"/>
  <c r="X210" i="2" s="1"/>
  <c r="AI209" i="2" a="1"/>
  <c r="AI209" i="2" s="1"/>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AI208" i="2" a="1"/>
  <c r="AI208" i="2" s="1"/>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AI207" i="2" a="1"/>
  <c r="AI207" i="2" s="1"/>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AI206" i="2" a="1"/>
  <c r="AI206" i="2" s="1"/>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AI205" i="2" a="1"/>
  <c r="AI205" i="2" s="1"/>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AI204" i="2" a="1"/>
  <c r="AI204" i="2" s="1"/>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AI203" i="2" a="1"/>
  <c r="AI203" i="2" s="1"/>
  <c r="AH203" i="2" a="1"/>
  <c r="AH203" i="2" s="1"/>
  <c r="AG203" i="2" a="1"/>
  <c r="AG203" i="2" s="1"/>
  <c r="AF203" i="2" a="1"/>
  <c r="AF203" i="2" s="1"/>
  <c r="AE203" i="2" a="1"/>
  <c r="AE203" i="2" s="1"/>
  <c r="AD203" i="2" a="1"/>
  <c r="AD203" i="2" s="1"/>
  <c r="AC203" i="2" a="1"/>
  <c r="AC203" i="2" s="1"/>
  <c r="AB203" i="2" a="1"/>
  <c r="AB203" i="2" s="1"/>
  <c r="AA203" i="2" a="1"/>
  <c r="AA203" i="2" s="1"/>
  <c r="Z203" i="2" a="1"/>
  <c r="Z203" i="2" s="1"/>
  <c r="Y203" i="2" a="1"/>
  <c r="Y203" i="2" s="1"/>
  <c r="X203" i="2" a="1"/>
  <c r="X203" i="2" s="1"/>
  <c r="AI202" i="2" a="1"/>
  <c r="AI202" i="2" s="1"/>
  <c r="AH202" i="2" a="1"/>
  <c r="AH202" i="2" s="1"/>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AI201" i="2" a="1"/>
  <c r="AI201" i="2" s="1"/>
  <c r="AH201" i="2" a="1"/>
  <c r="AH201" i="2" s="1"/>
  <c r="AG201" i="2" a="1"/>
  <c r="AG201" i="2" s="1"/>
  <c r="AF201" i="2" a="1"/>
  <c r="AF201" i="2" s="1"/>
  <c r="AE201" i="2" a="1"/>
  <c r="AE201" i="2" s="1"/>
  <c r="AD201" i="2" a="1"/>
  <c r="AD201" i="2" s="1"/>
  <c r="AC201" i="2" a="1"/>
  <c r="AC201" i="2" s="1"/>
  <c r="AB201" i="2" a="1"/>
  <c r="AB201" i="2" s="1"/>
  <c r="AA201" i="2" a="1"/>
  <c r="AA201" i="2" s="1"/>
  <c r="Z201" i="2" a="1"/>
  <c r="Z201" i="2" s="1"/>
  <c r="Y201" i="2" a="1"/>
  <c r="Y201" i="2" s="1"/>
  <c r="X201" i="2" a="1"/>
  <c r="X201" i="2" s="1"/>
  <c r="AI200" i="2" a="1"/>
  <c r="AI200" i="2" s="1"/>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AI199" i="2" a="1"/>
  <c r="AI199" i="2" s="1"/>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AI198" i="2" a="1"/>
  <c r="AI198" i="2" s="1"/>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AI197" i="2" a="1"/>
  <c r="AI197" i="2" s="1"/>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AI196" i="2" a="1"/>
  <c r="AI196" i="2" s="1"/>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AI195" i="2" a="1"/>
  <c r="AI195" i="2" s="1"/>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AI194" i="2" a="1"/>
  <c r="AI194" i="2" s="1"/>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AI193" i="2" a="1"/>
  <c r="AI193" i="2" s="1"/>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AI192" i="2" a="1"/>
  <c r="AI192" i="2" s="1"/>
  <c r="AH192" i="2" a="1"/>
  <c r="AH192" i="2" s="1"/>
  <c r="AG192" i="2" a="1"/>
  <c r="AG192" i="2" s="1"/>
  <c r="AF192" i="2" a="1"/>
  <c r="AF192" i="2" s="1"/>
  <c r="AE192" i="2" a="1"/>
  <c r="AE192" i="2" s="1"/>
  <c r="AD192" i="2" a="1"/>
  <c r="AD192" i="2" s="1"/>
  <c r="AC192" i="2" a="1"/>
  <c r="AC192" i="2" s="1"/>
  <c r="AB192" i="2" a="1"/>
  <c r="AB192" i="2" s="1"/>
  <c r="AA192" i="2" a="1"/>
  <c r="AA192" i="2" s="1"/>
  <c r="Z192" i="2" a="1"/>
  <c r="Z192" i="2" s="1"/>
  <c r="Y192" i="2" a="1"/>
  <c r="Y192" i="2" s="1"/>
  <c r="X192" i="2" a="1"/>
  <c r="X192" i="2" s="1"/>
  <c r="AI191" i="2" a="1"/>
  <c r="AI191" i="2" s="1"/>
  <c r="AH191" i="2" a="1"/>
  <c r="AH191" i="2" s="1"/>
  <c r="AG191" i="2" a="1"/>
  <c r="AG191" i="2" s="1"/>
  <c r="AF191" i="2" a="1"/>
  <c r="AF191" i="2" s="1"/>
  <c r="AE191" i="2" a="1"/>
  <c r="AE191" i="2" s="1"/>
  <c r="AD191" i="2" a="1"/>
  <c r="AD191" i="2" s="1"/>
  <c r="AC191" i="2" a="1"/>
  <c r="AC191" i="2" s="1"/>
  <c r="AB191" i="2" a="1"/>
  <c r="AB191" i="2" s="1"/>
  <c r="AA191" i="2" a="1"/>
  <c r="AA191" i="2" s="1"/>
  <c r="Z191" i="2" a="1"/>
  <c r="Z191" i="2" s="1"/>
  <c r="Y191" i="2" a="1"/>
  <c r="Y191" i="2" s="1"/>
  <c r="X191" i="2" a="1"/>
  <c r="X191" i="2" s="1"/>
  <c r="AI190" i="2" a="1"/>
  <c r="AI190" i="2" s="1"/>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AI189" i="2" a="1"/>
  <c r="AI189" i="2" s="1"/>
  <c r="AH189" i="2" a="1"/>
  <c r="AH189" i="2" s="1"/>
  <c r="AG189" i="2" a="1"/>
  <c r="AG189" i="2" s="1"/>
  <c r="AF189" i="2" a="1"/>
  <c r="AF189" i="2" s="1"/>
  <c r="AE189" i="2" a="1"/>
  <c r="AE189" i="2" s="1"/>
  <c r="AD189" i="2" a="1"/>
  <c r="AD189" i="2" s="1"/>
  <c r="AC189" i="2" a="1"/>
  <c r="AC189" i="2" s="1"/>
  <c r="AB189" i="2" a="1"/>
  <c r="AB189" i="2" s="1"/>
  <c r="AA189" i="2" a="1"/>
  <c r="AA189" i="2" s="1"/>
  <c r="Z189" i="2" a="1"/>
  <c r="Z189" i="2" s="1"/>
  <c r="Y189" i="2" a="1"/>
  <c r="Y189" i="2" s="1"/>
  <c r="X189" i="2" a="1"/>
  <c r="X189" i="2" s="1"/>
  <c r="AI188" i="2" a="1"/>
  <c r="AI188" i="2" s="1"/>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AI187" i="2" a="1"/>
  <c r="AI187" i="2" s="1"/>
  <c r="AH187" i="2" a="1"/>
  <c r="AH187" i="2" s="1"/>
  <c r="AG187" i="2" a="1"/>
  <c r="AG187" i="2" s="1"/>
  <c r="AF187" i="2" a="1"/>
  <c r="AF187" i="2" s="1"/>
  <c r="AE187" i="2" a="1"/>
  <c r="AE187" i="2" s="1"/>
  <c r="AD187" i="2" a="1"/>
  <c r="AD187" i="2" s="1"/>
  <c r="AC187" i="2" a="1"/>
  <c r="AC187" i="2" s="1"/>
  <c r="AB187" i="2" a="1"/>
  <c r="AB187" i="2" s="1"/>
  <c r="AA187" i="2" a="1"/>
  <c r="AA187" i="2" s="1"/>
  <c r="Z187" i="2" a="1"/>
  <c r="Z187" i="2" s="1"/>
  <c r="Y187" i="2" a="1"/>
  <c r="Y187" i="2" s="1"/>
  <c r="X187" i="2" a="1"/>
  <c r="X187" i="2" s="1"/>
  <c r="AI186" i="2" a="1"/>
  <c r="AI186" i="2" s="1"/>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AI185" i="2" a="1"/>
  <c r="AI185" i="2" s="1"/>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AI184" i="2" a="1"/>
  <c r="AI184" i="2" s="1"/>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AI183" i="2" a="1"/>
  <c r="AI183" i="2" s="1"/>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AI182" i="2" a="1"/>
  <c r="AI182" i="2" s="1"/>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AI181" i="2" a="1"/>
  <c r="AI181" i="2" s="1"/>
  <c r="AH181" i="2" a="1"/>
  <c r="AH181" i="2" s="1"/>
  <c r="AG181" i="2" a="1"/>
  <c r="AG181" i="2" s="1"/>
  <c r="AF181" i="2" a="1"/>
  <c r="AF181" i="2" s="1"/>
  <c r="AE181" i="2" a="1"/>
  <c r="AE181" i="2" s="1"/>
  <c r="AD181" i="2" a="1"/>
  <c r="AD181" i="2" s="1"/>
  <c r="AC181" i="2" a="1"/>
  <c r="AC181" i="2" s="1"/>
  <c r="AB181" i="2" a="1"/>
  <c r="AB181" i="2" s="1"/>
  <c r="AA181" i="2" a="1"/>
  <c r="AA181" i="2" s="1"/>
  <c r="Z181" i="2" a="1"/>
  <c r="Z181" i="2" s="1"/>
  <c r="Y181" i="2" a="1"/>
  <c r="Y181" i="2" s="1"/>
  <c r="X181" i="2" a="1"/>
  <c r="X181" i="2" s="1"/>
  <c r="AI180" i="2" a="1"/>
  <c r="AI180" i="2" s="1"/>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AI179" i="2" a="1"/>
  <c r="AI179" i="2" s="1"/>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AI178" i="2" a="1"/>
  <c r="AI178" i="2" s="1"/>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AI177" i="2" a="1"/>
  <c r="AI177" i="2" s="1"/>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AI176" i="2" a="1"/>
  <c r="AI176" i="2" s="1"/>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AI175" i="2" a="1"/>
  <c r="AI175" i="2" s="1"/>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AI174" i="2" a="1"/>
  <c r="AI174" i="2" s="1"/>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AI173" i="2" a="1"/>
  <c r="AI173" i="2" s="1"/>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AI172" i="2" a="1"/>
  <c r="AI172" i="2" s="1"/>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AI171" i="2" a="1"/>
  <c r="AI171" i="2" s="1"/>
  <c r="AH171" i="2" a="1"/>
  <c r="AH171" i="2" s="1"/>
  <c r="AG171" i="2" a="1"/>
  <c r="AG171" i="2" s="1"/>
  <c r="AF171" i="2" a="1"/>
  <c r="AF171" i="2" s="1"/>
  <c r="AE171" i="2" a="1"/>
  <c r="AE171" i="2" s="1"/>
  <c r="AD171" i="2" a="1"/>
  <c r="AD171" i="2" s="1"/>
  <c r="AC171" i="2" a="1"/>
  <c r="AC171" i="2" s="1"/>
  <c r="AB171" i="2" a="1"/>
  <c r="AB171" i="2" s="1"/>
  <c r="AA171" i="2" a="1"/>
  <c r="AA171" i="2" s="1"/>
  <c r="Z171" i="2" a="1"/>
  <c r="Z171" i="2" s="1"/>
  <c r="Y171" i="2" a="1"/>
  <c r="Y171" i="2" s="1"/>
  <c r="X171" i="2" a="1"/>
  <c r="X171" i="2" s="1"/>
  <c r="AI170" i="2" a="1"/>
  <c r="AI170" i="2" s="1"/>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AI169" i="2" a="1"/>
  <c r="AI169" i="2" s="1"/>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AI168" i="2" a="1"/>
  <c r="AI168" i="2" s="1"/>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AI167" i="2" a="1"/>
  <c r="AI167" i="2" s="1"/>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AI166" i="2" a="1"/>
  <c r="AI166" i="2" s="1"/>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AI165" i="2" a="1"/>
  <c r="AI165" i="2" s="1"/>
  <c r="AH165" i="2" a="1"/>
  <c r="AH165" i="2" s="1"/>
  <c r="AG165" i="2" a="1"/>
  <c r="AG165" i="2" s="1"/>
  <c r="AF165" i="2" a="1"/>
  <c r="AF165" i="2" s="1"/>
  <c r="AE165" i="2" a="1"/>
  <c r="AE165" i="2" s="1"/>
  <c r="AD165" i="2" a="1"/>
  <c r="AD165" i="2" s="1"/>
  <c r="AC165" i="2" a="1"/>
  <c r="AC165" i="2" s="1"/>
  <c r="AB165" i="2" a="1"/>
  <c r="AB165" i="2" s="1"/>
  <c r="AA165" i="2" a="1"/>
  <c r="AA165" i="2" s="1"/>
  <c r="Z165" i="2" a="1"/>
  <c r="Z165" i="2" s="1"/>
  <c r="Y165" i="2" a="1"/>
  <c r="Y165" i="2" s="1"/>
  <c r="X165" i="2" a="1"/>
  <c r="X165" i="2" s="1"/>
  <c r="AI164" i="2" a="1"/>
  <c r="AI164" i="2" s="1"/>
  <c r="AH164" i="2" a="1"/>
  <c r="AH164" i="2" s="1"/>
  <c r="AG164" i="2" a="1"/>
  <c r="AG164" i="2" s="1"/>
  <c r="AF164" i="2" a="1"/>
  <c r="AF164" i="2" s="1"/>
  <c r="AE164" i="2" a="1"/>
  <c r="AE164" i="2" s="1"/>
  <c r="AD164" i="2" a="1"/>
  <c r="AD164" i="2" s="1"/>
  <c r="AC164" i="2" a="1"/>
  <c r="AC164" i="2" s="1"/>
  <c r="AB164" i="2" a="1"/>
  <c r="AB164" i="2" s="1"/>
  <c r="AA164" i="2" a="1"/>
  <c r="AA164" i="2" s="1"/>
  <c r="Z164" i="2" a="1"/>
  <c r="Z164" i="2" s="1"/>
  <c r="Y164" i="2" a="1"/>
  <c r="Y164" i="2" s="1"/>
  <c r="X164" i="2" a="1"/>
  <c r="X164" i="2" s="1"/>
  <c r="AI163" i="2" a="1"/>
  <c r="AI163" i="2" s="1"/>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AI162" i="2" a="1"/>
  <c r="AI162" i="2" s="1"/>
  <c r="AH162" i="2" a="1"/>
  <c r="AH162" i="2" s="1"/>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AI161" i="2" a="1"/>
  <c r="AI161" i="2" s="1"/>
  <c r="AH161" i="2" a="1"/>
  <c r="AH161" i="2" s="1"/>
  <c r="AG161" i="2" a="1"/>
  <c r="AG161" i="2" s="1"/>
  <c r="AF161" i="2" a="1"/>
  <c r="AF161" i="2" s="1"/>
  <c r="AE161" i="2" a="1"/>
  <c r="AE161" i="2" s="1"/>
  <c r="AD161" i="2" a="1"/>
  <c r="AD161" i="2" s="1"/>
  <c r="AC161" i="2" a="1"/>
  <c r="AC161" i="2" s="1"/>
  <c r="AB161" i="2" a="1"/>
  <c r="AB161" i="2" s="1"/>
  <c r="AA161" i="2" a="1"/>
  <c r="AA161" i="2" s="1"/>
  <c r="Z161" i="2" a="1"/>
  <c r="Z161" i="2" s="1"/>
  <c r="Y161" i="2" a="1"/>
  <c r="Y161" i="2" s="1"/>
  <c r="X161" i="2" a="1"/>
  <c r="X161" i="2" s="1"/>
  <c r="AI160" i="2" a="1"/>
  <c r="AI160" i="2" s="1"/>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AI159" i="2" a="1"/>
  <c r="AI159" i="2" s="1"/>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AI158" i="2" a="1"/>
  <c r="AI158" i="2" s="1"/>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AI157" i="2" a="1"/>
  <c r="AI157" i="2" s="1"/>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AI156" i="2" a="1"/>
  <c r="AI156" i="2" s="1"/>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AI155" i="2" a="1"/>
  <c r="AI155" i="2" s="1"/>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AI154" i="2" a="1"/>
  <c r="AI154" i="2" s="1"/>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AI153" i="2" a="1"/>
  <c r="AI153" i="2" s="1"/>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AI152" i="2" a="1"/>
  <c r="AI152" i="2" s="1"/>
  <c r="AH152" i="2" a="1"/>
  <c r="AH152" i="2" s="1"/>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AI151" i="2" a="1"/>
  <c r="AI151" i="2" s="1"/>
  <c r="AH151" i="2" a="1"/>
  <c r="AH151" i="2" s="1"/>
  <c r="AG151" i="2" a="1"/>
  <c r="AG151" i="2" s="1"/>
  <c r="AF151" i="2" a="1"/>
  <c r="AF151" i="2" s="1"/>
  <c r="AE151" i="2" a="1"/>
  <c r="AE151" i="2" s="1"/>
  <c r="AD151" i="2" a="1"/>
  <c r="AD151" i="2" s="1"/>
  <c r="AC151" i="2" a="1"/>
  <c r="AC151" i="2" s="1"/>
  <c r="AB151" i="2" a="1"/>
  <c r="AB151" i="2" s="1"/>
  <c r="AA151" i="2" a="1"/>
  <c r="AA151" i="2" s="1"/>
  <c r="Z151" i="2" a="1"/>
  <c r="Z151" i="2" s="1"/>
  <c r="Y151" i="2" a="1"/>
  <c r="Y151" i="2" s="1"/>
  <c r="X151" i="2" a="1"/>
  <c r="X151" i="2" s="1"/>
  <c r="AI150" i="2" a="1"/>
  <c r="AI150" i="2" s="1"/>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AI149" i="2" a="1"/>
  <c r="AI149" i="2" s="1"/>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AI148" i="2" a="1"/>
  <c r="AI148" i="2" s="1"/>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AI147" i="2" a="1"/>
  <c r="AI147" i="2" s="1"/>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AI146" i="2" a="1"/>
  <c r="AI146" i="2" s="1"/>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AI145" i="2" a="1"/>
  <c r="AI145" i="2" s="1"/>
  <c r="AH145" i="2" a="1"/>
  <c r="AH145" i="2" s="1"/>
  <c r="AG145" i="2" a="1"/>
  <c r="AG145" i="2" s="1"/>
  <c r="AF145" i="2" a="1"/>
  <c r="AF145" i="2" s="1"/>
  <c r="AE145" i="2" a="1"/>
  <c r="AE145" i="2" s="1"/>
  <c r="AD145" i="2" a="1"/>
  <c r="AD145" i="2" s="1"/>
  <c r="AC145" i="2" a="1"/>
  <c r="AC145" i="2" s="1"/>
  <c r="AB145" i="2" a="1"/>
  <c r="AB145" i="2" s="1"/>
  <c r="AA145" i="2" a="1"/>
  <c r="AA145" i="2" s="1"/>
  <c r="Z145" i="2" a="1"/>
  <c r="Z145" i="2" s="1"/>
  <c r="Y145" i="2" a="1"/>
  <c r="Y145" i="2" s="1"/>
  <c r="X145" i="2" a="1"/>
  <c r="X145" i="2" s="1"/>
  <c r="AI144" i="2" a="1"/>
  <c r="AI144" i="2" s="1"/>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AI143" i="2" a="1"/>
  <c r="AI143" i="2" s="1"/>
  <c r="AH143" i="2" a="1"/>
  <c r="AH143" i="2" s="1"/>
  <c r="AG143" i="2" a="1"/>
  <c r="AG143" i="2" s="1"/>
  <c r="AF143" i="2" a="1"/>
  <c r="AF143" i="2" s="1"/>
  <c r="AE143" i="2" a="1"/>
  <c r="AE143" i="2" s="1"/>
  <c r="AD143" i="2" a="1"/>
  <c r="AD143" i="2" s="1"/>
  <c r="AC143" i="2" a="1"/>
  <c r="AC143" i="2" s="1"/>
  <c r="AB143" i="2" a="1"/>
  <c r="AB143" i="2" s="1"/>
  <c r="AA143" i="2" a="1"/>
  <c r="AA143" i="2" s="1"/>
  <c r="Z143" i="2" a="1"/>
  <c r="Z143" i="2" s="1"/>
  <c r="Y143" i="2" a="1"/>
  <c r="Y143" i="2" s="1"/>
  <c r="X143" i="2" a="1"/>
  <c r="X143" i="2" s="1"/>
  <c r="AI142" i="2" a="1"/>
  <c r="AI142" i="2" s="1"/>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AI141" i="2" a="1"/>
  <c r="AI141" i="2" s="1"/>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AI140" i="2" a="1"/>
  <c r="AI140" i="2" s="1"/>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AI139" i="2" a="1"/>
  <c r="AI139" i="2" s="1"/>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AI138" i="2" a="1"/>
  <c r="AI138" i="2" s="1"/>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AI137" i="2" a="1"/>
  <c r="AI137" i="2" s="1"/>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AI136" i="2" a="1"/>
  <c r="AI136" i="2" s="1"/>
  <c r="AH136" i="2" a="1"/>
  <c r="AH136" i="2" s="1"/>
  <c r="AG136" i="2" a="1"/>
  <c r="AG136" i="2" s="1"/>
  <c r="AF136" i="2" a="1"/>
  <c r="AF136" i="2" s="1"/>
  <c r="AE136" i="2" a="1"/>
  <c r="AE136" i="2" s="1"/>
  <c r="AD136" i="2" a="1"/>
  <c r="AD136" i="2" s="1"/>
  <c r="AC136" i="2" a="1"/>
  <c r="AC136" i="2" s="1"/>
  <c r="AB136" i="2" a="1"/>
  <c r="AB136" i="2" s="1"/>
  <c r="AA136" i="2" a="1"/>
  <c r="AA136" i="2" s="1"/>
  <c r="Z136" i="2" a="1"/>
  <c r="Z136" i="2" s="1"/>
  <c r="Y136" i="2" a="1"/>
  <c r="Y136" i="2" s="1"/>
  <c r="X136" i="2" a="1"/>
  <c r="X136" i="2" s="1"/>
  <c r="AI135" i="2" a="1"/>
  <c r="AI135" i="2" s="1"/>
  <c r="AH135" i="2" a="1"/>
  <c r="AH135" i="2" s="1"/>
  <c r="AG135" i="2" a="1"/>
  <c r="AG135" i="2" s="1"/>
  <c r="AF135" i="2" a="1"/>
  <c r="AF135" i="2" s="1"/>
  <c r="AE135" i="2" a="1"/>
  <c r="AE135" i="2" s="1"/>
  <c r="AD135" i="2" a="1"/>
  <c r="AD135" i="2" s="1"/>
  <c r="AC135" i="2" a="1"/>
  <c r="AC135" i="2" s="1"/>
  <c r="AB135" i="2" a="1"/>
  <c r="AB135" i="2" s="1"/>
  <c r="AA135" i="2" a="1"/>
  <c r="AA135" i="2" s="1"/>
  <c r="Z135" i="2" a="1"/>
  <c r="Z135" i="2" s="1"/>
  <c r="Y135" i="2" a="1"/>
  <c r="Y135" i="2" s="1"/>
  <c r="X135" i="2" a="1"/>
  <c r="X135" i="2" s="1"/>
  <c r="AI134" i="2" a="1"/>
  <c r="AI134" i="2" s="1"/>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AI133" i="2" a="1"/>
  <c r="AI133" i="2" s="1"/>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AI132" i="2" a="1"/>
  <c r="AI132" i="2" s="1"/>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AI131" i="2" a="1"/>
  <c r="AI131" i="2" s="1"/>
  <c r="AH131" i="2" a="1"/>
  <c r="AH131" i="2" s="1"/>
  <c r="AG131" i="2" a="1"/>
  <c r="AG131" i="2" s="1"/>
  <c r="AF131" i="2" a="1"/>
  <c r="AF131" i="2" s="1"/>
  <c r="AE131" i="2" a="1"/>
  <c r="AE131" i="2" s="1"/>
  <c r="AD131" i="2" a="1"/>
  <c r="AD131" i="2" s="1"/>
  <c r="AC131" i="2" a="1"/>
  <c r="AC131" i="2" s="1"/>
  <c r="AB131" i="2" a="1"/>
  <c r="AB131" i="2" s="1"/>
  <c r="AA131" i="2" a="1"/>
  <c r="AA131" i="2" s="1"/>
  <c r="Z131" i="2" a="1"/>
  <c r="Z131" i="2" s="1"/>
  <c r="Y131" i="2" a="1"/>
  <c r="Y131" i="2" s="1"/>
  <c r="X131" i="2" a="1"/>
  <c r="X131" i="2" s="1"/>
  <c r="AI130" i="2" a="1"/>
  <c r="AI130" i="2" s="1"/>
  <c r="AH130" i="2" a="1"/>
  <c r="AH130" i="2" s="1"/>
  <c r="AG130" i="2" a="1"/>
  <c r="AG130" i="2" s="1"/>
  <c r="AF130" i="2" a="1"/>
  <c r="AF130" i="2" s="1"/>
  <c r="AE130" i="2" a="1"/>
  <c r="AE130" i="2" s="1"/>
  <c r="AD130" i="2" a="1"/>
  <c r="AD130" i="2" s="1"/>
  <c r="AC130" i="2" a="1"/>
  <c r="AC130" i="2" s="1"/>
  <c r="AB130" i="2" a="1"/>
  <c r="AB130" i="2" s="1"/>
  <c r="AA130" i="2" a="1"/>
  <c r="AA130" i="2" s="1"/>
  <c r="Z130" i="2" a="1"/>
  <c r="Z130" i="2" s="1"/>
  <c r="Y130" i="2" a="1"/>
  <c r="Y130" i="2" s="1"/>
  <c r="X130" i="2" a="1"/>
  <c r="X130" i="2" s="1"/>
  <c r="AI129" i="2" a="1"/>
  <c r="AI129" i="2" s="1"/>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AI128" i="2" a="1"/>
  <c r="AI128" i="2" s="1"/>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AI127" i="2" a="1"/>
  <c r="AI127" i="2" s="1"/>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AI126" i="2" a="1"/>
  <c r="AI126" i="2" s="1"/>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AI125" i="2" a="1"/>
  <c r="AI125" i="2" s="1"/>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AI124" i="2" a="1"/>
  <c r="AI124" i="2" s="1"/>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AI123" i="2" a="1"/>
  <c r="AI123" i="2" s="1"/>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AI122" i="2" a="1"/>
  <c r="AI122" i="2" s="1"/>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AI121" i="2" a="1"/>
  <c r="AI121" i="2" s="1"/>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AI120" i="2" a="1"/>
  <c r="AI120" i="2" s="1"/>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AI119" i="2" a="1"/>
  <c r="AI119" i="2" s="1"/>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AI118" i="2" a="1"/>
  <c r="AI118" i="2" s="1"/>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AI117" i="2" a="1"/>
  <c r="AI117" i="2" s="1"/>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AI116" i="2" a="1"/>
  <c r="AI116" i="2" s="1"/>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AI115" i="2" a="1"/>
  <c r="AI115" i="2" s="1"/>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AI114" i="2" a="1"/>
  <c r="AI114" i="2" s="1"/>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AI113" i="2" a="1"/>
  <c r="AI113" i="2" s="1"/>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AI112" i="2" a="1"/>
  <c r="AI112" i="2" s="1"/>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AI111" i="2" a="1"/>
  <c r="AI111" i="2" s="1"/>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AI110" i="2" a="1"/>
  <c r="AI110" i="2" s="1"/>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AI109" i="2" a="1"/>
  <c r="AI109" i="2" s="1"/>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AI108" i="2" a="1"/>
  <c r="AI108" i="2" s="1"/>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AI107" i="2" a="1"/>
  <c r="AI107" i="2" s="1"/>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AI106" i="2" a="1"/>
  <c r="AI106" i="2" s="1"/>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AI105" i="2" a="1"/>
  <c r="AI105" i="2" s="1"/>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AI104" i="2" a="1"/>
  <c r="AI104" i="2" s="1"/>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AI103" i="2" a="1"/>
  <c r="AI103" i="2" s="1"/>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AI102" i="2" a="1"/>
  <c r="AI102" i="2" s="1"/>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AI101" i="2" a="1"/>
  <c r="AI101" i="2" s="1"/>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AI100" i="2" a="1"/>
  <c r="AI100" i="2" s="1"/>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AI99" i="2" a="1"/>
  <c r="AI99" i="2" s="1"/>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AI98" i="2" a="1"/>
  <c r="AI98" i="2" s="1"/>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AI97" i="2" a="1"/>
  <c r="AI97" i="2" s="1"/>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AI96" i="2" a="1"/>
  <c r="AI96" i="2" s="1"/>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AI95" i="2" a="1"/>
  <c r="AI95" i="2" s="1"/>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AI94" i="2" a="1"/>
  <c r="AI94" i="2" s="1"/>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AI93" i="2" a="1"/>
  <c r="AI93" i="2" s="1"/>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AI92" i="2" a="1"/>
  <c r="AI92" i="2" s="1"/>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AI91" i="2" a="1"/>
  <c r="AI91" i="2" s="1"/>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AI90" i="2" a="1"/>
  <c r="AI90" i="2" s="1"/>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AI89" i="2" a="1"/>
  <c r="AI89" i="2" s="1"/>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AI88" i="2" a="1"/>
  <c r="AI88" i="2" s="1"/>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AI87" i="2" a="1"/>
  <c r="AI87" i="2" s="1"/>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AI86" i="2" a="1"/>
  <c r="AI86" i="2" s="1"/>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AI85" i="2" a="1"/>
  <c r="AI85" i="2" s="1"/>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AI84" i="2" a="1"/>
  <c r="AI84" i="2" s="1"/>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AI83" i="2" a="1"/>
  <c r="AI83" i="2" s="1"/>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AI82" i="2" a="1"/>
  <c r="AI82" i="2" s="1"/>
  <c r="AH82" i="2" a="1"/>
  <c r="AH82" i="2" s="1"/>
  <c r="AG82" i="2" a="1"/>
  <c r="AG82" i="2" s="1"/>
  <c r="AF82" i="2" a="1"/>
  <c r="AF82" i="2" s="1"/>
  <c r="AE82" i="2" a="1"/>
  <c r="AE82" i="2" s="1"/>
  <c r="AD82" i="2" a="1"/>
  <c r="AD82" i="2" s="1"/>
  <c r="AC82" i="2" a="1"/>
  <c r="AC82" i="2" s="1"/>
  <c r="AB82" i="2" a="1"/>
  <c r="AB82" i="2" s="1"/>
  <c r="AA82" i="2" a="1"/>
  <c r="AA82" i="2" s="1"/>
  <c r="Z82" i="2" a="1"/>
  <c r="Z82" i="2" s="1"/>
  <c r="Y82" i="2" a="1"/>
  <c r="Y82" i="2" s="1"/>
  <c r="X82" i="2" a="1"/>
  <c r="X82" i="2" s="1"/>
  <c r="AI81" i="2" a="1"/>
  <c r="AI81" i="2" s="1"/>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AI80" i="2" a="1"/>
  <c r="AI80" i="2" s="1"/>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AI79" i="2" a="1"/>
  <c r="AI79" i="2" s="1"/>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AI78" i="2" a="1"/>
  <c r="AI78" i="2" s="1"/>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AI77" i="2" a="1"/>
  <c r="AI77" i="2" s="1"/>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AI76" i="2" a="1"/>
  <c r="AI76" i="2" s="1"/>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AI75" i="2" a="1"/>
  <c r="AI75" i="2" s="1"/>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AI74" i="2" a="1"/>
  <c r="AI74" i="2" s="1"/>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AI73" i="2" a="1"/>
  <c r="AI73" i="2" s="1"/>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AI72" i="2" a="1"/>
  <c r="AI72" i="2" s="1"/>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AI71" i="2" a="1"/>
  <c r="AI71" i="2" s="1"/>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AI70" i="2" a="1"/>
  <c r="AI70" i="2" s="1"/>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AI69" i="2" a="1"/>
  <c r="AI69" i="2" s="1"/>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AI68" i="2" a="1"/>
  <c r="AI68" i="2" s="1"/>
  <c r="AH68" i="2" a="1"/>
  <c r="AH68" i="2" s="1"/>
  <c r="AG68" i="2" a="1"/>
  <c r="AG68" i="2" s="1"/>
  <c r="AF68" i="2" a="1"/>
  <c r="AF68" i="2" s="1"/>
  <c r="AE68" i="2" a="1"/>
  <c r="AE68" i="2" s="1"/>
  <c r="AD68" i="2" a="1"/>
  <c r="AD68" i="2" s="1"/>
  <c r="AC68" i="2" a="1"/>
  <c r="AC68" i="2" s="1"/>
  <c r="AB68" i="2" a="1"/>
  <c r="AB68" i="2" s="1"/>
  <c r="AA68" i="2" a="1"/>
  <c r="AA68" i="2" s="1"/>
  <c r="Z68" i="2" a="1"/>
  <c r="Z68" i="2" s="1"/>
  <c r="Y68" i="2" a="1"/>
  <c r="Y68" i="2" s="1"/>
  <c r="X68" i="2" a="1"/>
  <c r="X68" i="2" s="1"/>
  <c r="AI67" i="2" a="1"/>
  <c r="AI67" i="2" s="1"/>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AI66" i="2" a="1"/>
  <c r="AI66" i="2" s="1"/>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AI65" i="2" a="1"/>
  <c r="AI65" i="2" s="1"/>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AI64" i="2" a="1"/>
  <c r="AI64" i="2" s="1"/>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AI63" i="2" a="1"/>
  <c r="AI63" i="2" s="1"/>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AI62" i="2" a="1"/>
  <c r="AI62" i="2" s="1"/>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AI61" i="2" a="1"/>
  <c r="AI61" i="2" s="1"/>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AI60" i="2" a="1"/>
  <c r="AI60" i="2" s="1"/>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AI59" i="2" a="1"/>
  <c r="AI59" i="2" s="1"/>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AI58" i="2" a="1"/>
  <c r="AI58" i="2" s="1"/>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AI57" i="2" a="1"/>
  <c r="AI57" i="2" s="1"/>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AI56" i="2" a="1"/>
  <c r="AI56" i="2" s="1"/>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AI55" i="2" a="1"/>
  <c r="AI55" i="2" s="1"/>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AI54" i="2" a="1"/>
  <c r="AI54" i="2" s="1"/>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AI53" i="2" a="1"/>
  <c r="AI53" i="2" s="1"/>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AI52" i="2" a="1"/>
  <c r="AI52" i="2" s="1"/>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AI51" i="2" a="1"/>
  <c r="AI51" i="2" s="1"/>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AI50" i="2" a="1"/>
  <c r="AI50" i="2" s="1"/>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AI49" i="2" a="1"/>
  <c r="AI49" i="2" s="1"/>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AI48" i="2" a="1"/>
  <c r="AI48" i="2" s="1"/>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AI47" i="2" a="1"/>
  <c r="AI47" i="2" s="1"/>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AI46" i="2" a="1"/>
  <c r="AI46" i="2" s="1"/>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AI45" i="2" a="1"/>
  <c r="AI45" i="2" s="1"/>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AI44" i="2" a="1"/>
  <c r="AI44" i="2" s="1"/>
  <c r="AH44" i="2" a="1"/>
  <c r="AH44" i="2" s="1"/>
  <c r="AG44" i="2" a="1"/>
  <c r="AG44" i="2" s="1"/>
  <c r="AF44" i="2" a="1"/>
  <c r="AF44" i="2" s="1"/>
  <c r="AE44" i="2" a="1"/>
  <c r="AE44" i="2" s="1"/>
  <c r="AD44" i="2" a="1"/>
  <c r="AD44" i="2" s="1"/>
  <c r="AC44" i="2" a="1"/>
  <c r="AC44" i="2" s="1"/>
  <c r="AB44" i="2" a="1"/>
  <c r="AB44" i="2" s="1"/>
  <c r="AA44" i="2" a="1"/>
  <c r="AA44" i="2" s="1"/>
  <c r="Z44" i="2" a="1"/>
  <c r="Z44" i="2" s="1"/>
  <c r="Y44" i="2" a="1"/>
  <c r="Y44" i="2" s="1"/>
  <c r="X44" i="2" a="1"/>
  <c r="X44" i="2" s="1"/>
  <c r="AI43" i="2" a="1"/>
  <c r="AI43" i="2" s="1"/>
  <c r="AH43" i="2" a="1"/>
  <c r="AH43" i="2" s="1"/>
  <c r="AG43" i="2" a="1"/>
  <c r="AG43" i="2" s="1"/>
  <c r="AF43" i="2" a="1"/>
  <c r="AF43" i="2" s="1"/>
  <c r="AE43" i="2" a="1"/>
  <c r="AE43" i="2" s="1"/>
  <c r="AD43" i="2" a="1"/>
  <c r="AD43" i="2" s="1"/>
  <c r="AC43" i="2" a="1"/>
  <c r="AC43" i="2" s="1"/>
  <c r="AB43" i="2" a="1"/>
  <c r="AB43" i="2" s="1"/>
  <c r="AA43" i="2" a="1"/>
  <c r="AA43" i="2" s="1"/>
  <c r="Z43" i="2" a="1"/>
  <c r="Z43" i="2" s="1"/>
  <c r="Y43" i="2" a="1"/>
  <c r="Y43" i="2" s="1"/>
  <c r="X43" i="2" a="1"/>
  <c r="X43" i="2" s="1"/>
  <c r="AI42" i="2" a="1"/>
  <c r="AI42" i="2" s="1"/>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AI41" i="2" a="1"/>
  <c r="AI41" i="2" s="1"/>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AI40" i="2" a="1"/>
  <c r="AI40" i="2" s="1"/>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AI39" i="2" a="1"/>
  <c r="AI39" i="2" s="1"/>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AI38" i="2" a="1"/>
  <c r="AI38" i="2" s="1"/>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AI37" i="2" a="1"/>
  <c r="AI37" i="2" s="1"/>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AI36" i="2" a="1"/>
  <c r="AI36" i="2" s="1"/>
  <c r="AH36" i="2" a="1"/>
  <c r="AH36" i="2" s="1"/>
  <c r="AG36" i="2" a="1"/>
  <c r="AG36" i="2" s="1"/>
  <c r="AF36" i="2" a="1"/>
  <c r="AF36" i="2" s="1"/>
  <c r="AE36" i="2" a="1"/>
  <c r="AE36" i="2" s="1"/>
  <c r="AD36" i="2" a="1"/>
  <c r="AD36" i="2" s="1"/>
  <c r="AC36" i="2" a="1"/>
  <c r="AC36" i="2" s="1"/>
  <c r="AB36" i="2" a="1"/>
  <c r="AB36" i="2" s="1"/>
  <c r="AA36" i="2" a="1"/>
  <c r="AA36" i="2" s="1"/>
  <c r="Z36" i="2" a="1"/>
  <c r="Z36" i="2" s="1"/>
  <c r="Y36" i="2" a="1"/>
  <c r="Y36" i="2" s="1"/>
  <c r="X36" i="2" a="1"/>
  <c r="X36" i="2" s="1"/>
  <c r="AI35" i="2" a="1"/>
  <c r="AI35" i="2" s="1"/>
  <c r="AH35" i="2" a="1"/>
  <c r="AH35" i="2" s="1"/>
  <c r="AG35" i="2" a="1"/>
  <c r="AG35" i="2" s="1"/>
  <c r="AF35" i="2" a="1"/>
  <c r="AF35" i="2" s="1"/>
  <c r="AE35" i="2" a="1"/>
  <c r="AE35" i="2" s="1"/>
  <c r="AD35" i="2" a="1"/>
  <c r="AD35" i="2" s="1"/>
  <c r="AC35" i="2" a="1"/>
  <c r="AC35" i="2" s="1"/>
  <c r="AB35" i="2" a="1"/>
  <c r="AB35" i="2" s="1"/>
  <c r="AA35" i="2" a="1"/>
  <c r="AA35" i="2" s="1"/>
  <c r="Z35" i="2" a="1"/>
  <c r="Z35" i="2" s="1"/>
  <c r="Y35" i="2" a="1"/>
  <c r="Y35" i="2" s="1"/>
  <c r="X35" i="2" a="1"/>
  <c r="X35" i="2" s="1"/>
  <c r="AI34" i="2" a="1"/>
  <c r="AI34" i="2" s="1"/>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AI33" i="2" a="1"/>
  <c r="AI33" i="2" s="1"/>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AI32" i="2" a="1"/>
  <c r="AI32" i="2" s="1"/>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AI31" i="2" a="1"/>
  <c r="AI31" i="2" s="1"/>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AI30" i="2" a="1"/>
  <c r="AI30" i="2" s="1"/>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AI29" i="2" a="1"/>
  <c r="AI29" i="2" s="1"/>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AI28" i="2" a="1"/>
  <c r="AI28" i="2" s="1"/>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AI27" i="2" a="1"/>
  <c r="AI27" i="2" s="1"/>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AI26" i="2" a="1"/>
  <c r="AI26" i="2" s="1"/>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AI25" i="2" a="1"/>
  <c r="AI25" i="2" s="1"/>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AI24" i="2" a="1"/>
  <c r="AI24" i="2" s="1"/>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AI23" i="2" a="1"/>
  <c r="AI23" i="2" s="1"/>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AI22" i="2" a="1"/>
  <c r="AI22" i="2" s="1"/>
  <c r="AH22" i="2" a="1"/>
  <c r="AH22" i="2" s="1"/>
  <c r="AG22" i="2" a="1"/>
  <c r="AG22" i="2" s="1"/>
  <c r="AF22" i="2" a="1"/>
  <c r="AF22" i="2" s="1"/>
  <c r="AE22" i="2" a="1"/>
  <c r="AE22" i="2" s="1"/>
  <c r="AD22" i="2" a="1"/>
  <c r="AD22" i="2" s="1"/>
  <c r="AC22" i="2" a="1"/>
  <c r="AC22" i="2" s="1"/>
  <c r="AB22" i="2" a="1"/>
  <c r="AB22" i="2" s="1"/>
  <c r="AA22" i="2" a="1"/>
  <c r="AA22" i="2" s="1"/>
  <c r="Z22" i="2" a="1"/>
  <c r="Z22" i="2" s="1"/>
  <c r="Y22" i="2" a="1"/>
  <c r="Y22" i="2" s="1"/>
  <c r="X22" i="2" a="1"/>
  <c r="X22" i="2" s="1"/>
  <c r="AI21" i="2" a="1"/>
  <c r="AI21" i="2" s="1"/>
  <c r="AH21" i="2" a="1"/>
  <c r="AH21" i="2" s="1"/>
  <c r="AG21" i="2" a="1"/>
  <c r="AG21" i="2" s="1"/>
  <c r="AF21" i="2" a="1"/>
  <c r="AF21" i="2" s="1"/>
  <c r="AE21" i="2" a="1"/>
  <c r="AE21" i="2" s="1"/>
  <c r="AD21" i="2" a="1"/>
  <c r="AD21" i="2" s="1"/>
  <c r="AC21" i="2" a="1"/>
  <c r="AC21" i="2" s="1"/>
  <c r="AB21" i="2" a="1"/>
  <c r="AB21" i="2" s="1"/>
  <c r="AA21" i="2" a="1"/>
  <c r="AA21" i="2" s="1"/>
  <c r="Z21" i="2" a="1"/>
  <c r="Z21" i="2" s="1"/>
  <c r="Y21" i="2" a="1"/>
  <c r="Y21" i="2" s="1"/>
  <c r="X21" i="2" a="1"/>
  <c r="X21" i="2" s="1"/>
  <c r="AI20" i="2" a="1"/>
  <c r="AI20" i="2" s="1"/>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AI19" i="2" a="1"/>
  <c r="AI19" i="2" s="1"/>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AI18" i="2" a="1"/>
  <c r="AI18" i="2" s="1"/>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AI17" i="2" a="1"/>
  <c r="AI17" i="2" s="1"/>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AI16" i="2" a="1"/>
  <c r="AI16" i="2" s="1"/>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AI15" i="2" a="1"/>
  <c r="AI15" i="2" s="1"/>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AI14" i="2" a="1"/>
  <c r="AI14" i="2" s="1"/>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AI13" i="2" a="1"/>
  <c r="AI13" i="2" s="1"/>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AI12" i="2" a="1"/>
  <c r="AI12" i="2" s="1"/>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AI11" i="2" a="1"/>
  <c r="AI11" i="2" s="1"/>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AI10" i="2" a="1"/>
  <c r="AI10" i="2" s="1"/>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AI9" i="2" a="1"/>
  <c r="AI9" i="2" s="1"/>
  <c r="AH9" i="2" a="1"/>
  <c r="AH9" i="2" s="1"/>
  <c r="AG9" i="2" a="1"/>
  <c r="AG9" i="2" s="1"/>
  <c r="AF9" i="2" a="1"/>
  <c r="AF9" i="2" s="1"/>
  <c r="AE9" i="2" a="1"/>
  <c r="AE9" i="2" s="1"/>
  <c r="AD9" i="2" a="1"/>
  <c r="AD9" i="2" s="1"/>
  <c r="AC9" i="2" a="1"/>
  <c r="AC9" i="2" s="1"/>
  <c r="AB9" i="2" a="1"/>
  <c r="AB9" i="2" s="1"/>
  <c r="AA9" i="2" a="1"/>
  <c r="AA9" i="2" s="1"/>
  <c r="Z9" i="2" a="1"/>
  <c r="Z9" i="2" s="1"/>
  <c r="Y9" i="2" a="1"/>
  <c r="Y9" i="2" s="1"/>
  <c r="X9" i="2" a="1"/>
  <c r="X9" i="2" s="1"/>
  <c r="AI8" i="2" a="1"/>
  <c r="AI8" i="2" s="1"/>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AI7" i="2" a="1"/>
  <c r="AI7" i="2" s="1"/>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AI6" i="2" a="1"/>
  <c r="AI6" i="2" s="1"/>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AI5" i="2" a="1"/>
  <c r="AI5" i="2" s="1"/>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AI4" i="2" a="1"/>
  <c r="AI4"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E150" i="7"/>
  <c r="D150" i="7"/>
  <c r="C150" i="7"/>
  <c r="B150" i="7"/>
  <c r="A150" i="7"/>
  <c r="E149" i="7"/>
  <c r="D149" i="7"/>
  <c r="C149" i="7"/>
  <c r="B149" i="7"/>
  <c r="A149" i="7"/>
  <c r="E148" i="7"/>
  <c r="D148" i="7"/>
  <c r="C148" i="7"/>
  <c r="B148" i="7"/>
  <c r="A148" i="7"/>
  <c r="E147" i="7"/>
  <c r="D147" i="7"/>
  <c r="C147" i="7"/>
  <c r="B147" i="7"/>
  <c r="A147" i="7"/>
  <c r="E146" i="7"/>
  <c r="D146" i="7"/>
  <c r="C146" i="7"/>
  <c r="B146" i="7"/>
  <c r="A146" i="7"/>
  <c r="E145" i="7"/>
  <c r="D145" i="7"/>
  <c r="C145" i="7"/>
  <c r="B145" i="7"/>
  <c r="A145" i="7"/>
  <c r="E144" i="7"/>
  <c r="D144" i="7"/>
  <c r="C144" i="7"/>
  <c r="B144" i="7"/>
  <c r="A144" i="7"/>
  <c r="E143" i="7"/>
  <c r="D143" i="7"/>
  <c r="C143" i="7"/>
  <c r="B143" i="7"/>
  <c r="A143" i="7"/>
  <c r="E142" i="7"/>
  <c r="D142" i="7"/>
  <c r="C142" i="7"/>
  <c r="B142" i="7"/>
  <c r="A142" i="7"/>
  <c r="E141" i="7"/>
  <c r="D141" i="7"/>
  <c r="C141" i="7"/>
  <c r="B141" i="7"/>
  <c r="A141" i="7"/>
  <c r="E140" i="7"/>
  <c r="D140" i="7"/>
  <c r="C140" i="7"/>
  <c r="B140" i="7"/>
  <c r="A140" i="7"/>
  <c r="E139" i="7"/>
  <c r="D139" i="7"/>
  <c r="C139" i="7"/>
  <c r="B139" i="7"/>
  <c r="A139" i="7"/>
  <c r="E138" i="7"/>
  <c r="D138" i="7"/>
  <c r="C138" i="7"/>
  <c r="B138" i="7"/>
  <c r="A138" i="7"/>
  <c r="E137" i="7"/>
  <c r="D137" i="7"/>
  <c r="C137" i="7"/>
  <c r="B137" i="7"/>
  <c r="A137" i="7"/>
  <c r="E136" i="7"/>
  <c r="D136" i="7"/>
  <c r="C136" i="7"/>
  <c r="B136" i="7"/>
  <c r="A136" i="7"/>
  <c r="E135" i="7"/>
  <c r="D135" i="7"/>
  <c r="C135" i="7"/>
  <c r="B135" i="7"/>
  <c r="A135" i="7"/>
  <c r="E134" i="7"/>
  <c r="D134" i="7"/>
  <c r="C134" i="7"/>
  <c r="B134" i="7"/>
  <c r="A134" i="7"/>
  <c r="E133" i="7"/>
  <c r="D133" i="7"/>
  <c r="C133" i="7"/>
  <c r="B133" i="7"/>
  <c r="A133" i="7"/>
  <c r="E132" i="7"/>
  <c r="D132" i="7"/>
  <c r="C132" i="7"/>
  <c r="B132" i="7"/>
  <c r="A132" i="7"/>
  <c r="E131" i="7"/>
  <c r="D131" i="7"/>
  <c r="C131" i="7"/>
  <c r="B131" i="7"/>
  <c r="A131" i="7"/>
  <c r="E130" i="7"/>
  <c r="D130" i="7"/>
  <c r="C130" i="7"/>
  <c r="B130" i="7"/>
  <c r="A130" i="7"/>
  <c r="E129" i="7"/>
  <c r="D129" i="7"/>
  <c r="C129" i="7"/>
  <c r="B129" i="7"/>
  <c r="A129" i="7"/>
  <c r="E128" i="7"/>
  <c r="D128" i="7"/>
  <c r="C128" i="7"/>
  <c r="B128" i="7"/>
  <c r="A128" i="7"/>
  <c r="E127" i="7"/>
  <c r="D127" i="7"/>
  <c r="C127" i="7"/>
  <c r="B127" i="7"/>
  <c r="A127" i="7"/>
  <c r="E126" i="7"/>
  <c r="D126" i="7"/>
  <c r="C126" i="7"/>
  <c r="B126" i="7"/>
  <c r="A126" i="7"/>
  <c r="E125" i="7"/>
  <c r="D125" i="7"/>
  <c r="C125" i="7"/>
  <c r="B125" i="7"/>
  <c r="A125" i="7"/>
  <c r="E124" i="7"/>
  <c r="D124" i="7"/>
  <c r="C124" i="7"/>
  <c r="B124" i="7"/>
  <c r="A124" i="7"/>
  <c r="E123" i="7"/>
  <c r="D123" i="7"/>
  <c r="C123" i="7"/>
  <c r="B123" i="7"/>
  <c r="A123" i="7"/>
  <c r="E122" i="7"/>
  <c r="D122" i="7"/>
  <c r="C122" i="7"/>
  <c r="B122" i="7"/>
  <c r="A122" i="7"/>
  <c r="E121" i="7"/>
  <c r="D121" i="7"/>
  <c r="C121" i="7"/>
  <c r="B121" i="7"/>
  <c r="A121" i="7"/>
  <c r="E120" i="7"/>
  <c r="D120" i="7"/>
  <c r="C120" i="7"/>
  <c r="B120" i="7"/>
  <c r="A120" i="7"/>
  <c r="E119" i="7"/>
  <c r="D119" i="7"/>
  <c r="C119" i="7"/>
  <c r="B119" i="7"/>
  <c r="A119" i="7"/>
  <c r="E118" i="7"/>
  <c r="D118" i="7"/>
  <c r="C118" i="7"/>
  <c r="B118" i="7"/>
  <c r="A118" i="7"/>
  <c r="E117" i="7"/>
  <c r="D117" i="7"/>
  <c r="C117" i="7"/>
  <c r="B117" i="7"/>
  <c r="A117" i="7"/>
  <c r="E116" i="7"/>
  <c r="D116" i="7"/>
  <c r="C116" i="7"/>
  <c r="B116" i="7"/>
  <c r="A116" i="7"/>
  <c r="E115" i="7"/>
  <c r="D115" i="7"/>
  <c r="C115" i="7"/>
  <c r="B115" i="7"/>
  <c r="A115" i="7"/>
  <c r="E114" i="7"/>
  <c r="D114" i="7"/>
  <c r="C114" i="7"/>
  <c r="B114" i="7"/>
  <c r="A114" i="7"/>
  <c r="E113" i="7"/>
  <c r="D113" i="7"/>
  <c r="C113" i="7"/>
  <c r="B113" i="7"/>
  <c r="A113" i="7"/>
  <c r="E112" i="7"/>
  <c r="D112" i="7"/>
  <c r="C112" i="7"/>
  <c r="B112" i="7"/>
  <c r="A112" i="7"/>
  <c r="E111" i="7"/>
  <c r="D111" i="7"/>
  <c r="C111" i="7"/>
  <c r="B111" i="7"/>
  <c r="A111" i="7"/>
  <c r="E110" i="7"/>
  <c r="D110" i="7"/>
  <c r="C110" i="7"/>
  <c r="B110" i="7"/>
  <c r="A110" i="7"/>
  <c r="E109" i="7"/>
  <c r="D109" i="7"/>
  <c r="C109" i="7"/>
  <c r="B109" i="7"/>
  <c r="A109" i="7"/>
  <c r="E108" i="7"/>
  <c r="D108" i="7"/>
  <c r="C108" i="7"/>
  <c r="B108" i="7"/>
  <c r="A108" i="7"/>
  <c r="E107" i="7"/>
  <c r="D107" i="7"/>
  <c r="C107" i="7"/>
  <c r="B107" i="7"/>
  <c r="A107" i="7"/>
  <c r="E106" i="7"/>
  <c r="D106" i="7"/>
  <c r="C106" i="7"/>
  <c r="B106" i="7"/>
  <c r="A106" i="7"/>
  <c r="E105" i="7"/>
  <c r="D105" i="7"/>
  <c r="C105" i="7"/>
  <c r="B105" i="7"/>
  <c r="A105" i="7"/>
  <c r="E104" i="7"/>
  <c r="D104" i="7"/>
  <c r="C104" i="7"/>
  <c r="B104" i="7"/>
  <c r="A104" i="7"/>
  <c r="E103" i="7"/>
  <c r="D103" i="7"/>
  <c r="C103" i="7"/>
  <c r="B103" i="7"/>
  <c r="A103" i="7"/>
  <c r="E102" i="7"/>
  <c r="D102" i="7"/>
  <c r="C102" i="7"/>
  <c r="B102" i="7"/>
  <c r="A102" i="7"/>
  <c r="E101" i="7"/>
  <c r="D101" i="7"/>
  <c r="C101" i="7"/>
  <c r="B101" i="7"/>
  <c r="A101" i="7"/>
  <c r="E100" i="7"/>
  <c r="D100" i="7"/>
  <c r="C100" i="7"/>
  <c r="B100" i="7"/>
  <c r="A100" i="7"/>
  <c r="E99" i="7"/>
  <c r="D99" i="7"/>
  <c r="C99" i="7"/>
  <c r="B99" i="7"/>
  <c r="A99" i="7"/>
  <c r="E98" i="7"/>
  <c r="D98" i="7"/>
  <c r="C98" i="7"/>
  <c r="B98" i="7"/>
  <c r="A98" i="7"/>
  <c r="E97" i="7"/>
  <c r="D97" i="7"/>
  <c r="C97" i="7"/>
  <c r="B97" i="7"/>
  <c r="A97" i="7"/>
  <c r="E96" i="7"/>
  <c r="D96" i="7"/>
  <c r="C96" i="7"/>
  <c r="B96" i="7"/>
  <c r="A96" i="7"/>
  <c r="E95" i="7"/>
  <c r="D95" i="7"/>
  <c r="C95" i="7"/>
  <c r="B95" i="7"/>
  <c r="A95" i="7"/>
  <c r="E94" i="7"/>
  <c r="D94" i="7"/>
  <c r="C94" i="7"/>
  <c r="B94" i="7"/>
  <c r="A94" i="7"/>
  <c r="E93" i="7"/>
  <c r="D93" i="7"/>
  <c r="C93" i="7"/>
  <c r="B93" i="7"/>
  <c r="A93" i="7"/>
  <c r="E92" i="7"/>
  <c r="D92" i="7"/>
  <c r="C92" i="7"/>
  <c r="B92" i="7"/>
  <c r="A92" i="7"/>
  <c r="E91" i="7"/>
  <c r="D91" i="7"/>
  <c r="C91" i="7"/>
  <c r="B91" i="7"/>
  <c r="A91" i="7"/>
  <c r="E90" i="7"/>
  <c r="D90" i="7"/>
  <c r="C90" i="7"/>
  <c r="B90" i="7"/>
  <c r="A90" i="7"/>
  <c r="E89" i="7"/>
  <c r="D89" i="7"/>
  <c r="C89" i="7"/>
  <c r="B89" i="7"/>
  <c r="A89" i="7"/>
  <c r="E88" i="7"/>
  <c r="D88" i="7"/>
  <c r="C88" i="7"/>
  <c r="B88" i="7"/>
  <c r="A88" i="7"/>
  <c r="E87" i="7"/>
  <c r="D87" i="7"/>
  <c r="C87" i="7"/>
  <c r="B87" i="7"/>
  <c r="A87" i="7"/>
  <c r="E86" i="7"/>
  <c r="D86" i="7"/>
  <c r="C86" i="7"/>
  <c r="B86" i="7"/>
  <c r="A86" i="7"/>
  <c r="E85" i="7"/>
  <c r="D85" i="7"/>
  <c r="C85" i="7"/>
  <c r="B85" i="7"/>
  <c r="A85" i="7"/>
  <c r="E84" i="7"/>
  <c r="D84" i="7"/>
  <c r="C84" i="7"/>
  <c r="B84" i="7"/>
  <c r="A84" i="7"/>
  <c r="E83" i="7"/>
  <c r="D83" i="7"/>
  <c r="C83" i="7"/>
  <c r="B83" i="7"/>
  <c r="A83" i="7"/>
  <c r="E82" i="7"/>
  <c r="D82" i="7"/>
  <c r="C82" i="7"/>
  <c r="B82" i="7"/>
  <c r="A82" i="7"/>
  <c r="E81" i="7"/>
  <c r="D81" i="7"/>
  <c r="C81" i="7"/>
  <c r="B81" i="7"/>
  <c r="A81" i="7"/>
  <c r="E80" i="7"/>
  <c r="D80" i="7"/>
  <c r="C80" i="7"/>
  <c r="B80" i="7"/>
  <c r="A80" i="7"/>
  <c r="E79" i="7"/>
  <c r="D79" i="7"/>
  <c r="C79" i="7"/>
  <c r="B79" i="7"/>
  <c r="A79" i="7"/>
  <c r="E78" i="7"/>
  <c r="D78" i="7"/>
  <c r="C78" i="7"/>
  <c r="B78" i="7"/>
  <c r="A78" i="7"/>
  <c r="E77" i="7"/>
  <c r="D77" i="7"/>
  <c r="C77" i="7"/>
  <c r="B77" i="7"/>
  <c r="A77" i="7"/>
  <c r="E76" i="7"/>
  <c r="D76" i="7"/>
  <c r="C76" i="7"/>
  <c r="B76" i="7"/>
  <c r="A76" i="7"/>
  <c r="E75" i="7"/>
  <c r="D75" i="7"/>
  <c r="C75" i="7"/>
  <c r="B75" i="7"/>
  <c r="A75" i="7"/>
  <c r="E74" i="7"/>
  <c r="D74" i="7"/>
  <c r="C74" i="7"/>
  <c r="B74" i="7"/>
  <c r="A74" i="7"/>
  <c r="E73" i="7"/>
  <c r="D73" i="7"/>
  <c r="C73" i="7"/>
  <c r="B73" i="7"/>
  <c r="A73" i="7"/>
  <c r="E72" i="7"/>
  <c r="D72" i="7"/>
  <c r="C72" i="7"/>
  <c r="B72" i="7"/>
  <c r="A72" i="7"/>
  <c r="E71" i="7"/>
  <c r="D71" i="7"/>
  <c r="C71" i="7"/>
  <c r="B71" i="7"/>
  <c r="A71" i="7"/>
  <c r="E70" i="7"/>
  <c r="D70" i="7"/>
  <c r="C70" i="7"/>
  <c r="B70" i="7"/>
  <c r="A70" i="7"/>
  <c r="E69" i="7"/>
  <c r="D69" i="7"/>
  <c r="C69" i="7"/>
  <c r="B69" i="7"/>
  <c r="A69" i="7"/>
  <c r="E68" i="7"/>
  <c r="D68" i="7"/>
  <c r="C68" i="7"/>
  <c r="B68" i="7"/>
  <c r="A68" i="7"/>
  <c r="E67" i="7"/>
  <c r="D67" i="7"/>
  <c r="C67" i="7"/>
  <c r="B67" i="7"/>
  <c r="A67" i="7"/>
  <c r="E66" i="7"/>
  <c r="D66" i="7"/>
  <c r="C66" i="7"/>
  <c r="B66" i="7"/>
  <c r="A66" i="7"/>
  <c r="E65" i="7"/>
  <c r="D65" i="7"/>
  <c r="C65" i="7"/>
  <c r="B65" i="7"/>
  <c r="A65" i="7"/>
  <c r="E64" i="7"/>
  <c r="D64" i="7"/>
  <c r="C64" i="7"/>
  <c r="B64" i="7"/>
  <c r="A64" i="7"/>
  <c r="E63" i="7"/>
  <c r="D63" i="7"/>
  <c r="C63" i="7"/>
  <c r="B63" i="7"/>
  <c r="A63" i="7"/>
  <c r="E62" i="7"/>
  <c r="D62" i="7"/>
  <c r="C62" i="7"/>
  <c r="B62" i="7"/>
  <c r="A62" i="7"/>
  <c r="E61" i="7"/>
  <c r="D61" i="7"/>
  <c r="C61" i="7"/>
  <c r="B61" i="7"/>
  <c r="A61" i="7"/>
  <c r="E60" i="7"/>
  <c r="D60" i="7"/>
  <c r="C60" i="7"/>
  <c r="B60" i="7"/>
  <c r="A60" i="7"/>
  <c r="E59" i="7"/>
  <c r="D59" i="7"/>
  <c r="C59" i="7"/>
  <c r="B59" i="7"/>
  <c r="A59" i="7"/>
  <c r="E58" i="7"/>
  <c r="D58" i="7"/>
  <c r="C58" i="7"/>
  <c r="B58" i="7"/>
  <c r="A58" i="7"/>
  <c r="E57" i="7"/>
  <c r="D57" i="7"/>
  <c r="C57" i="7"/>
  <c r="B57" i="7"/>
  <c r="A57" i="7"/>
  <c r="E56" i="7"/>
  <c r="D56" i="7"/>
  <c r="C56" i="7"/>
  <c r="B56" i="7"/>
  <c r="A56" i="7"/>
  <c r="E55" i="7"/>
  <c r="D55" i="7"/>
  <c r="C55" i="7"/>
  <c r="B55" i="7"/>
  <c r="A55" i="7"/>
  <c r="E54" i="7"/>
  <c r="D54" i="7"/>
  <c r="C54" i="7"/>
  <c r="B54" i="7"/>
  <c r="A54" i="7"/>
  <c r="E53" i="7"/>
  <c r="D53" i="7"/>
  <c r="C53" i="7"/>
  <c r="B53" i="7"/>
  <c r="A53" i="7"/>
  <c r="E52" i="7"/>
  <c r="D52" i="7"/>
  <c r="C52" i="7"/>
  <c r="B52" i="7"/>
  <c r="A52" i="7"/>
  <c r="E51" i="7"/>
  <c r="D51" i="7"/>
  <c r="C51" i="7"/>
  <c r="B51" i="7"/>
  <c r="A51" i="7"/>
  <c r="E50" i="7"/>
  <c r="D50" i="7"/>
  <c r="C50" i="7"/>
  <c r="B50" i="7"/>
  <c r="A50" i="7"/>
  <c r="E49" i="7"/>
  <c r="D49" i="7"/>
  <c r="C49" i="7"/>
  <c r="B49" i="7"/>
  <c r="A49" i="7"/>
  <c r="E48" i="7"/>
  <c r="D48" i="7"/>
  <c r="C48" i="7"/>
  <c r="B48" i="7"/>
  <c r="A48" i="7"/>
  <c r="E47" i="7"/>
  <c r="D47" i="7"/>
  <c r="C47" i="7"/>
  <c r="B47" i="7"/>
  <c r="A47" i="7"/>
  <c r="E46" i="7"/>
  <c r="D46" i="7"/>
  <c r="C46" i="7"/>
  <c r="B46" i="7"/>
  <c r="A46" i="7"/>
  <c r="E45" i="7"/>
  <c r="D45" i="7"/>
  <c r="C45" i="7"/>
  <c r="B45" i="7"/>
  <c r="A45" i="7"/>
  <c r="E44" i="7"/>
  <c r="D44" i="7"/>
  <c r="C44" i="7"/>
  <c r="B44" i="7"/>
  <c r="A44" i="7"/>
  <c r="E43" i="7"/>
  <c r="D43" i="7"/>
  <c r="C43" i="7"/>
  <c r="B43" i="7"/>
  <c r="A43" i="7"/>
  <c r="E42" i="7"/>
  <c r="D42" i="7"/>
  <c r="C42" i="7"/>
  <c r="B42" i="7"/>
  <c r="A42" i="7"/>
  <c r="E41" i="7"/>
  <c r="D41" i="7"/>
  <c r="C41" i="7"/>
  <c r="B41" i="7"/>
  <c r="A41" i="7"/>
  <c r="E40" i="7"/>
  <c r="D40" i="7"/>
  <c r="C40" i="7"/>
  <c r="B40" i="7"/>
  <c r="A40" i="7"/>
  <c r="E39" i="7"/>
  <c r="D39" i="7"/>
  <c r="C39" i="7"/>
  <c r="B39" i="7"/>
  <c r="A39" i="7"/>
  <c r="E38" i="7"/>
  <c r="D38" i="7"/>
  <c r="C38" i="7"/>
  <c r="B38" i="7"/>
  <c r="A38" i="7"/>
  <c r="E37" i="7"/>
  <c r="D37" i="7"/>
  <c r="C37" i="7"/>
  <c r="B37" i="7"/>
  <c r="A37" i="7"/>
  <c r="E36" i="7"/>
  <c r="D36" i="7"/>
  <c r="C36" i="7"/>
  <c r="B36" i="7"/>
  <c r="A36" i="7"/>
  <c r="E35" i="7"/>
  <c r="D35" i="7"/>
  <c r="C35" i="7"/>
  <c r="B35" i="7"/>
  <c r="A35" i="7"/>
  <c r="E34" i="7"/>
  <c r="D34" i="7"/>
  <c r="C34" i="7"/>
  <c r="B34" i="7"/>
  <c r="A34" i="7"/>
  <c r="E33" i="7"/>
  <c r="D33" i="7"/>
  <c r="C33" i="7"/>
  <c r="B33" i="7"/>
  <c r="A33" i="7"/>
  <c r="E32" i="7"/>
  <c r="D32" i="7"/>
  <c r="C32" i="7"/>
  <c r="B32" i="7"/>
  <c r="A32" i="7"/>
  <c r="E31" i="7"/>
  <c r="D31" i="7"/>
  <c r="C31" i="7"/>
  <c r="B31" i="7"/>
  <c r="A31" i="7"/>
  <c r="E30" i="7"/>
  <c r="D30" i="7"/>
  <c r="C30" i="7"/>
  <c r="B30" i="7"/>
  <c r="A30" i="7"/>
  <c r="E29" i="7"/>
  <c r="D29" i="7"/>
  <c r="C29" i="7"/>
  <c r="B29" i="7"/>
  <c r="A29" i="7"/>
  <c r="E28" i="7"/>
  <c r="D28" i="7"/>
  <c r="C28" i="7"/>
  <c r="B28" i="7"/>
  <c r="A28" i="7"/>
  <c r="E27" i="7"/>
  <c r="D27" i="7"/>
  <c r="C27" i="7"/>
  <c r="B27" i="7"/>
  <c r="A27" i="7"/>
  <c r="E26" i="7"/>
  <c r="D26" i="7"/>
  <c r="C26" i="7"/>
  <c r="B26" i="7"/>
  <c r="A26" i="7"/>
  <c r="E25" i="7"/>
  <c r="D25" i="7"/>
  <c r="C25" i="7"/>
  <c r="B25" i="7"/>
  <c r="A25" i="7"/>
  <c r="E24" i="7"/>
  <c r="D24" i="7"/>
  <c r="C24" i="7"/>
  <c r="B24" i="7"/>
  <c r="A24" i="7"/>
  <c r="E23" i="7"/>
  <c r="D23" i="7"/>
  <c r="C23" i="7"/>
  <c r="B23" i="7"/>
  <c r="A23" i="7"/>
  <c r="E22" i="7"/>
  <c r="D22" i="7"/>
  <c r="C22" i="7"/>
  <c r="B22" i="7"/>
  <c r="A22" i="7"/>
  <c r="E21" i="7"/>
  <c r="D21" i="7"/>
  <c r="C21" i="7"/>
  <c r="B21" i="7"/>
  <c r="A21" i="7"/>
  <c r="E20" i="7"/>
  <c r="D20" i="7"/>
  <c r="C20" i="7"/>
  <c r="B20" i="7"/>
  <c r="A20" i="7"/>
  <c r="E19" i="7"/>
  <c r="D19" i="7"/>
  <c r="C19" i="7"/>
  <c r="B19" i="7"/>
  <c r="A19" i="7"/>
  <c r="E18" i="7"/>
  <c r="D18" i="7"/>
  <c r="C18" i="7"/>
  <c r="B18" i="7"/>
  <c r="A18" i="7"/>
  <c r="E17" i="7"/>
  <c r="D17" i="7"/>
  <c r="C17" i="7"/>
  <c r="B17" i="7"/>
  <c r="A17" i="7"/>
  <c r="E16" i="7"/>
  <c r="D16" i="7"/>
  <c r="C16" i="7"/>
  <c r="B16" i="7"/>
  <c r="A16" i="7"/>
  <c r="E15" i="7"/>
  <c r="D15" i="7"/>
  <c r="C15" i="7"/>
  <c r="B15" i="7"/>
  <c r="A15" i="7"/>
  <c r="E14" i="7"/>
  <c r="D14" i="7"/>
  <c r="C14" i="7"/>
  <c r="B14" i="7"/>
  <c r="A14" i="7"/>
  <c r="E13" i="7"/>
  <c r="D13" i="7"/>
  <c r="C13" i="7"/>
  <c r="B13" i="7"/>
  <c r="A13" i="7"/>
  <c r="E12" i="7"/>
  <c r="D12" i="7"/>
  <c r="C12" i="7"/>
  <c r="B12" i="7"/>
  <c r="A12" i="7"/>
  <c r="E11" i="7"/>
  <c r="D11" i="7"/>
  <c r="C11" i="7"/>
  <c r="B11" i="7"/>
  <c r="A11" i="7"/>
  <c r="E10" i="7"/>
  <c r="D10" i="7"/>
  <c r="C10" i="7"/>
  <c r="B10" i="7"/>
  <c r="A10" i="7"/>
  <c r="E9" i="7"/>
  <c r="D9" i="7"/>
  <c r="C9" i="7"/>
  <c r="B9" i="7"/>
  <c r="A9" i="7"/>
  <c r="E8" i="7"/>
  <c r="D8" i="7"/>
  <c r="C8" i="7"/>
  <c r="B8" i="7"/>
  <c r="A8" i="7"/>
  <c r="E7" i="7"/>
  <c r="D7" i="7"/>
  <c r="C7" i="7"/>
  <c r="B7" i="7"/>
  <c r="A7" i="7"/>
  <c r="E6" i="7"/>
  <c r="D6" i="7"/>
  <c r="C6" i="7"/>
  <c r="B6" i="7"/>
  <c r="A6" i="7"/>
  <c r="E5" i="7"/>
  <c r="D5" i="7"/>
  <c r="C5" i="7"/>
  <c r="B5" i="7"/>
  <c r="A5" i="7"/>
  <c r="E4" i="7"/>
  <c r="D4" i="7"/>
  <c r="C4" i="7"/>
  <c r="B4" i="7"/>
  <c r="A4" i="7"/>
  <c r="B200" i="6"/>
  <c r="A200" i="6"/>
  <c r="B199" i="6"/>
  <c r="A199" i="6"/>
  <c r="B198" i="6"/>
  <c r="A198" i="6"/>
  <c r="B197" i="6"/>
  <c r="A197" i="6"/>
  <c r="B196" i="6"/>
  <c r="A196" i="6"/>
  <c r="B195" i="6"/>
  <c r="A195" i="6"/>
  <c r="B194" i="6"/>
  <c r="A194" i="6"/>
  <c r="B193" i="6"/>
  <c r="A193" i="6"/>
  <c r="B192" i="6"/>
  <c r="A192" i="6"/>
  <c r="B191" i="6"/>
  <c r="A191" i="6"/>
  <c r="B190" i="6"/>
  <c r="A190" i="6"/>
  <c r="B189" i="6"/>
  <c r="A189" i="6"/>
  <c r="B188" i="6"/>
  <c r="A188" i="6"/>
  <c r="B187" i="6"/>
  <c r="A187" i="6"/>
  <c r="B186" i="6"/>
  <c r="A186" i="6"/>
  <c r="B185" i="6"/>
  <c r="A185" i="6"/>
  <c r="B184" i="6"/>
  <c r="A184" i="6"/>
  <c r="B183" i="6"/>
  <c r="A183" i="6"/>
  <c r="B182" i="6"/>
  <c r="A182" i="6"/>
  <c r="B181" i="6"/>
  <c r="A181" i="6"/>
  <c r="B180" i="6"/>
  <c r="A180" i="6"/>
  <c r="B179" i="6"/>
  <c r="A179" i="6"/>
  <c r="B178" i="6"/>
  <c r="A178" i="6"/>
  <c r="B177" i="6"/>
  <c r="A177" i="6"/>
  <c r="B176" i="6"/>
  <c r="A176" i="6"/>
  <c r="B175" i="6"/>
  <c r="A175" i="6"/>
  <c r="B174" i="6"/>
  <c r="A174" i="6"/>
  <c r="B173" i="6"/>
  <c r="A173" i="6"/>
  <c r="B172" i="6"/>
  <c r="A172" i="6"/>
  <c r="B171" i="6"/>
  <c r="A171" i="6"/>
  <c r="B170" i="6"/>
  <c r="A170" i="6"/>
  <c r="B169" i="6"/>
  <c r="A169" i="6"/>
  <c r="B168" i="6"/>
  <c r="A168" i="6"/>
  <c r="B167" i="6"/>
  <c r="A167" i="6"/>
  <c r="B166" i="6"/>
  <c r="A166" i="6"/>
  <c r="B165" i="6"/>
  <c r="A165" i="6"/>
  <c r="B164" i="6"/>
  <c r="A164" i="6"/>
  <c r="B163" i="6"/>
  <c r="A163" i="6"/>
  <c r="B162" i="6"/>
  <c r="A162" i="6"/>
  <c r="B161" i="6"/>
  <c r="A161" i="6"/>
  <c r="B160" i="6"/>
  <c r="A160" i="6"/>
  <c r="B159" i="6"/>
  <c r="A159" i="6"/>
  <c r="B158" i="6"/>
  <c r="A158" i="6"/>
  <c r="B157" i="6"/>
  <c r="A157" i="6"/>
  <c r="B156" i="6"/>
  <c r="A156" i="6"/>
  <c r="B155" i="6"/>
  <c r="A155" i="6"/>
  <c r="B154" i="6"/>
  <c r="A154" i="6"/>
  <c r="B153" i="6"/>
  <c r="A153" i="6"/>
  <c r="B152" i="6"/>
  <c r="A152" i="6"/>
  <c r="B151" i="6"/>
  <c r="A151" i="6"/>
  <c r="B150" i="6"/>
  <c r="A150" i="6"/>
  <c r="B149" i="6"/>
  <c r="A149" i="6"/>
  <c r="B148" i="6"/>
  <c r="A148" i="6"/>
  <c r="B147" i="6"/>
  <c r="A147" i="6"/>
  <c r="B146" i="6"/>
  <c r="A146" i="6"/>
  <c r="B145" i="6"/>
  <c r="A145" i="6"/>
  <c r="B144" i="6"/>
  <c r="A144" i="6"/>
  <c r="B143" i="6"/>
  <c r="A143" i="6"/>
  <c r="B142" i="6"/>
  <c r="A142" i="6"/>
  <c r="B141" i="6"/>
  <c r="A141" i="6"/>
  <c r="B140" i="6"/>
  <c r="A140" i="6"/>
  <c r="B139" i="6"/>
  <c r="A139" i="6"/>
  <c r="B138" i="6"/>
  <c r="A138" i="6"/>
  <c r="B137" i="6"/>
  <c r="A137" i="6"/>
  <c r="B136" i="6"/>
  <c r="A136" i="6"/>
  <c r="B135" i="6"/>
  <c r="A135" i="6"/>
  <c r="B134" i="6"/>
  <c r="A134" i="6"/>
  <c r="B133" i="6"/>
  <c r="A133" i="6"/>
  <c r="B132" i="6"/>
  <c r="A132" i="6"/>
  <c r="B131" i="6"/>
  <c r="A131" i="6"/>
  <c r="B130" i="6"/>
  <c r="A130" i="6"/>
  <c r="B129" i="6"/>
  <c r="A129" i="6"/>
  <c r="B128" i="6"/>
  <c r="A128" i="6"/>
  <c r="B127" i="6"/>
  <c r="A127" i="6"/>
  <c r="B126" i="6"/>
  <c r="A126" i="6"/>
  <c r="B125" i="6"/>
  <c r="A125" i="6"/>
  <c r="B124" i="6"/>
  <c r="A124" i="6"/>
  <c r="B123" i="6"/>
  <c r="A123" i="6"/>
  <c r="B122" i="6"/>
  <c r="A122" i="6"/>
  <c r="B121" i="6"/>
  <c r="A121" i="6"/>
  <c r="B120" i="6"/>
  <c r="A120" i="6"/>
  <c r="B119" i="6"/>
  <c r="A119" i="6"/>
  <c r="B118" i="6"/>
  <c r="A118" i="6"/>
  <c r="B117" i="6"/>
  <c r="A117" i="6"/>
  <c r="B116" i="6"/>
  <c r="A116" i="6"/>
  <c r="B115" i="6"/>
  <c r="A115" i="6"/>
  <c r="B114" i="6"/>
  <c r="A114" i="6"/>
  <c r="B113" i="6"/>
  <c r="A113" i="6"/>
  <c r="B112" i="6"/>
  <c r="A112" i="6"/>
  <c r="B111" i="6"/>
  <c r="A111" i="6"/>
  <c r="B110" i="6"/>
  <c r="A110" i="6"/>
  <c r="B109" i="6"/>
  <c r="A109" i="6"/>
  <c r="B108" i="6"/>
  <c r="A108" i="6"/>
  <c r="B107" i="6"/>
  <c r="A107" i="6"/>
  <c r="B106" i="6"/>
  <c r="A106" i="6"/>
  <c r="B105" i="6"/>
  <c r="A105" i="6"/>
  <c r="B104" i="6"/>
  <c r="A104" i="6"/>
  <c r="B103" i="6"/>
  <c r="A103" i="6"/>
  <c r="B102" i="6"/>
  <c r="A102" i="6"/>
  <c r="B101" i="6"/>
  <c r="A101" i="6"/>
  <c r="B100" i="6"/>
  <c r="A100" i="6"/>
  <c r="B99" i="6"/>
  <c r="A99" i="6"/>
  <c r="B98" i="6"/>
  <c r="A98" i="6"/>
  <c r="B97" i="6"/>
  <c r="A97" i="6"/>
  <c r="B96" i="6"/>
  <c r="A96" i="6"/>
  <c r="B95" i="6"/>
  <c r="A95" i="6"/>
  <c r="B94" i="6"/>
  <c r="A94" i="6"/>
  <c r="B93" i="6"/>
  <c r="A93" i="6"/>
  <c r="B92" i="6"/>
  <c r="A92" i="6"/>
  <c r="B91" i="6"/>
  <c r="A91" i="6"/>
  <c r="B90" i="6"/>
  <c r="A90" i="6"/>
  <c r="B89" i="6"/>
  <c r="A89" i="6"/>
  <c r="B88" i="6"/>
  <c r="A88" i="6"/>
  <c r="B87" i="6"/>
  <c r="A87" i="6"/>
  <c r="B86" i="6"/>
  <c r="A86" i="6"/>
  <c r="B85" i="6"/>
  <c r="A85" i="6"/>
  <c r="B84" i="6"/>
  <c r="A84" i="6"/>
  <c r="B83" i="6"/>
  <c r="A83" i="6"/>
  <c r="B82" i="6"/>
  <c r="A82" i="6"/>
  <c r="B81" i="6"/>
  <c r="A81" i="6"/>
  <c r="B80" i="6"/>
  <c r="A80" i="6"/>
  <c r="B79" i="6"/>
  <c r="A79" i="6"/>
  <c r="B78" i="6"/>
  <c r="A78" i="6"/>
  <c r="B77" i="6"/>
  <c r="A77" i="6"/>
  <c r="B76" i="6"/>
  <c r="A76" i="6"/>
  <c r="B75" i="6"/>
  <c r="A75" i="6"/>
  <c r="B74" i="6"/>
  <c r="A74" i="6"/>
  <c r="B73" i="6"/>
  <c r="A73" i="6"/>
  <c r="B72" i="6"/>
  <c r="A72" i="6"/>
  <c r="B71" i="6"/>
  <c r="A71" i="6"/>
  <c r="B70" i="6"/>
  <c r="A70" i="6"/>
  <c r="B69" i="6"/>
  <c r="A69" i="6"/>
  <c r="B68" i="6"/>
  <c r="A68" i="6"/>
  <c r="B67" i="6"/>
  <c r="A67" i="6"/>
  <c r="B66" i="6"/>
  <c r="A66" i="6"/>
  <c r="B65" i="6"/>
  <c r="A65" i="6"/>
  <c r="B64" i="6"/>
  <c r="A64" i="6"/>
  <c r="B63" i="6"/>
  <c r="A63" i="6"/>
  <c r="B62" i="6"/>
  <c r="A62" i="6"/>
  <c r="B61" i="6"/>
  <c r="A61" i="6"/>
  <c r="B60" i="6"/>
  <c r="A60" i="6"/>
  <c r="B59" i="6"/>
  <c r="A59" i="6"/>
  <c r="B58" i="6"/>
  <c r="A58" i="6"/>
  <c r="B57" i="6"/>
  <c r="A57" i="6"/>
  <c r="B56" i="6"/>
  <c r="A56" i="6"/>
  <c r="B55" i="6"/>
  <c r="A55" i="6"/>
  <c r="B54" i="6"/>
  <c r="A54" i="6"/>
  <c r="B53" i="6"/>
  <c r="A53" i="6"/>
  <c r="B52" i="6"/>
  <c r="A52" i="6"/>
  <c r="B51" i="6"/>
  <c r="A51" i="6"/>
  <c r="B50" i="6"/>
  <c r="A50" i="6"/>
  <c r="B49" i="6"/>
  <c r="A49" i="6"/>
  <c r="B48" i="6"/>
  <c r="A48" i="6"/>
  <c r="B47" i="6"/>
  <c r="A47" i="6"/>
  <c r="B46" i="6"/>
  <c r="A46" i="6"/>
  <c r="B45" i="6"/>
  <c r="A45" i="6"/>
  <c r="B44" i="6"/>
  <c r="A44" i="6"/>
  <c r="B43" i="6"/>
  <c r="A43" i="6"/>
  <c r="B42" i="6"/>
  <c r="A42" i="6"/>
  <c r="B41" i="6"/>
  <c r="A41" i="6"/>
  <c r="B40" i="6"/>
  <c r="A40" i="6"/>
  <c r="B39" i="6"/>
  <c r="A39" i="6"/>
  <c r="B38" i="6"/>
  <c r="A38" i="6"/>
  <c r="B37" i="6"/>
  <c r="A37" i="6"/>
  <c r="B36" i="6"/>
  <c r="A36" i="6"/>
  <c r="B35" i="6"/>
  <c r="A35" i="6"/>
  <c r="B34" i="6"/>
  <c r="A34" i="6"/>
  <c r="B33" i="6"/>
  <c r="A33" i="6"/>
  <c r="B32" i="6"/>
  <c r="A32" i="6"/>
  <c r="B31" i="6"/>
  <c r="A31" i="6"/>
  <c r="B30" i="6"/>
  <c r="A30" i="6"/>
  <c r="B29" i="6"/>
  <c r="A29" i="6"/>
  <c r="B28" i="6"/>
  <c r="A28" i="6"/>
  <c r="B27" i="6"/>
  <c r="A27" i="6"/>
  <c r="B26" i="6"/>
  <c r="A26" i="6"/>
  <c r="B25" i="6"/>
  <c r="A25" i="6"/>
  <c r="B24" i="6"/>
  <c r="A24" i="6"/>
  <c r="B23" i="6"/>
  <c r="A23" i="6"/>
  <c r="B22" i="6"/>
  <c r="A22" i="6"/>
  <c r="B21" i="6"/>
  <c r="A21" i="6"/>
  <c r="B20" i="6"/>
  <c r="A20" i="6"/>
  <c r="B19" i="6"/>
  <c r="A19" i="6"/>
  <c r="B18" i="6"/>
  <c r="A18" i="6"/>
  <c r="B17" i="6"/>
  <c r="A17" i="6"/>
  <c r="B16" i="6"/>
  <c r="A16" i="6"/>
  <c r="B15" i="6"/>
  <c r="A15" i="6"/>
  <c r="B14" i="6"/>
  <c r="A14" i="6"/>
  <c r="B13" i="6"/>
  <c r="A13" i="6"/>
  <c r="B12" i="6"/>
  <c r="A12" i="6"/>
  <c r="B11" i="6"/>
  <c r="A11" i="6"/>
  <c r="B10" i="6"/>
  <c r="A10" i="6"/>
  <c r="B9" i="6"/>
  <c r="A9" i="6"/>
  <c r="B8" i="6"/>
  <c r="A8" i="6"/>
  <c r="B7" i="6"/>
  <c r="A7" i="6"/>
  <c r="B6" i="6"/>
  <c r="A6" i="6"/>
  <c r="B5" i="6"/>
  <c r="A5" i="6"/>
  <c r="B4" i="6"/>
  <c r="A4" i="6"/>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41" i="5"/>
  <c r="C41" i="5"/>
  <c r="B41" i="5"/>
  <c r="A41" i="5"/>
  <c r="D92" i="5"/>
  <c r="C92" i="5"/>
  <c r="B92" i="5"/>
  <c r="A92" i="5"/>
  <c r="D40" i="5"/>
  <c r="C40" i="5"/>
  <c r="B40" i="5"/>
  <c r="A40" i="5"/>
  <c r="D21" i="5"/>
  <c r="C21" i="5"/>
  <c r="B21" i="5"/>
  <c r="A21" i="5"/>
  <c r="D20" i="5"/>
  <c r="C20" i="5"/>
  <c r="B20" i="5"/>
  <c r="A20" i="5"/>
  <c r="D39" i="5"/>
  <c r="C39" i="5"/>
  <c r="B39" i="5"/>
  <c r="A39" i="5"/>
  <c r="D19" i="5"/>
  <c r="C19" i="5"/>
  <c r="B19" i="5"/>
  <c r="A19" i="5"/>
  <c r="D18" i="5"/>
  <c r="C18" i="5"/>
  <c r="B18" i="5"/>
  <c r="A18" i="5"/>
  <c r="D17" i="5"/>
  <c r="C17" i="5"/>
  <c r="B17" i="5"/>
  <c r="A17" i="5"/>
  <c r="D38" i="5"/>
  <c r="C38" i="5"/>
  <c r="B38" i="5"/>
  <c r="A38" i="5"/>
  <c r="D56" i="5"/>
  <c r="C56" i="5"/>
  <c r="B56" i="5"/>
  <c r="A56" i="5"/>
  <c r="D16" i="5"/>
  <c r="C16" i="5"/>
  <c r="B16" i="5"/>
  <c r="A16" i="5"/>
  <c r="D91" i="5"/>
  <c r="C91" i="5"/>
  <c r="B91" i="5"/>
  <c r="A91" i="5"/>
  <c r="D90" i="5"/>
  <c r="C90" i="5"/>
  <c r="B90" i="5"/>
  <c r="A90" i="5"/>
  <c r="D15" i="5"/>
  <c r="C15" i="5"/>
  <c r="B15" i="5"/>
  <c r="A15" i="5"/>
  <c r="D37" i="5"/>
  <c r="C37" i="5"/>
  <c r="B37" i="5"/>
  <c r="A37" i="5"/>
  <c r="D36" i="5"/>
  <c r="C36" i="5"/>
  <c r="B36" i="5"/>
  <c r="A36" i="5"/>
  <c r="D89" i="5"/>
  <c r="C89" i="5"/>
  <c r="B89" i="5"/>
  <c r="A89" i="5"/>
  <c r="D35" i="5"/>
  <c r="C35" i="5"/>
  <c r="B35" i="5"/>
  <c r="A35" i="5"/>
  <c r="D14" i="5"/>
  <c r="C14" i="5"/>
  <c r="B14" i="5"/>
  <c r="A14" i="5"/>
  <c r="D34" i="5"/>
  <c r="C34" i="5"/>
  <c r="B34" i="5"/>
  <c r="A34" i="5"/>
  <c r="D33" i="5"/>
  <c r="C33" i="5"/>
  <c r="B33" i="5"/>
  <c r="A33" i="5"/>
  <c r="D32" i="5"/>
  <c r="C32" i="5"/>
  <c r="B32" i="5"/>
  <c r="A32" i="5"/>
  <c r="D55" i="5"/>
  <c r="C55" i="5"/>
  <c r="B55" i="5"/>
  <c r="A55" i="5"/>
  <c r="D54" i="5"/>
  <c r="C54" i="5"/>
  <c r="B54" i="5"/>
  <c r="A54" i="5"/>
  <c r="D53" i="5"/>
  <c r="C53" i="5"/>
  <c r="B53" i="5"/>
  <c r="A53" i="5"/>
  <c r="D13" i="5"/>
  <c r="C13" i="5"/>
  <c r="B13" i="5"/>
  <c r="A13" i="5"/>
  <c r="D31" i="5"/>
  <c r="C31" i="5"/>
  <c r="B31" i="5"/>
  <c r="A31" i="5"/>
  <c r="D52" i="5"/>
  <c r="C52" i="5"/>
  <c r="B52" i="5"/>
  <c r="A52" i="5"/>
  <c r="D51" i="5"/>
  <c r="C51" i="5"/>
  <c r="B51" i="5"/>
  <c r="A51" i="5"/>
  <c r="D88" i="5"/>
  <c r="C88" i="5"/>
  <c r="B88" i="5"/>
  <c r="A88" i="5"/>
  <c r="D50" i="5"/>
  <c r="C50" i="5"/>
  <c r="B50" i="5"/>
  <c r="A50" i="5"/>
  <c r="D30" i="5"/>
  <c r="C30" i="5"/>
  <c r="B30" i="5"/>
  <c r="A30" i="5"/>
  <c r="D87" i="5"/>
  <c r="C87" i="5"/>
  <c r="B87" i="5"/>
  <c r="A87" i="5"/>
  <c r="D86" i="5"/>
  <c r="C86" i="5"/>
  <c r="B86" i="5"/>
  <c r="A86" i="5"/>
  <c r="D29" i="5"/>
  <c r="C29" i="5"/>
  <c r="B29" i="5"/>
  <c r="A29" i="5"/>
  <c r="D85" i="5"/>
  <c r="C85" i="5"/>
  <c r="B85" i="5"/>
  <c r="A85" i="5"/>
  <c r="D84" i="5"/>
  <c r="C84" i="5"/>
  <c r="B84" i="5"/>
  <c r="A84" i="5"/>
  <c r="D28" i="5"/>
  <c r="C28" i="5"/>
  <c r="B28" i="5"/>
  <c r="A28" i="5"/>
  <c r="D27" i="5"/>
  <c r="C27" i="5"/>
  <c r="B27" i="5"/>
  <c r="A27" i="5"/>
  <c r="D49" i="5"/>
  <c r="C49" i="5"/>
  <c r="B49" i="5"/>
  <c r="A49" i="5"/>
  <c r="D83" i="5"/>
  <c r="C83" i="5"/>
  <c r="B83" i="5"/>
  <c r="A83" i="5"/>
  <c r="D12" i="5"/>
  <c r="C12" i="5"/>
  <c r="B12" i="5"/>
  <c r="A12"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48" i="5"/>
  <c r="C48" i="5"/>
  <c r="B48" i="5"/>
  <c r="A48" i="5"/>
  <c r="D47" i="5"/>
  <c r="C47" i="5"/>
  <c r="B47" i="5"/>
  <c r="A47" i="5"/>
  <c r="D11" i="5"/>
  <c r="C11" i="5"/>
  <c r="B11" i="5"/>
  <c r="A11" i="5"/>
  <c r="D46" i="5"/>
  <c r="C46" i="5"/>
  <c r="B46" i="5"/>
  <c r="A46" i="5"/>
  <c r="D45" i="5"/>
  <c r="C45" i="5"/>
  <c r="B45" i="5"/>
  <c r="A45" i="5"/>
  <c r="D10" i="5"/>
  <c r="C10" i="5"/>
  <c r="B10" i="5"/>
  <c r="A10" i="5"/>
  <c r="D9" i="5"/>
  <c r="C9" i="5"/>
  <c r="B9" i="5"/>
  <c r="A9" i="5"/>
  <c r="D44" i="5"/>
  <c r="C44" i="5"/>
  <c r="B44" i="5"/>
  <c r="A44" i="5"/>
  <c r="D67" i="5"/>
  <c r="C67" i="5"/>
  <c r="B67" i="5"/>
  <c r="A67" i="5"/>
  <c r="D66" i="5"/>
  <c r="C66" i="5"/>
  <c r="B66" i="5"/>
  <c r="A66" i="5"/>
  <c r="D65" i="5"/>
  <c r="C65" i="5"/>
  <c r="B65" i="5"/>
  <c r="A65" i="5"/>
  <c r="D64" i="5"/>
  <c r="C64" i="5"/>
  <c r="B64" i="5"/>
  <c r="A64" i="5"/>
  <c r="D8" i="5"/>
  <c r="C8" i="5"/>
  <c r="B8" i="5"/>
  <c r="A8" i="5"/>
  <c r="D26" i="5"/>
  <c r="C26" i="5"/>
  <c r="B26" i="5"/>
  <c r="A26" i="5"/>
  <c r="D7" i="5"/>
  <c r="C7" i="5"/>
  <c r="B7" i="5"/>
  <c r="A7" i="5"/>
  <c r="D63" i="5"/>
  <c r="C63" i="5"/>
  <c r="B63" i="5"/>
  <c r="A63" i="5"/>
  <c r="D62" i="5"/>
  <c r="C62" i="5"/>
  <c r="B62" i="5"/>
  <c r="A62" i="5"/>
  <c r="D43" i="5"/>
  <c r="C43" i="5"/>
  <c r="B43" i="5"/>
  <c r="A43" i="5"/>
  <c r="D42" i="5"/>
  <c r="C42" i="5"/>
  <c r="B42" i="5"/>
  <c r="A42" i="5"/>
  <c r="D61" i="5"/>
  <c r="C61" i="5"/>
  <c r="B61" i="5"/>
  <c r="A61" i="5"/>
  <c r="D25" i="5"/>
  <c r="C25" i="5"/>
  <c r="B25" i="5"/>
  <c r="A25" i="5"/>
  <c r="D60" i="5"/>
  <c r="C60" i="5"/>
  <c r="B60" i="5"/>
  <c r="A60" i="5"/>
  <c r="D24" i="5"/>
  <c r="C24" i="5"/>
  <c r="B24" i="5"/>
  <c r="A24" i="5"/>
  <c r="D6" i="5"/>
  <c r="C6" i="5"/>
  <c r="B6" i="5"/>
  <c r="A6" i="5"/>
  <c r="D5" i="5"/>
  <c r="C5" i="5"/>
  <c r="B5" i="5"/>
  <c r="A5" i="5"/>
  <c r="D23" i="5"/>
  <c r="C23" i="5"/>
  <c r="B23" i="5"/>
  <c r="A23" i="5"/>
  <c r="D4" i="5"/>
  <c r="C4" i="5"/>
  <c r="B4" i="5"/>
  <c r="A4" i="5"/>
  <c r="D59" i="5"/>
  <c r="C59" i="5"/>
  <c r="B59" i="5"/>
  <c r="A59" i="5"/>
  <c r="D22" i="5"/>
  <c r="C22" i="5"/>
  <c r="B22" i="5"/>
  <c r="A22" i="5"/>
  <c r="D3" i="5"/>
  <c r="C3" i="5"/>
  <c r="B3" i="5"/>
  <c r="A3" i="5"/>
  <c r="D2" i="5"/>
  <c r="C2" i="5"/>
  <c r="B2" i="5"/>
  <c r="A2" i="5"/>
  <c r="D58" i="5"/>
  <c r="C58" i="5"/>
  <c r="B58" i="5"/>
  <c r="A58" i="5"/>
  <c r="D57" i="5"/>
  <c r="C57" i="5"/>
  <c r="B57" i="5"/>
  <c r="A57" i="5"/>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Z200" i="3"/>
  <c r="AA200" i="3" s="1"/>
  <c r="X200" i="3"/>
  <c r="Y200" i="3" s="1"/>
  <c r="T200" i="3"/>
  <c r="I200" i="3"/>
  <c r="E200" i="3"/>
  <c r="D200" i="3"/>
  <c r="C200" i="3"/>
  <c r="AB200" i="3" s="1"/>
  <c r="B200" i="3"/>
  <c r="A200" i="3"/>
  <c r="Z199" i="3"/>
  <c r="AA199" i="3" s="1"/>
  <c r="X199" i="3"/>
  <c r="Y199" i="3" s="1"/>
  <c r="T199" i="3"/>
  <c r="I199" i="3"/>
  <c r="E199" i="3"/>
  <c r="D199" i="3"/>
  <c r="C199" i="3"/>
  <c r="AB199" i="3" s="1"/>
  <c r="B199" i="3"/>
  <c r="A199" i="3"/>
  <c r="Z198" i="3"/>
  <c r="AA198" i="3" s="1"/>
  <c r="X198" i="3"/>
  <c r="Y198" i="3" s="1"/>
  <c r="T198" i="3"/>
  <c r="I198" i="3"/>
  <c r="E198" i="3"/>
  <c r="D198" i="3"/>
  <c r="C198" i="3"/>
  <c r="AB198" i="3" s="1"/>
  <c r="B198" i="3"/>
  <c r="A198" i="3"/>
  <c r="Z197" i="3"/>
  <c r="AA197" i="3" s="1"/>
  <c r="X197" i="3"/>
  <c r="Y197" i="3" s="1"/>
  <c r="T197" i="3"/>
  <c r="I197" i="3"/>
  <c r="E197" i="3"/>
  <c r="D197" i="3"/>
  <c r="C197" i="3"/>
  <c r="AB197" i="3" s="1"/>
  <c r="B197" i="3"/>
  <c r="A197" i="3"/>
  <c r="Z196" i="3"/>
  <c r="AA196" i="3" s="1"/>
  <c r="X196" i="3"/>
  <c r="Y196" i="3" s="1"/>
  <c r="T196" i="3"/>
  <c r="I196" i="3"/>
  <c r="E196" i="3"/>
  <c r="D196" i="3"/>
  <c r="C196" i="3"/>
  <c r="AB196" i="3" s="1"/>
  <c r="B196" i="3"/>
  <c r="A196" i="3"/>
  <c r="Z195" i="3"/>
  <c r="AA195" i="3" s="1"/>
  <c r="X195" i="3"/>
  <c r="Y195" i="3" s="1"/>
  <c r="T195" i="3"/>
  <c r="I195" i="3"/>
  <c r="E195" i="3"/>
  <c r="D195" i="3"/>
  <c r="C195" i="3"/>
  <c r="AB195" i="3" s="1"/>
  <c r="B195" i="3"/>
  <c r="A195" i="3"/>
  <c r="Z194" i="3"/>
  <c r="AA194" i="3" s="1"/>
  <c r="X194" i="3"/>
  <c r="Y194" i="3" s="1"/>
  <c r="T194" i="3"/>
  <c r="I194" i="3"/>
  <c r="E194" i="3"/>
  <c r="D194" i="3"/>
  <c r="C194" i="3"/>
  <c r="AB194" i="3" s="1"/>
  <c r="B194" i="3"/>
  <c r="A194" i="3"/>
  <c r="Z193" i="3"/>
  <c r="AA193" i="3" s="1"/>
  <c r="X193" i="3"/>
  <c r="Y193" i="3" s="1"/>
  <c r="T193" i="3"/>
  <c r="I193" i="3"/>
  <c r="E193" i="3"/>
  <c r="D193" i="3"/>
  <c r="C193" i="3"/>
  <c r="AB193" i="3" s="1"/>
  <c r="B193" i="3"/>
  <c r="A193" i="3"/>
  <c r="Z192" i="3"/>
  <c r="AA192" i="3" s="1"/>
  <c r="X192" i="3"/>
  <c r="Y192" i="3" s="1"/>
  <c r="T192" i="3"/>
  <c r="I192" i="3"/>
  <c r="E192" i="3"/>
  <c r="D192" i="3"/>
  <c r="C192" i="3"/>
  <c r="AB192" i="3" s="1"/>
  <c r="B192" i="3"/>
  <c r="A192" i="3"/>
  <c r="Z191" i="3"/>
  <c r="AA191" i="3" s="1"/>
  <c r="X191" i="3"/>
  <c r="Y191" i="3" s="1"/>
  <c r="T191" i="3"/>
  <c r="I191" i="3"/>
  <c r="E191" i="3"/>
  <c r="D191" i="3"/>
  <c r="C191" i="3"/>
  <c r="AB191" i="3" s="1"/>
  <c r="B191" i="3"/>
  <c r="A191" i="3"/>
  <c r="Z190" i="3"/>
  <c r="AA190" i="3" s="1"/>
  <c r="X190" i="3"/>
  <c r="Y190" i="3" s="1"/>
  <c r="T190" i="3"/>
  <c r="I190" i="3"/>
  <c r="E190" i="3"/>
  <c r="D190" i="3"/>
  <c r="C190" i="3"/>
  <c r="AB190" i="3" s="1"/>
  <c r="B190" i="3"/>
  <c r="A190" i="3"/>
  <c r="Z189" i="3"/>
  <c r="AA189" i="3" s="1"/>
  <c r="X189" i="3"/>
  <c r="Y189" i="3" s="1"/>
  <c r="T189" i="3"/>
  <c r="I189" i="3"/>
  <c r="E189" i="3"/>
  <c r="D189" i="3"/>
  <c r="C189" i="3"/>
  <c r="AB189" i="3" s="1"/>
  <c r="B189" i="3"/>
  <c r="A189" i="3"/>
  <c r="Z188" i="3"/>
  <c r="AA188" i="3" s="1"/>
  <c r="X188" i="3"/>
  <c r="Y188" i="3" s="1"/>
  <c r="T188" i="3"/>
  <c r="I188" i="3"/>
  <c r="E188" i="3"/>
  <c r="D188" i="3"/>
  <c r="C188" i="3"/>
  <c r="AB188" i="3" s="1"/>
  <c r="B188" i="3"/>
  <c r="A188" i="3"/>
  <c r="Z187" i="3"/>
  <c r="AA187" i="3" s="1"/>
  <c r="X187" i="3"/>
  <c r="Y187" i="3" s="1"/>
  <c r="T187" i="3"/>
  <c r="I187" i="3"/>
  <c r="E187" i="3"/>
  <c r="D187" i="3"/>
  <c r="C187" i="3"/>
  <c r="AB187" i="3" s="1"/>
  <c r="B187" i="3"/>
  <c r="A187" i="3"/>
  <c r="Z186" i="3"/>
  <c r="AA186" i="3" s="1"/>
  <c r="X186" i="3"/>
  <c r="Y186" i="3" s="1"/>
  <c r="T186" i="3"/>
  <c r="I186" i="3"/>
  <c r="E186" i="3"/>
  <c r="D186" i="3"/>
  <c r="C186" i="3"/>
  <c r="AB186" i="3" s="1"/>
  <c r="B186" i="3"/>
  <c r="A186" i="3"/>
  <c r="Z185" i="3"/>
  <c r="AA185" i="3" s="1"/>
  <c r="X185" i="3"/>
  <c r="Y185" i="3" s="1"/>
  <c r="T185" i="3"/>
  <c r="I185" i="3"/>
  <c r="E185" i="3"/>
  <c r="D185" i="3"/>
  <c r="C185" i="3"/>
  <c r="AB185" i="3" s="1"/>
  <c r="B185" i="3"/>
  <c r="A185" i="3"/>
  <c r="Z184" i="3"/>
  <c r="AA184" i="3" s="1"/>
  <c r="X184" i="3"/>
  <c r="Y184" i="3" s="1"/>
  <c r="T184" i="3"/>
  <c r="I184" i="3"/>
  <c r="E184" i="3"/>
  <c r="D184" i="3"/>
  <c r="C184" i="3"/>
  <c r="AB184" i="3" s="1"/>
  <c r="B184" i="3"/>
  <c r="A184" i="3"/>
  <c r="Z183" i="3"/>
  <c r="AA183" i="3" s="1"/>
  <c r="X183" i="3"/>
  <c r="Y183" i="3" s="1"/>
  <c r="T183" i="3"/>
  <c r="I183" i="3"/>
  <c r="E183" i="3"/>
  <c r="D183" i="3"/>
  <c r="C183" i="3"/>
  <c r="AB183" i="3" s="1"/>
  <c r="B183" i="3"/>
  <c r="A183" i="3"/>
  <c r="Z182" i="3"/>
  <c r="AA182" i="3" s="1"/>
  <c r="X182" i="3"/>
  <c r="Y182" i="3" s="1"/>
  <c r="T182" i="3"/>
  <c r="I182" i="3"/>
  <c r="E182" i="3"/>
  <c r="D182" i="3"/>
  <c r="C182" i="3"/>
  <c r="AB182" i="3" s="1"/>
  <c r="B182" i="3"/>
  <c r="A182" i="3"/>
  <c r="Z181" i="3"/>
  <c r="AA181" i="3" s="1"/>
  <c r="X181" i="3"/>
  <c r="Y181" i="3" s="1"/>
  <c r="T181" i="3"/>
  <c r="I181" i="3"/>
  <c r="E181" i="3"/>
  <c r="D181" i="3"/>
  <c r="C181" i="3"/>
  <c r="AB181" i="3" s="1"/>
  <c r="B181" i="3"/>
  <c r="A181" i="3"/>
  <c r="Z180" i="3"/>
  <c r="AA180" i="3" s="1"/>
  <c r="X180" i="3"/>
  <c r="Y180" i="3" s="1"/>
  <c r="T180" i="3"/>
  <c r="I180" i="3"/>
  <c r="E180" i="3"/>
  <c r="D180" i="3"/>
  <c r="C180" i="3"/>
  <c r="AB180" i="3" s="1"/>
  <c r="B180" i="3"/>
  <c r="A180" i="3"/>
  <c r="Z179" i="3"/>
  <c r="AA179" i="3" s="1"/>
  <c r="X179" i="3"/>
  <c r="Y179" i="3" s="1"/>
  <c r="T179" i="3"/>
  <c r="I179" i="3"/>
  <c r="E179" i="3"/>
  <c r="D179" i="3"/>
  <c r="C179" i="3"/>
  <c r="AB179" i="3" s="1"/>
  <c r="B179" i="3"/>
  <c r="A179" i="3"/>
  <c r="Z178" i="3"/>
  <c r="AA178" i="3" s="1"/>
  <c r="X178" i="3"/>
  <c r="Y178" i="3" s="1"/>
  <c r="T178" i="3"/>
  <c r="I178" i="3"/>
  <c r="E178" i="3"/>
  <c r="D178" i="3"/>
  <c r="C178" i="3"/>
  <c r="AB178" i="3" s="1"/>
  <c r="B178" i="3"/>
  <c r="A178" i="3"/>
  <c r="Z177" i="3"/>
  <c r="AA177" i="3" s="1"/>
  <c r="X177" i="3"/>
  <c r="Y177" i="3" s="1"/>
  <c r="T177" i="3"/>
  <c r="I177" i="3"/>
  <c r="E177" i="3"/>
  <c r="D177" i="3"/>
  <c r="C177" i="3"/>
  <c r="AB177" i="3" s="1"/>
  <c r="B177" i="3"/>
  <c r="A177" i="3"/>
  <c r="Z176" i="3"/>
  <c r="AA176" i="3" s="1"/>
  <c r="X176" i="3"/>
  <c r="Y176" i="3" s="1"/>
  <c r="T176" i="3"/>
  <c r="I176" i="3"/>
  <c r="E176" i="3"/>
  <c r="D176" i="3"/>
  <c r="C176" i="3"/>
  <c r="AB176" i="3" s="1"/>
  <c r="B176" i="3"/>
  <c r="A176" i="3"/>
  <c r="Z175" i="3"/>
  <c r="AA175" i="3" s="1"/>
  <c r="X175" i="3"/>
  <c r="Y175" i="3" s="1"/>
  <c r="T175" i="3"/>
  <c r="I175" i="3"/>
  <c r="E175" i="3"/>
  <c r="D175" i="3"/>
  <c r="C175" i="3"/>
  <c r="AB175" i="3" s="1"/>
  <c r="B175" i="3"/>
  <c r="A175" i="3"/>
  <c r="Z174" i="3"/>
  <c r="AA174" i="3" s="1"/>
  <c r="X174" i="3"/>
  <c r="Y174" i="3" s="1"/>
  <c r="T174" i="3"/>
  <c r="I174" i="3"/>
  <c r="E174" i="3"/>
  <c r="D174" i="3"/>
  <c r="C174" i="3"/>
  <c r="AB174" i="3" s="1"/>
  <c r="B174" i="3"/>
  <c r="A174" i="3"/>
  <c r="Z173" i="3"/>
  <c r="AA173" i="3" s="1"/>
  <c r="X173" i="3"/>
  <c r="Y173" i="3" s="1"/>
  <c r="T173" i="3"/>
  <c r="I173" i="3"/>
  <c r="E173" i="3"/>
  <c r="D173" i="3"/>
  <c r="C173" i="3"/>
  <c r="AB173" i="3" s="1"/>
  <c r="B173" i="3"/>
  <c r="A173" i="3"/>
  <c r="Z172" i="3"/>
  <c r="AA172" i="3" s="1"/>
  <c r="X172" i="3"/>
  <c r="Y172" i="3" s="1"/>
  <c r="T172" i="3"/>
  <c r="I172" i="3"/>
  <c r="E172" i="3"/>
  <c r="D172" i="3"/>
  <c r="C172" i="3"/>
  <c r="AB172" i="3" s="1"/>
  <c r="B172" i="3"/>
  <c r="A172" i="3"/>
  <c r="Z171" i="3"/>
  <c r="AA171" i="3" s="1"/>
  <c r="X171" i="3"/>
  <c r="Y171" i="3" s="1"/>
  <c r="T171" i="3"/>
  <c r="I171" i="3"/>
  <c r="E171" i="3"/>
  <c r="D171" i="3"/>
  <c r="C171" i="3"/>
  <c r="AB171" i="3" s="1"/>
  <c r="B171" i="3"/>
  <c r="A171" i="3"/>
  <c r="Z170" i="3"/>
  <c r="AA170" i="3" s="1"/>
  <c r="X170" i="3"/>
  <c r="Y170" i="3" s="1"/>
  <c r="T170" i="3"/>
  <c r="I170" i="3"/>
  <c r="E170" i="3"/>
  <c r="D170" i="3"/>
  <c r="C170" i="3"/>
  <c r="AB170" i="3" s="1"/>
  <c r="B170" i="3"/>
  <c r="A170" i="3"/>
  <c r="Z169" i="3"/>
  <c r="AA169" i="3" s="1"/>
  <c r="X169" i="3"/>
  <c r="Y169" i="3" s="1"/>
  <c r="T169" i="3"/>
  <c r="I169" i="3"/>
  <c r="E169" i="3"/>
  <c r="D169" i="3"/>
  <c r="C169" i="3"/>
  <c r="AB169" i="3" s="1"/>
  <c r="B169" i="3"/>
  <c r="A169" i="3"/>
  <c r="Z168" i="3"/>
  <c r="AA168" i="3" s="1"/>
  <c r="X168" i="3"/>
  <c r="Y168" i="3" s="1"/>
  <c r="T168" i="3"/>
  <c r="I168" i="3"/>
  <c r="E168" i="3"/>
  <c r="D168" i="3"/>
  <c r="C168" i="3"/>
  <c r="AB168" i="3" s="1"/>
  <c r="B168" i="3"/>
  <c r="A168" i="3"/>
  <c r="Z167" i="3"/>
  <c r="AA167" i="3" s="1"/>
  <c r="X167" i="3"/>
  <c r="Y167" i="3" s="1"/>
  <c r="T167" i="3"/>
  <c r="I167" i="3"/>
  <c r="E167" i="3"/>
  <c r="D167" i="3"/>
  <c r="C167" i="3"/>
  <c r="AB167" i="3" s="1"/>
  <c r="B167" i="3"/>
  <c r="A167" i="3"/>
  <c r="Z166" i="3"/>
  <c r="AA166" i="3" s="1"/>
  <c r="X166" i="3"/>
  <c r="Y166" i="3" s="1"/>
  <c r="T166" i="3"/>
  <c r="I166" i="3"/>
  <c r="E166" i="3"/>
  <c r="D166" i="3"/>
  <c r="C166" i="3"/>
  <c r="AB166" i="3" s="1"/>
  <c r="B166" i="3"/>
  <c r="A166" i="3"/>
  <c r="Z165" i="3"/>
  <c r="AA165" i="3" s="1"/>
  <c r="X165" i="3"/>
  <c r="Y165" i="3" s="1"/>
  <c r="T165" i="3"/>
  <c r="I165" i="3"/>
  <c r="E165" i="3"/>
  <c r="D165" i="3"/>
  <c r="C165" i="3"/>
  <c r="AB165" i="3" s="1"/>
  <c r="B165" i="3"/>
  <c r="A165" i="3"/>
  <c r="Z164" i="3"/>
  <c r="AA164" i="3" s="1"/>
  <c r="X164" i="3"/>
  <c r="Y164" i="3" s="1"/>
  <c r="T164" i="3"/>
  <c r="I164" i="3"/>
  <c r="E164" i="3"/>
  <c r="D164" i="3"/>
  <c r="C164" i="3"/>
  <c r="AB164" i="3" s="1"/>
  <c r="B164" i="3"/>
  <c r="A164" i="3"/>
  <c r="Z163" i="3"/>
  <c r="AA163" i="3" s="1"/>
  <c r="X163" i="3"/>
  <c r="Y163" i="3" s="1"/>
  <c r="T163" i="3"/>
  <c r="I163" i="3"/>
  <c r="E163" i="3"/>
  <c r="D163" i="3"/>
  <c r="C163" i="3"/>
  <c r="AB163" i="3" s="1"/>
  <c r="B163" i="3"/>
  <c r="A163" i="3"/>
  <c r="Z162" i="3"/>
  <c r="AA162" i="3" s="1"/>
  <c r="X162" i="3"/>
  <c r="Y162" i="3" s="1"/>
  <c r="T162" i="3"/>
  <c r="I162" i="3"/>
  <c r="E162" i="3"/>
  <c r="D162" i="3"/>
  <c r="C162" i="3"/>
  <c r="AB162" i="3" s="1"/>
  <c r="B162" i="3"/>
  <c r="A162" i="3"/>
  <c r="Z161" i="3"/>
  <c r="AA161" i="3" s="1"/>
  <c r="X161" i="3"/>
  <c r="Y161" i="3" s="1"/>
  <c r="T161" i="3"/>
  <c r="I161" i="3"/>
  <c r="E161" i="3"/>
  <c r="D161" i="3"/>
  <c r="C161" i="3"/>
  <c r="AB161" i="3" s="1"/>
  <c r="B161" i="3"/>
  <c r="A161" i="3"/>
  <c r="Z160" i="3"/>
  <c r="AA160" i="3" s="1"/>
  <c r="X160" i="3"/>
  <c r="Y160" i="3" s="1"/>
  <c r="T160" i="3"/>
  <c r="I160" i="3"/>
  <c r="E160" i="3"/>
  <c r="D160" i="3"/>
  <c r="C160" i="3"/>
  <c r="AB160" i="3" s="1"/>
  <c r="B160" i="3"/>
  <c r="A160" i="3"/>
  <c r="Z159" i="3"/>
  <c r="AA159" i="3" s="1"/>
  <c r="X159" i="3"/>
  <c r="Y159" i="3" s="1"/>
  <c r="T159" i="3"/>
  <c r="I159" i="3"/>
  <c r="E159" i="3"/>
  <c r="D159" i="3"/>
  <c r="C159" i="3"/>
  <c r="AB159" i="3" s="1"/>
  <c r="B159" i="3"/>
  <c r="A159" i="3"/>
  <c r="Z158" i="3"/>
  <c r="AA158" i="3" s="1"/>
  <c r="X158" i="3"/>
  <c r="Y158" i="3" s="1"/>
  <c r="T158" i="3"/>
  <c r="I158" i="3"/>
  <c r="E158" i="3"/>
  <c r="D158" i="3"/>
  <c r="C158" i="3"/>
  <c r="AB158" i="3" s="1"/>
  <c r="B158" i="3"/>
  <c r="A158" i="3"/>
  <c r="Z157" i="3"/>
  <c r="AA157" i="3" s="1"/>
  <c r="X157" i="3"/>
  <c r="Y157" i="3" s="1"/>
  <c r="T157" i="3"/>
  <c r="I157" i="3"/>
  <c r="E157" i="3"/>
  <c r="D157" i="3"/>
  <c r="C157" i="3"/>
  <c r="AB157" i="3" s="1"/>
  <c r="B157" i="3"/>
  <c r="A157" i="3"/>
  <c r="Z156" i="3"/>
  <c r="AA156" i="3" s="1"/>
  <c r="X156" i="3"/>
  <c r="Y156" i="3" s="1"/>
  <c r="T156" i="3"/>
  <c r="I156" i="3"/>
  <c r="E156" i="3"/>
  <c r="D156" i="3"/>
  <c r="C156" i="3"/>
  <c r="AB156" i="3" s="1"/>
  <c r="B156" i="3"/>
  <c r="A156" i="3"/>
  <c r="Z155" i="3"/>
  <c r="AA155" i="3" s="1"/>
  <c r="X155" i="3"/>
  <c r="Y155" i="3" s="1"/>
  <c r="T155" i="3"/>
  <c r="I155" i="3"/>
  <c r="E155" i="3"/>
  <c r="D155" i="3"/>
  <c r="C155" i="3"/>
  <c r="AB155" i="3" s="1"/>
  <c r="B155" i="3"/>
  <c r="A155" i="3"/>
  <c r="Z154" i="3"/>
  <c r="AA154" i="3" s="1"/>
  <c r="X154" i="3"/>
  <c r="Y154" i="3" s="1"/>
  <c r="T154" i="3"/>
  <c r="I154" i="3"/>
  <c r="E154" i="3"/>
  <c r="D154" i="3"/>
  <c r="C154" i="3"/>
  <c r="AB154" i="3" s="1"/>
  <c r="B154" i="3"/>
  <c r="A154" i="3"/>
  <c r="Z153" i="3"/>
  <c r="AA153" i="3" s="1"/>
  <c r="X153" i="3"/>
  <c r="Y153" i="3" s="1"/>
  <c r="T153" i="3"/>
  <c r="I153" i="3"/>
  <c r="E153" i="3"/>
  <c r="D153" i="3"/>
  <c r="C153" i="3"/>
  <c r="AB153" i="3" s="1"/>
  <c r="B153" i="3"/>
  <c r="A153" i="3"/>
  <c r="Z152" i="3"/>
  <c r="AA152" i="3" s="1"/>
  <c r="X152" i="3"/>
  <c r="Y152" i="3" s="1"/>
  <c r="T152" i="3"/>
  <c r="I152" i="3"/>
  <c r="E152" i="3"/>
  <c r="D152" i="3"/>
  <c r="C152" i="3"/>
  <c r="AB152" i="3" s="1"/>
  <c r="B152" i="3"/>
  <c r="A152" i="3"/>
  <c r="Z151" i="3"/>
  <c r="AA151" i="3" s="1"/>
  <c r="X151" i="3"/>
  <c r="Y151" i="3" s="1"/>
  <c r="T151" i="3"/>
  <c r="I151" i="3"/>
  <c r="E151" i="3"/>
  <c r="D151" i="3"/>
  <c r="C151" i="3"/>
  <c r="AB151" i="3" s="1"/>
  <c r="B151" i="3"/>
  <c r="A151" i="3"/>
  <c r="Z150" i="3"/>
  <c r="AA150" i="3" s="1"/>
  <c r="X150" i="3"/>
  <c r="Y150" i="3" s="1"/>
  <c r="T150" i="3"/>
  <c r="I150" i="3"/>
  <c r="E150" i="3"/>
  <c r="D150" i="3"/>
  <c r="C150" i="3"/>
  <c r="AB150" i="3" s="1"/>
  <c r="B150" i="3"/>
  <c r="A150" i="3"/>
  <c r="Z149" i="3"/>
  <c r="AA149" i="3" s="1"/>
  <c r="X149" i="3"/>
  <c r="Y149" i="3" s="1"/>
  <c r="T149" i="3"/>
  <c r="I149" i="3"/>
  <c r="E149" i="3"/>
  <c r="D149" i="3"/>
  <c r="C149" i="3"/>
  <c r="AB149" i="3" s="1"/>
  <c r="B149" i="3"/>
  <c r="A149" i="3"/>
  <c r="Z148" i="3"/>
  <c r="AA148" i="3" s="1"/>
  <c r="X148" i="3"/>
  <c r="Y148" i="3" s="1"/>
  <c r="T148" i="3"/>
  <c r="I148" i="3"/>
  <c r="E148" i="3"/>
  <c r="D148" i="3"/>
  <c r="C148" i="3"/>
  <c r="AB148" i="3" s="1"/>
  <c r="B148" i="3"/>
  <c r="A148" i="3"/>
  <c r="Z147" i="3"/>
  <c r="AA147" i="3" s="1"/>
  <c r="X147" i="3"/>
  <c r="Y147" i="3" s="1"/>
  <c r="T147" i="3"/>
  <c r="I147" i="3"/>
  <c r="E147" i="3"/>
  <c r="D147" i="3"/>
  <c r="C147" i="3"/>
  <c r="AB147" i="3" s="1"/>
  <c r="B147" i="3"/>
  <c r="A147" i="3"/>
  <c r="Z146" i="3"/>
  <c r="AA146" i="3" s="1"/>
  <c r="X146" i="3"/>
  <c r="Y146" i="3" s="1"/>
  <c r="T146" i="3"/>
  <c r="I146" i="3"/>
  <c r="E146" i="3"/>
  <c r="D146" i="3"/>
  <c r="C146" i="3"/>
  <c r="AB146" i="3" s="1"/>
  <c r="B146" i="3"/>
  <c r="A146" i="3"/>
  <c r="Z145" i="3"/>
  <c r="AA145" i="3" s="1"/>
  <c r="X145" i="3"/>
  <c r="Y145" i="3" s="1"/>
  <c r="T145" i="3"/>
  <c r="I145" i="3"/>
  <c r="E145" i="3"/>
  <c r="D145" i="3"/>
  <c r="C145" i="3"/>
  <c r="AB145" i="3" s="1"/>
  <c r="B145" i="3"/>
  <c r="A145" i="3"/>
  <c r="Z144" i="3"/>
  <c r="AA144" i="3" s="1"/>
  <c r="X144" i="3"/>
  <c r="Y144" i="3" s="1"/>
  <c r="T144" i="3"/>
  <c r="I144" i="3"/>
  <c r="E144" i="3"/>
  <c r="D144" i="3"/>
  <c r="C144" i="3"/>
  <c r="AB144" i="3" s="1"/>
  <c r="B144" i="3"/>
  <c r="A144" i="3"/>
  <c r="Z143" i="3"/>
  <c r="AA143" i="3" s="1"/>
  <c r="X143" i="3"/>
  <c r="Y143" i="3" s="1"/>
  <c r="T143" i="3"/>
  <c r="I143" i="3"/>
  <c r="E143" i="3"/>
  <c r="D143" i="3"/>
  <c r="C143" i="3"/>
  <c r="AB143" i="3" s="1"/>
  <c r="B143" i="3"/>
  <c r="A143" i="3"/>
  <c r="Z142" i="3"/>
  <c r="AA142" i="3" s="1"/>
  <c r="X142" i="3"/>
  <c r="Y142" i="3" s="1"/>
  <c r="T142" i="3"/>
  <c r="I142" i="3"/>
  <c r="E142" i="3"/>
  <c r="D142" i="3"/>
  <c r="C142" i="3"/>
  <c r="AB142" i="3" s="1"/>
  <c r="B142" i="3"/>
  <c r="A142" i="3"/>
  <c r="Z141" i="3"/>
  <c r="AA141" i="3" s="1"/>
  <c r="X141" i="3"/>
  <c r="Y141" i="3" s="1"/>
  <c r="T141" i="3"/>
  <c r="I141" i="3"/>
  <c r="E141" i="3"/>
  <c r="D141" i="3"/>
  <c r="C141" i="3"/>
  <c r="AB141" i="3" s="1"/>
  <c r="B141" i="3"/>
  <c r="A141" i="3"/>
  <c r="Z140" i="3"/>
  <c r="AA140" i="3" s="1"/>
  <c r="X140" i="3"/>
  <c r="Y140" i="3" s="1"/>
  <c r="T140" i="3"/>
  <c r="I140" i="3"/>
  <c r="E140" i="3"/>
  <c r="D140" i="3"/>
  <c r="C140" i="3"/>
  <c r="AB140" i="3" s="1"/>
  <c r="B140" i="3"/>
  <c r="A140" i="3"/>
  <c r="Z139" i="3"/>
  <c r="AA139" i="3" s="1"/>
  <c r="X139" i="3"/>
  <c r="Y139" i="3" s="1"/>
  <c r="T139" i="3"/>
  <c r="I139" i="3"/>
  <c r="E139" i="3"/>
  <c r="D139" i="3"/>
  <c r="C139" i="3"/>
  <c r="AB139" i="3" s="1"/>
  <c r="B139" i="3"/>
  <c r="A139" i="3"/>
  <c r="Z138" i="3"/>
  <c r="AA138" i="3" s="1"/>
  <c r="X138" i="3"/>
  <c r="Y138" i="3" s="1"/>
  <c r="T138" i="3"/>
  <c r="I138" i="3"/>
  <c r="E138" i="3"/>
  <c r="D138" i="3"/>
  <c r="C138" i="3"/>
  <c r="AB138" i="3" s="1"/>
  <c r="B138" i="3"/>
  <c r="A138" i="3"/>
  <c r="Z137" i="3"/>
  <c r="AA137" i="3" s="1"/>
  <c r="X137" i="3"/>
  <c r="Y137" i="3" s="1"/>
  <c r="T137" i="3"/>
  <c r="I137" i="3"/>
  <c r="E137" i="3"/>
  <c r="D137" i="3"/>
  <c r="C137" i="3"/>
  <c r="AB137" i="3" s="1"/>
  <c r="B137" i="3"/>
  <c r="A137" i="3"/>
  <c r="Z136" i="3"/>
  <c r="AA136" i="3" s="1"/>
  <c r="X136" i="3"/>
  <c r="Y136" i="3" s="1"/>
  <c r="T136" i="3"/>
  <c r="I136" i="3"/>
  <c r="E136" i="3"/>
  <c r="D136" i="3"/>
  <c r="C136" i="3"/>
  <c r="AB136" i="3" s="1"/>
  <c r="B136" i="3"/>
  <c r="A136" i="3"/>
  <c r="Z135" i="3"/>
  <c r="AA135" i="3" s="1"/>
  <c r="X135" i="3"/>
  <c r="Y135" i="3" s="1"/>
  <c r="T135" i="3"/>
  <c r="I135" i="3"/>
  <c r="E135" i="3"/>
  <c r="D135" i="3"/>
  <c r="C135" i="3"/>
  <c r="AB135" i="3" s="1"/>
  <c r="B135" i="3"/>
  <c r="A135" i="3"/>
  <c r="Z134" i="3"/>
  <c r="AA134" i="3" s="1"/>
  <c r="X134" i="3"/>
  <c r="Y134" i="3" s="1"/>
  <c r="T134" i="3"/>
  <c r="I134" i="3"/>
  <c r="E134" i="3"/>
  <c r="D134" i="3"/>
  <c r="C134" i="3"/>
  <c r="AB134" i="3" s="1"/>
  <c r="B134" i="3"/>
  <c r="A134" i="3"/>
  <c r="Z133" i="3"/>
  <c r="AA133" i="3" s="1"/>
  <c r="X133" i="3"/>
  <c r="Y133" i="3" s="1"/>
  <c r="T133" i="3"/>
  <c r="I133" i="3"/>
  <c r="E133" i="3"/>
  <c r="D133" i="3"/>
  <c r="C133" i="3"/>
  <c r="AB133" i="3" s="1"/>
  <c r="B133" i="3"/>
  <c r="A133" i="3"/>
  <c r="Z132" i="3"/>
  <c r="AA132" i="3" s="1"/>
  <c r="X132" i="3"/>
  <c r="Y132" i="3" s="1"/>
  <c r="T132" i="3"/>
  <c r="I132" i="3"/>
  <c r="E132" i="3"/>
  <c r="D132" i="3"/>
  <c r="C132" i="3"/>
  <c r="AB132" i="3" s="1"/>
  <c r="B132" i="3"/>
  <c r="A132" i="3"/>
  <c r="Z131" i="3"/>
  <c r="AA131" i="3" s="1"/>
  <c r="X131" i="3"/>
  <c r="Y131" i="3" s="1"/>
  <c r="T131" i="3"/>
  <c r="I131" i="3"/>
  <c r="E131" i="3"/>
  <c r="D131" i="3"/>
  <c r="C131" i="3"/>
  <c r="AB131" i="3" s="1"/>
  <c r="B131" i="3"/>
  <c r="A131" i="3"/>
  <c r="Z130" i="3"/>
  <c r="AA130" i="3" s="1"/>
  <c r="X130" i="3"/>
  <c r="Y130" i="3" s="1"/>
  <c r="T130" i="3"/>
  <c r="I130" i="3"/>
  <c r="E130" i="3"/>
  <c r="D130" i="3"/>
  <c r="C130" i="3"/>
  <c r="AB130" i="3" s="1"/>
  <c r="B130" i="3"/>
  <c r="A130" i="3"/>
  <c r="Z129" i="3"/>
  <c r="AA129" i="3" s="1"/>
  <c r="X129" i="3"/>
  <c r="Y129" i="3" s="1"/>
  <c r="T129" i="3"/>
  <c r="I129" i="3"/>
  <c r="E129" i="3"/>
  <c r="D129" i="3"/>
  <c r="C129" i="3"/>
  <c r="AB129" i="3" s="1"/>
  <c r="B129" i="3"/>
  <c r="A129" i="3"/>
  <c r="Z128" i="3"/>
  <c r="AA128" i="3" s="1"/>
  <c r="X128" i="3"/>
  <c r="Y128" i="3" s="1"/>
  <c r="T128" i="3"/>
  <c r="I128" i="3"/>
  <c r="E128" i="3"/>
  <c r="D128" i="3"/>
  <c r="C128" i="3"/>
  <c r="AB128" i="3" s="1"/>
  <c r="B128" i="3"/>
  <c r="A128" i="3"/>
  <c r="Z127" i="3"/>
  <c r="AA127" i="3" s="1"/>
  <c r="X127" i="3"/>
  <c r="Y127" i="3" s="1"/>
  <c r="T127" i="3"/>
  <c r="I127" i="3"/>
  <c r="E127" i="3"/>
  <c r="D127" i="3"/>
  <c r="C127" i="3"/>
  <c r="AB127" i="3" s="1"/>
  <c r="B127" i="3"/>
  <c r="A127" i="3"/>
  <c r="Z126" i="3"/>
  <c r="AA126" i="3" s="1"/>
  <c r="X126" i="3"/>
  <c r="Y126" i="3" s="1"/>
  <c r="T126" i="3"/>
  <c r="I126" i="3"/>
  <c r="E126" i="3"/>
  <c r="D126" i="3"/>
  <c r="C126" i="3"/>
  <c r="AB126" i="3" s="1"/>
  <c r="B126" i="3"/>
  <c r="A126" i="3"/>
  <c r="Z125" i="3"/>
  <c r="AA125" i="3" s="1"/>
  <c r="X125" i="3"/>
  <c r="Y125" i="3" s="1"/>
  <c r="T125" i="3"/>
  <c r="I125" i="3"/>
  <c r="E125" i="3"/>
  <c r="D125" i="3"/>
  <c r="C125" i="3"/>
  <c r="AB125" i="3" s="1"/>
  <c r="B125" i="3"/>
  <c r="A125" i="3"/>
  <c r="Z124" i="3"/>
  <c r="AA124" i="3" s="1"/>
  <c r="X124" i="3"/>
  <c r="Y124" i="3" s="1"/>
  <c r="T124" i="3"/>
  <c r="I124" i="3"/>
  <c r="E124" i="3"/>
  <c r="D124" i="3"/>
  <c r="C124" i="3"/>
  <c r="AB124" i="3" s="1"/>
  <c r="B124" i="3"/>
  <c r="A124" i="3"/>
  <c r="Z123" i="3"/>
  <c r="AA123" i="3" s="1"/>
  <c r="X123" i="3"/>
  <c r="Y123" i="3" s="1"/>
  <c r="T123" i="3"/>
  <c r="I123" i="3"/>
  <c r="E123" i="3"/>
  <c r="D123" i="3"/>
  <c r="C123" i="3"/>
  <c r="AB123" i="3" s="1"/>
  <c r="B123" i="3"/>
  <c r="A123" i="3"/>
  <c r="Z122" i="3"/>
  <c r="AA122" i="3" s="1"/>
  <c r="X122" i="3"/>
  <c r="Y122" i="3" s="1"/>
  <c r="T122" i="3"/>
  <c r="I122" i="3"/>
  <c r="E122" i="3"/>
  <c r="D122" i="3"/>
  <c r="C122" i="3"/>
  <c r="AB122" i="3" s="1"/>
  <c r="B122" i="3"/>
  <c r="A122" i="3"/>
  <c r="Z121" i="3"/>
  <c r="AA121" i="3" s="1"/>
  <c r="X121" i="3"/>
  <c r="Y121" i="3" s="1"/>
  <c r="T121" i="3"/>
  <c r="I121" i="3"/>
  <c r="E121" i="3"/>
  <c r="D121" i="3"/>
  <c r="C121" i="3"/>
  <c r="AB121" i="3" s="1"/>
  <c r="B121" i="3"/>
  <c r="A121" i="3"/>
  <c r="Z120" i="3"/>
  <c r="AA120" i="3" s="1"/>
  <c r="X120" i="3"/>
  <c r="Y120" i="3" s="1"/>
  <c r="T120" i="3"/>
  <c r="I120" i="3"/>
  <c r="E120" i="3"/>
  <c r="D120" i="3"/>
  <c r="C120" i="3"/>
  <c r="AB120" i="3" s="1"/>
  <c r="B120" i="3"/>
  <c r="A120" i="3"/>
  <c r="Z119" i="3"/>
  <c r="AA119" i="3" s="1"/>
  <c r="X119" i="3"/>
  <c r="Y119" i="3" s="1"/>
  <c r="T119" i="3"/>
  <c r="I119" i="3"/>
  <c r="E119" i="3"/>
  <c r="D119" i="3"/>
  <c r="C119" i="3"/>
  <c r="AB119" i="3" s="1"/>
  <c r="B119" i="3"/>
  <c r="A119" i="3"/>
  <c r="Z118" i="3"/>
  <c r="AA118" i="3" s="1"/>
  <c r="X118" i="3"/>
  <c r="Y118" i="3" s="1"/>
  <c r="T118" i="3"/>
  <c r="I118" i="3"/>
  <c r="E118" i="3"/>
  <c r="D118" i="3"/>
  <c r="C118" i="3"/>
  <c r="AB118" i="3" s="1"/>
  <c r="B118" i="3"/>
  <c r="A118" i="3"/>
  <c r="Z117" i="3"/>
  <c r="AA117" i="3" s="1"/>
  <c r="X117" i="3"/>
  <c r="Y117" i="3" s="1"/>
  <c r="T117" i="3"/>
  <c r="I117" i="3"/>
  <c r="E117" i="3"/>
  <c r="D117" i="3"/>
  <c r="C117" i="3"/>
  <c r="AB117" i="3" s="1"/>
  <c r="B117" i="3"/>
  <c r="A117" i="3"/>
  <c r="Z116" i="3"/>
  <c r="AA116" i="3" s="1"/>
  <c r="X116" i="3"/>
  <c r="Y116" i="3" s="1"/>
  <c r="T116" i="3"/>
  <c r="I116" i="3"/>
  <c r="E116" i="3"/>
  <c r="D116" i="3"/>
  <c r="C116" i="3"/>
  <c r="AB116" i="3" s="1"/>
  <c r="B116" i="3"/>
  <c r="A116" i="3"/>
  <c r="Z115" i="3"/>
  <c r="AA115" i="3" s="1"/>
  <c r="X115" i="3"/>
  <c r="Y115" i="3" s="1"/>
  <c r="T115" i="3"/>
  <c r="I115" i="3"/>
  <c r="E115" i="3"/>
  <c r="D115" i="3"/>
  <c r="C115" i="3"/>
  <c r="AB115" i="3" s="1"/>
  <c r="B115" i="3"/>
  <c r="A115" i="3"/>
  <c r="Z114" i="3"/>
  <c r="AA114" i="3" s="1"/>
  <c r="X114" i="3"/>
  <c r="Y114" i="3" s="1"/>
  <c r="T114" i="3"/>
  <c r="I114" i="3"/>
  <c r="E114" i="3"/>
  <c r="D114" i="3"/>
  <c r="C114" i="3"/>
  <c r="AB114" i="3" s="1"/>
  <c r="B114" i="3"/>
  <c r="A114" i="3"/>
  <c r="Z113" i="3"/>
  <c r="AA113" i="3" s="1"/>
  <c r="X113" i="3"/>
  <c r="Y113" i="3" s="1"/>
  <c r="T113" i="3"/>
  <c r="I113" i="3"/>
  <c r="E113" i="3"/>
  <c r="D113" i="3"/>
  <c r="C113" i="3"/>
  <c r="AB113" i="3" s="1"/>
  <c r="B113" i="3"/>
  <c r="A113" i="3"/>
  <c r="Z112" i="3"/>
  <c r="AA112" i="3" s="1"/>
  <c r="X112" i="3"/>
  <c r="Y112" i="3" s="1"/>
  <c r="T112" i="3"/>
  <c r="I112" i="3"/>
  <c r="E112" i="3"/>
  <c r="D112" i="3"/>
  <c r="C112" i="3"/>
  <c r="AB112" i="3" s="1"/>
  <c r="B112" i="3"/>
  <c r="A112" i="3"/>
  <c r="Z111" i="3"/>
  <c r="AA111" i="3" s="1"/>
  <c r="X111" i="3"/>
  <c r="Y111" i="3" s="1"/>
  <c r="T111" i="3"/>
  <c r="I111" i="3"/>
  <c r="E111" i="3"/>
  <c r="D111" i="3"/>
  <c r="C111" i="3"/>
  <c r="AB111" i="3" s="1"/>
  <c r="B111" i="3"/>
  <c r="A111" i="3"/>
  <c r="Z110" i="3"/>
  <c r="AA110" i="3" s="1"/>
  <c r="X110" i="3"/>
  <c r="Y110" i="3" s="1"/>
  <c r="T110" i="3"/>
  <c r="I110" i="3"/>
  <c r="E110" i="3"/>
  <c r="D110" i="3"/>
  <c r="C110" i="3"/>
  <c r="AB110" i="3" s="1"/>
  <c r="B110" i="3"/>
  <c r="A110" i="3"/>
  <c r="Z109" i="3"/>
  <c r="AA109" i="3" s="1"/>
  <c r="X109" i="3"/>
  <c r="Y109" i="3" s="1"/>
  <c r="T109" i="3"/>
  <c r="I109" i="3"/>
  <c r="E109" i="3"/>
  <c r="D109" i="3"/>
  <c r="C109" i="3"/>
  <c r="AB109" i="3" s="1"/>
  <c r="B109" i="3"/>
  <c r="A109" i="3"/>
  <c r="Z108" i="3"/>
  <c r="AA108" i="3" s="1"/>
  <c r="X108" i="3"/>
  <c r="Y108" i="3" s="1"/>
  <c r="T108" i="3"/>
  <c r="I108" i="3"/>
  <c r="E108" i="3"/>
  <c r="D108" i="3"/>
  <c r="C108" i="3"/>
  <c r="AB108" i="3" s="1"/>
  <c r="B108" i="3"/>
  <c r="A108" i="3"/>
  <c r="Z107" i="3"/>
  <c r="AA107" i="3" s="1"/>
  <c r="X107" i="3"/>
  <c r="Y107" i="3" s="1"/>
  <c r="T107" i="3"/>
  <c r="I107" i="3"/>
  <c r="E107" i="3"/>
  <c r="D107" i="3"/>
  <c r="C107" i="3"/>
  <c r="AB107" i="3" s="1"/>
  <c r="B107" i="3"/>
  <c r="A107" i="3"/>
  <c r="Z106" i="3"/>
  <c r="AA106" i="3" s="1"/>
  <c r="X106" i="3"/>
  <c r="Y106" i="3" s="1"/>
  <c r="T106" i="3"/>
  <c r="I106" i="3"/>
  <c r="E106" i="3"/>
  <c r="D106" i="3"/>
  <c r="C106" i="3"/>
  <c r="AB106" i="3" s="1"/>
  <c r="B106" i="3"/>
  <c r="A106" i="3"/>
  <c r="Z105" i="3"/>
  <c r="AA105" i="3" s="1"/>
  <c r="X105" i="3"/>
  <c r="Y105" i="3" s="1"/>
  <c r="T105" i="3"/>
  <c r="I105" i="3"/>
  <c r="E105" i="3"/>
  <c r="D105" i="3"/>
  <c r="C105" i="3"/>
  <c r="AB105" i="3" s="1"/>
  <c r="B105" i="3"/>
  <c r="A105" i="3"/>
  <c r="Z104" i="3"/>
  <c r="AA104" i="3" s="1"/>
  <c r="X104" i="3"/>
  <c r="Y104" i="3" s="1"/>
  <c r="T104" i="3"/>
  <c r="I104" i="3"/>
  <c r="E104" i="3"/>
  <c r="D104" i="3"/>
  <c r="C104" i="3"/>
  <c r="AB104" i="3" s="1"/>
  <c r="B104" i="3"/>
  <c r="A104" i="3"/>
  <c r="Z103" i="3"/>
  <c r="AA103" i="3" s="1"/>
  <c r="X103" i="3"/>
  <c r="Y103" i="3" s="1"/>
  <c r="T103" i="3"/>
  <c r="I103" i="3"/>
  <c r="E103" i="3"/>
  <c r="D103" i="3"/>
  <c r="C103" i="3"/>
  <c r="AB103" i="3" s="1"/>
  <c r="B103" i="3"/>
  <c r="A103" i="3"/>
  <c r="Z102" i="3"/>
  <c r="AA102" i="3" s="1"/>
  <c r="X102" i="3"/>
  <c r="Y102" i="3" s="1"/>
  <c r="T102" i="3"/>
  <c r="I102" i="3"/>
  <c r="E102" i="3"/>
  <c r="D102" i="3"/>
  <c r="C102" i="3"/>
  <c r="AB102" i="3" s="1"/>
  <c r="B102" i="3"/>
  <c r="A102" i="3"/>
  <c r="Z101" i="3"/>
  <c r="AA101" i="3" s="1"/>
  <c r="X101" i="3"/>
  <c r="Y101" i="3" s="1"/>
  <c r="T101" i="3"/>
  <c r="I101" i="3"/>
  <c r="E101" i="3"/>
  <c r="D101" i="3"/>
  <c r="C101" i="3"/>
  <c r="AB101" i="3" s="1"/>
  <c r="B101" i="3"/>
  <c r="A101" i="3"/>
  <c r="Z100" i="3"/>
  <c r="AA100" i="3" s="1"/>
  <c r="X100" i="3"/>
  <c r="Y100" i="3" s="1"/>
  <c r="T100" i="3"/>
  <c r="I100" i="3"/>
  <c r="E100" i="3"/>
  <c r="D100" i="3"/>
  <c r="C100" i="3"/>
  <c r="AB100" i="3" s="1"/>
  <c r="B100" i="3"/>
  <c r="A100" i="3"/>
  <c r="Z99" i="3"/>
  <c r="AA99" i="3" s="1"/>
  <c r="X99" i="3"/>
  <c r="Y99" i="3" s="1"/>
  <c r="T99" i="3"/>
  <c r="I99" i="3"/>
  <c r="E99" i="3"/>
  <c r="D99" i="3"/>
  <c r="C99" i="3"/>
  <c r="AB99" i="3" s="1"/>
  <c r="B99" i="3"/>
  <c r="A99" i="3"/>
  <c r="Z98" i="3"/>
  <c r="AA98" i="3" s="1"/>
  <c r="X98" i="3"/>
  <c r="Y98" i="3" s="1"/>
  <c r="T98" i="3"/>
  <c r="I98" i="3"/>
  <c r="E98" i="3"/>
  <c r="D98" i="3"/>
  <c r="C98" i="3"/>
  <c r="AB98" i="3" s="1"/>
  <c r="B98" i="3"/>
  <c r="A98" i="3"/>
  <c r="Z97" i="3"/>
  <c r="AA97" i="3" s="1"/>
  <c r="X97" i="3"/>
  <c r="Y97" i="3" s="1"/>
  <c r="T97" i="3"/>
  <c r="I97" i="3"/>
  <c r="E97" i="3"/>
  <c r="D97" i="3"/>
  <c r="C97" i="3"/>
  <c r="AB97" i="3" s="1"/>
  <c r="B97" i="3"/>
  <c r="A97" i="3"/>
  <c r="Z96" i="3"/>
  <c r="AA96" i="3" s="1"/>
  <c r="X96" i="3"/>
  <c r="Y96" i="3" s="1"/>
  <c r="T96" i="3"/>
  <c r="I96" i="3"/>
  <c r="E96" i="3"/>
  <c r="D96" i="3"/>
  <c r="C96" i="3"/>
  <c r="AB96" i="3" s="1"/>
  <c r="B96" i="3"/>
  <c r="A96" i="3"/>
  <c r="Z95" i="3"/>
  <c r="AA95" i="3" s="1"/>
  <c r="X95" i="3"/>
  <c r="Y95" i="3" s="1"/>
  <c r="T95" i="3"/>
  <c r="I95" i="3"/>
  <c r="E95" i="3"/>
  <c r="D95" i="3"/>
  <c r="C95" i="3"/>
  <c r="AB95" i="3" s="1"/>
  <c r="B95" i="3"/>
  <c r="A95" i="3"/>
  <c r="Z94" i="3"/>
  <c r="AA94" i="3" s="1"/>
  <c r="X94" i="3"/>
  <c r="Y94" i="3" s="1"/>
  <c r="T94" i="3"/>
  <c r="I94" i="3"/>
  <c r="E94" i="3"/>
  <c r="D94" i="3"/>
  <c r="C94" i="3"/>
  <c r="AB94" i="3" s="1"/>
  <c r="B94" i="3"/>
  <c r="A94" i="3"/>
  <c r="Z93" i="3"/>
  <c r="AA93" i="3" s="1"/>
  <c r="X93" i="3"/>
  <c r="Y93" i="3" s="1"/>
  <c r="T93" i="3"/>
  <c r="I93" i="3"/>
  <c r="E93" i="3"/>
  <c r="D93" i="3"/>
  <c r="C93" i="3"/>
  <c r="AB93" i="3" s="1"/>
  <c r="B93" i="3"/>
  <c r="A93" i="3"/>
  <c r="Z92" i="3"/>
  <c r="AA92" i="3" s="1"/>
  <c r="X92" i="3"/>
  <c r="Y92" i="3" s="1"/>
  <c r="T92" i="3"/>
  <c r="I92" i="3"/>
  <c r="E92" i="3"/>
  <c r="D92" i="3"/>
  <c r="C92" i="3"/>
  <c r="AB92" i="3" s="1"/>
  <c r="B92" i="3"/>
  <c r="A92" i="3"/>
  <c r="Z91" i="3"/>
  <c r="AA91" i="3" s="1"/>
  <c r="X91" i="3"/>
  <c r="Y91" i="3" s="1"/>
  <c r="T91" i="3"/>
  <c r="I91" i="3"/>
  <c r="E91" i="3"/>
  <c r="D91" i="3"/>
  <c r="C91" i="3"/>
  <c r="AB91" i="3" s="1"/>
  <c r="B91" i="3"/>
  <c r="A91" i="3"/>
  <c r="Z90" i="3"/>
  <c r="AA90" i="3" s="1"/>
  <c r="X90" i="3"/>
  <c r="Y90" i="3" s="1"/>
  <c r="T90" i="3"/>
  <c r="I90" i="3"/>
  <c r="E90" i="3"/>
  <c r="D90" i="3"/>
  <c r="C90" i="3"/>
  <c r="AB90" i="3" s="1"/>
  <c r="B90" i="3"/>
  <c r="A90" i="3"/>
  <c r="Z89" i="3"/>
  <c r="AA89" i="3" s="1"/>
  <c r="X89" i="3"/>
  <c r="Y89" i="3" s="1"/>
  <c r="T89" i="3"/>
  <c r="I89" i="3"/>
  <c r="E89" i="3"/>
  <c r="D89" i="3"/>
  <c r="C89" i="3"/>
  <c r="AB89" i="3" s="1"/>
  <c r="B89" i="3"/>
  <c r="A89" i="3"/>
  <c r="Z88" i="3"/>
  <c r="AA88" i="3" s="1"/>
  <c r="X88" i="3"/>
  <c r="Y88" i="3" s="1"/>
  <c r="T88" i="3"/>
  <c r="I88" i="3"/>
  <c r="E88" i="3"/>
  <c r="D88" i="3"/>
  <c r="C88" i="3"/>
  <c r="AB88" i="3" s="1"/>
  <c r="B88" i="3"/>
  <c r="A88" i="3"/>
  <c r="Z87" i="3"/>
  <c r="AA87" i="3" s="1"/>
  <c r="X87" i="3"/>
  <c r="Y87" i="3" s="1"/>
  <c r="T87" i="3"/>
  <c r="I87" i="3"/>
  <c r="E87" i="3"/>
  <c r="D87" i="3"/>
  <c r="C87" i="3"/>
  <c r="AB87" i="3" s="1"/>
  <c r="B87" i="3"/>
  <c r="A87" i="3"/>
  <c r="Z86" i="3"/>
  <c r="AA86" i="3" s="1"/>
  <c r="X86" i="3"/>
  <c r="Y86" i="3" s="1"/>
  <c r="T86" i="3"/>
  <c r="I86" i="3"/>
  <c r="E86" i="3"/>
  <c r="D86" i="3"/>
  <c r="C86" i="3"/>
  <c r="AB86" i="3" s="1"/>
  <c r="B86" i="3"/>
  <c r="A86" i="3"/>
  <c r="Z85" i="3"/>
  <c r="AA85" i="3" s="1"/>
  <c r="X85" i="3"/>
  <c r="Y85" i="3" s="1"/>
  <c r="T85" i="3"/>
  <c r="I85" i="3"/>
  <c r="E85" i="3"/>
  <c r="D85" i="3"/>
  <c r="C85" i="3"/>
  <c r="AB85" i="3" s="1"/>
  <c r="B85" i="3"/>
  <c r="A85" i="3"/>
  <c r="Z84" i="3"/>
  <c r="AA84" i="3" s="1"/>
  <c r="X84" i="3"/>
  <c r="Y84" i="3" s="1"/>
  <c r="T84" i="3"/>
  <c r="I84" i="3"/>
  <c r="E84" i="3"/>
  <c r="D84" i="3"/>
  <c r="C84" i="3"/>
  <c r="AB84" i="3" s="1"/>
  <c r="B84" i="3"/>
  <c r="A84" i="3"/>
  <c r="Z83" i="3"/>
  <c r="AA83" i="3" s="1"/>
  <c r="X83" i="3"/>
  <c r="Y83" i="3" s="1"/>
  <c r="T83" i="3"/>
  <c r="I83" i="3"/>
  <c r="E83" i="3"/>
  <c r="D83" i="3"/>
  <c r="C83" i="3"/>
  <c r="AB83" i="3" s="1"/>
  <c r="B83" i="3"/>
  <c r="A83" i="3"/>
  <c r="Z82" i="3"/>
  <c r="AA82" i="3" s="1"/>
  <c r="X82" i="3"/>
  <c r="Y82" i="3" s="1"/>
  <c r="T82" i="3"/>
  <c r="I82" i="3"/>
  <c r="E82" i="3"/>
  <c r="D82" i="3"/>
  <c r="C82" i="3"/>
  <c r="AB82" i="3" s="1"/>
  <c r="B82" i="3"/>
  <c r="A82" i="3"/>
  <c r="Z81" i="3"/>
  <c r="AA81" i="3" s="1"/>
  <c r="X81" i="3"/>
  <c r="Y81" i="3" s="1"/>
  <c r="T81" i="3"/>
  <c r="I81" i="3"/>
  <c r="E81" i="3"/>
  <c r="D81" i="3"/>
  <c r="C81" i="3"/>
  <c r="AB81" i="3" s="1"/>
  <c r="B81" i="3"/>
  <c r="A81" i="3"/>
  <c r="Z80" i="3"/>
  <c r="AA80" i="3" s="1"/>
  <c r="X80" i="3"/>
  <c r="Y80" i="3" s="1"/>
  <c r="T80" i="3"/>
  <c r="I80" i="3"/>
  <c r="E80" i="3"/>
  <c r="D80" i="3"/>
  <c r="C80" i="3"/>
  <c r="AB80" i="3" s="1"/>
  <c r="B80" i="3"/>
  <c r="A80" i="3"/>
  <c r="Z79" i="3"/>
  <c r="AA79" i="3" s="1"/>
  <c r="X79" i="3"/>
  <c r="Y79" i="3" s="1"/>
  <c r="T79" i="3"/>
  <c r="I79" i="3"/>
  <c r="E79" i="3"/>
  <c r="D79" i="3"/>
  <c r="C79" i="3"/>
  <c r="AB79" i="3" s="1"/>
  <c r="B79" i="3"/>
  <c r="A79" i="3"/>
  <c r="Z78" i="3"/>
  <c r="AA78" i="3" s="1"/>
  <c r="X78" i="3"/>
  <c r="Y78" i="3" s="1"/>
  <c r="T78" i="3"/>
  <c r="I78" i="3"/>
  <c r="E78" i="3"/>
  <c r="D78" i="3"/>
  <c r="C78" i="3"/>
  <c r="AB78" i="3" s="1"/>
  <c r="B78" i="3"/>
  <c r="A78" i="3"/>
  <c r="Z77" i="3"/>
  <c r="AA77" i="3" s="1"/>
  <c r="X77" i="3"/>
  <c r="Y77" i="3" s="1"/>
  <c r="T77" i="3"/>
  <c r="I77" i="3"/>
  <c r="E77" i="3"/>
  <c r="D77" i="3"/>
  <c r="C77" i="3"/>
  <c r="AB77" i="3" s="1"/>
  <c r="B77" i="3"/>
  <c r="A77" i="3"/>
  <c r="Z76" i="3"/>
  <c r="AA76" i="3" s="1"/>
  <c r="X76" i="3"/>
  <c r="Y76" i="3" s="1"/>
  <c r="T76" i="3"/>
  <c r="I76" i="3"/>
  <c r="E76" i="3"/>
  <c r="D76" i="3"/>
  <c r="C76" i="3"/>
  <c r="AB76" i="3" s="1"/>
  <c r="B76" i="3"/>
  <c r="A76" i="3"/>
  <c r="Z75" i="3"/>
  <c r="AA75" i="3" s="1"/>
  <c r="X75" i="3"/>
  <c r="Y75" i="3" s="1"/>
  <c r="T75" i="3"/>
  <c r="I75" i="3"/>
  <c r="E75" i="3"/>
  <c r="D75" i="3"/>
  <c r="C75" i="3"/>
  <c r="AB75" i="3" s="1"/>
  <c r="B75" i="3"/>
  <c r="A75" i="3"/>
  <c r="Z74" i="3"/>
  <c r="AA74" i="3" s="1"/>
  <c r="X74" i="3"/>
  <c r="Y74" i="3" s="1"/>
  <c r="T74" i="3"/>
  <c r="I74" i="3"/>
  <c r="E74" i="3"/>
  <c r="D74" i="3"/>
  <c r="C74" i="3"/>
  <c r="AB74" i="3" s="1"/>
  <c r="B74" i="3"/>
  <c r="A74" i="3"/>
  <c r="Z73" i="3"/>
  <c r="AA73" i="3" s="1"/>
  <c r="X73" i="3"/>
  <c r="Y73" i="3" s="1"/>
  <c r="T73" i="3"/>
  <c r="I73" i="3"/>
  <c r="E73" i="3"/>
  <c r="D73" i="3"/>
  <c r="C73" i="3"/>
  <c r="AB73" i="3" s="1"/>
  <c r="B73" i="3"/>
  <c r="A73" i="3"/>
  <c r="Z72" i="3"/>
  <c r="AA72" i="3" s="1"/>
  <c r="X72" i="3"/>
  <c r="Y72" i="3" s="1"/>
  <c r="T72" i="3"/>
  <c r="I72" i="3"/>
  <c r="E72" i="3"/>
  <c r="D72" i="3"/>
  <c r="C72" i="3"/>
  <c r="AB72" i="3" s="1"/>
  <c r="B72" i="3"/>
  <c r="A72" i="3"/>
  <c r="Z71" i="3"/>
  <c r="AA71" i="3" s="1"/>
  <c r="X71" i="3"/>
  <c r="Y71" i="3" s="1"/>
  <c r="T71" i="3"/>
  <c r="I71" i="3"/>
  <c r="E71" i="3"/>
  <c r="D71" i="3"/>
  <c r="C71" i="3"/>
  <c r="AB71" i="3" s="1"/>
  <c r="B71" i="3"/>
  <c r="A71" i="3"/>
  <c r="Z70" i="3"/>
  <c r="AA70" i="3" s="1"/>
  <c r="X70" i="3"/>
  <c r="Y70" i="3" s="1"/>
  <c r="T70" i="3"/>
  <c r="I70" i="3"/>
  <c r="E70" i="3"/>
  <c r="D70" i="3"/>
  <c r="C70" i="3"/>
  <c r="AB70" i="3" s="1"/>
  <c r="B70" i="3"/>
  <c r="A70" i="3"/>
  <c r="Z69" i="3"/>
  <c r="AA69" i="3" s="1"/>
  <c r="X69" i="3"/>
  <c r="Y69" i="3" s="1"/>
  <c r="T69" i="3"/>
  <c r="I69" i="3"/>
  <c r="E69" i="3"/>
  <c r="D69" i="3"/>
  <c r="C69" i="3"/>
  <c r="AB69" i="3" s="1"/>
  <c r="B69" i="3"/>
  <c r="A69" i="3"/>
  <c r="Z68" i="3"/>
  <c r="AA68" i="3" s="1"/>
  <c r="X68" i="3"/>
  <c r="Y68" i="3" s="1"/>
  <c r="T68" i="3"/>
  <c r="I68" i="3"/>
  <c r="E68" i="3"/>
  <c r="D68" i="3"/>
  <c r="C68" i="3"/>
  <c r="AB68" i="3" s="1"/>
  <c r="B68" i="3"/>
  <c r="A68" i="3"/>
  <c r="Z67" i="3"/>
  <c r="AA67" i="3" s="1"/>
  <c r="X67" i="3"/>
  <c r="Y67" i="3" s="1"/>
  <c r="T67" i="3"/>
  <c r="I67" i="3"/>
  <c r="E67" i="3"/>
  <c r="D67" i="3"/>
  <c r="C67" i="3"/>
  <c r="AB67" i="3" s="1"/>
  <c r="B67" i="3"/>
  <c r="A67" i="3"/>
  <c r="Z66" i="3"/>
  <c r="AA66" i="3" s="1"/>
  <c r="X66" i="3"/>
  <c r="Y66" i="3" s="1"/>
  <c r="T66" i="3"/>
  <c r="I66" i="3"/>
  <c r="E66" i="3"/>
  <c r="D66" i="3"/>
  <c r="C66" i="3"/>
  <c r="AB66" i="3" s="1"/>
  <c r="B66" i="3"/>
  <c r="A66" i="3"/>
  <c r="Z65" i="3"/>
  <c r="AA65" i="3" s="1"/>
  <c r="X65" i="3"/>
  <c r="Y65" i="3" s="1"/>
  <c r="T65" i="3"/>
  <c r="I65" i="3"/>
  <c r="E65" i="3"/>
  <c r="D65" i="3"/>
  <c r="C65" i="3"/>
  <c r="AB65" i="3" s="1"/>
  <c r="B65" i="3"/>
  <c r="A65" i="3"/>
  <c r="Z64" i="3"/>
  <c r="AA64" i="3" s="1"/>
  <c r="X64" i="3"/>
  <c r="Y64" i="3" s="1"/>
  <c r="T64" i="3"/>
  <c r="I64" i="3"/>
  <c r="E64" i="3"/>
  <c r="D64" i="3"/>
  <c r="C64" i="3"/>
  <c r="AB64" i="3" s="1"/>
  <c r="B64" i="3"/>
  <c r="A64" i="3"/>
  <c r="Z63" i="3"/>
  <c r="AA63" i="3" s="1"/>
  <c r="X63" i="3"/>
  <c r="Y63" i="3" s="1"/>
  <c r="T63" i="3"/>
  <c r="I63" i="3"/>
  <c r="E63" i="3"/>
  <c r="D63" i="3"/>
  <c r="C63" i="3"/>
  <c r="AB63" i="3" s="1"/>
  <c r="B63" i="3"/>
  <c r="A63" i="3"/>
  <c r="Z62" i="3"/>
  <c r="AA62" i="3" s="1"/>
  <c r="X62" i="3"/>
  <c r="Y62" i="3" s="1"/>
  <c r="T62" i="3"/>
  <c r="I62" i="3"/>
  <c r="E62" i="3"/>
  <c r="D62" i="3"/>
  <c r="C62" i="3"/>
  <c r="AB62" i="3" s="1"/>
  <c r="B62" i="3"/>
  <c r="A62" i="3"/>
  <c r="Z61" i="3"/>
  <c r="AA61" i="3" s="1"/>
  <c r="X61" i="3"/>
  <c r="Y61" i="3" s="1"/>
  <c r="T61" i="3"/>
  <c r="I61" i="3"/>
  <c r="E61" i="3"/>
  <c r="D61" i="3"/>
  <c r="C61" i="3"/>
  <c r="AB61" i="3" s="1"/>
  <c r="B61" i="3"/>
  <c r="A61" i="3"/>
  <c r="Z60" i="3"/>
  <c r="AA60" i="3" s="1"/>
  <c r="X60" i="3"/>
  <c r="Y60" i="3" s="1"/>
  <c r="T60" i="3"/>
  <c r="I60" i="3"/>
  <c r="E60" i="3"/>
  <c r="D60" i="3"/>
  <c r="C60" i="3"/>
  <c r="AB60" i="3" s="1"/>
  <c r="B60" i="3"/>
  <c r="A60" i="3"/>
  <c r="Z59" i="3"/>
  <c r="AA59" i="3" s="1"/>
  <c r="X59" i="3"/>
  <c r="Y59" i="3" s="1"/>
  <c r="T59" i="3"/>
  <c r="I59" i="3"/>
  <c r="E59" i="3"/>
  <c r="D59" i="3"/>
  <c r="C59" i="3"/>
  <c r="AB59" i="3" s="1"/>
  <c r="B59" i="3"/>
  <c r="A59" i="3"/>
  <c r="Z58" i="3"/>
  <c r="AA58" i="3" s="1"/>
  <c r="X58" i="3"/>
  <c r="Y58" i="3" s="1"/>
  <c r="T58" i="3"/>
  <c r="I58" i="3"/>
  <c r="E58" i="3"/>
  <c r="D58" i="3"/>
  <c r="C58" i="3"/>
  <c r="AB58" i="3" s="1"/>
  <c r="B58" i="3"/>
  <c r="A58" i="3"/>
  <c r="Z57" i="3"/>
  <c r="AA57" i="3" s="1"/>
  <c r="X57" i="3"/>
  <c r="Y57" i="3" s="1"/>
  <c r="T57" i="3"/>
  <c r="I57" i="3"/>
  <c r="E57" i="3"/>
  <c r="D57" i="3"/>
  <c r="C57" i="3"/>
  <c r="AB57" i="3" s="1"/>
  <c r="B57" i="3"/>
  <c r="A57" i="3"/>
  <c r="Z56" i="3"/>
  <c r="AA56" i="3" s="1"/>
  <c r="X56" i="3"/>
  <c r="Y56" i="3" s="1"/>
  <c r="T56" i="3"/>
  <c r="I56" i="3"/>
  <c r="E56" i="3"/>
  <c r="D56" i="3"/>
  <c r="C56" i="3"/>
  <c r="AB56" i="3" s="1"/>
  <c r="B56" i="3"/>
  <c r="A56" i="3"/>
  <c r="Z55" i="3"/>
  <c r="AA55" i="3" s="1"/>
  <c r="X55" i="3"/>
  <c r="Y55" i="3" s="1"/>
  <c r="T55" i="3"/>
  <c r="I55" i="3"/>
  <c r="E55" i="3"/>
  <c r="D55" i="3"/>
  <c r="C55" i="3"/>
  <c r="AB55" i="3" s="1"/>
  <c r="B55" i="3"/>
  <c r="A55" i="3"/>
  <c r="Z54" i="3"/>
  <c r="AA54" i="3" s="1"/>
  <c r="X54" i="3"/>
  <c r="Y54" i="3" s="1"/>
  <c r="T54" i="3"/>
  <c r="I54" i="3"/>
  <c r="E54" i="3"/>
  <c r="D54" i="3"/>
  <c r="C54" i="3"/>
  <c r="AB54" i="3" s="1"/>
  <c r="B54" i="3"/>
  <c r="A54" i="3"/>
  <c r="Z53" i="3"/>
  <c r="AA53" i="3" s="1"/>
  <c r="X53" i="3"/>
  <c r="Y53" i="3" s="1"/>
  <c r="T53" i="3"/>
  <c r="I53" i="3"/>
  <c r="E53" i="3"/>
  <c r="D53" i="3"/>
  <c r="C53" i="3"/>
  <c r="AB53" i="3" s="1"/>
  <c r="B53" i="3"/>
  <c r="A53" i="3"/>
  <c r="Z52" i="3"/>
  <c r="AA52" i="3" s="1"/>
  <c r="X52" i="3"/>
  <c r="Y52" i="3" s="1"/>
  <c r="T52" i="3"/>
  <c r="I52" i="3"/>
  <c r="E52" i="3"/>
  <c r="D52" i="3"/>
  <c r="C52" i="3"/>
  <c r="AB52" i="3" s="1"/>
  <c r="B52" i="3"/>
  <c r="A52" i="3"/>
  <c r="Z51" i="3"/>
  <c r="AA51" i="3" s="1"/>
  <c r="X51" i="3"/>
  <c r="Y51" i="3" s="1"/>
  <c r="T51" i="3"/>
  <c r="I51" i="3"/>
  <c r="E51" i="3"/>
  <c r="D51" i="3"/>
  <c r="C51" i="3"/>
  <c r="AB51" i="3" s="1"/>
  <c r="B51" i="3"/>
  <c r="A51" i="3"/>
  <c r="Z50" i="3"/>
  <c r="AA50" i="3" s="1"/>
  <c r="X50" i="3"/>
  <c r="Y50" i="3" s="1"/>
  <c r="T50" i="3"/>
  <c r="I50" i="3"/>
  <c r="E50" i="3"/>
  <c r="D50" i="3"/>
  <c r="C50" i="3"/>
  <c r="AB50" i="3" s="1"/>
  <c r="B50" i="3"/>
  <c r="A50" i="3"/>
  <c r="Z49" i="3"/>
  <c r="AA49" i="3" s="1"/>
  <c r="X49" i="3"/>
  <c r="Y49" i="3" s="1"/>
  <c r="T49" i="3"/>
  <c r="I49" i="3"/>
  <c r="E49" i="3"/>
  <c r="D49" i="3"/>
  <c r="C49" i="3"/>
  <c r="AB49" i="3" s="1"/>
  <c r="B49" i="3"/>
  <c r="A49" i="3"/>
  <c r="Z48" i="3"/>
  <c r="AA48" i="3" s="1"/>
  <c r="X48" i="3"/>
  <c r="Y48" i="3" s="1"/>
  <c r="T48" i="3"/>
  <c r="I48" i="3"/>
  <c r="E48" i="3"/>
  <c r="D48" i="3"/>
  <c r="C48" i="3"/>
  <c r="AB48" i="3" s="1"/>
  <c r="B48" i="3"/>
  <c r="A48" i="3"/>
  <c r="Z47" i="3"/>
  <c r="AA47" i="3" s="1"/>
  <c r="X47" i="3"/>
  <c r="Y47" i="3" s="1"/>
  <c r="T47" i="3"/>
  <c r="I47" i="3"/>
  <c r="E47" i="3"/>
  <c r="D47" i="3"/>
  <c r="C47" i="3"/>
  <c r="AB47" i="3" s="1"/>
  <c r="B47" i="3"/>
  <c r="A47" i="3"/>
  <c r="Z46" i="3"/>
  <c r="AA46" i="3" s="1"/>
  <c r="X46" i="3"/>
  <c r="Y46" i="3" s="1"/>
  <c r="T46" i="3"/>
  <c r="I46" i="3"/>
  <c r="E46" i="3"/>
  <c r="D46" i="3"/>
  <c r="C46" i="3"/>
  <c r="AB46" i="3" s="1"/>
  <c r="B46" i="3"/>
  <c r="A46" i="3"/>
  <c r="Z45" i="3"/>
  <c r="AA45" i="3" s="1"/>
  <c r="X45" i="3"/>
  <c r="Y45" i="3" s="1"/>
  <c r="T45" i="3"/>
  <c r="I45" i="3"/>
  <c r="E45" i="3"/>
  <c r="D45" i="3"/>
  <c r="C45" i="3"/>
  <c r="AB45" i="3" s="1"/>
  <c r="B45" i="3"/>
  <c r="A45" i="3"/>
  <c r="Z44" i="3"/>
  <c r="AA44" i="3" s="1"/>
  <c r="X44" i="3"/>
  <c r="Y44" i="3" s="1"/>
  <c r="T44" i="3"/>
  <c r="I44" i="3"/>
  <c r="E44" i="3"/>
  <c r="D44" i="3"/>
  <c r="C44" i="3"/>
  <c r="AB44" i="3" s="1"/>
  <c r="B44" i="3"/>
  <c r="A44" i="3"/>
  <c r="Z43" i="3"/>
  <c r="AA43" i="3" s="1"/>
  <c r="X43" i="3"/>
  <c r="Y43" i="3" s="1"/>
  <c r="T43" i="3"/>
  <c r="I43" i="3"/>
  <c r="E43" i="3"/>
  <c r="D43" i="3"/>
  <c r="C43" i="3"/>
  <c r="AB43" i="3" s="1"/>
  <c r="B43" i="3"/>
  <c r="A43" i="3"/>
  <c r="Z42" i="3"/>
  <c r="AA42" i="3" s="1"/>
  <c r="X42" i="3"/>
  <c r="Y42" i="3" s="1"/>
  <c r="T42" i="3"/>
  <c r="I42" i="3"/>
  <c r="E42" i="3"/>
  <c r="D42" i="3"/>
  <c r="C42" i="3"/>
  <c r="AB42" i="3" s="1"/>
  <c r="B42" i="3"/>
  <c r="A42" i="3"/>
  <c r="Z41" i="3"/>
  <c r="AA41" i="3" s="1"/>
  <c r="X41" i="3"/>
  <c r="Y41" i="3" s="1"/>
  <c r="T41" i="3"/>
  <c r="I41" i="3"/>
  <c r="E41" i="3"/>
  <c r="D41" i="3"/>
  <c r="C41" i="3"/>
  <c r="AB41" i="3" s="1"/>
  <c r="B41" i="3"/>
  <c r="A41" i="3"/>
  <c r="Z40" i="3"/>
  <c r="AA40" i="3" s="1"/>
  <c r="X40" i="3"/>
  <c r="Y40" i="3" s="1"/>
  <c r="T40" i="3"/>
  <c r="I40" i="3"/>
  <c r="E40" i="3"/>
  <c r="D40" i="3"/>
  <c r="C40" i="3"/>
  <c r="AB40" i="3" s="1"/>
  <c r="B40" i="3"/>
  <c r="A40" i="3"/>
  <c r="Z39" i="3"/>
  <c r="AA39" i="3" s="1"/>
  <c r="X39" i="3"/>
  <c r="Y39" i="3" s="1"/>
  <c r="T39" i="3"/>
  <c r="I39" i="3"/>
  <c r="E39" i="3"/>
  <c r="D39" i="3"/>
  <c r="C39" i="3"/>
  <c r="AB39" i="3" s="1"/>
  <c r="B39" i="3"/>
  <c r="A39" i="3"/>
  <c r="Z38" i="3"/>
  <c r="AA38" i="3" s="1"/>
  <c r="X38" i="3"/>
  <c r="Y38" i="3" s="1"/>
  <c r="T38" i="3"/>
  <c r="I38" i="3"/>
  <c r="E38" i="3"/>
  <c r="D38" i="3"/>
  <c r="C38" i="3"/>
  <c r="AB38" i="3" s="1"/>
  <c r="B38" i="3"/>
  <c r="A38" i="3"/>
  <c r="Z37" i="3"/>
  <c r="AA37" i="3" s="1"/>
  <c r="X37" i="3"/>
  <c r="Y37" i="3" s="1"/>
  <c r="T37" i="3"/>
  <c r="I37" i="3"/>
  <c r="E37" i="3"/>
  <c r="D37" i="3"/>
  <c r="C37" i="3"/>
  <c r="AB37" i="3" s="1"/>
  <c r="B37" i="3"/>
  <c r="A37" i="3"/>
  <c r="Z36" i="3"/>
  <c r="AA36" i="3" s="1"/>
  <c r="X36" i="3"/>
  <c r="Y36" i="3" s="1"/>
  <c r="T36" i="3"/>
  <c r="I36" i="3"/>
  <c r="E36" i="3"/>
  <c r="D36" i="3"/>
  <c r="C36" i="3"/>
  <c r="AB36" i="3" s="1"/>
  <c r="B36" i="3"/>
  <c r="A36" i="3"/>
  <c r="Z35" i="3"/>
  <c r="AA35" i="3" s="1"/>
  <c r="X35" i="3"/>
  <c r="Y35" i="3" s="1"/>
  <c r="T35" i="3"/>
  <c r="I35" i="3"/>
  <c r="E35" i="3"/>
  <c r="D35" i="3"/>
  <c r="C35" i="3"/>
  <c r="AB35" i="3" s="1"/>
  <c r="B35" i="3"/>
  <c r="A35" i="3"/>
  <c r="Z34" i="3"/>
  <c r="AA34" i="3" s="1"/>
  <c r="X34" i="3"/>
  <c r="Y34" i="3" s="1"/>
  <c r="T34" i="3"/>
  <c r="I34" i="3"/>
  <c r="E34" i="3"/>
  <c r="D34" i="3"/>
  <c r="C34" i="3"/>
  <c r="AB34" i="3" s="1"/>
  <c r="B34" i="3"/>
  <c r="A34" i="3"/>
  <c r="Z33" i="3"/>
  <c r="AA33" i="3" s="1"/>
  <c r="X33" i="3"/>
  <c r="Y33" i="3" s="1"/>
  <c r="T33" i="3"/>
  <c r="I33" i="3"/>
  <c r="E33" i="3"/>
  <c r="D33" i="3"/>
  <c r="C33" i="3"/>
  <c r="AB33" i="3" s="1"/>
  <c r="B33" i="3"/>
  <c r="A33" i="3"/>
  <c r="Z32" i="3"/>
  <c r="AA32" i="3" s="1"/>
  <c r="X32" i="3"/>
  <c r="Y32" i="3" s="1"/>
  <c r="T32" i="3"/>
  <c r="I32" i="3"/>
  <c r="E32" i="3"/>
  <c r="D32" i="3"/>
  <c r="C32" i="3"/>
  <c r="AB32" i="3" s="1"/>
  <c r="B32" i="3"/>
  <c r="A32" i="3"/>
  <c r="Z31" i="3"/>
  <c r="AA31" i="3" s="1"/>
  <c r="X31" i="3"/>
  <c r="Y31" i="3" s="1"/>
  <c r="T31" i="3"/>
  <c r="I31" i="3"/>
  <c r="E31" i="3"/>
  <c r="D31" i="3"/>
  <c r="C31" i="3"/>
  <c r="AB31" i="3" s="1"/>
  <c r="B31" i="3"/>
  <c r="A31" i="3"/>
  <c r="Z30" i="3"/>
  <c r="AA30" i="3" s="1"/>
  <c r="X30" i="3"/>
  <c r="Y30" i="3" s="1"/>
  <c r="T30" i="3"/>
  <c r="I30" i="3"/>
  <c r="E30" i="3"/>
  <c r="D30" i="3"/>
  <c r="C30" i="3"/>
  <c r="AB30" i="3" s="1"/>
  <c r="B30" i="3"/>
  <c r="A30" i="3"/>
  <c r="Z29" i="3"/>
  <c r="AA29" i="3" s="1"/>
  <c r="X29" i="3"/>
  <c r="Y29" i="3" s="1"/>
  <c r="T29" i="3"/>
  <c r="I29" i="3"/>
  <c r="E29" i="3"/>
  <c r="D29" i="3"/>
  <c r="C29" i="3"/>
  <c r="AB29" i="3" s="1"/>
  <c r="B29" i="3"/>
  <c r="A29" i="3"/>
  <c r="Z28" i="3"/>
  <c r="AA28" i="3" s="1"/>
  <c r="X28" i="3"/>
  <c r="Y28" i="3" s="1"/>
  <c r="T28" i="3"/>
  <c r="I28" i="3"/>
  <c r="E28" i="3"/>
  <c r="D28" i="3"/>
  <c r="C28" i="3"/>
  <c r="AB28" i="3" s="1"/>
  <c r="B28" i="3"/>
  <c r="A28" i="3"/>
  <c r="Z27" i="3"/>
  <c r="AA27" i="3" s="1"/>
  <c r="X27" i="3"/>
  <c r="Y27" i="3" s="1"/>
  <c r="T27" i="3"/>
  <c r="I27" i="3"/>
  <c r="E27" i="3"/>
  <c r="D27" i="3"/>
  <c r="C27" i="3"/>
  <c r="AB27" i="3" s="1"/>
  <c r="B27" i="3"/>
  <c r="A27" i="3"/>
  <c r="Z26" i="3"/>
  <c r="AA26" i="3" s="1"/>
  <c r="X26" i="3"/>
  <c r="Y26" i="3" s="1"/>
  <c r="T26" i="3"/>
  <c r="I26" i="3"/>
  <c r="E26" i="3"/>
  <c r="D26" i="3"/>
  <c r="C26" i="3"/>
  <c r="AB26" i="3" s="1"/>
  <c r="B26" i="3"/>
  <c r="A26" i="3"/>
  <c r="Z25" i="3"/>
  <c r="AA25" i="3" s="1"/>
  <c r="X25" i="3"/>
  <c r="Y25" i="3" s="1"/>
  <c r="T25" i="3"/>
  <c r="I25" i="3"/>
  <c r="E25" i="3"/>
  <c r="D25" i="3"/>
  <c r="C25" i="3"/>
  <c r="AB25" i="3" s="1"/>
  <c r="B25" i="3"/>
  <c r="A25" i="3"/>
  <c r="Z24" i="3"/>
  <c r="AA24" i="3" s="1"/>
  <c r="X24" i="3"/>
  <c r="Y24" i="3" s="1"/>
  <c r="T24" i="3"/>
  <c r="I24" i="3"/>
  <c r="E24" i="3"/>
  <c r="D24" i="3"/>
  <c r="C24" i="3"/>
  <c r="AB24" i="3" s="1"/>
  <c r="B24" i="3"/>
  <c r="A24" i="3"/>
  <c r="Z23" i="3"/>
  <c r="AA23" i="3" s="1"/>
  <c r="X23" i="3"/>
  <c r="Y23" i="3" s="1"/>
  <c r="T23" i="3"/>
  <c r="I23" i="3"/>
  <c r="E23" i="3"/>
  <c r="D23" i="3"/>
  <c r="C23" i="3"/>
  <c r="AB23" i="3" s="1"/>
  <c r="B23" i="3"/>
  <c r="A23" i="3"/>
  <c r="Z22" i="3"/>
  <c r="AA22" i="3" s="1"/>
  <c r="X22" i="3"/>
  <c r="Y22" i="3" s="1"/>
  <c r="T22" i="3"/>
  <c r="I22" i="3"/>
  <c r="E22" i="3"/>
  <c r="D22" i="3"/>
  <c r="C22" i="3"/>
  <c r="AB22" i="3" s="1"/>
  <c r="B22" i="3"/>
  <c r="A22" i="3"/>
  <c r="Z21" i="3"/>
  <c r="AA21" i="3" s="1"/>
  <c r="X21" i="3"/>
  <c r="Y21" i="3" s="1"/>
  <c r="T21" i="3"/>
  <c r="I21" i="3"/>
  <c r="E21" i="3"/>
  <c r="D21" i="3"/>
  <c r="C21" i="3"/>
  <c r="AB21" i="3" s="1"/>
  <c r="B21" i="3"/>
  <c r="A21" i="3"/>
  <c r="Z20" i="3"/>
  <c r="AA20" i="3" s="1"/>
  <c r="X20" i="3"/>
  <c r="Y20" i="3" s="1"/>
  <c r="T20" i="3"/>
  <c r="I20" i="3"/>
  <c r="E20" i="3"/>
  <c r="D20" i="3"/>
  <c r="C20" i="3"/>
  <c r="AB20" i="3" s="1"/>
  <c r="B20" i="3"/>
  <c r="A20" i="3"/>
  <c r="Z19" i="3"/>
  <c r="AA19" i="3" s="1"/>
  <c r="X19" i="3"/>
  <c r="Y19" i="3" s="1"/>
  <c r="T19" i="3"/>
  <c r="I19" i="3"/>
  <c r="E19" i="3"/>
  <c r="D19" i="3"/>
  <c r="C19" i="3"/>
  <c r="AB19" i="3" s="1"/>
  <c r="B19" i="3"/>
  <c r="A19" i="3"/>
  <c r="Z18" i="3"/>
  <c r="AA18" i="3" s="1"/>
  <c r="X18" i="3"/>
  <c r="Y18" i="3" s="1"/>
  <c r="T18" i="3"/>
  <c r="I18" i="3"/>
  <c r="E18" i="3"/>
  <c r="D18" i="3"/>
  <c r="C18" i="3"/>
  <c r="AB18" i="3" s="1"/>
  <c r="B18" i="3"/>
  <c r="A18" i="3"/>
  <c r="Z17" i="3"/>
  <c r="AA17" i="3" s="1"/>
  <c r="X17" i="3"/>
  <c r="Y17" i="3" s="1"/>
  <c r="T17" i="3"/>
  <c r="I17" i="3"/>
  <c r="E17" i="3"/>
  <c r="D17" i="3"/>
  <c r="C17" i="3"/>
  <c r="AB17" i="3" s="1"/>
  <c r="B17" i="3"/>
  <c r="A17" i="3"/>
  <c r="Z16" i="3"/>
  <c r="AA16" i="3" s="1"/>
  <c r="X16" i="3"/>
  <c r="Y16" i="3" s="1"/>
  <c r="T16" i="3"/>
  <c r="I16" i="3"/>
  <c r="E16" i="3"/>
  <c r="D16" i="3"/>
  <c r="C16" i="3"/>
  <c r="AB16" i="3" s="1"/>
  <c r="B16" i="3"/>
  <c r="A16" i="3"/>
  <c r="Z15" i="3"/>
  <c r="AA15" i="3" s="1"/>
  <c r="X15" i="3"/>
  <c r="Y15" i="3" s="1"/>
  <c r="T15" i="3"/>
  <c r="I15" i="3"/>
  <c r="E15" i="3"/>
  <c r="D15" i="3"/>
  <c r="C15" i="3"/>
  <c r="AB15" i="3" s="1"/>
  <c r="B15" i="3"/>
  <c r="A15" i="3"/>
  <c r="Z14" i="3"/>
  <c r="AA14" i="3" s="1"/>
  <c r="X14" i="3"/>
  <c r="Y14" i="3" s="1"/>
  <c r="T14" i="3"/>
  <c r="I14" i="3"/>
  <c r="E14" i="3"/>
  <c r="D14" i="3"/>
  <c r="C14" i="3"/>
  <c r="AB14" i="3" s="1"/>
  <c r="B14" i="3"/>
  <c r="A14" i="3"/>
  <c r="Z13" i="3"/>
  <c r="AA13" i="3" s="1"/>
  <c r="X13" i="3"/>
  <c r="Y13" i="3" s="1"/>
  <c r="T13" i="3"/>
  <c r="I13" i="3"/>
  <c r="E13" i="3"/>
  <c r="D13" i="3"/>
  <c r="C13" i="3"/>
  <c r="AB13" i="3" s="1"/>
  <c r="B13" i="3"/>
  <c r="A13" i="3"/>
  <c r="Z12" i="3"/>
  <c r="AA12" i="3" s="1"/>
  <c r="X12" i="3"/>
  <c r="Y12" i="3" s="1"/>
  <c r="T12" i="3"/>
  <c r="I12" i="3"/>
  <c r="E12" i="3"/>
  <c r="D12" i="3"/>
  <c r="C12" i="3"/>
  <c r="AB12" i="3" s="1"/>
  <c r="B12" i="3"/>
  <c r="A12" i="3"/>
  <c r="Z11" i="3"/>
  <c r="AA11" i="3" s="1"/>
  <c r="X11" i="3"/>
  <c r="Y11" i="3" s="1"/>
  <c r="T11" i="3"/>
  <c r="I11" i="3"/>
  <c r="E11" i="3"/>
  <c r="D11" i="3"/>
  <c r="C11" i="3"/>
  <c r="AB11" i="3" s="1"/>
  <c r="B11" i="3"/>
  <c r="A11" i="3"/>
  <c r="Z10" i="3"/>
  <c r="AA10" i="3" s="1"/>
  <c r="X10" i="3"/>
  <c r="Y10" i="3" s="1"/>
  <c r="T10" i="3"/>
  <c r="I10" i="3"/>
  <c r="E10" i="3"/>
  <c r="D10" i="3"/>
  <c r="C10" i="3"/>
  <c r="AB10" i="3" s="1"/>
  <c r="B10" i="3"/>
  <c r="A10" i="3"/>
  <c r="Z9" i="3"/>
  <c r="AA9" i="3" s="1"/>
  <c r="X9" i="3"/>
  <c r="Y9" i="3" s="1"/>
  <c r="T9" i="3"/>
  <c r="I9" i="3"/>
  <c r="E9" i="3"/>
  <c r="D9" i="3"/>
  <c r="C9" i="3"/>
  <c r="AB9" i="3" s="1"/>
  <c r="B9" i="3"/>
  <c r="A9" i="3"/>
  <c r="Z8" i="3"/>
  <c r="AA8" i="3" s="1"/>
  <c r="X8" i="3"/>
  <c r="Y8" i="3" s="1"/>
  <c r="T8" i="3"/>
  <c r="I8" i="3"/>
  <c r="E8" i="3"/>
  <c r="D8" i="3"/>
  <c r="C8" i="3"/>
  <c r="AB8" i="3" s="1"/>
  <c r="B8" i="3"/>
  <c r="A8" i="3"/>
  <c r="Z7" i="3"/>
  <c r="AA7" i="3" s="1"/>
  <c r="X7" i="3"/>
  <c r="Y7" i="3" s="1"/>
  <c r="T7" i="3"/>
  <c r="I7" i="3"/>
  <c r="E7" i="3"/>
  <c r="D7" i="3"/>
  <c r="C7" i="3"/>
  <c r="AB7" i="3" s="1"/>
  <c r="B7" i="3"/>
  <c r="A7" i="3"/>
  <c r="Z6" i="3"/>
  <c r="AA6" i="3" s="1"/>
  <c r="X6" i="3"/>
  <c r="Y6" i="3" s="1"/>
  <c r="T6" i="3"/>
  <c r="I6" i="3"/>
  <c r="E6" i="3"/>
  <c r="D6" i="3"/>
  <c r="C6" i="3"/>
  <c r="AB6" i="3" s="1"/>
  <c r="B6" i="3"/>
  <c r="A6" i="3"/>
  <c r="Z5" i="3"/>
  <c r="AA5" i="3" s="1"/>
  <c r="X5" i="3"/>
  <c r="Y5" i="3" s="1"/>
  <c r="T5" i="3"/>
  <c r="I5" i="3"/>
  <c r="E5" i="3"/>
  <c r="D5" i="3"/>
  <c r="C5" i="3"/>
  <c r="AB5" i="3" s="1"/>
  <c r="B5" i="3"/>
  <c r="A5" i="3"/>
  <c r="Z4" i="3"/>
  <c r="AA4" i="3" s="1"/>
  <c r="X4" i="3"/>
  <c r="Y4" i="3" s="1"/>
  <c r="T4" i="3"/>
  <c r="I4" i="3"/>
  <c r="E4" i="3"/>
  <c r="D4" i="3"/>
  <c r="C4" i="3"/>
  <c r="AB4" i="3" s="1"/>
  <c r="B4" i="3"/>
  <c r="A4" i="3"/>
  <c r="Z3" i="3"/>
  <c r="AA3" i="3" s="1"/>
  <c r="X3" i="3"/>
  <c r="Y3" i="3" s="1"/>
  <c r="T3" i="3"/>
  <c r="I3" i="3"/>
  <c r="E3" i="3"/>
  <c r="D3" i="3"/>
  <c r="C3" i="3"/>
  <c r="AB3" i="3" s="1"/>
  <c r="B3" i="3"/>
  <c r="A3" i="3"/>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54" i="2"/>
  <c r="U47" i="2"/>
  <c r="U72" i="2"/>
  <c r="U18" i="2"/>
  <c r="U22" i="2"/>
  <c r="U35" i="2"/>
  <c r="U26" i="2"/>
  <c r="U60" i="2"/>
  <c r="U9" i="2"/>
  <c r="U38" i="2"/>
  <c r="U10" i="2"/>
  <c r="U8" i="2"/>
  <c r="U37" i="2"/>
  <c r="U36" i="2"/>
  <c r="U7" i="2"/>
  <c r="U34" i="2"/>
  <c r="U45" i="2"/>
  <c r="U49" i="2"/>
  <c r="U44" i="2"/>
  <c r="U12" i="2"/>
  <c r="U11" i="2"/>
  <c r="U41" i="2"/>
  <c r="U106" i="2"/>
  <c r="U43" i="2"/>
  <c r="U71" i="2"/>
  <c r="U70" i="2"/>
  <c r="U4" i="2"/>
  <c r="U42" i="2"/>
  <c r="U25" i="2"/>
  <c r="U105" i="2"/>
  <c r="U21" i="2"/>
  <c r="U32" i="2"/>
  <c r="U17" i="2"/>
  <c r="U30" i="2"/>
  <c r="U16" i="2"/>
  <c r="U104" i="2"/>
  <c r="U103" i="2"/>
  <c r="U102" i="2"/>
  <c r="U31" i="2"/>
  <c r="U27" i="2"/>
  <c r="U69" i="2"/>
  <c r="U68" i="2"/>
  <c r="U67" i="2"/>
  <c r="U66" i="2"/>
  <c r="U50" i="2"/>
  <c r="U101" i="2"/>
  <c r="U53" i="2"/>
  <c r="U52" i="2"/>
  <c r="U48" i="2"/>
  <c r="U100" i="2"/>
  <c r="U46" i="2"/>
  <c r="U51" i="2"/>
  <c r="U99" i="2"/>
  <c r="U65" i="2"/>
  <c r="U5" i="2"/>
  <c r="U13" i="2"/>
  <c r="U6" i="2"/>
  <c r="U15" i="2"/>
  <c r="U98" i="2"/>
  <c r="U97" i="2"/>
  <c r="U96" i="2"/>
  <c r="U95" i="2"/>
  <c r="U94" i="2"/>
  <c r="U93" i="2"/>
  <c r="U92" i="2"/>
  <c r="U91" i="2"/>
  <c r="U90" i="2"/>
  <c r="U89" i="2"/>
  <c r="U88" i="2"/>
  <c r="U87" i="2"/>
  <c r="U86" i="2"/>
  <c r="U85" i="2"/>
  <c r="U20" i="2"/>
  <c r="U84" i="2"/>
  <c r="U83" i="2"/>
  <c r="U40" i="2"/>
  <c r="U29" i="2"/>
  <c r="U82" i="2"/>
  <c r="U81" i="2"/>
  <c r="U80" i="2"/>
  <c r="U79" i="2"/>
  <c r="U39" i="2"/>
  <c r="U24" i="2"/>
  <c r="U19" i="2"/>
  <c r="U33" i="2"/>
  <c r="U78" i="2"/>
  <c r="U77" i="2"/>
  <c r="U76" i="2"/>
  <c r="U75" i="2"/>
  <c r="U74" i="2"/>
  <c r="U23" i="2"/>
  <c r="U64" i="2"/>
  <c r="U56" i="2"/>
  <c r="U55" i="2"/>
  <c r="U57" i="2"/>
  <c r="U58" i="2"/>
  <c r="U59" i="2"/>
  <c r="AJ9" i="2" a="1"/>
  <c r="AJ9" i="2" s="1"/>
  <c r="U73" i="2"/>
  <c r="U61" i="2"/>
  <c r="U28" i="2"/>
  <c r="U14" i="2"/>
  <c r="U63" i="2"/>
  <c r="U62" i="2"/>
  <c r="V1" i="2"/>
  <c r="T1" i="2"/>
  <c r="S1" i="2"/>
  <c r="R1" i="2"/>
  <c r="Q1" i="2"/>
  <c r="P1" i="2"/>
  <c r="O1" i="2"/>
  <c r="N1" i="2"/>
  <c r="M1" i="2"/>
  <c r="L1" i="2"/>
  <c r="K1" i="2"/>
  <c r="E1" i="7" l="1"/>
  <c r="U1" i="2"/>
  <c r="C1" i="7"/>
  <c r="D1" i="7"/>
  <c r="H3" i="3"/>
  <c r="G3" i="3"/>
  <c r="F3" i="3" a="1"/>
  <c r="F3" i="3" s="1"/>
  <c r="M3" i="3" a="1"/>
  <c r="M3" i="3" s="1"/>
  <c r="N3" i="3" s="1" a="1"/>
  <c r="N3" i="3" s="1"/>
  <c r="L3" i="3"/>
  <c r="K3" i="3"/>
  <c r="J3" i="3"/>
  <c r="W3" i="3"/>
  <c r="V3" i="3"/>
  <c r="U3" i="3"/>
  <c r="H4" i="3"/>
  <c r="G4" i="3"/>
  <c r="F4" i="3" a="1"/>
  <c r="F4" i="3" s="1"/>
  <c r="M4" i="3" a="1"/>
  <c r="M4" i="3" s="1"/>
  <c r="N4" i="3" s="1" a="1"/>
  <c r="N4" i="3" s="1"/>
  <c r="P4" i="3" s="1"/>
  <c r="L4" i="3"/>
  <c r="K4" i="3"/>
  <c r="J4" i="3"/>
  <c r="W4" i="3"/>
  <c r="V4" i="3"/>
  <c r="U4" i="3"/>
  <c r="H5" i="3"/>
  <c r="G5" i="3"/>
  <c r="F5" i="3" a="1"/>
  <c r="F5" i="3" s="1"/>
  <c r="M5" i="3" a="1"/>
  <c r="M5" i="3" s="1"/>
  <c r="N5" i="3" s="1" a="1"/>
  <c r="N5" i="3" s="1"/>
  <c r="Q5" i="3" s="1"/>
  <c r="L5" i="3"/>
  <c r="K5" i="3"/>
  <c r="J5" i="3"/>
  <c r="W5" i="3"/>
  <c r="V5" i="3"/>
  <c r="U5" i="3"/>
  <c r="H6" i="3"/>
  <c r="G6" i="3"/>
  <c r="F6" i="3" a="1"/>
  <c r="F6" i="3" s="1"/>
  <c r="M6" i="3" a="1"/>
  <c r="M6" i="3" s="1"/>
  <c r="N6" i="3" s="1" a="1"/>
  <c r="N6" i="3" s="1"/>
  <c r="Q6" i="3" s="1"/>
  <c r="L6" i="3"/>
  <c r="K6" i="3"/>
  <c r="J6" i="3"/>
  <c r="W6" i="3"/>
  <c r="V6" i="3"/>
  <c r="U6" i="3"/>
  <c r="H7" i="3"/>
  <c r="G7" i="3"/>
  <c r="F7" i="3" a="1"/>
  <c r="F7" i="3" s="1"/>
  <c r="M7" i="3" a="1"/>
  <c r="M7" i="3" s="1"/>
  <c r="N7" i="3" s="1" a="1"/>
  <c r="N7" i="3" s="1"/>
  <c r="Q7" i="3" s="1"/>
  <c r="L7" i="3"/>
  <c r="K7" i="3"/>
  <c r="J7" i="3"/>
  <c r="W7" i="3"/>
  <c r="V7" i="3"/>
  <c r="U7" i="3"/>
  <c r="H8" i="3"/>
  <c r="G8" i="3"/>
  <c r="F8" i="3" a="1"/>
  <c r="F8" i="3" s="1"/>
  <c r="M8" i="3" a="1"/>
  <c r="M8" i="3" s="1"/>
  <c r="N8" i="3" s="1" a="1"/>
  <c r="N8" i="3" s="1"/>
  <c r="L8" i="3"/>
  <c r="K8" i="3"/>
  <c r="J8" i="3"/>
  <c r="W8" i="3"/>
  <c r="V8" i="3"/>
  <c r="U8" i="3"/>
  <c r="H9" i="3"/>
  <c r="G9" i="3"/>
  <c r="F9" i="3" a="1"/>
  <c r="F9" i="3" s="1"/>
  <c r="M9" i="3" a="1"/>
  <c r="M9" i="3" s="1"/>
  <c r="N9" i="3" s="1" a="1"/>
  <c r="N9" i="3" s="1"/>
  <c r="L9" i="3"/>
  <c r="K9" i="3"/>
  <c r="J9" i="3"/>
  <c r="W9" i="3"/>
  <c r="V9" i="3"/>
  <c r="U9" i="3"/>
  <c r="H10" i="3"/>
  <c r="G10" i="3"/>
  <c r="F10" i="3" a="1"/>
  <c r="F10" i="3" s="1"/>
  <c r="M10" i="3" a="1"/>
  <c r="M10" i="3" s="1"/>
  <c r="N10" i="3" s="1" a="1"/>
  <c r="N10" i="3" s="1"/>
  <c r="Q10" i="3" s="1"/>
  <c r="L10" i="3"/>
  <c r="K10" i="3"/>
  <c r="J10" i="3"/>
  <c r="W10" i="3"/>
  <c r="V10" i="3"/>
  <c r="U10" i="3"/>
  <c r="H11" i="3"/>
  <c r="G11" i="3"/>
  <c r="F11" i="3" a="1"/>
  <c r="F11" i="3" s="1"/>
  <c r="M11" i="3" a="1"/>
  <c r="M11" i="3" s="1"/>
  <c r="N11" i="3" s="1" a="1"/>
  <c r="N11" i="3" s="1"/>
  <c r="Q11" i="3" s="1"/>
  <c r="L11" i="3"/>
  <c r="K11" i="3"/>
  <c r="J11" i="3"/>
  <c r="W11" i="3"/>
  <c r="V11" i="3"/>
  <c r="U11" i="3"/>
  <c r="H12" i="3"/>
  <c r="G12" i="3"/>
  <c r="F12" i="3" a="1"/>
  <c r="F12" i="3" s="1"/>
  <c r="M12" i="3" a="1"/>
  <c r="M12" i="3" s="1"/>
  <c r="N12" i="3" s="1" a="1"/>
  <c r="N12" i="3" s="1"/>
  <c r="Q12" i="3" s="1"/>
  <c r="L12" i="3"/>
  <c r="K12" i="3"/>
  <c r="J12" i="3"/>
  <c r="W12" i="3"/>
  <c r="V12" i="3"/>
  <c r="U12" i="3"/>
  <c r="H13" i="3"/>
  <c r="G13" i="3"/>
  <c r="F13" i="3" a="1"/>
  <c r="F13" i="3" s="1"/>
  <c r="M13" i="3" a="1"/>
  <c r="M13" i="3" s="1"/>
  <c r="N13" i="3" s="1" a="1"/>
  <c r="N13" i="3" s="1"/>
  <c r="Q13" i="3" s="1"/>
  <c r="L13" i="3"/>
  <c r="K13" i="3"/>
  <c r="J13" i="3"/>
  <c r="W13" i="3"/>
  <c r="V13" i="3"/>
  <c r="U13" i="3"/>
  <c r="H14" i="3"/>
  <c r="G14" i="3"/>
  <c r="F14" i="3" a="1"/>
  <c r="F14" i="3" s="1"/>
  <c r="M14" i="3" a="1"/>
  <c r="M14" i="3" s="1"/>
  <c r="N14" i="3" s="1" a="1"/>
  <c r="N14" i="3" s="1"/>
  <c r="Q14" i="3" s="1"/>
  <c r="L14" i="3"/>
  <c r="K14" i="3"/>
  <c r="J14" i="3"/>
  <c r="W14" i="3"/>
  <c r="V14" i="3"/>
  <c r="U14" i="3"/>
  <c r="H15" i="3"/>
  <c r="G15" i="3"/>
  <c r="F15" i="3" a="1"/>
  <c r="F15" i="3" s="1"/>
  <c r="M15" i="3" a="1"/>
  <c r="M15" i="3" s="1"/>
  <c r="N15" i="3" s="1" a="1"/>
  <c r="N15" i="3" s="1"/>
  <c r="Q15" i="3" s="1"/>
  <c r="L15" i="3"/>
  <c r="K15" i="3"/>
  <c r="J15" i="3"/>
  <c r="W15" i="3"/>
  <c r="V15" i="3"/>
  <c r="U15" i="3"/>
  <c r="H16" i="3"/>
  <c r="G16" i="3"/>
  <c r="F16" i="3" a="1"/>
  <c r="F16" i="3" s="1"/>
  <c r="M16" i="3" a="1"/>
  <c r="M16" i="3" s="1"/>
  <c r="N16" i="3" s="1" a="1"/>
  <c r="N16" i="3" s="1"/>
  <c r="Q16" i="3" s="1"/>
  <c r="L16" i="3"/>
  <c r="K16" i="3"/>
  <c r="J16" i="3"/>
  <c r="W16" i="3"/>
  <c r="V16" i="3"/>
  <c r="U16" i="3"/>
  <c r="H17" i="3"/>
  <c r="G17" i="3"/>
  <c r="F17" i="3" a="1"/>
  <c r="F17" i="3" s="1"/>
  <c r="M17" i="3" a="1"/>
  <c r="M17" i="3" s="1"/>
  <c r="N17" i="3" s="1" a="1"/>
  <c r="N17" i="3" s="1"/>
  <c r="Q17" i="3" s="1"/>
  <c r="L17" i="3"/>
  <c r="K17" i="3"/>
  <c r="J17" i="3"/>
  <c r="W17" i="3"/>
  <c r="V17" i="3"/>
  <c r="U17" i="3"/>
  <c r="H18" i="3"/>
  <c r="G18" i="3"/>
  <c r="F18" i="3" a="1"/>
  <c r="F18" i="3" s="1"/>
  <c r="M18" i="3" a="1"/>
  <c r="M18" i="3" s="1"/>
  <c r="N18" i="3" s="1" a="1"/>
  <c r="N18" i="3" s="1"/>
  <c r="Q18" i="3" s="1"/>
  <c r="L18" i="3"/>
  <c r="K18" i="3"/>
  <c r="J18" i="3"/>
  <c r="W18" i="3"/>
  <c r="V18" i="3"/>
  <c r="U18" i="3"/>
  <c r="H19" i="3"/>
  <c r="G19" i="3"/>
  <c r="F19" i="3" a="1"/>
  <c r="F19" i="3" s="1"/>
  <c r="M19" i="3" a="1"/>
  <c r="M19" i="3" s="1"/>
  <c r="N19" i="3" s="1" a="1"/>
  <c r="N19" i="3" s="1"/>
  <c r="Q19" i="3" s="1"/>
  <c r="L19" i="3"/>
  <c r="K19" i="3"/>
  <c r="J19" i="3"/>
  <c r="W19" i="3"/>
  <c r="V19" i="3"/>
  <c r="U19" i="3"/>
  <c r="H20" i="3"/>
  <c r="G20" i="3"/>
  <c r="F20" i="3" a="1"/>
  <c r="F20" i="3" s="1"/>
  <c r="M20" i="3" a="1"/>
  <c r="M20" i="3" s="1"/>
  <c r="N20" i="3" s="1" a="1"/>
  <c r="N20" i="3" s="1"/>
  <c r="Q20" i="3" s="1"/>
  <c r="L20" i="3"/>
  <c r="K20" i="3"/>
  <c r="J20" i="3"/>
  <c r="W20" i="3"/>
  <c r="V20" i="3"/>
  <c r="U20" i="3"/>
  <c r="H21" i="3"/>
  <c r="G21" i="3"/>
  <c r="F21" i="3" a="1"/>
  <c r="F21" i="3" s="1"/>
  <c r="M21" i="3" a="1"/>
  <c r="M21" i="3" s="1"/>
  <c r="N21" i="3" s="1" a="1"/>
  <c r="N21" i="3" s="1"/>
  <c r="Q21" i="3" s="1"/>
  <c r="L21" i="3"/>
  <c r="K21" i="3"/>
  <c r="J21" i="3"/>
  <c r="W21" i="3"/>
  <c r="V21" i="3"/>
  <c r="U21" i="3"/>
  <c r="H22" i="3"/>
  <c r="G22" i="3"/>
  <c r="F22" i="3" a="1"/>
  <c r="F22" i="3" s="1"/>
  <c r="M22" i="3" a="1"/>
  <c r="M22" i="3" s="1"/>
  <c r="N22" i="3" s="1" a="1"/>
  <c r="N22" i="3" s="1"/>
  <c r="Q22" i="3" s="1"/>
  <c r="L22" i="3"/>
  <c r="K22" i="3"/>
  <c r="J22" i="3"/>
  <c r="W22" i="3"/>
  <c r="V22" i="3"/>
  <c r="U22" i="3"/>
  <c r="H23" i="3"/>
  <c r="G23" i="3"/>
  <c r="F23" i="3" a="1"/>
  <c r="F23" i="3" s="1"/>
  <c r="M23" i="3" a="1"/>
  <c r="M23" i="3" s="1"/>
  <c r="N23" i="3" s="1" a="1"/>
  <c r="N23" i="3" s="1"/>
  <c r="Q23" i="3" s="1"/>
  <c r="L23" i="3"/>
  <c r="K23" i="3"/>
  <c r="J23" i="3"/>
  <c r="W23" i="3"/>
  <c r="V23" i="3"/>
  <c r="U23" i="3"/>
  <c r="H24" i="3"/>
  <c r="G24" i="3"/>
  <c r="F24" i="3" a="1"/>
  <c r="F24" i="3" s="1"/>
  <c r="M24" i="3" a="1"/>
  <c r="M24" i="3" s="1"/>
  <c r="N24" i="3" s="1" a="1"/>
  <c r="N24" i="3" s="1"/>
  <c r="Q24" i="3" s="1"/>
  <c r="L24" i="3"/>
  <c r="K24" i="3"/>
  <c r="J24" i="3"/>
  <c r="W24" i="3"/>
  <c r="V24" i="3"/>
  <c r="U24" i="3"/>
  <c r="H25" i="3"/>
  <c r="G25" i="3"/>
  <c r="F25" i="3" a="1"/>
  <c r="F25" i="3" s="1"/>
  <c r="M25" i="3" a="1"/>
  <c r="M25" i="3" s="1"/>
  <c r="N25" i="3" s="1" a="1"/>
  <c r="N25" i="3" s="1"/>
  <c r="Q25" i="3" s="1"/>
  <c r="L25" i="3"/>
  <c r="K25" i="3"/>
  <c r="J25" i="3"/>
  <c r="W25" i="3"/>
  <c r="V25" i="3"/>
  <c r="U25" i="3"/>
  <c r="H26" i="3"/>
  <c r="G26" i="3"/>
  <c r="F26" i="3" a="1"/>
  <c r="F26" i="3" s="1"/>
  <c r="M26" i="3" a="1"/>
  <c r="M26" i="3" s="1"/>
  <c r="N26" i="3" s="1" a="1"/>
  <c r="N26" i="3" s="1"/>
  <c r="Q26" i="3" s="1"/>
  <c r="L26" i="3"/>
  <c r="K26" i="3"/>
  <c r="J26" i="3"/>
  <c r="W26" i="3"/>
  <c r="V26" i="3"/>
  <c r="U26" i="3"/>
  <c r="H27" i="3"/>
  <c r="G27" i="3"/>
  <c r="F27" i="3" a="1"/>
  <c r="F27" i="3" s="1"/>
  <c r="M27" i="3" a="1"/>
  <c r="M27" i="3" s="1"/>
  <c r="N27" i="3" s="1" a="1"/>
  <c r="N27" i="3" s="1"/>
  <c r="Q27" i="3" s="1"/>
  <c r="L27" i="3"/>
  <c r="K27" i="3"/>
  <c r="J27" i="3"/>
  <c r="W27" i="3"/>
  <c r="V27" i="3"/>
  <c r="U27" i="3"/>
  <c r="H28" i="3"/>
  <c r="G28" i="3"/>
  <c r="F28" i="3" a="1"/>
  <c r="F28" i="3" s="1"/>
  <c r="M28" i="3" a="1"/>
  <c r="M28" i="3" s="1"/>
  <c r="N28" i="3" s="1" a="1"/>
  <c r="N28" i="3" s="1"/>
  <c r="Q28" i="3" s="1"/>
  <c r="L28" i="3"/>
  <c r="K28" i="3"/>
  <c r="J28" i="3"/>
  <c r="W28" i="3"/>
  <c r="V28" i="3"/>
  <c r="U28" i="3"/>
  <c r="H29" i="3"/>
  <c r="G29" i="3"/>
  <c r="F29" i="3" a="1"/>
  <c r="F29" i="3" s="1"/>
  <c r="M29" i="3" a="1"/>
  <c r="M29" i="3" s="1"/>
  <c r="N29" i="3" s="1" a="1"/>
  <c r="N29" i="3" s="1"/>
  <c r="Q29" i="3" s="1"/>
  <c r="L29" i="3"/>
  <c r="K29" i="3"/>
  <c r="J29" i="3"/>
  <c r="W29" i="3"/>
  <c r="V29" i="3"/>
  <c r="U29" i="3"/>
  <c r="H30" i="3"/>
  <c r="G30" i="3"/>
  <c r="F30" i="3" a="1"/>
  <c r="F30" i="3" s="1"/>
  <c r="M30" i="3" a="1"/>
  <c r="M30" i="3" s="1"/>
  <c r="N30" i="3" s="1" a="1"/>
  <c r="N30" i="3" s="1"/>
  <c r="Q30" i="3" s="1"/>
  <c r="L30" i="3"/>
  <c r="K30" i="3"/>
  <c r="J30" i="3"/>
  <c r="W30" i="3"/>
  <c r="V30" i="3"/>
  <c r="U30" i="3"/>
  <c r="H31" i="3"/>
  <c r="G31" i="3"/>
  <c r="F31" i="3" a="1"/>
  <c r="F31" i="3" s="1"/>
  <c r="M31" i="3" a="1"/>
  <c r="M31" i="3" s="1"/>
  <c r="N31" i="3" s="1" a="1"/>
  <c r="N31" i="3" s="1"/>
  <c r="Q31" i="3" s="1"/>
  <c r="L31" i="3"/>
  <c r="K31" i="3"/>
  <c r="J31" i="3"/>
  <c r="W31" i="3"/>
  <c r="V31" i="3"/>
  <c r="U31" i="3"/>
  <c r="H32" i="3"/>
  <c r="G32" i="3"/>
  <c r="F32" i="3" a="1"/>
  <c r="F32" i="3" s="1"/>
  <c r="M32" i="3" a="1"/>
  <c r="M32" i="3" s="1"/>
  <c r="N32" i="3" s="1" a="1"/>
  <c r="N32" i="3" s="1"/>
  <c r="Q32" i="3" s="1"/>
  <c r="L32" i="3"/>
  <c r="K32" i="3"/>
  <c r="J32" i="3"/>
  <c r="W32" i="3"/>
  <c r="V32" i="3"/>
  <c r="U32" i="3"/>
  <c r="H33" i="3"/>
  <c r="G33" i="3"/>
  <c r="F33" i="3" a="1"/>
  <c r="F33" i="3" s="1"/>
  <c r="M33" i="3" a="1"/>
  <c r="M33" i="3" s="1"/>
  <c r="N33" i="3" s="1" a="1"/>
  <c r="N33" i="3" s="1"/>
  <c r="Q33" i="3" s="1"/>
  <c r="L33" i="3"/>
  <c r="K33" i="3"/>
  <c r="J33" i="3"/>
  <c r="W33" i="3"/>
  <c r="V33" i="3"/>
  <c r="U33" i="3"/>
  <c r="H34" i="3"/>
  <c r="G34" i="3"/>
  <c r="F34" i="3" a="1"/>
  <c r="F34" i="3" s="1"/>
  <c r="M34" i="3" a="1"/>
  <c r="M34" i="3" s="1"/>
  <c r="N34" i="3" s="1" a="1"/>
  <c r="N34" i="3" s="1"/>
  <c r="Q34" i="3" s="1"/>
  <c r="L34" i="3"/>
  <c r="K34" i="3"/>
  <c r="J34" i="3"/>
  <c r="W34" i="3"/>
  <c r="V34" i="3"/>
  <c r="U34" i="3"/>
  <c r="H35" i="3"/>
  <c r="G35" i="3"/>
  <c r="F35" i="3" a="1"/>
  <c r="F35" i="3" s="1"/>
  <c r="M35" i="3" a="1"/>
  <c r="M35" i="3" s="1"/>
  <c r="N35" i="3" s="1" a="1"/>
  <c r="N35" i="3" s="1"/>
  <c r="Q35" i="3" s="1"/>
  <c r="L35" i="3"/>
  <c r="K35" i="3"/>
  <c r="J35" i="3"/>
  <c r="W35" i="3"/>
  <c r="V35" i="3"/>
  <c r="U35" i="3"/>
  <c r="H36" i="3"/>
  <c r="G36" i="3"/>
  <c r="F36" i="3" a="1"/>
  <c r="F36" i="3" s="1"/>
  <c r="M36" i="3" a="1"/>
  <c r="M36" i="3" s="1"/>
  <c r="N36" i="3" s="1" a="1"/>
  <c r="N36" i="3" s="1"/>
  <c r="Q36" i="3" s="1"/>
  <c r="L36" i="3"/>
  <c r="K36" i="3"/>
  <c r="J36" i="3"/>
  <c r="W36" i="3"/>
  <c r="V36" i="3"/>
  <c r="U36" i="3"/>
  <c r="H37" i="3"/>
  <c r="G37" i="3"/>
  <c r="F37" i="3" a="1"/>
  <c r="F37" i="3" s="1"/>
  <c r="M37" i="3" a="1"/>
  <c r="M37" i="3" s="1"/>
  <c r="N37" i="3" s="1" a="1"/>
  <c r="N37" i="3" s="1"/>
  <c r="Q37" i="3" s="1"/>
  <c r="L37" i="3"/>
  <c r="K37" i="3"/>
  <c r="J37" i="3"/>
  <c r="W37" i="3"/>
  <c r="V37" i="3"/>
  <c r="U37" i="3"/>
  <c r="H38" i="3"/>
  <c r="G38" i="3"/>
  <c r="F38" i="3" a="1"/>
  <c r="F38" i="3" s="1"/>
  <c r="M38" i="3" a="1"/>
  <c r="M38" i="3" s="1"/>
  <c r="N38" i="3" s="1" a="1"/>
  <c r="N38" i="3" s="1"/>
  <c r="Q38" i="3" s="1"/>
  <c r="L38" i="3"/>
  <c r="K38" i="3"/>
  <c r="J38" i="3"/>
  <c r="W38" i="3"/>
  <c r="V38" i="3"/>
  <c r="U38" i="3"/>
  <c r="H39" i="3"/>
  <c r="G39" i="3"/>
  <c r="F39" i="3" a="1"/>
  <c r="F39" i="3" s="1"/>
  <c r="M39" i="3" a="1"/>
  <c r="M39" i="3" s="1"/>
  <c r="N39" i="3" s="1" a="1"/>
  <c r="N39" i="3" s="1"/>
  <c r="Q39" i="3" s="1"/>
  <c r="L39" i="3"/>
  <c r="K39" i="3"/>
  <c r="J39" i="3"/>
  <c r="W39" i="3"/>
  <c r="V39" i="3"/>
  <c r="U39" i="3"/>
  <c r="H40" i="3"/>
  <c r="G40" i="3"/>
  <c r="F40" i="3" a="1"/>
  <c r="F40" i="3" s="1"/>
  <c r="M40" i="3" a="1"/>
  <c r="M40" i="3" s="1"/>
  <c r="N40" i="3" s="1" a="1"/>
  <c r="N40" i="3" s="1"/>
  <c r="Q40" i="3" s="1"/>
  <c r="L40" i="3"/>
  <c r="K40" i="3"/>
  <c r="J40" i="3"/>
  <c r="W40" i="3"/>
  <c r="V40" i="3"/>
  <c r="U40" i="3"/>
  <c r="H41" i="3"/>
  <c r="G41" i="3"/>
  <c r="F41" i="3" a="1"/>
  <c r="F41" i="3" s="1"/>
  <c r="M41" i="3" a="1"/>
  <c r="M41" i="3" s="1"/>
  <c r="N41" i="3" s="1" a="1"/>
  <c r="N41" i="3" s="1"/>
  <c r="Q41" i="3" s="1"/>
  <c r="L41" i="3"/>
  <c r="K41" i="3"/>
  <c r="J41" i="3"/>
  <c r="W41" i="3"/>
  <c r="V41" i="3"/>
  <c r="U41" i="3"/>
  <c r="H42" i="3"/>
  <c r="G42" i="3"/>
  <c r="F42" i="3" a="1"/>
  <c r="F42" i="3" s="1"/>
  <c r="M42" i="3" a="1"/>
  <c r="M42" i="3" s="1"/>
  <c r="N42" i="3" s="1" a="1"/>
  <c r="N42" i="3" s="1"/>
  <c r="Q42" i="3" s="1"/>
  <c r="L42" i="3"/>
  <c r="K42" i="3"/>
  <c r="J42" i="3"/>
  <c r="W42" i="3"/>
  <c r="V42" i="3"/>
  <c r="U42" i="3"/>
  <c r="H43" i="3"/>
  <c r="G43" i="3"/>
  <c r="F43" i="3" a="1"/>
  <c r="F43" i="3" s="1"/>
  <c r="M43" i="3" a="1"/>
  <c r="M43" i="3" s="1"/>
  <c r="N43" i="3" s="1" a="1"/>
  <c r="N43" i="3" s="1"/>
  <c r="Q43" i="3" s="1"/>
  <c r="L43" i="3"/>
  <c r="K43" i="3"/>
  <c r="J43" i="3"/>
  <c r="W43" i="3"/>
  <c r="V43" i="3"/>
  <c r="U43" i="3"/>
  <c r="H44" i="3"/>
  <c r="G44" i="3"/>
  <c r="F44" i="3" a="1"/>
  <c r="F44" i="3" s="1"/>
  <c r="M44" i="3" a="1"/>
  <c r="M44" i="3" s="1"/>
  <c r="N44" i="3" s="1" a="1"/>
  <c r="N44" i="3" s="1"/>
  <c r="Q44" i="3" s="1"/>
  <c r="L44" i="3"/>
  <c r="K44" i="3"/>
  <c r="J44" i="3"/>
  <c r="W44" i="3"/>
  <c r="V44" i="3"/>
  <c r="U44" i="3"/>
  <c r="H45" i="3"/>
  <c r="G45" i="3"/>
  <c r="F45" i="3" a="1"/>
  <c r="F45" i="3" s="1"/>
  <c r="M45" i="3" a="1"/>
  <c r="M45" i="3" s="1"/>
  <c r="N45" i="3" s="1" a="1"/>
  <c r="N45" i="3" s="1"/>
  <c r="Q45" i="3" s="1"/>
  <c r="L45" i="3"/>
  <c r="K45" i="3"/>
  <c r="J45" i="3"/>
  <c r="W45" i="3"/>
  <c r="V45" i="3"/>
  <c r="U45" i="3"/>
  <c r="H46" i="3"/>
  <c r="G46" i="3"/>
  <c r="F46" i="3" a="1"/>
  <c r="F46" i="3" s="1"/>
  <c r="M46" i="3" a="1"/>
  <c r="M46" i="3" s="1"/>
  <c r="N46" i="3" s="1" a="1"/>
  <c r="N46" i="3" s="1"/>
  <c r="Q46" i="3" s="1"/>
  <c r="L46" i="3"/>
  <c r="K46" i="3"/>
  <c r="J46" i="3"/>
  <c r="W46" i="3"/>
  <c r="V46" i="3"/>
  <c r="U46" i="3"/>
  <c r="H47" i="3"/>
  <c r="G47" i="3"/>
  <c r="F47" i="3" a="1"/>
  <c r="F47" i="3" s="1"/>
  <c r="M47" i="3" a="1"/>
  <c r="M47" i="3" s="1"/>
  <c r="N47" i="3" s="1" a="1"/>
  <c r="N47" i="3" s="1"/>
  <c r="Q47" i="3" s="1"/>
  <c r="L47" i="3"/>
  <c r="K47" i="3"/>
  <c r="J47" i="3"/>
  <c r="W47" i="3"/>
  <c r="V47" i="3"/>
  <c r="U47" i="3"/>
  <c r="H48" i="3"/>
  <c r="G48" i="3"/>
  <c r="F48" i="3" a="1"/>
  <c r="F48" i="3" s="1"/>
  <c r="M48" i="3" a="1"/>
  <c r="M48" i="3" s="1"/>
  <c r="N48" i="3" s="1" a="1"/>
  <c r="N48" i="3" s="1"/>
  <c r="Q48" i="3" s="1"/>
  <c r="L48" i="3"/>
  <c r="K48" i="3"/>
  <c r="J48" i="3"/>
  <c r="W48" i="3"/>
  <c r="V48" i="3"/>
  <c r="U48" i="3"/>
  <c r="H49" i="3"/>
  <c r="G49" i="3"/>
  <c r="F49" i="3" a="1"/>
  <c r="F49" i="3" s="1"/>
  <c r="M49" i="3" a="1"/>
  <c r="M49" i="3" s="1"/>
  <c r="N49" i="3" s="1" a="1"/>
  <c r="N49" i="3" s="1"/>
  <c r="Q49" i="3" s="1"/>
  <c r="L49" i="3"/>
  <c r="K49" i="3"/>
  <c r="J49" i="3"/>
  <c r="W49" i="3"/>
  <c r="V49" i="3"/>
  <c r="U49" i="3"/>
  <c r="H50" i="3"/>
  <c r="G50" i="3"/>
  <c r="F50" i="3" a="1"/>
  <c r="F50" i="3" s="1"/>
  <c r="M50" i="3" a="1"/>
  <c r="M50" i="3" s="1"/>
  <c r="N50" i="3" s="1" a="1"/>
  <c r="N50" i="3" s="1"/>
  <c r="Q50" i="3" s="1"/>
  <c r="L50" i="3"/>
  <c r="K50" i="3"/>
  <c r="J50" i="3"/>
  <c r="W50" i="3"/>
  <c r="V50" i="3"/>
  <c r="U50" i="3"/>
  <c r="H51" i="3"/>
  <c r="G51" i="3"/>
  <c r="F51" i="3" a="1"/>
  <c r="F51" i="3" s="1"/>
  <c r="M51" i="3" a="1"/>
  <c r="M51" i="3" s="1"/>
  <c r="N51" i="3" s="1" a="1"/>
  <c r="N51" i="3" s="1"/>
  <c r="Q51" i="3" s="1"/>
  <c r="L51" i="3"/>
  <c r="K51" i="3"/>
  <c r="J51" i="3"/>
  <c r="W51" i="3"/>
  <c r="V51" i="3"/>
  <c r="U51" i="3"/>
  <c r="H52" i="3"/>
  <c r="G52" i="3"/>
  <c r="F52" i="3" a="1"/>
  <c r="F52" i="3" s="1"/>
  <c r="M52" i="3" a="1"/>
  <c r="M52" i="3" s="1"/>
  <c r="N52" i="3" s="1" a="1"/>
  <c r="N52" i="3" s="1"/>
  <c r="Q52" i="3" s="1"/>
  <c r="L52" i="3"/>
  <c r="K52" i="3"/>
  <c r="J52" i="3"/>
  <c r="W52" i="3"/>
  <c r="V52" i="3"/>
  <c r="U52" i="3"/>
  <c r="H53" i="3"/>
  <c r="G53" i="3"/>
  <c r="F53" i="3" a="1"/>
  <c r="F53" i="3" s="1"/>
  <c r="M53" i="3" a="1"/>
  <c r="M53" i="3" s="1"/>
  <c r="N53" i="3" s="1" a="1"/>
  <c r="N53" i="3" s="1"/>
  <c r="Q53" i="3" s="1"/>
  <c r="L53" i="3"/>
  <c r="K53" i="3"/>
  <c r="J53" i="3"/>
  <c r="W53" i="3"/>
  <c r="V53" i="3"/>
  <c r="U53" i="3"/>
  <c r="H54" i="3"/>
  <c r="G54" i="3"/>
  <c r="F54" i="3" a="1"/>
  <c r="F54" i="3" s="1"/>
  <c r="M54" i="3" a="1"/>
  <c r="M54" i="3" s="1"/>
  <c r="N54" i="3" s="1" a="1"/>
  <c r="N54" i="3" s="1"/>
  <c r="Q54" i="3" s="1"/>
  <c r="L54" i="3"/>
  <c r="K54" i="3"/>
  <c r="J54" i="3"/>
  <c r="W54" i="3"/>
  <c r="V54" i="3"/>
  <c r="U54" i="3"/>
  <c r="H55" i="3"/>
  <c r="G55" i="3"/>
  <c r="F55" i="3" a="1"/>
  <c r="F55" i="3" s="1"/>
  <c r="M55" i="3" a="1"/>
  <c r="M55" i="3" s="1"/>
  <c r="N55" i="3" s="1" a="1"/>
  <c r="N55" i="3" s="1"/>
  <c r="Q55" i="3" s="1"/>
  <c r="L55" i="3"/>
  <c r="K55" i="3"/>
  <c r="J55" i="3"/>
  <c r="W55" i="3"/>
  <c r="V55" i="3"/>
  <c r="U55" i="3"/>
  <c r="H56" i="3"/>
  <c r="G56" i="3"/>
  <c r="F56" i="3" a="1"/>
  <c r="F56" i="3" s="1"/>
  <c r="M56" i="3" a="1"/>
  <c r="M56" i="3" s="1"/>
  <c r="N56" i="3" s="1" a="1"/>
  <c r="N56" i="3" s="1"/>
  <c r="Q56" i="3" s="1"/>
  <c r="L56" i="3"/>
  <c r="K56" i="3"/>
  <c r="J56" i="3"/>
  <c r="W56" i="3"/>
  <c r="V56" i="3"/>
  <c r="U56" i="3"/>
  <c r="H57" i="3"/>
  <c r="G57" i="3"/>
  <c r="F57" i="3" a="1"/>
  <c r="F57" i="3" s="1"/>
  <c r="M57" i="3" a="1"/>
  <c r="M57" i="3" s="1"/>
  <c r="N57" i="3" s="1" a="1"/>
  <c r="N57" i="3" s="1"/>
  <c r="Q57" i="3" s="1"/>
  <c r="L57" i="3"/>
  <c r="K57" i="3"/>
  <c r="J57" i="3"/>
  <c r="W57" i="3"/>
  <c r="V57" i="3"/>
  <c r="U57" i="3"/>
  <c r="H58" i="3"/>
  <c r="G58" i="3"/>
  <c r="F58" i="3" a="1"/>
  <c r="F58" i="3" s="1"/>
  <c r="M58" i="3" a="1"/>
  <c r="M58" i="3" s="1"/>
  <c r="N58" i="3" s="1" a="1"/>
  <c r="N58" i="3" s="1"/>
  <c r="Q58" i="3" s="1"/>
  <c r="L58" i="3"/>
  <c r="K58" i="3"/>
  <c r="J58" i="3"/>
  <c r="W58" i="3"/>
  <c r="V58" i="3"/>
  <c r="U58" i="3"/>
  <c r="H59" i="3"/>
  <c r="G59" i="3"/>
  <c r="F59" i="3" a="1"/>
  <c r="F59" i="3" s="1"/>
  <c r="M59" i="3" a="1"/>
  <c r="M59" i="3" s="1"/>
  <c r="N59" i="3" s="1" a="1"/>
  <c r="N59" i="3" s="1"/>
  <c r="Q59" i="3" s="1"/>
  <c r="L59" i="3"/>
  <c r="K59" i="3"/>
  <c r="J59" i="3"/>
  <c r="W59" i="3"/>
  <c r="V59" i="3"/>
  <c r="U59" i="3"/>
  <c r="H60" i="3"/>
  <c r="G60" i="3"/>
  <c r="F60" i="3" a="1"/>
  <c r="F60" i="3" s="1"/>
  <c r="M60" i="3" a="1"/>
  <c r="M60" i="3" s="1"/>
  <c r="N60" i="3" s="1" a="1"/>
  <c r="N60" i="3" s="1"/>
  <c r="Q60" i="3" s="1"/>
  <c r="L60" i="3"/>
  <c r="K60" i="3"/>
  <c r="J60" i="3"/>
  <c r="W60" i="3"/>
  <c r="V60" i="3"/>
  <c r="U60" i="3"/>
  <c r="H61" i="3"/>
  <c r="G61" i="3"/>
  <c r="F61" i="3" a="1"/>
  <c r="F61" i="3" s="1"/>
  <c r="M61" i="3" a="1"/>
  <c r="M61" i="3" s="1"/>
  <c r="N61" i="3" s="1" a="1"/>
  <c r="N61" i="3" s="1"/>
  <c r="Q61" i="3" s="1"/>
  <c r="L61" i="3"/>
  <c r="K61" i="3"/>
  <c r="J61" i="3"/>
  <c r="W61" i="3"/>
  <c r="V61" i="3"/>
  <c r="U61" i="3"/>
  <c r="H62" i="3"/>
  <c r="G62" i="3"/>
  <c r="F62" i="3" a="1"/>
  <c r="F62" i="3" s="1"/>
  <c r="M62" i="3" a="1"/>
  <c r="M62" i="3" s="1"/>
  <c r="N62" i="3" s="1" a="1"/>
  <c r="N62" i="3" s="1"/>
  <c r="Q62" i="3" s="1"/>
  <c r="L62" i="3"/>
  <c r="K62" i="3"/>
  <c r="J62" i="3"/>
  <c r="W62" i="3"/>
  <c r="V62" i="3"/>
  <c r="U62" i="3"/>
  <c r="H63" i="3"/>
  <c r="G63" i="3"/>
  <c r="F63" i="3" a="1"/>
  <c r="F63" i="3" s="1"/>
  <c r="M63" i="3" a="1"/>
  <c r="M63" i="3" s="1"/>
  <c r="N63" i="3" s="1" a="1"/>
  <c r="N63" i="3" s="1"/>
  <c r="Q63" i="3" s="1"/>
  <c r="L63" i="3"/>
  <c r="K63" i="3"/>
  <c r="J63" i="3"/>
  <c r="W63" i="3"/>
  <c r="V63" i="3"/>
  <c r="U63" i="3"/>
  <c r="H64" i="3"/>
  <c r="G64" i="3"/>
  <c r="F64" i="3" a="1"/>
  <c r="F64" i="3" s="1"/>
  <c r="M64" i="3" a="1"/>
  <c r="M64" i="3" s="1"/>
  <c r="N64" i="3" s="1" a="1"/>
  <c r="N64" i="3" s="1"/>
  <c r="Q64" i="3" s="1"/>
  <c r="L64" i="3"/>
  <c r="K64" i="3"/>
  <c r="J64" i="3"/>
  <c r="W64" i="3"/>
  <c r="V64" i="3"/>
  <c r="U64" i="3"/>
  <c r="H65" i="3"/>
  <c r="G65" i="3"/>
  <c r="F65" i="3" a="1"/>
  <c r="F65" i="3" s="1"/>
  <c r="M65" i="3" a="1"/>
  <c r="M65" i="3" s="1"/>
  <c r="N65" i="3" s="1" a="1"/>
  <c r="N65" i="3" s="1"/>
  <c r="Q65" i="3" s="1"/>
  <c r="L65" i="3"/>
  <c r="K65" i="3"/>
  <c r="J65" i="3"/>
  <c r="W65" i="3"/>
  <c r="V65" i="3"/>
  <c r="U65" i="3"/>
  <c r="H66" i="3"/>
  <c r="G66" i="3"/>
  <c r="F66" i="3" a="1"/>
  <c r="F66" i="3" s="1"/>
  <c r="M66" i="3" a="1"/>
  <c r="M66" i="3" s="1"/>
  <c r="N66" i="3" s="1" a="1"/>
  <c r="N66" i="3" s="1"/>
  <c r="Q66" i="3" s="1"/>
  <c r="L66" i="3"/>
  <c r="K66" i="3"/>
  <c r="J66" i="3"/>
  <c r="W66" i="3"/>
  <c r="V66" i="3"/>
  <c r="U66" i="3"/>
  <c r="H67" i="3"/>
  <c r="G67" i="3"/>
  <c r="F67" i="3" a="1"/>
  <c r="F67" i="3" s="1"/>
  <c r="M67" i="3" a="1"/>
  <c r="M67" i="3" s="1"/>
  <c r="N67" i="3" s="1" a="1"/>
  <c r="N67" i="3" s="1"/>
  <c r="Q67" i="3" s="1"/>
  <c r="L67" i="3"/>
  <c r="K67" i="3"/>
  <c r="J67" i="3"/>
  <c r="W67" i="3"/>
  <c r="V67" i="3"/>
  <c r="U67" i="3"/>
  <c r="H68" i="3"/>
  <c r="G68" i="3"/>
  <c r="F68" i="3" a="1"/>
  <c r="F68" i="3" s="1"/>
  <c r="M68" i="3" a="1"/>
  <c r="M68" i="3" s="1"/>
  <c r="N68" i="3" s="1" a="1"/>
  <c r="N68" i="3" s="1"/>
  <c r="Q68" i="3" s="1"/>
  <c r="L68" i="3"/>
  <c r="K68" i="3"/>
  <c r="J68" i="3"/>
  <c r="W68" i="3"/>
  <c r="V68" i="3"/>
  <c r="U68" i="3"/>
  <c r="H69" i="3"/>
  <c r="G69" i="3"/>
  <c r="F69" i="3" a="1"/>
  <c r="F69" i="3" s="1"/>
  <c r="M69" i="3" a="1"/>
  <c r="M69" i="3" s="1"/>
  <c r="N69" i="3" s="1" a="1"/>
  <c r="N69" i="3" s="1"/>
  <c r="Q69" i="3" s="1"/>
  <c r="L69" i="3"/>
  <c r="K69" i="3"/>
  <c r="J69" i="3"/>
  <c r="W69" i="3"/>
  <c r="V69" i="3"/>
  <c r="U69" i="3"/>
  <c r="H70" i="3"/>
  <c r="G70" i="3"/>
  <c r="F70" i="3" a="1"/>
  <c r="F70" i="3" s="1"/>
  <c r="M70" i="3" a="1"/>
  <c r="M70" i="3" s="1"/>
  <c r="N70" i="3" s="1" a="1"/>
  <c r="N70" i="3" s="1"/>
  <c r="Q70" i="3" s="1"/>
  <c r="L70" i="3"/>
  <c r="K70" i="3"/>
  <c r="J70" i="3"/>
  <c r="W70" i="3"/>
  <c r="V70" i="3"/>
  <c r="U70" i="3"/>
  <c r="H71" i="3"/>
  <c r="G71" i="3"/>
  <c r="F71" i="3" a="1"/>
  <c r="F71" i="3" s="1"/>
  <c r="M71" i="3" a="1"/>
  <c r="M71" i="3" s="1"/>
  <c r="N71" i="3" s="1" a="1"/>
  <c r="N71" i="3" s="1"/>
  <c r="Q71" i="3" s="1"/>
  <c r="L71" i="3"/>
  <c r="K71" i="3"/>
  <c r="J71" i="3"/>
  <c r="W71" i="3"/>
  <c r="V71" i="3"/>
  <c r="U71" i="3"/>
  <c r="H72" i="3"/>
  <c r="G72" i="3"/>
  <c r="F72" i="3" a="1"/>
  <c r="F72" i="3" s="1"/>
  <c r="M72" i="3" a="1"/>
  <c r="M72" i="3" s="1"/>
  <c r="N72" i="3" s="1" a="1"/>
  <c r="N72" i="3" s="1"/>
  <c r="Q72" i="3" s="1"/>
  <c r="L72" i="3"/>
  <c r="K72" i="3"/>
  <c r="J72" i="3"/>
  <c r="W72" i="3"/>
  <c r="V72" i="3"/>
  <c r="U72" i="3"/>
  <c r="H73" i="3"/>
  <c r="G73" i="3"/>
  <c r="F73" i="3" a="1"/>
  <c r="F73" i="3" s="1"/>
  <c r="M73" i="3" a="1"/>
  <c r="M73" i="3" s="1"/>
  <c r="N73" i="3" s="1" a="1"/>
  <c r="N73" i="3" s="1"/>
  <c r="Q73" i="3" s="1"/>
  <c r="L73" i="3"/>
  <c r="K73" i="3"/>
  <c r="J73" i="3"/>
  <c r="W73" i="3"/>
  <c r="V73" i="3"/>
  <c r="U73" i="3"/>
  <c r="H74" i="3"/>
  <c r="G74" i="3"/>
  <c r="F74" i="3" a="1"/>
  <c r="F74" i="3" s="1"/>
  <c r="M74" i="3" a="1"/>
  <c r="M74" i="3" s="1"/>
  <c r="N74" i="3" s="1" a="1"/>
  <c r="N74" i="3" s="1"/>
  <c r="Q74" i="3" s="1"/>
  <c r="L74" i="3"/>
  <c r="K74" i="3"/>
  <c r="J74" i="3"/>
  <c r="W74" i="3"/>
  <c r="V74" i="3"/>
  <c r="U74" i="3"/>
  <c r="H75" i="3"/>
  <c r="G75" i="3"/>
  <c r="F75" i="3" a="1"/>
  <c r="F75" i="3" s="1"/>
  <c r="M75" i="3" a="1"/>
  <c r="M75" i="3" s="1"/>
  <c r="N75" i="3" s="1" a="1"/>
  <c r="N75" i="3" s="1"/>
  <c r="Q75" i="3" s="1"/>
  <c r="L75" i="3"/>
  <c r="K75" i="3"/>
  <c r="J75" i="3"/>
  <c r="W75" i="3"/>
  <c r="V75" i="3"/>
  <c r="U75" i="3"/>
  <c r="H76" i="3"/>
  <c r="G76" i="3"/>
  <c r="F76" i="3" a="1"/>
  <c r="F76" i="3" s="1"/>
  <c r="M76" i="3" a="1"/>
  <c r="M76" i="3" s="1"/>
  <c r="N76" i="3" s="1" a="1"/>
  <c r="N76" i="3" s="1"/>
  <c r="Q76" i="3" s="1"/>
  <c r="L76" i="3"/>
  <c r="K76" i="3"/>
  <c r="J76" i="3"/>
  <c r="W76" i="3"/>
  <c r="V76" i="3"/>
  <c r="U76" i="3"/>
  <c r="H77" i="3"/>
  <c r="G77" i="3"/>
  <c r="F77" i="3" a="1"/>
  <c r="F77" i="3" s="1"/>
  <c r="M77" i="3" a="1"/>
  <c r="M77" i="3" s="1"/>
  <c r="N77" i="3" s="1" a="1"/>
  <c r="N77" i="3" s="1"/>
  <c r="Q77" i="3" s="1"/>
  <c r="L77" i="3"/>
  <c r="K77" i="3"/>
  <c r="J77" i="3"/>
  <c r="W77" i="3"/>
  <c r="V77" i="3"/>
  <c r="U77" i="3"/>
  <c r="H78" i="3"/>
  <c r="G78" i="3"/>
  <c r="F78" i="3" a="1"/>
  <c r="F78" i="3" s="1"/>
  <c r="M78" i="3" a="1"/>
  <c r="M78" i="3" s="1"/>
  <c r="N78" i="3" s="1" a="1"/>
  <c r="N78" i="3" s="1"/>
  <c r="Q78" i="3" s="1"/>
  <c r="L78" i="3"/>
  <c r="K78" i="3"/>
  <c r="J78" i="3"/>
  <c r="W78" i="3"/>
  <c r="V78" i="3"/>
  <c r="U78" i="3"/>
  <c r="H79" i="3"/>
  <c r="G79" i="3"/>
  <c r="F79" i="3" a="1"/>
  <c r="F79" i="3" s="1"/>
  <c r="M79" i="3" a="1"/>
  <c r="M79" i="3" s="1"/>
  <c r="N79" i="3" s="1" a="1"/>
  <c r="N79" i="3" s="1"/>
  <c r="Q79" i="3" s="1"/>
  <c r="L79" i="3"/>
  <c r="K79" i="3"/>
  <c r="J79" i="3"/>
  <c r="W79" i="3"/>
  <c r="V79" i="3"/>
  <c r="U79" i="3"/>
  <c r="H80" i="3"/>
  <c r="G80" i="3"/>
  <c r="F80" i="3" a="1"/>
  <c r="F80" i="3" s="1"/>
  <c r="M80" i="3" a="1"/>
  <c r="M80" i="3" s="1"/>
  <c r="N80" i="3" s="1" a="1"/>
  <c r="N80" i="3" s="1"/>
  <c r="Q80" i="3" s="1"/>
  <c r="L80" i="3"/>
  <c r="K80" i="3"/>
  <c r="J80" i="3"/>
  <c r="W80" i="3"/>
  <c r="V80" i="3"/>
  <c r="U80" i="3"/>
  <c r="H81" i="3"/>
  <c r="G81" i="3"/>
  <c r="F81" i="3" a="1"/>
  <c r="F81" i="3" s="1"/>
  <c r="M81" i="3" a="1"/>
  <c r="M81" i="3" s="1"/>
  <c r="N81" i="3" s="1" a="1"/>
  <c r="N81" i="3" s="1"/>
  <c r="Q81" i="3" s="1"/>
  <c r="L81" i="3"/>
  <c r="K81" i="3"/>
  <c r="J81" i="3"/>
  <c r="W81" i="3"/>
  <c r="V81" i="3"/>
  <c r="U81" i="3"/>
  <c r="H82" i="3"/>
  <c r="G82" i="3"/>
  <c r="F82" i="3" a="1"/>
  <c r="F82" i="3" s="1"/>
  <c r="M82" i="3" a="1"/>
  <c r="M82" i="3" s="1"/>
  <c r="N82" i="3" s="1" a="1"/>
  <c r="N82" i="3" s="1"/>
  <c r="Q82" i="3" s="1"/>
  <c r="L82" i="3"/>
  <c r="K82" i="3"/>
  <c r="J82" i="3"/>
  <c r="W82" i="3"/>
  <c r="V82" i="3"/>
  <c r="U82" i="3"/>
  <c r="H83" i="3"/>
  <c r="G83" i="3"/>
  <c r="F83" i="3" a="1"/>
  <c r="F83" i="3" s="1"/>
  <c r="M83" i="3" a="1"/>
  <c r="M83" i="3" s="1"/>
  <c r="N83" i="3" s="1" a="1"/>
  <c r="N83" i="3" s="1"/>
  <c r="Q83" i="3" s="1"/>
  <c r="L83" i="3"/>
  <c r="K83" i="3"/>
  <c r="J83" i="3"/>
  <c r="W83" i="3"/>
  <c r="V83" i="3"/>
  <c r="U83" i="3"/>
  <c r="H84" i="3"/>
  <c r="G84" i="3"/>
  <c r="F84" i="3" a="1"/>
  <c r="F84" i="3" s="1"/>
  <c r="M84" i="3" a="1"/>
  <c r="M84" i="3" s="1"/>
  <c r="N84" i="3" s="1" a="1"/>
  <c r="N84" i="3" s="1"/>
  <c r="Q84" i="3" s="1"/>
  <c r="L84" i="3"/>
  <c r="K84" i="3"/>
  <c r="J84" i="3"/>
  <c r="W84" i="3"/>
  <c r="V84" i="3"/>
  <c r="U84" i="3"/>
  <c r="H85" i="3"/>
  <c r="G85" i="3"/>
  <c r="F85" i="3" a="1"/>
  <c r="F85" i="3" s="1"/>
  <c r="M85" i="3" a="1"/>
  <c r="M85" i="3" s="1"/>
  <c r="N85" i="3" s="1" a="1"/>
  <c r="N85" i="3" s="1"/>
  <c r="Q85" i="3" s="1"/>
  <c r="L85" i="3"/>
  <c r="K85" i="3"/>
  <c r="J85" i="3"/>
  <c r="W85" i="3"/>
  <c r="V85" i="3"/>
  <c r="U85" i="3"/>
  <c r="H86" i="3"/>
  <c r="G86" i="3"/>
  <c r="F86" i="3" a="1"/>
  <c r="F86" i="3" s="1"/>
  <c r="M86" i="3" a="1"/>
  <c r="M86" i="3" s="1"/>
  <c r="N86" i="3" s="1" a="1"/>
  <c r="N86" i="3" s="1"/>
  <c r="Q86" i="3" s="1"/>
  <c r="L86" i="3"/>
  <c r="K86" i="3"/>
  <c r="J86" i="3"/>
  <c r="W86" i="3"/>
  <c r="V86" i="3"/>
  <c r="U86" i="3"/>
  <c r="H87" i="3"/>
  <c r="G87" i="3"/>
  <c r="F87" i="3" a="1"/>
  <c r="F87" i="3" s="1"/>
  <c r="M87" i="3" a="1"/>
  <c r="M87" i="3" s="1"/>
  <c r="N87" i="3" s="1" a="1"/>
  <c r="N87" i="3" s="1"/>
  <c r="Q87" i="3" s="1"/>
  <c r="L87" i="3"/>
  <c r="K87" i="3"/>
  <c r="J87" i="3"/>
  <c r="W87" i="3"/>
  <c r="V87" i="3"/>
  <c r="U87" i="3"/>
  <c r="H88" i="3"/>
  <c r="G88" i="3"/>
  <c r="F88" i="3" a="1"/>
  <c r="F88" i="3" s="1"/>
  <c r="M88" i="3" a="1"/>
  <c r="M88" i="3" s="1"/>
  <c r="N88" i="3" s="1" a="1"/>
  <c r="N88" i="3" s="1"/>
  <c r="Q88" i="3" s="1"/>
  <c r="L88" i="3"/>
  <c r="K88" i="3"/>
  <c r="J88" i="3"/>
  <c r="W88" i="3"/>
  <c r="V88" i="3"/>
  <c r="U88" i="3"/>
  <c r="H89" i="3"/>
  <c r="G89" i="3"/>
  <c r="F89" i="3" a="1"/>
  <c r="F89" i="3" s="1"/>
  <c r="M89" i="3" a="1"/>
  <c r="M89" i="3" s="1"/>
  <c r="N89" i="3" s="1" a="1"/>
  <c r="N89" i="3" s="1"/>
  <c r="Q89" i="3" s="1"/>
  <c r="L89" i="3"/>
  <c r="K89" i="3"/>
  <c r="J89" i="3"/>
  <c r="W89" i="3"/>
  <c r="V89" i="3"/>
  <c r="U89" i="3"/>
  <c r="H90" i="3"/>
  <c r="G90" i="3"/>
  <c r="F90" i="3" a="1"/>
  <c r="F90" i="3" s="1"/>
  <c r="M90" i="3" a="1"/>
  <c r="M90" i="3" s="1"/>
  <c r="N90" i="3" s="1" a="1"/>
  <c r="N90" i="3" s="1"/>
  <c r="Q90" i="3" s="1"/>
  <c r="L90" i="3"/>
  <c r="K90" i="3"/>
  <c r="J90" i="3"/>
  <c r="W90" i="3"/>
  <c r="V90" i="3"/>
  <c r="U90" i="3"/>
  <c r="H91" i="3"/>
  <c r="G91" i="3"/>
  <c r="F91" i="3" a="1"/>
  <c r="F91" i="3" s="1"/>
  <c r="M91" i="3" a="1"/>
  <c r="M91" i="3" s="1"/>
  <c r="N91" i="3" s="1" a="1"/>
  <c r="N91" i="3" s="1"/>
  <c r="Q91" i="3" s="1"/>
  <c r="L91" i="3"/>
  <c r="K91" i="3"/>
  <c r="J91" i="3"/>
  <c r="W91" i="3"/>
  <c r="V91" i="3"/>
  <c r="U91" i="3"/>
  <c r="H92" i="3"/>
  <c r="G92" i="3"/>
  <c r="F92" i="3" a="1"/>
  <c r="F92" i="3" s="1"/>
  <c r="M92" i="3" a="1"/>
  <c r="M92" i="3" s="1"/>
  <c r="N92" i="3" s="1" a="1"/>
  <c r="N92" i="3" s="1"/>
  <c r="Q92" i="3" s="1"/>
  <c r="L92" i="3"/>
  <c r="K92" i="3"/>
  <c r="J92" i="3"/>
  <c r="W92" i="3"/>
  <c r="V92" i="3"/>
  <c r="U92" i="3"/>
  <c r="H93" i="3"/>
  <c r="G93" i="3"/>
  <c r="F93" i="3" a="1"/>
  <c r="F93" i="3" s="1"/>
  <c r="M93" i="3" a="1"/>
  <c r="M93" i="3" s="1"/>
  <c r="N93" i="3" s="1" a="1"/>
  <c r="N93" i="3" s="1"/>
  <c r="Q93" i="3" s="1"/>
  <c r="L93" i="3"/>
  <c r="K93" i="3"/>
  <c r="J93" i="3"/>
  <c r="W93" i="3"/>
  <c r="V93" i="3"/>
  <c r="U93" i="3"/>
  <c r="H94" i="3"/>
  <c r="G94" i="3"/>
  <c r="F94" i="3" a="1"/>
  <c r="F94" i="3" s="1"/>
  <c r="M94" i="3" a="1"/>
  <c r="M94" i="3" s="1"/>
  <c r="N94" i="3" s="1" a="1"/>
  <c r="N94" i="3" s="1"/>
  <c r="Q94" i="3" s="1"/>
  <c r="L94" i="3"/>
  <c r="K94" i="3"/>
  <c r="J94" i="3"/>
  <c r="W94" i="3"/>
  <c r="V94" i="3"/>
  <c r="U94" i="3"/>
  <c r="H95" i="3"/>
  <c r="G95" i="3"/>
  <c r="F95" i="3" a="1"/>
  <c r="F95" i="3" s="1"/>
  <c r="M95" i="3" a="1"/>
  <c r="M95" i="3" s="1"/>
  <c r="N95" i="3" s="1" a="1"/>
  <c r="N95" i="3" s="1"/>
  <c r="Q95" i="3" s="1"/>
  <c r="L95" i="3"/>
  <c r="K95" i="3"/>
  <c r="J95" i="3"/>
  <c r="W95" i="3"/>
  <c r="V95" i="3"/>
  <c r="U95" i="3"/>
  <c r="H96" i="3"/>
  <c r="G96" i="3"/>
  <c r="F96" i="3" a="1"/>
  <c r="F96" i="3" s="1"/>
  <c r="M96" i="3" a="1"/>
  <c r="M96" i="3" s="1"/>
  <c r="N96" i="3" s="1" a="1"/>
  <c r="N96" i="3" s="1"/>
  <c r="Q96" i="3" s="1"/>
  <c r="L96" i="3"/>
  <c r="K96" i="3"/>
  <c r="J96" i="3"/>
  <c r="W96" i="3"/>
  <c r="V96" i="3"/>
  <c r="U96" i="3"/>
  <c r="H97" i="3"/>
  <c r="G97" i="3"/>
  <c r="F97" i="3" a="1"/>
  <c r="F97" i="3" s="1"/>
  <c r="M97" i="3" a="1"/>
  <c r="M97" i="3" s="1"/>
  <c r="N97" i="3" s="1" a="1"/>
  <c r="N97" i="3" s="1"/>
  <c r="Q97" i="3" s="1"/>
  <c r="L97" i="3"/>
  <c r="K97" i="3"/>
  <c r="J97" i="3"/>
  <c r="W97" i="3"/>
  <c r="V97" i="3"/>
  <c r="U97" i="3"/>
  <c r="H98" i="3"/>
  <c r="G98" i="3"/>
  <c r="F98" i="3" a="1"/>
  <c r="F98" i="3" s="1"/>
  <c r="M98" i="3" a="1"/>
  <c r="M98" i="3" s="1"/>
  <c r="N98" i="3" s="1" a="1"/>
  <c r="N98" i="3" s="1"/>
  <c r="Q98" i="3" s="1"/>
  <c r="L98" i="3"/>
  <c r="K98" i="3"/>
  <c r="J98" i="3"/>
  <c r="W98" i="3"/>
  <c r="V98" i="3"/>
  <c r="U98" i="3"/>
  <c r="H99" i="3"/>
  <c r="G99" i="3"/>
  <c r="F99" i="3" a="1"/>
  <c r="F99" i="3" s="1"/>
  <c r="M99" i="3" a="1"/>
  <c r="M99" i="3" s="1"/>
  <c r="N99" i="3" s="1" a="1"/>
  <c r="N99" i="3" s="1"/>
  <c r="Q99" i="3" s="1"/>
  <c r="L99" i="3"/>
  <c r="K99" i="3"/>
  <c r="J99" i="3"/>
  <c r="W99" i="3"/>
  <c r="V99" i="3"/>
  <c r="U99" i="3"/>
  <c r="H100" i="3"/>
  <c r="G100" i="3"/>
  <c r="F100" i="3" a="1"/>
  <c r="F100" i="3" s="1"/>
  <c r="M100" i="3" a="1"/>
  <c r="M100" i="3" s="1"/>
  <c r="N100" i="3" s="1" a="1"/>
  <c r="N100" i="3" s="1"/>
  <c r="Q100" i="3" s="1"/>
  <c r="L100" i="3"/>
  <c r="K100" i="3"/>
  <c r="J100" i="3"/>
  <c r="W100" i="3"/>
  <c r="V100" i="3"/>
  <c r="U100" i="3"/>
  <c r="H101" i="3"/>
  <c r="G101" i="3"/>
  <c r="F101" i="3" a="1"/>
  <c r="F101" i="3" s="1"/>
  <c r="M101" i="3" a="1"/>
  <c r="M101" i="3" s="1"/>
  <c r="N101" i="3" s="1" a="1"/>
  <c r="N101" i="3" s="1"/>
  <c r="Q101" i="3" s="1"/>
  <c r="L101" i="3"/>
  <c r="K101" i="3"/>
  <c r="J101" i="3"/>
  <c r="W101" i="3"/>
  <c r="V101" i="3"/>
  <c r="U101" i="3"/>
  <c r="H102" i="3"/>
  <c r="G102" i="3"/>
  <c r="F102" i="3" a="1"/>
  <c r="F102" i="3" s="1"/>
  <c r="M102" i="3" a="1"/>
  <c r="M102" i="3" s="1"/>
  <c r="N102" i="3" s="1" a="1"/>
  <c r="N102" i="3" s="1"/>
  <c r="Q102" i="3" s="1"/>
  <c r="L102" i="3"/>
  <c r="K102" i="3"/>
  <c r="J102" i="3"/>
  <c r="W102" i="3"/>
  <c r="V102" i="3"/>
  <c r="U102" i="3"/>
  <c r="H103" i="3"/>
  <c r="G103" i="3"/>
  <c r="F103" i="3" a="1"/>
  <c r="F103" i="3" s="1"/>
  <c r="M103" i="3" a="1"/>
  <c r="M103" i="3" s="1"/>
  <c r="N103" i="3" s="1" a="1"/>
  <c r="N103" i="3" s="1"/>
  <c r="Q103" i="3" s="1"/>
  <c r="L103" i="3"/>
  <c r="K103" i="3"/>
  <c r="J103" i="3"/>
  <c r="W103" i="3"/>
  <c r="V103" i="3"/>
  <c r="U103" i="3"/>
  <c r="H104" i="3"/>
  <c r="G104" i="3"/>
  <c r="F104" i="3" a="1"/>
  <c r="F104" i="3" s="1"/>
  <c r="M104" i="3" a="1"/>
  <c r="M104" i="3" s="1"/>
  <c r="N104" i="3" s="1" a="1"/>
  <c r="N104" i="3" s="1"/>
  <c r="Q104" i="3" s="1"/>
  <c r="L104" i="3"/>
  <c r="K104" i="3"/>
  <c r="J104" i="3"/>
  <c r="W104" i="3"/>
  <c r="V104" i="3"/>
  <c r="U104" i="3"/>
  <c r="H105" i="3"/>
  <c r="G105" i="3"/>
  <c r="F105" i="3" a="1"/>
  <c r="F105" i="3" s="1"/>
  <c r="M105" i="3" a="1"/>
  <c r="M105" i="3" s="1"/>
  <c r="N105" i="3" s="1" a="1"/>
  <c r="N105" i="3" s="1"/>
  <c r="Q105" i="3" s="1"/>
  <c r="L105" i="3"/>
  <c r="K105" i="3"/>
  <c r="J105" i="3"/>
  <c r="W105" i="3"/>
  <c r="V105" i="3"/>
  <c r="U105" i="3"/>
  <c r="H106" i="3"/>
  <c r="G106" i="3"/>
  <c r="F106" i="3" a="1"/>
  <c r="F106" i="3" s="1"/>
  <c r="M106" i="3" a="1"/>
  <c r="M106" i="3" s="1"/>
  <c r="N106" i="3" s="1" a="1"/>
  <c r="N106" i="3" s="1"/>
  <c r="Q106" i="3" s="1"/>
  <c r="L106" i="3"/>
  <c r="K106" i="3"/>
  <c r="J106" i="3"/>
  <c r="W106" i="3"/>
  <c r="V106" i="3"/>
  <c r="U106" i="3"/>
  <c r="H107" i="3"/>
  <c r="G107" i="3"/>
  <c r="F107" i="3" a="1"/>
  <c r="F107" i="3" s="1"/>
  <c r="M107" i="3" a="1"/>
  <c r="M107" i="3" s="1"/>
  <c r="N107" i="3" s="1" a="1"/>
  <c r="N107" i="3" s="1"/>
  <c r="Q107" i="3" s="1"/>
  <c r="L107" i="3"/>
  <c r="K107" i="3"/>
  <c r="J107" i="3"/>
  <c r="W107" i="3"/>
  <c r="V107" i="3"/>
  <c r="U107" i="3"/>
  <c r="H108" i="3"/>
  <c r="G108" i="3"/>
  <c r="F108" i="3" a="1"/>
  <c r="F108" i="3" s="1"/>
  <c r="M108" i="3" a="1"/>
  <c r="M108" i="3" s="1"/>
  <c r="N108" i="3" s="1" a="1"/>
  <c r="N108" i="3" s="1"/>
  <c r="Q108" i="3" s="1"/>
  <c r="L108" i="3"/>
  <c r="K108" i="3"/>
  <c r="J108" i="3"/>
  <c r="W108" i="3"/>
  <c r="V108" i="3"/>
  <c r="U108" i="3"/>
  <c r="H109" i="3"/>
  <c r="G109" i="3"/>
  <c r="F109" i="3" a="1"/>
  <c r="F109" i="3" s="1"/>
  <c r="M109" i="3" a="1"/>
  <c r="M109" i="3" s="1"/>
  <c r="N109" i="3" s="1" a="1"/>
  <c r="N109" i="3" s="1"/>
  <c r="Q109" i="3" s="1"/>
  <c r="L109" i="3"/>
  <c r="K109" i="3"/>
  <c r="J109" i="3"/>
  <c r="W109" i="3"/>
  <c r="V109" i="3"/>
  <c r="U109" i="3"/>
  <c r="H110" i="3"/>
  <c r="G110" i="3"/>
  <c r="F110" i="3" a="1"/>
  <c r="F110" i="3" s="1"/>
  <c r="M110" i="3" a="1"/>
  <c r="M110" i="3" s="1"/>
  <c r="N110" i="3" s="1" a="1"/>
  <c r="N110" i="3" s="1"/>
  <c r="Q110" i="3" s="1"/>
  <c r="L110" i="3"/>
  <c r="K110" i="3"/>
  <c r="J110" i="3"/>
  <c r="W110" i="3"/>
  <c r="V110" i="3"/>
  <c r="U110" i="3"/>
  <c r="H111" i="3"/>
  <c r="G111" i="3"/>
  <c r="F111" i="3" a="1"/>
  <c r="F111" i="3" s="1"/>
  <c r="M111" i="3" a="1"/>
  <c r="M111" i="3" s="1"/>
  <c r="N111" i="3" s="1" a="1"/>
  <c r="N111" i="3" s="1"/>
  <c r="Q111" i="3" s="1"/>
  <c r="L111" i="3"/>
  <c r="K111" i="3"/>
  <c r="J111" i="3"/>
  <c r="W111" i="3"/>
  <c r="V111" i="3"/>
  <c r="U111" i="3"/>
  <c r="H112" i="3"/>
  <c r="G112" i="3"/>
  <c r="F112" i="3" a="1"/>
  <c r="F112" i="3" s="1"/>
  <c r="M112" i="3" a="1"/>
  <c r="M112" i="3" s="1"/>
  <c r="N112" i="3" s="1" a="1"/>
  <c r="N112" i="3" s="1"/>
  <c r="Q112" i="3" s="1"/>
  <c r="L112" i="3"/>
  <c r="K112" i="3"/>
  <c r="J112" i="3"/>
  <c r="W112" i="3"/>
  <c r="V112" i="3"/>
  <c r="U112" i="3"/>
  <c r="H113" i="3"/>
  <c r="G113" i="3"/>
  <c r="F113" i="3" a="1"/>
  <c r="F113" i="3" s="1"/>
  <c r="M113" i="3" a="1"/>
  <c r="M113" i="3" s="1"/>
  <c r="N113" i="3" s="1" a="1"/>
  <c r="N113" i="3" s="1"/>
  <c r="Q113" i="3" s="1"/>
  <c r="L113" i="3"/>
  <c r="K113" i="3"/>
  <c r="J113" i="3"/>
  <c r="W113" i="3"/>
  <c r="V113" i="3"/>
  <c r="U113" i="3"/>
  <c r="H114" i="3"/>
  <c r="G114" i="3"/>
  <c r="F114" i="3" a="1"/>
  <c r="F114" i="3" s="1"/>
  <c r="M114" i="3" a="1"/>
  <c r="M114" i="3" s="1"/>
  <c r="N114" i="3" s="1" a="1"/>
  <c r="N114" i="3" s="1"/>
  <c r="Q114" i="3" s="1"/>
  <c r="L114" i="3"/>
  <c r="K114" i="3"/>
  <c r="J114" i="3"/>
  <c r="W114" i="3"/>
  <c r="V114" i="3"/>
  <c r="U114" i="3"/>
  <c r="H115" i="3"/>
  <c r="G115" i="3"/>
  <c r="F115" i="3" a="1"/>
  <c r="F115" i="3" s="1"/>
  <c r="M115" i="3" a="1"/>
  <c r="M115" i="3" s="1"/>
  <c r="N115" i="3" s="1" a="1"/>
  <c r="N115" i="3" s="1"/>
  <c r="Q115" i="3" s="1"/>
  <c r="L115" i="3"/>
  <c r="K115" i="3"/>
  <c r="J115" i="3"/>
  <c r="W115" i="3"/>
  <c r="V115" i="3"/>
  <c r="U115" i="3"/>
  <c r="H116" i="3"/>
  <c r="G116" i="3"/>
  <c r="F116" i="3" a="1"/>
  <c r="F116" i="3" s="1"/>
  <c r="M116" i="3" a="1"/>
  <c r="M116" i="3" s="1"/>
  <c r="N116" i="3" s="1" a="1"/>
  <c r="N116" i="3" s="1"/>
  <c r="Q116" i="3" s="1"/>
  <c r="L116" i="3"/>
  <c r="K116" i="3"/>
  <c r="J116" i="3"/>
  <c r="W116" i="3"/>
  <c r="V116" i="3"/>
  <c r="U116" i="3"/>
  <c r="H117" i="3"/>
  <c r="G117" i="3"/>
  <c r="F117" i="3" a="1"/>
  <c r="F117" i="3" s="1"/>
  <c r="M117" i="3" a="1"/>
  <c r="M117" i="3" s="1"/>
  <c r="N117" i="3" s="1" a="1"/>
  <c r="N117" i="3" s="1"/>
  <c r="Q117" i="3" s="1"/>
  <c r="L117" i="3"/>
  <c r="K117" i="3"/>
  <c r="J117" i="3"/>
  <c r="W117" i="3"/>
  <c r="V117" i="3"/>
  <c r="U117" i="3"/>
  <c r="H118" i="3"/>
  <c r="G118" i="3"/>
  <c r="F118" i="3" a="1"/>
  <c r="F118" i="3" s="1"/>
  <c r="M118" i="3" a="1"/>
  <c r="M118" i="3" s="1"/>
  <c r="N118" i="3" s="1" a="1"/>
  <c r="N118" i="3" s="1"/>
  <c r="Q118" i="3" s="1"/>
  <c r="L118" i="3"/>
  <c r="K118" i="3"/>
  <c r="J118" i="3"/>
  <c r="W118" i="3"/>
  <c r="V118" i="3"/>
  <c r="U118" i="3"/>
  <c r="H119" i="3"/>
  <c r="G119" i="3"/>
  <c r="F119" i="3" a="1"/>
  <c r="F119" i="3" s="1"/>
  <c r="M119" i="3" a="1"/>
  <c r="M119" i="3" s="1"/>
  <c r="N119" i="3" s="1" a="1"/>
  <c r="N119" i="3" s="1"/>
  <c r="Q119" i="3" s="1"/>
  <c r="L119" i="3"/>
  <c r="K119" i="3"/>
  <c r="J119" i="3"/>
  <c r="W119" i="3"/>
  <c r="V119" i="3"/>
  <c r="U119" i="3"/>
  <c r="H120" i="3"/>
  <c r="G120" i="3"/>
  <c r="F120" i="3" a="1"/>
  <c r="F120" i="3" s="1"/>
  <c r="M120" i="3" a="1"/>
  <c r="M120" i="3" s="1"/>
  <c r="N120" i="3" s="1" a="1"/>
  <c r="N120" i="3" s="1"/>
  <c r="Q120" i="3" s="1"/>
  <c r="L120" i="3"/>
  <c r="K120" i="3"/>
  <c r="J120" i="3"/>
  <c r="W120" i="3"/>
  <c r="V120" i="3"/>
  <c r="U120" i="3"/>
  <c r="H121" i="3"/>
  <c r="G121" i="3"/>
  <c r="F121" i="3" a="1"/>
  <c r="F121" i="3" s="1"/>
  <c r="M121" i="3" a="1"/>
  <c r="M121" i="3" s="1"/>
  <c r="N121" i="3" s="1" a="1"/>
  <c r="N121" i="3" s="1"/>
  <c r="Q121" i="3" s="1"/>
  <c r="L121" i="3"/>
  <c r="K121" i="3"/>
  <c r="J121" i="3"/>
  <c r="W121" i="3"/>
  <c r="V121" i="3"/>
  <c r="U121" i="3"/>
  <c r="H122" i="3"/>
  <c r="G122" i="3"/>
  <c r="F122" i="3" a="1"/>
  <c r="F122" i="3" s="1"/>
  <c r="M122" i="3" a="1"/>
  <c r="M122" i="3" s="1"/>
  <c r="N122" i="3" s="1" a="1"/>
  <c r="N122" i="3" s="1"/>
  <c r="Q122" i="3" s="1"/>
  <c r="L122" i="3"/>
  <c r="K122" i="3"/>
  <c r="J122" i="3"/>
  <c r="W122" i="3"/>
  <c r="V122" i="3"/>
  <c r="U122" i="3"/>
  <c r="H123" i="3"/>
  <c r="G123" i="3"/>
  <c r="F123" i="3" a="1"/>
  <c r="F123" i="3" s="1"/>
  <c r="M123" i="3" a="1"/>
  <c r="M123" i="3" s="1"/>
  <c r="N123" i="3" s="1" a="1"/>
  <c r="N123" i="3" s="1"/>
  <c r="Q123" i="3" s="1"/>
  <c r="L123" i="3"/>
  <c r="K123" i="3"/>
  <c r="J123" i="3"/>
  <c r="W123" i="3"/>
  <c r="V123" i="3"/>
  <c r="U123" i="3"/>
  <c r="H124" i="3"/>
  <c r="G124" i="3"/>
  <c r="F124" i="3" a="1"/>
  <c r="F124" i="3" s="1"/>
  <c r="M124" i="3" a="1"/>
  <c r="M124" i="3" s="1"/>
  <c r="N124" i="3" s="1" a="1"/>
  <c r="N124" i="3" s="1"/>
  <c r="Q124" i="3" s="1"/>
  <c r="L124" i="3"/>
  <c r="K124" i="3"/>
  <c r="J124" i="3"/>
  <c r="W124" i="3"/>
  <c r="V124" i="3"/>
  <c r="U124" i="3"/>
  <c r="H125" i="3"/>
  <c r="G125" i="3"/>
  <c r="F125" i="3" a="1"/>
  <c r="F125" i="3" s="1"/>
  <c r="M125" i="3" a="1"/>
  <c r="M125" i="3" s="1"/>
  <c r="N125" i="3" s="1" a="1"/>
  <c r="N125" i="3" s="1"/>
  <c r="Q125" i="3" s="1"/>
  <c r="L125" i="3"/>
  <c r="K125" i="3"/>
  <c r="J125" i="3"/>
  <c r="W125" i="3"/>
  <c r="V125" i="3"/>
  <c r="U125" i="3"/>
  <c r="H126" i="3"/>
  <c r="G126" i="3"/>
  <c r="F126" i="3" a="1"/>
  <c r="F126" i="3" s="1"/>
  <c r="M126" i="3" a="1"/>
  <c r="M126" i="3" s="1"/>
  <c r="N126" i="3" s="1" a="1"/>
  <c r="N126" i="3" s="1"/>
  <c r="Q126" i="3" s="1"/>
  <c r="L126" i="3"/>
  <c r="K126" i="3"/>
  <c r="J126" i="3"/>
  <c r="W126" i="3"/>
  <c r="V126" i="3"/>
  <c r="U126" i="3"/>
  <c r="H127" i="3"/>
  <c r="G127" i="3"/>
  <c r="F127" i="3" a="1"/>
  <c r="F127" i="3" s="1"/>
  <c r="M127" i="3" a="1"/>
  <c r="M127" i="3" s="1"/>
  <c r="N127" i="3" s="1" a="1"/>
  <c r="N127" i="3" s="1"/>
  <c r="Q127" i="3" s="1"/>
  <c r="L127" i="3"/>
  <c r="K127" i="3"/>
  <c r="J127" i="3"/>
  <c r="W127" i="3"/>
  <c r="V127" i="3"/>
  <c r="U127" i="3"/>
  <c r="H128" i="3"/>
  <c r="G128" i="3"/>
  <c r="F128" i="3" a="1"/>
  <c r="F128" i="3" s="1"/>
  <c r="M128" i="3" a="1"/>
  <c r="M128" i="3" s="1"/>
  <c r="N128" i="3" s="1" a="1"/>
  <c r="N128" i="3" s="1"/>
  <c r="Q128" i="3" s="1"/>
  <c r="L128" i="3"/>
  <c r="K128" i="3"/>
  <c r="J128" i="3"/>
  <c r="W128" i="3"/>
  <c r="V128" i="3"/>
  <c r="U128" i="3"/>
  <c r="H129" i="3"/>
  <c r="G129" i="3"/>
  <c r="F129" i="3" a="1"/>
  <c r="F129" i="3" s="1"/>
  <c r="M129" i="3" a="1"/>
  <c r="M129" i="3" s="1"/>
  <c r="N129" i="3" s="1" a="1"/>
  <c r="N129" i="3" s="1"/>
  <c r="Q129" i="3" s="1"/>
  <c r="L129" i="3"/>
  <c r="K129" i="3"/>
  <c r="J129" i="3"/>
  <c r="W129" i="3"/>
  <c r="V129" i="3"/>
  <c r="U129" i="3"/>
  <c r="H130" i="3"/>
  <c r="G130" i="3"/>
  <c r="F130" i="3" a="1"/>
  <c r="F130" i="3" s="1"/>
  <c r="M130" i="3" a="1"/>
  <c r="M130" i="3" s="1"/>
  <c r="N130" i="3" s="1" a="1"/>
  <c r="N130" i="3" s="1"/>
  <c r="Q130" i="3" s="1"/>
  <c r="L130" i="3"/>
  <c r="K130" i="3"/>
  <c r="J130" i="3"/>
  <c r="W130" i="3"/>
  <c r="V130" i="3"/>
  <c r="U130" i="3"/>
  <c r="H131" i="3"/>
  <c r="G131" i="3"/>
  <c r="F131" i="3" a="1"/>
  <c r="F131" i="3" s="1"/>
  <c r="M131" i="3" a="1"/>
  <c r="M131" i="3" s="1"/>
  <c r="N131" i="3" s="1" a="1"/>
  <c r="N131" i="3" s="1"/>
  <c r="Q131" i="3" s="1"/>
  <c r="L131" i="3"/>
  <c r="K131" i="3"/>
  <c r="J131" i="3"/>
  <c r="W131" i="3"/>
  <c r="V131" i="3"/>
  <c r="U131" i="3"/>
  <c r="H132" i="3"/>
  <c r="G132" i="3"/>
  <c r="F132" i="3" a="1"/>
  <c r="F132" i="3" s="1"/>
  <c r="M132" i="3" a="1"/>
  <c r="M132" i="3" s="1"/>
  <c r="N132" i="3" s="1" a="1"/>
  <c r="N132" i="3" s="1"/>
  <c r="Q132" i="3" s="1"/>
  <c r="L132" i="3"/>
  <c r="K132" i="3"/>
  <c r="J132" i="3"/>
  <c r="W132" i="3"/>
  <c r="V132" i="3"/>
  <c r="U132" i="3"/>
  <c r="H133" i="3"/>
  <c r="G133" i="3"/>
  <c r="F133" i="3" a="1"/>
  <c r="F133" i="3" s="1"/>
  <c r="M133" i="3" a="1"/>
  <c r="M133" i="3" s="1"/>
  <c r="N133" i="3" s="1" a="1"/>
  <c r="N133" i="3" s="1"/>
  <c r="Q133" i="3" s="1"/>
  <c r="L133" i="3"/>
  <c r="K133" i="3"/>
  <c r="J133" i="3"/>
  <c r="W133" i="3"/>
  <c r="V133" i="3"/>
  <c r="U133" i="3"/>
  <c r="H134" i="3"/>
  <c r="G134" i="3"/>
  <c r="F134" i="3" a="1"/>
  <c r="F134" i="3" s="1"/>
  <c r="M134" i="3" a="1"/>
  <c r="M134" i="3" s="1"/>
  <c r="N134" i="3" s="1" a="1"/>
  <c r="N134" i="3" s="1"/>
  <c r="Q134" i="3" s="1"/>
  <c r="L134" i="3"/>
  <c r="K134" i="3"/>
  <c r="J134" i="3"/>
  <c r="W134" i="3"/>
  <c r="V134" i="3"/>
  <c r="U134" i="3"/>
  <c r="H135" i="3"/>
  <c r="G135" i="3"/>
  <c r="F135" i="3" a="1"/>
  <c r="F135" i="3" s="1"/>
  <c r="M135" i="3" a="1"/>
  <c r="M135" i="3" s="1"/>
  <c r="N135" i="3" s="1" a="1"/>
  <c r="N135" i="3" s="1"/>
  <c r="Q135" i="3" s="1"/>
  <c r="L135" i="3"/>
  <c r="K135" i="3"/>
  <c r="J135" i="3"/>
  <c r="W135" i="3"/>
  <c r="V135" i="3"/>
  <c r="U135" i="3"/>
  <c r="H136" i="3"/>
  <c r="G136" i="3"/>
  <c r="F136" i="3" a="1"/>
  <c r="F136" i="3" s="1"/>
  <c r="M136" i="3" a="1"/>
  <c r="M136" i="3" s="1"/>
  <c r="N136" i="3" s="1" a="1"/>
  <c r="N136" i="3" s="1"/>
  <c r="Q136" i="3" s="1"/>
  <c r="L136" i="3"/>
  <c r="K136" i="3"/>
  <c r="J136" i="3"/>
  <c r="W136" i="3"/>
  <c r="V136" i="3"/>
  <c r="U136" i="3"/>
  <c r="H137" i="3"/>
  <c r="G137" i="3"/>
  <c r="F137" i="3" a="1"/>
  <c r="F137" i="3" s="1"/>
  <c r="M137" i="3" a="1"/>
  <c r="M137" i="3" s="1"/>
  <c r="N137" i="3" s="1" a="1"/>
  <c r="N137" i="3" s="1"/>
  <c r="Q137" i="3" s="1"/>
  <c r="L137" i="3"/>
  <c r="K137" i="3"/>
  <c r="J137" i="3"/>
  <c r="W137" i="3"/>
  <c r="V137" i="3"/>
  <c r="U137" i="3"/>
  <c r="H138" i="3"/>
  <c r="G138" i="3"/>
  <c r="F138" i="3" a="1"/>
  <c r="F138" i="3" s="1"/>
  <c r="M138" i="3" a="1"/>
  <c r="M138" i="3" s="1"/>
  <c r="N138" i="3" s="1" a="1"/>
  <c r="N138" i="3" s="1"/>
  <c r="Q138" i="3" s="1"/>
  <c r="L138" i="3"/>
  <c r="K138" i="3"/>
  <c r="J138" i="3"/>
  <c r="W138" i="3"/>
  <c r="V138" i="3"/>
  <c r="U138" i="3"/>
  <c r="H139" i="3"/>
  <c r="G139" i="3"/>
  <c r="F139" i="3" a="1"/>
  <c r="F139" i="3" s="1"/>
  <c r="M139" i="3" a="1"/>
  <c r="M139" i="3" s="1"/>
  <c r="N139" i="3" s="1" a="1"/>
  <c r="N139" i="3" s="1"/>
  <c r="Q139" i="3" s="1"/>
  <c r="L139" i="3"/>
  <c r="K139" i="3"/>
  <c r="J139" i="3"/>
  <c r="W139" i="3"/>
  <c r="V139" i="3"/>
  <c r="U139" i="3"/>
  <c r="H140" i="3"/>
  <c r="G140" i="3"/>
  <c r="F140" i="3" a="1"/>
  <c r="F140" i="3" s="1"/>
  <c r="M140" i="3" a="1"/>
  <c r="M140" i="3" s="1"/>
  <c r="N140" i="3" s="1" a="1"/>
  <c r="N140" i="3" s="1"/>
  <c r="Q140" i="3" s="1"/>
  <c r="L140" i="3"/>
  <c r="K140" i="3"/>
  <c r="J140" i="3"/>
  <c r="W140" i="3"/>
  <c r="V140" i="3"/>
  <c r="U140" i="3"/>
  <c r="H141" i="3"/>
  <c r="G141" i="3"/>
  <c r="F141" i="3" a="1"/>
  <c r="F141" i="3" s="1"/>
  <c r="M141" i="3" a="1"/>
  <c r="M141" i="3" s="1"/>
  <c r="N141" i="3" s="1" a="1"/>
  <c r="N141" i="3" s="1"/>
  <c r="Q141" i="3" s="1"/>
  <c r="L141" i="3"/>
  <c r="K141" i="3"/>
  <c r="J141" i="3"/>
  <c r="W141" i="3"/>
  <c r="V141" i="3"/>
  <c r="U141" i="3"/>
  <c r="H142" i="3"/>
  <c r="G142" i="3"/>
  <c r="F142" i="3" a="1"/>
  <c r="F142" i="3" s="1"/>
  <c r="M142" i="3" a="1"/>
  <c r="M142" i="3" s="1"/>
  <c r="N142" i="3" s="1" a="1"/>
  <c r="N142" i="3" s="1"/>
  <c r="Q142" i="3" s="1"/>
  <c r="L142" i="3"/>
  <c r="K142" i="3"/>
  <c r="J142" i="3"/>
  <c r="W142" i="3"/>
  <c r="V142" i="3"/>
  <c r="U142" i="3"/>
  <c r="H143" i="3"/>
  <c r="G143" i="3"/>
  <c r="F143" i="3" a="1"/>
  <c r="F143" i="3" s="1"/>
  <c r="M143" i="3" a="1"/>
  <c r="M143" i="3" s="1"/>
  <c r="N143" i="3" s="1" a="1"/>
  <c r="N143" i="3" s="1"/>
  <c r="Q143" i="3" s="1"/>
  <c r="L143" i="3"/>
  <c r="K143" i="3"/>
  <c r="J143" i="3"/>
  <c r="W143" i="3"/>
  <c r="V143" i="3"/>
  <c r="U143" i="3"/>
  <c r="H144" i="3"/>
  <c r="G144" i="3"/>
  <c r="F144" i="3" a="1"/>
  <c r="F144" i="3" s="1"/>
  <c r="M144" i="3" a="1"/>
  <c r="M144" i="3" s="1"/>
  <c r="N144" i="3" s="1" a="1"/>
  <c r="N144" i="3" s="1"/>
  <c r="Q144" i="3" s="1"/>
  <c r="L144" i="3"/>
  <c r="K144" i="3"/>
  <c r="J144" i="3"/>
  <c r="W144" i="3"/>
  <c r="V144" i="3"/>
  <c r="U144" i="3"/>
  <c r="H145" i="3"/>
  <c r="G145" i="3"/>
  <c r="F145" i="3" a="1"/>
  <c r="F145" i="3" s="1"/>
  <c r="M145" i="3" a="1"/>
  <c r="M145" i="3" s="1"/>
  <c r="N145" i="3" s="1" a="1"/>
  <c r="N145" i="3" s="1"/>
  <c r="Q145" i="3" s="1"/>
  <c r="L145" i="3"/>
  <c r="K145" i="3"/>
  <c r="J145" i="3"/>
  <c r="W145" i="3"/>
  <c r="V145" i="3"/>
  <c r="U145" i="3"/>
  <c r="H146" i="3"/>
  <c r="G146" i="3"/>
  <c r="F146" i="3" a="1"/>
  <c r="F146" i="3" s="1"/>
  <c r="M146" i="3" a="1"/>
  <c r="M146" i="3" s="1"/>
  <c r="N146" i="3" s="1" a="1"/>
  <c r="N146" i="3" s="1"/>
  <c r="Q146" i="3" s="1"/>
  <c r="L146" i="3"/>
  <c r="K146" i="3"/>
  <c r="J146" i="3"/>
  <c r="W146" i="3"/>
  <c r="V146" i="3"/>
  <c r="U146" i="3"/>
  <c r="H147" i="3"/>
  <c r="G147" i="3"/>
  <c r="F147" i="3" a="1"/>
  <c r="F147" i="3" s="1"/>
  <c r="M147" i="3" a="1"/>
  <c r="M147" i="3" s="1"/>
  <c r="N147" i="3" s="1" a="1"/>
  <c r="N147" i="3" s="1"/>
  <c r="Q147" i="3" s="1"/>
  <c r="L147" i="3"/>
  <c r="K147" i="3"/>
  <c r="J147" i="3"/>
  <c r="W147" i="3"/>
  <c r="V147" i="3"/>
  <c r="U147" i="3"/>
  <c r="H148" i="3"/>
  <c r="G148" i="3"/>
  <c r="F148" i="3" a="1"/>
  <c r="F148" i="3" s="1"/>
  <c r="M148" i="3" a="1"/>
  <c r="M148" i="3" s="1"/>
  <c r="N148" i="3" s="1" a="1"/>
  <c r="N148" i="3" s="1"/>
  <c r="Q148" i="3" s="1"/>
  <c r="L148" i="3"/>
  <c r="K148" i="3"/>
  <c r="J148" i="3"/>
  <c r="W148" i="3"/>
  <c r="V148" i="3"/>
  <c r="U148" i="3"/>
  <c r="H149" i="3"/>
  <c r="G149" i="3"/>
  <c r="F149" i="3" a="1"/>
  <c r="F149" i="3" s="1"/>
  <c r="M149" i="3" a="1"/>
  <c r="M149" i="3" s="1"/>
  <c r="N149" i="3" s="1" a="1"/>
  <c r="N149" i="3" s="1"/>
  <c r="Q149" i="3" s="1"/>
  <c r="L149" i="3"/>
  <c r="K149" i="3"/>
  <c r="J149" i="3"/>
  <c r="W149" i="3"/>
  <c r="V149" i="3"/>
  <c r="U149" i="3"/>
  <c r="H150" i="3"/>
  <c r="G150" i="3"/>
  <c r="F150" i="3" a="1"/>
  <c r="F150" i="3" s="1"/>
  <c r="M150" i="3" a="1"/>
  <c r="M150" i="3" s="1"/>
  <c r="N150" i="3" s="1" a="1"/>
  <c r="N150" i="3" s="1"/>
  <c r="Q150" i="3" s="1"/>
  <c r="L150" i="3"/>
  <c r="K150" i="3"/>
  <c r="J150" i="3"/>
  <c r="W150" i="3"/>
  <c r="V150" i="3"/>
  <c r="U150" i="3"/>
  <c r="H151" i="3"/>
  <c r="G151" i="3"/>
  <c r="F151" i="3" a="1"/>
  <c r="F151" i="3" s="1"/>
  <c r="M151" i="3" a="1"/>
  <c r="M151" i="3" s="1"/>
  <c r="N151" i="3" s="1" a="1"/>
  <c r="N151" i="3" s="1"/>
  <c r="Q151" i="3" s="1"/>
  <c r="L151" i="3"/>
  <c r="K151" i="3"/>
  <c r="J151" i="3"/>
  <c r="W151" i="3"/>
  <c r="V151" i="3"/>
  <c r="U151" i="3"/>
  <c r="H152" i="3"/>
  <c r="G152" i="3"/>
  <c r="F152" i="3" a="1"/>
  <c r="F152" i="3" s="1"/>
  <c r="M152" i="3" a="1"/>
  <c r="M152" i="3" s="1"/>
  <c r="N152" i="3" s="1" a="1"/>
  <c r="N152" i="3" s="1"/>
  <c r="Q152" i="3" s="1"/>
  <c r="L152" i="3"/>
  <c r="K152" i="3"/>
  <c r="J152" i="3"/>
  <c r="W152" i="3"/>
  <c r="V152" i="3"/>
  <c r="U152" i="3"/>
  <c r="H153" i="3"/>
  <c r="G153" i="3"/>
  <c r="F153" i="3" a="1"/>
  <c r="F153" i="3" s="1"/>
  <c r="M153" i="3" a="1"/>
  <c r="M153" i="3" s="1"/>
  <c r="N153" i="3" s="1" a="1"/>
  <c r="N153" i="3" s="1"/>
  <c r="Q153" i="3" s="1"/>
  <c r="L153" i="3"/>
  <c r="K153" i="3"/>
  <c r="J153" i="3"/>
  <c r="W153" i="3"/>
  <c r="V153" i="3"/>
  <c r="U153" i="3"/>
  <c r="H154" i="3"/>
  <c r="G154" i="3"/>
  <c r="F154" i="3" a="1"/>
  <c r="F154" i="3" s="1"/>
  <c r="M154" i="3" a="1"/>
  <c r="M154" i="3" s="1"/>
  <c r="N154" i="3" s="1" a="1"/>
  <c r="N154" i="3" s="1"/>
  <c r="Q154" i="3" s="1"/>
  <c r="L154" i="3"/>
  <c r="K154" i="3"/>
  <c r="J154" i="3"/>
  <c r="W154" i="3"/>
  <c r="V154" i="3"/>
  <c r="U154" i="3"/>
  <c r="H155" i="3"/>
  <c r="G155" i="3"/>
  <c r="F155" i="3" a="1"/>
  <c r="F155" i="3" s="1"/>
  <c r="M155" i="3" a="1"/>
  <c r="M155" i="3" s="1"/>
  <c r="N155" i="3" s="1" a="1"/>
  <c r="N155" i="3" s="1"/>
  <c r="Q155" i="3" s="1"/>
  <c r="L155" i="3"/>
  <c r="K155" i="3"/>
  <c r="J155" i="3"/>
  <c r="W155" i="3"/>
  <c r="V155" i="3"/>
  <c r="U155" i="3"/>
  <c r="H156" i="3"/>
  <c r="G156" i="3"/>
  <c r="F156" i="3" a="1"/>
  <c r="F156" i="3" s="1"/>
  <c r="M156" i="3" a="1"/>
  <c r="M156" i="3" s="1"/>
  <c r="N156" i="3" s="1" a="1"/>
  <c r="N156" i="3" s="1"/>
  <c r="Q156" i="3" s="1"/>
  <c r="L156" i="3"/>
  <c r="K156" i="3"/>
  <c r="J156" i="3"/>
  <c r="W156" i="3"/>
  <c r="V156" i="3"/>
  <c r="U156" i="3"/>
  <c r="H157" i="3"/>
  <c r="G157" i="3"/>
  <c r="F157" i="3" a="1"/>
  <c r="F157" i="3" s="1"/>
  <c r="M157" i="3" a="1"/>
  <c r="M157" i="3" s="1"/>
  <c r="N157" i="3" s="1" a="1"/>
  <c r="N157" i="3" s="1"/>
  <c r="Q157" i="3" s="1"/>
  <c r="L157" i="3"/>
  <c r="K157" i="3"/>
  <c r="J157" i="3"/>
  <c r="W157" i="3"/>
  <c r="V157" i="3"/>
  <c r="U157" i="3"/>
  <c r="H158" i="3"/>
  <c r="G158" i="3"/>
  <c r="F158" i="3" a="1"/>
  <c r="F158" i="3" s="1"/>
  <c r="M158" i="3" a="1"/>
  <c r="M158" i="3" s="1"/>
  <c r="N158" i="3" s="1" a="1"/>
  <c r="N158" i="3" s="1"/>
  <c r="Q158" i="3" s="1"/>
  <c r="L158" i="3"/>
  <c r="K158" i="3"/>
  <c r="J158" i="3"/>
  <c r="W158" i="3"/>
  <c r="V158" i="3"/>
  <c r="U158" i="3"/>
  <c r="H159" i="3"/>
  <c r="G159" i="3"/>
  <c r="F159" i="3" a="1"/>
  <c r="F159" i="3" s="1"/>
  <c r="M159" i="3" a="1"/>
  <c r="M159" i="3" s="1"/>
  <c r="N159" i="3" s="1" a="1"/>
  <c r="N159" i="3" s="1"/>
  <c r="Q159" i="3" s="1"/>
  <c r="L159" i="3"/>
  <c r="K159" i="3"/>
  <c r="J159" i="3"/>
  <c r="W159" i="3"/>
  <c r="V159" i="3"/>
  <c r="U159" i="3"/>
  <c r="H160" i="3"/>
  <c r="G160" i="3"/>
  <c r="F160" i="3" a="1"/>
  <c r="F160" i="3" s="1"/>
  <c r="M160" i="3" a="1"/>
  <c r="M160" i="3" s="1"/>
  <c r="N160" i="3" s="1" a="1"/>
  <c r="N160" i="3" s="1"/>
  <c r="Q160" i="3" s="1"/>
  <c r="L160" i="3"/>
  <c r="K160" i="3"/>
  <c r="J160" i="3"/>
  <c r="W160" i="3"/>
  <c r="V160" i="3"/>
  <c r="U160" i="3"/>
  <c r="H161" i="3"/>
  <c r="G161" i="3"/>
  <c r="F161" i="3" a="1"/>
  <c r="F161" i="3" s="1"/>
  <c r="M161" i="3" a="1"/>
  <c r="M161" i="3" s="1"/>
  <c r="N161" i="3" s="1" a="1"/>
  <c r="N161" i="3" s="1"/>
  <c r="Q161" i="3" s="1"/>
  <c r="L161" i="3"/>
  <c r="K161" i="3"/>
  <c r="J161" i="3"/>
  <c r="W161" i="3"/>
  <c r="V161" i="3"/>
  <c r="U161" i="3"/>
  <c r="H162" i="3"/>
  <c r="G162" i="3"/>
  <c r="F162" i="3" a="1"/>
  <c r="F162" i="3" s="1"/>
  <c r="M162" i="3" a="1"/>
  <c r="M162" i="3" s="1"/>
  <c r="N162" i="3" s="1" a="1"/>
  <c r="N162" i="3" s="1"/>
  <c r="Q162" i="3" s="1"/>
  <c r="L162" i="3"/>
  <c r="K162" i="3"/>
  <c r="J162" i="3"/>
  <c r="W162" i="3"/>
  <c r="V162" i="3"/>
  <c r="U162" i="3"/>
  <c r="H163" i="3"/>
  <c r="G163" i="3"/>
  <c r="F163" i="3" a="1"/>
  <c r="F163" i="3" s="1"/>
  <c r="M163" i="3" a="1"/>
  <c r="M163" i="3" s="1"/>
  <c r="N163" i="3" s="1" a="1"/>
  <c r="N163" i="3" s="1"/>
  <c r="Q163" i="3" s="1"/>
  <c r="L163" i="3"/>
  <c r="K163" i="3"/>
  <c r="J163" i="3"/>
  <c r="W163" i="3"/>
  <c r="V163" i="3"/>
  <c r="U163" i="3"/>
  <c r="H164" i="3"/>
  <c r="G164" i="3"/>
  <c r="F164" i="3" a="1"/>
  <c r="F164" i="3" s="1"/>
  <c r="M164" i="3" a="1"/>
  <c r="M164" i="3" s="1"/>
  <c r="N164" i="3" s="1" a="1"/>
  <c r="N164" i="3" s="1"/>
  <c r="Q164" i="3" s="1"/>
  <c r="L164" i="3"/>
  <c r="K164" i="3"/>
  <c r="J164" i="3"/>
  <c r="W164" i="3"/>
  <c r="V164" i="3"/>
  <c r="U164" i="3"/>
  <c r="H165" i="3"/>
  <c r="G165" i="3"/>
  <c r="F165" i="3" a="1"/>
  <c r="F165" i="3" s="1"/>
  <c r="M165" i="3" a="1"/>
  <c r="M165" i="3" s="1"/>
  <c r="N165" i="3" s="1" a="1"/>
  <c r="N165" i="3" s="1"/>
  <c r="Q165" i="3" s="1"/>
  <c r="L165" i="3"/>
  <c r="K165" i="3"/>
  <c r="J165" i="3"/>
  <c r="W165" i="3"/>
  <c r="V165" i="3"/>
  <c r="U165" i="3"/>
  <c r="H166" i="3"/>
  <c r="G166" i="3"/>
  <c r="F166" i="3" a="1"/>
  <c r="F166" i="3" s="1"/>
  <c r="M166" i="3" a="1"/>
  <c r="M166" i="3" s="1"/>
  <c r="N166" i="3" s="1" a="1"/>
  <c r="N166" i="3" s="1"/>
  <c r="Q166" i="3" s="1"/>
  <c r="L166" i="3"/>
  <c r="K166" i="3"/>
  <c r="J166" i="3"/>
  <c r="W166" i="3"/>
  <c r="V166" i="3"/>
  <c r="U166" i="3"/>
  <c r="H167" i="3"/>
  <c r="G167" i="3"/>
  <c r="F167" i="3" a="1"/>
  <c r="F167" i="3" s="1"/>
  <c r="M167" i="3" a="1"/>
  <c r="M167" i="3" s="1"/>
  <c r="N167" i="3" s="1" a="1"/>
  <c r="N167" i="3" s="1"/>
  <c r="Q167" i="3" s="1"/>
  <c r="L167" i="3"/>
  <c r="K167" i="3"/>
  <c r="J167" i="3"/>
  <c r="W167" i="3"/>
  <c r="V167" i="3"/>
  <c r="U167" i="3"/>
  <c r="H168" i="3"/>
  <c r="G168" i="3"/>
  <c r="F168" i="3" a="1"/>
  <c r="F168" i="3" s="1"/>
  <c r="M168" i="3" a="1"/>
  <c r="M168" i="3" s="1"/>
  <c r="N168" i="3" s="1" a="1"/>
  <c r="N168" i="3" s="1"/>
  <c r="Q168" i="3" s="1"/>
  <c r="L168" i="3"/>
  <c r="K168" i="3"/>
  <c r="J168" i="3"/>
  <c r="W168" i="3"/>
  <c r="V168" i="3"/>
  <c r="U168" i="3"/>
  <c r="H169" i="3"/>
  <c r="G169" i="3"/>
  <c r="F169" i="3" a="1"/>
  <c r="F169" i="3" s="1"/>
  <c r="M169" i="3" a="1"/>
  <c r="M169" i="3" s="1"/>
  <c r="N169" i="3" s="1" a="1"/>
  <c r="N169" i="3" s="1"/>
  <c r="Q169" i="3" s="1"/>
  <c r="L169" i="3"/>
  <c r="K169" i="3"/>
  <c r="J169" i="3"/>
  <c r="W169" i="3"/>
  <c r="V169" i="3"/>
  <c r="U169" i="3"/>
  <c r="H170" i="3"/>
  <c r="G170" i="3"/>
  <c r="F170" i="3" a="1"/>
  <c r="F170" i="3" s="1"/>
  <c r="M170" i="3" a="1"/>
  <c r="M170" i="3" s="1"/>
  <c r="N170" i="3" s="1" a="1"/>
  <c r="N170" i="3" s="1"/>
  <c r="Q170" i="3" s="1"/>
  <c r="L170" i="3"/>
  <c r="K170" i="3"/>
  <c r="J170" i="3"/>
  <c r="W170" i="3"/>
  <c r="V170" i="3"/>
  <c r="U170" i="3"/>
  <c r="H171" i="3"/>
  <c r="G171" i="3"/>
  <c r="F171" i="3" a="1"/>
  <c r="F171" i="3" s="1"/>
  <c r="M171" i="3" a="1"/>
  <c r="M171" i="3" s="1"/>
  <c r="N171" i="3" s="1" a="1"/>
  <c r="N171" i="3" s="1"/>
  <c r="Q171" i="3" s="1"/>
  <c r="L171" i="3"/>
  <c r="K171" i="3"/>
  <c r="J171" i="3"/>
  <c r="W171" i="3"/>
  <c r="V171" i="3"/>
  <c r="U171" i="3"/>
  <c r="H172" i="3"/>
  <c r="G172" i="3"/>
  <c r="F172" i="3" a="1"/>
  <c r="F172" i="3" s="1"/>
  <c r="M172" i="3" a="1"/>
  <c r="M172" i="3" s="1"/>
  <c r="N172" i="3" s="1" a="1"/>
  <c r="N172" i="3" s="1"/>
  <c r="Q172" i="3" s="1"/>
  <c r="L172" i="3"/>
  <c r="K172" i="3"/>
  <c r="J172" i="3"/>
  <c r="W172" i="3"/>
  <c r="V172" i="3"/>
  <c r="U172" i="3"/>
  <c r="H173" i="3"/>
  <c r="G173" i="3"/>
  <c r="F173" i="3" a="1"/>
  <c r="F173" i="3" s="1"/>
  <c r="M173" i="3" a="1"/>
  <c r="M173" i="3" s="1"/>
  <c r="N173" i="3" s="1" a="1"/>
  <c r="N173" i="3" s="1"/>
  <c r="Q173" i="3" s="1"/>
  <c r="L173" i="3"/>
  <c r="K173" i="3"/>
  <c r="J173" i="3"/>
  <c r="W173" i="3"/>
  <c r="V173" i="3"/>
  <c r="U173" i="3"/>
  <c r="H174" i="3"/>
  <c r="G174" i="3"/>
  <c r="F174" i="3" a="1"/>
  <c r="F174" i="3" s="1"/>
  <c r="M174" i="3" a="1"/>
  <c r="M174" i="3" s="1"/>
  <c r="N174" i="3" s="1" a="1"/>
  <c r="N174" i="3" s="1"/>
  <c r="Q174" i="3" s="1"/>
  <c r="L174" i="3"/>
  <c r="K174" i="3"/>
  <c r="J174" i="3"/>
  <c r="W174" i="3"/>
  <c r="V174" i="3"/>
  <c r="U174" i="3"/>
  <c r="H175" i="3"/>
  <c r="G175" i="3"/>
  <c r="F175" i="3" a="1"/>
  <c r="F175" i="3" s="1"/>
  <c r="M175" i="3" a="1"/>
  <c r="M175" i="3" s="1"/>
  <c r="N175" i="3" s="1" a="1"/>
  <c r="N175" i="3" s="1"/>
  <c r="Q175" i="3" s="1"/>
  <c r="L175" i="3"/>
  <c r="K175" i="3"/>
  <c r="J175" i="3"/>
  <c r="W175" i="3"/>
  <c r="V175" i="3"/>
  <c r="U175" i="3"/>
  <c r="H176" i="3"/>
  <c r="G176" i="3"/>
  <c r="F176" i="3" a="1"/>
  <c r="F176" i="3" s="1"/>
  <c r="M176" i="3" a="1"/>
  <c r="M176" i="3" s="1"/>
  <c r="N176" i="3" s="1" a="1"/>
  <c r="N176" i="3" s="1"/>
  <c r="Q176" i="3" s="1"/>
  <c r="L176" i="3"/>
  <c r="K176" i="3"/>
  <c r="J176" i="3"/>
  <c r="W176" i="3"/>
  <c r="V176" i="3"/>
  <c r="U176" i="3"/>
  <c r="H177" i="3"/>
  <c r="G177" i="3"/>
  <c r="F177" i="3" a="1"/>
  <c r="F177" i="3" s="1"/>
  <c r="M177" i="3" a="1"/>
  <c r="M177" i="3" s="1"/>
  <c r="N177" i="3" s="1" a="1"/>
  <c r="N177" i="3" s="1"/>
  <c r="Q177" i="3" s="1"/>
  <c r="L177" i="3"/>
  <c r="K177" i="3"/>
  <c r="J177" i="3"/>
  <c r="W177" i="3"/>
  <c r="V177" i="3"/>
  <c r="U177" i="3"/>
  <c r="H178" i="3"/>
  <c r="G178" i="3"/>
  <c r="F178" i="3" a="1"/>
  <c r="F178" i="3" s="1"/>
  <c r="M178" i="3" a="1"/>
  <c r="M178" i="3" s="1"/>
  <c r="N178" i="3" s="1" a="1"/>
  <c r="N178" i="3" s="1"/>
  <c r="Q178" i="3" s="1"/>
  <c r="L178" i="3"/>
  <c r="K178" i="3"/>
  <c r="J178" i="3"/>
  <c r="W178" i="3"/>
  <c r="V178" i="3"/>
  <c r="U178" i="3"/>
  <c r="H179" i="3"/>
  <c r="G179" i="3"/>
  <c r="F179" i="3" a="1"/>
  <c r="F179" i="3" s="1"/>
  <c r="M179" i="3" a="1"/>
  <c r="M179" i="3" s="1"/>
  <c r="N179" i="3" s="1" a="1"/>
  <c r="N179" i="3" s="1"/>
  <c r="Q179" i="3" s="1"/>
  <c r="L179" i="3"/>
  <c r="K179" i="3"/>
  <c r="J179" i="3"/>
  <c r="W179" i="3"/>
  <c r="V179" i="3"/>
  <c r="U179" i="3"/>
  <c r="H180" i="3"/>
  <c r="G180" i="3"/>
  <c r="F180" i="3" a="1"/>
  <c r="F180" i="3" s="1"/>
  <c r="M180" i="3" a="1"/>
  <c r="M180" i="3" s="1"/>
  <c r="N180" i="3" s="1" a="1"/>
  <c r="N180" i="3" s="1"/>
  <c r="Q180" i="3" s="1"/>
  <c r="L180" i="3"/>
  <c r="K180" i="3"/>
  <c r="J180" i="3"/>
  <c r="W180" i="3"/>
  <c r="V180" i="3"/>
  <c r="U180" i="3"/>
  <c r="H181" i="3"/>
  <c r="G181" i="3"/>
  <c r="F181" i="3" a="1"/>
  <c r="F181" i="3" s="1"/>
  <c r="M181" i="3" a="1"/>
  <c r="M181" i="3" s="1"/>
  <c r="N181" i="3" s="1" a="1"/>
  <c r="N181" i="3" s="1"/>
  <c r="Q181" i="3" s="1"/>
  <c r="L181" i="3"/>
  <c r="K181" i="3"/>
  <c r="J181" i="3"/>
  <c r="W181" i="3"/>
  <c r="V181" i="3"/>
  <c r="U181" i="3"/>
  <c r="H182" i="3"/>
  <c r="G182" i="3"/>
  <c r="F182" i="3" a="1"/>
  <c r="F182" i="3" s="1"/>
  <c r="M182" i="3" a="1"/>
  <c r="M182" i="3" s="1"/>
  <c r="N182" i="3" s="1" a="1"/>
  <c r="N182" i="3" s="1"/>
  <c r="Q182" i="3" s="1"/>
  <c r="L182" i="3"/>
  <c r="K182" i="3"/>
  <c r="J182" i="3"/>
  <c r="W182" i="3"/>
  <c r="V182" i="3"/>
  <c r="U182" i="3"/>
  <c r="H183" i="3"/>
  <c r="G183" i="3"/>
  <c r="F183" i="3" a="1"/>
  <c r="F183" i="3" s="1"/>
  <c r="M183" i="3" a="1"/>
  <c r="M183" i="3" s="1"/>
  <c r="N183" i="3" s="1" a="1"/>
  <c r="N183" i="3" s="1"/>
  <c r="Q183" i="3" s="1"/>
  <c r="L183" i="3"/>
  <c r="K183" i="3"/>
  <c r="J183" i="3"/>
  <c r="W183" i="3"/>
  <c r="V183" i="3"/>
  <c r="U183" i="3"/>
  <c r="H184" i="3"/>
  <c r="G184" i="3"/>
  <c r="F184" i="3" a="1"/>
  <c r="F184" i="3" s="1"/>
  <c r="M184" i="3" a="1"/>
  <c r="M184" i="3" s="1"/>
  <c r="N184" i="3" s="1" a="1"/>
  <c r="N184" i="3" s="1"/>
  <c r="Q184" i="3" s="1"/>
  <c r="L184" i="3"/>
  <c r="K184" i="3"/>
  <c r="J184" i="3"/>
  <c r="W184" i="3"/>
  <c r="V184" i="3"/>
  <c r="U184" i="3"/>
  <c r="H185" i="3"/>
  <c r="G185" i="3"/>
  <c r="F185" i="3" a="1"/>
  <c r="F185" i="3" s="1"/>
  <c r="M185" i="3" a="1"/>
  <c r="M185" i="3" s="1"/>
  <c r="N185" i="3" s="1" a="1"/>
  <c r="N185" i="3" s="1"/>
  <c r="Q185" i="3" s="1"/>
  <c r="L185" i="3"/>
  <c r="K185" i="3"/>
  <c r="J185" i="3"/>
  <c r="W185" i="3"/>
  <c r="V185" i="3"/>
  <c r="U185" i="3"/>
  <c r="H186" i="3"/>
  <c r="G186" i="3"/>
  <c r="F186" i="3" a="1"/>
  <c r="F186" i="3" s="1"/>
  <c r="M186" i="3" a="1"/>
  <c r="M186" i="3" s="1"/>
  <c r="N186" i="3" s="1" a="1"/>
  <c r="N186" i="3" s="1"/>
  <c r="Q186" i="3" s="1"/>
  <c r="L186" i="3"/>
  <c r="K186" i="3"/>
  <c r="J186" i="3"/>
  <c r="W186" i="3"/>
  <c r="V186" i="3"/>
  <c r="U186" i="3"/>
  <c r="H187" i="3"/>
  <c r="G187" i="3"/>
  <c r="F187" i="3" a="1"/>
  <c r="F187" i="3" s="1"/>
  <c r="M187" i="3" a="1"/>
  <c r="M187" i="3" s="1"/>
  <c r="N187" i="3" s="1" a="1"/>
  <c r="N187" i="3" s="1"/>
  <c r="Q187" i="3" s="1"/>
  <c r="L187" i="3"/>
  <c r="K187" i="3"/>
  <c r="J187" i="3"/>
  <c r="W187" i="3"/>
  <c r="V187" i="3"/>
  <c r="U187" i="3"/>
  <c r="H188" i="3"/>
  <c r="G188" i="3"/>
  <c r="F188" i="3" a="1"/>
  <c r="F188" i="3" s="1"/>
  <c r="M188" i="3" a="1"/>
  <c r="M188" i="3" s="1"/>
  <c r="N188" i="3" s="1" a="1"/>
  <c r="N188" i="3" s="1"/>
  <c r="Q188" i="3" s="1"/>
  <c r="L188" i="3"/>
  <c r="K188" i="3"/>
  <c r="J188" i="3"/>
  <c r="W188" i="3"/>
  <c r="V188" i="3"/>
  <c r="U188" i="3"/>
  <c r="H189" i="3"/>
  <c r="G189" i="3"/>
  <c r="F189" i="3" a="1"/>
  <c r="F189" i="3" s="1"/>
  <c r="M189" i="3" a="1"/>
  <c r="M189" i="3" s="1"/>
  <c r="N189" i="3" s="1" a="1"/>
  <c r="N189" i="3" s="1"/>
  <c r="Q189" i="3" s="1"/>
  <c r="L189" i="3"/>
  <c r="K189" i="3"/>
  <c r="J189" i="3"/>
  <c r="W189" i="3"/>
  <c r="V189" i="3"/>
  <c r="U189" i="3"/>
  <c r="H190" i="3"/>
  <c r="G190" i="3"/>
  <c r="F190" i="3" a="1"/>
  <c r="F190" i="3" s="1"/>
  <c r="M190" i="3" a="1"/>
  <c r="M190" i="3" s="1"/>
  <c r="N190" i="3" s="1" a="1"/>
  <c r="N190" i="3" s="1"/>
  <c r="Q190" i="3" s="1"/>
  <c r="L190" i="3"/>
  <c r="K190" i="3"/>
  <c r="J190" i="3"/>
  <c r="W190" i="3"/>
  <c r="V190" i="3"/>
  <c r="U190" i="3"/>
  <c r="H191" i="3"/>
  <c r="G191" i="3"/>
  <c r="F191" i="3" a="1"/>
  <c r="F191" i="3" s="1"/>
  <c r="M191" i="3" a="1"/>
  <c r="M191" i="3" s="1"/>
  <c r="N191" i="3" s="1" a="1"/>
  <c r="N191" i="3" s="1"/>
  <c r="Q191" i="3" s="1"/>
  <c r="L191" i="3"/>
  <c r="K191" i="3"/>
  <c r="J191" i="3"/>
  <c r="W191" i="3"/>
  <c r="V191" i="3"/>
  <c r="U191" i="3"/>
  <c r="H192" i="3"/>
  <c r="G192" i="3"/>
  <c r="F192" i="3" a="1"/>
  <c r="F192" i="3" s="1"/>
  <c r="M192" i="3" a="1"/>
  <c r="M192" i="3" s="1"/>
  <c r="N192" i="3" s="1" a="1"/>
  <c r="N192" i="3" s="1"/>
  <c r="Q192" i="3" s="1"/>
  <c r="L192" i="3"/>
  <c r="K192" i="3"/>
  <c r="J192" i="3"/>
  <c r="W192" i="3"/>
  <c r="V192" i="3"/>
  <c r="U192" i="3"/>
  <c r="H193" i="3"/>
  <c r="G193" i="3"/>
  <c r="F193" i="3" a="1"/>
  <c r="F193" i="3" s="1"/>
  <c r="M193" i="3" a="1"/>
  <c r="M193" i="3" s="1"/>
  <c r="N193" i="3" s="1" a="1"/>
  <c r="N193" i="3" s="1"/>
  <c r="Q193" i="3" s="1"/>
  <c r="L193" i="3"/>
  <c r="K193" i="3"/>
  <c r="J193" i="3"/>
  <c r="W193" i="3"/>
  <c r="V193" i="3"/>
  <c r="U193" i="3"/>
  <c r="H194" i="3"/>
  <c r="G194" i="3"/>
  <c r="F194" i="3" a="1"/>
  <c r="F194" i="3" s="1"/>
  <c r="M194" i="3" a="1"/>
  <c r="M194" i="3" s="1"/>
  <c r="N194" i="3" s="1" a="1"/>
  <c r="N194" i="3" s="1"/>
  <c r="Q194" i="3" s="1"/>
  <c r="L194" i="3"/>
  <c r="K194" i="3"/>
  <c r="J194" i="3"/>
  <c r="W194" i="3"/>
  <c r="V194" i="3"/>
  <c r="U194" i="3"/>
  <c r="H195" i="3"/>
  <c r="G195" i="3"/>
  <c r="F195" i="3" a="1"/>
  <c r="F195" i="3" s="1"/>
  <c r="M195" i="3" a="1"/>
  <c r="M195" i="3" s="1"/>
  <c r="N195" i="3" s="1" a="1"/>
  <c r="N195" i="3" s="1"/>
  <c r="Q195" i="3" s="1"/>
  <c r="L195" i="3"/>
  <c r="K195" i="3"/>
  <c r="J195" i="3"/>
  <c r="W195" i="3"/>
  <c r="V195" i="3"/>
  <c r="U195" i="3"/>
  <c r="H196" i="3"/>
  <c r="G196" i="3"/>
  <c r="F196" i="3" a="1"/>
  <c r="F196" i="3" s="1"/>
  <c r="M196" i="3" a="1"/>
  <c r="M196" i="3" s="1"/>
  <c r="N196" i="3" s="1" a="1"/>
  <c r="N196" i="3" s="1"/>
  <c r="Q196" i="3" s="1"/>
  <c r="L196" i="3"/>
  <c r="K196" i="3"/>
  <c r="J196" i="3"/>
  <c r="W196" i="3"/>
  <c r="V196" i="3"/>
  <c r="U196" i="3"/>
  <c r="H197" i="3"/>
  <c r="G197" i="3"/>
  <c r="F197" i="3" a="1"/>
  <c r="F197" i="3" s="1"/>
  <c r="M197" i="3" a="1"/>
  <c r="M197" i="3" s="1"/>
  <c r="N197" i="3" s="1" a="1"/>
  <c r="N197" i="3" s="1"/>
  <c r="Q197" i="3" s="1"/>
  <c r="L197" i="3"/>
  <c r="K197" i="3"/>
  <c r="J197" i="3"/>
  <c r="W197" i="3"/>
  <c r="V197" i="3"/>
  <c r="U197" i="3"/>
  <c r="H198" i="3"/>
  <c r="G198" i="3"/>
  <c r="F198" i="3" a="1"/>
  <c r="F198" i="3" s="1"/>
  <c r="M198" i="3" a="1"/>
  <c r="M198" i="3" s="1"/>
  <c r="N198" i="3" s="1" a="1"/>
  <c r="N198" i="3" s="1"/>
  <c r="Q198" i="3" s="1"/>
  <c r="L198" i="3"/>
  <c r="K198" i="3"/>
  <c r="J198" i="3"/>
  <c r="W198" i="3"/>
  <c r="V198" i="3"/>
  <c r="U198" i="3"/>
  <c r="H199" i="3"/>
  <c r="G199" i="3"/>
  <c r="F199" i="3" a="1"/>
  <c r="F199" i="3" s="1"/>
  <c r="M199" i="3" a="1"/>
  <c r="M199" i="3" s="1"/>
  <c r="N199" i="3" s="1" a="1"/>
  <c r="N199" i="3" s="1"/>
  <c r="Q199" i="3" s="1"/>
  <c r="L199" i="3"/>
  <c r="K199" i="3"/>
  <c r="J199" i="3"/>
  <c r="W199" i="3"/>
  <c r="V199" i="3"/>
  <c r="U199" i="3"/>
  <c r="H200" i="3"/>
  <c r="G200" i="3"/>
  <c r="F200" i="3" a="1"/>
  <c r="F200" i="3" s="1"/>
  <c r="M200" i="3" a="1"/>
  <c r="M200" i="3" s="1"/>
  <c r="N200" i="3" s="1" a="1"/>
  <c r="N200" i="3" s="1"/>
  <c r="Q200" i="3" s="1"/>
  <c r="L200" i="3"/>
  <c r="K200" i="3"/>
  <c r="J200" i="3"/>
  <c r="W200" i="3"/>
  <c r="V200" i="3"/>
  <c r="U200" i="3"/>
  <c r="F4" i="4"/>
  <c r="E4" i="4"/>
  <c r="D4" i="4"/>
  <c r="C4" i="4"/>
  <c r="F5" i="4"/>
  <c r="E5" i="4"/>
  <c r="D5" i="4"/>
  <c r="C5" i="4"/>
  <c r="F6" i="4"/>
  <c r="E6" i="4"/>
  <c r="D6" i="4"/>
  <c r="C6" i="4"/>
  <c r="F7" i="4"/>
  <c r="E7" i="4"/>
  <c r="D7" i="4"/>
  <c r="C7" i="4"/>
  <c r="F8" i="4"/>
  <c r="E8" i="4"/>
  <c r="D8" i="4"/>
  <c r="C8" i="4"/>
  <c r="F9" i="4"/>
  <c r="E9" i="4"/>
  <c r="D9" i="4"/>
  <c r="C9" i="4"/>
  <c r="F10" i="4"/>
  <c r="E10" i="4"/>
  <c r="D10" i="4"/>
  <c r="C10" i="4"/>
  <c r="F11" i="4"/>
  <c r="E11" i="4"/>
  <c r="D11" i="4"/>
  <c r="C11" i="4"/>
  <c r="F12" i="4"/>
  <c r="E12" i="4"/>
  <c r="D12" i="4"/>
  <c r="C12" i="4"/>
  <c r="F13" i="4"/>
  <c r="E13" i="4"/>
  <c r="D13" i="4"/>
  <c r="C13" i="4"/>
  <c r="F14" i="4"/>
  <c r="E14" i="4"/>
  <c r="D14" i="4"/>
  <c r="C14" i="4"/>
  <c r="F15" i="4"/>
  <c r="E15" i="4"/>
  <c r="D15" i="4"/>
  <c r="C15" i="4"/>
  <c r="F16" i="4"/>
  <c r="E16" i="4"/>
  <c r="D16" i="4"/>
  <c r="C16" i="4"/>
  <c r="F17" i="4"/>
  <c r="E17" i="4"/>
  <c r="D17" i="4"/>
  <c r="C17" i="4"/>
  <c r="F18" i="4"/>
  <c r="E18" i="4"/>
  <c r="D18" i="4"/>
  <c r="C18" i="4"/>
  <c r="F19" i="4"/>
  <c r="E19" i="4"/>
  <c r="D19" i="4"/>
  <c r="C19" i="4"/>
  <c r="F20" i="4"/>
  <c r="E20" i="4"/>
  <c r="D20" i="4"/>
  <c r="C20" i="4"/>
  <c r="F21" i="4"/>
  <c r="E21" i="4"/>
  <c r="D21" i="4"/>
  <c r="C21" i="4"/>
  <c r="F22" i="4"/>
  <c r="E22" i="4"/>
  <c r="D22" i="4"/>
  <c r="C22" i="4"/>
  <c r="F23" i="4"/>
  <c r="E23" i="4"/>
  <c r="D23" i="4"/>
  <c r="C23" i="4"/>
  <c r="F24" i="4"/>
  <c r="E24" i="4"/>
  <c r="D24" i="4"/>
  <c r="C24" i="4"/>
  <c r="F25" i="4"/>
  <c r="E25" i="4"/>
  <c r="D25" i="4"/>
  <c r="C25" i="4"/>
  <c r="F26" i="4"/>
  <c r="E26" i="4"/>
  <c r="D26" i="4"/>
  <c r="C26" i="4"/>
  <c r="F27" i="4"/>
  <c r="E27" i="4"/>
  <c r="D27" i="4"/>
  <c r="C27" i="4"/>
  <c r="F28" i="4"/>
  <c r="E28" i="4"/>
  <c r="D28" i="4"/>
  <c r="C28" i="4"/>
  <c r="F29" i="4"/>
  <c r="E29" i="4"/>
  <c r="D29" i="4"/>
  <c r="C29" i="4"/>
  <c r="F30" i="4"/>
  <c r="E30" i="4"/>
  <c r="D30" i="4"/>
  <c r="C30" i="4"/>
  <c r="F31" i="4"/>
  <c r="E31" i="4"/>
  <c r="D31" i="4"/>
  <c r="C31" i="4"/>
  <c r="F32" i="4"/>
  <c r="E32" i="4"/>
  <c r="D32" i="4"/>
  <c r="C32" i="4"/>
  <c r="F33" i="4"/>
  <c r="E33" i="4"/>
  <c r="D33" i="4"/>
  <c r="C33" i="4"/>
  <c r="F34" i="4"/>
  <c r="E34" i="4"/>
  <c r="D34" i="4"/>
  <c r="C34" i="4"/>
  <c r="F35" i="4"/>
  <c r="E35" i="4"/>
  <c r="D35" i="4"/>
  <c r="C35" i="4"/>
  <c r="F36" i="4"/>
  <c r="E36" i="4"/>
  <c r="D36" i="4"/>
  <c r="C36" i="4"/>
  <c r="F37" i="4"/>
  <c r="E37" i="4"/>
  <c r="D37" i="4"/>
  <c r="C37" i="4"/>
  <c r="F38" i="4"/>
  <c r="E38" i="4"/>
  <c r="D38" i="4"/>
  <c r="C38" i="4"/>
  <c r="F39" i="4"/>
  <c r="E39" i="4"/>
  <c r="D39" i="4"/>
  <c r="C39" i="4"/>
  <c r="F40" i="4"/>
  <c r="E40" i="4"/>
  <c r="D40" i="4"/>
  <c r="C40" i="4"/>
  <c r="F41" i="4"/>
  <c r="E41" i="4"/>
  <c r="D41" i="4"/>
  <c r="C41" i="4"/>
  <c r="F42" i="4"/>
  <c r="E42" i="4"/>
  <c r="D42" i="4"/>
  <c r="C42" i="4"/>
  <c r="F43" i="4"/>
  <c r="E43" i="4"/>
  <c r="D43" i="4"/>
  <c r="C43" i="4"/>
  <c r="F44" i="4"/>
  <c r="E44" i="4"/>
  <c r="D44" i="4"/>
  <c r="C44" i="4"/>
  <c r="F45" i="4"/>
  <c r="E45" i="4"/>
  <c r="D45" i="4"/>
  <c r="C45" i="4"/>
  <c r="F46" i="4"/>
  <c r="E46" i="4"/>
  <c r="D46" i="4"/>
  <c r="C46" i="4"/>
  <c r="F47" i="4"/>
  <c r="E47" i="4"/>
  <c r="D47" i="4"/>
  <c r="C47" i="4"/>
  <c r="F48" i="4"/>
  <c r="E48" i="4"/>
  <c r="D48" i="4"/>
  <c r="C48" i="4"/>
  <c r="F49" i="4"/>
  <c r="E49" i="4"/>
  <c r="D49" i="4"/>
  <c r="C49" i="4"/>
  <c r="F50" i="4"/>
  <c r="E50" i="4"/>
  <c r="D50" i="4"/>
  <c r="C50" i="4"/>
  <c r="F51" i="4"/>
  <c r="E51" i="4"/>
  <c r="D51" i="4"/>
  <c r="C51" i="4"/>
  <c r="F52" i="4"/>
  <c r="E52" i="4"/>
  <c r="D52" i="4"/>
  <c r="C52" i="4"/>
  <c r="F53" i="4"/>
  <c r="E53" i="4"/>
  <c r="D53" i="4"/>
  <c r="C53" i="4"/>
  <c r="F54" i="4"/>
  <c r="E54" i="4"/>
  <c r="D54" i="4"/>
  <c r="C54" i="4"/>
  <c r="F55" i="4"/>
  <c r="E55" i="4"/>
  <c r="D55" i="4"/>
  <c r="C55" i="4"/>
  <c r="F56" i="4"/>
  <c r="E56" i="4"/>
  <c r="D56" i="4"/>
  <c r="C56" i="4"/>
  <c r="F57" i="4"/>
  <c r="E57" i="4"/>
  <c r="D57" i="4"/>
  <c r="C57" i="4"/>
  <c r="F58" i="4"/>
  <c r="E58" i="4"/>
  <c r="D58" i="4"/>
  <c r="C58" i="4"/>
  <c r="F59" i="4"/>
  <c r="E59" i="4"/>
  <c r="D59" i="4"/>
  <c r="C59" i="4"/>
  <c r="F60" i="4"/>
  <c r="E60" i="4"/>
  <c r="D60" i="4"/>
  <c r="C60" i="4"/>
  <c r="F61" i="4"/>
  <c r="E61" i="4"/>
  <c r="D61" i="4"/>
  <c r="C61" i="4"/>
  <c r="F62" i="4"/>
  <c r="E62" i="4"/>
  <c r="D62" i="4"/>
  <c r="C62" i="4"/>
  <c r="F63" i="4"/>
  <c r="E63" i="4"/>
  <c r="D63" i="4"/>
  <c r="C63" i="4"/>
  <c r="F64" i="4"/>
  <c r="E64" i="4"/>
  <c r="D64" i="4"/>
  <c r="C64" i="4"/>
  <c r="F65" i="4"/>
  <c r="E65" i="4"/>
  <c r="D65" i="4"/>
  <c r="C65" i="4"/>
  <c r="F66" i="4"/>
  <c r="E66" i="4"/>
  <c r="D66" i="4"/>
  <c r="C66" i="4"/>
  <c r="F67" i="4"/>
  <c r="E67" i="4"/>
  <c r="D67" i="4"/>
  <c r="C67" i="4"/>
  <c r="F68" i="4"/>
  <c r="E68" i="4"/>
  <c r="D68" i="4"/>
  <c r="C68" i="4"/>
  <c r="F69" i="4"/>
  <c r="E69" i="4"/>
  <c r="D69" i="4"/>
  <c r="C69" i="4"/>
  <c r="F70" i="4"/>
  <c r="E70" i="4"/>
  <c r="D70" i="4"/>
  <c r="C70" i="4"/>
  <c r="F71" i="4"/>
  <c r="E71" i="4"/>
  <c r="D71" i="4"/>
  <c r="C71" i="4"/>
  <c r="F72" i="4"/>
  <c r="E72" i="4"/>
  <c r="D72" i="4"/>
  <c r="C72" i="4"/>
  <c r="F73" i="4"/>
  <c r="E73" i="4"/>
  <c r="D73" i="4"/>
  <c r="C73" i="4"/>
  <c r="F74" i="4"/>
  <c r="E74" i="4"/>
  <c r="D74" i="4"/>
  <c r="C74" i="4"/>
  <c r="F75" i="4"/>
  <c r="E75" i="4"/>
  <c r="D75" i="4"/>
  <c r="C75" i="4"/>
  <c r="F76" i="4"/>
  <c r="E76" i="4"/>
  <c r="D76" i="4"/>
  <c r="C76" i="4"/>
  <c r="F77" i="4"/>
  <c r="E77" i="4"/>
  <c r="D77" i="4"/>
  <c r="C77" i="4"/>
  <c r="F78" i="4"/>
  <c r="E78" i="4"/>
  <c r="D78" i="4"/>
  <c r="C78" i="4"/>
  <c r="F79" i="4"/>
  <c r="E79" i="4"/>
  <c r="D79" i="4"/>
  <c r="C79" i="4"/>
  <c r="F80" i="4"/>
  <c r="E80" i="4"/>
  <c r="D80" i="4"/>
  <c r="C80" i="4"/>
  <c r="F81" i="4"/>
  <c r="E81" i="4"/>
  <c r="D81" i="4"/>
  <c r="C81" i="4"/>
  <c r="F82" i="4"/>
  <c r="E82" i="4"/>
  <c r="D82" i="4"/>
  <c r="C82" i="4"/>
  <c r="F83" i="4"/>
  <c r="E83" i="4"/>
  <c r="D83" i="4"/>
  <c r="C83" i="4"/>
  <c r="F84" i="4"/>
  <c r="E84" i="4"/>
  <c r="D84" i="4"/>
  <c r="C84" i="4"/>
  <c r="F85" i="4"/>
  <c r="E85" i="4"/>
  <c r="D85" i="4"/>
  <c r="C85" i="4"/>
  <c r="F86" i="4"/>
  <c r="E86" i="4"/>
  <c r="D86" i="4"/>
  <c r="C86" i="4"/>
  <c r="F87" i="4"/>
  <c r="E87" i="4"/>
  <c r="D87" i="4"/>
  <c r="C87" i="4"/>
  <c r="F88" i="4"/>
  <c r="E88" i="4"/>
  <c r="D88" i="4"/>
  <c r="C88" i="4"/>
  <c r="F89" i="4"/>
  <c r="E89" i="4"/>
  <c r="D89" i="4"/>
  <c r="C89" i="4"/>
  <c r="F90" i="4"/>
  <c r="E90" i="4"/>
  <c r="D90" i="4"/>
  <c r="C90" i="4"/>
  <c r="F91" i="4"/>
  <c r="E91" i="4"/>
  <c r="D91" i="4"/>
  <c r="C91" i="4"/>
  <c r="F92" i="4"/>
  <c r="E92" i="4"/>
  <c r="D92" i="4"/>
  <c r="C92" i="4"/>
  <c r="F93" i="4"/>
  <c r="E93" i="4"/>
  <c r="D93" i="4"/>
  <c r="C93" i="4"/>
  <c r="F94" i="4"/>
  <c r="E94" i="4"/>
  <c r="D94" i="4"/>
  <c r="C94" i="4"/>
  <c r="F95" i="4"/>
  <c r="E95" i="4"/>
  <c r="D95" i="4"/>
  <c r="C95" i="4"/>
  <c r="F96" i="4"/>
  <c r="E96" i="4"/>
  <c r="D96" i="4"/>
  <c r="C96" i="4"/>
  <c r="F97" i="4"/>
  <c r="E97" i="4"/>
  <c r="D97" i="4"/>
  <c r="C97" i="4"/>
  <c r="F98" i="4"/>
  <c r="E98" i="4"/>
  <c r="D98" i="4"/>
  <c r="C98" i="4"/>
  <c r="F99" i="4"/>
  <c r="E99" i="4"/>
  <c r="D99" i="4"/>
  <c r="C99" i="4"/>
  <c r="F100" i="4"/>
  <c r="E100" i="4"/>
  <c r="D100" i="4"/>
  <c r="C100" i="4"/>
  <c r="F101" i="4"/>
  <c r="E101" i="4"/>
  <c r="D101" i="4"/>
  <c r="C101" i="4"/>
  <c r="F102" i="4"/>
  <c r="E102" i="4"/>
  <c r="D102" i="4"/>
  <c r="C102" i="4"/>
  <c r="F103" i="4"/>
  <c r="E103" i="4"/>
  <c r="D103" i="4"/>
  <c r="C103" i="4"/>
  <c r="F104" i="4"/>
  <c r="E104" i="4"/>
  <c r="D104" i="4"/>
  <c r="C104" i="4"/>
  <c r="F105" i="4"/>
  <c r="E105" i="4"/>
  <c r="D105" i="4"/>
  <c r="C105" i="4"/>
  <c r="F106" i="4"/>
  <c r="E106" i="4"/>
  <c r="D106" i="4"/>
  <c r="C106" i="4"/>
  <c r="F107" i="4"/>
  <c r="E107" i="4"/>
  <c r="D107" i="4"/>
  <c r="C107" i="4"/>
  <c r="F108" i="4"/>
  <c r="E108" i="4"/>
  <c r="D108" i="4"/>
  <c r="C108" i="4"/>
  <c r="F109" i="4"/>
  <c r="E109" i="4"/>
  <c r="D109" i="4"/>
  <c r="C109" i="4"/>
  <c r="F110" i="4"/>
  <c r="E110" i="4"/>
  <c r="D110" i="4"/>
  <c r="C110" i="4"/>
  <c r="F111" i="4"/>
  <c r="E111" i="4"/>
  <c r="D111" i="4"/>
  <c r="C111" i="4"/>
  <c r="F112" i="4"/>
  <c r="E112" i="4"/>
  <c r="D112" i="4"/>
  <c r="C112" i="4"/>
  <c r="F113" i="4"/>
  <c r="E113" i="4"/>
  <c r="D113" i="4"/>
  <c r="C113" i="4"/>
  <c r="F114" i="4"/>
  <c r="E114" i="4"/>
  <c r="D114" i="4"/>
  <c r="C114" i="4"/>
  <c r="F115" i="4"/>
  <c r="E115" i="4"/>
  <c r="D115" i="4"/>
  <c r="C115" i="4"/>
  <c r="F116" i="4"/>
  <c r="E116" i="4"/>
  <c r="D116" i="4"/>
  <c r="C116" i="4"/>
  <c r="F117" i="4"/>
  <c r="E117" i="4"/>
  <c r="D117" i="4"/>
  <c r="C117" i="4"/>
  <c r="F118" i="4"/>
  <c r="E118" i="4"/>
  <c r="D118" i="4"/>
  <c r="C118" i="4"/>
  <c r="F119" i="4"/>
  <c r="E119" i="4"/>
  <c r="D119" i="4"/>
  <c r="C119" i="4"/>
  <c r="F120" i="4"/>
  <c r="E120" i="4"/>
  <c r="D120" i="4"/>
  <c r="C120" i="4"/>
  <c r="F121" i="4"/>
  <c r="E121" i="4"/>
  <c r="D121" i="4"/>
  <c r="C121" i="4"/>
  <c r="F122" i="4"/>
  <c r="E122" i="4"/>
  <c r="D122" i="4"/>
  <c r="C122" i="4"/>
  <c r="F123" i="4"/>
  <c r="E123" i="4"/>
  <c r="D123" i="4"/>
  <c r="C123" i="4"/>
  <c r="F124" i="4"/>
  <c r="E124" i="4"/>
  <c r="D124" i="4"/>
  <c r="C124" i="4"/>
  <c r="F125" i="4"/>
  <c r="E125" i="4"/>
  <c r="D125" i="4"/>
  <c r="C125" i="4"/>
  <c r="F126" i="4"/>
  <c r="E126" i="4"/>
  <c r="D126" i="4"/>
  <c r="C126" i="4"/>
  <c r="F127" i="4"/>
  <c r="E127" i="4"/>
  <c r="D127" i="4"/>
  <c r="C127" i="4"/>
  <c r="F128" i="4"/>
  <c r="E128" i="4"/>
  <c r="D128" i="4"/>
  <c r="C128" i="4"/>
  <c r="F129" i="4"/>
  <c r="E129" i="4"/>
  <c r="D129" i="4"/>
  <c r="C129" i="4"/>
  <c r="F130" i="4"/>
  <c r="E130" i="4"/>
  <c r="D130" i="4"/>
  <c r="C130" i="4"/>
  <c r="F131" i="4"/>
  <c r="E131" i="4"/>
  <c r="D131" i="4"/>
  <c r="C131" i="4"/>
  <c r="F132" i="4"/>
  <c r="E132" i="4"/>
  <c r="D132" i="4"/>
  <c r="C132" i="4"/>
  <c r="F133" i="4"/>
  <c r="E133" i="4"/>
  <c r="D133" i="4"/>
  <c r="C133" i="4"/>
  <c r="F134" i="4"/>
  <c r="E134" i="4"/>
  <c r="D134" i="4"/>
  <c r="C134" i="4"/>
  <c r="F135" i="4"/>
  <c r="E135" i="4"/>
  <c r="D135" i="4"/>
  <c r="C135" i="4"/>
  <c r="F136" i="4"/>
  <c r="E136" i="4"/>
  <c r="D136" i="4"/>
  <c r="C136" i="4"/>
  <c r="F137" i="4"/>
  <c r="E137" i="4"/>
  <c r="D137" i="4"/>
  <c r="C137" i="4"/>
  <c r="F138" i="4"/>
  <c r="E138" i="4"/>
  <c r="D138" i="4"/>
  <c r="C138" i="4"/>
  <c r="F139" i="4"/>
  <c r="E139" i="4"/>
  <c r="D139" i="4"/>
  <c r="C139" i="4"/>
  <c r="F140" i="4"/>
  <c r="E140" i="4"/>
  <c r="D140" i="4"/>
  <c r="C140" i="4"/>
  <c r="F141" i="4"/>
  <c r="E141" i="4"/>
  <c r="D141" i="4"/>
  <c r="C141" i="4"/>
  <c r="F142" i="4"/>
  <c r="E142" i="4"/>
  <c r="D142" i="4"/>
  <c r="C142" i="4"/>
  <c r="F143" i="4"/>
  <c r="E143" i="4"/>
  <c r="D143" i="4"/>
  <c r="C143" i="4"/>
  <c r="F144" i="4"/>
  <c r="E144" i="4"/>
  <c r="D144" i="4"/>
  <c r="C144" i="4"/>
  <c r="F145" i="4"/>
  <c r="E145" i="4"/>
  <c r="D145" i="4"/>
  <c r="C145" i="4"/>
  <c r="F146" i="4"/>
  <c r="E146" i="4"/>
  <c r="D146" i="4"/>
  <c r="C146" i="4"/>
  <c r="F147" i="4"/>
  <c r="E147" i="4"/>
  <c r="D147" i="4"/>
  <c r="C147" i="4"/>
  <c r="F148" i="4"/>
  <c r="E148" i="4"/>
  <c r="D148" i="4"/>
  <c r="C148" i="4"/>
  <c r="F149" i="4"/>
  <c r="E149" i="4"/>
  <c r="D149" i="4"/>
  <c r="C149" i="4"/>
  <c r="F150" i="4"/>
  <c r="E150" i="4"/>
  <c r="D150" i="4"/>
  <c r="C150" i="4"/>
  <c r="F151" i="4"/>
  <c r="E151" i="4"/>
  <c r="D151" i="4"/>
  <c r="C151" i="4"/>
  <c r="F152" i="4"/>
  <c r="E152" i="4"/>
  <c r="D152" i="4"/>
  <c r="C152" i="4"/>
  <c r="F153" i="4"/>
  <c r="E153" i="4"/>
  <c r="D153" i="4"/>
  <c r="C153" i="4"/>
  <c r="F154" i="4"/>
  <c r="E154" i="4"/>
  <c r="D154" i="4"/>
  <c r="C154" i="4"/>
  <c r="F155" i="4"/>
  <c r="E155" i="4"/>
  <c r="D155" i="4"/>
  <c r="C155" i="4"/>
  <c r="F156" i="4"/>
  <c r="E156" i="4"/>
  <c r="D156" i="4"/>
  <c r="C156" i="4"/>
  <c r="F157" i="4"/>
  <c r="E157" i="4"/>
  <c r="D157" i="4"/>
  <c r="C157" i="4"/>
  <c r="F158" i="4"/>
  <c r="E158" i="4"/>
  <c r="D158" i="4"/>
  <c r="C158" i="4"/>
  <c r="F159" i="4"/>
  <c r="E159" i="4"/>
  <c r="D159" i="4"/>
  <c r="C159" i="4"/>
  <c r="F160" i="4"/>
  <c r="E160" i="4"/>
  <c r="D160" i="4"/>
  <c r="C160" i="4"/>
  <c r="F161" i="4"/>
  <c r="E161" i="4"/>
  <c r="D161" i="4"/>
  <c r="C161" i="4"/>
  <c r="F162" i="4"/>
  <c r="E162" i="4"/>
  <c r="D162" i="4"/>
  <c r="C162" i="4"/>
  <c r="F163" i="4"/>
  <c r="E163" i="4"/>
  <c r="D163" i="4"/>
  <c r="C163" i="4"/>
  <c r="F164" i="4"/>
  <c r="E164" i="4"/>
  <c r="D164" i="4"/>
  <c r="C164" i="4"/>
  <c r="F165" i="4"/>
  <c r="E165" i="4"/>
  <c r="D165" i="4"/>
  <c r="C165" i="4"/>
  <c r="F166" i="4"/>
  <c r="E166" i="4"/>
  <c r="D166" i="4"/>
  <c r="C166" i="4"/>
  <c r="F167" i="4"/>
  <c r="E167" i="4"/>
  <c r="D167" i="4"/>
  <c r="C167" i="4"/>
  <c r="F168" i="4"/>
  <c r="E168" i="4"/>
  <c r="D168" i="4"/>
  <c r="C168" i="4"/>
  <c r="F169" i="4"/>
  <c r="E169" i="4"/>
  <c r="D169" i="4"/>
  <c r="C169" i="4"/>
  <c r="F170" i="4"/>
  <c r="E170" i="4"/>
  <c r="D170" i="4"/>
  <c r="C170" i="4"/>
  <c r="F171" i="4"/>
  <c r="E171" i="4"/>
  <c r="D171" i="4"/>
  <c r="C171" i="4"/>
  <c r="F172" i="4"/>
  <c r="E172" i="4"/>
  <c r="D172" i="4"/>
  <c r="C172" i="4"/>
  <c r="F173" i="4"/>
  <c r="E173" i="4"/>
  <c r="D173" i="4"/>
  <c r="C173" i="4"/>
  <c r="F174" i="4"/>
  <c r="E174" i="4"/>
  <c r="D174" i="4"/>
  <c r="C174" i="4"/>
  <c r="F175" i="4"/>
  <c r="E175" i="4"/>
  <c r="D175" i="4"/>
  <c r="C175" i="4"/>
  <c r="F176" i="4"/>
  <c r="E176" i="4"/>
  <c r="D176" i="4"/>
  <c r="C176" i="4"/>
  <c r="F177" i="4"/>
  <c r="E177" i="4"/>
  <c r="D177" i="4"/>
  <c r="C177" i="4"/>
  <c r="F178" i="4"/>
  <c r="E178" i="4"/>
  <c r="D178" i="4"/>
  <c r="C178" i="4"/>
  <c r="F179" i="4"/>
  <c r="E179" i="4"/>
  <c r="D179" i="4"/>
  <c r="C179" i="4"/>
  <c r="F180" i="4"/>
  <c r="E180" i="4"/>
  <c r="D180" i="4"/>
  <c r="C180" i="4"/>
  <c r="F181" i="4"/>
  <c r="E181" i="4"/>
  <c r="D181" i="4"/>
  <c r="C181" i="4"/>
  <c r="F182" i="4"/>
  <c r="E182" i="4"/>
  <c r="D182" i="4"/>
  <c r="C182" i="4"/>
  <c r="F183" i="4"/>
  <c r="E183" i="4"/>
  <c r="D183" i="4"/>
  <c r="C183" i="4"/>
  <c r="F184" i="4"/>
  <c r="E184" i="4"/>
  <c r="D184" i="4"/>
  <c r="C184" i="4"/>
  <c r="F185" i="4"/>
  <c r="E185" i="4"/>
  <c r="D185" i="4"/>
  <c r="C185" i="4"/>
  <c r="F186" i="4"/>
  <c r="E186" i="4"/>
  <c r="D186" i="4"/>
  <c r="C186" i="4"/>
  <c r="F187" i="4"/>
  <c r="E187" i="4"/>
  <c r="D187" i="4"/>
  <c r="C187" i="4"/>
  <c r="F188" i="4"/>
  <c r="E188" i="4"/>
  <c r="D188" i="4"/>
  <c r="C188" i="4"/>
  <c r="F189" i="4"/>
  <c r="E189" i="4"/>
  <c r="D189" i="4"/>
  <c r="C189" i="4"/>
  <c r="F190" i="4"/>
  <c r="E190" i="4"/>
  <c r="D190" i="4"/>
  <c r="C190" i="4"/>
  <c r="F191" i="4"/>
  <c r="E191" i="4"/>
  <c r="D191" i="4"/>
  <c r="C191" i="4"/>
  <c r="F192" i="4"/>
  <c r="E192" i="4"/>
  <c r="D192" i="4"/>
  <c r="C192" i="4"/>
  <c r="F193" i="4"/>
  <c r="E193" i="4"/>
  <c r="D193" i="4"/>
  <c r="C193" i="4"/>
  <c r="F194" i="4"/>
  <c r="E194" i="4"/>
  <c r="D194" i="4"/>
  <c r="C194" i="4"/>
  <c r="F195" i="4"/>
  <c r="E195" i="4"/>
  <c r="D195" i="4"/>
  <c r="C195" i="4"/>
  <c r="F196" i="4"/>
  <c r="E196" i="4"/>
  <c r="D196" i="4"/>
  <c r="C196" i="4"/>
  <c r="F197" i="4"/>
  <c r="E197" i="4"/>
  <c r="D197" i="4"/>
  <c r="C197" i="4"/>
  <c r="F198" i="4"/>
  <c r="E198" i="4"/>
  <c r="D198" i="4"/>
  <c r="C198" i="4"/>
  <c r="F199" i="4"/>
  <c r="E199" i="4"/>
  <c r="D199" i="4"/>
  <c r="C199" i="4"/>
  <c r="F200" i="4"/>
  <c r="E200" i="4"/>
  <c r="D200" i="4"/>
  <c r="C200" i="4"/>
  <c r="F201" i="4"/>
  <c r="E201" i="4"/>
  <c r="D201" i="4"/>
  <c r="C201" i="4"/>
  <c r="D4" i="6"/>
  <c r="C4" i="6"/>
  <c r="D5" i="6"/>
  <c r="C5" i="6"/>
  <c r="D6" i="6"/>
  <c r="C6" i="6"/>
  <c r="D7" i="6"/>
  <c r="C7" i="6"/>
  <c r="D8" i="6"/>
  <c r="C8" i="6"/>
  <c r="D9" i="6"/>
  <c r="C9" i="6"/>
  <c r="D10" i="6"/>
  <c r="C10" i="6"/>
  <c r="D11" i="6"/>
  <c r="C11" i="6"/>
  <c r="D12" i="6"/>
  <c r="C12" i="6"/>
  <c r="D13" i="6"/>
  <c r="C13" i="6"/>
  <c r="D14" i="6"/>
  <c r="C14" i="6"/>
  <c r="D15" i="6"/>
  <c r="C15" i="6"/>
  <c r="D16" i="6"/>
  <c r="C16" i="6"/>
  <c r="D17" i="6"/>
  <c r="C17" i="6"/>
  <c r="D18" i="6"/>
  <c r="C18" i="6"/>
  <c r="D19" i="6"/>
  <c r="C19" i="6"/>
  <c r="D20" i="6"/>
  <c r="C20" i="6"/>
  <c r="D21" i="6"/>
  <c r="C21" i="6"/>
  <c r="D22" i="6"/>
  <c r="C22" i="6"/>
  <c r="D23" i="6"/>
  <c r="C23" i="6"/>
  <c r="D24" i="6"/>
  <c r="C24" i="6"/>
  <c r="D25" i="6"/>
  <c r="C25" i="6"/>
  <c r="D26" i="6"/>
  <c r="C26" i="6"/>
  <c r="D27" i="6"/>
  <c r="C27" i="6"/>
  <c r="D28" i="6"/>
  <c r="C28" i="6"/>
  <c r="D29" i="6"/>
  <c r="C29" i="6"/>
  <c r="D30" i="6"/>
  <c r="C30" i="6"/>
  <c r="D31" i="6"/>
  <c r="C31" i="6"/>
  <c r="D32" i="6"/>
  <c r="C32" i="6"/>
  <c r="D33" i="6"/>
  <c r="C33" i="6"/>
  <c r="D34" i="6"/>
  <c r="C34" i="6"/>
  <c r="D35" i="6"/>
  <c r="C35" i="6"/>
  <c r="D36" i="6"/>
  <c r="C36" i="6"/>
  <c r="D37" i="6"/>
  <c r="C37" i="6"/>
  <c r="D38" i="6"/>
  <c r="C38" i="6"/>
  <c r="D39" i="6"/>
  <c r="C39" i="6"/>
  <c r="D40" i="6"/>
  <c r="C40" i="6"/>
  <c r="D41" i="6"/>
  <c r="C41" i="6"/>
  <c r="D42" i="6"/>
  <c r="C42" i="6"/>
  <c r="D43" i="6"/>
  <c r="C43" i="6"/>
  <c r="D44" i="6"/>
  <c r="C44" i="6"/>
  <c r="D45" i="6"/>
  <c r="C45" i="6"/>
  <c r="D46" i="6"/>
  <c r="C46" i="6"/>
  <c r="D47" i="6"/>
  <c r="C47" i="6"/>
  <c r="D48" i="6"/>
  <c r="C48" i="6"/>
  <c r="D49" i="6"/>
  <c r="C49" i="6"/>
  <c r="D50" i="6"/>
  <c r="C50" i="6"/>
  <c r="D51" i="6"/>
  <c r="C51" i="6"/>
  <c r="D52" i="6"/>
  <c r="C52" i="6"/>
  <c r="D53" i="6"/>
  <c r="C53" i="6"/>
  <c r="D54" i="6"/>
  <c r="C54" i="6"/>
  <c r="D55" i="6"/>
  <c r="C55" i="6"/>
  <c r="D56" i="6"/>
  <c r="C56" i="6"/>
  <c r="D57" i="6"/>
  <c r="C57" i="6"/>
  <c r="D58" i="6"/>
  <c r="C58" i="6"/>
  <c r="D59" i="6"/>
  <c r="C59" i="6"/>
  <c r="D60" i="6"/>
  <c r="C60" i="6"/>
  <c r="D61" i="6"/>
  <c r="C61" i="6"/>
  <c r="D62" i="6"/>
  <c r="C62" i="6"/>
  <c r="D63" i="6"/>
  <c r="C63" i="6"/>
  <c r="D64" i="6"/>
  <c r="C64" i="6"/>
  <c r="D65" i="6"/>
  <c r="C65" i="6"/>
  <c r="D66" i="6"/>
  <c r="C66" i="6"/>
  <c r="D67" i="6"/>
  <c r="C67" i="6"/>
  <c r="D68" i="6"/>
  <c r="C68" i="6"/>
  <c r="D69" i="6"/>
  <c r="C69" i="6"/>
  <c r="D70" i="6"/>
  <c r="C70" i="6"/>
  <c r="D71" i="6"/>
  <c r="C71" i="6"/>
  <c r="D72" i="6"/>
  <c r="C72" i="6"/>
  <c r="D73" i="6"/>
  <c r="C73" i="6"/>
  <c r="D74" i="6"/>
  <c r="C74" i="6"/>
  <c r="D75" i="6"/>
  <c r="C75" i="6"/>
  <c r="D76" i="6"/>
  <c r="C76" i="6"/>
  <c r="D77" i="6"/>
  <c r="C77" i="6"/>
  <c r="D78" i="6"/>
  <c r="C78" i="6"/>
  <c r="D79" i="6"/>
  <c r="C79" i="6"/>
  <c r="D80" i="6"/>
  <c r="C80" i="6"/>
  <c r="D81" i="6"/>
  <c r="C81" i="6"/>
  <c r="D82" i="6"/>
  <c r="C82" i="6"/>
  <c r="D83" i="6"/>
  <c r="C83" i="6"/>
  <c r="D84" i="6"/>
  <c r="C84" i="6"/>
  <c r="D85" i="6"/>
  <c r="C85" i="6"/>
  <c r="D86" i="6"/>
  <c r="C86" i="6"/>
  <c r="D87" i="6"/>
  <c r="C87" i="6"/>
  <c r="D88" i="6"/>
  <c r="C88" i="6"/>
  <c r="D89" i="6"/>
  <c r="C89" i="6"/>
  <c r="D90" i="6"/>
  <c r="C90" i="6"/>
  <c r="D91" i="6"/>
  <c r="C91" i="6"/>
  <c r="D92" i="6"/>
  <c r="C92" i="6"/>
  <c r="D93" i="6"/>
  <c r="C93" i="6"/>
  <c r="D94" i="6"/>
  <c r="C94" i="6"/>
  <c r="D95" i="6"/>
  <c r="C95" i="6"/>
  <c r="D96" i="6"/>
  <c r="C96" i="6"/>
  <c r="D97" i="6"/>
  <c r="C97" i="6"/>
  <c r="D98" i="6"/>
  <c r="C98" i="6"/>
  <c r="D99" i="6"/>
  <c r="C99" i="6"/>
  <c r="D100" i="6"/>
  <c r="C100" i="6"/>
  <c r="D101" i="6"/>
  <c r="C101" i="6"/>
  <c r="D102" i="6"/>
  <c r="C102" i="6"/>
  <c r="D103" i="6"/>
  <c r="C103" i="6"/>
  <c r="D104" i="6"/>
  <c r="C104" i="6"/>
  <c r="D105" i="6"/>
  <c r="C105" i="6"/>
  <c r="D106" i="6"/>
  <c r="C106" i="6"/>
  <c r="D107" i="6"/>
  <c r="C107" i="6"/>
  <c r="D108" i="6"/>
  <c r="C108" i="6"/>
  <c r="D109" i="6"/>
  <c r="C109" i="6"/>
  <c r="D110" i="6"/>
  <c r="C110" i="6"/>
  <c r="D111" i="6"/>
  <c r="C111" i="6"/>
  <c r="D112" i="6"/>
  <c r="C112" i="6"/>
  <c r="D113" i="6"/>
  <c r="C113" i="6"/>
  <c r="D114" i="6"/>
  <c r="C114" i="6"/>
  <c r="D115" i="6"/>
  <c r="C115" i="6"/>
  <c r="D116" i="6"/>
  <c r="C116" i="6"/>
  <c r="D117" i="6"/>
  <c r="C117" i="6"/>
  <c r="D118" i="6"/>
  <c r="C118" i="6"/>
  <c r="D119" i="6"/>
  <c r="C119" i="6"/>
  <c r="D120" i="6"/>
  <c r="C120" i="6"/>
  <c r="D121" i="6"/>
  <c r="C121" i="6"/>
  <c r="D122" i="6"/>
  <c r="C122" i="6"/>
  <c r="D123" i="6"/>
  <c r="C123" i="6"/>
  <c r="D124" i="6"/>
  <c r="C124" i="6"/>
  <c r="D125" i="6"/>
  <c r="C125" i="6"/>
  <c r="D126" i="6"/>
  <c r="C126" i="6"/>
  <c r="D127" i="6"/>
  <c r="C127" i="6"/>
  <c r="D128" i="6"/>
  <c r="C128" i="6"/>
  <c r="D129" i="6"/>
  <c r="C129" i="6"/>
  <c r="D130" i="6"/>
  <c r="C130" i="6"/>
  <c r="D131" i="6"/>
  <c r="C131" i="6"/>
  <c r="D132" i="6"/>
  <c r="C132" i="6"/>
  <c r="D133" i="6"/>
  <c r="C133" i="6"/>
  <c r="D134" i="6"/>
  <c r="C134" i="6"/>
  <c r="D135" i="6"/>
  <c r="C135" i="6"/>
  <c r="D136" i="6"/>
  <c r="C136" i="6"/>
  <c r="D137" i="6"/>
  <c r="C137" i="6"/>
  <c r="D138" i="6"/>
  <c r="C138" i="6"/>
  <c r="D139" i="6"/>
  <c r="C139" i="6"/>
  <c r="D140" i="6"/>
  <c r="C140" i="6"/>
  <c r="D141" i="6"/>
  <c r="C141" i="6"/>
  <c r="D142" i="6"/>
  <c r="C142" i="6"/>
  <c r="D143" i="6"/>
  <c r="C143" i="6"/>
  <c r="D144" i="6"/>
  <c r="C144" i="6"/>
  <c r="D145" i="6"/>
  <c r="C145" i="6"/>
  <c r="D146" i="6"/>
  <c r="C146" i="6"/>
  <c r="D147" i="6"/>
  <c r="C147" i="6"/>
  <c r="D148" i="6"/>
  <c r="C148" i="6"/>
  <c r="D149" i="6"/>
  <c r="C149" i="6"/>
  <c r="D150" i="6"/>
  <c r="C150" i="6"/>
  <c r="D151" i="6"/>
  <c r="C151" i="6"/>
  <c r="D152" i="6"/>
  <c r="C152" i="6"/>
  <c r="D153" i="6"/>
  <c r="C153" i="6"/>
  <c r="D154" i="6"/>
  <c r="C154" i="6"/>
  <c r="D155" i="6"/>
  <c r="C155" i="6"/>
  <c r="D156" i="6"/>
  <c r="C156" i="6"/>
  <c r="D157" i="6"/>
  <c r="C157" i="6"/>
  <c r="D158" i="6"/>
  <c r="C158" i="6"/>
  <c r="D159" i="6"/>
  <c r="C159" i="6"/>
  <c r="D160" i="6"/>
  <c r="C160" i="6"/>
  <c r="D161" i="6"/>
  <c r="C161" i="6"/>
  <c r="D162" i="6"/>
  <c r="C162" i="6"/>
  <c r="D163" i="6"/>
  <c r="C163" i="6"/>
  <c r="D164" i="6"/>
  <c r="C164" i="6"/>
  <c r="D165" i="6"/>
  <c r="C165" i="6"/>
  <c r="D166" i="6"/>
  <c r="C166" i="6"/>
  <c r="D167" i="6"/>
  <c r="C167" i="6"/>
  <c r="D168" i="6"/>
  <c r="C168" i="6"/>
  <c r="D169" i="6"/>
  <c r="C169" i="6"/>
  <c r="D170" i="6"/>
  <c r="C170" i="6"/>
  <c r="D171" i="6"/>
  <c r="C171" i="6"/>
  <c r="D172" i="6"/>
  <c r="C172" i="6"/>
  <c r="D173" i="6"/>
  <c r="C173" i="6"/>
  <c r="D174" i="6"/>
  <c r="C174" i="6"/>
  <c r="D175" i="6"/>
  <c r="C175" i="6"/>
  <c r="D176" i="6"/>
  <c r="C176" i="6"/>
  <c r="D177" i="6"/>
  <c r="C177" i="6"/>
  <c r="D178" i="6"/>
  <c r="C178" i="6"/>
  <c r="D179" i="6"/>
  <c r="C179" i="6"/>
  <c r="D180" i="6"/>
  <c r="C180" i="6"/>
  <c r="D181" i="6"/>
  <c r="C181" i="6"/>
  <c r="D182" i="6"/>
  <c r="C182" i="6"/>
  <c r="D183" i="6"/>
  <c r="C183" i="6"/>
  <c r="D184" i="6"/>
  <c r="C184" i="6"/>
  <c r="D185" i="6"/>
  <c r="C185" i="6"/>
  <c r="D186" i="6"/>
  <c r="C186" i="6"/>
  <c r="D187" i="6"/>
  <c r="C187" i="6"/>
  <c r="D188" i="6"/>
  <c r="C188" i="6"/>
  <c r="D189" i="6"/>
  <c r="C189" i="6"/>
  <c r="D190" i="6"/>
  <c r="C190" i="6"/>
  <c r="D191" i="6"/>
  <c r="C191" i="6"/>
  <c r="D192" i="6"/>
  <c r="C192" i="6"/>
  <c r="D193" i="6"/>
  <c r="C193" i="6"/>
  <c r="D194" i="6"/>
  <c r="C194" i="6"/>
  <c r="D195" i="6"/>
  <c r="C195" i="6"/>
  <c r="D196" i="6"/>
  <c r="C196" i="6"/>
  <c r="D197" i="6"/>
  <c r="C197" i="6"/>
  <c r="D198" i="6"/>
  <c r="C198" i="6"/>
  <c r="D199" i="6"/>
  <c r="C199" i="6"/>
  <c r="D200" i="6"/>
  <c r="C200" i="6"/>
  <c r="Q9" i="3" l="1"/>
  <c r="P9" i="3"/>
  <c r="Q8" i="3"/>
  <c r="P8" i="3"/>
  <c r="F1" i="7"/>
  <c r="C1" i="6"/>
  <c r="D1" i="6"/>
  <c r="C1" i="4"/>
  <c r="D1" i="4"/>
  <c r="E1" i="4"/>
  <c r="F1" i="4"/>
  <c r="S200" i="3"/>
  <c r="R200" i="3"/>
  <c r="P200" i="3"/>
  <c r="O200" i="3"/>
  <c r="S199" i="3"/>
  <c r="R199" i="3"/>
  <c r="P199" i="3"/>
  <c r="O199" i="3"/>
  <c r="S198" i="3"/>
  <c r="R198" i="3"/>
  <c r="P198" i="3"/>
  <c r="O198" i="3"/>
  <c r="S197" i="3"/>
  <c r="R197" i="3"/>
  <c r="P197" i="3"/>
  <c r="O197" i="3"/>
  <c r="S196" i="3"/>
  <c r="R196" i="3"/>
  <c r="P196" i="3"/>
  <c r="O196" i="3"/>
  <c r="S195" i="3"/>
  <c r="R195" i="3"/>
  <c r="P195" i="3"/>
  <c r="O195" i="3"/>
  <c r="S194" i="3"/>
  <c r="R194" i="3"/>
  <c r="P194" i="3"/>
  <c r="O194" i="3"/>
  <c r="S193" i="3"/>
  <c r="R193" i="3"/>
  <c r="P193" i="3"/>
  <c r="O193" i="3"/>
  <c r="S192" i="3"/>
  <c r="R192" i="3"/>
  <c r="P192" i="3"/>
  <c r="O192" i="3"/>
  <c r="S191" i="3"/>
  <c r="R191" i="3"/>
  <c r="P191" i="3"/>
  <c r="O191" i="3"/>
  <c r="S190" i="3"/>
  <c r="R190" i="3"/>
  <c r="P190" i="3"/>
  <c r="O190" i="3"/>
  <c r="S189" i="3"/>
  <c r="R189" i="3"/>
  <c r="P189" i="3"/>
  <c r="O189" i="3"/>
  <c r="S188" i="3"/>
  <c r="R188" i="3"/>
  <c r="P188" i="3"/>
  <c r="O188" i="3"/>
  <c r="S187" i="3"/>
  <c r="R187" i="3"/>
  <c r="P187" i="3"/>
  <c r="O187" i="3"/>
  <c r="S186" i="3"/>
  <c r="R186" i="3"/>
  <c r="P186" i="3"/>
  <c r="O186" i="3"/>
  <c r="S185" i="3"/>
  <c r="R185" i="3"/>
  <c r="P185" i="3"/>
  <c r="O185" i="3"/>
  <c r="S184" i="3"/>
  <c r="R184" i="3"/>
  <c r="P184" i="3"/>
  <c r="O184" i="3"/>
  <c r="S183" i="3"/>
  <c r="R183" i="3"/>
  <c r="P183" i="3"/>
  <c r="O183" i="3"/>
  <c r="S182" i="3"/>
  <c r="R182" i="3"/>
  <c r="P182" i="3"/>
  <c r="O182" i="3"/>
  <c r="S181" i="3"/>
  <c r="R181" i="3"/>
  <c r="P181" i="3"/>
  <c r="O181" i="3"/>
  <c r="S180" i="3"/>
  <c r="R180" i="3"/>
  <c r="P180" i="3"/>
  <c r="O180" i="3"/>
  <c r="S179" i="3"/>
  <c r="R179" i="3"/>
  <c r="P179" i="3"/>
  <c r="O179" i="3"/>
  <c r="S178" i="3"/>
  <c r="R178" i="3"/>
  <c r="P178" i="3"/>
  <c r="O178" i="3"/>
  <c r="S177" i="3"/>
  <c r="R177" i="3"/>
  <c r="P177" i="3"/>
  <c r="O177" i="3"/>
  <c r="S176" i="3"/>
  <c r="R176" i="3"/>
  <c r="P176" i="3"/>
  <c r="O176" i="3"/>
  <c r="S175" i="3"/>
  <c r="R175" i="3"/>
  <c r="P175" i="3"/>
  <c r="O175" i="3"/>
  <c r="S174" i="3"/>
  <c r="R174" i="3"/>
  <c r="P174" i="3"/>
  <c r="O174" i="3"/>
  <c r="S173" i="3"/>
  <c r="R173" i="3"/>
  <c r="P173" i="3"/>
  <c r="O173" i="3"/>
  <c r="S172" i="3"/>
  <c r="R172" i="3"/>
  <c r="P172" i="3"/>
  <c r="O172" i="3"/>
  <c r="S171" i="3"/>
  <c r="R171" i="3"/>
  <c r="P171" i="3"/>
  <c r="O171" i="3"/>
  <c r="S170" i="3"/>
  <c r="R170" i="3"/>
  <c r="P170" i="3"/>
  <c r="O170" i="3"/>
  <c r="S169" i="3"/>
  <c r="R169" i="3"/>
  <c r="P169" i="3"/>
  <c r="O169" i="3"/>
  <c r="S168" i="3"/>
  <c r="R168" i="3"/>
  <c r="P168" i="3"/>
  <c r="O168" i="3"/>
  <c r="S167" i="3"/>
  <c r="R167" i="3"/>
  <c r="P167" i="3"/>
  <c r="O167" i="3"/>
  <c r="S166" i="3"/>
  <c r="R166" i="3"/>
  <c r="P166" i="3"/>
  <c r="O166" i="3"/>
  <c r="S165" i="3"/>
  <c r="R165" i="3"/>
  <c r="P165" i="3"/>
  <c r="O165" i="3"/>
  <c r="S164" i="3"/>
  <c r="R164" i="3"/>
  <c r="P164" i="3"/>
  <c r="O164" i="3"/>
  <c r="S163" i="3"/>
  <c r="R163" i="3"/>
  <c r="P163" i="3"/>
  <c r="O163" i="3"/>
  <c r="S162" i="3"/>
  <c r="R162" i="3"/>
  <c r="P162" i="3"/>
  <c r="O162" i="3"/>
  <c r="S161" i="3"/>
  <c r="R161" i="3"/>
  <c r="P161" i="3"/>
  <c r="O161" i="3"/>
  <c r="S160" i="3"/>
  <c r="R160" i="3"/>
  <c r="P160" i="3"/>
  <c r="O160" i="3"/>
  <c r="S159" i="3"/>
  <c r="R159" i="3"/>
  <c r="P159" i="3"/>
  <c r="O159" i="3"/>
  <c r="S158" i="3"/>
  <c r="R158" i="3"/>
  <c r="P158" i="3"/>
  <c r="O158" i="3"/>
  <c r="S157" i="3"/>
  <c r="R157" i="3"/>
  <c r="P157" i="3"/>
  <c r="O157" i="3"/>
  <c r="S156" i="3"/>
  <c r="R156" i="3"/>
  <c r="P156" i="3"/>
  <c r="O156" i="3"/>
  <c r="S155" i="3"/>
  <c r="R155" i="3"/>
  <c r="P155" i="3"/>
  <c r="O155" i="3"/>
  <c r="S154" i="3"/>
  <c r="R154" i="3"/>
  <c r="P154" i="3"/>
  <c r="O154" i="3"/>
  <c r="S153" i="3"/>
  <c r="R153" i="3"/>
  <c r="P153" i="3"/>
  <c r="O153" i="3"/>
  <c r="S152" i="3"/>
  <c r="R152" i="3"/>
  <c r="P152" i="3"/>
  <c r="O152" i="3"/>
  <c r="S151" i="3"/>
  <c r="R151" i="3"/>
  <c r="P151" i="3"/>
  <c r="O151" i="3"/>
  <c r="S150" i="3"/>
  <c r="R150" i="3"/>
  <c r="P150" i="3"/>
  <c r="O150" i="3"/>
  <c r="S149" i="3"/>
  <c r="R149" i="3"/>
  <c r="P149" i="3"/>
  <c r="O149" i="3"/>
  <c r="S148" i="3"/>
  <c r="R148" i="3"/>
  <c r="P148" i="3"/>
  <c r="O148" i="3"/>
  <c r="S147" i="3"/>
  <c r="R147" i="3"/>
  <c r="P147" i="3"/>
  <c r="O147" i="3"/>
  <c r="S146" i="3"/>
  <c r="R146" i="3"/>
  <c r="P146" i="3"/>
  <c r="O146" i="3"/>
  <c r="S145" i="3"/>
  <c r="R145" i="3"/>
  <c r="P145" i="3"/>
  <c r="O145" i="3"/>
  <c r="S144" i="3"/>
  <c r="R144" i="3"/>
  <c r="P144" i="3"/>
  <c r="O144" i="3"/>
  <c r="S143" i="3"/>
  <c r="R143" i="3"/>
  <c r="P143" i="3"/>
  <c r="O143" i="3"/>
  <c r="S142" i="3"/>
  <c r="R142" i="3"/>
  <c r="P142" i="3"/>
  <c r="O142" i="3"/>
  <c r="S141" i="3"/>
  <c r="R141" i="3"/>
  <c r="P141" i="3"/>
  <c r="O141" i="3"/>
  <c r="S140" i="3"/>
  <c r="R140" i="3"/>
  <c r="P140" i="3"/>
  <c r="O140" i="3"/>
  <c r="S139" i="3"/>
  <c r="R139" i="3"/>
  <c r="P139" i="3"/>
  <c r="O139" i="3"/>
  <c r="S138" i="3"/>
  <c r="R138" i="3"/>
  <c r="P138" i="3"/>
  <c r="O138" i="3"/>
  <c r="S137" i="3"/>
  <c r="R137" i="3"/>
  <c r="P137" i="3"/>
  <c r="O137" i="3"/>
  <c r="S136" i="3"/>
  <c r="R136" i="3"/>
  <c r="P136" i="3"/>
  <c r="O136" i="3"/>
  <c r="S135" i="3"/>
  <c r="R135" i="3"/>
  <c r="P135" i="3"/>
  <c r="O135" i="3"/>
  <c r="S134" i="3"/>
  <c r="R134" i="3"/>
  <c r="P134" i="3"/>
  <c r="O134" i="3"/>
  <c r="S133" i="3"/>
  <c r="R133" i="3"/>
  <c r="P133" i="3"/>
  <c r="O133" i="3"/>
  <c r="S132" i="3"/>
  <c r="R132" i="3"/>
  <c r="P132" i="3"/>
  <c r="O132" i="3"/>
  <c r="S131" i="3"/>
  <c r="R131" i="3"/>
  <c r="P131" i="3"/>
  <c r="O131" i="3"/>
  <c r="S130" i="3"/>
  <c r="R130" i="3"/>
  <c r="P130" i="3"/>
  <c r="O130" i="3"/>
  <c r="S129" i="3"/>
  <c r="R129" i="3"/>
  <c r="P129" i="3"/>
  <c r="O129" i="3"/>
  <c r="S128" i="3"/>
  <c r="R128" i="3"/>
  <c r="P128" i="3"/>
  <c r="O128" i="3"/>
  <c r="S127" i="3"/>
  <c r="R127" i="3"/>
  <c r="P127" i="3"/>
  <c r="O127" i="3"/>
  <c r="S126" i="3"/>
  <c r="R126" i="3"/>
  <c r="P126" i="3"/>
  <c r="O126" i="3"/>
  <c r="S125" i="3"/>
  <c r="R125" i="3"/>
  <c r="P125" i="3"/>
  <c r="O125" i="3"/>
  <c r="S124" i="3"/>
  <c r="R124" i="3"/>
  <c r="P124" i="3"/>
  <c r="O124" i="3"/>
  <c r="S123" i="3"/>
  <c r="R123" i="3"/>
  <c r="P123" i="3"/>
  <c r="O123" i="3"/>
  <c r="S122" i="3"/>
  <c r="R122" i="3"/>
  <c r="P122" i="3"/>
  <c r="O122" i="3"/>
  <c r="S121" i="3"/>
  <c r="R121" i="3"/>
  <c r="P121" i="3"/>
  <c r="O121" i="3"/>
  <c r="S120" i="3"/>
  <c r="R120" i="3"/>
  <c r="P120" i="3"/>
  <c r="O120" i="3"/>
  <c r="S119" i="3"/>
  <c r="R119" i="3"/>
  <c r="P119" i="3"/>
  <c r="O119" i="3"/>
  <c r="S118" i="3"/>
  <c r="R118" i="3"/>
  <c r="P118" i="3"/>
  <c r="O118" i="3"/>
  <c r="S117" i="3"/>
  <c r="R117" i="3"/>
  <c r="P117" i="3"/>
  <c r="O117" i="3"/>
  <c r="S116" i="3"/>
  <c r="R116" i="3"/>
  <c r="P116" i="3"/>
  <c r="O116" i="3"/>
  <c r="S115" i="3"/>
  <c r="R115" i="3"/>
  <c r="P115" i="3"/>
  <c r="O115" i="3"/>
  <c r="S114" i="3"/>
  <c r="R114" i="3"/>
  <c r="P114" i="3"/>
  <c r="O114" i="3"/>
  <c r="S113" i="3"/>
  <c r="R113" i="3"/>
  <c r="P113" i="3"/>
  <c r="O113" i="3"/>
  <c r="S112" i="3"/>
  <c r="R112" i="3"/>
  <c r="P112" i="3"/>
  <c r="O112" i="3"/>
  <c r="S111" i="3"/>
  <c r="R111" i="3"/>
  <c r="P111" i="3"/>
  <c r="O111" i="3"/>
  <c r="S110" i="3"/>
  <c r="R110" i="3"/>
  <c r="P110" i="3"/>
  <c r="O110" i="3"/>
  <c r="S109" i="3"/>
  <c r="R109" i="3"/>
  <c r="P109" i="3"/>
  <c r="O109" i="3"/>
  <c r="S108" i="3"/>
  <c r="R108" i="3"/>
  <c r="P108" i="3"/>
  <c r="O108" i="3"/>
  <c r="S107" i="3"/>
  <c r="R107" i="3"/>
  <c r="P107" i="3"/>
  <c r="O107" i="3"/>
  <c r="S106" i="3"/>
  <c r="R106" i="3"/>
  <c r="P106" i="3"/>
  <c r="O106" i="3"/>
  <c r="S105" i="3"/>
  <c r="R105" i="3"/>
  <c r="P105" i="3"/>
  <c r="O105" i="3"/>
  <c r="S104" i="3"/>
  <c r="R104" i="3"/>
  <c r="P104" i="3"/>
  <c r="O104" i="3"/>
  <c r="S103" i="3"/>
  <c r="R103" i="3"/>
  <c r="P103" i="3"/>
  <c r="O103" i="3"/>
  <c r="S102" i="3"/>
  <c r="R102" i="3"/>
  <c r="P102" i="3"/>
  <c r="O102" i="3"/>
  <c r="S101" i="3"/>
  <c r="R101" i="3"/>
  <c r="P101" i="3"/>
  <c r="O101" i="3"/>
  <c r="S100" i="3"/>
  <c r="R100" i="3"/>
  <c r="P100" i="3"/>
  <c r="O100" i="3"/>
  <c r="S99" i="3"/>
  <c r="R99" i="3"/>
  <c r="P99" i="3"/>
  <c r="O99" i="3"/>
  <c r="S98" i="3"/>
  <c r="R98" i="3"/>
  <c r="P98" i="3"/>
  <c r="O98" i="3"/>
  <c r="S97" i="3"/>
  <c r="R97" i="3"/>
  <c r="P97" i="3"/>
  <c r="O97" i="3"/>
  <c r="S96" i="3"/>
  <c r="R96" i="3"/>
  <c r="P96" i="3"/>
  <c r="O96" i="3"/>
  <c r="S95" i="3"/>
  <c r="R95" i="3"/>
  <c r="P95" i="3"/>
  <c r="O95" i="3"/>
  <c r="S94" i="3"/>
  <c r="R94" i="3"/>
  <c r="P94" i="3"/>
  <c r="O94" i="3"/>
  <c r="S93" i="3"/>
  <c r="R93" i="3"/>
  <c r="P93" i="3"/>
  <c r="O93" i="3"/>
  <c r="S92" i="3"/>
  <c r="R92" i="3"/>
  <c r="P92" i="3"/>
  <c r="O92" i="3"/>
  <c r="S91" i="3"/>
  <c r="R91" i="3"/>
  <c r="P91" i="3"/>
  <c r="O91" i="3"/>
  <c r="S90" i="3"/>
  <c r="R90" i="3"/>
  <c r="P90" i="3"/>
  <c r="O90" i="3"/>
  <c r="S89" i="3"/>
  <c r="R89" i="3"/>
  <c r="P89" i="3"/>
  <c r="O89" i="3"/>
  <c r="S88" i="3"/>
  <c r="R88" i="3"/>
  <c r="P88" i="3"/>
  <c r="O88" i="3"/>
  <c r="S87" i="3"/>
  <c r="R87" i="3"/>
  <c r="P87" i="3"/>
  <c r="O87" i="3"/>
  <c r="S86" i="3"/>
  <c r="R86" i="3"/>
  <c r="P86" i="3"/>
  <c r="O86" i="3"/>
  <c r="S85" i="3"/>
  <c r="R85" i="3"/>
  <c r="P85" i="3"/>
  <c r="O85" i="3"/>
  <c r="S84" i="3"/>
  <c r="R84" i="3"/>
  <c r="P84" i="3"/>
  <c r="O84" i="3"/>
  <c r="S83" i="3"/>
  <c r="R83" i="3"/>
  <c r="P83" i="3"/>
  <c r="O83" i="3"/>
  <c r="S82" i="3"/>
  <c r="R82" i="3"/>
  <c r="P82" i="3"/>
  <c r="O82" i="3"/>
  <c r="S81" i="3"/>
  <c r="R81" i="3"/>
  <c r="P81" i="3"/>
  <c r="O81" i="3"/>
  <c r="S80" i="3"/>
  <c r="R80" i="3"/>
  <c r="P80" i="3"/>
  <c r="O80" i="3"/>
  <c r="S79" i="3"/>
  <c r="R79" i="3"/>
  <c r="P79" i="3"/>
  <c r="O79" i="3"/>
  <c r="S78" i="3"/>
  <c r="R78" i="3"/>
  <c r="P78" i="3"/>
  <c r="O78" i="3"/>
  <c r="S77" i="3"/>
  <c r="R77" i="3"/>
  <c r="P77" i="3"/>
  <c r="O77" i="3"/>
  <c r="S76" i="3"/>
  <c r="R76" i="3"/>
  <c r="P76" i="3"/>
  <c r="O76" i="3"/>
  <c r="S75" i="3"/>
  <c r="R75" i="3"/>
  <c r="P75" i="3"/>
  <c r="O75" i="3"/>
  <c r="S74" i="3"/>
  <c r="R74" i="3"/>
  <c r="P74" i="3"/>
  <c r="O74" i="3"/>
  <c r="S73" i="3"/>
  <c r="R73" i="3"/>
  <c r="P73" i="3"/>
  <c r="O73" i="3"/>
  <c r="S72" i="3"/>
  <c r="R72" i="3"/>
  <c r="P72" i="3"/>
  <c r="O72" i="3"/>
  <c r="S71" i="3"/>
  <c r="R71" i="3"/>
  <c r="P71" i="3"/>
  <c r="O71" i="3"/>
  <c r="S70" i="3"/>
  <c r="R70" i="3"/>
  <c r="P70" i="3"/>
  <c r="O70" i="3"/>
  <c r="S69" i="3"/>
  <c r="R69" i="3"/>
  <c r="P69" i="3"/>
  <c r="O69" i="3"/>
  <c r="S68" i="3"/>
  <c r="R68" i="3"/>
  <c r="P68" i="3"/>
  <c r="O68" i="3"/>
  <c r="S67" i="3"/>
  <c r="R67" i="3"/>
  <c r="P67" i="3"/>
  <c r="O67" i="3"/>
  <c r="S66" i="3"/>
  <c r="R66" i="3"/>
  <c r="P66" i="3"/>
  <c r="O66" i="3"/>
  <c r="S65" i="3"/>
  <c r="R65" i="3"/>
  <c r="P65" i="3"/>
  <c r="O65" i="3"/>
  <c r="S64" i="3"/>
  <c r="R64" i="3"/>
  <c r="P64" i="3"/>
  <c r="O64" i="3"/>
  <c r="S63" i="3"/>
  <c r="R63" i="3"/>
  <c r="P63" i="3"/>
  <c r="O63" i="3"/>
  <c r="S62" i="3"/>
  <c r="R62" i="3"/>
  <c r="P62" i="3"/>
  <c r="O62" i="3"/>
  <c r="S61" i="3"/>
  <c r="R61" i="3"/>
  <c r="P61" i="3"/>
  <c r="O61" i="3"/>
  <c r="S60" i="3"/>
  <c r="R60" i="3"/>
  <c r="P60" i="3"/>
  <c r="O60" i="3"/>
  <c r="S59" i="3"/>
  <c r="R59" i="3"/>
  <c r="P59" i="3"/>
  <c r="O59" i="3"/>
  <c r="S58" i="3"/>
  <c r="R58" i="3"/>
  <c r="P58" i="3"/>
  <c r="O58" i="3"/>
  <c r="S57" i="3"/>
  <c r="R57" i="3"/>
  <c r="P57" i="3"/>
  <c r="O57" i="3"/>
  <c r="S56" i="3"/>
  <c r="R56" i="3"/>
  <c r="P56" i="3"/>
  <c r="O56" i="3"/>
  <c r="S55" i="3"/>
  <c r="R55" i="3"/>
  <c r="P55" i="3"/>
  <c r="O55" i="3"/>
  <c r="S54" i="3"/>
  <c r="R54" i="3"/>
  <c r="P54" i="3"/>
  <c r="O54" i="3"/>
  <c r="S53" i="3"/>
  <c r="R53" i="3"/>
  <c r="P53" i="3"/>
  <c r="O53" i="3"/>
  <c r="S52" i="3"/>
  <c r="R52" i="3"/>
  <c r="P52" i="3"/>
  <c r="O52" i="3"/>
  <c r="S51" i="3"/>
  <c r="R51" i="3"/>
  <c r="P51" i="3"/>
  <c r="O51" i="3"/>
  <c r="S50" i="3"/>
  <c r="R50" i="3"/>
  <c r="P50" i="3"/>
  <c r="O50" i="3"/>
  <c r="S49" i="3"/>
  <c r="R49" i="3"/>
  <c r="P49" i="3"/>
  <c r="O49" i="3"/>
  <c r="S48" i="3"/>
  <c r="R48" i="3"/>
  <c r="P48" i="3"/>
  <c r="O48" i="3"/>
  <c r="S47" i="3"/>
  <c r="R47" i="3"/>
  <c r="P47" i="3"/>
  <c r="O47" i="3"/>
  <c r="S46" i="3"/>
  <c r="R46" i="3"/>
  <c r="P46" i="3"/>
  <c r="O46" i="3"/>
  <c r="S45" i="3"/>
  <c r="R45" i="3"/>
  <c r="P45" i="3"/>
  <c r="O45" i="3"/>
  <c r="S44" i="3"/>
  <c r="R44" i="3"/>
  <c r="P44" i="3"/>
  <c r="O44" i="3"/>
  <c r="S43" i="3"/>
  <c r="R43" i="3"/>
  <c r="P43" i="3"/>
  <c r="O43" i="3"/>
  <c r="S42" i="3"/>
  <c r="R42" i="3"/>
  <c r="P42" i="3"/>
  <c r="O42" i="3"/>
  <c r="S41" i="3"/>
  <c r="R41" i="3"/>
  <c r="P41" i="3"/>
  <c r="O41" i="3"/>
  <c r="S40" i="3"/>
  <c r="R40" i="3"/>
  <c r="P40" i="3"/>
  <c r="O40" i="3"/>
  <c r="S39" i="3"/>
  <c r="R39" i="3"/>
  <c r="P39" i="3"/>
  <c r="O39" i="3"/>
  <c r="S38" i="3"/>
  <c r="R38" i="3"/>
  <c r="P38" i="3"/>
  <c r="O38" i="3"/>
  <c r="S37" i="3"/>
  <c r="R37" i="3"/>
  <c r="P37" i="3"/>
  <c r="O37" i="3"/>
  <c r="S36" i="3"/>
  <c r="R36" i="3"/>
  <c r="P36" i="3"/>
  <c r="O36" i="3"/>
  <c r="S35" i="3"/>
  <c r="R35" i="3"/>
  <c r="P35" i="3"/>
  <c r="O35" i="3"/>
  <c r="S34" i="3"/>
  <c r="R34" i="3"/>
  <c r="P34" i="3"/>
  <c r="O34" i="3"/>
  <c r="S33" i="3"/>
  <c r="R33" i="3"/>
  <c r="P33" i="3"/>
  <c r="O33" i="3"/>
  <c r="S32" i="3"/>
  <c r="R32" i="3"/>
  <c r="P32" i="3"/>
  <c r="O32" i="3"/>
  <c r="S31" i="3"/>
  <c r="R31" i="3"/>
  <c r="P31" i="3"/>
  <c r="O31" i="3"/>
  <c r="S30" i="3"/>
  <c r="R30" i="3"/>
  <c r="P30" i="3"/>
  <c r="O30" i="3"/>
  <c r="S29" i="3"/>
  <c r="R29" i="3"/>
  <c r="P29" i="3"/>
  <c r="O29" i="3"/>
  <c r="S28" i="3"/>
  <c r="R28" i="3"/>
  <c r="P28" i="3"/>
  <c r="O28" i="3"/>
  <c r="S27" i="3"/>
  <c r="R27" i="3"/>
  <c r="P27" i="3"/>
  <c r="O27" i="3"/>
  <c r="S26" i="3"/>
  <c r="R26" i="3"/>
  <c r="P26" i="3"/>
  <c r="O26" i="3"/>
  <c r="S25" i="3"/>
  <c r="R25" i="3"/>
  <c r="P25" i="3"/>
  <c r="O25" i="3"/>
  <c r="S24" i="3"/>
  <c r="R24" i="3"/>
  <c r="P24" i="3"/>
  <c r="O24" i="3"/>
  <c r="S23" i="3"/>
  <c r="R23" i="3"/>
  <c r="P23" i="3"/>
  <c r="O23" i="3"/>
  <c r="S22" i="3"/>
  <c r="R22" i="3"/>
  <c r="P22" i="3"/>
  <c r="O22" i="3"/>
  <c r="S21" i="3"/>
  <c r="R21" i="3"/>
  <c r="P21" i="3"/>
  <c r="O21" i="3"/>
  <c r="S20" i="3"/>
  <c r="R20" i="3"/>
  <c r="P20" i="3"/>
  <c r="O20" i="3"/>
  <c r="S19" i="3"/>
  <c r="R19" i="3"/>
  <c r="P19" i="3"/>
  <c r="O19" i="3"/>
  <c r="S18" i="3"/>
  <c r="R18" i="3"/>
  <c r="P18" i="3"/>
  <c r="O18" i="3"/>
  <c r="S17" i="3"/>
  <c r="R17" i="3"/>
  <c r="P17" i="3"/>
  <c r="O17" i="3"/>
  <c r="S16" i="3"/>
  <c r="R16" i="3"/>
  <c r="P16" i="3"/>
  <c r="O16" i="3"/>
  <c r="S15" i="3"/>
  <c r="R15" i="3"/>
  <c r="P15" i="3"/>
  <c r="O15" i="3"/>
  <c r="S14" i="3"/>
  <c r="R14" i="3"/>
  <c r="P14" i="3"/>
  <c r="O14" i="3"/>
  <c r="S13" i="3"/>
  <c r="R13" i="3"/>
  <c r="P13" i="3"/>
  <c r="O13" i="3"/>
  <c r="S12" i="3"/>
  <c r="R12" i="3"/>
  <c r="P12" i="3"/>
  <c r="O12" i="3"/>
  <c r="S11" i="3"/>
  <c r="R11" i="3"/>
  <c r="P11" i="3"/>
  <c r="O11" i="3"/>
  <c r="S10" i="3"/>
  <c r="R10" i="3"/>
  <c r="P10" i="3"/>
  <c r="O10" i="3"/>
  <c r="S9" i="3"/>
  <c r="R9" i="3"/>
  <c r="O9" i="3"/>
  <c r="S8" i="3"/>
  <c r="R8" i="3"/>
  <c r="O8" i="3"/>
  <c r="S7" i="3"/>
  <c r="R7" i="3"/>
  <c r="P7" i="3"/>
  <c r="O7" i="3"/>
  <c r="S6" i="3"/>
  <c r="R6" i="3"/>
  <c r="P6" i="3"/>
  <c r="O6" i="3"/>
  <c r="S5" i="3"/>
  <c r="R5" i="3"/>
  <c r="P5" i="3"/>
  <c r="O5" i="3"/>
  <c r="S4" i="3"/>
  <c r="R4" i="3"/>
  <c r="Q4" i="3"/>
  <c r="O4" i="3"/>
  <c r="S3" i="3"/>
  <c r="Q3" i="3"/>
  <c r="P3" i="3"/>
  <c r="O3" i="3"/>
  <c r="G1" i="4" l="1"/>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<sst xmlns="http://schemas.openxmlformats.org/spreadsheetml/2006/main" count="278" uniqueCount="261">
  <si>
    <t>IOWA CRIMINAL RECORD SPREADSHEET, (CRS) © 2017 ALEX KORNYA, ALL RIGHTS RESERVED</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</si>
  <si>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</si>
  <si>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</si>
  <si>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</si>
  <si>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</si>
  <si>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</si>
  <si>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</si>
  <si>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</si>
  <si>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</si>
  <si>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</si>
  <si>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</si>
  <si>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</si>
  <si>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</si>
  <si>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</si>
  <si>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</si>
  <si>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</si>
  <si>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</si>
  <si>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</si>
  <si>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</si>
  <si>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</si>
  <si>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</si>
  <si>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</si>
  <si>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</si>
  <si>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</si>
  <si>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</si>
  <si>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</si>
  <si>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</si>
  <si>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</si>
  <si>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</si>
  <si>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</si>
  <si>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</si>
  <si>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</si>
  <si>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</si>
  <si>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</si>
  <si>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</si>
  <si>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JUVENILE (232.150)                                                                                                NOTE: If adult case transferred back to juvenile court it is eligible for sealing even if subsequent conviction (232.8(2)(b) &amp; 803.6(4)</t>
  </si>
  <si>
    <t>DISMISSAL / ACQUITTAL (901C.2)</t>
  </si>
  <si>
    <t>MISDEMEANOR CONVICTION (901C.3)</t>
  </si>
  <si>
    <t>DEFERRED JUDGMENT (907)</t>
  </si>
  <si>
    <t>PUB INTX &amp; PAULA (123.46 &amp; 123.47) NOTE: will not detect local ordinance cases. MUST CHECK if subsequent conviction in 2 years</t>
  </si>
  <si>
    <t xml:space="preserve">PROSTITUTION (725.1)                                     MUST CHECK if possible subsequent conviction in 2 years </t>
  </si>
  <si>
    <t>CASE#</t>
  </si>
  <si>
    <t>ADJUDICATED CHARGE</t>
  </si>
  <si>
    <t>ADJ DATE</t>
  </si>
  <si>
    <t>Amount of debt subject to 910.7?</t>
  </si>
  <si>
    <t>JUV?</t>
  </si>
  <si>
    <t>SUBSEQUENT CONVICTION? (check level)</t>
  </si>
  <si>
    <t xml:space="preserve"> POSSIBLE PENDING CHARGES</t>
  </si>
  <si>
    <t>2 YRS AFT LAST CASE ACT &amp; AGE 18 ?</t>
  </si>
  <si>
    <t>DISM ACQ?</t>
  </si>
  <si>
    <t>COURT DEBT (all dismissal debt dischargeable)</t>
  </si>
  <si>
    <t>TIME BARRED DEBT</t>
  </si>
  <si>
    <t>TIME ELAPSED?</t>
  </si>
  <si>
    <t>MISDEMEANOR CONVICTION?</t>
  </si>
  <si>
    <t>ELIGIBLE ADJ (EXCEPT CDL)</t>
  </si>
  <si>
    <t>DISCHARGEABLE DEBT</t>
  </si>
  <si>
    <t>TOTAL DEBT</t>
  </si>
  <si>
    <t>TIME ELAPSED</t>
  </si>
  <si>
    <t>DEF JMT?</t>
  </si>
  <si>
    <t>SUPERVISION</t>
  </si>
  <si>
    <t>PUB INTX  OR PAULA?</t>
  </si>
  <si>
    <t>2 YRS SINCE CONVICTION?</t>
  </si>
  <si>
    <t>725.1?</t>
  </si>
  <si>
    <t>&lt; 18 YRS AT TIME OF CHG?</t>
  </si>
  <si>
    <t>DISCHARGABLE?</t>
  </si>
  <si>
    <t>DISPO</t>
  </si>
  <si>
    <t>YES</t>
  </si>
  <si>
    <t>POSSIBLY</t>
  </si>
  <si>
    <t>PROBABLY NOT</t>
  </si>
  <si>
    <t>NO</t>
  </si>
  <si>
    <t>COUNTY</t>
  </si>
  <si>
    <t>License &amp; registration, Registration only, neither, or no debt</t>
  </si>
  <si>
    <t>Amount owed</t>
  </si>
  <si>
    <t>WHICH EXEMPTIONS APPLY?</t>
  </si>
  <si>
    <t>ALL</t>
  </si>
  <si>
    <t>FEDERAL ONLY</t>
  </si>
  <si>
    <t>TIME BARRED?</t>
  </si>
  <si>
    <t>STRANGE-BARRED</t>
  </si>
  <si>
    <t>20 year old Jail / Room &amp; Board</t>
  </si>
  <si>
    <t>NO ARGUMENT</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</si>
  <si>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</si>
  <si>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</si>
  <si>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</si>
  <si>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</si>
  <si>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</si>
  <si>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</si>
  <si>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</si>
  <si>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</si>
  <si>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</si>
  <si>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</si>
  <si>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</si>
  <si>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</si>
  <si>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</si>
  <si>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</si>
  <si>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</si>
  <si>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</si>
  <si>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</si>
  <si>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</si>
  <si>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</si>
  <si>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</si>
  <si>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</si>
  <si>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</si>
  <si>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</si>
  <si>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</si>
  <si>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</si>
  <si>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</si>
  <si>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</si>
  <si>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</si>
  <si>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</si>
  <si>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</si>
  <si>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</si>
  <si>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</si>
  <si>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</si>
  <si>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</si>
  <si>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</si>
  <si>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</si>
  <si>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</si>
  <si>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</si>
  <si>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</si>
  <si>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</si>
  <si>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</si>
  <si>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</si>
  <si>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</si>
  <si>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</si>
  <si>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</si>
  <si>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</si>
  <si>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</si>
  <si>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</si>
  <si>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</si>
  <si>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</si>
  <si>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</si>
  <si>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</si>
  <si>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</si>
  <si>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</si>
  <si>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</si>
  <si>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</si>
  <si>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</si>
  <si>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</si>
  <si>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</si>
  <si>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</si>
  <si>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</si>
  <si>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</si>
  <si>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</si>
  <si>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</si>
  <si>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</si>
  <si>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</si>
  <si>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</si>
  <si>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</si>
  <si>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</si>
  <si>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</si>
  <si>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</si>
  <si>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</si>
  <si>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</si>
  <si>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</si>
  <si>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</si>
  <si>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</si>
  <si>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</si>
  <si>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</si>
  <si>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</si>
  <si>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</si>
  <si>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</si>
  <si>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</si>
  <si>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</si>
  <si>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</si>
  <si>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</si>
  <si>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</si>
  <si>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</si>
  <si>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</si>
  <si>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</si>
  <si>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</si>
  <si>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</si>
  <si>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</si>
  <si>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</si>
  <si>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</si>
  <si>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</si>
  <si>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</si>
  <si>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</si>
  <si>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</si>
  <si>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</si>
  <si>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</si>
  <si>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</si>
  <si>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</si>
  <si>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</si>
  <si>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</si>
  <si>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</si>
  <si>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</si>
  <si>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</si>
  <si>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</si>
  <si>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</si>
  <si>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</si>
  <si>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</si>
  <si>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</si>
  <si>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</si>
  <si>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</si>
  <si>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</si>
  <si>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</si>
  <si>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</si>
  <si>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</si>
  <si>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</si>
  <si>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</si>
  <si>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</si>
  <si>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</si>
  <si>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</si>
  <si>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</si>
  <si>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</si>
  <si>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</si>
  <si>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</si>
  <si>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</si>
  <si>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</si>
  <si>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</si>
  <si>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</si>
  <si>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</si>
  <si>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</si>
  <si>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</si>
  <si>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</si>
  <si>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</si>
  <si>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</si>
  <si>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</si>
  <si>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</si>
  <si>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</si>
  <si>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</si>
  <si>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</si>
  <si>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</si>
  <si>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</si>
  <si>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</si>
  <si>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</si>
  <si>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</si>
  <si>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</si>
  <si>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</si>
  <si>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</si>
  <si>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</si>
  <si>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</si>
  <si>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</si>
  <si>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</si>
  <si>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</si>
  <si>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</si>
  <si>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</si>
  <si>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</si>
  <si>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</si>
  <si>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</si>
  <si>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</si>
  <si>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</si>
  <si>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</si>
  <si>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</si>
  <si>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</si>
  <si>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</si>
  <si>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</si>
  <si>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</si>
  <si>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</si>
  <si>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</si>
  <si>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</si>
  <si>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</si>
  <si>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</si>
  <si>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</si>
  <si>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</si>
  <si>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</si>
  <si>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</si>
  <si>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</si>
  <si>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</si>
  <si>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VERSION 3.6</t>
  </si>
  <si>
    <t>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</si>
</sst>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2"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
      <sz val="11"/>
      <color theme="0"/>
      <name val="Calibri"/>
      <family val="2"/>
      <charset val="1"/>
    </font>
  </fonts>
  <fills count="36">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808080"/>
      </patternFill>
    </fill>
    <fill>
      <patternFill patternType="solid">
        <fgColor rgb="FF19F808"/>
        <bgColor rgb="FF00B050"/>
      </patternFill>
    </fill>
    <fill>
      <patternFill patternType="solid">
        <fgColor rgb="FFB0FD9B"/>
        <bgColor rgb="FFC5E0B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theme="8" tint="0.59999389629810485"/>
        <bgColor rgb="FFD9D9D9"/>
      </patternFill>
    </fill>
    <fill>
      <patternFill patternType="solid">
        <fgColor theme="1"/>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108">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49" fontId="0" fillId="0" borderId="0" xfId="0" applyNumberFormat="1" applyAlignment="1">
      <alignment wrapText="1"/>
    </xf>
    <xf numFmtId="0" fontId="5" fillId="8" borderId="0" xfId="0" applyFont="1" applyFill="1" applyAlignment="1">
      <alignment horizontal="center" wrapText="1"/>
    </xf>
    <xf numFmtId="0" fontId="5" fillId="2" borderId="9" xfId="0" applyFont="1" applyFill="1" applyBorder="1" applyAlignment="1">
      <alignment horizontal="center" vertical="center"/>
    </xf>
    <xf numFmtId="0" fontId="0" fillId="15" borderId="0" xfId="0" applyFill="1" applyAlignment="1">
      <alignment wrapText="1"/>
    </xf>
    <xf numFmtId="0" fontId="2" fillId="16" borderId="4" xfId="0" applyFont="1" applyFill="1" applyBorder="1" applyAlignment="1">
      <alignment horizontal="center" vertical="top" wrapText="1"/>
    </xf>
    <xf numFmtId="0" fontId="2" fillId="16" borderId="1" xfId="0" applyFont="1" applyFill="1" applyBorder="1" applyAlignment="1">
      <alignment horizontal="center" vertical="top" wrapText="1"/>
    </xf>
    <xf numFmtId="0" fontId="0" fillId="17" borderId="1" xfId="0" applyFill="1" applyBorder="1" applyAlignment="1">
      <alignment horizontal="center" vertical="top"/>
    </xf>
    <xf numFmtId="0" fontId="0" fillId="17"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8" borderId="1" xfId="0" applyFill="1" applyBorder="1" applyAlignment="1">
      <alignment horizontal="center" vertical="center"/>
    </xf>
    <xf numFmtId="0" fontId="0" fillId="18" borderId="1" xfId="0" applyFill="1" applyBorder="1" applyAlignment="1">
      <alignment vertical="center" wrapText="1"/>
    </xf>
    <xf numFmtId="0" fontId="0" fillId="18" borderId="1" xfId="0" applyFill="1" applyBorder="1" applyAlignment="1">
      <alignment vertical="center"/>
    </xf>
    <xf numFmtId="0" fontId="0" fillId="19"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20" borderId="0" xfId="0" applyFill="1"/>
    <xf numFmtId="14" fontId="0" fillId="20" borderId="0" xfId="0" applyNumberFormat="1" applyFill="1"/>
    <xf numFmtId="165" fontId="8" fillId="21" borderId="0" xfId="1" applyFill="1"/>
    <xf numFmtId="0" fontId="2" fillId="20" borderId="0" xfId="0" applyFont="1" applyFill="1"/>
    <xf numFmtId="0" fontId="2" fillId="20" borderId="11" xfId="0" applyFont="1" applyFill="1" applyBorder="1"/>
    <xf numFmtId="164" fontId="2" fillId="20" borderId="0" xfId="0" applyNumberFormat="1" applyFont="1" applyFill="1"/>
    <xf numFmtId="164" fontId="0" fillId="20" borderId="3" xfId="0" applyNumberFormat="1" applyFill="1" applyBorder="1"/>
    <xf numFmtId="164" fontId="3" fillId="22" borderId="1" xfId="0" applyNumberFormat="1" applyFont="1" applyFill="1" applyBorder="1"/>
    <xf numFmtId="164" fontId="3" fillId="23" borderId="1" xfId="0" applyNumberFormat="1" applyFont="1" applyFill="1" applyBorder="1"/>
    <xf numFmtId="164" fontId="3" fillId="24" borderId="1" xfId="0" applyNumberFormat="1" applyFont="1" applyFill="1" applyBorder="1"/>
    <xf numFmtId="164" fontId="3" fillId="4" borderId="1" xfId="0" applyNumberFormat="1"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22" borderId="1" xfId="0" applyFont="1" applyFill="1" applyBorder="1" applyAlignment="1">
      <alignment horizontal="center"/>
    </xf>
    <xf numFmtId="0" fontId="1" fillId="23" borderId="1" xfId="0" applyFont="1" applyFill="1" applyBorder="1" applyAlignment="1">
      <alignment horizontal="center"/>
    </xf>
    <xf numFmtId="0" fontId="1" fillId="24" borderId="1" xfId="0" applyFont="1" applyFill="1" applyBorder="1" applyAlignment="1">
      <alignment horizontal="center"/>
    </xf>
    <xf numFmtId="0" fontId="1" fillId="4" borderId="1" xfId="0" applyFont="1" applyFill="1" applyBorder="1" applyAlignment="1">
      <alignment horizontal="center"/>
    </xf>
    <xf numFmtId="164" fontId="0" fillId="25" borderId="0" xfId="0" applyNumberFormat="1" applyFill="1"/>
    <xf numFmtId="164" fontId="0" fillId="26" borderId="0" xfId="0" applyNumberFormat="1" applyFill="1"/>
    <xf numFmtId="164" fontId="0" fillId="27" borderId="0" xfId="0" applyNumberFormat="1" applyFill="1"/>
    <xf numFmtId="164" fontId="0" fillId="5" borderId="0" xfId="0" applyNumberFormat="1" applyFill="1"/>
    <xf numFmtId="0" fontId="5" fillId="28" borderId="12" xfId="0" applyFont="1" applyFill="1" applyBorder="1" applyAlignment="1">
      <alignment vertical="center"/>
    </xf>
    <xf numFmtId="0" fontId="5" fillId="28" borderId="5" xfId="0" applyFont="1" applyFill="1" applyBorder="1" applyAlignment="1">
      <alignment vertical="center"/>
    </xf>
    <xf numFmtId="0" fontId="5" fillId="28" borderId="5" xfId="0" applyFont="1" applyFill="1" applyBorder="1" applyAlignment="1">
      <alignment vertical="center" wrapText="1"/>
    </xf>
    <xf numFmtId="165" fontId="8" fillId="20" borderId="0" xfId="1" applyFill="1"/>
    <xf numFmtId="164" fontId="3" fillId="29" borderId="1" xfId="0" applyNumberFormat="1" applyFont="1" applyFill="1" applyBorder="1"/>
    <xf numFmtId="164" fontId="0" fillId="30" borderId="0" xfId="0" applyNumberFormat="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20" borderId="0" xfId="0" applyFill="1" applyAlignment="1">
      <alignment wrapText="1"/>
    </xf>
    <xf numFmtId="0" fontId="9" fillId="29" borderId="1" xfId="0" applyFont="1" applyFill="1" applyBorder="1" applyAlignment="1">
      <alignment horizontal="center"/>
    </xf>
    <xf numFmtId="0" fontId="0" fillId="31" borderId="0" xfId="0" applyFill="1"/>
    <xf numFmtId="0" fontId="0" fillId="32" borderId="0" xfId="0" applyFill="1"/>
    <xf numFmtId="0" fontId="0" fillId="33" borderId="0" xfId="0" applyFill="1"/>
    <xf numFmtId="14" fontId="0" fillId="0" borderId="0" xfId="0" applyNumberFormat="1" applyAlignment="1">
      <alignment wrapText="1"/>
    </xf>
    <xf numFmtId="0" fontId="0" fillId="0" borderId="0" xfId="0" applyAlignment="1">
      <alignment horizontal="center"/>
    </xf>
    <xf numFmtId="164" fontId="3" fillId="34" borderId="0" xfId="0" applyNumberFormat="1" applyFont="1" applyFill="1"/>
    <xf numFmtId="164" fontId="11" fillId="20" borderId="0" xfId="0" applyNumberFormat="1" applyFont="1" applyFill="1"/>
    <xf numFmtId="0" fontId="7" fillId="0" borderId="0" xfId="0" applyFont="1"/>
    <xf numFmtId="0" fontId="1" fillId="2" borderId="0" xfId="0" applyFont="1" applyFill="1" applyAlignment="1">
      <alignment horizontal="left" wrapText="1"/>
    </xf>
    <xf numFmtId="0" fontId="0" fillId="0" borderId="0" xfId="0"/>
    <xf numFmtId="0" fontId="2" fillId="0" borderId="0" xfId="0" applyFont="1" applyAlignment="1">
      <alignment horizontal="left" vertical="top" wrapText="1"/>
    </xf>
    <xf numFmtId="0" fontId="4" fillId="0" borderId="2" xfId="0" applyFont="1" applyBorder="1" applyAlignment="1">
      <alignment horizontal="left" vertical="top" wrapText="1"/>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6" borderId="8" xfId="0" applyFont="1" applyFill="1" applyBorder="1" applyAlignment="1">
      <alignment horizontal="center" vertical="center"/>
    </xf>
    <xf numFmtId="0" fontId="10" fillId="13" borderId="10" xfId="0" applyFont="1" applyFill="1" applyBorder="1" applyAlignment="1">
      <alignment horizontal="center" wrapText="1"/>
    </xf>
    <xf numFmtId="0" fontId="5" fillId="14" borderId="11" xfId="0" applyFont="1" applyFill="1" applyBorder="1" applyAlignment="1">
      <alignment horizontal="center" wrapText="1"/>
    </xf>
    <xf numFmtId="0" fontId="5" fillId="2" borderId="0" xfId="0" applyFont="1" applyFill="1" applyAlignment="1">
      <alignment horizontal="center" vertical="center"/>
    </xf>
    <xf numFmtId="0" fontId="0" fillId="0" borderId="0" xfId="0" applyAlignment="1">
      <alignment wrapText="1"/>
    </xf>
    <xf numFmtId="0" fontId="10" fillId="9" borderId="6" xfId="0" applyFont="1" applyFill="1" applyBorder="1" applyAlignment="1">
      <alignment horizontal="center" vertical="center" wrapText="1"/>
    </xf>
    <xf numFmtId="0" fontId="1" fillId="10" borderId="6" xfId="0" applyFont="1" applyFill="1" applyBorder="1" applyAlignment="1">
      <alignment horizontal="center" vertical="center" wrapText="1"/>
    </xf>
    <xf numFmtId="0" fontId="1" fillId="11" borderId="10"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5" fillId="2" borderId="0" xfId="0" applyFont="1" applyFill="1" applyAlignment="1">
      <alignment horizontal="center"/>
    </xf>
    <xf numFmtId="0" fontId="5" fillId="2" borderId="11" xfId="0" applyFont="1" applyFill="1" applyBorder="1" applyAlignment="1">
      <alignment horizontal="center"/>
    </xf>
    <xf numFmtId="0" fontId="0" fillId="0" borderId="4" xfId="0" applyBorder="1" applyAlignment="1">
      <alignment horizontal="center" vertical="center"/>
    </xf>
    <xf numFmtId="0" fontId="0" fillId="0" borderId="0" xfId="0" applyFill="1"/>
    <xf numFmtId="14" fontId="0" fillId="0" borderId="0" xfId="0" applyNumberFormat="1" applyFill="1"/>
    <xf numFmtId="0" fontId="5" fillId="4" borderId="0" xfId="0" applyFont="1" applyFill="1" applyBorder="1" applyAlignment="1">
      <alignment horizontal="right" vertical="center"/>
    </xf>
    <xf numFmtId="0" fontId="5" fillId="4" borderId="9" xfId="0" applyFont="1" applyFill="1" applyBorder="1" applyAlignment="1">
      <alignment horizontal="right" vertical="center"/>
    </xf>
    <xf numFmtId="0" fontId="5" fillId="2" borderId="0" xfId="0" applyFont="1" applyFill="1" applyBorder="1" applyAlignment="1">
      <alignment horizontal="center" vertical="center"/>
    </xf>
    <xf numFmtId="0" fontId="5" fillId="35" borderId="5" xfId="0" applyFont="1" applyFill="1" applyBorder="1" applyAlignment="1">
      <alignment horizontal="center" vertical="center"/>
    </xf>
    <xf numFmtId="0" fontId="5" fillId="35" borderId="5" xfId="0" applyFont="1" applyFill="1" applyBorder="1" applyAlignment="1">
      <alignment horizontal="center" vertical="center" wrapText="1"/>
    </xf>
    <xf numFmtId="0" fontId="0" fillId="35" borderId="0" xfId="0" applyFill="1"/>
    <xf numFmtId="0" fontId="0" fillId="35" borderId="0" xfId="0" applyFill="1" applyAlignment="1">
      <alignment wrapText="1"/>
    </xf>
  </cellXfs>
  <cellStyles count="2">
    <cellStyle name="Currency" xfId="1" builtinId="4"/>
    <cellStyle name="Normal" xfId="0" builtinId="0"/>
  </cellStyles>
  <dxfs count="81">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numFmt numFmtId="165" formatCode="_(\$* #,##0.00_);_(\$* \(#,##0.00\);_(\$* \-??_);_(@_)"/>
    </dxf>
    <dxf>
      <numFmt numFmtId="19" formatCode="m/d/yyyy"/>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dataDxfId="80">
      <calculatedColumnFormula>IF('CASE DATA'!A4="","",'CASE DATA'!A4)</calculatedColumnFormula>
    </tableColumn>
    <tableColumn id="2" xr3:uid="{00000000-0010-0000-0000-000002000000}" name="COUNTY" dataDxfId="79">
      <calculatedColumnFormula>'CASE DATA'!B4</calculatedColumnFormula>
    </tableColumn>
    <tableColumn id="3" xr3:uid="{00000000-0010-0000-0000-000003000000}" name="DISPOSITION DATE" dataDxfId="78">
      <calculatedColumnFormula>'CASE DATA'!D4</calculatedColumnFormula>
    </tableColumn>
    <tableColumn id="4" xr3:uid="{00000000-0010-0000-0000-000004000000}" name="ROOM &amp; BOARD TOTAL" dataDxfId="77" dataCellStyle="Currency">
      <calculatedColumnFormula>SUM('CASE DATA'!M4)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76" t="s">
        <v>0</v>
      </c>
      <c r="B1" s="77"/>
      <c r="C1" s="77"/>
      <c r="D1" s="3" t="s">
        <v>259</v>
      </c>
      <c r="F1" s="4"/>
      <c r="G1" s="4"/>
      <c r="H1" s="78" t="s">
        <v>1</v>
      </c>
      <c r="I1" s="77"/>
      <c r="J1" s="77"/>
      <c r="K1" s="77"/>
      <c r="L1" s="77"/>
      <c r="M1" s="77"/>
    </row>
    <row r="3" spans="1:13" x14ac:dyDescent="0.25">
      <c r="A3" s="5" t="s">
        <v>2</v>
      </c>
      <c r="B3" s="6"/>
    </row>
    <row r="4" spans="1:13" x14ac:dyDescent="0.25">
      <c r="A4" s="5" t="s">
        <v>3</v>
      </c>
    </row>
    <row r="5" spans="1:13" x14ac:dyDescent="0.25">
      <c r="A5" s="5" t="s">
        <v>4</v>
      </c>
    </row>
    <row r="6" spans="1:13" x14ac:dyDescent="0.25">
      <c r="A6" s="5" t="s">
        <v>5</v>
      </c>
      <c r="B6" s="6"/>
    </row>
    <row r="7" spans="1:13" x14ac:dyDescent="0.25">
      <c r="A7" s="5" t="s">
        <v>6</v>
      </c>
    </row>
    <row r="8" spans="1:13" x14ac:dyDescent="0.25">
      <c r="A8" s="5" t="s">
        <v>7</v>
      </c>
      <c r="B8" s="6"/>
    </row>
    <row r="10" spans="1:13" ht="15" customHeight="1" x14ac:dyDescent="0.25"/>
    <row r="11" spans="1:13" ht="14.25" customHeight="1" x14ac:dyDescent="0.25">
      <c r="D11" s="79" t="s">
        <v>8</v>
      </c>
      <c r="E11" s="77"/>
      <c r="F11" s="77"/>
      <c r="G11" s="77"/>
      <c r="H11" s="77"/>
      <c r="I11" s="77"/>
      <c r="J11" s="77"/>
      <c r="K11" s="77"/>
      <c r="L11" s="77"/>
    </row>
    <row r="12" spans="1:13" x14ac:dyDescent="0.25">
      <c r="D12" s="77"/>
      <c r="E12" s="77"/>
      <c r="F12" s="77"/>
      <c r="G12" s="77"/>
      <c r="H12" s="77"/>
      <c r="I12" s="77"/>
      <c r="J12" s="77"/>
      <c r="K12" s="77"/>
      <c r="L12" s="77"/>
    </row>
    <row r="13" spans="1:13" x14ac:dyDescent="0.25">
      <c r="D13" s="77"/>
      <c r="E13" s="77"/>
      <c r="F13" s="77"/>
      <c r="G13" s="77"/>
      <c r="H13" s="77"/>
      <c r="I13" s="77"/>
      <c r="J13" s="77"/>
      <c r="K13" s="77"/>
      <c r="L13" s="77"/>
    </row>
    <row r="14" spans="1:13" x14ac:dyDescent="0.25">
      <c r="D14" s="77"/>
      <c r="E14" s="77"/>
      <c r="F14" s="77"/>
      <c r="G14" s="77"/>
      <c r="H14" s="77"/>
      <c r="I14" s="77"/>
      <c r="J14" s="77"/>
      <c r="K14" s="77"/>
      <c r="L14" s="77"/>
    </row>
    <row r="15" spans="1:13" x14ac:dyDescent="0.25">
      <c r="D15" s="77"/>
      <c r="E15" s="77"/>
      <c r="F15" s="77"/>
      <c r="G15" s="77"/>
      <c r="H15" s="77"/>
      <c r="I15" s="77"/>
      <c r="J15" s="77"/>
      <c r="K15" s="77"/>
      <c r="L15" s="77"/>
    </row>
    <row r="16" spans="1:13" x14ac:dyDescent="0.25">
      <c r="D16" s="77"/>
      <c r="E16" s="77"/>
      <c r="F16" s="77"/>
      <c r="G16" s="77"/>
      <c r="H16" s="77"/>
      <c r="I16" s="77"/>
      <c r="J16" s="77"/>
      <c r="K16" s="77"/>
      <c r="L16" s="77"/>
    </row>
    <row r="17" spans="4:12" ht="20.25" customHeight="1" x14ac:dyDescent="0.25">
      <c r="D17" s="77"/>
      <c r="E17" s="77"/>
      <c r="F17" s="77"/>
      <c r="G17" s="77"/>
      <c r="H17" s="77"/>
      <c r="I17" s="77"/>
      <c r="J17" s="77"/>
      <c r="K17" s="77"/>
      <c r="L17" s="77"/>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K1048576"/>
  <sheetViews>
    <sheetView tabSelected="1" zoomScaleNormal="100" workbookViewId="0">
      <pane ySplit="1" topLeftCell="A2" activePane="bottomLeft" state="frozen"/>
      <selection activeCell="R1" sqref="R1"/>
      <selection pane="bottomLeft" activeCell="T9" sqref="T9"/>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style="99" customWidth="1"/>
    <col min="9" max="9" width="12.5703125" style="99" customWidth="1"/>
    <col min="10" max="10" width="9.28515625" customWidth="1"/>
    <col min="11" max="19" width="20.7109375" customWidth="1"/>
    <col min="20" max="20" width="23.28515625" bestFit="1" customWidth="1"/>
    <col min="21" max="21" width="16" customWidth="1"/>
    <col min="22" max="22" width="26.28515625" customWidth="1"/>
    <col min="23" max="23" width="47.7109375" customWidth="1"/>
    <col min="24" max="24" width="10.7109375" customWidth="1"/>
  </cols>
  <sheetData>
    <row r="1" spans="1:167" ht="23.25" customHeight="1" x14ac:dyDescent="0.35">
      <c r="A1" s="101" t="s">
        <v>9</v>
      </c>
      <c r="B1" s="101"/>
      <c r="C1" s="101"/>
      <c r="D1" s="101"/>
      <c r="E1" s="101"/>
      <c r="F1" s="101"/>
      <c r="G1" s="101"/>
      <c r="H1" s="101"/>
      <c r="I1" s="101"/>
      <c r="J1" s="102"/>
      <c r="K1" s="7">
        <f t="shared" ref="K1:V1" si="0">SUM(K4:K300)</f>
        <v>0</v>
      </c>
      <c r="L1" s="7">
        <f t="shared" si="0"/>
        <v>0</v>
      </c>
      <c r="M1" s="7">
        <f t="shared" si="0"/>
        <v>0</v>
      </c>
      <c r="N1" s="7">
        <f t="shared" si="0"/>
        <v>0</v>
      </c>
      <c r="O1" s="7">
        <f t="shared" si="0"/>
        <v>0</v>
      </c>
      <c r="P1" s="7">
        <f t="shared" si="0"/>
        <v>0</v>
      </c>
      <c r="Q1" s="7">
        <f t="shared" si="0"/>
        <v>0</v>
      </c>
      <c r="R1" s="7">
        <f t="shared" si="0"/>
        <v>0</v>
      </c>
      <c r="S1" s="7">
        <f t="shared" si="0"/>
        <v>0</v>
      </c>
      <c r="T1" s="7">
        <f t="shared" si="0"/>
        <v>0</v>
      </c>
      <c r="U1" s="7">
        <f t="shared" si="0"/>
        <v>0</v>
      </c>
      <c r="V1" s="7">
        <f t="shared" si="0"/>
        <v>0</v>
      </c>
      <c r="X1" s="80" t="s">
        <v>10</v>
      </c>
      <c r="Y1" s="77"/>
      <c r="Z1" s="77"/>
      <c r="AA1" s="77"/>
      <c r="AB1" s="77"/>
      <c r="AC1" s="77"/>
      <c r="AD1" s="77"/>
      <c r="AE1" s="77"/>
      <c r="AF1" s="77"/>
      <c r="AG1" s="77"/>
      <c r="AH1" s="77"/>
      <c r="AI1" s="77"/>
    </row>
    <row r="2" spans="1:167" x14ac:dyDescent="0.25">
      <c r="A2" s="81" t="s">
        <v>11</v>
      </c>
      <c r="B2" s="81" t="s">
        <v>12</v>
      </c>
      <c r="C2" s="82" t="s">
        <v>13</v>
      </c>
      <c r="D2" s="83" t="s">
        <v>14</v>
      </c>
      <c r="E2" s="83" t="s">
        <v>15</v>
      </c>
      <c r="F2" s="83" t="s">
        <v>16</v>
      </c>
      <c r="G2" s="83" t="s">
        <v>17</v>
      </c>
      <c r="H2" s="104" t="s">
        <v>18</v>
      </c>
      <c r="I2" s="105" t="s">
        <v>19</v>
      </c>
      <c r="J2" s="103" t="s">
        <v>260</v>
      </c>
      <c r="K2" s="84" t="s">
        <v>20</v>
      </c>
      <c r="L2" s="85" t="s">
        <v>21</v>
      </c>
      <c r="M2" s="86" t="s">
        <v>22</v>
      </c>
      <c r="N2" s="86" t="s">
        <v>23</v>
      </c>
      <c r="O2" s="86" t="s">
        <v>24</v>
      </c>
      <c r="P2" s="86" t="s">
        <v>25</v>
      </c>
      <c r="Q2" s="86" t="s">
        <v>26</v>
      </c>
      <c r="R2" s="86" t="s">
        <v>27</v>
      </c>
      <c r="S2" s="86" t="s">
        <v>28</v>
      </c>
      <c r="T2" s="86" t="s">
        <v>29</v>
      </c>
      <c r="U2" s="87" t="s">
        <v>30</v>
      </c>
      <c r="V2" s="2"/>
      <c r="W2" s="8"/>
    </row>
    <row r="3" spans="1:167" ht="30" customHeight="1" x14ac:dyDescent="0.25">
      <c r="A3" s="77"/>
      <c r="B3" s="77"/>
      <c r="C3" s="77"/>
      <c r="D3" s="77"/>
      <c r="E3" s="77"/>
      <c r="F3" s="77"/>
      <c r="G3" s="77"/>
      <c r="H3" s="106"/>
      <c r="I3" s="107"/>
      <c r="J3" s="103"/>
      <c r="K3" s="77"/>
      <c r="L3" s="77"/>
      <c r="M3" s="77"/>
      <c r="N3" s="77"/>
      <c r="O3" s="77"/>
      <c r="P3" s="77"/>
      <c r="Q3" s="77"/>
      <c r="R3" s="77"/>
      <c r="S3" s="77"/>
      <c r="T3" s="77"/>
      <c r="U3" s="77"/>
      <c r="V3" s="9" t="s">
        <v>31</v>
      </c>
      <c r="W3" s="72"/>
    </row>
    <row r="4" spans="1:167" x14ac:dyDescent="0.25">
      <c r="C4" s="10"/>
      <c r="D4" s="10"/>
      <c r="E4" s="11"/>
      <c r="F4" s="15"/>
      <c r="J4" s="99">
        <v>1</v>
      </c>
      <c r="K4" s="16"/>
      <c r="L4" s="16"/>
      <c r="M4" s="16"/>
      <c r="N4" s="16"/>
      <c r="O4" s="16"/>
      <c r="P4" s="16"/>
      <c r="Q4" s="16"/>
      <c r="R4" s="16"/>
      <c r="S4" s="16"/>
      <c r="T4" s="16"/>
      <c r="U4" s="73">
        <f>SUM(K4:T4)</f>
        <v>0</v>
      </c>
      <c r="V4" s="73"/>
      <c r="X4" s="75" t="str" cm="1">
        <f t="array" ref="X4">MID(";"&amp;'CASE DATA'!$F4&amp;";",SMALL(IF(ISERROR(SEARCH(MID(";"&amp;'CASE DATA'!$F4&amp;";",ROW($1:$99),1),";")),"",ROW($1:$99)+1),COLUMN(A4)),SMALL(IF(ISERROR(SEARCH(MID(";"&amp;'CASE DATA'!$F4&amp;";",ROW($1:$99),1),";")),"",ROW($1:$99)),COLUMN(A3)+1)-SMALL(IF(ISERROR(SEARCH(MID(";"&amp;'CASE DATA'!$F4&amp;";",ROW($1:$99),1),";")),"",ROW($1:$99)),COLUMN(A3))-1)</f>
        <v/>
      </c>
      <c r="Y4" s="75" t="str" cm="1">
        <f t="array" ref="Y4">MID(";"&amp;'CASE DATA'!$F4&amp;";",SMALL(IF(ISERROR(SEARCH(MID(";"&amp;'CASE DATA'!$F4&amp;";",ROW($1:$99),1),";")),"",ROW($1:$99)+1),COLUMN(B4)),SMALL(IF(ISERROR(SEARCH(MID(";"&amp;'CASE DATA'!$F4&amp;";",ROW($1:$99),1),";")),"",ROW($1:$99)),COLUMN(B3)+1)-SMALL(IF(ISERROR(SEARCH(MID(";"&amp;'CASE DATA'!$F4&amp;";",ROW($1:$99),1),";")),"",ROW($1:$99)),COLUMN(B3))-1)</f>
        <v/>
      </c>
      <c r="Z4" s="75" t="str" cm="1">
        <f t="array" ref="Z4">MID(";"&amp;'CASE DATA'!$F4&amp;";",SMALL(IF(ISERROR(SEARCH(MID(";"&amp;'CASE DATA'!$F4&amp;";",ROW($1:$99),1),";")),"",ROW($1:$99)+1),COLUMN(C4)),SMALL(IF(ISERROR(SEARCH(MID(";"&amp;'CASE DATA'!$F4&amp;";",ROW($1:$99),1),";")),"",ROW($1:$99)),COLUMN(C3)+1)-SMALL(IF(ISERROR(SEARCH(MID(";"&amp;'CASE DATA'!$F4&amp;";",ROW($1:$99),1),";")),"",ROW($1:$99)),COLUMN(C3))-1)</f>
        <v/>
      </c>
      <c r="AA4" s="75" t="str" cm="1">
        <f t="array" ref="AA4">MID(";"&amp;'CASE DATA'!$F4&amp;";",SMALL(IF(ISERROR(SEARCH(MID(";"&amp;'CASE DATA'!$F4&amp;";",ROW($1:$99),1),";")),"",ROW($1:$99)+1),COLUMN(D4)),SMALL(IF(ISERROR(SEARCH(MID(";"&amp;'CASE DATA'!$F4&amp;";",ROW($1:$99),1),";")),"",ROW($1:$99)),COLUMN(D3)+1)-SMALL(IF(ISERROR(SEARCH(MID(";"&amp;'CASE DATA'!$F4&amp;";",ROW($1:$99),1),";")),"",ROW($1:$99)),COLUMN(D3))-1)</f>
        <v/>
      </c>
      <c r="AB4" s="75" t="str" cm="1">
        <f t="array" ref="AB4">MID(";"&amp;'CASE DATA'!$F4&amp;";",SMALL(IF(ISERROR(SEARCH(MID(";"&amp;'CASE DATA'!$F4&amp;";",ROW($1:$99),1),";")),"",ROW($1:$99)+1),COLUMN(E4)),SMALL(IF(ISERROR(SEARCH(MID(";"&amp;'CASE DATA'!$F4&amp;";",ROW($1:$99),1),";")),"",ROW($1:$99)),COLUMN(E3)+1)-SMALL(IF(ISERROR(SEARCH(MID(";"&amp;'CASE DATA'!$F4&amp;";",ROW($1:$99),1),";")),"",ROW($1:$99)),COLUMN(E3))-1)</f>
        <v/>
      </c>
      <c r="AC4" s="75" t="str" cm="1">
        <f t="array" ref="AC4">MID(";"&amp;'CASE DATA'!$F4&amp;";",SMALL(IF(ISERROR(SEARCH(MID(";"&amp;'CASE DATA'!$F4&amp;";",ROW($1:$99),1),";")),"",ROW($1:$99)+1),COLUMN(F4)),SMALL(IF(ISERROR(SEARCH(MID(";"&amp;'CASE DATA'!$F4&amp;";",ROW($1:$99),1),";")),"",ROW($1:$99)),COLUMN(F3)+1)-SMALL(IF(ISERROR(SEARCH(MID(";"&amp;'CASE DATA'!$F4&amp;";",ROW($1:$99),1),";")),"",ROW($1:$99)),COLUMN(F3))-1)</f>
        <v/>
      </c>
      <c r="AD4" s="75" t="str" cm="1">
        <f t="array" ref="AD4">MID(";"&amp;'CASE DATA'!$F4&amp;";",SMALL(IF(ISERROR(SEARCH(MID(";"&amp;'CASE DATA'!$F4&amp;";",ROW($1:$99),1),";")),"",ROW($1:$99)+1),COLUMN(G4)),SMALL(IF(ISERROR(SEARCH(MID(";"&amp;'CASE DATA'!$F4&amp;";",ROW($1:$99),1),";")),"",ROW($1:$99)),COLUMN(G3)+1)-SMALL(IF(ISERROR(SEARCH(MID(";"&amp;'CASE DATA'!$F4&amp;";",ROW($1:$99),1),";")),"",ROW($1:$99)),COLUMN(G3))-1)</f>
        <v/>
      </c>
      <c r="AE4" s="75" t="str" cm="1">
        <f t="array" ref="AE4">MID(";"&amp;'CASE DATA'!$F4&amp;";",SMALL(IF(ISERROR(SEARCH(MID(";"&amp;'CASE DATA'!$F4&amp;";",ROW($1:$99),1),";")),"",ROW($1:$99)+1),COLUMN(H4)),SMALL(IF(ISERROR(SEARCH(MID(";"&amp;'CASE DATA'!$F4&amp;";",ROW($1:$99),1),";")),"",ROW($1:$99)),COLUMN(H3)+1)-SMALL(IF(ISERROR(SEARCH(MID(";"&amp;'CASE DATA'!$F4&amp;";",ROW($1:$99),1),";")),"",ROW($1:$99)),COLUMN(H3))-1)</f>
        <v/>
      </c>
      <c r="AF4" s="75" t="str" cm="1">
        <f t="array" ref="AF4">MID(";"&amp;'CASE DATA'!$F4&amp;";",SMALL(IF(ISERROR(SEARCH(MID(";"&amp;'CASE DATA'!$F4&amp;";",ROW($1:$99),1),";")),"",ROW($1:$99)+1),COLUMN(I4)),SMALL(IF(ISERROR(SEARCH(MID(";"&amp;'CASE DATA'!$F4&amp;";",ROW($1:$99),1),";")),"",ROW($1:$99)),COLUMN(I3)+1)-SMALL(IF(ISERROR(SEARCH(MID(";"&amp;'CASE DATA'!$F4&amp;";",ROW($1:$99),1),";")),"",ROW($1:$99)),COLUMN(I3))-1)</f>
        <v/>
      </c>
      <c r="AG4" s="75" t="str" cm="1">
        <f t="array" ref="AG4">MID(";"&amp;'CASE DATA'!$F4&amp;";",SMALL(IF(ISERROR(SEARCH(MID(";"&amp;'CASE DATA'!$F4&amp;";",ROW($1:$99),1),";")),"",ROW($1:$99)+1),COLUMN(K4)),SMALL(IF(ISERROR(SEARCH(MID(";"&amp;'CASE DATA'!$F4&amp;";",ROW($1:$99),1),";")),"",ROW($1:$99)),COLUMN(K3)+1)-SMALL(IF(ISERROR(SEARCH(MID(";"&amp;'CASE DATA'!$F4&amp;";",ROW($1:$99),1),";")),"",ROW($1:$99)),COLUMN(K3))-1)</f>
        <v/>
      </c>
      <c r="AH4" s="75" t="str" cm="1">
        <f t="array" ref="AH4">MID(";"&amp;'CASE DATA'!$F4&amp;";",SMALL(IF(ISERROR(SEARCH(MID(";"&amp;'CASE DATA'!$F4&amp;";",ROW($1:$99),1),";")),"",ROW($1:$99)+1),COLUMN(L4)),SMALL(IF(ISERROR(SEARCH(MID(";"&amp;'CASE DATA'!$F4&amp;";",ROW($1:$99),1),";")),"",ROW($1:$99)),COLUMN(L3)+1)-SMALL(IF(ISERROR(SEARCH(MID(";"&amp;'CASE DATA'!$F4&amp;";",ROW($1:$99),1),";")),"",ROW($1:$99)),COLUMN(L3))-1)</f>
        <v/>
      </c>
      <c r="AI4" s="75" t="str" cm="1">
        <f t="array" ref="AI4">MID(";"&amp;'CASE DATA'!$F4&amp;";",SMALL(IF(ISERROR(SEARCH(MID(";"&amp;'CASE DATA'!$F4&amp;";",ROW($1:$99),1),";")),"",ROW($1:$99)+1),COLUMN(M4)),SMALL(IF(ISERROR(SEARCH(MID(";"&amp;'CASE DATA'!$F4&amp;";",ROW($1:$99),1),";")),"",ROW($1:$99)),COLUMN(M3)+1)-SMALL(IF(ISERROR(SEARCH(MID(";"&amp;'CASE DATA'!$F4&amp;";",ROW($1:$99),1),";")),"",ROW($1:$99)),COLUMN(M3))-1)</f>
        <v/>
      </c>
    </row>
    <row r="5" spans="1:167" x14ac:dyDescent="0.25">
      <c r="A5" s="11"/>
      <c r="C5" s="10"/>
      <c r="D5" s="10"/>
      <c r="E5" s="11"/>
      <c r="F5" s="15"/>
      <c r="J5" s="99">
        <v>2</v>
      </c>
      <c r="K5" s="16"/>
      <c r="L5" s="16"/>
      <c r="M5" s="16"/>
      <c r="N5" s="16"/>
      <c r="O5" s="16"/>
      <c r="P5" s="16"/>
      <c r="Q5" s="16"/>
      <c r="R5" s="16"/>
      <c r="S5" s="16"/>
      <c r="T5" s="16"/>
      <c r="U5" s="73">
        <f>SUM(K5:T5)</f>
        <v>0</v>
      </c>
      <c r="V5" s="73"/>
      <c r="X5" s="75" t="str" cm="1">
        <f t="array" ref="X5">MID(";"&amp;'CASE DATA'!$F5&amp;";",SMALL(IF(ISERROR(SEARCH(MID(";"&amp;'CASE DATA'!$F5&amp;";",ROW($1:$99),1),";")),"",ROW($1:$99)+1),COLUMN(A5)),SMALL(IF(ISERROR(SEARCH(MID(";"&amp;'CASE DATA'!$F5&amp;";",ROW($1:$99),1),";")),"",ROW($1:$99)),COLUMN(A4)+1)-SMALL(IF(ISERROR(SEARCH(MID(";"&amp;'CASE DATA'!$F5&amp;";",ROW($1:$99),1),";")),"",ROW($1:$99)),COLUMN(A4))-1)</f>
        <v/>
      </c>
      <c r="Y5" s="75" t="str" cm="1">
        <f t="array" ref="Y5">MID(";"&amp;'CASE DATA'!$F5&amp;";",SMALL(IF(ISERROR(SEARCH(MID(";"&amp;'CASE DATA'!$F5&amp;";",ROW($1:$99),1),";")),"",ROW($1:$99)+1),COLUMN(B5)),SMALL(IF(ISERROR(SEARCH(MID(";"&amp;'CASE DATA'!$F5&amp;";",ROW($1:$99),1),";")),"",ROW($1:$99)),COLUMN(B4)+1)-SMALL(IF(ISERROR(SEARCH(MID(";"&amp;'CASE DATA'!$F5&amp;";",ROW($1:$99),1),";")),"",ROW($1:$99)),COLUMN(B4))-1)</f>
        <v/>
      </c>
      <c r="Z5" s="75" t="str" cm="1">
        <f t="array" ref="Z5">MID(";"&amp;'CASE DATA'!$F5&amp;";",SMALL(IF(ISERROR(SEARCH(MID(";"&amp;'CASE DATA'!$F5&amp;";",ROW($1:$99),1),";")),"",ROW($1:$99)+1),COLUMN(C5)),SMALL(IF(ISERROR(SEARCH(MID(";"&amp;'CASE DATA'!$F5&amp;";",ROW($1:$99),1),";")),"",ROW($1:$99)),COLUMN(C4)+1)-SMALL(IF(ISERROR(SEARCH(MID(";"&amp;'CASE DATA'!$F5&amp;";",ROW($1:$99),1),";")),"",ROW($1:$99)),COLUMN(C4))-1)</f>
        <v/>
      </c>
      <c r="AA5" s="75" t="str" cm="1">
        <f t="array" ref="AA5">MID(";"&amp;'CASE DATA'!$F5&amp;";",SMALL(IF(ISERROR(SEARCH(MID(";"&amp;'CASE DATA'!$F5&amp;";",ROW($1:$99),1),";")),"",ROW($1:$99)+1),COLUMN(D5)),SMALL(IF(ISERROR(SEARCH(MID(";"&amp;'CASE DATA'!$F5&amp;";",ROW($1:$99),1),";")),"",ROW($1:$99)),COLUMN(D4)+1)-SMALL(IF(ISERROR(SEARCH(MID(";"&amp;'CASE DATA'!$F5&amp;";",ROW($1:$99),1),";")),"",ROW($1:$99)),COLUMN(D4))-1)</f>
        <v/>
      </c>
      <c r="AB5" s="75" t="str" cm="1">
        <f t="array" ref="AB5">MID(";"&amp;'CASE DATA'!$F5&amp;";",SMALL(IF(ISERROR(SEARCH(MID(";"&amp;'CASE DATA'!$F5&amp;";",ROW($1:$99),1),";")),"",ROW($1:$99)+1),COLUMN(E5)),SMALL(IF(ISERROR(SEARCH(MID(";"&amp;'CASE DATA'!$F5&amp;";",ROW($1:$99),1),";")),"",ROW($1:$99)),COLUMN(E4)+1)-SMALL(IF(ISERROR(SEARCH(MID(";"&amp;'CASE DATA'!$F5&amp;";",ROW($1:$99),1),";")),"",ROW($1:$99)),COLUMN(E4))-1)</f>
        <v/>
      </c>
      <c r="AC5" s="75" t="str" cm="1">
        <f t="array" ref="AC5">MID(";"&amp;'CASE DATA'!$F5&amp;";",SMALL(IF(ISERROR(SEARCH(MID(";"&amp;'CASE DATA'!$F5&amp;";",ROW($1:$99),1),";")),"",ROW($1:$99)+1),COLUMN(F5)),SMALL(IF(ISERROR(SEARCH(MID(";"&amp;'CASE DATA'!$F5&amp;";",ROW($1:$99),1),";")),"",ROW($1:$99)),COLUMN(F4)+1)-SMALL(IF(ISERROR(SEARCH(MID(";"&amp;'CASE DATA'!$F5&amp;";",ROW($1:$99),1),";")),"",ROW($1:$99)),COLUMN(F4))-1)</f>
        <v/>
      </c>
      <c r="AD5" s="75" t="str" cm="1">
        <f t="array" ref="AD5">MID(";"&amp;'CASE DATA'!$F5&amp;";",SMALL(IF(ISERROR(SEARCH(MID(";"&amp;'CASE DATA'!$F5&amp;";",ROW($1:$99),1),";")),"",ROW($1:$99)+1),COLUMN(G5)),SMALL(IF(ISERROR(SEARCH(MID(";"&amp;'CASE DATA'!$F5&amp;";",ROW($1:$99),1),";")),"",ROW($1:$99)),COLUMN(G4)+1)-SMALL(IF(ISERROR(SEARCH(MID(";"&amp;'CASE DATA'!$F5&amp;";",ROW($1:$99),1),";")),"",ROW($1:$99)),COLUMN(G4))-1)</f>
        <v/>
      </c>
      <c r="AE5" s="75" t="str" cm="1">
        <f t="array" ref="AE5">MID(";"&amp;'CASE DATA'!$F5&amp;";",SMALL(IF(ISERROR(SEARCH(MID(";"&amp;'CASE DATA'!$F5&amp;";",ROW($1:$99),1),";")),"",ROW($1:$99)+1),COLUMN(H5)),SMALL(IF(ISERROR(SEARCH(MID(";"&amp;'CASE DATA'!$F5&amp;";",ROW($1:$99),1),";")),"",ROW($1:$99)),COLUMN(H4)+1)-SMALL(IF(ISERROR(SEARCH(MID(";"&amp;'CASE DATA'!$F5&amp;";",ROW($1:$99),1),";")),"",ROW($1:$99)),COLUMN(H4))-1)</f>
        <v/>
      </c>
      <c r="AF5" s="75" t="str" cm="1">
        <f t="array" ref="AF5">MID(";"&amp;'CASE DATA'!$F5&amp;";",SMALL(IF(ISERROR(SEARCH(MID(";"&amp;'CASE DATA'!$F5&amp;";",ROW($1:$99),1),";")),"",ROW($1:$99)+1),COLUMN(I5)),SMALL(IF(ISERROR(SEARCH(MID(";"&amp;'CASE DATA'!$F5&amp;";",ROW($1:$99),1),";")),"",ROW($1:$99)),COLUMN(I4)+1)-SMALL(IF(ISERROR(SEARCH(MID(";"&amp;'CASE DATA'!$F5&amp;";",ROW($1:$99),1),";")),"",ROW($1:$99)),COLUMN(I4))-1)</f>
        <v/>
      </c>
      <c r="AG5" s="75" t="str" cm="1">
        <f t="array" ref="AG5">MID(";"&amp;'CASE DATA'!$F5&amp;";",SMALL(IF(ISERROR(SEARCH(MID(";"&amp;'CASE DATA'!$F5&amp;";",ROW($1:$99),1),";")),"",ROW($1:$99)+1),COLUMN(K5)),SMALL(IF(ISERROR(SEARCH(MID(";"&amp;'CASE DATA'!$F5&amp;";",ROW($1:$99),1),";")),"",ROW($1:$99)),COLUMN(K4)+1)-SMALL(IF(ISERROR(SEARCH(MID(";"&amp;'CASE DATA'!$F5&amp;";",ROW($1:$99),1),";")),"",ROW($1:$99)),COLUMN(K4))-1)</f>
        <v/>
      </c>
      <c r="AH5" s="75" t="str" cm="1">
        <f t="array" ref="AH5">MID(";"&amp;'CASE DATA'!$F5&amp;";",SMALL(IF(ISERROR(SEARCH(MID(";"&amp;'CASE DATA'!$F5&amp;";",ROW($1:$99),1),";")),"",ROW($1:$99)+1),COLUMN(L5)),SMALL(IF(ISERROR(SEARCH(MID(";"&amp;'CASE DATA'!$F5&amp;";",ROW($1:$99),1),";")),"",ROW($1:$99)),COLUMN(L4)+1)-SMALL(IF(ISERROR(SEARCH(MID(";"&amp;'CASE DATA'!$F5&amp;";",ROW($1:$99),1),";")),"",ROW($1:$99)),COLUMN(L4))-1)</f>
        <v/>
      </c>
      <c r="AI5" s="75" t="str" cm="1">
        <f t="array" ref="AI5">MID(";"&amp;'CASE DATA'!$F5&amp;";",SMALL(IF(ISERROR(SEARCH(MID(";"&amp;'CASE DATA'!$F5&amp;";",ROW($1:$99),1),";")),"",ROW($1:$99)+1),COLUMN(M5)),SMALL(IF(ISERROR(SEARCH(MID(";"&amp;'CASE DATA'!$F5&amp;";",ROW($1:$99),1),";")),"",ROW($1:$99)),COLUMN(M4)+1)-SMALL(IF(ISERROR(SEARCH(MID(";"&amp;'CASE DATA'!$F5&amp;";",ROW($1:$99),1),";")),"",ROW($1:$99)),COLUMN(M4))-1)</f>
        <v/>
      </c>
    </row>
    <row r="6" spans="1:167" x14ac:dyDescent="0.25">
      <c r="A6" s="11"/>
      <c r="C6" s="10"/>
      <c r="D6" s="10"/>
      <c r="E6" s="11"/>
      <c r="F6" s="15"/>
      <c r="J6" s="99">
        <v>3</v>
      </c>
      <c r="K6" s="16"/>
      <c r="L6" s="16"/>
      <c r="M6" s="16"/>
      <c r="N6" s="16"/>
      <c r="O6" s="16"/>
      <c r="P6" s="16"/>
      <c r="Q6" s="16"/>
      <c r="R6" s="16"/>
      <c r="S6" s="16"/>
      <c r="T6" s="16"/>
      <c r="U6" s="73">
        <f>SUM(K6:T6)</f>
        <v>0</v>
      </c>
      <c r="V6" s="73"/>
      <c r="X6" s="75" t="str" cm="1">
        <f t="array" ref="X6">MID(";"&amp;'CASE DATA'!$F6&amp;";",SMALL(IF(ISERROR(SEARCH(MID(";"&amp;'CASE DATA'!$F6&amp;";",ROW($1:$99),1),";")),"",ROW($1:$99)+1),COLUMN(A6)),SMALL(IF(ISERROR(SEARCH(MID(";"&amp;'CASE DATA'!$F6&amp;";",ROW($1:$99),1),";")),"",ROW($1:$99)),COLUMN(A5)+1)-SMALL(IF(ISERROR(SEARCH(MID(";"&amp;'CASE DATA'!$F6&amp;";",ROW($1:$99),1),";")),"",ROW($1:$99)),COLUMN(A5))-1)</f>
        <v/>
      </c>
      <c r="Y6" s="75" t="str" cm="1">
        <f t="array" ref="Y6">MID(";"&amp;'CASE DATA'!$F6&amp;";",SMALL(IF(ISERROR(SEARCH(MID(";"&amp;'CASE DATA'!$F6&amp;";",ROW($1:$99),1),";")),"",ROW($1:$99)+1),COLUMN(B6)),SMALL(IF(ISERROR(SEARCH(MID(";"&amp;'CASE DATA'!$F6&amp;";",ROW($1:$99),1),";")),"",ROW($1:$99)),COLUMN(B5)+1)-SMALL(IF(ISERROR(SEARCH(MID(";"&amp;'CASE DATA'!$F6&amp;";",ROW($1:$99),1),";")),"",ROW($1:$99)),COLUMN(B5))-1)</f>
        <v/>
      </c>
      <c r="Z6" s="75" t="str" cm="1">
        <f t="array" ref="Z6">MID(";"&amp;'CASE DATA'!$F6&amp;";",SMALL(IF(ISERROR(SEARCH(MID(";"&amp;'CASE DATA'!$F6&amp;";",ROW($1:$99),1),";")),"",ROW($1:$99)+1),COLUMN(C6)),SMALL(IF(ISERROR(SEARCH(MID(";"&amp;'CASE DATA'!$F6&amp;";",ROW($1:$99),1),";")),"",ROW($1:$99)),COLUMN(C5)+1)-SMALL(IF(ISERROR(SEARCH(MID(";"&amp;'CASE DATA'!$F6&amp;";",ROW($1:$99),1),";")),"",ROW($1:$99)),COLUMN(C5))-1)</f>
        <v/>
      </c>
      <c r="AA6" s="75" t="str" cm="1">
        <f t="array" ref="AA6">MID(";"&amp;'CASE DATA'!$F6&amp;";",SMALL(IF(ISERROR(SEARCH(MID(";"&amp;'CASE DATA'!$F6&amp;";",ROW($1:$99),1),";")),"",ROW($1:$99)+1),COLUMN(D6)),SMALL(IF(ISERROR(SEARCH(MID(";"&amp;'CASE DATA'!$F6&amp;";",ROW($1:$99),1),";")),"",ROW($1:$99)),COLUMN(D5)+1)-SMALL(IF(ISERROR(SEARCH(MID(";"&amp;'CASE DATA'!$F6&amp;";",ROW($1:$99),1),";")),"",ROW($1:$99)),COLUMN(D5))-1)</f>
        <v/>
      </c>
      <c r="AB6" s="75" t="str" cm="1">
        <f t="array" ref="AB6">MID(";"&amp;'CASE DATA'!$F6&amp;";",SMALL(IF(ISERROR(SEARCH(MID(";"&amp;'CASE DATA'!$F6&amp;";",ROW($1:$99),1),";")),"",ROW($1:$99)+1),COLUMN(E6)),SMALL(IF(ISERROR(SEARCH(MID(";"&amp;'CASE DATA'!$F6&amp;";",ROW($1:$99),1),";")),"",ROW($1:$99)),COLUMN(E5)+1)-SMALL(IF(ISERROR(SEARCH(MID(";"&amp;'CASE DATA'!$F6&amp;";",ROW($1:$99),1),";")),"",ROW($1:$99)),COLUMN(E5))-1)</f>
        <v/>
      </c>
      <c r="AC6" s="75" t="str" cm="1">
        <f t="array" ref="AC6">MID(";"&amp;'CASE DATA'!$F6&amp;";",SMALL(IF(ISERROR(SEARCH(MID(";"&amp;'CASE DATA'!$F6&amp;";",ROW($1:$99),1),";")),"",ROW($1:$99)+1),COLUMN(F6)),SMALL(IF(ISERROR(SEARCH(MID(";"&amp;'CASE DATA'!$F6&amp;";",ROW($1:$99),1),";")),"",ROW($1:$99)),COLUMN(F5)+1)-SMALL(IF(ISERROR(SEARCH(MID(";"&amp;'CASE DATA'!$F6&amp;";",ROW($1:$99),1),";")),"",ROW($1:$99)),COLUMN(F5))-1)</f>
        <v/>
      </c>
      <c r="AD6" s="75" t="str" cm="1">
        <f t="array" ref="AD6">MID(";"&amp;'CASE DATA'!$F6&amp;";",SMALL(IF(ISERROR(SEARCH(MID(";"&amp;'CASE DATA'!$F6&amp;";",ROW($1:$99),1),";")),"",ROW($1:$99)+1),COLUMN(G6)),SMALL(IF(ISERROR(SEARCH(MID(";"&amp;'CASE DATA'!$F6&amp;";",ROW($1:$99),1),";")),"",ROW($1:$99)),COLUMN(G5)+1)-SMALL(IF(ISERROR(SEARCH(MID(";"&amp;'CASE DATA'!$F6&amp;";",ROW($1:$99),1),";")),"",ROW($1:$99)),COLUMN(G5))-1)</f>
        <v/>
      </c>
      <c r="AE6" s="75" t="str" cm="1">
        <f t="array" ref="AE6">MID(";"&amp;'CASE DATA'!$F6&amp;";",SMALL(IF(ISERROR(SEARCH(MID(";"&amp;'CASE DATA'!$F6&amp;";",ROW($1:$99),1),";")),"",ROW($1:$99)+1),COLUMN(H6)),SMALL(IF(ISERROR(SEARCH(MID(";"&amp;'CASE DATA'!$F6&amp;";",ROW($1:$99),1),";")),"",ROW($1:$99)),COLUMN(H5)+1)-SMALL(IF(ISERROR(SEARCH(MID(";"&amp;'CASE DATA'!$F6&amp;";",ROW($1:$99),1),";")),"",ROW($1:$99)),COLUMN(H5))-1)</f>
        <v/>
      </c>
      <c r="AF6" s="75" t="str" cm="1">
        <f t="array" ref="AF6">MID(";"&amp;'CASE DATA'!$F6&amp;";",SMALL(IF(ISERROR(SEARCH(MID(";"&amp;'CASE DATA'!$F6&amp;";",ROW($1:$99),1),";")),"",ROW($1:$99)+1),COLUMN(I6)),SMALL(IF(ISERROR(SEARCH(MID(";"&amp;'CASE DATA'!$F6&amp;";",ROW($1:$99),1),";")),"",ROW($1:$99)),COLUMN(I5)+1)-SMALL(IF(ISERROR(SEARCH(MID(";"&amp;'CASE DATA'!$F6&amp;";",ROW($1:$99),1),";")),"",ROW($1:$99)),COLUMN(I5))-1)</f>
        <v/>
      </c>
      <c r="AG6" s="75" t="str" cm="1">
        <f t="array" ref="AG6">MID(";"&amp;'CASE DATA'!$F6&amp;";",SMALL(IF(ISERROR(SEARCH(MID(";"&amp;'CASE DATA'!$F6&amp;";",ROW($1:$99),1),";")),"",ROW($1:$99)+1),COLUMN(K6)),SMALL(IF(ISERROR(SEARCH(MID(";"&amp;'CASE DATA'!$F6&amp;";",ROW($1:$99),1),";")),"",ROW($1:$99)),COLUMN(K5)+1)-SMALL(IF(ISERROR(SEARCH(MID(";"&amp;'CASE DATA'!$F6&amp;";",ROW($1:$99),1),";")),"",ROW($1:$99)),COLUMN(K5))-1)</f>
        <v/>
      </c>
      <c r="AH6" s="75" t="str" cm="1">
        <f t="array" ref="AH6">MID(";"&amp;'CASE DATA'!$F6&amp;";",SMALL(IF(ISERROR(SEARCH(MID(";"&amp;'CASE DATA'!$F6&amp;";",ROW($1:$99),1),";")),"",ROW($1:$99)+1),COLUMN(L6)),SMALL(IF(ISERROR(SEARCH(MID(";"&amp;'CASE DATA'!$F6&amp;";",ROW($1:$99),1),";")),"",ROW($1:$99)),COLUMN(L5)+1)-SMALL(IF(ISERROR(SEARCH(MID(";"&amp;'CASE DATA'!$F6&amp;";",ROW($1:$99),1),";")),"",ROW($1:$99)),COLUMN(L5))-1)</f>
        <v/>
      </c>
      <c r="AI6" s="75" t="str" cm="1">
        <f t="array" ref="AI6">MID(";"&amp;'CASE DATA'!$F6&amp;";",SMALL(IF(ISERROR(SEARCH(MID(";"&amp;'CASE DATA'!$F6&amp;";",ROW($1:$99),1),";")),"",ROW($1:$99)+1),COLUMN(M6)),SMALL(IF(ISERROR(SEARCH(MID(";"&amp;'CASE DATA'!$F6&amp;";",ROW($1:$99),1),";")),"",ROW($1:$99)),COLUMN(M5)+1)-SMALL(IF(ISERROR(SEARCH(MID(";"&amp;'CASE DATA'!$F6&amp;";",ROW($1:$99),1),";")),"",ROW($1:$99)),COLUMN(M5))-1)</f>
        <v/>
      </c>
      <c r="BO6" s="99"/>
      <c r="BP6" s="99"/>
      <c r="BQ6" s="99"/>
      <c r="BR6" s="99"/>
      <c r="BS6" s="99"/>
      <c r="BT6" s="99"/>
      <c r="BU6" s="99"/>
      <c r="BV6" s="99"/>
      <c r="BW6" s="99"/>
      <c r="BX6" s="99"/>
      <c r="BY6" s="99"/>
      <c r="BZ6" s="99"/>
      <c r="CA6" s="99"/>
      <c r="CB6" s="99"/>
      <c r="CC6" s="99"/>
      <c r="CD6" s="99"/>
      <c r="CE6" s="99"/>
      <c r="CF6" s="99"/>
      <c r="CG6" s="99"/>
      <c r="CH6" s="99"/>
      <c r="CI6" s="99"/>
      <c r="CJ6" s="99"/>
      <c r="CK6" s="99"/>
      <c r="CL6" s="99"/>
      <c r="CM6" s="99"/>
      <c r="CN6" s="99"/>
      <c r="CO6" s="99"/>
      <c r="CP6" s="99"/>
      <c r="CQ6" s="99"/>
      <c r="CR6" s="99"/>
      <c r="CS6" s="99"/>
      <c r="CT6" s="99"/>
      <c r="CU6" s="99"/>
      <c r="CV6" s="99"/>
      <c r="CW6" s="99"/>
      <c r="CX6" s="99"/>
      <c r="CY6" s="99"/>
      <c r="CZ6" s="99"/>
      <c r="DA6" s="99"/>
      <c r="DB6" s="99"/>
      <c r="DC6" s="99"/>
      <c r="DD6" s="99"/>
      <c r="DE6" s="99"/>
      <c r="DF6" s="99"/>
      <c r="DG6" s="99"/>
      <c r="DH6" s="99"/>
      <c r="DI6" s="99"/>
      <c r="DJ6" s="99"/>
      <c r="DK6" s="99"/>
      <c r="DL6" s="99"/>
      <c r="DM6" s="99"/>
      <c r="DN6" s="99"/>
      <c r="DO6" s="99"/>
      <c r="DP6" s="99"/>
      <c r="DQ6" s="99"/>
      <c r="DR6" s="99"/>
      <c r="DS6" s="99"/>
      <c r="DT6" s="99"/>
      <c r="DU6" s="99"/>
      <c r="DV6" s="99"/>
      <c r="DW6" s="99"/>
      <c r="DX6" s="99"/>
      <c r="DY6" s="99"/>
      <c r="DZ6" s="99"/>
      <c r="EA6" s="99"/>
      <c r="EB6" s="99"/>
      <c r="EC6" s="99"/>
      <c r="ED6" s="99"/>
      <c r="EE6" s="99"/>
      <c r="EF6" s="99"/>
      <c r="EG6" s="99"/>
      <c r="EH6" s="99"/>
      <c r="EI6" s="99"/>
      <c r="EJ6" s="99"/>
      <c r="EK6" s="99"/>
      <c r="EL6" s="99"/>
      <c r="EM6" s="99"/>
      <c r="EN6" s="99"/>
      <c r="EO6" s="99"/>
      <c r="EP6" s="99"/>
      <c r="EQ6" s="99"/>
      <c r="ER6" s="99"/>
      <c r="ES6" s="99"/>
      <c r="ET6" s="99"/>
      <c r="EU6" s="99"/>
      <c r="EV6" s="99"/>
      <c r="EW6" s="99"/>
      <c r="EX6" s="99"/>
      <c r="EY6" s="99"/>
      <c r="EZ6" s="99"/>
      <c r="FA6" s="99"/>
      <c r="FB6" s="99"/>
      <c r="FC6" s="99"/>
      <c r="FD6" s="99"/>
      <c r="FE6" s="99"/>
      <c r="FF6" s="99"/>
      <c r="FG6" s="99"/>
      <c r="FH6" s="99"/>
      <c r="FI6" s="99"/>
      <c r="FJ6" s="99"/>
      <c r="FK6" s="99"/>
    </row>
    <row r="7" spans="1:167" x14ac:dyDescent="0.25">
      <c r="C7" s="10"/>
      <c r="D7" s="10"/>
      <c r="E7" s="11"/>
      <c r="F7" s="15"/>
      <c r="J7" s="99">
        <v>4</v>
      </c>
      <c r="K7" s="16"/>
      <c r="L7" s="16"/>
      <c r="M7" s="16"/>
      <c r="N7" s="16"/>
      <c r="O7" s="16"/>
      <c r="P7" s="16"/>
      <c r="Q7" s="16"/>
      <c r="R7" s="16"/>
      <c r="S7" s="16"/>
      <c r="T7" s="16"/>
      <c r="U7" s="73">
        <f>SUM(K7:T7)</f>
        <v>0</v>
      </c>
      <c r="V7" s="73"/>
      <c r="X7" s="75" t="str" cm="1">
        <f t="array" ref="X7">MID(";"&amp;'CASE DATA'!$F7&amp;";",SMALL(IF(ISERROR(SEARCH(MID(";"&amp;'CASE DATA'!$F7&amp;";",ROW($1:$99),1),";")),"",ROW($1:$99)+1),COLUMN(A7)),SMALL(IF(ISERROR(SEARCH(MID(";"&amp;'CASE DATA'!$F7&amp;";",ROW($1:$99),1),";")),"",ROW($1:$99)),COLUMN(A6)+1)-SMALL(IF(ISERROR(SEARCH(MID(";"&amp;'CASE DATA'!$F7&amp;";",ROW($1:$99),1),";")),"",ROW($1:$99)),COLUMN(A6))-1)</f>
        <v/>
      </c>
      <c r="Y7" s="75" t="str" cm="1">
        <f t="array" ref="Y7">MID(";"&amp;'CASE DATA'!$F7&amp;";",SMALL(IF(ISERROR(SEARCH(MID(";"&amp;'CASE DATA'!$F7&amp;";",ROW($1:$99),1),";")),"",ROW($1:$99)+1),COLUMN(B7)),SMALL(IF(ISERROR(SEARCH(MID(";"&amp;'CASE DATA'!$F7&amp;";",ROW($1:$99),1),";")),"",ROW($1:$99)),COLUMN(B6)+1)-SMALL(IF(ISERROR(SEARCH(MID(";"&amp;'CASE DATA'!$F7&amp;";",ROW($1:$99),1),";")),"",ROW($1:$99)),COLUMN(B6))-1)</f>
        <v/>
      </c>
      <c r="Z7" s="75" t="str" cm="1">
        <f t="array" ref="Z7">MID(";"&amp;'CASE DATA'!$F7&amp;";",SMALL(IF(ISERROR(SEARCH(MID(";"&amp;'CASE DATA'!$F7&amp;";",ROW($1:$99),1),";")),"",ROW($1:$99)+1),COLUMN(C7)),SMALL(IF(ISERROR(SEARCH(MID(";"&amp;'CASE DATA'!$F7&amp;";",ROW($1:$99),1),";")),"",ROW($1:$99)),COLUMN(C6)+1)-SMALL(IF(ISERROR(SEARCH(MID(";"&amp;'CASE DATA'!$F7&amp;";",ROW($1:$99),1),";")),"",ROW($1:$99)),COLUMN(C6))-1)</f>
        <v/>
      </c>
      <c r="AA7" s="75" t="str" cm="1">
        <f t="array" ref="AA7">MID(";"&amp;'CASE DATA'!$F7&amp;";",SMALL(IF(ISERROR(SEARCH(MID(";"&amp;'CASE DATA'!$F7&amp;";",ROW($1:$99),1),";")),"",ROW($1:$99)+1),COLUMN(D7)),SMALL(IF(ISERROR(SEARCH(MID(";"&amp;'CASE DATA'!$F7&amp;";",ROW($1:$99),1),";")),"",ROW($1:$99)),COLUMN(D6)+1)-SMALL(IF(ISERROR(SEARCH(MID(";"&amp;'CASE DATA'!$F7&amp;";",ROW($1:$99),1),";")),"",ROW($1:$99)),COLUMN(D6))-1)</f>
        <v/>
      </c>
      <c r="AB7" s="75" t="str" cm="1">
        <f t="array" ref="AB7">MID(";"&amp;'CASE DATA'!$F7&amp;";",SMALL(IF(ISERROR(SEARCH(MID(";"&amp;'CASE DATA'!$F7&amp;";",ROW($1:$99),1),";")),"",ROW($1:$99)+1),COLUMN(E7)),SMALL(IF(ISERROR(SEARCH(MID(";"&amp;'CASE DATA'!$F7&amp;";",ROW($1:$99),1),";")),"",ROW($1:$99)),COLUMN(E6)+1)-SMALL(IF(ISERROR(SEARCH(MID(";"&amp;'CASE DATA'!$F7&amp;";",ROW($1:$99),1),";")),"",ROW($1:$99)),COLUMN(E6))-1)</f>
        <v/>
      </c>
      <c r="AC7" s="75" t="str" cm="1">
        <f t="array" ref="AC7">MID(";"&amp;'CASE DATA'!$F7&amp;";",SMALL(IF(ISERROR(SEARCH(MID(";"&amp;'CASE DATA'!$F7&amp;";",ROW($1:$99),1),";")),"",ROW($1:$99)+1),COLUMN(F7)),SMALL(IF(ISERROR(SEARCH(MID(";"&amp;'CASE DATA'!$F7&amp;";",ROW($1:$99),1),";")),"",ROW($1:$99)),COLUMN(F6)+1)-SMALL(IF(ISERROR(SEARCH(MID(";"&amp;'CASE DATA'!$F7&amp;";",ROW($1:$99),1),";")),"",ROW($1:$99)),COLUMN(F6))-1)</f>
        <v/>
      </c>
      <c r="AD7" s="75" t="str" cm="1">
        <f t="array" ref="AD7">MID(";"&amp;'CASE DATA'!$F7&amp;";",SMALL(IF(ISERROR(SEARCH(MID(";"&amp;'CASE DATA'!$F7&amp;";",ROW($1:$99),1),";")),"",ROW($1:$99)+1),COLUMN(G7)),SMALL(IF(ISERROR(SEARCH(MID(";"&amp;'CASE DATA'!$F7&amp;";",ROW($1:$99),1),";")),"",ROW($1:$99)),COLUMN(G6)+1)-SMALL(IF(ISERROR(SEARCH(MID(";"&amp;'CASE DATA'!$F7&amp;";",ROW($1:$99),1),";")),"",ROW($1:$99)),COLUMN(G6))-1)</f>
        <v/>
      </c>
      <c r="AE7" s="75" t="str" cm="1">
        <f t="array" ref="AE7">MID(";"&amp;'CASE DATA'!$F7&amp;";",SMALL(IF(ISERROR(SEARCH(MID(";"&amp;'CASE DATA'!$F7&amp;";",ROW($1:$99),1),";")),"",ROW($1:$99)+1),COLUMN(H7)),SMALL(IF(ISERROR(SEARCH(MID(";"&amp;'CASE DATA'!$F7&amp;";",ROW($1:$99),1),";")),"",ROW($1:$99)),COLUMN(H6)+1)-SMALL(IF(ISERROR(SEARCH(MID(";"&amp;'CASE DATA'!$F7&amp;";",ROW($1:$99),1),";")),"",ROW($1:$99)),COLUMN(H6))-1)</f>
        <v/>
      </c>
      <c r="AF7" s="75" t="str" cm="1">
        <f t="array" ref="AF7">MID(";"&amp;'CASE DATA'!$F7&amp;";",SMALL(IF(ISERROR(SEARCH(MID(";"&amp;'CASE DATA'!$F7&amp;";",ROW($1:$99),1),";")),"",ROW($1:$99)+1),COLUMN(I7)),SMALL(IF(ISERROR(SEARCH(MID(";"&amp;'CASE DATA'!$F7&amp;";",ROW($1:$99),1),";")),"",ROW($1:$99)),COLUMN(I6)+1)-SMALL(IF(ISERROR(SEARCH(MID(";"&amp;'CASE DATA'!$F7&amp;";",ROW($1:$99),1),";")),"",ROW($1:$99)),COLUMN(I6))-1)</f>
        <v/>
      </c>
      <c r="AG7" s="75" t="str" cm="1">
        <f t="array" ref="AG7">MID(";"&amp;'CASE DATA'!$F7&amp;";",SMALL(IF(ISERROR(SEARCH(MID(";"&amp;'CASE DATA'!$F7&amp;";",ROW($1:$99),1),";")),"",ROW($1:$99)+1),COLUMN(K7)),SMALL(IF(ISERROR(SEARCH(MID(";"&amp;'CASE DATA'!$F7&amp;";",ROW($1:$99),1),";")),"",ROW($1:$99)),COLUMN(K6)+1)-SMALL(IF(ISERROR(SEARCH(MID(";"&amp;'CASE DATA'!$F7&amp;";",ROW($1:$99),1),";")),"",ROW($1:$99)),COLUMN(K6))-1)</f>
        <v/>
      </c>
      <c r="AH7" s="75" t="str" cm="1">
        <f t="array" ref="AH7">MID(";"&amp;'CASE DATA'!$F7&amp;";",SMALL(IF(ISERROR(SEARCH(MID(";"&amp;'CASE DATA'!$F7&amp;";",ROW($1:$99),1),";")),"",ROW($1:$99)+1),COLUMN(L7)),SMALL(IF(ISERROR(SEARCH(MID(";"&amp;'CASE DATA'!$F7&amp;";",ROW($1:$99),1),";")),"",ROW($1:$99)),COLUMN(L6)+1)-SMALL(IF(ISERROR(SEARCH(MID(";"&amp;'CASE DATA'!$F7&amp;";",ROW($1:$99),1),";")),"",ROW($1:$99)),COLUMN(L6))-1)</f>
        <v/>
      </c>
      <c r="AI7" s="75" t="str" cm="1">
        <f t="array" ref="AI7">MID(";"&amp;'CASE DATA'!$F7&amp;";",SMALL(IF(ISERROR(SEARCH(MID(";"&amp;'CASE DATA'!$F7&amp;";",ROW($1:$99),1),";")),"",ROW($1:$99)+1),COLUMN(M7)),SMALL(IF(ISERROR(SEARCH(MID(";"&amp;'CASE DATA'!$F7&amp;";",ROW($1:$99),1),";")),"",ROW($1:$99)),COLUMN(M6)+1)-SMALL(IF(ISERROR(SEARCH(MID(";"&amp;'CASE DATA'!$F7&amp;";",ROW($1:$99),1),";")),"",ROW($1:$99)),COLUMN(M6))-1)</f>
        <v/>
      </c>
      <c r="BO7" s="99"/>
      <c r="BP7" s="99"/>
      <c r="BQ7" s="99"/>
      <c r="BR7" s="99"/>
      <c r="BS7" s="99"/>
      <c r="BT7" s="99"/>
      <c r="BU7" s="99"/>
      <c r="BV7" s="99"/>
      <c r="BW7" s="99"/>
      <c r="BX7" s="99"/>
      <c r="BY7" s="99"/>
      <c r="BZ7" s="99"/>
      <c r="CA7" s="99"/>
      <c r="CB7" s="99"/>
      <c r="CC7" s="99"/>
      <c r="CD7" s="99"/>
      <c r="CE7" s="99"/>
      <c r="CF7" s="99"/>
      <c r="CG7" s="99"/>
      <c r="CH7" s="99"/>
      <c r="CI7" s="99"/>
      <c r="CJ7" s="99"/>
      <c r="CK7" s="99"/>
      <c r="CL7" s="99"/>
      <c r="CM7" s="99"/>
      <c r="CN7" s="99"/>
      <c r="CO7" s="99"/>
      <c r="CP7" s="99"/>
      <c r="CQ7" s="99"/>
      <c r="CR7" s="99"/>
      <c r="CS7" s="99"/>
      <c r="CT7" s="99"/>
      <c r="CU7" s="99"/>
      <c r="CV7" s="99"/>
      <c r="CW7" s="99"/>
      <c r="CX7" s="99"/>
      <c r="CY7" s="99"/>
      <c r="CZ7" s="99"/>
      <c r="DA7" s="99"/>
      <c r="DB7" s="99"/>
      <c r="DC7" s="99"/>
      <c r="DD7" s="99"/>
      <c r="DE7" s="99"/>
      <c r="DF7" s="99"/>
      <c r="DG7" s="99"/>
      <c r="DH7" s="99"/>
      <c r="DI7" s="99"/>
      <c r="DJ7" s="99"/>
      <c r="DK7" s="99"/>
      <c r="DL7" s="99"/>
      <c r="DM7" s="99"/>
      <c r="DN7" s="99"/>
      <c r="DO7" s="99"/>
      <c r="DP7" s="99"/>
      <c r="DQ7" s="99"/>
      <c r="DR7" s="99"/>
      <c r="DS7" s="99"/>
      <c r="DT7" s="99"/>
      <c r="DU7" s="99"/>
      <c r="DV7" s="99"/>
      <c r="DW7" s="99"/>
      <c r="DX7" s="99"/>
      <c r="DY7" s="99"/>
      <c r="DZ7" s="99"/>
      <c r="EA7" s="99"/>
      <c r="EB7" s="99"/>
      <c r="EC7" s="99"/>
      <c r="ED7" s="99"/>
      <c r="EE7" s="99"/>
      <c r="EF7" s="99"/>
      <c r="EG7" s="99"/>
      <c r="EH7" s="99"/>
      <c r="EI7" s="99"/>
      <c r="EJ7" s="99"/>
      <c r="EK7" s="99"/>
      <c r="EL7" s="99"/>
      <c r="EM7" s="99"/>
      <c r="EN7" s="99"/>
      <c r="EO7" s="99"/>
      <c r="EP7" s="99"/>
      <c r="EQ7" s="99"/>
      <c r="ER7" s="99"/>
      <c r="ES7" s="99"/>
      <c r="ET7" s="99"/>
      <c r="EU7" s="99"/>
      <c r="EV7" s="99"/>
      <c r="EW7" s="99"/>
      <c r="EX7" s="99"/>
      <c r="EY7" s="99"/>
      <c r="EZ7" s="99"/>
      <c r="FA7" s="99"/>
      <c r="FB7" s="99"/>
      <c r="FC7" s="99"/>
      <c r="FD7" s="99"/>
      <c r="FE7" s="99"/>
      <c r="FF7" s="99"/>
      <c r="FG7" s="99"/>
      <c r="FH7" s="99"/>
      <c r="FI7" s="99"/>
      <c r="FJ7" s="99"/>
      <c r="FK7" s="99"/>
    </row>
    <row r="8" spans="1:167" s="69" customFormat="1" x14ac:dyDescent="0.25">
      <c r="A8"/>
      <c r="B8"/>
      <c r="C8" s="10"/>
      <c r="D8" s="10"/>
      <c r="E8" s="11"/>
      <c r="F8" s="15"/>
      <c r="G8"/>
      <c r="H8" s="99"/>
      <c r="I8" s="99"/>
      <c r="J8" s="99">
        <v>5</v>
      </c>
      <c r="K8" s="16"/>
      <c r="L8" s="16"/>
      <c r="M8" s="16"/>
      <c r="N8" s="16"/>
      <c r="O8" s="16"/>
      <c r="P8" s="16"/>
      <c r="Q8" s="16"/>
      <c r="R8" s="16"/>
      <c r="S8" s="16"/>
      <c r="T8" s="16"/>
      <c r="U8" s="73">
        <f>SUM(K8:T8)</f>
        <v>0</v>
      </c>
      <c r="V8" s="73"/>
      <c r="W8"/>
      <c r="X8" s="75" t="str" cm="1">
        <f t="array" ref="X8">MID(";"&amp;'CASE DATA'!$F8&amp;";",SMALL(IF(ISERROR(SEARCH(MID(";"&amp;'CASE DATA'!$F8&amp;";",ROW($1:$99),1),";")),"",ROW($1:$99)+1),COLUMN(A8)),SMALL(IF(ISERROR(SEARCH(MID(";"&amp;'CASE DATA'!$F8&amp;";",ROW($1:$99),1),";")),"",ROW($1:$99)),COLUMN(A7)+1)-SMALL(IF(ISERROR(SEARCH(MID(";"&amp;'CASE DATA'!$F8&amp;";",ROW($1:$99),1),";")),"",ROW($1:$99)),COLUMN(A7))-1)</f>
        <v/>
      </c>
      <c r="Y8" s="75" t="str" cm="1">
        <f t="array" ref="Y8">MID(";"&amp;'CASE DATA'!$F8&amp;";",SMALL(IF(ISERROR(SEARCH(MID(";"&amp;'CASE DATA'!$F8&amp;";",ROW($1:$99),1),";")),"",ROW($1:$99)+1),COLUMN(B8)),SMALL(IF(ISERROR(SEARCH(MID(";"&amp;'CASE DATA'!$F8&amp;";",ROW($1:$99),1),";")),"",ROW($1:$99)),COLUMN(B7)+1)-SMALL(IF(ISERROR(SEARCH(MID(";"&amp;'CASE DATA'!$F8&amp;";",ROW($1:$99),1),";")),"",ROW($1:$99)),COLUMN(B7))-1)</f>
        <v/>
      </c>
      <c r="Z8" s="75" t="str" cm="1">
        <f t="array" ref="Z8">MID(";"&amp;'CASE DATA'!$F8&amp;";",SMALL(IF(ISERROR(SEARCH(MID(";"&amp;'CASE DATA'!$F8&amp;";",ROW($1:$99),1),";")),"",ROW($1:$99)+1),COLUMN(C8)),SMALL(IF(ISERROR(SEARCH(MID(";"&amp;'CASE DATA'!$F8&amp;";",ROW($1:$99),1),";")),"",ROW($1:$99)),COLUMN(C7)+1)-SMALL(IF(ISERROR(SEARCH(MID(";"&amp;'CASE DATA'!$F8&amp;";",ROW($1:$99),1),";")),"",ROW($1:$99)),COLUMN(C7))-1)</f>
        <v/>
      </c>
      <c r="AA8" s="75" t="str" cm="1">
        <f t="array" ref="AA8">MID(";"&amp;'CASE DATA'!$F8&amp;";",SMALL(IF(ISERROR(SEARCH(MID(";"&amp;'CASE DATA'!$F8&amp;";",ROW($1:$99),1),";")),"",ROW($1:$99)+1),COLUMN(D8)),SMALL(IF(ISERROR(SEARCH(MID(";"&amp;'CASE DATA'!$F8&amp;";",ROW($1:$99),1),";")),"",ROW($1:$99)),COLUMN(D7)+1)-SMALL(IF(ISERROR(SEARCH(MID(";"&amp;'CASE DATA'!$F8&amp;";",ROW($1:$99),1),";")),"",ROW($1:$99)),COLUMN(D7))-1)</f>
        <v/>
      </c>
      <c r="AB8" s="75" t="str" cm="1">
        <f t="array" ref="AB8">MID(";"&amp;'CASE DATA'!$F8&amp;";",SMALL(IF(ISERROR(SEARCH(MID(";"&amp;'CASE DATA'!$F8&amp;";",ROW($1:$99),1),";")),"",ROW($1:$99)+1),COLUMN(E8)),SMALL(IF(ISERROR(SEARCH(MID(";"&amp;'CASE DATA'!$F8&amp;";",ROW($1:$99),1),";")),"",ROW($1:$99)),COLUMN(E7)+1)-SMALL(IF(ISERROR(SEARCH(MID(";"&amp;'CASE DATA'!$F8&amp;";",ROW($1:$99),1),";")),"",ROW($1:$99)),COLUMN(E7))-1)</f>
        <v/>
      </c>
      <c r="AC8" s="75" t="str" cm="1">
        <f t="array" ref="AC8">MID(";"&amp;'CASE DATA'!$F8&amp;";",SMALL(IF(ISERROR(SEARCH(MID(";"&amp;'CASE DATA'!$F8&amp;";",ROW($1:$99),1),";")),"",ROW($1:$99)+1),COLUMN(F8)),SMALL(IF(ISERROR(SEARCH(MID(";"&amp;'CASE DATA'!$F8&amp;";",ROW($1:$99),1),";")),"",ROW($1:$99)),COLUMN(F7)+1)-SMALL(IF(ISERROR(SEARCH(MID(";"&amp;'CASE DATA'!$F8&amp;";",ROW($1:$99),1),";")),"",ROW($1:$99)),COLUMN(F7))-1)</f>
        <v/>
      </c>
      <c r="AD8" s="75" t="str" cm="1">
        <f t="array" ref="AD8">MID(";"&amp;'CASE DATA'!$F8&amp;";",SMALL(IF(ISERROR(SEARCH(MID(";"&amp;'CASE DATA'!$F8&amp;";",ROW($1:$99),1),";")),"",ROW($1:$99)+1),COLUMN(G8)),SMALL(IF(ISERROR(SEARCH(MID(";"&amp;'CASE DATA'!$F8&amp;";",ROW($1:$99),1),";")),"",ROW($1:$99)),COLUMN(G7)+1)-SMALL(IF(ISERROR(SEARCH(MID(";"&amp;'CASE DATA'!$F8&amp;";",ROW($1:$99),1),";")),"",ROW($1:$99)),COLUMN(G7))-1)</f>
        <v/>
      </c>
      <c r="AE8" s="75" t="str" cm="1">
        <f t="array" ref="AE8">MID(";"&amp;'CASE DATA'!$F8&amp;";",SMALL(IF(ISERROR(SEARCH(MID(";"&amp;'CASE DATA'!$F8&amp;";",ROW($1:$99),1),";")),"",ROW($1:$99)+1),COLUMN(H8)),SMALL(IF(ISERROR(SEARCH(MID(";"&amp;'CASE DATA'!$F8&amp;";",ROW($1:$99),1),";")),"",ROW($1:$99)),COLUMN(H7)+1)-SMALL(IF(ISERROR(SEARCH(MID(";"&amp;'CASE DATA'!$F8&amp;";",ROW($1:$99),1),";")),"",ROW($1:$99)),COLUMN(H7))-1)</f>
        <v/>
      </c>
      <c r="AF8" s="75" t="str" cm="1">
        <f t="array" ref="AF8">MID(";"&amp;'CASE DATA'!$F8&amp;";",SMALL(IF(ISERROR(SEARCH(MID(";"&amp;'CASE DATA'!$F8&amp;";",ROW($1:$99),1),";")),"",ROW($1:$99)+1),COLUMN(I8)),SMALL(IF(ISERROR(SEARCH(MID(";"&amp;'CASE DATA'!$F8&amp;";",ROW($1:$99),1),";")),"",ROW($1:$99)),COLUMN(I7)+1)-SMALL(IF(ISERROR(SEARCH(MID(";"&amp;'CASE DATA'!$F8&amp;";",ROW($1:$99),1),";")),"",ROW($1:$99)),COLUMN(I7))-1)</f>
        <v/>
      </c>
      <c r="AG8" s="75" t="str" cm="1">
        <f t="array" ref="AG8">MID(";"&amp;'CASE DATA'!$F8&amp;";",SMALL(IF(ISERROR(SEARCH(MID(";"&amp;'CASE DATA'!$F8&amp;";",ROW($1:$99),1),";")),"",ROW($1:$99)+1),COLUMN(K8)),SMALL(IF(ISERROR(SEARCH(MID(";"&amp;'CASE DATA'!$F8&amp;";",ROW($1:$99),1),";")),"",ROW($1:$99)),COLUMN(K7)+1)-SMALL(IF(ISERROR(SEARCH(MID(";"&amp;'CASE DATA'!$F8&amp;";",ROW($1:$99),1),";")),"",ROW($1:$99)),COLUMN(K7))-1)</f>
        <v/>
      </c>
      <c r="AH8" s="75" t="str" cm="1">
        <f t="array" ref="AH8">MID(";"&amp;'CASE DATA'!$F8&amp;";",SMALL(IF(ISERROR(SEARCH(MID(";"&amp;'CASE DATA'!$F8&amp;";",ROW($1:$99),1),";")),"",ROW($1:$99)+1),COLUMN(L8)),SMALL(IF(ISERROR(SEARCH(MID(";"&amp;'CASE DATA'!$F8&amp;";",ROW($1:$99),1),";")),"",ROW($1:$99)),COLUMN(L7)+1)-SMALL(IF(ISERROR(SEARCH(MID(";"&amp;'CASE DATA'!$F8&amp;";",ROW($1:$99),1),";")),"",ROW($1:$99)),COLUMN(L7))-1)</f>
        <v/>
      </c>
      <c r="AI8" s="75" t="str" cm="1">
        <f t="array" ref="AI8">MID(";"&amp;'CASE DATA'!$F8&amp;";",SMALL(IF(ISERROR(SEARCH(MID(";"&amp;'CASE DATA'!$F8&amp;";",ROW($1:$99),1),";")),"",ROW($1:$99)+1),COLUMN(M8)),SMALL(IF(ISERROR(SEARCH(MID(";"&amp;'CASE DATA'!$F8&amp;";",ROW($1:$99),1),";")),"",ROW($1:$99)),COLUMN(M7)+1)-SMALL(IF(ISERROR(SEARCH(MID(";"&amp;'CASE DATA'!$F8&amp;";",ROW($1:$99),1),";")),"",ROW($1:$99)),COLUMN(M7))-1)</f>
        <v/>
      </c>
      <c r="AJ8"/>
      <c r="AK8"/>
      <c r="AL8"/>
      <c r="AM8"/>
      <c r="AN8"/>
      <c r="AO8"/>
      <c r="AP8"/>
      <c r="AQ8"/>
      <c r="AR8"/>
      <c r="AS8"/>
      <c r="AT8"/>
      <c r="AU8"/>
      <c r="AV8"/>
      <c r="AW8"/>
      <c r="AX8"/>
      <c r="AY8"/>
      <c r="AZ8"/>
      <c r="BA8"/>
      <c r="BB8"/>
      <c r="BC8"/>
      <c r="BD8"/>
      <c r="BE8"/>
      <c r="BF8"/>
      <c r="BG8"/>
      <c r="BH8"/>
      <c r="BI8"/>
      <c r="BJ8"/>
      <c r="BK8"/>
      <c r="BL8"/>
      <c r="BM8"/>
      <c r="BN8"/>
      <c r="BO8" s="99"/>
      <c r="BP8" s="99"/>
      <c r="BQ8" s="99"/>
      <c r="BR8" s="99"/>
      <c r="BS8" s="99"/>
      <c r="BT8" s="99"/>
      <c r="BU8" s="99"/>
      <c r="BV8" s="99"/>
      <c r="BW8" s="99"/>
      <c r="BX8" s="99"/>
      <c r="BY8" s="99"/>
      <c r="BZ8" s="99"/>
      <c r="CA8" s="99"/>
      <c r="CB8" s="99"/>
      <c r="CC8" s="99"/>
      <c r="CD8" s="99"/>
      <c r="CE8" s="99"/>
      <c r="CF8" s="99"/>
      <c r="CG8" s="99"/>
      <c r="CH8" s="99"/>
      <c r="CI8" s="99"/>
      <c r="CJ8" s="99"/>
      <c r="CK8" s="99"/>
      <c r="CL8" s="99"/>
      <c r="CM8" s="99"/>
      <c r="CN8" s="99"/>
      <c r="CO8" s="99"/>
      <c r="CP8" s="99"/>
      <c r="CQ8" s="99"/>
      <c r="CR8" s="99"/>
      <c r="CS8" s="99"/>
      <c r="CT8" s="99"/>
      <c r="CU8" s="99"/>
      <c r="CV8" s="99"/>
      <c r="CW8" s="99"/>
      <c r="CX8" s="99"/>
      <c r="CY8" s="99"/>
      <c r="CZ8" s="99"/>
      <c r="DA8" s="99"/>
      <c r="DB8" s="99"/>
      <c r="DC8" s="99"/>
      <c r="DD8" s="99"/>
      <c r="DE8" s="99"/>
      <c r="DF8" s="99"/>
      <c r="DG8" s="99"/>
      <c r="DH8" s="99"/>
      <c r="DI8" s="99"/>
      <c r="DJ8" s="99"/>
      <c r="DK8" s="99"/>
      <c r="DL8" s="99"/>
      <c r="DM8" s="99"/>
      <c r="DN8" s="99"/>
      <c r="DO8" s="99"/>
      <c r="DP8" s="99"/>
      <c r="DQ8" s="99"/>
      <c r="DR8" s="99"/>
      <c r="DS8" s="99"/>
      <c r="DT8" s="99"/>
      <c r="DU8" s="99"/>
      <c r="DV8" s="99"/>
      <c r="DW8" s="99"/>
      <c r="DX8" s="99"/>
      <c r="DY8" s="99"/>
      <c r="DZ8" s="99"/>
      <c r="EA8" s="99"/>
      <c r="EB8" s="99"/>
      <c r="EC8" s="99"/>
      <c r="ED8" s="99"/>
      <c r="EE8" s="99"/>
      <c r="EF8" s="99"/>
      <c r="EG8" s="99"/>
      <c r="EH8" s="99"/>
      <c r="EI8" s="99"/>
      <c r="EJ8" s="99"/>
      <c r="EK8" s="99"/>
      <c r="EL8" s="99"/>
      <c r="EM8" s="99"/>
      <c r="EN8" s="99"/>
      <c r="EO8" s="99"/>
      <c r="EP8" s="99"/>
      <c r="EQ8" s="99"/>
      <c r="ER8" s="99"/>
      <c r="ES8" s="99"/>
      <c r="ET8" s="99"/>
      <c r="EU8" s="99"/>
      <c r="EV8" s="99"/>
      <c r="EW8" s="99"/>
      <c r="EX8" s="99"/>
      <c r="EY8" s="99"/>
      <c r="EZ8" s="99"/>
      <c r="FA8" s="99"/>
      <c r="FB8" s="99"/>
      <c r="FC8" s="99"/>
      <c r="FD8" s="99"/>
      <c r="FE8" s="99"/>
      <c r="FF8" s="99"/>
      <c r="FG8" s="99"/>
      <c r="FH8" s="99"/>
      <c r="FI8" s="99"/>
      <c r="FJ8" s="99"/>
      <c r="FK8" s="99"/>
    </row>
    <row r="9" spans="1:167" x14ac:dyDescent="0.25">
      <c r="C9" s="10"/>
      <c r="D9" s="10"/>
      <c r="E9" s="11"/>
      <c r="F9" s="15"/>
      <c r="J9" s="99">
        <v>6</v>
      </c>
      <c r="K9" s="16"/>
      <c r="L9" s="16"/>
      <c r="M9" s="16"/>
      <c r="N9" s="16"/>
      <c r="O9" s="16"/>
      <c r="P9" s="16"/>
      <c r="Q9" s="16"/>
      <c r="R9" s="16"/>
      <c r="S9" s="16"/>
      <c r="T9" s="16"/>
      <c r="U9" s="73">
        <f>SUM(K9:T9)</f>
        <v>0</v>
      </c>
      <c r="V9" s="73"/>
      <c r="X9" s="75" t="str" cm="1">
        <f t="array" ref="X9">MID(";"&amp;'CASE DATA'!$F9&amp;";",SMALL(IF(ISERROR(SEARCH(MID(";"&amp;'CASE DATA'!$F9&amp;";",ROW($1:$99),1),";")),"",ROW($1:$99)+1),COLUMN(A9)),SMALL(IF(ISERROR(SEARCH(MID(";"&amp;'CASE DATA'!$F9&amp;";",ROW($1:$99),1),";")),"",ROW($1:$99)),COLUMN(A8)+1)-SMALL(IF(ISERROR(SEARCH(MID(";"&amp;'CASE DATA'!$F9&amp;";",ROW($1:$99),1),";")),"",ROW($1:$99)),COLUMN(A8))-1)</f>
        <v/>
      </c>
      <c r="Y9" s="75" t="str" cm="1">
        <f t="array" ref="Y9">MID(";"&amp;'CASE DATA'!$F9&amp;";",SMALL(IF(ISERROR(SEARCH(MID(";"&amp;'CASE DATA'!$F9&amp;";",ROW($1:$99),1),";")),"",ROW($1:$99)+1),COLUMN(B9)),SMALL(IF(ISERROR(SEARCH(MID(";"&amp;'CASE DATA'!$F9&amp;";",ROW($1:$99),1),";")),"",ROW($1:$99)),COLUMN(B8)+1)-SMALL(IF(ISERROR(SEARCH(MID(";"&amp;'CASE DATA'!$F9&amp;";",ROW($1:$99),1),";")),"",ROW($1:$99)),COLUMN(B8))-1)</f>
        <v/>
      </c>
      <c r="Z9" s="75" t="str" cm="1">
        <f t="array" ref="Z9">MID(";"&amp;'CASE DATA'!$F9&amp;";",SMALL(IF(ISERROR(SEARCH(MID(";"&amp;'CASE DATA'!$F9&amp;";",ROW($1:$99),1),";")),"",ROW($1:$99)+1),COLUMN(C9)),SMALL(IF(ISERROR(SEARCH(MID(";"&amp;'CASE DATA'!$F9&amp;";",ROW($1:$99),1),";")),"",ROW($1:$99)),COLUMN(C8)+1)-SMALL(IF(ISERROR(SEARCH(MID(";"&amp;'CASE DATA'!$F9&amp;";",ROW($1:$99),1),";")),"",ROW($1:$99)),COLUMN(C8))-1)</f>
        <v/>
      </c>
      <c r="AA9" s="75" t="str" cm="1">
        <f t="array" ref="AA9">MID(";"&amp;'CASE DATA'!$F9&amp;";",SMALL(IF(ISERROR(SEARCH(MID(";"&amp;'CASE DATA'!$F9&amp;";",ROW($1:$99),1),";")),"",ROW($1:$99)+1),COLUMN(D9)),SMALL(IF(ISERROR(SEARCH(MID(";"&amp;'CASE DATA'!$F9&amp;";",ROW($1:$99),1),";")),"",ROW($1:$99)),COLUMN(D8)+1)-SMALL(IF(ISERROR(SEARCH(MID(";"&amp;'CASE DATA'!$F9&amp;";",ROW($1:$99),1),";")),"",ROW($1:$99)),COLUMN(D8))-1)</f>
        <v/>
      </c>
      <c r="AB9" s="75" t="str" cm="1">
        <f t="array" ref="AB9">MID(";"&amp;'CASE DATA'!$F9&amp;";",SMALL(IF(ISERROR(SEARCH(MID(";"&amp;'CASE DATA'!$F9&amp;";",ROW($1:$99),1),";")),"",ROW($1:$99)+1),COLUMN(E9)),SMALL(IF(ISERROR(SEARCH(MID(";"&amp;'CASE DATA'!$F9&amp;";",ROW($1:$99),1),";")),"",ROW($1:$99)),COLUMN(E8)+1)-SMALL(IF(ISERROR(SEARCH(MID(";"&amp;'CASE DATA'!$F9&amp;";",ROW($1:$99),1),";")),"",ROW($1:$99)),COLUMN(E8))-1)</f>
        <v/>
      </c>
      <c r="AC9" s="75" t="str" cm="1">
        <f t="array" ref="AC9">MID(";"&amp;'CASE DATA'!$F9&amp;";",SMALL(IF(ISERROR(SEARCH(MID(";"&amp;'CASE DATA'!$F9&amp;";",ROW($1:$99),1),";")),"",ROW($1:$99)+1),COLUMN(F9)),SMALL(IF(ISERROR(SEARCH(MID(";"&amp;'CASE DATA'!$F9&amp;";",ROW($1:$99),1),";")),"",ROW($1:$99)),COLUMN(F8)+1)-SMALL(IF(ISERROR(SEARCH(MID(";"&amp;'CASE DATA'!$F9&amp;";",ROW($1:$99),1),";")),"",ROW($1:$99)),COLUMN(F8))-1)</f>
        <v/>
      </c>
      <c r="AD9" s="75" t="str" cm="1">
        <f t="array" ref="AD9">MID(";"&amp;'CASE DATA'!$F9&amp;";",SMALL(IF(ISERROR(SEARCH(MID(";"&amp;'CASE DATA'!$F9&amp;";",ROW($1:$99),1),";")),"",ROW($1:$99)+1),COLUMN(G9)),SMALL(IF(ISERROR(SEARCH(MID(";"&amp;'CASE DATA'!$F9&amp;";",ROW($1:$99),1),";")),"",ROW($1:$99)),COLUMN(G8)+1)-SMALL(IF(ISERROR(SEARCH(MID(";"&amp;'CASE DATA'!$F9&amp;";",ROW($1:$99),1),";")),"",ROW($1:$99)),COLUMN(G8))-1)</f>
        <v/>
      </c>
      <c r="AE9" s="75" t="str" cm="1">
        <f t="array" ref="AE9">MID(";"&amp;'CASE DATA'!$F9&amp;";",SMALL(IF(ISERROR(SEARCH(MID(";"&amp;'CASE DATA'!$F9&amp;";",ROW($1:$99),1),";")),"",ROW($1:$99)+1),COLUMN(H9)),SMALL(IF(ISERROR(SEARCH(MID(";"&amp;'CASE DATA'!$F9&amp;";",ROW($1:$99),1),";")),"",ROW($1:$99)),COLUMN(H8)+1)-SMALL(IF(ISERROR(SEARCH(MID(";"&amp;'CASE DATA'!$F9&amp;";",ROW($1:$99),1),";")),"",ROW($1:$99)),COLUMN(H8))-1)</f>
        <v/>
      </c>
      <c r="AF9" s="75" t="str" cm="1">
        <f t="array" ref="AF9">MID(";"&amp;'CASE DATA'!$F9&amp;";",SMALL(IF(ISERROR(SEARCH(MID(";"&amp;'CASE DATA'!$F9&amp;";",ROW($1:$99),1),";")),"",ROW($1:$99)+1),COLUMN(I9)),SMALL(IF(ISERROR(SEARCH(MID(";"&amp;'CASE DATA'!$F9&amp;";",ROW($1:$99),1),";")),"",ROW($1:$99)),COLUMN(I8)+1)-SMALL(IF(ISERROR(SEARCH(MID(";"&amp;'CASE DATA'!$F9&amp;";",ROW($1:$99),1),";")),"",ROW($1:$99)),COLUMN(I8))-1)</f>
        <v/>
      </c>
      <c r="AG9" s="75" t="str" cm="1">
        <f t="array" ref="AG9">MID(";"&amp;'CASE DATA'!$F9&amp;";",SMALL(IF(ISERROR(SEARCH(MID(";"&amp;'CASE DATA'!$F9&amp;";",ROW($1:$99),1),";")),"",ROW($1:$99)+1),COLUMN(K9)),SMALL(IF(ISERROR(SEARCH(MID(";"&amp;'CASE DATA'!$F9&amp;";",ROW($1:$99),1),";")),"",ROW($1:$99)),COLUMN(K8)+1)-SMALL(IF(ISERROR(SEARCH(MID(";"&amp;'CASE DATA'!$F9&amp;";",ROW($1:$99),1),";")),"",ROW($1:$99)),COLUMN(K8))-1)</f>
        <v/>
      </c>
      <c r="AH9" s="75" t="str" cm="1">
        <f t="array" ref="AH9">MID(";"&amp;'CASE DATA'!$F9&amp;";",SMALL(IF(ISERROR(SEARCH(MID(";"&amp;'CASE DATA'!$F9&amp;";",ROW($1:$99),1),";")),"",ROW($1:$99)+1),COLUMN(L9)),SMALL(IF(ISERROR(SEARCH(MID(";"&amp;'CASE DATA'!$F9&amp;";",ROW($1:$99),1),";")),"",ROW($1:$99)),COLUMN(L8)+1)-SMALL(IF(ISERROR(SEARCH(MID(";"&amp;'CASE DATA'!$F9&amp;";",ROW($1:$99),1),";")),"",ROW($1:$99)),COLUMN(L8))-1)</f>
        <v/>
      </c>
      <c r="AI9" s="75" t="str" cm="1">
        <f t="array" ref="AI9">MID(";"&amp;'CASE DATA'!$F9&amp;";",SMALL(IF(ISERROR(SEARCH(MID(";"&amp;'CASE DATA'!$F9&amp;";",ROW($1:$99),1),";")),"",ROW($1:$99)+1),COLUMN(M9)),SMALL(IF(ISERROR(SEARCH(MID(";"&amp;'CASE DATA'!$F9&amp;";",ROW($1:$99),1),";")),"",ROW($1:$99)),COLUMN(M8)+1)-SMALL(IF(ISERROR(SEARCH(MID(";"&amp;'CASE DATA'!$F9&amp;";",ROW($1:$99),1),";")),"",ROW($1:$99)),COLUMN(M8))-1)</f>
        <v/>
      </c>
      <c r="AJ9" t="str">
        <f t="array" ref="AJ9">MID(";"&amp;'CASE DATA'!$F9&amp;";",SMALL(IF(ISERROR(SEARCH(MID(";"&amp;'CASE DATA'!$F9&amp;";",ROW($1:$99),1),";")),"",ROW($1:$99)+1),COLUMN(O9)),SMALL(IF(ISERROR(SEARCH(MID(";"&amp;'CASE DATA'!$F9&amp;";",ROW($1:$99),1),";")),"",ROW($1:$99)),COLUMN(O8)+1)-SMALL(IF(ISERROR(SEARCH(MID(";"&amp;'CASE DATA'!$F9&amp;";",ROW($1:$99),1),";")),"",ROW($1:$99)),COLUMN(O8))-1)</f>
        <v/>
      </c>
      <c r="BO9" s="99"/>
      <c r="BP9" s="99"/>
      <c r="BQ9" s="99"/>
      <c r="BR9" s="99"/>
      <c r="BS9" s="99"/>
      <c r="BT9" s="99"/>
      <c r="BU9" s="99"/>
      <c r="BV9" s="99"/>
      <c r="BW9" s="99"/>
      <c r="BX9" s="99"/>
      <c r="BY9" s="99"/>
      <c r="BZ9" s="99"/>
      <c r="CA9" s="99"/>
      <c r="CB9" s="99"/>
      <c r="CC9" s="99"/>
      <c r="CD9" s="99"/>
      <c r="CE9" s="99"/>
      <c r="CF9" s="99"/>
      <c r="CG9" s="99"/>
      <c r="CH9" s="99"/>
      <c r="CI9" s="99"/>
      <c r="CJ9" s="99"/>
      <c r="CK9" s="99"/>
      <c r="CL9" s="99"/>
      <c r="CM9" s="99"/>
      <c r="CN9" s="99"/>
      <c r="CO9" s="99"/>
      <c r="CP9" s="99"/>
      <c r="CQ9" s="99"/>
      <c r="CR9" s="99"/>
      <c r="CS9" s="99"/>
      <c r="CT9" s="99"/>
      <c r="CU9" s="99"/>
      <c r="CV9" s="99"/>
      <c r="CW9" s="99"/>
      <c r="CX9" s="99"/>
      <c r="CY9" s="99"/>
      <c r="CZ9" s="99"/>
      <c r="DA9" s="99"/>
      <c r="DB9" s="99"/>
      <c r="DC9" s="99"/>
      <c r="DD9" s="99"/>
      <c r="DE9" s="99"/>
      <c r="DF9" s="99"/>
      <c r="DG9" s="99"/>
      <c r="DH9" s="99"/>
      <c r="DI9" s="99"/>
      <c r="DJ9" s="99"/>
      <c r="DK9" s="99"/>
      <c r="DL9" s="99"/>
      <c r="DM9" s="99"/>
      <c r="DN9" s="99"/>
      <c r="DO9" s="99"/>
      <c r="DP9" s="99"/>
      <c r="DQ9" s="99"/>
      <c r="DR9" s="99"/>
      <c r="DS9" s="99"/>
      <c r="DT9" s="99"/>
      <c r="DU9" s="99"/>
      <c r="DV9" s="99"/>
      <c r="DW9" s="99"/>
      <c r="DX9" s="99"/>
      <c r="DY9" s="99"/>
      <c r="DZ9" s="99"/>
      <c r="EA9" s="99"/>
      <c r="EB9" s="99"/>
      <c r="EC9" s="99"/>
      <c r="ED9" s="99"/>
      <c r="EE9" s="99"/>
      <c r="EF9" s="99"/>
      <c r="EG9" s="99"/>
      <c r="EH9" s="99"/>
      <c r="EI9" s="99"/>
      <c r="EJ9" s="99"/>
      <c r="EK9" s="99"/>
      <c r="EL9" s="99"/>
      <c r="EM9" s="99"/>
      <c r="EN9" s="99"/>
      <c r="EO9" s="99"/>
      <c r="EP9" s="99"/>
      <c r="EQ9" s="99"/>
      <c r="ER9" s="99"/>
      <c r="ES9" s="99"/>
      <c r="ET9" s="99"/>
      <c r="EU9" s="99"/>
      <c r="EV9" s="99"/>
      <c r="EW9" s="99"/>
      <c r="EX9" s="99"/>
      <c r="EY9" s="99"/>
      <c r="EZ9" s="99"/>
      <c r="FA9" s="99"/>
      <c r="FB9" s="99"/>
      <c r="FC9" s="99"/>
      <c r="FD9" s="99"/>
      <c r="FE9" s="99"/>
      <c r="FF9" s="99"/>
      <c r="FG9" s="99"/>
      <c r="FH9" s="99"/>
      <c r="FI9" s="99"/>
      <c r="FJ9" s="99"/>
      <c r="FK9" s="99"/>
    </row>
    <row r="10" spans="1:167" s="69" customFormat="1" x14ac:dyDescent="0.25">
      <c r="A10"/>
      <c r="B10"/>
      <c r="C10" s="10"/>
      <c r="D10" s="10"/>
      <c r="E10" s="11"/>
      <c r="F10" s="15"/>
      <c r="G10"/>
      <c r="H10" s="99"/>
      <c r="I10" s="99"/>
      <c r="J10" s="99">
        <v>7</v>
      </c>
      <c r="K10" s="16"/>
      <c r="L10" s="16"/>
      <c r="M10" s="16"/>
      <c r="N10" s="16"/>
      <c r="O10" s="16"/>
      <c r="P10" s="16"/>
      <c r="Q10" s="16"/>
      <c r="R10" s="16"/>
      <c r="S10" s="16"/>
      <c r="T10" s="16"/>
      <c r="U10" s="73">
        <f>SUM(K10:T10)</f>
        <v>0</v>
      </c>
      <c r="V10" s="73"/>
      <c r="W10"/>
      <c r="X10" s="75" t="str" cm="1">
        <f t="array" ref="X10">MID(";"&amp;'CASE DATA'!$F10&amp;";",SMALL(IF(ISERROR(SEARCH(MID(";"&amp;'CASE DATA'!$F10&amp;";",ROW($1:$99),1),";")),"",ROW($1:$99)+1),COLUMN(A10)),SMALL(IF(ISERROR(SEARCH(MID(";"&amp;'CASE DATA'!$F10&amp;";",ROW($1:$99),1),";")),"",ROW($1:$99)),COLUMN(A9)+1)-SMALL(IF(ISERROR(SEARCH(MID(";"&amp;'CASE DATA'!$F10&amp;";",ROW($1:$99),1),";")),"",ROW($1:$99)),COLUMN(A9))-1)</f>
        <v/>
      </c>
      <c r="Y10" s="75" t="str" cm="1">
        <f t="array" ref="Y10">MID(";"&amp;'CASE DATA'!$F10&amp;";",SMALL(IF(ISERROR(SEARCH(MID(";"&amp;'CASE DATA'!$F10&amp;";",ROW($1:$99),1),";")),"",ROW($1:$99)+1),COLUMN(B10)),SMALL(IF(ISERROR(SEARCH(MID(";"&amp;'CASE DATA'!$F10&amp;";",ROW($1:$99),1),";")),"",ROW($1:$99)),COLUMN(B9)+1)-SMALL(IF(ISERROR(SEARCH(MID(";"&amp;'CASE DATA'!$F10&amp;";",ROW($1:$99),1),";")),"",ROW($1:$99)),COLUMN(B9))-1)</f>
        <v/>
      </c>
      <c r="Z10" s="75" t="str" cm="1">
        <f t="array" ref="Z10">MID(";"&amp;'CASE DATA'!$F10&amp;";",SMALL(IF(ISERROR(SEARCH(MID(";"&amp;'CASE DATA'!$F10&amp;";",ROW($1:$99),1),";")),"",ROW($1:$99)+1),COLUMN(C10)),SMALL(IF(ISERROR(SEARCH(MID(";"&amp;'CASE DATA'!$F10&amp;";",ROW($1:$99),1),";")),"",ROW($1:$99)),COLUMN(C9)+1)-SMALL(IF(ISERROR(SEARCH(MID(";"&amp;'CASE DATA'!$F10&amp;";",ROW($1:$99),1),";")),"",ROW($1:$99)),COLUMN(C9))-1)</f>
        <v/>
      </c>
      <c r="AA10" s="75" t="str" cm="1">
        <f t="array" ref="AA10">MID(";"&amp;'CASE DATA'!$F10&amp;";",SMALL(IF(ISERROR(SEARCH(MID(";"&amp;'CASE DATA'!$F10&amp;";",ROW($1:$99),1),";")),"",ROW($1:$99)+1),COLUMN(D10)),SMALL(IF(ISERROR(SEARCH(MID(";"&amp;'CASE DATA'!$F10&amp;";",ROW($1:$99),1),";")),"",ROW($1:$99)),COLUMN(D9)+1)-SMALL(IF(ISERROR(SEARCH(MID(";"&amp;'CASE DATA'!$F10&amp;";",ROW($1:$99),1),";")),"",ROW($1:$99)),COLUMN(D9))-1)</f>
        <v/>
      </c>
      <c r="AB10" s="75" t="str" cm="1">
        <f t="array" ref="AB10">MID(";"&amp;'CASE DATA'!$F10&amp;";",SMALL(IF(ISERROR(SEARCH(MID(";"&amp;'CASE DATA'!$F10&amp;";",ROW($1:$99),1),";")),"",ROW($1:$99)+1),COLUMN(E10)),SMALL(IF(ISERROR(SEARCH(MID(";"&amp;'CASE DATA'!$F10&amp;";",ROW($1:$99),1),";")),"",ROW($1:$99)),COLUMN(E9)+1)-SMALL(IF(ISERROR(SEARCH(MID(";"&amp;'CASE DATA'!$F10&amp;";",ROW($1:$99),1),";")),"",ROW($1:$99)),COLUMN(E9))-1)</f>
        <v/>
      </c>
      <c r="AC10" s="75" t="str" cm="1">
        <f t="array" ref="AC10">MID(";"&amp;'CASE DATA'!$F10&amp;";",SMALL(IF(ISERROR(SEARCH(MID(";"&amp;'CASE DATA'!$F10&amp;";",ROW($1:$99),1),";")),"",ROW($1:$99)+1),COLUMN(F10)),SMALL(IF(ISERROR(SEARCH(MID(";"&amp;'CASE DATA'!$F10&amp;";",ROW($1:$99),1),";")),"",ROW($1:$99)),COLUMN(F9)+1)-SMALL(IF(ISERROR(SEARCH(MID(";"&amp;'CASE DATA'!$F10&amp;";",ROW($1:$99),1),";")),"",ROW($1:$99)),COLUMN(F9))-1)</f>
        <v/>
      </c>
      <c r="AD10" s="75" t="str" cm="1">
        <f t="array" ref="AD10">MID(";"&amp;'CASE DATA'!$F10&amp;";",SMALL(IF(ISERROR(SEARCH(MID(";"&amp;'CASE DATA'!$F10&amp;";",ROW($1:$99),1),";")),"",ROW($1:$99)+1),COLUMN(G10)),SMALL(IF(ISERROR(SEARCH(MID(";"&amp;'CASE DATA'!$F10&amp;";",ROW($1:$99),1),";")),"",ROW($1:$99)),COLUMN(G9)+1)-SMALL(IF(ISERROR(SEARCH(MID(";"&amp;'CASE DATA'!$F10&amp;";",ROW($1:$99),1),";")),"",ROW($1:$99)),COLUMN(G9))-1)</f>
        <v/>
      </c>
      <c r="AE10" s="75" t="str" cm="1">
        <f t="array" ref="AE10">MID(";"&amp;'CASE DATA'!$F10&amp;";",SMALL(IF(ISERROR(SEARCH(MID(";"&amp;'CASE DATA'!$F10&amp;";",ROW($1:$99),1),";")),"",ROW($1:$99)+1),COLUMN(H10)),SMALL(IF(ISERROR(SEARCH(MID(";"&amp;'CASE DATA'!$F10&amp;";",ROW($1:$99),1),";")),"",ROW($1:$99)),COLUMN(H9)+1)-SMALL(IF(ISERROR(SEARCH(MID(";"&amp;'CASE DATA'!$F10&amp;";",ROW($1:$99),1),";")),"",ROW($1:$99)),COLUMN(H9))-1)</f>
        <v/>
      </c>
      <c r="AF10" s="75" t="str" cm="1">
        <f t="array" ref="AF10">MID(";"&amp;'CASE DATA'!$F10&amp;";",SMALL(IF(ISERROR(SEARCH(MID(";"&amp;'CASE DATA'!$F10&amp;";",ROW($1:$99),1),";")),"",ROW($1:$99)+1),COLUMN(I10)),SMALL(IF(ISERROR(SEARCH(MID(";"&amp;'CASE DATA'!$F10&amp;";",ROW($1:$99),1),";")),"",ROW($1:$99)),COLUMN(I9)+1)-SMALL(IF(ISERROR(SEARCH(MID(";"&amp;'CASE DATA'!$F10&amp;";",ROW($1:$99),1),";")),"",ROW($1:$99)),COLUMN(I9))-1)</f>
        <v/>
      </c>
      <c r="AG10" s="75" t="str" cm="1">
        <f t="array" ref="AG10">MID(";"&amp;'CASE DATA'!$F10&amp;";",SMALL(IF(ISERROR(SEARCH(MID(";"&amp;'CASE DATA'!$F10&amp;";",ROW($1:$99),1),";")),"",ROW($1:$99)+1),COLUMN(K10)),SMALL(IF(ISERROR(SEARCH(MID(";"&amp;'CASE DATA'!$F10&amp;";",ROW($1:$99),1),";")),"",ROW($1:$99)),COLUMN(K9)+1)-SMALL(IF(ISERROR(SEARCH(MID(";"&amp;'CASE DATA'!$F10&amp;";",ROW($1:$99),1),";")),"",ROW($1:$99)),COLUMN(K9))-1)</f>
        <v/>
      </c>
      <c r="AH10" s="75" t="str" cm="1">
        <f t="array" ref="AH10">MID(";"&amp;'CASE DATA'!$F10&amp;";",SMALL(IF(ISERROR(SEARCH(MID(";"&amp;'CASE DATA'!$F10&amp;";",ROW($1:$99),1),";")),"",ROW($1:$99)+1),COLUMN(L10)),SMALL(IF(ISERROR(SEARCH(MID(";"&amp;'CASE DATA'!$F10&amp;";",ROW($1:$99),1),";")),"",ROW($1:$99)),COLUMN(L9)+1)-SMALL(IF(ISERROR(SEARCH(MID(";"&amp;'CASE DATA'!$F10&amp;";",ROW($1:$99),1),";")),"",ROW($1:$99)),COLUMN(L9))-1)</f>
        <v/>
      </c>
      <c r="AI10" s="75" t="str" cm="1">
        <f t="array" ref="AI10">MID(";"&amp;'CASE DATA'!$F10&amp;";",SMALL(IF(ISERROR(SEARCH(MID(";"&amp;'CASE DATA'!$F10&amp;";",ROW($1:$99),1),";")),"",ROW($1:$99)+1),COLUMN(M10)),SMALL(IF(ISERROR(SEARCH(MID(";"&amp;'CASE DATA'!$F10&amp;";",ROW($1:$99),1),";")),"",ROW($1:$99)),COLUMN(M9)+1)-SMALL(IF(ISERROR(SEARCH(MID(";"&amp;'CASE DATA'!$F10&amp;";",ROW($1:$99),1),";")),"",ROW($1:$99)),COLUMN(M9))-1)</f>
        <v/>
      </c>
      <c r="AJ10"/>
      <c r="AK10"/>
      <c r="AL10"/>
      <c r="AM10"/>
      <c r="AN10"/>
      <c r="AO10"/>
      <c r="AP10"/>
      <c r="AQ10"/>
      <c r="AR10"/>
      <c r="AS10"/>
      <c r="AT10"/>
      <c r="AU10"/>
      <c r="AV10"/>
      <c r="AW10"/>
      <c r="AX10"/>
      <c r="AY10"/>
      <c r="AZ10"/>
      <c r="BA10"/>
      <c r="BB10"/>
      <c r="BC10"/>
      <c r="BD10"/>
      <c r="BE10"/>
      <c r="BF10"/>
      <c r="BG10"/>
      <c r="BH10"/>
      <c r="BI10"/>
      <c r="BJ10"/>
      <c r="BK10"/>
      <c r="BL10"/>
      <c r="BM10"/>
      <c r="BN10"/>
      <c r="BO10" s="99"/>
      <c r="BP10" s="99"/>
      <c r="BQ10" s="99"/>
      <c r="BR10" s="99"/>
      <c r="BS10" s="99"/>
      <c r="BT10" s="99"/>
      <c r="BU10" s="99"/>
      <c r="BV10" s="99"/>
      <c r="BW10" s="99"/>
      <c r="BX10" s="99"/>
      <c r="BY10" s="99"/>
      <c r="BZ10" s="99"/>
      <c r="CA10" s="99"/>
      <c r="CB10" s="99"/>
      <c r="CC10" s="99"/>
      <c r="CD10" s="99"/>
      <c r="CE10" s="99"/>
      <c r="CF10" s="99"/>
      <c r="CG10" s="99"/>
      <c r="CH10" s="99"/>
      <c r="CI10" s="99"/>
      <c r="CJ10" s="99"/>
      <c r="CK10" s="99"/>
      <c r="CL10" s="99"/>
      <c r="CM10" s="99"/>
      <c r="CN10" s="99"/>
      <c r="CO10" s="99"/>
      <c r="CP10" s="99"/>
      <c r="CQ10" s="99"/>
      <c r="CR10" s="99"/>
      <c r="CS10" s="99"/>
      <c r="CT10" s="99"/>
      <c r="CU10" s="99"/>
      <c r="CV10" s="99"/>
      <c r="CW10" s="99"/>
      <c r="CX10" s="99"/>
      <c r="CY10" s="99"/>
      <c r="CZ10" s="99"/>
      <c r="DA10" s="99"/>
      <c r="DB10" s="99"/>
      <c r="DC10" s="99"/>
      <c r="DD10" s="99"/>
      <c r="DE10" s="99"/>
      <c r="DF10" s="99"/>
      <c r="DG10" s="99"/>
      <c r="DH10" s="99"/>
      <c r="DI10" s="99"/>
      <c r="DJ10" s="99"/>
      <c r="DK10" s="99"/>
      <c r="DL10" s="99"/>
      <c r="DM10" s="99"/>
      <c r="DN10" s="99"/>
      <c r="DO10" s="99"/>
      <c r="DP10" s="99"/>
      <c r="DQ10" s="99"/>
      <c r="DR10" s="99"/>
      <c r="DS10" s="99"/>
      <c r="DT10" s="99"/>
      <c r="DU10" s="99"/>
      <c r="DV10" s="99"/>
      <c r="DW10" s="99"/>
      <c r="DX10" s="99"/>
      <c r="DY10" s="99"/>
      <c r="DZ10" s="99"/>
      <c r="EA10" s="99"/>
      <c r="EB10" s="99"/>
      <c r="EC10" s="99"/>
      <c r="ED10" s="99"/>
      <c r="EE10" s="99"/>
      <c r="EF10" s="99"/>
      <c r="EG10" s="99"/>
      <c r="EH10" s="99"/>
      <c r="EI10" s="99"/>
      <c r="EJ10" s="99"/>
      <c r="EK10" s="99"/>
      <c r="EL10" s="99"/>
      <c r="EM10" s="99"/>
      <c r="EN10" s="99"/>
      <c r="EO10" s="99"/>
      <c r="EP10" s="99"/>
      <c r="EQ10" s="99"/>
      <c r="ER10" s="99"/>
      <c r="ES10" s="99"/>
      <c r="ET10" s="99"/>
      <c r="EU10" s="99"/>
      <c r="EV10" s="99"/>
      <c r="EW10" s="99"/>
      <c r="EX10" s="99"/>
      <c r="EY10" s="99"/>
      <c r="EZ10" s="99"/>
      <c r="FA10" s="99"/>
      <c r="FB10" s="99"/>
      <c r="FC10" s="99"/>
      <c r="FD10" s="99"/>
      <c r="FE10" s="99"/>
      <c r="FF10" s="99"/>
      <c r="FG10" s="99"/>
      <c r="FH10" s="99"/>
      <c r="FI10" s="99"/>
      <c r="FJ10" s="99"/>
      <c r="FK10" s="99"/>
    </row>
    <row r="11" spans="1:167" s="70" customFormat="1" x14ac:dyDescent="0.25">
      <c r="A11"/>
      <c r="B11"/>
      <c r="C11" s="10"/>
      <c r="D11" s="10"/>
      <c r="E11" s="11"/>
      <c r="F11" s="15"/>
      <c r="G11"/>
      <c r="H11" s="99"/>
      <c r="I11" s="99"/>
      <c r="J11" s="99">
        <v>8</v>
      </c>
      <c r="K11" s="16"/>
      <c r="L11" s="16"/>
      <c r="M11" s="16"/>
      <c r="N11" s="16"/>
      <c r="O11" s="16"/>
      <c r="P11" s="16"/>
      <c r="Q11" s="16"/>
      <c r="R11" s="16"/>
      <c r="S11" s="16"/>
      <c r="T11" s="16"/>
      <c r="U11" s="73">
        <f>SUM(K11:T11)</f>
        <v>0</v>
      </c>
      <c r="V11" s="73"/>
      <c r="W11"/>
      <c r="X11" s="75" t="str" cm="1">
        <f t="array" ref="X11">MID(";"&amp;'CASE DATA'!$F11&amp;";",SMALL(IF(ISERROR(SEARCH(MID(";"&amp;'CASE DATA'!$F11&amp;";",ROW($1:$99),1),";")),"",ROW($1:$99)+1),COLUMN(A11)),SMALL(IF(ISERROR(SEARCH(MID(";"&amp;'CASE DATA'!$F11&amp;";",ROW($1:$99),1),";")),"",ROW($1:$99)),COLUMN(A10)+1)-SMALL(IF(ISERROR(SEARCH(MID(";"&amp;'CASE DATA'!$F11&amp;";",ROW($1:$99),1),";")),"",ROW($1:$99)),COLUMN(A10))-1)</f>
        <v/>
      </c>
      <c r="Y11" s="75" t="str" cm="1">
        <f t="array" ref="Y11">MID(";"&amp;'CASE DATA'!$F11&amp;";",SMALL(IF(ISERROR(SEARCH(MID(";"&amp;'CASE DATA'!$F11&amp;";",ROW($1:$99),1),";")),"",ROW($1:$99)+1),COLUMN(B11)),SMALL(IF(ISERROR(SEARCH(MID(";"&amp;'CASE DATA'!$F11&amp;";",ROW($1:$99),1),";")),"",ROW($1:$99)),COLUMN(B10)+1)-SMALL(IF(ISERROR(SEARCH(MID(";"&amp;'CASE DATA'!$F11&amp;";",ROW($1:$99),1),";")),"",ROW($1:$99)),COLUMN(B10))-1)</f>
        <v/>
      </c>
      <c r="Z11" s="75" t="str" cm="1">
        <f t="array" ref="Z11">MID(";"&amp;'CASE DATA'!$F11&amp;";",SMALL(IF(ISERROR(SEARCH(MID(";"&amp;'CASE DATA'!$F11&amp;";",ROW($1:$99),1),";")),"",ROW($1:$99)+1),COLUMN(C11)),SMALL(IF(ISERROR(SEARCH(MID(";"&amp;'CASE DATA'!$F11&amp;";",ROW($1:$99),1),";")),"",ROW($1:$99)),COLUMN(C10)+1)-SMALL(IF(ISERROR(SEARCH(MID(";"&amp;'CASE DATA'!$F11&amp;";",ROW($1:$99),1),";")),"",ROW($1:$99)),COLUMN(C10))-1)</f>
        <v/>
      </c>
      <c r="AA11" s="75" t="str" cm="1">
        <f t="array" ref="AA11">MID(";"&amp;'CASE DATA'!$F11&amp;";",SMALL(IF(ISERROR(SEARCH(MID(";"&amp;'CASE DATA'!$F11&amp;";",ROW($1:$99),1),";")),"",ROW($1:$99)+1),COLUMN(D11)),SMALL(IF(ISERROR(SEARCH(MID(";"&amp;'CASE DATA'!$F11&amp;";",ROW($1:$99),1),";")),"",ROW($1:$99)),COLUMN(D10)+1)-SMALL(IF(ISERROR(SEARCH(MID(";"&amp;'CASE DATA'!$F11&amp;";",ROW($1:$99),1),";")),"",ROW($1:$99)),COLUMN(D10))-1)</f>
        <v/>
      </c>
      <c r="AB11" s="75" t="str" cm="1">
        <f t="array" ref="AB11">MID(";"&amp;'CASE DATA'!$F11&amp;";",SMALL(IF(ISERROR(SEARCH(MID(";"&amp;'CASE DATA'!$F11&amp;";",ROW($1:$99),1),";")),"",ROW($1:$99)+1),COLUMN(E11)),SMALL(IF(ISERROR(SEARCH(MID(";"&amp;'CASE DATA'!$F11&amp;";",ROW($1:$99),1),";")),"",ROW($1:$99)),COLUMN(E10)+1)-SMALL(IF(ISERROR(SEARCH(MID(";"&amp;'CASE DATA'!$F11&amp;";",ROW($1:$99),1),";")),"",ROW($1:$99)),COLUMN(E10))-1)</f>
        <v/>
      </c>
      <c r="AC11" s="75" t="str" cm="1">
        <f t="array" ref="AC11">MID(";"&amp;'CASE DATA'!$F11&amp;";",SMALL(IF(ISERROR(SEARCH(MID(";"&amp;'CASE DATA'!$F11&amp;";",ROW($1:$99),1),";")),"",ROW($1:$99)+1),COLUMN(F11)),SMALL(IF(ISERROR(SEARCH(MID(";"&amp;'CASE DATA'!$F11&amp;";",ROW($1:$99),1),";")),"",ROW($1:$99)),COLUMN(F10)+1)-SMALL(IF(ISERROR(SEARCH(MID(";"&amp;'CASE DATA'!$F11&amp;";",ROW($1:$99),1),";")),"",ROW($1:$99)),COLUMN(F10))-1)</f>
        <v/>
      </c>
      <c r="AD11" s="75" t="str" cm="1">
        <f t="array" ref="AD11">MID(";"&amp;'CASE DATA'!$F11&amp;";",SMALL(IF(ISERROR(SEARCH(MID(";"&amp;'CASE DATA'!$F11&amp;";",ROW($1:$99),1),";")),"",ROW($1:$99)+1),COLUMN(G11)),SMALL(IF(ISERROR(SEARCH(MID(";"&amp;'CASE DATA'!$F11&amp;";",ROW($1:$99),1),";")),"",ROW($1:$99)),COLUMN(G10)+1)-SMALL(IF(ISERROR(SEARCH(MID(";"&amp;'CASE DATA'!$F11&amp;";",ROW($1:$99),1),";")),"",ROW($1:$99)),COLUMN(G10))-1)</f>
        <v/>
      </c>
      <c r="AE11" s="75" t="str" cm="1">
        <f t="array" ref="AE11">MID(";"&amp;'CASE DATA'!$F11&amp;";",SMALL(IF(ISERROR(SEARCH(MID(";"&amp;'CASE DATA'!$F11&amp;";",ROW($1:$99),1),";")),"",ROW($1:$99)+1),COLUMN(H11)),SMALL(IF(ISERROR(SEARCH(MID(";"&amp;'CASE DATA'!$F11&amp;";",ROW($1:$99),1),";")),"",ROW($1:$99)),COLUMN(H10)+1)-SMALL(IF(ISERROR(SEARCH(MID(";"&amp;'CASE DATA'!$F11&amp;";",ROW($1:$99),1),";")),"",ROW($1:$99)),COLUMN(H10))-1)</f>
        <v/>
      </c>
      <c r="AF11" s="75" t="str" cm="1">
        <f t="array" ref="AF11">MID(";"&amp;'CASE DATA'!$F11&amp;";",SMALL(IF(ISERROR(SEARCH(MID(";"&amp;'CASE DATA'!$F11&amp;";",ROW($1:$99),1),";")),"",ROW($1:$99)+1),COLUMN(I11)),SMALL(IF(ISERROR(SEARCH(MID(";"&amp;'CASE DATA'!$F11&amp;";",ROW($1:$99),1),";")),"",ROW($1:$99)),COLUMN(I10)+1)-SMALL(IF(ISERROR(SEARCH(MID(";"&amp;'CASE DATA'!$F11&amp;";",ROW($1:$99),1),";")),"",ROW($1:$99)),COLUMN(I10))-1)</f>
        <v/>
      </c>
      <c r="AG11" s="75" t="str" cm="1">
        <f t="array" ref="AG11">MID(";"&amp;'CASE DATA'!$F11&amp;";",SMALL(IF(ISERROR(SEARCH(MID(";"&amp;'CASE DATA'!$F11&amp;";",ROW($1:$99),1),";")),"",ROW($1:$99)+1),COLUMN(K11)),SMALL(IF(ISERROR(SEARCH(MID(";"&amp;'CASE DATA'!$F11&amp;";",ROW($1:$99),1),";")),"",ROW($1:$99)),COLUMN(K10)+1)-SMALL(IF(ISERROR(SEARCH(MID(";"&amp;'CASE DATA'!$F11&amp;";",ROW($1:$99),1),";")),"",ROW($1:$99)),COLUMN(K10))-1)</f>
        <v/>
      </c>
      <c r="AH11" s="75" t="str" cm="1">
        <f t="array" ref="AH11">MID(";"&amp;'CASE DATA'!$F11&amp;";",SMALL(IF(ISERROR(SEARCH(MID(";"&amp;'CASE DATA'!$F11&amp;";",ROW($1:$99),1),";")),"",ROW($1:$99)+1),COLUMN(L11)),SMALL(IF(ISERROR(SEARCH(MID(";"&amp;'CASE DATA'!$F11&amp;";",ROW($1:$99),1),";")),"",ROW($1:$99)),COLUMN(L10)+1)-SMALL(IF(ISERROR(SEARCH(MID(";"&amp;'CASE DATA'!$F11&amp;";",ROW($1:$99),1),";")),"",ROW($1:$99)),COLUMN(L10))-1)</f>
        <v/>
      </c>
      <c r="AI11" s="75" t="str" cm="1">
        <f t="array" ref="AI11">MID(";"&amp;'CASE DATA'!$F11&amp;";",SMALL(IF(ISERROR(SEARCH(MID(";"&amp;'CASE DATA'!$F11&amp;";",ROW($1:$99),1),";")),"",ROW($1:$99)+1),COLUMN(M11)),SMALL(IF(ISERROR(SEARCH(MID(";"&amp;'CASE DATA'!$F11&amp;";",ROW($1:$99),1),";")),"",ROW($1:$99)),COLUMN(M10)+1)-SMALL(IF(ISERROR(SEARCH(MID(";"&amp;'CASE DATA'!$F11&amp;";",ROW($1:$99),1),";")),"",ROW($1:$99)),COLUMN(M10))-1)</f>
        <v/>
      </c>
      <c r="AJ11"/>
      <c r="AK11"/>
      <c r="AL11"/>
      <c r="AM11"/>
      <c r="AN11"/>
      <c r="AO11"/>
      <c r="AP11"/>
      <c r="AQ11"/>
      <c r="AR11"/>
      <c r="AS11"/>
      <c r="AT11"/>
      <c r="AU11"/>
      <c r="AV11"/>
      <c r="AW11"/>
      <c r="AX11"/>
      <c r="AY11"/>
      <c r="AZ11"/>
      <c r="BA11"/>
      <c r="BB11"/>
      <c r="BC11"/>
      <c r="BD11"/>
      <c r="BE11"/>
      <c r="BF11"/>
      <c r="BG11"/>
      <c r="BH11"/>
      <c r="BI11"/>
      <c r="BJ11"/>
      <c r="BK11"/>
      <c r="BL11"/>
      <c r="BM11"/>
      <c r="BN11"/>
      <c r="BO11" s="99"/>
      <c r="BP11" s="99"/>
      <c r="BQ11" s="99"/>
      <c r="BR11" s="99"/>
      <c r="BS11" s="99"/>
      <c r="BT11" s="99"/>
      <c r="BU11" s="99"/>
      <c r="BV11" s="99"/>
      <c r="BW11" s="99"/>
      <c r="BX11" s="99"/>
      <c r="BY11" s="99"/>
      <c r="BZ11" s="99"/>
      <c r="CA11" s="99"/>
      <c r="CB11" s="99"/>
      <c r="CC11" s="99"/>
      <c r="CD11" s="99"/>
      <c r="CE11" s="99"/>
      <c r="CF11" s="99"/>
      <c r="CG11" s="99"/>
      <c r="CH11" s="99"/>
      <c r="CI11" s="99"/>
      <c r="CJ11" s="99"/>
      <c r="CK11" s="99"/>
      <c r="CL11" s="99"/>
      <c r="CM11" s="99"/>
      <c r="CN11" s="99"/>
      <c r="CO11" s="99"/>
      <c r="CP11" s="99"/>
      <c r="CQ11" s="99"/>
      <c r="CR11" s="99"/>
      <c r="CS11" s="99"/>
      <c r="CT11" s="99"/>
      <c r="CU11" s="99"/>
      <c r="CV11" s="99"/>
      <c r="CW11" s="99"/>
      <c r="CX11" s="99"/>
      <c r="CY11" s="99"/>
      <c r="CZ11" s="99"/>
      <c r="DA11" s="99"/>
      <c r="DB11" s="99"/>
      <c r="DC11" s="99"/>
      <c r="DD11" s="99"/>
      <c r="DE11" s="99"/>
      <c r="DF11" s="99"/>
      <c r="DG11" s="99"/>
      <c r="DH11" s="99"/>
      <c r="DI11" s="99"/>
      <c r="DJ11" s="99"/>
      <c r="DK11" s="99"/>
      <c r="DL11" s="99"/>
      <c r="DM11" s="99"/>
      <c r="DN11" s="99"/>
      <c r="DO11" s="99"/>
      <c r="DP11" s="99"/>
      <c r="DQ11" s="99"/>
      <c r="DR11" s="99"/>
      <c r="DS11" s="99"/>
      <c r="DT11" s="99"/>
      <c r="DU11" s="99"/>
      <c r="DV11" s="99"/>
      <c r="DW11" s="99"/>
      <c r="DX11" s="99"/>
      <c r="DY11" s="99"/>
      <c r="DZ11" s="99"/>
      <c r="EA11" s="99"/>
      <c r="EB11" s="99"/>
      <c r="EC11" s="99"/>
      <c r="ED11" s="99"/>
      <c r="EE11" s="99"/>
      <c r="EF11" s="99"/>
      <c r="EG11" s="99"/>
      <c r="EH11" s="99"/>
      <c r="EI11" s="99"/>
      <c r="EJ11" s="99"/>
      <c r="EK11" s="99"/>
      <c r="EL11" s="99"/>
      <c r="EM11" s="99"/>
      <c r="EN11" s="99"/>
      <c r="EO11" s="99"/>
      <c r="EP11" s="99"/>
      <c r="EQ11" s="99"/>
      <c r="ER11" s="99"/>
      <c r="ES11" s="99"/>
      <c r="ET11" s="99"/>
      <c r="EU11" s="99"/>
      <c r="EV11" s="99"/>
      <c r="EW11" s="99"/>
      <c r="EX11" s="99"/>
      <c r="EY11" s="99"/>
      <c r="EZ11" s="99"/>
      <c r="FA11" s="99"/>
      <c r="FB11" s="99"/>
      <c r="FC11" s="99"/>
      <c r="FD11" s="99"/>
      <c r="FE11" s="99"/>
      <c r="FF11" s="99"/>
      <c r="FG11" s="99"/>
      <c r="FH11" s="99"/>
      <c r="FI11" s="99"/>
      <c r="FJ11" s="99"/>
      <c r="FK11" s="99"/>
    </row>
    <row r="12" spans="1:167" x14ac:dyDescent="0.25">
      <c r="C12" s="10"/>
      <c r="D12" s="10"/>
      <c r="E12" s="11"/>
      <c r="F12" s="15"/>
      <c r="J12" s="99">
        <v>9</v>
      </c>
      <c r="K12" s="16"/>
      <c r="L12" s="16"/>
      <c r="M12" s="16"/>
      <c r="N12" s="16"/>
      <c r="O12" s="16"/>
      <c r="P12" s="16"/>
      <c r="Q12" s="16"/>
      <c r="R12" s="16"/>
      <c r="S12" s="16"/>
      <c r="T12" s="16"/>
      <c r="U12" s="73">
        <f>SUM(K12:T12)</f>
        <v>0</v>
      </c>
      <c r="V12" s="73"/>
      <c r="X12" s="75" t="str" cm="1">
        <f t="array" ref="X12">MID(";"&amp;'CASE DATA'!$F12&amp;";",SMALL(IF(ISERROR(SEARCH(MID(";"&amp;'CASE DATA'!$F12&amp;";",ROW($1:$99),1),";")),"",ROW($1:$99)+1),COLUMN(A12)),SMALL(IF(ISERROR(SEARCH(MID(";"&amp;'CASE DATA'!$F12&amp;";",ROW($1:$99),1),";")),"",ROW($1:$99)),COLUMN(A11)+1)-SMALL(IF(ISERROR(SEARCH(MID(";"&amp;'CASE DATA'!$F12&amp;";",ROW($1:$99),1),";")),"",ROW($1:$99)),COLUMN(A11))-1)</f>
        <v/>
      </c>
      <c r="Y12" s="75" t="str" cm="1">
        <f t="array" ref="Y12">MID(";"&amp;'CASE DATA'!$F12&amp;";",SMALL(IF(ISERROR(SEARCH(MID(";"&amp;'CASE DATA'!$F12&amp;";",ROW($1:$99),1),";")),"",ROW($1:$99)+1),COLUMN(B12)),SMALL(IF(ISERROR(SEARCH(MID(";"&amp;'CASE DATA'!$F12&amp;";",ROW($1:$99),1),";")),"",ROW($1:$99)),COLUMN(B11)+1)-SMALL(IF(ISERROR(SEARCH(MID(";"&amp;'CASE DATA'!$F12&amp;";",ROW($1:$99),1),";")),"",ROW($1:$99)),COLUMN(B11))-1)</f>
        <v/>
      </c>
      <c r="Z12" s="75" t="str" cm="1">
        <f t="array" ref="Z12">MID(";"&amp;'CASE DATA'!$F12&amp;";",SMALL(IF(ISERROR(SEARCH(MID(";"&amp;'CASE DATA'!$F12&amp;";",ROW($1:$99),1),";")),"",ROW($1:$99)+1),COLUMN(C12)),SMALL(IF(ISERROR(SEARCH(MID(";"&amp;'CASE DATA'!$F12&amp;";",ROW($1:$99),1),";")),"",ROW($1:$99)),COLUMN(C11)+1)-SMALL(IF(ISERROR(SEARCH(MID(";"&amp;'CASE DATA'!$F12&amp;";",ROW($1:$99),1),";")),"",ROW($1:$99)),COLUMN(C11))-1)</f>
        <v/>
      </c>
      <c r="AA12" s="75" t="str" cm="1">
        <f t="array" ref="AA12">MID(";"&amp;'CASE DATA'!$F12&amp;";",SMALL(IF(ISERROR(SEARCH(MID(";"&amp;'CASE DATA'!$F12&amp;";",ROW($1:$99),1),";")),"",ROW($1:$99)+1),COLUMN(D12)),SMALL(IF(ISERROR(SEARCH(MID(";"&amp;'CASE DATA'!$F12&amp;";",ROW($1:$99),1),";")),"",ROW($1:$99)),COLUMN(D11)+1)-SMALL(IF(ISERROR(SEARCH(MID(";"&amp;'CASE DATA'!$F12&amp;";",ROW($1:$99),1),";")),"",ROW($1:$99)),COLUMN(D11))-1)</f>
        <v/>
      </c>
      <c r="AB12" s="75" t="str" cm="1">
        <f t="array" ref="AB12">MID(";"&amp;'CASE DATA'!$F12&amp;";",SMALL(IF(ISERROR(SEARCH(MID(";"&amp;'CASE DATA'!$F12&amp;";",ROW($1:$99),1),";")),"",ROW($1:$99)+1),COLUMN(E12)),SMALL(IF(ISERROR(SEARCH(MID(";"&amp;'CASE DATA'!$F12&amp;";",ROW($1:$99),1),";")),"",ROW($1:$99)),COLUMN(E11)+1)-SMALL(IF(ISERROR(SEARCH(MID(";"&amp;'CASE DATA'!$F12&amp;";",ROW($1:$99),1),";")),"",ROW($1:$99)),COLUMN(E11))-1)</f>
        <v/>
      </c>
      <c r="AC12" s="75" t="str" cm="1">
        <f t="array" ref="AC12">MID(";"&amp;'CASE DATA'!$F12&amp;";",SMALL(IF(ISERROR(SEARCH(MID(";"&amp;'CASE DATA'!$F12&amp;";",ROW($1:$99),1),";")),"",ROW($1:$99)+1),COLUMN(F12)),SMALL(IF(ISERROR(SEARCH(MID(";"&amp;'CASE DATA'!$F12&amp;";",ROW($1:$99),1),";")),"",ROW($1:$99)),COLUMN(F11)+1)-SMALL(IF(ISERROR(SEARCH(MID(";"&amp;'CASE DATA'!$F12&amp;";",ROW($1:$99),1),";")),"",ROW($1:$99)),COLUMN(F11))-1)</f>
        <v/>
      </c>
      <c r="AD12" s="75" t="str" cm="1">
        <f t="array" ref="AD12">MID(";"&amp;'CASE DATA'!$F12&amp;";",SMALL(IF(ISERROR(SEARCH(MID(";"&amp;'CASE DATA'!$F12&amp;";",ROW($1:$99),1),";")),"",ROW($1:$99)+1),COLUMN(G12)),SMALL(IF(ISERROR(SEARCH(MID(";"&amp;'CASE DATA'!$F12&amp;";",ROW($1:$99),1),";")),"",ROW($1:$99)),COLUMN(G11)+1)-SMALL(IF(ISERROR(SEARCH(MID(";"&amp;'CASE DATA'!$F12&amp;";",ROW($1:$99),1),";")),"",ROW($1:$99)),COLUMN(G11))-1)</f>
        <v/>
      </c>
      <c r="AE12" s="75" t="str" cm="1">
        <f t="array" ref="AE12">MID(";"&amp;'CASE DATA'!$F12&amp;";",SMALL(IF(ISERROR(SEARCH(MID(";"&amp;'CASE DATA'!$F12&amp;";",ROW($1:$99),1),";")),"",ROW($1:$99)+1),COLUMN(H12)),SMALL(IF(ISERROR(SEARCH(MID(";"&amp;'CASE DATA'!$F12&amp;";",ROW($1:$99),1),";")),"",ROW($1:$99)),COLUMN(H11)+1)-SMALL(IF(ISERROR(SEARCH(MID(";"&amp;'CASE DATA'!$F12&amp;";",ROW($1:$99),1),";")),"",ROW($1:$99)),COLUMN(H11))-1)</f>
        <v/>
      </c>
      <c r="AF12" s="75" t="str" cm="1">
        <f t="array" ref="AF12">MID(";"&amp;'CASE DATA'!$F12&amp;";",SMALL(IF(ISERROR(SEARCH(MID(";"&amp;'CASE DATA'!$F12&amp;";",ROW($1:$99),1),";")),"",ROW($1:$99)+1),COLUMN(I12)),SMALL(IF(ISERROR(SEARCH(MID(";"&amp;'CASE DATA'!$F12&amp;";",ROW($1:$99),1),";")),"",ROW($1:$99)),COLUMN(I11)+1)-SMALL(IF(ISERROR(SEARCH(MID(";"&amp;'CASE DATA'!$F12&amp;";",ROW($1:$99),1),";")),"",ROW($1:$99)),COLUMN(I11))-1)</f>
        <v/>
      </c>
      <c r="AG12" s="75" t="str" cm="1">
        <f t="array" ref="AG12">MID(";"&amp;'CASE DATA'!$F12&amp;";",SMALL(IF(ISERROR(SEARCH(MID(";"&amp;'CASE DATA'!$F12&amp;";",ROW($1:$99),1),";")),"",ROW($1:$99)+1),COLUMN(K12)),SMALL(IF(ISERROR(SEARCH(MID(";"&amp;'CASE DATA'!$F12&amp;";",ROW($1:$99),1),";")),"",ROW($1:$99)),COLUMN(K11)+1)-SMALL(IF(ISERROR(SEARCH(MID(";"&amp;'CASE DATA'!$F12&amp;";",ROW($1:$99),1),";")),"",ROW($1:$99)),COLUMN(K11))-1)</f>
        <v/>
      </c>
      <c r="AH12" s="75" t="str" cm="1">
        <f t="array" ref="AH12">MID(";"&amp;'CASE DATA'!$F12&amp;";",SMALL(IF(ISERROR(SEARCH(MID(";"&amp;'CASE DATA'!$F12&amp;";",ROW($1:$99),1),";")),"",ROW($1:$99)+1),COLUMN(L12)),SMALL(IF(ISERROR(SEARCH(MID(";"&amp;'CASE DATA'!$F12&amp;";",ROW($1:$99),1),";")),"",ROW($1:$99)),COLUMN(L11)+1)-SMALL(IF(ISERROR(SEARCH(MID(";"&amp;'CASE DATA'!$F12&amp;";",ROW($1:$99),1),";")),"",ROW($1:$99)),COLUMN(L11))-1)</f>
        <v/>
      </c>
      <c r="AI12" s="75" t="str" cm="1">
        <f t="array" ref="AI12">MID(";"&amp;'CASE DATA'!$F12&amp;";",SMALL(IF(ISERROR(SEARCH(MID(";"&amp;'CASE DATA'!$F12&amp;";",ROW($1:$99),1),";")),"",ROW($1:$99)+1),COLUMN(M12)),SMALL(IF(ISERROR(SEARCH(MID(";"&amp;'CASE DATA'!$F12&amp;";",ROW($1:$99),1),";")),"",ROW($1:$99)),COLUMN(M11)+1)-SMALL(IF(ISERROR(SEARCH(MID(";"&amp;'CASE DATA'!$F12&amp;";",ROW($1:$99),1),";")),"",ROW($1:$99)),COLUMN(M11))-1)</f>
        <v/>
      </c>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c r="CU12" s="99"/>
      <c r="CV12" s="99"/>
      <c r="CW12" s="99"/>
      <c r="CX12" s="99"/>
      <c r="CY12" s="99"/>
      <c r="CZ12" s="99"/>
      <c r="DA12" s="99"/>
      <c r="DB12" s="99"/>
      <c r="DC12" s="99"/>
      <c r="DD12" s="99"/>
      <c r="DE12" s="99"/>
      <c r="DF12" s="99"/>
      <c r="DG12" s="99"/>
      <c r="DH12" s="99"/>
      <c r="DI12" s="99"/>
      <c r="DJ12" s="99"/>
      <c r="DK12" s="99"/>
      <c r="DL12" s="99"/>
      <c r="DM12" s="99"/>
      <c r="DN12" s="99"/>
      <c r="DO12" s="99"/>
      <c r="DP12" s="99"/>
      <c r="DQ12" s="99"/>
      <c r="DR12" s="99"/>
      <c r="DS12" s="99"/>
      <c r="DT12" s="99"/>
      <c r="DU12" s="99"/>
      <c r="DV12" s="99"/>
      <c r="DW12" s="99"/>
      <c r="DX12" s="99"/>
      <c r="DY12" s="99"/>
      <c r="DZ12" s="99"/>
      <c r="EA12" s="99"/>
      <c r="EB12" s="99"/>
      <c r="EC12" s="99"/>
      <c r="ED12" s="99"/>
      <c r="EE12" s="99"/>
      <c r="EF12" s="99"/>
      <c r="EG12" s="99"/>
      <c r="EH12" s="99"/>
      <c r="EI12" s="99"/>
      <c r="EJ12" s="99"/>
      <c r="EK12" s="99"/>
      <c r="EL12" s="99"/>
      <c r="EM12" s="99"/>
      <c r="EN12" s="99"/>
      <c r="EO12" s="99"/>
      <c r="EP12" s="99"/>
      <c r="EQ12" s="99"/>
      <c r="ER12" s="99"/>
      <c r="ES12" s="99"/>
      <c r="ET12" s="99"/>
      <c r="EU12" s="99"/>
      <c r="EV12" s="99"/>
      <c r="EW12" s="99"/>
      <c r="EX12" s="99"/>
      <c r="EY12" s="99"/>
      <c r="EZ12" s="99"/>
      <c r="FA12" s="99"/>
      <c r="FB12" s="99"/>
      <c r="FC12" s="99"/>
      <c r="FD12" s="99"/>
      <c r="FE12" s="99"/>
      <c r="FF12" s="99"/>
      <c r="FG12" s="99"/>
      <c r="FH12" s="99"/>
      <c r="FI12" s="99"/>
      <c r="FJ12" s="99"/>
      <c r="FK12" s="99"/>
    </row>
    <row r="13" spans="1:167" x14ac:dyDescent="0.25">
      <c r="A13" s="11"/>
      <c r="C13" s="10"/>
      <c r="D13" s="10"/>
      <c r="E13" s="11"/>
      <c r="F13" s="15"/>
      <c r="J13" s="99">
        <v>10</v>
      </c>
      <c r="K13" s="16"/>
      <c r="L13" s="16"/>
      <c r="M13" s="16"/>
      <c r="N13" s="16"/>
      <c r="O13" s="16"/>
      <c r="P13" s="16"/>
      <c r="Q13" s="16"/>
      <c r="R13" s="16"/>
      <c r="S13" s="16"/>
      <c r="T13" s="16"/>
      <c r="U13" s="73">
        <f>SUM(K13:T13)</f>
        <v>0</v>
      </c>
      <c r="V13" s="73"/>
      <c r="X13" s="75" t="str" cm="1">
        <f t="array" ref="X13">MID(";"&amp;'CASE DATA'!$F13&amp;";",SMALL(IF(ISERROR(SEARCH(MID(";"&amp;'CASE DATA'!$F13&amp;";",ROW($1:$99),1),";")),"",ROW($1:$99)+1),COLUMN(A13)),SMALL(IF(ISERROR(SEARCH(MID(";"&amp;'CASE DATA'!$F13&amp;";",ROW($1:$99),1),";")),"",ROW($1:$99)),COLUMN(A12)+1)-SMALL(IF(ISERROR(SEARCH(MID(";"&amp;'CASE DATA'!$F13&amp;";",ROW($1:$99),1),";")),"",ROW($1:$99)),COLUMN(A12))-1)</f>
        <v/>
      </c>
      <c r="Y13" s="75" t="str" cm="1">
        <f t="array" ref="Y13">MID(";"&amp;'CASE DATA'!$F13&amp;";",SMALL(IF(ISERROR(SEARCH(MID(";"&amp;'CASE DATA'!$F13&amp;";",ROW($1:$99),1),";")),"",ROW($1:$99)+1),COLUMN(B13)),SMALL(IF(ISERROR(SEARCH(MID(";"&amp;'CASE DATA'!$F13&amp;";",ROW($1:$99),1),";")),"",ROW($1:$99)),COLUMN(B12)+1)-SMALL(IF(ISERROR(SEARCH(MID(";"&amp;'CASE DATA'!$F13&amp;";",ROW($1:$99),1),";")),"",ROW($1:$99)),COLUMN(B12))-1)</f>
        <v/>
      </c>
      <c r="Z13" s="75" t="str" cm="1">
        <f t="array" ref="Z13">MID(";"&amp;'CASE DATA'!$F13&amp;";",SMALL(IF(ISERROR(SEARCH(MID(";"&amp;'CASE DATA'!$F13&amp;";",ROW($1:$99),1),";")),"",ROW($1:$99)+1),COLUMN(C13)),SMALL(IF(ISERROR(SEARCH(MID(";"&amp;'CASE DATA'!$F13&amp;";",ROW($1:$99),1),";")),"",ROW($1:$99)),COLUMN(C12)+1)-SMALL(IF(ISERROR(SEARCH(MID(";"&amp;'CASE DATA'!$F13&amp;";",ROW($1:$99),1),";")),"",ROW($1:$99)),COLUMN(C12))-1)</f>
        <v/>
      </c>
      <c r="AA13" s="75" t="str" cm="1">
        <f t="array" ref="AA13">MID(";"&amp;'CASE DATA'!$F13&amp;";",SMALL(IF(ISERROR(SEARCH(MID(";"&amp;'CASE DATA'!$F13&amp;";",ROW($1:$99),1),";")),"",ROW($1:$99)+1),COLUMN(D13)),SMALL(IF(ISERROR(SEARCH(MID(";"&amp;'CASE DATA'!$F13&amp;";",ROW($1:$99),1),";")),"",ROW($1:$99)),COLUMN(D12)+1)-SMALL(IF(ISERROR(SEARCH(MID(";"&amp;'CASE DATA'!$F13&amp;";",ROW($1:$99),1),";")),"",ROW($1:$99)),COLUMN(D12))-1)</f>
        <v/>
      </c>
      <c r="AB13" s="75" t="str" cm="1">
        <f t="array" ref="AB13">MID(";"&amp;'CASE DATA'!$F13&amp;";",SMALL(IF(ISERROR(SEARCH(MID(";"&amp;'CASE DATA'!$F13&amp;";",ROW($1:$99),1),";")),"",ROW($1:$99)+1),COLUMN(E13)),SMALL(IF(ISERROR(SEARCH(MID(";"&amp;'CASE DATA'!$F13&amp;";",ROW($1:$99),1),";")),"",ROW($1:$99)),COLUMN(E12)+1)-SMALL(IF(ISERROR(SEARCH(MID(";"&amp;'CASE DATA'!$F13&amp;";",ROW($1:$99),1),";")),"",ROW($1:$99)),COLUMN(E12))-1)</f>
        <v/>
      </c>
      <c r="AC13" s="75" t="str" cm="1">
        <f t="array" ref="AC13">MID(";"&amp;'CASE DATA'!$F13&amp;";",SMALL(IF(ISERROR(SEARCH(MID(";"&amp;'CASE DATA'!$F13&amp;";",ROW($1:$99),1),";")),"",ROW($1:$99)+1),COLUMN(F13)),SMALL(IF(ISERROR(SEARCH(MID(";"&amp;'CASE DATA'!$F13&amp;";",ROW($1:$99),1),";")),"",ROW($1:$99)),COLUMN(F12)+1)-SMALL(IF(ISERROR(SEARCH(MID(";"&amp;'CASE DATA'!$F13&amp;";",ROW($1:$99),1),";")),"",ROW($1:$99)),COLUMN(F12))-1)</f>
        <v/>
      </c>
      <c r="AD13" s="75" t="str" cm="1">
        <f t="array" ref="AD13">MID(";"&amp;'CASE DATA'!$F13&amp;";",SMALL(IF(ISERROR(SEARCH(MID(";"&amp;'CASE DATA'!$F13&amp;";",ROW($1:$99),1),";")),"",ROW($1:$99)+1),COLUMN(G13)),SMALL(IF(ISERROR(SEARCH(MID(";"&amp;'CASE DATA'!$F13&amp;";",ROW($1:$99),1),";")),"",ROW($1:$99)),COLUMN(G12)+1)-SMALL(IF(ISERROR(SEARCH(MID(";"&amp;'CASE DATA'!$F13&amp;";",ROW($1:$99),1),";")),"",ROW($1:$99)),COLUMN(G12))-1)</f>
        <v/>
      </c>
      <c r="AE13" s="75" t="str" cm="1">
        <f t="array" ref="AE13">MID(";"&amp;'CASE DATA'!$F13&amp;";",SMALL(IF(ISERROR(SEARCH(MID(";"&amp;'CASE DATA'!$F13&amp;";",ROW($1:$99),1),";")),"",ROW($1:$99)+1),COLUMN(H13)),SMALL(IF(ISERROR(SEARCH(MID(";"&amp;'CASE DATA'!$F13&amp;";",ROW($1:$99),1),";")),"",ROW($1:$99)),COLUMN(H12)+1)-SMALL(IF(ISERROR(SEARCH(MID(";"&amp;'CASE DATA'!$F13&amp;";",ROW($1:$99),1),";")),"",ROW($1:$99)),COLUMN(H12))-1)</f>
        <v/>
      </c>
      <c r="AF13" s="75" t="str" cm="1">
        <f t="array" ref="AF13">MID(";"&amp;'CASE DATA'!$F13&amp;";",SMALL(IF(ISERROR(SEARCH(MID(";"&amp;'CASE DATA'!$F13&amp;";",ROW($1:$99),1),";")),"",ROW($1:$99)+1),COLUMN(I13)),SMALL(IF(ISERROR(SEARCH(MID(";"&amp;'CASE DATA'!$F13&amp;";",ROW($1:$99),1),";")),"",ROW($1:$99)),COLUMN(I12)+1)-SMALL(IF(ISERROR(SEARCH(MID(";"&amp;'CASE DATA'!$F13&amp;";",ROW($1:$99),1),";")),"",ROW($1:$99)),COLUMN(I12))-1)</f>
        <v/>
      </c>
      <c r="AG13" s="75" t="str" cm="1">
        <f t="array" ref="AG13">MID(";"&amp;'CASE DATA'!$F13&amp;";",SMALL(IF(ISERROR(SEARCH(MID(";"&amp;'CASE DATA'!$F13&amp;";",ROW($1:$99),1),";")),"",ROW($1:$99)+1),COLUMN(K13)),SMALL(IF(ISERROR(SEARCH(MID(";"&amp;'CASE DATA'!$F13&amp;";",ROW($1:$99),1),";")),"",ROW($1:$99)),COLUMN(K12)+1)-SMALL(IF(ISERROR(SEARCH(MID(";"&amp;'CASE DATA'!$F13&amp;";",ROW($1:$99),1),";")),"",ROW($1:$99)),COLUMN(K12))-1)</f>
        <v/>
      </c>
      <c r="AH13" s="75" t="str" cm="1">
        <f t="array" ref="AH13">MID(";"&amp;'CASE DATA'!$F13&amp;";",SMALL(IF(ISERROR(SEARCH(MID(";"&amp;'CASE DATA'!$F13&amp;";",ROW($1:$99),1),";")),"",ROW($1:$99)+1),COLUMN(L13)),SMALL(IF(ISERROR(SEARCH(MID(";"&amp;'CASE DATA'!$F13&amp;";",ROW($1:$99),1),";")),"",ROW($1:$99)),COLUMN(L12)+1)-SMALL(IF(ISERROR(SEARCH(MID(";"&amp;'CASE DATA'!$F13&amp;";",ROW($1:$99),1),";")),"",ROW($1:$99)),COLUMN(L12))-1)</f>
        <v/>
      </c>
      <c r="AI13" s="75" t="str" cm="1">
        <f t="array" ref="AI13">MID(";"&amp;'CASE DATA'!$F13&amp;";",SMALL(IF(ISERROR(SEARCH(MID(";"&amp;'CASE DATA'!$F13&amp;";",ROW($1:$99),1),";")),"",ROW($1:$99)+1),COLUMN(M13)),SMALL(IF(ISERROR(SEARCH(MID(";"&amp;'CASE DATA'!$F13&amp;";",ROW($1:$99),1),";")),"",ROW($1:$99)),COLUMN(M12)+1)-SMALL(IF(ISERROR(SEARCH(MID(";"&amp;'CASE DATA'!$F13&amp;";",ROW($1:$99),1),";")),"",ROW($1:$99)),COLUMN(M12))-1)</f>
        <v/>
      </c>
      <c r="BO13" s="99"/>
      <c r="BP13" s="99"/>
      <c r="BQ13" s="99"/>
      <c r="BR13" s="99"/>
      <c r="BS13" s="99"/>
      <c r="BT13" s="99"/>
      <c r="BU13" s="99"/>
      <c r="BV13" s="99"/>
      <c r="BW13" s="99"/>
      <c r="BX13" s="99"/>
      <c r="BY13" s="99"/>
      <c r="BZ13" s="99"/>
      <c r="CA13" s="99"/>
      <c r="CB13" s="99"/>
      <c r="CC13" s="99"/>
      <c r="CD13" s="99"/>
      <c r="CE13" s="99"/>
      <c r="CF13" s="99"/>
      <c r="CG13" s="99"/>
      <c r="CH13" s="99"/>
      <c r="CI13" s="99"/>
      <c r="CJ13" s="99"/>
      <c r="CK13" s="99"/>
      <c r="CL13" s="99"/>
      <c r="CM13" s="99"/>
      <c r="CN13" s="99"/>
      <c r="CO13" s="99"/>
      <c r="CP13" s="99"/>
      <c r="CQ13" s="99"/>
      <c r="CR13" s="99"/>
      <c r="CS13" s="99"/>
      <c r="CT13" s="99"/>
      <c r="CU13" s="99"/>
      <c r="CV13" s="99"/>
      <c r="CW13" s="99"/>
      <c r="CX13" s="99"/>
      <c r="CY13" s="99"/>
      <c r="CZ13" s="99"/>
      <c r="DA13" s="99"/>
      <c r="DB13" s="99"/>
      <c r="DC13" s="99"/>
      <c r="DD13" s="99"/>
      <c r="DE13" s="99"/>
      <c r="DF13" s="99"/>
      <c r="DG13" s="99"/>
      <c r="DH13" s="99"/>
      <c r="DI13" s="99"/>
      <c r="DJ13" s="99"/>
      <c r="DK13" s="99"/>
      <c r="DL13" s="99"/>
      <c r="DM13" s="99"/>
      <c r="DN13" s="99"/>
      <c r="DO13" s="99"/>
      <c r="DP13" s="99"/>
      <c r="DQ13" s="99"/>
      <c r="DR13" s="99"/>
      <c r="DS13" s="99"/>
      <c r="DT13" s="99"/>
      <c r="DU13" s="99"/>
      <c r="DV13" s="99"/>
      <c r="DW13" s="99"/>
      <c r="DX13" s="99"/>
      <c r="DY13" s="99"/>
      <c r="DZ13" s="99"/>
      <c r="EA13" s="99"/>
      <c r="EB13" s="99"/>
      <c r="EC13" s="99"/>
      <c r="ED13" s="99"/>
      <c r="EE13" s="99"/>
      <c r="EF13" s="99"/>
      <c r="EG13" s="99"/>
      <c r="EH13" s="99"/>
      <c r="EI13" s="99"/>
      <c r="EJ13" s="99"/>
      <c r="EK13" s="99"/>
      <c r="EL13" s="99"/>
      <c r="EM13" s="99"/>
      <c r="EN13" s="99"/>
      <c r="EO13" s="99"/>
      <c r="EP13" s="99"/>
      <c r="EQ13" s="99"/>
      <c r="ER13" s="99"/>
      <c r="ES13" s="99"/>
      <c r="ET13" s="99"/>
      <c r="EU13" s="99"/>
      <c r="EV13" s="99"/>
      <c r="EW13" s="99"/>
      <c r="EX13" s="99"/>
      <c r="EY13" s="99"/>
      <c r="EZ13" s="99"/>
      <c r="FA13" s="99"/>
      <c r="FB13" s="99"/>
      <c r="FC13" s="99"/>
      <c r="FD13" s="99"/>
      <c r="FE13" s="99"/>
      <c r="FF13" s="99"/>
      <c r="FG13" s="99"/>
      <c r="FH13" s="99"/>
      <c r="FI13" s="99"/>
      <c r="FJ13" s="99"/>
      <c r="FK13" s="99"/>
    </row>
    <row r="14" spans="1:167" s="70" customFormat="1" x14ac:dyDescent="0.25">
      <c r="A14"/>
      <c r="B14"/>
      <c r="C14" s="10"/>
      <c r="D14" s="10"/>
      <c r="E14" s="11"/>
      <c r="F14" s="12"/>
      <c r="G14"/>
      <c r="H14" s="99"/>
      <c r="I14" s="99"/>
      <c r="J14" s="99">
        <v>11</v>
      </c>
      <c r="K14" s="13"/>
      <c r="L14" s="13"/>
      <c r="M14" s="13"/>
      <c r="N14" s="13"/>
      <c r="O14" s="13"/>
      <c r="P14" s="13"/>
      <c r="Q14" s="13"/>
      <c r="R14" s="13"/>
      <c r="S14" s="13"/>
      <c r="T14" s="13"/>
      <c r="U14" s="73">
        <f>SUM(K14:T14)</f>
        <v>0</v>
      </c>
      <c r="V14" s="73"/>
      <c r="W14"/>
      <c r="X14" s="75" t="str" cm="1">
        <f t="array" ref="X14">MID(";"&amp;'CASE DATA'!$F14&amp;";",SMALL(IF(ISERROR(SEARCH(MID(";"&amp;'CASE DATA'!$F14&amp;";",ROW($1:$99),1),";")),"",ROW($1:$99)+1),COLUMN(A14)),SMALL(IF(ISERROR(SEARCH(MID(";"&amp;'CASE DATA'!$F14&amp;";",ROW($1:$99),1),";")),"",ROW($1:$99)),COLUMN(A13)+1)-SMALL(IF(ISERROR(SEARCH(MID(";"&amp;'CASE DATA'!$F14&amp;";",ROW($1:$99),1),";")),"",ROW($1:$99)),COLUMN(A13))-1)</f>
        <v/>
      </c>
      <c r="Y14" s="75" t="str" cm="1">
        <f t="array" ref="Y14">MID(";"&amp;'CASE DATA'!$F14&amp;";",SMALL(IF(ISERROR(SEARCH(MID(";"&amp;'CASE DATA'!$F14&amp;";",ROW($1:$99),1),";")),"",ROW($1:$99)+1),COLUMN(B14)),SMALL(IF(ISERROR(SEARCH(MID(";"&amp;'CASE DATA'!$F14&amp;";",ROW($1:$99),1),";")),"",ROW($1:$99)),COLUMN(B13)+1)-SMALL(IF(ISERROR(SEARCH(MID(";"&amp;'CASE DATA'!$F14&amp;";",ROW($1:$99),1),";")),"",ROW($1:$99)),COLUMN(B13))-1)</f>
        <v/>
      </c>
      <c r="Z14" s="75" t="str" cm="1">
        <f t="array" ref="Z14">MID(";"&amp;'CASE DATA'!$F14&amp;";",SMALL(IF(ISERROR(SEARCH(MID(";"&amp;'CASE DATA'!$F14&amp;";",ROW($1:$99),1),";")),"",ROW($1:$99)+1),COLUMN(C14)),SMALL(IF(ISERROR(SEARCH(MID(";"&amp;'CASE DATA'!$F14&amp;";",ROW($1:$99),1),";")),"",ROW($1:$99)),COLUMN(C13)+1)-SMALL(IF(ISERROR(SEARCH(MID(";"&amp;'CASE DATA'!$F14&amp;";",ROW($1:$99),1),";")),"",ROW($1:$99)),COLUMN(C13))-1)</f>
        <v/>
      </c>
      <c r="AA14" s="75" t="str" cm="1">
        <f t="array" ref="AA14">MID(";"&amp;'CASE DATA'!$F14&amp;";",SMALL(IF(ISERROR(SEARCH(MID(";"&amp;'CASE DATA'!$F14&amp;";",ROW($1:$99),1),";")),"",ROW($1:$99)+1),COLUMN(D14)),SMALL(IF(ISERROR(SEARCH(MID(";"&amp;'CASE DATA'!$F14&amp;";",ROW($1:$99),1),";")),"",ROW($1:$99)),COLUMN(D13)+1)-SMALL(IF(ISERROR(SEARCH(MID(";"&amp;'CASE DATA'!$F14&amp;";",ROW($1:$99),1),";")),"",ROW($1:$99)),COLUMN(D13))-1)</f>
        <v/>
      </c>
      <c r="AB14" s="75" t="str" cm="1">
        <f t="array" ref="AB14">MID(";"&amp;'CASE DATA'!$F14&amp;";",SMALL(IF(ISERROR(SEARCH(MID(";"&amp;'CASE DATA'!$F14&amp;";",ROW($1:$99),1),";")),"",ROW($1:$99)+1),COLUMN(E14)),SMALL(IF(ISERROR(SEARCH(MID(";"&amp;'CASE DATA'!$F14&amp;";",ROW($1:$99),1),";")),"",ROW($1:$99)),COLUMN(E13)+1)-SMALL(IF(ISERROR(SEARCH(MID(";"&amp;'CASE DATA'!$F14&amp;";",ROW($1:$99),1),";")),"",ROW($1:$99)),COLUMN(E13))-1)</f>
        <v/>
      </c>
      <c r="AC14" s="75" t="str" cm="1">
        <f t="array" ref="AC14">MID(";"&amp;'CASE DATA'!$F14&amp;";",SMALL(IF(ISERROR(SEARCH(MID(";"&amp;'CASE DATA'!$F14&amp;";",ROW($1:$99),1),";")),"",ROW($1:$99)+1),COLUMN(F14)),SMALL(IF(ISERROR(SEARCH(MID(";"&amp;'CASE DATA'!$F14&amp;";",ROW($1:$99),1),";")),"",ROW($1:$99)),COLUMN(F13)+1)-SMALL(IF(ISERROR(SEARCH(MID(";"&amp;'CASE DATA'!$F14&amp;";",ROW($1:$99),1),";")),"",ROW($1:$99)),COLUMN(F13))-1)</f>
        <v/>
      </c>
      <c r="AD14" s="75" t="str" cm="1">
        <f t="array" ref="AD14">MID(";"&amp;'CASE DATA'!$F14&amp;";",SMALL(IF(ISERROR(SEARCH(MID(";"&amp;'CASE DATA'!$F14&amp;";",ROW($1:$99),1),";")),"",ROW($1:$99)+1),COLUMN(G14)),SMALL(IF(ISERROR(SEARCH(MID(";"&amp;'CASE DATA'!$F14&amp;";",ROW($1:$99),1),";")),"",ROW($1:$99)),COLUMN(G13)+1)-SMALL(IF(ISERROR(SEARCH(MID(";"&amp;'CASE DATA'!$F14&amp;";",ROW($1:$99),1),";")),"",ROW($1:$99)),COLUMN(G13))-1)</f>
        <v/>
      </c>
      <c r="AE14" s="75" t="str" cm="1">
        <f t="array" ref="AE14">MID(";"&amp;'CASE DATA'!$F14&amp;";",SMALL(IF(ISERROR(SEARCH(MID(";"&amp;'CASE DATA'!$F14&amp;";",ROW($1:$99),1),";")),"",ROW($1:$99)+1),COLUMN(H14)),SMALL(IF(ISERROR(SEARCH(MID(";"&amp;'CASE DATA'!$F14&amp;";",ROW($1:$99),1),";")),"",ROW($1:$99)),COLUMN(H13)+1)-SMALL(IF(ISERROR(SEARCH(MID(";"&amp;'CASE DATA'!$F14&amp;";",ROW($1:$99),1),";")),"",ROW($1:$99)),COLUMN(H13))-1)</f>
        <v/>
      </c>
      <c r="AF14" s="75" t="str" cm="1">
        <f t="array" ref="AF14">MID(";"&amp;'CASE DATA'!$F14&amp;";",SMALL(IF(ISERROR(SEARCH(MID(";"&amp;'CASE DATA'!$F14&amp;";",ROW($1:$99),1),";")),"",ROW($1:$99)+1),COLUMN(I14)),SMALL(IF(ISERROR(SEARCH(MID(";"&amp;'CASE DATA'!$F14&amp;";",ROW($1:$99),1),";")),"",ROW($1:$99)),COLUMN(I13)+1)-SMALL(IF(ISERROR(SEARCH(MID(";"&amp;'CASE DATA'!$F14&amp;";",ROW($1:$99),1),";")),"",ROW($1:$99)),COLUMN(I13))-1)</f>
        <v/>
      </c>
      <c r="AG14" s="75" t="str" cm="1">
        <f t="array" ref="AG14">MID(";"&amp;'CASE DATA'!$F14&amp;";",SMALL(IF(ISERROR(SEARCH(MID(";"&amp;'CASE DATA'!$F14&amp;";",ROW($1:$99),1),";")),"",ROW($1:$99)+1),COLUMN(K14)),SMALL(IF(ISERROR(SEARCH(MID(";"&amp;'CASE DATA'!$F14&amp;";",ROW($1:$99),1),";")),"",ROW($1:$99)),COLUMN(K13)+1)-SMALL(IF(ISERROR(SEARCH(MID(";"&amp;'CASE DATA'!$F14&amp;";",ROW($1:$99),1),";")),"",ROW($1:$99)),COLUMN(K13))-1)</f>
        <v/>
      </c>
      <c r="AH14" s="75" t="str" cm="1">
        <f t="array" ref="AH14">MID(";"&amp;'CASE DATA'!$F14&amp;";",SMALL(IF(ISERROR(SEARCH(MID(";"&amp;'CASE DATA'!$F14&amp;";",ROW($1:$99),1),";")),"",ROW($1:$99)+1),COLUMN(L14)),SMALL(IF(ISERROR(SEARCH(MID(";"&amp;'CASE DATA'!$F14&amp;";",ROW($1:$99),1),";")),"",ROW($1:$99)),COLUMN(L13)+1)-SMALL(IF(ISERROR(SEARCH(MID(";"&amp;'CASE DATA'!$F14&amp;";",ROW($1:$99),1),";")),"",ROW($1:$99)),COLUMN(L13))-1)</f>
        <v/>
      </c>
      <c r="AI14" s="75" t="str" cm="1">
        <f t="array" ref="AI14">MID(";"&amp;'CASE DATA'!$F14&amp;";",SMALL(IF(ISERROR(SEARCH(MID(";"&amp;'CASE DATA'!$F14&amp;";",ROW($1:$99),1),";")),"",ROW($1:$99)+1),COLUMN(M14)),SMALL(IF(ISERROR(SEARCH(MID(";"&amp;'CASE DATA'!$F14&amp;";",ROW($1:$99),1),";")),"",ROW($1:$99)),COLUMN(M13)+1)-SMALL(IF(ISERROR(SEARCH(MID(";"&amp;'CASE DATA'!$F14&amp;";",ROW($1:$99),1),";")),"",ROW($1:$99)),COLUMN(M13))-1)</f>
        <v/>
      </c>
      <c r="AJ14"/>
      <c r="AK14"/>
      <c r="AL14"/>
      <c r="AM14"/>
      <c r="AN14"/>
      <c r="AO14"/>
      <c r="AP14"/>
      <c r="AQ14"/>
      <c r="AR14"/>
      <c r="AS14"/>
      <c r="AT14"/>
      <c r="AU14"/>
      <c r="AV14"/>
      <c r="AW14"/>
      <c r="AX14"/>
      <c r="AY14"/>
      <c r="AZ14"/>
      <c r="BA14"/>
      <c r="BB14"/>
      <c r="BC14"/>
      <c r="BD14"/>
      <c r="BE14"/>
      <c r="BF14"/>
      <c r="BG14"/>
      <c r="BH14"/>
      <c r="BI14"/>
      <c r="BJ14"/>
      <c r="BK14"/>
      <c r="BL14"/>
      <c r="BM14"/>
      <c r="BN14"/>
      <c r="BO14" s="99"/>
      <c r="BP14" s="99"/>
      <c r="BQ14" s="99"/>
      <c r="BR14" s="99"/>
      <c r="BS14" s="99"/>
      <c r="BT14" s="99"/>
      <c r="BU14" s="99"/>
      <c r="BV14" s="99"/>
      <c r="BW14" s="99"/>
      <c r="BX14" s="99"/>
      <c r="BY14" s="99"/>
      <c r="BZ14" s="99"/>
      <c r="CA14" s="99"/>
      <c r="CB14" s="99"/>
      <c r="CC14" s="99"/>
      <c r="CD14" s="99"/>
      <c r="CE14" s="99"/>
      <c r="CF14" s="99"/>
      <c r="CG14" s="99"/>
      <c r="CH14" s="99"/>
      <c r="CI14" s="99"/>
      <c r="CJ14" s="99"/>
      <c r="CK14" s="99"/>
      <c r="CL14" s="99"/>
      <c r="CM14" s="99"/>
      <c r="CN14" s="99"/>
      <c r="CO14" s="99"/>
      <c r="CP14" s="99"/>
      <c r="CQ14" s="99"/>
      <c r="CR14" s="99"/>
      <c r="CS14" s="99"/>
      <c r="CT14" s="99"/>
      <c r="CU14" s="99"/>
      <c r="CV14" s="99"/>
      <c r="CW14" s="99"/>
      <c r="CX14" s="99"/>
      <c r="CY14" s="99"/>
      <c r="CZ14" s="99"/>
      <c r="DA14" s="99"/>
      <c r="DB14" s="99"/>
      <c r="DC14" s="99"/>
      <c r="DD14" s="99"/>
      <c r="DE14" s="99"/>
      <c r="DF14" s="99"/>
      <c r="DG14" s="99"/>
      <c r="DH14" s="99"/>
      <c r="DI14" s="99"/>
      <c r="DJ14" s="99"/>
      <c r="DK14" s="99"/>
      <c r="DL14" s="99"/>
      <c r="DM14" s="99"/>
      <c r="DN14" s="99"/>
      <c r="DO14" s="99"/>
      <c r="DP14" s="99"/>
      <c r="DQ14" s="99"/>
      <c r="DR14" s="99"/>
      <c r="DS14" s="99"/>
      <c r="DT14" s="99"/>
      <c r="DU14" s="99"/>
      <c r="DV14" s="99"/>
      <c r="DW14" s="99"/>
      <c r="DX14" s="99"/>
      <c r="DY14" s="99"/>
      <c r="DZ14" s="99"/>
      <c r="EA14" s="99"/>
      <c r="EB14" s="99"/>
      <c r="EC14" s="99"/>
      <c r="ED14" s="99"/>
      <c r="EE14" s="99"/>
      <c r="EF14" s="99"/>
      <c r="EG14" s="99"/>
      <c r="EH14" s="99"/>
      <c r="EI14" s="99"/>
      <c r="EJ14" s="99"/>
      <c r="EK14" s="99"/>
      <c r="EL14" s="99"/>
      <c r="EM14" s="99"/>
      <c r="EN14" s="99"/>
      <c r="EO14" s="99"/>
      <c r="EP14" s="99"/>
      <c r="EQ14" s="99"/>
      <c r="ER14" s="99"/>
      <c r="ES14" s="99"/>
      <c r="ET14" s="99"/>
      <c r="EU14" s="99"/>
      <c r="EV14" s="99"/>
      <c r="EW14" s="99"/>
      <c r="EX14" s="99"/>
      <c r="EY14" s="99"/>
      <c r="EZ14" s="99"/>
      <c r="FA14" s="99"/>
      <c r="FB14" s="99"/>
      <c r="FC14" s="99"/>
      <c r="FD14" s="99"/>
      <c r="FE14" s="99"/>
      <c r="FF14" s="99"/>
      <c r="FG14" s="99"/>
      <c r="FH14" s="99"/>
      <c r="FI14" s="99"/>
      <c r="FJ14" s="99"/>
      <c r="FK14" s="99"/>
    </row>
    <row r="15" spans="1:167" x14ac:dyDescent="0.25">
      <c r="A15" s="11"/>
      <c r="C15" s="10"/>
      <c r="D15" s="10"/>
      <c r="E15" s="11"/>
      <c r="F15" s="15"/>
      <c r="J15" s="99">
        <v>12</v>
      </c>
      <c r="K15" s="16"/>
      <c r="L15" s="16"/>
      <c r="M15" s="16"/>
      <c r="N15" s="16"/>
      <c r="O15" s="16"/>
      <c r="P15" s="16"/>
      <c r="Q15" s="16"/>
      <c r="R15" s="16"/>
      <c r="S15" s="16"/>
      <c r="T15" s="16"/>
      <c r="U15" s="73">
        <f>SUM(K15:T15)</f>
        <v>0</v>
      </c>
      <c r="V15" s="73"/>
      <c r="X15" s="75" t="str" cm="1">
        <f t="array" ref="X15">MID(";"&amp;'CASE DATA'!$F15&amp;";",SMALL(IF(ISERROR(SEARCH(MID(";"&amp;'CASE DATA'!$F15&amp;";",ROW($1:$99),1),";")),"",ROW($1:$99)+1),COLUMN(A15)),SMALL(IF(ISERROR(SEARCH(MID(";"&amp;'CASE DATA'!$F15&amp;";",ROW($1:$99),1),";")),"",ROW($1:$99)),COLUMN(A14)+1)-SMALL(IF(ISERROR(SEARCH(MID(";"&amp;'CASE DATA'!$F15&amp;";",ROW($1:$99),1),";")),"",ROW($1:$99)),COLUMN(A14))-1)</f>
        <v/>
      </c>
      <c r="Y15" s="75" t="str" cm="1">
        <f t="array" ref="Y15">MID(";"&amp;'CASE DATA'!$F15&amp;";",SMALL(IF(ISERROR(SEARCH(MID(";"&amp;'CASE DATA'!$F15&amp;";",ROW($1:$99),1),";")),"",ROW($1:$99)+1),COLUMN(B15)),SMALL(IF(ISERROR(SEARCH(MID(";"&amp;'CASE DATA'!$F15&amp;";",ROW($1:$99),1),";")),"",ROW($1:$99)),COLUMN(B14)+1)-SMALL(IF(ISERROR(SEARCH(MID(";"&amp;'CASE DATA'!$F15&amp;";",ROW($1:$99),1),";")),"",ROW($1:$99)),COLUMN(B14))-1)</f>
        <v/>
      </c>
      <c r="Z15" s="75" t="str" cm="1">
        <f t="array" ref="Z15">MID(";"&amp;'CASE DATA'!$F15&amp;";",SMALL(IF(ISERROR(SEARCH(MID(";"&amp;'CASE DATA'!$F15&amp;";",ROW($1:$99),1),";")),"",ROW($1:$99)+1),COLUMN(C15)),SMALL(IF(ISERROR(SEARCH(MID(";"&amp;'CASE DATA'!$F15&amp;";",ROW($1:$99),1),";")),"",ROW($1:$99)),COLUMN(C14)+1)-SMALL(IF(ISERROR(SEARCH(MID(";"&amp;'CASE DATA'!$F15&amp;";",ROW($1:$99),1),";")),"",ROW($1:$99)),COLUMN(C14))-1)</f>
        <v/>
      </c>
      <c r="AA15" s="75" t="str" cm="1">
        <f t="array" ref="AA15">MID(";"&amp;'CASE DATA'!$F15&amp;";",SMALL(IF(ISERROR(SEARCH(MID(";"&amp;'CASE DATA'!$F15&amp;";",ROW($1:$99),1),";")),"",ROW($1:$99)+1),COLUMN(D15)),SMALL(IF(ISERROR(SEARCH(MID(";"&amp;'CASE DATA'!$F15&amp;";",ROW($1:$99),1),";")),"",ROW($1:$99)),COLUMN(D14)+1)-SMALL(IF(ISERROR(SEARCH(MID(";"&amp;'CASE DATA'!$F15&amp;";",ROW($1:$99),1),";")),"",ROW($1:$99)),COLUMN(D14))-1)</f>
        <v/>
      </c>
      <c r="AB15" s="75" t="str" cm="1">
        <f t="array" ref="AB15">MID(";"&amp;'CASE DATA'!$F15&amp;";",SMALL(IF(ISERROR(SEARCH(MID(";"&amp;'CASE DATA'!$F15&amp;";",ROW($1:$99),1),";")),"",ROW($1:$99)+1),COLUMN(E15)),SMALL(IF(ISERROR(SEARCH(MID(";"&amp;'CASE DATA'!$F15&amp;";",ROW($1:$99),1),";")),"",ROW($1:$99)),COLUMN(E14)+1)-SMALL(IF(ISERROR(SEARCH(MID(";"&amp;'CASE DATA'!$F15&amp;";",ROW($1:$99),1),";")),"",ROW($1:$99)),COLUMN(E14))-1)</f>
        <v/>
      </c>
      <c r="AC15" s="75" t="str" cm="1">
        <f t="array" ref="AC15">MID(";"&amp;'CASE DATA'!$F15&amp;";",SMALL(IF(ISERROR(SEARCH(MID(";"&amp;'CASE DATA'!$F15&amp;";",ROW($1:$99),1),";")),"",ROW($1:$99)+1),COLUMN(F15)),SMALL(IF(ISERROR(SEARCH(MID(";"&amp;'CASE DATA'!$F15&amp;";",ROW($1:$99),1),";")),"",ROW($1:$99)),COLUMN(F14)+1)-SMALL(IF(ISERROR(SEARCH(MID(";"&amp;'CASE DATA'!$F15&amp;";",ROW($1:$99),1),";")),"",ROW($1:$99)),COLUMN(F14))-1)</f>
        <v/>
      </c>
      <c r="AD15" s="75" t="str" cm="1">
        <f t="array" ref="AD15">MID(";"&amp;'CASE DATA'!$F15&amp;";",SMALL(IF(ISERROR(SEARCH(MID(";"&amp;'CASE DATA'!$F15&amp;";",ROW($1:$99),1),";")),"",ROW($1:$99)+1),COLUMN(G15)),SMALL(IF(ISERROR(SEARCH(MID(";"&amp;'CASE DATA'!$F15&amp;";",ROW($1:$99),1),";")),"",ROW($1:$99)),COLUMN(G14)+1)-SMALL(IF(ISERROR(SEARCH(MID(";"&amp;'CASE DATA'!$F15&amp;";",ROW($1:$99),1),";")),"",ROW($1:$99)),COLUMN(G14))-1)</f>
        <v/>
      </c>
      <c r="AE15" s="75" t="str" cm="1">
        <f t="array" ref="AE15">MID(";"&amp;'CASE DATA'!$F15&amp;";",SMALL(IF(ISERROR(SEARCH(MID(";"&amp;'CASE DATA'!$F15&amp;";",ROW($1:$99),1),";")),"",ROW($1:$99)+1),COLUMN(H15)),SMALL(IF(ISERROR(SEARCH(MID(";"&amp;'CASE DATA'!$F15&amp;";",ROW($1:$99),1),";")),"",ROW($1:$99)),COLUMN(H14)+1)-SMALL(IF(ISERROR(SEARCH(MID(";"&amp;'CASE DATA'!$F15&amp;";",ROW($1:$99),1),";")),"",ROW($1:$99)),COLUMN(H14))-1)</f>
        <v/>
      </c>
      <c r="AF15" s="75" t="str" cm="1">
        <f t="array" ref="AF15">MID(";"&amp;'CASE DATA'!$F15&amp;";",SMALL(IF(ISERROR(SEARCH(MID(";"&amp;'CASE DATA'!$F15&amp;";",ROW($1:$99),1),";")),"",ROW($1:$99)+1),COLUMN(I15)),SMALL(IF(ISERROR(SEARCH(MID(";"&amp;'CASE DATA'!$F15&amp;";",ROW($1:$99),1),";")),"",ROW($1:$99)),COLUMN(I14)+1)-SMALL(IF(ISERROR(SEARCH(MID(";"&amp;'CASE DATA'!$F15&amp;";",ROW($1:$99),1),";")),"",ROW($1:$99)),COLUMN(I14))-1)</f>
        <v/>
      </c>
      <c r="AG15" s="75" t="str" cm="1">
        <f t="array" ref="AG15">MID(";"&amp;'CASE DATA'!$F15&amp;";",SMALL(IF(ISERROR(SEARCH(MID(";"&amp;'CASE DATA'!$F15&amp;";",ROW($1:$99),1),";")),"",ROW($1:$99)+1),COLUMN(K15)),SMALL(IF(ISERROR(SEARCH(MID(";"&amp;'CASE DATA'!$F15&amp;";",ROW($1:$99),1),";")),"",ROW($1:$99)),COLUMN(K14)+1)-SMALL(IF(ISERROR(SEARCH(MID(";"&amp;'CASE DATA'!$F15&amp;";",ROW($1:$99),1),";")),"",ROW($1:$99)),COLUMN(K14))-1)</f>
        <v/>
      </c>
      <c r="AH15" s="75" t="str" cm="1">
        <f t="array" ref="AH15">MID(";"&amp;'CASE DATA'!$F15&amp;";",SMALL(IF(ISERROR(SEARCH(MID(";"&amp;'CASE DATA'!$F15&amp;";",ROW($1:$99),1),";")),"",ROW($1:$99)+1),COLUMN(L15)),SMALL(IF(ISERROR(SEARCH(MID(";"&amp;'CASE DATA'!$F15&amp;";",ROW($1:$99),1),";")),"",ROW($1:$99)),COLUMN(L14)+1)-SMALL(IF(ISERROR(SEARCH(MID(";"&amp;'CASE DATA'!$F15&amp;";",ROW($1:$99),1),";")),"",ROW($1:$99)),COLUMN(L14))-1)</f>
        <v/>
      </c>
      <c r="AI15" s="75" t="str" cm="1">
        <f t="array" ref="AI15">MID(";"&amp;'CASE DATA'!$F15&amp;";",SMALL(IF(ISERROR(SEARCH(MID(";"&amp;'CASE DATA'!$F15&amp;";",ROW($1:$99),1),";")),"",ROW($1:$99)+1),COLUMN(M15)),SMALL(IF(ISERROR(SEARCH(MID(";"&amp;'CASE DATA'!$F15&amp;";",ROW($1:$99),1),";")),"",ROW($1:$99)),COLUMN(M14)+1)-SMALL(IF(ISERROR(SEARCH(MID(";"&amp;'CASE DATA'!$F15&amp;";",ROW($1:$99),1),";")),"",ROW($1:$99)),COLUMN(M14))-1)</f>
        <v/>
      </c>
      <c r="BO15" s="99"/>
      <c r="BP15" s="99"/>
      <c r="BQ15" s="99"/>
      <c r="BR15" s="99"/>
      <c r="BS15" s="99"/>
      <c r="BT15" s="99"/>
      <c r="BU15" s="99"/>
      <c r="BV15" s="99"/>
      <c r="BW15" s="99"/>
      <c r="BX15" s="99"/>
      <c r="BY15" s="99"/>
      <c r="BZ15" s="99"/>
      <c r="CA15" s="99"/>
      <c r="CB15" s="99"/>
      <c r="CC15" s="99"/>
      <c r="CD15" s="99"/>
      <c r="CE15" s="99"/>
      <c r="CF15" s="99"/>
      <c r="CG15" s="99"/>
      <c r="CH15" s="99"/>
      <c r="CI15" s="99"/>
      <c r="CJ15" s="99"/>
      <c r="CK15" s="99"/>
      <c r="CL15" s="99"/>
      <c r="CM15" s="99"/>
      <c r="CN15" s="99"/>
      <c r="CO15" s="99"/>
      <c r="CP15" s="99"/>
      <c r="CQ15" s="99"/>
      <c r="CR15" s="99"/>
      <c r="CS15" s="99"/>
      <c r="CT15" s="99"/>
      <c r="CU15" s="99"/>
      <c r="CV15" s="99"/>
      <c r="CW15" s="99"/>
      <c r="CX15" s="99"/>
      <c r="CY15" s="99"/>
      <c r="CZ15" s="99"/>
      <c r="DA15" s="99"/>
      <c r="DB15" s="99"/>
      <c r="DC15" s="99"/>
      <c r="DD15" s="99"/>
      <c r="DE15" s="99"/>
      <c r="DF15" s="99"/>
      <c r="DG15" s="99"/>
      <c r="DH15" s="99"/>
      <c r="DI15" s="99"/>
      <c r="DJ15" s="99"/>
      <c r="DK15" s="99"/>
      <c r="DL15" s="99"/>
      <c r="DM15" s="99"/>
      <c r="DN15" s="99"/>
      <c r="DO15" s="99"/>
      <c r="DP15" s="99"/>
      <c r="DQ15" s="99"/>
      <c r="DR15" s="99"/>
      <c r="DS15" s="99"/>
      <c r="DT15" s="99"/>
      <c r="DU15" s="99"/>
      <c r="DV15" s="99"/>
      <c r="DW15" s="99"/>
      <c r="DX15" s="99"/>
      <c r="DY15" s="99"/>
      <c r="DZ15" s="99"/>
      <c r="EA15" s="99"/>
      <c r="EB15" s="99"/>
      <c r="EC15" s="99"/>
      <c r="ED15" s="99"/>
      <c r="EE15" s="99"/>
      <c r="EF15" s="99"/>
      <c r="EG15" s="99"/>
      <c r="EH15" s="99"/>
      <c r="EI15" s="99"/>
      <c r="EJ15" s="99"/>
      <c r="EK15" s="99"/>
      <c r="EL15" s="99"/>
      <c r="EM15" s="99"/>
      <c r="EN15" s="99"/>
      <c r="EO15" s="99"/>
      <c r="EP15" s="99"/>
      <c r="EQ15" s="99"/>
      <c r="ER15" s="99"/>
      <c r="ES15" s="99"/>
      <c r="ET15" s="99"/>
      <c r="EU15" s="99"/>
      <c r="EV15" s="99"/>
      <c r="EW15" s="99"/>
      <c r="EX15" s="99"/>
      <c r="EY15" s="99"/>
      <c r="EZ15" s="99"/>
      <c r="FA15" s="99"/>
      <c r="FB15" s="99"/>
      <c r="FC15" s="99"/>
      <c r="FD15" s="99"/>
      <c r="FE15" s="99"/>
      <c r="FF15" s="99"/>
      <c r="FG15" s="99"/>
      <c r="FH15" s="99"/>
      <c r="FI15" s="99"/>
      <c r="FJ15" s="99"/>
      <c r="FK15" s="99"/>
    </row>
    <row r="16" spans="1:167" s="70" customFormat="1" x14ac:dyDescent="0.25">
      <c r="A16"/>
      <c r="B16"/>
      <c r="C16" s="10"/>
      <c r="D16" s="10"/>
      <c r="E16" s="11"/>
      <c r="F16" s="15"/>
      <c r="G16"/>
      <c r="H16" s="99"/>
      <c r="I16" s="99"/>
      <c r="J16" s="99">
        <v>13</v>
      </c>
      <c r="K16" s="16"/>
      <c r="L16" s="16"/>
      <c r="M16" s="16"/>
      <c r="N16" s="16"/>
      <c r="O16" s="16"/>
      <c r="P16" s="16"/>
      <c r="Q16" s="16"/>
      <c r="R16" s="16"/>
      <c r="S16" s="16"/>
      <c r="T16" s="16"/>
      <c r="U16" s="14">
        <f>SUM(K16:T16)</f>
        <v>0</v>
      </c>
      <c r="V16" s="14"/>
      <c r="W16"/>
      <c r="X16" s="75" t="str" cm="1">
        <f t="array" ref="X16">MID(";"&amp;'CASE DATA'!$F16&amp;";",SMALL(IF(ISERROR(SEARCH(MID(";"&amp;'CASE DATA'!$F16&amp;";",ROW($1:$99),1),";")),"",ROW($1:$99)+1),COLUMN(A16)),SMALL(IF(ISERROR(SEARCH(MID(";"&amp;'CASE DATA'!$F16&amp;";",ROW($1:$99),1),";")),"",ROW($1:$99)),COLUMN(A15)+1)-SMALL(IF(ISERROR(SEARCH(MID(";"&amp;'CASE DATA'!$F16&amp;";",ROW($1:$99),1),";")),"",ROW($1:$99)),COLUMN(A15))-1)</f>
        <v/>
      </c>
      <c r="Y16" s="75" t="str" cm="1">
        <f t="array" ref="Y16">MID(";"&amp;'CASE DATA'!$F16&amp;";",SMALL(IF(ISERROR(SEARCH(MID(";"&amp;'CASE DATA'!$F16&amp;";",ROW($1:$99),1),";")),"",ROW($1:$99)+1),COLUMN(B16)),SMALL(IF(ISERROR(SEARCH(MID(";"&amp;'CASE DATA'!$F16&amp;";",ROW($1:$99),1),";")),"",ROW($1:$99)),COLUMN(B15)+1)-SMALL(IF(ISERROR(SEARCH(MID(";"&amp;'CASE DATA'!$F16&amp;";",ROW($1:$99),1),";")),"",ROW($1:$99)),COLUMN(B15))-1)</f>
        <v/>
      </c>
      <c r="Z16" s="75" t="str" cm="1">
        <f t="array" ref="Z16">MID(";"&amp;'CASE DATA'!$F16&amp;";",SMALL(IF(ISERROR(SEARCH(MID(";"&amp;'CASE DATA'!$F16&amp;";",ROW($1:$99),1),";")),"",ROW($1:$99)+1),COLUMN(C16)),SMALL(IF(ISERROR(SEARCH(MID(";"&amp;'CASE DATA'!$F16&amp;";",ROW($1:$99),1),";")),"",ROW($1:$99)),COLUMN(C15)+1)-SMALL(IF(ISERROR(SEARCH(MID(";"&amp;'CASE DATA'!$F16&amp;";",ROW($1:$99),1),";")),"",ROW($1:$99)),COLUMN(C15))-1)</f>
        <v/>
      </c>
      <c r="AA16" s="75" t="str" cm="1">
        <f t="array" ref="AA16">MID(";"&amp;'CASE DATA'!$F16&amp;";",SMALL(IF(ISERROR(SEARCH(MID(";"&amp;'CASE DATA'!$F16&amp;";",ROW($1:$99),1),";")),"",ROW($1:$99)+1),COLUMN(D16)),SMALL(IF(ISERROR(SEARCH(MID(";"&amp;'CASE DATA'!$F16&amp;";",ROW($1:$99),1),";")),"",ROW($1:$99)),COLUMN(D15)+1)-SMALL(IF(ISERROR(SEARCH(MID(";"&amp;'CASE DATA'!$F16&amp;";",ROW($1:$99),1),";")),"",ROW($1:$99)),COLUMN(D15))-1)</f>
        <v/>
      </c>
      <c r="AB16" s="75" t="str" cm="1">
        <f t="array" ref="AB16">MID(";"&amp;'CASE DATA'!$F16&amp;";",SMALL(IF(ISERROR(SEARCH(MID(";"&amp;'CASE DATA'!$F16&amp;";",ROW($1:$99),1),";")),"",ROW($1:$99)+1),COLUMN(E16)),SMALL(IF(ISERROR(SEARCH(MID(";"&amp;'CASE DATA'!$F16&amp;";",ROW($1:$99),1),";")),"",ROW($1:$99)),COLUMN(E15)+1)-SMALL(IF(ISERROR(SEARCH(MID(";"&amp;'CASE DATA'!$F16&amp;";",ROW($1:$99),1),";")),"",ROW($1:$99)),COLUMN(E15))-1)</f>
        <v/>
      </c>
      <c r="AC16" s="75" t="str" cm="1">
        <f t="array" ref="AC16">MID(";"&amp;'CASE DATA'!$F16&amp;";",SMALL(IF(ISERROR(SEARCH(MID(";"&amp;'CASE DATA'!$F16&amp;";",ROW($1:$99),1),";")),"",ROW($1:$99)+1),COLUMN(F16)),SMALL(IF(ISERROR(SEARCH(MID(";"&amp;'CASE DATA'!$F16&amp;";",ROW($1:$99),1),";")),"",ROW($1:$99)),COLUMN(F15)+1)-SMALL(IF(ISERROR(SEARCH(MID(";"&amp;'CASE DATA'!$F16&amp;";",ROW($1:$99),1),";")),"",ROW($1:$99)),COLUMN(F15))-1)</f>
        <v/>
      </c>
      <c r="AD16" s="75" t="str" cm="1">
        <f t="array" ref="AD16">MID(";"&amp;'CASE DATA'!$F16&amp;";",SMALL(IF(ISERROR(SEARCH(MID(";"&amp;'CASE DATA'!$F16&amp;";",ROW($1:$99),1),";")),"",ROW($1:$99)+1),COLUMN(G16)),SMALL(IF(ISERROR(SEARCH(MID(";"&amp;'CASE DATA'!$F16&amp;";",ROW($1:$99),1),";")),"",ROW($1:$99)),COLUMN(G15)+1)-SMALL(IF(ISERROR(SEARCH(MID(";"&amp;'CASE DATA'!$F16&amp;";",ROW($1:$99),1),";")),"",ROW($1:$99)),COLUMN(G15))-1)</f>
        <v/>
      </c>
      <c r="AE16" s="75" t="str" cm="1">
        <f t="array" ref="AE16">MID(";"&amp;'CASE DATA'!$F16&amp;";",SMALL(IF(ISERROR(SEARCH(MID(";"&amp;'CASE DATA'!$F16&amp;";",ROW($1:$99),1),";")),"",ROW($1:$99)+1),COLUMN(H16)),SMALL(IF(ISERROR(SEARCH(MID(";"&amp;'CASE DATA'!$F16&amp;";",ROW($1:$99),1),";")),"",ROW($1:$99)),COLUMN(H15)+1)-SMALL(IF(ISERROR(SEARCH(MID(";"&amp;'CASE DATA'!$F16&amp;";",ROW($1:$99),1),";")),"",ROW($1:$99)),COLUMN(H15))-1)</f>
        <v/>
      </c>
      <c r="AF16" s="75" t="str" cm="1">
        <f t="array" ref="AF16">MID(";"&amp;'CASE DATA'!$F16&amp;";",SMALL(IF(ISERROR(SEARCH(MID(";"&amp;'CASE DATA'!$F16&amp;";",ROW($1:$99),1),";")),"",ROW($1:$99)+1),COLUMN(I16)),SMALL(IF(ISERROR(SEARCH(MID(";"&amp;'CASE DATA'!$F16&amp;";",ROW($1:$99),1),";")),"",ROW($1:$99)),COLUMN(I15)+1)-SMALL(IF(ISERROR(SEARCH(MID(";"&amp;'CASE DATA'!$F16&amp;";",ROW($1:$99),1),";")),"",ROW($1:$99)),COLUMN(I15))-1)</f>
        <v/>
      </c>
      <c r="AG16" s="75" t="str" cm="1">
        <f t="array" ref="AG16">MID(";"&amp;'CASE DATA'!$F16&amp;";",SMALL(IF(ISERROR(SEARCH(MID(";"&amp;'CASE DATA'!$F16&amp;";",ROW($1:$99),1),";")),"",ROW($1:$99)+1),COLUMN(K16)),SMALL(IF(ISERROR(SEARCH(MID(";"&amp;'CASE DATA'!$F16&amp;";",ROW($1:$99),1),";")),"",ROW($1:$99)),COLUMN(K15)+1)-SMALL(IF(ISERROR(SEARCH(MID(";"&amp;'CASE DATA'!$F16&amp;";",ROW($1:$99),1),";")),"",ROW($1:$99)),COLUMN(K15))-1)</f>
        <v/>
      </c>
      <c r="AH16" s="75" t="str" cm="1">
        <f t="array" ref="AH16">MID(";"&amp;'CASE DATA'!$F16&amp;";",SMALL(IF(ISERROR(SEARCH(MID(";"&amp;'CASE DATA'!$F16&amp;";",ROW($1:$99),1),";")),"",ROW($1:$99)+1),COLUMN(L16)),SMALL(IF(ISERROR(SEARCH(MID(";"&amp;'CASE DATA'!$F16&amp;";",ROW($1:$99),1),";")),"",ROW($1:$99)),COLUMN(L15)+1)-SMALL(IF(ISERROR(SEARCH(MID(";"&amp;'CASE DATA'!$F16&amp;";",ROW($1:$99),1),";")),"",ROW($1:$99)),COLUMN(L15))-1)</f>
        <v/>
      </c>
      <c r="AI16" s="75" t="str" cm="1">
        <f t="array" ref="AI16">MID(";"&amp;'CASE DATA'!$F16&amp;";",SMALL(IF(ISERROR(SEARCH(MID(";"&amp;'CASE DATA'!$F16&amp;";",ROW($1:$99),1),";")),"",ROW($1:$99)+1),COLUMN(M16)),SMALL(IF(ISERROR(SEARCH(MID(";"&amp;'CASE DATA'!$F16&amp;";",ROW($1:$99),1),";")),"",ROW($1:$99)),COLUMN(M15)+1)-SMALL(IF(ISERROR(SEARCH(MID(";"&amp;'CASE DATA'!$F16&amp;";",ROW($1:$99),1),";")),"",ROW($1:$99)),COLUMN(M15))-1)</f>
        <v/>
      </c>
      <c r="AJ16"/>
      <c r="AK16"/>
      <c r="AL16"/>
      <c r="AM16"/>
      <c r="AN16"/>
      <c r="AO16"/>
      <c r="AP16"/>
      <c r="AQ16"/>
      <c r="AR16"/>
      <c r="AS16"/>
      <c r="AT16"/>
      <c r="AU16"/>
      <c r="AV16"/>
      <c r="AW16"/>
      <c r="AX16"/>
      <c r="AY16"/>
      <c r="AZ16"/>
      <c r="BA16"/>
      <c r="BB16"/>
      <c r="BC16"/>
      <c r="BD16"/>
      <c r="BE16"/>
      <c r="BF16"/>
      <c r="BG16"/>
      <c r="BH16"/>
      <c r="BI16"/>
      <c r="BJ16"/>
      <c r="BK16"/>
      <c r="BL16"/>
      <c r="BM16"/>
      <c r="BN16"/>
      <c r="BO16" s="99"/>
      <c r="BP16" s="99"/>
      <c r="BQ16" s="99"/>
      <c r="BR16" s="99"/>
      <c r="BS16" s="99"/>
      <c r="BT16" s="99"/>
      <c r="BU16" s="99"/>
      <c r="BV16" s="99"/>
      <c r="BW16" s="99"/>
      <c r="BX16" s="99"/>
      <c r="BY16" s="99"/>
      <c r="BZ16" s="99"/>
      <c r="CA16" s="99"/>
      <c r="CB16" s="99"/>
      <c r="CC16" s="99"/>
      <c r="CD16" s="99"/>
      <c r="CE16" s="99"/>
      <c r="CF16" s="99"/>
      <c r="CG16" s="99"/>
      <c r="CH16" s="99"/>
      <c r="CI16" s="99"/>
      <c r="CJ16" s="99"/>
      <c r="CK16" s="99"/>
      <c r="CL16" s="99"/>
      <c r="CM16" s="99"/>
      <c r="CN16" s="99"/>
      <c r="CO16" s="99"/>
      <c r="CP16" s="99"/>
      <c r="CQ16" s="99"/>
      <c r="CR16" s="99"/>
      <c r="CS16" s="99"/>
      <c r="CT16" s="99"/>
      <c r="CU16" s="99"/>
      <c r="CV16" s="99"/>
      <c r="CW16" s="99"/>
      <c r="CX16" s="99"/>
      <c r="CY16" s="99"/>
      <c r="CZ16" s="99"/>
      <c r="DA16" s="99"/>
      <c r="DB16" s="99"/>
      <c r="DC16" s="99"/>
      <c r="DD16" s="99"/>
      <c r="DE16" s="99"/>
      <c r="DF16" s="99"/>
      <c r="DG16" s="99"/>
      <c r="DH16" s="99"/>
      <c r="DI16" s="99"/>
      <c r="DJ16" s="99"/>
      <c r="DK16" s="99"/>
      <c r="DL16" s="99"/>
      <c r="DM16" s="99"/>
      <c r="DN16" s="99"/>
      <c r="DO16" s="99"/>
      <c r="DP16" s="99"/>
      <c r="DQ16" s="99"/>
      <c r="DR16" s="99"/>
      <c r="DS16" s="99"/>
      <c r="DT16" s="99"/>
      <c r="DU16" s="99"/>
      <c r="DV16" s="99"/>
      <c r="DW16" s="99"/>
      <c r="DX16" s="99"/>
      <c r="DY16" s="99"/>
      <c r="DZ16" s="99"/>
      <c r="EA16" s="99"/>
      <c r="EB16" s="99"/>
      <c r="EC16" s="99"/>
      <c r="ED16" s="99"/>
      <c r="EE16" s="99"/>
      <c r="EF16" s="99"/>
      <c r="EG16" s="99"/>
      <c r="EH16" s="99"/>
      <c r="EI16" s="99"/>
      <c r="EJ16" s="99"/>
      <c r="EK16" s="99"/>
      <c r="EL16" s="99"/>
      <c r="EM16" s="99"/>
      <c r="EN16" s="99"/>
      <c r="EO16" s="99"/>
      <c r="EP16" s="99"/>
      <c r="EQ16" s="99"/>
      <c r="ER16" s="99"/>
      <c r="ES16" s="99"/>
      <c r="ET16" s="99"/>
      <c r="EU16" s="99"/>
      <c r="EV16" s="99"/>
      <c r="EW16" s="99"/>
      <c r="EX16" s="99"/>
      <c r="EY16" s="99"/>
      <c r="EZ16" s="99"/>
      <c r="FA16" s="99"/>
      <c r="FB16" s="99"/>
      <c r="FC16" s="99"/>
      <c r="FD16" s="99"/>
      <c r="FE16" s="99"/>
      <c r="FF16" s="99"/>
      <c r="FG16" s="99"/>
      <c r="FH16" s="99"/>
      <c r="FI16" s="99"/>
      <c r="FJ16" s="99"/>
      <c r="FK16" s="99"/>
    </row>
    <row r="17" spans="1:167" x14ac:dyDescent="0.25">
      <c r="C17" s="10"/>
      <c r="D17" s="10"/>
      <c r="E17" s="11"/>
      <c r="F17" s="15"/>
      <c r="J17" s="99">
        <v>14</v>
      </c>
      <c r="K17" s="16"/>
      <c r="L17" s="16"/>
      <c r="M17" s="16"/>
      <c r="N17" s="16"/>
      <c r="O17" s="16"/>
      <c r="P17" s="16"/>
      <c r="Q17" s="16"/>
      <c r="R17" s="16"/>
      <c r="S17" s="16"/>
      <c r="T17" s="16"/>
      <c r="U17" s="14">
        <f>SUM(K17:T17)</f>
        <v>0</v>
      </c>
      <c r="V17" s="14"/>
      <c r="X17" s="75" t="str" cm="1">
        <f t="array" ref="X17">MID(";"&amp;'CASE DATA'!$F17&amp;";",SMALL(IF(ISERROR(SEARCH(MID(";"&amp;'CASE DATA'!$F17&amp;";",ROW($1:$99),1),";")),"",ROW($1:$99)+1),COLUMN(A17)),SMALL(IF(ISERROR(SEARCH(MID(";"&amp;'CASE DATA'!$F17&amp;";",ROW($1:$99),1),";")),"",ROW($1:$99)),COLUMN(A16)+1)-SMALL(IF(ISERROR(SEARCH(MID(";"&amp;'CASE DATA'!$F17&amp;";",ROW($1:$99),1),";")),"",ROW($1:$99)),COLUMN(A16))-1)</f>
        <v/>
      </c>
      <c r="Y17" s="75" t="str" cm="1">
        <f t="array" ref="Y17">MID(";"&amp;'CASE DATA'!$F17&amp;";",SMALL(IF(ISERROR(SEARCH(MID(";"&amp;'CASE DATA'!$F17&amp;";",ROW($1:$99),1),";")),"",ROW($1:$99)+1),COLUMN(B17)),SMALL(IF(ISERROR(SEARCH(MID(";"&amp;'CASE DATA'!$F17&amp;";",ROW($1:$99),1),";")),"",ROW($1:$99)),COLUMN(B16)+1)-SMALL(IF(ISERROR(SEARCH(MID(";"&amp;'CASE DATA'!$F17&amp;";",ROW($1:$99),1),";")),"",ROW($1:$99)),COLUMN(B16))-1)</f>
        <v/>
      </c>
      <c r="Z17" s="75" t="str" cm="1">
        <f t="array" ref="Z17">MID(";"&amp;'CASE DATA'!$F17&amp;";",SMALL(IF(ISERROR(SEARCH(MID(";"&amp;'CASE DATA'!$F17&amp;";",ROW($1:$99),1),";")),"",ROW($1:$99)+1),COLUMN(C17)),SMALL(IF(ISERROR(SEARCH(MID(";"&amp;'CASE DATA'!$F17&amp;";",ROW($1:$99),1),";")),"",ROW($1:$99)),COLUMN(C16)+1)-SMALL(IF(ISERROR(SEARCH(MID(";"&amp;'CASE DATA'!$F17&amp;";",ROW($1:$99),1),";")),"",ROW($1:$99)),COLUMN(C16))-1)</f>
        <v/>
      </c>
      <c r="AA17" s="75" t="str" cm="1">
        <f t="array" ref="AA17">MID(";"&amp;'CASE DATA'!$F17&amp;";",SMALL(IF(ISERROR(SEARCH(MID(";"&amp;'CASE DATA'!$F17&amp;";",ROW($1:$99),1),";")),"",ROW($1:$99)+1),COLUMN(D17)),SMALL(IF(ISERROR(SEARCH(MID(";"&amp;'CASE DATA'!$F17&amp;";",ROW($1:$99),1),";")),"",ROW($1:$99)),COLUMN(D16)+1)-SMALL(IF(ISERROR(SEARCH(MID(";"&amp;'CASE DATA'!$F17&amp;";",ROW($1:$99),1),";")),"",ROW($1:$99)),COLUMN(D16))-1)</f>
        <v/>
      </c>
      <c r="AB17" s="75" t="str" cm="1">
        <f t="array" ref="AB17">MID(";"&amp;'CASE DATA'!$F17&amp;";",SMALL(IF(ISERROR(SEARCH(MID(";"&amp;'CASE DATA'!$F17&amp;";",ROW($1:$99),1),";")),"",ROW($1:$99)+1),COLUMN(E17)),SMALL(IF(ISERROR(SEARCH(MID(";"&amp;'CASE DATA'!$F17&amp;";",ROW($1:$99),1),";")),"",ROW($1:$99)),COLUMN(E16)+1)-SMALL(IF(ISERROR(SEARCH(MID(";"&amp;'CASE DATA'!$F17&amp;";",ROW($1:$99),1),";")),"",ROW($1:$99)),COLUMN(E16))-1)</f>
        <v/>
      </c>
      <c r="AC17" s="75" t="str" cm="1">
        <f t="array" ref="AC17">MID(";"&amp;'CASE DATA'!$F17&amp;";",SMALL(IF(ISERROR(SEARCH(MID(";"&amp;'CASE DATA'!$F17&amp;";",ROW($1:$99),1),";")),"",ROW($1:$99)+1),COLUMN(F17)),SMALL(IF(ISERROR(SEARCH(MID(";"&amp;'CASE DATA'!$F17&amp;";",ROW($1:$99),1),";")),"",ROW($1:$99)),COLUMN(F16)+1)-SMALL(IF(ISERROR(SEARCH(MID(";"&amp;'CASE DATA'!$F17&amp;";",ROW($1:$99),1),";")),"",ROW($1:$99)),COLUMN(F16))-1)</f>
        <v/>
      </c>
      <c r="AD17" s="75" t="str" cm="1">
        <f t="array" ref="AD17">MID(";"&amp;'CASE DATA'!$F17&amp;";",SMALL(IF(ISERROR(SEARCH(MID(";"&amp;'CASE DATA'!$F17&amp;";",ROW($1:$99),1),";")),"",ROW($1:$99)+1),COLUMN(G17)),SMALL(IF(ISERROR(SEARCH(MID(";"&amp;'CASE DATA'!$F17&amp;";",ROW($1:$99),1),";")),"",ROW($1:$99)),COLUMN(G16)+1)-SMALL(IF(ISERROR(SEARCH(MID(";"&amp;'CASE DATA'!$F17&amp;";",ROW($1:$99),1),";")),"",ROW($1:$99)),COLUMN(G16))-1)</f>
        <v/>
      </c>
      <c r="AE17" s="75" t="str" cm="1">
        <f t="array" ref="AE17">MID(";"&amp;'CASE DATA'!$F17&amp;";",SMALL(IF(ISERROR(SEARCH(MID(";"&amp;'CASE DATA'!$F17&amp;";",ROW($1:$99),1),";")),"",ROW($1:$99)+1),COLUMN(H17)),SMALL(IF(ISERROR(SEARCH(MID(";"&amp;'CASE DATA'!$F17&amp;";",ROW($1:$99),1),";")),"",ROW($1:$99)),COLUMN(H16)+1)-SMALL(IF(ISERROR(SEARCH(MID(";"&amp;'CASE DATA'!$F17&amp;";",ROW($1:$99),1),";")),"",ROW($1:$99)),COLUMN(H16))-1)</f>
        <v/>
      </c>
      <c r="AF17" s="75" t="str" cm="1">
        <f t="array" ref="AF17">MID(";"&amp;'CASE DATA'!$F17&amp;";",SMALL(IF(ISERROR(SEARCH(MID(";"&amp;'CASE DATA'!$F17&amp;";",ROW($1:$99),1),";")),"",ROW($1:$99)+1),COLUMN(I17)),SMALL(IF(ISERROR(SEARCH(MID(";"&amp;'CASE DATA'!$F17&amp;";",ROW($1:$99),1),";")),"",ROW($1:$99)),COLUMN(I16)+1)-SMALL(IF(ISERROR(SEARCH(MID(";"&amp;'CASE DATA'!$F17&amp;";",ROW($1:$99),1),";")),"",ROW($1:$99)),COLUMN(I16))-1)</f>
        <v/>
      </c>
      <c r="AG17" s="75" t="str" cm="1">
        <f t="array" ref="AG17">MID(";"&amp;'CASE DATA'!$F17&amp;";",SMALL(IF(ISERROR(SEARCH(MID(";"&amp;'CASE DATA'!$F17&amp;";",ROW($1:$99),1),";")),"",ROW($1:$99)+1),COLUMN(K17)),SMALL(IF(ISERROR(SEARCH(MID(";"&amp;'CASE DATA'!$F17&amp;";",ROW($1:$99),1),";")),"",ROW($1:$99)),COLUMN(K16)+1)-SMALL(IF(ISERROR(SEARCH(MID(";"&amp;'CASE DATA'!$F17&amp;";",ROW($1:$99),1),";")),"",ROW($1:$99)),COLUMN(K16))-1)</f>
        <v/>
      </c>
      <c r="AH17" s="75" t="str" cm="1">
        <f t="array" ref="AH17">MID(";"&amp;'CASE DATA'!$F17&amp;";",SMALL(IF(ISERROR(SEARCH(MID(";"&amp;'CASE DATA'!$F17&amp;";",ROW($1:$99),1),";")),"",ROW($1:$99)+1),COLUMN(L17)),SMALL(IF(ISERROR(SEARCH(MID(";"&amp;'CASE DATA'!$F17&amp;";",ROW($1:$99),1),";")),"",ROW($1:$99)),COLUMN(L16)+1)-SMALL(IF(ISERROR(SEARCH(MID(";"&amp;'CASE DATA'!$F17&amp;";",ROW($1:$99),1),";")),"",ROW($1:$99)),COLUMN(L16))-1)</f>
        <v/>
      </c>
      <c r="AI17" s="75" t="str" cm="1">
        <f t="array" ref="AI17">MID(";"&amp;'CASE DATA'!$F17&amp;";",SMALL(IF(ISERROR(SEARCH(MID(";"&amp;'CASE DATA'!$F17&amp;";",ROW($1:$99),1),";")),"",ROW($1:$99)+1),COLUMN(M17)),SMALL(IF(ISERROR(SEARCH(MID(";"&amp;'CASE DATA'!$F17&amp;";",ROW($1:$99),1),";")),"",ROW($1:$99)),COLUMN(M16)+1)-SMALL(IF(ISERROR(SEARCH(MID(";"&amp;'CASE DATA'!$F17&amp;";",ROW($1:$99),1),";")),"",ROW($1:$99)),COLUMN(M16))-1)</f>
        <v/>
      </c>
      <c r="BO17" s="99"/>
      <c r="BP17" s="99"/>
      <c r="BQ17" s="99"/>
      <c r="BR17" s="99"/>
      <c r="BS17" s="99"/>
      <c r="BT17" s="99"/>
      <c r="BU17" s="99"/>
      <c r="BV17" s="99"/>
      <c r="BW17" s="99"/>
      <c r="BX17" s="99"/>
      <c r="BY17" s="99"/>
      <c r="BZ17" s="99"/>
      <c r="CA17" s="99"/>
      <c r="CB17" s="99"/>
      <c r="CC17" s="99"/>
      <c r="CD17" s="99"/>
      <c r="CE17" s="99"/>
      <c r="CF17" s="99"/>
      <c r="CG17" s="99"/>
      <c r="CH17" s="99"/>
      <c r="CI17" s="99"/>
      <c r="CJ17" s="99"/>
      <c r="CK17" s="99"/>
      <c r="CL17" s="99"/>
      <c r="CM17" s="99"/>
      <c r="CN17" s="99"/>
      <c r="CO17" s="99"/>
      <c r="CP17" s="99"/>
      <c r="CQ17" s="99"/>
      <c r="CR17" s="99"/>
      <c r="CS17" s="99"/>
      <c r="CT17" s="99"/>
      <c r="CU17" s="99"/>
      <c r="CV17" s="99"/>
      <c r="CW17" s="99"/>
      <c r="CX17" s="99"/>
      <c r="CY17" s="99"/>
      <c r="CZ17" s="99"/>
      <c r="DA17" s="99"/>
      <c r="DB17" s="99"/>
      <c r="DC17" s="99"/>
      <c r="DD17" s="99"/>
      <c r="DE17" s="99"/>
      <c r="DF17" s="99"/>
      <c r="DG17" s="99"/>
      <c r="DH17" s="99"/>
      <c r="DI17" s="99"/>
      <c r="DJ17" s="99"/>
      <c r="DK17" s="99"/>
      <c r="DL17" s="99"/>
      <c r="DM17" s="99"/>
      <c r="DN17" s="99"/>
      <c r="DO17" s="99"/>
      <c r="DP17" s="99"/>
      <c r="DQ17" s="99"/>
      <c r="DR17" s="99"/>
      <c r="DS17" s="99"/>
      <c r="DT17" s="99"/>
      <c r="DU17" s="99"/>
      <c r="DV17" s="99"/>
      <c r="DW17" s="99"/>
      <c r="DX17" s="99"/>
      <c r="DY17" s="99"/>
      <c r="DZ17" s="99"/>
      <c r="EA17" s="99"/>
      <c r="EB17" s="99"/>
      <c r="EC17" s="99"/>
      <c r="ED17" s="99"/>
      <c r="EE17" s="99"/>
      <c r="EF17" s="99"/>
      <c r="EG17" s="99"/>
      <c r="EH17" s="99"/>
      <c r="EI17" s="99"/>
      <c r="EJ17" s="99"/>
      <c r="EK17" s="99"/>
      <c r="EL17" s="99"/>
      <c r="EM17" s="99"/>
      <c r="EN17" s="99"/>
      <c r="EO17" s="99"/>
      <c r="EP17" s="99"/>
      <c r="EQ17" s="99"/>
      <c r="ER17" s="99"/>
      <c r="ES17" s="99"/>
      <c r="ET17" s="99"/>
      <c r="EU17" s="99"/>
      <c r="EV17" s="99"/>
      <c r="EW17" s="99"/>
      <c r="EX17" s="99"/>
      <c r="EY17" s="99"/>
      <c r="EZ17" s="99"/>
      <c r="FA17" s="99"/>
      <c r="FB17" s="99"/>
      <c r="FC17" s="99"/>
      <c r="FD17" s="99"/>
      <c r="FE17" s="99"/>
      <c r="FF17" s="99"/>
      <c r="FG17" s="99"/>
      <c r="FH17" s="99"/>
      <c r="FI17" s="99"/>
      <c r="FJ17" s="99"/>
      <c r="FK17" s="99"/>
    </row>
    <row r="18" spans="1:167" x14ac:dyDescent="0.25">
      <c r="C18" s="10"/>
      <c r="D18" s="10"/>
      <c r="E18" s="11"/>
      <c r="F18" s="15"/>
      <c r="J18" s="99">
        <v>15</v>
      </c>
      <c r="K18" s="16"/>
      <c r="L18" s="16"/>
      <c r="M18" s="16"/>
      <c r="N18" s="16"/>
      <c r="O18" s="16"/>
      <c r="P18" s="16"/>
      <c r="Q18" s="16"/>
      <c r="R18" s="16"/>
      <c r="S18" s="16"/>
      <c r="T18" s="16"/>
      <c r="U18" s="14">
        <f>SUM(K18:T18)</f>
        <v>0</v>
      </c>
      <c r="V18" s="14"/>
      <c r="X18" s="75" t="str" cm="1">
        <f t="array" ref="X18">MID(";"&amp;'CASE DATA'!$F18&amp;";",SMALL(IF(ISERROR(SEARCH(MID(";"&amp;'CASE DATA'!$F18&amp;";",ROW($1:$99),1),";")),"",ROW($1:$99)+1),COLUMN(A18)),SMALL(IF(ISERROR(SEARCH(MID(";"&amp;'CASE DATA'!$F18&amp;";",ROW($1:$99),1),";")),"",ROW($1:$99)),COLUMN(A17)+1)-SMALL(IF(ISERROR(SEARCH(MID(";"&amp;'CASE DATA'!$F18&amp;";",ROW($1:$99),1),";")),"",ROW($1:$99)),COLUMN(A17))-1)</f>
        <v/>
      </c>
      <c r="Y18" s="75" t="str" cm="1">
        <f t="array" ref="Y18">MID(";"&amp;'CASE DATA'!$F18&amp;";",SMALL(IF(ISERROR(SEARCH(MID(";"&amp;'CASE DATA'!$F18&amp;";",ROW($1:$99),1),";")),"",ROW($1:$99)+1),COLUMN(B18)),SMALL(IF(ISERROR(SEARCH(MID(";"&amp;'CASE DATA'!$F18&amp;";",ROW($1:$99),1),";")),"",ROW($1:$99)),COLUMN(B17)+1)-SMALL(IF(ISERROR(SEARCH(MID(";"&amp;'CASE DATA'!$F18&amp;";",ROW($1:$99),1),";")),"",ROW($1:$99)),COLUMN(B17))-1)</f>
        <v/>
      </c>
      <c r="Z18" s="75" t="str" cm="1">
        <f t="array" ref="Z18">MID(";"&amp;'CASE DATA'!$F18&amp;";",SMALL(IF(ISERROR(SEARCH(MID(";"&amp;'CASE DATA'!$F18&amp;";",ROW($1:$99),1),";")),"",ROW($1:$99)+1),COLUMN(C18)),SMALL(IF(ISERROR(SEARCH(MID(";"&amp;'CASE DATA'!$F18&amp;";",ROW($1:$99),1),";")),"",ROW($1:$99)),COLUMN(C17)+1)-SMALL(IF(ISERROR(SEARCH(MID(";"&amp;'CASE DATA'!$F18&amp;";",ROW($1:$99),1),";")),"",ROW($1:$99)),COLUMN(C17))-1)</f>
        <v/>
      </c>
      <c r="AA18" s="75" t="str" cm="1">
        <f t="array" ref="AA18">MID(";"&amp;'CASE DATA'!$F18&amp;";",SMALL(IF(ISERROR(SEARCH(MID(";"&amp;'CASE DATA'!$F18&amp;";",ROW($1:$99),1),";")),"",ROW($1:$99)+1),COLUMN(D18)),SMALL(IF(ISERROR(SEARCH(MID(";"&amp;'CASE DATA'!$F18&amp;";",ROW($1:$99),1),";")),"",ROW($1:$99)),COLUMN(D17)+1)-SMALL(IF(ISERROR(SEARCH(MID(";"&amp;'CASE DATA'!$F18&amp;";",ROW($1:$99),1),";")),"",ROW($1:$99)),COLUMN(D17))-1)</f>
        <v/>
      </c>
      <c r="AB18" s="75" t="str" cm="1">
        <f t="array" ref="AB18">MID(";"&amp;'CASE DATA'!$F18&amp;";",SMALL(IF(ISERROR(SEARCH(MID(";"&amp;'CASE DATA'!$F18&amp;";",ROW($1:$99),1),";")),"",ROW($1:$99)+1),COLUMN(E18)),SMALL(IF(ISERROR(SEARCH(MID(";"&amp;'CASE DATA'!$F18&amp;";",ROW($1:$99),1),";")),"",ROW($1:$99)),COLUMN(E17)+1)-SMALL(IF(ISERROR(SEARCH(MID(";"&amp;'CASE DATA'!$F18&amp;";",ROW($1:$99),1),";")),"",ROW($1:$99)),COLUMN(E17))-1)</f>
        <v/>
      </c>
      <c r="AC18" s="75" t="str" cm="1">
        <f t="array" ref="AC18">MID(";"&amp;'CASE DATA'!$F18&amp;";",SMALL(IF(ISERROR(SEARCH(MID(";"&amp;'CASE DATA'!$F18&amp;";",ROW($1:$99),1),";")),"",ROW($1:$99)+1),COLUMN(F18)),SMALL(IF(ISERROR(SEARCH(MID(";"&amp;'CASE DATA'!$F18&amp;";",ROW($1:$99),1),";")),"",ROW($1:$99)),COLUMN(F17)+1)-SMALL(IF(ISERROR(SEARCH(MID(";"&amp;'CASE DATA'!$F18&amp;";",ROW($1:$99),1),";")),"",ROW($1:$99)),COLUMN(F17))-1)</f>
        <v/>
      </c>
      <c r="AD18" s="75" t="str" cm="1">
        <f t="array" ref="AD18">MID(";"&amp;'CASE DATA'!$F18&amp;";",SMALL(IF(ISERROR(SEARCH(MID(";"&amp;'CASE DATA'!$F18&amp;";",ROW($1:$99),1),";")),"",ROW($1:$99)+1),COLUMN(G18)),SMALL(IF(ISERROR(SEARCH(MID(";"&amp;'CASE DATA'!$F18&amp;";",ROW($1:$99),1),";")),"",ROW($1:$99)),COLUMN(G17)+1)-SMALL(IF(ISERROR(SEARCH(MID(";"&amp;'CASE DATA'!$F18&amp;";",ROW($1:$99),1),";")),"",ROW($1:$99)),COLUMN(G17))-1)</f>
        <v/>
      </c>
      <c r="AE18" s="75" t="str" cm="1">
        <f t="array" ref="AE18">MID(";"&amp;'CASE DATA'!$F18&amp;";",SMALL(IF(ISERROR(SEARCH(MID(";"&amp;'CASE DATA'!$F18&amp;";",ROW($1:$99),1),";")),"",ROW($1:$99)+1),COLUMN(H18)),SMALL(IF(ISERROR(SEARCH(MID(";"&amp;'CASE DATA'!$F18&amp;";",ROW($1:$99),1),";")),"",ROW($1:$99)),COLUMN(H17)+1)-SMALL(IF(ISERROR(SEARCH(MID(";"&amp;'CASE DATA'!$F18&amp;";",ROW($1:$99),1),";")),"",ROW($1:$99)),COLUMN(H17))-1)</f>
        <v/>
      </c>
      <c r="AF18" s="75" t="str" cm="1">
        <f t="array" ref="AF18">MID(";"&amp;'CASE DATA'!$F18&amp;";",SMALL(IF(ISERROR(SEARCH(MID(";"&amp;'CASE DATA'!$F18&amp;";",ROW($1:$99),1),";")),"",ROW($1:$99)+1),COLUMN(I18)),SMALL(IF(ISERROR(SEARCH(MID(";"&amp;'CASE DATA'!$F18&amp;";",ROW($1:$99),1),";")),"",ROW($1:$99)),COLUMN(I17)+1)-SMALL(IF(ISERROR(SEARCH(MID(";"&amp;'CASE DATA'!$F18&amp;";",ROW($1:$99),1),";")),"",ROW($1:$99)),COLUMN(I17))-1)</f>
        <v/>
      </c>
      <c r="AG18" s="75" t="str" cm="1">
        <f t="array" ref="AG18">MID(";"&amp;'CASE DATA'!$F18&amp;";",SMALL(IF(ISERROR(SEARCH(MID(";"&amp;'CASE DATA'!$F18&amp;";",ROW($1:$99),1),";")),"",ROW($1:$99)+1),COLUMN(K18)),SMALL(IF(ISERROR(SEARCH(MID(";"&amp;'CASE DATA'!$F18&amp;";",ROW($1:$99),1),";")),"",ROW($1:$99)),COLUMN(K17)+1)-SMALL(IF(ISERROR(SEARCH(MID(";"&amp;'CASE DATA'!$F18&amp;";",ROW($1:$99),1),";")),"",ROW($1:$99)),COLUMN(K17))-1)</f>
        <v/>
      </c>
      <c r="AH18" s="75" t="str" cm="1">
        <f t="array" ref="AH18">MID(";"&amp;'CASE DATA'!$F18&amp;";",SMALL(IF(ISERROR(SEARCH(MID(";"&amp;'CASE DATA'!$F18&amp;";",ROW($1:$99),1),";")),"",ROW($1:$99)+1),COLUMN(L18)),SMALL(IF(ISERROR(SEARCH(MID(";"&amp;'CASE DATA'!$F18&amp;";",ROW($1:$99),1),";")),"",ROW($1:$99)),COLUMN(L17)+1)-SMALL(IF(ISERROR(SEARCH(MID(";"&amp;'CASE DATA'!$F18&amp;";",ROW($1:$99),1),";")),"",ROW($1:$99)),COLUMN(L17))-1)</f>
        <v/>
      </c>
      <c r="AI18" s="75" t="str" cm="1">
        <f t="array" ref="AI18">MID(";"&amp;'CASE DATA'!$F18&amp;";",SMALL(IF(ISERROR(SEARCH(MID(";"&amp;'CASE DATA'!$F18&amp;";",ROW($1:$99),1),";")),"",ROW($1:$99)+1),COLUMN(M18)),SMALL(IF(ISERROR(SEARCH(MID(";"&amp;'CASE DATA'!$F18&amp;";",ROW($1:$99),1),";")),"",ROW($1:$99)),COLUMN(M17)+1)-SMALL(IF(ISERROR(SEARCH(MID(";"&amp;'CASE DATA'!$F18&amp;";",ROW($1:$99),1),";")),"",ROW($1:$99)),COLUMN(M17))-1)</f>
        <v/>
      </c>
      <c r="BO18" s="99"/>
      <c r="BP18" s="99"/>
      <c r="BQ18" s="99"/>
      <c r="BR18" s="99"/>
      <c r="BS18" s="99"/>
      <c r="BT18" s="99"/>
      <c r="BU18" s="99"/>
      <c r="BV18" s="99"/>
      <c r="BW18" s="99"/>
      <c r="BX18" s="99"/>
      <c r="BY18" s="99"/>
      <c r="BZ18" s="99"/>
      <c r="CA18" s="99"/>
      <c r="CB18" s="99"/>
      <c r="CC18" s="99"/>
      <c r="CD18" s="99"/>
      <c r="CE18" s="99"/>
      <c r="CF18" s="99"/>
      <c r="CG18" s="99"/>
      <c r="CH18" s="99"/>
      <c r="CI18" s="99"/>
      <c r="CJ18" s="99"/>
      <c r="CK18" s="99"/>
      <c r="CL18" s="99"/>
      <c r="CM18" s="99"/>
      <c r="CN18" s="99"/>
      <c r="CO18" s="99"/>
      <c r="CP18" s="99"/>
      <c r="CQ18" s="99"/>
      <c r="CR18" s="99"/>
      <c r="CS18" s="99"/>
      <c r="CT18" s="99"/>
      <c r="CU18" s="99"/>
      <c r="CV18" s="99"/>
      <c r="CW18" s="99"/>
      <c r="CX18" s="99"/>
      <c r="CY18" s="99"/>
      <c r="CZ18" s="99"/>
      <c r="DA18" s="99"/>
      <c r="DB18" s="99"/>
      <c r="DC18" s="99"/>
      <c r="DD18" s="99"/>
      <c r="DE18" s="99"/>
      <c r="DF18" s="99"/>
      <c r="DG18" s="99"/>
      <c r="DH18" s="99"/>
      <c r="DI18" s="99"/>
      <c r="DJ18" s="99"/>
      <c r="DK18" s="99"/>
      <c r="DL18" s="99"/>
      <c r="DM18" s="99"/>
      <c r="DN18" s="99"/>
      <c r="DO18" s="99"/>
      <c r="DP18" s="99"/>
      <c r="DQ18" s="99"/>
      <c r="DR18" s="99"/>
      <c r="DS18" s="99"/>
      <c r="DT18" s="99"/>
      <c r="DU18" s="99"/>
      <c r="DV18" s="99"/>
      <c r="DW18" s="99"/>
      <c r="DX18" s="99"/>
      <c r="DY18" s="99"/>
      <c r="DZ18" s="99"/>
      <c r="EA18" s="99"/>
      <c r="EB18" s="99"/>
      <c r="EC18" s="99"/>
      <c r="ED18" s="99"/>
      <c r="EE18" s="99"/>
      <c r="EF18" s="99"/>
      <c r="EG18" s="99"/>
      <c r="EH18" s="99"/>
      <c r="EI18" s="99"/>
      <c r="EJ18" s="99"/>
      <c r="EK18" s="99"/>
      <c r="EL18" s="99"/>
      <c r="EM18" s="99"/>
      <c r="EN18" s="99"/>
      <c r="EO18" s="99"/>
      <c r="EP18" s="99"/>
      <c r="EQ18" s="99"/>
      <c r="ER18" s="99"/>
      <c r="ES18" s="99"/>
      <c r="ET18" s="99"/>
      <c r="EU18" s="99"/>
      <c r="EV18" s="99"/>
      <c r="EW18" s="99"/>
      <c r="EX18" s="99"/>
      <c r="EY18" s="99"/>
      <c r="EZ18" s="99"/>
      <c r="FA18" s="99"/>
      <c r="FB18" s="99"/>
      <c r="FC18" s="99"/>
      <c r="FD18" s="99"/>
      <c r="FE18" s="99"/>
      <c r="FF18" s="99"/>
      <c r="FG18" s="99"/>
      <c r="FH18" s="99"/>
      <c r="FI18" s="99"/>
      <c r="FJ18" s="99"/>
      <c r="FK18" s="99"/>
    </row>
    <row r="19" spans="1:167" x14ac:dyDescent="0.25">
      <c r="A19" s="11"/>
      <c r="C19" s="10"/>
      <c r="D19" s="10"/>
      <c r="E19" s="11"/>
      <c r="F19" s="15"/>
      <c r="J19" s="99">
        <v>16</v>
      </c>
      <c r="K19" s="16"/>
      <c r="L19" s="16"/>
      <c r="M19" s="16"/>
      <c r="N19" s="16"/>
      <c r="O19" s="16"/>
      <c r="P19" s="16"/>
      <c r="Q19" s="16"/>
      <c r="R19" s="16"/>
      <c r="S19" s="16"/>
      <c r="T19" s="16"/>
      <c r="U19" s="14">
        <f>SUM(K19:T19)</f>
        <v>0</v>
      </c>
      <c r="V19" s="14"/>
      <c r="W19" s="17"/>
      <c r="X19" s="75" t="str" cm="1">
        <f t="array" ref="X19">MID(";"&amp;'CASE DATA'!$F19&amp;";",SMALL(IF(ISERROR(SEARCH(MID(";"&amp;'CASE DATA'!$F19&amp;";",ROW($1:$99),1),";")),"",ROW($1:$99)+1),COLUMN(A19)),SMALL(IF(ISERROR(SEARCH(MID(";"&amp;'CASE DATA'!$F19&amp;";",ROW($1:$99),1),";")),"",ROW($1:$99)),COLUMN(A18)+1)-SMALL(IF(ISERROR(SEARCH(MID(";"&amp;'CASE DATA'!$F19&amp;";",ROW($1:$99),1),";")),"",ROW($1:$99)),COLUMN(A18))-1)</f>
        <v/>
      </c>
      <c r="Y19" s="75" t="str" cm="1">
        <f t="array" ref="Y19">MID(";"&amp;'CASE DATA'!$F19&amp;";",SMALL(IF(ISERROR(SEARCH(MID(";"&amp;'CASE DATA'!$F19&amp;";",ROW($1:$99),1),";")),"",ROW($1:$99)+1),COLUMN(B19)),SMALL(IF(ISERROR(SEARCH(MID(";"&amp;'CASE DATA'!$F19&amp;";",ROW($1:$99),1),";")),"",ROW($1:$99)),COLUMN(B18)+1)-SMALL(IF(ISERROR(SEARCH(MID(";"&amp;'CASE DATA'!$F19&amp;";",ROW($1:$99),1),";")),"",ROW($1:$99)),COLUMN(B18))-1)</f>
        <v/>
      </c>
      <c r="Z19" s="75" t="str" cm="1">
        <f t="array" ref="Z19">MID(";"&amp;'CASE DATA'!$F19&amp;";",SMALL(IF(ISERROR(SEARCH(MID(";"&amp;'CASE DATA'!$F19&amp;";",ROW($1:$99),1),";")),"",ROW($1:$99)+1),COLUMN(C19)),SMALL(IF(ISERROR(SEARCH(MID(";"&amp;'CASE DATA'!$F19&amp;";",ROW($1:$99),1),";")),"",ROW($1:$99)),COLUMN(C18)+1)-SMALL(IF(ISERROR(SEARCH(MID(";"&amp;'CASE DATA'!$F19&amp;";",ROW($1:$99),1),";")),"",ROW($1:$99)),COLUMN(C18))-1)</f>
        <v/>
      </c>
      <c r="AA19" s="75" t="str" cm="1">
        <f t="array" ref="AA19">MID(";"&amp;'CASE DATA'!$F19&amp;";",SMALL(IF(ISERROR(SEARCH(MID(";"&amp;'CASE DATA'!$F19&amp;";",ROW($1:$99),1),";")),"",ROW($1:$99)+1),COLUMN(D19)),SMALL(IF(ISERROR(SEARCH(MID(";"&amp;'CASE DATA'!$F19&amp;";",ROW($1:$99),1),";")),"",ROW($1:$99)),COLUMN(D18)+1)-SMALL(IF(ISERROR(SEARCH(MID(";"&amp;'CASE DATA'!$F19&amp;";",ROW($1:$99),1),";")),"",ROW($1:$99)),COLUMN(D18))-1)</f>
        <v/>
      </c>
      <c r="AB19" s="75" t="str" cm="1">
        <f t="array" ref="AB19">MID(";"&amp;'CASE DATA'!$F19&amp;";",SMALL(IF(ISERROR(SEARCH(MID(";"&amp;'CASE DATA'!$F19&amp;";",ROW($1:$99),1),";")),"",ROW($1:$99)+1),COLUMN(E19)),SMALL(IF(ISERROR(SEARCH(MID(";"&amp;'CASE DATA'!$F19&amp;";",ROW($1:$99),1),";")),"",ROW($1:$99)),COLUMN(E18)+1)-SMALL(IF(ISERROR(SEARCH(MID(";"&amp;'CASE DATA'!$F19&amp;";",ROW($1:$99),1),";")),"",ROW($1:$99)),COLUMN(E18))-1)</f>
        <v/>
      </c>
      <c r="AC19" s="75" t="str" cm="1">
        <f t="array" ref="AC19">MID(";"&amp;'CASE DATA'!$F19&amp;";",SMALL(IF(ISERROR(SEARCH(MID(";"&amp;'CASE DATA'!$F19&amp;";",ROW($1:$99),1),";")),"",ROW($1:$99)+1),COLUMN(F19)),SMALL(IF(ISERROR(SEARCH(MID(";"&amp;'CASE DATA'!$F19&amp;";",ROW($1:$99),1),";")),"",ROW($1:$99)),COLUMN(F18)+1)-SMALL(IF(ISERROR(SEARCH(MID(";"&amp;'CASE DATA'!$F19&amp;";",ROW($1:$99),1),";")),"",ROW($1:$99)),COLUMN(F18))-1)</f>
        <v/>
      </c>
      <c r="AD19" s="75" t="str" cm="1">
        <f t="array" ref="AD19">MID(";"&amp;'CASE DATA'!$F19&amp;";",SMALL(IF(ISERROR(SEARCH(MID(";"&amp;'CASE DATA'!$F19&amp;";",ROW($1:$99),1),";")),"",ROW($1:$99)+1),COLUMN(G19)),SMALL(IF(ISERROR(SEARCH(MID(";"&amp;'CASE DATA'!$F19&amp;";",ROW($1:$99),1),";")),"",ROW($1:$99)),COLUMN(G18)+1)-SMALL(IF(ISERROR(SEARCH(MID(";"&amp;'CASE DATA'!$F19&amp;";",ROW($1:$99),1),";")),"",ROW($1:$99)),COLUMN(G18))-1)</f>
        <v/>
      </c>
      <c r="AE19" s="75" t="str" cm="1">
        <f t="array" ref="AE19">MID(";"&amp;'CASE DATA'!$F19&amp;";",SMALL(IF(ISERROR(SEARCH(MID(";"&amp;'CASE DATA'!$F19&amp;";",ROW($1:$99),1),";")),"",ROW($1:$99)+1),COLUMN(H19)),SMALL(IF(ISERROR(SEARCH(MID(";"&amp;'CASE DATA'!$F19&amp;";",ROW($1:$99),1),";")),"",ROW($1:$99)),COLUMN(H18)+1)-SMALL(IF(ISERROR(SEARCH(MID(";"&amp;'CASE DATA'!$F19&amp;";",ROW($1:$99),1),";")),"",ROW($1:$99)),COLUMN(H18))-1)</f>
        <v/>
      </c>
      <c r="AF19" s="75" t="str" cm="1">
        <f t="array" ref="AF19">MID(";"&amp;'CASE DATA'!$F19&amp;";",SMALL(IF(ISERROR(SEARCH(MID(";"&amp;'CASE DATA'!$F19&amp;";",ROW($1:$99),1),";")),"",ROW($1:$99)+1),COLUMN(I19)),SMALL(IF(ISERROR(SEARCH(MID(";"&amp;'CASE DATA'!$F19&amp;";",ROW($1:$99),1),";")),"",ROW($1:$99)),COLUMN(I18)+1)-SMALL(IF(ISERROR(SEARCH(MID(";"&amp;'CASE DATA'!$F19&amp;";",ROW($1:$99),1),";")),"",ROW($1:$99)),COLUMN(I18))-1)</f>
        <v/>
      </c>
      <c r="AG19" s="75" t="str" cm="1">
        <f t="array" ref="AG19">MID(";"&amp;'CASE DATA'!$F19&amp;";",SMALL(IF(ISERROR(SEARCH(MID(";"&amp;'CASE DATA'!$F19&amp;";",ROW($1:$99),1),";")),"",ROW($1:$99)+1),COLUMN(K19)),SMALL(IF(ISERROR(SEARCH(MID(";"&amp;'CASE DATA'!$F19&amp;";",ROW($1:$99),1),";")),"",ROW($1:$99)),COLUMN(K18)+1)-SMALL(IF(ISERROR(SEARCH(MID(";"&amp;'CASE DATA'!$F19&amp;";",ROW($1:$99),1),";")),"",ROW($1:$99)),COLUMN(K18))-1)</f>
        <v/>
      </c>
      <c r="AH19" s="75" t="str" cm="1">
        <f t="array" ref="AH19">MID(";"&amp;'CASE DATA'!$F19&amp;";",SMALL(IF(ISERROR(SEARCH(MID(";"&amp;'CASE DATA'!$F19&amp;";",ROW($1:$99),1),";")),"",ROW($1:$99)+1),COLUMN(L19)),SMALL(IF(ISERROR(SEARCH(MID(";"&amp;'CASE DATA'!$F19&amp;";",ROW($1:$99),1),";")),"",ROW($1:$99)),COLUMN(L18)+1)-SMALL(IF(ISERROR(SEARCH(MID(";"&amp;'CASE DATA'!$F19&amp;";",ROW($1:$99),1),";")),"",ROW($1:$99)),COLUMN(L18))-1)</f>
        <v/>
      </c>
      <c r="AI19" s="75" t="str" cm="1">
        <f t="array" ref="AI19">MID(";"&amp;'CASE DATA'!$F19&amp;";",SMALL(IF(ISERROR(SEARCH(MID(";"&amp;'CASE DATA'!$F19&amp;";",ROW($1:$99),1),";")),"",ROW($1:$99)+1),COLUMN(M19)),SMALL(IF(ISERROR(SEARCH(MID(";"&amp;'CASE DATA'!$F19&amp;";",ROW($1:$99),1),";")),"",ROW($1:$99)),COLUMN(M18)+1)-SMALL(IF(ISERROR(SEARCH(MID(";"&amp;'CASE DATA'!$F19&amp;";",ROW($1:$99),1),";")),"",ROW($1:$99)),COLUMN(M18))-1)</f>
        <v/>
      </c>
      <c r="BO19" s="99"/>
      <c r="BP19" s="99"/>
      <c r="BQ19" s="99"/>
      <c r="BR19" s="99"/>
      <c r="BS19" s="99"/>
      <c r="BT19" s="99"/>
      <c r="BU19" s="99"/>
      <c r="BV19" s="99"/>
      <c r="BW19" s="99"/>
      <c r="BX19" s="99"/>
      <c r="BY19" s="99"/>
      <c r="BZ19" s="99"/>
      <c r="CA19" s="99"/>
      <c r="CB19" s="99"/>
      <c r="CC19" s="99"/>
      <c r="CD19" s="99"/>
      <c r="CE19" s="99"/>
      <c r="CF19" s="99"/>
      <c r="CG19" s="99"/>
      <c r="CH19" s="99"/>
      <c r="CI19" s="99"/>
      <c r="CJ19" s="99"/>
      <c r="CK19" s="99"/>
      <c r="CL19" s="99"/>
      <c r="CM19" s="99"/>
      <c r="CN19" s="99"/>
      <c r="CO19" s="99"/>
      <c r="CP19" s="99"/>
      <c r="CQ19" s="99"/>
      <c r="CR19" s="99"/>
      <c r="CS19" s="99"/>
      <c r="CT19" s="99"/>
      <c r="CU19" s="99"/>
      <c r="CV19" s="99"/>
      <c r="CW19" s="99"/>
      <c r="CX19" s="99"/>
      <c r="CY19" s="99"/>
      <c r="CZ19" s="99"/>
      <c r="DA19" s="99"/>
      <c r="DB19" s="99"/>
      <c r="DC19" s="99"/>
      <c r="DD19" s="99"/>
      <c r="DE19" s="99"/>
      <c r="DF19" s="99"/>
      <c r="DG19" s="99"/>
      <c r="DH19" s="99"/>
      <c r="DI19" s="99"/>
      <c r="DJ19" s="99"/>
      <c r="DK19" s="99"/>
      <c r="DL19" s="99"/>
      <c r="DM19" s="99"/>
      <c r="DN19" s="99"/>
      <c r="DO19" s="99"/>
      <c r="DP19" s="99"/>
      <c r="DQ19" s="99"/>
      <c r="DR19" s="99"/>
      <c r="DS19" s="99"/>
      <c r="DT19" s="99"/>
      <c r="DU19" s="99"/>
      <c r="DV19" s="99"/>
      <c r="DW19" s="99"/>
      <c r="DX19" s="99"/>
      <c r="DY19" s="99"/>
      <c r="DZ19" s="99"/>
      <c r="EA19" s="99"/>
      <c r="EB19" s="99"/>
      <c r="EC19" s="99"/>
      <c r="ED19" s="99"/>
      <c r="EE19" s="99"/>
      <c r="EF19" s="99"/>
      <c r="EG19" s="99"/>
      <c r="EH19" s="99"/>
      <c r="EI19" s="99"/>
      <c r="EJ19" s="99"/>
      <c r="EK19" s="99"/>
      <c r="EL19" s="99"/>
      <c r="EM19" s="99"/>
      <c r="EN19" s="99"/>
      <c r="EO19" s="99"/>
      <c r="EP19" s="99"/>
      <c r="EQ19" s="99"/>
      <c r="ER19" s="99"/>
      <c r="ES19" s="99"/>
      <c r="ET19" s="99"/>
      <c r="EU19" s="99"/>
      <c r="EV19" s="99"/>
      <c r="EW19" s="99"/>
      <c r="EX19" s="99"/>
      <c r="EY19" s="99"/>
      <c r="EZ19" s="99"/>
      <c r="FA19" s="99"/>
      <c r="FB19" s="99"/>
      <c r="FC19" s="99"/>
      <c r="FD19" s="99"/>
      <c r="FE19" s="99"/>
      <c r="FF19" s="99"/>
      <c r="FG19" s="99"/>
      <c r="FH19" s="99"/>
      <c r="FI19" s="99"/>
      <c r="FJ19" s="99"/>
      <c r="FK19" s="99"/>
    </row>
    <row r="20" spans="1:167" x14ac:dyDescent="0.25">
      <c r="A20" s="11"/>
      <c r="C20" s="10"/>
      <c r="D20" s="10"/>
      <c r="E20" s="11"/>
      <c r="F20" s="15"/>
      <c r="J20" s="99">
        <v>17</v>
      </c>
      <c r="K20" s="16"/>
      <c r="L20" s="16"/>
      <c r="M20" s="16"/>
      <c r="N20" s="16"/>
      <c r="O20" s="16"/>
      <c r="P20" s="16"/>
      <c r="Q20" s="16"/>
      <c r="R20" s="16"/>
      <c r="S20" s="16"/>
      <c r="T20" s="16"/>
      <c r="U20" s="14">
        <f>SUM(K20:T20)</f>
        <v>0</v>
      </c>
      <c r="V20" s="14"/>
      <c r="X20" s="75" t="str" cm="1">
        <f t="array" ref="X20">MID(";"&amp;'CASE DATA'!$F20&amp;";",SMALL(IF(ISERROR(SEARCH(MID(";"&amp;'CASE DATA'!$F20&amp;";",ROW($1:$99),1),";")),"",ROW($1:$99)+1),COLUMN(A20)),SMALL(IF(ISERROR(SEARCH(MID(";"&amp;'CASE DATA'!$F20&amp;";",ROW($1:$99),1),";")),"",ROW($1:$99)),COLUMN(A19)+1)-SMALL(IF(ISERROR(SEARCH(MID(";"&amp;'CASE DATA'!$F20&amp;";",ROW($1:$99),1),";")),"",ROW($1:$99)),COLUMN(A19))-1)</f>
        <v/>
      </c>
      <c r="Y20" s="75" t="str" cm="1">
        <f t="array" ref="Y20">MID(";"&amp;'CASE DATA'!$F20&amp;";",SMALL(IF(ISERROR(SEARCH(MID(";"&amp;'CASE DATA'!$F20&amp;";",ROW($1:$99),1),";")),"",ROW($1:$99)+1),COLUMN(B20)),SMALL(IF(ISERROR(SEARCH(MID(";"&amp;'CASE DATA'!$F20&amp;";",ROW($1:$99),1),";")),"",ROW($1:$99)),COLUMN(B19)+1)-SMALL(IF(ISERROR(SEARCH(MID(";"&amp;'CASE DATA'!$F20&amp;";",ROW($1:$99),1),";")),"",ROW($1:$99)),COLUMN(B19))-1)</f>
        <v/>
      </c>
      <c r="Z20" s="75" t="str" cm="1">
        <f t="array" ref="Z20">MID(";"&amp;'CASE DATA'!$F20&amp;";",SMALL(IF(ISERROR(SEARCH(MID(";"&amp;'CASE DATA'!$F20&amp;";",ROW($1:$99),1),";")),"",ROW($1:$99)+1),COLUMN(C20)),SMALL(IF(ISERROR(SEARCH(MID(";"&amp;'CASE DATA'!$F20&amp;";",ROW($1:$99),1),";")),"",ROW($1:$99)),COLUMN(C19)+1)-SMALL(IF(ISERROR(SEARCH(MID(";"&amp;'CASE DATA'!$F20&amp;";",ROW($1:$99),1),";")),"",ROW($1:$99)),COLUMN(C19))-1)</f>
        <v/>
      </c>
      <c r="AA20" s="75" t="str" cm="1">
        <f t="array" ref="AA20">MID(";"&amp;'CASE DATA'!$F20&amp;";",SMALL(IF(ISERROR(SEARCH(MID(";"&amp;'CASE DATA'!$F20&amp;";",ROW($1:$99),1),";")),"",ROW($1:$99)+1),COLUMN(D20)),SMALL(IF(ISERROR(SEARCH(MID(";"&amp;'CASE DATA'!$F20&amp;";",ROW($1:$99),1),";")),"",ROW($1:$99)),COLUMN(D19)+1)-SMALL(IF(ISERROR(SEARCH(MID(";"&amp;'CASE DATA'!$F20&amp;";",ROW($1:$99),1),";")),"",ROW($1:$99)),COLUMN(D19))-1)</f>
        <v/>
      </c>
      <c r="AB20" s="75" t="str" cm="1">
        <f t="array" ref="AB20">MID(";"&amp;'CASE DATA'!$F20&amp;";",SMALL(IF(ISERROR(SEARCH(MID(";"&amp;'CASE DATA'!$F20&amp;";",ROW($1:$99),1),";")),"",ROW($1:$99)+1),COLUMN(E20)),SMALL(IF(ISERROR(SEARCH(MID(";"&amp;'CASE DATA'!$F20&amp;";",ROW($1:$99),1),";")),"",ROW($1:$99)),COLUMN(E19)+1)-SMALL(IF(ISERROR(SEARCH(MID(";"&amp;'CASE DATA'!$F20&amp;";",ROW($1:$99),1),";")),"",ROW($1:$99)),COLUMN(E19))-1)</f>
        <v/>
      </c>
      <c r="AC20" s="75" t="str" cm="1">
        <f t="array" ref="AC20">MID(";"&amp;'CASE DATA'!$F20&amp;";",SMALL(IF(ISERROR(SEARCH(MID(";"&amp;'CASE DATA'!$F20&amp;";",ROW($1:$99),1),";")),"",ROW($1:$99)+1),COLUMN(F20)),SMALL(IF(ISERROR(SEARCH(MID(";"&amp;'CASE DATA'!$F20&amp;";",ROW($1:$99),1),";")),"",ROW($1:$99)),COLUMN(F19)+1)-SMALL(IF(ISERROR(SEARCH(MID(";"&amp;'CASE DATA'!$F20&amp;";",ROW($1:$99),1),";")),"",ROW($1:$99)),COLUMN(F19))-1)</f>
        <v/>
      </c>
      <c r="AD20" s="75" t="str" cm="1">
        <f t="array" ref="AD20">MID(";"&amp;'CASE DATA'!$F20&amp;";",SMALL(IF(ISERROR(SEARCH(MID(";"&amp;'CASE DATA'!$F20&amp;";",ROW($1:$99),1),";")),"",ROW($1:$99)+1),COLUMN(G20)),SMALL(IF(ISERROR(SEARCH(MID(";"&amp;'CASE DATA'!$F20&amp;";",ROW($1:$99),1),";")),"",ROW($1:$99)),COLUMN(G19)+1)-SMALL(IF(ISERROR(SEARCH(MID(";"&amp;'CASE DATA'!$F20&amp;";",ROW($1:$99),1),";")),"",ROW($1:$99)),COLUMN(G19))-1)</f>
        <v/>
      </c>
      <c r="AE20" s="75" t="str" cm="1">
        <f t="array" ref="AE20">MID(";"&amp;'CASE DATA'!$F20&amp;";",SMALL(IF(ISERROR(SEARCH(MID(";"&amp;'CASE DATA'!$F20&amp;";",ROW($1:$99),1),";")),"",ROW($1:$99)+1),COLUMN(H20)),SMALL(IF(ISERROR(SEARCH(MID(";"&amp;'CASE DATA'!$F20&amp;";",ROW($1:$99),1),";")),"",ROW($1:$99)),COLUMN(H19)+1)-SMALL(IF(ISERROR(SEARCH(MID(";"&amp;'CASE DATA'!$F20&amp;";",ROW($1:$99),1),";")),"",ROW($1:$99)),COLUMN(H19))-1)</f>
        <v/>
      </c>
      <c r="AF20" s="75" t="str" cm="1">
        <f t="array" ref="AF20">MID(";"&amp;'CASE DATA'!$F20&amp;";",SMALL(IF(ISERROR(SEARCH(MID(";"&amp;'CASE DATA'!$F20&amp;";",ROW($1:$99),1),";")),"",ROW($1:$99)+1),COLUMN(I20)),SMALL(IF(ISERROR(SEARCH(MID(";"&amp;'CASE DATA'!$F20&amp;";",ROW($1:$99),1),";")),"",ROW($1:$99)),COLUMN(I19)+1)-SMALL(IF(ISERROR(SEARCH(MID(";"&amp;'CASE DATA'!$F20&amp;";",ROW($1:$99),1),";")),"",ROW($1:$99)),COLUMN(I19))-1)</f>
        <v/>
      </c>
      <c r="AG20" s="75" t="str" cm="1">
        <f t="array" ref="AG20">MID(";"&amp;'CASE DATA'!$F20&amp;";",SMALL(IF(ISERROR(SEARCH(MID(";"&amp;'CASE DATA'!$F20&amp;";",ROW($1:$99),1),";")),"",ROW($1:$99)+1),COLUMN(K20)),SMALL(IF(ISERROR(SEARCH(MID(";"&amp;'CASE DATA'!$F20&amp;";",ROW($1:$99),1),";")),"",ROW($1:$99)),COLUMN(K19)+1)-SMALL(IF(ISERROR(SEARCH(MID(";"&amp;'CASE DATA'!$F20&amp;";",ROW($1:$99),1),";")),"",ROW($1:$99)),COLUMN(K19))-1)</f>
        <v/>
      </c>
      <c r="AH20" s="75" t="str" cm="1">
        <f t="array" ref="AH20">MID(";"&amp;'CASE DATA'!$F20&amp;";",SMALL(IF(ISERROR(SEARCH(MID(";"&amp;'CASE DATA'!$F20&amp;";",ROW($1:$99),1),";")),"",ROW($1:$99)+1),COLUMN(L20)),SMALL(IF(ISERROR(SEARCH(MID(";"&amp;'CASE DATA'!$F20&amp;";",ROW($1:$99),1),";")),"",ROW($1:$99)),COLUMN(L19)+1)-SMALL(IF(ISERROR(SEARCH(MID(";"&amp;'CASE DATA'!$F20&amp;";",ROW($1:$99),1),";")),"",ROW($1:$99)),COLUMN(L19))-1)</f>
        <v/>
      </c>
      <c r="AI20" s="75" t="str" cm="1">
        <f t="array" ref="AI20">MID(";"&amp;'CASE DATA'!$F20&amp;";",SMALL(IF(ISERROR(SEARCH(MID(";"&amp;'CASE DATA'!$F20&amp;";",ROW($1:$99),1),";")),"",ROW($1:$99)+1),COLUMN(M20)),SMALL(IF(ISERROR(SEARCH(MID(";"&amp;'CASE DATA'!$F20&amp;";",ROW($1:$99),1),";")),"",ROW($1:$99)),COLUMN(M19)+1)-SMALL(IF(ISERROR(SEARCH(MID(";"&amp;'CASE DATA'!$F20&amp;";",ROW($1:$99),1),";")),"",ROW($1:$99)),COLUMN(M19))-1)</f>
        <v/>
      </c>
      <c r="BO20" s="99"/>
      <c r="BP20" s="99"/>
      <c r="BQ20" s="99"/>
      <c r="BR20" s="99"/>
      <c r="BS20" s="99"/>
      <c r="BT20" s="99"/>
      <c r="BU20" s="99"/>
      <c r="BV20" s="99"/>
      <c r="BW20" s="99"/>
      <c r="BX20" s="99"/>
      <c r="BY20" s="99"/>
      <c r="BZ20" s="99"/>
      <c r="CA20" s="99"/>
      <c r="CB20" s="99"/>
      <c r="CC20" s="99"/>
      <c r="CD20" s="99"/>
      <c r="CE20" s="99"/>
      <c r="CF20" s="99"/>
      <c r="CG20" s="99"/>
      <c r="CH20" s="99"/>
      <c r="CI20" s="99"/>
      <c r="CJ20" s="99"/>
      <c r="CK20" s="99"/>
      <c r="CL20" s="99"/>
      <c r="CM20" s="99"/>
      <c r="CN20" s="99"/>
      <c r="CO20" s="99"/>
      <c r="CP20" s="99"/>
      <c r="CQ20" s="99"/>
      <c r="CR20" s="99"/>
      <c r="CS20" s="99"/>
      <c r="CT20" s="99"/>
      <c r="CU20" s="99"/>
      <c r="CV20" s="99"/>
      <c r="CW20" s="99"/>
      <c r="CX20" s="99"/>
      <c r="CY20" s="99"/>
      <c r="CZ20" s="99"/>
      <c r="DA20" s="99"/>
      <c r="DB20" s="99"/>
      <c r="DC20" s="99"/>
      <c r="DD20" s="99"/>
      <c r="DE20" s="99"/>
      <c r="DF20" s="99"/>
      <c r="DG20" s="99"/>
      <c r="DH20" s="99"/>
      <c r="DI20" s="99"/>
      <c r="DJ20" s="99"/>
      <c r="DK20" s="99"/>
      <c r="DL20" s="99"/>
      <c r="DM20" s="99"/>
      <c r="DN20" s="99"/>
      <c r="DO20" s="99"/>
      <c r="DP20" s="99"/>
      <c r="DQ20" s="99"/>
      <c r="DR20" s="99"/>
      <c r="DS20" s="99"/>
      <c r="DT20" s="99"/>
      <c r="DU20" s="99"/>
      <c r="DV20" s="99"/>
      <c r="DW20" s="99"/>
      <c r="DX20" s="99"/>
      <c r="DY20" s="99"/>
      <c r="DZ20" s="99"/>
      <c r="EA20" s="99"/>
      <c r="EB20" s="99"/>
      <c r="EC20" s="99"/>
      <c r="ED20" s="99"/>
      <c r="EE20" s="99"/>
      <c r="EF20" s="99"/>
      <c r="EG20" s="99"/>
      <c r="EH20" s="99"/>
      <c r="EI20" s="99"/>
      <c r="EJ20" s="99"/>
      <c r="EK20" s="99"/>
      <c r="EL20" s="99"/>
      <c r="EM20" s="99"/>
      <c r="EN20" s="99"/>
      <c r="EO20" s="99"/>
      <c r="EP20" s="99"/>
      <c r="EQ20" s="99"/>
      <c r="ER20" s="99"/>
      <c r="ES20" s="99"/>
      <c r="ET20" s="99"/>
      <c r="EU20" s="99"/>
      <c r="EV20" s="99"/>
      <c r="EW20" s="99"/>
      <c r="EX20" s="99"/>
      <c r="EY20" s="99"/>
      <c r="EZ20" s="99"/>
      <c r="FA20" s="99"/>
      <c r="FB20" s="99"/>
      <c r="FC20" s="99"/>
      <c r="FD20" s="99"/>
      <c r="FE20" s="99"/>
      <c r="FF20" s="99"/>
      <c r="FG20" s="99"/>
      <c r="FH20" s="99"/>
      <c r="FI20" s="99"/>
      <c r="FJ20" s="99"/>
      <c r="FK20" s="99"/>
    </row>
    <row r="21" spans="1:167" x14ac:dyDescent="0.25">
      <c r="C21" s="10"/>
      <c r="D21" s="10"/>
      <c r="E21" s="11"/>
      <c r="F21" s="15"/>
      <c r="J21" s="99">
        <v>18</v>
      </c>
      <c r="K21" s="16"/>
      <c r="L21" s="16"/>
      <c r="M21" s="16"/>
      <c r="N21" s="16"/>
      <c r="O21" s="16"/>
      <c r="P21" s="16"/>
      <c r="Q21" s="16"/>
      <c r="R21" s="16"/>
      <c r="S21" s="16"/>
      <c r="T21" s="16"/>
      <c r="U21" s="14">
        <f>SUM(K21:T21)</f>
        <v>0</v>
      </c>
      <c r="V21" s="14"/>
      <c r="X21" s="75" t="str" cm="1">
        <f t="array" ref="X21">MID(";"&amp;'CASE DATA'!$F21&amp;";",SMALL(IF(ISERROR(SEARCH(MID(";"&amp;'CASE DATA'!$F21&amp;";",ROW($1:$99),1),";")),"",ROW($1:$99)+1),COLUMN(A21)),SMALL(IF(ISERROR(SEARCH(MID(";"&amp;'CASE DATA'!$F21&amp;";",ROW($1:$99),1),";")),"",ROW($1:$99)),COLUMN(A20)+1)-SMALL(IF(ISERROR(SEARCH(MID(";"&amp;'CASE DATA'!$F21&amp;";",ROW($1:$99),1),";")),"",ROW($1:$99)),COLUMN(A20))-1)</f>
        <v/>
      </c>
      <c r="Y21" s="75" t="str" cm="1">
        <f t="array" ref="Y21">MID(";"&amp;'CASE DATA'!$F21&amp;";",SMALL(IF(ISERROR(SEARCH(MID(";"&amp;'CASE DATA'!$F21&amp;";",ROW($1:$99),1),";")),"",ROW($1:$99)+1),COLUMN(B21)),SMALL(IF(ISERROR(SEARCH(MID(";"&amp;'CASE DATA'!$F21&amp;";",ROW($1:$99),1),";")),"",ROW($1:$99)),COLUMN(B20)+1)-SMALL(IF(ISERROR(SEARCH(MID(";"&amp;'CASE DATA'!$F21&amp;";",ROW($1:$99),1),";")),"",ROW($1:$99)),COLUMN(B20))-1)</f>
        <v/>
      </c>
      <c r="Z21" s="75" t="str" cm="1">
        <f t="array" ref="Z21">MID(";"&amp;'CASE DATA'!$F21&amp;";",SMALL(IF(ISERROR(SEARCH(MID(";"&amp;'CASE DATA'!$F21&amp;";",ROW($1:$99),1),";")),"",ROW($1:$99)+1),COLUMN(C21)),SMALL(IF(ISERROR(SEARCH(MID(";"&amp;'CASE DATA'!$F21&amp;";",ROW($1:$99),1),";")),"",ROW($1:$99)),COLUMN(C20)+1)-SMALL(IF(ISERROR(SEARCH(MID(";"&amp;'CASE DATA'!$F21&amp;";",ROW($1:$99),1),";")),"",ROW($1:$99)),COLUMN(C20))-1)</f>
        <v/>
      </c>
      <c r="AA21" s="75" t="str" cm="1">
        <f t="array" ref="AA21">MID(";"&amp;'CASE DATA'!$F21&amp;";",SMALL(IF(ISERROR(SEARCH(MID(";"&amp;'CASE DATA'!$F21&amp;";",ROW($1:$99),1),";")),"",ROW($1:$99)+1),COLUMN(D21)),SMALL(IF(ISERROR(SEARCH(MID(";"&amp;'CASE DATA'!$F21&amp;";",ROW($1:$99),1),";")),"",ROW($1:$99)),COLUMN(D20)+1)-SMALL(IF(ISERROR(SEARCH(MID(";"&amp;'CASE DATA'!$F21&amp;";",ROW($1:$99),1),";")),"",ROW($1:$99)),COLUMN(D20))-1)</f>
        <v/>
      </c>
      <c r="AB21" s="75" t="str" cm="1">
        <f t="array" ref="AB21">MID(";"&amp;'CASE DATA'!$F21&amp;";",SMALL(IF(ISERROR(SEARCH(MID(";"&amp;'CASE DATA'!$F21&amp;";",ROW($1:$99),1),";")),"",ROW($1:$99)+1),COLUMN(E21)),SMALL(IF(ISERROR(SEARCH(MID(";"&amp;'CASE DATA'!$F21&amp;";",ROW($1:$99),1),";")),"",ROW($1:$99)),COLUMN(E20)+1)-SMALL(IF(ISERROR(SEARCH(MID(";"&amp;'CASE DATA'!$F21&amp;";",ROW($1:$99),1),";")),"",ROW($1:$99)),COLUMN(E20))-1)</f>
        <v/>
      </c>
      <c r="AC21" s="75" t="str" cm="1">
        <f t="array" ref="AC21">MID(";"&amp;'CASE DATA'!$F21&amp;";",SMALL(IF(ISERROR(SEARCH(MID(";"&amp;'CASE DATA'!$F21&amp;";",ROW($1:$99),1),";")),"",ROW($1:$99)+1),COLUMN(F21)),SMALL(IF(ISERROR(SEARCH(MID(";"&amp;'CASE DATA'!$F21&amp;";",ROW($1:$99),1),";")),"",ROW($1:$99)),COLUMN(F20)+1)-SMALL(IF(ISERROR(SEARCH(MID(";"&amp;'CASE DATA'!$F21&amp;";",ROW($1:$99),1),";")),"",ROW($1:$99)),COLUMN(F20))-1)</f>
        <v/>
      </c>
      <c r="AD21" s="75" t="str" cm="1">
        <f t="array" ref="AD21">MID(";"&amp;'CASE DATA'!$F21&amp;";",SMALL(IF(ISERROR(SEARCH(MID(";"&amp;'CASE DATA'!$F21&amp;";",ROW($1:$99),1),";")),"",ROW($1:$99)+1),COLUMN(G21)),SMALL(IF(ISERROR(SEARCH(MID(";"&amp;'CASE DATA'!$F21&amp;";",ROW($1:$99),1),";")),"",ROW($1:$99)),COLUMN(G20)+1)-SMALL(IF(ISERROR(SEARCH(MID(";"&amp;'CASE DATA'!$F21&amp;";",ROW($1:$99),1),";")),"",ROW($1:$99)),COLUMN(G20))-1)</f>
        <v/>
      </c>
      <c r="AE21" s="75" t="str" cm="1">
        <f t="array" ref="AE21">MID(";"&amp;'CASE DATA'!$F21&amp;";",SMALL(IF(ISERROR(SEARCH(MID(";"&amp;'CASE DATA'!$F21&amp;";",ROW($1:$99),1),";")),"",ROW($1:$99)+1),COLUMN(H21)),SMALL(IF(ISERROR(SEARCH(MID(";"&amp;'CASE DATA'!$F21&amp;";",ROW($1:$99),1),";")),"",ROW($1:$99)),COLUMN(H20)+1)-SMALL(IF(ISERROR(SEARCH(MID(";"&amp;'CASE DATA'!$F21&amp;";",ROW($1:$99),1),";")),"",ROW($1:$99)),COLUMN(H20))-1)</f>
        <v/>
      </c>
      <c r="AF21" s="75" t="str" cm="1">
        <f t="array" ref="AF21">MID(";"&amp;'CASE DATA'!$F21&amp;";",SMALL(IF(ISERROR(SEARCH(MID(";"&amp;'CASE DATA'!$F21&amp;";",ROW($1:$99),1),";")),"",ROW($1:$99)+1),COLUMN(I21)),SMALL(IF(ISERROR(SEARCH(MID(";"&amp;'CASE DATA'!$F21&amp;";",ROW($1:$99),1),";")),"",ROW($1:$99)),COLUMN(I20)+1)-SMALL(IF(ISERROR(SEARCH(MID(";"&amp;'CASE DATA'!$F21&amp;";",ROW($1:$99),1),";")),"",ROW($1:$99)),COLUMN(I20))-1)</f>
        <v/>
      </c>
      <c r="AG21" s="75" t="str" cm="1">
        <f t="array" ref="AG21">MID(";"&amp;'CASE DATA'!$F21&amp;";",SMALL(IF(ISERROR(SEARCH(MID(";"&amp;'CASE DATA'!$F21&amp;";",ROW($1:$99),1),";")),"",ROW($1:$99)+1),COLUMN(K21)),SMALL(IF(ISERROR(SEARCH(MID(";"&amp;'CASE DATA'!$F21&amp;";",ROW($1:$99),1),";")),"",ROW($1:$99)),COLUMN(K20)+1)-SMALL(IF(ISERROR(SEARCH(MID(";"&amp;'CASE DATA'!$F21&amp;";",ROW($1:$99),1),";")),"",ROW($1:$99)),COLUMN(K20))-1)</f>
        <v/>
      </c>
      <c r="AH21" s="75" t="str" cm="1">
        <f t="array" ref="AH21">MID(";"&amp;'CASE DATA'!$F21&amp;";",SMALL(IF(ISERROR(SEARCH(MID(";"&amp;'CASE DATA'!$F21&amp;";",ROW($1:$99),1),";")),"",ROW($1:$99)+1),COLUMN(L21)),SMALL(IF(ISERROR(SEARCH(MID(";"&amp;'CASE DATA'!$F21&amp;";",ROW($1:$99),1),";")),"",ROW($1:$99)),COLUMN(L20)+1)-SMALL(IF(ISERROR(SEARCH(MID(";"&amp;'CASE DATA'!$F21&amp;";",ROW($1:$99),1),";")),"",ROW($1:$99)),COLUMN(L20))-1)</f>
        <v/>
      </c>
      <c r="AI21" s="75" t="str" cm="1">
        <f t="array" ref="AI21">MID(";"&amp;'CASE DATA'!$F21&amp;";",SMALL(IF(ISERROR(SEARCH(MID(";"&amp;'CASE DATA'!$F21&amp;";",ROW($1:$99),1),";")),"",ROW($1:$99)+1),COLUMN(M21)),SMALL(IF(ISERROR(SEARCH(MID(";"&amp;'CASE DATA'!$F21&amp;";",ROW($1:$99),1),";")),"",ROW($1:$99)),COLUMN(M20)+1)-SMALL(IF(ISERROR(SEARCH(MID(";"&amp;'CASE DATA'!$F21&amp;";",ROW($1:$99),1),";")),"",ROW($1:$99)),COLUMN(M20))-1)</f>
        <v/>
      </c>
      <c r="BO21" s="99"/>
      <c r="BP21" s="99"/>
      <c r="BQ21" s="99"/>
      <c r="BR21" s="99"/>
      <c r="BS21" s="99"/>
      <c r="BT21" s="99"/>
      <c r="BU21" s="99"/>
      <c r="BV21" s="99"/>
      <c r="BW21" s="99"/>
      <c r="BX21" s="99"/>
      <c r="BY21" s="99"/>
      <c r="BZ21" s="99"/>
      <c r="CA21" s="99"/>
      <c r="CB21" s="99"/>
      <c r="CC21" s="99"/>
      <c r="CD21" s="99"/>
      <c r="CE21" s="99"/>
      <c r="CF21" s="99"/>
      <c r="CG21" s="99"/>
      <c r="CH21" s="99"/>
      <c r="CI21" s="99"/>
      <c r="CJ21" s="99"/>
      <c r="CK21" s="99"/>
      <c r="CL21" s="99"/>
      <c r="CM21" s="99"/>
      <c r="CN21" s="99"/>
      <c r="CO21" s="99"/>
      <c r="CP21" s="99"/>
      <c r="CQ21" s="99"/>
      <c r="CR21" s="99"/>
      <c r="CS21" s="99"/>
      <c r="CT21" s="99"/>
      <c r="CU21" s="99"/>
      <c r="CV21" s="99"/>
      <c r="CW21" s="99"/>
      <c r="CX21" s="99"/>
      <c r="CY21" s="99"/>
      <c r="CZ21" s="99"/>
      <c r="DA21" s="99"/>
      <c r="DB21" s="99"/>
      <c r="DC21" s="99"/>
      <c r="DD21" s="99"/>
      <c r="DE21" s="99"/>
      <c r="DF21" s="99"/>
      <c r="DG21" s="99"/>
      <c r="DH21" s="99"/>
      <c r="DI21" s="99"/>
      <c r="DJ21" s="99"/>
      <c r="DK21" s="99"/>
      <c r="DL21" s="99"/>
      <c r="DM21" s="99"/>
      <c r="DN21" s="99"/>
      <c r="DO21" s="99"/>
      <c r="DP21" s="99"/>
      <c r="DQ21" s="99"/>
      <c r="DR21" s="99"/>
      <c r="DS21" s="99"/>
      <c r="DT21" s="99"/>
      <c r="DU21" s="99"/>
      <c r="DV21" s="99"/>
      <c r="DW21" s="99"/>
      <c r="DX21" s="99"/>
      <c r="DY21" s="99"/>
      <c r="DZ21" s="99"/>
      <c r="EA21" s="99"/>
      <c r="EB21" s="99"/>
      <c r="EC21" s="99"/>
      <c r="ED21" s="99"/>
      <c r="EE21" s="99"/>
      <c r="EF21" s="99"/>
      <c r="EG21" s="99"/>
      <c r="EH21" s="99"/>
      <c r="EI21" s="99"/>
      <c r="EJ21" s="99"/>
      <c r="EK21" s="99"/>
      <c r="EL21" s="99"/>
      <c r="EM21" s="99"/>
      <c r="EN21" s="99"/>
      <c r="EO21" s="99"/>
      <c r="EP21" s="99"/>
      <c r="EQ21" s="99"/>
      <c r="ER21" s="99"/>
      <c r="ES21" s="99"/>
      <c r="ET21" s="99"/>
      <c r="EU21" s="99"/>
      <c r="EV21" s="99"/>
      <c r="EW21" s="99"/>
      <c r="EX21" s="99"/>
      <c r="EY21" s="99"/>
      <c r="EZ21" s="99"/>
      <c r="FA21" s="99"/>
      <c r="FB21" s="99"/>
      <c r="FC21" s="99"/>
      <c r="FD21" s="99"/>
      <c r="FE21" s="99"/>
      <c r="FF21" s="99"/>
      <c r="FG21" s="99"/>
      <c r="FH21" s="99"/>
      <c r="FI21" s="99"/>
      <c r="FJ21" s="99"/>
      <c r="FK21" s="99"/>
    </row>
    <row r="22" spans="1:167" x14ac:dyDescent="0.25">
      <c r="C22" s="10"/>
      <c r="D22" s="10"/>
      <c r="E22" s="11"/>
      <c r="F22" s="15"/>
      <c r="J22" s="99">
        <v>19</v>
      </c>
      <c r="K22" s="16"/>
      <c r="L22" s="16"/>
      <c r="M22" s="16"/>
      <c r="N22" s="16"/>
      <c r="O22" s="16"/>
      <c r="P22" s="16"/>
      <c r="Q22" s="16"/>
      <c r="R22" s="16"/>
      <c r="S22" s="16"/>
      <c r="T22" s="16"/>
      <c r="U22" s="14">
        <f>SUM(K22:T22)</f>
        <v>0</v>
      </c>
      <c r="V22" s="14"/>
      <c r="X22" s="75" t="str" cm="1">
        <f t="array" ref="X22">MID(";"&amp;'CASE DATA'!$F22&amp;";",SMALL(IF(ISERROR(SEARCH(MID(";"&amp;'CASE DATA'!$F22&amp;";",ROW($1:$99),1),";")),"",ROW($1:$99)+1),COLUMN(A22)),SMALL(IF(ISERROR(SEARCH(MID(";"&amp;'CASE DATA'!$F22&amp;";",ROW($1:$99),1),";")),"",ROW($1:$99)),COLUMN(A21)+1)-SMALL(IF(ISERROR(SEARCH(MID(";"&amp;'CASE DATA'!$F22&amp;";",ROW($1:$99),1),";")),"",ROW($1:$99)),COLUMN(A21))-1)</f>
        <v/>
      </c>
      <c r="Y22" s="75" t="str" cm="1">
        <f t="array" ref="Y22">MID(";"&amp;'CASE DATA'!$F22&amp;";",SMALL(IF(ISERROR(SEARCH(MID(";"&amp;'CASE DATA'!$F22&amp;";",ROW($1:$99),1),";")),"",ROW($1:$99)+1),COLUMN(B22)),SMALL(IF(ISERROR(SEARCH(MID(";"&amp;'CASE DATA'!$F22&amp;";",ROW($1:$99),1),";")),"",ROW($1:$99)),COLUMN(B21)+1)-SMALL(IF(ISERROR(SEARCH(MID(";"&amp;'CASE DATA'!$F22&amp;";",ROW($1:$99),1),";")),"",ROW($1:$99)),COLUMN(B21))-1)</f>
        <v/>
      </c>
      <c r="Z22" s="75" t="str" cm="1">
        <f t="array" ref="Z22">MID(";"&amp;'CASE DATA'!$F22&amp;";",SMALL(IF(ISERROR(SEARCH(MID(";"&amp;'CASE DATA'!$F22&amp;";",ROW($1:$99),1),";")),"",ROW($1:$99)+1),COLUMN(C22)),SMALL(IF(ISERROR(SEARCH(MID(";"&amp;'CASE DATA'!$F22&amp;";",ROW($1:$99),1),";")),"",ROW($1:$99)),COLUMN(C21)+1)-SMALL(IF(ISERROR(SEARCH(MID(";"&amp;'CASE DATA'!$F22&amp;";",ROW($1:$99),1),";")),"",ROW($1:$99)),COLUMN(C21))-1)</f>
        <v/>
      </c>
      <c r="AA22" s="75" t="str" cm="1">
        <f t="array" ref="AA22">MID(";"&amp;'CASE DATA'!$F22&amp;";",SMALL(IF(ISERROR(SEARCH(MID(";"&amp;'CASE DATA'!$F22&amp;";",ROW($1:$99),1),";")),"",ROW($1:$99)+1),COLUMN(D22)),SMALL(IF(ISERROR(SEARCH(MID(";"&amp;'CASE DATA'!$F22&amp;";",ROW($1:$99),1),";")),"",ROW($1:$99)),COLUMN(D21)+1)-SMALL(IF(ISERROR(SEARCH(MID(";"&amp;'CASE DATA'!$F22&amp;";",ROW($1:$99),1),";")),"",ROW($1:$99)),COLUMN(D21))-1)</f>
        <v/>
      </c>
      <c r="AB22" s="75" t="str" cm="1">
        <f t="array" ref="AB22">MID(";"&amp;'CASE DATA'!$F22&amp;";",SMALL(IF(ISERROR(SEARCH(MID(";"&amp;'CASE DATA'!$F22&amp;";",ROW($1:$99),1),";")),"",ROW($1:$99)+1),COLUMN(E22)),SMALL(IF(ISERROR(SEARCH(MID(";"&amp;'CASE DATA'!$F22&amp;";",ROW($1:$99),1),";")),"",ROW($1:$99)),COLUMN(E21)+1)-SMALL(IF(ISERROR(SEARCH(MID(";"&amp;'CASE DATA'!$F22&amp;";",ROW($1:$99),1),";")),"",ROW($1:$99)),COLUMN(E21))-1)</f>
        <v/>
      </c>
      <c r="AC22" s="75" t="str" cm="1">
        <f t="array" ref="AC22">MID(";"&amp;'CASE DATA'!$F22&amp;";",SMALL(IF(ISERROR(SEARCH(MID(";"&amp;'CASE DATA'!$F22&amp;";",ROW($1:$99),1),";")),"",ROW($1:$99)+1),COLUMN(F22)),SMALL(IF(ISERROR(SEARCH(MID(";"&amp;'CASE DATA'!$F22&amp;";",ROW($1:$99),1),";")),"",ROW($1:$99)),COLUMN(F21)+1)-SMALL(IF(ISERROR(SEARCH(MID(";"&amp;'CASE DATA'!$F22&amp;";",ROW($1:$99),1),";")),"",ROW($1:$99)),COLUMN(F21))-1)</f>
        <v/>
      </c>
      <c r="AD22" s="75" t="str" cm="1">
        <f t="array" ref="AD22">MID(";"&amp;'CASE DATA'!$F22&amp;";",SMALL(IF(ISERROR(SEARCH(MID(";"&amp;'CASE DATA'!$F22&amp;";",ROW($1:$99),1),";")),"",ROW($1:$99)+1),COLUMN(G22)),SMALL(IF(ISERROR(SEARCH(MID(";"&amp;'CASE DATA'!$F22&amp;";",ROW($1:$99),1),";")),"",ROW($1:$99)),COLUMN(G21)+1)-SMALL(IF(ISERROR(SEARCH(MID(";"&amp;'CASE DATA'!$F22&amp;";",ROW($1:$99),1),";")),"",ROW($1:$99)),COLUMN(G21))-1)</f>
        <v/>
      </c>
      <c r="AE22" s="75" t="str" cm="1">
        <f t="array" ref="AE22">MID(";"&amp;'CASE DATA'!$F22&amp;";",SMALL(IF(ISERROR(SEARCH(MID(";"&amp;'CASE DATA'!$F22&amp;";",ROW($1:$99),1),";")),"",ROW($1:$99)+1),COLUMN(H22)),SMALL(IF(ISERROR(SEARCH(MID(";"&amp;'CASE DATA'!$F22&amp;";",ROW($1:$99),1),";")),"",ROW($1:$99)),COLUMN(H21)+1)-SMALL(IF(ISERROR(SEARCH(MID(";"&amp;'CASE DATA'!$F22&amp;";",ROW($1:$99),1),";")),"",ROW($1:$99)),COLUMN(H21))-1)</f>
        <v/>
      </c>
      <c r="AF22" s="75" t="str" cm="1">
        <f t="array" ref="AF22">MID(";"&amp;'CASE DATA'!$F22&amp;";",SMALL(IF(ISERROR(SEARCH(MID(";"&amp;'CASE DATA'!$F22&amp;";",ROW($1:$99),1),";")),"",ROW($1:$99)+1),COLUMN(I22)),SMALL(IF(ISERROR(SEARCH(MID(";"&amp;'CASE DATA'!$F22&amp;";",ROW($1:$99),1),";")),"",ROW($1:$99)),COLUMN(I21)+1)-SMALL(IF(ISERROR(SEARCH(MID(";"&amp;'CASE DATA'!$F22&amp;";",ROW($1:$99),1),";")),"",ROW($1:$99)),COLUMN(I21))-1)</f>
        <v/>
      </c>
      <c r="AG22" s="75" t="str" cm="1">
        <f t="array" ref="AG22">MID(";"&amp;'CASE DATA'!$F22&amp;";",SMALL(IF(ISERROR(SEARCH(MID(";"&amp;'CASE DATA'!$F22&amp;";",ROW($1:$99),1),";")),"",ROW($1:$99)+1),COLUMN(K22)),SMALL(IF(ISERROR(SEARCH(MID(";"&amp;'CASE DATA'!$F22&amp;";",ROW($1:$99),1),";")),"",ROW($1:$99)),COLUMN(K21)+1)-SMALL(IF(ISERROR(SEARCH(MID(";"&amp;'CASE DATA'!$F22&amp;";",ROW($1:$99),1),";")),"",ROW($1:$99)),COLUMN(K21))-1)</f>
        <v/>
      </c>
      <c r="AH22" s="75" t="str" cm="1">
        <f t="array" ref="AH22">MID(";"&amp;'CASE DATA'!$F22&amp;";",SMALL(IF(ISERROR(SEARCH(MID(";"&amp;'CASE DATA'!$F22&amp;";",ROW($1:$99),1),";")),"",ROW($1:$99)+1),COLUMN(L22)),SMALL(IF(ISERROR(SEARCH(MID(";"&amp;'CASE DATA'!$F22&amp;";",ROW($1:$99),1),";")),"",ROW($1:$99)),COLUMN(L21)+1)-SMALL(IF(ISERROR(SEARCH(MID(";"&amp;'CASE DATA'!$F22&amp;";",ROW($1:$99),1),";")),"",ROW($1:$99)),COLUMN(L21))-1)</f>
        <v/>
      </c>
      <c r="AI22" s="75" t="str" cm="1">
        <f t="array" ref="AI22">MID(";"&amp;'CASE DATA'!$F22&amp;";",SMALL(IF(ISERROR(SEARCH(MID(";"&amp;'CASE DATA'!$F22&amp;";",ROW($1:$99),1),";")),"",ROW($1:$99)+1),COLUMN(M22)),SMALL(IF(ISERROR(SEARCH(MID(";"&amp;'CASE DATA'!$F22&amp;";",ROW($1:$99),1),";")),"",ROW($1:$99)),COLUMN(M21)+1)-SMALL(IF(ISERROR(SEARCH(MID(";"&amp;'CASE DATA'!$F22&amp;";",ROW($1:$99),1),";")),"",ROW($1:$99)),COLUMN(M21))-1)</f>
        <v/>
      </c>
      <c r="BO22" s="99"/>
      <c r="BP22" s="99"/>
      <c r="BQ22" s="99"/>
      <c r="BR22" s="99"/>
      <c r="BS22" s="99"/>
      <c r="BT22" s="99"/>
      <c r="BU22" s="99"/>
      <c r="BV22" s="99"/>
      <c r="BW22" s="99"/>
      <c r="BX22" s="99"/>
      <c r="BY22" s="99"/>
      <c r="BZ22" s="99"/>
      <c r="CA22" s="99"/>
      <c r="CB22" s="99"/>
      <c r="CC22" s="99"/>
      <c r="CD22" s="99"/>
      <c r="CE22" s="99"/>
      <c r="CF22" s="99"/>
      <c r="CG22" s="99"/>
      <c r="CH22" s="99"/>
      <c r="CI22" s="99"/>
      <c r="CJ22" s="99"/>
      <c r="CK22" s="99"/>
      <c r="CL22" s="99"/>
      <c r="CM22" s="99"/>
      <c r="CN22" s="99"/>
      <c r="CO22" s="99"/>
      <c r="CP22" s="99"/>
      <c r="CQ22" s="99"/>
      <c r="CR22" s="99"/>
      <c r="CS22" s="99"/>
      <c r="CT22" s="99"/>
      <c r="CU22" s="99"/>
      <c r="CV22" s="99"/>
      <c r="CW22" s="99"/>
      <c r="CX22" s="99"/>
      <c r="CY22" s="99"/>
      <c r="CZ22" s="99"/>
      <c r="DA22" s="99"/>
      <c r="DB22" s="99"/>
      <c r="DC22" s="99"/>
      <c r="DD22" s="99"/>
      <c r="DE22" s="99"/>
      <c r="DF22" s="99"/>
      <c r="DG22" s="99"/>
      <c r="DH22" s="99"/>
      <c r="DI22" s="99"/>
      <c r="DJ22" s="99"/>
      <c r="DK22" s="99"/>
      <c r="DL22" s="99"/>
      <c r="DM22" s="99"/>
      <c r="DN22" s="99"/>
      <c r="DO22" s="99"/>
      <c r="DP22" s="99"/>
      <c r="DQ22" s="99"/>
      <c r="DR22" s="99"/>
      <c r="DS22" s="99"/>
      <c r="DT22" s="99"/>
      <c r="DU22" s="99"/>
      <c r="DV22" s="99"/>
      <c r="DW22" s="99"/>
      <c r="DX22" s="99"/>
      <c r="DY22" s="99"/>
      <c r="DZ22" s="99"/>
      <c r="EA22" s="99"/>
      <c r="EB22" s="99"/>
      <c r="EC22" s="99"/>
      <c r="ED22" s="99"/>
      <c r="EE22" s="99"/>
      <c r="EF22" s="99"/>
      <c r="EG22" s="99"/>
      <c r="EH22" s="99"/>
      <c r="EI22" s="99"/>
      <c r="EJ22" s="99"/>
      <c r="EK22" s="99"/>
      <c r="EL22" s="99"/>
      <c r="EM22" s="99"/>
      <c r="EN22" s="99"/>
      <c r="EO22" s="99"/>
      <c r="EP22" s="99"/>
      <c r="EQ22" s="99"/>
      <c r="ER22" s="99"/>
      <c r="ES22" s="99"/>
      <c r="ET22" s="99"/>
      <c r="EU22" s="99"/>
      <c r="EV22" s="99"/>
      <c r="EW22" s="99"/>
      <c r="EX22" s="99"/>
      <c r="EY22" s="99"/>
      <c r="EZ22" s="99"/>
      <c r="FA22" s="99"/>
      <c r="FB22" s="99"/>
      <c r="FC22" s="99"/>
      <c r="FD22" s="99"/>
      <c r="FE22" s="99"/>
      <c r="FF22" s="99"/>
      <c r="FG22" s="99"/>
      <c r="FH22" s="99"/>
      <c r="FI22" s="99"/>
      <c r="FJ22" s="99"/>
      <c r="FK22" s="99"/>
    </row>
    <row r="23" spans="1:167" s="69" customFormat="1" x14ac:dyDescent="0.25">
      <c r="A23" s="11"/>
      <c r="B23"/>
      <c r="C23" s="10"/>
      <c r="D23" s="10"/>
      <c r="E23" s="11"/>
      <c r="F23" s="15"/>
      <c r="G23"/>
      <c r="H23" s="99"/>
      <c r="I23" s="99"/>
      <c r="J23" s="99">
        <v>20</v>
      </c>
      <c r="K23" s="16"/>
      <c r="L23" s="16"/>
      <c r="M23" s="16"/>
      <c r="N23" s="16"/>
      <c r="O23" s="16"/>
      <c r="P23" s="16"/>
      <c r="Q23" s="16"/>
      <c r="R23" s="16"/>
      <c r="S23" s="16"/>
      <c r="T23" s="16"/>
      <c r="U23" s="14">
        <f>SUM(K23:T23)</f>
        <v>0</v>
      </c>
      <c r="V23" s="14"/>
      <c r="W23"/>
      <c r="X23" s="75" t="str" cm="1">
        <f t="array" ref="X23">MID(";"&amp;'CASE DATA'!$F23&amp;";",SMALL(IF(ISERROR(SEARCH(MID(";"&amp;'CASE DATA'!$F23&amp;";",ROW($1:$99),1),";")),"",ROW($1:$99)+1),COLUMN(A23)),SMALL(IF(ISERROR(SEARCH(MID(";"&amp;'CASE DATA'!$F23&amp;";",ROW($1:$99),1),";")),"",ROW($1:$99)),COLUMN(A22)+1)-SMALL(IF(ISERROR(SEARCH(MID(";"&amp;'CASE DATA'!$F23&amp;";",ROW($1:$99),1),";")),"",ROW($1:$99)),COLUMN(A22))-1)</f>
        <v/>
      </c>
      <c r="Y23" s="75" t="str" cm="1">
        <f t="array" ref="Y23">MID(";"&amp;'CASE DATA'!$F23&amp;";",SMALL(IF(ISERROR(SEARCH(MID(";"&amp;'CASE DATA'!$F23&amp;";",ROW($1:$99),1),";")),"",ROW($1:$99)+1),COLUMN(B23)),SMALL(IF(ISERROR(SEARCH(MID(";"&amp;'CASE DATA'!$F23&amp;";",ROW($1:$99),1),";")),"",ROW($1:$99)),COLUMN(B22)+1)-SMALL(IF(ISERROR(SEARCH(MID(";"&amp;'CASE DATA'!$F23&amp;";",ROW($1:$99),1),";")),"",ROW($1:$99)),COLUMN(B22))-1)</f>
        <v/>
      </c>
      <c r="Z23" s="75" t="str" cm="1">
        <f t="array" ref="Z23">MID(";"&amp;'CASE DATA'!$F23&amp;";",SMALL(IF(ISERROR(SEARCH(MID(";"&amp;'CASE DATA'!$F23&amp;";",ROW($1:$99),1),";")),"",ROW($1:$99)+1),COLUMN(C23)),SMALL(IF(ISERROR(SEARCH(MID(";"&amp;'CASE DATA'!$F23&amp;";",ROW($1:$99),1),";")),"",ROW($1:$99)),COLUMN(C22)+1)-SMALL(IF(ISERROR(SEARCH(MID(";"&amp;'CASE DATA'!$F23&amp;";",ROW($1:$99),1),";")),"",ROW($1:$99)),COLUMN(C22))-1)</f>
        <v/>
      </c>
      <c r="AA23" s="75" t="str" cm="1">
        <f t="array" ref="AA23">MID(";"&amp;'CASE DATA'!$F23&amp;";",SMALL(IF(ISERROR(SEARCH(MID(";"&amp;'CASE DATA'!$F23&amp;";",ROW($1:$99),1),";")),"",ROW($1:$99)+1),COLUMN(D23)),SMALL(IF(ISERROR(SEARCH(MID(";"&amp;'CASE DATA'!$F23&amp;";",ROW($1:$99),1),";")),"",ROW($1:$99)),COLUMN(D22)+1)-SMALL(IF(ISERROR(SEARCH(MID(";"&amp;'CASE DATA'!$F23&amp;";",ROW($1:$99),1),";")),"",ROW($1:$99)),COLUMN(D22))-1)</f>
        <v/>
      </c>
      <c r="AB23" s="75" t="str" cm="1">
        <f t="array" ref="AB23">MID(";"&amp;'CASE DATA'!$F23&amp;";",SMALL(IF(ISERROR(SEARCH(MID(";"&amp;'CASE DATA'!$F23&amp;";",ROW($1:$99),1),";")),"",ROW($1:$99)+1),COLUMN(E23)),SMALL(IF(ISERROR(SEARCH(MID(";"&amp;'CASE DATA'!$F23&amp;";",ROW($1:$99),1),";")),"",ROW($1:$99)),COLUMN(E22)+1)-SMALL(IF(ISERROR(SEARCH(MID(";"&amp;'CASE DATA'!$F23&amp;";",ROW($1:$99),1),";")),"",ROW($1:$99)),COLUMN(E22))-1)</f>
        <v/>
      </c>
      <c r="AC23" s="75" t="str" cm="1">
        <f t="array" ref="AC23">MID(";"&amp;'CASE DATA'!$F23&amp;";",SMALL(IF(ISERROR(SEARCH(MID(";"&amp;'CASE DATA'!$F23&amp;";",ROW($1:$99),1),";")),"",ROW($1:$99)+1),COLUMN(F23)),SMALL(IF(ISERROR(SEARCH(MID(";"&amp;'CASE DATA'!$F23&amp;";",ROW($1:$99),1),";")),"",ROW($1:$99)),COLUMN(F22)+1)-SMALL(IF(ISERROR(SEARCH(MID(";"&amp;'CASE DATA'!$F23&amp;";",ROW($1:$99),1),";")),"",ROW($1:$99)),COLUMN(F22))-1)</f>
        <v/>
      </c>
      <c r="AD23" s="75" t="str" cm="1">
        <f t="array" ref="AD23">MID(";"&amp;'CASE DATA'!$F23&amp;";",SMALL(IF(ISERROR(SEARCH(MID(";"&amp;'CASE DATA'!$F23&amp;";",ROW($1:$99),1),";")),"",ROW($1:$99)+1),COLUMN(G23)),SMALL(IF(ISERROR(SEARCH(MID(";"&amp;'CASE DATA'!$F23&amp;";",ROW($1:$99),1),";")),"",ROW($1:$99)),COLUMN(G22)+1)-SMALL(IF(ISERROR(SEARCH(MID(";"&amp;'CASE DATA'!$F23&amp;";",ROW($1:$99),1),";")),"",ROW($1:$99)),COLUMN(G22))-1)</f>
        <v/>
      </c>
      <c r="AE23" s="75" t="str" cm="1">
        <f t="array" ref="AE23">MID(";"&amp;'CASE DATA'!$F23&amp;";",SMALL(IF(ISERROR(SEARCH(MID(";"&amp;'CASE DATA'!$F23&amp;";",ROW($1:$99),1),";")),"",ROW($1:$99)+1),COLUMN(H23)),SMALL(IF(ISERROR(SEARCH(MID(";"&amp;'CASE DATA'!$F23&amp;";",ROW($1:$99),1),";")),"",ROW($1:$99)),COLUMN(H22)+1)-SMALL(IF(ISERROR(SEARCH(MID(";"&amp;'CASE DATA'!$F23&amp;";",ROW($1:$99),1),";")),"",ROW($1:$99)),COLUMN(H22))-1)</f>
        <v/>
      </c>
      <c r="AF23" s="75" t="str" cm="1">
        <f t="array" ref="AF23">MID(";"&amp;'CASE DATA'!$F23&amp;";",SMALL(IF(ISERROR(SEARCH(MID(";"&amp;'CASE DATA'!$F23&amp;";",ROW($1:$99),1),";")),"",ROW($1:$99)+1),COLUMN(I23)),SMALL(IF(ISERROR(SEARCH(MID(";"&amp;'CASE DATA'!$F23&amp;";",ROW($1:$99),1),";")),"",ROW($1:$99)),COLUMN(I22)+1)-SMALL(IF(ISERROR(SEARCH(MID(";"&amp;'CASE DATA'!$F23&amp;";",ROW($1:$99),1),";")),"",ROW($1:$99)),COLUMN(I22))-1)</f>
        <v/>
      </c>
      <c r="AG23" s="75" t="str" cm="1">
        <f t="array" ref="AG23">MID(";"&amp;'CASE DATA'!$F23&amp;";",SMALL(IF(ISERROR(SEARCH(MID(";"&amp;'CASE DATA'!$F23&amp;";",ROW($1:$99),1),";")),"",ROW($1:$99)+1),COLUMN(K23)),SMALL(IF(ISERROR(SEARCH(MID(";"&amp;'CASE DATA'!$F23&amp;";",ROW($1:$99),1),";")),"",ROW($1:$99)),COLUMN(K22)+1)-SMALL(IF(ISERROR(SEARCH(MID(";"&amp;'CASE DATA'!$F23&amp;";",ROW($1:$99),1),";")),"",ROW($1:$99)),COLUMN(K22))-1)</f>
        <v/>
      </c>
      <c r="AH23" s="75" t="str" cm="1">
        <f t="array" ref="AH23">MID(";"&amp;'CASE DATA'!$F23&amp;";",SMALL(IF(ISERROR(SEARCH(MID(";"&amp;'CASE DATA'!$F23&amp;";",ROW($1:$99),1),";")),"",ROW($1:$99)+1),COLUMN(L23)),SMALL(IF(ISERROR(SEARCH(MID(";"&amp;'CASE DATA'!$F23&amp;";",ROW($1:$99),1),";")),"",ROW($1:$99)),COLUMN(L22)+1)-SMALL(IF(ISERROR(SEARCH(MID(";"&amp;'CASE DATA'!$F23&amp;";",ROW($1:$99),1),";")),"",ROW($1:$99)),COLUMN(L22))-1)</f>
        <v/>
      </c>
      <c r="AI23" s="75" t="str" cm="1">
        <f t="array" ref="AI23">MID(";"&amp;'CASE DATA'!$F23&amp;";",SMALL(IF(ISERROR(SEARCH(MID(";"&amp;'CASE DATA'!$F23&amp;";",ROW($1:$99),1),";")),"",ROW($1:$99)+1),COLUMN(M23)),SMALL(IF(ISERROR(SEARCH(MID(";"&amp;'CASE DATA'!$F23&amp;";",ROW($1:$99),1),";")),"",ROW($1:$99)),COLUMN(M22)+1)-SMALL(IF(ISERROR(SEARCH(MID(";"&amp;'CASE DATA'!$F23&amp;";",ROW($1:$99),1),";")),"",ROW($1:$99)),COLUMN(M22))-1)</f>
        <v/>
      </c>
      <c r="AJ23"/>
      <c r="AK23"/>
      <c r="AL23"/>
      <c r="AM23"/>
      <c r="AN23"/>
      <c r="AO23"/>
      <c r="AP23"/>
      <c r="AQ23"/>
      <c r="AR23"/>
      <c r="AS23"/>
      <c r="AT23"/>
      <c r="AU23"/>
      <c r="AV23"/>
      <c r="AW23"/>
      <c r="AX23"/>
      <c r="AY23"/>
      <c r="AZ23"/>
      <c r="BA23"/>
      <c r="BB23"/>
      <c r="BC23"/>
      <c r="BD23"/>
      <c r="BE23"/>
      <c r="BF23"/>
      <c r="BG23"/>
      <c r="BH23"/>
      <c r="BI23"/>
      <c r="BJ23"/>
      <c r="BK23"/>
      <c r="BL23"/>
      <c r="BM23"/>
      <c r="BN23"/>
      <c r="BO23" s="99"/>
      <c r="BP23" s="99"/>
      <c r="BQ23" s="99"/>
      <c r="BR23" s="99"/>
      <c r="BS23" s="99"/>
      <c r="BT23" s="99"/>
      <c r="BU23" s="99"/>
      <c r="BV23" s="99"/>
      <c r="BW23" s="99"/>
      <c r="BX23" s="99"/>
      <c r="BY23" s="99"/>
      <c r="BZ23" s="99"/>
      <c r="CA23" s="99"/>
      <c r="CB23" s="99"/>
      <c r="CC23" s="99"/>
      <c r="CD23" s="99"/>
      <c r="CE23" s="99"/>
      <c r="CF23" s="99"/>
      <c r="CG23" s="99"/>
      <c r="CH23" s="99"/>
      <c r="CI23" s="99"/>
      <c r="CJ23" s="99"/>
      <c r="CK23" s="99"/>
      <c r="CL23" s="99"/>
      <c r="CM23" s="99"/>
      <c r="CN23" s="99"/>
      <c r="CO23" s="99"/>
      <c r="CP23" s="99"/>
      <c r="CQ23" s="99"/>
      <c r="CR23" s="99"/>
      <c r="CS23" s="99"/>
      <c r="CT23" s="99"/>
      <c r="CU23" s="99"/>
      <c r="CV23" s="99"/>
      <c r="CW23" s="99"/>
      <c r="CX23" s="99"/>
      <c r="CY23" s="99"/>
      <c r="CZ23" s="99"/>
      <c r="DA23" s="99"/>
      <c r="DB23" s="99"/>
      <c r="DC23" s="99"/>
      <c r="DD23" s="99"/>
      <c r="DE23" s="99"/>
      <c r="DF23" s="99"/>
      <c r="DG23" s="99"/>
      <c r="DH23" s="99"/>
      <c r="DI23" s="99"/>
      <c r="DJ23" s="99"/>
      <c r="DK23" s="99"/>
      <c r="DL23" s="99"/>
      <c r="DM23" s="99"/>
      <c r="DN23" s="99"/>
      <c r="DO23" s="99"/>
      <c r="DP23" s="99"/>
      <c r="DQ23" s="99"/>
      <c r="DR23" s="99"/>
      <c r="DS23" s="99"/>
      <c r="DT23" s="99"/>
      <c r="DU23" s="99"/>
      <c r="DV23" s="99"/>
      <c r="DW23" s="99"/>
      <c r="DX23" s="99"/>
      <c r="DY23" s="99"/>
      <c r="DZ23" s="99"/>
      <c r="EA23" s="99"/>
      <c r="EB23" s="99"/>
      <c r="EC23" s="99"/>
      <c r="ED23" s="99"/>
      <c r="EE23" s="99"/>
      <c r="EF23" s="99"/>
      <c r="EG23" s="99"/>
      <c r="EH23" s="99"/>
      <c r="EI23" s="99"/>
      <c r="EJ23" s="99"/>
      <c r="EK23" s="99"/>
      <c r="EL23" s="99"/>
      <c r="EM23" s="99"/>
      <c r="EN23" s="99"/>
      <c r="EO23" s="99"/>
      <c r="EP23" s="99"/>
      <c r="EQ23" s="99"/>
      <c r="ER23" s="99"/>
      <c r="ES23" s="99"/>
      <c r="ET23" s="99"/>
      <c r="EU23" s="99"/>
      <c r="EV23" s="99"/>
      <c r="EW23" s="99"/>
      <c r="EX23" s="99"/>
      <c r="EY23" s="99"/>
      <c r="EZ23" s="99"/>
      <c r="FA23" s="99"/>
      <c r="FB23" s="99"/>
      <c r="FC23" s="99"/>
      <c r="FD23" s="99"/>
      <c r="FE23" s="99"/>
      <c r="FF23" s="99"/>
      <c r="FG23" s="99"/>
      <c r="FH23" s="99"/>
      <c r="FI23" s="99"/>
      <c r="FJ23" s="99"/>
      <c r="FK23" s="99"/>
    </row>
    <row r="24" spans="1:167" x14ac:dyDescent="0.25">
      <c r="A24" s="11"/>
      <c r="C24" s="10"/>
      <c r="D24" s="10"/>
      <c r="E24" s="11"/>
      <c r="F24" s="15"/>
      <c r="J24" s="99">
        <v>21</v>
      </c>
      <c r="K24" s="16"/>
      <c r="L24" s="16"/>
      <c r="M24" s="16"/>
      <c r="N24" s="16"/>
      <c r="O24" s="16"/>
      <c r="P24" s="16"/>
      <c r="Q24" s="16"/>
      <c r="R24" s="16"/>
      <c r="S24" s="16"/>
      <c r="T24" s="16"/>
      <c r="U24" s="14">
        <f>SUM(K24:T24)</f>
        <v>0</v>
      </c>
      <c r="V24" s="14"/>
      <c r="X24" s="75" t="str" cm="1">
        <f t="array" ref="X24">MID(";"&amp;'CASE DATA'!$F24&amp;";",SMALL(IF(ISERROR(SEARCH(MID(";"&amp;'CASE DATA'!$F24&amp;";",ROW($1:$99),1),";")),"",ROW($1:$99)+1),COLUMN(A24)),SMALL(IF(ISERROR(SEARCH(MID(";"&amp;'CASE DATA'!$F24&amp;";",ROW($1:$99),1),";")),"",ROW($1:$99)),COLUMN(A23)+1)-SMALL(IF(ISERROR(SEARCH(MID(";"&amp;'CASE DATA'!$F24&amp;";",ROW($1:$99),1),";")),"",ROW($1:$99)),COLUMN(A23))-1)</f>
        <v/>
      </c>
      <c r="Y24" s="75" t="str" cm="1">
        <f t="array" ref="Y24">MID(";"&amp;'CASE DATA'!$F24&amp;";",SMALL(IF(ISERROR(SEARCH(MID(";"&amp;'CASE DATA'!$F24&amp;";",ROW($1:$99),1),";")),"",ROW($1:$99)+1),COLUMN(B24)),SMALL(IF(ISERROR(SEARCH(MID(";"&amp;'CASE DATA'!$F24&amp;";",ROW($1:$99),1),";")),"",ROW($1:$99)),COLUMN(B23)+1)-SMALL(IF(ISERROR(SEARCH(MID(";"&amp;'CASE DATA'!$F24&amp;";",ROW($1:$99),1),";")),"",ROW($1:$99)),COLUMN(B23))-1)</f>
        <v/>
      </c>
      <c r="Z24" s="75" t="str" cm="1">
        <f t="array" ref="Z24">MID(";"&amp;'CASE DATA'!$F24&amp;";",SMALL(IF(ISERROR(SEARCH(MID(";"&amp;'CASE DATA'!$F24&amp;";",ROW($1:$99),1),";")),"",ROW($1:$99)+1),COLUMN(C24)),SMALL(IF(ISERROR(SEARCH(MID(";"&amp;'CASE DATA'!$F24&amp;";",ROW($1:$99),1),";")),"",ROW($1:$99)),COLUMN(C23)+1)-SMALL(IF(ISERROR(SEARCH(MID(";"&amp;'CASE DATA'!$F24&amp;";",ROW($1:$99),1),";")),"",ROW($1:$99)),COLUMN(C23))-1)</f>
        <v/>
      </c>
      <c r="AA24" s="75" t="str" cm="1">
        <f t="array" ref="AA24">MID(";"&amp;'CASE DATA'!$F24&amp;";",SMALL(IF(ISERROR(SEARCH(MID(";"&amp;'CASE DATA'!$F24&amp;";",ROW($1:$99),1),";")),"",ROW($1:$99)+1),COLUMN(D24)),SMALL(IF(ISERROR(SEARCH(MID(";"&amp;'CASE DATA'!$F24&amp;";",ROW($1:$99),1),";")),"",ROW($1:$99)),COLUMN(D23)+1)-SMALL(IF(ISERROR(SEARCH(MID(";"&amp;'CASE DATA'!$F24&amp;";",ROW($1:$99),1),";")),"",ROW($1:$99)),COLUMN(D23))-1)</f>
        <v/>
      </c>
      <c r="AB24" s="75" t="str" cm="1">
        <f t="array" ref="AB24">MID(";"&amp;'CASE DATA'!$F24&amp;";",SMALL(IF(ISERROR(SEARCH(MID(";"&amp;'CASE DATA'!$F24&amp;";",ROW($1:$99),1),";")),"",ROW($1:$99)+1),COLUMN(E24)),SMALL(IF(ISERROR(SEARCH(MID(";"&amp;'CASE DATA'!$F24&amp;";",ROW($1:$99),1),";")),"",ROW($1:$99)),COLUMN(E23)+1)-SMALL(IF(ISERROR(SEARCH(MID(";"&amp;'CASE DATA'!$F24&amp;";",ROW($1:$99),1),";")),"",ROW($1:$99)),COLUMN(E23))-1)</f>
        <v/>
      </c>
      <c r="AC24" s="75" t="str" cm="1">
        <f t="array" ref="AC24">MID(";"&amp;'CASE DATA'!$F24&amp;";",SMALL(IF(ISERROR(SEARCH(MID(";"&amp;'CASE DATA'!$F24&amp;";",ROW($1:$99),1),";")),"",ROW($1:$99)+1),COLUMN(F24)),SMALL(IF(ISERROR(SEARCH(MID(";"&amp;'CASE DATA'!$F24&amp;";",ROW($1:$99),1),";")),"",ROW($1:$99)),COLUMN(F23)+1)-SMALL(IF(ISERROR(SEARCH(MID(";"&amp;'CASE DATA'!$F24&amp;";",ROW($1:$99),1),";")),"",ROW($1:$99)),COLUMN(F23))-1)</f>
        <v/>
      </c>
      <c r="AD24" s="75" t="str" cm="1">
        <f t="array" ref="AD24">MID(";"&amp;'CASE DATA'!$F24&amp;";",SMALL(IF(ISERROR(SEARCH(MID(";"&amp;'CASE DATA'!$F24&amp;";",ROW($1:$99),1),";")),"",ROW($1:$99)+1),COLUMN(G24)),SMALL(IF(ISERROR(SEARCH(MID(";"&amp;'CASE DATA'!$F24&amp;";",ROW($1:$99),1),";")),"",ROW($1:$99)),COLUMN(G23)+1)-SMALL(IF(ISERROR(SEARCH(MID(";"&amp;'CASE DATA'!$F24&amp;";",ROW($1:$99),1),";")),"",ROW($1:$99)),COLUMN(G23))-1)</f>
        <v/>
      </c>
      <c r="AE24" s="75" t="str" cm="1">
        <f t="array" ref="AE24">MID(";"&amp;'CASE DATA'!$F24&amp;";",SMALL(IF(ISERROR(SEARCH(MID(";"&amp;'CASE DATA'!$F24&amp;";",ROW($1:$99),1),";")),"",ROW($1:$99)+1),COLUMN(H24)),SMALL(IF(ISERROR(SEARCH(MID(";"&amp;'CASE DATA'!$F24&amp;";",ROW($1:$99),1),";")),"",ROW($1:$99)),COLUMN(H23)+1)-SMALL(IF(ISERROR(SEARCH(MID(";"&amp;'CASE DATA'!$F24&amp;";",ROW($1:$99),1),";")),"",ROW($1:$99)),COLUMN(H23))-1)</f>
        <v/>
      </c>
      <c r="AF24" s="75" t="str" cm="1">
        <f t="array" ref="AF24">MID(";"&amp;'CASE DATA'!$F24&amp;";",SMALL(IF(ISERROR(SEARCH(MID(";"&amp;'CASE DATA'!$F24&amp;";",ROW($1:$99),1),";")),"",ROW($1:$99)+1),COLUMN(I24)),SMALL(IF(ISERROR(SEARCH(MID(";"&amp;'CASE DATA'!$F24&amp;";",ROW($1:$99),1),";")),"",ROW($1:$99)),COLUMN(I23)+1)-SMALL(IF(ISERROR(SEARCH(MID(";"&amp;'CASE DATA'!$F24&amp;";",ROW($1:$99),1),";")),"",ROW($1:$99)),COLUMN(I23))-1)</f>
        <v/>
      </c>
      <c r="AG24" s="75" t="str" cm="1">
        <f t="array" ref="AG24">MID(";"&amp;'CASE DATA'!$F24&amp;";",SMALL(IF(ISERROR(SEARCH(MID(";"&amp;'CASE DATA'!$F24&amp;";",ROW($1:$99),1),";")),"",ROW($1:$99)+1),COLUMN(K24)),SMALL(IF(ISERROR(SEARCH(MID(";"&amp;'CASE DATA'!$F24&amp;";",ROW($1:$99),1),";")),"",ROW($1:$99)),COLUMN(K23)+1)-SMALL(IF(ISERROR(SEARCH(MID(";"&amp;'CASE DATA'!$F24&amp;";",ROW($1:$99),1),";")),"",ROW($1:$99)),COLUMN(K23))-1)</f>
        <v/>
      </c>
      <c r="AH24" s="75" t="str" cm="1">
        <f t="array" ref="AH24">MID(";"&amp;'CASE DATA'!$F24&amp;";",SMALL(IF(ISERROR(SEARCH(MID(";"&amp;'CASE DATA'!$F24&amp;";",ROW($1:$99),1),";")),"",ROW($1:$99)+1),COLUMN(L24)),SMALL(IF(ISERROR(SEARCH(MID(";"&amp;'CASE DATA'!$F24&amp;";",ROW($1:$99),1),";")),"",ROW($1:$99)),COLUMN(L23)+1)-SMALL(IF(ISERROR(SEARCH(MID(";"&amp;'CASE DATA'!$F24&amp;";",ROW($1:$99),1),";")),"",ROW($1:$99)),COLUMN(L23))-1)</f>
        <v/>
      </c>
      <c r="AI24" s="75" t="str" cm="1">
        <f t="array" ref="AI24">MID(";"&amp;'CASE DATA'!$F24&amp;";",SMALL(IF(ISERROR(SEARCH(MID(";"&amp;'CASE DATA'!$F24&amp;";",ROW($1:$99),1),";")),"",ROW($1:$99)+1),COLUMN(M24)),SMALL(IF(ISERROR(SEARCH(MID(";"&amp;'CASE DATA'!$F24&amp;";",ROW($1:$99),1),";")),"",ROW($1:$99)),COLUMN(M23)+1)-SMALL(IF(ISERROR(SEARCH(MID(";"&amp;'CASE DATA'!$F24&amp;";",ROW($1:$99),1),";")),"",ROW($1:$99)),COLUMN(M23))-1)</f>
        <v/>
      </c>
      <c r="BO24" s="99"/>
      <c r="BP24" s="99"/>
      <c r="BQ24" s="99"/>
      <c r="BR24" s="99"/>
      <c r="BS24" s="99"/>
      <c r="BT24" s="99"/>
      <c r="BU24" s="99"/>
      <c r="BV24" s="99"/>
      <c r="BW24" s="99"/>
      <c r="BX24" s="99"/>
      <c r="BY24" s="99"/>
      <c r="BZ24" s="99"/>
      <c r="CA24" s="99"/>
      <c r="CB24" s="99"/>
      <c r="CC24" s="99"/>
      <c r="CD24" s="99"/>
      <c r="CE24" s="99"/>
      <c r="CF24" s="99"/>
      <c r="CG24" s="99"/>
      <c r="CH24" s="99"/>
      <c r="CI24" s="99"/>
      <c r="CJ24" s="99"/>
      <c r="CK24" s="99"/>
      <c r="CL24" s="99"/>
      <c r="CM24" s="99"/>
      <c r="CN24" s="99"/>
      <c r="CO24" s="99"/>
      <c r="CP24" s="99"/>
      <c r="CQ24" s="99"/>
      <c r="CR24" s="99"/>
      <c r="CS24" s="99"/>
      <c r="CT24" s="99"/>
      <c r="CU24" s="99"/>
      <c r="CV24" s="99"/>
      <c r="CW24" s="99"/>
      <c r="CX24" s="99"/>
      <c r="CY24" s="99"/>
      <c r="CZ24" s="99"/>
      <c r="DA24" s="99"/>
      <c r="DB24" s="99"/>
      <c r="DC24" s="99"/>
      <c r="DD24" s="99"/>
      <c r="DE24" s="99"/>
      <c r="DF24" s="99"/>
      <c r="DG24" s="99"/>
      <c r="DH24" s="99"/>
      <c r="DI24" s="99"/>
      <c r="DJ24" s="99"/>
      <c r="DK24" s="99"/>
      <c r="DL24" s="99"/>
      <c r="DM24" s="99"/>
      <c r="DN24" s="99"/>
      <c r="DO24" s="99"/>
      <c r="DP24" s="99"/>
      <c r="DQ24" s="99"/>
      <c r="DR24" s="99"/>
      <c r="DS24" s="99"/>
      <c r="DT24" s="99"/>
      <c r="DU24" s="99"/>
      <c r="DV24" s="99"/>
      <c r="DW24" s="99"/>
      <c r="DX24" s="99"/>
      <c r="DY24" s="99"/>
      <c r="DZ24" s="99"/>
      <c r="EA24" s="99"/>
      <c r="EB24" s="99"/>
      <c r="EC24" s="99"/>
      <c r="ED24" s="99"/>
      <c r="EE24" s="99"/>
      <c r="EF24" s="99"/>
      <c r="EG24" s="99"/>
      <c r="EH24" s="99"/>
      <c r="EI24" s="99"/>
      <c r="EJ24" s="99"/>
      <c r="EK24" s="99"/>
      <c r="EL24" s="99"/>
      <c r="EM24" s="99"/>
      <c r="EN24" s="99"/>
      <c r="EO24" s="99"/>
      <c r="EP24" s="99"/>
      <c r="EQ24" s="99"/>
      <c r="ER24" s="99"/>
      <c r="ES24" s="99"/>
      <c r="ET24" s="99"/>
      <c r="EU24" s="99"/>
      <c r="EV24" s="99"/>
      <c r="EW24" s="99"/>
      <c r="EX24" s="99"/>
      <c r="EY24" s="99"/>
      <c r="EZ24" s="99"/>
      <c r="FA24" s="99"/>
      <c r="FB24" s="99"/>
      <c r="FC24" s="99"/>
      <c r="FD24" s="99"/>
      <c r="FE24" s="99"/>
      <c r="FF24" s="99"/>
      <c r="FG24" s="99"/>
      <c r="FH24" s="99"/>
      <c r="FI24" s="99"/>
      <c r="FJ24" s="99"/>
      <c r="FK24" s="99"/>
    </row>
    <row r="25" spans="1:167" x14ac:dyDescent="0.25">
      <c r="C25" s="10"/>
      <c r="D25" s="10"/>
      <c r="E25" s="11"/>
      <c r="F25" s="15"/>
      <c r="J25" s="99">
        <v>22</v>
      </c>
      <c r="K25" s="16"/>
      <c r="L25" s="16"/>
      <c r="M25" s="16"/>
      <c r="N25" s="16"/>
      <c r="O25" s="16"/>
      <c r="P25" s="16"/>
      <c r="Q25" s="16"/>
      <c r="R25" s="16"/>
      <c r="S25" s="16"/>
      <c r="T25" s="16"/>
      <c r="U25" s="14">
        <f>SUM(K25:T25)</f>
        <v>0</v>
      </c>
      <c r="V25" s="14"/>
      <c r="X25" s="75" t="str" cm="1">
        <f t="array" ref="X25">MID(";"&amp;'CASE DATA'!$F25&amp;";",SMALL(IF(ISERROR(SEARCH(MID(";"&amp;'CASE DATA'!$F25&amp;";",ROW($1:$99),1),";")),"",ROW($1:$99)+1),COLUMN(A25)),SMALL(IF(ISERROR(SEARCH(MID(";"&amp;'CASE DATA'!$F25&amp;";",ROW($1:$99),1),";")),"",ROW($1:$99)),COLUMN(A24)+1)-SMALL(IF(ISERROR(SEARCH(MID(";"&amp;'CASE DATA'!$F25&amp;";",ROW($1:$99),1),";")),"",ROW($1:$99)),COLUMN(A24))-1)</f>
        <v/>
      </c>
      <c r="Y25" s="75" t="str" cm="1">
        <f t="array" ref="Y25">MID(";"&amp;'CASE DATA'!$F25&amp;";",SMALL(IF(ISERROR(SEARCH(MID(";"&amp;'CASE DATA'!$F25&amp;";",ROW($1:$99),1),";")),"",ROW($1:$99)+1),COLUMN(B25)),SMALL(IF(ISERROR(SEARCH(MID(";"&amp;'CASE DATA'!$F25&amp;";",ROW($1:$99),1),";")),"",ROW($1:$99)),COLUMN(B24)+1)-SMALL(IF(ISERROR(SEARCH(MID(";"&amp;'CASE DATA'!$F25&amp;";",ROW($1:$99),1),";")),"",ROW($1:$99)),COLUMN(B24))-1)</f>
        <v/>
      </c>
      <c r="Z25" s="75" t="str" cm="1">
        <f t="array" ref="Z25">MID(";"&amp;'CASE DATA'!$F25&amp;";",SMALL(IF(ISERROR(SEARCH(MID(";"&amp;'CASE DATA'!$F25&amp;";",ROW($1:$99),1),";")),"",ROW($1:$99)+1),COLUMN(C25)),SMALL(IF(ISERROR(SEARCH(MID(";"&amp;'CASE DATA'!$F25&amp;";",ROW($1:$99),1),";")),"",ROW($1:$99)),COLUMN(C24)+1)-SMALL(IF(ISERROR(SEARCH(MID(";"&amp;'CASE DATA'!$F25&amp;";",ROW($1:$99),1),";")),"",ROW($1:$99)),COLUMN(C24))-1)</f>
        <v/>
      </c>
      <c r="AA25" s="75" t="str" cm="1">
        <f t="array" ref="AA25">MID(";"&amp;'CASE DATA'!$F25&amp;";",SMALL(IF(ISERROR(SEARCH(MID(";"&amp;'CASE DATA'!$F25&amp;";",ROW($1:$99),1),";")),"",ROW($1:$99)+1),COLUMN(D25)),SMALL(IF(ISERROR(SEARCH(MID(";"&amp;'CASE DATA'!$F25&amp;";",ROW($1:$99),1),";")),"",ROW($1:$99)),COLUMN(D24)+1)-SMALL(IF(ISERROR(SEARCH(MID(";"&amp;'CASE DATA'!$F25&amp;";",ROW($1:$99),1),";")),"",ROW($1:$99)),COLUMN(D24))-1)</f>
        <v/>
      </c>
      <c r="AB25" s="75" t="str" cm="1">
        <f t="array" ref="AB25">MID(";"&amp;'CASE DATA'!$F25&amp;";",SMALL(IF(ISERROR(SEARCH(MID(";"&amp;'CASE DATA'!$F25&amp;";",ROW($1:$99),1),";")),"",ROW($1:$99)+1),COLUMN(E25)),SMALL(IF(ISERROR(SEARCH(MID(";"&amp;'CASE DATA'!$F25&amp;";",ROW($1:$99),1),";")),"",ROW($1:$99)),COLUMN(E24)+1)-SMALL(IF(ISERROR(SEARCH(MID(";"&amp;'CASE DATA'!$F25&amp;";",ROW($1:$99),1),";")),"",ROW($1:$99)),COLUMN(E24))-1)</f>
        <v/>
      </c>
      <c r="AC25" s="75" t="str" cm="1">
        <f t="array" ref="AC25">MID(";"&amp;'CASE DATA'!$F25&amp;";",SMALL(IF(ISERROR(SEARCH(MID(";"&amp;'CASE DATA'!$F25&amp;";",ROW($1:$99),1),";")),"",ROW($1:$99)+1),COLUMN(F25)),SMALL(IF(ISERROR(SEARCH(MID(";"&amp;'CASE DATA'!$F25&amp;";",ROW($1:$99),1),";")),"",ROW($1:$99)),COLUMN(F24)+1)-SMALL(IF(ISERROR(SEARCH(MID(";"&amp;'CASE DATA'!$F25&amp;";",ROW($1:$99),1),";")),"",ROW($1:$99)),COLUMN(F24))-1)</f>
        <v/>
      </c>
      <c r="AD25" s="75" t="str" cm="1">
        <f t="array" ref="AD25">MID(";"&amp;'CASE DATA'!$F25&amp;";",SMALL(IF(ISERROR(SEARCH(MID(";"&amp;'CASE DATA'!$F25&amp;";",ROW($1:$99),1),";")),"",ROW($1:$99)+1),COLUMN(G25)),SMALL(IF(ISERROR(SEARCH(MID(";"&amp;'CASE DATA'!$F25&amp;";",ROW($1:$99),1),";")),"",ROW($1:$99)),COLUMN(G24)+1)-SMALL(IF(ISERROR(SEARCH(MID(";"&amp;'CASE DATA'!$F25&amp;";",ROW($1:$99),1),";")),"",ROW($1:$99)),COLUMN(G24))-1)</f>
        <v/>
      </c>
      <c r="AE25" s="75" t="str" cm="1">
        <f t="array" ref="AE25">MID(";"&amp;'CASE DATA'!$F25&amp;";",SMALL(IF(ISERROR(SEARCH(MID(";"&amp;'CASE DATA'!$F25&amp;";",ROW($1:$99),1),";")),"",ROW($1:$99)+1),COLUMN(H25)),SMALL(IF(ISERROR(SEARCH(MID(";"&amp;'CASE DATA'!$F25&amp;";",ROW($1:$99),1),";")),"",ROW($1:$99)),COLUMN(H24)+1)-SMALL(IF(ISERROR(SEARCH(MID(";"&amp;'CASE DATA'!$F25&amp;";",ROW($1:$99),1),";")),"",ROW($1:$99)),COLUMN(H24))-1)</f>
        <v/>
      </c>
      <c r="AF25" s="75" t="str" cm="1">
        <f t="array" ref="AF25">MID(";"&amp;'CASE DATA'!$F25&amp;";",SMALL(IF(ISERROR(SEARCH(MID(";"&amp;'CASE DATA'!$F25&amp;";",ROW($1:$99),1),";")),"",ROW($1:$99)+1),COLUMN(I25)),SMALL(IF(ISERROR(SEARCH(MID(";"&amp;'CASE DATA'!$F25&amp;";",ROW($1:$99),1),";")),"",ROW($1:$99)),COLUMN(I24)+1)-SMALL(IF(ISERROR(SEARCH(MID(";"&amp;'CASE DATA'!$F25&amp;";",ROW($1:$99),1),";")),"",ROW($1:$99)),COLUMN(I24))-1)</f>
        <v/>
      </c>
      <c r="AG25" s="75" t="str" cm="1">
        <f t="array" ref="AG25">MID(";"&amp;'CASE DATA'!$F25&amp;";",SMALL(IF(ISERROR(SEARCH(MID(";"&amp;'CASE DATA'!$F25&amp;";",ROW($1:$99),1),";")),"",ROW($1:$99)+1),COLUMN(K25)),SMALL(IF(ISERROR(SEARCH(MID(";"&amp;'CASE DATA'!$F25&amp;";",ROW($1:$99),1),";")),"",ROW($1:$99)),COLUMN(K24)+1)-SMALL(IF(ISERROR(SEARCH(MID(";"&amp;'CASE DATA'!$F25&amp;";",ROW($1:$99),1),";")),"",ROW($1:$99)),COLUMN(K24))-1)</f>
        <v/>
      </c>
      <c r="AH25" s="75" t="str" cm="1">
        <f t="array" ref="AH25">MID(";"&amp;'CASE DATA'!$F25&amp;";",SMALL(IF(ISERROR(SEARCH(MID(";"&amp;'CASE DATA'!$F25&amp;";",ROW($1:$99),1),";")),"",ROW($1:$99)+1),COLUMN(L25)),SMALL(IF(ISERROR(SEARCH(MID(";"&amp;'CASE DATA'!$F25&amp;";",ROW($1:$99),1),";")),"",ROW($1:$99)),COLUMN(L24)+1)-SMALL(IF(ISERROR(SEARCH(MID(";"&amp;'CASE DATA'!$F25&amp;";",ROW($1:$99),1),";")),"",ROW($1:$99)),COLUMN(L24))-1)</f>
        <v/>
      </c>
      <c r="AI25" s="75" t="str" cm="1">
        <f t="array" ref="AI25">MID(";"&amp;'CASE DATA'!$F25&amp;";",SMALL(IF(ISERROR(SEARCH(MID(";"&amp;'CASE DATA'!$F25&amp;";",ROW($1:$99),1),";")),"",ROW($1:$99)+1),COLUMN(M25)),SMALL(IF(ISERROR(SEARCH(MID(";"&amp;'CASE DATA'!$F25&amp;";",ROW($1:$99),1),";")),"",ROW($1:$99)),COLUMN(M24)+1)-SMALL(IF(ISERROR(SEARCH(MID(";"&amp;'CASE DATA'!$F25&amp;";",ROW($1:$99),1),";")),"",ROW($1:$99)),COLUMN(M24))-1)</f>
        <v/>
      </c>
      <c r="BO25" s="99"/>
      <c r="BP25" s="99"/>
      <c r="BQ25" s="99"/>
      <c r="BR25" s="99"/>
      <c r="BS25" s="99"/>
      <c r="BT25" s="99"/>
      <c r="BU25" s="99"/>
      <c r="BV25" s="99"/>
      <c r="BW25" s="99"/>
      <c r="BX25" s="99"/>
      <c r="BY25" s="99"/>
      <c r="BZ25" s="99"/>
      <c r="CA25" s="99"/>
      <c r="CB25" s="99"/>
      <c r="CC25" s="99"/>
      <c r="CD25" s="99"/>
      <c r="CE25" s="99"/>
      <c r="CF25" s="99"/>
      <c r="CG25" s="99"/>
      <c r="CH25" s="99"/>
      <c r="CI25" s="99"/>
      <c r="CJ25" s="99"/>
      <c r="CK25" s="99"/>
      <c r="CL25" s="99"/>
      <c r="CM25" s="99"/>
      <c r="CN25" s="99"/>
      <c r="CO25" s="99"/>
      <c r="CP25" s="99"/>
      <c r="CQ25" s="99"/>
      <c r="CR25" s="99"/>
      <c r="CS25" s="99"/>
      <c r="CT25" s="99"/>
      <c r="CU25" s="99"/>
      <c r="CV25" s="99"/>
      <c r="CW25" s="99"/>
      <c r="CX25" s="99"/>
      <c r="CY25" s="99"/>
      <c r="CZ25" s="99"/>
      <c r="DA25" s="99"/>
      <c r="DB25" s="99"/>
      <c r="DC25" s="99"/>
      <c r="DD25" s="99"/>
      <c r="DE25" s="99"/>
      <c r="DF25" s="99"/>
      <c r="DG25" s="99"/>
      <c r="DH25" s="99"/>
      <c r="DI25" s="99"/>
      <c r="DJ25" s="99"/>
      <c r="DK25" s="99"/>
      <c r="DL25" s="99"/>
      <c r="DM25" s="99"/>
      <c r="DN25" s="99"/>
      <c r="DO25" s="99"/>
      <c r="DP25" s="99"/>
      <c r="DQ25" s="99"/>
      <c r="DR25" s="99"/>
      <c r="DS25" s="99"/>
      <c r="DT25" s="99"/>
      <c r="DU25" s="99"/>
      <c r="DV25" s="99"/>
      <c r="DW25" s="99"/>
      <c r="DX25" s="99"/>
      <c r="DY25" s="99"/>
      <c r="DZ25" s="99"/>
      <c r="EA25" s="99"/>
      <c r="EB25" s="99"/>
      <c r="EC25" s="99"/>
      <c r="ED25" s="99"/>
      <c r="EE25" s="99"/>
      <c r="EF25" s="99"/>
      <c r="EG25" s="99"/>
      <c r="EH25" s="99"/>
      <c r="EI25" s="99"/>
      <c r="EJ25" s="99"/>
      <c r="EK25" s="99"/>
      <c r="EL25" s="99"/>
      <c r="EM25" s="99"/>
      <c r="EN25" s="99"/>
      <c r="EO25" s="99"/>
      <c r="EP25" s="99"/>
      <c r="EQ25" s="99"/>
      <c r="ER25" s="99"/>
      <c r="ES25" s="99"/>
      <c r="ET25" s="99"/>
      <c r="EU25" s="99"/>
      <c r="EV25" s="99"/>
      <c r="EW25" s="99"/>
      <c r="EX25" s="99"/>
      <c r="EY25" s="99"/>
      <c r="EZ25" s="99"/>
      <c r="FA25" s="99"/>
      <c r="FB25" s="99"/>
      <c r="FC25" s="99"/>
      <c r="FD25" s="99"/>
      <c r="FE25" s="99"/>
      <c r="FF25" s="99"/>
      <c r="FG25" s="99"/>
      <c r="FH25" s="99"/>
      <c r="FI25" s="99"/>
      <c r="FJ25" s="99"/>
      <c r="FK25" s="99"/>
    </row>
    <row r="26" spans="1:167" x14ac:dyDescent="0.25">
      <c r="C26" s="10"/>
      <c r="D26" s="10"/>
      <c r="E26" s="11"/>
      <c r="F26" s="15"/>
      <c r="J26" s="99">
        <v>23</v>
      </c>
      <c r="K26" s="16"/>
      <c r="L26" s="16"/>
      <c r="M26" s="16"/>
      <c r="N26" s="16"/>
      <c r="O26" s="16"/>
      <c r="P26" s="16"/>
      <c r="Q26" s="16"/>
      <c r="R26" s="16"/>
      <c r="S26" s="16"/>
      <c r="T26" s="16"/>
      <c r="U26" s="14">
        <f>SUM(K26:T26)</f>
        <v>0</v>
      </c>
      <c r="V26" s="14"/>
      <c r="X26" s="75" t="str" cm="1">
        <f t="array" ref="X26">MID(";"&amp;'CASE DATA'!$F26&amp;";",SMALL(IF(ISERROR(SEARCH(MID(";"&amp;'CASE DATA'!$F26&amp;";",ROW($1:$99),1),";")),"",ROW($1:$99)+1),COLUMN(A26)),SMALL(IF(ISERROR(SEARCH(MID(";"&amp;'CASE DATA'!$F26&amp;";",ROW($1:$99),1),";")),"",ROW($1:$99)),COLUMN(A25)+1)-SMALL(IF(ISERROR(SEARCH(MID(";"&amp;'CASE DATA'!$F26&amp;";",ROW($1:$99),1),";")),"",ROW($1:$99)),COLUMN(A25))-1)</f>
        <v/>
      </c>
      <c r="Y26" s="75" t="str" cm="1">
        <f t="array" ref="Y26">MID(";"&amp;'CASE DATA'!$F26&amp;";",SMALL(IF(ISERROR(SEARCH(MID(";"&amp;'CASE DATA'!$F26&amp;";",ROW($1:$99),1),";")),"",ROW($1:$99)+1),COLUMN(B26)),SMALL(IF(ISERROR(SEARCH(MID(";"&amp;'CASE DATA'!$F26&amp;";",ROW($1:$99),1),";")),"",ROW($1:$99)),COLUMN(B25)+1)-SMALL(IF(ISERROR(SEARCH(MID(";"&amp;'CASE DATA'!$F26&amp;";",ROW($1:$99),1),";")),"",ROW($1:$99)),COLUMN(B25))-1)</f>
        <v/>
      </c>
      <c r="Z26" s="75" t="str" cm="1">
        <f t="array" ref="Z26">MID(";"&amp;'CASE DATA'!$F26&amp;";",SMALL(IF(ISERROR(SEARCH(MID(";"&amp;'CASE DATA'!$F26&amp;";",ROW($1:$99),1),";")),"",ROW($1:$99)+1),COLUMN(C26)),SMALL(IF(ISERROR(SEARCH(MID(";"&amp;'CASE DATA'!$F26&amp;";",ROW($1:$99),1),";")),"",ROW($1:$99)),COLUMN(C25)+1)-SMALL(IF(ISERROR(SEARCH(MID(";"&amp;'CASE DATA'!$F26&amp;";",ROW($1:$99),1),";")),"",ROW($1:$99)),COLUMN(C25))-1)</f>
        <v/>
      </c>
      <c r="AA26" s="75" t="str" cm="1">
        <f t="array" ref="AA26">MID(";"&amp;'CASE DATA'!$F26&amp;";",SMALL(IF(ISERROR(SEARCH(MID(";"&amp;'CASE DATA'!$F26&amp;";",ROW($1:$99),1),";")),"",ROW($1:$99)+1),COLUMN(D26)),SMALL(IF(ISERROR(SEARCH(MID(";"&amp;'CASE DATA'!$F26&amp;";",ROW($1:$99),1),";")),"",ROW($1:$99)),COLUMN(D25)+1)-SMALL(IF(ISERROR(SEARCH(MID(";"&amp;'CASE DATA'!$F26&amp;";",ROW($1:$99),1),";")),"",ROW($1:$99)),COLUMN(D25))-1)</f>
        <v/>
      </c>
      <c r="AB26" s="75" t="str" cm="1">
        <f t="array" ref="AB26">MID(";"&amp;'CASE DATA'!$F26&amp;";",SMALL(IF(ISERROR(SEARCH(MID(";"&amp;'CASE DATA'!$F26&amp;";",ROW($1:$99),1),";")),"",ROW($1:$99)+1),COLUMN(E26)),SMALL(IF(ISERROR(SEARCH(MID(";"&amp;'CASE DATA'!$F26&amp;";",ROW($1:$99),1),";")),"",ROW($1:$99)),COLUMN(E25)+1)-SMALL(IF(ISERROR(SEARCH(MID(";"&amp;'CASE DATA'!$F26&amp;";",ROW($1:$99),1),";")),"",ROW($1:$99)),COLUMN(E25))-1)</f>
        <v/>
      </c>
      <c r="AC26" s="75" t="str" cm="1">
        <f t="array" ref="AC26">MID(";"&amp;'CASE DATA'!$F26&amp;";",SMALL(IF(ISERROR(SEARCH(MID(";"&amp;'CASE DATA'!$F26&amp;";",ROW($1:$99),1),";")),"",ROW($1:$99)+1),COLUMN(F26)),SMALL(IF(ISERROR(SEARCH(MID(";"&amp;'CASE DATA'!$F26&amp;";",ROW($1:$99),1),";")),"",ROW($1:$99)),COLUMN(F25)+1)-SMALL(IF(ISERROR(SEARCH(MID(";"&amp;'CASE DATA'!$F26&amp;";",ROW($1:$99),1),";")),"",ROW($1:$99)),COLUMN(F25))-1)</f>
        <v/>
      </c>
      <c r="AD26" s="75" t="str" cm="1">
        <f t="array" ref="AD26">MID(";"&amp;'CASE DATA'!$F26&amp;";",SMALL(IF(ISERROR(SEARCH(MID(";"&amp;'CASE DATA'!$F26&amp;";",ROW($1:$99),1),";")),"",ROW($1:$99)+1),COLUMN(G26)),SMALL(IF(ISERROR(SEARCH(MID(";"&amp;'CASE DATA'!$F26&amp;";",ROW($1:$99),1),";")),"",ROW($1:$99)),COLUMN(G25)+1)-SMALL(IF(ISERROR(SEARCH(MID(";"&amp;'CASE DATA'!$F26&amp;";",ROW($1:$99),1),";")),"",ROW($1:$99)),COLUMN(G25))-1)</f>
        <v/>
      </c>
      <c r="AE26" s="75" t="str" cm="1">
        <f t="array" ref="AE26">MID(";"&amp;'CASE DATA'!$F26&amp;";",SMALL(IF(ISERROR(SEARCH(MID(";"&amp;'CASE DATA'!$F26&amp;";",ROW($1:$99),1),";")),"",ROW($1:$99)+1),COLUMN(H26)),SMALL(IF(ISERROR(SEARCH(MID(";"&amp;'CASE DATA'!$F26&amp;";",ROW($1:$99),1),";")),"",ROW($1:$99)),COLUMN(H25)+1)-SMALL(IF(ISERROR(SEARCH(MID(";"&amp;'CASE DATA'!$F26&amp;";",ROW($1:$99),1),";")),"",ROW($1:$99)),COLUMN(H25))-1)</f>
        <v/>
      </c>
      <c r="AF26" s="75" t="str" cm="1">
        <f t="array" ref="AF26">MID(";"&amp;'CASE DATA'!$F26&amp;";",SMALL(IF(ISERROR(SEARCH(MID(";"&amp;'CASE DATA'!$F26&amp;";",ROW($1:$99),1),";")),"",ROW($1:$99)+1),COLUMN(I26)),SMALL(IF(ISERROR(SEARCH(MID(";"&amp;'CASE DATA'!$F26&amp;";",ROW($1:$99),1),";")),"",ROW($1:$99)),COLUMN(I25)+1)-SMALL(IF(ISERROR(SEARCH(MID(";"&amp;'CASE DATA'!$F26&amp;";",ROW($1:$99),1),";")),"",ROW($1:$99)),COLUMN(I25))-1)</f>
        <v/>
      </c>
      <c r="AG26" s="75" t="str" cm="1">
        <f t="array" ref="AG26">MID(";"&amp;'CASE DATA'!$F26&amp;";",SMALL(IF(ISERROR(SEARCH(MID(";"&amp;'CASE DATA'!$F26&amp;";",ROW($1:$99),1),";")),"",ROW($1:$99)+1),COLUMN(K26)),SMALL(IF(ISERROR(SEARCH(MID(";"&amp;'CASE DATA'!$F26&amp;";",ROW($1:$99),1),";")),"",ROW($1:$99)),COLUMN(K25)+1)-SMALL(IF(ISERROR(SEARCH(MID(";"&amp;'CASE DATA'!$F26&amp;";",ROW($1:$99),1),";")),"",ROW($1:$99)),COLUMN(K25))-1)</f>
        <v/>
      </c>
      <c r="AH26" s="75" t="str" cm="1">
        <f t="array" ref="AH26">MID(";"&amp;'CASE DATA'!$F26&amp;";",SMALL(IF(ISERROR(SEARCH(MID(";"&amp;'CASE DATA'!$F26&amp;";",ROW($1:$99),1),";")),"",ROW($1:$99)+1),COLUMN(L26)),SMALL(IF(ISERROR(SEARCH(MID(";"&amp;'CASE DATA'!$F26&amp;";",ROW($1:$99),1),";")),"",ROW($1:$99)),COLUMN(L25)+1)-SMALL(IF(ISERROR(SEARCH(MID(";"&amp;'CASE DATA'!$F26&amp;";",ROW($1:$99),1),";")),"",ROW($1:$99)),COLUMN(L25))-1)</f>
        <v/>
      </c>
      <c r="AI26" s="75" t="str" cm="1">
        <f t="array" ref="AI26">MID(";"&amp;'CASE DATA'!$F26&amp;";",SMALL(IF(ISERROR(SEARCH(MID(";"&amp;'CASE DATA'!$F26&amp;";",ROW($1:$99),1),";")),"",ROW($1:$99)+1),COLUMN(M26)),SMALL(IF(ISERROR(SEARCH(MID(";"&amp;'CASE DATA'!$F26&amp;";",ROW($1:$99),1),";")),"",ROW($1:$99)),COLUMN(M25)+1)-SMALL(IF(ISERROR(SEARCH(MID(";"&amp;'CASE DATA'!$F26&amp;";",ROW($1:$99),1),";")),"",ROW($1:$99)),COLUMN(M25))-1)</f>
        <v/>
      </c>
      <c r="BO26" s="99"/>
      <c r="BP26" s="99"/>
      <c r="BQ26" s="99"/>
      <c r="BR26" s="99"/>
      <c r="BS26" s="99"/>
      <c r="BT26" s="99"/>
      <c r="BU26" s="99"/>
      <c r="BV26" s="99"/>
      <c r="BW26" s="99"/>
      <c r="BX26" s="99"/>
      <c r="BY26" s="99"/>
      <c r="BZ26" s="99"/>
      <c r="CA26" s="99"/>
      <c r="CB26" s="99"/>
      <c r="CC26" s="99"/>
      <c r="CD26" s="99"/>
      <c r="CE26" s="99"/>
      <c r="CF26" s="99"/>
      <c r="CG26" s="99"/>
      <c r="CH26" s="99"/>
      <c r="CI26" s="99"/>
      <c r="CJ26" s="99"/>
      <c r="CK26" s="99"/>
      <c r="CL26" s="99"/>
      <c r="CM26" s="99"/>
      <c r="CN26" s="99"/>
      <c r="CO26" s="99"/>
      <c r="CP26" s="99"/>
      <c r="CQ26" s="99"/>
      <c r="CR26" s="99"/>
      <c r="CS26" s="99"/>
      <c r="CT26" s="99"/>
      <c r="CU26" s="99"/>
      <c r="CV26" s="99"/>
      <c r="CW26" s="99"/>
      <c r="CX26" s="99"/>
      <c r="CY26" s="99"/>
      <c r="CZ26" s="99"/>
      <c r="DA26" s="99"/>
      <c r="DB26" s="99"/>
      <c r="DC26" s="99"/>
      <c r="DD26" s="99"/>
      <c r="DE26" s="99"/>
      <c r="DF26" s="99"/>
      <c r="DG26" s="99"/>
      <c r="DH26" s="99"/>
      <c r="DI26" s="99"/>
      <c r="DJ26" s="99"/>
      <c r="DK26" s="99"/>
      <c r="DL26" s="99"/>
      <c r="DM26" s="99"/>
      <c r="DN26" s="99"/>
      <c r="DO26" s="99"/>
      <c r="DP26" s="99"/>
      <c r="DQ26" s="99"/>
      <c r="DR26" s="99"/>
      <c r="DS26" s="99"/>
      <c r="DT26" s="99"/>
      <c r="DU26" s="99"/>
      <c r="DV26" s="99"/>
      <c r="DW26" s="99"/>
      <c r="DX26" s="99"/>
      <c r="DY26" s="99"/>
      <c r="DZ26" s="99"/>
      <c r="EA26" s="99"/>
      <c r="EB26" s="99"/>
      <c r="EC26" s="99"/>
      <c r="ED26" s="99"/>
      <c r="EE26" s="99"/>
      <c r="EF26" s="99"/>
      <c r="EG26" s="99"/>
      <c r="EH26" s="99"/>
      <c r="EI26" s="99"/>
      <c r="EJ26" s="99"/>
      <c r="EK26" s="99"/>
      <c r="EL26" s="99"/>
      <c r="EM26" s="99"/>
      <c r="EN26" s="99"/>
      <c r="EO26" s="99"/>
      <c r="EP26" s="99"/>
      <c r="EQ26" s="99"/>
      <c r="ER26" s="99"/>
      <c r="ES26" s="99"/>
      <c r="ET26" s="99"/>
      <c r="EU26" s="99"/>
      <c r="EV26" s="99"/>
      <c r="EW26" s="99"/>
      <c r="EX26" s="99"/>
      <c r="EY26" s="99"/>
      <c r="EZ26" s="99"/>
      <c r="FA26" s="99"/>
      <c r="FB26" s="99"/>
      <c r="FC26" s="99"/>
      <c r="FD26" s="99"/>
      <c r="FE26" s="99"/>
      <c r="FF26" s="99"/>
      <c r="FG26" s="99"/>
      <c r="FH26" s="99"/>
      <c r="FI26" s="99"/>
      <c r="FJ26" s="99"/>
      <c r="FK26" s="99"/>
    </row>
    <row r="27" spans="1:167" x14ac:dyDescent="0.25">
      <c r="A27" s="11"/>
      <c r="C27" s="10"/>
      <c r="D27" s="10"/>
      <c r="E27" s="11"/>
      <c r="F27" s="15"/>
      <c r="J27" s="99">
        <v>24</v>
      </c>
      <c r="K27" s="16"/>
      <c r="L27" s="16"/>
      <c r="M27" s="16"/>
      <c r="N27" s="16"/>
      <c r="O27" s="16"/>
      <c r="P27" s="16"/>
      <c r="Q27" s="16"/>
      <c r="R27" s="16"/>
      <c r="S27" s="16"/>
      <c r="T27" s="16"/>
      <c r="U27" s="14">
        <f>SUM(K27:T27)</f>
        <v>0</v>
      </c>
      <c r="V27" s="14"/>
      <c r="X27" s="75" t="str" cm="1">
        <f t="array" ref="X27">MID(";"&amp;'CASE DATA'!$F27&amp;";",SMALL(IF(ISERROR(SEARCH(MID(";"&amp;'CASE DATA'!$F27&amp;";",ROW($1:$99),1),";")),"",ROW($1:$99)+1),COLUMN(A27)),SMALL(IF(ISERROR(SEARCH(MID(";"&amp;'CASE DATA'!$F27&amp;";",ROW($1:$99),1),";")),"",ROW($1:$99)),COLUMN(A26)+1)-SMALL(IF(ISERROR(SEARCH(MID(";"&amp;'CASE DATA'!$F27&amp;";",ROW($1:$99),1),";")),"",ROW($1:$99)),COLUMN(A26))-1)</f>
        <v/>
      </c>
      <c r="Y27" s="75" t="str" cm="1">
        <f t="array" ref="Y27">MID(";"&amp;'CASE DATA'!$F27&amp;";",SMALL(IF(ISERROR(SEARCH(MID(";"&amp;'CASE DATA'!$F27&amp;";",ROW($1:$99),1),";")),"",ROW($1:$99)+1),COLUMN(B27)),SMALL(IF(ISERROR(SEARCH(MID(";"&amp;'CASE DATA'!$F27&amp;";",ROW($1:$99),1),";")),"",ROW($1:$99)),COLUMN(B26)+1)-SMALL(IF(ISERROR(SEARCH(MID(";"&amp;'CASE DATA'!$F27&amp;";",ROW($1:$99),1),";")),"",ROW($1:$99)),COLUMN(B26))-1)</f>
        <v/>
      </c>
      <c r="Z27" s="75" t="str" cm="1">
        <f t="array" ref="Z27">MID(";"&amp;'CASE DATA'!$F27&amp;";",SMALL(IF(ISERROR(SEARCH(MID(";"&amp;'CASE DATA'!$F27&amp;";",ROW($1:$99),1),";")),"",ROW($1:$99)+1),COLUMN(C27)),SMALL(IF(ISERROR(SEARCH(MID(";"&amp;'CASE DATA'!$F27&amp;";",ROW($1:$99),1),";")),"",ROW($1:$99)),COLUMN(C26)+1)-SMALL(IF(ISERROR(SEARCH(MID(";"&amp;'CASE DATA'!$F27&amp;";",ROW($1:$99),1),";")),"",ROW($1:$99)),COLUMN(C26))-1)</f>
        <v/>
      </c>
      <c r="AA27" s="75" t="str" cm="1">
        <f t="array" ref="AA27">MID(";"&amp;'CASE DATA'!$F27&amp;";",SMALL(IF(ISERROR(SEARCH(MID(";"&amp;'CASE DATA'!$F27&amp;";",ROW($1:$99),1),";")),"",ROW($1:$99)+1),COLUMN(D27)),SMALL(IF(ISERROR(SEARCH(MID(";"&amp;'CASE DATA'!$F27&amp;";",ROW($1:$99),1),";")),"",ROW($1:$99)),COLUMN(D26)+1)-SMALL(IF(ISERROR(SEARCH(MID(";"&amp;'CASE DATA'!$F27&amp;";",ROW($1:$99),1),";")),"",ROW($1:$99)),COLUMN(D26))-1)</f>
        <v/>
      </c>
      <c r="AB27" s="75" t="str" cm="1">
        <f t="array" ref="AB27">MID(";"&amp;'CASE DATA'!$F27&amp;";",SMALL(IF(ISERROR(SEARCH(MID(";"&amp;'CASE DATA'!$F27&amp;";",ROW($1:$99),1),";")),"",ROW($1:$99)+1),COLUMN(E27)),SMALL(IF(ISERROR(SEARCH(MID(";"&amp;'CASE DATA'!$F27&amp;";",ROW($1:$99),1),";")),"",ROW($1:$99)),COLUMN(E26)+1)-SMALL(IF(ISERROR(SEARCH(MID(";"&amp;'CASE DATA'!$F27&amp;";",ROW($1:$99),1),";")),"",ROW($1:$99)),COLUMN(E26))-1)</f>
        <v/>
      </c>
      <c r="AC27" s="75" t="str" cm="1">
        <f t="array" ref="AC27">MID(";"&amp;'CASE DATA'!$F27&amp;";",SMALL(IF(ISERROR(SEARCH(MID(";"&amp;'CASE DATA'!$F27&amp;";",ROW($1:$99),1),";")),"",ROW($1:$99)+1),COLUMN(F27)),SMALL(IF(ISERROR(SEARCH(MID(";"&amp;'CASE DATA'!$F27&amp;";",ROW($1:$99),1),";")),"",ROW($1:$99)),COLUMN(F26)+1)-SMALL(IF(ISERROR(SEARCH(MID(";"&amp;'CASE DATA'!$F27&amp;";",ROW($1:$99),1),";")),"",ROW($1:$99)),COLUMN(F26))-1)</f>
        <v/>
      </c>
      <c r="AD27" s="75" t="str" cm="1">
        <f t="array" ref="AD27">MID(";"&amp;'CASE DATA'!$F27&amp;";",SMALL(IF(ISERROR(SEARCH(MID(";"&amp;'CASE DATA'!$F27&amp;";",ROW($1:$99),1),";")),"",ROW($1:$99)+1),COLUMN(G27)),SMALL(IF(ISERROR(SEARCH(MID(";"&amp;'CASE DATA'!$F27&amp;";",ROW($1:$99),1),";")),"",ROW($1:$99)),COLUMN(G26)+1)-SMALL(IF(ISERROR(SEARCH(MID(";"&amp;'CASE DATA'!$F27&amp;";",ROW($1:$99),1),";")),"",ROW($1:$99)),COLUMN(G26))-1)</f>
        <v/>
      </c>
      <c r="AE27" s="75" t="str" cm="1">
        <f t="array" ref="AE27">MID(";"&amp;'CASE DATA'!$F27&amp;";",SMALL(IF(ISERROR(SEARCH(MID(";"&amp;'CASE DATA'!$F27&amp;";",ROW($1:$99),1),";")),"",ROW($1:$99)+1),COLUMN(H27)),SMALL(IF(ISERROR(SEARCH(MID(";"&amp;'CASE DATA'!$F27&amp;";",ROW($1:$99),1),";")),"",ROW($1:$99)),COLUMN(H26)+1)-SMALL(IF(ISERROR(SEARCH(MID(";"&amp;'CASE DATA'!$F27&amp;";",ROW($1:$99),1),";")),"",ROW($1:$99)),COLUMN(H26))-1)</f>
        <v/>
      </c>
      <c r="AF27" s="75" t="str" cm="1">
        <f t="array" ref="AF27">MID(";"&amp;'CASE DATA'!$F27&amp;";",SMALL(IF(ISERROR(SEARCH(MID(";"&amp;'CASE DATA'!$F27&amp;";",ROW($1:$99),1),";")),"",ROW($1:$99)+1),COLUMN(I27)),SMALL(IF(ISERROR(SEARCH(MID(";"&amp;'CASE DATA'!$F27&amp;";",ROW($1:$99),1),";")),"",ROW($1:$99)),COLUMN(I26)+1)-SMALL(IF(ISERROR(SEARCH(MID(";"&amp;'CASE DATA'!$F27&amp;";",ROW($1:$99),1),";")),"",ROW($1:$99)),COLUMN(I26))-1)</f>
        <v/>
      </c>
      <c r="AG27" s="75" t="str" cm="1">
        <f t="array" ref="AG27">MID(";"&amp;'CASE DATA'!$F27&amp;";",SMALL(IF(ISERROR(SEARCH(MID(";"&amp;'CASE DATA'!$F27&amp;";",ROW($1:$99),1),";")),"",ROW($1:$99)+1),COLUMN(K27)),SMALL(IF(ISERROR(SEARCH(MID(";"&amp;'CASE DATA'!$F27&amp;";",ROW($1:$99),1),";")),"",ROW($1:$99)),COLUMN(K26)+1)-SMALL(IF(ISERROR(SEARCH(MID(";"&amp;'CASE DATA'!$F27&amp;";",ROW($1:$99),1),";")),"",ROW($1:$99)),COLUMN(K26))-1)</f>
        <v/>
      </c>
      <c r="AH27" s="75" t="str" cm="1">
        <f t="array" ref="AH27">MID(";"&amp;'CASE DATA'!$F27&amp;";",SMALL(IF(ISERROR(SEARCH(MID(";"&amp;'CASE DATA'!$F27&amp;";",ROW($1:$99),1),";")),"",ROW($1:$99)+1),COLUMN(L27)),SMALL(IF(ISERROR(SEARCH(MID(";"&amp;'CASE DATA'!$F27&amp;";",ROW($1:$99),1),";")),"",ROW($1:$99)),COLUMN(L26)+1)-SMALL(IF(ISERROR(SEARCH(MID(";"&amp;'CASE DATA'!$F27&amp;";",ROW($1:$99),1),";")),"",ROW($1:$99)),COLUMN(L26))-1)</f>
        <v/>
      </c>
      <c r="AI27" s="75" t="str" cm="1">
        <f t="array" ref="AI27">MID(";"&amp;'CASE DATA'!$F27&amp;";",SMALL(IF(ISERROR(SEARCH(MID(";"&amp;'CASE DATA'!$F27&amp;";",ROW($1:$99),1),";")),"",ROW($1:$99)+1),COLUMN(M27)),SMALL(IF(ISERROR(SEARCH(MID(";"&amp;'CASE DATA'!$F27&amp;";",ROW($1:$99),1),";")),"",ROW($1:$99)),COLUMN(M26)+1)-SMALL(IF(ISERROR(SEARCH(MID(";"&amp;'CASE DATA'!$F27&amp;";",ROW($1:$99),1),";")),"",ROW($1:$99)),COLUMN(M26))-1)</f>
        <v/>
      </c>
      <c r="BO27" s="99"/>
      <c r="BP27" s="99"/>
      <c r="BQ27" s="99"/>
      <c r="BR27" s="99"/>
      <c r="BS27" s="99"/>
      <c r="BT27" s="99"/>
      <c r="BU27" s="99"/>
      <c r="BV27" s="99"/>
      <c r="BW27" s="99"/>
      <c r="BX27" s="99"/>
      <c r="BY27" s="99"/>
      <c r="BZ27" s="99"/>
      <c r="CA27" s="99"/>
      <c r="CB27" s="99"/>
      <c r="CC27" s="99"/>
      <c r="CD27" s="99"/>
      <c r="CE27" s="99"/>
      <c r="CF27" s="99"/>
      <c r="CG27" s="99"/>
      <c r="CH27" s="99"/>
      <c r="CI27" s="99"/>
      <c r="CJ27" s="99"/>
      <c r="CK27" s="99"/>
      <c r="CL27" s="99"/>
      <c r="CM27" s="99"/>
      <c r="CN27" s="99"/>
      <c r="CO27" s="99"/>
      <c r="CP27" s="99"/>
      <c r="CQ27" s="99"/>
      <c r="CR27" s="99"/>
      <c r="CS27" s="99"/>
      <c r="CT27" s="99"/>
      <c r="CU27" s="99"/>
      <c r="CV27" s="99"/>
      <c r="CW27" s="99"/>
      <c r="CX27" s="99"/>
      <c r="CY27" s="99"/>
      <c r="CZ27" s="99"/>
      <c r="DA27" s="99"/>
      <c r="DB27" s="99"/>
      <c r="DC27" s="99"/>
      <c r="DD27" s="99"/>
      <c r="DE27" s="99"/>
      <c r="DF27" s="99"/>
      <c r="DG27" s="99"/>
      <c r="DH27" s="99"/>
      <c r="DI27" s="99"/>
      <c r="DJ27" s="99"/>
      <c r="DK27" s="99"/>
      <c r="DL27" s="99"/>
      <c r="DM27" s="99"/>
      <c r="DN27" s="99"/>
      <c r="DO27" s="99"/>
      <c r="DP27" s="99"/>
      <c r="DQ27" s="99"/>
      <c r="DR27" s="99"/>
      <c r="DS27" s="99"/>
      <c r="DT27" s="99"/>
      <c r="DU27" s="99"/>
      <c r="DV27" s="99"/>
      <c r="DW27" s="99"/>
      <c r="DX27" s="99"/>
      <c r="DY27" s="99"/>
      <c r="DZ27" s="99"/>
      <c r="EA27" s="99"/>
      <c r="EB27" s="99"/>
      <c r="EC27" s="99"/>
      <c r="ED27" s="99"/>
      <c r="EE27" s="99"/>
      <c r="EF27" s="99"/>
      <c r="EG27" s="99"/>
      <c r="EH27" s="99"/>
      <c r="EI27" s="99"/>
      <c r="EJ27" s="99"/>
      <c r="EK27" s="99"/>
      <c r="EL27" s="99"/>
      <c r="EM27" s="99"/>
      <c r="EN27" s="99"/>
      <c r="EO27" s="99"/>
      <c r="EP27" s="99"/>
      <c r="EQ27" s="99"/>
      <c r="ER27" s="99"/>
      <c r="ES27" s="99"/>
      <c r="ET27" s="99"/>
      <c r="EU27" s="99"/>
      <c r="EV27" s="99"/>
      <c r="EW27" s="99"/>
      <c r="EX27" s="99"/>
      <c r="EY27" s="99"/>
      <c r="EZ27" s="99"/>
      <c r="FA27" s="99"/>
      <c r="FB27" s="99"/>
      <c r="FC27" s="99"/>
      <c r="FD27" s="99"/>
      <c r="FE27" s="99"/>
      <c r="FF27" s="99"/>
      <c r="FG27" s="99"/>
      <c r="FH27" s="99"/>
      <c r="FI27" s="99"/>
      <c r="FJ27" s="99"/>
      <c r="FK27" s="99"/>
    </row>
    <row r="28" spans="1:167" x14ac:dyDescent="0.25">
      <c r="C28" s="10"/>
      <c r="D28" s="10"/>
      <c r="E28" s="11"/>
      <c r="F28" s="12"/>
      <c r="J28" s="99">
        <v>25</v>
      </c>
      <c r="K28" s="13"/>
      <c r="L28" s="13"/>
      <c r="M28" s="13"/>
      <c r="N28" s="13"/>
      <c r="O28" s="13"/>
      <c r="P28" s="13"/>
      <c r="Q28" s="13"/>
      <c r="R28" s="13"/>
      <c r="S28" s="13"/>
      <c r="T28" s="13"/>
      <c r="U28" s="14">
        <f>SUM(K28:T28)</f>
        <v>0</v>
      </c>
      <c r="V28" s="14"/>
      <c r="X28" s="75" t="str" cm="1">
        <f t="array" ref="X28">MID(";"&amp;'CASE DATA'!$F28&amp;";",SMALL(IF(ISERROR(SEARCH(MID(";"&amp;'CASE DATA'!$F28&amp;";",ROW($1:$99),1),";")),"",ROW($1:$99)+1),COLUMN(A28)),SMALL(IF(ISERROR(SEARCH(MID(";"&amp;'CASE DATA'!$F28&amp;";",ROW($1:$99),1),";")),"",ROW($1:$99)),COLUMN(A27)+1)-SMALL(IF(ISERROR(SEARCH(MID(";"&amp;'CASE DATA'!$F28&amp;";",ROW($1:$99),1),";")),"",ROW($1:$99)),COLUMN(A27))-1)</f>
        <v/>
      </c>
      <c r="Y28" s="75" t="str" cm="1">
        <f t="array" ref="Y28">MID(";"&amp;'CASE DATA'!$F28&amp;";",SMALL(IF(ISERROR(SEARCH(MID(";"&amp;'CASE DATA'!$F28&amp;";",ROW($1:$99),1),";")),"",ROW($1:$99)+1),COLUMN(B28)),SMALL(IF(ISERROR(SEARCH(MID(";"&amp;'CASE DATA'!$F28&amp;";",ROW($1:$99),1),";")),"",ROW($1:$99)),COLUMN(B27)+1)-SMALL(IF(ISERROR(SEARCH(MID(";"&amp;'CASE DATA'!$F28&amp;";",ROW($1:$99),1),";")),"",ROW($1:$99)),COLUMN(B27))-1)</f>
        <v/>
      </c>
      <c r="Z28" s="75" t="str" cm="1">
        <f t="array" ref="Z28">MID(";"&amp;'CASE DATA'!$F28&amp;";",SMALL(IF(ISERROR(SEARCH(MID(";"&amp;'CASE DATA'!$F28&amp;";",ROW($1:$99),1),";")),"",ROW($1:$99)+1),COLUMN(C28)),SMALL(IF(ISERROR(SEARCH(MID(";"&amp;'CASE DATA'!$F28&amp;";",ROW($1:$99),1),";")),"",ROW($1:$99)),COLUMN(C27)+1)-SMALL(IF(ISERROR(SEARCH(MID(";"&amp;'CASE DATA'!$F28&amp;";",ROW($1:$99),1),";")),"",ROW($1:$99)),COLUMN(C27))-1)</f>
        <v/>
      </c>
      <c r="AA28" s="75" t="str" cm="1">
        <f t="array" ref="AA28">MID(";"&amp;'CASE DATA'!$F28&amp;";",SMALL(IF(ISERROR(SEARCH(MID(";"&amp;'CASE DATA'!$F28&amp;";",ROW($1:$99),1),";")),"",ROW($1:$99)+1),COLUMN(D28)),SMALL(IF(ISERROR(SEARCH(MID(";"&amp;'CASE DATA'!$F28&amp;";",ROW($1:$99),1),";")),"",ROW($1:$99)),COLUMN(D27)+1)-SMALL(IF(ISERROR(SEARCH(MID(";"&amp;'CASE DATA'!$F28&amp;";",ROW($1:$99),1),";")),"",ROW($1:$99)),COLUMN(D27))-1)</f>
        <v/>
      </c>
      <c r="AB28" s="75" t="str" cm="1">
        <f t="array" ref="AB28">MID(";"&amp;'CASE DATA'!$F28&amp;";",SMALL(IF(ISERROR(SEARCH(MID(";"&amp;'CASE DATA'!$F28&amp;";",ROW($1:$99),1),";")),"",ROW($1:$99)+1),COLUMN(E28)),SMALL(IF(ISERROR(SEARCH(MID(";"&amp;'CASE DATA'!$F28&amp;";",ROW($1:$99),1),";")),"",ROW($1:$99)),COLUMN(E27)+1)-SMALL(IF(ISERROR(SEARCH(MID(";"&amp;'CASE DATA'!$F28&amp;";",ROW($1:$99),1),";")),"",ROW($1:$99)),COLUMN(E27))-1)</f>
        <v/>
      </c>
      <c r="AC28" s="75" t="str" cm="1">
        <f t="array" ref="AC28">MID(";"&amp;'CASE DATA'!$F28&amp;";",SMALL(IF(ISERROR(SEARCH(MID(";"&amp;'CASE DATA'!$F28&amp;";",ROW($1:$99),1),";")),"",ROW($1:$99)+1),COLUMN(F28)),SMALL(IF(ISERROR(SEARCH(MID(";"&amp;'CASE DATA'!$F28&amp;";",ROW($1:$99),1),";")),"",ROW($1:$99)),COLUMN(F27)+1)-SMALL(IF(ISERROR(SEARCH(MID(";"&amp;'CASE DATA'!$F28&amp;";",ROW($1:$99),1),";")),"",ROW($1:$99)),COLUMN(F27))-1)</f>
        <v/>
      </c>
      <c r="AD28" s="75" t="str" cm="1">
        <f t="array" ref="AD28">MID(";"&amp;'CASE DATA'!$F28&amp;";",SMALL(IF(ISERROR(SEARCH(MID(";"&amp;'CASE DATA'!$F28&amp;";",ROW($1:$99),1),";")),"",ROW($1:$99)+1),COLUMN(G28)),SMALL(IF(ISERROR(SEARCH(MID(";"&amp;'CASE DATA'!$F28&amp;";",ROW($1:$99),1),";")),"",ROW($1:$99)),COLUMN(G27)+1)-SMALL(IF(ISERROR(SEARCH(MID(";"&amp;'CASE DATA'!$F28&amp;";",ROW($1:$99),1),";")),"",ROW($1:$99)),COLUMN(G27))-1)</f>
        <v/>
      </c>
      <c r="AE28" s="75" t="str" cm="1">
        <f t="array" ref="AE28">MID(";"&amp;'CASE DATA'!$F28&amp;";",SMALL(IF(ISERROR(SEARCH(MID(";"&amp;'CASE DATA'!$F28&amp;";",ROW($1:$99),1),";")),"",ROW($1:$99)+1),COLUMN(H28)),SMALL(IF(ISERROR(SEARCH(MID(";"&amp;'CASE DATA'!$F28&amp;";",ROW($1:$99),1),";")),"",ROW($1:$99)),COLUMN(H27)+1)-SMALL(IF(ISERROR(SEARCH(MID(";"&amp;'CASE DATA'!$F28&amp;";",ROW($1:$99),1),";")),"",ROW($1:$99)),COLUMN(H27))-1)</f>
        <v/>
      </c>
      <c r="AF28" s="75" t="str" cm="1">
        <f t="array" ref="AF28">MID(";"&amp;'CASE DATA'!$F28&amp;";",SMALL(IF(ISERROR(SEARCH(MID(";"&amp;'CASE DATA'!$F28&amp;";",ROW($1:$99),1),";")),"",ROW($1:$99)+1),COLUMN(I28)),SMALL(IF(ISERROR(SEARCH(MID(";"&amp;'CASE DATA'!$F28&amp;";",ROW($1:$99),1),";")),"",ROW($1:$99)),COLUMN(I27)+1)-SMALL(IF(ISERROR(SEARCH(MID(";"&amp;'CASE DATA'!$F28&amp;";",ROW($1:$99),1),";")),"",ROW($1:$99)),COLUMN(I27))-1)</f>
        <v/>
      </c>
      <c r="AG28" s="75" t="str" cm="1">
        <f t="array" ref="AG28">MID(";"&amp;'CASE DATA'!$F28&amp;";",SMALL(IF(ISERROR(SEARCH(MID(";"&amp;'CASE DATA'!$F28&amp;";",ROW($1:$99),1),";")),"",ROW($1:$99)+1),COLUMN(K28)),SMALL(IF(ISERROR(SEARCH(MID(";"&amp;'CASE DATA'!$F28&amp;";",ROW($1:$99),1),";")),"",ROW($1:$99)),COLUMN(K27)+1)-SMALL(IF(ISERROR(SEARCH(MID(";"&amp;'CASE DATA'!$F28&amp;";",ROW($1:$99),1),";")),"",ROW($1:$99)),COLUMN(K27))-1)</f>
        <v/>
      </c>
      <c r="AH28" s="75" t="str" cm="1">
        <f t="array" ref="AH28">MID(";"&amp;'CASE DATA'!$F28&amp;";",SMALL(IF(ISERROR(SEARCH(MID(";"&amp;'CASE DATA'!$F28&amp;";",ROW($1:$99),1),";")),"",ROW($1:$99)+1),COLUMN(L28)),SMALL(IF(ISERROR(SEARCH(MID(";"&amp;'CASE DATA'!$F28&amp;";",ROW($1:$99),1),";")),"",ROW($1:$99)),COLUMN(L27)+1)-SMALL(IF(ISERROR(SEARCH(MID(";"&amp;'CASE DATA'!$F28&amp;";",ROW($1:$99),1),";")),"",ROW($1:$99)),COLUMN(L27))-1)</f>
        <v/>
      </c>
      <c r="AI28" s="75" t="str" cm="1">
        <f t="array" ref="AI28">MID(";"&amp;'CASE DATA'!$F28&amp;";",SMALL(IF(ISERROR(SEARCH(MID(";"&amp;'CASE DATA'!$F28&amp;";",ROW($1:$99),1),";")),"",ROW($1:$99)+1),COLUMN(M28)),SMALL(IF(ISERROR(SEARCH(MID(";"&amp;'CASE DATA'!$F28&amp;";",ROW($1:$99),1),";")),"",ROW($1:$99)),COLUMN(M27)+1)-SMALL(IF(ISERROR(SEARCH(MID(";"&amp;'CASE DATA'!$F28&amp;";",ROW($1:$99),1),";")),"",ROW($1:$99)),COLUMN(M27))-1)</f>
        <v/>
      </c>
      <c r="BO28" s="99"/>
      <c r="BP28" s="99"/>
      <c r="BQ28" s="99"/>
      <c r="BR28" s="99"/>
      <c r="BS28" s="99"/>
      <c r="BT28" s="99"/>
      <c r="BU28" s="99"/>
      <c r="BV28" s="99"/>
      <c r="BW28" s="99"/>
      <c r="BX28" s="99"/>
      <c r="BY28" s="99"/>
      <c r="BZ28" s="99"/>
      <c r="CA28" s="99"/>
      <c r="CB28" s="99"/>
      <c r="CC28" s="99"/>
      <c r="CD28" s="99"/>
      <c r="CE28" s="99"/>
      <c r="CF28" s="99"/>
      <c r="CG28" s="99"/>
      <c r="CH28" s="99"/>
      <c r="CI28" s="99"/>
      <c r="CJ28" s="99"/>
      <c r="CK28" s="99"/>
      <c r="CL28" s="99"/>
      <c r="CM28" s="99"/>
      <c r="CN28" s="99"/>
      <c r="CO28" s="99"/>
      <c r="CP28" s="99"/>
      <c r="CQ28" s="99"/>
      <c r="CR28" s="99"/>
      <c r="CS28" s="99"/>
      <c r="CT28" s="99"/>
      <c r="CU28" s="99"/>
      <c r="CV28" s="99"/>
      <c r="CW28" s="99"/>
      <c r="CX28" s="99"/>
      <c r="CY28" s="99"/>
      <c r="CZ28" s="99"/>
      <c r="DA28" s="99"/>
      <c r="DB28" s="99"/>
      <c r="DC28" s="99"/>
      <c r="DD28" s="99"/>
      <c r="DE28" s="99"/>
      <c r="DF28" s="99"/>
      <c r="DG28" s="99"/>
      <c r="DH28" s="99"/>
      <c r="DI28" s="99"/>
      <c r="DJ28" s="99"/>
      <c r="DK28" s="99"/>
      <c r="DL28" s="99"/>
      <c r="DM28" s="99"/>
      <c r="DN28" s="99"/>
      <c r="DO28" s="99"/>
      <c r="DP28" s="99"/>
      <c r="DQ28" s="99"/>
      <c r="DR28" s="99"/>
      <c r="DS28" s="99"/>
      <c r="DT28" s="99"/>
      <c r="DU28" s="99"/>
      <c r="DV28" s="99"/>
      <c r="DW28" s="99"/>
      <c r="DX28" s="99"/>
      <c r="DY28" s="99"/>
      <c r="DZ28" s="99"/>
      <c r="EA28" s="99"/>
      <c r="EB28" s="99"/>
      <c r="EC28" s="99"/>
      <c r="ED28" s="99"/>
      <c r="EE28" s="99"/>
      <c r="EF28" s="99"/>
      <c r="EG28" s="99"/>
      <c r="EH28" s="99"/>
      <c r="EI28" s="99"/>
      <c r="EJ28" s="99"/>
      <c r="EK28" s="99"/>
      <c r="EL28" s="99"/>
      <c r="EM28" s="99"/>
      <c r="EN28" s="99"/>
      <c r="EO28" s="99"/>
      <c r="EP28" s="99"/>
      <c r="EQ28" s="99"/>
      <c r="ER28" s="99"/>
      <c r="ES28" s="99"/>
      <c r="ET28" s="99"/>
      <c r="EU28" s="99"/>
      <c r="EV28" s="99"/>
      <c r="EW28" s="99"/>
      <c r="EX28" s="99"/>
      <c r="EY28" s="99"/>
      <c r="EZ28" s="99"/>
      <c r="FA28" s="99"/>
      <c r="FB28" s="99"/>
      <c r="FC28" s="99"/>
      <c r="FD28" s="99"/>
      <c r="FE28" s="99"/>
      <c r="FF28" s="99"/>
      <c r="FG28" s="99"/>
      <c r="FH28" s="99"/>
      <c r="FI28" s="99"/>
      <c r="FJ28" s="99"/>
      <c r="FK28" s="99"/>
    </row>
    <row r="29" spans="1:167" x14ac:dyDescent="0.25">
      <c r="A29" s="11"/>
      <c r="C29" s="10"/>
      <c r="D29" s="10"/>
      <c r="E29" s="11"/>
      <c r="F29" s="15"/>
      <c r="J29" s="99">
        <v>26</v>
      </c>
      <c r="K29" s="16"/>
      <c r="L29" s="16"/>
      <c r="M29" s="16"/>
      <c r="N29" s="16"/>
      <c r="O29" s="16"/>
      <c r="P29" s="16"/>
      <c r="Q29" s="16"/>
      <c r="R29" s="16"/>
      <c r="S29" s="16"/>
      <c r="T29" s="16"/>
      <c r="U29" s="14">
        <f>SUM(K29:T29)</f>
        <v>0</v>
      </c>
      <c r="V29" s="14"/>
      <c r="X29" s="75" t="str" cm="1">
        <f t="array" ref="X29">MID(";"&amp;'CASE DATA'!$F29&amp;";",SMALL(IF(ISERROR(SEARCH(MID(";"&amp;'CASE DATA'!$F29&amp;";",ROW($1:$99),1),";")),"",ROW($1:$99)+1),COLUMN(A29)),SMALL(IF(ISERROR(SEARCH(MID(";"&amp;'CASE DATA'!$F29&amp;";",ROW($1:$99),1),";")),"",ROW($1:$99)),COLUMN(A28)+1)-SMALL(IF(ISERROR(SEARCH(MID(";"&amp;'CASE DATA'!$F29&amp;";",ROW($1:$99),1),";")),"",ROW($1:$99)),COLUMN(A28))-1)</f>
        <v/>
      </c>
      <c r="Y29" s="75" t="str" cm="1">
        <f t="array" ref="Y29">MID(";"&amp;'CASE DATA'!$F29&amp;";",SMALL(IF(ISERROR(SEARCH(MID(";"&amp;'CASE DATA'!$F29&amp;";",ROW($1:$99),1),";")),"",ROW($1:$99)+1),COLUMN(B29)),SMALL(IF(ISERROR(SEARCH(MID(";"&amp;'CASE DATA'!$F29&amp;";",ROW($1:$99),1),";")),"",ROW($1:$99)),COLUMN(B28)+1)-SMALL(IF(ISERROR(SEARCH(MID(";"&amp;'CASE DATA'!$F29&amp;";",ROW($1:$99),1),";")),"",ROW($1:$99)),COLUMN(B28))-1)</f>
        <v/>
      </c>
      <c r="Z29" s="75" t="str" cm="1">
        <f t="array" ref="Z29">MID(";"&amp;'CASE DATA'!$F29&amp;";",SMALL(IF(ISERROR(SEARCH(MID(";"&amp;'CASE DATA'!$F29&amp;";",ROW($1:$99),1),";")),"",ROW($1:$99)+1),COLUMN(C29)),SMALL(IF(ISERROR(SEARCH(MID(";"&amp;'CASE DATA'!$F29&amp;";",ROW($1:$99),1),";")),"",ROW($1:$99)),COLUMN(C28)+1)-SMALL(IF(ISERROR(SEARCH(MID(";"&amp;'CASE DATA'!$F29&amp;";",ROW($1:$99),1),";")),"",ROW($1:$99)),COLUMN(C28))-1)</f>
        <v/>
      </c>
      <c r="AA29" s="75" t="str" cm="1">
        <f t="array" ref="AA29">MID(";"&amp;'CASE DATA'!$F29&amp;";",SMALL(IF(ISERROR(SEARCH(MID(";"&amp;'CASE DATA'!$F29&amp;";",ROW($1:$99),1),";")),"",ROW($1:$99)+1),COLUMN(D29)),SMALL(IF(ISERROR(SEARCH(MID(";"&amp;'CASE DATA'!$F29&amp;";",ROW($1:$99),1),";")),"",ROW($1:$99)),COLUMN(D28)+1)-SMALL(IF(ISERROR(SEARCH(MID(";"&amp;'CASE DATA'!$F29&amp;";",ROW($1:$99),1),";")),"",ROW($1:$99)),COLUMN(D28))-1)</f>
        <v/>
      </c>
      <c r="AB29" s="75" t="str" cm="1">
        <f t="array" ref="AB29">MID(";"&amp;'CASE DATA'!$F29&amp;";",SMALL(IF(ISERROR(SEARCH(MID(";"&amp;'CASE DATA'!$F29&amp;";",ROW($1:$99),1),";")),"",ROW($1:$99)+1),COLUMN(E29)),SMALL(IF(ISERROR(SEARCH(MID(";"&amp;'CASE DATA'!$F29&amp;";",ROW($1:$99),1),";")),"",ROW($1:$99)),COLUMN(E28)+1)-SMALL(IF(ISERROR(SEARCH(MID(";"&amp;'CASE DATA'!$F29&amp;";",ROW($1:$99),1),";")),"",ROW($1:$99)),COLUMN(E28))-1)</f>
        <v/>
      </c>
      <c r="AC29" s="75" t="str" cm="1">
        <f t="array" ref="AC29">MID(";"&amp;'CASE DATA'!$F29&amp;";",SMALL(IF(ISERROR(SEARCH(MID(";"&amp;'CASE DATA'!$F29&amp;";",ROW($1:$99),1),";")),"",ROW($1:$99)+1),COLUMN(F29)),SMALL(IF(ISERROR(SEARCH(MID(";"&amp;'CASE DATA'!$F29&amp;";",ROW($1:$99),1),";")),"",ROW($1:$99)),COLUMN(F28)+1)-SMALL(IF(ISERROR(SEARCH(MID(";"&amp;'CASE DATA'!$F29&amp;";",ROW($1:$99),1),";")),"",ROW($1:$99)),COLUMN(F28))-1)</f>
        <v/>
      </c>
      <c r="AD29" s="75" t="str" cm="1">
        <f t="array" ref="AD29">MID(";"&amp;'CASE DATA'!$F29&amp;";",SMALL(IF(ISERROR(SEARCH(MID(";"&amp;'CASE DATA'!$F29&amp;";",ROW($1:$99),1),";")),"",ROW($1:$99)+1),COLUMN(G29)),SMALL(IF(ISERROR(SEARCH(MID(";"&amp;'CASE DATA'!$F29&amp;";",ROW($1:$99),1),";")),"",ROW($1:$99)),COLUMN(G28)+1)-SMALL(IF(ISERROR(SEARCH(MID(";"&amp;'CASE DATA'!$F29&amp;";",ROW($1:$99),1),";")),"",ROW($1:$99)),COLUMN(G28))-1)</f>
        <v/>
      </c>
      <c r="AE29" s="75" t="str" cm="1">
        <f t="array" ref="AE29">MID(";"&amp;'CASE DATA'!$F29&amp;";",SMALL(IF(ISERROR(SEARCH(MID(";"&amp;'CASE DATA'!$F29&amp;";",ROW($1:$99),1),";")),"",ROW($1:$99)+1),COLUMN(H29)),SMALL(IF(ISERROR(SEARCH(MID(";"&amp;'CASE DATA'!$F29&amp;";",ROW($1:$99),1),";")),"",ROW($1:$99)),COLUMN(H28)+1)-SMALL(IF(ISERROR(SEARCH(MID(";"&amp;'CASE DATA'!$F29&amp;";",ROW($1:$99),1),";")),"",ROW($1:$99)),COLUMN(H28))-1)</f>
        <v/>
      </c>
      <c r="AF29" s="75" t="str" cm="1">
        <f t="array" ref="AF29">MID(";"&amp;'CASE DATA'!$F29&amp;";",SMALL(IF(ISERROR(SEARCH(MID(";"&amp;'CASE DATA'!$F29&amp;";",ROW($1:$99),1),";")),"",ROW($1:$99)+1),COLUMN(I29)),SMALL(IF(ISERROR(SEARCH(MID(";"&amp;'CASE DATA'!$F29&amp;";",ROW($1:$99),1),";")),"",ROW($1:$99)),COLUMN(I28)+1)-SMALL(IF(ISERROR(SEARCH(MID(";"&amp;'CASE DATA'!$F29&amp;";",ROW($1:$99),1),";")),"",ROW($1:$99)),COLUMN(I28))-1)</f>
        <v/>
      </c>
      <c r="AG29" s="75" t="str" cm="1">
        <f t="array" ref="AG29">MID(";"&amp;'CASE DATA'!$F29&amp;";",SMALL(IF(ISERROR(SEARCH(MID(";"&amp;'CASE DATA'!$F29&amp;";",ROW($1:$99),1),";")),"",ROW($1:$99)+1),COLUMN(K29)),SMALL(IF(ISERROR(SEARCH(MID(";"&amp;'CASE DATA'!$F29&amp;";",ROW($1:$99),1),";")),"",ROW($1:$99)),COLUMN(K28)+1)-SMALL(IF(ISERROR(SEARCH(MID(";"&amp;'CASE DATA'!$F29&amp;";",ROW($1:$99),1),";")),"",ROW($1:$99)),COLUMN(K28))-1)</f>
        <v/>
      </c>
      <c r="AH29" s="75" t="str" cm="1">
        <f t="array" ref="AH29">MID(";"&amp;'CASE DATA'!$F29&amp;";",SMALL(IF(ISERROR(SEARCH(MID(";"&amp;'CASE DATA'!$F29&amp;";",ROW($1:$99),1),";")),"",ROW($1:$99)+1),COLUMN(L29)),SMALL(IF(ISERROR(SEARCH(MID(";"&amp;'CASE DATA'!$F29&amp;";",ROW($1:$99),1),";")),"",ROW($1:$99)),COLUMN(L28)+1)-SMALL(IF(ISERROR(SEARCH(MID(";"&amp;'CASE DATA'!$F29&amp;";",ROW($1:$99),1),";")),"",ROW($1:$99)),COLUMN(L28))-1)</f>
        <v/>
      </c>
      <c r="AI29" s="75" t="str" cm="1">
        <f t="array" ref="AI29">MID(";"&amp;'CASE DATA'!$F29&amp;";",SMALL(IF(ISERROR(SEARCH(MID(";"&amp;'CASE DATA'!$F29&amp;";",ROW($1:$99),1),";")),"",ROW($1:$99)+1),COLUMN(M29)),SMALL(IF(ISERROR(SEARCH(MID(";"&amp;'CASE DATA'!$F29&amp;";",ROW($1:$99),1),";")),"",ROW($1:$99)),COLUMN(M28)+1)-SMALL(IF(ISERROR(SEARCH(MID(";"&amp;'CASE DATA'!$F29&amp;";",ROW($1:$99),1),";")),"",ROW($1:$99)),COLUMN(M28))-1)</f>
        <v/>
      </c>
      <c r="BO29" s="99"/>
      <c r="BP29" s="99"/>
      <c r="BQ29" s="99"/>
      <c r="BR29" s="99"/>
      <c r="BS29" s="99"/>
      <c r="BT29" s="99"/>
      <c r="BU29" s="99"/>
      <c r="BV29" s="99"/>
      <c r="BW29" s="99"/>
      <c r="BX29" s="99"/>
      <c r="BY29" s="99"/>
      <c r="BZ29" s="99"/>
      <c r="CA29" s="99"/>
      <c r="CB29" s="99"/>
      <c r="CC29" s="99"/>
      <c r="CD29" s="99"/>
      <c r="CE29" s="99"/>
      <c r="CF29" s="99"/>
      <c r="CG29" s="99"/>
      <c r="CH29" s="99"/>
      <c r="CI29" s="99"/>
      <c r="CJ29" s="99"/>
      <c r="CK29" s="99"/>
      <c r="CL29" s="99"/>
      <c r="CM29" s="99"/>
      <c r="CN29" s="99"/>
      <c r="CO29" s="99"/>
      <c r="CP29" s="99"/>
      <c r="CQ29" s="99"/>
      <c r="CR29" s="99"/>
      <c r="CS29" s="99"/>
      <c r="CT29" s="99"/>
      <c r="CU29" s="99"/>
      <c r="CV29" s="99"/>
      <c r="CW29" s="99"/>
      <c r="CX29" s="99"/>
      <c r="CY29" s="99"/>
      <c r="CZ29" s="99"/>
      <c r="DA29" s="99"/>
      <c r="DB29" s="99"/>
      <c r="DC29" s="99"/>
      <c r="DD29" s="99"/>
      <c r="DE29" s="99"/>
      <c r="DF29" s="99"/>
      <c r="DG29" s="99"/>
      <c r="DH29" s="99"/>
      <c r="DI29" s="99"/>
      <c r="DJ29" s="99"/>
      <c r="DK29" s="99"/>
      <c r="DL29" s="99"/>
      <c r="DM29" s="99"/>
      <c r="DN29" s="99"/>
      <c r="DO29" s="99"/>
      <c r="DP29" s="99"/>
      <c r="DQ29" s="99"/>
      <c r="DR29" s="99"/>
      <c r="DS29" s="99"/>
      <c r="DT29" s="99"/>
      <c r="DU29" s="99"/>
      <c r="DV29" s="99"/>
      <c r="DW29" s="99"/>
      <c r="DX29" s="99"/>
      <c r="DY29" s="99"/>
      <c r="DZ29" s="99"/>
      <c r="EA29" s="99"/>
      <c r="EB29" s="99"/>
      <c r="EC29" s="99"/>
      <c r="ED29" s="99"/>
      <c r="EE29" s="99"/>
      <c r="EF29" s="99"/>
      <c r="EG29" s="99"/>
      <c r="EH29" s="99"/>
      <c r="EI29" s="99"/>
      <c r="EJ29" s="99"/>
      <c r="EK29" s="99"/>
      <c r="EL29" s="99"/>
      <c r="EM29" s="99"/>
      <c r="EN29" s="99"/>
      <c r="EO29" s="99"/>
      <c r="EP29" s="99"/>
      <c r="EQ29" s="99"/>
      <c r="ER29" s="99"/>
      <c r="ES29" s="99"/>
      <c r="ET29" s="99"/>
      <c r="EU29" s="99"/>
      <c r="EV29" s="99"/>
      <c r="EW29" s="99"/>
      <c r="EX29" s="99"/>
      <c r="EY29" s="99"/>
      <c r="EZ29" s="99"/>
      <c r="FA29" s="99"/>
      <c r="FB29" s="99"/>
      <c r="FC29" s="99"/>
      <c r="FD29" s="99"/>
      <c r="FE29" s="99"/>
      <c r="FF29" s="99"/>
      <c r="FG29" s="99"/>
      <c r="FH29" s="99"/>
      <c r="FI29" s="99"/>
      <c r="FJ29" s="99"/>
      <c r="FK29" s="99"/>
    </row>
    <row r="30" spans="1:167" x14ac:dyDescent="0.25">
      <c r="C30" s="10"/>
      <c r="D30" s="10"/>
      <c r="E30" s="11"/>
      <c r="F30" s="15"/>
      <c r="J30" s="99">
        <v>27</v>
      </c>
      <c r="K30" s="16"/>
      <c r="L30" s="16"/>
      <c r="M30" s="16"/>
      <c r="N30" s="16"/>
      <c r="O30" s="16"/>
      <c r="P30" s="16"/>
      <c r="Q30" s="16"/>
      <c r="R30" s="16"/>
      <c r="S30" s="16"/>
      <c r="T30" s="16"/>
      <c r="U30" s="14">
        <f>SUM(K30:T30)</f>
        <v>0</v>
      </c>
      <c r="V30" s="14"/>
      <c r="X30" s="75" t="str" cm="1">
        <f t="array" ref="X30">MID(";"&amp;'CASE DATA'!$F30&amp;";",SMALL(IF(ISERROR(SEARCH(MID(";"&amp;'CASE DATA'!$F30&amp;";",ROW($1:$99),1),";")),"",ROW($1:$99)+1),COLUMN(A30)),SMALL(IF(ISERROR(SEARCH(MID(";"&amp;'CASE DATA'!$F30&amp;";",ROW($1:$99),1),";")),"",ROW($1:$99)),COLUMN(A29)+1)-SMALL(IF(ISERROR(SEARCH(MID(";"&amp;'CASE DATA'!$F30&amp;";",ROW($1:$99),1),";")),"",ROW($1:$99)),COLUMN(A29))-1)</f>
        <v/>
      </c>
      <c r="Y30" s="75" t="str" cm="1">
        <f t="array" ref="Y30">MID(";"&amp;'CASE DATA'!$F30&amp;";",SMALL(IF(ISERROR(SEARCH(MID(";"&amp;'CASE DATA'!$F30&amp;";",ROW($1:$99),1),";")),"",ROW($1:$99)+1),COLUMN(B30)),SMALL(IF(ISERROR(SEARCH(MID(";"&amp;'CASE DATA'!$F30&amp;";",ROW($1:$99),1),";")),"",ROW($1:$99)),COLUMN(B29)+1)-SMALL(IF(ISERROR(SEARCH(MID(";"&amp;'CASE DATA'!$F30&amp;";",ROW($1:$99),1),";")),"",ROW($1:$99)),COLUMN(B29))-1)</f>
        <v/>
      </c>
      <c r="Z30" s="75" t="str" cm="1">
        <f t="array" ref="Z30">MID(";"&amp;'CASE DATA'!$F30&amp;";",SMALL(IF(ISERROR(SEARCH(MID(";"&amp;'CASE DATA'!$F30&amp;";",ROW($1:$99),1),";")),"",ROW($1:$99)+1),COLUMN(C30)),SMALL(IF(ISERROR(SEARCH(MID(";"&amp;'CASE DATA'!$F30&amp;";",ROW($1:$99),1),";")),"",ROW($1:$99)),COLUMN(C29)+1)-SMALL(IF(ISERROR(SEARCH(MID(";"&amp;'CASE DATA'!$F30&amp;";",ROW($1:$99),1),";")),"",ROW($1:$99)),COLUMN(C29))-1)</f>
        <v/>
      </c>
      <c r="AA30" s="75" t="str" cm="1">
        <f t="array" ref="AA30">MID(";"&amp;'CASE DATA'!$F30&amp;";",SMALL(IF(ISERROR(SEARCH(MID(";"&amp;'CASE DATA'!$F30&amp;";",ROW($1:$99),1),";")),"",ROW($1:$99)+1),COLUMN(D30)),SMALL(IF(ISERROR(SEARCH(MID(";"&amp;'CASE DATA'!$F30&amp;";",ROW($1:$99),1),";")),"",ROW($1:$99)),COLUMN(D29)+1)-SMALL(IF(ISERROR(SEARCH(MID(";"&amp;'CASE DATA'!$F30&amp;";",ROW($1:$99),1),";")),"",ROW($1:$99)),COLUMN(D29))-1)</f>
        <v/>
      </c>
      <c r="AB30" s="75" t="str" cm="1">
        <f t="array" ref="AB30">MID(";"&amp;'CASE DATA'!$F30&amp;";",SMALL(IF(ISERROR(SEARCH(MID(";"&amp;'CASE DATA'!$F30&amp;";",ROW($1:$99),1),";")),"",ROW($1:$99)+1),COLUMN(E30)),SMALL(IF(ISERROR(SEARCH(MID(";"&amp;'CASE DATA'!$F30&amp;";",ROW($1:$99),1),";")),"",ROW($1:$99)),COLUMN(E29)+1)-SMALL(IF(ISERROR(SEARCH(MID(";"&amp;'CASE DATA'!$F30&amp;";",ROW($1:$99),1),";")),"",ROW($1:$99)),COLUMN(E29))-1)</f>
        <v/>
      </c>
      <c r="AC30" s="75" t="str" cm="1">
        <f t="array" ref="AC30">MID(";"&amp;'CASE DATA'!$F30&amp;";",SMALL(IF(ISERROR(SEARCH(MID(";"&amp;'CASE DATA'!$F30&amp;";",ROW($1:$99),1),";")),"",ROW($1:$99)+1),COLUMN(F30)),SMALL(IF(ISERROR(SEARCH(MID(";"&amp;'CASE DATA'!$F30&amp;";",ROW($1:$99),1),";")),"",ROW($1:$99)),COLUMN(F29)+1)-SMALL(IF(ISERROR(SEARCH(MID(";"&amp;'CASE DATA'!$F30&amp;";",ROW($1:$99),1),";")),"",ROW($1:$99)),COLUMN(F29))-1)</f>
        <v/>
      </c>
      <c r="AD30" s="75" t="str" cm="1">
        <f t="array" ref="AD30">MID(";"&amp;'CASE DATA'!$F30&amp;";",SMALL(IF(ISERROR(SEARCH(MID(";"&amp;'CASE DATA'!$F30&amp;";",ROW($1:$99),1),";")),"",ROW($1:$99)+1),COLUMN(G30)),SMALL(IF(ISERROR(SEARCH(MID(";"&amp;'CASE DATA'!$F30&amp;";",ROW($1:$99),1),";")),"",ROW($1:$99)),COLUMN(G29)+1)-SMALL(IF(ISERROR(SEARCH(MID(";"&amp;'CASE DATA'!$F30&amp;";",ROW($1:$99),1),";")),"",ROW($1:$99)),COLUMN(G29))-1)</f>
        <v/>
      </c>
      <c r="AE30" s="75" t="str" cm="1">
        <f t="array" ref="AE30">MID(";"&amp;'CASE DATA'!$F30&amp;";",SMALL(IF(ISERROR(SEARCH(MID(";"&amp;'CASE DATA'!$F30&amp;";",ROW($1:$99),1),";")),"",ROW($1:$99)+1),COLUMN(H30)),SMALL(IF(ISERROR(SEARCH(MID(";"&amp;'CASE DATA'!$F30&amp;";",ROW($1:$99),1),";")),"",ROW($1:$99)),COLUMN(H29)+1)-SMALL(IF(ISERROR(SEARCH(MID(";"&amp;'CASE DATA'!$F30&amp;";",ROW($1:$99),1),";")),"",ROW($1:$99)),COLUMN(H29))-1)</f>
        <v/>
      </c>
      <c r="AF30" s="75" t="str" cm="1">
        <f t="array" ref="AF30">MID(";"&amp;'CASE DATA'!$F30&amp;";",SMALL(IF(ISERROR(SEARCH(MID(";"&amp;'CASE DATA'!$F30&amp;";",ROW($1:$99),1),";")),"",ROW($1:$99)+1),COLUMN(I30)),SMALL(IF(ISERROR(SEARCH(MID(";"&amp;'CASE DATA'!$F30&amp;";",ROW($1:$99),1),";")),"",ROW($1:$99)),COLUMN(I29)+1)-SMALL(IF(ISERROR(SEARCH(MID(";"&amp;'CASE DATA'!$F30&amp;";",ROW($1:$99),1),";")),"",ROW($1:$99)),COLUMN(I29))-1)</f>
        <v/>
      </c>
      <c r="AG30" s="75" t="str" cm="1">
        <f t="array" ref="AG30">MID(";"&amp;'CASE DATA'!$F30&amp;";",SMALL(IF(ISERROR(SEARCH(MID(";"&amp;'CASE DATA'!$F30&amp;";",ROW($1:$99),1),";")),"",ROW($1:$99)+1),COLUMN(K30)),SMALL(IF(ISERROR(SEARCH(MID(";"&amp;'CASE DATA'!$F30&amp;";",ROW($1:$99),1),";")),"",ROW($1:$99)),COLUMN(K29)+1)-SMALL(IF(ISERROR(SEARCH(MID(";"&amp;'CASE DATA'!$F30&amp;";",ROW($1:$99),1),";")),"",ROW($1:$99)),COLUMN(K29))-1)</f>
        <v/>
      </c>
      <c r="AH30" s="75" t="str" cm="1">
        <f t="array" ref="AH30">MID(";"&amp;'CASE DATA'!$F30&amp;";",SMALL(IF(ISERROR(SEARCH(MID(";"&amp;'CASE DATA'!$F30&amp;";",ROW($1:$99),1),";")),"",ROW($1:$99)+1),COLUMN(L30)),SMALL(IF(ISERROR(SEARCH(MID(";"&amp;'CASE DATA'!$F30&amp;";",ROW($1:$99),1),";")),"",ROW($1:$99)),COLUMN(L29)+1)-SMALL(IF(ISERROR(SEARCH(MID(";"&amp;'CASE DATA'!$F30&amp;";",ROW($1:$99),1),";")),"",ROW($1:$99)),COLUMN(L29))-1)</f>
        <v/>
      </c>
      <c r="AI30" s="75" t="str" cm="1">
        <f t="array" ref="AI30">MID(";"&amp;'CASE DATA'!$F30&amp;";",SMALL(IF(ISERROR(SEARCH(MID(";"&amp;'CASE DATA'!$F30&amp;";",ROW($1:$99),1),";")),"",ROW($1:$99)+1),COLUMN(M30)),SMALL(IF(ISERROR(SEARCH(MID(";"&amp;'CASE DATA'!$F30&amp;";",ROW($1:$99),1),";")),"",ROW($1:$99)),COLUMN(M29)+1)-SMALL(IF(ISERROR(SEARCH(MID(";"&amp;'CASE DATA'!$F30&amp;";",ROW($1:$99),1),";")),"",ROW($1:$99)),COLUMN(M29))-1)</f>
        <v/>
      </c>
      <c r="BO30" s="99"/>
      <c r="BP30" s="99"/>
      <c r="BQ30" s="99"/>
      <c r="BR30" s="99"/>
      <c r="BS30" s="99"/>
      <c r="BT30" s="99"/>
      <c r="BU30" s="99"/>
      <c r="BV30" s="99"/>
      <c r="BW30" s="99"/>
      <c r="BX30" s="99"/>
      <c r="BY30" s="99"/>
      <c r="BZ30" s="99"/>
      <c r="CA30" s="99"/>
      <c r="CB30" s="99"/>
      <c r="CC30" s="99"/>
      <c r="CD30" s="99"/>
      <c r="CE30" s="99"/>
      <c r="CF30" s="99"/>
      <c r="CG30" s="99"/>
      <c r="CH30" s="99"/>
      <c r="CI30" s="99"/>
      <c r="CJ30" s="99"/>
      <c r="CK30" s="99"/>
      <c r="CL30" s="99"/>
      <c r="CM30" s="99"/>
      <c r="CN30" s="99"/>
      <c r="CO30" s="99"/>
      <c r="CP30" s="99"/>
      <c r="CQ30" s="99"/>
      <c r="CR30" s="99"/>
      <c r="CS30" s="99"/>
      <c r="CT30" s="99"/>
      <c r="CU30" s="99"/>
      <c r="CV30" s="99"/>
      <c r="CW30" s="99"/>
      <c r="CX30" s="99"/>
      <c r="CY30" s="99"/>
      <c r="CZ30" s="99"/>
      <c r="DA30" s="99"/>
      <c r="DB30" s="99"/>
      <c r="DC30" s="99"/>
      <c r="DD30" s="99"/>
      <c r="DE30" s="99"/>
      <c r="DF30" s="99"/>
      <c r="DG30" s="99"/>
      <c r="DH30" s="99"/>
      <c r="DI30" s="99"/>
      <c r="DJ30" s="99"/>
      <c r="DK30" s="99"/>
      <c r="DL30" s="99"/>
      <c r="DM30" s="99"/>
      <c r="DN30" s="99"/>
      <c r="DO30" s="99"/>
      <c r="DP30" s="99"/>
      <c r="DQ30" s="99"/>
      <c r="DR30" s="99"/>
      <c r="DS30" s="99"/>
      <c r="DT30" s="99"/>
      <c r="DU30" s="99"/>
      <c r="DV30" s="99"/>
      <c r="DW30" s="99"/>
      <c r="DX30" s="99"/>
      <c r="DY30" s="99"/>
      <c r="DZ30" s="99"/>
      <c r="EA30" s="99"/>
      <c r="EB30" s="99"/>
      <c r="EC30" s="99"/>
      <c r="ED30" s="99"/>
      <c r="EE30" s="99"/>
      <c r="EF30" s="99"/>
      <c r="EG30" s="99"/>
      <c r="EH30" s="99"/>
      <c r="EI30" s="99"/>
      <c r="EJ30" s="99"/>
      <c r="EK30" s="99"/>
      <c r="EL30" s="99"/>
      <c r="EM30" s="99"/>
      <c r="EN30" s="99"/>
      <c r="EO30" s="99"/>
      <c r="EP30" s="99"/>
      <c r="EQ30" s="99"/>
      <c r="ER30" s="99"/>
      <c r="ES30" s="99"/>
      <c r="ET30" s="99"/>
      <c r="EU30" s="99"/>
      <c r="EV30" s="99"/>
      <c r="EW30" s="99"/>
      <c r="EX30" s="99"/>
      <c r="EY30" s="99"/>
      <c r="EZ30" s="99"/>
      <c r="FA30" s="99"/>
      <c r="FB30" s="99"/>
      <c r="FC30" s="99"/>
      <c r="FD30" s="99"/>
      <c r="FE30" s="99"/>
      <c r="FF30" s="99"/>
      <c r="FG30" s="99"/>
      <c r="FH30" s="99"/>
      <c r="FI30" s="99"/>
      <c r="FJ30" s="99"/>
      <c r="FK30" s="99"/>
    </row>
    <row r="31" spans="1:167" x14ac:dyDescent="0.25">
      <c r="A31" s="11"/>
      <c r="C31" s="10"/>
      <c r="D31" s="10"/>
      <c r="E31" s="11"/>
      <c r="F31" s="15"/>
      <c r="J31" s="99">
        <v>28</v>
      </c>
      <c r="K31" s="16"/>
      <c r="L31" s="16"/>
      <c r="M31" s="16"/>
      <c r="N31" s="16"/>
      <c r="O31" s="16"/>
      <c r="P31" s="16"/>
      <c r="Q31" s="16"/>
      <c r="R31" s="16"/>
      <c r="S31" s="16"/>
      <c r="T31" s="16"/>
      <c r="U31" s="14">
        <f>SUM(K31:T31)</f>
        <v>0</v>
      </c>
      <c r="V31" s="14"/>
      <c r="X31" s="75" t="str" cm="1">
        <f t="array" ref="X31">MID(";"&amp;'CASE DATA'!$F31&amp;";",SMALL(IF(ISERROR(SEARCH(MID(";"&amp;'CASE DATA'!$F31&amp;";",ROW($1:$99),1),";")),"",ROW($1:$99)+1),COLUMN(A31)),SMALL(IF(ISERROR(SEARCH(MID(";"&amp;'CASE DATA'!$F31&amp;";",ROW($1:$99),1),";")),"",ROW($1:$99)),COLUMN(A30)+1)-SMALL(IF(ISERROR(SEARCH(MID(";"&amp;'CASE DATA'!$F31&amp;";",ROW($1:$99),1),";")),"",ROW($1:$99)),COLUMN(A30))-1)</f>
        <v/>
      </c>
      <c r="Y31" s="75" t="str" cm="1">
        <f t="array" ref="Y31">MID(";"&amp;'CASE DATA'!$F31&amp;";",SMALL(IF(ISERROR(SEARCH(MID(";"&amp;'CASE DATA'!$F31&amp;";",ROW($1:$99),1),";")),"",ROW($1:$99)+1),COLUMN(B31)),SMALL(IF(ISERROR(SEARCH(MID(";"&amp;'CASE DATA'!$F31&amp;";",ROW($1:$99),1),";")),"",ROW($1:$99)),COLUMN(B30)+1)-SMALL(IF(ISERROR(SEARCH(MID(";"&amp;'CASE DATA'!$F31&amp;";",ROW($1:$99),1),";")),"",ROW($1:$99)),COLUMN(B30))-1)</f>
        <v/>
      </c>
      <c r="Z31" s="75" t="str" cm="1">
        <f t="array" ref="Z31">MID(";"&amp;'CASE DATA'!$F31&amp;";",SMALL(IF(ISERROR(SEARCH(MID(";"&amp;'CASE DATA'!$F31&amp;";",ROW($1:$99),1),";")),"",ROW($1:$99)+1),COLUMN(C31)),SMALL(IF(ISERROR(SEARCH(MID(";"&amp;'CASE DATA'!$F31&amp;";",ROW($1:$99),1),";")),"",ROW($1:$99)),COLUMN(C30)+1)-SMALL(IF(ISERROR(SEARCH(MID(";"&amp;'CASE DATA'!$F31&amp;";",ROW($1:$99),1),";")),"",ROW($1:$99)),COLUMN(C30))-1)</f>
        <v/>
      </c>
      <c r="AA31" s="75" t="str" cm="1">
        <f t="array" ref="AA31">MID(";"&amp;'CASE DATA'!$F31&amp;";",SMALL(IF(ISERROR(SEARCH(MID(";"&amp;'CASE DATA'!$F31&amp;";",ROW($1:$99),1),";")),"",ROW($1:$99)+1),COLUMN(D31)),SMALL(IF(ISERROR(SEARCH(MID(";"&amp;'CASE DATA'!$F31&amp;";",ROW($1:$99),1),";")),"",ROW($1:$99)),COLUMN(D30)+1)-SMALL(IF(ISERROR(SEARCH(MID(";"&amp;'CASE DATA'!$F31&amp;";",ROW($1:$99),1),";")),"",ROW($1:$99)),COLUMN(D30))-1)</f>
        <v/>
      </c>
      <c r="AB31" s="75" t="str" cm="1">
        <f t="array" ref="AB31">MID(";"&amp;'CASE DATA'!$F31&amp;";",SMALL(IF(ISERROR(SEARCH(MID(";"&amp;'CASE DATA'!$F31&amp;";",ROW($1:$99),1),";")),"",ROW($1:$99)+1),COLUMN(E31)),SMALL(IF(ISERROR(SEARCH(MID(";"&amp;'CASE DATA'!$F31&amp;";",ROW($1:$99),1),";")),"",ROW($1:$99)),COLUMN(E30)+1)-SMALL(IF(ISERROR(SEARCH(MID(";"&amp;'CASE DATA'!$F31&amp;";",ROW($1:$99),1),";")),"",ROW($1:$99)),COLUMN(E30))-1)</f>
        <v/>
      </c>
      <c r="AC31" s="75" t="str" cm="1">
        <f t="array" ref="AC31">MID(";"&amp;'CASE DATA'!$F31&amp;";",SMALL(IF(ISERROR(SEARCH(MID(";"&amp;'CASE DATA'!$F31&amp;";",ROW($1:$99),1),";")),"",ROW($1:$99)+1),COLUMN(F31)),SMALL(IF(ISERROR(SEARCH(MID(";"&amp;'CASE DATA'!$F31&amp;";",ROW($1:$99),1),";")),"",ROW($1:$99)),COLUMN(F30)+1)-SMALL(IF(ISERROR(SEARCH(MID(";"&amp;'CASE DATA'!$F31&amp;";",ROW($1:$99),1),";")),"",ROW($1:$99)),COLUMN(F30))-1)</f>
        <v/>
      </c>
      <c r="AD31" s="75" t="str" cm="1">
        <f t="array" ref="AD31">MID(";"&amp;'CASE DATA'!$F31&amp;";",SMALL(IF(ISERROR(SEARCH(MID(";"&amp;'CASE DATA'!$F31&amp;";",ROW($1:$99),1),";")),"",ROW($1:$99)+1),COLUMN(G31)),SMALL(IF(ISERROR(SEARCH(MID(";"&amp;'CASE DATA'!$F31&amp;";",ROW($1:$99),1),";")),"",ROW($1:$99)),COLUMN(G30)+1)-SMALL(IF(ISERROR(SEARCH(MID(";"&amp;'CASE DATA'!$F31&amp;";",ROW($1:$99),1),";")),"",ROW($1:$99)),COLUMN(G30))-1)</f>
        <v/>
      </c>
      <c r="AE31" s="75" t="str" cm="1">
        <f t="array" ref="AE31">MID(";"&amp;'CASE DATA'!$F31&amp;";",SMALL(IF(ISERROR(SEARCH(MID(";"&amp;'CASE DATA'!$F31&amp;";",ROW($1:$99),1),";")),"",ROW($1:$99)+1),COLUMN(H31)),SMALL(IF(ISERROR(SEARCH(MID(";"&amp;'CASE DATA'!$F31&amp;";",ROW($1:$99),1),";")),"",ROW($1:$99)),COLUMN(H30)+1)-SMALL(IF(ISERROR(SEARCH(MID(";"&amp;'CASE DATA'!$F31&amp;";",ROW($1:$99),1),";")),"",ROW($1:$99)),COLUMN(H30))-1)</f>
        <v/>
      </c>
      <c r="AF31" s="75" t="str" cm="1">
        <f t="array" ref="AF31">MID(";"&amp;'CASE DATA'!$F31&amp;";",SMALL(IF(ISERROR(SEARCH(MID(";"&amp;'CASE DATA'!$F31&amp;";",ROW($1:$99),1),";")),"",ROW($1:$99)+1),COLUMN(I31)),SMALL(IF(ISERROR(SEARCH(MID(";"&amp;'CASE DATA'!$F31&amp;";",ROW($1:$99),1),";")),"",ROW($1:$99)),COLUMN(I30)+1)-SMALL(IF(ISERROR(SEARCH(MID(";"&amp;'CASE DATA'!$F31&amp;";",ROW($1:$99),1),";")),"",ROW($1:$99)),COLUMN(I30))-1)</f>
        <v/>
      </c>
      <c r="AG31" s="75" t="str" cm="1">
        <f t="array" ref="AG31">MID(";"&amp;'CASE DATA'!$F31&amp;";",SMALL(IF(ISERROR(SEARCH(MID(";"&amp;'CASE DATA'!$F31&amp;";",ROW($1:$99),1),";")),"",ROW($1:$99)+1),COLUMN(K31)),SMALL(IF(ISERROR(SEARCH(MID(";"&amp;'CASE DATA'!$F31&amp;";",ROW($1:$99),1),";")),"",ROW($1:$99)),COLUMN(K30)+1)-SMALL(IF(ISERROR(SEARCH(MID(";"&amp;'CASE DATA'!$F31&amp;";",ROW($1:$99),1),";")),"",ROW($1:$99)),COLUMN(K30))-1)</f>
        <v/>
      </c>
      <c r="AH31" s="75" t="str" cm="1">
        <f t="array" ref="AH31">MID(";"&amp;'CASE DATA'!$F31&amp;";",SMALL(IF(ISERROR(SEARCH(MID(";"&amp;'CASE DATA'!$F31&amp;";",ROW($1:$99),1),";")),"",ROW($1:$99)+1),COLUMN(L31)),SMALL(IF(ISERROR(SEARCH(MID(";"&amp;'CASE DATA'!$F31&amp;";",ROW($1:$99),1),";")),"",ROW($1:$99)),COLUMN(L30)+1)-SMALL(IF(ISERROR(SEARCH(MID(";"&amp;'CASE DATA'!$F31&amp;";",ROW($1:$99),1),";")),"",ROW($1:$99)),COLUMN(L30))-1)</f>
        <v/>
      </c>
      <c r="AI31" s="75" t="str" cm="1">
        <f t="array" ref="AI31">MID(";"&amp;'CASE DATA'!$F31&amp;";",SMALL(IF(ISERROR(SEARCH(MID(";"&amp;'CASE DATA'!$F31&amp;";",ROW($1:$99),1),";")),"",ROW($1:$99)+1),COLUMN(M31)),SMALL(IF(ISERROR(SEARCH(MID(";"&amp;'CASE DATA'!$F31&amp;";",ROW($1:$99),1),";")),"",ROW($1:$99)),COLUMN(M30)+1)-SMALL(IF(ISERROR(SEARCH(MID(";"&amp;'CASE DATA'!$F31&amp;";",ROW($1:$99),1),";")),"",ROW($1:$99)),COLUMN(M30))-1)</f>
        <v/>
      </c>
      <c r="BO31" s="99"/>
      <c r="BP31" s="99"/>
      <c r="BQ31" s="99"/>
      <c r="BR31" s="99"/>
      <c r="BS31" s="99"/>
      <c r="BT31" s="99"/>
      <c r="BU31" s="99"/>
      <c r="BV31" s="99"/>
      <c r="BW31" s="99"/>
      <c r="BX31" s="99"/>
      <c r="BY31" s="99"/>
      <c r="BZ31" s="99"/>
      <c r="CA31" s="99"/>
      <c r="CB31" s="99"/>
      <c r="CC31" s="99"/>
      <c r="CD31" s="99"/>
      <c r="CE31" s="99"/>
      <c r="CF31" s="99"/>
      <c r="CG31" s="99"/>
      <c r="CH31" s="99"/>
      <c r="CI31" s="99"/>
      <c r="CJ31" s="99"/>
      <c r="CK31" s="99"/>
      <c r="CL31" s="99"/>
      <c r="CM31" s="99"/>
      <c r="CN31" s="99"/>
      <c r="CO31" s="99"/>
      <c r="CP31" s="99"/>
      <c r="CQ31" s="99"/>
      <c r="CR31" s="99"/>
      <c r="CS31" s="99"/>
      <c r="CT31" s="99"/>
      <c r="CU31" s="99"/>
      <c r="CV31" s="99"/>
      <c r="CW31" s="99"/>
      <c r="CX31" s="99"/>
      <c r="CY31" s="99"/>
      <c r="CZ31" s="99"/>
      <c r="DA31" s="99"/>
      <c r="DB31" s="99"/>
      <c r="DC31" s="99"/>
      <c r="DD31" s="99"/>
      <c r="DE31" s="99"/>
      <c r="DF31" s="99"/>
      <c r="DG31" s="99"/>
      <c r="DH31" s="99"/>
      <c r="DI31" s="99"/>
      <c r="DJ31" s="99"/>
      <c r="DK31" s="99"/>
      <c r="DL31" s="99"/>
      <c r="DM31" s="99"/>
      <c r="DN31" s="99"/>
      <c r="DO31" s="99"/>
      <c r="DP31" s="99"/>
      <c r="DQ31" s="99"/>
      <c r="DR31" s="99"/>
      <c r="DS31" s="99"/>
      <c r="DT31" s="99"/>
      <c r="DU31" s="99"/>
      <c r="DV31" s="99"/>
      <c r="DW31" s="99"/>
      <c r="DX31" s="99"/>
      <c r="DY31" s="99"/>
      <c r="DZ31" s="99"/>
      <c r="EA31" s="99"/>
      <c r="EB31" s="99"/>
      <c r="EC31" s="99"/>
      <c r="ED31" s="99"/>
      <c r="EE31" s="99"/>
      <c r="EF31" s="99"/>
      <c r="EG31" s="99"/>
      <c r="EH31" s="99"/>
      <c r="EI31" s="99"/>
      <c r="EJ31" s="99"/>
      <c r="EK31" s="99"/>
      <c r="EL31" s="99"/>
      <c r="EM31" s="99"/>
      <c r="EN31" s="99"/>
      <c r="EO31" s="99"/>
      <c r="EP31" s="99"/>
      <c r="EQ31" s="99"/>
      <c r="ER31" s="99"/>
      <c r="ES31" s="99"/>
      <c r="ET31" s="99"/>
      <c r="EU31" s="99"/>
      <c r="EV31" s="99"/>
      <c r="EW31" s="99"/>
      <c r="EX31" s="99"/>
      <c r="EY31" s="99"/>
      <c r="EZ31" s="99"/>
      <c r="FA31" s="99"/>
      <c r="FB31" s="99"/>
      <c r="FC31" s="99"/>
      <c r="FD31" s="99"/>
      <c r="FE31" s="99"/>
      <c r="FF31" s="99"/>
      <c r="FG31" s="99"/>
      <c r="FH31" s="99"/>
      <c r="FI31" s="99"/>
      <c r="FJ31" s="99"/>
      <c r="FK31" s="99"/>
    </row>
    <row r="32" spans="1:167" x14ac:dyDescent="0.25">
      <c r="C32" s="10"/>
      <c r="D32" s="10"/>
      <c r="E32" s="11"/>
      <c r="F32" s="15"/>
      <c r="J32" s="99">
        <v>29</v>
      </c>
      <c r="K32" s="16"/>
      <c r="L32" s="16"/>
      <c r="M32" s="16"/>
      <c r="N32" s="16"/>
      <c r="O32" s="16"/>
      <c r="P32" s="16"/>
      <c r="Q32" s="16"/>
      <c r="R32" s="16"/>
      <c r="S32" s="16"/>
      <c r="T32" s="16"/>
      <c r="U32" s="14">
        <f>SUM(K32:T32)</f>
        <v>0</v>
      </c>
      <c r="V32" s="14"/>
      <c r="X32" s="75" t="str" cm="1">
        <f t="array" ref="X32">MID(";"&amp;'CASE DATA'!$F32&amp;";",SMALL(IF(ISERROR(SEARCH(MID(";"&amp;'CASE DATA'!$F32&amp;";",ROW($1:$99),1),";")),"",ROW($1:$99)+1),COLUMN(A32)),SMALL(IF(ISERROR(SEARCH(MID(";"&amp;'CASE DATA'!$F32&amp;";",ROW($1:$99),1),";")),"",ROW($1:$99)),COLUMN(A31)+1)-SMALL(IF(ISERROR(SEARCH(MID(";"&amp;'CASE DATA'!$F32&amp;";",ROW($1:$99),1),";")),"",ROW($1:$99)),COLUMN(A31))-1)</f>
        <v/>
      </c>
      <c r="Y32" s="75" t="str" cm="1">
        <f t="array" ref="Y32">MID(";"&amp;'CASE DATA'!$F32&amp;";",SMALL(IF(ISERROR(SEARCH(MID(";"&amp;'CASE DATA'!$F32&amp;";",ROW($1:$99),1),";")),"",ROW($1:$99)+1),COLUMN(B32)),SMALL(IF(ISERROR(SEARCH(MID(";"&amp;'CASE DATA'!$F32&amp;";",ROW($1:$99),1),";")),"",ROW($1:$99)),COLUMN(B31)+1)-SMALL(IF(ISERROR(SEARCH(MID(";"&amp;'CASE DATA'!$F32&amp;";",ROW($1:$99),1),";")),"",ROW($1:$99)),COLUMN(B31))-1)</f>
        <v/>
      </c>
      <c r="Z32" s="75" t="str" cm="1">
        <f t="array" ref="Z32">MID(";"&amp;'CASE DATA'!$F32&amp;";",SMALL(IF(ISERROR(SEARCH(MID(";"&amp;'CASE DATA'!$F32&amp;";",ROW($1:$99),1),";")),"",ROW($1:$99)+1),COLUMN(C32)),SMALL(IF(ISERROR(SEARCH(MID(";"&amp;'CASE DATA'!$F32&amp;";",ROW($1:$99),1),";")),"",ROW($1:$99)),COLUMN(C31)+1)-SMALL(IF(ISERROR(SEARCH(MID(";"&amp;'CASE DATA'!$F32&amp;";",ROW($1:$99),1),";")),"",ROW($1:$99)),COLUMN(C31))-1)</f>
        <v/>
      </c>
      <c r="AA32" s="75" t="str" cm="1">
        <f t="array" ref="AA32">MID(";"&amp;'CASE DATA'!$F32&amp;";",SMALL(IF(ISERROR(SEARCH(MID(";"&amp;'CASE DATA'!$F32&amp;";",ROW($1:$99),1),";")),"",ROW($1:$99)+1),COLUMN(D32)),SMALL(IF(ISERROR(SEARCH(MID(";"&amp;'CASE DATA'!$F32&amp;";",ROW($1:$99),1),";")),"",ROW($1:$99)),COLUMN(D31)+1)-SMALL(IF(ISERROR(SEARCH(MID(";"&amp;'CASE DATA'!$F32&amp;";",ROW($1:$99),1),";")),"",ROW($1:$99)),COLUMN(D31))-1)</f>
        <v/>
      </c>
      <c r="AB32" s="75" t="str" cm="1">
        <f t="array" ref="AB32">MID(";"&amp;'CASE DATA'!$F32&amp;";",SMALL(IF(ISERROR(SEARCH(MID(";"&amp;'CASE DATA'!$F32&amp;";",ROW($1:$99),1),";")),"",ROW($1:$99)+1),COLUMN(E32)),SMALL(IF(ISERROR(SEARCH(MID(";"&amp;'CASE DATA'!$F32&amp;";",ROW($1:$99),1),";")),"",ROW($1:$99)),COLUMN(E31)+1)-SMALL(IF(ISERROR(SEARCH(MID(";"&amp;'CASE DATA'!$F32&amp;";",ROW($1:$99),1),";")),"",ROW($1:$99)),COLUMN(E31))-1)</f>
        <v/>
      </c>
      <c r="AC32" s="75" t="str" cm="1">
        <f t="array" ref="AC32">MID(";"&amp;'CASE DATA'!$F32&amp;";",SMALL(IF(ISERROR(SEARCH(MID(";"&amp;'CASE DATA'!$F32&amp;";",ROW($1:$99),1),";")),"",ROW($1:$99)+1),COLUMN(F32)),SMALL(IF(ISERROR(SEARCH(MID(";"&amp;'CASE DATA'!$F32&amp;";",ROW($1:$99),1),";")),"",ROW($1:$99)),COLUMN(F31)+1)-SMALL(IF(ISERROR(SEARCH(MID(";"&amp;'CASE DATA'!$F32&amp;";",ROW($1:$99),1),";")),"",ROW($1:$99)),COLUMN(F31))-1)</f>
        <v/>
      </c>
      <c r="AD32" s="75" t="str" cm="1">
        <f t="array" ref="AD32">MID(";"&amp;'CASE DATA'!$F32&amp;";",SMALL(IF(ISERROR(SEARCH(MID(";"&amp;'CASE DATA'!$F32&amp;";",ROW($1:$99),1),";")),"",ROW($1:$99)+1),COLUMN(G32)),SMALL(IF(ISERROR(SEARCH(MID(";"&amp;'CASE DATA'!$F32&amp;";",ROW($1:$99),1),";")),"",ROW($1:$99)),COLUMN(G31)+1)-SMALL(IF(ISERROR(SEARCH(MID(";"&amp;'CASE DATA'!$F32&amp;";",ROW($1:$99),1),";")),"",ROW($1:$99)),COLUMN(G31))-1)</f>
        <v/>
      </c>
      <c r="AE32" s="75" t="str" cm="1">
        <f t="array" ref="AE32">MID(";"&amp;'CASE DATA'!$F32&amp;";",SMALL(IF(ISERROR(SEARCH(MID(";"&amp;'CASE DATA'!$F32&amp;";",ROW($1:$99),1),";")),"",ROW($1:$99)+1),COLUMN(H32)),SMALL(IF(ISERROR(SEARCH(MID(";"&amp;'CASE DATA'!$F32&amp;";",ROW($1:$99),1),";")),"",ROW($1:$99)),COLUMN(H31)+1)-SMALL(IF(ISERROR(SEARCH(MID(";"&amp;'CASE DATA'!$F32&amp;";",ROW($1:$99),1),";")),"",ROW($1:$99)),COLUMN(H31))-1)</f>
        <v/>
      </c>
      <c r="AF32" s="75" t="str" cm="1">
        <f t="array" ref="AF32">MID(";"&amp;'CASE DATA'!$F32&amp;";",SMALL(IF(ISERROR(SEARCH(MID(";"&amp;'CASE DATA'!$F32&amp;";",ROW($1:$99),1),";")),"",ROW($1:$99)+1),COLUMN(I32)),SMALL(IF(ISERROR(SEARCH(MID(";"&amp;'CASE DATA'!$F32&amp;";",ROW($1:$99),1),";")),"",ROW($1:$99)),COLUMN(I31)+1)-SMALL(IF(ISERROR(SEARCH(MID(";"&amp;'CASE DATA'!$F32&amp;";",ROW($1:$99),1),";")),"",ROW($1:$99)),COLUMN(I31))-1)</f>
        <v/>
      </c>
      <c r="AG32" s="75" t="str" cm="1">
        <f t="array" ref="AG32">MID(";"&amp;'CASE DATA'!$F32&amp;";",SMALL(IF(ISERROR(SEARCH(MID(";"&amp;'CASE DATA'!$F32&amp;";",ROW($1:$99),1),";")),"",ROW($1:$99)+1),COLUMN(K32)),SMALL(IF(ISERROR(SEARCH(MID(";"&amp;'CASE DATA'!$F32&amp;";",ROW($1:$99),1),";")),"",ROW($1:$99)),COLUMN(K31)+1)-SMALL(IF(ISERROR(SEARCH(MID(";"&amp;'CASE DATA'!$F32&amp;";",ROW($1:$99),1),";")),"",ROW($1:$99)),COLUMN(K31))-1)</f>
        <v/>
      </c>
      <c r="AH32" s="75" t="str" cm="1">
        <f t="array" ref="AH32">MID(";"&amp;'CASE DATA'!$F32&amp;";",SMALL(IF(ISERROR(SEARCH(MID(";"&amp;'CASE DATA'!$F32&amp;";",ROW($1:$99),1),";")),"",ROW($1:$99)+1),COLUMN(L32)),SMALL(IF(ISERROR(SEARCH(MID(";"&amp;'CASE DATA'!$F32&amp;";",ROW($1:$99),1),";")),"",ROW($1:$99)),COLUMN(L31)+1)-SMALL(IF(ISERROR(SEARCH(MID(";"&amp;'CASE DATA'!$F32&amp;";",ROW($1:$99),1),";")),"",ROW($1:$99)),COLUMN(L31))-1)</f>
        <v/>
      </c>
      <c r="AI32" s="75" t="str" cm="1">
        <f t="array" ref="AI32">MID(";"&amp;'CASE DATA'!$F32&amp;";",SMALL(IF(ISERROR(SEARCH(MID(";"&amp;'CASE DATA'!$F32&amp;";",ROW($1:$99),1),";")),"",ROW($1:$99)+1),COLUMN(M32)),SMALL(IF(ISERROR(SEARCH(MID(";"&amp;'CASE DATA'!$F32&amp;";",ROW($1:$99),1),";")),"",ROW($1:$99)),COLUMN(M31)+1)-SMALL(IF(ISERROR(SEARCH(MID(";"&amp;'CASE DATA'!$F32&amp;";",ROW($1:$99),1),";")),"",ROW($1:$99)),COLUMN(M31))-1)</f>
        <v/>
      </c>
      <c r="BO32" s="99"/>
      <c r="BP32" s="99"/>
      <c r="BQ32" s="99"/>
      <c r="BR32" s="99"/>
      <c r="BS32" s="99"/>
      <c r="BT32" s="99"/>
      <c r="BU32" s="99"/>
      <c r="BV32" s="99"/>
      <c r="BW32" s="99"/>
      <c r="BX32" s="99"/>
      <c r="BY32" s="99"/>
      <c r="BZ32" s="99"/>
      <c r="CA32" s="99"/>
      <c r="CB32" s="99"/>
      <c r="CC32" s="99"/>
      <c r="CD32" s="99"/>
      <c r="CE32" s="99"/>
      <c r="CF32" s="99"/>
      <c r="CG32" s="99"/>
      <c r="CH32" s="99"/>
      <c r="CI32" s="99"/>
      <c r="CJ32" s="99"/>
      <c r="CK32" s="99"/>
      <c r="CL32" s="99"/>
      <c r="CM32" s="99"/>
      <c r="CN32" s="99"/>
      <c r="CO32" s="99"/>
      <c r="CP32" s="99"/>
      <c r="CQ32" s="99"/>
      <c r="CR32" s="99"/>
      <c r="CS32" s="99"/>
      <c r="CT32" s="99"/>
      <c r="CU32" s="99"/>
      <c r="CV32" s="99"/>
      <c r="CW32" s="99"/>
      <c r="CX32" s="99"/>
      <c r="CY32" s="99"/>
      <c r="CZ32" s="99"/>
      <c r="DA32" s="99"/>
      <c r="DB32" s="99"/>
      <c r="DC32" s="99"/>
      <c r="DD32" s="99"/>
      <c r="DE32" s="99"/>
      <c r="DF32" s="99"/>
      <c r="DG32" s="99"/>
      <c r="DH32" s="99"/>
      <c r="DI32" s="99"/>
      <c r="DJ32" s="99"/>
      <c r="DK32" s="99"/>
      <c r="DL32" s="99"/>
      <c r="DM32" s="99"/>
      <c r="DN32" s="99"/>
      <c r="DO32" s="99"/>
      <c r="DP32" s="99"/>
      <c r="DQ32" s="99"/>
      <c r="DR32" s="99"/>
      <c r="DS32" s="99"/>
      <c r="DT32" s="99"/>
      <c r="DU32" s="99"/>
      <c r="DV32" s="99"/>
      <c r="DW32" s="99"/>
      <c r="DX32" s="99"/>
      <c r="DY32" s="99"/>
      <c r="DZ32" s="99"/>
      <c r="EA32" s="99"/>
      <c r="EB32" s="99"/>
      <c r="EC32" s="99"/>
      <c r="ED32" s="99"/>
      <c r="EE32" s="99"/>
      <c r="EF32" s="99"/>
      <c r="EG32" s="99"/>
      <c r="EH32" s="99"/>
      <c r="EI32" s="99"/>
      <c r="EJ32" s="99"/>
      <c r="EK32" s="99"/>
      <c r="EL32" s="99"/>
      <c r="EM32" s="99"/>
      <c r="EN32" s="99"/>
      <c r="EO32" s="99"/>
      <c r="EP32" s="99"/>
      <c r="EQ32" s="99"/>
      <c r="ER32" s="99"/>
      <c r="ES32" s="99"/>
      <c r="ET32" s="99"/>
      <c r="EU32" s="99"/>
      <c r="EV32" s="99"/>
      <c r="EW32" s="99"/>
      <c r="EX32" s="99"/>
      <c r="EY32" s="99"/>
      <c r="EZ32" s="99"/>
      <c r="FA32" s="99"/>
      <c r="FB32" s="99"/>
      <c r="FC32" s="99"/>
      <c r="FD32" s="99"/>
      <c r="FE32" s="99"/>
      <c r="FF32" s="99"/>
      <c r="FG32" s="99"/>
      <c r="FH32" s="99"/>
      <c r="FI32" s="99"/>
      <c r="FJ32" s="99"/>
      <c r="FK32" s="99"/>
    </row>
    <row r="33" spans="1:167" x14ac:dyDescent="0.25">
      <c r="A33" s="11"/>
      <c r="C33" s="10"/>
      <c r="D33" s="10"/>
      <c r="E33" s="11"/>
      <c r="F33" s="15"/>
      <c r="J33" s="99">
        <v>30</v>
      </c>
      <c r="K33" s="16"/>
      <c r="L33" s="16"/>
      <c r="M33" s="16"/>
      <c r="N33" s="16"/>
      <c r="O33" s="16"/>
      <c r="P33" s="16"/>
      <c r="Q33" s="16"/>
      <c r="R33" s="16"/>
      <c r="S33" s="16"/>
      <c r="T33" s="16"/>
      <c r="U33" s="14">
        <f>SUM(K33:T33)</f>
        <v>0</v>
      </c>
      <c r="V33" s="14"/>
      <c r="X33" s="75" t="str" cm="1">
        <f t="array" ref="X33">MID(";"&amp;'CASE DATA'!$F33&amp;";",SMALL(IF(ISERROR(SEARCH(MID(";"&amp;'CASE DATA'!$F33&amp;";",ROW($1:$99),1),";")),"",ROW($1:$99)+1),COLUMN(A33)),SMALL(IF(ISERROR(SEARCH(MID(";"&amp;'CASE DATA'!$F33&amp;";",ROW($1:$99),1),";")),"",ROW($1:$99)),COLUMN(A32)+1)-SMALL(IF(ISERROR(SEARCH(MID(";"&amp;'CASE DATA'!$F33&amp;";",ROW($1:$99),1),";")),"",ROW($1:$99)),COLUMN(A32))-1)</f>
        <v/>
      </c>
      <c r="Y33" s="75" t="str" cm="1">
        <f t="array" ref="Y33">MID(";"&amp;'CASE DATA'!$F33&amp;";",SMALL(IF(ISERROR(SEARCH(MID(";"&amp;'CASE DATA'!$F33&amp;";",ROW($1:$99),1),";")),"",ROW($1:$99)+1),COLUMN(B33)),SMALL(IF(ISERROR(SEARCH(MID(";"&amp;'CASE DATA'!$F33&amp;";",ROW($1:$99),1),";")),"",ROW($1:$99)),COLUMN(B32)+1)-SMALL(IF(ISERROR(SEARCH(MID(";"&amp;'CASE DATA'!$F33&amp;";",ROW($1:$99),1),";")),"",ROW($1:$99)),COLUMN(B32))-1)</f>
        <v/>
      </c>
      <c r="Z33" s="75" t="str" cm="1">
        <f t="array" ref="Z33">MID(";"&amp;'CASE DATA'!$F33&amp;";",SMALL(IF(ISERROR(SEARCH(MID(";"&amp;'CASE DATA'!$F33&amp;";",ROW($1:$99),1),";")),"",ROW($1:$99)+1),COLUMN(C33)),SMALL(IF(ISERROR(SEARCH(MID(";"&amp;'CASE DATA'!$F33&amp;";",ROW($1:$99),1),";")),"",ROW($1:$99)),COLUMN(C32)+1)-SMALL(IF(ISERROR(SEARCH(MID(";"&amp;'CASE DATA'!$F33&amp;";",ROW($1:$99),1),";")),"",ROW($1:$99)),COLUMN(C32))-1)</f>
        <v/>
      </c>
      <c r="AA33" s="75" t="str" cm="1">
        <f t="array" ref="AA33">MID(";"&amp;'CASE DATA'!$F33&amp;";",SMALL(IF(ISERROR(SEARCH(MID(";"&amp;'CASE DATA'!$F33&amp;";",ROW($1:$99),1),";")),"",ROW($1:$99)+1),COLUMN(D33)),SMALL(IF(ISERROR(SEARCH(MID(";"&amp;'CASE DATA'!$F33&amp;";",ROW($1:$99),1),";")),"",ROW($1:$99)),COLUMN(D32)+1)-SMALL(IF(ISERROR(SEARCH(MID(";"&amp;'CASE DATA'!$F33&amp;";",ROW($1:$99),1),";")),"",ROW($1:$99)),COLUMN(D32))-1)</f>
        <v/>
      </c>
      <c r="AB33" s="75" t="str" cm="1">
        <f t="array" ref="AB33">MID(";"&amp;'CASE DATA'!$F33&amp;";",SMALL(IF(ISERROR(SEARCH(MID(";"&amp;'CASE DATA'!$F33&amp;";",ROW($1:$99),1),";")),"",ROW($1:$99)+1),COLUMN(E33)),SMALL(IF(ISERROR(SEARCH(MID(";"&amp;'CASE DATA'!$F33&amp;";",ROW($1:$99),1),";")),"",ROW($1:$99)),COLUMN(E32)+1)-SMALL(IF(ISERROR(SEARCH(MID(";"&amp;'CASE DATA'!$F33&amp;";",ROW($1:$99),1),";")),"",ROW($1:$99)),COLUMN(E32))-1)</f>
        <v/>
      </c>
      <c r="AC33" s="75" t="str" cm="1">
        <f t="array" ref="AC33">MID(";"&amp;'CASE DATA'!$F33&amp;";",SMALL(IF(ISERROR(SEARCH(MID(";"&amp;'CASE DATA'!$F33&amp;";",ROW($1:$99),1),";")),"",ROW($1:$99)+1),COLUMN(F33)),SMALL(IF(ISERROR(SEARCH(MID(";"&amp;'CASE DATA'!$F33&amp;";",ROW($1:$99),1),";")),"",ROW($1:$99)),COLUMN(F32)+1)-SMALL(IF(ISERROR(SEARCH(MID(";"&amp;'CASE DATA'!$F33&amp;";",ROW($1:$99),1),";")),"",ROW($1:$99)),COLUMN(F32))-1)</f>
        <v/>
      </c>
      <c r="AD33" s="75" t="str" cm="1">
        <f t="array" ref="AD33">MID(";"&amp;'CASE DATA'!$F33&amp;";",SMALL(IF(ISERROR(SEARCH(MID(";"&amp;'CASE DATA'!$F33&amp;";",ROW($1:$99),1),";")),"",ROW($1:$99)+1),COLUMN(G33)),SMALL(IF(ISERROR(SEARCH(MID(";"&amp;'CASE DATA'!$F33&amp;";",ROW($1:$99),1),";")),"",ROW($1:$99)),COLUMN(G32)+1)-SMALL(IF(ISERROR(SEARCH(MID(";"&amp;'CASE DATA'!$F33&amp;";",ROW($1:$99),1),";")),"",ROW($1:$99)),COLUMN(G32))-1)</f>
        <v/>
      </c>
      <c r="AE33" s="75" t="str" cm="1">
        <f t="array" ref="AE33">MID(";"&amp;'CASE DATA'!$F33&amp;";",SMALL(IF(ISERROR(SEARCH(MID(";"&amp;'CASE DATA'!$F33&amp;";",ROW($1:$99),1),";")),"",ROW($1:$99)+1),COLUMN(H33)),SMALL(IF(ISERROR(SEARCH(MID(";"&amp;'CASE DATA'!$F33&amp;";",ROW($1:$99),1),";")),"",ROW($1:$99)),COLUMN(H32)+1)-SMALL(IF(ISERROR(SEARCH(MID(";"&amp;'CASE DATA'!$F33&amp;";",ROW($1:$99),1),";")),"",ROW($1:$99)),COLUMN(H32))-1)</f>
        <v/>
      </c>
      <c r="AF33" s="75" t="str" cm="1">
        <f t="array" ref="AF33">MID(";"&amp;'CASE DATA'!$F33&amp;";",SMALL(IF(ISERROR(SEARCH(MID(";"&amp;'CASE DATA'!$F33&amp;";",ROW($1:$99),1),";")),"",ROW($1:$99)+1),COLUMN(I33)),SMALL(IF(ISERROR(SEARCH(MID(";"&amp;'CASE DATA'!$F33&amp;";",ROW($1:$99),1),";")),"",ROW($1:$99)),COLUMN(I32)+1)-SMALL(IF(ISERROR(SEARCH(MID(";"&amp;'CASE DATA'!$F33&amp;";",ROW($1:$99),1),";")),"",ROW($1:$99)),COLUMN(I32))-1)</f>
        <v/>
      </c>
      <c r="AG33" s="75" t="str" cm="1">
        <f t="array" ref="AG33">MID(";"&amp;'CASE DATA'!$F33&amp;";",SMALL(IF(ISERROR(SEARCH(MID(";"&amp;'CASE DATA'!$F33&amp;";",ROW($1:$99),1),";")),"",ROW($1:$99)+1),COLUMN(K33)),SMALL(IF(ISERROR(SEARCH(MID(";"&amp;'CASE DATA'!$F33&amp;";",ROW($1:$99),1),";")),"",ROW($1:$99)),COLUMN(K32)+1)-SMALL(IF(ISERROR(SEARCH(MID(";"&amp;'CASE DATA'!$F33&amp;";",ROW($1:$99),1),";")),"",ROW($1:$99)),COLUMN(K32))-1)</f>
        <v/>
      </c>
      <c r="AH33" s="75" t="str" cm="1">
        <f t="array" ref="AH33">MID(";"&amp;'CASE DATA'!$F33&amp;";",SMALL(IF(ISERROR(SEARCH(MID(";"&amp;'CASE DATA'!$F33&amp;";",ROW($1:$99),1),";")),"",ROW($1:$99)+1),COLUMN(L33)),SMALL(IF(ISERROR(SEARCH(MID(";"&amp;'CASE DATA'!$F33&amp;";",ROW($1:$99),1),";")),"",ROW($1:$99)),COLUMN(L32)+1)-SMALL(IF(ISERROR(SEARCH(MID(";"&amp;'CASE DATA'!$F33&amp;";",ROW($1:$99),1),";")),"",ROW($1:$99)),COLUMN(L32))-1)</f>
        <v/>
      </c>
      <c r="AI33" s="75" t="str" cm="1">
        <f t="array" ref="AI33">MID(";"&amp;'CASE DATA'!$F33&amp;";",SMALL(IF(ISERROR(SEARCH(MID(";"&amp;'CASE DATA'!$F33&amp;";",ROW($1:$99),1),";")),"",ROW($1:$99)+1),COLUMN(M33)),SMALL(IF(ISERROR(SEARCH(MID(";"&amp;'CASE DATA'!$F33&amp;";",ROW($1:$99),1),";")),"",ROW($1:$99)),COLUMN(M32)+1)-SMALL(IF(ISERROR(SEARCH(MID(";"&amp;'CASE DATA'!$F33&amp;";",ROW($1:$99),1),";")),"",ROW($1:$99)),COLUMN(M32))-1)</f>
        <v/>
      </c>
      <c r="BO33" s="99"/>
      <c r="BP33" s="99"/>
      <c r="BQ33" s="99"/>
      <c r="BR33" s="99"/>
      <c r="BS33" s="99"/>
      <c r="BT33" s="99"/>
      <c r="BU33" s="99"/>
      <c r="BV33" s="99"/>
      <c r="BW33" s="99"/>
      <c r="BX33" s="99"/>
      <c r="BY33" s="99"/>
      <c r="BZ33" s="99"/>
      <c r="CA33" s="99"/>
      <c r="CB33" s="99"/>
      <c r="CC33" s="99"/>
      <c r="CD33" s="99"/>
      <c r="CE33" s="99"/>
      <c r="CF33" s="99"/>
      <c r="CG33" s="99"/>
      <c r="CH33" s="99"/>
      <c r="CI33" s="99"/>
      <c r="CJ33" s="99"/>
      <c r="CK33" s="99"/>
      <c r="CL33" s="99"/>
      <c r="CM33" s="99"/>
      <c r="CN33" s="99"/>
      <c r="CO33" s="99"/>
      <c r="CP33" s="99"/>
      <c r="CQ33" s="99"/>
      <c r="CR33" s="99"/>
      <c r="CS33" s="99"/>
      <c r="CT33" s="99"/>
      <c r="CU33" s="99"/>
      <c r="CV33" s="99"/>
      <c r="CW33" s="99"/>
      <c r="CX33" s="99"/>
      <c r="CY33" s="99"/>
      <c r="CZ33" s="99"/>
      <c r="DA33" s="99"/>
      <c r="DB33" s="99"/>
      <c r="DC33" s="99"/>
      <c r="DD33" s="99"/>
      <c r="DE33" s="99"/>
      <c r="DF33" s="99"/>
      <c r="DG33" s="99"/>
      <c r="DH33" s="99"/>
      <c r="DI33" s="99"/>
      <c r="DJ33" s="99"/>
      <c r="DK33" s="99"/>
      <c r="DL33" s="99"/>
      <c r="DM33" s="99"/>
      <c r="DN33" s="99"/>
      <c r="DO33" s="99"/>
      <c r="DP33" s="99"/>
      <c r="DQ33" s="99"/>
      <c r="DR33" s="99"/>
      <c r="DS33" s="99"/>
      <c r="DT33" s="99"/>
      <c r="DU33" s="99"/>
      <c r="DV33" s="99"/>
      <c r="DW33" s="99"/>
      <c r="DX33" s="99"/>
      <c r="DY33" s="99"/>
      <c r="DZ33" s="99"/>
      <c r="EA33" s="99"/>
      <c r="EB33" s="99"/>
      <c r="EC33" s="99"/>
      <c r="ED33" s="99"/>
      <c r="EE33" s="99"/>
      <c r="EF33" s="99"/>
      <c r="EG33" s="99"/>
      <c r="EH33" s="99"/>
      <c r="EI33" s="99"/>
      <c r="EJ33" s="99"/>
      <c r="EK33" s="99"/>
      <c r="EL33" s="99"/>
      <c r="EM33" s="99"/>
      <c r="EN33" s="99"/>
      <c r="EO33" s="99"/>
      <c r="EP33" s="99"/>
      <c r="EQ33" s="99"/>
      <c r="ER33" s="99"/>
      <c r="ES33" s="99"/>
      <c r="ET33" s="99"/>
      <c r="EU33" s="99"/>
      <c r="EV33" s="99"/>
      <c r="EW33" s="99"/>
      <c r="EX33" s="99"/>
      <c r="EY33" s="99"/>
      <c r="EZ33" s="99"/>
      <c r="FA33" s="99"/>
      <c r="FB33" s="99"/>
      <c r="FC33" s="99"/>
      <c r="FD33" s="99"/>
      <c r="FE33" s="99"/>
      <c r="FF33" s="99"/>
      <c r="FG33" s="99"/>
      <c r="FH33" s="99"/>
      <c r="FI33" s="99"/>
      <c r="FJ33" s="99"/>
      <c r="FK33" s="99"/>
    </row>
    <row r="34" spans="1:167" x14ac:dyDescent="0.25">
      <c r="C34" s="10"/>
      <c r="D34" s="10"/>
      <c r="E34" s="11"/>
      <c r="F34" s="15"/>
      <c r="J34" s="99">
        <v>31</v>
      </c>
      <c r="K34" s="16"/>
      <c r="L34" s="16"/>
      <c r="M34" s="16"/>
      <c r="N34" s="16"/>
      <c r="O34" s="16"/>
      <c r="P34" s="16"/>
      <c r="Q34" s="16"/>
      <c r="R34" s="16"/>
      <c r="S34" s="16"/>
      <c r="T34" s="16"/>
      <c r="U34" s="73">
        <f>SUM(K34:T34)</f>
        <v>0</v>
      </c>
      <c r="V34" s="73"/>
      <c r="X34" s="75" t="str" cm="1">
        <f t="array" ref="X34">MID(";"&amp;'CASE DATA'!$F34&amp;";",SMALL(IF(ISERROR(SEARCH(MID(";"&amp;'CASE DATA'!$F34&amp;";",ROW($1:$99),1),";")),"",ROW($1:$99)+1),COLUMN(A34)),SMALL(IF(ISERROR(SEARCH(MID(";"&amp;'CASE DATA'!$F34&amp;";",ROW($1:$99),1),";")),"",ROW($1:$99)),COLUMN(A33)+1)-SMALL(IF(ISERROR(SEARCH(MID(";"&amp;'CASE DATA'!$F34&amp;";",ROW($1:$99),1),";")),"",ROW($1:$99)),COLUMN(A33))-1)</f>
        <v/>
      </c>
      <c r="Y34" s="75" t="str" cm="1">
        <f t="array" ref="Y34">MID(";"&amp;'CASE DATA'!$F34&amp;";",SMALL(IF(ISERROR(SEARCH(MID(";"&amp;'CASE DATA'!$F34&amp;";",ROW($1:$99),1),";")),"",ROW($1:$99)+1),COLUMN(B34)),SMALL(IF(ISERROR(SEARCH(MID(";"&amp;'CASE DATA'!$F34&amp;";",ROW($1:$99),1),";")),"",ROW($1:$99)),COLUMN(B33)+1)-SMALL(IF(ISERROR(SEARCH(MID(";"&amp;'CASE DATA'!$F34&amp;";",ROW($1:$99),1),";")),"",ROW($1:$99)),COLUMN(B33))-1)</f>
        <v/>
      </c>
      <c r="Z34" s="75" t="str" cm="1">
        <f t="array" ref="Z34">MID(";"&amp;'CASE DATA'!$F34&amp;";",SMALL(IF(ISERROR(SEARCH(MID(";"&amp;'CASE DATA'!$F34&amp;";",ROW($1:$99),1),";")),"",ROW($1:$99)+1),COLUMN(C34)),SMALL(IF(ISERROR(SEARCH(MID(";"&amp;'CASE DATA'!$F34&amp;";",ROW($1:$99),1),";")),"",ROW($1:$99)),COLUMN(C33)+1)-SMALL(IF(ISERROR(SEARCH(MID(";"&amp;'CASE DATA'!$F34&amp;";",ROW($1:$99),1),";")),"",ROW($1:$99)),COLUMN(C33))-1)</f>
        <v/>
      </c>
      <c r="AA34" s="75" t="str" cm="1">
        <f t="array" ref="AA34">MID(";"&amp;'CASE DATA'!$F34&amp;";",SMALL(IF(ISERROR(SEARCH(MID(";"&amp;'CASE DATA'!$F34&amp;";",ROW($1:$99),1),";")),"",ROW($1:$99)+1),COLUMN(D34)),SMALL(IF(ISERROR(SEARCH(MID(";"&amp;'CASE DATA'!$F34&amp;";",ROW($1:$99),1),";")),"",ROW($1:$99)),COLUMN(D33)+1)-SMALL(IF(ISERROR(SEARCH(MID(";"&amp;'CASE DATA'!$F34&amp;";",ROW($1:$99),1),";")),"",ROW($1:$99)),COLUMN(D33))-1)</f>
        <v/>
      </c>
      <c r="AB34" s="75" t="str" cm="1">
        <f t="array" ref="AB34">MID(";"&amp;'CASE DATA'!$F34&amp;";",SMALL(IF(ISERROR(SEARCH(MID(";"&amp;'CASE DATA'!$F34&amp;";",ROW($1:$99),1),";")),"",ROW($1:$99)+1),COLUMN(E34)),SMALL(IF(ISERROR(SEARCH(MID(";"&amp;'CASE DATA'!$F34&amp;";",ROW($1:$99),1),";")),"",ROW($1:$99)),COLUMN(E33)+1)-SMALL(IF(ISERROR(SEARCH(MID(";"&amp;'CASE DATA'!$F34&amp;";",ROW($1:$99),1),";")),"",ROW($1:$99)),COLUMN(E33))-1)</f>
        <v/>
      </c>
      <c r="AC34" s="75" t="str" cm="1">
        <f t="array" ref="AC34">MID(";"&amp;'CASE DATA'!$F34&amp;";",SMALL(IF(ISERROR(SEARCH(MID(";"&amp;'CASE DATA'!$F34&amp;";",ROW($1:$99),1),";")),"",ROW($1:$99)+1),COLUMN(F34)),SMALL(IF(ISERROR(SEARCH(MID(";"&amp;'CASE DATA'!$F34&amp;";",ROW($1:$99),1),";")),"",ROW($1:$99)),COLUMN(F33)+1)-SMALL(IF(ISERROR(SEARCH(MID(";"&amp;'CASE DATA'!$F34&amp;";",ROW($1:$99),1),";")),"",ROW($1:$99)),COLUMN(F33))-1)</f>
        <v/>
      </c>
      <c r="AD34" s="75" t="str" cm="1">
        <f t="array" ref="AD34">MID(";"&amp;'CASE DATA'!$F34&amp;";",SMALL(IF(ISERROR(SEARCH(MID(";"&amp;'CASE DATA'!$F34&amp;";",ROW($1:$99),1),";")),"",ROW($1:$99)+1),COLUMN(G34)),SMALL(IF(ISERROR(SEARCH(MID(";"&amp;'CASE DATA'!$F34&amp;";",ROW($1:$99),1),";")),"",ROW($1:$99)),COLUMN(G33)+1)-SMALL(IF(ISERROR(SEARCH(MID(";"&amp;'CASE DATA'!$F34&amp;";",ROW($1:$99),1),";")),"",ROW($1:$99)),COLUMN(G33))-1)</f>
        <v/>
      </c>
      <c r="AE34" s="75" t="str" cm="1">
        <f t="array" ref="AE34">MID(";"&amp;'CASE DATA'!$F34&amp;";",SMALL(IF(ISERROR(SEARCH(MID(";"&amp;'CASE DATA'!$F34&amp;";",ROW($1:$99),1),";")),"",ROW($1:$99)+1),COLUMN(H34)),SMALL(IF(ISERROR(SEARCH(MID(";"&amp;'CASE DATA'!$F34&amp;";",ROW($1:$99),1),";")),"",ROW($1:$99)),COLUMN(H33)+1)-SMALL(IF(ISERROR(SEARCH(MID(";"&amp;'CASE DATA'!$F34&amp;";",ROW($1:$99),1),";")),"",ROW($1:$99)),COLUMN(H33))-1)</f>
        <v/>
      </c>
      <c r="AF34" s="75" t="str" cm="1">
        <f t="array" ref="AF34">MID(";"&amp;'CASE DATA'!$F34&amp;";",SMALL(IF(ISERROR(SEARCH(MID(";"&amp;'CASE DATA'!$F34&amp;";",ROW($1:$99),1),";")),"",ROW($1:$99)+1),COLUMN(I34)),SMALL(IF(ISERROR(SEARCH(MID(";"&amp;'CASE DATA'!$F34&amp;";",ROW($1:$99),1),";")),"",ROW($1:$99)),COLUMN(I33)+1)-SMALL(IF(ISERROR(SEARCH(MID(";"&amp;'CASE DATA'!$F34&amp;";",ROW($1:$99),1),";")),"",ROW($1:$99)),COLUMN(I33))-1)</f>
        <v/>
      </c>
      <c r="AG34" s="75" t="str" cm="1">
        <f t="array" ref="AG34">MID(";"&amp;'CASE DATA'!$F34&amp;";",SMALL(IF(ISERROR(SEARCH(MID(";"&amp;'CASE DATA'!$F34&amp;";",ROW($1:$99),1),";")),"",ROW($1:$99)+1),COLUMN(K34)),SMALL(IF(ISERROR(SEARCH(MID(";"&amp;'CASE DATA'!$F34&amp;";",ROW($1:$99),1),";")),"",ROW($1:$99)),COLUMN(K33)+1)-SMALL(IF(ISERROR(SEARCH(MID(";"&amp;'CASE DATA'!$F34&amp;";",ROW($1:$99),1),";")),"",ROW($1:$99)),COLUMN(K33))-1)</f>
        <v/>
      </c>
      <c r="AH34" s="75" t="str" cm="1">
        <f t="array" ref="AH34">MID(";"&amp;'CASE DATA'!$F34&amp;";",SMALL(IF(ISERROR(SEARCH(MID(";"&amp;'CASE DATA'!$F34&amp;";",ROW($1:$99),1),";")),"",ROW($1:$99)+1),COLUMN(L34)),SMALL(IF(ISERROR(SEARCH(MID(";"&amp;'CASE DATA'!$F34&amp;";",ROW($1:$99),1),";")),"",ROW($1:$99)),COLUMN(L33)+1)-SMALL(IF(ISERROR(SEARCH(MID(";"&amp;'CASE DATA'!$F34&amp;";",ROW($1:$99),1),";")),"",ROW($1:$99)),COLUMN(L33))-1)</f>
        <v/>
      </c>
      <c r="AI34" s="75" t="str" cm="1">
        <f t="array" ref="AI34">MID(";"&amp;'CASE DATA'!$F34&amp;";",SMALL(IF(ISERROR(SEARCH(MID(";"&amp;'CASE DATA'!$F34&amp;";",ROW($1:$99),1),";")),"",ROW($1:$99)+1),COLUMN(M34)),SMALL(IF(ISERROR(SEARCH(MID(";"&amp;'CASE DATA'!$F34&amp;";",ROW($1:$99),1),";")),"",ROW($1:$99)),COLUMN(M33)+1)-SMALL(IF(ISERROR(SEARCH(MID(";"&amp;'CASE DATA'!$F34&amp;";",ROW($1:$99),1),";")),"",ROW($1:$99)),COLUMN(M33))-1)</f>
        <v/>
      </c>
      <c r="BO34" s="99"/>
      <c r="BP34" s="99"/>
      <c r="BQ34" s="99"/>
      <c r="BR34" s="99"/>
      <c r="BS34" s="99"/>
      <c r="BT34" s="99"/>
      <c r="BU34" s="99"/>
      <c r="BV34" s="99"/>
      <c r="BW34" s="99"/>
      <c r="BX34" s="99"/>
      <c r="BY34" s="99"/>
      <c r="BZ34" s="99"/>
      <c r="CA34" s="99"/>
      <c r="CB34" s="99"/>
      <c r="CC34" s="99"/>
      <c r="CD34" s="99"/>
      <c r="CE34" s="99"/>
      <c r="CF34" s="99"/>
      <c r="CG34" s="99"/>
      <c r="CH34" s="99"/>
      <c r="CI34" s="99"/>
      <c r="CJ34" s="99"/>
      <c r="CK34" s="99"/>
      <c r="CL34" s="99"/>
      <c r="CM34" s="99"/>
      <c r="CN34" s="99"/>
      <c r="CO34" s="99"/>
      <c r="CP34" s="99"/>
      <c r="CQ34" s="99"/>
      <c r="CR34" s="99"/>
      <c r="CS34" s="99"/>
      <c r="CT34" s="99"/>
      <c r="CU34" s="99"/>
      <c r="CV34" s="99"/>
      <c r="CW34" s="99"/>
      <c r="CX34" s="99"/>
      <c r="CY34" s="99"/>
      <c r="CZ34" s="99"/>
      <c r="DA34" s="99"/>
      <c r="DB34" s="99"/>
      <c r="DC34" s="99"/>
      <c r="DD34" s="99"/>
      <c r="DE34" s="99"/>
      <c r="DF34" s="99"/>
      <c r="DG34" s="99"/>
      <c r="DH34" s="99"/>
      <c r="DI34" s="99"/>
      <c r="DJ34" s="99"/>
      <c r="DK34" s="99"/>
      <c r="DL34" s="99"/>
      <c r="DM34" s="99"/>
      <c r="DN34" s="99"/>
      <c r="DO34" s="99"/>
      <c r="DP34" s="99"/>
      <c r="DQ34" s="99"/>
      <c r="DR34" s="99"/>
      <c r="DS34" s="99"/>
      <c r="DT34" s="99"/>
      <c r="DU34" s="99"/>
      <c r="DV34" s="99"/>
      <c r="DW34" s="99"/>
      <c r="DX34" s="99"/>
      <c r="DY34" s="99"/>
      <c r="DZ34" s="99"/>
      <c r="EA34" s="99"/>
      <c r="EB34" s="99"/>
      <c r="EC34" s="99"/>
      <c r="ED34" s="99"/>
      <c r="EE34" s="99"/>
      <c r="EF34" s="99"/>
      <c r="EG34" s="99"/>
      <c r="EH34" s="99"/>
      <c r="EI34" s="99"/>
      <c r="EJ34" s="99"/>
      <c r="EK34" s="99"/>
      <c r="EL34" s="99"/>
      <c r="EM34" s="99"/>
      <c r="EN34" s="99"/>
      <c r="EO34" s="99"/>
      <c r="EP34" s="99"/>
      <c r="EQ34" s="99"/>
      <c r="ER34" s="99"/>
      <c r="ES34" s="99"/>
      <c r="ET34" s="99"/>
      <c r="EU34" s="99"/>
      <c r="EV34" s="99"/>
      <c r="EW34" s="99"/>
      <c r="EX34" s="99"/>
      <c r="EY34" s="99"/>
      <c r="EZ34" s="99"/>
      <c r="FA34" s="99"/>
      <c r="FB34" s="99"/>
      <c r="FC34" s="99"/>
      <c r="FD34" s="99"/>
      <c r="FE34" s="99"/>
      <c r="FF34" s="99"/>
      <c r="FG34" s="99"/>
      <c r="FH34" s="99"/>
      <c r="FI34" s="99"/>
      <c r="FJ34" s="99"/>
      <c r="FK34" s="99"/>
    </row>
    <row r="35" spans="1:167" x14ac:dyDescent="0.25">
      <c r="C35" s="10"/>
      <c r="D35" s="10"/>
      <c r="E35" s="11"/>
      <c r="F35" s="15"/>
      <c r="J35" s="99">
        <v>32</v>
      </c>
      <c r="K35" s="16"/>
      <c r="L35" s="16"/>
      <c r="M35" s="16"/>
      <c r="N35" s="16"/>
      <c r="O35" s="16"/>
      <c r="P35" s="16"/>
      <c r="Q35" s="16"/>
      <c r="R35" s="16"/>
      <c r="S35" s="16"/>
      <c r="T35" s="16"/>
      <c r="U35" s="73">
        <f>SUM(K35:T35)</f>
        <v>0</v>
      </c>
      <c r="V35" s="73"/>
      <c r="X35" s="75" t="str" cm="1">
        <f t="array" ref="X35">MID(";"&amp;'CASE DATA'!$F35&amp;";",SMALL(IF(ISERROR(SEARCH(MID(";"&amp;'CASE DATA'!$F35&amp;";",ROW($1:$99),1),";")),"",ROW($1:$99)+1),COLUMN(A35)),SMALL(IF(ISERROR(SEARCH(MID(";"&amp;'CASE DATA'!$F35&amp;";",ROW($1:$99),1),";")),"",ROW($1:$99)),COLUMN(A34)+1)-SMALL(IF(ISERROR(SEARCH(MID(";"&amp;'CASE DATA'!$F35&amp;";",ROW($1:$99),1),";")),"",ROW($1:$99)),COLUMN(A34))-1)</f>
        <v/>
      </c>
      <c r="Y35" s="75" t="str" cm="1">
        <f t="array" ref="Y35">MID(";"&amp;'CASE DATA'!$F35&amp;";",SMALL(IF(ISERROR(SEARCH(MID(";"&amp;'CASE DATA'!$F35&amp;";",ROW($1:$99),1),";")),"",ROW($1:$99)+1),COLUMN(B35)),SMALL(IF(ISERROR(SEARCH(MID(";"&amp;'CASE DATA'!$F35&amp;";",ROW($1:$99),1),";")),"",ROW($1:$99)),COLUMN(B34)+1)-SMALL(IF(ISERROR(SEARCH(MID(";"&amp;'CASE DATA'!$F35&amp;";",ROW($1:$99),1),";")),"",ROW($1:$99)),COLUMN(B34))-1)</f>
        <v/>
      </c>
      <c r="Z35" s="75" t="str" cm="1">
        <f t="array" ref="Z35">MID(";"&amp;'CASE DATA'!$F35&amp;";",SMALL(IF(ISERROR(SEARCH(MID(";"&amp;'CASE DATA'!$F35&amp;";",ROW($1:$99),1),";")),"",ROW($1:$99)+1),COLUMN(C35)),SMALL(IF(ISERROR(SEARCH(MID(";"&amp;'CASE DATA'!$F35&amp;";",ROW($1:$99),1),";")),"",ROW($1:$99)),COLUMN(C34)+1)-SMALL(IF(ISERROR(SEARCH(MID(";"&amp;'CASE DATA'!$F35&amp;";",ROW($1:$99),1),";")),"",ROW($1:$99)),COLUMN(C34))-1)</f>
        <v/>
      </c>
      <c r="AA35" s="75" t="str" cm="1">
        <f t="array" ref="AA35">MID(";"&amp;'CASE DATA'!$F35&amp;";",SMALL(IF(ISERROR(SEARCH(MID(";"&amp;'CASE DATA'!$F35&amp;";",ROW($1:$99),1),";")),"",ROW($1:$99)+1),COLUMN(D35)),SMALL(IF(ISERROR(SEARCH(MID(";"&amp;'CASE DATA'!$F35&amp;";",ROW($1:$99),1),";")),"",ROW($1:$99)),COLUMN(D34)+1)-SMALL(IF(ISERROR(SEARCH(MID(";"&amp;'CASE DATA'!$F35&amp;";",ROW($1:$99),1),";")),"",ROW($1:$99)),COLUMN(D34))-1)</f>
        <v/>
      </c>
      <c r="AB35" s="75" t="str" cm="1">
        <f t="array" ref="AB35">MID(";"&amp;'CASE DATA'!$F35&amp;";",SMALL(IF(ISERROR(SEARCH(MID(";"&amp;'CASE DATA'!$F35&amp;";",ROW($1:$99),1),";")),"",ROW($1:$99)+1),COLUMN(E35)),SMALL(IF(ISERROR(SEARCH(MID(";"&amp;'CASE DATA'!$F35&amp;";",ROW($1:$99),1),";")),"",ROW($1:$99)),COLUMN(E34)+1)-SMALL(IF(ISERROR(SEARCH(MID(";"&amp;'CASE DATA'!$F35&amp;";",ROW($1:$99),1),";")),"",ROW($1:$99)),COLUMN(E34))-1)</f>
        <v/>
      </c>
      <c r="AC35" s="75" t="str" cm="1">
        <f t="array" ref="AC35">MID(";"&amp;'CASE DATA'!$F35&amp;";",SMALL(IF(ISERROR(SEARCH(MID(";"&amp;'CASE DATA'!$F35&amp;";",ROW($1:$99),1),";")),"",ROW($1:$99)+1),COLUMN(F35)),SMALL(IF(ISERROR(SEARCH(MID(";"&amp;'CASE DATA'!$F35&amp;";",ROW($1:$99),1),";")),"",ROW($1:$99)),COLUMN(F34)+1)-SMALL(IF(ISERROR(SEARCH(MID(";"&amp;'CASE DATA'!$F35&amp;";",ROW($1:$99),1),";")),"",ROW($1:$99)),COLUMN(F34))-1)</f>
        <v/>
      </c>
      <c r="AD35" s="75" t="str" cm="1">
        <f t="array" ref="AD35">MID(";"&amp;'CASE DATA'!$F35&amp;";",SMALL(IF(ISERROR(SEARCH(MID(";"&amp;'CASE DATA'!$F35&amp;";",ROW($1:$99),1),";")),"",ROW($1:$99)+1),COLUMN(G35)),SMALL(IF(ISERROR(SEARCH(MID(";"&amp;'CASE DATA'!$F35&amp;";",ROW($1:$99),1),";")),"",ROW($1:$99)),COLUMN(G34)+1)-SMALL(IF(ISERROR(SEARCH(MID(";"&amp;'CASE DATA'!$F35&amp;";",ROW($1:$99),1),";")),"",ROW($1:$99)),COLUMN(G34))-1)</f>
        <v/>
      </c>
      <c r="AE35" s="75" t="str" cm="1">
        <f t="array" ref="AE35">MID(";"&amp;'CASE DATA'!$F35&amp;";",SMALL(IF(ISERROR(SEARCH(MID(";"&amp;'CASE DATA'!$F35&amp;";",ROW($1:$99),1),";")),"",ROW($1:$99)+1),COLUMN(H35)),SMALL(IF(ISERROR(SEARCH(MID(";"&amp;'CASE DATA'!$F35&amp;";",ROW($1:$99),1),";")),"",ROW($1:$99)),COLUMN(H34)+1)-SMALL(IF(ISERROR(SEARCH(MID(";"&amp;'CASE DATA'!$F35&amp;";",ROW($1:$99),1),";")),"",ROW($1:$99)),COLUMN(H34))-1)</f>
        <v/>
      </c>
      <c r="AF35" s="75" t="str" cm="1">
        <f t="array" ref="AF35">MID(";"&amp;'CASE DATA'!$F35&amp;";",SMALL(IF(ISERROR(SEARCH(MID(";"&amp;'CASE DATA'!$F35&amp;";",ROW($1:$99),1),";")),"",ROW($1:$99)+1),COLUMN(I35)),SMALL(IF(ISERROR(SEARCH(MID(";"&amp;'CASE DATA'!$F35&amp;";",ROW($1:$99),1),";")),"",ROW($1:$99)),COLUMN(I34)+1)-SMALL(IF(ISERROR(SEARCH(MID(";"&amp;'CASE DATA'!$F35&amp;";",ROW($1:$99),1),";")),"",ROW($1:$99)),COLUMN(I34))-1)</f>
        <v/>
      </c>
      <c r="AG35" s="75" t="str" cm="1">
        <f t="array" ref="AG35">MID(";"&amp;'CASE DATA'!$F35&amp;";",SMALL(IF(ISERROR(SEARCH(MID(";"&amp;'CASE DATA'!$F35&amp;";",ROW($1:$99),1),";")),"",ROW($1:$99)+1),COLUMN(K35)),SMALL(IF(ISERROR(SEARCH(MID(";"&amp;'CASE DATA'!$F35&amp;";",ROW($1:$99),1),";")),"",ROW($1:$99)),COLUMN(K34)+1)-SMALL(IF(ISERROR(SEARCH(MID(";"&amp;'CASE DATA'!$F35&amp;";",ROW($1:$99),1),";")),"",ROW($1:$99)),COLUMN(K34))-1)</f>
        <v/>
      </c>
      <c r="AH35" s="75" t="str" cm="1">
        <f t="array" ref="AH35">MID(";"&amp;'CASE DATA'!$F35&amp;";",SMALL(IF(ISERROR(SEARCH(MID(";"&amp;'CASE DATA'!$F35&amp;";",ROW($1:$99),1),";")),"",ROW($1:$99)+1),COLUMN(L35)),SMALL(IF(ISERROR(SEARCH(MID(";"&amp;'CASE DATA'!$F35&amp;";",ROW($1:$99),1),";")),"",ROW($1:$99)),COLUMN(L34)+1)-SMALL(IF(ISERROR(SEARCH(MID(";"&amp;'CASE DATA'!$F35&amp;";",ROW($1:$99),1),";")),"",ROW($1:$99)),COLUMN(L34))-1)</f>
        <v/>
      </c>
      <c r="AI35" s="75" t="str" cm="1">
        <f t="array" ref="AI35">MID(";"&amp;'CASE DATA'!$F35&amp;";",SMALL(IF(ISERROR(SEARCH(MID(";"&amp;'CASE DATA'!$F35&amp;";",ROW($1:$99),1),";")),"",ROW($1:$99)+1),COLUMN(M35)),SMALL(IF(ISERROR(SEARCH(MID(";"&amp;'CASE DATA'!$F35&amp;";",ROW($1:$99),1),";")),"",ROW($1:$99)),COLUMN(M34)+1)-SMALL(IF(ISERROR(SEARCH(MID(";"&amp;'CASE DATA'!$F35&amp;";",ROW($1:$99),1),";")),"",ROW($1:$99)),COLUMN(M34))-1)</f>
        <v/>
      </c>
      <c r="BO35" s="99"/>
      <c r="BP35" s="99"/>
      <c r="BQ35" s="99"/>
      <c r="BR35" s="99"/>
      <c r="BS35" s="99"/>
      <c r="BT35" s="99"/>
      <c r="BU35" s="99"/>
      <c r="BV35" s="99"/>
      <c r="BW35" s="99"/>
      <c r="BX35" s="99"/>
      <c r="BY35" s="99"/>
      <c r="BZ35" s="99"/>
      <c r="CA35" s="99"/>
      <c r="CB35" s="99"/>
      <c r="CC35" s="99"/>
      <c r="CD35" s="99"/>
      <c r="CE35" s="99"/>
      <c r="CF35" s="99"/>
      <c r="CG35" s="99"/>
      <c r="CH35" s="99"/>
      <c r="CI35" s="99"/>
      <c r="CJ35" s="99"/>
      <c r="CK35" s="99"/>
      <c r="CL35" s="99"/>
      <c r="CM35" s="99"/>
      <c r="CN35" s="99"/>
      <c r="CO35" s="99"/>
      <c r="CP35" s="99"/>
      <c r="CQ35" s="99"/>
      <c r="CR35" s="99"/>
      <c r="CS35" s="99"/>
      <c r="CT35" s="99"/>
      <c r="CU35" s="99"/>
      <c r="CV35" s="99"/>
      <c r="CW35" s="99"/>
      <c r="CX35" s="99"/>
      <c r="CY35" s="99"/>
      <c r="CZ35" s="99"/>
      <c r="DA35" s="99"/>
      <c r="DB35" s="99"/>
      <c r="DC35" s="99"/>
      <c r="DD35" s="99"/>
      <c r="DE35" s="99"/>
      <c r="DF35" s="99"/>
      <c r="DG35" s="99"/>
      <c r="DH35" s="99"/>
      <c r="DI35" s="99"/>
      <c r="DJ35" s="99"/>
      <c r="DK35" s="99"/>
      <c r="DL35" s="99"/>
      <c r="DM35" s="99"/>
      <c r="DN35" s="99"/>
      <c r="DO35" s="99"/>
      <c r="DP35" s="99"/>
      <c r="DQ35" s="99"/>
      <c r="DR35" s="99"/>
      <c r="DS35" s="99"/>
      <c r="DT35" s="99"/>
      <c r="DU35" s="99"/>
      <c r="DV35" s="99"/>
      <c r="DW35" s="99"/>
      <c r="DX35" s="99"/>
      <c r="DY35" s="99"/>
      <c r="DZ35" s="99"/>
      <c r="EA35" s="99"/>
      <c r="EB35" s="99"/>
      <c r="EC35" s="99"/>
      <c r="ED35" s="99"/>
      <c r="EE35" s="99"/>
      <c r="EF35" s="99"/>
      <c r="EG35" s="99"/>
      <c r="EH35" s="99"/>
      <c r="EI35" s="99"/>
      <c r="EJ35" s="99"/>
      <c r="EK35" s="99"/>
      <c r="EL35" s="99"/>
      <c r="EM35" s="99"/>
      <c r="EN35" s="99"/>
      <c r="EO35" s="99"/>
      <c r="EP35" s="99"/>
      <c r="EQ35" s="99"/>
      <c r="ER35" s="99"/>
      <c r="ES35" s="99"/>
      <c r="ET35" s="99"/>
      <c r="EU35" s="99"/>
      <c r="EV35" s="99"/>
      <c r="EW35" s="99"/>
      <c r="EX35" s="99"/>
      <c r="EY35" s="99"/>
      <c r="EZ35" s="99"/>
      <c r="FA35" s="99"/>
      <c r="FB35" s="99"/>
      <c r="FC35" s="99"/>
      <c r="FD35" s="99"/>
      <c r="FE35" s="99"/>
      <c r="FF35" s="99"/>
      <c r="FG35" s="99"/>
      <c r="FH35" s="99"/>
      <c r="FI35" s="99"/>
      <c r="FJ35" s="99"/>
      <c r="FK35" s="99"/>
    </row>
    <row r="36" spans="1:167" x14ac:dyDescent="0.25">
      <c r="C36" s="10"/>
      <c r="D36" s="10"/>
      <c r="E36" s="11"/>
      <c r="F36" s="15"/>
      <c r="J36" s="99">
        <v>33</v>
      </c>
      <c r="K36" s="16"/>
      <c r="L36" s="16"/>
      <c r="M36" s="16"/>
      <c r="N36" s="16"/>
      <c r="O36" s="16"/>
      <c r="P36" s="16"/>
      <c r="Q36" s="16"/>
      <c r="R36" s="16"/>
      <c r="S36" s="16"/>
      <c r="T36" s="16"/>
      <c r="U36" s="73">
        <f>SUM(K36:T36)</f>
        <v>0</v>
      </c>
      <c r="V36" s="73"/>
      <c r="X36" s="75" t="str" cm="1">
        <f t="array" ref="X36">MID(";"&amp;'CASE DATA'!$F36&amp;";",SMALL(IF(ISERROR(SEARCH(MID(";"&amp;'CASE DATA'!$F36&amp;";",ROW($1:$99),1),";")),"",ROW($1:$99)+1),COLUMN(A36)),SMALL(IF(ISERROR(SEARCH(MID(";"&amp;'CASE DATA'!$F36&amp;";",ROW($1:$99),1),";")),"",ROW($1:$99)),COLUMN(A35)+1)-SMALL(IF(ISERROR(SEARCH(MID(";"&amp;'CASE DATA'!$F36&amp;";",ROW($1:$99),1),";")),"",ROW($1:$99)),COLUMN(A35))-1)</f>
        <v/>
      </c>
      <c r="Y36" s="75" t="str" cm="1">
        <f t="array" ref="Y36">MID(";"&amp;'CASE DATA'!$F36&amp;";",SMALL(IF(ISERROR(SEARCH(MID(";"&amp;'CASE DATA'!$F36&amp;";",ROW($1:$99),1),";")),"",ROW($1:$99)+1),COLUMN(B36)),SMALL(IF(ISERROR(SEARCH(MID(";"&amp;'CASE DATA'!$F36&amp;";",ROW($1:$99),1),";")),"",ROW($1:$99)),COLUMN(B35)+1)-SMALL(IF(ISERROR(SEARCH(MID(";"&amp;'CASE DATA'!$F36&amp;";",ROW($1:$99),1),";")),"",ROW($1:$99)),COLUMN(B35))-1)</f>
        <v/>
      </c>
      <c r="Z36" s="75" t="str" cm="1">
        <f t="array" ref="Z36">MID(";"&amp;'CASE DATA'!$F36&amp;";",SMALL(IF(ISERROR(SEARCH(MID(";"&amp;'CASE DATA'!$F36&amp;";",ROW($1:$99),1),";")),"",ROW($1:$99)+1),COLUMN(C36)),SMALL(IF(ISERROR(SEARCH(MID(";"&amp;'CASE DATA'!$F36&amp;";",ROW($1:$99),1),";")),"",ROW($1:$99)),COLUMN(C35)+1)-SMALL(IF(ISERROR(SEARCH(MID(";"&amp;'CASE DATA'!$F36&amp;";",ROW($1:$99),1),";")),"",ROW($1:$99)),COLUMN(C35))-1)</f>
        <v/>
      </c>
      <c r="AA36" s="75" t="str" cm="1">
        <f t="array" ref="AA36">MID(";"&amp;'CASE DATA'!$F36&amp;";",SMALL(IF(ISERROR(SEARCH(MID(";"&amp;'CASE DATA'!$F36&amp;";",ROW($1:$99),1),";")),"",ROW($1:$99)+1),COLUMN(D36)),SMALL(IF(ISERROR(SEARCH(MID(";"&amp;'CASE DATA'!$F36&amp;";",ROW($1:$99),1),";")),"",ROW($1:$99)),COLUMN(D35)+1)-SMALL(IF(ISERROR(SEARCH(MID(";"&amp;'CASE DATA'!$F36&amp;";",ROW($1:$99),1),";")),"",ROW($1:$99)),COLUMN(D35))-1)</f>
        <v/>
      </c>
      <c r="AB36" s="75" t="str" cm="1">
        <f t="array" ref="AB36">MID(";"&amp;'CASE DATA'!$F36&amp;";",SMALL(IF(ISERROR(SEARCH(MID(";"&amp;'CASE DATA'!$F36&amp;";",ROW($1:$99),1),";")),"",ROW($1:$99)+1),COLUMN(E36)),SMALL(IF(ISERROR(SEARCH(MID(";"&amp;'CASE DATA'!$F36&amp;";",ROW($1:$99),1),";")),"",ROW($1:$99)),COLUMN(E35)+1)-SMALL(IF(ISERROR(SEARCH(MID(";"&amp;'CASE DATA'!$F36&amp;";",ROW($1:$99),1),";")),"",ROW($1:$99)),COLUMN(E35))-1)</f>
        <v/>
      </c>
      <c r="AC36" s="75" t="str" cm="1">
        <f t="array" ref="AC36">MID(";"&amp;'CASE DATA'!$F36&amp;";",SMALL(IF(ISERROR(SEARCH(MID(";"&amp;'CASE DATA'!$F36&amp;";",ROW($1:$99),1),";")),"",ROW($1:$99)+1),COLUMN(F36)),SMALL(IF(ISERROR(SEARCH(MID(";"&amp;'CASE DATA'!$F36&amp;";",ROW($1:$99),1),";")),"",ROW($1:$99)),COLUMN(F35)+1)-SMALL(IF(ISERROR(SEARCH(MID(";"&amp;'CASE DATA'!$F36&amp;";",ROW($1:$99),1),";")),"",ROW($1:$99)),COLUMN(F35))-1)</f>
        <v/>
      </c>
      <c r="AD36" s="75" t="str" cm="1">
        <f t="array" ref="AD36">MID(";"&amp;'CASE DATA'!$F36&amp;";",SMALL(IF(ISERROR(SEARCH(MID(";"&amp;'CASE DATA'!$F36&amp;";",ROW($1:$99),1),";")),"",ROW($1:$99)+1),COLUMN(G36)),SMALL(IF(ISERROR(SEARCH(MID(";"&amp;'CASE DATA'!$F36&amp;";",ROW($1:$99),1),";")),"",ROW($1:$99)),COLUMN(G35)+1)-SMALL(IF(ISERROR(SEARCH(MID(";"&amp;'CASE DATA'!$F36&amp;";",ROW($1:$99),1),";")),"",ROW($1:$99)),COLUMN(G35))-1)</f>
        <v/>
      </c>
      <c r="AE36" s="75" t="str" cm="1">
        <f t="array" ref="AE36">MID(";"&amp;'CASE DATA'!$F36&amp;";",SMALL(IF(ISERROR(SEARCH(MID(";"&amp;'CASE DATA'!$F36&amp;";",ROW($1:$99),1),";")),"",ROW($1:$99)+1),COLUMN(H36)),SMALL(IF(ISERROR(SEARCH(MID(";"&amp;'CASE DATA'!$F36&amp;";",ROW($1:$99),1),";")),"",ROW($1:$99)),COLUMN(H35)+1)-SMALL(IF(ISERROR(SEARCH(MID(";"&amp;'CASE DATA'!$F36&amp;";",ROW($1:$99),1),";")),"",ROW($1:$99)),COLUMN(H35))-1)</f>
        <v/>
      </c>
      <c r="AF36" s="75" t="str" cm="1">
        <f t="array" ref="AF36">MID(";"&amp;'CASE DATA'!$F36&amp;";",SMALL(IF(ISERROR(SEARCH(MID(";"&amp;'CASE DATA'!$F36&amp;";",ROW($1:$99),1),";")),"",ROW($1:$99)+1),COLUMN(I36)),SMALL(IF(ISERROR(SEARCH(MID(";"&amp;'CASE DATA'!$F36&amp;";",ROW($1:$99),1),";")),"",ROW($1:$99)),COLUMN(I35)+1)-SMALL(IF(ISERROR(SEARCH(MID(";"&amp;'CASE DATA'!$F36&amp;";",ROW($1:$99),1),";")),"",ROW($1:$99)),COLUMN(I35))-1)</f>
        <v/>
      </c>
      <c r="AG36" s="75" t="str" cm="1">
        <f t="array" ref="AG36">MID(";"&amp;'CASE DATA'!$F36&amp;";",SMALL(IF(ISERROR(SEARCH(MID(";"&amp;'CASE DATA'!$F36&amp;";",ROW($1:$99),1),";")),"",ROW($1:$99)+1),COLUMN(K36)),SMALL(IF(ISERROR(SEARCH(MID(";"&amp;'CASE DATA'!$F36&amp;";",ROW($1:$99),1),";")),"",ROW($1:$99)),COLUMN(K35)+1)-SMALL(IF(ISERROR(SEARCH(MID(";"&amp;'CASE DATA'!$F36&amp;";",ROW($1:$99),1),";")),"",ROW($1:$99)),COLUMN(K35))-1)</f>
        <v/>
      </c>
      <c r="AH36" s="75" t="str" cm="1">
        <f t="array" ref="AH36">MID(";"&amp;'CASE DATA'!$F36&amp;";",SMALL(IF(ISERROR(SEARCH(MID(";"&amp;'CASE DATA'!$F36&amp;";",ROW($1:$99),1),";")),"",ROW($1:$99)+1),COLUMN(L36)),SMALL(IF(ISERROR(SEARCH(MID(";"&amp;'CASE DATA'!$F36&amp;";",ROW($1:$99),1),";")),"",ROW($1:$99)),COLUMN(L35)+1)-SMALL(IF(ISERROR(SEARCH(MID(";"&amp;'CASE DATA'!$F36&amp;";",ROW($1:$99),1),";")),"",ROW($1:$99)),COLUMN(L35))-1)</f>
        <v/>
      </c>
      <c r="AI36" s="75" t="str" cm="1">
        <f t="array" ref="AI36">MID(";"&amp;'CASE DATA'!$F36&amp;";",SMALL(IF(ISERROR(SEARCH(MID(";"&amp;'CASE DATA'!$F36&amp;";",ROW($1:$99),1),";")),"",ROW($1:$99)+1),COLUMN(M36)),SMALL(IF(ISERROR(SEARCH(MID(";"&amp;'CASE DATA'!$F36&amp;";",ROW($1:$99),1),";")),"",ROW($1:$99)),COLUMN(M35)+1)-SMALL(IF(ISERROR(SEARCH(MID(";"&amp;'CASE DATA'!$F36&amp;";",ROW($1:$99),1),";")),"",ROW($1:$99)),COLUMN(M35))-1)</f>
        <v/>
      </c>
      <c r="BO36" s="99"/>
      <c r="BP36" s="99"/>
      <c r="BQ36" s="99"/>
      <c r="BR36" s="99"/>
      <c r="BS36" s="99"/>
      <c r="BT36" s="99"/>
      <c r="BU36" s="99"/>
      <c r="BV36" s="99"/>
      <c r="BW36" s="99"/>
      <c r="BX36" s="99"/>
      <c r="BY36" s="99"/>
      <c r="BZ36" s="99"/>
      <c r="CA36" s="99"/>
      <c r="CB36" s="99"/>
      <c r="CC36" s="99"/>
      <c r="CD36" s="99"/>
      <c r="CE36" s="99"/>
      <c r="CF36" s="99"/>
      <c r="CG36" s="99"/>
      <c r="CH36" s="99"/>
      <c r="CI36" s="99"/>
      <c r="CJ36" s="99"/>
      <c r="CK36" s="99"/>
      <c r="CL36" s="99"/>
      <c r="CM36" s="99"/>
      <c r="CN36" s="99"/>
      <c r="CO36" s="99"/>
      <c r="CP36" s="99"/>
      <c r="CQ36" s="99"/>
      <c r="CR36" s="99"/>
      <c r="CS36" s="99"/>
      <c r="CT36" s="99"/>
      <c r="CU36" s="99"/>
      <c r="CV36" s="99"/>
      <c r="CW36" s="99"/>
      <c r="CX36" s="99"/>
      <c r="CY36" s="99"/>
      <c r="CZ36" s="99"/>
      <c r="DA36" s="99"/>
      <c r="DB36" s="99"/>
      <c r="DC36" s="99"/>
      <c r="DD36" s="99"/>
      <c r="DE36" s="99"/>
      <c r="DF36" s="99"/>
      <c r="DG36" s="99"/>
      <c r="DH36" s="99"/>
      <c r="DI36" s="99"/>
      <c r="DJ36" s="99"/>
      <c r="DK36" s="99"/>
      <c r="DL36" s="99"/>
      <c r="DM36" s="99"/>
      <c r="DN36" s="99"/>
      <c r="DO36" s="99"/>
      <c r="DP36" s="99"/>
      <c r="DQ36" s="99"/>
      <c r="DR36" s="99"/>
      <c r="DS36" s="99"/>
      <c r="DT36" s="99"/>
      <c r="DU36" s="99"/>
      <c r="DV36" s="99"/>
      <c r="DW36" s="99"/>
      <c r="DX36" s="99"/>
      <c r="DY36" s="99"/>
      <c r="DZ36" s="99"/>
      <c r="EA36" s="99"/>
      <c r="EB36" s="99"/>
      <c r="EC36" s="99"/>
      <c r="ED36" s="99"/>
      <c r="EE36" s="99"/>
      <c r="EF36" s="99"/>
      <c r="EG36" s="99"/>
      <c r="EH36" s="99"/>
      <c r="EI36" s="99"/>
      <c r="EJ36" s="99"/>
      <c r="EK36" s="99"/>
      <c r="EL36" s="99"/>
      <c r="EM36" s="99"/>
      <c r="EN36" s="99"/>
      <c r="EO36" s="99"/>
      <c r="EP36" s="99"/>
      <c r="EQ36" s="99"/>
      <c r="ER36" s="99"/>
      <c r="ES36" s="99"/>
      <c r="ET36" s="99"/>
      <c r="EU36" s="99"/>
      <c r="EV36" s="99"/>
      <c r="EW36" s="99"/>
      <c r="EX36" s="99"/>
      <c r="EY36" s="99"/>
      <c r="EZ36" s="99"/>
      <c r="FA36" s="99"/>
      <c r="FB36" s="99"/>
      <c r="FC36" s="99"/>
      <c r="FD36" s="99"/>
      <c r="FE36" s="99"/>
      <c r="FF36" s="99"/>
      <c r="FG36" s="99"/>
      <c r="FH36" s="99"/>
      <c r="FI36" s="99"/>
      <c r="FJ36" s="99"/>
      <c r="FK36" s="99"/>
    </row>
    <row r="37" spans="1:167" x14ac:dyDescent="0.25">
      <c r="C37" s="10"/>
      <c r="D37" s="10"/>
      <c r="E37" s="11"/>
      <c r="F37" s="15"/>
      <c r="J37" s="99">
        <v>34</v>
      </c>
      <c r="K37" s="16"/>
      <c r="L37" s="16"/>
      <c r="M37" s="16"/>
      <c r="N37" s="16"/>
      <c r="O37" s="16"/>
      <c r="P37" s="16"/>
      <c r="Q37" s="16"/>
      <c r="R37" s="16"/>
      <c r="S37" s="16"/>
      <c r="T37" s="16"/>
      <c r="U37" s="73">
        <f>SUM(K37:T37)</f>
        <v>0</v>
      </c>
      <c r="V37" s="73"/>
      <c r="X37" s="75" t="str" cm="1">
        <f t="array" ref="X37">MID(";"&amp;'CASE DATA'!$F37&amp;";",SMALL(IF(ISERROR(SEARCH(MID(";"&amp;'CASE DATA'!$F37&amp;";",ROW($1:$99),1),";")),"",ROW($1:$99)+1),COLUMN(A37)),SMALL(IF(ISERROR(SEARCH(MID(";"&amp;'CASE DATA'!$F37&amp;";",ROW($1:$99),1),";")),"",ROW($1:$99)),COLUMN(A36)+1)-SMALL(IF(ISERROR(SEARCH(MID(";"&amp;'CASE DATA'!$F37&amp;";",ROW($1:$99),1),";")),"",ROW($1:$99)),COLUMN(A36))-1)</f>
        <v/>
      </c>
      <c r="Y37" s="75" t="str" cm="1">
        <f t="array" ref="Y37">MID(";"&amp;'CASE DATA'!$F37&amp;";",SMALL(IF(ISERROR(SEARCH(MID(";"&amp;'CASE DATA'!$F37&amp;";",ROW($1:$99),1),";")),"",ROW($1:$99)+1),COLUMN(B37)),SMALL(IF(ISERROR(SEARCH(MID(";"&amp;'CASE DATA'!$F37&amp;";",ROW($1:$99),1),";")),"",ROW($1:$99)),COLUMN(B36)+1)-SMALL(IF(ISERROR(SEARCH(MID(";"&amp;'CASE DATA'!$F37&amp;";",ROW($1:$99),1),";")),"",ROW($1:$99)),COLUMN(B36))-1)</f>
        <v/>
      </c>
      <c r="Z37" s="75" t="str" cm="1">
        <f t="array" ref="Z37">MID(";"&amp;'CASE DATA'!$F37&amp;";",SMALL(IF(ISERROR(SEARCH(MID(";"&amp;'CASE DATA'!$F37&amp;";",ROW($1:$99),1),";")),"",ROW($1:$99)+1),COLUMN(C37)),SMALL(IF(ISERROR(SEARCH(MID(";"&amp;'CASE DATA'!$F37&amp;";",ROW($1:$99),1),";")),"",ROW($1:$99)),COLUMN(C36)+1)-SMALL(IF(ISERROR(SEARCH(MID(";"&amp;'CASE DATA'!$F37&amp;";",ROW($1:$99),1),";")),"",ROW($1:$99)),COLUMN(C36))-1)</f>
        <v/>
      </c>
      <c r="AA37" s="75" t="str" cm="1">
        <f t="array" ref="AA37">MID(";"&amp;'CASE DATA'!$F37&amp;";",SMALL(IF(ISERROR(SEARCH(MID(";"&amp;'CASE DATA'!$F37&amp;";",ROW($1:$99),1),";")),"",ROW($1:$99)+1),COLUMN(D37)),SMALL(IF(ISERROR(SEARCH(MID(";"&amp;'CASE DATA'!$F37&amp;";",ROW($1:$99),1),";")),"",ROW($1:$99)),COLUMN(D36)+1)-SMALL(IF(ISERROR(SEARCH(MID(";"&amp;'CASE DATA'!$F37&amp;";",ROW($1:$99),1),";")),"",ROW($1:$99)),COLUMN(D36))-1)</f>
        <v/>
      </c>
      <c r="AB37" s="75" t="str" cm="1">
        <f t="array" ref="AB37">MID(";"&amp;'CASE DATA'!$F37&amp;";",SMALL(IF(ISERROR(SEARCH(MID(";"&amp;'CASE DATA'!$F37&amp;";",ROW($1:$99),1),";")),"",ROW($1:$99)+1),COLUMN(E37)),SMALL(IF(ISERROR(SEARCH(MID(";"&amp;'CASE DATA'!$F37&amp;";",ROW($1:$99),1),";")),"",ROW($1:$99)),COLUMN(E36)+1)-SMALL(IF(ISERROR(SEARCH(MID(";"&amp;'CASE DATA'!$F37&amp;";",ROW($1:$99),1),";")),"",ROW($1:$99)),COLUMN(E36))-1)</f>
        <v/>
      </c>
      <c r="AC37" s="75" t="str" cm="1">
        <f t="array" ref="AC37">MID(";"&amp;'CASE DATA'!$F37&amp;";",SMALL(IF(ISERROR(SEARCH(MID(";"&amp;'CASE DATA'!$F37&amp;";",ROW($1:$99),1),";")),"",ROW($1:$99)+1),COLUMN(F37)),SMALL(IF(ISERROR(SEARCH(MID(";"&amp;'CASE DATA'!$F37&amp;";",ROW($1:$99),1),";")),"",ROW($1:$99)),COLUMN(F36)+1)-SMALL(IF(ISERROR(SEARCH(MID(";"&amp;'CASE DATA'!$F37&amp;";",ROW($1:$99),1),";")),"",ROW($1:$99)),COLUMN(F36))-1)</f>
        <v/>
      </c>
      <c r="AD37" s="75" t="str" cm="1">
        <f t="array" ref="AD37">MID(";"&amp;'CASE DATA'!$F37&amp;";",SMALL(IF(ISERROR(SEARCH(MID(";"&amp;'CASE DATA'!$F37&amp;";",ROW($1:$99),1),";")),"",ROW($1:$99)+1),COLUMN(G37)),SMALL(IF(ISERROR(SEARCH(MID(";"&amp;'CASE DATA'!$F37&amp;";",ROW($1:$99),1),";")),"",ROW($1:$99)),COLUMN(G36)+1)-SMALL(IF(ISERROR(SEARCH(MID(";"&amp;'CASE DATA'!$F37&amp;";",ROW($1:$99),1),";")),"",ROW($1:$99)),COLUMN(G36))-1)</f>
        <v/>
      </c>
      <c r="AE37" s="75" t="str" cm="1">
        <f t="array" ref="AE37">MID(";"&amp;'CASE DATA'!$F37&amp;";",SMALL(IF(ISERROR(SEARCH(MID(";"&amp;'CASE DATA'!$F37&amp;";",ROW($1:$99),1),";")),"",ROW($1:$99)+1),COLUMN(H37)),SMALL(IF(ISERROR(SEARCH(MID(";"&amp;'CASE DATA'!$F37&amp;";",ROW($1:$99),1),";")),"",ROW($1:$99)),COLUMN(H36)+1)-SMALL(IF(ISERROR(SEARCH(MID(";"&amp;'CASE DATA'!$F37&amp;";",ROW($1:$99),1),";")),"",ROW($1:$99)),COLUMN(H36))-1)</f>
        <v/>
      </c>
      <c r="AF37" s="75" t="str" cm="1">
        <f t="array" ref="AF37">MID(";"&amp;'CASE DATA'!$F37&amp;";",SMALL(IF(ISERROR(SEARCH(MID(";"&amp;'CASE DATA'!$F37&amp;";",ROW($1:$99),1),";")),"",ROW($1:$99)+1),COLUMN(I37)),SMALL(IF(ISERROR(SEARCH(MID(";"&amp;'CASE DATA'!$F37&amp;";",ROW($1:$99),1),";")),"",ROW($1:$99)),COLUMN(I36)+1)-SMALL(IF(ISERROR(SEARCH(MID(";"&amp;'CASE DATA'!$F37&amp;";",ROW($1:$99),1),";")),"",ROW($1:$99)),COLUMN(I36))-1)</f>
        <v/>
      </c>
      <c r="AG37" s="75" t="str" cm="1">
        <f t="array" ref="AG37">MID(";"&amp;'CASE DATA'!$F37&amp;";",SMALL(IF(ISERROR(SEARCH(MID(";"&amp;'CASE DATA'!$F37&amp;";",ROW($1:$99),1),";")),"",ROW($1:$99)+1),COLUMN(K37)),SMALL(IF(ISERROR(SEARCH(MID(";"&amp;'CASE DATA'!$F37&amp;";",ROW($1:$99),1),";")),"",ROW($1:$99)),COLUMN(K36)+1)-SMALL(IF(ISERROR(SEARCH(MID(";"&amp;'CASE DATA'!$F37&amp;";",ROW($1:$99),1),";")),"",ROW($1:$99)),COLUMN(K36))-1)</f>
        <v/>
      </c>
      <c r="AH37" s="75" t="str" cm="1">
        <f t="array" ref="AH37">MID(";"&amp;'CASE DATA'!$F37&amp;";",SMALL(IF(ISERROR(SEARCH(MID(";"&amp;'CASE DATA'!$F37&amp;";",ROW($1:$99),1),";")),"",ROW($1:$99)+1),COLUMN(L37)),SMALL(IF(ISERROR(SEARCH(MID(";"&amp;'CASE DATA'!$F37&amp;";",ROW($1:$99),1),";")),"",ROW($1:$99)),COLUMN(L36)+1)-SMALL(IF(ISERROR(SEARCH(MID(";"&amp;'CASE DATA'!$F37&amp;";",ROW($1:$99),1),";")),"",ROW($1:$99)),COLUMN(L36))-1)</f>
        <v/>
      </c>
      <c r="AI37" s="75" t="str" cm="1">
        <f t="array" ref="AI37">MID(";"&amp;'CASE DATA'!$F37&amp;";",SMALL(IF(ISERROR(SEARCH(MID(";"&amp;'CASE DATA'!$F37&amp;";",ROW($1:$99),1),";")),"",ROW($1:$99)+1),COLUMN(M37)),SMALL(IF(ISERROR(SEARCH(MID(";"&amp;'CASE DATA'!$F37&amp;";",ROW($1:$99),1),";")),"",ROW($1:$99)),COLUMN(M36)+1)-SMALL(IF(ISERROR(SEARCH(MID(";"&amp;'CASE DATA'!$F37&amp;";",ROW($1:$99),1),";")),"",ROW($1:$99)),COLUMN(M36))-1)</f>
        <v/>
      </c>
      <c r="BO37" s="99"/>
      <c r="BP37" s="99"/>
      <c r="BQ37" s="99"/>
      <c r="BR37" s="99"/>
      <c r="BS37" s="99"/>
      <c r="BT37" s="99"/>
      <c r="BU37" s="99"/>
      <c r="BV37" s="99"/>
      <c r="BW37" s="99"/>
      <c r="BX37" s="99"/>
      <c r="BY37" s="99"/>
      <c r="BZ37" s="99"/>
      <c r="CA37" s="99"/>
      <c r="CB37" s="99"/>
      <c r="CC37" s="99"/>
      <c r="CD37" s="99"/>
      <c r="CE37" s="99"/>
      <c r="CF37" s="99"/>
      <c r="CG37" s="99"/>
      <c r="CH37" s="99"/>
      <c r="CI37" s="99"/>
      <c r="CJ37" s="99"/>
      <c r="CK37" s="99"/>
      <c r="CL37" s="99"/>
      <c r="CM37" s="99"/>
      <c r="CN37" s="99"/>
      <c r="CO37" s="99"/>
      <c r="CP37" s="99"/>
      <c r="CQ37" s="99"/>
      <c r="CR37" s="99"/>
      <c r="CS37" s="99"/>
      <c r="CT37" s="99"/>
      <c r="CU37" s="99"/>
      <c r="CV37" s="99"/>
      <c r="CW37" s="99"/>
      <c r="CX37" s="99"/>
      <c r="CY37" s="99"/>
      <c r="CZ37" s="99"/>
      <c r="DA37" s="99"/>
      <c r="DB37" s="99"/>
      <c r="DC37" s="99"/>
      <c r="DD37" s="99"/>
      <c r="DE37" s="99"/>
      <c r="DF37" s="99"/>
      <c r="DG37" s="99"/>
      <c r="DH37" s="99"/>
      <c r="DI37" s="99"/>
      <c r="DJ37" s="99"/>
      <c r="DK37" s="99"/>
      <c r="DL37" s="99"/>
      <c r="DM37" s="99"/>
      <c r="DN37" s="99"/>
      <c r="DO37" s="99"/>
      <c r="DP37" s="99"/>
      <c r="DQ37" s="99"/>
      <c r="DR37" s="99"/>
      <c r="DS37" s="99"/>
      <c r="DT37" s="99"/>
      <c r="DU37" s="99"/>
      <c r="DV37" s="99"/>
      <c r="DW37" s="99"/>
      <c r="DX37" s="99"/>
      <c r="DY37" s="99"/>
      <c r="DZ37" s="99"/>
      <c r="EA37" s="99"/>
      <c r="EB37" s="99"/>
      <c r="EC37" s="99"/>
      <c r="ED37" s="99"/>
      <c r="EE37" s="99"/>
      <c r="EF37" s="99"/>
      <c r="EG37" s="99"/>
      <c r="EH37" s="99"/>
      <c r="EI37" s="99"/>
      <c r="EJ37" s="99"/>
      <c r="EK37" s="99"/>
      <c r="EL37" s="99"/>
      <c r="EM37" s="99"/>
      <c r="EN37" s="99"/>
      <c r="EO37" s="99"/>
      <c r="EP37" s="99"/>
      <c r="EQ37" s="99"/>
      <c r="ER37" s="99"/>
      <c r="ES37" s="99"/>
      <c r="ET37" s="99"/>
      <c r="EU37" s="99"/>
      <c r="EV37" s="99"/>
      <c r="EW37" s="99"/>
      <c r="EX37" s="99"/>
      <c r="EY37" s="99"/>
      <c r="EZ37" s="99"/>
      <c r="FA37" s="99"/>
      <c r="FB37" s="99"/>
      <c r="FC37" s="99"/>
      <c r="FD37" s="99"/>
      <c r="FE37" s="99"/>
      <c r="FF37" s="99"/>
      <c r="FG37" s="99"/>
      <c r="FH37" s="99"/>
      <c r="FI37" s="99"/>
      <c r="FJ37" s="99"/>
      <c r="FK37" s="99"/>
    </row>
    <row r="38" spans="1:167" x14ac:dyDescent="0.25">
      <c r="C38" s="10"/>
      <c r="D38" s="10"/>
      <c r="E38" s="11"/>
      <c r="F38" s="15"/>
      <c r="J38" s="99">
        <v>35</v>
      </c>
      <c r="K38" s="16"/>
      <c r="L38" s="16"/>
      <c r="M38" s="16"/>
      <c r="N38" s="16"/>
      <c r="O38" s="16"/>
      <c r="P38" s="16"/>
      <c r="Q38" s="16"/>
      <c r="R38" s="16"/>
      <c r="S38" s="16"/>
      <c r="T38" s="16"/>
      <c r="U38" s="73">
        <f>SUM(K38:T38)</f>
        <v>0</v>
      </c>
      <c r="V38" s="73"/>
      <c r="X38" s="75" t="str" cm="1">
        <f t="array" ref="X38">MID(";"&amp;'CASE DATA'!$F38&amp;";",SMALL(IF(ISERROR(SEARCH(MID(";"&amp;'CASE DATA'!$F38&amp;";",ROW($1:$99),1),";")),"",ROW($1:$99)+1),COLUMN(A38)),SMALL(IF(ISERROR(SEARCH(MID(";"&amp;'CASE DATA'!$F38&amp;";",ROW($1:$99),1),";")),"",ROW($1:$99)),COLUMN(A37)+1)-SMALL(IF(ISERROR(SEARCH(MID(";"&amp;'CASE DATA'!$F38&amp;";",ROW($1:$99),1),";")),"",ROW($1:$99)),COLUMN(A37))-1)</f>
        <v/>
      </c>
      <c r="Y38" s="75" t="str" cm="1">
        <f t="array" ref="Y38">MID(";"&amp;'CASE DATA'!$F38&amp;";",SMALL(IF(ISERROR(SEARCH(MID(";"&amp;'CASE DATA'!$F38&amp;";",ROW($1:$99),1),";")),"",ROW($1:$99)+1),COLUMN(B38)),SMALL(IF(ISERROR(SEARCH(MID(";"&amp;'CASE DATA'!$F38&amp;";",ROW($1:$99),1),";")),"",ROW($1:$99)),COLUMN(B37)+1)-SMALL(IF(ISERROR(SEARCH(MID(";"&amp;'CASE DATA'!$F38&amp;";",ROW($1:$99),1),";")),"",ROW($1:$99)),COLUMN(B37))-1)</f>
        <v/>
      </c>
      <c r="Z38" s="75" t="str" cm="1">
        <f t="array" ref="Z38">MID(";"&amp;'CASE DATA'!$F38&amp;";",SMALL(IF(ISERROR(SEARCH(MID(";"&amp;'CASE DATA'!$F38&amp;";",ROW($1:$99),1),";")),"",ROW($1:$99)+1),COLUMN(C38)),SMALL(IF(ISERROR(SEARCH(MID(";"&amp;'CASE DATA'!$F38&amp;";",ROW($1:$99),1),";")),"",ROW($1:$99)),COLUMN(C37)+1)-SMALL(IF(ISERROR(SEARCH(MID(";"&amp;'CASE DATA'!$F38&amp;";",ROW($1:$99),1),";")),"",ROW($1:$99)),COLUMN(C37))-1)</f>
        <v/>
      </c>
      <c r="AA38" s="75" t="str" cm="1">
        <f t="array" ref="AA38">MID(";"&amp;'CASE DATA'!$F38&amp;";",SMALL(IF(ISERROR(SEARCH(MID(";"&amp;'CASE DATA'!$F38&amp;";",ROW($1:$99),1),";")),"",ROW($1:$99)+1),COLUMN(D38)),SMALL(IF(ISERROR(SEARCH(MID(";"&amp;'CASE DATA'!$F38&amp;";",ROW($1:$99),1),";")),"",ROW($1:$99)),COLUMN(D37)+1)-SMALL(IF(ISERROR(SEARCH(MID(";"&amp;'CASE DATA'!$F38&amp;";",ROW($1:$99),1),";")),"",ROW($1:$99)),COLUMN(D37))-1)</f>
        <v/>
      </c>
      <c r="AB38" s="75" t="str" cm="1">
        <f t="array" ref="AB38">MID(";"&amp;'CASE DATA'!$F38&amp;";",SMALL(IF(ISERROR(SEARCH(MID(";"&amp;'CASE DATA'!$F38&amp;";",ROW($1:$99),1),";")),"",ROW($1:$99)+1),COLUMN(E38)),SMALL(IF(ISERROR(SEARCH(MID(";"&amp;'CASE DATA'!$F38&amp;";",ROW($1:$99),1),";")),"",ROW($1:$99)),COLUMN(E37)+1)-SMALL(IF(ISERROR(SEARCH(MID(";"&amp;'CASE DATA'!$F38&amp;";",ROW($1:$99),1),";")),"",ROW($1:$99)),COLUMN(E37))-1)</f>
        <v/>
      </c>
      <c r="AC38" s="75" t="str" cm="1">
        <f t="array" ref="AC38">MID(";"&amp;'CASE DATA'!$F38&amp;";",SMALL(IF(ISERROR(SEARCH(MID(";"&amp;'CASE DATA'!$F38&amp;";",ROW($1:$99),1),";")),"",ROW($1:$99)+1),COLUMN(F38)),SMALL(IF(ISERROR(SEARCH(MID(";"&amp;'CASE DATA'!$F38&amp;";",ROW($1:$99),1),";")),"",ROW($1:$99)),COLUMN(F37)+1)-SMALL(IF(ISERROR(SEARCH(MID(";"&amp;'CASE DATA'!$F38&amp;";",ROW($1:$99),1),";")),"",ROW($1:$99)),COLUMN(F37))-1)</f>
        <v/>
      </c>
      <c r="AD38" s="75" t="str" cm="1">
        <f t="array" ref="AD38">MID(";"&amp;'CASE DATA'!$F38&amp;";",SMALL(IF(ISERROR(SEARCH(MID(";"&amp;'CASE DATA'!$F38&amp;";",ROW($1:$99),1),";")),"",ROW($1:$99)+1),COLUMN(G38)),SMALL(IF(ISERROR(SEARCH(MID(";"&amp;'CASE DATA'!$F38&amp;";",ROW($1:$99),1),";")),"",ROW($1:$99)),COLUMN(G37)+1)-SMALL(IF(ISERROR(SEARCH(MID(";"&amp;'CASE DATA'!$F38&amp;";",ROW($1:$99),1),";")),"",ROW($1:$99)),COLUMN(G37))-1)</f>
        <v/>
      </c>
      <c r="AE38" s="75" t="str" cm="1">
        <f t="array" ref="AE38">MID(";"&amp;'CASE DATA'!$F38&amp;";",SMALL(IF(ISERROR(SEARCH(MID(";"&amp;'CASE DATA'!$F38&amp;";",ROW($1:$99),1),";")),"",ROW($1:$99)+1),COLUMN(H38)),SMALL(IF(ISERROR(SEARCH(MID(";"&amp;'CASE DATA'!$F38&amp;";",ROW($1:$99),1),";")),"",ROW($1:$99)),COLUMN(H37)+1)-SMALL(IF(ISERROR(SEARCH(MID(";"&amp;'CASE DATA'!$F38&amp;";",ROW($1:$99),1),";")),"",ROW($1:$99)),COLUMN(H37))-1)</f>
        <v/>
      </c>
      <c r="AF38" s="75" t="str" cm="1">
        <f t="array" ref="AF38">MID(";"&amp;'CASE DATA'!$F38&amp;";",SMALL(IF(ISERROR(SEARCH(MID(";"&amp;'CASE DATA'!$F38&amp;";",ROW($1:$99),1),";")),"",ROW($1:$99)+1),COLUMN(I38)),SMALL(IF(ISERROR(SEARCH(MID(";"&amp;'CASE DATA'!$F38&amp;";",ROW($1:$99),1),";")),"",ROW($1:$99)),COLUMN(I37)+1)-SMALL(IF(ISERROR(SEARCH(MID(";"&amp;'CASE DATA'!$F38&amp;";",ROW($1:$99),1),";")),"",ROW($1:$99)),COLUMN(I37))-1)</f>
        <v/>
      </c>
      <c r="AG38" s="75" t="str" cm="1">
        <f t="array" ref="AG38">MID(";"&amp;'CASE DATA'!$F38&amp;";",SMALL(IF(ISERROR(SEARCH(MID(";"&amp;'CASE DATA'!$F38&amp;";",ROW($1:$99),1),";")),"",ROW($1:$99)+1),COLUMN(K38)),SMALL(IF(ISERROR(SEARCH(MID(";"&amp;'CASE DATA'!$F38&amp;";",ROW($1:$99),1),";")),"",ROW($1:$99)),COLUMN(K37)+1)-SMALL(IF(ISERROR(SEARCH(MID(";"&amp;'CASE DATA'!$F38&amp;";",ROW($1:$99),1),";")),"",ROW($1:$99)),COLUMN(K37))-1)</f>
        <v/>
      </c>
      <c r="AH38" s="75" t="str" cm="1">
        <f t="array" ref="AH38">MID(";"&amp;'CASE DATA'!$F38&amp;";",SMALL(IF(ISERROR(SEARCH(MID(";"&amp;'CASE DATA'!$F38&amp;";",ROW($1:$99),1),";")),"",ROW($1:$99)+1),COLUMN(L38)),SMALL(IF(ISERROR(SEARCH(MID(";"&amp;'CASE DATA'!$F38&amp;";",ROW($1:$99),1),";")),"",ROW($1:$99)),COLUMN(L37)+1)-SMALL(IF(ISERROR(SEARCH(MID(";"&amp;'CASE DATA'!$F38&amp;";",ROW($1:$99),1),";")),"",ROW($1:$99)),COLUMN(L37))-1)</f>
        <v/>
      </c>
      <c r="AI38" s="75" t="str" cm="1">
        <f t="array" ref="AI38">MID(";"&amp;'CASE DATA'!$F38&amp;";",SMALL(IF(ISERROR(SEARCH(MID(";"&amp;'CASE DATA'!$F38&amp;";",ROW($1:$99),1),";")),"",ROW($1:$99)+1),COLUMN(M38)),SMALL(IF(ISERROR(SEARCH(MID(";"&amp;'CASE DATA'!$F38&amp;";",ROW($1:$99),1),";")),"",ROW($1:$99)),COLUMN(M37)+1)-SMALL(IF(ISERROR(SEARCH(MID(";"&amp;'CASE DATA'!$F38&amp;";",ROW($1:$99),1),";")),"",ROW($1:$99)),COLUMN(M37))-1)</f>
        <v/>
      </c>
      <c r="BO38" s="99"/>
      <c r="BP38" s="99"/>
      <c r="BQ38" s="99"/>
      <c r="BR38" s="99"/>
      <c r="BS38" s="99"/>
      <c r="BT38" s="99"/>
      <c r="BU38" s="99"/>
      <c r="BV38" s="99"/>
      <c r="BW38" s="99"/>
      <c r="BX38" s="99"/>
      <c r="BY38" s="99"/>
      <c r="BZ38" s="99"/>
      <c r="CA38" s="99"/>
      <c r="CB38" s="99"/>
      <c r="CC38" s="99"/>
      <c r="CD38" s="99"/>
      <c r="CE38" s="99"/>
      <c r="CF38" s="99"/>
      <c r="CG38" s="99"/>
      <c r="CH38" s="99"/>
      <c r="CI38" s="99"/>
      <c r="CJ38" s="99"/>
      <c r="CK38" s="99"/>
      <c r="CL38" s="99"/>
      <c r="CM38" s="99"/>
      <c r="CN38" s="99"/>
      <c r="CO38" s="99"/>
      <c r="CP38" s="99"/>
      <c r="CQ38" s="99"/>
      <c r="CR38" s="99"/>
      <c r="CS38" s="99"/>
      <c r="CT38" s="99"/>
      <c r="CU38" s="99"/>
      <c r="CV38" s="99"/>
      <c r="CW38" s="99"/>
      <c r="CX38" s="99"/>
      <c r="CY38" s="99"/>
      <c r="CZ38" s="99"/>
      <c r="DA38" s="99"/>
      <c r="DB38" s="99"/>
      <c r="DC38" s="99"/>
      <c r="DD38" s="99"/>
      <c r="DE38" s="99"/>
      <c r="DF38" s="99"/>
      <c r="DG38" s="99"/>
      <c r="DH38" s="99"/>
      <c r="DI38" s="99"/>
      <c r="DJ38" s="99"/>
      <c r="DK38" s="99"/>
      <c r="DL38" s="99"/>
      <c r="DM38" s="99"/>
      <c r="DN38" s="99"/>
      <c r="DO38" s="99"/>
      <c r="DP38" s="99"/>
      <c r="DQ38" s="99"/>
      <c r="DR38" s="99"/>
      <c r="DS38" s="99"/>
      <c r="DT38" s="99"/>
      <c r="DU38" s="99"/>
      <c r="DV38" s="99"/>
      <c r="DW38" s="99"/>
      <c r="DX38" s="99"/>
      <c r="DY38" s="99"/>
      <c r="DZ38" s="99"/>
      <c r="EA38" s="99"/>
      <c r="EB38" s="99"/>
      <c r="EC38" s="99"/>
      <c r="ED38" s="99"/>
      <c r="EE38" s="99"/>
      <c r="EF38" s="99"/>
      <c r="EG38" s="99"/>
      <c r="EH38" s="99"/>
      <c r="EI38" s="99"/>
      <c r="EJ38" s="99"/>
      <c r="EK38" s="99"/>
      <c r="EL38" s="99"/>
      <c r="EM38" s="99"/>
      <c r="EN38" s="99"/>
      <c r="EO38" s="99"/>
      <c r="EP38" s="99"/>
      <c r="EQ38" s="99"/>
      <c r="ER38" s="99"/>
      <c r="ES38" s="99"/>
      <c r="ET38" s="99"/>
      <c r="EU38" s="99"/>
      <c r="EV38" s="99"/>
      <c r="EW38" s="99"/>
      <c r="EX38" s="99"/>
      <c r="EY38" s="99"/>
      <c r="EZ38" s="99"/>
      <c r="FA38" s="99"/>
      <c r="FB38" s="99"/>
      <c r="FC38" s="99"/>
      <c r="FD38" s="99"/>
      <c r="FE38" s="99"/>
      <c r="FF38" s="99"/>
      <c r="FG38" s="99"/>
      <c r="FH38" s="99"/>
      <c r="FI38" s="99"/>
      <c r="FJ38" s="99"/>
      <c r="FK38" s="99"/>
    </row>
    <row r="39" spans="1:167" x14ac:dyDescent="0.25">
      <c r="A39" s="11"/>
      <c r="C39" s="10"/>
      <c r="D39" s="10"/>
      <c r="E39" s="11"/>
      <c r="F39" s="15"/>
      <c r="J39" s="99">
        <v>36</v>
      </c>
      <c r="K39" s="16"/>
      <c r="L39" s="16"/>
      <c r="M39" s="16"/>
      <c r="N39" s="16"/>
      <c r="O39" s="16"/>
      <c r="P39" s="16"/>
      <c r="Q39" s="16"/>
      <c r="R39" s="16"/>
      <c r="S39" s="16"/>
      <c r="T39" s="16"/>
      <c r="U39" s="73">
        <f>SUM(K39:T39)</f>
        <v>0</v>
      </c>
      <c r="V39" s="73"/>
      <c r="X39" s="75" t="str" cm="1">
        <f t="array" ref="X39">MID(";"&amp;'CASE DATA'!$F39&amp;";",SMALL(IF(ISERROR(SEARCH(MID(";"&amp;'CASE DATA'!$F39&amp;";",ROW($1:$99),1),";")),"",ROW($1:$99)+1),COLUMN(A39)),SMALL(IF(ISERROR(SEARCH(MID(";"&amp;'CASE DATA'!$F39&amp;";",ROW($1:$99),1),";")),"",ROW($1:$99)),COLUMN(A38)+1)-SMALL(IF(ISERROR(SEARCH(MID(";"&amp;'CASE DATA'!$F39&amp;";",ROW($1:$99),1),";")),"",ROW($1:$99)),COLUMN(A38))-1)</f>
        <v/>
      </c>
      <c r="Y39" s="75" t="str" cm="1">
        <f t="array" ref="Y39">MID(";"&amp;'CASE DATA'!$F39&amp;";",SMALL(IF(ISERROR(SEARCH(MID(";"&amp;'CASE DATA'!$F39&amp;";",ROW($1:$99),1),";")),"",ROW($1:$99)+1),COLUMN(B39)),SMALL(IF(ISERROR(SEARCH(MID(";"&amp;'CASE DATA'!$F39&amp;";",ROW($1:$99),1),";")),"",ROW($1:$99)),COLUMN(B38)+1)-SMALL(IF(ISERROR(SEARCH(MID(";"&amp;'CASE DATA'!$F39&amp;";",ROW($1:$99),1),";")),"",ROW($1:$99)),COLUMN(B38))-1)</f>
        <v/>
      </c>
      <c r="Z39" s="75" t="str" cm="1">
        <f t="array" ref="Z39">MID(";"&amp;'CASE DATA'!$F39&amp;";",SMALL(IF(ISERROR(SEARCH(MID(";"&amp;'CASE DATA'!$F39&amp;";",ROW($1:$99),1),";")),"",ROW($1:$99)+1),COLUMN(C39)),SMALL(IF(ISERROR(SEARCH(MID(";"&amp;'CASE DATA'!$F39&amp;";",ROW($1:$99),1),";")),"",ROW($1:$99)),COLUMN(C38)+1)-SMALL(IF(ISERROR(SEARCH(MID(";"&amp;'CASE DATA'!$F39&amp;";",ROW($1:$99),1),";")),"",ROW($1:$99)),COLUMN(C38))-1)</f>
        <v/>
      </c>
      <c r="AA39" s="75" t="str" cm="1">
        <f t="array" ref="AA39">MID(";"&amp;'CASE DATA'!$F39&amp;";",SMALL(IF(ISERROR(SEARCH(MID(";"&amp;'CASE DATA'!$F39&amp;";",ROW($1:$99),1),";")),"",ROW($1:$99)+1),COLUMN(D39)),SMALL(IF(ISERROR(SEARCH(MID(";"&amp;'CASE DATA'!$F39&amp;";",ROW($1:$99),1),";")),"",ROW($1:$99)),COLUMN(D38)+1)-SMALL(IF(ISERROR(SEARCH(MID(";"&amp;'CASE DATA'!$F39&amp;";",ROW($1:$99),1),";")),"",ROW($1:$99)),COLUMN(D38))-1)</f>
        <v/>
      </c>
      <c r="AB39" s="75" t="str" cm="1">
        <f t="array" ref="AB39">MID(";"&amp;'CASE DATA'!$F39&amp;";",SMALL(IF(ISERROR(SEARCH(MID(";"&amp;'CASE DATA'!$F39&amp;";",ROW($1:$99),1),";")),"",ROW($1:$99)+1),COLUMN(E39)),SMALL(IF(ISERROR(SEARCH(MID(";"&amp;'CASE DATA'!$F39&amp;";",ROW($1:$99),1),";")),"",ROW($1:$99)),COLUMN(E38)+1)-SMALL(IF(ISERROR(SEARCH(MID(";"&amp;'CASE DATA'!$F39&amp;";",ROW($1:$99),1),";")),"",ROW($1:$99)),COLUMN(E38))-1)</f>
        <v/>
      </c>
      <c r="AC39" s="75" t="str" cm="1">
        <f t="array" ref="AC39">MID(";"&amp;'CASE DATA'!$F39&amp;";",SMALL(IF(ISERROR(SEARCH(MID(";"&amp;'CASE DATA'!$F39&amp;";",ROW($1:$99),1),";")),"",ROW($1:$99)+1),COLUMN(F39)),SMALL(IF(ISERROR(SEARCH(MID(";"&amp;'CASE DATA'!$F39&amp;";",ROW($1:$99),1),";")),"",ROW($1:$99)),COLUMN(F38)+1)-SMALL(IF(ISERROR(SEARCH(MID(";"&amp;'CASE DATA'!$F39&amp;";",ROW($1:$99),1),";")),"",ROW($1:$99)),COLUMN(F38))-1)</f>
        <v/>
      </c>
      <c r="AD39" s="75" t="str" cm="1">
        <f t="array" ref="AD39">MID(";"&amp;'CASE DATA'!$F39&amp;";",SMALL(IF(ISERROR(SEARCH(MID(";"&amp;'CASE DATA'!$F39&amp;";",ROW($1:$99),1),";")),"",ROW($1:$99)+1),COLUMN(G39)),SMALL(IF(ISERROR(SEARCH(MID(";"&amp;'CASE DATA'!$F39&amp;";",ROW($1:$99),1),";")),"",ROW($1:$99)),COLUMN(G38)+1)-SMALL(IF(ISERROR(SEARCH(MID(";"&amp;'CASE DATA'!$F39&amp;";",ROW($1:$99),1),";")),"",ROW($1:$99)),COLUMN(G38))-1)</f>
        <v/>
      </c>
      <c r="AE39" s="75" t="str" cm="1">
        <f t="array" ref="AE39">MID(";"&amp;'CASE DATA'!$F39&amp;";",SMALL(IF(ISERROR(SEARCH(MID(";"&amp;'CASE DATA'!$F39&amp;";",ROW($1:$99),1),";")),"",ROW($1:$99)+1),COLUMN(H39)),SMALL(IF(ISERROR(SEARCH(MID(";"&amp;'CASE DATA'!$F39&amp;";",ROW($1:$99),1),";")),"",ROW($1:$99)),COLUMN(H38)+1)-SMALL(IF(ISERROR(SEARCH(MID(";"&amp;'CASE DATA'!$F39&amp;";",ROW($1:$99),1),";")),"",ROW($1:$99)),COLUMN(H38))-1)</f>
        <v/>
      </c>
      <c r="AF39" s="75" t="str" cm="1">
        <f t="array" ref="AF39">MID(";"&amp;'CASE DATA'!$F39&amp;";",SMALL(IF(ISERROR(SEARCH(MID(";"&amp;'CASE DATA'!$F39&amp;";",ROW($1:$99),1),";")),"",ROW($1:$99)+1),COLUMN(I39)),SMALL(IF(ISERROR(SEARCH(MID(";"&amp;'CASE DATA'!$F39&amp;";",ROW($1:$99),1),";")),"",ROW($1:$99)),COLUMN(I38)+1)-SMALL(IF(ISERROR(SEARCH(MID(";"&amp;'CASE DATA'!$F39&amp;";",ROW($1:$99),1),";")),"",ROW($1:$99)),COLUMN(I38))-1)</f>
        <v/>
      </c>
      <c r="AG39" s="75" t="str" cm="1">
        <f t="array" ref="AG39">MID(";"&amp;'CASE DATA'!$F39&amp;";",SMALL(IF(ISERROR(SEARCH(MID(";"&amp;'CASE DATA'!$F39&amp;";",ROW($1:$99),1),";")),"",ROW($1:$99)+1),COLUMN(K39)),SMALL(IF(ISERROR(SEARCH(MID(";"&amp;'CASE DATA'!$F39&amp;";",ROW($1:$99),1),";")),"",ROW($1:$99)),COLUMN(K38)+1)-SMALL(IF(ISERROR(SEARCH(MID(";"&amp;'CASE DATA'!$F39&amp;";",ROW($1:$99),1),";")),"",ROW($1:$99)),COLUMN(K38))-1)</f>
        <v/>
      </c>
      <c r="AH39" s="75" t="str" cm="1">
        <f t="array" ref="AH39">MID(";"&amp;'CASE DATA'!$F39&amp;";",SMALL(IF(ISERROR(SEARCH(MID(";"&amp;'CASE DATA'!$F39&amp;";",ROW($1:$99),1),";")),"",ROW($1:$99)+1),COLUMN(L39)),SMALL(IF(ISERROR(SEARCH(MID(";"&amp;'CASE DATA'!$F39&amp;";",ROW($1:$99),1),";")),"",ROW($1:$99)),COLUMN(L38)+1)-SMALL(IF(ISERROR(SEARCH(MID(";"&amp;'CASE DATA'!$F39&amp;";",ROW($1:$99),1),";")),"",ROW($1:$99)),COLUMN(L38))-1)</f>
        <v/>
      </c>
      <c r="AI39" s="75" t="str" cm="1">
        <f t="array" ref="AI39">MID(";"&amp;'CASE DATA'!$F39&amp;";",SMALL(IF(ISERROR(SEARCH(MID(";"&amp;'CASE DATA'!$F39&amp;";",ROW($1:$99),1),";")),"",ROW($1:$99)+1),COLUMN(M39)),SMALL(IF(ISERROR(SEARCH(MID(";"&amp;'CASE DATA'!$F39&amp;";",ROW($1:$99),1),";")),"",ROW($1:$99)),COLUMN(M38)+1)-SMALL(IF(ISERROR(SEARCH(MID(";"&amp;'CASE DATA'!$F39&amp;";",ROW($1:$99),1),";")),"",ROW($1:$99)),COLUMN(M38))-1)</f>
        <v/>
      </c>
      <c r="BO39" s="99"/>
      <c r="BP39" s="99"/>
      <c r="BQ39" s="99"/>
      <c r="BR39" s="99"/>
      <c r="BS39" s="99"/>
      <c r="BT39" s="99"/>
      <c r="BU39" s="99"/>
      <c r="BV39" s="99"/>
      <c r="BW39" s="99"/>
      <c r="BX39" s="99"/>
      <c r="BY39" s="99"/>
      <c r="BZ39" s="99"/>
      <c r="CA39" s="99"/>
      <c r="CB39" s="99"/>
      <c r="CC39" s="99"/>
      <c r="CD39" s="99"/>
      <c r="CE39" s="99"/>
      <c r="CF39" s="99"/>
      <c r="CG39" s="99"/>
      <c r="CH39" s="99"/>
      <c r="CI39" s="99"/>
      <c r="CJ39" s="99"/>
      <c r="CK39" s="99"/>
      <c r="CL39" s="99"/>
      <c r="CM39" s="99"/>
      <c r="CN39" s="99"/>
      <c r="CO39" s="99"/>
      <c r="CP39" s="99"/>
      <c r="CQ39" s="99"/>
      <c r="CR39" s="99"/>
      <c r="CS39" s="99"/>
      <c r="CT39" s="99"/>
      <c r="CU39" s="99"/>
      <c r="CV39" s="99"/>
      <c r="CW39" s="99"/>
      <c r="CX39" s="99"/>
      <c r="CY39" s="99"/>
      <c r="CZ39" s="99"/>
      <c r="DA39" s="99"/>
      <c r="DB39" s="99"/>
      <c r="DC39" s="99"/>
      <c r="DD39" s="99"/>
      <c r="DE39" s="99"/>
      <c r="DF39" s="99"/>
      <c r="DG39" s="99"/>
      <c r="DH39" s="99"/>
      <c r="DI39" s="99"/>
      <c r="DJ39" s="99"/>
      <c r="DK39" s="99"/>
      <c r="DL39" s="99"/>
      <c r="DM39" s="99"/>
      <c r="DN39" s="99"/>
      <c r="DO39" s="99"/>
      <c r="DP39" s="99"/>
      <c r="DQ39" s="99"/>
      <c r="DR39" s="99"/>
      <c r="DS39" s="99"/>
      <c r="DT39" s="99"/>
      <c r="DU39" s="99"/>
      <c r="DV39" s="99"/>
      <c r="DW39" s="99"/>
      <c r="DX39" s="99"/>
      <c r="DY39" s="99"/>
      <c r="DZ39" s="99"/>
      <c r="EA39" s="99"/>
      <c r="EB39" s="99"/>
      <c r="EC39" s="99"/>
      <c r="ED39" s="99"/>
      <c r="EE39" s="99"/>
      <c r="EF39" s="99"/>
      <c r="EG39" s="99"/>
      <c r="EH39" s="99"/>
      <c r="EI39" s="99"/>
      <c r="EJ39" s="99"/>
      <c r="EK39" s="99"/>
      <c r="EL39" s="99"/>
      <c r="EM39" s="99"/>
      <c r="EN39" s="99"/>
      <c r="EO39" s="99"/>
      <c r="EP39" s="99"/>
      <c r="EQ39" s="99"/>
      <c r="ER39" s="99"/>
      <c r="ES39" s="99"/>
      <c r="ET39" s="99"/>
      <c r="EU39" s="99"/>
      <c r="EV39" s="99"/>
      <c r="EW39" s="99"/>
      <c r="EX39" s="99"/>
      <c r="EY39" s="99"/>
      <c r="EZ39" s="99"/>
      <c r="FA39" s="99"/>
      <c r="FB39" s="99"/>
      <c r="FC39" s="99"/>
      <c r="FD39" s="99"/>
      <c r="FE39" s="99"/>
      <c r="FF39" s="99"/>
      <c r="FG39" s="99"/>
      <c r="FH39" s="99"/>
      <c r="FI39" s="99"/>
      <c r="FJ39" s="99"/>
      <c r="FK39" s="99"/>
    </row>
    <row r="40" spans="1:167" x14ac:dyDescent="0.25">
      <c r="A40" s="11"/>
      <c r="C40" s="10"/>
      <c r="D40" s="10"/>
      <c r="E40" s="11"/>
      <c r="F40" s="15"/>
      <c r="J40" s="99">
        <v>37</v>
      </c>
      <c r="K40" s="16"/>
      <c r="L40" s="16"/>
      <c r="M40" s="16"/>
      <c r="N40" s="16"/>
      <c r="O40" s="16"/>
      <c r="P40" s="16"/>
      <c r="Q40" s="16"/>
      <c r="R40" s="16"/>
      <c r="S40" s="16"/>
      <c r="T40" s="16"/>
      <c r="U40" s="73">
        <f>SUM(K40:T40)</f>
        <v>0</v>
      </c>
      <c r="V40" s="73"/>
      <c r="X40" s="75" t="str" cm="1">
        <f t="array" ref="X40">MID(";"&amp;'CASE DATA'!$F40&amp;";",SMALL(IF(ISERROR(SEARCH(MID(";"&amp;'CASE DATA'!$F40&amp;";",ROW($1:$99),1),";")),"",ROW($1:$99)+1),COLUMN(A40)),SMALL(IF(ISERROR(SEARCH(MID(";"&amp;'CASE DATA'!$F40&amp;";",ROW($1:$99),1),";")),"",ROW($1:$99)),COLUMN(A39)+1)-SMALL(IF(ISERROR(SEARCH(MID(";"&amp;'CASE DATA'!$F40&amp;";",ROW($1:$99),1),";")),"",ROW($1:$99)),COLUMN(A39))-1)</f>
        <v/>
      </c>
      <c r="Y40" s="75" t="str" cm="1">
        <f t="array" ref="Y40">MID(";"&amp;'CASE DATA'!$F40&amp;";",SMALL(IF(ISERROR(SEARCH(MID(";"&amp;'CASE DATA'!$F40&amp;";",ROW($1:$99),1),";")),"",ROW($1:$99)+1),COLUMN(B40)),SMALL(IF(ISERROR(SEARCH(MID(";"&amp;'CASE DATA'!$F40&amp;";",ROW($1:$99),1),";")),"",ROW($1:$99)),COLUMN(B39)+1)-SMALL(IF(ISERROR(SEARCH(MID(";"&amp;'CASE DATA'!$F40&amp;";",ROW($1:$99),1),";")),"",ROW($1:$99)),COLUMN(B39))-1)</f>
        <v/>
      </c>
      <c r="Z40" s="75" t="str" cm="1">
        <f t="array" ref="Z40">MID(";"&amp;'CASE DATA'!$F40&amp;";",SMALL(IF(ISERROR(SEARCH(MID(";"&amp;'CASE DATA'!$F40&amp;";",ROW($1:$99),1),";")),"",ROW($1:$99)+1),COLUMN(C40)),SMALL(IF(ISERROR(SEARCH(MID(";"&amp;'CASE DATA'!$F40&amp;";",ROW($1:$99),1),";")),"",ROW($1:$99)),COLUMN(C39)+1)-SMALL(IF(ISERROR(SEARCH(MID(";"&amp;'CASE DATA'!$F40&amp;";",ROW($1:$99),1),";")),"",ROW($1:$99)),COLUMN(C39))-1)</f>
        <v/>
      </c>
      <c r="AA40" s="75" t="str" cm="1">
        <f t="array" ref="AA40">MID(";"&amp;'CASE DATA'!$F40&amp;";",SMALL(IF(ISERROR(SEARCH(MID(";"&amp;'CASE DATA'!$F40&amp;";",ROW($1:$99),1),";")),"",ROW($1:$99)+1),COLUMN(D40)),SMALL(IF(ISERROR(SEARCH(MID(";"&amp;'CASE DATA'!$F40&amp;";",ROW($1:$99),1),";")),"",ROW($1:$99)),COLUMN(D39)+1)-SMALL(IF(ISERROR(SEARCH(MID(";"&amp;'CASE DATA'!$F40&amp;";",ROW($1:$99),1),";")),"",ROW($1:$99)),COLUMN(D39))-1)</f>
        <v/>
      </c>
      <c r="AB40" s="75" t="str" cm="1">
        <f t="array" ref="AB40">MID(";"&amp;'CASE DATA'!$F40&amp;";",SMALL(IF(ISERROR(SEARCH(MID(";"&amp;'CASE DATA'!$F40&amp;";",ROW($1:$99),1),";")),"",ROW($1:$99)+1),COLUMN(E40)),SMALL(IF(ISERROR(SEARCH(MID(";"&amp;'CASE DATA'!$F40&amp;";",ROW($1:$99),1),";")),"",ROW($1:$99)),COLUMN(E39)+1)-SMALL(IF(ISERROR(SEARCH(MID(";"&amp;'CASE DATA'!$F40&amp;";",ROW($1:$99),1),";")),"",ROW($1:$99)),COLUMN(E39))-1)</f>
        <v/>
      </c>
      <c r="AC40" s="75" t="str" cm="1">
        <f t="array" ref="AC40">MID(";"&amp;'CASE DATA'!$F40&amp;";",SMALL(IF(ISERROR(SEARCH(MID(";"&amp;'CASE DATA'!$F40&amp;";",ROW($1:$99),1),";")),"",ROW($1:$99)+1),COLUMN(F40)),SMALL(IF(ISERROR(SEARCH(MID(";"&amp;'CASE DATA'!$F40&amp;";",ROW($1:$99),1),";")),"",ROW($1:$99)),COLUMN(F39)+1)-SMALL(IF(ISERROR(SEARCH(MID(";"&amp;'CASE DATA'!$F40&amp;";",ROW($1:$99),1),";")),"",ROW($1:$99)),COLUMN(F39))-1)</f>
        <v/>
      </c>
      <c r="AD40" s="75" t="str" cm="1">
        <f t="array" ref="AD40">MID(";"&amp;'CASE DATA'!$F40&amp;";",SMALL(IF(ISERROR(SEARCH(MID(";"&amp;'CASE DATA'!$F40&amp;";",ROW($1:$99),1),";")),"",ROW($1:$99)+1),COLUMN(G40)),SMALL(IF(ISERROR(SEARCH(MID(";"&amp;'CASE DATA'!$F40&amp;";",ROW($1:$99),1),";")),"",ROW($1:$99)),COLUMN(G39)+1)-SMALL(IF(ISERROR(SEARCH(MID(";"&amp;'CASE DATA'!$F40&amp;";",ROW($1:$99),1),";")),"",ROW($1:$99)),COLUMN(G39))-1)</f>
        <v/>
      </c>
      <c r="AE40" s="75" t="str" cm="1">
        <f t="array" ref="AE40">MID(";"&amp;'CASE DATA'!$F40&amp;";",SMALL(IF(ISERROR(SEARCH(MID(";"&amp;'CASE DATA'!$F40&amp;";",ROW($1:$99),1),";")),"",ROW($1:$99)+1),COLUMN(H40)),SMALL(IF(ISERROR(SEARCH(MID(";"&amp;'CASE DATA'!$F40&amp;";",ROW($1:$99),1),";")),"",ROW($1:$99)),COLUMN(H39)+1)-SMALL(IF(ISERROR(SEARCH(MID(";"&amp;'CASE DATA'!$F40&amp;";",ROW($1:$99),1),";")),"",ROW($1:$99)),COLUMN(H39))-1)</f>
        <v/>
      </c>
      <c r="AF40" s="75" t="str" cm="1">
        <f t="array" ref="AF40">MID(";"&amp;'CASE DATA'!$F40&amp;";",SMALL(IF(ISERROR(SEARCH(MID(";"&amp;'CASE DATA'!$F40&amp;";",ROW($1:$99),1),";")),"",ROW($1:$99)+1),COLUMN(I40)),SMALL(IF(ISERROR(SEARCH(MID(";"&amp;'CASE DATA'!$F40&amp;";",ROW($1:$99),1),";")),"",ROW($1:$99)),COLUMN(I39)+1)-SMALL(IF(ISERROR(SEARCH(MID(";"&amp;'CASE DATA'!$F40&amp;";",ROW($1:$99),1),";")),"",ROW($1:$99)),COLUMN(I39))-1)</f>
        <v/>
      </c>
      <c r="AG40" s="75" t="str" cm="1">
        <f t="array" ref="AG40">MID(";"&amp;'CASE DATA'!$F40&amp;";",SMALL(IF(ISERROR(SEARCH(MID(";"&amp;'CASE DATA'!$F40&amp;";",ROW($1:$99),1),";")),"",ROW($1:$99)+1),COLUMN(K40)),SMALL(IF(ISERROR(SEARCH(MID(";"&amp;'CASE DATA'!$F40&amp;";",ROW($1:$99),1),";")),"",ROW($1:$99)),COLUMN(K39)+1)-SMALL(IF(ISERROR(SEARCH(MID(";"&amp;'CASE DATA'!$F40&amp;";",ROW($1:$99),1),";")),"",ROW($1:$99)),COLUMN(K39))-1)</f>
        <v/>
      </c>
      <c r="AH40" s="75" t="str" cm="1">
        <f t="array" ref="AH40">MID(";"&amp;'CASE DATA'!$F40&amp;";",SMALL(IF(ISERROR(SEARCH(MID(";"&amp;'CASE DATA'!$F40&amp;";",ROW($1:$99),1),";")),"",ROW($1:$99)+1),COLUMN(L40)),SMALL(IF(ISERROR(SEARCH(MID(";"&amp;'CASE DATA'!$F40&amp;";",ROW($1:$99),1),";")),"",ROW($1:$99)),COLUMN(L39)+1)-SMALL(IF(ISERROR(SEARCH(MID(";"&amp;'CASE DATA'!$F40&amp;";",ROW($1:$99),1),";")),"",ROW($1:$99)),COLUMN(L39))-1)</f>
        <v/>
      </c>
      <c r="AI40" s="75" t="str" cm="1">
        <f t="array" ref="AI40">MID(";"&amp;'CASE DATA'!$F40&amp;";",SMALL(IF(ISERROR(SEARCH(MID(";"&amp;'CASE DATA'!$F40&amp;";",ROW($1:$99),1),";")),"",ROW($1:$99)+1),COLUMN(M40)),SMALL(IF(ISERROR(SEARCH(MID(";"&amp;'CASE DATA'!$F40&amp;";",ROW($1:$99),1),";")),"",ROW($1:$99)),COLUMN(M39)+1)-SMALL(IF(ISERROR(SEARCH(MID(";"&amp;'CASE DATA'!$F40&amp;";",ROW($1:$99),1),";")),"",ROW($1:$99)),COLUMN(M39))-1)</f>
        <v/>
      </c>
      <c r="BO40" s="99"/>
      <c r="BP40" s="99"/>
      <c r="BQ40" s="99"/>
      <c r="BR40" s="99"/>
      <c r="BS40" s="99"/>
      <c r="BT40" s="99"/>
      <c r="BU40" s="99"/>
      <c r="BV40" s="99"/>
      <c r="BW40" s="99"/>
      <c r="BX40" s="99"/>
      <c r="BY40" s="99"/>
      <c r="BZ40" s="99"/>
      <c r="CA40" s="99"/>
      <c r="CB40" s="99"/>
      <c r="CC40" s="99"/>
      <c r="CD40" s="99"/>
      <c r="CE40" s="99"/>
      <c r="CF40" s="99"/>
      <c r="CG40" s="99"/>
      <c r="CH40" s="99"/>
      <c r="CI40" s="99"/>
      <c r="CJ40" s="99"/>
      <c r="CK40" s="99"/>
      <c r="CL40" s="99"/>
      <c r="CM40" s="99"/>
      <c r="CN40" s="99"/>
      <c r="CO40" s="99"/>
      <c r="CP40" s="99"/>
      <c r="CQ40" s="99"/>
      <c r="CR40" s="99"/>
      <c r="CS40" s="99"/>
      <c r="CT40" s="99"/>
      <c r="CU40" s="99"/>
      <c r="CV40" s="99"/>
      <c r="CW40" s="99"/>
      <c r="CX40" s="99"/>
      <c r="CY40" s="99"/>
      <c r="CZ40" s="99"/>
      <c r="DA40" s="99"/>
      <c r="DB40" s="99"/>
      <c r="DC40" s="99"/>
      <c r="DD40" s="99"/>
      <c r="DE40" s="99"/>
      <c r="DF40" s="99"/>
      <c r="DG40" s="99"/>
      <c r="DH40" s="99"/>
      <c r="DI40" s="99"/>
      <c r="DJ40" s="99"/>
      <c r="DK40" s="99"/>
      <c r="DL40" s="99"/>
      <c r="DM40" s="99"/>
      <c r="DN40" s="99"/>
      <c r="DO40" s="99"/>
      <c r="DP40" s="99"/>
      <c r="DQ40" s="99"/>
      <c r="DR40" s="99"/>
      <c r="DS40" s="99"/>
      <c r="DT40" s="99"/>
      <c r="DU40" s="99"/>
      <c r="DV40" s="99"/>
      <c r="DW40" s="99"/>
      <c r="DX40" s="99"/>
      <c r="DY40" s="99"/>
      <c r="DZ40" s="99"/>
      <c r="EA40" s="99"/>
      <c r="EB40" s="99"/>
      <c r="EC40" s="99"/>
      <c r="ED40" s="99"/>
      <c r="EE40" s="99"/>
      <c r="EF40" s="99"/>
      <c r="EG40" s="99"/>
      <c r="EH40" s="99"/>
      <c r="EI40" s="99"/>
      <c r="EJ40" s="99"/>
      <c r="EK40" s="99"/>
      <c r="EL40" s="99"/>
      <c r="EM40" s="99"/>
      <c r="EN40" s="99"/>
      <c r="EO40" s="99"/>
      <c r="EP40" s="99"/>
      <c r="EQ40" s="99"/>
      <c r="ER40" s="99"/>
      <c r="ES40" s="99"/>
      <c r="ET40" s="99"/>
      <c r="EU40" s="99"/>
      <c r="EV40" s="99"/>
      <c r="EW40" s="99"/>
      <c r="EX40" s="99"/>
      <c r="EY40" s="99"/>
      <c r="EZ40" s="99"/>
      <c r="FA40" s="99"/>
      <c r="FB40" s="99"/>
      <c r="FC40" s="99"/>
      <c r="FD40" s="99"/>
      <c r="FE40" s="99"/>
      <c r="FF40" s="99"/>
      <c r="FG40" s="99"/>
      <c r="FH40" s="99"/>
      <c r="FI40" s="99"/>
      <c r="FJ40" s="99"/>
      <c r="FK40" s="99"/>
    </row>
    <row r="41" spans="1:167" x14ac:dyDescent="0.25">
      <c r="C41" s="10"/>
      <c r="D41" s="10"/>
      <c r="E41" s="11"/>
      <c r="F41" s="15"/>
      <c r="J41" s="99">
        <v>38</v>
      </c>
      <c r="K41" s="16"/>
      <c r="L41" s="16"/>
      <c r="M41" s="16"/>
      <c r="N41" s="16"/>
      <c r="O41" s="16"/>
      <c r="P41" s="16"/>
      <c r="Q41" s="16"/>
      <c r="R41" s="16"/>
      <c r="S41" s="16"/>
      <c r="T41" s="16"/>
      <c r="U41" s="73">
        <f>SUM(K41:T41)</f>
        <v>0</v>
      </c>
      <c r="V41" s="73"/>
      <c r="X41" s="75" t="str" cm="1">
        <f t="array" ref="X41">MID(";"&amp;'CASE DATA'!$F41&amp;";",SMALL(IF(ISERROR(SEARCH(MID(";"&amp;'CASE DATA'!$F41&amp;";",ROW($1:$99),1),";")),"",ROW($1:$99)+1),COLUMN(A41)),SMALL(IF(ISERROR(SEARCH(MID(";"&amp;'CASE DATA'!$F41&amp;";",ROW($1:$99),1),";")),"",ROW($1:$99)),COLUMN(A40)+1)-SMALL(IF(ISERROR(SEARCH(MID(";"&amp;'CASE DATA'!$F41&amp;";",ROW($1:$99),1),";")),"",ROW($1:$99)),COLUMN(A40))-1)</f>
        <v/>
      </c>
      <c r="Y41" s="75" t="str" cm="1">
        <f t="array" ref="Y41">MID(";"&amp;'CASE DATA'!$F41&amp;";",SMALL(IF(ISERROR(SEARCH(MID(";"&amp;'CASE DATA'!$F41&amp;";",ROW($1:$99),1),";")),"",ROW($1:$99)+1),COLUMN(B41)),SMALL(IF(ISERROR(SEARCH(MID(";"&amp;'CASE DATA'!$F41&amp;";",ROW($1:$99),1),";")),"",ROW($1:$99)),COLUMN(B40)+1)-SMALL(IF(ISERROR(SEARCH(MID(";"&amp;'CASE DATA'!$F41&amp;";",ROW($1:$99),1),";")),"",ROW($1:$99)),COLUMN(B40))-1)</f>
        <v/>
      </c>
      <c r="Z41" s="75" t="str" cm="1">
        <f t="array" ref="Z41">MID(";"&amp;'CASE DATA'!$F41&amp;";",SMALL(IF(ISERROR(SEARCH(MID(";"&amp;'CASE DATA'!$F41&amp;";",ROW($1:$99),1),";")),"",ROW($1:$99)+1),COLUMN(C41)),SMALL(IF(ISERROR(SEARCH(MID(";"&amp;'CASE DATA'!$F41&amp;";",ROW($1:$99),1),";")),"",ROW($1:$99)),COLUMN(C40)+1)-SMALL(IF(ISERROR(SEARCH(MID(";"&amp;'CASE DATA'!$F41&amp;";",ROW($1:$99),1),";")),"",ROW($1:$99)),COLUMN(C40))-1)</f>
        <v/>
      </c>
      <c r="AA41" s="75" t="str" cm="1">
        <f t="array" ref="AA41">MID(";"&amp;'CASE DATA'!$F41&amp;";",SMALL(IF(ISERROR(SEARCH(MID(";"&amp;'CASE DATA'!$F41&amp;";",ROW($1:$99),1),";")),"",ROW($1:$99)+1),COLUMN(D41)),SMALL(IF(ISERROR(SEARCH(MID(";"&amp;'CASE DATA'!$F41&amp;";",ROW($1:$99),1),";")),"",ROW($1:$99)),COLUMN(D40)+1)-SMALL(IF(ISERROR(SEARCH(MID(";"&amp;'CASE DATA'!$F41&amp;";",ROW($1:$99),1),";")),"",ROW($1:$99)),COLUMN(D40))-1)</f>
        <v/>
      </c>
      <c r="AB41" s="75" t="str" cm="1">
        <f t="array" ref="AB41">MID(";"&amp;'CASE DATA'!$F41&amp;";",SMALL(IF(ISERROR(SEARCH(MID(";"&amp;'CASE DATA'!$F41&amp;";",ROW($1:$99),1),";")),"",ROW($1:$99)+1),COLUMN(E41)),SMALL(IF(ISERROR(SEARCH(MID(";"&amp;'CASE DATA'!$F41&amp;";",ROW($1:$99),1),";")),"",ROW($1:$99)),COLUMN(E40)+1)-SMALL(IF(ISERROR(SEARCH(MID(";"&amp;'CASE DATA'!$F41&amp;";",ROW($1:$99),1),";")),"",ROW($1:$99)),COLUMN(E40))-1)</f>
        <v/>
      </c>
      <c r="AC41" s="75" t="str" cm="1">
        <f t="array" ref="AC41">MID(";"&amp;'CASE DATA'!$F41&amp;";",SMALL(IF(ISERROR(SEARCH(MID(";"&amp;'CASE DATA'!$F41&amp;";",ROW($1:$99),1),";")),"",ROW($1:$99)+1),COLUMN(F41)),SMALL(IF(ISERROR(SEARCH(MID(";"&amp;'CASE DATA'!$F41&amp;";",ROW($1:$99),1),";")),"",ROW($1:$99)),COLUMN(F40)+1)-SMALL(IF(ISERROR(SEARCH(MID(";"&amp;'CASE DATA'!$F41&amp;";",ROW($1:$99),1),";")),"",ROW($1:$99)),COLUMN(F40))-1)</f>
        <v/>
      </c>
      <c r="AD41" s="75" t="str" cm="1">
        <f t="array" ref="AD41">MID(";"&amp;'CASE DATA'!$F41&amp;";",SMALL(IF(ISERROR(SEARCH(MID(";"&amp;'CASE DATA'!$F41&amp;";",ROW($1:$99),1),";")),"",ROW($1:$99)+1),COLUMN(G41)),SMALL(IF(ISERROR(SEARCH(MID(";"&amp;'CASE DATA'!$F41&amp;";",ROW($1:$99),1),";")),"",ROW($1:$99)),COLUMN(G40)+1)-SMALL(IF(ISERROR(SEARCH(MID(";"&amp;'CASE DATA'!$F41&amp;";",ROW($1:$99),1),";")),"",ROW($1:$99)),COLUMN(G40))-1)</f>
        <v/>
      </c>
      <c r="AE41" s="75" t="str" cm="1">
        <f t="array" ref="AE41">MID(";"&amp;'CASE DATA'!$F41&amp;";",SMALL(IF(ISERROR(SEARCH(MID(";"&amp;'CASE DATA'!$F41&amp;";",ROW($1:$99),1),";")),"",ROW($1:$99)+1),COLUMN(H41)),SMALL(IF(ISERROR(SEARCH(MID(";"&amp;'CASE DATA'!$F41&amp;";",ROW($1:$99),1),";")),"",ROW($1:$99)),COLUMN(H40)+1)-SMALL(IF(ISERROR(SEARCH(MID(";"&amp;'CASE DATA'!$F41&amp;";",ROW($1:$99),1),";")),"",ROW($1:$99)),COLUMN(H40))-1)</f>
        <v/>
      </c>
      <c r="AF41" s="75" t="str" cm="1">
        <f t="array" ref="AF41">MID(";"&amp;'CASE DATA'!$F41&amp;";",SMALL(IF(ISERROR(SEARCH(MID(";"&amp;'CASE DATA'!$F41&amp;";",ROW($1:$99),1),";")),"",ROW($1:$99)+1),COLUMN(I41)),SMALL(IF(ISERROR(SEARCH(MID(";"&amp;'CASE DATA'!$F41&amp;";",ROW($1:$99),1),";")),"",ROW($1:$99)),COLUMN(I40)+1)-SMALL(IF(ISERROR(SEARCH(MID(";"&amp;'CASE DATA'!$F41&amp;";",ROW($1:$99),1),";")),"",ROW($1:$99)),COLUMN(I40))-1)</f>
        <v/>
      </c>
      <c r="AG41" s="75" t="str" cm="1">
        <f t="array" ref="AG41">MID(";"&amp;'CASE DATA'!$F41&amp;";",SMALL(IF(ISERROR(SEARCH(MID(";"&amp;'CASE DATA'!$F41&amp;";",ROW($1:$99),1),";")),"",ROW($1:$99)+1),COLUMN(K41)),SMALL(IF(ISERROR(SEARCH(MID(";"&amp;'CASE DATA'!$F41&amp;";",ROW($1:$99),1),";")),"",ROW($1:$99)),COLUMN(K40)+1)-SMALL(IF(ISERROR(SEARCH(MID(";"&amp;'CASE DATA'!$F41&amp;";",ROW($1:$99),1),";")),"",ROW($1:$99)),COLUMN(K40))-1)</f>
        <v/>
      </c>
      <c r="AH41" s="75" t="str" cm="1">
        <f t="array" ref="AH41">MID(";"&amp;'CASE DATA'!$F41&amp;";",SMALL(IF(ISERROR(SEARCH(MID(";"&amp;'CASE DATA'!$F41&amp;";",ROW($1:$99),1),";")),"",ROW($1:$99)+1),COLUMN(L41)),SMALL(IF(ISERROR(SEARCH(MID(";"&amp;'CASE DATA'!$F41&amp;";",ROW($1:$99),1),";")),"",ROW($1:$99)),COLUMN(L40)+1)-SMALL(IF(ISERROR(SEARCH(MID(";"&amp;'CASE DATA'!$F41&amp;";",ROW($1:$99),1),";")),"",ROW($1:$99)),COLUMN(L40))-1)</f>
        <v/>
      </c>
      <c r="AI41" s="75" t="str" cm="1">
        <f t="array" ref="AI41">MID(";"&amp;'CASE DATA'!$F41&amp;";",SMALL(IF(ISERROR(SEARCH(MID(";"&amp;'CASE DATA'!$F41&amp;";",ROW($1:$99),1),";")),"",ROW($1:$99)+1),COLUMN(M41)),SMALL(IF(ISERROR(SEARCH(MID(";"&amp;'CASE DATA'!$F41&amp;";",ROW($1:$99),1),";")),"",ROW($1:$99)),COLUMN(M40)+1)-SMALL(IF(ISERROR(SEARCH(MID(";"&amp;'CASE DATA'!$F41&amp;";",ROW($1:$99),1),";")),"",ROW($1:$99)),COLUMN(M40))-1)</f>
        <v/>
      </c>
      <c r="BO41" s="99"/>
      <c r="BP41" s="99"/>
      <c r="BQ41" s="99"/>
      <c r="BR41" s="99"/>
      <c r="BS41" s="99"/>
      <c r="BT41" s="99"/>
      <c r="BU41" s="99"/>
      <c r="BV41" s="99"/>
      <c r="BW41" s="99"/>
      <c r="BX41" s="99"/>
      <c r="BY41" s="99"/>
      <c r="BZ41" s="99"/>
      <c r="CA41" s="99"/>
      <c r="CB41" s="99"/>
      <c r="CC41" s="99"/>
      <c r="CD41" s="99"/>
      <c r="CE41" s="99"/>
      <c r="CF41" s="99"/>
      <c r="CG41" s="99"/>
      <c r="CH41" s="99"/>
      <c r="CI41" s="99"/>
      <c r="CJ41" s="99"/>
      <c r="CK41" s="99"/>
      <c r="CL41" s="99"/>
      <c r="CM41" s="99"/>
      <c r="CN41" s="99"/>
      <c r="CO41" s="99"/>
      <c r="CP41" s="99"/>
      <c r="CQ41" s="99"/>
      <c r="CR41" s="99"/>
      <c r="CS41" s="99"/>
      <c r="CT41" s="99"/>
      <c r="CU41" s="99"/>
      <c r="CV41" s="99"/>
      <c r="CW41" s="99"/>
      <c r="CX41" s="99"/>
      <c r="CY41" s="99"/>
      <c r="CZ41" s="99"/>
      <c r="DA41" s="99"/>
      <c r="DB41" s="99"/>
      <c r="DC41" s="99"/>
      <c r="DD41" s="99"/>
      <c r="DE41" s="99"/>
      <c r="DF41" s="99"/>
      <c r="DG41" s="99"/>
      <c r="DH41" s="99"/>
      <c r="DI41" s="99"/>
      <c r="DJ41" s="99"/>
      <c r="DK41" s="99"/>
      <c r="DL41" s="99"/>
      <c r="DM41" s="99"/>
      <c r="DN41" s="99"/>
      <c r="DO41" s="99"/>
      <c r="DP41" s="99"/>
      <c r="DQ41" s="99"/>
      <c r="DR41" s="99"/>
      <c r="DS41" s="99"/>
      <c r="DT41" s="99"/>
      <c r="DU41" s="99"/>
      <c r="DV41" s="99"/>
      <c r="DW41" s="99"/>
      <c r="DX41" s="99"/>
      <c r="DY41" s="99"/>
      <c r="DZ41" s="99"/>
      <c r="EA41" s="99"/>
      <c r="EB41" s="99"/>
      <c r="EC41" s="99"/>
      <c r="ED41" s="99"/>
      <c r="EE41" s="99"/>
      <c r="EF41" s="99"/>
      <c r="EG41" s="99"/>
      <c r="EH41" s="99"/>
      <c r="EI41" s="99"/>
      <c r="EJ41" s="99"/>
      <c r="EK41" s="99"/>
      <c r="EL41" s="99"/>
      <c r="EM41" s="99"/>
      <c r="EN41" s="99"/>
      <c r="EO41" s="99"/>
      <c r="EP41" s="99"/>
      <c r="EQ41" s="99"/>
      <c r="ER41" s="99"/>
      <c r="ES41" s="99"/>
      <c r="ET41" s="99"/>
      <c r="EU41" s="99"/>
      <c r="EV41" s="99"/>
      <c r="EW41" s="99"/>
      <c r="EX41" s="99"/>
      <c r="EY41" s="99"/>
      <c r="EZ41" s="99"/>
      <c r="FA41" s="99"/>
      <c r="FB41" s="99"/>
      <c r="FC41" s="99"/>
      <c r="FD41" s="99"/>
      <c r="FE41" s="99"/>
      <c r="FF41" s="99"/>
      <c r="FG41" s="99"/>
      <c r="FH41" s="99"/>
      <c r="FI41" s="99"/>
      <c r="FJ41" s="99"/>
      <c r="FK41" s="99"/>
    </row>
    <row r="42" spans="1:167" x14ac:dyDescent="0.25">
      <c r="C42" s="10"/>
      <c r="D42" s="10"/>
      <c r="E42" s="11"/>
      <c r="F42" s="15"/>
      <c r="J42" s="99">
        <v>39</v>
      </c>
      <c r="K42" s="16"/>
      <c r="L42" s="16"/>
      <c r="M42" s="16"/>
      <c r="N42" s="16"/>
      <c r="O42" s="16"/>
      <c r="P42" s="16"/>
      <c r="Q42" s="16"/>
      <c r="R42" s="16"/>
      <c r="S42" s="16"/>
      <c r="T42" s="16"/>
      <c r="U42" s="73">
        <f>SUM(K42:T42)</f>
        <v>0</v>
      </c>
      <c r="V42" s="73"/>
      <c r="X42" s="75" t="str" cm="1">
        <f t="array" ref="X42">MID(";"&amp;'CASE DATA'!$F42&amp;";",SMALL(IF(ISERROR(SEARCH(MID(";"&amp;'CASE DATA'!$F42&amp;";",ROW($1:$99),1),";")),"",ROW($1:$99)+1),COLUMN(A42)),SMALL(IF(ISERROR(SEARCH(MID(";"&amp;'CASE DATA'!$F42&amp;";",ROW($1:$99),1),";")),"",ROW($1:$99)),COLUMN(A41)+1)-SMALL(IF(ISERROR(SEARCH(MID(";"&amp;'CASE DATA'!$F42&amp;";",ROW($1:$99),1),";")),"",ROW($1:$99)),COLUMN(A41))-1)</f>
        <v/>
      </c>
      <c r="Y42" s="75" t="str" cm="1">
        <f t="array" ref="Y42">MID(";"&amp;'CASE DATA'!$F42&amp;";",SMALL(IF(ISERROR(SEARCH(MID(";"&amp;'CASE DATA'!$F42&amp;";",ROW($1:$99),1),";")),"",ROW($1:$99)+1),COLUMN(B42)),SMALL(IF(ISERROR(SEARCH(MID(";"&amp;'CASE DATA'!$F42&amp;";",ROW($1:$99),1),";")),"",ROW($1:$99)),COLUMN(B41)+1)-SMALL(IF(ISERROR(SEARCH(MID(";"&amp;'CASE DATA'!$F42&amp;";",ROW($1:$99),1),";")),"",ROW($1:$99)),COLUMN(B41))-1)</f>
        <v/>
      </c>
      <c r="Z42" s="75" t="str" cm="1">
        <f t="array" ref="Z42">MID(";"&amp;'CASE DATA'!$F42&amp;";",SMALL(IF(ISERROR(SEARCH(MID(";"&amp;'CASE DATA'!$F42&amp;";",ROW($1:$99),1),";")),"",ROW($1:$99)+1),COLUMN(C42)),SMALL(IF(ISERROR(SEARCH(MID(";"&amp;'CASE DATA'!$F42&amp;";",ROW($1:$99),1),";")),"",ROW($1:$99)),COLUMN(C41)+1)-SMALL(IF(ISERROR(SEARCH(MID(";"&amp;'CASE DATA'!$F42&amp;";",ROW($1:$99),1),";")),"",ROW($1:$99)),COLUMN(C41))-1)</f>
        <v/>
      </c>
      <c r="AA42" s="75" t="str" cm="1">
        <f t="array" ref="AA42">MID(";"&amp;'CASE DATA'!$F42&amp;";",SMALL(IF(ISERROR(SEARCH(MID(";"&amp;'CASE DATA'!$F42&amp;";",ROW($1:$99),1),";")),"",ROW($1:$99)+1),COLUMN(D42)),SMALL(IF(ISERROR(SEARCH(MID(";"&amp;'CASE DATA'!$F42&amp;";",ROW($1:$99),1),";")),"",ROW($1:$99)),COLUMN(D41)+1)-SMALL(IF(ISERROR(SEARCH(MID(";"&amp;'CASE DATA'!$F42&amp;";",ROW($1:$99),1),";")),"",ROW($1:$99)),COLUMN(D41))-1)</f>
        <v/>
      </c>
      <c r="AB42" s="75" t="str" cm="1">
        <f t="array" ref="AB42">MID(";"&amp;'CASE DATA'!$F42&amp;";",SMALL(IF(ISERROR(SEARCH(MID(";"&amp;'CASE DATA'!$F42&amp;";",ROW($1:$99),1),";")),"",ROW($1:$99)+1),COLUMN(E42)),SMALL(IF(ISERROR(SEARCH(MID(";"&amp;'CASE DATA'!$F42&amp;";",ROW($1:$99),1),";")),"",ROW($1:$99)),COLUMN(E41)+1)-SMALL(IF(ISERROR(SEARCH(MID(";"&amp;'CASE DATA'!$F42&amp;";",ROW($1:$99),1),";")),"",ROW($1:$99)),COLUMN(E41))-1)</f>
        <v/>
      </c>
      <c r="AC42" s="75" t="str" cm="1">
        <f t="array" ref="AC42">MID(";"&amp;'CASE DATA'!$F42&amp;";",SMALL(IF(ISERROR(SEARCH(MID(";"&amp;'CASE DATA'!$F42&amp;";",ROW($1:$99),1),";")),"",ROW($1:$99)+1),COLUMN(F42)),SMALL(IF(ISERROR(SEARCH(MID(";"&amp;'CASE DATA'!$F42&amp;";",ROW($1:$99),1),";")),"",ROW($1:$99)),COLUMN(F41)+1)-SMALL(IF(ISERROR(SEARCH(MID(";"&amp;'CASE DATA'!$F42&amp;";",ROW($1:$99),1),";")),"",ROW($1:$99)),COLUMN(F41))-1)</f>
        <v/>
      </c>
      <c r="AD42" s="75" t="str" cm="1">
        <f t="array" ref="AD42">MID(";"&amp;'CASE DATA'!$F42&amp;";",SMALL(IF(ISERROR(SEARCH(MID(";"&amp;'CASE DATA'!$F42&amp;";",ROW($1:$99),1),";")),"",ROW($1:$99)+1),COLUMN(G42)),SMALL(IF(ISERROR(SEARCH(MID(";"&amp;'CASE DATA'!$F42&amp;";",ROW($1:$99),1),";")),"",ROW($1:$99)),COLUMN(G41)+1)-SMALL(IF(ISERROR(SEARCH(MID(";"&amp;'CASE DATA'!$F42&amp;";",ROW($1:$99),1),";")),"",ROW($1:$99)),COLUMN(G41))-1)</f>
        <v/>
      </c>
      <c r="AE42" s="75" t="str" cm="1">
        <f t="array" ref="AE42">MID(";"&amp;'CASE DATA'!$F42&amp;";",SMALL(IF(ISERROR(SEARCH(MID(";"&amp;'CASE DATA'!$F42&amp;";",ROW($1:$99),1),";")),"",ROW($1:$99)+1),COLUMN(H42)),SMALL(IF(ISERROR(SEARCH(MID(";"&amp;'CASE DATA'!$F42&amp;";",ROW($1:$99),1),";")),"",ROW($1:$99)),COLUMN(H41)+1)-SMALL(IF(ISERROR(SEARCH(MID(";"&amp;'CASE DATA'!$F42&amp;";",ROW($1:$99),1),";")),"",ROW($1:$99)),COLUMN(H41))-1)</f>
        <v/>
      </c>
      <c r="AF42" s="75" t="str" cm="1">
        <f t="array" ref="AF42">MID(";"&amp;'CASE DATA'!$F42&amp;";",SMALL(IF(ISERROR(SEARCH(MID(";"&amp;'CASE DATA'!$F42&amp;";",ROW($1:$99),1),";")),"",ROW($1:$99)+1),COLUMN(I42)),SMALL(IF(ISERROR(SEARCH(MID(";"&amp;'CASE DATA'!$F42&amp;";",ROW($1:$99),1),";")),"",ROW($1:$99)),COLUMN(I41)+1)-SMALL(IF(ISERROR(SEARCH(MID(";"&amp;'CASE DATA'!$F42&amp;";",ROW($1:$99),1),";")),"",ROW($1:$99)),COLUMN(I41))-1)</f>
        <v/>
      </c>
      <c r="AG42" s="75" t="str" cm="1">
        <f t="array" ref="AG42">MID(";"&amp;'CASE DATA'!$F42&amp;";",SMALL(IF(ISERROR(SEARCH(MID(";"&amp;'CASE DATA'!$F42&amp;";",ROW($1:$99),1),";")),"",ROW($1:$99)+1),COLUMN(K42)),SMALL(IF(ISERROR(SEARCH(MID(";"&amp;'CASE DATA'!$F42&amp;";",ROW($1:$99),1),";")),"",ROW($1:$99)),COLUMN(K41)+1)-SMALL(IF(ISERROR(SEARCH(MID(";"&amp;'CASE DATA'!$F42&amp;";",ROW($1:$99),1),";")),"",ROW($1:$99)),COLUMN(K41))-1)</f>
        <v/>
      </c>
      <c r="AH42" s="75" t="str" cm="1">
        <f t="array" ref="AH42">MID(";"&amp;'CASE DATA'!$F42&amp;";",SMALL(IF(ISERROR(SEARCH(MID(";"&amp;'CASE DATA'!$F42&amp;";",ROW($1:$99),1),";")),"",ROW($1:$99)+1),COLUMN(L42)),SMALL(IF(ISERROR(SEARCH(MID(";"&amp;'CASE DATA'!$F42&amp;";",ROW($1:$99),1),";")),"",ROW($1:$99)),COLUMN(L41)+1)-SMALL(IF(ISERROR(SEARCH(MID(";"&amp;'CASE DATA'!$F42&amp;";",ROW($1:$99),1),";")),"",ROW($1:$99)),COLUMN(L41))-1)</f>
        <v/>
      </c>
      <c r="AI42" s="75" t="str" cm="1">
        <f t="array" ref="AI42">MID(";"&amp;'CASE DATA'!$F42&amp;";",SMALL(IF(ISERROR(SEARCH(MID(";"&amp;'CASE DATA'!$F42&amp;";",ROW($1:$99),1),";")),"",ROW($1:$99)+1),COLUMN(M42)),SMALL(IF(ISERROR(SEARCH(MID(";"&amp;'CASE DATA'!$F42&amp;";",ROW($1:$99),1),";")),"",ROW($1:$99)),COLUMN(M41)+1)-SMALL(IF(ISERROR(SEARCH(MID(";"&amp;'CASE DATA'!$F42&amp;";",ROW($1:$99),1),";")),"",ROW($1:$99)),COLUMN(M41))-1)</f>
        <v/>
      </c>
      <c r="BO42" s="99"/>
      <c r="BP42" s="99"/>
      <c r="BQ42" s="99"/>
      <c r="BR42" s="99"/>
      <c r="BS42" s="99"/>
      <c r="BT42" s="99"/>
      <c r="BU42" s="99"/>
      <c r="BV42" s="99"/>
      <c r="BW42" s="99"/>
      <c r="BX42" s="99"/>
      <c r="BY42" s="99"/>
      <c r="BZ42" s="99"/>
      <c r="CA42" s="99"/>
      <c r="CB42" s="99"/>
      <c r="CC42" s="99"/>
      <c r="CD42" s="99"/>
      <c r="CE42" s="99"/>
      <c r="CF42" s="99"/>
      <c r="CG42" s="99"/>
      <c r="CH42" s="99"/>
      <c r="CI42" s="99"/>
      <c r="CJ42" s="99"/>
      <c r="CK42" s="99"/>
      <c r="CL42" s="99"/>
      <c r="CM42" s="99"/>
      <c r="CN42" s="99"/>
      <c r="CO42" s="99"/>
      <c r="CP42" s="99"/>
      <c r="CQ42" s="99"/>
      <c r="CR42" s="99"/>
      <c r="CS42" s="99"/>
      <c r="CT42" s="99"/>
      <c r="CU42" s="99"/>
      <c r="CV42" s="99"/>
      <c r="CW42" s="99"/>
      <c r="CX42" s="99"/>
      <c r="CY42" s="99"/>
      <c r="CZ42" s="99"/>
      <c r="DA42" s="99"/>
      <c r="DB42" s="99"/>
      <c r="DC42" s="99"/>
      <c r="DD42" s="99"/>
      <c r="DE42" s="99"/>
      <c r="DF42" s="99"/>
      <c r="DG42" s="99"/>
      <c r="DH42" s="99"/>
      <c r="DI42" s="99"/>
      <c r="DJ42" s="99"/>
      <c r="DK42" s="99"/>
      <c r="DL42" s="99"/>
      <c r="DM42" s="99"/>
      <c r="DN42" s="99"/>
      <c r="DO42" s="99"/>
      <c r="DP42" s="99"/>
      <c r="DQ42" s="99"/>
      <c r="DR42" s="99"/>
      <c r="DS42" s="99"/>
      <c r="DT42" s="99"/>
      <c r="DU42" s="99"/>
      <c r="DV42" s="99"/>
      <c r="DW42" s="99"/>
      <c r="DX42" s="99"/>
      <c r="DY42" s="99"/>
      <c r="DZ42" s="99"/>
      <c r="EA42" s="99"/>
      <c r="EB42" s="99"/>
      <c r="EC42" s="99"/>
      <c r="ED42" s="99"/>
      <c r="EE42" s="99"/>
      <c r="EF42" s="99"/>
      <c r="EG42" s="99"/>
      <c r="EH42" s="99"/>
      <c r="EI42" s="99"/>
      <c r="EJ42" s="99"/>
      <c r="EK42" s="99"/>
      <c r="EL42" s="99"/>
      <c r="EM42" s="99"/>
      <c r="EN42" s="99"/>
      <c r="EO42" s="99"/>
      <c r="EP42" s="99"/>
      <c r="EQ42" s="99"/>
      <c r="ER42" s="99"/>
      <c r="ES42" s="99"/>
      <c r="ET42" s="99"/>
      <c r="EU42" s="99"/>
      <c r="EV42" s="99"/>
      <c r="EW42" s="99"/>
      <c r="EX42" s="99"/>
      <c r="EY42" s="99"/>
      <c r="EZ42" s="99"/>
      <c r="FA42" s="99"/>
      <c r="FB42" s="99"/>
      <c r="FC42" s="99"/>
      <c r="FD42" s="99"/>
      <c r="FE42" s="99"/>
      <c r="FF42" s="99"/>
      <c r="FG42" s="99"/>
      <c r="FH42" s="99"/>
      <c r="FI42" s="99"/>
      <c r="FJ42" s="99"/>
      <c r="FK42" s="99"/>
    </row>
    <row r="43" spans="1:167" x14ac:dyDescent="0.25">
      <c r="C43" s="10"/>
      <c r="D43" s="10"/>
      <c r="E43" s="11"/>
      <c r="F43" s="15"/>
      <c r="J43" s="99">
        <v>40</v>
      </c>
      <c r="K43" s="16"/>
      <c r="L43" s="16"/>
      <c r="M43" s="16"/>
      <c r="N43" s="16"/>
      <c r="O43" s="16"/>
      <c r="P43" s="16"/>
      <c r="Q43" s="16"/>
      <c r="R43" s="16"/>
      <c r="S43" s="16"/>
      <c r="T43" s="16"/>
      <c r="U43" s="73">
        <f>SUM(K43:T43)</f>
        <v>0</v>
      </c>
      <c r="V43" s="73"/>
      <c r="X43" s="75" t="str" cm="1">
        <f t="array" ref="X43">MID(";"&amp;'CASE DATA'!$F43&amp;";",SMALL(IF(ISERROR(SEARCH(MID(";"&amp;'CASE DATA'!$F43&amp;";",ROW($1:$99),1),";")),"",ROW($1:$99)+1),COLUMN(A43)),SMALL(IF(ISERROR(SEARCH(MID(";"&amp;'CASE DATA'!$F43&amp;";",ROW($1:$99),1),";")),"",ROW($1:$99)),COLUMN(A42)+1)-SMALL(IF(ISERROR(SEARCH(MID(";"&amp;'CASE DATA'!$F43&amp;";",ROW($1:$99),1),";")),"",ROW($1:$99)),COLUMN(A42))-1)</f>
        <v/>
      </c>
      <c r="Y43" s="75" t="str" cm="1">
        <f t="array" ref="Y43">MID(";"&amp;'CASE DATA'!$F43&amp;";",SMALL(IF(ISERROR(SEARCH(MID(";"&amp;'CASE DATA'!$F43&amp;";",ROW($1:$99),1),";")),"",ROW($1:$99)+1),COLUMN(B43)),SMALL(IF(ISERROR(SEARCH(MID(";"&amp;'CASE DATA'!$F43&amp;";",ROW($1:$99),1),";")),"",ROW($1:$99)),COLUMN(B42)+1)-SMALL(IF(ISERROR(SEARCH(MID(";"&amp;'CASE DATA'!$F43&amp;";",ROW($1:$99),1),";")),"",ROW($1:$99)),COLUMN(B42))-1)</f>
        <v/>
      </c>
      <c r="Z43" s="75" t="str" cm="1">
        <f t="array" ref="Z43">MID(";"&amp;'CASE DATA'!$F43&amp;";",SMALL(IF(ISERROR(SEARCH(MID(";"&amp;'CASE DATA'!$F43&amp;";",ROW($1:$99),1),";")),"",ROW($1:$99)+1),COLUMN(C43)),SMALL(IF(ISERROR(SEARCH(MID(";"&amp;'CASE DATA'!$F43&amp;";",ROW($1:$99),1),";")),"",ROW($1:$99)),COLUMN(C42)+1)-SMALL(IF(ISERROR(SEARCH(MID(";"&amp;'CASE DATA'!$F43&amp;";",ROW($1:$99),1),";")),"",ROW($1:$99)),COLUMN(C42))-1)</f>
        <v/>
      </c>
      <c r="AA43" s="75" t="str" cm="1">
        <f t="array" ref="AA43">MID(";"&amp;'CASE DATA'!$F43&amp;";",SMALL(IF(ISERROR(SEARCH(MID(";"&amp;'CASE DATA'!$F43&amp;";",ROW($1:$99),1),";")),"",ROW($1:$99)+1),COLUMN(D43)),SMALL(IF(ISERROR(SEARCH(MID(";"&amp;'CASE DATA'!$F43&amp;";",ROW($1:$99),1),";")),"",ROW($1:$99)),COLUMN(D42)+1)-SMALL(IF(ISERROR(SEARCH(MID(";"&amp;'CASE DATA'!$F43&amp;";",ROW($1:$99),1),";")),"",ROW($1:$99)),COLUMN(D42))-1)</f>
        <v/>
      </c>
      <c r="AB43" s="75" t="str" cm="1">
        <f t="array" ref="AB43">MID(";"&amp;'CASE DATA'!$F43&amp;";",SMALL(IF(ISERROR(SEARCH(MID(";"&amp;'CASE DATA'!$F43&amp;";",ROW($1:$99),1),";")),"",ROW($1:$99)+1),COLUMN(E43)),SMALL(IF(ISERROR(SEARCH(MID(";"&amp;'CASE DATA'!$F43&amp;";",ROW($1:$99),1),";")),"",ROW($1:$99)),COLUMN(E42)+1)-SMALL(IF(ISERROR(SEARCH(MID(";"&amp;'CASE DATA'!$F43&amp;";",ROW($1:$99),1),";")),"",ROW($1:$99)),COLUMN(E42))-1)</f>
        <v/>
      </c>
      <c r="AC43" s="75" t="str" cm="1">
        <f t="array" ref="AC43">MID(";"&amp;'CASE DATA'!$F43&amp;";",SMALL(IF(ISERROR(SEARCH(MID(";"&amp;'CASE DATA'!$F43&amp;";",ROW($1:$99),1),";")),"",ROW($1:$99)+1),COLUMN(F43)),SMALL(IF(ISERROR(SEARCH(MID(";"&amp;'CASE DATA'!$F43&amp;";",ROW($1:$99),1),";")),"",ROW($1:$99)),COLUMN(F42)+1)-SMALL(IF(ISERROR(SEARCH(MID(";"&amp;'CASE DATA'!$F43&amp;";",ROW($1:$99),1),";")),"",ROW($1:$99)),COLUMN(F42))-1)</f>
        <v/>
      </c>
      <c r="AD43" s="75" t="str" cm="1">
        <f t="array" ref="AD43">MID(";"&amp;'CASE DATA'!$F43&amp;";",SMALL(IF(ISERROR(SEARCH(MID(";"&amp;'CASE DATA'!$F43&amp;";",ROW($1:$99),1),";")),"",ROW($1:$99)+1),COLUMN(G43)),SMALL(IF(ISERROR(SEARCH(MID(";"&amp;'CASE DATA'!$F43&amp;";",ROW($1:$99),1),";")),"",ROW($1:$99)),COLUMN(G42)+1)-SMALL(IF(ISERROR(SEARCH(MID(";"&amp;'CASE DATA'!$F43&amp;";",ROW($1:$99),1),";")),"",ROW($1:$99)),COLUMN(G42))-1)</f>
        <v/>
      </c>
      <c r="AE43" s="75" t="str" cm="1">
        <f t="array" ref="AE43">MID(";"&amp;'CASE DATA'!$F43&amp;";",SMALL(IF(ISERROR(SEARCH(MID(";"&amp;'CASE DATA'!$F43&amp;";",ROW($1:$99),1),";")),"",ROW($1:$99)+1),COLUMN(H43)),SMALL(IF(ISERROR(SEARCH(MID(";"&amp;'CASE DATA'!$F43&amp;";",ROW($1:$99),1),";")),"",ROW($1:$99)),COLUMN(H42)+1)-SMALL(IF(ISERROR(SEARCH(MID(";"&amp;'CASE DATA'!$F43&amp;";",ROW($1:$99),1),";")),"",ROW($1:$99)),COLUMN(H42))-1)</f>
        <v/>
      </c>
      <c r="AF43" s="75" t="str" cm="1">
        <f t="array" ref="AF43">MID(";"&amp;'CASE DATA'!$F43&amp;";",SMALL(IF(ISERROR(SEARCH(MID(";"&amp;'CASE DATA'!$F43&amp;";",ROW($1:$99),1),";")),"",ROW($1:$99)+1),COLUMN(I43)),SMALL(IF(ISERROR(SEARCH(MID(";"&amp;'CASE DATA'!$F43&amp;";",ROW($1:$99),1),";")),"",ROW($1:$99)),COLUMN(I42)+1)-SMALL(IF(ISERROR(SEARCH(MID(";"&amp;'CASE DATA'!$F43&amp;";",ROW($1:$99),1),";")),"",ROW($1:$99)),COLUMN(I42))-1)</f>
        <v/>
      </c>
      <c r="AG43" s="75" t="str" cm="1">
        <f t="array" ref="AG43">MID(";"&amp;'CASE DATA'!$F43&amp;";",SMALL(IF(ISERROR(SEARCH(MID(";"&amp;'CASE DATA'!$F43&amp;";",ROW($1:$99),1),";")),"",ROW($1:$99)+1),COLUMN(K43)),SMALL(IF(ISERROR(SEARCH(MID(";"&amp;'CASE DATA'!$F43&amp;";",ROW($1:$99),1),";")),"",ROW($1:$99)),COLUMN(K42)+1)-SMALL(IF(ISERROR(SEARCH(MID(";"&amp;'CASE DATA'!$F43&amp;";",ROW($1:$99),1),";")),"",ROW($1:$99)),COLUMN(K42))-1)</f>
        <v/>
      </c>
      <c r="AH43" s="75" t="str" cm="1">
        <f t="array" ref="AH43">MID(";"&amp;'CASE DATA'!$F43&amp;";",SMALL(IF(ISERROR(SEARCH(MID(";"&amp;'CASE DATA'!$F43&amp;";",ROW($1:$99),1),";")),"",ROW($1:$99)+1),COLUMN(L43)),SMALL(IF(ISERROR(SEARCH(MID(";"&amp;'CASE DATA'!$F43&amp;";",ROW($1:$99),1),";")),"",ROW($1:$99)),COLUMN(L42)+1)-SMALL(IF(ISERROR(SEARCH(MID(";"&amp;'CASE DATA'!$F43&amp;";",ROW($1:$99),1),";")),"",ROW($1:$99)),COLUMN(L42))-1)</f>
        <v/>
      </c>
      <c r="AI43" s="75" t="str" cm="1">
        <f t="array" ref="AI43">MID(";"&amp;'CASE DATA'!$F43&amp;";",SMALL(IF(ISERROR(SEARCH(MID(";"&amp;'CASE DATA'!$F43&amp;";",ROW($1:$99),1),";")),"",ROW($1:$99)+1),COLUMN(M43)),SMALL(IF(ISERROR(SEARCH(MID(";"&amp;'CASE DATA'!$F43&amp;";",ROW($1:$99),1),";")),"",ROW($1:$99)),COLUMN(M42)+1)-SMALL(IF(ISERROR(SEARCH(MID(";"&amp;'CASE DATA'!$F43&amp;";",ROW($1:$99),1),";")),"",ROW($1:$99)),COLUMN(M42))-1)</f>
        <v/>
      </c>
      <c r="BO43" s="99"/>
      <c r="BP43" s="99"/>
      <c r="BQ43" s="99"/>
      <c r="BR43" s="99"/>
      <c r="BS43" s="99"/>
      <c r="BT43" s="99"/>
      <c r="BU43" s="99"/>
      <c r="BV43" s="99"/>
      <c r="BW43" s="99"/>
      <c r="BX43" s="99"/>
      <c r="BY43" s="99"/>
      <c r="BZ43" s="99"/>
      <c r="CA43" s="99"/>
      <c r="CB43" s="99"/>
      <c r="CC43" s="99"/>
      <c r="CD43" s="99"/>
      <c r="CE43" s="99"/>
      <c r="CF43" s="99"/>
      <c r="CG43" s="99"/>
      <c r="CH43" s="99"/>
      <c r="CI43" s="99"/>
      <c r="CJ43" s="99"/>
      <c r="CK43" s="99"/>
      <c r="CL43" s="99"/>
      <c r="CM43" s="99"/>
      <c r="CN43" s="99"/>
      <c r="CO43" s="99"/>
      <c r="CP43" s="99"/>
      <c r="CQ43" s="99"/>
      <c r="CR43" s="99"/>
      <c r="CS43" s="99"/>
      <c r="CT43" s="99"/>
      <c r="CU43" s="99"/>
      <c r="CV43" s="99"/>
      <c r="CW43" s="99"/>
      <c r="CX43" s="99"/>
      <c r="CY43" s="99"/>
      <c r="CZ43" s="99"/>
      <c r="DA43" s="99"/>
      <c r="DB43" s="99"/>
      <c r="DC43" s="99"/>
      <c r="DD43" s="99"/>
      <c r="DE43" s="99"/>
      <c r="DF43" s="99"/>
      <c r="DG43" s="99"/>
      <c r="DH43" s="99"/>
      <c r="DI43" s="99"/>
      <c r="DJ43" s="99"/>
      <c r="DK43" s="99"/>
      <c r="DL43" s="99"/>
      <c r="DM43" s="99"/>
      <c r="DN43" s="99"/>
      <c r="DO43" s="99"/>
      <c r="DP43" s="99"/>
      <c r="DQ43" s="99"/>
      <c r="DR43" s="99"/>
      <c r="DS43" s="99"/>
      <c r="DT43" s="99"/>
      <c r="DU43" s="99"/>
      <c r="DV43" s="99"/>
      <c r="DW43" s="99"/>
      <c r="DX43" s="99"/>
      <c r="DY43" s="99"/>
      <c r="DZ43" s="99"/>
      <c r="EA43" s="99"/>
      <c r="EB43" s="99"/>
      <c r="EC43" s="99"/>
      <c r="ED43" s="99"/>
      <c r="EE43" s="99"/>
      <c r="EF43" s="99"/>
      <c r="EG43" s="99"/>
      <c r="EH43" s="99"/>
      <c r="EI43" s="99"/>
      <c r="EJ43" s="99"/>
      <c r="EK43" s="99"/>
      <c r="EL43" s="99"/>
      <c r="EM43" s="99"/>
      <c r="EN43" s="99"/>
      <c r="EO43" s="99"/>
      <c r="EP43" s="99"/>
      <c r="EQ43" s="99"/>
      <c r="ER43" s="99"/>
      <c r="ES43" s="99"/>
      <c r="ET43" s="99"/>
      <c r="EU43" s="99"/>
      <c r="EV43" s="99"/>
      <c r="EW43" s="99"/>
      <c r="EX43" s="99"/>
      <c r="EY43" s="99"/>
      <c r="EZ43" s="99"/>
      <c r="FA43" s="99"/>
      <c r="FB43" s="99"/>
      <c r="FC43" s="99"/>
      <c r="FD43" s="99"/>
      <c r="FE43" s="99"/>
      <c r="FF43" s="99"/>
      <c r="FG43" s="99"/>
      <c r="FH43" s="99"/>
      <c r="FI43" s="99"/>
      <c r="FJ43" s="99"/>
      <c r="FK43" s="99"/>
    </row>
    <row r="44" spans="1:167" x14ac:dyDescent="0.25">
      <c r="C44" s="10"/>
      <c r="D44" s="10"/>
      <c r="E44" s="11"/>
      <c r="F44" s="15"/>
      <c r="J44" s="99">
        <v>41</v>
      </c>
      <c r="K44" s="16"/>
      <c r="L44" s="16"/>
      <c r="M44" s="16"/>
      <c r="N44" s="16"/>
      <c r="O44" s="16"/>
      <c r="P44" s="16"/>
      <c r="Q44" s="16"/>
      <c r="R44" s="16"/>
      <c r="S44" s="16"/>
      <c r="T44" s="16"/>
      <c r="U44" s="73">
        <f>SUM(K44:T44)</f>
        <v>0</v>
      </c>
      <c r="V44" s="73"/>
      <c r="X44" s="75" t="str" cm="1">
        <f t="array" ref="X44">MID(";"&amp;'CASE DATA'!$F44&amp;";",SMALL(IF(ISERROR(SEARCH(MID(";"&amp;'CASE DATA'!$F44&amp;";",ROW($1:$99),1),";")),"",ROW($1:$99)+1),COLUMN(A44)),SMALL(IF(ISERROR(SEARCH(MID(";"&amp;'CASE DATA'!$F44&amp;";",ROW($1:$99),1),";")),"",ROW($1:$99)),COLUMN(A43)+1)-SMALL(IF(ISERROR(SEARCH(MID(";"&amp;'CASE DATA'!$F44&amp;";",ROW($1:$99),1),";")),"",ROW($1:$99)),COLUMN(A43))-1)</f>
        <v/>
      </c>
      <c r="Y44" s="75" t="str" cm="1">
        <f t="array" ref="Y44">MID(";"&amp;'CASE DATA'!$F44&amp;";",SMALL(IF(ISERROR(SEARCH(MID(";"&amp;'CASE DATA'!$F44&amp;";",ROW($1:$99),1),";")),"",ROW($1:$99)+1),COLUMN(B44)),SMALL(IF(ISERROR(SEARCH(MID(";"&amp;'CASE DATA'!$F44&amp;";",ROW($1:$99),1),";")),"",ROW($1:$99)),COLUMN(B43)+1)-SMALL(IF(ISERROR(SEARCH(MID(";"&amp;'CASE DATA'!$F44&amp;";",ROW($1:$99),1),";")),"",ROW($1:$99)),COLUMN(B43))-1)</f>
        <v/>
      </c>
      <c r="Z44" s="75" t="str" cm="1">
        <f t="array" ref="Z44">MID(";"&amp;'CASE DATA'!$F44&amp;";",SMALL(IF(ISERROR(SEARCH(MID(";"&amp;'CASE DATA'!$F44&amp;";",ROW($1:$99),1),";")),"",ROW($1:$99)+1),COLUMN(C44)),SMALL(IF(ISERROR(SEARCH(MID(";"&amp;'CASE DATA'!$F44&amp;";",ROW($1:$99),1),";")),"",ROW($1:$99)),COLUMN(C43)+1)-SMALL(IF(ISERROR(SEARCH(MID(";"&amp;'CASE DATA'!$F44&amp;";",ROW($1:$99),1),";")),"",ROW($1:$99)),COLUMN(C43))-1)</f>
        <v/>
      </c>
      <c r="AA44" s="75" t="str" cm="1">
        <f t="array" ref="AA44">MID(";"&amp;'CASE DATA'!$F44&amp;";",SMALL(IF(ISERROR(SEARCH(MID(";"&amp;'CASE DATA'!$F44&amp;";",ROW($1:$99),1),";")),"",ROW($1:$99)+1),COLUMN(D44)),SMALL(IF(ISERROR(SEARCH(MID(";"&amp;'CASE DATA'!$F44&amp;";",ROW($1:$99),1),";")),"",ROW($1:$99)),COLUMN(D43)+1)-SMALL(IF(ISERROR(SEARCH(MID(";"&amp;'CASE DATA'!$F44&amp;";",ROW($1:$99),1),";")),"",ROW($1:$99)),COLUMN(D43))-1)</f>
        <v/>
      </c>
      <c r="AB44" s="75" t="str" cm="1">
        <f t="array" ref="AB44">MID(";"&amp;'CASE DATA'!$F44&amp;";",SMALL(IF(ISERROR(SEARCH(MID(";"&amp;'CASE DATA'!$F44&amp;";",ROW($1:$99),1),";")),"",ROW($1:$99)+1),COLUMN(E44)),SMALL(IF(ISERROR(SEARCH(MID(";"&amp;'CASE DATA'!$F44&amp;";",ROW($1:$99),1),";")),"",ROW($1:$99)),COLUMN(E43)+1)-SMALL(IF(ISERROR(SEARCH(MID(";"&amp;'CASE DATA'!$F44&amp;";",ROW($1:$99),1),";")),"",ROW($1:$99)),COLUMN(E43))-1)</f>
        <v/>
      </c>
      <c r="AC44" s="75" t="str" cm="1">
        <f t="array" ref="AC44">MID(";"&amp;'CASE DATA'!$F44&amp;";",SMALL(IF(ISERROR(SEARCH(MID(";"&amp;'CASE DATA'!$F44&amp;";",ROW($1:$99),1),";")),"",ROW($1:$99)+1),COLUMN(F44)),SMALL(IF(ISERROR(SEARCH(MID(";"&amp;'CASE DATA'!$F44&amp;";",ROW($1:$99),1),";")),"",ROW($1:$99)),COLUMN(F43)+1)-SMALL(IF(ISERROR(SEARCH(MID(";"&amp;'CASE DATA'!$F44&amp;";",ROW($1:$99),1),";")),"",ROW($1:$99)),COLUMN(F43))-1)</f>
        <v/>
      </c>
      <c r="AD44" s="75" t="str" cm="1">
        <f t="array" ref="AD44">MID(";"&amp;'CASE DATA'!$F44&amp;";",SMALL(IF(ISERROR(SEARCH(MID(";"&amp;'CASE DATA'!$F44&amp;";",ROW($1:$99),1),";")),"",ROW($1:$99)+1),COLUMN(G44)),SMALL(IF(ISERROR(SEARCH(MID(";"&amp;'CASE DATA'!$F44&amp;";",ROW($1:$99),1),";")),"",ROW($1:$99)),COLUMN(G43)+1)-SMALL(IF(ISERROR(SEARCH(MID(";"&amp;'CASE DATA'!$F44&amp;";",ROW($1:$99),1),";")),"",ROW($1:$99)),COLUMN(G43))-1)</f>
        <v/>
      </c>
      <c r="AE44" s="75" t="str" cm="1">
        <f t="array" ref="AE44">MID(";"&amp;'CASE DATA'!$F44&amp;";",SMALL(IF(ISERROR(SEARCH(MID(";"&amp;'CASE DATA'!$F44&amp;";",ROW($1:$99),1),";")),"",ROW($1:$99)+1),COLUMN(H44)),SMALL(IF(ISERROR(SEARCH(MID(";"&amp;'CASE DATA'!$F44&amp;";",ROW($1:$99),1),";")),"",ROW($1:$99)),COLUMN(H43)+1)-SMALL(IF(ISERROR(SEARCH(MID(";"&amp;'CASE DATA'!$F44&amp;";",ROW($1:$99),1),";")),"",ROW($1:$99)),COLUMN(H43))-1)</f>
        <v/>
      </c>
      <c r="AF44" s="75" t="str" cm="1">
        <f t="array" ref="AF44">MID(";"&amp;'CASE DATA'!$F44&amp;";",SMALL(IF(ISERROR(SEARCH(MID(";"&amp;'CASE DATA'!$F44&amp;";",ROW($1:$99),1),";")),"",ROW($1:$99)+1),COLUMN(I44)),SMALL(IF(ISERROR(SEARCH(MID(";"&amp;'CASE DATA'!$F44&amp;";",ROW($1:$99),1),";")),"",ROW($1:$99)),COLUMN(I43)+1)-SMALL(IF(ISERROR(SEARCH(MID(";"&amp;'CASE DATA'!$F44&amp;";",ROW($1:$99),1),";")),"",ROW($1:$99)),COLUMN(I43))-1)</f>
        <v/>
      </c>
      <c r="AG44" s="75" t="str" cm="1">
        <f t="array" ref="AG44">MID(";"&amp;'CASE DATA'!$F44&amp;";",SMALL(IF(ISERROR(SEARCH(MID(";"&amp;'CASE DATA'!$F44&amp;";",ROW($1:$99),1),";")),"",ROW($1:$99)+1),COLUMN(K44)),SMALL(IF(ISERROR(SEARCH(MID(";"&amp;'CASE DATA'!$F44&amp;";",ROW($1:$99),1),";")),"",ROW($1:$99)),COLUMN(K43)+1)-SMALL(IF(ISERROR(SEARCH(MID(";"&amp;'CASE DATA'!$F44&amp;";",ROW($1:$99),1),";")),"",ROW($1:$99)),COLUMN(K43))-1)</f>
        <v/>
      </c>
      <c r="AH44" s="75" t="str" cm="1">
        <f t="array" ref="AH44">MID(";"&amp;'CASE DATA'!$F44&amp;";",SMALL(IF(ISERROR(SEARCH(MID(";"&amp;'CASE DATA'!$F44&amp;";",ROW($1:$99),1),";")),"",ROW($1:$99)+1),COLUMN(L44)),SMALL(IF(ISERROR(SEARCH(MID(";"&amp;'CASE DATA'!$F44&amp;";",ROW($1:$99),1),";")),"",ROW($1:$99)),COLUMN(L43)+1)-SMALL(IF(ISERROR(SEARCH(MID(";"&amp;'CASE DATA'!$F44&amp;";",ROW($1:$99),1),";")),"",ROW($1:$99)),COLUMN(L43))-1)</f>
        <v/>
      </c>
      <c r="AI44" s="75" t="str" cm="1">
        <f t="array" ref="AI44">MID(";"&amp;'CASE DATA'!$F44&amp;";",SMALL(IF(ISERROR(SEARCH(MID(";"&amp;'CASE DATA'!$F44&amp;";",ROW($1:$99),1),";")),"",ROW($1:$99)+1),COLUMN(M44)),SMALL(IF(ISERROR(SEARCH(MID(";"&amp;'CASE DATA'!$F44&amp;";",ROW($1:$99),1),";")),"",ROW($1:$99)),COLUMN(M43)+1)-SMALL(IF(ISERROR(SEARCH(MID(";"&amp;'CASE DATA'!$F44&amp;";",ROW($1:$99),1),";")),"",ROW($1:$99)),COLUMN(M43))-1)</f>
        <v/>
      </c>
      <c r="BO44" s="99"/>
      <c r="BP44" s="99"/>
      <c r="BQ44" s="99"/>
      <c r="BR44" s="99"/>
      <c r="BS44" s="99"/>
      <c r="BT44" s="99"/>
      <c r="BU44" s="99"/>
      <c r="BV44" s="99"/>
      <c r="BW44" s="99"/>
      <c r="BX44" s="99"/>
      <c r="BY44" s="99"/>
      <c r="BZ44" s="99"/>
      <c r="CA44" s="99"/>
      <c r="CB44" s="99"/>
      <c r="CC44" s="99"/>
      <c r="CD44" s="99"/>
      <c r="CE44" s="99"/>
      <c r="CF44" s="99"/>
      <c r="CG44" s="99"/>
      <c r="CH44" s="99"/>
      <c r="CI44" s="99"/>
      <c r="CJ44" s="99"/>
      <c r="CK44" s="99"/>
      <c r="CL44" s="99"/>
      <c r="CM44" s="99"/>
      <c r="CN44" s="99"/>
      <c r="CO44" s="99"/>
      <c r="CP44" s="99"/>
      <c r="CQ44" s="99"/>
      <c r="CR44" s="99"/>
      <c r="CS44" s="99"/>
      <c r="CT44" s="99"/>
      <c r="CU44" s="99"/>
      <c r="CV44" s="99"/>
      <c r="CW44" s="99"/>
      <c r="CX44" s="99"/>
      <c r="CY44" s="99"/>
      <c r="CZ44" s="99"/>
      <c r="DA44" s="99"/>
      <c r="DB44" s="99"/>
      <c r="DC44" s="99"/>
      <c r="DD44" s="99"/>
      <c r="DE44" s="99"/>
      <c r="DF44" s="99"/>
      <c r="DG44" s="99"/>
      <c r="DH44" s="99"/>
      <c r="DI44" s="99"/>
      <c r="DJ44" s="99"/>
      <c r="DK44" s="99"/>
      <c r="DL44" s="99"/>
      <c r="DM44" s="99"/>
      <c r="DN44" s="99"/>
      <c r="DO44" s="99"/>
      <c r="DP44" s="99"/>
      <c r="DQ44" s="99"/>
      <c r="DR44" s="99"/>
      <c r="DS44" s="99"/>
      <c r="DT44" s="99"/>
      <c r="DU44" s="99"/>
      <c r="DV44" s="99"/>
      <c r="DW44" s="99"/>
      <c r="DX44" s="99"/>
      <c r="DY44" s="99"/>
      <c r="DZ44" s="99"/>
      <c r="EA44" s="99"/>
      <c r="EB44" s="99"/>
      <c r="EC44" s="99"/>
      <c r="ED44" s="99"/>
      <c r="EE44" s="99"/>
      <c r="EF44" s="99"/>
      <c r="EG44" s="99"/>
      <c r="EH44" s="99"/>
      <c r="EI44" s="99"/>
      <c r="EJ44" s="99"/>
      <c r="EK44" s="99"/>
      <c r="EL44" s="99"/>
      <c r="EM44" s="99"/>
      <c r="EN44" s="99"/>
      <c r="EO44" s="99"/>
      <c r="EP44" s="99"/>
      <c r="EQ44" s="99"/>
      <c r="ER44" s="99"/>
      <c r="ES44" s="99"/>
      <c r="ET44" s="99"/>
      <c r="EU44" s="99"/>
      <c r="EV44" s="99"/>
      <c r="EW44" s="99"/>
      <c r="EX44" s="99"/>
      <c r="EY44" s="99"/>
      <c r="EZ44" s="99"/>
      <c r="FA44" s="99"/>
      <c r="FB44" s="99"/>
      <c r="FC44" s="99"/>
      <c r="FD44" s="99"/>
      <c r="FE44" s="99"/>
      <c r="FF44" s="99"/>
      <c r="FG44" s="99"/>
      <c r="FH44" s="99"/>
      <c r="FI44" s="99"/>
      <c r="FJ44" s="99"/>
      <c r="FK44" s="99"/>
    </row>
    <row r="45" spans="1:167" x14ac:dyDescent="0.25">
      <c r="C45" s="10"/>
      <c r="D45" s="10"/>
      <c r="E45" s="11"/>
      <c r="F45" s="15"/>
      <c r="J45" s="99">
        <v>42</v>
      </c>
      <c r="K45" s="16"/>
      <c r="L45" s="16"/>
      <c r="M45" s="16"/>
      <c r="N45" s="16"/>
      <c r="O45" s="16"/>
      <c r="P45" s="16"/>
      <c r="Q45" s="16"/>
      <c r="R45" s="16"/>
      <c r="S45" s="16"/>
      <c r="T45" s="16"/>
      <c r="U45" s="73">
        <f>SUM(K45:T45)</f>
        <v>0</v>
      </c>
      <c r="V45" s="73"/>
      <c r="X45" s="75" t="str" cm="1">
        <f t="array" ref="X45">MID(";"&amp;'CASE DATA'!$F45&amp;";",SMALL(IF(ISERROR(SEARCH(MID(";"&amp;'CASE DATA'!$F45&amp;";",ROW($1:$99),1),";")),"",ROW($1:$99)+1),COLUMN(A45)),SMALL(IF(ISERROR(SEARCH(MID(";"&amp;'CASE DATA'!$F45&amp;";",ROW($1:$99),1),";")),"",ROW($1:$99)),COLUMN(A44)+1)-SMALL(IF(ISERROR(SEARCH(MID(";"&amp;'CASE DATA'!$F45&amp;";",ROW($1:$99),1),";")),"",ROW($1:$99)),COLUMN(A44))-1)</f>
        <v/>
      </c>
      <c r="Y45" s="75" t="str" cm="1">
        <f t="array" ref="Y45">MID(";"&amp;'CASE DATA'!$F45&amp;";",SMALL(IF(ISERROR(SEARCH(MID(";"&amp;'CASE DATA'!$F45&amp;";",ROW($1:$99),1),";")),"",ROW($1:$99)+1),COLUMN(B45)),SMALL(IF(ISERROR(SEARCH(MID(";"&amp;'CASE DATA'!$F45&amp;";",ROW($1:$99),1),";")),"",ROW($1:$99)),COLUMN(B44)+1)-SMALL(IF(ISERROR(SEARCH(MID(";"&amp;'CASE DATA'!$F45&amp;";",ROW($1:$99),1),";")),"",ROW($1:$99)),COLUMN(B44))-1)</f>
        <v/>
      </c>
      <c r="Z45" s="75" t="str" cm="1">
        <f t="array" ref="Z45">MID(";"&amp;'CASE DATA'!$F45&amp;";",SMALL(IF(ISERROR(SEARCH(MID(";"&amp;'CASE DATA'!$F45&amp;";",ROW($1:$99),1),";")),"",ROW($1:$99)+1),COLUMN(C45)),SMALL(IF(ISERROR(SEARCH(MID(";"&amp;'CASE DATA'!$F45&amp;";",ROW($1:$99),1),";")),"",ROW($1:$99)),COLUMN(C44)+1)-SMALL(IF(ISERROR(SEARCH(MID(";"&amp;'CASE DATA'!$F45&amp;";",ROW($1:$99),1),";")),"",ROW($1:$99)),COLUMN(C44))-1)</f>
        <v/>
      </c>
      <c r="AA45" s="75" t="str" cm="1">
        <f t="array" ref="AA45">MID(";"&amp;'CASE DATA'!$F45&amp;";",SMALL(IF(ISERROR(SEARCH(MID(";"&amp;'CASE DATA'!$F45&amp;";",ROW($1:$99),1),";")),"",ROW($1:$99)+1),COLUMN(D45)),SMALL(IF(ISERROR(SEARCH(MID(";"&amp;'CASE DATA'!$F45&amp;";",ROW($1:$99),1),";")),"",ROW($1:$99)),COLUMN(D44)+1)-SMALL(IF(ISERROR(SEARCH(MID(";"&amp;'CASE DATA'!$F45&amp;";",ROW($1:$99),1),";")),"",ROW($1:$99)),COLUMN(D44))-1)</f>
        <v/>
      </c>
      <c r="AB45" s="75" t="str" cm="1">
        <f t="array" ref="AB45">MID(";"&amp;'CASE DATA'!$F45&amp;";",SMALL(IF(ISERROR(SEARCH(MID(";"&amp;'CASE DATA'!$F45&amp;";",ROW($1:$99),1),";")),"",ROW($1:$99)+1),COLUMN(E45)),SMALL(IF(ISERROR(SEARCH(MID(";"&amp;'CASE DATA'!$F45&amp;";",ROW($1:$99),1),";")),"",ROW($1:$99)),COLUMN(E44)+1)-SMALL(IF(ISERROR(SEARCH(MID(";"&amp;'CASE DATA'!$F45&amp;";",ROW($1:$99),1),";")),"",ROW($1:$99)),COLUMN(E44))-1)</f>
        <v/>
      </c>
      <c r="AC45" s="75" t="str" cm="1">
        <f t="array" ref="AC45">MID(";"&amp;'CASE DATA'!$F45&amp;";",SMALL(IF(ISERROR(SEARCH(MID(";"&amp;'CASE DATA'!$F45&amp;";",ROW($1:$99),1),";")),"",ROW($1:$99)+1),COLUMN(F45)),SMALL(IF(ISERROR(SEARCH(MID(";"&amp;'CASE DATA'!$F45&amp;";",ROW($1:$99),1),";")),"",ROW($1:$99)),COLUMN(F44)+1)-SMALL(IF(ISERROR(SEARCH(MID(";"&amp;'CASE DATA'!$F45&amp;";",ROW($1:$99),1),";")),"",ROW($1:$99)),COLUMN(F44))-1)</f>
        <v/>
      </c>
      <c r="AD45" s="75" t="str" cm="1">
        <f t="array" ref="AD45">MID(";"&amp;'CASE DATA'!$F45&amp;";",SMALL(IF(ISERROR(SEARCH(MID(";"&amp;'CASE DATA'!$F45&amp;";",ROW($1:$99),1),";")),"",ROW($1:$99)+1),COLUMN(G45)),SMALL(IF(ISERROR(SEARCH(MID(";"&amp;'CASE DATA'!$F45&amp;";",ROW($1:$99),1),";")),"",ROW($1:$99)),COLUMN(G44)+1)-SMALL(IF(ISERROR(SEARCH(MID(";"&amp;'CASE DATA'!$F45&amp;";",ROW($1:$99),1),";")),"",ROW($1:$99)),COLUMN(G44))-1)</f>
        <v/>
      </c>
      <c r="AE45" s="75" t="str" cm="1">
        <f t="array" ref="AE45">MID(";"&amp;'CASE DATA'!$F45&amp;";",SMALL(IF(ISERROR(SEARCH(MID(";"&amp;'CASE DATA'!$F45&amp;";",ROW($1:$99),1),";")),"",ROW($1:$99)+1),COLUMN(H45)),SMALL(IF(ISERROR(SEARCH(MID(";"&amp;'CASE DATA'!$F45&amp;";",ROW($1:$99),1),";")),"",ROW($1:$99)),COLUMN(H44)+1)-SMALL(IF(ISERROR(SEARCH(MID(";"&amp;'CASE DATA'!$F45&amp;";",ROW($1:$99),1),";")),"",ROW($1:$99)),COLUMN(H44))-1)</f>
        <v/>
      </c>
      <c r="AF45" s="75" t="str" cm="1">
        <f t="array" ref="AF45">MID(";"&amp;'CASE DATA'!$F45&amp;";",SMALL(IF(ISERROR(SEARCH(MID(";"&amp;'CASE DATA'!$F45&amp;";",ROW($1:$99),1),";")),"",ROW($1:$99)+1),COLUMN(I45)),SMALL(IF(ISERROR(SEARCH(MID(";"&amp;'CASE DATA'!$F45&amp;";",ROW($1:$99),1),";")),"",ROW($1:$99)),COLUMN(I44)+1)-SMALL(IF(ISERROR(SEARCH(MID(";"&amp;'CASE DATA'!$F45&amp;";",ROW($1:$99),1),";")),"",ROW($1:$99)),COLUMN(I44))-1)</f>
        <v/>
      </c>
      <c r="AG45" s="75" t="str" cm="1">
        <f t="array" ref="AG45">MID(";"&amp;'CASE DATA'!$F45&amp;";",SMALL(IF(ISERROR(SEARCH(MID(";"&amp;'CASE DATA'!$F45&amp;";",ROW($1:$99),1),";")),"",ROW($1:$99)+1),COLUMN(K45)),SMALL(IF(ISERROR(SEARCH(MID(";"&amp;'CASE DATA'!$F45&amp;";",ROW($1:$99),1),";")),"",ROW($1:$99)),COLUMN(K44)+1)-SMALL(IF(ISERROR(SEARCH(MID(";"&amp;'CASE DATA'!$F45&amp;";",ROW($1:$99),1),";")),"",ROW($1:$99)),COLUMN(K44))-1)</f>
        <v/>
      </c>
      <c r="AH45" s="75" t="str" cm="1">
        <f t="array" ref="AH45">MID(";"&amp;'CASE DATA'!$F45&amp;";",SMALL(IF(ISERROR(SEARCH(MID(";"&amp;'CASE DATA'!$F45&amp;";",ROW($1:$99),1),";")),"",ROW($1:$99)+1),COLUMN(L45)),SMALL(IF(ISERROR(SEARCH(MID(";"&amp;'CASE DATA'!$F45&amp;";",ROW($1:$99),1),";")),"",ROW($1:$99)),COLUMN(L44)+1)-SMALL(IF(ISERROR(SEARCH(MID(";"&amp;'CASE DATA'!$F45&amp;";",ROW($1:$99),1),";")),"",ROW($1:$99)),COLUMN(L44))-1)</f>
        <v/>
      </c>
      <c r="AI45" s="75" t="str" cm="1">
        <f t="array" ref="AI45">MID(";"&amp;'CASE DATA'!$F45&amp;";",SMALL(IF(ISERROR(SEARCH(MID(";"&amp;'CASE DATA'!$F45&amp;";",ROW($1:$99),1),";")),"",ROW($1:$99)+1),COLUMN(M45)),SMALL(IF(ISERROR(SEARCH(MID(";"&amp;'CASE DATA'!$F45&amp;";",ROW($1:$99),1),";")),"",ROW($1:$99)),COLUMN(M44)+1)-SMALL(IF(ISERROR(SEARCH(MID(";"&amp;'CASE DATA'!$F45&amp;";",ROW($1:$99),1),";")),"",ROW($1:$99)),COLUMN(M44))-1)</f>
        <v/>
      </c>
      <c r="BO45" s="99"/>
      <c r="BP45" s="99"/>
      <c r="BQ45" s="99"/>
      <c r="BR45" s="99"/>
      <c r="BS45" s="99"/>
      <c r="BT45" s="99"/>
      <c r="BU45" s="99"/>
      <c r="BV45" s="99"/>
      <c r="BW45" s="99"/>
      <c r="BX45" s="99"/>
      <c r="BY45" s="99"/>
      <c r="BZ45" s="99"/>
      <c r="CA45" s="99"/>
      <c r="CB45" s="99"/>
      <c r="CC45" s="99"/>
      <c r="CD45" s="99"/>
      <c r="CE45" s="99"/>
      <c r="CF45" s="99"/>
      <c r="CG45" s="99"/>
      <c r="CH45" s="99"/>
      <c r="CI45" s="99"/>
      <c r="CJ45" s="99"/>
      <c r="CK45" s="99"/>
      <c r="CL45" s="99"/>
      <c r="CM45" s="99"/>
      <c r="CN45" s="99"/>
      <c r="CO45" s="99"/>
      <c r="CP45" s="99"/>
      <c r="CQ45" s="99"/>
      <c r="CR45" s="99"/>
      <c r="CS45" s="99"/>
      <c r="CT45" s="99"/>
      <c r="CU45" s="99"/>
      <c r="CV45" s="99"/>
      <c r="CW45" s="99"/>
      <c r="CX45" s="99"/>
      <c r="CY45" s="99"/>
      <c r="CZ45" s="99"/>
      <c r="DA45" s="99"/>
      <c r="DB45" s="99"/>
      <c r="DC45" s="99"/>
      <c r="DD45" s="99"/>
      <c r="DE45" s="99"/>
      <c r="DF45" s="99"/>
      <c r="DG45" s="99"/>
      <c r="DH45" s="99"/>
      <c r="DI45" s="99"/>
      <c r="DJ45" s="99"/>
      <c r="DK45" s="99"/>
      <c r="DL45" s="99"/>
      <c r="DM45" s="99"/>
      <c r="DN45" s="99"/>
      <c r="DO45" s="99"/>
      <c r="DP45" s="99"/>
      <c r="DQ45" s="99"/>
      <c r="DR45" s="99"/>
      <c r="DS45" s="99"/>
      <c r="DT45" s="99"/>
      <c r="DU45" s="99"/>
      <c r="DV45" s="99"/>
      <c r="DW45" s="99"/>
      <c r="DX45" s="99"/>
      <c r="DY45" s="99"/>
      <c r="DZ45" s="99"/>
      <c r="EA45" s="99"/>
      <c r="EB45" s="99"/>
      <c r="EC45" s="99"/>
      <c r="ED45" s="99"/>
      <c r="EE45" s="99"/>
      <c r="EF45" s="99"/>
      <c r="EG45" s="99"/>
      <c r="EH45" s="99"/>
      <c r="EI45" s="99"/>
      <c r="EJ45" s="99"/>
      <c r="EK45" s="99"/>
      <c r="EL45" s="99"/>
      <c r="EM45" s="99"/>
      <c r="EN45" s="99"/>
      <c r="EO45" s="99"/>
      <c r="EP45" s="99"/>
      <c r="EQ45" s="99"/>
      <c r="ER45" s="99"/>
      <c r="ES45" s="99"/>
      <c r="ET45" s="99"/>
      <c r="EU45" s="99"/>
      <c r="EV45" s="99"/>
      <c r="EW45" s="99"/>
      <c r="EX45" s="99"/>
      <c r="EY45" s="99"/>
      <c r="EZ45" s="99"/>
      <c r="FA45" s="99"/>
      <c r="FB45" s="99"/>
      <c r="FC45" s="99"/>
      <c r="FD45" s="99"/>
      <c r="FE45" s="99"/>
      <c r="FF45" s="99"/>
      <c r="FG45" s="99"/>
      <c r="FH45" s="99"/>
      <c r="FI45" s="99"/>
      <c r="FJ45" s="99"/>
      <c r="FK45" s="99"/>
    </row>
    <row r="46" spans="1:167" x14ac:dyDescent="0.25">
      <c r="A46" s="11"/>
      <c r="C46" s="10"/>
      <c r="D46" s="10"/>
      <c r="E46" s="11"/>
      <c r="F46" s="15"/>
      <c r="J46" s="99">
        <v>43</v>
      </c>
      <c r="K46" s="16"/>
      <c r="L46" s="16"/>
      <c r="M46" s="16"/>
      <c r="N46" s="16"/>
      <c r="O46" s="16"/>
      <c r="P46" s="16"/>
      <c r="Q46" s="16"/>
      <c r="R46" s="16"/>
      <c r="S46" s="16"/>
      <c r="T46" s="16"/>
      <c r="U46" s="73">
        <f>SUM(K46:T46)</f>
        <v>0</v>
      </c>
      <c r="V46" s="73"/>
      <c r="X46" s="75" t="str" cm="1">
        <f t="array" ref="X46">MID(";"&amp;'CASE DATA'!$F46&amp;";",SMALL(IF(ISERROR(SEARCH(MID(";"&amp;'CASE DATA'!$F46&amp;";",ROW($1:$99),1),";")),"",ROW($1:$99)+1),COLUMN(A46)),SMALL(IF(ISERROR(SEARCH(MID(";"&amp;'CASE DATA'!$F46&amp;";",ROW($1:$99),1),";")),"",ROW($1:$99)),COLUMN(A45)+1)-SMALL(IF(ISERROR(SEARCH(MID(";"&amp;'CASE DATA'!$F46&amp;";",ROW($1:$99),1),";")),"",ROW($1:$99)),COLUMN(A45))-1)</f>
        <v/>
      </c>
      <c r="Y46" s="75" t="str" cm="1">
        <f t="array" ref="Y46">MID(";"&amp;'CASE DATA'!$F46&amp;";",SMALL(IF(ISERROR(SEARCH(MID(";"&amp;'CASE DATA'!$F46&amp;";",ROW($1:$99),1),";")),"",ROW($1:$99)+1),COLUMN(B46)),SMALL(IF(ISERROR(SEARCH(MID(";"&amp;'CASE DATA'!$F46&amp;";",ROW($1:$99),1),";")),"",ROW($1:$99)),COLUMN(B45)+1)-SMALL(IF(ISERROR(SEARCH(MID(";"&amp;'CASE DATA'!$F46&amp;";",ROW($1:$99),1),";")),"",ROW($1:$99)),COLUMN(B45))-1)</f>
        <v/>
      </c>
      <c r="Z46" s="75" t="str" cm="1">
        <f t="array" ref="Z46">MID(";"&amp;'CASE DATA'!$F46&amp;";",SMALL(IF(ISERROR(SEARCH(MID(";"&amp;'CASE DATA'!$F46&amp;";",ROW($1:$99),1),";")),"",ROW($1:$99)+1),COLUMN(C46)),SMALL(IF(ISERROR(SEARCH(MID(";"&amp;'CASE DATA'!$F46&amp;";",ROW($1:$99),1),";")),"",ROW($1:$99)),COLUMN(C45)+1)-SMALL(IF(ISERROR(SEARCH(MID(";"&amp;'CASE DATA'!$F46&amp;";",ROW($1:$99),1),";")),"",ROW($1:$99)),COLUMN(C45))-1)</f>
        <v/>
      </c>
      <c r="AA46" s="75" t="str" cm="1">
        <f t="array" ref="AA46">MID(";"&amp;'CASE DATA'!$F46&amp;";",SMALL(IF(ISERROR(SEARCH(MID(";"&amp;'CASE DATA'!$F46&amp;";",ROW($1:$99),1),";")),"",ROW($1:$99)+1),COLUMN(D46)),SMALL(IF(ISERROR(SEARCH(MID(";"&amp;'CASE DATA'!$F46&amp;";",ROW($1:$99),1),";")),"",ROW($1:$99)),COLUMN(D45)+1)-SMALL(IF(ISERROR(SEARCH(MID(";"&amp;'CASE DATA'!$F46&amp;";",ROW($1:$99),1),";")),"",ROW($1:$99)),COLUMN(D45))-1)</f>
        <v/>
      </c>
      <c r="AB46" s="75" t="str" cm="1">
        <f t="array" ref="AB46">MID(";"&amp;'CASE DATA'!$F46&amp;";",SMALL(IF(ISERROR(SEARCH(MID(";"&amp;'CASE DATA'!$F46&amp;";",ROW($1:$99),1),";")),"",ROW($1:$99)+1),COLUMN(E46)),SMALL(IF(ISERROR(SEARCH(MID(";"&amp;'CASE DATA'!$F46&amp;";",ROW($1:$99),1),";")),"",ROW($1:$99)),COLUMN(E45)+1)-SMALL(IF(ISERROR(SEARCH(MID(";"&amp;'CASE DATA'!$F46&amp;";",ROW($1:$99),1),";")),"",ROW($1:$99)),COLUMN(E45))-1)</f>
        <v/>
      </c>
      <c r="AC46" s="75" t="str" cm="1">
        <f t="array" ref="AC46">MID(";"&amp;'CASE DATA'!$F46&amp;";",SMALL(IF(ISERROR(SEARCH(MID(";"&amp;'CASE DATA'!$F46&amp;";",ROW($1:$99),1),";")),"",ROW($1:$99)+1),COLUMN(F46)),SMALL(IF(ISERROR(SEARCH(MID(";"&amp;'CASE DATA'!$F46&amp;";",ROW($1:$99),1),";")),"",ROW($1:$99)),COLUMN(F45)+1)-SMALL(IF(ISERROR(SEARCH(MID(";"&amp;'CASE DATA'!$F46&amp;";",ROW($1:$99),1),";")),"",ROW($1:$99)),COLUMN(F45))-1)</f>
        <v/>
      </c>
      <c r="AD46" s="75" t="str" cm="1">
        <f t="array" ref="AD46">MID(";"&amp;'CASE DATA'!$F46&amp;";",SMALL(IF(ISERROR(SEARCH(MID(";"&amp;'CASE DATA'!$F46&amp;";",ROW($1:$99),1),";")),"",ROW($1:$99)+1),COLUMN(G46)),SMALL(IF(ISERROR(SEARCH(MID(";"&amp;'CASE DATA'!$F46&amp;";",ROW($1:$99),1),";")),"",ROW($1:$99)),COLUMN(G45)+1)-SMALL(IF(ISERROR(SEARCH(MID(";"&amp;'CASE DATA'!$F46&amp;";",ROW($1:$99),1),";")),"",ROW($1:$99)),COLUMN(G45))-1)</f>
        <v/>
      </c>
      <c r="AE46" s="75" t="str" cm="1">
        <f t="array" ref="AE46">MID(";"&amp;'CASE DATA'!$F46&amp;";",SMALL(IF(ISERROR(SEARCH(MID(";"&amp;'CASE DATA'!$F46&amp;";",ROW($1:$99),1),";")),"",ROW($1:$99)+1),COLUMN(H46)),SMALL(IF(ISERROR(SEARCH(MID(";"&amp;'CASE DATA'!$F46&amp;";",ROW($1:$99),1),";")),"",ROW($1:$99)),COLUMN(H45)+1)-SMALL(IF(ISERROR(SEARCH(MID(";"&amp;'CASE DATA'!$F46&amp;";",ROW($1:$99),1),";")),"",ROW($1:$99)),COLUMN(H45))-1)</f>
        <v/>
      </c>
      <c r="AF46" s="75" t="str" cm="1">
        <f t="array" ref="AF46">MID(";"&amp;'CASE DATA'!$F46&amp;";",SMALL(IF(ISERROR(SEARCH(MID(";"&amp;'CASE DATA'!$F46&amp;";",ROW($1:$99),1),";")),"",ROW($1:$99)+1),COLUMN(I46)),SMALL(IF(ISERROR(SEARCH(MID(";"&amp;'CASE DATA'!$F46&amp;";",ROW($1:$99),1),";")),"",ROW($1:$99)),COLUMN(I45)+1)-SMALL(IF(ISERROR(SEARCH(MID(";"&amp;'CASE DATA'!$F46&amp;";",ROW($1:$99),1),";")),"",ROW($1:$99)),COLUMN(I45))-1)</f>
        <v/>
      </c>
      <c r="AG46" s="75" t="str" cm="1">
        <f t="array" ref="AG46">MID(";"&amp;'CASE DATA'!$F46&amp;";",SMALL(IF(ISERROR(SEARCH(MID(";"&amp;'CASE DATA'!$F46&amp;";",ROW($1:$99),1),";")),"",ROW($1:$99)+1),COLUMN(K46)),SMALL(IF(ISERROR(SEARCH(MID(";"&amp;'CASE DATA'!$F46&amp;";",ROW($1:$99),1),";")),"",ROW($1:$99)),COLUMN(K45)+1)-SMALL(IF(ISERROR(SEARCH(MID(";"&amp;'CASE DATA'!$F46&amp;";",ROW($1:$99),1),";")),"",ROW($1:$99)),COLUMN(K45))-1)</f>
        <v/>
      </c>
      <c r="AH46" s="75" t="str" cm="1">
        <f t="array" ref="AH46">MID(";"&amp;'CASE DATA'!$F46&amp;";",SMALL(IF(ISERROR(SEARCH(MID(";"&amp;'CASE DATA'!$F46&amp;";",ROW($1:$99),1),";")),"",ROW($1:$99)+1),COLUMN(L46)),SMALL(IF(ISERROR(SEARCH(MID(";"&amp;'CASE DATA'!$F46&amp;";",ROW($1:$99),1),";")),"",ROW($1:$99)),COLUMN(L45)+1)-SMALL(IF(ISERROR(SEARCH(MID(";"&amp;'CASE DATA'!$F46&amp;";",ROW($1:$99),1),";")),"",ROW($1:$99)),COLUMN(L45))-1)</f>
        <v/>
      </c>
      <c r="AI46" s="75" t="str" cm="1">
        <f t="array" ref="AI46">MID(";"&amp;'CASE DATA'!$F46&amp;";",SMALL(IF(ISERROR(SEARCH(MID(";"&amp;'CASE DATA'!$F46&amp;";",ROW($1:$99),1),";")),"",ROW($1:$99)+1),COLUMN(M46)),SMALL(IF(ISERROR(SEARCH(MID(";"&amp;'CASE DATA'!$F46&amp;";",ROW($1:$99),1),";")),"",ROW($1:$99)),COLUMN(M45)+1)-SMALL(IF(ISERROR(SEARCH(MID(";"&amp;'CASE DATA'!$F46&amp;";",ROW($1:$99),1),";")),"",ROW($1:$99)),COLUMN(M45))-1)</f>
        <v/>
      </c>
      <c r="BO46" s="99"/>
      <c r="BP46" s="99"/>
      <c r="BQ46" s="99"/>
      <c r="BR46" s="99"/>
      <c r="BS46" s="99"/>
      <c r="BT46" s="99"/>
      <c r="BU46" s="99"/>
      <c r="BV46" s="99"/>
      <c r="BW46" s="99"/>
      <c r="BX46" s="99"/>
      <c r="BY46" s="99"/>
      <c r="BZ46" s="99"/>
      <c r="CA46" s="99"/>
      <c r="CB46" s="99"/>
      <c r="CC46" s="99"/>
      <c r="CD46" s="99"/>
      <c r="CE46" s="99"/>
      <c r="CF46" s="99"/>
      <c r="CG46" s="99"/>
      <c r="CH46" s="99"/>
      <c r="CI46" s="99"/>
      <c r="CJ46" s="99"/>
      <c r="CK46" s="99"/>
      <c r="CL46" s="99"/>
      <c r="CM46" s="99"/>
      <c r="CN46" s="99"/>
      <c r="CO46" s="99"/>
      <c r="CP46" s="99"/>
      <c r="CQ46" s="99"/>
      <c r="CR46" s="99"/>
      <c r="CS46" s="99"/>
      <c r="CT46" s="99"/>
      <c r="CU46" s="99"/>
      <c r="CV46" s="99"/>
      <c r="CW46" s="99"/>
      <c r="CX46" s="99"/>
      <c r="CY46" s="99"/>
      <c r="CZ46" s="99"/>
      <c r="DA46" s="99"/>
      <c r="DB46" s="99"/>
      <c r="DC46" s="99"/>
      <c r="DD46" s="99"/>
      <c r="DE46" s="99"/>
      <c r="DF46" s="99"/>
      <c r="DG46" s="99"/>
      <c r="DH46" s="99"/>
      <c r="DI46" s="99"/>
      <c r="DJ46" s="99"/>
      <c r="DK46" s="99"/>
      <c r="DL46" s="99"/>
      <c r="DM46" s="99"/>
      <c r="DN46" s="99"/>
      <c r="DO46" s="99"/>
      <c r="DP46" s="99"/>
      <c r="DQ46" s="99"/>
      <c r="DR46" s="99"/>
      <c r="DS46" s="99"/>
      <c r="DT46" s="99"/>
      <c r="DU46" s="99"/>
      <c r="DV46" s="99"/>
      <c r="DW46" s="99"/>
      <c r="DX46" s="99"/>
      <c r="DY46" s="99"/>
      <c r="DZ46" s="99"/>
      <c r="EA46" s="99"/>
      <c r="EB46" s="99"/>
      <c r="EC46" s="99"/>
      <c r="ED46" s="99"/>
      <c r="EE46" s="99"/>
      <c r="EF46" s="99"/>
      <c r="EG46" s="99"/>
      <c r="EH46" s="99"/>
      <c r="EI46" s="99"/>
      <c r="EJ46" s="99"/>
      <c r="EK46" s="99"/>
      <c r="EL46" s="99"/>
      <c r="EM46" s="99"/>
      <c r="EN46" s="99"/>
      <c r="EO46" s="99"/>
      <c r="EP46" s="99"/>
      <c r="EQ46" s="99"/>
      <c r="ER46" s="99"/>
      <c r="ES46" s="99"/>
      <c r="ET46" s="99"/>
      <c r="EU46" s="99"/>
      <c r="EV46" s="99"/>
      <c r="EW46" s="99"/>
      <c r="EX46" s="99"/>
      <c r="EY46" s="99"/>
      <c r="EZ46" s="99"/>
      <c r="FA46" s="99"/>
      <c r="FB46" s="99"/>
      <c r="FC46" s="99"/>
      <c r="FD46" s="99"/>
      <c r="FE46" s="99"/>
      <c r="FF46" s="99"/>
      <c r="FG46" s="99"/>
      <c r="FH46" s="99"/>
      <c r="FI46" s="99"/>
      <c r="FJ46" s="99"/>
      <c r="FK46" s="99"/>
    </row>
    <row r="47" spans="1:167" x14ac:dyDescent="0.25">
      <c r="C47" s="10"/>
      <c r="D47" s="10"/>
      <c r="E47" s="11"/>
      <c r="F47" s="15"/>
      <c r="J47" s="99">
        <v>44</v>
      </c>
      <c r="K47" s="16"/>
      <c r="L47" s="16"/>
      <c r="M47" s="16"/>
      <c r="N47" s="16"/>
      <c r="O47" s="16"/>
      <c r="P47" s="16"/>
      <c r="Q47" s="16"/>
      <c r="R47" s="16"/>
      <c r="S47" s="16"/>
      <c r="T47" s="16"/>
      <c r="U47" s="73">
        <f>SUM(K47:T47)</f>
        <v>0</v>
      </c>
      <c r="V47" s="73"/>
      <c r="X47" s="75" t="str" cm="1">
        <f t="array" ref="X47">MID(";"&amp;'CASE DATA'!$F47&amp;";",SMALL(IF(ISERROR(SEARCH(MID(";"&amp;'CASE DATA'!$F47&amp;";",ROW($1:$99),1),";")),"",ROW($1:$99)+1),COLUMN(A47)),SMALL(IF(ISERROR(SEARCH(MID(";"&amp;'CASE DATA'!$F47&amp;";",ROW($1:$99),1),";")),"",ROW($1:$99)),COLUMN(A46)+1)-SMALL(IF(ISERROR(SEARCH(MID(";"&amp;'CASE DATA'!$F47&amp;";",ROW($1:$99),1),";")),"",ROW($1:$99)),COLUMN(A46))-1)</f>
        <v/>
      </c>
      <c r="Y47" s="75" t="str" cm="1">
        <f t="array" ref="Y47">MID(";"&amp;'CASE DATA'!$F47&amp;";",SMALL(IF(ISERROR(SEARCH(MID(";"&amp;'CASE DATA'!$F47&amp;";",ROW($1:$99),1),";")),"",ROW($1:$99)+1),COLUMN(B47)),SMALL(IF(ISERROR(SEARCH(MID(";"&amp;'CASE DATA'!$F47&amp;";",ROW($1:$99),1),";")),"",ROW($1:$99)),COLUMN(B46)+1)-SMALL(IF(ISERROR(SEARCH(MID(";"&amp;'CASE DATA'!$F47&amp;";",ROW($1:$99),1),";")),"",ROW($1:$99)),COLUMN(B46))-1)</f>
        <v/>
      </c>
      <c r="Z47" s="75" t="str" cm="1">
        <f t="array" ref="Z47">MID(";"&amp;'CASE DATA'!$F47&amp;";",SMALL(IF(ISERROR(SEARCH(MID(";"&amp;'CASE DATA'!$F47&amp;";",ROW($1:$99),1),";")),"",ROW($1:$99)+1),COLUMN(C47)),SMALL(IF(ISERROR(SEARCH(MID(";"&amp;'CASE DATA'!$F47&amp;";",ROW($1:$99),1),";")),"",ROW($1:$99)),COLUMN(C46)+1)-SMALL(IF(ISERROR(SEARCH(MID(";"&amp;'CASE DATA'!$F47&amp;";",ROW($1:$99),1),";")),"",ROW($1:$99)),COLUMN(C46))-1)</f>
        <v/>
      </c>
      <c r="AA47" s="75" t="str" cm="1">
        <f t="array" ref="AA47">MID(";"&amp;'CASE DATA'!$F47&amp;";",SMALL(IF(ISERROR(SEARCH(MID(";"&amp;'CASE DATA'!$F47&amp;";",ROW($1:$99),1),";")),"",ROW($1:$99)+1),COLUMN(D47)),SMALL(IF(ISERROR(SEARCH(MID(";"&amp;'CASE DATA'!$F47&amp;";",ROW($1:$99),1),";")),"",ROW($1:$99)),COLUMN(D46)+1)-SMALL(IF(ISERROR(SEARCH(MID(";"&amp;'CASE DATA'!$F47&amp;";",ROW($1:$99),1),";")),"",ROW($1:$99)),COLUMN(D46))-1)</f>
        <v/>
      </c>
      <c r="AB47" s="75" t="str" cm="1">
        <f t="array" ref="AB47">MID(";"&amp;'CASE DATA'!$F47&amp;";",SMALL(IF(ISERROR(SEARCH(MID(";"&amp;'CASE DATA'!$F47&amp;";",ROW($1:$99),1),";")),"",ROW($1:$99)+1),COLUMN(E47)),SMALL(IF(ISERROR(SEARCH(MID(";"&amp;'CASE DATA'!$F47&amp;";",ROW($1:$99),1),";")),"",ROW($1:$99)),COLUMN(E46)+1)-SMALL(IF(ISERROR(SEARCH(MID(";"&amp;'CASE DATA'!$F47&amp;";",ROW($1:$99),1),";")),"",ROW($1:$99)),COLUMN(E46))-1)</f>
        <v/>
      </c>
      <c r="AC47" s="75" t="str" cm="1">
        <f t="array" ref="AC47">MID(";"&amp;'CASE DATA'!$F47&amp;";",SMALL(IF(ISERROR(SEARCH(MID(";"&amp;'CASE DATA'!$F47&amp;";",ROW($1:$99),1),";")),"",ROW($1:$99)+1),COLUMN(F47)),SMALL(IF(ISERROR(SEARCH(MID(";"&amp;'CASE DATA'!$F47&amp;";",ROW($1:$99),1),";")),"",ROW($1:$99)),COLUMN(F46)+1)-SMALL(IF(ISERROR(SEARCH(MID(";"&amp;'CASE DATA'!$F47&amp;";",ROW($1:$99),1),";")),"",ROW($1:$99)),COLUMN(F46))-1)</f>
        <v/>
      </c>
      <c r="AD47" s="75" t="str" cm="1">
        <f t="array" ref="AD47">MID(";"&amp;'CASE DATA'!$F47&amp;";",SMALL(IF(ISERROR(SEARCH(MID(";"&amp;'CASE DATA'!$F47&amp;";",ROW($1:$99),1),";")),"",ROW($1:$99)+1),COLUMN(G47)),SMALL(IF(ISERROR(SEARCH(MID(";"&amp;'CASE DATA'!$F47&amp;";",ROW($1:$99),1),";")),"",ROW($1:$99)),COLUMN(G46)+1)-SMALL(IF(ISERROR(SEARCH(MID(";"&amp;'CASE DATA'!$F47&amp;";",ROW($1:$99),1),";")),"",ROW($1:$99)),COLUMN(G46))-1)</f>
        <v/>
      </c>
      <c r="AE47" s="75" t="str" cm="1">
        <f t="array" ref="AE47">MID(";"&amp;'CASE DATA'!$F47&amp;";",SMALL(IF(ISERROR(SEARCH(MID(";"&amp;'CASE DATA'!$F47&amp;";",ROW($1:$99),1),";")),"",ROW($1:$99)+1),COLUMN(H47)),SMALL(IF(ISERROR(SEARCH(MID(";"&amp;'CASE DATA'!$F47&amp;";",ROW($1:$99),1),";")),"",ROW($1:$99)),COLUMN(H46)+1)-SMALL(IF(ISERROR(SEARCH(MID(";"&amp;'CASE DATA'!$F47&amp;";",ROW($1:$99),1),";")),"",ROW($1:$99)),COLUMN(H46))-1)</f>
        <v/>
      </c>
      <c r="AF47" s="75" t="str" cm="1">
        <f t="array" ref="AF47">MID(";"&amp;'CASE DATA'!$F47&amp;";",SMALL(IF(ISERROR(SEARCH(MID(";"&amp;'CASE DATA'!$F47&amp;";",ROW($1:$99),1),";")),"",ROW($1:$99)+1),COLUMN(I47)),SMALL(IF(ISERROR(SEARCH(MID(";"&amp;'CASE DATA'!$F47&amp;";",ROW($1:$99),1),";")),"",ROW($1:$99)),COLUMN(I46)+1)-SMALL(IF(ISERROR(SEARCH(MID(";"&amp;'CASE DATA'!$F47&amp;";",ROW($1:$99),1),";")),"",ROW($1:$99)),COLUMN(I46))-1)</f>
        <v/>
      </c>
      <c r="AG47" s="75" t="str" cm="1">
        <f t="array" ref="AG47">MID(";"&amp;'CASE DATA'!$F47&amp;";",SMALL(IF(ISERROR(SEARCH(MID(";"&amp;'CASE DATA'!$F47&amp;";",ROW($1:$99),1),";")),"",ROW($1:$99)+1),COLUMN(K47)),SMALL(IF(ISERROR(SEARCH(MID(";"&amp;'CASE DATA'!$F47&amp;";",ROW($1:$99),1),";")),"",ROW($1:$99)),COLUMN(K46)+1)-SMALL(IF(ISERROR(SEARCH(MID(";"&amp;'CASE DATA'!$F47&amp;";",ROW($1:$99),1),";")),"",ROW($1:$99)),COLUMN(K46))-1)</f>
        <v/>
      </c>
      <c r="AH47" s="75" t="str" cm="1">
        <f t="array" ref="AH47">MID(";"&amp;'CASE DATA'!$F47&amp;";",SMALL(IF(ISERROR(SEARCH(MID(";"&amp;'CASE DATA'!$F47&amp;";",ROW($1:$99),1),";")),"",ROW($1:$99)+1),COLUMN(L47)),SMALL(IF(ISERROR(SEARCH(MID(";"&amp;'CASE DATA'!$F47&amp;";",ROW($1:$99),1),";")),"",ROW($1:$99)),COLUMN(L46)+1)-SMALL(IF(ISERROR(SEARCH(MID(";"&amp;'CASE DATA'!$F47&amp;";",ROW($1:$99),1),";")),"",ROW($1:$99)),COLUMN(L46))-1)</f>
        <v/>
      </c>
      <c r="AI47" s="75" t="str" cm="1">
        <f t="array" ref="AI47">MID(";"&amp;'CASE DATA'!$F47&amp;";",SMALL(IF(ISERROR(SEARCH(MID(";"&amp;'CASE DATA'!$F47&amp;";",ROW($1:$99),1),";")),"",ROW($1:$99)+1),COLUMN(M47)),SMALL(IF(ISERROR(SEARCH(MID(";"&amp;'CASE DATA'!$F47&amp;";",ROW($1:$99),1),";")),"",ROW($1:$99)),COLUMN(M46)+1)-SMALL(IF(ISERROR(SEARCH(MID(";"&amp;'CASE DATA'!$F47&amp;";",ROW($1:$99),1),";")),"",ROW($1:$99)),COLUMN(M46))-1)</f>
        <v/>
      </c>
      <c r="BO47" s="99"/>
      <c r="BP47" s="99"/>
      <c r="BQ47" s="99"/>
      <c r="BR47" s="99"/>
      <c r="BS47" s="99"/>
      <c r="BT47" s="99"/>
      <c r="BU47" s="99"/>
      <c r="BV47" s="99"/>
      <c r="BW47" s="99"/>
      <c r="BX47" s="99"/>
      <c r="BY47" s="99"/>
      <c r="BZ47" s="99"/>
      <c r="CA47" s="99"/>
      <c r="CB47" s="99"/>
      <c r="CC47" s="99"/>
      <c r="CD47" s="99"/>
      <c r="CE47" s="99"/>
      <c r="CF47" s="99"/>
      <c r="CG47" s="99"/>
      <c r="CH47" s="99"/>
      <c r="CI47" s="99"/>
      <c r="CJ47" s="99"/>
      <c r="CK47" s="99"/>
      <c r="CL47" s="99"/>
      <c r="CM47" s="99"/>
      <c r="CN47" s="99"/>
      <c r="CO47" s="99"/>
      <c r="CP47" s="99"/>
      <c r="CQ47" s="99"/>
      <c r="CR47" s="99"/>
      <c r="CS47" s="99"/>
      <c r="CT47" s="99"/>
      <c r="CU47" s="99"/>
      <c r="CV47" s="99"/>
      <c r="CW47" s="99"/>
      <c r="CX47" s="99"/>
      <c r="CY47" s="99"/>
      <c r="CZ47" s="99"/>
      <c r="DA47" s="99"/>
      <c r="DB47" s="99"/>
      <c r="DC47" s="99"/>
      <c r="DD47" s="99"/>
      <c r="DE47" s="99"/>
      <c r="DF47" s="99"/>
      <c r="DG47" s="99"/>
      <c r="DH47" s="99"/>
      <c r="DI47" s="99"/>
      <c r="DJ47" s="99"/>
      <c r="DK47" s="99"/>
      <c r="DL47" s="99"/>
      <c r="DM47" s="99"/>
      <c r="DN47" s="99"/>
      <c r="DO47" s="99"/>
      <c r="DP47" s="99"/>
      <c r="DQ47" s="99"/>
      <c r="DR47" s="99"/>
      <c r="DS47" s="99"/>
      <c r="DT47" s="99"/>
      <c r="DU47" s="99"/>
      <c r="DV47" s="99"/>
      <c r="DW47" s="99"/>
      <c r="DX47" s="99"/>
      <c r="DY47" s="99"/>
      <c r="DZ47" s="99"/>
      <c r="EA47" s="99"/>
      <c r="EB47" s="99"/>
      <c r="EC47" s="99"/>
      <c r="ED47" s="99"/>
      <c r="EE47" s="99"/>
      <c r="EF47" s="99"/>
      <c r="EG47" s="99"/>
      <c r="EH47" s="99"/>
      <c r="EI47" s="99"/>
      <c r="EJ47" s="99"/>
      <c r="EK47" s="99"/>
      <c r="EL47" s="99"/>
      <c r="EM47" s="99"/>
      <c r="EN47" s="99"/>
      <c r="EO47" s="99"/>
      <c r="EP47" s="99"/>
      <c r="EQ47" s="99"/>
      <c r="ER47" s="99"/>
      <c r="ES47" s="99"/>
      <c r="ET47" s="99"/>
      <c r="EU47" s="99"/>
      <c r="EV47" s="99"/>
      <c r="EW47" s="99"/>
      <c r="EX47" s="99"/>
      <c r="EY47" s="99"/>
      <c r="EZ47" s="99"/>
      <c r="FA47" s="99"/>
      <c r="FB47" s="99"/>
      <c r="FC47" s="99"/>
      <c r="FD47" s="99"/>
      <c r="FE47" s="99"/>
      <c r="FF47" s="99"/>
      <c r="FG47" s="99"/>
      <c r="FH47" s="99"/>
      <c r="FI47" s="99"/>
      <c r="FJ47" s="99"/>
      <c r="FK47" s="99"/>
    </row>
    <row r="48" spans="1:167" x14ac:dyDescent="0.25">
      <c r="A48" s="11"/>
      <c r="C48" s="10"/>
      <c r="D48" s="10"/>
      <c r="E48" s="11"/>
      <c r="F48" s="15"/>
      <c r="J48" s="99">
        <v>45</v>
      </c>
      <c r="K48" s="16"/>
      <c r="L48" s="16"/>
      <c r="M48" s="16"/>
      <c r="N48" s="16"/>
      <c r="O48" s="16"/>
      <c r="P48" s="16"/>
      <c r="Q48" s="16"/>
      <c r="R48" s="16"/>
      <c r="S48" s="16"/>
      <c r="T48" s="16"/>
      <c r="U48" s="73">
        <f>SUM(K48:T48)</f>
        <v>0</v>
      </c>
      <c r="V48" s="73"/>
      <c r="X48" s="75" t="str" cm="1">
        <f t="array" ref="X48">MID(";"&amp;'CASE DATA'!$F48&amp;";",SMALL(IF(ISERROR(SEARCH(MID(";"&amp;'CASE DATA'!$F48&amp;";",ROW($1:$99),1),";")),"",ROW($1:$99)+1),COLUMN(A48)),SMALL(IF(ISERROR(SEARCH(MID(";"&amp;'CASE DATA'!$F48&amp;";",ROW($1:$99),1),";")),"",ROW($1:$99)),COLUMN(A47)+1)-SMALL(IF(ISERROR(SEARCH(MID(";"&amp;'CASE DATA'!$F48&amp;";",ROW($1:$99),1),";")),"",ROW($1:$99)),COLUMN(A47))-1)</f>
        <v/>
      </c>
      <c r="Y48" s="75" t="str" cm="1">
        <f t="array" ref="Y48">MID(";"&amp;'CASE DATA'!$F48&amp;";",SMALL(IF(ISERROR(SEARCH(MID(";"&amp;'CASE DATA'!$F48&amp;";",ROW($1:$99),1),";")),"",ROW($1:$99)+1),COLUMN(B48)),SMALL(IF(ISERROR(SEARCH(MID(";"&amp;'CASE DATA'!$F48&amp;";",ROW($1:$99),1),";")),"",ROW($1:$99)),COLUMN(B47)+1)-SMALL(IF(ISERROR(SEARCH(MID(";"&amp;'CASE DATA'!$F48&amp;";",ROW($1:$99),1),";")),"",ROW($1:$99)),COLUMN(B47))-1)</f>
        <v/>
      </c>
      <c r="Z48" s="75" t="str" cm="1">
        <f t="array" ref="Z48">MID(";"&amp;'CASE DATA'!$F48&amp;";",SMALL(IF(ISERROR(SEARCH(MID(";"&amp;'CASE DATA'!$F48&amp;";",ROW($1:$99),1),";")),"",ROW($1:$99)+1),COLUMN(C48)),SMALL(IF(ISERROR(SEARCH(MID(";"&amp;'CASE DATA'!$F48&amp;";",ROW($1:$99),1),";")),"",ROW($1:$99)),COLUMN(C47)+1)-SMALL(IF(ISERROR(SEARCH(MID(";"&amp;'CASE DATA'!$F48&amp;";",ROW($1:$99),1),";")),"",ROW($1:$99)),COLUMN(C47))-1)</f>
        <v/>
      </c>
      <c r="AA48" s="75" t="str" cm="1">
        <f t="array" ref="AA48">MID(";"&amp;'CASE DATA'!$F48&amp;";",SMALL(IF(ISERROR(SEARCH(MID(";"&amp;'CASE DATA'!$F48&amp;";",ROW($1:$99),1),";")),"",ROW($1:$99)+1),COLUMN(D48)),SMALL(IF(ISERROR(SEARCH(MID(";"&amp;'CASE DATA'!$F48&amp;";",ROW($1:$99),1),";")),"",ROW($1:$99)),COLUMN(D47)+1)-SMALL(IF(ISERROR(SEARCH(MID(";"&amp;'CASE DATA'!$F48&amp;";",ROW($1:$99),1),";")),"",ROW($1:$99)),COLUMN(D47))-1)</f>
        <v/>
      </c>
      <c r="AB48" s="75" t="str" cm="1">
        <f t="array" ref="AB48">MID(";"&amp;'CASE DATA'!$F48&amp;";",SMALL(IF(ISERROR(SEARCH(MID(";"&amp;'CASE DATA'!$F48&amp;";",ROW($1:$99),1),";")),"",ROW($1:$99)+1),COLUMN(E48)),SMALL(IF(ISERROR(SEARCH(MID(";"&amp;'CASE DATA'!$F48&amp;";",ROW($1:$99),1),";")),"",ROW($1:$99)),COLUMN(E47)+1)-SMALL(IF(ISERROR(SEARCH(MID(";"&amp;'CASE DATA'!$F48&amp;";",ROW($1:$99),1),";")),"",ROW($1:$99)),COLUMN(E47))-1)</f>
        <v/>
      </c>
      <c r="AC48" s="75" t="str" cm="1">
        <f t="array" ref="AC48">MID(";"&amp;'CASE DATA'!$F48&amp;";",SMALL(IF(ISERROR(SEARCH(MID(";"&amp;'CASE DATA'!$F48&amp;";",ROW($1:$99),1),";")),"",ROW($1:$99)+1),COLUMN(F48)),SMALL(IF(ISERROR(SEARCH(MID(";"&amp;'CASE DATA'!$F48&amp;";",ROW($1:$99),1),";")),"",ROW($1:$99)),COLUMN(F47)+1)-SMALL(IF(ISERROR(SEARCH(MID(";"&amp;'CASE DATA'!$F48&amp;";",ROW($1:$99),1),";")),"",ROW($1:$99)),COLUMN(F47))-1)</f>
        <v/>
      </c>
      <c r="AD48" s="75" t="str" cm="1">
        <f t="array" ref="AD48">MID(";"&amp;'CASE DATA'!$F48&amp;";",SMALL(IF(ISERROR(SEARCH(MID(";"&amp;'CASE DATA'!$F48&amp;";",ROW($1:$99),1),";")),"",ROW($1:$99)+1),COLUMN(G48)),SMALL(IF(ISERROR(SEARCH(MID(";"&amp;'CASE DATA'!$F48&amp;";",ROW($1:$99),1),";")),"",ROW($1:$99)),COLUMN(G47)+1)-SMALL(IF(ISERROR(SEARCH(MID(";"&amp;'CASE DATA'!$F48&amp;";",ROW($1:$99),1),";")),"",ROW($1:$99)),COLUMN(G47))-1)</f>
        <v/>
      </c>
      <c r="AE48" s="75" t="str" cm="1">
        <f t="array" ref="AE48">MID(";"&amp;'CASE DATA'!$F48&amp;";",SMALL(IF(ISERROR(SEARCH(MID(";"&amp;'CASE DATA'!$F48&amp;";",ROW($1:$99),1),";")),"",ROW($1:$99)+1),COLUMN(H48)),SMALL(IF(ISERROR(SEARCH(MID(";"&amp;'CASE DATA'!$F48&amp;";",ROW($1:$99),1),";")),"",ROW($1:$99)),COLUMN(H47)+1)-SMALL(IF(ISERROR(SEARCH(MID(";"&amp;'CASE DATA'!$F48&amp;";",ROW($1:$99),1),";")),"",ROW($1:$99)),COLUMN(H47))-1)</f>
        <v/>
      </c>
      <c r="AF48" s="75" t="str" cm="1">
        <f t="array" ref="AF48">MID(";"&amp;'CASE DATA'!$F48&amp;";",SMALL(IF(ISERROR(SEARCH(MID(";"&amp;'CASE DATA'!$F48&amp;";",ROW($1:$99),1),";")),"",ROW($1:$99)+1),COLUMN(I48)),SMALL(IF(ISERROR(SEARCH(MID(";"&amp;'CASE DATA'!$F48&amp;";",ROW($1:$99),1),";")),"",ROW($1:$99)),COLUMN(I47)+1)-SMALL(IF(ISERROR(SEARCH(MID(";"&amp;'CASE DATA'!$F48&amp;";",ROW($1:$99),1),";")),"",ROW($1:$99)),COLUMN(I47))-1)</f>
        <v/>
      </c>
      <c r="AG48" s="75" t="str" cm="1">
        <f t="array" ref="AG48">MID(";"&amp;'CASE DATA'!$F48&amp;";",SMALL(IF(ISERROR(SEARCH(MID(";"&amp;'CASE DATA'!$F48&amp;";",ROW($1:$99),1),";")),"",ROW($1:$99)+1),COLUMN(K48)),SMALL(IF(ISERROR(SEARCH(MID(";"&amp;'CASE DATA'!$F48&amp;";",ROW($1:$99),1),";")),"",ROW($1:$99)),COLUMN(K47)+1)-SMALL(IF(ISERROR(SEARCH(MID(";"&amp;'CASE DATA'!$F48&amp;";",ROW($1:$99),1),";")),"",ROW($1:$99)),COLUMN(K47))-1)</f>
        <v/>
      </c>
      <c r="AH48" s="75" t="str" cm="1">
        <f t="array" ref="AH48">MID(";"&amp;'CASE DATA'!$F48&amp;";",SMALL(IF(ISERROR(SEARCH(MID(";"&amp;'CASE DATA'!$F48&amp;";",ROW($1:$99),1),";")),"",ROW($1:$99)+1),COLUMN(L48)),SMALL(IF(ISERROR(SEARCH(MID(";"&amp;'CASE DATA'!$F48&amp;";",ROW($1:$99),1),";")),"",ROW($1:$99)),COLUMN(L47)+1)-SMALL(IF(ISERROR(SEARCH(MID(";"&amp;'CASE DATA'!$F48&amp;";",ROW($1:$99),1),";")),"",ROW($1:$99)),COLUMN(L47))-1)</f>
        <v/>
      </c>
      <c r="AI48" s="75" t="str" cm="1">
        <f t="array" ref="AI48">MID(";"&amp;'CASE DATA'!$F48&amp;";",SMALL(IF(ISERROR(SEARCH(MID(";"&amp;'CASE DATA'!$F48&amp;";",ROW($1:$99),1),";")),"",ROW($1:$99)+1),COLUMN(M48)),SMALL(IF(ISERROR(SEARCH(MID(";"&amp;'CASE DATA'!$F48&amp;";",ROW($1:$99),1),";")),"",ROW($1:$99)),COLUMN(M47)+1)-SMALL(IF(ISERROR(SEARCH(MID(";"&amp;'CASE DATA'!$F48&amp;";",ROW($1:$99),1),";")),"",ROW($1:$99)),COLUMN(M47))-1)</f>
        <v/>
      </c>
      <c r="BO48" s="99"/>
      <c r="BP48" s="99"/>
      <c r="BQ48" s="99"/>
      <c r="BR48" s="99"/>
      <c r="BS48" s="99"/>
      <c r="BT48" s="99"/>
      <c r="BU48" s="99"/>
      <c r="BV48" s="99"/>
      <c r="BW48" s="99"/>
      <c r="BX48" s="99"/>
      <c r="BY48" s="99"/>
      <c r="BZ48" s="99"/>
      <c r="CA48" s="99"/>
      <c r="CB48" s="99"/>
      <c r="CC48" s="99"/>
      <c r="CD48" s="99"/>
      <c r="CE48" s="99"/>
      <c r="CF48" s="99"/>
      <c r="CG48" s="99"/>
      <c r="CH48" s="99"/>
      <c r="CI48" s="99"/>
      <c r="CJ48" s="99"/>
      <c r="CK48" s="99"/>
      <c r="CL48" s="99"/>
      <c r="CM48" s="99"/>
      <c r="CN48" s="99"/>
      <c r="CO48" s="99"/>
      <c r="CP48" s="99"/>
      <c r="CQ48" s="99"/>
      <c r="CR48" s="99"/>
      <c r="CS48" s="99"/>
      <c r="CT48" s="99"/>
      <c r="CU48" s="99"/>
      <c r="CV48" s="99"/>
      <c r="CW48" s="99"/>
      <c r="CX48" s="99"/>
      <c r="CY48" s="99"/>
      <c r="CZ48" s="99"/>
      <c r="DA48" s="99"/>
      <c r="DB48" s="99"/>
      <c r="DC48" s="99"/>
      <c r="DD48" s="99"/>
      <c r="DE48" s="99"/>
      <c r="DF48" s="99"/>
      <c r="DG48" s="99"/>
      <c r="DH48" s="99"/>
      <c r="DI48" s="99"/>
      <c r="DJ48" s="99"/>
      <c r="DK48" s="99"/>
      <c r="DL48" s="99"/>
      <c r="DM48" s="99"/>
      <c r="DN48" s="99"/>
      <c r="DO48" s="99"/>
      <c r="DP48" s="99"/>
      <c r="DQ48" s="99"/>
      <c r="DR48" s="99"/>
      <c r="DS48" s="99"/>
      <c r="DT48" s="99"/>
      <c r="DU48" s="99"/>
      <c r="DV48" s="99"/>
      <c r="DW48" s="99"/>
      <c r="DX48" s="99"/>
      <c r="DY48" s="99"/>
      <c r="DZ48" s="99"/>
      <c r="EA48" s="99"/>
      <c r="EB48" s="99"/>
      <c r="EC48" s="99"/>
      <c r="ED48" s="99"/>
      <c r="EE48" s="99"/>
      <c r="EF48" s="99"/>
      <c r="EG48" s="99"/>
      <c r="EH48" s="99"/>
      <c r="EI48" s="99"/>
      <c r="EJ48" s="99"/>
      <c r="EK48" s="99"/>
      <c r="EL48" s="99"/>
      <c r="EM48" s="99"/>
      <c r="EN48" s="99"/>
      <c r="EO48" s="99"/>
      <c r="EP48" s="99"/>
      <c r="EQ48" s="99"/>
      <c r="ER48" s="99"/>
      <c r="ES48" s="99"/>
      <c r="ET48" s="99"/>
      <c r="EU48" s="99"/>
      <c r="EV48" s="99"/>
      <c r="EW48" s="99"/>
      <c r="EX48" s="99"/>
      <c r="EY48" s="99"/>
      <c r="EZ48" s="99"/>
      <c r="FA48" s="99"/>
      <c r="FB48" s="99"/>
      <c r="FC48" s="99"/>
      <c r="FD48" s="99"/>
      <c r="FE48" s="99"/>
      <c r="FF48" s="99"/>
      <c r="FG48" s="99"/>
      <c r="FH48" s="99"/>
      <c r="FI48" s="99"/>
      <c r="FJ48" s="99"/>
      <c r="FK48" s="99"/>
    </row>
    <row r="49" spans="1:167" x14ac:dyDescent="0.25">
      <c r="C49" s="10"/>
      <c r="D49" s="10"/>
      <c r="E49" s="11"/>
      <c r="F49" s="15"/>
      <c r="J49" s="99">
        <v>46</v>
      </c>
      <c r="K49" s="16"/>
      <c r="L49" s="16"/>
      <c r="M49" s="16"/>
      <c r="N49" s="16"/>
      <c r="O49" s="16"/>
      <c r="P49" s="16"/>
      <c r="Q49" s="16"/>
      <c r="R49" s="16"/>
      <c r="S49" s="16"/>
      <c r="T49" s="16"/>
      <c r="U49" s="73">
        <f>SUM(K49:T49)</f>
        <v>0</v>
      </c>
      <c r="V49" s="73"/>
      <c r="X49" s="75" t="str" cm="1">
        <f t="array" ref="X49">MID(";"&amp;'CASE DATA'!$F49&amp;";",SMALL(IF(ISERROR(SEARCH(MID(";"&amp;'CASE DATA'!$F49&amp;";",ROW($1:$99),1),";")),"",ROW($1:$99)+1),COLUMN(A49)),SMALL(IF(ISERROR(SEARCH(MID(";"&amp;'CASE DATA'!$F49&amp;";",ROW($1:$99),1),";")),"",ROW($1:$99)),COLUMN(A48)+1)-SMALL(IF(ISERROR(SEARCH(MID(";"&amp;'CASE DATA'!$F49&amp;";",ROW($1:$99),1),";")),"",ROW($1:$99)),COLUMN(A48))-1)</f>
        <v/>
      </c>
      <c r="Y49" s="75" t="str" cm="1">
        <f t="array" ref="Y49">MID(";"&amp;'CASE DATA'!$F49&amp;";",SMALL(IF(ISERROR(SEARCH(MID(";"&amp;'CASE DATA'!$F49&amp;";",ROW($1:$99),1),";")),"",ROW($1:$99)+1),COLUMN(B49)),SMALL(IF(ISERROR(SEARCH(MID(";"&amp;'CASE DATA'!$F49&amp;";",ROW($1:$99),1),";")),"",ROW($1:$99)),COLUMN(B48)+1)-SMALL(IF(ISERROR(SEARCH(MID(";"&amp;'CASE DATA'!$F49&amp;";",ROW($1:$99),1),";")),"",ROW($1:$99)),COLUMN(B48))-1)</f>
        <v/>
      </c>
      <c r="Z49" s="75" t="str" cm="1">
        <f t="array" ref="Z49">MID(";"&amp;'CASE DATA'!$F49&amp;";",SMALL(IF(ISERROR(SEARCH(MID(";"&amp;'CASE DATA'!$F49&amp;";",ROW($1:$99),1),";")),"",ROW($1:$99)+1),COLUMN(C49)),SMALL(IF(ISERROR(SEARCH(MID(";"&amp;'CASE DATA'!$F49&amp;";",ROW($1:$99),1),";")),"",ROW($1:$99)),COLUMN(C48)+1)-SMALL(IF(ISERROR(SEARCH(MID(";"&amp;'CASE DATA'!$F49&amp;";",ROW($1:$99),1),";")),"",ROW($1:$99)),COLUMN(C48))-1)</f>
        <v/>
      </c>
      <c r="AA49" s="75" t="str" cm="1">
        <f t="array" ref="AA49">MID(";"&amp;'CASE DATA'!$F49&amp;";",SMALL(IF(ISERROR(SEARCH(MID(";"&amp;'CASE DATA'!$F49&amp;";",ROW($1:$99),1),";")),"",ROW($1:$99)+1),COLUMN(D49)),SMALL(IF(ISERROR(SEARCH(MID(";"&amp;'CASE DATA'!$F49&amp;";",ROW($1:$99),1),";")),"",ROW($1:$99)),COLUMN(D48)+1)-SMALL(IF(ISERROR(SEARCH(MID(";"&amp;'CASE DATA'!$F49&amp;";",ROW($1:$99),1),";")),"",ROW($1:$99)),COLUMN(D48))-1)</f>
        <v/>
      </c>
      <c r="AB49" s="75" t="str" cm="1">
        <f t="array" ref="AB49">MID(";"&amp;'CASE DATA'!$F49&amp;";",SMALL(IF(ISERROR(SEARCH(MID(";"&amp;'CASE DATA'!$F49&amp;";",ROW($1:$99),1),";")),"",ROW($1:$99)+1),COLUMN(E49)),SMALL(IF(ISERROR(SEARCH(MID(";"&amp;'CASE DATA'!$F49&amp;";",ROW($1:$99),1),";")),"",ROW($1:$99)),COLUMN(E48)+1)-SMALL(IF(ISERROR(SEARCH(MID(";"&amp;'CASE DATA'!$F49&amp;";",ROW($1:$99),1),";")),"",ROW($1:$99)),COLUMN(E48))-1)</f>
        <v/>
      </c>
      <c r="AC49" s="75" t="str" cm="1">
        <f t="array" ref="AC49">MID(";"&amp;'CASE DATA'!$F49&amp;";",SMALL(IF(ISERROR(SEARCH(MID(";"&amp;'CASE DATA'!$F49&amp;";",ROW($1:$99),1),";")),"",ROW($1:$99)+1),COLUMN(F49)),SMALL(IF(ISERROR(SEARCH(MID(";"&amp;'CASE DATA'!$F49&amp;";",ROW($1:$99),1),";")),"",ROW($1:$99)),COLUMN(F48)+1)-SMALL(IF(ISERROR(SEARCH(MID(";"&amp;'CASE DATA'!$F49&amp;";",ROW($1:$99),1),";")),"",ROW($1:$99)),COLUMN(F48))-1)</f>
        <v/>
      </c>
      <c r="AD49" s="75" t="str" cm="1">
        <f t="array" ref="AD49">MID(";"&amp;'CASE DATA'!$F49&amp;";",SMALL(IF(ISERROR(SEARCH(MID(";"&amp;'CASE DATA'!$F49&amp;";",ROW($1:$99),1),";")),"",ROW($1:$99)+1),COLUMN(G49)),SMALL(IF(ISERROR(SEARCH(MID(";"&amp;'CASE DATA'!$F49&amp;";",ROW($1:$99),1),";")),"",ROW($1:$99)),COLUMN(G48)+1)-SMALL(IF(ISERROR(SEARCH(MID(";"&amp;'CASE DATA'!$F49&amp;";",ROW($1:$99),1),";")),"",ROW($1:$99)),COLUMN(G48))-1)</f>
        <v/>
      </c>
      <c r="AE49" s="75" t="str" cm="1">
        <f t="array" ref="AE49">MID(";"&amp;'CASE DATA'!$F49&amp;";",SMALL(IF(ISERROR(SEARCH(MID(";"&amp;'CASE DATA'!$F49&amp;";",ROW($1:$99),1),";")),"",ROW($1:$99)+1),COLUMN(H49)),SMALL(IF(ISERROR(SEARCH(MID(";"&amp;'CASE DATA'!$F49&amp;";",ROW($1:$99),1),";")),"",ROW($1:$99)),COLUMN(H48)+1)-SMALL(IF(ISERROR(SEARCH(MID(";"&amp;'CASE DATA'!$F49&amp;";",ROW($1:$99),1),";")),"",ROW($1:$99)),COLUMN(H48))-1)</f>
        <v/>
      </c>
      <c r="AF49" s="75" t="str" cm="1">
        <f t="array" ref="AF49">MID(";"&amp;'CASE DATA'!$F49&amp;";",SMALL(IF(ISERROR(SEARCH(MID(";"&amp;'CASE DATA'!$F49&amp;";",ROW($1:$99),1),";")),"",ROW($1:$99)+1),COLUMN(I49)),SMALL(IF(ISERROR(SEARCH(MID(";"&amp;'CASE DATA'!$F49&amp;";",ROW($1:$99),1),";")),"",ROW($1:$99)),COLUMN(I48)+1)-SMALL(IF(ISERROR(SEARCH(MID(";"&amp;'CASE DATA'!$F49&amp;";",ROW($1:$99),1),";")),"",ROW($1:$99)),COLUMN(I48))-1)</f>
        <v/>
      </c>
      <c r="AG49" s="75" t="str" cm="1">
        <f t="array" ref="AG49">MID(";"&amp;'CASE DATA'!$F49&amp;";",SMALL(IF(ISERROR(SEARCH(MID(";"&amp;'CASE DATA'!$F49&amp;";",ROW($1:$99),1),";")),"",ROW($1:$99)+1),COLUMN(K49)),SMALL(IF(ISERROR(SEARCH(MID(";"&amp;'CASE DATA'!$F49&amp;";",ROW($1:$99),1),";")),"",ROW($1:$99)),COLUMN(K48)+1)-SMALL(IF(ISERROR(SEARCH(MID(";"&amp;'CASE DATA'!$F49&amp;";",ROW($1:$99),1),";")),"",ROW($1:$99)),COLUMN(K48))-1)</f>
        <v/>
      </c>
      <c r="AH49" s="75" t="str" cm="1">
        <f t="array" ref="AH49">MID(";"&amp;'CASE DATA'!$F49&amp;";",SMALL(IF(ISERROR(SEARCH(MID(";"&amp;'CASE DATA'!$F49&amp;";",ROW($1:$99),1),";")),"",ROW($1:$99)+1),COLUMN(L49)),SMALL(IF(ISERROR(SEARCH(MID(";"&amp;'CASE DATA'!$F49&amp;";",ROW($1:$99),1),";")),"",ROW($1:$99)),COLUMN(L48)+1)-SMALL(IF(ISERROR(SEARCH(MID(";"&amp;'CASE DATA'!$F49&amp;";",ROW($1:$99),1),";")),"",ROW($1:$99)),COLUMN(L48))-1)</f>
        <v/>
      </c>
      <c r="AI49" s="75" t="str" cm="1">
        <f t="array" ref="AI49">MID(";"&amp;'CASE DATA'!$F49&amp;";",SMALL(IF(ISERROR(SEARCH(MID(";"&amp;'CASE DATA'!$F49&amp;";",ROW($1:$99),1),";")),"",ROW($1:$99)+1),COLUMN(M49)),SMALL(IF(ISERROR(SEARCH(MID(";"&amp;'CASE DATA'!$F49&amp;";",ROW($1:$99),1),";")),"",ROW($1:$99)),COLUMN(M48)+1)-SMALL(IF(ISERROR(SEARCH(MID(";"&amp;'CASE DATA'!$F49&amp;";",ROW($1:$99),1),";")),"",ROW($1:$99)),COLUMN(M48))-1)</f>
        <v/>
      </c>
      <c r="BO49" s="99"/>
      <c r="BP49" s="99"/>
      <c r="BQ49" s="99"/>
      <c r="BR49" s="99"/>
      <c r="BS49" s="99"/>
      <c r="BT49" s="99"/>
      <c r="BU49" s="99"/>
      <c r="BV49" s="99"/>
      <c r="BW49" s="99"/>
      <c r="BX49" s="99"/>
      <c r="BY49" s="99"/>
      <c r="BZ49" s="99"/>
      <c r="CA49" s="99"/>
      <c r="CB49" s="99"/>
      <c r="CC49" s="99"/>
      <c r="CD49" s="99"/>
      <c r="CE49" s="99"/>
      <c r="CF49" s="99"/>
      <c r="CG49" s="99"/>
      <c r="CH49" s="99"/>
      <c r="CI49" s="99"/>
      <c r="CJ49" s="99"/>
      <c r="CK49" s="99"/>
      <c r="CL49" s="99"/>
      <c r="CM49" s="99"/>
      <c r="CN49" s="99"/>
      <c r="CO49" s="99"/>
      <c r="CP49" s="99"/>
      <c r="CQ49" s="99"/>
      <c r="CR49" s="99"/>
      <c r="CS49" s="99"/>
      <c r="CT49" s="99"/>
      <c r="CU49" s="99"/>
      <c r="CV49" s="99"/>
      <c r="CW49" s="99"/>
      <c r="CX49" s="99"/>
      <c r="CY49" s="99"/>
      <c r="CZ49" s="99"/>
      <c r="DA49" s="99"/>
      <c r="DB49" s="99"/>
      <c r="DC49" s="99"/>
      <c r="DD49" s="99"/>
      <c r="DE49" s="99"/>
      <c r="DF49" s="99"/>
      <c r="DG49" s="99"/>
      <c r="DH49" s="99"/>
      <c r="DI49" s="99"/>
      <c r="DJ49" s="99"/>
      <c r="DK49" s="99"/>
      <c r="DL49" s="99"/>
      <c r="DM49" s="99"/>
      <c r="DN49" s="99"/>
      <c r="DO49" s="99"/>
      <c r="DP49" s="99"/>
      <c r="DQ49" s="99"/>
      <c r="DR49" s="99"/>
      <c r="DS49" s="99"/>
      <c r="DT49" s="99"/>
      <c r="DU49" s="99"/>
      <c r="DV49" s="99"/>
      <c r="DW49" s="99"/>
      <c r="DX49" s="99"/>
      <c r="DY49" s="99"/>
      <c r="DZ49" s="99"/>
      <c r="EA49" s="99"/>
      <c r="EB49" s="99"/>
      <c r="EC49" s="99"/>
      <c r="ED49" s="99"/>
      <c r="EE49" s="99"/>
      <c r="EF49" s="99"/>
      <c r="EG49" s="99"/>
      <c r="EH49" s="99"/>
      <c r="EI49" s="99"/>
      <c r="EJ49" s="99"/>
      <c r="EK49" s="99"/>
      <c r="EL49" s="99"/>
      <c r="EM49" s="99"/>
      <c r="EN49" s="99"/>
      <c r="EO49" s="99"/>
      <c r="EP49" s="99"/>
      <c r="EQ49" s="99"/>
      <c r="ER49" s="99"/>
      <c r="ES49" s="99"/>
      <c r="ET49" s="99"/>
      <c r="EU49" s="99"/>
      <c r="EV49" s="99"/>
      <c r="EW49" s="99"/>
      <c r="EX49" s="99"/>
      <c r="EY49" s="99"/>
      <c r="EZ49" s="99"/>
      <c r="FA49" s="99"/>
      <c r="FB49" s="99"/>
      <c r="FC49" s="99"/>
      <c r="FD49" s="99"/>
      <c r="FE49" s="99"/>
      <c r="FF49" s="99"/>
      <c r="FG49" s="99"/>
      <c r="FH49" s="99"/>
      <c r="FI49" s="99"/>
      <c r="FJ49" s="99"/>
      <c r="FK49" s="99"/>
    </row>
    <row r="50" spans="1:167" x14ac:dyDescent="0.25">
      <c r="A50" s="11"/>
      <c r="C50" s="10"/>
      <c r="D50" s="10"/>
      <c r="E50" s="11"/>
      <c r="F50" s="15"/>
      <c r="J50" s="99">
        <v>47</v>
      </c>
      <c r="K50" s="16"/>
      <c r="L50" s="16"/>
      <c r="M50" s="16"/>
      <c r="N50" s="16"/>
      <c r="O50" s="16"/>
      <c r="P50" s="16"/>
      <c r="Q50" s="16"/>
      <c r="R50" s="16"/>
      <c r="S50" s="16"/>
      <c r="T50" s="16"/>
      <c r="U50" s="73">
        <f>SUM(K50:T50)</f>
        <v>0</v>
      </c>
      <c r="V50" s="73"/>
      <c r="X50" s="75" t="str" cm="1">
        <f t="array" ref="X50">MID(";"&amp;'CASE DATA'!$F50&amp;";",SMALL(IF(ISERROR(SEARCH(MID(";"&amp;'CASE DATA'!$F50&amp;";",ROW($1:$99),1),";")),"",ROW($1:$99)+1),COLUMN(A50)),SMALL(IF(ISERROR(SEARCH(MID(";"&amp;'CASE DATA'!$F50&amp;";",ROW($1:$99),1),";")),"",ROW($1:$99)),COLUMN(A49)+1)-SMALL(IF(ISERROR(SEARCH(MID(";"&amp;'CASE DATA'!$F50&amp;";",ROW($1:$99),1),";")),"",ROW($1:$99)),COLUMN(A49))-1)</f>
        <v/>
      </c>
      <c r="Y50" s="75" t="str" cm="1">
        <f t="array" ref="Y50">MID(";"&amp;'CASE DATA'!$F50&amp;";",SMALL(IF(ISERROR(SEARCH(MID(";"&amp;'CASE DATA'!$F50&amp;";",ROW($1:$99),1),";")),"",ROW($1:$99)+1),COLUMN(B50)),SMALL(IF(ISERROR(SEARCH(MID(";"&amp;'CASE DATA'!$F50&amp;";",ROW($1:$99),1),";")),"",ROW($1:$99)),COLUMN(B49)+1)-SMALL(IF(ISERROR(SEARCH(MID(";"&amp;'CASE DATA'!$F50&amp;";",ROW($1:$99),1),";")),"",ROW($1:$99)),COLUMN(B49))-1)</f>
        <v/>
      </c>
      <c r="Z50" s="75" t="str" cm="1">
        <f t="array" ref="Z50">MID(";"&amp;'CASE DATA'!$F50&amp;";",SMALL(IF(ISERROR(SEARCH(MID(";"&amp;'CASE DATA'!$F50&amp;";",ROW($1:$99),1),";")),"",ROW($1:$99)+1),COLUMN(C50)),SMALL(IF(ISERROR(SEARCH(MID(";"&amp;'CASE DATA'!$F50&amp;";",ROW($1:$99),1),";")),"",ROW($1:$99)),COLUMN(C49)+1)-SMALL(IF(ISERROR(SEARCH(MID(";"&amp;'CASE DATA'!$F50&amp;";",ROW($1:$99),1),";")),"",ROW($1:$99)),COLUMN(C49))-1)</f>
        <v/>
      </c>
      <c r="AA50" s="75" t="str" cm="1">
        <f t="array" ref="AA50">MID(";"&amp;'CASE DATA'!$F50&amp;";",SMALL(IF(ISERROR(SEARCH(MID(";"&amp;'CASE DATA'!$F50&amp;";",ROW($1:$99),1),";")),"",ROW($1:$99)+1),COLUMN(D50)),SMALL(IF(ISERROR(SEARCH(MID(";"&amp;'CASE DATA'!$F50&amp;";",ROW($1:$99),1),";")),"",ROW($1:$99)),COLUMN(D49)+1)-SMALL(IF(ISERROR(SEARCH(MID(";"&amp;'CASE DATA'!$F50&amp;";",ROW($1:$99),1),";")),"",ROW($1:$99)),COLUMN(D49))-1)</f>
        <v/>
      </c>
      <c r="AB50" s="75" t="str" cm="1">
        <f t="array" ref="AB50">MID(";"&amp;'CASE DATA'!$F50&amp;";",SMALL(IF(ISERROR(SEARCH(MID(";"&amp;'CASE DATA'!$F50&amp;";",ROW($1:$99),1),";")),"",ROW($1:$99)+1),COLUMN(E50)),SMALL(IF(ISERROR(SEARCH(MID(";"&amp;'CASE DATA'!$F50&amp;";",ROW($1:$99),1),";")),"",ROW($1:$99)),COLUMN(E49)+1)-SMALL(IF(ISERROR(SEARCH(MID(";"&amp;'CASE DATA'!$F50&amp;";",ROW($1:$99),1),";")),"",ROW($1:$99)),COLUMN(E49))-1)</f>
        <v/>
      </c>
      <c r="AC50" s="75" t="str" cm="1">
        <f t="array" ref="AC50">MID(";"&amp;'CASE DATA'!$F50&amp;";",SMALL(IF(ISERROR(SEARCH(MID(";"&amp;'CASE DATA'!$F50&amp;";",ROW($1:$99),1),";")),"",ROW($1:$99)+1),COLUMN(F50)),SMALL(IF(ISERROR(SEARCH(MID(";"&amp;'CASE DATA'!$F50&amp;";",ROW($1:$99),1),";")),"",ROW($1:$99)),COLUMN(F49)+1)-SMALL(IF(ISERROR(SEARCH(MID(";"&amp;'CASE DATA'!$F50&amp;";",ROW($1:$99),1),";")),"",ROW($1:$99)),COLUMN(F49))-1)</f>
        <v/>
      </c>
      <c r="AD50" s="75" t="str" cm="1">
        <f t="array" ref="AD50">MID(";"&amp;'CASE DATA'!$F50&amp;";",SMALL(IF(ISERROR(SEARCH(MID(";"&amp;'CASE DATA'!$F50&amp;";",ROW($1:$99),1),";")),"",ROW($1:$99)+1),COLUMN(G50)),SMALL(IF(ISERROR(SEARCH(MID(";"&amp;'CASE DATA'!$F50&amp;";",ROW($1:$99),1),";")),"",ROW($1:$99)),COLUMN(G49)+1)-SMALL(IF(ISERROR(SEARCH(MID(";"&amp;'CASE DATA'!$F50&amp;";",ROW($1:$99),1),";")),"",ROW($1:$99)),COLUMN(G49))-1)</f>
        <v/>
      </c>
      <c r="AE50" s="75" t="str" cm="1">
        <f t="array" ref="AE50">MID(";"&amp;'CASE DATA'!$F50&amp;";",SMALL(IF(ISERROR(SEARCH(MID(";"&amp;'CASE DATA'!$F50&amp;";",ROW($1:$99),1),";")),"",ROW($1:$99)+1),COLUMN(H50)),SMALL(IF(ISERROR(SEARCH(MID(";"&amp;'CASE DATA'!$F50&amp;";",ROW($1:$99),1),";")),"",ROW($1:$99)),COLUMN(H49)+1)-SMALL(IF(ISERROR(SEARCH(MID(";"&amp;'CASE DATA'!$F50&amp;";",ROW($1:$99),1),";")),"",ROW($1:$99)),COLUMN(H49))-1)</f>
        <v/>
      </c>
      <c r="AF50" s="75" t="str" cm="1">
        <f t="array" ref="AF50">MID(";"&amp;'CASE DATA'!$F50&amp;";",SMALL(IF(ISERROR(SEARCH(MID(";"&amp;'CASE DATA'!$F50&amp;";",ROW($1:$99),1),";")),"",ROW($1:$99)+1),COLUMN(I50)),SMALL(IF(ISERROR(SEARCH(MID(";"&amp;'CASE DATA'!$F50&amp;";",ROW($1:$99),1),";")),"",ROW($1:$99)),COLUMN(I49)+1)-SMALL(IF(ISERROR(SEARCH(MID(";"&amp;'CASE DATA'!$F50&amp;";",ROW($1:$99),1),";")),"",ROW($1:$99)),COLUMN(I49))-1)</f>
        <v/>
      </c>
      <c r="AG50" s="75" t="str" cm="1">
        <f t="array" ref="AG50">MID(";"&amp;'CASE DATA'!$F50&amp;";",SMALL(IF(ISERROR(SEARCH(MID(";"&amp;'CASE DATA'!$F50&amp;";",ROW($1:$99),1),";")),"",ROW($1:$99)+1),COLUMN(K50)),SMALL(IF(ISERROR(SEARCH(MID(";"&amp;'CASE DATA'!$F50&amp;";",ROW($1:$99),1),";")),"",ROW($1:$99)),COLUMN(K49)+1)-SMALL(IF(ISERROR(SEARCH(MID(";"&amp;'CASE DATA'!$F50&amp;";",ROW($1:$99),1),";")),"",ROW($1:$99)),COLUMN(K49))-1)</f>
        <v/>
      </c>
      <c r="AH50" s="75" t="str" cm="1">
        <f t="array" ref="AH50">MID(";"&amp;'CASE DATA'!$F50&amp;";",SMALL(IF(ISERROR(SEARCH(MID(";"&amp;'CASE DATA'!$F50&amp;";",ROW($1:$99),1),";")),"",ROW($1:$99)+1),COLUMN(L50)),SMALL(IF(ISERROR(SEARCH(MID(";"&amp;'CASE DATA'!$F50&amp;";",ROW($1:$99),1),";")),"",ROW($1:$99)),COLUMN(L49)+1)-SMALL(IF(ISERROR(SEARCH(MID(";"&amp;'CASE DATA'!$F50&amp;";",ROW($1:$99),1),";")),"",ROW($1:$99)),COLUMN(L49))-1)</f>
        <v/>
      </c>
      <c r="AI50" s="75" t="str" cm="1">
        <f t="array" ref="AI50">MID(";"&amp;'CASE DATA'!$F50&amp;";",SMALL(IF(ISERROR(SEARCH(MID(";"&amp;'CASE DATA'!$F50&amp;";",ROW($1:$99),1),";")),"",ROW($1:$99)+1),COLUMN(M50)),SMALL(IF(ISERROR(SEARCH(MID(";"&amp;'CASE DATA'!$F50&amp;";",ROW($1:$99),1),";")),"",ROW($1:$99)),COLUMN(M49)+1)-SMALL(IF(ISERROR(SEARCH(MID(";"&amp;'CASE DATA'!$F50&amp;";",ROW($1:$99),1),";")),"",ROW($1:$99)),COLUMN(M49))-1)</f>
        <v/>
      </c>
      <c r="BO50" s="99"/>
      <c r="BP50" s="99"/>
      <c r="BQ50" s="99"/>
      <c r="BR50" s="99"/>
      <c r="BS50" s="99"/>
      <c r="BT50" s="99"/>
      <c r="BU50" s="99"/>
      <c r="BV50" s="99"/>
      <c r="BW50" s="99"/>
      <c r="BX50" s="99"/>
      <c r="BY50" s="99"/>
      <c r="BZ50" s="99"/>
      <c r="CA50" s="99"/>
      <c r="CB50" s="99"/>
      <c r="CC50" s="99"/>
      <c r="CD50" s="99"/>
      <c r="CE50" s="99"/>
      <c r="CF50" s="99"/>
      <c r="CG50" s="99"/>
      <c r="CH50" s="99"/>
      <c r="CI50" s="99"/>
      <c r="CJ50" s="99"/>
      <c r="CK50" s="99"/>
      <c r="CL50" s="99"/>
      <c r="CM50" s="99"/>
      <c r="CN50" s="99"/>
      <c r="CO50" s="99"/>
      <c r="CP50" s="99"/>
      <c r="CQ50" s="99"/>
      <c r="CR50" s="99"/>
      <c r="CS50" s="99"/>
      <c r="CT50" s="99"/>
      <c r="CU50" s="99"/>
      <c r="CV50" s="99"/>
      <c r="CW50" s="99"/>
      <c r="CX50" s="99"/>
      <c r="CY50" s="99"/>
      <c r="CZ50" s="99"/>
      <c r="DA50" s="99"/>
      <c r="DB50" s="99"/>
      <c r="DC50" s="99"/>
      <c r="DD50" s="99"/>
      <c r="DE50" s="99"/>
      <c r="DF50" s="99"/>
      <c r="DG50" s="99"/>
      <c r="DH50" s="99"/>
      <c r="DI50" s="99"/>
      <c r="DJ50" s="99"/>
      <c r="DK50" s="99"/>
      <c r="DL50" s="99"/>
      <c r="DM50" s="99"/>
      <c r="DN50" s="99"/>
      <c r="DO50" s="99"/>
      <c r="DP50" s="99"/>
      <c r="DQ50" s="99"/>
      <c r="DR50" s="99"/>
      <c r="DS50" s="99"/>
      <c r="DT50" s="99"/>
      <c r="DU50" s="99"/>
      <c r="DV50" s="99"/>
      <c r="DW50" s="99"/>
      <c r="DX50" s="99"/>
      <c r="DY50" s="99"/>
      <c r="DZ50" s="99"/>
      <c r="EA50" s="99"/>
      <c r="EB50" s="99"/>
      <c r="EC50" s="99"/>
      <c r="ED50" s="99"/>
      <c r="EE50" s="99"/>
      <c r="EF50" s="99"/>
      <c r="EG50" s="99"/>
      <c r="EH50" s="99"/>
      <c r="EI50" s="99"/>
      <c r="EJ50" s="99"/>
      <c r="EK50" s="99"/>
      <c r="EL50" s="99"/>
      <c r="EM50" s="99"/>
      <c r="EN50" s="99"/>
      <c r="EO50" s="99"/>
      <c r="EP50" s="99"/>
      <c r="EQ50" s="99"/>
      <c r="ER50" s="99"/>
      <c r="ES50" s="99"/>
      <c r="ET50" s="99"/>
      <c r="EU50" s="99"/>
      <c r="EV50" s="99"/>
      <c r="EW50" s="99"/>
      <c r="EX50" s="99"/>
      <c r="EY50" s="99"/>
      <c r="EZ50" s="99"/>
      <c r="FA50" s="99"/>
      <c r="FB50" s="99"/>
      <c r="FC50" s="99"/>
      <c r="FD50" s="99"/>
      <c r="FE50" s="99"/>
      <c r="FF50" s="99"/>
      <c r="FG50" s="99"/>
      <c r="FH50" s="99"/>
      <c r="FI50" s="99"/>
      <c r="FJ50" s="99"/>
      <c r="FK50" s="99"/>
    </row>
    <row r="51" spans="1:167" s="70" customFormat="1" x14ac:dyDescent="0.25">
      <c r="A51" s="11"/>
      <c r="B51"/>
      <c r="C51" s="10"/>
      <c r="D51" s="10"/>
      <c r="E51" s="11"/>
      <c r="F51" s="15"/>
      <c r="G51"/>
      <c r="H51" s="99"/>
      <c r="I51" s="99"/>
      <c r="J51" s="99">
        <v>48</v>
      </c>
      <c r="K51" s="16"/>
      <c r="L51" s="16"/>
      <c r="M51" s="16"/>
      <c r="N51" s="16"/>
      <c r="O51" s="16"/>
      <c r="P51" s="16"/>
      <c r="Q51" s="16"/>
      <c r="R51" s="16"/>
      <c r="S51" s="16"/>
      <c r="T51" s="16"/>
      <c r="U51" s="73">
        <f>SUM(K51:T51)</f>
        <v>0</v>
      </c>
      <c r="V51" s="73"/>
      <c r="W51"/>
      <c r="X51" s="75" t="str" cm="1">
        <f t="array" ref="X51">MID(";"&amp;'CASE DATA'!$F51&amp;";",SMALL(IF(ISERROR(SEARCH(MID(";"&amp;'CASE DATA'!$F51&amp;";",ROW($1:$99),1),";")),"",ROW($1:$99)+1),COLUMN(A51)),SMALL(IF(ISERROR(SEARCH(MID(";"&amp;'CASE DATA'!$F51&amp;";",ROW($1:$99),1),";")),"",ROW($1:$99)),COLUMN(A50)+1)-SMALL(IF(ISERROR(SEARCH(MID(";"&amp;'CASE DATA'!$F51&amp;";",ROW($1:$99),1),";")),"",ROW($1:$99)),COLUMN(A50))-1)</f>
        <v/>
      </c>
      <c r="Y51" s="75" t="str" cm="1">
        <f t="array" ref="Y51">MID(";"&amp;'CASE DATA'!$F51&amp;";",SMALL(IF(ISERROR(SEARCH(MID(";"&amp;'CASE DATA'!$F51&amp;";",ROW($1:$99),1),";")),"",ROW($1:$99)+1),COLUMN(B51)),SMALL(IF(ISERROR(SEARCH(MID(";"&amp;'CASE DATA'!$F51&amp;";",ROW($1:$99),1),";")),"",ROW($1:$99)),COLUMN(B50)+1)-SMALL(IF(ISERROR(SEARCH(MID(";"&amp;'CASE DATA'!$F51&amp;";",ROW($1:$99),1),";")),"",ROW($1:$99)),COLUMN(B50))-1)</f>
        <v/>
      </c>
      <c r="Z51" s="75" t="str" cm="1">
        <f t="array" ref="Z51">MID(";"&amp;'CASE DATA'!$F51&amp;";",SMALL(IF(ISERROR(SEARCH(MID(";"&amp;'CASE DATA'!$F51&amp;";",ROW($1:$99),1),";")),"",ROW($1:$99)+1),COLUMN(C51)),SMALL(IF(ISERROR(SEARCH(MID(";"&amp;'CASE DATA'!$F51&amp;";",ROW($1:$99),1),";")),"",ROW($1:$99)),COLUMN(C50)+1)-SMALL(IF(ISERROR(SEARCH(MID(";"&amp;'CASE DATA'!$F51&amp;";",ROW($1:$99),1),";")),"",ROW($1:$99)),COLUMN(C50))-1)</f>
        <v/>
      </c>
      <c r="AA51" s="75" t="str" cm="1">
        <f t="array" ref="AA51">MID(";"&amp;'CASE DATA'!$F51&amp;";",SMALL(IF(ISERROR(SEARCH(MID(";"&amp;'CASE DATA'!$F51&amp;";",ROW($1:$99),1),";")),"",ROW($1:$99)+1),COLUMN(D51)),SMALL(IF(ISERROR(SEARCH(MID(";"&amp;'CASE DATA'!$F51&amp;";",ROW($1:$99),1),";")),"",ROW($1:$99)),COLUMN(D50)+1)-SMALL(IF(ISERROR(SEARCH(MID(";"&amp;'CASE DATA'!$F51&amp;";",ROW($1:$99),1),";")),"",ROW($1:$99)),COLUMN(D50))-1)</f>
        <v/>
      </c>
      <c r="AB51" s="75" t="str" cm="1">
        <f t="array" ref="AB51">MID(";"&amp;'CASE DATA'!$F51&amp;";",SMALL(IF(ISERROR(SEARCH(MID(";"&amp;'CASE DATA'!$F51&amp;";",ROW($1:$99),1),";")),"",ROW($1:$99)+1),COLUMN(E51)),SMALL(IF(ISERROR(SEARCH(MID(";"&amp;'CASE DATA'!$F51&amp;";",ROW($1:$99),1),";")),"",ROW($1:$99)),COLUMN(E50)+1)-SMALL(IF(ISERROR(SEARCH(MID(";"&amp;'CASE DATA'!$F51&amp;";",ROW($1:$99),1),";")),"",ROW($1:$99)),COLUMN(E50))-1)</f>
        <v/>
      </c>
      <c r="AC51" s="75" t="str" cm="1">
        <f t="array" ref="AC51">MID(";"&amp;'CASE DATA'!$F51&amp;";",SMALL(IF(ISERROR(SEARCH(MID(";"&amp;'CASE DATA'!$F51&amp;";",ROW($1:$99),1),";")),"",ROW($1:$99)+1),COLUMN(F51)),SMALL(IF(ISERROR(SEARCH(MID(";"&amp;'CASE DATA'!$F51&amp;";",ROW($1:$99),1),";")),"",ROW($1:$99)),COLUMN(F50)+1)-SMALL(IF(ISERROR(SEARCH(MID(";"&amp;'CASE DATA'!$F51&amp;";",ROW($1:$99),1),";")),"",ROW($1:$99)),COLUMN(F50))-1)</f>
        <v/>
      </c>
      <c r="AD51" s="75" t="str" cm="1">
        <f t="array" ref="AD51">MID(";"&amp;'CASE DATA'!$F51&amp;";",SMALL(IF(ISERROR(SEARCH(MID(";"&amp;'CASE DATA'!$F51&amp;";",ROW($1:$99),1),";")),"",ROW($1:$99)+1),COLUMN(G51)),SMALL(IF(ISERROR(SEARCH(MID(";"&amp;'CASE DATA'!$F51&amp;";",ROW($1:$99),1),";")),"",ROW($1:$99)),COLUMN(G50)+1)-SMALL(IF(ISERROR(SEARCH(MID(";"&amp;'CASE DATA'!$F51&amp;";",ROW($1:$99),1),";")),"",ROW($1:$99)),COLUMN(G50))-1)</f>
        <v/>
      </c>
      <c r="AE51" s="75" t="str" cm="1">
        <f t="array" ref="AE51">MID(";"&amp;'CASE DATA'!$F51&amp;";",SMALL(IF(ISERROR(SEARCH(MID(";"&amp;'CASE DATA'!$F51&amp;";",ROW($1:$99),1),";")),"",ROW($1:$99)+1),COLUMN(H51)),SMALL(IF(ISERROR(SEARCH(MID(";"&amp;'CASE DATA'!$F51&amp;";",ROW($1:$99),1),";")),"",ROW($1:$99)),COLUMN(H50)+1)-SMALL(IF(ISERROR(SEARCH(MID(";"&amp;'CASE DATA'!$F51&amp;";",ROW($1:$99),1),";")),"",ROW($1:$99)),COLUMN(H50))-1)</f>
        <v/>
      </c>
      <c r="AF51" s="75" t="str" cm="1">
        <f t="array" ref="AF51">MID(";"&amp;'CASE DATA'!$F51&amp;";",SMALL(IF(ISERROR(SEARCH(MID(";"&amp;'CASE DATA'!$F51&amp;";",ROW($1:$99),1),";")),"",ROW($1:$99)+1),COLUMN(I51)),SMALL(IF(ISERROR(SEARCH(MID(";"&amp;'CASE DATA'!$F51&amp;";",ROW($1:$99),1),";")),"",ROW($1:$99)),COLUMN(I50)+1)-SMALL(IF(ISERROR(SEARCH(MID(";"&amp;'CASE DATA'!$F51&amp;";",ROW($1:$99),1),";")),"",ROW($1:$99)),COLUMN(I50))-1)</f>
        <v/>
      </c>
      <c r="AG51" s="75" t="str" cm="1">
        <f t="array" ref="AG51">MID(";"&amp;'CASE DATA'!$F51&amp;";",SMALL(IF(ISERROR(SEARCH(MID(";"&amp;'CASE DATA'!$F51&amp;";",ROW($1:$99),1),";")),"",ROW($1:$99)+1),COLUMN(K51)),SMALL(IF(ISERROR(SEARCH(MID(";"&amp;'CASE DATA'!$F51&amp;";",ROW($1:$99),1),";")),"",ROW($1:$99)),COLUMN(K50)+1)-SMALL(IF(ISERROR(SEARCH(MID(";"&amp;'CASE DATA'!$F51&amp;";",ROW($1:$99),1),";")),"",ROW($1:$99)),COLUMN(K50))-1)</f>
        <v/>
      </c>
      <c r="AH51" s="75" t="str" cm="1">
        <f t="array" ref="AH51">MID(";"&amp;'CASE DATA'!$F51&amp;";",SMALL(IF(ISERROR(SEARCH(MID(";"&amp;'CASE DATA'!$F51&amp;";",ROW($1:$99),1),";")),"",ROW($1:$99)+1),COLUMN(L51)),SMALL(IF(ISERROR(SEARCH(MID(";"&amp;'CASE DATA'!$F51&amp;";",ROW($1:$99),1),";")),"",ROW($1:$99)),COLUMN(L50)+1)-SMALL(IF(ISERROR(SEARCH(MID(";"&amp;'CASE DATA'!$F51&amp;";",ROW($1:$99),1),";")),"",ROW($1:$99)),COLUMN(L50))-1)</f>
        <v/>
      </c>
      <c r="AI51" s="75" t="str" cm="1">
        <f t="array" ref="AI51">MID(";"&amp;'CASE DATA'!$F51&amp;";",SMALL(IF(ISERROR(SEARCH(MID(";"&amp;'CASE DATA'!$F51&amp;";",ROW($1:$99),1),";")),"",ROW($1:$99)+1),COLUMN(M51)),SMALL(IF(ISERROR(SEARCH(MID(";"&amp;'CASE DATA'!$F51&amp;";",ROW($1:$99),1),";")),"",ROW($1:$99)),COLUMN(M50)+1)-SMALL(IF(ISERROR(SEARCH(MID(";"&amp;'CASE DATA'!$F51&amp;";",ROW($1:$99),1),";")),"",ROW($1:$99)),COLUMN(M50))-1)</f>
        <v/>
      </c>
      <c r="AJ51"/>
      <c r="AK51"/>
      <c r="AL51"/>
      <c r="AM51"/>
      <c r="AN51"/>
      <c r="AO51"/>
      <c r="AP51"/>
      <c r="AQ51"/>
      <c r="AR51"/>
      <c r="AS51"/>
      <c r="AT51"/>
      <c r="AU51"/>
      <c r="AV51"/>
      <c r="AW51"/>
      <c r="AX51"/>
      <c r="AY51"/>
      <c r="AZ51"/>
      <c r="BA51"/>
      <c r="BB51"/>
      <c r="BC51"/>
      <c r="BD51"/>
      <c r="BE51"/>
      <c r="BF51"/>
      <c r="BG51"/>
      <c r="BH51"/>
      <c r="BI51"/>
      <c r="BJ51"/>
      <c r="BK51"/>
      <c r="BL51"/>
      <c r="BM51"/>
      <c r="BN51"/>
      <c r="BO51" s="99"/>
      <c r="BP51" s="99"/>
      <c r="BQ51" s="99"/>
      <c r="BR51" s="99"/>
      <c r="BS51" s="99"/>
      <c r="BT51" s="99"/>
      <c r="BU51" s="99"/>
      <c r="BV51" s="99"/>
      <c r="BW51" s="99"/>
      <c r="BX51" s="99"/>
      <c r="BY51" s="99"/>
      <c r="BZ51" s="99"/>
      <c r="CA51" s="99"/>
      <c r="CB51" s="99"/>
      <c r="CC51" s="99"/>
      <c r="CD51" s="99"/>
      <c r="CE51" s="99"/>
      <c r="CF51" s="99"/>
      <c r="CG51" s="99"/>
      <c r="CH51" s="99"/>
      <c r="CI51" s="99"/>
      <c r="CJ51" s="99"/>
      <c r="CK51" s="99"/>
      <c r="CL51" s="99"/>
      <c r="CM51" s="99"/>
      <c r="CN51" s="99"/>
      <c r="CO51" s="99"/>
      <c r="CP51" s="99"/>
      <c r="CQ51" s="99"/>
      <c r="CR51" s="99"/>
      <c r="CS51" s="99"/>
      <c r="CT51" s="99"/>
      <c r="CU51" s="99"/>
      <c r="CV51" s="99"/>
      <c r="CW51" s="99"/>
      <c r="CX51" s="99"/>
      <c r="CY51" s="99"/>
      <c r="CZ51" s="99"/>
      <c r="DA51" s="99"/>
      <c r="DB51" s="99"/>
      <c r="DC51" s="99"/>
      <c r="DD51" s="99"/>
      <c r="DE51" s="99"/>
      <c r="DF51" s="99"/>
      <c r="DG51" s="99"/>
      <c r="DH51" s="99"/>
      <c r="DI51" s="99"/>
      <c r="DJ51" s="99"/>
      <c r="DK51" s="99"/>
      <c r="DL51" s="99"/>
      <c r="DM51" s="99"/>
      <c r="DN51" s="99"/>
      <c r="DO51" s="99"/>
      <c r="DP51" s="99"/>
      <c r="DQ51" s="99"/>
      <c r="DR51" s="99"/>
      <c r="DS51" s="99"/>
      <c r="DT51" s="99"/>
      <c r="DU51" s="99"/>
      <c r="DV51" s="99"/>
      <c r="DW51" s="99"/>
      <c r="DX51" s="99"/>
      <c r="DY51" s="99"/>
      <c r="DZ51" s="99"/>
      <c r="EA51" s="99"/>
      <c r="EB51" s="99"/>
      <c r="EC51" s="99"/>
      <c r="ED51" s="99"/>
      <c r="EE51" s="99"/>
      <c r="EF51" s="99"/>
      <c r="EG51" s="99"/>
      <c r="EH51" s="99"/>
      <c r="EI51" s="99"/>
      <c r="EJ51" s="99"/>
      <c r="EK51" s="99"/>
      <c r="EL51" s="99"/>
      <c r="EM51" s="99"/>
      <c r="EN51" s="99"/>
      <c r="EO51" s="99"/>
      <c r="EP51" s="99"/>
      <c r="EQ51" s="99"/>
      <c r="ER51" s="99"/>
      <c r="ES51" s="99"/>
      <c r="ET51" s="99"/>
      <c r="EU51" s="99"/>
      <c r="EV51" s="99"/>
      <c r="EW51" s="99"/>
      <c r="EX51" s="99"/>
      <c r="EY51" s="99"/>
      <c r="EZ51" s="99"/>
      <c r="FA51" s="99"/>
      <c r="FB51" s="99"/>
      <c r="FC51" s="99"/>
      <c r="FD51" s="99"/>
      <c r="FE51" s="99"/>
      <c r="FF51" s="99"/>
      <c r="FG51" s="99"/>
      <c r="FH51" s="99"/>
      <c r="FI51" s="99"/>
      <c r="FJ51" s="99"/>
      <c r="FK51" s="99"/>
    </row>
    <row r="52" spans="1:167" x14ac:dyDescent="0.25">
      <c r="A52" s="11"/>
      <c r="C52" s="10"/>
      <c r="D52" s="10"/>
      <c r="E52" s="11"/>
      <c r="F52" s="15"/>
      <c r="J52" s="99">
        <v>49</v>
      </c>
      <c r="K52" s="16"/>
      <c r="L52" s="16"/>
      <c r="M52" s="16"/>
      <c r="N52" s="16"/>
      <c r="O52" s="16"/>
      <c r="P52" s="16"/>
      <c r="Q52" s="16"/>
      <c r="R52" s="16"/>
      <c r="S52" s="16"/>
      <c r="T52" s="16"/>
      <c r="U52" s="73">
        <f>SUM(K52:T52)</f>
        <v>0</v>
      </c>
      <c r="V52" s="73"/>
      <c r="X52" s="75" t="str" cm="1">
        <f t="array" ref="X52">MID(";"&amp;'CASE DATA'!$F52&amp;";",SMALL(IF(ISERROR(SEARCH(MID(";"&amp;'CASE DATA'!$F52&amp;";",ROW($1:$99),1),";")),"",ROW($1:$99)+1),COLUMN(A52)),SMALL(IF(ISERROR(SEARCH(MID(";"&amp;'CASE DATA'!$F52&amp;";",ROW($1:$99),1),";")),"",ROW($1:$99)),COLUMN(A51)+1)-SMALL(IF(ISERROR(SEARCH(MID(";"&amp;'CASE DATA'!$F52&amp;";",ROW($1:$99),1),";")),"",ROW($1:$99)),COLUMN(A51))-1)</f>
        <v/>
      </c>
      <c r="Y52" s="75" t="str" cm="1">
        <f t="array" ref="Y52">MID(";"&amp;'CASE DATA'!$F52&amp;";",SMALL(IF(ISERROR(SEARCH(MID(";"&amp;'CASE DATA'!$F52&amp;";",ROW($1:$99),1),";")),"",ROW($1:$99)+1),COLUMN(B52)),SMALL(IF(ISERROR(SEARCH(MID(";"&amp;'CASE DATA'!$F52&amp;";",ROW($1:$99),1),";")),"",ROW($1:$99)),COLUMN(B51)+1)-SMALL(IF(ISERROR(SEARCH(MID(";"&amp;'CASE DATA'!$F52&amp;";",ROW($1:$99),1),";")),"",ROW($1:$99)),COLUMN(B51))-1)</f>
        <v/>
      </c>
      <c r="Z52" s="75" t="str" cm="1">
        <f t="array" ref="Z52">MID(";"&amp;'CASE DATA'!$F52&amp;";",SMALL(IF(ISERROR(SEARCH(MID(";"&amp;'CASE DATA'!$F52&amp;";",ROW($1:$99),1),";")),"",ROW($1:$99)+1),COLUMN(C52)),SMALL(IF(ISERROR(SEARCH(MID(";"&amp;'CASE DATA'!$F52&amp;";",ROW($1:$99),1),";")),"",ROW($1:$99)),COLUMN(C51)+1)-SMALL(IF(ISERROR(SEARCH(MID(";"&amp;'CASE DATA'!$F52&amp;";",ROW($1:$99),1),";")),"",ROW($1:$99)),COLUMN(C51))-1)</f>
        <v/>
      </c>
      <c r="AA52" s="75" t="str" cm="1">
        <f t="array" ref="AA52">MID(";"&amp;'CASE DATA'!$F52&amp;";",SMALL(IF(ISERROR(SEARCH(MID(";"&amp;'CASE DATA'!$F52&amp;";",ROW($1:$99),1),";")),"",ROW($1:$99)+1),COLUMN(D52)),SMALL(IF(ISERROR(SEARCH(MID(";"&amp;'CASE DATA'!$F52&amp;";",ROW($1:$99),1),";")),"",ROW($1:$99)),COLUMN(D51)+1)-SMALL(IF(ISERROR(SEARCH(MID(";"&amp;'CASE DATA'!$F52&amp;";",ROW($1:$99),1),";")),"",ROW($1:$99)),COLUMN(D51))-1)</f>
        <v/>
      </c>
      <c r="AB52" s="75" t="str" cm="1">
        <f t="array" ref="AB52">MID(";"&amp;'CASE DATA'!$F52&amp;";",SMALL(IF(ISERROR(SEARCH(MID(";"&amp;'CASE DATA'!$F52&amp;";",ROW($1:$99),1),";")),"",ROW($1:$99)+1),COLUMN(E52)),SMALL(IF(ISERROR(SEARCH(MID(";"&amp;'CASE DATA'!$F52&amp;";",ROW($1:$99),1),";")),"",ROW($1:$99)),COLUMN(E51)+1)-SMALL(IF(ISERROR(SEARCH(MID(";"&amp;'CASE DATA'!$F52&amp;";",ROW($1:$99),1),";")),"",ROW($1:$99)),COLUMN(E51))-1)</f>
        <v/>
      </c>
      <c r="AC52" s="75" t="str" cm="1">
        <f t="array" ref="AC52">MID(";"&amp;'CASE DATA'!$F52&amp;";",SMALL(IF(ISERROR(SEARCH(MID(";"&amp;'CASE DATA'!$F52&amp;";",ROW($1:$99),1),";")),"",ROW($1:$99)+1),COLUMN(F52)),SMALL(IF(ISERROR(SEARCH(MID(";"&amp;'CASE DATA'!$F52&amp;";",ROW($1:$99),1),";")),"",ROW($1:$99)),COLUMN(F51)+1)-SMALL(IF(ISERROR(SEARCH(MID(";"&amp;'CASE DATA'!$F52&amp;";",ROW($1:$99),1),";")),"",ROW($1:$99)),COLUMN(F51))-1)</f>
        <v/>
      </c>
      <c r="AD52" s="75" t="str" cm="1">
        <f t="array" ref="AD52">MID(";"&amp;'CASE DATA'!$F52&amp;";",SMALL(IF(ISERROR(SEARCH(MID(";"&amp;'CASE DATA'!$F52&amp;";",ROW($1:$99),1),";")),"",ROW($1:$99)+1),COLUMN(G52)),SMALL(IF(ISERROR(SEARCH(MID(";"&amp;'CASE DATA'!$F52&amp;";",ROW($1:$99),1),";")),"",ROW($1:$99)),COLUMN(G51)+1)-SMALL(IF(ISERROR(SEARCH(MID(";"&amp;'CASE DATA'!$F52&amp;";",ROW($1:$99),1),";")),"",ROW($1:$99)),COLUMN(G51))-1)</f>
        <v/>
      </c>
      <c r="AE52" s="75" t="str" cm="1">
        <f t="array" ref="AE52">MID(";"&amp;'CASE DATA'!$F52&amp;";",SMALL(IF(ISERROR(SEARCH(MID(";"&amp;'CASE DATA'!$F52&amp;";",ROW($1:$99),1),";")),"",ROW($1:$99)+1),COLUMN(H52)),SMALL(IF(ISERROR(SEARCH(MID(";"&amp;'CASE DATA'!$F52&amp;";",ROW($1:$99),1),";")),"",ROW($1:$99)),COLUMN(H51)+1)-SMALL(IF(ISERROR(SEARCH(MID(";"&amp;'CASE DATA'!$F52&amp;";",ROW($1:$99),1),";")),"",ROW($1:$99)),COLUMN(H51))-1)</f>
        <v/>
      </c>
      <c r="AF52" s="75" t="str" cm="1">
        <f t="array" ref="AF52">MID(";"&amp;'CASE DATA'!$F52&amp;";",SMALL(IF(ISERROR(SEARCH(MID(";"&amp;'CASE DATA'!$F52&amp;";",ROW($1:$99),1),";")),"",ROW($1:$99)+1),COLUMN(I52)),SMALL(IF(ISERROR(SEARCH(MID(";"&amp;'CASE DATA'!$F52&amp;";",ROW($1:$99),1),";")),"",ROW($1:$99)),COLUMN(I51)+1)-SMALL(IF(ISERROR(SEARCH(MID(";"&amp;'CASE DATA'!$F52&amp;";",ROW($1:$99),1),";")),"",ROW($1:$99)),COLUMN(I51))-1)</f>
        <v/>
      </c>
      <c r="AG52" s="75" t="str" cm="1">
        <f t="array" ref="AG52">MID(";"&amp;'CASE DATA'!$F52&amp;";",SMALL(IF(ISERROR(SEARCH(MID(";"&amp;'CASE DATA'!$F52&amp;";",ROW($1:$99),1),";")),"",ROW($1:$99)+1),COLUMN(K52)),SMALL(IF(ISERROR(SEARCH(MID(";"&amp;'CASE DATA'!$F52&amp;";",ROW($1:$99),1),";")),"",ROW($1:$99)),COLUMN(K51)+1)-SMALL(IF(ISERROR(SEARCH(MID(";"&amp;'CASE DATA'!$F52&amp;";",ROW($1:$99),1),";")),"",ROW($1:$99)),COLUMN(K51))-1)</f>
        <v/>
      </c>
      <c r="AH52" s="75" t="str" cm="1">
        <f t="array" ref="AH52">MID(";"&amp;'CASE DATA'!$F52&amp;";",SMALL(IF(ISERROR(SEARCH(MID(";"&amp;'CASE DATA'!$F52&amp;";",ROW($1:$99),1),";")),"",ROW($1:$99)+1),COLUMN(L52)),SMALL(IF(ISERROR(SEARCH(MID(";"&amp;'CASE DATA'!$F52&amp;";",ROW($1:$99),1),";")),"",ROW($1:$99)),COLUMN(L51)+1)-SMALL(IF(ISERROR(SEARCH(MID(";"&amp;'CASE DATA'!$F52&amp;";",ROW($1:$99),1),";")),"",ROW($1:$99)),COLUMN(L51))-1)</f>
        <v/>
      </c>
      <c r="AI52" s="75" t="str" cm="1">
        <f t="array" ref="AI52">MID(";"&amp;'CASE DATA'!$F52&amp;";",SMALL(IF(ISERROR(SEARCH(MID(";"&amp;'CASE DATA'!$F52&amp;";",ROW($1:$99),1),";")),"",ROW($1:$99)+1),COLUMN(M52)),SMALL(IF(ISERROR(SEARCH(MID(";"&amp;'CASE DATA'!$F52&amp;";",ROW($1:$99),1),";")),"",ROW($1:$99)),COLUMN(M51)+1)-SMALL(IF(ISERROR(SEARCH(MID(";"&amp;'CASE DATA'!$F52&amp;";",ROW($1:$99),1),";")),"",ROW($1:$99)),COLUMN(M51))-1)</f>
        <v/>
      </c>
      <c r="BO52" s="99"/>
      <c r="BP52" s="99"/>
      <c r="BQ52" s="99"/>
      <c r="BR52" s="99"/>
      <c r="BS52" s="99"/>
      <c r="BT52" s="99"/>
      <c r="BU52" s="99"/>
      <c r="BV52" s="99"/>
      <c r="BW52" s="99"/>
      <c r="BX52" s="99"/>
      <c r="BY52" s="99"/>
      <c r="BZ52" s="99"/>
      <c r="CA52" s="99"/>
      <c r="CB52" s="99"/>
      <c r="CC52" s="99"/>
      <c r="CD52" s="99"/>
      <c r="CE52" s="99"/>
      <c r="CF52" s="99"/>
      <c r="CG52" s="99"/>
      <c r="CH52" s="99"/>
      <c r="CI52" s="99"/>
      <c r="CJ52" s="99"/>
      <c r="CK52" s="99"/>
      <c r="CL52" s="99"/>
      <c r="CM52" s="99"/>
      <c r="CN52" s="99"/>
      <c r="CO52" s="99"/>
      <c r="CP52" s="99"/>
      <c r="CQ52" s="99"/>
      <c r="CR52" s="99"/>
      <c r="CS52" s="99"/>
      <c r="CT52" s="99"/>
      <c r="CU52" s="99"/>
      <c r="CV52" s="99"/>
      <c r="CW52" s="99"/>
      <c r="CX52" s="99"/>
      <c r="CY52" s="99"/>
      <c r="CZ52" s="99"/>
      <c r="DA52" s="99"/>
      <c r="DB52" s="99"/>
      <c r="DC52" s="99"/>
      <c r="DD52" s="99"/>
      <c r="DE52" s="99"/>
      <c r="DF52" s="99"/>
      <c r="DG52" s="99"/>
      <c r="DH52" s="99"/>
      <c r="DI52" s="99"/>
      <c r="DJ52" s="99"/>
      <c r="DK52" s="99"/>
      <c r="DL52" s="99"/>
      <c r="DM52" s="99"/>
      <c r="DN52" s="99"/>
      <c r="DO52" s="99"/>
      <c r="DP52" s="99"/>
      <c r="DQ52" s="99"/>
      <c r="DR52" s="99"/>
      <c r="DS52" s="99"/>
      <c r="DT52" s="99"/>
      <c r="DU52" s="99"/>
      <c r="DV52" s="99"/>
      <c r="DW52" s="99"/>
      <c r="DX52" s="99"/>
      <c r="DY52" s="99"/>
      <c r="DZ52" s="99"/>
      <c r="EA52" s="99"/>
      <c r="EB52" s="99"/>
      <c r="EC52" s="99"/>
      <c r="ED52" s="99"/>
      <c r="EE52" s="99"/>
      <c r="EF52" s="99"/>
      <c r="EG52" s="99"/>
      <c r="EH52" s="99"/>
      <c r="EI52" s="99"/>
      <c r="EJ52" s="99"/>
      <c r="EK52" s="99"/>
      <c r="EL52" s="99"/>
      <c r="EM52" s="99"/>
      <c r="EN52" s="99"/>
      <c r="EO52" s="99"/>
      <c r="EP52" s="99"/>
      <c r="EQ52" s="99"/>
      <c r="ER52" s="99"/>
      <c r="ES52" s="99"/>
      <c r="ET52" s="99"/>
      <c r="EU52" s="99"/>
      <c r="EV52" s="99"/>
      <c r="EW52" s="99"/>
      <c r="EX52" s="99"/>
      <c r="EY52" s="99"/>
      <c r="EZ52" s="99"/>
      <c r="FA52" s="99"/>
      <c r="FB52" s="99"/>
      <c r="FC52" s="99"/>
      <c r="FD52" s="99"/>
      <c r="FE52" s="99"/>
      <c r="FF52" s="99"/>
      <c r="FG52" s="99"/>
      <c r="FH52" s="99"/>
      <c r="FI52" s="99"/>
      <c r="FJ52" s="99"/>
      <c r="FK52" s="99"/>
    </row>
    <row r="53" spans="1:167" x14ac:dyDescent="0.25">
      <c r="A53" s="11"/>
      <c r="C53" s="10"/>
      <c r="D53" s="10"/>
      <c r="E53" s="11"/>
      <c r="F53" s="15"/>
      <c r="J53" s="99">
        <v>50</v>
      </c>
      <c r="K53" s="16"/>
      <c r="L53" s="16"/>
      <c r="M53" s="16"/>
      <c r="N53" s="16"/>
      <c r="O53" s="16"/>
      <c r="P53" s="16"/>
      <c r="Q53" s="16"/>
      <c r="R53" s="16"/>
      <c r="S53" s="16"/>
      <c r="T53" s="16"/>
      <c r="U53" s="73">
        <f>SUM(K53:T53)</f>
        <v>0</v>
      </c>
      <c r="V53" s="73"/>
      <c r="X53" s="75" t="str" cm="1">
        <f t="array" ref="X53">MID(";"&amp;'CASE DATA'!$F53&amp;";",SMALL(IF(ISERROR(SEARCH(MID(";"&amp;'CASE DATA'!$F53&amp;";",ROW($1:$99),1),";")),"",ROW($1:$99)+1),COLUMN(A53)),SMALL(IF(ISERROR(SEARCH(MID(";"&amp;'CASE DATA'!$F53&amp;";",ROW($1:$99),1),";")),"",ROW($1:$99)),COLUMN(A52)+1)-SMALL(IF(ISERROR(SEARCH(MID(";"&amp;'CASE DATA'!$F53&amp;";",ROW($1:$99),1),";")),"",ROW($1:$99)),COLUMN(A52))-1)</f>
        <v/>
      </c>
      <c r="Y53" s="75" t="str" cm="1">
        <f t="array" ref="Y53">MID(";"&amp;'CASE DATA'!$F53&amp;";",SMALL(IF(ISERROR(SEARCH(MID(";"&amp;'CASE DATA'!$F53&amp;";",ROW($1:$99),1),";")),"",ROW($1:$99)+1),COLUMN(B53)),SMALL(IF(ISERROR(SEARCH(MID(";"&amp;'CASE DATA'!$F53&amp;";",ROW($1:$99),1),";")),"",ROW($1:$99)),COLUMN(B52)+1)-SMALL(IF(ISERROR(SEARCH(MID(";"&amp;'CASE DATA'!$F53&amp;";",ROW($1:$99),1),";")),"",ROW($1:$99)),COLUMN(B52))-1)</f>
        <v/>
      </c>
      <c r="Z53" s="75" t="str" cm="1">
        <f t="array" ref="Z53">MID(";"&amp;'CASE DATA'!$F53&amp;";",SMALL(IF(ISERROR(SEARCH(MID(";"&amp;'CASE DATA'!$F53&amp;";",ROW($1:$99),1),";")),"",ROW($1:$99)+1),COLUMN(C53)),SMALL(IF(ISERROR(SEARCH(MID(";"&amp;'CASE DATA'!$F53&amp;";",ROW($1:$99),1),";")),"",ROW($1:$99)),COLUMN(C52)+1)-SMALL(IF(ISERROR(SEARCH(MID(";"&amp;'CASE DATA'!$F53&amp;";",ROW($1:$99),1),";")),"",ROW($1:$99)),COLUMN(C52))-1)</f>
        <v/>
      </c>
      <c r="AA53" s="75" t="str" cm="1">
        <f t="array" ref="AA53">MID(";"&amp;'CASE DATA'!$F53&amp;";",SMALL(IF(ISERROR(SEARCH(MID(";"&amp;'CASE DATA'!$F53&amp;";",ROW($1:$99),1),";")),"",ROW($1:$99)+1),COLUMN(D53)),SMALL(IF(ISERROR(SEARCH(MID(";"&amp;'CASE DATA'!$F53&amp;";",ROW($1:$99),1),";")),"",ROW($1:$99)),COLUMN(D52)+1)-SMALL(IF(ISERROR(SEARCH(MID(";"&amp;'CASE DATA'!$F53&amp;";",ROW($1:$99),1),";")),"",ROW($1:$99)),COLUMN(D52))-1)</f>
        <v/>
      </c>
      <c r="AB53" s="75" t="str" cm="1">
        <f t="array" ref="AB53">MID(";"&amp;'CASE DATA'!$F53&amp;";",SMALL(IF(ISERROR(SEARCH(MID(";"&amp;'CASE DATA'!$F53&amp;";",ROW($1:$99),1),";")),"",ROW($1:$99)+1),COLUMN(E53)),SMALL(IF(ISERROR(SEARCH(MID(";"&amp;'CASE DATA'!$F53&amp;";",ROW($1:$99),1),";")),"",ROW($1:$99)),COLUMN(E52)+1)-SMALL(IF(ISERROR(SEARCH(MID(";"&amp;'CASE DATA'!$F53&amp;";",ROW($1:$99),1),";")),"",ROW($1:$99)),COLUMN(E52))-1)</f>
        <v/>
      </c>
      <c r="AC53" s="75" t="str" cm="1">
        <f t="array" ref="AC53">MID(";"&amp;'CASE DATA'!$F53&amp;";",SMALL(IF(ISERROR(SEARCH(MID(";"&amp;'CASE DATA'!$F53&amp;";",ROW($1:$99),1),";")),"",ROW($1:$99)+1),COLUMN(F53)),SMALL(IF(ISERROR(SEARCH(MID(";"&amp;'CASE DATA'!$F53&amp;";",ROW($1:$99),1),";")),"",ROW($1:$99)),COLUMN(F52)+1)-SMALL(IF(ISERROR(SEARCH(MID(";"&amp;'CASE DATA'!$F53&amp;";",ROW($1:$99),1),";")),"",ROW($1:$99)),COLUMN(F52))-1)</f>
        <v/>
      </c>
      <c r="AD53" s="75" t="str" cm="1">
        <f t="array" ref="AD53">MID(";"&amp;'CASE DATA'!$F53&amp;";",SMALL(IF(ISERROR(SEARCH(MID(";"&amp;'CASE DATA'!$F53&amp;";",ROW($1:$99),1),";")),"",ROW($1:$99)+1),COLUMN(G53)),SMALL(IF(ISERROR(SEARCH(MID(";"&amp;'CASE DATA'!$F53&amp;";",ROW($1:$99),1),";")),"",ROW($1:$99)),COLUMN(G52)+1)-SMALL(IF(ISERROR(SEARCH(MID(";"&amp;'CASE DATA'!$F53&amp;";",ROW($1:$99),1),";")),"",ROW($1:$99)),COLUMN(G52))-1)</f>
        <v/>
      </c>
      <c r="AE53" s="75" t="str" cm="1">
        <f t="array" ref="AE53">MID(";"&amp;'CASE DATA'!$F53&amp;";",SMALL(IF(ISERROR(SEARCH(MID(";"&amp;'CASE DATA'!$F53&amp;";",ROW($1:$99),1),";")),"",ROW($1:$99)+1),COLUMN(H53)),SMALL(IF(ISERROR(SEARCH(MID(";"&amp;'CASE DATA'!$F53&amp;";",ROW($1:$99),1),";")),"",ROW($1:$99)),COLUMN(H52)+1)-SMALL(IF(ISERROR(SEARCH(MID(";"&amp;'CASE DATA'!$F53&amp;";",ROW($1:$99),1),";")),"",ROW($1:$99)),COLUMN(H52))-1)</f>
        <v/>
      </c>
      <c r="AF53" s="75" t="str" cm="1">
        <f t="array" ref="AF53">MID(";"&amp;'CASE DATA'!$F53&amp;";",SMALL(IF(ISERROR(SEARCH(MID(";"&amp;'CASE DATA'!$F53&amp;";",ROW($1:$99),1),";")),"",ROW($1:$99)+1),COLUMN(I53)),SMALL(IF(ISERROR(SEARCH(MID(";"&amp;'CASE DATA'!$F53&amp;";",ROW($1:$99),1),";")),"",ROW($1:$99)),COLUMN(I52)+1)-SMALL(IF(ISERROR(SEARCH(MID(";"&amp;'CASE DATA'!$F53&amp;";",ROW($1:$99),1),";")),"",ROW($1:$99)),COLUMN(I52))-1)</f>
        <v/>
      </c>
      <c r="AG53" s="75" t="str" cm="1">
        <f t="array" ref="AG53">MID(";"&amp;'CASE DATA'!$F53&amp;";",SMALL(IF(ISERROR(SEARCH(MID(";"&amp;'CASE DATA'!$F53&amp;";",ROW($1:$99),1),";")),"",ROW($1:$99)+1),COLUMN(K53)),SMALL(IF(ISERROR(SEARCH(MID(";"&amp;'CASE DATA'!$F53&amp;";",ROW($1:$99),1),";")),"",ROW($1:$99)),COLUMN(K52)+1)-SMALL(IF(ISERROR(SEARCH(MID(";"&amp;'CASE DATA'!$F53&amp;";",ROW($1:$99),1),";")),"",ROW($1:$99)),COLUMN(K52))-1)</f>
        <v/>
      </c>
      <c r="AH53" s="75" t="str" cm="1">
        <f t="array" ref="AH53">MID(";"&amp;'CASE DATA'!$F53&amp;";",SMALL(IF(ISERROR(SEARCH(MID(";"&amp;'CASE DATA'!$F53&amp;";",ROW($1:$99),1),";")),"",ROW($1:$99)+1),COLUMN(L53)),SMALL(IF(ISERROR(SEARCH(MID(";"&amp;'CASE DATA'!$F53&amp;";",ROW($1:$99),1),";")),"",ROW($1:$99)),COLUMN(L52)+1)-SMALL(IF(ISERROR(SEARCH(MID(";"&amp;'CASE DATA'!$F53&amp;";",ROW($1:$99),1),";")),"",ROW($1:$99)),COLUMN(L52))-1)</f>
        <v/>
      </c>
      <c r="AI53" s="75" t="str" cm="1">
        <f t="array" ref="AI53">MID(";"&amp;'CASE DATA'!$F53&amp;";",SMALL(IF(ISERROR(SEARCH(MID(";"&amp;'CASE DATA'!$F53&amp;";",ROW($1:$99),1),";")),"",ROW($1:$99)+1),COLUMN(M53)),SMALL(IF(ISERROR(SEARCH(MID(";"&amp;'CASE DATA'!$F53&amp;";",ROW($1:$99),1),";")),"",ROW($1:$99)),COLUMN(M52)+1)-SMALL(IF(ISERROR(SEARCH(MID(";"&amp;'CASE DATA'!$F53&amp;";",ROW($1:$99),1),";")),"",ROW($1:$99)),COLUMN(M52))-1)</f>
        <v/>
      </c>
      <c r="BO53" s="99"/>
      <c r="BP53" s="99"/>
      <c r="BQ53" s="99"/>
      <c r="BR53" s="99"/>
      <c r="BS53" s="99"/>
      <c r="BT53" s="99"/>
      <c r="BU53" s="99"/>
      <c r="BV53" s="99"/>
      <c r="BW53" s="99"/>
      <c r="BX53" s="99"/>
      <c r="BY53" s="99"/>
      <c r="BZ53" s="99"/>
      <c r="CA53" s="99"/>
      <c r="CB53" s="99"/>
      <c r="CC53" s="99"/>
      <c r="CD53" s="99"/>
      <c r="CE53" s="99"/>
      <c r="CF53" s="99"/>
      <c r="CG53" s="99"/>
      <c r="CH53" s="99"/>
      <c r="CI53" s="99"/>
      <c r="CJ53" s="99"/>
      <c r="CK53" s="99"/>
      <c r="CL53" s="99"/>
      <c r="CM53" s="99"/>
      <c r="CN53" s="99"/>
      <c r="CO53" s="99"/>
      <c r="CP53" s="99"/>
      <c r="CQ53" s="99"/>
      <c r="CR53" s="99"/>
      <c r="CS53" s="99"/>
      <c r="CT53" s="99"/>
      <c r="CU53" s="99"/>
      <c r="CV53" s="99"/>
      <c r="CW53" s="99"/>
      <c r="CX53" s="99"/>
      <c r="CY53" s="99"/>
      <c r="CZ53" s="99"/>
      <c r="DA53" s="99"/>
      <c r="DB53" s="99"/>
      <c r="DC53" s="99"/>
      <c r="DD53" s="99"/>
      <c r="DE53" s="99"/>
      <c r="DF53" s="99"/>
      <c r="DG53" s="99"/>
      <c r="DH53" s="99"/>
      <c r="DI53" s="99"/>
      <c r="DJ53" s="99"/>
      <c r="DK53" s="99"/>
      <c r="DL53" s="99"/>
      <c r="DM53" s="99"/>
      <c r="DN53" s="99"/>
      <c r="DO53" s="99"/>
      <c r="DP53" s="99"/>
      <c r="DQ53" s="99"/>
      <c r="DR53" s="99"/>
      <c r="DS53" s="99"/>
      <c r="DT53" s="99"/>
      <c r="DU53" s="99"/>
      <c r="DV53" s="99"/>
      <c r="DW53" s="99"/>
      <c r="DX53" s="99"/>
      <c r="DY53" s="99"/>
      <c r="DZ53" s="99"/>
      <c r="EA53" s="99"/>
      <c r="EB53" s="99"/>
      <c r="EC53" s="99"/>
      <c r="ED53" s="99"/>
      <c r="EE53" s="99"/>
      <c r="EF53" s="99"/>
      <c r="EG53" s="99"/>
      <c r="EH53" s="99"/>
      <c r="EI53" s="99"/>
      <c r="EJ53" s="99"/>
      <c r="EK53" s="99"/>
      <c r="EL53" s="99"/>
      <c r="EM53" s="99"/>
      <c r="EN53" s="99"/>
      <c r="EO53" s="99"/>
      <c r="EP53" s="99"/>
      <c r="EQ53" s="99"/>
      <c r="ER53" s="99"/>
      <c r="ES53" s="99"/>
      <c r="ET53" s="99"/>
      <c r="EU53" s="99"/>
      <c r="EV53" s="99"/>
      <c r="EW53" s="99"/>
      <c r="EX53" s="99"/>
      <c r="EY53" s="99"/>
      <c r="EZ53" s="99"/>
      <c r="FA53" s="99"/>
      <c r="FB53" s="99"/>
      <c r="FC53" s="99"/>
      <c r="FD53" s="99"/>
      <c r="FE53" s="99"/>
      <c r="FF53" s="99"/>
      <c r="FG53" s="99"/>
      <c r="FH53" s="99"/>
      <c r="FI53" s="99"/>
      <c r="FJ53" s="99"/>
      <c r="FK53" s="99"/>
    </row>
    <row r="54" spans="1:167" s="68" customFormat="1" x14ac:dyDescent="0.25">
      <c r="A54"/>
      <c r="B54"/>
      <c r="C54" s="10"/>
      <c r="D54" s="10"/>
      <c r="E54" s="11"/>
      <c r="F54" s="15"/>
      <c r="G54"/>
      <c r="H54" s="99"/>
      <c r="I54" s="99"/>
      <c r="J54" s="99">
        <v>51</v>
      </c>
      <c r="K54" s="16"/>
      <c r="L54" s="16"/>
      <c r="M54" s="16"/>
      <c r="N54" s="16"/>
      <c r="O54" s="16"/>
      <c r="P54" s="16"/>
      <c r="Q54" s="16"/>
      <c r="R54" s="16"/>
      <c r="S54" s="16"/>
      <c r="T54" s="16"/>
      <c r="U54" s="73">
        <f>SUM(K54:T54)</f>
        <v>0</v>
      </c>
      <c r="V54" s="73"/>
      <c r="W54"/>
      <c r="X54" s="75" t="str" cm="1">
        <f t="array" ref="X54">MID(";"&amp;'CASE DATA'!$F54&amp;";",SMALL(IF(ISERROR(SEARCH(MID(";"&amp;'CASE DATA'!$F54&amp;";",ROW($1:$99),1),";")),"",ROW($1:$99)+1),COLUMN(A54)),SMALL(IF(ISERROR(SEARCH(MID(";"&amp;'CASE DATA'!$F54&amp;";",ROW($1:$99),1),";")),"",ROW($1:$99)),COLUMN(A53)+1)-SMALL(IF(ISERROR(SEARCH(MID(";"&amp;'CASE DATA'!$F54&amp;";",ROW($1:$99),1),";")),"",ROW($1:$99)),COLUMN(A53))-1)</f>
        <v/>
      </c>
      <c r="Y54" s="75" t="str" cm="1">
        <f t="array" ref="Y54">MID(";"&amp;'CASE DATA'!$F54&amp;";",SMALL(IF(ISERROR(SEARCH(MID(";"&amp;'CASE DATA'!$F54&amp;";",ROW($1:$99),1),";")),"",ROW($1:$99)+1),COLUMN(B54)),SMALL(IF(ISERROR(SEARCH(MID(";"&amp;'CASE DATA'!$F54&amp;";",ROW($1:$99),1),";")),"",ROW($1:$99)),COLUMN(B53)+1)-SMALL(IF(ISERROR(SEARCH(MID(";"&amp;'CASE DATA'!$F54&amp;";",ROW($1:$99),1),";")),"",ROW($1:$99)),COLUMN(B53))-1)</f>
        <v/>
      </c>
      <c r="Z54" s="75" t="str" cm="1">
        <f t="array" ref="Z54">MID(";"&amp;'CASE DATA'!$F54&amp;";",SMALL(IF(ISERROR(SEARCH(MID(";"&amp;'CASE DATA'!$F54&amp;";",ROW($1:$99),1),";")),"",ROW($1:$99)+1),COLUMN(C54)),SMALL(IF(ISERROR(SEARCH(MID(";"&amp;'CASE DATA'!$F54&amp;";",ROW($1:$99),1),";")),"",ROW($1:$99)),COLUMN(C53)+1)-SMALL(IF(ISERROR(SEARCH(MID(";"&amp;'CASE DATA'!$F54&amp;";",ROW($1:$99),1),";")),"",ROW($1:$99)),COLUMN(C53))-1)</f>
        <v/>
      </c>
      <c r="AA54" s="75" t="str" cm="1">
        <f t="array" ref="AA54">MID(";"&amp;'CASE DATA'!$F54&amp;";",SMALL(IF(ISERROR(SEARCH(MID(";"&amp;'CASE DATA'!$F54&amp;";",ROW($1:$99),1),";")),"",ROW($1:$99)+1),COLUMN(D54)),SMALL(IF(ISERROR(SEARCH(MID(";"&amp;'CASE DATA'!$F54&amp;";",ROW($1:$99),1),";")),"",ROW($1:$99)),COLUMN(D53)+1)-SMALL(IF(ISERROR(SEARCH(MID(";"&amp;'CASE DATA'!$F54&amp;";",ROW($1:$99),1),";")),"",ROW($1:$99)),COLUMN(D53))-1)</f>
        <v/>
      </c>
      <c r="AB54" s="75" t="str" cm="1">
        <f t="array" ref="AB54">MID(";"&amp;'CASE DATA'!$F54&amp;";",SMALL(IF(ISERROR(SEARCH(MID(";"&amp;'CASE DATA'!$F54&amp;";",ROW($1:$99),1),";")),"",ROW($1:$99)+1),COLUMN(E54)),SMALL(IF(ISERROR(SEARCH(MID(";"&amp;'CASE DATA'!$F54&amp;";",ROW($1:$99),1),";")),"",ROW($1:$99)),COLUMN(E53)+1)-SMALL(IF(ISERROR(SEARCH(MID(";"&amp;'CASE DATA'!$F54&amp;";",ROW($1:$99),1),";")),"",ROW($1:$99)),COLUMN(E53))-1)</f>
        <v/>
      </c>
      <c r="AC54" s="75" t="str" cm="1">
        <f t="array" ref="AC54">MID(";"&amp;'CASE DATA'!$F54&amp;";",SMALL(IF(ISERROR(SEARCH(MID(";"&amp;'CASE DATA'!$F54&amp;";",ROW($1:$99),1),";")),"",ROW($1:$99)+1),COLUMN(F54)),SMALL(IF(ISERROR(SEARCH(MID(";"&amp;'CASE DATA'!$F54&amp;";",ROW($1:$99),1),";")),"",ROW($1:$99)),COLUMN(F53)+1)-SMALL(IF(ISERROR(SEARCH(MID(";"&amp;'CASE DATA'!$F54&amp;";",ROW($1:$99),1),";")),"",ROW($1:$99)),COLUMN(F53))-1)</f>
        <v/>
      </c>
      <c r="AD54" s="75" t="str" cm="1">
        <f t="array" ref="AD54">MID(";"&amp;'CASE DATA'!$F54&amp;";",SMALL(IF(ISERROR(SEARCH(MID(";"&amp;'CASE DATA'!$F54&amp;";",ROW($1:$99),1),";")),"",ROW($1:$99)+1),COLUMN(G54)),SMALL(IF(ISERROR(SEARCH(MID(";"&amp;'CASE DATA'!$F54&amp;";",ROW($1:$99),1),";")),"",ROW($1:$99)),COLUMN(G53)+1)-SMALL(IF(ISERROR(SEARCH(MID(";"&amp;'CASE DATA'!$F54&amp;";",ROW($1:$99),1),";")),"",ROW($1:$99)),COLUMN(G53))-1)</f>
        <v/>
      </c>
      <c r="AE54" s="75" t="str" cm="1">
        <f t="array" ref="AE54">MID(";"&amp;'CASE DATA'!$F54&amp;";",SMALL(IF(ISERROR(SEARCH(MID(";"&amp;'CASE DATA'!$F54&amp;";",ROW($1:$99),1),";")),"",ROW($1:$99)+1),COLUMN(H54)),SMALL(IF(ISERROR(SEARCH(MID(";"&amp;'CASE DATA'!$F54&amp;";",ROW($1:$99),1),";")),"",ROW($1:$99)),COLUMN(H53)+1)-SMALL(IF(ISERROR(SEARCH(MID(";"&amp;'CASE DATA'!$F54&amp;";",ROW($1:$99),1),";")),"",ROW($1:$99)),COLUMN(H53))-1)</f>
        <v/>
      </c>
      <c r="AF54" s="75" t="str" cm="1">
        <f t="array" ref="AF54">MID(";"&amp;'CASE DATA'!$F54&amp;";",SMALL(IF(ISERROR(SEARCH(MID(";"&amp;'CASE DATA'!$F54&amp;";",ROW($1:$99),1),";")),"",ROW($1:$99)+1),COLUMN(I54)),SMALL(IF(ISERROR(SEARCH(MID(";"&amp;'CASE DATA'!$F54&amp;";",ROW($1:$99),1),";")),"",ROW($1:$99)),COLUMN(I53)+1)-SMALL(IF(ISERROR(SEARCH(MID(";"&amp;'CASE DATA'!$F54&amp;";",ROW($1:$99),1),";")),"",ROW($1:$99)),COLUMN(I53))-1)</f>
        <v/>
      </c>
      <c r="AG54" s="75" t="str" cm="1">
        <f t="array" ref="AG54">MID(";"&amp;'CASE DATA'!$F54&amp;";",SMALL(IF(ISERROR(SEARCH(MID(";"&amp;'CASE DATA'!$F54&amp;";",ROW($1:$99),1),";")),"",ROW($1:$99)+1),COLUMN(K54)),SMALL(IF(ISERROR(SEARCH(MID(";"&amp;'CASE DATA'!$F54&amp;";",ROW($1:$99),1),";")),"",ROW($1:$99)),COLUMN(K53)+1)-SMALL(IF(ISERROR(SEARCH(MID(";"&amp;'CASE DATA'!$F54&amp;";",ROW($1:$99),1),";")),"",ROW($1:$99)),COLUMN(K53))-1)</f>
        <v/>
      </c>
      <c r="AH54" s="75" t="str" cm="1">
        <f t="array" ref="AH54">MID(";"&amp;'CASE DATA'!$F54&amp;";",SMALL(IF(ISERROR(SEARCH(MID(";"&amp;'CASE DATA'!$F54&amp;";",ROW($1:$99),1),";")),"",ROW($1:$99)+1),COLUMN(L54)),SMALL(IF(ISERROR(SEARCH(MID(";"&amp;'CASE DATA'!$F54&amp;";",ROW($1:$99),1),";")),"",ROW($1:$99)),COLUMN(L53)+1)-SMALL(IF(ISERROR(SEARCH(MID(";"&amp;'CASE DATA'!$F54&amp;";",ROW($1:$99),1),";")),"",ROW($1:$99)),COLUMN(L53))-1)</f>
        <v/>
      </c>
      <c r="AI54" s="75" t="str" cm="1">
        <f t="array" ref="AI54">MID(";"&amp;'CASE DATA'!$F54&amp;";",SMALL(IF(ISERROR(SEARCH(MID(";"&amp;'CASE DATA'!$F54&amp;";",ROW($1:$99),1),";")),"",ROW($1:$99)+1),COLUMN(M54)),SMALL(IF(ISERROR(SEARCH(MID(";"&amp;'CASE DATA'!$F54&amp;";",ROW($1:$99),1),";")),"",ROW($1:$99)),COLUMN(M53)+1)-SMALL(IF(ISERROR(SEARCH(MID(";"&amp;'CASE DATA'!$F54&amp;";",ROW($1:$99),1),";")),"",ROW($1:$99)),COLUMN(M53))-1)</f>
        <v/>
      </c>
      <c r="AJ54"/>
      <c r="AK54"/>
      <c r="AL54"/>
      <c r="AM54"/>
      <c r="AN54"/>
      <c r="AO54"/>
      <c r="AP54"/>
      <c r="AQ54"/>
      <c r="AR54"/>
      <c r="AS54"/>
      <c r="AT54"/>
      <c r="AU54"/>
      <c r="AV54"/>
      <c r="AW54"/>
      <c r="AX54"/>
      <c r="AY54"/>
      <c r="AZ54"/>
      <c r="BA54"/>
      <c r="BB54"/>
      <c r="BC54"/>
      <c r="BD54"/>
      <c r="BE54"/>
      <c r="BF54"/>
      <c r="BG54"/>
      <c r="BH54"/>
      <c r="BI54"/>
      <c r="BJ54"/>
      <c r="BK54"/>
      <c r="BL54"/>
      <c r="BM54"/>
      <c r="BN54"/>
      <c r="BO54" s="99"/>
      <c r="BP54" s="99"/>
      <c r="BQ54" s="99"/>
      <c r="BR54" s="99"/>
      <c r="BS54" s="99"/>
      <c r="BT54" s="99"/>
      <c r="BU54" s="99"/>
      <c r="BV54" s="99"/>
      <c r="BW54" s="99"/>
      <c r="BX54" s="99"/>
      <c r="BY54" s="99"/>
      <c r="BZ54" s="99"/>
      <c r="CA54" s="99"/>
      <c r="CB54" s="99"/>
      <c r="CC54" s="99"/>
      <c r="CD54" s="99"/>
      <c r="CE54" s="99"/>
      <c r="CF54" s="99"/>
      <c r="CG54" s="99"/>
      <c r="CH54" s="99"/>
      <c r="CI54" s="99"/>
      <c r="CJ54" s="99"/>
      <c r="CK54" s="99"/>
      <c r="CL54" s="99"/>
      <c r="CM54" s="99"/>
      <c r="CN54" s="99"/>
      <c r="CO54" s="99"/>
      <c r="CP54" s="99"/>
      <c r="CQ54" s="99"/>
      <c r="CR54" s="99"/>
      <c r="CS54" s="99"/>
      <c r="CT54" s="99"/>
      <c r="CU54" s="99"/>
      <c r="CV54" s="99"/>
      <c r="CW54" s="99"/>
      <c r="CX54" s="99"/>
      <c r="CY54" s="99"/>
      <c r="CZ54" s="99"/>
      <c r="DA54" s="99"/>
      <c r="DB54" s="99"/>
      <c r="DC54" s="99"/>
      <c r="DD54" s="99"/>
      <c r="DE54" s="99"/>
      <c r="DF54" s="99"/>
      <c r="DG54" s="99"/>
      <c r="DH54" s="99"/>
      <c r="DI54" s="99"/>
      <c r="DJ54" s="99"/>
      <c r="DK54" s="99"/>
      <c r="DL54" s="99"/>
      <c r="DM54" s="99"/>
      <c r="DN54" s="99"/>
      <c r="DO54" s="99"/>
      <c r="DP54" s="99"/>
      <c r="DQ54" s="99"/>
      <c r="DR54" s="99"/>
      <c r="DS54" s="99"/>
      <c r="DT54" s="99"/>
      <c r="DU54" s="99"/>
      <c r="DV54" s="99"/>
      <c r="DW54" s="99"/>
      <c r="DX54" s="99"/>
      <c r="DY54" s="99"/>
      <c r="DZ54" s="99"/>
      <c r="EA54" s="99"/>
      <c r="EB54" s="99"/>
      <c r="EC54" s="99"/>
      <c r="ED54" s="99"/>
      <c r="EE54" s="99"/>
      <c r="EF54" s="99"/>
      <c r="EG54" s="99"/>
      <c r="EH54" s="99"/>
      <c r="EI54" s="99"/>
      <c r="EJ54" s="99"/>
      <c r="EK54" s="99"/>
      <c r="EL54" s="99"/>
      <c r="EM54" s="99"/>
      <c r="EN54" s="99"/>
      <c r="EO54" s="99"/>
      <c r="EP54" s="99"/>
      <c r="EQ54" s="99"/>
      <c r="ER54" s="99"/>
      <c r="ES54" s="99"/>
      <c r="ET54" s="99"/>
      <c r="EU54" s="99"/>
      <c r="EV54" s="99"/>
      <c r="EW54" s="99"/>
      <c r="EX54" s="99"/>
      <c r="EY54" s="99"/>
      <c r="EZ54" s="99"/>
      <c r="FA54" s="99"/>
      <c r="FB54" s="99"/>
      <c r="FC54" s="99"/>
      <c r="FD54" s="99"/>
      <c r="FE54" s="99"/>
      <c r="FF54" s="99"/>
      <c r="FG54" s="99"/>
      <c r="FH54" s="99"/>
      <c r="FI54" s="99"/>
      <c r="FJ54" s="99"/>
      <c r="FK54" s="99"/>
    </row>
    <row r="55" spans="1:167" s="70" customFormat="1" x14ac:dyDescent="0.25">
      <c r="A55"/>
      <c r="B55"/>
      <c r="C55" s="10"/>
      <c r="D55" s="10"/>
      <c r="E55" s="11"/>
      <c r="F55" s="15"/>
      <c r="G55"/>
      <c r="H55" s="99"/>
      <c r="I55" s="99"/>
      <c r="J55" s="99">
        <v>52</v>
      </c>
      <c r="K55" s="16"/>
      <c r="L55" s="16"/>
      <c r="M55" s="16"/>
      <c r="N55" s="16"/>
      <c r="O55" s="16"/>
      <c r="P55" s="16"/>
      <c r="Q55" s="16"/>
      <c r="R55" s="16"/>
      <c r="S55" s="16"/>
      <c r="T55" s="16"/>
      <c r="U55" s="73">
        <f>SUM(K55:T55)</f>
        <v>0</v>
      </c>
      <c r="V55" s="73"/>
      <c r="W55"/>
      <c r="X55" s="75" t="str" cm="1">
        <f t="array" ref="X55">MID(";"&amp;'CASE DATA'!$F55&amp;";",SMALL(IF(ISERROR(SEARCH(MID(";"&amp;'CASE DATA'!$F55&amp;";",ROW($1:$99),1),";")),"",ROW($1:$99)+1),COLUMN(A55)),SMALL(IF(ISERROR(SEARCH(MID(";"&amp;'CASE DATA'!$F55&amp;";",ROW($1:$99),1),";")),"",ROW($1:$99)),COLUMN(A54)+1)-SMALL(IF(ISERROR(SEARCH(MID(";"&amp;'CASE DATA'!$F55&amp;";",ROW($1:$99),1),";")),"",ROW($1:$99)),COLUMN(A54))-1)</f>
        <v/>
      </c>
      <c r="Y55" s="75" t="str" cm="1">
        <f t="array" ref="Y55">MID(";"&amp;'CASE DATA'!$F55&amp;";",SMALL(IF(ISERROR(SEARCH(MID(";"&amp;'CASE DATA'!$F55&amp;";",ROW($1:$99),1),";")),"",ROW($1:$99)+1),COLUMN(B55)),SMALL(IF(ISERROR(SEARCH(MID(";"&amp;'CASE DATA'!$F55&amp;";",ROW($1:$99),1),";")),"",ROW($1:$99)),COLUMN(B54)+1)-SMALL(IF(ISERROR(SEARCH(MID(";"&amp;'CASE DATA'!$F55&amp;";",ROW($1:$99),1),";")),"",ROW($1:$99)),COLUMN(B54))-1)</f>
        <v/>
      </c>
      <c r="Z55" s="75" t="str" cm="1">
        <f t="array" ref="Z55">MID(";"&amp;'CASE DATA'!$F55&amp;";",SMALL(IF(ISERROR(SEARCH(MID(";"&amp;'CASE DATA'!$F55&amp;";",ROW($1:$99),1),";")),"",ROW($1:$99)+1),COLUMN(C55)),SMALL(IF(ISERROR(SEARCH(MID(";"&amp;'CASE DATA'!$F55&amp;";",ROW($1:$99),1),";")),"",ROW($1:$99)),COLUMN(C54)+1)-SMALL(IF(ISERROR(SEARCH(MID(";"&amp;'CASE DATA'!$F55&amp;";",ROW($1:$99),1),";")),"",ROW($1:$99)),COLUMN(C54))-1)</f>
        <v/>
      </c>
      <c r="AA55" s="75" t="str" cm="1">
        <f t="array" ref="AA55">MID(";"&amp;'CASE DATA'!$F55&amp;";",SMALL(IF(ISERROR(SEARCH(MID(";"&amp;'CASE DATA'!$F55&amp;";",ROW($1:$99),1),";")),"",ROW($1:$99)+1),COLUMN(D55)),SMALL(IF(ISERROR(SEARCH(MID(";"&amp;'CASE DATA'!$F55&amp;";",ROW($1:$99),1),";")),"",ROW($1:$99)),COLUMN(D54)+1)-SMALL(IF(ISERROR(SEARCH(MID(";"&amp;'CASE DATA'!$F55&amp;";",ROW($1:$99),1),";")),"",ROW($1:$99)),COLUMN(D54))-1)</f>
        <v/>
      </c>
      <c r="AB55" s="75" t="str" cm="1">
        <f t="array" ref="AB55">MID(";"&amp;'CASE DATA'!$F55&amp;";",SMALL(IF(ISERROR(SEARCH(MID(";"&amp;'CASE DATA'!$F55&amp;";",ROW($1:$99),1),";")),"",ROW($1:$99)+1),COLUMN(E55)),SMALL(IF(ISERROR(SEARCH(MID(";"&amp;'CASE DATA'!$F55&amp;";",ROW($1:$99),1),";")),"",ROW($1:$99)),COLUMN(E54)+1)-SMALL(IF(ISERROR(SEARCH(MID(";"&amp;'CASE DATA'!$F55&amp;";",ROW($1:$99),1),";")),"",ROW($1:$99)),COLUMN(E54))-1)</f>
        <v/>
      </c>
      <c r="AC55" s="75" t="str" cm="1">
        <f t="array" ref="AC55">MID(";"&amp;'CASE DATA'!$F55&amp;";",SMALL(IF(ISERROR(SEARCH(MID(";"&amp;'CASE DATA'!$F55&amp;";",ROW($1:$99),1),";")),"",ROW($1:$99)+1),COLUMN(F55)),SMALL(IF(ISERROR(SEARCH(MID(";"&amp;'CASE DATA'!$F55&amp;";",ROW($1:$99),1),";")),"",ROW($1:$99)),COLUMN(F54)+1)-SMALL(IF(ISERROR(SEARCH(MID(";"&amp;'CASE DATA'!$F55&amp;";",ROW($1:$99),1),";")),"",ROW($1:$99)),COLUMN(F54))-1)</f>
        <v/>
      </c>
      <c r="AD55" s="75" t="str" cm="1">
        <f t="array" ref="AD55">MID(";"&amp;'CASE DATA'!$F55&amp;";",SMALL(IF(ISERROR(SEARCH(MID(";"&amp;'CASE DATA'!$F55&amp;";",ROW($1:$99),1),";")),"",ROW($1:$99)+1),COLUMN(G55)),SMALL(IF(ISERROR(SEARCH(MID(";"&amp;'CASE DATA'!$F55&amp;";",ROW($1:$99),1),";")),"",ROW($1:$99)),COLUMN(G54)+1)-SMALL(IF(ISERROR(SEARCH(MID(";"&amp;'CASE DATA'!$F55&amp;";",ROW($1:$99),1),";")),"",ROW($1:$99)),COLUMN(G54))-1)</f>
        <v/>
      </c>
      <c r="AE55" s="75" t="str" cm="1">
        <f t="array" ref="AE55">MID(";"&amp;'CASE DATA'!$F55&amp;";",SMALL(IF(ISERROR(SEARCH(MID(";"&amp;'CASE DATA'!$F55&amp;";",ROW($1:$99),1),";")),"",ROW($1:$99)+1),COLUMN(H55)),SMALL(IF(ISERROR(SEARCH(MID(";"&amp;'CASE DATA'!$F55&amp;";",ROW($1:$99),1),";")),"",ROW($1:$99)),COLUMN(H54)+1)-SMALL(IF(ISERROR(SEARCH(MID(";"&amp;'CASE DATA'!$F55&amp;";",ROW($1:$99),1),";")),"",ROW($1:$99)),COLUMN(H54))-1)</f>
        <v/>
      </c>
      <c r="AF55" s="75" t="str" cm="1">
        <f t="array" ref="AF55">MID(";"&amp;'CASE DATA'!$F55&amp;";",SMALL(IF(ISERROR(SEARCH(MID(";"&amp;'CASE DATA'!$F55&amp;";",ROW($1:$99),1),";")),"",ROW($1:$99)+1),COLUMN(I55)),SMALL(IF(ISERROR(SEARCH(MID(";"&amp;'CASE DATA'!$F55&amp;";",ROW($1:$99),1),";")),"",ROW($1:$99)),COLUMN(I54)+1)-SMALL(IF(ISERROR(SEARCH(MID(";"&amp;'CASE DATA'!$F55&amp;";",ROW($1:$99),1),";")),"",ROW($1:$99)),COLUMN(I54))-1)</f>
        <v/>
      </c>
      <c r="AG55" s="75" t="str" cm="1">
        <f t="array" ref="AG55">MID(";"&amp;'CASE DATA'!$F55&amp;";",SMALL(IF(ISERROR(SEARCH(MID(";"&amp;'CASE DATA'!$F55&amp;";",ROW($1:$99),1),";")),"",ROW($1:$99)+1),COLUMN(K55)),SMALL(IF(ISERROR(SEARCH(MID(";"&amp;'CASE DATA'!$F55&amp;";",ROW($1:$99),1),";")),"",ROW($1:$99)),COLUMN(K54)+1)-SMALL(IF(ISERROR(SEARCH(MID(";"&amp;'CASE DATA'!$F55&amp;";",ROW($1:$99),1),";")),"",ROW($1:$99)),COLUMN(K54))-1)</f>
        <v/>
      </c>
      <c r="AH55" s="75" t="str" cm="1">
        <f t="array" ref="AH55">MID(";"&amp;'CASE DATA'!$F55&amp;";",SMALL(IF(ISERROR(SEARCH(MID(";"&amp;'CASE DATA'!$F55&amp;";",ROW($1:$99),1),";")),"",ROW($1:$99)+1),COLUMN(L55)),SMALL(IF(ISERROR(SEARCH(MID(";"&amp;'CASE DATA'!$F55&amp;";",ROW($1:$99),1),";")),"",ROW($1:$99)),COLUMN(L54)+1)-SMALL(IF(ISERROR(SEARCH(MID(";"&amp;'CASE DATA'!$F55&amp;";",ROW($1:$99),1),";")),"",ROW($1:$99)),COLUMN(L54))-1)</f>
        <v/>
      </c>
      <c r="AI55" s="75" t="str" cm="1">
        <f t="array" ref="AI55">MID(";"&amp;'CASE DATA'!$F55&amp;";",SMALL(IF(ISERROR(SEARCH(MID(";"&amp;'CASE DATA'!$F55&amp;";",ROW($1:$99),1),";")),"",ROW($1:$99)+1),COLUMN(M55)),SMALL(IF(ISERROR(SEARCH(MID(";"&amp;'CASE DATA'!$F55&amp;";",ROW($1:$99),1),";")),"",ROW($1:$99)),COLUMN(M54)+1)-SMALL(IF(ISERROR(SEARCH(MID(";"&amp;'CASE DATA'!$F55&amp;";",ROW($1:$99),1),";")),"",ROW($1:$99)),COLUMN(M54))-1)</f>
        <v/>
      </c>
      <c r="AJ55"/>
      <c r="AK55"/>
      <c r="AL55"/>
      <c r="AM55"/>
      <c r="AN55"/>
      <c r="AO55"/>
      <c r="AP55"/>
      <c r="AQ55"/>
      <c r="AR55"/>
      <c r="AS55"/>
      <c r="AT55"/>
      <c r="AU55"/>
      <c r="AV55"/>
      <c r="AW55"/>
      <c r="AX55"/>
      <c r="AY55"/>
      <c r="AZ55"/>
      <c r="BA55"/>
      <c r="BB55"/>
      <c r="BC55"/>
      <c r="BD55"/>
      <c r="BE55"/>
      <c r="BF55"/>
      <c r="BG55"/>
      <c r="BH55"/>
      <c r="BI55"/>
      <c r="BJ55"/>
      <c r="BK55"/>
      <c r="BL55"/>
      <c r="BM55"/>
      <c r="BN55"/>
      <c r="BO55" s="99"/>
      <c r="BP55" s="99"/>
      <c r="BQ55" s="99"/>
      <c r="BR55" s="99"/>
      <c r="BS55" s="99"/>
      <c r="BT55" s="99"/>
      <c r="BU55" s="99"/>
      <c r="BV55" s="99"/>
      <c r="BW55" s="99"/>
      <c r="BX55" s="99"/>
      <c r="BY55" s="99"/>
      <c r="BZ55" s="99"/>
      <c r="CA55" s="99"/>
      <c r="CB55" s="99"/>
      <c r="CC55" s="99"/>
      <c r="CD55" s="99"/>
      <c r="CE55" s="99"/>
      <c r="CF55" s="99"/>
      <c r="CG55" s="99"/>
      <c r="CH55" s="99"/>
      <c r="CI55" s="99"/>
      <c r="CJ55" s="99"/>
      <c r="CK55" s="99"/>
      <c r="CL55" s="99"/>
      <c r="CM55" s="99"/>
      <c r="CN55" s="99"/>
      <c r="CO55" s="99"/>
      <c r="CP55" s="99"/>
      <c r="CQ55" s="99"/>
      <c r="CR55" s="99"/>
      <c r="CS55" s="99"/>
      <c r="CT55" s="99"/>
      <c r="CU55" s="99"/>
      <c r="CV55" s="99"/>
      <c r="CW55" s="99"/>
      <c r="CX55" s="99"/>
      <c r="CY55" s="99"/>
      <c r="CZ55" s="99"/>
      <c r="DA55" s="99"/>
      <c r="DB55" s="99"/>
      <c r="DC55" s="99"/>
      <c r="DD55" s="99"/>
      <c r="DE55" s="99"/>
      <c r="DF55" s="99"/>
      <c r="DG55" s="99"/>
      <c r="DH55" s="99"/>
      <c r="DI55" s="99"/>
      <c r="DJ55" s="99"/>
      <c r="DK55" s="99"/>
      <c r="DL55" s="99"/>
      <c r="DM55" s="99"/>
      <c r="DN55" s="99"/>
      <c r="DO55" s="99"/>
      <c r="DP55" s="99"/>
      <c r="DQ55" s="99"/>
      <c r="DR55" s="99"/>
      <c r="DS55" s="99"/>
      <c r="DT55" s="99"/>
      <c r="DU55" s="99"/>
      <c r="DV55" s="99"/>
      <c r="DW55" s="99"/>
      <c r="DX55" s="99"/>
      <c r="DY55" s="99"/>
      <c r="DZ55" s="99"/>
      <c r="EA55" s="99"/>
      <c r="EB55" s="99"/>
      <c r="EC55" s="99"/>
      <c r="ED55" s="99"/>
      <c r="EE55" s="99"/>
      <c r="EF55" s="99"/>
      <c r="EG55" s="99"/>
      <c r="EH55" s="99"/>
      <c r="EI55" s="99"/>
      <c r="EJ55" s="99"/>
      <c r="EK55" s="99"/>
      <c r="EL55" s="99"/>
      <c r="EM55" s="99"/>
      <c r="EN55" s="99"/>
      <c r="EO55" s="99"/>
      <c r="EP55" s="99"/>
      <c r="EQ55" s="99"/>
      <c r="ER55" s="99"/>
      <c r="ES55" s="99"/>
      <c r="ET55" s="99"/>
      <c r="EU55" s="99"/>
      <c r="EV55" s="99"/>
      <c r="EW55" s="99"/>
      <c r="EX55" s="99"/>
      <c r="EY55" s="99"/>
      <c r="EZ55" s="99"/>
      <c r="FA55" s="99"/>
      <c r="FB55" s="99"/>
      <c r="FC55" s="99"/>
      <c r="FD55" s="99"/>
      <c r="FE55" s="99"/>
      <c r="FF55" s="99"/>
      <c r="FG55" s="99"/>
      <c r="FH55" s="99"/>
      <c r="FI55" s="99"/>
      <c r="FJ55" s="99"/>
      <c r="FK55" s="99"/>
    </row>
    <row r="56" spans="1:167" s="69" customFormat="1" x14ac:dyDescent="0.25">
      <c r="A56"/>
      <c r="B56"/>
      <c r="C56" s="10"/>
      <c r="D56" s="10"/>
      <c r="E56" s="11"/>
      <c r="F56" s="15"/>
      <c r="G56"/>
      <c r="H56" s="99"/>
      <c r="I56" s="99"/>
      <c r="J56" s="99">
        <v>53</v>
      </c>
      <c r="K56" s="16"/>
      <c r="L56" s="16"/>
      <c r="M56" s="16"/>
      <c r="N56" s="16"/>
      <c r="O56" s="16"/>
      <c r="P56" s="16"/>
      <c r="Q56" s="16"/>
      <c r="R56" s="16"/>
      <c r="S56" s="16"/>
      <c r="T56" s="16"/>
      <c r="U56" s="73">
        <f>SUM(K56:T56)</f>
        <v>0</v>
      </c>
      <c r="V56" s="73"/>
      <c r="W56"/>
      <c r="X56" s="75" t="str" cm="1">
        <f t="array" ref="X56">MID(";"&amp;'CASE DATA'!$F56&amp;";",SMALL(IF(ISERROR(SEARCH(MID(";"&amp;'CASE DATA'!$F56&amp;";",ROW($1:$99),1),";")),"",ROW($1:$99)+1),COLUMN(A56)),SMALL(IF(ISERROR(SEARCH(MID(";"&amp;'CASE DATA'!$F56&amp;";",ROW($1:$99),1),";")),"",ROW($1:$99)),COLUMN(A55)+1)-SMALL(IF(ISERROR(SEARCH(MID(";"&amp;'CASE DATA'!$F56&amp;";",ROW($1:$99),1),";")),"",ROW($1:$99)),COLUMN(A55))-1)</f>
        <v/>
      </c>
      <c r="Y56" s="75" t="str" cm="1">
        <f t="array" ref="Y56">MID(";"&amp;'CASE DATA'!$F56&amp;";",SMALL(IF(ISERROR(SEARCH(MID(";"&amp;'CASE DATA'!$F56&amp;";",ROW($1:$99),1),";")),"",ROW($1:$99)+1),COLUMN(B56)),SMALL(IF(ISERROR(SEARCH(MID(";"&amp;'CASE DATA'!$F56&amp;";",ROW($1:$99),1),";")),"",ROW($1:$99)),COLUMN(B55)+1)-SMALL(IF(ISERROR(SEARCH(MID(";"&amp;'CASE DATA'!$F56&amp;";",ROW($1:$99),1),";")),"",ROW($1:$99)),COLUMN(B55))-1)</f>
        <v/>
      </c>
      <c r="Z56" s="75" t="str" cm="1">
        <f t="array" ref="Z56">MID(";"&amp;'CASE DATA'!$F56&amp;";",SMALL(IF(ISERROR(SEARCH(MID(";"&amp;'CASE DATA'!$F56&amp;";",ROW($1:$99),1),";")),"",ROW($1:$99)+1),COLUMN(C56)),SMALL(IF(ISERROR(SEARCH(MID(";"&amp;'CASE DATA'!$F56&amp;";",ROW($1:$99),1),";")),"",ROW($1:$99)),COLUMN(C55)+1)-SMALL(IF(ISERROR(SEARCH(MID(";"&amp;'CASE DATA'!$F56&amp;";",ROW($1:$99),1),";")),"",ROW($1:$99)),COLUMN(C55))-1)</f>
        <v/>
      </c>
      <c r="AA56" s="75" t="str" cm="1">
        <f t="array" ref="AA56">MID(";"&amp;'CASE DATA'!$F56&amp;";",SMALL(IF(ISERROR(SEARCH(MID(";"&amp;'CASE DATA'!$F56&amp;";",ROW($1:$99),1),";")),"",ROW($1:$99)+1),COLUMN(D56)),SMALL(IF(ISERROR(SEARCH(MID(";"&amp;'CASE DATA'!$F56&amp;";",ROW($1:$99),1),";")),"",ROW($1:$99)),COLUMN(D55)+1)-SMALL(IF(ISERROR(SEARCH(MID(";"&amp;'CASE DATA'!$F56&amp;";",ROW($1:$99),1),";")),"",ROW($1:$99)),COLUMN(D55))-1)</f>
        <v/>
      </c>
      <c r="AB56" s="75" t="str" cm="1">
        <f t="array" ref="AB56">MID(";"&amp;'CASE DATA'!$F56&amp;";",SMALL(IF(ISERROR(SEARCH(MID(";"&amp;'CASE DATA'!$F56&amp;";",ROW($1:$99),1),";")),"",ROW($1:$99)+1),COLUMN(E56)),SMALL(IF(ISERROR(SEARCH(MID(";"&amp;'CASE DATA'!$F56&amp;";",ROW($1:$99),1),";")),"",ROW($1:$99)),COLUMN(E55)+1)-SMALL(IF(ISERROR(SEARCH(MID(";"&amp;'CASE DATA'!$F56&amp;";",ROW($1:$99),1),";")),"",ROW($1:$99)),COLUMN(E55))-1)</f>
        <v/>
      </c>
      <c r="AC56" s="75" t="str" cm="1">
        <f t="array" ref="AC56">MID(";"&amp;'CASE DATA'!$F56&amp;";",SMALL(IF(ISERROR(SEARCH(MID(";"&amp;'CASE DATA'!$F56&amp;";",ROW($1:$99),1),";")),"",ROW($1:$99)+1),COLUMN(F56)),SMALL(IF(ISERROR(SEARCH(MID(";"&amp;'CASE DATA'!$F56&amp;";",ROW($1:$99),1),";")),"",ROW($1:$99)),COLUMN(F55)+1)-SMALL(IF(ISERROR(SEARCH(MID(";"&amp;'CASE DATA'!$F56&amp;";",ROW($1:$99),1),";")),"",ROW($1:$99)),COLUMN(F55))-1)</f>
        <v/>
      </c>
      <c r="AD56" s="75" t="str" cm="1">
        <f t="array" ref="AD56">MID(";"&amp;'CASE DATA'!$F56&amp;";",SMALL(IF(ISERROR(SEARCH(MID(";"&amp;'CASE DATA'!$F56&amp;";",ROW($1:$99),1),";")),"",ROW($1:$99)+1),COLUMN(G56)),SMALL(IF(ISERROR(SEARCH(MID(";"&amp;'CASE DATA'!$F56&amp;";",ROW($1:$99),1),";")),"",ROW($1:$99)),COLUMN(G55)+1)-SMALL(IF(ISERROR(SEARCH(MID(";"&amp;'CASE DATA'!$F56&amp;";",ROW($1:$99),1),";")),"",ROW($1:$99)),COLUMN(G55))-1)</f>
        <v/>
      </c>
      <c r="AE56" s="75" t="str" cm="1">
        <f t="array" ref="AE56">MID(";"&amp;'CASE DATA'!$F56&amp;";",SMALL(IF(ISERROR(SEARCH(MID(";"&amp;'CASE DATA'!$F56&amp;";",ROW($1:$99),1),";")),"",ROW($1:$99)+1),COLUMN(H56)),SMALL(IF(ISERROR(SEARCH(MID(";"&amp;'CASE DATA'!$F56&amp;";",ROW($1:$99),1),";")),"",ROW($1:$99)),COLUMN(H55)+1)-SMALL(IF(ISERROR(SEARCH(MID(";"&amp;'CASE DATA'!$F56&amp;";",ROW($1:$99),1),";")),"",ROW($1:$99)),COLUMN(H55))-1)</f>
        <v/>
      </c>
      <c r="AF56" s="75" t="str" cm="1">
        <f t="array" ref="AF56">MID(";"&amp;'CASE DATA'!$F56&amp;";",SMALL(IF(ISERROR(SEARCH(MID(";"&amp;'CASE DATA'!$F56&amp;";",ROW($1:$99),1),";")),"",ROW($1:$99)+1),COLUMN(I56)),SMALL(IF(ISERROR(SEARCH(MID(";"&amp;'CASE DATA'!$F56&amp;";",ROW($1:$99),1),";")),"",ROW($1:$99)),COLUMN(I55)+1)-SMALL(IF(ISERROR(SEARCH(MID(";"&amp;'CASE DATA'!$F56&amp;";",ROW($1:$99),1),";")),"",ROW($1:$99)),COLUMN(I55))-1)</f>
        <v/>
      </c>
      <c r="AG56" s="75" t="str" cm="1">
        <f t="array" ref="AG56">MID(";"&amp;'CASE DATA'!$F56&amp;";",SMALL(IF(ISERROR(SEARCH(MID(";"&amp;'CASE DATA'!$F56&amp;";",ROW($1:$99),1),";")),"",ROW($1:$99)+1),COLUMN(K56)),SMALL(IF(ISERROR(SEARCH(MID(";"&amp;'CASE DATA'!$F56&amp;";",ROW($1:$99),1),";")),"",ROW($1:$99)),COLUMN(K55)+1)-SMALL(IF(ISERROR(SEARCH(MID(";"&amp;'CASE DATA'!$F56&amp;";",ROW($1:$99),1),";")),"",ROW($1:$99)),COLUMN(K55))-1)</f>
        <v/>
      </c>
      <c r="AH56" s="75" t="str" cm="1">
        <f t="array" ref="AH56">MID(";"&amp;'CASE DATA'!$F56&amp;";",SMALL(IF(ISERROR(SEARCH(MID(";"&amp;'CASE DATA'!$F56&amp;";",ROW($1:$99),1),";")),"",ROW($1:$99)+1),COLUMN(L56)),SMALL(IF(ISERROR(SEARCH(MID(";"&amp;'CASE DATA'!$F56&amp;";",ROW($1:$99),1),";")),"",ROW($1:$99)),COLUMN(L55)+1)-SMALL(IF(ISERROR(SEARCH(MID(";"&amp;'CASE DATA'!$F56&amp;";",ROW($1:$99),1),";")),"",ROW($1:$99)),COLUMN(L55))-1)</f>
        <v/>
      </c>
      <c r="AI56" s="75" t="str" cm="1">
        <f t="array" ref="AI56">MID(";"&amp;'CASE DATA'!$F56&amp;";",SMALL(IF(ISERROR(SEARCH(MID(";"&amp;'CASE DATA'!$F56&amp;";",ROW($1:$99),1),";")),"",ROW($1:$99)+1),COLUMN(M56)),SMALL(IF(ISERROR(SEARCH(MID(";"&amp;'CASE DATA'!$F56&amp;";",ROW($1:$99),1),";")),"",ROW($1:$99)),COLUMN(M55)+1)-SMALL(IF(ISERROR(SEARCH(MID(";"&amp;'CASE DATA'!$F56&amp;";",ROW($1:$99),1),";")),"",ROW($1:$99)),COLUMN(M55))-1)</f>
        <v/>
      </c>
      <c r="AJ56"/>
      <c r="AK56"/>
      <c r="AL56"/>
      <c r="AM56"/>
      <c r="AN56"/>
      <c r="AO56"/>
      <c r="AP56"/>
      <c r="AQ56"/>
      <c r="AR56"/>
      <c r="AS56"/>
      <c r="AT56"/>
      <c r="AU56"/>
      <c r="AV56"/>
      <c r="AW56"/>
      <c r="AX56"/>
      <c r="AY56"/>
      <c r="AZ56"/>
      <c r="BA56"/>
      <c r="BB56"/>
      <c r="BC56"/>
      <c r="BD56"/>
      <c r="BE56"/>
      <c r="BF56"/>
      <c r="BG56"/>
      <c r="BH56"/>
      <c r="BI56"/>
      <c r="BJ56"/>
      <c r="BK56"/>
      <c r="BL56"/>
      <c r="BM56"/>
      <c r="BN56"/>
      <c r="BO56" s="99"/>
      <c r="BP56" s="99"/>
      <c r="BQ56" s="99"/>
      <c r="BR56" s="99"/>
      <c r="BS56" s="99"/>
      <c r="BT56" s="99"/>
      <c r="BU56" s="99"/>
      <c r="BV56" s="99"/>
      <c r="BW56" s="99"/>
      <c r="BX56" s="99"/>
      <c r="BY56" s="99"/>
      <c r="BZ56" s="99"/>
      <c r="CA56" s="99"/>
      <c r="CB56" s="99"/>
      <c r="CC56" s="99"/>
      <c r="CD56" s="99"/>
      <c r="CE56" s="99"/>
      <c r="CF56" s="99"/>
      <c r="CG56" s="99"/>
      <c r="CH56" s="99"/>
      <c r="CI56" s="99"/>
      <c r="CJ56" s="99"/>
      <c r="CK56" s="99"/>
      <c r="CL56" s="99"/>
      <c r="CM56" s="99"/>
      <c r="CN56" s="99"/>
      <c r="CO56" s="99"/>
      <c r="CP56" s="99"/>
      <c r="CQ56" s="99"/>
      <c r="CR56" s="99"/>
      <c r="CS56" s="99"/>
      <c r="CT56" s="99"/>
      <c r="CU56" s="99"/>
      <c r="CV56" s="99"/>
      <c r="CW56" s="99"/>
      <c r="CX56" s="99"/>
      <c r="CY56" s="99"/>
      <c r="CZ56" s="99"/>
      <c r="DA56" s="99"/>
      <c r="DB56" s="99"/>
      <c r="DC56" s="99"/>
      <c r="DD56" s="99"/>
      <c r="DE56" s="99"/>
      <c r="DF56" s="99"/>
      <c r="DG56" s="99"/>
      <c r="DH56" s="99"/>
      <c r="DI56" s="99"/>
      <c r="DJ56" s="99"/>
      <c r="DK56" s="99"/>
      <c r="DL56" s="99"/>
      <c r="DM56" s="99"/>
      <c r="DN56" s="99"/>
      <c r="DO56" s="99"/>
      <c r="DP56" s="99"/>
      <c r="DQ56" s="99"/>
      <c r="DR56" s="99"/>
      <c r="DS56" s="99"/>
      <c r="DT56" s="99"/>
      <c r="DU56" s="99"/>
      <c r="DV56" s="99"/>
      <c r="DW56" s="99"/>
      <c r="DX56" s="99"/>
      <c r="DY56" s="99"/>
      <c r="DZ56" s="99"/>
      <c r="EA56" s="99"/>
      <c r="EB56" s="99"/>
      <c r="EC56" s="99"/>
      <c r="ED56" s="99"/>
      <c r="EE56" s="99"/>
      <c r="EF56" s="99"/>
      <c r="EG56" s="99"/>
      <c r="EH56" s="99"/>
      <c r="EI56" s="99"/>
      <c r="EJ56" s="99"/>
      <c r="EK56" s="99"/>
      <c r="EL56" s="99"/>
      <c r="EM56" s="99"/>
      <c r="EN56" s="99"/>
      <c r="EO56" s="99"/>
      <c r="EP56" s="99"/>
      <c r="EQ56" s="99"/>
      <c r="ER56" s="99"/>
      <c r="ES56" s="99"/>
      <c r="ET56" s="99"/>
      <c r="EU56" s="99"/>
      <c r="EV56" s="99"/>
      <c r="EW56" s="99"/>
      <c r="EX56" s="99"/>
      <c r="EY56" s="99"/>
      <c r="EZ56" s="99"/>
      <c r="FA56" s="99"/>
      <c r="FB56" s="99"/>
      <c r="FC56" s="99"/>
      <c r="FD56" s="99"/>
      <c r="FE56" s="99"/>
      <c r="FF56" s="99"/>
      <c r="FG56" s="99"/>
      <c r="FH56" s="99"/>
      <c r="FI56" s="99"/>
      <c r="FJ56" s="99"/>
      <c r="FK56" s="99"/>
    </row>
    <row r="57" spans="1:167" s="68" customFormat="1" x14ac:dyDescent="0.25">
      <c r="A57"/>
      <c r="B57"/>
      <c r="C57" s="10"/>
      <c r="D57" s="10"/>
      <c r="E57" s="11"/>
      <c r="F57" s="15"/>
      <c r="G57"/>
      <c r="H57" s="99"/>
      <c r="I57" s="99"/>
      <c r="J57" s="99">
        <v>54</v>
      </c>
      <c r="K57" s="16"/>
      <c r="L57" s="16"/>
      <c r="M57" s="16"/>
      <c r="N57" s="16"/>
      <c r="O57" s="16"/>
      <c r="P57" s="16"/>
      <c r="Q57" s="16"/>
      <c r="R57" s="16"/>
      <c r="S57" s="16"/>
      <c r="T57" s="16"/>
      <c r="U57" s="73">
        <f>SUM(K57:T57)</f>
        <v>0</v>
      </c>
      <c r="V57" s="73"/>
      <c r="W57"/>
      <c r="X57" s="75" t="str" cm="1">
        <f t="array" ref="X57">MID(";"&amp;'CASE DATA'!$F57&amp;";",SMALL(IF(ISERROR(SEARCH(MID(";"&amp;'CASE DATA'!$F57&amp;";",ROW($1:$99),1),";")),"",ROW($1:$99)+1),COLUMN(A57)),SMALL(IF(ISERROR(SEARCH(MID(";"&amp;'CASE DATA'!$F57&amp;";",ROW($1:$99),1),";")),"",ROW($1:$99)),COLUMN(A56)+1)-SMALL(IF(ISERROR(SEARCH(MID(";"&amp;'CASE DATA'!$F57&amp;";",ROW($1:$99),1),";")),"",ROW($1:$99)),COLUMN(A56))-1)</f>
        <v/>
      </c>
      <c r="Y57" s="75" t="str" cm="1">
        <f t="array" ref="Y57">MID(";"&amp;'CASE DATA'!$F57&amp;";",SMALL(IF(ISERROR(SEARCH(MID(";"&amp;'CASE DATA'!$F57&amp;";",ROW($1:$99),1),";")),"",ROW($1:$99)+1),COLUMN(B57)),SMALL(IF(ISERROR(SEARCH(MID(";"&amp;'CASE DATA'!$F57&amp;";",ROW($1:$99),1),";")),"",ROW($1:$99)),COLUMN(B56)+1)-SMALL(IF(ISERROR(SEARCH(MID(";"&amp;'CASE DATA'!$F57&amp;";",ROW($1:$99),1),";")),"",ROW($1:$99)),COLUMN(B56))-1)</f>
        <v/>
      </c>
      <c r="Z57" s="75" t="str" cm="1">
        <f t="array" ref="Z57">MID(";"&amp;'CASE DATA'!$F57&amp;";",SMALL(IF(ISERROR(SEARCH(MID(";"&amp;'CASE DATA'!$F57&amp;";",ROW($1:$99),1),";")),"",ROW($1:$99)+1),COLUMN(C57)),SMALL(IF(ISERROR(SEARCH(MID(";"&amp;'CASE DATA'!$F57&amp;";",ROW($1:$99),1),";")),"",ROW($1:$99)),COLUMN(C56)+1)-SMALL(IF(ISERROR(SEARCH(MID(";"&amp;'CASE DATA'!$F57&amp;";",ROW($1:$99),1),";")),"",ROW($1:$99)),COLUMN(C56))-1)</f>
        <v/>
      </c>
      <c r="AA57" s="75" t="str" cm="1">
        <f t="array" ref="AA57">MID(";"&amp;'CASE DATA'!$F57&amp;";",SMALL(IF(ISERROR(SEARCH(MID(";"&amp;'CASE DATA'!$F57&amp;";",ROW($1:$99),1),";")),"",ROW($1:$99)+1),COLUMN(D57)),SMALL(IF(ISERROR(SEARCH(MID(";"&amp;'CASE DATA'!$F57&amp;";",ROW($1:$99),1),";")),"",ROW($1:$99)),COLUMN(D56)+1)-SMALL(IF(ISERROR(SEARCH(MID(";"&amp;'CASE DATA'!$F57&amp;";",ROW($1:$99),1),";")),"",ROW($1:$99)),COLUMN(D56))-1)</f>
        <v/>
      </c>
      <c r="AB57" s="75" t="str" cm="1">
        <f t="array" ref="AB57">MID(";"&amp;'CASE DATA'!$F57&amp;";",SMALL(IF(ISERROR(SEARCH(MID(";"&amp;'CASE DATA'!$F57&amp;";",ROW($1:$99),1),";")),"",ROW($1:$99)+1),COLUMN(E57)),SMALL(IF(ISERROR(SEARCH(MID(";"&amp;'CASE DATA'!$F57&amp;";",ROW($1:$99),1),";")),"",ROW($1:$99)),COLUMN(E56)+1)-SMALL(IF(ISERROR(SEARCH(MID(";"&amp;'CASE DATA'!$F57&amp;";",ROW($1:$99),1),";")),"",ROW($1:$99)),COLUMN(E56))-1)</f>
        <v/>
      </c>
      <c r="AC57" s="75" t="str" cm="1">
        <f t="array" ref="AC57">MID(";"&amp;'CASE DATA'!$F57&amp;";",SMALL(IF(ISERROR(SEARCH(MID(";"&amp;'CASE DATA'!$F57&amp;";",ROW($1:$99),1),";")),"",ROW($1:$99)+1),COLUMN(F57)),SMALL(IF(ISERROR(SEARCH(MID(";"&amp;'CASE DATA'!$F57&amp;";",ROW($1:$99),1),";")),"",ROW($1:$99)),COLUMN(F56)+1)-SMALL(IF(ISERROR(SEARCH(MID(";"&amp;'CASE DATA'!$F57&amp;";",ROW($1:$99),1),";")),"",ROW($1:$99)),COLUMN(F56))-1)</f>
        <v/>
      </c>
      <c r="AD57" s="75" t="str" cm="1">
        <f t="array" ref="AD57">MID(";"&amp;'CASE DATA'!$F57&amp;";",SMALL(IF(ISERROR(SEARCH(MID(";"&amp;'CASE DATA'!$F57&amp;";",ROW($1:$99),1),";")),"",ROW($1:$99)+1),COLUMN(G57)),SMALL(IF(ISERROR(SEARCH(MID(";"&amp;'CASE DATA'!$F57&amp;";",ROW($1:$99),1),";")),"",ROW($1:$99)),COLUMN(G56)+1)-SMALL(IF(ISERROR(SEARCH(MID(";"&amp;'CASE DATA'!$F57&amp;";",ROW($1:$99),1),";")),"",ROW($1:$99)),COLUMN(G56))-1)</f>
        <v/>
      </c>
      <c r="AE57" s="75" t="str" cm="1">
        <f t="array" ref="AE57">MID(";"&amp;'CASE DATA'!$F57&amp;";",SMALL(IF(ISERROR(SEARCH(MID(";"&amp;'CASE DATA'!$F57&amp;";",ROW($1:$99),1),";")),"",ROW($1:$99)+1),COLUMN(H57)),SMALL(IF(ISERROR(SEARCH(MID(";"&amp;'CASE DATA'!$F57&amp;";",ROW($1:$99),1),";")),"",ROW($1:$99)),COLUMN(H56)+1)-SMALL(IF(ISERROR(SEARCH(MID(";"&amp;'CASE DATA'!$F57&amp;";",ROW($1:$99),1),";")),"",ROW($1:$99)),COLUMN(H56))-1)</f>
        <v/>
      </c>
      <c r="AF57" s="75" t="str" cm="1">
        <f t="array" ref="AF57">MID(";"&amp;'CASE DATA'!$F57&amp;";",SMALL(IF(ISERROR(SEARCH(MID(";"&amp;'CASE DATA'!$F57&amp;";",ROW($1:$99),1),";")),"",ROW($1:$99)+1),COLUMN(I57)),SMALL(IF(ISERROR(SEARCH(MID(";"&amp;'CASE DATA'!$F57&amp;";",ROW($1:$99),1),";")),"",ROW($1:$99)),COLUMN(I56)+1)-SMALL(IF(ISERROR(SEARCH(MID(";"&amp;'CASE DATA'!$F57&amp;";",ROW($1:$99),1),";")),"",ROW($1:$99)),COLUMN(I56))-1)</f>
        <v/>
      </c>
      <c r="AG57" s="75" t="str" cm="1">
        <f t="array" ref="AG57">MID(";"&amp;'CASE DATA'!$F57&amp;";",SMALL(IF(ISERROR(SEARCH(MID(";"&amp;'CASE DATA'!$F57&amp;";",ROW($1:$99),1),";")),"",ROW($1:$99)+1),COLUMN(K57)),SMALL(IF(ISERROR(SEARCH(MID(";"&amp;'CASE DATA'!$F57&amp;";",ROW($1:$99),1),";")),"",ROW($1:$99)),COLUMN(K56)+1)-SMALL(IF(ISERROR(SEARCH(MID(";"&amp;'CASE DATA'!$F57&amp;";",ROW($1:$99),1),";")),"",ROW($1:$99)),COLUMN(K56))-1)</f>
        <v/>
      </c>
      <c r="AH57" s="75" t="str" cm="1">
        <f t="array" ref="AH57">MID(";"&amp;'CASE DATA'!$F57&amp;";",SMALL(IF(ISERROR(SEARCH(MID(";"&amp;'CASE DATA'!$F57&amp;";",ROW($1:$99),1),";")),"",ROW($1:$99)+1),COLUMN(L57)),SMALL(IF(ISERROR(SEARCH(MID(";"&amp;'CASE DATA'!$F57&amp;";",ROW($1:$99),1),";")),"",ROW($1:$99)),COLUMN(L56)+1)-SMALL(IF(ISERROR(SEARCH(MID(";"&amp;'CASE DATA'!$F57&amp;";",ROW($1:$99),1),";")),"",ROW($1:$99)),COLUMN(L56))-1)</f>
        <v/>
      </c>
      <c r="AI57" s="75" t="str" cm="1">
        <f t="array" ref="AI57">MID(";"&amp;'CASE DATA'!$F57&amp;";",SMALL(IF(ISERROR(SEARCH(MID(";"&amp;'CASE DATA'!$F57&amp;";",ROW($1:$99),1),";")),"",ROW($1:$99)+1),COLUMN(M57)),SMALL(IF(ISERROR(SEARCH(MID(";"&amp;'CASE DATA'!$F57&amp;";",ROW($1:$99),1),";")),"",ROW($1:$99)),COLUMN(M56)+1)-SMALL(IF(ISERROR(SEARCH(MID(";"&amp;'CASE DATA'!$F57&amp;";",ROW($1:$99),1),";")),"",ROW($1:$99)),COLUMN(M56))-1)</f>
        <v/>
      </c>
      <c r="AJ57"/>
      <c r="AK57"/>
      <c r="AL57"/>
      <c r="AM57"/>
      <c r="AN57"/>
      <c r="AO57"/>
      <c r="AP57"/>
      <c r="AQ57"/>
      <c r="AR57"/>
      <c r="AS57"/>
      <c r="AT57"/>
      <c r="AU57"/>
      <c r="AV57"/>
      <c r="AW57"/>
      <c r="AX57"/>
      <c r="AY57"/>
      <c r="AZ57"/>
      <c r="BA57"/>
      <c r="BB57"/>
      <c r="BC57"/>
      <c r="BD57"/>
      <c r="BE57"/>
      <c r="BF57"/>
      <c r="BG57"/>
      <c r="BH57"/>
      <c r="BI57"/>
      <c r="BJ57"/>
      <c r="BK57"/>
      <c r="BL57"/>
      <c r="BM57"/>
      <c r="BN57"/>
      <c r="BO57" s="99"/>
      <c r="BP57" s="99"/>
      <c r="BQ57" s="99"/>
      <c r="BR57" s="99"/>
      <c r="BS57" s="99"/>
      <c r="BT57" s="99"/>
      <c r="BU57" s="99"/>
      <c r="BV57" s="99"/>
      <c r="BW57" s="99"/>
      <c r="BX57" s="99"/>
      <c r="BY57" s="99"/>
      <c r="BZ57" s="99"/>
      <c r="CA57" s="99"/>
      <c r="CB57" s="99"/>
      <c r="CC57" s="99"/>
      <c r="CD57" s="99"/>
      <c r="CE57" s="99"/>
      <c r="CF57" s="99"/>
      <c r="CG57" s="99"/>
      <c r="CH57" s="99"/>
      <c r="CI57" s="99"/>
      <c r="CJ57" s="99"/>
      <c r="CK57" s="99"/>
      <c r="CL57" s="99"/>
      <c r="CM57" s="99"/>
      <c r="CN57" s="99"/>
      <c r="CO57" s="99"/>
      <c r="CP57" s="99"/>
      <c r="CQ57" s="99"/>
      <c r="CR57" s="99"/>
      <c r="CS57" s="99"/>
      <c r="CT57" s="99"/>
      <c r="CU57" s="99"/>
      <c r="CV57" s="99"/>
      <c r="CW57" s="99"/>
      <c r="CX57" s="99"/>
      <c r="CY57" s="99"/>
      <c r="CZ57" s="99"/>
      <c r="DA57" s="99"/>
      <c r="DB57" s="99"/>
      <c r="DC57" s="99"/>
      <c r="DD57" s="99"/>
      <c r="DE57" s="99"/>
      <c r="DF57" s="99"/>
      <c r="DG57" s="99"/>
      <c r="DH57" s="99"/>
      <c r="DI57" s="99"/>
      <c r="DJ57" s="99"/>
      <c r="DK57" s="99"/>
      <c r="DL57" s="99"/>
      <c r="DM57" s="99"/>
      <c r="DN57" s="99"/>
      <c r="DO57" s="99"/>
      <c r="DP57" s="99"/>
      <c r="DQ57" s="99"/>
      <c r="DR57" s="99"/>
      <c r="DS57" s="99"/>
      <c r="DT57" s="99"/>
      <c r="DU57" s="99"/>
      <c r="DV57" s="99"/>
      <c r="DW57" s="99"/>
      <c r="DX57" s="99"/>
      <c r="DY57" s="99"/>
      <c r="DZ57" s="99"/>
      <c r="EA57" s="99"/>
      <c r="EB57" s="99"/>
      <c r="EC57" s="99"/>
      <c r="ED57" s="99"/>
      <c r="EE57" s="99"/>
      <c r="EF57" s="99"/>
      <c r="EG57" s="99"/>
      <c r="EH57" s="99"/>
      <c r="EI57" s="99"/>
      <c r="EJ57" s="99"/>
      <c r="EK57" s="99"/>
      <c r="EL57" s="99"/>
      <c r="EM57" s="99"/>
      <c r="EN57" s="99"/>
      <c r="EO57" s="99"/>
      <c r="EP57" s="99"/>
      <c r="EQ57" s="99"/>
      <c r="ER57" s="99"/>
      <c r="ES57" s="99"/>
      <c r="ET57" s="99"/>
      <c r="EU57" s="99"/>
      <c r="EV57" s="99"/>
      <c r="EW57" s="99"/>
      <c r="EX57" s="99"/>
      <c r="EY57" s="99"/>
      <c r="EZ57" s="99"/>
      <c r="FA57" s="99"/>
      <c r="FB57" s="99"/>
      <c r="FC57" s="99"/>
      <c r="FD57" s="99"/>
      <c r="FE57" s="99"/>
      <c r="FF57" s="99"/>
      <c r="FG57" s="99"/>
      <c r="FH57" s="99"/>
      <c r="FI57" s="99"/>
      <c r="FJ57" s="99"/>
      <c r="FK57" s="99"/>
    </row>
    <row r="58" spans="1:167" s="70" customFormat="1" x14ac:dyDescent="0.25">
      <c r="A58"/>
      <c r="B58"/>
      <c r="C58" s="10"/>
      <c r="D58" s="10"/>
      <c r="E58" s="11"/>
      <c r="F58" s="15"/>
      <c r="G58"/>
      <c r="H58" s="99"/>
      <c r="I58" s="99"/>
      <c r="J58" s="99">
        <v>55</v>
      </c>
      <c r="K58" s="16"/>
      <c r="L58" s="16"/>
      <c r="M58" s="16"/>
      <c r="N58" s="16"/>
      <c r="O58" s="16"/>
      <c r="P58" s="16"/>
      <c r="Q58" s="16"/>
      <c r="R58" s="16"/>
      <c r="S58" s="16"/>
      <c r="T58" s="16"/>
      <c r="U58" s="73">
        <f>SUM(K58:T58)</f>
        <v>0</v>
      </c>
      <c r="V58" s="73"/>
      <c r="W58"/>
      <c r="X58" s="75" t="str" cm="1">
        <f t="array" ref="X58">MID(";"&amp;'CASE DATA'!$F58&amp;";",SMALL(IF(ISERROR(SEARCH(MID(";"&amp;'CASE DATA'!$F58&amp;";",ROW($1:$99),1),";")),"",ROW($1:$99)+1),COLUMN(A58)),SMALL(IF(ISERROR(SEARCH(MID(";"&amp;'CASE DATA'!$F58&amp;";",ROW($1:$99),1),";")),"",ROW($1:$99)),COLUMN(A57)+1)-SMALL(IF(ISERROR(SEARCH(MID(";"&amp;'CASE DATA'!$F58&amp;";",ROW($1:$99),1),";")),"",ROW($1:$99)),COLUMN(A57))-1)</f>
        <v/>
      </c>
      <c r="Y58" s="75" t="str" cm="1">
        <f t="array" ref="Y58">MID(";"&amp;'CASE DATA'!$F58&amp;";",SMALL(IF(ISERROR(SEARCH(MID(";"&amp;'CASE DATA'!$F58&amp;";",ROW($1:$99),1),";")),"",ROW($1:$99)+1),COLUMN(B58)),SMALL(IF(ISERROR(SEARCH(MID(";"&amp;'CASE DATA'!$F58&amp;";",ROW($1:$99),1),";")),"",ROW($1:$99)),COLUMN(B57)+1)-SMALL(IF(ISERROR(SEARCH(MID(";"&amp;'CASE DATA'!$F58&amp;";",ROW($1:$99),1),";")),"",ROW($1:$99)),COLUMN(B57))-1)</f>
        <v/>
      </c>
      <c r="Z58" s="75" t="str" cm="1">
        <f t="array" ref="Z58">MID(";"&amp;'CASE DATA'!$F58&amp;";",SMALL(IF(ISERROR(SEARCH(MID(";"&amp;'CASE DATA'!$F58&amp;";",ROW($1:$99),1),";")),"",ROW($1:$99)+1),COLUMN(C58)),SMALL(IF(ISERROR(SEARCH(MID(";"&amp;'CASE DATA'!$F58&amp;";",ROW($1:$99),1),";")),"",ROW($1:$99)),COLUMN(C57)+1)-SMALL(IF(ISERROR(SEARCH(MID(";"&amp;'CASE DATA'!$F58&amp;";",ROW($1:$99),1),";")),"",ROW($1:$99)),COLUMN(C57))-1)</f>
        <v/>
      </c>
      <c r="AA58" s="75" t="str" cm="1">
        <f t="array" ref="AA58">MID(";"&amp;'CASE DATA'!$F58&amp;";",SMALL(IF(ISERROR(SEARCH(MID(";"&amp;'CASE DATA'!$F58&amp;";",ROW($1:$99),1),";")),"",ROW($1:$99)+1),COLUMN(D58)),SMALL(IF(ISERROR(SEARCH(MID(";"&amp;'CASE DATA'!$F58&amp;";",ROW($1:$99),1),";")),"",ROW($1:$99)),COLUMN(D57)+1)-SMALL(IF(ISERROR(SEARCH(MID(";"&amp;'CASE DATA'!$F58&amp;";",ROW($1:$99),1),";")),"",ROW($1:$99)),COLUMN(D57))-1)</f>
        <v/>
      </c>
      <c r="AB58" s="75" t="str" cm="1">
        <f t="array" ref="AB58">MID(";"&amp;'CASE DATA'!$F58&amp;";",SMALL(IF(ISERROR(SEARCH(MID(";"&amp;'CASE DATA'!$F58&amp;";",ROW($1:$99),1),";")),"",ROW($1:$99)+1),COLUMN(E58)),SMALL(IF(ISERROR(SEARCH(MID(";"&amp;'CASE DATA'!$F58&amp;";",ROW($1:$99),1),";")),"",ROW($1:$99)),COLUMN(E57)+1)-SMALL(IF(ISERROR(SEARCH(MID(";"&amp;'CASE DATA'!$F58&amp;";",ROW($1:$99),1),";")),"",ROW($1:$99)),COLUMN(E57))-1)</f>
        <v/>
      </c>
      <c r="AC58" s="75" t="str" cm="1">
        <f t="array" ref="AC58">MID(";"&amp;'CASE DATA'!$F58&amp;";",SMALL(IF(ISERROR(SEARCH(MID(";"&amp;'CASE DATA'!$F58&amp;";",ROW($1:$99),1),";")),"",ROW($1:$99)+1),COLUMN(F58)),SMALL(IF(ISERROR(SEARCH(MID(";"&amp;'CASE DATA'!$F58&amp;";",ROW($1:$99),1),";")),"",ROW($1:$99)),COLUMN(F57)+1)-SMALL(IF(ISERROR(SEARCH(MID(";"&amp;'CASE DATA'!$F58&amp;";",ROW($1:$99),1),";")),"",ROW($1:$99)),COLUMN(F57))-1)</f>
        <v/>
      </c>
      <c r="AD58" s="75" t="str" cm="1">
        <f t="array" ref="AD58">MID(";"&amp;'CASE DATA'!$F58&amp;";",SMALL(IF(ISERROR(SEARCH(MID(";"&amp;'CASE DATA'!$F58&amp;";",ROW($1:$99),1),";")),"",ROW($1:$99)+1),COLUMN(G58)),SMALL(IF(ISERROR(SEARCH(MID(";"&amp;'CASE DATA'!$F58&amp;";",ROW($1:$99),1),";")),"",ROW($1:$99)),COLUMN(G57)+1)-SMALL(IF(ISERROR(SEARCH(MID(";"&amp;'CASE DATA'!$F58&amp;";",ROW($1:$99),1),";")),"",ROW($1:$99)),COLUMN(G57))-1)</f>
        <v/>
      </c>
      <c r="AE58" s="75" t="str" cm="1">
        <f t="array" ref="AE58">MID(";"&amp;'CASE DATA'!$F58&amp;";",SMALL(IF(ISERROR(SEARCH(MID(";"&amp;'CASE DATA'!$F58&amp;";",ROW($1:$99),1),";")),"",ROW($1:$99)+1),COLUMN(H58)),SMALL(IF(ISERROR(SEARCH(MID(";"&amp;'CASE DATA'!$F58&amp;";",ROW($1:$99),1),";")),"",ROW($1:$99)),COLUMN(H57)+1)-SMALL(IF(ISERROR(SEARCH(MID(";"&amp;'CASE DATA'!$F58&amp;";",ROW($1:$99),1),";")),"",ROW($1:$99)),COLUMN(H57))-1)</f>
        <v/>
      </c>
      <c r="AF58" s="75" t="str" cm="1">
        <f t="array" ref="AF58">MID(";"&amp;'CASE DATA'!$F58&amp;";",SMALL(IF(ISERROR(SEARCH(MID(";"&amp;'CASE DATA'!$F58&amp;";",ROW($1:$99),1),";")),"",ROW($1:$99)+1),COLUMN(I58)),SMALL(IF(ISERROR(SEARCH(MID(";"&amp;'CASE DATA'!$F58&amp;";",ROW($1:$99),1),";")),"",ROW($1:$99)),COLUMN(I57)+1)-SMALL(IF(ISERROR(SEARCH(MID(";"&amp;'CASE DATA'!$F58&amp;";",ROW($1:$99),1),";")),"",ROW($1:$99)),COLUMN(I57))-1)</f>
        <v/>
      </c>
      <c r="AG58" s="75" t="str" cm="1">
        <f t="array" ref="AG58">MID(";"&amp;'CASE DATA'!$F58&amp;";",SMALL(IF(ISERROR(SEARCH(MID(";"&amp;'CASE DATA'!$F58&amp;";",ROW($1:$99),1),";")),"",ROW($1:$99)+1),COLUMN(K58)),SMALL(IF(ISERROR(SEARCH(MID(";"&amp;'CASE DATA'!$F58&amp;";",ROW($1:$99),1),";")),"",ROW($1:$99)),COLUMN(K57)+1)-SMALL(IF(ISERROR(SEARCH(MID(";"&amp;'CASE DATA'!$F58&amp;";",ROW($1:$99),1),";")),"",ROW($1:$99)),COLUMN(K57))-1)</f>
        <v/>
      </c>
      <c r="AH58" s="75" t="str" cm="1">
        <f t="array" ref="AH58">MID(";"&amp;'CASE DATA'!$F58&amp;";",SMALL(IF(ISERROR(SEARCH(MID(";"&amp;'CASE DATA'!$F58&amp;";",ROW($1:$99),1),";")),"",ROW($1:$99)+1),COLUMN(L58)),SMALL(IF(ISERROR(SEARCH(MID(";"&amp;'CASE DATA'!$F58&amp;";",ROW($1:$99),1),";")),"",ROW($1:$99)),COLUMN(L57)+1)-SMALL(IF(ISERROR(SEARCH(MID(";"&amp;'CASE DATA'!$F58&amp;";",ROW($1:$99),1),";")),"",ROW($1:$99)),COLUMN(L57))-1)</f>
        <v/>
      </c>
      <c r="AI58" s="75" t="str" cm="1">
        <f t="array" ref="AI58">MID(";"&amp;'CASE DATA'!$F58&amp;";",SMALL(IF(ISERROR(SEARCH(MID(";"&amp;'CASE DATA'!$F58&amp;";",ROW($1:$99),1),";")),"",ROW($1:$99)+1),COLUMN(M58)),SMALL(IF(ISERROR(SEARCH(MID(";"&amp;'CASE DATA'!$F58&amp;";",ROW($1:$99),1),";")),"",ROW($1:$99)),COLUMN(M57)+1)-SMALL(IF(ISERROR(SEARCH(MID(";"&amp;'CASE DATA'!$F58&amp;";",ROW($1:$99),1),";")),"",ROW($1:$99)),COLUMN(M57))-1)</f>
        <v/>
      </c>
      <c r="AJ58"/>
      <c r="AK58"/>
      <c r="AL58"/>
      <c r="AM58"/>
      <c r="AN58"/>
      <c r="AO58"/>
      <c r="AP58"/>
      <c r="AQ58"/>
      <c r="AR58"/>
      <c r="AS58"/>
      <c r="AT58"/>
      <c r="AU58"/>
      <c r="AV58"/>
      <c r="AW58"/>
      <c r="AX58"/>
      <c r="AY58"/>
      <c r="AZ58"/>
      <c r="BA58"/>
      <c r="BB58"/>
      <c r="BC58"/>
      <c r="BD58"/>
      <c r="BE58"/>
      <c r="BF58"/>
      <c r="BG58"/>
      <c r="BH58"/>
      <c r="BI58"/>
      <c r="BJ58"/>
      <c r="BK58"/>
      <c r="BL58"/>
      <c r="BM58"/>
      <c r="BN58"/>
      <c r="BO58" s="99"/>
      <c r="BP58" s="99"/>
      <c r="BQ58" s="99"/>
      <c r="BR58" s="99"/>
      <c r="BS58" s="99"/>
      <c r="BT58" s="99"/>
      <c r="BU58" s="99"/>
      <c r="BV58" s="99"/>
      <c r="BW58" s="99"/>
      <c r="BX58" s="99"/>
      <c r="BY58" s="99"/>
      <c r="BZ58" s="99"/>
      <c r="CA58" s="99"/>
      <c r="CB58" s="99"/>
      <c r="CC58" s="99"/>
      <c r="CD58" s="99"/>
      <c r="CE58" s="99"/>
      <c r="CF58" s="99"/>
      <c r="CG58" s="99"/>
      <c r="CH58" s="99"/>
      <c r="CI58" s="99"/>
      <c r="CJ58" s="99"/>
      <c r="CK58" s="99"/>
      <c r="CL58" s="99"/>
      <c r="CM58" s="99"/>
      <c r="CN58" s="99"/>
      <c r="CO58" s="99"/>
      <c r="CP58" s="99"/>
      <c r="CQ58" s="99"/>
      <c r="CR58" s="99"/>
      <c r="CS58" s="99"/>
      <c r="CT58" s="99"/>
      <c r="CU58" s="99"/>
      <c r="CV58" s="99"/>
      <c r="CW58" s="99"/>
      <c r="CX58" s="99"/>
      <c r="CY58" s="99"/>
      <c r="CZ58" s="99"/>
      <c r="DA58" s="99"/>
      <c r="DB58" s="99"/>
      <c r="DC58" s="99"/>
      <c r="DD58" s="99"/>
      <c r="DE58" s="99"/>
      <c r="DF58" s="99"/>
      <c r="DG58" s="99"/>
      <c r="DH58" s="99"/>
      <c r="DI58" s="99"/>
      <c r="DJ58" s="99"/>
      <c r="DK58" s="99"/>
      <c r="DL58" s="99"/>
      <c r="DM58" s="99"/>
      <c r="DN58" s="99"/>
      <c r="DO58" s="99"/>
      <c r="DP58" s="99"/>
      <c r="DQ58" s="99"/>
      <c r="DR58" s="99"/>
      <c r="DS58" s="99"/>
      <c r="DT58" s="99"/>
      <c r="DU58" s="99"/>
      <c r="DV58" s="99"/>
      <c r="DW58" s="99"/>
      <c r="DX58" s="99"/>
      <c r="DY58" s="99"/>
      <c r="DZ58" s="99"/>
      <c r="EA58" s="99"/>
      <c r="EB58" s="99"/>
      <c r="EC58" s="99"/>
      <c r="ED58" s="99"/>
      <c r="EE58" s="99"/>
      <c r="EF58" s="99"/>
      <c r="EG58" s="99"/>
      <c r="EH58" s="99"/>
      <c r="EI58" s="99"/>
      <c r="EJ58" s="99"/>
      <c r="EK58" s="99"/>
      <c r="EL58" s="99"/>
      <c r="EM58" s="99"/>
      <c r="EN58" s="99"/>
      <c r="EO58" s="99"/>
      <c r="EP58" s="99"/>
      <c r="EQ58" s="99"/>
      <c r="ER58" s="99"/>
      <c r="ES58" s="99"/>
      <c r="ET58" s="99"/>
      <c r="EU58" s="99"/>
      <c r="EV58" s="99"/>
      <c r="EW58" s="99"/>
      <c r="EX58" s="99"/>
      <c r="EY58" s="99"/>
      <c r="EZ58" s="99"/>
      <c r="FA58" s="99"/>
      <c r="FB58" s="99"/>
      <c r="FC58" s="99"/>
      <c r="FD58" s="99"/>
      <c r="FE58" s="99"/>
      <c r="FF58" s="99"/>
      <c r="FG58" s="99"/>
      <c r="FH58" s="99"/>
      <c r="FI58" s="99"/>
      <c r="FJ58" s="99"/>
      <c r="FK58" s="99"/>
    </row>
    <row r="59" spans="1:167" s="70" customFormat="1" x14ac:dyDescent="0.25">
      <c r="A59"/>
      <c r="B59"/>
      <c r="C59" s="10"/>
      <c r="D59" s="10"/>
      <c r="E59" s="11"/>
      <c r="F59" s="15"/>
      <c r="G59"/>
      <c r="H59" s="99"/>
      <c r="I59" s="99"/>
      <c r="J59" s="99">
        <v>56</v>
      </c>
      <c r="K59" s="16"/>
      <c r="L59" s="16"/>
      <c r="M59" s="16"/>
      <c r="N59" s="16"/>
      <c r="O59" s="16"/>
      <c r="P59" s="16"/>
      <c r="Q59" s="16"/>
      <c r="R59" s="16"/>
      <c r="S59" s="16"/>
      <c r="T59" s="16"/>
      <c r="U59" s="73">
        <f>SUM(K59:T59)</f>
        <v>0</v>
      </c>
      <c r="V59" s="73"/>
      <c r="W59"/>
      <c r="X59" s="75" t="str" cm="1">
        <f t="array" ref="X59">MID(";"&amp;'CASE DATA'!$F59&amp;";",SMALL(IF(ISERROR(SEARCH(MID(";"&amp;'CASE DATA'!$F59&amp;";",ROW($1:$99),1),";")),"",ROW($1:$99)+1),COLUMN(A59)),SMALL(IF(ISERROR(SEARCH(MID(";"&amp;'CASE DATA'!$F59&amp;";",ROW($1:$99),1),";")),"",ROW($1:$99)),COLUMN(A58)+1)-SMALL(IF(ISERROR(SEARCH(MID(";"&amp;'CASE DATA'!$F59&amp;";",ROW($1:$99),1),";")),"",ROW($1:$99)),COLUMN(A58))-1)</f>
        <v/>
      </c>
      <c r="Y59" s="75" t="str" cm="1">
        <f t="array" ref="Y59">MID(";"&amp;'CASE DATA'!$F59&amp;";",SMALL(IF(ISERROR(SEARCH(MID(";"&amp;'CASE DATA'!$F59&amp;";",ROW($1:$99),1),";")),"",ROW($1:$99)+1),COLUMN(B59)),SMALL(IF(ISERROR(SEARCH(MID(";"&amp;'CASE DATA'!$F59&amp;";",ROW($1:$99),1),";")),"",ROW($1:$99)),COLUMN(B58)+1)-SMALL(IF(ISERROR(SEARCH(MID(";"&amp;'CASE DATA'!$F59&amp;";",ROW($1:$99),1),";")),"",ROW($1:$99)),COLUMN(B58))-1)</f>
        <v/>
      </c>
      <c r="Z59" s="75" t="str" cm="1">
        <f t="array" ref="Z59">MID(";"&amp;'CASE DATA'!$F59&amp;";",SMALL(IF(ISERROR(SEARCH(MID(";"&amp;'CASE DATA'!$F59&amp;";",ROW($1:$99),1),";")),"",ROW($1:$99)+1),COLUMN(C59)),SMALL(IF(ISERROR(SEARCH(MID(";"&amp;'CASE DATA'!$F59&amp;";",ROW($1:$99),1),";")),"",ROW($1:$99)),COLUMN(C58)+1)-SMALL(IF(ISERROR(SEARCH(MID(";"&amp;'CASE DATA'!$F59&amp;";",ROW($1:$99),1),";")),"",ROW($1:$99)),COLUMN(C58))-1)</f>
        <v/>
      </c>
      <c r="AA59" s="75" t="str" cm="1">
        <f t="array" ref="AA59">MID(";"&amp;'CASE DATA'!$F59&amp;";",SMALL(IF(ISERROR(SEARCH(MID(";"&amp;'CASE DATA'!$F59&amp;";",ROW($1:$99),1),";")),"",ROW($1:$99)+1),COLUMN(D59)),SMALL(IF(ISERROR(SEARCH(MID(";"&amp;'CASE DATA'!$F59&amp;";",ROW($1:$99),1),";")),"",ROW($1:$99)),COLUMN(D58)+1)-SMALL(IF(ISERROR(SEARCH(MID(";"&amp;'CASE DATA'!$F59&amp;";",ROW($1:$99),1),";")),"",ROW($1:$99)),COLUMN(D58))-1)</f>
        <v/>
      </c>
      <c r="AB59" s="75" t="str" cm="1">
        <f t="array" ref="AB59">MID(";"&amp;'CASE DATA'!$F59&amp;";",SMALL(IF(ISERROR(SEARCH(MID(";"&amp;'CASE DATA'!$F59&amp;";",ROW($1:$99),1),";")),"",ROW($1:$99)+1),COLUMN(E59)),SMALL(IF(ISERROR(SEARCH(MID(";"&amp;'CASE DATA'!$F59&amp;";",ROW($1:$99),1),";")),"",ROW($1:$99)),COLUMN(E58)+1)-SMALL(IF(ISERROR(SEARCH(MID(";"&amp;'CASE DATA'!$F59&amp;";",ROW($1:$99),1),";")),"",ROW($1:$99)),COLUMN(E58))-1)</f>
        <v/>
      </c>
      <c r="AC59" s="75" t="str" cm="1">
        <f t="array" ref="AC59">MID(";"&amp;'CASE DATA'!$F59&amp;";",SMALL(IF(ISERROR(SEARCH(MID(";"&amp;'CASE DATA'!$F59&amp;";",ROW($1:$99),1),";")),"",ROW($1:$99)+1),COLUMN(F59)),SMALL(IF(ISERROR(SEARCH(MID(";"&amp;'CASE DATA'!$F59&amp;";",ROW($1:$99),1),";")),"",ROW($1:$99)),COLUMN(F58)+1)-SMALL(IF(ISERROR(SEARCH(MID(";"&amp;'CASE DATA'!$F59&amp;";",ROW($1:$99),1),";")),"",ROW($1:$99)),COLUMN(F58))-1)</f>
        <v/>
      </c>
      <c r="AD59" s="75" t="str" cm="1">
        <f t="array" ref="AD59">MID(";"&amp;'CASE DATA'!$F59&amp;";",SMALL(IF(ISERROR(SEARCH(MID(";"&amp;'CASE DATA'!$F59&amp;";",ROW($1:$99),1),";")),"",ROW($1:$99)+1),COLUMN(G59)),SMALL(IF(ISERROR(SEARCH(MID(";"&amp;'CASE DATA'!$F59&amp;";",ROW($1:$99),1),";")),"",ROW($1:$99)),COLUMN(G58)+1)-SMALL(IF(ISERROR(SEARCH(MID(";"&amp;'CASE DATA'!$F59&amp;";",ROW($1:$99),1),";")),"",ROW($1:$99)),COLUMN(G58))-1)</f>
        <v/>
      </c>
      <c r="AE59" s="75" t="str" cm="1">
        <f t="array" ref="AE59">MID(";"&amp;'CASE DATA'!$F59&amp;";",SMALL(IF(ISERROR(SEARCH(MID(";"&amp;'CASE DATA'!$F59&amp;";",ROW($1:$99),1),";")),"",ROW($1:$99)+1),COLUMN(H59)),SMALL(IF(ISERROR(SEARCH(MID(";"&amp;'CASE DATA'!$F59&amp;";",ROW($1:$99),1),";")),"",ROW($1:$99)),COLUMN(H58)+1)-SMALL(IF(ISERROR(SEARCH(MID(";"&amp;'CASE DATA'!$F59&amp;";",ROW($1:$99),1),";")),"",ROW($1:$99)),COLUMN(H58))-1)</f>
        <v/>
      </c>
      <c r="AF59" s="75" t="str" cm="1">
        <f t="array" ref="AF59">MID(";"&amp;'CASE DATA'!$F59&amp;";",SMALL(IF(ISERROR(SEARCH(MID(";"&amp;'CASE DATA'!$F59&amp;";",ROW($1:$99),1),";")),"",ROW($1:$99)+1),COLUMN(I59)),SMALL(IF(ISERROR(SEARCH(MID(";"&amp;'CASE DATA'!$F59&amp;";",ROW($1:$99),1),";")),"",ROW($1:$99)),COLUMN(I58)+1)-SMALL(IF(ISERROR(SEARCH(MID(";"&amp;'CASE DATA'!$F59&amp;";",ROW($1:$99),1),";")),"",ROW($1:$99)),COLUMN(I58))-1)</f>
        <v/>
      </c>
      <c r="AG59" s="75" t="str" cm="1">
        <f t="array" ref="AG59">MID(";"&amp;'CASE DATA'!$F59&amp;";",SMALL(IF(ISERROR(SEARCH(MID(";"&amp;'CASE DATA'!$F59&amp;";",ROW($1:$99),1),";")),"",ROW($1:$99)+1),COLUMN(K59)),SMALL(IF(ISERROR(SEARCH(MID(";"&amp;'CASE DATA'!$F59&amp;";",ROW($1:$99),1),";")),"",ROW($1:$99)),COLUMN(K58)+1)-SMALL(IF(ISERROR(SEARCH(MID(";"&amp;'CASE DATA'!$F59&amp;";",ROW($1:$99),1),";")),"",ROW($1:$99)),COLUMN(K58))-1)</f>
        <v/>
      </c>
      <c r="AH59" s="75" t="str" cm="1">
        <f t="array" ref="AH59">MID(";"&amp;'CASE DATA'!$F59&amp;";",SMALL(IF(ISERROR(SEARCH(MID(";"&amp;'CASE DATA'!$F59&amp;";",ROW($1:$99),1),";")),"",ROW($1:$99)+1),COLUMN(L59)),SMALL(IF(ISERROR(SEARCH(MID(";"&amp;'CASE DATA'!$F59&amp;";",ROW($1:$99),1),";")),"",ROW($1:$99)),COLUMN(L58)+1)-SMALL(IF(ISERROR(SEARCH(MID(";"&amp;'CASE DATA'!$F59&amp;";",ROW($1:$99),1),";")),"",ROW($1:$99)),COLUMN(L58))-1)</f>
        <v/>
      </c>
      <c r="AI59" s="75" t="str" cm="1">
        <f t="array" ref="AI59">MID(";"&amp;'CASE DATA'!$F59&amp;";",SMALL(IF(ISERROR(SEARCH(MID(";"&amp;'CASE DATA'!$F59&amp;";",ROW($1:$99),1),";")),"",ROW($1:$99)+1),COLUMN(M59)),SMALL(IF(ISERROR(SEARCH(MID(";"&amp;'CASE DATA'!$F59&amp;";",ROW($1:$99),1),";")),"",ROW($1:$99)),COLUMN(M58)+1)-SMALL(IF(ISERROR(SEARCH(MID(";"&amp;'CASE DATA'!$F59&amp;";",ROW($1:$99),1),";")),"",ROW($1:$99)),COLUMN(M58))-1)</f>
        <v/>
      </c>
      <c r="AJ59"/>
      <c r="AK59"/>
      <c r="AL59"/>
      <c r="AM59"/>
      <c r="AN59"/>
      <c r="AO59"/>
      <c r="AP59"/>
      <c r="AQ59"/>
      <c r="AR59"/>
      <c r="AS59"/>
      <c r="AT59"/>
      <c r="AU59"/>
      <c r="AV59"/>
      <c r="AW59"/>
      <c r="AX59"/>
      <c r="AY59"/>
      <c r="AZ59"/>
      <c r="BA59"/>
      <c r="BB59"/>
      <c r="BC59"/>
      <c r="BD59"/>
      <c r="BE59"/>
      <c r="BF59"/>
      <c r="BG59"/>
      <c r="BH59"/>
      <c r="BI59"/>
      <c r="BJ59"/>
      <c r="BK59"/>
      <c r="BL59"/>
      <c r="BM59"/>
      <c r="BN59"/>
      <c r="BO59" s="99"/>
      <c r="BP59" s="99"/>
      <c r="BQ59" s="99"/>
      <c r="BR59" s="99"/>
      <c r="BS59" s="99"/>
      <c r="BT59" s="99"/>
      <c r="BU59" s="99"/>
      <c r="BV59" s="99"/>
      <c r="BW59" s="99"/>
      <c r="BX59" s="99"/>
      <c r="BY59" s="99"/>
      <c r="BZ59" s="99"/>
      <c r="CA59" s="99"/>
      <c r="CB59" s="99"/>
      <c r="CC59" s="99"/>
      <c r="CD59" s="99"/>
      <c r="CE59" s="99"/>
      <c r="CF59" s="99"/>
      <c r="CG59" s="99"/>
      <c r="CH59" s="99"/>
      <c r="CI59" s="99"/>
      <c r="CJ59" s="99"/>
      <c r="CK59" s="99"/>
      <c r="CL59" s="99"/>
      <c r="CM59" s="99"/>
      <c r="CN59" s="99"/>
      <c r="CO59" s="99"/>
      <c r="CP59" s="99"/>
      <c r="CQ59" s="99"/>
      <c r="CR59" s="99"/>
      <c r="CS59" s="99"/>
      <c r="CT59" s="99"/>
      <c r="CU59" s="99"/>
      <c r="CV59" s="99"/>
      <c r="CW59" s="99"/>
      <c r="CX59" s="99"/>
      <c r="CY59" s="99"/>
      <c r="CZ59" s="99"/>
      <c r="DA59" s="99"/>
      <c r="DB59" s="99"/>
      <c r="DC59" s="99"/>
      <c r="DD59" s="99"/>
      <c r="DE59" s="99"/>
      <c r="DF59" s="99"/>
      <c r="DG59" s="99"/>
      <c r="DH59" s="99"/>
      <c r="DI59" s="99"/>
      <c r="DJ59" s="99"/>
      <c r="DK59" s="99"/>
      <c r="DL59" s="99"/>
      <c r="DM59" s="99"/>
      <c r="DN59" s="99"/>
      <c r="DO59" s="99"/>
      <c r="DP59" s="99"/>
      <c r="DQ59" s="99"/>
      <c r="DR59" s="99"/>
      <c r="DS59" s="99"/>
      <c r="DT59" s="99"/>
      <c r="DU59" s="99"/>
      <c r="DV59" s="99"/>
      <c r="DW59" s="99"/>
      <c r="DX59" s="99"/>
      <c r="DY59" s="99"/>
      <c r="DZ59" s="99"/>
      <c r="EA59" s="99"/>
      <c r="EB59" s="99"/>
      <c r="EC59" s="99"/>
      <c r="ED59" s="99"/>
      <c r="EE59" s="99"/>
      <c r="EF59" s="99"/>
      <c r="EG59" s="99"/>
      <c r="EH59" s="99"/>
      <c r="EI59" s="99"/>
      <c r="EJ59" s="99"/>
      <c r="EK59" s="99"/>
      <c r="EL59" s="99"/>
      <c r="EM59" s="99"/>
      <c r="EN59" s="99"/>
      <c r="EO59" s="99"/>
      <c r="EP59" s="99"/>
      <c r="EQ59" s="99"/>
      <c r="ER59" s="99"/>
      <c r="ES59" s="99"/>
      <c r="ET59" s="99"/>
      <c r="EU59" s="99"/>
      <c r="EV59" s="99"/>
      <c r="EW59" s="99"/>
      <c r="EX59" s="99"/>
      <c r="EY59" s="99"/>
      <c r="EZ59" s="99"/>
      <c r="FA59" s="99"/>
      <c r="FB59" s="99"/>
      <c r="FC59" s="99"/>
      <c r="FD59" s="99"/>
      <c r="FE59" s="99"/>
      <c r="FF59" s="99"/>
      <c r="FG59" s="99"/>
      <c r="FH59" s="99"/>
      <c r="FI59" s="99"/>
      <c r="FJ59" s="99"/>
      <c r="FK59" s="99"/>
    </row>
    <row r="60" spans="1:167" x14ac:dyDescent="0.25">
      <c r="C60" s="10"/>
      <c r="D60" s="10"/>
      <c r="E60" s="11"/>
      <c r="F60" s="15"/>
      <c r="J60" s="99">
        <v>57</v>
      </c>
      <c r="K60" s="16"/>
      <c r="L60" s="16"/>
      <c r="M60" s="16"/>
      <c r="N60" s="16"/>
      <c r="O60" s="16"/>
      <c r="P60" s="16"/>
      <c r="Q60" s="16"/>
      <c r="R60" s="16"/>
      <c r="S60" s="16"/>
      <c r="T60" s="16"/>
      <c r="U60" s="73">
        <f>SUM(K60:T60)</f>
        <v>0</v>
      </c>
      <c r="V60" s="73"/>
      <c r="X60" s="75" t="str" cm="1">
        <f t="array" ref="X60">MID(";"&amp;'CASE DATA'!$F60&amp;";",SMALL(IF(ISERROR(SEARCH(MID(";"&amp;'CASE DATA'!$F60&amp;";",ROW($1:$99),1),";")),"",ROW($1:$99)+1),COLUMN(A60)),SMALL(IF(ISERROR(SEARCH(MID(";"&amp;'CASE DATA'!$F60&amp;";",ROW($1:$99),1),";")),"",ROW($1:$99)),COLUMN(A59)+1)-SMALL(IF(ISERROR(SEARCH(MID(";"&amp;'CASE DATA'!$F60&amp;";",ROW($1:$99),1),";")),"",ROW($1:$99)),COLUMN(A59))-1)</f>
        <v/>
      </c>
      <c r="Y60" s="75" t="str" cm="1">
        <f t="array" ref="Y60">MID(";"&amp;'CASE DATA'!$F60&amp;";",SMALL(IF(ISERROR(SEARCH(MID(";"&amp;'CASE DATA'!$F60&amp;";",ROW($1:$99),1),";")),"",ROW($1:$99)+1),COLUMN(B60)),SMALL(IF(ISERROR(SEARCH(MID(";"&amp;'CASE DATA'!$F60&amp;";",ROW($1:$99),1),";")),"",ROW($1:$99)),COLUMN(B59)+1)-SMALL(IF(ISERROR(SEARCH(MID(";"&amp;'CASE DATA'!$F60&amp;";",ROW($1:$99),1),";")),"",ROW($1:$99)),COLUMN(B59))-1)</f>
        <v/>
      </c>
      <c r="Z60" s="75" t="str" cm="1">
        <f t="array" ref="Z60">MID(";"&amp;'CASE DATA'!$F60&amp;";",SMALL(IF(ISERROR(SEARCH(MID(";"&amp;'CASE DATA'!$F60&amp;";",ROW($1:$99),1),";")),"",ROW($1:$99)+1),COLUMN(C60)),SMALL(IF(ISERROR(SEARCH(MID(";"&amp;'CASE DATA'!$F60&amp;";",ROW($1:$99),1),";")),"",ROW($1:$99)),COLUMN(C59)+1)-SMALL(IF(ISERROR(SEARCH(MID(";"&amp;'CASE DATA'!$F60&amp;";",ROW($1:$99),1),";")),"",ROW($1:$99)),COLUMN(C59))-1)</f>
        <v/>
      </c>
      <c r="AA60" s="75" t="str" cm="1">
        <f t="array" ref="AA60">MID(";"&amp;'CASE DATA'!$F60&amp;";",SMALL(IF(ISERROR(SEARCH(MID(";"&amp;'CASE DATA'!$F60&amp;";",ROW($1:$99),1),";")),"",ROW($1:$99)+1),COLUMN(D60)),SMALL(IF(ISERROR(SEARCH(MID(";"&amp;'CASE DATA'!$F60&amp;";",ROW($1:$99),1),";")),"",ROW($1:$99)),COLUMN(D59)+1)-SMALL(IF(ISERROR(SEARCH(MID(";"&amp;'CASE DATA'!$F60&amp;";",ROW($1:$99),1),";")),"",ROW($1:$99)),COLUMN(D59))-1)</f>
        <v/>
      </c>
      <c r="AB60" s="75" t="str" cm="1">
        <f t="array" ref="AB60">MID(";"&amp;'CASE DATA'!$F60&amp;";",SMALL(IF(ISERROR(SEARCH(MID(";"&amp;'CASE DATA'!$F60&amp;";",ROW($1:$99),1),";")),"",ROW($1:$99)+1),COLUMN(E60)),SMALL(IF(ISERROR(SEARCH(MID(";"&amp;'CASE DATA'!$F60&amp;";",ROW($1:$99),1),";")),"",ROW($1:$99)),COLUMN(E59)+1)-SMALL(IF(ISERROR(SEARCH(MID(";"&amp;'CASE DATA'!$F60&amp;";",ROW($1:$99),1),";")),"",ROW($1:$99)),COLUMN(E59))-1)</f>
        <v/>
      </c>
      <c r="AC60" s="75" t="str" cm="1">
        <f t="array" ref="AC60">MID(";"&amp;'CASE DATA'!$F60&amp;";",SMALL(IF(ISERROR(SEARCH(MID(";"&amp;'CASE DATA'!$F60&amp;";",ROW($1:$99),1),";")),"",ROW($1:$99)+1),COLUMN(F60)),SMALL(IF(ISERROR(SEARCH(MID(";"&amp;'CASE DATA'!$F60&amp;";",ROW($1:$99),1),";")),"",ROW($1:$99)),COLUMN(F59)+1)-SMALL(IF(ISERROR(SEARCH(MID(";"&amp;'CASE DATA'!$F60&amp;";",ROW($1:$99),1),";")),"",ROW($1:$99)),COLUMN(F59))-1)</f>
        <v/>
      </c>
      <c r="AD60" s="75" t="str" cm="1">
        <f t="array" ref="AD60">MID(";"&amp;'CASE DATA'!$F60&amp;";",SMALL(IF(ISERROR(SEARCH(MID(";"&amp;'CASE DATA'!$F60&amp;";",ROW($1:$99),1),";")),"",ROW($1:$99)+1),COLUMN(G60)),SMALL(IF(ISERROR(SEARCH(MID(";"&amp;'CASE DATA'!$F60&amp;";",ROW($1:$99),1),";")),"",ROW($1:$99)),COLUMN(G59)+1)-SMALL(IF(ISERROR(SEARCH(MID(";"&amp;'CASE DATA'!$F60&amp;";",ROW($1:$99),1),";")),"",ROW($1:$99)),COLUMN(G59))-1)</f>
        <v/>
      </c>
      <c r="AE60" s="75" t="str" cm="1">
        <f t="array" ref="AE60">MID(";"&amp;'CASE DATA'!$F60&amp;";",SMALL(IF(ISERROR(SEARCH(MID(";"&amp;'CASE DATA'!$F60&amp;";",ROW($1:$99),1),";")),"",ROW($1:$99)+1),COLUMN(H60)),SMALL(IF(ISERROR(SEARCH(MID(";"&amp;'CASE DATA'!$F60&amp;";",ROW($1:$99),1),";")),"",ROW($1:$99)),COLUMN(H59)+1)-SMALL(IF(ISERROR(SEARCH(MID(";"&amp;'CASE DATA'!$F60&amp;";",ROW($1:$99),1),";")),"",ROW($1:$99)),COLUMN(H59))-1)</f>
        <v/>
      </c>
      <c r="AF60" s="75" t="str" cm="1">
        <f t="array" ref="AF60">MID(";"&amp;'CASE DATA'!$F60&amp;";",SMALL(IF(ISERROR(SEARCH(MID(";"&amp;'CASE DATA'!$F60&amp;";",ROW($1:$99),1),";")),"",ROW($1:$99)+1),COLUMN(I60)),SMALL(IF(ISERROR(SEARCH(MID(";"&amp;'CASE DATA'!$F60&amp;";",ROW($1:$99),1),";")),"",ROW($1:$99)),COLUMN(I59)+1)-SMALL(IF(ISERROR(SEARCH(MID(";"&amp;'CASE DATA'!$F60&amp;";",ROW($1:$99),1),";")),"",ROW($1:$99)),COLUMN(I59))-1)</f>
        <v/>
      </c>
      <c r="AG60" s="75" t="str" cm="1">
        <f t="array" ref="AG60">MID(";"&amp;'CASE DATA'!$F60&amp;";",SMALL(IF(ISERROR(SEARCH(MID(";"&amp;'CASE DATA'!$F60&amp;";",ROW($1:$99),1),";")),"",ROW($1:$99)+1),COLUMN(K60)),SMALL(IF(ISERROR(SEARCH(MID(";"&amp;'CASE DATA'!$F60&amp;";",ROW($1:$99),1),";")),"",ROW($1:$99)),COLUMN(K59)+1)-SMALL(IF(ISERROR(SEARCH(MID(";"&amp;'CASE DATA'!$F60&amp;";",ROW($1:$99),1),";")),"",ROW($1:$99)),COLUMN(K59))-1)</f>
        <v/>
      </c>
      <c r="AH60" s="75" t="str" cm="1">
        <f t="array" ref="AH60">MID(";"&amp;'CASE DATA'!$F60&amp;";",SMALL(IF(ISERROR(SEARCH(MID(";"&amp;'CASE DATA'!$F60&amp;";",ROW($1:$99),1),";")),"",ROW($1:$99)+1),COLUMN(L60)),SMALL(IF(ISERROR(SEARCH(MID(";"&amp;'CASE DATA'!$F60&amp;";",ROW($1:$99),1),";")),"",ROW($1:$99)),COLUMN(L59)+1)-SMALL(IF(ISERROR(SEARCH(MID(";"&amp;'CASE DATA'!$F60&amp;";",ROW($1:$99),1),";")),"",ROW($1:$99)),COLUMN(L59))-1)</f>
        <v/>
      </c>
      <c r="AI60" s="75" t="str" cm="1">
        <f t="array" ref="AI60">MID(";"&amp;'CASE DATA'!$F60&amp;";",SMALL(IF(ISERROR(SEARCH(MID(";"&amp;'CASE DATA'!$F60&amp;";",ROW($1:$99),1),";")),"",ROW($1:$99)+1),COLUMN(M60)),SMALL(IF(ISERROR(SEARCH(MID(";"&amp;'CASE DATA'!$F60&amp;";",ROW($1:$99),1),";")),"",ROW($1:$99)),COLUMN(M59)+1)-SMALL(IF(ISERROR(SEARCH(MID(";"&amp;'CASE DATA'!$F60&amp;";",ROW($1:$99),1),";")),"",ROW($1:$99)),COLUMN(M59))-1)</f>
        <v/>
      </c>
      <c r="BO60" s="99"/>
      <c r="BP60" s="99"/>
      <c r="BQ60" s="99"/>
      <c r="BR60" s="99"/>
      <c r="BS60" s="99"/>
      <c r="BT60" s="99"/>
      <c r="BU60" s="99"/>
      <c r="BV60" s="99"/>
      <c r="BW60" s="99"/>
      <c r="BX60" s="99"/>
      <c r="BY60" s="99"/>
      <c r="BZ60" s="99"/>
      <c r="CA60" s="99"/>
      <c r="CB60" s="99"/>
      <c r="CC60" s="99"/>
      <c r="CD60" s="99"/>
      <c r="CE60" s="99"/>
      <c r="CF60" s="99"/>
      <c r="CG60" s="99"/>
      <c r="CH60" s="99"/>
      <c r="CI60" s="99"/>
      <c r="CJ60" s="99"/>
      <c r="CK60" s="99"/>
      <c r="CL60" s="99"/>
      <c r="CM60" s="99"/>
      <c r="CN60" s="99"/>
      <c r="CO60" s="99"/>
      <c r="CP60" s="99"/>
      <c r="CQ60" s="99"/>
      <c r="CR60" s="99"/>
      <c r="CS60" s="99"/>
      <c r="CT60" s="99"/>
      <c r="CU60" s="99"/>
      <c r="CV60" s="99"/>
      <c r="CW60" s="99"/>
      <c r="CX60" s="99"/>
      <c r="CY60" s="99"/>
      <c r="CZ60" s="99"/>
      <c r="DA60" s="99"/>
      <c r="DB60" s="99"/>
      <c r="DC60" s="99"/>
      <c r="DD60" s="99"/>
      <c r="DE60" s="99"/>
      <c r="DF60" s="99"/>
      <c r="DG60" s="99"/>
      <c r="DH60" s="99"/>
      <c r="DI60" s="99"/>
      <c r="DJ60" s="99"/>
      <c r="DK60" s="99"/>
      <c r="DL60" s="99"/>
      <c r="DM60" s="99"/>
      <c r="DN60" s="99"/>
      <c r="DO60" s="99"/>
      <c r="DP60" s="99"/>
      <c r="DQ60" s="99"/>
      <c r="DR60" s="99"/>
      <c r="DS60" s="99"/>
      <c r="DT60" s="99"/>
      <c r="DU60" s="99"/>
      <c r="DV60" s="99"/>
      <c r="DW60" s="99"/>
      <c r="DX60" s="99"/>
      <c r="DY60" s="99"/>
      <c r="DZ60" s="99"/>
      <c r="EA60" s="99"/>
      <c r="EB60" s="99"/>
      <c r="EC60" s="99"/>
      <c r="ED60" s="99"/>
      <c r="EE60" s="99"/>
      <c r="EF60" s="99"/>
      <c r="EG60" s="99"/>
      <c r="EH60" s="99"/>
      <c r="EI60" s="99"/>
      <c r="EJ60" s="99"/>
      <c r="EK60" s="99"/>
      <c r="EL60" s="99"/>
      <c r="EM60" s="99"/>
      <c r="EN60" s="99"/>
      <c r="EO60" s="99"/>
      <c r="EP60" s="99"/>
      <c r="EQ60" s="99"/>
      <c r="ER60" s="99"/>
      <c r="ES60" s="99"/>
      <c r="ET60" s="99"/>
      <c r="EU60" s="99"/>
      <c r="EV60" s="99"/>
      <c r="EW60" s="99"/>
      <c r="EX60" s="99"/>
      <c r="EY60" s="99"/>
      <c r="EZ60" s="99"/>
      <c r="FA60" s="99"/>
      <c r="FB60" s="99"/>
      <c r="FC60" s="99"/>
      <c r="FD60" s="99"/>
      <c r="FE60" s="99"/>
      <c r="FF60" s="99"/>
      <c r="FG60" s="99"/>
      <c r="FH60" s="99"/>
      <c r="FI60" s="99"/>
      <c r="FJ60" s="99"/>
      <c r="FK60" s="99"/>
    </row>
    <row r="61" spans="1:167" s="68" customFormat="1" x14ac:dyDescent="0.25">
      <c r="A61"/>
      <c r="B61"/>
      <c r="C61" s="10"/>
      <c r="D61" s="10"/>
      <c r="E61" s="11"/>
      <c r="F61" s="15"/>
      <c r="G61" s="10"/>
      <c r="H61" s="100"/>
      <c r="I61" s="100"/>
      <c r="J61" s="99">
        <v>58</v>
      </c>
      <c r="K61" s="16"/>
      <c r="L61" s="16"/>
      <c r="M61" s="16"/>
      <c r="N61" s="16"/>
      <c r="O61" s="16"/>
      <c r="P61" s="16"/>
      <c r="Q61" s="16"/>
      <c r="R61" s="16"/>
      <c r="S61" s="16"/>
      <c r="T61" s="16"/>
      <c r="U61" s="73">
        <f>SUM(K61:T61)</f>
        <v>0</v>
      </c>
      <c r="V61" s="73"/>
      <c r="W61"/>
      <c r="X61" s="75" t="str" cm="1">
        <f t="array" ref="X61">MID(";"&amp;'CASE DATA'!$F61&amp;";",SMALL(IF(ISERROR(SEARCH(MID(";"&amp;'CASE DATA'!$F61&amp;";",ROW($1:$99),1),";")),"",ROW($1:$99)+1),COLUMN(A61)),SMALL(IF(ISERROR(SEARCH(MID(";"&amp;'CASE DATA'!$F61&amp;";",ROW($1:$99),1),";")),"",ROW($1:$99)),COLUMN(A60)+1)-SMALL(IF(ISERROR(SEARCH(MID(";"&amp;'CASE DATA'!$F61&amp;";",ROW($1:$99),1),";")),"",ROW($1:$99)),COLUMN(A60))-1)</f>
        <v/>
      </c>
      <c r="Y61" s="75" t="str" cm="1">
        <f t="array" ref="Y61">MID(";"&amp;'CASE DATA'!$F61&amp;";",SMALL(IF(ISERROR(SEARCH(MID(";"&amp;'CASE DATA'!$F61&amp;";",ROW($1:$99),1),";")),"",ROW($1:$99)+1),COLUMN(B61)),SMALL(IF(ISERROR(SEARCH(MID(";"&amp;'CASE DATA'!$F61&amp;";",ROW($1:$99),1),";")),"",ROW($1:$99)),COLUMN(B60)+1)-SMALL(IF(ISERROR(SEARCH(MID(";"&amp;'CASE DATA'!$F61&amp;";",ROW($1:$99),1),";")),"",ROW($1:$99)),COLUMN(B60))-1)</f>
        <v/>
      </c>
      <c r="Z61" s="75" t="str" cm="1">
        <f t="array" ref="Z61">MID(";"&amp;'CASE DATA'!$F61&amp;";",SMALL(IF(ISERROR(SEARCH(MID(";"&amp;'CASE DATA'!$F61&amp;";",ROW($1:$99),1),";")),"",ROW($1:$99)+1),COLUMN(C61)),SMALL(IF(ISERROR(SEARCH(MID(";"&amp;'CASE DATA'!$F61&amp;";",ROW($1:$99),1),";")),"",ROW($1:$99)),COLUMN(C60)+1)-SMALL(IF(ISERROR(SEARCH(MID(";"&amp;'CASE DATA'!$F61&amp;";",ROW($1:$99),1),";")),"",ROW($1:$99)),COLUMN(C60))-1)</f>
        <v/>
      </c>
      <c r="AA61" s="75" t="str" cm="1">
        <f t="array" ref="AA61">MID(";"&amp;'CASE DATA'!$F61&amp;";",SMALL(IF(ISERROR(SEARCH(MID(";"&amp;'CASE DATA'!$F61&amp;";",ROW($1:$99),1),";")),"",ROW($1:$99)+1),COLUMN(D61)),SMALL(IF(ISERROR(SEARCH(MID(";"&amp;'CASE DATA'!$F61&amp;";",ROW($1:$99),1),";")),"",ROW($1:$99)),COLUMN(D60)+1)-SMALL(IF(ISERROR(SEARCH(MID(";"&amp;'CASE DATA'!$F61&amp;";",ROW($1:$99),1),";")),"",ROW($1:$99)),COLUMN(D60))-1)</f>
        <v/>
      </c>
      <c r="AB61" s="75" t="str" cm="1">
        <f t="array" ref="AB61">MID(";"&amp;'CASE DATA'!$F61&amp;";",SMALL(IF(ISERROR(SEARCH(MID(";"&amp;'CASE DATA'!$F61&amp;";",ROW($1:$99),1),";")),"",ROW($1:$99)+1),COLUMN(E61)),SMALL(IF(ISERROR(SEARCH(MID(";"&amp;'CASE DATA'!$F61&amp;";",ROW($1:$99),1),";")),"",ROW($1:$99)),COLUMN(E60)+1)-SMALL(IF(ISERROR(SEARCH(MID(";"&amp;'CASE DATA'!$F61&amp;";",ROW($1:$99),1),";")),"",ROW($1:$99)),COLUMN(E60))-1)</f>
        <v/>
      </c>
      <c r="AC61" s="75" t="str" cm="1">
        <f t="array" ref="AC61">MID(";"&amp;'CASE DATA'!$F61&amp;";",SMALL(IF(ISERROR(SEARCH(MID(";"&amp;'CASE DATA'!$F61&amp;";",ROW($1:$99),1),";")),"",ROW($1:$99)+1),COLUMN(F61)),SMALL(IF(ISERROR(SEARCH(MID(";"&amp;'CASE DATA'!$F61&amp;";",ROW($1:$99),1),";")),"",ROW($1:$99)),COLUMN(F60)+1)-SMALL(IF(ISERROR(SEARCH(MID(";"&amp;'CASE DATA'!$F61&amp;";",ROW($1:$99),1),";")),"",ROW($1:$99)),COLUMN(F60))-1)</f>
        <v/>
      </c>
      <c r="AD61" s="75" t="str" cm="1">
        <f t="array" ref="AD61">MID(";"&amp;'CASE DATA'!$F61&amp;";",SMALL(IF(ISERROR(SEARCH(MID(";"&amp;'CASE DATA'!$F61&amp;";",ROW($1:$99),1),";")),"",ROW($1:$99)+1),COLUMN(G61)),SMALL(IF(ISERROR(SEARCH(MID(";"&amp;'CASE DATA'!$F61&amp;";",ROW($1:$99),1),";")),"",ROW($1:$99)),COLUMN(G60)+1)-SMALL(IF(ISERROR(SEARCH(MID(";"&amp;'CASE DATA'!$F61&amp;";",ROW($1:$99),1),";")),"",ROW($1:$99)),COLUMN(G60))-1)</f>
        <v/>
      </c>
      <c r="AE61" s="75" t="str" cm="1">
        <f t="array" ref="AE61">MID(";"&amp;'CASE DATA'!$F61&amp;";",SMALL(IF(ISERROR(SEARCH(MID(";"&amp;'CASE DATA'!$F61&amp;";",ROW($1:$99),1),";")),"",ROW($1:$99)+1),COLUMN(H61)),SMALL(IF(ISERROR(SEARCH(MID(";"&amp;'CASE DATA'!$F61&amp;";",ROW($1:$99),1),";")),"",ROW($1:$99)),COLUMN(H60)+1)-SMALL(IF(ISERROR(SEARCH(MID(";"&amp;'CASE DATA'!$F61&amp;";",ROW($1:$99),1),";")),"",ROW($1:$99)),COLUMN(H60))-1)</f>
        <v/>
      </c>
      <c r="AF61" s="75" t="str" cm="1">
        <f t="array" ref="AF61">MID(";"&amp;'CASE DATA'!$F61&amp;";",SMALL(IF(ISERROR(SEARCH(MID(";"&amp;'CASE DATA'!$F61&amp;";",ROW($1:$99),1),";")),"",ROW($1:$99)+1),COLUMN(I61)),SMALL(IF(ISERROR(SEARCH(MID(";"&amp;'CASE DATA'!$F61&amp;";",ROW($1:$99),1),";")),"",ROW($1:$99)),COLUMN(I60)+1)-SMALL(IF(ISERROR(SEARCH(MID(";"&amp;'CASE DATA'!$F61&amp;";",ROW($1:$99),1),";")),"",ROW($1:$99)),COLUMN(I60))-1)</f>
        <v/>
      </c>
      <c r="AG61" s="75" t="str" cm="1">
        <f t="array" ref="AG61">MID(";"&amp;'CASE DATA'!$F61&amp;";",SMALL(IF(ISERROR(SEARCH(MID(";"&amp;'CASE DATA'!$F61&amp;";",ROW($1:$99),1),";")),"",ROW($1:$99)+1),COLUMN(K61)),SMALL(IF(ISERROR(SEARCH(MID(";"&amp;'CASE DATA'!$F61&amp;";",ROW($1:$99),1),";")),"",ROW($1:$99)),COLUMN(K60)+1)-SMALL(IF(ISERROR(SEARCH(MID(";"&amp;'CASE DATA'!$F61&amp;";",ROW($1:$99),1),";")),"",ROW($1:$99)),COLUMN(K60))-1)</f>
        <v/>
      </c>
      <c r="AH61" s="75" t="str" cm="1">
        <f t="array" ref="AH61">MID(";"&amp;'CASE DATA'!$F61&amp;";",SMALL(IF(ISERROR(SEARCH(MID(";"&amp;'CASE DATA'!$F61&amp;";",ROW($1:$99),1),";")),"",ROW($1:$99)+1),COLUMN(L61)),SMALL(IF(ISERROR(SEARCH(MID(";"&amp;'CASE DATA'!$F61&amp;";",ROW($1:$99),1),";")),"",ROW($1:$99)),COLUMN(L60)+1)-SMALL(IF(ISERROR(SEARCH(MID(";"&amp;'CASE DATA'!$F61&amp;";",ROW($1:$99),1),";")),"",ROW($1:$99)),COLUMN(L60))-1)</f>
        <v/>
      </c>
      <c r="AI61" s="75" t="str" cm="1">
        <f t="array" ref="AI61">MID(";"&amp;'CASE DATA'!$F61&amp;";",SMALL(IF(ISERROR(SEARCH(MID(";"&amp;'CASE DATA'!$F61&amp;";",ROW($1:$99),1),";")),"",ROW($1:$99)+1),COLUMN(M61)),SMALL(IF(ISERROR(SEARCH(MID(";"&amp;'CASE DATA'!$F61&amp;";",ROW($1:$99),1),";")),"",ROW($1:$99)),COLUMN(M60)+1)-SMALL(IF(ISERROR(SEARCH(MID(";"&amp;'CASE DATA'!$F61&amp;";",ROW($1:$99),1),";")),"",ROW($1:$99)),COLUMN(M60))-1)</f>
        <v/>
      </c>
      <c r="AJ61"/>
      <c r="AK61"/>
      <c r="AL61"/>
      <c r="AM61"/>
      <c r="AN61"/>
      <c r="AO61"/>
      <c r="AP61"/>
      <c r="AQ61"/>
      <c r="AR61"/>
      <c r="AS61"/>
      <c r="AT61"/>
      <c r="AU61"/>
      <c r="AV61"/>
      <c r="AW61"/>
      <c r="AX61"/>
      <c r="AY61"/>
      <c r="AZ61"/>
      <c r="BA61"/>
      <c r="BB61"/>
      <c r="BC61"/>
      <c r="BD61"/>
      <c r="BE61"/>
      <c r="BF61"/>
      <c r="BG61"/>
      <c r="BH61"/>
      <c r="BI61"/>
      <c r="BJ61"/>
      <c r="BK61"/>
      <c r="BL61"/>
      <c r="BM61"/>
      <c r="BN61"/>
      <c r="BO61" s="99"/>
      <c r="BP61" s="99"/>
      <c r="BQ61" s="99"/>
      <c r="BR61" s="99"/>
      <c r="BS61" s="99"/>
      <c r="BT61" s="99"/>
      <c r="BU61" s="99"/>
      <c r="BV61" s="99"/>
      <c r="BW61" s="99"/>
      <c r="BX61" s="99"/>
      <c r="BY61" s="99"/>
      <c r="BZ61" s="99"/>
      <c r="CA61" s="99"/>
      <c r="CB61" s="99"/>
      <c r="CC61" s="99"/>
      <c r="CD61" s="99"/>
      <c r="CE61" s="99"/>
      <c r="CF61" s="99"/>
      <c r="CG61" s="99"/>
      <c r="CH61" s="99"/>
      <c r="CI61" s="99"/>
      <c r="CJ61" s="99"/>
      <c r="CK61" s="99"/>
      <c r="CL61" s="99"/>
      <c r="CM61" s="99"/>
      <c r="CN61" s="99"/>
      <c r="CO61" s="99"/>
      <c r="CP61" s="99"/>
      <c r="CQ61" s="99"/>
      <c r="CR61" s="99"/>
      <c r="CS61" s="99"/>
      <c r="CT61" s="99"/>
      <c r="CU61" s="99"/>
      <c r="CV61" s="99"/>
      <c r="CW61" s="99"/>
      <c r="CX61" s="99"/>
      <c r="CY61" s="99"/>
      <c r="CZ61" s="99"/>
      <c r="DA61" s="99"/>
      <c r="DB61" s="99"/>
      <c r="DC61" s="99"/>
      <c r="DD61" s="99"/>
      <c r="DE61" s="99"/>
      <c r="DF61" s="99"/>
      <c r="DG61" s="99"/>
      <c r="DH61" s="99"/>
      <c r="DI61" s="99"/>
      <c r="DJ61" s="99"/>
      <c r="DK61" s="99"/>
      <c r="DL61" s="99"/>
      <c r="DM61" s="99"/>
      <c r="DN61" s="99"/>
      <c r="DO61" s="99"/>
      <c r="DP61" s="99"/>
      <c r="DQ61" s="99"/>
      <c r="DR61" s="99"/>
      <c r="DS61" s="99"/>
      <c r="DT61" s="99"/>
      <c r="DU61" s="99"/>
      <c r="DV61" s="99"/>
      <c r="DW61" s="99"/>
      <c r="DX61" s="99"/>
      <c r="DY61" s="99"/>
      <c r="DZ61" s="99"/>
      <c r="EA61" s="99"/>
      <c r="EB61" s="99"/>
      <c r="EC61" s="99"/>
      <c r="ED61" s="99"/>
      <c r="EE61" s="99"/>
      <c r="EF61" s="99"/>
      <c r="EG61" s="99"/>
      <c r="EH61" s="99"/>
      <c r="EI61" s="99"/>
      <c r="EJ61" s="99"/>
      <c r="EK61" s="99"/>
      <c r="EL61" s="99"/>
      <c r="EM61" s="99"/>
      <c r="EN61" s="99"/>
      <c r="EO61" s="99"/>
      <c r="EP61" s="99"/>
      <c r="EQ61" s="99"/>
      <c r="ER61" s="99"/>
      <c r="ES61" s="99"/>
      <c r="ET61" s="99"/>
      <c r="EU61" s="99"/>
      <c r="EV61" s="99"/>
      <c r="EW61" s="99"/>
      <c r="EX61" s="99"/>
      <c r="EY61" s="99"/>
      <c r="EZ61" s="99"/>
      <c r="FA61" s="99"/>
      <c r="FB61" s="99"/>
      <c r="FC61" s="99"/>
      <c r="FD61" s="99"/>
      <c r="FE61" s="99"/>
      <c r="FF61" s="99"/>
      <c r="FG61" s="99"/>
      <c r="FH61" s="99"/>
      <c r="FI61" s="99"/>
      <c r="FJ61" s="99"/>
      <c r="FK61" s="99"/>
    </row>
    <row r="62" spans="1:167" s="69" customFormat="1" x14ac:dyDescent="0.25">
      <c r="A62"/>
      <c r="B62"/>
      <c r="C62" s="10"/>
      <c r="D62" s="10"/>
      <c r="E62" s="11"/>
      <c r="F62" s="12"/>
      <c r="G62"/>
      <c r="H62" s="99"/>
      <c r="I62" s="99"/>
      <c r="J62" s="99">
        <v>59</v>
      </c>
      <c r="K62" s="13"/>
      <c r="L62" s="13"/>
      <c r="M62" s="13"/>
      <c r="N62" s="13"/>
      <c r="O62" s="13"/>
      <c r="P62" s="13"/>
      <c r="Q62" s="13"/>
      <c r="R62" s="13"/>
      <c r="S62" s="13"/>
      <c r="T62" s="13"/>
      <c r="U62" s="73">
        <f>SUM(K62:T62)</f>
        <v>0</v>
      </c>
      <c r="V62" s="73"/>
      <c r="W62"/>
      <c r="X62" s="75" t="str" cm="1">
        <f t="array" ref="X62">MID(";"&amp;'CASE DATA'!$F62&amp;";",SMALL(IF(ISERROR(SEARCH(MID(";"&amp;'CASE DATA'!$F62&amp;";",ROW($1:$99),1),";")),"",ROW($1:$99)+1),COLUMN(A62)),SMALL(IF(ISERROR(SEARCH(MID(";"&amp;'CASE DATA'!$F62&amp;";",ROW($1:$99),1),";")),"",ROW($1:$99)),COLUMN(A61)+1)-SMALL(IF(ISERROR(SEARCH(MID(";"&amp;'CASE DATA'!$F62&amp;";",ROW($1:$99),1),";")),"",ROW($1:$99)),COLUMN(A61))-1)</f>
        <v/>
      </c>
      <c r="Y62" s="75" t="str" cm="1">
        <f t="array" ref="Y62">MID(";"&amp;'CASE DATA'!$F62&amp;";",SMALL(IF(ISERROR(SEARCH(MID(";"&amp;'CASE DATA'!$F62&amp;";",ROW($1:$99),1),";")),"",ROW($1:$99)+1),COLUMN(B62)),SMALL(IF(ISERROR(SEARCH(MID(";"&amp;'CASE DATA'!$F62&amp;";",ROW($1:$99),1),";")),"",ROW($1:$99)),COLUMN(B61)+1)-SMALL(IF(ISERROR(SEARCH(MID(";"&amp;'CASE DATA'!$F62&amp;";",ROW($1:$99),1),";")),"",ROW($1:$99)),COLUMN(B61))-1)</f>
        <v/>
      </c>
      <c r="Z62" s="75" t="str" cm="1">
        <f t="array" ref="Z62">MID(";"&amp;'CASE DATA'!$F62&amp;";",SMALL(IF(ISERROR(SEARCH(MID(";"&amp;'CASE DATA'!$F62&amp;";",ROW($1:$99),1),";")),"",ROW($1:$99)+1),COLUMN(C62)),SMALL(IF(ISERROR(SEARCH(MID(";"&amp;'CASE DATA'!$F62&amp;";",ROW($1:$99),1),";")),"",ROW($1:$99)),COLUMN(C61)+1)-SMALL(IF(ISERROR(SEARCH(MID(";"&amp;'CASE DATA'!$F62&amp;";",ROW($1:$99),1),";")),"",ROW($1:$99)),COLUMN(C61))-1)</f>
        <v/>
      </c>
      <c r="AA62" s="75" t="str" cm="1">
        <f t="array" ref="AA62">MID(";"&amp;'CASE DATA'!$F62&amp;";",SMALL(IF(ISERROR(SEARCH(MID(";"&amp;'CASE DATA'!$F62&amp;";",ROW($1:$99),1),";")),"",ROW($1:$99)+1),COLUMN(D62)),SMALL(IF(ISERROR(SEARCH(MID(";"&amp;'CASE DATA'!$F62&amp;";",ROW($1:$99),1),";")),"",ROW($1:$99)),COLUMN(D61)+1)-SMALL(IF(ISERROR(SEARCH(MID(";"&amp;'CASE DATA'!$F62&amp;";",ROW($1:$99),1),";")),"",ROW($1:$99)),COLUMN(D61))-1)</f>
        <v/>
      </c>
      <c r="AB62" s="75" t="str" cm="1">
        <f t="array" ref="AB62">MID(";"&amp;'CASE DATA'!$F62&amp;";",SMALL(IF(ISERROR(SEARCH(MID(";"&amp;'CASE DATA'!$F62&amp;";",ROW($1:$99),1),";")),"",ROW($1:$99)+1),COLUMN(E62)),SMALL(IF(ISERROR(SEARCH(MID(";"&amp;'CASE DATA'!$F62&amp;";",ROW($1:$99),1),";")),"",ROW($1:$99)),COLUMN(E61)+1)-SMALL(IF(ISERROR(SEARCH(MID(";"&amp;'CASE DATA'!$F62&amp;";",ROW($1:$99),1),";")),"",ROW($1:$99)),COLUMN(E61))-1)</f>
        <v/>
      </c>
      <c r="AC62" s="75" t="str" cm="1">
        <f t="array" ref="AC62">MID(";"&amp;'CASE DATA'!$F62&amp;";",SMALL(IF(ISERROR(SEARCH(MID(";"&amp;'CASE DATA'!$F62&amp;";",ROW($1:$99),1),";")),"",ROW($1:$99)+1),COLUMN(F62)),SMALL(IF(ISERROR(SEARCH(MID(";"&amp;'CASE DATA'!$F62&amp;";",ROW($1:$99),1),";")),"",ROW($1:$99)),COLUMN(F61)+1)-SMALL(IF(ISERROR(SEARCH(MID(";"&amp;'CASE DATA'!$F62&amp;";",ROW($1:$99),1),";")),"",ROW($1:$99)),COLUMN(F61))-1)</f>
        <v/>
      </c>
      <c r="AD62" s="75" t="str" cm="1">
        <f t="array" ref="AD62">MID(";"&amp;'CASE DATA'!$F62&amp;";",SMALL(IF(ISERROR(SEARCH(MID(";"&amp;'CASE DATA'!$F62&amp;";",ROW($1:$99),1),";")),"",ROW($1:$99)+1),COLUMN(G62)),SMALL(IF(ISERROR(SEARCH(MID(";"&amp;'CASE DATA'!$F62&amp;";",ROW($1:$99),1),";")),"",ROW($1:$99)),COLUMN(G61)+1)-SMALL(IF(ISERROR(SEARCH(MID(";"&amp;'CASE DATA'!$F62&amp;";",ROW($1:$99),1),";")),"",ROW($1:$99)),COLUMN(G61))-1)</f>
        <v/>
      </c>
      <c r="AE62" s="75" t="str" cm="1">
        <f t="array" ref="AE62">MID(";"&amp;'CASE DATA'!$F62&amp;";",SMALL(IF(ISERROR(SEARCH(MID(";"&amp;'CASE DATA'!$F62&amp;";",ROW($1:$99),1),";")),"",ROW($1:$99)+1),COLUMN(H62)),SMALL(IF(ISERROR(SEARCH(MID(";"&amp;'CASE DATA'!$F62&amp;";",ROW($1:$99),1),";")),"",ROW($1:$99)),COLUMN(H61)+1)-SMALL(IF(ISERROR(SEARCH(MID(";"&amp;'CASE DATA'!$F62&amp;";",ROW($1:$99),1),";")),"",ROW($1:$99)),COLUMN(H61))-1)</f>
        <v/>
      </c>
      <c r="AF62" s="75" t="str" cm="1">
        <f t="array" ref="AF62">MID(";"&amp;'CASE DATA'!$F62&amp;";",SMALL(IF(ISERROR(SEARCH(MID(";"&amp;'CASE DATA'!$F62&amp;";",ROW($1:$99),1),";")),"",ROW($1:$99)+1),COLUMN(I62)),SMALL(IF(ISERROR(SEARCH(MID(";"&amp;'CASE DATA'!$F62&amp;";",ROW($1:$99),1),";")),"",ROW($1:$99)),COLUMN(I61)+1)-SMALL(IF(ISERROR(SEARCH(MID(";"&amp;'CASE DATA'!$F62&amp;";",ROW($1:$99),1),";")),"",ROW($1:$99)),COLUMN(I61))-1)</f>
        <v/>
      </c>
      <c r="AG62" s="75" t="str" cm="1">
        <f t="array" ref="AG62">MID(";"&amp;'CASE DATA'!$F62&amp;";",SMALL(IF(ISERROR(SEARCH(MID(";"&amp;'CASE DATA'!$F62&amp;";",ROW($1:$99),1),";")),"",ROW($1:$99)+1),COLUMN(K62)),SMALL(IF(ISERROR(SEARCH(MID(";"&amp;'CASE DATA'!$F62&amp;";",ROW($1:$99),1),";")),"",ROW($1:$99)),COLUMN(K61)+1)-SMALL(IF(ISERROR(SEARCH(MID(";"&amp;'CASE DATA'!$F62&amp;";",ROW($1:$99),1),";")),"",ROW($1:$99)),COLUMN(K61))-1)</f>
        <v/>
      </c>
      <c r="AH62" s="75" t="str" cm="1">
        <f t="array" ref="AH62">MID(";"&amp;'CASE DATA'!$F62&amp;";",SMALL(IF(ISERROR(SEARCH(MID(";"&amp;'CASE DATA'!$F62&amp;";",ROW($1:$99),1),";")),"",ROW($1:$99)+1),COLUMN(L62)),SMALL(IF(ISERROR(SEARCH(MID(";"&amp;'CASE DATA'!$F62&amp;";",ROW($1:$99),1),";")),"",ROW($1:$99)),COLUMN(L61)+1)-SMALL(IF(ISERROR(SEARCH(MID(";"&amp;'CASE DATA'!$F62&amp;";",ROW($1:$99),1),";")),"",ROW($1:$99)),COLUMN(L61))-1)</f>
        <v/>
      </c>
      <c r="AI62" s="75" t="str" cm="1">
        <f t="array" ref="AI62">MID(";"&amp;'CASE DATA'!$F62&amp;";",SMALL(IF(ISERROR(SEARCH(MID(";"&amp;'CASE DATA'!$F62&amp;";",ROW($1:$99),1),";")),"",ROW($1:$99)+1),COLUMN(M62)),SMALL(IF(ISERROR(SEARCH(MID(";"&amp;'CASE DATA'!$F62&amp;";",ROW($1:$99),1),";")),"",ROW($1:$99)),COLUMN(M61)+1)-SMALL(IF(ISERROR(SEARCH(MID(";"&amp;'CASE DATA'!$F62&amp;";",ROW($1:$99),1),";")),"",ROW($1:$99)),COLUMN(M61))-1)</f>
        <v/>
      </c>
      <c r="AJ62"/>
      <c r="AK62"/>
      <c r="AL62"/>
      <c r="AM62"/>
      <c r="AN62"/>
      <c r="AO62"/>
      <c r="AP62"/>
      <c r="AQ62"/>
      <c r="AR62"/>
      <c r="AS62"/>
      <c r="AT62"/>
      <c r="AU62"/>
      <c r="AV62"/>
      <c r="AW62"/>
      <c r="AX62"/>
      <c r="AY62"/>
      <c r="AZ62"/>
      <c r="BA62"/>
      <c r="BB62"/>
      <c r="BC62"/>
      <c r="BD62"/>
      <c r="BE62"/>
      <c r="BF62"/>
      <c r="BG62"/>
      <c r="BH62"/>
      <c r="BI62"/>
      <c r="BJ62"/>
      <c r="BK62"/>
      <c r="BL62"/>
      <c r="BM62"/>
      <c r="BN62"/>
      <c r="BO62" s="99"/>
      <c r="BP62" s="99"/>
      <c r="BQ62" s="99"/>
      <c r="BR62" s="99"/>
      <c r="BS62" s="99"/>
      <c r="BT62" s="99"/>
      <c r="BU62" s="99"/>
      <c r="BV62" s="99"/>
      <c r="BW62" s="99"/>
      <c r="BX62" s="99"/>
      <c r="BY62" s="99"/>
      <c r="BZ62" s="99"/>
      <c r="CA62" s="99"/>
      <c r="CB62" s="99"/>
      <c r="CC62" s="99"/>
      <c r="CD62" s="99"/>
      <c r="CE62" s="99"/>
      <c r="CF62" s="99"/>
      <c r="CG62" s="99"/>
      <c r="CH62" s="99"/>
      <c r="CI62" s="99"/>
      <c r="CJ62" s="99"/>
      <c r="CK62" s="99"/>
      <c r="CL62" s="99"/>
      <c r="CM62" s="99"/>
      <c r="CN62" s="99"/>
      <c r="CO62" s="99"/>
      <c r="CP62" s="99"/>
      <c r="CQ62" s="99"/>
      <c r="CR62" s="99"/>
      <c r="CS62" s="99"/>
      <c r="CT62" s="99"/>
      <c r="CU62" s="99"/>
      <c r="CV62" s="99"/>
      <c r="CW62" s="99"/>
      <c r="CX62" s="99"/>
      <c r="CY62" s="99"/>
      <c r="CZ62" s="99"/>
      <c r="DA62" s="99"/>
      <c r="DB62" s="99"/>
      <c r="DC62" s="99"/>
      <c r="DD62" s="99"/>
      <c r="DE62" s="99"/>
      <c r="DF62" s="99"/>
      <c r="DG62" s="99"/>
      <c r="DH62" s="99"/>
      <c r="DI62" s="99"/>
      <c r="DJ62" s="99"/>
      <c r="DK62" s="99"/>
      <c r="DL62" s="99"/>
      <c r="DM62" s="99"/>
      <c r="DN62" s="99"/>
      <c r="DO62" s="99"/>
      <c r="DP62" s="99"/>
      <c r="DQ62" s="99"/>
      <c r="DR62" s="99"/>
      <c r="DS62" s="99"/>
      <c r="DT62" s="99"/>
      <c r="DU62" s="99"/>
      <c r="DV62" s="99"/>
      <c r="DW62" s="99"/>
      <c r="DX62" s="99"/>
      <c r="DY62" s="99"/>
      <c r="DZ62" s="99"/>
      <c r="EA62" s="99"/>
      <c r="EB62" s="99"/>
      <c r="EC62" s="99"/>
      <c r="ED62" s="99"/>
      <c r="EE62" s="99"/>
      <c r="EF62" s="99"/>
      <c r="EG62" s="99"/>
      <c r="EH62" s="99"/>
      <c r="EI62" s="99"/>
      <c r="EJ62" s="99"/>
      <c r="EK62" s="99"/>
      <c r="EL62" s="99"/>
      <c r="EM62" s="99"/>
      <c r="EN62" s="99"/>
      <c r="EO62" s="99"/>
      <c r="EP62" s="99"/>
      <c r="EQ62" s="99"/>
      <c r="ER62" s="99"/>
      <c r="ES62" s="99"/>
      <c r="ET62" s="99"/>
      <c r="EU62" s="99"/>
      <c r="EV62" s="99"/>
      <c r="EW62" s="99"/>
      <c r="EX62" s="99"/>
      <c r="EY62" s="99"/>
      <c r="EZ62" s="99"/>
      <c r="FA62" s="99"/>
      <c r="FB62" s="99"/>
      <c r="FC62" s="99"/>
      <c r="FD62" s="99"/>
      <c r="FE62" s="99"/>
      <c r="FF62" s="99"/>
      <c r="FG62" s="99"/>
      <c r="FH62" s="99"/>
      <c r="FI62" s="99"/>
      <c r="FJ62" s="99"/>
      <c r="FK62" s="99"/>
    </row>
    <row r="63" spans="1:167" x14ac:dyDescent="0.25">
      <c r="C63" s="10"/>
      <c r="D63" s="10"/>
      <c r="E63" s="11"/>
      <c r="F63" s="12"/>
      <c r="J63" s="99">
        <v>60</v>
      </c>
      <c r="K63" s="13"/>
      <c r="L63" s="13"/>
      <c r="M63" s="13"/>
      <c r="N63" s="13"/>
      <c r="O63" s="13"/>
      <c r="P63" s="13"/>
      <c r="Q63" s="13"/>
      <c r="R63" s="13"/>
      <c r="S63" s="13"/>
      <c r="T63" s="13"/>
      <c r="U63" s="73">
        <f>SUM(K63:T63)</f>
        <v>0</v>
      </c>
      <c r="V63" s="73"/>
      <c r="X63" s="75" t="str" cm="1">
        <f t="array" ref="X63">MID(";"&amp;'CASE DATA'!$F63&amp;";",SMALL(IF(ISERROR(SEARCH(MID(";"&amp;'CASE DATA'!$F63&amp;";",ROW($1:$99),1),";")),"",ROW($1:$99)+1),COLUMN(A63)),SMALL(IF(ISERROR(SEARCH(MID(";"&amp;'CASE DATA'!$F63&amp;";",ROW($1:$99),1),";")),"",ROW($1:$99)),COLUMN(A62)+1)-SMALL(IF(ISERROR(SEARCH(MID(";"&amp;'CASE DATA'!$F63&amp;";",ROW($1:$99),1),";")),"",ROW($1:$99)),COLUMN(A62))-1)</f>
        <v/>
      </c>
      <c r="Y63" s="75" t="str" cm="1">
        <f t="array" ref="Y63">MID(";"&amp;'CASE DATA'!$F63&amp;";",SMALL(IF(ISERROR(SEARCH(MID(";"&amp;'CASE DATA'!$F63&amp;";",ROW($1:$99),1),";")),"",ROW($1:$99)+1),COLUMN(B63)),SMALL(IF(ISERROR(SEARCH(MID(";"&amp;'CASE DATA'!$F63&amp;";",ROW($1:$99),1),";")),"",ROW($1:$99)),COLUMN(B62)+1)-SMALL(IF(ISERROR(SEARCH(MID(";"&amp;'CASE DATA'!$F63&amp;";",ROW($1:$99),1),";")),"",ROW($1:$99)),COLUMN(B62))-1)</f>
        <v/>
      </c>
      <c r="Z63" s="75" t="str" cm="1">
        <f t="array" ref="Z63">MID(";"&amp;'CASE DATA'!$F63&amp;";",SMALL(IF(ISERROR(SEARCH(MID(";"&amp;'CASE DATA'!$F63&amp;";",ROW($1:$99),1),";")),"",ROW($1:$99)+1),COLUMN(C63)),SMALL(IF(ISERROR(SEARCH(MID(";"&amp;'CASE DATA'!$F63&amp;";",ROW($1:$99),1),";")),"",ROW($1:$99)),COLUMN(C62)+1)-SMALL(IF(ISERROR(SEARCH(MID(";"&amp;'CASE DATA'!$F63&amp;";",ROW($1:$99),1),";")),"",ROW($1:$99)),COLUMN(C62))-1)</f>
        <v/>
      </c>
      <c r="AA63" s="75" t="str" cm="1">
        <f t="array" ref="AA63">MID(";"&amp;'CASE DATA'!$F63&amp;";",SMALL(IF(ISERROR(SEARCH(MID(";"&amp;'CASE DATA'!$F63&amp;";",ROW($1:$99),1),";")),"",ROW($1:$99)+1),COLUMN(D63)),SMALL(IF(ISERROR(SEARCH(MID(";"&amp;'CASE DATA'!$F63&amp;";",ROW($1:$99),1),";")),"",ROW($1:$99)),COLUMN(D62)+1)-SMALL(IF(ISERROR(SEARCH(MID(";"&amp;'CASE DATA'!$F63&amp;";",ROW($1:$99),1),";")),"",ROW($1:$99)),COLUMN(D62))-1)</f>
        <v/>
      </c>
      <c r="AB63" s="75" t="str" cm="1">
        <f t="array" ref="AB63">MID(";"&amp;'CASE DATA'!$F63&amp;";",SMALL(IF(ISERROR(SEARCH(MID(";"&amp;'CASE DATA'!$F63&amp;";",ROW($1:$99),1),";")),"",ROW($1:$99)+1),COLUMN(E63)),SMALL(IF(ISERROR(SEARCH(MID(";"&amp;'CASE DATA'!$F63&amp;";",ROW($1:$99),1),";")),"",ROW($1:$99)),COLUMN(E62)+1)-SMALL(IF(ISERROR(SEARCH(MID(";"&amp;'CASE DATA'!$F63&amp;";",ROW($1:$99),1),";")),"",ROW($1:$99)),COLUMN(E62))-1)</f>
        <v/>
      </c>
      <c r="AC63" s="75" t="str" cm="1">
        <f t="array" ref="AC63">MID(";"&amp;'CASE DATA'!$F63&amp;";",SMALL(IF(ISERROR(SEARCH(MID(";"&amp;'CASE DATA'!$F63&amp;";",ROW($1:$99),1),";")),"",ROW($1:$99)+1),COLUMN(F63)),SMALL(IF(ISERROR(SEARCH(MID(";"&amp;'CASE DATA'!$F63&amp;";",ROW($1:$99),1),";")),"",ROW($1:$99)),COLUMN(F62)+1)-SMALL(IF(ISERROR(SEARCH(MID(";"&amp;'CASE DATA'!$F63&amp;";",ROW($1:$99),1),";")),"",ROW($1:$99)),COLUMN(F62))-1)</f>
        <v/>
      </c>
      <c r="AD63" s="75" t="str" cm="1">
        <f t="array" ref="AD63">MID(";"&amp;'CASE DATA'!$F63&amp;";",SMALL(IF(ISERROR(SEARCH(MID(";"&amp;'CASE DATA'!$F63&amp;";",ROW($1:$99),1),";")),"",ROW($1:$99)+1),COLUMN(G63)),SMALL(IF(ISERROR(SEARCH(MID(";"&amp;'CASE DATA'!$F63&amp;";",ROW($1:$99),1),";")),"",ROW($1:$99)),COLUMN(G62)+1)-SMALL(IF(ISERROR(SEARCH(MID(";"&amp;'CASE DATA'!$F63&amp;";",ROW($1:$99),1),";")),"",ROW($1:$99)),COLUMN(G62))-1)</f>
        <v/>
      </c>
      <c r="AE63" s="75" t="str" cm="1">
        <f t="array" ref="AE63">MID(";"&amp;'CASE DATA'!$F63&amp;";",SMALL(IF(ISERROR(SEARCH(MID(";"&amp;'CASE DATA'!$F63&amp;";",ROW($1:$99),1),";")),"",ROW($1:$99)+1),COLUMN(H63)),SMALL(IF(ISERROR(SEARCH(MID(";"&amp;'CASE DATA'!$F63&amp;";",ROW($1:$99),1),";")),"",ROW($1:$99)),COLUMN(H62)+1)-SMALL(IF(ISERROR(SEARCH(MID(";"&amp;'CASE DATA'!$F63&amp;";",ROW($1:$99),1),";")),"",ROW($1:$99)),COLUMN(H62))-1)</f>
        <v/>
      </c>
      <c r="AF63" s="75" t="str" cm="1">
        <f t="array" ref="AF63">MID(";"&amp;'CASE DATA'!$F63&amp;";",SMALL(IF(ISERROR(SEARCH(MID(";"&amp;'CASE DATA'!$F63&amp;";",ROW($1:$99),1),";")),"",ROW($1:$99)+1),COLUMN(I63)),SMALL(IF(ISERROR(SEARCH(MID(";"&amp;'CASE DATA'!$F63&amp;";",ROW($1:$99),1),";")),"",ROW($1:$99)),COLUMN(I62)+1)-SMALL(IF(ISERROR(SEARCH(MID(";"&amp;'CASE DATA'!$F63&amp;";",ROW($1:$99),1),";")),"",ROW($1:$99)),COLUMN(I62))-1)</f>
        <v/>
      </c>
      <c r="AG63" s="75" t="str" cm="1">
        <f t="array" ref="AG63">MID(";"&amp;'CASE DATA'!$F63&amp;";",SMALL(IF(ISERROR(SEARCH(MID(";"&amp;'CASE DATA'!$F63&amp;";",ROW($1:$99),1),";")),"",ROW($1:$99)+1),COLUMN(K63)),SMALL(IF(ISERROR(SEARCH(MID(";"&amp;'CASE DATA'!$F63&amp;";",ROW($1:$99),1),";")),"",ROW($1:$99)),COLUMN(K62)+1)-SMALL(IF(ISERROR(SEARCH(MID(";"&amp;'CASE DATA'!$F63&amp;";",ROW($1:$99),1),";")),"",ROW($1:$99)),COLUMN(K62))-1)</f>
        <v/>
      </c>
      <c r="AH63" s="75" t="str" cm="1">
        <f t="array" ref="AH63">MID(";"&amp;'CASE DATA'!$F63&amp;";",SMALL(IF(ISERROR(SEARCH(MID(";"&amp;'CASE DATA'!$F63&amp;";",ROW($1:$99),1),";")),"",ROW($1:$99)+1),COLUMN(L63)),SMALL(IF(ISERROR(SEARCH(MID(";"&amp;'CASE DATA'!$F63&amp;";",ROW($1:$99),1),";")),"",ROW($1:$99)),COLUMN(L62)+1)-SMALL(IF(ISERROR(SEARCH(MID(";"&amp;'CASE DATA'!$F63&amp;";",ROW($1:$99),1),";")),"",ROW($1:$99)),COLUMN(L62))-1)</f>
        <v/>
      </c>
      <c r="AI63" s="75" t="str" cm="1">
        <f t="array" ref="AI63">MID(";"&amp;'CASE DATA'!$F63&amp;";",SMALL(IF(ISERROR(SEARCH(MID(";"&amp;'CASE DATA'!$F63&amp;";",ROW($1:$99),1),";")),"",ROW($1:$99)+1),COLUMN(M63)),SMALL(IF(ISERROR(SEARCH(MID(";"&amp;'CASE DATA'!$F63&amp;";",ROW($1:$99),1),";")),"",ROW($1:$99)),COLUMN(M62)+1)-SMALL(IF(ISERROR(SEARCH(MID(";"&amp;'CASE DATA'!$F63&amp;";",ROW($1:$99),1),";")),"",ROW($1:$99)),COLUMN(M62))-1)</f>
        <v/>
      </c>
      <c r="BO63" s="99"/>
      <c r="BP63" s="99"/>
      <c r="BQ63" s="99"/>
      <c r="BR63" s="99"/>
      <c r="BS63" s="99"/>
      <c r="BT63" s="99"/>
      <c r="BU63" s="99"/>
      <c r="BV63" s="99"/>
      <c r="BW63" s="99"/>
      <c r="BX63" s="99"/>
      <c r="BY63" s="99"/>
      <c r="BZ63" s="99"/>
      <c r="CA63" s="99"/>
      <c r="CB63" s="99"/>
      <c r="CC63" s="99"/>
      <c r="CD63" s="99"/>
      <c r="CE63" s="99"/>
      <c r="CF63" s="99"/>
      <c r="CG63" s="99"/>
      <c r="CH63" s="99"/>
      <c r="CI63" s="99"/>
      <c r="CJ63" s="99"/>
      <c r="CK63" s="99"/>
      <c r="CL63" s="99"/>
      <c r="CM63" s="99"/>
      <c r="CN63" s="99"/>
      <c r="CO63" s="99"/>
      <c r="CP63" s="99"/>
      <c r="CQ63" s="99"/>
      <c r="CR63" s="99"/>
      <c r="CS63" s="99"/>
      <c r="CT63" s="99"/>
      <c r="CU63" s="99"/>
      <c r="CV63" s="99"/>
      <c r="CW63" s="99"/>
      <c r="CX63" s="99"/>
      <c r="CY63" s="99"/>
      <c r="CZ63" s="99"/>
      <c r="DA63" s="99"/>
      <c r="DB63" s="99"/>
      <c r="DC63" s="99"/>
      <c r="DD63" s="99"/>
      <c r="DE63" s="99"/>
      <c r="DF63" s="99"/>
      <c r="DG63" s="99"/>
      <c r="DH63" s="99"/>
      <c r="DI63" s="99"/>
      <c r="DJ63" s="99"/>
      <c r="DK63" s="99"/>
      <c r="DL63" s="99"/>
      <c r="DM63" s="99"/>
      <c r="DN63" s="99"/>
      <c r="DO63" s="99"/>
      <c r="DP63" s="99"/>
      <c r="DQ63" s="99"/>
      <c r="DR63" s="99"/>
      <c r="DS63" s="99"/>
      <c r="DT63" s="99"/>
      <c r="DU63" s="99"/>
      <c r="DV63" s="99"/>
      <c r="DW63" s="99"/>
      <c r="DX63" s="99"/>
      <c r="DY63" s="99"/>
      <c r="DZ63" s="99"/>
      <c r="EA63" s="99"/>
      <c r="EB63" s="99"/>
      <c r="EC63" s="99"/>
      <c r="ED63" s="99"/>
      <c r="EE63" s="99"/>
      <c r="EF63" s="99"/>
      <c r="EG63" s="99"/>
      <c r="EH63" s="99"/>
      <c r="EI63" s="99"/>
      <c r="EJ63" s="99"/>
      <c r="EK63" s="99"/>
      <c r="EL63" s="99"/>
      <c r="EM63" s="99"/>
      <c r="EN63" s="99"/>
      <c r="EO63" s="99"/>
      <c r="EP63" s="99"/>
      <c r="EQ63" s="99"/>
      <c r="ER63" s="99"/>
      <c r="ES63" s="99"/>
      <c r="ET63" s="99"/>
      <c r="EU63" s="99"/>
      <c r="EV63" s="99"/>
      <c r="EW63" s="99"/>
      <c r="EX63" s="99"/>
      <c r="EY63" s="99"/>
      <c r="EZ63" s="99"/>
      <c r="FA63" s="99"/>
      <c r="FB63" s="99"/>
      <c r="FC63" s="99"/>
      <c r="FD63" s="99"/>
      <c r="FE63" s="99"/>
      <c r="FF63" s="99"/>
      <c r="FG63" s="99"/>
      <c r="FH63" s="99"/>
      <c r="FI63" s="99"/>
      <c r="FJ63" s="99"/>
      <c r="FK63" s="99"/>
    </row>
    <row r="64" spans="1:167" x14ac:dyDescent="0.25">
      <c r="C64" s="10"/>
      <c r="D64" s="10"/>
      <c r="E64" s="11"/>
      <c r="F64" s="15"/>
      <c r="J64" s="99">
        <v>61</v>
      </c>
      <c r="K64" s="16"/>
      <c r="L64" s="16"/>
      <c r="M64" s="16"/>
      <c r="N64" s="16"/>
      <c r="O64" s="16"/>
      <c r="P64" s="16"/>
      <c r="Q64" s="16"/>
      <c r="R64" s="16"/>
      <c r="S64" s="16"/>
      <c r="T64" s="16"/>
      <c r="U64" s="73">
        <f>SUM(K64:T64)</f>
        <v>0</v>
      </c>
      <c r="V64" s="73"/>
      <c r="X64" s="75" t="str" cm="1">
        <f t="array" ref="X64">MID(";"&amp;'CASE DATA'!$F64&amp;";",SMALL(IF(ISERROR(SEARCH(MID(";"&amp;'CASE DATA'!$F64&amp;";",ROW($1:$99),1),";")),"",ROW($1:$99)+1),COLUMN(A64)),SMALL(IF(ISERROR(SEARCH(MID(";"&amp;'CASE DATA'!$F64&amp;";",ROW($1:$99),1),";")),"",ROW($1:$99)),COLUMN(A63)+1)-SMALL(IF(ISERROR(SEARCH(MID(";"&amp;'CASE DATA'!$F64&amp;";",ROW($1:$99),1),";")),"",ROW($1:$99)),COLUMN(A63))-1)</f>
        <v/>
      </c>
      <c r="Y64" s="75" t="str" cm="1">
        <f t="array" ref="Y64">MID(";"&amp;'CASE DATA'!$F64&amp;";",SMALL(IF(ISERROR(SEARCH(MID(";"&amp;'CASE DATA'!$F64&amp;";",ROW($1:$99),1),";")),"",ROW($1:$99)+1),COLUMN(B64)),SMALL(IF(ISERROR(SEARCH(MID(";"&amp;'CASE DATA'!$F64&amp;";",ROW($1:$99),1),";")),"",ROW($1:$99)),COLUMN(B63)+1)-SMALL(IF(ISERROR(SEARCH(MID(";"&amp;'CASE DATA'!$F64&amp;";",ROW($1:$99),1),";")),"",ROW($1:$99)),COLUMN(B63))-1)</f>
        <v/>
      </c>
      <c r="Z64" s="75" t="str" cm="1">
        <f t="array" ref="Z64">MID(";"&amp;'CASE DATA'!$F64&amp;";",SMALL(IF(ISERROR(SEARCH(MID(";"&amp;'CASE DATA'!$F64&amp;";",ROW($1:$99),1),";")),"",ROW($1:$99)+1),COLUMN(C64)),SMALL(IF(ISERROR(SEARCH(MID(";"&amp;'CASE DATA'!$F64&amp;";",ROW($1:$99),1),";")),"",ROW($1:$99)),COLUMN(C63)+1)-SMALL(IF(ISERROR(SEARCH(MID(";"&amp;'CASE DATA'!$F64&amp;";",ROW($1:$99),1),";")),"",ROW($1:$99)),COLUMN(C63))-1)</f>
        <v/>
      </c>
      <c r="AA64" s="75" t="str" cm="1">
        <f t="array" ref="AA64">MID(";"&amp;'CASE DATA'!$F64&amp;";",SMALL(IF(ISERROR(SEARCH(MID(";"&amp;'CASE DATA'!$F64&amp;";",ROW($1:$99),1),";")),"",ROW($1:$99)+1),COLUMN(D64)),SMALL(IF(ISERROR(SEARCH(MID(";"&amp;'CASE DATA'!$F64&amp;";",ROW($1:$99),1),";")),"",ROW($1:$99)),COLUMN(D63)+1)-SMALL(IF(ISERROR(SEARCH(MID(";"&amp;'CASE DATA'!$F64&amp;";",ROW($1:$99),1),";")),"",ROW($1:$99)),COLUMN(D63))-1)</f>
        <v/>
      </c>
      <c r="AB64" s="75" t="str" cm="1">
        <f t="array" ref="AB64">MID(";"&amp;'CASE DATA'!$F64&amp;";",SMALL(IF(ISERROR(SEARCH(MID(";"&amp;'CASE DATA'!$F64&amp;";",ROW($1:$99),1),";")),"",ROW($1:$99)+1),COLUMN(E64)),SMALL(IF(ISERROR(SEARCH(MID(";"&amp;'CASE DATA'!$F64&amp;";",ROW($1:$99),1),";")),"",ROW($1:$99)),COLUMN(E63)+1)-SMALL(IF(ISERROR(SEARCH(MID(";"&amp;'CASE DATA'!$F64&amp;";",ROW($1:$99),1),";")),"",ROW($1:$99)),COLUMN(E63))-1)</f>
        <v/>
      </c>
      <c r="AC64" s="75" t="str" cm="1">
        <f t="array" ref="AC64">MID(";"&amp;'CASE DATA'!$F64&amp;";",SMALL(IF(ISERROR(SEARCH(MID(";"&amp;'CASE DATA'!$F64&amp;";",ROW($1:$99),1),";")),"",ROW($1:$99)+1),COLUMN(F64)),SMALL(IF(ISERROR(SEARCH(MID(";"&amp;'CASE DATA'!$F64&amp;";",ROW($1:$99),1),";")),"",ROW($1:$99)),COLUMN(F63)+1)-SMALL(IF(ISERROR(SEARCH(MID(";"&amp;'CASE DATA'!$F64&amp;";",ROW($1:$99),1),";")),"",ROW($1:$99)),COLUMN(F63))-1)</f>
        <v/>
      </c>
      <c r="AD64" s="75" t="str" cm="1">
        <f t="array" ref="AD64">MID(";"&amp;'CASE DATA'!$F64&amp;";",SMALL(IF(ISERROR(SEARCH(MID(";"&amp;'CASE DATA'!$F64&amp;";",ROW($1:$99),1),";")),"",ROW($1:$99)+1),COLUMN(G64)),SMALL(IF(ISERROR(SEARCH(MID(";"&amp;'CASE DATA'!$F64&amp;";",ROW($1:$99),1),";")),"",ROW($1:$99)),COLUMN(G63)+1)-SMALL(IF(ISERROR(SEARCH(MID(";"&amp;'CASE DATA'!$F64&amp;";",ROW($1:$99),1),";")),"",ROW($1:$99)),COLUMN(G63))-1)</f>
        <v/>
      </c>
      <c r="AE64" s="75" t="str" cm="1">
        <f t="array" ref="AE64">MID(";"&amp;'CASE DATA'!$F64&amp;";",SMALL(IF(ISERROR(SEARCH(MID(";"&amp;'CASE DATA'!$F64&amp;";",ROW($1:$99),1),";")),"",ROW($1:$99)+1),COLUMN(H64)),SMALL(IF(ISERROR(SEARCH(MID(";"&amp;'CASE DATA'!$F64&amp;";",ROW($1:$99),1),";")),"",ROW($1:$99)),COLUMN(H63)+1)-SMALL(IF(ISERROR(SEARCH(MID(";"&amp;'CASE DATA'!$F64&amp;";",ROW($1:$99),1),";")),"",ROW($1:$99)),COLUMN(H63))-1)</f>
        <v/>
      </c>
      <c r="AF64" s="75" t="str" cm="1">
        <f t="array" ref="AF64">MID(";"&amp;'CASE DATA'!$F64&amp;";",SMALL(IF(ISERROR(SEARCH(MID(";"&amp;'CASE DATA'!$F64&amp;";",ROW($1:$99),1),";")),"",ROW($1:$99)+1),COLUMN(I64)),SMALL(IF(ISERROR(SEARCH(MID(";"&amp;'CASE DATA'!$F64&amp;";",ROW($1:$99),1),";")),"",ROW($1:$99)),COLUMN(I63)+1)-SMALL(IF(ISERROR(SEARCH(MID(";"&amp;'CASE DATA'!$F64&amp;";",ROW($1:$99),1),";")),"",ROW($1:$99)),COLUMN(I63))-1)</f>
        <v/>
      </c>
      <c r="AG64" s="75" t="str" cm="1">
        <f t="array" ref="AG64">MID(";"&amp;'CASE DATA'!$F64&amp;";",SMALL(IF(ISERROR(SEARCH(MID(";"&amp;'CASE DATA'!$F64&amp;";",ROW($1:$99),1),";")),"",ROW($1:$99)+1),COLUMN(K64)),SMALL(IF(ISERROR(SEARCH(MID(";"&amp;'CASE DATA'!$F64&amp;";",ROW($1:$99),1),";")),"",ROW($1:$99)),COLUMN(K63)+1)-SMALL(IF(ISERROR(SEARCH(MID(";"&amp;'CASE DATA'!$F64&amp;";",ROW($1:$99),1),";")),"",ROW($1:$99)),COLUMN(K63))-1)</f>
        <v/>
      </c>
      <c r="AH64" s="75" t="str" cm="1">
        <f t="array" ref="AH64">MID(";"&amp;'CASE DATA'!$F64&amp;";",SMALL(IF(ISERROR(SEARCH(MID(";"&amp;'CASE DATA'!$F64&amp;";",ROW($1:$99),1),";")),"",ROW($1:$99)+1),COLUMN(L64)),SMALL(IF(ISERROR(SEARCH(MID(";"&amp;'CASE DATA'!$F64&amp;";",ROW($1:$99),1),";")),"",ROW($1:$99)),COLUMN(L63)+1)-SMALL(IF(ISERROR(SEARCH(MID(";"&amp;'CASE DATA'!$F64&amp;";",ROW($1:$99),1),";")),"",ROW($1:$99)),COLUMN(L63))-1)</f>
        <v/>
      </c>
      <c r="AI64" s="75" t="str" cm="1">
        <f t="array" ref="AI64">MID(";"&amp;'CASE DATA'!$F64&amp;";",SMALL(IF(ISERROR(SEARCH(MID(";"&amp;'CASE DATA'!$F64&amp;";",ROW($1:$99),1),";")),"",ROW($1:$99)+1),COLUMN(M64)),SMALL(IF(ISERROR(SEARCH(MID(";"&amp;'CASE DATA'!$F64&amp;";",ROW($1:$99),1),";")),"",ROW($1:$99)),COLUMN(M63)+1)-SMALL(IF(ISERROR(SEARCH(MID(";"&amp;'CASE DATA'!$F64&amp;";",ROW($1:$99),1),";")),"",ROW($1:$99)),COLUMN(M63))-1)</f>
        <v/>
      </c>
      <c r="BO64" s="99"/>
      <c r="BP64" s="99"/>
      <c r="BQ64" s="99"/>
      <c r="BR64" s="99"/>
      <c r="BS64" s="99"/>
      <c r="BT64" s="99"/>
      <c r="BU64" s="99"/>
      <c r="BV64" s="99"/>
      <c r="BW64" s="99"/>
      <c r="BX64" s="99"/>
      <c r="BY64" s="99"/>
      <c r="BZ64" s="99"/>
      <c r="CA64" s="99"/>
      <c r="CB64" s="99"/>
      <c r="CC64" s="99"/>
      <c r="CD64" s="99"/>
      <c r="CE64" s="99"/>
      <c r="CF64" s="99"/>
      <c r="CG64" s="99"/>
      <c r="CH64" s="99"/>
      <c r="CI64" s="99"/>
      <c r="CJ64" s="99"/>
      <c r="CK64" s="99"/>
      <c r="CL64" s="99"/>
      <c r="CM64" s="99"/>
      <c r="CN64" s="99"/>
      <c r="CO64" s="99"/>
      <c r="CP64" s="99"/>
      <c r="CQ64" s="99"/>
      <c r="CR64" s="99"/>
      <c r="CS64" s="99"/>
      <c r="CT64" s="99"/>
      <c r="CU64" s="99"/>
      <c r="CV64" s="99"/>
      <c r="CW64" s="99"/>
      <c r="CX64" s="99"/>
      <c r="CY64" s="99"/>
      <c r="CZ64" s="99"/>
      <c r="DA64" s="99"/>
      <c r="DB64" s="99"/>
      <c r="DC64" s="99"/>
      <c r="DD64" s="99"/>
      <c r="DE64" s="99"/>
      <c r="DF64" s="99"/>
      <c r="DG64" s="99"/>
      <c r="DH64" s="99"/>
      <c r="DI64" s="99"/>
      <c r="DJ64" s="99"/>
      <c r="DK64" s="99"/>
      <c r="DL64" s="99"/>
      <c r="DM64" s="99"/>
      <c r="DN64" s="99"/>
      <c r="DO64" s="99"/>
      <c r="DP64" s="99"/>
      <c r="DQ64" s="99"/>
      <c r="DR64" s="99"/>
      <c r="DS64" s="99"/>
      <c r="DT64" s="99"/>
      <c r="DU64" s="99"/>
      <c r="DV64" s="99"/>
      <c r="DW64" s="99"/>
      <c r="DX64" s="99"/>
      <c r="DY64" s="99"/>
      <c r="DZ64" s="99"/>
      <c r="EA64" s="99"/>
      <c r="EB64" s="99"/>
      <c r="EC64" s="99"/>
      <c r="ED64" s="99"/>
      <c r="EE64" s="99"/>
      <c r="EF64" s="99"/>
      <c r="EG64" s="99"/>
      <c r="EH64" s="99"/>
      <c r="EI64" s="99"/>
      <c r="EJ64" s="99"/>
      <c r="EK64" s="99"/>
      <c r="EL64" s="99"/>
      <c r="EM64" s="99"/>
      <c r="EN64" s="99"/>
      <c r="EO64" s="99"/>
      <c r="EP64" s="99"/>
      <c r="EQ64" s="99"/>
      <c r="ER64" s="99"/>
      <c r="ES64" s="99"/>
      <c r="ET64" s="99"/>
      <c r="EU64" s="99"/>
      <c r="EV64" s="99"/>
      <c r="EW64" s="99"/>
      <c r="EX64" s="99"/>
      <c r="EY64" s="99"/>
      <c r="EZ64" s="99"/>
      <c r="FA64" s="99"/>
      <c r="FB64" s="99"/>
      <c r="FC64" s="99"/>
      <c r="FD64" s="99"/>
      <c r="FE64" s="99"/>
      <c r="FF64" s="99"/>
      <c r="FG64" s="99"/>
      <c r="FH64" s="99"/>
      <c r="FI64" s="99"/>
      <c r="FJ64" s="99"/>
      <c r="FK64" s="99"/>
    </row>
    <row r="65" spans="1:167" x14ac:dyDescent="0.25">
      <c r="A65" s="11"/>
      <c r="C65" s="10"/>
      <c r="D65" s="10"/>
      <c r="E65" s="11"/>
      <c r="F65" s="15"/>
      <c r="J65" s="99">
        <v>62</v>
      </c>
      <c r="K65" s="16"/>
      <c r="L65" s="16"/>
      <c r="M65" s="16"/>
      <c r="N65" s="16"/>
      <c r="O65" s="16"/>
      <c r="P65" s="16"/>
      <c r="Q65" s="16"/>
      <c r="R65" s="16"/>
      <c r="S65" s="16"/>
      <c r="T65" s="16"/>
      <c r="U65" s="73">
        <f>SUM(K65:T65)</f>
        <v>0</v>
      </c>
      <c r="V65" s="73"/>
      <c r="X65" s="75" t="str" cm="1">
        <f t="array" ref="X65">MID(";"&amp;'CASE DATA'!$F65&amp;";",SMALL(IF(ISERROR(SEARCH(MID(";"&amp;'CASE DATA'!$F65&amp;";",ROW($1:$99),1),";")),"",ROW($1:$99)+1),COLUMN(A65)),SMALL(IF(ISERROR(SEARCH(MID(";"&amp;'CASE DATA'!$F65&amp;";",ROW($1:$99),1),";")),"",ROW($1:$99)),COLUMN(A64)+1)-SMALL(IF(ISERROR(SEARCH(MID(";"&amp;'CASE DATA'!$F65&amp;";",ROW($1:$99),1),";")),"",ROW($1:$99)),COLUMN(A64))-1)</f>
        <v/>
      </c>
      <c r="Y65" s="75" t="str" cm="1">
        <f t="array" ref="Y65">MID(";"&amp;'CASE DATA'!$F65&amp;";",SMALL(IF(ISERROR(SEARCH(MID(";"&amp;'CASE DATA'!$F65&amp;";",ROW($1:$99),1),";")),"",ROW($1:$99)+1),COLUMN(B65)),SMALL(IF(ISERROR(SEARCH(MID(";"&amp;'CASE DATA'!$F65&amp;";",ROW($1:$99),1),";")),"",ROW($1:$99)),COLUMN(B64)+1)-SMALL(IF(ISERROR(SEARCH(MID(";"&amp;'CASE DATA'!$F65&amp;";",ROW($1:$99),1),";")),"",ROW($1:$99)),COLUMN(B64))-1)</f>
        <v/>
      </c>
      <c r="Z65" s="75" t="str" cm="1">
        <f t="array" ref="Z65">MID(";"&amp;'CASE DATA'!$F65&amp;";",SMALL(IF(ISERROR(SEARCH(MID(";"&amp;'CASE DATA'!$F65&amp;";",ROW($1:$99),1),";")),"",ROW($1:$99)+1),COLUMN(C65)),SMALL(IF(ISERROR(SEARCH(MID(";"&amp;'CASE DATA'!$F65&amp;";",ROW($1:$99),1),";")),"",ROW($1:$99)),COLUMN(C64)+1)-SMALL(IF(ISERROR(SEARCH(MID(";"&amp;'CASE DATA'!$F65&amp;";",ROW($1:$99),1),";")),"",ROW($1:$99)),COLUMN(C64))-1)</f>
        <v/>
      </c>
      <c r="AA65" s="75" t="str" cm="1">
        <f t="array" ref="AA65">MID(";"&amp;'CASE DATA'!$F65&amp;";",SMALL(IF(ISERROR(SEARCH(MID(";"&amp;'CASE DATA'!$F65&amp;";",ROW($1:$99),1),";")),"",ROW($1:$99)+1),COLUMN(D65)),SMALL(IF(ISERROR(SEARCH(MID(";"&amp;'CASE DATA'!$F65&amp;";",ROW($1:$99),1),";")),"",ROW($1:$99)),COLUMN(D64)+1)-SMALL(IF(ISERROR(SEARCH(MID(";"&amp;'CASE DATA'!$F65&amp;";",ROW($1:$99),1),";")),"",ROW($1:$99)),COLUMN(D64))-1)</f>
        <v/>
      </c>
      <c r="AB65" s="75" t="str" cm="1">
        <f t="array" ref="AB65">MID(";"&amp;'CASE DATA'!$F65&amp;";",SMALL(IF(ISERROR(SEARCH(MID(";"&amp;'CASE DATA'!$F65&amp;";",ROW($1:$99),1),";")),"",ROW($1:$99)+1),COLUMN(E65)),SMALL(IF(ISERROR(SEARCH(MID(";"&amp;'CASE DATA'!$F65&amp;";",ROW($1:$99),1),";")),"",ROW($1:$99)),COLUMN(E64)+1)-SMALL(IF(ISERROR(SEARCH(MID(";"&amp;'CASE DATA'!$F65&amp;";",ROW($1:$99),1),";")),"",ROW($1:$99)),COLUMN(E64))-1)</f>
        <v/>
      </c>
      <c r="AC65" s="75" t="str" cm="1">
        <f t="array" ref="AC65">MID(";"&amp;'CASE DATA'!$F65&amp;";",SMALL(IF(ISERROR(SEARCH(MID(";"&amp;'CASE DATA'!$F65&amp;";",ROW($1:$99),1),";")),"",ROW($1:$99)+1),COLUMN(F65)),SMALL(IF(ISERROR(SEARCH(MID(";"&amp;'CASE DATA'!$F65&amp;";",ROW($1:$99),1),";")),"",ROW($1:$99)),COLUMN(F64)+1)-SMALL(IF(ISERROR(SEARCH(MID(";"&amp;'CASE DATA'!$F65&amp;";",ROW($1:$99),1),";")),"",ROW($1:$99)),COLUMN(F64))-1)</f>
        <v/>
      </c>
      <c r="AD65" s="75" t="str" cm="1">
        <f t="array" ref="AD65">MID(";"&amp;'CASE DATA'!$F65&amp;";",SMALL(IF(ISERROR(SEARCH(MID(";"&amp;'CASE DATA'!$F65&amp;";",ROW($1:$99),1),";")),"",ROW($1:$99)+1),COLUMN(G65)),SMALL(IF(ISERROR(SEARCH(MID(";"&amp;'CASE DATA'!$F65&amp;";",ROW($1:$99),1),";")),"",ROW($1:$99)),COLUMN(G64)+1)-SMALL(IF(ISERROR(SEARCH(MID(";"&amp;'CASE DATA'!$F65&amp;";",ROW($1:$99),1),";")),"",ROW($1:$99)),COLUMN(G64))-1)</f>
        <v/>
      </c>
      <c r="AE65" s="75" t="str" cm="1">
        <f t="array" ref="AE65">MID(";"&amp;'CASE DATA'!$F65&amp;";",SMALL(IF(ISERROR(SEARCH(MID(";"&amp;'CASE DATA'!$F65&amp;";",ROW($1:$99),1),";")),"",ROW($1:$99)+1),COLUMN(H65)),SMALL(IF(ISERROR(SEARCH(MID(";"&amp;'CASE DATA'!$F65&amp;";",ROW($1:$99),1),";")),"",ROW($1:$99)),COLUMN(H64)+1)-SMALL(IF(ISERROR(SEARCH(MID(";"&amp;'CASE DATA'!$F65&amp;";",ROW($1:$99),1),";")),"",ROW($1:$99)),COLUMN(H64))-1)</f>
        <v/>
      </c>
      <c r="AF65" s="75" t="str" cm="1">
        <f t="array" ref="AF65">MID(";"&amp;'CASE DATA'!$F65&amp;";",SMALL(IF(ISERROR(SEARCH(MID(";"&amp;'CASE DATA'!$F65&amp;";",ROW($1:$99),1),";")),"",ROW($1:$99)+1),COLUMN(I65)),SMALL(IF(ISERROR(SEARCH(MID(";"&amp;'CASE DATA'!$F65&amp;";",ROW($1:$99),1),";")),"",ROW($1:$99)),COLUMN(I64)+1)-SMALL(IF(ISERROR(SEARCH(MID(";"&amp;'CASE DATA'!$F65&amp;";",ROW($1:$99),1),";")),"",ROW($1:$99)),COLUMN(I64))-1)</f>
        <v/>
      </c>
      <c r="AG65" s="75" t="str" cm="1">
        <f t="array" ref="AG65">MID(";"&amp;'CASE DATA'!$F65&amp;";",SMALL(IF(ISERROR(SEARCH(MID(";"&amp;'CASE DATA'!$F65&amp;";",ROW($1:$99),1),";")),"",ROW($1:$99)+1),COLUMN(K65)),SMALL(IF(ISERROR(SEARCH(MID(";"&amp;'CASE DATA'!$F65&amp;";",ROW($1:$99),1),";")),"",ROW($1:$99)),COLUMN(K64)+1)-SMALL(IF(ISERROR(SEARCH(MID(";"&amp;'CASE DATA'!$F65&amp;";",ROW($1:$99),1),";")),"",ROW($1:$99)),COLUMN(K64))-1)</f>
        <v/>
      </c>
      <c r="AH65" s="75" t="str" cm="1">
        <f t="array" ref="AH65">MID(";"&amp;'CASE DATA'!$F65&amp;";",SMALL(IF(ISERROR(SEARCH(MID(";"&amp;'CASE DATA'!$F65&amp;";",ROW($1:$99),1),";")),"",ROW($1:$99)+1),COLUMN(L65)),SMALL(IF(ISERROR(SEARCH(MID(";"&amp;'CASE DATA'!$F65&amp;";",ROW($1:$99),1),";")),"",ROW($1:$99)),COLUMN(L64)+1)-SMALL(IF(ISERROR(SEARCH(MID(";"&amp;'CASE DATA'!$F65&amp;";",ROW($1:$99),1),";")),"",ROW($1:$99)),COLUMN(L64))-1)</f>
        <v/>
      </c>
      <c r="AI65" s="75" t="str" cm="1">
        <f t="array" ref="AI65">MID(";"&amp;'CASE DATA'!$F65&amp;";",SMALL(IF(ISERROR(SEARCH(MID(";"&amp;'CASE DATA'!$F65&amp;";",ROW($1:$99),1),";")),"",ROW($1:$99)+1),COLUMN(M65)),SMALL(IF(ISERROR(SEARCH(MID(";"&amp;'CASE DATA'!$F65&amp;";",ROW($1:$99),1),";")),"",ROW($1:$99)),COLUMN(M64)+1)-SMALL(IF(ISERROR(SEARCH(MID(";"&amp;'CASE DATA'!$F65&amp;";",ROW($1:$99),1),";")),"",ROW($1:$99)),COLUMN(M64))-1)</f>
        <v/>
      </c>
      <c r="BO65" s="99"/>
      <c r="BP65" s="99"/>
      <c r="BQ65" s="99"/>
      <c r="BR65" s="99"/>
      <c r="BS65" s="99"/>
      <c r="BT65" s="99"/>
      <c r="BU65" s="99"/>
      <c r="BV65" s="99"/>
      <c r="BW65" s="99"/>
      <c r="BX65" s="99"/>
      <c r="BY65" s="99"/>
      <c r="BZ65" s="99"/>
      <c r="CA65" s="99"/>
      <c r="CB65" s="99"/>
      <c r="CC65" s="99"/>
      <c r="CD65" s="99"/>
      <c r="CE65" s="99"/>
      <c r="CF65" s="99"/>
      <c r="CG65" s="99"/>
      <c r="CH65" s="99"/>
      <c r="CI65" s="99"/>
      <c r="CJ65" s="99"/>
      <c r="CK65" s="99"/>
      <c r="CL65" s="99"/>
      <c r="CM65" s="99"/>
      <c r="CN65" s="99"/>
      <c r="CO65" s="99"/>
      <c r="CP65" s="99"/>
      <c r="CQ65" s="99"/>
      <c r="CR65" s="99"/>
      <c r="CS65" s="99"/>
      <c r="CT65" s="99"/>
      <c r="CU65" s="99"/>
      <c r="CV65" s="99"/>
      <c r="CW65" s="99"/>
      <c r="CX65" s="99"/>
      <c r="CY65" s="99"/>
      <c r="CZ65" s="99"/>
      <c r="DA65" s="99"/>
      <c r="DB65" s="99"/>
      <c r="DC65" s="99"/>
      <c r="DD65" s="99"/>
      <c r="DE65" s="99"/>
      <c r="DF65" s="99"/>
      <c r="DG65" s="99"/>
      <c r="DH65" s="99"/>
      <c r="DI65" s="99"/>
      <c r="DJ65" s="99"/>
      <c r="DK65" s="99"/>
      <c r="DL65" s="99"/>
      <c r="DM65" s="99"/>
      <c r="DN65" s="99"/>
      <c r="DO65" s="99"/>
      <c r="DP65" s="99"/>
      <c r="DQ65" s="99"/>
      <c r="DR65" s="99"/>
      <c r="DS65" s="99"/>
      <c r="DT65" s="99"/>
      <c r="DU65" s="99"/>
      <c r="DV65" s="99"/>
      <c r="DW65" s="99"/>
      <c r="DX65" s="99"/>
      <c r="DY65" s="99"/>
      <c r="DZ65" s="99"/>
      <c r="EA65" s="99"/>
      <c r="EB65" s="99"/>
      <c r="EC65" s="99"/>
      <c r="ED65" s="99"/>
      <c r="EE65" s="99"/>
      <c r="EF65" s="99"/>
      <c r="EG65" s="99"/>
      <c r="EH65" s="99"/>
      <c r="EI65" s="99"/>
      <c r="EJ65" s="99"/>
      <c r="EK65" s="99"/>
      <c r="EL65" s="99"/>
      <c r="EM65" s="99"/>
      <c r="EN65" s="99"/>
      <c r="EO65" s="99"/>
      <c r="EP65" s="99"/>
      <c r="EQ65" s="99"/>
      <c r="ER65" s="99"/>
      <c r="ES65" s="99"/>
      <c r="ET65" s="99"/>
      <c r="EU65" s="99"/>
      <c r="EV65" s="99"/>
      <c r="EW65" s="99"/>
      <c r="EX65" s="99"/>
      <c r="EY65" s="99"/>
      <c r="EZ65" s="99"/>
      <c r="FA65" s="99"/>
      <c r="FB65" s="99"/>
      <c r="FC65" s="99"/>
      <c r="FD65" s="99"/>
      <c r="FE65" s="99"/>
      <c r="FF65" s="99"/>
      <c r="FG65" s="99"/>
      <c r="FH65" s="99"/>
      <c r="FI65" s="99"/>
      <c r="FJ65" s="99"/>
      <c r="FK65" s="99"/>
    </row>
    <row r="66" spans="1:167" x14ac:dyDescent="0.25">
      <c r="A66" s="11"/>
      <c r="C66" s="10"/>
      <c r="D66" s="10"/>
      <c r="E66" s="11"/>
      <c r="F66" s="15"/>
      <c r="J66" s="99">
        <v>63</v>
      </c>
      <c r="K66" s="16"/>
      <c r="L66" s="16"/>
      <c r="M66" s="16"/>
      <c r="N66" s="16"/>
      <c r="O66" s="16"/>
      <c r="P66" s="16"/>
      <c r="Q66" s="16"/>
      <c r="R66" s="16"/>
      <c r="S66" s="16"/>
      <c r="T66" s="16"/>
      <c r="U66" s="73">
        <f>SUM(K66:T66)</f>
        <v>0</v>
      </c>
      <c r="V66" s="73"/>
      <c r="X66" s="75" t="str" cm="1">
        <f t="array" ref="X66">MID(";"&amp;'CASE DATA'!$F66&amp;";",SMALL(IF(ISERROR(SEARCH(MID(";"&amp;'CASE DATA'!$F66&amp;";",ROW($1:$99),1),";")),"",ROW($1:$99)+1),COLUMN(A66)),SMALL(IF(ISERROR(SEARCH(MID(";"&amp;'CASE DATA'!$F66&amp;";",ROW($1:$99),1),";")),"",ROW($1:$99)),COLUMN(A65)+1)-SMALL(IF(ISERROR(SEARCH(MID(";"&amp;'CASE DATA'!$F66&amp;";",ROW($1:$99),1),";")),"",ROW($1:$99)),COLUMN(A65))-1)</f>
        <v/>
      </c>
      <c r="Y66" s="75" t="str" cm="1">
        <f t="array" ref="Y66">MID(";"&amp;'CASE DATA'!$F66&amp;";",SMALL(IF(ISERROR(SEARCH(MID(";"&amp;'CASE DATA'!$F66&amp;";",ROW($1:$99),1),";")),"",ROW($1:$99)+1),COLUMN(B66)),SMALL(IF(ISERROR(SEARCH(MID(";"&amp;'CASE DATA'!$F66&amp;";",ROW($1:$99),1),";")),"",ROW($1:$99)),COLUMN(B65)+1)-SMALL(IF(ISERROR(SEARCH(MID(";"&amp;'CASE DATA'!$F66&amp;";",ROW($1:$99),1),";")),"",ROW($1:$99)),COLUMN(B65))-1)</f>
        <v/>
      </c>
      <c r="Z66" s="75" t="str" cm="1">
        <f t="array" ref="Z66">MID(";"&amp;'CASE DATA'!$F66&amp;";",SMALL(IF(ISERROR(SEARCH(MID(";"&amp;'CASE DATA'!$F66&amp;";",ROW($1:$99),1),";")),"",ROW($1:$99)+1),COLUMN(C66)),SMALL(IF(ISERROR(SEARCH(MID(";"&amp;'CASE DATA'!$F66&amp;";",ROW($1:$99),1),";")),"",ROW($1:$99)),COLUMN(C65)+1)-SMALL(IF(ISERROR(SEARCH(MID(";"&amp;'CASE DATA'!$F66&amp;";",ROW($1:$99),1),";")),"",ROW($1:$99)),COLUMN(C65))-1)</f>
        <v/>
      </c>
      <c r="AA66" s="75" t="str" cm="1">
        <f t="array" ref="AA66">MID(";"&amp;'CASE DATA'!$F66&amp;";",SMALL(IF(ISERROR(SEARCH(MID(";"&amp;'CASE DATA'!$F66&amp;";",ROW($1:$99),1),";")),"",ROW($1:$99)+1),COLUMN(D66)),SMALL(IF(ISERROR(SEARCH(MID(";"&amp;'CASE DATA'!$F66&amp;";",ROW($1:$99),1),";")),"",ROW($1:$99)),COLUMN(D65)+1)-SMALL(IF(ISERROR(SEARCH(MID(";"&amp;'CASE DATA'!$F66&amp;";",ROW($1:$99),1),";")),"",ROW($1:$99)),COLUMN(D65))-1)</f>
        <v/>
      </c>
      <c r="AB66" s="75" t="str" cm="1">
        <f t="array" ref="AB66">MID(";"&amp;'CASE DATA'!$F66&amp;";",SMALL(IF(ISERROR(SEARCH(MID(";"&amp;'CASE DATA'!$F66&amp;";",ROW($1:$99),1),";")),"",ROW($1:$99)+1),COLUMN(E66)),SMALL(IF(ISERROR(SEARCH(MID(";"&amp;'CASE DATA'!$F66&amp;";",ROW($1:$99),1),";")),"",ROW($1:$99)),COLUMN(E65)+1)-SMALL(IF(ISERROR(SEARCH(MID(";"&amp;'CASE DATA'!$F66&amp;";",ROW($1:$99),1),";")),"",ROW($1:$99)),COLUMN(E65))-1)</f>
        <v/>
      </c>
      <c r="AC66" s="75" t="str" cm="1">
        <f t="array" ref="AC66">MID(";"&amp;'CASE DATA'!$F66&amp;";",SMALL(IF(ISERROR(SEARCH(MID(";"&amp;'CASE DATA'!$F66&amp;";",ROW($1:$99),1),";")),"",ROW($1:$99)+1),COLUMN(F66)),SMALL(IF(ISERROR(SEARCH(MID(";"&amp;'CASE DATA'!$F66&amp;";",ROW($1:$99),1),";")),"",ROW($1:$99)),COLUMN(F65)+1)-SMALL(IF(ISERROR(SEARCH(MID(";"&amp;'CASE DATA'!$F66&amp;";",ROW($1:$99),1),";")),"",ROW($1:$99)),COLUMN(F65))-1)</f>
        <v/>
      </c>
      <c r="AD66" s="75" t="str" cm="1">
        <f t="array" ref="AD66">MID(";"&amp;'CASE DATA'!$F66&amp;";",SMALL(IF(ISERROR(SEARCH(MID(";"&amp;'CASE DATA'!$F66&amp;";",ROW($1:$99),1),";")),"",ROW($1:$99)+1),COLUMN(G66)),SMALL(IF(ISERROR(SEARCH(MID(";"&amp;'CASE DATA'!$F66&amp;";",ROW($1:$99),1),";")),"",ROW($1:$99)),COLUMN(G65)+1)-SMALL(IF(ISERROR(SEARCH(MID(";"&amp;'CASE DATA'!$F66&amp;";",ROW($1:$99),1),";")),"",ROW($1:$99)),COLUMN(G65))-1)</f>
        <v/>
      </c>
      <c r="AE66" s="75" t="str" cm="1">
        <f t="array" ref="AE66">MID(";"&amp;'CASE DATA'!$F66&amp;";",SMALL(IF(ISERROR(SEARCH(MID(";"&amp;'CASE DATA'!$F66&amp;";",ROW($1:$99),1),";")),"",ROW($1:$99)+1),COLUMN(H66)),SMALL(IF(ISERROR(SEARCH(MID(";"&amp;'CASE DATA'!$F66&amp;";",ROW($1:$99),1),";")),"",ROW($1:$99)),COLUMN(H65)+1)-SMALL(IF(ISERROR(SEARCH(MID(";"&amp;'CASE DATA'!$F66&amp;";",ROW($1:$99),1),";")),"",ROW($1:$99)),COLUMN(H65))-1)</f>
        <v/>
      </c>
      <c r="AF66" s="75" t="str" cm="1">
        <f t="array" ref="AF66">MID(";"&amp;'CASE DATA'!$F66&amp;";",SMALL(IF(ISERROR(SEARCH(MID(";"&amp;'CASE DATA'!$F66&amp;";",ROW($1:$99),1),";")),"",ROW($1:$99)+1),COLUMN(I66)),SMALL(IF(ISERROR(SEARCH(MID(";"&amp;'CASE DATA'!$F66&amp;";",ROW($1:$99),1),";")),"",ROW($1:$99)),COLUMN(I65)+1)-SMALL(IF(ISERROR(SEARCH(MID(";"&amp;'CASE DATA'!$F66&amp;";",ROW($1:$99),1),";")),"",ROW($1:$99)),COLUMN(I65))-1)</f>
        <v/>
      </c>
      <c r="AG66" s="75" t="str" cm="1">
        <f t="array" ref="AG66">MID(";"&amp;'CASE DATA'!$F66&amp;";",SMALL(IF(ISERROR(SEARCH(MID(";"&amp;'CASE DATA'!$F66&amp;";",ROW($1:$99),1),";")),"",ROW($1:$99)+1),COLUMN(K66)),SMALL(IF(ISERROR(SEARCH(MID(";"&amp;'CASE DATA'!$F66&amp;";",ROW($1:$99),1),";")),"",ROW($1:$99)),COLUMN(K65)+1)-SMALL(IF(ISERROR(SEARCH(MID(";"&amp;'CASE DATA'!$F66&amp;";",ROW($1:$99),1),";")),"",ROW($1:$99)),COLUMN(K65))-1)</f>
        <v/>
      </c>
      <c r="AH66" s="75" t="str" cm="1">
        <f t="array" ref="AH66">MID(";"&amp;'CASE DATA'!$F66&amp;";",SMALL(IF(ISERROR(SEARCH(MID(";"&amp;'CASE DATA'!$F66&amp;";",ROW($1:$99),1),";")),"",ROW($1:$99)+1),COLUMN(L66)),SMALL(IF(ISERROR(SEARCH(MID(";"&amp;'CASE DATA'!$F66&amp;";",ROW($1:$99),1),";")),"",ROW($1:$99)),COLUMN(L65)+1)-SMALL(IF(ISERROR(SEARCH(MID(";"&amp;'CASE DATA'!$F66&amp;";",ROW($1:$99),1),";")),"",ROW($1:$99)),COLUMN(L65))-1)</f>
        <v/>
      </c>
      <c r="AI66" s="75" t="str" cm="1">
        <f t="array" ref="AI66">MID(";"&amp;'CASE DATA'!$F66&amp;";",SMALL(IF(ISERROR(SEARCH(MID(";"&amp;'CASE DATA'!$F66&amp;";",ROW($1:$99),1),";")),"",ROW($1:$99)+1),COLUMN(M66)),SMALL(IF(ISERROR(SEARCH(MID(";"&amp;'CASE DATA'!$F66&amp;";",ROW($1:$99),1),";")),"",ROW($1:$99)),COLUMN(M65)+1)-SMALL(IF(ISERROR(SEARCH(MID(";"&amp;'CASE DATA'!$F66&amp;";",ROW($1:$99),1),";")),"",ROW($1:$99)),COLUMN(M65))-1)</f>
        <v/>
      </c>
      <c r="BO66" s="99"/>
      <c r="BP66" s="99"/>
      <c r="BQ66" s="99"/>
      <c r="BR66" s="99"/>
      <c r="BS66" s="99"/>
      <c r="BT66" s="99"/>
      <c r="BU66" s="99"/>
      <c r="BV66" s="99"/>
      <c r="BW66" s="99"/>
      <c r="BX66" s="99"/>
      <c r="BY66" s="99"/>
      <c r="BZ66" s="99"/>
      <c r="CA66" s="99"/>
      <c r="CB66" s="99"/>
      <c r="CC66" s="99"/>
      <c r="CD66" s="99"/>
      <c r="CE66" s="99"/>
      <c r="CF66" s="99"/>
      <c r="CG66" s="99"/>
      <c r="CH66" s="99"/>
      <c r="CI66" s="99"/>
      <c r="CJ66" s="99"/>
      <c r="CK66" s="99"/>
      <c r="CL66" s="99"/>
      <c r="CM66" s="99"/>
      <c r="CN66" s="99"/>
      <c r="CO66" s="99"/>
      <c r="CP66" s="99"/>
      <c r="CQ66" s="99"/>
      <c r="CR66" s="99"/>
      <c r="CS66" s="99"/>
      <c r="CT66" s="99"/>
      <c r="CU66" s="99"/>
      <c r="CV66" s="99"/>
      <c r="CW66" s="99"/>
      <c r="CX66" s="99"/>
      <c r="CY66" s="99"/>
      <c r="CZ66" s="99"/>
      <c r="DA66" s="99"/>
      <c r="DB66" s="99"/>
      <c r="DC66" s="99"/>
      <c r="DD66" s="99"/>
      <c r="DE66" s="99"/>
      <c r="DF66" s="99"/>
      <c r="DG66" s="99"/>
      <c r="DH66" s="99"/>
      <c r="DI66" s="99"/>
      <c r="DJ66" s="99"/>
      <c r="DK66" s="99"/>
      <c r="DL66" s="99"/>
      <c r="DM66" s="99"/>
      <c r="DN66" s="99"/>
      <c r="DO66" s="99"/>
      <c r="DP66" s="99"/>
      <c r="DQ66" s="99"/>
      <c r="DR66" s="99"/>
      <c r="DS66" s="99"/>
      <c r="DT66" s="99"/>
      <c r="DU66" s="99"/>
      <c r="DV66" s="99"/>
      <c r="DW66" s="99"/>
      <c r="DX66" s="99"/>
      <c r="DY66" s="99"/>
      <c r="DZ66" s="99"/>
      <c r="EA66" s="99"/>
      <c r="EB66" s="99"/>
      <c r="EC66" s="99"/>
      <c r="ED66" s="99"/>
      <c r="EE66" s="99"/>
      <c r="EF66" s="99"/>
      <c r="EG66" s="99"/>
      <c r="EH66" s="99"/>
      <c r="EI66" s="99"/>
      <c r="EJ66" s="99"/>
      <c r="EK66" s="99"/>
      <c r="EL66" s="99"/>
      <c r="EM66" s="99"/>
      <c r="EN66" s="99"/>
      <c r="EO66" s="99"/>
      <c r="EP66" s="99"/>
      <c r="EQ66" s="99"/>
      <c r="ER66" s="99"/>
      <c r="ES66" s="99"/>
      <c r="ET66" s="99"/>
      <c r="EU66" s="99"/>
      <c r="EV66" s="99"/>
      <c r="EW66" s="99"/>
      <c r="EX66" s="99"/>
      <c r="EY66" s="99"/>
      <c r="EZ66" s="99"/>
      <c r="FA66" s="99"/>
      <c r="FB66" s="99"/>
      <c r="FC66" s="99"/>
      <c r="FD66" s="99"/>
      <c r="FE66" s="99"/>
      <c r="FF66" s="99"/>
      <c r="FG66" s="99"/>
      <c r="FH66" s="99"/>
      <c r="FI66" s="99"/>
      <c r="FJ66" s="99"/>
      <c r="FK66" s="99"/>
    </row>
    <row r="67" spans="1:167" s="69" customFormat="1" x14ac:dyDescent="0.25">
      <c r="A67" s="11"/>
      <c r="B67"/>
      <c r="C67" s="10"/>
      <c r="D67" s="10"/>
      <c r="E67" s="11"/>
      <c r="F67" s="15"/>
      <c r="G67"/>
      <c r="H67" s="99"/>
      <c r="I67" s="99"/>
      <c r="J67" s="99">
        <v>64</v>
      </c>
      <c r="K67" s="16"/>
      <c r="L67" s="16"/>
      <c r="M67" s="16"/>
      <c r="N67" s="16"/>
      <c r="O67" s="16"/>
      <c r="P67" s="16"/>
      <c r="Q67" s="16"/>
      <c r="R67" s="16"/>
      <c r="S67" s="16"/>
      <c r="T67" s="16"/>
      <c r="U67" s="73">
        <f>SUM(K67:T67)</f>
        <v>0</v>
      </c>
      <c r="V67" s="73"/>
      <c r="W67"/>
      <c r="X67" s="75" t="str" cm="1">
        <f t="array" ref="X67">MID(";"&amp;'CASE DATA'!$F67&amp;";",SMALL(IF(ISERROR(SEARCH(MID(";"&amp;'CASE DATA'!$F67&amp;";",ROW($1:$99),1),";")),"",ROW($1:$99)+1),COLUMN(A67)),SMALL(IF(ISERROR(SEARCH(MID(";"&amp;'CASE DATA'!$F67&amp;";",ROW($1:$99),1),";")),"",ROW($1:$99)),COLUMN(A66)+1)-SMALL(IF(ISERROR(SEARCH(MID(";"&amp;'CASE DATA'!$F67&amp;";",ROW($1:$99),1),";")),"",ROW($1:$99)),COLUMN(A66))-1)</f>
        <v/>
      </c>
      <c r="Y67" s="75" t="str" cm="1">
        <f t="array" ref="Y67">MID(";"&amp;'CASE DATA'!$F67&amp;";",SMALL(IF(ISERROR(SEARCH(MID(";"&amp;'CASE DATA'!$F67&amp;";",ROW($1:$99),1),";")),"",ROW($1:$99)+1),COLUMN(B67)),SMALL(IF(ISERROR(SEARCH(MID(";"&amp;'CASE DATA'!$F67&amp;";",ROW($1:$99),1),";")),"",ROW($1:$99)),COLUMN(B66)+1)-SMALL(IF(ISERROR(SEARCH(MID(";"&amp;'CASE DATA'!$F67&amp;";",ROW($1:$99),1),";")),"",ROW($1:$99)),COLUMN(B66))-1)</f>
        <v/>
      </c>
      <c r="Z67" s="75" t="str" cm="1">
        <f t="array" ref="Z67">MID(";"&amp;'CASE DATA'!$F67&amp;";",SMALL(IF(ISERROR(SEARCH(MID(";"&amp;'CASE DATA'!$F67&amp;";",ROW($1:$99),1),";")),"",ROW($1:$99)+1),COLUMN(C67)),SMALL(IF(ISERROR(SEARCH(MID(";"&amp;'CASE DATA'!$F67&amp;";",ROW($1:$99),1),";")),"",ROW($1:$99)),COLUMN(C66)+1)-SMALL(IF(ISERROR(SEARCH(MID(";"&amp;'CASE DATA'!$F67&amp;";",ROW($1:$99),1),";")),"",ROW($1:$99)),COLUMN(C66))-1)</f>
        <v/>
      </c>
      <c r="AA67" s="75" t="str" cm="1">
        <f t="array" ref="AA67">MID(";"&amp;'CASE DATA'!$F67&amp;";",SMALL(IF(ISERROR(SEARCH(MID(";"&amp;'CASE DATA'!$F67&amp;";",ROW($1:$99),1),";")),"",ROW($1:$99)+1),COLUMN(D67)),SMALL(IF(ISERROR(SEARCH(MID(";"&amp;'CASE DATA'!$F67&amp;";",ROW($1:$99),1),";")),"",ROW($1:$99)),COLUMN(D66)+1)-SMALL(IF(ISERROR(SEARCH(MID(";"&amp;'CASE DATA'!$F67&amp;";",ROW($1:$99),1),";")),"",ROW($1:$99)),COLUMN(D66))-1)</f>
        <v/>
      </c>
      <c r="AB67" s="75" t="str" cm="1">
        <f t="array" ref="AB67">MID(";"&amp;'CASE DATA'!$F67&amp;";",SMALL(IF(ISERROR(SEARCH(MID(";"&amp;'CASE DATA'!$F67&amp;";",ROW($1:$99),1),";")),"",ROW($1:$99)+1),COLUMN(E67)),SMALL(IF(ISERROR(SEARCH(MID(";"&amp;'CASE DATA'!$F67&amp;";",ROW($1:$99),1),";")),"",ROW($1:$99)),COLUMN(E66)+1)-SMALL(IF(ISERROR(SEARCH(MID(";"&amp;'CASE DATA'!$F67&amp;";",ROW($1:$99),1),";")),"",ROW($1:$99)),COLUMN(E66))-1)</f>
        <v/>
      </c>
      <c r="AC67" s="75" t="str" cm="1">
        <f t="array" ref="AC67">MID(";"&amp;'CASE DATA'!$F67&amp;";",SMALL(IF(ISERROR(SEARCH(MID(";"&amp;'CASE DATA'!$F67&amp;";",ROW($1:$99),1),";")),"",ROW($1:$99)+1),COLUMN(F67)),SMALL(IF(ISERROR(SEARCH(MID(";"&amp;'CASE DATA'!$F67&amp;";",ROW($1:$99),1),";")),"",ROW($1:$99)),COLUMN(F66)+1)-SMALL(IF(ISERROR(SEARCH(MID(";"&amp;'CASE DATA'!$F67&amp;";",ROW($1:$99),1),";")),"",ROW($1:$99)),COLUMN(F66))-1)</f>
        <v/>
      </c>
      <c r="AD67" s="75" t="str" cm="1">
        <f t="array" ref="AD67">MID(";"&amp;'CASE DATA'!$F67&amp;";",SMALL(IF(ISERROR(SEARCH(MID(";"&amp;'CASE DATA'!$F67&amp;";",ROW($1:$99),1),";")),"",ROW($1:$99)+1),COLUMN(G67)),SMALL(IF(ISERROR(SEARCH(MID(";"&amp;'CASE DATA'!$F67&amp;";",ROW($1:$99),1),";")),"",ROW($1:$99)),COLUMN(G66)+1)-SMALL(IF(ISERROR(SEARCH(MID(";"&amp;'CASE DATA'!$F67&amp;";",ROW($1:$99),1),";")),"",ROW($1:$99)),COLUMN(G66))-1)</f>
        <v/>
      </c>
      <c r="AE67" s="75" t="str" cm="1">
        <f t="array" ref="AE67">MID(";"&amp;'CASE DATA'!$F67&amp;";",SMALL(IF(ISERROR(SEARCH(MID(";"&amp;'CASE DATA'!$F67&amp;";",ROW($1:$99),1),";")),"",ROW($1:$99)+1),COLUMN(H67)),SMALL(IF(ISERROR(SEARCH(MID(";"&amp;'CASE DATA'!$F67&amp;";",ROW($1:$99),1),";")),"",ROW($1:$99)),COLUMN(H66)+1)-SMALL(IF(ISERROR(SEARCH(MID(";"&amp;'CASE DATA'!$F67&amp;";",ROW($1:$99),1),";")),"",ROW($1:$99)),COLUMN(H66))-1)</f>
        <v/>
      </c>
      <c r="AF67" s="75" t="str" cm="1">
        <f t="array" ref="AF67">MID(";"&amp;'CASE DATA'!$F67&amp;";",SMALL(IF(ISERROR(SEARCH(MID(";"&amp;'CASE DATA'!$F67&amp;";",ROW($1:$99),1),";")),"",ROW($1:$99)+1),COLUMN(I67)),SMALL(IF(ISERROR(SEARCH(MID(";"&amp;'CASE DATA'!$F67&amp;";",ROW($1:$99),1),";")),"",ROW($1:$99)),COLUMN(I66)+1)-SMALL(IF(ISERROR(SEARCH(MID(";"&amp;'CASE DATA'!$F67&amp;";",ROW($1:$99),1),";")),"",ROW($1:$99)),COLUMN(I66))-1)</f>
        <v/>
      </c>
      <c r="AG67" s="75" t="str" cm="1">
        <f t="array" ref="AG67">MID(";"&amp;'CASE DATA'!$F67&amp;";",SMALL(IF(ISERROR(SEARCH(MID(";"&amp;'CASE DATA'!$F67&amp;";",ROW($1:$99),1),";")),"",ROW($1:$99)+1),COLUMN(K67)),SMALL(IF(ISERROR(SEARCH(MID(";"&amp;'CASE DATA'!$F67&amp;";",ROW($1:$99),1),";")),"",ROW($1:$99)),COLUMN(K66)+1)-SMALL(IF(ISERROR(SEARCH(MID(";"&amp;'CASE DATA'!$F67&amp;";",ROW($1:$99),1),";")),"",ROW($1:$99)),COLUMN(K66))-1)</f>
        <v/>
      </c>
      <c r="AH67" s="75" t="str" cm="1">
        <f t="array" ref="AH67">MID(";"&amp;'CASE DATA'!$F67&amp;";",SMALL(IF(ISERROR(SEARCH(MID(";"&amp;'CASE DATA'!$F67&amp;";",ROW($1:$99),1),";")),"",ROW($1:$99)+1),COLUMN(L67)),SMALL(IF(ISERROR(SEARCH(MID(";"&amp;'CASE DATA'!$F67&amp;";",ROW($1:$99),1),";")),"",ROW($1:$99)),COLUMN(L66)+1)-SMALL(IF(ISERROR(SEARCH(MID(";"&amp;'CASE DATA'!$F67&amp;";",ROW($1:$99),1),";")),"",ROW($1:$99)),COLUMN(L66))-1)</f>
        <v/>
      </c>
      <c r="AI67" s="75" t="str" cm="1">
        <f t="array" ref="AI67">MID(";"&amp;'CASE DATA'!$F67&amp;";",SMALL(IF(ISERROR(SEARCH(MID(";"&amp;'CASE DATA'!$F67&amp;";",ROW($1:$99),1),";")),"",ROW($1:$99)+1),COLUMN(M67)),SMALL(IF(ISERROR(SEARCH(MID(";"&amp;'CASE DATA'!$F67&amp;";",ROW($1:$99),1),";")),"",ROW($1:$99)),COLUMN(M66)+1)-SMALL(IF(ISERROR(SEARCH(MID(";"&amp;'CASE DATA'!$F67&amp;";",ROW($1:$99),1),";")),"",ROW($1:$99)),COLUMN(M66))-1)</f>
        <v/>
      </c>
      <c r="AJ67"/>
      <c r="AK67"/>
      <c r="AL67"/>
      <c r="AM67"/>
      <c r="AN67"/>
      <c r="AO67"/>
      <c r="AP67"/>
      <c r="AQ67"/>
      <c r="AR67"/>
      <c r="AS67"/>
      <c r="AT67"/>
      <c r="AU67"/>
      <c r="AV67"/>
      <c r="AW67"/>
      <c r="AX67"/>
      <c r="AY67"/>
      <c r="AZ67"/>
      <c r="BA67"/>
      <c r="BB67"/>
      <c r="BC67"/>
      <c r="BD67"/>
      <c r="BE67"/>
      <c r="BF67"/>
      <c r="BG67"/>
      <c r="BH67"/>
      <c r="BI67"/>
      <c r="BJ67"/>
      <c r="BK67"/>
      <c r="BL67"/>
      <c r="BM67"/>
      <c r="BN67"/>
      <c r="BO67" s="99"/>
      <c r="BP67" s="99"/>
      <c r="BQ67" s="99"/>
      <c r="BR67" s="99"/>
      <c r="BS67" s="99"/>
      <c r="BT67" s="99"/>
      <c r="BU67" s="99"/>
      <c r="BV67" s="99"/>
      <c r="BW67" s="99"/>
      <c r="BX67" s="99"/>
      <c r="BY67" s="99"/>
      <c r="BZ67" s="99"/>
      <c r="CA67" s="99"/>
      <c r="CB67" s="99"/>
      <c r="CC67" s="99"/>
      <c r="CD67" s="99"/>
      <c r="CE67" s="99"/>
      <c r="CF67" s="99"/>
      <c r="CG67" s="99"/>
      <c r="CH67" s="99"/>
      <c r="CI67" s="99"/>
      <c r="CJ67" s="99"/>
      <c r="CK67" s="99"/>
      <c r="CL67" s="99"/>
      <c r="CM67" s="99"/>
      <c r="CN67" s="99"/>
      <c r="CO67" s="99"/>
      <c r="CP67" s="99"/>
      <c r="CQ67" s="99"/>
      <c r="CR67" s="99"/>
      <c r="CS67" s="99"/>
      <c r="CT67" s="99"/>
      <c r="CU67" s="99"/>
      <c r="CV67" s="99"/>
      <c r="CW67" s="99"/>
      <c r="CX67" s="99"/>
      <c r="CY67" s="99"/>
      <c r="CZ67" s="99"/>
      <c r="DA67" s="99"/>
      <c r="DB67" s="99"/>
      <c r="DC67" s="99"/>
      <c r="DD67" s="99"/>
      <c r="DE67" s="99"/>
      <c r="DF67" s="99"/>
      <c r="DG67" s="99"/>
      <c r="DH67" s="99"/>
      <c r="DI67" s="99"/>
      <c r="DJ67" s="99"/>
      <c r="DK67" s="99"/>
      <c r="DL67" s="99"/>
      <c r="DM67" s="99"/>
      <c r="DN67" s="99"/>
      <c r="DO67" s="99"/>
      <c r="DP67" s="99"/>
      <c r="DQ67" s="99"/>
      <c r="DR67" s="99"/>
      <c r="DS67" s="99"/>
      <c r="DT67" s="99"/>
      <c r="DU67" s="99"/>
      <c r="DV67" s="99"/>
      <c r="DW67" s="99"/>
      <c r="DX67" s="99"/>
      <c r="DY67" s="99"/>
      <c r="DZ67" s="99"/>
      <c r="EA67" s="99"/>
      <c r="EB67" s="99"/>
      <c r="EC67" s="99"/>
      <c r="ED67" s="99"/>
      <c r="EE67" s="99"/>
      <c r="EF67" s="99"/>
      <c r="EG67" s="99"/>
      <c r="EH67" s="99"/>
      <c r="EI67" s="99"/>
      <c r="EJ67" s="99"/>
      <c r="EK67" s="99"/>
      <c r="EL67" s="99"/>
      <c r="EM67" s="99"/>
      <c r="EN67" s="99"/>
      <c r="EO67" s="99"/>
      <c r="EP67" s="99"/>
      <c r="EQ67" s="99"/>
      <c r="ER67" s="99"/>
      <c r="ES67" s="99"/>
      <c r="ET67" s="99"/>
      <c r="EU67" s="99"/>
      <c r="EV67" s="99"/>
      <c r="EW67" s="99"/>
      <c r="EX67" s="99"/>
      <c r="EY67" s="99"/>
      <c r="EZ67" s="99"/>
      <c r="FA67" s="99"/>
      <c r="FB67" s="99"/>
      <c r="FC67" s="99"/>
      <c r="FD67" s="99"/>
      <c r="FE67" s="99"/>
      <c r="FF67" s="99"/>
      <c r="FG67" s="99"/>
      <c r="FH67" s="99"/>
      <c r="FI67" s="99"/>
      <c r="FJ67" s="99"/>
      <c r="FK67" s="99"/>
    </row>
    <row r="68" spans="1:167" s="70" customFormat="1" x14ac:dyDescent="0.25">
      <c r="A68" s="11"/>
      <c r="B68"/>
      <c r="C68" s="10"/>
      <c r="D68" s="71"/>
      <c r="E68" s="11"/>
      <c r="F68" s="15"/>
      <c r="G68"/>
      <c r="H68" s="99"/>
      <c r="I68" s="99"/>
      <c r="J68" s="99">
        <v>65</v>
      </c>
      <c r="K68" s="16"/>
      <c r="L68" s="16"/>
      <c r="M68" s="16"/>
      <c r="N68" s="16"/>
      <c r="O68" s="16"/>
      <c r="P68" s="16"/>
      <c r="Q68" s="16"/>
      <c r="R68" s="16"/>
      <c r="S68" s="16"/>
      <c r="T68" s="16"/>
      <c r="U68" s="73">
        <f>SUM(K68:T68)</f>
        <v>0</v>
      </c>
      <c r="V68" s="73"/>
      <c r="W68"/>
      <c r="X68" s="75" t="str" cm="1">
        <f t="array" ref="X68">MID(";"&amp;'CASE DATA'!$F68&amp;";",SMALL(IF(ISERROR(SEARCH(MID(";"&amp;'CASE DATA'!$F68&amp;";",ROW($1:$99),1),";")),"",ROW($1:$99)+1),COLUMN(A68)),SMALL(IF(ISERROR(SEARCH(MID(";"&amp;'CASE DATA'!$F68&amp;";",ROW($1:$99),1),";")),"",ROW($1:$99)),COLUMN(A67)+1)-SMALL(IF(ISERROR(SEARCH(MID(";"&amp;'CASE DATA'!$F68&amp;";",ROW($1:$99),1),";")),"",ROW($1:$99)),COLUMN(A67))-1)</f>
        <v/>
      </c>
      <c r="Y68" s="75" t="str" cm="1">
        <f t="array" ref="Y68">MID(";"&amp;'CASE DATA'!$F68&amp;";",SMALL(IF(ISERROR(SEARCH(MID(";"&amp;'CASE DATA'!$F68&amp;";",ROW($1:$99),1),";")),"",ROW($1:$99)+1),COLUMN(B68)),SMALL(IF(ISERROR(SEARCH(MID(";"&amp;'CASE DATA'!$F68&amp;";",ROW($1:$99),1),";")),"",ROW($1:$99)),COLUMN(B67)+1)-SMALL(IF(ISERROR(SEARCH(MID(";"&amp;'CASE DATA'!$F68&amp;";",ROW($1:$99),1),";")),"",ROW($1:$99)),COLUMN(B67))-1)</f>
        <v/>
      </c>
      <c r="Z68" s="75" t="str" cm="1">
        <f t="array" ref="Z68">MID(";"&amp;'CASE DATA'!$F68&amp;";",SMALL(IF(ISERROR(SEARCH(MID(";"&amp;'CASE DATA'!$F68&amp;";",ROW($1:$99),1),";")),"",ROW($1:$99)+1),COLUMN(C68)),SMALL(IF(ISERROR(SEARCH(MID(";"&amp;'CASE DATA'!$F68&amp;";",ROW($1:$99),1),";")),"",ROW($1:$99)),COLUMN(C67)+1)-SMALL(IF(ISERROR(SEARCH(MID(";"&amp;'CASE DATA'!$F68&amp;";",ROW($1:$99),1),";")),"",ROW($1:$99)),COLUMN(C67))-1)</f>
        <v/>
      </c>
      <c r="AA68" s="75" t="str" cm="1">
        <f t="array" ref="AA68">MID(";"&amp;'CASE DATA'!$F68&amp;";",SMALL(IF(ISERROR(SEARCH(MID(";"&amp;'CASE DATA'!$F68&amp;";",ROW($1:$99),1),";")),"",ROW($1:$99)+1),COLUMN(D68)),SMALL(IF(ISERROR(SEARCH(MID(";"&amp;'CASE DATA'!$F68&amp;";",ROW($1:$99),1),";")),"",ROW($1:$99)),COLUMN(D67)+1)-SMALL(IF(ISERROR(SEARCH(MID(";"&amp;'CASE DATA'!$F68&amp;";",ROW($1:$99),1),";")),"",ROW($1:$99)),COLUMN(D67))-1)</f>
        <v/>
      </c>
      <c r="AB68" s="75" t="str" cm="1">
        <f t="array" ref="AB68">MID(";"&amp;'CASE DATA'!$F68&amp;";",SMALL(IF(ISERROR(SEARCH(MID(";"&amp;'CASE DATA'!$F68&amp;";",ROW($1:$99),1),";")),"",ROW($1:$99)+1),COLUMN(E68)),SMALL(IF(ISERROR(SEARCH(MID(";"&amp;'CASE DATA'!$F68&amp;";",ROW($1:$99),1),";")),"",ROW($1:$99)),COLUMN(E67)+1)-SMALL(IF(ISERROR(SEARCH(MID(";"&amp;'CASE DATA'!$F68&amp;";",ROW($1:$99),1),";")),"",ROW($1:$99)),COLUMN(E67))-1)</f>
        <v/>
      </c>
      <c r="AC68" s="75" t="str" cm="1">
        <f t="array" ref="AC68">MID(";"&amp;'CASE DATA'!$F68&amp;";",SMALL(IF(ISERROR(SEARCH(MID(";"&amp;'CASE DATA'!$F68&amp;";",ROW($1:$99),1),";")),"",ROW($1:$99)+1),COLUMN(F68)),SMALL(IF(ISERROR(SEARCH(MID(";"&amp;'CASE DATA'!$F68&amp;";",ROW($1:$99),1),";")),"",ROW($1:$99)),COLUMN(F67)+1)-SMALL(IF(ISERROR(SEARCH(MID(";"&amp;'CASE DATA'!$F68&amp;";",ROW($1:$99),1),";")),"",ROW($1:$99)),COLUMN(F67))-1)</f>
        <v/>
      </c>
      <c r="AD68" s="75" t="str" cm="1">
        <f t="array" ref="AD68">MID(";"&amp;'CASE DATA'!$F68&amp;";",SMALL(IF(ISERROR(SEARCH(MID(";"&amp;'CASE DATA'!$F68&amp;";",ROW($1:$99),1),";")),"",ROW($1:$99)+1),COLUMN(G68)),SMALL(IF(ISERROR(SEARCH(MID(";"&amp;'CASE DATA'!$F68&amp;";",ROW($1:$99),1),";")),"",ROW($1:$99)),COLUMN(G67)+1)-SMALL(IF(ISERROR(SEARCH(MID(";"&amp;'CASE DATA'!$F68&amp;";",ROW($1:$99),1),";")),"",ROW($1:$99)),COLUMN(G67))-1)</f>
        <v/>
      </c>
      <c r="AE68" s="75" t="str" cm="1">
        <f t="array" ref="AE68">MID(";"&amp;'CASE DATA'!$F68&amp;";",SMALL(IF(ISERROR(SEARCH(MID(";"&amp;'CASE DATA'!$F68&amp;";",ROW($1:$99),1),";")),"",ROW($1:$99)+1),COLUMN(H68)),SMALL(IF(ISERROR(SEARCH(MID(";"&amp;'CASE DATA'!$F68&amp;";",ROW($1:$99),1),";")),"",ROW($1:$99)),COLUMN(H67)+1)-SMALL(IF(ISERROR(SEARCH(MID(";"&amp;'CASE DATA'!$F68&amp;";",ROW($1:$99),1),";")),"",ROW($1:$99)),COLUMN(H67))-1)</f>
        <v/>
      </c>
      <c r="AF68" s="75" t="str" cm="1">
        <f t="array" ref="AF68">MID(";"&amp;'CASE DATA'!$F68&amp;";",SMALL(IF(ISERROR(SEARCH(MID(";"&amp;'CASE DATA'!$F68&amp;";",ROW($1:$99),1),";")),"",ROW($1:$99)+1),COLUMN(I68)),SMALL(IF(ISERROR(SEARCH(MID(";"&amp;'CASE DATA'!$F68&amp;";",ROW($1:$99),1),";")),"",ROW($1:$99)),COLUMN(I67)+1)-SMALL(IF(ISERROR(SEARCH(MID(";"&amp;'CASE DATA'!$F68&amp;";",ROW($1:$99),1),";")),"",ROW($1:$99)),COLUMN(I67))-1)</f>
        <v/>
      </c>
      <c r="AG68" s="75" t="str" cm="1">
        <f t="array" ref="AG68">MID(";"&amp;'CASE DATA'!$F68&amp;";",SMALL(IF(ISERROR(SEARCH(MID(";"&amp;'CASE DATA'!$F68&amp;";",ROW($1:$99),1),";")),"",ROW($1:$99)+1),COLUMN(K68)),SMALL(IF(ISERROR(SEARCH(MID(";"&amp;'CASE DATA'!$F68&amp;";",ROW($1:$99),1),";")),"",ROW($1:$99)),COLUMN(K67)+1)-SMALL(IF(ISERROR(SEARCH(MID(";"&amp;'CASE DATA'!$F68&amp;";",ROW($1:$99),1),";")),"",ROW($1:$99)),COLUMN(K67))-1)</f>
        <v/>
      </c>
      <c r="AH68" s="75" t="str" cm="1">
        <f t="array" ref="AH68">MID(";"&amp;'CASE DATA'!$F68&amp;";",SMALL(IF(ISERROR(SEARCH(MID(";"&amp;'CASE DATA'!$F68&amp;";",ROW($1:$99),1),";")),"",ROW($1:$99)+1),COLUMN(L68)),SMALL(IF(ISERROR(SEARCH(MID(";"&amp;'CASE DATA'!$F68&amp;";",ROW($1:$99),1),";")),"",ROW($1:$99)),COLUMN(L67)+1)-SMALL(IF(ISERROR(SEARCH(MID(";"&amp;'CASE DATA'!$F68&amp;";",ROW($1:$99),1),";")),"",ROW($1:$99)),COLUMN(L67))-1)</f>
        <v/>
      </c>
      <c r="AI68" s="75" t="str" cm="1">
        <f t="array" ref="AI68">MID(";"&amp;'CASE DATA'!$F68&amp;";",SMALL(IF(ISERROR(SEARCH(MID(";"&amp;'CASE DATA'!$F68&amp;";",ROW($1:$99),1),";")),"",ROW($1:$99)+1),COLUMN(M68)),SMALL(IF(ISERROR(SEARCH(MID(";"&amp;'CASE DATA'!$F68&amp;";",ROW($1:$99),1),";")),"",ROW($1:$99)),COLUMN(M67)+1)-SMALL(IF(ISERROR(SEARCH(MID(";"&amp;'CASE DATA'!$F68&amp;";",ROW($1:$99),1),";")),"",ROW($1:$99)),COLUMN(M67))-1)</f>
        <v/>
      </c>
      <c r="AJ68"/>
      <c r="AK68"/>
      <c r="AL68"/>
      <c r="AM68"/>
      <c r="AN68"/>
      <c r="AO68"/>
      <c r="AP68"/>
      <c r="AQ68"/>
      <c r="AR68"/>
      <c r="AS68"/>
      <c r="AT68"/>
      <c r="AU68"/>
      <c r="AV68"/>
      <c r="AW68"/>
      <c r="AX68"/>
      <c r="AY68"/>
      <c r="AZ68"/>
      <c r="BA68"/>
      <c r="BB68"/>
      <c r="BC68"/>
      <c r="BD68"/>
      <c r="BE68"/>
      <c r="BF68"/>
      <c r="BG68"/>
      <c r="BH68"/>
      <c r="BI68"/>
      <c r="BJ68"/>
      <c r="BK68"/>
      <c r="BL68"/>
      <c r="BM68"/>
      <c r="BN68"/>
      <c r="BO68" s="99"/>
      <c r="BP68" s="99"/>
      <c r="BQ68" s="99"/>
      <c r="BR68" s="99"/>
      <c r="BS68" s="99"/>
      <c r="BT68" s="99"/>
      <c r="BU68" s="99"/>
      <c r="BV68" s="99"/>
      <c r="BW68" s="99"/>
      <c r="BX68" s="99"/>
      <c r="BY68" s="99"/>
      <c r="BZ68" s="99"/>
      <c r="CA68" s="99"/>
      <c r="CB68" s="99"/>
      <c r="CC68" s="99"/>
      <c r="CD68" s="99"/>
      <c r="CE68" s="99"/>
      <c r="CF68" s="99"/>
      <c r="CG68" s="99"/>
      <c r="CH68" s="99"/>
      <c r="CI68" s="99"/>
      <c r="CJ68" s="99"/>
      <c r="CK68" s="99"/>
      <c r="CL68" s="99"/>
      <c r="CM68" s="99"/>
      <c r="CN68" s="99"/>
      <c r="CO68" s="99"/>
      <c r="CP68" s="99"/>
      <c r="CQ68" s="99"/>
      <c r="CR68" s="99"/>
      <c r="CS68" s="99"/>
      <c r="CT68" s="99"/>
      <c r="CU68" s="99"/>
      <c r="CV68" s="99"/>
      <c r="CW68" s="99"/>
      <c r="CX68" s="99"/>
      <c r="CY68" s="99"/>
      <c r="CZ68" s="99"/>
      <c r="DA68" s="99"/>
      <c r="DB68" s="99"/>
      <c r="DC68" s="99"/>
      <c r="DD68" s="99"/>
      <c r="DE68" s="99"/>
      <c r="DF68" s="99"/>
      <c r="DG68" s="99"/>
      <c r="DH68" s="99"/>
      <c r="DI68" s="99"/>
      <c r="DJ68" s="99"/>
      <c r="DK68" s="99"/>
      <c r="DL68" s="99"/>
      <c r="DM68" s="99"/>
      <c r="DN68" s="99"/>
      <c r="DO68" s="99"/>
      <c r="DP68" s="99"/>
      <c r="DQ68" s="99"/>
      <c r="DR68" s="99"/>
      <c r="DS68" s="99"/>
      <c r="DT68" s="99"/>
      <c r="DU68" s="99"/>
      <c r="DV68" s="99"/>
      <c r="DW68" s="99"/>
      <c r="DX68" s="99"/>
      <c r="DY68" s="99"/>
      <c r="DZ68" s="99"/>
      <c r="EA68" s="99"/>
      <c r="EB68" s="99"/>
      <c r="EC68" s="99"/>
      <c r="ED68" s="99"/>
      <c r="EE68" s="99"/>
      <c r="EF68" s="99"/>
      <c r="EG68" s="99"/>
      <c r="EH68" s="99"/>
      <c r="EI68" s="99"/>
      <c r="EJ68" s="99"/>
      <c r="EK68" s="99"/>
      <c r="EL68" s="99"/>
      <c r="EM68" s="99"/>
      <c r="EN68" s="99"/>
      <c r="EO68" s="99"/>
      <c r="EP68" s="99"/>
      <c r="EQ68" s="99"/>
      <c r="ER68" s="99"/>
      <c r="ES68" s="99"/>
      <c r="ET68" s="99"/>
      <c r="EU68" s="99"/>
      <c r="EV68" s="99"/>
      <c r="EW68" s="99"/>
      <c r="EX68" s="99"/>
      <c r="EY68" s="99"/>
      <c r="EZ68" s="99"/>
      <c r="FA68" s="99"/>
      <c r="FB68" s="99"/>
      <c r="FC68" s="99"/>
      <c r="FD68" s="99"/>
      <c r="FE68" s="99"/>
      <c r="FF68" s="99"/>
      <c r="FG68" s="99"/>
      <c r="FH68" s="99"/>
      <c r="FI68" s="99"/>
      <c r="FJ68" s="99"/>
      <c r="FK68" s="99"/>
    </row>
    <row r="69" spans="1:167" x14ac:dyDescent="0.25">
      <c r="A69" s="11"/>
      <c r="C69" s="10"/>
      <c r="D69" s="10"/>
      <c r="E69" s="11"/>
      <c r="F69" s="15"/>
      <c r="J69" s="99">
        <v>66</v>
      </c>
      <c r="K69" s="16"/>
      <c r="L69" s="16"/>
      <c r="M69" s="16"/>
      <c r="N69" s="16"/>
      <c r="O69" s="16"/>
      <c r="P69" s="16"/>
      <c r="Q69" s="16"/>
      <c r="R69" s="16"/>
      <c r="S69" s="16"/>
      <c r="T69" s="16"/>
      <c r="U69" s="73">
        <f>SUM(K69:T69)</f>
        <v>0</v>
      </c>
      <c r="V69" s="73"/>
      <c r="X69" s="75" t="str" cm="1">
        <f t="array" ref="X69">MID(";"&amp;'CASE DATA'!$F69&amp;";",SMALL(IF(ISERROR(SEARCH(MID(";"&amp;'CASE DATA'!$F69&amp;";",ROW($1:$99),1),";")),"",ROW($1:$99)+1),COLUMN(A69)),SMALL(IF(ISERROR(SEARCH(MID(";"&amp;'CASE DATA'!$F69&amp;";",ROW($1:$99),1),";")),"",ROW($1:$99)),COLUMN(A68)+1)-SMALL(IF(ISERROR(SEARCH(MID(";"&amp;'CASE DATA'!$F69&amp;";",ROW($1:$99),1),";")),"",ROW($1:$99)),COLUMN(A68))-1)</f>
        <v/>
      </c>
      <c r="Y69" s="75" t="str" cm="1">
        <f t="array" ref="Y69">MID(";"&amp;'CASE DATA'!$F69&amp;";",SMALL(IF(ISERROR(SEARCH(MID(";"&amp;'CASE DATA'!$F69&amp;";",ROW($1:$99),1),";")),"",ROW($1:$99)+1),COLUMN(B69)),SMALL(IF(ISERROR(SEARCH(MID(";"&amp;'CASE DATA'!$F69&amp;";",ROW($1:$99),1),";")),"",ROW($1:$99)),COLUMN(B68)+1)-SMALL(IF(ISERROR(SEARCH(MID(";"&amp;'CASE DATA'!$F69&amp;";",ROW($1:$99),1),";")),"",ROW($1:$99)),COLUMN(B68))-1)</f>
        <v/>
      </c>
      <c r="Z69" s="75" t="str" cm="1">
        <f t="array" ref="Z69">MID(";"&amp;'CASE DATA'!$F69&amp;";",SMALL(IF(ISERROR(SEARCH(MID(";"&amp;'CASE DATA'!$F69&amp;";",ROW($1:$99),1),";")),"",ROW($1:$99)+1),COLUMN(C69)),SMALL(IF(ISERROR(SEARCH(MID(";"&amp;'CASE DATA'!$F69&amp;";",ROW($1:$99),1),";")),"",ROW($1:$99)),COLUMN(C68)+1)-SMALL(IF(ISERROR(SEARCH(MID(";"&amp;'CASE DATA'!$F69&amp;";",ROW($1:$99),1),";")),"",ROW($1:$99)),COLUMN(C68))-1)</f>
        <v/>
      </c>
      <c r="AA69" s="75" t="str" cm="1">
        <f t="array" ref="AA69">MID(";"&amp;'CASE DATA'!$F69&amp;";",SMALL(IF(ISERROR(SEARCH(MID(";"&amp;'CASE DATA'!$F69&amp;";",ROW($1:$99),1),";")),"",ROW($1:$99)+1),COLUMN(D69)),SMALL(IF(ISERROR(SEARCH(MID(";"&amp;'CASE DATA'!$F69&amp;";",ROW($1:$99),1),";")),"",ROW($1:$99)),COLUMN(D68)+1)-SMALL(IF(ISERROR(SEARCH(MID(";"&amp;'CASE DATA'!$F69&amp;";",ROW($1:$99),1),";")),"",ROW($1:$99)),COLUMN(D68))-1)</f>
        <v/>
      </c>
      <c r="AB69" s="75" t="str" cm="1">
        <f t="array" ref="AB69">MID(";"&amp;'CASE DATA'!$F69&amp;";",SMALL(IF(ISERROR(SEARCH(MID(";"&amp;'CASE DATA'!$F69&amp;";",ROW($1:$99),1),";")),"",ROW($1:$99)+1),COLUMN(E69)),SMALL(IF(ISERROR(SEARCH(MID(";"&amp;'CASE DATA'!$F69&amp;";",ROW($1:$99),1),";")),"",ROW($1:$99)),COLUMN(E68)+1)-SMALL(IF(ISERROR(SEARCH(MID(";"&amp;'CASE DATA'!$F69&amp;";",ROW($1:$99),1),";")),"",ROW($1:$99)),COLUMN(E68))-1)</f>
        <v/>
      </c>
      <c r="AC69" s="75" t="str" cm="1">
        <f t="array" ref="AC69">MID(";"&amp;'CASE DATA'!$F69&amp;";",SMALL(IF(ISERROR(SEARCH(MID(";"&amp;'CASE DATA'!$F69&amp;";",ROW($1:$99),1),";")),"",ROW($1:$99)+1),COLUMN(F69)),SMALL(IF(ISERROR(SEARCH(MID(";"&amp;'CASE DATA'!$F69&amp;";",ROW($1:$99),1),";")),"",ROW($1:$99)),COLUMN(F68)+1)-SMALL(IF(ISERROR(SEARCH(MID(";"&amp;'CASE DATA'!$F69&amp;";",ROW($1:$99),1),";")),"",ROW($1:$99)),COLUMN(F68))-1)</f>
        <v/>
      </c>
      <c r="AD69" s="75" t="str" cm="1">
        <f t="array" ref="AD69">MID(";"&amp;'CASE DATA'!$F69&amp;";",SMALL(IF(ISERROR(SEARCH(MID(";"&amp;'CASE DATA'!$F69&amp;";",ROW($1:$99),1),";")),"",ROW($1:$99)+1),COLUMN(G69)),SMALL(IF(ISERROR(SEARCH(MID(";"&amp;'CASE DATA'!$F69&amp;";",ROW($1:$99),1),";")),"",ROW($1:$99)),COLUMN(G68)+1)-SMALL(IF(ISERROR(SEARCH(MID(";"&amp;'CASE DATA'!$F69&amp;";",ROW($1:$99),1),";")),"",ROW($1:$99)),COLUMN(G68))-1)</f>
        <v/>
      </c>
      <c r="AE69" s="75" t="str" cm="1">
        <f t="array" ref="AE69">MID(";"&amp;'CASE DATA'!$F69&amp;";",SMALL(IF(ISERROR(SEARCH(MID(";"&amp;'CASE DATA'!$F69&amp;";",ROW($1:$99),1),";")),"",ROW($1:$99)+1),COLUMN(H69)),SMALL(IF(ISERROR(SEARCH(MID(";"&amp;'CASE DATA'!$F69&amp;";",ROW($1:$99),1),";")),"",ROW($1:$99)),COLUMN(H68)+1)-SMALL(IF(ISERROR(SEARCH(MID(";"&amp;'CASE DATA'!$F69&amp;";",ROW($1:$99),1),";")),"",ROW($1:$99)),COLUMN(H68))-1)</f>
        <v/>
      </c>
      <c r="AF69" s="75" t="str" cm="1">
        <f t="array" ref="AF69">MID(";"&amp;'CASE DATA'!$F69&amp;";",SMALL(IF(ISERROR(SEARCH(MID(";"&amp;'CASE DATA'!$F69&amp;";",ROW($1:$99),1),";")),"",ROW($1:$99)+1),COLUMN(I69)),SMALL(IF(ISERROR(SEARCH(MID(";"&amp;'CASE DATA'!$F69&amp;";",ROW($1:$99),1),";")),"",ROW($1:$99)),COLUMN(I68)+1)-SMALL(IF(ISERROR(SEARCH(MID(";"&amp;'CASE DATA'!$F69&amp;";",ROW($1:$99),1),";")),"",ROW($1:$99)),COLUMN(I68))-1)</f>
        <v/>
      </c>
      <c r="AG69" s="75" t="str" cm="1">
        <f t="array" ref="AG69">MID(";"&amp;'CASE DATA'!$F69&amp;";",SMALL(IF(ISERROR(SEARCH(MID(";"&amp;'CASE DATA'!$F69&amp;";",ROW($1:$99),1),";")),"",ROW($1:$99)+1),COLUMN(K69)),SMALL(IF(ISERROR(SEARCH(MID(";"&amp;'CASE DATA'!$F69&amp;";",ROW($1:$99),1),";")),"",ROW($1:$99)),COLUMN(K68)+1)-SMALL(IF(ISERROR(SEARCH(MID(";"&amp;'CASE DATA'!$F69&amp;";",ROW($1:$99),1),";")),"",ROW($1:$99)),COLUMN(K68))-1)</f>
        <v/>
      </c>
      <c r="AH69" s="75" t="str" cm="1">
        <f t="array" ref="AH69">MID(";"&amp;'CASE DATA'!$F69&amp;";",SMALL(IF(ISERROR(SEARCH(MID(";"&amp;'CASE DATA'!$F69&amp;";",ROW($1:$99),1),";")),"",ROW($1:$99)+1),COLUMN(L69)),SMALL(IF(ISERROR(SEARCH(MID(";"&amp;'CASE DATA'!$F69&amp;";",ROW($1:$99),1),";")),"",ROW($1:$99)),COLUMN(L68)+1)-SMALL(IF(ISERROR(SEARCH(MID(";"&amp;'CASE DATA'!$F69&amp;";",ROW($1:$99),1),";")),"",ROW($1:$99)),COLUMN(L68))-1)</f>
        <v/>
      </c>
      <c r="AI69" s="75" t="str" cm="1">
        <f t="array" ref="AI69">MID(";"&amp;'CASE DATA'!$F69&amp;";",SMALL(IF(ISERROR(SEARCH(MID(";"&amp;'CASE DATA'!$F69&amp;";",ROW($1:$99),1),";")),"",ROW($1:$99)+1),COLUMN(M69)),SMALL(IF(ISERROR(SEARCH(MID(";"&amp;'CASE DATA'!$F69&amp;";",ROW($1:$99),1),";")),"",ROW($1:$99)),COLUMN(M68)+1)-SMALL(IF(ISERROR(SEARCH(MID(";"&amp;'CASE DATA'!$F69&amp;";",ROW($1:$99),1),";")),"",ROW($1:$99)),COLUMN(M68))-1)</f>
        <v/>
      </c>
      <c r="BO69" s="99"/>
      <c r="BP69" s="99"/>
      <c r="BQ69" s="99"/>
      <c r="BR69" s="99"/>
      <c r="BS69" s="99"/>
      <c r="BT69" s="99"/>
      <c r="BU69" s="99"/>
      <c r="BV69" s="99"/>
      <c r="BW69" s="99"/>
      <c r="BX69" s="99"/>
      <c r="BY69" s="99"/>
      <c r="BZ69" s="99"/>
      <c r="CA69" s="99"/>
      <c r="CB69" s="99"/>
      <c r="CC69" s="99"/>
      <c r="CD69" s="99"/>
      <c r="CE69" s="99"/>
      <c r="CF69" s="99"/>
      <c r="CG69" s="99"/>
      <c r="CH69" s="99"/>
      <c r="CI69" s="99"/>
      <c r="CJ69" s="99"/>
      <c r="CK69" s="99"/>
      <c r="CL69" s="99"/>
      <c r="CM69" s="99"/>
      <c r="CN69" s="99"/>
      <c r="CO69" s="99"/>
      <c r="CP69" s="99"/>
      <c r="CQ69" s="99"/>
      <c r="CR69" s="99"/>
      <c r="CS69" s="99"/>
      <c r="CT69" s="99"/>
      <c r="CU69" s="99"/>
      <c r="CV69" s="99"/>
      <c r="CW69" s="99"/>
      <c r="CX69" s="99"/>
      <c r="CY69" s="99"/>
      <c r="CZ69" s="99"/>
      <c r="DA69" s="99"/>
      <c r="DB69" s="99"/>
      <c r="DC69" s="99"/>
      <c r="DD69" s="99"/>
      <c r="DE69" s="99"/>
      <c r="DF69" s="99"/>
      <c r="DG69" s="99"/>
      <c r="DH69" s="99"/>
      <c r="DI69" s="99"/>
      <c r="DJ69" s="99"/>
      <c r="DK69" s="99"/>
      <c r="DL69" s="99"/>
      <c r="DM69" s="99"/>
      <c r="DN69" s="99"/>
      <c r="DO69" s="99"/>
      <c r="DP69" s="99"/>
      <c r="DQ69" s="99"/>
      <c r="DR69" s="99"/>
      <c r="DS69" s="99"/>
      <c r="DT69" s="99"/>
      <c r="DU69" s="99"/>
      <c r="DV69" s="99"/>
      <c r="DW69" s="99"/>
      <c r="DX69" s="99"/>
      <c r="DY69" s="99"/>
      <c r="DZ69" s="99"/>
      <c r="EA69" s="99"/>
      <c r="EB69" s="99"/>
      <c r="EC69" s="99"/>
      <c r="ED69" s="99"/>
      <c r="EE69" s="99"/>
      <c r="EF69" s="99"/>
      <c r="EG69" s="99"/>
      <c r="EH69" s="99"/>
      <c r="EI69" s="99"/>
      <c r="EJ69" s="99"/>
      <c r="EK69" s="99"/>
      <c r="EL69" s="99"/>
      <c r="EM69" s="99"/>
      <c r="EN69" s="99"/>
      <c r="EO69" s="99"/>
      <c r="EP69" s="99"/>
      <c r="EQ69" s="99"/>
      <c r="ER69" s="99"/>
      <c r="ES69" s="99"/>
      <c r="ET69" s="99"/>
      <c r="EU69" s="99"/>
      <c r="EV69" s="99"/>
      <c r="EW69" s="99"/>
      <c r="EX69" s="99"/>
      <c r="EY69" s="99"/>
      <c r="EZ69" s="99"/>
      <c r="FA69" s="99"/>
      <c r="FB69" s="99"/>
      <c r="FC69" s="99"/>
      <c r="FD69" s="99"/>
      <c r="FE69" s="99"/>
      <c r="FF69" s="99"/>
      <c r="FG69" s="99"/>
      <c r="FH69" s="99"/>
      <c r="FI69" s="99"/>
      <c r="FJ69" s="99"/>
      <c r="FK69" s="99"/>
    </row>
    <row r="70" spans="1:167" x14ac:dyDescent="0.25">
      <c r="C70" s="10"/>
      <c r="D70" s="10"/>
      <c r="E70" s="11"/>
      <c r="F70" s="15"/>
      <c r="J70" s="99">
        <v>67</v>
      </c>
      <c r="K70" s="16"/>
      <c r="L70" s="16"/>
      <c r="M70" s="16"/>
      <c r="N70" s="16"/>
      <c r="O70" s="16"/>
      <c r="P70" s="16"/>
      <c r="Q70" s="16"/>
      <c r="R70" s="16"/>
      <c r="S70" s="16"/>
      <c r="T70" s="16"/>
      <c r="U70" s="73">
        <f>SUM(K70:T70)</f>
        <v>0</v>
      </c>
      <c r="V70" s="73"/>
      <c r="X70" s="75" t="str" cm="1">
        <f t="array" ref="X70">MID(";"&amp;'CASE DATA'!$F70&amp;";",SMALL(IF(ISERROR(SEARCH(MID(";"&amp;'CASE DATA'!$F70&amp;";",ROW($1:$99),1),";")),"",ROW($1:$99)+1),COLUMN(A70)),SMALL(IF(ISERROR(SEARCH(MID(";"&amp;'CASE DATA'!$F70&amp;";",ROW($1:$99),1),";")),"",ROW($1:$99)),COLUMN(A69)+1)-SMALL(IF(ISERROR(SEARCH(MID(";"&amp;'CASE DATA'!$F70&amp;";",ROW($1:$99),1),";")),"",ROW($1:$99)),COLUMN(A69))-1)</f>
        <v/>
      </c>
      <c r="Y70" s="75" t="str" cm="1">
        <f t="array" ref="Y70">MID(";"&amp;'CASE DATA'!$F70&amp;";",SMALL(IF(ISERROR(SEARCH(MID(";"&amp;'CASE DATA'!$F70&amp;";",ROW($1:$99),1),";")),"",ROW($1:$99)+1),COLUMN(B70)),SMALL(IF(ISERROR(SEARCH(MID(";"&amp;'CASE DATA'!$F70&amp;";",ROW($1:$99),1),";")),"",ROW($1:$99)),COLUMN(B69)+1)-SMALL(IF(ISERROR(SEARCH(MID(";"&amp;'CASE DATA'!$F70&amp;";",ROW($1:$99),1),";")),"",ROW($1:$99)),COLUMN(B69))-1)</f>
        <v/>
      </c>
      <c r="Z70" s="75" t="str" cm="1">
        <f t="array" ref="Z70">MID(";"&amp;'CASE DATA'!$F70&amp;";",SMALL(IF(ISERROR(SEARCH(MID(";"&amp;'CASE DATA'!$F70&amp;";",ROW($1:$99),1),";")),"",ROW($1:$99)+1),COLUMN(C70)),SMALL(IF(ISERROR(SEARCH(MID(";"&amp;'CASE DATA'!$F70&amp;";",ROW($1:$99),1),";")),"",ROW($1:$99)),COLUMN(C69)+1)-SMALL(IF(ISERROR(SEARCH(MID(";"&amp;'CASE DATA'!$F70&amp;";",ROW($1:$99),1),";")),"",ROW($1:$99)),COLUMN(C69))-1)</f>
        <v/>
      </c>
      <c r="AA70" s="75" t="str" cm="1">
        <f t="array" ref="AA70">MID(";"&amp;'CASE DATA'!$F70&amp;";",SMALL(IF(ISERROR(SEARCH(MID(";"&amp;'CASE DATA'!$F70&amp;";",ROW($1:$99),1),";")),"",ROW($1:$99)+1),COLUMN(D70)),SMALL(IF(ISERROR(SEARCH(MID(";"&amp;'CASE DATA'!$F70&amp;";",ROW($1:$99),1),";")),"",ROW($1:$99)),COLUMN(D69)+1)-SMALL(IF(ISERROR(SEARCH(MID(";"&amp;'CASE DATA'!$F70&amp;";",ROW($1:$99),1),";")),"",ROW($1:$99)),COLUMN(D69))-1)</f>
        <v/>
      </c>
      <c r="AB70" s="75" t="str" cm="1">
        <f t="array" ref="AB70">MID(";"&amp;'CASE DATA'!$F70&amp;";",SMALL(IF(ISERROR(SEARCH(MID(";"&amp;'CASE DATA'!$F70&amp;";",ROW($1:$99),1),";")),"",ROW($1:$99)+1),COLUMN(E70)),SMALL(IF(ISERROR(SEARCH(MID(";"&amp;'CASE DATA'!$F70&amp;";",ROW($1:$99),1),";")),"",ROW($1:$99)),COLUMN(E69)+1)-SMALL(IF(ISERROR(SEARCH(MID(";"&amp;'CASE DATA'!$F70&amp;";",ROW($1:$99),1),";")),"",ROW($1:$99)),COLUMN(E69))-1)</f>
        <v/>
      </c>
      <c r="AC70" s="75" t="str" cm="1">
        <f t="array" ref="AC70">MID(";"&amp;'CASE DATA'!$F70&amp;";",SMALL(IF(ISERROR(SEARCH(MID(";"&amp;'CASE DATA'!$F70&amp;";",ROW($1:$99),1),";")),"",ROW($1:$99)+1),COLUMN(F70)),SMALL(IF(ISERROR(SEARCH(MID(";"&amp;'CASE DATA'!$F70&amp;";",ROW($1:$99),1),";")),"",ROW($1:$99)),COLUMN(F69)+1)-SMALL(IF(ISERROR(SEARCH(MID(";"&amp;'CASE DATA'!$F70&amp;";",ROW($1:$99),1),";")),"",ROW($1:$99)),COLUMN(F69))-1)</f>
        <v/>
      </c>
      <c r="AD70" s="75" t="str" cm="1">
        <f t="array" ref="AD70">MID(";"&amp;'CASE DATA'!$F70&amp;";",SMALL(IF(ISERROR(SEARCH(MID(";"&amp;'CASE DATA'!$F70&amp;";",ROW($1:$99),1),";")),"",ROW($1:$99)+1),COLUMN(G70)),SMALL(IF(ISERROR(SEARCH(MID(";"&amp;'CASE DATA'!$F70&amp;";",ROW($1:$99),1),";")),"",ROW($1:$99)),COLUMN(G69)+1)-SMALL(IF(ISERROR(SEARCH(MID(";"&amp;'CASE DATA'!$F70&amp;";",ROW($1:$99),1),";")),"",ROW($1:$99)),COLUMN(G69))-1)</f>
        <v/>
      </c>
      <c r="AE70" s="75" t="str" cm="1">
        <f t="array" ref="AE70">MID(";"&amp;'CASE DATA'!$F70&amp;";",SMALL(IF(ISERROR(SEARCH(MID(";"&amp;'CASE DATA'!$F70&amp;";",ROW($1:$99),1),";")),"",ROW($1:$99)+1),COLUMN(H70)),SMALL(IF(ISERROR(SEARCH(MID(";"&amp;'CASE DATA'!$F70&amp;";",ROW($1:$99),1),";")),"",ROW($1:$99)),COLUMN(H69)+1)-SMALL(IF(ISERROR(SEARCH(MID(";"&amp;'CASE DATA'!$F70&amp;";",ROW($1:$99),1),";")),"",ROW($1:$99)),COLUMN(H69))-1)</f>
        <v/>
      </c>
      <c r="AF70" s="75" t="str" cm="1">
        <f t="array" ref="AF70">MID(";"&amp;'CASE DATA'!$F70&amp;";",SMALL(IF(ISERROR(SEARCH(MID(";"&amp;'CASE DATA'!$F70&amp;";",ROW($1:$99),1),";")),"",ROW($1:$99)+1),COLUMN(I70)),SMALL(IF(ISERROR(SEARCH(MID(";"&amp;'CASE DATA'!$F70&amp;";",ROW($1:$99),1),";")),"",ROW($1:$99)),COLUMN(I69)+1)-SMALL(IF(ISERROR(SEARCH(MID(";"&amp;'CASE DATA'!$F70&amp;";",ROW($1:$99),1),";")),"",ROW($1:$99)),COLUMN(I69))-1)</f>
        <v/>
      </c>
      <c r="AG70" s="75" t="str" cm="1">
        <f t="array" ref="AG70">MID(";"&amp;'CASE DATA'!$F70&amp;";",SMALL(IF(ISERROR(SEARCH(MID(";"&amp;'CASE DATA'!$F70&amp;";",ROW($1:$99),1),";")),"",ROW($1:$99)+1),COLUMN(K70)),SMALL(IF(ISERROR(SEARCH(MID(";"&amp;'CASE DATA'!$F70&amp;";",ROW($1:$99),1),";")),"",ROW($1:$99)),COLUMN(K69)+1)-SMALL(IF(ISERROR(SEARCH(MID(";"&amp;'CASE DATA'!$F70&amp;";",ROW($1:$99),1),";")),"",ROW($1:$99)),COLUMN(K69))-1)</f>
        <v/>
      </c>
      <c r="AH70" s="75" t="str" cm="1">
        <f t="array" ref="AH70">MID(";"&amp;'CASE DATA'!$F70&amp;";",SMALL(IF(ISERROR(SEARCH(MID(";"&amp;'CASE DATA'!$F70&amp;";",ROW($1:$99),1),";")),"",ROW($1:$99)+1),COLUMN(L70)),SMALL(IF(ISERROR(SEARCH(MID(";"&amp;'CASE DATA'!$F70&amp;";",ROW($1:$99),1),";")),"",ROW($1:$99)),COLUMN(L69)+1)-SMALL(IF(ISERROR(SEARCH(MID(";"&amp;'CASE DATA'!$F70&amp;";",ROW($1:$99),1),";")),"",ROW($1:$99)),COLUMN(L69))-1)</f>
        <v/>
      </c>
      <c r="AI70" s="75" t="str" cm="1">
        <f t="array" ref="AI70">MID(";"&amp;'CASE DATA'!$F70&amp;";",SMALL(IF(ISERROR(SEARCH(MID(";"&amp;'CASE DATA'!$F70&amp;";",ROW($1:$99),1),";")),"",ROW($1:$99)+1),COLUMN(M70)),SMALL(IF(ISERROR(SEARCH(MID(";"&amp;'CASE DATA'!$F70&amp;";",ROW($1:$99),1),";")),"",ROW($1:$99)),COLUMN(M69)+1)-SMALL(IF(ISERROR(SEARCH(MID(";"&amp;'CASE DATA'!$F70&amp;";",ROW($1:$99),1),";")),"",ROW($1:$99)),COLUMN(M69))-1)</f>
        <v/>
      </c>
      <c r="BO70" s="99"/>
      <c r="BP70" s="99"/>
      <c r="BQ70" s="99"/>
      <c r="BR70" s="99"/>
      <c r="BS70" s="99"/>
      <c r="BT70" s="99"/>
      <c r="BU70" s="99"/>
      <c r="BV70" s="99"/>
      <c r="BW70" s="99"/>
      <c r="BX70" s="99"/>
      <c r="BY70" s="99"/>
      <c r="BZ70" s="99"/>
      <c r="CA70" s="99"/>
      <c r="CB70" s="99"/>
      <c r="CC70" s="99"/>
      <c r="CD70" s="99"/>
      <c r="CE70" s="99"/>
      <c r="CF70" s="99"/>
      <c r="CG70" s="99"/>
      <c r="CH70" s="99"/>
      <c r="CI70" s="99"/>
      <c r="CJ70" s="99"/>
      <c r="CK70" s="99"/>
      <c r="CL70" s="99"/>
      <c r="CM70" s="99"/>
      <c r="CN70" s="99"/>
      <c r="CO70" s="99"/>
      <c r="CP70" s="99"/>
      <c r="CQ70" s="99"/>
      <c r="CR70" s="99"/>
      <c r="CS70" s="99"/>
      <c r="CT70" s="99"/>
      <c r="CU70" s="99"/>
      <c r="CV70" s="99"/>
      <c r="CW70" s="99"/>
      <c r="CX70" s="99"/>
      <c r="CY70" s="99"/>
      <c r="CZ70" s="99"/>
      <c r="DA70" s="99"/>
      <c r="DB70" s="99"/>
      <c r="DC70" s="99"/>
      <c r="DD70" s="99"/>
      <c r="DE70" s="99"/>
      <c r="DF70" s="99"/>
      <c r="DG70" s="99"/>
      <c r="DH70" s="99"/>
      <c r="DI70" s="99"/>
      <c r="DJ70" s="99"/>
      <c r="DK70" s="99"/>
      <c r="DL70" s="99"/>
      <c r="DM70" s="99"/>
      <c r="DN70" s="99"/>
      <c r="DO70" s="99"/>
      <c r="DP70" s="99"/>
      <c r="DQ70" s="99"/>
      <c r="DR70" s="99"/>
      <c r="DS70" s="99"/>
      <c r="DT70" s="99"/>
      <c r="DU70" s="99"/>
      <c r="DV70" s="99"/>
      <c r="DW70" s="99"/>
      <c r="DX70" s="99"/>
      <c r="DY70" s="99"/>
      <c r="DZ70" s="99"/>
      <c r="EA70" s="99"/>
      <c r="EB70" s="99"/>
      <c r="EC70" s="99"/>
      <c r="ED70" s="99"/>
      <c r="EE70" s="99"/>
      <c r="EF70" s="99"/>
      <c r="EG70" s="99"/>
      <c r="EH70" s="99"/>
      <c r="EI70" s="99"/>
      <c r="EJ70" s="99"/>
      <c r="EK70" s="99"/>
      <c r="EL70" s="99"/>
      <c r="EM70" s="99"/>
      <c r="EN70" s="99"/>
      <c r="EO70" s="99"/>
      <c r="EP70" s="99"/>
      <c r="EQ70" s="99"/>
      <c r="ER70" s="99"/>
      <c r="ES70" s="99"/>
      <c r="ET70" s="99"/>
      <c r="EU70" s="99"/>
      <c r="EV70" s="99"/>
      <c r="EW70" s="99"/>
      <c r="EX70" s="99"/>
      <c r="EY70" s="99"/>
      <c r="EZ70" s="99"/>
      <c r="FA70" s="99"/>
      <c r="FB70" s="99"/>
      <c r="FC70" s="99"/>
      <c r="FD70" s="99"/>
      <c r="FE70" s="99"/>
      <c r="FF70" s="99"/>
      <c r="FG70" s="99"/>
      <c r="FH70" s="99"/>
      <c r="FI70" s="99"/>
      <c r="FJ70" s="99"/>
      <c r="FK70" s="99"/>
    </row>
    <row r="71" spans="1:167" x14ac:dyDescent="0.25">
      <c r="C71" s="10"/>
      <c r="D71" s="10"/>
      <c r="E71" s="11"/>
      <c r="F71" s="15"/>
      <c r="J71" s="99">
        <v>68</v>
      </c>
      <c r="K71" s="16"/>
      <c r="L71" s="16"/>
      <c r="M71" s="16"/>
      <c r="N71" s="16"/>
      <c r="O71" s="16"/>
      <c r="P71" s="16"/>
      <c r="Q71" s="16"/>
      <c r="R71" s="16"/>
      <c r="S71" s="16"/>
      <c r="T71" s="16"/>
      <c r="U71" s="73">
        <f>SUM(K71:T71)</f>
        <v>0</v>
      </c>
      <c r="V71" s="73"/>
      <c r="X71" s="75" t="str" cm="1">
        <f t="array" ref="X71">MID(";"&amp;'CASE DATA'!$F71&amp;";",SMALL(IF(ISERROR(SEARCH(MID(";"&amp;'CASE DATA'!$F71&amp;";",ROW($1:$99),1),";")),"",ROW($1:$99)+1),COLUMN(A71)),SMALL(IF(ISERROR(SEARCH(MID(";"&amp;'CASE DATA'!$F71&amp;";",ROW($1:$99),1),";")),"",ROW($1:$99)),COLUMN(A70)+1)-SMALL(IF(ISERROR(SEARCH(MID(";"&amp;'CASE DATA'!$F71&amp;";",ROW($1:$99),1),";")),"",ROW($1:$99)),COLUMN(A70))-1)</f>
        <v/>
      </c>
      <c r="Y71" s="75" t="str" cm="1">
        <f t="array" ref="Y71">MID(";"&amp;'CASE DATA'!$F71&amp;";",SMALL(IF(ISERROR(SEARCH(MID(";"&amp;'CASE DATA'!$F71&amp;";",ROW($1:$99),1),";")),"",ROW($1:$99)+1),COLUMN(B71)),SMALL(IF(ISERROR(SEARCH(MID(";"&amp;'CASE DATA'!$F71&amp;";",ROW($1:$99),1),";")),"",ROW($1:$99)),COLUMN(B70)+1)-SMALL(IF(ISERROR(SEARCH(MID(";"&amp;'CASE DATA'!$F71&amp;";",ROW($1:$99),1),";")),"",ROW($1:$99)),COLUMN(B70))-1)</f>
        <v/>
      </c>
      <c r="Z71" s="75" t="str" cm="1">
        <f t="array" ref="Z71">MID(";"&amp;'CASE DATA'!$F71&amp;";",SMALL(IF(ISERROR(SEARCH(MID(";"&amp;'CASE DATA'!$F71&amp;";",ROW($1:$99),1),";")),"",ROW($1:$99)+1),COLUMN(C71)),SMALL(IF(ISERROR(SEARCH(MID(";"&amp;'CASE DATA'!$F71&amp;";",ROW($1:$99),1),";")),"",ROW($1:$99)),COLUMN(C70)+1)-SMALL(IF(ISERROR(SEARCH(MID(";"&amp;'CASE DATA'!$F71&amp;";",ROW($1:$99),1),";")),"",ROW($1:$99)),COLUMN(C70))-1)</f>
        <v/>
      </c>
      <c r="AA71" s="75" t="str" cm="1">
        <f t="array" ref="AA71">MID(";"&amp;'CASE DATA'!$F71&amp;";",SMALL(IF(ISERROR(SEARCH(MID(";"&amp;'CASE DATA'!$F71&amp;";",ROW($1:$99),1),";")),"",ROW($1:$99)+1),COLUMN(D71)),SMALL(IF(ISERROR(SEARCH(MID(";"&amp;'CASE DATA'!$F71&amp;";",ROW($1:$99),1),";")),"",ROW($1:$99)),COLUMN(D70)+1)-SMALL(IF(ISERROR(SEARCH(MID(";"&amp;'CASE DATA'!$F71&amp;";",ROW($1:$99),1),";")),"",ROW($1:$99)),COLUMN(D70))-1)</f>
        <v/>
      </c>
      <c r="AB71" s="75" t="str" cm="1">
        <f t="array" ref="AB71">MID(";"&amp;'CASE DATA'!$F71&amp;";",SMALL(IF(ISERROR(SEARCH(MID(";"&amp;'CASE DATA'!$F71&amp;";",ROW($1:$99),1),";")),"",ROW($1:$99)+1),COLUMN(E71)),SMALL(IF(ISERROR(SEARCH(MID(";"&amp;'CASE DATA'!$F71&amp;";",ROW($1:$99),1),";")),"",ROW($1:$99)),COLUMN(E70)+1)-SMALL(IF(ISERROR(SEARCH(MID(";"&amp;'CASE DATA'!$F71&amp;";",ROW($1:$99),1),";")),"",ROW($1:$99)),COLUMN(E70))-1)</f>
        <v/>
      </c>
      <c r="AC71" s="75" t="str" cm="1">
        <f t="array" ref="AC71">MID(";"&amp;'CASE DATA'!$F71&amp;";",SMALL(IF(ISERROR(SEARCH(MID(";"&amp;'CASE DATA'!$F71&amp;";",ROW($1:$99),1),";")),"",ROW($1:$99)+1),COLUMN(F71)),SMALL(IF(ISERROR(SEARCH(MID(";"&amp;'CASE DATA'!$F71&amp;";",ROW($1:$99),1),";")),"",ROW($1:$99)),COLUMN(F70)+1)-SMALL(IF(ISERROR(SEARCH(MID(";"&amp;'CASE DATA'!$F71&amp;";",ROW($1:$99),1),";")),"",ROW($1:$99)),COLUMN(F70))-1)</f>
        <v/>
      </c>
      <c r="AD71" s="75" t="str" cm="1">
        <f t="array" ref="AD71">MID(";"&amp;'CASE DATA'!$F71&amp;";",SMALL(IF(ISERROR(SEARCH(MID(";"&amp;'CASE DATA'!$F71&amp;";",ROW($1:$99),1),";")),"",ROW($1:$99)+1),COLUMN(G71)),SMALL(IF(ISERROR(SEARCH(MID(";"&amp;'CASE DATA'!$F71&amp;";",ROW($1:$99),1),";")),"",ROW($1:$99)),COLUMN(G70)+1)-SMALL(IF(ISERROR(SEARCH(MID(";"&amp;'CASE DATA'!$F71&amp;";",ROW($1:$99),1),";")),"",ROW($1:$99)),COLUMN(G70))-1)</f>
        <v/>
      </c>
      <c r="AE71" s="75" t="str" cm="1">
        <f t="array" ref="AE71">MID(";"&amp;'CASE DATA'!$F71&amp;";",SMALL(IF(ISERROR(SEARCH(MID(";"&amp;'CASE DATA'!$F71&amp;";",ROW($1:$99),1),";")),"",ROW($1:$99)+1),COLUMN(H71)),SMALL(IF(ISERROR(SEARCH(MID(";"&amp;'CASE DATA'!$F71&amp;";",ROW($1:$99),1),";")),"",ROW($1:$99)),COLUMN(H70)+1)-SMALL(IF(ISERROR(SEARCH(MID(";"&amp;'CASE DATA'!$F71&amp;";",ROW($1:$99),1),";")),"",ROW($1:$99)),COLUMN(H70))-1)</f>
        <v/>
      </c>
      <c r="AF71" s="75" t="str" cm="1">
        <f t="array" ref="AF71">MID(";"&amp;'CASE DATA'!$F71&amp;";",SMALL(IF(ISERROR(SEARCH(MID(";"&amp;'CASE DATA'!$F71&amp;";",ROW($1:$99),1),";")),"",ROW($1:$99)+1),COLUMN(I71)),SMALL(IF(ISERROR(SEARCH(MID(";"&amp;'CASE DATA'!$F71&amp;";",ROW($1:$99),1),";")),"",ROW($1:$99)),COLUMN(I70)+1)-SMALL(IF(ISERROR(SEARCH(MID(";"&amp;'CASE DATA'!$F71&amp;";",ROW($1:$99),1),";")),"",ROW($1:$99)),COLUMN(I70))-1)</f>
        <v/>
      </c>
      <c r="AG71" s="75" t="str" cm="1">
        <f t="array" ref="AG71">MID(";"&amp;'CASE DATA'!$F71&amp;";",SMALL(IF(ISERROR(SEARCH(MID(";"&amp;'CASE DATA'!$F71&amp;";",ROW($1:$99),1),";")),"",ROW($1:$99)+1),COLUMN(K71)),SMALL(IF(ISERROR(SEARCH(MID(";"&amp;'CASE DATA'!$F71&amp;";",ROW($1:$99),1),";")),"",ROW($1:$99)),COLUMN(K70)+1)-SMALL(IF(ISERROR(SEARCH(MID(";"&amp;'CASE DATA'!$F71&amp;";",ROW($1:$99),1),";")),"",ROW($1:$99)),COLUMN(K70))-1)</f>
        <v/>
      </c>
      <c r="AH71" s="75" t="str" cm="1">
        <f t="array" ref="AH71">MID(";"&amp;'CASE DATA'!$F71&amp;";",SMALL(IF(ISERROR(SEARCH(MID(";"&amp;'CASE DATA'!$F71&amp;";",ROW($1:$99),1),";")),"",ROW($1:$99)+1),COLUMN(L71)),SMALL(IF(ISERROR(SEARCH(MID(";"&amp;'CASE DATA'!$F71&amp;";",ROW($1:$99),1),";")),"",ROW($1:$99)),COLUMN(L70)+1)-SMALL(IF(ISERROR(SEARCH(MID(";"&amp;'CASE DATA'!$F71&amp;";",ROW($1:$99),1),";")),"",ROW($1:$99)),COLUMN(L70))-1)</f>
        <v/>
      </c>
      <c r="AI71" s="75" t="str" cm="1">
        <f t="array" ref="AI71">MID(";"&amp;'CASE DATA'!$F71&amp;";",SMALL(IF(ISERROR(SEARCH(MID(";"&amp;'CASE DATA'!$F71&amp;";",ROW($1:$99),1),";")),"",ROW($1:$99)+1),COLUMN(M71)),SMALL(IF(ISERROR(SEARCH(MID(";"&amp;'CASE DATA'!$F71&amp;";",ROW($1:$99),1),";")),"",ROW($1:$99)),COLUMN(M70)+1)-SMALL(IF(ISERROR(SEARCH(MID(";"&amp;'CASE DATA'!$F71&amp;";",ROW($1:$99),1),";")),"",ROW($1:$99)),COLUMN(M70))-1)</f>
        <v/>
      </c>
      <c r="BO71" s="99"/>
      <c r="BP71" s="99"/>
      <c r="BQ71" s="99"/>
      <c r="BR71" s="99"/>
      <c r="BS71" s="99"/>
      <c r="BT71" s="99"/>
      <c r="BU71" s="99"/>
      <c r="BV71" s="99"/>
      <c r="BW71" s="99"/>
      <c r="BX71" s="99"/>
      <c r="BY71" s="99"/>
      <c r="BZ71" s="99"/>
      <c r="CA71" s="99"/>
      <c r="CB71" s="99"/>
      <c r="CC71" s="99"/>
      <c r="CD71" s="99"/>
      <c r="CE71" s="99"/>
      <c r="CF71" s="99"/>
      <c r="CG71" s="99"/>
      <c r="CH71" s="99"/>
      <c r="CI71" s="99"/>
      <c r="CJ71" s="99"/>
      <c r="CK71" s="99"/>
      <c r="CL71" s="99"/>
      <c r="CM71" s="99"/>
      <c r="CN71" s="99"/>
      <c r="CO71" s="99"/>
      <c r="CP71" s="99"/>
      <c r="CQ71" s="99"/>
      <c r="CR71" s="99"/>
      <c r="CS71" s="99"/>
      <c r="CT71" s="99"/>
      <c r="CU71" s="99"/>
      <c r="CV71" s="99"/>
      <c r="CW71" s="99"/>
      <c r="CX71" s="99"/>
      <c r="CY71" s="99"/>
      <c r="CZ71" s="99"/>
      <c r="DA71" s="99"/>
      <c r="DB71" s="99"/>
      <c r="DC71" s="99"/>
      <c r="DD71" s="99"/>
      <c r="DE71" s="99"/>
      <c r="DF71" s="99"/>
      <c r="DG71" s="99"/>
      <c r="DH71" s="99"/>
      <c r="DI71" s="99"/>
      <c r="DJ71" s="99"/>
      <c r="DK71" s="99"/>
      <c r="DL71" s="99"/>
      <c r="DM71" s="99"/>
      <c r="DN71" s="99"/>
      <c r="DO71" s="99"/>
      <c r="DP71" s="99"/>
      <c r="DQ71" s="99"/>
      <c r="DR71" s="99"/>
      <c r="DS71" s="99"/>
      <c r="DT71" s="99"/>
      <c r="DU71" s="99"/>
      <c r="DV71" s="99"/>
      <c r="DW71" s="99"/>
      <c r="DX71" s="99"/>
      <c r="DY71" s="99"/>
      <c r="DZ71" s="99"/>
      <c r="EA71" s="99"/>
      <c r="EB71" s="99"/>
      <c r="EC71" s="99"/>
      <c r="ED71" s="99"/>
      <c r="EE71" s="99"/>
      <c r="EF71" s="99"/>
      <c r="EG71" s="99"/>
      <c r="EH71" s="99"/>
      <c r="EI71" s="99"/>
      <c r="EJ71" s="99"/>
      <c r="EK71" s="99"/>
      <c r="EL71" s="99"/>
      <c r="EM71" s="99"/>
      <c r="EN71" s="99"/>
      <c r="EO71" s="99"/>
      <c r="EP71" s="99"/>
      <c r="EQ71" s="99"/>
      <c r="ER71" s="99"/>
      <c r="ES71" s="99"/>
      <c r="ET71" s="99"/>
      <c r="EU71" s="99"/>
      <c r="EV71" s="99"/>
      <c r="EW71" s="99"/>
      <c r="EX71" s="99"/>
      <c r="EY71" s="99"/>
      <c r="EZ71" s="99"/>
      <c r="FA71" s="99"/>
      <c r="FB71" s="99"/>
      <c r="FC71" s="99"/>
      <c r="FD71" s="99"/>
      <c r="FE71" s="99"/>
      <c r="FF71" s="99"/>
      <c r="FG71" s="99"/>
      <c r="FH71" s="99"/>
      <c r="FI71" s="99"/>
      <c r="FJ71" s="99"/>
      <c r="FK71" s="99"/>
    </row>
    <row r="72" spans="1:167" s="70" customFormat="1" x14ac:dyDescent="0.25">
      <c r="A72"/>
      <c r="B72"/>
      <c r="C72" s="10"/>
      <c r="D72" s="10"/>
      <c r="E72" s="11"/>
      <c r="F72" s="15"/>
      <c r="G72"/>
      <c r="H72" s="99"/>
      <c r="I72" s="99"/>
      <c r="J72" s="99">
        <v>69</v>
      </c>
      <c r="K72" s="16"/>
      <c r="L72" s="16"/>
      <c r="M72" s="16"/>
      <c r="N72" s="16"/>
      <c r="O72" s="16"/>
      <c r="P72" s="16"/>
      <c r="Q72" s="16"/>
      <c r="R72" s="16"/>
      <c r="S72" s="16"/>
      <c r="T72" s="16"/>
      <c r="U72" s="73">
        <f>SUM(K72:T72)</f>
        <v>0</v>
      </c>
      <c r="V72" s="73"/>
      <c r="W72"/>
      <c r="X72" s="75" t="str" cm="1">
        <f t="array" ref="X72">MID(";"&amp;'CASE DATA'!$F72&amp;";",SMALL(IF(ISERROR(SEARCH(MID(";"&amp;'CASE DATA'!$F72&amp;";",ROW($1:$99),1),";")),"",ROW($1:$99)+1),COLUMN(A72)),SMALL(IF(ISERROR(SEARCH(MID(";"&amp;'CASE DATA'!$F72&amp;";",ROW($1:$99),1),";")),"",ROW($1:$99)),COLUMN(A71)+1)-SMALL(IF(ISERROR(SEARCH(MID(";"&amp;'CASE DATA'!$F72&amp;";",ROW($1:$99),1),";")),"",ROW($1:$99)),COLUMN(A71))-1)</f>
        <v/>
      </c>
      <c r="Y72" s="75" t="str" cm="1">
        <f t="array" ref="Y72">MID(";"&amp;'CASE DATA'!$F72&amp;";",SMALL(IF(ISERROR(SEARCH(MID(";"&amp;'CASE DATA'!$F72&amp;";",ROW($1:$99),1),";")),"",ROW($1:$99)+1),COLUMN(B72)),SMALL(IF(ISERROR(SEARCH(MID(";"&amp;'CASE DATA'!$F72&amp;";",ROW($1:$99),1),";")),"",ROW($1:$99)),COLUMN(B71)+1)-SMALL(IF(ISERROR(SEARCH(MID(";"&amp;'CASE DATA'!$F72&amp;";",ROW($1:$99),1),";")),"",ROW($1:$99)),COLUMN(B71))-1)</f>
        <v/>
      </c>
      <c r="Z72" s="75" t="str" cm="1">
        <f t="array" ref="Z72">MID(";"&amp;'CASE DATA'!$F72&amp;";",SMALL(IF(ISERROR(SEARCH(MID(";"&amp;'CASE DATA'!$F72&amp;";",ROW($1:$99),1),";")),"",ROW($1:$99)+1),COLUMN(C72)),SMALL(IF(ISERROR(SEARCH(MID(";"&amp;'CASE DATA'!$F72&amp;";",ROW($1:$99),1),";")),"",ROW($1:$99)),COLUMN(C71)+1)-SMALL(IF(ISERROR(SEARCH(MID(";"&amp;'CASE DATA'!$F72&amp;";",ROW($1:$99),1),";")),"",ROW($1:$99)),COLUMN(C71))-1)</f>
        <v/>
      </c>
      <c r="AA72" s="75" t="str" cm="1">
        <f t="array" ref="AA72">MID(";"&amp;'CASE DATA'!$F72&amp;";",SMALL(IF(ISERROR(SEARCH(MID(";"&amp;'CASE DATA'!$F72&amp;";",ROW($1:$99),1),";")),"",ROW($1:$99)+1),COLUMN(D72)),SMALL(IF(ISERROR(SEARCH(MID(";"&amp;'CASE DATA'!$F72&amp;";",ROW($1:$99),1),";")),"",ROW($1:$99)),COLUMN(D71)+1)-SMALL(IF(ISERROR(SEARCH(MID(";"&amp;'CASE DATA'!$F72&amp;";",ROW($1:$99),1),";")),"",ROW($1:$99)),COLUMN(D71))-1)</f>
        <v/>
      </c>
      <c r="AB72" s="75" t="str" cm="1">
        <f t="array" ref="AB72">MID(";"&amp;'CASE DATA'!$F72&amp;";",SMALL(IF(ISERROR(SEARCH(MID(";"&amp;'CASE DATA'!$F72&amp;";",ROW($1:$99),1),";")),"",ROW($1:$99)+1),COLUMN(E72)),SMALL(IF(ISERROR(SEARCH(MID(";"&amp;'CASE DATA'!$F72&amp;";",ROW($1:$99),1),";")),"",ROW($1:$99)),COLUMN(E71)+1)-SMALL(IF(ISERROR(SEARCH(MID(";"&amp;'CASE DATA'!$F72&amp;";",ROW($1:$99),1),";")),"",ROW($1:$99)),COLUMN(E71))-1)</f>
        <v/>
      </c>
      <c r="AC72" s="75" t="str" cm="1">
        <f t="array" ref="AC72">MID(";"&amp;'CASE DATA'!$F72&amp;";",SMALL(IF(ISERROR(SEARCH(MID(";"&amp;'CASE DATA'!$F72&amp;";",ROW($1:$99),1),";")),"",ROW($1:$99)+1),COLUMN(F72)),SMALL(IF(ISERROR(SEARCH(MID(";"&amp;'CASE DATA'!$F72&amp;";",ROW($1:$99),1),";")),"",ROW($1:$99)),COLUMN(F71)+1)-SMALL(IF(ISERROR(SEARCH(MID(";"&amp;'CASE DATA'!$F72&amp;";",ROW($1:$99),1),";")),"",ROW($1:$99)),COLUMN(F71))-1)</f>
        <v/>
      </c>
      <c r="AD72" s="75" t="str" cm="1">
        <f t="array" ref="AD72">MID(";"&amp;'CASE DATA'!$F72&amp;";",SMALL(IF(ISERROR(SEARCH(MID(";"&amp;'CASE DATA'!$F72&amp;";",ROW($1:$99),1),";")),"",ROW($1:$99)+1),COLUMN(G72)),SMALL(IF(ISERROR(SEARCH(MID(";"&amp;'CASE DATA'!$F72&amp;";",ROW($1:$99),1),";")),"",ROW($1:$99)),COLUMN(G71)+1)-SMALL(IF(ISERROR(SEARCH(MID(";"&amp;'CASE DATA'!$F72&amp;";",ROW($1:$99),1),";")),"",ROW($1:$99)),COLUMN(G71))-1)</f>
        <v/>
      </c>
      <c r="AE72" s="75" t="str" cm="1">
        <f t="array" ref="AE72">MID(";"&amp;'CASE DATA'!$F72&amp;";",SMALL(IF(ISERROR(SEARCH(MID(";"&amp;'CASE DATA'!$F72&amp;";",ROW($1:$99),1),";")),"",ROW($1:$99)+1),COLUMN(H72)),SMALL(IF(ISERROR(SEARCH(MID(";"&amp;'CASE DATA'!$F72&amp;";",ROW($1:$99),1),";")),"",ROW($1:$99)),COLUMN(H71)+1)-SMALL(IF(ISERROR(SEARCH(MID(";"&amp;'CASE DATA'!$F72&amp;";",ROW($1:$99),1),";")),"",ROW($1:$99)),COLUMN(H71))-1)</f>
        <v/>
      </c>
      <c r="AF72" s="75" t="str" cm="1">
        <f t="array" ref="AF72">MID(";"&amp;'CASE DATA'!$F72&amp;";",SMALL(IF(ISERROR(SEARCH(MID(";"&amp;'CASE DATA'!$F72&amp;";",ROW($1:$99),1),";")),"",ROW($1:$99)+1),COLUMN(I72)),SMALL(IF(ISERROR(SEARCH(MID(";"&amp;'CASE DATA'!$F72&amp;";",ROW($1:$99),1),";")),"",ROW($1:$99)),COLUMN(I71)+1)-SMALL(IF(ISERROR(SEARCH(MID(";"&amp;'CASE DATA'!$F72&amp;";",ROW($1:$99),1),";")),"",ROW($1:$99)),COLUMN(I71))-1)</f>
        <v/>
      </c>
      <c r="AG72" s="75" t="str" cm="1">
        <f t="array" ref="AG72">MID(";"&amp;'CASE DATA'!$F72&amp;";",SMALL(IF(ISERROR(SEARCH(MID(";"&amp;'CASE DATA'!$F72&amp;";",ROW($1:$99),1),";")),"",ROW($1:$99)+1),COLUMN(K72)),SMALL(IF(ISERROR(SEARCH(MID(";"&amp;'CASE DATA'!$F72&amp;";",ROW($1:$99),1),";")),"",ROW($1:$99)),COLUMN(K71)+1)-SMALL(IF(ISERROR(SEARCH(MID(";"&amp;'CASE DATA'!$F72&amp;";",ROW($1:$99),1),";")),"",ROW($1:$99)),COLUMN(K71))-1)</f>
        <v/>
      </c>
      <c r="AH72" s="75" t="str" cm="1">
        <f t="array" ref="AH72">MID(";"&amp;'CASE DATA'!$F72&amp;";",SMALL(IF(ISERROR(SEARCH(MID(";"&amp;'CASE DATA'!$F72&amp;";",ROW($1:$99),1),";")),"",ROW($1:$99)+1),COLUMN(L72)),SMALL(IF(ISERROR(SEARCH(MID(";"&amp;'CASE DATA'!$F72&amp;";",ROW($1:$99),1),";")),"",ROW($1:$99)),COLUMN(L71)+1)-SMALL(IF(ISERROR(SEARCH(MID(";"&amp;'CASE DATA'!$F72&amp;";",ROW($1:$99),1),";")),"",ROW($1:$99)),COLUMN(L71))-1)</f>
        <v/>
      </c>
      <c r="AI72" s="75" t="str" cm="1">
        <f t="array" ref="AI72">MID(";"&amp;'CASE DATA'!$F72&amp;";",SMALL(IF(ISERROR(SEARCH(MID(";"&amp;'CASE DATA'!$F72&amp;";",ROW($1:$99),1),";")),"",ROW($1:$99)+1),COLUMN(M72)),SMALL(IF(ISERROR(SEARCH(MID(";"&amp;'CASE DATA'!$F72&amp;";",ROW($1:$99),1),";")),"",ROW($1:$99)),COLUMN(M71)+1)-SMALL(IF(ISERROR(SEARCH(MID(";"&amp;'CASE DATA'!$F72&amp;";",ROW($1:$99),1),";")),"",ROW($1:$99)),COLUMN(M71))-1)</f>
        <v/>
      </c>
      <c r="AJ72"/>
      <c r="AK72"/>
      <c r="AL72"/>
      <c r="AM72"/>
      <c r="AN72"/>
      <c r="AO72"/>
      <c r="AP72"/>
      <c r="AQ72"/>
      <c r="AR72"/>
      <c r="AS72"/>
      <c r="AT72"/>
      <c r="AU72"/>
      <c r="AV72"/>
      <c r="AW72"/>
      <c r="AX72"/>
      <c r="AY72"/>
      <c r="AZ72"/>
      <c r="BA72"/>
      <c r="BB72"/>
      <c r="BC72"/>
      <c r="BD72"/>
      <c r="BE72"/>
      <c r="BF72"/>
      <c r="BG72"/>
      <c r="BH72"/>
      <c r="BI72"/>
      <c r="BJ72"/>
      <c r="BK72"/>
      <c r="BL72"/>
      <c r="BM72"/>
      <c r="BN72"/>
      <c r="BO72" s="99"/>
      <c r="BP72" s="99"/>
      <c r="BQ72" s="99"/>
      <c r="BR72" s="99"/>
      <c r="BS72" s="99"/>
      <c r="BT72" s="99"/>
      <c r="BU72" s="99"/>
      <c r="BV72" s="99"/>
      <c r="BW72" s="99"/>
      <c r="BX72" s="99"/>
      <c r="BY72" s="99"/>
      <c r="BZ72" s="99"/>
      <c r="CA72" s="99"/>
      <c r="CB72" s="99"/>
      <c r="CC72" s="99"/>
      <c r="CD72" s="99"/>
      <c r="CE72" s="99"/>
      <c r="CF72" s="99"/>
      <c r="CG72" s="99"/>
      <c r="CH72" s="99"/>
      <c r="CI72" s="99"/>
      <c r="CJ72" s="99"/>
      <c r="CK72" s="99"/>
      <c r="CL72" s="99"/>
      <c r="CM72" s="99"/>
      <c r="CN72" s="99"/>
      <c r="CO72" s="99"/>
      <c r="CP72" s="99"/>
      <c r="CQ72" s="99"/>
      <c r="CR72" s="99"/>
      <c r="CS72" s="99"/>
      <c r="CT72" s="99"/>
      <c r="CU72" s="99"/>
      <c r="CV72" s="99"/>
      <c r="CW72" s="99"/>
      <c r="CX72" s="99"/>
      <c r="CY72" s="99"/>
      <c r="CZ72" s="99"/>
      <c r="DA72" s="99"/>
      <c r="DB72" s="99"/>
      <c r="DC72" s="99"/>
      <c r="DD72" s="99"/>
      <c r="DE72" s="99"/>
      <c r="DF72" s="99"/>
      <c r="DG72" s="99"/>
      <c r="DH72" s="99"/>
      <c r="DI72" s="99"/>
      <c r="DJ72" s="99"/>
      <c r="DK72" s="99"/>
      <c r="DL72" s="99"/>
      <c r="DM72" s="99"/>
      <c r="DN72" s="99"/>
      <c r="DO72" s="99"/>
      <c r="DP72" s="99"/>
      <c r="DQ72" s="99"/>
      <c r="DR72" s="99"/>
      <c r="DS72" s="99"/>
      <c r="DT72" s="99"/>
      <c r="DU72" s="99"/>
      <c r="DV72" s="99"/>
      <c r="DW72" s="99"/>
      <c r="DX72" s="99"/>
      <c r="DY72" s="99"/>
      <c r="DZ72" s="99"/>
      <c r="EA72" s="99"/>
      <c r="EB72" s="99"/>
      <c r="EC72" s="99"/>
      <c r="ED72" s="99"/>
      <c r="EE72" s="99"/>
      <c r="EF72" s="99"/>
      <c r="EG72" s="99"/>
      <c r="EH72" s="99"/>
      <c r="EI72" s="99"/>
      <c r="EJ72" s="99"/>
      <c r="EK72" s="99"/>
      <c r="EL72" s="99"/>
      <c r="EM72" s="99"/>
      <c r="EN72" s="99"/>
      <c r="EO72" s="99"/>
      <c r="EP72" s="99"/>
      <c r="EQ72" s="99"/>
      <c r="ER72" s="99"/>
      <c r="ES72" s="99"/>
      <c r="ET72" s="99"/>
      <c r="EU72" s="99"/>
      <c r="EV72" s="99"/>
      <c r="EW72" s="99"/>
      <c r="EX72" s="99"/>
      <c r="EY72" s="99"/>
      <c r="EZ72" s="99"/>
      <c r="FA72" s="99"/>
      <c r="FB72" s="99"/>
      <c r="FC72" s="99"/>
      <c r="FD72" s="99"/>
      <c r="FE72" s="99"/>
      <c r="FF72" s="99"/>
      <c r="FG72" s="99"/>
      <c r="FH72" s="99"/>
      <c r="FI72" s="99"/>
      <c r="FJ72" s="99"/>
      <c r="FK72" s="99"/>
    </row>
    <row r="73" spans="1:167" s="70" customFormat="1" x14ac:dyDescent="0.25">
      <c r="A73"/>
      <c r="B73"/>
      <c r="C73" s="10"/>
      <c r="D73" s="10"/>
      <c r="E73" s="11"/>
      <c r="F73" s="15"/>
      <c r="G73"/>
      <c r="H73" s="99"/>
      <c r="I73" s="99"/>
      <c r="J73" s="99">
        <v>70</v>
      </c>
      <c r="K73" s="16"/>
      <c r="L73" s="16"/>
      <c r="M73" s="16"/>
      <c r="N73" s="16"/>
      <c r="O73" s="16"/>
      <c r="P73" s="16"/>
      <c r="Q73" s="16"/>
      <c r="R73" s="16"/>
      <c r="S73" s="16"/>
      <c r="T73" s="16"/>
      <c r="U73" s="73">
        <f>SUM(K73:T73)</f>
        <v>0</v>
      </c>
      <c r="V73" s="73"/>
      <c r="W73"/>
      <c r="X73" s="75" t="str" cm="1">
        <f t="array" ref="X73">MID(";"&amp;'CASE DATA'!$F73&amp;";",SMALL(IF(ISERROR(SEARCH(MID(";"&amp;'CASE DATA'!$F73&amp;";",ROW($1:$99),1),";")),"",ROW($1:$99)+1),COLUMN(A73)),SMALL(IF(ISERROR(SEARCH(MID(";"&amp;'CASE DATA'!$F73&amp;";",ROW($1:$99),1),";")),"",ROW($1:$99)),COLUMN(A72)+1)-SMALL(IF(ISERROR(SEARCH(MID(";"&amp;'CASE DATA'!$F73&amp;";",ROW($1:$99),1),";")),"",ROW($1:$99)),COLUMN(A72))-1)</f>
        <v/>
      </c>
      <c r="Y73" s="75" t="str" cm="1">
        <f t="array" ref="Y73">MID(";"&amp;'CASE DATA'!$F73&amp;";",SMALL(IF(ISERROR(SEARCH(MID(";"&amp;'CASE DATA'!$F73&amp;";",ROW($1:$99),1),";")),"",ROW($1:$99)+1),COLUMN(B73)),SMALL(IF(ISERROR(SEARCH(MID(";"&amp;'CASE DATA'!$F73&amp;";",ROW($1:$99),1),";")),"",ROW($1:$99)),COLUMN(B72)+1)-SMALL(IF(ISERROR(SEARCH(MID(";"&amp;'CASE DATA'!$F73&amp;";",ROW($1:$99),1),";")),"",ROW($1:$99)),COLUMN(B72))-1)</f>
        <v/>
      </c>
      <c r="Z73" s="75" t="str" cm="1">
        <f t="array" ref="Z73">MID(";"&amp;'CASE DATA'!$F73&amp;";",SMALL(IF(ISERROR(SEARCH(MID(";"&amp;'CASE DATA'!$F73&amp;";",ROW($1:$99),1),";")),"",ROW($1:$99)+1),COLUMN(C73)),SMALL(IF(ISERROR(SEARCH(MID(";"&amp;'CASE DATA'!$F73&amp;";",ROW($1:$99),1),";")),"",ROW($1:$99)),COLUMN(C72)+1)-SMALL(IF(ISERROR(SEARCH(MID(";"&amp;'CASE DATA'!$F73&amp;";",ROW($1:$99),1),";")),"",ROW($1:$99)),COLUMN(C72))-1)</f>
        <v/>
      </c>
      <c r="AA73" s="75" t="str" cm="1">
        <f t="array" ref="AA73">MID(";"&amp;'CASE DATA'!$F73&amp;";",SMALL(IF(ISERROR(SEARCH(MID(";"&amp;'CASE DATA'!$F73&amp;";",ROW($1:$99),1),";")),"",ROW($1:$99)+1),COLUMN(D73)),SMALL(IF(ISERROR(SEARCH(MID(";"&amp;'CASE DATA'!$F73&amp;";",ROW($1:$99),1),";")),"",ROW($1:$99)),COLUMN(D72)+1)-SMALL(IF(ISERROR(SEARCH(MID(";"&amp;'CASE DATA'!$F73&amp;";",ROW($1:$99),1),";")),"",ROW($1:$99)),COLUMN(D72))-1)</f>
        <v/>
      </c>
      <c r="AB73" s="75" t="str" cm="1">
        <f t="array" ref="AB73">MID(";"&amp;'CASE DATA'!$F73&amp;";",SMALL(IF(ISERROR(SEARCH(MID(";"&amp;'CASE DATA'!$F73&amp;";",ROW($1:$99),1),";")),"",ROW($1:$99)+1),COLUMN(E73)),SMALL(IF(ISERROR(SEARCH(MID(";"&amp;'CASE DATA'!$F73&amp;";",ROW($1:$99),1),";")),"",ROW($1:$99)),COLUMN(E72)+1)-SMALL(IF(ISERROR(SEARCH(MID(";"&amp;'CASE DATA'!$F73&amp;";",ROW($1:$99),1),";")),"",ROW($1:$99)),COLUMN(E72))-1)</f>
        <v/>
      </c>
      <c r="AC73" s="75" t="str" cm="1">
        <f t="array" ref="AC73">MID(";"&amp;'CASE DATA'!$F73&amp;";",SMALL(IF(ISERROR(SEARCH(MID(";"&amp;'CASE DATA'!$F73&amp;";",ROW($1:$99),1),";")),"",ROW($1:$99)+1),COLUMN(F73)),SMALL(IF(ISERROR(SEARCH(MID(";"&amp;'CASE DATA'!$F73&amp;";",ROW($1:$99),1),";")),"",ROW($1:$99)),COLUMN(F72)+1)-SMALL(IF(ISERROR(SEARCH(MID(";"&amp;'CASE DATA'!$F73&amp;";",ROW($1:$99),1),";")),"",ROW($1:$99)),COLUMN(F72))-1)</f>
        <v/>
      </c>
      <c r="AD73" s="75" t="str" cm="1">
        <f t="array" ref="AD73">MID(";"&amp;'CASE DATA'!$F73&amp;";",SMALL(IF(ISERROR(SEARCH(MID(";"&amp;'CASE DATA'!$F73&amp;";",ROW($1:$99),1),";")),"",ROW($1:$99)+1),COLUMN(G73)),SMALL(IF(ISERROR(SEARCH(MID(";"&amp;'CASE DATA'!$F73&amp;";",ROW($1:$99),1),";")),"",ROW($1:$99)),COLUMN(G72)+1)-SMALL(IF(ISERROR(SEARCH(MID(";"&amp;'CASE DATA'!$F73&amp;";",ROW($1:$99),1),";")),"",ROW($1:$99)),COLUMN(G72))-1)</f>
        <v/>
      </c>
      <c r="AE73" s="75" t="str" cm="1">
        <f t="array" ref="AE73">MID(";"&amp;'CASE DATA'!$F73&amp;";",SMALL(IF(ISERROR(SEARCH(MID(";"&amp;'CASE DATA'!$F73&amp;";",ROW($1:$99),1),";")),"",ROW($1:$99)+1),COLUMN(H73)),SMALL(IF(ISERROR(SEARCH(MID(";"&amp;'CASE DATA'!$F73&amp;";",ROW($1:$99),1),";")),"",ROW($1:$99)),COLUMN(H72)+1)-SMALL(IF(ISERROR(SEARCH(MID(";"&amp;'CASE DATA'!$F73&amp;";",ROW($1:$99),1),";")),"",ROW($1:$99)),COLUMN(H72))-1)</f>
        <v/>
      </c>
      <c r="AF73" s="75" t="str" cm="1">
        <f t="array" ref="AF73">MID(";"&amp;'CASE DATA'!$F73&amp;";",SMALL(IF(ISERROR(SEARCH(MID(";"&amp;'CASE DATA'!$F73&amp;";",ROW($1:$99),1),";")),"",ROW($1:$99)+1),COLUMN(I73)),SMALL(IF(ISERROR(SEARCH(MID(";"&amp;'CASE DATA'!$F73&amp;";",ROW($1:$99),1),";")),"",ROW($1:$99)),COLUMN(I72)+1)-SMALL(IF(ISERROR(SEARCH(MID(";"&amp;'CASE DATA'!$F73&amp;";",ROW($1:$99),1),";")),"",ROW($1:$99)),COLUMN(I72))-1)</f>
        <v/>
      </c>
      <c r="AG73" s="75" t="str" cm="1">
        <f t="array" ref="AG73">MID(";"&amp;'CASE DATA'!$F73&amp;";",SMALL(IF(ISERROR(SEARCH(MID(";"&amp;'CASE DATA'!$F73&amp;";",ROW($1:$99),1),";")),"",ROW($1:$99)+1),COLUMN(K73)),SMALL(IF(ISERROR(SEARCH(MID(";"&amp;'CASE DATA'!$F73&amp;";",ROW($1:$99),1),";")),"",ROW($1:$99)),COLUMN(K72)+1)-SMALL(IF(ISERROR(SEARCH(MID(";"&amp;'CASE DATA'!$F73&amp;";",ROW($1:$99),1),";")),"",ROW($1:$99)),COLUMN(K72))-1)</f>
        <v/>
      </c>
      <c r="AH73" s="75" t="str" cm="1">
        <f t="array" ref="AH73">MID(";"&amp;'CASE DATA'!$F73&amp;";",SMALL(IF(ISERROR(SEARCH(MID(";"&amp;'CASE DATA'!$F73&amp;";",ROW($1:$99),1),";")),"",ROW($1:$99)+1),COLUMN(L73)),SMALL(IF(ISERROR(SEARCH(MID(";"&amp;'CASE DATA'!$F73&amp;";",ROW($1:$99),1),";")),"",ROW($1:$99)),COLUMN(L72)+1)-SMALL(IF(ISERROR(SEARCH(MID(";"&amp;'CASE DATA'!$F73&amp;";",ROW($1:$99),1),";")),"",ROW($1:$99)),COLUMN(L72))-1)</f>
        <v/>
      </c>
      <c r="AI73" s="75" t="str" cm="1">
        <f t="array" ref="AI73">MID(";"&amp;'CASE DATA'!$F73&amp;";",SMALL(IF(ISERROR(SEARCH(MID(";"&amp;'CASE DATA'!$F73&amp;";",ROW($1:$99),1),";")),"",ROW($1:$99)+1),COLUMN(M73)),SMALL(IF(ISERROR(SEARCH(MID(";"&amp;'CASE DATA'!$F73&amp;";",ROW($1:$99),1),";")),"",ROW($1:$99)),COLUMN(M72)+1)-SMALL(IF(ISERROR(SEARCH(MID(";"&amp;'CASE DATA'!$F73&amp;";",ROW($1:$99),1),";")),"",ROW($1:$99)),COLUMN(M72))-1)</f>
        <v/>
      </c>
      <c r="AJ73"/>
      <c r="AK73"/>
      <c r="AL73"/>
      <c r="AM73"/>
      <c r="AN73"/>
      <c r="AO73"/>
      <c r="AP73"/>
      <c r="AQ73"/>
      <c r="AR73"/>
      <c r="AS73"/>
      <c r="AT73"/>
      <c r="AU73"/>
      <c r="AV73"/>
      <c r="AW73"/>
      <c r="AX73"/>
      <c r="AY73"/>
      <c r="AZ73"/>
      <c r="BA73"/>
      <c r="BB73"/>
      <c r="BC73"/>
      <c r="BD73"/>
      <c r="BE73"/>
      <c r="BF73"/>
      <c r="BG73"/>
      <c r="BH73"/>
      <c r="BI73"/>
      <c r="BJ73"/>
      <c r="BK73"/>
      <c r="BL73"/>
      <c r="BM73"/>
      <c r="BN73"/>
      <c r="BO73" s="99"/>
      <c r="BP73" s="99"/>
      <c r="BQ73" s="99"/>
      <c r="BR73" s="99"/>
      <c r="BS73" s="99"/>
      <c r="BT73" s="99"/>
      <c r="BU73" s="99"/>
      <c r="BV73" s="99"/>
      <c r="BW73" s="99"/>
      <c r="BX73" s="99"/>
      <c r="BY73" s="99"/>
      <c r="BZ73" s="99"/>
      <c r="CA73" s="99"/>
      <c r="CB73" s="99"/>
      <c r="CC73" s="99"/>
      <c r="CD73" s="99"/>
      <c r="CE73" s="99"/>
      <c r="CF73" s="99"/>
      <c r="CG73" s="99"/>
      <c r="CH73" s="99"/>
      <c r="CI73" s="99"/>
      <c r="CJ73" s="99"/>
      <c r="CK73" s="99"/>
      <c r="CL73" s="99"/>
      <c r="CM73" s="99"/>
      <c r="CN73" s="99"/>
      <c r="CO73" s="99"/>
      <c r="CP73" s="99"/>
      <c r="CQ73" s="99"/>
      <c r="CR73" s="99"/>
      <c r="CS73" s="99"/>
      <c r="CT73" s="99"/>
      <c r="CU73" s="99"/>
      <c r="CV73" s="99"/>
      <c r="CW73" s="99"/>
      <c r="CX73" s="99"/>
      <c r="CY73" s="99"/>
      <c r="CZ73" s="99"/>
      <c r="DA73" s="99"/>
      <c r="DB73" s="99"/>
      <c r="DC73" s="99"/>
      <c r="DD73" s="99"/>
      <c r="DE73" s="99"/>
      <c r="DF73" s="99"/>
      <c r="DG73" s="99"/>
      <c r="DH73" s="99"/>
      <c r="DI73" s="99"/>
      <c r="DJ73" s="99"/>
      <c r="DK73" s="99"/>
      <c r="DL73" s="99"/>
      <c r="DM73" s="99"/>
      <c r="DN73" s="99"/>
      <c r="DO73" s="99"/>
      <c r="DP73" s="99"/>
      <c r="DQ73" s="99"/>
      <c r="DR73" s="99"/>
      <c r="DS73" s="99"/>
      <c r="DT73" s="99"/>
      <c r="DU73" s="99"/>
      <c r="DV73" s="99"/>
      <c r="DW73" s="99"/>
      <c r="DX73" s="99"/>
      <c r="DY73" s="99"/>
      <c r="DZ73" s="99"/>
      <c r="EA73" s="99"/>
      <c r="EB73" s="99"/>
      <c r="EC73" s="99"/>
      <c r="ED73" s="99"/>
      <c r="EE73" s="99"/>
      <c r="EF73" s="99"/>
      <c r="EG73" s="99"/>
      <c r="EH73" s="99"/>
      <c r="EI73" s="99"/>
      <c r="EJ73" s="99"/>
      <c r="EK73" s="99"/>
      <c r="EL73" s="99"/>
      <c r="EM73" s="99"/>
      <c r="EN73" s="99"/>
      <c r="EO73" s="99"/>
      <c r="EP73" s="99"/>
      <c r="EQ73" s="99"/>
      <c r="ER73" s="99"/>
      <c r="ES73" s="99"/>
      <c r="ET73" s="99"/>
      <c r="EU73" s="99"/>
      <c r="EV73" s="99"/>
      <c r="EW73" s="99"/>
      <c r="EX73" s="99"/>
      <c r="EY73" s="99"/>
      <c r="EZ73" s="99"/>
      <c r="FA73" s="99"/>
      <c r="FB73" s="99"/>
      <c r="FC73" s="99"/>
      <c r="FD73" s="99"/>
      <c r="FE73" s="99"/>
      <c r="FF73" s="99"/>
      <c r="FG73" s="99"/>
      <c r="FH73" s="99"/>
      <c r="FI73" s="99"/>
      <c r="FJ73" s="99"/>
      <c r="FK73" s="99"/>
    </row>
    <row r="74" spans="1:167" s="70" customFormat="1" x14ac:dyDescent="0.25">
      <c r="A74" s="11"/>
      <c r="B74"/>
      <c r="C74" s="10"/>
      <c r="D74" s="10"/>
      <c r="E74" s="11"/>
      <c r="F74" s="15"/>
      <c r="G74"/>
      <c r="H74" s="99"/>
      <c r="I74" s="99"/>
      <c r="J74" s="99">
        <v>71</v>
      </c>
      <c r="K74" s="16"/>
      <c r="L74" s="16"/>
      <c r="M74" s="16"/>
      <c r="N74" s="16"/>
      <c r="O74" s="16"/>
      <c r="P74" s="16"/>
      <c r="Q74" s="16"/>
      <c r="R74" s="16"/>
      <c r="S74" s="16"/>
      <c r="T74" s="16"/>
      <c r="U74" s="73">
        <f>SUM(K74:T74)</f>
        <v>0</v>
      </c>
      <c r="V74" s="73"/>
      <c r="W74"/>
      <c r="X74" s="75" t="str" cm="1">
        <f t="array" ref="X74">MID(";"&amp;'CASE DATA'!$F74&amp;";",SMALL(IF(ISERROR(SEARCH(MID(";"&amp;'CASE DATA'!$F74&amp;";",ROW($1:$99),1),";")),"",ROW($1:$99)+1),COLUMN(A74)),SMALL(IF(ISERROR(SEARCH(MID(";"&amp;'CASE DATA'!$F74&amp;";",ROW($1:$99),1),";")),"",ROW($1:$99)),COLUMN(A73)+1)-SMALL(IF(ISERROR(SEARCH(MID(";"&amp;'CASE DATA'!$F74&amp;";",ROW($1:$99),1),";")),"",ROW($1:$99)),COLUMN(A73))-1)</f>
        <v/>
      </c>
      <c r="Y74" s="75" t="str" cm="1">
        <f t="array" ref="Y74">MID(";"&amp;'CASE DATA'!$F74&amp;";",SMALL(IF(ISERROR(SEARCH(MID(";"&amp;'CASE DATA'!$F74&amp;";",ROW($1:$99),1),";")),"",ROW($1:$99)+1),COLUMN(B74)),SMALL(IF(ISERROR(SEARCH(MID(";"&amp;'CASE DATA'!$F74&amp;";",ROW($1:$99),1),";")),"",ROW($1:$99)),COLUMN(B73)+1)-SMALL(IF(ISERROR(SEARCH(MID(";"&amp;'CASE DATA'!$F74&amp;";",ROW($1:$99),1),";")),"",ROW($1:$99)),COLUMN(B73))-1)</f>
        <v/>
      </c>
      <c r="Z74" s="75" t="str" cm="1">
        <f t="array" ref="Z74">MID(";"&amp;'CASE DATA'!$F74&amp;";",SMALL(IF(ISERROR(SEARCH(MID(";"&amp;'CASE DATA'!$F74&amp;";",ROW($1:$99),1),";")),"",ROW($1:$99)+1),COLUMN(C74)),SMALL(IF(ISERROR(SEARCH(MID(";"&amp;'CASE DATA'!$F74&amp;";",ROW($1:$99),1),";")),"",ROW($1:$99)),COLUMN(C73)+1)-SMALL(IF(ISERROR(SEARCH(MID(";"&amp;'CASE DATA'!$F74&amp;";",ROW($1:$99),1),";")),"",ROW($1:$99)),COLUMN(C73))-1)</f>
        <v/>
      </c>
      <c r="AA74" s="75" t="str" cm="1">
        <f t="array" ref="AA74">MID(";"&amp;'CASE DATA'!$F74&amp;";",SMALL(IF(ISERROR(SEARCH(MID(";"&amp;'CASE DATA'!$F74&amp;";",ROW($1:$99),1),";")),"",ROW($1:$99)+1),COLUMN(D74)),SMALL(IF(ISERROR(SEARCH(MID(";"&amp;'CASE DATA'!$F74&amp;";",ROW($1:$99),1),";")),"",ROW($1:$99)),COLUMN(D73)+1)-SMALL(IF(ISERROR(SEARCH(MID(";"&amp;'CASE DATA'!$F74&amp;";",ROW($1:$99),1),";")),"",ROW($1:$99)),COLUMN(D73))-1)</f>
        <v/>
      </c>
      <c r="AB74" s="75" t="str" cm="1">
        <f t="array" ref="AB74">MID(";"&amp;'CASE DATA'!$F74&amp;";",SMALL(IF(ISERROR(SEARCH(MID(";"&amp;'CASE DATA'!$F74&amp;";",ROW($1:$99),1),";")),"",ROW($1:$99)+1),COLUMN(E74)),SMALL(IF(ISERROR(SEARCH(MID(";"&amp;'CASE DATA'!$F74&amp;";",ROW($1:$99),1),";")),"",ROW($1:$99)),COLUMN(E73)+1)-SMALL(IF(ISERROR(SEARCH(MID(";"&amp;'CASE DATA'!$F74&amp;";",ROW($1:$99),1),";")),"",ROW($1:$99)),COLUMN(E73))-1)</f>
        <v/>
      </c>
      <c r="AC74" s="75" t="str" cm="1">
        <f t="array" ref="AC74">MID(";"&amp;'CASE DATA'!$F74&amp;";",SMALL(IF(ISERROR(SEARCH(MID(";"&amp;'CASE DATA'!$F74&amp;";",ROW($1:$99),1),";")),"",ROW($1:$99)+1),COLUMN(F74)),SMALL(IF(ISERROR(SEARCH(MID(";"&amp;'CASE DATA'!$F74&amp;";",ROW($1:$99),1),";")),"",ROW($1:$99)),COLUMN(F73)+1)-SMALL(IF(ISERROR(SEARCH(MID(";"&amp;'CASE DATA'!$F74&amp;";",ROW($1:$99),1),";")),"",ROW($1:$99)),COLUMN(F73))-1)</f>
        <v/>
      </c>
      <c r="AD74" s="75" t="str" cm="1">
        <f t="array" ref="AD74">MID(";"&amp;'CASE DATA'!$F74&amp;";",SMALL(IF(ISERROR(SEARCH(MID(";"&amp;'CASE DATA'!$F74&amp;";",ROW($1:$99),1),";")),"",ROW($1:$99)+1),COLUMN(G74)),SMALL(IF(ISERROR(SEARCH(MID(";"&amp;'CASE DATA'!$F74&amp;";",ROW($1:$99),1),";")),"",ROW($1:$99)),COLUMN(G73)+1)-SMALL(IF(ISERROR(SEARCH(MID(";"&amp;'CASE DATA'!$F74&amp;";",ROW($1:$99),1),";")),"",ROW($1:$99)),COLUMN(G73))-1)</f>
        <v/>
      </c>
      <c r="AE74" s="75" t="str" cm="1">
        <f t="array" ref="AE74">MID(";"&amp;'CASE DATA'!$F74&amp;";",SMALL(IF(ISERROR(SEARCH(MID(";"&amp;'CASE DATA'!$F74&amp;";",ROW($1:$99),1),";")),"",ROW($1:$99)+1),COLUMN(H74)),SMALL(IF(ISERROR(SEARCH(MID(";"&amp;'CASE DATA'!$F74&amp;";",ROW($1:$99),1),";")),"",ROW($1:$99)),COLUMN(H73)+1)-SMALL(IF(ISERROR(SEARCH(MID(";"&amp;'CASE DATA'!$F74&amp;";",ROW($1:$99),1),";")),"",ROW($1:$99)),COLUMN(H73))-1)</f>
        <v/>
      </c>
      <c r="AF74" s="75" t="str" cm="1">
        <f t="array" ref="AF74">MID(";"&amp;'CASE DATA'!$F74&amp;";",SMALL(IF(ISERROR(SEARCH(MID(";"&amp;'CASE DATA'!$F74&amp;";",ROW($1:$99),1),";")),"",ROW($1:$99)+1),COLUMN(I74)),SMALL(IF(ISERROR(SEARCH(MID(";"&amp;'CASE DATA'!$F74&amp;";",ROW($1:$99),1),";")),"",ROW($1:$99)),COLUMN(I73)+1)-SMALL(IF(ISERROR(SEARCH(MID(";"&amp;'CASE DATA'!$F74&amp;";",ROW($1:$99),1),";")),"",ROW($1:$99)),COLUMN(I73))-1)</f>
        <v/>
      </c>
      <c r="AG74" s="75" t="str" cm="1">
        <f t="array" ref="AG74">MID(";"&amp;'CASE DATA'!$F74&amp;";",SMALL(IF(ISERROR(SEARCH(MID(";"&amp;'CASE DATA'!$F74&amp;";",ROW($1:$99),1),";")),"",ROW($1:$99)+1),COLUMN(K74)),SMALL(IF(ISERROR(SEARCH(MID(";"&amp;'CASE DATA'!$F74&amp;";",ROW($1:$99),1),";")),"",ROW($1:$99)),COLUMN(K73)+1)-SMALL(IF(ISERROR(SEARCH(MID(";"&amp;'CASE DATA'!$F74&amp;";",ROW($1:$99),1),";")),"",ROW($1:$99)),COLUMN(K73))-1)</f>
        <v/>
      </c>
      <c r="AH74" s="75" t="str" cm="1">
        <f t="array" ref="AH74">MID(";"&amp;'CASE DATA'!$F74&amp;";",SMALL(IF(ISERROR(SEARCH(MID(";"&amp;'CASE DATA'!$F74&amp;";",ROW($1:$99),1),";")),"",ROW($1:$99)+1),COLUMN(L74)),SMALL(IF(ISERROR(SEARCH(MID(";"&amp;'CASE DATA'!$F74&amp;";",ROW($1:$99),1),";")),"",ROW($1:$99)),COLUMN(L73)+1)-SMALL(IF(ISERROR(SEARCH(MID(";"&amp;'CASE DATA'!$F74&amp;";",ROW($1:$99),1),";")),"",ROW($1:$99)),COLUMN(L73))-1)</f>
        <v/>
      </c>
      <c r="AI74" s="75" t="str" cm="1">
        <f t="array" ref="AI74">MID(";"&amp;'CASE DATA'!$F74&amp;";",SMALL(IF(ISERROR(SEARCH(MID(";"&amp;'CASE DATA'!$F74&amp;";",ROW($1:$99),1),";")),"",ROW($1:$99)+1),COLUMN(M74)),SMALL(IF(ISERROR(SEARCH(MID(";"&amp;'CASE DATA'!$F74&amp;";",ROW($1:$99),1),";")),"",ROW($1:$99)),COLUMN(M73)+1)-SMALL(IF(ISERROR(SEARCH(MID(";"&amp;'CASE DATA'!$F74&amp;";",ROW($1:$99),1),";")),"",ROW($1:$99)),COLUMN(M73))-1)</f>
        <v/>
      </c>
      <c r="AJ74"/>
      <c r="AK74"/>
      <c r="AL74"/>
      <c r="AM74"/>
      <c r="AN74"/>
      <c r="AO74"/>
      <c r="AP74"/>
      <c r="AQ74"/>
      <c r="AR74"/>
      <c r="AS74"/>
      <c r="AT74"/>
      <c r="AU74"/>
      <c r="AV74"/>
      <c r="AW74"/>
      <c r="AX74"/>
      <c r="AY74"/>
      <c r="AZ74"/>
      <c r="BA74"/>
      <c r="BB74"/>
      <c r="BC74"/>
      <c r="BD74"/>
      <c r="BE74"/>
      <c r="BF74"/>
      <c r="BG74"/>
      <c r="BH74"/>
      <c r="BI74"/>
      <c r="BJ74"/>
      <c r="BK74"/>
      <c r="BL74"/>
      <c r="BM74"/>
      <c r="BN74"/>
      <c r="BO74" s="99"/>
      <c r="BP74" s="99"/>
      <c r="BQ74" s="99"/>
      <c r="BR74" s="99"/>
      <c r="BS74" s="99"/>
      <c r="BT74" s="99"/>
      <c r="BU74" s="99"/>
      <c r="BV74" s="99"/>
      <c r="BW74" s="99"/>
      <c r="BX74" s="99"/>
      <c r="BY74" s="99"/>
      <c r="BZ74" s="99"/>
      <c r="CA74" s="99"/>
      <c r="CB74" s="99"/>
      <c r="CC74" s="99"/>
      <c r="CD74" s="99"/>
      <c r="CE74" s="99"/>
      <c r="CF74" s="99"/>
      <c r="CG74" s="99"/>
      <c r="CH74" s="99"/>
      <c r="CI74" s="99"/>
      <c r="CJ74" s="99"/>
      <c r="CK74" s="99"/>
      <c r="CL74" s="99"/>
      <c r="CM74" s="99"/>
      <c r="CN74" s="99"/>
      <c r="CO74" s="99"/>
      <c r="CP74" s="99"/>
      <c r="CQ74" s="99"/>
      <c r="CR74" s="99"/>
      <c r="CS74" s="99"/>
      <c r="CT74" s="99"/>
      <c r="CU74" s="99"/>
      <c r="CV74" s="99"/>
      <c r="CW74" s="99"/>
      <c r="CX74" s="99"/>
      <c r="CY74" s="99"/>
      <c r="CZ74" s="99"/>
      <c r="DA74" s="99"/>
      <c r="DB74" s="99"/>
      <c r="DC74" s="99"/>
      <c r="DD74" s="99"/>
      <c r="DE74" s="99"/>
      <c r="DF74" s="99"/>
      <c r="DG74" s="99"/>
      <c r="DH74" s="99"/>
      <c r="DI74" s="99"/>
      <c r="DJ74" s="99"/>
      <c r="DK74" s="99"/>
      <c r="DL74" s="99"/>
      <c r="DM74" s="99"/>
      <c r="DN74" s="99"/>
      <c r="DO74" s="99"/>
      <c r="DP74" s="99"/>
      <c r="DQ74" s="99"/>
      <c r="DR74" s="99"/>
      <c r="DS74" s="99"/>
      <c r="DT74" s="99"/>
      <c r="DU74" s="99"/>
      <c r="DV74" s="99"/>
      <c r="DW74" s="99"/>
      <c r="DX74" s="99"/>
      <c r="DY74" s="99"/>
      <c r="DZ74" s="99"/>
      <c r="EA74" s="99"/>
      <c r="EB74" s="99"/>
      <c r="EC74" s="99"/>
      <c r="ED74" s="99"/>
      <c r="EE74" s="99"/>
      <c r="EF74" s="99"/>
      <c r="EG74" s="99"/>
      <c r="EH74" s="99"/>
      <c r="EI74" s="99"/>
      <c r="EJ74" s="99"/>
      <c r="EK74" s="99"/>
      <c r="EL74" s="99"/>
      <c r="EM74" s="99"/>
      <c r="EN74" s="99"/>
      <c r="EO74" s="99"/>
      <c r="EP74" s="99"/>
      <c r="EQ74" s="99"/>
      <c r="ER74" s="99"/>
      <c r="ES74" s="99"/>
      <c r="ET74" s="99"/>
      <c r="EU74" s="99"/>
      <c r="EV74" s="99"/>
      <c r="EW74" s="99"/>
      <c r="EX74" s="99"/>
      <c r="EY74" s="99"/>
      <c r="EZ74" s="99"/>
      <c r="FA74" s="99"/>
      <c r="FB74" s="99"/>
      <c r="FC74" s="99"/>
      <c r="FD74" s="99"/>
      <c r="FE74" s="99"/>
      <c r="FF74" s="99"/>
      <c r="FG74" s="99"/>
      <c r="FH74" s="99"/>
      <c r="FI74" s="99"/>
      <c r="FJ74" s="99"/>
      <c r="FK74" s="99"/>
    </row>
    <row r="75" spans="1:167" s="70" customFormat="1" x14ac:dyDescent="0.25">
      <c r="A75" s="11"/>
      <c r="B75"/>
      <c r="C75" s="10"/>
      <c r="D75" s="10"/>
      <c r="E75" s="11"/>
      <c r="F75" s="15"/>
      <c r="G75"/>
      <c r="H75" s="99"/>
      <c r="I75" s="99"/>
      <c r="J75" s="99">
        <v>72</v>
      </c>
      <c r="K75" s="16"/>
      <c r="L75" s="16"/>
      <c r="M75" s="16"/>
      <c r="N75" s="16"/>
      <c r="O75" s="16"/>
      <c r="P75" s="16"/>
      <c r="Q75" s="16"/>
      <c r="R75" s="16"/>
      <c r="S75" s="16"/>
      <c r="T75" s="16"/>
      <c r="U75" s="73">
        <f>SUM(K75:T75)</f>
        <v>0</v>
      </c>
      <c r="V75" s="73"/>
      <c r="W75"/>
      <c r="X75" s="75" t="str" cm="1">
        <f t="array" ref="X75">MID(";"&amp;'CASE DATA'!$F75&amp;";",SMALL(IF(ISERROR(SEARCH(MID(";"&amp;'CASE DATA'!$F75&amp;";",ROW($1:$99),1),";")),"",ROW($1:$99)+1),COLUMN(A75)),SMALL(IF(ISERROR(SEARCH(MID(";"&amp;'CASE DATA'!$F75&amp;";",ROW($1:$99),1),";")),"",ROW($1:$99)),COLUMN(A74)+1)-SMALL(IF(ISERROR(SEARCH(MID(";"&amp;'CASE DATA'!$F75&amp;";",ROW($1:$99),1),";")),"",ROW($1:$99)),COLUMN(A74))-1)</f>
        <v/>
      </c>
      <c r="Y75" s="75" t="str" cm="1">
        <f t="array" ref="Y75">MID(";"&amp;'CASE DATA'!$F75&amp;";",SMALL(IF(ISERROR(SEARCH(MID(";"&amp;'CASE DATA'!$F75&amp;";",ROW($1:$99),1),";")),"",ROW($1:$99)+1),COLUMN(B75)),SMALL(IF(ISERROR(SEARCH(MID(";"&amp;'CASE DATA'!$F75&amp;";",ROW($1:$99),1),";")),"",ROW($1:$99)),COLUMN(B74)+1)-SMALL(IF(ISERROR(SEARCH(MID(";"&amp;'CASE DATA'!$F75&amp;";",ROW($1:$99),1),";")),"",ROW($1:$99)),COLUMN(B74))-1)</f>
        <v/>
      </c>
      <c r="Z75" s="75" t="str" cm="1">
        <f t="array" ref="Z75">MID(";"&amp;'CASE DATA'!$F75&amp;";",SMALL(IF(ISERROR(SEARCH(MID(";"&amp;'CASE DATA'!$F75&amp;";",ROW($1:$99),1),";")),"",ROW($1:$99)+1),COLUMN(C75)),SMALL(IF(ISERROR(SEARCH(MID(";"&amp;'CASE DATA'!$F75&amp;";",ROW($1:$99),1),";")),"",ROW($1:$99)),COLUMN(C74)+1)-SMALL(IF(ISERROR(SEARCH(MID(";"&amp;'CASE DATA'!$F75&amp;";",ROW($1:$99),1),";")),"",ROW($1:$99)),COLUMN(C74))-1)</f>
        <v/>
      </c>
      <c r="AA75" s="75" t="str" cm="1">
        <f t="array" ref="AA75">MID(";"&amp;'CASE DATA'!$F75&amp;";",SMALL(IF(ISERROR(SEARCH(MID(";"&amp;'CASE DATA'!$F75&amp;";",ROW($1:$99),1),";")),"",ROW($1:$99)+1),COLUMN(D75)),SMALL(IF(ISERROR(SEARCH(MID(";"&amp;'CASE DATA'!$F75&amp;";",ROW($1:$99),1),";")),"",ROW($1:$99)),COLUMN(D74)+1)-SMALL(IF(ISERROR(SEARCH(MID(";"&amp;'CASE DATA'!$F75&amp;";",ROW($1:$99),1),";")),"",ROW($1:$99)),COLUMN(D74))-1)</f>
        <v/>
      </c>
      <c r="AB75" s="75" t="str" cm="1">
        <f t="array" ref="AB75">MID(";"&amp;'CASE DATA'!$F75&amp;";",SMALL(IF(ISERROR(SEARCH(MID(";"&amp;'CASE DATA'!$F75&amp;";",ROW($1:$99),1),";")),"",ROW($1:$99)+1),COLUMN(E75)),SMALL(IF(ISERROR(SEARCH(MID(";"&amp;'CASE DATA'!$F75&amp;";",ROW($1:$99),1),";")),"",ROW($1:$99)),COLUMN(E74)+1)-SMALL(IF(ISERROR(SEARCH(MID(";"&amp;'CASE DATA'!$F75&amp;";",ROW($1:$99),1),";")),"",ROW($1:$99)),COLUMN(E74))-1)</f>
        <v/>
      </c>
      <c r="AC75" s="75" t="str" cm="1">
        <f t="array" ref="AC75">MID(";"&amp;'CASE DATA'!$F75&amp;";",SMALL(IF(ISERROR(SEARCH(MID(";"&amp;'CASE DATA'!$F75&amp;";",ROW($1:$99),1),";")),"",ROW($1:$99)+1),COLUMN(F75)),SMALL(IF(ISERROR(SEARCH(MID(";"&amp;'CASE DATA'!$F75&amp;";",ROW($1:$99),1),";")),"",ROW($1:$99)),COLUMN(F74)+1)-SMALL(IF(ISERROR(SEARCH(MID(";"&amp;'CASE DATA'!$F75&amp;";",ROW($1:$99),1),";")),"",ROW($1:$99)),COLUMN(F74))-1)</f>
        <v/>
      </c>
      <c r="AD75" s="75" t="str" cm="1">
        <f t="array" ref="AD75">MID(";"&amp;'CASE DATA'!$F75&amp;";",SMALL(IF(ISERROR(SEARCH(MID(";"&amp;'CASE DATA'!$F75&amp;";",ROW($1:$99),1),";")),"",ROW($1:$99)+1),COLUMN(G75)),SMALL(IF(ISERROR(SEARCH(MID(";"&amp;'CASE DATA'!$F75&amp;";",ROW($1:$99),1),";")),"",ROW($1:$99)),COLUMN(G74)+1)-SMALL(IF(ISERROR(SEARCH(MID(";"&amp;'CASE DATA'!$F75&amp;";",ROW($1:$99),1),";")),"",ROW($1:$99)),COLUMN(G74))-1)</f>
        <v/>
      </c>
      <c r="AE75" s="75" t="str" cm="1">
        <f t="array" ref="AE75">MID(";"&amp;'CASE DATA'!$F75&amp;";",SMALL(IF(ISERROR(SEARCH(MID(";"&amp;'CASE DATA'!$F75&amp;";",ROW($1:$99),1),";")),"",ROW($1:$99)+1),COLUMN(H75)),SMALL(IF(ISERROR(SEARCH(MID(";"&amp;'CASE DATA'!$F75&amp;";",ROW($1:$99),1),";")),"",ROW($1:$99)),COLUMN(H74)+1)-SMALL(IF(ISERROR(SEARCH(MID(";"&amp;'CASE DATA'!$F75&amp;";",ROW($1:$99),1),";")),"",ROW($1:$99)),COLUMN(H74))-1)</f>
        <v/>
      </c>
      <c r="AF75" s="75" t="str" cm="1">
        <f t="array" ref="AF75">MID(";"&amp;'CASE DATA'!$F75&amp;";",SMALL(IF(ISERROR(SEARCH(MID(";"&amp;'CASE DATA'!$F75&amp;";",ROW($1:$99),1),";")),"",ROW($1:$99)+1),COLUMN(I75)),SMALL(IF(ISERROR(SEARCH(MID(";"&amp;'CASE DATA'!$F75&amp;";",ROW($1:$99),1),";")),"",ROW($1:$99)),COLUMN(I74)+1)-SMALL(IF(ISERROR(SEARCH(MID(";"&amp;'CASE DATA'!$F75&amp;";",ROW($1:$99),1),";")),"",ROW($1:$99)),COLUMN(I74))-1)</f>
        <v/>
      </c>
      <c r="AG75" s="75" t="str" cm="1">
        <f t="array" ref="AG75">MID(";"&amp;'CASE DATA'!$F75&amp;";",SMALL(IF(ISERROR(SEARCH(MID(";"&amp;'CASE DATA'!$F75&amp;";",ROW($1:$99),1),";")),"",ROW($1:$99)+1),COLUMN(K75)),SMALL(IF(ISERROR(SEARCH(MID(";"&amp;'CASE DATA'!$F75&amp;";",ROW($1:$99),1),";")),"",ROW($1:$99)),COLUMN(K74)+1)-SMALL(IF(ISERROR(SEARCH(MID(";"&amp;'CASE DATA'!$F75&amp;";",ROW($1:$99),1),";")),"",ROW($1:$99)),COLUMN(K74))-1)</f>
        <v/>
      </c>
      <c r="AH75" s="75" t="str" cm="1">
        <f t="array" ref="AH75">MID(";"&amp;'CASE DATA'!$F75&amp;";",SMALL(IF(ISERROR(SEARCH(MID(";"&amp;'CASE DATA'!$F75&amp;";",ROW($1:$99),1),";")),"",ROW($1:$99)+1),COLUMN(L75)),SMALL(IF(ISERROR(SEARCH(MID(";"&amp;'CASE DATA'!$F75&amp;";",ROW($1:$99),1),";")),"",ROW($1:$99)),COLUMN(L74)+1)-SMALL(IF(ISERROR(SEARCH(MID(";"&amp;'CASE DATA'!$F75&amp;";",ROW($1:$99),1),";")),"",ROW($1:$99)),COLUMN(L74))-1)</f>
        <v/>
      </c>
      <c r="AI75" s="75" t="str" cm="1">
        <f t="array" ref="AI75">MID(";"&amp;'CASE DATA'!$F75&amp;";",SMALL(IF(ISERROR(SEARCH(MID(";"&amp;'CASE DATA'!$F75&amp;";",ROW($1:$99),1),";")),"",ROW($1:$99)+1),COLUMN(M75)),SMALL(IF(ISERROR(SEARCH(MID(";"&amp;'CASE DATA'!$F75&amp;";",ROW($1:$99),1),";")),"",ROW($1:$99)),COLUMN(M74)+1)-SMALL(IF(ISERROR(SEARCH(MID(";"&amp;'CASE DATA'!$F75&amp;";",ROW($1:$99),1),";")),"",ROW($1:$99)),COLUMN(M74))-1)</f>
        <v/>
      </c>
      <c r="AJ75"/>
      <c r="AK75"/>
      <c r="AL75"/>
      <c r="AM75"/>
      <c r="AN75"/>
      <c r="AO75"/>
      <c r="AP75"/>
      <c r="AQ75"/>
      <c r="AR75"/>
      <c r="AS75"/>
      <c r="AT75"/>
      <c r="AU75"/>
      <c r="AV75"/>
      <c r="AW75"/>
      <c r="AX75"/>
      <c r="AY75"/>
      <c r="AZ75"/>
      <c r="BA75"/>
      <c r="BB75"/>
      <c r="BC75"/>
      <c r="BD75"/>
      <c r="BE75"/>
      <c r="BF75"/>
      <c r="BG75"/>
      <c r="BH75"/>
      <c r="BI75"/>
      <c r="BJ75"/>
      <c r="BK75"/>
      <c r="BL75"/>
      <c r="BM75"/>
      <c r="BN75"/>
      <c r="BO75" s="99"/>
      <c r="BP75" s="99"/>
      <c r="BQ75" s="99"/>
      <c r="BR75" s="99"/>
      <c r="BS75" s="99"/>
      <c r="BT75" s="99"/>
      <c r="BU75" s="99"/>
      <c r="BV75" s="99"/>
      <c r="BW75" s="99"/>
      <c r="BX75" s="99"/>
      <c r="BY75" s="99"/>
      <c r="BZ75" s="99"/>
      <c r="CA75" s="99"/>
      <c r="CB75" s="99"/>
      <c r="CC75" s="99"/>
      <c r="CD75" s="99"/>
      <c r="CE75" s="99"/>
      <c r="CF75" s="99"/>
      <c r="CG75" s="99"/>
      <c r="CH75" s="99"/>
      <c r="CI75" s="99"/>
      <c r="CJ75" s="99"/>
      <c r="CK75" s="99"/>
      <c r="CL75" s="99"/>
      <c r="CM75" s="99"/>
      <c r="CN75" s="99"/>
      <c r="CO75" s="99"/>
      <c r="CP75" s="99"/>
      <c r="CQ75" s="99"/>
      <c r="CR75" s="99"/>
      <c r="CS75" s="99"/>
      <c r="CT75" s="99"/>
      <c r="CU75" s="99"/>
      <c r="CV75" s="99"/>
      <c r="CW75" s="99"/>
      <c r="CX75" s="99"/>
      <c r="CY75" s="99"/>
      <c r="CZ75" s="99"/>
      <c r="DA75" s="99"/>
      <c r="DB75" s="99"/>
      <c r="DC75" s="99"/>
      <c r="DD75" s="99"/>
      <c r="DE75" s="99"/>
      <c r="DF75" s="99"/>
      <c r="DG75" s="99"/>
      <c r="DH75" s="99"/>
      <c r="DI75" s="99"/>
      <c r="DJ75" s="99"/>
      <c r="DK75" s="99"/>
      <c r="DL75" s="99"/>
      <c r="DM75" s="99"/>
      <c r="DN75" s="99"/>
      <c r="DO75" s="99"/>
      <c r="DP75" s="99"/>
      <c r="DQ75" s="99"/>
      <c r="DR75" s="99"/>
      <c r="DS75" s="99"/>
      <c r="DT75" s="99"/>
      <c r="DU75" s="99"/>
      <c r="DV75" s="99"/>
      <c r="DW75" s="99"/>
      <c r="DX75" s="99"/>
      <c r="DY75" s="99"/>
      <c r="DZ75" s="99"/>
      <c r="EA75" s="99"/>
      <c r="EB75" s="99"/>
      <c r="EC75" s="99"/>
      <c r="ED75" s="99"/>
      <c r="EE75" s="99"/>
      <c r="EF75" s="99"/>
      <c r="EG75" s="99"/>
      <c r="EH75" s="99"/>
      <c r="EI75" s="99"/>
      <c r="EJ75" s="99"/>
      <c r="EK75" s="99"/>
      <c r="EL75" s="99"/>
      <c r="EM75" s="99"/>
      <c r="EN75" s="99"/>
      <c r="EO75" s="99"/>
      <c r="EP75" s="99"/>
      <c r="EQ75" s="99"/>
      <c r="ER75" s="99"/>
      <c r="ES75" s="99"/>
      <c r="ET75" s="99"/>
      <c r="EU75" s="99"/>
      <c r="EV75" s="99"/>
      <c r="EW75" s="99"/>
      <c r="EX75" s="99"/>
      <c r="EY75" s="99"/>
      <c r="EZ75" s="99"/>
      <c r="FA75" s="99"/>
      <c r="FB75" s="99"/>
      <c r="FC75" s="99"/>
      <c r="FD75" s="99"/>
      <c r="FE75" s="99"/>
      <c r="FF75" s="99"/>
      <c r="FG75" s="99"/>
      <c r="FH75" s="99"/>
      <c r="FI75" s="99"/>
      <c r="FJ75" s="99"/>
      <c r="FK75" s="99"/>
    </row>
    <row r="76" spans="1:167" s="70" customFormat="1" x14ac:dyDescent="0.25">
      <c r="A76" s="11"/>
      <c r="B76"/>
      <c r="C76" s="10"/>
      <c r="D76" s="10"/>
      <c r="E76" s="11"/>
      <c r="F76" s="15"/>
      <c r="G76"/>
      <c r="H76" s="99"/>
      <c r="I76" s="99"/>
      <c r="J76" s="99">
        <v>73</v>
      </c>
      <c r="K76" s="16"/>
      <c r="L76" s="16"/>
      <c r="M76" s="16"/>
      <c r="N76" s="16"/>
      <c r="O76" s="16"/>
      <c r="P76" s="16"/>
      <c r="Q76" s="16"/>
      <c r="R76" s="16"/>
      <c r="S76" s="16"/>
      <c r="T76" s="16"/>
      <c r="U76" s="73">
        <f>SUM(K76:T76)</f>
        <v>0</v>
      </c>
      <c r="V76" s="73"/>
      <c r="W76"/>
      <c r="X76" s="75" t="str" cm="1">
        <f t="array" ref="X76">MID(";"&amp;'CASE DATA'!$F76&amp;";",SMALL(IF(ISERROR(SEARCH(MID(";"&amp;'CASE DATA'!$F76&amp;";",ROW($1:$99),1),";")),"",ROW($1:$99)+1),COLUMN(A76)),SMALL(IF(ISERROR(SEARCH(MID(";"&amp;'CASE DATA'!$F76&amp;";",ROW($1:$99),1),";")),"",ROW($1:$99)),COLUMN(A75)+1)-SMALL(IF(ISERROR(SEARCH(MID(";"&amp;'CASE DATA'!$F76&amp;";",ROW($1:$99),1),";")),"",ROW($1:$99)),COLUMN(A75))-1)</f>
        <v/>
      </c>
      <c r="Y76" s="75" t="str" cm="1">
        <f t="array" ref="Y76">MID(";"&amp;'CASE DATA'!$F76&amp;";",SMALL(IF(ISERROR(SEARCH(MID(";"&amp;'CASE DATA'!$F76&amp;";",ROW($1:$99),1),";")),"",ROW($1:$99)+1),COLUMN(B76)),SMALL(IF(ISERROR(SEARCH(MID(";"&amp;'CASE DATA'!$F76&amp;";",ROW($1:$99),1),";")),"",ROW($1:$99)),COLUMN(B75)+1)-SMALL(IF(ISERROR(SEARCH(MID(";"&amp;'CASE DATA'!$F76&amp;";",ROW($1:$99),1),";")),"",ROW($1:$99)),COLUMN(B75))-1)</f>
        <v/>
      </c>
      <c r="Z76" s="75" t="str" cm="1">
        <f t="array" ref="Z76">MID(";"&amp;'CASE DATA'!$F76&amp;";",SMALL(IF(ISERROR(SEARCH(MID(";"&amp;'CASE DATA'!$F76&amp;";",ROW($1:$99),1),";")),"",ROW($1:$99)+1),COLUMN(C76)),SMALL(IF(ISERROR(SEARCH(MID(";"&amp;'CASE DATA'!$F76&amp;";",ROW($1:$99),1),";")),"",ROW($1:$99)),COLUMN(C75)+1)-SMALL(IF(ISERROR(SEARCH(MID(";"&amp;'CASE DATA'!$F76&amp;";",ROW($1:$99),1),";")),"",ROW($1:$99)),COLUMN(C75))-1)</f>
        <v/>
      </c>
      <c r="AA76" s="75" t="str" cm="1">
        <f t="array" ref="AA76">MID(";"&amp;'CASE DATA'!$F76&amp;";",SMALL(IF(ISERROR(SEARCH(MID(";"&amp;'CASE DATA'!$F76&amp;";",ROW($1:$99),1),";")),"",ROW($1:$99)+1),COLUMN(D76)),SMALL(IF(ISERROR(SEARCH(MID(";"&amp;'CASE DATA'!$F76&amp;";",ROW($1:$99),1),";")),"",ROW($1:$99)),COLUMN(D75)+1)-SMALL(IF(ISERROR(SEARCH(MID(";"&amp;'CASE DATA'!$F76&amp;";",ROW($1:$99),1),";")),"",ROW($1:$99)),COLUMN(D75))-1)</f>
        <v/>
      </c>
      <c r="AB76" s="75" t="str" cm="1">
        <f t="array" ref="AB76">MID(";"&amp;'CASE DATA'!$F76&amp;";",SMALL(IF(ISERROR(SEARCH(MID(";"&amp;'CASE DATA'!$F76&amp;";",ROW($1:$99),1),";")),"",ROW($1:$99)+1),COLUMN(E76)),SMALL(IF(ISERROR(SEARCH(MID(";"&amp;'CASE DATA'!$F76&amp;";",ROW($1:$99),1),";")),"",ROW($1:$99)),COLUMN(E75)+1)-SMALL(IF(ISERROR(SEARCH(MID(";"&amp;'CASE DATA'!$F76&amp;";",ROW($1:$99),1),";")),"",ROW($1:$99)),COLUMN(E75))-1)</f>
        <v/>
      </c>
      <c r="AC76" s="75" t="str" cm="1">
        <f t="array" ref="AC76">MID(";"&amp;'CASE DATA'!$F76&amp;";",SMALL(IF(ISERROR(SEARCH(MID(";"&amp;'CASE DATA'!$F76&amp;";",ROW($1:$99),1),";")),"",ROW($1:$99)+1),COLUMN(F76)),SMALL(IF(ISERROR(SEARCH(MID(";"&amp;'CASE DATA'!$F76&amp;";",ROW($1:$99),1),";")),"",ROW($1:$99)),COLUMN(F75)+1)-SMALL(IF(ISERROR(SEARCH(MID(";"&amp;'CASE DATA'!$F76&amp;";",ROW($1:$99),1),";")),"",ROW($1:$99)),COLUMN(F75))-1)</f>
        <v/>
      </c>
      <c r="AD76" s="75" t="str" cm="1">
        <f t="array" ref="AD76">MID(";"&amp;'CASE DATA'!$F76&amp;";",SMALL(IF(ISERROR(SEARCH(MID(";"&amp;'CASE DATA'!$F76&amp;";",ROW($1:$99),1),";")),"",ROW($1:$99)+1),COLUMN(G76)),SMALL(IF(ISERROR(SEARCH(MID(";"&amp;'CASE DATA'!$F76&amp;";",ROW($1:$99),1),";")),"",ROW($1:$99)),COLUMN(G75)+1)-SMALL(IF(ISERROR(SEARCH(MID(";"&amp;'CASE DATA'!$F76&amp;";",ROW($1:$99),1),";")),"",ROW($1:$99)),COLUMN(G75))-1)</f>
        <v/>
      </c>
      <c r="AE76" s="75" t="str" cm="1">
        <f t="array" ref="AE76">MID(";"&amp;'CASE DATA'!$F76&amp;";",SMALL(IF(ISERROR(SEARCH(MID(";"&amp;'CASE DATA'!$F76&amp;";",ROW($1:$99),1),";")),"",ROW($1:$99)+1),COLUMN(H76)),SMALL(IF(ISERROR(SEARCH(MID(";"&amp;'CASE DATA'!$F76&amp;";",ROW($1:$99),1),";")),"",ROW($1:$99)),COLUMN(H75)+1)-SMALL(IF(ISERROR(SEARCH(MID(";"&amp;'CASE DATA'!$F76&amp;";",ROW($1:$99),1),";")),"",ROW($1:$99)),COLUMN(H75))-1)</f>
        <v/>
      </c>
      <c r="AF76" s="75" t="str" cm="1">
        <f t="array" ref="AF76">MID(";"&amp;'CASE DATA'!$F76&amp;";",SMALL(IF(ISERROR(SEARCH(MID(";"&amp;'CASE DATA'!$F76&amp;";",ROW($1:$99),1),";")),"",ROW($1:$99)+1),COLUMN(I76)),SMALL(IF(ISERROR(SEARCH(MID(";"&amp;'CASE DATA'!$F76&amp;";",ROW($1:$99),1),";")),"",ROW($1:$99)),COLUMN(I75)+1)-SMALL(IF(ISERROR(SEARCH(MID(";"&amp;'CASE DATA'!$F76&amp;";",ROW($1:$99),1),";")),"",ROW($1:$99)),COLUMN(I75))-1)</f>
        <v/>
      </c>
      <c r="AG76" s="75" t="str" cm="1">
        <f t="array" ref="AG76">MID(";"&amp;'CASE DATA'!$F76&amp;";",SMALL(IF(ISERROR(SEARCH(MID(";"&amp;'CASE DATA'!$F76&amp;";",ROW($1:$99),1),";")),"",ROW($1:$99)+1),COLUMN(K76)),SMALL(IF(ISERROR(SEARCH(MID(";"&amp;'CASE DATA'!$F76&amp;";",ROW($1:$99),1),";")),"",ROW($1:$99)),COLUMN(K75)+1)-SMALL(IF(ISERROR(SEARCH(MID(";"&amp;'CASE DATA'!$F76&amp;";",ROW($1:$99),1),";")),"",ROW($1:$99)),COLUMN(K75))-1)</f>
        <v/>
      </c>
      <c r="AH76" s="75" t="str" cm="1">
        <f t="array" ref="AH76">MID(";"&amp;'CASE DATA'!$F76&amp;";",SMALL(IF(ISERROR(SEARCH(MID(";"&amp;'CASE DATA'!$F76&amp;";",ROW($1:$99),1),";")),"",ROW($1:$99)+1),COLUMN(L76)),SMALL(IF(ISERROR(SEARCH(MID(";"&amp;'CASE DATA'!$F76&amp;";",ROW($1:$99),1),";")),"",ROW($1:$99)),COLUMN(L75)+1)-SMALL(IF(ISERROR(SEARCH(MID(";"&amp;'CASE DATA'!$F76&amp;";",ROW($1:$99),1),";")),"",ROW($1:$99)),COLUMN(L75))-1)</f>
        <v/>
      </c>
      <c r="AI76" s="75" t="str" cm="1">
        <f t="array" ref="AI76">MID(";"&amp;'CASE DATA'!$F76&amp;";",SMALL(IF(ISERROR(SEARCH(MID(";"&amp;'CASE DATA'!$F76&amp;";",ROW($1:$99),1),";")),"",ROW($1:$99)+1),COLUMN(M76)),SMALL(IF(ISERROR(SEARCH(MID(";"&amp;'CASE DATA'!$F76&amp;";",ROW($1:$99),1),";")),"",ROW($1:$99)),COLUMN(M75)+1)-SMALL(IF(ISERROR(SEARCH(MID(";"&amp;'CASE DATA'!$F76&amp;";",ROW($1:$99),1),";")),"",ROW($1:$99)),COLUMN(M75))-1)</f>
        <v/>
      </c>
      <c r="AJ76"/>
      <c r="AK76"/>
      <c r="AL76"/>
      <c r="AM76"/>
      <c r="AN76"/>
      <c r="AO76"/>
      <c r="AP76"/>
      <c r="AQ76"/>
      <c r="AR76"/>
      <c r="AS76"/>
      <c r="AT76"/>
      <c r="AU76"/>
      <c r="AV76"/>
      <c r="AW76"/>
      <c r="AX76"/>
      <c r="AY76"/>
      <c r="AZ76"/>
      <c r="BA76"/>
      <c r="BB76"/>
      <c r="BC76"/>
      <c r="BD76"/>
      <c r="BE76"/>
      <c r="BF76"/>
      <c r="BG76"/>
      <c r="BH76"/>
      <c r="BI76"/>
      <c r="BJ76"/>
      <c r="BK76"/>
      <c r="BL76"/>
      <c r="BM76"/>
      <c r="BN76"/>
      <c r="BO76" s="99"/>
      <c r="BP76" s="99"/>
      <c r="BQ76" s="99"/>
      <c r="BR76" s="99"/>
      <c r="BS76" s="99"/>
      <c r="BT76" s="99"/>
      <c r="BU76" s="99"/>
      <c r="BV76" s="99"/>
      <c r="BW76" s="99"/>
      <c r="BX76" s="99"/>
      <c r="BY76" s="99"/>
      <c r="BZ76" s="99"/>
      <c r="CA76" s="99"/>
      <c r="CB76" s="99"/>
      <c r="CC76" s="99"/>
      <c r="CD76" s="99"/>
      <c r="CE76" s="99"/>
      <c r="CF76" s="99"/>
      <c r="CG76" s="99"/>
      <c r="CH76" s="99"/>
      <c r="CI76" s="99"/>
      <c r="CJ76" s="99"/>
      <c r="CK76" s="99"/>
      <c r="CL76" s="99"/>
      <c r="CM76" s="99"/>
      <c r="CN76" s="99"/>
      <c r="CO76" s="99"/>
      <c r="CP76" s="99"/>
      <c r="CQ76" s="99"/>
      <c r="CR76" s="99"/>
      <c r="CS76" s="99"/>
      <c r="CT76" s="99"/>
      <c r="CU76" s="99"/>
      <c r="CV76" s="99"/>
      <c r="CW76" s="99"/>
      <c r="CX76" s="99"/>
      <c r="CY76" s="99"/>
      <c r="CZ76" s="99"/>
      <c r="DA76" s="99"/>
      <c r="DB76" s="99"/>
      <c r="DC76" s="99"/>
      <c r="DD76" s="99"/>
      <c r="DE76" s="99"/>
      <c r="DF76" s="99"/>
      <c r="DG76" s="99"/>
      <c r="DH76" s="99"/>
      <c r="DI76" s="99"/>
      <c r="DJ76" s="99"/>
      <c r="DK76" s="99"/>
      <c r="DL76" s="99"/>
      <c r="DM76" s="99"/>
      <c r="DN76" s="99"/>
      <c r="DO76" s="99"/>
      <c r="DP76" s="99"/>
      <c r="DQ76" s="99"/>
      <c r="DR76" s="99"/>
      <c r="DS76" s="99"/>
      <c r="DT76" s="99"/>
      <c r="DU76" s="99"/>
      <c r="DV76" s="99"/>
      <c r="DW76" s="99"/>
      <c r="DX76" s="99"/>
      <c r="DY76" s="99"/>
      <c r="DZ76" s="99"/>
      <c r="EA76" s="99"/>
      <c r="EB76" s="99"/>
      <c r="EC76" s="99"/>
      <c r="ED76" s="99"/>
      <c r="EE76" s="99"/>
      <c r="EF76" s="99"/>
      <c r="EG76" s="99"/>
      <c r="EH76" s="99"/>
      <c r="EI76" s="99"/>
      <c r="EJ76" s="99"/>
      <c r="EK76" s="99"/>
      <c r="EL76" s="99"/>
      <c r="EM76" s="99"/>
      <c r="EN76" s="99"/>
      <c r="EO76" s="99"/>
      <c r="EP76" s="99"/>
      <c r="EQ76" s="99"/>
      <c r="ER76" s="99"/>
      <c r="ES76" s="99"/>
      <c r="ET76" s="99"/>
      <c r="EU76" s="99"/>
      <c r="EV76" s="99"/>
      <c r="EW76" s="99"/>
      <c r="EX76" s="99"/>
      <c r="EY76" s="99"/>
      <c r="EZ76" s="99"/>
      <c r="FA76" s="99"/>
      <c r="FB76" s="99"/>
      <c r="FC76" s="99"/>
      <c r="FD76" s="99"/>
      <c r="FE76" s="99"/>
      <c r="FF76" s="99"/>
      <c r="FG76" s="99"/>
      <c r="FH76" s="99"/>
      <c r="FI76" s="99"/>
      <c r="FJ76" s="99"/>
      <c r="FK76" s="99"/>
    </row>
    <row r="77" spans="1:167" x14ac:dyDescent="0.25">
      <c r="A77" s="11"/>
      <c r="C77" s="10"/>
      <c r="D77" s="10"/>
      <c r="E77" s="11"/>
      <c r="F77" s="15"/>
      <c r="J77" s="99">
        <v>74</v>
      </c>
      <c r="K77" s="16"/>
      <c r="L77" s="16"/>
      <c r="M77" s="16"/>
      <c r="N77" s="16"/>
      <c r="O77" s="16"/>
      <c r="P77" s="16"/>
      <c r="Q77" s="16"/>
      <c r="R77" s="16"/>
      <c r="S77" s="16"/>
      <c r="T77" s="16"/>
      <c r="U77" s="73">
        <f>SUM(K77:T77)</f>
        <v>0</v>
      </c>
      <c r="V77" s="73"/>
      <c r="X77" s="75" t="str" cm="1">
        <f t="array" ref="X77">MID(";"&amp;'CASE DATA'!$F77&amp;";",SMALL(IF(ISERROR(SEARCH(MID(";"&amp;'CASE DATA'!$F77&amp;";",ROW($1:$99),1),";")),"",ROW($1:$99)+1),COLUMN(A77)),SMALL(IF(ISERROR(SEARCH(MID(";"&amp;'CASE DATA'!$F77&amp;";",ROW($1:$99),1),";")),"",ROW($1:$99)),COLUMN(A76)+1)-SMALL(IF(ISERROR(SEARCH(MID(";"&amp;'CASE DATA'!$F77&amp;";",ROW($1:$99),1),";")),"",ROW($1:$99)),COLUMN(A76))-1)</f>
        <v/>
      </c>
      <c r="Y77" s="75" t="str" cm="1">
        <f t="array" ref="Y77">MID(";"&amp;'CASE DATA'!$F77&amp;";",SMALL(IF(ISERROR(SEARCH(MID(";"&amp;'CASE DATA'!$F77&amp;";",ROW($1:$99),1),";")),"",ROW($1:$99)+1),COLUMN(B77)),SMALL(IF(ISERROR(SEARCH(MID(";"&amp;'CASE DATA'!$F77&amp;";",ROW($1:$99),1),";")),"",ROW($1:$99)),COLUMN(B76)+1)-SMALL(IF(ISERROR(SEARCH(MID(";"&amp;'CASE DATA'!$F77&amp;";",ROW($1:$99),1),";")),"",ROW($1:$99)),COLUMN(B76))-1)</f>
        <v/>
      </c>
      <c r="Z77" s="75" t="str" cm="1">
        <f t="array" ref="Z77">MID(";"&amp;'CASE DATA'!$F77&amp;";",SMALL(IF(ISERROR(SEARCH(MID(";"&amp;'CASE DATA'!$F77&amp;";",ROW($1:$99),1),";")),"",ROW($1:$99)+1),COLUMN(C77)),SMALL(IF(ISERROR(SEARCH(MID(";"&amp;'CASE DATA'!$F77&amp;";",ROW($1:$99),1),";")),"",ROW($1:$99)),COLUMN(C76)+1)-SMALL(IF(ISERROR(SEARCH(MID(";"&amp;'CASE DATA'!$F77&amp;";",ROW($1:$99),1),";")),"",ROW($1:$99)),COLUMN(C76))-1)</f>
        <v/>
      </c>
      <c r="AA77" s="75" t="str" cm="1">
        <f t="array" ref="AA77">MID(";"&amp;'CASE DATA'!$F77&amp;";",SMALL(IF(ISERROR(SEARCH(MID(";"&amp;'CASE DATA'!$F77&amp;";",ROW($1:$99),1),";")),"",ROW($1:$99)+1),COLUMN(D77)),SMALL(IF(ISERROR(SEARCH(MID(";"&amp;'CASE DATA'!$F77&amp;";",ROW($1:$99),1),";")),"",ROW($1:$99)),COLUMN(D76)+1)-SMALL(IF(ISERROR(SEARCH(MID(";"&amp;'CASE DATA'!$F77&amp;";",ROW($1:$99),1),";")),"",ROW($1:$99)),COLUMN(D76))-1)</f>
        <v/>
      </c>
      <c r="AB77" s="75" t="str" cm="1">
        <f t="array" ref="AB77">MID(";"&amp;'CASE DATA'!$F77&amp;";",SMALL(IF(ISERROR(SEARCH(MID(";"&amp;'CASE DATA'!$F77&amp;";",ROW($1:$99),1),";")),"",ROW($1:$99)+1),COLUMN(E77)),SMALL(IF(ISERROR(SEARCH(MID(";"&amp;'CASE DATA'!$F77&amp;";",ROW($1:$99),1),";")),"",ROW($1:$99)),COLUMN(E76)+1)-SMALL(IF(ISERROR(SEARCH(MID(";"&amp;'CASE DATA'!$F77&amp;";",ROW($1:$99),1),";")),"",ROW($1:$99)),COLUMN(E76))-1)</f>
        <v/>
      </c>
      <c r="AC77" s="75" t="str" cm="1">
        <f t="array" ref="AC77">MID(";"&amp;'CASE DATA'!$F77&amp;";",SMALL(IF(ISERROR(SEARCH(MID(";"&amp;'CASE DATA'!$F77&amp;";",ROW($1:$99),1),";")),"",ROW($1:$99)+1),COLUMN(F77)),SMALL(IF(ISERROR(SEARCH(MID(";"&amp;'CASE DATA'!$F77&amp;";",ROW($1:$99),1),";")),"",ROW($1:$99)),COLUMN(F76)+1)-SMALL(IF(ISERROR(SEARCH(MID(";"&amp;'CASE DATA'!$F77&amp;";",ROW($1:$99),1),";")),"",ROW($1:$99)),COLUMN(F76))-1)</f>
        <v/>
      </c>
      <c r="AD77" s="75" t="str" cm="1">
        <f t="array" ref="AD77">MID(";"&amp;'CASE DATA'!$F77&amp;";",SMALL(IF(ISERROR(SEARCH(MID(";"&amp;'CASE DATA'!$F77&amp;";",ROW($1:$99),1),";")),"",ROW($1:$99)+1),COLUMN(G77)),SMALL(IF(ISERROR(SEARCH(MID(";"&amp;'CASE DATA'!$F77&amp;";",ROW($1:$99),1),";")),"",ROW($1:$99)),COLUMN(G76)+1)-SMALL(IF(ISERROR(SEARCH(MID(";"&amp;'CASE DATA'!$F77&amp;";",ROW($1:$99),1),";")),"",ROW($1:$99)),COLUMN(G76))-1)</f>
        <v/>
      </c>
      <c r="AE77" s="75" t="str" cm="1">
        <f t="array" ref="AE77">MID(";"&amp;'CASE DATA'!$F77&amp;";",SMALL(IF(ISERROR(SEARCH(MID(";"&amp;'CASE DATA'!$F77&amp;";",ROW($1:$99),1),";")),"",ROW($1:$99)+1),COLUMN(H77)),SMALL(IF(ISERROR(SEARCH(MID(";"&amp;'CASE DATA'!$F77&amp;";",ROW($1:$99),1),";")),"",ROW($1:$99)),COLUMN(H76)+1)-SMALL(IF(ISERROR(SEARCH(MID(";"&amp;'CASE DATA'!$F77&amp;";",ROW($1:$99),1),";")),"",ROW($1:$99)),COLUMN(H76))-1)</f>
        <v/>
      </c>
      <c r="AF77" s="75" t="str" cm="1">
        <f t="array" ref="AF77">MID(";"&amp;'CASE DATA'!$F77&amp;";",SMALL(IF(ISERROR(SEARCH(MID(";"&amp;'CASE DATA'!$F77&amp;";",ROW($1:$99),1),";")),"",ROW($1:$99)+1),COLUMN(I77)),SMALL(IF(ISERROR(SEARCH(MID(";"&amp;'CASE DATA'!$F77&amp;";",ROW($1:$99),1),";")),"",ROW($1:$99)),COLUMN(I76)+1)-SMALL(IF(ISERROR(SEARCH(MID(";"&amp;'CASE DATA'!$F77&amp;";",ROW($1:$99),1),";")),"",ROW($1:$99)),COLUMN(I76))-1)</f>
        <v/>
      </c>
      <c r="AG77" s="75" t="str" cm="1">
        <f t="array" ref="AG77">MID(";"&amp;'CASE DATA'!$F77&amp;";",SMALL(IF(ISERROR(SEARCH(MID(";"&amp;'CASE DATA'!$F77&amp;";",ROW($1:$99),1),";")),"",ROW($1:$99)+1),COLUMN(K77)),SMALL(IF(ISERROR(SEARCH(MID(";"&amp;'CASE DATA'!$F77&amp;";",ROW($1:$99),1),";")),"",ROW($1:$99)),COLUMN(K76)+1)-SMALL(IF(ISERROR(SEARCH(MID(";"&amp;'CASE DATA'!$F77&amp;";",ROW($1:$99),1),";")),"",ROW($1:$99)),COLUMN(K76))-1)</f>
        <v/>
      </c>
      <c r="AH77" s="75" t="str" cm="1">
        <f t="array" ref="AH77">MID(";"&amp;'CASE DATA'!$F77&amp;";",SMALL(IF(ISERROR(SEARCH(MID(";"&amp;'CASE DATA'!$F77&amp;";",ROW($1:$99),1),";")),"",ROW($1:$99)+1),COLUMN(L77)),SMALL(IF(ISERROR(SEARCH(MID(";"&amp;'CASE DATA'!$F77&amp;";",ROW($1:$99),1),";")),"",ROW($1:$99)),COLUMN(L76)+1)-SMALL(IF(ISERROR(SEARCH(MID(";"&amp;'CASE DATA'!$F77&amp;";",ROW($1:$99),1),";")),"",ROW($1:$99)),COLUMN(L76))-1)</f>
        <v/>
      </c>
      <c r="AI77" s="75" t="str" cm="1">
        <f t="array" ref="AI77">MID(";"&amp;'CASE DATA'!$F77&amp;";",SMALL(IF(ISERROR(SEARCH(MID(";"&amp;'CASE DATA'!$F77&amp;";",ROW($1:$99),1),";")),"",ROW($1:$99)+1),COLUMN(M77)),SMALL(IF(ISERROR(SEARCH(MID(";"&amp;'CASE DATA'!$F77&amp;";",ROW($1:$99),1),";")),"",ROW($1:$99)),COLUMN(M76)+1)-SMALL(IF(ISERROR(SEARCH(MID(";"&amp;'CASE DATA'!$F77&amp;";",ROW($1:$99),1),";")),"",ROW($1:$99)),COLUMN(M76))-1)</f>
        <v/>
      </c>
      <c r="BO77" s="99"/>
      <c r="BP77" s="99"/>
      <c r="BQ77" s="99"/>
      <c r="BR77" s="99"/>
      <c r="BS77" s="99"/>
      <c r="BT77" s="99"/>
      <c r="BU77" s="99"/>
      <c r="BV77" s="99"/>
      <c r="BW77" s="99"/>
      <c r="BX77" s="99"/>
      <c r="BY77" s="99"/>
      <c r="BZ77" s="99"/>
      <c r="CA77" s="99"/>
      <c r="CB77" s="99"/>
      <c r="CC77" s="99"/>
      <c r="CD77" s="99"/>
      <c r="CE77" s="99"/>
      <c r="CF77" s="99"/>
      <c r="CG77" s="99"/>
      <c r="CH77" s="99"/>
      <c r="CI77" s="99"/>
      <c r="CJ77" s="99"/>
      <c r="CK77" s="99"/>
      <c r="CL77" s="99"/>
      <c r="CM77" s="99"/>
      <c r="CN77" s="99"/>
      <c r="CO77" s="99"/>
      <c r="CP77" s="99"/>
      <c r="CQ77" s="99"/>
      <c r="CR77" s="99"/>
      <c r="CS77" s="99"/>
      <c r="CT77" s="99"/>
      <c r="CU77" s="99"/>
      <c r="CV77" s="99"/>
      <c r="CW77" s="99"/>
      <c r="CX77" s="99"/>
      <c r="CY77" s="99"/>
      <c r="CZ77" s="99"/>
      <c r="DA77" s="99"/>
      <c r="DB77" s="99"/>
      <c r="DC77" s="99"/>
      <c r="DD77" s="99"/>
      <c r="DE77" s="99"/>
      <c r="DF77" s="99"/>
      <c r="DG77" s="99"/>
      <c r="DH77" s="99"/>
      <c r="DI77" s="99"/>
      <c r="DJ77" s="99"/>
      <c r="DK77" s="99"/>
      <c r="DL77" s="99"/>
      <c r="DM77" s="99"/>
      <c r="DN77" s="99"/>
      <c r="DO77" s="99"/>
      <c r="DP77" s="99"/>
      <c r="DQ77" s="99"/>
      <c r="DR77" s="99"/>
      <c r="DS77" s="99"/>
      <c r="DT77" s="99"/>
      <c r="DU77" s="99"/>
      <c r="DV77" s="99"/>
      <c r="DW77" s="99"/>
      <c r="DX77" s="99"/>
      <c r="DY77" s="99"/>
      <c r="DZ77" s="99"/>
      <c r="EA77" s="99"/>
      <c r="EB77" s="99"/>
      <c r="EC77" s="99"/>
      <c r="ED77" s="99"/>
      <c r="EE77" s="99"/>
      <c r="EF77" s="99"/>
      <c r="EG77" s="99"/>
      <c r="EH77" s="99"/>
      <c r="EI77" s="99"/>
      <c r="EJ77" s="99"/>
      <c r="EK77" s="99"/>
      <c r="EL77" s="99"/>
      <c r="EM77" s="99"/>
      <c r="EN77" s="99"/>
      <c r="EO77" s="99"/>
      <c r="EP77" s="99"/>
      <c r="EQ77" s="99"/>
      <c r="ER77" s="99"/>
      <c r="ES77" s="99"/>
      <c r="ET77" s="99"/>
      <c r="EU77" s="99"/>
      <c r="EV77" s="99"/>
      <c r="EW77" s="99"/>
      <c r="EX77" s="99"/>
      <c r="EY77" s="99"/>
      <c r="EZ77" s="99"/>
      <c r="FA77" s="99"/>
      <c r="FB77" s="99"/>
      <c r="FC77" s="99"/>
      <c r="FD77" s="99"/>
      <c r="FE77" s="99"/>
      <c r="FF77" s="99"/>
      <c r="FG77" s="99"/>
      <c r="FH77" s="99"/>
      <c r="FI77" s="99"/>
      <c r="FJ77" s="99"/>
      <c r="FK77" s="99"/>
    </row>
    <row r="78" spans="1:167" s="70" customFormat="1" x14ac:dyDescent="0.25">
      <c r="A78" s="11"/>
      <c r="B78"/>
      <c r="C78" s="10"/>
      <c r="D78" s="10"/>
      <c r="E78" s="11"/>
      <c r="F78" s="15"/>
      <c r="G78"/>
      <c r="H78" s="99"/>
      <c r="I78" s="99"/>
      <c r="J78" s="99">
        <v>75</v>
      </c>
      <c r="K78" s="16"/>
      <c r="L78" s="16"/>
      <c r="M78" s="16"/>
      <c r="N78" s="16"/>
      <c r="O78" s="16"/>
      <c r="P78" s="16"/>
      <c r="Q78" s="16"/>
      <c r="R78" s="16"/>
      <c r="S78" s="16"/>
      <c r="T78" s="16"/>
      <c r="U78" s="73">
        <f>SUM(K78:T78)</f>
        <v>0</v>
      </c>
      <c r="V78" s="73"/>
      <c r="W78"/>
      <c r="X78" s="75" t="str" cm="1">
        <f t="array" ref="X78">MID(";"&amp;'CASE DATA'!$F78&amp;";",SMALL(IF(ISERROR(SEARCH(MID(";"&amp;'CASE DATA'!$F78&amp;";",ROW($1:$99),1),";")),"",ROW($1:$99)+1),COLUMN(A78)),SMALL(IF(ISERROR(SEARCH(MID(";"&amp;'CASE DATA'!$F78&amp;";",ROW($1:$99),1),";")),"",ROW($1:$99)),COLUMN(A77)+1)-SMALL(IF(ISERROR(SEARCH(MID(";"&amp;'CASE DATA'!$F78&amp;";",ROW($1:$99),1),";")),"",ROW($1:$99)),COLUMN(A77))-1)</f>
        <v/>
      </c>
      <c r="Y78" s="75" t="str" cm="1">
        <f t="array" ref="Y78">MID(";"&amp;'CASE DATA'!$F78&amp;";",SMALL(IF(ISERROR(SEARCH(MID(";"&amp;'CASE DATA'!$F78&amp;";",ROW($1:$99),1),";")),"",ROW($1:$99)+1),COLUMN(B78)),SMALL(IF(ISERROR(SEARCH(MID(";"&amp;'CASE DATA'!$F78&amp;";",ROW($1:$99),1),";")),"",ROW($1:$99)),COLUMN(B77)+1)-SMALL(IF(ISERROR(SEARCH(MID(";"&amp;'CASE DATA'!$F78&amp;";",ROW($1:$99),1),";")),"",ROW($1:$99)),COLUMN(B77))-1)</f>
        <v/>
      </c>
      <c r="Z78" s="75" t="str" cm="1">
        <f t="array" ref="Z78">MID(";"&amp;'CASE DATA'!$F78&amp;";",SMALL(IF(ISERROR(SEARCH(MID(";"&amp;'CASE DATA'!$F78&amp;";",ROW($1:$99),1),";")),"",ROW($1:$99)+1),COLUMN(C78)),SMALL(IF(ISERROR(SEARCH(MID(";"&amp;'CASE DATA'!$F78&amp;";",ROW($1:$99),1),";")),"",ROW($1:$99)),COLUMN(C77)+1)-SMALL(IF(ISERROR(SEARCH(MID(";"&amp;'CASE DATA'!$F78&amp;";",ROW($1:$99),1),";")),"",ROW($1:$99)),COLUMN(C77))-1)</f>
        <v/>
      </c>
      <c r="AA78" s="75" t="str" cm="1">
        <f t="array" ref="AA78">MID(";"&amp;'CASE DATA'!$F78&amp;";",SMALL(IF(ISERROR(SEARCH(MID(";"&amp;'CASE DATA'!$F78&amp;";",ROW($1:$99),1),";")),"",ROW($1:$99)+1),COLUMN(D78)),SMALL(IF(ISERROR(SEARCH(MID(";"&amp;'CASE DATA'!$F78&amp;";",ROW($1:$99),1),";")),"",ROW($1:$99)),COLUMN(D77)+1)-SMALL(IF(ISERROR(SEARCH(MID(";"&amp;'CASE DATA'!$F78&amp;";",ROW($1:$99),1),";")),"",ROW($1:$99)),COLUMN(D77))-1)</f>
        <v/>
      </c>
      <c r="AB78" s="75" t="str" cm="1">
        <f t="array" ref="AB78">MID(";"&amp;'CASE DATA'!$F78&amp;";",SMALL(IF(ISERROR(SEARCH(MID(";"&amp;'CASE DATA'!$F78&amp;";",ROW($1:$99),1),";")),"",ROW($1:$99)+1),COLUMN(E78)),SMALL(IF(ISERROR(SEARCH(MID(";"&amp;'CASE DATA'!$F78&amp;";",ROW($1:$99),1),";")),"",ROW($1:$99)),COLUMN(E77)+1)-SMALL(IF(ISERROR(SEARCH(MID(";"&amp;'CASE DATA'!$F78&amp;";",ROW($1:$99),1),";")),"",ROW($1:$99)),COLUMN(E77))-1)</f>
        <v/>
      </c>
      <c r="AC78" s="75" t="str" cm="1">
        <f t="array" ref="AC78">MID(";"&amp;'CASE DATA'!$F78&amp;";",SMALL(IF(ISERROR(SEARCH(MID(";"&amp;'CASE DATA'!$F78&amp;";",ROW($1:$99),1),";")),"",ROW($1:$99)+1),COLUMN(F78)),SMALL(IF(ISERROR(SEARCH(MID(";"&amp;'CASE DATA'!$F78&amp;";",ROW($1:$99),1),";")),"",ROW($1:$99)),COLUMN(F77)+1)-SMALL(IF(ISERROR(SEARCH(MID(";"&amp;'CASE DATA'!$F78&amp;";",ROW($1:$99),1),";")),"",ROW($1:$99)),COLUMN(F77))-1)</f>
        <v/>
      </c>
      <c r="AD78" s="75" t="str" cm="1">
        <f t="array" ref="AD78">MID(";"&amp;'CASE DATA'!$F78&amp;";",SMALL(IF(ISERROR(SEARCH(MID(";"&amp;'CASE DATA'!$F78&amp;";",ROW($1:$99),1),";")),"",ROW($1:$99)+1),COLUMN(G78)),SMALL(IF(ISERROR(SEARCH(MID(";"&amp;'CASE DATA'!$F78&amp;";",ROW($1:$99),1),";")),"",ROW($1:$99)),COLUMN(G77)+1)-SMALL(IF(ISERROR(SEARCH(MID(";"&amp;'CASE DATA'!$F78&amp;";",ROW($1:$99),1),";")),"",ROW($1:$99)),COLUMN(G77))-1)</f>
        <v/>
      </c>
      <c r="AE78" s="75" t="str" cm="1">
        <f t="array" ref="AE78">MID(";"&amp;'CASE DATA'!$F78&amp;";",SMALL(IF(ISERROR(SEARCH(MID(";"&amp;'CASE DATA'!$F78&amp;";",ROW($1:$99),1),";")),"",ROW($1:$99)+1),COLUMN(H78)),SMALL(IF(ISERROR(SEARCH(MID(";"&amp;'CASE DATA'!$F78&amp;";",ROW($1:$99),1),";")),"",ROW($1:$99)),COLUMN(H77)+1)-SMALL(IF(ISERROR(SEARCH(MID(";"&amp;'CASE DATA'!$F78&amp;";",ROW($1:$99),1),";")),"",ROW($1:$99)),COLUMN(H77))-1)</f>
        <v/>
      </c>
      <c r="AF78" s="75" t="str" cm="1">
        <f t="array" ref="AF78">MID(";"&amp;'CASE DATA'!$F78&amp;";",SMALL(IF(ISERROR(SEARCH(MID(";"&amp;'CASE DATA'!$F78&amp;";",ROW($1:$99),1),";")),"",ROW($1:$99)+1),COLUMN(I78)),SMALL(IF(ISERROR(SEARCH(MID(";"&amp;'CASE DATA'!$F78&amp;";",ROW($1:$99),1),";")),"",ROW($1:$99)),COLUMN(I77)+1)-SMALL(IF(ISERROR(SEARCH(MID(";"&amp;'CASE DATA'!$F78&amp;";",ROW($1:$99),1),";")),"",ROW($1:$99)),COLUMN(I77))-1)</f>
        <v/>
      </c>
      <c r="AG78" s="75" t="str" cm="1">
        <f t="array" ref="AG78">MID(";"&amp;'CASE DATA'!$F78&amp;";",SMALL(IF(ISERROR(SEARCH(MID(";"&amp;'CASE DATA'!$F78&amp;";",ROW($1:$99),1),";")),"",ROW($1:$99)+1),COLUMN(K78)),SMALL(IF(ISERROR(SEARCH(MID(";"&amp;'CASE DATA'!$F78&amp;";",ROW($1:$99),1),";")),"",ROW($1:$99)),COLUMN(K77)+1)-SMALL(IF(ISERROR(SEARCH(MID(";"&amp;'CASE DATA'!$F78&amp;";",ROW($1:$99),1),";")),"",ROW($1:$99)),COLUMN(K77))-1)</f>
        <v/>
      </c>
      <c r="AH78" s="75" t="str" cm="1">
        <f t="array" ref="AH78">MID(";"&amp;'CASE DATA'!$F78&amp;";",SMALL(IF(ISERROR(SEARCH(MID(";"&amp;'CASE DATA'!$F78&amp;";",ROW($1:$99),1),";")),"",ROW($1:$99)+1),COLUMN(L78)),SMALL(IF(ISERROR(SEARCH(MID(";"&amp;'CASE DATA'!$F78&amp;";",ROW($1:$99),1),";")),"",ROW($1:$99)),COLUMN(L77)+1)-SMALL(IF(ISERROR(SEARCH(MID(";"&amp;'CASE DATA'!$F78&amp;";",ROW($1:$99),1),";")),"",ROW($1:$99)),COLUMN(L77))-1)</f>
        <v/>
      </c>
      <c r="AI78" s="75" t="str" cm="1">
        <f t="array" ref="AI78">MID(";"&amp;'CASE DATA'!$F78&amp;";",SMALL(IF(ISERROR(SEARCH(MID(";"&amp;'CASE DATA'!$F78&amp;";",ROW($1:$99),1),";")),"",ROW($1:$99)+1),COLUMN(M78)),SMALL(IF(ISERROR(SEARCH(MID(";"&amp;'CASE DATA'!$F78&amp;";",ROW($1:$99),1),";")),"",ROW($1:$99)),COLUMN(M77)+1)-SMALL(IF(ISERROR(SEARCH(MID(";"&amp;'CASE DATA'!$F78&amp;";",ROW($1:$99),1),";")),"",ROW($1:$99)),COLUMN(M77))-1)</f>
        <v/>
      </c>
      <c r="AJ78"/>
      <c r="AK78"/>
      <c r="AL78"/>
      <c r="AM78"/>
      <c r="AN78"/>
      <c r="AO78"/>
      <c r="AP78"/>
      <c r="AQ78"/>
      <c r="AR78"/>
      <c r="AS78"/>
      <c r="AT78"/>
      <c r="AU78"/>
      <c r="AV78"/>
      <c r="AW78"/>
      <c r="AX78"/>
      <c r="AY78"/>
      <c r="AZ78"/>
      <c r="BA78"/>
      <c r="BB78"/>
      <c r="BC78"/>
      <c r="BD78"/>
      <c r="BE78"/>
      <c r="BF78"/>
      <c r="BG78"/>
      <c r="BH78"/>
      <c r="BI78"/>
      <c r="BJ78"/>
      <c r="BK78"/>
      <c r="BL78"/>
      <c r="BM78"/>
      <c r="BN78"/>
      <c r="BO78" s="99"/>
      <c r="BP78" s="99"/>
      <c r="BQ78" s="99"/>
      <c r="BR78" s="99"/>
      <c r="BS78" s="99"/>
      <c r="BT78" s="99"/>
      <c r="BU78" s="99"/>
      <c r="BV78" s="99"/>
      <c r="BW78" s="99"/>
      <c r="BX78" s="99"/>
      <c r="BY78" s="99"/>
      <c r="BZ78" s="99"/>
      <c r="CA78" s="99"/>
      <c r="CB78" s="99"/>
      <c r="CC78" s="99"/>
      <c r="CD78" s="99"/>
      <c r="CE78" s="99"/>
      <c r="CF78" s="99"/>
      <c r="CG78" s="99"/>
      <c r="CH78" s="99"/>
      <c r="CI78" s="99"/>
      <c r="CJ78" s="99"/>
      <c r="CK78" s="99"/>
      <c r="CL78" s="99"/>
      <c r="CM78" s="99"/>
      <c r="CN78" s="99"/>
      <c r="CO78" s="99"/>
      <c r="CP78" s="99"/>
      <c r="CQ78" s="99"/>
      <c r="CR78" s="99"/>
      <c r="CS78" s="99"/>
      <c r="CT78" s="99"/>
      <c r="CU78" s="99"/>
      <c r="CV78" s="99"/>
      <c r="CW78" s="99"/>
      <c r="CX78" s="99"/>
      <c r="CY78" s="99"/>
      <c r="CZ78" s="99"/>
      <c r="DA78" s="99"/>
      <c r="DB78" s="99"/>
      <c r="DC78" s="99"/>
      <c r="DD78" s="99"/>
      <c r="DE78" s="99"/>
      <c r="DF78" s="99"/>
      <c r="DG78" s="99"/>
      <c r="DH78" s="99"/>
      <c r="DI78" s="99"/>
      <c r="DJ78" s="99"/>
      <c r="DK78" s="99"/>
      <c r="DL78" s="99"/>
      <c r="DM78" s="99"/>
      <c r="DN78" s="99"/>
      <c r="DO78" s="99"/>
      <c r="DP78" s="99"/>
      <c r="DQ78" s="99"/>
      <c r="DR78" s="99"/>
      <c r="DS78" s="99"/>
      <c r="DT78" s="99"/>
      <c r="DU78" s="99"/>
      <c r="DV78" s="99"/>
      <c r="DW78" s="99"/>
      <c r="DX78" s="99"/>
      <c r="DY78" s="99"/>
      <c r="DZ78" s="99"/>
      <c r="EA78" s="99"/>
      <c r="EB78" s="99"/>
      <c r="EC78" s="99"/>
      <c r="ED78" s="99"/>
      <c r="EE78" s="99"/>
      <c r="EF78" s="99"/>
      <c r="EG78" s="99"/>
      <c r="EH78" s="99"/>
      <c r="EI78" s="99"/>
      <c r="EJ78" s="99"/>
      <c r="EK78" s="99"/>
      <c r="EL78" s="99"/>
      <c r="EM78" s="99"/>
      <c r="EN78" s="99"/>
      <c r="EO78" s="99"/>
      <c r="EP78" s="99"/>
      <c r="EQ78" s="99"/>
      <c r="ER78" s="99"/>
      <c r="ES78" s="99"/>
      <c r="ET78" s="99"/>
      <c r="EU78" s="99"/>
      <c r="EV78" s="99"/>
      <c r="EW78" s="99"/>
      <c r="EX78" s="99"/>
      <c r="EY78" s="99"/>
      <c r="EZ78" s="99"/>
      <c r="FA78" s="99"/>
      <c r="FB78" s="99"/>
      <c r="FC78" s="99"/>
      <c r="FD78" s="99"/>
      <c r="FE78" s="99"/>
      <c r="FF78" s="99"/>
      <c r="FG78" s="99"/>
      <c r="FH78" s="99"/>
      <c r="FI78" s="99"/>
      <c r="FJ78" s="99"/>
      <c r="FK78" s="99"/>
    </row>
    <row r="79" spans="1:167" s="70" customFormat="1" x14ac:dyDescent="0.25">
      <c r="A79" s="11"/>
      <c r="B79"/>
      <c r="C79" s="10"/>
      <c r="D79" s="10"/>
      <c r="E79" s="11"/>
      <c r="F79" s="15"/>
      <c r="G79"/>
      <c r="H79" s="99"/>
      <c r="I79" s="99"/>
      <c r="J79" s="99">
        <v>76</v>
      </c>
      <c r="K79" s="16"/>
      <c r="L79" s="16"/>
      <c r="M79" s="16"/>
      <c r="N79" s="16"/>
      <c r="O79" s="16"/>
      <c r="P79" s="16"/>
      <c r="Q79" s="16"/>
      <c r="R79" s="16"/>
      <c r="S79" s="16"/>
      <c r="T79" s="16"/>
      <c r="U79" s="73">
        <f>SUM(K79:T79)</f>
        <v>0</v>
      </c>
      <c r="V79" s="73"/>
      <c r="W79"/>
      <c r="X79" s="75" t="str" cm="1">
        <f t="array" ref="X79">MID(";"&amp;'CASE DATA'!$F79&amp;";",SMALL(IF(ISERROR(SEARCH(MID(";"&amp;'CASE DATA'!$F79&amp;";",ROW($1:$99),1),";")),"",ROW($1:$99)+1),COLUMN(A79)),SMALL(IF(ISERROR(SEARCH(MID(";"&amp;'CASE DATA'!$F79&amp;";",ROW($1:$99),1),";")),"",ROW($1:$99)),COLUMN(A78)+1)-SMALL(IF(ISERROR(SEARCH(MID(";"&amp;'CASE DATA'!$F79&amp;";",ROW($1:$99),1),";")),"",ROW($1:$99)),COLUMN(A78))-1)</f>
        <v/>
      </c>
      <c r="Y79" s="75" t="str" cm="1">
        <f t="array" ref="Y79">MID(";"&amp;'CASE DATA'!$F79&amp;";",SMALL(IF(ISERROR(SEARCH(MID(";"&amp;'CASE DATA'!$F79&amp;";",ROW($1:$99),1),";")),"",ROW($1:$99)+1),COLUMN(B79)),SMALL(IF(ISERROR(SEARCH(MID(";"&amp;'CASE DATA'!$F79&amp;";",ROW($1:$99),1),";")),"",ROW($1:$99)),COLUMN(B78)+1)-SMALL(IF(ISERROR(SEARCH(MID(";"&amp;'CASE DATA'!$F79&amp;";",ROW($1:$99),1),";")),"",ROW($1:$99)),COLUMN(B78))-1)</f>
        <v/>
      </c>
      <c r="Z79" s="75" t="str" cm="1">
        <f t="array" ref="Z79">MID(";"&amp;'CASE DATA'!$F79&amp;";",SMALL(IF(ISERROR(SEARCH(MID(";"&amp;'CASE DATA'!$F79&amp;";",ROW($1:$99),1),";")),"",ROW($1:$99)+1),COLUMN(C79)),SMALL(IF(ISERROR(SEARCH(MID(";"&amp;'CASE DATA'!$F79&amp;";",ROW($1:$99),1),";")),"",ROW($1:$99)),COLUMN(C78)+1)-SMALL(IF(ISERROR(SEARCH(MID(";"&amp;'CASE DATA'!$F79&amp;";",ROW($1:$99),1),";")),"",ROW($1:$99)),COLUMN(C78))-1)</f>
        <v/>
      </c>
      <c r="AA79" s="75" t="str" cm="1">
        <f t="array" ref="AA79">MID(";"&amp;'CASE DATA'!$F79&amp;";",SMALL(IF(ISERROR(SEARCH(MID(";"&amp;'CASE DATA'!$F79&amp;";",ROW($1:$99),1),";")),"",ROW($1:$99)+1),COLUMN(D79)),SMALL(IF(ISERROR(SEARCH(MID(";"&amp;'CASE DATA'!$F79&amp;";",ROW($1:$99),1),";")),"",ROW($1:$99)),COLUMN(D78)+1)-SMALL(IF(ISERROR(SEARCH(MID(";"&amp;'CASE DATA'!$F79&amp;";",ROW($1:$99),1),";")),"",ROW($1:$99)),COLUMN(D78))-1)</f>
        <v/>
      </c>
      <c r="AB79" s="75" t="str" cm="1">
        <f t="array" ref="AB79">MID(";"&amp;'CASE DATA'!$F79&amp;";",SMALL(IF(ISERROR(SEARCH(MID(";"&amp;'CASE DATA'!$F79&amp;";",ROW($1:$99),1),";")),"",ROW($1:$99)+1),COLUMN(E79)),SMALL(IF(ISERROR(SEARCH(MID(";"&amp;'CASE DATA'!$F79&amp;";",ROW($1:$99),1),";")),"",ROW($1:$99)),COLUMN(E78)+1)-SMALL(IF(ISERROR(SEARCH(MID(";"&amp;'CASE DATA'!$F79&amp;";",ROW($1:$99),1),";")),"",ROW($1:$99)),COLUMN(E78))-1)</f>
        <v/>
      </c>
      <c r="AC79" s="75" t="str" cm="1">
        <f t="array" ref="AC79">MID(";"&amp;'CASE DATA'!$F79&amp;";",SMALL(IF(ISERROR(SEARCH(MID(";"&amp;'CASE DATA'!$F79&amp;";",ROW($1:$99),1),";")),"",ROW($1:$99)+1),COLUMN(F79)),SMALL(IF(ISERROR(SEARCH(MID(";"&amp;'CASE DATA'!$F79&amp;";",ROW($1:$99),1),";")),"",ROW($1:$99)),COLUMN(F78)+1)-SMALL(IF(ISERROR(SEARCH(MID(";"&amp;'CASE DATA'!$F79&amp;";",ROW($1:$99),1),";")),"",ROW($1:$99)),COLUMN(F78))-1)</f>
        <v/>
      </c>
      <c r="AD79" s="75" t="str" cm="1">
        <f t="array" ref="AD79">MID(";"&amp;'CASE DATA'!$F79&amp;";",SMALL(IF(ISERROR(SEARCH(MID(";"&amp;'CASE DATA'!$F79&amp;";",ROW($1:$99),1),";")),"",ROW($1:$99)+1),COLUMN(G79)),SMALL(IF(ISERROR(SEARCH(MID(";"&amp;'CASE DATA'!$F79&amp;";",ROW($1:$99),1),";")),"",ROW($1:$99)),COLUMN(G78)+1)-SMALL(IF(ISERROR(SEARCH(MID(";"&amp;'CASE DATA'!$F79&amp;";",ROW($1:$99),1),";")),"",ROW($1:$99)),COLUMN(G78))-1)</f>
        <v/>
      </c>
      <c r="AE79" s="75" t="str" cm="1">
        <f t="array" ref="AE79">MID(";"&amp;'CASE DATA'!$F79&amp;";",SMALL(IF(ISERROR(SEARCH(MID(";"&amp;'CASE DATA'!$F79&amp;";",ROW($1:$99),1),";")),"",ROW($1:$99)+1),COLUMN(H79)),SMALL(IF(ISERROR(SEARCH(MID(";"&amp;'CASE DATA'!$F79&amp;";",ROW($1:$99),1),";")),"",ROW($1:$99)),COLUMN(H78)+1)-SMALL(IF(ISERROR(SEARCH(MID(";"&amp;'CASE DATA'!$F79&amp;";",ROW($1:$99),1),";")),"",ROW($1:$99)),COLUMN(H78))-1)</f>
        <v/>
      </c>
      <c r="AF79" s="75" t="str" cm="1">
        <f t="array" ref="AF79">MID(";"&amp;'CASE DATA'!$F79&amp;";",SMALL(IF(ISERROR(SEARCH(MID(";"&amp;'CASE DATA'!$F79&amp;";",ROW($1:$99),1),";")),"",ROW($1:$99)+1),COLUMN(I79)),SMALL(IF(ISERROR(SEARCH(MID(";"&amp;'CASE DATA'!$F79&amp;";",ROW($1:$99),1),";")),"",ROW($1:$99)),COLUMN(I78)+1)-SMALL(IF(ISERROR(SEARCH(MID(";"&amp;'CASE DATA'!$F79&amp;";",ROW($1:$99),1),";")),"",ROW($1:$99)),COLUMN(I78))-1)</f>
        <v/>
      </c>
      <c r="AG79" s="75" t="str" cm="1">
        <f t="array" ref="AG79">MID(";"&amp;'CASE DATA'!$F79&amp;";",SMALL(IF(ISERROR(SEARCH(MID(";"&amp;'CASE DATA'!$F79&amp;";",ROW($1:$99),1),";")),"",ROW($1:$99)+1),COLUMN(K79)),SMALL(IF(ISERROR(SEARCH(MID(";"&amp;'CASE DATA'!$F79&amp;";",ROW($1:$99),1),";")),"",ROW($1:$99)),COLUMN(K78)+1)-SMALL(IF(ISERROR(SEARCH(MID(";"&amp;'CASE DATA'!$F79&amp;";",ROW($1:$99),1),";")),"",ROW($1:$99)),COLUMN(K78))-1)</f>
        <v/>
      </c>
      <c r="AH79" s="75" t="str" cm="1">
        <f t="array" ref="AH79">MID(";"&amp;'CASE DATA'!$F79&amp;";",SMALL(IF(ISERROR(SEARCH(MID(";"&amp;'CASE DATA'!$F79&amp;";",ROW($1:$99),1),";")),"",ROW($1:$99)+1),COLUMN(L79)),SMALL(IF(ISERROR(SEARCH(MID(";"&amp;'CASE DATA'!$F79&amp;";",ROW($1:$99),1),";")),"",ROW($1:$99)),COLUMN(L78)+1)-SMALL(IF(ISERROR(SEARCH(MID(";"&amp;'CASE DATA'!$F79&amp;";",ROW($1:$99),1),";")),"",ROW($1:$99)),COLUMN(L78))-1)</f>
        <v/>
      </c>
      <c r="AI79" s="75" t="str" cm="1">
        <f t="array" ref="AI79">MID(";"&amp;'CASE DATA'!$F79&amp;";",SMALL(IF(ISERROR(SEARCH(MID(";"&amp;'CASE DATA'!$F79&amp;";",ROW($1:$99),1),";")),"",ROW($1:$99)+1),COLUMN(M79)),SMALL(IF(ISERROR(SEARCH(MID(";"&amp;'CASE DATA'!$F79&amp;";",ROW($1:$99),1),";")),"",ROW($1:$99)),COLUMN(M78)+1)-SMALL(IF(ISERROR(SEARCH(MID(";"&amp;'CASE DATA'!$F79&amp;";",ROW($1:$99),1),";")),"",ROW($1:$99)),COLUMN(M78))-1)</f>
        <v/>
      </c>
      <c r="AJ79"/>
      <c r="AK79"/>
      <c r="AL79"/>
      <c r="AM79"/>
      <c r="AN79"/>
      <c r="AO79"/>
      <c r="AP79"/>
      <c r="AQ79"/>
      <c r="AR79"/>
      <c r="AS79"/>
      <c r="AT79"/>
      <c r="AU79"/>
      <c r="AV79"/>
      <c r="AW79"/>
      <c r="AX79"/>
      <c r="AY79"/>
      <c r="AZ79"/>
      <c r="BA79"/>
      <c r="BB79"/>
      <c r="BC79"/>
      <c r="BD79"/>
      <c r="BE79"/>
      <c r="BF79"/>
      <c r="BG79"/>
      <c r="BH79"/>
      <c r="BI79"/>
      <c r="BJ79"/>
      <c r="BK79"/>
      <c r="BL79"/>
      <c r="BM79"/>
      <c r="BN79"/>
      <c r="BO79" s="99"/>
      <c r="BP79" s="99"/>
      <c r="BQ79" s="99"/>
      <c r="BR79" s="99"/>
      <c r="BS79" s="99"/>
      <c r="BT79" s="99"/>
      <c r="BU79" s="99"/>
      <c r="BV79" s="99"/>
      <c r="BW79" s="99"/>
      <c r="BX79" s="99"/>
      <c r="BY79" s="99"/>
      <c r="BZ79" s="99"/>
      <c r="CA79" s="99"/>
      <c r="CB79" s="99"/>
      <c r="CC79" s="99"/>
      <c r="CD79" s="99"/>
      <c r="CE79" s="99"/>
      <c r="CF79" s="99"/>
      <c r="CG79" s="99"/>
      <c r="CH79" s="99"/>
      <c r="CI79" s="99"/>
      <c r="CJ79" s="99"/>
      <c r="CK79" s="99"/>
      <c r="CL79" s="99"/>
      <c r="CM79" s="99"/>
      <c r="CN79" s="99"/>
      <c r="CO79" s="99"/>
      <c r="CP79" s="99"/>
      <c r="CQ79" s="99"/>
      <c r="CR79" s="99"/>
      <c r="CS79" s="99"/>
      <c r="CT79" s="99"/>
      <c r="CU79" s="99"/>
      <c r="CV79" s="99"/>
      <c r="CW79" s="99"/>
      <c r="CX79" s="99"/>
      <c r="CY79" s="99"/>
      <c r="CZ79" s="99"/>
      <c r="DA79" s="99"/>
      <c r="DB79" s="99"/>
      <c r="DC79" s="99"/>
      <c r="DD79" s="99"/>
      <c r="DE79" s="99"/>
      <c r="DF79" s="99"/>
      <c r="DG79" s="99"/>
      <c r="DH79" s="99"/>
      <c r="DI79" s="99"/>
      <c r="DJ79" s="99"/>
      <c r="DK79" s="99"/>
      <c r="DL79" s="99"/>
      <c r="DM79" s="99"/>
      <c r="DN79" s="99"/>
      <c r="DO79" s="99"/>
      <c r="DP79" s="99"/>
      <c r="DQ79" s="99"/>
      <c r="DR79" s="99"/>
      <c r="DS79" s="99"/>
      <c r="DT79" s="99"/>
      <c r="DU79" s="99"/>
      <c r="DV79" s="99"/>
      <c r="DW79" s="99"/>
      <c r="DX79" s="99"/>
      <c r="DY79" s="99"/>
      <c r="DZ79" s="99"/>
      <c r="EA79" s="99"/>
      <c r="EB79" s="99"/>
      <c r="EC79" s="99"/>
      <c r="ED79" s="99"/>
      <c r="EE79" s="99"/>
      <c r="EF79" s="99"/>
      <c r="EG79" s="99"/>
      <c r="EH79" s="99"/>
      <c r="EI79" s="99"/>
      <c r="EJ79" s="99"/>
      <c r="EK79" s="99"/>
      <c r="EL79" s="99"/>
      <c r="EM79" s="99"/>
      <c r="EN79" s="99"/>
      <c r="EO79" s="99"/>
      <c r="EP79" s="99"/>
      <c r="EQ79" s="99"/>
      <c r="ER79" s="99"/>
      <c r="ES79" s="99"/>
      <c r="ET79" s="99"/>
      <c r="EU79" s="99"/>
      <c r="EV79" s="99"/>
      <c r="EW79" s="99"/>
      <c r="EX79" s="99"/>
      <c r="EY79" s="99"/>
      <c r="EZ79" s="99"/>
      <c r="FA79" s="99"/>
      <c r="FB79" s="99"/>
      <c r="FC79" s="99"/>
      <c r="FD79" s="99"/>
      <c r="FE79" s="99"/>
      <c r="FF79" s="99"/>
      <c r="FG79" s="99"/>
      <c r="FH79" s="99"/>
      <c r="FI79" s="99"/>
      <c r="FJ79" s="99"/>
      <c r="FK79" s="99"/>
    </row>
    <row r="80" spans="1:167" s="70" customFormat="1" x14ac:dyDescent="0.25">
      <c r="A80" s="11"/>
      <c r="B80"/>
      <c r="C80" s="10"/>
      <c r="D80" s="10"/>
      <c r="E80" s="11"/>
      <c r="F80" s="15"/>
      <c r="G80"/>
      <c r="H80" s="99"/>
      <c r="I80" s="99"/>
      <c r="J80" s="99">
        <v>77</v>
      </c>
      <c r="K80" s="16"/>
      <c r="L80" s="16"/>
      <c r="M80" s="16"/>
      <c r="N80" s="16"/>
      <c r="O80" s="16"/>
      <c r="P80" s="16"/>
      <c r="Q80" s="16"/>
      <c r="R80" s="16"/>
      <c r="S80" s="16"/>
      <c r="T80" s="16"/>
      <c r="U80" s="73">
        <f>SUM(K80:T80)</f>
        <v>0</v>
      </c>
      <c r="V80" s="73"/>
      <c r="W80"/>
      <c r="X80" s="75" t="str" cm="1">
        <f t="array" ref="X80">MID(";"&amp;'CASE DATA'!$F80&amp;";",SMALL(IF(ISERROR(SEARCH(MID(";"&amp;'CASE DATA'!$F80&amp;";",ROW($1:$99),1),";")),"",ROW($1:$99)+1),COLUMN(A80)),SMALL(IF(ISERROR(SEARCH(MID(";"&amp;'CASE DATA'!$F80&amp;";",ROW($1:$99),1),";")),"",ROW($1:$99)),COLUMN(A79)+1)-SMALL(IF(ISERROR(SEARCH(MID(";"&amp;'CASE DATA'!$F80&amp;";",ROW($1:$99),1),";")),"",ROW($1:$99)),COLUMN(A79))-1)</f>
        <v/>
      </c>
      <c r="Y80" s="75" t="str" cm="1">
        <f t="array" ref="Y80">MID(";"&amp;'CASE DATA'!$F80&amp;";",SMALL(IF(ISERROR(SEARCH(MID(";"&amp;'CASE DATA'!$F80&amp;";",ROW($1:$99),1),";")),"",ROW($1:$99)+1),COLUMN(B80)),SMALL(IF(ISERROR(SEARCH(MID(";"&amp;'CASE DATA'!$F80&amp;";",ROW($1:$99),1),";")),"",ROW($1:$99)),COLUMN(B79)+1)-SMALL(IF(ISERROR(SEARCH(MID(";"&amp;'CASE DATA'!$F80&amp;";",ROW($1:$99),1),";")),"",ROW($1:$99)),COLUMN(B79))-1)</f>
        <v/>
      </c>
      <c r="Z80" s="75" t="str" cm="1">
        <f t="array" ref="Z80">MID(";"&amp;'CASE DATA'!$F80&amp;";",SMALL(IF(ISERROR(SEARCH(MID(";"&amp;'CASE DATA'!$F80&amp;";",ROW($1:$99),1),";")),"",ROW($1:$99)+1),COLUMN(C80)),SMALL(IF(ISERROR(SEARCH(MID(";"&amp;'CASE DATA'!$F80&amp;";",ROW($1:$99),1),";")),"",ROW($1:$99)),COLUMN(C79)+1)-SMALL(IF(ISERROR(SEARCH(MID(";"&amp;'CASE DATA'!$F80&amp;";",ROW($1:$99),1),";")),"",ROW($1:$99)),COLUMN(C79))-1)</f>
        <v/>
      </c>
      <c r="AA80" s="75" t="str" cm="1">
        <f t="array" ref="AA80">MID(";"&amp;'CASE DATA'!$F80&amp;";",SMALL(IF(ISERROR(SEARCH(MID(";"&amp;'CASE DATA'!$F80&amp;";",ROW($1:$99),1),";")),"",ROW($1:$99)+1),COLUMN(D80)),SMALL(IF(ISERROR(SEARCH(MID(";"&amp;'CASE DATA'!$F80&amp;";",ROW($1:$99),1),";")),"",ROW($1:$99)),COLUMN(D79)+1)-SMALL(IF(ISERROR(SEARCH(MID(";"&amp;'CASE DATA'!$F80&amp;";",ROW($1:$99),1),";")),"",ROW($1:$99)),COLUMN(D79))-1)</f>
        <v/>
      </c>
      <c r="AB80" s="75" t="str" cm="1">
        <f t="array" ref="AB80">MID(";"&amp;'CASE DATA'!$F80&amp;";",SMALL(IF(ISERROR(SEARCH(MID(";"&amp;'CASE DATA'!$F80&amp;";",ROW($1:$99),1),";")),"",ROW($1:$99)+1),COLUMN(E80)),SMALL(IF(ISERROR(SEARCH(MID(";"&amp;'CASE DATA'!$F80&amp;";",ROW($1:$99),1),";")),"",ROW($1:$99)),COLUMN(E79)+1)-SMALL(IF(ISERROR(SEARCH(MID(";"&amp;'CASE DATA'!$F80&amp;";",ROW($1:$99),1),";")),"",ROW($1:$99)),COLUMN(E79))-1)</f>
        <v/>
      </c>
      <c r="AC80" s="75" t="str" cm="1">
        <f t="array" ref="AC80">MID(";"&amp;'CASE DATA'!$F80&amp;";",SMALL(IF(ISERROR(SEARCH(MID(";"&amp;'CASE DATA'!$F80&amp;";",ROW($1:$99),1),";")),"",ROW($1:$99)+1),COLUMN(F80)),SMALL(IF(ISERROR(SEARCH(MID(";"&amp;'CASE DATA'!$F80&amp;";",ROW($1:$99),1),";")),"",ROW($1:$99)),COLUMN(F79)+1)-SMALL(IF(ISERROR(SEARCH(MID(";"&amp;'CASE DATA'!$F80&amp;";",ROW($1:$99),1),";")),"",ROW($1:$99)),COLUMN(F79))-1)</f>
        <v/>
      </c>
      <c r="AD80" s="75" t="str" cm="1">
        <f t="array" ref="AD80">MID(";"&amp;'CASE DATA'!$F80&amp;";",SMALL(IF(ISERROR(SEARCH(MID(";"&amp;'CASE DATA'!$F80&amp;";",ROW($1:$99),1),";")),"",ROW($1:$99)+1),COLUMN(G80)),SMALL(IF(ISERROR(SEARCH(MID(";"&amp;'CASE DATA'!$F80&amp;";",ROW($1:$99),1),";")),"",ROW($1:$99)),COLUMN(G79)+1)-SMALL(IF(ISERROR(SEARCH(MID(";"&amp;'CASE DATA'!$F80&amp;";",ROW($1:$99),1),";")),"",ROW($1:$99)),COLUMN(G79))-1)</f>
        <v/>
      </c>
      <c r="AE80" s="75" t="str" cm="1">
        <f t="array" ref="AE80">MID(";"&amp;'CASE DATA'!$F80&amp;";",SMALL(IF(ISERROR(SEARCH(MID(";"&amp;'CASE DATA'!$F80&amp;";",ROW($1:$99),1),";")),"",ROW($1:$99)+1),COLUMN(H80)),SMALL(IF(ISERROR(SEARCH(MID(";"&amp;'CASE DATA'!$F80&amp;";",ROW($1:$99),1),";")),"",ROW($1:$99)),COLUMN(H79)+1)-SMALL(IF(ISERROR(SEARCH(MID(";"&amp;'CASE DATA'!$F80&amp;";",ROW($1:$99),1),";")),"",ROW($1:$99)),COLUMN(H79))-1)</f>
        <v/>
      </c>
      <c r="AF80" s="75" t="str" cm="1">
        <f t="array" ref="AF80">MID(";"&amp;'CASE DATA'!$F80&amp;";",SMALL(IF(ISERROR(SEARCH(MID(";"&amp;'CASE DATA'!$F80&amp;";",ROW($1:$99),1),";")),"",ROW($1:$99)+1),COLUMN(I80)),SMALL(IF(ISERROR(SEARCH(MID(";"&amp;'CASE DATA'!$F80&amp;";",ROW($1:$99),1),";")),"",ROW($1:$99)),COLUMN(I79)+1)-SMALL(IF(ISERROR(SEARCH(MID(";"&amp;'CASE DATA'!$F80&amp;";",ROW($1:$99),1),";")),"",ROW($1:$99)),COLUMN(I79))-1)</f>
        <v/>
      </c>
      <c r="AG80" s="75" t="str" cm="1">
        <f t="array" ref="AG80">MID(";"&amp;'CASE DATA'!$F80&amp;";",SMALL(IF(ISERROR(SEARCH(MID(";"&amp;'CASE DATA'!$F80&amp;";",ROW($1:$99),1),";")),"",ROW($1:$99)+1),COLUMN(K80)),SMALL(IF(ISERROR(SEARCH(MID(";"&amp;'CASE DATA'!$F80&amp;";",ROW($1:$99),1),";")),"",ROW($1:$99)),COLUMN(K79)+1)-SMALL(IF(ISERROR(SEARCH(MID(";"&amp;'CASE DATA'!$F80&amp;";",ROW($1:$99),1),";")),"",ROW($1:$99)),COLUMN(K79))-1)</f>
        <v/>
      </c>
      <c r="AH80" s="75" t="str" cm="1">
        <f t="array" ref="AH80">MID(";"&amp;'CASE DATA'!$F80&amp;";",SMALL(IF(ISERROR(SEARCH(MID(";"&amp;'CASE DATA'!$F80&amp;";",ROW($1:$99),1),";")),"",ROW($1:$99)+1),COLUMN(L80)),SMALL(IF(ISERROR(SEARCH(MID(";"&amp;'CASE DATA'!$F80&amp;";",ROW($1:$99),1),";")),"",ROW($1:$99)),COLUMN(L79)+1)-SMALL(IF(ISERROR(SEARCH(MID(";"&amp;'CASE DATA'!$F80&amp;";",ROW($1:$99),1),";")),"",ROW($1:$99)),COLUMN(L79))-1)</f>
        <v/>
      </c>
      <c r="AI80" s="75" t="str" cm="1">
        <f t="array" ref="AI80">MID(";"&amp;'CASE DATA'!$F80&amp;";",SMALL(IF(ISERROR(SEARCH(MID(";"&amp;'CASE DATA'!$F80&amp;";",ROW($1:$99),1),";")),"",ROW($1:$99)+1),COLUMN(M80)),SMALL(IF(ISERROR(SEARCH(MID(";"&amp;'CASE DATA'!$F80&amp;";",ROW($1:$99),1),";")),"",ROW($1:$99)),COLUMN(M79)+1)-SMALL(IF(ISERROR(SEARCH(MID(";"&amp;'CASE DATA'!$F80&amp;";",ROW($1:$99),1),";")),"",ROW($1:$99)),COLUMN(M79))-1)</f>
        <v/>
      </c>
      <c r="AJ80"/>
      <c r="AK80"/>
      <c r="AL80"/>
      <c r="AM80"/>
      <c r="AN80"/>
      <c r="AO80"/>
      <c r="AP80"/>
      <c r="AQ80"/>
      <c r="AR80"/>
      <c r="AS80"/>
      <c r="AT80"/>
      <c r="AU80"/>
      <c r="AV80"/>
      <c r="AW80"/>
      <c r="AX80"/>
      <c r="AY80"/>
      <c r="AZ80"/>
      <c r="BA80"/>
      <c r="BB80"/>
      <c r="BC80"/>
      <c r="BD80"/>
      <c r="BE80"/>
      <c r="BF80"/>
      <c r="BG80"/>
      <c r="BH80"/>
      <c r="BI80"/>
      <c r="BJ80"/>
      <c r="BK80"/>
      <c r="BL80"/>
      <c r="BM80"/>
      <c r="BN80"/>
      <c r="BO80" s="99"/>
      <c r="BP80" s="99"/>
      <c r="BQ80" s="99"/>
      <c r="BR80" s="99"/>
      <c r="BS80" s="99"/>
      <c r="BT80" s="99"/>
      <c r="BU80" s="99"/>
      <c r="BV80" s="99"/>
      <c r="BW80" s="99"/>
      <c r="BX80" s="99"/>
      <c r="BY80" s="99"/>
      <c r="BZ80" s="99"/>
      <c r="CA80" s="99"/>
      <c r="CB80" s="99"/>
      <c r="CC80" s="99"/>
      <c r="CD80" s="99"/>
      <c r="CE80" s="99"/>
      <c r="CF80" s="99"/>
      <c r="CG80" s="99"/>
      <c r="CH80" s="99"/>
      <c r="CI80" s="99"/>
      <c r="CJ80" s="99"/>
      <c r="CK80" s="99"/>
      <c r="CL80" s="99"/>
      <c r="CM80" s="99"/>
      <c r="CN80" s="99"/>
      <c r="CO80" s="99"/>
      <c r="CP80" s="99"/>
      <c r="CQ80" s="99"/>
      <c r="CR80" s="99"/>
      <c r="CS80" s="99"/>
      <c r="CT80" s="99"/>
      <c r="CU80" s="99"/>
      <c r="CV80" s="99"/>
      <c r="CW80" s="99"/>
      <c r="CX80" s="99"/>
      <c r="CY80" s="99"/>
      <c r="CZ80" s="99"/>
      <c r="DA80" s="99"/>
      <c r="DB80" s="99"/>
      <c r="DC80" s="99"/>
      <c r="DD80" s="99"/>
      <c r="DE80" s="99"/>
      <c r="DF80" s="99"/>
      <c r="DG80" s="99"/>
      <c r="DH80" s="99"/>
      <c r="DI80" s="99"/>
      <c r="DJ80" s="99"/>
      <c r="DK80" s="99"/>
      <c r="DL80" s="99"/>
      <c r="DM80" s="99"/>
      <c r="DN80" s="99"/>
      <c r="DO80" s="99"/>
      <c r="DP80" s="99"/>
      <c r="DQ80" s="99"/>
      <c r="DR80" s="99"/>
      <c r="DS80" s="99"/>
      <c r="DT80" s="99"/>
      <c r="DU80" s="99"/>
      <c r="DV80" s="99"/>
      <c r="DW80" s="99"/>
      <c r="DX80" s="99"/>
      <c r="DY80" s="99"/>
      <c r="DZ80" s="99"/>
      <c r="EA80" s="99"/>
      <c r="EB80" s="99"/>
      <c r="EC80" s="99"/>
      <c r="ED80" s="99"/>
      <c r="EE80" s="99"/>
      <c r="EF80" s="99"/>
      <c r="EG80" s="99"/>
      <c r="EH80" s="99"/>
      <c r="EI80" s="99"/>
      <c r="EJ80" s="99"/>
      <c r="EK80" s="99"/>
      <c r="EL80" s="99"/>
      <c r="EM80" s="99"/>
      <c r="EN80" s="99"/>
      <c r="EO80" s="99"/>
      <c r="EP80" s="99"/>
      <c r="EQ80" s="99"/>
      <c r="ER80" s="99"/>
      <c r="ES80" s="99"/>
      <c r="ET80" s="99"/>
      <c r="EU80" s="99"/>
      <c r="EV80" s="99"/>
      <c r="EW80" s="99"/>
      <c r="EX80" s="99"/>
      <c r="EY80" s="99"/>
      <c r="EZ80" s="99"/>
      <c r="FA80" s="99"/>
      <c r="FB80" s="99"/>
      <c r="FC80" s="99"/>
      <c r="FD80" s="99"/>
      <c r="FE80" s="99"/>
      <c r="FF80" s="99"/>
      <c r="FG80" s="99"/>
      <c r="FH80" s="99"/>
      <c r="FI80" s="99"/>
      <c r="FJ80" s="99"/>
      <c r="FK80" s="99"/>
    </row>
    <row r="81" spans="1:167" x14ac:dyDescent="0.25">
      <c r="A81" s="11"/>
      <c r="C81" s="10"/>
      <c r="D81" s="71"/>
      <c r="E81" s="11"/>
      <c r="F81" s="15"/>
      <c r="J81" s="99">
        <v>78</v>
      </c>
      <c r="K81" s="16"/>
      <c r="L81" s="16"/>
      <c r="M81" s="16"/>
      <c r="N81" s="16"/>
      <c r="O81" s="16"/>
      <c r="P81" s="16"/>
      <c r="Q81" s="16"/>
      <c r="R81" s="16"/>
      <c r="S81" s="16"/>
      <c r="T81" s="16"/>
      <c r="U81" s="73">
        <f>SUM(K81:T81)</f>
        <v>0</v>
      </c>
      <c r="V81" s="73"/>
      <c r="X81" s="75" t="str" cm="1">
        <f t="array" ref="X81">MID(";"&amp;'CASE DATA'!$F81&amp;";",SMALL(IF(ISERROR(SEARCH(MID(";"&amp;'CASE DATA'!$F81&amp;";",ROW($1:$99),1),";")),"",ROW($1:$99)+1),COLUMN(A81)),SMALL(IF(ISERROR(SEARCH(MID(";"&amp;'CASE DATA'!$F81&amp;";",ROW($1:$99),1),";")),"",ROW($1:$99)),COLUMN(A80)+1)-SMALL(IF(ISERROR(SEARCH(MID(";"&amp;'CASE DATA'!$F81&amp;";",ROW($1:$99),1),";")),"",ROW($1:$99)),COLUMN(A80))-1)</f>
        <v/>
      </c>
      <c r="Y81" s="75" t="str" cm="1">
        <f t="array" ref="Y81">MID(";"&amp;'CASE DATA'!$F81&amp;";",SMALL(IF(ISERROR(SEARCH(MID(";"&amp;'CASE DATA'!$F81&amp;";",ROW($1:$99),1),";")),"",ROW($1:$99)+1),COLUMN(B81)),SMALL(IF(ISERROR(SEARCH(MID(";"&amp;'CASE DATA'!$F81&amp;";",ROW($1:$99),1),";")),"",ROW($1:$99)),COLUMN(B80)+1)-SMALL(IF(ISERROR(SEARCH(MID(";"&amp;'CASE DATA'!$F81&amp;";",ROW($1:$99),1),";")),"",ROW($1:$99)),COLUMN(B80))-1)</f>
        <v/>
      </c>
      <c r="Z81" s="75" t="str" cm="1">
        <f t="array" ref="Z81">MID(";"&amp;'CASE DATA'!$F81&amp;";",SMALL(IF(ISERROR(SEARCH(MID(";"&amp;'CASE DATA'!$F81&amp;";",ROW($1:$99),1),";")),"",ROW($1:$99)+1),COLUMN(C81)),SMALL(IF(ISERROR(SEARCH(MID(";"&amp;'CASE DATA'!$F81&amp;";",ROW($1:$99),1),";")),"",ROW($1:$99)),COLUMN(C80)+1)-SMALL(IF(ISERROR(SEARCH(MID(";"&amp;'CASE DATA'!$F81&amp;";",ROW($1:$99),1),";")),"",ROW($1:$99)),COLUMN(C80))-1)</f>
        <v/>
      </c>
      <c r="AA81" s="75" t="str" cm="1">
        <f t="array" ref="AA81">MID(";"&amp;'CASE DATA'!$F81&amp;";",SMALL(IF(ISERROR(SEARCH(MID(";"&amp;'CASE DATA'!$F81&amp;";",ROW($1:$99),1),";")),"",ROW($1:$99)+1),COLUMN(D81)),SMALL(IF(ISERROR(SEARCH(MID(";"&amp;'CASE DATA'!$F81&amp;";",ROW($1:$99),1),";")),"",ROW($1:$99)),COLUMN(D80)+1)-SMALL(IF(ISERROR(SEARCH(MID(";"&amp;'CASE DATA'!$F81&amp;";",ROW($1:$99),1),";")),"",ROW($1:$99)),COLUMN(D80))-1)</f>
        <v/>
      </c>
      <c r="AB81" s="75" t="str" cm="1">
        <f t="array" ref="AB81">MID(";"&amp;'CASE DATA'!$F81&amp;";",SMALL(IF(ISERROR(SEARCH(MID(";"&amp;'CASE DATA'!$F81&amp;";",ROW($1:$99),1),";")),"",ROW($1:$99)+1),COLUMN(E81)),SMALL(IF(ISERROR(SEARCH(MID(";"&amp;'CASE DATA'!$F81&amp;";",ROW($1:$99),1),";")),"",ROW($1:$99)),COLUMN(E80)+1)-SMALL(IF(ISERROR(SEARCH(MID(";"&amp;'CASE DATA'!$F81&amp;";",ROW($1:$99),1),";")),"",ROW($1:$99)),COLUMN(E80))-1)</f>
        <v/>
      </c>
      <c r="AC81" s="75" t="str" cm="1">
        <f t="array" ref="AC81">MID(";"&amp;'CASE DATA'!$F81&amp;";",SMALL(IF(ISERROR(SEARCH(MID(";"&amp;'CASE DATA'!$F81&amp;";",ROW($1:$99),1),";")),"",ROW($1:$99)+1),COLUMN(F81)),SMALL(IF(ISERROR(SEARCH(MID(";"&amp;'CASE DATA'!$F81&amp;";",ROW($1:$99),1),";")),"",ROW($1:$99)),COLUMN(F80)+1)-SMALL(IF(ISERROR(SEARCH(MID(";"&amp;'CASE DATA'!$F81&amp;";",ROW($1:$99),1),";")),"",ROW($1:$99)),COLUMN(F80))-1)</f>
        <v/>
      </c>
      <c r="AD81" s="75" t="str" cm="1">
        <f t="array" ref="AD81">MID(";"&amp;'CASE DATA'!$F81&amp;";",SMALL(IF(ISERROR(SEARCH(MID(";"&amp;'CASE DATA'!$F81&amp;";",ROW($1:$99),1),";")),"",ROW($1:$99)+1),COLUMN(G81)),SMALL(IF(ISERROR(SEARCH(MID(";"&amp;'CASE DATA'!$F81&amp;";",ROW($1:$99),1),";")),"",ROW($1:$99)),COLUMN(G80)+1)-SMALL(IF(ISERROR(SEARCH(MID(";"&amp;'CASE DATA'!$F81&amp;";",ROW($1:$99),1),";")),"",ROW($1:$99)),COLUMN(G80))-1)</f>
        <v/>
      </c>
      <c r="AE81" s="75" t="str" cm="1">
        <f t="array" ref="AE81">MID(";"&amp;'CASE DATA'!$F81&amp;";",SMALL(IF(ISERROR(SEARCH(MID(";"&amp;'CASE DATA'!$F81&amp;";",ROW($1:$99),1),";")),"",ROW($1:$99)+1),COLUMN(H81)),SMALL(IF(ISERROR(SEARCH(MID(";"&amp;'CASE DATA'!$F81&amp;";",ROW($1:$99),1),";")),"",ROW($1:$99)),COLUMN(H80)+1)-SMALL(IF(ISERROR(SEARCH(MID(";"&amp;'CASE DATA'!$F81&amp;";",ROW($1:$99),1),";")),"",ROW($1:$99)),COLUMN(H80))-1)</f>
        <v/>
      </c>
      <c r="AF81" s="75" t="str" cm="1">
        <f t="array" ref="AF81">MID(";"&amp;'CASE DATA'!$F81&amp;";",SMALL(IF(ISERROR(SEARCH(MID(";"&amp;'CASE DATA'!$F81&amp;";",ROW($1:$99),1),";")),"",ROW($1:$99)+1),COLUMN(I81)),SMALL(IF(ISERROR(SEARCH(MID(";"&amp;'CASE DATA'!$F81&amp;";",ROW($1:$99),1),";")),"",ROW($1:$99)),COLUMN(I80)+1)-SMALL(IF(ISERROR(SEARCH(MID(";"&amp;'CASE DATA'!$F81&amp;";",ROW($1:$99),1),";")),"",ROW($1:$99)),COLUMN(I80))-1)</f>
        <v/>
      </c>
      <c r="AG81" s="75" t="str" cm="1">
        <f t="array" ref="AG81">MID(";"&amp;'CASE DATA'!$F81&amp;";",SMALL(IF(ISERROR(SEARCH(MID(";"&amp;'CASE DATA'!$F81&amp;";",ROW($1:$99),1),";")),"",ROW($1:$99)+1),COLUMN(K81)),SMALL(IF(ISERROR(SEARCH(MID(";"&amp;'CASE DATA'!$F81&amp;";",ROW($1:$99),1),";")),"",ROW($1:$99)),COLUMN(K80)+1)-SMALL(IF(ISERROR(SEARCH(MID(";"&amp;'CASE DATA'!$F81&amp;";",ROW($1:$99),1),";")),"",ROW($1:$99)),COLUMN(K80))-1)</f>
        <v/>
      </c>
      <c r="AH81" s="75" t="str" cm="1">
        <f t="array" ref="AH81">MID(";"&amp;'CASE DATA'!$F81&amp;";",SMALL(IF(ISERROR(SEARCH(MID(";"&amp;'CASE DATA'!$F81&amp;";",ROW($1:$99),1),";")),"",ROW($1:$99)+1),COLUMN(L81)),SMALL(IF(ISERROR(SEARCH(MID(";"&amp;'CASE DATA'!$F81&amp;";",ROW($1:$99),1),";")),"",ROW($1:$99)),COLUMN(L80)+1)-SMALL(IF(ISERROR(SEARCH(MID(";"&amp;'CASE DATA'!$F81&amp;";",ROW($1:$99),1),";")),"",ROW($1:$99)),COLUMN(L80))-1)</f>
        <v/>
      </c>
      <c r="AI81" s="75" t="str" cm="1">
        <f t="array" ref="AI81">MID(";"&amp;'CASE DATA'!$F81&amp;";",SMALL(IF(ISERROR(SEARCH(MID(";"&amp;'CASE DATA'!$F81&amp;";",ROW($1:$99),1),";")),"",ROW($1:$99)+1),COLUMN(M81)),SMALL(IF(ISERROR(SEARCH(MID(";"&amp;'CASE DATA'!$F81&amp;";",ROW($1:$99),1),";")),"",ROW($1:$99)),COLUMN(M80)+1)-SMALL(IF(ISERROR(SEARCH(MID(";"&amp;'CASE DATA'!$F81&amp;";",ROW($1:$99),1),";")),"",ROW($1:$99)),COLUMN(M80))-1)</f>
        <v/>
      </c>
      <c r="BO81" s="99"/>
      <c r="BP81" s="99"/>
      <c r="BQ81" s="99"/>
      <c r="BR81" s="99"/>
      <c r="BS81" s="99"/>
      <c r="BT81" s="99"/>
      <c r="BU81" s="99"/>
      <c r="BV81" s="99"/>
      <c r="BW81" s="99"/>
      <c r="BX81" s="99"/>
      <c r="BY81" s="99"/>
      <c r="BZ81" s="99"/>
      <c r="CA81" s="99"/>
      <c r="CB81" s="99"/>
      <c r="CC81" s="99"/>
      <c r="CD81" s="99"/>
      <c r="CE81" s="99"/>
      <c r="CF81" s="99"/>
      <c r="CG81" s="99"/>
      <c r="CH81" s="99"/>
      <c r="CI81" s="99"/>
      <c r="CJ81" s="99"/>
      <c r="CK81" s="99"/>
      <c r="CL81" s="99"/>
      <c r="CM81" s="99"/>
      <c r="CN81" s="99"/>
      <c r="CO81" s="99"/>
      <c r="CP81" s="99"/>
      <c r="CQ81" s="99"/>
      <c r="CR81" s="99"/>
      <c r="CS81" s="99"/>
      <c r="CT81" s="99"/>
      <c r="CU81" s="99"/>
      <c r="CV81" s="99"/>
      <c r="CW81" s="99"/>
      <c r="CX81" s="99"/>
      <c r="CY81" s="99"/>
      <c r="CZ81" s="99"/>
      <c r="DA81" s="99"/>
      <c r="DB81" s="99"/>
      <c r="DC81" s="99"/>
      <c r="DD81" s="99"/>
      <c r="DE81" s="99"/>
      <c r="DF81" s="99"/>
      <c r="DG81" s="99"/>
      <c r="DH81" s="99"/>
      <c r="DI81" s="99"/>
      <c r="DJ81" s="99"/>
      <c r="DK81" s="99"/>
      <c r="DL81" s="99"/>
      <c r="DM81" s="99"/>
      <c r="DN81" s="99"/>
      <c r="DO81" s="99"/>
      <c r="DP81" s="99"/>
      <c r="DQ81" s="99"/>
      <c r="DR81" s="99"/>
      <c r="DS81" s="99"/>
      <c r="DT81" s="99"/>
      <c r="DU81" s="99"/>
      <c r="DV81" s="99"/>
      <c r="DW81" s="99"/>
      <c r="DX81" s="99"/>
      <c r="DY81" s="99"/>
      <c r="DZ81" s="99"/>
      <c r="EA81" s="99"/>
      <c r="EB81" s="99"/>
      <c r="EC81" s="99"/>
      <c r="ED81" s="99"/>
      <c r="EE81" s="99"/>
      <c r="EF81" s="99"/>
      <c r="EG81" s="99"/>
      <c r="EH81" s="99"/>
      <c r="EI81" s="99"/>
      <c r="EJ81" s="99"/>
      <c r="EK81" s="99"/>
      <c r="EL81" s="99"/>
      <c r="EM81" s="99"/>
      <c r="EN81" s="99"/>
      <c r="EO81" s="99"/>
      <c r="EP81" s="99"/>
      <c r="EQ81" s="99"/>
      <c r="ER81" s="99"/>
      <c r="ES81" s="99"/>
      <c r="ET81" s="99"/>
      <c r="EU81" s="99"/>
      <c r="EV81" s="99"/>
      <c r="EW81" s="99"/>
      <c r="EX81" s="99"/>
      <c r="EY81" s="99"/>
      <c r="EZ81" s="99"/>
      <c r="FA81" s="99"/>
      <c r="FB81" s="99"/>
      <c r="FC81" s="99"/>
      <c r="FD81" s="99"/>
      <c r="FE81" s="99"/>
      <c r="FF81" s="99"/>
      <c r="FG81" s="99"/>
      <c r="FH81" s="99"/>
      <c r="FI81" s="99"/>
      <c r="FJ81" s="99"/>
      <c r="FK81" s="99"/>
    </row>
    <row r="82" spans="1:167" x14ac:dyDescent="0.25">
      <c r="A82" s="11"/>
      <c r="C82" s="10"/>
      <c r="D82" s="10"/>
      <c r="E82" s="11"/>
      <c r="F82" s="15"/>
      <c r="J82" s="99">
        <v>79</v>
      </c>
      <c r="K82" s="16"/>
      <c r="L82" s="16"/>
      <c r="M82" s="16"/>
      <c r="N82" s="16"/>
      <c r="O82" s="16"/>
      <c r="P82" s="16"/>
      <c r="Q82" s="16"/>
      <c r="R82" s="16"/>
      <c r="S82" s="16"/>
      <c r="T82" s="16"/>
      <c r="U82" s="73">
        <f>SUM(K82:T82)</f>
        <v>0</v>
      </c>
      <c r="V82" s="73"/>
      <c r="X82" s="75" t="str" cm="1">
        <f t="array" ref="X82">MID(";"&amp;'CASE DATA'!$F82&amp;";",SMALL(IF(ISERROR(SEARCH(MID(";"&amp;'CASE DATA'!$F82&amp;";",ROW($1:$99),1),";")),"",ROW($1:$99)+1),COLUMN(A82)),SMALL(IF(ISERROR(SEARCH(MID(";"&amp;'CASE DATA'!$F82&amp;";",ROW($1:$99),1),";")),"",ROW($1:$99)),COLUMN(A81)+1)-SMALL(IF(ISERROR(SEARCH(MID(";"&amp;'CASE DATA'!$F82&amp;";",ROW($1:$99),1),";")),"",ROW($1:$99)),COLUMN(A81))-1)</f>
        <v/>
      </c>
      <c r="Y82" s="75" t="str" cm="1">
        <f t="array" ref="Y82">MID(";"&amp;'CASE DATA'!$F82&amp;";",SMALL(IF(ISERROR(SEARCH(MID(";"&amp;'CASE DATA'!$F82&amp;";",ROW($1:$99),1),";")),"",ROW($1:$99)+1),COLUMN(B82)),SMALL(IF(ISERROR(SEARCH(MID(";"&amp;'CASE DATA'!$F82&amp;";",ROW($1:$99),1),";")),"",ROW($1:$99)),COLUMN(B81)+1)-SMALL(IF(ISERROR(SEARCH(MID(";"&amp;'CASE DATA'!$F82&amp;";",ROW($1:$99),1),";")),"",ROW($1:$99)),COLUMN(B81))-1)</f>
        <v/>
      </c>
      <c r="Z82" s="75" t="str" cm="1">
        <f t="array" ref="Z82">MID(";"&amp;'CASE DATA'!$F82&amp;";",SMALL(IF(ISERROR(SEARCH(MID(";"&amp;'CASE DATA'!$F82&amp;";",ROW($1:$99),1),";")),"",ROW($1:$99)+1),COLUMN(C82)),SMALL(IF(ISERROR(SEARCH(MID(";"&amp;'CASE DATA'!$F82&amp;";",ROW($1:$99),1),";")),"",ROW($1:$99)),COLUMN(C81)+1)-SMALL(IF(ISERROR(SEARCH(MID(";"&amp;'CASE DATA'!$F82&amp;";",ROW($1:$99),1),";")),"",ROW($1:$99)),COLUMN(C81))-1)</f>
        <v/>
      </c>
      <c r="AA82" s="75" t="str" cm="1">
        <f t="array" ref="AA82">MID(";"&amp;'CASE DATA'!$F82&amp;";",SMALL(IF(ISERROR(SEARCH(MID(";"&amp;'CASE DATA'!$F82&amp;";",ROW($1:$99),1),";")),"",ROW($1:$99)+1),COLUMN(D82)),SMALL(IF(ISERROR(SEARCH(MID(";"&amp;'CASE DATA'!$F82&amp;";",ROW($1:$99),1),";")),"",ROW($1:$99)),COLUMN(D81)+1)-SMALL(IF(ISERROR(SEARCH(MID(";"&amp;'CASE DATA'!$F82&amp;";",ROW($1:$99),1),";")),"",ROW($1:$99)),COLUMN(D81))-1)</f>
        <v/>
      </c>
      <c r="AB82" s="75" t="str" cm="1">
        <f t="array" ref="AB82">MID(";"&amp;'CASE DATA'!$F82&amp;";",SMALL(IF(ISERROR(SEARCH(MID(";"&amp;'CASE DATA'!$F82&amp;";",ROW($1:$99),1),";")),"",ROW($1:$99)+1),COLUMN(E82)),SMALL(IF(ISERROR(SEARCH(MID(";"&amp;'CASE DATA'!$F82&amp;";",ROW($1:$99),1),";")),"",ROW($1:$99)),COLUMN(E81)+1)-SMALL(IF(ISERROR(SEARCH(MID(";"&amp;'CASE DATA'!$F82&amp;";",ROW($1:$99),1),";")),"",ROW($1:$99)),COLUMN(E81))-1)</f>
        <v/>
      </c>
      <c r="AC82" s="75" t="str" cm="1">
        <f t="array" ref="AC82">MID(";"&amp;'CASE DATA'!$F82&amp;";",SMALL(IF(ISERROR(SEARCH(MID(";"&amp;'CASE DATA'!$F82&amp;";",ROW($1:$99),1),";")),"",ROW($1:$99)+1),COLUMN(F82)),SMALL(IF(ISERROR(SEARCH(MID(";"&amp;'CASE DATA'!$F82&amp;";",ROW($1:$99),1),";")),"",ROW($1:$99)),COLUMN(F81)+1)-SMALL(IF(ISERROR(SEARCH(MID(";"&amp;'CASE DATA'!$F82&amp;";",ROW($1:$99),1),";")),"",ROW($1:$99)),COLUMN(F81))-1)</f>
        <v/>
      </c>
      <c r="AD82" s="75" t="str" cm="1">
        <f t="array" ref="AD82">MID(";"&amp;'CASE DATA'!$F82&amp;";",SMALL(IF(ISERROR(SEARCH(MID(";"&amp;'CASE DATA'!$F82&amp;";",ROW($1:$99),1),";")),"",ROW($1:$99)+1),COLUMN(G82)),SMALL(IF(ISERROR(SEARCH(MID(";"&amp;'CASE DATA'!$F82&amp;";",ROW($1:$99),1),";")),"",ROW($1:$99)),COLUMN(G81)+1)-SMALL(IF(ISERROR(SEARCH(MID(";"&amp;'CASE DATA'!$F82&amp;";",ROW($1:$99),1),";")),"",ROW($1:$99)),COLUMN(G81))-1)</f>
        <v/>
      </c>
      <c r="AE82" s="75" t="str" cm="1">
        <f t="array" ref="AE82">MID(";"&amp;'CASE DATA'!$F82&amp;";",SMALL(IF(ISERROR(SEARCH(MID(";"&amp;'CASE DATA'!$F82&amp;";",ROW($1:$99),1),";")),"",ROW($1:$99)+1),COLUMN(H82)),SMALL(IF(ISERROR(SEARCH(MID(";"&amp;'CASE DATA'!$F82&amp;";",ROW($1:$99),1),";")),"",ROW($1:$99)),COLUMN(H81)+1)-SMALL(IF(ISERROR(SEARCH(MID(";"&amp;'CASE DATA'!$F82&amp;";",ROW($1:$99),1),";")),"",ROW($1:$99)),COLUMN(H81))-1)</f>
        <v/>
      </c>
      <c r="AF82" s="75" t="str" cm="1">
        <f t="array" ref="AF82">MID(";"&amp;'CASE DATA'!$F82&amp;";",SMALL(IF(ISERROR(SEARCH(MID(";"&amp;'CASE DATA'!$F82&amp;";",ROW($1:$99),1),";")),"",ROW($1:$99)+1),COLUMN(I82)),SMALL(IF(ISERROR(SEARCH(MID(";"&amp;'CASE DATA'!$F82&amp;";",ROW($1:$99),1),";")),"",ROW($1:$99)),COLUMN(I81)+1)-SMALL(IF(ISERROR(SEARCH(MID(";"&amp;'CASE DATA'!$F82&amp;";",ROW($1:$99),1),";")),"",ROW($1:$99)),COLUMN(I81))-1)</f>
        <v/>
      </c>
      <c r="AG82" s="75" t="str" cm="1">
        <f t="array" ref="AG82">MID(";"&amp;'CASE DATA'!$F82&amp;";",SMALL(IF(ISERROR(SEARCH(MID(";"&amp;'CASE DATA'!$F82&amp;";",ROW($1:$99),1),";")),"",ROW($1:$99)+1),COLUMN(K82)),SMALL(IF(ISERROR(SEARCH(MID(";"&amp;'CASE DATA'!$F82&amp;";",ROW($1:$99),1),";")),"",ROW($1:$99)),COLUMN(K81)+1)-SMALL(IF(ISERROR(SEARCH(MID(";"&amp;'CASE DATA'!$F82&amp;";",ROW($1:$99),1),";")),"",ROW($1:$99)),COLUMN(K81))-1)</f>
        <v/>
      </c>
      <c r="AH82" s="75" t="str" cm="1">
        <f t="array" ref="AH82">MID(";"&amp;'CASE DATA'!$F82&amp;";",SMALL(IF(ISERROR(SEARCH(MID(";"&amp;'CASE DATA'!$F82&amp;";",ROW($1:$99),1),";")),"",ROW($1:$99)+1),COLUMN(L82)),SMALL(IF(ISERROR(SEARCH(MID(";"&amp;'CASE DATA'!$F82&amp;";",ROW($1:$99),1),";")),"",ROW($1:$99)),COLUMN(L81)+1)-SMALL(IF(ISERROR(SEARCH(MID(";"&amp;'CASE DATA'!$F82&amp;";",ROW($1:$99),1),";")),"",ROW($1:$99)),COLUMN(L81))-1)</f>
        <v/>
      </c>
      <c r="AI82" s="75" t="str" cm="1">
        <f t="array" ref="AI82">MID(";"&amp;'CASE DATA'!$F82&amp;";",SMALL(IF(ISERROR(SEARCH(MID(";"&amp;'CASE DATA'!$F82&amp;";",ROW($1:$99),1),";")),"",ROW($1:$99)+1),COLUMN(M82)),SMALL(IF(ISERROR(SEARCH(MID(";"&amp;'CASE DATA'!$F82&amp;";",ROW($1:$99),1),";")),"",ROW($1:$99)),COLUMN(M81)+1)-SMALL(IF(ISERROR(SEARCH(MID(";"&amp;'CASE DATA'!$F82&amp;";",ROW($1:$99),1),";")),"",ROW($1:$99)),COLUMN(M81))-1)</f>
        <v/>
      </c>
      <c r="BO82" s="99"/>
      <c r="BP82" s="99"/>
      <c r="BQ82" s="99"/>
      <c r="BR82" s="99"/>
      <c r="BS82" s="99"/>
      <c r="BT82" s="99"/>
      <c r="BU82" s="99"/>
      <c r="BV82" s="99"/>
      <c r="BW82" s="99"/>
      <c r="BX82" s="99"/>
      <c r="BY82" s="99"/>
      <c r="BZ82" s="99"/>
      <c r="CA82" s="99"/>
      <c r="CB82" s="99"/>
      <c r="CC82" s="99"/>
      <c r="CD82" s="99"/>
      <c r="CE82" s="99"/>
      <c r="CF82" s="99"/>
      <c r="CG82" s="99"/>
      <c r="CH82" s="99"/>
      <c r="CI82" s="99"/>
      <c r="CJ82" s="99"/>
      <c r="CK82" s="99"/>
      <c r="CL82" s="99"/>
      <c r="CM82" s="99"/>
      <c r="CN82" s="99"/>
      <c r="CO82" s="99"/>
      <c r="CP82" s="99"/>
      <c r="CQ82" s="99"/>
      <c r="CR82" s="99"/>
      <c r="CS82" s="99"/>
      <c r="CT82" s="99"/>
      <c r="CU82" s="99"/>
      <c r="CV82" s="99"/>
      <c r="CW82" s="99"/>
      <c r="CX82" s="99"/>
      <c r="CY82" s="99"/>
      <c r="CZ82" s="99"/>
      <c r="DA82" s="99"/>
      <c r="DB82" s="99"/>
      <c r="DC82" s="99"/>
      <c r="DD82" s="99"/>
      <c r="DE82" s="99"/>
      <c r="DF82" s="99"/>
      <c r="DG82" s="99"/>
      <c r="DH82" s="99"/>
      <c r="DI82" s="99"/>
      <c r="DJ82" s="99"/>
      <c r="DK82" s="99"/>
      <c r="DL82" s="99"/>
      <c r="DM82" s="99"/>
      <c r="DN82" s="99"/>
      <c r="DO82" s="99"/>
      <c r="DP82" s="99"/>
      <c r="DQ82" s="99"/>
      <c r="DR82" s="99"/>
      <c r="DS82" s="99"/>
      <c r="DT82" s="99"/>
      <c r="DU82" s="99"/>
      <c r="DV82" s="99"/>
      <c r="DW82" s="99"/>
      <c r="DX82" s="99"/>
      <c r="DY82" s="99"/>
      <c r="DZ82" s="99"/>
      <c r="EA82" s="99"/>
      <c r="EB82" s="99"/>
      <c r="EC82" s="99"/>
      <c r="ED82" s="99"/>
      <c r="EE82" s="99"/>
      <c r="EF82" s="99"/>
      <c r="EG82" s="99"/>
      <c r="EH82" s="99"/>
      <c r="EI82" s="99"/>
      <c r="EJ82" s="99"/>
      <c r="EK82" s="99"/>
      <c r="EL82" s="99"/>
      <c r="EM82" s="99"/>
      <c r="EN82" s="99"/>
      <c r="EO82" s="99"/>
      <c r="EP82" s="99"/>
      <c r="EQ82" s="99"/>
      <c r="ER82" s="99"/>
      <c r="ES82" s="99"/>
      <c r="ET82" s="99"/>
      <c r="EU82" s="99"/>
      <c r="EV82" s="99"/>
      <c r="EW82" s="99"/>
      <c r="EX82" s="99"/>
      <c r="EY82" s="99"/>
      <c r="EZ82" s="99"/>
      <c r="FA82" s="99"/>
      <c r="FB82" s="99"/>
      <c r="FC82" s="99"/>
      <c r="FD82" s="99"/>
      <c r="FE82" s="99"/>
      <c r="FF82" s="99"/>
      <c r="FG82" s="99"/>
      <c r="FH82" s="99"/>
      <c r="FI82" s="99"/>
      <c r="FJ82" s="99"/>
      <c r="FK82" s="99"/>
    </row>
    <row r="83" spans="1:167" s="70" customFormat="1" x14ac:dyDescent="0.25">
      <c r="A83" s="11"/>
      <c r="B83"/>
      <c r="C83" s="10"/>
      <c r="D83" s="71"/>
      <c r="E83" s="11"/>
      <c r="F83" s="15"/>
      <c r="G83"/>
      <c r="H83" s="99"/>
      <c r="I83" s="99"/>
      <c r="J83" s="99">
        <v>80</v>
      </c>
      <c r="K83" s="16"/>
      <c r="L83" s="16"/>
      <c r="M83" s="16"/>
      <c r="N83" s="16"/>
      <c r="O83" s="16"/>
      <c r="P83" s="16"/>
      <c r="Q83" s="16"/>
      <c r="R83" s="16"/>
      <c r="S83" s="16"/>
      <c r="T83" s="16"/>
      <c r="U83" s="73">
        <f>SUM(K83:T83)</f>
        <v>0</v>
      </c>
      <c r="V83" s="73"/>
      <c r="W83"/>
      <c r="X83" s="75" t="str" cm="1">
        <f t="array" ref="X83">MID(";"&amp;'CASE DATA'!$F83&amp;";",SMALL(IF(ISERROR(SEARCH(MID(";"&amp;'CASE DATA'!$F83&amp;";",ROW($1:$99),1),";")),"",ROW($1:$99)+1),COLUMN(A83)),SMALL(IF(ISERROR(SEARCH(MID(";"&amp;'CASE DATA'!$F83&amp;";",ROW($1:$99),1),";")),"",ROW($1:$99)),COLUMN(A82)+1)-SMALL(IF(ISERROR(SEARCH(MID(";"&amp;'CASE DATA'!$F83&amp;";",ROW($1:$99),1),";")),"",ROW($1:$99)),COLUMN(A82))-1)</f>
        <v/>
      </c>
      <c r="Y83" s="75" t="str" cm="1">
        <f t="array" ref="Y83">MID(";"&amp;'CASE DATA'!$F83&amp;";",SMALL(IF(ISERROR(SEARCH(MID(";"&amp;'CASE DATA'!$F83&amp;";",ROW($1:$99),1),";")),"",ROW($1:$99)+1),COLUMN(B83)),SMALL(IF(ISERROR(SEARCH(MID(";"&amp;'CASE DATA'!$F83&amp;";",ROW($1:$99),1),";")),"",ROW($1:$99)),COLUMN(B82)+1)-SMALL(IF(ISERROR(SEARCH(MID(";"&amp;'CASE DATA'!$F83&amp;";",ROW($1:$99),1),";")),"",ROW($1:$99)),COLUMN(B82))-1)</f>
        <v/>
      </c>
      <c r="Z83" s="75" t="str" cm="1">
        <f t="array" ref="Z83">MID(";"&amp;'CASE DATA'!$F83&amp;";",SMALL(IF(ISERROR(SEARCH(MID(";"&amp;'CASE DATA'!$F83&amp;";",ROW($1:$99),1),";")),"",ROW($1:$99)+1),COLUMN(C83)),SMALL(IF(ISERROR(SEARCH(MID(";"&amp;'CASE DATA'!$F83&amp;";",ROW($1:$99),1),";")),"",ROW($1:$99)),COLUMN(C82)+1)-SMALL(IF(ISERROR(SEARCH(MID(";"&amp;'CASE DATA'!$F83&amp;";",ROW($1:$99),1),";")),"",ROW($1:$99)),COLUMN(C82))-1)</f>
        <v/>
      </c>
      <c r="AA83" s="75" t="str" cm="1">
        <f t="array" ref="AA83">MID(";"&amp;'CASE DATA'!$F83&amp;";",SMALL(IF(ISERROR(SEARCH(MID(";"&amp;'CASE DATA'!$F83&amp;";",ROW($1:$99),1),";")),"",ROW($1:$99)+1),COLUMN(D83)),SMALL(IF(ISERROR(SEARCH(MID(";"&amp;'CASE DATA'!$F83&amp;";",ROW($1:$99),1),";")),"",ROW($1:$99)),COLUMN(D82)+1)-SMALL(IF(ISERROR(SEARCH(MID(";"&amp;'CASE DATA'!$F83&amp;";",ROW($1:$99),1),";")),"",ROW($1:$99)),COLUMN(D82))-1)</f>
        <v/>
      </c>
      <c r="AB83" s="75" t="str" cm="1">
        <f t="array" ref="AB83">MID(";"&amp;'CASE DATA'!$F83&amp;";",SMALL(IF(ISERROR(SEARCH(MID(";"&amp;'CASE DATA'!$F83&amp;";",ROW($1:$99),1),";")),"",ROW($1:$99)+1),COLUMN(E83)),SMALL(IF(ISERROR(SEARCH(MID(";"&amp;'CASE DATA'!$F83&amp;";",ROW($1:$99),1),";")),"",ROW($1:$99)),COLUMN(E82)+1)-SMALL(IF(ISERROR(SEARCH(MID(";"&amp;'CASE DATA'!$F83&amp;";",ROW($1:$99),1),";")),"",ROW($1:$99)),COLUMN(E82))-1)</f>
        <v/>
      </c>
      <c r="AC83" s="75" t="str" cm="1">
        <f t="array" ref="AC83">MID(";"&amp;'CASE DATA'!$F83&amp;";",SMALL(IF(ISERROR(SEARCH(MID(";"&amp;'CASE DATA'!$F83&amp;";",ROW($1:$99),1),";")),"",ROW($1:$99)+1),COLUMN(F83)),SMALL(IF(ISERROR(SEARCH(MID(";"&amp;'CASE DATA'!$F83&amp;";",ROW($1:$99),1),";")),"",ROW($1:$99)),COLUMN(F82)+1)-SMALL(IF(ISERROR(SEARCH(MID(";"&amp;'CASE DATA'!$F83&amp;";",ROW($1:$99),1),";")),"",ROW($1:$99)),COLUMN(F82))-1)</f>
        <v/>
      </c>
      <c r="AD83" s="75" t="str" cm="1">
        <f t="array" ref="AD83">MID(";"&amp;'CASE DATA'!$F83&amp;";",SMALL(IF(ISERROR(SEARCH(MID(";"&amp;'CASE DATA'!$F83&amp;";",ROW($1:$99),1),";")),"",ROW($1:$99)+1),COLUMN(G83)),SMALL(IF(ISERROR(SEARCH(MID(";"&amp;'CASE DATA'!$F83&amp;";",ROW($1:$99),1),";")),"",ROW($1:$99)),COLUMN(G82)+1)-SMALL(IF(ISERROR(SEARCH(MID(";"&amp;'CASE DATA'!$F83&amp;";",ROW($1:$99),1),";")),"",ROW($1:$99)),COLUMN(G82))-1)</f>
        <v/>
      </c>
      <c r="AE83" s="75" t="str" cm="1">
        <f t="array" ref="AE83">MID(";"&amp;'CASE DATA'!$F83&amp;";",SMALL(IF(ISERROR(SEARCH(MID(";"&amp;'CASE DATA'!$F83&amp;";",ROW($1:$99),1),";")),"",ROW($1:$99)+1),COLUMN(H83)),SMALL(IF(ISERROR(SEARCH(MID(";"&amp;'CASE DATA'!$F83&amp;";",ROW($1:$99),1),";")),"",ROW($1:$99)),COLUMN(H82)+1)-SMALL(IF(ISERROR(SEARCH(MID(";"&amp;'CASE DATA'!$F83&amp;";",ROW($1:$99),1),";")),"",ROW($1:$99)),COLUMN(H82))-1)</f>
        <v/>
      </c>
      <c r="AF83" s="75" t="str" cm="1">
        <f t="array" ref="AF83">MID(";"&amp;'CASE DATA'!$F83&amp;";",SMALL(IF(ISERROR(SEARCH(MID(";"&amp;'CASE DATA'!$F83&amp;";",ROW($1:$99),1),";")),"",ROW($1:$99)+1),COLUMN(I83)),SMALL(IF(ISERROR(SEARCH(MID(";"&amp;'CASE DATA'!$F83&amp;";",ROW($1:$99),1),";")),"",ROW($1:$99)),COLUMN(I82)+1)-SMALL(IF(ISERROR(SEARCH(MID(";"&amp;'CASE DATA'!$F83&amp;";",ROW($1:$99),1),";")),"",ROW($1:$99)),COLUMN(I82))-1)</f>
        <v/>
      </c>
      <c r="AG83" s="75" t="str" cm="1">
        <f t="array" ref="AG83">MID(";"&amp;'CASE DATA'!$F83&amp;";",SMALL(IF(ISERROR(SEARCH(MID(";"&amp;'CASE DATA'!$F83&amp;";",ROW($1:$99),1),";")),"",ROW($1:$99)+1),COLUMN(K83)),SMALL(IF(ISERROR(SEARCH(MID(";"&amp;'CASE DATA'!$F83&amp;";",ROW($1:$99),1),";")),"",ROW($1:$99)),COLUMN(K82)+1)-SMALL(IF(ISERROR(SEARCH(MID(";"&amp;'CASE DATA'!$F83&amp;";",ROW($1:$99),1),";")),"",ROW($1:$99)),COLUMN(K82))-1)</f>
        <v/>
      </c>
      <c r="AH83" s="75" t="str" cm="1">
        <f t="array" ref="AH83">MID(";"&amp;'CASE DATA'!$F83&amp;";",SMALL(IF(ISERROR(SEARCH(MID(";"&amp;'CASE DATA'!$F83&amp;";",ROW($1:$99),1),";")),"",ROW($1:$99)+1),COLUMN(L83)),SMALL(IF(ISERROR(SEARCH(MID(";"&amp;'CASE DATA'!$F83&amp;";",ROW($1:$99),1),";")),"",ROW($1:$99)),COLUMN(L82)+1)-SMALL(IF(ISERROR(SEARCH(MID(";"&amp;'CASE DATA'!$F83&amp;";",ROW($1:$99),1),";")),"",ROW($1:$99)),COLUMN(L82))-1)</f>
        <v/>
      </c>
      <c r="AI83" s="75" t="str" cm="1">
        <f t="array" ref="AI83">MID(";"&amp;'CASE DATA'!$F83&amp;";",SMALL(IF(ISERROR(SEARCH(MID(";"&amp;'CASE DATA'!$F83&amp;";",ROW($1:$99),1),";")),"",ROW($1:$99)+1),COLUMN(M83)),SMALL(IF(ISERROR(SEARCH(MID(";"&amp;'CASE DATA'!$F83&amp;";",ROW($1:$99),1),";")),"",ROW($1:$99)),COLUMN(M82)+1)-SMALL(IF(ISERROR(SEARCH(MID(";"&amp;'CASE DATA'!$F83&amp;";",ROW($1:$99),1),";")),"",ROW($1:$99)),COLUMN(M82))-1)</f>
        <v/>
      </c>
      <c r="AJ83"/>
      <c r="AK83"/>
      <c r="AL83"/>
      <c r="AM83"/>
      <c r="AN83"/>
      <c r="AO83"/>
      <c r="AP83"/>
      <c r="AQ83"/>
      <c r="AR83"/>
      <c r="AS83"/>
      <c r="AT83"/>
      <c r="AU83"/>
      <c r="AV83"/>
      <c r="AW83"/>
      <c r="AX83"/>
      <c r="AY83"/>
      <c r="AZ83"/>
      <c r="BA83"/>
      <c r="BB83"/>
      <c r="BC83"/>
      <c r="BD83"/>
      <c r="BE83"/>
      <c r="BF83"/>
      <c r="BG83"/>
      <c r="BH83"/>
      <c r="BI83"/>
      <c r="BJ83"/>
      <c r="BK83"/>
      <c r="BL83"/>
      <c r="BM83"/>
      <c r="BN83"/>
      <c r="BO83" s="99"/>
      <c r="BP83" s="99"/>
      <c r="BQ83" s="99"/>
      <c r="BR83" s="99"/>
      <c r="BS83" s="99"/>
      <c r="BT83" s="99"/>
      <c r="BU83" s="99"/>
      <c r="BV83" s="99"/>
      <c r="BW83" s="99"/>
      <c r="BX83" s="99"/>
      <c r="BY83" s="99"/>
      <c r="BZ83" s="99"/>
      <c r="CA83" s="99"/>
      <c r="CB83" s="99"/>
      <c r="CC83" s="99"/>
      <c r="CD83" s="99"/>
      <c r="CE83" s="99"/>
      <c r="CF83" s="99"/>
      <c r="CG83" s="99"/>
      <c r="CH83" s="99"/>
      <c r="CI83" s="99"/>
      <c r="CJ83" s="99"/>
      <c r="CK83" s="99"/>
      <c r="CL83" s="99"/>
      <c r="CM83" s="99"/>
      <c r="CN83" s="99"/>
      <c r="CO83" s="99"/>
      <c r="CP83" s="99"/>
      <c r="CQ83" s="99"/>
      <c r="CR83" s="99"/>
      <c r="CS83" s="99"/>
      <c r="CT83" s="99"/>
      <c r="CU83" s="99"/>
      <c r="CV83" s="99"/>
      <c r="CW83" s="99"/>
      <c r="CX83" s="99"/>
      <c r="CY83" s="99"/>
      <c r="CZ83" s="99"/>
      <c r="DA83" s="99"/>
      <c r="DB83" s="99"/>
      <c r="DC83" s="99"/>
      <c r="DD83" s="99"/>
      <c r="DE83" s="99"/>
      <c r="DF83" s="99"/>
      <c r="DG83" s="99"/>
      <c r="DH83" s="99"/>
      <c r="DI83" s="99"/>
      <c r="DJ83" s="99"/>
      <c r="DK83" s="99"/>
      <c r="DL83" s="99"/>
      <c r="DM83" s="99"/>
      <c r="DN83" s="99"/>
      <c r="DO83" s="99"/>
      <c r="DP83" s="99"/>
      <c r="DQ83" s="99"/>
      <c r="DR83" s="99"/>
      <c r="DS83" s="99"/>
      <c r="DT83" s="99"/>
      <c r="DU83" s="99"/>
      <c r="DV83" s="99"/>
      <c r="DW83" s="99"/>
      <c r="DX83" s="99"/>
      <c r="DY83" s="99"/>
      <c r="DZ83" s="99"/>
      <c r="EA83" s="99"/>
      <c r="EB83" s="99"/>
      <c r="EC83" s="99"/>
      <c r="ED83" s="99"/>
      <c r="EE83" s="99"/>
      <c r="EF83" s="99"/>
      <c r="EG83" s="99"/>
      <c r="EH83" s="99"/>
      <c r="EI83" s="99"/>
      <c r="EJ83" s="99"/>
      <c r="EK83" s="99"/>
      <c r="EL83" s="99"/>
      <c r="EM83" s="99"/>
      <c r="EN83" s="99"/>
      <c r="EO83" s="99"/>
      <c r="EP83" s="99"/>
      <c r="EQ83" s="99"/>
      <c r="ER83" s="99"/>
      <c r="ES83" s="99"/>
      <c r="ET83" s="99"/>
      <c r="EU83" s="99"/>
      <c r="EV83" s="99"/>
      <c r="EW83" s="99"/>
      <c r="EX83" s="99"/>
      <c r="EY83" s="99"/>
      <c r="EZ83" s="99"/>
      <c r="FA83" s="99"/>
      <c r="FB83" s="99"/>
      <c r="FC83" s="99"/>
      <c r="FD83" s="99"/>
      <c r="FE83" s="99"/>
      <c r="FF83" s="99"/>
      <c r="FG83" s="99"/>
      <c r="FH83" s="99"/>
      <c r="FI83" s="99"/>
      <c r="FJ83" s="99"/>
      <c r="FK83" s="99"/>
    </row>
    <row r="84" spans="1:167" s="68" customFormat="1" x14ac:dyDescent="0.25">
      <c r="A84" s="11"/>
      <c r="B84"/>
      <c r="C84" s="10"/>
      <c r="D84" s="10"/>
      <c r="E84" s="11"/>
      <c r="F84" s="15"/>
      <c r="G84"/>
      <c r="H84" s="99"/>
      <c r="I84" s="99"/>
      <c r="J84" s="99">
        <v>81</v>
      </c>
      <c r="K84" s="16"/>
      <c r="L84" s="16"/>
      <c r="M84" s="16"/>
      <c r="N84" s="16"/>
      <c r="O84" s="16"/>
      <c r="P84" s="16"/>
      <c r="Q84" s="16"/>
      <c r="R84" s="16"/>
      <c r="S84" s="16"/>
      <c r="T84" s="16"/>
      <c r="U84" s="73">
        <f>SUM(K84:T84)</f>
        <v>0</v>
      </c>
      <c r="V84" s="73"/>
      <c r="W84" s="17"/>
      <c r="X84" s="75" t="str" cm="1">
        <f t="array" ref="X84">MID(";"&amp;'CASE DATA'!$F84&amp;";",SMALL(IF(ISERROR(SEARCH(MID(";"&amp;'CASE DATA'!$F84&amp;";",ROW($1:$99),1),";")),"",ROW($1:$99)+1),COLUMN(A84)),SMALL(IF(ISERROR(SEARCH(MID(";"&amp;'CASE DATA'!$F84&amp;";",ROW($1:$99),1),";")),"",ROW($1:$99)),COLUMN(A83)+1)-SMALL(IF(ISERROR(SEARCH(MID(";"&amp;'CASE DATA'!$F84&amp;";",ROW($1:$99),1),";")),"",ROW($1:$99)),COLUMN(A83))-1)</f>
        <v/>
      </c>
      <c r="Y84" s="75" t="str" cm="1">
        <f t="array" ref="Y84">MID(";"&amp;'CASE DATA'!$F84&amp;";",SMALL(IF(ISERROR(SEARCH(MID(";"&amp;'CASE DATA'!$F84&amp;";",ROW($1:$99),1),";")),"",ROW($1:$99)+1),COLUMN(B84)),SMALL(IF(ISERROR(SEARCH(MID(";"&amp;'CASE DATA'!$F84&amp;";",ROW($1:$99),1),";")),"",ROW($1:$99)),COLUMN(B83)+1)-SMALL(IF(ISERROR(SEARCH(MID(";"&amp;'CASE DATA'!$F84&amp;";",ROW($1:$99),1),";")),"",ROW($1:$99)),COLUMN(B83))-1)</f>
        <v/>
      </c>
      <c r="Z84" s="75" t="str" cm="1">
        <f t="array" ref="Z84">MID(";"&amp;'CASE DATA'!$F84&amp;";",SMALL(IF(ISERROR(SEARCH(MID(";"&amp;'CASE DATA'!$F84&amp;";",ROW($1:$99),1),";")),"",ROW($1:$99)+1),COLUMN(C84)),SMALL(IF(ISERROR(SEARCH(MID(";"&amp;'CASE DATA'!$F84&amp;";",ROW($1:$99),1),";")),"",ROW($1:$99)),COLUMN(C83)+1)-SMALL(IF(ISERROR(SEARCH(MID(";"&amp;'CASE DATA'!$F84&amp;";",ROW($1:$99),1),";")),"",ROW($1:$99)),COLUMN(C83))-1)</f>
        <v/>
      </c>
      <c r="AA84" s="75" t="str" cm="1">
        <f t="array" ref="AA84">MID(";"&amp;'CASE DATA'!$F84&amp;";",SMALL(IF(ISERROR(SEARCH(MID(";"&amp;'CASE DATA'!$F84&amp;";",ROW($1:$99),1),";")),"",ROW($1:$99)+1),COLUMN(D84)),SMALL(IF(ISERROR(SEARCH(MID(";"&amp;'CASE DATA'!$F84&amp;";",ROW($1:$99),1),";")),"",ROW($1:$99)),COLUMN(D83)+1)-SMALL(IF(ISERROR(SEARCH(MID(";"&amp;'CASE DATA'!$F84&amp;";",ROW($1:$99),1),";")),"",ROW($1:$99)),COLUMN(D83))-1)</f>
        <v/>
      </c>
      <c r="AB84" s="75" t="str" cm="1">
        <f t="array" ref="AB84">MID(";"&amp;'CASE DATA'!$F84&amp;";",SMALL(IF(ISERROR(SEARCH(MID(";"&amp;'CASE DATA'!$F84&amp;";",ROW($1:$99),1),";")),"",ROW($1:$99)+1),COLUMN(E84)),SMALL(IF(ISERROR(SEARCH(MID(";"&amp;'CASE DATA'!$F84&amp;";",ROW($1:$99),1),";")),"",ROW($1:$99)),COLUMN(E83)+1)-SMALL(IF(ISERROR(SEARCH(MID(";"&amp;'CASE DATA'!$F84&amp;";",ROW($1:$99),1),";")),"",ROW($1:$99)),COLUMN(E83))-1)</f>
        <v/>
      </c>
      <c r="AC84" s="75" t="str" cm="1">
        <f t="array" ref="AC84">MID(";"&amp;'CASE DATA'!$F84&amp;";",SMALL(IF(ISERROR(SEARCH(MID(";"&amp;'CASE DATA'!$F84&amp;";",ROW($1:$99),1),";")),"",ROW($1:$99)+1),COLUMN(F84)),SMALL(IF(ISERROR(SEARCH(MID(";"&amp;'CASE DATA'!$F84&amp;";",ROW($1:$99),1),";")),"",ROW($1:$99)),COLUMN(F83)+1)-SMALL(IF(ISERROR(SEARCH(MID(";"&amp;'CASE DATA'!$F84&amp;";",ROW($1:$99),1),";")),"",ROW($1:$99)),COLUMN(F83))-1)</f>
        <v/>
      </c>
      <c r="AD84" s="75" t="str" cm="1">
        <f t="array" ref="AD84">MID(";"&amp;'CASE DATA'!$F84&amp;";",SMALL(IF(ISERROR(SEARCH(MID(";"&amp;'CASE DATA'!$F84&amp;";",ROW($1:$99),1),";")),"",ROW($1:$99)+1),COLUMN(G84)),SMALL(IF(ISERROR(SEARCH(MID(";"&amp;'CASE DATA'!$F84&amp;";",ROW($1:$99),1),";")),"",ROW($1:$99)),COLUMN(G83)+1)-SMALL(IF(ISERROR(SEARCH(MID(";"&amp;'CASE DATA'!$F84&amp;";",ROW($1:$99),1),";")),"",ROW($1:$99)),COLUMN(G83))-1)</f>
        <v/>
      </c>
      <c r="AE84" s="75" t="str" cm="1">
        <f t="array" ref="AE84">MID(";"&amp;'CASE DATA'!$F84&amp;";",SMALL(IF(ISERROR(SEARCH(MID(";"&amp;'CASE DATA'!$F84&amp;";",ROW($1:$99),1),";")),"",ROW($1:$99)+1),COLUMN(H84)),SMALL(IF(ISERROR(SEARCH(MID(";"&amp;'CASE DATA'!$F84&amp;";",ROW($1:$99),1),";")),"",ROW($1:$99)),COLUMN(H83)+1)-SMALL(IF(ISERROR(SEARCH(MID(";"&amp;'CASE DATA'!$F84&amp;";",ROW($1:$99),1),";")),"",ROW($1:$99)),COLUMN(H83))-1)</f>
        <v/>
      </c>
      <c r="AF84" s="75" t="str" cm="1">
        <f t="array" ref="AF84">MID(";"&amp;'CASE DATA'!$F84&amp;";",SMALL(IF(ISERROR(SEARCH(MID(";"&amp;'CASE DATA'!$F84&amp;";",ROW($1:$99),1),";")),"",ROW($1:$99)+1),COLUMN(I84)),SMALL(IF(ISERROR(SEARCH(MID(";"&amp;'CASE DATA'!$F84&amp;";",ROW($1:$99),1),";")),"",ROW($1:$99)),COLUMN(I83)+1)-SMALL(IF(ISERROR(SEARCH(MID(";"&amp;'CASE DATA'!$F84&amp;";",ROW($1:$99),1),";")),"",ROW($1:$99)),COLUMN(I83))-1)</f>
        <v/>
      </c>
      <c r="AG84" s="75" t="str" cm="1">
        <f t="array" ref="AG84">MID(";"&amp;'CASE DATA'!$F84&amp;";",SMALL(IF(ISERROR(SEARCH(MID(";"&amp;'CASE DATA'!$F84&amp;";",ROW($1:$99),1),";")),"",ROW($1:$99)+1),COLUMN(K84)),SMALL(IF(ISERROR(SEARCH(MID(";"&amp;'CASE DATA'!$F84&amp;";",ROW($1:$99),1),";")),"",ROW($1:$99)),COLUMN(K83)+1)-SMALL(IF(ISERROR(SEARCH(MID(";"&amp;'CASE DATA'!$F84&amp;";",ROW($1:$99),1),";")),"",ROW($1:$99)),COLUMN(K83))-1)</f>
        <v/>
      </c>
      <c r="AH84" s="75" t="str" cm="1">
        <f t="array" ref="AH84">MID(";"&amp;'CASE DATA'!$F84&amp;";",SMALL(IF(ISERROR(SEARCH(MID(";"&amp;'CASE DATA'!$F84&amp;";",ROW($1:$99),1),";")),"",ROW($1:$99)+1),COLUMN(L84)),SMALL(IF(ISERROR(SEARCH(MID(";"&amp;'CASE DATA'!$F84&amp;";",ROW($1:$99),1),";")),"",ROW($1:$99)),COLUMN(L83)+1)-SMALL(IF(ISERROR(SEARCH(MID(";"&amp;'CASE DATA'!$F84&amp;";",ROW($1:$99),1),";")),"",ROW($1:$99)),COLUMN(L83))-1)</f>
        <v/>
      </c>
      <c r="AI84" s="75" t="str" cm="1">
        <f t="array" ref="AI84">MID(";"&amp;'CASE DATA'!$F84&amp;";",SMALL(IF(ISERROR(SEARCH(MID(";"&amp;'CASE DATA'!$F84&amp;";",ROW($1:$99),1),";")),"",ROW($1:$99)+1),COLUMN(M84)),SMALL(IF(ISERROR(SEARCH(MID(";"&amp;'CASE DATA'!$F84&amp;";",ROW($1:$99),1),";")),"",ROW($1:$99)),COLUMN(M83)+1)-SMALL(IF(ISERROR(SEARCH(MID(";"&amp;'CASE DATA'!$F84&amp;";",ROW($1:$99),1),";")),"",ROW($1:$99)),COLUMN(M83))-1)</f>
        <v/>
      </c>
      <c r="AJ84"/>
      <c r="AK84"/>
      <c r="AL84"/>
      <c r="AM84"/>
      <c r="AN84"/>
      <c r="AO84"/>
      <c r="AP84"/>
      <c r="AQ84"/>
      <c r="AR84"/>
      <c r="AS84"/>
      <c r="AT84"/>
      <c r="AU84"/>
      <c r="AV84"/>
      <c r="AW84"/>
      <c r="AX84"/>
      <c r="AY84"/>
      <c r="AZ84"/>
      <c r="BA84"/>
      <c r="BB84"/>
      <c r="BC84"/>
      <c r="BD84"/>
      <c r="BE84"/>
      <c r="BF84"/>
      <c r="BG84"/>
      <c r="BH84"/>
      <c r="BI84"/>
      <c r="BJ84"/>
      <c r="BK84"/>
      <c r="BL84"/>
      <c r="BM84"/>
      <c r="BN84"/>
      <c r="BO84" s="99"/>
      <c r="BP84" s="99"/>
      <c r="BQ84" s="99"/>
      <c r="BR84" s="99"/>
      <c r="BS84" s="99"/>
      <c r="BT84" s="99"/>
      <c r="BU84" s="99"/>
      <c r="BV84" s="99"/>
      <c r="BW84" s="99"/>
      <c r="BX84" s="99"/>
      <c r="BY84" s="99"/>
      <c r="BZ84" s="99"/>
      <c r="CA84" s="99"/>
      <c r="CB84" s="99"/>
      <c r="CC84" s="99"/>
      <c r="CD84" s="99"/>
      <c r="CE84" s="99"/>
      <c r="CF84" s="99"/>
      <c r="CG84" s="99"/>
      <c r="CH84" s="99"/>
      <c r="CI84" s="99"/>
      <c r="CJ84" s="99"/>
      <c r="CK84" s="99"/>
      <c r="CL84" s="99"/>
      <c r="CM84" s="99"/>
      <c r="CN84" s="99"/>
      <c r="CO84" s="99"/>
      <c r="CP84" s="99"/>
      <c r="CQ84" s="99"/>
      <c r="CR84" s="99"/>
      <c r="CS84" s="99"/>
      <c r="CT84" s="99"/>
      <c r="CU84" s="99"/>
      <c r="CV84" s="99"/>
      <c r="CW84" s="99"/>
      <c r="CX84" s="99"/>
      <c r="CY84" s="99"/>
      <c r="CZ84" s="99"/>
      <c r="DA84" s="99"/>
      <c r="DB84" s="99"/>
      <c r="DC84" s="99"/>
      <c r="DD84" s="99"/>
      <c r="DE84" s="99"/>
      <c r="DF84" s="99"/>
      <c r="DG84" s="99"/>
      <c r="DH84" s="99"/>
      <c r="DI84" s="99"/>
      <c r="DJ84" s="99"/>
      <c r="DK84" s="99"/>
      <c r="DL84" s="99"/>
      <c r="DM84" s="99"/>
      <c r="DN84" s="99"/>
      <c r="DO84" s="99"/>
      <c r="DP84" s="99"/>
      <c r="DQ84" s="99"/>
      <c r="DR84" s="99"/>
      <c r="DS84" s="99"/>
      <c r="DT84" s="99"/>
      <c r="DU84" s="99"/>
      <c r="DV84" s="99"/>
      <c r="DW84" s="99"/>
      <c r="DX84" s="99"/>
      <c r="DY84" s="99"/>
      <c r="DZ84" s="99"/>
      <c r="EA84" s="99"/>
      <c r="EB84" s="99"/>
      <c r="EC84" s="99"/>
      <c r="ED84" s="99"/>
      <c r="EE84" s="99"/>
      <c r="EF84" s="99"/>
      <c r="EG84" s="99"/>
      <c r="EH84" s="99"/>
      <c r="EI84" s="99"/>
      <c r="EJ84" s="99"/>
      <c r="EK84" s="99"/>
      <c r="EL84" s="99"/>
      <c r="EM84" s="99"/>
      <c r="EN84" s="99"/>
      <c r="EO84" s="99"/>
      <c r="EP84" s="99"/>
      <c r="EQ84" s="99"/>
      <c r="ER84" s="99"/>
      <c r="ES84" s="99"/>
      <c r="ET84" s="99"/>
      <c r="EU84" s="99"/>
      <c r="EV84" s="99"/>
      <c r="EW84" s="99"/>
      <c r="EX84" s="99"/>
      <c r="EY84" s="99"/>
      <c r="EZ84" s="99"/>
      <c r="FA84" s="99"/>
      <c r="FB84" s="99"/>
      <c r="FC84" s="99"/>
      <c r="FD84" s="99"/>
      <c r="FE84" s="99"/>
      <c r="FF84" s="99"/>
      <c r="FG84" s="99"/>
      <c r="FH84" s="99"/>
      <c r="FI84" s="99"/>
      <c r="FJ84" s="99"/>
      <c r="FK84" s="99"/>
    </row>
    <row r="85" spans="1:167" s="70" customFormat="1" x14ac:dyDescent="0.25">
      <c r="A85" s="11"/>
      <c r="B85"/>
      <c r="C85" s="10"/>
      <c r="D85" s="71"/>
      <c r="E85" s="11"/>
      <c r="F85" s="15"/>
      <c r="G85"/>
      <c r="H85" s="99"/>
      <c r="I85" s="99"/>
      <c r="J85" s="99">
        <v>82</v>
      </c>
      <c r="K85" s="16"/>
      <c r="L85" s="16"/>
      <c r="M85" s="16"/>
      <c r="N85" s="16"/>
      <c r="O85" s="16"/>
      <c r="P85" s="16"/>
      <c r="Q85" s="16"/>
      <c r="R85" s="16"/>
      <c r="S85" s="16"/>
      <c r="T85" s="16"/>
      <c r="U85" s="73">
        <f>SUM(K85:T85)</f>
        <v>0</v>
      </c>
      <c r="V85" s="73"/>
      <c r="W85"/>
      <c r="X85" s="75" t="str" cm="1">
        <f t="array" ref="X85">MID(";"&amp;'CASE DATA'!$F85&amp;";",SMALL(IF(ISERROR(SEARCH(MID(";"&amp;'CASE DATA'!$F85&amp;";",ROW($1:$99),1),";")),"",ROW($1:$99)+1),COLUMN(A85)),SMALL(IF(ISERROR(SEARCH(MID(";"&amp;'CASE DATA'!$F85&amp;";",ROW($1:$99),1),";")),"",ROW($1:$99)),COLUMN(A84)+1)-SMALL(IF(ISERROR(SEARCH(MID(";"&amp;'CASE DATA'!$F85&amp;";",ROW($1:$99),1),";")),"",ROW($1:$99)),COLUMN(A84))-1)</f>
        <v/>
      </c>
      <c r="Y85" s="75" t="str" cm="1">
        <f t="array" ref="Y85">MID(";"&amp;'CASE DATA'!$F85&amp;";",SMALL(IF(ISERROR(SEARCH(MID(";"&amp;'CASE DATA'!$F85&amp;";",ROW($1:$99),1),";")),"",ROW($1:$99)+1),COLUMN(B85)),SMALL(IF(ISERROR(SEARCH(MID(";"&amp;'CASE DATA'!$F85&amp;";",ROW($1:$99),1),";")),"",ROW($1:$99)),COLUMN(B84)+1)-SMALL(IF(ISERROR(SEARCH(MID(";"&amp;'CASE DATA'!$F85&amp;";",ROW($1:$99),1),";")),"",ROW($1:$99)),COLUMN(B84))-1)</f>
        <v/>
      </c>
      <c r="Z85" s="75" t="str" cm="1">
        <f t="array" ref="Z85">MID(";"&amp;'CASE DATA'!$F85&amp;";",SMALL(IF(ISERROR(SEARCH(MID(";"&amp;'CASE DATA'!$F85&amp;";",ROW($1:$99),1),";")),"",ROW($1:$99)+1),COLUMN(C85)),SMALL(IF(ISERROR(SEARCH(MID(";"&amp;'CASE DATA'!$F85&amp;";",ROW($1:$99),1),";")),"",ROW($1:$99)),COLUMN(C84)+1)-SMALL(IF(ISERROR(SEARCH(MID(";"&amp;'CASE DATA'!$F85&amp;";",ROW($1:$99),1),";")),"",ROW($1:$99)),COLUMN(C84))-1)</f>
        <v/>
      </c>
      <c r="AA85" s="75" t="str" cm="1">
        <f t="array" ref="AA85">MID(";"&amp;'CASE DATA'!$F85&amp;";",SMALL(IF(ISERROR(SEARCH(MID(";"&amp;'CASE DATA'!$F85&amp;";",ROW($1:$99),1),";")),"",ROW($1:$99)+1),COLUMN(D85)),SMALL(IF(ISERROR(SEARCH(MID(";"&amp;'CASE DATA'!$F85&amp;";",ROW($1:$99),1),";")),"",ROW($1:$99)),COLUMN(D84)+1)-SMALL(IF(ISERROR(SEARCH(MID(";"&amp;'CASE DATA'!$F85&amp;";",ROW($1:$99),1),";")),"",ROW($1:$99)),COLUMN(D84))-1)</f>
        <v/>
      </c>
      <c r="AB85" s="75" t="str" cm="1">
        <f t="array" ref="AB85">MID(";"&amp;'CASE DATA'!$F85&amp;";",SMALL(IF(ISERROR(SEARCH(MID(";"&amp;'CASE DATA'!$F85&amp;";",ROW($1:$99),1),";")),"",ROW($1:$99)+1),COLUMN(E85)),SMALL(IF(ISERROR(SEARCH(MID(";"&amp;'CASE DATA'!$F85&amp;";",ROW($1:$99),1),";")),"",ROW($1:$99)),COLUMN(E84)+1)-SMALL(IF(ISERROR(SEARCH(MID(";"&amp;'CASE DATA'!$F85&amp;";",ROW($1:$99),1),";")),"",ROW($1:$99)),COLUMN(E84))-1)</f>
        <v/>
      </c>
      <c r="AC85" s="75" t="str" cm="1">
        <f t="array" ref="AC85">MID(";"&amp;'CASE DATA'!$F85&amp;";",SMALL(IF(ISERROR(SEARCH(MID(";"&amp;'CASE DATA'!$F85&amp;";",ROW($1:$99),1),";")),"",ROW($1:$99)+1),COLUMN(F85)),SMALL(IF(ISERROR(SEARCH(MID(";"&amp;'CASE DATA'!$F85&amp;";",ROW($1:$99),1),";")),"",ROW($1:$99)),COLUMN(F84)+1)-SMALL(IF(ISERROR(SEARCH(MID(";"&amp;'CASE DATA'!$F85&amp;";",ROW($1:$99),1),";")),"",ROW($1:$99)),COLUMN(F84))-1)</f>
        <v/>
      </c>
      <c r="AD85" s="75" t="str" cm="1">
        <f t="array" ref="AD85">MID(";"&amp;'CASE DATA'!$F85&amp;";",SMALL(IF(ISERROR(SEARCH(MID(";"&amp;'CASE DATA'!$F85&amp;";",ROW($1:$99),1),";")),"",ROW($1:$99)+1),COLUMN(G85)),SMALL(IF(ISERROR(SEARCH(MID(";"&amp;'CASE DATA'!$F85&amp;";",ROW($1:$99),1),";")),"",ROW($1:$99)),COLUMN(G84)+1)-SMALL(IF(ISERROR(SEARCH(MID(";"&amp;'CASE DATA'!$F85&amp;";",ROW($1:$99),1),";")),"",ROW($1:$99)),COLUMN(G84))-1)</f>
        <v/>
      </c>
      <c r="AE85" s="75" t="str" cm="1">
        <f t="array" ref="AE85">MID(";"&amp;'CASE DATA'!$F85&amp;";",SMALL(IF(ISERROR(SEARCH(MID(";"&amp;'CASE DATA'!$F85&amp;";",ROW($1:$99),1),";")),"",ROW($1:$99)+1),COLUMN(H85)),SMALL(IF(ISERROR(SEARCH(MID(";"&amp;'CASE DATA'!$F85&amp;";",ROW($1:$99),1),";")),"",ROW($1:$99)),COLUMN(H84)+1)-SMALL(IF(ISERROR(SEARCH(MID(";"&amp;'CASE DATA'!$F85&amp;";",ROW($1:$99),1),";")),"",ROW($1:$99)),COLUMN(H84))-1)</f>
        <v/>
      </c>
      <c r="AF85" s="75" t="str" cm="1">
        <f t="array" ref="AF85">MID(";"&amp;'CASE DATA'!$F85&amp;";",SMALL(IF(ISERROR(SEARCH(MID(";"&amp;'CASE DATA'!$F85&amp;";",ROW($1:$99),1),";")),"",ROW($1:$99)+1),COLUMN(I85)),SMALL(IF(ISERROR(SEARCH(MID(";"&amp;'CASE DATA'!$F85&amp;";",ROW($1:$99),1),";")),"",ROW($1:$99)),COLUMN(I84)+1)-SMALL(IF(ISERROR(SEARCH(MID(";"&amp;'CASE DATA'!$F85&amp;";",ROW($1:$99),1),";")),"",ROW($1:$99)),COLUMN(I84))-1)</f>
        <v/>
      </c>
      <c r="AG85" s="75" t="str" cm="1">
        <f t="array" ref="AG85">MID(";"&amp;'CASE DATA'!$F85&amp;";",SMALL(IF(ISERROR(SEARCH(MID(";"&amp;'CASE DATA'!$F85&amp;";",ROW($1:$99),1),";")),"",ROW($1:$99)+1),COLUMN(K85)),SMALL(IF(ISERROR(SEARCH(MID(";"&amp;'CASE DATA'!$F85&amp;";",ROW($1:$99),1),";")),"",ROW($1:$99)),COLUMN(K84)+1)-SMALL(IF(ISERROR(SEARCH(MID(";"&amp;'CASE DATA'!$F85&amp;";",ROW($1:$99),1),";")),"",ROW($1:$99)),COLUMN(K84))-1)</f>
        <v/>
      </c>
      <c r="AH85" s="75" t="str" cm="1">
        <f t="array" ref="AH85">MID(";"&amp;'CASE DATA'!$F85&amp;";",SMALL(IF(ISERROR(SEARCH(MID(";"&amp;'CASE DATA'!$F85&amp;";",ROW($1:$99),1),";")),"",ROW($1:$99)+1),COLUMN(L85)),SMALL(IF(ISERROR(SEARCH(MID(";"&amp;'CASE DATA'!$F85&amp;";",ROW($1:$99),1),";")),"",ROW($1:$99)),COLUMN(L84)+1)-SMALL(IF(ISERROR(SEARCH(MID(";"&amp;'CASE DATA'!$F85&amp;";",ROW($1:$99),1),";")),"",ROW($1:$99)),COLUMN(L84))-1)</f>
        <v/>
      </c>
      <c r="AI85" s="75" t="str" cm="1">
        <f t="array" ref="AI85">MID(";"&amp;'CASE DATA'!$F85&amp;";",SMALL(IF(ISERROR(SEARCH(MID(";"&amp;'CASE DATA'!$F85&amp;";",ROW($1:$99),1),";")),"",ROW($1:$99)+1),COLUMN(M85)),SMALL(IF(ISERROR(SEARCH(MID(";"&amp;'CASE DATA'!$F85&amp;";",ROW($1:$99),1),";")),"",ROW($1:$99)),COLUMN(M84)+1)-SMALL(IF(ISERROR(SEARCH(MID(";"&amp;'CASE DATA'!$F85&amp;";",ROW($1:$99),1),";")),"",ROW($1:$99)),COLUMN(M84))-1)</f>
        <v/>
      </c>
      <c r="AJ85"/>
      <c r="AK85"/>
      <c r="AL85"/>
      <c r="AM85"/>
      <c r="AN85"/>
      <c r="AO85"/>
      <c r="AP85"/>
      <c r="AQ85"/>
      <c r="AR85"/>
      <c r="AS85"/>
      <c r="AT85"/>
      <c r="AU85"/>
      <c r="AV85"/>
      <c r="AW85"/>
      <c r="AX85"/>
      <c r="AY85"/>
      <c r="AZ85"/>
      <c r="BA85"/>
      <c r="BB85"/>
      <c r="BC85"/>
      <c r="BD85"/>
      <c r="BE85"/>
      <c r="BF85"/>
      <c r="BG85"/>
      <c r="BH85"/>
      <c r="BI85"/>
      <c r="BJ85"/>
      <c r="BK85"/>
      <c r="BL85"/>
      <c r="BM85"/>
      <c r="BN85"/>
      <c r="BO85" s="99"/>
      <c r="BP85" s="99"/>
      <c r="BQ85" s="99"/>
      <c r="BR85" s="99"/>
      <c r="BS85" s="99"/>
      <c r="BT85" s="99"/>
      <c r="BU85" s="99"/>
      <c r="BV85" s="99"/>
      <c r="BW85" s="99"/>
      <c r="BX85" s="99"/>
      <c r="BY85" s="99"/>
      <c r="BZ85" s="99"/>
      <c r="CA85" s="99"/>
      <c r="CB85" s="99"/>
      <c r="CC85" s="99"/>
      <c r="CD85" s="99"/>
      <c r="CE85" s="99"/>
      <c r="CF85" s="99"/>
      <c r="CG85" s="99"/>
      <c r="CH85" s="99"/>
      <c r="CI85" s="99"/>
      <c r="CJ85" s="99"/>
      <c r="CK85" s="99"/>
      <c r="CL85" s="99"/>
      <c r="CM85" s="99"/>
      <c r="CN85" s="99"/>
      <c r="CO85" s="99"/>
      <c r="CP85" s="99"/>
      <c r="CQ85" s="99"/>
      <c r="CR85" s="99"/>
      <c r="CS85" s="99"/>
      <c r="CT85" s="99"/>
      <c r="CU85" s="99"/>
      <c r="CV85" s="99"/>
      <c r="CW85" s="99"/>
      <c r="CX85" s="99"/>
      <c r="CY85" s="99"/>
      <c r="CZ85" s="99"/>
      <c r="DA85" s="99"/>
      <c r="DB85" s="99"/>
      <c r="DC85" s="99"/>
      <c r="DD85" s="99"/>
      <c r="DE85" s="99"/>
      <c r="DF85" s="99"/>
      <c r="DG85" s="99"/>
      <c r="DH85" s="99"/>
      <c r="DI85" s="99"/>
      <c r="DJ85" s="99"/>
      <c r="DK85" s="99"/>
      <c r="DL85" s="99"/>
      <c r="DM85" s="99"/>
      <c r="DN85" s="99"/>
      <c r="DO85" s="99"/>
      <c r="DP85" s="99"/>
      <c r="DQ85" s="99"/>
      <c r="DR85" s="99"/>
      <c r="DS85" s="99"/>
      <c r="DT85" s="99"/>
      <c r="DU85" s="99"/>
      <c r="DV85" s="99"/>
      <c r="DW85" s="99"/>
      <c r="DX85" s="99"/>
      <c r="DY85" s="99"/>
      <c r="DZ85" s="99"/>
      <c r="EA85" s="99"/>
      <c r="EB85" s="99"/>
      <c r="EC85" s="99"/>
      <c r="ED85" s="99"/>
      <c r="EE85" s="99"/>
      <c r="EF85" s="99"/>
      <c r="EG85" s="99"/>
      <c r="EH85" s="99"/>
      <c r="EI85" s="99"/>
      <c r="EJ85" s="99"/>
      <c r="EK85" s="99"/>
      <c r="EL85" s="99"/>
      <c r="EM85" s="99"/>
      <c r="EN85" s="99"/>
      <c r="EO85" s="99"/>
      <c r="EP85" s="99"/>
      <c r="EQ85" s="99"/>
      <c r="ER85" s="99"/>
      <c r="ES85" s="99"/>
      <c r="ET85" s="99"/>
      <c r="EU85" s="99"/>
      <c r="EV85" s="99"/>
      <c r="EW85" s="99"/>
      <c r="EX85" s="99"/>
      <c r="EY85" s="99"/>
      <c r="EZ85" s="99"/>
      <c r="FA85" s="99"/>
      <c r="FB85" s="99"/>
      <c r="FC85" s="99"/>
      <c r="FD85" s="99"/>
      <c r="FE85" s="99"/>
      <c r="FF85" s="99"/>
      <c r="FG85" s="99"/>
      <c r="FH85" s="99"/>
      <c r="FI85" s="99"/>
      <c r="FJ85" s="99"/>
      <c r="FK85" s="99"/>
    </row>
    <row r="86" spans="1:167" s="70" customFormat="1" x14ac:dyDescent="0.25">
      <c r="A86" s="11"/>
      <c r="B86"/>
      <c r="C86" s="10"/>
      <c r="D86" s="10"/>
      <c r="E86" s="11"/>
      <c r="F86" s="15"/>
      <c r="G86"/>
      <c r="H86" s="99"/>
      <c r="I86" s="99"/>
      <c r="J86" s="99">
        <v>83</v>
      </c>
      <c r="K86" s="16"/>
      <c r="L86" s="16"/>
      <c r="M86" s="16"/>
      <c r="N86" s="16"/>
      <c r="O86" s="16"/>
      <c r="P86" s="16"/>
      <c r="Q86" s="16"/>
      <c r="R86" s="16"/>
      <c r="S86" s="16"/>
      <c r="T86" s="16"/>
      <c r="U86" s="73">
        <f>SUM(K86:T86)</f>
        <v>0</v>
      </c>
      <c r="V86" s="73"/>
      <c r="W86"/>
      <c r="X86" s="75" t="str" cm="1">
        <f t="array" ref="X86">MID(";"&amp;'CASE DATA'!$F86&amp;";",SMALL(IF(ISERROR(SEARCH(MID(";"&amp;'CASE DATA'!$F86&amp;";",ROW($1:$99),1),";")),"",ROW($1:$99)+1),COLUMN(A86)),SMALL(IF(ISERROR(SEARCH(MID(";"&amp;'CASE DATA'!$F86&amp;";",ROW($1:$99),1),";")),"",ROW($1:$99)),COLUMN(A85)+1)-SMALL(IF(ISERROR(SEARCH(MID(";"&amp;'CASE DATA'!$F86&amp;";",ROW($1:$99),1),";")),"",ROW($1:$99)),COLUMN(A85))-1)</f>
        <v/>
      </c>
      <c r="Y86" s="75" t="str" cm="1">
        <f t="array" ref="Y86">MID(";"&amp;'CASE DATA'!$F86&amp;";",SMALL(IF(ISERROR(SEARCH(MID(";"&amp;'CASE DATA'!$F86&amp;";",ROW($1:$99),1),";")),"",ROW($1:$99)+1),COLUMN(B86)),SMALL(IF(ISERROR(SEARCH(MID(";"&amp;'CASE DATA'!$F86&amp;";",ROW($1:$99),1),";")),"",ROW($1:$99)),COLUMN(B85)+1)-SMALL(IF(ISERROR(SEARCH(MID(";"&amp;'CASE DATA'!$F86&amp;";",ROW($1:$99),1),";")),"",ROW($1:$99)),COLUMN(B85))-1)</f>
        <v/>
      </c>
      <c r="Z86" s="75" t="str" cm="1">
        <f t="array" ref="Z86">MID(";"&amp;'CASE DATA'!$F86&amp;";",SMALL(IF(ISERROR(SEARCH(MID(";"&amp;'CASE DATA'!$F86&amp;";",ROW($1:$99),1),";")),"",ROW($1:$99)+1),COLUMN(C86)),SMALL(IF(ISERROR(SEARCH(MID(";"&amp;'CASE DATA'!$F86&amp;";",ROW($1:$99),1),";")),"",ROW($1:$99)),COLUMN(C85)+1)-SMALL(IF(ISERROR(SEARCH(MID(";"&amp;'CASE DATA'!$F86&amp;";",ROW($1:$99),1),";")),"",ROW($1:$99)),COLUMN(C85))-1)</f>
        <v/>
      </c>
      <c r="AA86" s="75" t="str" cm="1">
        <f t="array" ref="AA86">MID(";"&amp;'CASE DATA'!$F86&amp;";",SMALL(IF(ISERROR(SEARCH(MID(";"&amp;'CASE DATA'!$F86&amp;";",ROW($1:$99),1),";")),"",ROW($1:$99)+1),COLUMN(D86)),SMALL(IF(ISERROR(SEARCH(MID(";"&amp;'CASE DATA'!$F86&amp;";",ROW($1:$99),1),";")),"",ROW($1:$99)),COLUMN(D85)+1)-SMALL(IF(ISERROR(SEARCH(MID(";"&amp;'CASE DATA'!$F86&amp;";",ROW($1:$99),1),";")),"",ROW($1:$99)),COLUMN(D85))-1)</f>
        <v/>
      </c>
      <c r="AB86" s="75" t="str" cm="1">
        <f t="array" ref="AB86">MID(";"&amp;'CASE DATA'!$F86&amp;";",SMALL(IF(ISERROR(SEARCH(MID(";"&amp;'CASE DATA'!$F86&amp;";",ROW($1:$99),1),";")),"",ROW($1:$99)+1),COLUMN(E86)),SMALL(IF(ISERROR(SEARCH(MID(";"&amp;'CASE DATA'!$F86&amp;";",ROW($1:$99),1),";")),"",ROW($1:$99)),COLUMN(E85)+1)-SMALL(IF(ISERROR(SEARCH(MID(";"&amp;'CASE DATA'!$F86&amp;";",ROW($1:$99),1),";")),"",ROW($1:$99)),COLUMN(E85))-1)</f>
        <v/>
      </c>
      <c r="AC86" s="75" t="str" cm="1">
        <f t="array" ref="AC86">MID(";"&amp;'CASE DATA'!$F86&amp;";",SMALL(IF(ISERROR(SEARCH(MID(";"&amp;'CASE DATA'!$F86&amp;";",ROW($1:$99),1),";")),"",ROW($1:$99)+1),COLUMN(F86)),SMALL(IF(ISERROR(SEARCH(MID(";"&amp;'CASE DATA'!$F86&amp;";",ROW($1:$99),1),";")),"",ROW($1:$99)),COLUMN(F85)+1)-SMALL(IF(ISERROR(SEARCH(MID(";"&amp;'CASE DATA'!$F86&amp;";",ROW($1:$99),1),";")),"",ROW($1:$99)),COLUMN(F85))-1)</f>
        <v/>
      </c>
      <c r="AD86" s="75" t="str" cm="1">
        <f t="array" ref="AD86">MID(";"&amp;'CASE DATA'!$F86&amp;";",SMALL(IF(ISERROR(SEARCH(MID(";"&amp;'CASE DATA'!$F86&amp;";",ROW($1:$99),1),";")),"",ROW($1:$99)+1),COLUMN(G86)),SMALL(IF(ISERROR(SEARCH(MID(";"&amp;'CASE DATA'!$F86&amp;";",ROW($1:$99),1),";")),"",ROW($1:$99)),COLUMN(G85)+1)-SMALL(IF(ISERROR(SEARCH(MID(";"&amp;'CASE DATA'!$F86&amp;";",ROW($1:$99),1),";")),"",ROW($1:$99)),COLUMN(G85))-1)</f>
        <v/>
      </c>
      <c r="AE86" s="75" t="str" cm="1">
        <f t="array" ref="AE86">MID(";"&amp;'CASE DATA'!$F86&amp;";",SMALL(IF(ISERROR(SEARCH(MID(";"&amp;'CASE DATA'!$F86&amp;";",ROW($1:$99),1),";")),"",ROW($1:$99)+1),COLUMN(H86)),SMALL(IF(ISERROR(SEARCH(MID(";"&amp;'CASE DATA'!$F86&amp;";",ROW($1:$99),1),";")),"",ROW($1:$99)),COLUMN(H85)+1)-SMALL(IF(ISERROR(SEARCH(MID(";"&amp;'CASE DATA'!$F86&amp;";",ROW($1:$99),1),";")),"",ROW($1:$99)),COLUMN(H85))-1)</f>
        <v/>
      </c>
      <c r="AF86" s="75" t="str" cm="1">
        <f t="array" ref="AF86">MID(";"&amp;'CASE DATA'!$F86&amp;";",SMALL(IF(ISERROR(SEARCH(MID(";"&amp;'CASE DATA'!$F86&amp;";",ROW($1:$99),1),";")),"",ROW($1:$99)+1),COLUMN(I86)),SMALL(IF(ISERROR(SEARCH(MID(";"&amp;'CASE DATA'!$F86&amp;";",ROW($1:$99),1),";")),"",ROW($1:$99)),COLUMN(I85)+1)-SMALL(IF(ISERROR(SEARCH(MID(";"&amp;'CASE DATA'!$F86&amp;";",ROW($1:$99),1),";")),"",ROW($1:$99)),COLUMN(I85))-1)</f>
        <v/>
      </c>
      <c r="AG86" s="75" t="str" cm="1">
        <f t="array" ref="AG86">MID(";"&amp;'CASE DATA'!$F86&amp;";",SMALL(IF(ISERROR(SEARCH(MID(";"&amp;'CASE DATA'!$F86&amp;";",ROW($1:$99),1),";")),"",ROW($1:$99)+1),COLUMN(K86)),SMALL(IF(ISERROR(SEARCH(MID(";"&amp;'CASE DATA'!$F86&amp;";",ROW($1:$99),1),";")),"",ROW($1:$99)),COLUMN(K85)+1)-SMALL(IF(ISERROR(SEARCH(MID(";"&amp;'CASE DATA'!$F86&amp;";",ROW($1:$99),1),";")),"",ROW($1:$99)),COLUMN(K85))-1)</f>
        <v/>
      </c>
      <c r="AH86" s="75" t="str" cm="1">
        <f t="array" ref="AH86">MID(";"&amp;'CASE DATA'!$F86&amp;";",SMALL(IF(ISERROR(SEARCH(MID(";"&amp;'CASE DATA'!$F86&amp;";",ROW($1:$99),1),";")),"",ROW($1:$99)+1),COLUMN(L86)),SMALL(IF(ISERROR(SEARCH(MID(";"&amp;'CASE DATA'!$F86&amp;";",ROW($1:$99),1),";")),"",ROW($1:$99)),COLUMN(L85)+1)-SMALL(IF(ISERROR(SEARCH(MID(";"&amp;'CASE DATA'!$F86&amp;";",ROW($1:$99),1),";")),"",ROW($1:$99)),COLUMN(L85))-1)</f>
        <v/>
      </c>
      <c r="AI86" s="75" t="str" cm="1">
        <f t="array" ref="AI86">MID(";"&amp;'CASE DATA'!$F86&amp;";",SMALL(IF(ISERROR(SEARCH(MID(";"&amp;'CASE DATA'!$F86&amp;";",ROW($1:$99),1),";")),"",ROW($1:$99)+1),COLUMN(M86)),SMALL(IF(ISERROR(SEARCH(MID(";"&amp;'CASE DATA'!$F86&amp;";",ROW($1:$99),1),";")),"",ROW($1:$99)),COLUMN(M85)+1)-SMALL(IF(ISERROR(SEARCH(MID(";"&amp;'CASE DATA'!$F86&amp;";",ROW($1:$99),1),";")),"",ROW($1:$99)),COLUMN(M85))-1)</f>
        <v/>
      </c>
      <c r="AJ86"/>
      <c r="AK86"/>
      <c r="AL86"/>
      <c r="AM86"/>
      <c r="AN86"/>
      <c r="AO86"/>
      <c r="AP86"/>
      <c r="AQ86"/>
      <c r="AR86"/>
      <c r="AS86"/>
      <c r="AT86"/>
      <c r="AU86"/>
      <c r="AV86"/>
      <c r="AW86"/>
      <c r="AX86"/>
      <c r="AY86"/>
      <c r="AZ86"/>
      <c r="BA86"/>
      <c r="BB86"/>
      <c r="BC86"/>
      <c r="BD86"/>
      <c r="BE86"/>
      <c r="BF86"/>
      <c r="BG86"/>
      <c r="BH86"/>
      <c r="BI86"/>
      <c r="BJ86"/>
      <c r="BK86"/>
      <c r="BL86"/>
      <c r="BM86"/>
      <c r="BN86"/>
      <c r="BO86" s="99"/>
      <c r="BP86" s="99"/>
      <c r="BQ86" s="99"/>
      <c r="BR86" s="99"/>
      <c r="BS86" s="99"/>
      <c r="BT86" s="99"/>
      <c r="BU86" s="99"/>
      <c r="BV86" s="99"/>
      <c r="BW86" s="99"/>
      <c r="BX86" s="99"/>
      <c r="BY86" s="99"/>
      <c r="BZ86" s="99"/>
      <c r="CA86" s="99"/>
      <c r="CB86" s="99"/>
      <c r="CC86" s="99"/>
      <c r="CD86" s="99"/>
      <c r="CE86" s="99"/>
      <c r="CF86" s="99"/>
      <c r="CG86" s="99"/>
      <c r="CH86" s="99"/>
      <c r="CI86" s="99"/>
      <c r="CJ86" s="99"/>
      <c r="CK86" s="99"/>
      <c r="CL86" s="99"/>
      <c r="CM86" s="99"/>
      <c r="CN86" s="99"/>
      <c r="CO86" s="99"/>
      <c r="CP86" s="99"/>
      <c r="CQ86" s="99"/>
      <c r="CR86" s="99"/>
      <c r="CS86" s="99"/>
      <c r="CT86" s="99"/>
      <c r="CU86" s="99"/>
      <c r="CV86" s="99"/>
      <c r="CW86" s="99"/>
      <c r="CX86" s="99"/>
      <c r="CY86" s="99"/>
      <c r="CZ86" s="99"/>
      <c r="DA86" s="99"/>
      <c r="DB86" s="99"/>
      <c r="DC86" s="99"/>
      <c r="DD86" s="99"/>
      <c r="DE86" s="99"/>
      <c r="DF86" s="99"/>
      <c r="DG86" s="99"/>
      <c r="DH86" s="99"/>
      <c r="DI86" s="99"/>
      <c r="DJ86" s="99"/>
      <c r="DK86" s="99"/>
      <c r="DL86" s="99"/>
      <c r="DM86" s="99"/>
      <c r="DN86" s="99"/>
      <c r="DO86" s="99"/>
      <c r="DP86" s="99"/>
      <c r="DQ86" s="99"/>
      <c r="DR86" s="99"/>
      <c r="DS86" s="99"/>
      <c r="DT86" s="99"/>
      <c r="DU86" s="99"/>
      <c r="DV86" s="99"/>
      <c r="DW86" s="99"/>
      <c r="DX86" s="99"/>
      <c r="DY86" s="99"/>
      <c r="DZ86" s="99"/>
      <c r="EA86" s="99"/>
      <c r="EB86" s="99"/>
      <c r="EC86" s="99"/>
      <c r="ED86" s="99"/>
      <c r="EE86" s="99"/>
      <c r="EF86" s="99"/>
      <c r="EG86" s="99"/>
      <c r="EH86" s="99"/>
      <c r="EI86" s="99"/>
      <c r="EJ86" s="99"/>
      <c r="EK86" s="99"/>
      <c r="EL86" s="99"/>
      <c r="EM86" s="99"/>
      <c r="EN86" s="99"/>
      <c r="EO86" s="99"/>
      <c r="EP86" s="99"/>
      <c r="EQ86" s="99"/>
      <c r="ER86" s="99"/>
      <c r="ES86" s="99"/>
      <c r="ET86" s="99"/>
      <c r="EU86" s="99"/>
      <c r="EV86" s="99"/>
      <c r="EW86" s="99"/>
      <c r="EX86" s="99"/>
      <c r="EY86" s="99"/>
      <c r="EZ86" s="99"/>
      <c r="FA86" s="99"/>
      <c r="FB86" s="99"/>
      <c r="FC86" s="99"/>
      <c r="FD86" s="99"/>
      <c r="FE86" s="99"/>
      <c r="FF86" s="99"/>
      <c r="FG86" s="99"/>
      <c r="FH86" s="99"/>
      <c r="FI86" s="99"/>
      <c r="FJ86" s="99"/>
      <c r="FK86" s="99"/>
    </row>
    <row r="87" spans="1:167" x14ac:dyDescent="0.25">
      <c r="A87" s="11"/>
      <c r="C87" s="10"/>
      <c r="D87" s="10"/>
      <c r="E87" s="11"/>
      <c r="F87" s="15"/>
      <c r="J87" s="99">
        <v>84</v>
      </c>
      <c r="K87" s="16"/>
      <c r="L87" s="16"/>
      <c r="M87" s="16"/>
      <c r="N87" s="16"/>
      <c r="O87" s="16"/>
      <c r="P87" s="16"/>
      <c r="Q87" s="16"/>
      <c r="R87" s="16"/>
      <c r="S87" s="16"/>
      <c r="T87" s="16"/>
      <c r="U87" s="73">
        <f>SUM(K87:T87)</f>
        <v>0</v>
      </c>
      <c r="V87" s="73"/>
      <c r="X87" s="75" t="str" cm="1">
        <f t="array" ref="X87">MID(";"&amp;'CASE DATA'!$F87&amp;";",SMALL(IF(ISERROR(SEARCH(MID(";"&amp;'CASE DATA'!$F87&amp;";",ROW($1:$99),1),";")),"",ROW($1:$99)+1),COLUMN(A87)),SMALL(IF(ISERROR(SEARCH(MID(";"&amp;'CASE DATA'!$F87&amp;";",ROW($1:$99),1),";")),"",ROW($1:$99)),COLUMN(A86)+1)-SMALL(IF(ISERROR(SEARCH(MID(";"&amp;'CASE DATA'!$F87&amp;";",ROW($1:$99),1),";")),"",ROW($1:$99)),COLUMN(A86))-1)</f>
        <v/>
      </c>
      <c r="Y87" s="75" t="str" cm="1">
        <f t="array" ref="Y87">MID(";"&amp;'CASE DATA'!$F87&amp;";",SMALL(IF(ISERROR(SEARCH(MID(";"&amp;'CASE DATA'!$F87&amp;";",ROW($1:$99),1),";")),"",ROW($1:$99)+1),COLUMN(B87)),SMALL(IF(ISERROR(SEARCH(MID(";"&amp;'CASE DATA'!$F87&amp;";",ROW($1:$99),1),";")),"",ROW($1:$99)),COLUMN(B86)+1)-SMALL(IF(ISERROR(SEARCH(MID(";"&amp;'CASE DATA'!$F87&amp;";",ROW($1:$99),1),";")),"",ROW($1:$99)),COLUMN(B86))-1)</f>
        <v/>
      </c>
      <c r="Z87" s="75" t="str" cm="1">
        <f t="array" ref="Z87">MID(";"&amp;'CASE DATA'!$F87&amp;";",SMALL(IF(ISERROR(SEARCH(MID(";"&amp;'CASE DATA'!$F87&amp;";",ROW($1:$99),1),";")),"",ROW($1:$99)+1),COLUMN(C87)),SMALL(IF(ISERROR(SEARCH(MID(";"&amp;'CASE DATA'!$F87&amp;";",ROW($1:$99),1),";")),"",ROW($1:$99)),COLUMN(C86)+1)-SMALL(IF(ISERROR(SEARCH(MID(";"&amp;'CASE DATA'!$F87&amp;";",ROW($1:$99),1),";")),"",ROW($1:$99)),COLUMN(C86))-1)</f>
        <v/>
      </c>
      <c r="AA87" s="75" t="str" cm="1">
        <f t="array" ref="AA87">MID(";"&amp;'CASE DATA'!$F87&amp;";",SMALL(IF(ISERROR(SEARCH(MID(";"&amp;'CASE DATA'!$F87&amp;";",ROW($1:$99),1),";")),"",ROW($1:$99)+1),COLUMN(D87)),SMALL(IF(ISERROR(SEARCH(MID(";"&amp;'CASE DATA'!$F87&amp;";",ROW($1:$99),1),";")),"",ROW($1:$99)),COLUMN(D86)+1)-SMALL(IF(ISERROR(SEARCH(MID(";"&amp;'CASE DATA'!$F87&amp;";",ROW($1:$99),1),";")),"",ROW($1:$99)),COLUMN(D86))-1)</f>
        <v/>
      </c>
      <c r="AB87" s="75" t="str" cm="1">
        <f t="array" ref="AB87">MID(";"&amp;'CASE DATA'!$F87&amp;";",SMALL(IF(ISERROR(SEARCH(MID(";"&amp;'CASE DATA'!$F87&amp;";",ROW($1:$99),1),";")),"",ROW($1:$99)+1),COLUMN(E87)),SMALL(IF(ISERROR(SEARCH(MID(";"&amp;'CASE DATA'!$F87&amp;";",ROW($1:$99),1),";")),"",ROW($1:$99)),COLUMN(E86)+1)-SMALL(IF(ISERROR(SEARCH(MID(";"&amp;'CASE DATA'!$F87&amp;";",ROW($1:$99),1),";")),"",ROW($1:$99)),COLUMN(E86))-1)</f>
        <v/>
      </c>
      <c r="AC87" s="75" t="str" cm="1">
        <f t="array" ref="AC87">MID(";"&amp;'CASE DATA'!$F87&amp;";",SMALL(IF(ISERROR(SEARCH(MID(";"&amp;'CASE DATA'!$F87&amp;";",ROW($1:$99),1),";")),"",ROW($1:$99)+1),COLUMN(F87)),SMALL(IF(ISERROR(SEARCH(MID(";"&amp;'CASE DATA'!$F87&amp;";",ROW($1:$99),1),";")),"",ROW($1:$99)),COLUMN(F86)+1)-SMALL(IF(ISERROR(SEARCH(MID(";"&amp;'CASE DATA'!$F87&amp;";",ROW($1:$99),1),";")),"",ROW($1:$99)),COLUMN(F86))-1)</f>
        <v/>
      </c>
      <c r="AD87" s="75" t="str" cm="1">
        <f t="array" ref="AD87">MID(";"&amp;'CASE DATA'!$F87&amp;";",SMALL(IF(ISERROR(SEARCH(MID(";"&amp;'CASE DATA'!$F87&amp;";",ROW($1:$99),1),";")),"",ROW($1:$99)+1),COLUMN(G87)),SMALL(IF(ISERROR(SEARCH(MID(";"&amp;'CASE DATA'!$F87&amp;";",ROW($1:$99),1),";")),"",ROW($1:$99)),COLUMN(G86)+1)-SMALL(IF(ISERROR(SEARCH(MID(";"&amp;'CASE DATA'!$F87&amp;";",ROW($1:$99),1),";")),"",ROW($1:$99)),COLUMN(G86))-1)</f>
        <v/>
      </c>
      <c r="AE87" s="75" t="str" cm="1">
        <f t="array" ref="AE87">MID(";"&amp;'CASE DATA'!$F87&amp;";",SMALL(IF(ISERROR(SEARCH(MID(";"&amp;'CASE DATA'!$F87&amp;";",ROW($1:$99),1),";")),"",ROW($1:$99)+1),COLUMN(H87)),SMALL(IF(ISERROR(SEARCH(MID(";"&amp;'CASE DATA'!$F87&amp;";",ROW($1:$99),1),";")),"",ROW($1:$99)),COLUMN(H86)+1)-SMALL(IF(ISERROR(SEARCH(MID(";"&amp;'CASE DATA'!$F87&amp;";",ROW($1:$99),1),";")),"",ROW($1:$99)),COLUMN(H86))-1)</f>
        <v/>
      </c>
      <c r="AF87" s="75" t="str" cm="1">
        <f t="array" ref="AF87">MID(";"&amp;'CASE DATA'!$F87&amp;";",SMALL(IF(ISERROR(SEARCH(MID(";"&amp;'CASE DATA'!$F87&amp;";",ROW($1:$99),1),";")),"",ROW($1:$99)+1),COLUMN(I87)),SMALL(IF(ISERROR(SEARCH(MID(";"&amp;'CASE DATA'!$F87&amp;";",ROW($1:$99),1),";")),"",ROW($1:$99)),COLUMN(I86)+1)-SMALL(IF(ISERROR(SEARCH(MID(";"&amp;'CASE DATA'!$F87&amp;";",ROW($1:$99),1),";")),"",ROW($1:$99)),COLUMN(I86))-1)</f>
        <v/>
      </c>
      <c r="AG87" s="75" t="str" cm="1">
        <f t="array" ref="AG87">MID(";"&amp;'CASE DATA'!$F87&amp;";",SMALL(IF(ISERROR(SEARCH(MID(";"&amp;'CASE DATA'!$F87&amp;";",ROW($1:$99),1),";")),"",ROW($1:$99)+1),COLUMN(K87)),SMALL(IF(ISERROR(SEARCH(MID(";"&amp;'CASE DATA'!$F87&amp;";",ROW($1:$99),1),";")),"",ROW($1:$99)),COLUMN(K86)+1)-SMALL(IF(ISERROR(SEARCH(MID(";"&amp;'CASE DATA'!$F87&amp;";",ROW($1:$99),1),";")),"",ROW($1:$99)),COLUMN(K86))-1)</f>
        <v/>
      </c>
      <c r="AH87" s="75" t="str" cm="1">
        <f t="array" ref="AH87">MID(";"&amp;'CASE DATA'!$F87&amp;";",SMALL(IF(ISERROR(SEARCH(MID(";"&amp;'CASE DATA'!$F87&amp;";",ROW($1:$99),1),";")),"",ROW($1:$99)+1),COLUMN(L87)),SMALL(IF(ISERROR(SEARCH(MID(";"&amp;'CASE DATA'!$F87&amp;";",ROW($1:$99),1),";")),"",ROW($1:$99)),COLUMN(L86)+1)-SMALL(IF(ISERROR(SEARCH(MID(";"&amp;'CASE DATA'!$F87&amp;";",ROW($1:$99),1),";")),"",ROW($1:$99)),COLUMN(L86))-1)</f>
        <v/>
      </c>
      <c r="AI87" s="75" t="str" cm="1">
        <f t="array" ref="AI87">MID(";"&amp;'CASE DATA'!$F87&amp;";",SMALL(IF(ISERROR(SEARCH(MID(";"&amp;'CASE DATA'!$F87&amp;";",ROW($1:$99),1),";")),"",ROW($1:$99)+1),COLUMN(M87)),SMALL(IF(ISERROR(SEARCH(MID(";"&amp;'CASE DATA'!$F87&amp;";",ROW($1:$99),1),";")),"",ROW($1:$99)),COLUMN(M86)+1)-SMALL(IF(ISERROR(SEARCH(MID(";"&amp;'CASE DATA'!$F87&amp;";",ROW($1:$99),1),";")),"",ROW($1:$99)),COLUMN(M86))-1)</f>
        <v/>
      </c>
      <c r="BO87" s="99"/>
      <c r="BP87" s="99"/>
      <c r="BQ87" s="99"/>
      <c r="BR87" s="99"/>
      <c r="BS87" s="99"/>
      <c r="BT87" s="99"/>
      <c r="BU87" s="99"/>
      <c r="BV87" s="99"/>
      <c r="BW87" s="99"/>
      <c r="BX87" s="99"/>
      <c r="BY87" s="99"/>
      <c r="BZ87" s="99"/>
      <c r="CA87" s="99"/>
      <c r="CB87" s="99"/>
      <c r="CC87" s="99"/>
      <c r="CD87" s="99"/>
      <c r="CE87" s="99"/>
      <c r="CF87" s="99"/>
      <c r="CG87" s="99"/>
      <c r="CH87" s="99"/>
      <c r="CI87" s="99"/>
      <c r="CJ87" s="99"/>
      <c r="CK87" s="99"/>
      <c r="CL87" s="99"/>
      <c r="CM87" s="99"/>
      <c r="CN87" s="99"/>
      <c r="CO87" s="99"/>
      <c r="CP87" s="99"/>
      <c r="CQ87" s="99"/>
      <c r="CR87" s="99"/>
      <c r="CS87" s="99"/>
      <c r="CT87" s="99"/>
      <c r="CU87" s="99"/>
      <c r="CV87" s="99"/>
      <c r="CW87" s="99"/>
      <c r="CX87" s="99"/>
      <c r="CY87" s="99"/>
      <c r="CZ87" s="99"/>
      <c r="DA87" s="99"/>
      <c r="DB87" s="99"/>
      <c r="DC87" s="99"/>
      <c r="DD87" s="99"/>
      <c r="DE87" s="99"/>
      <c r="DF87" s="99"/>
      <c r="DG87" s="99"/>
      <c r="DH87" s="99"/>
      <c r="DI87" s="99"/>
      <c r="DJ87" s="99"/>
      <c r="DK87" s="99"/>
      <c r="DL87" s="99"/>
      <c r="DM87" s="99"/>
      <c r="DN87" s="99"/>
      <c r="DO87" s="99"/>
      <c r="DP87" s="99"/>
      <c r="DQ87" s="99"/>
      <c r="DR87" s="99"/>
      <c r="DS87" s="99"/>
      <c r="DT87" s="99"/>
      <c r="DU87" s="99"/>
      <c r="DV87" s="99"/>
      <c r="DW87" s="99"/>
      <c r="DX87" s="99"/>
      <c r="DY87" s="99"/>
      <c r="DZ87" s="99"/>
      <c r="EA87" s="99"/>
      <c r="EB87" s="99"/>
      <c r="EC87" s="99"/>
      <c r="ED87" s="99"/>
      <c r="EE87" s="99"/>
      <c r="EF87" s="99"/>
      <c r="EG87" s="99"/>
      <c r="EH87" s="99"/>
      <c r="EI87" s="99"/>
      <c r="EJ87" s="99"/>
      <c r="EK87" s="99"/>
      <c r="EL87" s="99"/>
      <c r="EM87" s="99"/>
      <c r="EN87" s="99"/>
      <c r="EO87" s="99"/>
      <c r="EP87" s="99"/>
      <c r="EQ87" s="99"/>
      <c r="ER87" s="99"/>
      <c r="ES87" s="99"/>
      <c r="ET87" s="99"/>
      <c r="EU87" s="99"/>
      <c r="EV87" s="99"/>
      <c r="EW87" s="99"/>
      <c r="EX87" s="99"/>
      <c r="EY87" s="99"/>
      <c r="EZ87" s="99"/>
      <c r="FA87" s="99"/>
      <c r="FB87" s="99"/>
      <c r="FC87" s="99"/>
      <c r="FD87" s="99"/>
      <c r="FE87" s="99"/>
      <c r="FF87" s="99"/>
      <c r="FG87" s="99"/>
      <c r="FH87" s="99"/>
      <c r="FI87" s="99"/>
      <c r="FJ87" s="99"/>
      <c r="FK87" s="99"/>
    </row>
    <row r="88" spans="1:167" s="70" customFormat="1" x14ac:dyDescent="0.25">
      <c r="A88" s="11"/>
      <c r="B88"/>
      <c r="C88" s="10"/>
      <c r="D88" s="10"/>
      <c r="E88" s="11"/>
      <c r="F88" s="15"/>
      <c r="G88"/>
      <c r="H88" s="99"/>
      <c r="I88" s="99"/>
      <c r="J88" s="99">
        <v>85</v>
      </c>
      <c r="K88" s="16"/>
      <c r="L88" s="16"/>
      <c r="M88" s="16"/>
      <c r="N88" s="16"/>
      <c r="O88" s="16"/>
      <c r="P88" s="16"/>
      <c r="Q88" s="16"/>
      <c r="R88" s="16"/>
      <c r="S88" s="16"/>
      <c r="T88" s="16"/>
      <c r="U88" s="73">
        <f>SUM(K88:T88)</f>
        <v>0</v>
      </c>
      <c r="V88" s="73"/>
      <c r="W88"/>
      <c r="X88" s="75" t="str" cm="1">
        <f t="array" ref="X88">MID(";"&amp;'CASE DATA'!$F88&amp;";",SMALL(IF(ISERROR(SEARCH(MID(";"&amp;'CASE DATA'!$F88&amp;";",ROW($1:$99),1),";")),"",ROW($1:$99)+1),COLUMN(A88)),SMALL(IF(ISERROR(SEARCH(MID(";"&amp;'CASE DATA'!$F88&amp;";",ROW($1:$99),1),";")),"",ROW($1:$99)),COLUMN(A87)+1)-SMALL(IF(ISERROR(SEARCH(MID(";"&amp;'CASE DATA'!$F88&amp;";",ROW($1:$99),1),";")),"",ROW($1:$99)),COLUMN(A87))-1)</f>
        <v/>
      </c>
      <c r="Y88" s="75" t="str" cm="1">
        <f t="array" ref="Y88">MID(";"&amp;'CASE DATA'!$F88&amp;";",SMALL(IF(ISERROR(SEARCH(MID(";"&amp;'CASE DATA'!$F88&amp;";",ROW($1:$99),1),";")),"",ROW($1:$99)+1),COLUMN(B88)),SMALL(IF(ISERROR(SEARCH(MID(";"&amp;'CASE DATA'!$F88&amp;";",ROW($1:$99),1),";")),"",ROW($1:$99)),COLUMN(B87)+1)-SMALL(IF(ISERROR(SEARCH(MID(";"&amp;'CASE DATA'!$F88&amp;";",ROW($1:$99),1),";")),"",ROW($1:$99)),COLUMN(B87))-1)</f>
        <v/>
      </c>
      <c r="Z88" s="75" t="str" cm="1">
        <f t="array" ref="Z88">MID(";"&amp;'CASE DATA'!$F88&amp;";",SMALL(IF(ISERROR(SEARCH(MID(";"&amp;'CASE DATA'!$F88&amp;";",ROW($1:$99),1),";")),"",ROW($1:$99)+1),COLUMN(C88)),SMALL(IF(ISERROR(SEARCH(MID(";"&amp;'CASE DATA'!$F88&amp;";",ROW($1:$99),1),";")),"",ROW($1:$99)),COLUMN(C87)+1)-SMALL(IF(ISERROR(SEARCH(MID(";"&amp;'CASE DATA'!$F88&amp;";",ROW($1:$99),1),";")),"",ROW($1:$99)),COLUMN(C87))-1)</f>
        <v/>
      </c>
      <c r="AA88" s="75" t="str" cm="1">
        <f t="array" ref="AA88">MID(";"&amp;'CASE DATA'!$F88&amp;";",SMALL(IF(ISERROR(SEARCH(MID(";"&amp;'CASE DATA'!$F88&amp;";",ROW($1:$99),1),";")),"",ROW($1:$99)+1),COLUMN(D88)),SMALL(IF(ISERROR(SEARCH(MID(";"&amp;'CASE DATA'!$F88&amp;";",ROW($1:$99),1),";")),"",ROW($1:$99)),COLUMN(D87)+1)-SMALL(IF(ISERROR(SEARCH(MID(";"&amp;'CASE DATA'!$F88&amp;";",ROW($1:$99),1),";")),"",ROW($1:$99)),COLUMN(D87))-1)</f>
        <v/>
      </c>
      <c r="AB88" s="75" t="str" cm="1">
        <f t="array" ref="AB88">MID(";"&amp;'CASE DATA'!$F88&amp;";",SMALL(IF(ISERROR(SEARCH(MID(";"&amp;'CASE DATA'!$F88&amp;";",ROW($1:$99),1),";")),"",ROW($1:$99)+1),COLUMN(E88)),SMALL(IF(ISERROR(SEARCH(MID(";"&amp;'CASE DATA'!$F88&amp;";",ROW($1:$99),1),";")),"",ROW($1:$99)),COLUMN(E87)+1)-SMALL(IF(ISERROR(SEARCH(MID(";"&amp;'CASE DATA'!$F88&amp;";",ROW($1:$99),1),";")),"",ROW($1:$99)),COLUMN(E87))-1)</f>
        <v/>
      </c>
      <c r="AC88" s="75" t="str" cm="1">
        <f t="array" ref="AC88">MID(";"&amp;'CASE DATA'!$F88&amp;";",SMALL(IF(ISERROR(SEARCH(MID(";"&amp;'CASE DATA'!$F88&amp;";",ROW($1:$99),1),";")),"",ROW($1:$99)+1),COLUMN(F88)),SMALL(IF(ISERROR(SEARCH(MID(";"&amp;'CASE DATA'!$F88&amp;";",ROW($1:$99),1),";")),"",ROW($1:$99)),COLUMN(F87)+1)-SMALL(IF(ISERROR(SEARCH(MID(";"&amp;'CASE DATA'!$F88&amp;";",ROW($1:$99),1),";")),"",ROW($1:$99)),COLUMN(F87))-1)</f>
        <v/>
      </c>
      <c r="AD88" s="75" t="str" cm="1">
        <f t="array" ref="AD88">MID(";"&amp;'CASE DATA'!$F88&amp;";",SMALL(IF(ISERROR(SEARCH(MID(";"&amp;'CASE DATA'!$F88&amp;";",ROW($1:$99),1),";")),"",ROW($1:$99)+1),COLUMN(G88)),SMALL(IF(ISERROR(SEARCH(MID(";"&amp;'CASE DATA'!$F88&amp;";",ROW($1:$99),1),";")),"",ROW($1:$99)),COLUMN(G87)+1)-SMALL(IF(ISERROR(SEARCH(MID(";"&amp;'CASE DATA'!$F88&amp;";",ROW($1:$99),1),";")),"",ROW($1:$99)),COLUMN(G87))-1)</f>
        <v/>
      </c>
      <c r="AE88" s="75" t="str" cm="1">
        <f t="array" ref="AE88">MID(";"&amp;'CASE DATA'!$F88&amp;";",SMALL(IF(ISERROR(SEARCH(MID(";"&amp;'CASE DATA'!$F88&amp;";",ROW($1:$99),1),";")),"",ROW($1:$99)+1),COLUMN(H88)),SMALL(IF(ISERROR(SEARCH(MID(";"&amp;'CASE DATA'!$F88&amp;";",ROW($1:$99),1),";")),"",ROW($1:$99)),COLUMN(H87)+1)-SMALL(IF(ISERROR(SEARCH(MID(";"&amp;'CASE DATA'!$F88&amp;";",ROW($1:$99),1),";")),"",ROW($1:$99)),COLUMN(H87))-1)</f>
        <v/>
      </c>
      <c r="AF88" s="75" t="str" cm="1">
        <f t="array" ref="AF88">MID(";"&amp;'CASE DATA'!$F88&amp;";",SMALL(IF(ISERROR(SEARCH(MID(";"&amp;'CASE DATA'!$F88&amp;";",ROW($1:$99),1),";")),"",ROW($1:$99)+1),COLUMN(I88)),SMALL(IF(ISERROR(SEARCH(MID(";"&amp;'CASE DATA'!$F88&amp;";",ROW($1:$99),1),";")),"",ROW($1:$99)),COLUMN(I87)+1)-SMALL(IF(ISERROR(SEARCH(MID(";"&amp;'CASE DATA'!$F88&amp;";",ROW($1:$99),1),";")),"",ROW($1:$99)),COLUMN(I87))-1)</f>
        <v/>
      </c>
      <c r="AG88" s="75" t="str" cm="1">
        <f t="array" ref="AG88">MID(";"&amp;'CASE DATA'!$F88&amp;";",SMALL(IF(ISERROR(SEARCH(MID(";"&amp;'CASE DATA'!$F88&amp;";",ROW($1:$99),1),";")),"",ROW($1:$99)+1),COLUMN(K88)),SMALL(IF(ISERROR(SEARCH(MID(";"&amp;'CASE DATA'!$F88&amp;";",ROW($1:$99),1),";")),"",ROW($1:$99)),COLUMN(K87)+1)-SMALL(IF(ISERROR(SEARCH(MID(";"&amp;'CASE DATA'!$F88&amp;";",ROW($1:$99),1),";")),"",ROW($1:$99)),COLUMN(K87))-1)</f>
        <v/>
      </c>
      <c r="AH88" s="75" t="str" cm="1">
        <f t="array" ref="AH88">MID(";"&amp;'CASE DATA'!$F88&amp;";",SMALL(IF(ISERROR(SEARCH(MID(";"&amp;'CASE DATA'!$F88&amp;";",ROW($1:$99),1),";")),"",ROW($1:$99)+1),COLUMN(L88)),SMALL(IF(ISERROR(SEARCH(MID(";"&amp;'CASE DATA'!$F88&amp;";",ROW($1:$99),1),";")),"",ROW($1:$99)),COLUMN(L87)+1)-SMALL(IF(ISERROR(SEARCH(MID(";"&amp;'CASE DATA'!$F88&amp;";",ROW($1:$99),1),";")),"",ROW($1:$99)),COLUMN(L87))-1)</f>
        <v/>
      </c>
      <c r="AI88" s="75" t="str" cm="1">
        <f t="array" ref="AI88">MID(";"&amp;'CASE DATA'!$F88&amp;";",SMALL(IF(ISERROR(SEARCH(MID(";"&amp;'CASE DATA'!$F88&amp;";",ROW($1:$99),1),";")),"",ROW($1:$99)+1),COLUMN(M88)),SMALL(IF(ISERROR(SEARCH(MID(";"&amp;'CASE DATA'!$F88&amp;";",ROW($1:$99),1),";")),"",ROW($1:$99)),COLUMN(M87)+1)-SMALL(IF(ISERROR(SEARCH(MID(";"&amp;'CASE DATA'!$F88&amp;";",ROW($1:$99),1),";")),"",ROW($1:$99)),COLUMN(M87))-1)</f>
        <v/>
      </c>
      <c r="AJ88"/>
      <c r="AK88"/>
      <c r="AL88"/>
      <c r="AM88"/>
      <c r="AN88"/>
      <c r="AO88"/>
      <c r="AP88"/>
      <c r="AQ88"/>
      <c r="AR88"/>
      <c r="AS88"/>
      <c r="AT88"/>
      <c r="AU88"/>
      <c r="AV88"/>
      <c r="AW88"/>
      <c r="AX88"/>
      <c r="AY88"/>
      <c r="AZ88"/>
      <c r="BA88"/>
      <c r="BB88"/>
      <c r="BC88"/>
      <c r="BD88"/>
      <c r="BE88"/>
      <c r="BF88"/>
      <c r="BG88"/>
      <c r="BH88"/>
      <c r="BI88"/>
      <c r="BJ88"/>
      <c r="BK88"/>
      <c r="BL88"/>
      <c r="BM88"/>
      <c r="BN88"/>
      <c r="BO88" s="99"/>
      <c r="BP88" s="99"/>
      <c r="BQ88" s="99"/>
      <c r="BR88" s="99"/>
      <c r="BS88" s="99"/>
      <c r="BT88" s="99"/>
      <c r="BU88" s="99"/>
      <c r="BV88" s="99"/>
      <c r="BW88" s="99"/>
      <c r="BX88" s="99"/>
      <c r="BY88" s="99"/>
      <c r="BZ88" s="99"/>
      <c r="CA88" s="99"/>
      <c r="CB88" s="99"/>
      <c r="CC88" s="99"/>
      <c r="CD88" s="99"/>
      <c r="CE88" s="99"/>
      <c r="CF88" s="99"/>
      <c r="CG88" s="99"/>
      <c r="CH88" s="99"/>
      <c r="CI88" s="99"/>
      <c r="CJ88" s="99"/>
      <c r="CK88" s="99"/>
      <c r="CL88" s="99"/>
      <c r="CM88" s="99"/>
      <c r="CN88" s="99"/>
      <c r="CO88" s="99"/>
      <c r="CP88" s="99"/>
      <c r="CQ88" s="99"/>
      <c r="CR88" s="99"/>
      <c r="CS88" s="99"/>
      <c r="CT88" s="99"/>
      <c r="CU88" s="99"/>
      <c r="CV88" s="99"/>
      <c r="CW88" s="99"/>
      <c r="CX88" s="99"/>
      <c r="CY88" s="99"/>
      <c r="CZ88" s="99"/>
      <c r="DA88" s="99"/>
      <c r="DB88" s="99"/>
      <c r="DC88" s="99"/>
      <c r="DD88" s="99"/>
      <c r="DE88" s="99"/>
      <c r="DF88" s="99"/>
      <c r="DG88" s="99"/>
      <c r="DH88" s="99"/>
      <c r="DI88" s="99"/>
      <c r="DJ88" s="99"/>
      <c r="DK88" s="99"/>
      <c r="DL88" s="99"/>
      <c r="DM88" s="99"/>
      <c r="DN88" s="99"/>
      <c r="DO88" s="99"/>
      <c r="DP88" s="99"/>
      <c r="DQ88" s="99"/>
      <c r="DR88" s="99"/>
      <c r="DS88" s="99"/>
      <c r="DT88" s="99"/>
      <c r="DU88" s="99"/>
      <c r="DV88" s="99"/>
      <c r="DW88" s="99"/>
      <c r="DX88" s="99"/>
      <c r="DY88" s="99"/>
      <c r="DZ88" s="99"/>
      <c r="EA88" s="99"/>
      <c r="EB88" s="99"/>
      <c r="EC88" s="99"/>
      <c r="ED88" s="99"/>
      <c r="EE88" s="99"/>
      <c r="EF88" s="99"/>
      <c r="EG88" s="99"/>
      <c r="EH88" s="99"/>
      <c r="EI88" s="99"/>
      <c r="EJ88" s="99"/>
      <c r="EK88" s="99"/>
      <c r="EL88" s="99"/>
      <c r="EM88" s="99"/>
      <c r="EN88" s="99"/>
      <c r="EO88" s="99"/>
      <c r="EP88" s="99"/>
      <c r="EQ88" s="99"/>
      <c r="ER88" s="99"/>
      <c r="ES88" s="99"/>
      <c r="ET88" s="99"/>
      <c r="EU88" s="99"/>
      <c r="EV88" s="99"/>
      <c r="EW88" s="99"/>
      <c r="EX88" s="99"/>
      <c r="EY88" s="99"/>
      <c r="EZ88" s="99"/>
      <c r="FA88" s="99"/>
      <c r="FB88" s="99"/>
      <c r="FC88" s="99"/>
      <c r="FD88" s="99"/>
      <c r="FE88" s="99"/>
      <c r="FF88" s="99"/>
      <c r="FG88" s="99"/>
      <c r="FH88" s="99"/>
      <c r="FI88" s="99"/>
      <c r="FJ88" s="99"/>
      <c r="FK88" s="99"/>
    </row>
    <row r="89" spans="1:167" s="70" customFormat="1" x14ac:dyDescent="0.25">
      <c r="A89" s="11"/>
      <c r="B89"/>
      <c r="C89" s="10"/>
      <c r="D89" s="10"/>
      <c r="E89" s="11"/>
      <c r="F89" s="15"/>
      <c r="G89"/>
      <c r="H89" s="99"/>
      <c r="I89" s="99"/>
      <c r="J89" s="99">
        <v>86</v>
      </c>
      <c r="K89" s="16"/>
      <c r="L89" s="16"/>
      <c r="M89" s="16"/>
      <c r="N89" s="16"/>
      <c r="O89" s="16"/>
      <c r="P89" s="16"/>
      <c r="Q89" s="16"/>
      <c r="R89" s="16"/>
      <c r="S89" s="16"/>
      <c r="T89" s="16"/>
      <c r="U89" s="73">
        <f>SUM(K89:T89)</f>
        <v>0</v>
      </c>
      <c r="V89" s="73"/>
      <c r="W89"/>
      <c r="X89" s="75" t="str" cm="1">
        <f t="array" ref="X89">MID(";"&amp;'CASE DATA'!$F89&amp;";",SMALL(IF(ISERROR(SEARCH(MID(";"&amp;'CASE DATA'!$F89&amp;";",ROW($1:$99),1),";")),"",ROW($1:$99)+1),COLUMN(A89)),SMALL(IF(ISERROR(SEARCH(MID(";"&amp;'CASE DATA'!$F89&amp;";",ROW($1:$99),1),";")),"",ROW($1:$99)),COLUMN(A88)+1)-SMALL(IF(ISERROR(SEARCH(MID(";"&amp;'CASE DATA'!$F89&amp;";",ROW($1:$99),1),";")),"",ROW($1:$99)),COLUMN(A88))-1)</f>
        <v/>
      </c>
      <c r="Y89" s="75" t="str" cm="1">
        <f t="array" ref="Y89">MID(";"&amp;'CASE DATA'!$F89&amp;";",SMALL(IF(ISERROR(SEARCH(MID(";"&amp;'CASE DATA'!$F89&amp;";",ROW($1:$99),1),";")),"",ROW($1:$99)+1),COLUMN(B89)),SMALL(IF(ISERROR(SEARCH(MID(";"&amp;'CASE DATA'!$F89&amp;";",ROW($1:$99),1),";")),"",ROW($1:$99)),COLUMN(B88)+1)-SMALL(IF(ISERROR(SEARCH(MID(";"&amp;'CASE DATA'!$F89&amp;";",ROW($1:$99),1),";")),"",ROW($1:$99)),COLUMN(B88))-1)</f>
        <v/>
      </c>
      <c r="Z89" s="75" t="str" cm="1">
        <f t="array" ref="Z89">MID(";"&amp;'CASE DATA'!$F89&amp;";",SMALL(IF(ISERROR(SEARCH(MID(";"&amp;'CASE DATA'!$F89&amp;";",ROW($1:$99),1),";")),"",ROW($1:$99)+1),COLUMN(C89)),SMALL(IF(ISERROR(SEARCH(MID(";"&amp;'CASE DATA'!$F89&amp;";",ROW($1:$99),1),";")),"",ROW($1:$99)),COLUMN(C88)+1)-SMALL(IF(ISERROR(SEARCH(MID(";"&amp;'CASE DATA'!$F89&amp;";",ROW($1:$99),1),";")),"",ROW($1:$99)),COLUMN(C88))-1)</f>
        <v/>
      </c>
      <c r="AA89" s="75" t="str" cm="1">
        <f t="array" ref="AA89">MID(";"&amp;'CASE DATA'!$F89&amp;";",SMALL(IF(ISERROR(SEARCH(MID(";"&amp;'CASE DATA'!$F89&amp;";",ROW($1:$99),1),";")),"",ROW($1:$99)+1),COLUMN(D89)),SMALL(IF(ISERROR(SEARCH(MID(";"&amp;'CASE DATA'!$F89&amp;";",ROW($1:$99),1),";")),"",ROW($1:$99)),COLUMN(D88)+1)-SMALL(IF(ISERROR(SEARCH(MID(";"&amp;'CASE DATA'!$F89&amp;";",ROW($1:$99),1),";")),"",ROW($1:$99)),COLUMN(D88))-1)</f>
        <v/>
      </c>
      <c r="AB89" s="75" t="str" cm="1">
        <f t="array" ref="AB89">MID(";"&amp;'CASE DATA'!$F89&amp;";",SMALL(IF(ISERROR(SEARCH(MID(";"&amp;'CASE DATA'!$F89&amp;";",ROW($1:$99),1),";")),"",ROW($1:$99)+1),COLUMN(E89)),SMALL(IF(ISERROR(SEARCH(MID(";"&amp;'CASE DATA'!$F89&amp;";",ROW($1:$99),1),";")),"",ROW($1:$99)),COLUMN(E88)+1)-SMALL(IF(ISERROR(SEARCH(MID(";"&amp;'CASE DATA'!$F89&amp;";",ROW($1:$99),1),";")),"",ROW($1:$99)),COLUMN(E88))-1)</f>
        <v/>
      </c>
      <c r="AC89" s="75" t="str" cm="1">
        <f t="array" ref="AC89">MID(";"&amp;'CASE DATA'!$F89&amp;";",SMALL(IF(ISERROR(SEARCH(MID(";"&amp;'CASE DATA'!$F89&amp;";",ROW($1:$99),1),";")),"",ROW($1:$99)+1),COLUMN(F89)),SMALL(IF(ISERROR(SEARCH(MID(";"&amp;'CASE DATA'!$F89&amp;";",ROW($1:$99),1),";")),"",ROW($1:$99)),COLUMN(F88)+1)-SMALL(IF(ISERROR(SEARCH(MID(";"&amp;'CASE DATA'!$F89&amp;";",ROW($1:$99),1),";")),"",ROW($1:$99)),COLUMN(F88))-1)</f>
        <v/>
      </c>
      <c r="AD89" s="75" t="str" cm="1">
        <f t="array" ref="AD89">MID(";"&amp;'CASE DATA'!$F89&amp;";",SMALL(IF(ISERROR(SEARCH(MID(";"&amp;'CASE DATA'!$F89&amp;";",ROW($1:$99),1),";")),"",ROW($1:$99)+1),COLUMN(G89)),SMALL(IF(ISERROR(SEARCH(MID(";"&amp;'CASE DATA'!$F89&amp;";",ROW($1:$99),1),";")),"",ROW($1:$99)),COLUMN(G88)+1)-SMALL(IF(ISERROR(SEARCH(MID(";"&amp;'CASE DATA'!$F89&amp;";",ROW($1:$99),1),";")),"",ROW($1:$99)),COLUMN(G88))-1)</f>
        <v/>
      </c>
      <c r="AE89" s="75" t="str" cm="1">
        <f t="array" ref="AE89">MID(";"&amp;'CASE DATA'!$F89&amp;";",SMALL(IF(ISERROR(SEARCH(MID(";"&amp;'CASE DATA'!$F89&amp;";",ROW($1:$99),1),";")),"",ROW($1:$99)+1),COLUMN(H89)),SMALL(IF(ISERROR(SEARCH(MID(";"&amp;'CASE DATA'!$F89&amp;";",ROW($1:$99),1),";")),"",ROW($1:$99)),COLUMN(H88)+1)-SMALL(IF(ISERROR(SEARCH(MID(";"&amp;'CASE DATA'!$F89&amp;";",ROW($1:$99),1),";")),"",ROW($1:$99)),COLUMN(H88))-1)</f>
        <v/>
      </c>
      <c r="AF89" s="75" t="str" cm="1">
        <f t="array" ref="AF89">MID(";"&amp;'CASE DATA'!$F89&amp;";",SMALL(IF(ISERROR(SEARCH(MID(";"&amp;'CASE DATA'!$F89&amp;";",ROW($1:$99),1),";")),"",ROW($1:$99)+1),COLUMN(I89)),SMALL(IF(ISERROR(SEARCH(MID(";"&amp;'CASE DATA'!$F89&amp;";",ROW($1:$99),1),";")),"",ROW($1:$99)),COLUMN(I88)+1)-SMALL(IF(ISERROR(SEARCH(MID(";"&amp;'CASE DATA'!$F89&amp;";",ROW($1:$99),1),";")),"",ROW($1:$99)),COLUMN(I88))-1)</f>
        <v/>
      </c>
      <c r="AG89" s="75" t="str" cm="1">
        <f t="array" ref="AG89">MID(";"&amp;'CASE DATA'!$F89&amp;";",SMALL(IF(ISERROR(SEARCH(MID(";"&amp;'CASE DATA'!$F89&amp;";",ROW($1:$99),1),";")),"",ROW($1:$99)+1),COLUMN(K89)),SMALL(IF(ISERROR(SEARCH(MID(";"&amp;'CASE DATA'!$F89&amp;";",ROW($1:$99),1),";")),"",ROW($1:$99)),COLUMN(K88)+1)-SMALL(IF(ISERROR(SEARCH(MID(";"&amp;'CASE DATA'!$F89&amp;";",ROW($1:$99),1),";")),"",ROW($1:$99)),COLUMN(K88))-1)</f>
        <v/>
      </c>
      <c r="AH89" s="75" t="str" cm="1">
        <f t="array" ref="AH89">MID(";"&amp;'CASE DATA'!$F89&amp;";",SMALL(IF(ISERROR(SEARCH(MID(";"&amp;'CASE DATA'!$F89&amp;";",ROW($1:$99),1),";")),"",ROW($1:$99)+1),COLUMN(L89)),SMALL(IF(ISERROR(SEARCH(MID(";"&amp;'CASE DATA'!$F89&amp;";",ROW($1:$99),1),";")),"",ROW($1:$99)),COLUMN(L88)+1)-SMALL(IF(ISERROR(SEARCH(MID(";"&amp;'CASE DATA'!$F89&amp;";",ROW($1:$99),1),";")),"",ROW($1:$99)),COLUMN(L88))-1)</f>
        <v/>
      </c>
      <c r="AI89" s="75" t="str" cm="1">
        <f t="array" ref="AI89">MID(";"&amp;'CASE DATA'!$F89&amp;";",SMALL(IF(ISERROR(SEARCH(MID(";"&amp;'CASE DATA'!$F89&amp;";",ROW($1:$99),1),";")),"",ROW($1:$99)+1),COLUMN(M89)),SMALL(IF(ISERROR(SEARCH(MID(";"&amp;'CASE DATA'!$F89&amp;";",ROW($1:$99),1),";")),"",ROW($1:$99)),COLUMN(M88)+1)-SMALL(IF(ISERROR(SEARCH(MID(";"&amp;'CASE DATA'!$F89&amp;";",ROW($1:$99),1),";")),"",ROW($1:$99)),COLUMN(M88))-1)</f>
        <v/>
      </c>
      <c r="AJ89"/>
      <c r="AK89"/>
      <c r="AL89"/>
      <c r="AM89"/>
      <c r="AN89"/>
      <c r="AO89"/>
      <c r="AP89"/>
      <c r="AQ89"/>
      <c r="AR89"/>
      <c r="AS89"/>
      <c r="AT89"/>
      <c r="AU89"/>
      <c r="AV89"/>
      <c r="AW89"/>
      <c r="AX89"/>
      <c r="AY89"/>
      <c r="AZ89"/>
      <c r="BA89"/>
      <c r="BB89"/>
      <c r="BC89"/>
      <c r="BD89"/>
      <c r="BE89"/>
      <c r="BF89"/>
      <c r="BG89"/>
      <c r="BH89"/>
      <c r="BI89"/>
      <c r="BJ89"/>
      <c r="BK89"/>
      <c r="BL89"/>
      <c r="BM89"/>
      <c r="BN89"/>
      <c r="BO89" s="99"/>
      <c r="BP89" s="99"/>
      <c r="BQ89" s="99"/>
      <c r="BR89" s="99"/>
      <c r="BS89" s="99"/>
      <c r="BT89" s="99"/>
      <c r="BU89" s="99"/>
      <c r="BV89" s="99"/>
      <c r="BW89" s="99"/>
      <c r="BX89" s="99"/>
      <c r="BY89" s="99"/>
      <c r="BZ89" s="99"/>
      <c r="CA89" s="99"/>
      <c r="CB89" s="99"/>
      <c r="CC89" s="99"/>
      <c r="CD89" s="99"/>
      <c r="CE89" s="99"/>
      <c r="CF89" s="99"/>
      <c r="CG89" s="99"/>
      <c r="CH89" s="99"/>
      <c r="CI89" s="99"/>
      <c r="CJ89" s="99"/>
      <c r="CK89" s="99"/>
      <c r="CL89" s="99"/>
      <c r="CM89" s="99"/>
      <c r="CN89" s="99"/>
      <c r="CO89" s="99"/>
      <c r="CP89" s="99"/>
      <c r="CQ89" s="99"/>
      <c r="CR89" s="99"/>
      <c r="CS89" s="99"/>
      <c r="CT89" s="99"/>
      <c r="CU89" s="99"/>
      <c r="CV89" s="99"/>
      <c r="CW89" s="99"/>
      <c r="CX89" s="99"/>
      <c r="CY89" s="99"/>
      <c r="CZ89" s="99"/>
      <c r="DA89" s="99"/>
      <c r="DB89" s="99"/>
      <c r="DC89" s="99"/>
      <c r="DD89" s="99"/>
      <c r="DE89" s="99"/>
      <c r="DF89" s="99"/>
      <c r="DG89" s="99"/>
      <c r="DH89" s="99"/>
      <c r="DI89" s="99"/>
      <c r="DJ89" s="99"/>
      <c r="DK89" s="99"/>
      <c r="DL89" s="99"/>
      <c r="DM89" s="99"/>
      <c r="DN89" s="99"/>
      <c r="DO89" s="99"/>
      <c r="DP89" s="99"/>
      <c r="DQ89" s="99"/>
      <c r="DR89" s="99"/>
      <c r="DS89" s="99"/>
      <c r="DT89" s="99"/>
      <c r="DU89" s="99"/>
      <c r="DV89" s="99"/>
      <c r="DW89" s="99"/>
      <c r="DX89" s="99"/>
      <c r="DY89" s="99"/>
      <c r="DZ89" s="99"/>
      <c r="EA89" s="99"/>
      <c r="EB89" s="99"/>
      <c r="EC89" s="99"/>
      <c r="ED89" s="99"/>
      <c r="EE89" s="99"/>
      <c r="EF89" s="99"/>
      <c r="EG89" s="99"/>
      <c r="EH89" s="99"/>
      <c r="EI89" s="99"/>
      <c r="EJ89" s="99"/>
      <c r="EK89" s="99"/>
      <c r="EL89" s="99"/>
      <c r="EM89" s="99"/>
      <c r="EN89" s="99"/>
      <c r="EO89" s="99"/>
      <c r="EP89" s="99"/>
      <c r="EQ89" s="99"/>
      <c r="ER89" s="99"/>
      <c r="ES89" s="99"/>
      <c r="ET89" s="99"/>
      <c r="EU89" s="99"/>
      <c r="EV89" s="99"/>
      <c r="EW89" s="99"/>
      <c r="EX89" s="99"/>
      <c r="EY89" s="99"/>
      <c r="EZ89" s="99"/>
      <c r="FA89" s="99"/>
      <c r="FB89" s="99"/>
      <c r="FC89" s="99"/>
      <c r="FD89" s="99"/>
      <c r="FE89" s="99"/>
      <c r="FF89" s="99"/>
      <c r="FG89" s="99"/>
      <c r="FH89" s="99"/>
      <c r="FI89" s="99"/>
      <c r="FJ89" s="99"/>
      <c r="FK89" s="99"/>
    </row>
    <row r="90" spans="1:167" x14ac:dyDescent="0.25">
      <c r="A90" s="11"/>
      <c r="C90" s="10"/>
      <c r="D90" s="10"/>
      <c r="E90" s="11"/>
      <c r="F90" s="15"/>
      <c r="J90" s="99">
        <v>87</v>
      </c>
      <c r="K90" s="16"/>
      <c r="L90" s="16"/>
      <c r="M90" s="16"/>
      <c r="N90" s="16"/>
      <c r="O90" s="16"/>
      <c r="P90" s="16"/>
      <c r="Q90" s="16"/>
      <c r="R90" s="16"/>
      <c r="S90" s="16"/>
      <c r="T90" s="16"/>
      <c r="U90" s="73">
        <f>SUM(K90:T90)</f>
        <v>0</v>
      </c>
      <c r="V90" s="73"/>
      <c r="X90" s="75" t="str" cm="1">
        <f t="array" ref="X90">MID(";"&amp;'CASE DATA'!$F90&amp;";",SMALL(IF(ISERROR(SEARCH(MID(";"&amp;'CASE DATA'!$F90&amp;";",ROW($1:$99),1),";")),"",ROW($1:$99)+1),COLUMN(A90)),SMALL(IF(ISERROR(SEARCH(MID(";"&amp;'CASE DATA'!$F90&amp;";",ROW($1:$99),1),";")),"",ROW($1:$99)),COLUMN(A89)+1)-SMALL(IF(ISERROR(SEARCH(MID(";"&amp;'CASE DATA'!$F90&amp;";",ROW($1:$99),1),";")),"",ROW($1:$99)),COLUMN(A89))-1)</f>
        <v/>
      </c>
      <c r="Y90" s="75" t="str" cm="1">
        <f t="array" ref="Y90">MID(";"&amp;'CASE DATA'!$F90&amp;";",SMALL(IF(ISERROR(SEARCH(MID(";"&amp;'CASE DATA'!$F90&amp;";",ROW($1:$99),1),";")),"",ROW($1:$99)+1),COLUMN(B90)),SMALL(IF(ISERROR(SEARCH(MID(";"&amp;'CASE DATA'!$F90&amp;";",ROW($1:$99),1),";")),"",ROW($1:$99)),COLUMN(B89)+1)-SMALL(IF(ISERROR(SEARCH(MID(";"&amp;'CASE DATA'!$F90&amp;";",ROW($1:$99),1),";")),"",ROW($1:$99)),COLUMN(B89))-1)</f>
        <v/>
      </c>
      <c r="Z90" s="75" t="str" cm="1">
        <f t="array" ref="Z90">MID(";"&amp;'CASE DATA'!$F90&amp;";",SMALL(IF(ISERROR(SEARCH(MID(";"&amp;'CASE DATA'!$F90&amp;";",ROW($1:$99),1),";")),"",ROW($1:$99)+1),COLUMN(C90)),SMALL(IF(ISERROR(SEARCH(MID(";"&amp;'CASE DATA'!$F90&amp;";",ROW($1:$99),1),";")),"",ROW($1:$99)),COLUMN(C89)+1)-SMALL(IF(ISERROR(SEARCH(MID(";"&amp;'CASE DATA'!$F90&amp;";",ROW($1:$99),1),";")),"",ROW($1:$99)),COLUMN(C89))-1)</f>
        <v/>
      </c>
      <c r="AA90" s="75" t="str" cm="1">
        <f t="array" ref="AA90">MID(";"&amp;'CASE DATA'!$F90&amp;";",SMALL(IF(ISERROR(SEARCH(MID(";"&amp;'CASE DATA'!$F90&amp;";",ROW($1:$99),1),";")),"",ROW($1:$99)+1),COLUMN(D90)),SMALL(IF(ISERROR(SEARCH(MID(";"&amp;'CASE DATA'!$F90&amp;";",ROW($1:$99),1),";")),"",ROW($1:$99)),COLUMN(D89)+1)-SMALL(IF(ISERROR(SEARCH(MID(";"&amp;'CASE DATA'!$F90&amp;";",ROW($1:$99),1),";")),"",ROW($1:$99)),COLUMN(D89))-1)</f>
        <v/>
      </c>
      <c r="AB90" s="75" t="str" cm="1">
        <f t="array" ref="AB90">MID(";"&amp;'CASE DATA'!$F90&amp;";",SMALL(IF(ISERROR(SEARCH(MID(";"&amp;'CASE DATA'!$F90&amp;";",ROW($1:$99),1),";")),"",ROW($1:$99)+1),COLUMN(E90)),SMALL(IF(ISERROR(SEARCH(MID(";"&amp;'CASE DATA'!$F90&amp;";",ROW($1:$99),1),";")),"",ROW($1:$99)),COLUMN(E89)+1)-SMALL(IF(ISERROR(SEARCH(MID(";"&amp;'CASE DATA'!$F90&amp;";",ROW($1:$99),1),";")),"",ROW($1:$99)),COLUMN(E89))-1)</f>
        <v/>
      </c>
      <c r="AC90" s="75" t="str" cm="1">
        <f t="array" ref="AC90">MID(";"&amp;'CASE DATA'!$F90&amp;";",SMALL(IF(ISERROR(SEARCH(MID(";"&amp;'CASE DATA'!$F90&amp;";",ROW($1:$99),1),";")),"",ROW($1:$99)+1),COLUMN(F90)),SMALL(IF(ISERROR(SEARCH(MID(";"&amp;'CASE DATA'!$F90&amp;";",ROW($1:$99),1),";")),"",ROW($1:$99)),COLUMN(F89)+1)-SMALL(IF(ISERROR(SEARCH(MID(";"&amp;'CASE DATA'!$F90&amp;";",ROW($1:$99),1),";")),"",ROW($1:$99)),COLUMN(F89))-1)</f>
        <v/>
      </c>
      <c r="AD90" s="75" t="str" cm="1">
        <f t="array" ref="AD90">MID(";"&amp;'CASE DATA'!$F90&amp;";",SMALL(IF(ISERROR(SEARCH(MID(";"&amp;'CASE DATA'!$F90&amp;";",ROW($1:$99),1),";")),"",ROW($1:$99)+1),COLUMN(G90)),SMALL(IF(ISERROR(SEARCH(MID(";"&amp;'CASE DATA'!$F90&amp;";",ROW($1:$99),1),";")),"",ROW($1:$99)),COLUMN(G89)+1)-SMALL(IF(ISERROR(SEARCH(MID(";"&amp;'CASE DATA'!$F90&amp;";",ROW($1:$99),1),";")),"",ROW($1:$99)),COLUMN(G89))-1)</f>
        <v/>
      </c>
      <c r="AE90" s="75" t="str" cm="1">
        <f t="array" ref="AE90">MID(";"&amp;'CASE DATA'!$F90&amp;";",SMALL(IF(ISERROR(SEARCH(MID(";"&amp;'CASE DATA'!$F90&amp;";",ROW($1:$99),1),";")),"",ROW($1:$99)+1),COLUMN(H90)),SMALL(IF(ISERROR(SEARCH(MID(";"&amp;'CASE DATA'!$F90&amp;";",ROW($1:$99),1),";")),"",ROW($1:$99)),COLUMN(H89)+1)-SMALL(IF(ISERROR(SEARCH(MID(";"&amp;'CASE DATA'!$F90&amp;";",ROW($1:$99),1),";")),"",ROW($1:$99)),COLUMN(H89))-1)</f>
        <v/>
      </c>
      <c r="AF90" s="75" t="str" cm="1">
        <f t="array" ref="AF90">MID(";"&amp;'CASE DATA'!$F90&amp;";",SMALL(IF(ISERROR(SEARCH(MID(";"&amp;'CASE DATA'!$F90&amp;";",ROW($1:$99),1),";")),"",ROW($1:$99)+1),COLUMN(I90)),SMALL(IF(ISERROR(SEARCH(MID(";"&amp;'CASE DATA'!$F90&amp;";",ROW($1:$99),1),";")),"",ROW($1:$99)),COLUMN(I89)+1)-SMALL(IF(ISERROR(SEARCH(MID(";"&amp;'CASE DATA'!$F90&amp;";",ROW($1:$99),1),";")),"",ROW($1:$99)),COLUMN(I89))-1)</f>
        <v/>
      </c>
      <c r="AG90" s="75" t="str" cm="1">
        <f t="array" ref="AG90">MID(";"&amp;'CASE DATA'!$F90&amp;";",SMALL(IF(ISERROR(SEARCH(MID(";"&amp;'CASE DATA'!$F90&amp;";",ROW($1:$99),1),";")),"",ROW($1:$99)+1),COLUMN(K90)),SMALL(IF(ISERROR(SEARCH(MID(";"&amp;'CASE DATA'!$F90&amp;";",ROW($1:$99),1),";")),"",ROW($1:$99)),COLUMN(K89)+1)-SMALL(IF(ISERROR(SEARCH(MID(";"&amp;'CASE DATA'!$F90&amp;";",ROW($1:$99),1),";")),"",ROW($1:$99)),COLUMN(K89))-1)</f>
        <v/>
      </c>
      <c r="AH90" s="75" t="str" cm="1">
        <f t="array" ref="AH90">MID(";"&amp;'CASE DATA'!$F90&amp;";",SMALL(IF(ISERROR(SEARCH(MID(";"&amp;'CASE DATA'!$F90&amp;";",ROW($1:$99),1),";")),"",ROW($1:$99)+1),COLUMN(L90)),SMALL(IF(ISERROR(SEARCH(MID(";"&amp;'CASE DATA'!$F90&amp;";",ROW($1:$99),1),";")),"",ROW($1:$99)),COLUMN(L89)+1)-SMALL(IF(ISERROR(SEARCH(MID(";"&amp;'CASE DATA'!$F90&amp;";",ROW($1:$99),1),";")),"",ROW($1:$99)),COLUMN(L89))-1)</f>
        <v/>
      </c>
      <c r="AI90" s="75" t="str" cm="1">
        <f t="array" ref="AI90">MID(";"&amp;'CASE DATA'!$F90&amp;";",SMALL(IF(ISERROR(SEARCH(MID(";"&amp;'CASE DATA'!$F90&amp;";",ROW($1:$99),1),";")),"",ROW($1:$99)+1),COLUMN(M90)),SMALL(IF(ISERROR(SEARCH(MID(";"&amp;'CASE DATA'!$F90&amp;";",ROW($1:$99),1),";")),"",ROW($1:$99)),COLUMN(M89)+1)-SMALL(IF(ISERROR(SEARCH(MID(";"&amp;'CASE DATA'!$F90&amp;";",ROW($1:$99),1),";")),"",ROW($1:$99)),COLUMN(M89))-1)</f>
        <v/>
      </c>
      <c r="BO90" s="99"/>
      <c r="BP90" s="99"/>
      <c r="BQ90" s="99"/>
      <c r="BR90" s="99"/>
      <c r="BS90" s="99"/>
      <c r="BT90" s="99"/>
      <c r="BU90" s="99"/>
      <c r="BV90" s="99"/>
      <c r="BW90" s="99"/>
      <c r="BX90" s="99"/>
      <c r="BY90" s="99"/>
      <c r="BZ90" s="99"/>
      <c r="CA90" s="99"/>
      <c r="CB90" s="99"/>
      <c r="CC90" s="99"/>
      <c r="CD90" s="99"/>
      <c r="CE90" s="99"/>
      <c r="CF90" s="99"/>
      <c r="CG90" s="99"/>
      <c r="CH90" s="99"/>
      <c r="CI90" s="99"/>
      <c r="CJ90" s="99"/>
      <c r="CK90" s="99"/>
      <c r="CL90" s="99"/>
      <c r="CM90" s="99"/>
      <c r="CN90" s="99"/>
      <c r="CO90" s="99"/>
      <c r="CP90" s="99"/>
      <c r="CQ90" s="99"/>
      <c r="CR90" s="99"/>
      <c r="CS90" s="99"/>
      <c r="CT90" s="99"/>
      <c r="CU90" s="99"/>
      <c r="CV90" s="99"/>
      <c r="CW90" s="99"/>
      <c r="CX90" s="99"/>
      <c r="CY90" s="99"/>
      <c r="CZ90" s="99"/>
      <c r="DA90" s="99"/>
      <c r="DB90" s="99"/>
      <c r="DC90" s="99"/>
      <c r="DD90" s="99"/>
      <c r="DE90" s="99"/>
      <c r="DF90" s="99"/>
      <c r="DG90" s="99"/>
      <c r="DH90" s="99"/>
      <c r="DI90" s="99"/>
      <c r="DJ90" s="99"/>
      <c r="DK90" s="99"/>
      <c r="DL90" s="99"/>
      <c r="DM90" s="99"/>
      <c r="DN90" s="99"/>
      <c r="DO90" s="99"/>
      <c r="DP90" s="99"/>
      <c r="DQ90" s="99"/>
      <c r="DR90" s="99"/>
      <c r="DS90" s="99"/>
      <c r="DT90" s="99"/>
      <c r="DU90" s="99"/>
      <c r="DV90" s="99"/>
      <c r="DW90" s="99"/>
      <c r="DX90" s="99"/>
      <c r="DY90" s="99"/>
      <c r="DZ90" s="99"/>
      <c r="EA90" s="99"/>
      <c r="EB90" s="99"/>
      <c r="EC90" s="99"/>
      <c r="ED90" s="99"/>
      <c r="EE90" s="99"/>
      <c r="EF90" s="99"/>
      <c r="EG90" s="99"/>
      <c r="EH90" s="99"/>
      <c r="EI90" s="99"/>
      <c r="EJ90" s="99"/>
      <c r="EK90" s="99"/>
      <c r="EL90" s="99"/>
      <c r="EM90" s="99"/>
      <c r="EN90" s="99"/>
      <c r="EO90" s="99"/>
      <c r="EP90" s="99"/>
      <c r="EQ90" s="99"/>
      <c r="ER90" s="99"/>
      <c r="ES90" s="99"/>
      <c r="ET90" s="99"/>
      <c r="EU90" s="99"/>
      <c r="EV90" s="99"/>
      <c r="EW90" s="99"/>
      <c r="EX90" s="99"/>
      <c r="EY90" s="99"/>
      <c r="EZ90" s="99"/>
      <c r="FA90" s="99"/>
      <c r="FB90" s="99"/>
      <c r="FC90" s="99"/>
      <c r="FD90" s="99"/>
      <c r="FE90" s="99"/>
      <c r="FF90" s="99"/>
      <c r="FG90" s="99"/>
      <c r="FH90" s="99"/>
      <c r="FI90" s="99"/>
      <c r="FJ90" s="99"/>
      <c r="FK90" s="99"/>
    </row>
    <row r="91" spans="1:167" s="69" customFormat="1" x14ac:dyDescent="0.25">
      <c r="A91" s="11"/>
      <c r="B91"/>
      <c r="C91" s="10"/>
      <c r="D91" s="10"/>
      <c r="E91" s="11"/>
      <c r="F91" s="15"/>
      <c r="G91"/>
      <c r="H91" s="99"/>
      <c r="I91" s="99"/>
      <c r="J91" s="99">
        <v>88</v>
      </c>
      <c r="K91" s="16"/>
      <c r="L91" s="16"/>
      <c r="M91" s="16"/>
      <c r="N91" s="16"/>
      <c r="O91" s="16"/>
      <c r="P91" s="16"/>
      <c r="Q91" s="16"/>
      <c r="R91" s="16"/>
      <c r="S91" s="16"/>
      <c r="T91" s="16"/>
      <c r="U91" s="73">
        <f>SUM(K91:T91)</f>
        <v>0</v>
      </c>
      <c r="V91" s="73"/>
      <c r="W91"/>
      <c r="X91" s="75" t="str" cm="1">
        <f t="array" ref="X91">MID(";"&amp;'CASE DATA'!$F91&amp;";",SMALL(IF(ISERROR(SEARCH(MID(";"&amp;'CASE DATA'!$F91&amp;";",ROW($1:$99),1),";")),"",ROW($1:$99)+1),COLUMN(A91)),SMALL(IF(ISERROR(SEARCH(MID(";"&amp;'CASE DATA'!$F91&amp;";",ROW($1:$99),1),";")),"",ROW($1:$99)),COLUMN(A90)+1)-SMALL(IF(ISERROR(SEARCH(MID(";"&amp;'CASE DATA'!$F91&amp;";",ROW($1:$99),1),";")),"",ROW($1:$99)),COLUMN(A90))-1)</f>
        <v/>
      </c>
      <c r="Y91" s="75" t="str" cm="1">
        <f t="array" ref="Y91">MID(";"&amp;'CASE DATA'!$F91&amp;";",SMALL(IF(ISERROR(SEARCH(MID(";"&amp;'CASE DATA'!$F91&amp;";",ROW($1:$99),1),";")),"",ROW($1:$99)+1),COLUMN(B91)),SMALL(IF(ISERROR(SEARCH(MID(";"&amp;'CASE DATA'!$F91&amp;";",ROW($1:$99),1),";")),"",ROW($1:$99)),COLUMN(B90)+1)-SMALL(IF(ISERROR(SEARCH(MID(";"&amp;'CASE DATA'!$F91&amp;";",ROW($1:$99),1),";")),"",ROW($1:$99)),COLUMN(B90))-1)</f>
        <v/>
      </c>
      <c r="Z91" s="75" t="str" cm="1">
        <f t="array" ref="Z91">MID(";"&amp;'CASE DATA'!$F91&amp;";",SMALL(IF(ISERROR(SEARCH(MID(";"&amp;'CASE DATA'!$F91&amp;";",ROW($1:$99),1),";")),"",ROW($1:$99)+1),COLUMN(C91)),SMALL(IF(ISERROR(SEARCH(MID(";"&amp;'CASE DATA'!$F91&amp;";",ROW($1:$99),1),";")),"",ROW($1:$99)),COLUMN(C90)+1)-SMALL(IF(ISERROR(SEARCH(MID(";"&amp;'CASE DATA'!$F91&amp;";",ROW($1:$99),1),";")),"",ROW($1:$99)),COLUMN(C90))-1)</f>
        <v/>
      </c>
      <c r="AA91" s="75" t="str" cm="1">
        <f t="array" ref="AA91">MID(";"&amp;'CASE DATA'!$F91&amp;";",SMALL(IF(ISERROR(SEARCH(MID(";"&amp;'CASE DATA'!$F91&amp;";",ROW($1:$99),1),";")),"",ROW($1:$99)+1),COLUMN(D91)),SMALL(IF(ISERROR(SEARCH(MID(";"&amp;'CASE DATA'!$F91&amp;";",ROW($1:$99),1),";")),"",ROW($1:$99)),COLUMN(D90)+1)-SMALL(IF(ISERROR(SEARCH(MID(";"&amp;'CASE DATA'!$F91&amp;";",ROW($1:$99),1),";")),"",ROW($1:$99)),COLUMN(D90))-1)</f>
        <v/>
      </c>
      <c r="AB91" s="75" t="str" cm="1">
        <f t="array" ref="AB91">MID(";"&amp;'CASE DATA'!$F91&amp;";",SMALL(IF(ISERROR(SEARCH(MID(";"&amp;'CASE DATA'!$F91&amp;";",ROW($1:$99),1),";")),"",ROW($1:$99)+1),COLUMN(E91)),SMALL(IF(ISERROR(SEARCH(MID(";"&amp;'CASE DATA'!$F91&amp;";",ROW($1:$99),1),";")),"",ROW($1:$99)),COLUMN(E90)+1)-SMALL(IF(ISERROR(SEARCH(MID(";"&amp;'CASE DATA'!$F91&amp;";",ROW($1:$99),1),";")),"",ROW($1:$99)),COLUMN(E90))-1)</f>
        <v/>
      </c>
      <c r="AC91" s="75" t="str" cm="1">
        <f t="array" ref="AC91">MID(";"&amp;'CASE DATA'!$F91&amp;";",SMALL(IF(ISERROR(SEARCH(MID(";"&amp;'CASE DATA'!$F91&amp;";",ROW($1:$99),1),";")),"",ROW($1:$99)+1),COLUMN(F91)),SMALL(IF(ISERROR(SEARCH(MID(";"&amp;'CASE DATA'!$F91&amp;";",ROW($1:$99),1),";")),"",ROW($1:$99)),COLUMN(F90)+1)-SMALL(IF(ISERROR(SEARCH(MID(";"&amp;'CASE DATA'!$F91&amp;";",ROW($1:$99),1),";")),"",ROW($1:$99)),COLUMN(F90))-1)</f>
        <v/>
      </c>
      <c r="AD91" s="75" t="str" cm="1">
        <f t="array" ref="AD91">MID(";"&amp;'CASE DATA'!$F91&amp;";",SMALL(IF(ISERROR(SEARCH(MID(";"&amp;'CASE DATA'!$F91&amp;";",ROW($1:$99),1),";")),"",ROW($1:$99)+1),COLUMN(G91)),SMALL(IF(ISERROR(SEARCH(MID(";"&amp;'CASE DATA'!$F91&amp;";",ROW($1:$99),1),";")),"",ROW($1:$99)),COLUMN(G90)+1)-SMALL(IF(ISERROR(SEARCH(MID(";"&amp;'CASE DATA'!$F91&amp;";",ROW($1:$99),1),";")),"",ROW($1:$99)),COLUMN(G90))-1)</f>
        <v/>
      </c>
      <c r="AE91" s="75" t="str" cm="1">
        <f t="array" ref="AE91">MID(";"&amp;'CASE DATA'!$F91&amp;";",SMALL(IF(ISERROR(SEARCH(MID(";"&amp;'CASE DATA'!$F91&amp;";",ROW($1:$99),1),";")),"",ROW($1:$99)+1),COLUMN(H91)),SMALL(IF(ISERROR(SEARCH(MID(";"&amp;'CASE DATA'!$F91&amp;";",ROW($1:$99),1),";")),"",ROW($1:$99)),COLUMN(H90)+1)-SMALL(IF(ISERROR(SEARCH(MID(";"&amp;'CASE DATA'!$F91&amp;";",ROW($1:$99),1),";")),"",ROW($1:$99)),COLUMN(H90))-1)</f>
        <v/>
      </c>
      <c r="AF91" s="75" t="str" cm="1">
        <f t="array" ref="AF91">MID(";"&amp;'CASE DATA'!$F91&amp;";",SMALL(IF(ISERROR(SEARCH(MID(";"&amp;'CASE DATA'!$F91&amp;";",ROW($1:$99),1),";")),"",ROW($1:$99)+1),COLUMN(I91)),SMALL(IF(ISERROR(SEARCH(MID(";"&amp;'CASE DATA'!$F91&amp;";",ROW($1:$99),1),";")),"",ROW($1:$99)),COLUMN(I90)+1)-SMALL(IF(ISERROR(SEARCH(MID(";"&amp;'CASE DATA'!$F91&amp;";",ROW($1:$99),1),";")),"",ROW($1:$99)),COLUMN(I90))-1)</f>
        <v/>
      </c>
      <c r="AG91" s="75" t="str" cm="1">
        <f t="array" ref="AG91">MID(";"&amp;'CASE DATA'!$F91&amp;";",SMALL(IF(ISERROR(SEARCH(MID(";"&amp;'CASE DATA'!$F91&amp;";",ROW($1:$99),1),";")),"",ROW($1:$99)+1),COLUMN(K91)),SMALL(IF(ISERROR(SEARCH(MID(";"&amp;'CASE DATA'!$F91&amp;";",ROW($1:$99),1),";")),"",ROW($1:$99)),COLUMN(K90)+1)-SMALL(IF(ISERROR(SEARCH(MID(";"&amp;'CASE DATA'!$F91&amp;";",ROW($1:$99),1),";")),"",ROW($1:$99)),COLUMN(K90))-1)</f>
        <v/>
      </c>
      <c r="AH91" s="75" t="str" cm="1">
        <f t="array" ref="AH91">MID(";"&amp;'CASE DATA'!$F91&amp;";",SMALL(IF(ISERROR(SEARCH(MID(";"&amp;'CASE DATA'!$F91&amp;";",ROW($1:$99),1),";")),"",ROW($1:$99)+1),COLUMN(L91)),SMALL(IF(ISERROR(SEARCH(MID(";"&amp;'CASE DATA'!$F91&amp;";",ROW($1:$99),1),";")),"",ROW($1:$99)),COLUMN(L90)+1)-SMALL(IF(ISERROR(SEARCH(MID(";"&amp;'CASE DATA'!$F91&amp;";",ROW($1:$99),1),";")),"",ROW($1:$99)),COLUMN(L90))-1)</f>
        <v/>
      </c>
      <c r="AI91" s="75" t="str" cm="1">
        <f t="array" ref="AI91">MID(";"&amp;'CASE DATA'!$F91&amp;";",SMALL(IF(ISERROR(SEARCH(MID(";"&amp;'CASE DATA'!$F91&amp;";",ROW($1:$99),1),";")),"",ROW($1:$99)+1),COLUMN(M91)),SMALL(IF(ISERROR(SEARCH(MID(";"&amp;'CASE DATA'!$F91&amp;";",ROW($1:$99),1),";")),"",ROW($1:$99)),COLUMN(M90)+1)-SMALL(IF(ISERROR(SEARCH(MID(";"&amp;'CASE DATA'!$F91&amp;";",ROW($1:$99),1),";")),"",ROW($1:$99)),COLUMN(M90))-1)</f>
        <v/>
      </c>
      <c r="AJ91"/>
      <c r="AK91"/>
      <c r="AL91"/>
      <c r="AM91"/>
      <c r="AN91"/>
      <c r="AO91"/>
      <c r="AP91"/>
      <c r="AQ91"/>
      <c r="AR91"/>
      <c r="AS91"/>
      <c r="AT91"/>
      <c r="AU91"/>
      <c r="AV91"/>
      <c r="AW91"/>
      <c r="AX91"/>
      <c r="AY91"/>
      <c r="AZ91"/>
      <c r="BA91"/>
      <c r="BB91"/>
      <c r="BC91"/>
      <c r="BD91"/>
      <c r="BE91"/>
      <c r="BF91"/>
      <c r="BG91"/>
      <c r="BH91"/>
      <c r="BI91"/>
      <c r="BJ91"/>
      <c r="BK91"/>
      <c r="BL91"/>
      <c r="BM91"/>
      <c r="BN91"/>
      <c r="BO91" s="99"/>
      <c r="BP91" s="99"/>
      <c r="BQ91" s="99"/>
      <c r="BR91" s="99"/>
      <c r="BS91" s="99"/>
      <c r="BT91" s="99"/>
      <c r="BU91" s="99"/>
      <c r="BV91" s="99"/>
      <c r="BW91" s="99"/>
      <c r="BX91" s="99"/>
      <c r="BY91" s="99"/>
      <c r="BZ91" s="99"/>
      <c r="CA91" s="99"/>
      <c r="CB91" s="99"/>
      <c r="CC91" s="99"/>
      <c r="CD91" s="99"/>
      <c r="CE91" s="99"/>
      <c r="CF91" s="99"/>
      <c r="CG91" s="99"/>
      <c r="CH91" s="99"/>
      <c r="CI91" s="99"/>
      <c r="CJ91" s="99"/>
      <c r="CK91" s="99"/>
      <c r="CL91" s="99"/>
      <c r="CM91" s="99"/>
      <c r="CN91" s="99"/>
      <c r="CO91" s="99"/>
      <c r="CP91" s="99"/>
      <c r="CQ91" s="99"/>
      <c r="CR91" s="99"/>
      <c r="CS91" s="99"/>
      <c r="CT91" s="99"/>
      <c r="CU91" s="99"/>
      <c r="CV91" s="99"/>
      <c r="CW91" s="99"/>
      <c r="CX91" s="99"/>
      <c r="CY91" s="99"/>
      <c r="CZ91" s="99"/>
      <c r="DA91" s="99"/>
      <c r="DB91" s="99"/>
      <c r="DC91" s="99"/>
      <c r="DD91" s="99"/>
      <c r="DE91" s="99"/>
      <c r="DF91" s="99"/>
      <c r="DG91" s="99"/>
      <c r="DH91" s="99"/>
      <c r="DI91" s="99"/>
      <c r="DJ91" s="99"/>
      <c r="DK91" s="99"/>
      <c r="DL91" s="99"/>
      <c r="DM91" s="99"/>
      <c r="DN91" s="99"/>
      <c r="DO91" s="99"/>
      <c r="DP91" s="99"/>
      <c r="DQ91" s="99"/>
      <c r="DR91" s="99"/>
      <c r="DS91" s="99"/>
      <c r="DT91" s="99"/>
      <c r="DU91" s="99"/>
      <c r="DV91" s="99"/>
      <c r="DW91" s="99"/>
      <c r="DX91" s="99"/>
      <c r="DY91" s="99"/>
      <c r="DZ91" s="99"/>
      <c r="EA91" s="99"/>
      <c r="EB91" s="99"/>
      <c r="EC91" s="99"/>
      <c r="ED91" s="99"/>
      <c r="EE91" s="99"/>
      <c r="EF91" s="99"/>
      <c r="EG91" s="99"/>
      <c r="EH91" s="99"/>
      <c r="EI91" s="99"/>
      <c r="EJ91" s="99"/>
      <c r="EK91" s="99"/>
      <c r="EL91" s="99"/>
      <c r="EM91" s="99"/>
      <c r="EN91" s="99"/>
      <c r="EO91" s="99"/>
      <c r="EP91" s="99"/>
      <c r="EQ91" s="99"/>
      <c r="ER91" s="99"/>
      <c r="ES91" s="99"/>
      <c r="ET91" s="99"/>
      <c r="EU91" s="99"/>
      <c r="EV91" s="99"/>
      <c r="EW91" s="99"/>
      <c r="EX91" s="99"/>
      <c r="EY91" s="99"/>
      <c r="EZ91" s="99"/>
      <c r="FA91" s="99"/>
      <c r="FB91" s="99"/>
      <c r="FC91" s="99"/>
      <c r="FD91" s="99"/>
      <c r="FE91" s="99"/>
      <c r="FF91" s="99"/>
      <c r="FG91" s="99"/>
      <c r="FH91" s="99"/>
      <c r="FI91" s="99"/>
      <c r="FJ91" s="99"/>
      <c r="FK91" s="99"/>
    </row>
    <row r="92" spans="1:167" s="70" customFormat="1" x14ac:dyDescent="0.25">
      <c r="A92" s="11"/>
      <c r="B92"/>
      <c r="C92" s="10"/>
      <c r="D92" s="10"/>
      <c r="E92" s="11"/>
      <c r="F92" s="15"/>
      <c r="G92"/>
      <c r="H92" s="99"/>
      <c r="I92" s="99"/>
      <c r="J92" s="99">
        <v>89</v>
      </c>
      <c r="K92" s="16"/>
      <c r="L92" s="16"/>
      <c r="M92" s="16"/>
      <c r="N92" s="16"/>
      <c r="O92" s="16"/>
      <c r="P92" s="16"/>
      <c r="Q92" s="16"/>
      <c r="R92" s="16"/>
      <c r="S92" s="16"/>
      <c r="T92" s="16"/>
      <c r="U92" s="73">
        <f>SUM(K92:T92)</f>
        <v>0</v>
      </c>
      <c r="V92" s="73"/>
      <c r="W92"/>
      <c r="X92" s="75" t="str" cm="1">
        <f t="array" ref="X92">MID(";"&amp;'CASE DATA'!$F92&amp;";",SMALL(IF(ISERROR(SEARCH(MID(";"&amp;'CASE DATA'!$F92&amp;";",ROW($1:$99),1),";")),"",ROW($1:$99)+1),COLUMN(A92)),SMALL(IF(ISERROR(SEARCH(MID(";"&amp;'CASE DATA'!$F92&amp;";",ROW($1:$99),1),";")),"",ROW($1:$99)),COLUMN(A91)+1)-SMALL(IF(ISERROR(SEARCH(MID(";"&amp;'CASE DATA'!$F92&amp;";",ROW($1:$99),1),";")),"",ROW($1:$99)),COLUMN(A91))-1)</f>
        <v/>
      </c>
      <c r="Y92" s="75" t="str" cm="1">
        <f t="array" ref="Y92">MID(";"&amp;'CASE DATA'!$F92&amp;";",SMALL(IF(ISERROR(SEARCH(MID(";"&amp;'CASE DATA'!$F92&amp;";",ROW($1:$99),1),";")),"",ROW($1:$99)+1),COLUMN(B92)),SMALL(IF(ISERROR(SEARCH(MID(";"&amp;'CASE DATA'!$F92&amp;";",ROW($1:$99),1),";")),"",ROW($1:$99)),COLUMN(B91)+1)-SMALL(IF(ISERROR(SEARCH(MID(";"&amp;'CASE DATA'!$F92&amp;";",ROW($1:$99),1),";")),"",ROW($1:$99)),COLUMN(B91))-1)</f>
        <v/>
      </c>
      <c r="Z92" s="75" t="str" cm="1">
        <f t="array" ref="Z92">MID(";"&amp;'CASE DATA'!$F92&amp;";",SMALL(IF(ISERROR(SEARCH(MID(";"&amp;'CASE DATA'!$F92&amp;";",ROW($1:$99),1),";")),"",ROW($1:$99)+1),COLUMN(C92)),SMALL(IF(ISERROR(SEARCH(MID(";"&amp;'CASE DATA'!$F92&amp;";",ROW($1:$99),1),";")),"",ROW($1:$99)),COLUMN(C91)+1)-SMALL(IF(ISERROR(SEARCH(MID(";"&amp;'CASE DATA'!$F92&amp;";",ROW($1:$99),1),";")),"",ROW($1:$99)),COLUMN(C91))-1)</f>
        <v/>
      </c>
      <c r="AA92" s="75" t="str" cm="1">
        <f t="array" ref="AA92">MID(";"&amp;'CASE DATA'!$F92&amp;";",SMALL(IF(ISERROR(SEARCH(MID(";"&amp;'CASE DATA'!$F92&amp;";",ROW($1:$99),1),";")),"",ROW($1:$99)+1),COLUMN(D92)),SMALL(IF(ISERROR(SEARCH(MID(";"&amp;'CASE DATA'!$F92&amp;";",ROW($1:$99),1),";")),"",ROW($1:$99)),COLUMN(D91)+1)-SMALL(IF(ISERROR(SEARCH(MID(";"&amp;'CASE DATA'!$F92&amp;";",ROW($1:$99),1),";")),"",ROW($1:$99)),COLUMN(D91))-1)</f>
        <v/>
      </c>
      <c r="AB92" s="75" t="str" cm="1">
        <f t="array" ref="AB92">MID(";"&amp;'CASE DATA'!$F92&amp;";",SMALL(IF(ISERROR(SEARCH(MID(";"&amp;'CASE DATA'!$F92&amp;";",ROW($1:$99),1),";")),"",ROW($1:$99)+1),COLUMN(E92)),SMALL(IF(ISERROR(SEARCH(MID(";"&amp;'CASE DATA'!$F92&amp;";",ROW($1:$99),1),";")),"",ROW($1:$99)),COLUMN(E91)+1)-SMALL(IF(ISERROR(SEARCH(MID(";"&amp;'CASE DATA'!$F92&amp;";",ROW($1:$99),1),";")),"",ROW($1:$99)),COLUMN(E91))-1)</f>
        <v/>
      </c>
      <c r="AC92" s="75" t="str" cm="1">
        <f t="array" ref="AC92">MID(";"&amp;'CASE DATA'!$F92&amp;";",SMALL(IF(ISERROR(SEARCH(MID(";"&amp;'CASE DATA'!$F92&amp;";",ROW($1:$99),1),";")),"",ROW($1:$99)+1),COLUMN(F92)),SMALL(IF(ISERROR(SEARCH(MID(";"&amp;'CASE DATA'!$F92&amp;";",ROW($1:$99),1),";")),"",ROW($1:$99)),COLUMN(F91)+1)-SMALL(IF(ISERROR(SEARCH(MID(";"&amp;'CASE DATA'!$F92&amp;";",ROW($1:$99),1),";")),"",ROW($1:$99)),COLUMN(F91))-1)</f>
        <v/>
      </c>
      <c r="AD92" s="75" t="str" cm="1">
        <f t="array" ref="AD92">MID(";"&amp;'CASE DATA'!$F92&amp;";",SMALL(IF(ISERROR(SEARCH(MID(";"&amp;'CASE DATA'!$F92&amp;";",ROW($1:$99),1),";")),"",ROW($1:$99)+1),COLUMN(G92)),SMALL(IF(ISERROR(SEARCH(MID(";"&amp;'CASE DATA'!$F92&amp;";",ROW($1:$99),1),";")),"",ROW($1:$99)),COLUMN(G91)+1)-SMALL(IF(ISERROR(SEARCH(MID(";"&amp;'CASE DATA'!$F92&amp;";",ROW($1:$99),1),";")),"",ROW($1:$99)),COLUMN(G91))-1)</f>
        <v/>
      </c>
      <c r="AE92" s="75" t="str" cm="1">
        <f t="array" ref="AE92">MID(";"&amp;'CASE DATA'!$F92&amp;";",SMALL(IF(ISERROR(SEARCH(MID(";"&amp;'CASE DATA'!$F92&amp;";",ROW($1:$99),1),";")),"",ROW($1:$99)+1),COLUMN(H92)),SMALL(IF(ISERROR(SEARCH(MID(";"&amp;'CASE DATA'!$F92&amp;";",ROW($1:$99),1),";")),"",ROW($1:$99)),COLUMN(H91)+1)-SMALL(IF(ISERROR(SEARCH(MID(";"&amp;'CASE DATA'!$F92&amp;";",ROW($1:$99),1),";")),"",ROW($1:$99)),COLUMN(H91))-1)</f>
        <v/>
      </c>
      <c r="AF92" s="75" t="str" cm="1">
        <f t="array" ref="AF92">MID(";"&amp;'CASE DATA'!$F92&amp;";",SMALL(IF(ISERROR(SEARCH(MID(";"&amp;'CASE DATA'!$F92&amp;";",ROW($1:$99),1),";")),"",ROW($1:$99)+1),COLUMN(I92)),SMALL(IF(ISERROR(SEARCH(MID(";"&amp;'CASE DATA'!$F92&amp;";",ROW($1:$99),1),";")),"",ROW($1:$99)),COLUMN(I91)+1)-SMALL(IF(ISERROR(SEARCH(MID(";"&amp;'CASE DATA'!$F92&amp;";",ROW($1:$99),1),";")),"",ROW($1:$99)),COLUMN(I91))-1)</f>
        <v/>
      </c>
      <c r="AG92" s="75" t="str" cm="1">
        <f t="array" ref="AG92">MID(";"&amp;'CASE DATA'!$F92&amp;";",SMALL(IF(ISERROR(SEARCH(MID(";"&amp;'CASE DATA'!$F92&amp;";",ROW($1:$99),1),";")),"",ROW($1:$99)+1),COLUMN(K92)),SMALL(IF(ISERROR(SEARCH(MID(";"&amp;'CASE DATA'!$F92&amp;";",ROW($1:$99),1),";")),"",ROW($1:$99)),COLUMN(K91)+1)-SMALL(IF(ISERROR(SEARCH(MID(";"&amp;'CASE DATA'!$F92&amp;";",ROW($1:$99),1),";")),"",ROW($1:$99)),COLUMN(K91))-1)</f>
        <v/>
      </c>
      <c r="AH92" s="75" t="str" cm="1">
        <f t="array" ref="AH92">MID(";"&amp;'CASE DATA'!$F92&amp;";",SMALL(IF(ISERROR(SEARCH(MID(";"&amp;'CASE DATA'!$F92&amp;";",ROW($1:$99),1),";")),"",ROW($1:$99)+1),COLUMN(L92)),SMALL(IF(ISERROR(SEARCH(MID(";"&amp;'CASE DATA'!$F92&amp;";",ROW($1:$99),1),";")),"",ROW($1:$99)),COLUMN(L91)+1)-SMALL(IF(ISERROR(SEARCH(MID(";"&amp;'CASE DATA'!$F92&amp;";",ROW($1:$99),1),";")),"",ROW($1:$99)),COLUMN(L91))-1)</f>
        <v/>
      </c>
      <c r="AI92" s="75" t="str" cm="1">
        <f t="array" ref="AI92">MID(";"&amp;'CASE DATA'!$F92&amp;";",SMALL(IF(ISERROR(SEARCH(MID(";"&amp;'CASE DATA'!$F92&amp;";",ROW($1:$99),1),";")),"",ROW($1:$99)+1),COLUMN(M92)),SMALL(IF(ISERROR(SEARCH(MID(";"&amp;'CASE DATA'!$F92&amp;";",ROW($1:$99),1),";")),"",ROW($1:$99)),COLUMN(M91)+1)-SMALL(IF(ISERROR(SEARCH(MID(";"&amp;'CASE DATA'!$F92&amp;";",ROW($1:$99),1),";")),"",ROW($1:$99)),COLUMN(M91))-1)</f>
        <v/>
      </c>
      <c r="AJ92"/>
      <c r="AK92"/>
      <c r="AL92"/>
      <c r="AM92"/>
      <c r="AN92"/>
      <c r="AO92"/>
      <c r="AP92"/>
      <c r="AQ92"/>
      <c r="AR92"/>
      <c r="AS92"/>
      <c r="AT92"/>
      <c r="AU92"/>
      <c r="AV92"/>
      <c r="AW92"/>
      <c r="AX92"/>
      <c r="AY92"/>
      <c r="AZ92"/>
      <c r="BA92"/>
      <c r="BB92"/>
      <c r="BC92"/>
      <c r="BD92"/>
      <c r="BE92"/>
      <c r="BF92"/>
      <c r="BG92"/>
      <c r="BH92"/>
      <c r="BI92"/>
      <c r="BJ92"/>
      <c r="BK92"/>
      <c r="BL92"/>
      <c r="BM92"/>
      <c r="BN92"/>
      <c r="BO92" s="99"/>
      <c r="BP92" s="99"/>
      <c r="BQ92" s="99"/>
      <c r="BR92" s="99"/>
      <c r="BS92" s="99"/>
      <c r="BT92" s="99"/>
      <c r="BU92" s="99"/>
      <c r="BV92" s="99"/>
      <c r="BW92" s="99"/>
      <c r="BX92" s="99"/>
      <c r="BY92" s="99"/>
      <c r="BZ92" s="99"/>
      <c r="CA92" s="99"/>
      <c r="CB92" s="99"/>
      <c r="CC92" s="99"/>
      <c r="CD92" s="99"/>
      <c r="CE92" s="99"/>
      <c r="CF92" s="99"/>
      <c r="CG92" s="99"/>
      <c r="CH92" s="99"/>
      <c r="CI92" s="99"/>
      <c r="CJ92" s="99"/>
      <c r="CK92" s="99"/>
      <c r="CL92" s="99"/>
      <c r="CM92" s="99"/>
      <c r="CN92" s="99"/>
      <c r="CO92" s="99"/>
      <c r="CP92" s="99"/>
      <c r="CQ92" s="99"/>
      <c r="CR92" s="99"/>
      <c r="CS92" s="99"/>
      <c r="CT92" s="99"/>
      <c r="CU92" s="99"/>
      <c r="CV92" s="99"/>
      <c r="CW92" s="99"/>
      <c r="CX92" s="99"/>
      <c r="CY92" s="99"/>
      <c r="CZ92" s="99"/>
      <c r="DA92" s="99"/>
      <c r="DB92" s="99"/>
      <c r="DC92" s="99"/>
      <c r="DD92" s="99"/>
      <c r="DE92" s="99"/>
      <c r="DF92" s="99"/>
      <c r="DG92" s="99"/>
      <c r="DH92" s="99"/>
      <c r="DI92" s="99"/>
      <c r="DJ92" s="99"/>
      <c r="DK92" s="99"/>
      <c r="DL92" s="99"/>
      <c r="DM92" s="99"/>
      <c r="DN92" s="99"/>
      <c r="DO92" s="99"/>
      <c r="DP92" s="99"/>
      <c r="DQ92" s="99"/>
      <c r="DR92" s="99"/>
      <c r="DS92" s="99"/>
      <c r="DT92" s="99"/>
      <c r="DU92" s="99"/>
      <c r="DV92" s="99"/>
      <c r="DW92" s="99"/>
      <c r="DX92" s="99"/>
      <c r="DY92" s="99"/>
      <c r="DZ92" s="99"/>
      <c r="EA92" s="99"/>
      <c r="EB92" s="99"/>
      <c r="EC92" s="99"/>
      <c r="ED92" s="99"/>
      <c r="EE92" s="99"/>
      <c r="EF92" s="99"/>
      <c r="EG92" s="99"/>
      <c r="EH92" s="99"/>
      <c r="EI92" s="99"/>
      <c r="EJ92" s="99"/>
      <c r="EK92" s="99"/>
      <c r="EL92" s="99"/>
      <c r="EM92" s="99"/>
      <c r="EN92" s="99"/>
      <c r="EO92" s="99"/>
      <c r="EP92" s="99"/>
      <c r="EQ92" s="99"/>
      <c r="ER92" s="99"/>
      <c r="ES92" s="99"/>
      <c r="ET92" s="99"/>
      <c r="EU92" s="99"/>
      <c r="EV92" s="99"/>
      <c r="EW92" s="99"/>
      <c r="EX92" s="99"/>
      <c r="EY92" s="99"/>
      <c r="EZ92" s="99"/>
      <c r="FA92" s="99"/>
      <c r="FB92" s="99"/>
      <c r="FC92" s="99"/>
      <c r="FD92" s="99"/>
      <c r="FE92" s="99"/>
      <c r="FF92" s="99"/>
      <c r="FG92" s="99"/>
      <c r="FH92" s="99"/>
      <c r="FI92" s="99"/>
      <c r="FJ92" s="99"/>
      <c r="FK92" s="99"/>
    </row>
    <row r="93" spans="1:167" s="70" customFormat="1" x14ac:dyDescent="0.25">
      <c r="A93" s="11"/>
      <c r="B93"/>
      <c r="C93" s="10"/>
      <c r="D93" s="10"/>
      <c r="E93" s="11"/>
      <c r="F93" s="15"/>
      <c r="G93"/>
      <c r="H93" s="99"/>
      <c r="I93" s="99"/>
      <c r="J93" s="99">
        <v>90</v>
      </c>
      <c r="K93" s="16"/>
      <c r="L93" s="16"/>
      <c r="M93" s="16"/>
      <c r="N93" s="16"/>
      <c r="O93" s="16"/>
      <c r="P93" s="16"/>
      <c r="Q93" s="16"/>
      <c r="R93" s="16"/>
      <c r="S93" s="16"/>
      <c r="T93" s="16"/>
      <c r="U93" s="73">
        <f>SUM(K93:T93)</f>
        <v>0</v>
      </c>
      <c r="V93" s="73"/>
      <c r="W93"/>
      <c r="X93" s="75" t="str" cm="1">
        <f t="array" ref="X93">MID(";"&amp;'CASE DATA'!$F93&amp;";",SMALL(IF(ISERROR(SEARCH(MID(";"&amp;'CASE DATA'!$F93&amp;";",ROW($1:$99),1),";")),"",ROW($1:$99)+1),COLUMN(A93)),SMALL(IF(ISERROR(SEARCH(MID(";"&amp;'CASE DATA'!$F93&amp;";",ROW($1:$99),1),";")),"",ROW($1:$99)),COLUMN(A92)+1)-SMALL(IF(ISERROR(SEARCH(MID(";"&amp;'CASE DATA'!$F93&amp;";",ROW($1:$99),1),";")),"",ROW($1:$99)),COLUMN(A92))-1)</f>
        <v/>
      </c>
      <c r="Y93" s="75" t="str" cm="1">
        <f t="array" ref="Y93">MID(";"&amp;'CASE DATA'!$F93&amp;";",SMALL(IF(ISERROR(SEARCH(MID(";"&amp;'CASE DATA'!$F93&amp;";",ROW($1:$99),1),";")),"",ROW($1:$99)+1),COLUMN(B93)),SMALL(IF(ISERROR(SEARCH(MID(";"&amp;'CASE DATA'!$F93&amp;";",ROW($1:$99),1),";")),"",ROW($1:$99)),COLUMN(B92)+1)-SMALL(IF(ISERROR(SEARCH(MID(";"&amp;'CASE DATA'!$F93&amp;";",ROW($1:$99),1),";")),"",ROW($1:$99)),COLUMN(B92))-1)</f>
        <v/>
      </c>
      <c r="Z93" s="75" t="str" cm="1">
        <f t="array" ref="Z93">MID(";"&amp;'CASE DATA'!$F93&amp;";",SMALL(IF(ISERROR(SEARCH(MID(";"&amp;'CASE DATA'!$F93&amp;";",ROW($1:$99),1),";")),"",ROW($1:$99)+1),COLUMN(C93)),SMALL(IF(ISERROR(SEARCH(MID(";"&amp;'CASE DATA'!$F93&amp;";",ROW($1:$99),1),";")),"",ROW($1:$99)),COLUMN(C92)+1)-SMALL(IF(ISERROR(SEARCH(MID(";"&amp;'CASE DATA'!$F93&amp;";",ROW($1:$99),1),";")),"",ROW($1:$99)),COLUMN(C92))-1)</f>
        <v/>
      </c>
      <c r="AA93" s="75" t="str" cm="1">
        <f t="array" ref="AA93">MID(";"&amp;'CASE DATA'!$F93&amp;";",SMALL(IF(ISERROR(SEARCH(MID(";"&amp;'CASE DATA'!$F93&amp;";",ROW($1:$99),1),";")),"",ROW($1:$99)+1),COLUMN(D93)),SMALL(IF(ISERROR(SEARCH(MID(";"&amp;'CASE DATA'!$F93&amp;";",ROW($1:$99),1),";")),"",ROW($1:$99)),COLUMN(D92)+1)-SMALL(IF(ISERROR(SEARCH(MID(";"&amp;'CASE DATA'!$F93&amp;";",ROW($1:$99),1),";")),"",ROW($1:$99)),COLUMN(D92))-1)</f>
        <v/>
      </c>
      <c r="AB93" s="75" t="str" cm="1">
        <f t="array" ref="AB93">MID(";"&amp;'CASE DATA'!$F93&amp;";",SMALL(IF(ISERROR(SEARCH(MID(";"&amp;'CASE DATA'!$F93&amp;";",ROW($1:$99),1),";")),"",ROW($1:$99)+1),COLUMN(E93)),SMALL(IF(ISERROR(SEARCH(MID(";"&amp;'CASE DATA'!$F93&amp;";",ROW($1:$99),1),";")),"",ROW($1:$99)),COLUMN(E92)+1)-SMALL(IF(ISERROR(SEARCH(MID(";"&amp;'CASE DATA'!$F93&amp;";",ROW($1:$99),1),";")),"",ROW($1:$99)),COLUMN(E92))-1)</f>
        <v/>
      </c>
      <c r="AC93" s="75" t="str" cm="1">
        <f t="array" ref="AC93">MID(";"&amp;'CASE DATA'!$F93&amp;";",SMALL(IF(ISERROR(SEARCH(MID(";"&amp;'CASE DATA'!$F93&amp;";",ROW($1:$99),1),";")),"",ROW($1:$99)+1),COLUMN(F93)),SMALL(IF(ISERROR(SEARCH(MID(";"&amp;'CASE DATA'!$F93&amp;";",ROW($1:$99),1),";")),"",ROW($1:$99)),COLUMN(F92)+1)-SMALL(IF(ISERROR(SEARCH(MID(";"&amp;'CASE DATA'!$F93&amp;";",ROW($1:$99),1),";")),"",ROW($1:$99)),COLUMN(F92))-1)</f>
        <v/>
      </c>
      <c r="AD93" s="75" t="str" cm="1">
        <f t="array" ref="AD93">MID(";"&amp;'CASE DATA'!$F93&amp;";",SMALL(IF(ISERROR(SEARCH(MID(";"&amp;'CASE DATA'!$F93&amp;";",ROW($1:$99),1),";")),"",ROW($1:$99)+1),COLUMN(G93)),SMALL(IF(ISERROR(SEARCH(MID(";"&amp;'CASE DATA'!$F93&amp;";",ROW($1:$99),1),";")),"",ROW($1:$99)),COLUMN(G92)+1)-SMALL(IF(ISERROR(SEARCH(MID(";"&amp;'CASE DATA'!$F93&amp;";",ROW($1:$99),1),";")),"",ROW($1:$99)),COLUMN(G92))-1)</f>
        <v/>
      </c>
      <c r="AE93" s="75" t="str" cm="1">
        <f t="array" ref="AE93">MID(";"&amp;'CASE DATA'!$F93&amp;";",SMALL(IF(ISERROR(SEARCH(MID(";"&amp;'CASE DATA'!$F93&amp;";",ROW($1:$99),1),";")),"",ROW($1:$99)+1),COLUMN(H93)),SMALL(IF(ISERROR(SEARCH(MID(";"&amp;'CASE DATA'!$F93&amp;";",ROW($1:$99),1),";")),"",ROW($1:$99)),COLUMN(H92)+1)-SMALL(IF(ISERROR(SEARCH(MID(";"&amp;'CASE DATA'!$F93&amp;";",ROW($1:$99),1),";")),"",ROW($1:$99)),COLUMN(H92))-1)</f>
        <v/>
      </c>
      <c r="AF93" s="75" t="str" cm="1">
        <f t="array" ref="AF93">MID(";"&amp;'CASE DATA'!$F93&amp;";",SMALL(IF(ISERROR(SEARCH(MID(";"&amp;'CASE DATA'!$F93&amp;";",ROW($1:$99),1),";")),"",ROW($1:$99)+1),COLUMN(I93)),SMALL(IF(ISERROR(SEARCH(MID(";"&amp;'CASE DATA'!$F93&amp;";",ROW($1:$99),1),";")),"",ROW($1:$99)),COLUMN(I92)+1)-SMALL(IF(ISERROR(SEARCH(MID(";"&amp;'CASE DATA'!$F93&amp;";",ROW($1:$99),1),";")),"",ROW($1:$99)),COLUMN(I92))-1)</f>
        <v/>
      </c>
      <c r="AG93" s="75" t="str" cm="1">
        <f t="array" ref="AG93">MID(";"&amp;'CASE DATA'!$F93&amp;";",SMALL(IF(ISERROR(SEARCH(MID(";"&amp;'CASE DATA'!$F93&amp;";",ROW($1:$99),1),";")),"",ROW($1:$99)+1),COLUMN(K93)),SMALL(IF(ISERROR(SEARCH(MID(";"&amp;'CASE DATA'!$F93&amp;";",ROW($1:$99),1),";")),"",ROW($1:$99)),COLUMN(K92)+1)-SMALL(IF(ISERROR(SEARCH(MID(";"&amp;'CASE DATA'!$F93&amp;";",ROW($1:$99),1),";")),"",ROW($1:$99)),COLUMN(K92))-1)</f>
        <v/>
      </c>
      <c r="AH93" s="75" t="str" cm="1">
        <f t="array" ref="AH93">MID(";"&amp;'CASE DATA'!$F93&amp;";",SMALL(IF(ISERROR(SEARCH(MID(";"&amp;'CASE DATA'!$F93&amp;";",ROW($1:$99),1),";")),"",ROW($1:$99)+1),COLUMN(L93)),SMALL(IF(ISERROR(SEARCH(MID(";"&amp;'CASE DATA'!$F93&amp;";",ROW($1:$99),1),";")),"",ROW($1:$99)),COLUMN(L92)+1)-SMALL(IF(ISERROR(SEARCH(MID(";"&amp;'CASE DATA'!$F93&amp;";",ROW($1:$99),1),";")),"",ROW($1:$99)),COLUMN(L92))-1)</f>
        <v/>
      </c>
      <c r="AI93" s="75" t="str" cm="1">
        <f t="array" ref="AI93">MID(";"&amp;'CASE DATA'!$F93&amp;";",SMALL(IF(ISERROR(SEARCH(MID(";"&amp;'CASE DATA'!$F93&amp;";",ROW($1:$99),1),";")),"",ROW($1:$99)+1),COLUMN(M93)),SMALL(IF(ISERROR(SEARCH(MID(";"&amp;'CASE DATA'!$F93&amp;";",ROW($1:$99),1),";")),"",ROW($1:$99)),COLUMN(M92)+1)-SMALL(IF(ISERROR(SEARCH(MID(";"&amp;'CASE DATA'!$F93&amp;";",ROW($1:$99),1),";")),"",ROW($1:$99)),COLUMN(M92))-1)</f>
        <v/>
      </c>
      <c r="AJ93"/>
      <c r="AK93"/>
      <c r="AL93"/>
      <c r="AM93"/>
      <c r="AN93"/>
      <c r="AO93"/>
      <c r="AP93"/>
      <c r="AQ93"/>
      <c r="AR93"/>
      <c r="AS93"/>
      <c r="AT93"/>
      <c r="AU93"/>
      <c r="AV93"/>
      <c r="AW93"/>
      <c r="AX93"/>
      <c r="AY93"/>
      <c r="AZ93"/>
      <c r="BA93"/>
      <c r="BB93"/>
      <c r="BC93"/>
      <c r="BD93"/>
      <c r="BE93"/>
      <c r="BF93"/>
      <c r="BG93"/>
      <c r="BH93"/>
      <c r="BI93"/>
      <c r="BJ93"/>
      <c r="BK93"/>
      <c r="BL93"/>
      <c r="BM93"/>
      <c r="BN93"/>
      <c r="BO93" s="99"/>
      <c r="BP93" s="99"/>
      <c r="BQ93" s="99"/>
      <c r="BR93" s="99"/>
      <c r="BS93" s="99"/>
      <c r="BT93" s="99"/>
      <c r="BU93" s="99"/>
      <c r="BV93" s="99"/>
      <c r="BW93" s="99"/>
      <c r="BX93" s="99"/>
      <c r="BY93" s="99"/>
      <c r="BZ93" s="99"/>
      <c r="CA93" s="99"/>
      <c r="CB93" s="99"/>
      <c r="CC93" s="99"/>
      <c r="CD93" s="99"/>
      <c r="CE93" s="99"/>
      <c r="CF93" s="99"/>
      <c r="CG93" s="99"/>
      <c r="CH93" s="99"/>
      <c r="CI93" s="99"/>
      <c r="CJ93" s="99"/>
      <c r="CK93" s="99"/>
      <c r="CL93" s="99"/>
      <c r="CM93" s="99"/>
      <c r="CN93" s="99"/>
      <c r="CO93" s="99"/>
      <c r="CP93" s="99"/>
      <c r="CQ93" s="99"/>
      <c r="CR93" s="99"/>
      <c r="CS93" s="99"/>
      <c r="CT93" s="99"/>
      <c r="CU93" s="99"/>
      <c r="CV93" s="99"/>
      <c r="CW93" s="99"/>
      <c r="CX93" s="99"/>
      <c r="CY93" s="99"/>
      <c r="CZ93" s="99"/>
      <c r="DA93" s="99"/>
      <c r="DB93" s="99"/>
      <c r="DC93" s="99"/>
      <c r="DD93" s="99"/>
      <c r="DE93" s="99"/>
      <c r="DF93" s="99"/>
      <c r="DG93" s="99"/>
      <c r="DH93" s="99"/>
      <c r="DI93" s="99"/>
      <c r="DJ93" s="99"/>
      <c r="DK93" s="99"/>
      <c r="DL93" s="99"/>
      <c r="DM93" s="99"/>
      <c r="DN93" s="99"/>
      <c r="DO93" s="99"/>
      <c r="DP93" s="99"/>
      <c r="DQ93" s="99"/>
      <c r="DR93" s="99"/>
      <c r="DS93" s="99"/>
      <c r="DT93" s="99"/>
      <c r="DU93" s="99"/>
      <c r="DV93" s="99"/>
      <c r="DW93" s="99"/>
      <c r="DX93" s="99"/>
      <c r="DY93" s="99"/>
      <c r="DZ93" s="99"/>
      <c r="EA93" s="99"/>
      <c r="EB93" s="99"/>
      <c r="EC93" s="99"/>
      <c r="ED93" s="99"/>
      <c r="EE93" s="99"/>
      <c r="EF93" s="99"/>
      <c r="EG93" s="99"/>
      <c r="EH93" s="99"/>
      <c r="EI93" s="99"/>
      <c r="EJ93" s="99"/>
      <c r="EK93" s="99"/>
      <c r="EL93" s="99"/>
      <c r="EM93" s="99"/>
      <c r="EN93" s="99"/>
      <c r="EO93" s="99"/>
      <c r="EP93" s="99"/>
      <c r="EQ93" s="99"/>
      <c r="ER93" s="99"/>
      <c r="ES93" s="99"/>
      <c r="ET93" s="99"/>
      <c r="EU93" s="99"/>
      <c r="EV93" s="99"/>
      <c r="EW93" s="99"/>
      <c r="EX93" s="99"/>
      <c r="EY93" s="99"/>
      <c r="EZ93" s="99"/>
      <c r="FA93" s="99"/>
      <c r="FB93" s="99"/>
      <c r="FC93" s="99"/>
      <c r="FD93" s="99"/>
      <c r="FE93" s="99"/>
      <c r="FF93" s="99"/>
      <c r="FG93" s="99"/>
      <c r="FH93" s="99"/>
      <c r="FI93" s="99"/>
      <c r="FJ93" s="99"/>
      <c r="FK93" s="99"/>
    </row>
    <row r="94" spans="1:167" s="70" customFormat="1" x14ac:dyDescent="0.25">
      <c r="A94" s="11"/>
      <c r="B94"/>
      <c r="C94" s="10"/>
      <c r="D94" s="10"/>
      <c r="E94" s="11"/>
      <c r="F94" s="15"/>
      <c r="G94"/>
      <c r="H94" s="99"/>
      <c r="I94" s="99"/>
      <c r="J94" s="99">
        <v>91</v>
      </c>
      <c r="K94" s="16"/>
      <c r="L94" s="16"/>
      <c r="M94" s="16"/>
      <c r="N94" s="16"/>
      <c r="O94" s="16"/>
      <c r="P94" s="16"/>
      <c r="Q94" s="16"/>
      <c r="R94" s="16"/>
      <c r="S94" s="16"/>
      <c r="T94" s="16"/>
      <c r="U94" s="73">
        <f>SUM(K94:T94)</f>
        <v>0</v>
      </c>
      <c r="V94" s="73"/>
      <c r="W94"/>
      <c r="X94" s="75" t="str" cm="1">
        <f t="array" ref="X94">MID(";"&amp;'CASE DATA'!$F94&amp;";",SMALL(IF(ISERROR(SEARCH(MID(";"&amp;'CASE DATA'!$F94&amp;";",ROW($1:$99),1),";")),"",ROW($1:$99)+1),COLUMN(A94)),SMALL(IF(ISERROR(SEARCH(MID(";"&amp;'CASE DATA'!$F94&amp;";",ROW($1:$99),1),";")),"",ROW($1:$99)),COLUMN(A93)+1)-SMALL(IF(ISERROR(SEARCH(MID(";"&amp;'CASE DATA'!$F94&amp;";",ROW($1:$99),1),";")),"",ROW($1:$99)),COLUMN(A93))-1)</f>
        <v/>
      </c>
      <c r="Y94" s="75" t="str" cm="1">
        <f t="array" ref="Y94">MID(";"&amp;'CASE DATA'!$F94&amp;";",SMALL(IF(ISERROR(SEARCH(MID(";"&amp;'CASE DATA'!$F94&amp;";",ROW($1:$99),1),";")),"",ROW($1:$99)+1),COLUMN(B94)),SMALL(IF(ISERROR(SEARCH(MID(";"&amp;'CASE DATA'!$F94&amp;";",ROW($1:$99),1),";")),"",ROW($1:$99)),COLUMN(B93)+1)-SMALL(IF(ISERROR(SEARCH(MID(";"&amp;'CASE DATA'!$F94&amp;";",ROW($1:$99),1),";")),"",ROW($1:$99)),COLUMN(B93))-1)</f>
        <v/>
      </c>
      <c r="Z94" s="75" t="str" cm="1">
        <f t="array" ref="Z94">MID(";"&amp;'CASE DATA'!$F94&amp;";",SMALL(IF(ISERROR(SEARCH(MID(";"&amp;'CASE DATA'!$F94&amp;";",ROW($1:$99),1),";")),"",ROW($1:$99)+1),COLUMN(C94)),SMALL(IF(ISERROR(SEARCH(MID(";"&amp;'CASE DATA'!$F94&amp;";",ROW($1:$99),1),";")),"",ROW($1:$99)),COLUMN(C93)+1)-SMALL(IF(ISERROR(SEARCH(MID(";"&amp;'CASE DATA'!$F94&amp;";",ROW($1:$99),1),";")),"",ROW($1:$99)),COLUMN(C93))-1)</f>
        <v/>
      </c>
      <c r="AA94" s="75" t="str" cm="1">
        <f t="array" ref="AA94">MID(";"&amp;'CASE DATA'!$F94&amp;";",SMALL(IF(ISERROR(SEARCH(MID(";"&amp;'CASE DATA'!$F94&amp;";",ROW($1:$99),1),";")),"",ROW($1:$99)+1),COLUMN(D94)),SMALL(IF(ISERROR(SEARCH(MID(";"&amp;'CASE DATA'!$F94&amp;";",ROW($1:$99),1),";")),"",ROW($1:$99)),COLUMN(D93)+1)-SMALL(IF(ISERROR(SEARCH(MID(";"&amp;'CASE DATA'!$F94&amp;";",ROW($1:$99),1),";")),"",ROW($1:$99)),COLUMN(D93))-1)</f>
        <v/>
      </c>
      <c r="AB94" s="75" t="str" cm="1">
        <f t="array" ref="AB94">MID(";"&amp;'CASE DATA'!$F94&amp;";",SMALL(IF(ISERROR(SEARCH(MID(";"&amp;'CASE DATA'!$F94&amp;";",ROW($1:$99),1),";")),"",ROW($1:$99)+1),COLUMN(E94)),SMALL(IF(ISERROR(SEARCH(MID(";"&amp;'CASE DATA'!$F94&amp;";",ROW($1:$99),1),";")),"",ROW($1:$99)),COLUMN(E93)+1)-SMALL(IF(ISERROR(SEARCH(MID(";"&amp;'CASE DATA'!$F94&amp;";",ROW($1:$99),1),";")),"",ROW($1:$99)),COLUMN(E93))-1)</f>
        <v/>
      </c>
      <c r="AC94" s="75" t="str" cm="1">
        <f t="array" ref="AC94">MID(";"&amp;'CASE DATA'!$F94&amp;";",SMALL(IF(ISERROR(SEARCH(MID(";"&amp;'CASE DATA'!$F94&amp;";",ROW($1:$99),1),";")),"",ROW($1:$99)+1),COLUMN(F94)),SMALL(IF(ISERROR(SEARCH(MID(";"&amp;'CASE DATA'!$F94&amp;";",ROW($1:$99),1),";")),"",ROW($1:$99)),COLUMN(F93)+1)-SMALL(IF(ISERROR(SEARCH(MID(";"&amp;'CASE DATA'!$F94&amp;";",ROW($1:$99),1),";")),"",ROW($1:$99)),COLUMN(F93))-1)</f>
        <v/>
      </c>
      <c r="AD94" s="75" t="str" cm="1">
        <f t="array" ref="AD94">MID(";"&amp;'CASE DATA'!$F94&amp;";",SMALL(IF(ISERROR(SEARCH(MID(";"&amp;'CASE DATA'!$F94&amp;";",ROW($1:$99),1),";")),"",ROW($1:$99)+1),COLUMN(G94)),SMALL(IF(ISERROR(SEARCH(MID(";"&amp;'CASE DATA'!$F94&amp;";",ROW($1:$99),1),";")),"",ROW($1:$99)),COLUMN(G93)+1)-SMALL(IF(ISERROR(SEARCH(MID(";"&amp;'CASE DATA'!$F94&amp;";",ROW($1:$99),1),";")),"",ROW($1:$99)),COLUMN(G93))-1)</f>
        <v/>
      </c>
      <c r="AE94" s="75" t="str" cm="1">
        <f t="array" ref="AE94">MID(";"&amp;'CASE DATA'!$F94&amp;";",SMALL(IF(ISERROR(SEARCH(MID(";"&amp;'CASE DATA'!$F94&amp;";",ROW($1:$99),1),";")),"",ROW($1:$99)+1),COLUMN(H94)),SMALL(IF(ISERROR(SEARCH(MID(";"&amp;'CASE DATA'!$F94&amp;";",ROW($1:$99),1),";")),"",ROW($1:$99)),COLUMN(H93)+1)-SMALL(IF(ISERROR(SEARCH(MID(";"&amp;'CASE DATA'!$F94&amp;";",ROW($1:$99),1),";")),"",ROW($1:$99)),COLUMN(H93))-1)</f>
        <v/>
      </c>
      <c r="AF94" s="75" t="str" cm="1">
        <f t="array" ref="AF94">MID(";"&amp;'CASE DATA'!$F94&amp;";",SMALL(IF(ISERROR(SEARCH(MID(";"&amp;'CASE DATA'!$F94&amp;";",ROW($1:$99),1),";")),"",ROW($1:$99)+1),COLUMN(I94)),SMALL(IF(ISERROR(SEARCH(MID(";"&amp;'CASE DATA'!$F94&amp;";",ROW($1:$99),1),";")),"",ROW($1:$99)),COLUMN(I93)+1)-SMALL(IF(ISERROR(SEARCH(MID(";"&amp;'CASE DATA'!$F94&amp;";",ROW($1:$99),1),";")),"",ROW($1:$99)),COLUMN(I93))-1)</f>
        <v/>
      </c>
      <c r="AG94" s="75" t="str" cm="1">
        <f t="array" ref="AG94">MID(";"&amp;'CASE DATA'!$F94&amp;";",SMALL(IF(ISERROR(SEARCH(MID(";"&amp;'CASE DATA'!$F94&amp;";",ROW($1:$99),1),";")),"",ROW($1:$99)+1),COLUMN(K94)),SMALL(IF(ISERROR(SEARCH(MID(";"&amp;'CASE DATA'!$F94&amp;";",ROW($1:$99),1),";")),"",ROW($1:$99)),COLUMN(K93)+1)-SMALL(IF(ISERROR(SEARCH(MID(";"&amp;'CASE DATA'!$F94&amp;";",ROW($1:$99),1),";")),"",ROW($1:$99)),COLUMN(K93))-1)</f>
        <v/>
      </c>
      <c r="AH94" s="75" t="str" cm="1">
        <f t="array" ref="AH94">MID(";"&amp;'CASE DATA'!$F94&amp;";",SMALL(IF(ISERROR(SEARCH(MID(";"&amp;'CASE DATA'!$F94&amp;";",ROW($1:$99),1),";")),"",ROW($1:$99)+1),COLUMN(L94)),SMALL(IF(ISERROR(SEARCH(MID(";"&amp;'CASE DATA'!$F94&amp;";",ROW($1:$99),1),";")),"",ROW($1:$99)),COLUMN(L93)+1)-SMALL(IF(ISERROR(SEARCH(MID(";"&amp;'CASE DATA'!$F94&amp;";",ROW($1:$99),1),";")),"",ROW($1:$99)),COLUMN(L93))-1)</f>
        <v/>
      </c>
      <c r="AI94" s="75" t="str" cm="1">
        <f t="array" ref="AI94">MID(";"&amp;'CASE DATA'!$F94&amp;";",SMALL(IF(ISERROR(SEARCH(MID(";"&amp;'CASE DATA'!$F94&amp;";",ROW($1:$99),1),";")),"",ROW($1:$99)+1),COLUMN(M94)),SMALL(IF(ISERROR(SEARCH(MID(";"&amp;'CASE DATA'!$F94&amp;";",ROW($1:$99),1),";")),"",ROW($1:$99)),COLUMN(M93)+1)-SMALL(IF(ISERROR(SEARCH(MID(";"&amp;'CASE DATA'!$F94&amp;";",ROW($1:$99),1),";")),"",ROW($1:$99)),COLUMN(M93))-1)</f>
        <v/>
      </c>
      <c r="AJ94"/>
      <c r="AK94"/>
      <c r="AL94"/>
      <c r="AM94"/>
      <c r="AN94"/>
      <c r="AO94"/>
      <c r="AP94"/>
      <c r="AQ94"/>
      <c r="AR94"/>
      <c r="AS94"/>
      <c r="AT94"/>
      <c r="AU94"/>
      <c r="AV94"/>
      <c r="AW94"/>
      <c r="AX94"/>
      <c r="AY94"/>
      <c r="AZ94"/>
      <c r="BA94"/>
      <c r="BB94"/>
      <c r="BC94"/>
      <c r="BD94"/>
      <c r="BE94"/>
      <c r="BF94"/>
      <c r="BG94"/>
      <c r="BH94"/>
      <c r="BI94"/>
      <c r="BJ94"/>
      <c r="BK94"/>
      <c r="BL94"/>
      <c r="BM94"/>
      <c r="BN94"/>
      <c r="BO94" s="99"/>
      <c r="BP94" s="99"/>
      <c r="BQ94" s="99"/>
      <c r="BR94" s="99"/>
      <c r="BS94" s="99"/>
      <c r="BT94" s="99"/>
      <c r="BU94" s="99"/>
      <c r="BV94" s="99"/>
      <c r="BW94" s="99"/>
      <c r="BX94" s="99"/>
      <c r="BY94" s="99"/>
      <c r="BZ94" s="99"/>
      <c r="CA94" s="99"/>
      <c r="CB94" s="99"/>
      <c r="CC94" s="99"/>
      <c r="CD94" s="99"/>
      <c r="CE94" s="99"/>
      <c r="CF94" s="99"/>
      <c r="CG94" s="99"/>
      <c r="CH94" s="99"/>
      <c r="CI94" s="99"/>
      <c r="CJ94" s="99"/>
      <c r="CK94" s="99"/>
      <c r="CL94" s="99"/>
      <c r="CM94" s="99"/>
      <c r="CN94" s="99"/>
      <c r="CO94" s="99"/>
      <c r="CP94" s="99"/>
      <c r="CQ94" s="99"/>
      <c r="CR94" s="99"/>
      <c r="CS94" s="99"/>
      <c r="CT94" s="99"/>
      <c r="CU94" s="99"/>
      <c r="CV94" s="99"/>
      <c r="CW94" s="99"/>
      <c r="CX94" s="99"/>
      <c r="CY94" s="99"/>
      <c r="CZ94" s="99"/>
      <c r="DA94" s="99"/>
      <c r="DB94" s="99"/>
      <c r="DC94" s="99"/>
      <c r="DD94" s="99"/>
      <c r="DE94" s="99"/>
      <c r="DF94" s="99"/>
      <c r="DG94" s="99"/>
      <c r="DH94" s="99"/>
      <c r="DI94" s="99"/>
      <c r="DJ94" s="99"/>
      <c r="DK94" s="99"/>
      <c r="DL94" s="99"/>
      <c r="DM94" s="99"/>
      <c r="DN94" s="99"/>
      <c r="DO94" s="99"/>
      <c r="DP94" s="99"/>
      <c r="DQ94" s="99"/>
      <c r="DR94" s="99"/>
      <c r="DS94" s="99"/>
      <c r="DT94" s="99"/>
      <c r="DU94" s="99"/>
      <c r="DV94" s="99"/>
      <c r="DW94" s="99"/>
      <c r="DX94" s="99"/>
      <c r="DY94" s="99"/>
      <c r="DZ94" s="99"/>
      <c r="EA94" s="99"/>
      <c r="EB94" s="99"/>
      <c r="EC94" s="99"/>
      <c r="ED94" s="99"/>
      <c r="EE94" s="99"/>
      <c r="EF94" s="99"/>
      <c r="EG94" s="99"/>
      <c r="EH94" s="99"/>
      <c r="EI94" s="99"/>
      <c r="EJ94" s="99"/>
      <c r="EK94" s="99"/>
      <c r="EL94" s="99"/>
      <c r="EM94" s="99"/>
      <c r="EN94" s="99"/>
      <c r="EO94" s="99"/>
      <c r="EP94" s="99"/>
      <c r="EQ94" s="99"/>
      <c r="ER94" s="99"/>
      <c r="ES94" s="99"/>
      <c r="ET94" s="99"/>
      <c r="EU94" s="99"/>
      <c r="EV94" s="99"/>
      <c r="EW94" s="99"/>
      <c r="EX94" s="99"/>
      <c r="EY94" s="99"/>
      <c r="EZ94" s="99"/>
      <c r="FA94" s="99"/>
      <c r="FB94" s="99"/>
      <c r="FC94" s="99"/>
      <c r="FD94" s="99"/>
      <c r="FE94" s="99"/>
      <c r="FF94" s="99"/>
      <c r="FG94" s="99"/>
      <c r="FH94" s="99"/>
      <c r="FI94" s="99"/>
      <c r="FJ94" s="99"/>
      <c r="FK94" s="99"/>
    </row>
    <row r="95" spans="1:167" s="70" customFormat="1" x14ac:dyDescent="0.25">
      <c r="A95" s="11"/>
      <c r="B95"/>
      <c r="C95" s="10"/>
      <c r="D95" s="10"/>
      <c r="E95" s="11"/>
      <c r="F95" s="15"/>
      <c r="G95"/>
      <c r="H95" s="99"/>
      <c r="I95" s="99"/>
      <c r="J95" s="99">
        <v>92</v>
      </c>
      <c r="K95" s="16"/>
      <c r="L95" s="16"/>
      <c r="M95" s="16"/>
      <c r="N95" s="16"/>
      <c r="O95" s="16"/>
      <c r="P95" s="16"/>
      <c r="Q95" s="16"/>
      <c r="R95" s="16"/>
      <c r="S95" s="16"/>
      <c r="T95" s="16"/>
      <c r="U95" s="73">
        <f>SUM(K95:T95)</f>
        <v>0</v>
      </c>
      <c r="V95" s="73"/>
      <c r="W95"/>
      <c r="X95" s="75" t="str" cm="1">
        <f t="array" ref="X95">MID(";"&amp;'CASE DATA'!$F95&amp;";",SMALL(IF(ISERROR(SEARCH(MID(";"&amp;'CASE DATA'!$F95&amp;";",ROW($1:$99),1),";")),"",ROW($1:$99)+1),COLUMN(A95)),SMALL(IF(ISERROR(SEARCH(MID(";"&amp;'CASE DATA'!$F95&amp;";",ROW($1:$99),1),";")),"",ROW($1:$99)),COLUMN(A94)+1)-SMALL(IF(ISERROR(SEARCH(MID(";"&amp;'CASE DATA'!$F95&amp;";",ROW($1:$99),1),";")),"",ROW($1:$99)),COLUMN(A94))-1)</f>
        <v/>
      </c>
      <c r="Y95" s="75" t="str" cm="1">
        <f t="array" ref="Y95">MID(";"&amp;'CASE DATA'!$F95&amp;";",SMALL(IF(ISERROR(SEARCH(MID(";"&amp;'CASE DATA'!$F95&amp;";",ROW($1:$99),1),";")),"",ROW($1:$99)+1),COLUMN(B95)),SMALL(IF(ISERROR(SEARCH(MID(";"&amp;'CASE DATA'!$F95&amp;";",ROW($1:$99),1),";")),"",ROW($1:$99)),COLUMN(B94)+1)-SMALL(IF(ISERROR(SEARCH(MID(";"&amp;'CASE DATA'!$F95&amp;";",ROW($1:$99),1),";")),"",ROW($1:$99)),COLUMN(B94))-1)</f>
        <v/>
      </c>
      <c r="Z95" s="75" t="str" cm="1">
        <f t="array" ref="Z95">MID(";"&amp;'CASE DATA'!$F95&amp;";",SMALL(IF(ISERROR(SEARCH(MID(";"&amp;'CASE DATA'!$F95&amp;";",ROW($1:$99),1),";")),"",ROW($1:$99)+1),COLUMN(C95)),SMALL(IF(ISERROR(SEARCH(MID(";"&amp;'CASE DATA'!$F95&amp;";",ROW($1:$99),1),";")),"",ROW($1:$99)),COLUMN(C94)+1)-SMALL(IF(ISERROR(SEARCH(MID(";"&amp;'CASE DATA'!$F95&amp;";",ROW($1:$99),1),";")),"",ROW($1:$99)),COLUMN(C94))-1)</f>
        <v/>
      </c>
      <c r="AA95" s="75" t="str" cm="1">
        <f t="array" ref="AA95">MID(";"&amp;'CASE DATA'!$F95&amp;";",SMALL(IF(ISERROR(SEARCH(MID(";"&amp;'CASE DATA'!$F95&amp;";",ROW($1:$99),1),";")),"",ROW($1:$99)+1),COLUMN(D95)),SMALL(IF(ISERROR(SEARCH(MID(";"&amp;'CASE DATA'!$F95&amp;";",ROW($1:$99),1),";")),"",ROW($1:$99)),COLUMN(D94)+1)-SMALL(IF(ISERROR(SEARCH(MID(";"&amp;'CASE DATA'!$F95&amp;";",ROW($1:$99),1),";")),"",ROW($1:$99)),COLUMN(D94))-1)</f>
        <v/>
      </c>
      <c r="AB95" s="75" t="str" cm="1">
        <f t="array" ref="AB95">MID(";"&amp;'CASE DATA'!$F95&amp;";",SMALL(IF(ISERROR(SEARCH(MID(";"&amp;'CASE DATA'!$F95&amp;";",ROW($1:$99),1),";")),"",ROW($1:$99)+1),COLUMN(E95)),SMALL(IF(ISERROR(SEARCH(MID(";"&amp;'CASE DATA'!$F95&amp;";",ROW($1:$99),1),";")),"",ROW($1:$99)),COLUMN(E94)+1)-SMALL(IF(ISERROR(SEARCH(MID(";"&amp;'CASE DATA'!$F95&amp;";",ROW($1:$99),1),";")),"",ROW($1:$99)),COLUMN(E94))-1)</f>
        <v/>
      </c>
      <c r="AC95" s="75" t="str" cm="1">
        <f t="array" ref="AC95">MID(";"&amp;'CASE DATA'!$F95&amp;";",SMALL(IF(ISERROR(SEARCH(MID(";"&amp;'CASE DATA'!$F95&amp;";",ROW($1:$99),1),";")),"",ROW($1:$99)+1),COLUMN(F95)),SMALL(IF(ISERROR(SEARCH(MID(";"&amp;'CASE DATA'!$F95&amp;";",ROW($1:$99),1),";")),"",ROW($1:$99)),COLUMN(F94)+1)-SMALL(IF(ISERROR(SEARCH(MID(";"&amp;'CASE DATA'!$F95&amp;";",ROW($1:$99),1),";")),"",ROW($1:$99)),COLUMN(F94))-1)</f>
        <v/>
      </c>
      <c r="AD95" s="75" t="str" cm="1">
        <f t="array" ref="AD95">MID(";"&amp;'CASE DATA'!$F95&amp;";",SMALL(IF(ISERROR(SEARCH(MID(";"&amp;'CASE DATA'!$F95&amp;";",ROW($1:$99),1),";")),"",ROW($1:$99)+1),COLUMN(G95)),SMALL(IF(ISERROR(SEARCH(MID(";"&amp;'CASE DATA'!$F95&amp;";",ROW($1:$99),1),";")),"",ROW($1:$99)),COLUMN(G94)+1)-SMALL(IF(ISERROR(SEARCH(MID(";"&amp;'CASE DATA'!$F95&amp;";",ROW($1:$99),1),";")),"",ROW($1:$99)),COLUMN(G94))-1)</f>
        <v/>
      </c>
      <c r="AE95" s="75" t="str" cm="1">
        <f t="array" ref="AE95">MID(";"&amp;'CASE DATA'!$F95&amp;";",SMALL(IF(ISERROR(SEARCH(MID(";"&amp;'CASE DATA'!$F95&amp;";",ROW($1:$99),1),";")),"",ROW($1:$99)+1),COLUMN(H95)),SMALL(IF(ISERROR(SEARCH(MID(";"&amp;'CASE DATA'!$F95&amp;";",ROW($1:$99),1),";")),"",ROW($1:$99)),COLUMN(H94)+1)-SMALL(IF(ISERROR(SEARCH(MID(";"&amp;'CASE DATA'!$F95&amp;";",ROW($1:$99),1),";")),"",ROW($1:$99)),COLUMN(H94))-1)</f>
        <v/>
      </c>
      <c r="AF95" s="75" t="str" cm="1">
        <f t="array" ref="AF95">MID(";"&amp;'CASE DATA'!$F95&amp;";",SMALL(IF(ISERROR(SEARCH(MID(";"&amp;'CASE DATA'!$F95&amp;";",ROW($1:$99),1),";")),"",ROW($1:$99)+1),COLUMN(I95)),SMALL(IF(ISERROR(SEARCH(MID(";"&amp;'CASE DATA'!$F95&amp;";",ROW($1:$99),1),";")),"",ROW($1:$99)),COLUMN(I94)+1)-SMALL(IF(ISERROR(SEARCH(MID(";"&amp;'CASE DATA'!$F95&amp;";",ROW($1:$99),1),";")),"",ROW($1:$99)),COLUMN(I94))-1)</f>
        <v/>
      </c>
      <c r="AG95" s="75" t="str" cm="1">
        <f t="array" ref="AG95">MID(";"&amp;'CASE DATA'!$F95&amp;";",SMALL(IF(ISERROR(SEARCH(MID(";"&amp;'CASE DATA'!$F95&amp;";",ROW($1:$99),1),";")),"",ROW($1:$99)+1),COLUMN(K95)),SMALL(IF(ISERROR(SEARCH(MID(";"&amp;'CASE DATA'!$F95&amp;";",ROW($1:$99),1),";")),"",ROW($1:$99)),COLUMN(K94)+1)-SMALL(IF(ISERROR(SEARCH(MID(";"&amp;'CASE DATA'!$F95&amp;";",ROW($1:$99),1),";")),"",ROW($1:$99)),COLUMN(K94))-1)</f>
        <v/>
      </c>
      <c r="AH95" s="75" t="str" cm="1">
        <f t="array" ref="AH95">MID(";"&amp;'CASE DATA'!$F95&amp;";",SMALL(IF(ISERROR(SEARCH(MID(";"&amp;'CASE DATA'!$F95&amp;";",ROW($1:$99),1),";")),"",ROW($1:$99)+1),COLUMN(L95)),SMALL(IF(ISERROR(SEARCH(MID(";"&amp;'CASE DATA'!$F95&amp;";",ROW($1:$99),1),";")),"",ROW($1:$99)),COLUMN(L94)+1)-SMALL(IF(ISERROR(SEARCH(MID(";"&amp;'CASE DATA'!$F95&amp;";",ROW($1:$99),1),";")),"",ROW($1:$99)),COLUMN(L94))-1)</f>
        <v/>
      </c>
      <c r="AI95" s="75" t="str" cm="1">
        <f t="array" ref="AI95">MID(";"&amp;'CASE DATA'!$F95&amp;";",SMALL(IF(ISERROR(SEARCH(MID(";"&amp;'CASE DATA'!$F95&amp;";",ROW($1:$99),1),";")),"",ROW($1:$99)+1),COLUMN(M95)),SMALL(IF(ISERROR(SEARCH(MID(";"&amp;'CASE DATA'!$F95&amp;";",ROW($1:$99),1),";")),"",ROW($1:$99)),COLUMN(M94)+1)-SMALL(IF(ISERROR(SEARCH(MID(";"&amp;'CASE DATA'!$F95&amp;";",ROW($1:$99),1),";")),"",ROW($1:$99)),COLUMN(M94))-1)</f>
        <v/>
      </c>
      <c r="AJ95"/>
      <c r="AK95"/>
      <c r="AL95"/>
      <c r="AM95"/>
      <c r="AN95"/>
      <c r="AO95"/>
      <c r="AP95"/>
      <c r="AQ95"/>
      <c r="AR95"/>
      <c r="AS95"/>
      <c r="AT95"/>
      <c r="AU95"/>
      <c r="AV95"/>
      <c r="AW95"/>
      <c r="AX95"/>
      <c r="AY95"/>
      <c r="AZ95"/>
      <c r="BA95"/>
      <c r="BB95"/>
      <c r="BC95"/>
      <c r="BD95"/>
      <c r="BE95"/>
      <c r="BF95"/>
      <c r="BG95"/>
      <c r="BH95"/>
      <c r="BI95"/>
      <c r="BJ95"/>
      <c r="BK95"/>
      <c r="BL95"/>
      <c r="BM95"/>
      <c r="BN95"/>
      <c r="BO95" s="99"/>
      <c r="BP95" s="99"/>
      <c r="BQ95" s="99"/>
      <c r="BR95" s="99"/>
      <c r="BS95" s="99"/>
      <c r="BT95" s="99"/>
      <c r="BU95" s="99"/>
      <c r="BV95" s="99"/>
      <c r="BW95" s="99"/>
      <c r="BX95" s="99"/>
      <c r="BY95" s="99"/>
      <c r="BZ95" s="99"/>
      <c r="CA95" s="99"/>
      <c r="CB95" s="99"/>
      <c r="CC95" s="99"/>
      <c r="CD95" s="99"/>
      <c r="CE95" s="99"/>
      <c r="CF95" s="99"/>
      <c r="CG95" s="99"/>
      <c r="CH95" s="99"/>
      <c r="CI95" s="99"/>
      <c r="CJ95" s="99"/>
      <c r="CK95" s="99"/>
      <c r="CL95" s="99"/>
      <c r="CM95" s="99"/>
      <c r="CN95" s="99"/>
      <c r="CO95" s="99"/>
      <c r="CP95" s="99"/>
      <c r="CQ95" s="99"/>
      <c r="CR95" s="99"/>
      <c r="CS95" s="99"/>
      <c r="CT95" s="99"/>
      <c r="CU95" s="99"/>
      <c r="CV95" s="99"/>
      <c r="CW95" s="99"/>
      <c r="CX95" s="99"/>
      <c r="CY95" s="99"/>
      <c r="CZ95" s="99"/>
      <c r="DA95" s="99"/>
      <c r="DB95" s="99"/>
      <c r="DC95" s="99"/>
      <c r="DD95" s="99"/>
      <c r="DE95" s="99"/>
      <c r="DF95" s="99"/>
      <c r="DG95" s="99"/>
      <c r="DH95" s="99"/>
      <c r="DI95" s="99"/>
      <c r="DJ95" s="99"/>
      <c r="DK95" s="99"/>
      <c r="DL95" s="99"/>
      <c r="DM95" s="99"/>
      <c r="DN95" s="99"/>
      <c r="DO95" s="99"/>
      <c r="DP95" s="99"/>
      <c r="DQ95" s="99"/>
      <c r="DR95" s="99"/>
      <c r="DS95" s="99"/>
      <c r="DT95" s="99"/>
      <c r="DU95" s="99"/>
      <c r="DV95" s="99"/>
      <c r="DW95" s="99"/>
      <c r="DX95" s="99"/>
      <c r="DY95" s="99"/>
      <c r="DZ95" s="99"/>
      <c r="EA95" s="99"/>
      <c r="EB95" s="99"/>
      <c r="EC95" s="99"/>
      <c r="ED95" s="99"/>
      <c r="EE95" s="99"/>
      <c r="EF95" s="99"/>
      <c r="EG95" s="99"/>
      <c r="EH95" s="99"/>
      <c r="EI95" s="99"/>
      <c r="EJ95" s="99"/>
      <c r="EK95" s="99"/>
      <c r="EL95" s="99"/>
      <c r="EM95" s="99"/>
      <c r="EN95" s="99"/>
      <c r="EO95" s="99"/>
      <c r="EP95" s="99"/>
      <c r="EQ95" s="99"/>
      <c r="ER95" s="99"/>
      <c r="ES95" s="99"/>
      <c r="ET95" s="99"/>
      <c r="EU95" s="99"/>
      <c r="EV95" s="99"/>
      <c r="EW95" s="99"/>
      <c r="EX95" s="99"/>
      <c r="EY95" s="99"/>
      <c r="EZ95" s="99"/>
      <c r="FA95" s="99"/>
      <c r="FB95" s="99"/>
      <c r="FC95" s="99"/>
      <c r="FD95" s="99"/>
      <c r="FE95" s="99"/>
      <c r="FF95" s="99"/>
      <c r="FG95" s="99"/>
      <c r="FH95" s="99"/>
      <c r="FI95" s="99"/>
      <c r="FJ95" s="99"/>
      <c r="FK95" s="99"/>
    </row>
    <row r="96" spans="1:167" x14ac:dyDescent="0.25">
      <c r="A96" s="11"/>
      <c r="C96" s="10"/>
      <c r="D96" s="10"/>
      <c r="E96" s="11"/>
      <c r="F96" s="15"/>
      <c r="J96" s="99">
        <v>93</v>
      </c>
      <c r="K96" s="16"/>
      <c r="L96" s="16"/>
      <c r="M96" s="16"/>
      <c r="N96" s="16"/>
      <c r="O96" s="16"/>
      <c r="P96" s="16"/>
      <c r="Q96" s="16"/>
      <c r="R96" s="16"/>
      <c r="S96" s="16"/>
      <c r="T96" s="16"/>
      <c r="U96" s="73">
        <f>SUM(K96:T96)</f>
        <v>0</v>
      </c>
      <c r="V96" s="73"/>
      <c r="X96" s="75" t="str" cm="1">
        <f t="array" ref="X96">MID(";"&amp;'CASE DATA'!$F96&amp;";",SMALL(IF(ISERROR(SEARCH(MID(";"&amp;'CASE DATA'!$F96&amp;";",ROW($1:$99),1),";")),"",ROW($1:$99)+1),COLUMN(A96)),SMALL(IF(ISERROR(SEARCH(MID(";"&amp;'CASE DATA'!$F96&amp;";",ROW($1:$99),1),";")),"",ROW($1:$99)),COLUMN(A95)+1)-SMALL(IF(ISERROR(SEARCH(MID(";"&amp;'CASE DATA'!$F96&amp;";",ROW($1:$99),1),";")),"",ROW($1:$99)),COLUMN(A95))-1)</f>
        <v/>
      </c>
      <c r="Y96" s="75" t="str" cm="1">
        <f t="array" ref="Y96">MID(";"&amp;'CASE DATA'!$F96&amp;";",SMALL(IF(ISERROR(SEARCH(MID(";"&amp;'CASE DATA'!$F96&amp;";",ROW($1:$99),1),";")),"",ROW($1:$99)+1),COLUMN(B96)),SMALL(IF(ISERROR(SEARCH(MID(";"&amp;'CASE DATA'!$F96&amp;";",ROW($1:$99),1),";")),"",ROW($1:$99)),COLUMN(B95)+1)-SMALL(IF(ISERROR(SEARCH(MID(";"&amp;'CASE DATA'!$F96&amp;";",ROW($1:$99),1),";")),"",ROW($1:$99)),COLUMN(B95))-1)</f>
        <v/>
      </c>
      <c r="Z96" s="75" t="str" cm="1">
        <f t="array" ref="Z96">MID(";"&amp;'CASE DATA'!$F96&amp;";",SMALL(IF(ISERROR(SEARCH(MID(";"&amp;'CASE DATA'!$F96&amp;";",ROW($1:$99),1),";")),"",ROW($1:$99)+1),COLUMN(C96)),SMALL(IF(ISERROR(SEARCH(MID(";"&amp;'CASE DATA'!$F96&amp;";",ROW($1:$99),1),";")),"",ROW($1:$99)),COLUMN(C95)+1)-SMALL(IF(ISERROR(SEARCH(MID(";"&amp;'CASE DATA'!$F96&amp;";",ROW($1:$99),1),";")),"",ROW($1:$99)),COLUMN(C95))-1)</f>
        <v/>
      </c>
      <c r="AA96" s="75" t="str" cm="1">
        <f t="array" ref="AA96">MID(";"&amp;'CASE DATA'!$F96&amp;";",SMALL(IF(ISERROR(SEARCH(MID(";"&amp;'CASE DATA'!$F96&amp;";",ROW($1:$99),1),";")),"",ROW($1:$99)+1),COLUMN(D96)),SMALL(IF(ISERROR(SEARCH(MID(";"&amp;'CASE DATA'!$F96&amp;";",ROW($1:$99),1),";")),"",ROW($1:$99)),COLUMN(D95)+1)-SMALL(IF(ISERROR(SEARCH(MID(";"&amp;'CASE DATA'!$F96&amp;";",ROW($1:$99),1),";")),"",ROW($1:$99)),COLUMN(D95))-1)</f>
        <v/>
      </c>
      <c r="AB96" s="75" t="str" cm="1">
        <f t="array" ref="AB96">MID(";"&amp;'CASE DATA'!$F96&amp;";",SMALL(IF(ISERROR(SEARCH(MID(";"&amp;'CASE DATA'!$F96&amp;";",ROW($1:$99),1),";")),"",ROW($1:$99)+1),COLUMN(E96)),SMALL(IF(ISERROR(SEARCH(MID(";"&amp;'CASE DATA'!$F96&amp;";",ROW($1:$99),1),";")),"",ROW($1:$99)),COLUMN(E95)+1)-SMALL(IF(ISERROR(SEARCH(MID(";"&amp;'CASE DATA'!$F96&amp;";",ROW($1:$99),1),";")),"",ROW($1:$99)),COLUMN(E95))-1)</f>
        <v/>
      </c>
      <c r="AC96" s="75" t="str" cm="1">
        <f t="array" ref="AC96">MID(";"&amp;'CASE DATA'!$F96&amp;";",SMALL(IF(ISERROR(SEARCH(MID(";"&amp;'CASE DATA'!$F96&amp;";",ROW($1:$99),1),";")),"",ROW($1:$99)+1),COLUMN(F96)),SMALL(IF(ISERROR(SEARCH(MID(";"&amp;'CASE DATA'!$F96&amp;";",ROW($1:$99),1),";")),"",ROW($1:$99)),COLUMN(F95)+1)-SMALL(IF(ISERROR(SEARCH(MID(";"&amp;'CASE DATA'!$F96&amp;";",ROW($1:$99),1),";")),"",ROW($1:$99)),COLUMN(F95))-1)</f>
        <v/>
      </c>
      <c r="AD96" s="75" t="str" cm="1">
        <f t="array" ref="AD96">MID(";"&amp;'CASE DATA'!$F96&amp;";",SMALL(IF(ISERROR(SEARCH(MID(";"&amp;'CASE DATA'!$F96&amp;";",ROW($1:$99),1),";")),"",ROW($1:$99)+1),COLUMN(G96)),SMALL(IF(ISERROR(SEARCH(MID(";"&amp;'CASE DATA'!$F96&amp;";",ROW($1:$99),1),";")),"",ROW($1:$99)),COLUMN(G95)+1)-SMALL(IF(ISERROR(SEARCH(MID(";"&amp;'CASE DATA'!$F96&amp;";",ROW($1:$99),1),";")),"",ROW($1:$99)),COLUMN(G95))-1)</f>
        <v/>
      </c>
      <c r="AE96" s="75" t="str" cm="1">
        <f t="array" ref="AE96">MID(";"&amp;'CASE DATA'!$F96&amp;";",SMALL(IF(ISERROR(SEARCH(MID(";"&amp;'CASE DATA'!$F96&amp;";",ROW($1:$99),1),";")),"",ROW($1:$99)+1),COLUMN(H96)),SMALL(IF(ISERROR(SEARCH(MID(";"&amp;'CASE DATA'!$F96&amp;";",ROW($1:$99),1),";")),"",ROW($1:$99)),COLUMN(H95)+1)-SMALL(IF(ISERROR(SEARCH(MID(";"&amp;'CASE DATA'!$F96&amp;";",ROW($1:$99),1),";")),"",ROW($1:$99)),COLUMN(H95))-1)</f>
        <v/>
      </c>
      <c r="AF96" s="75" t="str" cm="1">
        <f t="array" ref="AF96">MID(";"&amp;'CASE DATA'!$F96&amp;";",SMALL(IF(ISERROR(SEARCH(MID(";"&amp;'CASE DATA'!$F96&amp;";",ROW($1:$99),1),";")),"",ROW($1:$99)+1),COLUMN(I96)),SMALL(IF(ISERROR(SEARCH(MID(";"&amp;'CASE DATA'!$F96&amp;";",ROW($1:$99),1),";")),"",ROW($1:$99)),COLUMN(I95)+1)-SMALL(IF(ISERROR(SEARCH(MID(";"&amp;'CASE DATA'!$F96&amp;";",ROW($1:$99),1),";")),"",ROW($1:$99)),COLUMN(I95))-1)</f>
        <v/>
      </c>
      <c r="AG96" s="75" t="str" cm="1">
        <f t="array" ref="AG96">MID(";"&amp;'CASE DATA'!$F96&amp;";",SMALL(IF(ISERROR(SEARCH(MID(";"&amp;'CASE DATA'!$F96&amp;";",ROW($1:$99),1),";")),"",ROW($1:$99)+1),COLUMN(K96)),SMALL(IF(ISERROR(SEARCH(MID(";"&amp;'CASE DATA'!$F96&amp;";",ROW($1:$99),1),";")),"",ROW($1:$99)),COLUMN(K95)+1)-SMALL(IF(ISERROR(SEARCH(MID(";"&amp;'CASE DATA'!$F96&amp;";",ROW($1:$99),1),";")),"",ROW($1:$99)),COLUMN(K95))-1)</f>
        <v/>
      </c>
      <c r="AH96" s="75" t="str" cm="1">
        <f t="array" ref="AH96">MID(";"&amp;'CASE DATA'!$F96&amp;";",SMALL(IF(ISERROR(SEARCH(MID(";"&amp;'CASE DATA'!$F96&amp;";",ROW($1:$99),1),";")),"",ROW($1:$99)+1),COLUMN(L96)),SMALL(IF(ISERROR(SEARCH(MID(";"&amp;'CASE DATA'!$F96&amp;";",ROW($1:$99),1),";")),"",ROW($1:$99)),COLUMN(L95)+1)-SMALL(IF(ISERROR(SEARCH(MID(";"&amp;'CASE DATA'!$F96&amp;";",ROW($1:$99),1),";")),"",ROW($1:$99)),COLUMN(L95))-1)</f>
        <v/>
      </c>
      <c r="AI96" s="75" t="str" cm="1">
        <f t="array" ref="AI96">MID(";"&amp;'CASE DATA'!$F96&amp;";",SMALL(IF(ISERROR(SEARCH(MID(";"&amp;'CASE DATA'!$F96&amp;";",ROW($1:$99),1),";")),"",ROW($1:$99)+1),COLUMN(M96)),SMALL(IF(ISERROR(SEARCH(MID(";"&amp;'CASE DATA'!$F96&amp;";",ROW($1:$99),1),";")),"",ROW($1:$99)),COLUMN(M95)+1)-SMALL(IF(ISERROR(SEARCH(MID(";"&amp;'CASE DATA'!$F96&amp;";",ROW($1:$99),1),";")),"",ROW($1:$99)),COLUMN(M95))-1)</f>
        <v/>
      </c>
      <c r="BO96" s="99"/>
      <c r="BP96" s="99"/>
      <c r="BQ96" s="99"/>
      <c r="BR96" s="99"/>
      <c r="BS96" s="99"/>
      <c r="BT96" s="99"/>
      <c r="BU96" s="99"/>
      <c r="BV96" s="99"/>
      <c r="BW96" s="99"/>
      <c r="BX96" s="99"/>
      <c r="BY96" s="99"/>
      <c r="BZ96" s="99"/>
      <c r="CA96" s="99"/>
      <c r="CB96" s="99"/>
      <c r="CC96" s="99"/>
      <c r="CD96" s="99"/>
      <c r="CE96" s="99"/>
      <c r="CF96" s="99"/>
      <c r="CG96" s="99"/>
      <c r="CH96" s="99"/>
      <c r="CI96" s="99"/>
      <c r="CJ96" s="99"/>
      <c r="CK96" s="99"/>
      <c r="CL96" s="99"/>
      <c r="CM96" s="99"/>
      <c r="CN96" s="99"/>
      <c r="CO96" s="99"/>
      <c r="CP96" s="99"/>
      <c r="CQ96" s="99"/>
      <c r="CR96" s="99"/>
      <c r="CS96" s="99"/>
      <c r="CT96" s="99"/>
      <c r="CU96" s="99"/>
      <c r="CV96" s="99"/>
      <c r="CW96" s="99"/>
      <c r="CX96" s="99"/>
      <c r="CY96" s="99"/>
      <c r="CZ96" s="99"/>
      <c r="DA96" s="99"/>
      <c r="DB96" s="99"/>
      <c r="DC96" s="99"/>
      <c r="DD96" s="99"/>
      <c r="DE96" s="99"/>
      <c r="DF96" s="99"/>
      <c r="DG96" s="99"/>
      <c r="DH96" s="99"/>
      <c r="DI96" s="99"/>
      <c r="DJ96" s="99"/>
      <c r="DK96" s="99"/>
      <c r="DL96" s="99"/>
      <c r="DM96" s="99"/>
      <c r="DN96" s="99"/>
      <c r="DO96" s="99"/>
      <c r="DP96" s="99"/>
      <c r="DQ96" s="99"/>
      <c r="DR96" s="99"/>
      <c r="DS96" s="99"/>
      <c r="DT96" s="99"/>
      <c r="DU96" s="99"/>
      <c r="DV96" s="99"/>
      <c r="DW96" s="99"/>
      <c r="DX96" s="99"/>
      <c r="DY96" s="99"/>
      <c r="DZ96" s="99"/>
      <c r="EA96" s="99"/>
      <c r="EB96" s="99"/>
      <c r="EC96" s="99"/>
      <c r="ED96" s="99"/>
      <c r="EE96" s="99"/>
      <c r="EF96" s="99"/>
      <c r="EG96" s="99"/>
      <c r="EH96" s="99"/>
      <c r="EI96" s="99"/>
      <c r="EJ96" s="99"/>
      <c r="EK96" s="99"/>
      <c r="EL96" s="99"/>
      <c r="EM96" s="99"/>
      <c r="EN96" s="99"/>
      <c r="EO96" s="99"/>
      <c r="EP96" s="99"/>
      <c r="EQ96" s="99"/>
      <c r="ER96" s="99"/>
      <c r="ES96" s="99"/>
      <c r="ET96" s="99"/>
      <c r="EU96" s="99"/>
      <c r="EV96" s="99"/>
      <c r="EW96" s="99"/>
      <c r="EX96" s="99"/>
      <c r="EY96" s="99"/>
      <c r="EZ96" s="99"/>
      <c r="FA96" s="99"/>
      <c r="FB96" s="99"/>
      <c r="FC96" s="99"/>
      <c r="FD96" s="99"/>
      <c r="FE96" s="99"/>
      <c r="FF96" s="99"/>
      <c r="FG96" s="99"/>
      <c r="FH96" s="99"/>
      <c r="FI96" s="99"/>
      <c r="FJ96" s="99"/>
      <c r="FK96" s="99"/>
    </row>
    <row r="97" spans="1:167" x14ac:dyDescent="0.25">
      <c r="A97" s="11"/>
      <c r="C97" s="10"/>
      <c r="D97" s="10"/>
      <c r="E97" s="11"/>
      <c r="F97" s="15"/>
      <c r="J97" s="99">
        <v>94</v>
      </c>
      <c r="K97" s="16"/>
      <c r="L97" s="16"/>
      <c r="M97" s="16"/>
      <c r="N97" s="16"/>
      <c r="O97" s="16"/>
      <c r="P97" s="16"/>
      <c r="Q97" s="16"/>
      <c r="R97" s="16"/>
      <c r="S97" s="16"/>
      <c r="T97" s="16"/>
      <c r="U97" s="73">
        <f>SUM(K97:T97)</f>
        <v>0</v>
      </c>
      <c r="V97" s="73"/>
      <c r="X97" s="75" t="str" cm="1">
        <f t="array" ref="X97">MID(";"&amp;'CASE DATA'!$F97&amp;";",SMALL(IF(ISERROR(SEARCH(MID(";"&amp;'CASE DATA'!$F97&amp;";",ROW($1:$99),1),";")),"",ROW($1:$99)+1),COLUMN(A97)),SMALL(IF(ISERROR(SEARCH(MID(";"&amp;'CASE DATA'!$F97&amp;";",ROW($1:$99),1),";")),"",ROW($1:$99)),COLUMN(A96)+1)-SMALL(IF(ISERROR(SEARCH(MID(";"&amp;'CASE DATA'!$F97&amp;";",ROW($1:$99),1),";")),"",ROW($1:$99)),COLUMN(A96))-1)</f>
        <v/>
      </c>
      <c r="Y97" s="75" t="str" cm="1">
        <f t="array" ref="Y97">MID(";"&amp;'CASE DATA'!$F97&amp;";",SMALL(IF(ISERROR(SEARCH(MID(";"&amp;'CASE DATA'!$F97&amp;";",ROW($1:$99),1),";")),"",ROW($1:$99)+1),COLUMN(B97)),SMALL(IF(ISERROR(SEARCH(MID(";"&amp;'CASE DATA'!$F97&amp;";",ROW($1:$99),1),";")),"",ROW($1:$99)),COLUMN(B96)+1)-SMALL(IF(ISERROR(SEARCH(MID(";"&amp;'CASE DATA'!$F97&amp;";",ROW($1:$99),1),";")),"",ROW($1:$99)),COLUMN(B96))-1)</f>
        <v/>
      </c>
      <c r="Z97" s="75" t="str" cm="1">
        <f t="array" ref="Z97">MID(";"&amp;'CASE DATA'!$F97&amp;";",SMALL(IF(ISERROR(SEARCH(MID(";"&amp;'CASE DATA'!$F97&amp;";",ROW($1:$99),1),";")),"",ROW($1:$99)+1),COLUMN(C97)),SMALL(IF(ISERROR(SEARCH(MID(";"&amp;'CASE DATA'!$F97&amp;";",ROW($1:$99),1),";")),"",ROW($1:$99)),COLUMN(C96)+1)-SMALL(IF(ISERROR(SEARCH(MID(";"&amp;'CASE DATA'!$F97&amp;";",ROW($1:$99),1),";")),"",ROW($1:$99)),COLUMN(C96))-1)</f>
        <v/>
      </c>
      <c r="AA97" s="75" t="str" cm="1">
        <f t="array" ref="AA97">MID(";"&amp;'CASE DATA'!$F97&amp;";",SMALL(IF(ISERROR(SEARCH(MID(";"&amp;'CASE DATA'!$F97&amp;";",ROW($1:$99),1),";")),"",ROW($1:$99)+1),COLUMN(D97)),SMALL(IF(ISERROR(SEARCH(MID(";"&amp;'CASE DATA'!$F97&amp;";",ROW($1:$99),1),";")),"",ROW($1:$99)),COLUMN(D96)+1)-SMALL(IF(ISERROR(SEARCH(MID(";"&amp;'CASE DATA'!$F97&amp;";",ROW($1:$99),1),";")),"",ROW($1:$99)),COLUMN(D96))-1)</f>
        <v/>
      </c>
      <c r="AB97" s="75" t="str" cm="1">
        <f t="array" ref="AB97">MID(";"&amp;'CASE DATA'!$F97&amp;";",SMALL(IF(ISERROR(SEARCH(MID(";"&amp;'CASE DATA'!$F97&amp;";",ROW($1:$99),1),";")),"",ROW($1:$99)+1),COLUMN(E97)),SMALL(IF(ISERROR(SEARCH(MID(";"&amp;'CASE DATA'!$F97&amp;";",ROW($1:$99),1),";")),"",ROW($1:$99)),COLUMN(E96)+1)-SMALL(IF(ISERROR(SEARCH(MID(";"&amp;'CASE DATA'!$F97&amp;";",ROW($1:$99),1),";")),"",ROW($1:$99)),COLUMN(E96))-1)</f>
        <v/>
      </c>
      <c r="AC97" s="75" t="str" cm="1">
        <f t="array" ref="AC97">MID(";"&amp;'CASE DATA'!$F97&amp;";",SMALL(IF(ISERROR(SEARCH(MID(";"&amp;'CASE DATA'!$F97&amp;";",ROW($1:$99),1),";")),"",ROW($1:$99)+1),COLUMN(F97)),SMALL(IF(ISERROR(SEARCH(MID(";"&amp;'CASE DATA'!$F97&amp;";",ROW($1:$99),1),";")),"",ROW($1:$99)),COLUMN(F96)+1)-SMALL(IF(ISERROR(SEARCH(MID(";"&amp;'CASE DATA'!$F97&amp;";",ROW($1:$99),1),";")),"",ROW($1:$99)),COLUMN(F96))-1)</f>
        <v/>
      </c>
      <c r="AD97" s="75" t="str" cm="1">
        <f t="array" ref="AD97">MID(";"&amp;'CASE DATA'!$F97&amp;";",SMALL(IF(ISERROR(SEARCH(MID(";"&amp;'CASE DATA'!$F97&amp;";",ROW($1:$99),1),";")),"",ROW($1:$99)+1),COLUMN(G97)),SMALL(IF(ISERROR(SEARCH(MID(";"&amp;'CASE DATA'!$F97&amp;";",ROW($1:$99),1),";")),"",ROW($1:$99)),COLUMN(G96)+1)-SMALL(IF(ISERROR(SEARCH(MID(";"&amp;'CASE DATA'!$F97&amp;";",ROW($1:$99),1),";")),"",ROW($1:$99)),COLUMN(G96))-1)</f>
        <v/>
      </c>
      <c r="AE97" s="75" t="str" cm="1">
        <f t="array" ref="AE97">MID(";"&amp;'CASE DATA'!$F97&amp;";",SMALL(IF(ISERROR(SEARCH(MID(";"&amp;'CASE DATA'!$F97&amp;";",ROW($1:$99),1),";")),"",ROW($1:$99)+1),COLUMN(H97)),SMALL(IF(ISERROR(SEARCH(MID(";"&amp;'CASE DATA'!$F97&amp;";",ROW($1:$99),1),";")),"",ROW($1:$99)),COLUMN(H96)+1)-SMALL(IF(ISERROR(SEARCH(MID(";"&amp;'CASE DATA'!$F97&amp;";",ROW($1:$99),1),";")),"",ROW($1:$99)),COLUMN(H96))-1)</f>
        <v/>
      </c>
      <c r="AF97" s="75" t="str" cm="1">
        <f t="array" ref="AF97">MID(";"&amp;'CASE DATA'!$F97&amp;";",SMALL(IF(ISERROR(SEARCH(MID(";"&amp;'CASE DATA'!$F97&amp;";",ROW($1:$99),1),";")),"",ROW($1:$99)+1),COLUMN(I97)),SMALL(IF(ISERROR(SEARCH(MID(";"&amp;'CASE DATA'!$F97&amp;";",ROW($1:$99),1),";")),"",ROW($1:$99)),COLUMN(I96)+1)-SMALL(IF(ISERROR(SEARCH(MID(";"&amp;'CASE DATA'!$F97&amp;";",ROW($1:$99),1),";")),"",ROW($1:$99)),COLUMN(I96))-1)</f>
        <v/>
      </c>
      <c r="AG97" s="75" t="str" cm="1">
        <f t="array" ref="AG97">MID(";"&amp;'CASE DATA'!$F97&amp;";",SMALL(IF(ISERROR(SEARCH(MID(";"&amp;'CASE DATA'!$F97&amp;";",ROW($1:$99),1),";")),"",ROW($1:$99)+1),COLUMN(K97)),SMALL(IF(ISERROR(SEARCH(MID(";"&amp;'CASE DATA'!$F97&amp;";",ROW($1:$99),1),";")),"",ROW($1:$99)),COLUMN(K96)+1)-SMALL(IF(ISERROR(SEARCH(MID(";"&amp;'CASE DATA'!$F97&amp;";",ROW($1:$99),1),";")),"",ROW($1:$99)),COLUMN(K96))-1)</f>
        <v/>
      </c>
      <c r="AH97" s="75" t="str" cm="1">
        <f t="array" ref="AH97">MID(";"&amp;'CASE DATA'!$F97&amp;";",SMALL(IF(ISERROR(SEARCH(MID(";"&amp;'CASE DATA'!$F97&amp;";",ROW($1:$99),1),";")),"",ROW($1:$99)+1),COLUMN(L97)),SMALL(IF(ISERROR(SEARCH(MID(";"&amp;'CASE DATA'!$F97&amp;";",ROW($1:$99),1),";")),"",ROW($1:$99)),COLUMN(L96)+1)-SMALL(IF(ISERROR(SEARCH(MID(";"&amp;'CASE DATA'!$F97&amp;";",ROW($1:$99),1),";")),"",ROW($1:$99)),COLUMN(L96))-1)</f>
        <v/>
      </c>
      <c r="AI97" s="75" t="str" cm="1">
        <f t="array" ref="AI97">MID(";"&amp;'CASE DATA'!$F97&amp;";",SMALL(IF(ISERROR(SEARCH(MID(";"&amp;'CASE DATA'!$F97&amp;";",ROW($1:$99),1),";")),"",ROW($1:$99)+1),COLUMN(M97)),SMALL(IF(ISERROR(SEARCH(MID(";"&amp;'CASE DATA'!$F97&amp;";",ROW($1:$99),1),";")),"",ROW($1:$99)),COLUMN(M96)+1)-SMALL(IF(ISERROR(SEARCH(MID(";"&amp;'CASE DATA'!$F97&amp;";",ROW($1:$99),1),";")),"",ROW($1:$99)),COLUMN(M96))-1)</f>
        <v/>
      </c>
      <c r="BO97" s="99"/>
      <c r="BP97" s="99"/>
      <c r="BQ97" s="99"/>
      <c r="BR97" s="99"/>
      <c r="BS97" s="99"/>
      <c r="BT97" s="99"/>
      <c r="BU97" s="99"/>
      <c r="BV97" s="99"/>
      <c r="BW97" s="99"/>
      <c r="BX97" s="99"/>
      <c r="BY97" s="99"/>
      <c r="BZ97" s="99"/>
      <c r="CA97" s="99"/>
      <c r="CB97" s="99"/>
      <c r="CC97" s="99"/>
      <c r="CD97" s="99"/>
      <c r="CE97" s="99"/>
      <c r="CF97" s="99"/>
      <c r="CG97" s="99"/>
      <c r="CH97" s="99"/>
      <c r="CI97" s="99"/>
      <c r="CJ97" s="99"/>
      <c r="CK97" s="99"/>
      <c r="CL97" s="99"/>
      <c r="CM97" s="99"/>
      <c r="CN97" s="99"/>
      <c r="CO97" s="99"/>
      <c r="CP97" s="99"/>
      <c r="CQ97" s="99"/>
      <c r="CR97" s="99"/>
      <c r="CS97" s="99"/>
      <c r="CT97" s="99"/>
      <c r="CU97" s="99"/>
      <c r="CV97" s="99"/>
      <c r="CW97" s="99"/>
      <c r="CX97" s="99"/>
      <c r="CY97" s="99"/>
      <c r="CZ97" s="99"/>
      <c r="DA97" s="99"/>
      <c r="DB97" s="99"/>
      <c r="DC97" s="99"/>
      <c r="DD97" s="99"/>
      <c r="DE97" s="99"/>
      <c r="DF97" s="99"/>
      <c r="DG97" s="99"/>
      <c r="DH97" s="99"/>
      <c r="DI97" s="99"/>
      <c r="DJ97" s="99"/>
      <c r="DK97" s="99"/>
      <c r="DL97" s="99"/>
      <c r="DM97" s="99"/>
      <c r="DN97" s="99"/>
      <c r="DO97" s="99"/>
      <c r="DP97" s="99"/>
      <c r="DQ97" s="99"/>
      <c r="DR97" s="99"/>
      <c r="DS97" s="99"/>
      <c r="DT97" s="99"/>
      <c r="DU97" s="99"/>
      <c r="DV97" s="99"/>
      <c r="DW97" s="99"/>
      <c r="DX97" s="99"/>
      <c r="DY97" s="99"/>
      <c r="DZ97" s="99"/>
      <c r="EA97" s="99"/>
      <c r="EB97" s="99"/>
      <c r="EC97" s="99"/>
      <c r="ED97" s="99"/>
      <c r="EE97" s="99"/>
      <c r="EF97" s="99"/>
      <c r="EG97" s="99"/>
      <c r="EH97" s="99"/>
      <c r="EI97" s="99"/>
      <c r="EJ97" s="99"/>
      <c r="EK97" s="99"/>
      <c r="EL97" s="99"/>
      <c r="EM97" s="99"/>
      <c r="EN97" s="99"/>
      <c r="EO97" s="99"/>
      <c r="EP97" s="99"/>
      <c r="EQ97" s="99"/>
      <c r="ER97" s="99"/>
      <c r="ES97" s="99"/>
      <c r="ET97" s="99"/>
      <c r="EU97" s="99"/>
      <c r="EV97" s="99"/>
      <c r="EW97" s="99"/>
      <c r="EX97" s="99"/>
      <c r="EY97" s="99"/>
      <c r="EZ97" s="99"/>
      <c r="FA97" s="99"/>
      <c r="FB97" s="99"/>
      <c r="FC97" s="99"/>
      <c r="FD97" s="99"/>
      <c r="FE97" s="99"/>
      <c r="FF97" s="99"/>
      <c r="FG97" s="99"/>
      <c r="FH97" s="99"/>
      <c r="FI97" s="99"/>
      <c r="FJ97" s="99"/>
      <c r="FK97" s="99"/>
    </row>
    <row r="98" spans="1:167" x14ac:dyDescent="0.25">
      <c r="A98" s="11"/>
      <c r="C98" s="10"/>
      <c r="D98" s="10"/>
      <c r="E98" s="11"/>
      <c r="F98" s="15"/>
      <c r="J98" s="99">
        <v>95</v>
      </c>
      <c r="K98" s="16"/>
      <c r="L98" s="16"/>
      <c r="M98" s="16"/>
      <c r="N98" s="16"/>
      <c r="O98" s="16"/>
      <c r="P98" s="16"/>
      <c r="Q98" s="16"/>
      <c r="R98" s="16"/>
      <c r="S98" s="16"/>
      <c r="T98" s="16"/>
      <c r="U98" s="73">
        <f>SUM(K98:T98)</f>
        <v>0</v>
      </c>
      <c r="V98" s="73"/>
      <c r="X98" s="75" t="str" cm="1">
        <f t="array" ref="X98">MID(";"&amp;'CASE DATA'!$F98&amp;";",SMALL(IF(ISERROR(SEARCH(MID(";"&amp;'CASE DATA'!$F98&amp;";",ROW($1:$99),1),";")),"",ROW($1:$99)+1),COLUMN(A98)),SMALL(IF(ISERROR(SEARCH(MID(";"&amp;'CASE DATA'!$F98&amp;";",ROW($1:$99),1),";")),"",ROW($1:$99)),COLUMN(A97)+1)-SMALL(IF(ISERROR(SEARCH(MID(";"&amp;'CASE DATA'!$F98&amp;";",ROW($1:$99),1),";")),"",ROW($1:$99)),COLUMN(A97))-1)</f>
        <v/>
      </c>
      <c r="Y98" s="75" t="str" cm="1">
        <f t="array" ref="Y98">MID(";"&amp;'CASE DATA'!$F98&amp;";",SMALL(IF(ISERROR(SEARCH(MID(";"&amp;'CASE DATA'!$F98&amp;";",ROW($1:$99),1),";")),"",ROW($1:$99)+1),COLUMN(B98)),SMALL(IF(ISERROR(SEARCH(MID(";"&amp;'CASE DATA'!$F98&amp;";",ROW($1:$99),1),";")),"",ROW($1:$99)),COLUMN(B97)+1)-SMALL(IF(ISERROR(SEARCH(MID(";"&amp;'CASE DATA'!$F98&amp;";",ROW($1:$99),1),";")),"",ROW($1:$99)),COLUMN(B97))-1)</f>
        <v/>
      </c>
      <c r="Z98" s="75" t="str" cm="1">
        <f t="array" ref="Z98">MID(";"&amp;'CASE DATA'!$F98&amp;";",SMALL(IF(ISERROR(SEARCH(MID(";"&amp;'CASE DATA'!$F98&amp;";",ROW($1:$99),1),";")),"",ROW($1:$99)+1),COLUMN(C98)),SMALL(IF(ISERROR(SEARCH(MID(";"&amp;'CASE DATA'!$F98&amp;";",ROW($1:$99),1),";")),"",ROW($1:$99)),COLUMN(C97)+1)-SMALL(IF(ISERROR(SEARCH(MID(";"&amp;'CASE DATA'!$F98&amp;";",ROW($1:$99),1),";")),"",ROW($1:$99)),COLUMN(C97))-1)</f>
        <v/>
      </c>
      <c r="AA98" s="75" t="str" cm="1">
        <f t="array" ref="AA98">MID(";"&amp;'CASE DATA'!$F98&amp;";",SMALL(IF(ISERROR(SEARCH(MID(";"&amp;'CASE DATA'!$F98&amp;";",ROW($1:$99),1),";")),"",ROW($1:$99)+1),COLUMN(D98)),SMALL(IF(ISERROR(SEARCH(MID(";"&amp;'CASE DATA'!$F98&amp;";",ROW($1:$99),1),";")),"",ROW($1:$99)),COLUMN(D97)+1)-SMALL(IF(ISERROR(SEARCH(MID(";"&amp;'CASE DATA'!$F98&amp;";",ROW($1:$99),1),";")),"",ROW($1:$99)),COLUMN(D97))-1)</f>
        <v/>
      </c>
      <c r="AB98" s="75" t="str" cm="1">
        <f t="array" ref="AB98">MID(";"&amp;'CASE DATA'!$F98&amp;";",SMALL(IF(ISERROR(SEARCH(MID(";"&amp;'CASE DATA'!$F98&amp;";",ROW($1:$99),1),";")),"",ROW($1:$99)+1),COLUMN(E98)),SMALL(IF(ISERROR(SEARCH(MID(";"&amp;'CASE DATA'!$F98&amp;";",ROW($1:$99),1),";")),"",ROW($1:$99)),COLUMN(E97)+1)-SMALL(IF(ISERROR(SEARCH(MID(";"&amp;'CASE DATA'!$F98&amp;";",ROW($1:$99),1),";")),"",ROW($1:$99)),COLUMN(E97))-1)</f>
        <v/>
      </c>
      <c r="AC98" s="75" t="str" cm="1">
        <f t="array" ref="AC98">MID(";"&amp;'CASE DATA'!$F98&amp;";",SMALL(IF(ISERROR(SEARCH(MID(";"&amp;'CASE DATA'!$F98&amp;";",ROW($1:$99),1),";")),"",ROW($1:$99)+1),COLUMN(F98)),SMALL(IF(ISERROR(SEARCH(MID(";"&amp;'CASE DATA'!$F98&amp;";",ROW($1:$99),1),";")),"",ROW($1:$99)),COLUMN(F97)+1)-SMALL(IF(ISERROR(SEARCH(MID(";"&amp;'CASE DATA'!$F98&amp;";",ROW($1:$99),1),";")),"",ROW($1:$99)),COLUMN(F97))-1)</f>
        <v/>
      </c>
      <c r="AD98" s="75" t="str" cm="1">
        <f t="array" ref="AD98">MID(";"&amp;'CASE DATA'!$F98&amp;";",SMALL(IF(ISERROR(SEARCH(MID(";"&amp;'CASE DATA'!$F98&amp;";",ROW($1:$99),1),";")),"",ROW($1:$99)+1),COLUMN(G98)),SMALL(IF(ISERROR(SEARCH(MID(";"&amp;'CASE DATA'!$F98&amp;";",ROW($1:$99),1),";")),"",ROW($1:$99)),COLUMN(G97)+1)-SMALL(IF(ISERROR(SEARCH(MID(";"&amp;'CASE DATA'!$F98&amp;";",ROW($1:$99),1),";")),"",ROW($1:$99)),COLUMN(G97))-1)</f>
        <v/>
      </c>
      <c r="AE98" s="75" t="str" cm="1">
        <f t="array" ref="AE98">MID(";"&amp;'CASE DATA'!$F98&amp;";",SMALL(IF(ISERROR(SEARCH(MID(";"&amp;'CASE DATA'!$F98&amp;";",ROW($1:$99),1),";")),"",ROW($1:$99)+1),COLUMN(H98)),SMALL(IF(ISERROR(SEARCH(MID(";"&amp;'CASE DATA'!$F98&amp;";",ROW($1:$99),1),";")),"",ROW($1:$99)),COLUMN(H97)+1)-SMALL(IF(ISERROR(SEARCH(MID(";"&amp;'CASE DATA'!$F98&amp;";",ROW($1:$99),1),";")),"",ROW($1:$99)),COLUMN(H97))-1)</f>
        <v/>
      </c>
      <c r="AF98" s="75" t="str" cm="1">
        <f t="array" ref="AF98">MID(";"&amp;'CASE DATA'!$F98&amp;";",SMALL(IF(ISERROR(SEARCH(MID(";"&amp;'CASE DATA'!$F98&amp;";",ROW($1:$99),1),";")),"",ROW($1:$99)+1),COLUMN(I98)),SMALL(IF(ISERROR(SEARCH(MID(";"&amp;'CASE DATA'!$F98&amp;";",ROW($1:$99),1),";")),"",ROW($1:$99)),COLUMN(I97)+1)-SMALL(IF(ISERROR(SEARCH(MID(";"&amp;'CASE DATA'!$F98&amp;";",ROW($1:$99),1),";")),"",ROW($1:$99)),COLUMN(I97))-1)</f>
        <v/>
      </c>
      <c r="AG98" s="75" t="str" cm="1">
        <f t="array" ref="AG98">MID(";"&amp;'CASE DATA'!$F98&amp;";",SMALL(IF(ISERROR(SEARCH(MID(";"&amp;'CASE DATA'!$F98&amp;";",ROW($1:$99),1),";")),"",ROW($1:$99)+1),COLUMN(K98)),SMALL(IF(ISERROR(SEARCH(MID(";"&amp;'CASE DATA'!$F98&amp;";",ROW($1:$99),1),";")),"",ROW($1:$99)),COLUMN(K97)+1)-SMALL(IF(ISERROR(SEARCH(MID(";"&amp;'CASE DATA'!$F98&amp;";",ROW($1:$99),1),";")),"",ROW($1:$99)),COLUMN(K97))-1)</f>
        <v/>
      </c>
      <c r="AH98" s="75" t="str" cm="1">
        <f t="array" ref="AH98">MID(";"&amp;'CASE DATA'!$F98&amp;";",SMALL(IF(ISERROR(SEARCH(MID(";"&amp;'CASE DATA'!$F98&amp;";",ROW($1:$99),1),";")),"",ROW($1:$99)+1),COLUMN(L98)),SMALL(IF(ISERROR(SEARCH(MID(";"&amp;'CASE DATA'!$F98&amp;";",ROW($1:$99),1),";")),"",ROW($1:$99)),COLUMN(L97)+1)-SMALL(IF(ISERROR(SEARCH(MID(";"&amp;'CASE DATA'!$F98&amp;";",ROW($1:$99),1),";")),"",ROW($1:$99)),COLUMN(L97))-1)</f>
        <v/>
      </c>
      <c r="AI98" s="75" t="str" cm="1">
        <f t="array" ref="AI98">MID(";"&amp;'CASE DATA'!$F98&amp;";",SMALL(IF(ISERROR(SEARCH(MID(";"&amp;'CASE DATA'!$F98&amp;";",ROW($1:$99),1),";")),"",ROW($1:$99)+1),COLUMN(M98)),SMALL(IF(ISERROR(SEARCH(MID(";"&amp;'CASE DATA'!$F98&amp;";",ROW($1:$99),1),";")),"",ROW($1:$99)),COLUMN(M97)+1)-SMALL(IF(ISERROR(SEARCH(MID(";"&amp;'CASE DATA'!$F98&amp;";",ROW($1:$99),1),";")),"",ROW($1:$99)),COLUMN(M97))-1)</f>
        <v/>
      </c>
      <c r="BO98" s="99"/>
      <c r="BP98" s="99"/>
      <c r="BQ98" s="99"/>
      <c r="BR98" s="99"/>
      <c r="BS98" s="99"/>
      <c r="BT98" s="99"/>
      <c r="BU98" s="99"/>
      <c r="BV98" s="99"/>
      <c r="BW98" s="99"/>
      <c r="BX98" s="99"/>
      <c r="BY98" s="99"/>
      <c r="BZ98" s="99"/>
      <c r="CA98" s="99"/>
      <c r="CB98" s="99"/>
      <c r="CC98" s="99"/>
      <c r="CD98" s="99"/>
      <c r="CE98" s="99"/>
      <c r="CF98" s="99"/>
      <c r="CG98" s="99"/>
      <c r="CH98" s="99"/>
      <c r="CI98" s="99"/>
      <c r="CJ98" s="99"/>
      <c r="CK98" s="99"/>
      <c r="CL98" s="99"/>
      <c r="CM98" s="99"/>
      <c r="CN98" s="99"/>
      <c r="CO98" s="99"/>
      <c r="CP98" s="99"/>
      <c r="CQ98" s="99"/>
      <c r="CR98" s="99"/>
      <c r="CS98" s="99"/>
      <c r="CT98" s="99"/>
      <c r="CU98" s="99"/>
      <c r="CV98" s="99"/>
      <c r="CW98" s="99"/>
      <c r="CX98" s="99"/>
      <c r="CY98" s="99"/>
      <c r="CZ98" s="99"/>
      <c r="DA98" s="99"/>
      <c r="DB98" s="99"/>
      <c r="DC98" s="99"/>
      <c r="DD98" s="99"/>
      <c r="DE98" s="99"/>
      <c r="DF98" s="99"/>
      <c r="DG98" s="99"/>
      <c r="DH98" s="99"/>
      <c r="DI98" s="99"/>
      <c r="DJ98" s="99"/>
      <c r="DK98" s="99"/>
      <c r="DL98" s="99"/>
      <c r="DM98" s="99"/>
      <c r="DN98" s="99"/>
      <c r="DO98" s="99"/>
      <c r="DP98" s="99"/>
      <c r="DQ98" s="99"/>
      <c r="DR98" s="99"/>
      <c r="DS98" s="99"/>
      <c r="DT98" s="99"/>
      <c r="DU98" s="99"/>
      <c r="DV98" s="99"/>
      <c r="DW98" s="99"/>
      <c r="DX98" s="99"/>
      <c r="DY98" s="99"/>
      <c r="DZ98" s="99"/>
      <c r="EA98" s="99"/>
      <c r="EB98" s="99"/>
      <c r="EC98" s="99"/>
      <c r="ED98" s="99"/>
      <c r="EE98" s="99"/>
      <c r="EF98" s="99"/>
      <c r="EG98" s="99"/>
      <c r="EH98" s="99"/>
      <c r="EI98" s="99"/>
      <c r="EJ98" s="99"/>
      <c r="EK98" s="99"/>
      <c r="EL98" s="99"/>
      <c r="EM98" s="99"/>
      <c r="EN98" s="99"/>
      <c r="EO98" s="99"/>
      <c r="EP98" s="99"/>
      <c r="EQ98" s="99"/>
      <c r="ER98" s="99"/>
      <c r="ES98" s="99"/>
      <c r="ET98" s="99"/>
      <c r="EU98" s="99"/>
      <c r="EV98" s="99"/>
      <c r="EW98" s="99"/>
      <c r="EX98" s="99"/>
      <c r="EY98" s="99"/>
      <c r="EZ98" s="99"/>
      <c r="FA98" s="99"/>
      <c r="FB98" s="99"/>
      <c r="FC98" s="99"/>
      <c r="FD98" s="99"/>
      <c r="FE98" s="99"/>
      <c r="FF98" s="99"/>
      <c r="FG98" s="99"/>
      <c r="FH98" s="99"/>
      <c r="FI98" s="99"/>
      <c r="FJ98" s="99"/>
      <c r="FK98" s="99"/>
    </row>
    <row r="99" spans="1:167" s="70" customFormat="1" x14ac:dyDescent="0.25">
      <c r="A99" s="11"/>
      <c r="B99"/>
      <c r="C99" s="10"/>
      <c r="D99" s="10"/>
      <c r="E99" s="11"/>
      <c r="F99" s="15"/>
      <c r="G99"/>
      <c r="H99" s="99"/>
      <c r="I99" s="99"/>
      <c r="J99" s="99">
        <v>96</v>
      </c>
      <c r="K99" s="16"/>
      <c r="L99" s="16"/>
      <c r="M99" s="16"/>
      <c r="N99" s="16"/>
      <c r="O99" s="16"/>
      <c r="P99" s="16"/>
      <c r="Q99" s="16"/>
      <c r="R99" s="16"/>
      <c r="S99" s="16"/>
      <c r="T99" s="16"/>
      <c r="U99" s="73">
        <f>SUM(K99:T99)</f>
        <v>0</v>
      </c>
      <c r="V99" s="73"/>
      <c r="W99"/>
      <c r="X99" s="75" t="str" cm="1">
        <f t="array" ref="X99">MID(";"&amp;'CASE DATA'!$F99&amp;";",SMALL(IF(ISERROR(SEARCH(MID(";"&amp;'CASE DATA'!$F99&amp;";",ROW($1:$99),1),";")),"",ROW($1:$99)+1),COLUMN(A99)),SMALL(IF(ISERROR(SEARCH(MID(";"&amp;'CASE DATA'!$F99&amp;";",ROW($1:$99),1),";")),"",ROW($1:$99)),COLUMN(A98)+1)-SMALL(IF(ISERROR(SEARCH(MID(";"&amp;'CASE DATA'!$F99&amp;";",ROW($1:$99),1),";")),"",ROW($1:$99)),COLUMN(A98))-1)</f>
        <v/>
      </c>
      <c r="Y99" s="75" t="str" cm="1">
        <f t="array" ref="Y99">MID(";"&amp;'CASE DATA'!$F99&amp;";",SMALL(IF(ISERROR(SEARCH(MID(";"&amp;'CASE DATA'!$F99&amp;";",ROW($1:$99),1),";")),"",ROW($1:$99)+1),COLUMN(B99)),SMALL(IF(ISERROR(SEARCH(MID(";"&amp;'CASE DATA'!$F99&amp;";",ROW($1:$99),1),";")),"",ROW($1:$99)),COLUMN(B98)+1)-SMALL(IF(ISERROR(SEARCH(MID(";"&amp;'CASE DATA'!$F99&amp;";",ROW($1:$99),1),";")),"",ROW($1:$99)),COLUMN(B98))-1)</f>
        <v/>
      </c>
      <c r="Z99" s="75" t="str" cm="1">
        <f t="array" ref="Z99">MID(";"&amp;'CASE DATA'!$F99&amp;";",SMALL(IF(ISERROR(SEARCH(MID(";"&amp;'CASE DATA'!$F99&amp;";",ROW($1:$99),1),";")),"",ROW($1:$99)+1),COLUMN(C99)),SMALL(IF(ISERROR(SEARCH(MID(";"&amp;'CASE DATA'!$F99&amp;";",ROW($1:$99),1),";")),"",ROW($1:$99)),COLUMN(C98)+1)-SMALL(IF(ISERROR(SEARCH(MID(";"&amp;'CASE DATA'!$F99&amp;";",ROW($1:$99),1),";")),"",ROW($1:$99)),COLUMN(C98))-1)</f>
        <v/>
      </c>
      <c r="AA99" s="75" t="str" cm="1">
        <f t="array" ref="AA99">MID(";"&amp;'CASE DATA'!$F99&amp;";",SMALL(IF(ISERROR(SEARCH(MID(";"&amp;'CASE DATA'!$F99&amp;";",ROW($1:$99),1),";")),"",ROW($1:$99)+1),COLUMN(D99)),SMALL(IF(ISERROR(SEARCH(MID(";"&amp;'CASE DATA'!$F99&amp;";",ROW($1:$99),1),";")),"",ROW($1:$99)),COLUMN(D98)+1)-SMALL(IF(ISERROR(SEARCH(MID(";"&amp;'CASE DATA'!$F99&amp;";",ROW($1:$99),1),";")),"",ROW($1:$99)),COLUMN(D98))-1)</f>
        <v/>
      </c>
      <c r="AB99" s="75" t="str" cm="1">
        <f t="array" ref="AB99">MID(";"&amp;'CASE DATA'!$F99&amp;";",SMALL(IF(ISERROR(SEARCH(MID(";"&amp;'CASE DATA'!$F99&amp;";",ROW($1:$99),1),";")),"",ROW($1:$99)+1),COLUMN(E99)),SMALL(IF(ISERROR(SEARCH(MID(";"&amp;'CASE DATA'!$F99&amp;";",ROW($1:$99),1),";")),"",ROW($1:$99)),COLUMN(E98)+1)-SMALL(IF(ISERROR(SEARCH(MID(";"&amp;'CASE DATA'!$F99&amp;";",ROW($1:$99),1),";")),"",ROW($1:$99)),COLUMN(E98))-1)</f>
        <v/>
      </c>
      <c r="AC99" s="75" t="str" cm="1">
        <f t="array" ref="AC99">MID(";"&amp;'CASE DATA'!$F99&amp;";",SMALL(IF(ISERROR(SEARCH(MID(";"&amp;'CASE DATA'!$F99&amp;";",ROW($1:$99),1),";")),"",ROW($1:$99)+1),COLUMN(F99)),SMALL(IF(ISERROR(SEARCH(MID(";"&amp;'CASE DATA'!$F99&amp;";",ROW($1:$99),1),";")),"",ROW($1:$99)),COLUMN(F98)+1)-SMALL(IF(ISERROR(SEARCH(MID(";"&amp;'CASE DATA'!$F99&amp;";",ROW($1:$99),1),";")),"",ROW($1:$99)),COLUMN(F98))-1)</f>
        <v/>
      </c>
      <c r="AD99" s="75" t="str" cm="1">
        <f t="array" ref="AD99">MID(";"&amp;'CASE DATA'!$F99&amp;";",SMALL(IF(ISERROR(SEARCH(MID(";"&amp;'CASE DATA'!$F99&amp;";",ROW($1:$99),1),";")),"",ROW($1:$99)+1),COLUMN(G99)),SMALL(IF(ISERROR(SEARCH(MID(";"&amp;'CASE DATA'!$F99&amp;";",ROW($1:$99),1),";")),"",ROW($1:$99)),COLUMN(G98)+1)-SMALL(IF(ISERROR(SEARCH(MID(";"&amp;'CASE DATA'!$F99&amp;";",ROW($1:$99),1),";")),"",ROW($1:$99)),COLUMN(G98))-1)</f>
        <v/>
      </c>
      <c r="AE99" s="75" t="str" cm="1">
        <f t="array" ref="AE99">MID(";"&amp;'CASE DATA'!$F99&amp;";",SMALL(IF(ISERROR(SEARCH(MID(";"&amp;'CASE DATA'!$F99&amp;";",ROW($1:$99),1),";")),"",ROW($1:$99)+1),COLUMN(H99)),SMALL(IF(ISERROR(SEARCH(MID(";"&amp;'CASE DATA'!$F99&amp;";",ROW($1:$99),1),";")),"",ROW($1:$99)),COLUMN(H98)+1)-SMALL(IF(ISERROR(SEARCH(MID(";"&amp;'CASE DATA'!$F99&amp;";",ROW($1:$99),1),";")),"",ROW($1:$99)),COLUMN(H98))-1)</f>
        <v/>
      </c>
      <c r="AF99" s="75" t="str" cm="1">
        <f t="array" ref="AF99">MID(";"&amp;'CASE DATA'!$F99&amp;";",SMALL(IF(ISERROR(SEARCH(MID(";"&amp;'CASE DATA'!$F99&amp;";",ROW($1:$99),1),";")),"",ROW($1:$99)+1),COLUMN(I99)),SMALL(IF(ISERROR(SEARCH(MID(";"&amp;'CASE DATA'!$F99&amp;";",ROW($1:$99),1),";")),"",ROW($1:$99)),COLUMN(I98)+1)-SMALL(IF(ISERROR(SEARCH(MID(";"&amp;'CASE DATA'!$F99&amp;";",ROW($1:$99),1),";")),"",ROW($1:$99)),COLUMN(I98))-1)</f>
        <v/>
      </c>
      <c r="AG99" s="75" t="str" cm="1">
        <f t="array" ref="AG99">MID(";"&amp;'CASE DATA'!$F99&amp;";",SMALL(IF(ISERROR(SEARCH(MID(";"&amp;'CASE DATA'!$F99&amp;";",ROW($1:$99),1),";")),"",ROW($1:$99)+1),COLUMN(K99)),SMALL(IF(ISERROR(SEARCH(MID(";"&amp;'CASE DATA'!$F99&amp;";",ROW($1:$99),1),";")),"",ROW($1:$99)),COLUMN(K98)+1)-SMALL(IF(ISERROR(SEARCH(MID(";"&amp;'CASE DATA'!$F99&amp;";",ROW($1:$99),1),";")),"",ROW($1:$99)),COLUMN(K98))-1)</f>
        <v/>
      </c>
      <c r="AH99" s="75" t="str" cm="1">
        <f t="array" ref="AH99">MID(";"&amp;'CASE DATA'!$F99&amp;";",SMALL(IF(ISERROR(SEARCH(MID(";"&amp;'CASE DATA'!$F99&amp;";",ROW($1:$99),1),";")),"",ROW($1:$99)+1),COLUMN(L99)),SMALL(IF(ISERROR(SEARCH(MID(";"&amp;'CASE DATA'!$F99&amp;";",ROW($1:$99),1),";")),"",ROW($1:$99)),COLUMN(L98)+1)-SMALL(IF(ISERROR(SEARCH(MID(";"&amp;'CASE DATA'!$F99&amp;";",ROW($1:$99),1),";")),"",ROW($1:$99)),COLUMN(L98))-1)</f>
        <v/>
      </c>
      <c r="AI99" s="75" t="str" cm="1">
        <f t="array" ref="AI99">MID(";"&amp;'CASE DATA'!$F99&amp;";",SMALL(IF(ISERROR(SEARCH(MID(";"&amp;'CASE DATA'!$F99&amp;";",ROW($1:$99),1),";")),"",ROW($1:$99)+1),COLUMN(M99)),SMALL(IF(ISERROR(SEARCH(MID(";"&amp;'CASE DATA'!$F99&amp;";",ROW($1:$99),1),";")),"",ROW($1:$99)),COLUMN(M98)+1)-SMALL(IF(ISERROR(SEARCH(MID(";"&amp;'CASE DATA'!$F99&amp;";",ROW($1:$99),1),";")),"",ROW($1:$99)),COLUMN(M98))-1)</f>
        <v/>
      </c>
      <c r="AJ99"/>
      <c r="AK99"/>
      <c r="AL99"/>
      <c r="AM99"/>
      <c r="AN99"/>
      <c r="AO99"/>
      <c r="AP99"/>
      <c r="AQ99"/>
      <c r="AR99"/>
      <c r="AS99"/>
      <c r="AT99"/>
      <c r="AU99"/>
      <c r="AV99"/>
      <c r="AW99"/>
      <c r="AX99"/>
      <c r="AY99"/>
      <c r="AZ99"/>
      <c r="BA99"/>
      <c r="BB99"/>
      <c r="BC99"/>
      <c r="BD99"/>
      <c r="BE99"/>
      <c r="BF99"/>
      <c r="BG99"/>
      <c r="BH99"/>
      <c r="BI99"/>
      <c r="BJ99"/>
      <c r="BK99"/>
      <c r="BL99"/>
      <c r="BM99"/>
      <c r="BN99"/>
      <c r="BO99" s="99"/>
      <c r="BP99" s="99"/>
      <c r="BQ99" s="99"/>
      <c r="BR99" s="99"/>
      <c r="BS99" s="99"/>
      <c r="BT99" s="99"/>
      <c r="BU99" s="99"/>
      <c r="BV99" s="99"/>
      <c r="BW99" s="99"/>
      <c r="BX99" s="99"/>
      <c r="BY99" s="99"/>
      <c r="BZ99" s="99"/>
      <c r="CA99" s="99"/>
      <c r="CB99" s="99"/>
      <c r="CC99" s="99"/>
      <c r="CD99" s="99"/>
      <c r="CE99" s="99"/>
      <c r="CF99" s="99"/>
      <c r="CG99" s="99"/>
      <c r="CH99" s="99"/>
      <c r="CI99" s="99"/>
      <c r="CJ99" s="99"/>
      <c r="CK99" s="99"/>
      <c r="CL99" s="99"/>
      <c r="CM99" s="99"/>
      <c r="CN99" s="99"/>
      <c r="CO99" s="99"/>
      <c r="CP99" s="99"/>
      <c r="CQ99" s="99"/>
      <c r="CR99" s="99"/>
      <c r="CS99" s="99"/>
      <c r="CT99" s="99"/>
      <c r="CU99" s="99"/>
      <c r="CV99" s="99"/>
      <c r="CW99" s="99"/>
      <c r="CX99" s="99"/>
      <c r="CY99" s="99"/>
      <c r="CZ99" s="99"/>
      <c r="DA99" s="99"/>
      <c r="DB99" s="99"/>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99"/>
      <c r="EE99" s="99"/>
      <c r="EF99" s="99"/>
      <c r="EG99" s="99"/>
      <c r="EH99" s="99"/>
      <c r="EI99" s="99"/>
      <c r="EJ99" s="99"/>
      <c r="EK99" s="99"/>
      <c r="EL99" s="99"/>
      <c r="EM99" s="99"/>
      <c r="EN99" s="99"/>
      <c r="EO99" s="99"/>
      <c r="EP99" s="99"/>
      <c r="EQ99" s="99"/>
      <c r="ER99" s="99"/>
      <c r="ES99" s="99"/>
      <c r="ET99" s="99"/>
      <c r="EU99" s="99"/>
      <c r="EV99" s="99"/>
      <c r="EW99" s="99"/>
      <c r="EX99" s="99"/>
      <c r="EY99" s="99"/>
      <c r="EZ99" s="99"/>
      <c r="FA99" s="99"/>
      <c r="FB99" s="99"/>
      <c r="FC99" s="99"/>
      <c r="FD99" s="99"/>
      <c r="FE99" s="99"/>
      <c r="FF99" s="99"/>
      <c r="FG99" s="99"/>
      <c r="FH99" s="99"/>
      <c r="FI99" s="99"/>
      <c r="FJ99" s="99"/>
      <c r="FK99" s="99"/>
    </row>
    <row r="100" spans="1:167" x14ac:dyDescent="0.25">
      <c r="A100" s="11"/>
      <c r="C100" s="10"/>
      <c r="D100" s="10"/>
      <c r="E100" s="11"/>
      <c r="F100" s="15"/>
      <c r="J100" s="99">
        <v>97</v>
      </c>
      <c r="K100" s="16"/>
      <c r="L100" s="16"/>
      <c r="M100" s="16"/>
      <c r="N100" s="16"/>
      <c r="O100" s="16"/>
      <c r="P100" s="16"/>
      <c r="Q100" s="16"/>
      <c r="R100" s="16"/>
      <c r="S100" s="16"/>
      <c r="T100" s="16"/>
      <c r="U100" s="73">
        <f>SUM(K100:T100)</f>
        <v>0</v>
      </c>
      <c r="V100" s="73"/>
      <c r="X100" s="75" t="str" cm="1">
        <f t="array" ref="X100">MID(";"&amp;'CASE DATA'!$F100&amp;";",SMALL(IF(ISERROR(SEARCH(MID(";"&amp;'CASE DATA'!$F100&amp;";",ROW($1:$99),1),";")),"",ROW($1:$99)+1),COLUMN(A100)),SMALL(IF(ISERROR(SEARCH(MID(";"&amp;'CASE DATA'!$F100&amp;";",ROW($1:$99),1),";")),"",ROW($1:$99)),COLUMN(A99)+1)-SMALL(IF(ISERROR(SEARCH(MID(";"&amp;'CASE DATA'!$F100&amp;";",ROW($1:$99),1),";")),"",ROW($1:$99)),COLUMN(A99))-1)</f>
        <v/>
      </c>
      <c r="Y100" s="75" t="str" cm="1">
        <f t="array" ref="Y100">MID(";"&amp;'CASE DATA'!$F100&amp;";",SMALL(IF(ISERROR(SEARCH(MID(";"&amp;'CASE DATA'!$F100&amp;";",ROW($1:$99),1),";")),"",ROW($1:$99)+1),COLUMN(B100)),SMALL(IF(ISERROR(SEARCH(MID(";"&amp;'CASE DATA'!$F100&amp;";",ROW($1:$99),1),";")),"",ROW($1:$99)),COLUMN(B99)+1)-SMALL(IF(ISERROR(SEARCH(MID(";"&amp;'CASE DATA'!$F100&amp;";",ROW($1:$99),1),";")),"",ROW($1:$99)),COLUMN(B99))-1)</f>
        <v/>
      </c>
      <c r="Z100" s="75" t="str" cm="1">
        <f t="array" ref="Z100">MID(";"&amp;'CASE DATA'!$F100&amp;";",SMALL(IF(ISERROR(SEARCH(MID(";"&amp;'CASE DATA'!$F100&amp;";",ROW($1:$99),1),";")),"",ROW($1:$99)+1),COLUMN(C100)),SMALL(IF(ISERROR(SEARCH(MID(";"&amp;'CASE DATA'!$F100&amp;";",ROW($1:$99),1),";")),"",ROW($1:$99)),COLUMN(C99)+1)-SMALL(IF(ISERROR(SEARCH(MID(";"&amp;'CASE DATA'!$F100&amp;";",ROW($1:$99),1),";")),"",ROW($1:$99)),COLUMN(C99))-1)</f>
        <v/>
      </c>
      <c r="AA100" s="75" t="str" cm="1">
        <f t="array" ref="AA100">MID(";"&amp;'CASE DATA'!$F100&amp;";",SMALL(IF(ISERROR(SEARCH(MID(";"&amp;'CASE DATA'!$F100&amp;";",ROW($1:$99),1),";")),"",ROW($1:$99)+1),COLUMN(D100)),SMALL(IF(ISERROR(SEARCH(MID(";"&amp;'CASE DATA'!$F100&amp;";",ROW($1:$99),1),";")),"",ROW($1:$99)),COLUMN(D99)+1)-SMALL(IF(ISERROR(SEARCH(MID(";"&amp;'CASE DATA'!$F100&amp;";",ROW($1:$99),1),";")),"",ROW($1:$99)),COLUMN(D99))-1)</f>
        <v/>
      </c>
      <c r="AB100" s="75" t="str" cm="1">
        <f t="array" ref="AB100">MID(";"&amp;'CASE DATA'!$F100&amp;";",SMALL(IF(ISERROR(SEARCH(MID(";"&amp;'CASE DATA'!$F100&amp;";",ROW($1:$99),1),";")),"",ROW($1:$99)+1),COLUMN(E100)),SMALL(IF(ISERROR(SEARCH(MID(";"&amp;'CASE DATA'!$F100&amp;";",ROW($1:$99),1),";")),"",ROW($1:$99)),COLUMN(E99)+1)-SMALL(IF(ISERROR(SEARCH(MID(";"&amp;'CASE DATA'!$F100&amp;";",ROW($1:$99),1),";")),"",ROW($1:$99)),COLUMN(E99))-1)</f>
        <v/>
      </c>
      <c r="AC100" s="75" t="str" cm="1">
        <f t="array" ref="AC100">MID(";"&amp;'CASE DATA'!$F100&amp;";",SMALL(IF(ISERROR(SEARCH(MID(";"&amp;'CASE DATA'!$F100&amp;";",ROW($1:$99),1),";")),"",ROW($1:$99)+1),COLUMN(F100)),SMALL(IF(ISERROR(SEARCH(MID(";"&amp;'CASE DATA'!$F100&amp;";",ROW($1:$99),1),";")),"",ROW($1:$99)),COLUMN(F99)+1)-SMALL(IF(ISERROR(SEARCH(MID(";"&amp;'CASE DATA'!$F100&amp;";",ROW($1:$99),1),";")),"",ROW($1:$99)),COLUMN(F99))-1)</f>
        <v/>
      </c>
      <c r="AD100" s="75" t="str" cm="1">
        <f t="array" ref="AD100">MID(";"&amp;'CASE DATA'!$F100&amp;";",SMALL(IF(ISERROR(SEARCH(MID(";"&amp;'CASE DATA'!$F100&amp;";",ROW($1:$99),1),";")),"",ROW($1:$99)+1),COLUMN(G100)),SMALL(IF(ISERROR(SEARCH(MID(";"&amp;'CASE DATA'!$F100&amp;";",ROW($1:$99),1),";")),"",ROW($1:$99)),COLUMN(G99)+1)-SMALL(IF(ISERROR(SEARCH(MID(";"&amp;'CASE DATA'!$F100&amp;";",ROW($1:$99),1),";")),"",ROW($1:$99)),COLUMN(G99))-1)</f>
        <v/>
      </c>
      <c r="AE100" s="75" t="str" cm="1">
        <f t="array" ref="AE100">MID(";"&amp;'CASE DATA'!$F100&amp;";",SMALL(IF(ISERROR(SEARCH(MID(";"&amp;'CASE DATA'!$F100&amp;";",ROW($1:$99),1),";")),"",ROW($1:$99)+1),COLUMN(H100)),SMALL(IF(ISERROR(SEARCH(MID(";"&amp;'CASE DATA'!$F100&amp;";",ROW($1:$99),1),";")),"",ROW($1:$99)),COLUMN(H99)+1)-SMALL(IF(ISERROR(SEARCH(MID(";"&amp;'CASE DATA'!$F100&amp;";",ROW($1:$99),1),";")),"",ROW($1:$99)),COLUMN(H99))-1)</f>
        <v/>
      </c>
      <c r="AF100" s="75" t="str" cm="1">
        <f t="array" ref="AF100">MID(";"&amp;'CASE DATA'!$F100&amp;";",SMALL(IF(ISERROR(SEARCH(MID(";"&amp;'CASE DATA'!$F100&amp;";",ROW($1:$99),1),";")),"",ROW($1:$99)+1),COLUMN(I100)),SMALL(IF(ISERROR(SEARCH(MID(";"&amp;'CASE DATA'!$F100&amp;";",ROW($1:$99),1),";")),"",ROW($1:$99)),COLUMN(I99)+1)-SMALL(IF(ISERROR(SEARCH(MID(";"&amp;'CASE DATA'!$F100&amp;";",ROW($1:$99),1),";")),"",ROW($1:$99)),COLUMN(I99))-1)</f>
        <v/>
      </c>
      <c r="AG100" s="75" t="str" cm="1">
        <f t="array" ref="AG100">MID(";"&amp;'CASE DATA'!$F100&amp;";",SMALL(IF(ISERROR(SEARCH(MID(";"&amp;'CASE DATA'!$F100&amp;";",ROW($1:$99),1),";")),"",ROW($1:$99)+1),COLUMN(K100)),SMALL(IF(ISERROR(SEARCH(MID(";"&amp;'CASE DATA'!$F100&amp;";",ROW($1:$99),1),";")),"",ROW($1:$99)),COLUMN(K99)+1)-SMALL(IF(ISERROR(SEARCH(MID(";"&amp;'CASE DATA'!$F100&amp;";",ROW($1:$99),1),";")),"",ROW($1:$99)),COLUMN(K99))-1)</f>
        <v/>
      </c>
      <c r="AH100" s="75" t="str" cm="1">
        <f t="array" ref="AH100">MID(";"&amp;'CASE DATA'!$F100&amp;";",SMALL(IF(ISERROR(SEARCH(MID(";"&amp;'CASE DATA'!$F100&amp;";",ROW($1:$99),1),";")),"",ROW($1:$99)+1),COLUMN(L100)),SMALL(IF(ISERROR(SEARCH(MID(";"&amp;'CASE DATA'!$F100&amp;";",ROW($1:$99),1),";")),"",ROW($1:$99)),COLUMN(L99)+1)-SMALL(IF(ISERROR(SEARCH(MID(";"&amp;'CASE DATA'!$F100&amp;";",ROW($1:$99),1),";")),"",ROW($1:$99)),COLUMN(L99))-1)</f>
        <v/>
      </c>
      <c r="AI100" s="75" t="str" cm="1">
        <f t="array" ref="AI100">MID(";"&amp;'CASE DATA'!$F100&amp;";",SMALL(IF(ISERROR(SEARCH(MID(";"&amp;'CASE DATA'!$F100&amp;";",ROW($1:$99),1),";")),"",ROW($1:$99)+1),COLUMN(M100)),SMALL(IF(ISERROR(SEARCH(MID(";"&amp;'CASE DATA'!$F100&amp;";",ROW($1:$99),1),";")),"",ROW($1:$99)),COLUMN(M99)+1)-SMALL(IF(ISERROR(SEARCH(MID(";"&amp;'CASE DATA'!$F100&amp;";",ROW($1:$99),1),";")),"",ROW($1:$99)),COLUMN(M99))-1)</f>
        <v/>
      </c>
      <c r="BO100" s="99"/>
      <c r="BP100" s="99"/>
      <c r="BQ100" s="99"/>
      <c r="BR100" s="99"/>
      <c r="BS100" s="99"/>
      <c r="BT100" s="99"/>
      <c r="BU100" s="99"/>
      <c r="BV100" s="99"/>
      <c r="BW100" s="99"/>
      <c r="BX100" s="99"/>
      <c r="BY100" s="99"/>
      <c r="BZ100" s="99"/>
      <c r="CA100" s="99"/>
      <c r="CB100" s="99"/>
      <c r="CC100" s="99"/>
      <c r="CD100" s="99"/>
      <c r="CE100" s="99"/>
      <c r="CF100" s="99"/>
      <c r="CG100" s="99"/>
      <c r="CH100" s="99"/>
      <c r="CI100" s="99"/>
      <c r="CJ100" s="99"/>
      <c r="CK100" s="99"/>
      <c r="CL100" s="99"/>
      <c r="CM100" s="99"/>
      <c r="CN100" s="99"/>
      <c r="CO100" s="99"/>
      <c r="CP100" s="99"/>
      <c r="CQ100" s="99"/>
      <c r="CR100" s="99"/>
      <c r="CS100" s="99"/>
      <c r="CT100" s="99"/>
      <c r="CU100" s="99"/>
      <c r="CV100" s="99"/>
      <c r="CW100" s="99"/>
      <c r="CX100" s="99"/>
      <c r="CY100" s="99"/>
      <c r="CZ100" s="99"/>
      <c r="DA100" s="99"/>
      <c r="DB100" s="99"/>
      <c r="DC100" s="99"/>
      <c r="DD100" s="99"/>
      <c r="DE100" s="99"/>
      <c r="DF100" s="99"/>
      <c r="DG100" s="99"/>
      <c r="DH100" s="99"/>
      <c r="DI100" s="99"/>
      <c r="DJ100" s="99"/>
      <c r="DK100" s="99"/>
      <c r="DL100" s="99"/>
      <c r="DM100" s="99"/>
      <c r="DN100" s="99"/>
      <c r="DO100" s="99"/>
      <c r="DP100" s="99"/>
      <c r="DQ100" s="99"/>
      <c r="DR100" s="99"/>
      <c r="DS100" s="99"/>
      <c r="DT100" s="99"/>
      <c r="DU100" s="99"/>
      <c r="DV100" s="99"/>
      <c r="DW100" s="99"/>
      <c r="DX100" s="99"/>
      <c r="DY100" s="99"/>
      <c r="DZ100" s="99"/>
      <c r="EA100" s="99"/>
      <c r="EB100" s="99"/>
      <c r="EC100" s="99"/>
      <c r="ED100" s="99"/>
      <c r="EE100" s="99"/>
      <c r="EF100" s="99"/>
      <c r="EG100" s="99"/>
      <c r="EH100" s="99"/>
      <c r="EI100" s="99"/>
      <c r="EJ100" s="99"/>
      <c r="EK100" s="99"/>
      <c r="EL100" s="99"/>
      <c r="EM100" s="99"/>
      <c r="EN100" s="99"/>
      <c r="EO100" s="99"/>
      <c r="EP100" s="99"/>
      <c r="EQ100" s="99"/>
      <c r="ER100" s="99"/>
      <c r="ES100" s="99"/>
      <c r="ET100" s="99"/>
      <c r="EU100" s="99"/>
      <c r="EV100" s="99"/>
      <c r="EW100" s="99"/>
      <c r="EX100" s="99"/>
      <c r="EY100" s="99"/>
      <c r="EZ100" s="99"/>
      <c r="FA100" s="99"/>
      <c r="FB100" s="99"/>
      <c r="FC100" s="99"/>
      <c r="FD100" s="99"/>
      <c r="FE100" s="99"/>
      <c r="FF100" s="99"/>
      <c r="FG100" s="99"/>
      <c r="FH100" s="99"/>
      <c r="FI100" s="99"/>
      <c r="FJ100" s="99"/>
      <c r="FK100" s="99"/>
    </row>
    <row r="101" spans="1:167" x14ac:dyDescent="0.25">
      <c r="A101" s="11"/>
      <c r="C101" s="10"/>
      <c r="D101" s="10"/>
      <c r="E101" s="11"/>
      <c r="F101" s="15"/>
      <c r="J101" s="99">
        <v>98</v>
      </c>
      <c r="K101" s="16"/>
      <c r="L101" s="16"/>
      <c r="M101" s="16"/>
      <c r="N101" s="16"/>
      <c r="O101" s="16"/>
      <c r="P101" s="16"/>
      <c r="Q101" s="16"/>
      <c r="R101" s="16"/>
      <c r="S101" s="16"/>
      <c r="T101" s="16"/>
      <c r="U101" s="73">
        <f>SUM(K101:T101)</f>
        <v>0</v>
      </c>
      <c r="V101" s="73"/>
      <c r="X101" s="75" t="str" cm="1">
        <f t="array" ref="X101">MID(";"&amp;'CASE DATA'!$F101&amp;";",SMALL(IF(ISERROR(SEARCH(MID(";"&amp;'CASE DATA'!$F101&amp;";",ROW($1:$99),1),";")),"",ROW($1:$99)+1),COLUMN(A101)),SMALL(IF(ISERROR(SEARCH(MID(";"&amp;'CASE DATA'!$F101&amp;";",ROW($1:$99),1),";")),"",ROW($1:$99)),COLUMN(A100)+1)-SMALL(IF(ISERROR(SEARCH(MID(";"&amp;'CASE DATA'!$F101&amp;";",ROW($1:$99),1),";")),"",ROW($1:$99)),COLUMN(A100))-1)</f>
        <v/>
      </c>
      <c r="Y101" s="75" t="str" cm="1">
        <f t="array" ref="Y101">MID(";"&amp;'CASE DATA'!$F101&amp;";",SMALL(IF(ISERROR(SEARCH(MID(";"&amp;'CASE DATA'!$F101&amp;";",ROW($1:$99),1),";")),"",ROW($1:$99)+1),COLUMN(B101)),SMALL(IF(ISERROR(SEARCH(MID(";"&amp;'CASE DATA'!$F101&amp;";",ROW($1:$99),1),";")),"",ROW($1:$99)),COLUMN(B100)+1)-SMALL(IF(ISERROR(SEARCH(MID(";"&amp;'CASE DATA'!$F101&amp;";",ROW($1:$99),1),";")),"",ROW($1:$99)),COLUMN(B100))-1)</f>
        <v/>
      </c>
      <c r="Z101" s="75" t="str" cm="1">
        <f t="array" ref="Z101">MID(";"&amp;'CASE DATA'!$F101&amp;";",SMALL(IF(ISERROR(SEARCH(MID(";"&amp;'CASE DATA'!$F101&amp;";",ROW($1:$99),1),";")),"",ROW($1:$99)+1),COLUMN(C101)),SMALL(IF(ISERROR(SEARCH(MID(";"&amp;'CASE DATA'!$F101&amp;";",ROW($1:$99),1),";")),"",ROW($1:$99)),COLUMN(C100)+1)-SMALL(IF(ISERROR(SEARCH(MID(";"&amp;'CASE DATA'!$F101&amp;";",ROW($1:$99),1),";")),"",ROW($1:$99)),COLUMN(C100))-1)</f>
        <v/>
      </c>
      <c r="AA101" s="75" t="str" cm="1">
        <f t="array" ref="AA101">MID(";"&amp;'CASE DATA'!$F101&amp;";",SMALL(IF(ISERROR(SEARCH(MID(";"&amp;'CASE DATA'!$F101&amp;";",ROW($1:$99),1),";")),"",ROW($1:$99)+1),COLUMN(D101)),SMALL(IF(ISERROR(SEARCH(MID(";"&amp;'CASE DATA'!$F101&amp;";",ROW($1:$99),1),";")),"",ROW($1:$99)),COLUMN(D100)+1)-SMALL(IF(ISERROR(SEARCH(MID(";"&amp;'CASE DATA'!$F101&amp;";",ROW($1:$99),1),";")),"",ROW($1:$99)),COLUMN(D100))-1)</f>
        <v/>
      </c>
      <c r="AB101" s="75" t="str" cm="1">
        <f t="array" ref="AB101">MID(";"&amp;'CASE DATA'!$F101&amp;";",SMALL(IF(ISERROR(SEARCH(MID(";"&amp;'CASE DATA'!$F101&amp;";",ROW($1:$99),1),";")),"",ROW($1:$99)+1),COLUMN(E101)),SMALL(IF(ISERROR(SEARCH(MID(";"&amp;'CASE DATA'!$F101&amp;";",ROW($1:$99),1),";")),"",ROW($1:$99)),COLUMN(E100)+1)-SMALL(IF(ISERROR(SEARCH(MID(";"&amp;'CASE DATA'!$F101&amp;";",ROW($1:$99),1),";")),"",ROW($1:$99)),COLUMN(E100))-1)</f>
        <v/>
      </c>
      <c r="AC101" s="75" t="str" cm="1">
        <f t="array" ref="AC101">MID(";"&amp;'CASE DATA'!$F101&amp;";",SMALL(IF(ISERROR(SEARCH(MID(";"&amp;'CASE DATA'!$F101&amp;";",ROW($1:$99),1),";")),"",ROW($1:$99)+1),COLUMN(F101)),SMALL(IF(ISERROR(SEARCH(MID(";"&amp;'CASE DATA'!$F101&amp;";",ROW($1:$99),1),";")),"",ROW($1:$99)),COLUMN(F100)+1)-SMALL(IF(ISERROR(SEARCH(MID(";"&amp;'CASE DATA'!$F101&amp;";",ROW($1:$99),1),";")),"",ROW($1:$99)),COLUMN(F100))-1)</f>
        <v/>
      </c>
      <c r="AD101" s="75" t="str" cm="1">
        <f t="array" ref="AD101">MID(";"&amp;'CASE DATA'!$F101&amp;";",SMALL(IF(ISERROR(SEARCH(MID(";"&amp;'CASE DATA'!$F101&amp;";",ROW($1:$99),1),";")),"",ROW($1:$99)+1),COLUMN(G101)),SMALL(IF(ISERROR(SEARCH(MID(";"&amp;'CASE DATA'!$F101&amp;";",ROW($1:$99),1),";")),"",ROW($1:$99)),COLUMN(G100)+1)-SMALL(IF(ISERROR(SEARCH(MID(";"&amp;'CASE DATA'!$F101&amp;";",ROW($1:$99),1),";")),"",ROW($1:$99)),COLUMN(G100))-1)</f>
        <v/>
      </c>
      <c r="AE101" s="75" t="str" cm="1">
        <f t="array" ref="AE101">MID(";"&amp;'CASE DATA'!$F101&amp;";",SMALL(IF(ISERROR(SEARCH(MID(";"&amp;'CASE DATA'!$F101&amp;";",ROW($1:$99),1),";")),"",ROW($1:$99)+1),COLUMN(H101)),SMALL(IF(ISERROR(SEARCH(MID(";"&amp;'CASE DATA'!$F101&amp;";",ROW($1:$99),1),";")),"",ROW($1:$99)),COLUMN(H100)+1)-SMALL(IF(ISERROR(SEARCH(MID(";"&amp;'CASE DATA'!$F101&amp;";",ROW($1:$99),1),";")),"",ROW($1:$99)),COLUMN(H100))-1)</f>
        <v/>
      </c>
      <c r="AF101" s="75" t="str" cm="1">
        <f t="array" ref="AF101">MID(";"&amp;'CASE DATA'!$F101&amp;";",SMALL(IF(ISERROR(SEARCH(MID(";"&amp;'CASE DATA'!$F101&amp;";",ROW($1:$99),1),";")),"",ROW($1:$99)+1),COLUMN(I101)),SMALL(IF(ISERROR(SEARCH(MID(";"&amp;'CASE DATA'!$F101&amp;";",ROW($1:$99),1),";")),"",ROW($1:$99)),COLUMN(I100)+1)-SMALL(IF(ISERROR(SEARCH(MID(";"&amp;'CASE DATA'!$F101&amp;";",ROW($1:$99),1),";")),"",ROW($1:$99)),COLUMN(I100))-1)</f>
        <v/>
      </c>
      <c r="AG101" s="75" t="str" cm="1">
        <f t="array" ref="AG101">MID(";"&amp;'CASE DATA'!$F101&amp;";",SMALL(IF(ISERROR(SEARCH(MID(";"&amp;'CASE DATA'!$F101&amp;";",ROW($1:$99),1),";")),"",ROW($1:$99)+1),COLUMN(K101)),SMALL(IF(ISERROR(SEARCH(MID(";"&amp;'CASE DATA'!$F101&amp;";",ROW($1:$99),1),";")),"",ROW($1:$99)),COLUMN(K100)+1)-SMALL(IF(ISERROR(SEARCH(MID(";"&amp;'CASE DATA'!$F101&amp;";",ROW($1:$99),1),";")),"",ROW($1:$99)),COLUMN(K100))-1)</f>
        <v/>
      </c>
      <c r="AH101" s="75" t="str" cm="1">
        <f t="array" ref="AH101">MID(";"&amp;'CASE DATA'!$F101&amp;";",SMALL(IF(ISERROR(SEARCH(MID(";"&amp;'CASE DATA'!$F101&amp;";",ROW($1:$99),1),";")),"",ROW($1:$99)+1),COLUMN(L101)),SMALL(IF(ISERROR(SEARCH(MID(";"&amp;'CASE DATA'!$F101&amp;";",ROW($1:$99),1),";")),"",ROW($1:$99)),COLUMN(L100)+1)-SMALL(IF(ISERROR(SEARCH(MID(";"&amp;'CASE DATA'!$F101&amp;";",ROW($1:$99),1),";")),"",ROW($1:$99)),COLUMN(L100))-1)</f>
        <v/>
      </c>
      <c r="AI101" s="75" t="str" cm="1">
        <f t="array" ref="AI101">MID(";"&amp;'CASE DATA'!$F101&amp;";",SMALL(IF(ISERROR(SEARCH(MID(";"&amp;'CASE DATA'!$F101&amp;";",ROW($1:$99),1),";")),"",ROW($1:$99)+1),COLUMN(M101)),SMALL(IF(ISERROR(SEARCH(MID(";"&amp;'CASE DATA'!$F101&amp;";",ROW($1:$99),1),";")),"",ROW($1:$99)),COLUMN(M100)+1)-SMALL(IF(ISERROR(SEARCH(MID(";"&amp;'CASE DATA'!$F101&amp;";",ROW($1:$99),1),";")),"",ROW($1:$99)),COLUMN(M100))-1)</f>
        <v/>
      </c>
      <c r="BO101" s="99"/>
      <c r="BP101" s="99"/>
      <c r="BQ101" s="99"/>
      <c r="BR101" s="99"/>
      <c r="BS101" s="99"/>
      <c r="BT101" s="99"/>
      <c r="BU101" s="99"/>
      <c r="BV101" s="99"/>
      <c r="BW101" s="99"/>
      <c r="BX101" s="99"/>
      <c r="BY101" s="99"/>
      <c r="BZ101" s="99"/>
      <c r="CA101" s="99"/>
      <c r="CB101" s="99"/>
      <c r="CC101" s="99"/>
      <c r="CD101" s="99"/>
      <c r="CE101" s="99"/>
      <c r="CF101" s="99"/>
      <c r="CG101" s="99"/>
      <c r="CH101" s="99"/>
      <c r="CI101" s="99"/>
      <c r="CJ101" s="99"/>
      <c r="CK101" s="99"/>
      <c r="CL101" s="99"/>
      <c r="CM101" s="99"/>
      <c r="CN101" s="99"/>
      <c r="CO101" s="99"/>
      <c r="CP101" s="99"/>
      <c r="CQ101" s="99"/>
      <c r="CR101" s="99"/>
      <c r="CS101" s="99"/>
      <c r="CT101" s="99"/>
      <c r="CU101" s="99"/>
      <c r="CV101" s="99"/>
      <c r="CW101" s="99"/>
      <c r="CX101" s="99"/>
      <c r="CY101" s="99"/>
      <c r="CZ101" s="99"/>
      <c r="DA101" s="99"/>
      <c r="DB101" s="99"/>
      <c r="DC101" s="99"/>
      <c r="DD101" s="99"/>
      <c r="DE101" s="99"/>
      <c r="DF101" s="99"/>
      <c r="DG101" s="99"/>
      <c r="DH101" s="99"/>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99"/>
      <c r="EE101" s="99"/>
      <c r="EF101" s="99"/>
      <c r="EG101" s="99"/>
      <c r="EH101" s="99"/>
      <c r="EI101" s="99"/>
      <c r="EJ101" s="99"/>
      <c r="EK101" s="99"/>
      <c r="EL101" s="99"/>
      <c r="EM101" s="99"/>
      <c r="EN101" s="99"/>
      <c r="EO101" s="99"/>
      <c r="EP101" s="99"/>
      <c r="EQ101" s="99"/>
      <c r="ER101" s="99"/>
      <c r="ES101" s="99"/>
      <c r="ET101" s="99"/>
      <c r="EU101" s="99"/>
      <c r="EV101" s="99"/>
      <c r="EW101" s="99"/>
      <c r="EX101" s="99"/>
      <c r="EY101" s="99"/>
      <c r="EZ101" s="99"/>
      <c r="FA101" s="99"/>
      <c r="FB101" s="99"/>
      <c r="FC101" s="99"/>
      <c r="FD101" s="99"/>
      <c r="FE101" s="99"/>
      <c r="FF101" s="99"/>
      <c r="FG101" s="99"/>
      <c r="FH101" s="99"/>
      <c r="FI101" s="99"/>
      <c r="FJ101" s="99"/>
      <c r="FK101" s="99"/>
    </row>
    <row r="102" spans="1:167" s="69" customFormat="1" x14ac:dyDescent="0.25">
      <c r="A102"/>
      <c r="B102"/>
      <c r="C102" s="10"/>
      <c r="D102" s="10"/>
      <c r="E102" s="11"/>
      <c r="F102" s="15"/>
      <c r="G102"/>
      <c r="H102" s="99"/>
      <c r="I102" s="99"/>
      <c r="J102" s="99">
        <v>99</v>
      </c>
      <c r="K102" s="16"/>
      <c r="L102" s="16"/>
      <c r="M102" s="16"/>
      <c r="N102" s="16"/>
      <c r="O102" s="16"/>
      <c r="P102" s="16"/>
      <c r="Q102" s="16"/>
      <c r="R102" s="16"/>
      <c r="S102" s="16"/>
      <c r="T102" s="16"/>
      <c r="U102" s="73">
        <f>SUM(K102:T102)</f>
        <v>0</v>
      </c>
      <c r="V102" s="73"/>
      <c r="W102"/>
      <c r="X102" s="75" t="str" cm="1">
        <f t="array" ref="X102">MID(";"&amp;'CASE DATA'!$F102&amp;";",SMALL(IF(ISERROR(SEARCH(MID(";"&amp;'CASE DATA'!$F102&amp;";",ROW($1:$99),1),";")),"",ROW($1:$99)+1),COLUMN(A102)),SMALL(IF(ISERROR(SEARCH(MID(";"&amp;'CASE DATA'!$F102&amp;";",ROW($1:$99),1),";")),"",ROW($1:$99)),COLUMN(A101)+1)-SMALL(IF(ISERROR(SEARCH(MID(";"&amp;'CASE DATA'!$F102&amp;";",ROW($1:$99),1),";")),"",ROW($1:$99)),COLUMN(A101))-1)</f>
        <v/>
      </c>
      <c r="Y102" s="75" t="str" cm="1">
        <f t="array" ref="Y102">MID(";"&amp;'CASE DATA'!$F102&amp;";",SMALL(IF(ISERROR(SEARCH(MID(";"&amp;'CASE DATA'!$F102&amp;";",ROW($1:$99),1),";")),"",ROW($1:$99)+1),COLUMN(B102)),SMALL(IF(ISERROR(SEARCH(MID(";"&amp;'CASE DATA'!$F102&amp;";",ROW($1:$99),1),";")),"",ROW($1:$99)),COLUMN(B101)+1)-SMALL(IF(ISERROR(SEARCH(MID(";"&amp;'CASE DATA'!$F102&amp;";",ROW($1:$99),1),";")),"",ROW($1:$99)),COLUMN(B101))-1)</f>
        <v/>
      </c>
      <c r="Z102" s="75" t="str" cm="1">
        <f t="array" ref="Z102">MID(";"&amp;'CASE DATA'!$F102&amp;";",SMALL(IF(ISERROR(SEARCH(MID(";"&amp;'CASE DATA'!$F102&amp;";",ROW($1:$99),1),";")),"",ROW($1:$99)+1),COLUMN(C102)),SMALL(IF(ISERROR(SEARCH(MID(";"&amp;'CASE DATA'!$F102&amp;";",ROW($1:$99),1),";")),"",ROW($1:$99)),COLUMN(C101)+1)-SMALL(IF(ISERROR(SEARCH(MID(";"&amp;'CASE DATA'!$F102&amp;";",ROW($1:$99),1),";")),"",ROW($1:$99)),COLUMN(C101))-1)</f>
        <v/>
      </c>
      <c r="AA102" s="75" t="str" cm="1">
        <f t="array" ref="AA102">MID(";"&amp;'CASE DATA'!$F102&amp;";",SMALL(IF(ISERROR(SEARCH(MID(";"&amp;'CASE DATA'!$F102&amp;";",ROW($1:$99),1),";")),"",ROW($1:$99)+1),COLUMN(D102)),SMALL(IF(ISERROR(SEARCH(MID(";"&amp;'CASE DATA'!$F102&amp;";",ROW($1:$99),1),";")),"",ROW($1:$99)),COLUMN(D101)+1)-SMALL(IF(ISERROR(SEARCH(MID(";"&amp;'CASE DATA'!$F102&amp;";",ROW($1:$99),1),";")),"",ROW($1:$99)),COLUMN(D101))-1)</f>
        <v/>
      </c>
      <c r="AB102" s="75" t="str" cm="1">
        <f t="array" ref="AB102">MID(";"&amp;'CASE DATA'!$F102&amp;";",SMALL(IF(ISERROR(SEARCH(MID(";"&amp;'CASE DATA'!$F102&amp;";",ROW($1:$99),1),";")),"",ROW($1:$99)+1),COLUMN(E102)),SMALL(IF(ISERROR(SEARCH(MID(";"&amp;'CASE DATA'!$F102&amp;";",ROW($1:$99),1),";")),"",ROW($1:$99)),COLUMN(E101)+1)-SMALL(IF(ISERROR(SEARCH(MID(";"&amp;'CASE DATA'!$F102&amp;";",ROW($1:$99),1),";")),"",ROW($1:$99)),COLUMN(E101))-1)</f>
        <v/>
      </c>
      <c r="AC102" s="75" t="str" cm="1">
        <f t="array" ref="AC102">MID(";"&amp;'CASE DATA'!$F102&amp;";",SMALL(IF(ISERROR(SEARCH(MID(";"&amp;'CASE DATA'!$F102&amp;";",ROW($1:$99),1),";")),"",ROW($1:$99)+1),COLUMN(F102)),SMALL(IF(ISERROR(SEARCH(MID(";"&amp;'CASE DATA'!$F102&amp;";",ROW($1:$99),1),";")),"",ROW($1:$99)),COLUMN(F101)+1)-SMALL(IF(ISERROR(SEARCH(MID(";"&amp;'CASE DATA'!$F102&amp;";",ROW($1:$99),1),";")),"",ROW($1:$99)),COLUMN(F101))-1)</f>
        <v/>
      </c>
      <c r="AD102" s="75" t="str" cm="1">
        <f t="array" ref="AD102">MID(";"&amp;'CASE DATA'!$F102&amp;";",SMALL(IF(ISERROR(SEARCH(MID(";"&amp;'CASE DATA'!$F102&amp;";",ROW($1:$99),1),";")),"",ROW($1:$99)+1),COLUMN(G102)),SMALL(IF(ISERROR(SEARCH(MID(";"&amp;'CASE DATA'!$F102&amp;";",ROW($1:$99),1),";")),"",ROW($1:$99)),COLUMN(G101)+1)-SMALL(IF(ISERROR(SEARCH(MID(";"&amp;'CASE DATA'!$F102&amp;";",ROW($1:$99),1),";")),"",ROW($1:$99)),COLUMN(G101))-1)</f>
        <v/>
      </c>
      <c r="AE102" s="75" t="str" cm="1">
        <f t="array" ref="AE102">MID(";"&amp;'CASE DATA'!$F102&amp;";",SMALL(IF(ISERROR(SEARCH(MID(";"&amp;'CASE DATA'!$F102&amp;";",ROW($1:$99),1),";")),"",ROW($1:$99)+1),COLUMN(H102)),SMALL(IF(ISERROR(SEARCH(MID(";"&amp;'CASE DATA'!$F102&amp;";",ROW($1:$99),1),";")),"",ROW($1:$99)),COLUMN(H101)+1)-SMALL(IF(ISERROR(SEARCH(MID(";"&amp;'CASE DATA'!$F102&amp;";",ROW($1:$99),1),";")),"",ROW($1:$99)),COLUMN(H101))-1)</f>
        <v/>
      </c>
      <c r="AF102" s="75" t="str" cm="1">
        <f t="array" ref="AF102">MID(";"&amp;'CASE DATA'!$F102&amp;";",SMALL(IF(ISERROR(SEARCH(MID(";"&amp;'CASE DATA'!$F102&amp;";",ROW($1:$99),1),";")),"",ROW($1:$99)+1),COLUMN(I102)),SMALL(IF(ISERROR(SEARCH(MID(";"&amp;'CASE DATA'!$F102&amp;";",ROW($1:$99),1),";")),"",ROW($1:$99)),COLUMN(I101)+1)-SMALL(IF(ISERROR(SEARCH(MID(";"&amp;'CASE DATA'!$F102&amp;";",ROW($1:$99),1),";")),"",ROW($1:$99)),COLUMN(I101))-1)</f>
        <v/>
      </c>
      <c r="AG102" s="75" t="str" cm="1">
        <f t="array" ref="AG102">MID(";"&amp;'CASE DATA'!$F102&amp;";",SMALL(IF(ISERROR(SEARCH(MID(";"&amp;'CASE DATA'!$F102&amp;";",ROW($1:$99),1),";")),"",ROW($1:$99)+1),COLUMN(K102)),SMALL(IF(ISERROR(SEARCH(MID(";"&amp;'CASE DATA'!$F102&amp;";",ROW($1:$99),1),";")),"",ROW($1:$99)),COLUMN(K101)+1)-SMALL(IF(ISERROR(SEARCH(MID(";"&amp;'CASE DATA'!$F102&amp;";",ROW($1:$99),1),";")),"",ROW($1:$99)),COLUMN(K101))-1)</f>
        <v/>
      </c>
      <c r="AH102" s="75" t="str" cm="1">
        <f t="array" ref="AH102">MID(";"&amp;'CASE DATA'!$F102&amp;";",SMALL(IF(ISERROR(SEARCH(MID(";"&amp;'CASE DATA'!$F102&amp;";",ROW($1:$99),1),";")),"",ROW($1:$99)+1),COLUMN(L102)),SMALL(IF(ISERROR(SEARCH(MID(";"&amp;'CASE DATA'!$F102&amp;";",ROW($1:$99),1),";")),"",ROW($1:$99)),COLUMN(L101)+1)-SMALL(IF(ISERROR(SEARCH(MID(";"&amp;'CASE DATA'!$F102&amp;";",ROW($1:$99),1),";")),"",ROW($1:$99)),COLUMN(L101))-1)</f>
        <v/>
      </c>
      <c r="AI102" s="75" t="str" cm="1">
        <f t="array" ref="AI102">MID(";"&amp;'CASE DATA'!$F102&amp;";",SMALL(IF(ISERROR(SEARCH(MID(";"&amp;'CASE DATA'!$F102&amp;";",ROW($1:$99),1),";")),"",ROW($1:$99)+1),COLUMN(M102)),SMALL(IF(ISERROR(SEARCH(MID(";"&amp;'CASE DATA'!$F102&amp;";",ROW($1:$99),1),";")),"",ROW($1:$99)),COLUMN(M101)+1)-SMALL(IF(ISERROR(SEARCH(MID(";"&amp;'CASE DATA'!$F102&amp;";",ROW($1:$99),1),";")),"",ROW($1:$99)),COLUMN(M101))-1)</f>
        <v/>
      </c>
      <c r="AJ102"/>
      <c r="AK102"/>
      <c r="AL102"/>
      <c r="AM102"/>
      <c r="AN102"/>
      <c r="AO102"/>
      <c r="AP102"/>
      <c r="AQ102"/>
      <c r="AR102"/>
      <c r="AS102"/>
      <c r="AT102"/>
      <c r="AU102"/>
      <c r="AV102"/>
      <c r="AW102"/>
      <c r="AX102"/>
      <c r="AY102"/>
      <c r="AZ102"/>
      <c r="BA102"/>
      <c r="BB102"/>
      <c r="BC102"/>
      <c r="BD102"/>
      <c r="BE102"/>
      <c r="BF102"/>
      <c r="BG102"/>
      <c r="BH102"/>
      <c r="BI102"/>
      <c r="BJ102"/>
      <c r="BK102"/>
      <c r="BL102"/>
      <c r="BM102"/>
      <c r="BN102"/>
      <c r="BO102" s="99"/>
      <c r="BP102" s="99"/>
      <c r="BQ102" s="99"/>
      <c r="BR102" s="99"/>
      <c r="BS102" s="99"/>
      <c r="BT102" s="99"/>
      <c r="BU102" s="99"/>
      <c r="BV102" s="99"/>
      <c r="BW102" s="99"/>
      <c r="BX102" s="99"/>
      <c r="BY102" s="99"/>
      <c r="BZ102" s="99"/>
      <c r="CA102" s="99"/>
      <c r="CB102" s="99"/>
      <c r="CC102" s="99"/>
      <c r="CD102" s="99"/>
      <c r="CE102" s="99"/>
      <c r="CF102" s="99"/>
      <c r="CG102" s="99"/>
      <c r="CH102" s="99"/>
      <c r="CI102" s="99"/>
      <c r="CJ102" s="99"/>
      <c r="CK102" s="99"/>
      <c r="CL102" s="99"/>
      <c r="CM102" s="99"/>
      <c r="CN102" s="99"/>
      <c r="CO102" s="99"/>
      <c r="CP102" s="99"/>
      <c r="CQ102" s="99"/>
      <c r="CR102" s="99"/>
      <c r="CS102" s="99"/>
      <c r="CT102" s="99"/>
      <c r="CU102" s="99"/>
      <c r="CV102" s="99"/>
      <c r="CW102" s="99"/>
      <c r="CX102" s="99"/>
      <c r="CY102" s="99"/>
      <c r="CZ102" s="99"/>
      <c r="DA102" s="99"/>
      <c r="DB102" s="99"/>
      <c r="DC102" s="99"/>
      <c r="DD102" s="99"/>
      <c r="DE102" s="99"/>
      <c r="DF102" s="99"/>
      <c r="DG102" s="99"/>
      <c r="DH102" s="99"/>
      <c r="DI102" s="99"/>
      <c r="DJ102" s="99"/>
      <c r="DK102" s="99"/>
      <c r="DL102" s="99"/>
      <c r="DM102" s="99"/>
      <c r="DN102" s="99"/>
      <c r="DO102" s="99"/>
      <c r="DP102" s="99"/>
      <c r="DQ102" s="99"/>
      <c r="DR102" s="99"/>
      <c r="DS102" s="99"/>
      <c r="DT102" s="99"/>
      <c r="DU102" s="99"/>
      <c r="DV102" s="99"/>
      <c r="DW102" s="99"/>
      <c r="DX102" s="99"/>
      <c r="DY102" s="99"/>
      <c r="DZ102" s="99"/>
      <c r="EA102" s="99"/>
      <c r="EB102" s="99"/>
      <c r="EC102" s="99"/>
      <c r="ED102" s="99"/>
      <c r="EE102" s="99"/>
      <c r="EF102" s="99"/>
      <c r="EG102" s="99"/>
      <c r="EH102" s="99"/>
      <c r="EI102" s="99"/>
      <c r="EJ102" s="99"/>
      <c r="EK102" s="99"/>
      <c r="EL102" s="99"/>
      <c r="EM102" s="99"/>
      <c r="EN102" s="99"/>
      <c r="EO102" s="99"/>
      <c r="EP102" s="99"/>
      <c r="EQ102" s="99"/>
      <c r="ER102" s="99"/>
      <c r="ES102" s="99"/>
      <c r="ET102" s="99"/>
      <c r="EU102" s="99"/>
      <c r="EV102" s="99"/>
      <c r="EW102" s="99"/>
      <c r="EX102" s="99"/>
      <c r="EY102" s="99"/>
      <c r="EZ102" s="99"/>
      <c r="FA102" s="99"/>
      <c r="FB102" s="99"/>
      <c r="FC102" s="99"/>
      <c r="FD102" s="99"/>
      <c r="FE102" s="99"/>
      <c r="FF102" s="99"/>
      <c r="FG102" s="99"/>
      <c r="FH102" s="99"/>
      <c r="FI102" s="99"/>
      <c r="FJ102" s="99"/>
      <c r="FK102" s="99"/>
    </row>
    <row r="103" spans="1:167" x14ac:dyDescent="0.25">
      <c r="C103" s="10"/>
      <c r="D103" s="10"/>
      <c r="E103" s="11"/>
      <c r="F103" s="15"/>
      <c r="J103" s="99">
        <v>100</v>
      </c>
      <c r="K103" s="16"/>
      <c r="L103" s="16"/>
      <c r="M103" s="16"/>
      <c r="N103" s="16"/>
      <c r="O103" s="16"/>
      <c r="P103" s="16"/>
      <c r="Q103" s="16"/>
      <c r="R103" s="16"/>
      <c r="S103" s="16"/>
      <c r="T103" s="16"/>
      <c r="U103" s="73">
        <f>SUM(K103:T103)</f>
        <v>0</v>
      </c>
      <c r="V103" s="73"/>
      <c r="X103" s="75" t="str" cm="1">
        <f t="array" ref="X103">MID(";"&amp;'CASE DATA'!$F103&amp;";",SMALL(IF(ISERROR(SEARCH(MID(";"&amp;'CASE DATA'!$F103&amp;";",ROW($1:$99),1),";")),"",ROW($1:$99)+1),COLUMN(A103)),SMALL(IF(ISERROR(SEARCH(MID(";"&amp;'CASE DATA'!$F103&amp;";",ROW($1:$99),1),";")),"",ROW($1:$99)),COLUMN(A102)+1)-SMALL(IF(ISERROR(SEARCH(MID(";"&amp;'CASE DATA'!$F103&amp;";",ROW($1:$99),1),";")),"",ROW($1:$99)),COLUMN(A102))-1)</f>
        <v/>
      </c>
      <c r="Y103" s="75" t="str" cm="1">
        <f t="array" ref="Y103">MID(";"&amp;'CASE DATA'!$F103&amp;";",SMALL(IF(ISERROR(SEARCH(MID(";"&amp;'CASE DATA'!$F103&amp;";",ROW($1:$99),1),";")),"",ROW($1:$99)+1),COLUMN(B103)),SMALL(IF(ISERROR(SEARCH(MID(";"&amp;'CASE DATA'!$F103&amp;";",ROW($1:$99),1),";")),"",ROW($1:$99)),COLUMN(B102)+1)-SMALL(IF(ISERROR(SEARCH(MID(";"&amp;'CASE DATA'!$F103&amp;";",ROW($1:$99),1),";")),"",ROW($1:$99)),COLUMN(B102))-1)</f>
        <v/>
      </c>
      <c r="Z103" s="75" t="str" cm="1">
        <f t="array" ref="Z103">MID(";"&amp;'CASE DATA'!$F103&amp;";",SMALL(IF(ISERROR(SEARCH(MID(";"&amp;'CASE DATA'!$F103&amp;";",ROW($1:$99),1),";")),"",ROW($1:$99)+1),COLUMN(C103)),SMALL(IF(ISERROR(SEARCH(MID(";"&amp;'CASE DATA'!$F103&amp;";",ROW($1:$99),1),";")),"",ROW($1:$99)),COLUMN(C102)+1)-SMALL(IF(ISERROR(SEARCH(MID(";"&amp;'CASE DATA'!$F103&amp;";",ROW($1:$99),1),";")),"",ROW($1:$99)),COLUMN(C102))-1)</f>
        <v/>
      </c>
      <c r="AA103" s="75" t="str" cm="1">
        <f t="array" ref="AA103">MID(";"&amp;'CASE DATA'!$F103&amp;";",SMALL(IF(ISERROR(SEARCH(MID(";"&amp;'CASE DATA'!$F103&amp;";",ROW($1:$99),1),";")),"",ROW($1:$99)+1),COLUMN(D103)),SMALL(IF(ISERROR(SEARCH(MID(";"&amp;'CASE DATA'!$F103&amp;";",ROW($1:$99),1),";")),"",ROW($1:$99)),COLUMN(D102)+1)-SMALL(IF(ISERROR(SEARCH(MID(";"&amp;'CASE DATA'!$F103&amp;";",ROW($1:$99),1),";")),"",ROW($1:$99)),COLUMN(D102))-1)</f>
        <v/>
      </c>
      <c r="AB103" s="75" t="str" cm="1">
        <f t="array" ref="AB103">MID(";"&amp;'CASE DATA'!$F103&amp;";",SMALL(IF(ISERROR(SEARCH(MID(";"&amp;'CASE DATA'!$F103&amp;";",ROW($1:$99),1),";")),"",ROW($1:$99)+1),COLUMN(E103)),SMALL(IF(ISERROR(SEARCH(MID(";"&amp;'CASE DATA'!$F103&amp;";",ROW($1:$99),1),";")),"",ROW($1:$99)),COLUMN(E102)+1)-SMALL(IF(ISERROR(SEARCH(MID(";"&amp;'CASE DATA'!$F103&amp;";",ROW($1:$99),1),";")),"",ROW($1:$99)),COLUMN(E102))-1)</f>
        <v/>
      </c>
      <c r="AC103" s="75" t="str" cm="1">
        <f t="array" ref="AC103">MID(";"&amp;'CASE DATA'!$F103&amp;";",SMALL(IF(ISERROR(SEARCH(MID(";"&amp;'CASE DATA'!$F103&amp;";",ROW($1:$99),1),";")),"",ROW($1:$99)+1),COLUMN(F103)),SMALL(IF(ISERROR(SEARCH(MID(";"&amp;'CASE DATA'!$F103&amp;";",ROW($1:$99),1),";")),"",ROW($1:$99)),COLUMN(F102)+1)-SMALL(IF(ISERROR(SEARCH(MID(";"&amp;'CASE DATA'!$F103&amp;";",ROW($1:$99),1),";")),"",ROW($1:$99)),COLUMN(F102))-1)</f>
        <v/>
      </c>
      <c r="AD103" s="75" t="str" cm="1">
        <f t="array" ref="AD103">MID(";"&amp;'CASE DATA'!$F103&amp;";",SMALL(IF(ISERROR(SEARCH(MID(";"&amp;'CASE DATA'!$F103&amp;";",ROW($1:$99),1),";")),"",ROW($1:$99)+1),COLUMN(G103)),SMALL(IF(ISERROR(SEARCH(MID(";"&amp;'CASE DATA'!$F103&amp;";",ROW($1:$99),1),";")),"",ROW($1:$99)),COLUMN(G102)+1)-SMALL(IF(ISERROR(SEARCH(MID(";"&amp;'CASE DATA'!$F103&amp;";",ROW($1:$99),1),";")),"",ROW($1:$99)),COLUMN(G102))-1)</f>
        <v/>
      </c>
      <c r="AE103" s="75" t="str" cm="1">
        <f t="array" ref="AE103">MID(";"&amp;'CASE DATA'!$F103&amp;";",SMALL(IF(ISERROR(SEARCH(MID(";"&amp;'CASE DATA'!$F103&amp;";",ROW($1:$99),1),";")),"",ROW($1:$99)+1),COLUMN(H103)),SMALL(IF(ISERROR(SEARCH(MID(";"&amp;'CASE DATA'!$F103&amp;";",ROW($1:$99),1),";")),"",ROW($1:$99)),COLUMN(H102)+1)-SMALL(IF(ISERROR(SEARCH(MID(";"&amp;'CASE DATA'!$F103&amp;";",ROW($1:$99),1),";")),"",ROW($1:$99)),COLUMN(H102))-1)</f>
        <v/>
      </c>
      <c r="AF103" s="75" t="str" cm="1">
        <f t="array" ref="AF103">MID(";"&amp;'CASE DATA'!$F103&amp;";",SMALL(IF(ISERROR(SEARCH(MID(";"&amp;'CASE DATA'!$F103&amp;";",ROW($1:$99),1),";")),"",ROW($1:$99)+1),COLUMN(I103)),SMALL(IF(ISERROR(SEARCH(MID(";"&amp;'CASE DATA'!$F103&amp;";",ROW($1:$99),1),";")),"",ROW($1:$99)),COLUMN(I102)+1)-SMALL(IF(ISERROR(SEARCH(MID(";"&amp;'CASE DATA'!$F103&amp;";",ROW($1:$99),1),";")),"",ROW($1:$99)),COLUMN(I102))-1)</f>
        <v/>
      </c>
      <c r="AG103" s="75" t="str" cm="1">
        <f t="array" ref="AG103">MID(";"&amp;'CASE DATA'!$F103&amp;";",SMALL(IF(ISERROR(SEARCH(MID(";"&amp;'CASE DATA'!$F103&amp;";",ROW($1:$99),1),";")),"",ROW($1:$99)+1),COLUMN(K103)),SMALL(IF(ISERROR(SEARCH(MID(";"&amp;'CASE DATA'!$F103&amp;";",ROW($1:$99),1),";")),"",ROW($1:$99)),COLUMN(K102)+1)-SMALL(IF(ISERROR(SEARCH(MID(";"&amp;'CASE DATA'!$F103&amp;";",ROW($1:$99),1),";")),"",ROW($1:$99)),COLUMN(K102))-1)</f>
        <v/>
      </c>
      <c r="AH103" s="75" t="str" cm="1">
        <f t="array" ref="AH103">MID(";"&amp;'CASE DATA'!$F103&amp;";",SMALL(IF(ISERROR(SEARCH(MID(";"&amp;'CASE DATA'!$F103&amp;";",ROW($1:$99),1),";")),"",ROW($1:$99)+1),COLUMN(L103)),SMALL(IF(ISERROR(SEARCH(MID(";"&amp;'CASE DATA'!$F103&amp;";",ROW($1:$99),1),";")),"",ROW($1:$99)),COLUMN(L102)+1)-SMALL(IF(ISERROR(SEARCH(MID(";"&amp;'CASE DATA'!$F103&amp;";",ROW($1:$99),1),";")),"",ROW($1:$99)),COLUMN(L102))-1)</f>
        <v/>
      </c>
      <c r="AI103" s="75" t="str" cm="1">
        <f t="array" ref="AI103">MID(";"&amp;'CASE DATA'!$F103&amp;";",SMALL(IF(ISERROR(SEARCH(MID(";"&amp;'CASE DATA'!$F103&amp;";",ROW($1:$99),1),";")),"",ROW($1:$99)+1),COLUMN(M103)),SMALL(IF(ISERROR(SEARCH(MID(";"&amp;'CASE DATA'!$F103&amp;";",ROW($1:$99),1),";")),"",ROW($1:$99)),COLUMN(M102)+1)-SMALL(IF(ISERROR(SEARCH(MID(";"&amp;'CASE DATA'!$F103&amp;";",ROW($1:$99),1),";")),"",ROW($1:$99)),COLUMN(M102))-1)</f>
        <v/>
      </c>
      <c r="BO103" s="99"/>
      <c r="BP103" s="99"/>
      <c r="BQ103" s="99"/>
      <c r="BR103" s="99"/>
      <c r="BS103" s="99"/>
      <c r="BT103" s="99"/>
      <c r="BU103" s="99"/>
      <c r="BV103" s="99"/>
      <c r="BW103" s="99"/>
      <c r="BX103" s="99"/>
      <c r="BY103" s="99"/>
      <c r="BZ103" s="99"/>
      <c r="CA103" s="99"/>
      <c r="CB103" s="99"/>
      <c r="CC103" s="99"/>
      <c r="CD103" s="99"/>
      <c r="CE103" s="99"/>
      <c r="CF103" s="99"/>
      <c r="CG103" s="99"/>
      <c r="CH103" s="99"/>
      <c r="CI103" s="99"/>
      <c r="CJ103" s="99"/>
      <c r="CK103" s="99"/>
      <c r="CL103" s="99"/>
      <c r="CM103" s="99"/>
      <c r="CN103" s="99"/>
      <c r="CO103" s="99"/>
      <c r="CP103" s="99"/>
      <c r="CQ103" s="99"/>
      <c r="CR103" s="99"/>
      <c r="CS103" s="99"/>
      <c r="CT103" s="99"/>
      <c r="CU103" s="99"/>
      <c r="CV103" s="99"/>
      <c r="CW103" s="99"/>
      <c r="CX103" s="99"/>
      <c r="CY103" s="99"/>
      <c r="CZ103" s="99"/>
      <c r="DA103" s="99"/>
      <c r="DB103" s="99"/>
      <c r="DC103" s="99"/>
      <c r="DD103" s="99"/>
      <c r="DE103" s="99"/>
      <c r="DF103" s="99"/>
      <c r="DG103" s="99"/>
      <c r="DH103" s="99"/>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99"/>
      <c r="EE103" s="99"/>
      <c r="EF103" s="99"/>
      <c r="EG103" s="99"/>
      <c r="EH103" s="99"/>
      <c r="EI103" s="99"/>
      <c r="EJ103" s="99"/>
      <c r="EK103" s="99"/>
      <c r="EL103" s="99"/>
      <c r="EM103" s="99"/>
      <c r="EN103" s="99"/>
      <c r="EO103" s="99"/>
      <c r="EP103" s="99"/>
      <c r="EQ103" s="99"/>
      <c r="ER103" s="99"/>
      <c r="ES103" s="99"/>
      <c r="ET103" s="99"/>
      <c r="EU103" s="99"/>
      <c r="EV103" s="99"/>
      <c r="EW103" s="99"/>
      <c r="EX103" s="99"/>
      <c r="EY103" s="99"/>
      <c r="EZ103" s="99"/>
      <c r="FA103" s="99"/>
      <c r="FB103" s="99"/>
      <c r="FC103" s="99"/>
      <c r="FD103" s="99"/>
      <c r="FE103" s="99"/>
      <c r="FF103" s="99"/>
      <c r="FG103" s="99"/>
      <c r="FH103" s="99"/>
      <c r="FI103" s="99"/>
      <c r="FJ103" s="99"/>
      <c r="FK103" s="99"/>
    </row>
    <row r="104" spans="1:167" x14ac:dyDescent="0.25">
      <c r="C104" s="10"/>
      <c r="D104" s="10"/>
      <c r="E104" s="11"/>
      <c r="F104" s="15"/>
      <c r="J104" s="99">
        <v>101</v>
      </c>
      <c r="K104" s="16"/>
      <c r="L104" s="16"/>
      <c r="M104" s="16"/>
      <c r="N104" s="16"/>
      <c r="O104" s="16"/>
      <c r="P104" s="16"/>
      <c r="Q104" s="16"/>
      <c r="R104" s="16"/>
      <c r="S104" s="16"/>
      <c r="T104" s="16"/>
      <c r="U104" s="73">
        <f>SUM(K104:T104)</f>
        <v>0</v>
      </c>
      <c r="V104" s="73"/>
      <c r="X104" s="75" t="str" cm="1">
        <f t="array" ref="X104">MID(";"&amp;'CASE DATA'!$F104&amp;";",SMALL(IF(ISERROR(SEARCH(MID(";"&amp;'CASE DATA'!$F104&amp;";",ROW($1:$99),1),";")),"",ROW($1:$99)+1),COLUMN(A104)),SMALL(IF(ISERROR(SEARCH(MID(";"&amp;'CASE DATA'!$F104&amp;";",ROW($1:$99),1),";")),"",ROW($1:$99)),COLUMN(A103)+1)-SMALL(IF(ISERROR(SEARCH(MID(";"&amp;'CASE DATA'!$F104&amp;";",ROW($1:$99),1),";")),"",ROW($1:$99)),COLUMN(A103))-1)</f>
        <v/>
      </c>
      <c r="Y104" s="75" t="str" cm="1">
        <f t="array" ref="Y104">MID(";"&amp;'CASE DATA'!$F104&amp;";",SMALL(IF(ISERROR(SEARCH(MID(";"&amp;'CASE DATA'!$F104&amp;";",ROW($1:$99),1),";")),"",ROW($1:$99)+1),COLUMN(B104)),SMALL(IF(ISERROR(SEARCH(MID(";"&amp;'CASE DATA'!$F104&amp;";",ROW($1:$99),1),";")),"",ROW($1:$99)),COLUMN(B103)+1)-SMALL(IF(ISERROR(SEARCH(MID(";"&amp;'CASE DATA'!$F104&amp;";",ROW($1:$99),1),";")),"",ROW($1:$99)),COLUMN(B103))-1)</f>
        <v/>
      </c>
      <c r="Z104" s="75" t="str" cm="1">
        <f t="array" ref="Z104">MID(";"&amp;'CASE DATA'!$F104&amp;";",SMALL(IF(ISERROR(SEARCH(MID(";"&amp;'CASE DATA'!$F104&amp;";",ROW($1:$99),1),";")),"",ROW($1:$99)+1),COLUMN(C104)),SMALL(IF(ISERROR(SEARCH(MID(";"&amp;'CASE DATA'!$F104&amp;";",ROW($1:$99),1),";")),"",ROW($1:$99)),COLUMN(C103)+1)-SMALL(IF(ISERROR(SEARCH(MID(";"&amp;'CASE DATA'!$F104&amp;";",ROW($1:$99),1),";")),"",ROW($1:$99)),COLUMN(C103))-1)</f>
        <v/>
      </c>
      <c r="AA104" s="75" t="str" cm="1">
        <f t="array" ref="AA104">MID(";"&amp;'CASE DATA'!$F104&amp;";",SMALL(IF(ISERROR(SEARCH(MID(";"&amp;'CASE DATA'!$F104&amp;";",ROW($1:$99),1),";")),"",ROW($1:$99)+1),COLUMN(D104)),SMALL(IF(ISERROR(SEARCH(MID(";"&amp;'CASE DATA'!$F104&amp;";",ROW($1:$99),1),";")),"",ROW($1:$99)),COLUMN(D103)+1)-SMALL(IF(ISERROR(SEARCH(MID(";"&amp;'CASE DATA'!$F104&amp;";",ROW($1:$99),1),";")),"",ROW($1:$99)),COLUMN(D103))-1)</f>
        <v/>
      </c>
      <c r="AB104" s="75" t="str" cm="1">
        <f t="array" ref="AB104">MID(";"&amp;'CASE DATA'!$F104&amp;";",SMALL(IF(ISERROR(SEARCH(MID(";"&amp;'CASE DATA'!$F104&amp;";",ROW($1:$99),1),";")),"",ROW($1:$99)+1),COLUMN(E104)),SMALL(IF(ISERROR(SEARCH(MID(";"&amp;'CASE DATA'!$F104&amp;";",ROW($1:$99),1),";")),"",ROW($1:$99)),COLUMN(E103)+1)-SMALL(IF(ISERROR(SEARCH(MID(";"&amp;'CASE DATA'!$F104&amp;";",ROW($1:$99),1),";")),"",ROW($1:$99)),COLUMN(E103))-1)</f>
        <v/>
      </c>
      <c r="AC104" s="75" t="str" cm="1">
        <f t="array" ref="AC104">MID(";"&amp;'CASE DATA'!$F104&amp;";",SMALL(IF(ISERROR(SEARCH(MID(";"&amp;'CASE DATA'!$F104&amp;";",ROW($1:$99),1),";")),"",ROW($1:$99)+1),COLUMN(F104)),SMALL(IF(ISERROR(SEARCH(MID(";"&amp;'CASE DATA'!$F104&amp;";",ROW($1:$99),1),";")),"",ROW($1:$99)),COLUMN(F103)+1)-SMALL(IF(ISERROR(SEARCH(MID(";"&amp;'CASE DATA'!$F104&amp;";",ROW($1:$99),1),";")),"",ROW($1:$99)),COLUMN(F103))-1)</f>
        <v/>
      </c>
      <c r="AD104" s="75" t="str" cm="1">
        <f t="array" ref="AD104">MID(";"&amp;'CASE DATA'!$F104&amp;";",SMALL(IF(ISERROR(SEARCH(MID(";"&amp;'CASE DATA'!$F104&amp;";",ROW($1:$99),1),";")),"",ROW($1:$99)+1),COLUMN(G104)),SMALL(IF(ISERROR(SEARCH(MID(";"&amp;'CASE DATA'!$F104&amp;";",ROW($1:$99),1),";")),"",ROW($1:$99)),COLUMN(G103)+1)-SMALL(IF(ISERROR(SEARCH(MID(";"&amp;'CASE DATA'!$F104&amp;";",ROW($1:$99),1),";")),"",ROW($1:$99)),COLUMN(G103))-1)</f>
        <v/>
      </c>
      <c r="AE104" s="75" t="str" cm="1">
        <f t="array" ref="AE104">MID(";"&amp;'CASE DATA'!$F104&amp;";",SMALL(IF(ISERROR(SEARCH(MID(";"&amp;'CASE DATA'!$F104&amp;";",ROW($1:$99),1),";")),"",ROW($1:$99)+1),COLUMN(H104)),SMALL(IF(ISERROR(SEARCH(MID(";"&amp;'CASE DATA'!$F104&amp;";",ROW($1:$99),1),";")),"",ROW($1:$99)),COLUMN(H103)+1)-SMALL(IF(ISERROR(SEARCH(MID(";"&amp;'CASE DATA'!$F104&amp;";",ROW($1:$99),1),";")),"",ROW($1:$99)),COLUMN(H103))-1)</f>
        <v/>
      </c>
      <c r="AF104" s="75" t="str" cm="1">
        <f t="array" ref="AF104">MID(";"&amp;'CASE DATA'!$F104&amp;";",SMALL(IF(ISERROR(SEARCH(MID(";"&amp;'CASE DATA'!$F104&amp;";",ROW($1:$99),1),";")),"",ROW($1:$99)+1),COLUMN(I104)),SMALL(IF(ISERROR(SEARCH(MID(";"&amp;'CASE DATA'!$F104&amp;";",ROW($1:$99),1),";")),"",ROW($1:$99)),COLUMN(I103)+1)-SMALL(IF(ISERROR(SEARCH(MID(";"&amp;'CASE DATA'!$F104&amp;";",ROW($1:$99),1),";")),"",ROW($1:$99)),COLUMN(I103))-1)</f>
        <v/>
      </c>
      <c r="AG104" s="75" t="str" cm="1">
        <f t="array" ref="AG104">MID(";"&amp;'CASE DATA'!$F104&amp;";",SMALL(IF(ISERROR(SEARCH(MID(";"&amp;'CASE DATA'!$F104&amp;";",ROW($1:$99),1),";")),"",ROW($1:$99)+1),COLUMN(K104)),SMALL(IF(ISERROR(SEARCH(MID(";"&amp;'CASE DATA'!$F104&amp;";",ROW($1:$99),1),";")),"",ROW($1:$99)),COLUMN(K103)+1)-SMALL(IF(ISERROR(SEARCH(MID(";"&amp;'CASE DATA'!$F104&amp;";",ROW($1:$99),1),";")),"",ROW($1:$99)),COLUMN(K103))-1)</f>
        <v/>
      </c>
      <c r="AH104" s="75" t="str" cm="1">
        <f t="array" ref="AH104">MID(";"&amp;'CASE DATA'!$F104&amp;";",SMALL(IF(ISERROR(SEARCH(MID(";"&amp;'CASE DATA'!$F104&amp;";",ROW($1:$99),1),";")),"",ROW($1:$99)+1),COLUMN(L104)),SMALL(IF(ISERROR(SEARCH(MID(";"&amp;'CASE DATA'!$F104&amp;";",ROW($1:$99),1),";")),"",ROW($1:$99)),COLUMN(L103)+1)-SMALL(IF(ISERROR(SEARCH(MID(";"&amp;'CASE DATA'!$F104&amp;";",ROW($1:$99),1),";")),"",ROW($1:$99)),COLUMN(L103))-1)</f>
        <v/>
      </c>
      <c r="AI104" s="75" t="str" cm="1">
        <f t="array" ref="AI104">MID(";"&amp;'CASE DATA'!$F104&amp;";",SMALL(IF(ISERROR(SEARCH(MID(";"&amp;'CASE DATA'!$F104&amp;";",ROW($1:$99),1),";")),"",ROW($1:$99)+1),COLUMN(M104)),SMALL(IF(ISERROR(SEARCH(MID(";"&amp;'CASE DATA'!$F104&amp;";",ROW($1:$99),1),";")),"",ROW($1:$99)),COLUMN(M103)+1)-SMALL(IF(ISERROR(SEARCH(MID(";"&amp;'CASE DATA'!$F104&amp;";",ROW($1:$99),1),";")),"",ROW($1:$99)),COLUMN(M103))-1)</f>
        <v/>
      </c>
      <c r="BO104" s="99"/>
      <c r="BP104" s="99"/>
      <c r="BQ104" s="99"/>
      <c r="BR104" s="99"/>
      <c r="BS104" s="99"/>
      <c r="BT104" s="99"/>
      <c r="BU104" s="99"/>
      <c r="BV104" s="99"/>
      <c r="BW104" s="99"/>
      <c r="BX104" s="99"/>
      <c r="BY104" s="99"/>
      <c r="BZ104" s="99"/>
      <c r="CA104" s="99"/>
      <c r="CB104" s="99"/>
      <c r="CC104" s="99"/>
      <c r="CD104" s="99"/>
      <c r="CE104" s="99"/>
      <c r="CF104" s="99"/>
      <c r="CG104" s="99"/>
      <c r="CH104" s="99"/>
      <c r="CI104" s="99"/>
      <c r="CJ104" s="99"/>
      <c r="CK104" s="99"/>
      <c r="CL104" s="99"/>
      <c r="CM104" s="99"/>
      <c r="CN104" s="99"/>
      <c r="CO104" s="99"/>
      <c r="CP104" s="99"/>
      <c r="CQ104" s="99"/>
      <c r="CR104" s="99"/>
      <c r="CS104" s="99"/>
      <c r="CT104" s="99"/>
      <c r="CU104" s="99"/>
      <c r="CV104" s="99"/>
      <c r="CW104" s="99"/>
      <c r="CX104" s="99"/>
      <c r="CY104" s="99"/>
      <c r="CZ104" s="99"/>
      <c r="DA104" s="99"/>
      <c r="DB104" s="99"/>
      <c r="DC104" s="99"/>
      <c r="DD104" s="99"/>
      <c r="DE104" s="99"/>
      <c r="DF104" s="99"/>
      <c r="DG104" s="99"/>
      <c r="DH104" s="99"/>
      <c r="DI104" s="99"/>
      <c r="DJ104" s="99"/>
      <c r="DK104" s="99"/>
      <c r="DL104" s="99"/>
      <c r="DM104" s="99"/>
      <c r="DN104" s="99"/>
      <c r="DO104" s="99"/>
      <c r="DP104" s="99"/>
      <c r="DQ104" s="99"/>
      <c r="DR104" s="99"/>
      <c r="DS104" s="99"/>
      <c r="DT104" s="99"/>
      <c r="DU104" s="99"/>
      <c r="DV104" s="99"/>
      <c r="DW104" s="99"/>
      <c r="DX104" s="99"/>
      <c r="DY104" s="99"/>
      <c r="DZ104" s="99"/>
      <c r="EA104" s="99"/>
      <c r="EB104" s="99"/>
      <c r="EC104" s="99"/>
      <c r="ED104" s="99"/>
      <c r="EE104" s="99"/>
      <c r="EF104" s="99"/>
      <c r="EG104" s="99"/>
      <c r="EH104" s="99"/>
      <c r="EI104" s="99"/>
      <c r="EJ104" s="99"/>
      <c r="EK104" s="99"/>
      <c r="EL104" s="99"/>
      <c r="EM104" s="99"/>
      <c r="EN104" s="99"/>
      <c r="EO104" s="99"/>
      <c r="EP104" s="99"/>
      <c r="EQ104" s="99"/>
      <c r="ER104" s="99"/>
      <c r="ES104" s="99"/>
      <c r="ET104" s="99"/>
      <c r="EU104" s="99"/>
      <c r="EV104" s="99"/>
      <c r="EW104" s="99"/>
      <c r="EX104" s="99"/>
      <c r="EY104" s="99"/>
      <c r="EZ104" s="99"/>
      <c r="FA104" s="99"/>
      <c r="FB104" s="99"/>
      <c r="FC104" s="99"/>
      <c r="FD104" s="99"/>
      <c r="FE104" s="99"/>
      <c r="FF104" s="99"/>
      <c r="FG104" s="99"/>
      <c r="FH104" s="99"/>
      <c r="FI104" s="99"/>
      <c r="FJ104" s="99"/>
      <c r="FK104" s="99"/>
    </row>
    <row r="105" spans="1:167" x14ac:dyDescent="0.25">
      <c r="C105" s="10"/>
      <c r="D105" s="10"/>
      <c r="E105" s="11"/>
      <c r="F105" s="15"/>
      <c r="J105" s="99">
        <v>102</v>
      </c>
      <c r="K105" s="16"/>
      <c r="L105" s="16"/>
      <c r="M105" s="16"/>
      <c r="N105" s="16"/>
      <c r="O105" s="16"/>
      <c r="P105" s="16"/>
      <c r="Q105" s="16"/>
      <c r="R105" s="16"/>
      <c r="S105" s="16"/>
      <c r="T105" s="16"/>
      <c r="U105" s="73">
        <f>SUM(K105:T105)</f>
        <v>0</v>
      </c>
      <c r="V105" s="73"/>
      <c r="X105" s="75" t="str" cm="1">
        <f t="array" ref="X105">MID(";"&amp;'CASE DATA'!$F105&amp;";",SMALL(IF(ISERROR(SEARCH(MID(";"&amp;'CASE DATA'!$F105&amp;";",ROW($1:$99),1),";")),"",ROW($1:$99)+1),COLUMN(A105)),SMALL(IF(ISERROR(SEARCH(MID(";"&amp;'CASE DATA'!$F105&amp;";",ROW($1:$99),1),";")),"",ROW($1:$99)),COLUMN(A104)+1)-SMALL(IF(ISERROR(SEARCH(MID(";"&amp;'CASE DATA'!$F105&amp;";",ROW($1:$99),1),";")),"",ROW($1:$99)),COLUMN(A104))-1)</f>
        <v/>
      </c>
      <c r="Y105" s="75" t="str" cm="1">
        <f t="array" ref="Y105">MID(";"&amp;'CASE DATA'!$F105&amp;";",SMALL(IF(ISERROR(SEARCH(MID(";"&amp;'CASE DATA'!$F105&amp;";",ROW($1:$99),1),";")),"",ROW($1:$99)+1),COLUMN(B105)),SMALL(IF(ISERROR(SEARCH(MID(";"&amp;'CASE DATA'!$F105&amp;";",ROW($1:$99),1),";")),"",ROW($1:$99)),COLUMN(B104)+1)-SMALL(IF(ISERROR(SEARCH(MID(";"&amp;'CASE DATA'!$F105&amp;";",ROW($1:$99),1),";")),"",ROW($1:$99)),COLUMN(B104))-1)</f>
        <v/>
      </c>
      <c r="Z105" s="75" t="str" cm="1">
        <f t="array" ref="Z105">MID(";"&amp;'CASE DATA'!$F105&amp;";",SMALL(IF(ISERROR(SEARCH(MID(";"&amp;'CASE DATA'!$F105&amp;";",ROW($1:$99),1),";")),"",ROW($1:$99)+1),COLUMN(C105)),SMALL(IF(ISERROR(SEARCH(MID(";"&amp;'CASE DATA'!$F105&amp;";",ROW($1:$99),1),";")),"",ROW($1:$99)),COLUMN(C104)+1)-SMALL(IF(ISERROR(SEARCH(MID(";"&amp;'CASE DATA'!$F105&amp;";",ROW($1:$99),1),";")),"",ROW($1:$99)),COLUMN(C104))-1)</f>
        <v/>
      </c>
      <c r="AA105" s="75" t="str" cm="1">
        <f t="array" ref="AA105">MID(";"&amp;'CASE DATA'!$F105&amp;";",SMALL(IF(ISERROR(SEARCH(MID(";"&amp;'CASE DATA'!$F105&amp;";",ROW($1:$99),1),";")),"",ROW($1:$99)+1),COLUMN(D105)),SMALL(IF(ISERROR(SEARCH(MID(";"&amp;'CASE DATA'!$F105&amp;";",ROW($1:$99),1),";")),"",ROW($1:$99)),COLUMN(D104)+1)-SMALL(IF(ISERROR(SEARCH(MID(";"&amp;'CASE DATA'!$F105&amp;";",ROW($1:$99),1),";")),"",ROW($1:$99)),COLUMN(D104))-1)</f>
        <v/>
      </c>
      <c r="AB105" s="75" t="str" cm="1">
        <f t="array" ref="AB105">MID(";"&amp;'CASE DATA'!$F105&amp;";",SMALL(IF(ISERROR(SEARCH(MID(";"&amp;'CASE DATA'!$F105&amp;";",ROW($1:$99),1),";")),"",ROW($1:$99)+1),COLUMN(E105)),SMALL(IF(ISERROR(SEARCH(MID(";"&amp;'CASE DATA'!$F105&amp;";",ROW($1:$99),1),";")),"",ROW($1:$99)),COLUMN(E104)+1)-SMALL(IF(ISERROR(SEARCH(MID(";"&amp;'CASE DATA'!$F105&amp;";",ROW($1:$99),1),";")),"",ROW($1:$99)),COLUMN(E104))-1)</f>
        <v/>
      </c>
      <c r="AC105" s="75" t="str" cm="1">
        <f t="array" ref="AC105">MID(";"&amp;'CASE DATA'!$F105&amp;";",SMALL(IF(ISERROR(SEARCH(MID(";"&amp;'CASE DATA'!$F105&amp;";",ROW($1:$99),1),";")),"",ROW($1:$99)+1),COLUMN(F105)),SMALL(IF(ISERROR(SEARCH(MID(";"&amp;'CASE DATA'!$F105&amp;";",ROW($1:$99),1),";")),"",ROW($1:$99)),COLUMN(F104)+1)-SMALL(IF(ISERROR(SEARCH(MID(";"&amp;'CASE DATA'!$F105&amp;";",ROW($1:$99),1),";")),"",ROW($1:$99)),COLUMN(F104))-1)</f>
        <v/>
      </c>
      <c r="AD105" s="75" t="str" cm="1">
        <f t="array" ref="AD105">MID(";"&amp;'CASE DATA'!$F105&amp;";",SMALL(IF(ISERROR(SEARCH(MID(";"&amp;'CASE DATA'!$F105&amp;";",ROW($1:$99),1),";")),"",ROW($1:$99)+1),COLUMN(G105)),SMALL(IF(ISERROR(SEARCH(MID(";"&amp;'CASE DATA'!$F105&amp;";",ROW($1:$99),1),";")),"",ROW($1:$99)),COLUMN(G104)+1)-SMALL(IF(ISERROR(SEARCH(MID(";"&amp;'CASE DATA'!$F105&amp;";",ROW($1:$99),1),";")),"",ROW($1:$99)),COLUMN(G104))-1)</f>
        <v/>
      </c>
      <c r="AE105" s="75" t="str" cm="1">
        <f t="array" ref="AE105">MID(";"&amp;'CASE DATA'!$F105&amp;";",SMALL(IF(ISERROR(SEARCH(MID(";"&amp;'CASE DATA'!$F105&amp;";",ROW($1:$99),1),";")),"",ROW($1:$99)+1),COLUMN(H105)),SMALL(IF(ISERROR(SEARCH(MID(";"&amp;'CASE DATA'!$F105&amp;";",ROW($1:$99),1),";")),"",ROW($1:$99)),COLUMN(H104)+1)-SMALL(IF(ISERROR(SEARCH(MID(";"&amp;'CASE DATA'!$F105&amp;";",ROW($1:$99),1),";")),"",ROW($1:$99)),COLUMN(H104))-1)</f>
        <v/>
      </c>
      <c r="AF105" s="75" t="str" cm="1">
        <f t="array" ref="AF105">MID(";"&amp;'CASE DATA'!$F105&amp;";",SMALL(IF(ISERROR(SEARCH(MID(";"&amp;'CASE DATA'!$F105&amp;";",ROW($1:$99),1),";")),"",ROW($1:$99)+1),COLUMN(I105)),SMALL(IF(ISERROR(SEARCH(MID(";"&amp;'CASE DATA'!$F105&amp;";",ROW($1:$99),1),";")),"",ROW($1:$99)),COLUMN(I104)+1)-SMALL(IF(ISERROR(SEARCH(MID(";"&amp;'CASE DATA'!$F105&amp;";",ROW($1:$99),1),";")),"",ROW($1:$99)),COLUMN(I104))-1)</f>
        <v/>
      </c>
      <c r="AG105" s="75" t="str" cm="1">
        <f t="array" ref="AG105">MID(";"&amp;'CASE DATA'!$F105&amp;";",SMALL(IF(ISERROR(SEARCH(MID(";"&amp;'CASE DATA'!$F105&amp;";",ROW($1:$99),1),";")),"",ROW($1:$99)+1),COLUMN(K105)),SMALL(IF(ISERROR(SEARCH(MID(";"&amp;'CASE DATA'!$F105&amp;";",ROW($1:$99),1),";")),"",ROW($1:$99)),COLUMN(K104)+1)-SMALL(IF(ISERROR(SEARCH(MID(";"&amp;'CASE DATA'!$F105&amp;";",ROW($1:$99),1),";")),"",ROW($1:$99)),COLUMN(K104))-1)</f>
        <v/>
      </c>
      <c r="AH105" s="75" t="str" cm="1">
        <f t="array" ref="AH105">MID(";"&amp;'CASE DATA'!$F105&amp;";",SMALL(IF(ISERROR(SEARCH(MID(";"&amp;'CASE DATA'!$F105&amp;";",ROW($1:$99),1),";")),"",ROW($1:$99)+1),COLUMN(L105)),SMALL(IF(ISERROR(SEARCH(MID(";"&amp;'CASE DATA'!$F105&amp;";",ROW($1:$99),1),";")),"",ROW($1:$99)),COLUMN(L104)+1)-SMALL(IF(ISERROR(SEARCH(MID(";"&amp;'CASE DATA'!$F105&amp;";",ROW($1:$99),1),";")),"",ROW($1:$99)),COLUMN(L104))-1)</f>
        <v/>
      </c>
      <c r="AI105" s="75" t="str" cm="1">
        <f t="array" ref="AI105">MID(";"&amp;'CASE DATA'!$F105&amp;";",SMALL(IF(ISERROR(SEARCH(MID(";"&amp;'CASE DATA'!$F105&amp;";",ROW($1:$99),1),";")),"",ROW($1:$99)+1),COLUMN(M105)),SMALL(IF(ISERROR(SEARCH(MID(";"&amp;'CASE DATA'!$F105&amp;";",ROW($1:$99),1),";")),"",ROW($1:$99)),COLUMN(M104)+1)-SMALL(IF(ISERROR(SEARCH(MID(";"&amp;'CASE DATA'!$F105&amp;";",ROW($1:$99),1),";")),"",ROW($1:$99)),COLUMN(M104))-1)</f>
        <v/>
      </c>
      <c r="BO105" s="99"/>
      <c r="BP105" s="99"/>
      <c r="BQ105" s="99"/>
      <c r="BR105" s="99"/>
      <c r="BS105" s="99"/>
      <c r="BT105" s="99"/>
      <c r="BU105" s="99"/>
      <c r="BV105" s="99"/>
      <c r="BW105" s="99"/>
      <c r="BX105" s="99"/>
      <c r="BY105" s="99"/>
      <c r="BZ105" s="99"/>
      <c r="CA105" s="99"/>
      <c r="CB105" s="99"/>
      <c r="CC105" s="99"/>
      <c r="CD105" s="99"/>
      <c r="CE105" s="99"/>
      <c r="CF105" s="99"/>
      <c r="CG105" s="99"/>
      <c r="CH105" s="99"/>
      <c r="CI105" s="99"/>
      <c r="CJ105" s="99"/>
      <c r="CK105" s="99"/>
      <c r="CL105" s="99"/>
      <c r="CM105" s="99"/>
      <c r="CN105" s="99"/>
      <c r="CO105" s="99"/>
      <c r="CP105" s="99"/>
      <c r="CQ105" s="99"/>
      <c r="CR105" s="99"/>
      <c r="CS105" s="99"/>
      <c r="CT105" s="99"/>
      <c r="CU105" s="99"/>
      <c r="CV105" s="99"/>
      <c r="CW105" s="99"/>
      <c r="CX105" s="99"/>
      <c r="CY105" s="99"/>
      <c r="CZ105" s="99"/>
      <c r="DA105" s="99"/>
      <c r="DB105" s="99"/>
      <c r="DC105" s="99"/>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99"/>
      <c r="EE105" s="99"/>
      <c r="EF105" s="99"/>
      <c r="EG105" s="99"/>
      <c r="EH105" s="99"/>
      <c r="EI105" s="99"/>
      <c r="EJ105" s="99"/>
      <c r="EK105" s="99"/>
      <c r="EL105" s="99"/>
      <c r="EM105" s="99"/>
      <c r="EN105" s="99"/>
      <c r="EO105" s="99"/>
      <c r="EP105" s="99"/>
      <c r="EQ105" s="99"/>
      <c r="ER105" s="99"/>
      <c r="ES105" s="99"/>
      <c r="ET105" s="99"/>
      <c r="EU105" s="99"/>
      <c r="EV105" s="99"/>
      <c r="EW105" s="99"/>
      <c r="EX105" s="99"/>
      <c r="EY105" s="99"/>
      <c r="EZ105" s="99"/>
      <c r="FA105" s="99"/>
      <c r="FB105" s="99"/>
      <c r="FC105" s="99"/>
      <c r="FD105" s="99"/>
      <c r="FE105" s="99"/>
      <c r="FF105" s="99"/>
      <c r="FG105" s="99"/>
      <c r="FH105" s="99"/>
      <c r="FI105" s="99"/>
      <c r="FJ105" s="99"/>
      <c r="FK105" s="99"/>
    </row>
    <row r="106" spans="1:167" x14ac:dyDescent="0.25">
      <c r="C106" s="10"/>
      <c r="D106" s="10"/>
      <c r="E106" s="11"/>
      <c r="F106" s="15"/>
      <c r="J106" s="99">
        <v>103</v>
      </c>
      <c r="K106" s="16"/>
      <c r="L106" s="16"/>
      <c r="M106" s="16"/>
      <c r="N106" s="16"/>
      <c r="O106" s="16"/>
      <c r="P106" s="16"/>
      <c r="Q106" s="16"/>
      <c r="R106" s="16"/>
      <c r="S106" s="16"/>
      <c r="T106" s="16"/>
      <c r="U106" s="73">
        <f>SUM(K106:T106)</f>
        <v>0</v>
      </c>
      <c r="V106" s="73"/>
      <c r="X106" s="75" t="str" cm="1">
        <f t="array" ref="X106">MID(";"&amp;'CASE DATA'!$F106&amp;";",SMALL(IF(ISERROR(SEARCH(MID(";"&amp;'CASE DATA'!$F106&amp;";",ROW($1:$99),1),";")),"",ROW($1:$99)+1),COLUMN(A106)),SMALL(IF(ISERROR(SEARCH(MID(";"&amp;'CASE DATA'!$F106&amp;";",ROW($1:$99),1),";")),"",ROW($1:$99)),COLUMN(A105)+1)-SMALL(IF(ISERROR(SEARCH(MID(";"&amp;'CASE DATA'!$F106&amp;";",ROW($1:$99),1),";")),"",ROW($1:$99)),COLUMN(A105))-1)</f>
        <v/>
      </c>
      <c r="Y106" s="75" t="str" cm="1">
        <f t="array" ref="Y106">MID(";"&amp;'CASE DATA'!$F106&amp;";",SMALL(IF(ISERROR(SEARCH(MID(";"&amp;'CASE DATA'!$F106&amp;";",ROW($1:$99),1),";")),"",ROW($1:$99)+1),COLUMN(B106)),SMALL(IF(ISERROR(SEARCH(MID(";"&amp;'CASE DATA'!$F106&amp;";",ROW($1:$99),1),";")),"",ROW($1:$99)),COLUMN(B105)+1)-SMALL(IF(ISERROR(SEARCH(MID(";"&amp;'CASE DATA'!$F106&amp;";",ROW($1:$99),1),";")),"",ROW($1:$99)),COLUMN(B105))-1)</f>
        <v/>
      </c>
      <c r="Z106" s="75" t="str" cm="1">
        <f t="array" ref="Z106">MID(";"&amp;'CASE DATA'!$F106&amp;";",SMALL(IF(ISERROR(SEARCH(MID(";"&amp;'CASE DATA'!$F106&amp;";",ROW($1:$99),1),";")),"",ROW($1:$99)+1),COLUMN(C106)),SMALL(IF(ISERROR(SEARCH(MID(";"&amp;'CASE DATA'!$F106&amp;";",ROW($1:$99),1),";")),"",ROW($1:$99)),COLUMN(C105)+1)-SMALL(IF(ISERROR(SEARCH(MID(";"&amp;'CASE DATA'!$F106&amp;";",ROW($1:$99),1),";")),"",ROW($1:$99)),COLUMN(C105))-1)</f>
        <v/>
      </c>
      <c r="AA106" s="75" t="str" cm="1">
        <f t="array" ref="AA106">MID(";"&amp;'CASE DATA'!$F106&amp;";",SMALL(IF(ISERROR(SEARCH(MID(";"&amp;'CASE DATA'!$F106&amp;";",ROW($1:$99),1),";")),"",ROW($1:$99)+1),COLUMN(D106)),SMALL(IF(ISERROR(SEARCH(MID(";"&amp;'CASE DATA'!$F106&amp;";",ROW($1:$99),1),";")),"",ROW($1:$99)),COLUMN(D105)+1)-SMALL(IF(ISERROR(SEARCH(MID(";"&amp;'CASE DATA'!$F106&amp;";",ROW($1:$99),1),";")),"",ROW($1:$99)),COLUMN(D105))-1)</f>
        <v/>
      </c>
      <c r="AB106" s="75" t="str" cm="1">
        <f t="array" ref="AB106">MID(";"&amp;'CASE DATA'!$F106&amp;";",SMALL(IF(ISERROR(SEARCH(MID(";"&amp;'CASE DATA'!$F106&amp;";",ROW($1:$99),1),";")),"",ROW($1:$99)+1),COLUMN(E106)),SMALL(IF(ISERROR(SEARCH(MID(";"&amp;'CASE DATA'!$F106&amp;";",ROW($1:$99),1),";")),"",ROW($1:$99)),COLUMN(E105)+1)-SMALL(IF(ISERROR(SEARCH(MID(";"&amp;'CASE DATA'!$F106&amp;";",ROW($1:$99),1),";")),"",ROW($1:$99)),COLUMN(E105))-1)</f>
        <v/>
      </c>
      <c r="AC106" s="75" t="str" cm="1">
        <f t="array" ref="AC106">MID(";"&amp;'CASE DATA'!$F106&amp;";",SMALL(IF(ISERROR(SEARCH(MID(";"&amp;'CASE DATA'!$F106&amp;";",ROW($1:$99),1),";")),"",ROW($1:$99)+1),COLUMN(F106)),SMALL(IF(ISERROR(SEARCH(MID(";"&amp;'CASE DATA'!$F106&amp;";",ROW($1:$99),1),";")),"",ROW($1:$99)),COLUMN(F105)+1)-SMALL(IF(ISERROR(SEARCH(MID(";"&amp;'CASE DATA'!$F106&amp;";",ROW($1:$99),1),";")),"",ROW($1:$99)),COLUMN(F105))-1)</f>
        <v/>
      </c>
      <c r="AD106" s="75" t="str" cm="1">
        <f t="array" ref="AD106">MID(";"&amp;'CASE DATA'!$F106&amp;";",SMALL(IF(ISERROR(SEARCH(MID(";"&amp;'CASE DATA'!$F106&amp;";",ROW($1:$99),1),";")),"",ROW($1:$99)+1),COLUMN(G106)),SMALL(IF(ISERROR(SEARCH(MID(";"&amp;'CASE DATA'!$F106&amp;";",ROW($1:$99),1),";")),"",ROW($1:$99)),COLUMN(G105)+1)-SMALL(IF(ISERROR(SEARCH(MID(";"&amp;'CASE DATA'!$F106&amp;";",ROW($1:$99),1),";")),"",ROW($1:$99)),COLUMN(G105))-1)</f>
        <v/>
      </c>
      <c r="AE106" s="75" t="str" cm="1">
        <f t="array" ref="AE106">MID(";"&amp;'CASE DATA'!$F106&amp;";",SMALL(IF(ISERROR(SEARCH(MID(";"&amp;'CASE DATA'!$F106&amp;";",ROW($1:$99),1),";")),"",ROW($1:$99)+1),COLUMN(H106)),SMALL(IF(ISERROR(SEARCH(MID(";"&amp;'CASE DATA'!$F106&amp;";",ROW($1:$99),1),";")),"",ROW($1:$99)),COLUMN(H105)+1)-SMALL(IF(ISERROR(SEARCH(MID(";"&amp;'CASE DATA'!$F106&amp;";",ROW($1:$99),1),";")),"",ROW($1:$99)),COLUMN(H105))-1)</f>
        <v/>
      </c>
      <c r="AF106" s="75" t="str" cm="1">
        <f t="array" ref="AF106">MID(";"&amp;'CASE DATA'!$F106&amp;";",SMALL(IF(ISERROR(SEARCH(MID(";"&amp;'CASE DATA'!$F106&amp;";",ROW($1:$99),1),";")),"",ROW($1:$99)+1),COLUMN(I106)),SMALL(IF(ISERROR(SEARCH(MID(";"&amp;'CASE DATA'!$F106&amp;";",ROW($1:$99),1),";")),"",ROW($1:$99)),COLUMN(I105)+1)-SMALL(IF(ISERROR(SEARCH(MID(";"&amp;'CASE DATA'!$F106&amp;";",ROW($1:$99),1),";")),"",ROW($1:$99)),COLUMN(I105))-1)</f>
        <v/>
      </c>
      <c r="AG106" s="75" t="str" cm="1">
        <f t="array" ref="AG106">MID(";"&amp;'CASE DATA'!$F106&amp;";",SMALL(IF(ISERROR(SEARCH(MID(";"&amp;'CASE DATA'!$F106&amp;";",ROW($1:$99),1),";")),"",ROW($1:$99)+1),COLUMN(K106)),SMALL(IF(ISERROR(SEARCH(MID(";"&amp;'CASE DATA'!$F106&amp;";",ROW($1:$99),1),";")),"",ROW($1:$99)),COLUMN(K105)+1)-SMALL(IF(ISERROR(SEARCH(MID(";"&amp;'CASE DATA'!$F106&amp;";",ROW($1:$99),1),";")),"",ROW($1:$99)),COLUMN(K105))-1)</f>
        <v/>
      </c>
      <c r="AH106" s="75" t="str" cm="1">
        <f t="array" ref="AH106">MID(";"&amp;'CASE DATA'!$F106&amp;";",SMALL(IF(ISERROR(SEARCH(MID(";"&amp;'CASE DATA'!$F106&amp;";",ROW($1:$99),1),";")),"",ROW($1:$99)+1),COLUMN(L106)),SMALL(IF(ISERROR(SEARCH(MID(";"&amp;'CASE DATA'!$F106&amp;";",ROW($1:$99),1),";")),"",ROW($1:$99)),COLUMN(L105)+1)-SMALL(IF(ISERROR(SEARCH(MID(";"&amp;'CASE DATA'!$F106&amp;";",ROW($1:$99),1),";")),"",ROW($1:$99)),COLUMN(L105))-1)</f>
        <v/>
      </c>
      <c r="AI106" s="75" t="str" cm="1">
        <f t="array" ref="AI106">MID(";"&amp;'CASE DATA'!$F106&amp;";",SMALL(IF(ISERROR(SEARCH(MID(";"&amp;'CASE DATA'!$F106&amp;";",ROW($1:$99),1),";")),"",ROW($1:$99)+1),COLUMN(M106)),SMALL(IF(ISERROR(SEARCH(MID(";"&amp;'CASE DATA'!$F106&amp;";",ROW($1:$99),1),";")),"",ROW($1:$99)),COLUMN(M105)+1)-SMALL(IF(ISERROR(SEARCH(MID(";"&amp;'CASE DATA'!$F106&amp;";",ROW($1:$99),1),";")),"",ROW($1:$99)),COLUMN(M105))-1)</f>
        <v/>
      </c>
      <c r="BO106" s="99"/>
      <c r="BP106" s="99"/>
      <c r="BQ106" s="99"/>
      <c r="BR106" s="99"/>
      <c r="BS106" s="99"/>
      <c r="BT106" s="99"/>
      <c r="BU106" s="99"/>
      <c r="BV106" s="99"/>
      <c r="BW106" s="99"/>
      <c r="BX106" s="99"/>
      <c r="BY106" s="99"/>
      <c r="BZ106" s="99"/>
      <c r="CA106" s="99"/>
      <c r="CB106" s="99"/>
      <c r="CC106" s="99"/>
      <c r="CD106" s="99"/>
      <c r="CE106" s="99"/>
      <c r="CF106" s="99"/>
      <c r="CG106" s="99"/>
      <c r="CH106" s="99"/>
      <c r="CI106" s="99"/>
      <c r="CJ106" s="99"/>
      <c r="CK106" s="99"/>
      <c r="CL106" s="99"/>
      <c r="CM106" s="99"/>
      <c r="CN106" s="99"/>
      <c r="CO106" s="99"/>
      <c r="CP106" s="99"/>
      <c r="CQ106" s="99"/>
      <c r="CR106" s="99"/>
      <c r="CS106" s="99"/>
      <c r="CT106" s="99"/>
      <c r="CU106" s="99"/>
      <c r="CV106" s="99"/>
      <c r="CW106" s="99"/>
      <c r="CX106" s="99"/>
      <c r="CY106" s="99"/>
      <c r="CZ106" s="99"/>
      <c r="DA106" s="99"/>
      <c r="DB106" s="99"/>
      <c r="DC106" s="99"/>
      <c r="DD106" s="99"/>
      <c r="DE106" s="99"/>
      <c r="DF106" s="99"/>
      <c r="DG106" s="99"/>
      <c r="DH106" s="99"/>
      <c r="DI106" s="99"/>
      <c r="DJ106" s="99"/>
      <c r="DK106" s="99"/>
      <c r="DL106" s="99"/>
      <c r="DM106" s="99"/>
      <c r="DN106" s="99"/>
      <c r="DO106" s="99"/>
      <c r="DP106" s="99"/>
      <c r="DQ106" s="99"/>
      <c r="DR106" s="99"/>
      <c r="DS106" s="99"/>
      <c r="DT106" s="99"/>
      <c r="DU106" s="99"/>
      <c r="DV106" s="99"/>
      <c r="DW106" s="99"/>
      <c r="DX106" s="99"/>
      <c r="DY106" s="99"/>
      <c r="DZ106" s="99"/>
      <c r="EA106" s="99"/>
      <c r="EB106" s="99"/>
      <c r="EC106" s="99"/>
      <c r="ED106" s="99"/>
      <c r="EE106" s="99"/>
      <c r="EF106" s="99"/>
      <c r="EG106" s="99"/>
      <c r="EH106" s="99"/>
      <c r="EI106" s="99"/>
      <c r="EJ106" s="99"/>
      <c r="EK106" s="99"/>
      <c r="EL106" s="99"/>
      <c r="EM106" s="99"/>
      <c r="EN106" s="99"/>
      <c r="EO106" s="99"/>
      <c r="EP106" s="99"/>
      <c r="EQ106" s="99"/>
      <c r="ER106" s="99"/>
      <c r="ES106" s="99"/>
      <c r="ET106" s="99"/>
      <c r="EU106" s="99"/>
      <c r="EV106" s="99"/>
      <c r="EW106" s="99"/>
      <c r="EX106" s="99"/>
      <c r="EY106" s="99"/>
      <c r="EZ106" s="99"/>
      <c r="FA106" s="99"/>
      <c r="FB106" s="99"/>
      <c r="FC106" s="99"/>
      <c r="FD106" s="99"/>
      <c r="FE106" s="99"/>
      <c r="FF106" s="99"/>
      <c r="FG106" s="99"/>
      <c r="FH106" s="99"/>
      <c r="FI106" s="99"/>
      <c r="FJ106" s="99"/>
      <c r="FK106" s="99"/>
    </row>
    <row r="107" spans="1:167" x14ac:dyDescent="0.25">
      <c r="C107" s="10"/>
      <c r="D107" s="10"/>
      <c r="E107" s="11"/>
      <c r="F107" s="15"/>
      <c r="J107" s="99">
        <v>104</v>
      </c>
      <c r="K107" s="16"/>
      <c r="L107" s="16"/>
      <c r="M107" s="16"/>
      <c r="N107" s="16"/>
      <c r="O107" s="16"/>
      <c r="P107" s="16"/>
      <c r="Q107" s="16"/>
      <c r="R107" s="16"/>
      <c r="S107" s="16"/>
      <c r="T107" s="16"/>
      <c r="U107" s="73">
        <f>SUM(K107:T107)</f>
        <v>0</v>
      </c>
      <c r="V107" s="73"/>
      <c r="X107" s="75" t="str" cm="1">
        <f t="array" ref="X107">MID(";"&amp;'CASE DATA'!$F107&amp;";",SMALL(IF(ISERROR(SEARCH(MID(";"&amp;'CASE DATA'!$F107&amp;";",ROW($1:$99),1),";")),"",ROW($1:$99)+1),COLUMN(A107)),SMALL(IF(ISERROR(SEARCH(MID(";"&amp;'CASE DATA'!$F107&amp;";",ROW($1:$99),1),";")),"",ROW($1:$99)),COLUMN(A106)+1)-SMALL(IF(ISERROR(SEARCH(MID(";"&amp;'CASE DATA'!$F107&amp;";",ROW($1:$99),1),";")),"",ROW($1:$99)),COLUMN(A106))-1)</f>
        <v/>
      </c>
      <c r="Y107" s="75" t="str" cm="1">
        <f t="array" ref="Y107">MID(";"&amp;'CASE DATA'!$F107&amp;";",SMALL(IF(ISERROR(SEARCH(MID(";"&amp;'CASE DATA'!$F107&amp;";",ROW($1:$99),1),";")),"",ROW($1:$99)+1),COLUMN(B107)),SMALL(IF(ISERROR(SEARCH(MID(";"&amp;'CASE DATA'!$F107&amp;";",ROW($1:$99),1),";")),"",ROW($1:$99)),COLUMN(B106)+1)-SMALL(IF(ISERROR(SEARCH(MID(";"&amp;'CASE DATA'!$F107&amp;";",ROW($1:$99),1),";")),"",ROW($1:$99)),COLUMN(B106))-1)</f>
        <v/>
      </c>
      <c r="Z107" s="75" t="str" cm="1">
        <f t="array" ref="Z107">MID(";"&amp;'CASE DATA'!$F107&amp;";",SMALL(IF(ISERROR(SEARCH(MID(";"&amp;'CASE DATA'!$F107&amp;";",ROW($1:$99),1),";")),"",ROW($1:$99)+1),COLUMN(C107)),SMALL(IF(ISERROR(SEARCH(MID(";"&amp;'CASE DATA'!$F107&amp;";",ROW($1:$99),1),";")),"",ROW($1:$99)),COLUMN(C106)+1)-SMALL(IF(ISERROR(SEARCH(MID(";"&amp;'CASE DATA'!$F107&amp;";",ROW($1:$99),1),";")),"",ROW($1:$99)),COLUMN(C106))-1)</f>
        <v/>
      </c>
      <c r="AA107" s="75" t="str" cm="1">
        <f t="array" ref="AA107">MID(";"&amp;'CASE DATA'!$F107&amp;";",SMALL(IF(ISERROR(SEARCH(MID(";"&amp;'CASE DATA'!$F107&amp;";",ROW($1:$99),1),";")),"",ROW($1:$99)+1),COLUMN(D107)),SMALL(IF(ISERROR(SEARCH(MID(";"&amp;'CASE DATA'!$F107&amp;";",ROW($1:$99),1),";")),"",ROW($1:$99)),COLUMN(D106)+1)-SMALL(IF(ISERROR(SEARCH(MID(";"&amp;'CASE DATA'!$F107&amp;";",ROW($1:$99),1),";")),"",ROW($1:$99)),COLUMN(D106))-1)</f>
        <v/>
      </c>
      <c r="AB107" s="75" t="str" cm="1">
        <f t="array" ref="AB107">MID(";"&amp;'CASE DATA'!$F107&amp;";",SMALL(IF(ISERROR(SEARCH(MID(";"&amp;'CASE DATA'!$F107&amp;";",ROW($1:$99),1),";")),"",ROW($1:$99)+1),COLUMN(E107)),SMALL(IF(ISERROR(SEARCH(MID(";"&amp;'CASE DATA'!$F107&amp;";",ROW($1:$99),1),";")),"",ROW($1:$99)),COLUMN(E106)+1)-SMALL(IF(ISERROR(SEARCH(MID(";"&amp;'CASE DATA'!$F107&amp;";",ROW($1:$99),1),";")),"",ROW($1:$99)),COLUMN(E106))-1)</f>
        <v/>
      </c>
      <c r="AC107" s="75" t="str" cm="1">
        <f t="array" ref="AC107">MID(";"&amp;'CASE DATA'!$F107&amp;";",SMALL(IF(ISERROR(SEARCH(MID(";"&amp;'CASE DATA'!$F107&amp;";",ROW($1:$99),1),";")),"",ROW($1:$99)+1),COLUMN(F107)),SMALL(IF(ISERROR(SEARCH(MID(";"&amp;'CASE DATA'!$F107&amp;";",ROW($1:$99),1),";")),"",ROW($1:$99)),COLUMN(F106)+1)-SMALL(IF(ISERROR(SEARCH(MID(";"&amp;'CASE DATA'!$F107&amp;";",ROW($1:$99),1),";")),"",ROW($1:$99)),COLUMN(F106))-1)</f>
        <v/>
      </c>
      <c r="AD107" s="75" t="str" cm="1">
        <f t="array" ref="AD107">MID(";"&amp;'CASE DATA'!$F107&amp;";",SMALL(IF(ISERROR(SEARCH(MID(";"&amp;'CASE DATA'!$F107&amp;";",ROW($1:$99),1),";")),"",ROW($1:$99)+1),COLUMN(G107)),SMALL(IF(ISERROR(SEARCH(MID(";"&amp;'CASE DATA'!$F107&amp;";",ROW($1:$99),1),";")),"",ROW($1:$99)),COLUMN(G106)+1)-SMALL(IF(ISERROR(SEARCH(MID(";"&amp;'CASE DATA'!$F107&amp;";",ROW($1:$99),1),";")),"",ROW($1:$99)),COLUMN(G106))-1)</f>
        <v/>
      </c>
      <c r="AE107" s="75" t="str" cm="1">
        <f t="array" ref="AE107">MID(";"&amp;'CASE DATA'!$F107&amp;";",SMALL(IF(ISERROR(SEARCH(MID(";"&amp;'CASE DATA'!$F107&amp;";",ROW($1:$99),1),";")),"",ROW($1:$99)+1),COLUMN(H107)),SMALL(IF(ISERROR(SEARCH(MID(";"&amp;'CASE DATA'!$F107&amp;";",ROW($1:$99),1),";")),"",ROW($1:$99)),COLUMN(H106)+1)-SMALL(IF(ISERROR(SEARCH(MID(";"&amp;'CASE DATA'!$F107&amp;";",ROW($1:$99),1),";")),"",ROW($1:$99)),COLUMN(H106))-1)</f>
        <v/>
      </c>
      <c r="AF107" s="75" t="str" cm="1">
        <f t="array" ref="AF107">MID(";"&amp;'CASE DATA'!$F107&amp;";",SMALL(IF(ISERROR(SEARCH(MID(";"&amp;'CASE DATA'!$F107&amp;";",ROW($1:$99),1),";")),"",ROW($1:$99)+1),COLUMN(I107)),SMALL(IF(ISERROR(SEARCH(MID(";"&amp;'CASE DATA'!$F107&amp;";",ROW($1:$99),1),";")),"",ROW($1:$99)),COLUMN(I106)+1)-SMALL(IF(ISERROR(SEARCH(MID(";"&amp;'CASE DATA'!$F107&amp;";",ROW($1:$99),1),";")),"",ROW($1:$99)),COLUMN(I106))-1)</f>
        <v/>
      </c>
      <c r="AG107" s="75" t="str" cm="1">
        <f t="array" ref="AG107">MID(";"&amp;'CASE DATA'!$F107&amp;";",SMALL(IF(ISERROR(SEARCH(MID(";"&amp;'CASE DATA'!$F107&amp;";",ROW($1:$99),1),";")),"",ROW($1:$99)+1),COLUMN(K107)),SMALL(IF(ISERROR(SEARCH(MID(";"&amp;'CASE DATA'!$F107&amp;";",ROW($1:$99),1),";")),"",ROW($1:$99)),COLUMN(K106)+1)-SMALL(IF(ISERROR(SEARCH(MID(";"&amp;'CASE DATA'!$F107&amp;";",ROW($1:$99),1),";")),"",ROW($1:$99)),COLUMN(K106))-1)</f>
        <v/>
      </c>
      <c r="AH107" s="75" t="str" cm="1">
        <f t="array" ref="AH107">MID(";"&amp;'CASE DATA'!$F107&amp;";",SMALL(IF(ISERROR(SEARCH(MID(";"&amp;'CASE DATA'!$F107&amp;";",ROW($1:$99),1),";")),"",ROW($1:$99)+1),COLUMN(L107)),SMALL(IF(ISERROR(SEARCH(MID(";"&amp;'CASE DATA'!$F107&amp;";",ROW($1:$99),1),";")),"",ROW($1:$99)),COLUMN(L106)+1)-SMALL(IF(ISERROR(SEARCH(MID(";"&amp;'CASE DATA'!$F107&amp;";",ROW($1:$99),1),";")),"",ROW($1:$99)),COLUMN(L106))-1)</f>
        <v/>
      </c>
      <c r="AI107" s="75" t="str" cm="1">
        <f t="array" ref="AI107">MID(";"&amp;'CASE DATA'!$F107&amp;";",SMALL(IF(ISERROR(SEARCH(MID(";"&amp;'CASE DATA'!$F107&amp;";",ROW($1:$99),1),";")),"",ROW($1:$99)+1),COLUMN(M107)),SMALL(IF(ISERROR(SEARCH(MID(";"&amp;'CASE DATA'!$F107&amp;";",ROW($1:$99),1),";")),"",ROW($1:$99)),COLUMN(M106)+1)-SMALL(IF(ISERROR(SEARCH(MID(";"&amp;'CASE DATA'!$F107&amp;";",ROW($1:$99),1),";")),"",ROW($1:$99)),COLUMN(M106))-1)</f>
        <v/>
      </c>
      <c r="BO107" s="99"/>
      <c r="BP107" s="99"/>
      <c r="BQ107" s="99"/>
      <c r="BR107" s="99"/>
      <c r="BS107" s="99"/>
      <c r="BT107" s="99"/>
      <c r="BU107" s="99"/>
      <c r="BV107" s="99"/>
      <c r="BW107" s="99"/>
      <c r="BX107" s="99"/>
      <c r="BY107" s="99"/>
      <c r="BZ107" s="99"/>
      <c r="CA107" s="99"/>
      <c r="CB107" s="99"/>
      <c r="CC107" s="99"/>
      <c r="CD107" s="99"/>
      <c r="CE107" s="99"/>
      <c r="CF107" s="99"/>
      <c r="CG107" s="99"/>
      <c r="CH107" s="99"/>
      <c r="CI107" s="99"/>
      <c r="CJ107" s="99"/>
      <c r="CK107" s="99"/>
      <c r="CL107" s="99"/>
      <c r="CM107" s="99"/>
      <c r="CN107" s="99"/>
      <c r="CO107" s="99"/>
      <c r="CP107" s="99"/>
      <c r="CQ107" s="99"/>
      <c r="CR107" s="99"/>
      <c r="CS107" s="99"/>
      <c r="CT107" s="99"/>
      <c r="CU107" s="99"/>
      <c r="CV107" s="99"/>
      <c r="CW107" s="99"/>
      <c r="CX107" s="99"/>
      <c r="CY107" s="99"/>
      <c r="CZ107" s="99"/>
      <c r="DA107" s="99"/>
      <c r="DB107" s="99"/>
      <c r="DC107" s="99"/>
      <c r="DD107" s="99"/>
      <c r="DE107" s="99"/>
      <c r="DF107" s="99"/>
      <c r="DG107" s="99"/>
      <c r="DH107" s="99"/>
      <c r="DI107" s="99"/>
      <c r="DJ107" s="99"/>
      <c r="DK107" s="99"/>
      <c r="DL107" s="99"/>
      <c r="DM107" s="99"/>
      <c r="DN107" s="99"/>
      <c r="DO107" s="99"/>
      <c r="DP107" s="99"/>
      <c r="DQ107" s="99"/>
      <c r="DR107" s="99"/>
      <c r="DS107" s="99"/>
      <c r="DT107" s="99"/>
      <c r="DU107" s="99"/>
      <c r="DV107" s="99"/>
      <c r="DW107" s="99"/>
      <c r="DX107" s="99"/>
      <c r="DY107" s="99"/>
      <c r="DZ107" s="99"/>
      <c r="EA107" s="99"/>
      <c r="EB107" s="99"/>
      <c r="EC107" s="99"/>
      <c r="ED107" s="99"/>
      <c r="EE107" s="99"/>
      <c r="EF107" s="99"/>
      <c r="EG107" s="99"/>
      <c r="EH107" s="99"/>
      <c r="EI107" s="99"/>
      <c r="EJ107" s="99"/>
      <c r="EK107" s="99"/>
      <c r="EL107" s="99"/>
      <c r="EM107" s="99"/>
      <c r="EN107" s="99"/>
      <c r="EO107" s="99"/>
      <c r="EP107" s="99"/>
      <c r="EQ107" s="99"/>
      <c r="ER107" s="99"/>
      <c r="ES107" s="99"/>
      <c r="ET107" s="99"/>
      <c r="EU107" s="99"/>
      <c r="EV107" s="99"/>
      <c r="EW107" s="99"/>
      <c r="EX107" s="99"/>
      <c r="EY107" s="99"/>
      <c r="EZ107" s="99"/>
      <c r="FA107" s="99"/>
      <c r="FB107" s="99"/>
      <c r="FC107" s="99"/>
      <c r="FD107" s="99"/>
      <c r="FE107" s="99"/>
      <c r="FF107" s="99"/>
      <c r="FG107" s="99"/>
      <c r="FH107" s="99"/>
      <c r="FI107" s="99"/>
      <c r="FJ107" s="99"/>
      <c r="FK107" s="99"/>
    </row>
    <row r="108" spans="1:167" x14ac:dyDescent="0.25">
      <c r="C108" s="10"/>
      <c r="D108" s="10"/>
      <c r="E108" s="11"/>
      <c r="F108" s="15"/>
      <c r="J108" s="99">
        <v>105</v>
      </c>
      <c r="K108" s="16"/>
      <c r="L108" s="16"/>
      <c r="M108" s="16"/>
      <c r="N108" s="16"/>
      <c r="O108" s="16"/>
      <c r="P108" s="16"/>
      <c r="Q108" s="16"/>
      <c r="R108" s="16"/>
      <c r="S108" s="16"/>
      <c r="T108" s="16"/>
      <c r="U108" s="73">
        <f>SUM(K108:T108)</f>
        <v>0</v>
      </c>
      <c r="V108" s="73"/>
      <c r="X108" s="75" t="str" cm="1">
        <f t="array" ref="X108">MID(";"&amp;'CASE DATA'!$F108&amp;";",SMALL(IF(ISERROR(SEARCH(MID(";"&amp;'CASE DATA'!$F108&amp;";",ROW($1:$99),1),";")),"",ROW($1:$99)+1),COLUMN(A108)),SMALL(IF(ISERROR(SEARCH(MID(";"&amp;'CASE DATA'!$F108&amp;";",ROW($1:$99),1),";")),"",ROW($1:$99)),COLUMN(A107)+1)-SMALL(IF(ISERROR(SEARCH(MID(";"&amp;'CASE DATA'!$F108&amp;";",ROW($1:$99),1),";")),"",ROW($1:$99)),COLUMN(A107))-1)</f>
        <v/>
      </c>
      <c r="Y108" s="75" t="str" cm="1">
        <f t="array" ref="Y108">MID(";"&amp;'CASE DATA'!$F108&amp;";",SMALL(IF(ISERROR(SEARCH(MID(";"&amp;'CASE DATA'!$F108&amp;";",ROW($1:$99),1),";")),"",ROW($1:$99)+1),COLUMN(B108)),SMALL(IF(ISERROR(SEARCH(MID(";"&amp;'CASE DATA'!$F108&amp;";",ROW($1:$99),1),";")),"",ROW($1:$99)),COLUMN(B107)+1)-SMALL(IF(ISERROR(SEARCH(MID(";"&amp;'CASE DATA'!$F108&amp;";",ROW($1:$99),1),";")),"",ROW($1:$99)),COLUMN(B107))-1)</f>
        <v/>
      </c>
      <c r="Z108" s="75" t="str" cm="1">
        <f t="array" ref="Z108">MID(";"&amp;'CASE DATA'!$F108&amp;";",SMALL(IF(ISERROR(SEARCH(MID(";"&amp;'CASE DATA'!$F108&amp;";",ROW($1:$99),1),";")),"",ROW($1:$99)+1),COLUMN(C108)),SMALL(IF(ISERROR(SEARCH(MID(";"&amp;'CASE DATA'!$F108&amp;";",ROW($1:$99),1),";")),"",ROW($1:$99)),COLUMN(C107)+1)-SMALL(IF(ISERROR(SEARCH(MID(";"&amp;'CASE DATA'!$F108&amp;";",ROW($1:$99),1),";")),"",ROW($1:$99)),COLUMN(C107))-1)</f>
        <v/>
      </c>
      <c r="AA108" s="75" t="str" cm="1">
        <f t="array" ref="AA108">MID(";"&amp;'CASE DATA'!$F108&amp;";",SMALL(IF(ISERROR(SEARCH(MID(";"&amp;'CASE DATA'!$F108&amp;";",ROW($1:$99),1),";")),"",ROW($1:$99)+1),COLUMN(D108)),SMALL(IF(ISERROR(SEARCH(MID(";"&amp;'CASE DATA'!$F108&amp;";",ROW($1:$99),1),";")),"",ROW($1:$99)),COLUMN(D107)+1)-SMALL(IF(ISERROR(SEARCH(MID(";"&amp;'CASE DATA'!$F108&amp;";",ROW($1:$99),1),";")),"",ROW($1:$99)),COLUMN(D107))-1)</f>
        <v/>
      </c>
      <c r="AB108" s="75" t="str" cm="1">
        <f t="array" ref="AB108">MID(";"&amp;'CASE DATA'!$F108&amp;";",SMALL(IF(ISERROR(SEARCH(MID(";"&amp;'CASE DATA'!$F108&amp;";",ROW($1:$99),1),";")),"",ROW($1:$99)+1),COLUMN(E108)),SMALL(IF(ISERROR(SEARCH(MID(";"&amp;'CASE DATA'!$F108&amp;";",ROW($1:$99),1),";")),"",ROW($1:$99)),COLUMN(E107)+1)-SMALL(IF(ISERROR(SEARCH(MID(";"&amp;'CASE DATA'!$F108&amp;";",ROW($1:$99),1),";")),"",ROW($1:$99)),COLUMN(E107))-1)</f>
        <v/>
      </c>
      <c r="AC108" s="75" t="str" cm="1">
        <f t="array" ref="AC108">MID(";"&amp;'CASE DATA'!$F108&amp;";",SMALL(IF(ISERROR(SEARCH(MID(";"&amp;'CASE DATA'!$F108&amp;";",ROW($1:$99),1),";")),"",ROW($1:$99)+1),COLUMN(F108)),SMALL(IF(ISERROR(SEARCH(MID(";"&amp;'CASE DATA'!$F108&amp;";",ROW($1:$99),1),";")),"",ROW($1:$99)),COLUMN(F107)+1)-SMALL(IF(ISERROR(SEARCH(MID(";"&amp;'CASE DATA'!$F108&amp;";",ROW($1:$99),1),";")),"",ROW($1:$99)),COLUMN(F107))-1)</f>
        <v/>
      </c>
      <c r="AD108" s="75" t="str" cm="1">
        <f t="array" ref="AD108">MID(";"&amp;'CASE DATA'!$F108&amp;";",SMALL(IF(ISERROR(SEARCH(MID(";"&amp;'CASE DATA'!$F108&amp;";",ROW($1:$99),1),";")),"",ROW($1:$99)+1),COLUMN(G108)),SMALL(IF(ISERROR(SEARCH(MID(";"&amp;'CASE DATA'!$F108&amp;";",ROW($1:$99),1),";")),"",ROW($1:$99)),COLUMN(G107)+1)-SMALL(IF(ISERROR(SEARCH(MID(";"&amp;'CASE DATA'!$F108&amp;";",ROW($1:$99),1),";")),"",ROW($1:$99)),COLUMN(G107))-1)</f>
        <v/>
      </c>
      <c r="AE108" s="75" t="str" cm="1">
        <f t="array" ref="AE108">MID(";"&amp;'CASE DATA'!$F108&amp;";",SMALL(IF(ISERROR(SEARCH(MID(";"&amp;'CASE DATA'!$F108&amp;";",ROW($1:$99),1),";")),"",ROW($1:$99)+1),COLUMN(H108)),SMALL(IF(ISERROR(SEARCH(MID(";"&amp;'CASE DATA'!$F108&amp;";",ROW($1:$99),1),";")),"",ROW($1:$99)),COLUMN(H107)+1)-SMALL(IF(ISERROR(SEARCH(MID(";"&amp;'CASE DATA'!$F108&amp;";",ROW($1:$99),1),";")),"",ROW($1:$99)),COLUMN(H107))-1)</f>
        <v/>
      </c>
      <c r="AF108" s="75" t="str" cm="1">
        <f t="array" ref="AF108">MID(";"&amp;'CASE DATA'!$F108&amp;";",SMALL(IF(ISERROR(SEARCH(MID(";"&amp;'CASE DATA'!$F108&amp;";",ROW($1:$99),1),";")),"",ROW($1:$99)+1),COLUMN(I108)),SMALL(IF(ISERROR(SEARCH(MID(";"&amp;'CASE DATA'!$F108&amp;";",ROW($1:$99),1),";")),"",ROW($1:$99)),COLUMN(I107)+1)-SMALL(IF(ISERROR(SEARCH(MID(";"&amp;'CASE DATA'!$F108&amp;";",ROW($1:$99),1),";")),"",ROW($1:$99)),COLUMN(I107))-1)</f>
        <v/>
      </c>
      <c r="AG108" s="75" t="str" cm="1">
        <f t="array" ref="AG108">MID(";"&amp;'CASE DATA'!$F108&amp;";",SMALL(IF(ISERROR(SEARCH(MID(";"&amp;'CASE DATA'!$F108&amp;";",ROW($1:$99),1),";")),"",ROW($1:$99)+1),COLUMN(K108)),SMALL(IF(ISERROR(SEARCH(MID(";"&amp;'CASE DATA'!$F108&amp;";",ROW($1:$99),1),";")),"",ROW($1:$99)),COLUMN(K107)+1)-SMALL(IF(ISERROR(SEARCH(MID(";"&amp;'CASE DATA'!$F108&amp;";",ROW($1:$99),1),";")),"",ROW($1:$99)),COLUMN(K107))-1)</f>
        <v/>
      </c>
      <c r="AH108" s="75" t="str" cm="1">
        <f t="array" ref="AH108">MID(";"&amp;'CASE DATA'!$F108&amp;";",SMALL(IF(ISERROR(SEARCH(MID(";"&amp;'CASE DATA'!$F108&amp;";",ROW($1:$99),1),";")),"",ROW($1:$99)+1),COLUMN(L108)),SMALL(IF(ISERROR(SEARCH(MID(";"&amp;'CASE DATA'!$F108&amp;";",ROW($1:$99),1),";")),"",ROW($1:$99)),COLUMN(L107)+1)-SMALL(IF(ISERROR(SEARCH(MID(";"&amp;'CASE DATA'!$F108&amp;";",ROW($1:$99),1),";")),"",ROW($1:$99)),COLUMN(L107))-1)</f>
        <v/>
      </c>
      <c r="AI108" s="75" t="str" cm="1">
        <f t="array" ref="AI108">MID(";"&amp;'CASE DATA'!$F108&amp;";",SMALL(IF(ISERROR(SEARCH(MID(";"&amp;'CASE DATA'!$F108&amp;";",ROW($1:$99),1),";")),"",ROW($1:$99)+1),COLUMN(M108)),SMALL(IF(ISERROR(SEARCH(MID(";"&amp;'CASE DATA'!$F108&amp;";",ROW($1:$99),1),";")),"",ROW($1:$99)),COLUMN(M107)+1)-SMALL(IF(ISERROR(SEARCH(MID(";"&amp;'CASE DATA'!$F108&amp;";",ROW($1:$99),1),";")),"",ROW($1:$99)),COLUMN(M107))-1)</f>
        <v/>
      </c>
      <c r="BO108" s="99"/>
      <c r="BP108" s="99"/>
      <c r="BQ108" s="99"/>
      <c r="BR108" s="99"/>
      <c r="BS108" s="99"/>
      <c r="BT108" s="99"/>
      <c r="BU108" s="99"/>
      <c r="BV108" s="99"/>
      <c r="BW108" s="99"/>
      <c r="BX108" s="99"/>
      <c r="BY108" s="99"/>
      <c r="BZ108" s="99"/>
      <c r="CA108" s="99"/>
      <c r="CB108" s="99"/>
      <c r="CC108" s="99"/>
      <c r="CD108" s="99"/>
      <c r="CE108" s="99"/>
      <c r="CF108" s="99"/>
      <c r="CG108" s="99"/>
      <c r="CH108" s="99"/>
      <c r="CI108" s="99"/>
      <c r="CJ108" s="99"/>
      <c r="CK108" s="99"/>
      <c r="CL108" s="99"/>
      <c r="CM108" s="99"/>
      <c r="CN108" s="99"/>
      <c r="CO108" s="99"/>
      <c r="CP108" s="99"/>
      <c r="CQ108" s="99"/>
      <c r="CR108" s="99"/>
      <c r="CS108" s="99"/>
      <c r="CT108" s="99"/>
      <c r="CU108" s="99"/>
      <c r="CV108" s="99"/>
      <c r="CW108" s="99"/>
      <c r="CX108" s="99"/>
      <c r="CY108" s="99"/>
      <c r="CZ108" s="99"/>
      <c r="DA108" s="99"/>
      <c r="DB108" s="99"/>
      <c r="DC108" s="99"/>
      <c r="DD108" s="99"/>
      <c r="DE108" s="99"/>
      <c r="DF108" s="99"/>
      <c r="DG108" s="99"/>
      <c r="DH108" s="99"/>
      <c r="DI108" s="99"/>
      <c r="DJ108" s="99"/>
      <c r="DK108" s="99"/>
      <c r="DL108" s="99"/>
      <c r="DM108" s="99"/>
      <c r="DN108" s="99"/>
      <c r="DO108" s="99"/>
      <c r="DP108" s="99"/>
      <c r="DQ108" s="99"/>
      <c r="DR108" s="99"/>
      <c r="DS108" s="99"/>
      <c r="DT108" s="99"/>
      <c r="DU108" s="99"/>
      <c r="DV108" s="99"/>
      <c r="DW108" s="99"/>
      <c r="DX108" s="99"/>
      <c r="DY108" s="99"/>
      <c r="DZ108" s="99"/>
      <c r="EA108" s="99"/>
      <c r="EB108" s="99"/>
      <c r="EC108" s="99"/>
      <c r="ED108" s="99"/>
      <c r="EE108" s="99"/>
      <c r="EF108" s="99"/>
      <c r="EG108" s="99"/>
      <c r="EH108" s="99"/>
      <c r="EI108" s="99"/>
      <c r="EJ108" s="99"/>
      <c r="EK108" s="99"/>
      <c r="EL108" s="99"/>
      <c r="EM108" s="99"/>
      <c r="EN108" s="99"/>
      <c r="EO108" s="99"/>
      <c r="EP108" s="99"/>
      <c r="EQ108" s="99"/>
      <c r="ER108" s="99"/>
      <c r="ES108" s="99"/>
      <c r="ET108" s="99"/>
      <c r="EU108" s="99"/>
      <c r="EV108" s="99"/>
      <c r="EW108" s="99"/>
      <c r="EX108" s="99"/>
      <c r="EY108" s="99"/>
      <c r="EZ108" s="99"/>
      <c r="FA108" s="99"/>
      <c r="FB108" s="99"/>
      <c r="FC108" s="99"/>
      <c r="FD108" s="99"/>
      <c r="FE108" s="99"/>
      <c r="FF108" s="99"/>
      <c r="FG108" s="99"/>
      <c r="FH108" s="99"/>
      <c r="FI108" s="99"/>
      <c r="FJ108" s="99"/>
      <c r="FK108" s="99"/>
    </row>
    <row r="109" spans="1:167" x14ac:dyDescent="0.25">
      <c r="C109" s="10"/>
      <c r="D109" s="10"/>
      <c r="E109" s="11"/>
      <c r="F109" s="15"/>
      <c r="J109" s="99">
        <v>106</v>
      </c>
      <c r="K109" s="16"/>
      <c r="L109" s="16"/>
      <c r="M109" s="16"/>
      <c r="N109" s="16"/>
      <c r="O109" s="16"/>
      <c r="P109" s="16"/>
      <c r="Q109" s="16"/>
      <c r="R109" s="16"/>
      <c r="S109" s="16"/>
      <c r="T109" s="16"/>
      <c r="U109" s="73">
        <f>SUM(K109:T109)</f>
        <v>0</v>
      </c>
      <c r="V109" s="73"/>
      <c r="X109" s="75" t="str" cm="1">
        <f t="array" ref="X109">MID(";"&amp;'CASE DATA'!$F109&amp;";",SMALL(IF(ISERROR(SEARCH(MID(";"&amp;'CASE DATA'!$F109&amp;";",ROW($1:$99),1),";")),"",ROW($1:$99)+1),COLUMN(A109)),SMALL(IF(ISERROR(SEARCH(MID(";"&amp;'CASE DATA'!$F109&amp;";",ROW($1:$99),1),";")),"",ROW($1:$99)),COLUMN(A108)+1)-SMALL(IF(ISERROR(SEARCH(MID(";"&amp;'CASE DATA'!$F109&amp;";",ROW($1:$99),1),";")),"",ROW($1:$99)),COLUMN(A108))-1)</f>
        <v/>
      </c>
      <c r="Y109" s="75" t="str" cm="1">
        <f t="array" ref="Y109">MID(";"&amp;'CASE DATA'!$F109&amp;";",SMALL(IF(ISERROR(SEARCH(MID(";"&amp;'CASE DATA'!$F109&amp;";",ROW($1:$99),1),";")),"",ROW($1:$99)+1),COLUMN(B109)),SMALL(IF(ISERROR(SEARCH(MID(";"&amp;'CASE DATA'!$F109&amp;";",ROW($1:$99),1),";")),"",ROW($1:$99)),COLUMN(B108)+1)-SMALL(IF(ISERROR(SEARCH(MID(";"&amp;'CASE DATA'!$F109&amp;";",ROW($1:$99),1),";")),"",ROW($1:$99)),COLUMN(B108))-1)</f>
        <v/>
      </c>
      <c r="Z109" s="75" t="str" cm="1">
        <f t="array" ref="Z109">MID(";"&amp;'CASE DATA'!$F109&amp;";",SMALL(IF(ISERROR(SEARCH(MID(";"&amp;'CASE DATA'!$F109&amp;";",ROW($1:$99),1),";")),"",ROW($1:$99)+1),COLUMN(C109)),SMALL(IF(ISERROR(SEARCH(MID(";"&amp;'CASE DATA'!$F109&amp;";",ROW($1:$99),1),";")),"",ROW($1:$99)),COLUMN(C108)+1)-SMALL(IF(ISERROR(SEARCH(MID(";"&amp;'CASE DATA'!$F109&amp;";",ROW($1:$99),1),";")),"",ROW($1:$99)),COLUMN(C108))-1)</f>
        <v/>
      </c>
      <c r="AA109" s="75" t="str" cm="1">
        <f t="array" ref="AA109">MID(";"&amp;'CASE DATA'!$F109&amp;";",SMALL(IF(ISERROR(SEARCH(MID(";"&amp;'CASE DATA'!$F109&amp;";",ROW($1:$99),1),";")),"",ROW($1:$99)+1),COLUMN(D109)),SMALL(IF(ISERROR(SEARCH(MID(";"&amp;'CASE DATA'!$F109&amp;";",ROW($1:$99),1),";")),"",ROW($1:$99)),COLUMN(D108)+1)-SMALL(IF(ISERROR(SEARCH(MID(";"&amp;'CASE DATA'!$F109&amp;";",ROW($1:$99),1),";")),"",ROW($1:$99)),COLUMN(D108))-1)</f>
        <v/>
      </c>
      <c r="AB109" s="75" t="str" cm="1">
        <f t="array" ref="AB109">MID(";"&amp;'CASE DATA'!$F109&amp;";",SMALL(IF(ISERROR(SEARCH(MID(";"&amp;'CASE DATA'!$F109&amp;";",ROW($1:$99),1),";")),"",ROW($1:$99)+1),COLUMN(E109)),SMALL(IF(ISERROR(SEARCH(MID(";"&amp;'CASE DATA'!$F109&amp;";",ROW($1:$99),1),";")),"",ROW($1:$99)),COLUMN(E108)+1)-SMALL(IF(ISERROR(SEARCH(MID(";"&amp;'CASE DATA'!$F109&amp;";",ROW($1:$99),1),";")),"",ROW($1:$99)),COLUMN(E108))-1)</f>
        <v/>
      </c>
      <c r="AC109" s="75" t="str" cm="1">
        <f t="array" ref="AC109">MID(";"&amp;'CASE DATA'!$F109&amp;";",SMALL(IF(ISERROR(SEARCH(MID(";"&amp;'CASE DATA'!$F109&amp;";",ROW($1:$99),1),";")),"",ROW($1:$99)+1),COLUMN(F109)),SMALL(IF(ISERROR(SEARCH(MID(";"&amp;'CASE DATA'!$F109&amp;";",ROW($1:$99),1),";")),"",ROW($1:$99)),COLUMN(F108)+1)-SMALL(IF(ISERROR(SEARCH(MID(";"&amp;'CASE DATA'!$F109&amp;";",ROW($1:$99),1),";")),"",ROW($1:$99)),COLUMN(F108))-1)</f>
        <v/>
      </c>
      <c r="AD109" s="75" t="str" cm="1">
        <f t="array" ref="AD109">MID(";"&amp;'CASE DATA'!$F109&amp;";",SMALL(IF(ISERROR(SEARCH(MID(";"&amp;'CASE DATA'!$F109&amp;";",ROW($1:$99),1),";")),"",ROW($1:$99)+1),COLUMN(G109)),SMALL(IF(ISERROR(SEARCH(MID(";"&amp;'CASE DATA'!$F109&amp;";",ROW($1:$99),1),";")),"",ROW($1:$99)),COLUMN(G108)+1)-SMALL(IF(ISERROR(SEARCH(MID(";"&amp;'CASE DATA'!$F109&amp;";",ROW($1:$99),1),";")),"",ROW($1:$99)),COLUMN(G108))-1)</f>
        <v/>
      </c>
      <c r="AE109" s="75" t="str" cm="1">
        <f t="array" ref="AE109">MID(";"&amp;'CASE DATA'!$F109&amp;";",SMALL(IF(ISERROR(SEARCH(MID(";"&amp;'CASE DATA'!$F109&amp;";",ROW($1:$99),1),";")),"",ROW($1:$99)+1),COLUMN(H109)),SMALL(IF(ISERROR(SEARCH(MID(";"&amp;'CASE DATA'!$F109&amp;";",ROW($1:$99),1),";")),"",ROW($1:$99)),COLUMN(H108)+1)-SMALL(IF(ISERROR(SEARCH(MID(";"&amp;'CASE DATA'!$F109&amp;";",ROW($1:$99),1),";")),"",ROW($1:$99)),COLUMN(H108))-1)</f>
        <v/>
      </c>
      <c r="AF109" s="75" t="str" cm="1">
        <f t="array" ref="AF109">MID(";"&amp;'CASE DATA'!$F109&amp;";",SMALL(IF(ISERROR(SEARCH(MID(";"&amp;'CASE DATA'!$F109&amp;";",ROW($1:$99),1),";")),"",ROW($1:$99)+1),COLUMN(I109)),SMALL(IF(ISERROR(SEARCH(MID(";"&amp;'CASE DATA'!$F109&amp;";",ROW($1:$99),1),";")),"",ROW($1:$99)),COLUMN(I108)+1)-SMALL(IF(ISERROR(SEARCH(MID(";"&amp;'CASE DATA'!$F109&amp;";",ROW($1:$99),1),";")),"",ROW($1:$99)),COLUMN(I108))-1)</f>
        <v/>
      </c>
      <c r="AG109" s="75" t="str" cm="1">
        <f t="array" ref="AG109">MID(";"&amp;'CASE DATA'!$F109&amp;";",SMALL(IF(ISERROR(SEARCH(MID(";"&amp;'CASE DATA'!$F109&amp;";",ROW($1:$99),1),";")),"",ROW($1:$99)+1),COLUMN(K109)),SMALL(IF(ISERROR(SEARCH(MID(";"&amp;'CASE DATA'!$F109&amp;";",ROW($1:$99),1),";")),"",ROW($1:$99)),COLUMN(K108)+1)-SMALL(IF(ISERROR(SEARCH(MID(";"&amp;'CASE DATA'!$F109&amp;";",ROW($1:$99),1),";")),"",ROW($1:$99)),COLUMN(K108))-1)</f>
        <v/>
      </c>
      <c r="AH109" s="75" t="str" cm="1">
        <f t="array" ref="AH109">MID(";"&amp;'CASE DATA'!$F109&amp;";",SMALL(IF(ISERROR(SEARCH(MID(";"&amp;'CASE DATA'!$F109&amp;";",ROW($1:$99),1),";")),"",ROW($1:$99)+1),COLUMN(L109)),SMALL(IF(ISERROR(SEARCH(MID(";"&amp;'CASE DATA'!$F109&amp;";",ROW($1:$99),1),";")),"",ROW($1:$99)),COLUMN(L108)+1)-SMALL(IF(ISERROR(SEARCH(MID(";"&amp;'CASE DATA'!$F109&amp;";",ROW($1:$99),1),";")),"",ROW($1:$99)),COLUMN(L108))-1)</f>
        <v/>
      </c>
      <c r="AI109" s="75" t="str" cm="1">
        <f t="array" ref="AI109">MID(";"&amp;'CASE DATA'!$F109&amp;";",SMALL(IF(ISERROR(SEARCH(MID(";"&amp;'CASE DATA'!$F109&amp;";",ROW($1:$99),1),";")),"",ROW($1:$99)+1),COLUMN(M109)),SMALL(IF(ISERROR(SEARCH(MID(";"&amp;'CASE DATA'!$F109&amp;";",ROW($1:$99),1),";")),"",ROW($1:$99)),COLUMN(M108)+1)-SMALL(IF(ISERROR(SEARCH(MID(";"&amp;'CASE DATA'!$F109&amp;";",ROW($1:$99),1),";")),"",ROW($1:$99)),COLUMN(M108))-1)</f>
        <v/>
      </c>
      <c r="BO109" s="99"/>
      <c r="BP109" s="99"/>
      <c r="BQ109" s="99"/>
      <c r="BR109" s="99"/>
      <c r="BS109" s="99"/>
      <c r="BT109" s="99"/>
      <c r="BU109" s="99"/>
      <c r="BV109" s="99"/>
      <c r="BW109" s="99"/>
      <c r="BX109" s="99"/>
      <c r="BY109" s="99"/>
      <c r="BZ109" s="99"/>
      <c r="CA109" s="99"/>
      <c r="CB109" s="99"/>
      <c r="CC109" s="99"/>
      <c r="CD109" s="99"/>
      <c r="CE109" s="99"/>
      <c r="CF109" s="99"/>
      <c r="CG109" s="99"/>
      <c r="CH109" s="99"/>
      <c r="CI109" s="99"/>
      <c r="CJ109" s="99"/>
      <c r="CK109" s="99"/>
      <c r="CL109" s="99"/>
      <c r="CM109" s="99"/>
      <c r="CN109" s="99"/>
      <c r="CO109" s="99"/>
      <c r="CP109" s="99"/>
      <c r="CQ109" s="99"/>
      <c r="CR109" s="99"/>
      <c r="CS109" s="99"/>
      <c r="CT109" s="99"/>
      <c r="CU109" s="99"/>
      <c r="CV109" s="99"/>
      <c r="CW109" s="99"/>
      <c r="CX109" s="99"/>
      <c r="CY109" s="99"/>
      <c r="CZ109" s="99"/>
      <c r="DA109" s="99"/>
      <c r="DB109" s="99"/>
      <c r="DC109" s="99"/>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99"/>
      <c r="EE109" s="99"/>
      <c r="EF109" s="99"/>
      <c r="EG109" s="99"/>
      <c r="EH109" s="99"/>
      <c r="EI109" s="99"/>
      <c r="EJ109" s="99"/>
      <c r="EK109" s="99"/>
      <c r="EL109" s="99"/>
      <c r="EM109" s="99"/>
      <c r="EN109" s="99"/>
      <c r="EO109" s="99"/>
      <c r="EP109" s="99"/>
      <c r="EQ109" s="99"/>
      <c r="ER109" s="99"/>
      <c r="ES109" s="99"/>
      <c r="ET109" s="99"/>
      <c r="EU109" s="99"/>
      <c r="EV109" s="99"/>
      <c r="EW109" s="99"/>
      <c r="EX109" s="99"/>
      <c r="EY109" s="99"/>
      <c r="EZ109" s="99"/>
      <c r="FA109" s="99"/>
      <c r="FB109" s="99"/>
      <c r="FC109" s="99"/>
      <c r="FD109" s="99"/>
      <c r="FE109" s="99"/>
      <c r="FF109" s="99"/>
      <c r="FG109" s="99"/>
      <c r="FH109" s="99"/>
      <c r="FI109" s="99"/>
      <c r="FJ109" s="99"/>
      <c r="FK109" s="99"/>
    </row>
    <row r="110" spans="1:167" x14ac:dyDescent="0.25">
      <c r="C110" s="10"/>
      <c r="D110" s="10"/>
      <c r="E110" s="11"/>
      <c r="F110" s="15"/>
      <c r="J110" s="99">
        <v>107</v>
      </c>
      <c r="K110" s="16"/>
      <c r="L110" s="16"/>
      <c r="M110" s="16"/>
      <c r="N110" s="16"/>
      <c r="O110" s="16"/>
      <c r="P110" s="16"/>
      <c r="Q110" s="16"/>
      <c r="R110" s="16"/>
      <c r="S110" s="16"/>
      <c r="T110" s="16"/>
      <c r="U110" s="73">
        <f>SUM(K110:T110)</f>
        <v>0</v>
      </c>
      <c r="V110" s="73"/>
      <c r="X110" s="75" t="str" cm="1">
        <f t="array" ref="X110">MID(";"&amp;'CASE DATA'!$F110&amp;";",SMALL(IF(ISERROR(SEARCH(MID(";"&amp;'CASE DATA'!$F110&amp;";",ROW($1:$99),1),";")),"",ROW($1:$99)+1),COLUMN(A110)),SMALL(IF(ISERROR(SEARCH(MID(";"&amp;'CASE DATA'!$F110&amp;";",ROW($1:$99),1),";")),"",ROW($1:$99)),COLUMN(A109)+1)-SMALL(IF(ISERROR(SEARCH(MID(";"&amp;'CASE DATA'!$F110&amp;";",ROW($1:$99),1),";")),"",ROW($1:$99)),COLUMN(A109))-1)</f>
        <v/>
      </c>
      <c r="Y110" s="75" t="str" cm="1">
        <f t="array" ref="Y110">MID(";"&amp;'CASE DATA'!$F110&amp;";",SMALL(IF(ISERROR(SEARCH(MID(";"&amp;'CASE DATA'!$F110&amp;";",ROW($1:$99),1),";")),"",ROW($1:$99)+1),COLUMN(B110)),SMALL(IF(ISERROR(SEARCH(MID(";"&amp;'CASE DATA'!$F110&amp;";",ROW($1:$99),1),";")),"",ROW($1:$99)),COLUMN(B109)+1)-SMALL(IF(ISERROR(SEARCH(MID(";"&amp;'CASE DATA'!$F110&amp;";",ROW($1:$99),1),";")),"",ROW($1:$99)),COLUMN(B109))-1)</f>
        <v/>
      </c>
      <c r="Z110" s="75" t="str" cm="1">
        <f t="array" ref="Z110">MID(";"&amp;'CASE DATA'!$F110&amp;";",SMALL(IF(ISERROR(SEARCH(MID(";"&amp;'CASE DATA'!$F110&amp;";",ROW($1:$99),1),";")),"",ROW($1:$99)+1),COLUMN(C110)),SMALL(IF(ISERROR(SEARCH(MID(";"&amp;'CASE DATA'!$F110&amp;";",ROW($1:$99),1),";")),"",ROW($1:$99)),COLUMN(C109)+1)-SMALL(IF(ISERROR(SEARCH(MID(";"&amp;'CASE DATA'!$F110&amp;";",ROW($1:$99),1),";")),"",ROW($1:$99)),COLUMN(C109))-1)</f>
        <v/>
      </c>
      <c r="AA110" s="75" t="str" cm="1">
        <f t="array" ref="AA110">MID(";"&amp;'CASE DATA'!$F110&amp;";",SMALL(IF(ISERROR(SEARCH(MID(";"&amp;'CASE DATA'!$F110&amp;";",ROW($1:$99),1),";")),"",ROW($1:$99)+1),COLUMN(D110)),SMALL(IF(ISERROR(SEARCH(MID(";"&amp;'CASE DATA'!$F110&amp;";",ROW($1:$99),1),";")),"",ROW($1:$99)),COLUMN(D109)+1)-SMALL(IF(ISERROR(SEARCH(MID(";"&amp;'CASE DATA'!$F110&amp;";",ROW($1:$99),1),";")),"",ROW($1:$99)),COLUMN(D109))-1)</f>
        <v/>
      </c>
      <c r="AB110" s="75" t="str" cm="1">
        <f t="array" ref="AB110">MID(";"&amp;'CASE DATA'!$F110&amp;";",SMALL(IF(ISERROR(SEARCH(MID(";"&amp;'CASE DATA'!$F110&amp;";",ROW($1:$99),1),";")),"",ROW($1:$99)+1),COLUMN(E110)),SMALL(IF(ISERROR(SEARCH(MID(";"&amp;'CASE DATA'!$F110&amp;";",ROW($1:$99),1),";")),"",ROW($1:$99)),COLUMN(E109)+1)-SMALL(IF(ISERROR(SEARCH(MID(";"&amp;'CASE DATA'!$F110&amp;";",ROW($1:$99),1),";")),"",ROW($1:$99)),COLUMN(E109))-1)</f>
        <v/>
      </c>
      <c r="AC110" s="75" t="str" cm="1">
        <f t="array" ref="AC110">MID(";"&amp;'CASE DATA'!$F110&amp;";",SMALL(IF(ISERROR(SEARCH(MID(";"&amp;'CASE DATA'!$F110&amp;";",ROW($1:$99),1),";")),"",ROW($1:$99)+1),COLUMN(F110)),SMALL(IF(ISERROR(SEARCH(MID(";"&amp;'CASE DATA'!$F110&amp;";",ROW($1:$99),1),";")),"",ROW($1:$99)),COLUMN(F109)+1)-SMALL(IF(ISERROR(SEARCH(MID(";"&amp;'CASE DATA'!$F110&amp;";",ROW($1:$99),1),";")),"",ROW($1:$99)),COLUMN(F109))-1)</f>
        <v/>
      </c>
      <c r="AD110" s="75" t="str" cm="1">
        <f t="array" ref="AD110">MID(";"&amp;'CASE DATA'!$F110&amp;";",SMALL(IF(ISERROR(SEARCH(MID(";"&amp;'CASE DATA'!$F110&amp;";",ROW($1:$99),1),";")),"",ROW($1:$99)+1),COLUMN(G110)),SMALL(IF(ISERROR(SEARCH(MID(";"&amp;'CASE DATA'!$F110&amp;";",ROW($1:$99),1),";")),"",ROW($1:$99)),COLUMN(G109)+1)-SMALL(IF(ISERROR(SEARCH(MID(";"&amp;'CASE DATA'!$F110&amp;";",ROW($1:$99),1),";")),"",ROW($1:$99)),COLUMN(G109))-1)</f>
        <v/>
      </c>
      <c r="AE110" s="75" t="str" cm="1">
        <f t="array" ref="AE110">MID(";"&amp;'CASE DATA'!$F110&amp;";",SMALL(IF(ISERROR(SEARCH(MID(";"&amp;'CASE DATA'!$F110&amp;";",ROW($1:$99),1),";")),"",ROW($1:$99)+1),COLUMN(H110)),SMALL(IF(ISERROR(SEARCH(MID(";"&amp;'CASE DATA'!$F110&amp;";",ROW($1:$99),1),";")),"",ROW($1:$99)),COLUMN(H109)+1)-SMALL(IF(ISERROR(SEARCH(MID(";"&amp;'CASE DATA'!$F110&amp;";",ROW($1:$99),1),";")),"",ROW($1:$99)),COLUMN(H109))-1)</f>
        <v/>
      </c>
      <c r="AF110" s="75" t="str" cm="1">
        <f t="array" ref="AF110">MID(";"&amp;'CASE DATA'!$F110&amp;";",SMALL(IF(ISERROR(SEARCH(MID(";"&amp;'CASE DATA'!$F110&amp;";",ROW($1:$99),1),";")),"",ROW($1:$99)+1),COLUMN(I110)),SMALL(IF(ISERROR(SEARCH(MID(";"&amp;'CASE DATA'!$F110&amp;";",ROW($1:$99),1),";")),"",ROW($1:$99)),COLUMN(I109)+1)-SMALL(IF(ISERROR(SEARCH(MID(";"&amp;'CASE DATA'!$F110&amp;";",ROW($1:$99),1),";")),"",ROW($1:$99)),COLUMN(I109))-1)</f>
        <v/>
      </c>
      <c r="AG110" s="75" t="str" cm="1">
        <f t="array" ref="AG110">MID(";"&amp;'CASE DATA'!$F110&amp;";",SMALL(IF(ISERROR(SEARCH(MID(";"&amp;'CASE DATA'!$F110&amp;";",ROW($1:$99),1),";")),"",ROW($1:$99)+1),COLUMN(K110)),SMALL(IF(ISERROR(SEARCH(MID(";"&amp;'CASE DATA'!$F110&amp;";",ROW($1:$99),1),";")),"",ROW($1:$99)),COLUMN(K109)+1)-SMALL(IF(ISERROR(SEARCH(MID(";"&amp;'CASE DATA'!$F110&amp;";",ROW($1:$99),1),";")),"",ROW($1:$99)),COLUMN(K109))-1)</f>
        <v/>
      </c>
      <c r="AH110" s="75" t="str" cm="1">
        <f t="array" ref="AH110">MID(";"&amp;'CASE DATA'!$F110&amp;";",SMALL(IF(ISERROR(SEARCH(MID(";"&amp;'CASE DATA'!$F110&amp;";",ROW($1:$99),1),";")),"",ROW($1:$99)+1),COLUMN(L110)),SMALL(IF(ISERROR(SEARCH(MID(";"&amp;'CASE DATA'!$F110&amp;";",ROW($1:$99),1),";")),"",ROW($1:$99)),COLUMN(L109)+1)-SMALL(IF(ISERROR(SEARCH(MID(";"&amp;'CASE DATA'!$F110&amp;";",ROW($1:$99),1),";")),"",ROW($1:$99)),COLUMN(L109))-1)</f>
        <v/>
      </c>
      <c r="AI110" s="75" t="str" cm="1">
        <f t="array" ref="AI110">MID(";"&amp;'CASE DATA'!$F110&amp;";",SMALL(IF(ISERROR(SEARCH(MID(";"&amp;'CASE DATA'!$F110&amp;";",ROW($1:$99),1),";")),"",ROW($1:$99)+1),COLUMN(M110)),SMALL(IF(ISERROR(SEARCH(MID(";"&amp;'CASE DATA'!$F110&amp;";",ROW($1:$99),1),";")),"",ROW($1:$99)),COLUMN(M109)+1)-SMALL(IF(ISERROR(SEARCH(MID(";"&amp;'CASE DATA'!$F110&amp;";",ROW($1:$99),1),";")),"",ROW($1:$99)),COLUMN(M109))-1)</f>
        <v/>
      </c>
      <c r="BO110" s="99"/>
      <c r="BP110" s="99"/>
      <c r="BQ110" s="99"/>
      <c r="BR110" s="99"/>
      <c r="BS110" s="99"/>
      <c r="BT110" s="99"/>
      <c r="BU110" s="99"/>
      <c r="BV110" s="99"/>
      <c r="BW110" s="99"/>
      <c r="BX110" s="99"/>
      <c r="BY110" s="99"/>
      <c r="BZ110" s="99"/>
      <c r="CA110" s="99"/>
      <c r="CB110" s="99"/>
      <c r="CC110" s="99"/>
      <c r="CD110" s="99"/>
      <c r="CE110" s="99"/>
      <c r="CF110" s="99"/>
      <c r="CG110" s="99"/>
      <c r="CH110" s="99"/>
      <c r="CI110" s="99"/>
      <c r="CJ110" s="99"/>
      <c r="CK110" s="99"/>
      <c r="CL110" s="99"/>
      <c r="CM110" s="99"/>
      <c r="CN110" s="99"/>
      <c r="CO110" s="99"/>
      <c r="CP110" s="99"/>
      <c r="CQ110" s="99"/>
      <c r="CR110" s="99"/>
      <c r="CS110" s="99"/>
      <c r="CT110" s="99"/>
      <c r="CU110" s="99"/>
      <c r="CV110" s="99"/>
      <c r="CW110" s="99"/>
      <c r="CX110" s="99"/>
      <c r="CY110" s="99"/>
      <c r="CZ110" s="99"/>
      <c r="DA110" s="99"/>
      <c r="DB110" s="99"/>
      <c r="DC110" s="99"/>
      <c r="DD110" s="99"/>
      <c r="DE110" s="99"/>
      <c r="DF110" s="99"/>
      <c r="DG110" s="99"/>
      <c r="DH110" s="99"/>
      <c r="DI110" s="99"/>
      <c r="DJ110" s="99"/>
      <c r="DK110" s="99"/>
      <c r="DL110" s="99"/>
      <c r="DM110" s="99"/>
      <c r="DN110" s="99"/>
      <c r="DO110" s="99"/>
      <c r="DP110" s="99"/>
      <c r="DQ110" s="99"/>
      <c r="DR110" s="99"/>
      <c r="DS110" s="99"/>
      <c r="DT110" s="99"/>
      <c r="DU110" s="99"/>
      <c r="DV110" s="99"/>
      <c r="DW110" s="99"/>
      <c r="DX110" s="99"/>
      <c r="DY110" s="99"/>
      <c r="DZ110" s="99"/>
      <c r="EA110" s="99"/>
      <c r="EB110" s="99"/>
      <c r="EC110" s="99"/>
      <c r="ED110" s="99"/>
      <c r="EE110" s="99"/>
      <c r="EF110" s="99"/>
      <c r="EG110" s="99"/>
      <c r="EH110" s="99"/>
      <c r="EI110" s="99"/>
      <c r="EJ110" s="99"/>
      <c r="EK110" s="99"/>
      <c r="EL110" s="99"/>
      <c r="EM110" s="99"/>
      <c r="EN110" s="99"/>
      <c r="EO110" s="99"/>
      <c r="EP110" s="99"/>
      <c r="EQ110" s="99"/>
      <c r="ER110" s="99"/>
      <c r="ES110" s="99"/>
      <c r="ET110" s="99"/>
      <c r="EU110" s="99"/>
      <c r="EV110" s="99"/>
      <c r="EW110" s="99"/>
      <c r="EX110" s="99"/>
      <c r="EY110" s="99"/>
      <c r="EZ110" s="99"/>
      <c r="FA110" s="99"/>
      <c r="FB110" s="99"/>
      <c r="FC110" s="99"/>
      <c r="FD110" s="99"/>
      <c r="FE110" s="99"/>
      <c r="FF110" s="99"/>
      <c r="FG110" s="99"/>
      <c r="FH110" s="99"/>
      <c r="FI110" s="99"/>
      <c r="FJ110" s="99"/>
      <c r="FK110" s="99"/>
    </row>
    <row r="111" spans="1:167" x14ac:dyDescent="0.25">
      <c r="C111" s="10"/>
      <c r="D111" s="10"/>
      <c r="E111" s="11"/>
      <c r="F111" s="15"/>
      <c r="J111" s="99">
        <v>108</v>
      </c>
      <c r="K111" s="16"/>
      <c r="L111" s="16"/>
      <c r="M111" s="16"/>
      <c r="N111" s="16"/>
      <c r="O111" s="16"/>
      <c r="P111" s="16"/>
      <c r="Q111" s="16"/>
      <c r="R111" s="16"/>
      <c r="S111" s="16"/>
      <c r="T111" s="16"/>
      <c r="U111" s="73">
        <f>SUM(K111:T111)</f>
        <v>0</v>
      </c>
      <c r="V111" s="73"/>
      <c r="X111" s="75" t="str" cm="1">
        <f t="array" ref="X111">MID(";"&amp;'CASE DATA'!$F111&amp;";",SMALL(IF(ISERROR(SEARCH(MID(";"&amp;'CASE DATA'!$F111&amp;";",ROW($1:$99),1),";")),"",ROW($1:$99)+1),COLUMN(A111)),SMALL(IF(ISERROR(SEARCH(MID(";"&amp;'CASE DATA'!$F111&amp;";",ROW($1:$99),1),";")),"",ROW($1:$99)),COLUMN(A110)+1)-SMALL(IF(ISERROR(SEARCH(MID(";"&amp;'CASE DATA'!$F111&amp;";",ROW($1:$99),1),";")),"",ROW($1:$99)),COLUMN(A110))-1)</f>
        <v/>
      </c>
      <c r="Y111" s="75" t="str" cm="1">
        <f t="array" ref="Y111">MID(";"&amp;'CASE DATA'!$F111&amp;";",SMALL(IF(ISERROR(SEARCH(MID(";"&amp;'CASE DATA'!$F111&amp;";",ROW($1:$99),1),";")),"",ROW($1:$99)+1),COLUMN(B111)),SMALL(IF(ISERROR(SEARCH(MID(";"&amp;'CASE DATA'!$F111&amp;";",ROW($1:$99),1),";")),"",ROW($1:$99)),COLUMN(B110)+1)-SMALL(IF(ISERROR(SEARCH(MID(";"&amp;'CASE DATA'!$F111&amp;";",ROW($1:$99),1),";")),"",ROW($1:$99)),COLUMN(B110))-1)</f>
        <v/>
      </c>
      <c r="Z111" s="75" t="str" cm="1">
        <f t="array" ref="Z111">MID(";"&amp;'CASE DATA'!$F111&amp;";",SMALL(IF(ISERROR(SEARCH(MID(";"&amp;'CASE DATA'!$F111&amp;";",ROW($1:$99),1),";")),"",ROW($1:$99)+1),COLUMN(C111)),SMALL(IF(ISERROR(SEARCH(MID(";"&amp;'CASE DATA'!$F111&amp;";",ROW($1:$99),1),";")),"",ROW($1:$99)),COLUMN(C110)+1)-SMALL(IF(ISERROR(SEARCH(MID(";"&amp;'CASE DATA'!$F111&amp;";",ROW($1:$99),1),";")),"",ROW($1:$99)),COLUMN(C110))-1)</f>
        <v/>
      </c>
      <c r="AA111" s="75" t="str" cm="1">
        <f t="array" ref="AA111">MID(";"&amp;'CASE DATA'!$F111&amp;";",SMALL(IF(ISERROR(SEARCH(MID(";"&amp;'CASE DATA'!$F111&amp;";",ROW($1:$99),1),";")),"",ROW($1:$99)+1),COLUMN(D111)),SMALL(IF(ISERROR(SEARCH(MID(";"&amp;'CASE DATA'!$F111&amp;";",ROW($1:$99),1),";")),"",ROW($1:$99)),COLUMN(D110)+1)-SMALL(IF(ISERROR(SEARCH(MID(";"&amp;'CASE DATA'!$F111&amp;";",ROW($1:$99),1),";")),"",ROW($1:$99)),COLUMN(D110))-1)</f>
        <v/>
      </c>
      <c r="AB111" s="75" t="str" cm="1">
        <f t="array" ref="AB111">MID(";"&amp;'CASE DATA'!$F111&amp;";",SMALL(IF(ISERROR(SEARCH(MID(";"&amp;'CASE DATA'!$F111&amp;";",ROW($1:$99),1),";")),"",ROW($1:$99)+1),COLUMN(E111)),SMALL(IF(ISERROR(SEARCH(MID(";"&amp;'CASE DATA'!$F111&amp;";",ROW($1:$99),1),";")),"",ROW($1:$99)),COLUMN(E110)+1)-SMALL(IF(ISERROR(SEARCH(MID(";"&amp;'CASE DATA'!$F111&amp;";",ROW($1:$99),1),";")),"",ROW($1:$99)),COLUMN(E110))-1)</f>
        <v/>
      </c>
      <c r="AC111" s="75" t="str" cm="1">
        <f t="array" ref="AC111">MID(";"&amp;'CASE DATA'!$F111&amp;";",SMALL(IF(ISERROR(SEARCH(MID(";"&amp;'CASE DATA'!$F111&amp;";",ROW($1:$99),1),";")),"",ROW($1:$99)+1),COLUMN(F111)),SMALL(IF(ISERROR(SEARCH(MID(";"&amp;'CASE DATA'!$F111&amp;";",ROW($1:$99),1),";")),"",ROW($1:$99)),COLUMN(F110)+1)-SMALL(IF(ISERROR(SEARCH(MID(";"&amp;'CASE DATA'!$F111&amp;";",ROW($1:$99),1),";")),"",ROW($1:$99)),COLUMN(F110))-1)</f>
        <v/>
      </c>
      <c r="AD111" s="75" t="str" cm="1">
        <f t="array" ref="AD111">MID(";"&amp;'CASE DATA'!$F111&amp;";",SMALL(IF(ISERROR(SEARCH(MID(";"&amp;'CASE DATA'!$F111&amp;";",ROW($1:$99),1),";")),"",ROW($1:$99)+1),COLUMN(G111)),SMALL(IF(ISERROR(SEARCH(MID(";"&amp;'CASE DATA'!$F111&amp;";",ROW($1:$99),1),";")),"",ROW($1:$99)),COLUMN(G110)+1)-SMALL(IF(ISERROR(SEARCH(MID(";"&amp;'CASE DATA'!$F111&amp;";",ROW($1:$99),1),";")),"",ROW($1:$99)),COLUMN(G110))-1)</f>
        <v/>
      </c>
      <c r="AE111" s="75" t="str" cm="1">
        <f t="array" ref="AE111">MID(";"&amp;'CASE DATA'!$F111&amp;";",SMALL(IF(ISERROR(SEARCH(MID(";"&amp;'CASE DATA'!$F111&amp;";",ROW($1:$99),1),";")),"",ROW($1:$99)+1),COLUMN(H111)),SMALL(IF(ISERROR(SEARCH(MID(";"&amp;'CASE DATA'!$F111&amp;";",ROW($1:$99),1),";")),"",ROW($1:$99)),COLUMN(H110)+1)-SMALL(IF(ISERROR(SEARCH(MID(";"&amp;'CASE DATA'!$F111&amp;";",ROW($1:$99),1),";")),"",ROW($1:$99)),COLUMN(H110))-1)</f>
        <v/>
      </c>
      <c r="AF111" s="75" t="str" cm="1">
        <f t="array" ref="AF111">MID(";"&amp;'CASE DATA'!$F111&amp;";",SMALL(IF(ISERROR(SEARCH(MID(";"&amp;'CASE DATA'!$F111&amp;";",ROW($1:$99),1),";")),"",ROW($1:$99)+1),COLUMN(I111)),SMALL(IF(ISERROR(SEARCH(MID(";"&amp;'CASE DATA'!$F111&amp;";",ROW($1:$99),1),";")),"",ROW($1:$99)),COLUMN(I110)+1)-SMALL(IF(ISERROR(SEARCH(MID(";"&amp;'CASE DATA'!$F111&amp;";",ROW($1:$99),1),";")),"",ROW($1:$99)),COLUMN(I110))-1)</f>
        <v/>
      </c>
      <c r="AG111" s="75" t="str" cm="1">
        <f t="array" ref="AG111">MID(";"&amp;'CASE DATA'!$F111&amp;";",SMALL(IF(ISERROR(SEARCH(MID(";"&amp;'CASE DATA'!$F111&amp;";",ROW($1:$99),1),";")),"",ROW($1:$99)+1),COLUMN(K111)),SMALL(IF(ISERROR(SEARCH(MID(";"&amp;'CASE DATA'!$F111&amp;";",ROW($1:$99),1),";")),"",ROW($1:$99)),COLUMN(K110)+1)-SMALL(IF(ISERROR(SEARCH(MID(";"&amp;'CASE DATA'!$F111&amp;";",ROW($1:$99),1),";")),"",ROW($1:$99)),COLUMN(K110))-1)</f>
        <v/>
      </c>
      <c r="AH111" s="75" t="str" cm="1">
        <f t="array" ref="AH111">MID(";"&amp;'CASE DATA'!$F111&amp;";",SMALL(IF(ISERROR(SEARCH(MID(";"&amp;'CASE DATA'!$F111&amp;";",ROW($1:$99),1),";")),"",ROW($1:$99)+1),COLUMN(L111)),SMALL(IF(ISERROR(SEARCH(MID(";"&amp;'CASE DATA'!$F111&amp;";",ROW($1:$99),1),";")),"",ROW($1:$99)),COLUMN(L110)+1)-SMALL(IF(ISERROR(SEARCH(MID(";"&amp;'CASE DATA'!$F111&amp;";",ROW($1:$99),1),";")),"",ROW($1:$99)),COLUMN(L110))-1)</f>
        <v/>
      </c>
      <c r="AI111" s="75" t="str" cm="1">
        <f t="array" ref="AI111">MID(";"&amp;'CASE DATA'!$F111&amp;";",SMALL(IF(ISERROR(SEARCH(MID(";"&amp;'CASE DATA'!$F111&amp;";",ROW($1:$99),1),";")),"",ROW($1:$99)+1),COLUMN(M111)),SMALL(IF(ISERROR(SEARCH(MID(";"&amp;'CASE DATA'!$F111&amp;";",ROW($1:$99),1),";")),"",ROW($1:$99)),COLUMN(M110)+1)-SMALL(IF(ISERROR(SEARCH(MID(";"&amp;'CASE DATA'!$F111&amp;";",ROW($1:$99),1),";")),"",ROW($1:$99)),COLUMN(M110))-1)</f>
        <v/>
      </c>
      <c r="BO111" s="99"/>
      <c r="BP111" s="99"/>
      <c r="BQ111" s="99"/>
      <c r="BR111" s="99"/>
      <c r="BS111" s="99"/>
      <c r="BT111" s="99"/>
      <c r="BU111" s="99"/>
      <c r="BV111" s="99"/>
      <c r="BW111" s="99"/>
      <c r="BX111" s="99"/>
      <c r="BY111" s="99"/>
      <c r="BZ111" s="99"/>
      <c r="CA111" s="99"/>
      <c r="CB111" s="99"/>
      <c r="CC111" s="99"/>
      <c r="CD111" s="99"/>
      <c r="CE111" s="99"/>
      <c r="CF111" s="99"/>
      <c r="CG111" s="99"/>
      <c r="CH111" s="99"/>
      <c r="CI111" s="99"/>
      <c r="CJ111" s="99"/>
      <c r="CK111" s="99"/>
      <c r="CL111" s="99"/>
      <c r="CM111" s="99"/>
      <c r="CN111" s="99"/>
      <c r="CO111" s="99"/>
      <c r="CP111" s="99"/>
      <c r="CQ111" s="99"/>
      <c r="CR111" s="99"/>
      <c r="CS111" s="99"/>
      <c r="CT111" s="99"/>
      <c r="CU111" s="99"/>
      <c r="CV111" s="99"/>
      <c r="CW111" s="99"/>
      <c r="CX111" s="99"/>
      <c r="CY111" s="99"/>
      <c r="CZ111" s="99"/>
      <c r="DA111" s="99"/>
      <c r="DB111" s="99"/>
      <c r="DC111" s="99"/>
      <c r="DD111" s="99"/>
      <c r="DE111" s="99"/>
      <c r="DF111" s="99"/>
      <c r="DG111" s="99"/>
      <c r="DH111" s="99"/>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99"/>
      <c r="EE111" s="99"/>
      <c r="EF111" s="99"/>
      <c r="EG111" s="99"/>
      <c r="EH111" s="99"/>
      <c r="EI111" s="99"/>
      <c r="EJ111" s="99"/>
      <c r="EK111" s="99"/>
      <c r="EL111" s="99"/>
      <c r="EM111" s="99"/>
      <c r="EN111" s="99"/>
      <c r="EO111" s="99"/>
      <c r="EP111" s="99"/>
      <c r="EQ111" s="99"/>
      <c r="ER111" s="99"/>
      <c r="ES111" s="99"/>
      <c r="ET111" s="99"/>
      <c r="EU111" s="99"/>
      <c r="EV111" s="99"/>
      <c r="EW111" s="99"/>
      <c r="EX111" s="99"/>
      <c r="EY111" s="99"/>
      <c r="EZ111" s="99"/>
      <c r="FA111" s="99"/>
      <c r="FB111" s="99"/>
      <c r="FC111" s="99"/>
      <c r="FD111" s="99"/>
      <c r="FE111" s="99"/>
      <c r="FF111" s="99"/>
      <c r="FG111" s="99"/>
      <c r="FH111" s="99"/>
      <c r="FI111" s="99"/>
      <c r="FJ111" s="99"/>
      <c r="FK111" s="99"/>
    </row>
    <row r="112" spans="1:167" x14ac:dyDescent="0.25">
      <c r="C112" s="10"/>
      <c r="D112" s="10"/>
      <c r="E112" s="11"/>
      <c r="F112" s="15"/>
      <c r="J112" s="99">
        <v>109</v>
      </c>
      <c r="K112" s="16"/>
      <c r="L112" s="16"/>
      <c r="M112" s="16"/>
      <c r="N112" s="16"/>
      <c r="O112" s="16"/>
      <c r="P112" s="16"/>
      <c r="Q112" s="16"/>
      <c r="R112" s="16"/>
      <c r="S112" s="16"/>
      <c r="T112" s="16"/>
      <c r="U112" s="73">
        <f>SUM(K112:T112)</f>
        <v>0</v>
      </c>
      <c r="V112" s="73"/>
      <c r="X112" s="75" t="str" cm="1">
        <f t="array" ref="X112">MID(";"&amp;'CASE DATA'!$F112&amp;";",SMALL(IF(ISERROR(SEARCH(MID(";"&amp;'CASE DATA'!$F112&amp;";",ROW($1:$99),1),";")),"",ROW($1:$99)+1),COLUMN(A112)),SMALL(IF(ISERROR(SEARCH(MID(";"&amp;'CASE DATA'!$F112&amp;";",ROW($1:$99),1),";")),"",ROW($1:$99)),COLUMN(A111)+1)-SMALL(IF(ISERROR(SEARCH(MID(";"&amp;'CASE DATA'!$F112&amp;";",ROW($1:$99),1),";")),"",ROW($1:$99)),COLUMN(A111))-1)</f>
        <v/>
      </c>
      <c r="Y112" s="75" t="str" cm="1">
        <f t="array" ref="Y112">MID(";"&amp;'CASE DATA'!$F112&amp;";",SMALL(IF(ISERROR(SEARCH(MID(";"&amp;'CASE DATA'!$F112&amp;";",ROW($1:$99),1),";")),"",ROW($1:$99)+1),COLUMN(B112)),SMALL(IF(ISERROR(SEARCH(MID(";"&amp;'CASE DATA'!$F112&amp;";",ROW($1:$99),1),";")),"",ROW($1:$99)),COLUMN(B111)+1)-SMALL(IF(ISERROR(SEARCH(MID(";"&amp;'CASE DATA'!$F112&amp;";",ROW($1:$99),1),";")),"",ROW($1:$99)),COLUMN(B111))-1)</f>
        <v/>
      </c>
      <c r="Z112" s="75" t="str" cm="1">
        <f t="array" ref="Z112">MID(";"&amp;'CASE DATA'!$F112&amp;";",SMALL(IF(ISERROR(SEARCH(MID(";"&amp;'CASE DATA'!$F112&amp;";",ROW($1:$99),1),";")),"",ROW($1:$99)+1),COLUMN(C112)),SMALL(IF(ISERROR(SEARCH(MID(";"&amp;'CASE DATA'!$F112&amp;";",ROW($1:$99),1),";")),"",ROW($1:$99)),COLUMN(C111)+1)-SMALL(IF(ISERROR(SEARCH(MID(";"&amp;'CASE DATA'!$F112&amp;";",ROW($1:$99),1),";")),"",ROW($1:$99)),COLUMN(C111))-1)</f>
        <v/>
      </c>
      <c r="AA112" s="75" t="str" cm="1">
        <f t="array" ref="AA112">MID(";"&amp;'CASE DATA'!$F112&amp;";",SMALL(IF(ISERROR(SEARCH(MID(";"&amp;'CASE DATA'!$F112&amp;";",ROW($1:$99),1),";")),"",ROW($1:$99)+1),COLUMN(D112)),SMALL(IF(ISERROR(SEARCH(MID(";"&amp;'CASE DATA'!$F112&amp;";",ROW($1:$99),1),";")),"",ROW($1:$99)),COLUMN(D111)+1)-SMALL(IF(ISERROR(SEARCH(MID(";"&amp;'CASE DATA'!$F112&amp;";",ROW($1:$99),1),";")),"",ROW($1:$99)),COLUMN(D111))-1)</f>
        <v/>
      </c>
      <c r="AB112" s="75" t="str" cm="1">
        <f t="array" ref="AB112">MID(";"&amp;'CASE DATA'!$F112&amp;";",SMALL(IF(ISERROR(SEARCH(MID(";"&amp;'CASE DATA'!$F112&amp;";",ROW($1:$99),1),";")),"",ROW($1:$99)+1),COLUMN(E112)),SMALL(IF(ISERROR(SEARCH(MID(";"&amp;'CASE DATA'!$F112&amp;";",ROW($1:$99),1),";")),"",ROW($1:$99)),COLUMN(E111)+1)-SMALL(IF(ISERROR(SEARCH(MID(";"&amp;'CASE DATA'!$F112&amp;";",ROW($1:$99),1),";")),"",ROW($1:$99)),COLUMN(E111))-1)</f>
        <v/>
      </c>
      <c r="AC112" s="75" t="str" cm="1">
        <f t="array" ref="AC112">MID(";"&amp;'CASE DATA'!$F112&amp;";",SMALL(IF(ISERROR(SEARCH(MID(";"&amp;'CASE DATA'!$F112&amp;";",ROW($1:$99),1),";")),"",ROW($1:$99)+1),COLUMN(F112)),SMALL(IF(ISERROR(SEARCH(MID(";"&amp;'CASE DATA'!$F112&amp;";",ROW($1:$99),1),";")),"",ROW($1:$99)),COLUMN(F111)+1)-SMALL(IF(ISERROR(SEARCH(MID(";"&amp;'CASE DATA'!$F112&amp;";",ROW($1:$99),1),";")),"",ROW($1:$99)),COLUMN(F111))-1)</f>
        <v/>
      </c>
      <c r="AD112" s="75" t="str" cm="1">
        <f t="array" ref="AD112">MID(";"&amp;'CASE DATA'!$F112&amp;";",SMALL(IF(ISERROR(SEARCH(MID(";"&amp;'CASE DATA'!$F112&amp;";",ROW($1:$99),1),";")),"",ROW($1:$99)+1),COLUMN(G112)),SMALL(IF(ISERROR(SEARCH(MID(";"&amp;'CASE DATA'!$F112&amp;";",ROW($1:$99),1),";")),"",ROW($1:$99)),COLUMN(G111)+1)-SMALL(IF(ISERROR(SEARCH(MID(";"&amp;'CASE DATA'!$F112&amp;";",ROW($1:$99),1),";")),"",ROW($1:$99)),COLUMN(G111))-1)</f>
        <v/>
      </c>
      <c r="AE112" s="75" t="str" cm="1">
        <f t="array" ref="AE112">MID(";"&amp;'CASE DATA'!$F112&amp;";",SMALL(IF(ISERROR(SEARCH(MID(";"&amp;'CASE DATA'!$F112&amp;";",ROW($1:$99),1),";")),"",ROW($1:$99)+1),COLUMN(H112)),SMALL(IF(ISERROR(SEARCH(MID(";"&amp;'CASE DATA'!$F112&amp;";",ROW($1:$99),1),";")),"",ROW($1:$99)),COLUMN(H111)+1)-SMALL(IF(ISERROR(SEARCH(MID(";"&amp;'CASE DATA'!$F112&amp;";",ROW($1:$99),1),";")),"",ROW($1:$99)),COLUMN(H111))-1)</f>
        <v/>
      </c>
      <c r="AF112" s="75" t="str" cm="1">
        <f t="array" ref="AF112">MID(";"&amp;'CASE DATA'!$F112&amp;";",SMALL(IF(ISERROR(SEARCH(MID(";"&amp;'CASE DATA'!$F112&amp;";",ROW($1:$99),1),";")),"",ROW($1:$99)+1),COLUMN(I112)),SMALL(IF(ISERROR(SEARCH(MID(";"&amp;'CASE DATA'!$F112&amp;";",ROW($1:$99),1),";")),"",ROW($1:$99)),COLUMN(I111)+1)-SMALL(IF(ISERROR(SEARCH(MID(";"&amp;'CASE DATA'!$F112&amp;";",ROW($1:$99),1),";")),"",ROW($1:$99)),COLUMN(I111))-1)</f>
        <v/>
      </c>
      <c r="AG112" s="75" t="str" cm="1">
        <f t="array" ref="AG112">MID(";"&amp;'CASE DATA'!$F112&amp;";",SMALL(IF(ISERROR(SEARCH(MID(";"&amp;'CASE DATA'!$F112&amp;";",ROW($1:$99),1),";")),"",ROW($1:$99)+1),COLUMN(K112)),SMALL(IF(ISERROR(SEARCH(MID(";"&amp;'CASE DATA'!$F112&amp;";",ROW($1:$99),1),";")),"",ROW($1:$99)),COLUMN(K111)+1)-SMALL(IF(ISERROR(SEARCH(MID(";"&amp;'CASE DATA'!$F112&amp;";",ROW($1:$99),1),";")),"",ROW($1:$99)),COLUMN(K111))-1)</f>
        <v/>
      </c>
      <c r="AH112" s="75" t="str" cm="1">
        <f t="array" ref="AH112">MID(";"&amp;'CASE DATA'!$F112&amp;";",SMALL(IF(ISERROR(SEARCH(MID(";"&amp;'CASE DATA'!$F112&amp;";",ROW($1:$99),1),";")),"",ROW($1:$99)+1),COLUMN(L112)),SMALL(IF(ISERROR(SEARCH(MID(";"&amp;'CASE DATA'!$F112&amp;";",ROW($1:$99),1),";")),"",ROW($1:$99)),COLUMN(L111)+1)-SMALL(IF(ISERROR(SEARCH(MID(";"&amp;'CASE DATA'!$F112&amp;";",ROW($1:$99),1),";")),"",ROW($1:$99)),COLUMN(L111))-1)</f>
        <v/>
      </c>
      <c r="AI112" s="75" t="str" cm="1">
        <f t="array" ref="AI112">MID(";"&amp;'CASE DATA'!$F112&amp;";",SMALL(IF(ISERROR(SEARCH(MID(";"&amp;'CASE DATA'!$F112&amp;";",ROW($1:$99),1),";")),"",ROW($1:$99)+1),COLUMN(M112)),SMALL(IF(ISERROR(SEARCH(MID(";"&amp;'CASE DATA'!$F112&amp;";",ROW($1:$99),1),";")),"",ROW($1:$99)),COLUMN(M111)+1)-SMALL(IF(ISERROR(SEARCH(MID(";"&amp;'CASE DATA'!$F112&amp;";",ROW($1:$99),1),";")),"",ROW($1:$99)),COLUMN(M111))-1)</f>
        <v/>
      </c>
      <c r="BO112" s="99"/>
      <c r="BP112" s="99"/>
      <c r="BQ112" s="99"/>
      <c r="BR112" s="99"/>
      <c r="BS112" s="99"/>
      <c r="BT112" s="99"/>
      <c r="BU112" s="99"/>
      <c r="BV112" s="99"/>
      <c r="BW112" s="99"/>
      <c r="BX112" s="99"/>
      <c r="BY112" s="99"/>
      <c r="BZ112" s="99"/>
      <c r="CA112" s="99"/>
      <c r="CB112" s="99"/>
      <c r="CC112" s="99"/>
      <c r="CD112" s="99"/>
      <c r="CE112" s="99"/>
      <c r="CF112" s="99"/>
      <c r="CG112" s="99"/>
      <c r="CH112" s="99"/>
      <c r="CI112" s="99"/>
      <c r="CJ112" s="99"/>
      <c r="CK112" s="99"/>
      <c r="CL112" s="99"/>
      <c r="CM112" s="99"/>
      <c r="CN112" s="99"/>
      <c r="CO112" s="99"/>
      <c r="CP112" s="99"/>
      <c r="CQ112" s="99"/>
      <c r="CR112" s="99"/>
      <c r="CS112" s="99"/>
      <c r="CT112" s="99"/>
      <c r="CU112" s="99"/>
      <c r="CV112" s="99"/>
      <c r="CW112" s="99"/>
      <c r="CX112" s="99"/>
      <c r="CY112" s="99"/>
      <c r="CZ112" s="99"/>
      <c r="DA112" s="99"/>
      <c r="DB112" s="99"/>
      <c r="DC112" s="99"/>
      <c r="DD112" s="99"/>
      <c r="DE112" s="99"/>
      <c r="DF112" s="99"/>
      <c r="DG112" s="99"/>
      <c r="DH112" s="99"/>
      <c r="DI112" s="99"/>
      <c r="DJ112" s="99"/>
      <c r="DK112" s="99"/>
      <c r="DL112" s="99"/>
      <c r="DM112" s="99"/>
      <c r="DN112" s="99"/>
      <c r="DO112" s="99"/>
      <c r="DP112" s="99"/>
      <c r="DQ112" s="99"/>
      <c r="DR112" s="99"/>
      <c r="DS112" s="99"/>
      <c r="DT112" s="99"/>
      <c r="DU112" s="99"/>
      <c r="DV112" s="99"/>
      <c r="DW112" s="99"/>
      <c r="DX112" s="99"/>
      <c r="DY112" s="99"/>
      <c r="DZ112" s="99"/>
      <c r="EA112" s="99"/>
      <c r="EB112" s="99"/>
      <c r="EC112" s="99"/>
      <c r="ED112" s="99"/>
      <c r="EE112" s="99"/>
      <c r="EF112" s="99"/>
      <c r="EG112" s="99"/>
      <c r="EH112" s="99"/>
      <c r="EI112" s="99"/>
      <c r="EJ112" s="99"/>
      <c r="EK112" s="99"/>
      <c r="EL112" s="99"/>
      <c r="EM112" s="99"/>
      <c r="EN112" s="99"/>
      <c r="EO112" s="99"/>
      <c r="EP112" s="99"/>
      <c r="EQ112" s="99"/>
      <c r="ER112" s="99"/>
      <c r="ES112" s="99"/>
      <c r="ET112" s="99"/>
      <c r="EU112" s="99"/>
      <c r="EV112" s="99"/>
      <c r="EW112" s="99"/>
      <c r="EX112" s="99"/>
      <c r="EY112" s="99"/>
      <c r="EZ112" s="99"/>
      <c r="FA112" s="99"/>
      <c r="FB112" s="99"/>
      <c r="FC112" s="99"/>
      <c r="FD112" s="99"/>
      <c r="FE112" s="99"/>
      <c r="FF112" s="99"/>
      <c r="FG112" s="99"/>
      <c r="FH112" s="99"/>
      <c r="FI112" s="99"/>
      <c r="FJ112" s="99"/>
      <c r="FK112" s="99"/>
    </row>
    <row r="113" spans="3:167" x14ac:dyDescent="0.25">
      <c r="C113" s="10"/>
      <c r="D113" s="10"/>
      <c r="E113" s="11"/>
      <c r="F113" s="15"/>
      <c r="J113" s="99">
        <v>110</v>
      </c>
      <c r="K113" s="16"/>
      <c r="L113" s="16"/>
      <c r="M113" s="16"/>
      <c r="N113" s="16"/>
      <c r="O113" s="16"/>
      <c r="P113" s="16"/>
      <c r="Q113" s="16"/>
      <c r="R113" s="16"/>
      <c r="S113" s="16"/>
      <c r="T113" s="16"/>
      <c r="U113" s="73">
        <f>SUM(K113:T113)</f>
        <v>0</v>
      </c>
      <c r="V113" s="73"/>
      <c r="X113" s="75" t="str" cm="1">
        <f t="array" ref="X113">MID(";"&amp;'CASE DATA'!$F113&amp;";",SMALL(IF(ISERROR(SEARCH(MID(";"&amp;'CASE DATA'!$F113&amp;";",ROW($1:$99),1),";")),"",ROW($1:$99)+1),COLUMN(A113)),SMALL(IF(ISERROR(SEARCH(MID(";"&amp;'CASE DATA'!$F113&amp;";",ROW($1:$99),1),";")),"",ROW($1:$99)),COLUMN(A112)+1)-SMALL(IF(ISERROR(SEARCH(MID(";"&amp;'CASE DATA'!$F113&amp;";",ROW($1:$99),1),";")),"",ROW($1:$99)),COLUMN(A112))-1)</f>
        <v/>
      </c>
      <c r="Y113" s="75" t="str" cm="1">
        <f t="array" ref="Y113">MID(";"&amp;'CASE DATA'!$F113&amp;";",SMALL(IF(ISERROR(SEARCH(MID(";"&amp;'CASE DATA'!$F113&amp;";",ROW($1:$99),1),";")),"",ROW($1:$99)+1),COLUMN(B113)),SMALL(IF(ISERROR(SEARCH(MID(";"&amp;'CASE DATA'!$F113&amp;";",ROW($1:$99),1),";")),"",ROW($1:$99)),COLUMN(B112)+1)-SMALL(IF(ISERROR(SEARCH(MID(";"&amp;'CASE DATA'!$F113&amp;";",ROW($1:$99),1),";")),"",ROW($1:$99)),COLUMN(B112))-1)</f>
        <v/>
      </c>
      <c r="Z113" s="75" t="str" cm="1">
        <f t="array" ref="Z113">MID(";"&amp;'CASE DATA'!$F113&amp;";",SMALL(IF(ISERROR(SEARCH(MID(";"&amp;'CASE DATA'!$F113&amp;";",ROW($1:$99),1),";")),"",ROW($1:$99)+1),COLUMN(C113)),SMALL(IF(ISERROR(SEARCH(MID(";"&amp;'CASE DATA'!$F113&amp;";",ROW($1:$99),1),";")),"",ROW($1:$99)),COLUMN(C112)+1)-SMALL(IF(ISERROR(SEARCH(MID(";"&amp;'CASE DATA'!$F113&amp;";",ROW($1:$99),1),";")),"",ROW($1:$99)),COLUMN(C112))-1)</f>
        <v/>
      </c>
      <c r="AA113" s="75" t="str" cm="1">
        <f t="array" ref="AA113">MID(";"&amp;'CASE DATA'!$F113&amp;";",SMALL(IF(ISERROR(SEARCH(MID(";"&amp;'CASE DATA'!$F113&amp;";",ROW($1:$99),1),";")),"",ROW($1:$99)+1),COLUMN(D113)),SMALL(IF(ISERROR(SEARCH(MID(";"&amp;'CASE DATA'!$F113&amp;";",ROW($1:$99),1),";")),"",ROW($1:$99)),COLUMN(D112)+1)-SMALL(IF(ISERROR(SEARCH(MID(";"&amp;'CASE DATA'!$F113&amp;";",ROW($1:$99),1),";")),"",ROW($1:$99)),COLUMN(D112))-1)</f>
        <v/>
      </c>
      <c r="AB113" s="75" t="str" cm="1">
        <f t="array" ref="AB113">MID(";"&amp;'CASE DATA'!$F113&amp;";",SMALL(IF(ISERROR(SEARCH(MID(";"&amp;'CASE DATA'!$F113&amp;";",ROW($1:$99),1),";")),"",ROW($1:$99)+1),COLUMN(E113)),SMALL(IF(ISERROR(SEARCH(MID(";"&amp;'CASE DATA'!$F113&amp;";",ROW($1:$99),1),";")),"",ROW($1:$99)),COLUMN(E112)+1)-SMALL(IF(ISERROR(SEARCH(MID(";"&amp;'CASE DATA'!$F113&amp;";",ROW($1:$99),1),";")),"",ROW($1:$99)),COLUMN(E112))-1)</f>
        <v/>
      </c>
      <c r="AC113" s="75" t="str" cm="1">
        <f t="array" ref="AC113">MID(";"&amp;'CASE DATA'!$F113&amp;";",SMALL(IF(ISERROR(SEARCH(MID(";"&amp;'CASE DATA'!$F113&amp;";",ROW($1:$99),1),";")),"",ROW($1:$99)+1),COLUMN(F113)),SMALL(IF(ISERROR(SEARCH(MID(";"&amp;'CASE DATA'!$F113&amp;";",ROW($1:$99),1),";")),"",ROW($1:$99)),COLUMN(F112)+1)-SMALL(IF(ISERROR(SEARCH(MID(";"&amp;'CASE DATA'!$F113&amp;";",ROW($1:$99),1),";")),"",ROW($1:$99)),COLUMN(F112))-1)</f>
        <v/>
      </c>
      <c r="AD113" s="75" t="str" cm="1">
        <f t="array" ref="AD113">MID(";"&amp;'CASE DATA'!$F113&amp;";",SMALL(IF(ISERROR(SEARCH(MID(";"&amp;'CASE DATA'!$F113&amp;";",ROW($1:$99),1),";")),"",ROW($1:$99)+1),COLUMN(G113)),SMALL(IF(ISERROR(SEARCH(MID(";"&amp;'CASE DATA'!$F113&amp;";",ROW($1:$99),1),";")),"",ROW($1:$99)),COLUMN(G112)+1)-SMALL(IF(ISERROR(SEARCH(MID(";"&amp;'CASE DATA'!$F113&amp;";",ROW($1:$99),1),";")),"",ROW($1:$99)),COLUMN(G112))-1)</f>
        <v/>
      </c>
      <c r="AE113" s="75" t="str" cm="1">
        <f t="array" ref="AE113">MID(";"&amp;'CASE DATA'!$F113&amp;";",SMALL(IF(ISERROR(SEARCH(MID(";"&amp;'CASE DATA'!$F113&amp;";",ROW($1:$99),1),";")),"",ROW($1:$99)+1),COLUMN(H113)),SMALL(IF(ISERROR(SEARCH(MID(";"&amp;'CASE DATA'!$F113&amp;";",ROW($1:$99),1),";")),"",ROW($1:$99)),COLUMN(H112)+1)-SMALL(IF(ISERROR(SEARCH(MID(";"&amp;'CASE DATA'!$F113&amp;";",ROW($1:$99),1),";")),"",ROW($1:$99)),COLUMN(H112))-1)</f>
        <v/>
      </c>
      <c r="AF113" s="75" t="str" cm="1">
        <f t="array" ref="AF113">MID(";"&amp;'CASE DATA'!$F113&amp;";",SMALL(IF(ISERROR(SEARCH(MID(";"&amp;'CASE DATA'!$F113&amp;";",ROW($1:$99),1),";")),"",ROW($1:$99)+1),COLUMN(I113)),SMALL(IF(ISERROR(SEARCH(MID(";"&amp;'CASE DATA'!$F113&amp;";",ROW($1:$99),1),";")),"",ROW($1:$99)),COLUMN(I112)+1)-SMALL(IF(ISERROR(SEARCH(MID(";"&amp;'CASE DATA'!$F113&amp;";",ROW($1:$99),1),";")),"",ROW($1:$99)),COLUMN(I112))-1)</f>
        <v/>
      </c>
      <c r="AG113" s="75" t="str" cm="1">
        <f t="array" ref="AG113">MID(";"&amp;'CASE DATA'!$F113&amp;";",SMALL(IF(ISERROR(SEARCH(MID(";"&amp;'CASE DATA'!$F113&amp;";",ROW($1:$99),1),";")),"",ROW($1:$99)+1),COLUMN(K113)),SMALL(IF(ISERROR(SEARCH(MID(";"&amp;'CASE DATA'!$F113&amp;";",ROW($1:$99),1),";")),"",ROW($1:$99)),COLUMN(K112)+1)-SMALL(IF(ISERROR(SEARCH(MID(";"&amp;'CASE DATA'!$F113&amp;";",ROW($1:$99),1),";")),"",ROW($1:$99)),COLUMN(K112))-1)</f>
        <v/>
      </c>
      <c r="AH113" s="75" t="str" cm="1">
        <f t="array" ref="AH113">MID(";"&amp;'CASE DATA'!$F113&amp;";",SMALL(IF(ISERROR(SEARCH(MID(";"&amp;'CASE DATA'!$F113&amp;";",ROW($1:$99),1),";")),"",ROW($1:$99)+1),COLUMN(L113)),SMALL(IF(ISERROR(SEARCH(MID(";"&amp;'CASE DATA'!$F113&amp;";",ROW($1:$99),1),";")),"",ROW($1:$99)),COLUMN(L112)+1)-SMALL(IF(ISERROR(SEARCH(MID(";"&amp;'CASE DATA'!$F113&amp;";",ROW($1:$99),1),";")),"",ROW($1:$99)),COLUMN(L112))-1)</f>
        <v/>
      </c>
      <c r="AI113" s="75" t="str" cm="1">
        <f t="array" ref="AI113">MID(";"&amp;'CASE DATA'!$F113&amp;";",SMALL(IF(ISERROR(SEARCH(MID(";"&amp;'CASE DATA'!$F113&amp;";",ROW($1:$99),1),";")),"",ROW($1:$99)+1),COLUMN(M113)),SMALL(IF(ISERROR(SEARCH(MID(";"&amp;'CASE DATA'!$F113&amp;";",ROW($1:$99),1),";")),"",ROW($1:$99)),COLUMN(M112)+1)-SMALL(IF(ISERROR(SEARCH(MID(";"&amp;'CASE DATA'!$F113&amp;";",ROW($1:$99),1),";")),"",ROW($1:$99)),COLUMN(M112))-1)</f>
        <v/>
      </c>
      <c r="BO113" s="99"/>
      <c r="BP113" s="99"/>
      <c r="BQ113" s="99"/>
      <c r="BR113" s="99"/>
      <c r="BS113" s="99"/>
      <c r="BT113" s="99"/>
      <c r="BU113" s="99"/>
      <c r="BV113" s="99"/>
      <c r="BW113" s="99"/>
      <c r="BX113" s="99"/>
      <c r="BY113" s="99"/>
      <c r="BZ113" s="99"/>
      <c r="CA113" s="99"/>
      <c r="CB113" s="99"/>
      <c r="CC113" s="99"/>
      <c r="CD113" s="99"/>
      <c r="CE113" s="99"/>
      <c r="CF113" s="99"/>
      <c r="CG113" s="99"/>
      <c r="CH113" s="99"/>
      <c r="CI113" s="99"/>
      <c r="CJ113" s="99"/>
      <c r="CK113" s="99"/>
      <c r="CL113" s="99"/>
      <c r="CM113" s="99"/>
      <c r="CN113" s="99"/>
      <c r="CO113" s="99"/>
      <c r="CP113" s="99"/>
      <c r="CQ113" s="99"/>
      <c r="CR113" s="99"/>
      <c r="CS113" s="99"/>
      <c r="CT113" s="99"/>
      <c r="CU113" s="99"/>
      <c r="CV113" s="99"/>
      <c r="CW113" s="99"/>
      <c r="CX113" s="99"/>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99"/>
      <c r="EE113" s="99"/>
      <c r="EF113" s="99"/>
      <c r="EG113" s="99"/>
      <c r="EH113" s="99"/>
      <c r="EI113" s="99"/>
      <c r="EJ113" s="99"/>
      <c r="EK113" s="99"/>
      <c r="EL113" s="99"/>
      <c r="EM113" s="99"/>
      <c r="EN113" s="99"/>
      <c r="EO113" s="99"/>
      <c r="EP113" s="99"/>
      <c r="EQ113" s="99"/>
      <c r="ER113" s="99"/>
      <c r="ES113" s="99"/>
      <c r="ET113" s="99"/>
      <c r="EU113" s="99"/>
      <c r="EV113" s="99"/>
      <c r="EW113" s="99"/>
      <c r="EX113" s="99"/>
      <c r="EY113" s="99"/>
      <c r="EZ113" s="99"/>
      <c r="FA113" s="99"/>
      <c r="FB113" s="99"/>
      <c r="FC113" s="99"/>
      <c r="FD113" s="99"/>
      <c r="FE113" s="99"/>
      <c r="FF113" s="99"/>
      <c r="FG113" s="99"/>
      <c r="FH113" s="99"/>
      <c r="FI113" s="99"/>
      <c r="FJ113" s="99"/>
      <c r="FK113" s="99"/>
    </row>
    <row r="114" spans="3:167" x14ac:dyDescent="0.25">
      <c r="C114" s="10"/>
      <c r="D114" s="10"/>
      <c r="E114" s="11"/>
      <c r="F114" s="15"/>
      <c r="J114" s="99">
        <v>111</v>
      </c>
      <c r="K114" s="16"/>
      <c r="L114" s="16"/>
      <c r="M114" s="16"/>
      <c r="N114" s="16"/>
      <c r="O114" s="16"/>
      <c r="P114" s="16"/>
      <c r="Q114" s="16"/>
      <c r="R114" s="16"/>
      <c r="S114" s="16"/>
      <c r="T114" s="16"/>
      <c r="U114" s="73">
        <f>SUM(K114:T114)</f>
        <v>0</v>
      </c>
      <c r="V114" s="73"/>
      <c r="X114" s="75" t="str" cm="1">
        <f t="array" ref="X114">MID(";"&amp;'CASE DATA'!$F114&amp;";",SMALL(IF(ISERROR(SEARCH(MID(";"&amp;'CASE DATA'!$F114&amp;";",ROW($1:$99),1),";")),"",ROW($1:$99)+1),COLUMN(A114)),SMALL(IF(ISERROR(SEARCH(MID(";"&amp;'CASE DATA'!$F114&amp;";",ROW($1:$99),1),";")),"",ROW($1:$99)),COLUMN(A113)+1)-SMALL(IF(ISERROR(SEARCH(MID(";"&amp;'CASE DATA'!$F114&amp;";",ROW($1:$99),1),";")),"",ROW($1:$99)),COLUMN(A113))-1)</f>
        <v/>
      </c>
      <c r="Y114" s="75" t="str" cm="1">
        <f t="array" ref="Y114">MID(";"&amp;'CASE DATA'!$F114&amp;";",SMALL(IF(ISERROR(SEARCH(MID(";"&amp;'CASE DATA'!$F114&amp;";",ROW($1:$99),1),";")),"",ROW($1:$99)+1),COLUMN(B114)),SMALL(IF(ISERROR(SEARCH(MID(";"&amp;'CASE DATA'!$F114&amp;";",ROW($1:$99),1),";")),"",ROW($1:$99)),COLUMN(B113)+1)-SMALL(IF(ISERROR(SEARCH(MID(";"&amp;'CASE DATA'!$F114&amp;";",ROW($1:$99),1),";")),"",ROW($1:$99)),COLUMN(B113))-1)</f>
        <v/>
      </c>
      <c r="Z114" s="75" t="str" cm="1">
        <f t="array" ref="Z114">MID(";"&amp;'CASE DATA'!$F114&amp;";",SMALL(IF(ISERROR(SEARCH(MID(";"&amp;'CASE DATA'!$F114&amp;";",ROW($1:$99),1),";")),"",ROW($1:$99)+1),COLUMN(C114)),SMALL(IF(ISERROR(SEARCH(MID(";"&amp;'CASE DATA'!$F114&amp;";",ROW($1:$99),1),";")),"",ROW($1:$99)),COLUMN(C113)+1)-SMALL(IF(ISERROR(SEARCH(MID(";"&amp;'CASE DATA'!$F114&amp;";",ROW($1:$99),1),";")),"",ROW($1:$99)),COLUMN(C113))-1)</f>
        <v/>
      </c>
      <c r="AA114" s="75" t="str" cm="1">
        <f t="array" ref="AA114">MID(";"&amp;'CASE DATA'!$F114&amp;";",SMALL(IF(ISERROR(SEARCH(MID(";"&amp;'CASE DATA'!$F114&amp;";",ROW($1:$99),1),";")),"",ROW($1:$99)+1),COLUMN(D114)),SMALL(IF(ISERROR(SEARCH(MID(";"&amp;'CASE DATA'!$F114&amp;";",ROW($1:$99),1),";")),"",ROW($1:$99)),COLUMN(D113)+1)-SMALL(IF(ISERROR(SEARCH(MID(";"&amp;'CASE DATA'!$F114&amp;";",ROW($1:$99),1),";")),"",ROW($1:$99)),COLUMN(D113))-1)</f>
        <v/>
      </c>
      <c r="AB114" s="75" t="str" cm="1">
        <f t="array" ref="AB114">MID(";"&amp;'CASE DATA'!$F114&amp;";",SMALL(IF(ISERROR(SEARCH(MID(";"&amp;'CASE DATA'!$F114&amp;";",ROW($1:$99),1),";")),"",ROW($1:$99)+1),COLUMN(E114)),SMALL(IF(ISERROR(SEARCH(MID(";"&amp;'CASE DATA'!$F114&amp;";",ROW($1:$99),1),";")),"",ROW($1:$99)),COLUMN(E113)+1)-SMALL(IF(ISERROR(SEARCH(MID(";"&amp;'CASE DATA'!$F114&amp;";",ROW($1:$99),1),";")),"",ROW($1:$99)),COLUMN(E113))-1)</f>
        <v/>
      </c>
      <c r="AC114" s="75" t="str" cm="1">
        <f t="array" ref="AC114">MID(";"&amp;'CASE DATA'!$F114&amp;";",SMALL(IF(ISERROR(SEARCH(MID(";"&amp;'CASE DATA'!$F114&amp;";",ROW($1:$99),1),";")),"",ROW($1:$99)+1),COLUMN(F114)),SMALL(IF(ISERROR(SEARCH(MID(";"&amp;'CASE DATA'!$F114&amp;";",ROW($1:$99),1),";")),"",ROW($1:$99)),COLUMN(F113)+1)-SMALL(IF(ISERROR(SEARCH(MID(";"&amp;'CASE DATA'!$F114&amp;";",ROW($1:$99),1),";")),"",ROW($1:$99)),COLUMN(F113))-1)</f>
        <v/>
      </c>
      <c r="AD114" s="75" t="str" cm="1">
        <f t="array" ref="AD114">MID(";"&amp;'CASE DATA'!$F114&amp;";",SMALL(IF(ISERROR(SEARCH(MID(";"&amp;'CASE DATA'!$F114&amp;";",ROW($1:$99),1),";")),"",ROW($1:$99)+1),COLUMN(G114)),SMALL(IF(ISERROR(SEARCH(MID(";"&amp;'CASE DATA'!$F114&amp;";",ROW($1:$99),1),";")),"",ROW($1:$99)),COLUMN(G113)+1)-SMALL(IF(ISERROR(SEARCH(MID(";"&amp;'CASE DATA'!$F114&amp;";",ROW($1:$99),1),";")),"",ROW($1:$99)),COLUMN(G113))-1)</f>
        <v/>
      </c>
      <c r="AE114" s="75" t="str" cm="1">
        <f t="array" ref="AE114">MID(";"&amp;'CASE DATA'!$F114&amp;";",SMALL(IF(ISERROR(SEARCH(MID(";"&amp;'CASE DATA'!$F114&amp;";",ROW($1:$99),1),";")),"",ROW($1:$99)+1),COLUMN(H114)),SMALL(IF(ISERROR(SEARCH(MID(";"&amp;'CASE DATA'!$F114&amp;";",ROW($1:$99),1),";")),"",ROW($1:$99)),COLUMN(H113)+1)-SMALL(IF(ISERROR(SEARCH(MID(";"&amp;'CASE DATA'!$F114&amp;";",ROW($1:$99),1),";")),"",ROW($1:$99)),COLUMN(H113))-1)</f>
        <v/>
      </c>
      <c r="AF114" s="75" t="str" cm="1">
        <f t="array" ref="AF114">MID(";"&amp;'CASE DATA'!$F114&amp;";",SMALL(IF(ISERROR(SEARCH(MID(";"&amp;'CASE DATA'!$F114&amp;";",ROW($1:$99),1),";")),"",ROW($1:$99)+1),COLUMN(I114)),SMALL(IF(ISERROR(SEARCH(MID(";"&amp;'CASE DATA'!$F114&amp;";",ROW($1:$99),1),";")),"",ROW($1:$99)),COLUMN(I113)+1)-SMALL(IF(ISERROR(SEARCH(MID(";"&amp;'CASE DATA'!$F114&amp;";",ROW($1:$99),1),";")),"",ROW($1:$99)),COLUMN(I113))-1)</f>
        <v/>
      </c>
      <c r="AG114" s="75" t="str" cm="1">
        <f t="array" ref="AG114">MID(";"&amp;'CASE DATA'!$F114&amp;";",SMALL(IF(ISERROR(SEARCH(MID(";"&amp;'CASE DATA'!$F114&amp;";",ROW($1:$99),1),";")),"",ROW($1:$99)+1),COLUMN(K114)),SMALL(IF(ISERROR(SEARCH(MID(";"&amp;'CASE DATA'!$F114&amp;";",ROW($1:$99),1),";")),"",ROW($1:$99)),COLUMN(K113)+1)-SMALL(IF(ISERROR(SEARCH(MID(";"&amp;'CASE DATA'!$F114&amp;";",ROW($1:$99),1),";")),"",ROW($1:$99)),COLUMN(K113))-1)</f>
        <v/>
      </c>
      <c r="AH114" s="75" t="str" cm="1">
        <f t="array" ref="AH114">MID(";"&amp;'CASE DATA'!$F114&amp;";",SMALL(IF(ISERROR(SEARCH(MID(";"&amp;'CASE DATA'!$F114&amp;";",ROW($1:$99),1),";")),"",ROW($1:$99)+1),COLUMN(L114)),SMALL(IF(ISERROR(SEARCH(MID(";"&amp;'CASE DATA'!$F114&amp;";",ROW($1:$99),1),";")),"",ROW($1:$99)),COLUMN(L113)+1)-SMALL(IF(ISERROR(SEARCH(MID(";"&amp;'CASE DATA'!$F114&amp;";",ROW($1:$99),1),";")),"",ROW($1:$99)),COLUMN(L113))-1)</f>
        <v/>
      </c>
      <c r="AI114" s="75" t="str" cm="1">
        <f t="array" ref="AI114">MID(";"&amp;'CASE DATA'!$F114&amp;";",SMALL(IF(ISERROR(SEARCH(MID(";"&amp;'CASE DATA'!$F114&amp;";",ROW($1:$99),1),";")),"",ROW($1:$99)+1),COLUMN(M114)),SMALL(IF(ISERROR(SEARCH(MID(";"&amp;'CASE DATA'!$F114&amp;";",ROW($1:$99),1),";")),"",ROW($1:$99)),COLUMN(M113)+1)-SMALL(IF(ISERROR(SEARCH(MID(";"&amp;'CASE DATA'!$F114&amp;";",ROW($1:$99),1),";")),"",ROW($1:$99)),COLUMN(M113))-1)</f>
        <v/>
      </c>
      <c r="BO114" s="99"/>
      <c r="BP114" s="99"/>
      <c r="BQ114" s="99"/>
      <c r="BR114" s="99"/>
      <c r="BS114" s="99"/>
      <c r="BT114" s="99"/>
      <c r="BU114" s="99"/>
      <c r="BV114" s="99"/>
      <c r="BW114" s="99"/>
      <c r="BX114" s="99"/>
      <c r="BY114" s="99"/>
      <c r="BZ114" s="99"/>
      <c r="CA114" s="99"/>
      <c r="CB114" s="99"/>
      <c r="CC114" s="99"/>
      <c r="CD114" s="99"/>
      <c r="CE114" s="99"/>
      <c r="CF114" s="99"/>
      <c r="CG114" s="99"/>
      <c r="CH114" s="99"/>
      <c r="CI114" s="99"/>
      <c r="CJ114" s="99"/>
      <c r="CK114" s="99"/>
      <c r="CL114" s="99"/>
      <c r="CM114" s="99"/>
      <c r="CN114" s="99"/>
      <c r="CO114" s="99"/>
      <c r="CP114" s="99"/>
      <c r="CQ114" s="99"/>
      <c r="CR114" s="99"/>
      <c r="CS114" s="99"/>
      <c r="CT114" s="99"/>
      <c r="CU114" s="99"/>
      <c r="CV114" s="99"/>
      <c r="CW114" s="99"/>
      <c r="CX114" s="99"/>
      <c r="CY114" s="99"/>
      <c r="CZ114" s="99"/>
      <c r="DA114" s="99"/>
      <c r="DB114" s="99"/>
      <c r="DC114" s="99"/>
      <c r="DD114" s="99"/>
      <c r="DE114" s="99"/>
      <c r="DF114" s="99"/>
      <c r="DG114" s="99"/>
      <c r="DH114" s="99"/>
      <c r="DI114" s="99"/>
      <c r="DJ114" s="99"/>
      <c r="DK114" s="99"/>
      <c r="DL114" s="99"/>
      <c r="DM114" s="99"/>
      <c r="DN114" s="99"/>
      <c r="DO114" s="99"/>
      <c r="DP114" s="99"/>
      <c r="DQ114" s="99"/>
      <c r="DR114" s="99"/>
      <c r="DS114" s="99"/>
      <c r="DT114" s="99"/>
      <c r="DU114" s="99"/>
      <c r="DV114" s="99"/>
      <c r="DW114" s="99"/>
      <c r="DX114" s="99"/>
      <c r="DY114" s="99"/>
      <c r="DZ114" s="99"/>
      <c r="EA114" s="99"/>
      <c r="EB114" s="99"/>
      <c r="EC114" s="99"/>
      <c r="ED114" s="99"/>
      <c r="EE114" s="99"/>
      <c r="EF114" s="99"/>
      <c r="EG114" s="99"/>
      <c r="EH114" s="99"/>
      <c r="EI114" s="99"/>
      <c r="EJ114" s="99"/>
      <c r="EK114" s="99"/>
      <c r="EL114" s="99"/>
      <c r="EM114" s="99"/>
      <c r="EN114" s="99"/>
      <c r="EO114" s="99"/>
      <c r="EP114" s="99"/>
      <c r="EQ114" s="99"/>
      <c r="ER114" s="99"/>
      <c r="ES114" s="99"/>
      <c r="ET114" s="99"/>
      <c r="EU114" s="99"/>
      <c r="EV114" s="99"/>
      <c r="EW114" s="99"/>
      <c r="EX114" s="99"/>
      <c r="EY114" s="99"/>
      <c r="EZ114" s="99"/>
      <c r="FA114" s="99"/>
      <c r="FB114" s="99"/>
      <c r="FC114" s="99"/>
      <c r="FD114" s="99"/>
      <c r="FE114" s="99"/>
      <c r="FF114" s="99"/>
      <c r="FG114" s="99"/>
      <c r="FH114" s="99"/>
      <c r="FI114" s="99"/>
      <c r="FJ114" s="99"/>
      <c r="FK114" s="99"/>
    </row>
    <row r="115" spans="3:167" x14ac:dyDescent="0.25">
      <c r="C115" s="10"/>
      <c r="D115" s="10"/>
      <c r="E115" s="11"/>
      <c r="F115" s="15"/>
      <c r="J115" s="99">
        <v>112</v>
      </c>
      <c r="K115" s="16"/>
      <c r="L115" s="16"/>
      <c r="M115" s="16"/>
      <c r="N115" s="16"/>
      <c r="O115" s="16"/>
      <c r="P115" s="16"/>
      <c r="Q115" s="16"/>
      <c r="R115" s="16"/>
      <c r="S115" s="16"/>
      <c r="T115" s="16"/>
      <c r="U115" s="73">
        <f>SUM(K115:T115)</f>
        <v>0</v>
      </c>
      <c r="V115" s="73"/>
      <c r="X115" s="75" t="str" cm="1">
        <f t="array" ref="X115">MID(";"&amp;'CASE DATA'!$F115&amp;";",SMALL(IF(ISERROR(SEARCH(MID(";"&amp;'CASE DATA'!$F115&amp;";",ROW($1:$99),1),";")),"",ROW($1:$99)+1),COLUMN(A115)),SMALL(IF(ISERROR(SEARCH(MID(";"&amp;'CASE DATA'!$F115&amp;";",ROW($1:$99),1),";")),"",ROW($1:$99)),COLUMN(A114)+1)-SMALL(IF(ISERROR(SEARCH(MID(";"&amp;'CASE DATA'!$F115&amp;";",ROW($1:$99),1),";")),"",ROW($1:$99)),COLUMN(A114))-1)</f>
        <v/>
      </c>
      <c r="Y115" s="75" t="str" cm="1">
        <f t="array" ref="Y115">MID(";"&amp;'CASE DATA'!$F115&amp;";",SMALL(IF(ISERROR(SEARCH(MID(";"&amp;'CASE DATA'!$F115&amp;";",ROW($1:$99),1),";")),"",ROW($1:$99)+1),COLUMN(B115)),SMALL(IF(ISERROR(SEARCH(MID(";"&amp;'CASE DATA'!$F115&amp;";",ROW($1:$99),1),";")),"",ROW($1:$99)),COLUMN(B114)+1)-SMALL(IF(ISERROR(SEARCH(MID(";"&amp;'CASE DATA'!$F115&amp;";",ROW($1:$99),1),";")),"",ROW($1:$99)),COLUMN(B114))-1)</f>
        <v/>
      </c>
      <c r="Z115" s="75" t="str" cm="1">
        <f t="array" ref="Z115">MID(";"&amp;'CASE DATA'!$F115&amp;";",SMALL(IF(ISERROR(SEARCH(MID(";"&amp;'CASE DATA'!$F115&amp;";",ROW($1:$99),1),";")),"",ROW($1:$99)+1),COLUMN(C115)),SMALL(IF(ISERROR(SEARCH(MID(";"&amp;'CASE DATA'!$F115&amp;";",ROW($1:$99),1),";")),"",ROW($1:$99)),COLUMN(C114)+1)-SMALL(IF(ISERROR(SEARCH(MID(";"&amp;'CASE DATA'!$F115&amp;";",ROW($1:$99),1),";")),"",ROW($1:$99)),COLUMN(C114))-1)</f>
        <v/>
      </c>
      <c r="AA115" s="75" t="str" cm="1">
        <f t="array" ref="AA115">MID(";"&amp;'CASE DATA'!$F115&amp;";",SMALL(IF(ISERROR(SEARCH(MID(";"&amp;'CASE DATA'!$F115&amp;";",ROW($1:$99),1),";")),"",ROW($1:$99)+1),COLUMN(D115)),SMALL(IF(ISERROR(SEARCH(MID(";"&amp;'CASE DATA'!$F115&amp;";",ROW($1:$99),1),";")),"",ROW($1:$99)),COLUMN(D114)+1)-SMALL(IF(ISERROR(SEARCH(MID(";"&amp;'CASE DATA'!$F115&amp;";",ROW($1:$99),1),";")),"",ROW($1:$99)),COLUMN(D114))-1)</f>
        <v/>
      </c>
      <c r="AB115" s="75" t="str" cm="1">
        <f t="array" ref="AB115">MID(";"&amp;'CASE DATA'!$F115&amp;";",SMALL(IF(ISERROR(SEARCH(MID(";"&amp;'CASE DATA'!$F115&amp;";",ROW($1:$99),1),";")),"",ROW($1:$99)+1),COLUMN(E115)),SMALL(IF(ISERROR(SEARCH(MID(";"&amp;'CASE DATA'!$F115&amp;";",ROW($1:$99),1),";")),"",ROW($1:$99)),COLUMN(E114)+1)-SMALL(IF(ISERROR(SEARCH(MID(";"&amp;'CASE DATA'!$F115&amp;";",ROW($1:$99),1),";")),"",ROW($1:$99)),COLUMN(E114))-1)</f>
        <v/>
      </c>
      <c r="AC115" s="75" t="str" cm="1">
        <f t="array" ref="AC115">MID(";"&amp;'CASE DATA'!$F115&amp;";",SMALL(IF(ISERROR(SEARCH(MID(";"&amp;'CASE DATA'!$F115&amp;";",ROW($1:$99),1),";")),"",ROW($1:$99)+1),COLUMN(F115)),SMALL(IF(ISERROR(SEARCH(MID(";"&amp;'CASE DATA'!$F115&amp;";",ROW($1:$99),1),";")),"",ROW($1:$99)),COLUMN(F114)+1)-SMALL(IF(ISERROR(SEARCH(MID(";"&amp;'CASE DATA'!$F115&amp;";",ROW($1:$99),1),";")),"",ROW($1:$99)),COLUMN(F114))-1)</f>
        <v/>
      </c>
      <c r="AD115" s="75" t="str" cm="1">
        <f t="array" ref="AD115">MID(";"&amp;'CASE DATA'!$F115&amp;";",SMALL(IF(ISERROR(SEARCH(MID(";"&amp;'CASE DATA'!$F115&amp;";",ROW($1:$99),1),";")),"",ROW($1:$99)+1),COLUMN(G115)),SMALL(IF(ISERROR(SEARCH(MID(";"&amp;'CASE DATA'!$F115&amp;";",ROW($1:$99),1),";")),"",ROW($1:$99)),COLUMN(G114)+1)-SMALL(IF(ISERROR(SEARCH(MID(";"&amp;'CASE DATA'!$F115&amp;";",ROW($1:$99),1),";")),"",ROW($1:$99)),COLUMN(G114))-1)</f>
        <v/>
      </c>
      <c r="AE115" s="75" t="str" cm="1">
        <f t="array" ref="AE115">MID(";"&amp;'CASE DATA'!$F115&amp;";",SMALL(IF(ISERROR(SEARCH(MID(";"&amp;'CASE DATA'!$F115&amp;";",ROW($1:$99),1),";")),"",ROW($1:$99)+1),COLUMN(H115)),SMALL(IF(ISERROR(SEARCH(MID(";"&amp;'CASE DATA'!$F115&amp;";",ROW($1:$99),1),";")),"",ROW($1:$99)),COLUMN(H114)+1)-SMALL(IF(ISERROR(SEARCH(MID(";"&amp;'CASE DATA'!$F115&amp;";",ROW($1:$99),1),";")),"",ROW($1:$99)),COLUMN(H114))-1)</f>
        <v/>
      </c>
      <c r="AF115" s="75" t="str" cm="1">
        <f t="array" ref="AF115">MID(";"&amp;'CASE DATA'!$F115&amp;";",SMALL(IF(ISERROR(SEARCH(MID(";"&amp;'CASE DATA'!$F115&amp;";",ROW($1:$99),1),";")),"",ROW($1:$99)+1),COLUMN(I115)),SMALL(IF(ISERROR(SEARCH(MID(";"&amp;'CASE DATA'!$F115&amp;";",ROW($1:$99),1),";")),"",ROW($1:$99)),COLUMN(I114)+1)-SMALL(IF(ISERROR(SEARCH(MID(";"&amp;'CASE DATA'!$F115&amp;";",ROW($1:$99),1),";")),"",ROW($1:$99)),COLUMN(I114))-1)</f>
        <v/>
      </c>
      <c r="AG115" s="75" t="str" cm="1">
        <f t="array" ref="AG115">MID(";"&amp;'CASE DATA'!$F115&amp;";",SMALL(IF(ISERROR(SEARCH(MID(";"&amp;'CASE DATA'!$F115&amp;";",ROW($1:$99),1),";")),"",ROW($1:$99)+1),COLUMN(K115)),SMALL(IF(ISERROR(SEARCH(MID(";"&amp;'CASE DATA'!$F115&amp;";",ROW($1:$99),1),";")),"",ROW($1:$99)),COLUMN(K114)+1)-SMALL(IF(ISERROR(SEARCH(MID(";"&amp;'CASE DATA'!$F115&amp;";",ROW($1:$99),1),";")),"",ROW($1:$99)),COLUMN(K114))-1)</f>
        <v/>
      </c>
      <c r="AH115" s="75" t="str" cm="1">
        <f t="array" ref="AH115">MID(";"&amp;'CASE DATA'!$F115&amp;";",SMALL(IF(ISERROR(SEARCH(MID(";"&amp;'CASE DATA'!$F115&amp;";",ROW($1:$99),1),";")),"",ROW($1:$99)+1),COLUMN(L115)),SMALL(IF(ISERROR(SEARCH(MID(";"&amp;'CASE DATA'!$F115&amp;";",ROW($1:$99),1),";")),"",ROW($1:$99)),COLUMN(L114)+1)-SMALL(IF(ISERROR(SEARCH(MID(";"&amp;'CASE DATA'!$F115&amp;";",ROW($1:$99),1),";")),"",ROW($1:$99)),COLUMN(L114))-1)</f>
        <v/>
      </c>
      <c r="AI115" s="75" t="str" cm="1">
        <f t="array" ref="AI115">MID(";"&amp;'CASE DATA'!$F115&amp;";",SMALL(IF(ISERROR(SEARCH(MID(";"&amp;'CASE DATA'!$F115&amp;";",ROW($1:$99),1),";")),"",ROW($1:$99)+1),COLUMN(M115)),SMALL(IF(ISERROR(SEARCH(MID(";"&amp;'CASE DATA'!$F115&amp;";",ROW($1:$99),1),";")),"",ROW($1:$99)),COLUMN(M114)+1)-SMALL(IF(ISERROR(SEARCH(MID(";"&amp;'CASE DATA'!$F115&amp;";",ROW($1:$99),1),";")),"",ROW($1:$99)),COLUMN(M114))-1)</f>
        <v/>
      </c>
      <c r="BO115" s="99"/>
      <c r="BP115" s="99"/>
      <c r="BQ115" s="99"/>
      <c r="BR115" s="99"/>
      <c r="BS115" s="99"/>
      <c r="BT115" s="99"/>
      <c r="BU115" s="99"/>
      <c r="BV115" s="99"/>
      <c r="BW115" s="99"/>
      <c r="BX115" s="99"/>
      <c r="BY115" s="99"/>
      <c r="BZ115" s="99"/>
      <c r="CA115" s="99"/>
      <c r="CB115" s="99"/>
      <c r="CC115" s="99"/>
      <c r="CD115" s="99"/>
      <c r="CE115" s="99"/>
      <c r="CF115" s="99"/>
      <c r="CG115" s="99"/>
      <c r="CH115" s="99"/>
      <c r="CI115" s="99"/>
      <c r="CJ115" s="99"/>
      <c r="CK115" s="99"/>
      <c r="CL115" s="99"/>
      <c r="CM115" s="99"/>
      <c r="CN115" s="99"/>
      <c r="CO115" s="99"/>
      <c r="CP115" s="99"/>
      <c r="CQ115" s="99"/>
      <c r="CR115" s="99"/>
      <c r="CS115" s="99"/>
      <c r="CT115" s="99"/>
      <c r="CU115" s="99"/>
      <c r="CV115" s="99"/>
      <c r="CW115" s="99"/>
      <c r="CX115" s="99"/>
      <c r="CY115" s="99"/>
      <c r="CZ115" s="99"/>
      <c r="DA115" s="99"/>
      <c r="DB115" s="99"/>
      <c r="DC115" s="99"/>
      <c r="DD115" s="99"/>
      <c r="DE115" s="99"/>
      <c r="DF115" s="99"/>
      <c r="DG115" s="99"/>
      <c r="DH115" s="99"/>
      <c r="DI115" s="99"/>
      <c r="DJ115" s="99"/>
      <c r="DK115" s="99"/>
      <c r="DL115" s="99"/>
      <c r="DM115" s="99"/>
      <c r="DN115" s="99"/>
      <c r="DO115" s="99"/>
      <c r="DP115" s="99"/>
      <c r="DQ115" s="99"/>
      <c r="DR115" s="99"/>
      <c r="DS115" s="99"/>
      <c r="DT115" s="99"/>
      <c r="DU115" s="99"/>
      <c r="DV115" s="99"/>
      <c r="DW115" s="99"/>
      <c r="DX115" s="99"/>
      <c r="DY115" s="99"/>
      <c r="DZ115" s="99"/>
      <c r="EA115" s="99"/>
      <c r="EB115" s="99"/>
      <c r="EC115" s="99"/>
      <c r="ED115" s="99"/>
      <c r="EE115" s="99"/>
      <c r="EF115" s="99"/>
      <c r="EG115" s="99"/>
      <c r="EH115" s="99"/>
      <c r="EI115" s="99"/>
      <c r="EJ115" s="99"/>
      <c r="EK115" s="99"/>
      <c r="EL115" s="99"/>
      <c r="EM115" s="99"/>
      <c r="EN115" s="99"/>
      <c r="EO115" s="99"/>
      <c r="EP115" s="99"/>
      <c r="EQ115" s="99"/>
      <c r="ER115" s="99"/>
      <c r="ES115" s="99"/>
      <c r="ET115" s="99"/>
      <c r="EU115" s="99"/>
      <c r="EV115" s="99"/>
      <c r="EW115" s="99"/>
      <c r="EX115" s="99"/>
      <c r="EY115" s="99"/>
      <c r="EZ115" s="99"/>
      <c r="FA115" s="99"/>
      <c r="FB115" s="99"/>
      <c r="FC115" s="99"/>
      <c r="FD115" s="99"/>
      <c r="FE115" s="99"/>
      <c r="FF115" s="99"/>
      <c r="FG115" s="99"/>
      <c r="FH115" s="99"/>
      <c r="FI115" s="99"/>
      <c r="FJ115" s="99"/>
      <c r="FK115" s="99"/>
    </row>
    <row r="116" spans="3:167" x14ac:dyDescent="0.25">
      <c r="C116" s="10"/>
      <c r="D116" s="10"/>
      <c r="E116" s="11"/>
      <c r="F116" s="15"/>
      <c r="J116" s="99">
        <v>113</v>
      </c>
      <c r="K116" s="16"/>
      <c r="L116" s="16"/>
      <c r="M116" s="16"/>
      <c r="N116" s="16"/>
      <c r="O116" s="16"/>
      <c r="P116" s="16"/>
      <c r="Q116" s="16"/>
      <c r="R116" s="16"/>
      <c r="S116" s="16"/>
      <c r="T116" s="16"/>
      <c r="U116" s="73">
        <f>SUM(K116:T116)</f>
        <v>0</v>
      </c>
      <c r="V116" s="73"/>
      <c r="X116" s="75" t="str" cm="1">
        <f t="array" ref="X116">MID(";"&amp;'CASE DATA'!$F116&amp;";",SMALL(IF(ISERROR(SEARCH(MID(";"&amp;'CASE DATA'!$F116&amp;";",ROW($1:$99),1),";")),"",ROW($1:$99)+1),COLUMN(A116)),SMALL(IF(ISERROR(SEARCH(MID(";"&amp;'CASE DATA'!$F116&amp;";",ROW($1:$99),1),";")),"",ROW($1:$99)),COLUMN(A115)+1)-SMALL(IF(ISERROR(SEARCH(MID(";"&amp;'CASE DATA'!$F116&amp;";",ROW($1:$99),1),";")),"",ROW($1:$99)),COLUMN(A115))-1)</f>
        <v/>
      </c>
      <c r="Y116" s="75" t="str" cm="1">
        <f t="array" ref="Y116">MID(";"&amp;'CASE DATA'!$F116&amp;";",SMALL(IF(ISERROR(SEARCH(MID(";"&amp;'CASE DATA'!$F116&amp;";",ROW($1:$99),1),";")),"",ROW($1:$99)+1),COLUMN(B116)),SMALL(IF(ISERROR(SEARCH(MID(";"&amp;'CASE DATA'!$F116&amp;";",ROW($1:$99),1),";")),"",ROW($1:$99)),COLUMN(B115)+1)-SMALL(IF(ISERROR(SEARCH(MID(";"&amp;'CASE DATA'!$F116&amp;";",ROW($1:$99),1),";")),"",ROW($1:$99)),COLUMN(B115))-1)</f>
        <v/>
      </c>
      <c r="Z116" s="75" t="str" cm="1">
        <f t="array" ref="Z116">MID(";"&amp;'CASE DATA'!$F116&amp;";",SMALL(IF(ISERROR(SEARCH(MID(";"&amp;'CASE DATA'!$F116&amp;";",ROW($1:$99),1),";")),"",ROW($1:$99)+1),COLUMN(C116)),SMALL(IF(ISERROR(SEARCH(MID(";"&amp;'CASE DATA'!$F116&amp;";",ROW($1:$99),1),";")),"",ROW($1:$99)),COLUMN(C115)+1)-SMALL(IF(ISERROR(SEARCH(MID(";"&amp;'CASE DATA'!$F116&amp;";",ROW($1:$99),1),";")),"",ROW($1:$99)),COLUMN(C115))-1)</f>
        <v/>
      </c>
      <c r="AA116" s="75" t="str" cm="1">
        <f t="array" ref="AA116">MID(";"&amp;'CASE DATA'!$F116&amp;";",SMALL(IF(ISERROR(SEARCH(MID(";"&amp;'CASE DATA'!$F116&amp;";",ROW($1:$99),1),";")),"",ROW($1:$99)+1),COLUMN(D116)),SMALL(IF(ISERROR(SEARCH(MID(";"&amp;'CASE DATA'!$F116&amp;";",ROW($1:$99),1),";")),"",ROW($1:$99)),COLUMN(D115)+1)-SMALL(IF(ISERROR(SEARCH(MID(";"&amp;'CASE DATA'!$F116&amp;";",ROW($1:$99),1),";")),"",ROW($1:$99)),COLUMN(D115))-1)</f>
        <v/>
      </c>
      <c r="AB116" s="75" t="str" cm="1">
        <f t="array" ref="AB116">MID(";"&amp;'CASE DATA'!$F116&amp;";",SMALL(IF(ISERROR(SEARCH(MID(";"&amp;'CASE DATA'!$F116&amp;";",ROW($1:$99),1),";")),"",ROW($1:$99)+1),COLUMN(E116)),SMALL(IF(ISERROR(SEARCH(MID(";"&amp;'CASE DATA'!$F116&amp;";",ROW($1:$99),1),";")),"",ROW($1:$99)),COLUMN(E115)+1)-SMALL(IF(ISERROR(SEARCH(MID(";"&amp;'CASE DATA'!$F116&amp;";",ROW($1:$99),1),";")),"",ROW($1:$99)),COLUMN(E115))-1)</f>
        <v/>
      </c>
      <c r="AC116" s="75" t="str" cm="1">
        <f t="array" ref="AC116">MID(";"&amp;'CASE DATA'!$F116&amp;";",SMALL(IF(ISERROR(SEARCH(MID(";"&amp;'CASE DATA'!$F116&amp;";",ROW($1:$99),1),";")),"",ROW($1:$99)+1),COLUMN(F116)),SMALL(IF(ISERROR(SEARCH(MID(";"&amp;'CASE DATA'!$F116&amp;";",ROW($1:$99),1),";")),"",ROW($1:$99)),COLUMN(F115)+1)-SMALL(IF(ISERROR(SEARCH(MID(";"&amp;'CASE DATA'!$F116&amp;";",ROW($1:$99),1),";")),"",ROW($1:$99)),COLUMN(F115))-1)</f>
        <v/>
      </c>
      <c r="AD116" s="75" t="str" cm="1">
        <f t="array" ref="AD116">MID(";"&amp;'CASE DATA'!$F116&amp;";",SMALL(IF(ISERROR(SEARCH(MID(";"&amp;'CASE DATA'!$F116&amp;";",ROW($1:$99),1),";")),"",ROW($1:$99)+1),COLUMN(G116)),SMALL(IF(ISERROR(SEARCH(MID(";"&amp;'CASE DATA'!$F116&amp;";",ROW($1:$99),1),";")),"",ROW($1:$99)),COLUMN(G115)+1)-SMALL(IF(ISERROR(SEARCH(MID(";"&amp;'CASE DATA'!$F116&amp;";",ROW($1:$99),1),";")),"",ROW($1:$99)),COLUMN(G115))-1)</f>
        <v/>
      </c>
      <c r="AE116" s="75" t="str" cm="1">
        <f t="array" ref="AE116">MID(";"&amp;'CASE DATA'!$F116&amp;";",SMALL(IF(ISERROR(SEARCH(MID(";"&amp;'CASE DATA'!$F116&amp;";",ROW($1:$99),1),";")),"",ROW($1:$99)+1),COLUMN(H116)),SMALL(IF(ISERROR(SEARCH(MID(";"&amp;'CASE DATA'!$F116&amp;";",ROW($1:$99),1),";")),"",ROW($1:$99)),COLUMN(H115)+1)-SMALL(IF(ISERROR(SEARCH(MID(";"&amp;'CASE DATA'!$F116&amp;";",ROW($1:$99),1),";")),"",ROW($1:$99)),COLUMN(H115))-1)</f>
        <v/>
      </c>
      <c r="AF116" s="75" t="str" cm="1">
        <f t="array" ref="AF116">MID(";"&amp;'CASE DATA'!$F116&amp;";",SMALL(IF(ISERROR(SEARCH(MID(";"&amp;'CASE DATA'!$F116&amp;";",ROW($1:$99),1),";")),"",ROW($1:$99)+1),COLUMN(I116)),SMALL(IF(ISERROR(SEARCH(MID(";"&amp;'CASE DATA'!$F116&amp;";",ROW($1:$99),1),";")),"",ROW($1:$99)),COLUMN(I115)+1)-SMALL(IF(ISERROR(SEARCH(MID(";"&amp;'CASE DATA'!$F116&amp;";",ROW($1:$99),1),";")),"",ROW($1:$99)),COLUMN(I115))-1)</f>
        <v/>
      </c>
      <c r="AG116" s="75" t="str" cm="1">
        <f t="array" ref="AG116">MID(";"&amp;'CASE DATA'!$F116&amp;";",SMALL(IF(ISERROR(SEARCH(MID(";"&amp;'CASE DATA'!$F116&amp;";",ROW($1:$99),1),";")),"",ROW($1:$99)+1),COLUMN(K116)),SMALL(IF(ISERROR(SEARCH(MID(";"&amp;'CASE DATA'!$F116&amp;";",ROW($1:$99),1),";")),"",ROW($1:$99)),COLUMN(K115)+1)-SMALL(IF(ISERROR(SEARCH(MID(";"&amp;'CASE DATA'!$F116&amp;";",ROW($1:$99),1),";")),"",ROW($1:$99)),COLUMN(K115))-1)</f>
        <v/>
      </c>
      <c r="AH116" s="75" t="str" cm="1">
        <f t="array" ref="AH116">MID(";"&amp;'CASE DATA'!$F116&amp;";",SMALL(IF(ISERROR(SEARCH(MID(";"&amp;'CASE DATA'!$F116&amp;";",ROW($1:$99),1),";")),"",ROW($1:$99)+1),COLUMN(L116)),SMALL(IF(ISERROR(SEARCH(MID(";"&amp;'CASE DATA'!$F116&amp;";",ROW($1:$99),1),";")),"",ROW($1:$99)),COLUMN(L115)+1)-SMALL(IF(ISERROR(SEARCH(MID(";"&amp;'CASE DATA'!$F116&amp;";",ROW($1:$99),1),";")),"",ROW($1:$99)),COLUMN(L115))-1)</f>
        <v/>
      </c>
      <c r="AI116" s="75" t="str" cm="1">
        <f t="array" ref="AI116">MID(";"&amp;'CASE DATA'!$F116&amp;";",SMALL(IF(ISERROR(SEARCH(MID(";"&amp;'CASE DATA'!$F116&amp;";",ROW($1:$99),1),";")),"",ROW($1:$99)+1),COLUMN(M116)),SMALL(IF(ISERROR(SEARCH(MID(";"&amp;'CASE DATA'!$F116&amp;";",ROW($1:$99),1),";")),"",ROW($1:$99)),COLUMN(M115)+1)-SMALL(IF(ISERROR(SEARCH(MID(";"&amp;'CASE DATA'!$F116&amp;";",ROW($1:$99),1),";")),"",ROW($1:$99)),COLUMN(M115))-1)</f>
        <v/>
      </c>
      <c r="BO116" s="99"/>
      <c r="BP116" s="99"/>
      <c r="BQ116" s="99"/>
      <c r="BR116" s="99"/>
      <c r="BS116" s="99"/>
      <c r="BT116" s="99"/>
      <c r="BU116" s="99"/>
      <c r="BV116" s="99"/>
      <c r="BW116" s="99"/>
      <c r="BX116" s="99"/>
      <c r="BY116" s="99"/>
      <c r="BZ116" s="99"/>
      <c r="CA116" s="99"/>
      <c r="CB116" s="99"/>
      <c r="CC116" s="99"/>
      <c r="CD116" s="99"/>
      <c r="CE116" s="99"/>
      <c r="CF116" s="99"/>
      <c r="CG116" s="99"/>
      <c r="CH116" s="99"/>
      <c r="CI116" s="99"/>
      <c r="CJ116" s="99"/>
      <c r="CK116" s="99"/>
      <c r="CL116" s="99"/>
      <c r="CM116" s="99"/>
      <c r="CN116" s="99"/>
      <c r="CO116" s="99"/>
      <c r="CP116" s="99"/>
      <c r="CQ116" s="99"/>
      <c r="CR116" s="99"/>
      <c r="CS116" s="99"/>
      <c r="CT116" s="99"/>
      <c r="CU116" s="99"/>
      <c r="CV116" s="99"/>
      <c r="CW116" s="99"/>
      <c r="CX116" s="99"/>
      <c r="CY116" s="99"/>
      <c r="CZ116" s="99"/>
      <c r="DA116" s="99"/>
      <c r="DB116" s="99"/>
      <c r="DC116" s="99"/>
      <c r="DD116" s="99"/>
      <c r="DE116" s="99"/>
      <c r="DF116" s="99"/>
      <c r="DG116" s="99"/>
      <c r="DH116" s="99"/>
      <c r="DI116" s="99"/>
      <c r="DJ116" s="99"/>
      <c r="DK116" s="99"/>
      <c r="DL116" s="99"/>
      <c r="DM116" s="99"/>
      <c r="DN116" s="99"/>
      <c r="DO116" s="99"/>
      <c r="DP116" s="99"/>
      <c r="DQ116" s="99"/>
      <c r="DR116" s="99"/>
      <c r="DS116" s="99"/>
      <c r="DT116" s="99"/>
      <c r="DU116" s="99"/>
      <c r="DV116" s="99"/>
      <c r="DW116" s="99"/>
      <c r="DX116" s="99"/>
      <c r="DY116" s="99"/>
      <c r="DZ116" s="99"/>
      <c r="EA116" s="99"/>
      <c r="EB116" s="99"/>
      <c r="EC116" s="99"/>
      <c r="ED116" s="99"/>
      <c r="EE116" s="99"/>
      <c r="EF116" s="99"/>
      <c r="EG116" s="99"/>
      <c r="EH116" s="99"/>
      <c r="EI116" s="99"/>
      <c r="EJ116" s="99"/>
      <c r="EK116" s="99"/>
      <c r="EL116" s="99"/>
      <c r="EM116" s="99"/>
      <c r="EN116" s="99"/>
      <c r="EO116" s="99"/>
      <c r="EP116" s="99"/>
      <c r="EQ116" s="99"/>
      <c r="ER116" s="99"/>
      <c r="ES116" s="99"/>
      <c r="ET116" s="99"/>
      <c r="EU116" s="99"/>
      <c r="EV116" s="99"/>
      <c r="EW116" s="99"/>
      <c r="EX116" s="99"/>
      <c r="EY116" s="99"/>
      <c r="EZ116" s="99"/>
      <c r="FA116" s="99"/>
      <c r="FB116" s="99"/>
      <c r="FC116" s="99"/>
      <c r="FD116" s="99"/>
      <c r="FE116" s="99"/>
      <c r="FF116" s="99"/>
      <c r="FG116" s="99"/>
      <c r="FH116" s="99"/>
      <c r="FI116" s="99"/>
      <c r="FJ116" s="99"/>
      <c r="FK116" s="99"/>
    </row>
    <row r="117" spans="3:167" x14ac:dyDescent="0.25">
      <c r="C117" s="10"/>
      <c r="D117" s="10"/>
      <c r="E117" s="11"/>
      <c r="F117" s="15"/>
      <c r="J117" s="99">
        <v>114</v>
      </c>
      <c r="K117" s="16"/>
      <c r="L117" s="16"/>
      <c r="M117" s="16"/>
      <c r="N117" s="16"/>
      <c r="O117" s="16"/>
      <c r="P117" s="16"/>
      <c r="Q117" s="16"/>
      <c r="R117" s="16"/>
      <c r="S117" s="16"/>
      <c r="T117" s="16"/>
      <c r="U117" s="73">
        <f>SUM(K117:T117)</f>
        <v>0</v>
      </c>
      <c r="V117" s="73"/>
      <c r="X117" s="75" t="str" cm="1">
        <f t="array" ref="X117">MID(";"&amp;'CASE DATA'!$F117&amp;";",SMALL(IF(ISERROR(SEARCH(MID(";"&amp;'CASE DATA'!$F117&amp;";",ROW($1:$99),1),";")),"",ROW($1:$99)+1),COLUMN(A117)),SMALL(IF(ISERROR(SEARCH(MID(";"&amp;'CASE DATA'!$F117&amp;";",ROW($1:$99),1),";")),"",ROW($1:$99)),COLUMN(A116)+1)-SMALL(IF(ISERROR(SEARCH(MID(";"&amp;'CASE DATA'!$F117&amp;";",ROW($1:$99),1),";")),"",ROW($1:$99)),COLUMN(A116))-1)</f>
        <v/>
      </c>
      <c r="Y117" s="75" t="str" cm="1">
        <f t="array" ref="Y117">MID(";"&amp;'CASE DATA'!$F117&amp;";",SMALL(IF(ISERROR(SEARCH(MID(";"&amp;'CASE DATA'!$F117&amp;";",ROW($1:$99),1),";")),"",ROW($1:$99)+1),COLUMN(B117)),SMALL(IF(ISERROR(SEARCH(MID(";"&amp;'CASE DATA'!$F117&amp;";",ROW($1:$99),1),";")),"",ROW($1:$99)),COLUMN(B116)+1)-SMALL(IF(ISERROR(SEARCH(MID(";"&amp;'CASE DATA'!$F117&amp;";",ROW($1:$99),1),";")),"",ROW($1:$99)),COLUMN(B116))-1)</f>
        <v/>
      </c>
      <c r="Z117" s="75" t="str" cm="1">
        <f t="array" ref="Z117">MID(";"&amp;'CASE DATA'!$F117&amp;";",SMALL(IF(ISERROR(SEARCH(MID(";"&amp;'CASE DATA'!$F117&amp;";",ROW($1:$99),1),";")),"",ROW($1:$99)+1),COLUMN(C117)),SMALL(IF(ISERROR(SEARCH(MID(";"&amp;'CASE DATA'!$F117&amp;";",ROW($1:$99),1),";")),"",ROW($1:$99)),COLUMN(C116)+1)-SMALL(IF(ISERROR(SEARCH(MID(";"&amp;'CASE DATA'!$F117&amp;";",ROW($1:$99),1),";")),"",ROW($1:$99)),COLUMN(C116))-1)</f>
        <v/>
      </c>
      <c r="AA117" s="75" t="str" cm="1">
        <f t="array" ref="AA117">MID(";"&amp;'CASE DATA'!$F117&amp;";",SMALL(IF(ISERROR(SEARCH(MID(";"&amp;'CASE DATA'!$F117&amp;";",ROW($1:$99),1),";")),"",ROW($1:$99)+1),COLUMN(D117)),SMALL(IF(ISERROR(SEARCH(MID(";"&amp;'CASE DATA'!$F117&amp;";",ROW($1:$99),1),";")),"",ROW($1:$99)),COLUMN(D116)+1)-SMALL(IF(ISERROR(SEARCH(MID(";"&amp;'CASE DATA'!$F117&amp;";",ROW($1:$99),1),";")),"",ROW($1:$99)),COLUMN(D116))-1)</f>
        <v/>
      </c>
      <c r="AB117" s="75" t="str" cm="1">
        <f t="array" ref="AB117">MID(";"&amp;'CASE DATA'!$F117&amp;";",SMALL(IF(ISERROR(SEARCH(MID(";"&amp;'CASE DATA'!$F117&amp;";",ROW($1:$99),1),";")),"",ROW($1:$99)+1),COLUMN(E117)),SMALL(IF(ISERROR(SEARCH(MID(";"&amp;'CASE DATA'!$F117&amp;";",ROW($1:$99),1),";")),"",ROW($1:$99)),COLUMN(E116)+1)-SMALL(IF(ISERROR(SEARCH(MID(";"&amp;'CASE DATA'!$F117&amp;";",ROW($1:$99),1),";")),"",ROW($1:$99)),COLUMN(E116))-1)</f>
        <v/>
      </c>
      <c r="AC117" s="75" t="str" cm="1">
        <f t="array" ref="AC117">MID(";"&amp;'CASE DATA'!$F117&amp;";",SMALL(IF(ISERROR(SEARCH(MID(";"&amp;'CASE DATA'!$F117&amp;";",ROW($1:$99),1),";")),"",ROW($1:$99)+1),COLUMN(F117)),SMALL(IF(ISERROR(SEARCH(MID(";"&amp;'CASE DATA'!$F117&amp;";",ROW($1:$99),1),";")),"",ROW($1:$99)),COLUMN(F116)+1)-SMALL(IF(ISERROR(SEARCH(MID(";"&amp;'CASE DATA'!$F117&amp;";",ROW($1:$99),1),";")),"",ROW($1:$99)),COLUMN(F116))-1)</f>
        <v/>
      </c>
      <c r="AD117" s="75" t="str" cm="1">
        <f t="array" ref="AD117">MID(";"&amp;'CASE DATA'!$F117&amp;";",SMALL(IF(ISERROR(SEARCH(MID(";"&amp;'CASE DATA'!$F117&amp;";",ROW($1:$99),1),";")),"",ROW($1:$99)+1),COLUMN(G117)),SMALL(IF(ISERROR(SEARCH(MID(";"&amp;'CASE DATA'!$F117&amp;";",ROW($1:$99),1),";")),"",ROW($1:$99)),COLUMN(G116)+1)-SMALL(IF(ISERROR(SEARCH(MID(";"&amp;'CASE DATA'!$F117&amp;";",ROW($1:$99),1),";")),"",ROW($1:$99)),COLUMN(G116))-1)</f>
        <v/>
      </c>
      <c r="AE117" s="75" t="str" cm="1">
        <f t="array" ref="AE117">MID(";"&amp;'CASE DATA'!$F117&amp;";",SMALL(IF(ISERROR(SEARCH(MID(";"&amp;'CASE DATA'!$F117&amp;";",ROW($1:$99),1),";")),"",ROW($1:$99)+1),COLUMN(H117)),SMALL(IF(ISERROR(SEARCH(MID(";"&amp;'CASE DATA'!$F117&amp;";",ROW($1:$99),1),";")),"",ROW($1:$99)),COLUMN(H116)+1)-SMALL(IF(ISERROR(SEARCH(MID(";"&amp;'CASE DATA'!$F117&amp;";",ROW($1:$99),1),";")),"",ROW($1:$99)),COLUMN(H116))-1)</f>
        <v/>
      </c>
      <c r="AF117" s="75" t="str" cm="1">
        <f t="array" ref="AF117">MID(";"&amp;'CASE DATA'!$F117&amp;";",SMALL(IF(ISERROR(SEARCH(MID(";"&amp;'CASE DATA'!$F117&amp;";",ROW($1:$99),1),";")),"",ROW($1:$99)+1),COLUMN(I117)),SMALL(IF(ISERROR(SEARCH(MID(";"&amp;'CASE DATA'!$F117&amp;";",ROW($1:$99),1),";")),"",ROW($1:$99)),COLUMN(I116)+1)-SMALL(IF(ISERROR(SEARCH(MID(";"&amp;'CASE DATA'!$F117&amp;";",ROW($1:$99),1),";")),"",ROW($1:$99)),COLUMN(I116))-1)</f>
        <v/>
      </c>
      <c r="AG117" s="75" t="str" cm="1">
        <f t="array" ref="AG117">MID(";"&amp;'CASE DATA'!$F117&amp;";",SMALL(IF(ISERROR(SEARCH(MID(";"&amp;'CASE DATA'!$F117&amp;";",ROW($1:$99),1),";")),"",ROW($1:$99)+1),COLUMN(K117)),SMALL(IF(ISERROR(SEARCH(MID(";"&amp;'CASE DATA'!$F117&amp;";",ROW($1:$99),1),";")),"",ROW($1:$99)),COLUMN(K116)+1)-SMALL(IF(ISERROR(SEARCH(MID(";"&amp;'CASE DATA'!$F117&amp;";",ROW($1:$99),1),";")),"",ROW($1:$99)),COLUMN(K116))-1)</f>
        <v/>
      </c>
      <c r="AH117" s="75" t="str" cm="1">
        <f t="array" ref="AH117">MID(";"&amp;'CASE DATA'!$F117&amp;";",SMALL(IF(ISERROR(SEARCH(MID(";"&amp;'CASE DATA'!$F117&amp;";",ROW($1:$99),1),";")),"",ROW($1:$99)+1),COLUMN(L117)),SMALL(IF(ISERROR(SEARCH(MID(";"&amp;'CASE DATA'!$F117&amp;";",ROW($1:$99),1),";")),"",ROW($1:$99)),COLUMN(L116)+1)-SMALL(IF(ISERROR(SEARCH(MID(";"&amp;'CASE DATA'!$F117&amp;";",ROW($1:$99),1),";")),"",ROW($1:$99)),COLUMN(L116))-1)</f>
        <v/>
      </c>
      <c r="AI117" s="75" t="str" cm="1">
        <f t="array" ref="AI117">MID(";"&amp;'CASE DATA'!$F117&amp;";",SMALL(IF(ISERROR(SEARCH(MID(";"&amp;'CASE DATA'!$F117&amp;";",ROW($1:$99),1),";")),"",ROW($1:$99)+1),COLUMN(M117)),SMALL(IF(ISERROR(SEARCH(MID(";"&amp;'CASE DATA'!$F117&amp;";",ROW($1:$99),1),";")),"",ROW($1:$99)),COLUMN(M116)+1)-SMALL(IF(ISERROR(SEARCH(MID(";"&amp;'CASE DATA'!$F117&amp;";",ROW($1:$99),1),";")),"",ROW($1:$99)),COLUMN(M116))-1)</f>
        <v/>
      </c>
      <c r="BO117" s="99"/>
      <c r="BP117" s="99"/>
      <c r="BQ117" s="99"/>
      <c r="BR117" s="99"/>
      <c r="BS117" s="99"/>
      <c r="BT117" s="99"/>
      <c r="BU117" s="99"/>
      <c r="BV117" s="99"/>
      <c r="BW117" s="99"/>
      <c r="BX117" s="99"/>
      <c r="BY117" s="99"/>
      <c r="BZ117" s="99"/>
      <c r="CA117" s="99"/>
      <c r="CB117" s="99"/>
      <c r="CC117" s="99"/>
      <c r="CD117" s="99"/>
      <c r="CE117" s="99"/>
      <c r="CF117" s="99"/>
      <c r="CG117" s="99"/>
      <c r="CH117" s="99"/>
      <c r="CI117" s="99"/>
      <c r="CJ117" s="99"/>
      <c r="CK117" s="99"/>
      <c r="CL117" s="99"/>
      <c r="CM117" s="99"/>
      <c r="CN117" s="99"/>
      <c r="CO117" s="99"/>
      <c r="CP117" s="99"/>
      <c r="CQ117" s="99"/>
      <c r="CR117" s="99"/>
      <c r="CS117" s="99"/>
      <c r="CT117" s="99"/>
      <c r="CU117" s="99"/>
      <c r="CV117" s="99"/>
      <c r="CW117" s="99"/>
      <c r="CX117" s="99"/>
      <c r="CY117" s="99"/>
      <c r="CZ117" s="99"/>
      <c r="DA117" s="99"/>
      <c r="DB117" s="99"/>
      <c r="DC117" s="99"/>
      <c r="DD117" s="99"/>
      <c r="DE117" s="99"/>
      <c r="DF117" s="99"/>
      <c r="DG117" s="99"/>
      <c r="DH117" s="99"/>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99"/>
      <c r="EE117" s="99"/>
      <c r="EF117" s="99"/>
      <c r="EG117" s="99"/>
      <c r="EH117" s="99"/>
      <c r="EI117" s="99"/>
      <c r="EJ117" s="99"/>
      <c r="EK117" s="99"/>
      <c r="EL117" s="99"/>
      <c r="EM117" s="99"/>
      <c r="EN117" s="99"/>
      <c r="EO117" s="99"/>
      <c r="EP117" s="99"/>
      <c r="EQ117" s="99"/>
      <c r="ER117" s="99"/>
      <c r="ES117" s="99"/>
      <c r="ET117" s="99"/>
      <c r="EU117" s="99"/>
      <c r="EV117" s="99"/>
      <c r="EW117" s="99"/>
      <c r="EX117" s="99"/>
      <c r="EY117" s="99"/>
      <c r="EZ117" s="99"/>
      <c r="FA117" s="99"/>
      <c r="FB117" s="99"/>
      <c r="FC117" s="99"/>
      <c r="FD117" s="99"/>
      <c r="FE117" s="99"/>
      <c r="FF117" s="99"/>
      <c r="FG117" s="99"/>
      <c r="FH117" s="99"/>
      <c r="FI117" s="99"/>
      <c r="FJ117" s="99"/>
      <c r="FK117" s="99"/>
    </row>
    <row r="118" spans="3:167" x14ac:dyDescent="0.25">
      <c r="C118" s="10"/>
      <c r="D118" s="10"/>
      <c r="E118" s="11"/>
      <c r="F118" s="15"/>
      <c r="J118" s="99">
        <v>115</v>
      </c>
      <c r="K118" s="16"/>
      <c r="L118" s="16"/>
      <c r="M118" s="16"/>
      <c r="N118" s="16"/>
      <c r="O118" s="16"/>
      <c r="P118" s="16"/>
      <c r="Q118" s="16"/>
      <c r="R118" s="16"/>
      <c r="S118" s="16"/>
      <c r="T118" s="16"/>
      <c r="U118" s="73">
        <f>SUM(K118:T118)</f>
        <v>0</v>
      </c>
      <c r="V118" s="73"/>
      <c r="X118" s="75" t="str" cm="1">
        <f t="array" ref="X118">MID(";"&amp;'CASE DATA'!$F118&amp;";",SMALL(IF(ISERROR(SEARCH(MID(";"&amp;'CASE DATA'!$F118&amp;";",ROW($1:$99),1),";")),"",ROW($1:$99)+1),COLUMN(A118)),SMALL(IF(ISERROR(SEARCH(MID(";"&amp;'CASE DATA'!$F118&amp;";",ROW($1:$99),1),";")),"",ROW($1:$99)),COLUMN(A117)+1)-SMALL(IF(ISERROR(SEARCH(MID(";"&amp;'CASE DATA'!$F118&amp;";",ROW($1:$99),1),";")),"",ROW($1:$99)),COLUMN(A117))-1)</f>
        <v/>
      </c>
      <c r="Y118" s="75" t="str" cm="1">
        <f t="array" ref="Y118">MID(";"&amp;'CASE DATA'!$F118&amp;";",SMALL(IF(ISERROR(SEARCH(MID(";"&amp;'CASE DATA'!$F118&amp;";",ROW($1:$99),1),";")),"",ROW($1:$99)+1),COLUMN(B118)),SMALL(IF(ISERROR(SEARCH(MID(";"&amp;'CASE DATA'!$F118&amp;";",ROW($1:$99),1),";")),"",ROW($1:$99)),COLUMN(B117)+1)-SMALL(IF(ISERROR(SEARCH(MID(";"&amp;'CASE DATA'!$F118&amp;";",ROW($1:$99),1),";")),"",ROW($1:$99)),COLUMN(B117))-1)</f>
        <v/>
      </c>
      <c r="Z118" s="75" t="str" cm="1">
        <f t="array" ref="Z118">MID(";"&amp;'CASE DATA'!$F118&amp;";",SMALL(IF(ISERROR(SEARCH(MID(";"&amp;'CASE DATA'!$F118&amp;";",ROW($1:$99),1),";")),"",ROW($1:$99)+1),COLUMN(C118)),SMALL(IF(ISERROR(SEARCH(MID(";"&amp;'CASE DATA'!$F118&amp;";",ROW($1:$99),1),";")),"",ROW($1:$99)),COLUMN(C117)+1)-SMALL(IF(ISERROR(SEARCH(MID(";"&amp;'CASE DATA'!$F118&amp;";",ROW($1:$99),1),";")),"",ROW($1:$99)),COLUMN(C117))-1)</f>
        <v/>
      </c>
      <c r="AA118" s="75" t="str" cm="1">
        <f t="array" ref="AA118">MID(";"&amp;'CASE DATA'!$F118&amp;";",SMALL(IF(ISERROR(SEARCH(MID(";"&amp;'CASE DATA'!$F118&amp;";",ROW($1:$99),1),";")),"",ROW($1:$99)+1),COLUMN(D118)),SMALL(IF(ISERROR(SEARCH(MID(";"&amp;'CASE DATA'!$F118&amp;";",ROW($1:$99),1),";")),"",ROW($1:$99)),COLUMN(D117)+1)-SMALL(IF(ISERROR(SEARCH(MID(";"&amp;'CASE DATA'!$F118&amp;";",ROW($1:$99),1),";")),"",ROW($1:$99)),COLUMN(D117))-1)</f>
        <v/>
      </c>
      <c r="AB118" s="75" t="str" cm="1">
        <f t="array" ref="AB118">MID(";"&amp;'CASE DATA'!$F118&amp;";",SMALL(IF(ISERROR(SEARCH(MID(";"&amp;'CASE DATA'!$F118&amp;";",ROW($1:$99),1),";")),"",ROW($1:$99)+1),COLUMN(E118)),SMALL(IF(ISERROR(SEARCH(MID(";"&amp;'CASE DATA'!$F118&amp;";",ROW($1:$99),1),";")),"",ROW($1:$99)),COLUMN(E117)+1)-SMALL(IF(ISERROR(SEARCH(MID(";"&amp;'CASE DATA'!$F118&amp;";",ROW($1:$99),1),";")),"",ROW($1:$99)),COLUMN(E117))-1)</f>
        <v/>
      </c>
      <c r="AC118" s="75" t="str" cm="1">
        <f t="array" ref="AC118">MID(";"&amp;'CASE DATA'!$F118&amp;";",SMALL(IF(ISERROR(SEARCH(MID(";"&amp;'CASE DATA'!$F118&amp;";",ROW($1:$99),1),";")),"",ROW($1:$99)+1),COLUMN(F118)),SMALL(IF(ISERROR(SEARCH(MID(";"&amp;'CASE DATA'!$F118&amp;";",ROW($1:$99),1),";")),"",ROW($1:$99)),COLUMN(F117)+1)-SMALL(IF(ISERROR(SEARCH(MID(";"&amp;'CASE DATA'!$F118&amp;";",ROW($1:$99),1),";")),"",ROW($1:$99)),COLUMN(F117))-1)</f>
        <v/>
      </c>
      <c r="AD118" s="75" t="str" cm="1">
        <f t="array" ref="AD118">MID(";"&amp;'CASE DATA'!$F118&amp;";",SMALL(IF(ISERROR(SEARCH(MID(";"&amp;'CASE DATA'!$F118&amp;";",ROW($1:$99),1),";")),"",ROW($1:$99)+1),COLUMN(G118)),SMALL(IF(ISERROR(SEARCH(MID(";"&amp;'CASE DATA'!$F118&amp;";",ROW($1:$99),1),";")),"",ROW($1:$99)),COLUMN(G117)+1)-SMALL(IF(ISERROR(SEARCH(MID(";"&amp;'CASE DATA'!$F118&amp;";",ROW($1:$99),1),";")),"",ROW($1:$99)),COLUMN(G117))-1)</f>
        <v/>
      </c>
      <c r="AE118" s="75" t="str" cm="1">
        <f t="array" ref="AE118">MID(";"&amp;'CASE DATA'!$F118&amp;";",SMALL(IF(ISERROR(SEARCH(MID(";"&amp;'CASE DATA'!$F118&amp;";",ROW($1:$99),1),";")),"",ROW($1:$99)+1),COLUMN(H118)),SMALL(IF(ISERROR(SEARCH(MID(";"&amp;'CASE DATA'!$F118&amp;";",ROW($1:$99),1),";")),"",ROW($1:$99)),COLUMN(H117)+1)-SMALL(IF(ISERROR(SEARCH(MID(";"&amp;'CASE DATA'!$F118&amp;";",ROW($1:$99),1),";")),"",ROW($1:$99)),COLUMN(H117))-1)</f>
        <v/>
      </c>
      <c r="AF118" s="75" t="str" cm="1">
        <f t="array" ref="AF118">MID(";"&amp;'CASE DATA'!$F118&amp;";",SMALL(IF(ISERROR(SEARCH(MID(";"&amp;'CASE DATA'!$F118&amp;";",ROW($1:$99),1),";")),"",ROW($1:$99)+1),COLUMN(I118)),SMALL(IF(ISERROR(SEARCH(MID(";"&amp;'CASE DATA'!$F118&amp;";",ROW($1:$99),1),";")),"",ROW($1:$99)),COLUMN(I117)+1)-SMALL(IF(ISERROR(SEARCH(MID(";"&amp;'CASE DATA'!$F118&amp;";",ROW($1:$99),1),";")),"",ROW($1:$99)),COLUMN(I117))-1)</f>
        <v/>
      </c>
      <c r="AG118" s="75" t="str" cm="1">
        <f t="array" ref="AG118">MID(";"&amp;'CASE DATA'!$F118&amp;";",SMALL(IF(ISERROR(SEARCH(MID(";"&amp;'CASE DATA'!$F118&amp;";",ROW($1:$99),1),";")),"",ROW($1:$99)+1),COLUMN(K118)),SMALL(IF(ISERROR(SEARCH(MID(";"&amp;'CASE DATA'!$F118&amp;";",ROW($1:$99),1),";")),"",ROW($1:$99)),COLUMN(K117)+1)-SMALL(IF(ISERROR(SEARCH(MID(";"&amp;'CASE DATA'!$F118&amp;";",ROW($1:$99),1),";")),"",ROW($1:$99)),COLUMN(K117))-1)</f>
        <v/>
      </c>
      <c r="AH118" s="75" t="str" cm="1">
        <f t="array" ref="AH118">MID(";"&amp;'CASE DATA'!$F118&amp;";",SMALL(IF(ISERROR(SEARCH(MID(";"&amp;'CASE DATA'!$F118&amp;";",ROW($1:$99),1),";")),"",ROW($1:$99)+1),COLUMN(L118)),SMALL(IF(ISERROR(SEARCH(MID(";"&amp;'CASE DATA'!$F118&amp;";",ROW($1:$99),1),";")),"",ROW($1:$99)),COLUMN(L117)+1)-SMALL(IF(ISERROR(SEARCH(MID(";"&amp;'CASE DATA'!$F118&amp;";",ROW($1:$99),1),";")),"",ROW($1:$99)),COLUMN(L117))-1)</f>
        <v/>
      </c>
      <c r="AI118" s="75" t="str" cm="1">
        <f t="array" ref="AI118">MID(";"&amp;'CASE DATA'!$F118&amp;";",SMALL(IF(ISERROR(SEARCH(MID(";"&amp;'CASE DATA'!$F118&amp;";",ROW($1:$99),1),";")),"",ROW($1:$99)+1),COLUMN(M118)),SMALL(IF(ISERROR(SEARCH(MID(";"&amp;'CASE DATA'!$F118&amp;";",ROW($1:$99),1),";")),"",ROW($1:$99)),COLUMN(M117)+1)-SMALL(IF(ISERROR(SEARCH(MID(";"&amp;'CASE DATA'!$F118&amp;";",ROW($1:$99),1),";")),"",ROW($1:$99)),COLUMN(M117))-1)</f>
        <v/>
      </c>
      <c r="BO118" s="99"/>
      <c r="BP118" s="99"/>
      <c r="BQ118" s="99"/>
      <c r="BR118" s="99"/>
      <c r="BS118" s="99"/>
      <c r="BT118" s="99"/>
      <c r="BU118" s="99"/>
      <c r="BV118" s="99"/>
      <c r="BW118" s="99"/>
      <c r="BX118" s="99"/>
      <c r="BY118" s="99"/>
      <c r="BZ118" s="99"/>
      <c r="CA118" s="99"/>
      <c r="CB118" s="99"/>
      <c r="CC118" s="99"/>
      <c r="CD118" s="99"/>
      <c r="CE118" s="99"/>
      <c r="CF118" s="99"/>
      <c r="CG118" s="99"/>
      <c r="CH118" s="99"/>
      <c r="CI118" s="99"/>
      <c r="CJ118" s="99"/>
      <c r="CK118" s="99"/>
      <c r="CL118" s="99"/>
      <c r="CM118" s="99"/>
      <c r="CN118" s="99"/>
      <c r="CO118" s="99"/>
      <c r="CP118" s="99"/>
      <c r="CQ118" s="99"/>
      <c r="CR118" s="99"/>
      <c r="CS118" s="99"/>
      <c r="CT118" s="99"/>
      <c r="CU118" s="99"/>
      <c r="CV118" s="99"/>
      <c r="CW118" s="99"/>
      <c r="CX118" s="99"/>
      <c r="CY118" s="99"/>
      <c r="CZ118" s="99"/>
      <c r="DA118" s="99"/>
      <c r="DB118" s="99"/>
      <c r="DC118" s="99"/>
      <c r="DD118" s="99"/>
      <c r="DE118" s="99"/>
      <c r="DF118" s="99"/>
      <c r="DG118" s="99"/>
      <c r="DH118" s="99"/>
      <c r="DI118" s="99"/>
      <c r="DJ118" s="99"/>
      <c r="DK118" s="99"/>
      <c r="DL118" s="99"/>
      <c r="DM118" s="99"/>
      <c r="DN118" s="99"/>
      <c r="DO118" s="99"/>
      <c r="DP118" s="99"/>
      <c r="DQ118" s="99"/>
      <c r="DR118" s="99"/>
      <c r="DS118" s="99"/>
      <c r="DT118" s="99"/>
      <c r="DU118" s="99"/>
      <c r="DV118" s="99"/>
      <c r="DW118" s="99"/>
      <c r="DX118" s="99"/>
      <c r="DY118" s="99"/>
      <c r="DZ118" s="99"/>
      <c r="EA118" s="99"/>
      <c r="EB118" s="99"/>
      <c r="EC118" s="99"/>
      <c r="ED118" s="99"/>
      <c r="EE118" s="99"/>
      <c r="EF118" s="99"/>
      <c r="EG118" s="99"/>
      <c r="EH118" s="99"/>
      <c r="EI118" s="99"/>
      <c r="EJ118" s="99"/>
      <c r="EK118" s="99"/>
      <c r="EL118" s="99"/>
      <c r="EM118" s="99"/>
      <c r="EN118" s="99"/>
      <c r="EO118" s="99"/>
      <c r="EP118" s="99"/>
      <c r="EQ118" s="99"/>
      <c r="ER118" s="99"/>
      <c r="ES118" s="99"/>
      <c r="ET118" s="99"/>
      <c r="EU118" s="99"/>
      <c r="EV118" s="99"/>
      <c r="EW118" s="99"/>
      <c r="EX118" s="99"/>
      <c r="EY118" s="99"/>
      <c r="EZ118" s="99"/>
      <c r="FA118" s="99"/>
      <c r="FB118" s="99"/>
      <c r="FC118" s="99"/>
      <c r="FD118" s="99"/>
      <c r="FE118" s="99"/>
      <c r="FF118" s="99"/>
      <c r="FG118" s="99"/>
      <c r="FH118" s="99"/>
      <c r="FI118" s="99"/>
      <c r="FJ118" s="99"/>
      <c r="FK118" s="99"/>
    </row>
    <row r="119" spans="3:167" x14ac:dyDescent="0.25">
      <c r="C119" s="10"/>
      <c r="D119" s="10"/>
      <c r="E119" s="11"/>
      <c r="F119" s="15"/>
      <c r="J119" s="99">
        <v>116</v>
      </c>
      <c r="K119" s="16"/>
      <c r="L119" s="16"/>
      <c r="M119" s="16"/>
      <c r="N119" s="16"/>
      <c r="O119" s="16"/>
      <c r="P119" s="16"/>
      <c r="Q119" s="16"/>
      <c r="R119" s="16"/>
      <c r="S119" s="16"/>
      <c r="T119" s="16"/>
      <c r="U119" s="73">
        <f>SUM(K119:T119)</f>
        <v>0</v>
      </c>
      <c r="V119" s="73"/>
      <c r="X119" s="75" t="str" cm="1">
        <f t="array" ref="X119">MID(";"&amp;'CASE DATA'!$F119&amp;";",SMALL(IF(ISERROR(SEARCH(MID(";"&amp;'CASE DATA'!$F119&amp;";",ROW($1:$99),1),";")),"",ROW($1:$99)+1),COLUMN(A119)),SMALL(IF(ISERROR(SEARCH(MID(";"&amp;'CASE DATA'!$F119&amp;";",ROW($1:$99),1),";")),"",ROW($1:$99)),COLUMN(A118)+1)-SMALL(IF(ISERROR(SEARCH(MID(";"&amp;'CASE DATA'!$F119&amp;";",ROW($1:$99),1),";")),"",ROW($1:$99)),COLUMN(A118))-1)</f>
        <v/>
      </c>
      <c r="Y119" s="75" t="str" cm="1">
        <f t="array" ref="Y119">MID(";"&amp;'CASE DATA'!$F119&amp;";",SMALL(IF(ISERROR(SEARCH(MID(";"&amp;'CASE DATA'!$F119&amp;";",ROW($1:$99),1),";")),"",ROW($1:$99)+1),COLUMN(B119)),SMALL(IF(ISERROR(SEARCH(MID(";"&amp;'CASE DATA'!$F119&amp;";",ROW($1:$99),1),";")),"",ROW($1:$99)),COLUMN(B118)+1)-SMALL(IF(ISERROR(SEARCH(MID(";"&amp;'CASE DATA'!$F119&amp;";",ROW($1:$99),1),";")),"",ROW($1:$99)),COLUMN(B118))-1)</f>
        <v/>
      </c>
      <c r="Z119" s="75" t="str" cm="1">
        <f t="array" ref="Z119">MID(";"&amp;'CASE DATA'!$F119&amp;";",SMALL(IF(ISERROR(SEARCH(MID(";"&amp;'CASE DATA'!$F119&amp;";",ROW($1:$99),1),";")),"",ROW($1:$99)+1),COLUMN(C119)),SMALL(IF(ISERROR(SEARCH(MID(";"&amp;'CASE DATA'!$F119&amp;";",ROW($1:$99),1),";")),"",ROW($1:$99)),COLUMN(C118)+1)-SMALL(IF(ISERROR(SEARCH(MID(";"&amp;'CASE DATA'!$F119&amp;";",ROW($1:$99),1),";")),"",ROW($1:$99)),COLUMN(C118))-1)</f>
        <v/>
      </c>
      <c r="AA119" s="75" t="str" cm="1">
        <f t="array" ref="AA119">MID(";"&amp;'CASE DATA'!$F119&amp;";",SMALL(IF(ISERROR(SEARCH(MID(";"&amp;'CASE DATA'!$F119&amp;";",ROW($1:$99),1),";")),"",ROW($1:$99)+1),COLUMN(D119)),SMALL(IF(ISERROR(SEARCH(MID(";"&amp;'CASE DATA'!$F119&amp;";",ROW($1:$99),1),";")),"",ROW($1:$99)),COLUMN(D118)+1)-SMALL(IF(ISERROR(SEARCH(MID(";"&amp;'CASE DATA'!$F119&amp;";",ROW($1:$99),1),";")),"",ROW($1:$99)),COLUMN(D118))-1)</f>
        <v/>
      </c>
      <c r="AB119" s="75" t="str" cm="1">
        <f t="array" ref="AB119">MID(";"&amp;'CASE DATA'!$F119&amp;";",SMALL(IF(ISERROR(SEARCH(MID(";"&amp;'CASE DATA'!$F119&amp;";",ROW($1:$99),1),";")),"",ROW($1:$99)+1),COLUMN(E119)),SMALL(IF(ISERROR(SEARCH(MID(";"&amp;'CASE DATA'!$F119&amp;";",ROW($1:$99),1),";")),"",ROW($1:$99)),COLUMN(E118)+1)-SMALL(IF(ISERROR(SEARCH(MID(";"&amp;'CASE DATA'!$F119&amp;";",ROW($1:$99),1),";")),"",ROW($1:$99)),COLUMN(E118))-1)</f>
        <v/>
      </c>
      <c r="AC119" s="75" t="str" cm="1">
        <f t="array" ref="AC119">MID(";"&amp;'CASE DATA'!$F119&amp;";",SMALL(IF(ISERROR(SEARCH(MID(";"&amp;'CASE DATA'!$F119&amp;";",ROW($1:$99),1),";")),"",ROW($1:$99)+1),COLUMN(F119)),SMALL(IF(ISERROR(SEARCH(MID(";"&amp;'CASE DATA'!$F119&amp;";",ROW($1:$99),1),";")),"",ROW($1:$99)),COLUMN(F118)+1)-SMALL(IF(ISERROR(SEARCH(MID(";"&amp;'CASE DATA'!$F119&amp;";",ROW($1:$99),1),";")),"",ROW($1:$99)),COLUMN(F118))-1)</f>
        <v/>
      </c>
      <c r="AD119" s="75" t="str" cm="1">
        <f t="array" ref="AD119">MID(";"&amp;'CASE DATA'!$F119&amp;";",SMALL(IF(ISERROR(SEARCH(MID(";"&amp;'CASE DATA'!$F119&amp;";",ROW($1:$99),1),";")),"",ROW($1:$99)+1),COLUMN(G119)),SMALL(IF(ISERROR(SEARCH(MID(";"&amp;'CASE DATA'!$F119&amp;";",ROW($1:$99),1),";")),"",ROW($1:$99)),COLUMN(G118)+1)-SMALL(IF(ISERROR(SEARCH(MID(";"&amp;'CASE DATA'!$F119&amp;";",ROW($1:$99),1),";")),"",ROW($1:$99)),COLUMN(G118))-1)</f>
        <v/>
      </c>
      <c r="AE119" s="75" t="str" cm="1">
        <f t="array" ref="AE119">MID(";"&amp;'CASE DATA'!$F119&amp;";",SMALL(IF(ISERROR(SEARCH(MID(";"&amp;'CASE DATA'!$F119&amp;";",ROW($1:$99),1),";")),"",ROW($1:$99)+1),COLUMN(H119)),SMALL(IF(ISERROR(SEARCH(MID(";"&amp;'CASE DATA'!$F119&amp;";",ROW($1:$99),1),";")),"",ROW($1:$99)),COLUMN(H118)+1)-SMALL(IF(ISERROR(SEARCH(MID(";"&amp;'CASE DATA'!$F119&amp;";",ROW($1:$99),1),";")),"",ROW($1:$99)),COLUMN(H118))-1)</f>
        <v/>
      </c>
      <c r="AF119" s="75" t="str" cm="1">
        <f t="array" ref="AF119">MID(";"&amp;'CASE DATA'!$F119&amp;";",SMALL(IF(ISERROR(SEARCH(MID(";"&amp;'CASE DATA'!$F119&amp;";",ROW($1:$99),1),";")),"",ROW($1:$99)+1),COLUMN(I119)),SMALL(IF(ISERROR(SEARCH(MID(";"&amp;'CASE DATA'!$F119&amp;";",ROW($1:$99),1),";")),"",ROW($1:$99)),COLUMN(I118)+1)-SMALL(IF(ISERROR(SEARCH(MID(";"&amp;'CASE DATA'!$F119&amp;";",ROW($1:$99),1),";")),"",ROW($1:$99)),COLUMN(I118))-1)</f>
        <v/>
      </c>
      <c r="AG119" s="75" t="str" cm="1">
        <f t="array" ref="AG119">MID(";"&amp;'CASE DATA'!$F119&amp;";",SMALL(IF(ISERROR(SEARCH(MID(";"&amp;'CASE DATA'!$F119&amp;";",ROW($1:$99),1),";")),"",ROW($1:$99)+1),COLUMN(K119)),SMALL(IF(ISERROR(SEARCH(MID(";"&amp;'CASE DATA'!$F119&amp;";",ROW($1:$99),1),";")),"",ROW($1:$99)),COLUMN(K118)+1)-SMALL(IF(ISERROR(SEARCH(MID(";"&amp;'CASE DATA'!$F119&amp;";",ROW($1:$99),1),";")),"",ROW($1:$99)),COLUMN(K118))-1)</f>
        <v/>
      </c>
      <c r="AH119" s="75" t="str" cm="1">
        <f t="array" ref="AH119">MID(";"&amp;'CASE DATA'!$F119&amp;";",SMALL(IF(ISERROR(SEARCH(MID(";"&amp;'CASE DATA'!$F119&amp;";",ROW($1:$99),1),";")),"",ROW($1:$99)+1),COLUMN(L119)),SMALL(IF(ISERROR(SEARCH(MID(";"&amp;'CASE DATA'!$F119&amp;";",ROW($1:$99),1),";")),"",ROW($1:$99)),COLUMN(L118)+1)-SMALL(IF(ISERROR(SEARCH(MID(";"&amp;'CASE DATA'!$F119&amp;";",ROW($1:$99),1),";")),"",ROW($1:$99)),COLUMN(L118))-1)</f>
        <v/>
      </c>
      <c r="AI119" s="75" t="str" cm="1">
        <f t="array" ref="AI119">MID(";"&amp;'CASE DATA'!$F119&amp;";",SMALL(IF(ISERROR(SEARCH(MID(";"&amp;'CASE DATA'!$F119&amp;";",ROW($1:$99),1),";")),"",ROW($1:$99)+1),COLUMN(M119)),SMALL(IF(ISERROR(SEARCH(MID(";"&amp;'CASE DATA'!$F119&amp;";",ROW($1:$99),1),";")),"",ROW($1:$99)),COLUMN(M118)+1)-SMALL(IF(ISERROR(SEARCH(MID(";"&amp;'CASE DATA'!$F119&amp;";",ROW($1:$99),1),";")),"",ROW($1:$99)),COLUMN(M118))-1)</f>
        <v/>
      </c>
      <c r="BO119" s="99"/>
      <c r="BP119" s="99"/>
      <c r="BQ119" s="99"/>
      <c r="BR119" s="99"/>
      <c r="BS119" s="99"/>
      <c r="BT119" s="99"/>
      <c r="BU119" s="99"/>
      <c r="BV119" s="99"/>
      <c r="BW119" s="99"/>
      <c r="BX119" s="99"/>
      <c r="BY119" s="99"/>
      <c r="BZ119" s="99"/>
      <c r="CA119" s="99"/>
      <c r="CB119" s="99"/>
      <c r="CC119" s="99"/>
      <c r="CD119" s="99"/>
      <c r="CE119" s="99"/>
      <c r="CF119" s="99"/>
      <c r="CG119" s="99"/>
      <c r="CH119" s="99"/>
      <c r="CI119" s="99"/>
      <c r="CJ119" s="99"/>
      <c r="CK119" s="99"/>
      <c r="CL119" s="99"/>
      <c r="CM119" s="99"/>
      <c r="CN119" s="99"/>
      <c r="CO119" s="99"/>
      <c r="CP119" s="99"/>
      <c r="CQ119" s="99"/>
      <c r="CR119" s="99"/>
      <c r="CS119" s="99"/>
      <c r="CT119" s="99"/>
      <c r="CU119" s="99"/>
      <c r="CV119" s="99"/>
      <c r="CW119" s="99"/>
      <c r="CX119" s="99"/>
      <c r="CY119" s="99"/>
      <c r="CZ119" s="99"/>
      <c r="DA119" s="99"/>
      <c r="DB119" s="99"/>
      <c r="DC119" s="99"/>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99"/>
      <c r="EE119" s="99"/>
      <c r="EF119" s="99"/>
      <c r="EG119" s="99"/>
      <c r="EH119" s="99"/>
      <c r="EI119" s="99"/>
      <c r="EJ119" s="99"/>
      <c r="EK119" s="99"/>
      <c r="EL119" s="99"/>
      <c r="EM119" s="99"/>
      <c r="EN119" s="99"/>
      <c r="EO119" s="99"/>
      <c r="EP119" s="99"/>
      <c r="EQ119" s="99"/>
      <c r="ER119" s="99"/>
      <c r="ES119" s="99"/>
      <c r="ET119" s="99"/>
      <c r="EU119" s="99"/>
      <c r="EV119" s="99"/>
      <c r="EW119" s="99"/>
      <c r="EX119" s="99"/>
      <c r="EY119" s="99"/>
      <c r="EZ119" s="99"/>
      <c r="FA119" s="99"/>
      <c r="FB119" s="99"/>
      <c r="FC119" s="99"/>
      <c r="FD119" s="99"/>
      <c r="FE119" s="99"/>
      <c r="FF119" s="99"/>
      <c r="FG119" s="99"/>
      <c r="FH119" s="99"/>
      <c r="FI119" s="99"/>
      <c r="FJ119" s="99"/>
      <c r="FK119" s="99"/>
    </row>
    <row r="120" spans="3:167" x14ac:dyDescent="0.25">
      <c r="C120" s="10"/>
      <c r="D120" s="10"/>
      <c r="E120" s="11"/>
      <c r="F120" s="15"/>
      <c r="J120" s="99">
        <v>117</v>
      </c>
      <c r="K120" s="16"/>
      <c r="L120" s="16"/>
      <c r="M120" s="16"/>
      <c r="N120" s="16"/>
      <c r="O120" s="16"/>
      <c r="P120" s="16"/>
      <c r="Q120" s="16"/>
      <c r="R120" s="16"/>
      <c r="S120" s="16"/>
      <c r="T120" s="16"/>
      <c r="U120" s="73">
        <f>SUM(K120:T120)</f>
        <v>0</v>
      </c>
      <c r="V120" s="73"/>
      <c r="X120" s="75" t="str" cm="1">
        <f t="array" ref="X120">MID(";"&amp;'CASE DATA'!$F120&amp;";",SMALL(IF(ISERROR(SEARCH(MID(";"&amp;'CASE DATA'!$F120&amp;";",ROW($1:$99),1),";")),"",ROW($1:$99)+1),COLUMN(A120)),SMALL(IF(ISERROR(SEARCH(MID(";"&amp;'CASE DATA'!$F120&amp;";",ROW($1:$99),1),";")),"",ROW($1:$99)),COLUMN(A119)+1)-SMALL(IF(ISERROR(SEARCH(MID(";"&amp;'CASE DATA'!$F120&amp;";",ROW($1:$99),1),";")),"",ROW($1:$99)),COLUMN(A119))-1)</f>
        <v/>
      </c>
      <c r="Y120" s="75" t="str" cm="1">
        <f t="array" ref="Y120">MID(";"&amp;'CASE DATA'!$F120&amp;";",SMALL(IF(ISERROR(SEARCH(MID(";"&amp;'CASE DATA'!$F120&amp;";",ROW($1:$99),1),";")),"",ROW($1:$99)+1),COLUMN(B120)),SMALL(IF(ISERROR(SEARCH(MID(";"&amp;'CASE DATA'!$F120&amp;";",ROW($1:$99),1),";")),"",ROW($1:$99)),COLUMN(B119)+1)-SMALL(IF(ISERROR(SEARCH(MID(";"&amp;'CASE DATA'!$F120&amp;";",ROW($1:$99),1),";")),"",ROW($1:$99)),COLUMN(B119))-1)</f>
        <v/>
      </c>
      <c r="Z120" s="75" t="str" cm="1">
        <f t="array" ref="Z120">MID(";"&amp;'CASE DATA'!$F120&amp;";",SMALL(IF(ISERROR(SEARCH(MID(";"&amp;'CASE DATA'!$F120&amp;";",ROW($1:$99),1),";")),"",ROW($1:$99)+1),COLUMN(C120)),SMALL(IF(ISERROR(SEARCH(MID(";"&amp;'CASE DATA'!$F120&amp;";",ROW($1:$99),1),";")),"",ROW($1:$99)),COLUMN(C119)+1)-SMALL(IF(ISERROR(SEARCH(MID(";"&amp;'CASE DATA'!$F120&amp;";",ROW($1:$99),1),";")),"",ROW($1:$99)),COLUMN(C119))-1)</f>
        <v/>
      </c>
      <c r="AA120" s="75" t="str" cm="1">
        <f t="array" ref="AA120">MID(";"&amp;'CASE DATA'!$F120&amp;";",SMALL(IF(ISERROR(SEARCH(MID(";"&amp;'CASE DATA'!$F120&amp;";",ROW($1:$99),1),";")),"",ROW($1:$99)+1),COLUMN(D120)),SMALL(IF(ISERROR(SEARCH(MID(";"&amp;'CASE DATA'!$F120&amp;";",ROW($1:$99),1),";")),"",ROW($1:$99)),COLUMN(D119)+1)-SMALL(IF(ISERROR(SEARCH(MID(";"&amp;'CASE DATA'!$F120&amp;";",ROW($1:$99),1),";")),"",ROW($1:$99)),COLUMN(D119))-1)</f>
        <v/>
      </c>
      <c r="AB120" s="75" t="str" cm="1">
        <f t="array" ref="AB120">MID(";"&amp;'CASE DATA'!$F120&amp;";",SMALL(IF(ISERROR(SEARCH(MID(";"&amp;'CASE DATA'!$F120&amp;";",ROW($1:$99),1),";")),"",ROW($1:$99)+1),COLUMN(E120)),SMALL(IF(ISERROR(SEARCH(MID(";"&amp;'CASE DATA'!$F120&amp;";",ROW($1:$99),1),";")),"",ROW($1:$99)),COLUMN(E119)+1)-SMALL(IF(ISERROR(SEARCH(MID(";"&amp;'CASE DATA'!$F120&amp;";",ROW($1:$99),1),";")),"",ROW($1:$99)),COLUMN(E119))-1)</f>
        <v/>
      </c>
      <c r="AC120" s="75" t="str" cm="1">
        <f t="array" ref="AC120">MID(";"&amp;'CASE DATA'!$F120&amp;";",SMALL(IF(ISERROR(SEARCH(MID(";"&amp;'CASE DATA'!$F120&amp;";",ROW($1:$99),1),";")),"",ROW($1:$99)+1),COLUMN(F120)),SMALL(IF(ISERROR(SEARCH(MID(";"&amp;'CASE DATA'!$F120&amp;";",ROW($1:$99),1),";")),"",ROW($1:$99)),COLUMN(F119)+1)-SMALL(IF(ISERROR(SEARCH(MID(";"&amp;'CASE DATA'!$F120&amp;";",ROW($1:$99),1),";")),"",ROW($1:$99)),COLUMN(F119))-1)</f>
        <v/>
      </c>
      <c r="AD120" s="75" t="str" cm="1">
        <f t="array" ref="AD120">MID(";"&amp;'CASE DATA'!$F120&amp;";",SMALL(IF(ISERROR(SEARCH(MID(";"&amp;'CASE DATA'!$F120&amp;";",ROW($1:$99),1),";")),"",ROW($1:$99)+1),COLUMN(G120)),SMALL(IF(ISERROR(SEARCH(MID(";"&amp;'CASE DATA'!$F120&amp;";",ROW($1:$99),1),";")),"",ROW($1:$99)),COLUMN(G119)+1)-SMALL(IF(ISERROR(SEARCH(MID(";"&amp;'CASE DATA'!$F120&amp;";",ROW($1:$99),1),";")),"",ROW($1:$99)),COLUMN(G119))-1)</f>
        <v/>
      </c>
      <c r="AE120" s="75" t="str" cm="1">
        <f t="array" ref="AE120">MID(";"&amp;'CASE DATA'!$F120&amp;";",SMALL(IF(ISERROR(SEARCH(MID(";"&amp;'CASE DATA'!$F120&amp;";",ROW($1:$99),1),";")),"",ROW($1:$99)+1),COLUMN(H120)),SMALL(IF(ISERROR(SEARCH(MID(";"&amp;'CASE DATA'!$F120&amp;";",ROW($1:$99),1),";")),"",ROW($1:$99)),COLUMN(H119)+1)-SMALL(IF(ISERROR(SEARCH(MID(";"&amp;'CASE DATA'!$F120&amp;";",ROW($1:$99),1),";")),"",ROW($1:$99)),COLUMN(H119))-1)</f>
        <v/>
      </c>
      <c r="AF120" s="75" t="str" cm="1">
        <f t="array" ref="AF120">MID(";"&amp;'CASE DATA'!$F120&amp;";",SMALL(IF(ISERROR(SEARCH(MID(";"&amp;'CASE DATA'!$F120&amp;";",ROW($1:$99),1),";")),"",ROW($1:$99)+1),COLUMN(I120)),SMALL(IF(ISERROR(SEARCH(MID(";"&amp;'CASE DATA'!$F120&amp;";",ROW($1:$99),1),";")),"",ROW($1:$99)),COLUMN(I119)+1)-SMALL(IF(ISERROR(SEARCH(MID(";"&amp;'CASE DATA'!$F120&amp;";",ROW($1:$99),1),";")),"",ROW($1:$99)),COLUMN(I119))-1)</f>
        <v/>
      </c>
      <c r="AG120" s="75" t="str" cm="1">
        <f t="array" ref="AG120">MID(";"&amp;'CASE DATA'!$F120&amp;";",SMALL(IF(ISERROR(SEARCH(MID(";"&amp;'CASE DATA'!$F120&amp;";",ROW($1:$99),1),";")),"",ROW($1:$99)+1),COLUMN(K120)),SMALL(IF(ISERROR(SEARCH(MID(";"&amp;'CASE DATA'!$F120&amp;";",ROW($1:$99),1),";")),"",ROW($1:$99)),COLUMN(K119)+1)-SMALL(IF(ISERROR(SEARCH(MID(";"&amp;'CASE DATA'!$F120&amp;";",ROW($1:$99),1),";")),"",ROW($1:$99)),COLUMN(K119))-1)</f>
        <v/>
      </c>
      <c r="AH120" s="75" t="str" cm="1">
        <f t="array" ref="AH120">MID(";"&amp;'CASE DATA'!$F120&amp;";",SMALL(IF(ISERROR(SEARCH(MID(";"&amp;'CASE DATA'!$F120&amp;";",ROW($1:$99),1),";")),"",ROW($1:$99)+1),COLUMN(L120)),SMALL(IF(ISERROR(SEARCH(MID(";"&amp;'CASE DATA'!$F120&amp;";",ROW($1:$99),1),";")),"",ROW($1:$99)),COLUMN(L119)+1)-SMALL(IF(ISERROR(SEARCH(MID(";"&amp;'CASE DATA'!$F120&amp;";",ROW($1:$99),1),";")),"",ROW($1:$99)),COLUMN(L119))-1)</f>
        <v/>
      </c>
      <c r="AI120" s="75" t="str" cm="1">
        <f t="array" ref="AI120">MID(";"&amp;'CASE DATA'!$F120&amp;";",SMALL(IF(ISERROR(SEARCH(MID(";"&amp;'CASE DATA'!$F120&amp;";",ROW($1:$99),1),";")),"",ROW($1:$99)+1),COLUMN(M120)),SMALL(IF(ISERROR(SEARCH(MID(";"&amp;'CASE DATA'!$F120&amp;";",ROW($1:$99),1),";")),"",ROW($1:$99)),COLUMN(M119)+1)-SMALL(IF(ISERROR(SEARCH(MID(";"&amp;'CASE DATA'!$F120&amp;";",ROW($1:$99),1),";")),"",ROW($1:$99)),COLUMN(M119))-1)</f>
        <v/>
      </c>
      <c r="BO120" s="99"/>
      <c r="BP120" s="99"/>
      <c r="BQ120" s="99"/>
      <c r="BR120" s="99"/>
      <c r="BS120" s="99"/>
      <c r="BT120" s="99"/>
      <c r="BU120" s="99"/>
      <c r="BV120" s="99"/>
      <c r="BW120" s="99"/>
      <c r="BX120" s="99"/>
      <c r="BY120" s="99"/>
      <c r="BZ120" s="99"/>
      <c r="CA120" s="99"/>
      <c r="CB120" s="99"/>
      <c r="CC120" s="99"/>
      <c r="CD120" s="99"/>
      <c r="CE120" s="99"/>
      <c r="CF120" s="99"/>
      <c r="CG120" s="99"/>
      <c r="CH120" s="99"/>
      <c r="CI120" s="99"/>
      <c r="CJ120" s="99"/>
      <c r="CK120" s="99"/>
      <c r="CL120" s="99"/>
      <c r="CM120" s="99"/>
      <c r="CN120" s="99"/>
      <c r="CO120" s="99"/>
      <c r="CP120" s="99"/>
      <c r="CQ120" s="99"/>
      <c r="CR120" s="99"/>
      <c r="CS120" s="99"/>
      <c r="CT120" s="99"/>
      <c r="CU120" s="99"/>
      <c r="CV120" s="99"/>
      <c r="CW120" s="99"/>
      <c r="CX120" s="99"/>
      <c r="CY120" s="99"/>
      <c r="CZ120" s="99"/>
      <c r="DA120" s="99"/>
      <c r="DB120" s="99"/>
      <c r="DC120" s="99"/>
      <c r="DD120" s="99"/>
      <c r="DE120" s="99"/>
      <c r="DF120" s="99"/>
      <c r="DG120" s="99"/>
      <c r="DH120" s="99"/>
      <c r="DI120" s="99"/>
      <c r="DJ120" s="99"/>
      <c r="DK120" s="99"/>
      <c r="DL120" s="99"/>
      <c r="DM120" s="99"/>
      <c r="DN120" s="99"/>
      <c r="DO120" s="99"/>
      <c r="DP120" s="99"/>
      <c r="DQ120" s="99"/>
      <c r="DR120" s="99"/>
      <c r="DS120" s="99"/>
      <c r="DT120" s="99"/>
      <c r="DU120" s="99"/>
      <c r="DV120" s="99"/>
      <c r="DW120" s="99"/>
      <c r="DX120" s="99"/>
      <c r="DY120" s="99"/>
      <c r="DZ120" s="99"/>
      <c r="EA120" s="99"/>
      <c r="EB120" s="99"/>
      <c r="EC120" s="99"/>
      <c r="ED120" s="99"/>
      <c r="EE120" s="99"/>
      <c r="EF120" s="99"/>
      <c r="EG120" s="99"/>
      <c r="EH120" s="99"/>
      <c r="EI120" s="99"/>
      <c r="EJ120" s="99"/>
      <c r="EK120" s="99"/>
      <c r="EL120" s="99"/>
      <c r="EM120" s="99"/>
      <c r="EN120" s="99"/>
      <c r="EO120" s="99"/>
      <c r="EP120" s="99"/>
      <c r="EQ120" s="99"/>
      <c r="ER120" s="99"/>
      <c r="ES120" s="99"/>
      <c r="ET120" s="99"/>
      <c r="EU120" s="99"/>
      <c r="EV120" s="99"/>
      <c r="EW120" s="99"/>
      <c r="EX120" s="99"/>
      <c r="EY120" s="99"/>
      <c r="EZ120" s="99"/>
      <c r="FA120" s="99"/>
      <c r="FB120" s="99"/>
      <c r="FC120" s="99"/>
      <c r="FD120" s="99"/>
      <c r="FE120" s="99"/>
      <c r="FF120" s="99"/>
      <c r="FG120" s="99"/>
      <c r="FH120" s="99"/>
      <c r="FI120" s="99"/>
      <c r="FJ120" s="99"/>
      <c r="FK120" s="99"/>
    </row>
    <row r="121" spans="3:167" x14ac:dyDescent="0.25">
      <c r="C121" s="10"/>
      <c r="D121" s="10"/>
      <c r="E121" s="11"/>
      <c r="F121" s="15"/>
      <c r="J121" s="99">
        <v>118</v>
      </c>
      <c r="K121" s="16"/>
      <c r="L121" s="16"/>
      <c r="M121" s="16"/>
      <c r="N121" s="16"/>
      <c r="O121" s="16"/>
      <c r="P121" s="16"/>
      <c r="Q121" s="16"/>
      <c r="R121" s="16"/>
      <c r="S121" s="16"/>
      <c r="T121" s="16"/>
      <c r="U121" s="73">
        <f>SUM(K121:T121)</f>
        <v>0</v>
      </c>
      <c r="V121" s="73"/>
      <c r="X121" s="75" t="str" cm="1">
        <f t="array" ref="X121">MID(";"&amp;'CASE DATA'!$F121&amp;";",SMALL(IF(ISERROR(SEARCH(MID(";"&amp;'CASE DATA'!$F121&amp;";",ROW($1:$99),1),";")),"",ROW($1:$99)+1),COLUMN(A121)),SMALL(IF(ISERROR(SEARCH(MID(";"&amp;'CASE DATA'!$F121&amp;";",ROW($1:$99),1),";")),"",ROW($1:$99)),COLUMN(A120)+1)-SMALL(IF(ISERROR(SEARCH(MID(";"&amp;'CASE DATA'!$F121&amp;";",ROW($1:$99),1),";")),"",ROW($1:$99)),COLUMN(A120))-1)</f>
        <v/>
      </c>
      <c r="Y121" s="75" t="str" cm="1">
        <f t="array" ref="Y121">MID(";"&amp;'CASE DATA'!$F121&amp;";",SMALL(IF(ISERROR(SEARCH(MID(";"&amp;'CASE DATA'!$F121&amp;";",ROW($1:$99),1),";")),"",ROW($1:$99)+1),COLUMN(B121)),SMALL(IF(ISERROR(SEARCH(MID(";"&amp;'CASE DATA'!$F121&amp;";",ROW($1:$99),1),";")),"",ROW($1:$99)),COLUMN(B120)+1)-SMALL(IF(ISERROR(SEARCH(MID(";"&amp;'CASE DATA'!$F121&amp;";",ROW($1:$99),1),";")),"",ROW($1:$99)),COLUMN(B120))-1)</f>
        <v/>
      </c>
      <c r="Z121" s="75" t="str" cm="1">
        <f t="array" ref="Z121">MID(";"&amp;'CASE DATA'!$F121&amp;";",SMALL(IF(ISERROR(SEARCH(MID(";"&amp;'CASE DATA'!$F121&amp;";",ROW($1:$99),1),";")),"",ROW($1:$99)+1),COLUMN(C121)),SMALL(IF(ISERROR(SEARCH(MID(";"&amp;'CASE DATA'!$F121&amp;";",ROW($1:$99),1),";")),"",ROW($1:$99)),COLUMN(C120)+1)-SMALL(IF(ISERROR(SEARCH(MID(";"&amp;'CASE DATA'!$F121&amp;";",ROW($1:$99),1),";")),"",ROW($1:$99)),COLUMN(C120))-1)</f>
        <v/>
      </c>
      <c r="AA121" s="75" t="str" cm="1">
        <f t="array" ref="AA121">MID(";"&amp;'CASE DATA'!$F121&amp;";",SMALL(IF(ISERROR(SEARCH(MID(";"&amp;'CASE DATA'!$F121&amp;";",ROW($1:$99),1),";")),"",ROW($1:$99)+1),COLUMN(D121)),SMALL(IF(ISERROR(SEARCH(MID(";"&amp;'CASE DATA'!$F121&amp;";",ROW($1:$99),1),";")),"",ROW($1:$99)),COLUMN(D120)+1)-SMALL(IF(ISERROR(SEARCH(MID(";"&amp;'CASE DATA'!$F121&amp;";",ROW($1:$99),1),";")),"",ROW($1:$99)),COLUMN(D120))-1)</f>
        <v/>
      </c>
      <c r="AB121" s="75" t="str" cm="1">
        <f t="array" ref="AB121">MID(";"&amp;'CASE DATA'!$F121&amp;";",SMALL(IF(ISERROR(SEARCH(MID(";"&amp;'CASE DATA'!$F121&amp;";",ROW($1:$99),1),";")),"",ROW($1:$99)+1),COLUMN(E121)),SMALL(IF(ISERROR(SEARCH(MID(";"&amp;'CASE DATA'!$F121&amp;";",ROW($1:$99),1),";")),"",ROW($1:$99)),COLUMN(E120)+1)-SMALL(IF(ISERROR(SEARCH(MID(";"&amp;'CASE DATA'!$F121&amp;";",ROW($1:$99),1),";")),"",ROW($1:$99)),COLUMN(E120))-1)</f>
        <v/>
      </c>
      <c r="AC121" s="75" t="str" cm="1">
        <f t="array" ref="AC121">MID(";"&amp;'CASE DATA'!$F121&amp;";",SMALL(IF(ISERROR(SEARCH(MID(";"&amp;'CASE DATA'!$F121&amp;";",ROW($1:$99),1),";")),"",ROW($1:$99)+1),COLUMN(F121)),SMALL(IF(ISERROR(SEARCH(MID(";"&amp;'CASE DATA'!$F121&amp;";",ROW($1:$99),1),";")),"",ROW($1:$99)),COLUMN(F120)+1)-SMALL(IF(ISERROR(SEARCH(MID(";"&amp;'CASE DATA'!$F121&amp;";",ROW($1:$99),1),";")),"",ROW($1:$99)),COLUMN(F120))-1)</f>
        <v/>
      </c>
      <c r="AD121" s="75" t="str" cm="1">
        <f t="array" ref="AD121">MID(";"&amp;'CASE DATA'!$F121&amp;";",SMALL(IF(ISERROR(SEARCH(MID(";"&amp;'CASE DATA'!$F121&amp;";",ROW($1:$99),1),";")),"",ROW($1:$99)+1),COLUMN(G121)),SMALL(IF(ISERROR(SEARCH(MID(";"&amp;'CASE DATA'!$F121&amp;";",ROW($1:$99),1),";")),"",ROW($1:$99)),COLUMN(G120)+1)-SMALL(IF(ISERROR(SEARCH(MID(";"&amp;'CASE DATA'!$F121&amp;";",ROW($1:$99),1),";")),"",ROW($1:$99)),COLUMN(G120))-1)</f>
        <v/>
      </c>
      <c r="AE121" s="75" t="str" cm="1">
        <f t="array" ref="AE121">MID(";"&amp;'CASE DATA'!$F121&amp;";",SMALL(IF(ISERROR(SEARCH(MID(";"&amp;'CASE DATA'!$F121&amp;";",ROW($1:$99),1),";")),"",ROW($1:$99)+1),COLUMN(H121)),SMALL(IF(ISERROR(SEARCH(MID(";"&amp;'CASE DATA'!$F121&amp;";",ROW($1:$99),1),";")),"",ROW($1:$99)),COLUMN(H120)+1)-SMALL(IF(ISERROR(SEARCH(MID(";"&amp;'CASE DATA'!$F121&amp;";",ROW($1:$99),1),";")),"",ROW($1:$99)),COLUMN(H120))-1)</f>
        <v/>
      </c>
      <c r="AF121" s="75" t="str" cm="1">
        <f t="array" ref="AF121">MID(";"&amp;'CASE DATA'!$F121&amp;";",SMALL(IF(ISERROR(SEARCH(MID(";"&amp;'CASE DATA'!$F121&amp;";",ROW($1:$99),1),";")),"",ROW($1:$99)+1),COLUMN(I121)),SMALL(IF(ISERROR(SEARCH(MID(";"&amp;'CASE DATA'!$F121&amp;";",ROW($1:$99),1),";")),"",ROW($1:$99)),COLUMN(I120)+1)-SMALL(IF(ISERROR(SEARCH(MID(";"&amp;'CASE DATA'!$F121&amp;";",ROW($1:$99),1),";")),"",ROW($1:$99)),COLUMN(I120))-1)</f>
        <v/>
      </c>
      <c r="AG121" s="75" t="str" cm="1">
        <f t="array" ref="AG121">MID(";"&amp;'CASE DATA'!$F121&amp;";",SMALL(IF(ISERROR(SEARCH(MID(";"&amp;'CASE DATA'!$F121&amp;";",ROW($1:$99),1),";")),"",ROW($1:$99)+1),COLUMN(K121)),SMALL(IF(ISERROR(SEARCH(MID(";"&amp;'CASE DATA'!$F121&amp;";",ROW($1:$99),1),";")),"",ROW($1:$99)),COLUMN(K120)+1)-SMALL(IF(ISERROR(SEARCH(MID(";"&amp;'CASE DATA'!$F121&amp;";",ROW($1:$99),1),";")),"",ROW($1:$99)),COLUMN(K120))-1)</f>
        <v/>
      </c>
      <c r="AH121" s="75" t="str" cm="1">
        <f t="array" ref="AH121">MID(";"&amp;'CASE DATA'!$F121&amp;";",SMALL(IF(ISERROR(SEARCH(MID(";"&amp;'CASE DATA'!$F121&amp;";",ROW($1:$99),1),";")),"",ROW($1:$99)+1),COLUMN(L121)),SMALL(IF(ISERROR(SEARCH(MID(";"&amp;'CASE DATA'!$F121&amp;";",ROW($1:$99),1),";")),"",ROW($1:$99)),COLUMN(L120)+1)-SMALL(IF(ISERROR(SEARCH(MID(";"&amp;'CASE DATA'!$F121&amp;";",ROW($1:$99),1),";")),"",ROW($1:$99)),COLUMN(L120))-1)</f>
        <v/>
      </c>
      <c r="AI121" s="75" t="str" cm="1">
        <f t="array" ref="AI121">MID(";"&amp;'CASE DATA'!$F121&amp;";",SMALL(IF(ISERROR(SEARCH(MID(";"&amp;'CASE DATA'!$F121&amp;";",ROW($1:$99),1),";")),"",ROW($1:$99)+1),COLUMN(M121)),SMALL(IF(ISERROR(SEARCH(MID(";"&amp;'CASE DATA'!$F121&amp;";",ROW($1:$99),1),";")),"",ROW($1:$99)),COLUMN(M120)+1)-SMALL(IF(ISERROR(SEARCH(MID(";"&amp;'CASE DATA'!$F121&amp;";",ROW($1:$99),1),";")),"",ROW($1:$99)),COLUMN(M120))-1)</f>
        <v/>
      </c>
      <c r="BO121" s="99"/>
      <c r="BP121" s="99"/>
      <c r="BQ121" s="99"/>
      <c r="BR121" s="99"/>
      <c r="BS121" s="99"/>
      <c r="BT121" s="99"/>
      <c r="BU121" s="99"/>
      <c r="BV121" s="99"/>
      <c r="BW121" s="99"/>
      <c r="BX121" s="99"/>
      <c r="BY121" s="99"/>
      <c r="BZ121" s="99"/>
      <c r="CA121" s="99"/>
      <c r="CB121" s="99"/>
      <c r="CC121" s="99"/>
      <c r="CD121" s="99"/>
      <c r="CE121" s="99"/>
      <c r="CF121" s="99"/>
      <c r="CG121" s="99"/>
      <c r="CH121" s="99"/>
      <c r="CI121" s="99"/>
      <c r="CJ121" s="99"/>
      <c r="CK121" s="99"/>
      <c r="CL121" s="99"/>
      <c r="CM121" s="99"/>
      <c r="CN121" s="99"/>
      <c r="CO121" s="99"/>
      <c r="CP121" s="99"/>
      <c r="CQ121" s="99"/>
      <c r="CR121" s="99"/>
      <c r="CS121" s="99"/>
      <c r="CT121" s="99"/>
      <c r="CU121" s="99"/>
      <c r="CV121" s="99"/>
      <c r="CW121" s="99"/>
      <c r="CX121" s="99"/>
      <c r="CY121" s="99"/>
      <c r="CZ121" s="99"/>
      <c r="DA121" s="99"/>
      <c r="DB121" s="99"/>
      <c r="DC121" s="99"/>
      <c r="DD121" s="99"/>
      <c r="DE121" s="99"/>
      <c r="DF121" s="99"/>
      <c r="DG121" s="99"/>
      <c r="DH121" s="99"/>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99"/>
      <c r="EE121" s="99"/>
      <c r="EF121" s="99"/>
      <c r="EG121" s="99"/>
      <c r="EH121" s="99"/>
      <c r="EI121" s="99"/>
      <c r="EJ121" s="99"/>
      <c r="EK121" s="99"/>
      <c r="EL121" s="99"/>
      <c r="EM121" s="99"/>
      <c r="EN121" s="99"/>
      <c r="EO121" s="99"/>
      <c r="EP121" s="99"/>
      <c r="EQ121" s="99"/>
      <c r="ER121" s="99"/>
      <c r="ES121" s="99"/>
      <c r="ET121" s="99"/>
      <c r="EU121" s="99"/>
      <c r="EV121" s="99"/>
      <c r="EW121" s="99"/>
      <c r="EX121" s="99"/>
      <c r="EY121" s="99"/>
      <c r="EZ121" s="99"/>
      <c r="FA121" s="99"/>
      <c r="FB121" s="99"/>
      <c r="FC121" s="99"/>
      <c r="FD121" s="99"/>
      <c r="FE121" s="99"/>
      <c r="FF121" s="99"/>
      <c r="FG121" s="99"/>
      <c r="FH121" s="99"/>
      <c r="FI121" s="99"/>
      <c r="FJ121" s="99"/>
      <c r="FK121" s="99"/>
    </row>
    <row r="122" spans="3:167" x14ac:dyDescent="0.25">
      <c r="C122" s="10"/>
      <c r="D122" s="10"/>
      <c r="E122" s="11"/>
      <c r="F122" s="15"/>
      <c r="J122" s="99">
        <v>119</v>
      </c>
      <c r="K122" s="16"/>
      <c r="L122" s="16"/>
      <c r="M122" s="16"/>
      <c r="N122" s="16"/>
      <c r="O122" s="16"/>
      <c r="P122" s="16"/>
      <c r="Q122" s="16"/>
      <c r="R122" s="16"/>
      <c r="S122" s="16"/>
      <c r="T122" s="16"/>
      <c r="U122" s="73">
        <f>SUM(K122:T122)</f>
        <v>0</v>
      </c>
      <c r="V122" s="73"/>
      <c r="X122" s="75" t="str" cm="1">
        <f t="array" ref="X122">MID(";"&amp;'CASE DATA'!$F122&amp;";",SMALL(IF(ISERROR(SEARCH(MID(";"&amp;'CASE DATA'!$F122&amp;";",ROW($1:$99),1),";")),"",ROW($1:$99)+1),COLUMN(A122)),SMALL(IF(ISERROR(SEARCH(MID(";"&amp;'CASE DATA'!$F122&amp;";",ROW($1:$99),1),";")),"",ROW($1:$99)),COLUMN(A121)+1)-SMALL(IF(ISERROR(SEARCH(MID(";"&amp;'CASE DATA'!$F122&amp;";",ROW($1:$99),1),";")),"",ROW($1:$99)),COLUMN(A121))-1)</f>
        <v/>
      </c>
      <c r="Y122" s="75" t="str" cm="1">
        <f t="array" ref="Y122">MID(";"&amp;'CASE DATA'!$F122&amp;";",SMALL(IF(ISERROR(SEARCH(MID(";"&amp;'CASE DATA'!$F122&amp;";",ROW($1:$99),1),";")),"",ROW($1:$99)+1),COLUMN(B122)),SMALL(IF(ISERROR(SEARCH(MID(";"&amp;'CASE DATA'!$F122&amp;";",ROW($1:$99),1),";")),"",ROW($1:$99)),COLUMN(B121)+1)-SMALL(IF(ISERROR(SEARCH(MID(";"&amp;'CASE DATA'!$F122&amp;";",ROW($1:$99),1),";")),"",ROW($1:$99)),COLUMN(B121))-1)</f>
        <v/>
      </c>
      <c r="Z122" s="75" t="str" cm="1">
        <f t="array" ref="Z122">MID(";"&amp;'CASE DATA'!$F122&amp;";",SMALL(IF(ISERROR(SEARCH(MID(";"&amp;'CASE DATA'!$F122&amp;";",ROW($1:$99),1),";")),"",ROW($1:$99)+1),COLUMN(C122)),SMALL(IF(ISERROR(SEARCH(MID(";"&amp;'CASE DATA'!$F122&amp;";",ROW($1:$99),1),";")),"",ROW($1:$99)),COLUMN(C121)+1)-SMALL(IF(ISERROR(SEARCH(MID(";"&amp;'CASE DATA'!$F122&amp;";",ROW($1:$99),1),";")),"",ROW($1:$99)),COLUMN(C121))-1)</f>
        <v/>
      </c>
      <c r="AA122" s="75" t="str" cm="1">
        <f t="array" ref="AA122">MID(";"&amp;'CASE DATA'!$F122&amp;";",SMALL(IF(ISERROR(SEARCH(MID(";"&amp;'CASE DATA'!$F122&amp;";",ROW($1:$99),1),";")),"",ROW($1:$99)+1),COLUMN(D122)),SMALL(IF(ISERROR(SEARCH(MID(";"&amp;'CASE DATA'!$F122&amp;";",ROW($1:$99),1),";")),"",ROW($1:$99)),COLUMN(D121)+1)-SMALL(IF(ISERROR(SEARCH(MID(";"&amp;'CASE DATA'!$F122&amp;";",ROW($1:$99),1),";")),"",ROW($1:$99)),COLUMN(D121))-1)</f>
        <v/>
      </c>
      <c r="AB122" s="75" t="str" cm="1">
        <f t="array" ref="AB122">MID(";"&amp;'CASE DATA'!$F122&amp;";",SMALL(IF(ISERROR(SEARCH(MID(";"&amp;'CASE DATA'!$F122&amp;";",ROW($1:$99),1),";")),"",ROW($1:$99)+1),COLUMN(E122)),SMALL(IF(ISERROR(SEARCH(MID(";"&amp;'CASE DATA'!$F122&amp;";",ROW($1:$99),1),";")),"",ROW($1:$99)),COLUMN(E121)+1)-SMALL(IF(ISERROR(SEARCH(MID(";"&amp;'CASE DATA'!$F122&amp;";",ROW($1:$99),1),";")),"",ROW($1:$99)),COLUMN(E121))-1)</f>
        <v/>
      </c>
      <c r="AC122" s="75" t="str" cm="1">
        <f t="array" ref="AC122">MID(";"&amp;'CASE DATA'!$F122&amp;";",SMALL(IF(ISERROR(SEARCH(MID(";"&amp;'CASE DATA'!$F122&amp;";",ROW($1:$99),1),";")),"",ROW($1:$99)+1),COLUMN(F122)),SMALL(IF(ISERROR(SEARCH(MID(";"&amp;'CASE DATA'!$F122&amp;";",ROW($1:$99),1),";")),"",ROW($1:$99)),COLUMN(F121)+1)-SMALL(IF(ISERROR(SEARCH(MID(";"&amp;'CASE DATA'!$F122&amp;";",ROW($1:$99),1),";")),"",ROW($1:$99)),COLUMN(F121))-1)</f>
        <v/>
      </c>
      <c r="AD122" s="75" t="str" cm="1">
        <f t="array" ref="AD122">MID(";"&amp;'CASE DATA'!$F122&amp;";",SMALL(IF(ISERROR(SEARCH(MID(";"&amp;'CASE DATA'!$F122&amp;";",ROW($1:$99),1),";")),"",ROW($1:$99)+1),COLUMN(G122)),SMALL(IF(ISERROR(SEARCH(MID(";"&amp;'CASE DATA'!$F122&amp;";",ROW($1:$99),1),";")),"",ROW($1:$99)),COLUMN(G121)+1)-SMALL(IF(ISERROR(SEARCH(MID(";"&amp;'CASE DATA'!$F122&amp;";",ROW($1:$99),1),";")),"",ROW($1:$99)),COLUMN(G121))-1)</f>
        <v/>
      </c>
      <c r="AE122" s="75" t="str" cm="1">
        <f t="array" ref="AE122">MID(";"&amp;'CASE DATA'!$F122&amp;";",SMALL(IF(ISERROR(SEARCH(MID(";"&amp;'CASE DATA'!$F122&amp;";",ROW($1:$99),1),";")),"",ROW($1:$99)+1),COLUMN(H122)),SMALL(IF(ISERROR(SEARCH(MID(";"&amp;'CASE DATA'!$F122&amp;";",ROW($1:$99),1),";")),"",ROW($1:$99)),COLUMN(H121)+1)-SMALL(IF(ISERROR(SEARCH(MID(";"&amp;'CASE DATA'!$F122&amp;";",ROW($1:$99),1),";")),"",ROW($1:$99)),COLUMN(H121))-1)</f>
        <v/>
      </c>
      <c r="AF122" s="75" t="str" cm="1">
        <f t="array" ref="AF122">MID(";"&amp;'CASE DATA'!$F122&amp;";",SMALL(IF(ISERROR(SEARCH(MID(";"&amp;'CASE DATA'!$F122&amp;";",ROW($1:$99),1),";")),"",ROW($1:$99)+1),COLUMN(I122)),SMALL(IF(ISERROR(SEARCH(MID(";"&amp;'CASE DATA'!$F122&amp;";",ROW($1:$99),1),";")),"",ROW($1:$99)),COLUMN(I121)+1)-SMALL(IF(ISERROR(SEARCH(MID(";"&amp;'CASE DATA'!$F122&amp;";",ROW($1:$99),1),";")),"",ROW($1:$99)),COLUMN(I121))-1)</f>
        <v/>
      </c>
      <c r="AG122" s="75" t="str" cm="1">
        <f t="array" ref="AG122">MID(";"&amp;'CASE DATA'!$F122&amp;";",SMALL(IF(ISERROR(SEARCH(MID(";"&amp;'CASE DATA'!$F122&amp;";",ROW($1:$99),1),";")),"",ROW($1:$99)+1),COLUMN(K122)),SMALL(IF(ISERROR(SEARCH(MID(";"&amp;'CASE DATA'!$F122&amp;";",ROW($1:$99),1),";")),"",ROW($1:$99)),COLUMN(K121)+1)-SMALL(IF(ISERROR(SEARCH(MID(";"&amp;'CASE DATA'!$F122&amp;";",ROW($1:$99),1),";")),"",ROW($1:$99)),COLUMN(K121))-1)</f>
        <v/>
      </c>
      <c r="AH122" s="75" t="str" cm="1">
        <f t="array" ref="AH122">MID(";"&amp;'CASE DATA'!$F122&amp;";",SMALL(IF(ISERROR(SEARCH(MID(";"&amp;'CASE DATA'!$F122&amp;";",ROW($1:$99),1),";")),"",ROW($1:$99)+1),COLUMN(L122)),SMALL(IF(ISERROR(SEARCH(MID(";"&amp;'CASE DATA'!$F122&amp;";",ROW($1:$99),1),";")),"",ROW($1:$99)),COLUMN(L121)+1)-SMALL(IF(ISERROR(SEARCH(MID(";"&amp;'CASE DATA'!$F122&amp;";",ROW($1:$99),1),";")),"",ROW($1:$99)),COLUMN(L121))-1)</f>
        <v/>
      </c>
      <c r="AI122" s="75" t="str" cm="1">
        <f t="array" ref="AI122">MID(";"&amp;'CASE DATA'!$F122&amp;";",SMALL(IF(ISERROR(SEARCH(MID(";"&amp;'CASE DATA'!$F122&amp;";",ROW($1:$99),1),";")),"",ROW($1:$99)+1),COLUMN(M122)),SMALL(IF(ISERROR(SEARCH(MID(";"&amp;'CASE DATA'!$F122&amp;";",ROW($1:$99),1),";")),"",ROW($1:$99)),COLUMN(M121)+1)-SMALL(IF(ISERROR(SEARCH(MID(";"&amp;'CASE DATA'!$F122&amp;";",ROW($1:$99),1),";")),"",ROW($1:$99)),COLUMN(M121))-1)</f>
        <v/>
      </c>
      <c r="BO122" s="99"/>
      <c r="BP122" s="99"/>
      <c r="BQ122" s="99"/>
      <c r="BR122" s="99"/>
      <c r="BS122" s="99"/>
      <c r="BT122" s="99"/>
      <c r="BU122" s="99"/>
      <c r="BV122" s="99"/>
      <c r="BW122" s="99"/>
      <c r="BX122" s="99"/>
      <c r="BY122" s="99"/>
      <c r="BZ122" s="99"/>
      <c r="CA122" s="99"/>
      <c r="CB122" s="99"/>
      <c r="CC122" s="99"/>
      <c r="CD122" s="99"/>
      <c r="CE122" s="99"/>
      <c r="CF122" s="99"/>
      <c r="CG122" s="99"/>
      <c r="CH122" s="99"/>
      <c r="CI122" s="99"/>
      <c r="CJ122" s="99"/>
      <c r="CK122" s="99"/>
      <c r="CL122" s="99"/>
      <c r="CM122" s="99"/>
      <c r="CN122" s="99"/>
      <c r="CO122" s="99"/>
      <c r="CP122" s="99"/>
      <c r="CQ122" s="99"/>
      <c r="CR122" s="99"/>
      <c r="CS122" s="99"/>
      <c r="CT122" s="99"/>
      <c r="CU122" s="99"/>
      <c r="CV122" s="99"/>
      <c r="CW122" s="99"/>
      <c r="CX122" s="99"/>
      <c r="CY122" s="99"/>
      <c r="CZ122" s="99"/>
      <c r="DA122" s="99"/>
      <c r="DB122" s="99"/>
      <c r="DC122" s="99"/>
      <c r="DD122" s="99"/>
      <c r="DE122" s="99"/>
      <c r="DF122" s="99"/>
      <c r="DG122" s="99"/>
      <c r="DH122" s="99"/>
      <c r="DI122" s="99"/>
      <c r="DJ122" s="99"/>
      <c r="DK122" s="99"/>
      <c r="DL122" s="99"/>
      <c r="DM122" s="99"/>
      <c r="DN122" s="99"/>
      <c r="DO122" s="99"/>
      <c r="DP122" s="99"/>
      <c r="DQ122" s="99"/>
      <c r="DR122" s="99"/>
      <c r="DS122" s="99"/>
      <c r="DT122" s="99"/>
      <c r="DU122" s="99"/>
      <c r="DV122" s="99"/>
      <c r="DW122" s="99"/>
      <c r="DX122" s="99"/>
      <c r="DY122" s="99"/>
      <c r="DZ122" s="99"/>
      <c r="EA122" s="99"/>
      <c r="EB122" s="99"/>
      <c r="EC122" s="99"/>
      <c r="ED122" s="99"/>
      <c r="EE122" s="99"/>
      <c r="EF122" s="99"/>
      <c r="EG122" s="99"/>
      <c r="EH122" s="99"/>
      <c r="EI122" s="99"/>
      <c r="EJ122" s="99"/>
      <c r="EK122" s="99"/>
      <c r="EL122" s="99"/>
      <c r="EM122" s="99"/>
      <c r="EN122" s="99"/>
      <c r="EO122" s="99"/>
      <c r="EP122" s="99"/>
      <c r="EQ122" s="99"/>
      <c r="ER122" s="99"/>
      <c r="ES122" s="99"/>
      <c r="ET122" s="99"/>
      <c r="EU122" s="99"/>
      <c r="EV122" s="99"/>
      <c r="EW122" s="99"/>
      <c r="EX122" s="99"/>
      <c r="EY122" s="99"/>
      <c r="EZ122" s="99"/>
      <c r="FA122" s="99"/>
      <c r="FB122" s="99"/>
      <c r="FC122" s="99"/>
      <c r="FD122" s="99"/>
      <c r="FE122" s="99"/>
      <c r="FF122" s="99"/>
      <c r="FG122" s="99"/>
      <c r="FH122" s="99"/>
      <c r="FI122" s="99"/>
      <c r="FJ122" s="99"/>
      <c r="FK122" s="99"/>
    </row>
    <row r="123" spans="3:167" x14ac:dyDescent="0.25">
      <c r="C123" s="10"/>
      <c r="D123" s="10"/>
      <c r="E123" s="11"/>
      <c r="F123" s="15"/>
      <c r="J123" s="99">
        <v>120</v>
      </c>
      <c r="K123" s="16"/>
      <c r="L123" s="16"/>
      <c r="M123" s="16"/>
      <c r="N123" s="16"/>
      <c r="O123" s="16"/>
      <c r="P123" s="16"/>
      <c r="Q123" s="16"/>
      <c r="R123" s="16"/>
      <c r="S123" s="16"/>
      <c r="T123" s="16"/>
      <c r="U123" s="73">
        <f>SUM(K123:T123)</f>
        <v>0</v>
      </c>
      <c r="V123" s="73"/>
      <c r="X123" s="75" t="str" cm="1">
        <f t="array" ref="X123">MID(";"&amp;'CASE DATA'!$F123&amp;";",SMALL(IF(ISERROR(SEARCH(MID(";"&amp;'CASE DATA'!$F123&amp;";",ROW($1:$99),1),";")),"",ROW($1:$99)+1),COLUMN(A123)),SMALL(IF(ISERROR(SEARCH(MID(";"&amp;'CASE DATA'!$F123&amp;";",ROW($1:$99),1),";")),"",ROW($1:$99)),COLUMN(A122)+1)-SMALL(IF(ISERROR(SEARCH(MID(";"&amp;'CASE DATA'!$F123&amp;";",ROW($1:$99),1),";")),"",ROW($1:$99)),COLUMN(A122))-1)</f>
        <v/>
      </c>
      <c r="Y123" s="75" t="str" cm="1">
        <f t="array" ref="Y123">MID(";"&amp;'CASE DATA'!$F123&amp;";",SMALL(IF(ISERROR(SEARCH(MID(";"&amp;'CASE DATA'!$F123&amp;";",ROW($1:$99),1),";")),"",ROW($1:$99)+1),COLUMN(B123)),SMALL(IF(ISERROR(SEARCH(MID(";"&amp;'CASE DATA'!$F123&amp;";",ROW($1:$99),1),";")),"",ROW($1:$99)),COLUMN(B122)+1)-SMALL(IF(ISERROR(SEARCH(MID(";"&amp;'CASE DATA'!$F123&amp;";",ROW($1:$99),1),";")),"",ROW($1:$99)),COLUMN(B122))-1)</f>
        <v/>
      </c>
      <c r="Z123" s="75" t="str" cm="1">
        <f t="array" ref="Z123">MID(";"&amp;'CASE DATA'!$F123&amp;";",SMALL(IF(ISERROR(SEARCH(MID(";"&amp;'CASE DATA'!$F123&amp;";",ROW($1:$99),1),";")),"",ROW($1:$99)+1),COLUMN(C123)),SMALL(IF(ISERROR(SEARCH(MID(";"&amp;'CASE DATA'!$F123&amp;";",ROW($1:$99),1),";")),"",ROW($1:$99)),COLUMN(C122)+1)-SMALL(IF(ISERROR(SEARCH(MID(";"&amp;'CASE DATA'!$F123&amp;";",ROW($1:$99),1),";")),"",ROW($1:$99)),COLUMN(C122))-1)</f>
        <v/>
      </c>
      <c r="AA123" s="75" t="str" cm="1">
        <f t="array" ref="AA123">MID(";"&amp;'CASE DATA'!$F123&amp;";",SMALL(IF(ISERROR(SEARCH(MID(";"&amp;'CASE DATA'!$F123&amp;";",ROW($1:$99),1),";")),"",ROW($1:$99)+1),COLUMN(D123)),SMALL(IF(ISERROR(SEARCH(MID(";"&amp;'CASE DATA'!$F123&amp;";",ROW($1:$99),1),";")),"",ROW($1:$99)),COLUMN(D122)+1)-SMALL(IF(ISERROR(SEARCH(MID(";"&amp;'CASE DATA'!$F123&amp;";",ROW($1:$99),1),";")),"",ROW($1:$99)),COLUMN(D122))-1)</f>
        <v/>
      </c>
      <c r="AB123" s="75" t="str" cm="1">
        <f t="array" ref="AB123">MID(";"&amp;'CASE DATA'!$F123&amp;";",SMALL(IF(ISERROR(SEARCH(MID(";"&amp;'CASE DATA'!$F123&amp;";",ROW($1:$99),1),";")),"",ROW($1:$99)+1),COLUMN(E123)),SMALL(IF(ISERROR(SEARCH(MID(";"&amp;'CASE DATA'!$F123&amp;";",ROW($1:$99),1),";")),"",ROW($1:$99)),COLUMN(E122)+1)-SMALL(IF(ISERROR(SEARCH(MID(";"&amp;'CASE DATA'!$F123&amp;";",ROW($1:$99),1),";")),"",ROW($1:$99)),COLUMN(E122))-1)</f>
        <v/>
      </c>
      <c r="AC123" s="75" t="str" cm="1">
        <f t="array" ref="AC123">MID(";"&amp;'CASE DATA'!$F123&amp;";",SMALL(IF(ISERROR(SEARCH(MID(";"&amp;'CASE DATA'!$F123&amp;";",ROW($1:$99),1),";")),"",ROW($1:$99)+1),COLUMN(F123)),SMALL(IF(ISERROR(SEARCH(MID(";"&amp;'CASE DATA'!$F123&amp;";",ROW($1:$99),1),";")),"",ROW($1:$99)),COLUMN(F122)+1)-SMALL(IF(ISERROR(SEARCH(MID(";"&amp;'CASE DATA'!$F123&amp;";",ROW($1:$99),1),";")),"",ROW($1:$99)),COLUMN(F122))-1)</f>
        <v/>
      </c>
      <c r="AD123" s="75" t="str" cm="1">
        <f t="array" ref="AD123">MID(";"&amp;'CASE DATA'!$F123&amp;";",SMALL(IF(ISERROR(SEARCH(MID(";"&amp;'CASE DATA'!$F123&amp;";",ROW($1:$99),1),";")),"",ROW($1:$99)+1),COLUMN(G123)),SMALL(IF(ISERROR(SEARCH(MID(";"&amp;'CASE DATA'!$F123&amp;";",ROW($1:$99),1),";")),"",ROW($1:$99)),COLUMN(G122)+1)-SMALL(IF(ISERROR(SEARCH(MID(";"&amp;'CASE DATA'!$F123&amp;";",ROW($1:$99),1),";")),"",ROW($1:$99)),COLUMN(G122))-1)</f>
        <v/>
      </c>
      <c r="AE123" s="75" t="str" cm="1">
        <f t="array" ref="AE123">MID(";"&amp;'CASE DATA'!$F123&amp;";",SMALL(IF(ISERROR(SEARCH(MID(";"&amp;'CASE DATA'!$F123&amp;";",ROW($1:$99),1),";")),"",ROW($1:$99)+1),COLUMN(H123)),SMALL(IF(ISERROR(SEARCH(MID(";"&amp;'CASE DATA'!$F123&amp;";",ROW($1:$99),1),";")),"",ROW($1:$99)),COLUMN(H122)+1)-SMALL(IF(ISERROR(SEARCH(MID(";"&amp;'CASE DATA'!$F123&amp;";",ROW($1:$99),1),";")),"",ROW($1:$99)),COLUMN(H122))-1)</f>
        <v/>
      </c>
      <c r="AF123" s="75" t="str" cm="1">
        <f t="array" ref="AF123">MID(";"&amp;'CASE DATA'!$F123&amp;";",SMALL(IF(ISERROR(SEARCH(MID(";"&amp;'CASE DATA'!$F123&amp;";",ROW($1:$99),1),";")),"",ROW($1:$99)+1),COLUMN(I123)),SMALL(IF(ISERROR(SEARCH(MID(";"&amp;'CASE DATA'!$F123&amp;";",ROW($1:$99),1),";")),"",ROW($1:$99)),COLUMN(I122)+1)-SMALL(IF(ISERROR(SEARCH(MID(";"&amp;'CASE DATA'!$F123&amp;";",ROW($1:$99),1),";")),"",ROW($1:$99)),COLUMN(I122))-1)</f>
        <v/>
      </c>
      <c r="AG123" s="75" t="str" cm="1">
        <f t="array" ref="AG123">MID(";"&amp;'CASE DATA'!$F123&amp;";",SMALL(IF(ISERROR(SEARCH(MID(";"&amp;'CASE DATA'!$F123&amp;";",ROW($1:$99),1),";")),"",ROW($1:$99)+1),COLUMN(K123)),SMALL(IF(ISERROR(SEARCH(MID(";"&amp;'CASE DATA'!$F123&amp;";",ROW($1:$99),1),";")),"",ROW($1:$99)),COLUMN(K122)+1)-SMALL(IF(ISERROR(SEARCH(MID(";"&amp;'CASE DATA'!$F123&amp;";",ROW($1:$99),1),";")),"",ROW($1:$99)),COLUMN(K122))-1)</f>
        <v/>
      </c>
      <c r="AH123" s="75" t="str" cm="1">
        <f t="array" ref="AH123">MID(";"&amp;'CASE DATA'!$F123&amp;";",SMALL(IF(ISERROR(SEARCH(MID(";"&amp;'CASE DATA'!$F123&amp;";",ROW($1:$99),1),";")),"",ROW($1:$99)+1),COLUMN(L123)),SMALL(IF(ISERROR(SEARCH(MID(";"&amp;'CASE DATA'!$F123&amp;";",ROW($1:$99),1),";")),"",ROW($1:$99)),COLUMN(L122)+1)-SMALL(IF(ISERROR(SEARCH(MID(";"&amp;'CASE DATA'!$F123&amp;";",ROW($1:$99),1),";")),"",ROW($1:$99)),COLUMN(L122))-1)</f>
        <v/>
      </c>
      <c r="AI123" s="75" t="str" cm="1">
        <f t="array" ref="AI123">MID(";"&amp;'CASE DATA'!$F123&amp;";",SMALL(IF(ISERROR(SEARCH(MID(";"&amp;'CASE DATA'!$F123&amp;";",ROW($1:$99),1),";")),"",ROW($1:$99)+1),COLUMN(M123)),SMALL(IF(ISERROR(SEARCH(MID(";"&amp;'CASE DATA'!$F123&amp;";",ROW($1:$99),1),";")),"",ROW($1:$99)),COLUMN(M122)+1)-SMALL(IF(ISERROR(SEARCH(MID(";"&amp;'CASE DATA'!$F123&amp;";",ROW($1:$99),1),";")),"",ROW($1:$99)),COLUMN(M122))-1)</f>
        <v/>
      </c>
      <c r="BO123" s="99"/>
      <c r="BP123" s="99"/>
      <c r="BQ123" s="99"/>
      <c r="BR123" s="99"/>
      <c r="BS123" s="99"/>
      <c r="BT123" s="99"/>
      <c r="BU123" s="99"/>
      <c r="BV123" s="99"/>
      <c r="BW123" s="99"/>
      <c r="BX123" s="99"/>
      <c r="BY123" s="99"/>
      <c r="BZ123" s="99"/>
      <c r="CA123" s="99"/>
      <c r="CB123" s="99"/>
      <c r="CC123" s="99"/>
      <c r="CD123" s="99"/>
      <c r="CE123" s="99"/>
      <c r="CF123" s="99"/>
      <c r="CG123" s="99"/>
      <c r="CH123" s="99"/>
      <c r="CI123" s="99"/>
      <c r="CJ123" s="99"/>
      <c r="CK123" s="99"/>
      <c r="CL123" s="99"/>
      <c r="CM123" s="99"/>
      <c r="CN123" s="99"/>
      <c r="CO123" s="99"/>
      <c r="CP123" s="99"/>
      <c r="CQ123" s="99"/>
      <c r="CR123" s="99"/>
      <c r="CS123" s="99"/>
      <c r="CT123" s="99"/>
      <c r="CU123" s="99"/>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99"/>
      <c r="EE123" s="99"/>
      <c r="EF123" s="99"/>
      <c r="EG123" s="99"/>
      <c r="EH123" s="99"/>
      <c r="EI123" s="99"/>
      <c r="EJ123" s="99"/>
      <c r="EK123" s="99"/>
      <c r="EL123" s="99"/>
      <c r="EM123" s="99"/>
      <c r="EN123" s="99"/>
      <c r="EO123" s="99"/>
      <c r="EP123" s="99"/>
      <c r="EQ123" s="99"/>
      <c r="ER123" s="99"/>
      <c r="ES123" s="99"/>
      <c r="ET123" s="99"/>
      <c r="EU123" s="99"/>
      <c r="EV123" s="99"/>
      <c r="EW123" s="99"/>
      <c r="EX123" s="99"/>
      <c r="EY123" s="99"/>
      <c r="EZ123" s="99"/>
      <c r="FA123" s="99"/>
      <c r="FB123" s="99"/>
      <c r="FC123" s="99"/>
      <c r="FD123" s="99"/>
      <c r="FE123" s="99"/>
      <c r="FF123" s="99"/>
      <c r="FG123" s="99"/>
      <c r="FH123" s="99"/>
      <c r="FI123" s="99"/>
      <c r="FJ123" s="99"/>
      <c r="FK123" s="99"/>
    </row>
    <row r="124" spans="3:167" x14ac:dyDescent="0.25">
      <c r="C124" s="10"/>
      <c r="D124" s="10"/>
      <c r="E124" s="11"/>
      <c r="F124" s="15"/>
      <c r="J124" s="99">
        <v>121</v>
      </c>
      <c r="K124" s="16"/>
      <c r="L124" s="16"/>
      <c r="M124" s="16"/>
      <c r="N124" s="16"/>
      <c r="O124" s="16"/>
      <c r="P124" s="16"/>
      <c r="Q124" s="16"/>
      <c r="R124" s="16"/>
      <c r="S124" s="16"/>
      <c r="T124" s="16"/>
      <c r="U124" s="73">
        <f>SUM(K124:T124)</f>
        <v>0</v>
      </c>
      <c r="V124" s="73"/>
      <c r="X124" s="75" t="str" cm="1">
        <f t="array" ref="X124">MID(";"&amp;'CASE DATA'!$F124&amp;";",SMALL(IF(ISERROR(SEARCH(MID(";"&amp;'CASE DATA'!$F124&amp;";",ROW($1:$99),1),";")),"",ROW($1:$99)+1),COLUMN(A124)),SMALL(IF(ISERROR(SEARCH(MID(";"&amp;'CASE DATA'!$F124&amp;";",ROW($1:$99),1),";")),"",ROW($1:$99)),COLUMN(A123)+1)-SMALL(IF(ISERROR(SEARCH(MID(";"&amp;'CASE DATA'!$F124&amp;";",ROW($1:$99),1),";")),"",ROW($1:$99)),COLUMN(A123))-1)</f>
        <v/>
      </c>
      <c r="Y124" s="75" t="str" cm="1">
        <f t="array" ref="Y124">MID(";"&amp;'CASE DATA'!$F124&amp;";",SMALL(IF(ISERROR(SEARCH(MID(";"&amp;'CASE DATA'!$F124&amp;";",ROW($1:$99),1),";")),"",ROW($1:$99)+1),COLUMN(B124)),SMALL(IF(ISERROR(SEARCH(MID(";"&amp;'CASE DATA'!$F124&amp;";",ROW($1:$99),1),";")),"",ROW($1:$99)),COLUMN(B123)+1)-SMALL(IF(ISERROR(SEARCH(MID(";"&amp;'CASE DATA'!$F124&amp;";",ROW($1:$99),1),";")),"",ROW($1:$99)),COLUMN(B123))-1)</f>
        <v/>
      </c>
      <c r="Z124" s="75" t="str" cm="1">
        <f t="array" ref="Z124">MID(";"&amp;'CASE DATA'!$F124&amp;";",SMALL(IF(ISERROR(SEARCH(MID(";"&amp;'CASE DATA'!$F124&amp;";",ROW($1:$99),1),";")),"",ROW($1:$99)+1),COLUMN(C124)),SMALL(IF(ISERROR(SEARCH(MID(";"&amp;'CASE DATA'!$F124&amp;";",ROW($1:$99),1),";")),"",ROW($1:$99)),COLUMN(C123)+1)-SMALL(IF(ISERROR(SEARCH(MID(";"&amp;'CASE DATA'!$F124&amp;";",ROW($1:$99),1),";")),"",ROW($1:$99)),COLUMN(C123))-1)</f>
        <v/>
      </c>
      <c r="AA124" s="75" t="str" cm="1">
        <f t="array" ref="AA124">MID(";"&amp;'CASE DATA'!$F124&amp;";",SMALL(IF(ISERROR(SEARCH(MID(";"&amp;'CASE DATA'!$F124&amp;";",ROW($1:$99),1),";")),"",ROW($1:$99)+1),COLUMN(D124)),SMALL(IF(ISERROR(SEARCH(MID(";"&amp;'CASE DATA'!$F124&amp;";",ROW($1:$99),1),";")),"",ROW($1:$99)),COLUMN(D123)+1)-SMALL(IF(ISERROR(SEARCH(MID(";"&amp;'CASE DATA'!$F124&amp;";",ROW($1:$99),1),";")),"",ROW($1:$99)),COLUMN(D123))-1)</f>
        <v/>
      </c>
      <c r="AB124" s="75" t="str" cm="1">
        <f t="array" ref="AB124">MID(";"&amp;'CASE DATA'!$F124&amp;";",SMALL(IF(ISERROR(SEARCH(MID(";"&amp;'CASE DATA'!$F124&amp;";",ROW($1:$99),1),";")),"",ROW($1:$99)+1),COLUMN(E124)),SMALL(IF(ISERROR(SEARCH(MID(";"&amp;'CASE DATA'!$F124&amp;";",ROW($1:$99),1),";")),"",ROW($1:$99)),COLUMN(E123)+1)-SMALL(IF(ISERROR(SEARCH(MID(";"&amp;'CASE DATA'!$F124&amp;";",ROW($1:$99),1),";")),"",ROW($1:$99)),COLUMN(E123))-1)</f>
        <v/>
      </c>
      <c r="AC124" s="75" t="str" cm="1">
        <f t="array" ref="AC124">MID(";"&amp;'CASE DATA'!$F124&amp;";",SMALL(IF(ISERROR(SEARCH(MID(";"&amp;'CASE DATA'!$F124&amp;";",ROW($1:$99),1),";")),"",ROW($1:$99)+1),COLUMN(F124)),SMALL(IF(ISERROR(SEARCH(MID(";"&amp;'CASE DATA'!$F124&amp;";",ROW($1:$99),1),";")),"",ROW($1:$99)),COLUMN(F123)+1)-SMALL(IF(ISERROR(SEARCH(MID(";"&amp;'CASE DATA'!$F124&amp;";",ROW($1:$99),1),";")),"",ROW($1:$99)),COLUMN(F123))-1)</f>
        <v/>
      </c>
      <c r="AD124" s="75" t="str" cm="1">
        <f t="array" ref="AD124">MID(";"&amp;'CASE DATA'!$F124&amp;";",SMALL(IF(ISERROR(SEARCH(MID(";"&amp;'CASE DATA'!$F124&amp;";",ROW($1:$99),1),";")),"",ROW($1:$99)+1),COLUMN(G124)),SMALL(IF(ISERROR(SEARCH(MID(";"&amp;'CASE DATA'!$F124&amp;";",ROW($1:$99),1),";")),"",ROW($1:$99)),COLUMN(G123)+1)-SMALL(IF(ISERROR(SEARCH(MID(";"&amp;'CASE DATA'!$F124&amp;";",ROW($1:$99),1),";")),"",ROW($1:$99)),COLUMN(G123))-1)</f>
        <v/>
      </c>
      <c r="AE124" s="75" t="str" cm="1">
        <f t="array" ref="AE124">MID(";"&amp;'CASE DATA'!$F124&amp;";",SMALL(IF(ISERROR(SEARCH(MID(";"&amp;'CASE DATA'!$F124&amp;";",ROW($1:$99),1),";")),"",ROW($1:$99)+1),COLUMN(H124)),SMALL(IF(ISERROR(SEARCH(MID(";"&amp;'CASE DATA'!$F124&amp;";",ROW($1:$99),1),";")),"",ROW($1:$99)),COLUMN(H123)+1)-SMALL(IF(ISERROR(SEARCH(MID(";"&amp;'CASE DATA'!$F124&amp;";",ROW($1:$99),1),";")),"",ROW($1:$99)),COLUMN(H123))-1)</f>
        <v/>
      </c>
      <c r="AF124" s="75" t="str" cm="1">
        <f t="array" ref="AF124">MID(";"&amp;'CASE DATA'!$F124&amp;";",SMALL(IF(ISERROR(SEARCH(MID(";"&amp;'CASE DATA'!$F124&amp;";",ROW($1:$99),1),";")),"",ROW($1:$99)+1),COLUMN(I124)),SMALL(IF(ISERROR(SEARCH(MID(";"&amp;'CASE DATA'!$F124&amp;";",ROW($1:$99),1),";")),"",ROW($1:$99)),COLUMN(I123)+1)-SMALL(IF(ISERROR(SEARCH(MID(";"&amp;'CASE DATA'!$F124&amp;";",ROW($1:$99),1),";")),"",ROW($1:$99)),COLUMN(I123))-1)</f>
        <v/>
      </c>
      <c r="AG124" s="75" t="str" cm="1">
        <f t="array" ref="AG124">MID(";"&amp;'CASE DATA'!$F124&amp;";",SMALL(IF(ISERROR(SEARCH(MID(";"&amp;'CASE DATA'!$F124&amp;";",ROW($1:$99),1),";")),"",ROW($1:$99)+1),COLUMN(K124)),SMALL(IF(ISERROR(SEARCH(MID(";"&amp;'CASE DATA'!$F124&amp;";",ROW($1:$99),1),";")),"",ROW($1:$99)),COLUMN(K123)+1)-SMALL(IF(ISERROR(SEARCH(MID(";"&amp;'CASE DATA'!$F124&amp;";",ROW($1:$99),1),";")),"",ROW($1:$99)),COLUMN(K123))-1)</f>
        <v/>
      </c>
      <c r="AH124" s="75" t="str" cm="1">
        <f t="array" ref="AH124">MID(";"&amp;'CASE DATA'!$F124&amp;";",SMALL(IF(ISERROR(SEARCH(MID(";"&amp;'CASE DATA'!$F124&amp;";",ROW($1:$99),1),";")),"",ROW($1:$99)+1),COLUMN(L124)),SMALL(IF(ISERROR(SEARCH(MID(";"&amp;'CASE DATA'!$F124&amp;";",ROW($1:$99),1),";")),"",ROW($1:$99)),COLUMN(L123)+1)-SMALL(IF(ISERROR(SEARCH(MID(";"&amp;'CASE DATA'!$F124&amp;";",ROW($1:$99),1),";")),"",ROW($1:$99)),COLUMN(L123))-1)</f>
        <v/>
      </c>
      <c r="AI124" s="75" t="str" cm="1">
        <f t="array" ref="AI124">MID(";"&amp;'CASE DATA'!$F124&amp;";",SMALL(IF(ISERROR(SEARCH(MID(";"&amp;'CASE DATA'!$F124&amp;";",ROW($1:$99),1),";")),"",ROW($1:$99)+1),COLUMN(M124)),SMALL(IF(ISERROR(SEARCH(MID(";"&amp;'CASE DATA'!$F124&amp;";",ROW($1:$99),1),";")),"",ROW($1:$99)),COLUMN(M123)+1)-SMALL(IF(ISERROR(SEARCH(MID(";"&amp;'CASE DATA'!$F124&amp;";",ROW($1:$99),1),";")),"",ROW($1:$99)),COLUMN(M123))-1)</f>
        <v/>
      </c>
      <c r="BO124" s="99"/>
      <c r="BP124" s="99"/>
      <c r="BQ124" s="99"/>
      <c r="BR124" s="99"/>
      <c r="BS124" s="99"/>
      <c r="BT124" s="99"/>
      <c r="BU124" s="99"/>
      <c r="BV124" s="99"/>
      <c r="BW124" s="99"/>
      <c r="BX124" s="99"/>
      <c r="BY124" s="99"/>
      <c r="BZ124" s="99"/>
      <c r="CA124" s="99"/>
      <c r="CB124" s="99"/>
      <c r="CC124" s="99"/>
      <c r="CD124" s="99"/>
      <c r="CE124" s="99"/>
      <c r="CF124" s="99"/>
      <c r="CG124" s="99"/>
      <c r="CH124" s="99"/>
      <c r="CI124" s="99"/>
      <c r="CJ124" s="99"/>
      <c r="CK124" s="99"/>
      <c r="CL124" s="99"/>
      <c r="CM124" s="99"/>
      <c r="CN124" s="99"/>
      <c r="CO124" s="99"/>
      <c r="CP124" s="99"/>
      <c r="CQ124" s="99"/>
      <c r="CR124" s="99"/>
      <c r="CS124" s="99"/>
      <c r="CT124" s="99"/>
      <c r="CU124" s="99"/>
      <c r="CV124" s="99"/>
      <c r="CW124" s="99"/>
      <c r="CX124" s="99"/>
      <c r="CY124" s="99"/>
      <c r="CZ124" s="99"/>
      <c r="DA124" s="99"/>
      <c r="DB124" s="99"/>
      <c r="DC124" s="99"/>
      <c r="DD124" s="99"/>
      <c r="DE124" s="99"/>
      <c r="DF124" s="99"/>
      <c r="DG124" s="99"/>
      <c r="DH124" s="99"/>
      <c r="DI124" s="99"/>
      <c r="DJ124" s="99"/>
      <c r="DK124" s="99"/>
      <c r="DL124" s="99"/>
      <c r="DM124" s="99"/>
      <c r="DN124" s="99"/>
      <c r="DO124" s="99"/>
      <c r="DP124" s="99"/>
      <c r="DQ124" s="99"/>
      <c r="DR124" s="99"/>
      <c r="DS124" s="99"/>
      <c r="DT124" s="99"/>
      <c r="DU124" s="99"/>
      <c r="DV124" s="99"/>
      <c r="DW124" s="99"/>
      <c r="DX124" s="99"/>
      <c r="DY124" s="99"/>
      <c r="DZ124" s="99"/>
      <c r="EA124" s="99"/>
      <c r="EB124" s="99"/>
      <c r="EC124" s="99"/>
      <c r="ED124" s="99"/>
      <c r="EE124" s="99"/>
      <c r="EF124" s="99"/>
      <c r="EG124" s="99"/>
      <c r="EH124" s="99"/>
      <c r="EI124" s="99"/>
      <c r="EJ124" s="99"/>
      <c r="EK124" s="99"/>
      <c r="EL124" s="99"/>
      <c r="EM124" s="99"/>
      <c r="EN124" s="99"/>
      <c r="EO124" s="99"/>
      <c r="EP124" s="99"/>
      <c r="EQ124" s="99"/>
      <c r="ER124" s="99"/>
      <c r="ES124" s="99"/>
      <c r="ET124" s="99"/>
      <c r="EU124" s="99"/>
      <c r="EV124" s="99"/>
      <c r="EW124" s="99"/>
      <c r="EX124" s="99"/>
      <c r="EY124" s="99"/>
      <c r="EZ124" s="99"/>
      <c r="FA124" s="99"/>
      <c r="FB124" s="99"/>
      <c r="FC124" s="99"/>
      <c r="FD124" s="99"/>
      <c r="FE124" s="99"/>
      <c r="FF124" s="99"/>
      <c r="FG124" s="99"/>
      <c r="FH124" s="99"/>
      <c r="FI124" s="99"/>
      <c r="FJ124" s="99"/>
      <c r="FK124" s="99"/>
    </row>
    <row r="125" spans="3:167" x14ac:dyDescent="0.25">
      <c r="C125" s="10"/>
      <c r="D125" s="10"/>
      <c r="E125" s="11"/>
      <c r="F125" s="15"/>
      <c r="J125" s="99">
        <v>122</v>
      </c>
      <c r="K125" s="16"/>
      <c r="L125" s="16"/>
      <c r="M125" s="16"/>
      <c r="N125" s="16"/>
      <c r="O125" s="16"/>
      <c r="P125" s="16"/>
      <c r="Q125" s="16"/>
      <c r="R125" s="16"/>
      <c r="S125" s="16"/>
      <c r="T125" s="16"/>
      <c r="U125" s="73">
        <f>SUM(K125:T125)</f>
        <v>0</v>
      </c>
      <c r="V125" s="73"/>
      <c r="X125" s="75" t="str" cm="1">
        <f t="array" ref="X125">MID(";"&amp;'CASE DATA'!$F125&amp;";",SMALL(IF(ISERROR(SEARCH(MID(";"&amp;'CASE DATA'!$F125&amp;";",ROW($1:$99),1),";")),"",ROW($1:$99)+1),COLUMN(A125)),SMALL(IF(ISERROR(SEARCH(MID(";"&amp;'CASE DATA'!$F125&amp;";",ROW($1:$99),1),";")),"",ROW($1:$99)),COLUMN(A124)+1)-SMALL(IF(ISERROR(SEARCH(MID(";"&amp;'CASE DATA'!$F125&amp;";",ROW($1:$99),1),";")),"",ROW($1:$99)),COLUMN(A124))-1)</f>
        <v/>
      </c>
      <c r="Y125" s="75" t="str" cm="1">
        <f t="array" ref="Y125">MID(";"&amp;'CASE DATA'!$F125&amp;";",SMALL(IF(ISERROR(SEARCH(MID(";"&amp;'CASE DATA'!$F125&amp;";",ROW($1:$99),1),";")),"",ROW($1:$99)+1),COLUMN(B125)),SMALL(IF(ISERROR(SEARCH(MID(";"&amp;'CASE DATA'!$F125&amp;";",ROW($1:$99),1),";")),"",ROW($1:$99)),COLUMN(B124)+1)-SMALL(IF(ISERROR(SEARCH(MID(";"&amp;'CASE DATA'!$F125&amp;";",ROW($1:$99),1),";")),"",ROW($1:$99)),COLUMN(B124))-1)</f>
        <v/>
      </c>
      <c r="Z125" s="75" t="str" cm="1">
        <f t="array" ref="Z125">MID(";"&amp;'CASE DATA'!$F125&amp;";",SMALL(IF(ISERROR(SEARCH(MID(";"&amp;'CASE DATA'!$F125&amp;";",ROW($1:$99),1),";")),"",ROW($1:$99)+1),COLUMN(C125)),SMALL(IF(ISERROR(SEARCH(MID(";"&amp;'CASE DATA'!$F125&amp;";",ROW($1:$99),1),";")),"",ROW($1:$99)),COLUMN(C124)+1)-SMALL(IF(ISERROR(SEARCH(MID(";"&amp;'CASE DATA'!$F125&amp;";",ROW($1:$99),1),";")),"",ROW($1:$99)),COLUMN(C124))-1)</f>
        <v/>
      </c>
      <c r="AA125" s="75" t="str" cm="1">
        <f t="array" ref="AA125">MID(";"&amp;'CASE DATA'!$F125&amp;";",SMALL(IF(ISERROR(SEARCH(MID(";"&amp;'CASE DATA'!$F125&amp;";",ROW($1:$99),1),";")),"",ROW($1:$99)+1),COLUMN(D125)),SMALL(IF(ISERROR(SEARCH(MID(";"&amp;'CASE DATA'!$F125&amp;";",ROW($1:$99),1),";")),"",ROW($1:$99)),COLUMN(D124)+1)-SMALL(IF(ISERROR(SEARCH(MID(";"&amp;'CASE DATA'!$F125&amp;";",ROW($1:$99),1),";")),"",ROW($1:$99)),COLUMN(D124))-1)</f>
        <v/>
      </c>
      <c r="AB125" s="75" t="str" cm="1">
        <f t="array" ref="AB125">MID(";"&amp;'CASE DATA'!$F125&amp;";",SMALL(IF(ISERROR(SEARCH(MID(";"&amp;'CASE DATA'!$F125&amp;";",ROW($1:$99),1),";")),"",ROW($1:$99)+1),COLUMN(E125)),SMALL(IF(ISERROR(SEARCH(MID(";"&amp;'CASE DATA'!$F125&amp;";",ROW($1:$99),1),";")),"",ROW($1:$99)),COLUMN(E124)+1)-SMALL(IF(ISERROR(SEARCH(MID(";"&amp;'CASE DATA'!$F125&amp;";",ROW($1:$99),1),";")),"",ROW($1:$99)),COLUMN(E124))-1)</f>
        <v/>
      </c>
      <c r="AC125" s="75" t="str" cm="1">
        <f t="array" ref="AC125">MID(";"&amp;'CASE DATA'!$F125&amp;";",SMALL(IF(ISERROR(SEARCH(MID(";"&amp;'CASE DATA'!$F125&amp;";",ROW($1:$99),1),";")),"",ROW($1:$99)+1),COLUMN(F125)),SMALL(IF(ISERROR(SEARCH(MID(";"&amp;'CASE DATA'!$F125&amp;";",ROW($1:$99),1),";")),"",ROW($1:$99)),COLUMN(F124)+1)-SMALL(IF(ISERROR(SEARCH(MID(";"&amp;'CASE DATA'!$F125&amp;";",ROW($1:$99),1),";")),"",ROW($1:$99)),COLUMN(F124))-1)</f>
        <v/>
      </c>
      <c r="AD125" s="75" t="str" cm="1">
        <f t="array" ref="AD125">MID(";"&amp;'CASE DATA'!$F125&amp;";",SMALL(IF(ISERROR(SEARCH(MID(";"&amp;'CASE DATA'!$F125&amp;";",ROW($1:$99),1),";")),"",ROW($1:$99)+1),COLUMN(G125)),SMALL(IF(ISERROR(SEARCH(MID(";"&amp;'CASE DATA'!$F125&amp;";",ROW($1:$99),1),";")),"",ROW($1:$99)),COLUMN(G124)+1)-SMALL(IF(ISERROR(SEARCH(MID(";"&amp;'CASE DATA'!$F125&amp;";",ROW($1:$99),1),";")),"",ROW($1:$99)),COLUMN(G124))-1)</f>
        <v/>
      </c>
      <c r="AE125" s="75" t="str" cm="1">
        <f t="array" ref="AE125">MID(";"&amp;'CASE DATA'!$F125&amp;";",SMALL(IF(ISERROR(SEARCH(MID(";"&amp;'CASE DATA'!$F125&amp;";",ROW($1:$99),1),";")),"",ROW($1:$99)+1),COLUMN(H125)),SMALL(IF(ISERROR(SEARCH(MID(";"&amp;'CASE DATA'!$F125&amp;";",ROW($1:$99),1),";")),"",ROW($1:$99)),COLUMN(H124)+1)-SMALL(IF(ISERROR(SEARCH(MID(";"&amp;'CASE DATA'!$F125&amp;";",ROW($1:$99),1),";")),"",ROW($1:$99)),COLUMN(H124))-1)</f>
        <v/>
      </c>
      <c r="AF125" s="75" t="str" cm="1">
        <f t="array" ref="AF125">MID(";"&amp;'CASE DATA'!$F125&amp;";",SMALL(IF(ISERROR(SEARCH(MID(";"&amp;'CASE DATA'!$F125&amp;";",ROW($1:$99),1),";")),"",ROW($1:$99)+1),COLUMN(I125)),SMALL(IF(ISERROR(SEARCH(MID(";"&amp;'CASE DATA'!$F125&amp;";",ROW($1:$99),1),";")),"",ROW($1:$99)),COLUMN(I124)+1)-SMALL(IF(ISERROR(SEARCH(MID(";"&amp;'CASE DATA'!$F125&amp;";",ROW($1:$99),1),";")),"",ROW($1:$99)),COLUMN(I124))-1)</f>
        <v/>
      </c>
      <c r="AG125" s="75" t="str" cm="1">
        <f t="array" ref="AG125">MID(";"&amp;'CASE DATA'!$F125&amp;";",SMALL(IF(ISERROR(SEARCH(MID(";"&amp;'CASE DATA'!$F125&amp;";",ROW($1:$99),1),";")),"",ROW($1:$99)+1),COLUMN(K125)),SMALL(IF(ISERROR(SEARCH(MID(";"&amp;'CASE DATA'!$F125&amp;";",ROW($1:$99),1),";")),"",ROW($1:$99)),COLUMN(K124)+1)-SMALL(IF(ISERROR(SEARCH(MID(";"&amp;'CASE DATA'!$F125&amp;";",ROW($1:$99),1),";")),"",ROW($1:$99)),COLUMN(K124))-1)</f>
        <v/>
      </c>
      <c r="AH125" s="75" t="str" cm="1">
        <f t="array" ref="AH125">MID(";"&amp;'CASE DATA'!$F125&amp;";",SMALL(IF(ISERROR(SEARCH(MID(";"&amp;'CASE DATA'!$F125&amp;";",ROW($1:$99),1),";")),"",ROW($1:$99)+1),COLUMN(L125)),SMALL(IF(ISERROR(SEARCH(MID(";"&amp;'CASE DATA'!$F125&amp;";",ROW($1:$99),1),";")),"",ROW($1:$99)),COLUMN(L124)+1)-SMALL(IF(ISERROR(SEARCH(MID(";"&amp;'CASE DATA'!$F125&amp;";",ROW($1:$99),1),";")),"",ROW($1:$99)),COLUMN(L124))-1)</f>
        <v/>
      </c>
      <c r="AI125" s="75" t="str" cm="1">
        <f t="array" ref="AI125">MID(";"&amp;'CASE DATA'!$F125&amp;";",SMALL(IF(ISERROR(SEARCH(MID(";"&amp;'CASE DATA'!$F125&amp;";",ROW($1:$99),1),";")),"",ROW($1:$99)+1),COLUMN(M125)),SMALL(IF(ISERROR(SEARCH(MID(";"&amp;'CASE DATA'!$F125&amp;";",ROW($1:$99),1),";")),"",ROW($1:$99)),COLUMN(M124)+1)-SMALL(IF(ISERROR(SEARCH(MID(";"&amp;'CASE DATA'!$F125&amp;";",ROW($1:$99),1),";")),"",ROW($1:$99)),COLUMN(M124))-1)</f>
        <v/>
      </c>
      <c r="BO125" s="99"/>
      <c r="BP125" s="99"/>
      <c r="BQ125" s="99"/>
      <c r="BR125" s="99"/>
      <c r="BS125" s="99"/>
      <c r="BT125" s="99"/>
      <c r="BU125" s="99"/>
      <c r="BV125" s="99"/>
      <c r="BW125" s="99"/>
      <c r="BX125" s="99"/>
      <c r="BY125" s="99"/>
      <c r="BZ125" s="99"/>
      <c r="CA125" s="99"/>
      <c r="CB125" s="99"/>
      <c r="CC125" s="99"/>
      <c r="CD125" s="99"/>
      <c r="CE125" s="99"/>
      <c r="CF125" s="99"/>
      <c r="CG125" s="99"/>
      <c r="CH125" s="99"/>
      <c r="CI125" s="99"/>
      <c r="CJ125" s="99"/>
      <c r="CK125" s="99"/>
      <c r="CL125" s="99"/>
      <c r="CM125" s="99"/>
      <c r="CN125" s="99"/>
      <c r="CO125" s="99"/>
      <c r="CP125" s="99"/>
      <c r="CQ125" s="99"/>
      <c r="CR125" s="99"/>
      <c r="CS125" s="99"/>
      <c r="CT125" s="99"/>
      <c r="CU125" s="99"/>
      <c r="CV125" s="99"/>
      <c r="CW125" s="99"/>
      <c r="CX125" s="99"/>
      <c r="CY125" s="99"/>
      <c r="CZ125" s="99"/>
      <c r="DA125" s="99"/>
      <c r="DB125" s="99"/>
      <c r="DC125" s="99"/>
      <c r="DD125" s="99"/>
      <c r="DE125" s="99"/>
      <c r="DF125" s="99"/>
      <c r="DG125" s="99"/>
      <c r="DH125" s="99"/>
      <c r="DI125" s="99"/>
      <c r="DJ125" s="99"/>
      <c r="DK125" s="99"/>
      <c r="DL125" s="99"/>
      <c r="DM125" s="99"/>
      <c r="DN125" s="99"/>
      <c r="DO125" s="99"/>
      <c r="DP125" s="99"/>
      <c r="DQ125" s="99"/>
      <c r="DR125" s="99"/>
      <c r="DS125" s="99"/>
      <c r="DT125" s="99"/>
      <c r="DU125" s="99"/>
      <c r="DV125" s="99"/>
      <c r="DW125" s="99"/>
      <c r="DX125" s="99"/>
      <c r="DY125" s="99"/>
      <c r="DZ125" s="99"/>
      <c r="EA125" s="99"/>
      <c r="EB125" s="99"/>
      <c r="EC125" s="99"/>
      <c r="ED125" s="99"/>
      <c r="EE125" s="99"/>
      <c r="EF125" s="99"/>
      <c r="EG125" s="99"/>
      <c r="EH125" s="99"/>
      <c r="EI125" s="99"/>
      <c r="EJ125" s="99"/>
      <c r="EK125" s="99"/>
      <c r="EL125" s="99"/>
      <c r="EM125" s="99"/>
      <c r="EN125" s="99"/>
      <c r="EO125" s="99"/>
      <c r="EP125" s="99"/>
      <c r="EQ125" s="99"/>
      <c r="ER125" s="99"/>
      <c r="ES125" s="99"/>
      <c r="ET125" s="99"/>
      <c r="EU125" s="99"/>
      <c r="EV125" s="99"/>
      <c r="EW125" s="99"/>
      <c r="EX125" s="99"/>
      <c r="EY125" s="99"/>
      <c r="EZ125" s="99"/>
      <c r="FA125" s="99"/>
      <c r="FB125" s="99"/>
      <c r="FC125" s="99"/>
      <c r="FD125" s="99"/>
      <c r="FE125" s="99"/>
      <c r="FF125" s="99"/>
      <c r="FG125" s="99"/>
      <c r="FH125" s="99"/>
      <c r="FI125" s="99"/>
      <c r="FJ125" s="99"/>
      <c r="FK125" s="99"/>
    </row>
    <row r="126" spans="3:167" x14ac:dyDescent="0.25">
      <c r="C126" s="10"/>
      <c r="D126" s="10"/>
      <c r="E126" s="11"/>
      <c r="F126" s="15"/>
      <c r="J126" s="99">
        <v>123</v>
      </c>
      <c r="K126" s="16"/>
      <c r="L126" s="16"/>
      <c r="M126" s="16"/>
      <c r="N126" s="16"/>
      <c r="O126" s="16"/>
      <c r="P126" s="16"/>
      <c r="Q126" s="16"/>
      <c r="R126" s="16"/>
      <c r="S126" s="16"/>
      <c r="T126" s="16"/>
      <c r="U126" s="73">
        <f>SUM(K126:T126)</f>
        <v>0</v>
      </c>
      <c r="V126" s="73"/>
      <c r="X126" s="75" t="str" cm="1">
        <f t="array" ref="X126">MID(";"&amp;'CASE DATA'!$F126&amp;";",SMALL(IF(ISERROR(SEARCH(MID(";"&amp;'CASE DATA'!$F126&amp;";",ROW($1:$99),1),";")),"",ROW($1:$99)+1),COLUMN(A126)),SMALL(IF(ISERROR(SEARCH(MID(";"&amp;'CASE DATA'!$F126&amp;";",ROW($1:$99),1),";")),"",ROW($1:$99)),COLUMN(A125)+1)-SMALL(IF(ISERROR(SEARCH(MID(";"&amp;'CASE DATA'!$F126&amp;";",ROW($1:$99),1),";")),"",ROW($1:$99)),COLUMN(A125))-1)</f>
        <v/>
      </c>
      <c r="Y126" s="75" t="str" cm="1">
        <f t="array" ref="Y126">MID(";"&amp;'CASE DATA'!$F126&amp;";",SMALL(IF(ISERROR(SEARCH(MID(";"&amp;'CASE DATA'!$F126&amp;";",ROW($1:$99),1),";")),"",ROW($1:$99)+1),COLUMN(B126)),SMALL(IF(ISERROR(SEARCH(MID(";"&amp;'CASE DATA'!$F126&amp;";",ROW($1:$99),1),";")),"",ROW($1:$99)),COLUMN(B125)+1)-SMALL(IF(ISERROR(SEARCH(MID(";"&amp;'CASE DATA'!$F126&amp;";",ROW($1:$99),1),";")),"",ROW($1:$99)),COLUMN(B125))-1)</f>
        <v/>
      </c>
      <c r="Z126" s="75" t="str" cm="1">
        <f t="array" ref="Z126">MID(";"&amp;'CASE DATA'!$F126&amp;";",SMALL(IF(ISERROR(SEARCH(MID(";"&amp;'CASE DATA'!$F126&amp;";",ROW($1:$99),1),";")),"",ROW($1:$99)+1),COLUMN(C126)),SMALL(IF(ISERROR(SEARCH(MID(";"&amp;'CASE DATA'!$F126&amp;";",ROW($1:$99),1),";")),"",ROW($1:$99)),COLUMN(C125)+1)-SMALL(IF(ISERROR(SEARCH(MID(";"&amp;'CASE DATA'!$F126&amp;";",ROW($1:$99),1),";")),"",ROW($1:$99)),COLUMN(C125))-1)</f>
        <v/>
      </c>
      <c r="AA126" s="75" t="str" cm="1">
        <f t="array" ref="AA126">MID(";"&amp;'CASE DATA'!$F126&amp;";",SMALL(IF(ISERROR(SEARCH(MID(";"&amp;'CASE DATA'!$F126&amp;";",ROW($1:$99),1),";")),"",ROW($1:$99)+1),COLUMN(D126)),SMALL(IF(ISERROR(SEARCH(MID(";"&amp;'CASE DATA'!$F126&amp;";",ROW($1:$99),1),";")),"",ROW($1:$99)),COLUMN(D125)+1)-SMALL(IF(ISERROR(SEARCH(MID(";"&amp;'CASE DATA'!$F126&amp;";",ROW($1:$99),1),";")),"",ROW($1:$99)),COLUMN(D125))-1)</f>
        <v/>
      </c>
      <c r="AB126" s="75" t="str" cm="1">
        <f t="array" ref="AB126">MID(";"&amp;'CASE DATA'!$F126&amp;";",SMALL(IF(ISERROR(SEARCH(MID(";"&amp;'CASE DATA'!$F126&amp;";",ROW($1:$99),1),";")),"",ROW($1:$99)+1),COLUMN(E126)),SMALL(IF(ISERROR(SEARCH(MID(";"&amp;'CASE DATA'!$F126&amp;";",ROW($1:$99),1),";")),"",ROW($1:$99)),COLUMN(E125)+1)-SMALL(IF(ISERROR(SEARCH(MID(";"&amp;'CASE DATA'!$F126&amp;";",ROW($1:$99),1),";")),"",ROW($1:$99)),COLUMN(E125))-1)</f>
        <v/>
      </c>
      <c r="AC126" s="75" t="str" cm="1">
        <f t="array" ref="AC126">MID(";"&amp;'CASE DATA'!$F126&amp;";",SMALL(IF(ISERROR(SEARCH(MID(";"&amp;'CASE DATA'!$F126&amp;";",ROW($1:$99),1),";")),"",ROW($1:$99)+1),COLUMN(F126)),SMALL(IF(ISERROR(SEARCH(MID(";"&amp;'CASE DATA'!$F126&amp;";",ROW($1:$99),1),";")),"",ROW($1:$99)),COLUMN(F125)+1)-SMALL(IF(ISERROR(SEARCH(MID(";"&amp;'CASE DATA'!$F126&amp;";",ROW($1:$99),1),";")),"",ROW($1:$99)),COLUMN(F125))-1)</f>
        <v/>
      </c>
      <c r="AD126" s="75" t="str" cm="1">
        <f t="array" ref="AD126">MID(";"&amp;'CASE DATA'!$F126&amp;";",SMALL(IF(ISERROR(SEARCH(MID(";"&amp;'CASE DATA'!$F126&amp;";",ROW($1:$99),1),";")),"",ROW($1:$99)+1),COLUMN(G126)),SMALL(IF(ISERROR(SEARCH(MID(";"&amp;'CASE DATA'!$F126&amp;";",ROW($1:$99),1),";")),"",ROW($1:$99)),COLUMN(G125)+1)-SMALL(IF(ISERROR(SEARCH(MID(";"&amp;'CASE DATA'!$F126&amp;";",ROW($1:$99),1),";")),"",ROW($1:$99)),COLUMN(G125))-1)</f>
        <v/>
      </c>
      <c r="AE126" s="75" t="str" cm="1">
        <f t="array" ref="AE126">MID(";"&amp;'CASE DATA'!$F126&amp;";",SMALL(IF(ISERROR(SEARCH(MID(";"&amp;'CASE DATA'!$F126&amp;";",ROW($1:$99),1),";")),"",ROW($1:$99)+1),COLUMN(H126)),SMALL(IF(ISERROR(SEARCH(MID(";"&amp;'CASE DATA'!$F126&amp;";",ROW($1:$99),1),";")),"",ROW($1:$99)),COLUMN(H125)+1)-SMALL(IF(ISERROR(SEARCH(MID(";"&amp;'CASE DATA'!$F126&amp;";",ROW($1:$99),1),";")),"",ROW($1:$99)),COLUMN(H125))-1)</f>
        <v/>
      </c>
      <c r="AF126" s="75" t="str" cm="1">
        <f t="array" ref="AF126">MID(";"&amp;'CASE DATA'!$F126&amp;";",SMALL(IF(ISERROR(SEARCH(MID(";"&amp;'CASE DATA'!$F126&amp;";",ROW($1:$99),1),";")),"",ROW($1:$99)+1),COLUMN(I126)),SMALL(IF(ISERROR(SEARCH(MID(";"&amp;'CASE DATA'!$F126&amp;";",ROW($1:$99),1),";")),"",ROW($1:$99)),COLUMN(I125)+1)-SMALL(IF(ISERROR(SEARCH(MID(";"&amp;'CASE DATA'!$F126&amp;";",ROW($1:$99),1),";")),"",ROW($1:$99)),COLUMN(I125))-1)</f>
        <v/>
      </c>
      <c r="AG126" s="75" t="str" cm="1">
        <f t="array" ref="AG126">MID(";"&amp;'CASE DATA'!$F126&amp;";",SMALL(IF(ISERROR(SEARCH(MID(";"&amp;'CASE DATA'!$F126&amp;";",ROW($1:$99),1),";")),"",ROW($1:$99)+1),COLUMN(K126)),SMALL(IF(ISERROR(SEARCH(MID(";"&amp;'CASE DATA'!$F126&amp;";",ROW($1:$99),1),";")),"",ROW($1:$99)),COLUMN(K125)+1)-SMALL(IF(ISERROR(SEARCH(MID(";"&amp;'CASE DATA'!$F126&amp;";",ROW($1:$99),1),";")),"",ROW($1:$99)),COLUMN(K125))-1)</f>
        <v/>
      </c>
      <c r="AH126" s="75" t="str" cm="1">
        <f t="array" ref="AH126">MID(";"&amp;'CASE DATA'!$F126&amp;";",SMALL(IF(ISERROR(SEARCH(MID(";"&amp;'CASE DATA'!$F126&amp;";",ROW($1:$99),1),";")),"",ROW($1:$99)+1),COLUMN(L126)),SMALL(IF(ISERROR(SEARCH(MID(";"&amp;'CASE DATA'!$F126&amp;";",ROW($1:$99),1),";")),"",ROW($1:$99)),COLUMN(L125)+1)-SMALL(IF(ISERROR(SEARCH(MID(";"&amp;'CASE DATA'!$F126&amp;";",ROW($1:$99),1),";")),"",ROW($1:$99)),COLUMN(L125))-1)</f>
        <v/>
      </c>
      <c r="AI126" s="75" t="str" cm="1">
        <f t="array" ref="AI126">MID(";"&amp;'CASE DATA'!$F126&amp;";",SMALL(IF(ISERROR(SEARCH(MID(";"&amp;'CASE DATA'!$F126&amp;";",ROW($1:$99),1),";")),"",ROW($1:$99)+1),COLUMN(M126)),SMALL(IF(ISERROR(SEARCH(MID(";"&amp;'CASE DATA'!$F126&amp;";",ROW($1:$99),1),";")),"",ROW($1:$99)),COLUMN(M125)+1)-SMALL(IF(ISERROR(SEARCH(MID(";"&amp;'CASE DATA'!$F126&amp;";",ROW($1:$99),1),";")),"",ROW($1:$99)),COLUMN(M125))-1)</f>
        <v/>
      </c>
      <c r="BO126" s="99"/>
      <c r="BP126" s="99"/>
      <c r="BQ126" s="99"/>
      <c r="BR126" s="99"/>
      <c r="BS126" s="99"/>
      <c r="BT126" s="99"/>
      <c r="BU126" s="99"/>
      <c r="BV126" s="99"/>
      <c r="BW126" s="99"/>
      <c r="BX126" s="99"/>
      <c r="BY126" s="99"/>
      <c r="BZ126" s="99"/>
      <c r="CA126" s="99"/>
      <c r="CB126" s="99"/>
      <c r="CC126" s="99"/>
      <c r="CD126" s="99"/>
      <c r="CE126" s="99"/>
      <c r="CF126" s="99"/>
      <c r="CG126" s="99"/>
      <c r="CH126" s="99"/>
      <c r="CI126" s="99"/>
      <c r="CJ126" s="99"/>
      <c r="CK126" s="99"/>
      <c r="CL126" s="99"/>
      <c r="CM126" s="99"/>
      <c r="CN126" s="99"/>
      <c r="CO126" s="99"/>
      <c r="CP126" s="99"/>
      <c r="CQ126" s="99"/>
      <c r="CR126" s="99"/>
      <c r="CS126" s="99"/>
      <c r="CT126" s="99"/>
      <c r="CU126" s="99"/>
      <c r="CV126" s="99"/>
      <c r="CW126" s="99"/>
      <c r="CX126" s="99"/>
      <c r="CY126" s="99"/>
      <c r="CZ126" s="99"/>
      <c r="DA126" s="99"/>
      <c r="DB126" s="99"/>
      <c r="DC126" s="99"/>
      <c r="DD126" s="99"/>
      <c r="DE126" s="99"/>
      <c r="DF126" s="99"/>
      <c r="DG126" s="99"/>
      <c r="DH126" s="99"/>
      <c r="DI126" s="99"/>
      <c r="DJ126" s="99"/>
      <c r="DK126" s="99"/>
      <c r="DL126" s="99"/>
      <c r="DM126" s="99"/>
      <c r="DN126" s="99"/>
      <c r="DO126" s="99"/>
      <c r="DP126" s="99"/>
      <c r="DQ126" s="99"/>
      <c r="DR126" s="99"/>
      <c r="DS126" s="99"/>
      <c r="DT126" s="99"/>
      <c r="DU126" s="99"/>
      <c r="DV126" s="99"/>
      <c r="DW126" s="99"/>
      <c r="DX126" s="99"/>
      <c r="DY126" s="99"/>
      <c r="DZ126" s="99"/>
      <c r="EA126" s="99"/>
      <c r="EB126" s="99"/>
      <c r="EC126" s="99"/>
      <c r="ED126" s="99"/>
      <c r="EE126" s="99"/>
      <c r="EF126" s="99"/>
      <c r="EG126" s="99"/>
      <c r="EH126" s="99"/>
      <c r="EI126" s="99"/>
      <c r="EJ126" s="99"/>
      <c r="EK126" s="99"/>
      <c r="EL126" s="99"/>
      <c r="EM126" s="99"/>
      <c r="EN126" s="99"/>
      <c r="EO126" s="99"/>
      <c r="EP126" s="99"/>
      <c r="EQ126" s="99"/>
      <c r="ER126" s="99"/>
      <c r="ES126" s="99"/>
      <c r="ET126" s="99"/>
      <c r="EU126" s="99"/>
      <c r="EV126" s="99"/>
      <c r="EW126" s="99"/>
      <c r="EX126" s="99"/>
      <c r="EY126" s="99"/>
      <c r="EZ126" s="99"/>
      <c r="FA126" s="99"/>
      <c r="FB126" s="99"/>
      <c r="FC126" s="99"/>
      <c r="FD126" s="99"/>
      <c r="FE126" s="99"/>
      <c r="FF126" s="99"/>
      <c r="FG126" s="99"/>
      <c r="FH126" s="99"/>
      <c r="FI126" s="99"/>
      <c r="FJ126" s="99"/>
      <c r="FK126" s="99"/>
    </row>
    <row r="127" spans="3:167" x14ac:dyDescent="0.25">
      <c r="C127" s="10"/>
      <c r="D127" s="10"/>
      <c r="E127" s="11"/>
      <c r="F127" s="15"/>
      <c r="J127" s="99">
        <v>124</v>
      </c>
      <c r="K127" s="16"/>
      <c r="L127" s="16"/>
      <c r="M127" s="16"/>
      <c r="N127" s="16"/>
      <c r="O127" s="16"/>
      <c r="P127" s="16"/>
      <c r="Q127" s="16"/>
      <c r="R127" s="16"/>
      <c r="S127" s="16"/>
      <c r="T127" s="16"/>
      <c r="U127" s="73">
        <f>SUM(K127:T127)</f>
        <v>0</v>
      </c>
      <c r="V127" s="73"/>
      <c r="X127" s="75" t="str" cm="1">
        <f t="array" ref="X127">MID(";"&amp;'CASE DATA'!$F127&amp;";",SMALL(IF(ISERROR(SEARCH(MID(";"&amp;'CASE DATA'!$F127&amp;";",ROW($1:$99),1),";")),"",ROW($1:$99)+1),COLUMN(A127)),SMALL(IF(ISERROR(SEARCH(MID(";"&amp;'CASE DATA'!$F127&amp;";",ROW($1:$99),1),";")),"",ROW($1:$99)),COLUMN(A126)+1)-SMALL(IF(ISERROR(SEARCH(MID(";"&amp;'CASE DATA'!$F127&amp;";",ROW($1:$99),1),";")),"",ROW($1:$99)),COLUMN(A126))-1)</f>
        <v/>
      </c>
      <c r="Y127" s="75" t="str" cm="1">
        <f t="array" ref="Y127">MID(";"&amp;'CASE DATA'!$F127&amp;";",SMALL(IF(ISERROR(SEARCH(MID(";"&amp;'CASE DATA'!$F127&amp;";",ROW($1:$99),1),";")),"",ROW($1:$99)+1),COLUMN(B127)),SMALL(IF(ISERROR(SEARCH(MID(";"&amp;'CASE DATA'!$F127&amp;";",ROW($1:$99),1),";")),"",ROW($1:$99)),COLUMN(B126)+1)-SMALL(IF(ISERROR(SEARCH(MID(";"&amp;'CASE DATA'!$F127&amp;";",ROW($1:$99),1),";")),"",ROW($1:$99)),COLUMN(B126))-1)</f>
        <v/>
      </c>
      <c r="Z127" s="75" t="str" cm="1">
        <f t="array" ref="Z127">MID(";"&amp;'CASE DATA'!$F127&amp;";",SMALL(IF(ISERROR(SEARCH(MID(";"&amp;'CASE DATA'!$F127&amp;";",ROW($1:$99),1),";")),"",ROW($1:$99)+1),COLUMN(C127)),SMALL(IF(ISERROR(SEARCH(MID(";"&amp;'CASE DATA'!$F127&amp;";",ROW($1:$99),1),";")),"",ROW($1:$99)),COLUMN(C126)+1)-SMALL(IF(ISERROR(SEARCH(MID(";"&amp;'CASE DATA'!$F127&amp;";",ROW($1:$99),1),";")),"",ROW($1:$99)),COLUMN(C126))-1)</f>
        <v/>
      </c>
      <c r="AA127" s="75" t="str" cm="1">
        <f t="array" ref="AA127">MID(";"&amp;'CASE DATA'!$F127&amp;";",SMALL(IF(ISERROR(SEARCH(MID(";"&amp;'CASE DATA'!$F127&amp;";",ROW($1:$99),1),";")),"",ROW($1:$99)+1),COLUMN(D127)),SMALL(IF(ISERROR(SEARCH(MID(";"&amp;'CASE DATA'!$F127&amp;";",ROW($1:$99),1),";")),"",ROW($1:$99)),COLUMN(D126)+1)-SMALL(IF(ISERROR(SEARCH(MID(";"&amp;'CASE DATA'!$F127&amp;";",ROW($1:$99),1),";")),"",ROW($1:$99)),COLUMN(D126))-1)</f>
        <v/>
      </c>
      <c r="AB127" s="75" t="str" cm="1">
        <f t="array" ref="AB127">MID(";"&amp;'CASE DATA'!$F127&amp;";",SMALL(IF(ISERROR(SEARCH(MID(";"&amp;'CASE DATA'!$F127&amp;";",ROW($1:$99),1),";")),"",ROW($1:$99)+1),COLUMN(E127)),SMALL(IF(ISERROR(SEARCH(MID(";"&amp;'CASE DATA'!$F127&amp;";",ROW($1:$99),1),";")),"",ROW($1:$99)),COLUMN(E126)+1)-SMALL(IF(ISERROR(SEARCH(MID(";"&amp;'CASE DATA'!$F127&amp;";",ROW($1:$99),1),";")),"",ROW($1:$99)),COLUMN(E126))-1)</f>
        <v/>
      </c>
      <c r="AC127" s="75" t="str" cm="1">
        <f t="array" ref="AC127">MID(";"&amp;'CASE DATA'!$F127&amp;";",SMALL(IF(ISERROR(SEARCH(MID(";"&amp;'CASE DATA'!$F127&amp;";",ROW($1:$99),1),";")),"",ROW($1:$99)+1),COLUMN(F127)),SMALL(IF(ISERROR(SEARCH(MID(";"&amp;'CASE DATA'!$F127&amp;";",ROW($1:$99),1),";")),"",ROW($1:$99)),COLUMN(F126)+1)-SMALL(IF(ISERROR(SEARCH(MID(";"&amp;'CASE DATA'!$F127&amp;";",ROW($1:$99),1),";")),"",ROW($1:$99)),COLUMN(F126))-1)</f>
        <v/>
      </c>
      <c r="AD127" s="75" t="str" cm="1">
        <f t="array" ref="AD127">MID(";"&amp;'CASE DATA'!$F127&amp;";",SMALL(IF(ISERROR(SEARCH(MID(";"&amp;'CASE DATA'!$F127&amp;";",ROW($1:$99),1),";")),"",ROW($1:$99)+1),COLUMN(G127)),SMALL(IF(ISERROR(SEARCH(MID(";"&amp;'CASE DATA'!$F127&amp;";",ROW($1:$99),1),";")),"",ROW($1:$99)),COLUMN(G126)+1)-SMALL(IF(ISERROR(SEARCH(MID(";"&amp;'CASE DATA'!$F127&amp;";",ROW($1:$99),1),";")),"",ROW($1:$99)),COLUMN(G126))-1)</f>
        <v/>
      </c>
      <c r="AE127" s="75" t="str" cm="1">
        <f t="array" ref="AE127">MID(";"&amp;'CASE DATA'!$F127&amp;";",SMALL(IF(ISERROR(SEARCH(MID(";"&amp;'CASE DATA'!$F127&amp;";",ROW($1:$99),1),";")),"",ROW($1:$99)+1),COLUMN(H127)),SMALL(IF(ISERROR(SEARCH(MID(";"&amp;'CASE DATA'!$F127&amp;";",ROW($1:$99),1),";")),"",ROW($1:$99)),COLUMN(H126)+1)-SMALL(IF(ISERROR(SEARCH(MID(";"&amp;'CASE DATA'!$F127&amp;";",ROW($1:$99),1),";")),"",ROW($1:$99)),COLUMN(H126))-1)</f>
        <v/>
      </c>
      <c r="AF127" s="75" t="str" cm="1">
        <f t="array" ref="AF127">MID(";"&amp;'CASE DATA'!$F127&amp;";",SMALL(IF(ISERROR(SEARCH(MID(";"&amp;'CASE DATA'!$F127&amp;";",ROW($1:$99),1),";")),"",ROW($1:$99)+1),COLUMN(I127)),SMALL(IF(ISERROR(SEARCH(MID(";"&amp;'CASE DATA'!$F127&amp;";",ROW($1:$99),1),";")),"",ROW($1:$99)),COLUMN(I126)+1)-SMALL(IF(ISERROR(SEARCH(MID(";"&amp;'CASE DATA'!$F127&amp;";",ROW($1:$99),1),";")),"",ROW($1:$99)),COLUMN(I126))-1)</f>
        <v/>
      </c>
      <c r="AG127" s="75" t="str" cm="1">
        <f t="array" ref="AG127">MID(";"&amp;'CASE DATA'!$F127&amp;";",SMALL(IF(ISERROR(SEARCH(MID(";"&amp;'CASE DATA'!$F127&amp;";",ROW($1:$99),1),";")),"",ROW($1:$99)+1),COLUMN(K127)),SMALL(IF(ISERROR(SEARCH(MID(";"&amp;'CASE DATA'!$F127&amp;";",ROW($1:$99),1),";")),"",ROW($1:$99)),COLUMN(K126)+1)-SMALL(IF(ISERROR(SEARCH(MID(";"&amp;'CASE DATA'!$F127&amp;";",ROW($1:$99),1),";")),"",ROW($1:$99)),COLUMN(K126))-1)</f>
        <v/>
      </c>
      <c r="AH127" s="75" t="str" cm="1">
        <f t="array" ref="AH127">MID(";"&amp;'CASE DATA'!$F127&amp;";",SMALL(IF(ISERROR(SEARCH(MID(";"&amp;'CASE DATA'!$F127&amp;";",ROW($1:$99),1),";")),"",ROW($1:$99)+1),COLUMN(L127)),SMALL(IF(ISERROR(SEARCH(MID(";"&amp;'CASE DATA'!$F127&amp;";",ROW($1:$99),1),";")),"",ROW($1:$99)),COLUMN(L126)+1)-SMALL(IF(ISERROR(SEARCH(MID(";"&amp;'CASE DATA'!$F127&amp;";",ROW($1:$99),1),";")),"",ROW($1:$99)),COLUMN(L126))-1)</f>
        <v/>
      </c>
      <c r="AI127" s="75" t="str" cm="1">
        <f t="array" ref="AI127">MID(";"&amp;'CASE DATA'!$F127&amp;";",SMALL(IF(ISERROR(SEARCH(MID(";"&amp;'CASE DATA'!$F127&amp;";",ROW($1:$99),1),";")),"",ROW($1:$99)+1),COLUMN(M127)),SMALL(IF(ISERROR(SEARCH(MID(";"&amp;'CASE DATA'!$F127&amp;";",ROW($1:$99),1),";")),"",ROW($1:$99)),COLUMN(M126)+1)-SMALL(IF(ISERROR(SEARCH(MID(";"&amp;'CASE DATA'!$F127&amp;";",ROW($1:$99),1),";")),"",ROW($1:$99)),COLUMN(M126))-1)</f>
        <v/>
      </c>
      <c r="BO127" s="99"/>
      <c r="BP127" s="99"/>
      <c r="BQ127" s="99"/>
      <c r="BR127" s="99"/>
      <c r="BS127" s="99"/>
      <c r="BT127" s="99"/>
      <c r="BU127" s="99"/>
      <c r="BV127" s="99"/>
      <c r="BW127" s="99"/>
      <c r="BX127" s="99"/>
      <c r="BY127" s="99"/>
      <c r="BZ127" s="99"/>
      <c r="CA127" s="99"/>
      <c r="CB127" s="99"/>
      <c r="CC127" s="99"/>
      <c r="CD127" s="99"/>
      <c r="CE127" s="99"/>
      <c r="CF127" s="99"/>
      <c r="CG127" s="99"/>
      <c r="CH127" s="99"/>
      <c r="CI127" s="99"/>
      <c r="CJ127" s="99"/>
      <c r="CK127" s="99"/>
      <c r="CL127" s="99"/>
      <c r="CM127" s="99"/>
      <c r="CN127" s="99"/>
      <c r="CO127" s="99"/>
      <c r="CP127" s="99"/>
      <c r="CQ127" s="99"/>
      <c r="CR127" s="99"/>
      <c r="CS127" s="99"/>
      <c r="CT127" s="99"/>
      <c r="CU127" s="99"/>
      <c r="CV127" s="99"/>
      <c r="CW127" s="99"/>
      <c r="CX127" s="99"/>
      <c r="CY127" s="99"/>
      <c r="CZ127" s="99"/>
      <c r="DA127" s="99"/>
      <c r="DB127" s="99"/>
      <c r="DC127" s="99"/>
      <c r="DD127" s="99"/>
      <c r="DE127" s="99"/>
      <c r="DF127" s="99"/>
      <c r="DG127" s="99"/>
      <c r="DH127" s="99"/>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99"/>
      <c r="EE127" s="99"/>
      <c r="EF127" s="99"/>
      <c r="EG127" s="99"/>
      <c r="EH127" s="99"/>
      <c r="EI127" s="99"/>
      <c r="EJ127" s="99"/>
      <c r="EK127" s="99"/>
      <c r="EL127" s="99"/>
      <c r="EM127" s="99"/>
      <c r="EN127" s="99"/>
      <c r="EO127" s="99"/>
      <c r="EP127" s="99"/>
      <c r="EQ127" s="99"/>
      <c r="ER127" s="99"/>
      <c r="ES127" s="99"/>
      <c r="ET127" s="99"/>
      <c r="EU127" s="99"/>
      <c r="EV127" s="99"/>
      <c r="EW127" s="99"/>
      <c r="EX127" s="99"/>
      <c r="EY127" s="99"/>
      <c r="EZ127" s="99"/>
      <c r="FA127" s="99"/>
      <c r="FB127" s="99"/>
      <c r="FC127" s="99"/>
      <c r="FD127" s="99"/>
      <c r="FE127" s="99"/>
      <c r="FF127" s="99"/>
      <c r="FG127" s="99"/>
      <c r="FH127" s="99"/>
      <c r="FI127" s="99"/>
      <c r="FJ127" s="99"/>
      <c r="FK127" s="99"/>
    </row>
    <row r="128" spans="3:167" x14ac:dyDescent="0.25">
      <c r="C128" s="10"/>
      <c r="D128" s="10"/>
      <c r="E128" s="11"/>
      <c r="F128" s="15"/>
      <c r="J128" s="99">
        <v>125</v>
      </c>
      <c r="K128" s="16"/>
      <c r="L128" s="16"/>
      <c r="M128" s="16"/>
      <c r="N128" s="16"/>
      <c r="O128" s="16"/>
      <c r="P128" s="16"/>
      <c r="Q128" s="16"/>
      <c r="R128" s="16"/>
      <c r="S128" s="16"/>
      <c r="T128" s="16"/>
      <c r="U128" s="73">
        <f>SUM(K128:T128)</f>
        <v>0</v>
      </c>
      <c r="V128" s="73"/>
      <c r="X128" s="75" t="str" cm="1">
        <f t="array" ref="X128">MID(";"&amp;'CASE DATA'!$F128&amp;";",SMALL(IF(ISERROR(SEARCH(MID(";"&amp;'CASE DATA'!$F128&amp;";",ROW($1:$99),1),";")),"",ROW($1:$99)+1),COLUMN(A128)),SMALL(IF(ISERROR(SEARCH(MID(";"&amp;'CASE DATA'!$F128&amp;";",ROW($1:$99),1),";")),"",ROW($1:$99)),COLUMN(A127)+1)-SMALL(IF(ISERROR(SEARCH(MID(";"&amp;'CASE DATA'!$F128&amp;";",ROW($1:$99),1),";")),"",ROW($1:$99)),COLUMN(A127))-1)</f>
        <v/>
      </c>
      <c r="Y128" s="75" t="str" cm="1">
        <f t="array" ref="Y128">MID(";"&amp;'CASE DATA'!$F128&amp;";",SMALL(IF(ISERROR(SEARCH(MID(";"&amp;'CASE DATA'!$F128&amp;";",ROW($1:$99),1),";")),"",ROW($1:$99)+1),COLUMN(B128)),SMALL(IF(ISERROR(SEARCH(MID(";"&amp;'CASE DATA'!$F128&amp;";",ROW($1:$99),1),";")),"",ROW($1:$99)),COLUMN(B127)+1)-SMALL(IF(ISERROR(SEARCH(MID(";"&amp;'CASE DATA'!$F128&amp;";",ROW($1:$99),1),";")),"",ROW($1:$99)),COLUMN(B127))-1)</f>
        <v/>
      </c>
      <c r="Z128" s="75" t="str" cm="1">
        <f t="array" ref="Z128">MID(";"&amp;'CASE DATA'!$F128&amp;";",SMALL(IF(ISERROR(SEARCH(MID(";"&amp;'CASE DATA'!$F128&amp;";",ROW($1:$99),1),";")),"",ROW($1:$99)+1),COLUMN(C128)),SMALL(IF(ISERROR(SEARCH(MID(";"&amp;'CASE DATA'!$F128&amp;";",ROW($1:$99),1),";")),"",ROW($1:$99)),COLUMN(C127)+1)-SMALL(IF(ISERROR(SEARCH(MID(";"&amp;'CASE DATA'!$F128&amp;";",ROW($1:$99),1),";")),"",ROW($1:$99)),COLUMN(C127))-1)</f>
        <v/>
      </c>
      <c r="AA128" s="75" t="str" cm="1">
        <f t="array" ref="AA128">MID(";"&amp;'CASE DATA'!$F128&amp;";",SMALL(IF(ISERROR(SEARCH(MID(";"&amp;'CASE DATA'!$F128&amp;";",ROW($1:$99),1),";")),"",ROW($1:$99)+1),COLUMN(D128)),SMALL(IF(ISERROR(SEARCH(MID(";"&amp;'CASE DATA'!$F128&amp;";",ROW($1:$99),1),";")),"",ROW($1:$99)),COLUMN(D127)+1)-SMALL(IF(ISERROR(SEARCH(MID(";"&amp;'CASE DATA'!$F128&amp;";",ROW($1:$99),1),";")),"",ROW($1:$99)),COLUMN(D127))-1)</f>
        <v/>
      </c>
      <c r="AB128" s="75" t="str" cm="1">
        <f t="array" ref="AB128">MID(";"&amp;'CASE DATA'!$F128&amp;";",SMALL(IF(ISERROR(SEARCH(MID(";"&amp;'CASE DATA'!$F128&amp;";",ROW($1:$99),1),";")),"",ROW($1:$99)+1),COLUMN(E128)),SMALL(IF(ISERROR(SEARCH(MID(";"&amp;'CASE DATA'!$F128&amp;";",ROW($1:$99),1),";")),"",ROW($1:$99)),COLUMN(E127)+1)-SMALL(IF(ISERROR(SEARCH(MID(";"&amp;'CASE DATA'!$F128&amp;";",ROW($1:$99),1),";")),"",ROW($1:$99)),COLUMN(E127))-1)</f>
        <v/>
      </c>
      <c r="AC128" s="75" t="str" cm="1">
        <f t="array" ref="AC128">MID(";"&amp;'CASE DATA'!$F128&amp;";",SMALL(IF(ISERROR(SEARCH(MID(";"&amp;'CASE DATA'!$F128&amp;";",ROW($1:$99),1),";")),"",ROW($1:$99)+1),COLUMN(F128)),SMALL(IF(ISERROR(SEARCH(MID(";"&amp;'CASE DATA'!$F128&amp;";",ROW($1:$99),1),";")),"",ROW($1:$99)),COLUMN(F127)+1)-SMALL(IF(ISERROR(SEARCH(MID(";"&amp;'CASE DATA'!$F128&amp;";",ROW($1:$99),1),";")),"",ROW($1:$99)),COLUMN(F127))-1)</f>
        <v/>
      </c>
      <c r="AD128" s="75" t="str" cm="1">
        <f t="array" ref="AD128">MID(";"&amp;'CASE DATA'!$F128&amp;";",SMALL(IF(ISERROR(SEARCH(MID(";"&amp;'CASE DATA'!$F128&amp;";",ROW($1:$99),1),";")),"",ROW($1:$99)+1),COLUMN(G128)),SMALL(IF(ISERROR(SEARCH(MID(";"&amp;'CASE DATA'!$F128&amp;";",ROW($1:$99),1),";")),"",ROW($1:$99)),COLUMN(G127)+1)-SMALL(IF(ISERROR(SEARCH(MID(";"&amp;'CASE DATA'!$F128&amp;";",ROW($1:$99),1),";")),"",ROW($1:$99)),COLUMN(G127))-1)</f>
        <v/>
      </c>
      <c r="AE128" s="75" t="str" cm="1">
        <f t="array" ref="AE128">MID(";"&amp;'CASE DATA'!$F128&amp;";",SMALL(IF(ISERROR(SEARCH(MID(";"&amp;'CASE DATA'!$F128&amp;";",ROW($1:$99),1),";")),"",ROW($1:$99)+1),COLUMN(H128)),SMALL(IF(ISERROR(SEARCH(MID(";"&amp;'CASE DATA'!$F128&amp;";",ROW($1:$99),1),";")),"",ROW($1:$99)),COLUMN(H127)+1)-SMALL(IF(ISERROR(SEARCH(MID(";"&amp;'CASE DATA'!$F128&amp;";",ROW($1:$99),1),";")),"",ROW($1:$99)),COLUMN(H127))-1)</f>
        <v/>
      </c>
      <c r="AF128" s="75" t="str" cm="1">
        <f t="array" ref="AF128">MID(";"&amp;'CASE DATA'!$F128&amp;";",SMALL(IF(ISERROR(SEARCH(MID(";"&amp;'CASE DATA'!$F128&amp;";",ROW($1:$99),1),";")),"",ROW($1:$99)+1),COLUMN(I128)),SMALL(IF(ISERROR(SEARCH(MID(";"&amp;'CASE DATA'!$F128&amp;";",ROW($1:$99),1),";")),"",ROW($1:$99)),COLUMN(I127)+1)-SMALL(IF(ISERROR(SEARCH(MID(";"&amp;'CASE DATA'!$F128&amp;";",ROW($1:$99),1),";")),"",ROW($1:$99)),COLUMN(I127))-1)</f>
        <v/>
      </c>
      <c r="AG128" s="75" t="str" cm="1">
        <f t="array" ref="AG128">MID(";"&amp;'CASE DATA'!$F128&amp;";",SMALL(IF(ISERROR(SEARCH(MID(";"&amp;'CASE DATA'!$F128&amp;";",ROW($1:$99),1),";")),"",ROW($1:$99)+1),COLUMN(K128)),SMALL(IF(ISERROR(SEARCH(MID(";"&amp;'CASE DATA'!$F128&amp;";",ROW($1:$99),1),";")),"",ROW($1:$99)),COLUMN(K127)+1)-SMALL(IF(ISERROR(SEARCH(MID(";"&amp;'CASE DATA'!$F128&amp;";",ROW($1:$99),1),";")),"",ROW($1:$99)),COLUMN(K127))-1)</f>
        <v/>
      </c>
      <c r="AH128" s="75" t="str" cm="1">
        <f t="array" ref="AH128">MID(";"&amp;'CASE DATA'!$F128&amp;";",SMALL(IF(ISERROR(SEARCH(MID(";"&amp;'CASE DATA'!$F128&amp;";",ROW($1:$99),1),";")),"",ROW($1:$99)+1),COLUMN(L128)),SMALL(IF(ISERROR(SEARCH(MID(";"&amp;'CASE DATA'!$F128&amp;";",ROW($1:$99),1),";")),"",ROW($1:$99)),COLUMN(L127)+1)-SMALL(IF(ISERROR(SEARCH(MID(";"&amp;'CASE DATA'!$F128&amp;";",ROW($1:$99),1),";")),"",ROW($1:$99)),COLUMN(L127))-1)</f>
        <v/>
      </c>
      <c r="AI128" s="75" t="str" cm="1">
        <f t="array" ref="AI128">MID(";"&amp;'CASE DATA'!$F128&amp;";",SMALL(IF(ISERROR(SEARCH(MID(";"&amp;'CASE DATA'!$F128&amp;";",ROW($1:$99),1),";")),"",ROW($1:$99)+1),COLUMN(M128)),SMALL(IF(ISERROR(SEARCH(MID(";"&amp;'CASE DATA'!$F128&amp;";",ROW($1:$99),1),";")),"",ROW($1:$99)),COLUMN(M127)+1)-SMALL(IF(ISERROR(SEARCH(MID(";"&amp;'CASE DATA'!$F128&amp;";",ROW($1:$99),1),";")),"",ROW($1:$99)),COLUMN(M127))-1)</f>
        <v/>
      </c>
      <c r="BO128" s="99"/>
      <c r="BP128" s="99"/>
      <c r="BQ128" s="99"/>
      <c r="BR128" s="99"/>
      <c r="BS128" s="99"/>
      <c r="BT128" s="99"/>
      <c r="BU128" s="99"/>
      <c r="BV128" s="99"/>
      <c r="BW128" s="99"/>
      <c r="BX128" s="99"/>
      <c r="BY128" s="99"/>
      <c r="BZ128" s="99"/>
      <c r="CA128" s="99"/>
      <c r="CB128" s="99"/>
      <c r="CC128" s="99"/>
      <c r="CD128" s="99"/>
      <c r="CE128" s="99"/>
      <c r="CF128" s="99"/>
      <c r="CG128" s="99"/>
      <c r="CH128" s="99"/>
      <c r="CI128" s="99"/>
      <c r="CJ128" s="99"/>
      <c r="CK128" s="99"/>
      <c r="CL128" s="99"/>
      <c r="CM128" s="99"/>
      <c r="CN128" s="99"/>
      <c r="CO128" s="99"/>
      <c r="CP128" s="99"/>
      <c r="CQ128" s="99"/>
      <c r="CR128" s="99"/>
      <c r="CS128" s="99"/>
      <c r="CT128" s="99"/>
      <c r="CU128" s="99"/>
      <c r="CV128" s="99"/>
      <c r="CW128" s="99"/>
      <c r="CX128" s="99"/>
      <c r="CY128" s="99"/>
      <c r="CZ128" s="99"/>
      <c r="DA128" s="99"/>
      <c r="DB128" s="99"/>
      <c r="DC128" s="99"/>
      <c r="DD128" s="99"/>
      <c r="DE128" s="99"/>
      <c r="DF128" s="99"/>
      <c r="DG128" s="99"/>
      <c r="DH128" s="99"/>
      <c r="DI128" s="99"/>
      <c r="DJ128" s="99"/>
      <c r="DK128" s="99"/>
      <c r="DL128" s="99"/>
      <c r="DM128" s="99"/>
      <c r="DN128" s="99"/>
      <c r="DO128" s="99"/>
      <c r="DP128" s="99"/>
      <c r="DQ128" s="99"/>
      <c r="DR128" s="99"/>
      <c r="DS128" s="99"/>
      <c r="DT128" s="99"/>
      <c r="DU128" s="99"/>
      <c r="DV128" s="99"/>
      <c r="DW128" s="99"/>
      <c r="DX128" s="99"/>
      <c r="DY128" s="99"/>
      <c r="DZ128" s="99"/>
      <c r="EA128" s="99"/>
      <c r="EB128" s="99"/>
      <c r="EC128" s="99"/>
      <c r="ED128" s="99"/>
      <c r="EE128" s="99"/>
      <c r="EF128" s="99"/>
      <c r="EG128" s="99"/>
      <c r="EH128" s="99"/>
      <c r="EI128" s="99"/>
      <c r="EJ128" s="99"/>
      <c r="EK128" s="99"/>
      <c r="EL128" s="99"/>
      <c r="EM128" s="99"/>
      <c r="EN128" s="99"/>
      <c r="EO128" s="99"/>
      <c r="EP128" s="99"/>
      <c r="EQ128" s="99"/>
      <c r="ER128" s="99"/>
      <c r="ES128" s="99"/>
      <c r="ET128" s="99"/>
      <c r="EU128" s="99"/>
      <c r="EV128" s="99"/>
      <c r="EW128" s="99"/>
      <c r="EX128" s="99"/>
      <c r="EY128" s="99"/>
      <c r="EZ128" s="99"/>
      <c r="FA128" s="99"/>
      <c r="FB128" s="99"/>
      <c r="FC128" s="99"/>
      <c r="FD128" s="99"/>
      <c r="FE128" s="99"/>
      <c r="FF128" s="99"/>
      <c r="FG128" s="99"/>
      <c r="FH128" s="99"/>
      <c r="FI128" s="99"/>
      <c r="FJ128" s="99"/>
      <c r="FK128" s="99"/>
    </row>
    <row r="129" spans="3:167" x14ac:dyDescent="0.25">
      <c r="C129" s="10"/>
      <c r="D129" s="10"/>
      <c r="E129" s="11"/>
      <c r="F129" s="15"/>
      <c r="J129" s="99">
        <v>126</v>
      </c>
      <c r="K129" s="16"/>
      <c r="L129" s="16"/>
      <c r="M129" s="16"/>
      <c r="N129" s="16"/>
      <c r="O129" s="16"/>
      <c r="P129" s="16"/>
      <c r="Q129" s="16"/>
      <c r="R129" s="16"/>
      <c r="S129" s="16"/>
      <c r="T129" s="16"/>
      <c r="U129" s="73">
        <f>SUM(K129:T129)</f>
        <v>0</v>
      </c>
      <c r="V129" s="73"/>
      <c r="X129" s="75" t="str" cm="1">
        <f t="array" ref="X129">MID(";"&amp;'CASE DATA'!$F129&amp;";",SMALL(IF(ISERROR(SEARCH(MID(";"&amp;'CASE DATA'!$F129&amp;";",ROW($1:$99),1),";")),"",ROW($1:$99)+1),COLUMN(A129)),SMALL(IF(ISERROR(SEARCH(MID(";"&amp;'CASE DATA'!$F129&amp;";",ROW($1:$99),1),";")),"",ROW($1:$99)),COLUMN(A128)+1)-SMALL(IF(ISERROR(SEARCH(MID(";"&amp;'CASE DATA'!$F129&amp;";",ROW($1:$99),1),";")),"",ROW($1:$99)),COLUMN(A128))-1)</f>
        <v/>
      </c>
      <c r="Y129" s="75" t="str" cm="1">
        <f t="array" ref="Y129">MID(";"&amp;'CASE DATA'!$F129&amp;";",SMALL(IF(ISERROR(SEARCH(MID(";"&amp;'CASE DATA'!$F129&amp;";",ROW($1:$99),1),";")),"",ROW($1:$99)+1),COLUMN(B129)),SMALL(IF(ISERROR(SEARCH(MID(";"&amp;'CASE DATA'!$F129&amp;";",ROW($1:$99),1),";")),"",ROW($1:$99)),COLUMN(B128)+1)-SMALL(IF(ISERROR(SEARCH(MID(";"&amp;'CASE DATA'!$F129&amp;";",ROW($1:$99),1),";")),"",ROW($1:$99)),COLUMN(B128))-1)</f>
        <v/>
      </c>
      <c r="Z129" s="75" t="str" cm="1">
        <f t="array" ref="Z129">MID(";"&amp;'CASE DATA'!$F129&amp;";",SMALL(IF(ISERROR(SEARCH(MID(";"&amp;'CASE DATA'!$F129&amp;";",ROW($1:$99),1),";")),"",ROW($1:$99)+1),COLUMN(C129)),SMALL(IF(ISERROR(SEARCH(MID(";"&amp;'CASE DATA'!$F129&amp;";",ROW($1:$99),1),";")),"",ROW($1:$99)),COLUMN(C128)+1)-SMALL(IF(ISERROR(SEARCH(MID(";"&amp;'CASE DATA'!$F129&amp;";",ROW($1:$99),1),";")),"",ROW($1:$99)),COLUMN(C128))-1)</f>
        <v/>
      </c>
      <c r="AA129" s="75" t="str" cm="1">
        <f t="array" ref="AA129">MID(";"&amp;'CASE DATA'!$F129&amp;";",SMALL(IF(ISERROR(SEARCH(MID(";"&amp;'CASE DATA'!$F129&amp;";",ROW($1:$99),1),";")),"",ROW($1:$99)+1),COLUMN(D129)),SMALL(IF(ISERROR(SEARCH(MID(";"&amp;'CASE DATA'!$F129&amp;";",ROW($1:$99),1),";")),"",ROW($1:$99)),COLUMN(D128)+1)-SMALL(IF(ISERROR(SEARCH(MID(";"&amp;'CASE DATA'!$F129&amp;";",ROW($1:$99),1),";")),"",ROW($1:$99)),COLUMN(D128))-1)</f>
        <v/>
      </c>
      <c r="AB129" s="75" t="str" cm="1">
        <f t="array" ref="AB129">MID(";"&amp;'CASE DATA'!$F129&amp;";",SMALL(IF(ISERROR(SEARCH(MID(";"&amp;'CASE DATA'!$F129&amp;";",ROW($1:$99),1),";")),"",ROW($1:$99)+1),COLUMN(E129)),SMALL(IF(ISERROR(SEARCH(MID(";"&amp;'CASE DATA'!$F129&amp;";",ROW($1:$99),1),";")),"",ROW($1:$99)),COLUMN(E128)+1)-SMALL(IF(ISERROR(SEARCH(MID(";"&amp;'CASE DATA'!$F129&amp;";",ROW($1:$99),1),";")),"",ROW($1:$99)),COLUMN(E128))-1)</f>
        <v/>
      </c>
      <c r="AC129" s="75" t="str" cm="1">
        <f t="array" ref="AC129">MID(";"&amp;'CASE DATA'!$F129&amp;";",SMALL(IF(ISERROR(SEARCH(MID(";"&amp;'CASE DATA'!$F129&amp;";",ROW($1:$99),1),";")),"",ROW($1:$99)+1),COLUMN(F129)),SMALL(IF(ISERROR(SEARCH(MID(";"&amp;'CASE DATA'!$F129&amp;";",ROW($1:$99),1),";")),"",ROW($1:$99)),COLUMN(F128)+1)-SMALL(IF(ISERROR(SEARCH(MID(";"&amp;'CASE DATA'!$F129&amp;";",ROW($1:$99),1),";")),"",ROW($1:$99)),COLUMN(F128))-1)</f>
        <v/>
      </c>
      <c r="AD129" s="75" t="str" cm="1">
        <f t="array" ref="AD129">MID(";"&amp;'CASE DATA'!$F129&amp;";",SMALL(IF(ISERROR(SEARCH(MID(";"&amp;'CASE DATA'!$F129&amp;";",ROW($1:$99),1),";")),"",ROW($1:$99)+1),COLUMN(G129)),SMALL(IF(ISERROR(SEARCH(MID(";"&amp;'CASE DATA'!$F129&amp;";",ROW($1:$99),1),";")),"",ROW($1:$99)),COLUMN(G128)+1)-SMALL(IF(ISERROR(SEARCH(MID(";"&amp;'CASE DATA'!$F129&amp;";",ROW($1:$99),1),";")),"",ROW($1:$99)),COLUMN(G128))-1)</f>
        <v/>
      </c>
      <c r="AE129" s="75" t="str" cm="1">
        <f t="array" ref="AE129">MID(";"&amp;'CASE DATA'!$F129&amp;";",SMALL(IF(ISERROR(SEARCH(MID(";"&amp;'CASE DATA'!$F129&amp;";",ROW($1:$99),1),";")),"",ROW($1:$99)+1),COLUMN(H129)),SMALL(IF(ISERROR(SEARCH(MID(";"&amp;'CASE DATA'!$F129&amp;";",ROW($1:$99),1),";")),"",ROW($1:$99)),COLUMN(H128)+1)-SMALL(IF(ISERROR(SEARCH(MID(";"&amp;'CASE DATA'!$F129&amp;";",ROW($1:$99),1),";")),"",ROW($1:$99)),COLUMN(H128))-1)</f>
        <v/>
      </c>
      <c r="AF129" s="75" t="str" cm="1">
        <f t="array" ref="AF129">MID(";"&amp;'CASE DATA'!$F129&amp;";",SMALL(IF(ISERROR(SEARCH(MID(";"&amp;'CASE DATA'!$F129&amp;";",ROW($1:$99),1),";")),"",ROW($1:$99)+1),COLUMN(I129)),SMALL(IF(ISERROR(SEARCH(MID(";"&amp;'CASE DATA'!$F129&amp;";",ROW($1:$99),1),";")),"",ROW($1:$99)),COLUMN(I128)+1)-SMALL(IF(ISERROR(SEARCH(MID(";"&amp;'CASE DATA'!$F129&amp;";",ROW($1:$99),1),";")),"",ROW($1:$99)),COLUMN(I128))-1)</f>
        <v/>
      </c>
      <c r="AG129" s="75" t="str" cm="1">
        <f t="array" ref="AG129">MID(";"&amp;'CASE DATA'!$F129&amp;";",SMALL(IF(ISERROR(SEARCH(MID(";"&amp;'CASE DATA'!$F129&amp;";",ROW($1:$99),1),";")),"",ROW($1:$99)+1),COLUMN(K129)),SMALL(IF(ISERROR(SEARCH(MID(";"&amp;'CASE DATA'!$F129&amp;";",ROW($1:$99),1),";")),"",ROW($1:$99)),COLUMN(K128)+1)-SMALL(IF(ISERROR(SEARCH(MID(";"&amp;'CASE DATA'!$F129&amp;";",ROW($1:$99),1),";")),"",ROW($1:$99)),COLUMN(K128))-1)</f>
        <v/>
      </c>
      <c r="AH129" s="75" t="str" cm="1">
        <f t="array" ref="AH129">MID(";"&amp;'CASE DATA'!$F129&amp;";",SMALL(IF(ISERROR(SEARCH(MID(";"&amp;'CASE DATA'!$F129&amp;";",ROW($1:$99),1),";")),"",ROW($1:$99)+1),COLUMN(L129)),SMALL(IF(ISERROR(SEARCH(MID(";"&amp;'CASE DATA'!$F129&amp;";",ROW($1:$99),1),";")),"",ROW($1:$99)),COLUMN(L128)+1)-SMALL(IF(ISERROR(SEARCH(MID(";"&amp;'CASE DATA'!$F129&amp;";",ROW($1:$99),1),";")),"",ROW($1:$99)),COLUMN(L128))-1)</f>
        <v/>
      </c>
      <c r="AI129" s="75" t="str" cm="1">
        <f t="array" ref="AI129">MID(";"&amp;'CASE DATA'!$F129&amp;";",SMALL(IF(ISERROR(SEARCH(MID(";"&amp;'CASE DATA'!$F129&amp;";",ROW($1:$99),1),";")),"",ROW($1:$99)+1),COLUMN(M129)),SMALL(IF(ISERROR(SEARCH(MID(";"&amp;'CASE DATA'!$F129&amp;";",ROW($1:$99),1),";")),"",ROW($1:$99)),COLUMN(M128)+1)-SMALL(IF(ISERROR(SEARCH(MID(";"&amp;'CASE DATA'!$F129&amp;";",ROW($1:$99),1),";")),"",ROW($1:$99)),COLUMN(M128))-1)</f>
        <v/>
      </c>
      <c r="BO129" s="99"/>
      <c r="BP129" s="99"/>
      <c r="BQ129" s="99"/>
      <c r="BR129" s="99"/>
      <c r="BS129" s="99"/>
      <c r="BT129" s="99"/>
      <c r="BU129" s="99"/>
      <c r="BV129" s="99"/>
      <c r="BW129" s="99"/>
      <c r="BX129" s="99"/>
      <c r="BY129" s="99"/>
      <c r="BZ129" s="99"/>
      <c r="CA129" s="99"/>
      <c r="CB129" s="99"/>
      <c r="CC129" s="99"/>
      <c r="CD129" s="99"/>
      <c r="CE129" s="99"/>
      <c r="CF129" s="99"/>
      <c r="CG129" s="99"/>
      <c r="CH129" s="99"/>
      <c r="CI129" s="99"/>
      <c r="CJ129" s="99"/>
      <c r="CK129" s="99"/>
      <c r="CL129" s="99"/>
      <c r="CM129" s="99"/>
      <c r="CN129" s="99"/>
      <c r="CO129" s="99"/>
      <c r="CP129" s="99"/>
      <c r="CQ129" s="99"/>
      <c r="CR129" s="99"/>
      <c r="CS129" s="99"/>
      <c r="CT129" s="99"/>
      <c r="CU129" s="99"/>
      <c r="CV129" s="99"/>
      <c r="CW129" s="99"/>
      <c r="CX129" s="99"/>
      <c r="CY129" s="99"/>
      <c r="CZ129" s="99"/>
      <c r="DA129" s="99"/>
      <c r="DB129" s="99"/>
      <c r="DC129" s="99"/>
      <c r="DD129" s="99"/>
      <c r="DE129" s="99"/>
      <c r="DF129" s="99"/>
      <c r="DG129" s="99"/>
      <c r="DH129" s="99"/>
      <c r="DI129" s="99"/>
      <c r="DJ129" s="99"/>
      <c r="DK129" s="99"/>
      <c r="DL129" s="99"/>
      <c r="DM129" s="99"/>
      <c r="DN129" s="99"/>
      <c r="DO129" s="99"/>
      <c r="DP129" s="99"/>
      <c r="DQ129" s="99"/>
      <c r="DR129" s="99"/>
      <c r="DS129" s="99"/>
      <c r="DT129" s="99"/>
      <c r="DU129" s="99"/>
      <c r="DV129" s="99"/>
      <c r="DW129" s="99"/>
      <c r="DX129" s="99"/>
      <c r="DY129" s="99"/>
      <c r="DZ129" s="99"/>
      <c r="EA129" s="99"/>
      <c r="EB129" s="99"/>
      <c r="EC129" s="99"/>
      <c r="ED129" s="99"/>
      <c r="EE129" s="99"/>
      <c r="EF129" s="99"/>
      <c r="EG129" s="99"/>
      <c r="EH129" s="99"/>
      <c r="EI129" s="99"/>
      <c r="EJ129" s="99"/>
      <c r="EK129" s="99"/>
      <c r="EL129" s="99"/>
      <c r="EM129" s="99"/>
      <c r="EN129" s="99"/>
      <c r="EO129" s="99"/>
      <c r="EP129" s="99"/>
      <c r="EQ129" s="99"/>
      <c r="ER129" s="99"/>
      <c r="ES129" s="99"/>
      <c r="ET129" s="99"/>
      <c r="EU129" s="99"/>
      <c r="EV129" s="99"/>
      <c r="EW129" s="99"/>
      <c r="EX129" s="99"/>
      <c r="EY129" s="99"/>
      <c r="EZ129" s="99"/>
      <c r="FA129" s="99"/>
      <c r="FB129" s="99"/>
      <c r="FC129" s="99"/>
      <c r="FD129" s="99"/>
      <c r="FE129" s="99"/>
      <c r="FF129" s="99"/>
      <c r="FG129" s="99"/>
      <c r="FH129" s="99"/>
      <c r="FI129" s="99"/>
      <c r="FJ129" s="99"/>
      <c r="FK129" s="99"/>
    </row>
    <row r="130" spans="3:167" x14ac:dyDescent="0.25">
      <c r="C130" s="10"/>
      <c r="D130" s="10"/>
      <c r="E130" s="11"/>
      <c r="F130" s="15"/>
      <c r="J130" s="99">
        <v>127</v>
      </c>
      <c r="K130" s="16"/>
      <c r="L130" s="16"/>
      <c r="M130" s="16"/>
      <c r="N130" s="16"/>
      <c r="O130" s="16"/>
      <c r="P130" s="16"/>
      <c r="Q130" s="16"/>
      <c r="R130" s="16"/>
      <c r="S130" s="16"/>
      <c r="T130" s="16"/>
      <c r="U130" s="73">
        <f>SUM(K130:T130)</f>
        <v>0</v>
      </c>
      <c r="V130" s="73"/>
      <c r="X130" s="75" t="str" cm="1">
        <f t="array" ref="X130">MID(";"&amp;'CASE DATA'!$F130&amp;";",SMALL(IF(ISERROR(SEARCH(MID(";"&amp;'CASE DATA'!$F130&amp;";",ROW($1:$99),1),";")),"",ROW($1:$99)+1),COLUMN(A130)),SMALL(IF(ISERROR(SEARCH(MID(";"&amp;'CASE DATA'!$F130&amp;";",ROW($1:$99),1),";")),"",ROW($1:$99)),COLUMN(A129)+1)-SMALL(IF(ISERROR(SEARCH(MID(";"&amp;'CASE DATA'!$F130&amp;";",ROW($1:$99),1),";")),"",ROW($1:$99)),COLUMN(A129))-1)</f>
        <v/>
      </c>
      <c r="Y130" s="75" t="str" cm="1">
        <f t="array" ref="Y130">MID(";"&amp;'CASE DATA'!$F130&amp;";",SMALL(IF(ISERROR(SEARCH(MID(";"&amp;'CASE DATA'!$F130&amp;";",ROW($1:$99),1),";")),"",ROW($1:$99)+1),COLUMN(B130)),SMALL(IF(ISERROR(SEARCH(MID(";"&amp;'CASE DATA'!$F130&amp;";",ROW($1:$99),1),";")),"",ROW($1:$99)),COLUMN(B129)+1)-SMALL(IF(ISERROR(SEARCH(MID(";"&amp;'CASE DATA'!$F130&amp;";",ROW($1:$99),1),";")),"",ROW($1:$99)),COLUMN(B129))-1)</f>
        <v/>
      </c>
      <c r="Z130" s="75" t="str" cm="1">
        <f t="array" ref="Z130">MID(";"&amp;'CASE DATA'!$F130&amp;";",SMALL(IF(ISERROR(SEARCH(MID(";"&amp;'CASE DATA'!$F130&amp;";",ROW($1:$99),1),";")),"",ROW($1:$99)+1),COLUMN(C130)),SMALL(IF(ISERROR(SEARCH(MID(";"&amp;'CASE DATA'!$F130&amp;";",ROW($1:$99),1),";")),"",ROW($1:$99)),COLUMN(C129)+1)-SMALL(IF(ISERROR(SEARCH(MID(";"&amp;'CASE DATA'!$F130&amp;";",ROW($1:$99),1),";")),"",ROW($1:$99)),COLUMN(C129))-1)</f>
        <v/>
      </c>
      <c r="AA130" s="75" t="str" cm="1">
        <f t="array" ref="AA130">MID(";"&amp;'CASE DATA'!$F130&amp;";",SMALL(IF(ISERROR(SEARCH(MID(";"&amp;'CASE DATA'!$F130&amp;";",ROW($1:$99),1),";")),"",ROW($1:$99)+1),COLUMN(D130)),SMALL(IF(ISERROR(SEARCH(MID(";"&amp;'CASE DATA'!$F130&amp;";",ROW($1:$99),1),";")),"",ROW($1:$99)),COLUMN(D129)+1)-SMALL(IF(ISERROR(SEARCH(MID(";"&amp;'CASE DATA'!$F130&amp;";",ROW($1:$99),1),";")),"",ROW($1:$99)),COLUMN(D129))-1)</f>
        <v/>
      </c>
      <c r="AB130" s="75" t="str" cm="1">
        <f t="array" ref="AB130">MID(";"&amp;'CASE DATA'!$F130&amp;";",SMALL(IF(ISERROR(SEARCH(MID(";"&amp;'CASE DATA'!$F130&amp;";",ROW($1:$99),1),";")),"",ROW($1:$99)+1),COLUMN(E130)),SMALL(IF(ISERROR(SEARCH(MID(";"&amp;'CASE DATA'!$F130&amp;";",ROW($1:$99),1),";")),"",ROW($1:$99)),COLUMN(E129)+1)-SMALL(IF(ISERROR(SEARCH(MID(";"&amp;'CASE DATA'!$F130&amp;";",ROW($1:$99),1),";")),"",ROW($1:$99)),COLUMN(E129))-1)</f>
        <v/>
      </c>
      <c r="AC130" s="75" t="str" cm="1">
        <f t="array" ref="AC130">MID(";"&amp;'CASE DATA'!$F130&amp;";",SMALL(IF(ISERROR(SEARCH(MID(";"&amp;'CASE DATA'!$F130&amp;";",ROW($1:$99),1),";")),"",ROW($1:$99)+1),COLUMN(F130)),SMALL(IF(ISERROR(SEARCH(MID(";"&amp;'CASE DATA'!$F130&amp;";",ROW($1:$99),1),";")),"",ROW($1:$99)),COLUMN(F129)+1)-SMALL(IF(ISERROR(SEARCH(MID(";"&amp;'CASE DATA'!$F130&amp;";",ROW($1:$99),1),";")),"",ROW($1:$99)),COLUMN(F129))-1)</f>
        <v/>
      </c>
      <c r="AD130" s="75" t="str" cm="1">
        <f t="array" ref="AD130">MID(";"&amp;'CASE DATA'!$F130&amp;";",SMALL(IF(ISERROR(SEARCH(MID(";"&amp;'CASE DATA'!$F130&amp;";",ROW($1:$99),1),";")),"",ROW($1:$99)+1),COLUMN(G130)),SMALL(IF(ISERROR(SEARCH(MID(";"&amp;'CASE DATA'!$F130&amp;";",ROW($1:$99),1),";")),"",ROW($1:$99)),COLUMN(G129)+1)-SMALL(IF(ISERROR(SEARCH(MID(";"&amp;'CASE DATA'!$F130&amp;";",ROW($1:$99),1),";")),"",ROW($1:$99)),COLUMN(G129))-1)</f>
        <v/>
      </c>
      <c r="AE130" s="75" t="str" cm="1">
        <f t="array" ref="AE130">MID(";"&amp;'CASE DATA'!$F130&amp;";",SMALL(IF(ISERROR(SEARCH(MID(";"&amp;'CASE DATA'!$F130&amp;";",ROW($1:$99),1),";")),"",ROW($1:$99)+1),COLUMN(H130)),SMALL(IF(ISERROR(SEARCH(MID(";"&amp;'CASE DATA'!$F130&amp;";",ROW($1:$99),1),";")),"",ROW($1:$99)),COLUMN(H129)+1)-SMALL(IF(ISERROR(SEARCH(MID(";"&amp;'CASE DATA'!$F130&amp;";",ROW($1:$99),1),";")),"",ROW($1:$99)),COLUMN(H129))-1)</f>
        <v/>
      </c>
      <c r="AF130" s="75" t="str" cm="1">
        <f t="array" ref="AF130">MID(";"&amp;'CASE DATA'!$F130&amp;";",SMALL(IF(ISERROR(SEARCH(MID(";"&amp;'CASE DATA'!$F130&amp;";",ROW($1:$99),1),";")),"",ROW($1:$99)+1),COLUMN(I130)),SMALL(IF(ISERROR(SEARCH(MID(";"&amp;'CASE DATA'!$F130&amp;";",ROW($1:$99),1),";")),"",ROW($1:$99)),COLUMN(I129)+1)-SMALL(IF(ISERROR(SEARCH(MID(";"&amp;'CASE DATA'!$F130&amp;";",ROW($1:$99),1),";")),"",ROW($1:$99)),COLUMN(I129))-1)</f>
        <v/>
      </c>
      <c r="AG130" s="75" t="str" cm="1">
        <f t="array" ref="AG130">MID(";"&amp;'CASE DATA'!$F130&amp;";",SMALL(IF(ISERROR(SEARCH(MID(";"&amp;'CASE DATA'!$F130&amp;";",ROW($1:$99),1),";")),"",ROW($1:$99)+1),COLUMN(K130)),SMALL(IF(ISERROR(SEARCH(MID(";"&amp;'CASE DATA'!$F130&amp;";",ROW($1:$99),1),";")),"",ROW($1:$99)),COLUMN(K129)+1)-SMALL(IF(ISERROR(SEARCH(MID(";"&amp;'CASE DATA'!$F130&amp;";",ROW($1:$99),1),";")),"",ROW($1:$99)),COLUMN(K129))-1)</f>
        <v/>
      </c>
      <c r="AH130" s="75" t="str" cm="1">
        <f t="array" ref="AH130">MID(";"&amp;'CASE DATA'!$F130&amp;";",SMALL(IF(ISERROR(SEARCH(MID(";"&amp;'CASE DATA'!$F130&amp;";",ROW($1:$99),1),";")),"",ROW($1:$99)+1),COLUMN(L130)),SMALL(IF(ISERROR(SEARCH(MID(";"&amp;'CASE DATA'!$F130&amp;";",ROW($1:$99),1),";")),"",ROW($1:$99)),COLUMN(L129)+1)-SMALL(IF(ISERROR(SEARCH(MID(";"&amp;'CASE DATA'!$F130&amp;";",ROW($1:$99),1),";")),"",ROW($1:$99)),COLUMN(L129))-1)</f>
        <v/>
      </c>
      <c r="AI130" s="75" t="str" cm="1">
        <f t="array" ref="AI130">MID(";"&amp;'CASE DATA'!$F130&amp;";",SMALL(IF(ISERROR(SEARCH(MID(";"&amp;'CASE DATA'!$F130&amp;";",ROW($1:$99),1),";")),"",ROW($1:$99)+1),COLUMN(M130)),SMALL(IF(ISERROR(SEARCH(MID(";"&amp;'CASE DATA'!$F130&amp;";",ROW($1:$99),1),";")),"",ROW($1:$99)),COLUMN(M129)+1)-SMALL(IF(ISERROR(SEARCH(MID(";"&amp;'CASE DATA'!$F130&amp;";",ROW($1:$99),1),";")),"",ROW($1:$99)),COLUMN(M129))-1)</f>
        <v/>
      </c>
      <c r="BO130" s="99"/>
      <c r="BP130" s="99"/>
      <c r="BQ130" s="99"/>
      <c r="BR130" s="99"/>
      <c r="BS130" s="99"/>
      <c r="BT130" s="99"/>
      <c r="BU130" s="99"/>
      <c r="BV130" s="99"/>
      <c r="BW130" s="99"/>
      <c r="BX130" s="99"/>
      <c r="BY130" s="99"/>
      <c r="BZ130" s="99"/>
      <c r="CA130" s="99"/>
      <c r="CB130" s="99"/>
      <c r="CC130" s="99"/>
      <c r="CD130" s="99"/>
      <c r="CE130" s="99"/>
      <c r="CF130" s="99"/>
      <c r="CG130" s="99"/>
      <c r="CH130" s="99"/>
      <c r="CI130" s="99"/>
      <c r="CJ130" s="99"/>
      <c r="CK130" s="99"/>
      <c r="CL130" s="99"/>
      <c r="CM130" s="99"/>
      <c r="CN130" s="99"/>
      <c r="CO130" s="99"/>
      <c r="CP130" s="99"/>
      <c r="CQ130" s="99"/>
      <c r="CR130" s="99"/>
      <c r="CS130" s="99"/>
      <c r="CT130" s="99"/>
      <c r="CU130" s="99"/>
      <c r="CV130" s="99"/>
      <c r="CW130" s="99"/>
      <c r="CX130" s="99"/>
      <c r="CY130" s="99"/>
      <c r="CZ130" s="99"/>
      <c r="DA130" s="99"/>
      <c r="DB130" s="99"/>
      <c r="DC130" s="99"/>
      <c r="DD130" s="99"/>
      <c r="DE130" s="99"/>
      <c r="DF130" s="99"/>
      <c r="DG130" s="99"/>
      <c r="DH130" s="99"/>
      <c r="DI130" s="99"/>
      <c r="DJ130" s="99"/>
      <c r="DK130" s="99"/>
      <c r="DL130" s="99"/>
      <c r="DM130" s="99"/>
      <c r="DN130" s="99"/>
      <c r="DO130" s="99"/>
      <c r="DP130" s="99"/>
      <c r="DQ130" s="99"/>
      <c r="DR130" s="99"/>
      <c r="DS130" s="99"/>
      <c r="DT130" s="99"/>
      <c r="DU130" s="99"/>
      <c r="DV130" s="99"/>
      <c r="DW130" s="99"/>
      <c r="DX130" s="99"/>
      <c r="DY130" s="99"/>
      <c r="DZ130" s="99"/>
      <c r="EA130" s="99"/>
      <c r="EB130" s="99"/>
      <c r="EC130" s="99"/>
      <c r="ED130" s="99"/>
      <c r="EE130" s="99"/>
      <c r="EF130" s="99"/>
      <c r="EG130" s="99"/>
      <c r="EH130" s="99"/>
      <c r="EI130" s="99"/>
      <c r="EJ130" s="99"/>
      <c r="EK130" s="99"/>
      <c r="EL130" s="99"/>
      <c r="EM130" s="99"/>
      <c r="EN130" s="99"/>
      <c r="EO130" s="99"/>
      <c r="EP130" s="99"/>
      <c r="EQ130" s="99"/>
      <c r="ER130" s="99"/>
      <c r="ES130" s="99"/>
      <c r="ET130" s="99"/>
      <c r="EU130" s="99"/>
      <c r="EV130" s="99"/>
      <c r="EW130" s="99"/>
      <c r="EX130" s="99"/>
      <c r="EY130" s="99"/>
      <c r="EZ130" s="99"/>
      <c r="FA130" s="99"/>
      <c r="FB130" s="99"/>
      <c r="FC130" s="99"/>
      <c r="FD130" s="99"/>
      <c r="FE130" s="99"/>
      <c r="FF130" s="99"/>
      <c r="FG130" s="99"/>
      <c r="FH130" s="99"/>
      <c r="FI130" s="99"/>
      <c r="FJ130" s="99"/>
      <c r="FK130" s="99"/>
    </row>
    <row r="131" spans="3:167" x14ac:dyDescent="0.25">
      <c r="C131" s="10"/>
      <c r="D131" s="10"/>
      <c r="E131" s="11"/>
      <c r="F131" s="15"/>
      <c r="J131" s="99">
        <v>128</v>
      </c>
      <c r="K131" s="16"/>
      <c r="L131" s="16"/>
      <c r="M131" s="16"/>
      <c r="N131" s="16"/>
      <c r="O131" s="16"/>
      <c r="P131" s="16"/>
      <c r="Q131" s="16"/>
      <c r="R131" s="16"/>
      <c r="S131" s="16"/>
      <c r="T131" s="16"/>
      <c r="U131" s="73">
        <f>SUM(K131:T131)</f>
        <v>0</v>
      </c>
      <c r="V131" s="73"/>
      <c r="X131" s="75" t="str" cm="1">
        <f t="array" ref="X131">MID(";"&amp;'CASE DATA'!$F131&amp;";",SMALL(IF(ISERROR(SEARCH(MID(";"&amp;'CASE DATA'!$F131&amp;";",ROW($1:$99),1),";")),"",ROW($1:$99)+1),COLUMN(A131)),SMALL(IF(ISERROR(SEARCH(MID(";"&amp;'CASE DATA'!$F131&amp;";",ROW($1:$99),1),";")),"",ROW($1:$99)),COLUMN(A130)+1)-SMALL(IF(ISERROR(SEARCH(MID(";"&amp;'CASE DATA'!$F131&amp;";",ROW($1:$99),1),";")),"",ROW($1:$99)),COLUMN(A130))-1)</f>
        <v/>
      </c>
      <c r="Y131" s="75" t="str" cm="1">
        <f t="array" ref="Y131">MID(";"&amp;'CASE DATA'!$F131&amp;";",SMALL(IF(ISERROR(SEARCH(MID(";"&amp;'CASE DATA'!$F131&amp;";",ROW($1:$99),1),";")),"",ROW($1:$99)+1),COLUMN(B131)),SMALL(IF(ISERROR(SEARCH(MID(";"&amp;'CASE DATA'!$F131&amp;";",ROW($1:$99),1),";")),"",ROW($1:$99)),COLUMN(B130)+1)-SMALL(IF(ISERROR(SEARCH(MID(";"&amp;'CASE DATA'!$F131&amp;";",ROW($1:$99),1),";")),"",ROW($1:$99)),COLUMN(B130))-1)</f>
        <v/>
      </c>
      <c r="Z131" s="75" t="str" cm="1">
        <f t="array" ref="Z131">MID(";"&amp;'CASE DATA'!$F131&amp;";",SMALL(IF(ISERROR(SEARCH(MID(";"&amp;'CASE DATA'!$F131&amp;";",ROW($1:$99),1),";")),"",ROW($1:$99)+1),COLUMN(C131)),SMALL(IF(ISERROR(SEARCH(MID(";"&amp;'CASE DATA'!$F131&amp;";",ROW($1:$99),1),";")),"",ROW($1:$99)),COLUMN(C130)+1)-SMALL(IF(ISERROR(SEARCH(MID(";"&amp;'CASE DATA'!$F131&amp;";",ROW($1:$99),1),";")),"",ROW($1:$99)),COLUMN(C130))-1)</f>
        <v/>
      </c>
      <c r="AA131" s="75" t="str" cm="1">
        <f t="array" ref="AA131">MID(";"&amp;'CASE DATA'!$F131&amp;";",SMALL(IF(ISERROR(SEARCH(MID(";"&amp;'CASE DATA'!$F131&amp;";",ROW($1:$99),1),";")),"",ROW($1:$99)+1),COLUMN(D131)),SMALL(IF(ISERROR(SEARCH(MID(";"&amp;'CASE DATA'!$F131&amp;";",ROW($1:$99),1),";")),"",ROW($1:$99)),COLUMN(D130)+1)-SMALL(IF(ISERROR(SEARCH(MID(";"&amp;'CASE DATA'!$F131&amp;";",ROW($1:$99),1),";")),"",ROW($1:$99)),COLUMN(D130))-1)</f>
        <v/>
      </c>
      <c r="AB131" s="75" t="str" cm="1">
        <f t="array" ref="AB131">MID(";"&amp;'CASE DATA'!$F131&amp;";",SMALL(IF(ISERROR(SEARCH(MID(";"&amp;'CASE DATA'!$F131&amp;";",ROW($1:$99),1),";")),"",ROW($1:$99)+1),COLUMN(E131)),SMALL(IF(ISERROR(SEARCH(MID(";"&amp;'CASE DATA'!$F131&amp;";",ROW($1:$99),1),";")),"",ROW($1:$99)),COLUMN(E130)+1)-SMALL(IF(ISERROR(SEARCH(MID(";"&amp;'CASE DATA'!$F131&amp;";",ROW($1:$99),1),";")),"",ROW($1:$99)),COLUMN(E130))-1)</f>
        <v/>
      </c>
      <c r="AC131" s="75" t="str" cm="1">
        <f t="array" ref="AC131">MID(";"&amp;'CASE DATA'!$F131&amp;";",SMALL(IF(ISERROR(SEARCH(MID(";"&amp;'CASE DATA'!$F131&amp;";",ROW($1:$99),1),";")),"",ROW($1:$99)+1),COLUMN(F131)),SMALL(IF(ISERROR(SEARCH(MID(";"&amp;'CASE DATA'!$F131&amp;";",ROW($1:$99),1),";")),"",ROW($1:$99)),COLUMN(F130)+1)-SMALL(IF(ISERROR(SEARCH(MID(";"&amp;'CASE DATA'!$F131&amp;";",ROW($1:$99),1),";")),"",ROW($1:$99)),COLUMN(F130))-1)</f>
        <v/>
      </c>
      <c r="AD131" s="75" t="str" cm="1">
        <f t="array" ref="AD131">MID(";"&amp;'CASE DATA'!$F131&amp;";",SMALL(IF(ISERROR(SEARCH(MID(";"&amp;'CASE DATA'!$F131&amp;";",ROW($1:$99),1),";")),"",ROW($1:$99)+1),COLUMN(G131)),SMALL(IF(ISERROR(SEARCH(MID(";"&amp;'CASE DATA'!$F131&amp;";",ROW($1:$99),1),";")),"",ROW($1:$99)),COLUMN(G130)+1)-SMALL(IF(ISERROR(SEARCH(MID(";"&amp;'CASE DATA'!$F131&amp;";",ROW($1:$99),1),";")),"",ROW($1:$99)),COLUMN(G130))-1)</f>
        <v/>
      </c>
      <c r="AE131" s="75" t="str" cm="1">
        <f t="array" ref="AE131">MID(";"&amp;'CASE DATA'!$F131&amp;";",SMALL(IF(ISERROR(SEARCH(MID(";"&amp;'CASE DATA'!$F131&amp;";",ROW($1:$99),1),";")),"",ROW($1:$99)+1),COLUMN(H131)),SMALL(IF(ISERROR(SEARCH(MID(";"&amp;'CASE DATA'!$F131&amp;";",ROW($1:$99),1),";")),"",ROW($1:$99)),COLUMN(H130)+1)-SMALL(IF(ISERROR(SEARCH(MID(";"&amp;'CASE DATA'!$F131&amp;";",ROW($1:$99),1),";")),"",ROW($1:$99)),COLUMN(H130))-1)</f>
        <v/>
      </c>
      <c r="AF131" s="75" t="str" cm="1">
        <f t="array" ref="AF131">MID(";"&amp;'CASE DATA'!$F131&amp;";",SMALL(IF(ISERROR(SEARCH(MID(";"&amp;'CASE DATA'!$F131&amp;";",ROW($1:$99),1),";")),"",ROW($1:$99)+1),COLUMN(I131)),SMALL(IF(ISERROR(SEARCH(MID(";"&amp;'CASE DATA'!$F131&amp;";",ROW($1:$99),1),";")),"",ROW($1:$99)),COLUMN(I130)+1)-SMALL(IF(ISERROR(SEARCH(MID(";"&amp;'CASE DATA'!$F131&amp;";",ROW($1:$99),1),";")),"",ROW($1:$99)),COLUMN(I130))-1)</f>
        <v/>
      </c>
      <c r="AG131" s="75" t="str" cm="1">
        <f t="array" ref="AG131">MID(";"&amp;'CASE DATA'!$F131&amp;";",SMALL(IF(ISERROR(SEARCH(MID(";"&amp;'CASE DATA'!$F131&amp;";",ROW($1:$99),1),";")),"",ROW($1:$99)+1),COLUMN(K131)),SMALL(IF(ISERROR(SEARCH(MID(";"&amp;'CASE DATA'!$F131&amp;";",ROW($1:$99),1),";")),"",ROW($1:$99)),COLUMN(K130)+1)-SMALL(IF(ISERROR(SEARCH(MID(";"&amp;'CASE DATA'!$F131&amp;";",ROW($1:$99),1),";")),"",ROW($1:$99)),COLUMN(K130))-1)</f>
        <v/>
      </c>
      <c r="AH131" s="75" t="str" cm="1">
        <f t="array" ref="AH131">MID(";"&amp;'CASE DATA'!$F131&amp;";",SMALL(IF(ISERROR(SEARCH(MID(";"&amp;'CASE DATA'!$F131&amp;";",ROW($1:$99),1),";")),"",ROW($1:$99)+1),COLUMN(L131)),SMALL(IF(ISERROR(SEARCH(MID(";"&amp;'CASE DATA'!$F131&amp;";",ROW($1:$99),1),";")),"",ROW($1:$99)),COLUMN(L130)+1)-SMALL(IF(ISERROR(SEARCH(MID(";"&amp;'CASE DATA'!$F131&amp;";",ROW($1:$99),1),";")),"",ROW($1:$99)),COLUMN(L130))-1)</f>
        <v/>
      </c>
      <c r="AI131" s="75" t="str" cm="1">
        <f t="array" ref="AI131">MID(";"&amp;'CASE DATA'!$F131&amp;";",SMALL(IF(ISERROR(SEARCH(MID(";"&amp;'CASE DATA'!$F131&amp;";",ROW($1:$99),1),";")),"",ROW($1:$99)+1),COLUMN(M131)),SMALL(IF(ISERROR(SEARCH(MID(";"&amp;'CASE DATA'!$F131&amp;";",ROW($1:$99),1),";")),"",ROW($1:$99)),COLUMN(M130)+1)-SMALL(IF(ISERROR(SEARCH(MID(";"&amp;'CASE DATA'!$F131&amp;";",ROW($1:$99),1),";")),"",ROW($1:$99)),COLUMN(M130))-1)</f>
        <v/>
      </c>
      <c r="BO131" s="99"/>
      <c r="BP131" s="99"/>
      <c r="BQ131" s="99"/>
      <c r="BR131" s="99"/>
      <c r="BS131" s="99"/>
      <c r="BT131" s="99"/>
      <c r="BU131" s="99"/>
      <c r="BV131" s="99"/>
      <c r="BW131" s="99"/>
      <c r="BX131" s="99"/>
      <c r="BY131" s="99"/>
      <c r="BZ131" s="99"/>
      <c r="CA131" s="99"/>
      <c r="CB131" s="99"/>
      <c r="CC131" s="99"/>
      <c r="CD131" s="99"/>
      <c r="CE131" s="99"/>
      <c r="CF131" s="99"/>
      <c r="CG131" s="99"/>
      <c r="CH131" s="99"/>
      <c r="CI131" s="99"/>
      <c r="CJ131" s="99"/>
      <c r="CK131" s="99"/>
      <c r="CL131" s="99"/>
      <c r="CM131" s="99"/>
      <c r="CN131" s="99"/>
      <c r="CO131" s="99"/>
      <c r="CP131" s="99"/>
      <c r="CQ131" s="99"/>
      <c r="CR131" s="99"/>
      <c r="CS131" s="99"/>
      <c r="CT131" s="99"/>
      <c r="CU131" s="99"/>
      <c r="CV131" s="99"/>
      <c r="CW131" s="99"/>
      <c r="CX131" s="99"/>
      <c r="CY131" s="99"/>
      <c r="CZ131" s="99"/>
      <c r="DA131" s="99"/>
      <c r="DB131" s="99"/>
      <c r="DC131" s="99"/>
      <c r="DD131" s="99"/>
      <c r="DE131" s="99"/>
      <c r="DF131" s="99"/>
      <c r="DG131" s="99"/>
      <c r="DH131" s="99"/>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99"/>
      <c r="EE131" s="99"/>
      <c r="EF131" s="99"/>
      <c r="EG131" s="99"/>
      <c r="EH131" s="99"/>
      <c r="EI131" s="99"/>
      <c r="EJ131" s="99"/>
      <c r="EK131" s="99"/>
      <c r="EL131" s="99"/>
      <c r="EM131" s="99"/>
      <c r="EN131" s="99"/>
      <c r="EO131" s="99"/>
      <c r="EP131" s="99"/>
      <c r="EQ131" s="99"/>
      <c r="ER131" s="99"/>
      <c r="ES131" s="99"/>
      <c r="ET131" s="99"/>
      <c r="EU131" s="99"/>
      <c r="EV131" s="99"/>
      <c r="EW131" s="99"/>
      <c r="EX131" s="99"/>
      <c r="EY131" s="99"/>
      <c r="EZ131" s="99"/>
      <c r="FA131" s="99"/>
      <c r="FB131" s="99"/>
      <c r="FC131" s="99"/>
      <c r="FD131" s="99"/>
      <c r="FE131" s="99"/>
      <c r="FF131" s="99"/>
      <c r="FG131" s="99"/>
      <c r="FH131" s="99"/>
      <c r="FI131" s="99"/>
      <c r="FJ131" s="99"/>
      <c r="FK131" s="99"/>
    </row>
    <row r="132" spans="3:167" x14ac:dyDescent="0.25">
      <c r="C132" s="10"/>
      <c r="D132" s="10"/>
      <c r="E132" s="11"/>
      <c r="F132" s="15"/>
      <c r="J132" s="99">
        <v>129</v>
      </c>
      <c r="K132" s="16"/>
      <c r="L132" s="16"/>
      <c r="M132" s="16"/>
      <c r="N132" s="16"/>
      <c r="O132" s="16"/>
      <c r="P132" s="16"/>
      <c r="Q132" s="16"/>
      <c r="R132" s="16"/>
      <c r="S132" s="16"/>
      <c r="T132" s="16"/>
      <c r="U132" s="73">
        <f>SUM(K132:T132)</f>
        <v>0</v>
      </c>
      <c r="V132" s="73"/>
      <c r="X132" s="75" t="str" cm="1">
        <f t="array" ref="X132">MID(";"&amp;'CASE DATA'!$F132&amp;";",SMALL(IF(ISERROR(SEARCH(MID(";"&amp;'CASE DATA'!$F132&amp;";",ROW($1:$99),1),";")),"",ROW($1:$99)+1),COLUMN(A132)),SMALL(IF(ISERROR(SEARCH(MID(";"&amp;'CASE DATA'!$F132&amp;";",ROW($1:$99),1),";")),"",ROW($1:$99)),COLUMN(A131)+1)-SMALL(IF(ISERROR(SEARCH(MID(";"&amp;'CASE DATA'!$F132&amp;";",ROW($1:$99),1),";")),"",ROW($1:$99)),COLUMN(A131))-1)</f>
        <v/>
      </c>
      <c r="Y132" s="75" t="str" cm="1">
        <f t="array" ref="Y132">MID(";"&amp;'CASE DATA'!$F132&amp;";",SMALL(IF(ISERROR(SEARCH(MID(";"&amp;'CASE DATA'!$F132&amp;";",ROW($1:$99),1),";")),"",ROW($1:$99)+1),COLUMN(B132)),SMALL(IF(ISERROR(SEARCH(MID(";"&amp;'CASE DATA'!$F132&amp;";",ROW($1:$99),1),";")),"",ROW($1:$99)),COLUMN(B131)+1)-SMALL(IF(ISERROR(SEARCH(MID(";"&amp;'CASE DATA'!$F132&amp;";",ROW($1:$99),1),";")),"",ROW($1:$99)),COLUMN(B131))-1)</f>
        <v/>
      </c>
      <c r="Z132" s="75" t="str" cm="1">
        <f t="array" ref="Z132">MID(";"&amp;'CASE DATA'!$F132&amp;";",SMALL(IF(ISERROR(SEARCH(MID(";"&amp;'CASE DATA'!$F132&amp;";",ROW($1:$99),1),";")),"",ROW($1:$99)+1),COLUMN(C132)),SMALL(IF(ISERROR(SEARCH(MID(";"&amp;'CASE DATA'!$F132&amp;";",ROW($1:$99),1),";")),"",ROW($1:$99)),COLUMN(C131)+1)-SMALL(IF(ISERROR(SEARCH(MID(";"&amp;'CASE DATA'!$F132&amp;";",ROW($1:$99),1),";")),"",ROW($1:$99)),COLUMN(C131))-1)</f>
        <v/>
      </c>
      <c r="AA132" s="75" t="str" cm="1">
        <f t="array" ref="AA132">MID(";"&amp;'CASE DATA'!$F132&amp;";",SMALL(IF(ISERROR(SEARCH(MID(";"&amp;'CASE DATA'!$F132&amp;";",ROW($1:$99),1),";")),"",ROW($1:$99)+1),COLUMN(D132)),SMALL(IF(ISERROR(SEARCH(MID(";"&amp;'CASE DATA'!$F132&amp;";",ROW($1:$99),1),";")),"",ROW($1:$99)),COLUMN(D131)+1)-SMALL(IF(ISERROR(SEARCH(MID(";"&amp;'CASE DATA'!$F132&amp;";",ROW($1:$99),1),";")),"",ROW($1:$99)),COLUMN(D131))-1)</f>
        <v/>
      </c>
      <c r="AB132" s="75" t="str" cm="1">
        <f t="array" ref="AB132">MID(";"&amp;'CASE DATA'!$F132&amp;";",SMALL(IF(ISERROR(SEARCH(MID(";"&amp;'CASE DATA'!$F132&amp;";",ROW($1:$99),1),";")),"",ROW($1:$99)+1),COLUMN(E132)),SMALL(IF(ISERROR(SEARCH(MID(";"&amp;'CASE DATA'!$F132&amp;";",ROW($1:$99),1),";")),"",ROW($1:$99)),COLUMN(E131)+1)-SMALL(IF(ISERROR(SEARCH(MID(";"&amp;'CASE DATA'!$F132&amp;";",ROW($1:$99),1),";")),"",ROW($1:$99)),COLUMN(E131))-1)</f>
        <v/>
      </c>
      <c r="AC132" s="75" t="str" cm="1">
        <f t="array" ref="AC132">MID(";"&amp;'CASE DATA'!$F132&amp;";",SMALL(IF(ISERROR(SEARCH(MID(";"&amp;'CASE DATA'!$F132&amp;";",ROW($1:$99),1),";")),"",ROW($1:$99)+1),COLUMN(F132)),SMALL(IF(ISERROR(SEARCH(MID(";"&amp;'CASE DATA'!$F132&amp;";",ROW($1:$99),1),";")),"",ROW($1:$99)),COLUMN(F131)+1)-SMALL(IF(ISERROR(SEARCH(MID(";"&amp;'CASE DATA'!$F132&amp;";",ROW($1:$99),1),";")),"",ROW($1:$99)),COLUMN(F131))-1)</f>
        <v/>
      </c>
      <c r="AD132" s="75" t="str" cm="1">
        <f t="array" ref="AD132">MID(";"&amp;'CASE DATA'!$F132&amp;";",SMALL(IF(ISERROR(SEARCH(MID(";"&amp;'CASE DATA'!$F132&amp;";",ROW($1:$99),1),";")),"",ROW($1:$99)+1),COLUMN(G132)),SMALL(IF(ISERROR(SEARCH(MID(";"&amp;'CASE DATA'!$F132&amp;";",ROW($1:$99),1),";")),"",ROW($1:$99)),COLUMN(G131)+1)-SMALL(IF(ISERROR(SEARCH(MID(";"&amp;'CASE DATA'!$F132&amp;";",ROW($1:$99),1),";")),"",ROW($1:$99)),COLUMN(G131))-1)</f>
        <v/>
      </c>
      <c r="AE132" s="75" t="str" cm="1">
        <f t="array" ref="AE132">MID(";"&amp;'CASE DATA'!$F132&amp;";",SMALL(IF(ISERROR(SEARCH(MID(";"&amp;'CASE DATA'!$F132&amp;";",ROW($1:$99),1),";")),"",ROW($1:$99)+1),COLUMN(H132)),SMALL(IF(ISERROR(SEARCH(MID(";"&amp;'CASE DATA'!$F132&amp;";",ROW($1:$99),1),";")),"",ROW($1:$99)),COLUMN(H131)+1)-SMALL(IF(ISERROR(SEARCH(MID(";"&amp;'CASE DATA'!$F132&amp;";",ROW($1:$99),1),";")),"",ROW($1:$99)),COLUMN(H131))-1)</f>
        <v/>
      </c>
      <c r="AF132" s="75" t="str" cm="1">
        <f t="array" ref="AF132">MID(";"&amp;'CASE DATA'!$F132&amp;";",SMALL(IF(ISERROR(SEARCH(MID(";"&amp;'CASE DATA'!$F132&amp;";",ROW($1:$99),1),";")),"",ROW($1:$99)+1),COLUMN(I132)),SMALL(IF(ISERROR(SEARCH(MID(";"&amp;'CASE DATA'!$F132&amp;";",ROW($1:$99),1),";")),"",ROW($1:$99)),COLUMN(I131)+1)-SMALL(IF(ISERROR(SEARCH(MID(";"&amp;'CASE DATA'!$F132&amp;";",ROW($1:$99),1),";")),"",ROW($1:$99)),COLUMN(I131))-1)</f>
        <v/>
      </c>
      <c r="AG132" s="75" t="str" cm="1">
        <f t="array" ref="AG132">MID(";"&amp;'CASE DATA'!$F132&amp;";",SMALL(IF(ISERROR(SEARCH(MID(";"&amp;'CASE DATA'!$F132&amp;";",ROW($1:$99),1),";")),"",ROW($1:$99)+1),COLUMN(K132)),SMALL(IF(ISERROR(SEARCH(MID(";"&amp;'CASE DATA'!$F132&amp;";",ROW($1:$99),1),";")),"",ROW($1:$99)),COLUMN(K131)+1)-SMALL(IF(ISERROR(SEARCH(MID(";"&amp;'CASE DATA'!$F132&amp;";",ROW($1:$99),1),";")),"",ROW($1:$99)),COLUMN(K131))-1)</f>
        <v/>
      </c>
      <c r="AH132" s="75" t="str" cm="1">
        <f t="array" ref="AH132">MID(";"&amp;'CASE DATA'!$F132&amp;";",SMALL(IF(ISERROR(SEARCH(MID(";"&amp;'CASE DATA'!$F132&amp;";",ROW($1:$99),1),";")),"",ROW($1:$99)+1),COLUMN(L132)),SMALL(IF(ISERROR(SEARCH(MID(";"&amp;'CASE DATA'!$F132&amp;";",ROW($1:$99),1),";")),"",ROW($1:$99)),COLUMN(L131)+1)-SMALL(IF(ISERROR(SEARCH(MID(";"&amp;'CASE DATA'!$F132&amp;";",ROW($1:$99),1),";")),"",ROW($1:$99)),COLUMN(L131))-1)</f>
        <v/>
      </c>
      <c r="AI132" s="75" t="str" cm="1">
        <f t="array" ref="AI132">MID(";"&amp;'CASE DATA'!$F132&amp;";",SMALL(IF(ISERROR(SEARCH(MID(";"&amp;'CASE DATA'!$F132&amp;";",ROW($1:$99),1),";")),"",ROW($1:$99)+1),COLUMN(M132)),SMALL(IF(ISERROR(SEARCH(MID(";"&amp;'CASE DATA'!$F132&amp;";",ROW($1:$99),1),";")),"",ROW($1:$99)),COLUMN(M131)+1)-SMALL(IF(ISERROR(SEARCH(MID(";"&amp;'CASE DATA'!$F132&amp;";",ROW($1:$99),1),";")),"",ROW($1:$99)),COLUMN(M131))-1)</f>
        <v/>
      </c>
      <c r="BO132" s="99"/>
      <c r="BP132" s="99"/>
      <c r="BQ132" s="99"/>
      <c r="BR132" s="99"/>
      <c r="BS132" s="99"/>
      <c r="BT132" s="99"/>
      <c r="BU132" s="99"/>
      <c r="BV132" s="99"/>
      <c r="BW132" s="99"/>
      <c r="BX132" s="99"/>
      <c r="BY132" s="99"/>
      <c r="BZ132" s="99"/>
      <c r="CA132" s="99"/>
      <c r="CB132" s="99"/>
      <c r="CC132" s="99"/>
      <c r="CD132" s="99"/>
      <c r="CE132" s="99"/>
      <c r="CF132" s="99"/>
      <c r="CG132" s="99"/>
      <c r="CH132" s="99"/>
      <c r="CI132" s="99"/>
      <c r="CJ132" s="99"/>
      <c r="CK132" s="99"/>
      <c r="CL132" s="99"/>
      <c r="CM132" s="99"/>
      <c r="CN132" s="99"/>
      <c r="CO132" s="99"/>
      <c r="CP132" s="99"/>
      <c r="CQ132" s="99"/>
      <c r="CR132" s="99"/>
      <c r="CS132" s="99"/>
      <c r="CT132" s="99"/>
      <c r="CU132" s="99"/>
      <c r="CV132" s="99"/>
      <c r="CW132" s="99"/>
      <c r="CX132" s="99"/>
      <c r="CY132" s="99"/>
      <c r="CZ132" s="99"/>
      <c r="DA132" s="99"/>
      <c r="DB132" s="99"/>
      <c r="DC132" s="99"/>
      <c r="DD132" s="99"/>
      <c r="DE132" s="99"/>
      <c r="DF132" s="99"/>
      <c r="DG132" s="99"/>
      <c r="DH132" s="99"/>
      <c r="DI132" s="99"/>
      <c r="DJ132" s="99"/>
      <c r="DK132" s="99"/>
      <c r="DL132" s="99"/>
      <c r="DM132" s="99"/>
      <c r="DN132" s="99"/>
      <c r="DO132" s="99"/>
      <c r="DP132" s="99"/>
      <c r="DQ132" s="99"/>
      <c r="DR132" s="99"/>
      <c r="DS132" s="99"/>
      <c r="DT132" s="99"/>
      <c r="DU132" s="99"/>
      <c r="DV132" s="99"/>
      <c r="DW132" s="99"/>
      <c r="DX132" s="99"/>
      <c r="DY132" s="99"/>
      <c r="DZ132" s="99"/>
      <c r="EA132" s="99"/>
      <c r="EB132" s="99"/>
      <c r="EC132" s="99"/>
      <c r="ED132" s="99"/>
      <c r="EE132" s="99"/>
      <c r="EF132" s="99"/>
      <c r="EG132" s="99"/>
      <c r="EH132" s="99"/>
      <c r="EI132" s="99"/>
      <c r="EJ132" s="99"/>
      <c r="EK132" s="99"/>
      <c r="EL132" s="99"/>
      <c r="EM132" s="99"/>
      <c r="EN132" s="99"/>
      <c r="EO132" s="99"/>
      <c r="EP132" s="99"/>
      <c r="EQ132" s="99"/>
      <c r="ER132" s="99"/>
      <c r="ES132" s="99"/>
      <c r="ET132" s="99"/>
      <c r="EU132" s="99"/>
      <c r="EV132" s="99"/>
      <c r="EW132" s="99"/>
      <c r="EX132" s="99"/>
      <c r="EY132" s="99"/>
      <c r="EZ132" s="99"/>
      <c r="FA132" s="99"/>
      <c r="FB132" s="99"/>
      <c r="FC132" s="99"/>
      <c r="FD132" s="99"/>
      <c r="FE132" s="99"/>
      <c r="FF132" s="99"/>
      <c r="FG132" s="99"/>
      <c r="FH132" s="99"/>
      <c r="FI132" s="99"/>
      <c r="FJ132" s="99"/>
      <c r="FK132" s="99"/>
    </row>
    <row r="133" spans="3:167" x14ac:dyDescent="0.25">
      <c r="C133" s="10"/>
      <c r="D133" s="10"/>
      <c r="E133" s="11"/>
      <c r="F133" s="15"/>
      <c r="J133" s="99">
        <v>130</v>
      </c>
      <c r="K133" s="16"/>
      <c r="L133" s="16"/>
      <c r="M133" s="16"/>
      <c r="N133" s="16"/>
      <c r="O133" s="16"/>
      <c r="P133" s="16"/>
      <c r="Q133" s="16"/>
      <c r="R133" s="16"/>
      <c r="S133" s="16"/>
      <c r="T133" s="16"/>
      <c r="U133" s="73">
        <f>SUM(K133:T133)</f>
        <v>0</v>
      </c>
      <c r="V133" s="73"/>
      <c r="X133" s="75" t="str" cm="1">
        <f t="array" ref="X133">MID(";"&amp;'CASE DATA'!$F133&amp;";",SMALL(IF(ISERROR(SEARCH(MID(";"&amp;'CASE DATA'!$F133&amp;";",ROW($1:$99),1),";")),"",ROW($1:$99)+1),COLUMN(A133)),SMALL(IF(ISERROR(SEARCH(MID(";"&amp;'CASE DATA'!$F133&amp;";",ROW($1:$99),1),";")),"",ROW($1:$99)),COLUMN(A132)+1)-SMALL(IF(ISERROR(SEARCH(MID(";"&amp;'CASE DATA'!$F133&amp;";",ROW($1:$99),1),";")),"",ROW($1:$99)),COLUMN(A132))-1)</f>
        <v/>
      </c>
      <c r="Y133" s="75" t="str" cm="1">
        <f t="array" ref="Y133">MID(";"&amp;'CASE DATA'!$F133&amp;";",SMALL(IF(ISERROR(SEARCH(MID(";"&amp;'CASE DATA'!$F133&amp;";",ROW($1:$99),1),";")),"",ROW($1:$99)+1),COLUMN(B133)),SMALL(IF(ISERROR(SEARCH(MID(";"&amp;'CASE DATA'!$F133&amp;";",ROW($1:$99),1),";")),"",ROW($1:$99)),COLUMN(B132)+1)-SMALL(IF(ISERROR(SEARCH(MID(";"&amp;'CASE DATA'!$F133&amp;";",ROW($1:$99),1),";")),"",ROW($1:$99)),COLUMN(B132))-1)</f>
        <v/>
      </c>
      <c r="Z133" s="75" t="str" cm="1">
        <f t="array" ref="Z133">MID(";"&amp;'CASE DATA'!$F133&amp;";",SMALL(IF(ISERROR(SEARCH(MID(";"&amp;'CASE DATA'!$F133&amp;";",ROW($1:$99),1),";")),"",ROW($1:$99)+1),COLUMN(C133)),SMALL(IF(ISERROR(SEARCH(MID(";"&amp;'CASE DATA'!$F133&amp;";",ROW($1:$99),1),";")),"",ROW($1:$99)),COLUMN(C132)+1)-SMALL(IF(ISERROR(SEARCH(MID(";"&amp;'CASE DATA'!$F133&amp;";",ROW($1:$99),1),";")),"",ROW($1:$99)),COLUMN(C132))-1)</f>
        <v/>
      </c>
      <c r="AA133" s="75" t="str" cm="1">
        <f t="array" ref="AA133">MID(";"&amp;'CASE DATA'!$F133&amp;";",SMALL(IF(ISERROR(SEARCH(MID(";"&amp;'CASE DATA'!$F133&amp;";",ROW($1:$99),1),";")),"",ROW($1:$99)+1),COLUMN(D133)),SMALL(IF(ISERROR(SEARCH(MID(";"&amp;'CASE DATA'!$F133&amp;";",ROW($1:$99),1),";")),"",ROW($1:$99)),COLUMN(D132)+1)-SMALL(IF(ISERROR(SEARCH(MID(";"&amp;'CASE DATA'!$F133&amp;";",ROW($1:$99),1),";")),"",ROW($1:$99)),COLUMN(D132))-1)</f>
        <v/>
      </c>
      <c r="AB133" s="75" t="str" cm="1">
        <f t="array" ref="AB133">MID(";"&amp;'CASE DATA'!$F133&amp;";",SMALL(IF(ISERROR(SEARCH(MID(";"&amp;'CASE DATA'!$F133&amp;";",ROW($1:$99),1),";")),"",ROW($1:$99)+1),COLUMN(E133)),SMALL(IF(ISERROR(SEARCH(MID(";"&amp;'CASE DATA'!$F133&amp;";",ROW($1:$99),1),";")),"",ROW($1:$99)),COLUMN(E132)+1)-SMALL(IF(ISERROR(SEARCH(MID(";"&amp;'CASE DATA'!$F133&amp;";",ROW($1:$99),1),";")),"",ROW($1:$99)),COLUMN(E132))-1)</f>
        <v/>
      </c>
      <c r="AC133" s="75" t="str" cm="1">
        <f t="array" ref="AC133">MID(";"&amp;'CASE DATA'!$F133&amp;";",SMALL(IF(ISERROR(SEARCH(MID(";"&amp;'CASE DATA'!$F133&amp;";",ROW($1:$99),1),";")),"",ROW($1:$99)+1),COLUMN(F133)),SMALL(IF(ISERROR(SEARCH(MID(";"&amp;'CASE DATA'!$F133&amp;";",ROW($1:$99),1),";")),"",ROW($1:$99)),COLUMN(F132)+1)-SMALL(IF(ISERROR(SEARCH(MID(";"&amp;'CASE DATA'!$F133&amp;";",ROW($1:$99),1),";")),"",ROW($1:$99)),COLUMN(F132))-1)</f>
        <v/>
      </c>
      <c r="AD133" s="75" t="str" cm="1">
        <f t="array" ref="AD133">MID(";"&amp;'CASE DATA'!$F133&amp;";",SMALL(IF(ISERROR(SEARCH(MID(";"&amp;'CASE DATA'!$F133&amp;";",ROW($1:$99),1),";")),"",ROW($1:$99)+1),COLUMN(G133)),SMALL(IF(ISERROR(SEARCH(MID(";"&amp;'CASE DATA'!$F133&amp;";",ROW($1:$99),1),";")),"",ROW($1:$99)),COLUMN(G132)+1)-SMALL(IF(ISERROR(SEARCH(MID(";"&amp;'CASE DATA'!$F133&amp;";",ROW($1:$99),1),";")),"",ROW($1:$99)),COLUMN(G132))-1)</f>
        <v/>
      </c>
      <c r="AE133" s="75" t="str" cm="1">
        <f t="array" ref="AE133">MID(";"&amp;'CASE DATA'!$F133&amp;";",SMALL(IF(ISERROR(SEARCH(MID(";"&amp;'CASE DATA'!$F133&amp;";",ROW($1:$99),1),";")),"",ROW($1:$99)+1),COLUMN(H133)),SMALL(IF(ISERROR(SEARCH(MID(";"&amp;'CASE DATA'!$F133&amp;";",ROW($1:$99),1),";")),"",ROW($1:$99)),COLUMN(H132)+1)-SMALL(IF(ISERROR(SEARCH(MID(";"&amp;'CASE DATA'!$F133&amp;";",ROW($1:$99),1),";")),"",ROW($1:$99)),COLUMN(H132))-1)</f>
        <v/>
      </c>
      <c r="AF133" s="75" t="str" cm="1">
        <f t="array" ref="AF133">MID(";"&amp;'CASE DATA'!$F133&amp;";",SMALL(IF(ISERROR(SEARCH(MID(";"&amp;'CASE DATA'!$F133&amp;";",ROW($1:$99),1),";")),"",ROW($1:$99)+1),COLUMN(I133)),SMALL(IF(ISERROR(SEARCH(MID(";"&amp;'CASE DATA'!$F133&amp;";",ROW($1:$99),1),";")),"",ROW($1:$99)),COLUMN(I132)+1)-SMALL(IF(ISERROR(SEARCH(MID(";"&amp;'CASE DATA'!$F133&amp;";",ROW($1:$99),1),";")),"",ROW($1:$99)),COLUMN(I132))-1)</f>
        <v/>
      </c>
      <c r="AG133" s="75" t="str" cm="1">
        <f t="array" ref="AG133">MID(";"&amp;'CASE DATA'!$F133&amp;";",SMALL(IF(ISERROR(SEARCH(MID(";"&amp;'CASE DATA'!$F133&amp;";",ROW($1:$99),1),";")),"",ROW($1:$99)+1),COLUMN(K133)),SMALL(IF(ISERROR(SEARCH(MID(";"&amp;'CASE DATA'!$F133&amp;";",ROW($1:$99),1),";")),"",ROW($1:$99)),COLUMN(K132)+1)-SMALL(IF(ISERROR(SEARCH(MID(";"&amp;'CASE DATA'!$F133&amp;";",ROW($1:$99),1),";")),"",ROW($1:$99)),COLUMN(K132))-1)</f>
        <v/>
      </c>
      <c r="AH133" s="75" t="str" cm="1">
        <f t="array" ref="AH133">MID(";"&amp;'CASE DATA'!$F133&amp;";",SMALL(IF(ISERROR(SEARCH(MID(";"&amp;'CASE DATA'!$F133&amp;";",ROW($1:$99),1),";")),"",ROW($1:$99)+1),COLUMN(L133)),SMALL(IF(ISERROR(SEARCH(MID(";"&amp;'CASE DATA'!$F133&amp;";",ROW($1:$99),1),";")),"",ROW($1:$99)),COLUMN(L132)+1)-SMALL(IF(ISERROR(SEARCH(MID(";"&amp;'CASE DATA'!$F133&amp;";",ROW($1:$99),1),";")),"",ROW($1:$99)),COLUMN(L132))-1)</f>
        <v/>
      </c>
      <c r="AI133" s="75" t="str" cm="1">
        <f t="array" ref="AI133">MID(";"&amp;'CASE DATA'!$F133&amp;";",SMALL(IF(ISERROR(SEARCH(MID(";"&amp;'CASE DATA'!$F133&amp;";",ROW($1:$99),1),";")),"",ROW($1:$99)+1),COLUMN(M133)),SMALL(IF(ISERROR(SEARCH(MID(";"&amp;'CASE DATA'!$F133&amp;";",ROW($1:$99),1),";")),"",ROW($1:$99)),COLUMN(M132)+1)-SMALL(IF(ISERROR(SEARCH(MID(";"&amp;'CASE DATA'!$F133&amp;";",ROW($1:$99),1),";")),"",ROW($1:$99)),COLUMN(M132))-1)</f>
        <v/>
      </c>
      <c r="BO133" s="99"/>
      <c r="BP133" s="99"/>
      <c r="BQ133" s="99"/>
      <c r="BR133" s="99"/>
      <c r="BS133" s="99"/>
      <c r="BT133" s="99"/>
      <c r="BU133" s="99"/>
      <c r="BV133" s="99"/>
      <c r="BW133" s="99"/>
      <c r="BX133" s="99"/>
      <c r="BY133" s="99"/>
      <c r="BZ133" s="99"/>
      <c r="CA133" s="99"/>
      <c r="CB133" s="99"/>
      <c r="CC133" s="99"/>
      <c r="CD133" s="99"/>
      <c r="CE133" s="99"/>
      <c r="CF133" s="99"/>
      <c r="CG133" s="99"/>
      <c r="CH133" s="99"/>
      <c r="CI133" s="99"/>
      <c r="CJ133" s="99"/>
      <c r="CK133" s="99"/>
      <c r="CL133" s="99"/>
      <c r="CM133" s="99"/>
      <c r="CN133" s="99"/>
      <c r="CO133" s="99"/>
      <c r="CP133" s="99"/>
      <c r="CQ133" s="99"/>
      <c r="CR133" s="99"/>
      <c r="CS133" s="99"/>
      <c r="CT133" s="99"/>
      <c r="CU133" s="99"/>
      <c r="CV133" s="99"/>
      <c r="CW133" s="99"/>
      <c r="CX133" s="99"/>
      <c r="CY133" s="99"/>
      <c r="CZ133" s="99"/>
      <c r="DA133" s="99"/>
      <c r="DB133" s="99"/>
      <c r="DC133" s="99"/>
      <c r="DD133" s="99"/>
      <c r="DE133" s="99"/>
      <c r="DF133" s="99"/>
      <c r="DG133" s="99"/>
      <c r="DH133" s="99"/>
      <c r="DI133" s="99"/>
      <c r="DJ133" s="99"/>
      <c r="DK133" s="99"/>
      <c r="DL133" s="99"/>
      <c r="DM133" s="99"/>
      <c r="DN133" s="99"/>
      <c r="DO133" s="99"/>
      <c r="DP133" s="99"/>
      <c r="DQ133" s="99"/>
      <c r="DR133" s="99"/>
      <c r="DS133" s="99"/>
      <c r="DT133" s="99"/>
      <c r="DU133" s="99"/>
      <c r="DV133" s="99"/>
      <c r="DW133" s="99"/>
      <c r="DX133" s="99"/>
      <c r="DY133" s="99"/>
      <c r="DZ133" s="99"/>
      <c r="EA133" s="99"/>
      <c r="EB133" s="99"/>
      <c r="EC133" s="99"/>
      <c r="ED133" s="99"/>
      <c r="EE133" s="99"/>
      <c r="EF133" s="99"/>
      <c r="EG133" s="99"/>
      <c r="EH133" s="99"/>
      <c r="EI133" s="99"/>
      <c r="EJ133" s="99"/>
      <c r="EK133" s="99"/>
      <c r="EL133" s="99"/>
      <c r="EM133" s="99"/>
      <c r="EN133" s="99"/>
      <c r="EO133" s="99"/>
      <c r="EP133" s="99"/>
      <c r="EQ133" s="99"/>
      <c r="ER133" s="99"/>
      <c r="ES133" s="99"/>
      <c r="ET133" s="99"/>
      <c r="EU133" s="99"/>
      <c r="EV133" s="99"/>
      <c r="EW133" s="99"/>
      <c r="EX133" s="99"/>
      <c r="EY133" s="99"/>
      <c r="EZ133" s="99"/>
      <c r="FA133" s="99"/>
      <c r="FB133" s="99"/>
      <c r="FC133" s="99"/>
      <c r="FD133" s="99"/>
      <c r="FE133" s="99"/>
      <c r="FF133" s="99"/>
      <c r="FG133" s="99"/>
      <c r="FH133" s="99"/>
      <c r="FI133" s="99"/>
      <c r="FJ133" s="99"/>
      <c r="FK133" s="99"/>
    </row>
    <row r="134" spans="3:167" x14ac:dyDescent="0.25">
      <c r="C134" s="10"/>
      <c r="D134" s="10"/>
      <c r="E134" s="11"/>
      <c r="F134" s="15"/>
      <c r="J134" s="99">
        <v>131</v>
      </c>
      <c r="K134" s="16"/>
      <c r="L134" s="16"/>
      <c r="M134" s="16"/>
      <c r="N134" s="16"/>
      <c r="O134" s="16"/>
      <c r="P134" s="16"/>
      <c r="Q134" s="16"/>
      <c r="R134" s="16"/>
      <c r="S134" s="16"/>
      <c r="T134" s="16"/>
      <c r="U134" s="73">
        <f>SUM(K134:T134)</f>
        <v>0</v>
      </c>
      <c r="V134" s="73"/>
      <c r="X134" s="75" t="str" cm="1">
        <f t="array" ref="X134">MID(";"&amp;'CASE DATA'!$F134&amp;";",SMALL(IF(ISERROR(SEARCH(MID(";"&amp;'CASE DATA'!$F134&amp;";",ROW($1:$99),1),";")),"",ROW($1:$99)+1),COLUMN(A134)),SMALL(IF(ISERROR(SEARCH(MID(";"&amp;'CASE DATA'!$F134&amp;";",ROW($1:$99),1),";")),"",ROW($1:$99)),COLUMN(A133)+1)-SMALL(IF(ISERROR(SEARCH(MID(";"&amp;'CASE DATA'!$F134&amp;";",ROW($1:$99),1),";")),"",ROW($1:$99)),COLUMN(A133))-1)</f>
        <v/>
      </c>
      <c r="Y134" s="75" t="str" cm="1">
        <f t="array" ref="Y134">MID(";"&amp;'CASE DATA'!$F134&amp;";",SMALL(IF(ISERROR(SEARCH(MID(";"&amp;'CASE DATA'!$F134&amp;";",ROW($1:$99),1),";")),"",ROW($1:$99)+1),COLUMN(B134)),SMALL(IF(ISERROR(SEARCH(MID(";"&amp;'CASE DATA'!$F134&amp;";",ROW($1:$99),1),";")),"",ROW($1:$99)),COLUMN(B133)+1)-SMALL(IF(ISERROR(SEARCH(MID(";"&amp;'CASE DATA'!$F134&amp;";",ROW($1:$99),1),";")),"",ROW($1:$99)),COLUMN(B133))-1)</f>
        <v/>
      </c>
      <c r="Z134" s="75" t="str" cm="1">
        <f t="array" ref="Z134">MID(";"&amp;'CASE DATA'!$F134&amp;";",SMALL(IF(ISERROR(SEARCH(MID(";"&amp;'CASE DATA'!$F134&amp;";",ROW($1:$99),1),";")),"",ROW($1:$99)+1),COLUMN(C134)),SMALL(IF(ISERROR(SEARCH(MID(";"&amp;'CASE DATA'!$F134&amp;";",ROW($1:$99),1),";")),"",ROW($1:$99)),COLUMN(C133)+1)-SMALL(IF(ISERROR(SEARCH(MID(";"&amp;'CASE DATA'!$F134&amp;";",ROW($1:$99),1),";")),"",ROW($1:$99)),COLUMN(C133))-1)</f>
        <v/>
      </c>
      <c r="AA134" s="75" t="str" cm="1">
        <f t="array" ref="AA134">MID(";"&amp;'CASE DATA'!$F134&amp;";",SMALL(IF(ISERROR(SEARCH(MID(";"&amp;'CASE DATA'!$F134&amp;";",ROW($1:$99),1),";")),"",ROW($1:$99)+1),COLUMN(D134)),SMALL(IF(ISERROR(SEARCH(MID(";"&amp;'CASE DATA'!$F134&amp;";",ROW($1:$99),1),";")),"",ROW($1:$99)),COLUMN(D133)+1)-SMALL(IF(ISERROR(SEARCH(MID(";"&amp;'CASE DATA'!$F134&amp;";",ROW($1:$99),1),";")),"",ROW($1:$99)),COLUMN(D133))-1)</f>
        <v/>
      </c>
      <c r="AB134" s="75" t="str" cm="1">
        <f t="array" ref="AB134">MID(";"&amp;'CASE DATA'!$F134&amp;";",SMALL(IF(ISERROR(SEARCH(MID(";"&amp;'CASE DATA'!$F134&amp;";",ROW($1:$99),1),";")),"",ROW($1:$99)+1),COLUMN(E134)),SMALL(IF(ISERROR(SEARCH(MID(";"&amp;'CASE DATA'!$F134&amp;";",ROW($1:$99),1),";")),"",ROW($1:$99)),COLUMN(E133)+1)-SMALL(IF(ISERROR(SEARCH(MID(";"&amp;'CASE DATA'!$F134&amp;";",ROW($1:$99),1),";")),"",ROW($1:$99)),COLUMN(E133))-1)</f>
        <v/>
      </c>
      <c r="AC134" s="75" t="str" cm="1">
        <f t="array" ref="AC134">MID(";"&amp;'CASE DATA'!$F134&amp;";",SMALL(IF(ISERROR(SEARCH(MID(";"&amp;'CASE DATA'!$F134&amp;";",ROW($1:$99),1),";")),"",ROW($1:$99)+1),COLUMN(F134)),SMALL(IF(ISERROR(SEARCH(MID(";"&amp;'CASE DATA'!$F134&amp;";",ROW($1:$99),1),";")),"",ROW($1:$99)),COLUMN(F133)+1)-SMALL(IF(ISERROR(SEARCH(MID(";"&amp;'CASE DATA'!$F134&amp;";",ROW($1:$99),1),";")),"",ROW($1:$99)),COLUMN(F133))-1)</f>
        <v/>
      </c>
      <c r="AD134" s="75" t="str" cm="1">
        <f t="array" ref="AD134">MID(";"&amp;'CASE DATA'!$F134&amp;";",SMALL(IF(ISERROR(SEARCH(MID(";"&amp;'CASE DATA'!$F134&amp;";",ROW($1:$99),1),";")),"",ROW($1:$99)+1),COLUMN(G134)),SMALL(IF(ISERROR(SEARCH(MID(";"&amp;'CASE DATA'!$F134&amp;";",ROW($1:$99),1),";")),"",ROW($1:$99)),COLUMN(G133)+1)-SMALL(IF(ISERROR(SEARCH(MID(";"&amp;'CASE DATA'!$F134&amp;";",ROW($1:$99),1),";")),"",ROW($1:$99)),COLUMN(G133))-1)</f>
        <v/>
      </c>
      <c r="AE134" s="75" t="str" cm="1">
        <f t="array" ref="AE134">MID(";"&amp;'CASE DATA'!$F134&amp;";",SMALL(IF(ISERROR(SEARCH(MID(";"&amp;'CASE DATA'!$F134&amp;";",ROW($1:$99),1),";")),"",ROW($1:$99)+1),COLUMN(H134)),SMALL(IF(ISERROR(SEARCH(MID(";"&amp;'CASE DATA'!$F134&amp;";",ROW($1:$99),1),";")),"",ROW($1:$99)),COLUMN(H133)+1)-SMALL(IF(ISERROR(SEARCH(MID(";"&amp;'CASE DATA'!$F134&amp;";",ROW($1:$99),1),";")),"",ROW($1:$99)),COLUMN(H133))-1)</f>
        <v/>
      </c>
      <c r="AF134" s="75" t="str" cm="1">
        <f t="array" ref="AF134">MID(";"&amp;'CASE DATA'!$F134&amp;";",SMALL(IF(ISERROR(SEARCH(MID(";"&amp;'CASE DATA'!$F134&amp;";",ROW($1:$99),1),";")),"",ROW($1:$99)+1),COLUMN(I134)),SMALL(IF(ISERROR(SEARCH(MID(";"&amp;'CASE DATA'!$F134&amp;";",ROW($1:$99),1),";")),"",ROW($1:$99)),COLUMN(I133)+1)-SMALL(IF(ISERROR(SEARCH(MID(";"&amp;'CASE DATA'!$F134&amp;";",ROW($1:$99),1),";")),"",ROW($1:$99)),COLUMN(I133))-1)</f>
        <v/>
      </c>
      <c r="AG134" s="75" t="str" cm="1">
        <f t="array" ref="AG134">MID(";"&amp;'CASE DATA'!$F134&amp;";",SMALL(IF(ISERROR(SEARCH(MID(";"&amp;'CASE DATA'!$F134&amp;";",ROW($1:$99),1),";")),"",ROW($1:$99)+1),COLUMN(K134)),SMALL(IF(ISERROR(SEARCH(MID(";"&amp;'CASE DATA'!$F134&amp;";",ROW($1:$99),1),";")),"",ROW($1:$99)),COLUMN(K133)+1)-SMALL(IF(ISERROR(SEARCH(MID(";"&amp;'CASE DATA'!$F134&amp;";",ROW($1:$99),1),";")),"",ROW($1:$99)),COLUMN(K133))-1)</f>
        <v/>
      </c>
      <c r="AH134" s="75" t="str" cm="1">
        <f t="array" ref="AH134">MID(";"&amp;'CASE DATA'!$F134&amp;";",SMALL(IF(ISERROR(SEARCH(MID(";"&amp;'CASE DATA'!$F134&amp;";",ROW($1:$99),1),";")),"",ROW($1:$99)+1),COLUMN(L134)),SMALL(IF(ISERROR(SEARCH(MID(";"&amp;'CASE DATA'!$F134&amp;";",ROW($1:$99),1),";")),"",ROW($1:$99)),COLUMN(L133)+1)-SMALL(IF(ISERROR(SEARCH(MID(";"&amp;'CASE DATA'!$F134&amp;";",ROW($1:$99),1),";")),"",ROW($1:$99)),COLUMN(L133))-1)</f>
        <v/>
      </c>
      <c r="AI134" s="75" t="str" cm="1">
        <f t="array" ref="AI134">MID(";"&amp;'CASE DATA'!$F134&amp;";",SMALL(IF(ISERROR(SEARCH(MID(";"&amp;'CASE DATA'!$F134&amp;";",ROW($1:$99),1),";")),"",ROW($1:$99)+1),COLUMN(M134)),SMALL(IF(ISERROR(SEARCH(MID(";"&amp;'CASE DATA'!$F134&amp;";",ROW($1:$99),1),";")),"",ROW($1:$99)),COLUMN(M133)+1)-SMALL(IF(ISERROR(SEARCH(MID(";"&amp;'CASE DATA'!$F134&amp;";",ROW($1:$99),1),";")),"",ROW($1:$99)),COLUMN(M133))-1)</f>
        <v/>
      </c>
      <c r="BO134" s="99"/>
      <c r="BP134" s="99"/>
      <c r="BQ134" s="99"/>
      <c r="BR134" s="99"/>
      <c r="BS134" s="99"/>
      <c r="BT134" s="99"/>
      <c r="BU134" s="99"/>
      <c r="BV134" s="99"/>
      <c r="BW134" s="99"/>
      <c r="BX134" s="99"/>
      <c r="BY134" s="99"/>
      <c r="BZ134" s="99"/>
      <c r="CA134" s="99"/>
      <c r="CB134" s="99"/>
      <c r="CC134" s="99"/>
      <c r="CD134" s="99"/>
      <c r="CE134" s="99"/>
      <c r="CF134" s="99"/>
      <c r="CG134" s="99"/>
      <c r="CH134" s="99"/>
      <c r="CI134" s="99"/>
      <c r="CJ134" s="99"/>
      <c r="CK134" s="99"/>
      <c r="CL134" s="99"/>
      <c r="CM134" s="99"/>
      <c r="CN134" s="99"/>
      <c r="CO134" s="99"/>
      <c r="CP134" s="99"/>
      <c r="CQ134" s="99"/>
      <c r="CR134" s="99"/>
      <c r="CS134" s="99"/>
      <c r="CT134" s="99"/>
      <c r="CU134" s="99"/>
      <c r="CV134" s="99"/>
      <c r="CW134" s="99"/>
      <c r="CX134" s="99"/>
      <c r="CY134" s="99"/>
      <c r="CZ134" s="99"/>
      <c r="DA134" s="99"/>
      <c r="DB134" s="99"/>
      <c r="DC134" s="99"/>
      <c r="DD134" s="99"/>
      <c r="DE134" s="99"/>
      <c r="DF134" s="99"/>
      <c r="DG134" s="99"/>
      <c r="DH134" s="99"/>
      <c r="DI134" s="99"/>
      <c r="DJ134" s="99"/>
      <c r="DK134" s="99"/>
      <c r="DL134" s="99"/>
      <c r="DM134" s="99"/>
      <c r="DN134" s="99"/>
      <c r="DO134" s="99"/>
      <c r="DP134" s="99"/>
      <c r="DQ134" s="99"/>
      <c r="DR134" s="99"/>
      <c r="DS134" s="99"/>
      <c r="DT134" s="99"/>
      <c r="DU134" s="99"/>
      <c r="DV134" s="99"/>
      <c r="DW134" s="99"/>
      <c r="DX134" s="99"/>
      <c r="DY134" s="99"/>
      <c r="DZ134" s="99"/>
      <c r="EA134" s="99"/>
      <c r="EB134" s="99"/>
      <c r="EC134" s="99"/>
      <c r="ED134" s="99"/>
      <c r="EE134" s="99"/>
      <c r="EF134" s="99"/>
      <c r="EG134" s="99"/>
      <c r="EH134" s="99"/>
      <c r="EI134" s="99"/>
      <c r="EJ134" s="99"/>
      <c r="EK134" s="99"/>
      <c r="EL134" s="99"/>
      <c r="EM134" s="99"/>
      <c r="EN134" s="99"/>
      <c r="EO134" s="99"/>
      <c r="EP134" s="99"/>
      <c r="EQ134" s="99"/>
      <c r="ER134" s="99"/>
      <c r="ES134" s="99"/>
      <c r="ET134" s="99"/>
      <c r="EU134" s="99"/>
      <c r="EV134" s="99"/>
      <c r="EW134" s="99"/>
      <c r="EX134" s="99"/>
      <c r="EY134" s="99"/>
      <c r="EZ134" s="99"/>
      <c r="FA134" s="99"/>
      <c r="FB134" s="99"/>
      <c r="FC134" s="99"/>
      <c r="FD134" s="99"/>
      <c r="FE134" s="99"/>
      <c r="FF134" s="99"/>
      <c r="FG134" s="99"/>
      <c r="FH134" s="99"/>
      <c r="FI134" s="99"/>
      <c r="FJ134" s="99"/>
      <c r="FK134" s="99"/>
    </row>
    <row r="135" spans="3:167" x14ac:dyDescent="0.25">
      <c r="C135" s="10"/>
      <c r="D135" s="10"/>
      <c r="E135" s="11"/>
      <c r="F135" s="15"/>
      <c r="J135" s="99">
        <v>132</v>
      </c>
      <c r="K135" s="16"/>
      <c r="L135" s="16"/>
      <c r="M135" s="16"/>
      <c r="N135" s="16"/>
      <c r="O135" s="16"/>
      <c r="P135" s="16"/>
      <c r="Q135" s="16"/>
      <c r="R135" s="16"/>
      <c r="S135" s="16"/>
      <c r="T135" s="16"/>
      <c r="U135" s="73">
        <f>SUM(K135:T135)</f>
        <v>0</v>
      </c>
      <c r="V135" s="73"/>
      <c r="X135" s="75" t="str" cm="1">
        <f t="array" ref="X135">MID(";"&amp;'CASE DATA'!$F135&amp;";",SMALL(IF(ISERROR(SEARCH(MID(";"&amp;'CASE DATA'!$F135&amp;";",ROW($1:$99),1),";")),"",ROW($1:$99)+1),COLUMN(A135)),SMALL(IF(ISERROR(SEARCH(MID(";"&amp;'CASE DATA'!$F135&amp;";",ROW($1:$99),1),";")),"",ROW($1:$99)),COLUMN(A134)+1)-SMALL(IF(ISERROR(SEARCH(MID(";"&amp;'CASE DATA'!$F135&amp;";",ROW($1:$99),1),";")),"",ROW($1:$99)),COLUMN(A134))-1)</f>
        <v/>
      </c>
      <c r="Y135" s="75" t="str" cm="1">
        <f t="array" ref="Y135">MID(";"&amp;'CASE DATA'!$F135&amp;";",SMALL(IF(ISERROR(SEARCH(MID(";"&amp;'CASE DATA'!$F135&amp;";",ROW($1:$99),1),";")),"",ROW($1:$99)+1),COLUMN(B135)),SMALL(IF(ISERROR(SEARCH(MID(";"&amp;'CASE DATA'!$F135&amp;";",ROW($1:$99),1),";")),"",ROW($1:$99)),COLUMN(B134)+1)-SMALL(IF(ISERROR(SEARCH(MID(";"&amp;'CASE DATA'!$F135&amp;";",ROW($1:$99),1),";")),"",ROW($1:$99)),COLUMN(B134))-1)</f>
        <v/>
      </c>
      <c r="Z135" s="75" t="str" cm="1">
        <f t="array" ref="Z135">MID(";"&amp;'CASE DATA'!$F135&amp;";",SMALL(IF(ISERROR(SEARCH(MID(";"&amp;'CASE DATA'!$F135&amp;";",ROW($1:$99),1),";")),"",ROW($1:$99)+1),COLUMN(C135)),SMALL(IF(ISERROR(SEARCH(MID(";"&amp;'CASE DATA'!$F135&amp;";",ROW($1:$99),1),";")),"",ROW($1:$99)),COLUMN(C134)+1)-SMALL(IF(ISERROR(SEARCH(MID(";"&amp;'CASE DATA'!$F135&amp;";",ROW($1:$99),1),";")),"",ROW($1:$99)),COLUMN(C134))-1)</f>
        <v/>
      </c>
      <c r="AA135" s="75" t="str" cm="1">
        <f t="array" ref="AA135">MID(";"&amp;'CASE DATA'!$F135&amp;";",SMALL(IF(ISERROR(SEARCH(MID(";"&amp;'CASE DATA'!$F135&amp;";",ROW($1:$99),1),";")),"",ROW($1:$99)+1),COLUMN(D135)),SMALL(IF(ISERROR(SEARCH(MID(";"&amp;'CASE DATA'!$F135&amp;";",ROW($1:$99),1),";")),"",ROW($1:$99)),COLUMN(D134)+1)-SMALL(IF(ISERROR(SEARCH(MID(";"&amp;'CASE DATA'!$F135&amp;";",ROW($1:$99),1),";")),"",ROW($1:$99)),COLUMN(D134))-1)</f>
        <v/>
      </c>
      <c r="AB135" s="75" t="str" cm="1">
        <f t="array" ref="AB135">MID(";"&amp;'CASE DATA'!$F135&amp;";",SMALL(IF(ISERROR(SEARCH(MID(";"&amp;'CASE DATA'!$F135&amp;";",ROW($1:$99),1),";")),"",ROW($1:$99)+1),COLUMN(E135)),SMALL(IF(ISERROR(SEARCH(MID(";"&amp;'CASE DATA'!$F135&amp;";",ROW($1:$99),1),";")),"",ROW($1:$99)),COLUMN(E134)+1)-SMALL(IF(ISERROR(SEARCH(MID(";"&amp;'CASE DATA'!$F135&amp;";",ROW($1:$99),1),";")),"",ROW($1:$99)),COLUMN(E134))-1)</f>
        <v/>
      </c>
      <c r="AC135" s="75" t="str" cm="1">
        <f t="array" ref="AC135">MID(";"&amp;'CASE DATA'!$F135&amp;";",SMALL(IF(ISERROR(SEARCH(MID(";"&amp;'CASE DATA'!$F135&amp;";",ROW($1:$99),1),";")),"",ROW($1:$99)+1),COLUMN(F135)),SMALL(IF(ISERROR(SEARCH(MID(";"&amp;'CASE DATA'!$F135&amp;";",ROW($1:$99),1),";")),"",ROW($1:$99)),COLUMN(F134)+1)-SMALL(IF(ISERROR(SEARCH(MID(";"&amp;'CASE DATA'!$F135&amp;";",ROW($1:$99),1),";")),"",ROW($1:$99)),COLUMN(F134))-1)</f>
        <v/>
      </c>
      <c r="AD135" s="75" t="str" cm="1">
        <f t="array" ref="AD135">MID(";"&amp;'CASE DATA'!$F135&amp;";",SMALL(IF(ISERROR(SEARCH(MID(";"&amp;'CASE DATA'!$F135&amp;";",ROW($1:$99),1),";")),"",ROW($1:$99)+1),COLUMN(G135)),SMALL(IF(ISERROR(SEARCH(MID(";"&amp;'CASE DATA'!$F135&amp;";",ROW($1:$99),1),";")),"",ROW($1:$99)),COLUMN(G134)+1)-SMALL(IF(ISERROR(SEARCH(MID(";"&amp;'CASE DATA'!$F135&amp;";",ROW($1:$99),1),";")),"",ROW($1:$99)),COLUMN(G134))-1)</f>
        <v/>
      </c>
      <c r="AE135" s="75" t="str" cm="1">
        <f t="array" ref="AE135">MID(";"&amp;'CASE DATA'!$F135&amp;";",SMALL(IF(ISERROR(SEARCH(MID(";"&amp;'CASE DATA'!$F135&amp;";",ROW($1:$99),1),";")),"",ROW($1:$99)+1),COLUMN(H135)),SMALL(IF(ISERROR(SEARCH(MID(";"&amp;'CASE DATA'!$F135&amp;";",ROW($1:$99),1),";")),"",ROW($1:$99)),COLUMN(H134)+1)-SMALL(IF(ISERROR(SEARCH(MID(";"&amp;'CASE DATA'!$F135&amp;";",ROW($1:$99),1),";")),"",ROW($1:$99)),COLUMN(H134))-1)</f>
        <v/>
      </c>
      <c r="AF135" s="75" t="str" cm="1">
        <f t="array" ref="AF135">MID(";"&amp;'CASE DATA'!$F135&amp;";",SMALL(IF(ISERROR(SEARCH(MID(";"&amp;'CASE DATA'!$F135&amp;";",ROW($1:$99),1),";")),"",ROW($1:$99)+1),COLUMN(I135)),SMALL(IF(ISERROR(SEARCH(MID(";"&amp;'CASE DATA'!$F135&amp;";",ROW($1:$99),1),";")),"",ROW($1:$99)),COLUMN(I134)+1)-SMALL(IF(ISERROR(SEARCH(MID(";"&amp;'CASE DATA'!$F135&amp;";",ROW($1:$99),1),";")),"",ROW($1:$99)),COLUMN(I134))-1)</f>
        <v/>
      </c>
      <c r="AG135" s="75" t="str" cm="1">
        <f t="array" ref="AG135">MID(";"&amp;'CASE DATA'!$F135&amp;";",SMALL(IF(ISERROR(SEARCH(MID(";"&amp;'CASE DATA'!$F135&amp;";",ROW($1:$99),1),";")),"",ROW($1:$99)+1),COLUMN(K135)),SMALL(IF(ISERROR(SEARCH(MID(";"&amp;'CASE DATA'!$F135&amp;";",ROW($1:$99),1),";")),"",ROW($1:$99)),COLUMN(K134)+1)-SMALL(IF(ISERROR(SEARCH(MID(";"&amp;'CASE DATA'!$F135&amp;";",ROW($1:$99),1),";")),"",ROW($1:$99)),COLUMN(K134))-1)</f>
        <v/>
      </c>
      <c r="AH135" s="75" t="str" cm="1">
        <f t="array" ref="AH135">MID(";"&amp;'CASE DATA'!$F135&amp;";",SMALL(IF(ISERROR(SEARCH(MID(";"&amp;'CASE DATA'!$F135&amp;";",ROW($1:$99),1),";")),"",ROW($1:$99)+1),COLUMN(L135)),SMALL(IF(ISERROR(SEARCH(MID(";"&amp;'CASE DATA'!$F135&amp;";",ROW($1:$99),1),";")),"",ROW($1:$99)),COLUMN(L134)+1)-SMALL(IF(ISERROR(SEARCH(MID(";"&amp;'CASE DATA'!$F135&amp;";",ROW($1:$99),1),";")),"",ROW($1:$99)),COLUMN(L134))-1)</f>
        <v/>
      </c>
      <c r="AI135" s="75" t="str" cm="1">
        <f t="array" ref="AI135">MID(";"&amp;'CASE DATA'!$F135&amp;";",SMALL(IF(ISERROR(SEARCH(MID(";"&amp;'CASE DATA'!$F135&amp;";",ROW($1:$99),1),";")),"",ROW($1:$99)+1),COLUMN(M135)),SMALL(IF(ISERROR(SEARCH(MID(";"&amp;'CASE DATA'!$F135&amp;";",ROW($1:$99),1),";")),"",ROW($1:$99)),COLUMN(M134)+1)-SMALL(IF(ISERROR(SEARCH(MID(";"&amp;'CASE DATA'!$F135&amp;";",ROW($1:$99),1),";")),"",ROW($1:$99)),COLUMN(M134))-1)</f>
        <v/>
      </c>
      <c r="BO135" s="99"/>
      <c r="BP135" s="99"/>
      <c r="BQ135" s="99"/>
      <c r="BR135" s="99"/>
      <c r="BS135" s="99"/>
      <c r="BT135" s="99"/>
      <c r="BU135" s="99"/>
      <c r="BV135" s="99"/>
      <c r="BW135" s="99"/>
      <c r="BX135" s="99"/>
      <c r="BY135" s="99"/>
      <c r="BZ135" s="99"/>
      <c r="CA135" s="99"/>
      <c r="CB135" s="99"/>
      <c r="CC135" s="99"/>
      <c r="CD135" s="99"/>
      <c r="CE135" s="99"/>
      <c r="CF135" s="99"/>
      <c r="CG135" s="99"/>
      <c r="CH135" s="99"/>
      <c r="CI135" s="99"/>
      <c r="CJ135" s="99"/>
      <c r="CK135" s="99"/>
      <c r="CL135" s="99"/>
      <c r="CM135" s="99"/>
      <c r="CN135" s="99"/>
      <c r="CO135" s="99"/>
      <c r="CP135" s="99"/>
      <c r="CQ135" s="99"/>
      <c r="CR135" s="99"/>
      <c r="CS135" s="99"/>
      <c r="CT135" s="99"/>
      <c r="CU135" s="99"/>
      <c r="CV135" s="99"/>
      <c r="CW135" s="99"/>
      <c r="CX135" s="99"/>
      <c r="CY135" s="99"/>
      <c r="CZ135" s="99"/>
      <c r="DA135" s="99"/>
      <c r="DB135" s="99"/>
      <c r="DC135" s="99"/>
      <c r="DD135" s="99"/>
      <c r="DE135" s="99"/>
      <c r="DF135" s="99"/>
      <c r="DG135" s="99"/>
      <c r="DH135" s="99"/>
      <c r="DI135" s="99"/>
      <c r="DJ135" s="99"/>
      <c r="DK135" s="99"/>
      <c r="DL135" s="99"/>
      <c r="DM135" s="99"/>
      <c r="DN135" s="99"/>
      <c r="DO135" s="99"/>
      <c r="DP135" s="99"/>
      <c r="DQ135" s="99"/>
      <c r="DR135" s="99"/>
      <c r="DS135" s="99"/>
      <c r="DT135" s="99"/>
      <c r="DU135" s="99"/>
      <c r="DV135" s="99"/>
      <c r="DW135" s="99"/>
      <c r="DX135" s="99"/>
      <c r="DY135" s="99"/>
      <c r="DZ135" s="99"/>
      <c r="EA135" s="99"/>
      <c r="EB135" s="99"/>
      <c r="EC135" s="99"/>
      <c r="ED135" s="99"/>
      <c r="EE135" s="99"/>
      <c r="EF135" s="99"/>
      <c r="EG135" s="99"/>
      <c r="EH135" s="99"/>
      <c r="EI135" s="99"/>
      <c r="EJ135" s="99"/>
      <c r="EK135" s="99"/>
      <c r="EL135" s="99"/>
      <c r="EM135" s="99"/>
      <c r="EN135" s="99"/>
      <c r="EO135" s="99"/>
      <c r="EP135" s="99"/>
      <c r="EQ135" s="99"/>
      <c r="ER135" s="99"/>
      <c r="ES135" s="99"/>
      <c r="ET135" s="99"/>
      <c r="EU135" s="99"/>
      <c r="EV135" s="99"/>
      <c r="EW135" s="99"/>
      <c r="EX135" s="99"/>
      <c r="EY135" s="99"/>
      <c r="EZ135" s="99"/>
      <c r="FA135" s="99"/>
      <c r="FB135" s="99"/>
      <c r="FC135" s="99"/>
      <c r="FD135" s="99"/>
      <c r="FE135" s="99"/>
      <c r="FF135" s="99"/>
      <c r="FG135" s="99"/>
      <c r="FH135" s="99"/>
      <c r="FI135" s="99"/>
      <c r="FJ135" s="99"/>
      <c r="FK135" s="99"/>
    </row>
    <row r="136" spans="3:167" x14ac:dyDescent="0.25">
      <c r="C136" s="10"/>
      <c r="D136" s="10"/>
      <c r="E136" s="11"/>
      <c r="F136" s="15"/>
      <c r="J136" s="99">
        <v>133</v>
      </c>
      <c r="K136" s="16"/>
      <c r="L136" s="16"/>
      <c r="M136" s="16"/>
      <c r="N136" s="16"/>
      <c r="O136" s="16"/>
      <c r="P136" s="16"/>
      <c r="Q136" s="16"/>
      <c r="R136" s="16"/>
      <c r="S136" s="16"/>
      <c r="T136" s="16"/>
      <c r="U136" s="73">
        <f>SUM(K136:T136)</f>
        <v>0</v>
      </c>
      <c r="V136" s="73"/>
      <c r="X136" s="75" t="str" cm="1">
        <f t="array" ref="X136">MID(";"&amp;'CASE DATA'!$F136&amp;";",SMALL(IF(ISERROR(SEARCH(MID(";"&amp;'CASE DATA'!$F136&amp;";",ROW($1:$99),1),";")),"",ROW($1:$99)+1),COLUMN(A136)),SMALL(IF(ISERROR(SEARCH(MID(";"&amp;'CASE DATA'!$F136&amp;";",ROW($1:$99),1),";")),"",ROW($1:$99)),COLUMN(A135)+1)-SMALL(IF(ISERROR(SEARCH(MID(";"&amp;'CASE DATA'!$F136&amp;";",ROW($1:$99),1),";")),"",ROW($1:$99)),COLUMN(A135))-1)</f>
        <v/>
      </c>
      <c r="Y136" s="75" t="str" cm="1">
        <f t="array" ref="Y136">MID(";"&amp;'CASE DATA'!$F136&amp;";",SMALL(IF(ISERROR(SEARCH(MID(";"&amp;'CASE DATA'!$F136&amp;";",ROW($1:$99),1),";")),"",ROW($1:$99)+1),COLUMN(B136)),SMALL(IF(ISERROR(SEARCH(MID(";"&amp;'CASE DATA'!$F136&amp;";",ROW($1:$99),1),";")),"",ROW($1:$99)),COLUMN(B135)+1)-SMALL(IF(ISERROR(SEARCH(MID(";"&amp;'CASE DATA'!$F136&amp;";",ROW($1:$99),1),";")),"",ROW($1:$99)),COLUMN(B135))-1)</f>
        <v/>
      </c>
      <c r="Z136" s="75" t="str" cm="1">
        <f t="array" ref="Z136">MID(";"&amp;'CASE DATA'!$F136&amp;";",SMALL(IF(ISERROR(SEARCH(MID(";"&amp;'CASE DATA'!$F136&amp;";",ROW($1:$99),1),";")),"",ROW($1:$99)+1),COLUMN(C136)),SMALL(IF(ISERROR(SEARCH(MID(";"&amp;'CASE DATA'!$F136&amp;";",ROW($1:$99),1),";")),"",ROW($1:$99)),COLUMN(C135)+1)-SMALL(IF(ISERROR(SEARCH(MID(";"&amp;'CASE DATA'!$F136&amp;";",ROW($1:$99),1),";")),"",ROW($1:$99)),COLUMN(C135))-1)</f>
        <v/>
      </c>
      <c r="AA136" s="75" t="str" cm="1">
        <f t="array" ref="AA136">MID(";"&amp;'CASE DATA'!$F136&amp;";",SMALL(IF(ISERROR(SEARCH(MID(";"&amp;'CASE DATA'!$F136&amp;";",ROW($1:$99),1),";")),"",ROW($1:$99)+1),COLUMN(D136)),SMALL(IF(ISERROR(SEARCH(MID(";"&amp;'CASE DATA'!$F136&amp;";",ROW($1:$99),1),";")),"",ROW($1:$99)),COLUMN(D135)+1)-SMALL(IF(ISERROR(SEARCH(MID(";"&amp;'CASE DATA'!$F136&amp;";",ROW($1:$99),1),";")),"",ROW($1:$99)),COLUMN(D135))-1)</f>
        <v/>
      </c>
      <c r="AB136" s="75" t="str" cm="1">
        <f t="array" ref="AB136">MID(";"&amp;'CASE DATA'!$F136&amp;";",SMALL(IF(ISERROR(SEARCH(MID(";"&amp;'CASE DATA'!$F136&amp;";",ROW($1:$99),1),";")),"",ROW($1:$99)+1),COLUMN(E136)),SMALL(IF(ISERROR(SEARCH(MID(";"&amp;'CASE DATA'!$F136&amp;";",ROW($1:$99),1),";")),"",ROW($1:$99)),COLUMN(E135)+1)-SMALL(IF(ISERROR(SEARCH(MID(";"&amp;'CASE DATA'!$F136&amp;";",ROW($1:$99),1),";")),"",ROW($1:$99)),COLUMN(E135))-1)</f>
        <v/>
      </c>
      <c r="AC136" s="75" t="str" cm="1">
        <f t="array" ref="AC136">MID(";"&amp;'CASE DATA'!$F136&amp;";",SMALL(IF(ISERROR(SEARCH(MID(";"&amp;'CASE DATA'!$F136&amp;";",ROW($1:$99),1),";")),"",ROW($1:$99)+1),COLUMN(F136)),SMALL(IF(ISERROR(SEARCH(MID(";"&amp;'CASE DATA'!$F136&amp;";",ROW($1:$99),1),";")),"",ROW($1:$99)),COLUMN(F135)+1)-SMALL(IF(ISERROR(SEARCH(MID(";"&amp;'CASE DATA'!$F136&amp;";",ROW($1:$99),1),";")),"",ROW($1:$99)),COLUMN(F135))-1)</f>
        <v/>
      </c>
      <c r="AD136" s="75" t="str" cm="1">
        <f t="array" ref="AD136">MID(";"&amp;'CASE DATA'!$F136&amp;";",SMALL(IF(ISERROR(SEARCH(MID(";"&amp;'CASE DATA'!$F136&amp;";",ROW($1:$99),1),";")),"",ROW($1:$99)+1),COLUMN(G136)),SMALL(IF(ISERROR(SEARCH(MID(";"&amp;'CASE DATA'!$F136&amp;";",ROW($1:$99),1),";")),"",ROW($1:$99)),COLUMN(G135)+1)-SMALL(IF(ISERROR(SEARCH(MID(";"&amp;'CASE DATA'!$F136&amp;";",ROW($1:$99),1),";")),"",ROW($1:$99)),COLUMN(G135))-1)</f>
        <v/>
      </c>
      <c r="AE136" s="75" t="str" cm="1">
        <f t="array" ref="AE136">MID(";"&amp;'CASE DATA'!$F136&amp;";",SMALL(IF(ISERROR(SEARCH(MID(";"&amp;'CASE DATA'!$F136&amp;";",ROW($1:$99),1),";")),"",ROW($1:$99)+1),COLUMN(H136)),SMALL(IF(ISERROR(SEARCH(MID(";"&amp;'CASE DATA'!$F136&amp;";",ROW($1:$99),1),";")),"",ROW($1:$99)),COLUMN(H135)+1)-SMALL(IF(ISERROR(SEARCH(MID(";"&amp;'CASE DATA'!$F136&amp;";",ROW($1:$99),1),";")),"",ROW($1:$99)),COLUMN(H135))-1)</f>
        <v/>
      </c>
      <c r="AF136" s="75" t="str" cm="1">
        <f t="array" ref="AF136">MID(";"&amp;'CASE DATA'!$F136&amp;";",SMALL(IF(ISERROR(SEARCH(MID(";"&amp;'CASE DATA'!$F136&amp;";",ROW($1:$99),1),";")),"",ROW($1:$99)+1),COLUMN(I136)),SMALL(IF(ISERROR(SEARCH(MID(";"&amp;'CASE DATA'!$F136&amp;";",ROW($1:$99),1),";")),"",ROW($1:$99)),COLUMN(I135)+1)-SMALL(IF(ISERROR(SEARCH(MID(";"&amp;'CASE DATA'!$F136&amp;";",ROW($1:$99),1),";")),"",ROW($1:$99)),COLUMN(I135))-1)</f>
        <v/>
      </c>
      <c r="AG136" s="75" t="str" cm="1">
        <f t="array" ref="AG136">MID(";"&amp;'CASE DATA'!$F136&amp;";",SMALL(IF(ISERROR(SEARCH(MID(";"&amp;'CASE DATA'!$F136&amp;";",ROW($1:$99),1),";")),"",ROW($1:$99)+1),COLUMN(K136)),SMALL(IF(ISERROR(SEARCH(MID(";"&amp;'CASE DATA'!$F136&amp;";",ROW($1:$99),1),";")),"",ROW($1:$99)),COLUMN(K135)+1)-SMALL(IF(ISERROR(SEARCH(MID(";"&amp;'CASE DATA'!$F136&amp;";",ROW($1:$99),1),";")),"",ROW($1:$99)),COLUMN(K135))-1)</f>
        <v/>
      </c>
      <c r="AH136" s="75" t="str" cm="1">
        <f t="array" ref="AH136">MID(";"&amp;'CASE DATA'!$F136&amp;";",SMALL(IF(ISERROR(SEARCH(MID(";"&amp;'CASE DATA'!$F136&amp;";",ROW($1:$99),1),";")),"",ROW($1:$99)+1),COLUMN(L136)),SMALL(IF(ISERROR(SEARCH(MID(";"&amp;'CASE DATA'!$F136&amp;";",ROW($1:$99),1),";")),"",ROW($1:$99)),COLUMN(L135)+1)-SMALL(IF(ISERROR(SEARCH(MID(";"&amp;'CASE DATA'!$F136&amp;";",ROW($1:$99),1),";")),"",ROW($1:$99)),COLUMN(L135))-1)</f>
        <v/>
      </c>
      <c r="AI136" s="75" t="str" cm="1">
        <f t="array" ref="AI136">MID(";"&amp;'CASE DATA'!$F136&amp;";",SMALL(IF(ISERROR(SEARCH(MID(";"&amp;'CASE DATA'!$F136&amp;";",ROW($1:$99),1),";")),"",ROW($1:$99)+1),COLUMN(M136)),SMALL(IF(ISERROR(SEARCH(MID(";"&amp;'CASE DATA'!$F136&amp;";",ROW($1:$99),1),";")),"",ROW($1:$99)),COLUMN(M135)+1)-SMALL(IF(ISERROR(SEARCH(MID(";"&amp;'CASE DATA'!$F136&amp;";",ROW($1:$99),1),";")),"",ROW($1:$99)),COLUMN(M135))-1)</f>
        <v/>
      </c>
      <c r="BO136" s="99"/>
      <c r="BP136" s="99"/>
      <c r="BQ136" s="99"/>
      <c r="BR136" s="99"/>
      <c r="BS136" s="99"/>
      <c r="BT136" s="99"/>
      <c r="BU136" s="99"/>
      <c r="BV136" s="99"/>
      <c r="BW136" s="99"/>
      <c r="BX136" s="99"/>
      <c r="BY136" s="99"/>
      <c r="BZ136" s="99"/>
      <c r="CA136" s="99"/>
      <c r="CB136" s="99"/>
      <c r="CC136" s="99"/>
      <c r="CD136" s="99"/>
      <c r="CE136" s="99"/>
      <c r="CF136" s="99"/>
      <c r="CG136" s="99"/>
      <c r="CH136" s="99"/>
      <c r="CI136" s="99"/>
      <c r="CJ136" s="99"/>
      <c r="CK136" s="99"/>
      <c r="CL136" s="99"/>
      <c r="CM136" s="99"/>
      <c r="CN136" s="99"/>
      <c r="CO136" s="99"/>
      <c r="CP136" s="99"/>
      <c r="CQ136" s="99"/>
      <c r="CR136" s="99"/>
      <c r="CS136" s="99"/>
      <c r="CT136" s="99"/>
      <c r="CU136" s="99"/>
      <c r="CV136" s="99"/>
      <c r="CW136" s="99"/>
      <c r="CX136" s="99"/>
      <c r="CY136" s="99"/>
      <c r="CZ136" s="99"/>
      <c r="DA136" s="99"/>
      <c r="DB136" s="99"/>
      <c r="DC136" s="99"/>
      <c r="DD136" s="99"/>
      <c r="DE136" s="99"/>
      <c r="DF136" s="99"/>
      <c r="DG136" s="99"/>
      <c r="DH136" s="99"/>
      <c r="DI136" s="99"/>
      <c r="DJ136" s="99"/>
      <c r="DK136" s="99"/>
      <c r="DL136" s="99"/>
      <c r="DM136" s="99"/>
      <c r="DN136" s="99"/>
      <c r="DO136" s="99"/>
      <c r="DP136" s="99"/>
      <c r="DQ136" s="99"/>
      <c r="DR136" s="99"/>
      <c r="DS136" s="99"/>
      <c r="DT136" s="99"/>
      <c r="DU136" s="99"/>
      <c r="DV136" s="99"/>
      <c r="DW136" s="99"/>
      <c r="DX136" s="99"/>
      <c r="DY136" s="99"/>
      <c r="DZ136" s="99"/>
      <c r="EA136" s="99"/>
      <c r="EB136" s="99"/>
      <c r="EC136" s="99"/>
      <c r="ED136" s="99"/>
      <c r="EE136" s="99"/>
      <c r="EF136" s="99"/>
      <c r="EG136" s="99"/>
      <c r="EH136" s="99"/>
      <c r="EI136" s="99"/>
      <c r="EJ136" s="99"/>
      <c r="EK136" s="99"/>
      <c r="EL136" s="99"/>
      <c r="EM136" s="99"/>
      <c r="EN136" s="99"/>
      <c r="EO136" s="99"/>
      <c r="EP136" s="99"/>
      <c r="EQ136" s="99"/>
      <c r="ER136" s="99"/>
      <c r="ES136" s="99"/>
      <c r="ET136" s="99"/>
      <c r="EU136" s="99"/>
      <c r="EV136" s="99"/>
      <c r="EW136" s="99"/>
      <c r="EX136" s="99"/>
      <c r="EY136" s="99"/>
      <c r="EZ136" s="99"/>
      <c r="FA136" s="99"/>
      <c r="FB136" s="99"/>
      <c r="FC136" s="99"/>
      <c r="FD136" s="99"/>
      <c r="FE136" s="99"/>
      <c r="FF136" s="99"/>
      <c r="FG136" s="99"/>
      <c r="FH136" s="99"/>
      <c r="FI136" s="99"/>
      <c r="FJ136" s="99"/>
      <c r="FK136" s="99"/>
    </row>
    <row r="137" spans="3:167" x14ac:dyDescent="0.25">
      <c r="C137" s="10"/>
      <c r="D137" s="10"/>
      <c r="E137" s="11"/>
      <c r="F137" s="15"/>
      <c r="J137" s="99">
        <v>134</v>
      </c>
      <c r="K137" s="16"/>
      <c r="L137" s="16"/>
      <c r="M137" s="16"/>
      <c r="N137" s="16"/>
      <c r="O137" s="16"/>
      <c r="P137" s="16"/>
      <c r="Q137" s="16"/>
      <c r="R137" s="16"/>
      <c r="S137" s="16"/>
      <c r="T137" s="16"/>
      <c r="U137" s="73">
        <f>SUM(K137:T137)</f>
        <v>0</v>
      </c>
      <c r="V137" s="73"/>
      <c r="X137" s="75" t="str" cm="1">
        <f t="array" ref="X137">MID(";"&amp;'CASE DATA'!$F137&amp;";",SMALL(IF(ISERROR(SEARCH(MID(";"&amp;'CASE DATA'!$F137&amp;";",ROW($1:$99),1),";")),"",ROW($1:$99)+1),COLUMN(A137)),SMALL(IF(ISERROR(SEARCH(MID(";"&amp;'CASE DATA'!$F137&amp;";",ROW($1:$99),1),";")),"",ROW($1:$99)),COLUMN(A136)+1)-SMALL(IF(ISERROR(SEARCH(MID(";"&amp;'CASE DATA'!$F137&amp;";",ROW($1:$99),1),";")),"",ROW($1:$99)),COLUMN(A136))-1)</f>
        <v/>
      </c>
      <c r="Y137" s="75" t="str" cm="1">
        <f t="array" ref="Y137">MID(";"&amp;'CASE DATA'!$F137&amp;";",SMALL(IF(ISERROR(SEARCH(MID(";"&amp;'CASE DATA'!$F137&amp;";",ROW($1:$99),1),";")),"",ROW($1:$99)+1),COLUMN(B137)),SMALL(IF(ISERROR(SEARCH(MID(";"&amp;'CASE DATA'!$F137&amp;";",ROW($1:$99),1),";")),"",ROW($1:$99)),COLUMN(B136)+1)-SMALL(IF(ISERROR(SEARCH(MID(";"&amp;'CASE DATA'!$F137&amp;";",ROW($1:$99),1),";")),"",ROW($1:$99)),COLUMN(B136))-1)</f>
        <v/>
      </c>
      <c r="Z137" s="75" t="str" cm="1">
        <f t="array" ref="Z137">MID(";"&amp;'CASE DATA'!$F137&amp;";",SMALL(IF(ISERROR(SEARCH(MID(";"&amp;'CASE DATA'!$F137&amp;";",ROW($1:$99),1),";")),"",ROW($1:$99)+1),COLUMN(C137)),SMALL(IF(ISERROR(SEARCH(MID(";"&amp;'CASE DATA'!$F137&amp;";",ROW($1:$99),1),";")),"",ROW($1:$99)),COLUMN(C136)+1)-SMALL(IF(ISERROR(SEARCH(MID(";"&amp;'CASE DATA'!$F137&amp;";",ROW($1:$99),1),";")),"",ROW($1:$99)),COLUMN(C136))-1)</f>
        <v/>
      </c>
      <c r="AA137" s="75" t="str" cm="1">
        <f t="array" ref="AA137">MID(";"&amp;'CASE DATA'!$F137&amp;";",SMALL(IF(ISERROR(SEARCH(MID(";"&amp;'CASE DATA'!$F137&amp;";",ROW($1:$99),1),";")),"",ROW($1:$99)+1),COLUMN(D137)),SMALL(IF(ISERROR(SEARCH(MID(";"&amp;'CASE DATA'!$F137&amp;";",ROW($1:$99),1),";")),"",ROW($1:$99)),COLUMN(D136)+1)-SMALL(IF(ISERROR(SEARCH(MID(";"&amp;'CASE DATA'!$F137&amp;";",ROW($1:$99),1),";")),"",ROW($1:$99)),COLUMN(D136))-1)</f>
        <v/>
      </c>
      <c r="AB137" s="75" t="str" cm="1">
        <f t="array" ref="AB137">MID(";"&amp;'CASE DATA'!$F137&amp;";",SMALL(IF(ISERROR(SEARCH(MID(";"&amp;'CASE DATA'!$F137&amp;";",ROW($1:$99),1),";")),"",ROW($1:$99)+1),COLUMN(E137)),SMALL(IF(ISERROR(SEARCH(MID(";"&amp;'CASE DATA'!$F137&amp;";",ROW($1:$99),1),";")),"",ROW($1:$99)),COLUMN(E136)+1)-SMALL(IF(ISERROR(SEARCH(MID(";"&amp;'CASE DATA'!$F137&amp;";",ROW($1:$99),1),";")),"",ROW($1:$99)),COLUMN(E136))-1)</f>
        <v/>
      </c>
      <c r="AC137" s="75" t="str" cm="1">
        <f t="array" ref="AC137">MID(";"&amp;'CASE DATA'!$F137&amp;";",SMALL(IF(ISERROR(SEARCH(MID(";"&amp;'CASE DATA'!$F137&amp;";",ROW($1:$99),1),";")),"",ROW($1:$99)+1),COLUMN(F137)),SMALL(IF(ISERROR(SEARCH(MID(";"&amp;'CASE DATA'!$F137&amp;";",ROW($1:$99),1),";")),"",ROW($1:$99)),COLUMN(F136)+1)-SMALL(IF(ISERROR(SEARCH(MID(";"&amp;'CASE DATA'!$F137&amp;";",ROW($1:$99),1),";")),"",ROW($1:$99)),COLUMN(F136))-1)</f>
        <v/>
      </c>
      <c r="AD137" s="75" t="str" cm="1">
        <f t="array" ref="AD137">MID(";"&amp;'CASE DATA'!$F137&amp;";",SMALL(IF(ISERROR(SEARCH(MID(";"&amp;'CASE DATA'!$F137&amp;";",ROW($1:$99),1),";")),"",ROW($1:$99)+1),COLUMN(G137)),SMALL(IF(ISERROR(SEARCH(MID(";"&amp;'CASE DATA'!$F137&amp;";",ROW($1:$99),1),";")),"",ROW($1:$99)),COLUMN(G136)+1)-SMALL(IF(ISERROR(SEARCH(MID(";"&amp;'CASE DATA'!$F137&amp;";",ROW($1:$99),1),";")),"",ROW($1:$99)),COLUMN(G136))-1)</f>
        <v/>
      </c>
      <c r="AE137" s="75" t="str" cm="1">
        <f t="array" ref="AE137">MID(";"&amp;'CASE DATA'!$F137&amp;";",SMALL(IF(ISERROR(SEARCH(MID(";"&amp;'CASE DATA'!$F137&amp;";",ROW($1:$99),1),";")),"",ROW($1:$99)+1),COLUMN(H137)),SMALL(IF(ISERROR(SEARCH(MID(";"&amp;'CASE DATA'!$F137&amp;";",ROW($1:$99),1),";")),"",ROW($1:$99)),COLUMN(H136)+1)-SMALL(IF(ISERROR(SEARCH(MID(";"&amp;'CASE DATA'!$F137&amp;";",ROW($1:$99),1),";")),"",ROW($1:$99)),COLUMN(H136))-1)</f>
        <v/>
      </c>
      <c r="AF137" s="75" t="str" cm="1">
        <f t="array" ref="AF137">MID(";"&amp;'CASE DATA'!$F137&amp;";",SMALL(IF(ISERROR(SEARCH(MID(";"&amp;'CASE DATA'!$F137&amp;";",ROW($1:$99),1),";")),"",ROW($1:$99)+1),COLUMN(I137)),SMALL(IF(ISERROR(SEARCH(MID(";"&amp;'CASE DATA'!$F137&amp;";",ROW($1:$99),1),";")),"",ROW($1:$99)),COLUMN(I136)+1)-SMALL(IF(ISERROR(SEARCH(MID(";"&amp;'CASE DATA'!$F137&amp;";",ROW($1:$99),1),";")),"",ROW($1:$99)),COLUMN(I136))-1)</f>
        <v/>
      </c>
      <c r="AG137" s="75" t="str" cm="1">
        <f t="array" ref="AG137">MID(";"&amp;'CASE DATA'!$F137&amp;";",SMALL(IF(ISERROR(SEARCH(MID(";"&amp;'CASE DATA'!$F137&amp;";",ROW($1:$99),1),";")),"",ROW($1:$99)+1),COLUMN(K137)),SMALL(IF(ISERROR(SEARCH(MID(";"&amp;'CASE DATA'!$F137&amp;";",ROW($1:$99),1),";")),"",ROW($1:$99)),COLUMN(K136)+1)-SMALL(IF(ISERROR(SEARCH(MID(";"&amp;'CASE DATA'!$F137&amp;";",ROW($1:$99),1),";")),"",ROW($1:$99)),COLUMN(K136))-1)</f>
        <v/>
      </c>
      <c r="AH137" s="75" t="str" cm="1">
        <f t="array" ref="AH137">MID(";"&amp;'CASE DATA'!$F137&amp;";",SMALL(IF(ISERROR(SEARCH(MID(";"&amp;'CASE DATA'!$F137&amp;";",ROW($1:$99),1),";")),"",ROW($1:$99)+1),COLUMN(L137)),SMALL(IF(ISERROR(SEARCH(MID(";"&amp;'CASE DATA'!$F137&amp;";",ROW($1:$99),1),";")),"",ROW($1:$99)),COLUMN(L136)+1)-SMALL(IF(ISERROR(SEARCH(MID(";"&amp;'CASE DATA'!$F137&amp;";",ROW($1:$99),1),";")),"",ROW($1:$99)),COLUMN(L136))-1)</f>
        <v/>
      </c>
      <c r="AI137" s="75" t="str" cm="1">
        <f t="array" ref="AI137">MID(";"&amp;'CASE DATA'!$F137&amp;";",SMALL(IF(ISERROR(SEARCH(MID(";"&amp;'CASE DATA'!$F137&amp;";",ROW($1:$99),1),";")),"",ROW($1:$99)+1),COLUMN(M137)),SMALL(IF(ISERROR(SEARCH(MID(";"&amp;'CASE DATA'!$F137&amp;";",ROW($1:$99),1),";")),"",ROW($1:$99)),COLUMN(M136)+1)-SMALL(IF(ISERROR(SEARCH(MID(";"&amp;'CASE DATA'!$F137&amp;";",ROW($1:$99),1),";")),"",ROW($1:$99)),COLUMN(M136))-1)</f>
        <v/>
      </c>
      <c r="BO137" s="99"/>
      <c r="BP137" s="99"/>
      <c r="BQ137" s="99"/>
      <c r="BR137" s="99"/>
      <c r="BS137" s="99"/>
      <c r="BT137" s="99"/>
      <c r="BU137" s="99"/>
      <c r="BV137" s="99"/>
      <c r="BW137" s="99"/>
      <c r="BX137" s="99"/>
      <c r="BY137" s="99"/>
      <c r="BZ137" s="99"/>
      <c r="CA137" s="99"/>
      <c r="CB137" s="99"/>
      <c r="CC137" s="99"/>
      <c r="CD137" s="99"/>
      <c r="CE137" s="99"/>
      <c r="CF137" s="99"/>
      <c r="CG137" s="99"/>
      <c r="CH137" s="99"/>
      <c r="CI137" s="99"/>
      <c r="CJ137" s="99"/>
      <c r="CK137" s="99"/>
      <c r="CL137" s="99"/>
      <c r="CM137" s="99"/>
      <c r="CN137" s="99"/>
      <c r="CO137" s="99"/>
      <c r="CP137" s="99"/>
      <c r="CQ137" s="99"/>
      <c r="CR137" s="99"/>
      <c r="CS137" s="99"/>
      <c r="CT137" s="99"/>
      <c r="CU137" s="99"/>
      <c r="CV137" s="99"/>
      <c r="CW137" s="99"/>
      <c r="CX137" s="99"/>
      <c r="CY137" s="99"/>
      <c r="CZ137" s="99"/>
      <c r="DA137" s="99"/>
      <c r="DB137" s="99"/>
      <c r="DC137" s="99"/>
      <c r="DD137" s="99"/>
      <c r="DE137" s="99"/>
      <c r="DF137" s="99"/>
      <c r="DG137" s="99"/>
      <c r="DH137" s="99"/>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99"/>
      <c r="EE137" s="99"/>
      <c r="EF137" s="99"/>
      <c r="EG137" s="99"/>
      <c r="EH137" s="99"/>
      <c r="EI137" s="99"/>
      <c r="EJ137" s="99"/>
      <c r="EK137" s="99"/>
      <c r="EL137" s="99"/>
      <c r="EM137" s="99"/>
      <c r="EN137" s="99"/>
      <c r="EO137" s="99"/>
      <c r="EP137" s="99"/>
      <c r="EQ137" s="99"/>
      <c r="ER137" s="99"/>
      <c r="ES137" s="99"/>
      <c r="ET137" s="99"/>
      <c r="EU137" s="99"/>
      <c r="EV137" s="99"/>
      <c r="EW137" s="99"/>
      <c r="EX137" s="99"/>
      <c r="EY137" s="99"/>
      <c r="EZ137" s="99"/>
      <c r="FA137" s="99"/>
      <c r="FB137" s="99"/>
      <c r="FC137" s="99"/>
      <c r="FD137" s="99"/>
      <c r="FE137" s="99"/>
      <c r="FF137" s="99"/>
      <c r="FG137" s="99"/>
      <c r="FH137" s="99"/>
      <c r="FI137" s="99"/>
      <c r="FJ137" s="99"/>
      <c r="FK137" s="99"/>
    </row>
    <row r="138" spans="3:167" x14ac:dyDescent="0.25">
      <c r="C138" s="10"/>
      <c r="D138" s="10"/>
      <c r="E138" s="11"/>
      <c r="F138" s="15"/>
      <c r="J138" s="99">
        <v>135</v>
      </c>
      <c r="K138" s="16"/>
      <c r="L138" s="16"/>
      <c r="M138" s="16"/>
      <c r="N138" s="16"/>
      <c r="O138" s="16"/>
      <c r="P138" s="16"/>
      <c r="Q138" s="16"/>
      <c r="R138" s="16"/>
      <c r="S138" s="16"/>
      <c r="T138" s="16"/>
      <c r="U138" s="73">
        <f>SUM(K138:T138)</f>
        <v>0</v>
      </c>
      <c r="V138" s="73"/>
      <c r="X138" s="75" t="str" cm="1">
        <f t="array" ref="X138">MID(";"&amp;'CASE DATA'!$F138&amp;";",SMALL(IF(ISERROR(SEARCH(MID(";"&amp;'CASE DATA'!$F138&amp;";",ROW($1:$99),1),";")),"",ROW($1:$99)+1),COLUMN(A138)),SMALL(IF(ISERROR(SEARCH(MID(";"&amp;'CASE DATA'!$F138&amp;";",ROW($1:$99),1),";")),"",ROW($1:$99)),COLUMN(A137)+1)-SMALL(IF(ISERROR(SEARCH(MID(";"&amp;'CASE DATA'!$F138&amp;";",ROW($1:$99),1),";")),"",ROW($1:$99)),COLUMN(A137))-1)</f>
        <v/>
      </c>
      <c r="Y138" s="75" t="str" cm="1">
        <f t="array" ref="Y138">MID(";"&amp;'CASE DATA'!$F138&amp;";",SMALL(IF(ISERROR(SEARCH(MID(";"&amp;'CASE DATA'!$F138&amp;";",ROW($1:$99),1),";")),"",ROW($1:$99)+1),COLUMN(B138)),SMALL(IF(ISERROR(SEARCH(MID(";"&amp;'CASE DATA'!$F138&amp;";",ROW($1:$99),1),";")),"",ROW($1:$99)),COLUMN(B137)+1)-SMALL(IF(ISERROR(SEARCH(MID(";"&amp;'CASE DATA'!$F138&amp;";",ROW($1:$99),1),";")),"",ROW($1:$99)),COLUMN(B137))-1)</f>
        <v/>
      </c>
      <c r="Z138" s="75" t="str" cm="1">
        <f t="array" ref="Z138">MID(";"&amp;'CASE DATA'!$F138&amp;";",SMALL(IF(ISERROR(SEARCH(MID(";"&amp;'CASE DATA'!$F138&amp;";",ROW($1:$99),1),";")),"",ROW($1:$99)+1),COLUMN(C138)),SMALL(IF(ISERROR(SEARCH(MID(";"&amp;'CASE DATA'!$F138&amp;";",ROW($1:$99),1),";")),"",ROW($1:$99)),COLUMN(C137)+1)-SMALL(IF(ISERROR(SEARCH(MID(";"&amp;'CASE DATA'!$F138&amp;";",ROW($1:$99),1),";")),"",ROW($1:$99)),COLUMN(C137))-1)</f>
        <v/>
      </c>
      <c r="AA138" s="75" t="str" cm="1">
        <f t="array" ref="AA138">MID(";"&amp;'CASE DATA'!$F138&amp;";",SMALL(IF(ISERROR(SEARCH(MID(";"&amp;'CASE DATA'!$F138&amp;";",ROW($1:$99),1),";")),"",ROW($1:$99)+1),COLUMN(D138)),SMALL(IF(ISERROR(SEARCH(MID(";"&amp;'CASE DATA'!$F138&amp;";",ROW($1:$99),1),";")),"",ROW($1:$99)),COLUMN(D137)+1)-SMALL(IF(ISERROR(SEARCH(MID(";"&amp;'CASE DATA'!$F138&amp;";",ROW($1:$99),1),";")),"",ROW($1:$99)),COLUMN(D137))-1)</f>
        <v/>
      </c>
      <c r="AB138" s="75" t="str" cm="1">
        <f t="array" ref="AB138">MID(";"&amp;'CASE DATA'!$F138&amp;";",SMALL(IF(ISERROR(SEARCH(MID(";"&amp;'CASE DATA'!$F138&amp;";",ROW($1:$99),1),";")),"",ROW($1:$99)+1),COLUMN(E138)),SMALL(IF(ISERROR(SEARCH(MID(";"&amp;'CASE DATA'!$F138&amp;";",ROW($1:$99),1),";")),"",ROW($1:$99)),COLUMN(E137)+1)-SMALL(IF(ISERROR(SEARCH(MID(";"&amp;'CASE DATA'!$F138&amp;";",ROW($1:$99),1),";")),"",ROW($1:$99)),COLUMN(E137))-1)</f>
        <v/>
      </c>
      <c r="AC138" s="75" t="str" cm="1">
        <f t="array" ref="AC138">MID(";"&amp;'CASE DATA'!$F138&amp;";",SMALL(IF(ISERROR(SEARCH(MID(";"&amp;'CASE DATA'!$F138&amp;";",ROW($1:$99),1),";")),"",ROW($1:$99)+1),COLUMN(F138)),SMALL(IF(ISERROR(SEARCH(MID(";"&amp;'CASE DATA'!$F138&amp;";",ROW($1:$99),1),";")),"",ROW($1:$99)),COLUMN(F137)+1)-SMALL(IF(ISERROR(SEARCH(MID(";"&amp;'CASE DATA'!$F138&amp;";",ROW($1:$99),1),";")),"",ROW($1:$99)),COLUMN(F137))-1)</f>
        <v/>
      </c>
      <c r="AD138" s="75" t="str" cm="1">
        <f t="array" ref="AD138">MID(";"&amp;'CASE DATA'!$F138&amp;";",SMALL(IF(ISERROR(SEARCH(MID(";"&amp;'CASE DATA'!$F138&amp;";",ROW($1:$99),1),";")),"",ROW($1:$99)+1),COLUMN(G138)),SMALL(IF(ISERROR(SEARCH(MID(";"&amp;'CASE DATA'!$F138&amp;";",ROW($1:$99),1),";")),"",ROW($1:$99)),COLUMN(G137)+1)-SMALL(IF(ISERROR(SEARCH(MID(";"&amp;'CASE DATA'!$F138&amp;";",ROW($1:$99),1),";")),"",ROW($1:$99)),COLUMN(G137))-1)</f>
        <v/>
      </c>
      <c r="AE138" s="75" t="str" cm="1">
        <f t="array" ref="AE138">MID(";"&amp;'CASE DATA'!$F138&amp;";",SMALL(IF(ISERROR(SEARCH(MID(";"&amp;'CASE DATA'!$F138&amp;";",ROW($1:$99),1),";")),"",ROW($1:$99)+1),COLUMN(H138)),SMALL(IF(ISERROR(SEARCH(MID(";"&amp;'CASE DATA'!$F138&amp;";",ROW($1:$99),1),";")),"",ROW($1:$99)),COLUMN(H137)+1)-SMALL(IF(ISERROR(SEARCH(MID(";"&amp;'CASE DATA'!$F138&amp;";",ROW($1:$99),1),";")),"",ROW($1:$99)),COLUMN(H137))-1)</f>
        <v/>
      </c>
      <c r="AF138" s="75" t="str" cm="1">
        <f t="array" ref="AF138">MID(";"&amp;'CASE DATA'!$F138&amp;";",SMALL(IF(ISERROR(SEARCH(MID(";"&amp;'CASE DATA'!$F138&amp;";",ROW($1:$99),1),";")),"",ROW($1:$99)+1),COLUMN(I138)),SMALL(IF(ISERROR(SEARCH(MID(";"&amp;'CASE DATA'!$F138&amp;";",ROW($1:$99),1),";")),"",ROW($1:$99)),COLUMN(I137)+1)-SMALL(IF(ISERROR(SEARCH(MID(";"&amp;'CASE DATA'!$F138&amp;";",ROW($1:$99),1),";")),"",ROW($1:$99)),COLUMN(I137))-1)</f>
        <v/>
      </c>
      <c r="AG138" s="75" t="str" cm="1">
        <f t="array" ref="AG138">MID(";"&amp;'CASE DATA'!$F138&amp;";",SMALL(IF(ISERROR(SEARCH(MID(";"&amp;'CASE DATA'!$F138&amp;";",ROW($1:$99),1),";")),"",ROW($1:$99)+1),COLUMN(K138)),SMALL(IF(ISERROR(SEARCH(MID(";"&amp;'CASE DATA'!$F138&amp;";",ROW($1:$99),1),";")),"",ROW($1:$99)),COLUMN(K137)+1)-SMALL(IF(ISERROR(SEARCH(MID(";"&amp;'CASE DATA'!$F138&amp;";",ROW($1:$99),1),";")),"",ROW($1:$99)),COLUMN(K137))-1)</f>
        <v/>
      </c>
      <c r="AH138" s="75" t="str" cm="1">
        <f t="array" ref="AH138">MID(";"&amp;'CASE DATA'!$F138&amp;";",SMALL(IF(ISERROR(SEARCH(MID(";"&amp;'CASE DATA'!$F138&amp;";",ROW($1:$99),1),";")),"",ROW($1:$99)+1),COLUMN(L138)),SMALL(IF(ISERROR(SEARCH(MID(";"&amp;'CASE DATA'!$F138&amp;";",ROW($1:$99),1),";")),"",ROW($1:$99)),COLUMN(L137)+1)-SMALL(IF(ISERROR(SEARCH(MID(";"&amp;'CASE DATA'!$F138&amp;";",ROW($1:$99),1),";")),"",ROW($1:$99)),COLUMN(L137))-1)</f>
        <v/>
      </c>
      <c r="AI138" s="75" t="str" cm="1">
        <f t="array" ref="AI138">MID(";"&amp;'CASE DATA'!$F138&amp;";",SMALL(IF(ISERROR(SEARCH(MID(";"&amp;'CASE DATA'!$F138&amp;";",ROW($1:$99),1),";")),"",ROW($1:$99)+1),COLUMN(M138)),SMALL(IF(ISERROR(SEARCH(MID(";"&amp;'CASE DATA'!$F138&amp;";",ROW($1:$99),1),";")),"",ROW($1:$99)),COLUMN(M137)+1)-SMALL(IF(ISERROR(SEARCH(MID(";"&amp;'CASE DATA'!$F138&amp;";",ROW($1:$99),1),";")),"",ROW($1:$99)),COLUMN(M137))-1)</f>
        <v/>
      </c>
      <c r="BO138" s="99"/>
      <c r="BP138" s="99"/>
      <c r="BQ138" s="99"/>
      <c r="BR138" s="99"/>
      <c r="BS138" s="99"/>
      <c r="BT138" s="99"/>
      <c r="BU138" s="99"/>
      <c r="BV138" s="99"/>
      <c r="BW138" s="99"/>
      <c r="BX138" s="99"/>
      <c r="BY138" s="99"/>
      <c r="BZ138" s="99"/>
      <c r="CA138" s="99"/>
      <c r="CB138" s="99"/>
      <c r="CC138" s="99"/>
      <c r="CD138" s="99"/>
      <c r="CE138" s="99"/>
      <c r="CF138" s="99"/>
      <c r="CG138" s="99"/>
      <c r="CH138" s="99"/>
      <c r="CI138" s="99"/>
      <c r="CJ138" s="99"/>
      <c r="CK138" s="99"/>
      <c r="CL138" s="99"/>
      <c r="CM138" s="99"/>
      <c r="CN138" s="99"/>
      <c r="CO138" s="99"/>
      <c r="CP138" s="99"/>
      <c r="CQ138" s="99"/>
      <c r="CR138" s="99"/>
      <c r="CS138" s="99"/>
      <c r="CT138" s="99"/>
      <c r="CU138" s="99"/>
      <c r="CV138" s="99"/>
      <c r="CW138" s="99"/>
      <c r="CX138" s="99"/>
      <c r="CY138" s="99"/>
      <c r="CZ138" s="99"/>
      <c r="DA138" s="99"/>
      <c r="DB138" s="99"/>
      <c r="DC138" s="99"/>
      <c r="DD138" s="99"/>
      <c r="DE138" s="99"/>
      <c r="DF138" s="99"/>
      <c r="DG138" s="99"/>
      <c r="DH138" s="99"/>
      <c r="DI138" s="99"/>
      <c r="DJ138" s="99"/>
      <c r="DK138" s="99"/>
      <c r="DL138" s="99"/>
      <c r="DM138" s="99"/>
      <c r="DN138" s="99"/>
      <c r="DO138" s="99"/>
      <c r="DP138" s="99"/>
      <c r="DQ138" s="99"/>
      <c r="DR138" s="99"/>
      <c r="DS138" s="99"/>
      <c r="DT138" s="99"/>
      <c r="DU138" s="99"/>
      <c r="DV138" s="99"/>
      <c r="DW138" s="99"/>
      <c r="DX138" s="99"/>
      <c r="DY138" s="99"/>
      <c r="DZ138" s="99"/>
      <c r="EA138" s="99"/>
      <c r="EB138" s="99"/>
      <c r="EC138" s="99"/>
      <c r="ED138" s="99"/>
      <c r="EE138" s="99"/>
      <c r="EF138" s="99"/>
      <c r="EG138" s="99"/>
      <c r="EH138" s="99"/>
      <c r="EI138" s="99"/>
      <c r="EJ138" s="99"/>
      <c r="EK138" s="99"/>
      <c r="EL138" s="99"/>
      <c r="EM138" s="99"/>
      <c r="EN138" s="99"/>
      <c r="EO138" s="99"/>
      <c r="EP138" s="99"/>
      <c r="EQ138" s="99"/>
      <c r="ER138" s="99"/>
      <c r="ES138" s="99"/>
      <c r="ET138" s="99"/>
      <c r="EU138" s="99"/>
      <c r="EV138" s="99"/>
      <c r="EW138" s="99"/>
      <c r="EX138" s="99"/>
      <c r="EY138" s="99"/>
      <c r="EZ138" s="99"/>
      <c r="FA138" s="99"/>
      <c r="FB138" s="99"/>
      <c r="FC138" s="99"/>
      <c r="FD138" s="99"/>
      <c r="FE138" s="99"/>
      <c r="FF138" s="99"/>
      <c r="FG138" s="99"/>
      <c r="FH138" s="99"/>
      <c r="FI138" s="99"/>
      <c r="FJ138" s="99"/>
      <c r="FK138" s="99"/>
    </row>
    <row r="139" spans="3:167" x14ac:dyDescent="0.25">
      <c r="C139" s="10"/>
      <c r="D139" s="10"/>
      <c r="E139" s="11"/>
      <c r="F139" s="15"/>
      <c r="J139" s="99">
        <v>136</v>
      </c>
      <c r="K139" s="16"/>
      <c r="L139" s="16"/>
      <c r="M139" s="16"/>
      <c r="N139" s="16"/>
      <c r="O139" s="16"/>
      <c r="P139" s="16"/>
      <c r="Q139" s="16"/>
      <c r="R139" s="16"/>
      <c r="S139" s="16"/>
      <c r="T139" s="16"/>
      <c r="U139" s="73">
        <f>SUM(K139:T139)</f>
        <v>0</v>
      </c>
      <c r="V139" s="73"/>
      <c r="X139" s="75" t="str" cm="1">
        <f t="array" ref="X139">MID(";"&amp;'CASE DATA'!$F139&amp;";",SMALL(IF(ISERROR(SEARCH(MID(";"&amp;'CASE DATA'!$F139&amp;";",ROW($1:$99),1),";")),"",ROW($1:$99)+1),COLUMN(A139)),SMALL(IF(ISERROR(SEARCH(MID(";"&amp;'CASE DATA'!$F139&amp;";",ROW($1:$99),1),";")),"",ROW($1:$99)),COLUMN(A138)+1)-SMALL(IF(ISERROR(SEARCH(MID(";"&amp;'CASE DATA'!$F139&amp;";",ROW($1:$99),1),";")),"",ROW($1:$99)),COLUMN(A138))-1)</f>
        <v/>
      </c>
      <c r="Y139" s="75" t="str" cm="1">
        <f t="array" ref="Y139">MID(";"&amp;'CASE DATA'!$F139&amp;";",SMALL(IF(ISERROR(SEARCH(MID(";"&amp;'CASE DATA'!$F139&amp;";",ROW($1:$99),1),";")),"",ROW($1:$99)+1),COLUMN(B139)),SMALL(IF(ISERROR(SEARCH(MID(";"&amp;'CASE DATA'!$F139&amp;";",ROW($1:$99),1),";")),"",ROW($1:$99)),COLUMN(B138)+1)-SMALL(IF(ISERROR(SEARCH(MID(";"&amp;'CASE DATA'!$F139&amp;";",ROW($1:$99),1),";")),"",ROW($1:$99)),COLUMN(B138))-1)</f>
        <v/>
      </c>
      <c r="Z139" s="75" t="str" cm="1">
        <f t="array" ref="Z139">MID(";"&amp;'CASE DATA'!$F139&amp;";",SMALL(IF(ISERROR(SEARCH(MID(";"&amp;'CASE DATA'!$F139&amp;";",ROW($1:$99),1),";")),"",ROW($1:$99)+1),COLUMN(C139)),SMALL(IF(ISERROR(SEARCH(MID(";"&amp;'CASE DATA'!$F139&amp;";",ROW($1:$99),1),";")),"",ROW($1:$99)),COLUMN(C138)+1)-SMALL(IF(ISERROR(SEARCH(MID(";"&amp;'CASE DATA'!$F139&amp;";",ROW($1:$99),1),";")),"",ROW($1:$99)),COLUMN(C138))-1)</f>
        <v/>
      </c>
      <c r="AA139" s="75" t="str" cm="1">
        <f t="array" ref="AA139">MID(";"&amp;'CASE DATA'!$F139&amp;";",SMALL(IF(ISERROR(SEARCH(MID(";"&amp;'CASE DATA'!$F139&amp;";",ROW($1:$99),1),";")),"",ROW($1:$99)+1),COLUMN(D139)),SMALL(IF(ISERROR(SEARCH(MID(";"&amp;'CASE DATA'!$F139&amp;";",ROW($1:$99),1),";")),"",ROW($1:$99)),COLUMN(D138)+1)-SMALL(IF(ISERROR(SEARCH(MID(";"&amp;'CASE DATA'!$F139&amp;";",ROW($1:$99),1),";")),"",ROW($1:$99)),COLUMN(D138))-1)</f>
        <v/>
      </c>
      <c r="AB139" s="75" t="str" cm="1">
        <f t="array" ref="AB139">MID(";"&amp;'CASE DATA'!$F139&amp;";",SMALL(IF(ISERROR(SEARCH(MID(";"&amp;'CASE DATA'!$F139&amp;";",ROW($1:$99),1),";")),"",ROW($1:$99)+1),COLUMN(E139)),SMALL(IF(ISERROR(SEARCH(MID(";"&amp;'CASE DATA'!$F139&amp;";",ROW($1:$99),1),";")),"",ROW($1:$99)),COLUMN(E138)+1)-SMALL(IF(ISERROR(SEARCH(MID(";"&amp;'CASE DATA'!$F139&amp;";",ROW($1:$99),1),";")),"",ROW($1:$99)),COLUMN(E138))-1)</f>
        <v/>
      </c>
      <c r="AC139" s="75" t="str" cm="1">
        <f t="array" ref="AC139">MID(";"&amp;'CASE DATA'!$F139&amp;";",SMALL(IF(ISERROR(SEARCH(MID(";"&amp;'CASE DATA'!$F139&amp;";",ROW($1:$99),1),";")),"",ROW($1:$99)+1),COLUMN(F139)),SMALL(IF(ISERROR(SEARCH(MID(";"&amp;'CASE DATA'!$F139&amp;";",ROW($1:$99),1),";")),"",ROW($1:$99)),COLUMN(F138)+1)-SMALL(IF(ISERROR(SEARCH(MID(";"&amp;'CASE DATA'!$F139&amp;";",ROW($1:$99),1),";")),"",ROW($1:$99)),COLUMN(F138))-1)</f>
        <v/>
      </c>
      <c r="AD139" s="75" t="str" cm="1">
        <f t="array" ref="AD139">MID(";"&amp;'CASE DATA'!$F139&amp;";",SMALL(IF(ISERROR(SEARCH(MID(";"&amp;'CASE DATA'!$F139&amp;";",ROW($1:$99),1),";")),"",ROW($1:$99)+1),COLUMN(G139)),SMALL(IF(ISERROR(SEARCH(MID(";"&amp;'CASE DATA'!$F139&amp;";",ROW($1:$99),1),";")),"",ROW($1:$99)),COLUMN(G138)+1)-SMALL(IF(ISERROR(SEARCH(MID(";"&amp;'CASE DATA'!$F139&amp;";",ROW($1:$99),1),";")),"",ROW($1:$99)),COLUMN(G138))-1)</f>
        <v/>
      </c>
      <c r="AE139" s="75" t="str" cm="1">
        <f t="array" ref="AE139">MID(";"&amp;'CASE DATA'!$F139&amp;";",SMALL(IF(ISERROR(SEARCH(MID(";"&amp;'CASE DATA'!$F139&amp;";",ROW($1:$99),1),";")),"",ROW($1:$99)+1),COLUMN(H139)),SMALL(IF(ISERROR(SEARCH(MID(";"&amp;'CASE DATA'!$F139&amp;";",ROW($1:$99),1),";")),"",ROW($1:$99)),COLUMN(H138)+1)-SMALL(IF(ISERROR(SEARCH(MID(";"&amp;'CASE DATA'!$F139&amp;";",ROW($1:$99),1),";")),"",ROW($1:$99)),COLUMN(H138))-1)</f>
        <v/>
      </c>
      <c r="AF139" s="75" t="str" cm="1">
        <f t="array" ref="AF139">MID(";"&amp;'CASE DATA'!$F139&amp;";",SMALL(IF(ISERROR(SEARCH(MID(";"&amp;'CASE DATA'!$F139&amp;";",ROW($1:$99),1),";")),"",ROW($1:$99)+1),COLUMN(I139)),SMALL(IF(ISERROR(SEARCH(MID(";"&amp;'CASE DATA'!$F139&amp;";",ROW($1:$99),1),";")),"",ROW($1:$99)),COLUMN(I138)+1)-SMALL(IF(ISERROR(SEARCH(MID(";"&amp;'CASE DATA'!$F139&amp;";",ROW($1:$99),1),";")),"",ROW($1:$99)),COLUMN(I138))-1)</f>
        <v/>
      </c>
      <c r="AG139" s="75" t="str" cm="1">
        <f t="array" ref="AG139">MID(";"&amp;'CASE DATA'!$F139&amp;";",SMALL(IF(ISERROR(SEARCH(MID(";"&amp;'CASE DATA'!$F139&amp;";",ROW($1:$99),1),";")),"",ROW($1:$99)+1),COLUMN(K139)),SMALL(IF(ISERROR(SEARCH(MID(";"&amp;'CASE DATA'!$F139&amp;";",ROW($1:$99),1),";")),"",ROW($1:$99)),COLUMN(K138)+1)-SMALL(IF(ISERROR(SEARCH(MID(";"&amp;'CASE DATA'!$F139&amp;";",ROW($1:$99),1),";")),"",ROW($1:$99)),COLUMN(K138))-1)</f>
        <v/>
      </c>
      <c r="AH139" s="75" t="str" cm="1">
        <f t="array" ref="AH139">MID(";"&amp;'CASE DATA'!$F139&amp;";",SMALL(IF(ISERROR(SEARCH(MID(";"&amp;'CASE DATA'!$F139&amp;";",ROW($1:$99),1),";")),"",ROW($1:$99)+1),COLUMN(L139)),SMALL(IF(ISERROR(SEARCH(MID(";"&amp;'CASE DATA'!$F139&amp;";",ROW($1:$99),1),";")),"",ROW($1:$99)),COLUMN(L138)+1)-SMALL(IF(ISERROR(SEARCH(MID(";"&amp;'CASE DATA'!$F139&amp;";",ROW($1:$99),1),";")),"",ROW($1:$99)),COLUMN(L138))-1)</f>
        <v/>
      </c>
      <c r="AI139" s="75" t="str" cm="1">
        <f t="array" ref="AI139">MID(";"&amp;'CASE DATA'!$F139&amp;";",SMALL(IF(ISERROR(SEARCH(MID(";"&amp;'CASE DATA'!$F139&amp;";",ROW($1:$99),1),";")),"",ROW($1:$99)+1),COLUMN(M139)),SMALL(IF(ISERROR(SEARCH(MID(";"&amp;'CASE DATA'!$F139&amp;";",ROW($1:$99),1),";")),"",ROW($1:$99)),COLUMN(M138)+1)-SMALL(IF(ISERROR(SEARCH(MID(";"&amp;'CASE DATA'!$F139&amp;";",ROW($1:$99),1),";")),"",ROW($1:$99)),COLUMN(M138))-1)</f>
        <v/>
      </c>
      <c r="BO139" s="99"/>
      <c r="BP139" s="99"/>
      <c r="BQ139" s="99"/>
      <c r="BR139" s="99"/>
      <c r="BS139" s="99"/>
      <c r="BT139" s="99"/>
      <c r="BU139" s="99"/>
      <c r="BV139" s="99"/>
      <c r="BW139" s="99"/>
      <c r="BX139" s="99"/>
      <c r="BY139" s="99"/>
      <c r="BZ139" s="99"/>
      <c r="CA139" s="99"/>
      <c r="CB139" s="99"/>
      <c r="CC139" s="99"/>
      <c r="CD139" s="99"/>
      <c r="CE139" s="99"/>
      <c r="CF139" s="99"/>
      <c r="CG139" s="99"/>
      <c r="CH139" s="99"/>
      <c r="CI139" s="99"/>
      <c r="CJ139" s="99"/>
      <c r="CK139" s="99"/>
      <c r="CL139" s="99"/>
      <c r="CM139" s="99"/>
      <c r="CN139" s="99"/>
      <c r="CO139" s="99"/>
      <c r="CP139" s="99"/>
      <c r="CQ139" s="99"/>
      <c r="CR139" s="99"/>
      <c r="CS139" s="99"/>
      <c r="CT139" s="99"/>
      <c r="CU139" s="99"/>
      <c r="CV139" s="99"/>
      <c r="CW139" s="99"/>
      <c r="CX139" s="99"/>
      <c r="CY139" s="99"/>
      <c r="CZ139" s="99"/>
      <c r="DA139" s="99"/>
      <c r="DB139" s="99"/>
      <c r="DC139" s="99"/>
      <c r="DD139" s="99"/>
      <c r="DE139" s="99"/>
      <c r="DF139" s="99"/>
      <c r="DG139" s="99"/>
      <c r="DH139" s="99"/>
      <c r="DI139" s="99"/>
      <c r="DJ139" s="99"/>
      <c r="DK139" s="99"/>
      <c r="DL139" s="99"/>
      <c r="DM139" s="99"/>
      <c r="DN139" s="99"/>
      <c r="DO139" s="99"/>
      <c r="DP139" s="99"/>
      <c r="DQ139" s="99"/>
      <c r="DR139" s="99"/>
      <c r="DS139" s="99"/>
      <c r="DT139" s="99"/>
      <c r="DU139" s="99"/>
      <c r="DV139" s="99"/>
      <c r="DW139" s="99"/>
      <c r="DX139" s="99"/>
      <c r="DY139" s="99"/>
      <c r="DZ139" s="99"/>
      <c r="EA139" s="99"/>
      <c r="EB139" s="99"/>
      <c r="EC139" s="99"/>
      <c r="ED139" s="99"/>
      <c r="EE139" s="99"/>
      <c r="EF139" s="99"/>
      <c r="EG139" s="99"/>
      <c r="EH139" s="99"/>
      <c r="EI139" s="99"/>
      <c r="EJ139" s="99"/>
      <c r="EK139" s="99"/>
      <c r="EL139" s="99"/>
      <c r="EM139" s="99"/>
      <c r="EN139" s="99"/>
      <c r="EO139" s="99"/>
      <c r="EP139" s="99"/>
      <c r="EQ139" s="99"/>
      <c r="ER139" s="99"/>
      <c r="ES139" s="99"/>
      <c r="ET139" s="99"/>
      <c r="EU139" s="99"/>
      <c r="EV139" s="99"/>
      <c r="EW139" s="99"/>
      <c r="EX139" s="99"/>
      <c r="EY139" s="99"/>
      <c r="EZ139" s="99"/>
      <c r="FA139" s="99"/>
      <c r="FB139" s="99"/>
      <c r="FC139" s="99"/>
      <c r="FD139" s="99"/>
      <c r="FE139" s="99"/>
      <c r="FF139" s="99"/>
      <c r="FG139" s="99"/>
      <c r="FH139" s="99"/>
      <c r="FI139" s="99"/>
      <c r="FJ139" s="99"/>
      <c r="FK139" s="99"/>
    </row>
    <row r="140" spans="3:167" x14ac:dyDescent="0.25">
      <c r="C140" s="10"/>
      <c r="D140" s="10"/>
      <c r="E140" s="11"/>
      <c r="F140" s="15"/>
      <c r="J140" s="99">
        <v>137</v>
      </c>
      <c r="K140" s="16"/>
      <c r="L140" s="16"/>
      <c r="M140" s="16"/>
      <c r="N140" s="16"/>
      <c r="O140" s="16"/>
      <c r="P140" s="16"/>
      <c r="Q140" s="16"/>
      <c r="R140" s="16"/>
      <c r="S140" s="16"/>
      <c r="T140" s="16"/>
      <c r="U140" s="73">
        <f>SUM(K140:T140)</f>
        <v>0</v>
      </c>
      <c r="V140" s="73"/>
      <c r="X140" s="75" t="str" cm="1">
        <f t="array" ref="X140">MID(";"&amp;'CASE DATA'!$F140&amp;";",SMALL(IF(ISERROR(SEARCH(MID(";"&amp;'CASE DATA'!$F140&amp;";",ROW($1:$99),1),";")),"",ROW($1:$99)+1),COLUMN(A140)),SMALL(IF(ISERROR(SEARCH(MID(";"&amp;'CASE DATA'!$F140&amp;";",ROW($1:$99),1),";")),"",ROW($1:$99)),COLUMN(A139)+1)-SMALL(IF(ISERROR(SEARCH(MID(";"&amp;'CASE DATA'!$F140&amp;";",ROW($1:$99),1),";")),"",ROW($1:$99)),COLUMN(A139))-1)</f>
        <v/>
      </c>
      <c r="Y140" s="75" t="str" cm="1">
        <f t="array" ref="Y140">MID(";"&amp;'CASE DATA'!$F140&amp;";",SMALL(IF(ISERROR(SEARCH(MID(";"&amp;'CASE DATA'!$F140&amp;";",ROW($1:$99),1),";")),"",ROW($1:$99)+1),COLUMN(B140)),SMALL(IF(ISERROR(SEARCH(MID(";"&amp;'CASE DATA'!$F140&amp;";",ROW($1:$99),1),";")),"",ROW($1:$99)),COLUMN(B139)+1)-SMALL(IF(ISERROR(SEARCH(MID(";"&amp;'CASE DATA'!$F140&amp;";",ROW($1:$99),1),";")),"",ROW($1:$99)),COLUMN(B139))-1)</f>
        <v/>
      </c>
      <c r="Z140" s="75" t="str" cm="1">
        <f t="array" ref="Z140">MID(";"&amp;'CASE DATA'!$F140&amp;";",SMALL(IF(ISERROR(SEARCH(MID(";"&amp;'CASE DATA'!$F140&amp;";",ROW($1:$99),1),";")),"",ROW($1:$99)+1),COLUMN(C140)),SMALL(IF(ISERROR(SEARCH(MID(";"&amp;'CASE DATA'!$F140&amp;";",ROW($1:$99),1),";")),"",ROW($1:$99)),COLUMN(C139)+1)-SMALL(IF(ISERROR(SEARCH(MID(";"&amp;'CASE DATA'!$F140&amp;";",ROW($1:$99),1),";")),"",ROW($1:$99)),COLUMN(C139))-1)</f>
        <v/>
      </c>
      <c r="AA140" s="75" t="str" cm="1">
        <f t="array" ref="AA140">MID(";"&amp;'CASE DATA'!$F140&amp;";",SMALL(IF(ISERROR(SEARCH(MID(";"&amp;'CASE DATA'!$F140&amp;";",ROW($1:$99),1),";")),"",ROW($1:$99)+1),COLUMN(D140)),SMALL(IF(ISERROR(SEARCH(MID(";"&amp;'CASE DATA'!$F140&amp;";",ROW($1:$99),1),";")),"",ROW($1:$99)),COLUMN(D139)+1)-SMALL(IF(ISERROR(SEARCH(MID(";"&amp;'CASE DATA'!$F140&amp;";",ROW($1:$99),1),";")),"",ROW($1:$99)),COLUMN(D139))-1)</f>
        <v/>
      </c>
      <c r="AB140" s="75" t="str" cm="1">
        <f t="array" ref="AB140">MID(";"&amp;'CASE DATA'!$F140&amp;";",SMALL(IF(ISERROR(SEARCH(MID(";"&amp;'CASE DATA'!$F140&amp;";",ROW($1:$99),1),";")),"",ROW($1:$99)+1),COLUMN(E140)),SMALL(IF(ISERROR(SEARCH(MID(";"&amp;'CASE DATA'!$F140&amp;";",ROW($1:$99),1),";")),"",ROW($1:$99)),COLUMN(E139)+1)-SMALL(IF(ISERROR(SEARCH(MID(";"&amp;'CASE DATA'!$F140&amp;";",ROW($1:$99),1),";")),"",ROW($1:$99)),COLUMN(E139))-1)</f>
        <v/>
      </c>
      <c r="AC140" s="75" t="str" cm="1">
        <f t="array" ref="AC140">MID(";"&amp;'CASE DATA'!$F140&amp;";",SMALL(IF(ISERROR(SEARCH(MID(";"&amp;'CASE DATA'!$F140&amp;";",ROW($1:$99),1),";")),"",ROW($1:$99)+1),COLUMN(F140)),SMALL(IF(ISERROR(SEARCH(MID(";"&amp;'CASE DATA'!$F140&amp;";",ROW($1:$99),1),";")),"",ROW($1:$99)),COLUMN(F139)+1)-SMALL(IF(ISERROR(SEARCH(MID(";"&amp;'CASE DATA'!$F140&amp;";",ROW($1:$99),1),";")),"",ROW($1:$99)),COLUMN(F139))-1)</f>
        <v/>
      </c>
      <c r="AD140" s="75" t="str" cm="1">
        <f t="array" ref="AD140">MID(";"&amp;'CASE DATA'!$F140&amp;";",SMALL(IF(ISERROR(SEARCH(MID(";"&amp;'CASE DATA'!$F140&amp;";",ROW($1:$99),1),";")),"",ROW($1:$99)+1),COLUMN(G140)),SMALL(IF(ISERROR(SEARCH(MID(";"&amp;'CASE DATA'!$F140&amp;";",ROW($1:$99),1),";")),"",ROW($1:$99)),COLUMN(G139)+1)-SMALL(IF(ISERROR(SEARCH(MID(";"&amp;'CASE DATA'!$F140&amp;";",ROW($1:$99),1),";")),"",ROW($1:$99)),COLUMN(G139))-1)</f>
        <v/>
      </c>
      <c r="AE140" s="75" t="str" cm="1">
        <f t="array" ref="AE140">MID(";"&amp;'CASE DATA'!$F140&amp;";",SMALL(IF(ISERROR(SEARCH(MID(";"&amp;'CASE DATA'!$F140&amp;";",ROW($1:$99),1),";")),"",ROW($1:$99)+1),COLUMN(H140)),SMALL(IF(ISERROR(SEARCH(MID(";"&amp;'CASE DATA'!$F140&amp;";",ROW($1:$99),1),";")),"",ROW($1:$99)),COLUMN(H139)+1)-SMALL(IF(ISERROR(SEARCH(MID(";"&amp;'CASE DATA'!$F140&amp;";",ROW($1:$99),1),";")),"",ROW($1:$99)),COLUMN(H139))-1)</f>
        <v/>
      </c>
      <c r="AF140" s="75" t="str" cm="1">
        <f t="array" ref="AF140">MID(";"&amp;'CASE DATA'!$F140&amp;";",SMALL(IF(ISERROR(SEARCH(MID(";"&amp;'CASE DATA'!$F140&amp;";",ROW($1:$99),1),";")),"",ROW($1:$99)+1),COLUMN(I140)),SMALL(IF(ISERROR(SEARCH(MID(";"&amp;'CASE DATA'!$F140&amp;";",ROW($1:$99),1),";")),"",ROW($1:$99)),COLUMN(I139)+1)-SMALL(IF(ISERROR(SEARCH(MID(";"&amp;'CASE DATA'!$F140&amp;";",ROW($1:$99),1),";")),"",ROW($1:$99)),COLUMN(I139))-1)</f>
        <v/>
      </c>
      <c r="AG140" s="75" t="str" cm="1">
        <f t="array" ref="AG140">MID(";"&amp;'CASE DATA'!$F140&amp;";",SMALL(IF(ISERROR(SEARCH(MID(";"&amp;'CASE DATA'!$F140&amp;";",ROW($1:$99),1),";")),"",ROW($1:$99)+1),COLUMN(K140)),SMALL(IF(ISERROR(SEARCH(MID(";"&amp;'CASE DATA'!$F140&amp;";",ROW($1:$99),1),";")),"",ROW($1:$99)),COLUMN(K139)+1)-SMALL(IF(ISERROR(SEARCH(MID(";"&amp;'CASE DATA'!$F140&amp;";",ROW($1:$99),1),";")),"",ROW($1:$99)),COLUMN(K139))-1)</f>
        <v/>
      </c>
      <c r="AH140" s="75" t="str" cm="1">
        <f t="array" ref="AH140">MID(";"&amp;'CASE DATA'!$F140&amp;";",SMALL(IF(ISERROR(SEARCH(MID(";"&amp;'CASE DATA'!$F140&amp;";",ROW($1:$99),1),";")),"",ROW($1:$99)+1),COLUMN(L140)),SMALL(IF(ISERROR(SEARCH(MID(";"&amp;'CASE DATA'!$F140&amp;";",ROW($1:$99),1),";")),"",ROW($1:$99)),COLUMN(L139)+1)-SMALL(IF(ISERROR(SEARCH(MID(";"&amp;'CASE DATA'!$F140&amp;";",ROW($1:$99),1),";")),"",ROW($1:$99)),COLUMN(L139))-1)</f>
        <v/>
      </c>
      <c r="AI140" s="75" t="str" cm="1">
        <f t="array" ref="AI140">MID(";"&amp;'CASE DATA'!$F140&amp;";",SMALL(IF(ISERROR(SEARCH(MID(";"&amp;'CASE DATA'!$F140&amp;";",ROW($1:$99),1),";")),"",ROW($1:$99)+1),COLUMN(M140)),SMALL(IF(ISERROR(SEARCH(MID(";"&amp;'CASE DATA'!$F140&amp;";",ROW($1:$99),1),";")),"",ROW($1:$99)),COLUMN(M139)+1)-SMALL(IF(ISERROR(SEARCH(MID(";"&amp;'CASE DATA'!$F140&amp;";",ROW($1:$99),1),";")),"",ROW($1:$99)),COLUMN(M139))-1)</f>
        <v/>
      </c>
      <c r="BO140" s="99"/>
      <c r="BP140" s="99"/>
      <c r="BQ140" s="99"/>
      <c r="BR140" s="99"/>
      <c r="BS140" s="99"/>
      <c r="BT140" s="99"/>
      <c r="BU140" s="99"/>
      <c r="BV140" s="99"/>
      <c r="BW140" s="99"/>
      <c r="BX140" s="99"/>
      <c r="BY140" s="99"/>
      <c r="BZ140" s="99"/>
      <c r="CA140" s="99"/>
      <c r="CB140" s="99"/>
      <c r="CC140" s="99"/>
      <c r="CD140" s="99"/>
      <c r="CE140" s="99"/>
      <c r="CF140" s="99"/>
      <c r="CG140" s="99"/>
      <c r="CH140" s="99"/>
      <c r="CI140" s="99"/>
      <c r="CJ140" s="99"/>
      <c r="CK140" s="99"/>
      <c r="CL140" s="99"/>
      <c r="CM140" s="99"/>
      <c r="CN140" s="99"/>
      <c r="CO140" s="99"/>
      <c r="CP140" s="99"/>
      <c r="CQ140" s="99"/>
      <c r="CR140" s="99"/>
      <c r="CS140" s="99"/>
      <c r="CT140" s="99"/>
      <c r="CU140" s="99"/>
      <c r="CV140" s="99"/>
      <c r="CW140" s="99"/>
      <c r="CX140" s="99"/>
      <c r="CY140" s="99"/>
      <c r="CZ140" s="99"/>
      <c r="DA140" s="99"/>
      <c r="DB140" s="99"/>
      <c r="DC140" s="99"/>
      <c r="DD140" s="99"/>
      <c r="DE140" s="99"/>
      <c r="DF140" s="99"/>
      <c r="DG140" s="99"/>
      <c r="DH140" s="99"/>
      <c r="DI140" s="99"/>
      <c r="DJ140" s="99"/>
      <c r="DK140" s="99"/>
      <c r="DL140" s="99"/>
      <c r="DM140" s="99"/>
      <c r="DN140" s="99"/>
      <c r="DO140" s="99"/>
      <c r="DP140" s="99"/>
      <c r="DQ140" s="99"/>
      <c r="DR140" s="99"/>
      <c r="DS140" s="99"/>
      <c r="DT140" s="99"/>
      <c r="DU140" s="99"/>
      <c r="DV140" s="99"/>
      <c r="DW140" s="99"/>
      <c r="DX140" s="99"/>
      <c r="DY140" s="99"/>
      <c r="DZ140" s="99"/>
      <c r="EA140" s="99"/>
      <c r="EB140" s="99"/>
      <c r="EC140" s="99"/>
      <c r="ED140" s="99"/>
      <c r="EE140" s="99"/>
      <c r="EF140" s="99"/>
      <c r="EG140" s="99"/>
      <c r="EH140" s="99"/>
      <c r="EI140" s="99"/>
      <c r="EJ140" s="99"/>
      <c r="EK140" s="99"/>
      <c r="EL140" s="99"/>
      <c r="EM140" s="99"/>
      <c r="EN140" s="99"/>
      <c r="EO140" s="99"/>
      <c r="EP140" s="99"/>
      <c r="EQ140" s="99"/>
      <c r="ER140" s="99"/>
      <c r="ES140" s="99"/>
      <c r="ET140" s="99"/>
      <c r="EU140" s="99"/>
      <c r="EV140" s="99"/>
      <c r="EW140" s="99"/>
      <c r="EX140" s="99"/>
      <c r="EY140" s="99"/>
      <c r="EZ140" s="99"/>
      <c r="FA140" s="99"/>
      <c r="FB140" s="99"/>
      <c r="FC140" s="99"/>
      <c r="FD140" s="99"/>
      <c r="FE140" s="99"/>
      <c r="FF140" s="99"/>
      <c r="FG140" s="99"/>
      <c r="FH140" s="99"/>
      <c r="FI140" s="99"/>
      <c r="FJ140" s="99"/>
      <c r="FK140" s="99"/>
    </row>
    <row r="141" spans="3:167" x14ac:dyDescent="0.25">
      <c r="C141" s="10"/>
      <c r="D141" s="10"/>
      <c r="E141" s="11"/>
      <c r="F141" s="15"/>
      <c r="J141" s="99">
        <v>138</v>
      </c>
      <c r="K141" s="16"/>
      <c r="L141" s="16"/>
      <c r="M141" s="16"/>
      <c r="N141" s="16"/>
      <c r="O141" s="16"/>
      <c r="P141" s="16"/>
      <c r="Q141" s="16"/>
      <c r="R141" s="16"/>
      <c r="S141" s="16"/>
      <c r="T141" s="16"/>
      <c r="U141" s="73">
        <f>SUM(K141:T141)</f>
        <v>0</v>
      </c>
      <c r="V141" s="73"/>
      <c r="X141" s="75" t="str" cm="1">
        <f t="array" ref="X141">MID(";"&amp;'CASE DATA'!$F141&amp;";",SMALL(IF(ISERROR(SEARCH(MID(";"&amp;'CASE DATA'!$F141&amp;";",ROW($1:$99),1),";")),"",ROW($1:$99)+1),COLUMN(A141)),SMALL(IF(ISERROR(SEARCH(MID(";"&amp;'CASE DATA'!$F141&amp;";",ROW($1:$99),1),";")),"",ROW($1:$99)),COLUMN(A140)+1)-SMALL(IF(ISERROR(SEARCH(MID(";"&amp;'CASE DATA'!$F141&amp;";",ROW($1:$99),1),";")),"",ROW($1:$99)),COLUMN(A140))-1)</f>
        <v/>
      </c>
      <c r="Y141" s="75" t="str" cm="1">
        <f t="array" ref="Y141">MID(";"&amp;'CASE DATA'!$F141&amp;";",SMALL(IF(ISERROR(SEARCH(MID(";"&amp;'CASE DATA'!$F141&amp;";",ROW($1:$99),1),";")),"",ROW($1:$99)+1),COLUMN(B141)),SMALL(IF(ISERROR(SEARCH(MID(";"&amp;'CASE DATA'!$F141&amp;";",ROW($1:$99),1),";")),"",ROW($1:$99)),COLUMN(B140)+1)-SMALL(IF(ISERROR(SEARCH(MID(";"&amp;'CASE DATA'!$F141&amp;";",ROW($1:$99),1),";")),"",ROW($1:$99)),COLUMN(B140))-1)</f>
        <v/>
      </c>
      <c r="Z141" s="75" t="str" cm="1">
        <f t="array" ref="Z141">MID(";"&amp;'CASE DATA'!$F141&amp;";",SMALL(IF(ISERROR(SEARCH(MID(";"&amp;'CASE DATA'!$F141&amp;";",ROW($1:$99),1),";")),"",ROW($1:$99)+1),COLUMN(C141)),SMALL(IF(ISERROR(SEARCH(MID(";"&amp;'CASE DATA'!$F141&amp;";",ROW($1:$99),1),";")),"",ROW($1:$99)),COLUMN(C140)+1)-SMALL(IF(ISERROR(SEARCH(MID(";"&amp;'CASE DATA'!$F141&amp;";",ROW($1:$99),1),";")),"",ROW($1:$99)),COLUMN(C140))-1)</f>
        <v/>
      </c>
      <c r="AA141" s="75" t="str" cm="1">
        <f t="array" ref="AA141">MID(";"&amp;'CASE DATA'!$F141&amp;";",SMALL(IF(ISERROR(SEARCH(MID(";"&amp;'CASE DATA'!$F141&amp;";",ROW($1:$99),1),";")),"",ROW($1:$99)+1),COLUMN(D141)),SMALL(IF(ISERROR(SEARCH(MID(";"&amp;'CASE DATA'!$F141&amp;";",ROW($1:$99),1),";")),"",ROW($1:$99)),COLUMN(D140)+1)-SMALL(IF(ISERROR(SEARCH(MID(";"&amp;'CASE DATA'!$F141&amp;";",ROW($1:$99),1),";")),"",ROW($1:$99)),COLUMN(D140))-1)</f>
        <v/>
      </c>
      <c r="AB141" s="75" t="str" cm="1">
        <f t="array" ref="AB141">MID(";"&amp;'CASE DATA'!$F141&amp;";",SMALL(IF(ISERROR(SEARCH(MID(";"&amp;'CASE DATA'!$F141&amp;";",ROW($1:$99),1),";")),"",ROW($1:$99)+1),COLUMN(E141)),SMALL(IF(ISERROR(SEARCH(MID(";"&amp;'CASE DATA'!$F141&amp;";",ROW($1:$99),1),";")),"",ROW($1:$99)),COLUMN(E140)+1)-SMALL(IF(ISERROR(SEARCH(MID(";"&amp;'CASE DATA'!$F141&amp;";",ROW($1:$99),1),";")),"",ROW($1:$99)),COLUMN(E140))-1)</f>
        <v/>
      </c>
      <c r="AC141" s="75" t="str" cm="1">
        <f t="array" ref="AC141">MID(";"&amp;'CASE DATA'!$F141&amp;";",SMALL(IF(ISERROR(SEARCH(MID(";"&amp;'CASE DATA'!$F141&amp;";",ROW($1:$99),1),";")),"",ROW($1:$99)+1),COLUMN(F141)),SMALL(IF(ISERROR(SEARCH(MID(";"&amp;'CASE DATA'!$F141&amp;";",ROW($1:$99),1),";")),"",ROW($1:$99)),COLUMN(F140)+1)-SMALL(IF(ISERROR(SEARCH(MID(";"&amp;'CASE DATA'!$F141&amp;";",ROW($1:$99),1),";")),"",ROW($1:$99)),COLUMN(F140))-1)</f>
        <v/>
      </c>
      <c r="AD141" s="75" t="str" cm="1">
        <f t="array" ref="AD141">MID(";"&amp;'CASE DATA'!$F141&amp;";",SMALL(IF(ISERROR(SEARCH(MID(";"&amp;'CASE DATA'!$F141&amp;";",ROW($1:$99),1),";")),"",ROW($1:$99)+1),COLUMN(G141)),SMALL(IF(ISERROR(SEARCH(MID(";"&amp;'CASE DATA'!$F141&amp;";",ROW($1:$99),1),";")),"",ROW($1:$99)),COLUMN(G140)+1)-SMALL(IF(ISERROR(SEARCH(MID(";"&amp;'CASE DATA'!$F141&amp;";",ROW($1:$99),1),";")),"",ROW($1:$99)),COLUMN(G140))-1)</f>
        <v/>
      </c>
      <c r="AE141" s="75" t="str" cm="1">
        <f t="array" ref="AE141">MID(";"&amp;'CASE DATA'!$F141&amp;";",SMALL(IF(ISERROR(SEARCH(MID(";"&amp;'CASE DATA'!$F141&amp;";",ROW($1:$99),1),";")),"",ROW($1:$99)+1),COLUMN(H141)),SMALL(IF(ISERROR(SEARCH(MID(";"&amp;'CASE DATA'!$F141&amp;";",ROW($1:$99),1),";")),"",ROW($1:$99)),COLUMN(H140)+1)-SMALL(IF(ISERROR(SEARCH(MID(";"&amp;'CASE DATA'!$F141&amp;";",ROW($1:$99),1),";")),"",ROW($1:$99)),COLUMN(H140))-1)</f>
        <v/>
      </c>
      <c r="AF141" s="75" t="str" cm="1">
        <f t="array" ref="AF141">MID(";"&amp;'CASE DATA'!$F141&amp;";",SMALL(IF(ISERROR(SEARCH(MID(";"&amp;'CASE DATA'!$F141&amp;";",ROW($1:$99),1),";")),"",ROW($1:$99)+1),COLUMN(I141)),SMALL(IF(ISERROR(SEARCH(MID(";"&amp;'CASE DATA'!$F141&amp;";",ROW($1:$99),1),";")),"",ROW($1:$99)),COLUMN(I140)+1)-SMALL(IF(ISERROR(SEARCH(MID(";"&amp;'CASE DATA'!$F141&amp;";",ROW($1:$99),1),";")),"",ROW($1:$99)),COLUMN(I140))-1)</f>
        <v/>
      </c>
      <c r="AG141" s="75" t="str" cm="1">
        <f t="array" ref="AG141">MID(";"&amp;'CASE DATA'!$F141&amp;";",SMALL(IF(ISERROR(SEARCH(MID(";"&amp;'CASE DATA'!$F141&amp;";",ROW($1:$99),1),";")),"",ROW($1:$99)+1),COLUMN(K141)),SMALL(IF(ISERROR(SEARCH(MID(";"&amp;'CASE DATA'!$F141&amp;";",ROW($1:$99),1),";")),"",ROW($1:$99)),COLUMN(K140)+1)-SMALL(IF(ISERROR(SEARCH(MID(";"&amp;'CASE DATA'!$F141&amp;";",ROW($1:$99),1),";")),"",ROW($1:$99)),COLUMN(K140))-1)</f>
        <v/>
      </c>
      <c r="AH141" s="75" t="str" cm="1">
        <f t="array" ref="AH141">MID(";"&amp;'CASE DATA'!$F141&amp;";",SMALL(IF(ISERROR(SEARCH(MID(";"&amp;'CASE DATA'!$F141&amp;";",ROW($1:$99),1),";")),"",ROW($1:$99)+1),COLUMN(L141)),SMALL(IF(ISERROR(SEARCH(MID(";"&amp;'CASE DATA'!$F141&amp;";",ROW($1:$99),1),";")),"",ROW($1:$99)),COLUMN(L140)+1)-SMALL(IF(ISERROR(SEARCH(MID(";"&amp;'CASE DATA'!$F141&amp;";",ROW($1:$99),1),";")),"",ROW($1:$99)),COLUMN(L140))-1)</f>
        <v/>
      </c>
      <c r="AI141" s="75" t="str" cm="1">
        <f t="array" ref="AI141">MID(";"&amp;'CASE DATA'!$F141&amp;";",SMALL(IF(ISERROR(SEARCH(MID(";"&amp;'CASE DATA'!$F141&amp;";",ROW($1:$99),1),";")),"",ROW($1:$99)+1),COLUMN(M141)),SMALL(IF(ISERROR(SEARCH(MID(";"&amp;'CASE DATA'!$F141&amp;";",ROW($1:$99),1),";")),"",ROW($1:$99)),COLUMN(M140)+1)-SMALL(IF(ISERROR(SEARCH(MID(";"&amp;'CASE DATA'!$F141&amp;";",ROW($1:$99),1),";")),"",ROW($1:$99)),COLUMN(M140))-1)</f>
        <v/>
      </c>
      <c r="BO141" s="99"/>
      <c r="BP141" s="99"/>
      <c r="BQ141" s="99"/>
      <c r="BR141" s="99"/>
      <c r="BS141" s="99"/>
      <c r="BT141" s="99"/>
      <c r="BU141" s="99"/>
      <c r="BV141" s="99"/>
      <c r="BW141" s="99"/>
      <c r="BX141" s="99"/>
      <c r="BY141" s="99"/>
      <c r="BZ141" s="99"/>
      <c r="CA141" s="99"/>
      <c r="CB141" s="99"/>
      <c r="CC141" s="99"/>
      <c r="CD141" s="99"/>
      <c r="CE141" s="99"/>
      <c r="CF141" s="99"/>
      <c r="CG141" s="99"/>
      <c r="CH141" s="99"/>
      <c r="CI141" s="99"/>
      <c r="CJ141" s="99"/>
      <c r="CK141" s="99"/>
      <c r="CL141" s="99"/>
      <c r="CM141" s="99"/>
      <c r="CN141" s="99"/>
      <c r="CO141" s="99"/>
      <c r="CP141" s="99"/>
      <c r="CQ141" s="99"/>
      <c r="CR141" s="99"/>
      <c r="CS141" s="99"/>
      <c r="CT141" s="99"/>
      <c r="CU141" s="99"/>
      <c r="CV141" s="99"/>
      <c r="CW141" s="99"/>
      <c r="CX141" s="99"/>
      <c r="CY141" s="99"/>
      <c r="CZ141" s="99"/>
      <c r="DA141" s="99"/>
      <c r="DB141" s="99"/>
      <c r="DC141" s="99"/>
      <c r="DD141" s="99"/>
      <c r="DE141" s="99"/>
      <c r="DF141" s="99"/>
      <c r="DG141" s="99"/>
      <c r="DH141" s="99"/>
      <c r="DI141" s="99"/>
      <c r="DJ141" s="99"/>
      <c r="DK141" s="99"/>
      <c r="DL141" s="99"/>
      <c r="DM141" s="99"/>
      <c r="DN141" s="99"/>
      <c r="DO141" s="99"/>
      <c r="DP141" s="99"/>
      <c r="DQ141" s="99"/>
      <c r="DR141" s="99"/>
      <c r="DS141" s="99"/>
      <c r="DT141" s="99"/>
      <c r="DU141" s="99"/>
      <c r="DV141" s="99"/>
      <c r="DW141" s="99"/>
      <c r="DX141" s="99"/>
      <c r="DY141" s="99"/>
      <c r="DZ141" s="99"/>
      <c r="EA141" s="99"/>
      <c r="EB141" s="99"/>
      <c r="EC141" s="99"/>
      <c r="ED141" s="99"/>
      <c r="EE141" s="99"/>
      <c r="EF141" s="99"/>
      <c r="EG141" s="99"/>
      <c r="EH141" s="99"/>
      <c r="EI141" s="99"/>
      <c r="EJ141" s="99"/>
      <c r="EK141" s="99"/>
      <c r="EL141" s="99"/>
      <c r="EM141" s="99"/>
      <c r="EN141" s="99"/>
      <c r="EO141" s="99"/>
      <c r="EP141" s="99"/>
      <c r="EQ141" s="99"/>
      <c r="ER141" s="99"/>
      <c r="ES141" s="99"/>
      <c r="ET141" s="99"/>
      <c r="EU141" s="99"/>
      <c r="EV141" s="99"/>
      <c r="EW141" s="99"/>
      <c r="EX141" s="99"/>
      <c r="EY141" s="99"/>
      <c r="EZ141" s="99"/>
      <c r="FA141" s="99"/>
      <c r="FB141" s="99"/>
      <c r="FC141" s="99"/>
      <c r="FD141" s="99"/>
      <c r="FE141" s="99"/>
      <c r="FF141" s="99"/>
      <c r="FG141" s="99"/>
      <c r="FH141" s="99"/>
      <c r="FI141" s="99"/>
      <c r="FJ141" s="99"/>
      <c r="FK141" s="99"/>
    </row>
    <row r="142" spans="3:167" x14ac:dyDescent="0.25">
      <c r="C142" s="10"/>
      <c r="D142" s="10"/>
      <c r="E142" s="11"/>
      <c r="F142" s="15"/>
      <c r="J142" s="99">
        <v>139</v>
      </c>
      <c r="K142" s="16"/>
      <c r="L142" s="16"/>
      <c r="M142" s="16"/>
      <c r="N142" s="16"/>
      <c r="O142" s="16"/>
      <c r="P142" s="16"/>
      <c r="Q142" s="16"/>
      <c r="R142" s="16"/>
      <c r="S142" s="16"/>
      <c r="T142" s="16"/>
      <c r="U142" s="73">
        <f>SUM(K142:T142)</f>
        <v>0</v>
      </c>
      <c r="V142" s="73"/>
      <c r="X142" s="75" t="str" cm="1">
        <f t="array" ref="X142">MID(";"&amp;'CASE DATA'!$F142&amp;";",SMALL(IF(ISERROR(SEARCH(MID(";"&amp;'CASE DATA'!$F142&amp;";",ROW($1:$99),1),";")),"",ROW($1:$99)+1),COLUMN(A142)),SMALL(IF(ISERROR(SEARCH(MID(";"&amp;'CASE DATA'!$F142&amp;";",ROW($1:$99),1),";")),"",ROW($1:$99)),COLUMN(A141)+1)-SMALL(IF(ISERROR(SEARCH(MID(";"&amp;'CASE DATA'!$F142&amp;";",ROW($1:$99),1),";")),"",ROW($1:$99)),COLUMN(A141))-1)</f>
        <v/>
      </c>
      <c r="Y142" s="75" t="str" cm="1">
        <f t="array" ref="Y142">MID(";"&amp;'CASE DATA'!$F142&amp;";",SMALL(IF(ISERROR(SEARCH(MID(";"&amp;'CASE DATA'!$F142&amp;";",ROW($1:$99),1),";")),"",ROW($1:$99)+1),COLUMN(B142)),SMALL(IF(ISERROR(SEARCH(MID(";"&amp;'CASE DATA'!$F142&amp;";",ROW($1:$99),1),";")),"",ROW($1:$99)),COLUMN(B141)+1)-SMALL(IF(ISERROR(SEARCH(MID(";"&amp;'CASE DATA'!$F142&amp;";",ROW($1:$99),1),";")),"",ROW($1:$99)),COLUMN(B141))-1)</f>
        <v/>
      </c>
      <c r="Z142" s="75" t="str" cm="1">
        <f t="array" ref="Z142">MID(";"&amp;'CASE DATA'!$F142&amp;";",SMALL(IF(ISERROR(SEARCH(MID(";"&amp;'CASE DATA'!$F142&amp;";",ROW($1:$99),1),";")),"",ROW($1:$99)+1),COLUMN(C142)),SMALL(IF(ISERROR(SEARCH(MID(";"&amp;'CASE DATA'!$F142&amp;";",ROW($1:$99),1),";")),"",ROW($1:$99)),COLUMN(C141)+1)-SMALL(IF(ISERROR(SEARCH(MID(";"&amp;'CASE DATA'!$F142&amp;";",ROW($1:$99),1),";")),"",ROW($1:$99)),COLUMN(C141))-1)</f>
        <v/>
      </c>
      <c r="AA142" s="75" t="str" cm="1">
        <f t="array" ref="AA142">MID(";"&amp;'CASE DATA'!$F142&amp;";",SMALL(IF(ISERROR(SEARCH(MID(";"&amp;'CASE DATA'!$F142&amp;";",ROW($1:$99),1),";")),"",ROW($1:$99)+1),COLUMN(D142)),SMALL(IF(ISERROR(SEARCH(MID(";"&amp;'CASE DATA'!$F142&amp;";",ROW($1:$99),1),";")),"",ROW($1:$99)),COLUMN(D141)+1)-SMALL(IF(ISERROR(SEARCH(MID(";"&amp;'CASE DATA'!$F142&amp;";",ROW($1:$99),1),";")),"",ROW($1:$99)),COLUMN(D141))-1)</f>
        <v/>
      </c>
      <c r="AB142" s="75" t="str" cm="1">
        <f t="array" ref="AB142">MID(";"&amp;'CASE DATA'!$F142&amp;";",SMALL(IF(ISERROR(SEARCH(MID(";"&amp;'CASE DATA'!$F142&amp;";",ROW($1:$99),1),";")),"",ROW($1:$99)+1),COLUMN(E142)),SMALL(IF(ISERROR(SEARCH(MID(";"&amp;'CASE DATA'!$F142&amp;";",ROW($1:$99),1),";")),"",ROW($1:$99)),COLUMN(E141)+1)-SMALL(IF(ISERROR(SEARCH(MID(";"&amp;'CASE DATA'!$F142&amp;";",ROW($1:$99),1),";")),"",ROW($1:$99)),COLUMN(E141))-1)</f>
        <v/>
      </c>
      <c r="AC142" s="75" t="str" cm="1">
        <f t="array" ref="AC142">MID(";"&amp;'CASE DATA'!$F142&amp;";",SMALL(IF(ISERROR(SEARCH(MID(";"&amp;'CASE DATA'!$F142&amp;";",ROW($1:$99),1),";")),"",ROW($1:$99)+1),COLUMN(F142)),SMALL(IF(ISERROR(SEARCH(MID(";"&amp;'CASE DATA'!$F142&amp;";",ROW($1:$99),1),";")),"",ROW($1:$99)),COLUMN(F141)+1)-SMALL(IF(ISERROR(SEARCH(MID(";"&amp;'CASE DATA'!$F142&amp;";",ROW($1:$99),1),";")),"",ROW($1:$99)),COLUMN(F141))-1)</f>
        <v/>
      </c>
      <c r="AD142" s="75" t="str" cm="1">
        <f t="array" ref="AD142">MID(";"&amp;'CASE DATA'!$F142&amp;";",SMALL(IF(ISERROR(SEARCH(MID(";"&amp;'CASE DATA'!$F142&amp;";",ROW($1:$99),1),";")),"",ROW($1:$99)+1),COLUMN(G142)),SMALL(IF(ISERROR(SEARCH(MID(";"&amp;'CASE DATA'!$F142&amp;";",ROW($1:$99),1),";")),"",ROW($1:$99)),COLUMN(G141)+1)-SMALL(IF(ISERROR(SEARCH(MID(";"&amp;'CASE DATA'!$F142&amp;";",ROW($1:$99),1),";")),"",ROW($1:$99)),COLUMN(G141))-1)</f>
        <v/>
      </c>
      <c r="AE142" s="75" t="str" cm="1">
        <f t="array" ref="AE142">MID(";"&amp;'CASE DATA'!$F142&amp;";",SMALL(IF(ISERROR(SEARCH(MID(";"&amp;'CASE DATA'!$F142&amp;";",ROW($1:$99),1),";")),"",ROW($1:$99)+1),COLUMN(H142)),SMALL(IF(ISERROR(SEARCH(MID(";"&amp;'CASE DATA'!$F142&amp;";",ROW($1:$99),1),";")),"",ROW($1:$99)),COLUMN(H141)+1)-SMALL(IF(ISERROR(SEARCH(MID(";"&amp;'CASE DATA'!$F142&amp;";",ROW($1:$99),1),";")),"",ROW($1:$99)),COLUMN(H141))-1)</f>
        <v/>
      </c>
      <c r="AF142" s="75" t="str" cm="1">
        <f t="array" ref="AF142">MID(";"&amp;'CASE DATA'!$F142&amp;";",SMALL(IF(ISERROR(SEARCH(MID(";"&amp;'CASE DATA'!$F142&amp;";",ROW($1:$99),1),";")),"",ROW($1:$99)+1),COLUMN(I142)),SMALL(IF(ISERROR(SEARCH(MID(";"&amp;'CASE DATA'!$F142&amp;";",ROW($1:$99),1),";")),"",ROW($1:$99)),COLUMN(I141)+1)-SMALL(IF(ISERROR(SEARCH(MID(";"&amp;'CASE DATA'!$F142&amp;";",ROW($1:$99),1),";")),"",ROW($1:$99)),COLUMN(I141))-1)</f>
        <v/>
      </c>
      <c r="AG142" s="75" t="str" cm="1">
        <f t="array" ref="AG142">MID(";"&amp;'CASE DATA'!$F142&amp;";",SMALL(IF(ISERROR(SEARCH(MID(";"&amp;'CASE DATA'!$F142&amp;";",ROW($1:$99),1),";")),"",ROW($1:$99)+1),COLUMN(K142)),SMALL(IF(ISERROR(SEARCH(MID(";"&amp;'CASE DATA'!$F142&amp;";",ROW($1:$99),1),";")),"",ROW($1:$99)),COLUMN(K141)+1)-SMALL(IF(ISERROR(SEARCH(MID(";"&amp;'CASE DATA'!$F142&amp;";",ROW($1:$99),1),";")),"",ROW($1:$99)),COLUMN(K141))-1)</f>
        <v/>
      </c>
      <c r="AH142" s="75" t="str" cm="1">
        <f t="array" ref="AH142">MID(";"&amp;'CASE DATA'!$F142&amp;";",SMALL(IF(ISERROR(SEARCH(MID(";"&amp;'CASE DATA'!$F142&amp;";",ROW($1:$99),1),";")),"",ROW($1:$99)+1),COLUMN(L142)),SMALL(IF(ISERROR(SEARCH(MID(";"&amp;'CASE DATA'!$F142&amp;";",ROW($1:$99),1),";")),"",ROW($1:$99)),COLUMN(L141)+1)-SMALL(IF(ISERROR(SEARCH(MID(";"&amp;'CASE DATA'!$F142&amp;";",ROW($1:$99),1),";")),"",ROW($1:$99)),COLUMN(L141))-1)</f>
        <v/>
      </c>
      <c r="AI142" s="75" t="str" cm="1">
        <f t="array" ref="AI142">MID(";"&amp;'CASE DATA'!$F142&amp;";",SMALL(IF(ISERROR(SEARCH(MID(";"&amp;'CASE DATA'!$F142&amp;";",ROW($1:$99),1),";")),"",ROW($1:$99)+1),COLUMN(M142)),SMALL(IF(ISERROR(SEARCH(MID(";"&amp;'CASE DATA'!$F142&amp;";",ROW($1:$99),1),";")),"",ROW($1:$99)),COLUMN(M141)+1)-SMALL(IF(ISERROR(SEARCH(MID(";"&amp;'CASE DATA'!$F142&amp;";",ROW($1:$99),1),";")),"",ROW($1:$99)),COLUMN(M141))-1)</f>
        <v/>
      </c>
      <c r="BO142" s="99"/>
      <c r="BP142" s="99"/>
      <c r="BQ142" s="99"/>
      <c r="BR142" s="99"/>
      <c r="BS142" s="99"/>
      <c r="BT142" s="99"/>
      <c r="BU142" s="99"/>
      <c r="BV142" s="99"/>
      <c r="BW142" s="99"/>
      <c r="BX142" s="99"/>
      <c r="BY142" s="99"/>
      <c r="BZ142" s="99"/>
      <c r="CA142" s="99"/>
      <c r="CB142" s="99"/>
      <c r="CC142" s="99"/>
      <c r="CD142" s="99"/>
      <c r="CE142" s="99"/>
      <c r="CF142" s="99"/>
      <c r="CG142" s="99"/>
      <c r="CH142" s="99"/>
      <c r="CI142" s="99"/>
      <c r="CJ142" s="99"/>
      <c r="CK142" s="99"/>
      <c r="CL142" s="99"/>
      <c r="CM142" s="99"/>
      <c r="CN142" s="99"/>
      <c r="CO142" s="99"/>
      <c r="CP142" s="99"/>
      <c r="CQ142" s="99"/>
      <c r="CR142" s="99"/>
      <c r="CS142" s="99"/>
      <c r="CT142" s="99"/>
      <c r="CU142" s="99"/>
      <c r="CV142" s="99"/>
      <c r="CW142" s="99"/>
      <c r="CX142" s="99"/>
      <c r="CY142" s="99"/>
      <c r="CZ142" s="99"/>
      <c r="DA142" s="99"/>
      <c r="DB142" s="99"/>
      <c r="DC142" s="99"/>
      <c r="DD142" s="99"/>
      <c r="DE142" s="99"/>
      <c r="DF142" s="99"/>
      <c r="DG142" s="99"/>
      <c r="DH142" s="99"/>
      <c r="DI142" s="99"/>
      <c r="DJ142" s="99"/>
      <c r="DK142" s="99"/>
      <c r="DL142" s="99"/>
      <c r="DM142" s="99"/>
      <c r="DN142" s="99"/>
      <c r="DO142" s="99"/>
      <c r="DP142" s="99"/>
      <c r="DQ142" s="99"/>
      <c r="DR142" s="99"/>
      <c r="DS142" s="99"/>
      <c r="DT142" s="99"/>
      <c r="DU142" s="99"/>
      <c r="DV142" s="99"/>
      <c r="DW142" s="99"/>
      <c r="DX142" s="99"/>
      <c r="DY142" s="99"/>
      <c r="DZ142" s="99"/>
      <c r="EA142" s="99"/>
      <c r="EB142" s="99"/>
      <c r="EC142" s="99"/>
      <c r="ED142" s="99"/>
      <c r="EE142" s="99"/>
      <c r="EF142" s="99"/>
      <c r="EG142" s="99"/>
      <c r="EH142" s="99"/>
      <c r="EI142" s="99"/>
      <c r="EJ142" s="99"/>
      <c r="EK142" s="99"/>
      <c r="EL142" s="99"/>
      <c r="EM142" s="99"/>
      <c r="EN142" s="99"/>
      <c r="EO142" s="99"/>
      <c r="EP142" s="99"/>
      <c r="EQ142" s="99"/>
      <c r="ER142" s="99"/>
      <c r="ES142" s="99"/>
      <c r="ET142" s="99"/>
      <c r="EU142" s="99"/>
      <c r="EV142" s="99"/>
      <c r="EW142" s="99"/>
      <c r="EX142" s="99"/>
      <c r="EY142" s="99"/>
      <c r="EZ142" s="99"/>
      <c r="FA142" s="99"/>
      <c r="FB142" s="99"/>
      <c r="FC142" s="99"/>
      <c r="FD142" s="99"/>
      <c r="FE142" s="99"/>
      <c r="FF142" s="99"/>
      <c r="FG142" s="99"/>
      <c r="FH142" s="99"/>
      <c r="FI142" s="99"/>
      <c r="FJ142" s="99"/>
      <c r="FK142" s="99"/>
    </row>
    <row r="143" spans="3:167" x14ac:dyDescent="0.25">
      <c r="C143" s="10"/>
      <c r="D143" s="10"/>
      <c r="E143" s="11"/>
      <c r="F143" s="15"/>
      <c r="J143" s="99">
        <v>140</v>
      </c>
      <c r="K143" s="16"/>
      <c r="L143" s="16"/>
      <c r="M143" s="16"/>
      <c r="N143" s="16"/>
      <c r="O143" s="16"/>
      <c r="P143" s="16"/>
      <c r="Q143" s="16"/>
      <c r="R143" s="16"/>
      <c r="S143" s="16"/>
      <c r="T143" s="16"/>
      <c r="U143" s="14">
        <f>SUM(K143:T143)</f>
        <v>0</v>
      </c>
      <c r="V143" s="14"/>
      <c r="X143" s="75" t="str" cm="1">
        <f t="array" ref="X143">MID(";"&amp;'CASE DATA'!$F143&amp;";",SMALL(IF(ISERROR(SEARCH(MID(";"&amp;'CASE DATA'!$F143&amp;";",ROW($1:$99),1),";")),"",ROW($1:$99)+1),COLUMN(A143)),SMALL(IF(ISERROR(SEARCH(MID(";"&amp;'CASE DATA'!$F143&amp;";",ROW($1:$99),1),";")),"",ROW($1:$99)),COLUMN(A142)+1)-SMALL(IF(ISERROR(SEARCH(MID(";"&amp;'CASE DATA'!$F143&amp;";",ROW($1:$99),1),";")),"",ROW($1:$99)),COLUMN(A142))-1)</f>
        <v/>
      </c>
      <c r="Y143" s="75" t="str" cm="1">
        <f t="array" ref="Y143">MID(";"&amp;'CASE DATA'!$F143&amp;";",SMALL(IF(ISERROR(SEARCH(MID(";"&amp;'CASE DATA'!$F143&amp;";",ROW($1:$99),1),";")),"",ROW($1:$99)+1),COLUMN(B143)),SMALL(IF(ISERROR(SEARCH(MID(";"&amp;'CASE DATA'!$F143&amp;";",ROW($1:$99),1),";")),"",ROW($1:$99)),COLUMN(B142)+1)-SMALL(IF(ISERROR(SEARCH(MID(";"&amp;'CASE DATA'!$F143&amp;";",ROW($1:$99),1),";")),"",ROW($1:$99)),COLUMN(B142))-1)</f>
        <v/>
      </c>
      <c r="Z143" s="75" t="str" cm="1">
        <f t="array" ref="Z143">MID(";"&amp;'CASE DATA'!$F143&amp;";",SMALL(IF(ISERROR(SEARCH(MID(";"&amp;'CASE DATA'!$F143&amp;";",ROW($1:$99),1),";")),"",ROW($1:$99)+1),COLUMN(C143)),SMALL(IF(ISERROR(SEARCH(MID(";"&amp;'CASE DATA'!$F143&amp;";",ROW($1:$99),1),";")),"",ROW($1:$99)),COLUMN(C142)+1)-SMALL(IF(ISERROR(SEARCH(MID(";"&amp;'CASE DATA'!$F143&amp;";",ROW($1:$99),1),";")),"",ROW($1:$99)),COLUMN(C142))-1)</f>
        <v/>
      </c>
      <c r="AA143" s="75" t="str" cm="1">
        <f t="array" ref="AA143">MID(";"&amp;'CASE DATA'!$F143&amp;";",SMALL(IF(ISERROR(SEARCH(MID(";"&amp;'CASE DATA'!$F143&amp;";",ROW($1:$99),1),";")),"",ROW($1:$99)+1),COLUMN(D143)),SMALL(IF(ISERROR(SEARCH(MID(";"&amp;'CASE DATA'!$F143&amp;";",ROW($1:$99),1),";")),"",ROW($1:$99)),COLUMN(D142)+1)-SMALL(IF(ISERROR(SEARCH(MID(";"&amp;'CASE DATA'!$F143&amp;";",ROW($1:$99),1),";")),"",ROW($1:$99)),COLUMN(D142))-1)</f>
        <v/>
      </c>
      <c r="AB143" s="75" t="str" cm="1">
        <f t="array" ref="AB143">MID(";"&amp;'CASE DATA'!$F143&amp;";",SMALL(IF(ISERROR(SEARCH(MID(";"&amp;'CASE DATA'!$F143&amp;";",ROW($1:$99),1),";")),"",ROW($1:$99)+1),COLUMN(E143)),SMALL(IF(ISERROR(SEARCH(MID(";"&amp;'CASE DATA'!$F143&amp;";",ROW($1:$99),1),";")),"",ROW($1:$99)),COLUMN(E142)+1)-SMALL(IF(ISERROR(SEARCH(MID(";"&amp;'CASE DATA'!$F143&amp;";",ROW($1:$99),1),";")),"",ROW($1:$99)),COLUMN(E142))-1)</f>
        <v/>
      </c>
      <c r="AC143" s="75" t="str" cm="1">
        <f t="array" ref="AC143">MID(";"&amp;'CASE DATA'!$F143&amp;";",SMALL(IF(ISERROR(SEARCH(MID(";"&amp;'CASE DATA'!$F143&amp;";",ROW($1:$99),1),";")),"",ROW($1:$99)+1),COLUMN(F143)),SMALL(IF(ISERROR(SEARCH(MID(";"&amp;'CASE DATA'!$F143&amp;";",ROW($1:$99),1),";")),"",ROW($1:$99)),COLUMN(F142)+1)-SMALL(IF(ISERROR(SEARCH(MID(";"&amp;'CASE DATA'!$F143&amp;";",ROW($1:$99),1),";")),"",ROW($1:$99)),COLUMN(F142))-1)</f>
        <v/>
      </c>
      <c r="AD143" s="75" t="str" cm="1">
        <f t="array" ref="AD143">MID(";"&amp;'CASE DATA'!$F143&amp;";",SMALL(IF(ISERROR(SEARCH(MID(";"&amp;'CASE DATA'!$F143&amp;";",ROW($1:$99),1),";")),"",ROW($1:$99)+1),COLUMN(G143)),SMALL(IF(ISERROR(SEARCH(MID(";"&amp;'CASE DATA'!$F143&amp;";",ROW($1:$99),1),";")),"",ROW($1:$99)),COLUMN(G142)+1)-SMALL(IF(ISERROR(SEARCH(MID(";"&amp;'CASE DATA'!$F143&amp;";",ROW($1:$99),1),";")),"",ROW($1:$99)),COLUMN(G142))-1)</f>
        <v/>
      </c>
      <c r="AE143" s="75" t="str" cm="1">
        <f t="array" ref="AE143">MID(";"&amp;'CASE DATA'!$F143&amp;";",SMALL(IF(ISERROR(SEARCH(MID(";"&amp;'CASE DATA'!$F143&amp;";",ROW($1:$99),1),";")),"",ROW($1:$99)+1),COLUMN(H143)),SMALL(IF(ISERROR(SEARCH(MID(";"&amp;'CASE DATA'!$F143&amp;";",ROW($1:$99),1),";")),"",ROW($1:$99)),COLUMN(H142)+1)-SMALL(IF(ISERROR(SEARCH(MID(";"&amp;'CASE DATA'!$F143&amp;";",ROW($1:$99),1),";")),"",ROW($1:$99)),COLUMN(H142))-1)</f>
        <v/>
      </c>
      <c r="AF143" s="75" t="str" cm="1">
        <f t="array" ref="AF143">MID(";"&amp;'CASE DATA'!$F143&amp;";",SMALL(IF(ISERROR(SEARCH(MID(";"&amp;'CASE DATA'!$F143&amp;";",ROW($1:$99),1),";")),"",ROW($1:$99)+1),COLUMN(I143)),SMALL(IF(ISERROR(SEARCH(MID(";"&amp;'CASE DATA'!$F143&amp;";",ROW($1:$99),1),";")),"",ROW($1:$99)),COLUMN(I142)+1)-SMALL(IF(ISERROR(SEARCH(MID(";"&amp;'CASE DATA'!$F143&amp;";",ROW($1:$99),1),";")),"",ROW($1:$99)),COLUMN(I142))-1)</f>
        <v/>
      </c>
      <c r="AG143" s="75" t="str" cm="1">
        <f t="array" ref="AG143">MID(";"&amp;'CASE DATA'!$F143&amp;";",SMALL(IF(ISERROR(SEARCH(MID(";"&amp;'CASE DATA'!$F143&amp;";",ROW($1:$99),1),";")),"",ROW($1:$99)+1),COLUMN(K143)),SMALL(IF(ISERROR(SEARCH(MID(";"&amp;'CASE DATA'!$F143&amp;";",ROW($1:$99),1),";")),"",ROW($1:$99)),COLUMN(K142)+1)-SMALL(IF(ISERROR(SEARCH(MID(";"&amp;'CASE DATA'!$F143&amp;";",ROW($1:$99),1),";")),"",ROW($1:$99)),COLUMN(K142))-1)</f>
        <v/>
      </c>
      <c r="AH143" s="75" t="str" cm="1">
        <f t="array" ref="AH143">MID(";"&amp;'CASE DATA'!$F143&amp;";",SMALL(IF(ISERROR(SEARCH(MID(";"&amp;'CASE DATA'!$F143&amp;";",ROW($1:$99),1),";")),"",ROW($1:$99)+1),COLUMN(L143)),SMALL(IF(ISERROR(SEARCH(MID(";"&amp;'CASE DATA'!$F143&amp;";",ROW($1:$99),1),";")),"",ROW($1:$99)),COLUMN(L142)+1)-SMALL(IF(ISERROR(SEARCH(MID(";"&amp;'CASE DATA'!$F143&amp;";",ROW($1:$99),1),";")),"",ROW($1:$99)),COLUMN(L142))-1)</f>
        <v/>
      </c>
      <c r="AI143" s="75" t="str" cm="1">
        <f t="array" ref="AI143">MID(";"&amp;'CASE DATA'!$F143&amp;";",SMALL(IF(ISERROR(SEARCH(MID(";"&amp;'CASE DATA'!$F143&amp;";",ROW($1:$99),1),";")),"",ROW($1:$99)+1),COLUMN(M143)),SMALL(IF(ISERROR(SEARCH(MID(";"&amp;'CASE DATA'!$F143&amp;";",ROW($1:$99),1),";")),"",ROW($1:$99)),COLUMN(M142)+1)-SMALL(IF(ISERROR(SEARCH(MID(";"&amp;'CASE DATA'!$F143&amp;";",ROW($1:$99),1),";")),"",ROW($1:$99)),COLUMN(M142))-1)</f>
        <v/>
      </c>
      <c r="BO143" s="99"/>
      <c r="BP143" s="99"/>
      <c r="BQ143" s="99"/>
      <c r="BR143" s="99"/>
      <c r="BS143" s="99"/>
      <c r="BT143" s="99"/>
      <c r="BU143" s="99"/>
      <c r="BV143" s="99"/>
      <c r="BW143" s="99"/>
      <c r="BX143" s="99"/>
      <c r="BY143" s="99"/>
      <c r="BZ143" s="99"/>
      <c r="CA143" s="99"/>
      <c r="CB143" s="99"/>
      <c r="CC143" s="99"/>
      <c r="CD143" s="99"/>
      <c r="CE143" s="99"/>
      <c r="CF143" s="99"/>
      <c r="CG143" s="99"/>
      <c r="CH143" s="99"/>
      <c r="CI143" s="99"/>
      <c r="CJ143" s="99"/>
      <c r="CK143" s="99"/>
      <c r="CL143" s="99"/>
      <c r="CM143" s="99"/>
      <c r="CN143" s="99"/>
      <c r="CO143" s="99"/>
      <c r="CP143" s="99"/>
      <c r="CQ143" s="99"/>
      <c r="CR143" s="99"/>
      <c r="CS143" s="99"/>
      <c r="CT143" s="99"/>
      <c r="CU143" s="99"/>
      <c r="CV143" s="99"/>
      <c r="CW143" s="99"/>
      <c r="CX143" s="99"/>
      <c r="CY143" s="99"/>
      <c r="CZ143" s="99"/>
      <c r="DA143" s="99"/>
      <c r="DB143" s="99"/>
      <c r="DC143" s="99"/>
      <c r="DD143" s="99"/>
      <c r="DE143" s="99"/>
      <c r="DF143" s="99"/>
      <c r="DG143" s="99"/>
      <c r="DH143" s="99"/>
      <c r="DI143" s="99"/>
      <c r="DJ143" s="99"/>
      <c r="DK143" s="99"/>
      <c r="DL143" s="99"/>
      <c r="DM143" s="99"/>
      <c r="DN143" s="99"/>
      <c r="DO143" s="99"/>
      <c r="DP143" s="99"/>
      <c r="DQ143" s="99"/>
      <c r="DR143" s="99"/>
      <c r="DS143" s="99"/>
      <c r="DT143" s="99"/>
      <c r="DU143" s="99"/>
      <c r="DV143" s="99"/>
      <c r="DW143" s="99"/>
      <c r="DX143" s="99"/>
      <c r="DY143" s="99"/>
      <c r="DZ143" s="99"/>
      <c r="EA143" s="99"/>
      <c r="EB143" s="99"/>
      <c r="EC143" s="99"/>
      <c r="ED143" s="99"/>
      <c r="EE143" s="99"/>
      <c r="EF143" s="99"/>
      <c r="EG143" s="99"/>
      <c r="EH143" s="99"/>
      <c r="EI143" s="99"/>
      <c r="EJ143" s="99"/>
      <c r="EK143" s="99"/>
      <c r="EL143" s="99"/>
      <c r="EM143" s="99"/>
      <c r="EN143" s="99"/>
      <c r="EO143" s="99"/>
      <c r="EP143" s="99"/>
      <c r="EQ143" s="99"/>
      <c r="ER143" s="99"/>
      <c r="ES143" s="99"/>
      <c r="ET143" s="99"/>
      <c r="EU143" s="99"/>
      <c r="EV143" s="99"/>
      <c r="EW143" s="99"/>
      <c r="EX143" s="99"/>
      <c r="EY143" s="99"/>
      <c r="EZ143" s="99"/>
      <c r="FA143" s="99"/>
      <c r="FB143" s="99"/>
      <c r="FC143" s="99"/>
      <c r="FD143" s="99"/>
      <c r="FE143" s="99"/>
      <c r="FF143" s="99"/>
      <c r="FG143" s="99"/>
      <c r="FH143" s="99"/>
      <c r="FI143" s="99"/>
      <c r="FJ143" s="99"/>
      <c r="FK143" s="99"/>
    </row>
    <row r="144" spans="3:167" x14ac:dyDescent="0.25">
      <c r="C144" s="10"/>
      <c r="D144" s="10"/>
      <c r="E144" s="11"/>
      <c r="F144" s="15"/>
      <c r="J144" s="99">
        <v>141</v>
      </c>
      <c r="K144" s="16"/>
      <c r="L144" s="16"/>
      <c r="M144" s="16"/>
      <c r="N144" s="16"/>
      <c r="O144" s="16"/>
      <c r="P144" s="16"/>
      <c r="Q144" s="16"/>
      <c r="R144" s="16"/>
      <c r="S144" s="16"/>
      <c r="T144" s="16"/>
      <c r="U144" s="14">
        <f>SUM(K144:T144)</f>
        <v>0</v>
      </c>
      <c r="V144" s="14"/>
      <c r="X144" s="75" t="str" cm="1">
        <f t="array" ref="X144">MID(";"&amp;'CASE DATA'!$F144&amp;";",SMALL(IF(ISERROR(SEARCH(MID(";"&amp;'CASE DATA'!$F144&amp;";",ROW($1:$99),1),";")),"",ROW($1:$99)+1),COLUMN(A144)),SMALL(IF(ISERROR(SEARCH(MID(";"&amp;'CASE DATA'!$F144&amp;";",ROW($1:$99),1),";")),"",ROW($1:$99)),COLUMN(A143)+1)-SMALL(IF(ISERROR(SEARCH(MID(";"&amp;'CASE DATA'!$F144&amp;";",ROW($1:$99),1),";")),"",ROW($1:$99)),COLUMN(A143))-1)</f>
        <v/>
      </c>
      <c r="Y144" s="75" t="str" cm="1">
        <f t="array" ref="Y144">MID(";"&amp;'CASE DATA'!$F144&amp;";",SMALL(IF(ISERROR(SEARCH(MID(";"&amp;'CASE DATA'!$F144&amp;";",ROW($1:$99),1),";")),"",ROW($1:$99)+1),COLUMN(B144)),SMALL(IF(ISERROR(SEARCH(MID(";"&amp;'CASE DATA'!$F144&amp;";",ROW($1:$99),1),";")),"",ROW($1:$99)),COLUMN(B143)+1)-SMALL(IF(ISERROR(SEARCH(MID(";"&amp;'CASE DATA'!$F144&amp;";",ROW($1:$99),1),";")),"",ROW($1:$99)),COLUMN(B143))-1)</f>
        <v/>
      </c>
      <c r="Z144" s="75" t="str" cm="1">
        <f t="array" ref="Z144">MID(";"&amp;'CASE DATA'!$F144&amp;";",SMALL(IF(ISERROR(SEARCH(MID(";"&amp;'CASE DATA'!$F144&amp;";",ROW($1:$99),1),";")),"",ROW($1:$99)+1),COLUMN(C144)),SMALL(IF(ISERROR(SEARCH(MID(";"&amp;'CASE DATA'!$F144&amp;";",ROW($1:$99),1),";")),"",ROW($1:$99)),COLUMN(C143)+1)-SMALL(IF(ISERROR(SEARCH(MID(";"&amp;'CASE DATA'!$F144&amp;";",ROW($1:$99),1),";")),"",ROW($1:$99)),COLUMN(C143))-1)</f>
        <v/>
      </c>
      <c r="AA144" s="75" t="str" cm="1">
        <f t="array" ref="AA144">MID(";"&amp;'CASE DATA'!$F144&amp;";",SMALL(IF(ISERROR(SEARCH(MID(";"&amp;'CASE DATA'!$F144&amp;";",ROW($1:$99),1),";")),"",ROW($1:$99)+1),COLUMN(D144)),SMALL(IF(ISERROR(SEARCH(MID(";"&amp;'CASE DATA'!$F144&amp;";",ROW($1:$99),1),";")),"",ROW($1:$99)),COLUMN(D143)+1)-SMALL(IF(ISERROR(SEARCH(MID(";"&amp;'CASE DATA'!$F144&amp;";",ROW($1:$99),1),";")),"",ROW($1:$99)),COLUMN(D143))-1)</f>
        <v/>
      </c>
      <c r="AB144" s="75" t="str" cm="1">
        <f t="array" ref="AB144">MID(";"&amp;'CASE DATA'!$F144&amp;";",SMALL(IF(ISERROR(SEARCH(MID(";"&amp;'CASE DATA'!$F144&amp;";",ROW($1:$99),1),";")),"",ROW($1:$99)+1),COLUMN(E144)),SMALL(IF(ISERROR(SEARCH(MID(";"&amp;'CASE DATA'!$F144&amp;";",ROW($1:$99),1),";")),"",ROW($1:$99)),COLUMN(E143)+1)-SMALL(IF(ISERROR(SEARCH(MID(";"&amp;'CASE DATA'!$F144&amp;";",ROW($1:$99),1),";")),"",ROW($1:$99)),COLUMN(E143))-1)</f>
        <v/>
      </c>
      <c r="AC144" s="75" t="str" cm="1">
        <f t="array" ref="AC144">MID(";"&amp;'CASE DATA'!$F144&amp;";",SMALL(IF(ISERROR(SEARCH(MID(";"&amp;'CASE DATA'!$F144&amp;";",ROW($1:$99),1),";")),"",ROW($1:$99)+1),COLUMN(F144)),SMALL(IF(ISERROR(SEARCH(MID(";"&amp;'CASE DATA'!$F144&amp;";",ROW($1:$99),1),";")),"",ROW($1:$99)),COLUMN(F143)+1)-SMALL(IF(ISERROR(SEARCH(MID(";"&amp;'CASE DATA'!$F144&amp;";",ROW($1:$99),1),";")),"",ROW($1:$99)),COLUMN(F143))-1)</f>
        <v/>
      </c>
      <c r="AD144" s="75" t="str" cm="1">
        <f t="array" ref="AD144">MID(";"&amp;'CASE DATA'!$F144&amp;";",SMALL(IF(ISERROR(SEARCH(MID(";"&amp;'CASE DATA'!$F144&amp;";",ROW($1:$99),1),";")),"",ROW($1:$99)+1),COLUMN(G144)),SMALL(IF(ISERROR(SEARCH(MID(";"&amp;'CASE DATA'!$F144&amp;";",ROW($1:$99),1),";")),"",ROW($1:$99)),COLUMN(G143)+1)-SMALL(IF(ISERROR(SEARCH(MID(";"&amp;'CASE DATA'!$F144&amp;";",ROW($1:$99),1),";")),"",ROW($1:$99)),COLUMN(G143))-1)</f>
        <v/>
      </c>
      <c r="AE144" s="75" t="str" cm="1">
        <f t="array" ref="AE144">MID(";"&amp;'CASE DATA'!$F144&amp;";",SMALL(IF(ISERROR(SEARCH(MID(";"&amp;'CASE DATA'!$F144&amp;";",ROW($1:$99),1),";")),"",ROW($1:$99)+1),COLUMN(H144)),SMALL(IF(ISERROR(SEARCH(MID(";"&amp;'CASE DATA'!$F144&amp;";",ROW($1:$99),1),";")),"",ROW($1:$99)),COLUMN(H143)+1)-SMALL(IF(ISERROR(SEARCH(MID(";"&amp;'CASE DATA'!$F144&amp;";",ROW($1:$99),1),";")),"",ROW($1:$99)),COLUMN(H143))-1)</f>
        <v/>
      </c>
      <c r="AF144" s="75" t="str" cm="1">
        <f t="array" ref="AF144">MID(";"&amp;'CASE DATA'!$F144&amp;";",SMALL(IF(ISERROR(SEARCH(MID(";"&amp;'CASE DATA'!$F144&amp;";",ROW($1:$99),1),";")),"",ROW($1:$99)+1),COLUMN(I144)),SMALL(IF(ISERROR(SEARCH(MID(";"&amp;'CASE DATA'!$F144&amp;";",ROW($1:$99),1),";")),"",ROW($1:$99)),COLUMN(I143)+1)-SMALL(IF(ISERROR(SEARCH(MID(";"&amp;'CASE DATA'!$F144&amp;";",ROW($1:$99),1),";")),"",ROW($1:$99)),COLUMN(I143))-1)</f>
        <v/>
      </c>
      <c r="AG144" s="75" t="str" cm="1">
        <f t="array" ref="AG144">MID(";"&amp;'CASE DATA'!$F144&amp;";",SMALL(IF(ISERROR(SEARCH(MID(";"&amp;'CASE DATA'!$F144&amp;";",ROW($1:$99),1),";")),"",ROW($1:$99)+1),COLUMN(K144)),SMALL(IF(ISERROR(SEARCH(MID(";"&amp;'CASE DATA'!$F144&amp;";",ROW($1:$99),1),";")),"",ROW($1:$99)),COLUMN(K143)+1)-SMALL(IF(ISERROR(SEARCH(MID(";"&amp;'CASE DATA'!$F144&amp;";",ROW($1:$99),1),";")),"",ROW($1:$99)),COLUMN(K143))-1)</f>
        <v/>
      </c>
      <c r="AH144" s="75" t="str" cm="1">
        <f t="array" ref="AH144">MID(";"&amp;'CASE DATA'!$F144&amp;";",SMALL(IF(ISERROR(SEARCH(MID(";"&amp;'CASE DATA'!$F144&amp;";",ROW($1:$99),1),";")),"",ROW($1:$99)+1),COLUMN(L144)),SMALL(IF(ISERROR(SEARCH(MID(";"&amp;'CASE DATA'!$F144&amp;";",ROW($1:$99),1),";")),"",ROW($1:$99)),COLUMN(L143)+1)-SMALL(IF(ISERROR(SEARCH(MID(";"&amp;'CASE DATA'!$F144&amp;";",ROW($1:$99),1),";")),"",ROW($1:$99)),COLUMN(L143))-1)</f>
        <v/>
      </c>
      <c r="AI144" s="75" t="str" cm="1">
        <f t="array" ref="AI144">MID(";"&amp;'CASE DATA'!$F144&amp;";",SMALL(IF(ISERROR(SEARCH(MID(";"&amp;'CASE DATA'!$F144&amp;";",ROW($1:$99),1),";")),"",ROW($1:$99)+1),COLUMN(M144)),SMALL(IF(ISERROR(SEARCH(MID(";"&amp;'CASE DATA'!$F144&amp;";",ROW($1:$99),1),";")),"",ROW($1:$99)),COLUMN(M143)+1)-SMALL(IF(ISERROR(SEARCH(MID(";"&amp;'CASE DATA'!$F144&amp;";",ROW($1:$99),1),";")),"",ROW($1:$99)),COLUMN(M143))-1)</f>
        <v/>
      </c>
      <c r="BO144" s="99"/>
      <c r="BP144" s="99"/>
      <c r="BQ144" s="99"/>
      <c r="BR144" s="99"/>
      <c r="BS144" s="99"/>
      <c r="BT144" s="99"/>
      <c r="BU144" s="99"/>
      <c r="BV144" s="99"/>
      <c r="BW144" s="99"/>
      <c r="BX144" s="99"/>
      <c r="BY144" s="99"/>
      <c r="BZ144" s="99"/>
      <c r="CA144" s="99"/>
      <c r="CB144" s="99"/>
      <c r="CC144" s="99"/>
      <c r="CD144" s="99"/>
      <c r="CE144" s="99"/>
      <c r="CF144" s="99"/>
      <c r="CG144" s="99"/>
      <c r="CH144" s="99"/>
      <c r="CI144" s="99"/>
      <c r="CJ144" s="99"/>
      <c r="CK144" s="99"/>
      <c r="CL144" s="99"/>
      <c r="CM144" s="99"/>
      <c r="CN144" s="99"/>
      <c r="CO144" s="99"/>
      <c r="CP144" s="99"/>
      <c r="CQ144" s="99"/>
      <c r="CR144" s="99"/>
      <c r="CS144" s="99"/>
      <c r="CT144" s="99"/>
      <c r="CU144" s="99"/>
      <c r="CV144" s="99"/>
      <c r="CW144" s="99"/>
      <c r="CX144" s="99"/>
      <c r="CY144" s="99"/>
      <c r="CZ144" s="99"/>
      <c r="DA144" s="99"/>
      <c r="DB144" s="99"/>
      <c r="DC144" s="99"/>
      <c r="DD144" s="99"/>
      <c r="DE144" s="99"/>
      <c r="DF144" s="99"/>
      <c r="DG144" s="99"/>
      <c r="DH144" s="99"/>
      <c r="DI144" s="99"/>
      <c r="DJ144" s="99"/>
      <c r="DK144" s="99"/>
      <c r="DL144" s="99"/>
      <c r="DM144" s="99"/>
      <c r="DN144" s="99"/>
      <c r="DO144" s="99"/>
      <c r="DP144" s="99"/>
      <c r="DQ144" s="99"/>
      <c r="DR144" s="99"/>
      <c r="DS144" s="99"/>
      <c r="DT144" s="99"/>
      <c r="DU144" s="99"/>
      <c r="DV144" s="99"/>
      <c r="DW144" s="99"/>
      <c r="DX144" s="99"/>
      <c r="DY144" s="99"/>
      <c r="DZ144" s="99"/>
      <c r="EA144" s="99"/>
      <c r="EB144" s="99"/>
      <c r="EC144" s="99"/>
      <c r="ED144" s="99"/>
      <c r="EE144" s="99"/>
      <c r="EF144" s="99"/>
      <c r="EG144" s="99"/>
      <c r="EH144" s="99"/>
      <c r="EI144" s="99"/>
      <c r="EJ144" s="99"/>
      <c r="EK144" s="99"/>
      <c r="EL144" s="99"/>
      <c r="EM144" s="99"/>
      <c r="EN144" s="99"/>
      <c r="EO144" s="99"/>
      <c r="EP144" s="99"/>
      <c r="EQ144" s="99"/>
      <c r="ER144" s="99"/>
      <c r="ES144" s="99"/>
      <c r="ET144" s="99"/>
      <c r="EU144" s="99"/>
      <c r="EV144" s="99"/>
      <c r="EW144" s="99"/>
      <c r="EX144" s="99"/>
      <c r="EY144" s="99"/>
      <c r="EZ144" s="99"/>
      <c r="FA144" s="99"/>
      <c r="FB144" s="99"/>
      <c r="FC144" s="99"/>
      <c r="FD144" s="99"/>
      <c r="FE144" s="99"/>
      <c r="FF144" s="99"/>
      <c r="FG144" s="99"/>
      <c r="FH144" s="99"/>
      <c r="FI144" s="99"/>
      <c r="FJ144" s="99"/>
      <c r="FK144" s="99"/>
    </row>
    <row r="145" spans="3:167" x14ac:dyDescent="0.25">
      <c r="C145" s="10"/>
      <c r="D145" s="10"/>
      <c r="E145" s="11"/>
      <c r="F145" s="15"/>
      <c r="J145" s="99">
        <v>142</v>
      </c>
      <c r="K145" s="16"/>
      <c r="L145" s="16"/>
      <c r="M145" s="16"/>
      <c r="N145" s="16"/>
      <c r="O145" s="16"/>
      <c r="P145" s="16"/>
      <c r="Q145" s="16"/>
      <c r="R145" s="16"/>
      <c r="S145" s="16"/>
      <c r="T145" s="16"/>
      <c r="U145" s="14">
        <f>SUM(K145:T145)</f>
        <v>0</v>
      </c>
      <c r="V145" s="14"/>
      <c r="X145" s="75" t="str" cm="1">
        <f t="array" ref="X145">MID(";"&amp;'CASE DATA'!$F145&amp;";",SMALL(IF(ISERROR(SEARCH(MID(";"&amp;'CASE DATA'!$F145&amp;";",ROW($1:$99),1),";")),"",ROW($1:$99)+1),COLUMN(A145)),SMALL(IF(ISERROR(SEARCH(MID(";"&amp;'CASE DATA'!$F145&amp;";",ROW($1:$99),1),";")),"",ROW($1:$99)),COLUMN(A144)+1)-SMALL(IF(ISERROR(SEARCH(MID(";"&amp;'CASE DATA'!$F145&amp;";",ROW($1:$99),1),";")),"",ROW($1:$99)),COLUMN(A144))-1)</f>
        <v/>
      </c>
      <c r="Y145" s="75" t="str" cm="1">
        <f t="array" ref="Y145">MID(";"&amp;'CASE DATA'!$F145&amp;";",SMALL(IF(ISERROR(SEARCH(MID(";"&amp;'CASE DATA'!$F145&amp;";",ROW($1:$99),1),";")),"",ROW($1:$99)+1),COLUMN(B145)),SMALL(IF(ISERROR(SEARCH(MID(";"&amp;'CASE DATA'!$F145&amp;";",ROW($1:$99),1),";")),"",ROW($1:$99)),COLUMN(B144)+1)-SMALL(IF(ISERROR(SEARCH(MID(";"&amp;'CASE DATA'!$F145&amp;";",ROW($1:$99),1),";")),"",ROW($1:$99)),COLUMN(B144))-1)</f>
        <v/>
      </c>
      <c r="Z145" s="75" t="str" cm="1">
        <f t="array" ref="Z145">MID(";"&amp;'CASE DATA'!$F145&amp;";",SMALL(IF(ISERROR(SEARCH(MID(";"&amp;'CASE DATA'!$F145&amp;";",ROW($1:$99),1),";")),"",ROW($1:$99)+1),COLUMN(C145)),SMALL(IF(ISERROR(SEARCH(MID(";"&amp;'CASE DATA'!$F145&amp;";",ROW($1:$99),1),";")),"",ROW($1:$99)),COLUMN(C144)+1)-SMALL(IF(ISERROR(SEARCH(MID(";"&amp;'CASE DATA'!$F145&amp;";",ROW($1:$99),1),";")),"",ROW($1:$99)),COLUMN(C144))-1)</f>
        <v/>
      </c>
      <c r="AA145" s="75" t="str" cm="1">
        <f t="array" ref="AA145">MID(";"&amp;'CASE DATA'!$F145&amp;";",SMALL(IF(ISERROR(SEARCH(MID(";"&amp;'CASE DATA'!$F145&amp;";",ROW($1:$99),1),";")),"",ROW($1:$99)+1),COLUMN(D145)),SMALL(IF(ISERROR(SEARCH(MID(";"&amp;'CASE DATA'!$F145&amp;";",ROW($1:$99),1),";")),"",ROW($1:$99)),COLUMN(D144)+1)-SMALL(IF(ISERROR(SEARCH(MID(";"&amp;'CASE DATA'!$F145&amp;";",ROW($1:$99),1),";")),"",ROW($1:$99)),COLUMN(D144))-1)</f>
        <v/>
      </c>
      <c r="AB145" s="75" t="str" cm="1">
        <f t="array" ref="AB145">MID(";"&amp;'CASE DATA'!$F145&amp;";",SMALL(IF(ISERROR(SEARCH(MID(";"&amp;'CASE DATA'!$F145&amp;";",ROW($1:$99),1),";")),"",ROW($1:$99)+1),COLUMN(E145)),SMALL(IF(ISERROR(SEARCH(MID(";"&amp;'CASE DATA'!$F145&amp;";",ROW($1:$99),1),";")),"",ROW($1:$99)),COLUMN(E144)+1)-SMALL(IF(ISERROR(SEARCH(MID(";"&amp;'CASE DATA'!$F145&amp;";",ROW($1:$99),1),";")),"",ROW($1:$99)),COLUMN(E144))-1)</f>
        <v/>
      </c>
      <c r="AC145" s="75" t="str" cm="1">
        <f t="array" ref="AC145">MID(";"&amp;'CASE DATA'!$F145&amp;";",SMALL(IF(ISERROR(SEARCH(MID(";"&amp;'CASE DATA'!$F145&amp;";",ROW($1:$99),1),";")),"",ROW($1:$99)+1),COLUMN(F145)),SMALL(IF(ISERROR(SEARCH(MID(";"&amp;'CASE DATA'!$F145&amp;";",ROW($1:$99),1),";")),"",ROW($1:$99)),COLUMN(F144)+1)-SMALL(IF(ISERROR(SEARCH(MID(";"&amp;'CASE DATA'!$F145&amp;";",ROW($1:$99),1),";")),"",ROW($1:$99)),COLUMN(F144))-1)</f>
        <v/>
      </c>
      <c r="AD145" s="75" t="str" cm="1">
        <f t="array" ref="AD145">MID(";"&amp;'CASE DATA'!$F145&amp;";",SMALL(IF(ISERROR(SEARCH(MID(";"&amp;'CASE DATA'!$F145&amp;";",ROW($1:$99),1),";")),"",ROW($1:$99)+1),COLUMN(G145)),SMALL(IF(ISERROR(SEARCH(MID(";"&amp;'CASE DATA'!$F145&amp;";",ROW($1:$99),1),";")),"",ROW($1:$99)),COLUMN(G144)+1)-SMALL(IF(ISERROR(SEARCH(MID(";"&amp;'CASE DATA'!$F145&amp;";",ROW($1:$99),1),";")),"",ROW($1:$99)),COLUMN(G144))-1)</f>
        <v/>
      </c>
      <c r="AE145" s="75" t="str" cm="1">
        <f t="array" ref="AE145">MID(";"&amp;'CASE DATA'!$F145&amp;";",SMALL(IF(ISERROR(SEARCH(MID(";"&amp;'CASE DATA'!$F145&amp;";",ROW($1:$99),1),";")),"",ROW($1:$99)+1),COLUMN(H145)),SMALL(IF(ISERROR(SEARCH(MID(";"&amp;'CASE DATA'!$F145&amp;";",ROW($1:$99),1),";")),"",ROW($1:$99)),COLUMN(H144)+1)-SMALL(IF(ISERROR(SEARCH(MID(";"&amp;'CASE DATA'!$F145&amp;";",ROW($1:$99),1),";")),"",ROW($1:$99)),COLUMN(H144))-1)</f>
        <v/>
      </c>
      <c r="AF145" s="75" t="str" cm="1">
        <f t="array" ref="AF145">MID(";"&amp;'CASE DATA'!$F145&amp;";",SMALL(IF(ISERROR(SEARCH(MID(";"&amp;'CASE DATA'!$F145&amp;";",ROW($1:$99),1),";")),"",ROW($1:$99)+1),COLUMN(I145)),SMALL(IF(ISERROR(SEARCH(MID(";"&amp;'CASE DATA'!$F145&amp;";",ROW($1:$99),1),";")),"",ROW($1:$99)),COLUMN(I144)+1)-SMALL(IF(ISERROR(SEARCH(MID(";"&amp;'CASE DATA'!$F145&amp;";",ROW($1:$99),1),";")),"",ROW($1:$99)),COLUMN(I144))-1)</f>
        <v/>
      </c>
      <c r="AG145" s="75" t="str" cm="1">
        <f t="array" ref="AG145">MID(";"&amp;'CASE DATA'!$F145&amp;";",SMALL(IF(ISERROR(SEARCH(MID(";"&amp;'CASE DATA'!$F145&amp;";",ROW($1:$99),1),";")),"",ROW($1:$99)+1),COLUMN(K145)),SMALL(IF(ISERROR(SEARCH(MID(";"&amp;'CASE DATA'!$F145&amp;";",ROW($1:$99),1),";")),"",ROW($1:$99)),COLUMN(K144)+1)-SMALL(IF(ISERROR(SEARCH(MID(";"&amp;'CASE DATA'!$F145&amp;";",ROW($1:$99),1),";")),"",ROW($1:$99)),COLUMN(K144))-1)</f>
        <v/>
      </c>
      <c r="AH145" s="75" t="str" cm="1">
        <f t="array" ref="AH145">MID(";"&amp;'CASE DATA'!$F145&amp;";",SMALL(IF(ISERROR(SEARCH(MID(";"&amp;'CASE DATA'!$F145&amp;";",ROW($1:$99),1),";")),"",ROW($1:$99)+1),COLUMN(L145)),SMALL(IF(ISERROR(SEARCH(MID(";"&amp;'CASE DATA'!$F145&amp;";",ROW($1:$99),1),";")),"",ROW($1:$99)),COLUMN(L144)+1)-SMALL(IF(ISERROR(SEARCH(MID(";"&amp;'CASE DATA'!$F145&amp;";",ROW($1:$99),1),";")),"",ROW($1:$99)),COLUMN(L144))-1)</f>
        <v/>
      </c>
      <c r="AI145" s="75" t="str" cm="1">
        <f t="array" ref="AI145">MID(";"&amp;'CASE DATA'!$F145&amp;";",SMALL(IF(ISERROR(SEARCH(MID(";"&amp;'CASE DATA'!$F145&amp;";",ROW($1:$99),1),";")),"",ROW($1:$99)+1),COLUMN(M145)),SMALL(IF(ISERROR(SEARCH(MID(";"&amp;'CASE DATA'!$F145&amp;";",ROW($1:$99),1),";")),"",ROW($1:$99)),COLUMN(M144)+1)-SMALL(IF(ISERROR(SEARCH(MID(";"&amp;'CASE DATA'!$F145&amp;";",ROW($1:$99),1),";")),"",ROW($1:$99)),COLUMN(M144))-1)</f>
        <v/>
      </c>
      <c r="BO145" s="99"/>
      <c r="BP145" s="99"/>
      <c r="BQ145" s="99"/>
      <c r="BR145" s="99"/>
      <c r="BS145" s="99"/>
      <c r="BT145" s="99"/>
      <c r="BU145" s="99"/>
      <c r="BV145" s="99"/>
      <c r="BW145" s="99"/>
      <c r="BX145" s="99"/>
      <c r="BY145" s="99"/>
      <c r="BZ145" s="99"/>
      <c r="CA145" s="99"/>
      <c r="CB145" s="99"/>
      <c r="CC145" s="99"/>
      <c r="CD145" s="99"/>
      <c r="CE145" s="99"/>
      <c r="CF145" s="99"/>
      <c r="CG145" s="99"/>
      <c r="CH145" s="99"/>
      <c r="CI145" s="99"/>
      <c r="CJ145" s="99"/>
      <c r="CK145" s="99"/>
      <c r="CL145" s="99"/>
      <c r="CM145" s="99"/>
      <c r="CN145" s="99"/>
      <c r="CO145" s="99"/>
      <c r="CP145" s="99"/>
      <c r="CQ145" s="99"/>
      <c r="CR145" s="99"/>
      <c r="CS145" s="99"/>
      <c r="CT145" s="99"/>
      <c r="CU145" s="99"/>
      <c r="CV145" s="99"/>
      <c r="CW145" s="99"/>
      <c r="CX145" s="99"/>
      <c r="CY145" s="99"/>
      <c r="CZ145" s="99"/>
      <c r="DA145" s="99"/>
      <c r="DB145" s="99"/>
      <c r="DC145" s="99"/>
      <c r="DD145" s="99"/>
      <c r="DE145" s="99"/>
      <c r="DF145" s="99"/>
      <c r="DG145" s="99"/>
      <c r="DH145" s="99"/>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99"/>
      <c r="EE145" s="99"/>
      <c r="EF145" s="99"/>
      <c r="EG145" s="99"/>
      <c r="EH145" s="99"/>
      <c r="EI145" s="99"/>
      <c r="EJ145" s="99"/>
      <c r="EK145" s="99"/>
      <c r="EL145" s="99"/>
      <c r="EM145" s="99"/>
      <c r="EN145" s="99"/>
      <c r="EO145" s="99"/>
      <c r="EP145" s="99"/>
      <c r="EQ145" s="99"/>
      <c r="ER145" s="99"/>
      <c r="ES145" s="99"/>
      <c r="ET145" s="99"/>
      <c r="EU145" s="99"/>
      <c r="EV145" s="99"/>
      <c r="EW145" s="99"/>
      <c r="EX145" s="99"/>
      <c r="EY145" s="99"/>
      <c r="EZ145" s="99"/>
      <c r="FA145" s="99"/>
      <c r="FB145" s="99"/>
      <c r="FC145" s="99"/>
      <c r="FD145" s="99"/>
      <c r="FE145" s="99"/>
      <c r="FF145" s="99"/>
      <c r="FG145" s="99"/>
      <c r="FH145" s="99"/>
      <c r="FI145" s="99"/>
      <c r="FJ145" s="99"/>
      <c r="FK145" s="99"/>
    </row>
    <row r="146" spans="3:167" x14ac:dyDescent="0.25">
      <c r="C146" s="10"/>
      <c r="D146" s="10"/>
      <c r="E146" s="11"/>
      <c r="F146" s="15"/>
      <c r="J146" s="99">
        <v>143</v>
      </c>
      <c r="K146" s="16"/>
      <c r="L146" s="16"/>
      <c r="M146" s="16"/>
      <c r="N146" s="16"/>
      <c r="O146" s="16"/>
      <c r="P146" s="16"/>
      <c r="Q146" s="16"/>
      <c r="R146" s="16"/>
      <c r="S146" s="16"/>
      <c r="T146" s="16"/>
      <c r="U146" s="14">
        <f>SUM(K146:T146)</f>
        <v>0</v>
      </c>
      <c r="V146" s="14"/>
      <c r="X146" s="75" t="str" cm="1">
        <f t="array" ref="X146">MID(";"&amp;'CASE DATA'!$F146&amp;";",SMALL(IF(ISERROR(SEARCH(MID(";"&amp;'CASE DATA'!$F146&amp;";",ROW($1:$99),1),";")),"",ROW($1:$99)+1),COLUMN(A146)),SMALL(IF(ISERROR(SEARCH(MID(";"&amp;'CASE DATA'!$F146&amp;";",ROW($1:$99),1),";")),"",ROW($1:$99)),COLUMN(A145)+1)-SMALL(IF(ISERROR(SEARCH(MID(";"&amp;'CASE DATA'!$F146&amp;";",ROW($1:$99),1),";")),"",ROW($1:$99)),COLUMN(A145))-1)</f>
        <v/>
      </c>
      <c r="Y146" s="75" t="str" cm="1">
        <f t="array" ref="Y146">MID(";"&amp;'CASE DATA'!$F146&amp;";",SMALL(IF(ISERROR(SEARCH(MID(";"&amp;'CASE DATA'!$F146&amp;";",ROW($1:$99),1),";")),"",ROW($1:$99)+1),COLUMN(B146)),SMALL(IF(ISERROR(SEARCH(MID(";"&amp;'CASE DATA'!$F146&amp;";",ROW($1:$99),1),";")),"",ROW($1:$99)),COLUMN(B145)+1)-SMALL(IF(ISERROR(SEARCH(MID(";"&amp;'CASE DATA'!$F146&amp;";",ROW($1:$99),1),";")),"",ROW($1:$99)),COLUMN(B145))-1)</f>
        <v/>
      </c>
      <c r="Z146" s="75" t="str" cm="1">
        <f t="array" ref="Z146">MID(";"&amp;'CASE DATA'!$F146&amp;";",SMALL(IF(ISERROR(SEARCH(MID(";"&amp;'CASE DATA'!$F146&amp;";",ROW($1:$99),1),";")),"",ROW($1:$99)+1),COLUMN(C146)),SMALL(IF(ISERROR(SEARCH(MID(";"&amp;'CASE DATA'!$F146&amp;";",ROW($1:$99),1),";")),"",ROW($1:$99)),COLUMN(C145)+1)-SMALL(IF(ISERROR(SEARCH(MID(";"&amp;'CASE DATA'!$F146&amp;";",ROW($1:$99),1),";")),"",ROW($1:$99)),COLUMN(C145))-1)</f>
        <v/>
      </c>
      <c r="AA146" s="75" t="str" cm="1">
        <f t="array" ref="AA146">MID(";"&amp;'CASE DATA'!$F146&amp;";",SMALL(IF(ISERROR(SEARCH(MID(";"&amp;'CASE DATA'!$F146&amp;";",ROW($1:$99),1),";")),"",ROW($1:$99)+1),COLUMN(D146)),SMALL(IF(ISERROR(SEARCH(MID(";"&amp;'CASE DATA'!$F146&amp;";",ROW($1:$99),1),";")),"",ROW($1:$99)),COLUMN(D145)+1)-SMALL(IF(ISERROR(SEARCH(MID(";"&amp;'CASE DATA'!$F146&amp;";",ROW($1:$99),1),";")),"",ROW($1:$99)),COLUMN(D145))-1)</f>
        <v/>
      </c>
      <c r="AB146" s="75" t="str" cm="1">
        <f t="array" ref="AB146">MID(";"&amp;'CASE DATA'!$F146&amp;";",SMALL(IF(ISERROR(SEARCH(MID(";"&amp;'CASE DATA'!$F146&amp;";",ROW($1:$99),1),";")),"",ROW($1:$99)+1),COLUMN(E146)),SMALL(IF(ISERROR(SEARCH(MID(";"&amp;'CASE DATA'!$F146&amp;";",ROW($1:$99),1),";")),"",ROW($1:$99)),COLUMN(E145)+1)-SMALL(IF(ISERROR(SEARCH(MID(";"&amp;'CASE DATA'!$F146&amp;";",ROW($1:$99),1),";")),"",ROW($1:$99)),COLUMN(E145))-1)</f>
        <v/>
      </c>
      <c r="AC146" s="75" t="str" cm="1">
        <f t="array" ref="AC146">MID(";"&amp;'CASE DATA'!$F146&amp;";",SMALL(IF(ISERROR(SEARCH(MID(";"&amp;'CASE DATA'!$F146&amp;";",ROW($1:$99),1),";")),"",ROW($1:$99)+1),COLUMN(F146)),SMALL(IF(ISERROR(SEARCH(MID(";"&amp;'CASE DATA'!$F146&amp;";",ROW($1:$99),1),";")),"",ROW($1:$99)),COLUMN(F145)+1)-SMALL(IF(ISERROR(SEARCH(MID(";"&amp;'CASE DATA'!$F146&amp;";",ROW($1:$99),1),";")),"",ROW($1:$99)),COLUMN(F145))-1)</f>
        <v/>
      </c>
      <c r="AD146" s="75" t="str" cm="1">
        <f t="array" ref="AD146">MID(";"&amp;'CASE DATA'!$F146&amp;";",SMALL(IF(ISERROR(SEARCH(MID(";"&amp;'CASE DATA'!$F146&amp;";",ROW($1:$99),1),";")),"",ROW($1:$99)+1),COLUMN(G146)),SMALL(IF(ISERROR(SEARCH(MID(";"&amp;'CASE DATA'!$F146&amp;";",ROW($1:$99),1),";")),"",ROW($1:$99)),COLUMN(G145)+1)-SMALL(IF(ISERROR(SEARCH(MID(";"&amp;'CASE DATA'!$F146&amp;";",ROW($1:$99),1),";")),"",ROW($1:$99)),COLUMN(G145))-1)</f>
        <v/>
      </c>
      <c r="AE146" s="75" t="str" cm="1">
        <f t="array" ref="AE146">MID(";"&amp;'CASE DATA'!$F146&amp;";",SMALL(IF(ISERROR(SEARCH(MID(";"&amp;'CASE DATA'!$F146&amp;";",ROW($1:$99),1),";")),"",ROW($1:$99)+1),COLUMN(H146)),SMALL(IF(ISERROR(SEARCH(MID(";"&amp;'CASE DATA'!$F146&amp;";",ROW($1:$99),1),";")),"",ROW($1:$99)),COLUMN(H145)+1)-SMALL(IF(ISERROR(SEARCH(MID(";"&amp;'CASE DATA'!$F146&amp;";",ROW($1:$99),1),";")),"",ROW($1:$99)),COLUMN(H145))-1)</f>
        <v/>
      </c>
      <c r="AF146" s="75" t="str" cm="1">
        <f t="array" ref="AF146">MID(";"&amp;'CASE DATA'!$F146&amp;";",SMALL(IF(ISERROR(SEARCH(MID(";"&amp;'CASE DATA'!$F146&amp;";",ROW($1:$99),1),";")),"",ROW($1:$99)+1),COLUMN(I146)),SMALL(IF(ISERROR(SEARCH(MID(";"&amp;'CASE DATA'!$F146&amp;";",ROW($1:$99),1),";")),"",ROW($1:$99)),COLUMN(I145)+1)-SMALL(IF(ISERROR(SEARCH(MID(";"&amp;'CASE DATA'!$F146&amp;";",ROW($1:$99),1),";")),"",ROW($1:$99)),COLUMN(I145))-1)</f>
        <v/>
      </c>
      <c r="AG146" s="75" t="str" cm="1">
        <f t="array" ref="AG146">MID(";"&amp;'CASE DATA'!$F146&amp;";",SMALL(IF(ISERROR(SEARCH(MID(";"&amp;'CASE DATA'!$F146&amp;";",ROW($1:$99),1),";")),"",ROW($1:$99)+1),COLUMN(K146)),SMALL(IF(ISERROR(SEARCH(MID(";"&amp;'CASE DATA'!$F146&amp;";",ROW($1:$99),1),";")),"",ROW($1:$99)),COLUMN(K145)+1)-SMALL(IF(ISERROR(SEARCH(MID(";"&amp;'CASE DATA'!$F146&amp;";",ROW($1:$99),1),";")),"",ROW($1:$99)),COLUMN(K145))-1)</f>
        <v/>
      </c>
      <c r="AH146" s="75" t="str" cm="1">
        <f t="array" ref="AH146">MID(";"&amp;'CASE DATA'!$F146&amp;";",SMALL(IF(ISERROR(SEARCH(MID(";"&amp;'CASE DATA'!$F146&amp;";",ROW($1:$99),1),";")),"",ROW($1:$99)+1),COLUMN(L146)),SMALL(IF(ISERROR(SEARCH(MID(";"&amp;'CASE DATA'!$F146&amp;";",ROW($1:$99),1),";")),"",ROW($1:$99)),COLUMN(L145)+1)-SMALL(IF(ISERROR(SEARCH(MID(";"&amp;'CASE DATA'!$F146&amp;";",ROW($1:$99),1),";")),"",ROW($1:$99)),COLUMN(L145))-1)</f>
        <v/>
      </c>
      <c r="AI146" s="75" t="str" cm="1">
        <f t="array" ref="AI146">MID(";"&amp;'CASE DATA'!$F146&amp;";",SMALL(IF(ISERROR(SEARCH(MID(";"&amp;'CASE DATA'!$F146&amp;";",ROW($1:$99),1),";")),"",ROW($1:$99)+1),COLUMN(M146)),SMALL(IF(ISERROR(SEARCH(MID(";"&amp;'CASE DATA'!$F146&amp;";",ROW($1:$99),1),";")),"",ROW($1:$99)),COLUMN(M145)+1)-SMALL(IF(ISERROR(SEARCH(MID(";"&amp;'CASE DATA'!$F146&amp;";",ROW($1:$99),1),";")),"",ROW($1:$99)),COLUMN(M145))-1)</f>
        <v/>
      </c>
      <c r="BO146" s="99"/>
      <c r="BP146" s="99"/>
      <c r="BQ146" s="99"/>
      <c r="BR146" s="99"/>
      <c r="BS146" s="99"/>
      <c r="BT146" s="99"/>
      <c r="BU146" s="99"/>
      <c r="BV146" s="99"/>
      <c r="BW146" s="99"/>
      <c r="BX146" s="99"/>
      <c r="BY146" s="99"/>
      <c r="BZ146" s="99"/>
      <c r="CA146" s="99"/>
      <c r="CB146" s="99"/>
      <c r="CC146" s="99"/>
      <c r="CD146" s="99"/>
      <c r="CE146" s="99"/>
      <c r="CF146" s="99"/>
      <c r="CG146" s="99"/>
      <c r="CH146" s="99"/>
      <c r="CI146" s="99"/>
      <c r="CJ146" s="99"/>
      <c r="CK146" s="99"/>
      <c r="CL146" s="99"/>
      <c r="CM146" s="99"/>
      <c r="CN146" s="99"/>
      <c r="CO146" s="99"/>
      <c r="CP146" s="99"/>
      <c r="CQ146" s="99"/>
      <c r="CR146" s="99"/>
      <c r="CS146" s="99"/>
      <c r="CT146" s="99"/>
      <c r="CU146" s="99"/>
      <c r="CV146" s="99"/>
      <c r="CW146" s="99"/>
      <c r="CX146" s="99"/>
      <c r="CY146" s="99"/>
      <c r="CZ146" s="99"/>
      <c r="DA146" s="99"/>
      <c r="DB146" s="99"/>
      <c r="DC146" s="99"/>
      <c r="DD146" s="99"/>
      <c r="DE146" s="99"/>
      <c r="DF146" s="99"/>
      <c r="DG146" s="99"/>
      <c r="DH146" s="99"/>
      <c r="DI146" s="99"/>
      <c r="DJ146" s="99"/>
      <c r="DK146" s="99"/>
      <c r="DL146" s="99"/>
      <c r="DM146" s="99"/>
      <c r="DN146" s="99"/>
      <c r="DO146" s="99"/>
      <c r="DP146" s="99"/>
      <c r="DQ146" s="99"/>
      <c r="DR146" s="99"/>
      <c r="DS146" s="99"/>
      <c r="DT146" s="99"/>
      <c r="DU146" s="99"/>
      <c r="DV146" s="99"/>
      <c r="DW146" s="99"/>
      <c r="DX146" s="99"/>
      <c r="DY146" s="99"/>
      <c r="DZ146" s="99"/>
      <c r="EA146" s="99"/>
      <c r="EB146" s="99"/>
      <c r="EC146" s="99"/>
      <c r="ED146" s="99"/>
      <c r="EE146" s="99"/>
      <c r="EF146" s="99"/>
      <c r="EG146" s="99"/>
      <c r="EH146" s="99"/>
      <c r="EI146" s="99"/>
      <c r="EJ146" s="99"/>
      <c r="EK146" s="99"/>
      <c r="EL146" s="99"/>
      <c r="EM146" s="99"/>
      <c r="EN146" s="99"/>
      <c r="EO146" s="99"/>
      <c r="EP146" s="99"/>
      <c r="EQ146" s="99"/>
      <c r="ER146" s="99"/>
      <c r="ES146" s="99"/>
      <c r="ET146" s="99"/>
      <c r="EU146" s="99"/>
      <c r="EV146" s="99"/>
      <c r="EW146" s="99"/>
      <c r="EX146" s="99"/>
      <c r="EY146" s="99"/>
      <c r="EZ146" s="99"/>
      <c r="FA146" s="99"/>
      <c r="FB146" s="99"/>
      <c r="FC146" s="99"/>
      <c r="FD146" s="99"/>
      <c r="FE146" s="99"/>
      <c r="FF146" s="99"/>
      <c r="FG146" s="99"/>
      <c r="FH146" s="99"/>
      <c r="FI146" s="99"/>
      <c r="FJ146" s="99"/>
      <c r="FK146" s="99"/>
    </row>
    <row r="147" spans="3:167" x14ac:dyDescent="0.25">
      <c r="C147" s="10"/>
      <c r="D147" s="10"/>
      <c r="E147" s="11"/>
      <c r="F147" s="15"/>
      <c r="J147" s="99">
        <v>144</v>
      </c>
      <c r="K147" s="16"/>
      <c r="L147" s="16"/>
      <c r="M147" s="16"/>
      <c r="N147" s="16"/>
      <c r="O147" s="16"/>
      <c r="P147" s="16"/>
      <c r="Q147" s="16"/>
      <c r="R147" s="16"/>
      <c r="S147" s="16"/>
      <c r="T147" s="16"/>
      <c r="U147" s="14">
        <f>SUM(K147:T147)</f>
        <v>0</v>
      </c>
      <c r="V147" s="14"/>
      <c r="X147" s="75" t="str" cm="1">
        <f t="array" ref="X147">MID(";"&amp;'CASE DATA'!$F147&amp;";",SMALL(IF(ISERROR(SEARCH(MID(";"&amp;'CASE DATA'!$F147&amp;";",ROW($1:$99),1),";")),"",ROW($1:$99)+1),COLUMN(A147)),SMALL(IF(ISERROR(SEARCH(MID(";"&amp;'CASE DATA'!$F147&amp;";",ROW($1:$99),1),";")),"",ROW($1:$99)),COLUMN(A146)+1)-SMALL(IF(ISERROR(SEARCH(MID(";"&amp;'CASE DATA'!$F147&amp;";",ROW($1:$99),1),";")),"",ROW($1:$99)),COLUMN(A146))-1)</f>
        <v/>
      </c>
      <c r="Y147" s="75" t="str" cm="1">
        <f t="array" ref="Y147">MID(";"&amp;'CASE DATA'!$F147&amp;";",SMALL(IF(ISERROR(SEARCH(MID(";"&amp;'CASE DATA'!$F147&amp;";",ROW($1:$99),1),";")),"",ROW($1:$99)+1),COLUMN(B147)),SMALL(IF(ISERROR(SEARCH(MID(";"&amp;'CASE DATA'!$F147&amp;";",ROW($1:$99),1),";")),"",ROW($1:$99)),COLUMN(B146)+1)-SMALL(IF(ISERROR(SEARCH(MID(";"&amp;'CASE DATA'!$F147&amp;";",ROW($1:$99),1),";")),"",ROW($1:$99)),COLUMN(B146))-1)</f>
        <v/>
      </c>
      <c r="Z147" s="75" t="str" cm="1">
        <f t="array" ref="Z147">MID(";"&amp;'CASE DATA'!$F147&amp;";",SMALL(IF(ISERROR(SEARCH(MID(";"&amp;'CASE DATA'!$F147&amp;";",ROW($1:$99),1),";")),"",ROW($1:$99)+1),COLUMN(C147)),SMALL(IF(ISERROR(SEARCH(MID(";"&amp;'CASE DATA'!$F147&amp;";",ROW($1:$99),1),";")),"",ROW($1:$99)),COLUMN(C146)+1)-SMALL(IF(ISERROR(SEARCH(MID(";"&amp;'CASE DATA'!$F147&amp;";",ROW($1:$99),1),";")),"",ROW($1:$99)),COLUMN(C146))-1)</f>
        <v/>
      </c>
      <c r="AA147" s="75" t="str" cm="1">
        <f t="array" ref="AA147">MID(";"&amp;'CASE DATA'!$F147&amp;";",SMALL(IF(ISERROR(SEARCH(MID(";"&amp;'CASE DATA'!$F147&amp;";",ROW($1:$99),1),";")),"",ROW($1:$99)+1),COLUMN(D147)),SMALL(IF(ISERROR(SEARCH(MID(";"&amp;'CASE DATA'!$F147&amp;";",ROW($1:$99),1),";")),"",ROW($1:$99)),COLUMN(D146)+1)-SMALL(IF(ISERROR(SEARCH(MID(";"&amp;'CASE DATA'!$F147&amp;";",ROW($1:$99),1),";")),"",ROW($1:$99)),COLUMN(D146))-1)</f>
        <v/>
      </c>
      <c r="AB147" s="75" t="str" cm="1">
        <f t="array" ref="AB147">MID(";"&amp;'CASE DATA'!$F147&amp;";",SMALL(IF(ISERROR(SEARCH(MID(";"&amp;'CASE DATA'!$F147&amp;";",ROW($1:$99),1),";")),"",ROW($1:$99)+1),COLUMN(E147)),SMALL(IF(ISERROR(SEARCH(MID(";"&amp;'CASE DATA'!$F147&amp;";",ROW($1:$99),1),";")),"",ROW($1:$99)),COLUMN(E146)+1)-SMALL(IF(ISERROR(SEARCH(MID(";"&amp;'CASE DATA'!$F147&amp;";",ROW($1:$99),1),";")),"",ROW($1:$99)),COLUMN(E146))-1)</f>
        <v/>
      </c>
      <c r="AC147" s="75" t="str" cm="1">
        <f t="array" ref="AC147">MID(";"&amp;'CASE DATA'!$F147&amp;";",SMALL(IF(ISERROR(SEARCH(MID(";"&amp;'CASE DATA'!$F147&amp;";",ROW($1:$99),1),";")),"",ROW($1:$99)+1),COLUMN(F147)),SMALL(IF(ISERROR(SEARCH(MID(";"&amp;'CASE DATA'!$F147&amp;";",ROW($1:$99),1),";")),"",ROW($1:$99)),COLUMN(F146)+1)-SMALL(IF(ISERROR(SEARCH(MID(";"&amp;'CASE DATA'!$F147&amp;";",ROW($1:$99),1),";")),"",ROW($1:$99)),COLUMN(F146))-1)</f>
        <v/>
      </c>
      <c r="AD147" s="75" t="str" cm="1">
        <f t="array" ref="AD147">MID(";"&amp;'CASE DATA'!$F147&amp;";",SMALL(IF(ISERROR(SEARCH(MID(";"&amp;'CASE DATA'!$F147&amp;";",ROW($1:$99),1),";")),"",ROW($1:$99)+1),COLUMN(G147)),SMALL(IF(ISERROR(SEARCH(MID(";"&amp;'CASE DATA'!$F147&amp;";",ROW($1:$99),1),";")),"",ROW($1:$99)),COLUMN(G146)+1)-SMALL(IF(ISERROR(SEARCH(MID(";"&amp;'CASE DATA'!$F147&amp;";",ROW($1:$99),1),";")),"",ROW($1:$99)),COLUMN(G146))-1)</f>
        <v/>
      </c>
      <c r="AE147" s="75" t="str" cm="1">
        <f t="array" ref="AE147">MID(";"&amp;'CASE DATA'!$F147&amp;";",SMALL(IF(ISERROR(SEARCH(MID(";"&amp;'CASE DATA'!$F147&amp;";",ROW($1:$99),1),";")),"",ROW($1:$99)+1),COLUMN(H147)),SMALL(IF(ISERROR(SEARCH(MID(";"&amp;'CASE DATA'!$F147&amp;";",ROW($1:$99),1),";")),"",ROW($1:$99)),COLUMN(H146)+1)-SMALL(IF(ISERROR(SEARCH(MID(";"&amp;'CASE DATA'!$F147&amp;";",ROW($1:$99),1),";")),"",ROW($1:$99)),COLUMN(H146))-1)</f>
        <v/>
      </c>
      <c r="AF147" s="75" t="str" cm="1">
        <f t="array" ref="AF147">MID(";"&amp;'CASE DATA'!$F147&amp;";",SMALL(IF(ISERROR(SEARCH(MID(";"&amp;'CASE DATA'!$F147&amp;";",ROW($1:$99),1),";")),"",ROW($1:$99)+1),COLUMN(I147)),SMALL(IF(ISERROR(SEARCH(MID(";"&amp;'CASE DATA'!$F147&amp;";",ROW($1:$99),1),";")),"",ROW($1:$99)),COLUMN(I146)+1)-SMALL(IF(ISERROR(SEARCH(MID(";"&amp;'CASE DATA'!$F147&amp;";",ROW($1:$99),1),";")),"",ROW($1:$99)),COLUMN(I146))-1)</f>
        <v/>
      </c>
      <c r="AG147" s="75" t="str" cm="1">
        <f t="array" ref="AG147">MID(";"&amp;'CASE DATA'!$F147&amp;";",SMALL(IF(ISERROR(SEARCH(MID(";"&amp;'CASE DATA'!$F147&amp;";",ROW($1:$99),1),";")),"",ROW($1:$99)+1),COLUMN(K147)),SMALL(IF(ISERROR(SEARCH(MID(";"&amp;'CASE DATA'!$F147&amp;";",ROW($1:$99),1),";")),"",ROW($1:$99)),COLUMN(K146)+1)-SMALL(IF(ISERROR(SEARCH(MID(";"&amp;'CASE DATA'!$F147&amp;";",ROW($1:$99),1),";")),"",ROW($1:$99)),COLUMN(K146))-1)</f>
        <v/>
      </c>
      <c r="AH147" s="75" t="str" cm="1">
        <f t="array" ref="AH147">MID(";"&amp;'CASE DATA'!$F147&amp;";",SMALL(IF(ISERROR(SEARCH(MID(";"&amp;'CASE DATA'!$F147&amp;";",ROW($1:$99),1),";")),"",ROW($1:$99)+1),COLUMN(L147)),SMALL(IF(ISERROR(SEARCH(MID(";"&amp;'CASE DATA'!$F147&amp;";",ROW($1:$99),1),";")),"",ROW($1:$99)),COLUMN(L146)+1)-SMALL(IF(ISERROR(SEARCH(MID(";"&amp;'CASE DATA'!$F147&amp;";",ROW($1:$99),1),";")),"",ROW($1:$99)),COLUMN(L146))-1)</f>
        <v/>
      </c>
      <c r="AI147" s="75" t="str" cm="1">
        <f t="array" ref="AI147">MID(";"&amp;'CASE DATA'!$F147&amp;";",SMALL(IF(ISERROR(SEARCH(MID(";"&amp;'CASE DATA'!$F147&amp;";",ROW($1:$99),1),";")),"",ROW($1:$99)+1),COLUMN(M147)),SMALL(IF(ISERROR(SEARCH(MID(";"&amp;'CASE DATA'!$F147&amp;";",ROW($1:$99),1),";")),"",ROW($1:$99)),COLUMN(M146)+1)-SMALL(IF(ISERROR(SEARCH(MID(";"&amp;'CASE DATA'!$F147&amp;";",ROW($1:$99),1),";")),"",ROW($1:$99)),COLUMN(M146))-1)</f>
        <v/>
      </c>
      <c r="BO147" s="99"/>
      <c r="BP147" s="99"/>
      <c r="BQ147" s="99"/>
      <c r="BR147" s="99"/>
      <c r="BS147" s="99"/>
      <c r="BT147" s="99"/>
      <c r="BU147" s="99"/>
      <c r="BV147" s="99"/>
      <c r="BW147" s="99"/>
      <c r="BX147" s="99"/>
      <c r="BY147" s="99"/>
      <c r="BZ147" s="99"/>
      <c r="CA147" s="99"/>
      <c r="CB147" s="99"/>
      <c r="CC147" s="99"/>
      <c r="CD147" s="99"/>
      <c r="CE147" s="99"/>
      <c r="CF147" s="99"/>
      <c r="CG147" s="99"/>
      <c r="CH147" s="99"/>
      <c r="CI147" s="99"/>
      <c r="CJ147" s="99"/>
      <c r="CK147" s="99"/>
      <c r="CL147" s="99"/>
      <c r="CM147" s="99"/>
      <c r="CN147" s="99"/>
      <c r="CO147" s="99"/>
      <c r="CP147" s="99"/>
      <c r="CQ147" s="99"/>
      <c r="CR147" s="99"/>
      <c r="CS147" s="99"/>
      <c r="CT147" s="99"/>
      <c r="CU147" s="99"/>
      <c r="CV147" s="99"/>
      <c r="CW147" s="99"/>
      <c r="CX147" s="99"/>
      <c r="CY147" s="99"/>
      <c r="CZ147" s="99"/>
      <c r="DA147" s="99"/>
      <c r="DB147" s="99"/>
      <c r="DC147" s="99"/>
      <c r="DD147" s="99"/>
      <c r="DE147" s="99"/>
      <c r="DF147" s="99"/>
      <c r="DG147" s="99"/>
      <c r="DH147" s="99"/>
      <c r="DI147" s="99"/>
      <c r="DJ147" s="99"/>
      <c r="DK147" s="99"/>
      <c r="DL147" s="99"/>
      <c r="DM147" s="99"/>
      <c r="DN147" s="99"/>
      <c r="DO147" s="99"/>
      <c r="DP147" s="99"/>
      <c r="DQ147" s="99"/>
      <c r="DR147" s="99"/>
      <c r="DS147" s="99"/>
      <c r="DT147" s="99"/>
      <c r="DU147" s="99"/>
      <c r="DV147" s="99"/>
      <c r="DW147" s="99"/>
      <c r="DX147" s="99"/>
      <c r="DY147" s="99"/>
      <c r="DZ147" s="99"/>
      <c r="EA147" s="99"/>
      <c r="EB147" s="99"/>
      <c r="EC147" s="99"/>
      <c r="ED147" s="99"/>
      <c r="EE147" s="99"/>
      <c r="EF147" s="99"/>
      <c r="EG147" s="99"/>
      <c r="EH147" s="99"/>
      <c r="EI147" s="99"/>
      <c r="EJ147" s="99"/>
      <c r="EK147" s="99"/>
      <c r="EL147" s="99"/>
      <c r="EM147" s="99"/>
      <c r="EN147" s="99"/>
      <c r="EO147" s="99"/>
      <c r="EP147" s="99"/>
      <c r="EQ147" s="99"/>
      <c r="ER147" s="99"/>
      <c r="ES147" s="99"/>
      <c r="ET147" s="99"/>
      <c r="EU147" s="99"/>
      <c r="EV147" s="99"/>
      <c r="EW147" s="99"/>
      <c r="EX147" s="99"/>
      <c r="EY147" s="99"/>
      <c r="EZ147" s="99"/>
      <c r="FA147" s="99"/>
      <c r="FB147" s="99"/>
      <c r="FC147" s="99"/>
      <c r="FD147" s="99"/>
      <c r="FE147" s="99"/>
      <c r="FF147" s="99"/>
      <c r="FG147" s="99"/>
      <c r="FH147" s="99"/>
      <c r="FI147" s="99"/>
      <c r="FJ147" s="99"/>
      <c r="FK147" s="99"/>
    </row>
    <row r="148" spans="3:167" x14ac:dyDescent="0.25">
      <c r="C148" s="10"/>
      <c r="D148" s="10"/>
      <c r="E148" s="11"/>
      <c r="F148" s="15"/>
      <c r="J148" s="99">
        <v>145</v>
      </c>
      <c r="K148" s="16"/>
      <c r="L148" s="16"/>
      <c r="M148" s="16"/>
      <c r="N148" s="16"/>
      <c r="O148" s="16"/>
      <c r="P148" s="16"/>
      <c r="Q148" s="16"/>
      <c r="R148" s="16"/>
      <c r="S148" s="16"/>
      <c r="T148" s="16"/>
      <c r="U148" s="14">
        <f>SUM(K148:T148)</f>
        <v>0</v>
      </c>
      <c r="V148" s="14"/>
      <c r="X148" s="75" t="str" cm="1">
        <f t="array" ref="X148">MID(";"&amp;'CASE DATA'!$F148&amp;";",SMALL(IF(ISERROR(SEARCH(MID(";"&amp;'CASE DATA'!$F148&amp;";",ROW($1:$99),1),";")),"",ROW($1:$99)+1),COLUMN(A148)),SMALL(IF(ISERROR(SEARCH(MID(";"&amp;'CASE DATA'!$F148&amp;";",ROW($1:$99),1),";")),"",ROW($1:$99)),COLUMN(A147)+1)-SMALL(IF(ISERROR(SEARCH(MID(";"&amp;'CASE DATA'!$F148&amp;";",ROW($1:$99),1),";")),"",ROW($1:$99)),COLUMN(A147))-1)</f>
        <v/>
      </c>
      <c r="Y148" s="75" t="str" cm="1">
        <f t="array" ref="Y148">MID(";"&amp;'CASE DATA'!$F148&amp;";",SMALL(IF(ISERROR(SEARCH(MID(";"&amp;'CASE DATA'!$F148&amp;";",ROW($1:$99),1),";")),"",ROW($1:$99)+1),COLUMN(B148)),SMALL(IF(ISERROR(SEARCH(MID(";"&amp;'CASE DATA'!$F148&amp;";",ROW($1:$99),1),";")),"",ROW($1:$99)),COLUMN(B147)+1)-SMALL(IF(ISERROR(SEARCH(MID(";"&amp;'CASE DATA'!$F148&amp;";",ROW($1:$99),1),";")),"",ROW($1:$99)),COLUMN(B147))-1)</f>
        <v/>
      </c>
      <c r="Z148" s="75" t="str" cm="1">
        <f t="array" ref="Z148">MID(";"&amp;'CASE DATA'!$F148&amp;";",SMALL(IF(ISERROR(SEARCH(MID(";"&amp;'CASE DATA'!$F148&amp;";",ROW($1:$99),1),";")),"",ROW($1:$99)+1),COLUMN(C148)),SMALL(IF(ISERROR(SEARCH(MID(";"&amp;'CASE DATA'!$F148&amp;";",ROW($1:$99),1),";")),"",ROW($1:$99)),COLUMN(C147)+1)-SMALL(IF(ISERROR(SEARCH(MID(";"&amp;'CASE DATA'!$F148&amp;";",ROW($1:$99),1),";")),"",ROW($1:$99)),COLUMN(C147))-1)</f>
        <v/>
      </c>
      <c r="AA148" s="75" t="str" cm="1">
        <f t="array" ref="AA148">MID(";"&amp;'CASE DATA'!$F148&amp;";",SMALL(IF(ISERROR(SEARCH(MID(";"&amp;'CASE DATA'!$F148&amp;";",ROW($1:$99),1),";")),"",ROW($1:$99)+1),COLUMN(D148)),SMALL(IF(ISERROR(SEARCH(MID(";"&amp;'CASE DATA'!$F148&amp;";",ROW($1:$99),1),";")),"",ROW($1:$99)),COLUMN(D147)+1)-SMALL(IF(ISERROR(SEARCH(MID(";"&amp;'CASE DATA'!$F148&amp;";",ROW($1:$99),1),";")),"",ROW($1:$99)),COLUMN(D147))-1)</f>
        <v/>
      </c>
      <c r="AB148" s="75" t="str" cm="1">
        <f t="array" ref="AB148">MID(";"&amp;'CASE DATA'!$F148&amp;";",SMALL(IF(ISERROR(SEARCH(MID(";"&amp;'CASE DATA'!$F148&amp;";",ROW($1:$99),1),";")),"",ROW($1:$99)+1),COLUMN(E148)),SMALL(IF(ISERROR(SEARCH(MID(";"&amp;'CASE DATA'!$F148&amp;";",ROW($1:$99),1),";")),"",ROW($1:$99)),COLUMN(E147)+1)-SMALL(IF(ISERROR(SEARCH(MID(";"&amp;'CASE DATA'!$F148&amp;";",ROW($1:$99),1),";")),"",ROW($1:$99)),COLUMN(E147))-1)</f>
        <v/>
      </c>
      <c r="AC148" s="75" t="str" cm="1">
        <f t="array" ref="AC148">MID(";"&amp;'CASE DATA'!$F148&amp;";",SMALL(IF(ISERROR(SEARCH(MID(";"&amp;'CASE DATA'!$F148&amp;";",ROW($1:$99),1),";")),"",ROW($1:$99)+1),COLUMN(F148)),SMALL(IF(ISERROR(SEARCH(MID(";"&amp;'CASE DATA'!$F148&amp;";",ROW($1:$99),1),";")),"",ROW($1:$99)),COLUMN(F147)+1)-SMALL(IF(ISERROR(SEARCH(MID(";"&amp;'CASE DATA'!$F148&amp;";",ROW($1:$99),1),";")),"",ROW($1:$99)),COLUMN(F147))-1)</f>
        <v/>
      </c>
      <c r="AD148" s="75" t="str" cm="1">
        <f t="array" ref="AD148">MID(";"&amp;'CASE DATA'!$F148&amp;";",SMALL(IF(ISERROR(SEARCH(MID(";"&amp;'CASE DATA'!$F148&amp;";",ROW($1:$99),1),";")),"",ROW($1:$99)+1),COLUMN(G148)),SMALL(IF(ISERROR(SEARCH(MID(";"&amp;'CASE DATA'!$F148&amp;";",ROW($1:$99),1),";")),"",ROW($1:$99)),COLUMN(G147)+1)-SMALL(IF(ISERROR(SEARCH(MID(";"&amp;'CASE DATA'!$F148&amp;";",ROW($1:$99),1),";")),"",ROW($1:$99)),COLUMN(G147))-1)</f>
        <v/>
      </c>
      <c r="AE148" s="75" t="str" cm="1">
        <f t="array" ref="AE148">MID(";"&amp;'CASE DATA'!$F148&amp;";",SMALL(IF(ISERROR(SEARCH(MID(";"&amp;'CASE DATA'!$F148&amp;";",ROW($1:$99),1),";")),"",ROW($1:$99)+1),COLUMN(H148)),SMALL(IF(ISERROR(SEARCH(MID(";"&amp;'CASE DATA'!$F148&amp;";",ROW($1:$99),1),";")),"",ROW($1:$99)),COLUMN(H147)+1)-SMALL(IF(ISERROR(SEARCH(MID(";"&amp;'CASE DATA'!$F148&amp;";",ROW($1:$99),1),";")),"",ROW($1:$99)),COLUMN(H147))-1)</f>
        <v/>
      </c>
      <c r="AF148" s="75" t="str" cm="1">
        <f t="array" ref="AF148">MID(";"&amp;'CASE DATA'!$F148&amp;";",SMALL(IF(ISERROR(SEARCH(MID(";"&amp;'CASE DATA'!$F148&amp;";",ROW($1:$99),1),";")),"",ROW($1:$99)+1),COLUMN(I148)),SMALL(IF(ISERROR(SEARCH(MID(";"&amp;'CASE DATA'!$F148&amp;";",ROW($1:$99),1),";")),"",ROW($1:$99)),COLUMN(I147)+1)-SMALL(IF(ISERROR(SEARCH(MID(";"&amp;'CASE DATA'!$F148&amp;";",ROW($1:$99),1),";")),"",ROW($1:$99)),COLUMN(I147))-1)</f>
        <v/>
      </c>
      <c r="AG148" s="75" t="str" cm="1">
        <f t="array" ref="AG148">MID(";"&amp;'CASE DATA'!$F148&amp;";",SMALL(IF(ISERROR(SEARCH(MID(";"&amp;'CASE DATA'!$F148&amp;";",ROW($1:$99),1),";")),"",ROW($1:$99)+1),COLUMN(K148)),SMALL(IF(ISERROR(SEARCH(MID(";"&amp;'CASE DATA'!$F148&amp;";",ROW($1:$99),1),";")),"",ROW($1:$99)),COLUMN(K147)+1)-SMALL(IF(ISERROR(SEARCH(MID(";"&amp;'CASE DATA'!$F148&amp;";",ROW($1:$99),1),";")),"",ROW($1:$99)),COLUMN(K147))-1)</f>
        <v/>
      </c>
      <c r="AH148" s="75" t="str" cm="1">
        <f t="array" ref="AH148">MID(";"&amp;'CASE DATA'!$F148&amp;";",SMALL(IF(ISERROR(SEARCH(MID(";"&amp;'CASE DATA'!$F148&amp;";",ROW($1:$99),1),";")),"",ROW($1:$99)+1),COLUMN(L148)),SMALL(IF(ISERROR(SEARCH(MID(";"&amp;'CASE DATA'!$F148&amp;";",ROW($1:$99),1),";")),"",ROW($1:$99)),COLUMN(L147)+1)-SMALL(IF(ISERROR(SEARCH(MID(";"&amp;'CASE DATA'!$F148&amp;";",ROW($1:$99),1),";")),"",ROW($1:$99)),COLUMN(L147))-1)</f>
        <v/>
      </c>
      <c r="AI148" s="75" t="str" cm="1">
        <f t="array" ref="AI148">MID(";"&amp;'CASE DATA'!$F148&amp;";",SMALL(IF(ISERROR(SEARCH(MID(";"&amp;'CASE DATA'!$F148&amp;";",ROW($1:$99),1),";")),"",ROW($1:$99)+1),COLUMN(M148)),SMALL(IF(ISERROR(SEARCH(MID(";"&amp;'CASE DATA'!$F148&amp;";",ROW($1:$99),1),";")),"",ROW($1:$99)),COLUMN(M147)+1)-SMALL(IF(ISERROR(SEARCH(MID(";"&amp;'CASE DATA'!$F148&amp;";",ROW($1:$99),1),";")),"",ROW($1:$99)),COLUMN(M147))-1)</f>
        <v/>
      </c>
      <c r="BO148" s="99"/>
      <c r="BP148" s="99"/>
      <c r="BQ148" s="99"/>
      <c r="BR148" s="99"/>
      <c r="BS148" s="99"/>
      <c r="BT148" s="99"/>
      <c r="BU148" s="99"/>
      <c r="BV148" s="99"/>
      <c r="BW148" s="99"/>
      <c r="BX148" s="99"/>
      <c r="BY148" s="99"/>
      <c r="BZ148" s="99"/>
      <c r="CA148" s="99"/>
      <c r="CB148" s="99"/>
      <c r="CC148" s="99"/>
      <c r="CD148" s="99"/>
      <c r="CE148" s="99"/>
      <c r="CF148" s="99"/>
      <c r="CG148" s="99"/>
      <c r="CH148" s="99"/>
      <c r="CI148" s="99"/>
      <c r="CJ148" s="99"/>
      <c r="CK148" s="99"/>
      <c r="CL148" s="99"/>
      <c r="CM148" s="99"/>
      <c r="CN148" s="99"/>
      <c r="CO148" s="99"/>
      <c r="CP148" s="99"/>
      <c r="CQ148" s="99"/>
      <c r="CR148" s="99"/>
      <c r="CS148" s="99"/>
      <c r="CT148" s="99"/>
      <c r="CU148" s="99"/>
      <c r="CV148" s="99"/>
      <c r="CW148" s="99"/>
      <c r="CX148" s="99"/>
      <c r="CY148" s="99"/>
      <c r="CZ148" s="99"/>
      <c r="DA148" s="99"/>
      <c r="DB148" s="99"/>
      <c r="DC148" s="99"/>
      <c r="DD148" s="99"/>
      <c r="DE148" s="99"/>
      <c r="DF148" s="99"/>
      <c r="DG148" s="99"/>
      <c r="DH148" s="99"/>
      <c r="DI148" s="99"/>
      <c r="DJ148" s="99"/>
      <c r="DK148" s="99"/>
      <c r="DL148" s="99"/>
      <c r="DM148" s="99"/>
      <c r="DN148" s="99"/>
      <c r="DO148" s="99"/>
      <c r="DP148" s="99"/>
      <c r="DQ148" s="99"/>
      <c r="DR148" s="99"/>
      <c r="DS148" s="99"/>
      <c r="DT148" s="99"/>
      <c r="DU148" s="99"/>
      <c r="DV148" s="99"/>
      <c r="DW148" s="99"/>
      <c r="DX148" s="99"/>
      <c r="DY148" s="99"/>
      <c r="DZ148" s="99"/>
      <c r="EA148" s="99"/>
      <c r="EB148" s="99"/>
      <c r="EC148" s="99"/>
      <c r="ED148" s="99"/>
      <c r="EE148" s="99"/>
      <c r="EF148" s="99"/>
      <c r="EG148" s="99"/>
      <c r="EH148" s="99"/>
      <c r="EI148" s="99"/>
      <c r="EJ148" s="99"/>
      <c r="EK148" s="99"/>
      <c r="EL148" s="99"/>
      <c r="EM148" s="99"/>
      <c r="EN148" s="99"/>
      <c r="EO148" s="99"/>
      <c r="EP148" s="99"/>
      <c r="EQ148" s="99"/>
      <c r="ER148" s="99"/>
      <c r="ES148" s="99"/>
      <c r="ET148" s="99"/>
      <c r="EU148" s="99"/>
      <c r="EV148" s="99"/>
      <c r="EW148" s="99"/>
      <c r="EX148" s="99"/>
      <c r="EY148" s="99"/>
      <c r="EZ148" s="99"/>
      <c r="FA148" s="99"/>
      <c r="FB148" s="99"/>
      <c r="FC148" s="99"/>
      <c r="FD148" s="99"/>
      <c r="FE148" s="99"/>
      <c r="FF148" s="99"/>
      <c r="FG148" s="99"/>
      <c r="FH148" s="99"/>
      <c r="FI148" s="99"/>
      <c r="FJ148" s="99"/>
      <c r="FK148" s="99"/>
    </row>
    <row r="149" spans="3:167" x14ac:dyDescent="0.25">
      <c r="C149" s="10"/>
      <c r="D149" s="10"/>
      <c r="E149" s="11"/>
      <c r="F149" s="15"/>
      <c r="J149" s="99">
        <v>146</v>
      </c>
      <c r="K149" s="16"/>
      <c r="L149" s="16"/>
      <c r="M149" s="16"/>
      <c r="N149" s="16"/>
      <c r="O149" s="16"/>
      <c r="P149" s="16"/>
      <c r="Q149" s="16"/>
      <c r="R149" s="16"/>
      <c r="S149" s="16"/>
      <c r="T149" s="16"/>
      <c r="U149" s="14">
        <f>SUM(K149:T149)</f>
        <v>0</v>
      </c>
      <c r="V149" s="14"/>
      <c r="X149" s="75" t="str" cm="1">
        <f t="array" ref="X149">MID(";"&amp;'CASE DATA'!$F149&amp;";",SMALL(IF(ISERROR(SEARCH(MID(";"&amp;'CASE DATA'!$F149&amp;";",ROW($1:$99),1),";")),"",ROW($1:$99)+1),COLUMN(A149)),SMALL(IF(ISERROR(SEARCH(MID(";"&amp;'CASE DATA'!$F149&amp;";",ROW($1:$99),1),";")),"",ROW($1:$99)),COLUMN(A148)+1)-SMALL(IF(ISERROR(SEARCH(MID(";"&amp;'CASE DATA'!$F149&amp;";",ROW($1:$99),1),";")),"",ROW($1:$99)),COLUMN(A148))-1)</f>
        <v/>
      </c>
      <c r="Y149" s="75" t="str" cm="1">
        <f t="array" ref="Y149">MID(";"&amp;'CASE DATA'!$F149&amp;";",SMALL(IF(ISERROR(SEARCH(MID(";"&amp;'CASE DATA'!$F149&amp;";",ROW($1:$99),1),";")),"",ROW($1:$99)+1),COLUMN(B149)),SMALL(IF(ISERROR(SEARCH(MID(";"&amp;'CASE DATA'!$F149&amp;";",ROW($1:$99),1),";")),"",ROW($1:$99)),COLUMN(B148)+1)-SMALL(IF(ISERROR(SEARCH(MID(";"&amp;'CASE DATA'!$F149&amp;";",ROW($1:$99),1),";")),"",ROW($1:$99)),COLUMN(B148))-1)</f>
        <v/>
      </c>
      <c r="Z149" s="75" t="str" cm="1">
        <f t="array" ref="Z149">MID(";"&amp;'CASE DATA'!$F149&amp;";",SMALL(IF(ISERROR(SEARCH(MID(";"&amp;'CASE DATA'!$F149&amp;";",ROW($1:$99),1),";")),"",ROW($1:$99)+1),COLUMN(C149)),SMALL(IF(ISERROR(SEARCH(MID(";"&amp;'CASE DATA'!$F149&amp;";",ROW($1:$99),1),";")),"",ROW($1:$99)),COLUMN(C148)+1)-SMALL(IF(ISERROR(SEARCH(MID(";"&amp;'CASE DATA'!$F149&amp;";",ROW($1:$99),1),";")),"",ROW($1:$99)),COLUMN(C148))-1)</f>
        <v/>
      </c>
      <c r="AA149" s="75" t="str" cm="1">
        <f t="array" ref="AA149">MID(";"&amp;'CASE DATA'!$F149&amp;";",SMALL(IF(ISERROR(SEARCH(MID(";"&amp;'CASE DATA'!$F149&amp;";",ROW($1:$99),1),";")),"",ROW($1:$99)+1),COLUMN(D149)),SMALL(IF(ISERROR(SEARCH(MID(";"&amp;'CASE DATA'!$F149&amp;";",ROW($1:$99),1),";")),"",ROW($1:$99)),COLUMN(D148)+1)-SMALL(IF(ISERROR(SEARCH(MID(";"&amp;'CASE DATA'!$F149&amp;";",ROW($1:$99),1),";")),"",ROW($1:$99)),COLUMN(D148))-1)</f>
        <v/>
      </c>
      <c r="AB149" s="75" t="str" cm="1">
        <f t="array" ref="AB149">MID(";"&amp;'CASE DATA'!$F149&amp;";",SMALL(IF(ISERROR(SEARCH(MID(";"&amp;'CASE DATA'!$F149&amp;";",ROW($1:$99),1),";")),"",ROW($1:$99)+1),COLUMN(E149)),SMALL(IF(ISERROR(SEARCH(MID(";"&amp;'CASE DATA'!$F149&amp;";",ROW($1:$99),1),";")),"",ROW($1:$99)),COLUMN(E148)+1)-SMALL(IF(ISERROR(SEARCH(MID(";"&amp;'CASE DATA'!$F149&amp;";",ROW($1:$99),1),";")),"",ROW($1:$99)),COLUMN(E148))-1)</f>
        <v/>
      </c>
      <c r="AC149" s="75" t="str" cm="1">
        <f t="array" ref="AC149">MID(";"&amp;'CASE DATA'!$F149&amp;";",SMALL(IF(ISERROR(SEARCH(MID(";"&amp;'CASE DATA'!$F149&amp;";",ROW($1:$99),1),";")),"",ROW($1:$99)+1),COLUMN(F149)),SMALL(IF(ISERROR(SEARCH(MID(";"&amp;'CASE DATA'!$F149&amp;";",ROW($1:$99),1),";")),"",ROW($1:$99)),COLUMN(F148)+1)-SMALL(IF(ISERROR(SEARCH(MID(";"&amp;'CASE DATA'!$F149&amp;";",ROW($1:$99),1),";")),"",ROW($1:$99)),COLUMN(F148))-1)</f>
        <v/>
      </c>
      <c r="AD149" s="75" t="str" cm="1">
        <f t="array" ref="AD149">MID(";"&amp;'CASE DATA'!$F149&amp;";",SMALL(IF(ISERROR(SEARCH(MID(";"&amp;'CASE DATA'!$F149&amp;";",ROW($1:$99),1),";")),"",ROW($1:$99)+1),COLUMN(G149)),SMALL(IF(ISERROR(SEARCH(MID(";"&amp;'CASE DATA'!$F149&amp;";",ROW($1:$99),1),";")),"",ROW($1:$99)),COLUMN(G148)+1)-SMALL(IF(ISERROR(SEARCH(MID(";"&amp;'CASE DATA'!$F149&amp;";",ROW($1:$99),1),";")),"",ROW($1:$99)),COLUMN(G148))-1)</f>
        <v/>
      </c>
      <c r="AE149" s="75" t="str" cm="1">
        <f t="array" ref="AE149">MID(";"&amp;'CASE DATA'!$F149&amp;";",SMALL(IF(ISERROR(SEARCH(MID(";"&amp;'CASE DATA'!$F149&amp;";",ROW($1:$99),1),";")),"",ROW($1:$99)+1),COLUMN(H149)),SMALL(IF(ISERROR(SEARCH(MID(";"&amp;'CASE DATA'!$F149&amp;";",ROW($1:$99),1),";")),"",ROW($1:$99)),COLUMN(H148)+1)-SMALL(IF(ISERROR(SEARCH(MID(";"&amp;'CASE DATA'!$F149&amp;";",ROW($1:$99),1),";")),"",ROW($1:$99)),COLUMN(H148))-1)</f>
        <v/>
      </c>
      <c r="AF149" s="75" t="str" cm="1">
        <f t="array" ref="AF149">MID(";"&amp;'CASE DATA'!$F149&amp;";",SMALL(IF(ISERROR(SEARCH(MID(";"&amp;'CASE DATA'!$F149&amp;";",ROW($1:$99),1),";")),"",ROW($1:$99)+1),COLUMN(I149)),SMALL(IF(ISERROR(SEARCH(MID(";"&amp;'CASE DATA'!$F149&amp;";",ROW($1:$99),1),";")),"",ROW($1:$99)),COLUMN(I148)+1)-SMALL(IF(ISERROR(SEARCH(MID(";"&amp;'CASE DATA'!$F149&amp;";",ROW($1:$99),1),";")),"",ROW($1:$99)),COLUMN(I148))-1)</f>
        <v/>
      </c>
      <c r="AG149" s="75" t="str" cm="1">
        <f t="array" ref="AG149">MID(";"&amp;'CASE DATA'!$F149&amp;";",SMALL(IF(ISERROR(SEARCH(MID(";"&amp;'CASE DATA'!$F149&amp;";",ROW($1:$99),1),";")),"",ROW($1:$99)+1),COLUMN(K149)),SMALL(IF(ISERROR(SEARCH(MID(";"&amp;'CASE DATA'!$F149&amp;";",ROW($1:$99),1),";")),"",ROW($1:$99)),COLUMN(K148)+1)-SMALL(IF(ISERROR(SEARCH(MID(";"&amp;'CASE DATA'!$F149&amp;";",ROW($1:$99),1),";")),"",ROW($1:$99)),COLUMN(K148))-1)</f>
        <v/>
      </c>
      <c r="AH149" s="75" t="str" cm="1">
        <f t="array" ref="AH149">MID(";"&amp;'CASE DATA'!$F149&amp;";",SMALL(IF(ISERROR(SEARCH(MID(";"&amp;'CASE DATA'!$F149&amp;";",ROW($1:$99),1),";")),"",ROW($1:$99)+1),COLUMN(L149)),SMALL(IF(ISERROR(SEARCH(MID(";"&amp;'CASE DATA'!$F149&amp;";",ROW($1:$99),1),";")),"",ROW($1:$99)),COLUMN(L148)+1)-SMALL(IF(ISERROR(SEARCH(MID(";"&amp;'CASE DATA'!$F149&amp;";",ROW($1:$99),1),";")),"",ROW($1:$99)),COLUMN(L148))-1)</f>
        <v/>
      </c>
      <c r="AI149" s="75" t="str" cm="1">
        <f t="array" ref="AI149">MID(";"&amp;'CASE DATA'!$F149&amp;";",SMALL(IF(ISERROR(SEARCH(MID(";"&amp;'CASE DATA'!$F149&amp;";",ROW($1:$99),1),";")),"",ROW($1:$99)+1),COLUMN(M149)),SMALL(IF(ISERROR(SEARCH(MID(";"&amp;'CASE DATA'!$F149&amp;";",ROW($1:$99),1),";")),"",ROW($1:$99)),COLUMN(M148)+1)-SMALL(IF(ISERROR(SEARCH(MID(";"&amp;'CASE DATA'!$F149&amp;";",ROW($1:$99),1),";")),"",ROW($1:$99)),COLUMN(M148))-1)</f>
        <v/>
      </c>
      <c r="BO149" s="99"/>
      <c r="BP149" s="99"/>
      <c r="BQ149" s="99"/>
      <c r="BR149" s="99"/>
      <c r="BS149" s="99"/>
      <c r="BT149" s="99"/>
      <c r="BU149" s="99"/>
      <c r="BV149" s="99"/>
      <c r="BW149" s="99"/>
      <c r="BX149" s="99"/>
      <c r="BY149" s="99"/>
      <c r="BZ149" s="99"/>
      <c r="CA149" s="99"/>
      <c r="CB149" s="99"/>
      <c r="CC149" s="99"/>
      <c r="CD149" s="99"/>
      <c r="CE149" s="99"/>
      <c r="CF149" s="99"/>
      <c r="CG149" s="99"/>
      <c r="CH149" s="99"/>
      <c r="CI149" s="99"/>
      <c r="CJ149" s="99"/>
      <c r="CK149" s="99"/>
      <c r="CL149" s="99"/>
      <c r="CM149" s="99"/>
      <c r="CN149" s="99"/>
      <c r="CO149" s="99"/>
      <c r="CP149" s="99"/>
      <c r="CQ149" s="99"/>
      <c r="CR149" s="99"/>
      <c r="CS149" s="99"/>
      <c r="CT149" s="99"/>
      <c r="CU149" s="99"/>
      <c r="CV149" s="99"/>
      <c r="CW149" s="99"/>
      <c r="CX149" s="99"/>
      <c r="CY149" s="99"/>
      <c r="CZ149" s="99"/>
      <c r="DA149" s="99"/>
      <c r="DB149" s="99"/>
      <c r="DC149" s="99"/>
      <c r="DD149" s="99"/>
      <c r="DE149" s="99"/>
      <c r="DF149" s="99"/>
      <c r="DG149" s="99"/>
      <c r="DH149" s="99"/>
      <c r="DI149" s="99"/>
      <c r="DJ149" s="99"/>
      <c r="DK149" s="99"/>
      <c r="DL149" s="99"/>
      <c r="DM149" s="99"/>
      <c r="DN149" s="99"/>
      <c r="DO149" s="99"/>
      <c r="DP149" s="99"/>
      <c r="DQ149" s="99"/>
      <c r="DR149" s="99"/>
      <c r="DS149" s="99"/>
      <c r="DT149" s="99"/>
      <c r="DU149" s="99"/>
      <c r="DV149" s="99"/>
      <c r="DW149" s="99"/>
      <c r="DX149" s="99"/>
      <c r="DY149" s="99"/>
      <c r="DZ149" s="99"/>
      <c r="EA149" s="99"/>
      <c r="EB149" s="99"/>
      <c r="EC149" s="99"/>
      <c r="ED149" s="99"/>
      <c r="EE149" s="99"/>
      <c r="EF149" s="99"/>
      <c r="EG149" s="99"/>
      <c r="EH149" s="99"/>
      <c r="EI149" s="99"/>
      <c r="EJ149" s="99"/>
      <c r="EK149" s="99"/>
      <c r="EL149" s="99"/>
      <c r="EM149" s="99"/>
      <c r="EN149" s="99"/>
      <c r="EO149" s="99"/>
      <c r="EP149" s="99"/>
      <c r="EQ149" s="99"/>
      <c r="ER149" s="99"/>
      <c r="ES149" s="99"/>
      <c r="ET149" s="99"/>
      <c r="EU149" s="99"/>
      <c r="EV149" s="99"/>
      <c r="EW149" s="99"/>
      <c r="EX149" s="99"/>
      <c r="EY149" s="99"/>
      <c r="EZ149" s="99"/>
      <c r="FA149" s="99"/>
      <c r="FB149" s="99"/>
      <c r="FC149" s="99"/>
      <c r="FD149" s="99"/>
      <c r="FE149" s="99"/>
      <c r="FF149" s="99"/>
      <c r="FG149" s="99"/>
      <c r="FH149" s="99"/>
      <c r="FI149" s="99"/>
      <c r="FJ149" s="99"/>
      <c r="FK149" s="99"/>
    </row>
    <row r="150" spans="3:167" x14ac:dyDescent="0.25">
      <c r="C150" s="10"/>
      <c r="D150" s="10"/>
      <c r="E150" s="11"/>
      <c r="F150" s="15"/>
      <c r="J150" s="99">
        <v>147</v>
      </c>
      <c r="K150" s="16"/>
      <c r="L150" s="16"/>
      <c r="M150" s="16"/>
      <c r="N150" s="16"/>
      <c r="O150" s="16"/>
      <c r="P150" s="16"/>
      <c r="Q150" s="16"/>
      <c r="R150" s="16"/>
      <c r="S150" s="16"/>
      <c r="T150" s="16"/>
      <c r="U150" s="14">
        <f>SUM(K150:T150)</f>
        <v>0</v>
      </c>
      <c r="V150" s="14"/>
      <c r="X150" s="75" t="str" cm="1">
        <f t="array" ref="X150">MID(";"&amp;'CASE DATA'!$F150&amp;";",SMALL(IF(ISERROR(SEARCH(MID(";"&amp;'CASE DATA'!$F150&amp;";",ROW($1:$99),1),";")),"",ROW($1:$99)+1),COLUMN(A150)),SMALL(IF(ISERROR(SEARCH(MID(";"&amp;'CASE DATA'!$F150&amp;";",ROW($1:$99),1),";")),"",ROW($1:$99)),COLUMN(A149)+1)-SMALL(IF(ISERROR(SEARCH(MID(";"&amp;'CASE DATA'!$F150&amp;";",ROW($1:$99),1),";")),"",ROW($1:$99)),COLUMN(A149))-1)</f>
        <v/>
      </c>
      <c r="Y150" s="75" t="str" cm="1">
        <f t="array" ref="Y150">MID(";"&amp;'CASE DATA'!$F150&amp;";",SMALL(IF(ISERROR(SEARCH(MID(";"&amp;'CASE DATA'!$F150&amp;";",ROW($1:$99),1),";")),"",ROW($1:$99)+1),COLUMN(B150)),SMALL(IF(ISERROR(SEARCH(MID(";"&amp;'CASE DATA'!$F150&amp;";",ROW($1:$99),1),";")),"",ROW($1:$99)),COLUMN(B149)+1)-SMALL(IF(ISERROR(SEARCH(MID(";"&amp;'CASE DATA'!$F150&amp;";",ROW($1:$99),1),";")),"",ROW($1:$99)),COLUMN(B149))-1)</f>
        <v/>
      </c>
      <c r="Z150" s="75" t="str" cm="1">
        <f t="array" ref="Z150">MID(";"&amp;'CASE DATA'!$F150&amp;";",SMALL(IF(ISERROR(SEARCH(MID(";"&amp;'CASE DATA'!$F150&amp;";",ROW($1:$99),1),";")),"",ROW($1:$99)+1),COLUMN(C150)),SMALL(IF(ISERROR(SEARCH(MID(";"&amp;'CASE DATA'!$F150&amp;";",ROW($1:$99),1),";")),"",ROW($1:$99)),COLUMN(C149)+1)-SMALL(IF(ISERROR(SEARCH(MID(";"&amp;'CASE DATA'!$F150&amp;";",ROW($1:$99),1),";")),"",ROW($1:$99)),COLUMN(C149))-1)</f>
        <v/>
      </c>
      <c r="AA150" s="75" t="str" cm="1">
        <f t="array" ref="AA150">MID(";"&amp;'CASE DATA'!$F150&amp;";",SMALL(IF(ISERROR(SEARCH(MID(";"&amp;'CASE DATA'!$F150&amp;";",ROW($1:$99),1),";")),"",ROW($1:$99)+1),COLUMN(D150)),SMALL(IF(ISERROR(SEARCH(MID(";"&amp;'CASE DATA'!$F150&amp;";",ROW($1:$99),1),";")),"",ROW($1:$99)),COLUMN(D149)+1)-SMALL(IF(ISERROR(SEARCH(MID(";"&amp;'CASE DATA'!$F150&amp;";",ROW($1:$99),1),";")),"",ROW($1:$99)),COLUMN(D149))-1)</f>
        <v/>
      </c>
      <c r="AB150" s="75" t="str" cm="1">
        <f t="array" ref="AB150">MID(";"&amp;'CASE DATA'!$F150&amp;";",SMALL(IF(ISERROR(SEARCH(MID(";"&amp;'CASE DATA'!$F150&amp;";",ROW($1:$99),1),";")),"",ROW($1:$99)+1),COLUMN(E150)),SMALL(IF(ISERROR(SEARCH(MID(";"&amp;'CASE DATA'!$F150&amp;";",ROW($1:$99),1),";")),"",ROW($1:$99)),COLUMN(E149)+1)-SMALL(IF(ISERROR(SEARCH(MID(";"&amp;'CASE DATA'!$F150&amp;";",ROW($1:$99),1),";")),"",ROW($1:$99)),COLUMN(E149))-1)</f>
        <v/>
      </c>
      <c r="AC150" s="75" t="str" cm="1">
        <f t="array" ref="AC150">MID(";"&amp;'CASE DATA'!$F150&amp;";",SMALL(IF(ISERROR(SEARCH(MID(";"&amp;'CASE DATA'!$F150&amp;";",ROW($1:$99),1),";")),"",ROW($1:$99)+1),COLUMN(F150)),SMALL(IF(ISERROR(SEARCH(MID(";"&amp;'CASE DATA'!$F150&amp;";",ROW($1:$99),1),";")),"",ROW($1:$99)),COLUMN(F149)+1)-SMALL(IF(ISERROR(SEARCH(MID(";"&amp;'CASE DATA'!$F150&amp;";",ROW($1:$99),1),";")),"",ROW($1:$99)),COLUMN(F149))-1)</f>
        <v/>
      </c>
      <c r="AD150" s="75" t="str" cm="1">
        <f t="array" ref="AD150">MID(";"&amp;'CASE DATA'!$F150&amp;";",SMALL(IF(ISERROR(SEARCH(MID(";"&amp;'CASE DATA'!$F150&amp;";",ROW($1:$99),1),";")),"",ROW($1:$99)+1),COLUMN(G150)),SMALL(IF(ISERROR(SEARCH(MID(";"&amp;'CASE DATA'!$F150&amp;";",ROW($1:$99),1),";")),"",ROW($1:$99)),COLUMN(G149)+1)-SMALL(IF(ISERROR(SEARCH(MID(";"&amp;'CASE DATA'!$F150&amp;";",ROW($1:$99),1),";")),"",ROW($1:$99)),COLUMN(G149))-1)</f>
        <v/>
      </c>
      <c r="AE150" s="75" t="str" cm="1">
        <f t="array" ref="AE150">MID(";"&amp;'CASE DATA'!$F150&amp;";",SMALL(IF(ISERROR(SEARCH(MID(";"&amp;'CASE DATA'!$F150&amp;";",ROW($1:$99),1),";")),"",ROW($1:$99)+1),COLUMN(H150)),SMALL(IF(ISERROR(SEARCH(MID(";"&amp;'CASE DATA'!$F150&amp;";",ROW($1:$99),1),";")),"",ROW($1:$99)),COLUMN(H149)+1)-SMALL(IF(ISERROR(SEARCH(MID(";"&amp;'CASE DATA'!$F150&amp;";",ROW($1:$99),1),";")),"",ROW($1:$99)),COLUMN(H149))-1)</f>
        <v/>
      </c>
      <c r="AF150" s="75" t="str" cm="1">
        <f t="array" ref="AF150">MID(";"&amp;'CASE DATA'!$F150&amp;";",SMALL(IF(ISERROR(SEARCH(MID(";"&amp;'CASE DATA'!$F150&amp;";",ROW($1:$99),1),";")),"",ROW($1:$99)+1),COLUMN(I150)),SMALL(IF(ISERROR(SEARCH(MID(";"&amp;'CASE DATA'!$F150&amp;";",ROW($1:$99),1),";")),"",ROW($1:$99)),COLUMN(I149)+1)-SMALL(IF(ISERROR(SEARCH(MID(";"&amp;'CASE DATA'!$F150&amp;";",ROW($1:$99),1),";")),"",ROW($1:$99)),COLUMN(I149))-1)</f>
        <v/>
      </c>
      <c r="AG150" s="75" t="str" cm="1">
        <f t="array" ref="AG150">MID(";"&amp;'CASE DATA'!$F150&amp;";",SMALL(IF(ISERROR(SEARCH(MID(";"&amp;'CASE DATA'!$F150&amp;";",ROW($1:$99),1),";")),"",ROW($1:$99)+1),COLUMN(K150)),SMALL(IF(ISERROR(SEARCH(MID(";"&amp;'CASE DATA'!$F150&amp;";",ROW($1:$99),1),";")),"",ROW($1:$99)),COLUMN(K149)+1)-SMALL(IF(ISERROR(SEARCH(MID(";"&amp;'CASE DATA'!$F150&amp;";",ROW($1:$99),1),";")),"",ROW($1:$99)),COLUMN(K149))-1)</f>
        <v/>
      </c>
      <c r="AH150" s="75" t="str" cm="1">
        <f t="array" ref="AH150">MID(";"&amp;'CASE DATA'!$F150&amp;";",SMALL(IF(ISERROR(SEARCH(MID(";"&amp;'CASE DATA'!$F150&amp;";",ROW($1:$99),1),";")),"",ROW($1:$99)+1),COLUMN(L150)),SMALL(IF(ISERROR(SEARCH(MID(";"&amp;'CASE DATA'!$F150&amp;";",ROW($1:$99),1),";")),"",ROW($1:$99)),COLUMN(L149)+1)-SMALL(IF(ISERROR(SEARCH(MID(";"&amp;'CASE DATA'!$F150&amp;";",ROW($1:$99),1),";")),"",ROW($1:$99)),COLUMN(L149))-1)</f>
        <v/>
      </c>
      <c r="AI150" s="75" t="str" cm="1">
        <f t="array" ref="AI150">MID(";"&amp;'CASE DATA'!$F150&amp;";",SMALL(IF(ISERROR(SEARCH(MID(";"&amp;'CASE DATA'!$F150&amp;";",ROW($1:$99),1),";")),"",ROW($1:$99)+1),COLUMN(M150)),SMALL(IF(ISERROR(SEARCH(MID(";"&amp;'CASE DATA'!$F150&amp;";",ROW($1:$99),1),";")),"",ROW($1:$99)),COLUMN(M149)+1)-SMALL(IF(ISERROR(SEARCH(MID(";"&amp;'CASE DATA'!$F150&amp;";",ROW($1:$99),1),";")),"",ROW($1:$99)),COLUMN(M149))-1)</f>
        <v/>
      </c>
      <c r="BO150" s="99"/>
      <c r="BP150" s="99"/>
      <c r="BQ150" s="99"/>
      <c r="BR150" s="99"/>
      <c r="BS150" s="99"/>
      <c r="BT150" s="99"/>
      <c r="BU150" s="99"/>
      <c r="BV150" s="99"/>
      <c r="BW150" s="99"/>
      <c r="BX150" s="99"/>
      <c r="BY150" s="99"/>
      <c r="BZ150" s="99"/>
      <c r="CA150" s="99"/>
      <c r="CB150" s="99"/>
      <c r="CC150" s="99"/>
      <c r="CD150" s="99"/>
      <c r="CE150" s="99"/>
      <c r="CF150" s="99"/>
      <c r="CG150" s="99"/>
      <c r="CH150" s="99"/>
      <c r="CI150" s="99"/>
      <c r="CJ150" s="99"/>
      <c r="CK150" s="99"/>
      <c r="CL150" s="99"/>
      <c r="CM150" s="99"/>
      <c r="CN150" s="99"/>
      <c r="CO150" s="99"/>
      <c r="CP150" s="99"/>
      <c r="CQ150" s="99"/>
      <c r="CR150" s="99"/>
      <c r="CS150" s="99"/>
      <c r="CT150" s="99"/>
      <c r="CU150" s="99"/>
      <c r="CV150" s="99"/>
      <c r="CW150" s="99"/>
      <c r="CX150" s="99"/>
      <c r="CY150" s="99"/>
      <c r="CZ150" s="99"/>
      <c r="DA150" s="99"/>
      <c r="DB150" s="99"/>
      <c r="DC150" s="99"/>
      <c r="DD150" s="99"/>
      <c r="DE150" s="99"/>
      <c r="DF150" s="99"/>
      <c r="DG150" s="99"/>
      <c r="DH150" s="99"/>
      <c r="DI150" s="99"/>
      <c r="DJ150" s="99"/>
      <c r="DK150" s="99"/>
      <c r="DL150" s="99"/>
      <c r="DM150" s="99"/>
      <c r="DN150" s="99"/>
      <c r="DO150" s="99"/>
      <c r="DP150" s="99"/>
      <c r="DQ150" s="99"/>
      <c r="DR150" s="99"/>
      <c r="DS150" s="99"/>
      <c r="DT150" s="99"/>
      <c r="DU150" s="99"/>
      <c r="DV150" s="99"/>
      <c r="DW150" s="99"/>
      <c r="DX150" s="99"/>
      <c r="DY150" s="99"/>
      <c r="DZ150" s="99"/>
      <c r="EA150" s="99"/>
      <c r="EB150" s="99"/>
      <c r="EC150" s="99"/>
      <c r="ED150" s="99"/>
      <c r="EE150" s="99"/>
      <c r="EF150" s="99"/>
      <c r="EG150" s="99"/>
      <c r="EH150" s="99"/>
      <c r="EI150" s="99"/>
      <c r="EJ150" s="99"/>
      <c r="EK150" s="99"/>
      <c r="EL150" s="99"/>
      <c r="EM150" s="99"/>
      <c r="EN150" s="99"/>
      <c r="EO150" s="99"/>
      <c r="EP150" s="99"/>
      <c r="EQ150" s="99"/>
      <c r="ER150" s="99"/>
      <c r="ES150" s="99"/>
      <c r="ET150" s="99"/>
      <c r="EU150" s="99"/>
      <c r="EV150" s="99"/>
      <c r="EW150" s="99"/>
      <c r="EX150" s="99"/>
      <c r="EY150" s="99"/>
      <c r="EZ150" s="99"/>
      <c r="FA150" s="99"/>
      <c r="FB150" s="99"/>
      <c r="FC150" s="99"/>
      <c r="FD150" s="99"/>
      <c r="FE150" s="99"/>
      <c r="FF150" s="99"/>
      <c r="FG150" s="99"/>
      <c r="FH150" s="99"/>
      <c r="FI150" s="99"/>
      <c r="FJ150" s="99"/>
      <c r="FK150" s="99"/>
    </row>
    <row r="151" spans="3:167" x14ac:dyDescent="0.25">
      <c r="C151" s="10"/>
      <c r="D151" s="10"/>
      <c r="E151" s="11"/>
      <c r="F151" s="15"/>
      <c r="J151" s="99">
        <v>148</v>
      </c>
      <c r="K151" s="16"/>
      <c r="L151" s="16"/>
      <c r="M151" s="16"/>
      <c r="N151" s="16"/>
      <c r="O151" s="16"/>
      <c r="P151" s="16"/>
      <c r="Q151" s="16"/>
      <c r="R151" s="16"/>
      <c r="S151" s="16"/>
      <c r="T151" s="16"/>
      <c r="U151" s="14">
        <f>SUM(K151:T151)</f>
        <v>0</v>
      </c>
      <c r="V151" s="14"/>
      <c r="X151" s="75" t="str" cm="1">
        <f t="array" ref="X151">MID(";"&amp;'CASE DATA'!$F151&amp;";",SMALL(IF(ISERROR(SEARCH(MID(";"&amp;'CASE DATA'!$F151&amp;";",ROW($1:$99),1),";")),"",ROW($1:$99)+1),COLUMN(A151)),SMALL(IF(ISERROR(SEARCH(MID(";"&amp;'CASE DATA'!$F151&amp;";",ROW($1:$99),1),";")),"",ROW($1:$99)),COLUMN(A150)+1)-SMALL(IF(ISERROR(SEARCH(MID(";"&amp;'CASE DATA'!$F151&amp;";",ROW($1:$99),1),";")),"",ROW($1:$99)),COLUMN(A150))-1)</f>
        <v/>
      </c>
      <c r="Y151" s="75" t="str" cm="1">
        <f t="array" ref="Y151">MID(";"&amp;'CASE DATA'!$F151&amp;";",SMALL(IF(ISERROR(SEARCH(MID(";"&amp;'CASE DATA'!$F151&amp;";",ROW($1:$99),1),";")),"",ROW($1:$99)+1),COLUMN(B151)),SMALL(IF(ISERROR(SEARCH(MID(";"&amp;'CASE DATA'!$F151&amp;";",ROW($1:$99),1),";")),"",ROW($1:$99)),COLUMN(B150)+1)-SMALL(IF(ISERROR(SEARCH(MID(";"&amp;'CASE DATA'!$F151&amp;";",ROW($1:$99),1),";")),"",ROW($1:$99)),COLUMN(B150))-1)</f>
        <v/>
      </c>
      <c r="Z151" s="75" t="str" cm="1">
        <f t="array" ref="Z151">MID(";"&amp;'CASE DATA'!$F151&amp;";",SMALL(IF(ISERROR(SEARCH(MID(";"&amp;'CASE DATA'!$F151&amp;";",ROW($1:$99),1),";")),"",ROW($1:$99)+1),COLUMN(C151)),SMALL(IF(ISERROR(SEARCH(MID(";"&amp;'CASE DATA'!$F151&amp;";",ROW($1:$99),1),";")),"",ROW($1:$99)),COLUMN(C150)+1)-SMALL(IF(ISERROR(SEARCH(MID(";"&amp;'CASE DATA'!$F151&amp;";",ROW($1:$99),1),";")),"",ROW($1:$99)),COLUMN(C150))-1)</f>
        <v/>
      </c>
      <c r="AA151" s="75" t="str" cm="1">
        <f t="array" ref="AA151">MID(";"&amp;'CASE DATA'!$F151&amp;";",SMALL(IF(ISERROR(SEARCH(MID(";"&amp;'CASE DATA'!$F151&amp;";",ROW($1:$99),1),";")),"",ROW($1:$99)+1),COLUMN(D151)),SMALL(IF(ISERROR(SEARCH(MID(";"&amp;'CASE DATA'!$F151&amp;";",ROW($1:$99),1),";")),"",ROW($1:$99)),COLUMN(D150)+1)-SMALL(IF(ISERROR(SEARCH(MID(";"&amp;'CASE DATA'!$F151&amp;";",ROW($1:$99),1),";")),"",ROW($1:$99)),COLUMN(D150))-1)</f>
        <v/>
      </c>
      <c r="AB151" s="75" t="str" cm="1">
        <f t="array" ref="AB151">MID(";"&amp;'CASE DATA'!$F151&amp;";",SMALL(IF(ISERROR(SEARCH(MID(";"&amp;'CASE DATA'!$F151&amp;";",ROW($1:$99),1),";")),"",ROW($1:$99)+1),COLUMN(E151)),SMALL(IF(ISERROR(SEARCH(MID(";"&amp;'CASE DATA'!$F151&amp;";",ROW($1:$99),1),";")),"",ROW($1:$99)),COLUMN(E150)+1)-SMALL(IF(ISERROR(SEARCH(MID(";"&amp;'CASE DATA'!$F151&amp;";",ROW($1:$99),1),";")),"",ROW($1:$99)),COLUMN(E150))-1)</f>
        <v/>
      </c>
      <c r="AC151" s="75" t="str" cm="1">
        <f t="array" ref="AC151">MID(";"&amp;'CASE DATA'!$F151&amp;";",SMALL(IF(ISERROR(SEARCH(MID(";"&amp;'CASE DATA'!$F151&amp;";",ROW($1:$99),1),";")),"",ROW($1:$99)+1),COLUMN(F151)),SMALL(IF(ISERROR(SEARCH(MID(";"&amp;'CASE DATA'!$F151&amp;";",ROW($1:$99),1),";")),"",ROW($1:$99)),COLUMN(F150)+1)-SMALL(IF(ISERROR(SEARCH(MID(";"&amp;'CASE DATA'!$F151&amp;";",ROW($1:$99),1),";")),"",ROW($1:$99)),COLUMN(F150))-1)</f>
        <v/>
      </c>
      <c r="AD151" s="75" t="str" cm="1">
        <f t="array" ref="AD151">MID(";"&amp;'CASE DATA'!$F151&amp;";",SMALL(IF(ISERROR(SEARCH(MID(";"&amp;'CASE DATA'!$F151&amp;";",ROW($1:$99),1),";")),"",ROW($1:$99)+1),COLUMN(G151)),SMALL(IF(ISERROR(SEARCH(MID(";"&amp;'CASE DATA'!$F151&amp;";",ROW($1:$99),1),";")),"",ROW($1:$99)),COLUMN(G150)+1)-SMALL(IF(ISERROR(SEARCH(MID(";"&amp;'CASE DATA'!$F151&amp;";",ROW($1:$99),1),";")),"",ROW($1:$99)),COLUMN(G150))-1)</f>
        <v/>
      </c>
      <c r="AE151" s="75" t="str" cm="1">
        <f t="array" ref="AE151">MID(";"&amp;'CASE DATA'!$F151&amp;";",SMALL(IF(ISERROR(SEARCH(MID(";"&amp;'CASE DATA'!$F151&amp;";",ROW($1:$99),1),";")),"",ROW($1:$99)+1),COLUMN(H151)),SMALL(IF(ISERROR(SEARCH(MID(";"&amp;'CASE DATA'!$F151&amp;";",ROW($1:$99),1),";")),"",ROW($1:$99)),COLUMN(H150)+1)-SMALL(IF(ISERROR(SEARCH(MID(";"&amp;'CASE DATA'!$F151&amp;";",ROW($1:$99),1),";")),"",ROW($1:$99)),COLUMN(H150))-1)</f>
        <v/>
      </c>
      <c r="AF151" s="75" t="str" cm="1">
        <f t="array" ref="AF151">MID(";"&amp;'CASE DATA'!$F151&amp;";",SMALL(IF(ISERROR(SEARCH(MID(";"&amp;'CASE DATA'!$F151&amp;";",ROW($1:$99),1),";")),"",ROW($1:$99)+1),COLUMN(I151)),SMALL(IF(ISERROR(SEARCH(MID(";"&amp;'CASE DATA'!$F151&amp;";",ROW($1:$99),1),";")),"",ROW($1:$99)),COLUMN(I150)+1)-SMALL(IF(ISERROR(SEARCH(MID(";"&amp;'CASE DATA'!$F151&amp;";",ROW($1:$99),1),";")),"",ROW($1:$99)),COLUMN(I150))-1)</f>
        <v/>
      </c>
      <c r="AG151" s="75" t="str" cm="1">
        <f t="array" ref="AG151">MID(";"&amp;'CASE DATA'!$F151&amp;";",SMALL(IF(ISERROR(SEARCH(MID(";"&amp;'CASE DATA'!$F151&amp;";",ROW($1:$99),1),";")),"",ROW($1:$99)+1),COLUMN(K151)),SMALL(IF(ISERROR(SEARCH(MID(";"&amp;'CASE DATA'!$F151&amp;";",ROW($1:$99),1),";")),"",ROW($1:$99)),COLUMN(K150)+1)-SMALL(IF(ISERROR(SEARCH(MID(";"&amp;'CASE DATA'!$F151&amp;";",ROW($1:$99),1),";")),"",ROW($1:$99)),COLUMN(K150))-1)</f>
        <v/>
      </c>
      <c r="AH151" s="75" t="str" cm="1">
        <f t="array" ref="AH151">MID(";"&amp;'CASE DATA'!$F151&amp;";",SMALL(IF(ISERROR(SEARCH(MID(";"&amp;'CASE DATA'!$F151&amp;";",ROW($1:$99),1),";")),"",ROW($1:$99)+1),COLUMN(L151)),SMALL(IF(ISERROR(SEARCH(MID(";"&amp;'CASE DATA'!$F151&amp;";",ROW($1:$99),1),";")),"",ROW($1:$99)),COLUMN(L150)+1)-SMALL(IF(ISERROR(SEARCH(MID(";"&amp;'CASE DATA'!$F151&amp;";",ROW($1:$99),1),";")),"",ROW($1:$99)),COLUMN(L150))-1)</f>
        <v/>
      </c>
      <c r="AI151" s="75" t="str" cm="1">
        <f t="array" ref="AI151">MID(";"&amp;'CASE DATA'!$F151&amp;";",SMALL(IF(ISERROR(SEARCH(MID(";"&amp;'CASE DATA'!$F151&amp;";",ROW($1:$99),1),";")),"",ROW($1:$99)+1),COLUMN(M151)),SMALL(IF(ISERROR(SEARCH(MID(";"&amp;'CASE DATA'!$F151&amp;";",ROW($1:$99),1),";")),"",ROW($1:$99)),COLUMN(M150)+1)-SMALL(IF(ISERROR(SEARCH(MID(";"&amp;'CASE DATA'!$F151&amp;";",ROW($1:$99),1),";")),"",ROW($1:$99)),COLUMN(M150))-1)</f>
        <v/>
      </c>
      <c r="BO151" s="99"/>
      <c r="BP151" s="99"/>
      <c r="BQ151" s="99"/>
      <c r="BR151" s="99"/>
      <c r="BS151" s="99"/>
      <c r="BT151" s="99"/>
      <c r="BU151" s="99"/>
      <c r="BV151" s="99"/>
      <c r="BW151" s="99"/>
      <c r="BX151" s="99"/>
      <c r="BY151" s="99"/>
      <c r="BZ151" s="99"/>
      <c r="CA151" s="99"/>
      <c r="CB151" s="99"/>
      <c r="CC151" s="99"/>
      <c r="CD151" s="99"/>
      <c r="CE151" s="99"/>
      <c r="CF151" s="99"/>
      <c r="CG151" s="99"/>
      <c r="CH151" s="99"/>
      <c r="CI151" s="99"/>
      <c r="CJ151" s="99"/>
      <c r="CK151" s="99"/>
      <c r="CL151" s="99"/>
      <c r="CM151" s="99"/>
      <c r="CN151" s="99"/>
      <c r="CO151" s="99"/>
      <c r="CP151" s="99"/>
      <c r="CQ151" s="99"/>
      <c r="CR151" s="99"/>
      <c r="CS151" s="99"/>
      <c r="CT151" s="99"/>
      <c r="CU151" s="99"/>
      <c r="CV151" s="99"/>
      <c r="CW151" s="99"/>
      <c r="CX151" s="99"/>
      <c r="CY151" s="99"/>
      <c r="CZ151" s="99"/>
      <c r="DA151" s="99"/>
      <c r="DB151" s="99"/>
      <c r="DC151" s="99"/>
      <c r="DD151" s="99"/>
      <c r="DE151" s="99"/>
      <c r="DF151" s="99"/>
      <c r="DG151" s="99"/>
      <c r="DH151" s="99"/>
      <c r="DI151" s="99"/>
      <c r="DJ151" s="99"/>
      <c r="DK151" s="99"/>
      <c r="DL151" s="99"/>
      <c r="DM151" s="99"/>
      <c r="DN151" s="99"/>
      <c r="DO151" s="99"/>
      <c r="DP151" s="99"/>
      <c r="DQ151" s="99"/>
      <c r="DR151" s="99"/>
      <c r="DS151" s="99"/>
      <c r="DT151" s="99"/>
      <c r="DU151" s="99"/>
      <c r="DV151" s="99"/>
      <c r="DW151" s="99"/>
      <c r="DX151" s="99"/>
      <c r="DY151" s="99"/>
      <c r="DZ151" s="99"/>
      <c r="EA151" s="99"/>
      <c r="EB151" s="99"/>
      <c r="EC151" s="99"/>
      <c r="ED151" s="99"/>
      <c r="EE151" s="99"/>
      <c r="EF151" s="99"/>
      <c r="EG151" s="99"/>
      <c r="EH151" s="99"/>
      <c r="EI151" s="99"/>
      <c r="EJ151" s="99"/>
      <c r="EK151" s="99"/>
      <c r="EL151" s="99"/>
      <c r="EM151" s="99"/>
      <c r="EN151" s="99"/>
      <c r="EO151" s="99"/>
      <c r="EP151" s="99"/>
      <c r="EQ151" s="99"/>
      <c r="ER151" s="99"/>
      <c r="ES151" s="99"/>
      <c r="ET151" s="99"/>
      <c r="EU151" s="99"/>
      <c r="EV151" s="99"/>
      <c r="EW151" s="99"/>
      <c r="EX151" s="99"/>
      <c r="EY151" s="99"/>
      <c r="EZ151" s="99"/>
      <c r="FA151" s="99"/>
      <c r="FB151" s="99"/>
      <c r="FC151" s="99"/>
      <c r="FD151" s="99"/>
      <c r="FE151" s="99"/>
      <c r="FF151" s="99"/>
      <c r="FG151" s="99"/>
      <c r="FH151" s="99"/>
      <c r="FI151" s="99"/>
      <c r="FJ151" s="99"/>
      <c r="FK151" s="99"/>
    </row>
    <row r="152" spans="3:167" x14ac:dyDescent="0.25">
      <c r="C152" s="10"/>
      <c r="D152" s="10"/>
      <c r="E152" s="11"/>
      <c r="F152" s="15"/>
      <c r="J152" s="99">
        <v>149</v>
      </c>
      <c r="K152" s="16"/>
      <c r="L152" s="16"/>
      <c r="M152" s="16"/>
      <c r="N152" s="16"/>
      <c r="O152" s="16"/>
      <c r="P152" s="16"/>
      <c r="Q152" s="16"/>
      <c r="R152" s="16"/>
      <c r="S152" s="16"/>
      <c r="T152" s="16"/>
      <c r="U152" s="14">
        <f>SUM(K152:T152)</f>
        <v>0</v>
      </c>
      <c r="V152" s="14"/>
      <c r="X152" s="75" t="str" cm="1">
        <f t="array" ref="X152">MID(";"&amp;'CASE DATA'!$F152&amp;";",SMALL(IF(ISERROR(SEARCH(MID(";"&amp;'CASE DATA'!$F152&amp;";",ROW($1:$99),1),";")),"",ROW($1:$99)+1),COLUMN(A152)),SMALL(IF(ISERROR(SEARCH(MID(";"&amp;'CASE DATA'!$F152&amp;";",ROW($1:$99),1),";")),"",ROW($1:$99)),COLUMN(A151)+1)-SMALL(IF(ISERROR(SEARCH(MID(";"&amp;'CASE DATA'!$F152&amp;";",ROW($1:$99),1),";")),"",ROW($1:$99)),COLUMN(A151))-1)</f>
        <v/>
      </c>
      <c r="Y152" s="75" t="str" cm="1">
        <f t="array" ref="Y152">MID(";"&amp;'CASE DATA'!$F152&amp;";",SMALL(IF(ISERROR(SEARCH(MID(";"&amp;'CASE DATA'!$F152&amp;";",ROW($1:$99),1),";")),"",ROW($1:$99)+1),COLUMN(B152)),SMALL(IF(ISERROR(SEARCH(MID(";"&amp;'CASE DATA'!$F152&amp;";",ROW($1:$99),1),";")),"",ROW($1:$99)),COLUMN(B151)+1)-SMALL(IF(ISERROR(SEARCH(MID(";"&amp;'CASE DATA'!$F152&amp;";",ROW($1:$99),1),";")),"",ROW($1:$99)),COLUMN(B151))-1)</f>
        <v/>
      </c>
      <c r="Z152" s="75" t="str" cm="1">
        <f t="array" ref="Z152">MID(";"&amp;'CASE DATA'!$F152&amp;";",SMALL(IF(ISERROR(SEARCH(MID(";"&amp;'CASE DATA'!$F152&amp;";",ROW($1:$99),1),";")),"",ROW($1:$99)+1),COLUMN(C152)),SMALL(IF(ISERROR(SEARCH(MID(";"&amp;'CASE DATA'!$F152&amp;";",ROW($1:$99),1),";")),"",ROW($1:$99)),COLUMN(C151)+1)-SMALL(IF(ISERROR(SEARCH(MID(";"&amp;'CASE DATA'!$F152&amp;";",ROW($1:$99),1),";")),"",ROW($1:$99)),COLUMN(C151))-1)</f>
        <v/>
      </c>
      <c r="AA152" s="75" t="str" cm="1">
        <f t="array" ref="AA152">MID(";"&amp;'CASE DATA'!$F152&amp;";",SMALL(IF(ISERROR(SEARCH(MID(";"&amp;'CASE DATA'!$F152&amp;";",ROW($1:$99),1),";")),"",ROW($1:$99)+1),COLUMN(D152)),SMALL(IF(ISERROR(SEARCH(MID(";"&amp;'CASE DATA'!$F152&amp;";",ROW($1:$99),1),";")),"",ROW($1:$99)),COLUMN(D151)+1)-SMALL(IF(ISERROR(SEARCH(MID(";"&amp;'CASE DATA'!$F152&amp;";",ROW($1:$99),1),";")),"",ROW($1:$99)),COLUMN(D151))-1)</f>
        <v/>
      </c>
      <c r="AB152" s="75" t="str" cm="1">
        <f t="array" ref="AB152">MID(";"&amp;'CASE DATA'!$F152&amp;";",SMALL(IF(ISERROR(SEARCH(MID(";"&amp;'CASE DATA'!$F152&amp;";",ROW($1:$99),1),";")),"",ROW($1:$99)+1),COLUMN(E152)),SMALL(IF(ISERROR(SEARCH(MID(";"&amp;'CASE DATA'!$F152&amp;";",ROW($1:$99),1),";")),"",ROW($1:$99)),COLUMN(E151)+1)-SMALL(IF(ISERROR(SEARCH(MID(";"&amp;'CASE DATA'!$F152&amp;";",ROW($1:$99),1),";")),"",ROW($1:$99)),COLUMN(E151))-1)</f>
        <v/>
      </c>
      <c r="AC152" s="75" t="str" cm="1">
        <f t="array" ref="AC152">MID(";"&amp;'CASE DATA'!$F152&amp;";",SMALL(IF(ISERROR(SEARCH(MID(";"&amp;'CASE DATA'!$F152&amp;";",ROW($1:$99),1),";")),"",ROW($1:$99)+1),COLUMN(F152)),SMALL(IF(ISERROR(SEARCH(MID(";"&amp;'CASE DATA'!$F152&amp;";",ROW($1:$99),1),";")),"",ROW($1:$99)),COLUMN(F151)+1)-SMALL(IF(ISERROR(SEARCH(MID(";"&amp;'CASE DATA'!$F152&amp;";",ROW($1:$99),1),";")),"",ROW($1:$99)),COLUMN(F151))-1)</f>
        <v/>
      </c>
      <c r="AD152" s="75" t="str" cm="1">
        <f t="array" ref="AD152">MID(";"&amp;'CASE DATA'!$F152&amp;";",SMALL(IF(ISERROR(SEARCH(MID(";"&amp;'CASE DATA'!$F152&amp;";",ROW($1:$99),1),";")),"",ROW($1:$99)+1),COLUMN(G152)),SMALL(IF(ISERROR(SEARCH(MID(";"&amp;'CASE DATA'!$F152&amp;";",ROW($1:$99),1),";")),"",ROW($1:$99)),COLUMN(G151)+1)-SMALL(IF(ISERROR(SEARCH(MID(";"&amp;'CASE DATA'!$F152&amp;";",ROW($1:$99),1),";")),"",ROW($1:$99)),COLUMN(G151))-1)</f>
        <v/>
      </c>
      <c r="AE152" s="75" t="str" cm="1">
        <f t="array" ref="AE152">MID(";"&amp;'CASE DATA'!$F152&amp;";",SMALL(IF(ISERROR(SEARCH(MID(";"&amp;'CASE DATA'!$F152&amp;";",ROW($1:$99),1),";")),"",ROW($1:$99)+1),COLUMN(H152)),SMALL(IF(ISERROR(SEARCH(MID(";"&amp;'CASE DATA'!$F152&amp;";",ROW($1:$99),1),";")),"",ROW($1:$99)),COLUMN(H151)+1)-SMALL(IF(ISERROR(SEARCH(MID(";"&amp;'CASE DATA'!$F152&amp;";",ROW($1:$99),1),";")),"",ROW($1:$99)),COLUMN(H151))-1)</f>
        <v/>
      </c>
      <c r="AF152" s="75" t="str" cm="1">
        <f t="array" ref="AF152">MID(";"&amp;'CASE DATA'!$F152&amp;";",SMALL(IF(ISERROR(SEARCH(MID(";"&amp;'CASE DATA'!$F152&amp;";",ROW($1:$99),1),";")),"",ROW($1:$99)+1),COLUMN(I152)),SMALL(IF(ISERROR(SEARCH(MID(";"&amp;'CASE DATA'!$F152&amp;";",ROW($1:$99),1),";")),"",ROW($1:$99)),COLUMN(I151)+1)-SMALL(IF(ISERROR(SEARCH(MID(";"&amp;'CASE DATA'!$F152&amp;";",ROW($1:$99),1),";")),"",ROW($1:$99)),COLUMN(I151))-1)</f>
        <v/>
      </c>
      <c r="AG152" s="75" t="str" cm="1">
        <f t="array" ref="AG152">MID(";"&amp;'CASE DATA'!$F152&amp;";",SMALL(IF(ISERROR(SEARCH(MID(";"&amp;'CASE DATA'!$F152&amp;";",ROW($1:$99),1),";")),"",ROW($1:$99)+1),COLUMN(K152)),SMALL(IF(ISERROR(SEARCH(MID(";"&amp;'CASE DATA'!$F152&amp;";",ROW($1:$99),1),";")),"",ROW($1:$99)),COLUMN(K151)+1)-SMALL(IF(ISERROR(SEARCH(MID(";"&amp;'CASE DATA'!$F152&amp;";",ROW($1:$99),1),";")),"",ROW($1:$99)),COLUMN(K151))-1)</f>
        <v/>
      </c>
      <c r="AH152" s="75" t="str" cm="1">
        <f t="array" ref="AH152">MID(";"&amp;'CASE DATA'!$F152&amp;";",SMALL(IF(ISERROR(SEARCH(MID(";"&amp;'CASE DATA'!$F152&amp;";",ROW($1:$99),1),";")),"",ROW($1:$99)+1),COLUMN(L152)),SMALL(IF(ISERROR(SEARCH(MID(";"&amp;'CASE DATA'!$F152&amp;";",ROW($1:$99),1),";")),"",ROW($1:$99)),COLUMN(L151)+1)-SMALL(IF(ISERROR(SEARCH(MID(";"&amp;'CASE DATA'!$F152&amp;";",ROW($1:$99),1),";")),"",ROW($1:$99)),COLUMN(L151))-1)</f>
        <v/>
      </c>
      <c r="AI152" s="75" t="str" cm="1">
        <f t="array" ref="AI152">MID(";"&amp;'CASE DATA'!$F152&amp;";",SMALL(IF(ISERROR(SEARCH(MID(";"&amp;'CASE DATA'!$F152&amp;";",ROW($1:$99),1),";")),"",ROW($1:$99)+1),COLUMN(M152)),SMALL(IF(ISERROR(SEARCH(MID(";"&amp;'CASE DATA'!$F152&amp;";",ROW($1:$99),1),";")),"",ROW($1:$99)),COLUMN(M151)+1)-SMALL(IF(ISERROR(SEARCH(MID(";"&amp;'CASE DATA'!$F152&amp;";",ROW($1:$99),1),";")),"",ROW($1:$99)),COLUMN(M151))-1)</f>
        <v/>
      </c>
      <c r="BO152" s="99"/>
      <c r="BP152" s="99"/>
      <c r="BQ152" s="99"/>
      <c r="BR152" s="99"/>
      <c r="BS152" s="99"/>
      <c r="BT152" s="99"/>
      <c r="BU152" s="99"/>
      <c r="BV152" s="99"/>
      <c r="BW152" s="99"/>
      <c r="BX152" s="99"/>
      <c r="BY152" s="99"/>
      <c r="BZ152" s="99"/>
      <c r="CA152" s="99"/>
      <c r="CB152" s="99"/>
      <c r="CC152" s="99"/>
      <c r="CD152" s="99"/>
      <c r="CE152" s="99"/>
      <c r="CF152" s="99"/>
      <c r="CG152" s="99"/>
      <c r="CH152" s="99"/>
      <c r="CI152" s="99"/>
      <c r="CJ152" s="99"/>
      <c r="CK152" s="99"/>
      <c r="CL152" s="99"/>
      <c r="CM152" s="99"/>
      <c r="CN152" s="99"/>
      <c r="CO152" s="99"/>
      <c r="CP152" s="99"/>
      <c r="CQ152" s="99"/>
      <c r="CR152" s="99"/>
      <c r="CS152" s="99"/>
      <c r="CT152" s="99"/>
      <c r="CU152" s="99"/>
      <c r="CV152" s="99"/>
      <c r="CW152" s="99"/>
      <c r="CX152" s="99"/>
      <c r="CY152" s="99"/>
      <c r="CZ152" s="99"/>
      <c r="DA152" s="99"/>
      <c r="DB152" s="99"/>
      <c r="DC152" s="99"/>
      <c r="DD152" s="99"/>
      <c r="DE152" s="99"/>
      <c r="DF152" s="99"/>
      <c r="DG152" s="99"/>
      <c r="DH152" s="99"/>
      <c r="DI152" s="99"/>
      <c r="DJ152" s="99"/>
      <c r="DK152" s="99"/>
      <c r="DL152" s="99"/>
      <c r="DM152" s="99"/>
      <c r="DN152" s="99"/>
      <c r="DO152" s="99"/>
      <c r="DP152" s="99"/>
      <c r="DQ152" s="99"/>
      <c r="DR152" s="99"/>
      <c r="DS152" s="99"/>
      <c r="DT152" s="99"/>
      <c r="DU152" s="99"/>
      <c r="DV152" s="99"/>
      <c r="DW152" s="99"/>
      <c r="DX152" s="99"/>
      <c r="DY152" s="99"/>
      <c r="DZ152" s="99"/>
      <c r="EA152" s="99"/>
      <c r="EB152" s="99"/>
      <c r="EC152" s="99"/>
      <c r="ED152" s="99"/>
      <c r="EE152" s="99"/>
      <c r="EF152" s="99"/>
      <c r="EG152" s="99"/>
      <c r="EH152" s="99"/>
      <c r="EI152" s="99"/>
      <c r="EJ152" s="99"/>
      <c r="EK152" s="99"/>
      <c r="EL152" s="99"/>
      <c r="EM152" s="99"/>
      <c r="EN152" s="99"/>
      <c r="EO152" s="99"/>
      <c r="EP152" s="99"/>
      <c r="EQ152" s="99"/>
      <c r="ER152" s="99"/>
      <c r="ES152" s="99"/>
      <c r="ET152" s="99"/>
      <c r="EU152" s="99"/>
      <c r="EV152" s="99"/>
      <c r="EW152" s="99"/>
      <c r="EX152" s="99"/>
      <c r="EY152" s="99"/>
      <c r="EZ152" s="99"/>
      <c r="FA152" s="99"/>
      <c r="FB152" s="99"/>
      <c r="FC152" s="99"/>
      <c r="FD152" s="99"/>
      <c r="FE152" s="99"/>
      <c r="FF152" s="99"/>
      <c r="FG152" s="99"/>
      <c r="FH152" s="99"/>
      <c r="FI152" s="99"/>
      <c r="FJ152" s="99"/>
      <c r="FK152" s="99"/>
    </row>
    <row r="153" spans="3:167" x14ac:dyDescent="0.25">
      <c r="C153" s="10"/>
      <c r="D153" s="10"/>
      <c r="E153" s="11"/>
      <c r="F153" s="15"/>
      <c r="J153" s="99">
        <v>150</v>
      </c>
      <c r="K153" s="16"/>
      <c r="L153" s="16"/>
      <c r="M153" s="16"/>
      <c r="N153" s="16"/>
      <c r="O153" s="16"/>
      <c r="P153" s="16"/>
      <c r="Q153" s="16"/>
      <c r="R153" s="16"/>
      <c r="S153" s="16"/>
      <c r="T153" s="16"/>
      <c r="U153" s="14">
        <f>SUM(K153:T153)</f>
        <v>0</v>
      </c>
      <c r="V153" s="14"/>
      <c r="X153" s="75" t="str" cm="1">
        <f t="array" ref="X153">MID(";"&amp;'CASE DATA'!$F153&amp;";",SMALL(IF(ISERROR(SEARCH(MID(";"&amp;'CASE DATA'!$F153&amp;";",ROW($1:$99),1),";")),"",ROW($1:$99)+1),COLUMN(A153)),SMALL(IF(ISERROR(SEARCH(MID(";"&amp;'CASE DATA'!$F153&amp;";",ROW($1:$99),1),";")),"",ROW($1:$99)),COLUMN(A152)+1)-SMALL(IF(ISERROR(SEARCH(MID(";"&amp;'CASE DATA'!$F153&amp;";",ROW($1:$99),1),";")),"",ROW($1:$99)),COLUMN(A152))-1)</f>
        <v/>
      </c>
      <c r="Y153" s="75" t="str" cm="1">
        <f t="array" ref="Y153">MID(";"&amp;'CASE DATA'!$F153&amp;";",SMALL(IF(ISERROR(SEARCH(MID(";"&amp;'CASE DATA'!$F153&amp;";",ROW($1:$99),1),";")),"",ROW($1:$99)+1),COLUMN(B153)),SMALL(IF(ISERROR(SEARCH(MID(";"&amp;'CASE DATA'!$F153&amp;";",ROW($1:$99),1),";")),"",ROW($1:$99)),COLUMN(B152)+1)-SMALL(IF(ISERROR(SEARCH(MID(";"&amp;'CASE DATA'!$F153&amp;";",ROW($1:$99),1),";")),"",ROW($1:$99)),COLUMN(B152))-1)</f>
        <v/>
      </c>
      <c r="Z153" s="75" t="str" cm="1">
        <f t="array" ref="Z153">MID(";"&amp;'CASE DATA'!$F153&amp;";",SMALL(IF(ISERROR(SEARCH(MID(";"&amp;'CASE DATA'!$F153&amp;";",ROW($1:$99),1),";")),"",ROW($1:$99)+1),COLUMN(C153)),SMALL(IF(ISERROR(SEARCH(MID(";"&amp;'CASE DATA'!$F153&amp;";",ROW($1:$99),1),";")),"",ROW($1:$99)),COLUMN(C152)+1)-SMALL(IF(ISERROR(SEARCH(MID(";"&amp;'CASE DATA'!$F153&amp;";",ROW($1:$99),1),";")),"",ROW($1:$99)),COLUMN(C152))-1)</f>
        <v/>
      </c>
      <c r="AA153" s="75" t="str" cm="1">
        <f t="array" ref="AA153">MID(";"&amp;'CASE DATA'!$F153&amp;";",SMALL(IF(ISERROR(SEARCH(MID(";"&amp;'CASE DATA'!$F153&amp;";",ROW($1:$99),1),";")),"",ROW($1:$99)+1),COLUMN(D153)),SMALL(IF(ISERROR(SEARCH(MID(";"&amp;'CASE DATA'!$F153&amp;";",ROW($1:$99),1),";")),"",ROW($1:$99)),COLUMN(D152)+1)-SMALL(IF(ISERROR(SEARCH(MID(";"&amp;'CASE DATA'!$F153&amp;";",ROW($1:$99),1),";")),"",ROW($1:$99)),COLUMN(D152))-1)</f>
        <v/>
      </c>
      <c r="AB153" s="75" t="str" cm="1">
        <f t="array" ref="AB153">MID(";"&amp;'CASE DATA'!$F153&amp;";",SMALL(IF(ISERROR(SEARCH(MID(";"&amp;'CASE DATA'!$F153&amp;";",ROW($1:$99),1),";")),"",ROW($1:$99)+1),COLUMN(E153)),SMALL(IF(ISERROR(SEARCH(MID(";"&amp;'CASE DATA'!$F153&amp;";",ROW($1:$99),1),";")),"",ROW($1:$99)),COLUMN(E152)+1)-SMALL(IF(ISERROR(SEARCH(MID(";"&amp;'CASE DATA'!$F153&amp;";",ROW($1:$99),1),";")),"",ROW($1:$99)),COLUMN(E152))-1)</f>
        <v/>
      </c>
      <c r="AC153" s="75" t="str" cm="1">
        <f t="array" ref="AC153">MID(";"&amp;'CASE DATA'!$F153&amp;";",SMALL(IF(ISERROR(SEARCH(MID(";"&amp;'CASE DATA'!$F153&amp;";",ROW($1:$99),1),";")),"",ROW($1:$99)+1),COLUMN(F153)),SMALL(IF(ISERROR(SEARCH(MID(";"&amp;'CASE DATA'!$F153&amp;";",ROW($1:$99),1),";")),"",ROW($1:$99)),COLUMN(F152)+1)-SMALL(IF(ISERROR(SEARCH(MID(";"&amp;'CASE DATA'!$F153&amp;";",ROW($1:$99),1),";")),"",ROW($1:$99)),COLUMN(F152))-1)</f>
        <v/>
      </c>
      <c r="AD153" s="75" t="str" cm="1">
        <f t="array" ref="AD153">MID(";"&amp;'CASE DATA'!$F153&amp;";",SMALL(IF(ISERROR(SEARCH(MID(";"&amp;'CASE DATA'!$F153&amp;";",ROW($1:$99),1),";")),"",ROW($1:$99)+1),COLUMN(G153)),SMALL(IF(ISERROR(SEARCH(MID(";"&amp;'CASE DATA'!$F153&amp;";",ROW($1:$99),1),";")),"",ROW($1:$99)),COLUMN(G152)+1)-SMALL(IF(ISERROR(SEARCH(MID(";"&amp;'CASE DATA'!$F153&amp;";",ROW($1:$99),1),";")),"",ROW($1:$99)),COLUMN(G152))-1)</f>
        <v/>
      </c>
      <c r="AE153" s="75" t="str" cm="1">
        <f t="array" ref="AE153">MID(";"&amp;'CASE DATA'!$F153&amp;";",SMALL(IF(ISERROR(SEARCH(MID(";"&amp;'CASE DATA'!$F153&amp;";",ROW($1:$99),1),";")),"",ROW($1:$99)+1),COLUMN(H153)),SMALL(IF(ISERROR(SEARCH(MID(";"&amp;'CASE DATA'!$F153&amp;";",ROW($1:$99),1),";")),"",ROW($1:$99)),COLUMN(H152)+1)-SMALL(IF(ISERROR(SEARCH(MID(";"&amp;'CASE DATA'!$F153&amp;";",ROW($1:$99),1),";")),"",ROW($1:$99)),COLUMN(H152))-1)</f>
        <v/>
      </c>
      <c r="AF153" s="75" t="str" cm="1">
        <f t="array" ref="AF153">MID(";"&amp;'CASE DATA'!$F153&amp;";",SMALL(IF(ISERROR(SEARCH(MID(";"&amp;'CASE DATA'!$F153&amp;";",ROW($1:$99),1),";")),"",ROW($1:$99)+1),COLUMN(I153)),SMALL(IF(ISERROR(SEARCH(MID(";"&amp;'CASE DATA'!$F153&amp;";",ROW($1:$99),1),";")),"",ROW($1:$99)),COLUMN(I152)+1)-SMALL(IF(ISERROR(SEARCH(MID(";"&amp;'CASE DATA'!$F153&amp;";",ROW($1:$99),1),";")),"",ROW($1:$99)),COLUMN(I152))-1)</f>
        <v/>
      </c>
      <c r="AG153" s="75" t="str" cm="1">
        <f t="array" ref="AG153">MID(";"&amp;'CASE DATA'!$F153&amp;";",SMALL(IF(ISERROR(SEARCH(MID(";"&amp;'CASE DATA'!$F153&amp;";",ROW($1:$99),1),";")),"",ROW($1:$99)+1),COLUMN(K153)),SMALL(IF(ISERROR(SEARCH(MID(";"&amp;'CASE DATA'!$F153&amp;";",ROW($1:$99),1),";")),"",ROW($1:$99)),COLUMN(K152)+1)-SMALL(IF(ISERROR(SEARCH(MID(";"&amp;'CASE DATA'!$F153&amp;";",ROW($1:$99),1),";")),"",ROW($1:$99)),COLUMN(K152))-1)</f>
        <v/>
      </c>
      <c r="AH153" s="75" t="str" cm="1">
        <f t="array" ref="AH153">MID(";"&amp;'CASE DATA'!$F153&amp;";",SMALL(IF(ISERROR(SEARCH(MID(";"&amp;'CASE DATA'!$F153&amp;";",ROW($1:$99),1),";")),"",ROW($1:$99)+1),COLUMN(L153)),SMALL(IF(ISERROR(SEARCH(MID(";"&amp;'CASE DATA'!$F153&amp;";",ROW($1:$99),1),";")),"",ROW($1:$99)),COLUMN(L152)+1)-SMALL(IF(ISERROR(SEARCH(MID(";"&amp;'CASE DATA'!$F153&amp;";",ROW($1:$99),1),";")),"",ROW($1:$99)),COLUMN(L152))-1)</f>
        <v/>
      </c>
      <c r="AI153" s="75" t="str" cm="1">
        <f t="array" ref="AI153">MID(";"&amp;'CASE DATA'!$F153&amp;";",SMALL(IF(ISERROR(SEARCH(MID(";"&amp;'CASE DATA'!$F153&amp;";",ROW($1:$99),1),";")),"",ROW($1:$99)+1),COLUMN(M153)),SMALL(IF(ISERROR(SEARCH(MID(";"&amp;'CASE DATA'!$F153&amp;";",ROW($1:$99),1),";")),"",ROW($1:$99)),COLUMN(M152)+1)-SMALL(IF(ISERROR(SEARCH(MID(";"&amp;'CASE DATA'!$F153&amp;";",ROW($1:$99),1),";")),"",ROW($1:$99)),COLUMN(M152))-1)</f>
        <v/>
      </c>
      <c r="BO153" s="99"/>
      <c r="BP153" s="99"/>
      <c r="BQ153" s="99"/>
      <c r="BR153" s="99"/>
      <c r="BS153" s="99"/>
      <c r="BT153" s="99"/>
      <c r="BU153" s="99"/>
      <c r="BV153" s="99"/>
      <c r="BW153" s="99"/>
      <c r="BX153" s="99"/>
      <c r="BY153" s="99"/>
      <c r="BZ153" s="99"/>
      <c r="CA153" s="99"/>
      <c r="CB153" s="99"/>
      <c r="CC153" s="99"/>
      <c r="CD153" s="99"/>
      <c r="CE153" s="99"/>
      <c r="CF153" s="99"/>
      <c r="CG153" s="99"/>
      <c r="CH153" s="99"/>
      <c r="CI153" s="99"/>
      <c r="CJ153" s="99"/>
      <c r="CK153" s="99"/>
      <c r="CL153" s="99"/>
      <c r="CM153" s="99"/>
      <c r="CN153" s="99"/>
      <c r="CO153" s="99"/>
      <c r="CP153" s="99"/>
      <c r="CQ153" s="99"/>
      <c r="CR153" s="99"/>
      <c r="CS153" s="99"/>
      <c r="CT153" s="99"/>
      <c r="CU153" s="99"/>
      <c r="CV153" s="99"/>
      <c r="CW153" s="99"/>
      <c r="CX153" s="99"/>
      <c r="CY153" s="99"/>
      <c r="CZ153" s="99"/>
      <c r="DA153" s="99"/>
      <c r="DB153" s="99"/>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99"/>
      <c r="EE153" s="99"/>
      <c r="EF153" s="99"/>
      <c r="EG153" s="99"/>
      <c r="EH153" s="99"/>
      <c r="EI153" s="99"/>
      <c r="EJ153" s="99"/>
      <c r="EK153" s="99"/>
      <c r="EL153" s="99"/>
      <c r="EM153" s="99"/>
      <c r="EN153" s="99"/>
      <c r="EO153" s="99"/>
      <c r="EP153" s="99"/>
      <c r="EQ153" s="99"/>
      <c r="ER153" s="99"/>
      <c r="ES153" s="99"/>
      <c r="ET153" s="99"/>
      <c r="EU153" s="99"/>
      <c r="EV153" s="99"/>
      <c r="EW153" s="99"/>
      <c r="EX153" s="99"/>
      <c r="EY153" s="99"/>
      <c r="EZ153" s="99"/>
      <c r="FA153" s="99"/>
      <c r="FB153" s="99"/>
      <c r="FC153" s="99"/>
      <c r="FD153" s="99"/>
      <c r="FE153" s="99"/>
      <c r="FF153" s="99"/>
      <c r="FG153" s="99"/>
      <c r="FH153" s="99"/>
      <c r="FI153" s="99"/>
      <c r="FJ153" s="99"/>
      <c r="FK153" s="99"/>
    </row>
    <row r="154" spans="3:167" x14ac:dyDescent="0.25">
      <c r="C154" s="10"/>
      <c r="D154" s="10"/>
      <c r="E154" s="11"/>
      <c r="F154" s="15"/>
      <c r="J154" s="99">
        <v>151</v>
      </c>
      <c r="K154" s="16"/>
      <c r="L154" s="16"/>
      <c r="M154" s="16"/>
      <c r="N154" s="16"/>
      <c r="O154" s="16"/>
      <c r="P154" s="16"/>
      <c r="Q154" s="16"/>
      <c r="R154" s="16"/>
      <c r="S154" s="16"/>
      <c r="T154" s="16"/>
      <c r="U154" s="14">
        <f>SUM(K154:T154)</f>
        <v>0</v>
      </c>
      <c r="V154" s="14"/>
      <c r="X154" s="75" t="str" cm="1">
        <f t="array" ref="X154">MID(";"&amp;'CASE DATA'!$F154&amp;";",SMALL(IF(ISERROR(SEARCH(MID(";"&amp;'CASE DATA'!$F154&amp;";",ROW($1:$99),1),";")),"",ROW($1:$99)+1),COLUMN(A154)),SMALL(IF(ISERROR(SEARCH(MID(";"&amp;'CASE DATA'!$F154&amp;";",ROW($1:$99),1),";")),"",ROW($1:$99)),COLUMN(A153)+1)-SMALL(IF(ISERROR(SEARCH(MID(";"&amp;'CASE DATA'!$F154&amp;";",ROW($1:$99),1),";")),"",ROW($1:$99)),COLUMN(A153))-1)</f>
        <v/>
      </c>
      <c r="Y154" s="75" t="str" cm="1">
        <f t="array" ref="Y154">MID(";"&amp;'CASE DATA'!$F154&amp;";",SMALL(IF(ISERROR(SEARCH(MID(";"&amp;'CASE DATA'!$F154&amp;";",ROW($1:$99),1),";")),"",ROW($1:$99)+1),COLUMN(B154)),SMALL(IF(ISERROR(SEARCH(MID(";"&amp;'CASE DATA'!$F154&amp;";",ROW($1:$99),1),";")),"",ROW($1:$99)),COLUMN(B153)+1)-SMALL(IF(ISERROR(SEARCH(MID(";"&amp;'CASE DATA'!$F154&amp;";",ROW($1:$99),1),";")),"",ROW($1:$99)),COLUMN(B153))-1)</f>
        <v/>
      </c>
      <c r="Z154" s="75" t="str" cm="1">
        <f t="array" ref="Z154">MID(";"&amp;'CASE DATA'!$F154&amp;";",SMALL(IF(ISERROR(SEARCH(MID(";"&amp;'CASE DATA'!$F154&amp;";",ROW($1:$99),1),";")),"",ROW($1:$99)+1),COLUMN(C154)),SMALL(IF(ISERROR(SEARCH(MID(";"&amp;'CASE DATA'!$F154&amp;";",ROW($1:$99),1),";")),"",ROW($1:$99)),COLUMN(C153)+1)-SMALL(IF(ISERROR(SEARCH(MID(";"&amp;'CASE DATA'!$F154&amp;";",ROW($1:$99),1),";")),"",ROW($1:$99)),COLUMN(C153))-1)</f>
        <v/>
      </c>
      <c r="AA154" s="75" t="str" cm="1">
        <f t="array" ref="AA154">MID(";"&amp;'CASE DATA'!$F154&amp;";",SMALL(IF(ISERROR(SEARCH(MID(";"&amp;'CASE DATA'!$F154&amp;";",ROW($1:$99),1),";")),"",ROW($1:$99)+1),COLUMN(D154)),SMALL(IF(ISERROR(SEARCH(MID(";"&amp;'CASE DATA'!$F154&amp;";",ROW($1:$99),1),";")),"",ROW($1:$99)),COLUMN(D153)+1)-SMALL(IF(ISERROR(SEARCH(MID(";"&amp;'CASE DATA'!$F154&amp;";",ROW($1:$99),1),";")),"",ROW($1:$99)),COLUMN(D153))-1)</f>
        <v/>
      </c>
      <c r="AB154" s="75" t="str" cm="1">
        <f t="array" ref="AB154">MID(";"&amp;'CASE DATA'!$F154&amp;";",SMALL(IF(ISERROR(SEARCH(MID(";"&amp;'CASE DATA'!$F154&amp;";",ROW($1:$99),1),";")),"",ROW($1:$99)+1),COLUMN(E154)),SMALL(IF(ISERROR(SEARCH(MID(";"&amp;'CASE DATA'!$F154&amp;";",ROW($1:$99),1),";")),"",ROW($1:$99)),COLUMN(E153)+1)-SMALL(IF(ISERROR(SEARCH(MID(";"&amp;'CASE DATA'!$F154&amp;";",ROW($1:$99),1),";")),"",ROW($1:$99)),COLUMN(E153))-1)</f>
        <v/>
      </c>
      <c r="AC154" s="75" t="str" cm="1">
        <f t="array" ref="AC154">MID(";"&amp;'CASE DATA'!$F154&amp;";",SMALL(IF(ISERROR(SEARCH(MID(";"&amp;'CASE DATA'!$F154&amp;";",ROW($1:$99),1),";")),"",ROW($1:$99)+1),COLUMN(F154)),SMALL(IF(ISERROR(SEARCH(MID(";"&amp;'CASE DATA'!$F154&amp;";",ROW($1:$99),1),";")),"",ROW($1:$99)),COLUMN(F153)+1)-SMALL(IF(ISERROR(SEARCH(MID(";"&amp;'CASE DATA'!$F154&amp;";",ROW($1:$99),1),";")),"",ROW($1:$99)),COLUMN(F153))-1)</f>
        <v/>
      </c>
      <c r="AD154" s="75" t="str" cm="1">
        <f t="array" ref="AD154">MID(";"&amp;'CASE DATA'!$F154&amp;";",SMALL(IF(ISERROR(SEARCH(MID(";"&amp;'CASE DATA'!$F154&amp;";",ROW($1:$99),1),";")),"",ROW($1:$99)+1),COLUMN(G154)),SMALL(IF(ISERROR(SEARCH(MID(";"&amp;'CASE DATA'!$F154&amp;";",ROW($1:$99),1),";")),"",ROW($1:$99)),COLUMN(G153)+1)-SMALL(IF(ISERROR(SEARCH(MID(";"&amp;'CASE DATA'!$F154&amp;";",ROW($1:$99),1),";")),"",ROW($1:$99)),COLUMN(G153))-1)</f>
        <v/>
      </c>
      <c r="AE154" s="75" t="str" cm="1">
        <f t="array" ref="AE154">MID(";"&amp;'CASE DATA'!$F154&amp;";",SMALL(IF(ISERROR(SEARCH(MID(";"&amp;'CASE DATA'!$F154&amp;";",ROW($1:$99),1),";")),"",ROW($1:$99)+1),COLUMN(H154)),SMALL(IF(ISERROR(SEARCH(MID(";"&amp;'CASE DATA'!$F154&amp;";",ROW($1:$99),1),";")),"",ROW($1:$99)),COLUMN(H153)+1)-SMALL(IF(ISERROR(SEARCH(MID(";"&amp;'CASE DATA'!$F154&amp;";",ROW($1:$99),1),";")),"",ROW($1:$99)),COLUMN(H153))-1)</f>
        <v/>
      </c>
      <c r="AF154" s="75" t="str" cm="1">
        <f t="array" ref="AF154">MID(";"&amp;'CASE DATA'!$F154&amp;";",SMALL(IF(ISERROR(SEARCH(MID(";"&amp;'CASE DATA'!$F154&amp;";",ROW($1:$99),1),";")),"",ROW($1:$99)+1),COLUMN(I154)),SMALL(IF(ISERROR(SEARCH(MID(";"&amp;'CASE DATA'!$F154&amp;";",ROW($1:$99),1),";")),"",ROW($1:$99)),COLUMN(I153)+1)-SMALL(IF(ISERROR(SEARCH(MID(";"&amp;'CASE DATA'!$F154&amp;";",ROW($1:$99),1),";")),"",ROW($1:$99)),COLUMN(I153))-1)</f>
        <v/>
      </c>
      <c r="AG154" s="75" t="str" cm="1">
        <f t="array" ref="AG154">MID(";"&amp;'CASE DATA'!$F154&amp;";",SMALL(IF(ISERROR(SEARCH(MID(";"&amp;'CASE DATA'!$F154&amp;";",ROW($1:$99),1),";")),"",ROW($1:$99)+1),COLUMN(K154)),SMALL(IF(ISERROR(SEARCH(MID(";"&amp;'CASE DATA'!$F154&amp;";",ROW($1:$99),1),";")),"",ROW($1:$99)),COLUMN(K153)+1)-SMALL(IF(ISERROR(SEARCH(MID(";"&amp;'CASE DATA'!$F154&amp;";",ROW($1:$99),1),";")),"",ROW($1:$99)),COLUMN(K153))-1)</f>
        <v/>
      </c>
      <c r="AH154" s="75" t="str" cm="1">
        <f t="array" ref="AH154">MID(";"&amp;'CASE DATA'!$F154&amp;";",SMALL(IF(ISERROR(SEARCH(MID(";"&amp;'CASE DATA'!$F154&amp;";",ROW($1:$99),1),";")),"",ROW($1:$99)+1),COLUMN(L154)),SMALL(IF(ISERROR(SEARCH(MID(";"&amp;'CASE DATA'!$F154&amp;";",ROW($1:$99),1),";")),"",ROW($1:$99)),COLUMN(L153)+1)-SMALL(IF(ISERROR(SEARCH(MID(";"&amp;'CASE DATA'!$F154&amp;";",ROW($1:$99),1),";")),"",ROW($1:$99)),COLUMN(L153))-1)</f>
        <v/>
      </c>
      <c r="AI154" s="75" t="str" cm="1">
        <f t="array" ref="AI154">MID(";"&amp;'CASE DATA'!$F154&amp;";",SMALL(IF(ISERROR(SEARCH(MID(";"&amp;'CASE DATA'!$F154&amp;";",ROW($1:$99),1),";")),"",ROW($1:$99)+1),COLUMN(M154)),SMALL(IF(ISERROR(SEARCH(MID(";"&amp;'CASE DATA'!$F154&amp;";",ROW($1:$99),1),";")),"",ROW($1:$99)),COLUMN(M153)+1)-SMALL(IF(ISERROR(SEARCH(MID(";"&amp;'CASE DATA'!$F154&amp;";",ROW($1:$99),1),";")),"",ROW($1:$99)),COLUMN(M153))-1)</f>
        <v/>
      </c>
      <c r="BO154" s="99"/>
      <c r="BP154" s="99"/>
      <c r="BQ154" s="99"/>
      <c r="BR154" s="99"/>
      <c r="BS154" s="99"/>
      <c r="BT154" s="99"/>
      <c r="BU154" s="99"/>
      <c r="BV154" s="99"/>
      <c r="BW154" s="99"/>
      <c r="BX154" s="99"/>
      <c r="BY154" s="99"/>
      <c r="BZ154" s="99"/>
      <c r="CA154" s="99"/>
      <c r="CB154" s="99"/>
      <c r="CC154" s="99"/>
      <c r="CD154" s="99"/>
      <c r="CE154" s="99"/>
      <c r="CF154" s="99"/>
      <c r="CG154" s="99"/>
      <c r="CH154" s="99"/>
      <c r="CI154" s="99"/>
      <c r="CJ154" s="99"/>
      <c r="CK154" s="99"/>
      <c r="CL154" s="99"/>
      <c r="CM154" s="99"/>
      <c r="CN154" s="99"/>
      <c r="CO154" s="99"/>
      <c r="CP154" s="99"/>
      <c r="CQ154" s="99"/>
      <c r="CR154" s="99"/>
      <c r="CS154" s="99"/>
      <c r="CT154" s="99"/>
      <c r="CU154" s="99"/>
      <c r="CV154" s="99"/>
      <c r="CW154" s="99"/>
      <c r="CX154" s="99"/>
      <c r="CY154" s="99"/>
      <c r="CZ154" s="99"/>
      <c r="DA154" s="99"/>
      <c r="DB154" s="99"/>
      <c r="DC154" s="99"/>
      <c r="DD154" s="99"/>
      <c r="DE154" s="99"/>
      <c r="DF154" s="99"/>
      <c r="DG154" s="99"/>
      <c r="DH154" s="99"/>
      <c r="DI154" s="99"/>
      <c r="DJ154" s="99"/>
      <c r="DK154" s="99"/>
      <c r="DL154" s="99"/>
      <c r="DM154" s="99"/>
      <c r="DN154" s="99"/>
      <c r="DO154" s="99"/>
      <c r="DP154" s="99"/>
      <c r="DQ154" s="99"/>
      <c r="DR154" s="99"/>
      <c r="DS154" s="99"/>
      <c r="DT154" s="99"/>
      <c r="DU154" s="99"/>
      <c r="DV154" s="99"/>
      <c r="DW154" s="99"/>
      <c r="DX154" s="99"/>
      <c r="DY154" s="99"/>
      <c r="DZ154" s="99"/>
      <c r="EA154" s="99"/>
      <c r="EB154" s="99"/>
      <c r="EC154" s="99"/>
      <c r="ED154" s="99"/>
      <c r="EE154" s="99"/>
      <c r="EF154" s="99"/>
      <c r="EG154" s="99"/>
      <c r="EH154" s="99"/>
      <c r="EI154" s="99"/>
      <c r="EJ154" s="99"/>
      <c r="EK154" s="99"/>
      <c r="EL154" s="99"/>
      <c r="EM154" s="99"/>
      <c r="EN154" s="99"/>
      <c r="EO154" s="99"/>
      <c r="EP154" s="99"/>
      <c r="EQ154" s="99"/>
      <c r="ER154" s="99"/>
      <c r="ES154" s="99"/>
      <c r="ET154" s="99"/>
      <c r="EU154" s="99"/>
      <c r="EV154" s="99"/>
      <c r="EW154" s="99"/>
      <c r="EX154" s="99"/>
      <c r="EY154" s="99"/>
      <c r="EZ154" s="99"/>
      <c r="FA154" s="99"/>
      <c r="FB154" s="99"/>
      <c r="FC154" s="99"/>
      <c r="FD154" s="99"/>
      <c r="FE154" s="99"/>
      <c r="FF154" s="99"/>
      <c r="FG154" s="99"/>
      <c r="FH154" s="99"/>
      <c r="FI154" s="99"/>
      <c r="FJ154" s="99"/>
      <c r="FK154" s="99"/>
    </row>
    <row r="155" spans="3:167" x14ac:dyDescent="0.25">
      <c r="C155" s="10"/>
      <c r="D155" s="10"/>
      <c r="E155" s="11"/>
      <c r="F155" s="15"/>
      <c r="J155" s="99">
        <v>152</v>
      </c>
      <c r="K155" s="16"/>
      <c r="L155" s="16"/>
      <c r="M155" s="16"/>
      <c r="N155" s="16"/>
      <c r="O155" s="16"/>
      <c r="P155" s="16"/>
      <c r="Q155" s="16"/>
      <c r="R155" s="16"/>
      <c r="S155" s="16"/>
      <c r="T155" s="16"/>
      <c r="U155" s="14">
        <f>SUM(K155:T155)</f>
        <v>0</v>
      </c>
      <c r="V155" s="14"/>
      <c r="X155" s="75" t="str" cm="1">
        <f t="array" ref="X155">MID(";"&amp;'CASE DATA'!$F155&amp;";",SMALL(IF(ISERROR(SEARCH(MID(";"&amp;'CASE DATA'!$F155&amp;";",ROW($1:$99),1),";")),"",ROW($1:$99)+1),COLUMN(A155)),SMALL(IF(ISERROR(SEARCH(MID(";"&amp;'CASE DATA'!$F155&amp;";",ROW($1:$99),1),";")),"",ROW($1:$99)),COLUMN(A154)+1)-SMALL(IF(ISERROR(SEARCH(MID(";"&amp;'CASE DATA'!$F155&amp;";",ROW($1:$99),1),";")),"",ROW($1:$99)),COLUMN(A154))-1)</f>
        <v/>
      </c>
      <c r="Y155" s="75" t="str" cm="1">
        <f t="array" ref="Y155">MID(";"&amp;'CASE DATA'!$F155&amp;";",SMALL(IF(ISERROR(SEARCH(MID(";"&amp;'CASE DATA'!$F155&amp;";",ROW($1:$99),1),";")),"",ROW($1:$99)+1),COLUMN(B155)),SMALL(IF(ISERROR(SEARCH(MID(";"&amp;'CASE DATA'!$F155&amp;";",ROW($1:$99),1),";")),"",ROW($1:$99)),COLUMN(B154)+1)-SMALL(IF(ISERROR(SEARCH(MID(";"&amp;'CASE DATA'!$F155&amp;";",ROW($1:$99),1),";")),"",ROW($1:$99)),COLUMN(B154))-1)</f>
        <v/>
      </c>
      <c r="Z155" s="75" t="str" cm="1">
        <f t="array" ref="Z155">MID(";"&amp;'CASE DATA'!$F155&amp;";",SMALL(IF(ISERROR(SEARCH(MID(";"&amp;'CASE DATA'!$F155&amp;";",ROW($1:$99),1),";")),"",ROW($1:$99)+1),COLUMN(C155)),SMALL(IF(ISERROR(SEARCH(MID(";"&amp;'CASE DATA'!$F155&amp;";",ROW($1:$99),1),";")),"",ROW($1:$99)),COLUMN(C154)+1)-SMALL(IF(ISERROR(SEARCH(MID(";"&amp;'CASE DATA'!$F155&amp;";",ROW($1:$99),1),";")),"",ROW($1:$99)),COLUMN(C154))-1)</f>
        <v/>
      </c>
      <c r="AA155" s="75" t="str" cm="1">
        <f t="array" ref="AA155">MID(";"&amp;'CASE DATA'!$F155&amp;";",SMALL(IF(ISERROR(SEARCH(MID(";"&amp;'CASE DATA'!$F155&amp;";",ROW($1:$99),1),";")),"",ROW($1:$99)+1),COLUMN(D155)),SMALL(IF(ISERROR(SEARCH(MID(";"&amp;'CASE DATA'!$F155&amp;";",ROW($1:$99),1),";")),"",ROW($1:$99)),COLUMN(D154)+1)-SMALL(IF(ISERROR(SEARCH(MID(";"&amp;'CASE DATA'!$F155&amp;";",ROW($1:$99),1),";")),"",ROW($1:$99)),COLUMN(D154))-1)</f>
        <v/>
      </c>
      <c r="AB155" s="75" t="str" cm="1">
        <f t="array" ref="AB155">MID(";"&amp;'CASE DATA'!$F155&amp;";",SMALL(IF(ISERROR(SEARCH(MID(";"&amp;'CASE DATA'!$F155&amp;";",ROW($1:$99),1),";")),"",ROW($1:$99)+1),COLUMN(E155)),SMALL(IF(ISERROR(SEARCH(MID(";"&amp;'CASE DATA'!$F155&amp;";",ROW($1:$99),1),";")),"",ROW($1:$99)),COLUMN(E154)+1)-SMALL(IF(ISERROR(SEARCH(MID(";"&amp;'CASE DATA'!$F155&amp;";",ROW($1:$99),1),";")),"",ROW($1:$99)),COLUMN(E154))-1)</f>
        <v/>
      </c>
      <c r="AC155" s="75" t="str" cm="1">
        <f t="array" ref="AC155">MID(";"&amp;'CASE DATA'!$F155&amp;";",SMALL(IF(ISERROR(SEARCH(MID(";"&amp;'CASE DATA'!$F155&amp;";",ROW($1:$99),1),";")),"",ROW($1:$99)+1),COLUMN(F155)),SMALL(IF(ISERROR(SEARCH(MID(";"&amp;'CASE DATA'!$F155&amp;";",ROW($1:$99),1),";")),"",ROW($1:$99)),COLUMN(F154)+1)-SMALL(IF(ISERROR(SEARCH(MID(";"&amp;'CASE DATA'!$F155&amp;";",ROW($1:$99),1),";")),"",ROW($1:$99)),COLUMN(F154))-1)</f>
        <v/>
      </c>
      <c r="AD155" s="75" t="str" cm="1">
        <f t="array" ref="AD155">MID(";"&amp;'CASE DATA'!$F155&amp;";",SMALL(IF(ISERROR(SEARCH(MID(";"&amp;'CASE DATA'!$F155&amp;";",ROW($1:$99),1),";")),"",ROW($1:$99)+1),COLUMN(G155)),SMALL(IF(ISERROR(SEARCH(MID(";"&amp;'CASE DATA'!$F155&amp;";",ROW($1:$99),1),";")),"",ROW($1:$99)),COLUMN(G154)+1)-SMALL(IF(ISERROR(SEARCH(MID(";"&amp;'CASE DATA'!$F155&amp;";",ROW($1:$99),1),";")),"",ROW($1:$99)),COLUMN(G154))-1)</f>
        <v/>
      </c>
      <c r="AE155" s="75" t="str" cm="1">
        <f t="array" ref="AE155">MID(";"&amp;'CASE DATA'!$F155&amp;";",SMALL(IF(ISERROR(SEARCH(MID(";"&amp;'CASE DATA'!$F155&amp;";",ROW($1:$99),1),";")),"",ROW($1:$99)+1),COLUMN(H155)),SMALL(IF(ISERROR(SEARCH(MID(";"&amp;'CASE DATA'!$F155&amp;";",ROW($1:$99),1),";")),"",ROW($1:$99)),COLUMN(H154)+1)-SMALL(IF(ISERROR(SEARCH(MID(";"&amp;'CASE DATA'!$F155&amp;";",ROW($1:$99),1),";")),"",ROW($1:$99)),COLUMN(H154))-1)</f>
        <v/>
      </c>
      <c r="AF155" s="75" t="str" cm="1">
        <f t="array" ref="AF155">MID(";"&amp;'CASE DATA'!$F155&amp;";",SMALL(IF(ISERROR(SEARCH(MID(";"&amp;'CASE DATA'!$F155&amp;";",ROW($1:$99),1),";")),"",ROW($1:$99)+1),COLUMN(I155)),SMALL(IF(ISERROR(SEARCH(MID(";"&amp;'CASE DATA'!$F155&amp;";",ROW($1:$99),1),";")),"",ROW($1:$99)),COLUMN(I154)+1)-SMALL(IF(ISERROR(SEARCH(MID(";"&amp;'CASE DATA'!$F155&amp;";",ROW($1:$99),1),";")),"",ROW($1:$99)),COLUMN(I154))-1)</f>
        <v/>
      </c>
      <c r="AG155" s="75" t="str" cm="1">
        <f t="array" ref="AG155">MID(";"&amp;'CASE DATA'!$F155&amp;";",SMALL(IF(ISERROR(SEARCH(MID(";"&amp;'CASE DATA'!$F155&amp;";",ROW($1:$99),1),";")),"",ROW($1:$99)+1),COLUMN(K155)),SMALL(IF(ISERROR(SEARCH(MID(";"&amp;'CASE DATA'!$F155&amp;";",ROW($1:$99),1),";")),"",ROW($1:$99)),COLUMN(K154)+1)-SMALL(IF(ISERROR(SEARCH(MID(";"&amp;'CASE DATA'!$F155&amp;";",ROW($1:$99),1),";")),"",ROW($1:$99)),COLUMN(K154))-1)</f>
        <v/>
      </c>
      <c r="AH155" s="75" t="str" cm="1">
        <f t="array" ref="AH155">MID(";"&amp;'CASE DATA'!$F155&amp;";",SMALL(IF(ISERROR(SEARCH(MID(";"&amp;'CASE DATA'!$F155&amp;";",ROW($1:$99),1),";")),"",ROW($1:$99)+1),COLUMN(L155)),SMALL(IF(ISERROR(SEARCH(MID(";"&amp;'CASE DATA'!$F155&amp;";",ROW($1:$99),1),";")),"",ROW($1:$99)),COLUMN(L154)+1)-SMALL(IF(ISERROR(SEARCH(MID(";"&amp;'CASE DATA'!$F155&amp;";",ROW($1:$99),1),";")),"",ROW($1:$99)),COLUMN(L154))-1)</f>
        <v/>
      </c>
      <c r="AI155" s="75" t="str" cm="1">
        <f t="array" ref="AI155">MID(";"&amp;'CASE DATA'!$F155&amp;";",SMALL(IF(ISERROR(SEARCH(MID(";"&amp;'CASE DATA'!$F155&amp;";",ROW($1:$99),1),";")),"",ROW($1:$99)+1),COLUMN(M155)),SMALL(IF(ISERROR(SEARCH(MID(";"&amp;'CASE DATA'!$F155&amp;";",ROW($1:$99),1),";")),"",ROW($1:$99)),COLUMN(M154)+1)-SMALL(IF(ISERROR(SEARCH(MID(";"&amp;'CASE DATA'!$F155&amp;";",ROW($1:$99),1),";")),"",ROW($1:$99)),COLUMN(M154))-1)</f>
        <v/>
      </c>
      <c r="BO155" s="99"/>
      <c r="BP155" s="99"/>
      <c r="BQ155" s="99"/>
      <c r="BR155" s="99"/>
      <c r="BS155" s="99"/>
      <c r="BT155" s="99"/>
      <c r="BU155" s="99"/>
      <c r="BV155" s="99"/>
      <c r="BW155" s="99"/>
      <c r="BX155" s="99"/>
      <c r="BY155" s="99"/>
      <c r="BZ155" s="99"/>
      <c r="CA155" s="99"/>
      <c r="CB155" s="99"/>
      <c r="CC155" s="99"/>
      <c r="CD155" s="99"/>
      <c r="CE155" s="99"/>
      <c r="CF155" s="99"/>
      <c r="CG155" s="99"/>
      <c r="CH155" s="99"/>
      <c r="CI155" s="99"/>
      <c r="CJ155" s="99"/>
      <c r="CK155" s="99"/>
      <c r="CL155" s="99"/>
      <c r="CM155" s="99"/>
      <c r="CN155" s="99"/>
      <c r="CO155" s="99"/>
      <c r="CP155" s="99"/>
      <c r="CQ155" s="99"/>
      <c r="CR155" s="99"/>
      <c r="CS155" s="99"/>
      <c r="CT155" s="99"/>
      <c r="CU155" s="99"/>
      <c r="CV155" s="99"/>
      <c r="CW155" s="99"/>
      <c r="CX155" s="99"/>
      <c r="CY155" s="99"/>
      <c r="CZ155" s="99"/>
      <c r="DA155" s="99"/>
      <c r="DB155" s="99"/>
      <c r="DC155" s="99"/>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99"/>
      <c r="EE155" s="99"/>
      <c r="EF155" s="99"/>
      <c r="EG155" s="99"/>
      <c r="EH155" s="99"/>
      <c r="EI155" s="99"/>
      <c r="EJ155" s="99"/>
      <c r="EK155" s="99"/>
      <c r="EL155" s="99"/>
      <c r="EM155" s="99"/>
      <c r="EN155" s="99"/>
      <c r="EO155" s="99"/>
      <c r="EP155" s="99"/>
      <c r="EQ155" s="99"/>
      <c r="ER155" s="99"/>
      <c r="ES155" s="99"/>
      <c r="ET155" s="99"/>
      <c r="EU155" s="99"/>
      <c r="EV155" s="99"/>
      <c r="EW155" s="99"/>
      <c r="EX155" s="99"/>
      <c r="EY155" s="99"/>
      <c r="EZ155" s="99"/>
      <c r="FA155" s="99"/>
      <c r="FB155" s="99"/>
      <c r="FC155" s="99"/>
      <c r="FD155" s="99"/>
      <c r="FE155" s="99"/>
      <c r="FF155" s="99"/>
      <c r="FG155" s="99"/>
      <c r="FH155" s="99"/>
      <c r="FI155" s="99"/>
      <c r="FJ155" s="99"/>
      <c r="FK155" s="99"/>
    </row>
    <row r="156" spans="3:167" x14ac:dyDescent="0.25">
      <c r="C156" s="10"/>
      <c r="D156" s="10"/>
      <c r="E156" s="11"/>
      <c r="F156" s="15"/>
      <c r="J156" s="99">
        <v>153</v>
      </c>
      <c r="K156" s="16"/>
      <c r="L156" s="16"/>
      <c r="M156" s="16"/>
      <c r="N156" s="16"/>
      <c r="O156" s="16"/>
      <c r="P156" s="16"/>
      <c r="Q156" s="16"/>
      <c r="R156" s="16"/>
      <c r="S156" s="16"/>
      <c r="T156" s="16"/>
      <c r="U156" s="14">
        <f>SUM(K156:T156)</f>
        <v>0</v>
      </c>
      <c r="V156" s="14"/>
      <c r="X156" s="75" t="str" cm="1">
        <f t="array" ref="X156">MID(";"&amp;'CASE DATA'!$F156&amp;";",SMALL(IF(ISERROR(SEARCH(MID(";"&amp;'CASE DATA'!$F156&amp;";",ROW($1:$99),1),";")),"",ROW($1:$99)+1),COLUMN(A156)),SMALL(IF(ISERROR(SEARCH(MID(";"&amp;'CASE DATA'!$F156&amp;";",ROW($1:$99),1),";")),"",ROW($1:$99)),COLUMN(A155)+1)-SMALL(IF(ISERROR(SEARCH(MID(";"&amp;'CASE DATA'!$F156&amp;";",ROW($1:$99),1),";")),"",ROW($1:$99)),COLUMN(A155))-1)</f>
        <v/>
      </c>
      <c r="Y156" s="75" t="str" cm="1">
        <f t="array" ref="Y156">MID(";"&amp;'CASE DATA'!$F156&amp;";",SMALL(IF(ISERROR(SEARCH(MID(";"&amp;'CASE DATA'!$F156&amp;";",ROW($1:$99),1),";")),"",ROW($1:$99)+1),COLUMN(B156)),SMALL(IF(ISERROR(SEARCH(MID(";"&amp;'CASE DATA'!$F156&amp;";",ROW($1:$99),1),";")),"",ROW($1:$99)),COLUMN(B155)+1)-SMALL(IF(ISERROR(SEARCH(MID(";"&amp;'CASE DATA'!$F156&amp;";",ROW($1:$99),1),";")),"",ROW($1:$99)),COLUMN(B155))-1)</f>
        <v/>
      </c>
      <c r="Z156" s="75" t="str" cm="1">
        <f t="array" ref="Z156">MID(";"&amp;'CASE DATA'!$F156&amp;";",SMALL(IF(ISERROR(SEARCH(MID(";"&amp;'CASE DATA'!$F156&amp;";",ROW($1:$99),1),";")),"",ROW($1:$99)+1),COLUMN(C156)),SMALL(IF(ISERROR(SEARCH(MID(";"&amp;'CASE DATA'!$F156&amp;";",ROW($1:$99),1),";")),"",ROW($1:$99)),COLUMN(C155)+1)-SMALL(IF(ISERROR(SEARCH(MID(";"&amp;'CASE DATA'!$F156&amp;";",ROW($1:$99),1),";")),"",ROW($1:$99)),COLUMN(C155))-1)</f>
        <v/>
      </c>
      <c r="AA156" s="75" t="str" cm="1">
        <f t="array" ref="AA156">MID(";"&amp;'CASE DATA'!$F156&amp;";",SMALL(IF(ISERROR(SEARCH(MID(";"&amp;'CASE DATA'!$F156&amp;";",ROW($1:$99),1),";")),"",ROW($1:$99)+1),COLUMN(D156)),SMALL(IF(ISERROR(SEARCH(MID(";"&amp;'CASE DATA'!$F156&amp;";",ROW($1:$99),1),";")),"",ROW($1:$99)),COLUMN(D155)+1)-SMALL(IF(ISERROR(SEARCH(MID(";"&amp;'CASE DATA'!$F156&amp;";",ROW($1:$99),1),";")),"",ROW($1:$99)),COLUMN(D155))-1)</f>
        <v/>
      </c>
      <c r="AB156" s="75" t="str" cm="1">
        <f t="array" ref="AB156">MID(";"&amp;'CASE DATA'!$F156&amp;";",SMALL(IF(ISERROR(SEARCH(MID(";"&amp;'CASE DATA'!$F156&amp;";",ROW($1:$99),1),";")),"",ROW($1:$99)+1),COLUMN(E156)),SMALL(IF(ISERROR(SEARCH(MID(";"&amp;'CASE DATA'!$F156&amp;";",ROW($1:$99),1),";")),"",ROW($1:$99)),COLUMN(E155)+1)-SMALL(IF(ISERROR(SEARCH(MID(";"&amp;'CASE DATA'!$F156&amp;";",ROW($1:$99),1),";")),"",ROW($1:$99)),COLUMN(E155))-1)</f>
        <v/>
      </c>
      <c r="AC156" s="75" t="str" cm="1">
        <f t="array" ref="AC156">MID(";"&amp;'CASE DATA'!$F156&amp;";",SMALL(IF(ISERROR(SEARCH(MID(";"&amp;'CASE DATA'!$F156&amp;";",ROW($1:$99),1),";")),"",ROW($1:$99)+1),COLUMN(F156)),SMALL(IF(ISERROR(SEARCH(MID(";"&amp;'CASE DATA'!$F156&amp;";",ROW($1:$99),1),";")),"",ROW($1:$99)),COLUMN(F155)+1)-SMALL(IF(ISERROR(SEARCH(MID(";"&amp;'CASE DATA'!$F156&amp;";",ROW($1:$99),1),";")),"",ROW($1:$99)),COLUMN(F155))-1)</f>
        <v/>
      </c>
      <c r="AD156" s="75" t="str" cm="1">
        <f t="array" ref="AD156">MID(";"&amp;'CASE DATA'!$F156&amp;";",SMALL(IF(ISERROR(SEARCH(MID(";"&amp;'CASE DATA'!$F156&amp;";",ROW($1:$99),1),";")),"",ROW($1:$99)+1),COLUMN(G156)),SMALL(IF(ISERROR(SEARCH(MID(";"&amp;'CASE DATA'!$F156&amp;";",ROW($1:$99),1),";")),"",ROW($1:$99)),COLUMN(G155)+1)-SMALL(IF(ISERROR(SEARCH(MID(";"&amp;'CASE DATA'!$F156&amp;";",ROW($1:$99),1),";")),"",ROW($1:$99)),COLUMN(G155))-1)</f>
        <v/>
      </c>
      <c r="AE156" s="75" t="str" cm="1">
        <f t="array" ref="AE156">MID(";"&amp;'CASE DATA'!$F156&amp;";",SMALL(IF(ISERROR(SEARCH(MID(";"&amp;'CASE DATA'!$F156&amp;";",ROW($1:$99),1),";")),"",ROW($1:$99)+1),COLUMN(H156)),SMALL(IF(ISERROR(SEARCH(MID(";"&amp;'CASE DATA'!$F156&amp;";",ROW($1:$99),1),";")),"",ROW($1:$99)),COLUMN(H155)+1)-SMALL(IF(ISERROR(SEARCH(MID(";"&amp;'CASE DATA'!$F156&amp;";",ROW($1:$99),1),";")),"",ROW($1:$99)),COLUMN(H155))-1)</f>
        <v/>
      </c>
      <c r="AF156" s="75" t="str" cm="1">
        <f t="array" ref="AF156">MID(";"&amp;'CASE DATA'!$F156&amp;";",SMALL(IF(ISERROR(SEARCH(MID(";"&amp;'CASE DATA'!$F156&amp;";",ROW($1:$99),1),";")),"",ROW($1:$99)+1),COLUMN(I156)),SMALL(IF(ISERROR(SEARCH(MID(";"&amp;'CASE DATA'!$F156&amp;";",ROW($1:$99),1),";")),"",ROW($1:$99)),COLUMN(I155)+1)-SMALL(IF(ISERROR(SEARCH(MID(";"&amp;'CASE DATA'!$F156&amp;";",ROW($1:$99),1),";")),"",ROW($1:$99)),COLUMN(I155))-1)</f>
        <v/>
      </c>
      <c r="AG156" s="75" t="str" cm="1">
        <f t="array" ref="AG156">MID(";"&amp;'CASE DATA'!$F156&amp;";",SMALL(IF(ISERROR(SEARCH(MID(";"&amp;'CASE DATA'!$F156&amp;";",ROW($1:$99),1),";")),"",ROW($1:$99)+1),COLUMN(K156)),SMALL(IF(ISERROR(SEARCH(MID(";"&amp;'CASE DATA'!$F156&amp;";",ROW($1:$99),1),";")),"",ROW($1:$99)),COLUMN(K155)+1)-SMALL(IF(ISERROR(SEARCH(MID(";"&amp;'CASE DATA'!$F156&amp;";",ROW($1:$99),1),";")),"",ROW($1:$99)),COLUMN(K155))-1)</f>
        <v/>
      </c>
      <c r="AH156" s="75" t="str" cm="1">
        <f t="array" ref="AH156">MID(";"&amp;'CASE DATA'!$F156&amp;";",SMALL(IF(ISERROR(SEARCH(MID(";"&amp;'CASE DATA'!$F156&amp;";",ROW($1:$99),1),";")),"",ROW($1:$99)+1),COLUMN(L156)),SMALL(IF(ISERROR(SEARCH(MID(";"&amp;'CASE DATA'!$F156&amp;";",ROW($1:$99),1),";")),"",ROW($1:$99)),COLUMN(L155)+1)-SMALL(IF(ISERROR(SEARCH(MID(";"&amp;'CASE DATA'!$F156&amp;";",ROW($1:$99),1),";")),"",ROW($1:$99)),COLUMN(L155))-1)</f>
        <v/>
      </c>
      <c r="AI156" s="75" t="str" cm="1">
        <f t="array" ref="AI156">MID(";"&amp;'CASE DATA'!$F156&amp;";",SMALL(IF(ISERROR(SEARCH(MID(";"&amp;'CASE DATA'!$F156&amp;";",ROW($1:$99),1),";")),"",ROW($1:$99)+1),COLUMN(M156)),SMALL(IF(ISERROR(SEARCH(MID(";"&amp;'CASE DATA'!$F156&amp;";",ROW($1:$99),1),";")),"",ROW($1:$99)),COLUMN(M155)+1)-SMALL(IF(ISERROR(SEARCH(MID(";"&amp;'CASE DATA'!$F156&amp;";",ROW($1:$99),1),";")),"",ROW($1:$99)),COLUMN(M155))-1)</f>
        <v/>
      </c>
      <c r="BO156" s="99"/>
      <c r="BP156" s="99"/>
      <c r="BQ156" s="99"/>
      <c r="BR156" s="99"/>
      <c r="BS156" s="99"/>
      <c r="BT156" s="99"/>
      <c r="BU156" s="99"/>
      <c r="BV156" s="99"/>
      <c r="BW156" s="99"/>
      <c r="BX156" s="99"/>
      <c r="BY156" s="99"/>
      <c r="BZ156" s="99"/>
      <c r="CA156" s="99"/>
      <c r="CB156" s="99"/>
      <c r="CC156" s="99"/>
      <c r="CD156" s="99"/>
      <c r="CE156" s="99"/>
      <c r="CF156" s="99"/>
      <c r="CG156" s="99"/>
      <c r="CH156" s="99"/>
      <c r="CI156" s="99"/>
      <c r="CJ156" s="99"/>
      <c r="CK156" s="99"/>
      <c r="CL156" s="99"/>
      <c r="CM156" s="99"/>
      <c r="CN156" s="99"/>
      <c r="CO156" s="99"/>
      <c r="CP156" s="99"/>
      <c r="CQ156" s="99"/>
      <c r="CR156" s="99"/>
      <c r="CS156" s="99"/>
      <c r="CT156" s="99"/>
      <c r="CU156" s="99"/>
      <c r="CV156" s="99"/>
      <c r="CW156" s="99"/>
      <c r="CX156" s="99"/>
      <c r="CY156" s="99"/>
      <c r="CZ156" s="99"/>
      <c r="DA156" s="99"/>
      <c r="DB156" s="99"/>
      <c r="DC156" s="99"/>
      <c r="DD156" s="99"/>
      <c r="DE156" s="99"/>
      <c r="DF156" s="99"/>
      <c r="DG156" s="99"/>
      <c r="DH156" s="99"/>
      <c r="DI156" s="99"/>
      <c r="DJ156" s="99"/>
      <c r="DK156" s="99"/>
      <c r="DL156" s="99"/>
      <c r="DM156" s="99"/>
      <c r="DN156" s="99"/>
      <c r="DO156" s="99"/>
      <c r="DP156" s="99"/>
      <c r="DQ156" s="99"/>
      <c r="DR156" s="99"/>
      <c r="DS156" s="99"/>
      <c r="DT156" s="99"/>
      <c r="DU156" s="99"/>
      <c r="DV156" s="99"/>
      <c r="DW156" s="99"/>
      <c r="DX156" s="99"/>
      <c r="DY156" s="99"/>
      <c r="DZ156" s="99"/>
      <c r="EA156" s="99"/>
      <c r="EB156" s="99"/>
      <c r="EC156" s="99"/>
      <c r="ED156" s="99"/>
      <c r="EE156" s="99"/>
      <c r="EF156" s="99"/>
      <c r="EG156" s="99"/>
      <c r="EH156" s="99"/>
      <c r="EI156" s="99"/>
      <c r="EJ156" s="99"/>
      <c r="EK156" s="99"/>
      <c r="EL156" s="99"/>
      <c r="EM156" s="99"/>
      <c r="EN156" s="99"/>
      <c r="EO156" s="99"/>
      <c r="EP156" s="99"/>
      <c r="EQ156" s="99"/>
      <c r="ER156" s="99"/>
      <c r="ES156" s="99"/>
      <c r="ET156" s="99"/>
      <c r="EU156" s="99"/>
      <c r="EV156" s="99"/>
      <c r="EW156" s="99"/>
      <c r="EX156" s="99"/>
      <c r="EY156" s="99"/>
      <c r="EZ156" s="99"/>
      <c r="FA156" s="99"/>
      <c r="FB156" s="99"/>
      <c r="FC156" s="99"/>
      <c r="FD156" s="99"/>
      <c r="FE156" s="99"/>
      <c r="FF156" s="99"/>
      <c r="FG156" s="99"/>
      <c r="FH156" s="99"/>
      <c r="FI156" s="99"/>
      <c r="FJ156" s="99"/>
      <c r="FK156" s="99"/>
    </row>
    <row r="157" spans="3:167" x14ac:dyDescent="0.25">
      <c r="C157" s="10"/>
      <c r="D157" s="10"/>
      <c r="E157" s="11"/>
      <c r="F157" s="15"/>
      <c r="J157" s="99">
        <v>154</v>
      </c>
      <c r="K157" s="16"/>
      <c r="L157" s="16"/>
      <c r="M157" s="16"/>
      <c r="N157" s="16"/>
      <c r="O157" s="16"/>
      <c r="P157" s="16"/>
      <c r="Q157" s="16"/>
      <c r="R157" s="16"/>
      <c r="S157" s="16"/>
      <c r="T157" s="16"/>
      <c r="U157" s="14">
        <f>SUM(K157:T157)</f>
        <v>0</v>
      </c>
      <c r="V157" s="14"/>
      <c r="X157" s="75" t="str" cm="1">
        <f t="array" ref="X157">MID(";"&amp;'CASE DATA'!$F157&amp;";",SMALL(IF(ISERROR(SEARCH(MID(";"&amp;'CASE DATA'!$F157&amp;";",ROW($1:$99),1),";")),"",ROW($1:$99)+1),COLUMN(A157)),SMALL(IF(ISERROR(SEARCH(MID(";"&amp;'CASE DATA'!$F157&amp;";",ROW($1:$99),1),";")),"",ROW($1:$99)),COLUMN(A156)+1)-SMALL(IF(ISERROR(SEARCH(MID(";"&amp;'CASE DATA'!$F157&amp;";",ROW($1:$99),1),";")),"",ROW($1:$99)),COLUMN(A156))-1)</f>
        <v/>
      </c>
      <c r="Y157" s="75" t="str" cm="1">
        <f t="array" ref="Y157">MID(";"&amp;'CASE DATA'!$F157&amp;";",SMALL(IF(ISERROR(SEARCH(MID(";"&amp;'CASE DATA'!$F157&amp;";",ROW($1:$99),1),";")),"",ROW($1:$99)+1),COLUMN(B157)),SMALL(IF(ISERROR(SEARCH(MID(";"&amp;'CASE DATA'!$F157&amp;";",ROW($1:$99),1),";")),"",ROW($1:$99)),COLUMN(B156)+1)-SMALL(IF(ISERROR(SEARCH(MID(";"&amp;'CASE DATA'!$F157&amp;";",ROW($1:$99),1),";")),"",ROW($1:$99)),COLUMN(B156))-1)</f>
        <v/>
      </c>
      <c r="Z157" s="75" t="str" cm="1">
        <f t="array" ref="Z157">MID(";"&amp;'CASE DATA'!$F157&amp;";",SMALL(IF(ISERROR(SEARCH(MID(";"&amp;'CASE DATA'!$F157&amp;";",ROW($1:$99),1),";")),"",ROW($1:$99)+1),COLUMN(C157)),SMALL(IF(ISERROR(SEARCH(MID(";"&amp;'CASE DATA'!$F157&amp;";",ROW($1:$99),1),";")),"",ROW($1:$99)),COLUMN(C156)+1)-SMALL(IF(ISERROR(SEARCH(MID(";"&amp;'CASE DATA'!$F157&amp;";",ROW($1:$99),1),";")),"",ROW($1:$99)),COLUMN(C156))-1)</f>
        <v/>
      </c>
      <c r="AA157" s="75" t="str" cm="1">
        <f t="array" ref="AA157">MID(";"&amp;'CASE DATA'!$F157&amp;";",SMALL(IF(ISERROR(SEARCH(MID(";"&amp;'CASE DATA'!$F157&amp;";",ROW($1:$99),1),";")),"",ROW($1:$99)+1),COLUMN(D157)),SMALL(IF(ISERROR(SEARCH(MID(";"&amp;'CASE DATA'!$F157&amp;";",ROW($1:$99),1),";")),"",ROW($1:$99)),COLUMN(D156)+1)-SMALL(IF(ISERROR(SEARCH(MID(";"&amp;'CASE DATA'!$F157&amp;";",ROW($1:$99),1),";")),"",ROW($1:$99)),COLUMN(D156))-1)</f>
        <v/>
      </c>
      <c r="AB157" s="75" t="str" cm="1">
        <f t="array" ref="AB157">MID(";"&amp;'CASE DATA'!$F157&amp;";",SMALL(IF(ISERROR(SEARCH(MID(";"&amp;'CASE DATA'!$F157&amp;";",ROW($1:$99),1),";")),"",ROW($1:$99)+1),COLUMN(E157)),SMALL(IF(ISERROR(SEARCH(MID(";"&amp;'CASE DATA'!$F157&amp;";",ROW($1:$99),1),";")),"",ROW($1:$99)),COLUMN(E156)+1)-SMALL(IF(ISERROR(SEARCH(MID(";"&amp;'CASE DATA'!$F157&amp;";",ROW($1:$99),1),";")),"",ROW($1:$99)),COLUMN(E156))-1)</f>
        <v/>
      </c>
      <c r="AC157" s="75" t="str" cm="1">
        <f t="array" ref="AC157">MID(";"&amp;'CASE DATA'!$F157&amp;";",SMALL(IF(ISERROR(SEARCH(MID(";"&amp;'CASE DATA'!$F157&amp;";",ROW($1:$99),1),";")),"",ROW($1:$99)+1),COLUMN(F157)),SMALL(IF(ISERROR(SEARCH(MID(";"&amp;'CASE DATA'!$F157&amp;";",ROW($1:$99),1),";")),"",ROW($1:$99)),COLUMN(F156)+1)-SMALL(IF(ISERROR(SEARCH(MID(";"&amp;'CASE DATA'!$F157&amp;";",ROW($1:$99),1),";")),"",ROW($1:$99)),COLUMN(F156))-1)</f>
        <v/>
      </c>
      <c r="AD157" s="75" t="str" cm="1">
        <f t="array" ref="AD157">MID(";"&amp;'CASE DATA'!$F157&amp;";",SMALL(IF(ISERROR(SEARCH(MID(";"&amp;'CASE DATA'!$F157&amp;";",ROW($1:$99),1),";")),"",ROW($1:$99)+1),COLUMN(G157)),SMALL(IF(ISERROR(SEARCH(MID(";"&amp;'CASE DATA'!$F157&amp;";",ROW($1:$99),1),";")),"",ROW($1:$99)),COLUMN(G156)+1)-SMALL(IF(ISERROR(SEARCH(MID(";"&amp;'CASE DATA'!$F157&amp;";",ROW($1:$99),1),";")),"",ROW($1:$99)),COLUMN(G156))-1)</f>
        <v/>
      </c>
      <c r="AE157" s="75" t="str" cm="1">
        <f t="array" ref="AE157">MID(";"&amp;'CASE DATA'!$F157&amp;";",SMALL(IF(ISERROR(SEARCH(MID(";"&amp;'CASE DATA'!$F157&amp;";",ROW($1:$99),1),";")),"",ROW($1:$99)+1),COLUMN(H157)),SMALL(IF(ISERROR(SEARCH(MID(";"&amp;'CASE DATA'!$F157&amp;";",ROW($1:$99),1),";")),"",ROW($1:$99)),COLUMN(H156)+1)-SMALL(IF(ISERROR(SEARCH(MID(";"&amp;'CASE DATA'!$F157&amp;";",ROW($1:$99),1),";")),"",ROW($1:$99)),COLUMN(H156))-1)</f>
        <v/>
      </c>
      <c r="AF157" s="75" t="str" cm="1">
        <f t="array" ref="AF157">MID(";"&amp;'CASE DATA'!$F157&amp;";",SMALL(IF(ISERROR(SEARCH(MID(";"&amp;'CASE DATA'!$F157&amp;";",ROW($1:$99),1),";")),"",ROW($1:$99)+1),COLUMN(I157)),SMALL(IF(ISERROR(SEARCH(MID(";"&amp;'CASE DATA'!$F157&amp;";",ROW($1:$99),1),";")),"",ROW($1:$99)),COLUMN(I156)+1)-SMALL(IF(ISERROR(SEARCH(MID(";"&amp;'CASE DATA'!$F157&amp;";",ROW($1:$99),1),";")),"",ROW($1:$99)),COLUMN(I156))-1)</f>
        <v/>
      </c>
      <c r="AG157" s="75" t="str" cm="1">
        <f t="array" ref="AG157">MID(";"&amp;'CASE DATA'!$F157&amp;";",SMALL(IF(ISERROR(SEARCH(MID(";"&amp;'CASE DATA'!$F157&amp;";",ROW($1:$99),1),";")),"",ROW($1:$99)+1),COLUMN(K157)),SMALL(IF(ISERROR(SEARCH(MID(";"&amp;'CASE DATA'!$F157&amp;";",ROW($1:$99),1),";")),"",ROW($1:$99)),COLUMN(K156)+1)-SMALL(IF(ISERROR(SEARCH(MID(";"&amp;'CASE DATA'!$F157&amp;";",ROW($1:$99),1),";")),"",ROW($1:$99)),COLUMN(K156))-1)</f>
        <v/>
      </c>
      <c r="AH157" s="75" t="str" cm="1">
        <f t="array" ref="AH157">MID(";"&amp;'CASE DATA'!$F157&amp;";",SMALL(IF(ISERROR(SEARCH(MID(";"&amp;'CASE DATA'!$F157&amp;";",ROW($1:$99),1),";")),"",ROW($1:$99)+1),COLUMN(L157)),SMALL(IF(ISERROR(SEARCH(MID(";"&amp;'CASE DATA'!$F157&amp;";",ROW($1:$99),1),";")),"",ROW($1:$99)),COLUMN(L156)+1)-SMALL(IF(ISERROR(SEARCH(MID(";"&amp;'CASE DATA'!$F157&amp;";",ROW($1:$99),1),";")),"",ROW($1:$99)),COLUMN(L156))-1)</f>
        <v/>
      </c>
      <c r="AI157" s="75" t="str" cm="1">
        <f t="array" ref="AI157">MID(";"&amp;'CASE DATA'!$F157&amp;";",SMALL(IF(ISERROR(SEARCH(MID(";"&amp;'CASE DATA'!$F157&amp;";",ROW($1:$99),1),";")),"",ROW($1:$99)+1),COLUMN(M157)),SMALL(IF(ISERROR(SEARCH(MID(";"&amp;'CASE DATA'!$F157&amp;";",ROW($1:$99),1),";")),"",ROW($1:$99)),COLUMN(M156)+1)-SMALL(IF(ISERROR(SEARCH(MID(";"&amp;'CASE DATA'!$F157&amp;";",ROW($1:$99),1),";")),"",ROW($1:$99)),COLUMN(M156))-1)</f>
        <v/>
      </c>
      <c r="BO157" s="99"/>
      <c r="BP157" s="99"/>
      <c r="BQ157" s="99"/>
      <c r="BR157" s="99"/>
      <c r="BS157" s="99"/>
      <c r="BT157" s="99"/>
      <c r="BU157" s="99"/>
      <c r="BV157" s="99"/>
      <c r="BW157" s="99"/>
      <c r="BX157" s="99"/>
      <c r="BY157" s="99"/>
      <c r="BZ157" s="99"/>
      <c r="CA157" s="99"/>
      <c r="CB157" s="99"/>
      <c r="CC157" s="99"/>
      <c r="CD157" s="99"/>
      <c r="CE157" s="99"/>
      <c r="CF157" s="99"/>
      <c r="CG157" s="99"/>
      <c r="CH157" s="99"/>
      <c r="CI157" s="99"/>
      <c r="CJ157" s="99"/>
      <c r="CK157" s="99"/>
      <c r="CL157" s="99"/>
      <c r="CM157" s="99"/>
      <c r="CN157" s="99"/>
      <c r="CO157" s="99"/>
      <c r="CP157" s="99"/>
      <c r="CQ157" s="99"/>
      <c r="CR157" s="99"/>
      <c r="CS157" s="99"/>
      <c r="CT157" s="99"/>
      <c r="CU157" s="99"/>
      <c r="CV157" s="99"/>
      <c r="CW157" s="99"/>
      <c r="CX157" s="99"/>
      <c r="CY157" s="99"/>
      <c r="CZ157" s="99"/>
      <c r="DA157" s="99"/>
      <c r="DB157" s="99"/>
      <c r="DC157" s="99"/>
      <c r="DD157" s="99"/>
      <c r="DE157" s="99"/>
      <c r="DF157" s="99"/>
      <c r="DG157" s="99"/>
      <c r="DH157" s="99"/>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99"/>
      <c r="EE157" s="99"/>
      <c r="EF157" s="99"/>
      <c r="EG157" s="99"/>
      <c r="EH157" s="99"/>
      <c r="EI157" s="99"/>
      <c r="EJ157" s="99"/>
      <c r="EK157" s="99"/>
      <c r="EL157" s="99"/>
      <c r="EM157" s="99"/>
      <c r="EN157" s="99"/>
      <c r="EO157" s="99"/>
      <c r="EP157" s="99"/>
      <c r="EQ157" s="99"/>
      <c r="ER157" s="99"/>
      <c r="ES157" s="99"/>
      <c r="ET157" s="99"/>
      <c r="EU157" s="99"/>
      <c r="EV157" s="99"/>
      <c r="EW157" s="99"/>
      <c r="EX157" s="99"/>
      <c r="EY157" s="99"/>
      <c r="EZ157" s="99"/>
      <c r="FA157" s="99"/>
      <c r="FB157" s="99"/>
      <c r="FC157" s="99"/>
      <c r="FD157" s="99"/>
      <c r="FE157" s="99"/>
      <c r="FF157" s="99"/>
      <c r="FG157" s="99"/>
      <c r="FH157" s="99"/>
      <c r="FI157" s="99"/>
      <c r="FJ157" s="99"/>
      <c r="FK157" s="99"/>
    </row>
    <row r="158" spans="3:167" x14ac:dyDescent="0.25">
      <c r="C158" s="10"/>
      <c r="D158" s="10"/>
      <c r="E158" s="11"/>
      <c r="F158" s="15"/>
      <c r="J158" s="99">
        <v>155</v>
      </c>
      <c r="K158" s="16"/>
      <c r="L158" s="16"/>
      <c r="M158" s="16"/>
      <c r="N158" s="16"/>
      <c r="O158" s="16"/>
      <c r="P158" s="16"/>
      <c r="Q158" s="16"/>
      <c r="R158" s="16"/>
      <c r="S158" s="16"/>
      <c r="T158" s="16"/>
      <c r="U158" s="14">
        <f>SUM(K158:T158)</f>
        <v>0</v>
      </c>
      <c r="V158" s="14"/>
      <c r="X158" s="75" t="str" cm="1">
        <f t="array" ref="X158">MID(";"&amp;'CASE DATA'!$F158&amp;";",SMALL(IF(ISERROR(SEARCH(MID(";"&amp;'CASE DATA'!$F158&amp;";",ROW($1:$99),1),";")),"",ROW($1:$99)+1),COLUMN(A158)),SMALL(IF(ISERROR(SEARCH(MID(";"&amp;'CASE DATA'!$F158&amp;";",ROW($1:$99),1),";")),"",ROW($1:$99)),COLUMN(A157)+1)-SMALL(IF(ISERROR(SEARCH(MID(";"&amp;'CASE DATA'!$F158&amp;";",ROW($1:$99),1),";")),"",ROW($1:$99)),COLUMN(A157))-1)</f>
        <v/>
      </c>
      <c r="Y158" s="75" t="str" cm="1">
        <f t="array" ref="Y158">MID(";"&amp;'CASE DATA'!$F158&amp;";",SMALL(IF(ISERROR(SEARCH(MID(";"&amp;'CASE DATA'!$F158&amp;";",ROW($1:$99),1),";")),"",ROW($1:$99)+1),COLUMN(B158)),SMALL(IF(ISERROR(SEARCH(MID(";"&amp;'CASE DATA'!$F158&amp;";",ROW($1:$99),1),";")),"",ROW($1:$99)),COLUMN(B157)+1)-SMALL(IF(ISERROR(SEARCH(MID(";"&amp;'CASE DATA'!$F158&amp;";",ROW($1:$99),1),";")),"",ROW($1:$99)),COLUMN(B157))-1)</f>
        <v/>
      </c>
      <c r="Z158" s="75" t="str" cm="1">
        <f t="array" ref="Z158">MID(";"&amp;'CASE DATA'!$F158&amp;";",SMALL(IF(ISERROR(SEARCH(MID(";"&amp;'CASE DATA'!$F158&amp;";",ROW($1:$99),1),";")),"",ROW($1:$99)+1),COLUMN(C158)),SMALL(IF(ISERROR(SEARCH(MID(";"&amp;'CASE DATA'!$F158&amp;";",ROW($1:$99),1),";")),"",ROW($1:$99)),COLUMN(C157)+1)-SMALL(IF(ISERROR(SEARCH(MID(";"&amp;'CASE DATA'!$F158&amp;";",ROW($1:$99),1),";")),"",ROW($1:$99)),COLUMN(C157))-1)</f>
        <v/>
      </c>
      <c r="AA158" s="75" t="str" cm="1">
        <f t="array" ref="AA158">MID(";"&amp;'CASE DATA'!$F158&amp;";",SMALL(IF(ISERROR(SEARCH(MID(";"&amp;'CASE DATA'!$F158&amp;";",ROW($1:$99),1),";")),"",ROW($1:$99)+1),COLUMN(D158)),SMALL(IF(ISERROR(SEARCH(MID(";"&amp;'CASE DATA'!$F158&amp;";",ROW($1:$99),1),";")),"",ROW($1:$99)),COLUMN(D157)+1)-SMALL(IF(ISERROR(SEARCH(MID(";"&amp;'CASE DATA'!$F158&amp;";",ROW($1:$99),1),";")),"",ROW($1:$99)),COLUMN(D157))-1)</f>
        <v/>
      </c>
      <c r="AB158" s="75" t="str" cm="1">
        <f t="array" ref="AB158">MID(";"&amp;'CASE DATA'!$F158&amp;";",SMALL(IF(ISERROR(SEARCH(MID(";"&amp;'CASE DATA'!$F158&amp;";",ROW($1:$99),1),";")),"",ROW($1:$99)+1),COLUMN(E158)),SMALL(IF(ISERROR(SEARCH(MID(";"&amp;'CASE DATA'!$F158&amp;";",ROW($1:$99),1),";")),"",ROW($1:$99)),COLUMN(E157)+1)-SMALL(IF(ISERROR(SEARCH(MID(";"&amp;'CASE DATA'!$F158&amp;";",ROW($1:$99),1),";")),"",ROW($1:$99)),COLUMN(E157))-1)</f>
        <v/>
      </c>
      <c r="AC158" s="75" t="str" cm="1">
        <f t="array" ref="AC158">MID(";"&amp;'CASE DATA'!$F158&amp;";",SMALL(IF(ISERROR(SEARCH(MID(";"&amp;'CASE DATA'!$F158&amp;";",ROW($1:$99),1),";")),"",ROW($1:$99)+1),COLUMN(F158)),SMALL(IF(ISERROR(SEARCH(MID(";"&amp;'CASE DATA'!$F158&amp;";",ROW($1:$99),1),";")),"",ROW($1:$99)),COLUMN(F157)+1)-SMALL(IF(ISERROR(SEARCH(MID(";"&amp;'CASE DATA'!$F158&amp;";",ROW($1:$99),1),";")),"",ROW($1:$99)),COLUMN(F157))-1)</f>
        <v/>
      </c>
      <c r="AD158" s="75" t="str" cm="1">
        <f t="array" ref="AD158">MID(";"&amp;'CASE DATA'!$F158&amp;";",SMALL(IF(ISERROR(SEARCH(MID(";"&amp;'CASE DATA'!$F158&amp;";",ROW($1:$99),1),";")),"",ROW($1:$99)+1),COLUMN(G158)),SMALL(IF(ISERROR(SEARCH(MID(";"&amp;'CASE DATA'!$F158&amp;";",ROW($1:$99),1),";")),"",ROW($1:$99)),COLUMN(G157)+1)-SMALL(IF(ISERROR(SEARCH(MID(";"&amp;'CASE DATA'!$F158&amp;";",ROW($1:$99),1),";")),"",ROW($1:$99)),COLUMN(G157))-1)</f>
        <v/>
      </c>
      <c r="AE158" s="75" t="str" cm="1">
        <f t="array" ref="AE158">MID(";"&amp;'CASE DATA'!$F158&amp;";",SMALL(IF(ISERROR(SEARCH(MID(";"&amp;'CASE DATA'!$F158&amp;";",ROW($1:$99),1),";")),"",ROW($1:$99)+1),COLUMN(H158)),SMALL(IF(ISERROR(SEARCH(MID(";"&amp;'CASE DATA'!$F158&amp;";",ROW($1:$99),1),";")),"",ROW($1:$99)),COLUMN(H157)+1)-SMALL(IF(ISERROR(SEARCH(MID(";"&amp;'CASE DATA'!$F158&amp;";",ROW($1:$99),1),";")),"",ROW($1:$99)),COLUMN(H157))-1)</f>
        <v/>
      </c>
      <c r="AF158" s="75" t="str" cm="1">
        <f t="array" ref="AF158">MID(";"&amp;'CASE DATA'!$F158&amp;";",SMALL(IF(ISERROR(SEARCH(MID(";"&amp;'CASE DATA'!$F158&amp;";",ROW($1:$99),1),";")),"",ROW($1:$99)+1),COLUMN(I158)),SMALL(IF(ISERROR(SEARCH(MID(";"&amp;'CASE DATA'!$F158&amp;";",ROW($1:$99),1),";")),"",ROW($1:$99)),COLUMN(I157)+1)-SMALL(IF(ISERROR(SEARCH(MID(";"&amp;'CASE DATA'!$F158&amp;";",ROW($1:$99),1),";")),"",ROW($1:$99)),COLUMN(I157))-1)</f>
        <v/>
      </c>
      <c r="AG158" s="75" t="str" cm="1">
        <f t="array" ref="AG158">MID(";"&amp;'CASE DATA'!$F158&amp;";",SMALL(IF(ISERROR(SEARCH(MID(";"&amp;'CASE DATA'!$F158&amp;";",ROW($1:$99),1),";")),"",ROW($1:$99)+1),COLUMN(K158)),SMALL(IF(ISERROR(SEARCH(MID(";"&amp;'CASE DATA'!$F158&amp;";",ROW($1:$99),1),";")),"",ROW($1:$99)),COLUMN(K157)+1)-SMALL(IF(ISERROR(SEARCH(MID(";"&amp;'CASE DATA'!$F158&amp;";",ROW($1:$99),1),";")),"",ROW($1:$99)),COLUMN(K157))-1)</f>
        <v/>
      </c>
      <c r="AH158" s="75" t="str" cm="1">
        <f t="array" ref="AH158">MID(";"&amp;'CASE DATA'!$F158&amp;";",SMALL(IF(ISERROR(SEARCH(MID(";"&amp;'CASE DATA'!$F158&amp;";",ROW($1:$99),1),";")),"",ROW($1:$99)+1),COLUMN(L158)),SMALL(IF(ISERROR(SEARCH(MID(";"&amp;'CASE DATA'!$F158&amp;";",ROW($1:$99),1),";")),"",ROW($1:$99)),COLUMN(L157)+1)-SMALL(IF(ISERROR(SEARCH(MID(";"&amp;'CASE DATA'!$F158&amp;";",ROW($1:$99),1),";")),"",ROW($1:$99)),COLUMN(L157))-1)</f>
        <v/>
      </c>
      <c r="AI158" s="75" t="str" cm="1">
        <f t="array" ref="AI158">MID(";"&amp;'CASE DATA'!$F158&amp;";",SMALL(IF(ISERROR(SEARCH(MID(";"&amp;'CASE DATA'!$F158&amp;";",ROW($1:$99),1),";")),"",ROW($1:$99)+1),COLUMN(M158)),SMALL(IF(ISERROR(SEARCH(MID(";"&amp;'CASE DATA'!$F158&amp;";",ROW($1:$99),1),";")),"",ROW($1:$99)),COLUMN(M157)+1)-SMALL(IF(ISERROR(SEARCH(MID(";"&amp;'CASE DATA'!$F158&amp;";",ROW($1:$99),1),";")),"",ROW($1:$99)),COLUMN(M157))-1)</f>
        <v/>
      </c>
      <c r="BO158" s="99"/>
      <c r="BP158" s="99"/>
      <c r="BQ158" s="99"/>
      <c r="BR158" s="99"/>
      <c r="BS158" s="99"/>
      <c r="BT158" s="99"/>
      <c r="BU158" s="99"/>
      <c r="BV158" s="99"/>
      <c r="BW158" s="99"/>
      <c r="BX158" s="99"/>
      <c r="BY158" s="99"/>
      <c r="BZ158" s="99"/>
      <c r="CA158" s="99"/>
      <c r="CB158" s="99"/>
      <c r="CC158" s="99"/>
      <c r="CD158" s="99"/>
      <c r="CE158" s="99"/>
      <c r="CF158" s="99"/>
      <c r="CG158" s="99"/>
      <c r="CH158" s="99"/>
      <c r="CI158" s="99"/>
      <c r="CJ158" s="99"/>
      <c r="CK158" s="99"/>
      <c r="CL158" s="99"/>
      <c r="CM158" s="99"/>
      <c r="CN158" s="99"/>
      <c r="CO158" s="99"/>
      <c r="CP158" s="99"/>
      <c r="CQ158" s="99"/>
      <c r="CR158" s="99"/>
      <c r="CS158" s="99"/>
      <c r="CT158" s="99"/>
      <c r="CU158" s="99"/>
      <c r="CV158" s="99"/>
      <c r="CW158" s="99"/>
      <c r="CX158" s="99"/>
      <c r="CY158" s="99"/>
      <c r="CZ158" s="99"/>
      <c r="DA158" s="99"/>
      <c r="DB158" s="99"/>
      <c r="DC158" s="99"/>
      <c r="DD158" s="99"/>
      <c r="DE158" s="99"/>
      <c r="DF158" s="99"/>
      <c r="DG158" s="99"/>
      <c r="DH158" s="99"/>
      <c r="DI158" s="99"/>
      <c r="DJ158" s="99"/>
      <c r="DK158" s="99"/>
      <c r="DL158" s="99"/>
      <c r="DM158" s="99"/>
      <c r="DN158" s="99"/>
      <c r="DO158" s="99"/>
      <c r="DP158" s="99"/>
      <c r="DQ158" s="99"/>
      <c r="DR158" s="99"/>
      <c r="DS158" s="99"/>
      <c r="DT158" s="99"/>
      <c r="DU158" s="99"/>
      <c r="DV158" s="99"/>
      <c r="DW158" s="99"/>
      <c r="DX158" s="99"/>
      <c r="DY158" s="99"/>
      <c r="DZ158" s="99"/>
      <c r="EA158" s="99"/>
      <c r="EB158" s="99"/>
      <c r="EC158" s="99"/>
      <c r="ED158" s="99"/>
      <c r="EE158" s="99"/>
      <c r="EF158" s="99"/>
      <c r="EG158" s="99"/>
      <c r="EH158" s="99"/>
      <c r="EI158" s="99"/>
      <c r="EJ158" s="99"/>
      <c r="EK158" s="99"/>
      <c r="EL158" s="99"/>
      <c r="EM158" s="99"/>
      <c r="EN158" s="99"/>
      <c r="EO158" s="99"/>
      <c r="EP158" s="99"/>
      <c r="EQ158" s="99"/>
      <c r="ER158" s="99"/>
      <c r="ES158" s="99"/>
      <c r="ET158" s="99"/>
      <c r="EU158" s="99"/>
      <c r="EV158" s="99"/>
      <c r="EW158" s="99"/>
      <c r="EX158" s="99"/>
      <c r="EY158" s="99"/>
      <c r="EZ158" s="99"/>
      <c r="FA158" s="99"/>
      <c r="FB158" s="99"/>
      <c r="FC158" s="99"/>
      <c r="FD158" s="99"/>
      <c r="FE158" s="99"/>
      <c r="FF158" s="99"/>
      <c r="FG158" s="99"/>
      <c r="FH158" s="99"/>
      <c r="FI158" s="99"/>
      <c r="FJ158" s="99"/>
      <c r="FK158" s="99"/>
    </row>
    <row r="159" spans="3:167" x14ac:dyDescent="0.25">
      <c r="C159" s="10"/>
      <c r="D159" s="10"/>
      <c r="E159" s="11"/>
      <c r="F159" s="15"/>
      <c r="J159" s="99">
        <v>156</v>
      </c>
      <c r="K159" s="16"/>
      <c r="L159" s="16"/>
      <c r="M159" s="16"/>
      <c r="N159" s="16"/>
      <c r="O159" s="16"/>
      <c r="P159" s="16"/>
      <c r="Q159" s="16"/>
      <c r="R159" s="16"/>
      <c r="S159" s="16"/>
      <c r="T159" s="16"/>
      <c r="U159" s="14">
        <f>SUM(K159:T159)</f>
        <v>0</v>
      </c>
      <c r="V159" s="14"/>
      <c r="X159" s="75" t="str" cm="1">
        <f t="array" ref="X159">MID(";"&amp;'CASE DATA'!$F159&amp;";",SMALL(IF(ISERROR(SEARCH(MID(";"&amp;'CASE DATA'!$F159&amp;";",ROW($1:$99),1),";")),"",ROW($1:$99)+1),COLUMN(A159)),SMALL(IF(ISERROR(SEARCH(MID(";"&amp;'CASE DATA'!$F159&amp;";",ROW($1:$99),1),";")),"",ROW($1:$99)),COLUMN(A158)+1)-SMALL(IF(ISERROR(SEARCH(MID(";"&amp;'CASE DATA'!$F159&amp;";",ROW($1:$99),1),";")),"",ROW($1:$99)),COLUMN(A158))-1)</f>
        <v/>
      </c>
      <c r="Y159" s="75" t="str" cm="1">
        <f t="array" ref="Y159">MID(";"&amp;'CASE DATA'!$F159&amp;";",SMALL(IF(ISERROR(SEARCH(MID(";"&amp;'CASE DATA'!$F159&amp;";",ROW($1:$99),1),";")),"",ROW($1:$99)+1),COLUMN(B159)),SMALL(IF(ISERROR(SEARCH(MID(";"&amp;'CASE DATA'!$F159&amp;";",ROW($1:$99),1),";")),"",ROW($1:$99)),COLUMN(B158)+1)-SMALL(IF(ISERROR(SEARCH(MID(";"&amp;'CASE DATA'!$F159&amp;";",ROW($1:$99),1),";")),"",ROW($1:$99)),COLUMN(B158))-1)</f>
        <v/>
      </c>
      <c r="Z159" s="75" t="str" cm="1">
        <f t="array" ref="Z159">MID(";"&amp;'CASE DATA'!$F159&amp;";",SMALL(IF(ISERROR(SEARCH(MID(";"&amp;'CASE DATA'!$F159&amp;";",ROW($1:$99),1),";")),"",ROW($1:$99)+1),COLUMN(C159)),SMALL(IF(ISERROR(SEARCH(MID(";"&amp;'CASE DATA'!$F159&amp;";",ROW($1:$99),1),";")),"",ROW($1:$99)),COLUMN(C158)+1)-SMALL(IF(ISERROR(SEARCH(MID(";"&amp;'CASE DATA'!$F159&amp;";",ROW($1:$99),1),";")),"",ROW($1:$99)),COLUMN(C158))-1)</f>
        <v/>
      </c>
      <c r="AA159" s="75" t="str" cm="1">
        <f t="array" ref="AA159">MID(";"&amp;'CASE DATA'!$F159&amp;";",SMALL(IF(ISERROR(SEARCH(MID(";"&amp;'CASE DATA'!$F159&amp;";",ROW($1:$99),1),";")),"",ROW($1:$99)+1),COLUMN(D159)),SMALL(IF(ISERROR(SEARCH(MID(";"&amp;'CASE DATA'!$F159&amp;";",ROW($1:$99),1),";")),"",ROW($1:$99)),COLUMN(D158)+1)-SMALL(IF(ISERROR(SEARCH(MID(";"&amp;'CASE DATA'!$F159&amp;";",ROW($1:$99),1),";")),"",ROW($1:$99)),COLUMN(D158))-1)</f>
        <v/>
      </c>
      <c r="AB159" s="75" t="str" cm="1">
        <f t="array" ref="AB159">MID(";"&amp;'CASE DATA'!$F159&amp;";",SMALL(IF(ISERROR(SEARCH(MID(";"&amp;'CASE DATA'!$F159&amp;";",ROW($1:$99),1),";")),"",ROW($1:$99)+1),COLUMN(E159)),SMALL(IF(ISERROR(SEARCH(MID(";"&amp;'CASE DATA'!$F159&amp;";",ROW($1:$99),1),";")),"",ROW($1:$99)),COLUMN(E158)+1)-SMALL(IF(ISERROR(SEARCH(MID(";"&amp;'CASE DATA'!$F159&amp;";",ROW($1:$99),1),";")),"",ROW($1:$99)),COLUMN(E158))-1)</f>
        <v/>
      </c>
      <c r="AC159" s="75" t="str" cm="1">
        <f t="array" ref="AC159">MID(";"&amp;'CASE DATA'!$F159&amp;";",SMALL(IF(ISERROR(SEARCH(MID(";"&amp;'CASE DATA'!$F159&amp;";",ROW($1:$99),1),";")),"",ROW($1:$99)+1),COLUMN(F159)),SMALL(IF(ISERROR(SEARCH(MID(";"&amp;'CASE DATA'!$F159&amp;";",ROW($1:$99),1),";")),"",ROW($1:$99)),COLUMN(F158)+1)-SMALL(IF(ISERROR(SEARCH(MID(";"&amp;'CASE DATA'!$F159&amp;";",ROW($1:$99),1),";")),"",ROW($1:$99)),COLUMN(F158))-1)</f>
        <v/>
      </c>
      <c r="AD159" s="75" t="str" cm="1">
        <f t="array" ref="AD159">MID(";"&amp;'CASE DATA'!$F159&amp;";",SMALL(IF(ISERROR(SEARCH(MID(";"&amp;'CASE DATA'!$F159&amp;";",ROW($1:$99),1),";")),"",ROW($1:$99)+1),COLUMN(G159)),SMALL(IF(ISERROR(SEARCH(MID(";"&amp;'CASE DATA'!$F159&amp;";",ROW($1:$99),1),";")),"",ROW($1:$99)),COLUMN(G158)+1)-SMALL(IF(ISERROR(SEARCH(MID(";"&amp;'CASE DATA'!$F159&amp;";",ROW($1:$99),1),";")),"",ROW($1:$99)),COLUMN(G158))-1)</f>
        <v/>
      </c>
      <c r="AE159" s="75" t="str" cm="1">
        <f t="array" ref="AE159">MID(";"&amp;'CASE DATA'!$F159&amp;";",SMALL(IF(ISERROR(SEARCH(MID(";"&amp;'CASE DATA'!$F159&amp;";",ROW($1:$99),1),";")),"",ROW($1:$99)+1),COLUMN(H159)),SMALL(IF(ISERROR(SEARCH(MID(";"&amp;'CASE DATA'!$F159&amp;";",ROW($1:$99),1),";")),"",ROW($1:$99)),COLUMN(H158)+1)-SMALL(IF(ISERROR(SEARCH(MID(";"&amp;'CASE DATA'!$F159&amp;";",ROW($1:$99),1),";")),"",ROW($1:$99)),COLUMN(H158))-1)</f>
        <v/>
      </c>
      <c r="AF159" s="75" t="str" cm="1">
        <f t="array" ref="AF159">MID(";"&amp;'CASE DATA'!$F159&amp;";",SMALL(IF(ISERROR(SEARCH(MID(";"&amp;'CASE DATA'!$F159&amp;";",ROW($1:$99),1),";")),"",ROW($1:$99)+1),COLUMN(I159)),SMALL(IF(ISERROR(SEARCH(MID(";"&amp;'CASE DATA'!$F159&amp;";",ROW($1:$99),1),";")),"",ROW($1:$99)),COLUMN(I158)+1)-SMALL(IF(ISERROR(SEARCH(MID(";"&amp;'CASE DATA'!$F159&amp;";",ROW($1:$99),1),";")),"",ROW($1:$99)),COLUMN(I158))-1)</f>
        <v/>
      </c>
      <c r="AG159" s="75" t="str" cm="1">
        <f t="array" ref="AG159">MID(";"&amp;'CASE DATA'!$F159&amp;";",SMALL(IF(ISERROR(SEARCH(MID(";"&amp;'CASE DATA'!$F159&amp;";",ROW($1:$99),1),";")),"",ROW($1:$99)+1),COLUMN(K159)),SMALL(IF(ISERROR(SEARCH(MID(";"&amp;'CASE DATA'!$F159&amp;";",ROW($1:$99),1),";")),"",ROW($1:$99)),COLUMN(K158)+1)-SMALL(IF(ISERROR(SEARCH(MID(";"&amp;'CASE DATA'!$F159&amp;";",ROW($1:$99),1),";")),"",ROW($1:$99)),COLUMN(K158))-1)</f>
        <v/>
      </c>
      <c r="AH159" s="75" t="str" cm="1">
        <f t="array" ref="AH159">MID(";"&amp;'CASE DATA'!$F159&amp;";",SMALL(IF(ISERROR(SEARCH(MID(";"&amp;'CASE DATA'!$F159&amp;";",ROW($1:$99),1),";")),"",ROW($1:$99)+1),COLUMN(L159)),SMALL(IF(ISERROR(SEARCH(MID(";"&amp;'CASE DATA'!$F159&amp;";",ROW($1:$99),1),";")),"",ROW($1:$99)),COLUMN(L158)+1)-SMALL(IF(ISERROR(SEARCH(MID(";"&amp;'CASE DATA'!$F159&amp;";",ROW($1:$99),1),";")),"",ROW($1:$99)),COLUMN(L158))-1)</f>
        <v/>
      </c>
      <c r="AI159" s="75" t="str" cm="1">
        <f t="array" ref="AI159">MID(";"&amp;'CASE DATA'!$F159&amp;";",SMALL(IF(ISERROR(SEARCH(MID(";"&amp;'CASE DATA'!$F159&amp;";",ROW($1:$99),1),";")),"",ROW($1:$99)+1),COLUMN(M159)),SMALL(IF(ISERROR(SEARCH(MID(";"&amp;'CASE DATA'!$F159&amp;";",ROW($1:$99),1),";")),"",ROW($1:$99)),COLUMN(M158)+1)-SMALL(IF(ISERROR(SEARCH(MID(";"&amp;'CASE DATA'!$F159&amp;";",ROW($1:$99),1),";")),"",ROW($1:$99)),COLUMN(M158))-1)</f>
        <v/>
      </c>
      <c r="BO159" s="99"/>
      <c r="BP159" s="99"/>
      <c r="BQ159" s="99"/>
      <c r="BR159" s="99"/>
      <c r="BS159" s="99"/>
      <c r="BT159" s="99"/>
      <c r="BU159" s="99"/>
      <c r="BV159" s="99"/>
      <c r="BW159" s="99"/>
      <c r="BX159" s="99"/>
      <c r="BY159" s="99"/>
      <c r="BZ159" s="99"/>
      <c r="CA159" s="99"/>
      <c r="CB159" s="99"/>
      <c r="CC159" s="99"/>
      <c r="CD159" s="99"/>
      <c r="CE159" s="99"/>
      <c r="CF159" s="99"/>
      <c r="CG159" s="99"/>
      <c r="CH159" s="99"/>
      <c r="CI159" s="99"/>
      <c r="CJ159" s="99"/>
      <c r="CK159" s="99"/>
      <c r="CL159" s="99"/>
      <c r="CM159" s="99"/>
      <c r="CN159" s="99"/>
      <c r="CO159" s="99"/>
      <c r="CP159" s="99"/>
      <c r="CQ159" s="99"/>
      <c r="CR159" s="99"/>
      <c r="CS159" s="99"/>
      <c r="CT159" s="99"/>
      <c r="CU159" s="99"/>
      <c r="CV159" s="99"/>
      <c r="CW159" s="99"/>
      <c r="CX159" s="99"/>
      <c r="CY159" s="99"/>
      <c r="CZ159" s="99"/>
      <c r="DA159" s="99"/>
      <c r="DB159" s="99"/>
      <c r="DC159" s="99"/>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99"/>
      <c r="EE159" s="99"/>
      <c r="EF159" s="99"/>
      <c r="EG159" s="99"/>
      <c r="EH159" s="99"/>
      <c r="EI159" s="99"/>
      <c r="EJ159" s="99"/>
      <c r="EK159" s="99"/>
      <c r="EL159" s="99"/>
      <c r="EM159" s="99"/>
      <c r="EN159" s="99"/>
      <c r="EO159" s="99"/>
      <c r="EP159" s="99"/>
      <c r="EQ159" s="99"/>
      <c r="ER159" s="99"/>
      <c r="ES159" s="99"/>
      <c r="ET159" s="99"/>
      <c r="EU159" s="99"/>
      <c r="EV159" s="99"/>
      <c r="EW159" s="99"/>
      <c r="EX159" s="99"/>
      <c r="EY159" s="99"/>
      <c r="EZ159" s="99"/>
      <c r="FA159" s="99"/>
      <c r="FB159" s="99"/>
      <c r="FC159" s="99"/>
      <c r="FD159" s="99"/>
      <c r="FE159" s="99"/>
      <c r="FF159" s="99"/>
      <c r="FG159" s="99"/>
      <c r="FH159" s="99"/>
      <c r="FI159" s="99"/>
      <c r="FJ159" s="99"/>
      <c r="FK159" s="99"/>
    </row>
    <row r="160" spans="3:167" x14ac:dyDescent="0.25">
      <c r="C160" s="10"/>
      <c r="D160" s="10"/>
      <c r="E160" s="11"/>
      <c r="F160" s="15"/>
      <c r="J160" s="99">
        <v>157</v>
      </c>
      <c r="K160" s="16"/>
      <c r="L160" s="16"/>
      <c r="M160" s="16"/>
      <c r="N160" s="16"/>
      <c r="O160" s="16"/>
      <c r="P160" s="16"/>
      <c r="Q160" s="16"/>
      <c r="R160" s="16"/>
      <c r="S160" s="16"/>
      <c r="T160" s="16"/>
      <c r="U160" s="14">
        <f>SUM(K160:T160)</f>
        <v>0</v>
      </c>
      <c r="V160" s="14"/>
      <c r="X160" s="75" t="str" cm="1">
        <f t="array" ref="X160">MID(";"&amp;'CASE DATA'!$F160&amp;";",SMALL(IF(ISERROR(SEARCH(MID(";"&amp;'CASE DATA'!$F160&amp;";",ROW($1:$99),1),";")),"",ROW($1:$99)+1),COLUMN(A160)),SMALL(IF(ISERROR(SEARCH(MID(";"&amp;'CASE DATA'!$F160&amp;";",ROW($1:$99),1),";")),"",ROW($1:$99)),COLUMN(A159)+1)-SMALL(IF(ISERROR(SEARCH(MID(";"&amp;'CASE DATA'!$F160&amp;";",ROW($1:$99),1),";")),"",ROW($1:$99)),COLUMN(A159))-1)</f>
        <v/>
      </c>
      <c r="Y160" s="75" t="str" cm="1">
        <f t="array" ref="Y160">MID(";"&amp;'CASE DATA'!$F160&amp;";",SMALL(IF(ISERROR(SEARCH(MID(";"&amp;'CASE DATA'!$F160&amp;";",ROW($1:$99),1),";")),"",ROW($1:$99)+1),COLUMN(B160)),SMALL(IF(ISERROR(SEARCH(MID(";"&amp;'CASE DATA'!$F160&amp;";",ROW($1:$99),1),";")),"",ROW($1:$99)),COLUMN(B159)+1)-SMALL(IF(ISERROR(SEARCH(MID(";"&amp;'CASE DATA'!$F160&amp;";",ROW($1:$99),1),";")),"",ROW($1:$99)),COLUMN(B159))-1)</f>
        <v/>
      </c>
      <c r="Z160" s="75" t="str" cm="1">
        <f t="array" ref="Z160">MID(";"&amp;'CASE DATA'!$F160&amp;";",SMALL(IF(ISERROR(SEARCH(MID(";"&amp;'CASE DATA'!$F160&amp;";",ROW($1:$99),1),";")),"",ROW($1:$99)+1),COLUMN(C160)),SMALL(IF(ISERROR(SEARCH(MID(";"&amp;'CASE DATA'!$F160&amp;";",ROW($1:$99),1),";")),"",ROW($1:$99)),COLUMN(C159)+1)-SMALL(IF(ISERROR(SEARCH(MID(";"&amp;'CASE DATA'!$F160&amp;";",ROW($1:$99),1),";")),"",ROW($1:$99)),COLUMN(C159))-1)</f>
        <v/>
      </c>
      <c r="AA160" s="75" t="str" cm="1">
        <f t="array" ref="AA160">MID(";"&amp;'CASE DATA'!$F160&amp;";",SMALL(IF(ISERROR(SEARCH(MID(";"&amp;'CASE DATA'!$F160&amp;";",ROW($1:$99),1),";")),"",ROW($1:$99)+1),COLUMN(D160)),SMALL(IF(ISERROR(SEARCH(MID(";"&amp;'CASE DATA'!$F160&amp;";",ROW($1:$99),1),";")),"",ROW($1:$99)),COLUMN(D159)+1)-SMALL(IF(ISERROR(SEARCH(MID(";"&amp;'CASE DATA'!$F160&amp;";",ROW($1:$99),1),";")),"",ROW($1:$99)),COLUMN(D159))-1)</f>
        <v/>
      </c>
      <c r="AB160" s="75" t="str" cm="1">
        <f t="array" ref="AB160">MID(";"&amp;'CASE DATA'!$F160&amp;";",SMALL(IF(ISERROR(SEARCH(MID(";"&amp;'CASE DATA'!$F160&amp;";",ROW($1:$99),1),";")),"",ROW($1:$99)+1),COLUMN(E160)),SMALL(IF(ISERROR(SEARCH(MID(";"&amp;'CASE DATA'!$F160&amp;";",ROW($1:$99),1),";")),"",ROW($1:$99)),COLUMN(E159)+1)-SMALL(IF(ISERROR(SEARCH(MID(";"&amp;'CASE DATA'!$F160&amp;";",ROW($1:$99),1),";")),"",ROW($1:$99)),COLUMN(E159))-1)</f>
        <v/>
      </c>
      <c r="AC160" s="75" t="str" cm="1">
        <f t="array" ref="AC160">MID(";"&amp;'CASE DATA'!$F160&amp;";",SMALL(IF(ISERROR(SEARCH(MID(";"&amp;'CASE DATA'!$F160&amp;";",ROW($1:$99),1),";")),"",ROW($1:$99)+1),COLUMN(F160)),SMALL(IF(ISERROR(SEARCH(MID(";"&amp;'CASE DATA'!$F160&amp;";",ROW($1:$99),1),";")),"",ROW($1:$99)),COLUMN(F159)+1)-SMALL(IF(ISERROR(SEARCH(MID(";"&amp;'CASE DATA'!$F160&amp;";",ROW($1:$99),1),";")),"",ROW($1:$99)),COLUMN(F159))-1)</f>
        <v/>
      </c>
      <c r="AD160" s="75" t="str" cm="1">
        <f t="array" ref="AD160">MID(";"&amp;'CASE DATA'!$F160&amp;";",SMALL(IF(ISERROR(SEARCH(MID(";"&amp;'CASE DATA'!$F160&amp;";",ROW($1:$99),1),";")),"",ROW($1:$99)+1),COLUMN(G160)),SMALL(IF(ISERROR(SEARCH(MID(";"&amp;'CASE DATA'!$F160&amp;";",ROW($1:$99),1),";")),"",ROW($1:$99)),COLUMN(G159)+1)-SMALL(IF(ISERROR(SEARCH(MID(";"&amp;'CASE DATA'!$F160&amp;";",ROW($1:$99),1),";")),"",ROW($1:$99)),COLUMN(G159))-1)</f>
        <v/>
      </c>
      <c r="AE160" s="75" t="str" cm="1">
        <f t="array" ref="AE160">MID(";"&amp;'CASE DATA'!$F160&amp;";",SMALL(IF(ISERROR(SEARCH(MID(";"&amp;'CASE DATA'!$F160&amp;";",ROW($1:$99),1),";")),"",ROW($1:$99)+1),COLUMN(H160)),SMALL(IF(ISERROR(SEARCH(MID(";"&amp;'CASE DATA'!$F160&amp;";",ROW($1:$99),1),";")),"",ROW($1:$99)),COLUMN(H159)+1)-SMALL(IF(ISERROR(SEARCH(MID(";"&amp;'CASE DATA'!$F160&amp;";",ROW($1:$99),1),";")),"",ROW($1:$99)),COLUMN(H159))-1)</f>
        <v/>
      </c>
      <c r="AF160" s="75" t="str" cm="1">
        <f t="array" ref="AF160">MID(";"&amp;'CASE DATA'!$F160&amp;";",SMALL(IF(ISERROR(SEARCH(MID(";"&amp;'CASE DATA'!$F160&amp;";",ROW($1:$99),1),";")),"",ROW($1:$99)+1),COLUMN(I160)),SMALL(IF(ISERROR(SEARCH(MID(";"&amp;'CASE DATA'!$F160&amp;";",ROW($1:$99),1),";")),"",ROW($1:$99)),COLUMN(I159)+1)-SMALL(IF(ISERROR(SEARCH(MID(";"&amp;'CASE DATA'!$F160&amp;";",ROW($1:$99),1),";")),"",ROW($1:$99)),COLUMN(I159))-1)</f>
        <v/>
      </c>
      <c r="AG160" s="75" t="str" cm="1">
        <f t="array" ref="AG160">MID(";"&amp;'CASE DATA'!$F160&amp;";",SMALL(IF(ISERROR(SEARCH(MID(";"&amp;'CASE DATA'!$F160&amp;";",ROW($1:$99),1),";")),"",ROW($1:$99)+1),COLUMN(K160)),SMALL(IF(ISERROR(SEARCH(MID(";"&amp;'CASE DATA'!$F160&amp;";",ROW($1:$99),1),";")),"",ROW($1:$99)),COLUMN(K159)+1)-SMALL(IF(ISERROR(SEARCH(MID(";"&amp;'CASE DATA'!$F160&amp;";",ROW($1:$99),1),";")),"",ROW($1:$99)),COLUMN(K159))-1)</f>
        <v/>
      </c>
      <c r="AH160" s="75" t="str" cm="1">
        <f t="array" ref="AH160">MID(";"&amp;'CASE DATA'!$F160&amp;";",SMALL(IF(ISERROR(SEARCH(MID(";"&amp;'CASE DATA'!$F160&amp;";",ROW($1:$99),1),";")),"",ROW($1:$99)+1),COLUMN(L160)),SMALL(IF(ISERROR(SEARCH(MID(";"&amp;'CASE DATA'!$F160&amp;";",ROW($1:$99),1),";")),"",ROW($1:$99)),COLUMN(L159)+1)-SMALL(IF(ISERROR(SEARCH(MID(";"&amp;'CASE DATA'!$F160&amp;";",ROW($1:$99),1),";")),"",ROW($1:$99)),COLUMN(L159))-1)</f>
        <v/>
      </c>
      <c r="AI160" s="75" t="str" cm="1">
        <f t="array" ref="AI160">MID(";"&amp;'CASE DATA'!$F160&amp;";",SMALL(IF(ISERROR(SEARCH(MID(";"&amp;'CASE DATA'!$F160&amp;";",ROW($1:$99),1),";")),"",ROW($1:$99)+1),COLUMN(M160)),SMALL(IF(ISERROR(SEARCH(MID(";"&amp;'CASE DATA'!$F160&amp;";",ROW($1:$99),1),";")),"",ROW($1:$99)),COLUMN(M159)+1)-SMALL(IF(ISERROR(SEARCH(MID(";"&amp;'CASE DATA'!$F160&amp;";",ROW($1:$99),1),";")),"",ROW($1:$99)),COLUMN(M159))-1)</f>
        <v/>
      </c>
      <c r="BO160" s="99"/>
      <c r="BP160" s="99"/>
      <c r="BQ160" s="99"/>
      <c r="BR160" s="99"/>
      <c r="BS160" s="99"/>
      <c r="BT160" s="99"/>
      <c r="BU160" s="99"/>
      <c r="BV160" s="99"/>
      <c r="BW160" s="99"/>
      <c r="BX160" s="99"/>
      <c r="BY160" s="99"/>
      <c r="BZ160" s="99"/>
      <c r="CA160" s="99"/>
      <c r="CB160" s="99"/>
      <c r="CC160" s="99"/>
      <c r="CD160" s="99"/>
      <c r="CE160" s="99"/>
      <c r="CF160" s="99"/>
      <c r="CG160" s="99"/>
      <c r="CH160" s="99"/>
      <c r="CI160" s="99"/>
      <c r="CJ160" s="99"/>
      <c r="CK160" s="99"/>
      <c r="CL160" s="99"/>
      <c r="CM160" s="99"/>
      <c r="CN160" s="99"/>
      <c r="CO160" s="99"/>
      <c r="CP160" s="99"/>
      <c r="CQ160" s="99"/>
      <c r="CR160" s="99"/>
      <c r="CS160" s="99"/>
      <c r="CT160" s="99"/>
      <c r="CU160" s="99"/>
      <c r="CV160" s="99"/>
      <c r="CW160" s="99"/>
      <c r="CX160" s="99"/>
      <c r="CY160" s="99"/>
      <c r="CZ160" s="99"/>
      <c r="DA160" s="99"/>
      <c r="DB160" s="99"/>
      <c r="DC160" s="99"/>
      <c r="DD160" s="99"/>
      <c r="DE160" s="99"/>
      <c r="DF160" s="99"/>
      <c r="DG160" s="99"/>
      <c r="DH160" s="99"/>
      <c r="DI160" s="99"/>
      <c r="DJ160" s="99"/>
      <c r="DK160" s="99"/>
      <c r="DL160" s="99"/>
      <c r="DM160" s="99"/>
      <c r="DN160" s="99"/>
      <c r="DO160" s="99"/>
      <c r="DP160" s="99"/>
      <c r="DQ160" s="99"/>
      <c r="DR160" s="99"/>
      <c r="DS160" s="99"/>
      <c r="DT160" s="99"/>
      <c r="DU160" s="99"/>
      <c r="DV160" s="99"/>
      <c r="DW160" s="99"/>
      <c r="DX160" s="99"/>
      <c r="DY160" s="99"/>
      <c r="DZ160" s="99"/>
      <c r="EA160" s="99"/>
      <c r="EB160" s="99"/>
      <c r="EC160" s="99"/>
      <c r="ED160" s="99"/>
      <c r="EE160" s="99"/>
      <c r="EF160" s="99"/>
      <c r="EG160" s="99"/>
      <c r="EH160" s="99"/>
      <c r="EI160" s="99"/>
      <c r="EJ160" s="99"/>
      <c r="EK160" s="99"/>
      <c r="EL160" s="99"/>
      <c r="EM160" s="99"/>
      <c r="EN160" s="99"/>
      <c r="EO160" s="99"/>
      <c r="EP160" s="99"/>
      <c r="EQ160" s="99"/>
      <c r="ER160" s="99"/>
      <c r="ES160" s="99"/>
      <c r="ET160" s="99"/>
      <c r="EU160" s="99"/>
      <c r="EV160" s="99"/>
      <c r="EW160" s="99"/>
      <c r="EX160" s="99"/>
      <c r="EY160" s="99"/>
      <c r="EZ160" s="99"/>
      <c r="FA160" s="99"/>
      <c r="FB160" s="99"/>
      <c r="FC160" s="99"/>
      <c r="FD160" s="99"/>
      <c r="FE160" s="99"/>
      <c r="FF160" s="99"/>
      <c r="FG160" s="99"/>
      <c r="FH160" s="99"/>
      <c r="FI160" s="99"/>
      <c r="FJ160" s="99"/>
      <c r="FK160" s="99"/>
    </row>
    <row r="161" spans="3:167" x14ac:dyDescent="0.25">
      <c r="C161" s="10"/>
      <c r="D161" s="10"/>
      <c r="E161" s="11"/>
      <c r="F161" s="15"/>
      <c r="J161" s="99">
        <v>158</v>
      </c>
      <c r="K161" s="16"/>
      <c r="L161" s="16"/>
      <c r="M161" s="16"/>
      <c r="N161" s="16"/>
      <c r="O161" s="16"/>
      <c r="P161" s="16"/>
      <c r="Q161" s="16"/>
      <c r="R161" s="16"/>
      <c r="S161" s="16"/>
      <c r="T161" s="16"/>
      <c r="U161" s="14">
        <f>SUM(K161:T161)</f>
        <v>0</v>
      </c>
      <c r="V161" s="14"/>
      <c r="X161" s="75" t="str" cm="1">
        <f t="array" ref="X161">MID(";"&amp;'CASE DATA'!$F161&amp;";",SMALL(IF(ISERROR(SEARCH(MID(";"&amp;'CASE DATA'!$F161&amp;";",ROW($1:$99),1),";")),"",ROW($1:$99)+1),COLUMN(A161)),SMALL(IF(ISERROR(SEARCH(MID(";"&amp;'CASE DATA'!$F161&amp;";",ROW($1:$99),1),";")),"",ROW($1:$99)),COLUMN(A160)+1)-SMALL(IF(ISERROR(SEARCH(MID(";"&amp;'CASE DATA'!$F161&amp;";",ROW($1:$99),1),";")),"",ROW($1:$99)),COLUMN(A160))-1)</f>
        <v/>
      </c>
      <c r="Y161" s="75" t="str" cm="1">
        <f t="array" ref="Y161">MID(";"&amp;'CASE DATA'!$F161&amp;";",SMALL(IF(ISERROR(SEARCH(MID(";"&amp;'CASE DATA'!$F161&amp;";",ROW($1:$99),1),";")),"",ROW($1:$99)+1),COLUMN(B161)),SMALL(IF(ISERROR(SEARCH(MID(";"&amp;'CASE DATA'!$F161&amp;";",ROW($1:$99),1),";")),"",ROW($1:$99)),COLUMN(B160)+1)-SMALL(IF(ISERROR(SEARCH(MID(";"&amp;'CASE DATA'!$F161&amp;";",ROW($1:$99),1),";")),"",ROW($1:$99)),COLUMN(B160))-1)</f>
        <v/>
      </c>
      <c r="Z161" s="75" t="str" cm="1">
        <f t="array" ref="Z161">MID(";"&amp;'CASE DATA'!$F161&amp;";",SMALL(IF(ISERROR(SEARCH(MID(";"&amp;'CASE DATA'!$F161&amp;";",ROW($1:$99),1),";")),"",ROW($1:$99)+1),COLUMN(C161)),SMALL(IF(ISERROR(SEARCH(MID(";"&amp;'CASE DATA'!$F161&amp;";",ROW($1:$99),1),";")),"",ROW($1:$99)),COLUMN(C160)+1)-SMALL(IF(ISERROR(SEARCH(MID(";"&amp;'CASE DATA'!$F161&amp;";",ROW($1:$99),1),";")),"",ROW($1:$99)),COLUMN(C160))-1)</f>
        <v/>
      </c>
      <c r="AA161" s="75" t="str" cm="1">
        <f t="array" ref="AA161">MID(";"&amp;'CASE DATA'!$F161&amp;";",SMALL(IF(ISERROR(SEARCH(MID(";"&amp;'CASE DATA'!$F161&amp;";",ROW($1:$99),1),";")),"",ROW($1:$99)+1),COLUMN(D161)),SMALL(IF(ISERROR(SEARCH(MID(";"&amp;'CASE DATA'!$F161&amp;";",ROW($1:$99),1),";")),"",ROW($1:$99)),COLUMN(D160)+1)-SMALL(IF(ISERROR(SEARCH(MID(";"&amp;'CASE DATA'!$F161&amp;";",ROW($1:$99),1),";")),"",ROW($1:$99)),COLUMN(D160))-1)</f>
        <v/>
      </c>
      <c r="AB161" s="75" t="str" cm="1">
        <f t="array" ref="AB161">MID(";"&amp;'CASE DATA'!$F161&amp;";",SMALL(IF(ISERROR(SEARCH(MID(";"&amp;'CASE DATA'!$F161&amp;";",ROW($1:$99),1),";")),"",ROW($1:$99)+1),COLUMN(E161)),SMALL(IF(ISERROR(SEARCH(MID(";"&amp;'CASE DATA'!$F161&amp;";",ROW($1:$99),1),";")),"",ROW($1:$99)),COLUMN(E160)+1)-SMALL(IF(ISERROR(SEARCH(MID(";"&amp;'CASE DATA'!$F161&amp;";",ROW($1:$99),1),";")),"",ROW($1:$99)),COLUMN(E160))-1)</f>
        <v/>
      </c>
      <c r="AC161" s="75" t="str" cm="1">
        <f t="array" ref="AC161">MID(";"&amp;'CASE DATA'!$F161&amp;";",SMALL(IF(ISERROR(SEARCH(MID(";"&amp;'CASE DATA'!$F161&amp;";",ROW($1:$99),1),";")),"",ROW($1:$99)+1),COLUMN(F161)),SMALL(IF(ISERROR(SEARCH(MID(";"&amp;'CASE DATA'!$F161&amp;";",ROW($1:$99),1),";")),"",ROW($1:$99)),COLUMN(F160)+1)-SMALL(IF(ISERROR(SEARCH(MID(";"&amp;'CASE DATA'!$F161&amp;";",ROW($1:$99),1),";")),"",ROW($1:$99)),COLUMN(F160))-1)</f>
        <v/>
      </c>
      <c r="AD161" s="75" t="str" cm="1">
        <f t="array" ref="AD161">MID(";"&amp;'CASE DATA'!$F161&amp;";",SMALL(IF(ISERROR(SEARCH(MID(";"&amp;'CASE DATA'!$F161&amp;";",ROW($1:$99),1),";")),"",ROW($1:$99)+1),COLUMN(G161)),SMALL(IF(ISERROR(SEARCH(MID(";"&amp;'CASE DATA'!$F161&amp;";",ROW($1:$99),1),";")),"",ROW($1:$99)),COLUMN(G160)+1)-SMALL(IF(ISERROR(SEARCH(MID(";"&amp;'CASE DATA'!$F161&amp;";",ROW($1:$99),1),";")),"",ROW($1:$99)),COLUMN(G160))-1)</f>
        <v/>
      </c>
      <c r="AE161" s="75" t="str" cm="1">
        <f t="array" ref="AE161">MID(";"&amp;'CASE DATA'!$F161&amp;";",SMALL(IF(ISERROR(SEARCH(MID(";"&amp;'CASE DATA'!$F161&amp;";",ROW($1:$99),1),";")),"",ROW($1:$99)+1),COLUMN(H161)),SMALL(IF(ISERROR(SEARCH(MID(";"&amp;'CASE DATA'!$F161&amp;";",ROW($1:$99),1),";")),"",ROW($1:$99)),COLUMN(H160)+1)-SMALL(IF(ISERROR(SEARCH(MID(";"&amp;'CASE DATA'!$F161&amp;";",ROW($1:$99),1),";")),"",ROW($1:$99)),COLUMN(H160))-1)</f>
        <v/>
      </c>
      <c r="AF161" s="75" t="str" cm="1">
        <f t="array" ref="AF161">MID(";"&amp;'CASE DATA'!$F161&amp;";",SMALL(IF(ISERROR(SEARCH(MID(";"&amp;'CASE DATA'!$F161&amp;";",ROW($1:$99),1),";")),"",ROW($1:$99)+1),COLUMN(I161)),SMALL(IF(ISERROR(SEARCH(MID(";"&amp;'CASE DATA'!$F161&amp;";",ROW($1:$99),1),";")),"",ROW($1:$99)),COLUMN(I160)+1)-SMALL(IF(ISERROR(SEARCH(MID(";"&amp;'CASE DATA'!$F161&amp;";",ROW($1:$99),1),";")),"",ROW($1:$99)),COLUMN(I160))-1)</f>
        <v/>
      </c>
      <c r="AG161" s="75" t="str" cm="1">
        <f t="array" ref="AG161">MID(";"&amp;'CASE DATA'!$F161&amp;";",SMALL(IF(ISERROR(SEARCH(MID(";"&amp;'CASE DATA'!$F161&amp;";",ROW($1:$99),1),";")),"",ROW($1:$99)+1),COLUMN(K161)),SMALL(IF(ISERROR(SEARCH(MID(";"&amp;'CASE DATA'!$F161&amp;";",ROW($1:$99),1),";")),"",ROW($1:$99)),COLUMN(K160)+1)-SMALL(IF(ISERROR(SEARCH(MID(";"&amp;'CASE DATA'!$F161&amp;";",ROW($1:$99),1),";")),"",ROW($1:$99)),COLUMN(K160))-1)</f>
        <v/>
      </c>
      <c r="AH161" s="75" t="str" cm="1">
        <f t="array" ref="AH161">MID(";"&amp;'CASE DATA'!$F161&amp;";",SMALL(IF(ISERROR(SEARCH(MID(";"&amp;'CASE DATA'!$F161&amp;";",ROW($1:$99),1),";")),"",ROW($1:$99)+1),COLUMN(L161)),SMALL(IF(ISERROR(SEARCH(MID(";"&amp;'CASE DATA'!$F161&amp;";",ROW($1:$99),1),";")),"",ROW($1:$99)),COLUMN(L160)+1)-SMALL(IF(ISERROR(SEARCH(MID(";"&amp;'CASE DATA'!$F161&amp;";",ROW($1:$99),1),";")),"",ROW($1:$99)),COLUMN(L160))-1)</f>
        <v/>
      </c>
      <c r="AI161" s="75" t="str" cm="1">
        <f t="array" ref="AI161">MID(";"&amp;'CASE DATA'!$F161&amp;";",SMALL(IF(ISERROR(SEARCH(MID(";"&amp;'CASE DATA'!$F161&amp;";",ROW($1:$99),1),";")),"",ROW($1:$99)+1),COLUMN(M161)),SMALL(IF(ISERROR(SEARCH(MID(";"&amp;'CASE DATA'!$F161&amp;";",ROW($1:$99),1),";")),"",ROW($1:$99)),COLUMN(M160)+1)-SMALL(IF(ISERROR(SEARCH(MID(";"&amp;'CASE DATA'!$F161&amp;";",ROW($1:$99),1),";")),"",ROW($1:$99)),COLUMN(M160))-1)</f>
        <v/>
      </c>
      <c r="BO161" s="99"/>
      <c r="BP161" s="99"/>
      <c r="BQ161" s="99"/>
      <c r="BR161" s="99"/>
      <c r="BS161" s="99"/>
      <c r="BT161" s="99"/>
      <c r="BU161" s="99"/>
      <c r="BV161" s="99"/>
      <c r="BW161" s="99"/>
      <c r="BX161" s="99"/>
      <c r="BY161" s="99"/>
      <c r="BZ161" s="99"/>
      <c r="CA161" s="99"/>
      <c r="CB161" s="99"/>
      <c r="CC161" s="99"/>
      <c r="CD161" s="99"/>
      <c r="CE161" s="99"/>
      <c r="CF161" s="99"/>
      <c r="CG161" s="99"/>
      <c r="CH161" s="99"/>
      <c r="CI161" s="99"/>
      <c r="CJ161" s="99"/>
      <c r="CK161" s="99"/>
      <c r="CL161" s="99"/>
      <c r="CM161" s="99"/>
      <c r="CN161" s="99"/>
      <c r="CO161" s="99"/>
      <c r="CP161" s="99"/>
      <c r="CQ161" s="99"/>
      <c r="CR161" s="99"/>
      <c r="CS161" s="99"/>
      <c r="CT161" s="99"/>
      <c r="CU161" s="99"/>
      <c r="CV161" s="99"/>
      <c r="CW161" s="99"/>
      <c r="CX161" s="99"/>
      <c r="CY161" s="99"/>
      <c r="CZ161" s="99"/>
      <c r="DA161" s="99"/>
      <c r="DB161" s="99"/>
      <c r="DC161" s="99"/>
      <c r="DD161" s="99"/>
      <c r="DE161" s="99"/>
      <c r="DF161" s="99"/>
      <c r="DG161" s="99"/>
      <c r="DH161" s="99"/>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99"/>
      <c r="EE161" s="99"/>
      <c r="EF161" s="99"/>
      <c r="EG161" s="99"/>
      <c r="EH161" s="99"/>
      <c r="EI161" s="99"/>
      <c r="EJ161" s="99"/>
      <c r="EK161" s="99"/>
      <c r="EL161" s="99"/>
      <c r="EM161" s="99"/>
      <c r="EN161" s="99"/>
      <c r="EO161" s="99"/>
      <c r="EP161" s="99"/>
      <c r="EQ161" s="99"/>
      <c r="ER161" s="99"/>
      <c r="ES161" s="99"/>
      <c r="ET161" s="99"/>
      <c r="EU161" s="99"/>
      <c r="EV161" s="99"/>
      <c r="EW161" s="99"/>
      <c r="EX161" s="99"/>
      <c r="EY161" s="99"/>
      <c r="EZ161" s="99"/>
      <c r="FA161" s="99"/>
      <c r="FB161" s="99"/>
      <c r="FC161" s="99"/>
      <c r="FD161" s="99"/>
      <c r="FE161" s="99"/>
      <c r="FF161" s="99"/>
      <c r="FG161" s="99"/>
      <c r="FH161" s="99"/>
      <c r="FI161" s="99"/>
      <c r="FJ161" s="99"/>
      <c r="FK161" s="99"/>
    </row>
    <row r="162" spans="3:167" x14ac:dyDescent="0.25">
      <c r="C162" s="10"/>
      <c r="D162" s="10"/>
      <c r="E162" s="11"/>
      <c r="F162" s="15"/>
      <c r="J162" s="99">
        <v>159</v>
      </c>
      <c r="K162" s="16"/>
      <c r="L162" s="16"/>
      <c r="M162" s="16"/>
      <c r="N162" s="16"/>
      <c r="O162" s="16"/>
      <c r="P162" s="16"/>
      <c r="Q162" s="16"/>
      <c r="R162" s="16"/>
      <c r="S162" s="16"/>
      <c r="T162" s="16"/>
      <c r="U162" s="14">
        <f>SUM(K162:T162)</f>
        <v>0</v>
      </c>
      <c r="V162" s="14"/>
      <c r="X162" s="75" t="str" cm="1">
        <f t="array" ref="X162">MID(";"&amp;'CASE DATA'!$F162&amp;";",SMALL(IF(ISERROR(SEARCH(MID(";"&amp;'CASE DATA'!$F162&amp;";",ROW($1:$99),1),";")),"",ROW($1:$99)+1),COLUMN(A162)),SMALL(IF(ISERROR(SEARCH(MID(";"&amp;'CASE DATA'!$F162&amp;";",ROW($1:$99),1),";")),"",ROW($1:$99)),COLUMN(A161)+1)-SMALL(IF(ISERROR(SEARCH(MID(";"&amp;'CASE DATA'!$F162&amp;";",ROW($1:$99),1),";")),"",ROW($1:$99)),COLUMN(A161))-1)</f>
        <v/>
      </c>
      <c r="Y162" s="75" t="str" cm="1">
        <f t="array" ref="Y162">MID(";"&amp;'CASE DATA'!$F162&amp;";",SMALL(IF(ISERROR(SEARCH(MID(";"&amp;'CASE DATA'!$F162&amp;";",ROW($1:$99),1),";")),"",ROW($1:$99)+1),COLUMN(B162)),SMALL(IF(ISERROR(SEARCH(MID(";"&amp;'CASE DATA'!$F162&amp;";",ROW($1:$99),1),";")),"",ROW($1:$99)),COLUMN(B161)+1)-SMALL(IF(ISERROR(SEARCH(MID(";"&amp;'CASE DATA'!$F162&amp;";",ROW($1:$99),1),";")),"",ROW($1:$99)),COLUMN(B161))-1)</f>
        <v/>
      </c>
      <c r="Z162" s="75" t="str" cm="1">
        <f t="array" ref="Z162">MID(";"&amp;'CASE DATA'!$F162&amp;";",SMALL(IF(ISERROR(SEARCH(MID(";"&amp;'CASE DATA'!$F162&amp;";",ROW($1:$99),1),";")),"",ROW($1:$99)+1),COLUMN(C162)),SMALL(IF(ISERROR(SEARCH(MID(";"&amp;'CASE DATA'!$F162&amp;";",ROW($1:$99),1),";")),"",ROW($1:$99)),COLUMN(C161)+1)-SMALL(IF(ISERROR(SEARCH(MID(";"&amp;'CASE DATA'!$F162&amp;";",ROW($1:$99),1),";")),"",ROW($1:$99)),COLUMN(C161))-1)</f>
        <v/>
      </c>
      <c r="AA162" s="75" t="str" cm="1">
        <f t="array" ref="AA162">MID(";"&amp;'CASE DATA'!$F162&amp;";",SMALL(IF(ISERROR(SEARCH(MID(";"&amp;'CASE DATA'!$F162&amp;";",ROW($1:$99),1),";")),"",ROW($1:$99)+1),COLUMN(D162)),SMALL(IF(ISERROR(SEARCH(MID(";"&amp;'CASE DATA'!$F162&amp;";",ROW($1:$99),1),";")),"",ROW($1:$99)),COLUMN(D161)+1)-SMALL(IF(ISERROR(SEARCH(MID(";"&amp;'CASE DATA'!$F162&amp;";",ROW($1:$99),1),";")),"",ROW($1:$99)),COLUMN(D161))-1)</f>
        <v/>
      </c>
      <c r="AB162" s="75" t="str" cm="1">
        <f t="array" ref="AB162">MID(";"&amp;'CASE DATA'!$F162&amp;";",SMALL(IF(ISERROR(SEARCH(MID(";"&amp;'CASE DATA'!$F162&amp;";",ROW($1:$99),1),";")),"",ROW($1:$99)+1),COLUMN(E162)),SMALL(IF(ISERROR(SEARCH(MID(";"&amp;'CASE DATA'!$F162&amp;";",ROW($1:$99),1),";")),"",ROW($1:$99)),COLUMN(E161)+1)-SMALL(IF(ISERROR(SEARCH(MID(";"&amp;'CASE DATA'!$F162&amp;";",ROW($1:$99),1),";")),"",ROW($1:$99)),COLUMN(E161))-1)</f>
        <v/>
      </c>
      <c r="AC162" s="75" t="str" cm="1">
        <f t="array" ref="AC162">MID(";"&amp;'CASE DATA'!$F162&amp;";",SMALL(IF(ISERROR(SEARCH(MID(";"&amp;'CASE DATA'!$F162&amp;";",ROW($1:$99),1),";")),"",ROW($1:$99)+1),COLUMN(F162)),SMALL(IF(ISERROR(SEARCH(MID(";"&amp;'CASE DATA'!$F162&amp;";",ROW($1:$99),1),";")),"",ROW($1:$99)),COLUMN(F161)+1)-SMALL(IF(ISERROR(SEARCH(MID(";"&amp;'CASE DATA'!$F162&amp;";",ROW($1:$99),1),";")),"",ROW($1:$99)),COLUMN(F161))-1)</f>
        <v/>
      </c>
      <c r="AD162" s="75" t="str" cm="1">
        <f t="array" ref="AD162">MID(";"&amp;'CASE DATA'!$F162&amp;";",SMALL(IF(ISERROR(SEARCH(MID(";"&amp;'CASE DATA'!$F162&amp;";",ROW($1:$99),1),";")),"",ROW($1:$99)+1),COLUMN(G162)),SMALL(IF(ISERROR(SEARCH(MID(";"&amp;'CASE DATA'!$F162&amp;";",ROW($1:$99),1),";")),"",ROW($1:$99)),COLUMN(G161)+1)-SMALL(IF(ISERROR(SEARCH(MID(";"&amp;'CASE DATA'!$F162&amp;";",ROW($1:$99),1),";")),"",ROW($1:$99)),COLUMN(G161))-1)</f>
        <v/>
      </c>
      <c r="AE162" s="75" t="str" cm="1">
        <f t="array" ref="AE162">MID(";"&amp;'CASE DATA'!$F162&amp;";",SMALL(IF(ISERROR(SEARCH(MID(";"&amp;'CASE DATA'!$F162&amp;";",ROW($1:$99),1),";")),"",ROW($1:$99)+1),COLUMN(H162)),SMALL(IF(ISERROR(SEARCH(MID(";"&amp;'CASE DATA'!$F162&amp;";",ROW($1:$99),1),";")),"",ROW($1:$99)),COLUMN(H161)+1)-SMALL(IF(ISERROR(SEARCH(MID(";"&amp;'CASE DATA'!$F162&amp;";",ROW($1:$99),1),";")),"",ROW($1:$99)),COLUMN(H161))-1)</f>
        <v/>
      </c>
      <c r="AF162" s="75" t="str" cm="1">
        <f t="array" ref="AF162">MID(";"&amp;'CASE DATA'!$F162&amp;";",SMALL(IF(ISERROR(SEARCH(MID(";"&amp;'CASE DATA'!$F162&amp;";",ROW($1:$99),1),";")),"",ROW($1:$99)+1),COLUMN(I162)),SMALL(IF(ISERROR(SEARCH(MID(";"&amp;'CASE DATA'!$F162&amp;";",ROW($1:$99),1),";")),"",ROW($1:$99)),COLUMN(I161)+1)-SMALL(IF(ISERROR(SEARCH(MID(";"&amp;'CASE DATA'!$F162&amp;";",ROW($1:$99),1),";")),"",ROW($1:$99)),COLUMN(I161))-1)</f>
        <v/>
      </c>
      <c r="AG162" s="75" t="str" cm="1">
        <f t="array" ref="AG162">MID(";"&amp;'CASE DATA'!$F162&amp;";",SMALL(IF(ISERROR(SEARCH(MID(";"&amp;'CASE DATA'!$F162&amp;";",ROW($1:$99),1),";")),"",ROW($1:$99)+1),COLUMN(K162)),SMALL(IF(ISERROR(SEARCH(MID(";"&amp;'CASE DATA'!$F162&amp;";",ROW($1:$99),1),";")),"",ROW($1:$99)),COLUMN(K161)+1)-SMALL(IF(ISERROR(SEARCH(MID(";"&amp;'CASE DATA'!$F162&amp;";",ROW($1:$99),1),";")),"",ROW($1:$99)),COLUMN(K161))-1)</f>
        <v/>
      </c>
      <c r="AH162" s="75" t="str" cm="1">
        <f t="array" ref="AH162">MID(";"&amp;'CASE DATA'!$F162&amp;";",SMALL(IF(ISERROR(SEARCH(MID(";"&amp;'CASE DATA'!$F162&amp;";",ROW($1:$99),1),";")),"",ROW($1:$99)+1),COLUMN(L162)),SMALL(IF(ISERROR(SEARCH(MID(";"&amp;'CASE DATA'!$F162&amp;";",ROW($1:$99),1),";")),"",ROW($1:$99)),COLUMN(L161)+1)-SMALL(IF(ISERROR(SEARCH(MID(";"&amp;'CASE DATA'!$F162&amp;";",ROW($1:$99),1),";")),"",ROW($1:$99)),COLUMN(L161))-1)</f>
        <v/>
      </c>
      <c r="AI162" s="75" t="str" cm="1">
        <f t="array" ref="AI162">MID(";"&amp;'CASE DATA'!$F162&amp;";",SMALL(IF(ISERROR(SEARCH(MID(";"&amp;'CASE DATA'!$F162&amp;";",ROW($1:$99),1),";")),"",ROW($1:$99)+1),COLUMN(M162)),SMALL(IF(ISERROR(SEARCH(MID(";"&amp;'CASE DATA'!$F162&amp;";",ROW($1:$99),1),";")),"",ROW($1:$99)),COLUMN(M161)+1)-SMALL(IF(ISERROR(SEARCH(MID(";"&amp;'CASE DATA'!$F162&amp;";",ROW($1:$99),1),";")),"",ROW($1:$99)),COLUMN(M161))-1)</f>
        <v/>
      </c>
      <c r="BO162" s="99"/>
      <c r="BP162" s="99"/>
      <c r="BQ162" s="99"/>
      <c r="BR162" s="99"/>
      <c r="BS162" s="99"/>
      <c r="BT162" s="99"/>
      <c r="BU162" s="99"/>
      <c r="BV162" s="99"/>
      <c r="BW162" s="99"/>
      <c r="BX162" s="99"/>
      <c r="BY162" s="99"/>
      <c r="BZ162" s="99"/>
      <c r="CA162" s="99"/>
      <c r="CB162" s="99"/>
      <c r="CC162" s="99"/>
      <c r="CD162" s="99"/>
      <c r="CE162" s="99"/>
      <c r="CF162" s="99"/>
      <c r="CG162" s="99"/>
      <c r="CH162" s="99"/>
      <c r="CI162" s="99"/>
      <c r="CJ162" s="99"/>
      <c r="CK162" s="99"/>
      <c r="CL162" s="99"/>
      <c r="CM162" s="99"/>
      <c r="CN162" s="99"/>
      <c r="CO162" s="99"/>
      <c r="CP162" s="99"/>
      <c r="CQ162" s="99"/>
      <c r="CR162" s="99"/>
      <c r="CS162" s="99"/>
      <c r="CT162" s="99"/>
      <c r="CU162" s="99"/>
      <c r="CV162" s="99"/>
      <c r="CW162" s="99"/>
      <c r="CX162" s="99"/>
      <c r="CY162" s="99"/>
      <c r="CZ162" s="99"/>
      <c r="DA162" s="99"/>
      <c r="DB162" s="99"/>
      <c r="DC162" s="99"/>
      <c r="DD162" s="99"/>
      <c r="DE162" s="99"/>
      <c r="DF162" s="99"/>
      <c r="DG162" s="99"/>
      <c r="DH162" s="99"/>
      <c r="DI162" s="99"/>
      <c r="DJ162" s="99"/>
      <c r="DK162" s="99"/>
      <c r="DL162" s="99"/>
      <c r="DM162" s="99"/>
      <c r="DN162" s="99"/>
      <c r="DO162" s="99"/>
      <c r="DP162" s="99"/>
      <c r="DQ162" s="99"/>
      <c r="DR162" s="99"/>
      <c r="DS162" s="99"/>
      <c r="DT162" s="99"/>
      <c r="DU162" s="99"/>
      <c r="DV162" s="99"/>
      <c r="DW162" s="99"/>
      <c r="DX162" s="99"/>
      <c r="DY162" s="99"/>
      <c r="DZ162" s="99"/>
      <c r="EA162" s="99"/>
      <c r="EB162" s="99"/>
      <c r="EC162" s="99"/>
      <c r="ED162" s="99"/>
      <c r="EE162" s="99"/>
      <c r="EF162" s="99"/>
      <c r="EG162" s="99"/>
      <c r="EH162" s="99"/>
      <c r="EI162" s="99"/>
      <c r="EJ162" s="99"/>
      <c r="EK162" s="99"/>
      <c r="EL162" s="99"/>
      <c r="EM162" s="99"/>
      <c r="EN162" s="99"/>
      <c r="EO162" s="99"/>
      <c r="EP162" s="99"/>
      <c r="EQ162" s="99"/>
      <c r="ER162" s="99"/>
      <c r="ES162" s="99"/>
      <c r="ET162" s="99"/>
      <c r="EU162" s="99"/>
      <c r="EV162" s="99"/>
      <c r="EW162" s="99"/>
      <c r="EX162" s="99"/>
      <c r="EY162" s="99"/>
      <c r="EZ162" s="99"/>
      <c r="FA162" s="99"/>
      <c r="FB162" s="99"/>
      <c r="FC162" s="99"/>
      <c r="FD162" s="99"/>
      <c r="FE162" s="99"/>
      <c r="FF162" s="99"/>
      <c r="FG162" s="99"/>
      <c r="FH162" s="99"/>
      <c r="FI162" s="99"/>
      <c r="FJ162" s="99"/>
      <c r="FK162" s="99"/>
    </row>
    <row r="163" spans="3:167" x14ac:dyDescent="0.25">
      <c r="C163" s="10"/>
      <c r="D163" s="10"/>
      <c r="E163" s="11"/>
      <c r="F163" s="15"/>
      <c r="J163" s="99">
        <v>160</v>
      </c>
      <c r="K163" s="16"/>
      <c r="L163" s="16"/>
      <c r="M163" s="16"/>
      <c r="N163" s="16"/>
      <c r="O163" s="16"/>
      <c r="P163" s="16"/>
      <c r="Q163" s="16"/>
      <c r="R163" s="16"/>
      <c r="S163" s="16"/>
      <c r="T163" s="16"/>
      <c r="U163" s="14">
        <f>SUM(K163:T163)</f>
        <v>0</v>
      </c>
      <c r="V163" s="14"/>
      <c r="X163" s="75" t="str" cm="1">
        <f t="array" ref="X163">MID(";"&amp;'CASE DATA'!$F163&amp;";",SMALL(IF(ISERROR(SEARCH(MID(";"&amp;'CASE DATA'!$F163&amp;";",ROW($1:$99),1),";")),"",ROW($1:$99)+1),COLUMN(A163)),SMALL(IF(ISERROR(SEARCH(MID(";"&amp;'CASE DATA'!$F163&amp;";",ROW($1:$99),1),";")),"",ROW($1:$99)),COLUMN(A162)+1)-SMALL(IF(ISERROR(SEARCH(MID(";"&amp;'CASE DATA'!$F163&amp;";",ROW($1:$99),1),";")),"",ROW($1:$99)),COLUMN(A162))-1)</f>
        <v/>
      </c>
      <c r="Y163" s="75" t="str" cm="1">
        <f t="array" ref="Y163">MID(";"&amp;'CASE DATA'!$F163&amp;";",SMALL(IF(ISERROR(SEARCH(MID(";"&amp;'CASE DATA'!$F163&amp;";",ROW($1:$99),1),";")),"",ROW($1:$99)+1),COLUMN(B163)),SMALL(IF(ISERROR(SEARCH(MID(";"&amp;'CASE DATA'!$F163&amp;";",ROW($1:$99),1),";")),"",ROW($1:$99)),COLUMN(B162)+1)-SMALL(IF(ISERROR(SEARCH(MID(";"&amp;'CASE DATA'!$F163&amp;";",ROW($1:$99),1),";")),"",ROW($1:$99)),COLUMN(B162))-1)</f>
        <v/>
      </c>
      <c r="Z163" s="75" t="str" cm="1">
        <f t="array" ref="Z163">MID(";"&amp;'CASE DATA'!$F163&amp;";",SMALL(IF(ISERROR(SEARCH(MID(";"&amp;'CASE DATA'!$F163&amp;";",ROW($1:$99),1),";")),"",ROW($1:$99)+1),COLUMN(C163)),SMALL(IF(ISERROR(SEARCH(MID(";"&amp;'CASE DATA'!$F163&amp;";",ROW($1:$99),1),";")),"",ROW($1:$99)),COLUMN(C162)+1)-SMALL(IF(ISERROR(SEARCH(MID(";"&amp;'CASE DATA'!$F163&amp;";",ROW($1:$99),1),";")),"",ROW($1:$99)),COLUMN(C162))-1)</f>
        <v/>
      </c>
      <c r="AA163" s="75" t="str" cm="1">
        <f t="array" ref="AA163">MID(";"&amp;'CASE DATA'!$F163&amp;";",SMALL(IF(ISERROR(SEARCH(MID(";"&amp;'CASE DATA'!$F163&amp;";",ROW($1:$99),1),";")),"",ROW($1:$99)+1),COLUMN(D163)),SMALL(IF(ISERROR(SEARCH(MID(";"&amp;'CASE DATA'!$F163&amp;";",ROW($1:$99),1),";")),"",ROW($1:$99)),COLUMN(D162)+1)-SMALL(IF(ISERROR(SEARCH(MID(";"&amp;'CASE DATA'!$F163&amp;";",ROW($1:$99),1),";")),"",ROW($1:$99)),COLUMN(D162))-1)</f>
        <v/>
      </c>
      <c r="AB163" s="75" t="str" cm="1">
        <f t="array" ref="AB163">MID(";"&amp;'CASE DATA'!$F163&amp;";",SMALL(IF(ISERROR(SEARCH(MID(";"&amp;'CASE DATA'!$F163&amp;";",ROW($1:$99),1),";")),"",ROW($1:$99)+1),COLUMN(E163)),SMALL(IF(ISERROR(SEARCH(MID(";"&amp;'CASE DATA'!$F163&amp;";",ROW($1:$99),1),";")),"",ROW($1:$99)),COLUMN(E162)+1)-SMALL(IF(ISERROR(SEARCH(MID(";"&amp;'CASE DATA'!$F163&amp;";",ROW($1:$99),1),";")),"",ROW($1:$99)),COLUMN(E162))-1)</f>
        <v/>
      </c>
      <c r="AC163" s="75" t="str" cm="1">
        <f t="array" ref="AC163">MID(";"&amp;'CASE DATA'!$F163&amp;";",SMALL(IF(ISERROR(SEARCH(MID(";"&amp;'CASE DATA'!$F163&amp;";",ROW($1:$99),1),";")),"",ROW($1:$99)+1),COLUMN(F163)),SMALL(IF(ISERROR(SEARCH(MID(";"&amp;'CASE DATA'!$F163&amp;";",ROW($1:$99),1),";")),"",ROW($1:$99)),COLUMN(F162)+1)-SMALL(IF(ISERROR(SEARCH(MID(";"&amp;'CASE DATA'!$F163&amp;";",ROW($1:$99),1),";")),"",ROW($1:$99)),COLUMN(F162))-1)</f>
        <v/>
      </c>
      <c r="AD163" s="75" t="str" cm="1">
        <f t="array" ref="AD163">MID(";"&amp;'CASE DATA'!$F163&amp;";",SMALL(IF(ISERROR(SEARCH(MID(";"&amp;'CASE DATA'!$F163&amp;";",ROW($1:$99),1),";")),"",ROW($1:$99)+1),COLUMN(G163)),SMALL(IF(ISERROR(SEARCH(MID(";"&amp;'CASE DATA'!$F163&amp;";",ROW($1:$99),1),";")),"",ROW($1:$99)),COLUMN(G162)+1)-SMALL(IF(ISERROR(SEARCH(MID(";"&amp;'CASE DATA'!$F163&amp;";",ROW($1:$99),1),";")),"",ROW($1:$99)),COLUMN(G162))-1)</f>
        <v/>
      </c>
      <c r="AE163" s="75" t="str" cm="1">
        <f t="array" ref="AE163">MID(";"&amp;'CASE DATA'!$F163&amp;";",SMALL(IF(ISERROR(SEARCH(MID(";"&amp;'CASE DATA'!$F163&amp;";",ROW($1:$99),1),";")),"",ROW($1:$99)+1),COLUMN(H163)),SMALL(IF(ISERROR(SEARCH(MID(";"&amp;'CASE DATA'!$F163&amp;";",ROW($1:$99),1),";")),"",ROW($1:$99)),COLUMN(H162)+1)-SMALL(IF(ISERROR(SEARCH(MID(";"&amp;'CASE DATA'!$F163&amp;";",ROW($1:$99),1),";")),"",ROW($1:$99)),COLUMN(H162))-1)</f>
        <v/>
      </c>
      <c r="AF163" s="75" t="str" cm="1">
        <f t="array" ref="AF163">MID(";"&amp;'CASE DATA'!$F163&amp;";",SMALL(IF(ISERROR(SEARCH(MID(";"&amp;'CASE DATA'!$F163&amp;";",ROW($1:$99),1),";")),"",ROW($1:$99)+1),COLUMN(I163)),SMALL(IF(ISERROR(SEARCH(MID(";"&amp;'CASE DATA'!$F163&amp;";",ROW($1:$99),1),";")),"",ROW($1:$99)),COLUMN(I162)+1)-SMALL(IF(ISERROR(SEARCH(MID(";"&amp;'CASE DATA'!$F163&amp;";",ROW($1:$99),1),";")),"",ROW($1:$99)),COLUMN(I162))-1)</f>
        <v/>
      </c>
      <c r="AG163" s="75" t="str" cm="1">
        <f t="array" ref="AG163">MID(";"&amp;'CASE DATA'!$F163&amp;";",SMALL(IF(ISERROR(SEARCH(MID(";"&amp;'CASE DATA'!$F163&amp;";",ROW($1:$99),1),";")),"",ROW($1:$99)+1),COLUMN(K163)),SMALL(IF(ISERROR(SEARCH(MID(";"&amp;'CASE DATA'!$F163&amp;";",ROW($1:$99),1),";")),"",ROW($1:$99)),COLUMN(K162)+1)-SMALL(IF(ISERROR(SEARCH(MID(";"&amp;'CASE DATA'!$F163&amp;";",ROW($1:$99),1),";")),"",ROW($1:$99)),COLUMN(K162))-1)</f>
        <v/>
      </c>
      <c r="AH163" s="75" t="str" cm="1">
        <f t="array" ref="AH163">MID(";"&amp;'CASE DATA'!$F163&amp;";",SMALL(IF(ISERROR(SEARCH(MID(";"&amp;'CASE DATA'!$F163&amp;";",ROW($1:$99),1),";")),"",ROW($1:$99)+1),COLUMN(L163)),SMALL(IF(ISERROR(SEARCH(MID(";"&amp;'CASE DATA'!$F163&amp;";",ROW($1:$99),1),";")),"",ROW($1:$99)),COLUMN(L162)+1)-SMALL(IF(ISERROR(SEARCH(MID(";"&amp;'CASE DATA'!$F163&amp;";",ROW($1:$99),1),";")),"",ROW($1:$99)),COLUMN(L162))-1)</f>
        <v/>
      </c>
      <c r="AI163" s="75" t="str" cm="1">
        <f t="array" ref="AI163">MID(";"&amp;'CASE DATA'!$F163&amp;";",SMALL(IF(ISERROR(SEARCH(MID(";"&amp;'CASE DATA'!$F163&amp;";",ROW($1:$99),1),";")),"",ROW($1:$99)+1),COLUMN(M163)),SMALL(IF(ISERROR(SEARCH(MID(";"&amp;'CASE DATA'!$F163&amp;";",ROW($1:$99),1),";")),"",ROW($1:$99)),COLUMN(M162)+1)-SMALL(IF(ISERROR(SEARCH(MID(";"&amp;'CASE DATA'!$F163&amp;";",ROW($1:$99),1),";")),"",ROW($1:$99)),COLUMN(M162))-1)</f>
        <v/>
      </c>
      <c r="BO163" s="99"/>
      <c r="BP163" s="99"/>
      <c r="BQ163" s="99"/>
      <c r="BR163" s="99"/>
      <c r="BS163" s="99"/>
      <c r="BT163" s="99"/>
      <c r="BU163" s="99"/>
      <c r="BV163" s="99"/>
      <c r="BW163" s="99"/>
      <c r="BX163" s="99"/>
      <c r="BY163" s="99"/>
      <c r="BZ163" s="99"/>
      <c r="CA163" s="99"/>
      <c r="CB163" s="99"/>
      <c r="CC163" s="99"/>
      <c r="CD163" s="99"/>
      <c r="CE163" s="99"/>
      <c r="CF163" s="99"/>
      <c r="CG163" s="99"/>
      <c r="CH163" s="99"/>
      <c r="CI163" s="99"/>
      <c r="CJ163" s="99"/>
      <c r="CK163" s="99"/>
      <c r="CL163" s="99"/>
      <c r="CM163" s="99"/>
      <c r="CN163" s="99"/>
      <c r="CO163" s="99"/>
      <c r="CP163" s="99"/>
      <c r="CQ163" s="99"/>
      <c r="CR163" s="99"/>
      <c r="CS163" s="99"/>
      <c r="CT163" s="99"/>
      <c r="CU163" s="99"/>
      <c r="CV163" s="99"/>
      <c r="CW163" s="99"/>
      <c r="CX163" s="99"/>
      <c r="CY163" s="99"/>
      <c r="CZ163" s="99"/>
      <c r="DA163" s="99"/>
      <c r="DB163" s="99"/>
      <c r="DC163" s="99"/>
      <c r="DD163" s="99"/>
      <c r="DE163" s="99"/>
      <c r="DF163" s="99"/>
      <c r="DG163" s="99"/>
      <c r="DH163" s="99"/>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99"/>
      <c r="EE163" s="99"/>
      <c r="EF163" s="99"/>
      <c r="EG163" s="99"/>
      <c r="EH163" s="99"/>
      <c r="EI163" s="99"/>
      <c r="EJ163" s="99"/>
      <c r="EK163" s="99"/>
      <c r="EL163" s="99"/>
      <c r="EM163" s="99"/>
      <c r="EN163" s="99"/>
      <c r="EO163" s="99"/>
      <c r="EP163" s="99"/>
      <c r="EQ163" s="99"/>
      <c r="ER163" s="99"/>
      <c r="ES163" s="99"/>
      <c r="ET163" s="99"/>
      <c r="EU163" s="99"/>
      <c r="EV163" s="99"/>
      <c r="EW163" s="99"/>
      <c r="EX163" s="99"/>
      <c r="EY163" s="99"/>
      <c r="EZ163" s="99"/>
      <c r="FA163" s="99"/>
      <c r="FB163" s="99"/>
      <c r="FC163" s="99"/>
      <c r="FD163" s="99"/>
      <c r="FE163" s="99"/>
      <c r="FF163" s="99"/>
      <c r="FG163" s="99"/>
      <c r="FH163" s="99"/>
      <c r="FI163" s="99"/>
      <c r="FJ163" s="99"/>
      <c r="FK163" s="99"/>
    </row>
    <row r="164" spans="3:167" x14ac:dyDescent="0.25">
      <c r="C164" s="10"/>
      <c r="D164" s="10"/>
      <c r="E164" s="11"/>
      <c r="F164" s="15"/>
      <c r="J164" s="99">
        <v>161</v>
      </c>
      <c r="K164" s="16"/>
      <c r="L164" s="16"/>
      <c r="M164" s="16"/>
      <c r="N164" s="16"/>
      <c r="O164" s="16"/>
      <c r="P164" s="16"/>
      <c r="Q164" s="16"/>
      <c r="R164" s="16"/>
      <c r="S164" s="16"/>
      <c r="T164" s="16"/>
      <c r="U164" s="14">
        <f>SUM(K164:T164)</f>
        <v>0</v>
      </c>
      <c r="V164" s="14"/>
      <c r="X164" s="75" t="str" cm="1">
        <f t="array" ref="X164">MID(";"&amp;'CASE DATA'!$F164&amp;";",SMALL(IF(ISERROR(SEARCH(MID(";"&amp;'CASE DATA'!$F164&amp;";",ROW($1:$99),1),";")),"",ROW($1:$99)+1),COLUMN(A164)),SMALL(IF(ISERROR(SEARCH(MID(";"&amp;'CASE DATA'!$F164&amp;";",ROW($1:$99),1),";")),"",ROW($1:$99)),COLUMN(A163)+1)-SMALL(IF(ISERROR(SEARCH(MID(";"&amp;'CASE DATA'!$F164&amp;";",ROW($1:$99),1),";")),"",ROW($1:$99)),COLUMN(A163))-1)</f>
        <v/>
      </c>
      <c r="Y164" s="75" t="str" cm="1">
        <f t="array" ref="Y164">MID(";"&amp;'CASE DATA'!$F164&amp;";",SMALL(IF(ISERROR(SEARCH(MID(";"&amp;'CASE DATA'!$F164&amp;";",ROW($1:$99),1),";")),"",ROW($1:$99)+1),COLUMN(B164)),SMALL(IF(ISERROR(SEARCH(MID(";"&amp;'CASE DATA'!$F164&amp;";",ROW($1:$99),1),";")),"",ROW($1:$99)),COLUMN(B163)+1)-SMALL(IF(ISERROR(SEARCH(MID(";"&amp;'CASE DATA'!$F164&amp;";",ROW($1:$99),1),";")),"",ROW($1:$99)),COLUMN(B163))-1)</f>
        <v/>
      </c>
      <c r="Z164" s="75" t="str" cm="1">
        <f t="array" ref="Z164">MID(";"&amp;'CASE DATA'!$F164&amp;";",SMALL(IF(ISERROR(SEARCH(MID(";"&amp;'CASE DATA'!$F164&amp;";",ROW($1:$99),1),";")),"",ROW($1:$99)+1),COLUMN(C164)),SMALL(IF(ISERROR(SEARCH(MID(";"&amp;'CASE DATA'!$F164&amp;";",ROW($1:$99),1),";")),"",ROW($1:$99)),COLUMN(C163)+1)-SMALL(IF(ISERROR(SEARCH(MID(";"&amp;'CASE DATA'!$F164&amp;";",ROW($1:$99),1),";")),"",ROW($1:$99)),COLUMN(C163))-1)</f>
        <v/>
      </c>
      <c r="AA164" s="75" t="str" cm="1">
        <f t="array" ref="AA164">MID(";"&amp;'CASE DATA'!$F164&amp;";",SMALL(IF(ISERROR(SEARCH(MID(";"&amp;'CASE DATA'!$F164&amp;";",ROW($1:$99),1),";")),"",ROW($1:$99)+1),COLUMN(D164)),SMALL(IF(ISERROR(SEARCH(MID(";"&amp;'CASE DATA'!$F164&amp;";",ROW($1:$99),1),";")),"",ROW($1:$99)),COLUMN(D163)+1)-SMALL(IF(ISERROR(SEARCH(MID(";"&amp;'CASE DATA'!$F164&amp;";",ROW($1:$99),1),";")),"",ROW($1:$99)),COLUMN(D163))-1)</f>
        <v/>
      </c>
      <c r="AB164" s="75" t="str" cm="1">
        <f t="array" ref="AB164">MID(";"&amp;'CASE DATA'!$F164&amp;";",SMALL(IF(ISERROR(SEARCH(MID(";"&amp;'CASE DATA'!$F164&amp;";",ROW($1:$99),1),";")),"",ROW($1:$99)+1),COLUMN(E164)),SMALL(IF(ISERROR(SEARCH(MID(";"&amp;'CASE DATA'!$F164&amp;";",ROW($1:$99),1),";")),"",ROW($1:$99)),COLUMN(E163)+1)-SMALL(IF(ISERROR(SEARCH(MID(";"&amp;'CASE DATA'!$F164&amp;";",ROW($1:$99),1),";")),"",ROW($1:$99)),COLUMN(E163))-1)</f>
        <v/>
      </c>
      <c r="AC164" s="75" t="str" cm="1">
        <f t="array" ref="AC164">MID(";"&amp;'CASE DATA'!$F164&amp;";",SMALL(IF(ISERROR(SEARCH(MID(";"&amp;'CASE DATA'!$F164&amp;";",ROW($1:$99),1),";")),"",ROW($1:$99)+1),COLUMN(F164)),SMALL(IF(ISERROR(SEARCH(MID(";"&amp;'CASE DATA'!$F164&amp;";",ROW($1:$99),1),";")),"",ROW($1:$99)),COLUMN(F163)+1)-SMALL(IF(ISERROR(SEARCH(MID(";"&amp;'CASE DATA'!$F164&amp;";",ROW($1:$99),1),";")),"",ROW($1:$99)),COLUMN(F163))-1)</f>
        <v/>
      </c>
      <c r="AD164" s="75" t="str" cm="1">
        <f t="array" ref="AD164">MID(";"&amp;'CASE DATA'!$F164&amp;";",SMALL(IF(ISERROR(SEARCH(MID(";"&amp;'CASE DATA'!$F164&amp;";",ROW($1:$99),1),";")),"",ROW($1:$99)+1),COLUMN(G164)),SMALL(IF(ISERROR(SEARCH(MID(";"&amp;'CASE DATA'!$F164&amp;";",ROW($1:$99),1),";")),"",ROW($1:$99)),COLUMN(G163)+1)-SMALL(IF(ISERROR(SEARCH(MID(";"&amp;'CASE DATA'!$F164&amp;";",ROW($1:$99),1),";")),"",ROW($1:$99)),COLUMN(G163))-1)</f>
        <v/>
      </c>
      <c r="AE164" s="75" t="str" cm="1">
        <f t="array" ref="AE164">MID(";"&amp;'CASE DATA'!$F164&amp;";",SMALL(IF(ISERROR(SEARCH(MID(";"&amp;'CASE DATA'!$F164&amp;";",ROW($1:$99),1),";")),"",ROW($1:$99)+1),COLUMN(H164)),SMALL(IF(ISERROR(SEARCH(MID(";"&amp;'CASE DATA'!$F164&amp;";",ROW($1:$99),1),";")),"",ROW($1:$99)),COLUMN(H163)+1)-SMALL(IF(ISERROR(SEARCH(MID(";"&amp;'CASE DATA'!$F164&amp;";",ROW($1:$99),1),";")),"",ROW($1:$99)),COLUMN(H163))-1)</f>
        <v/>
      </c>
      <c r="AF164" s="75" t="str" cm="1">
        <f t="array" ref="AF164">MID(";"&amp;'CASE DATA'!$F164&amp;";",SMALL(IF(ISERROR(SEARCH(MID(";"&amp;'CASE DATA'!$F164&amp;";",ROW($1:$99),1),";")),"",ROW($1:$99)+1),COLUMN(I164)),SMALL(IF(ISERROR(SEARCH(MID(";"&amp;'CASE DATA'!$F164&amp;";",ROW($1:$99),1),";")),"",ROW($1:$99)),COLUMN(I163)+1)-SMALL(IF(ISERROR(SEARCH(MID(";"&amp;'CASE DATA'!$F164&amp;";",ROW($1:$99),1),";")),"",ROW($1:$99)),COLUMN(I163))-1)</f>
        <v/>
      </c>
      <c r="AG164" s="75" t="str" cm="1">
        <f t="array" ref="AG164">MID(";"&amp;'CASE DATA'!$F164&amp;";",SMALL(IF(ISERROR(SEARCH(MID(";"&amp;'CASE DATA'!$F164&amp;";",ROW($1:$99),1),";")),"",ROW($1:$99)+1),COLUMN(K164)),SMALL(IF(ISERROR(SEARCH(MID(";"&amp;'CASE DATA'!$F164&amp;";",ROW($1:$99),1),";")),"",ROW($1:$99)),COLUMN(K163)+1)-SMALL(IF(ISERROR(SEARCH(MID(";"&amp;'CASE DATA'!$F164&amp;";",ROW($1:$99),1),";")),"",ROW($1:$99)),COLUMN(K163))-1)</f>
        <v/>
      </c>
      <c r="AH164" s="75" t="str" cm="1">
        <f t="array" ref="AH164">MID(";"&amp;'CASE DATA'!$F164&amp;";",SMALL(IF(ISERROR(SEARCH(MID(";"&amp;'CASE DATA'!$F164&amp;";",ROW($1:$99),1),";")),"",ROW($1:$99)+1),COLUMN(L164)),SMALL(IF(ISERROR(SEARCH(MID(";"&amp;'CASE DATA'!$F164&amp;";",ROW($1:$99),1),";")),"",ROW($1:$99)),COLUMN(L163)+1)-SMALL(IF(ISERROR(SEARCH(MID(";"&amp;'CASE DATA'!$F164&amp;";",ROW($1:$99),1),";")),"",ROW($1:$99)),COLUMN(L163))-1)</f>
        <v/>
      </c>
      <c r="AI164" s="75" t="str" cm="1">
        <f t="array" ref="AI164">MID(";"&amp;'CASE DATA'!$F164&amp;";",SMALL(IF(ISERROR(SEARCH(MID(";"&amp;'CASE DATA'!$F164&amp;";",ROW($1:$99),1),";")),"",ROW($1:$99)+1),COLUMN(M164)),SMALL(IF(ISERROR(SEARCH(MID(";"&amp;'CASE DATA'!$F164&amp;";",ROW($1:$99),1),";")),"",ROW($1:$99)),COLUMN(M163)+1)-SMALL(IF(ISERROR(SEARCH(MID(";"&amp;'CASE DATA'!$F164&amp;";",ROW($1:$99),1),";")),"",ROW($1:$99)),COLUMN(M163))-1)</f>
        <v/>
      </c>
      <c r="BO164" s="99"/>
      <c r="BP164" s="99"/>
      <c r="BQ164" s="99"/>
      <c r="BR164" s="99"/>
      <c r="BS164" s="99"/>
      <c r="BT164" s="99"/>
      <c r="BU164" s="99"/>
      <c r="BV164" s="99"/>
      <c r="BW164" s="99"/>
      <c r="BX164" s="99"/>
      <c r="BY164" s="99"/>
      <c r="BZ164" s="99"/>
      <c r="CA164" s="99"/>
      <c r="CB164" s="99"/>
      <c r="CC164" s="99"/>
      <c r="CD164" s="99"/>
      <c r="CE164" s="99"/>
      <c r="CF164" s="99"/>
      <c r="CG164" s="99"/>
      <c r="CH164" s="99"/>
      <c r="CI164" s="99"/>
      <c r="CJ164" s="99"/>
      <c r="CK164" s="99"/>
      <c r="CL164" s="99"/>
      <c r="CM164" s="99"/>
      <c r="CN164" s="99"/>
      <c r="CO164" s="99"/>
      <c r="CP164" s="99"/>
      <c r="CQ164" s="99"/>
      <c r="CR164" s="99"/>
      <c r="CS164" s="99"/>
      <c r="CT164" s="99"/>
      <c r="CU164" s="99"/>
      <c r="CV164" s="99"/>
      <c r="CW164" s="99"/>
      <c r="CX164" s="99"/>
      <c r="CY164" s="99"/>
      <c r="CZ164" s="99"/>
      <c r="DA164" s="99"/>
      <c r="DB164" s="99"/>
      <c r="DC164" s="99"/>
      <c r="DD164" s="99"/>
      <c r="DE164" s="99"/>
      <c r="DF164" s="99"/>
      <c r="DG164" s="99"/>
      <c r="DH164" s="99"/>
      <c r="DI164" s="99"/>
      <c r="DJ164" s="99"/>
      <c r="DK164" s="99"/>
      <c r="DL164" s="99"/>
      <c r="DM164" s="99"/>
      <c r="DN164" s="99"/>
      <c r="DO164" s="99"/>
      <c r="DP164" s="99"/>
      <c r="DQ164" s="99"/>
      <c r="DR164" s="99"/>
      <c r="DS164" s="99"/>
      <c r="DT164" s="99"/>
      <c r="DU164" s="99"/>
      <c r="DV164" s="99"/>
      <c r="DW164" s="99"/>
      <c r="DX164" s="99"/>
      <c r="DY164" s="99"/>
      <c r="DZ164" s="99"/>
      <c r="EA164" s="99"/>
      <c r="EB164" s="99"/>
      <c r="EC164" s="99"/>
      <c r="ED164" s="99"/>
      <c r="EE164" s="99"/>
      <c r="EF164" s="99"/>
      <c r="EG164" s="99"/>
      <c r="EH164" s="99"/>
      <c r="EI164" s="99"/>
      <c r="EJ164" s="99"/>
      <c r="EK164" s="99"/>
      <c r="EL164" s="99"/>
      <c r="EM164" s="99"/>
      <c r="EN164" s="99"/>
      <c r="EO164" s="99"/>
      <c r="EP164" s="99"/>
      <c r="EQ164" s="99"/>
      <c r="ER164" s="99"/>
      <c r="ES164" s="99"/>
      <c r="ET164" s="99"/>
      <c r="EU164" s="99"/>
      <c r="EV164" s="99"/>
      <c r="EW164" s="99"/>
      <c r="EX164" s="99"/>
      <c r="EY164" s="99"/>
      <c r="EZ164" s="99"/>
      <c r="FA164" s="99"/>
      <c r="FB164" s="99"/>
      <c r="FC164" s="99"/>
      <c r="FD164" s="99"/>
      <c r="FE164" s="99"/>
      <c r="FF164" s="99"/>
      <c r="FG164" s="99"/>
      <c r="FH164" s="99"/>
      <c r="FI164" s="99"/>
      <c r="FJ164" s="99"/>
      <c r="FK164" s="99"/>
    </row>
    <row r="165" spans="3:167" x14ac:dyDescent="0.25">
      <c r="C165" s="10"/>
      <c r="D165" s="10"/>
      <c r="E165" s="11"/>
      <c r="F165" s="15"/>
      <c r="J165" s="99">
        <v>162</v>
      </c>
      <c r="K165" s="16"/>
      <c r="L165" s="16"/>
      <c r="M165" s="16"/>
      <c r="N165" s="16"/>
      <c r="O165" s="16"/>
      <c r="P165" s="16"/>
      <c r="Q165" s="16"/>
      <c r="R165" s="16"/>
      <c r="S165" s="16"/>
      <c r="T165" s="16"/>
      <c r="U165" s="14">
        <f>SUM(K165:T165)</f>
        <v>0</v>
      </c>
      <c r="V165" s="14"/>
      <c r="X165" s="75" t="str" cm="1">
        <f t="array" ref="X165">MID(";"&amp;'CASE DATA'!$F165&amp;";",SMALL(IF(ISERROR(SEARCH(MID(";"&amp;'CASE DATA'!$F165&amp;";",ROW($1:$99),1),";")),"",ROW($1:$99)+1),COLUMN(A165)),SMALL(IF(ISERROR(SEARCH(MID(";"&amp;'CASE DATA'!$F165&amp;";",ROW($1:$99),1),";")),"",ROW($1:$99)),COLUMN(A164)+1)-SMALL(IF(ISERROR(SEARCH(MID(";"&amp;'CASE DATA'!$F165&amp;";",ROW($1:$99),1),";")),"",ROW($1:$99)),COLUMN(A164))-1)</f>
        <v/>
      </c>
      <c r="Y165" s="75" t="str" cm="1">
        <f t="array" ref="Y165">MID(";"&amp;'CASE DATA'!$F165&amp;";",SMALL(IF(ISERROR(SEARCH(MID(";"&amp;'CASE DATA'!$F165&amp;";",ROW($1:$99),1),";")),"",ROW($1:$99)+1),COLUMN(B165)),SMALL(IF(ISERROR(SEARCH(MID(";"&amp;'CASE DATA'!$F165&amp;";",ROW($1:$99),1),";")),"",ROW($1:$99)),COLUMN(B164)+1)-SMALL(IF(ISERROR(SEARCH(MID(";"&amp;'CASE DATA'!$F165&amp;";",ROW($1:$99),1),";")),"",ROW($1:$99)),COLUMN(B164))-1)</f>
        <v/>
      </c>
      <c r="Z165" s="75" t="str" cm="1">
        <f t="array" ref="Z165">MID(";"&amp;'CASE DATA'!$F165&amp;";",SMALL(IF(ISERROR(SEARCH(MID(";"&amp;'CASE DATA'!$F165&amp;";",ROW($1:$99),1),";")),"",ROW($1:$99)+1),COLUMN(C165)),SMALL(IF(ISERROR(SEARCH(MID(";"&amp;'CASE DATA'!$F165&amp;";",ROW($1:$99),1),";")),"",ROW($1:$99)),COLUMN(C164)+1)-SMALL(IF(ISERROR(SEARCH(MID(";"&amp;'CASE DATA'!$F165&amp;";",ROW($1:$99),1),";")),"",ROW($1:$99)),COLUMN(C164))-1)</f>
        <v/>
      </c>
      <c r="AA165" s="75" t="str" cm="1">
        <f t="array" ref="AA165">MID(";"&amp;'CASE DATA'!$F165&amp;";",SMALL(IF(ISERROR(SEARCH(MID(";"&amp;'CASE DATA'!$F165&amp;";",ROW($1:$99),1),";")),"",ROW($1:$99)+1),COLUMN(D165)),SMALL(IF(ISERROR(SEARCH(MID(";"&amp;'CASE DATA'!$F165&amp;";",ROW($1:$99),1),";")),"",ROW($1:$99)),COLUMN(D164)+1)-SMALL(IF(ISERROR(SEARCH(MID(";"&amp;'CASE DATA'!$F165&amp;";",ROW($1:$99),1),";")),"",ROW($1:$99)),COLUMN(D164))-1)</f>
        <v/>
      </c>
      <c r="AB165" s="75" t="str" cm="1">
        <f t="array" ref="AB165">MID(";"&amp;'CASE DATA'!$F165&amp;";",SMALL(IF(ISERROR(SEARCH(MID(";"&amp;'CASE DATA'!$F165&amp;";",ROW($1:$99),1),";")),"",ROW($1:$99)+1),COLUMN(E165)),SMALL(IF(ISERROR(SEARCH(MID(";"&amp;'CASE DATA'!$F165&amp;";",ROW($1:$99),1),";")),"",ROW($1:$99)),COLUMN(E164)+1)-SMALL(IF(ISERROR(SEARCH(MID(";"&amp;'CASE DATA'!$F165&amp;";",ROW($1:$99),1),";")),"",ROW($1:$99)),COLUMN(E164))-1)</f>
        <v/>
      </c>
      <c r="AC165" s="75" t="str" cm="1">
        <f t="array" ref="AC165">MID(";"&amp;'CASE DATA'!$F165&amp;";",SMALL(IF(ISERROR(SEARCH(MID(";"&amp;'CASE DATA'!$F165&amp;";",ROW($1:$99),1),";")),"",ROW($1:$99)+1),COLUMN(F165)),SMALL(IF(ISERROR(SEARCH(MID(";"&amp;'CASE DATA'!$F165&amp;";",ROW($1:$99),1),";")),"",ROW($1:$99)),COLUMN(F164)+1)-SMALL(IF(ISERROR(SEARCH(MID(";"&amp;'CASE DATA'!$F165&amp;";",ROW($1:$99),1),";")),"",ROW($1:$99)),COLUMN(F164))-1)</f>
        <v/>
      </c>
      <c r="AD165" s="75" t="str" cm="1">
        <f t="array" ref="AD165">MID(";"&amp;'CASE DATA'!$F165&amp;";",SMALL(IF(ISERROR(SEARCH(MID(";"&amp;'CASE DATA'!$F165&amp;";",ROW($1:$99),1),";")),"",ROW($1:$99)+1),COLUMN(G165)),SMALL(IF(ISERROR(SEARCH(MID(";"&amp;'CASE DATA'!$F165&amp;";",ROW($1:$99),1),";")),"",ROW($1:$99)),COLUMN(G164)+1)-SMALL(IF(ISERROR(SEARCH(MID(";"&amp;'CASE DATA'!$F165&amp;";",ROW($1:$99),1),";")),"",ROW($1:$99)),COLUMN(G164))-1)</f>
        <v/>
      </c>
      <c r="AE165" s="75" t="str" cm="1">
        <f t="array" ref="AE165">MID(";"&amp;'CASE DATA'!$F165&amp;";",SMALL(IF(ISERROR(SEARCH(MID(";"&amp;'CASE DATA'!$F165&amp;";",ROW($1:$99),1),";")),"",ROW($1:$99)+1),COLUMN(H165)),SMALL(IF(ISERROR(SEARCH(MID(";"&amp;'CASE DATA'!$F165&amp;";",ROW($1:$99),1),";")),"",ROW($1:$99)),COLUMN(H164)+1)-SMALL(IF(ISERROR(SEARCH(MID(";"&amp;'CASE DATA'!$F165&amp;";",ROW($1:$99),1),";")),"",ROW($1:$99)),COLUMN(H164))-1)</f>
        <v/>
      </c>
      <c r="AF165" s="75" t="str" cm="1">
        <f t="array" ref="AF165">MID(";"&amp;'CASE DATA'!$F165&amp;";",SMALL(IF(ISERROR(SEARCH(MID(";"&amp;'CASE DATA'!$F165&amp;";",ROW($1:$99),1),";")),"",ROW($1:$99)+1),COLUMN(I165)),SMALL(IF(ISERROR(SEARCH(MID(";"&amp;'CASE DATA'!$F165&amp;";",ROW($1:$99),1),";")),"",ROW($1:$99)),COLUMN(I164)+1)-SMALL(IF(ISERROR(SEARCH(MID(";"&amp;'CASE DATA'!$F165&amp;";",ROW($1:$99),1),";")),"",ROW($1:$99)),COLUMN(I164))-1)</f>
        <v/>
      </c>
      <c r="AG165" s="75" t="str" cm="1">
        <f t="array" ref="AG165">MID(";"&amp;'CASE DATA'!$F165&amp;";",SMALL(IF(ISERROR(SEARCH(MID(";"&amp;'CASE DATA'!$F165&amp;";",ROW($1:$99),1),";")),"",ROW($1:$99)+1),COLUMN(K165)),SMALL(IF(ISERROR(SEARCH(MID(";"&amp;'CASE DATA'!$F165&amp;";",ROW($1:$99),1),";")),"",ROW($1:$99)),COLUMN(K164)+1)-SMALL(IF(ISERROR(SEARCH(MID(";"&amp;'CASE DATA'!$F165&amp;";",ROW($1:$99),1),";")),"",ROW($1:$99)),COLUMN(K164))-1)</f>
        <v/>
      </c>
      <c r="AH165" s="75" t="str" cm="1">
        <f t="array" ref="AH165">MID(";"&amp;'CASE DATA'!$F165&amp;";",SMALL(IF(ISERROR(SEARCH(MID(";"&amp;'CASE DATA'!$F165&amp;";",ROW($1:$99),1),";")),"",ROW($1:$99)+1),COLUMN(L165)),SMALL(IF(ISERROR(SEARCH(MID(";"&amp;'CASE DATA'!$F165&amp;";",ROW($1:$99),1),";")),"",ROW($1:$99)),COLUMN(L164)+1)-SMALL(IF(ISERROR(SEARCH(MID(";"&amp;'CASE DATA'!$F165&amp;";",ROW($1:$99),1),";")),"",ROW($1:$99)),COLUMN(L164))-1)</f>
        <v/>
      </c>
      <c r="AI165" s="75" t="str" cm="1">
        <f t="array" ref="AI165">MID(";"&amp;'CASE DATA'!$F165&amp;";",SMALL(IF(ISERROR(SEARCH(MID(";"&amp;'CASE DATA'!$F165&amp;";",ROW($1:$99),1),";")),"",ROW($1:$99)+1),COLUMN(M165)),SMALL(IF(ISERROR(SEARCH(MID(";"&amp;'CASE DATA'!$F165&amp;";",ROW($1:$99),1),";")),"",ROW($1:$99)),COLUMN(M164)+1)-SMALL(IF(ISERROR(SEARCH(MID(";"&amp;'CASE DATA'!$F165&amp;";",ROW($1:$99),1),";")),"",ROW($1:$99)),COLUMN(M164))-1)</f>
        <v/>
      </c>
      <c r="BO165" s="99"/>
      <c r="BP165" s="99"/>
      <c r="BQ165" s="99"/>
      <c r="BR165" s="99"/>
      <c r="BS165" s="99"/>
      <c r="BT165" s="99"/>
      <c r="BU165" s="99"/>
      <c r="BV165" s="99"/>
      <c r="BW165" s="99"/>
      <c r="BX165" s="99"/>
      <c r="BY165" s="99"/>
      <c r="BZ165" s="99"/>
      <c r="CA165" s="99"/>
      <c r="CB165" s="99"/>
      <c r="CC165" s="99"/>
      <c r="CD165" s="99"/>
      <c r="CE165" s="99"/>
      <c r="CF165" s="99"/>
      <c r="CG165" s="99"/>
      <c r="CH165" s="99"/>
      <c r="CI165" s="99"/>
      <c r="CJ165" s="99"/>
      <c r="CK165" s="99"/>
      <c r="CL165" s="99"/>
      <c r="CM165" s="99"/>
      <c r="CN165" s="99"/>
      <c r="CO165" s="99"/>
      <c r="CP165" s="99"/>
      <c r="CQ165" s="99"/>
      <c r="CR165" s="99"/>
      <c r="CS165" s="99"/>
      <c r="CT165" s="99"/>
      <c r="CU165" s="99"/>
      <c r="CV165" s="99"/>
      <c r="CW165" s="99"/>
      <c r="CX165" s="99"/>
      <c r="CY165" s="99"/>
      <c r="CZ165" s="99"/>
      <c r="DA165" s="99"/>
      <c r="DB165" s="99"/>
      <c r="DC165" s="99"/>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99"/>
      <c r="EE165" s="99"/>
      <c r="EF165" s="99"/>
      <c r="EG165" s="99"/>
      <c r="EH165" s="99"/>
      <c r="EI165" s="99"/>
      <c r="EJ165" s="99"/>
      <c r="EK165" s="99"/>
      <c r="EL165" s="99"/>
      <c r="EM165" s="99"/>
      <c r="EN165" s="99"/>
      <c r="EO165" s="99"/>
      <c r="EP165" s="99"/>
      <c r="EQ165" s="99"/>
      <c r="ER165" s="99"/>
      <c r="ES165" s="99"/>
      <c r="ET165" s="99"/>
      <c r="EU165" s="99"/>
      <c r="EV165" s="99"/>
      <c r="EW165" s="99"/>
      <c r="EX165" s="99"/>
      <c r="EY165" s="99"/>
      <c r="EZ165" s="99"/>
      <c r="FA165" s="99"/>
      <c r="FB165" s="99"/>
      <c r="FC165" s="99"/>
      <c r="FD165" s="99"/>
      <c r="FE165" s="99"/>
      <c r="FF165" s="99"/>
      <c r="FG165" s="99"/>
      <c r="FH165" s="99"/>
      <c r="FI165" s="99"/>
      <c r="FJ165" s="99"/>
      <c r="FK165" s="99"/>
    </row>
    <row r="166" spans="3:167" x14ac:dyDescent="0.25">
      <c r="C166" s="10"/>
      <c r="D166" s="10"/>
      <c r="E166" s="11"/>
      <c r="F166" s="15"/>
      <c r="J166" s="99">
        <v>163</v>
      </c>
      <c r="K166" s="16"/>
      <c r="L166" s="16"/>
      <c r="M166" s="16"/>
      <c r="N166" s="16"/>
      <c r="O166" s="16"/>
      <c r="P166" s="16"/>
      <c r="Q166" s="16"/>
      <c r="R166" s="16"/>
      <c r="S166" s="16"/>
      <c r="T166" s="16"/>
      <c r="U166" s="14">
        <f>SUM(K166:T166)</f>
        <v>0</v>
      </c>
      <c r="V166" s="14"/>
      <c r="X166" s="75" t="str" cm="1">
        <f t="array" ref="X166">MID(";"&amp;'CASE DATA'!$F166&amp;";",SMALL(IF(ISERROR(SEARCH(MID(";"&amp;'CASE DATA'!$F166&amp;";",ROW($1:$99),1),";")),"",ROW($1:$99)+1),COLUMN(A166)),SMALL(IF(ISERROR(SEARCH(MID(";"&amp;'CASE DATA'!$F166&amp;";",ROW($1:$99),1),";")),"",ROW($1:$99)),COLUMN(A165)+1)-SMALL(IF(ISERROR(SEARCH(MID(";"&amp;'CASE DATA'!$F166&amp;";",ROW($1:$99),1),";")),"",ROW($1:$99)),COLUMN(A165))-1)</f>
        <v/>
      </c>
      <c r="Y166" s="75" t="str" cm="1">
        <f t="array" ref="Y166">MID(";"&amp;'CASE DATA'!$F166&amp;";",SMALL(IF(ISERROR(SEARCH(MID(";"&amp;'CASE DATA'!$F166&amp;";",ROW($1:$99),1),";")),"",ROW($1:$99)+1),COLUMN(B166)),SMALL(IF(ISERROR(SEARCH(MID(";"&amp;'CASE DATA'!$F166&amp;";",ROW($1:$99),1),";")),"",ROW($1:$99)),COLUMN(B165)+1)-SMALL(IF(ISERROR(SEARCH(MID(";"&amp;'CASE DATA'!$F166&amp;";",ROW($1:$99),1),";")),"",ROW($1:$99)),COLUMN(B165))-1)</f>
        <v/>
      </c>
      <c r="Z166" s="75" t="str" cm="1">
        <f t="array" ref="Z166">MID(";"&amp;'CASE DATA'!$F166&amp;";",SMALL(IF(ISERROR(SEARCH(MID(";"&amp;'CASE DATA'!$F166&amp;";",ROW($1:$99),1),";")),"",ROW($1:$99)+1),COLUMN(C166)),SMALL(IF(ISERROR(SEARCH(MID(";"&amp;'CASE DATA'!$F166&amp;";",ROW($1:$99),1),";")),"",ROW($1:$99)),COLUMN(C165)+1)-SMALL(IF(ISERROR(SEARCH(MID(";"&amp;'CASE DATA'!$F166&amp;";",ROW($1:$99),1),";")),"",ROW($1:$99)),COLUMN(C165))-1)</f>
        <v/>
      </c>
      <c r="AA166" s="75" t="str" cm="1">
        <f t="array" ref="AA166">MID(";"&amp;'CASE DATA'!$F166&amp;";",SMALL(IF(ISERROR(SEARCH(MID(";"&amp;'CASE DATA'!$F166&amp;";",ROW($1:$99),1),";")),"",ROW($1:$99)+1),COLUMN(D166)),SMALL(IF(ISERROR(SEARCH(MID(";"&amp;'CASE DATA'!$F166&amp;";",ROW($1:$99),1),";")),"",ROW($1:$99)),COLUMN(D165)+1)-SMALL(IF(ISERROR(SEARCH(MID(";"&amp;'CASE DATA'!$F166&amp;";",ROW($1:$99),1),";")),"",ROW($1:$99)),COLUMN(D165))-1)</f>
        <v/>
      </c>
      <c r="AB166" s="75" t="str" cm="1">
        <f t="array" ref="AB166">MID(";"&amp;'CASE DATA'!$F166&amp;";",SMALL(IF(ISERROR(SEARCH(MID(";"&amp;'CASE DATA'!$F166&amp;";",ROW($1:$99),1),";")),"",ROW($1:$99)+1),COLUMN(E166)),SMALL(IF(ISERROR(SEARCH(MID(";"&amp;'CASE DATA'!$F166&amp;";",ROW($1:$99),1),";")),"",ROW($1:$99)),COLUMN(E165)+1)-SMALL(IF(ISERROR(SEARCH(MID(";"&amp;'CASE DATA'!$F166&amp;";",ROW($1:$99),1),";")),"",ROW($1:$99)),COLUMN(E165))-1)</f>
        <v/>
      </c>
      <c r="AC166" s="75" t="str" cm="1">
        <f t="array" ref="AC166">MID(";"&amp;'CASE DATA'!$F166&amp;";",SMALL(IF(ISERROR(SEARCH(MID(";"&amp;'CASE DATA'!$F166&amp;";",ROW($1:$99),1),";")),"",ROW($1:$99)+1),COLUMN(F166)),SMALL(IF(ISERROR(SEARCH(MID(";"&amp;'CASE DATA'!$F166&amp;";",ROW($1:$99),1),";")),"",ROW($1:$99)),COLUMN(F165)+1)-SMALL(IF(ISERROR(SEARCH(MID(";"&amp;'CASE DATA'!$F166&amp;";",ROW($1:$99),1),";")),"",ROW($1:$99)),COLUMN(F165))-1)</f>
        <v/>
      </c>
      <c r="AD166" s="75" t="str" cm="1">
        <f t="array" ref="AD166">MID(";"&amp;'CASE DATA'!$F166&amp;";",SMALL(IF(ISERROR(SEARCH(MID(";"&amp;'CASE DATA'!$F166&amp;";",ROW($1:$99),1),";")),"",ROW($1:$99)+1),COLUMN(G166)),SMALL(IF(ISERROR(SEARCH(MID(";"&amp;'CASE DATA'!$F166&amp;";",ROW($1:$99),1),";")),"",ROW($1:$99)),COLUMN(G165)+1)-SMALL(IF(ISERROR(SEARCH(MID(";"&amp;'CASE DATA'!$F166&amp;";",ROW($1:$99),1),";")),"",ROW($1:$99)),COLUMN(G165))-1)</f>
        <v/>
      </c>
      <c r="AE166" s="75" t="str" cm="1">
        <f t="array" ref="AE166">MID(";"&amp;'CASE DATA'!$F166&amp;";",SMALL(IF(ISERROR(SEARCH(MID(";"&amp;'CASE DATA'!$F166&amp;";",ROW($1:$99),1),";")),"",ROW($1:$99)+1),COLUMN(H166)),SMALL(IF(ISERROR(SEARCH(MID(";"&amp;'CASE DATA'!$F166&amp;";",ROW($1:$99),1),";")),"",ROW($1:$99)),COLUMN(H165)+1)-SMALL(IF(ISERROR(SEARCH(MID(";"&amp;'CASE DATA'!$F166&amp;";",ROW($1:$99),1),";")),"",ROW($1:$99)),COLUMN(H165))-1)</f>
        <v/>
      </c>
      <c r="AF166" s="75" t="str" cm="1">
        <f t="array" ref="AF166">MID(";"&amp;'CASE DATA'!$F166&amp;";",SMALL(IF(ISERROR(SEARCH(MID(";"&amp;'CASE DATA'!$F166&amp;";",ROW($1:$99),1),";")),"",ROW($1:$99)+1),COLUMN(I166)),SMALL(IF(ISERROR(SEARCH(MID(";"&amp;'CASE DATA'!$F166&amp;";",ROW($1:$99),1),";")),"",ROW($1:$99)),COLUMN(I165)+1)-SMALL(IF(ISERROR(SEARCH(MID(";"&amp;'CASE DATA'!$F166&amp;";",ROW($1:$99),1),";")),"",ROW($1:$99)),COLUMN(I165))-1)</f>
        <v/>
      </c>
      <c r="AG166" s="75" t="str" cm="1">
        <f t="array" ref="AG166">MID(";"&amp;'CASE DATA'!$F166&amp;";",SMALL(IF(ISERROR(SEARCH(MID(";"&amp;'CASE DATA'!$F166&amp;";",ROW($1:$99),1),";")),"",ROW($1:$99)+1),COLUMN(K166)),SMALL(IF(ISERROR(SEARCH(MID(";"&amp;'CASE DATA'!$F166&amp;";",ROW($1:$99),1),";")),"",ROW($1:$99)),COLUMN(K165)+1)-SMALL(IF(ISERROR(SEARCH(MID(";"&amp;'CASE DATA'!$F166&amp;";",ROW($1:$99),1),";")),"",ROW($1:$99)),COLUMN(K165))-1)</f>
        <v/>
      </c>
      <c r="AH166" s="75" t="str" cm="1">
        <f t="array" ref="AH166">MID(";"&amp;'CASE DATA'!$F166&amp;";",SMALL(IF(ISERROR(SEARCH(MID(";"&amp;'CASE DATA'!$F166&amp;";",ROW($1:$99),1),";")),"",ROW($1:$99)+1),COLUMN(L166)),SMALL(IF(ISERROR(SEARCH(MID(";"&amp;'CASE DATA'!$F166&amp;";",ROW($1:$99),1),";")),"",ROW($1:$99)),COLUMN(L165)+1)-SMALL(IF(ISERROR(SEARCH(MID(";"&amp;'CASE DATA'!$F166&amp;";",ROW($1:$99),1),";")),"",ROW($1:$99)),COLUMN(L165))-1)</f>
        <v/>
      </c>
      <c r="AI166" s="75" t="str" cm="1">
        <f t="array" ref="AI166">MID(";"&amp;'CASE DATA'!$F166&amp;";",SMALL(IF(ISERROR(SEARCH(MID(";"&amp;'CASE DATA'!$F166&amp;";",ROW($1:$99),1),";")),"",ROW($1:$99)+1),COLUMN(M166)),SMALL(IF(ISERROR(SEARCH(MID(";"&amp;'CASE DATA'!$F166&amp;";",ROW($1:$99),1),";")),"",ROW($1:$99)),COLUMN(M165)+1)-SMALL(IF(ISERROR(SEARCH(MID(";"&amp;'CASE DATA'!$F166&amp;";",ROW($1:$99),1),";")),"",ROW($1:$99)),COLUMN(M165))-1)</f>
        <v/>
      </c>
      <c r="BO166" s="99"/>
      <c r="BP166" s="99"/>
      <c r="BQ166" s="99"/>
      <c r="BR166" s="99"/>
      <c r="BS166" s="99"/>
      <c r="BT166" s="99"/>
      <c r="BU166" s="99"/>
      <c r="BV166" s="99"/>
      <c r="BW166" s="99"/>
      <c r="BX166" s="99"/>
      <c r="BY166" s="99"/>
      <c r="BZ166" s="99"/>
      <c r="CA166" s="99"/>
      <c r="CB166" s="99"/>
      <c r="CC166" s="99"/>
      <c r="CD166" s="99"/>
      <c r="CE166" s="99"/>
      <c r="CF166" s="99"/>
      <c r="CG166" s="99"/>
      <c r="CH166" s="99"/>
      <c r="CI166" s="99"/>
      <c r="CJ166" s="99"/>
      <c r="CK166" s="99"/>
      <c r="CL166" s="99"/>
      <c r="CM166" s="99"/>
      <c r="CN166" s="99"/>
      <c r="CO166" s="99"/>
      <c r="CP166" s="99"/>
      <c r="CQ166" s="99"/>
      <c r="CR166" s="99"/>
      <c r="CS166" s="99"/>
      <c r="CT166" s="99"/>
      <c r="CU166" s="99"/>
      <c r="CV166" s="99"/>
      <c r="CW166" s="99"/>
      <c r="CX166" s="99"/>
      <c r="CY166" s="99"/>
      <c r="CZ166" s="99"/>
      <c r="DA166" s="99"/>
      <c r="DB166" s="99"/>
      <c r="DC166" s="99"/>
      <c r="DD166" s="99"/>
      <c r="DE166" s="99"/>
      <c r="DF166" s="99"/>
      <c r="DG166" s="99"/>
      <c r="DH166" s="99"/>
      <c r="DI166" s="99"/>
      <c r="DJ166" s="99"/>
      <c r="DK166" s="99"/>
      <c r="DL166" s="99"/>
      <c r="DM166" s="99"/>
      <c r="DN166" s="99"/>
      <c r="DO166" s="99"/>
      <c r="DP166" s="99"/>
      <c r="DQ166" s="99"/>
      <c r="DR166" s="99"/>
      <c r="DS166" s="99"/>
      <c r="DT166" s="99"/>
      <c r="DU166" s="99"/>
      <c r="DV166" s="99"/>
      <c r="DW166" s="99"/>
      <c r="DX166" s="99"/>
      <c r="DY166" s="99"/>
      <c r="DZ166" s="99"/>
      <c r="EA166" s="99"/>
      <c r="EB166" s="99"/>
      <c r="EC166" s="99"/>
      <c r="ED166" s="99"/>
      <c r="EE166" s="99"/>
      <c r="EF166" s="99"/>
      <c r="EG166" s="99"/>
      <c r="EH166" s="99"/>
      <c r="EI166" s="99"/>
      <c r="EJ166" s="99"/>
      <c r="EK166" s="99"/>
      <c r="EL166" s="99"/>
      <c r="EM166" s="99"/>
      <c r="EN166" s="99"/>
      <c r="EO166" s="99"/>
      <c r="EP166" s="99"/>
      <c r="EQ166" s="99"/>
      <c r="ER166" s="99"/>
      <c r="ES166" s="99"/>
      <c r="ET166" s="99"/>
      <c r="EU166" s="99"/>
      <c r="EV166" s="99"/>
      <c r="EW166" s="99"/>
      <c r="EX166" s="99"/>
      <c r="EY166" s="99"/>
      <c r="EZ166" s="99"/>
      <c r="FA166" s="99"/>
      <c r="FB166" s="99"/>
      <c r="FC166" s="99"/>
      <c r="FD166" s="99"/>
      <c r="FE166" s="99"/>
      <c r="FF166" s="99"/>
      <c r="FG166" s="99"/>
      <c r="FH166" s="99"/>
      <c r="FI166" s="99"/>
      <c r="FJ166" s="99"/>
      <c r="FK166" s="99"/>
    </row>
    <row r="167" spans="3:167" x14ac:dyDescent="0.25">
      <c r="C167" s="10"/>
      <c r="D167" s="10"/>
      <c r="E167" s="11"/>
      <c r="F167" s="15"/>
      <c r="J167" s="99">
        <v>164</v>
      </c>
      <c r="K167" s="16"/>
      <c r="L167" s="16"/>
      <c r="M167" s="16"/>
      <c r="N167" s="16"/>
      <c r="O167" s="16"/>
      <c r="P167" s="16"/>
      <c r="Q167" s="16"/>
      <c r="R167" s="16"/>
      <c r="S167" s="16"/>
      <c r="T167" s="16"/>
      <c r="U167" s="14">
        <f>SUM(K167:T167)</f>
        <v>0</v>
      </c>
      <c r="V167" s="14"/>
      <c r="X167" s="75" t="str" cm="1">
        <f t="array" ref="X167">MID(";"&amp;'CASE DATA'!$F167&amp;";",SMALL(IF(ISERROR(SEARCH(MID(";"&amp;'CASE DATA'!$F167&amp;";",ROW($1:$99),1),";")),"",ROW($1:$99)+1),COLUMN(A167)),SMALL(IF(ISERROR(SEARCH(MID(";"&amp;'CASE DATA'!$F167&amp;";",ROW($1:$99),1),";")),"",ROW($1:$99)),COLUMN(A166)+1)-SMALL(IF(ISERROR(SEARCH(MID(";"&amp;'CASE DATA'!$F167&amp;";",ROW($1:$99),1),";")),"",ROW($1:$99)),COLUMN(A166))-1)</f>
        <v/>
      </c>
      <c r="Y167" s="75" t="str" cm="1">
        <f t="array" ref="Y167">MID(";"&amp;'CASE DATA'!$F167&amp;";",SMALL(IF(ISERROR(SEARCH(MID(";"&amp;'CASE DATA'!$F167&amp;";",ROW($1:$99),1),";")),"",ROW($1:$99)+1),COLUMN(B167)),SMALL(IF(ISERROR(SEARCH(MID(";"&amp;'CASE DATA'!$F167&amp;";",ROW($1:$99),1),";")),"",ROW($1:$99)),COLUMN(B166)+1)-SMALL(IF(ISERROR(SEARCH(MID(";"&amp;'CASE DATA'!$F167&amp;";",ROW($1:$99),1),";")),"",ROW($1:$99)),COLUMN(B166))-1)</f>
        <v/>
      </c>
      <c r="Z167" s="75" t="str" cm="1">
        <f t="array" ref="Z167">MID(";"&amp;'CASE DATA'!$F167&amp;";",SMALL(IF(ISERROR(SEARCH(MID(";"&amp;'CASE DATA'!$F167&amp;";",ROW($1:$99),1),";")),"",ROW($1:$99)+1),COLUMN(C167)),SMALL(IF(ISERROR(SEARCH(MID(";"&amp;'CASE DATA'!$F167&amp;";",ROW($1:$99),1),";")),"",ROW($1:$99)),COLUMN(C166)+1)-SMALL(IF(ISERROR(SEARCH(MID(";"&amp;'CASE DATA'!$F167&amp;";",ROW($1:$99),1),";")),"",ROW($1:$99)),COLUMN(C166))-1)</f>
        <v/>
      </c>
      <c r="AA167" s="75" t="str" cm="1">
        <f t="array" ref="AA167">MID(";"&amp;'CASE DATA'!$F167&amp;";",SMALL(IF(ISERROR(SEARCH(MID(";"&amp;'CASE DATA'!$F167&amp;";",ROW($1:$99),1),";")),"",ROW($1:$99)+1),COLUMN(D167)),SMALL(IF(ISERROR(SEARCH(MID(";"&amp;'CASE DATA'!$F167&amp;";",ROW($1:$99),1),";")),"",ROW($1:$99)),COLUMN(D166)+1)-SMALL(IF(ISERROR(SEARCH(MID(";"&amp;'CASE DATA'!$F167&amp;";",ROW($1:$99),1),";")),"",ROW($1:$99)),COLUMN(D166))-1)</f>
        <v/>
      </c>
      <c r="AB167" s="75" t="str" cm="1">
        <f t="array" ref="AB167">MID(";"&amp;'CASE DATA'!$F167&amp;";",SMALL(IF(ISERROR(SEARCH(MID(";"&amp;'CASE DATA'!$F167&amp;";",ROW($1:$99),1),";")),"",ROW($1:$99)+1),COLUMN(E167)),SMALL(IF(ISERROR(SEARCH(MID(";"&amp;'CASE DATA'!$F167&amp;";",ROW($1:$99),1),";")),"",ROW($1:$99)),COLUMN(E166)+1)-SMALL(IF(ISERROR(SEARCH(MID(";"&amp;'CASE DATA'!$F167&amp;";",ROW($1:$99),1),";")),"",ROW($1:$99)),COLUMN(E166))-1)</f>
        <v/>
      </c>
      <c r="AC167" s="75" t="str" cm="1">
        <f t="array" ref="AC167">MID(";"&amp;'CASE DATA'!$F167&amp;";",SMALL(IF(ISERROR(SEARCH(MID(";"&amp;'CASE DATA'!$F167&amp;";",ROW($1:$99),1),";")),"",ROW($1:$99)+1),COLUMN(F167)),SMALL(IF(ISERROR(SEARCH(MID(";"&amp;'CASE DATA'!$F167&amp;";",ROW($1:$99),1),";")),"",ROW($1:$99)),COLUMN(F166)+1)-SMALL(IF(ISERROR(SEARCH(MID(";"&amp;'CASE DATA'!$F167&amp;";",ROW($1:$99),1),";")),"",ROW($1:$99)),COLUMN(F166))-1)</f>
        <v/>
      </c>
      <c r="AD167" s="75" t="str" cm="1">
        <f t="array" ref="AD167">MID(";"&amp;'CASE DATA'!$F167&amp;";",SMALL(IF(ISERROR(SEARCH(MID(";"&amp;'CASE DATA'!$F167&amp;";",ROW($1:$99),1),";")),"",ROW($1:$99)+1),COLUMN(G167)),SMALL(IF(ISERROR(SEARCH(MID(";"&amp;'CASE DATA'!$F167&amp;";",ROW($1:$99),1),";")),"",ROW($1:$99)),COLUMN(G166)+1)-SMALL(IF(ISERROR(SEARCH(MID(";"&amp;'CASE DATA'!$F167&amp;";",ROW($1:$99),1),";")),"",ROW($1:$99)),COLUMN(G166))-1)</f>
        <v/>
      </c>
      <c r="AE167" s="75" t="str" cm="1">
        <f t="array" ref="AE167">MID(";"&amp;'CASE DATA'!$F167&amp;";",SMALL(IF(ISERROR(SEARCH(MID(";"&amp;'CASE DATA'!$F167&amp;";",ROW($1:$99),1),";")),"",ROW($1:$99)+1),COLUMN(H167)),SMALL(IF(ISERROR(SEARCH(MID(";"&amp;'CASE DATA'!$F167&amp;";",ROW($1:$99),1),";")),"",ROW($1:$99)),COLUMN(H166)+1)-SMALL(IF(ISERROR(SEARCH(MID(";"&amp;'CASE DATA'!$F167&amp;";",ROW($1:$99),1),";")),"",ROW($1:$99)),COLUMN(H166))-1)</f>
        <v/>
      </c>
      <c r="AF167" s="75" t="str" cm="1">
        <f t="array" ref="AF167">MID(";"&amp;'CASE DATA'!$F167&amp;";",SMALL(IF(ISERROR(SEARCH(MID(";"&amp;'CASE DATA'!$F167&amp;";",ROW($1:$99),1),";")),"",ROW($1:$99)+1),COLUMN(I167)),SMALL(IF(ISERROR(SEARCH(MID(";"&amp;'CASE DATA'!$F167&amp;";",ROW($1:$99),1),";")),"",ROW($1:$99)),COLUMN(I166)+1)-SMALL(IF(ISERROR(SEARCH(MID(";"&amp;'CASE DATA'!$F167&amp;";",ROW($1:$99),1),";")),"",ROW($1:$99)),COLUMN(I166))-1)</f>
        <v/>
      </c>
      <c r="AG167" s="75" t="str" cm="1">
        <f t="array" ref="AG167">MID(";"&amp;'CASE DATA'!$F167&amp;";",SMALL(IF(ISERROR(SEARCH(MID(";"&amp;'CASE DATA'!$F167&amp;";",ROW($1:$99),1),";")),"",ROW($1:$99)+1),COLUMN(K167)),SMALL(IF(ISERROR(SEARCH(MID(";"&amp;'CASE DATA'!$F167&amp;";",ROW($1:$99),1),";")),"",ROW($1:$99)),COLUMN(K166)+1)-SMALL(IF(ISERROR(SEARCH(MID(";"&amp;'CASE DATA'!$F167&amp;";",ROW($1:$99),1),";")),"",ROW($1:$99)),COLUMN(K166))-1)</f>
        <v/>
      </c>
      <c r="AH167" s="75" t="str" cm="1">
        <f t="array" ref="AH167">MID(";"&amp;'CASE DATA'!$F167&amp;";",SMALL(IF(ISERROR(SEARCH(MID(";"&amp;'CASE DATA'!$F167&amp;";",ROW($1:$99),1),";")),"",ROW($1:$99)+1),COLUMN(L167)),SMALL(IF(ISERROR(SEARCH(MID(";"&amp;'CASE DATA'!$F167&amp;";",ROW($1:$99),1),";")),"",ROW($1:$99)),COLUMN(L166)+1)-SMALL(IF(ISERROR(SEARCH(MID(";"&amp;'CASE DATA'!$F167&amp;";",ROW($1:$99),1),";")),"",ROW($1:$99)),COLUMN(L166))-1)</f>
        <v/>
      </c>
      <c r="AI167" s="75" t="str" cm="1">
        <f t="array" ref="AI167">MID(";"&amp;'CASE DATA'!$F167&amp;";",SMALL(IF(ISERROR(SEARCH(MID(";"&amp;'CASE DATA'!$F167&amp;";",ROW($1:$99),1),";")),"",ROW($1:$99)+1),COLUMN(M167)),SMALL(IF(ISERROR(SEARCH(MID(";"&amp;'CASE DATA'!$F167&amp;";",ROW($1:$99),1),";")),"",ROW($1:$99)),COLUMN(M166)+1)-SMALL(IF(ISERROR(SEARCH(MID(";"&amp;'CASE DATA'!$F167&amp;";",ROW($1:$99),1),";")),"",ROW($1:$99)),COLUMN(M166))-1)</f>
        <v/>
      </c>
      <c r="BO167" s="99"/>
      <c r="BP167" s="99"/>
      <c r="BQ167" s="99"/>
      <c r="BR167" s="99"/>
      <c r="BS167" s="99"/>
      <c r="BT167" s="99"/>
      <c r="BU167" s="99"/>
      <c r="BV167" s="99"/>
      <c r="BW167" s="99"/>
      <c r="BX167" s="99"/>
      <c r="BY167" s="99"/>
      <c r="BZ167" s="99"/>
      <c r="CA167" s="99"/>
      <c r="CB167" s="99"/>
      <c r="CC167" s="99"/>
      <c r="CD167" s="99"/>
      <c r="CE167" s="99"/>
      <c r="CF167" s="99"/>
      <c r="CG167" s="99"/>
      <c r="CH167" s="99"/>
      <c r="CI167" s="99"/>
      <c r="CJ167" s="99"/>
      <c r="CK167" s="99"/>
      <c r="CL167" s="99"/>
      <c r="CM167" s="99"/>
      <c r="CN167" s="99"/>
      <c r="CO167" s="99"/>
      <c r="CP167" s="99"/>
      <c r="CQ167" s="99"/>
      <c r="CR167" s="99"/>
      <c r="CS167" s="99"/>
      <c r="CT167" s="99"/>
      <c r="CU167" s="99"/>
      <c r="CV167" s="99"/>
      <c r="CW167" s="99"/>
      <c r="CX167" s="99"/>
      <c r="CY167" s="99"/>
      <c r="CZ167" s="99"/>
      <c r="DA167" s="99"/>
      <c r="DB167" s="99"/>
      <c r="DC167" s="99"/>
      <c r="DD167" s="99"/>
      <c r="DE167" s="99"/>
      <c r="DF167" s="99"/>
      <c r="DG167" s="99"/>
      <c r="DH167" s="99"/>
      <c r="DI167" s="99"/>
      <c r="DJ167" s="99"/>
      <c r="DK167" s="99"/>
      <c r="DL167" s="99"/>
      <c r="DM167" s="99"/>
      <c r="DN167" s="99"/>
      <c r="DO167" s="99"/>
      <c r="DP167" s="99"/>
      <c r="DQ167" s="99"/>
      <c r="DR167" s="99"/>
      <c r="DS167" s="99"/>
      <c r="DT167" s="99"/>
      <c r="DU167" s="99"/>
      <c r="DV167" s="99"/>
      <c r="DW167" s="99"/>
      <c r="DX167" s="99"/>
      <c r="DY167" s="99"/>
      <c r="DZ167" s="99"/>
      <c r="EA167" s="99"/>
      <c r="EB167" s="99"/>
      <c r="EC167" s="99"/>
      <c r="ED167" s="99"/>
      <c r="EE167" s="99"/>
      <c r="EF167" s="99"/>
      <c r="EG167" s="99"/>
      <c r="EH167" s="99"/>
      <c r="EI167" s="99"/>
      <c r="EJ167" s="99"/>
      <c r="EK167" s="99"/>
      <c r="EL167" s="99"/>
      <c r="EM167" s="99"/>
      <c r="EN167" s="99"/>
      <c r="EO167" s="99"/>
      <c r="EP167" s="99"/>
      <c r="EQ167" s="99"/>
      <c r="ER167" s="99"/>
      <c r="ES167" s="99"/>
      <c r="ET167" s="99"/>
      <c r="EU167" s="99"/>
      <c r="EV167" s="99"/>
      <c r="EW167" s="99"/>
      <c r="EX167" s="99"/>
      <c r="EY167" s="99"/>
      <c r="EZ167" s="99"/>
      <c r="FA167" s="99"/>
      <c r="FB167" s="99"/>
      <c r="FC167" s="99"/>
      <c r="FD167" s="99"/>
      <c r="FE167" s="99"/>
      <c r="FF167" s="99"/>
      <c r="FG167" s="99"/>
      <c r="FH167" s="99"/>
      <c r="FI167" s="99"/>
      <c r="FJ167" s="99"/>
      <c r="FK167" s="99"/>
    </row>
    <row r="168" spans="3:167" x14ac:dyDescent="0.25">
      <c r="C168" s="10"/>
      <c r="D168" s="10"/>
      <c r="E168" s="11"/>
      <c r="F168" s="15"/>
      <c r="J168" s="99">
        <v>165</v>
      </c>
      <c r="K168" s="16"/>
      <c r="L168" s="16"/>
      <c r="M168" s="16"/>
      <c r="N168" s="16"/>
      <c r="O168" s="16"/>
      <c r="P168" s="16"/>
      <c r="Q168" s="16"/>
      <c r="R168" s="16"/>
      <c r="S168" s="16"/>
      <c r="T168" s="16"/>
      <c r="U168" s="14">
        <f>SUM(K168:T168)</f>
        <v>0</v>
      </c>
      <c r="V168" s="14"/>
      <c r="X168" s="75" t="str" cm="1">
        <f t="array" ref="X168">MID(";"&amp;'CASE DATA'!$F168&amp;";",SMALL(IF(ISERROR(SEARCH(MID(";"&amp;'CASE DATA'!$F168&amp;";",ROW($1:$99),1),";")),"",ROW($1:$99)+1),COLUMN(A168)),SMALL(IF(ISERROR(SEARCH(MID(";"&amp;'CASE DATA'!$F168&amp;";",ROW($1:$99),1),";")),"",ROW($1:$99)),COLUMN(A167)+1)-SMALL(IF(ISERROR(SEARCH(MID(";"&amp;'CASE DATA'!$F168&amp;";",ROW($1:$99),1),";")),"",ROW($1:$99)),COLUMN(A167))-1)</f>
        <v/>
      </c>
      <c r="Y168" s="75" t="str" cm="1">
        <f t="array" ref="Y168">MID(";"&amp;'CASE DATA'!$F168&amp;";",SMALL(IF(ISERROR(SEARCH(MID(";"&amp;'CASE DATA'!$F168&amp;";",ROW($1:$99),1),";")),"",ROW($1:$99)+1),COLUMN(B168)),SMALL(IF(ISERROR(SEARCH(MID(";"&amp;'CASE DATA'!$F168&amp;";",ROW($1:$99),1),";")),"",ROW($1:$99)),COLUMN(B167)+1)-SMALL(IF(ISERROR(SEARCH(MID(";"&amp;'CASE DATA'!$F168&amp;";",ROW($1:$99),1),";")),"",ROW($1:$99)),COLUMN(B167))-1)</f>
        <v/>
      </c>
      <c r="Z168" s="75" t="str" cm="1">
        <f t="array" ref="Z168">MID(";"&amp;'CASE DATA'!$F168&amp;";",SMALL(IF(ISERROR(SEARCH(MID(";"&amp;'CASE DATA'!$F168&amp;";",ROW($1:$99),1),";")),"",ROW($1:$99)+1),COLUMN(C168)),SMALL(IF(ISERROR(SEARCH(MID(";"&amp;'CASE DATA'!$F168&amp;";",ROW($1:$99),1),";")),"",ROW($1:$99)),COLUMN(C167)+1)-SMALL(IF(ISERROR(SEARCH(MID(";"&amp;'CASE DATA'!$F168&amp;";",ROW($1:$99),1),";")),"",ROW($1:$99)),COLUMN(C167))-1)</f>
        <v/>
      </c>
      <c r="AA168" s="75" t="str" cm="1">
        <f t="array" ref="AA168">MID(";"&amp;'CASE DATA'!$F168&amp;";",SMALL(IF(ISERROR(SEARCH(MID(";"&amp;'CASE DATA'!$F168&amp;";",ROW($1:$99),1),";")),"",ROW($1:$99)+1),COLUMN(D168)),SMALL(IF(ISERROR(SEARCH(MID(";"&amp;'CASE DATA'!$F168&amp;";",ROW($1:$99),1),";")),"",ROW($1:$99)),COLUMN(D167)+1)-SMALL(IF(ISERROR(SEARCH(MID(";"&amp;'CASE DATA'!$F168&amp;";",ROW($1:$99),1),";")),"",ROW($1:$99)),COLUMN(D167))-1)</f>
        <v/>
      </c>
      <c r="AB168" s="75" t="str" cm="1">
        <f t="array" ref="AB168">MID(";"&amp;'CASE DATA'!$F168&amp;";",SMALL(IF(ISERROR(SEARCH(MID(";"&amp;'CASE DATA'!$F168&amp;";",ROW($1:$99),1),";")),"",ROW($1:$99)+1),COLUMN(E168)),SMALL(IF(ISERROR(SEARCH(MID(";"&amp;'CASE DATA'!$F168&amp;";",ROW($1:$99),1),";")),"",ROW($1:$99)),COLUMN(E167)+1)-SMALL(IF(ISERROR(SEARCH(MID(";"&amp;'CASE DATA'!$F168&amp;";",ROW($1:$99),1),";")),"",ROW($1:$99)),COLUMN(E167))-1)</f>
        <v/>
      </c>
      <c r="AC168" s="75" t="str" cm="1">
        <f t="array" ref="AC168">MID(";"&amp;'CASE DATA'!$F168&amp;";",SMALL(IF(ISERROR(SEARCH(MID(";"&amp;'CASE DATA'!$F168&amp;";",ROW($1:$99),1),";")),"",ROW($1:$99)+1),COLUMN(F168)),SMALL(IF(ISERROR(SEARCH(MID(";"&amp;'CASE DATA'!$F168&amp;";",ROW($1:$99),1),";")),"",ROW($1:$99)),COLUMN(F167)+1)-SMALL(IF(ISERROR(SEARCH(MID(";"&amp;'CASE DATA'!$F168&amp;";",ROW($1:$99),1),";")),"",ROW($1:$99)),COLUMN(F167))-1)</f>
        <v/>
      </c>
      <c r="AD168" s="75" t="str" cm="1">
        <f t="array" ref="AD168">MID(";"&amp;'CASE DATA'!$F168&amp;";",SMALL(IF(ISERROR(SEARCH(MID(";"&amp;'CASE DATA'!$F168&amp;";",ROW($1:$99),1),";")),"",ROW($1:$99)+1),COLUMN(G168)),SMALL(IF(ISERROR(SEARCH(MID(";"&amp;'CASE DATA'!$F168&amp;";",ROW($1:$99),1),";")),"",ROW($1:$99)),COLUMN(G167)+1)-SMALL(IF(ISERROR(SEARCH(MID(";"&amp;'CASE DATA'!$F168&amp;";",ROW($1:$99),1),";")),"",ROW($1:$99)),COLUMN(G167))-1)</f>
        <v/>
      </c>
      <c r="AE168" s="75" t="str" cm="1">
        <f t="array" ref="AE168">MID(";"&amp;'CASE DATA'!$F168&amp;";",SMALL(IF(ISERROR(SEARCH(MID(";"&amp;'CASE DATA'!$F168&amp;";",ROW($1:$99),1),";")),"",ROW($1:$99)+1),COLUMN(H168)),SMALL(IF(ISERROR(SEARCH(MID(";"&amp;'CASE DATA'!$F168&amp;";",ROW($1:$99),1),";")),"",ROW($1:$99)),COLUMN(H167)+1)-SMALL(IF(ISERROR(SEARCH(MID(";"&amp;'CASE DATA'!$F168&amp;";",ROW($1:$99),1),";")),"",ROW($1:$99)),COLUMN(H167))-1)</f>
        <v/>
      </c>
      <c r="AF168" s="75" t="str" cm="1">
        <f t="array" ref="AF168">MID(";"&amp;'CASE DATA'!$F168&amp;";",SMALL(IF(ISERROR(SEARCH(MID(";"&amp;'CASE DATA'!$F168&amp;";",ROW($1:$99),1),";")),"",ROW($1:$99)+1),COLUMN(I168)),SMALL(IF(ISERROR(SEARCH(MID(";"&amp;'CASE DATA'!$F168&amp;";",ROW($1:$99),1),";")),"",ROW($1:$99)),COLUMN(I167)+1)-SMALL(IF(ISERROR(SEARCH(MID(";"&amp;'CASE DATA'!$F168&amp;";",ROW($1:$99),1),";")),"",ROW($1:$99)),COLUMN(I167))-1)</f>
        <v/>
      </c>
      <c r="AG168" s="75" t="str" cm="1">
        <f t="array" ref="AG168">MID(";"&amp;'CASE DATA'!$F168&amp;";",SMALL(IF(ISERROR(SEARCH(MID(";"&amp;'CASE DATA'!$F168&amp;";",ROW($1:$99),1),";")),"",ROW($1:$99)+1),COLUMN(K168)),SMALL(IF(ISERROR(SEARCH(MID(";"&amp;'CASE DATA'!$F168&amp;";",ROW($1:$99),1),";")),"",ROW($1:$99)),COLUMN(K167)+1)-SMALL(IF(ISERROR(SEARCH(MID(";"&amp;'CASE DATA'!$F168&amp;";",ROW($1:$99),1),";")),"",ROW($1:$99)),COLUMN(K167))-1)</f>
        <v/>
      </c>
      <c r="AH168" s="75" t="str" cm="1">
        <f t="array" ref="AH168">MID(";"&amp;'CASE DATA'!$F168&amp;";",SMALL(IF(ISERROR(SEARCH(MID(";"&amp;'CASE DATA'!$F168&amp;";",ROW($1:$99),1),";")),"",ROW($1:$99)+1),COLUMN(L168)),SMALL(IF(ISERROR(SEARCH(MID(";"&amp;'CASE DATA'!$F168&amp;";",ROW($1:$99),1),";")),"",ROW($1:$99)),COLUMN(L167)+1)-SMALL(IF(ISERROR(SEARCH(MID(";"&amp;'CASE DATA'!$F168&amp;";",ROW($1:$99),1),";")),"",ROW($1:$99)),COLUMN(L167))-1)</f>
        <v/>
      </c>
      <c r="AI168" s="75" t="str" cm="1">
        <f t="array" ref="AI168">MID(";"&amp;'CASE DATA'!$F168&amp;";",SMALL(IF(ISERROR(SEARCH(MID(";"&amp;'CASE DATA'!$F168&amp;";",ROW($1:$99),1),";")),"",ROW($1:$99)+1),COLUMN(M168)),SMALL(IF(ISERROR(SEARCH(MID(";"&amp;'CASE DATA'!$F168&amp;";",ROW($1:$99),1),";")),"",ROW($1:$99)),COLUMN(M167)+1)-SMALL(IF(ISERROR(SEARCH(MID(";"&amp;'CASE DATA'!$F168&amp;";",ROW($1:$99),1),";")),"",ROW($1:$99)),COLUMN(M167))-1)</f>
        <v/>
      </c>
      <c r="BO168" s="99"/>
      <c r="BP168" s="99"/>
      <c r="BQ168" s="99"/>
      <c r="BR168" s="99"/>
      <c r="BS168" s="99"/>
      <c r="BT168" s="99"/>
      <c r="BU168" s="99"/>
      <c r="BV168" s="99"/>
      <c r="BW168" s="99"/>
      <c r="BX168" s="99"/>
      <c r="BY168" s="99"/>
      <c r="BZ168" s="99"/>
      <c r="CA168" s="99"/>
      <c r="CB168" s="99"/>
      <c r="CC168" s="99"/>
      <c r="CD168" s="99"/>
      <c r="CE168" s="99"/>
      <c r="CF168" s="99"/>
      <c r="CG168" s="99"/>
      <c r="CH168" s="99"/>
      <c r="CI168" s="99"/>
      <c r="CJ168" s="99"/>
      <c r="CK168" s="99"/>
      <c r="CL168" s="99"/>
      <c r="CM168" s="99"/>
      <c r="CN168" s="99"/>
      <c r="CO168" s="99"/>
      <c r="CP168" s="99"/>
      <c r="CQ168" s="99"/>
      <c r="CR168" s="99"/>
      <c r="CS168" s="99"/>
      <c r="CT168" s="99"/>
      <c r="CU168" s="99"/>
      <c r="CV168" s="99"/>
      <c r="CW168" s="99"/>
      <c r="CX168" s="99"/>
      <c r="CY168" s="99"/>
      <c r="CZ168" s="99"/>
      <c r="DA168" s="99"/>
      <c r="DB168" s="99"/>
      <c r="DC168" s="99"/>
      <c r="DD168" s="99"/>
      <c r="DE168" s="99"/>
      <c r="DF168" s="99"/>
      <c r="DG168" s="99"/>
      <c r="DH168" s="99"/>
      <c r="DI168" s="99"/>
      <c r="DJ168" s="99"/>
      <c r="DK168" s="99"/>
      <c r="DL168" s="99"/>
      <c r="DM168" s="99"/>
      <c r="DN168" s="99"/>
      <c r="DO168" s="99"/>
      <c r="DP168" s="99"/>
      <c r="DQ168" s="99"/>
      <c r="DR168" s="99"/>
      <c r="DS168" s="99"/>
      <c r="DT168" s="99"/>
      <c r="DU168" s="99"/>
      <c r="DV168" s="99"/>
      <c r="DW168" s="99"/>
      <c r="DX168" s="99"/>
      <c r="DY168" s="99"/>
      <c r="DZ168" s="99"/>
      <c r="EA168" s="99"/>
      <c r="EB168" s="99"/>
      <c r="EC168" s="99"/>
      <c r="ED168" s="99"/>
      <c r="EE168" s="99"/>
      <c r="EF168" s="99"/>
      <c r="EG168" s="99"/>
      <c r="EH168" s="99"/>
      <c r="EI168" s="99"/>
      <c r="EJ168" s="99"/>
      <c r="EK168" s="99"/>
      <c r="EL168" s="99"/>
      <c r="EM168" s="99"/>
      <c r="EN168" s="99"/>
      <c r="EO168" s="99"/>
      <c r="EP168" s="99"/>
      <c r="EQ168" s="99"/>
      <c r="ER168" s="99"/>
      <c r="ES168" s="99"/>
      <c r="ET168" s="99"/>
      <c r="EU168" s="99"/>
      <c r="EV168" s="99"/>
      <c r="EW168" s="99"/>
      <c r="EX168" s="99"/>
      <c r="EY168" s="99"/>
      <c r="EZ168" s="99"/>
      <c r="FA168" s="99"/>
      <c r="FB168" s="99"/>
      <c r="FC168" s="99"/>
      <c r="FD168" s="99"/>
      <c r="FE168" s="99"/>
      <c r="FF168" s="99"/>
      <c r="FG168" s="99"/>
      <c r="FH168" s="99"/>
      <c r="FI168" s="99"/>
      <c r="FJ168" s="99"/>
      <c r="FK168" s="99"/>
    </row>
    <row r="169" spans="3:167" x14ac:dyDescent="0.25">
      <c r="C169" s="10"/>
      <c r="D169" s="10"/>
      <c r="E169" s="11"/>
      <c r="F169" s="15"/>
      <c r="J169" s="99">
        <v>166</v>
      </c>
      <c r="K169" s="16"/>
      <c r="L169" s="16"/>
      <c r="M169" s="16"/>
      <c r="N169" s="16"/>
      <c r="O169" s="16"/>
      <c r="P169" s="16"/>
      <c r="Q169" s="16"/>
      <c r="R169" s="16"/>
      <c r="S169" s="16"/>
      <c r="T169" s="16"/>
      <c r="U169" s="14">
        <f>SUM(K169:T169)</f>
        <v>0</v>
      </c>
      <c r="V169" s="14"/>
      <c r="X169" s="75" t="str" cm="1">
        <f t="array" ref="X169">MID(";"&amp;'CASE DATA'!$F169&amp;";",SMALL(IF(ISERROR(SEARCH(MID(";"&amp;'CASE DATA'!$F169&amp;";",ROW($1:$99),1),";")),"",ROW($1:$99)+1),COLUMN(A169)),SMALL(IF(ISERROR(SEARCH(MID(";"&amp;'CASE DATA'!$F169&amp;";",ROW($1:$99),1),";")),"",ROW($1:$99)),COLUMN(A168)+1)-SMALL(IF(ISERROR(SEARCH(MID(";"&amp;'CASE DATA'!$F169&amp;";",ROW($1:$99),1),";")),"",ROW($1:$99)),COLUMN(A168))-1)</f>
        <v/>
      </c>
      <c r="Y169" s="75" t="str" cm="1">
        <f t="array" ref="Y169">MID(";"&amp;'CASE DATA'!$F169&amp;";",SMALL(IF(ISERROR(SEARCH(MID(";"&amp;'CASE DATA'!$F169&amp;";",ROW($1:$99),1),";")),"",ROW($1:$99)+1),COLUMN(B169)),SMALL(IF(ISERROR(SEARCH(MID(";"&amp;'CASE DATA'!$F169&amp;";",ROW($1:$99),1),";")),"",ROW($1:$99)),COLUMN(B168)+1)-SMALL(IF(ISERROR(SEARCH(MID(";"&amp;'CASE DATA'!$F169&amp;";",ROW($1:$99),1),";")),"",ROW($1:$99)),COLUMN(B168))-1)</f>
        <v/>
      </c>
      <c r="Z169" s="75" t="str" cm="1">
        <f t="array" ref="Z169">MID(";"&amp;'CASE DATA'!$F169&amp;";",SMALL(IF(ISERROR(SEARCH(MID(";"&amp;'CASE DATA'!$F169&amp;";",ROW($1:$99),1),";")),"",ROW($1:$99)+1),COLUMN(C169)),SMALL(IF(ISERROR(SEARCH(MID(";"&amp;'CASE DATA'!$F169&amp;";",ROW($1:$99),1),";")),"",ROW($1:$99)),COLUMN(C168)+1)-SMALL(IF(ISERROR(SEARCH(MID(";"&amp;'CASE DATA'!$F169&amp;";",ROW($1:$99),1),";")),"",ROW($1:$99)),COLUMN(C168))-1)</f>
        <v/>
      </c>
      <c r="AA169" s="75" t="str" cm="1">
        <f t="array" ref="AA169">MID(";"&amp;'CASE DATA'!$F169&amp;";",SMALL(IF(ISERROR(SEARCH(MID(";"&amp;'CASE DATA'!$F169&amp;";",ROW($1:$99),1),";")),"",ROW($1:$99)+1),COLUMN(D169)),SMALL(IF(ISERROR(SEARCH(MID(";"&amp;'CASE DATA'!$F169&amp;";",ROW($1:$99),1),";")),"",ROW($1:$99)),COLUMN(D168)+1)-SMALL(IF(ISERROR(SEARCH(MID(";"&amp;'CASE DATA'!$F169&amp;";",ROW($1:$99),1),";")),"",ROW($1:$99)),COLUMN(D168))-1)</f>
        <v/>
      </c>
      <c r="AB169" s="75" t="str" cm="1">
        <f t="array" ref="AB169">MID(";"&amp;'CASE DATA'!$F169&amp;";",SMALL(IF(ISERROR(SEARCH(MID(";"&amp;'CASE DATA'!$F169&amp;";",ROW($1:$99),1),";")),"",ROW($1:$99)+1),COLUMN(E169)),SMALL(IF(ISERROR(SEARCH(MID(";"&amp;'CASE DATA'!$F169&amp;";",ROW($1:$99),1),";")),"",ROW($1:$99)),COLUMN(E168)+1)-SMALL(IF(ISERROR(SEARCH(MID(";"&amp;'CASE DATA'!$F169&amp;";",ROW($1:$99),1),";")),"",ROW($1:$99)),COLUMN(E168))-1)</f>
        <v/>
      </c>
      <c r="AC169" s="75" t="str" cm="1">
        <f t="array" ref="AC169">MID(";"&amp;'CASE DATA'!$F169&amp;";",SMALL(IF(ISERROR(SEARCH(MID(";"&amp;'CASE DATA'!$F169&amp;";",ROW($1:$99),1),";")),"",ROW($1:$99)+1),COLUMN(F169)),SMALL(IF(ISERROR(SEARCH(MID(";"&amp;'CASE DATA'!$F169&amp;";",ROW($1:$99),1),";")),"",ROW($1:$99)),COLUMN(F168)+1)-SMALL(IF(ISERROR(SEARCH(MID(";"&amp;'CASE DATA'!$F169&amp;";",ROW($1:$99),1),";")),"",ROW($1:$99)),COLUMN(F168))-1)</f>
        <v/>
      </c>
      <c r="AD169" s="75" t="str" cm="1">
        <f t="array" ref="AD169">MID(";"&amp;'CASE DATA'!$F169&amp;";",SMALL(IF(ISERROR(SEARCH(MID(";"&amp;'CASE DATA'!$F169&amp;";",ROW($1:$99),1),";")),"",ROW($1:$99)+1),COLUMN(G169)),SMALL(IF(ISERROR(SEARCH(MID(";"&amp;'CASE DATA'!$F169&amp;";",ROW($1:$99),1),";")),"",ROW($1:$99)),COLUMN(G168)+1)-SMALL(IF(ISERROR(SEARCH(MID(";"&amp;'CASE DATA'!$F169&amp;";",ROW($1:$99),1),";")),"",ROW($1:$99)),COLUMN(G168))-1)</f>
        <v/>
      </c>
      <c r="AE169" s="75" t="str" cm="1">
        <f t="array" ref="AE169">MID(";"&amp;'CASE DATA'!$F169&amp;";",SMALL(IF(ISERROR(SEARCH(MID(";"&amp;'CASE DATA'!$F169&amp;";",ROW($1:$99),1),";")),"",ROW($1:$99)+1),COLUMN(H169)),SMALL(IF(ISERROR(SEARCH(MID(";"&amp;'CASE DATA'!$F169&amp;";",ROW($1:$99),1),";")),"",ROW($1:$99)),COLUMN(H168)+1)-SMALL(IF(ISERROR(SEARCH(MID(";"&amp;'CASE DATA'!$F169&amp;";",ROW($1:$99),1),";")),"",ROW($1:$99)),COLUMN(H168))-1)</f>
        <v/>
      </c>
      <c r="AF169" s="75" t="str" cm="1">
        <f t="array" ref="AF169">MID(";"&amp;'CASE DATA'!$F169&amp;";",SMALL(IF(ISERROR(SEARCH(MID(";"&amp;'CASE DATA'!$F169&amp;";",ROW($1:$99),1),";")),"",ROW($1:$99)+1),COLUMN(I169)),SMALL(IF(ISERROR(SEARCH(MID(";"&amp;'CASE DATA'!$F169&amp;";",ROW($1:$99),1),";")),"",ROW($1:$99)),COLUMN(I168)+1)-SMALL(IF(ISERROR(SEARCH(MID(";"&amp;'CASE DATA'!$F169&amp;";",ROW($1:$99),1),";")),"",ROW($1:$99)),COLUMN(I168))-1)</f>
        <v/>
      </c>
      <c r="AG169" s="75" t="str" cm="1">
        <f t="array" ref="AG169">MID(";"&amp;'CASE DATA'!$F169&amp;";",SMALL(IF(ISERROR(SEARCH(MID(";"&amp;'CASE DATA'!$F169&amp;";",ROW($1:$99),1),";")),"",ROW($1:$99)+1),COLUMN(K169)),SMALL(IF(ISERROR(SEARCH(MID(";"&amp;'CASE DATA'!$F169&amp;";",ROW($1:$99),1),";")),"",ROW($1:$99)),COLUMN(K168)+1)-SMALL(IF(ISERROR(SEARCH(MID(";"&amp;'CASE DATA'!$F169&amp;";",ROW($1:$99),1),";")),"",ROW($1:$99)),COLUMN(K168))-1)</f>
        <v/>
      </c>
      <c r="AH169" s="75" t="str" cm="1">
        <f t="array" ref="AH169">MID(";"&amp;'CASE DATA'!$F169&amp;";",SMALL(IF(ISERROR(SEARCH(MID(";"&amp;'CASE DATA'!$F169&amp;";",ROW($1:$99),1),";")),"",ROW($1:$99)+1),COLUMN(L169)),SMALL(IF(ISERROR(SEARCH(MID(";"&amp;'CASE DATA'!$F169&amp;";",ROW($1:$99),1),";")),"",ROW($1:$99)),COLUMN(L168)+1)-SMALL(IF(ISERROR(SEARCH(MID(";"&amp;'CASE DATA'!$F169&amp;";",ROW($1:$99),1),";")),"",ROW($1:$99)),COLUMN(L168))-1)</f>
        <v/>
      </c>
      <c r="AI169" s="75" t="str" cm="1">
        <f t="array" ref="AI169">MID(";"&amp;'CASE DATA'!$F169&amp;";",SMALL(IF(ISERROR(SEARCH(MID(";"&amp;'CASE DATA'!$F169&amp;";",ROW($1:$99),1),";")),"",ROW($1:$99)+1),COLUMN(M169)),SMALL(IF(ISERROR(SEARCH(MID(";"&amp;'CASE DATA'!$F169&amp;";",ROW($1:$99),1),";")),"",ROW($1:$99)),COLUMN(M168)+1)-SMALL(IF(ISERROR(SEARCH(MID(";"&amp;'CASE DATA'!$F169&amp;";",ROW($1:$99),1),";")),"",ROW($1:$99)),COLUMN(M168))-1)</f>
        <v/>
      </c>
      <c r="BO169" s="99"/>
      <c r="BP169" s="99"/>
      <c r="BQ169" s="99"/>
      <c r="BR169" s="99"/>
      <c r="BS169" s="99"/>
      <c r="BT169" s="99"/>
      <c r="BU169" s="99"/>
      <c r="BV169" s="99"/>
      <c r="BW169" s="99"/>
      <c r="BX169" s="99"/>
      <c r="BY169" s="99"/>
      <c r="BZ169" s="99"/>
      <c r="CA169" s="99"/>
      <c r="CB169" s="99"/>
      <c r="CC169" s="99"/>
      <c r="CD169" s="99"/>
      <c r="CE169" s="99"/>
      <c r="CF169" s="99"/>
      <c r="CG169" s="99"/>
      <c r="CH169" s="99"/>
      <c r="CI169" s="99"/>
      <c r="CJ169" s="99"/>
      <c r="CK169" s="99"/>
      <c r="CL169" s="99"/>
      <c r="CM169" s="99"/>
      <c r="CN169" s="99"/>
      <c r="CO169" s="99"/>
      <c r="CP169" s="99"/>
      <c r="CQ169" s="99"/>
      <c r="CR169" s="99"/>
      <c r="CS169" s="99"/>
      <c r="CT169" s="99"/>
      <c r="CU169" s="99"/>
      <c r="CV169" s="99"/>
      <c r="CW169" s="99"/>
      <c r="CX169" s="99"/>
      <c r="CY169" s="99"/>
      <c r="CZ169" s="99"/>
      <c r="DA169" s="99"/>
      <c r="DB169" s="99"/>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99"/>
      <c r="EE169" s="99"/>
      <c r="EF169" s="99"/>
      <c r="EG169" s="99"/>
      <c r="EH169" s="99"/>
      <c r="EI169" s="99"/>
      <c r="EJ169" s="99"/>
      <c r="EK169" s="99"/>
      <c r="EL169" s="99"/>
      <c r="EM169" s="99"/>
      <c r="EN169" s="99"/>
      <c r="EO169" s="99"/>
      <c r="EP169" s="99"/>
      <c r="EQ169" s="99"/>
      <c r="ER169" s="99"/>
      <c r="ES169" s="99"/>
      <c r="ET169" s="99"/>
      <c r="EU169" s="99"/>
      <c r="EV169" s="99"/>
      <c r="EW169" s="99"/>
      <c r="EX169" s="99"/>
      <c r="EY169" s="99"/>
      <c r="EZ169" s="99"/>
      <c r="FA169" s="99"/>
      <c r="FB169" s="99"/>
      <c r="FC169" s="99"/>
      <c r="FD169" s="99"/>
      <c r="FE169" s="99"/>
      <c r="FF169" s="99"/>
      <c r="FG169" s="99"/>
      <c r="FH169" s="99"/>
      <c r="FI169" s="99"/>
      <c r="FJ169" s="99"/>
      <c r="FK169" s="99"/>
    </row>
    <row r="170" spans="3:167" x14ac:dyDescent="0.25">
      <c r="C170" s="10"/>
      <c r="D170" s="10"/>
      <c r="E170" s="11"/>
      <c r="F170" s="15"/>
      <c r="J170" s="99">
        <v>167</v>
      </c>
      <c r="K170" s="16"/>
      <c r="L170" s="16"/>
      <c r="M170" s="16"/>
      <c r="N170" s="16"/>
      <c r="O170" s="16"/>
      <c r="P170" s="16"/>
      <c r="Q170" s="16"/>
      <c r="R170" s="16"/>
      <c r="S170" s="16"/>
      <c r="T170" s="16"/>
      <c r="U170" s="14">
        <f>SUM(K170:T170)</f>
        <v>0</v>
      </c>
      <c r="V170" s="14"/>
      <c r="X170" s="75" t="str" cm="1">
        <f t="array" ref="X170">MID(";"&amp;'CASE DATA'!$F170&amp;";",SMALL(IF(ISERROR(SEARCH(MID(";"&amp;'CASE DATA'!$F170&amp;";",ROW($1:$99),1),";")),"",ROW($1:$99)+1),COLUMN(A170)),SMALL(IF(ISERROR(SEARCH(MID(";"&amp;'CASE DATA'!$F170&amp;";",ROW($1:$99),1),";")),"",ROW($1:$99)),COLUMN(A169)+1)-SMALL(IF(ISERROR(SEARCH(MID(";"&amp;'CASE DATA'!$F170&amp;";",ROW($1:$99),1),";")),"",ROW($1:$99)),COLUMN(A169))-1)</f>
        <v/>
      </c>
      <c r="Y170" s="75" t="str" cm="1">
        <f t="array" ref="Y170">MID(";"&amp;'CASE DATA'!$F170&amp;";",SMALL(IF(ISERROR(SEARCH(MID(";"&amp;'CASE DATA'!$F170&amp;";",ROW($1:$99),1),";")),"",ROW($1:$99)+1),COLUMN(B170)),SMALL(IF(ISERROR(SEARCH(MID(";"&amp;'CASE DATA'!$F170&amp;";",ROW($1:$99),1),";")),"",ROW($1:$99)),COLUMN(B169)+1)-SMALL(IF(ISERROR(SEARCH(MID(";"&amp;'CASE DATA'!$F170&amp;";",ROW($1:$99),1),";")),"",ROW($1:$99)),COLUMN(B169))-1)</f>
        <v/>
      </c>
      <c r="Z170" s="75" t="str" cm="1">
        <f t="array" ref="Z170">MID(";"&amp;'CASE DATA'!$F170&amp;";",SMALL(IF(ISERROR(SEARCH(MID(";"&amp;'CASE DATA'!$F170&amp;";",ROW($1:$99),1),";")),"",ROW($1:$99)+1),COLUMN(C170)),SMALL(IF(ISERROR(SEARCH(MID(";"&amp;'CASE DATA'!$F170&amp;";",ROW($1:$99),1),";")),"",ROW($1:$99)),COLUMN(C169)+1)-SMALL(IF(ISERROR(SEARCH(MID(";"&amp;'CASE DATA'!$F170&amp;";",ROW($1:$99),1),";")),"",ROW($1:$99)),COLUMN(C169))-1)</f>
        <v/>
      </c>
      <c r="AA170" s="75" t="str" cm="1">
        <f t="array" ref="AA170">MID(";"&amp;'CASE DATA'!$F170&amp;";",SMALL(IF(ISERROR(SEARCH(MID(";"&amp;'CASE DATA'!$F170&amp;";",ROW($1:$99),1),";")),"",ROW($1:$99)+1),COLUMN(D170)),SMALL(IF(ISERROR(SEARCH(MID(";"&amp;'CASE DATA'!$F170&amp;";",ROW($1:$99),1),";")),"",ROW($1:$99)),COLUMN(D169)+1)-SMALL(IF(ISERROR(SEARCH(MID(";"&amp;'CASE DATA'!$F170&amp;";",ROW($1:$99),1),";")),"",ROW($1:$99)),COLUMN(D169))-1)</f>
        <v/>
      </c>
      <c r="AB170" s="75" t="str" cm="1">
        <f t="array" ref="AB170">MID(";"&amp;'CASE DATA'!$F170&amp;";",SMALL(IF(ISERROR(SEARCH(MID(";"&amp;'CASE DATA'!$F170&amp;";",ROW($1:$99),1),";")),"",ROW($1:$99)+1),COLUMN(E170)),SMALL(IF(ISERROR(SEARCH(MID(";"&amp;'CASE DATA'!$F170&amp;";",ROW($1:$99),1),";")),"",ROW($1:$99)),COLUMN(E169)+1)-SMALL(IF(ISERROR(SEARCH(MID(";"&amp;'CASE DATA'!$F170&amp;";",ROW($1:$99),1),";")),"",ROW($1:$99)),COLUMN(E169))-1)</f>
        <v/>
      </c>
      <c r="AC170" s="75" t="str" cm="1">
        <f t="array" ref="AC170">MID(";"&amp;'CASE DATA'!$F170&amp;";",SMALL(IF(ISERROR(SEARCH(MID(";"&amp;'CASE DATA'!$F170&amp;";",ROW($1:$99),1),";")),"",ROW($1:$99)+1),COLUMN(F170)),SMALL(IF(ISERROR(SEARCH(MID(";"&amp;'CASE DATA'!$F170&amp;";",ROW($1:$99),1),";")),"",ROW($1:$99)),COLUMN(F169)+1)-SMALL(IF(ISERROR(SEARCH(MID(";"&amp;'CASE DATA'!$F170&amp;";",ROW($1:$99),1),";")),"",ROW($1:$99)),COLUMN(F169))-1)</f>
        <v/>
      </c>
      <c r="AD170" s="75" t="str" cm="1">
        <f t="array" ref="AD170">MID(";"&amp;'CASE DATA'!$F170&amp;";",SMALL(IF(ISERROR(SEARCH(MID(";"&amp;'CASE DATA'!$F170&amp;";",ROW($1:$99),1),";")),"",ROW($1:$99)+1),COLUMN(G170)),SMALL(IF(ISERROR(SEARCH(MID(";"&amp;'CASE DATA'!$F170&amp;";",ROW($1:$99),1),";")),"",ROW($1:$99)),COLUMN(G169)+1)-SMALL(IF(ISERROR(SEARCH(MID(";"&amp;'CASE DATA'!$F170&amp;";",ROW($1:$99),1),";")),"",ROW($1:$99)),COLUMN(G169))-1)</f>
        <v/>
      </c>
      <c r="AE170" s="75" t="str" cm="1">
        <f t="array" ref="AE170">MID(";"&amp;'CASE DATA'!$F170&amp;";",SMALL(IF(ISERROR(SEARCH(MID(";"&amp;'CASE DATA'!$F170&amp;";",ROW($1:$99),1),";")),"",ROW($1:$99)+1),COLUMN(H170)),SMALL(IF(ISERROR(SEARCH(MID(";"&amp;'CASE DATA'!$F170&amp;";",ROW($1:$99),1),";")),"",ROW($1:$99)),COLUMN(H169)+1)-SMALL(IF(ISERROR(SEARCH(MID(";"&amp;'CASE DATA'!$F170&amp;";",ROW($1:$99),1),";")),"",ROW($1:$99)),COLUMN(H169))-1)</f>
        <v/>
      </c>
      <c r="AF170" s="75" t="str" cm="1">
        <f t="array" ref="AF170">MID(";"&amp;'CASE DATA'!$F170&amp;";",SMALL(IF(ISERROR(SEARCH(MID(";"&amp;'CASE DATA'!$F170&amp;";",ROW($1:$99),1),";")),"",ROW($1:$99)+1),COLUMN(I170)),SMALL(IF(ISERROR(SEARCH(MID(";"&amp;'CASE DATA'!$F170&amp;";",ROW($1:$99),1),";")),"",ROW($1:$99)),COLUMN(I169)+1)-SMALL(IF(ISERROR(SEARCH(MID(";"&amp;'CASE DATA'!$F170&amp;";",ROW($1:$99),1),";")),"",ROW($1:$99)),COLUMN(I169))-1)</f>
        <v/>
      </c>
      <c r="AG170" s="75" t="str" cm="1">
        <f t="array" ref="AG170">MID(";"&amp;'CASE DATA'!$F170&amp;";",SMALL(IF(ISERROR(SEARCH(MID(";"&amp;'CASE DATA'!$F170&amp;";",ROW($1:$99),1),";")),"",ROW($1:$99)+1),COLUMN(K170)),SMALL(IF(ISERROR(SEARCH(MID(";"&amp;'CASE DATA'!$F170&amp;";",ROW($1:$99),1),";")),"",ROW($1:$99)),COLUMN(K169)+1)-SMALL(IF(ISERROR(SEARCH(MID(";"&amp;'CASE DATA'!$F170&amp;";",ROW($1:$99),1),";")),"",ROW($1:$99)),COLUMN(K169))-1)</f>
        <v/>
      </c>
      <c r="AH170" s="75" t="str" cm="1">
        <f t="array" ref="AH170">MID(";"&amp;'CASE DATA'!$F170&amp;";",SMALL(IF(ISERROR(SEARCH(MID(";"&amp;'CASE DATA'!$F170&amp;";",ROW($1:$99),1),";")),"",ROW($1:$99)+1),COLUMN(L170)),SMALL(IF(ISERROR(SEARCH(MID(";"&amp;'CASE DATA'!$F170&amp;";",ROW($1:$99),1),";")),"",ROW($1:$99)),COLUMN(L169)+1)-SMALL(IF(ISERROR(SEARCH(MID(";"&amp;'CASE DATA'!$F170&amp;";",ROW($1:$99),1),";")),"",ROW($1:$99)),COLUMN(L169))-1)</f>
        <v/>
      </c>
      <c r="AI170" s="75" t="str" cm="1">
        <f t="array" ref="AI170">MID(";"&amp;'CASE DATA'!$F170&amp;";",SMALL(IF(ISERROR(SEARCH(MID(";"&amp;'CASE DATA'!$F170&amp;";",ROW($1:$99),1),";")),"",ROW($1:$99)+1),COLUMN(M170)),SMALL(IF(ISERROR(SEARCH(MID(";"&amp;'CASE DATA'!$F170&amp;";",ROW($1:$99),1),";")),"",ROW($1:$99)),COLUMN(M169)+1)-SMALL(IF(ISERROR(SEARCH(MID(";"&amp;'CASE DATA'!$F170&amp;";",ROW($1:$99),1),";")),"",ROW($1:$99)),COLUMN(M169))-1)</f>
        <v/>
      </c>
      <c r="BO170" s="99"/>
      <c r="BP170" s="99"/>
      <c r="BQ170" s="99"/>
      <c r="BR170" s="99"/>
      <c r="BS170" s="99"/>
      <c r="BT170" s="99"/>
      <c r="BU170" s="99"/>
      <c r="BV170" s="99"/>
      <c r="BW170" s="99"/>
      <c r="BX170" s="99"/>
      <c r="BY170" s="99"/>
      <c r="BZ170" s="99"/>
      <c r="CA170" s="99"/>
      <c r="CB170" s="99"/>
      <c r="CC170" s="99"/>
      <c r="CD170" s="99"/>
      <c r="CE170" s="99"/>
      <c r="CF170" s="99"/>
      <c r="CG170" s="99"/>
      <c r="CH170" s="99"/>
      <c r="CI170" s="99"/>
      <c r="CJ170" s="99"/>
      <c r="CK170" s="99"/>
      <c r="CL170" s="99"/>
      <c r="CM170" s="99"/>
      <c r="CN170" s="99"/>
      <c r="CO170" s="99"/>
      <c r="CP170" s="99"/>
      <c r="CQ170" s="99"/>
      <c r="CR170" s="99"/>
      <c r="CS170" s="99"/>
      <c r="CT170" s="99"/>
      <c r="CU170" s="99"/>
      <c r="CV170" s="99"/>
      <c r="CW170" s="99"/>
      <c r="CX170" s="99"/>
      <c r="CY170" s="99"/>
      <c r="CZ170" s="99"/>
      <c r="DA170" s="99"/>
      <c r="DB170" s="99"/>
      <c r="DC170" s="99"/>
      <c r="DD170" s="99"/>
      <c r="DE170" s="99"/>
      <c r="DF170" s="99"/>
      <c r="DG170" s="99"/>
      <c r="DH170" s="99"/>
      <c r="DI170" s="99"/>
      <c r="DJ170" s="99"/>
      <c r="DK170" s="99"/>
      <c r="DL170" s="99"/>
      <c r="DM170" s="99"/>
      <c r="DN170" s="99"/>
      <c r="DO170" s="99"/>
      <c r="DP170" s="99"/>
      <c r="DQ170" s="99"/>
      <c r="DR170" s="99"/>
      <c r="DS170" s="99"/>
      <c r="DT170" s="99"/>
      <c r="DU170" s="99"/>
      <c r="DV170" s="99"/>
      <c r="DW170" s="99"/>
      <c r="DX170" s="99"/>
      <c r="DY170" s="99"/>
      <c r="DZ170" s="99"/>
      <c r="EA170" s="99"/>
      <c r="EB170" s="99"/>
      <c r="EC170" s="99"/>
      <c r="ED170" s="99"/>
      <c r="EE170" s="99"/>
      <c r="EF170" s="99"/>
      <c r="EG170" s="99"/>
      <c r="EH170" s="99"/>
      <c r="EI170" s="99"/>
      <c r="EJ170" s="99"/>
      <c r="EK170" s="99"/>
      <c r="EL170" s="99"/>
      <c r="EM170" s="99"/>
      <c r="EN170" s="99"/>
      <c r="EO170" s="99"/>
      <c r="EP170" s="99"/>
      <c r="EQ170" s="99"/>
      <c r="ER170" s="99"/>
      <c r="ES170" s="99"/>
      <c r="ET170" s="99"/>
      <c r="EU170" s="99"/>
      <c r="EV170" s="99"/>
      <c r="EW170" s="99"/>
      <c r="EX170" s="99"/>
      <c r="EY170" s="99"/>
      <c r="EZ170" s="99"/>
      <c r="FA170" s="99"/>
      <c r="FB170" s="99"/>
      <c r="FC170" s="99"/>
      <c r="FD170" s="99"/>
      <c r="FE170" s="99"/>
      <c r="FF170" s="99"/>
      <c r="FG170" s="99"/>
      <c r="FH170" s="99"/>
      <c r="FI170" s="99"/>
      <c r="FJ170" s="99"/>
      <c r="FK170" s="99"/>
    </row>
    <row r="171" spans="3:167" x14ac:dyDescent="0.25">
      <c r="C171" s="10"/>
      <c r="D171" s="10"/>
      <c r="E171" s="11"/>
      <c r="F171" s="15"/>
      <c r="J171" s="99">
        <v>168</v>
      </c>
      <c r="K171" s="16"/>
      <c r="L171" s="16"/>
      <c r="M171" s="16"/>
      <c r="N171" s="16"/>
      <c r="O171" s="16"/>
      <c r="P171" s="16"/>
      <c r="Q171" s="16"/>
      <c r="R171" s="16"/>
      <c r="S171" s="16"/>
      <c r="T171" s="16"/>
      <c r="U171" s="14">
        <f>SUM(K171:T171)</f>
        <v>0</v>
      </c>
      <c r="V171" s="14"/>
      <c r="X171" s="75" t="str" cm="1">
        <f t="array" ref="X171">MID(";"&amp;'CASE DATA'!$F171&amp;";",SMALL(IF(ISERROR(SEARCH(MID(";"&amp;'CASE DATA'!$F171&amp;";",ROW($1:$99),1),";")),"",ROW($1:$99)+1),COLUMN(A171)),SMALL(IF(ISERROR(SEARCH(MID(";"&amp;'CASE DATA'!$F171&amp;";",ROW($1:$99),1),";")),"",ROW($1:$99)),COLUMN(A170)+1)-SMALL(IF(ISERROR(SEARCH(MID(";"&amp;'CASE DATA'!$F171&amp;";",ROW($1:$99),1),";")),"",ROW($1:$99)),COLUMN(A170))-1)</f>
        <v/>
      </c>
      <c r="Y171" s="75" t="str" cm="1">
        <f t="array" ref="Y171">MID(";"&amp;'CASE DATA'!$F171&amp;";",SMALL(IF(ISERROR(SEARCH(MID(";"&amp;'CASE DATA'!$F171&amp;";",ROW($1:$99),1),";")),"",ROW($1:$99)+1),COLUMN(B171)),SMALL(IF(ISERROR(SEARCH(MID(";"&amp;'CASE DATA'!$F171&amp;";",ROW($1:$99),1),";")),"",ROW($1:$99)),COLUMN(B170)+1)-SMALL(IF(ISERROR(SEARCH(MID(";"&amp;'CASE DATA'!$F171&amp;";",ROW($1:$99),1),";")),"",ROW($1:$99)),COLUMN(B170))-1)</f>
        <v/>
      </c>
      <c r="Z171" s="75" t="str" cm="1">
        <f t="array" ref="Z171">MID(";"&amp;'CASE DATA'!$F171&amp;";",SMALL(IF(ISERROR(SEARCH(MID(";"&amp;'CASE DATA'!$F171&amp;";",ROW($1:$99),1),";")),"",ROW($1:$99)+1),COLUMN(C171)),SMALL(IF(ISERROR(SEARCH(MID(";"&amp;'CASE DATA'!$F171&amp;";",ROW($1:$99),1),";")),"",ROW($1:$99)),COLUMN(C170)+1)-SMALL(IF(ISERROR(SEARCH(MID(";"&amp;'CASE DATA'!$F171&amp;";",ROW($1:$99),1),";")),"",ROW($1:$99)),COLUMN(C170))-1)</f>
        <v/>
      </c>
      <c r="AA171" s="75" t="str" cm="1">
        <f t="array" ref="AA171">MID(";"&amp;'CASE DATA'!$F171&amp;";",SMALL(IF(ISERROR(SEARCH(MID(";"&amp;'CASE DATA'!$F171&amp;";",ROW($1:$99),1),";")),"",ROW($1:$99)+1),COLUMN(D171)),SMALL(IF(ISERROR(SEARCH(MID(";"&amp;'CASE DATA'!$F171&amp;";",ROW($1:$99),1),";")),"",ROW($1:$99)),COLUMN(D170)+1)-SMALL(IF(ISERROR(SEARCH(MID(";"&amp;'CASE DATA'!$F171&amp;";",ROW($1:$99),1),";")),"",ROW($1:$99)),COLUMN(D170))-1)</f>
        <v/>
      </c>
      <c r="AB171" s="75" t="str" cm="1">
        <f t="array" ref="AB171">MID(";"&amp;'CASE DATA'!$F171&amp;";",SMALL(IF(ISERROR(SEARCH(MID(";"&amp;'CASE DATA'!$F171&amp;";",ROW($1:$99),1),";")),"",ROW($1:$99)+1),COLUMN(E171)),SMALL(IF(ISERROR(SEARCH(MID(";"&amp;'CASE DATA'!$F171&amp;";",ROW($1:$99),1),";")),"",ROW($1:$99)),COLUMN(E170)+1)-SMALL(IF(ISERROR(SEARCH(MID(";"&amp;'CASE DATA'!$F171&amp;";",ROW($1:$99),1),";")),"",ROW($1:$99)),COLUMN(E170))-1)</f>
        <v/>
      </c>
      <c r="AC171" s="75" t="str" cm="1">
        <f t="array" ref="AC171">MID(";"&amp;'CASE DATA'!$F171&amp;";",SMALL(IF(ISERROR(SEARCH(MID(";"&amp;'CASE DATA'!$F171&amp;";",ROW($1:$99),1),";")),"",ROW($1:$99)+1),COLUMN(F171)),SMALL(IF(ISERROR(SEARCH(MID(";"&amp;'CASE DATA'!$F171&amp;";",ROW($1:$99),1),";")),"",ROW($1:$99)),COLUMN(F170)+1)-SMALL(IF(ISERROR(SEARCH(MID(";"&amp;'CASE DATA'!$F171&amp;";",ROW($1:$99),1),";")),"",ROW($1:$99)),COLUMN(F170))-1)</f>
        <v/>
      </c>
      <c r="AD171" s="75" t="str" cm="1">
        <f t="array" ref="AD171">MID(";"&amp;'CASE DATA'!$F171&amp;";",SMALL(IF(ISERROR(SEARCH(MID(";"&amp;'CASE DATA'!$F171&amp;";",ROW($1:$99),1),";")),"",ROW($1:$99)+1),COLUMN(G171)),SMALL(IF(ISERROR(SEARCH(MID(";"&amp;'CASE DATA'!$F171&amp;";",ROW($1:$99),1),";")),"",ROW($1:$99)),COLUMN(G170)+1)-SMALL(IF(ISERROR(SEARCH(MID(";"&amp;'CASE DATA'!$F171&amp;";",ROW($1:$99),1),";")),"",ROW($1:$99)),COLUMN(G170))-1)</f>
        <v/>
      </c>
      <c r="AE171" s="75" t="str" cm="1">
        <f t="array" ref="AE171">MID(";"&amp;'CASE DATA'!$F171&amp;";",SMALL(IF(ISERROR(SEARCH(MID(";"&amp;'CASE DATA'!$F171&amp;";",ROW($1:$99),1),";")),"",ROW($1:$99)+1),COLUMN(H171)),SMALL(IF(ISERROR(SEARCH(MID(";"&amp;'CASE DATA'!$F171&amp;";",ROW($1:$99),1),";")),"",ROW($1:$99)),COLUMN(H170)+1)-SMALL(IF(ISERROR(SEARCH(MID(";"&amp;'CASE DATA'!$F171&amp;";",ROW($1:$99),1),";")),"",ROW($1:$99)),COLUMN(H170))-1)</f>
        <v/>
      </c>
      <c r="AF171" s="75" t="str" cm="1">
        <f t="array" ref="AF171">MID(";"&amp;'CASE DATA'!$F171&amp;";",SMALL(IF(ISERROR(SEARCH(MID(";"&amp;'CASE DATA'!$F171&amp;";",ROW($1:$99),1),";")),"",ROW($1:$99)+1),COLUMN(I171)),SMALL(IF(ISERROR(SEARCH(MID(";"&amp;'CASE DATA'!$F171&amp;";",ROW($1:$99),1),";")),"",ROW($1:$99)),COLUMN(I170)+1)-SMALL(IF(ISERROR(SEARCH(MID(";"&amp;'CASE DATA'!$F171&amp;";",ROW($1:$99),1),";")),"",ROW($1:$99)),COLUMN(I170))-1)</f>
        <v/>
      </c>
      <c r="AG171" s="75" t="str" cm="1">
        <f t="array" ref="AG171">MID(";"&amp;'CASE DATA'!$F171&amp;";",SMALL(IF(ISERROR(SEARCH(MID(";"&amp;'CASE DATA'!$F171&amp;";",ROW($1:$99),1),";")),"",ROW($1:$99)+1),COLUMN(K171)),SMALL(IF(ISERROR(SEARCH(MID(";"&amp;'CASE DATA'!$F171&amp;";",ROW($1:$99),1),";")),"",ROW($1:$99)),COLUMN(K170)+1)-SMALL(IF(ISERROR(SEARCH(MID(";"&amp;'CASE DATA'!$F171&amp;";",ROW($1:$99),1),";")),"",ROW($1:$99)),COLUMN(K170))-1)</f>
        <v/>
      </c>
      <c r="AH171" s="75" t="str" cm="1">
        <f t="array" ref="AH171">MID(";"&amp;'CASE DATA'!$F171&amp;";",SMALL(IF(ISERROR(SEARCH(MID(";"&amp;'CASE DATA'!$F171&amp;";",ROW($1:$99),1),";")),"",ROW($1:$99)+1),COLUMN(L171)),SMALL(IF(ISERROR(SEARCH(MID(";"&amp;'CASE DATA'!$F171&amp;";",ROW($1:$99),1),";")),"",ROW($1:$99)),COLUMN(L170)+1)-SMALL(IF(ISERROR(SEARCH(MID(";"&amp;'CASE DATA'!$F171&amp;";",ROW($1:$99),1),";")),"",ROW($1:$99)),COLUMN(L170))-1)</f>
        <v/>
      </c>
      <c r="AI171" s="75" t="str" cm="1">
        <f t="array" ref="AI171">MID(";"&amp;'CASE DATA'!$F171&amp;";",SMALL(IF(ISERROR(SEARCH(MID(";"&amp;'CASE DATA'!$F171&amp;";",ROW($1:$99),1),";")),"",ROW($1:$99)+1),COLUMN(M171)),SMALL(IF(ISERROR(SEARCH(MID(";"&amp;'CASE DATA'!$F171&amp;";",ROW($1:$99),1),";")),"",ROW($1:$99)),COLUMN(M170)+1)-SMALL(IF(ISERROR(SEARCH(MID(";"&amp;'CASE DATA'!$F171&amp;";",ROW($1:$99),1),";")),"",ROW($1:$99)),COLUMN(M170))-1)</f>
        <v/>
      </c>
      <c r="BO171" s="99"/>
      <c r="BP171" s="99"/>
      <c r="BQ171" s="99"/>
      <c r="BR171" s="99"/>
      <c r="BS171" s="99"/>
      <c r="BT171" s="99"/>
      <c r="BU171" s="99"/>
      <c r="BV171" s="99"/>
      <c r="BW171" s="99"/>
      <c r="BX171" s="99"/>
      <c r="BY171" s="99"/>
      <c r="BZ171" s="99"/>
      <c r="CA171" s="99"/>
      <c r="CB171" s="99"/>
      <c r="CC171" s="99"/>
      <c r="CD171" s="99"/>
      <c r="CE171" s="99"/>
      <c r="CF171" s="99"/>
      <c r="CG171" s="99"/>
      <c r="CH171" s="99"/>
      <c r="CI171" s="99"/>
      <c r="CJ171" s="99"/>
      <c r="CK171" s="99"/>
      <c r="CL171" s="99"/>
      <c r="CM171" s="99"/>
      <c r="CN171" s="99"/>
      <c r="CO171" s="99"/>
      <c r="CP171" s="99"/>
      <c r="CQ171" s="99"/>
      <c r="CR171" s="99"/>
      <c r="CS171" s="99"/>
      <c r="CT171" s="99"/>
      <c r="CU171" s="99"/>
      <c r="CV171" s="99"/>
      <c r="CW171" s="99"/>
      <c r="CX171" s="99"/>
      <c r="CY171" s="99"/>
      <c r="CZ171" s="99"/>
      <c r="DA171" s="99"/>
      <c r="DB171" s="99"/>
      <c r="DC171" s="99"/>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99"/>
      <c r="EE171" s="99"/>
      <c r="EF171" s="99"/>
      <c r="EG171" s="99"/>
      <c r="EH171" s="99"/>
      <c r="EI171" s="99"/>
      <c r="EJ171" s="99"/>
      <c r="EK171" s="99"/>
      <c r="EL171" s="99"/>
      <c r="EM171" s="99"/>
      <c r="EN171" s="99"/>
      <c r="EO171" s="99"/>
      <c r="EP171" s="99"/>
      <c r="EQ171" s="99"/>
      <c r="ER171" s="99"/>
      <c r="ES171" s="99"/>
      <c r="ET171" s="99"/>
      <c r="EU171" s="99"/>
      <c r="EV171" s="99"/>
      <c r="EW171" s="99"/>
      <c r="EX171" s="99"/>
      <c r="EY171" s="99"/>
      <c r="EZ171" s="99"/>
      <c r="FA171" s="99"/>
      <c r="FB171" s="99"/>
      <c r="FC171" s="99"/>
      <c r="FD171" s="99"/>
      <c r="FE171" s="99"/>
      <c r="FF171" s="99"/>
      <c r="FG171" s="99"/>
      <c r="FH171" s="99"/>
      <c r="FI171" s="99"/>
      <c r="FJ171" s="99"/>
      <c r="FK171" s="99"/>
    </row>
    <row r="172" spans="3:167" x14ac:dyDescent="0.25">
      <c r="C172" s="10"/>
      <c r="D172" s="10"/>
      <c r="E172" s="11"/>
      <c r="F172" s="15"/>
      <c r="J172" s="99">
        <v>169</v>
      </c>
      <c r="K172" s="16"/>
      <c r="L172" s="16"/>
      <c r="M172" s="16"/>
      <c r="N172" s="16"/>
      <c r="O172" s="16"/>
      <c r="P172" s="16"/>
      <c r="Q172" s="16"/>
      <c r="R172" s="16"/>
      <c r="S172" s="16"/>
      <c r="T172" s="16"/>
      <c r="U172" s="14">
        <f>SUM(K172:T172)</f>
        <v>0</v>
      </c>
      <c r="V172" s="14"/>
      <c r="X172" s="75" t="str" cm="1">
        <f t="array" ref="X172">MID(";"&amp;'CASE DATA'!$F172&amp;";",SMALL(IF(ISERROR(SEARCH(MID(";"&amp;'CASE DATA'!$F172&amp;";",ROW($1:$99),1),";")),"",ROW($1:$99)+1),COLUMN(A172)),SMALL(IF(ISERROR(SEARCH(MID(";"&amp;'CASE DATA'!$F172&amp;";",ROW($1:$99),1),";")),"",ROW($1:$99)),COLUMN(A171)+1)-SMALL(IF(ISERROR(SEARCH(MID(";"&amp;'CASE DATA'!$F172&amp;";",ROW($1:$99),1),";")),"",ROW($1:$99)),COLUMN(A171))-1)</f>
        <v/>
      </c>
      <c r="Y172" s="75" t="str" cm="1">
        <f t="array" ref="Y172">MID(";"&amp;'CASE DATA'!$F172&amp;";",SMALL(IF(ISERROR(SEARCH(MID(";"&amp;'CASE DATA'!$F172&amp;";",ROW($1:$99),1),";")),"",ROW($1:$99)+1),COLUMN(B172)),SMALL(IF(ISERROR(SEARCH(MID(";"&amp;'CASE DATA'!$F172&amp;";",ROW($1:$99),1),";")),"",ROW($1:$99)),COLUMN(B171)+1)-SMALL(IF(ISERROR(SEARCH(MID(";"&amp;'CASE DATA'!$F172&amp;";",ROW($1:$99),1),";")),"",ROW($1:$99)),COLUMN(B171))-1)</f>
        <v/>
      </c>
      <c r="Z172" s="75" t="str" cm="1">
        <f t="array" ref="Z172">MID(";"&amp;'CASE DATA'!$F172&amp;";",SMALL(IF(ISERROR(SEARCH(MID(";"&amp;'CASE DATA'!$F172&amp;";",ROW($1:$99),1),";")),"",ROW($1:$99)+1),COLUMN(C172)),SMALL(IF(ISERROR(SEARCH(MID(";"&amp;'CASE DATA'!$F172&amp;";",ROW($1:$99),1),";")),"",ROW($1:$99)),COLUMN(C171)+1)-SMALL(IF(ISERROR(SEARCH(MID(";"&amp;'CASE DATA'!$F172&amp;";",ROW($1:$99),1),";")),"",ROW($1:$99)),COLUMN(C171))-1)</f>
        <v/>
      </c>
      <c r="AA172" s="75" t="str" cm="1">
        <f t="array" ref="AA172">MID(";"&amp;'CASE DATA'!$F172&amp;";",SMALL(IF(ISERROR(SEARCH(MID(";"&amp;'CASE DATA'!$F172&amp;";",ROW($1:$99),1),";")),"",ROW($1:$99)+1),COLUMN(D172)),SMALL(IF(ISERROR(SEARCH(MID(";"&amp;'CASE DATA'!$F172&amp;";",ROW($1:$99),1),";")),"",ROW($1:$99)),COLUMN(D171)+1)-SMALL(IF(ISERROR(SEARCH(MID(";"&amp;'CASE DATA'!$F172&amp;";",ROW($1:$99),1),";")),"",ROW($1:$99)),COLUMN(D171))-1)</f>
        <v/>
      </c>
      <c r="AB172" s="75" t="str" cm="1">
        <f t="array" ref="AB172">MID(";"&amp;'CASE DATA'!$F172&amp;";",SMALL(IF(ISERROR(SEARCH(MID(";"&amp;'CASE DATA'!$F172&amp;";",ROW($1:$99),1),";")),"",ROW($1:$99)+1),COLUMN(E172)),SMALL(IF(ISERROR(SEARCH(MID(";"&amp;'CASE DATA'!$F172&amp;";",ROW($1:$99),1),";")),"",ROW($1:$99)),COLUMN(E171)+1)-SMALL(IF(ISERROR(SEARCH(MID(";"&amp;'CASE DATA'!$F172&amp;";",ROW($1:$99),1),";")),"",ROW($1:$99)),COLUMN(E171))-1)</f>
        <v/>
      </c>
      <c r="AC172" s="75" t="str" cm="1">
        <f t="array" ref="AC172">MID(";"&amp;'CASE DATA'!$F172&amp;";",SMALL(IF(ISERROR(SEARCH(MID(";"&amp;'CASE DATA'!$F172&amp;";",ROW($1:$99),1),";")),"",ROW($1:$99)+1),COLUMN(F172)),SMALL(IF(ISERROR(SEARCH(MID(";"&amp;'CASE DATA'!$F172&amp;";",ROW($1:$99),1),";")),"",ROW($1:$99)),COLUMN(F171)+1)-SMALL(IF(ISERROR(SEARCH(MID(";"&amp;'CASE DATA'!$F172&amp;";",ROW($1:$99),1),";")),"",ROW($1:$99)),COLUMN(F171))-1)</f>
        <v/>
      </c>
      <c r="AD172" s="75" t="str" cm="1">
        <f t="array" ref="AD172">MID(";"&amp;'CASE DATA'!$F172&amp;";",SMALL(IF(ISERROR(SEARCH(MID(";"&amp;'CASE DATA'!$F172&amp;";",ROW($1:$99),1),";")),"",ROW($1:$99)+1),COLUMN(G172)),SMALL(IF(ISERROR(SEARCH(MID(";"&amp;'CASE DATA'!$F172&amp;";",ROW($1:$99),1),";")),"",ROW($1:$99)),COLUMN(G171)+1)-SMALL(IF(ISERROR(SEARCH(MID(";"&amp;'CASE DATA'!$F172&amp;";",ROW($1:$99),1),";")),"",ROW($1:$99)),COLUMN(G171))-1)</f>
        <v/>
      </c>
      <c r="AE172" s="75" t="str" cm="1">
        <f t="array" ref="AE172">MID(";"&amp;'CASE DATA'!$F172&amp;";",SMALL(IF(ISERROR(SEARCH(MID(";"&amp;'CASE DATA'!$F172&amp;";",ROW($1:$99),1),";")),"",ROW($1:$99)+1),COLUMN(H172)),SMALL(IF(ISERROR(SEARCH(MID(";"&amp;'CASE DATA'!$F172&amp;";",ROW($1:$99),1),";")),"",ROW($1:$99)),COLUMN(H171)+1)-SMALL(IF(ISERROR(SEARCH(MID(";"&amp;'CASE DATA'!$F172&amp;";",ROW($1:$99),1),";")),"",ROW($1:$99)),COLUMN(H171))-1)</f>
        <v/>
      </c>
      <c r="AF172" s="75" t="str" cm="1">
        <f t="array" ref="AF172">MID(";"&amp;'CASE DATA'!$F172&amp;";",SMALL(IF(ISERROR(SEARCH(MID(";"&amp;'CASE DATA'!$F172&amp;";",ROW($1:$99),1),";")),"",ROW($1:$99)+1),COLUMN(I172)),SMALL(IF(ISERROR(SEARCH(MID(";"&amp;'CASE DATA'!$F172&amp;";",ROW($1:$99),1),";")),"",ROW($1:$99)),COLUMN(I171)+1)-SMALL(IF(ISERROR(SEARCH(MID(";"&amp;'CASE DATA'!$F172&amp;";",ROW($1:$99),1),";")),"",ROW($1:$99)),COLUMN(I171))-1)</f>
        <v/>
      </c>
      <c r="AG172" s="75" t="str" cm="1">
        <f t="array" ref="AG172">MID(";"&amp;'CASE DATA'!$F172&amp;";",SMALL(IF(ISERROR(SEARCH(MID(";"&amp;'CASE DATA'!$F172&amp;";",ROW($1:$99),1),";")),"",ROW($1:$99)+1),COLUMN(K172)),SMALL(IF(ISERROR(SEARCH(MID(";"&amp;'CASE DATA'!$F172&amp;";",ROW($1:$99),1),";")),"",ROW($1:$99)),COLUMN(K171)+1)-SMALL(IF(ISERROR(SEARCH(MID(";"&amp;'CASE DATA'!$F172&amp;";",ROW($1:$99),1),";")),"",ROW($1:$99)),COLUMN(K171))-1)</f>
        <v/>
      </c>
      <c r="AH172" s="75" t="str" cm="1">
        <f t="array" ref="AH172">MID(";"&amp;'CASE DATA'!$F172&amp;";",SMALL(IF(ISERROR(SEARCH(MID(";"&amp;'CASE DATA'!$F172&amp;";",ROW($1:$99),1),";")),"",ROW($1:$99)+1),COLUMN(L172)),SMALL(IF(ISERROR(SEARCH(MID(";"&amp;'CASE DATA'!$F172&amp;";",ROW($1:$99),1),";")),"",ROW($1:$99)),COLUMN(L171)+1)-SMALL(IF(ISERROR(SEARCH(MID(";"&amp;'CASE DATA'!$F172&amp;";",ROW($1:$99),1),";")),"",ROW($1:$99)),COLUMN(L171))-1)</f>
        <v/>
      </c>
      <c r="AI172" s="75" t="str" cm="1">
        <f t="array" ref="AI172">MID(";"&amp;'CASE DATA'!$F172&amp;";",SMALL(IF(ISERROR(SEARCH(MID(";"&amp;'CASE DATA'!$F172&amp;";",ROW($1:$99),1),";")),"",ROW($1:$99)+1),COLUMN(M172)),SMALL(IF(ISERROR(SEARCH(MID(";"&amp;'CASE DATA'!$F172&amp;";",ROW($1:$99),1),";")),"",ROW($1:$99)),COLUMN(M171)+1)-SMALL(IF(ISERROR(SEARCH(MID(";"&amp;'CASE DATA'!$F172&amp;";",ROW($1:$99),1),";")),"",ROW($1:$99)),COLUMN(M171))-1)</f>
        <v/>
      </c>
      <c r="BO172" s="99"/>
      <c r="BP172" s="99"/>
      <c r="BQ172" s="99"/>
      <c r="BR172" s="99"/>
      <c r="BS172" s="99"/>
      <c r="BT172" s="99"/>
      <c r="BU172" s="99"/>
      <c r="BV172" s="99"/>
      <c r="BW172" s="99"/>
      <c r="BX172" s="99"/>
      <c r="BY172" s="99"/>
      <c r="BZ172" s="99"/>
      <c r="CA172" s="99"/>
      <c r="CB172" s="99"/>
      <c r="CC172" s="99"/>
      <c r="CD172" s="99"/>
      <c r="CE172" s="99"/>
      <c r="CF172" s="99"/>
      <c r="CG172" s="99"/>
      <c r="CH172" s="99"/>
      <c r="CI172" s="99"/>
      <c r="CJ172" s="99"/>
      <c r="CK172" s="99"/>
      <c r="CL172" s="99"/>
      <c r="CM172" s="99"/>
      <c r="CN172" s="99"/>
      <c r="CO172" s="99"/>
      <c r="CP172" s="99"/>
      <c r="CQ172" s="99"/>
      <c r="CR172" s="99"/>
      <c r="CS172" s="99"/>
      <c r="CT172" s="99"/>
      <c r="CU172" s="99"/>
      <c r="CV172" s="99"/>
      <c r="CW172" s="99"/>
      <c r="CX172" s="99"/>
      <c r="CY172" s="99"/>
      <c r="CZ172" s="99"/>
      <c r="DA172" s="99"/>
      <c r="DB172" s="99"/>
      <c r="DC172" s="99"/>
      <c r="DD172" s="99"/>
      <c r="DE172" s="99"/>
      <c r="DF172" s="99"/>
      <c r="DG172" s="99"/>
      <c r="DH172" s="99"/>
      <c r="DI172" s="99"/>
      <c r="DJ172" s="99"/>
      <c r="DK172" s="99"/>
      <c r="DL172" s="99"/>
      <c r="DM172" s="99"/>
      <c r="DN172" s="99"/>
      <c r="DO172" s="99"/>
      <c r="DP172" s="99"/>
      <c r="DQ172" s="99"/>
      <c r="DR172" s="99"/>
      <c r="DS172" s="99"/>
      <c r="DT172" s="99"/>
      <c r="DU172" s="99"/>
      <c r="DV172" s="99"/>
      <c r="DW172" s="99"/>
      <c r="DX172" s="99"/>
      <c r="DY172" s="99"/>
      <c r="DZ172" s="99"/>
      <c r="EA172" s="99"/>
      <c r="EB172" s="99"/>
      <c r="EC172" s="99"/>
      <c r="ED172" s="99"/>
      <c r="EE172" s="99"/>
      <c r="EF172" s="99"/>
      <c r="EG172" s="99"/>
      <c r="EH172" s="99"/>
      <c r="EI172" s="99"/>
      <c r="EJ172" s="99"/>
      <c r="EK172" s="99"/>
      <c r="EL172" s="99"/>
      <c r="EM172" s="99"/>
      <c r="EN172" s="99"/>
      <c r="EO172" s="99"/>
      <c r="EP172" s="99"/>
      <c r="EQ172" s="99"/>
      <c r="ER172" s="99"/>
      <c r="ES172" s="99"/>
      <c r="ET172" s="99"/>
      <c r="EU172" s="99"/>
      <c r="EV172" s="99"/>
      <c r="EW172" s="99"/>
      <c r="EX172" s="99"/>
      <c r="EY172" s="99"/>
      <c r="EZ172" s="99"/>
      <c r="FA172" s="99"/>
      <c r="FB172" s="99"/>
      <c r="FC172" s="99"/>
      <c r="FD172" s="99"/>
      <c r="FE172" s="99"/>
      <c r="FF172" s="99"/>
      <c r="FG172" s="99"/>
      <c r="FH172" s="99"/>
      <c r="FI172" s="99"/>
      <c r="FJ172" s="99"/>
      <c r="FK172" s="99"/>
    </row>
    <row r="173" spans="3:167" x14ac:dyDescent="0.25">
      <c r="C173" s="10"/>
      <c r="D173" s="10"/>
      <c r="E173" s="11"/>
      <c r="F173" s="15"/>
      <c r="J173" s="99">
        <v>170</v>
      </c>
      <c r="K173" s="16"/>
      <c r="L173" s="16"/>
      <c r="M173" s="16"/>
      <c r="N173" s="16"/>
      <c r="O173" s="16"/>
      <c r="P173" s="16"/>
      <c r="Q173" s="16"/>
      <c r="R173" s="16"/>
      <c r="S173" s="16"/>
      <c r="T173" s="16"/>
      <c r="U173" s="14">
        <f>SUM(K173:T173)</f>
        <v>0</v>
      </c>
      <c r="V173" s="14"/>
      <c r="X173" s="75" t="str" cm="1">
        <f t="array" ref="X173">MID(";"&amp;'CASE DATA'!$F173&amp;";",SMALL(IF(ISERROR(SEARCH(MID(";"&amp;'CASE DATA'!$F173&amp;";",ROW($1:$99),1),";")),"",ROW($1:$99)+1),COLUMN(A173)),SMALL(IF(ISERROR(SEARCH(MID(";"&amp;'CASE DATA'!$F173&amp;";",ROW($1:$99),1),";")),"",ROW($1:$99)),COLUMN(A172)+1)-SMALL(IF(ISERROR(SEARCH(MID(";"&amp;'CASE DATA'!$F173&amp;";",ROW($1:$99),1),";")),"",ROW($1:$99)),COLUMN(A172))-1)</f>
        <v/>
      </c>
      <c r="Y173" s="75" t="str" cm="1">
        <f t="array" ref="Y173">MID(";"&amp;'CASE DATA'!$F173&amp;";",SMALL(IF(ISERROR(SEARCH(MID(";"&amp;'CASE DATA'!$F173&amp;";",ROW($1:$99),1),";")),"",ROW($1:$99)+1),COLUMN(B173)),SMALL(IF(ISERROR(SEARCH(MID(";"&amp;'CASE DATA'!$F173&amp;";",ROW($1:$99),1),";")),"",ROW($1:$99)),COLUMN(B172)+1)-SMALL(IF(ISERROR(SEARCH(MID(";"&amp;'CASE DATA'!$F173&amp;";",ROW($1:$99),1),";")),"",ROW($1:$99)),COLUMN(B172))-1)</f>
        <v/>
      </c>
      <c r="Z173" s="75" t="str" cm="1">
        <f t="array" ref="Z173">MID(";"&amp;'CASE DATA'!$F173&amp;";",SMALL(IF(ISERROR(SEARCH(MID(";"&amp;'CASE DATA'!$F173&amp;";",ROW($1:$99),1),";")),"",ROW($1:$99)+1),COLUMN(C173)),SMALL(IF(ISERROR(SEARCH(MID(";"&amp;'CASE DATA'!$F173&amp;";",ROW($1:$99),1),";")),"",ROW($1:$99)),COLUMN(C172)+1)-SMALL(IF(ISERROR(SEARCH(MID(";"&amp;'CASE DATA'!$F173&amp;";",ROW($1:$99),1),";")),"",ROW($1:$99)),COLUMN(C172))-1)</f>
        <v/>
      </c>
      <c r="AA173" s="75" t="str" cm="1">
        <f t="array" ref="AA173">MID(";"&amp;'CASE DATA'!$F173&amp;";",SMALL(IF(ISERROR(SEARCH(MID(";"&amp;'CASE DATA'!$F173&amp;";",ROW($1:$99),1),";")),"",ROW($1:$99)+1),COLUMN(D173)),SMALL(IF(ISERROR(SEARCH(MID(";"&amp;'CASE DATA'!$F173&amp;";",ROW($1:$99),1),";")),"",ROW($1:$99)),COLUMN(D172)+1)-SMALL(IF(ISERROR(SEARCH(MID(";"&amp;'CASE DATA'!$F173&amp;";",ROW($1:$99),1),";")),"",ROW($1:$99)),COLUMN(D172))-1)</f>
        <v/>
      </c>
      <c r="AB173" s="75" t="str" cm="1">
        <f t="array" ref="AB173">MID(";"&amp;'CASE DATA'!$F173&amp;";",SMALL(IF(ISERROR(SEARCH(MID(";"&amp;'CASE DATA'!$F173&amp;";",ROW($1:$99),1),";")),"",ROW($1:$99)+1),COLUMN(E173)),SMALL(IF(ISERROR(SEARCH(MID(";"&amp;'CASE DATA'!$F173&amp;";",ROW($1:$99),1),";")),"",ROW($1:$99)),COLUMN(E172)+1)-SMALL(IF(ISERROR(SEARCH(MID(";"&amp;'CASE DATA'!$F173&amp;";",ROW($1:$99),1),";")),"",ROW($1:$99)),COLUMN(E172))-1)</f>
        <v/>
      </c>
      <c r="AC173" s="75" t="str" cm="1">
        <f t="array" ref="AC173">MID(";"&amp;'CASE DATA'!$F173&amp;";",SMALL(IF(ISERROR(SEARCH(MID(";"&amp;'CASE DATA'!$F173&amp;";",ROW($1:$99),1),";")),"",ROW($1:$99)+1),COLUMN(F173)),SMALL(IF(ISERROR(SEARCH(MID(";"&amp;'CASE DATA'!$F173&amp;";",ROW($1:$99),1),";")),"",ROW($1:$99)),COLUMN(F172)+1)-SMALL(IF(ISERROR(SEARCH(MID(";"&amp;'CASE DATA'!$F173&amp;";",ROW($1:$99),1),";")),"",ROW($1:$99)),COLUMN(F172))-1)</f>
        <v/>
      </c>
      <c r="AD173" s="75" t="str" cm="1">
        <f t="array" ref="AD173">MID(";"&amp;'CASE DATA'!$F173&amp;";",SMALL(IF(ISERROR(SEARCH(MID(";"&amp;'CASE DATA'!$F173&amp;";",ROW($1:$99),1),";")),"",ROW($1:$99)+1),COLUMN(G173)),SMALL(IF(ISERROR(SEARCH(MID(";"&amp;'CASE DATA'!$F173&amp;";",ROW($1:$99),1),";")),"",ROW($1:$99)),COLUMN(G172)+1)-SMALL(IF(ISERROR(SEARCH(MID(";"&amp;'CASE DATA'!$F173&amp;";",ROW($1:$99),1),";")),"",ROW($1:$99)),COLUMN(G172))-1)</f>
        <v/>
      </c>
      <c r="AE173" s="75" t="str" cm="1">
        <f t="array" ref="AE173">MID(";"&amp;'CASE DATA'!$F173&amp;";",SMALL(IF(ISERROR(SEARCH(MID(";"&amp;'CASE DATA'!$F173&amp;";",ROW($1:$99),1),";")),"",ROW($1:$99)+1),COLUMN(H173)),SMALL(IF(ISERROR(SEARCH(MID(";"&amp;'CASE DATA'!$F173&amp;";",ROW($1:$99),1),";")),"",ROW($1:$99)),COLUMN(H172)+1)-SMALL(IF(ISERROR(SEARCH(MID(";"&amp;'CASE DATA'!$F173&amp;";",ROW($1:$99),1),";")),"",ROW($1:$99)),COLUMN(H172))-1)</f>
        <v/>
      </c>
      <c r="AF173" s="75" t="str" cm="1">
        <f t="array" ref="AF173">MID(";"&amp;'CASE DATA'!$F173&amp;";",SMALL(IF(ISERROR(SEARCH(MID(";"&amp;'CASE DATA'!$F173&amp;";",ROW($1:$99),1),";")),"",ROW($1:$99)+1),COLUMN(I173)),SMALL(IF(ISERROR(SEARCH(MID(";"&amp;'CASE DATA'!$F173&amp;";",ROW($1:$99),1),";")),"",ROW($1:$99)),COLUMN(I172)+1)-SMALL(IF(ISERROR(SEARCH(MID(";"&amp;'CASE DATA'!$F173&amp;";",ROW($1:$99),1),";")),"",ROW($1:$99)),COLUMN(I172))-1)</f>
        <v/>
      </c>
      <c r="AG173" s="75" t="str" cm="1">
        <f t="array" ref="AG173">MID(";"&amp;'CASE DATA'!$F173&amp;";",SMALL(IF(ISERROR(SEARCH(MID(";"&amp;'CASE DATA'!$F173&amp;";",ROW($1:$99),1),";")),"",ROW($1:$99)+1),COLUMN(K173)),SMALL(IF(ISERROR(SEARCH(MID(";"&amp;'CASE DATA'!$F173&amp;";",ROW($1:$99),1),";")),"",ROW($1:$99)),COLUMN(K172)+1)-SMALL(IF(ISERROR(SEARCH(MID(";"&amp;'CASE DATA'!$F173&amp;";",ROW($1:$99),1),";")),"",ROW($1:$99)),COLUMN(K172))-1)</f>
        <v/>
      </c>
      <c r="AH173" s="75" t="str" cm="1">
        <f t="array" ref="AH173">MID(";"&amp;'CASE DATA'!$F173&amp;";",SMALL(IF(ISERROR(SEARCH(MID(";"&amp;'CASE DATA'!$F173&amp;";",ROW($1:$99),1),";")),"",ROW($1:$99)+1),COLUMN(L173)),SMALL(IF(ISERROR(SEARCH(MID(";"&amp;'CASE DATA'!$F173&amp;";",ROW($1:$99),1),";")),"",ROW($1:$99)),COLUMN(L172)+1)-SMALL(IF(ISERROR(SEARCH(MID(";"&amp;'CASE DATA'!$F173&amp;";",ROW($1:$99),1),";")),"",ROW($1:$99)),COLUMN(L172))-1)</f>
        <v/>
      </c>
      <c r="AI173" s="75" t="str" cm="1">
        <f t="array" ref="AI173">MID(";"&amp;'CASE DATA'!$F173&amp;";",SMALL(IF(ISERROR(SEARCH(MID(";"&amp;'CASE DATA'!$F173&amp;";",ROW($1:$99),1),";")),"",ROW($1:$99)+1),COLUMN(M173)),SMALL(IF(ISERROR(SEARCH(MID(";"&amp;'CASE DATA'!$F173&amp;";",ROW($1:$99),1),";")),"",ROW($1:$99)),COLUMN(M172)+1)-SMALL(IF(ISERROR(SEARCH(MID(";"&amp;'CASE DATA'!$F173&amp;";",ROW($1:$99),1),";")),"",ROW($1:$99)),COLUMN(M172))-1)</f>
        <v/>
      </c>
      <c r="BO173" s="99"/>
      <c r="BP173" s="99"/>
      <c r="BQ173" s="99"/>
      <c r="BR173" s="99"/>
      <c r="BS173" s="99"/>
      <c r="BT173" s="99"/>
      <c r="BU173" s="99"/>
      <c r="BV173" s="99"/>
      <c r="BW173" s="99"/>
      <c r="BX173" s="99"/>
      <c r="BY173" s="99"/>
      <c r="BZ173" s="99"/>
      <c r="CA173" s="99"/>
      <c r="CB173" s="99"/>
      <c r="CC173" s="99"/>
      <c r="CD173" s="99"/>
      <c r="CE173" s="99"/>
      <c r="CF173" s="99"/>
      <c r="CG173" s="99"/>
      <c r="CH173" s="99"/>
      <c r="CI173" s="99"/>
      <c r="CJ173" s="99"/>
      <c r="CK173" s="99"/>
      <c r="CL173" s="99"/>
      <c r="CM173" s="99"/>
      <c r="CN173" s="99"/>
      <c r="CO173" s="99"/>
      <c r="CP173" s="99"/>
      <c r="CQ173" s="99"/>
      <c r="CR173" s="99"/>
      <c r="CS173" s="99"/>
      <c r="CT173" s="99"/>
      <c r="CU173" s="99"/>
      <c r="CV173" s="99"/>
      <c r="CW173" s="99"/>
      <c r="CX173" s="99"/>
      <c r="CY173" s="99"/>
      <c r="CZ173" s="99"/>
      <c r="DA173" s="99"/>
      <c r="DB173" s="99"/>
      <c r="DC173" s="99"/>
      <c r="DD173" s="99"/>
      <c r="DE173" s="99"/>
      <c r="DF173" s="99"/>
      <c r="DG173" s="99"/>
      <c r="DH173" s="99"/>
      <c r="DI173" s="99"/>
      <c r="DJ173" s="99"/>
      <c r="DK173" s="99"/>
      <c r="DL173" s="99"/>
      <c r="DM173" s="99"/>
      <c r="DN173" s="99"/>
      <c r="DO173" s="99"/>
      <c r="DP173" s="99"/>
      <c r="DQ173" s="99"/>
      <c r="DR173" s="99"/>
      <c r="DS173" s="99"/>
      <c r="DT173" s="99"/>
      <c r="DU173" s="99"/>
      <c r="DV173" s="99"/>
      <c r="DW173" s="99"/>
      <c r="DX173" s="99"/>
      <c r="DY173" s="99"/>
      <c r="DZ173" s="99"/>
      <c r="EA173" s="99"/>
      <c r="EB173" s="99"/>
      <c r="EC173" s="99"/>
      <c r="ED173" s="99"/>
      <c r="EE173" s="99"/>
      <c r="EF173" s="99"/>
      <c r="EG173" s="99"/>
      <c r="EH173" s="99"/>
      <c r="EI173" s="99"/>
      <c r="EJ173" s="99"/>
      <c r="EK173" s="99"/>
      <c r="EL173" s="99"/>
      <c r="EM173" s="99"/>
      <c r="EN173" s="99"/>
      <c r="EO173" s="99"/>
      <c r="EP173" s="99"/>
      <c r="EQ173" s="99"/>
      <c r="ER173" s="99"/>
      <c r="ES173" s="99"/>
      <c r="ET173" s="99"/>
      <c r="EU173" s="99"/>
      <c r="EV173" s="99"/>
      <c r="EW173" s="99"/>
      <c r="EX173" s="99"/>
      <c r="EY173" s="99"/>
      <c r="EZ173" s="99"/>
      <c r="FA173" s="99"/>
      <c r="FB173" s="99"/>
      <c r="FC173" s="99"/>
      <c r="FD173" s="99"/>
      <c r="FE173" s="99"/>
      <c r="FF173" s="99"/>
      <c r="FG173" s="99"/>
      <c r="FH173" s="99"/>
      <c r="FI173" s="99"/>
      <c r="FJ173" s="99"/>
      <c r="FK173" s="99"/>
    </row>
    <row r="174" spans="3:167" x14ac:dyDescent="0.25">
      <c r="C174" s="10"/>
      <c r="D174" s="10"/>
      <c r="E174" s="11"/>
      <c r="F174" s="15"/>
      <c r="J174" s="99">
        <v>171</v>
      </c>
      <c r="K174" s="16"/>
      <c r="L174" s="16"/>
      <c r="M174" s="16"/>
      <c r="N174" s="16"/>
      <c r="O174" s="16"/>
      <c r="P174" s="16"/>
      <c r="Q174" s="16"/>
      <c r="R174" s="16"/>
      <c r="S174" s="16"/>
      <c r="T174" s="16"/>
      <c r="U174" s="14">
        <f>SUM(K174:T174)</f>
        <v>0</v>
      </c>
      <c r="V174" s="14"/>
      <c r="X174" s="75" t="str" cm="1">
        <f t="array" ref="X174">MID(";"&amp;'CASE DATA'!$F174&amp;";",SMALL(IF(ISERROR(SEARCH(MID(";"&amp;'CASE DATA'!$F174&amp;";",ROW($1:$99),1),";")),"",ROW($1:$99)+1),COLUMN(A174)),SMALL(IF(ISERROR(SEARCH(MID(";"&amp;'CASE DATA'!$F174&amp;";",ROW($1:$99),1),";")),"",ROW($1:$99)),COLUMN(A173)+1)-SMALL(IF(ISERROR(SEARCH(MID(";"&amp;'CASE DATA'!$F174&amp;";",ROW($1:$99),1),";")),"",ROW($1:$99)),COLUMN(A173))-1)</f>
        <v/>
      </c>
      <c r="Y174" s="75" t="str" cm="1">
        <f t="array" ref="Y174">MID(";"&amp;'CASE DATA'!$F174&amp;";",SMALL(IF(ISERROR(SEARCH(MID(";"&amp;'CASE DATA'!$F174&amp;";",ROW($1:$99),1),";")),"",ROW($1:$99)+1),COLUMN(B174)),SMALL(IF(ISERROR(SEARCH(MID(";"&amp;'CASE DATA'!$F174&amp;";",ROW($1:$99),1),";")),"",ROW($1:$99)),COLUMN(B173)+1)-SMALL(IF(ISERROR(SEARCH(MID(";"&amp;'CASE DATA'!$F174&amp;";",ROW($1:$99),1),";")),"",ROW($1:$99)),COLUMN(B173))-1)</f>
        <v/>
      </c>
      <c r="Z174" s="75" t="str" cm="1">
        <f t="array" ref="Z174">MID(";"&amp;'CASE DATA'!$F174&amp;";",SMALL(IF(ISERROR(SEARCH(MID(";"&amp;'CASE DATA'!$F174&amp;";",ROW($1:$99),1),";")),"",ROW($1:$99)+1),COLUMN(C174)),SMALL(IF(ISERROR(SEARCH(MID(";"&amp;'CASE DATA'!$F174&amp;";",ROW($1:$99),1),";")),"",ROW($1:$99)),COLUMN(C173)+1)-SMALL(IF(ISERROR(SEARCH(MID(";"&amp;'CASE DATA'!$F174&amp;";",ROW($1:$99),1),";")),"",ROW($1:$99)),COLUMN(C173))-1)</f>
        <v/>
      </c>
      <c r="AA174" s="75" t="str" cm="1">
        <f t="array" ref="AA174">MID(";"&amp;'CASE DATA'!$F174&amp;";",SMALL(IF(ISERROR(SEARCH(MID(";"&amp;'CASE DATA'!$F174&amp;";",ROW($1:$99),1),";")),"",ROW($1:$99)+1),COLUMN(D174)),SMALL(IF(ISERROR(SEARCH(MID(";"&amp;'CASE DATA'!$F174&amp;";",ROW($1:$99),1),";")),"",ROW($1:$99)),COLUMN(D173)+1)-SMALL(IF(ISERROR(SEARCH(MID(";"&amp;'CASE DATA'!$F174&amp;";",ROW($1:$99),1),";")),"",ROW($1:$99)),COLUMN(D173))-1)</f>
        <v/>
      </c>
      <c r="AB174" s="75" t="str" cm="1">
        <f t="array" ref="AB174">MID(";"&amp;'CASE DATA'!$F174&amp;";",SMALL(IF(ISERROR(SEARCH(MID(";"&amp;'CASE DATA'!$F174&amp;";",ROW($1:$99),1),";")),"",ROW($1:$99)+1),COLUMN(E174)),SMALL(IF(ISERROR(SEARCH(MID(";"&amp;'CASE DATA'!$F174&amp;";",ROW($1:$99),1),";")),"",ROW($1:$99)),COLUMN(E173)+1)-SMALL(IF(ISERROR(SEARCH(MID(";"&amp;'CASE DATA'!$F174&amp;";",ROW($1:$99),1),";")),"",ROW($1:$99)),COLUMN(E173))-1)</f>
        <v/>
      </c>
      <c r="AC174" s="75" t="str" cm="1">
        <f t="array" ref="AC174">MID(";"&amp;'CASE DATA'!$F174&amp;";",SMALL(IF(ISERROR(SEARCH(MID(";"&amp;'CASE DATA'!$F174&amp;";",ROW($1:$99),1),";")),"",ROW($1:$99)+1),COLUMN(F174)),SMALL(IF(ISERROR(SEARCH(MID(";"&amp;'CASE DATA'!$F174&amp;";",ROW($1:$99),1),";")),"",ROW($1:$99)),COLUMN(F173)+1)-SMALL(IF(ISERROR(SEARCH(MID(";"&amp;'CASE DATA'!$F174&amp;";",ROW($1:$99),1),";")),"",ROW($1:$99)),COLUMN(F173))-1)</f>
        <v/>
      </c>
      <c r="AD174" s="75" t="str" cm="1">
        <f t="array" ref="AD174">MID(";"&amp;'CASE DATA'!$F174&amp;";",SMALL(IF(ISERROR(SEARCH(MID(";"&amp;'CASE DATA'!$F174&amp;";",ROW($1:$99),1),";")),"",ROW($1:$99)+1),COLUMN(G174)),SMALL(IF(ISERROR(SEARCH(MID(";"&amp;'CASE DATA'!$F174&amp;";",ROW($1:$99),1),";")),"",ROW($1:$99)),COLUMN(G173)+1)-SMALL(IF(ISERROR(SEARCH(MID(";"&amp;'CASE DATA'!$F174&amp;";",ROW($1:$99),1),";")),"",ROW($1:$99)),COLUMN(G173))-1)</f>
        <v/>
      </c>
      <c r="AE174" s="75" t="str" cm="1">
        <f t="array" ref="AE174">MID(";"&amp;'CASE DATA'!$F174&amp;";",SMALL(IF(ISERROR(SEARCH(MID(";"&amp;'CASE DATA'!$F174&amp;";",ROW($1:$99),1),";")),"",ROW($1:$99)+1),COLUMN(H174)),SMALL(IF(ISERROR(SEARCH(MID(";"&amp;'CASE DATA'!$F174&amp;";",ROW($1:$99),1),";")),"",ROW($1:$99)),COLUMN(H173)+1)-SMALL(IF(ISERROR(SEARCH(MID(";"&amp;'CASE DATA'!$F174&amp;";",ROW($1:$99),1),";")),"",ROW($1:$99)),COLUMN(H173))-1)</f>
        <v/>
      </c>
      <c r="AF174" s="75" t="str" cm="1">
        <f t="array" ref="AF174">MID(";"&amp;'CASE DATA'!$F174&amp;";",SMALL(IF(ISERROR(SEARCH(MID(";"&amp;'CASE DATA'!$F174&amp;";",ROW($1:$99),1),";")),"",ROW($1:$99)+1),COLUMN(I174)),SMALL(IF(ISERROR(SEARCH(MID(";"&amp;'CASE DATA'!$F174&amp;";",ROW($1:$99),1),";")),"",ROW($1:$99)),COLUMN(I173)+1)-SMALL(IF(ISERROR(SEARCH(MID(";"&amp;'CASE DATA'!$F174&amp;";",ROW($1:$99),1),";")),"",ROW($1:$99)),COLUMN(I173))-1)</f>
        <v/>
      </c>
      <c r="AG174" s="75" t="str" cm="1">
        <f t="array" ref="AG174">MID(";"&amp;'CASE DATA'!$F174&amp;";",SMALL(IF(ISERROR(SEARCH(MID(";"&amp;'CASE DATA'!$F174&amp;";",ROW($1:$99),1),";")),"",ROW($1:$99)+1),COLUMN(K174)),SMALL(IF(ISERROR(SEARCH(MID(";"&amp;'CASE DATA'!$F174&amp;";",ROW($1:$99),1),";")),"",ROW($1:$99)),COLUMN(K173)+1)-SMALL(IF(ISERROR(SEARCH(MID(";"&amp;'CASE DATA'!$F174&amp;";",ROW($1:$99),1),";")),"",ROW($1:$99)),COLUMN(K173))-1)</f>
        <v/>
      </c>
      <c r="AH174" s="75" t="str" cm="1">
        <f t="array" ref="AH174">MID(";"&amp;'CASE DATA'!$F174&amp;";",SMALL(IF(ISERROR(SEARCH(MID(";"&amp;'CASE DATA'!$F174&amp;";",ROW($1:$99),1),";")),"",ROW($1:$99)+1),COLUMN(L174)),SMALL(IF(ISERROR(SEARCH(MID(";"&amp;'CASE DATA'!$F174&amp;";",ROW($1:$99),1),";")),"",ROW($1:$99)),COLUMN(L173)+1)-SMALL(IF(ISERROR(SEARCH(MID(";"&amp;'CASE DATA'!$F174&amp;";",ROW($1:$99),1),";")),"",ROW($1:$99)),COLUMN(L173))-1)</f>
        <v/>
      </c>
      <c r="AI174" s="75" t="str" cm="1">
        <f t="array" ref="AI174">MID(";"&amp;'CASE DATA'!$F174&amp;";",SMALL(IF(ISERROR(SEARCH(MID(";"&amp;'CASE DATA'!$F174&amp;";",ROW($1:$99),1),";")),"",ROW($1:$99)+1),COLUMN(M174)),SMALL(IF(ISERROR(SEARCH(MID(";"&amp;'CASE DATA'!$F174&amp;";",ROW($1:$99),1),";")),"",ROW($1:$99)),COLUMN(M173)+1)-SMALL(IF(ISERROR(SEARCH(MID(";"&amp;'CASE DATA'!$F174&amp;";",ROW($1:$99),1),";")),"",ROW($1:$99)),COLUMN(M173))-1)</f>
        <v/>
      </c>
      <c r="BO174" s="99"/>
      <c r="BP174" s="99"/>
      <c r="BQ174" s="99"/>
      <c r="BR174" s="99"/>
      <c r="BS174" s="99"/>
      <c r="BT174" s="99"/>
      <c r="BU174" s="99"/>
      <c r="BV174" s="99"/>
      <c r="BW174" s="99"/>
      <c r="BX174" s="99"/>
      <c r="BY174" s="99"/>
      <c r="BZ174" s="99"/>
      <c r="CA174" s="99"/>
      <c r="CB174" s="99"/>
      <c r="CC174" s="99"/>
      <c r="CD174" s="99"/>
      <c r="CE174" s="99"/>
      <c r="CF174" s="99"/>
      <c r="CG174" s="99"/>
      <c r="CH174" s="99"/>
      <c r="CI174" s="99"/>
      <c r="CJ174" s="99"/>
      <c r="CK174" s="99"/>
      <c r="CL174" s="99"/>
      <c r="CM174" s="99"/>
      <c r="CN174" s="99"/>
      <c r="CO174" s="99"/>
      <c r="CP174" s="99"/>
      <c r="CQ174" s="99"/>
      <c r="CR174" s="99"/>
      <c r="CS174" s="99"/>
      <c r="CT174" s="99"/>
      <c r="CU174" s="99"/>
      <c r="CV174" s="99"/>
      <c r="CW174" s="99"/>
      <c r="CX174" s="99"/>
      <c r="CY174" s="99"/>
      <c r="CZ174" s="99"/>
      <c r="DA174" s="99"/>
      <c r="DB174" s="99"/>
      <c r="DC174" s="99"/>
      <c r="DD174" s="99"/>
      <c r="DE174" s="99"/>
      <c r="DF174" s="99"/>
      <c r="DG174" s="99"/>
      <c r="DH174" s="99"/>
      <c r="DI174" s="99"/>
      <c r="DJ174" s="99"/>
      <c r="DK174" s="99"/>
      <c r="DL174" s="99"/>
      <c r="DM174" s="99"/>
      <c r="DN174" s="99"/>
      <c r="DO174" s="99"/>
      <c r="DP174" s="99"/>
      <c r="DQ174" s="99"/>
      <c r="DR174" s="99"/>
      <c r="DS174" s="99"/>
      <c r="DT174" s="99"/>
      <c r="DU174" s="99"/>
      <c r="DV174" s="99"/>
      <c r="DW174" s="99"/>
      <c r="DX174" s="99"/>
      <c r="DY174" s="99"/>
      <c r="DZ174" s="99"/>
      <c r="EA174" s="99"/>
      <c r="EB174" s="99"/>
      <c r="EC174" s="99"/>
      <c r="ED174" s="99"/>
      <c r="EE174" s="99"/>
      <c r="EF174" s="99"/>
      <c r="EG174" s="99"/>
      <c r="EH174" s="99"/>
      <c r="EI174" s="99"/>
      <c r="EJ174" s="99"/>
      <c r="EK174" s="99"/>
      <c r="EL174" s="99"/>
      <c r="EM174" s="99"/>
      <c r="EN174" s="99"/>
      <c r="EO174" s="99"/>
      <c r="EP174" s="99"/>
      <c r="EQ174" s="99"/>
      <c r="ER174" s="99"/>
      <c r="ES174" s="99"/>
      <c r="ET174" s="99"/>
      <c r="EU174" s="99"/>
      <c r="EV174" s="99"/>
      <c r="EW174" s="99"/>
      <c r="EX174" s="99"/>
      <c r="EY174" s="99"/>
      <c r="EZ174" s="99"/>
      <c r="FA174" s="99"/>
      <c r="FB174" s="99"/>
      <c r="FC174" s="99"/>
      <c r="FD174" s="99"/>
      <c r="FE174" s="99"/>
      <c r="FF174" s="99"/>
      <c r="FG174" s="99"/>
      <c r="FH174" s="99"/>
      <c r="FI174" s="99"/>
      <c r="FJ174" s="99"/>
      <c r="FK174" s="99"/>
    </row>
    <row r="175" spans="3:167" x14ac:dyDescent="0.25">
      <c r="C175" s="10"/>
      <c r="D175" s="10"/>
      <c r="E175" s="11"/>
      <c r="F175" s="15"/>
      <c r="J175" s="99">
        <v>172</v>
      </c>
      <c r="K175" s="16"/>
      <c r="L175" s="16"/>
      <c r="M175" s="16"/>
      <c r="N175" s="16"/>
      <c r="O175" s="16"/>
      <c r="P175" s="16"/>
      <c r="Q175" s="16"/>
      <c r="R175" s="16"/>
      <c r="S175" s="16"/>
      <c r="T175" s="16"/>
      <c r="U175" s="14">
        <f>SUM(K175:T175)</f>
        <v>0</v>
      </c>
      <c r="V175" s="14"/>
      <c r="X175" s="75" t="str" cm="1">
        <f t="array" ref="X175">MID(";"&amp;'CASE DATA'!$F175&amp;";",SMALL(IF(ISERROR(SEARCH(MID(";"&amp;'CASE DATA'!$F175&amp;";",ROW($1:$99),1),";")),"",ROW($1:$99)+1),COLUMN(A175)),SMALL(IF(ISERROR(SEARCH(MID(";"&amp;'CASE DATA'!$F175&amp;";",ROW($1:$99),1),";")),"",ROW($1:$99)),COLUMN(A174)+1)-SMALL(IF(ISERROR(SEARCH(MID(";"&amp;'CASE DATA'!$F175&amp;";",ROW($1:$99),1),";")),"",ROW($1:$99)),COLUMN(A174))-1)</f>
        <v/>
      </c>
      <c r="Y175" s="75" t="str" cm="1">
        <f t="array" ref="Y175">MID(";"&amp;'CASE DATA'!$F175&amp;";",SMALL(IF(ISERROR(SEARCH(MID(";"&amp;'CASE DATA'!$F175&amp;";",ROW($1:$99),1),";")),"",ROW($1:$99)+1),COLUMN(B175)),SMALL(IF(ISERROR(SEARCH(MID(";"&amp;'CASE DATA'!$F175&amp;";",ROW($1:$99),1),";")),"",ROW($1:$99)),COLUMN(B174)+1)-SMALL(IF(ISERROR(SEARCH(MID(";"&amp;'CASE DATA'!$F175&amp;";",ROW($1:$99),1),";")),"",ROW($1:$99)),COLUMN(B174))-1)</f>
        <v/>
      </c>
      <c r="Z175" s="75" t="str" cm="1">
        <f t="array" ref="Z175">MID(";"&amp;'CASE DATA'!$F175&amp;";",SMALL(IF(ISERROR(SEARCH(MID(";"&amp;'CASE DATA'!$F175&amp;";",ROW($1:$99),1),";")),"",ROW($1:$99)+1),COLUMN(C175)),SMALL(IF(ISERROR(SEARCH(MID(";"&amp;'CASE DATA'!$F175&amp;";",ROW($1:$99),1),";")),"",ROW($1:$99)),COLUMN(C174)+1)-SMALL(IF(ISERROR(SEARCH(MID(";"&amp;'CASE DATA'!$F175&amp;";",ROW($1:$99),1),";")),"",ROW($1:$99)),COLUMN(C174))-1)</f>
        <v/>
      </c>
      <c r="AA175" s="75" t="str" cm="1">
        <f t="array" ref="AA175">MID(";"&amp;'CASE DATA'!$F175&amp;";",SMALL(IF(ISERROR(SEARCH(MID(";"&amp;'CASE DATA'!$F175&amp;";",ROW($1:$99),1),";")),"",ROW($1:$99)+1),COLUMN(D175)),SMALL(IF(ISERROR(SEARCH(MID(";"&amp;'CASE DATA'!$F175&amp;";",ROW($1:$99),1),";")),"",ROW($1:$99)),COLUMN(D174)+1)-SMALL(IF(ISERROR(SEARCH(MID(";"&amp;'CASE DATA'!$F175&amp;";",ROW($1:$99),1),";")),"",ROW($1:$99)),COLUMN(D174))-1)</f>
        <v/>
      </c>
      <c r="AB175" s="75" t="str" cm="1">
        <f t="array" ref="AB175">MID(";"&amp;'CASE DATA'!$F175&amp;";",SMALL(IF(ISERROR(SEARCH(MID(";"&amp;'CASE DATA'!$F175&amp;";",ROW($1:$99),1),";")),"",ROW($1:$99)+1),COLUMN(E175)),SMALL(IF(ISERROR(SEARCH(MID(";"&amp;'CASE DATA'!$F175&amp;";",ROW($1:$99),1),";")),"",ROW($1:$99)),COLUMN(E174)+1)-SMALL(IF(ISERROR(SEARCH(MID(";"&amp;'CASE DATA'!$F175&amp;";",ROW($1:$99),1),";")),"",ROW($1:$99)),COLUMN(E174))-1)</f>
        <v/>
      </c>
      <c r="AC175" s="75" t="str" cm="1">
        <f t="array" ref="AC175">MID(";"&amp;'CASE DATA'!$F175&amp;";",SMALL(IF(ISERROR(SEARCH(MID(";"&amp;'CASE DATA'!$F175&amp;";",ROW($1:$99),1),";")),"",ROW($1:$99)+1),COLUMN(F175)),SMALL(IF(ISERROR(SEARCH(MID(";"&amp;'CASE DATA'!$F175&amp;";",ROW($1:$99),1),";")),"",ROW($1:$99)),COLUMN(F174)+1)-SMALL(IF(ISERROR(SEARCH(MID(";"&amp;'CASE DATA'!$F175&amp;";",ROW($1:$99),1),";")),"",ROW($1:$99)),COLUMN(F174))-1)</f>
        <v/>
      </c>
      <c r="AD175" s="75" t="str" cm="1">
        <f t="array" ref="AD175">MID(";"&amp;'CASE DATA'!$F175&amp;";",SMALL(IF(ISERROR(SEARCH(MID(";"&amp;'CASE DATA'!$F175&amp;";",ROW($1:$99),1),";")),"",ROW($1:$99)+1),COLUMN(G175)),SMALL(IF(ISERROR(SEARCH(MID(";"&amp;'CASE DATA'!$F175&amp;";",ROW($1:$99),1),";")),"",ROW($1:$99)),COLUMN(G174)+1)-SMALL(IF(ISERROR(SEARCH(MID(";"&amp;'CASE DATA'!$F175&amp;";",ROW($1:$99),1),";")),"",ROW($1:$99)),COLUMN(G174))-1)</f>
        <v/>
      </c>
      <c r="AE175" s="75" t="str" cm="1">
        <f t="array" ref="AE175">MID(";"&amp;'CASE DATA'!$F175&amp;";",SMALL(IF(ISERROR(SEARCH(MID(";"&amp;'CASE DATA'!$F175&amp;";",ROW($1:$99),1),";")),"",ROW($1:$99)+1),COLUMN(H175)),SMALL(IF(ISERROR(SEARCH(MID(";"&amp;'CASE DATA'!$F175&amp;";",ROW($1:$99),1),";")),"",ROW($1:$99)),COLUMN(H174)+1)-SMALL(IF(ISERROR(SEARCH(MID(";"&amp;'CASE DATA'!$F175&amp;";",ROW($1:$99),1),";")),"",ROW($1:$99)),COLUMN(H174))-1)</f>
        <v/>
      </c>
      <c r="AF175" s="75" t="str" cm="1">
        <f t="array" ref="AF175">MID(";"&amp;'CASE DATA'!$F175&amp;";",SMALL(IF(ISERROR(SEARCH(MID(";"&amp;'CASE DATA'!$F175&amp;";",ROW($1:$99),1),";")),"",ROW($1:$99)+1),COLUMN(I175)),SMALL(IF(ISERROR(SEARCH(MID(";"&amp;'CASE DATA'!$F175&amp;";",ROW($1:$99),1),";")),"",ROW($1:$99)),COLUMN(I174)+1)-SMALL(IF(ISERROR(SEARCH(MID(";"&amp;'CASE DATA'!$F175&amp;";",ROW($1:$99),1),";")),"",ROW($1:$99)),COLUMN(I174))-1)</f>
        <v/>
      </c>
      <c r="AG175" s="75" t="str" cm="1">
        <f t="array" ref="AG175">MID(";"&amp;'CASE DATA'!$F175&amp;";",SMALL(IF(ISERROR(SEARCH(MID(";"&amp;'CASE DATA'!$F175&amp;";",ROW($1:$99),1),";")),"",ROW($1:$99)+1),COLUMN(K175)),SMALL(IF(ISERROR(SEARCH(MID(";"&amp;'CASE DATA'!$F175&amp;";",ROW($1:$99),1),";")),"",ROW($1:$99)),COLUMN(K174)+1)-SMALL(IF(ISERROR(SEARCH(MID(";"&amp;'CASE DATA'!$F175&amp;";",ROW($1:$99),1),";")),"",ROW($1:$99)),COLUMN(K174))-1)</f>
        <v/>
      </c>
      <c r="AH175" s="75" t="str" cm="1">
        <f t="array" ref="AH175">MID(";"&amp;'CASE DATA'!$F175&amp;";",SMALL(IF(ISERROR(SEARCH(MID(";"&amp;'CASE DATA'!$F175&amp;";",ROW($1:$99),1),";")),"",ROW($1:$99)+1),COLUMN(L175)),SMALL(IF(ISERROR(SEARCH(MID(";"&amp;'CASE DATA'!$F175&amp;";",ROW($1:$99),1),";")),"",ROW($1:$99)),COLUMN(L174)+1)-SMALL(IF(ISERROR(SEARCH(MID(";"&amp;'CASE DATA'!$F175&amp;";",ROW($1:$99),1),";")),"",ROW($1:$99)),COLUMN(L174))-1)</f>
        <v/>
      </c>
      <c r="AI175" s="75" t="str" cm="1">
        <f t="array" ref="AI175">MID(";"&amp;'CASE DATA'!$F175&amp;";",SMALL(IF(ISERROR(SEARCH(MID(";"&amp;'CASE DATA'!$F175&amp;";",ROW($1:$99),1),";")),"",ROW($1:$99)+1),COLUMN(M175)),SMALL(IF(ISERROR(SEARCH(MID(";"&amp;'CASE DATA'!$F175&amp;";",ROW($1:$99),1),";")),"",ROW($1:$99)),COLUMN(M174)+1)-SMALL(IF(ISERROR(SEARCH(MID(";"&amp;'CASE DATA'!$F175&amp;";",ROW($1:$99),1),";")),"",ROW($1:$99)),COLUMN(M174))-1)</f>
        <v/>
      </c>
      <c r="BO175" s="99"/>
      <c r="BP175" s="99"/>
      <c r="BQ175" s="99"/>
      <c r="BR175" s="99"/>
      <c r="BS175" s="99"/>
      <c r="BT175" s="99"/>
      <c r="BU175" s="99"/>
      <c r="BV175" s="99"/>
      <c r="BW175" s="99"/>
      <c r="BX175" s="99"/>
      <c r="BY175" s="99"/>
      <c r="BZ175" s="99"/>
      <c r="CA175" s="99"/>
      <c r="CB175" s="99"/>
      <c r="CC175" s="99"/>
      <c r="CD175" s="99"/>
      <c r="CE175" s="99"/>
      <c r="CF175" s="99"/>
      <c r="CG175" s="99"/>
      <c r="CH175" s="99"/>
      <c r="CI175" s="99"/>
      <c r="CJ175" s="99"/>
      <c r="CK175" s="99"/>
      <c r="CL175" s="99"/>
      <c r="CM175" s="99"/>
      <c r="CN175" s="99"/>
      <c r="CO175" s="99"/>
      <c r="CP175" s="99"/>
      <c r="CQ175" s="99"/>
      <c r="CR175" s="99"/>
      <c r="CS175" s="99"/>
      <c r="CT175" s="99"/>
      <c r="CU175" s="99"/>
      <c r="CV175" s="99"/>
      <c r="CW175" s="99"/>
      <c r="CX175" s="99"/>
      <c r="CY175" s="99"/>
      <c r="CZ175" s="99"/>
      <c r="DA175" s="99"/>
      <c r="DB175" s="99"/>
      <c r="DC175" s="99"/>
      <c r="DD175" s="99"/>
      <c r="DE175" s="99"/>
      <c r="DF175" s="99"/>
      <c r="DG175" s="99"/>
      <c r="DH175" s="99"/>
      <c r="DI175" s="99"/>
      <c r="DJ175" s="99"/>
      <c r="DK175" s="99"/>
      <c r="DL175" s="99"/>
      <c r="DM175" s="99"/>
      <c r="DN175" s="99"/>
      <c r="DO175" s="99"/>
      <c r="DP175" s="99"/>
      <c r="DQ175" s="99"/>
      <c r="DR175" s="99"/>
      <c r="DS175" s="99"/>
      <c r="DT175" s="99"/>
      <c r="DU175" s="99"/>
      <c r="DV175" s="99"/>
      <c r="DW175" s="99"/>
      <c r="DX175" s="99"/>
      <c r="DY175" s="99"/>
      <c r="DZ175" s="99"/>
      <c r="EA175" s="99"/>
      <c r="EB175" s="99"/>
      <c r="EC175" s="99"/>
      <c r="ED175" s="99"/>
      <c r="EE175" s="99"/>
      <c r="EF175" s="99"/>
      <c r="EG175" s="99"/>
      <c r="EH175" s="99"/>
      <c r="EI175" s="99"/>
      <c r="EJ175" s="99"/>
      <c r="EK175" s="99"/>
      <c r="EL175" s="99"/>
      <c r="EM175" s="99"/>
      <c r="EN175" s="99"/>
      <c r="EO175" s="99"/>
      <c r="EP175" s="99"/>
      <c r="EQ175" s="99"/>
      <c r="ER175" s="99"/>
      <c r="ES175" s="99"/>
      <c r="ET175" s="99"/>
      <c r="EU175" s="99"/>
      <c r="EV175" s="99"/>
      <c r="EW175" s="99"/>
      <c r="EX175" s="99"/>
      <c r="EY175" s="99"/>
      <c r="EZ175" s="99"/>
      <c r="FA175" s="99"/>
      <c r="FB175" s="99"/>
      <c r="FC175" s="99"/>
      <c r="FD175" s="99"/>
      <c r="FE175" s="99"/>
      <c r="FF175" s="99"/>
      <c r="FG175" s="99"/>
      <c r="FH175" s="99"/>
      <c r="FI175" s="99"/>
      <c r="FJ175" s="99"/>
      <c r="FK175" s="99"/>
    </row>
    <row r="176" spans="3:167" x14ac:dyDescent="0.25">
      <c r="C176" s="10"/>
      <c r="D176" s="10"/>
      <c r="E176" s="11"/>
      <c r="F176" s="15"/>
      <c r="J176" s="99">
        <v>173</v>
      </c>
      <c r="K176" s="16"/>
      <c r="L176" s="16"/>
      <c r="M176" s="16"/>
      <c r="N176" s="16"/>
      <c r="O176" s="16"/>
      <c r="P176" s="16"/>
      <c r="Q176" s="16"/>
      <c r="R176" s="16"/>
      <c r="S176" s="16"/>
      <c r="T176" s="16"/>
      <c r="U176" s="14">
        <f>SUM(K176:T176)</f>
        <v>0</v>
      </c>
      <c r="V176" s="14"/>
      <c r="X176" s="75" t="str" cm="1">
        <f t="array" ref="X176">MID(";"&amp;'CASE DATA'!$F176&amp;";",SMALL(IF(ISERROR(SEARCH(MID(";"&amp;'CASE DATA'!$F176&amp;";",ROW($1:$99),1),";")),"",ROW($1:$99)+1),COLUMN(A176)),SMALL(IF(ISERROR(SEARCH(MID(";"&amp;'CASE DATA'!$F176&amp;";",ROW($1:$99),1),";")),"",ROW($1:$99)),COLUMN(A175)+1)-SMALL(IF(ISERROR(SEARCH(MID(";"&amp;'CASE DATA'!$F176&amp;";",ROW($1:$99),1),";")),"",ROW($1:$99)),COLUMN(A175))-1)</f>
        <v/>
      </c>
      <c r="Y176" s="75" t="str" cm="1">
        <f t="array" ref="Y176">MID(";"&amp;'CASE DATA'!$F176&amp;";",SMALL(IF(ISERROR(SEARCH(MID(";"&amp;'CASE DATA'!$F176&amp;";",ROW($1:$99),1),";")),"",ROW($1:$99)+1),COLUMN(B176)),SMALL(IF(ISERROR(SEARCH(MID(";"&amp;'CASE DATA'!$F176&amp;";",ROW($1:$99),1),";")),"",ROW($1:$99)),COLUMN(B175)+1)-SMALL(IF(ISERROR(SEARCH(MID(";"&amp;'CASE DATA'!$F176&amp;";",ROW($1:$99),1),";")),"",ROW($1:$99)),COLUMN(B175))-1)</f>
        <v/>
      </c>
      <c r="Z176" s="75" t="str" cm="1">
        <f t="array" ref="Z176">MID(";"&amp;'CASE DATA'!$F176&amp;";",SMALL(IF(ISERROR(SEARCH(MID(";"&amp;'CASE DATA'!$F176&amp;";",ROW($1:$99),1),";")),"",ROW($1:$99)+1),COLUMN(C176)),SMALL(IF(ISERROR(SEARCH(MID(";"&amp;'CASE DATA'!$F176&amp;";",ROW($1:$99),1),";")),"",ROW($1:$99)),COLUMN(C175)+1)-SMALL(IF(ISERROR(SEARCH(MID(";"&amp;'CASE DATA'!$F176&amp;";",ROW($1:$99),1),";")),"",ROW($1:$99)),COLUMN(C175))-1)</f>
        <v/>
      </c>
      <c r="AA176" s="75" t="str" cm="1">
        <f t="array" ref="AA176">MID(";"&amp;'CASE DATA'!$F176&amp;";",SMALL(IF(ISERROR(SEARCH(MID(";"&amp;'CASE DATA'!$F176&amp;";",ROW($1:$99),1),";")),"",ROW($1:$99)+1),COLUMN(D176)),SMALL(IF(ISERROR(SEARCH(MID(";"&amp;'CASE DATA'!$F176&amp;";",ROW($1:$99),1),";")),"",ROW($1:$99)),COLUMN(D175)+1)-SMALL(IF(ISERROR(SEARCH(MID(";"&amp;'CASE DATA'!$F176&amp;";",ROW($1:$99),1),";")),"",ROW($1:$99)),COLUMN(D175))-1)</f>
        <v/>
      </c>
      <c r="AB176" s="75" t="str" cm="1">
        <f t="array" ref="AB176">MID(";"&amp;'CASE DATA'!$F176&amp;";",SMALL(IF(ISERROR(SEARCH(MID(";"&amp;'CASE DATA'!$F176&amp;";",ROW($1:$99),1),";")),"",ROW($1:$99)+1),COLUMN(E176)),SMALL(IF(ISERROR(SEARCH(MID(";"&amp;'CASE DATA'!$F176&amp;";",ROW($1:$99),1),";")),"",ROW($1:$99)),COLUMN(E175)+1)-SMALL(IF(ISERROR(SEARCH(MID(";"&amp;'CASE DATA'!$F176&amp;";",ROW($1:$99),1),";")),"",ROW($1:$99)),COLUMN(E175))-1)</f>
        <v/>
      </c>
      <c r="AC176" s="75" t="str" cm="1">
        <f t="array" ref="AC176">MID(";"&amp;'CASE DATA'!$F176&amp;";",SMALL(IF(ISERROR(SEARCH(MID(";"&amp;'CASE DATA'!$F176&amp;";",ROW($1:$99),1),";")),"",ROW($1:$99)+1),COLUMN(F176)),SMALL(IF(ISERROR(SEARCH(MID(";"&amp;'CASE DATA'!$F176&amp;";",ROW($1:$99),1),";")),"",ROW($1:$99)),COLUMN(F175)+1)-SMALL(IF(ISERROR(SEARCH(MID(";"&amp;'CASE DATA'!$F176&amp;";",ROW($1:$99),1),";")),"",ROW($1:$99)),COLUMN(F175))-1)</f>
        <v/>
      </c>
      <c r="AD176" s="75" t="str" cm="1">
        <f t="array" ref="AD176">MID(";"&amp;'CASE DATA'!$F176&amp;";",SMALL(IF(ISERROR(SEARCH(MID(";"&amp;'CASE DATA'!$F176&amp;";",ROW($1:$99),1),";")),"",ROW($1:$99)+1),COLUMN(G176)),SMALL(IF(ISERROR(SEARCH(MID(";"&amp;'CASE DATA'!$F176&amp;";",ROW($1:$99),1),";")),"",ROW($1:$99)),COLUMN(G175)+1)-SMALL(IF(ISERROR(SEARCH(MID(";"&amp;'CASE DATA'!$F176&amp;";",ROW($1:$99),1),";")),"",ROW($1:$99)),COLUMN(G175))-1)</f>
        <v/>
      </c>
      <c r="AE176" s="75" t="str" cm="1">
        <f t="array" ref="AE176">MID(";"&amp;'CASE DATA'!$F176&amp;";",SMALL(IF(ISERROR(SEARCH(MID(";"&amp;'CASE DATA'!$F176&amp;";",ROW($1:$99),1),";")),"",ROW($1:$99)+1),COLUMN(H176)),SMALL(IF(ISERROR(SEARCH(MID(";"&amp;'CASE DATA'!$F176&amp;";",ROW($1:$99),1),";")),"",ROW($1:$99)),COLUMN(H175)+1)-SMALL(IF(ISERROR(SEARCH(MID(";"&amp;'CASE DATA'!$F176&amp;";",ROW($1:$99),1),";")),"",ROW($1:$99)),COLUMN(H175))-1)</f>
        <v/>
      </c>
      <c r="AF176" s="75" t="str" cm="1">
        <f t="array" ref="AF176">MID(";"&amp;'CASE DATA'!$F176&amp;";",SMALL(IF(ISERROR(SEARCH(MID(";"&amp;'CASE DATA'!$F176&amp;";",ROW($1:$99),1),";")),"",ROW($1:$99)+1),COLUMN(I176)),SMALL(IF(ISERROR(SEARCH(MID(";"&amp;'CASE DATA'!$F176&amp;";",ROW($1:$99),1),";")),"",ROW($1:$99)),COLUMN(I175)+1)-SMALL(IF(ISERROR(SEARCH(MID(";"&amp;'CASE DATA'!$F176&amp;";",ROW($1:$99),1),";")),"",ROW($1:$99)),COLUMN(I175))-1)</f>
        <v/>
      </c>
      <c r="AG176" s="75" t="str" cm="1">
        <f t="array" ref="AG176">MID(";"&amp;'CASE DATA'!$F176&amp;";",SMALL(IF(ISERROR(SEARCH(MID(";"&amp;'CASE DATA'!$F176&amp;";",ROW($1:$99),1),";")),"",ROW($1:$99)+1),COLUMN(K176)),SMALL(IF(ISERROR(SEARCH(MID(";"&amp;'CASE DATA'!$F176&amp;";",ROW($1:$99),1),";")),"",ROW($1:$99)),COLUMN(K175)+1)-SMALL(IF(ISERROR(SEARCH(MID(";"&amp;'CASE DATA'!$F176&amp;";",ROW($1:$99),1),";")),"",ROW($1:$99)),COLUMN(K175))-1)</f>
        <v/>
      </c>
      <c r="AH176" s="75" t="str" cm="1">
        <f t="array" ref="AH176">MID(";"&amp;'CASE DATA'!$F176&amp;";",SMALL(IF(ISERROR(SEARCH(MID(";"&amp;'CASE DATA'!$F176&amp;";",ROW($1:$99),1),";")),"",ROW($1:$99)+1),COLUMN(L176)),SMALL(IF(ISERROR(SEARCH(MID(";"&amp;'CASE DATA'!$F176&amp;";",ROW($1:$99),1),";")),"",ROW($1:$99)),COLUMN(L175)+1)-SMALL(IF(ISERROR(SEARCH(MID(";"&amp;'CASE DATA'!$F176&amp;";",ROW($1:$99),1),";")),"",ROW($1:$99)),COLUMN(L175))-1)</f>
        <v/>
      </c>
      <c r="AI176" s="75" t="str" cm="1">
        <f t="array" ref="AI176">MID(";"&amp;'CASE DATA'!$F176&amp;";",SMALL(IF(ISERROR(SEARCH(MID(";"&amp;'CASE DATA'!$F176&amp;";",ROW($1:$99),1),";")),"",ROW($1:$99)+1),COLUMN(M176)),SMALL(IF(ISERROR(SEARCH(MID(";"&amp;'CASE DATA'!$F176&amp;";",ROW($1:$99),1),";")),"",ROW($1:$99)),COLUMN(M175)+1)-SMALL(IF(ISERROR(SEARCH(MID(";"&amp;'CASE DATA'!$F176&amp;";",ROW($1:$99),1),";")),"",ROW($1:$99)),COLUMN(M175))-1)</f>
        <v/>
      </c>
      <c r="BO176" s="99"/>
      <c r="BP176" s="99"/>
      <c r="BQ176" s="99"/>
      <c r="BR176" s="99"/>
      <c r="BS176" s="99"/>
      <c r="BT176" s="99"/>
      <c r="BU176" s="99"/>
      <c r="BV176" s="99"/>
      <c r="BW176" s="99"/>
      <c r="BX176" s="99"/>
      <c r="BY176" s="99"/>
      <c r="BZ176" s="99"/>
      <c r="CA176" s="99"/>
      <c r="CB176" s="99"/>
      <c r="CC176" s="99"/>
      <c r="CD176" s="99"/>
      <c r="CE176" s="99"/>
      <c r="CF176" s="99"/>
      <c r="CG176" s="99"/>
      <c r="CH176" s="99"/>
      <c r="CI176" s="99"/>
      <c r="CJ176" s="99"/>
      <c r="CK176" s="99"/>
      <c r="CL176" s="99"/>
      <c r="CM176" s="99"/>
      <c r="CN176" s="99"/>
      <c r="CO176" s="99"/>
      <c r="CP176" s="99"/>
      <c r="CQ176" s="99"/>
      <c r="CR176" s="99"/>
      <c r="CS176" s="99"/>
      <c r="CT176" s="99"/>
      <c r="CU176" s="99"/>
      <c r="CV176" s="99"/>
      <c r="CW176" s="99"/>
      <c r="CX176" s="99"/>
      <c r="CY176" s="99"/>
      <c r="CZ176" s="99"/>
      <c r="DA176" s="99"/>
      <c r="DB176" s="99"/>
      <c r="DC176" s="99"/>
      <c r="DD176" s="99"/>
      <c r="DE176" s="99"/>
      <c r="DF176" s="99"/>
      <c r="DG176" s="99"/>
      <c r="DH176" s="99"/>
      <c r="DI176" s="99"/>
      <c r="DJ176" s="99"/>
      <c r="DK176" s="99"/>
      <c r="DL176" s="99"/>
      <c r="DM176" s="99"/>
      <c r="DN176" s="99"/>
      <c r="DO176" s="99"/>
      <c r="DP176" s="99"/>
      <c r="DQ176" s="99"/>
      <c r="DR176" s="99"/>
      <c r="DS176" s="99"/>
      <c r="DT176" s="99"/>
      <c r="DU176" s="99"/>
      <c r="DV176" s="99"/>
      <c r="DW176" s="99"/>
      <c r="DX176" s="99"/>
      <c r="DY176" s="99"/>
      <c r="DZ176" s="99"/>
      <c r="EA176" s="99"/>
      <c r="EB176" s="99"/>
      <c r="EC176" s="99"/>
      <c r="ED176" s="99"/>
      <c r="EE176" s="99"/>
      <c r="EF176" s="99"/>
      <c r="EG176" s="99"/>
      <c r="EH176" s="99"/>
      <c r="EI176" s="99"/>
      <c r="EJ176" s="99"/>
      <c r="EK176" s="99"/>
      <c r="EL176" s="99"/>
      <c r="EM176" s="99"/>
      <c r="EN176" s="99"/>
      <c r="EO176" s="99"/>
      <c r="EP176" s="99"/>
      <c r="EQ176" s="99"/>
      <c r="ER176" s="99"/>
      <c r="ES176" s="99"/>
      <c r="ET176" s="99"/>
      <c r="EU176" s="99"/>
      <c r="EV176" s="99"/>
      <c r="EW176" s="99"/>
      <c r="EX176" s="99"/>
      <c r="EY176" s="99"/>
      <c r="EZ176" s="99"/>
      <c r="FA176" s="99"/>
      <c r="FB176" s="99"/>
      <c r="FC176" s="99"/>
      <c r="FD176" s="99"/>
      <c r="FE176" s="99"/>
      <c r="FF176" s="99"/>
      <c r="FG176" s="99"/>
      <c r="FH176" s="99"/>
      <c r="FI176" s="99"/>
      <c r="FJ176" s="99"/>
      <c r="FK176" s="99"/>
    </row>
    <row r="177" spans="3:167" x14ac:dyDescent="0.25">
      <c r="C177" s="10"/>
      <c r="D177" s="10"/>
      <c r="E177" s="11"/>
      <c r="F177" s="15"/>
      <c r="J177" s="99">
        <v>174</v>
      </c>
      <c r="K177" s="16"/>
      <c r="L177" s="16"/>
      <c r="M177" s="16"/>
      <c r="N177" s="16"/>
      <c r="O177" s="16"/>
      <c r="P177" s="16"/>
      <c r="Q177" s="16"/>
      <c r="R177" s="16"/>
      <c r="S177" s="16"/>
      <c r="T177" s="16"/>
      <c r="U177" s="14">
        <f>SUM(K177:T177)</f>
        <v>0</v>
      </c>
      <c r="V177" s="14"/>
      <c r="X177" s="75" t="str" cm="1">
        <f t="array" ref="X177">MID(";"&amp;'CASE DATA'!$F177&amp;";",SMALL(IF(ISERROR(SEARCH(MID(";"&amp;'CASE DATA'!$F177&amp;";",ROW($1:$99),1),";")),"",ROW($1:$99)+1),COLUMN(A177)),SMALL(IF(ISERROR(SEARCH(MID(";"&amp;'CASE DATA'!$F177&amp;";",ROW($1:$99),1),";")),"",ROW($1:$99)),COLUMN(A176)+1)-SMALL(IF(ISERROR(SEARCH(MID(";"&amp;'CASE DATA'!$F177&amp;";",ROW($1:$99),1),";")),"",ROW($1:$99)),COLUMN(A176))-1)</f>
        <v/>
      </c>
      <c r="Y177" s="75" t="str" cm="1">
        <f t="array" ref="Y177">MID(";"&amp;'CASE DATA'!$F177&amp;";",SMALL(IF(ISERROR(SEARCH(MID(";"&amp;'CASE DATA'!$F177&amp;";",ROW($1:$99),1),";")),"",ROW($1:$99)+1),COLUMN(B177)),SMALL(IF(ISERROR(SEARCH(MID(";"&amp;'CASE DATA'!$F177&amp;";",ROW($1:$99),1),";")),"",ROW($1:$99)),COLUMN(B176)+1)-SMALL(IF(ISERROR(SEARCH(MID(";"&amp;'CASE DATA'!$F177&amp;";",ROW($1:$99),1),";")),"",ROW($1:$99)),COLUMN(B176))-1)</f>
        <v/>
      </c>
      <c r="Z177" s="75" t="str" cm="1">
        <f t="array" ref="Z177">MID(";"&amp;'CASE DATA'!$F177&amp;";",SMALL(IF(ISERROR(SEARCH(MID(";"&amp;'CASE DATA'!$F177&amp;";",ROW($1:$99),1),";")),"",ROW($1:$99)+1),COLUMN(C177)),SMALL(IF(ISERROR(SEARCH(MID(";"&amp;'CASE DATA'!$F177&amp;";",ROW($1:$99),1),";")),"",ROW($1:$99)),COLUMN(C176)+1)-SMALL(IF(ISERROR(SEARCH(MID(";"&amp;'CASE DATA'!$F177&amp;";",ROW($1:$99),1),";")),"",ROW($1:$99)),COLUMN(C176))-1)</f>
        <v/>
      </c>
      <c r="AA177" s="75" t="str" cm="1">
        <f t="array" ref="AA177">MID(";"&amp;'CASE DATA'!$F177&amp;";",SMALL(IF(ISERROR(SEARCH(MID(";"&amp;'CASE DATA'!$F177&amp;";",ROW($1:$99),1),";")),"",ROW($1:$99)+1),COLUMN(D177)),SMALL(IF(ISERROR(SEARCH(MID(";"&amp;'CASE DATA'!$F177&amp;";",ROW($1:$99),1),";")),"",ROW($1:$99)),COLUMN(D176)+1)-SMALL(IF(ISERROR(SEARCH(MID(";"&amp;'CASE DATA'!$F177&amp;";",ROW($1:$99),1),";")),"",ROW($1:$99)),COLUMN(D176))-1)</f>
        <v/>
      </c>
      <c r="AB177" s="75" t="str" cm="1">
        <f t="array" ref="AB177">MID(";"&amp;'CASE DATA'!$F177&amp;";",SMALL(IF(ISERROR(SEARCH(MID(";"&amp;'CASE DATA'!$F177&amp;";",ROW($1:$99),1),";")),"",ROW($1:$99)+1),COLUMN(E177)),SMALL(IF(ISERROR(SEARCH(MID(";"&amp;'CASE DATA'!$F177&amp;";",ROW($1:$99),1),";")),"",ROW($1:$99)),COLUMN(E176)+1)-SMALL(IF(ISERROR(SEARCH(MID(";"&amp;'CASE DATA'!$F177&amp;";",ROW($1:$99),1),";")),"",ROW($1:$99)),COLUMN(E176))-1)</f>
        <v/>
      </c>
      <c r="AC177" s="75" t="str" cm="1">
        <f t="array" ref="AC177">MID(";"&amp;'CASE DATA'!$F177&amp;";",SMALL(IF(ISERROR(SEARCH(MID(";"&amp;'CASE DATA'!$F177&amp;";",ROW($1:$99),1),";")),"",ROW($1:$99)+1),COLUMN(F177)),SMALL(IF(ISERROR(SEARCH(MID(";"&amp;'CASE DATA'!$F177&amp;";",ROW($1:$99),1),";")),"",ROW($1:$99)),COLUMN(F176)+1)-SMALL(IF(ISERROR(SEARCH(MID(";"&amp;'CASE DATA'!$F177&amp;";",ROW($1:$99),1),";")),"",ROW($1:$99)),COLUMN(F176))-1)</f>
        <v/>
      </c>
      <c r="AD177" s="75" t="str" cm="1">
        <f t="array" ref="AD177">MID(";"&amp;'CASE DATA'!$F177&amp;";",SMALL(IF(ISERROR(SEARCH(MID(";"&amp;'CASE DATA'!$F177&amp;";",ROW($1:$99),1),";")),"",ROW($1:$99)+1),COLUMN(G177)),SMALL(IF(ISERROR(SEARCH(MID(";"&amp;'CASE DATA'!$F177&amp;";",ROW($1:$99),1),";")),"",ROW($1:$99)),COLUMN(G176)+1)-SMALL(IF(ISERROR(SEARCH(MID(";"&amp;'CASE DATA'!$F177&amp;";",ROW($1:$99),1),";")),"",ROW($1:$99)),COLUMN(G176))-1)</f>
        <v/>
      </c>
      <c r="AE177" s="75" t="str" cm="1">
        <f t="array" ref="AE177">MID(";"&amp;'CASE DATA'!$F177&amp;";",SMALL(IF(ISERROR(SEARCH(MID(";"&amp;'CASE DATA'!$F177&amp;";",ROW($1:$99),1),";")),"",ROW($1:$99)+1),COLUMN(H177)),SMALL(IF(ISERROR(SEARCH(MID(";"&amp;'CASE DATA'!$F177&amp;";",ROW($1:$99),1),";")),"",ROW($1:$99)),COLUMN(H176)+1)-SMALL(IF(ISERROR(SEARCH(MID(";"&amp;'CASE DATA'!$F177&amp;";",ROW($1:$99),1),";")),"",ROW($1:$99)),COLUMN(H176))-1)</f>
        <v/>
      </c>
      <c r="AF177" s="75" t="str" cm="1">
        <f t="array" ref="AF177">MID(";"&amp;'CASE DATA'!$F177&amp;";",SMALL(IF(ISERROR(SEARCH(MID(";"&amp;'CASE DATA'!$F177&amp;";",ROW($1:$99),1),";")),"",ROW($1:$99)+1),COLUMN(I177)),SMALL(IF(ISERROR(SEARCH(MID(";"&amp;'CASE DATA'!$F177&amp;";",ROW($1:$99),1),";")),"",ROW($1:$99)),COLUMN(I176)+1)-SMALL(IF(ISERROR(SEARCH(MID(";"&amp;'CASE DATA'!$F177&amp;";",ROW($1:$99),1),";")),"",ROW($1:$99)),COLUMN(I176))-1)</f>
        <v/>
      </c>
      <c r="AG177" s="75" t="str" cm="1">
        <f t="array" ref="AG177">MID(";"&amp;'CASE DATA'!$F177&amp;";",SMALL(IF(ISERROR(SEARCH(MID(";"&amp;'CASE DATA'!$F177&amp;";",ROW($1:$99),1),";")),"",ROW($1:$99)+1),COLUMN(K177)),SMALL(IF(ISERROR(SEARCH(MID(";"&amp;'CASE DATA'!$F177&amp;";",ROW($1:$99),1),";")),"",ROW($1:$99)),COLUMN(K176)+1)-SMALL(IF(ISERROR(SEARCH(MID(";"&amp;'CASE DATA'!$F177&amp;";",ROW($1:$99),1),";")),"",ROW($1:$99)),COLUMN(K176))-1)</f>
        <v/>
      </c>
      <c r="AH177" s="75" t="str" cm="1">
        <f t="array" ref="AH177">MID(";"&amp;'CASE DATA'!$F177&amp;";",SMALL(IF(ISERROR(SEARCH(MID(";"&amp;'CASE DATA'!$F177&amp;";",ROW($1:$99),1),";")),"",ROW($1:$99)+1),COLUMN(L177)),SMALL(IF(ISERROR(SEARCH(MID(";"&amp;'CASE DATA'!$F177&amp;";",ROW($1:$99),1),";")),"",ROW($1:$99)),COLUMN(L176)+1)-SMALL(IF(ISERROR(SEARCH(MID(";"&amp;'CASE DATA'!$F177&amp;";",ROW($1:$99),1),";")),"",ROW($1:$99)),COLUMN(L176))-1)</f>
        <v/>
      </c>
      <c r="AI177" s="75" t="str" cm="1">
        <f t="array" ref="AI177">MID(";"&amp;'CASE DATA'!$F177&amp;";",SMALL(IF(ISERROR(SEARCH(MID(";"&amp;'CASE DATA'!$F177&amp;";",ROW($1:$99),1),";")),"",ROW($1:$99)+1),COLUMN(M177)),SMALL(IF(ISERROR(SEARCH(MID(";"&amp;'CASE DATA'!$F177&amp;";",ROW($1:$99),1),";")),"",ROW($1:$99)),COLUMN(M176)+1)-SMALL(IF(ISERROR(SEARCH(MID(";"&amp;'CASE DATA'!$F177&amp;";",ROW($1:$99),1),";")),"",ROW($1:$99)),COLUMN(M176))-1)</f>
        <v/>
      </c>
      <c r="BO177" s="99"/>
      <c r="BP177" s="99"/>
      <c r="BQ177" s="99"/>
      <c r="BR177" s="99"/>
      <c r="BS177" s="99"/>
      <c r="BT177" s="99"/>
      <c r="BU177" s="99"/>
      <c r="BV177" s="99"/>
      <c r="BW177" s="99"/>
      <c r="BX177" s="99"/>
      <c r="BY177" s="99"/>
      <c r="BZ177" s="99"/>
      <c r="CA177" s="99"/>
      <c r="CB177" s="99"/>
      <c r="CC177" s="99"/>
      <c r="CD177" s="99"/>
      <c r="CE177" s="99"/>
      <c r="CF177" s="99"/>
      <c r="CG177" s="99"/>
      <c r="CH177" s="99"/>
      <c r="CI177" s="99"/>
      <c r="CJ177" s="99"/>
      <c r="CK177" s="99"/>
      <c r="CL177" s="99"/>
      <c r="CM177" s="99"/>
      <c r="CN177" s="99"/>
      <c r="CO177" s="99"/>
      <c r="CP177" s="99"/>
      <c r="CQ177" s="99"/>
      <c r="CR177" s="99"/>
      <c r="CS177" s="99"/>
      <c r="CT177" s="99"/>
      <c r="CU177" s="99"/>
      <c r="CV177" s="99"/>
      <c r="CW177" s="99"/>
      <c r="CX177" s="99"/>
      <c r="CY177" s="99"/>
      <c r="CZ177" s="99"/>
      <c r="DA177" s="99"/>
      <c r="DB177" s="99"/>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99"/>
      <c r="EE177" s="99"/>
      <c r="EF177" s="99"/>
      <c r="EG177" s="99"/>
      <c r="EH177" s="99"/>
      <c r="EI177" s="99"/>
      <c r="EJ177" s="99"/>
      <c r="EK177" s="99"/>
      <c r="EL177" s="99"/>
      <c r="EM177" s="99"/>
      <c r="EN177" s="99"/>
      <c r="EO177" s="99"/>
      <c r="EP177" s="99"/>
      <c r="EQ177" s="99"/>
      <c r="ER177" s="99"/>
      <c r="ES177" s="99"/>
      <c r="ET177" s="99"/>
      <c r="EU177" s="99"/>
      <c r="EV177" s="99"/>
      <c r="EW177" s="99"/>
      <c r="EX177" s="99"/>
      <c r="EY177" s="99"/>
      <c r="EZ177" s="99"/>
      <c r="FA177" s="99"/>
      <c r="FB177" s="99"/>
      <c r="FC177" s="99"/>
      <c r="FD177" s="99"/>
      <c r="FE177" s="99"/>
      <c r="FF177" s="99"/>
      <c r="FG177" s="99"/>
      <c r="FH177" s="99"/>
      <c r="FI177" s="99"/>
      <c r="FJ177" s="99"/>
      <c r="FK177" s="99"/>
    </row>
    <row r="178" spans="3:167" x14ac:dyDescent="0.25">
      <c r="C178" s="10"/>
      <c r="D178" s="10"/>
      <c r="E178" s="11"/>
      <c r="F178" s="15"/>
      <c r="J178" s="99">
        <v>175</v>
      </c>
      <c r="K178" s="16"/>
      <c r="L178" s="16"/>
      <c r="M178" s="16"/>
      <c r="N178" s="16"/>
      <c r="O178" s="16"/>
      <c r="P178" s="16"/>
      <c r="Q178" s="16"/>
      <c r="R178" s="16"/>
      <c r="S178" s="16"/>
      <c r="T178" s="16"/>
      <c r="U178" s="14">
        <f>SUM(K178:T178)</f>
        <v>0</v>
      </c>
      <c r="V178" s="14"/>
      <c r="X178" s="75" t="str" cm="1">
        <f t="array" ref="X178">MID(";"&amp;'CASE DATA'!$F178&amp;";",SMALL(IF(ISERROR(SEARCH(MID(";"&amp;'CASE DATA'!$F178&amp;";",ROW($1:$99),1),";")),"",ROW($1:$99)+1),COLUMN(A178)),SMALL(IF(ISERROR(SEARCH(MID(";"&amp;'CASE DATA'!$F178&amp;";",ROW($1:$99),1),";")),"",ROW($1:$99)),COLUMN(A177)+1)-SMALL(IF(ISERROR(SEARCH(MID(";"&amp;'CASE DATA'!$F178&amp;";",ROW($1:$99),1),";")),"",ROW($1:$99)),COLUMN(A177))-1)</f>
        <v/>
      </c>
      <c r="Y178" s="75" t="str" cm="1">
        <f t="array" ref="Y178">MID(";"&amp;'CASE DATA'!$F178&amp;";",SMALL(IF(ISERROR(SEARCH(MID(";"&amp;'CASE DATA'!$F178&amp;";",ROW($1:$99),1),";")),"",ROW($1:$99)+1),COLUMN(B178)),SMALL(IF(ISERROR(SEARCH(MID(";"&amp;'CASE DATA'!$F178&amp;";",ROW($1:$99),1),";")),"",ROW($1:$99)),COLUMN(B177)+1)-SMALL(IF(ISERROR(SEARCH(MID(";"&amp;'CASE DATA'!$F178&amp;";",ROW($1:$99),1),";")),"",ROW($1:$99)),COLUMN(B177))-1)</f>
        <v/>
      </c>
      <c r="Z178" s="75" t="str" cm="1">
        <f t="array" ref="Z178">MID(";"&amp;'CASE DATA'!$F178&amp;";",SMALL(IF(ISERROR(SEARCH(MID(";"&amp;'CASE DATA'!$F178&amp;";",ROW($1:$99),1),";")),"",ROW($1:$99)+1),COLUMN(C178)),SMALL(IF(ISERROR(SEARCH(MID(";"&amp;'CASE DATA'!$F178&amp;";",ROW($1:$99),1),";")),"",ROW($1:$99)),COLUMN(C177)+1)-SMALL(IF(ISERROR(SEARCH(MID(";"&amp;'CASE DATA'!$F178&amp;";",ROW($1:$99),1),";")),"",ROW($1:$99)),COLUMN(C177))-1)</f>
        <v/>
      </c>
      <c r="AA178" s="75" t="str" cm="1">
        <f t="array" ref="AA178">MID(";"&amp;'CASE DATA'!$F178&amp;";",SMALL(IF(ISERROR(SEARCH(MID(";"&amp;'CASE DATA'!$F178&amp;";",ROW($1:$99),1),";")),"",ROW($1:$99)+1),COLUMN(D178)),SMALL(IF(ISERROR(SEARCH(MID(";"&amp;'CASE DATA'!$F178&amp;";",ROW($1:$99),1),";")),"",ROW($1:$99)),COLUMN(D177)+1)-SMALL(IF(ISERROR(SEARCH(MID(";"&amp;'CASE DATA'!$F178&amp;";",ROW($1:$99),1),";")),"",ROW($1:$99)),COLUMN(D177))-1)</f>
        <v/>
      </c>
      <c r="AB178" s="75" t="str" cm="1">
        <f t="array" ref="AB178">MID(";"&amp;'CASE DATA'!$F178&amp;";",SMALL(IF(ISERROR(SEARCH(MID(";"&amp;'CASE DATA'!$F178&amp;";",ROW($1:$99),1),";")),"",ROW($1:$99)+1),COLUMN(E178)),SMALL(IF(ISERROR(SEARCH(MID(";"&amp;'CASE DATA'!$F178&amp;";",ROW($1:$99),1),";")),"",ROW($1:$99)),COLUMN(E177)+1)-SMALL(IF(ISERROR(SEARCH(MID(";"&amp;'CASE DATA'!$F178&amp;";",ROW($1:$99),1),";")),"",ROW($1:$99)),COLUMN(E177))-1)</f>
        <v/>
      </c>
      <c r="AC178" s="75" t="str" cm="1">
        <f t="array" ref="AC178">MID(";"&amp;'CASE DATA'!$F178&amp;";",SMALL(IF(ISERROR(SEARCH(MID(";"&amp;'CASE DATA'!$F178&amp;";",ROW($1:$99),1),";")),"",ROW($1:$99)+1),COLUMN(F178)),SMALL(IF(ISERROR(SEARCH(MID(";"&amp;'CASE DATA'!$F178&amp;";",ROW($1:$99),1),";")),"",ROW($1:$99)),COLUMN(F177)+1)-SMALL(IF(ISERROR(SEARCH(MID(";"&amp;'CASE DATA'!$F178&amp;";",ROW($1:$99),1),";")),"",ROW($1:$99)),COLUMN(F177))-1)</f>
        <v/>
      </c>
      <c r="AD178" s="75" t="str" cm="1">
        <f t="array" ref="AD178">MID(";"&amp;'CASE DATA'!$F178&amp;";",SMALL(IF(ISERROR(SEARCH(MID(";"&amp;'CASE DATA'!$F178&amp;";",ROW($1:$99),1),";")),"",ROW($1:$99)+1),COLUMN(G178)),SMALL(IF(ISERROR(SEARCH(MID(";"&amp;'CASE DATA'!$F178&amp;";",ROW($1:$99),1),";")),"",ROW($1:$99)),COLUMN(G177)+1)-SMALL(IF(ISERROR(SEARCH(MID(";"&amp;'CASE DATA'!$F178&amp;";",ROW($1:$99),1),";")),"",ROW($1:$99)),COLUMN(G177))-1)</f>
        <v/>
      </c>
      <c r="AE178" s="75" t="str" cm="1">
        <f t="array" ref="AE178">MID(";"&amp;'CASE DATA'!$F178&amp;";",SMALL(IF(ISERROR(SEARCH(MID(";"&amp;'CASE DATA'!$F178&amp;";",ROW($1:$99),1),";")),"",ROW($1:$99)+1),COLUMN(H178)),SMALL(IF(ISERROR(SEARCH(MID(";"&amp;'CASE DATA'!$F178&amp;";",ROW($1:$99),1),";")),"",ROW($1:$99)),COLUMN(H177)+1)-SMALL(IF(ISERROR(SEARCH(MID(";"&amp;'CASE DATA'!$F178&amp;";",ROW($1:$99),1),";")),"",ROW($1:$99)),COLUMN(H177))-1)</f>
        <v/>
      </c>
      <c r="AF178" s="75" t="str" cm="1">
        <f t="array" ref="AF178">MID(";"&amp;'CASE DATA'!$F178&amp;";",SMALL(IF(ISERROR(SEARCH(MID(";"&amp;'CASE DATA'!$F178&amp;";",ROW($1:$99),1),";")),"",ROW($1:$99)+1),COLUMN(I178)),SMALL(IF(ISERROR(SEARCH(MID(";"&amp;'CASE DATA'!$F178&amp;";",ROW($1:$99),1),";")),"",ROW($1:$99)),COLUMN(I177)+1)-SMALL(IF(ISERROR(SEARCH(MID(";"&amp;'CASE DATA'!$F178&amp;";",ROW($1:$99),1),";")),"",ROW($1:$99)),COLUMN(I177))-1)</f>
        <v/>
      </c>
      <c r="AG178" s="75" t="str" cm="1">
        <f t="array" ref="AG178">MID(";"&amp;'CASE DATA'!$F178&amp;";",SMALL(IF(ISERROR(SEARCH(MID(";"&amp;'CASE DATA'!$F178&amp;";",ROW($1:$99),1),";")),"",ROW($1:$99)+1),COLUMN(K178)),SMALL(IF(ISERROR(SEARCH(MID(";"&amp;'CASE DATA'!$F178&amp;";",ROW($1:$99),1),";")),"",ROW($1:$99)),COLUMN(K177)+1)-SMALL(IF(ISERROR(SEARCH(MID(";"&amp;'CASE DATA'!$F178&amp;";",ROW($1:$99),1),";")),"",ROW($1:$99)),COLUMN(K177))-1)</f>
        <v/>
      </c>
      <c r="AH178" s="75" t="str" cm="1">
        <f t="array" ref="AH178">MID(";"&amp;'CASE DATA'!$F178&amp;";",SMALL(IF(ISERROR(SEARCH(MID(";"&amp;'CASE DATA'!$F178&amp;";",ROW($1:$99),1),";")),"",ROW($1:$99)+1),COLUMN(L178)),SMALL(IF(ISERROR(SEARCH(MID(";"&amp;'CASE DATA'!$F178&amp;";",ROW($1:$99),1),";")),"",ROW($1:$99)),COLUMN(L177)+1)-SMALL(IF(ISERROR(SEARCH(MID(";"&amp;'CASE DATA'!$F178&amp;";",ROW($1:$99),1),";")),"",ROW($1:$99)),COLUMN(L177))-1)</f>
        <v/>
      </c>
      <c r="AI178" s="75" t="str" cm="1">
        <f t="array" ref="AI178">MID(";"&amp;'CASE DATA'!$F178&amp;";",SMALL(IF(ISERROR(SEARCH(MID(";"&amp;'CASE DATA'!$F178&amp;";",ROW($1:$99),1),";")),"",ROW($1:$99)+1),COLUMN(M178)),SMALL(IF(ISERROR(SEARCH(MID(";"&amp;'CASE DATA'!$F178&amp;";",ROW($1:$99),1),";")),"",ROW($1:$99)),COLUMN(M177)+1)-SMALL(IF(ISERROR(SEARCH(MID(";"&amp;'CASE DATA'!$F178&amp;";",ROW($1:$99),1),";")),"",ROW($1:$99)),COLUMN(M177))-1)</f>
        <v/>
      </c>
      <c r="BO178" s="99"/>
      <c r="BP178" s="99"/>
      <c r="BQ178" s="99"/>
      <c r="BR178" s="99"/>
      <c r="BS178" s="99"/>
      <c r="BT178" s="99"/>
      <c r="BU178" s="99"/>
      <c r="BV178" s="99"/>
      <c r="BW178" s="99"/>
      <c r="BX178" s="99"/>
      <c r="BY178" s="99"/>
      <c r="BZ178" s="99"/>
      <c r="CA178" s="99"/>
      <c r="CB178" s="99"/>
      <c r="CC178" s="99"/>
      <c r="CD178" s="99"/>
      <c r="CE178" s="99"/>
      <c r="CF178" s="99"/>
      <c r="CG178" s="99"/>
      <c r="CH178" s="99"/>
      <c r="CI178" s="99"/>
      <c r="CJ178" s="99"/>
      <c r="CK178" s="99"/>
      <c r="CL178" s="99"/>
      <c r="CM178" s="99"/>
      <c r="CN178" s="99"/>
      <c r="CO178" s="99"/>
      <c r="CP178" s="99"/>
      <c r="CQ178" s="99"/>
      <c r="CR178" s="99"/>
      <c r="CS178" s="99"/>
      <c r="CT178" s="99"/>
      <c r="CU178" s="99"/>
      <c r="CV178" s="99"/>
      <c r="CW178" s="99"/>
      <c r="CX178" s="99"/>
      <c r="CY178" s="99"/>
      <c r="CZ178" s="99"/>
      <c r="DA178" s="99"/>
      <c r="DB178" s="99"/>
      <c r="DC178" s="99"/>
      <c r="DD178" s="99"/>
      <c r="DE178" s="99"/>
      <c r="DF178" s="99"/>
      <c r="DG178" s="99"/>
      <c r="DH178" s="99"/>
      <c r="DI178" s="99"/>
      <c r="DJ178" s="99"/>
      <c r="DK178" s="99"/>
      <c r="DL178" s="99"/>
      <c r="DM178" s="99"/>
      <c r="DN178" s="99"/>
      <c r="DO178" s="99"/>
      <c r="DP178" s="99"/>
      <c r="DQ178" s="99"/>
      <c r="DR178" s="99"/>
      <c r="DS178" s="99"/>
      <c r="DT178" s="99"/>
      <c r="DU178" s="99"/>
      <c r="DV178" s="99"/>
      <c r="DW178" s="99"/>
      <c r="DX178" s="99"/>
      <c r="DY178" s="99"/>
      <c r="DZ178" s="99"/>
      <c r="EA178" s="99"/>
      <c r="EB178" s="99"/>
      <c r="EC178" s="99"/>
      <c r="ED178" s="99"/>
      <c r="EE178" s="99"/>
      <c r="EF178" s="99"/>
      <c r="EG178" s="99"/>
      <c r="EH178" s="99"/>
      <c r="EI178" s="99"/>
      <c r="EJ178" s="99"/>
      <c r="EK178" s="99"/>
      <c r="EL178" s="99"/>
      <c r="EM178" s="99"/>
      <c r="EN178" s="99"/>
      <c r="EO178" s="99"/>
      <c r="EP178" s="99"/>
      <c r="EQ178" s="99"/>
      <c r="ER178" s="99"/>
      <c r="ES178" s="99"/>
      <c r="ET178" s="99"/>
      <c r="EU178" s="99"/>
      <c r="EV178" s="99"/>
      <c r="EW178" s="99"/>
      <c r="EX178" s="99"/>
      <c r="EY178" s="99"/>
      <c r="EZ178" s="99"/>
      <c r="FA178" s="99"/>
      <c r="FB178" s="99"/>
      <c r="FC178" s="99"/>
      <c r="FD178" s="99"/>
      <c r="FE178" s="99"/>
      <c r="FF178" s="99"/>
      <c r="FG178" s="99"/>
      <c r="FH178" s="99"/>
      <c r="FI178" s="99"/>
      <c r="FJ178" s="99"/>
      <c r="FK178" s="99"/>
    </row>
    <row r="179" spans="3:167" x14ac:dyDescent="0.25">
      <c r="C179" s="10"/>
      <c r="D179" s="10"/>
      <c r="E179" s="11"/>
      <c r="F179" s="15"/>
      <c r="J179" s="99">
        <v>176</v>
      </c>
      <c r="K179" s="16"/>
      <c r="L179" s="16"/>
      <c r="M179" s="16"/>
      <c r="N179" s="16"/>
      <c r="O179" s="16"/>
      <c r="P179" s="16"/>
      <c r="Q179" s="16"/>
      <c r="R179" s="16"/>
      <c r="S179" s="16"/>
      <c r="T179" s="16"/>
      <c r="U179" s="14">
        <f>SUM(K179:T179)</f>
        <v>0</v>
      </c>
      <c r="V179" s="14"/>
      <c r="X179" s="75" t="str" cm="1">
        <f t="array" ref="X179">MID(";"&amp;'CASE DATA'!$F179&amp;";",SMALL(IF(ISERROR(SEARCH(MID(";"&amp;'CASE DATA'!$F179&amp;";",ROW($1:$99),1),";")),"",ROW($1:$99)+1),COLUMN(A179)),SMALL(IF(ISERROR(SEARCH(MID(";"&amp;'CASE DATA'!$F179&amp;";",ROW($1:$99),1),";")),"",ROW($1:$99)),COLUMN(A178)+1)-SMALL(IF(ISERROR(SEARCH(MID(";"&amp;'CASE DATA'!$F179&amp;";",ROW($1:$99),1),";")),"",ROW($1:$99)),COLUMN(A178))-1)</f>
        <v/>
      </c>
      <c r="Y179" s="75" t="str" cm="1">
        <f t="array" ref="Y179">MID(";"&amp;'CASE DATA'!$F179&amp;";",SMALL(IF(ISERROR(SEARCH(MID(";"&amp;'CASE DATA'!$F179&amp;";",ROW($1:$99),1),";")),"",ROW($1:$99)+1),COLUMN(B179)),SMALL(IF(ISERROR(SEARCH(MID(";"&amp;'CASE DATA'!$F179&amp;";",ROW($1:$99),1),";")),"",ROW($1:$99)),COLUMN(B178)+1)-SMALL(IF(ISERROR(SEARCH(MID(";"&amp;'CASE DATA'!$F179&amp;";",ROW($1:$99),1),";")),"",ROW($1:$99)),COLUMN(B178))-1)</f>
        <v/>
      </c>
      <c r="Z179" s="75" t="str" cm="1">
        <f t="array" ref="Z179">MID(";"&amp;'CASE DATA'!$F179&amp;";",SMALL(IF(ISERROR(SEARCH(MID(";"&amp;'CASE DATA'!$F179&amp;";",ROW($1:$99),1),";")),"",ROW($1:$99)+1),COLUMN(C179)),SMALL(IF(ISERROR(SEARCH(MID(";"&amp;'CASE DATA'!$F179&amp;";",ROW($1:$99),1),";")),"",ROW($1:$99)),COLUMN(C178)+1)-SMALL(IF(ISERROR(SEARCH(MID(";"&amp;'CASE DATA'!$F179&amp;";",ROW($1:$99),1),";")),"",ROW($1:$99)),COLUMN(C178))-1)</f>
        <v/>
      </c>
      <c r="AA179" s="75" t="str" cm="1">
        <f t="array" ref="AA179">MID(";"&amp;'CASE DATA'!$F179&amp;";",SMALL(IF(ISERROR(SEARCH(MID(";"&amp;'CASE DATA'!$F179&amp;";",ROW($1:$99),1),";")),"",ROW($1:$99)+1),COLUMN(D179)),SMALL(IF(ISERROR(SEARCH(MID(";"&amp;'CASE DATA'!$F179&amp;";",ROW($1:$99),1),";")),"",ROW($1:$99)),COLUMN(D178)+1)-SMALL(IF(ISERROR(SEARCH(MID(";"&amp;'CASE DATA'!$F179&amp;";",ROW($1:$99),1),";")),"",ROW($1:$99)),COLUMN(D178))-1)</f>
        <v/>
      </c>
      <c r="AB179" s="75" t="str" cm="1">
        <f t="array" ref="AB179">MID(";"&amp;'CASE DATA'!$F179&amp;";",SMALL(IF(ISERROR(SEARCH(MID(";"&amp;'CASE DATA'!$F179&amp;";",ROW($1:$99),1),";")),"",ROW($1:$99)+1),COLUMN(E179)),SMALL(IF(ISERROR(SEARCH(MID(";"&amp;'CASE DATA'!$F179&amp;";",ROW($1:$99),1),";")),"",ROW($1:$99)),COLUMN(E178)+1)-SMALL(IF(ISERROR(SEARCH(MID(";"&amp;'CASE DATA'!$F179&amp;";",ROW($1:$99),1),";")),"",ROW($1:$99)),COLUMN(E178))-1)</f>
        <v/>
      </c>
      <c r="AC179" s="75" t="str" cm="1">
        <f t="array" ref="AC179">MID(";"&amp;'CASE DATA'!$F179&amp;";",SMALL(IF(ISERROR(SEARCH(MID(";"&amp;'CASE DATA'!$F179&amp;";",ROW($1:$99),1),";")),"",ROW($1:$99)+1),COLUMN(F179)),SMALL(IF(ISERROR(SEARCH(MID(";"&amp;'CASE DATA'!$F179&amp;";",ROW($1:$99),1),";")),"",ROW($1:$99)),COLUMN(F178)+1)-SMALL(IF(ISERROR(SEARCH(MID(";"&amp;'CASE DATA'!$F179&amp;";",ROW($1:$99),1),";")),"",ROW($1:$99)),COLUMN(F178))-1)</f>
        <v/>
      </c>
      <c r="AD179" s="75" t="str" cm="1">
        <f t="array" ref="AD179">MID(";"&amp;'CASE DATA'!$F179&amp;";",SMALL(IF(ISERROR(SEARCH(MID(";"&amp;'CASE DATA'!$F179&amp;";",ROW($1:$99),1),";")),"",ROW($1:$99)+1),COLUMN(G179)),SMALL(IF(ISERROR(SEARCH(MID(";"&amp;'CASE DATA'!$F179&amp;";",ROW($1:$99),1),";")),"",ROW($1:$99)),COLUMN(G178)+1)-SMALL(IF(ISERROR(SEARCH(MID(";"&amp;'CASE DATA'!$F179&amp;";",ROW($1:$99),1),";")),"",ROW($1:$99)),COLUMN(G178))-1)</f>
        <v/>
      </c>
      <c r="AE179" s="75" t="str" cm="1">
        <f t="array" ref="AE179">MID(";"&amp;'CASE DATA'!$F179&amp;";",SMALL(IF(ISERROR(SEARCH(MID(";"&amp;'CASE DATA'!$F179&amp;";",ROW($1:$99),1),";")),"",ROW($1:$99)+1),COLUMN(H179)),SMALL(IF(ISERROR(SEARCH(MID(";"&amp;'CASE DATA'!$F179&amp;";",ROW($1:$99),1),";")),"",ROW($1:$99)),COLUMN(H178)+1)-SMALL(IF(ISERROR(SEARCH(MID(";"&amp;'CASE DATA'!$F179&amp;";",ROW($1:$99),1),";")),"",ROW($1:$99)),COLUMN(H178))-1)</f>
        <v/>
      </c>
      <c r="AF179" s="75" t="str" cm="1">
        <f t="array" ref="AF179">MID(";"&amp;'CASE DATA'!$F179&amp;";",SMALL(IF(ISERROR(SEARCH(MID(";"&amp;'CASE DATA'!$F179&amp;";",ROW($1:$99),1),";")),"",ROW($1:$99)+1),COLUMN(I179)),SMALL(IF(ISERROR(SEARCH(MID(";"&amp;'CASE DATA'!$F179&amp;";",ROW($1:$99),1),";")),"",ROW($1:$99)),COLUMN(I178)+1)-SMALL(IF(ISERROR(SEARCH(MID(";"&amp;'CASE DATA'!$F179&amp;";",ROW($1:$99),1),";")),"",ROW($1:$99)),COLUMN(I178))-1)</f>
        <v/>
      </c>
      <c r="AG179" s="75" t="str" cm="1">
        <f t="array" ref="AG179">MID(";"&amp;'CASE DATA'!$F179&amp;";",SMALL(IF(ISERROR(SEARCH(MID(";"&amp;'CASE DATA'!$F179&amp;";",ROW($1:$99),1),";")),"",ROW($1:$99)+1),COLUMN(K179)),SMALL(IF(ISERROR(SEARCH(MID(";"&amp;'CASE DATA'!$F179&amp;";",ROW($1:$99),1),";")),"",ROW($1:$99)),COLUMN(K178)+1)-SMALL(IF(ISERROR(SEARCH(MID(";"&amp;'CASE DATA'!$F179&amp;";",ROW($1:$99),1),";")),"",ROW($1:$99)),COLUMN(K178))-1)</f>
        <v/>
      </c>
      <c r="AH179" s="75" t="str" cm="1">
        <f t="array" ref="AH179">MID(";"&amp;'CASE DATA'!$F179&amp;";",SMALL(IF(ISERROR(SEARCH(MID(";"&amp;'CASE DATA'!$F179&amp;";",ROW($1:$99),1),";")),"",ROW($1:$99)+1),COLUMN(L179)),SMALL(IF(ISERROR(SEARCH(MID(";"&amp;'CASE DATA'!$F179&amp;";",ROW($1:$99),1),";")),"",ROW($1:$99)),COLUMN(L178)+1)-SMALL(IF(ISERROR(SEARCH(MID(";"&amp;'CASE DATA'!$F179&amp;";",ROW($1:$99),1),";")),"",ROW($1:$99)),COLUMN(L178))-1)</f>
        <v/>
      </c>
      <c r="AI179" s="75" t="str" cm="1">
        <f t="array" ref="AI179">MID(";"&amp;'CASE DATA'!$F179&amp;";",SMALL(IF(ISERROR(SEARCH(MID(";"&amp;'CASE DATA'!$F179&amp;";",ROW($1:$99),1),";")),"",ROW($1:$99)+1),COLUMN(M179)),SMALL(IF(ISERROR(SEARCH(MID(";"&amp;'CASE DATA'!$F179&amp;";",ROW($1:$99),1),";")),"",ROW($1:$99)),COLUMN(M178)+1)-SMALL(IF(ISERROR(SEARCH(MID(";"&amp;'CASE DATA'!$F179&amp;";",ROW($1:$99),1),";")),"",ROW($1:$99)),COLUMN(M178))-1)</f>
        <v/>
      </c>
      <c r="BO179" s="99"/>
      <c r="BP179" s="99"/>
      <c r="BQ179" s="99"/>
      <c r="BR179" s="99"/>
      <c r="BS179" s="99"/>
      <c r="BT179" s="99"/>
      <c r="BU179" s="99"/>
      <c r="BV179" s="99"/>
      <c r="BW179" s="99"/>
      <c r="BX179" s="99"/>
      <c r="BY179" s="99"/>
      <c r="BZ179" s="99"/>
      <c r="CA179" s="99"/>
      <c r="CB179" s="99"/>
      <c r="CC179" s="99"/>
      <c r="CD179" s="99"/>
      <c r="CE179" s="99"/>
      <c r="CF179" s="99"/>
      <c r="CG179" s="99"/>
      <c r="CH179" s="99"/>
      <c r="CI179" s="99"/>
      <c r="CJ179" s="99"/>
      <c r="CK179" s="99"/>
      <c r="CL179" s="99"/>
      <c r="CM179" s="99"/>
      <c r="CN179" s="99"/>
      <c r="CO179" s="99"/>
      <c r="CP179" s="99"/>
      <c r="CQ179" s="99"/>
      <c r="CR179" s="99"/>
      <c r="CS179" s="99"/>
      <c r="CT179" s="99"/>
      <c r="CU179" s="99"/>
      <c r="CV179" s="99"/>
      <c r="CW179" s="99"/>
      <c r="CX179" s="99"/>
      <c r="CY179" s="99"/>
      <c r="CZ179" s="99"/>
      <c r="DA179" s="99"/>
      <c r="DB179" s="99"/>
      <c r="DC179" s="99"/>
      <c r="DD179" s="99"/>
      <c r="DE179" s="99"/>
      <c r="DF179" s="99"/>
      <c r="DG179" s="99"/>
      <c r="DH179" s="99"/>
      <c r="DI179" s="99"/>
      <c r="DJ179" s="99"/>
      <c r="DK179" s="99"/>
      <c r="DL179" s="99"/>
      <c r="DM179" s="99"/>
      <c r="DN179" s="99"/>
      <c r="DO179" s="99"/>
      <c r="DP179" s="99"/>
      <c r="DQ179" s="99"/>
      <c r="DR179" s="99"/>
      <c r="DS179" s="99"/>
      <c r="DT179" s="99"/>
      <c r="DU179" s="99"/>
      <c r="DV179" s="99"/>
      <c r="DW179" s="99"/>
      <c r="DX179" s="99"/>
      <c r="DY179" s="99"/>
      <c r="DZ179" s="99"/>
      <c r="EA179" s="99"/>
      <c r="EB179" s="99"/>
      <c r="EC179" s="99"/>
      <c r="ED179" s="99"/>
      <c r="EE179" s="99"/>
      <c r="EF179" s="99"/>
      <c r="EG179" s="99"/>
      <c r="EH179" s="99"/>
      <c r="EI179" s="99"/>
      <c r="EJ179" s="99"/>
      <c r="EK179" s="99"/>
      <c r="EL179" s="99"/>
      <c r="EM179" s="99"/>
      <c r="EN179" s="99"/>
      <c r="EO179" s="99"/>
      <c r="EP179" s="99"/>
      <c r="EQ179" s="99"/>
      <c r="ER179" s="99"/>
      <c r="ES179" s="99"/>
      <c r="ET179" s="99"/>
      <c r="EU179" s="99"/>
      <c r="EV179" s="99"/>
      <c r="EW179" s="99"/>
      <c r="EX179" s="99"/>
      <c r="EY179" s="99"/>
      <c r="EZ179" s="99"/>
      <c r="FA179" s="99"/>
      <c r="FB179" s="99"/>
      <c r="FC179" s="99"/>
      <c r="FD179" s="99"/>
      <c r="FE179" s="99"/>
      <c r="FF179" s="99"/>
      <c r="FG179" s="99"/>
      <c r="FH179" s="99"/>
      <c r="FI179" s="99"/>
      <c r="FJ179" s="99"/>
      <c r="FK179" s="99"/>
    </row>
    <row r="180" spans="3:167" x14ac:dyDescent="0.25">
      <c r="C180" s="10"/>
      <c r="D180" s="10"/>
      <c r="E180" s="11"/>
      <c r="F180" s="15"/>
      <c r="J180" s="99">
        <v>177</v>
      </c>
      <c r="K180" s="16"/>
      <c r="L180" s="16"/>
      <c r="M180" s="16"/>
      <c r="N180" s="16"/>
      <c r="O180" s="16"/>
      <c r="P180" s="16"/>
      <c r="Q180" s="16"/>
      <c r="R180" s="16"/>
      <c r="S180" s="16"/>
      <c r="T180" s="16"/>
      <c r="U180" s="14">
        <f>SUM(K180:T180)</f>
        <v>0</v>
      </c>
      <c r="V180" s="14"/>
      <c r="X180" s="75" t="str" cm="1">
        <f t="array" ref="X180">MID(";"&amp;'CASE DATA'!$F180&amp;";",SMALL(IF(ISERROR(SEARCH(MID(";"&amp;'CASE DATA'!$F180&amp;";",ROW($1:$99),1),";")),"",ROW($1:$99)+1),COLUMN(A180)),SMALL(IF(ISERROR(SEARCH(MID(";"&amp;'CASE DATA'!$F180&amp;";",ROW($1:$99),1),";")),"",ROW($1:$99)),COLUMN(A179)+1)-SMALL(IF(ISERROR(SEARCH(MID(";"&amp;'CASE DATA'!$F180&amp;";",ROW($1:$99),1),";")),"",ROW($1:$99)),COLUMN(A179))-1)</f>
        <v/>
      </c>
      <c r="Y180" s="75" t="str" cm="1">
        <f t="array" ref="Y180">MID(";"&amp;'CASE DATA'!$F180&amp;";",SMALL(IF(ISERROR(SEARCH(MID(";"&amp;'CASE DATA'!$F180&amp;";",ROW($1:$99),1),";")),"",ROW($1:$99)+1),COLUMN(B180)),SMALL(IF(ISERROR(SEARCH(MID(";"&amp;'CASE DATA'!$F180&amp;";",ROW($1:$99),1),";")),"",ROW($1:$99)),COLUMN(B179)+1)-SMALL(IF(ISERROR(SEARCH(MID(";"&amp;'CASE DATA'!$F180&amp;";",ROW($1:$99),1),";")),"",ROW($1:$99)),COLUMN(B179))-1)</f>
        <v/>
      </c>
      <c r="Z180" s="75" t="str" cm="1">
        <f t="array" ref="Z180">MID(";"&amp;'CASE DATA'!$F180&amp;";",SMALL(IF(ISERROR(SEARCH(MID(";"&amp;'CASE DATA'!$F180&amp;";",ROW($1:$99),1),";")),"",ROW($1:$99)+1),COLUMN(C180)),SMALL(IF(ISERROR(SEARCH(MID(";"&amp;'CASE DATA'!$F180&amp;";",ROW($1:$99),1),";")),"",ROW($1:$99)),COLUMN(C179)+1)-SMALL(IF(ISERROR(SEARCH(MID(";"&amp;'CASE DATA'!$F180&amp;";",ROW($1:$99),1),";")),"",ROW($1:$99)),COLUMN(C179))-1)</f>
        <v/>
      </c>
      <c r="AA180" s="75" t="str" cm="1">
        <f t="array" ref="AA180">MID(";"&amp;'CASE DATA'!$F180&amp;";",SMALL(IF(ISERROR(SEARCH(MID(";"&amp;'CASE DATA'!$F180&amp;";",ROW($1:$99),1),";")),"",ROW($1:$99)+1),COLUMN(D180)),SMALL(IF(ISERROR(SEARCH(MID(";"&amp;'CASE DATA'!$F180&amp;";",ROW($1:$99),1),";")),"",ROW($1:$99)),COLUMN(D179)+1)-SMALL(IF(ISERROR(SEARCH(MID(";"&amp;'CASE DATA'!$F180&amp;";",ROW($1:$99),1),";")),"",ROW($1:$99)),COLUMN(D179))-1)</f>
        <v/>
      </c>
      <c r="AB180" s="75" t="str" cm="1">
        <f t="array" ref="AB180">MID(";"&amp;'CASE DATA'!$F180&amp;";",SMALL(IF(ISERROR(SEARCH(MID(";"&amp;'CASE DATA'!$F180&amp;";",ROW($1:$99),1),";")),"",ROW($1:$99)+1),COLUMN(E180)),SMALL(IF(ISERROR(SEARCH(MID(";"&amp;'CASE DATA'!$F180&amp;";",ROW($1:$99),1),";")),"",ROW($1:$99)),COLUMN(E179)+1)-SMALL(IF(ISERROR(SEARCH(MID(";"&amp;'CASE DATA'!$F180&amp;";",ROW($1:$99),1),";")),"",ROW($1:$99)),COLUMN(E179))-1)</f>
        <v/>
      </c>
      <c r="AC180" s="75" t="str" cm="1">
        <f t="array" ref="AC180">MID(";"&amp;'CASE DATA'!$F180&amp;";",SMALL(IF(ISERROR(SEARCH(MID(";"&amp;'CASE DATA'!$F180&amp;";",ROW($1:$99),1),";")),"",ROW($1:$99)+1),COLUMN(F180)),SMALL(IF(ISERROR(SEARCH(MID(";"&amp;'CASE DATA'!$F180&amp;";",ROW($1:$99),1),";")),"",ROW($1:$99)),COLUMN(F179)+1)-SMALL(IF(ISERROR(SEARCH(MID(";"&amp;'CASE DATA'!$F180&amp;";",ROW($1:$99),1),";")),"",ROW($1:$99)),COLUMN(F179))-1)</f>
        <v/>
      </c>
      <c r="AD180" s="75" t="str" cm="1">
        <f t="array" ref="AD180">MID(";"&amp;'CASE DATA'!$F180&amp;";",SMALL(IF(ISERROR(SEARCH(MID(";"&amp;'CASE DATA'!$F180&amp;";",ROW($1:$99),1),";")),"",ROW($1:$99)+1),COLUMN(G180)),SMALL(IF(ISERROR(SEARCH(MID(";"&amp;'CASE DATA'!$F180&amp;";",ROW($1:$99),1),";")),"",ROW($1:$99)),COLUMN(G179)+1)-SMALL(IF(ISERROR(SEARCH(MID(";"&amp;'CASE DATA'!$F180&amp;";",ROW($1:$99),1),";")),"",ROW($1:$99)),COLUMN(G179))-1)</f>
        <v/>
      </c>
      <c r="AE180" s="75" t="str" cm="1">
        <f t="array" ref="AE180">MID(";"&amp;'CASE DATA'!$F180&amp;";",SMALL(IF(ISERROR(SEARCH(MID(";"&amp;'CASE DATA'!$F180&amp;";",ROW($1:$99),1),";")),"",ROW($1:$99)+1),COLUMN(H180)),SMALL(IF(ISERROR(SEARCH(MID(";"&amp;'CASE DATA'!$F180&amp;";",ROW($1:$99),1),";")),"",ROW($1:$99)),COLUMN(H179)+1)-SMALL(IF(ISERROR(SEARCH(MID(";"&amp;'CASE DATA'!$F180&amp;";",ROW($1:$99),1),";")),"",ROW($1:$99)),COLUMN(H179))-1)</f>
        <v/>
      </c>
      <c r="AF180" s="75" t="str" cm="1">
        <f t="array" ref="AF180">MID(";"&amp;'CASE DATA'!$F180&amp;";",SMALL(IF(ISERROR(SEARCH(MID(";"&amp;'CASE DATA'!$F180&amp;";",ROW($1:$99),1),";")),"",ROW($1:$99)+1),COLUMN(I180)),SMALL(IF(ISERROR(SEARCH(MID(";"&amp;'CASE DATA'!$F180&amp;";",ROW($1:$99),1),";")),"",ROW($1:$99)),COLUMN(I179)+1)-SMALL(IF(ISERROR(SEARCH(MID(";"&amp;'CASE DATA'!$F180&amp;";",ROW($1:$99),1),";")),"",ROW($1:$99)),COLUMN(I179))-1)</f>
        <v/>
      </c>
      <c r="AG180" s="75" t="str" cm="1">
        <f t="array" ref="AG180">MID(";"&amp;'CASE DATA'!$F180&amp;";",SMALL(IF(ISERROR(SEARCH(MID(";"&amp;'CASE DATA'!$F180&amp;";",ROW($1:$99),1),";")),"",ROW($1:$99)+1),COLUMN(K180)),SMALL(IF(ISERROR(SEARCH(MID(";"&amp;'CASE DATA'!$F180&amp;";",ROW($1:$99),1),";")),"",ROW($1:$99)),COLUMN(K179)+1)-SMALL(IF(ISERROR(SEARCH(MID(";"&amp;'CASE DATA'!$F180&amp;";",ROW($1:$99),1),";")),"",ROW($1:$99)),COLUMN(K179))-1)</f>
        <v/>
      </c>
      <c r="AH180" s="75" t="str" cm="1">
        <f t="array" ref="AH180">MID(";"&amp;'CASE DATA'!$F180&amp;";",SMALL(IF(ISERROR(SEARCH(MID(";"&amp;'CASE DATA'!$F180&amp;";",ROW($1:$99),1),";")),"",ROW($1:$99)+1),COLUMN(L180)),SMALL(IF(ISERROR(SEARCH(MID(";"&amp;'CASE DATA'!$F180&amp;";",ROW($1:$99),1),";")),"",ROW($1:$99)),COLUMN(L179)+1)-SMALL(IF(ISERROR(SEARCH(MID(";"&amp;'CASE DATA'!$F180&amp;";",ROW($1:$99),1),";")),"",ROW($1:$99)),COLUMN(L179))-1)</f>
        <v/>
      </c>
      <c r="AI180" s="75" t="str" cm="1">
        <f t="array" ref="AI180">MID(";"&amp;'CASE DATA'!$F180&amp;";",SMALL(IF(ISERROR(SEARCH(MID(";"&amp;'CASE DATA'!$F180&amp;";",ROW($1:$99),1),";")),"",ROW($1:$99)+1),COLUMN(M180)),SMALL(IF(ISERROR(SEARCH(MID(";"&amp;'CASE DATA'!$F180&amp;";",ROW($1:$99),1),";")),"",ROW($1:$99)),COLUMN(M179)+1)-SMALL(IF(ISERROR(SEARCH(MID(";"&amp;'CASE DATA'!$F180&amp;";",ROW($1:$99),1),";")),"",ROW($1:$99)),COLUMN(M179))-1)</f>
        <v/>
      </c>
      <c r="BO180" s="99"/>
      <c r="BP180" s="99"/>
      <c r="BQ180" s="99"/>
      <c r="BR180" s="99"/>
      <c r="BS180" s="99"/>
      <c r="BT180" s="99"/>
      <c r="BU180" s="99"/>
      <c r="BV180" s="99"/>
      <c r="BW180" s="99"/>
      <c r="BX180" s="99"/>
      <c r="BY180" s="99"/>
      <c r="BZ180" s="99"/>
      <c r="CA180" s="99"/>
      <c r="CB180" s="99"/>
      <c r="CC180" s="99"/>
      <c r="CD180" s="99"/>
      <c r="CE180" s="99"/>
      <c r="CF180" s="99"/>
      <c r="CG180" s="99"/>
      <c r="CH180" s="99"/>
      <c r="CI180" s="99"/>
      <c r="CJ180" s="99"/>
      <c r="CK180" s="99"/>
      <c r="CL180" s="99"/>
      <c r="CM180" s="99"/>
      <c r="CN180" s="99"/>
      <c r="CO180" s="99"/>
      <c r="CP180" s="99"/>
      <c r="CQ180" s="99"/>
      <c r="CR180" s="99"/>
      <c r="CS180" s="99"/>
      <c r="CT180" s="99"/>
      <c r="CU180" s="99"/>
      <c r="CV180" s="99"/>
      <c r="CW180" s="99"/>
      <c r="CX180" s="99"/>
      <c r="CY180" s="99"/>
      <c r="CZ180" s="99"/>
      <c r="DA180" s="99"/>
      <c r="DB180" s="99"/>
      <c r="DC180" s="99"/>
      <c r="DD180" s="99"/>
      <c r="DE180" s="99"/>
      <c r="DF180" s="99"/>
      <c r="DG180" s="99"/>
      <c r="DH180" s="99"/>
      <c r="DI180" s="99"/>
      <c r="DJ180" s="99"/>
      <c r="DK180" s="99"/>
      <c r="DL180" s="99"/>
      <c r="DM180" s="99"/>
      <c r="DN180" s="99"/>
      <c r="DO180" s="99"/>
      <c r="DP180" s="99"/>
      <c r="DQ180" s="99"/>
      <c r="DR180" s="99"/>
      <c r="DS180" s="99"/>
      <c r="DT180" s="99"/>
      <c r="DU180" s="99"/>
      <c r="DV180" s="99"/>
      <c r="DW180" s="99"/>
      <c r="DX180" s="99"/>
      <c r="DY180" s="99"/>
      <c r="DZ180" s="99"/>
      <c r="EA180" s="99"/>
      <c r="EB180" s="99"/>
      <c r="EC180" s="99"/>
      <c r="ED180" s="99"/>
      <c r="EE180" s="99"/>
      <c r="EF180" s="99"/>
      <c r="EG180" s="99"/>
      <c r="EH180" s="99"/>
      <c r="EI180" s="99"/>
      <c r="EJ180" s="99"/>
      <c r="EK180" s="99"/>
      <c r="EL180" s="99"/>
      <c r="EM180" s="99"/>
      <c r="EN180" s="99"/>
      <c r="EO180" s="99"/>
      <c r="EP180" s="99"/>
      <c r="EQ180" s="99"/>
      <c r="ER180" s="99"/>
      <c r="ES180" s="99"/>
      <c r="ET180" s="99"/>
      <c r="EU180" s="99"/>
      <c r="EV180" s="99"/>
      <c r="EW180" s="99"/>
      <c r="EX180" s="99"/>
      <c r="EY180" s="99"/>
      <c r="EZ180" s="99"/>
      <c r="FA180" s="99"/>
      <c r="FB180" s="99"/>
      <c r="FC180" s="99"/>
      <c r="FD180" s="99"/>
      <c r="FE180" s="99"/>
      <c r="FF180" s="99"/>
      <c r="FG180" s="99"/>
      <c r="FH180" s="99"/>
      <c r="FI180" s="99"/>
      <c r="FJ180" s="99"/>
      <c r="FK180" s="99"/>
    </row>
    <row r="181" spans="3:167" x14ac:dyDescent="0.25">
      <c r="C181" s="10"/>
      <c r="D181" s="10"/>
      <c r="E181" s="11"/>
      <c r="F181" s="15"/>
      <c r="J181" s="99">
        <v>178</v>
      </c>
      <c r="K181" s="16"/>
      <c r="L181" s="16"/>
      <c r="M181" s="16"/>
      <c r="N181" s="16"/>
      <c r="O181" s="16"/>
      <c r="P181" s="16"/>
      <c r="Q181" s="16"/>
      <c r="R181" s="16"/>
      <c r="S181" s="16"/>
      <c r="T181" s="16"/>
      <c r="U181" s="14">
        <f>SUM(K181:T181)</f>
        <v>0</v>
      </c>
      <c r="V181" s="14"/>
      <c r="X181" s="75" t="str" cm="1">
        <f t="array" ref="X181">MID(";"&amp;'CASE DATA'!$F181&amp;";",SMALL(IF(ISERROR(SEARCH(MID(";"&amp;'CASE DATA'!$F181&amp;";",ROW($1:$99),1),";")),"",ROW($1:$99)+1),COLUMN(A181)),SMALL(IF(ISERROR(SEARCH(MID(";"&amp;'CASE DATA'!$F181&amp;";",ROW($1:$99),1),";")),"",ROW($1:$99)),COLUMN(A180)+1)-SMALL(IF(ISERROR(SEARCH(MID(";"&amp;'CASE DATA'!$F181&amp;";",ROW($1:$99),1),";")),"",ROW($1:$99)),COLUMN(A180))-1)</f>
        <v/>
      </c>
      <c r="Y181" s="75" t="str" cm="1">
        <f t="array" ref="Y181">MID(";"&amp;'CASE DATA'!$F181&amp;";",SMALL(IF(ISERROR(SEARCH(MID(";"&amp;'CASE DATA'!$F181&amp;";",ROW($1:$99),1),";")),"",ROW($1:$99)+1),COLUMN(B181)),SMALL(IF(ISERROR(SEARCH(MID(";"&amp;'CASE DATA'!$F181&amp;";",ROW($1:$99),1),";")),"",ROW($1:$99)),COLUMN(B180)+1)-SMALL(IF(ISERROR(SEARCH(MID(";"&amp;'CASE DATA'!$F181&amp;";",ROW($1:$99),1),";")),"",ROW($1:$99)),COLUMN(B180))-1)</f>
        <v/>
      </c>
      <c r="Z181" s="75" t="str" cm="1">
        <f t="array" ref="Z181">MID(";"&amp;'CASE DATA'!$F181&amp;";",SMALL(IF(ISERROR(SEARCH(MID(";"&amp;'CASE DATA'!$F181&amp;";",ROW($1:$99),1),";")),"",ROW($1:$99)+1),COLUMN(C181)),SMALL(IF(ISERROR(SEARCH(MID(";"&amp;'CASE DATA'!$F181&amp;";",ROW($1:$99),1),";")),"",ROW($1:$99)),COLUMN(C180)+1)-SMALL(IF(ISERROR(SEARCH(MID(";"&amp;'CASE DATA'!$F181&amp;";",ROW($1:$99),1),";")),"",ROW($1:$99)),COLUMN(C180))-1)</f>
        <v/>
      </c>
      <c r="AA181" s="75" t="str" cm="1">
        <f t="array" ref="AA181">MID(";"&amp;'CASE DATA'!$F181&amp;";",SMALL(IF(ISERROR(SEARCH(MID(";"&amp;'CASE DATA'!$F181&amp;";",ROW($1:$99),1),";")),"",ROW($1:$99)+1),COLUMN(D181)),SMALL(IF(ISERROR(SEARCH(MID(";"&amp;'CASE DATA'!$F181&amp;";",ROW($1:$99),1),";")),"",ROW($1:$99)),COLUMN(D180)+1)-SMALL(IF(ISERROR(SEARCH(MID(";"&amp;'CASE DATA'!$F181&amp;";",ROW($1:$99),1),";")),"",ROW($1:$99)),COLUMN(D180))-1)</f>
        <v/>
      </c>
      <c r="AB181" s="75" t="str" cm="1">
        <f t="array" ref="AB181">MID(";"&amp;'CASE DATA'!$F181&amp;";",SMALL(IF(ISERROR(SEARCH(MID(";"&amp;'CASE DATA'!$F181&amp;";",ROW($1:$99),1),";")),"",ROW($1:$99)+1),COLUMN(E181)),SMALL(IF(ISERROR(SEARCH(MID(";"&amp;'CASE DATA'!$F181&amp;";",ROW($1:$99),1),";")),"",ROW($1:$99)),COLUMN(E180)+1)-SMALL(IF(ISERROR(SEARCH(MID(";"&amp;'CASE DATA'!$F181&amp;";",ROW($1:$99),1),";")),"",ROW($1:$99)),COLUMN(E180))-1)</f>
        <v/>
      </c>
      <c r="AC181" s="75" t="str" cm="1">
        <f t="array" ref="AC181">MID(";"&amp;'CASE DATA'!$F181&amp;";",SMALL(IF(ISERROR(SEARCH(MID(";"&amp;'CASE DATA'!$F181&amp;";",ROW($1:$99),1),";")),"",ROW($1:$99)+1),COLUMN(F181)),SMALL(IF(ISERROR(SEARCH(MID(";"&amp;'CASE DATA'!$F181&amp;";",ROW($1:$99),1),";")),"",ROW($1:$99)),COLUMN(F180)+1)-SMALL(IF(ISERROR(SEARCH(MID(";"&amp;'CASE DATA'!$F181&amp;";",ROW($1:$99),1),";")),"",ROW($1:$99)),COLUMN(F180))-1)</f>
        <v/>
      </c>
      <c r="AD181" s="75" t="str" cm="1">
        <f t="array" ref="AD181">MID(";"&amp;'CASE DATA'!$F181&amp;";",SMALL(IF(ISERROR(SEARCH(MID(";"&amp;'CASE DATA'!$F181&amp;";",ROW($1:$99),1),";")),"",ROW($1:$99)+1),COLUMN(G181)),SMALL(IF(ISERROR(SEARCH(MID(";"&amp;'CASE DATA'!$F181&amp;";",ROW($1:$99),1),";")),"",ROW($1:$99)),COLUMN(G180)+1)-SMALL(IF(ISERROR(SEARCH(MID(";"&amp;'CASE DATA'!$F181&amp;";",ROW($1:$99),1),";")),"",ROW($1:$99)),COLUMN(G180))-1)</f>
        <v/>
      </c>
      <c r="AE181" s="75" t="str" cm="1">
        <f t="array" ref="AE181">MID(";"&amp;'CASE DATA'!$F181&amp;";",SMALL(IF(ISERROR(SEARCH(MID(";"&amp;'CASE DATA'!$F181&amp;";",ROW($1:$99),1),";")),"",ROW($1:$99)+1),COLUMN(H181)),SMALL(IF(ISERROR(SEARCH(MID(";"&amp;'CASE DATA'!$F181&amp;";",ROW($1:$99),1),";")),"",ROW($1:$99)),COLUMN(H180)+1)-SMALL(IF(ISERROR(SEARCH(MID(";"&amp;'CASE DATA'!$F181&amp;";",ROW($1:$99),1),";")),"",ROW($1:$99)),COLUMN(H180))-1)</f>
        <v/>
      </c>
      <c r="AF181" s="75" t="str" cm="1">
        <f t="array" ref="AF181">MID(";"&amp;'CASE DATA'!$F181&amp;";",SMALL(IF(ISERROR(SEARCH(MID(";"&amp;'CASE DATA'!$F181&amp;";",ROW($1:$99),1),";")),"",ROW($1:$99)+1),COLUMN(I181)),SMALL(IF(ISERROR(SEARCH(MID(";"&amp;'CASE DATA'!$F181&amp;";",ROW($1:$99),1),";")),"",ROW($1:$99)),COLUMN(I180)+1)-SMALL(IF(ISERROR(SEARCH(MID(";"&amp;'CASE DATA'!$F181&amp;";",ROW($1:$99),1),";")),"",ROW($1:$99)),COLUMN(I180))-1)</f>
        <v/>
      </c>
      <c r="AG181" s="75" t="str" cm="1">
        <f t="array" ref="AG181">MID(";"&amp;'CASE DATA'!$F181&amp;";",SMALL(IF(ISERROR(SEARCH(MID(";"&amp;'CASE DATA'!$F181&amp;";",ROW($1:$99),1),";")),"",ROW($1:$99)+1),COLUMN(K181)),SMALL(IF(ISERROR(SEARCH(MID(";"&amp;'CASE DATA'!$F181&amp;";",ROW($1:$99),1),";")),"",ROW($1:$99)),COLUMN(K180)+1)-SMALL(IF(ISERROR(SEARCH(MID(";"&amp;'CASE DATA'!$F181&amp;";",ROW($1:$99),1),";")),"",ROW($1:$99)),COLUMN(K180))-1)</f>
        <v/>
      </c>
      <c r="AH181" s="75" t="str" cm="1">
        <f t="array" ref="AH181">MID(";"&amp;'CASE DATA'!$F181&amp;";",SMALL(IF(ISERROR(SEARCH(MID(";"&amp;'CASE DATA'!$F181&amp;";",ROW($1:$99),1),";")),"",ROW($1:$99)+1),COLUMN(L181)),SMALL(IF(ISERROR(SEARCH(MID(";"&amp;'CASE DATA'!$F181&amp;";",ROW($1:$99),1),";")),"",ROW($1:$99)),COLUMN(L180)+1)-SMALL(IF(ISERROR(SEARCH(MID(";"&amp;'CASE DATA'!$F181&amp;";",ROW($1:$99),1),";")),"",ROW($1:$99)),COLUMN(L180))-1)</f>
        <v/>
      </c>
      <c r="AI181" s="75" t="str" cm="1">
        <f t="array" ref="AI181">MID(";"&amp;'CASE DATA'!$F181&amp;";",SMALL(IF(ISERROR(SEARCH(MID(";"&amp;'CASE DATA'!$F181&amp;";",ROW($1:$99),1),";")),"",ROW($1:$99)+1),COLUMN(M181)),SMALL(IF(ISERROR(SEARCH(MID(";"&amp;'CASE DATA'!$F181&amp;";",ROW($1:$99),1),";")),"",ROW($1:$99)),COLUMN(M180)+1)-SMALL(IF(ISERROR(SEARCH(MID(";"&amp;'CASE DATA'!$F181&amp;";",ROW($1:$99),1),";")),"",ROW($1:$99)),COLUMN(M180))-1)</f>
        <v/>
      </c>
      <c r="BO181" s="99"/>
      <c r="BP181" s="99"/>
      <c r="BQ181" s="99"/>
      <c r="BR181" s="99"/>
      <c r="BS181" s="99"/>
      <c r="BT181" s="99"/>
      <c r="BU181" s="99"/>
      <c r="BV181" s="99"/>
      <c r="BW181" s="99"/>
      <c r="BX181" s="99"/>
      <c r="BY181" s="99"/>
      <c r="BZ181" s="99"/>
      <c r="CA181" s="99"/>
      <c r="CB181" s="99"/>
      <c r="CC181" s="99"/>
      <c r="CD181" s="99"/>
      <c r="CE181" s="99"/>
      <c r="CF181" s="99"/>
      <c r="CG181" s="99"/>
      <c r="CH181" s="99"/>
      <c r="CI181" s="99"/>
      <c r="CJ181" s="99"/>
      <c r="CK181" s="99"/>
      <c r="CL181" s="99"/>
      <c r="CM181" s="99"/>
      <c r="CN181" s="99"/>
      <c r="CO181" s="99"/>
      <c r="CP181" s="99"/>
      <c r="CQ181" s="99"/>
      <c r="CR181" s="99"/>
      <c r="CS181" s="99"/>
      <c r="CT181" s="99"/>
      <c r="CU181" s="99"/>
      <c r="CV181" s="99"/>
      <c r="CW181" s="99"/>
      <c r="CX181" s="99"/>
      <c r="CY181" s="99"/>
      <c r="CZ181" s="99"/>
      <c r="DA181" s="99"/>
      <c r="DB181" s="99"/>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99"/>
      <c r="EE181" s="99"/>
      <c r="EF181" s="99"/>
      <c r="EG181" s="99"/>
      <c r="EH181" s="99"/>
      <c r="EI181" s="99"/>
      <c r="EJ181" s="99"/>
      <c r="EK181" s="99"/>
      <c r="EL181" s="99"/>
      <c r="EM181" s="99"/>
      <c r="EN181" s="99"/>
      <c r="EO181" s="99"/>
      <c r="EP181" s="99"/>
      <c r="EQ181" s="99"/>
      <c r="ER181" s="99"/>
      <c r="ES181" s="99"/>
      <c r="ET181" s="99"/>
      <c r="EU181" s="99"/>
      <c r="EV181" s="99"/>
      <c r="EW181" s="99"/>
      <c r="EX181" s="99"/>
      <c r="EY181" s="99"/>
      <c r="EZ181" s="99"/>
      <c r="FA181" s="99"/>
      <c r="FB181" s="99"/>
      <c r="FC181" s="99"/>
      <c r="FD181" s="99"/>
      <c r="FE181" s="99"/>
      <c r="FF181" s="99"/>
      <c r="FG181" s="99"/>
      <c r="FH181" s="99"/>
      <c r="FI181" s="99"/>
      <c r="FJ181" s="99"/>
      <c r="FK181" s="99"/>
    </row>
    <row r="182" spans="3:167" x14ac:dyDescent="0.25">
      <c r="C182" s="10"/>
      <c r="D182" s="10"/>
      <c r="E182" s="11"/>
      <c r="F182" s="15"/>
      <c r="J182" s="99">
        <v>179</v>
      </c>
      <c r="K182" s="16"/>
      <c r="L182" s="16"/>
      <c r="M182" s="16"/>
      <c r="N182" s="16"/>
      <c r="O182" s="16"/>
      <c r="P182" s="16"/>
      <c r="Q182" s="16"/>
      <c r="R182" s="16"/>
      <c r="S182" s="16"/>
      <c r="T182" s="16"/>
      <c r="U182" s="14">
        <f>SUM(K182:T182)</f>
        <v>0</v>
      </c>
      <c r="V182" s="14"/>
      <c r="X182" s="75" t="str" cm="1">
        <f t="array" ref="X182">MID(";"&amp;'CASE DATA'!$F182&amp;";",SMALL(IF(ISERROR(SEARCH(MID(";"&amp;'CASE DATA'!$F182&amp;";",ROW($1:$99),1),";")),"",ROW($1:$99)+1),COLUMN(A182)),SMALL(IF(ISERROR(SEARCH(MID(";"&amp;'CASE DATA'!$F182&amp;";",ROW($1:$99),1),";")),"",ROW($1:$99)),COLUMN(A181)+1)-SMALL(IF(ISERROR(SEARCH(MID(";"&amp;'CASE DATA'!$F182&amp;";",ROW($1:$99),1),";")),"",ROW($1:$99)),COLUMN(A181))-1)</f>
        <v/>
      </c>
      <c r="Y182" s="75" t="str" cm="1">
        <f t="array" ref="Y182">MID(";"&amp;'CASE DATA'!$F182&amp;";",SMALL(IF(ISERROR(SEARCH(MID(";"&amp;'CASE DATA'!$F182&amp;";",ROW($1:$99),1),";")),"",ROW($1:$99)+1),COLUMN(B182)),SMALL(IF(ISERROR(SEARCH(MID(";"&amp;'CASE DATA'!$F182&amp;";",ROW($1:$99),1),";")),"",ROW($1:$99)),COLUMN(B181)+1)-SMALL(IF(ISERROR(SEARCH(MID(";"&amp;'CASE DATA'!$F182&amp;";",ROW($1:$99),1),";")),"",ROW($1:$99)),COLUMN(B181))-1)</f>
        <v/>
      </c>
      <c r="Z182" s="75" t="str" cm="1">
        <f t="array" ref="Z182">MID(";"&amp;'CASE DATA'!$F182&amp;";",SMALL(IF(ISERROR(SEARCH(MID(";"&amp;'CASE DATA'!$F182&amp;";",ROW($1:$99),1),";")),"",ROW($1:$99)+1),COLUMN(C182)),SMALL(IF(ISERROR(SEARCH(MID(";"&amp;'CASE DATA'!$F182&amp;";",ROW($1:$99),1),";")),"",ROW($1:$99)),COLUMN(C181)+1)-SMALL(IF(ISERROR(SEARCH(MID(";"&amp;'CASE DATA'!$F182&amp;";",ROW($1:$99),1),";")),"",ROW($1:$99)),COLUMN(C181))-1)</f>
        <v/>
      </c>
      <c r="AA182" s="75" t="str" cm="1">
        <f t="array" ref="AA182">MID(";"&amp;'CASE DATA'!$F182&amp;";",SMALL(IF(ISERROR(SEARCH(MID(";"&amp;'CASE DATA'!$F182&amp;";",ROW($1:$99),1),";")),"",ROW($1:$99)+1),COLUMN(D182)),SMALL(IF(ISERROR(SEARCH(MID(";"&amp;'CASE DATA'!$F182&amp;";",ROW($1:$99),1),";")),"",ROW($1:$99)),COLUMN(D181)+1)-SMALL(IF(ISERROR(SEARCH(MID(";"&amp;'CASE DATA'!$F182&amp;";",ROW($1:$99),1),";")),"",ROW($1:$99)),COLUMN(D181))-1)</f>
        <v/>
      </c>
      <c r="AB182" s="75" t="str" cm="1">
        <f t="array" ref="AB182">MID(";"&amp;'CASE DATA'!$F182&amp;";",SMALL(IF(ISERROR(SEARCH(MID(";"&amp;'CASE DATA'!$F182&amp;";",ROW($1:$99),1),";")),"",ROW($1:$99)+1),COLUMN(E182)),SMALL(IF(ISERROR(SEARCH(MID(";"&amp;'CASE DATA'!$F182&amp;";",ROW($1:$99),1),";")),"",ROW($1:$99)),COLUMN(E181)+1)-SMALL(IF(ISERROR(SEARCH(MID(";"&amp;'CASE DATA'!$F182&amp;";",ROW($1:$99),1),";")),"",ROW($1:$99)),COLUMN(E181))-1)</f>
        <v/>
      </c>
      <c r="AC182" s="75" t="str" cm="1">
        <f t="array" ref="AC182">MID(";"&amp;'CASE DATA'!$F182&amp;";",SMALL(IF(ISERROR(SEARCH(MID(";"&amp;'CASE DATA'!$F182&amp;";",ROW($1:$99),1),";")),"",ROW($1:$99)+1),COLUMN(F182)),SMALL(IF(ISERROR(SEARCH(MID(";"&amp;'CASE DATA'!$F182&amp;";",ROW($1:$99),1),";")),"",ROW($1:$99)),COLUMN(F181)+1)-SMALL(IF(ISERROR(SEARCH(MID(";"&amp;'CASE DATA'!$F182&amp;";",ROW($1:$99),1),";")),"",ROW($1:$99)),COLUMN(F181))-1)</f>
        <v/>
      </c>
      <c r="AD182" s="75" t="str" cm="1">
        <f t="array" ref="AD182">MID(";"&amp;'CASE DATA'!$F182&amp;";",SMALL(IF(ISERROR(SEARCH(MID(";"&amp;'CASE DATA'!$F182&amp;";",ROW($1:$99),1),";")),"",ROW($1:$99)+1),COLUMN(G182)),SMALL(IF(ISERROR(SEARCH(MID(";"&amp;'CASE DATA'!$F182&amp;";",ROW($1:$99),1),";")),"",ROW($1:$99)),COLUMN(G181)+1)-SMALL(IF(ISERROR(SEARCH(MID(";"&amp;'CASE DATA'!$F182&amp;";",ROW($1:$99),1),";")),"",ROW($1:$99)),COLUMN(G181))-1)</f>
        <v/>
      </c>
      <c r="AE182" s="75" t="str" cm="1">
        <f t="array" ref="AE182">MID(";"&amp;'CASE DATA'!$F182&amp;";",SMALL(IF(ISERROR(SEARCH(MID(";"&amp;'CASE DATA'!$F182&amp;";",ROW($1:$99),1),";")),"",ROW($1:$99)+1),COLUMN(H182)),SMALL(IF(ISERROR(SEARCH(MID(";"&amp;'CASE DATA'!$F182&amp;";",ROW($1:$99),1),";")),"",ROW($1:$99)),COLUMN(H181)+1)-SMALL(IF(ISERROR(SEARCH(MID(";"&amp;'CASE DATA'!$F182&amp;";",ROW($1:$99),1),";")),"",ROW($1:$99)),COLUMN(H181))-1)</f>
        <v/>
      </c>
      <c r="AF182" s="75" t="str" cm="1">
        <f t="array" ref="AF182">MID(";"&amp;'CASE DATA'!$F182&amp;";",SMALL(IF(ISERROR(SEARCH(MID(";"&amp;'CASE DATA'!$F182&amp;";",ROW($1:$99),1),";")),"",ROW($1:$99)+1),COLUMN(I182)),SMALL(IF(ISERROR(SEARCH(MID(";"&amp;'CASE DATA'!$F182&amp;";",ROW($1:$99),1),";")),"",ROW($1:$99)),COLUMN(I181)+1)-SMALL(IF(ISERROR(SEARCH(MID(";"&amp;'CASE DATA'!$F182&amp;";",ROW($1:$99),1),";")),"",ROW($1:$99)),COLUMN(I181))-1)</f>
        <v/>
      </c>
      <c r="AG182" s="75" t="str" cm="1">
        <f t="array" ref="AG182">MID(";"&amp;'CASE DATA'!$F182&amp;";",SMALL(IF(ISERROR(SEARCH(MID(";"&amp;'CASE DATA'!$F182&amp;";",ROW($1:$99),1),";")),"",ROW($1:$99)+1),COLUMN(K182)),SMALL(IF(ISERROR(SEARCH(MID(";"&amp;'CASE DATA'!$F182&amp;";",ROW($1:$99),1),";")),"",ROW($1:$99)),COLUMN(K181)+1)-SMALL(IF(ISERROR(SEARCH(MID(";"&amp;'CASE DATA'!$F182&amp;";",ROW($1:$99),1),";")),"",ROW($1:$99)),COLUMN(K181))-1)</f>
        <v/>
      </c>
      <c r="AH182" s="75" t="str" cm="1">
        <f t="array" ref="AH182">MID(";"&amp;'CASE DATA'!$F182&amp;";",SMALL(IF(ISERROR(SEARCH(MID(";"&amp;'CASE DATA'!$F182&amp;";",ROW($1:$99),1),";")),"",ROW($1:$99)+1),COLUMN(L182)),SMALL(IF(ISERROR(SEARCH(MID(";"&amp;'CASE DATA'!$F182&amp;";",ROW($1:$99),1),";")),"",ROW($1:$99)),COLUMN(L181)+1)-SMALL(IF(ISERROR(SEARCH(MID(";"&amp;'CASE DATA'!$F182&amp;";",ROW($1:$99),1),";")),"",ROW($1:$99)),COLUMN(L181))-1)</f>
        <v/>
      </c>
      <c r="AI182" s="75" t="str" cm="1">
        <f t="array" ref="AI182">MID(";"&amp;'CASE DATA'!$F182&amp;";",SMALL(IF(ISERROR(SEARCH(MID(";"&amp;'CASE DATA'!$F182&amp;";",ROW($1:$99),1),";")),"",ROW($1:$99)+1),COLUMN(M182)),SMALL(IF(ISERROR(SEARCH(MID(";"&amp;'CASE DATA'!$F182&amp;";",ROW($1:$99),1),";")),"",ROW($1:$99)),COLUMN(M181)+1)-SMALL(IF(ISERROR(SEARCH(MID(";"&amp;'CASE DATA'!$F182&amp;";",ROW($1:$99),1),";")),"",ROW($1:$99)),COLUMN(M181))-1)</f>
        <v/>
      </c>
      <c r="BO182" s="99"/>
      <c r="BP182" s="99"/>
      <c r="BQ182" s="99"/>
      <c r="BR182" s="99"/>
      <c r="BS182" s="99"/>
      <c r="BT182" s="99"/>
      <c r="BU182" s="99"/>
      <c r="BV182" s="99"/>
      <c r="BW182" s="99"/>
      <c r="BX182" s="99"/>
      <c r="BY182" s="99"/>
      <c r="BZ182" s="99"/>
      <c r="CA182" s="99"/>
      <c r="CB182" s="99"/>
      <c r="CC182" s="99"/>
      <c r="CD182" s="99"/>
      <c r="CE182" s="99"/>
      <c r="CF182" s="99"/>
      <c r="CG182" s="99"/>
      <c r="CH182" s="99"/>
      <c r="CI182" s="99"/>
      <c r="CJ182" s="99"/>
      <c r="CK182" s="99"/>
      <c r="CL182" s="99"/>
      <c r="CM182" s="99"/>
      <c r="CN182" s="99"/>
      <c r="CO182" s="99"/>
      <c r="CP182" s="99"/>
      <c r="CQ182" s="99"/>
      <c r="CR182" s="99"/>
      <c r="CS182" s="99"/>
      <c r="CT182" s="99"/>
      <c r="CU182" s="99"/>
      <c r="CV182" s="99"/>
      <c r="CW182" s="99"/>
      <c r="CX182" s="99"/>
      <c r="CY182" s="99"/>
      <c r="CZ182" s="99"/>
      <c r="DA182" s="99"/>
      <c r="DB182" s="99"/>
      <c r="DC182" s="99"/>
      <c r="DD182" s="99"/>
      <c r="DE182" s="99"/>
      <c r="DF182" s="99"/>
      <c r="DG182" s="99"/>
      <c r="DH182" s="99"/>
      <c r="DI182" s="99"/>
      <c r="DJ182" s="99"/>
      <c r="DK182" s="99"/>
      <c r="DL182" s="99"/>
      <c r="DM182" s="99"/>
      <c r="DN182" s="99"/>
      <c r="DO182" s="99"/>
      <c r="DP182" s="99"/>
      <c r="DQ182" s="99"/>
      <c r="DR182" s="99"/>
      <c r="DS182" s="99"/>
      <c r="DT182" s="99"/>
      <c r="DU182" s="99"/>
      <c r="DV182" s="99"/>
      <c r="DW182" s="99"/>
      <c r="DX182" s="99"/>
      <c r="DY182" s="99"/>
      <c r="DZ182" s="99"/>
      <c r="EA182" s="99"/>
      <c r="EB182" s="99"/>
      <c r="EC182" s="99"/>
      <c r="ED182" s="99"/>
      <c r="EE182" s="99"/>
      <c r="EF182" s="99"/>
      <c r="EG182" s="99"/>
      <c r="EH182" s="99"/>
      <c r="EI182" s="99"/>
      <c r="EJ182" s="99"/>
      <c r="EK182" s="99"/>
      <c r="EL182" s="99"/>
      <c r="EM182" s="99"/>
      <c r="EN182" s="99"/>
      <c r="EO182" s="99"/>
      <c r="EP182" s="99"/>
      <c r="EQ182" s="99"/>
      <c r="ER182" s="99"/>
      <c r="ES182" s="99"/>
      <c r="ET182" s="99"/>
      <c r="EU182" s="99"/>
      <c r="EV182" s="99"/>
      <c r="EW182" s="99"/>
      <c r="EX182" s="99"/>
      <c r="EY182" s="99"/>
      <c r="EZ182" s="99"/>
      <c r="FA182" s="99"/>
      <c r="FB182" s="99"/>
      <c r="FC182" s="99"/>
      <c r="FD182" s="99"/>
      <c r="FE182" s="99"/>
      <c r="FF182" s="99"/>
      <c r="FG182" s="99"/>
      <c r="FH182" s="99"/>
      <c r="FI182" s="99"/>
      <c r="FJ182" s="99"/>
      <c r="FK182" s="99"/>
    </row>
    <row r="183" spans="3:167" x14ac:dyDescent="0.25">
      <c r="C183" s="10"/>
      <c r="D183" s="10"/>
      <c r="E183" s="11"/>
      <c r="F183" s="15"/>
      <c r="J183" s="99">
        <v>180</v>
      </c>
      <c r="K183" s="16"/>
      <c r="L183" s="16"/>
      <c r="M183" s="16"/>
      <c r="N183" s="16"/>
      <c r="O183" s="16"/>
      <c r="P183" s="16"/>
      <c r="Q183" s="16"/>
      <c r="R183" s="16"/>
      <c r="S183" s="16"/>
      <c r="T183" s="16"/>
      <c r="U183" s="14">
        <f>SUM(K183:T183)</f>
        <v>0</v>
      </c>
      <c r="V183" s="14"/>
      <c r="X183" s="75" t="str" cm="1">
        <f t="array" ref="X183">MID(";"&amp;'CASE DATA'!$F183&amp;";",SMALL(IF(ISERROR(SEARCH(MID(";"&amp;'CASE DATA'!$F183&amp;";",ROW($1:$99),1),";")),"",ROW($1:$99)+1),COLUMN(A183)),SMALL(IF(ISERROR(SEARCH(MID(";"&amp;'CASE DATA'!$F183&amp;";",ROW($1:$99),1),";")),"",ROW($1:$99)),COLUMN(A182)+1)-SMALL(IF(ISERROR(SEARCH(MID(";"&amp;'CASE DATA'!$F183&amp;";",ROW($1:$99),1),";")),"",ROW($1:$99)),COLUMN(A182))-1)</f>
        <v/>
      </c>
      <c r="Y183" s="75" t="str" cm="1">
        <f t="array" ref="Y183">MID(";"&amp;'CASE DATA'!$F183&amp;";",SMALL(IF(ISERROR(SEARCH(MID(";"&amp;'CASE DATA'!$F183&amp;";",ROW($1:$99),1),";")),"",ROW($1:$99)+1),COLUMN(B183)),SMALL(IF(ISERROR(SEARCH(MID(";"&amp;'CASE DATA'!$F183&amp;";",ROW($1:$99),1),";")),"",ROW($1:$99)),COLUMN(B182)+1)-SMALL(IF(ISERROR(SEARCH(MID(";"&amp;'CASE DATA'!$F183&amp;";",ROW($1:$99),1),";")),"",ROW($1:$99)),COLUMN(B182))-1)</f>
        <v/>
      </c>
      <c r="Z183" s="75" t="str" cm="1">
        <f t="array" ref="Z183">MID(";"&amp;'CASE DATA'!$F183&amp;";",SMALL(IF(ISERROR(SEARCH(MID(";"&amp;'CASE DATA'!$F183&amp;";",ROW($1:$99),1),";")),"",ROW($1:$99)+1),COLUMN(C183)),SMALL(IF(ISERROR(SEARCH(MID(";"&amp;'CASE DATA'!$F183&amp;";",ROW($1:$99),1),";")),"",ROW($1:$99)),COLUMN(C182)+1)-SMALL(IF(ISERROR(SEARCH(MID(";"&amp;'CASE DATA'!$F183&amp;";",ROW($1:$99),1),";")),"",ROW($1:$99)),COLUMN(C182))-1)</f>
        <v/>
      </c>
      <c r="AA183" s="75" t="str" cm="1">
        <f t="array" ref="AA183">MID(";"&amp;'CASE DATA'!$F183&amp;";",SMALL(IF(ISERROR(SEARCH(MID(";"&amp;'CASE DATA'!$F183&amp;";",ROW($1:$99),1),";")),"",ROW($1:$99)+1),COLUMN(D183)),SMALL(IF(ISERROR(SEARCH(MID(";"&amp;'CASE DATA'!$F183&amp;";",ROW($1:$99),1),";")),"",ROW($1:$99)),COLUMN(D182)+1)-SMALL(IF(ISERROR(SEARCH(MID(";"&amp;'CASE DATA'!$F183&amp;";",ROW($1:$99),1),";")),"",ROW($1:$99)),COLUMN(D182))-1)</f>
        <v/>
      </c>
      <c r="AB183" s="75" t="str" cm="1">
        <f t="array" ref="AB183">MID(";"&amp;'CASE DATA'!$F183&amp;";",SMALL(IF(ISERROR(SEARCH(MID(";"&amp;'CASE DATA'!$F183&amp;";",ROW($1:$99),1),";")),"",ROW($1:$99)+1),COLUMN(E183)),SMALL(IF(ISERROR(SEARCH(MID(";"&amp;'CASE DATA'!$F183&amp;";",ROW($1:$99),1),";")),"",ROW($1:$99)),COLUMN(E182)+1)-SMALL(IF(ISERROR(SEARCH(MID(";"&amp;'CASE DATA'!$F183&amp;";",ROW($1:$99),1),";")),"",ROW($1:$99)),COLUMN(E182))-1)</f>
        <v/>
      </c>
      <c r="AC183" s="75" t="str" cm="1">
        <f t="array" ref="AC183">MID(";"&amp;'CASE DATA'!$F183&amp;";",SMALL(IF(ISERROR(SEARCH(MID(";"&amp;'CASE DATA'!$F183&amp;";",ROW($1:$99),1),";")),"",ROW($1:$99)+1),COLUMN(F183)),SMALL(IF(ISERROR(SEARCH(MID(";"&amp;'CASE DATA'!$F183&amp;";",ROW($1:$99),1),";")),"",ROW($1:$99)),COLUMN(F182)+1)-SMALL(IF(ISERROR(SEARCH(MID(";"&amp;'CASE DATA'!$F183&amp;";",ROW($1:$99),1),";")),"",ROW($1:$99)),COLUMN(F182))-1)</f>
        <v/>
      </c>
      <c r="AD183" s="75" t="str" cm="1">
        <f t="array" ref="AD183">MID(";"&amp;'CASE DATA'!$F183&amp;";",SMALL(IF(ISERROR(SEARCH(MID(";"&amp;'CASE DATA'!$F183&amp;";",ROW($1:$99),1),";")),"",ROW($1:$99)+1),COLUMN(G183)),SMALL(IF(ISERROR(SEARCH(MID(";"&amp;'CASE DATA'!$F183&amp;";",ROW($1:$99),1),";")),"",ROW($1:$99)),COLUMN(G182)+1)-SMALL(IF(ISERROR(SEARCH(MID(";"&amp;'CASE DATA'!$F183&amp;";",ROW($1:$99),1),";")),"",ROW($1:$99)),COLUMN(G182))-1)</f>
        <v/>
      </c>
      <c r="AE183" s="75" t="str" cm="1">
        <f t="array" ref="AE183">MID(";"&amp;'CASE DATA'!$F183&amp;";",SMALL(IF(ISERROR(SEARCH(MID(";"&amp;'CASE DATA'!$F183&amp;";",ROW($1:$99),1),";")),"",ROW($1:$99)+1),COLUMN(H183)),SMALL(IF(ISERROR(SEARCH(MID(";"&amp;'CASE DATA'!$F183&amp;";",ROW($1:$99),1),";")),"",ROW($1:$99)),COLUMN(H182)+1)-SMALL(IF(ISERROR(SEARCH(MID(";"&amp;'CASE DATA'!$F183&amp;";",ROW($1:$99),1),";")),"",ROW($1:$99)),COLUMN(H182))-1)</f>
        <v/>
      </c>
      <c r="AF183" s="75" t="str" cm="1">
        <f t="array" ref="AF183">MID(";"&amp;'CASE DATA'!$F183&amp;";",SMALL(IF(ISERROR(SEARCH(MID(";"&amp;'CASE DATA'!$F183&amp;";",ROW($1:$99),1),";")),"",ROW($1:$99)+1),COLUMN(I183)),SMALL(IF(ISERROR(SEARCH(MID(";"&amp;'CASE DATA'!$F183&amp;";",ROW($1:$99),1),";")),"",ROW($1:$99)),COLUMN(I182)+1)-SMALL(IF(ISERROR(SEARCH(MID(";"&amp;'CASE DATA'!$F183&amp;";",ROW($1:$99),1),";")),"",ROW($1:$99)),COLUMN(I182))-1)</f>
        <v/>
      </c>
      <c r="AG183" s="75" t="str" cm="1">
        <f t="array" ref="AG183">MID(";"&amp;'CASE DATA'!$F183&amp;";",SMALL(IF(ISERROR(SEARCH(MID(";"&amp;'CASE DATA'!$F183&amp;";",ROW($1:$99),1),";")),"",ROW($1:$99)+1),COLUMN(K183)),SMALL(IF(ISERROR(SEARCH(MID(";"&amp;'CASE DATA'!$F183&amp;";",ROW($1:$99),1),";")),"",ROW($1:$99)),COLUMN(K182)+1)-SMALL(IF(ISERROR(SEARCH(MID(";"&amp;'CASE DATA'!$F183&amp;";",ROW($1:$99),1),";")),"",ROW($1:$99)),COLUMN(K182))-1)</f>
        <v/>
      </c>
      <c r="AH183" s="75" t="str" cm="1">
        <f t="array" ref="AH183">MID(";"&amp;'CASE DATA'!$F183&amp;";",SMALL(IF(ISERROR(SEARCH(MID(";"&amp;'CASE DATA'!$F183&amp;";",ROW($1:$99),1),";")),"",ROW($1:$99)+1),COLUMN(L183)),SMALL(IF(ISERROR(SEARCH(MID(";"&amp;'CASE DATA'!$F183&amp;";",ROW($1:$99),1),";")),"",ROW($1:$99)),COLUMN(L182)+1)-SMALL(IF(ISERROR(SEARCH(MID(";"&amp;'CASE DATA'!$F183&amp;";",ROW($1:$99),1),";")),"",ROW($1:$99)),COLUMN(L182))-1)</f>
        <v/>
      </c>
      <c r="AI183" s="75" t="str" cm="1">
        <f t="array" ref="AI183">MID(";"&amp;'CASE DATA'!$F183&amp;";",SMALL(IF(ISERROR(SEARCH(MID(";"&amp;'CASE DATA'!$F183&amp;";",ROW($1:$99),1),";")),"",ROW($1:$99)+1),COLUMN(M183)),SMALL(IF(ISERROR(SEARCH(MID(";"&amp;'CASE DATA'!$F183&amp;";",ROW($1:$99),1),";")),"",ROW($1:$99)),COLUMN(M182)+1)-SMALL(IF(ISERROR(SEARCH(MID(";"&amp;'CASE DATA'!$F183&amp;";",ROW($1:$99),1),";")),"",ROW($1:$99)),COLUMN(M182))-1)</f>
        <v/>
      </c>
      <c r="BO183" s="99"/>
      <c r="BP183" s="99"/>
      <c r="BQ183" s="99"/>
      <c r="BR183" s="99"/>
      <c r="BS183" s="99"/>
      <c r="BT183" s="99"/>
      <c r="BU183" s="99"/>
      <c r="BV183" s="99"/>
      <c r="BW183" s="99"/>
      <c r="BX183" s="99"/>
      <c r="BY183" s="99"/>
      <c r="BZ183" s="99"/>
      <c r="CA183" s="99"/>
      <c r="CB183" s="99"/>
      <c r="CC183" s="99"/>
      <c r="CD183" s="99"/>
      <c r="CE183" s="99"/>
      <c r="CF183" s="99"/>
      <c r="CG183" s="99"/>
      <c r="CH183" s="99"/>
      <c r="CI183" s="99"/>
      <c r="CJ183" s="99"/>
      <c r="CK183" s="99"/>
      <c r="CL183" s="99"/>
      <c r="CM183" s="99"/>
      <c r="CN183" s="99"/>
      <c r="CO183" s="99"/>
      <c r="CP183" s="99"/>
      <c r="CQ183" s="99"/>
      <c r="CR183" s="99"/>
      <c r="CS183" s="99"/>
      <c r="CT183" s="99"/>
      <c r="CU183" s="99"/>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99"/>
      <c r="EE183" s="99"/>
      <c r="EF183" s="99"/>
      <c r="EG183" s="99"/>
      <c r="EH183" s="99"/>
      <c r="EI183" s="99"/>
      <c r="EJ183" s="99"/>
      <c r="EK183" s="99"/>
      <c r="EL183" s="99"/>
      <c r="EM183" s="99"/>
      <c r="EN183" s="99"/>
      <c r="EO183" s="99"/>
      <c r="EP183" s="99"/>
      <c r="EQ183" s="99"/>
      <c r="ER183" s="99"/>
      <c r="ES183" s="99"/>
      <c r="ET183" s="99"/>
      <c r="EU183" s="99"/>
      <c r="EV183" s="99"/>
      <c r="EW183" s="99"/>
      <c r="EX183" s="99"/>
      <c r="EY183" s="99"/>
      <c r="EZ183" s="99"/>
      <c r="FA183" s="99"/>
      <c r="FB183" s="99"/>
      <c r="FC183" s="99"/>
      <c r="FD183" s="99"/>
      <c r="FE183" s="99"/>
      <c r="FF183" s="99"/>
      <c r="FG183" s="99"/>
      <c r="FH183" s="99"/>
      <c r="FI183" s="99"/>
      <c r="FJ183" s="99"/>
      <c r="FK183" s="99"/>
    </row>
    <row r="184" spans="3:167" x14ac:dyDescent="0.25">
      <c r="C184" s="10"/>
      <c r="D184" s="10"/>
      <c r="E184" s="11"/>
      <c r="F184" s="15"/>
      <c r="J184" s="99">
        <v>181</v>
      </c>
      <c r="K184" s="16"/>
      <c r="L184" s="16"/>
      <c r="M184" s="16"/>
      <c r="N184" s="16"/>
      <c r="O184" s="16"/>
      <c r="P184" s="16"/>
      <c r="Q184" s="16"/>
      <c r="R184" s="16"/>
      <c r="S184" s="16"/>
      <c r="T184" s="16"/>
      <c r="U184" s="14">
        <f>SUM(K184:T184)</f>
        <v>0</v>
      </c>
      <c r="V184" s="14"/>
      <c r="X184" s="75" t="str" cm="1">
        <f t="array" ref="X184">MID(";"&amp;'CASE DATA'!$F184&amp;";",SMALL(IF(ISERROR(SEARCH(MID(";"&amp;'CASE DATA'!$F184&amp;";",ROW($1:$99),1),";")),"",ROW($1:$99)+1),COLUMN(A184)),SMALL(IF(ISERROR(SEARCH(MID(";"&amp;'CASE DATA'!$F184&amp;";",ROW($1:$99),1),";")),"",ROW($1:$99)),COLUMN(A183)+1)-SMALL(IF(ISERROR(SEARCH(MID(";"&amp;'CASE DATA'!$F184&amp;";",ROW($1:$99),1),";")),"",ROW($1:$99)),COLUMN(A183))-1)</f>
        <v/>
      </c>
      <c r="Y184" s="75" t="str" cm="1">
        <f t="array" ref="Y184">MID(";"&amp;'CASE DATA'!$F184&amp;";",SMALL(IF(ISERROR(SEARCH(MID(";"&amp;'CASE DATA'!$F184&amp;";",ROW($1:$99),1),";")),"",ROW($1:$99)+1),COLUMN(B184)),SMALL(IF(ISERROR(SEARCH(MID(";"&amp;'CASE DATA'!$F184&amp;";",ROW($1:$99),1),";")),"",ROW($1:$99)),COLUMN(B183)+1)-SMALL(IF(ISERROR(SEARCH(MID(";"&amp;'CASE DATA'!$F184&amp;";",ROW($1:$99),1),";")),"",ROW($1:$99)),COLUMN(B183))-1)</f>
        <v/>
      </c>
      <c r="Z184" s="75" t="str" cm="1">
        <f t="array" ref="Z184">MID(";"&amp;'CASE DATA'!$F184&amp;";",SMALL(IF(ISERROR(SEARCH(MID(";"&amp;'CASE DATA'!$F184&amp;";",ROW($1:$99),1),";")),"",ROW($1:$99)+1),COLUMN(C184)),SMALL(IF(ISERROR(SEARCH(MID(";"&amp;'CASE DATA'!$F184&amp;";",ROW($1:$99),1),";")),"",ROW($1:$99)),COLUMN(C183)+1)-SMALL(IF(ISERROR(SEARCH(MID(";"&amp;'CASE DATA'!$F184&amp;";",ROW($1:$99),1),";")),"",ROW($1:$99)),COLUMN(C183))-1)</f>
        <v/>
      </c>
      <c r="AA184" s="75" t="str" cm="1">
        <f t="array" ref="AA184">MID(";"&amp;'CASE DATA'!$F184&amp;";",SMALL(IF(ISERROR(SEARCH(MID(";"&amp;'CASE DATA'!$F184&amp;";",ROW($1:$99),1),";")),"",ROW($1:$99)+1),COLUMN(D184)),SMALL(IF(ISERROR(SEARCH(MID(";"&amp;'CASE DATA'!$F184&amp;";",ROW($1:$99),1),";")),"",ROW($1:$99)),COLUMN(D183)+1)-SMALL(IF(ISERROR(SEARCH(MID(";"&amp;'CASE DATA'!$F184&amp;";",ROW($1:$99),1),";")),"",ROW($1:$99)),COLUMN(D183))-1)</f>
        <v/>
      </c>
      <c r="AB184" s="75" t="str" cm="1">
        <f t="array" ref="AB184">MID(";"&amp;'CASE DATA'!$F184&amp;";",SMALL(IF(ISERROR(SEARCH(MID(";"&amp;'CASE DATA'!$F184&amp;";",ROW($1:$99),1),";")),"",ROW($1:$99)+1),COLUMN(E184)),SMALL(IF(ISERROR(SEARCH(MID(";"&amp;'CASE DATA'!$F184&amp;";",ROW($1:$99),1),";")),"",ROW($1:$99)),COLUMN(E183)+1)-SMALL(IF(ISERROR(SEARCH(MID(";"&amp;'CASE DATA'!$F184&amp;";",ROW($1:$99),1),";")),"",ROW($1:$99)),COLUMN(E183))-1)</f>
        <v/>
      </c>
      <c r="AC184" s="75" t="str" cm="1">
        <f t="array" ref="AC184">MID(";"&amp;'CASE DATA'!$F184&amp;";",SMALL(IF(ISERROR(SEARCH(MID(";"&amp;'CASE DATA'!$F184&amp;";",ROW($1:$99),1),";")),"",ROW($1:$99)+1),COLUMN(F184)),SMALL(IF(ISERROR(SEARCH(MID(";"&amp;'CASE DATA'!$F184&amp;";",ROW($1:$99),1),";")),"",ROW($1:$99)),COLUMN(F183)+1)-SMALL(IF(ISERROR(SEARCH(MID(";"&amp;'CASE DATA'!$F184&amp;";",ROW($1:$99),1),";")),"",ROW($1:$99)),COLUMN(F183))-1)</f>
        <v/>
      </c>
      <c r="AD184" s="75" t="str" cm="1">
        <f t="array" ref="AD184">MID(";"&amp;'CASE DATA'!$F184&amp;";",SMALL(IF(ISERROR(SEARCH(MID(";"&amp;'CASE DATA'!$F184&amp;";",ROW($1:$99),1),";")),"",ROW($1:$99)+1),COLUMN(G184)),SMALL(IF(ISERROR(SEARCH(MID(";"&amp;'CASE DATA'!$F184&amp;";",ROW($1:$99),1),";")),"",ROW($1:$99)),COLUMN(G183)+1)-SMALL(IF(ISERROR(SEARCH(MID(";"&amp;'CASE DATA'!$F184&amp;";",ROW($1:$99),1),";")),"",ROW($1:$99)),COLUMN(G183))-1)</f>
        <v/>
      </c>
      <c r="AE184" s="75" t="str" cm="1">
        <f t="array" ref="AE184">MID(";"&amp;'CASE DATA'!$F184&amp;";",SMALL(IF(ISERROR(SEARCH(MID(";"&amp;'CASE DATA'!$F184&amp;";",ROW($1:$99),1),";")),"",ROW($1:$99)+1),COLUMN(H184)),SMALL(IF(ISERROR(SEARCH(MID(";"&amp;'CASE DATA'!$F184&amp;";",ROW($1:$99),1),";")),"",ROW($1:$99)),COLUMN(H183)+1)-SMALL(IF(ISERROR(SEARCH(MID(";"&amp;'CASE DATA'!$F184&amp;";",ROW($1:$99),1),";")),"",ROW($1:$99)),COLUMN(H183))-1)</f>
        <v/>
      </c>
      <c r="AF184" s="75" t="str" cm="1">
        <f t="array" ref="AF184">MID(";"&amp;'CASE DATA'!$F184&amp;";",SMALL(IF(ISERROR(SEARCH(MID(";"&amp;'CASE DATA'!$F184&amp;";",ROW($1:$99),1),";")),"",ROW($1:$99)+1),COLUMN(I184)),SMALL(IF(ISERROR(SEARCH(MID(";"&amp;'CASE DATA'!$F184&amp;";",ROW($1:$99),1),";")),"",ROW($1:$99)),COLUMN(I183)+1)-SMALL(IF(ISERROR(SEARCH(MID(";"&amp;'CASE DATA'!$F184&amp;";",ROW($1:$99),1),";")),"",ROW($1:$99)),COLUMN(I183))-1)</f>
        <v/>
      </c>
      <c r="AG184" s="75" t="str" cm="1">
        <f t="array" ref="AG184">MID(";"&amp;'CASE DATA'!$F184&amp;";",SMALL(IF(ISERROR(SEARCH(MID(";"&amp;'CASE DATA'!$F184&amp;";",ROW($1:$99),1),";")),"",ROW($1:$99)+1),COLUMN(K184)),SMALL(IF(ISERROR(SEARCH(MID(";"&amp;'CASE DATA'!$F184&amp;";",ROW($1:$99),1),";")),"",ROW($1:$99)),COLUMN(K183)+1)-SMALL(IF(ISERROR(SEARCH(MID(";"&amp;'CASE DATA'!$F184&amp;";",ROW($1:$99),1),";")),"",ROW($1:$99)),COLUMN(K183))-1)</f>
        <v/>
      </c>
      <c r="AH184" s="75" t="str" cm="1">
        <f t="array" ref="AH184">MID(";"&amp;'CASE DATA'!$F184&amp;";",SMALL(IF(ISERROR(SEARCH(MID(";"&amp;'CASE DATA'!$F184&amp;";",ROW($1:$99),1),";")),"",ROW($1:$99)+1),COLUMN(L184)),SMALL(IF(ISERROR(SEARCH(MID(";"&amp;'CASE DATA'!$F184&amp;";",ROW($1:$99),1),";")),"",ROW($1:$99)),COLUMN(L183)+1)-SMALL(IF(ISERROR(SEARCH(MID(";"&amp;'CASE DATA'!$F184&amp;";",ROW($1:$99),1),";")),"",ROW($1:$99)),COLUMN(L183))-1)</f>
        <v/>
      </c>
      <c r="AI184" s="75" t="str" cm="1">
        <f t="array" ref="AI184">MID(";"&amp;'CASE DATA'!$F184&amp;";",SMALL(IF(ISERROR(SEARCH(MID(";"&amp;'CASE DATA'!$F184&amp;";",ROW($1:$99),1),";")),"",ROW($1:$99)+1),COLUMN(M184)),SMALL(IF(ISERROR(SEARCH(MID(";"&amp;'CASE DATA'!$F184&amp;";",ROW($1:$99),1),";")),"",ROW($1:$99)),COLUMN(M183)+1)-SMALL(IF(ISERROR(SEARCH(MID(";"&amp;'CASE DATA'!$F184&amp;";",ROW($1:$99),1),";")),"",ROW($1:$99)),COLUMN(M183))-1)</f>
        <v/>
      </c>
      <c r="BO184" s="99"/>
      <c r="BP184" s="99"/>
      <c r="BQ184" s="99"/>
      <c r="BR184" s="99"/>
      <c r="BS184" s="99"/>
      <c r="BT184" s="99"/>
      <c r="BU184" s="99"/>
      <c r="BV184" s="99"/>
      <c r="BW184" s="99"/>
      <c r="BX184" s="99"/>
      <c r="BY184" s="99"/>
      <c r="BZ184" s="99"/>
      <c r="CA184" s="99"/>
      <c r="CB184" s="99"/>
      <c r="CC184" s="99"/>
      <c r="CD184" s="99"/>
      <c r="CE184" s="99"/>
      <c r="CF184" s="99"/>
      <c r="CG184" s="99"/>
      <c r="CH184" s="99"/>
      <c r="CI184" s="99"/>
      <c r="CJ184" s="99"/>
      <c r="CK184" s="99"/>
      <c r="CL184" s="99"/>
      <c r="CM184" s="99"/>
      <c r="CN184" s="99"/>
      <c r="CO184" s="99"/>
      <c r="CP184" s="99"/>
      <c r="CQ184" s="99"/>
      <c r="CR184" s="99"/>
      <c r="CS184" s="99"/>
      <c r="CT184" s="99"/>
      <c r="CU184" s="99"/>
      <c r="CV184" s="99"/>
      <c r="CW184" s="99"/>
      <c r="CX184" s="99"/>
      <c r="CY184" s="99"/>
      <c r="CZ184" s="99"/>
      <c r="DA184" s="99"/>
      <c r="DB184" s="99"/>
      <c r="DC184" s="99"/>
      <c r="DD184" s="99"/>
      <c r="DE184" s="99"/>
      <c r="DF184" s="99"/>
      <c r="DG184" s="99"/>
      <c r="DH184" s="99"/>
      <c r="DI184" s="99"/>
      <c r="DJ184" s="99"/>
      <c r="DK184" s="99"/>
      <c r="DL184" s="99"/>
      <c r="DM184" s="99"/>
      <c r="DN184" s="99"/>
      <c r="DO184" s="99"/>
      <c r="DP184" s="99"/>
      <c r="DQ184" s="99"/>
      <c r="DR184" s="99"/>
      <c r="DS184" s="99"/>
      <c r="DT184" s="99"/>
      <c r="DU184" s="99"/>
      <c r="DV184" s="99"/>
      <c r="DW184" s="99"/>
      <c r="DX184" s="99"/>
      <c r="DY184" s="99"/>
      <c r="DZ184" s="99"/>
      <c r="EA184" s="99"/>
      <c r="EB184" s="99"/>
      <c r="EC184" s="99"/>
      <c r="ED184" s="99"/>
      <c r="EE184" s="99"/>
      <c r="EF184" s="99"/>
      <c r="EG184" s="99"/>
      <c r="EH184" s="99"/>
      <c r="EI184" s="99"/>
      <c r="EJ184" s="99"/>
      <c r="EK184" s="99"/>
      <c r="EL184" s="99"/>
      <c r="EM184" s="99"/>
      <c r="EN184" s="99"/>
      <c r="EO184" s="99"/>
      <c r="EP184" s="99"/>
      <c r="EQ184" s="99"/>
      <c r="ER184" s="99"/>
      <c r="ES184" s="99"/>
      <c r="ET184" s="99"/>
      <c r="EU184" s="99"/>
      <c r="EV184" s="99"/>
      <c r="EW184" s="99"/>
      <c r="EX184" s="99"/>
      <c r="EY184" s="99"/>
      <c r="EZ184" s="99"/>
      <c r="FA184" s="99"/>
      <c r="FB184" s="99"/>
      <c r="FC184" s="99"/>
      <c r="FD184" s="99"/>
      <c r="FE184" s="99"/>
      <c r="FF184" s="99"/>
      <c r="FG184" s="99"/>
      <c r="FH184" s="99"/>
      <c r="FI184" s="99"/>
      <c r="FJ184" s="99"/>
      <c r="FK184" s="99"/>
    </row>
    <row r="185" spans="3:167" x14ac:dyDescent="0.25">
      <c r="C185" s="10"/>
      <c r="D185" s="10"/>
      <c r="E185" s="11"/>
      <c r="F185" s="15"/>
      <c r="J185" s="99">
        <v>182</v>
      </c>
      <c r="K185" s="16"/>
      <c r="L185" s="16"/>
      <c r="M185" s="16"/>
      <c r="N185" s="16"/>
      <c r="O185" s="16"/>
      <c r="P185" s="16"/>
      <c r="Q185" s="16"/>
      <c r="R185" s="16"/>
      <c r="S185" s="16"/>
      <c r="T185" s="16"/>
      <c r="U185" s="14">
        <f>SUM(K185:T185)</f>
        <v>0</v>
      </c>
      <c r="V185" s="14"/>
      <c r="X185" s="75" t="str" cm="1">
        <f t="array" ref="X185">MID(";"&amp;'CASE DATA'!$F185&amp;";",SMALL(IF(ISERROR(SEARCH(MID(";"&amp;'CASE DATA'!$F185&amp;";",ROW($1:$99),1),";")),"",ROW($1:$99)+1),COLUMN(A185)),SMALL(IF(ISERROR(SEARCH(MID(";"&amp;'CASE DATA'!$F185&amp;";",ROW($1:$99),1),";")),"",ROW($1:$99)),COLUMN(A184)+1)-SMALL(IF(ISERROR(SEARCH(MID(";"&amp;'CASE DATA'!$F185&amp;";",ROW($1:$99),1),";")),"",ROW($1:$99)),COLUMN(A184))-1)</f>
        <v/>
      </c>
      <c r="Y185" s="75" t="str" cm="1">
        <f t="array" ref="Y185">MID(";"&amp;'CASE DATA'!$F185&amp;";",SMALL(IF(ISERROR(SEARCH(MID(";"&amp;'CASE DATA'!$F185&amp;";",ROW($1:$99),1),";")),"",ROW($1:$99)+1),COLUMN(B185)),SMALL(IF(ISERROR(SEARCH(MID(";"&amp;'CASE DATA'!$F185&amp;";",ROW($1:$99),1),";")),"",ROW($1:$99)),COLUMN(B184)+1)-SMALL(IF(ISERROR(SEARCH(MID(";"&amp;'CASE DATA'!$F185&amp;";",ROW($1:$99),1),";")),"",ROW($1:$99)),COLUMN(B184))-1)</f>
        <v/>
      </c>
      <c r="Z185" s="75" t="str" cm="1">
        <f t="array" ref="Z185">MID(";"&amp;'CASE DATA'!$F185&amp;";",SMALL(IF(ISERROR(SEARCH(MID(";"&amp;'CASE DATA'!$F185&amp;";",ROW($1:$99),1),";")),"",ROW($1:$99)+1),COLUMN(C185)),SMALL(IF(ISERROR(SEARCH(MID(";"&amp;'CASE DATA'!$F185&amp;";",ROW($1:$99),1),";")),"",ROW($1:$99)),COLUMN(C184)+1)-SMALL(IF(ISERROR(SEARCH(MID(";"&amp;'CASE DATA'!$F185&amp;";",ROW($1:$99),1),";")),"",ROW($1:$99)),COLUMN(C184))-1)</f>
        <v/>
      </c>
      <c r="AA185" s="75" t="str" cm="1">
        <f t="array" ref="AA185">MID(";"&amp;'CASE DATA'!$F185&amp;";",SMALL(IF(ISERROR(SEARCH(MID(";"&amp;'CASE DATA'!$F185&amp;";",ROW($1:$99),1),";")),"",ROW($1:$99)+1),COLUMN(D185)),SMALL(IF(ISERROR(SEARCH(MID(";"&amp;'CASE DATA'!$F185&amp;";",ROW($1:$99),1),";")),"",ROW($1:$99)),COLUMN(D184)+1)-SMALL(IF(ISERROR(SEARCH(MID(";"&amp;'CASE DATA'!$F185&amp;";",ROW($1:$99),1),";")),"",ROW($1:$99)),COLUMN(D184))-1)</f>
        <v/>
      </c>
      <c r="AB185" s="75" t="str" cm="1">
        <f t="array" ref="AB185">MID(";"&amp;'CASE DATA'!$F185&amp;";",SMALL(IF(ISERROR(SEARCH(MID(";"&amp;'CASE DATA'!$F185&amp;";",ROW($1:$99),1),";")),"",ROW($1:$99)+1),COLUMN(E185)),SMALL(IF(ISERROR(SEARCH(MID(";"&amp;'CASE DATA'!$F185&amp;";",ROW($1:$99),1),";")),"",ROW($1:$99)),COLUMN(E184)+1)-SMALL(IF(ISERROR(SEARCH(MID(";"&amp;'CASE DATA'!$F185&amp;";",ROW($1:$99),1),";")),"",ROW($1:$99)),COLUMN(E184))-1)</f>
        <v/>
      </c>
      <c r="AC185" s="75" t="str" cm="1">
        <f t="array" ref="AC185">MID(";"&amp;'CASE DATA'!$F185&amp;";",SMALL(IF(ISERROR(SEARCH(MID(";"&amp;'CASE DATA'!$F185&amp;";",ROW($1:$99),1),";")),"",ROW($1:$99)+1),COLUMN(F185)),SMALL(IF(ISERROR(SEARCH(MID(";"&amp;'CASE DATA'!$F185&amp;";",ROW($1:$99),1),";")),"",ROW($1:$99)),COLUMN(F184)+1)-SMALL(IF(ISERROR(SEARCH(MID(";"&amp;'CASE DATA'!$F185&amp;";",ROW($1:$99),1),";")),"",ROW($1:$99)),COLUMN(F184))-1)</f>
        <v/>
      </c>
      <c r="AD185" s="75" t="str" cm="1">
        <f t="array" ref="AD185">MID(";"&amp;'CASE DATA'!$F185&amp;";",SMALL(IF(ISERROR(SEARCH(MID(";"&amp;'CASE DATA'!$F185&amp;";",ROW($1:$99),1),";")),"",ROW($1:$99)+1),COLUMN(G185)),SMALL(IF(ISERROR(SEARCH(MID(";"&amp;'CASE DATA'!$F185&amp;";",ROW($1:$99),1),";")),"",ROW($1:$99)),COLUMN(G184)+1)-SMALL(IF(ISERROR(SEARCH(MID(";"&amp;'CASE DATA'!$F185&amp;";",ROW($1:$99),1),";")),"",ROW($1:$99)),COLUMN(G184))-1)</f>
        <v/>
      </c>
      <c r="AE185" s="75" t="str" cm="1">
        <f t="array" ref="AE185">MID(";"&amp;'CASE DATA'!$F185&amp;";",SMALL(IF(ISERROR(SEARCH(MID(";"&amp;'CASE DATA'!$F185&amp;";",ROW($1:$99),1),";")),"",ROW($1:$99)+1),COLUMN(H185)),SMALL(IF(ISERROR(SEARCH(MID(";"&amp;'CASE DATA'!$F185&amp;";",ROW($1:$99),1),";")),"",ROW($1:$99)),COLUMN(H184)+1)-SMALL(IF(ISERROR(SEARCH(MID(";"&amp;'CASE DATA'!$F185&amp;";",ROW($1:$99),1),";")),"",ROW($1:$99)),COLUMN(H184))-1)</f>
        <v/>
      </c>
      <c r="AF185" s="75" t="str" cm="1">
        <f t="array" ref="AF185">MID(";"&amp;'CASE DATA'!$F185&amp;";",SMALL(IF(ISERROR(SEARCH(MID(";"&amp;'CASE DATA'!$F185&amp;";",ROW($1:$99),1),";")),"",ROW($1:$99)+1),COLUMN(I185)),SMALL(IF(ISERROR(SEARCH(MID(";"&amp;'CASE DATA'!$F185&amp;";",ROW($1:$99),1),";")),"",ROW($1:$99)),COLUMN(I184)+1)-SMALL(IF(ISERROR(SEARCH(MID(";"&amp;'CASE DATA'!$F185&amp;";",ROW($1:$99),1),";")),"",ROW($1:$99)),COLUMN(I184))-1)</f>
        <v/>
      </c>
      <c r="AG185" s="75" t="str" cm="1">
        <f t="array" ref="AG185">MID(";"&amp;'CASE DATA'!$F185&amp;";",SMALL(IF(ISERROR(SEARCH(MID(";"&amp;'CASE DATA'!$F185&amp;";",ROW($1:$99),1),";")),"",ROW($1:$99)+1),COLUMN(K185)),SMALL(IF(ISERROR(SEARCH(MID(";"&amp;'CASE DATA'!$F185&amp;";",ROW($1:$99),1),";")),"",ROW($1:$99)),COLUMN(K184)+1)-SMALL(IF(ISERROR(SEARCH(MID(";"&amp;'CASE DATA'!$F185&amp;";",ROW($1:$99),1),";")),"",ROW($1:$99)),COLUMN(K184))-1)</f>
        <v/>
      </c>
      <c r="AH185" s="75" t="str" cm="1">
        <f t="array" ref="AH185">MID(";"&amp;'CASE DATA'!$F185&amp;";",SMALL(IF(ISERROR(SEARCH(MID(";"&amp;'CASE DATA'!$F185&amp;";",ROW($1:$99),1),";")),"",ROW($1:$99)+1),COLUMN(L185)),SMALL(IF(ISERROR(SEARCH(MID(";"&amp;'CASE DATA'!$F185&amp;";",ROW($1:$99),1),";")),"",ROW($1:$99)),COLUMN(L184)+1)-SMALL(IF(ISERROR(SEARCH(MID(";"&amp;'CASE DATA'!$F185&amp;";",ROW($1:$99),1),";")),"",ROW($1:$99)),COLUMN(L184))-1)</f>
        <v/>
      </c>
      <c r="AI185" s="75" t="str" cm="1">
        <f t="array" ref="AI185">MID(";"&amp;'CASE DATA'!$F185&amp;";",SMALL(IF(ISERROR(SEARCH(MID(";"&amp;'CASE DATA'!$F185&amp;";",ROW($1:$99),1),";")),"",ROW($1:$99)+1),COLUMN(M185)),SMALL(IF(ISERROR(SEARCH(MID(";"&amp;'CASE DATA'!$F185&amp;";",ROW($1:$99),1),";")),"",ROW($1:$99)),COLUMN(M184)+1)-SMALL(IF(ISERROR(SEARCH(MID(";"&amp;'CASE DATA'!$F185&amp;";",ROW($1:$99),1),";")),"",ROW($1:$99)),COLUMN(M184))-1)</f>
        <v/>
      </c>
      <c r="BO185" s="99"/>
      <c r="BP185" s="99"/>
      <c r="BQ185" s="99"/>
      <c r="BR185" s="99"/>
      <c r="BS185" s="99"/>
      <c r="BT185" s="99"/>
      <c r="BU185" s="99"/>
      <c r="BV185" s="99"/>
      <c r="BW185" s="99"/>
      <c r="BX185" s="99"/>
      <c r="BY185" s="99"/>
      <c r="BZ185" s="99"/>
      <c r="CA185" s="99"/>
      <c r="CB185" s="99"/>
      <c r="CC185" s="99"/>
      <c r="CD185" s="99"/>
      <c r="CE185" s="99"/>
      <c r="CF185" s="99"/>
      <c r="CG185" s="99"/>
      <c r="CH185" s="99"/>
      <c r="CI185" s="99"/>
      <c r="CJ185" s="99"/>
      <c r="CK185" s="99"/>
      <c r="CL185" s="99"/>
      <c r="CM185" s="99"/>
      <c r="CN185" s="99"/>
      <c r="CO185" s="99"/>
      <c r="CP185" s="99"/>
      <c r="CQ185" s="99"/>
      <c r="CR185" s="99"/>
      <c r="CS185" s="99"/>
      <c r="CT185" s="99"/>
      <c r="CU185" s="99"/>
      <c r="CV185" s="99"/>
      <c r="CW185" s="99"/>
      <c r="CX185" s="99"/>
      <c r="CY185" s="99"/>
      <c r="CZ185" s="99"/>
      <c r="DA185" s="99"/>
      <c r="DB185" s="99"/>
      <c r="DC185" s="99"/>
      <c r="DD185" s="99"/>
      <c r="DE185" s="99"/>
      <c r="DF185" s="99"/>
      <c r="DG185" s="99"/>
      <c r="DH185" s="99"/>
      <c r="DI185" s="99"/>
      <c r="DJ185" s="99"/>
      <c r="DK185" s="99"/>
      <c r="DL185" s="99"/>
      <c r="DM185" s="99"/>
      <c r="DN185" s="99"/>
      <c r="DO185" s="99"/>
      <c r="DP185" s="99"/>
      <c r="DQ185" s="99"/>
      <c r="DR185" s="99"/>
      <c r="DS185" s="99"/>
      <c r="DT185" s="99"/>
      <c r="DU185" s="99"/>
      <c r="DV185" s="99"/>
      <c r="DW185" s="99"/>
      <c r="DX185" s="99"/>
      <c r="DY185" s="99"/>
      <c r="DZ185" s="99"/>
      <c r="EA185" s="99"/>
      <c r="EB185" s="99"/>
      <c r="EC185" s="99"/>
      <c r="ED185" s="99"/>
      <c r="EE185" s="99"/>
      <c r="EF185" s="99"/>
      <c r="EG185" s="99"/>
      <c r="EH185" s="99"/>
      <c r="EI185" s="99"/>
      <c r="EJ185" s="99"/>
      <c r="EK185" s="99"/>
      <c r="EL185" s="99"/>
      <c r="EM185" s="99"/>
      <c r="EN185" s="99"/>
      <c r="EO185" s="99"/>
      <c r="EP185" s="99"/>
      <c r="EQ185" s="99"/>
      <c r="ER185" s="99"/>
      <c r="ES185" s="99"/>
      <c r="ET185" s="99"/>
      <c r="EU185" s="99"/>
      <c r="EV185" s="99"/>
      <c r="EW185" s="99"/>
      <c r="EX185" s="99"/>
      <c r="EY185" s="99"/>
      <c r="EZ185" s="99"/>
      <c r="FA185" s="99"/>
      <c r="FB185" s="99"/>
      <c r="FC185" s="99"/>
      <c r="FD185" s="99"/>
      <c r="FE185" s="99"/>
      <c r="FF185" s="99"/>
      <c r="FG185" s="99"/>
      <c r="FH185" s="99"/>
      <c r="FI185" s="99"/>
      <c r="FJ185" s="99"/>
      <c r="FK185" s="99"/>
    </row>
    <row r="186" spans="3:167" x14ac:dyDescent="0.25">
      <c r="C186" s="10"/>
      <c r="D186" s="10"/>
      <c r="E186" s="11"/>
      <c r="F186" s="15"/>
      <c r="J186" s="99">
        <v>183</v>
      </c>
      <c r="K186" s="16"/>
      <c r="L186" s="16"/>
      <c r="M186" s="16"/>
      <c r="N186" s="16"/>
      <c r="O186" s="16"/>
      <c r="P186" s="16"/>
      <c r="Q186" s="16"/>
      <c r="R186" s="16"/>
      <c r="S186" s="16"/>
      <c r="T186" s="16"/>
      <c r="U186" s="14">
        <f>SUM(K186:T186)</f>
        <v>0</v>
      </c>
      <c r="V186" s="14"/>
      <c r="X186" s="75" t="str" cm="1">
        <f t="array" ref="X186">MID(";"&amp;'CASE DATA'!$F186&amp;";",SMALL(IF(ISERROR(SEARCH(MID(";"&amp;'CASE DATA'!$F186&amp;";",ROW($1:$99),1),";")),"",ROW($1:$99)+1),COLUMN(A186)),SMALL(IF(ISERROR(SEARCH(MID(";"&amp;'CASE DATA'!$F186&amp;";",ROW($1:$99),1),";")),"",ROW($1:$99)),COLUMN(A185)+1)-SMALL(IF(ISERROR(SEARCH(MID(";"&amp;'CASE DATA'!$F186&amp;";",ROW($1:$99),1),";")),"",ROW($1:$99)),COLUMN(A185))-1)</f>
        <v/>
      </c>
      <c r="Y186" s="75" t="str" cm="1">
        <f t="array" ref="Y186">MID(";"&amp;'CASE DATA'!$F186&amp;";",SMALL(IF(ISERROR(SEARCH(MID(";"&amp;'CASE DATA'!$F186&amp;";",ROW($1:$99),1),";")),"",ROW($1:$99)+1),COLUMN(B186)),SMALL(IF(ISERROR(SEARCH(MID(";"&amp;'CASE DATA'!$F186&amp;";",ROW($1:$99),1),";")),"",ROW($1:$99)),COLUMN(B185)+1)-SMALL(IF(ISERROR(SEARCH(MID(";"&amp;'CASE DATA'!$F186&amp;";",ROW($1:$99),1),";")),"",ROW($1:$99)),COLUMN(B185))-1)</f>
        <v/>
      </c>
      <c r="Z186" s="75" t="str" cm="1">
        <f t="array" ref="Z186">MID(";"&amp;'CASE DATA'!$F186&amp;";",SMALL(IF(ISERROR(SEARCH(MID(";"&amp;'CASE DATA'!$F186&amp;";",ROW($1:$99),1),";")),"",ROW($1:$99)+1),COLUMN(C186)),SMALL(IF(ISERROR(SEARCH(MID(";"&amp;'CASE DATA'!$F186&amp;";",ROW($1:$99),1),";")),"",ROW($1:$99)),COLUMN(C185)+1)-SMALL(IF(ISERROR(SEARCH(MID(";"&amp;'CASE DATA'!$F186&amp;";",ROW($1:$99),1),";")),"",ROW($1:$99)),COLUMN(C185))-1)</f>
        <v/>
      </c>
      <c r="AA186" s="75" t="str" cm="1">
        <f t="array" ref="AA186">MID(";"&amp;'CASE DATA'!$F186&amp;";",SMALL(IF(ISERROR(SEARCH(MID(";"&amp;'CASE DATA'!$F186&amp;";",ROW($1:$99),1),";")),"",ROW($1:$99)+1),COLUMN(D186)),SMALL(IF(ISERROR(SEARCH(MID(";"&amp;'CASE DATA'!$F186&amp;";",ROW($1:$99),1),";")),"",ROW($1:$99)),COLUMN(D185)+1)-SMALL(IF(ISERROR(SEARCH(MID(";"&amp;'CASE DATA'!$F186&amp;";",ROW($1:$99),1),";")),"",ROW($1:$99)),COLUMN(D185))-1)</f>
        <v/>
      </c>
      <c r="AB186" s="75" t="str" cm="1">
        <f t="array" ref="AB186">MID(";"&amp;'CASE DATA'!$F186&amp;";",SMALL(IF(ISERROR(SEARCH(MID(";"&amp;'CASE DATA'!$F186&amp;";",ROW($1:$99),1),";")),"",ROW($1:$99)+1),COLUMN(E186)),SMALL(IF(ISERROR(SEARCH(MID(";"&amp;'CASE DATA'!$F186&amp;";",ROW($1:$99),1),";")),"",ROW($1:$99)),COLUMN(E185)+1)-SMALL(IF(ISERROR(SEARCH(MID(";"&amp;'CASE DATA'!$F186&amp;";",ROW($1:$99),1),";")),"",ROW($1:$99)),COLUMN(E185))-1)</f>
        <v/>
      </c>
      <c r="AC186" s="75" t="str" cm="1">
        <f t="array" ref="AC186">MID(";"&amp;'CASE DATA'!$F186&amp;";",SMALL(IF(ISERROR(SEARCH(MID(";"&amp;'CASE DATA'!$F186&amp;";",ROW($1:$99),1),";")),"",ROW($1:$99)+1),COLUMN(F186)),SMALL(IF(ISERROR(SEARCH(MID(";"&amp;'CASE DATA'!$F186&amp;";",ROW($1:$99),1),";")),"",ROW($1:$99)),COLUMN(F185)+1)-SMALL(IF(ISERROR(SEARCH(MID(";"&amp;'CASE DATA'!$F186&amp;";",ROW($1:$99),1),";")),"",ROW($1:$99)),COLUMN(F185))-1)</f>
        <v/>
      </c>
      <c r="AD186" s="75" t="str" cm="1">
        <f t="array" ref="AD186">MID(";"&amp;'CASE DATA'!$F186&amp;";",SMALL(IF(ISERROR(SEARCH(MID(";"&amp;'CASE DATA'!$F186&amp;";",ROW($1:$99),1),";")),"",ROW($1:$99)+1),COLUMN(G186)),SMALL(IF(ISERROR(SEARCH(MID(";"&amp;'CASE DATA'!$F186&amp;";",ROW($1:$99),1),";")),"",ROW($1:$99)),COLUMN(G185)+1)-SMALL(IF(ISERROR(SEARCH(MID(";"&amp;'CASE DATA'!$F186&amp;";",ROW($1:$99),1),";")),"",ROW($1:$99)),COLUMN(G185))-1)</f>
        <v/>
      </c>
      <c r="AE186" s="75" t="str" cm="1">
        <f t="array" ref="AE186">MID(";"&amp;'CASE DATA'!$F186&amp;";",SMALL(IF(ISERROR(SEARCH(MID(";"&amp;'CASE DATA'!$F186&amp;";",ROW($1:$99),1),";")),"",ROW($1:$99)+1),COLUMN(H186)),SMALL(IF(ISERROR(SEARCH(MID(";"&amp;'CASE DATA'!$F186&amp;";",ROW($1:$99),1),";")),"",ROW($1:$99)),COLUMN(H185)+1)-SMALL(IF(ISERROR(SEARCH(MID(";"&amp;'CASE DATA'!$F186&amp;";",ROW($1:$99),1),";")),"",ROW($1:$99)),COLUMN(H185))-1)</f>
        <v/>
      </c>
      <c r="AF186" s="75" t="str" cm="1">
        <f t="array" ref="AF186">MID(";"&amp;'CASE DATA'!$F186&amp;";",SMALL(IF(ISERROR(SEARCH(MID(";"&amp;'CASE DATA'!$F186&amp;";",ROW($1:$99),1),";")),"",ROW($1:$99)+1),COLUMN(I186)),SMALL(IF(ISERROR(SEARCH(MID(";"&amp;'CASE DATA'!$F186&amp;";",ROW($1:$99),1),";")),"",ROW($1:$99)),COLUMN(I185)+1)-SMALL(IF(ISERROR(SEARCH(MID(";"&amp;'CASE DATA'!$F186&amp;";",ROW($1:$99),1),";")),"",ROW($1:$99)),COLUMN(I185))-1)</f>
        <v/>
      </c>
      <c r="AG186" s="75" t="str" cm="1">
        <f t="array" ref="AG186">MID(";"&amp;'CASE DATA'!$F186&amp;";",SMALL(IF(ISERROR(SEARCH(MID(";"&amp;'CASE DATA'!$F186&amp;";",ROW($1:$99),1),";")),"",ROW($1:$99)+1),COLUMN(K186)),SMALL(IF(ISERROR(SEARCH(MID(";"&amp;'CASE DATA'!$F186&amp;";",ROW($1:$99),1),";")),"",ROW($1:$99)),COLUMN(K185)+1)-SMALL(IF(ISERROR(SEARCH(MID(";"&amp;'CASE DATA'!$F186&amp;";",ROW($1:$99),1),";")),"",ROW($1:$99)),COLUMN(K185))-1)</f>
        <v/>
      </c>
      <c r="AH186" s="75" t="str" cm="1">
        <f t="array" ref="AH186">MID(";"&amp;'CASE DATA'!$F186&amp;";",SMALL(IF(ISERROR(SEARCH(MID(";"&amp;'CASE DATA'!$F186&amp;";",ROW($1:$99),1),";")),"",ROW($1:$99)+1),COLUMN(L186)),SMALL(IF(ISERROR(SEARCH(MID(";"&amp;'CASE DATA'!$F186&amp;";",ROW($1:$99),1),";")),"",ROW($1:$99)),COLUMN(L185)+1)-SMALL(IF(ISERROR(SEARCH(MID(";"&amp;'CASE DATA'!$F186&amp;";",ROW($1:$99),1),";")),"",ROW($1:$99)),COLUMN(L185))-1)</f>
        <v/>
      </c>
      <c r="AI186" s="75" t="str" cm="1">
        <f t="array" ref="AI186">MID(";"&amp;'CASE DATA'!$F186&amp;";",SMALL(IF(ISERROR(SEARCH(MID(";"&amp;'CASE DATA'!$F186&amp;";",ROW($1:$99),1),";")),"",ROW($1:$99)+1),COLUMN(M186)),SMALL(IF(ISERROR(SEARCH(MID(";"&amp;'CASE DATA'!$F186&amp;";",ROW($1:$99),1),";")),"",ROW($1:$99)),COLUMN(M185)+1)-SMALL(IF(ISERROR(SEARCH(MID(";"&amp;'CASE DATA'!$F186&amp;";",ROW($1:$99),1),";")),"",ROW($1:$99)),COLUMN(M185))-1)</f>
        <v/>
      </c>
      <c r="BO186" s="99"/>
      <c r="BP186" s="99"/>
      <c r="BQ186" s="99"/>
      <c r="BR186" s="99"/>
      <c r="BS186" s="99"/>
      <c r="BT186" s="99"/>
      <c r="BU186" s="99"/>
      <c r="BV186" s="99"/>
      <c r="BW186" s="99"/>
      <c r="BX186" s="99"/>
      <c r="BY186" s="99"/>
      <c r="BZ186" s="99"/>
      <c r="CA186" s="99"/>
      <c r="CB186" s="99"/>
      <c r="CC186" s="99"/>
      <c r="CD186" s="99"/>
      <c r="CE186" s="99"/>
      <c r="CF186" s="99"/>
      <c r="CG186" s="99"/>
      <c r="CH186" s="99"/>
      <c r="CI186" s="99"/>
      <c r="CJ186" s="99"/>
      <c r="CK186" s="99"/>
      <c r="CL186" s="99"/>
      <c r="CM186" s="99"/>
      <c r="CN186" s="99"/>
      <c r="CO186" s="99"/>
      <c r="CP186" s="99"/>
      <c r="CQ186" s="99"/>
      <c r="CR186" s="99"/>
      <c r="CS186" s="99"/>
      <c r="CT186" s="99"/>
      <c r="CU186" s="99"/>
      <c r="CV186" s="99"/>
      <c r="CW186" s="99"/>
      <c r="CX186" s="99"/>
      <c r="CY186" s="99"/>
      <c r="CZ186" s="99"/>
      <c r="DA186" s="99"/>
      <c r="DB186" s="99"/>
      <c r="DC186" s="99"/>
      <c r="DD186" s="99"/>
      <c r="DE186" s="99"/>
      <c r="DF186" s="99"/>
      <c r="DG186" s="99"/>
      <c r="DH186" s="99"/>
      <c r="DI186" s="99"/>
      <c r="DJ186" s="99"/>
      <c r="DK186" s="99"/>
      <c r="DL186" s="99"/>
      <c r="DM186" s="99"/>
      <c r="DN186" s="99"/>
      <c r="DO186" s="99"/>
      <c r="DP186" s="99"/>
      <c r="DQ186" s="99"/>
      <c r="DR186" s="99"/>
      <c r="DS186" s="99"/>
      <c r="DT186" s="99"/>
      <c r="DU186" s="99"/>
      <c r="DV186" s="99"/>
      <c r="DW186" s="99"/>
      <c r="DX186" s="99"/>
      <c r="DY186" s="99"/>
      <c r="DZ186" s="99"/>
      <c r="EA186" s="99"/>
      <c r="EB186" s="99"/>
      <c r="EC186" s="99"/>
      <c r="ED186" s="99"/>
      <c r="EE186" s="99"/>
      <c r="EF186" s="99"/>
      <c r="EG186" s="99"/>
      <c r="EH186" s="99"/>
      <c r="EI186" s="99"/>
      <c r="EJ186" s="99"/>
      <c r="EK186" s="99"/>
      <c r="EL186" s="99"/>
      <c r="EM186" s="99"/>
      <c r="EN186" s="99"/>
      <c r="EO186" s="99"/>
      <c r="EP186" s="99"/>
      <c r="EQ186" s="99"/>
      <c r="ER186" s="99"/>
      <c r="ES186" s="99"/>
      <c r="ET186" s="99"/>
      <c r="EU186" s="99"/>
      <c r="EV186" s="99"/>
      <c r="EW186" s="99"/>
      <c r="EX186" s="99"/>
      <c r="EY186" s="99"/>
      <c r="EZ186" s="99"/>
      <c r="FA186" s="99"/>
      <c r="FB186" s="99"/>
      <c r="FC186" s="99"/>
      <c r="FD186" s="99"/>
      <c r="FE186" s="99"/>
      <c r="FF186" s="99"/>
      <c r="FG186" s="99"/>
      <c r="FH186" s="99"/>
      <c r="FI186" s="99"/>
      <c r="FJ186" s="99"/>
      <c r="FK186" s="99"/>
    </row>
    <row r="187" spans="3:167" x14ac:dyDescent="0.25">
      <c r="C187" s="10"/>
      <c r="D187" s="10"/>
      <c r="E187" s="11"/>
      <c r="F187" s="15"/>
      <c r="J187" s="99">
        <v>184</v>
      </c>
      <c r="K187" s="16"/>
      <c r="L187" s="16"/>
      <c r="M187" s="16"/>
      <c r="N187" s="16"/>
      <c r="O187" s="16"/>
      <c r="P187" s="16"/>
      <c r="Q187" s="16"/>
      <c r="R187" s="16"/>
      <c r="S187" s="16"/>
      <c r="T187" s="16"/>
      <c r="U187" s="14">
        <f>SUM(K187:T187)</f>
        <v>0</v>
      </c>
      <c r="V187" s="14"/>
      <c r="X187" s="75" t="str" cm="1">
        <f t="array" ref="X187">MID(";"&amp;'CASE DATA'!$F187&amp;";",SMALL(IF(ISERROR(SEARCH(MID(";"&amp;'CASE DATA'!$F187&amp;";",ROW($1:$99),1),";")),"",ROW($1:$99)+1),COLUMN(A187)),SMALL(IF(ISERROR(SEARCH(MID(";"&amp;'CASE DATA'!$F187&amp;";",ROW($1:$99),1),";")),"",ROW($1:$99)),COLUMN(A186)+1)-SMALL(IF(ISERROR(SEARCH(MID(";"&amp;'CASE DATA'!$F187&amp;";",ROW($1:$99),1),";")),"",ROW($1:$99)),COLUMN(A186))-1)</f>
        <v/>
      </c>
      <c r="Y187" s="75" t="str" cm="1">
        <f t="array" ref="Y187">MID(";"&amp;'CASE DATA'!$F187&amp;";",SMALL(IF(ISERROR(SEARCH(MID(";"&amp;'CASE DATA'!$F187&amp;";",ROW($1:$99),1),";")),"",ROW($1:$99)+1),COLUMN(B187)),SMALL(IF(ISERROR(SEARCH(MID(";"&amp;'CASE DATA'!$F187&amp;";",ROW($1:$99),1),";")),"",ROW($1:$99)),COLUMN(B186)+1)-SMALL(IF(ISERROR(SEARCH(MID(";"&amp;'CASE DATA'!$F187&amp;";",ROW($1:$99),1),";")),"",ROW($1:$99)),COLUMN(B186))-1)</f>
        <v/>
      </c>
      <c r="Z187" s="75" t="str" cm="1">
        <f t="array" ref="Z187">MID(";"&amp;'CASE DATA'!$F187&amp;";",SMALL(IF(ISERROR(SEARCH(MID(";"&amp;'CASE DATA'!$F187&amp;";",ROW($1:$99),1),";")),"",ROW($1:$99)+1),COLUMN(C187)),SMALL(IF(ISERROR(SEARCH(MID(";"&amp;'CASE DATA'!$F187&amp;";",ROW($1:$99),1),";")),"",ROW($1:$99)),COLUMN(C186)+1)-SMALL(IF(ISERROR(SEARCH(MID(";"&amp;'CASE DATA'!$F187&amp;";",ROW($1:$99),1),";")),"",ROW($1:$99)),COLUMN(C186))-1)</f>
        <v/>
      </c>
      <c r="AA187" s="75" t="str" cm="1">
        <f t="array" ref="AA187">MID(";"&amp;'CASE DATA'!$F187&amp;";",SMALL(IF(ISERROR(SEARCH(MID(";"&amp;'CASE DATA'!$F187&amp;";",ROW($1:$99),1),";")),"",ROW($1:$99)+1),COLUMN(D187)),SMALL(IF(ISERROR(SEARCH(MID(";"&amp;'CASE DATA'!$F187&amp;";",ROW($1:$99),1),";")),"",ROW($1:$99)),COLUMN(D186)+1)-SMALL(IF(ISERROR(SEARCH(MID(";"&amp;'CASE DATA'!$F187&amp;";",ROW($1:$99),1),";")),"",ROW($1:$99)),COLUMN(D186))-1)</f>
        <v/>
      </c>
      <c r="AB187" s="75" t="str" cm="1">
        <f t="array" ref="AB187">MID(";"&amp;'CASE DATA'!$F187&amp;";",SMALL(IF(ISERROR(SEARCH(MID(";"&amp;'CASE DATA'!$F187&amp;";",ROW($1:$99),1),";")),"",ROW($1:$99)+1),COLUMN(E187)),SMALL(IF(ISERROR(SEARCH(MID(";"&amp;'CASE DATA'!$F187&amp;";",ROW($1:$99),1),";")),"",ROW($1:$99)),COLUMN(E186)+1)-SMALL(IF(ISERROR(SEARCH(MID(";"&amp;'CASE DATA'!$F187&amp;";",ROW($1:$99),1),";")),"",ROW($1:$99)),COLUMN(E186))-1)</f>
        <v/>
      </c>
      <c r="AC187" s="75" t="str" cm="1">
        <f t="array" ref="AC187">MID(";"&amp;'CASE DATA'!$F187&amp;";",SMALL(IF(ISERROR(SEARCH(MID(";"&amp;'CASE DATA'!$F187&amp;";",ROW($1:$99),1),";")),"",ROW($1:$99)+1),COLUMN(F187)),SMALL(IF(ISERROR(SEARCH(MID(";"&amp;'CASE DATA'!$F187&amp;";",ROW($1:$99),1),";")),"",ROW($1:$99)),COLUMN(F186)+1)-SMALL(IF(ISERROR(SEARCH(MID(";"&amp;'CASE DATA'!$F187&amp;";",ROW($1:$99),1),";")),"",ROW($1:$99)),COLUMN(F186))-1)</f>
        <v/>
      </c>
      <c r="AD187" s="75" t="str" cm="1">
        <f t="array" ref="AD187">MID(";"&amp;'CASE DATA'!$F187&amp;";",SMALL(IF(ISERROR(SEARCH(MID(";"&amp;'CASE DATA'!$F187&amp;";",ROW($1:$99),1),";")),"",ROW($1:$99)+1),COLUMN(G187)),SMALL(IF(ISERROR(SEARCH(MID(";"&amp;'CASE DATA'!$F187&amp;";",ROW($1:$99),1),";")),"",ROW($1:$99)),COLUMN(G186)+1)-SMALL(IF(ISERROR(SEARCH(MID(";"&amp;'CASE DATA'!$F187&amp;";",ROW($1:$99),1),";")),"",ROW($1:$99)),COLUMN(G186))-1)</f>
        <v/>
      </c>
      <c r="AE187" s="75" t="str" cm="1">
        <f t="array" ref="AE187">MID(";"&amp;'CASE DATA'!$F187&amp;";",SMALL(IF(ISERROR(SEARCH(MID(";"&amp;'CASE DATA'!$F187&amp;";",ROW($1:$99),1),";")),"",ROW($1:$99)+1),COLUMN(H187)),SMALL(IF(ISERROR(SEARCH(MID(";"&amp;'CASE DATA'!$F187&amp;";",ROW($1:$99),1),";")),"",ROW($1:$99)),COLUMN(H186)+1)-SMALL(IF(ISERROR(SEARCH(MID(";"&amp;'CASE DATA'!$F187&amp;";",ROW($1:$99),1),";")),"",ROW($1:$99)),COLUMN(H186))-1)</f>
        <v/>
      </c>
      <c r="AF187" s="75" t="str" cm="1">
        <f t="array" ref="AF187">MID(";"&amp;'CASE DATA'!$F187&amp;";",SMALL(IF(ISERROR(SEARCH(MID(";"&amp;'CASE DATA'!$F187&amp;";",ROW($1:$99),1),";")),"",ROW($1:$99)+1),COLUMN(I187)),SMALL(IF(ISERROR(SEARCH(MID(";"&amp;'CASE DATA'!$F187&amp;";",ROW($1:$99),1),";")),"",ROW($1:$99)),COLUMN(I186)+1)-SMALL(IF(ISERROR(SEARCH(MID(";"&amp;'CASE DATA'!$F187&amp;";",ROW($1:$99),1),";")),"",ROW($1:$99)),COLUMN(I186))-1)</f>
        <v/>
      </c>
      <c r="AG187" s="75" t="str" cm="1">
        <f t="array" ref="AG187">MID(";"&amp;'CASE DATA'!$F187&amp;";",SMALL(IF(ISERROR(SEARCH(MID(";"&amp;'CASE DATA'!$F187&amp;";",ROW($1:$99),1),";")),"",ROW($1:$99)+1),COLUMN(K187)),SMALL(IF(ISERROR(SEARCH(MID(";"&amp;'CASE DATA'!$F187&amp;";",ROW($1:$99),1),";")),"",ROW($1:$99)),COLUMN(K186)+1)-SMALL(IF(ISERROR(SEARCH(MID(";"&amp;'CASE DATA'!$F187&amp;";",ROW($1:$99),1),";")),"",ROW($1:$99)),COLUMN(K186))-1)</f>
        <v/>
      </c>
      <c r="AH187" s="75" t="str" cm="1">
        <f t="array" ref="AH187">MID(";"&amp;'CASE DATA'!$F187&amp;";",SMALL(IF(ISERROR(SEARCH(MID(";"&amp;'CASE DATA'!$F187&amp;";",ROW($1:$99),1),";")),"",ROW($1:$99)+1),COLUMN(L187)),SMALL(IF(ISERROR(SEARCH(MID(";"&amp;'CASE DATA'!$F187&amp;";",ROW($1:$99),1),";")),"",ROW($1:$99)),COLUMN(L186)+1)-SMALL(IF(ISERROR(SEARCH(MID(";"&amp;'CASE DATA'!$F187&amp;";",ROW($1:$99),1),";")),"",ROW($1:$99)),COLUMN(L186))-1)</f>
        <v/>
      </c>
      <c r="AI187" s="75" t="str" cm="1">
        <f t="array" ref="AI187">MID(";"&amp;'CASE DATA'!$F187&amp;";",SMALL(IF(ISERROR(SEARCH(MID(";"&amp;'CASE DATA'!$F187&amp;";",ROW($1:$99),1),";")),"",ROW($1:$99)+1),COLUMN(M187)),SMALL(IF(ISERROR(SEARCH(MID(";"&amp;'CASE DATA'!$F187&amp;";",ROW($1:$99),1),";")),"",ROW($1:$99)),COLUMN(M186)+1)-SMALL(IF(ISERROR(SEARCH(MID(";"&amp;'CASE DATA'!$F187&amp;";",ROW($1:$99),1),";")),"",ROW($1:$99)),COLUMN(M186))-1)</f>
        <v/>
      </c>
      <c r="BO187" s="99"/>
      <c r="BP187" s="99"/>
      <c r="BQ187" s="99"/>
      <c r="BR187" s="99"/>
      <c r="BS187" s="99"/>
      <c r="BT187" s="99"/>
      <c r="BU187" s="99"/>
      <c r="BV187" s="99"/>
      <c r="BW187" s="99"/>
      <c r="BX187" s="99"/>
      <c r="BY187" s="99"/>
      <c r="BZ187" s="99"/>
      <c r="CA187" s="99"/>
      <c r="CB187" s="99"/>
      <c r="CC187" s="99"/>
      <c r="CD187" s="99"/>
      <c r="CE187" s="99"/>
      <c r="CF187" s="99"/>
      <c r="CG187" s="99"/>
      <c r="CH187" s="99"/>
      <c r="CI187" s="99"/>
      <c r="CJ187" s="99"/>
      <c r="CK187" s="99"/>
      <c r="CL187" s="99"/>
      <c r="CM187" s="99"/>
      <c r="CN187" s="99"/>
      <c r="CO187" s="99"/>
      <c r="CP187" s="99"/>
      <c r="CQ187" s="99"/>
      <c r="CR187" s="99"/>
      <c r="CS187" s="99"/>
      <c r="CT187" s="99"/>
      <c r="CU187" s="99"/>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99"/>
      <c r="EE187" s="99"/>
      <c r="EF187" s="99"/>
      <c r="EG187" s="99"/>
      <c r="EH187" s="99"/>
      <c r="EI187" s="99"/>
      <c r="EJ187" s="99"/>
      <c r="EK187" s="99"/>
      <c r="EL187" s="99"/>
      <c r="EM187" s="99"/>
      <c r="EN187" s="99"/>
      <c r="EO187" s="99"/>
      <c r="EP187" s="99"/>
      <c r="EQ187" s="99"/>
      <c r="ER187" s="99"/>
      <c r="ES187" s="99"/>
      <c r="ET187" s="99"/>
      <c r="EU187" s="99"/>
      <c r="EV187" s="99"/>
      <c r="EW187" s="99"/>
      <c r="EX187" s="99"/>
      <c r="EY187" s="99"/>
      <c r="EZ187" s="99"/>
      <c r="FA187" s="99"/>
      <c r="FB187" s="99"/>
      <c r="FC187" s="99"/>
      <c r="FD187" s="99"/>
      <c r="FE187" s="99"/>
      <c r="FF187" s="99"/>
      <c r="FG187" s="99"/>
      <c r="FH187" s="99"/>
      <c r="FI187" s="99"/>
      <c r="FJ187" s="99"/>
      <c r="FK187" s="99"/>
    </row>
    <row r="188" spans="3:167" x14ac:dyDescent="0.25">
      <c r="C188" s="10"/>
      <c r="D188" s="10"/>
      <c r="E188" s="11"/>
      <c r="F188" s="15"/>
      <c r="J188" s="99">
        <v>185</v>
      </c>
      <c r="K188" s="16"/>
      <c r="L188" s="16"/>
      <c r="M188" s="16"/>
      <c r="N188" s="16"/>
      <c r="O188" s="16"/>
      <c r="P188" s="16"/>
      <c r="Q188" s="16"/>
      <c r="R188" s="16"/>
      <c r="S188" s="16"/>
      <c r="T188" s="16"/>
      <c r="U188" s="14">
        <f>SUM(K188:T188)</f>
        <v>0</v>
      </c>
      <c r="V188" s="14"/>
      <c r="X188" s="75" t="str" cm="1">
        <f t="array" ref="X188">MID(";"&amp;'CASE DATA'!$F188&amp;";",SMALL(IF(ISERROR(SEARCH(MID(";"&amp;'CASE DATA'!$F188&amp;";",ROW($1:$99),1),";")),"",ROW($1:$99)+1),COLUMN(A188)),SMALL(IF(ISERROR(SEARCH(MID(";"&amp;'CASE DATA'!$F188&amp;";",ROW($1:$99),1),";")),"",ROW($1:$99)),COLUMN(A187)+1)-SMALL(IF(ISERROR(SEARCH(MID(";"&amp;'CASE DATA'!$F188&amp;";",ROW($1:$99),1),";")),"",ROW($1:$99)),COLUMN(A187))-1)</f>
        <v/>
      </c>
      <c r="Y188" s="75" t="str" cm="1">
        <f t="array" ref="Y188">MID(";"&amp;'CASE DATA'!$F188&amp;";",SMALL(IF(ISERROR(SEARCH(MID(";"&amp;'CASE DATA'!$F188&amp;";",ROW($1:$99),1),";")),"",ROW($1:$99)+1),COLUMN(B188)),SMALL(IF(ISERROR(SEARCH(MID(";"&amp;'CASE DATA'!$F188&amp;";",ROW($1:$99),1),";")),"",ROW($1:$99)),COLUMN(B187)+1)-SMALL(IF(ISERROR(SEARCH(MID(";"&amp;'CASE DATA'!$F188&amp;";",ROW($1:$99),1),";")),"",ROW($1:$99)),COLUMN(B187))-1)</f>
        <v/>
      </c>
      <c r="Z188" s="75" t="str" cm="1">
        <f t="array" ref="Z188">MID(";"&amp;'CASE DATA'!$F188&amp;";",SMALL(IF(ISERROR(SEARCH(MID(";"&amp;'CASE DATA'!$F188&amp;";",ROW($1:$99),1),";")),"",ROW($1:$99)+1),COLUMN(C188)),SMALL(IF(ISERROR(SEARCH(MID(";"&amp;'CASE DATA'!$F188&amp;";",ROW($1:$99),1),";")),"",ROW($1:$99)),COLUMN(C187)+1)-SMALL(IF(ISERROR(SEARCH(MID(";"&amp;'CASE DATA'!$F188&amp;";",ROW($1:$99),1),";")),"",ROW($1:$99)),COLUMN(C187))-1)</f>
        <v/>
      </c>
      <c r="AA188" s="75" t="str" cm="1">
        <f t="array" ref="AA188">MID(";"&amp;'CASE DATA'!$F188&amp;";",SMALL(IF(ISERROR(SEARCH(MID(";"&amp;'CASE DATA'!$F188&amp;";",ROW($1:$99),1),";")),"",ROW($1:$99)+1),COLUMN(D188)),SMALL(IF(ISERROR(SEARCH(MID(";"&amp;'CASE DATA'!$F188&amp;";",ROW($1:$99),1),";")),"",ROW($1:$99)),COLUMN(D187)+1)-SMALL(IF(ISERROR(SEARCH(MID(";"&amp;'CASE DATA'!$F188&amp;";",ROW($1:$99),1),";")),"",ROW($1:$99)),COLUMN(D187))-1)</f>
        <v/>
      </c>
      <c r="AB188" s="75" t="str" cm="1">
        <f t="array" ref="AB188">MID(";"&amp;'CASE DATA'!$F188&amp;";",SMALL(IF(ISERROR(SEARCH(MID(";"&amp;'CASE DATA'!$F188&amp;";",ROW($1:$99),1),";")),"",ROW($1:$99)+1),COLUMN(E188)),SMALL(IF(ISERROR(SEARCH(MID(";"&amp;'CASE DATA'!$F188&amp;";",ROW($1:$99),1),";")),"",ROW($1:$99)),COLUMN(E187)+1)-SMALL(IF(ISERROR(SEARCH(MID(";"&amp;'CASE DATA'!$F188&amp;";",ROW($1:$99),1),";")),"",ROW($1:$99)),COLUMN(E187))-1)</f>
        <v/>
      </c>
      <c r="AC188" s="75" t="str" cm="1">
        <f t="array" ref="AC188">MID(";"&amp;'CASE DATA'!$F188&amp;";",SMALL(IF(ISERROR(SEARCH(MID(";"&amp;'CASE DATA'!$F188&amp;";",ROW($1:$99),1),";")),"",ROW($1:$99)+1),COLUMN(F188)),SMALL(IF(ISERROR(SEARCH(MID(";"&amp;'CASE DATA'!$F188&amp;";",ROW($1:$99),1),";")),"",ROW($1:$99)),COLUMN(F187)+1)-SMALL(IF(ISERROR(SEARCH(MID(";"&amp;'CASE DATA'!$F188&amp;";",ROW($1:$99),1),";")),"",ROW($1:$99)),COLUMN(F187))-1)</f>
        <v/>
      </c>
      <c r="AD188" s="75" t="str" cm="1">
        <f t="array" ref="AD188">MID(";"&amp;'CASE DATA'!$F188&amp;";",SMALL(IF(ISERROR(SEARCH(MID(";"&amp;'CASE DATA'!$F188&amp;";",ROW($1:$99),1),";")),"",ROW($1:$99)+1),COLUMN(G188)),SMALL(IF(ISERROR(SEARCH(MID(";"&amp;'CASE DATA'!$F188&amp;";",ROW($1:$99),1),";")),"",ROW($1:$99)),COLUMN(G187)+1)-SMALL(IF(ISERROR(SEARCH(MID(";"&amp;'CASE DATA'!$F188&amp;";",ROW($1:$99),1),";")),"",ROW($1:$99)),COLUMN(G187))-1)</f>
        <v/>
      </c>
      <c r="AE188" s="75" t="str" cm="1">
        <f t="array" ref="AE188">MID(";"&amp;'CASE DATA'!$F188&amp;";",SMALL(IF(ISERROR(SEARCH(MID(";"&amp;'CASE DATA'!$F188&amp;";",ROW($1:$99),1),";")),"",ROW($1:$99)+1),COLUMN(H188)),SMALL(IF(ISERROR(SEARCH(MID(";"&amp;'CASE DATA'!$F188&amp;";",ROW($1:$99),1),";")),"",ROW($1:$99)),COLUMN(H187)+1)-SMALL(IF(ISERROR(SEARCH(MID(";"&amp;'CASE DATA'!$F188&amp;";",ROW($1:$99),1),";")),"",ROW($1:$99)),COLUMN(H187))-1)</f>
        <v/>
      </c>
      <c r="AF188" s="75" t="str" cm="1">
        <f t="array" ref="AF188">MID(";"&amp;'CASE DATA'!$F188&amp;";",SMALL(IF(ISERROR(SEARCH(MID(";"&amp;'CASE DATA'!$F188&amp;";",ROW($1:$99),1),";")),"",ROW($1:$99)+1),COLUMN(I188)),SMALL(IF(ISERROR(SEARCH(MID(";"&amp;'CASE DATA'!$F188&amp;";",ROW($1:$99),1),";")),"",ROW($1:$99)),COLUMN(I187)+1)-SMALL(IF(ISERROR(SEARCH(MID(";"&amp;'CASE DATA'!$F188&amp;";",ROW($1:$99),1),";")),"",ROW($1:$99)),COLUMN(I187))-1)</f>
        <v/>
      </c>
      <c r="AG188" s="75" t="str" cm="1">
        <f t="array" ref="AG188">MID(";"&amp;'CASE DATA'!$F188&amp;";",SMALL(IF(ISERROR(SEARCH(MID(";"&amp;'CASE DATA'!$F188&amp;";",ROW($1:$99),1),";")),"",ROW($1:$99)+1),COLUMN(K188)),SMALL(IF(ISERROR(SEARCH(MID(";"&amp;'CASE DATA'!$F188&amp;";",ROW($1:$99),1),";")),"",ROW($1:$99)),COLUMN(K187)+1)-SMALL(IF(ISERROR(SEARCH(MID(";"&amp;'CASE DATA'!$F188&amp;";",ROW($1:$99),1),";")),"",ROW($1:$99)),COLUMN(K187))-1)</f>
        <v/>
      </c>
      <c r="AH188" s="75" t="str" cm="1">
        <f t="array" ref="AH188">MID(";"&amp;'CASE DATA'!$F188&amp;";",SMALL(IF(ISERROR(SEARCH(MID(";"&amp;'CASE DATA'!$F188&amp;";",ROW($1:$99),1),";")),"",ROW($1:$99)+1),COLUMN(L188)),SMALL(IF(ISERROR(SEARCH(MID(";"&amp;'CASE DATA'!$F188&amp;";",ROW($1:$99),1),";")),"",ROW($1:$99)),COLUMN(L187)+1)-SMALL(IF(ISERROR(SEARCH(MID(";"&amp;'CASE DATA'!$F188&amp;";",ROW($1:$99),1),";")),"",ROW($1:$99)),COLUMN(L187))-1)</f>
        <v/>
      </c>
      <c r="AI188" s="75" t="str" cm="1">
        <f t="array" ref="AI188">MID(";"&amp;'CASE DATA'!$F188&amp;";",SMALL(IF(ISERROR(SEARCH(MID(";"&amp;'CASE DATA'!$F188&amp;";",ROW($1:$99),1),";")),"",ROW($1:$99)+1),COLUMN(M188)),SMALL(IF(ISERROR(SEARCH(MID(";"&amp;'CASE DATA'!$F188&amp;";",ROW($1:$99),1),";")),"",ROW($1:$99)),COLUMN(M187)+1)-SMALL(IF(ISERROR(SEARCH(MID(";"&amp;'CASE DATA'!$F188&amp;";",ROW($1:$99),1),";")),"",ROW($1:$99)),COLUMN(M187))-1)</f>
        <v/>
      </c>
      <c r="BO188" s="99"/>
      <c r="BP188" s="99"/>
      <c r="BQ188" s="99"/>
      <c r="BR188" s="99"/>
      <c r="BS188" s="99"/>
      <c r="BT188" s="99"/>
      <c r="BU188" s="99"/>
      <c r="BV188" s="99"/>
      <c r="BW188" s="99"/>
      <c r="BX188" s="99"/>
      <c r="BY188" s="99"/>
      <c r="BZ188" s="99"/>
      <c r="CA188" s="99"/>
      <c r="CB188" s="99"/>
      <c r="CC188" s="99"/>
      <c r="CD188" s="99"/>
      <c r="CE188" s="99"/>
      <c r="CF188" s="99"/>
      <c r="CG188" s="99"/>
      <c r="CH188" s="99"/>
      <c r="CI188" s="99"/>
      <c r="CJ188" s="99"/>
      <c r="CK188" s="99"/>
      <c r="CL188" s="99"/>
      <c r="CM188" s="99"/>
      <c r="CN188" s="99"/>
      <c r="CO188" s="99"/>
      <c r="CP188" s="99"/>
      <c r="CQ188" s="99"/>
      <c r="CR188" s="99"/>
      <c r="CS188" s="99"/>
      <c r="CT188" s="99"/>
      <c r="CU188" s="99"/>
      <c r="CV188" s="99"/>
      <c r="CW188" s="99"/>
      <c r="CX188" s="99"/>
      <c r="CY188" s="99"/>
      <c r="CZ188" s="99"/>
      <c r="DA188" s="99"/>
      <c r="DB188" s="99"/>
      <c r="DC188" s="99"/>
      <c r="DD188" s="99"/>
      <c r="DE188" s="99"/>
      <c r="DF188" s="99"/>
      <c r="DG188" s="99"/>
      <c r="DH188" s="99"/>
      <c r="DI188" s="99"/>
      <c r="DJ188" s="99"/>
      <c r="DK188" s="99"/>
      <c r="DL188" s="99"/>
      <c r="DM188" s="99"/>
      <c r="DN188" s="99"/>
      <c r="DO188" s="99"/>
      <c r="DP188" s="99"/>
      <c r="DQ188" s="99"/>
      <c r="DR188" s="99"/>
      <c r="DS188" s="99"/>
      <c r="DT188" s="99"/>
      <c r="DU188" s="99"/>
      <c r="DV188" s="99"/>
      <c r="DW188" s="99"/>
      <c r="DX188" s="99"/>
      <c r="DY188" s="99"/>
      <c r="DZ188" s="99"/>
      <c r="EA188" s="99"/>
      <c r="EB188" s="99"/>
      <c r="EC188" s="99"/>
      <c r="ED188" s="99"/>
      <c r="EE188" s="99"/>
      <c r="EF188" s="99"/>
      <c r="EG188" s="99"/>
      <c r="EH188" s="99"/>
      <c r="EI188" s="99"/>
      <c r="EJ188" s="99"/>
      <c r="EK188" s="99"/>
      <c r="EL188" s="99"/>
      <c r="EM188" s="99"/>
      <c r="EN188" s="99"/>
      <c r="EO188" s="99"/>
      <c r="EP188" s="99"/>
      <c r="EQ188" s="99"/>
      <c r="ER188" s="99"/>
      <c r="ES188" s="99"/>
      <c r="ET188" s="99"/>
      <c r="EU188" s="99"/>
      <c r="EV188" s="99"/>
      <c r="EW188" s="99"/>
      <c r="EX188" s="99"/>
      <c r="EY188" s="99"/>
      <c r="EZ188" s="99"/>
      <c r="FA188" s="99"/>
      <c r="FB188" s="99"/>
      <c r="FC188" s="99"/>
      <c r="FD188" s="99"/>
      <c r="FE188" s="99"/>
      <c r="FF188" s="99"/>
      <c r="FG188" s="99"/>
      <c r="FH188" s="99"/>
      <c r="FI188" s="99"/>
      <c r="FJ188" s="99"/>
      <c r="FK188" s="99"/>
    </row>
    <row r="189" spans="3:167" x14ac:dyDescent="0.25">
      <c r="C189" s="10"/>
      <c r="D189" s="10"/>
      <c r="E189" s="11"/>
      <c r="F189" s="15"/>
      <c r="J189" s="99">
        <v>186</v>
      </c>
      <c r="K189" s="16"/>
      <c r="L189" s="16"/>
      <c r="M189" s="16"/>
      <c r="N189" s="16"/>
      <c r="O189" s="16"/>
      <c r="P189" s="16"/>
      <c r="Q189" s="16"/>
      <c r="R189" s="16"/>
      <c r="S189" s="16"/>
      <c r="T189" s="16"/>
      <c r="U189" s="14">
        <f>SUM(K189:T189)</f>
        <v>0</v>
      </c>
      <c r="V189" s="14"/>
      <c r="X189" s="75" t="str" cm="1">
        <f t="array" ref="X189">MID(";"&amp;'CASE DATA'!$F189&amp;";",SMALL(IF(ISERROR(SEARCH(MID(";"&amp;'CASE DATA'!$F189&amp;";",ROW($1:$99),1),";")),"",ROW($1:$99)+1),COLUMN(A189)),SMALL(IF(ISERROR(SEARCH(MID(";"&amp;'CASE DATA'!$F189&amp;";",ROW($1:$99),1),";")),"",ROW($1:$99)),COLUMN(A188)+1)-SMALL(IF(ISERROR(SEARCH(MID(";"&amp;'CASE DATA'!$F189&amp;";",ROW($1:$99),1),";")),"",ROW($1:$99)),COLUMN(A188))-1)</f>
        <v/>
      </c>
      <c r="Y189" s="75" t="str" cm="1">
        <f t="array" ref="Y189">MID(";"&amp;'CASE DATA'!$F189&amp;";",SMALL(IF(ISERROR(SEARCH(MID(";"&amp;'CASE DATA'!$F189&amp;";",ROW($1:$99),1),";")),"",ROW($1:$99)+1),COLUMN(B189)),SMALL(IF(ISERROR(SEARCH(MID(";"&amp;'CASE DATA'!$F189&amp;";",ROW($1:$99),1),";")),"",ROW($1:$99)),COLUMN(B188)+1)-SMALL(IF(ISERROR(SEARCH(MID(";"&amp;'CASE DATA'!$F189&amp;";",ROW($1:$99),1),";")),"",ROW($1:$99)),COLUMN(B188))-1)</f>
        <v/>
      </c>
      <c r="Z189" s="75" t="str" cm="1">
        <f t="array" ref="Z189">MID(";"&amp;'CASE DATA'!$F189&amp;";",SMALL(IF(ISERROR(SEARCH(MID(";"&amp;'CASE DATA'!$F189&amp;";",ROW($1:$99),1),";")),"",ROW($1:$99)+1),COLUMN(C189)),SMALL(IF(ISERROR(SEARCH(MID(";"&amp;'CASE DATA'!$F189&amp;";",ROW($1:$99),1),";")),"",ROW($1:$99)),COLUMN(C188)+1)-SMALL(IF(ISERROR(SEARCH(MID(";"&amp;'CASE DATA'!$F189&amp;";",ROW($1:$99),1),";")),"",ROW($1:$99)),COLUMN(C188))-1)</f>
        <v/>
      </c>
      <c r="AA189" s="75" t="str" cm="1">
        <f t="array" ref="AA189">MID(";"&amp;'CASE DATA'!$F189&amp;";",SMALL(IF(ISERROR(SEARCH(MID(";"&amp;'CASE DATA'!$F189&amp;";",ROW($1:$99),1),";")),"",ROW($1:$99)+1),COLUMN(D189)),SMALL(IF(ISERROR(SEARCH(MID(";"&amp;'CASE DATA'!$F189&amp;";",ROW($1:$99),1),";")),"",ROW($1:$99)),COLUMN(D188)+1)-SMALL(IF(ISERROR(SEARCH(MID(";"&amp;'CASE DATA'!$F189&amp;";",ROW($1:$99),1),";")),"",ROW($1:$99)),COLUMN(D188))-1)</f>
        <v/>
      </c>
      <c r="AB189" s="75" t="str" cm="1">
        <f t="array" ref="AB189">MID(";"&amp;'CASE DATA'!$F189&amp;";",SMALL(IF(ISERROR(SEARCH(MID(";"&amp;'CASE DATA'!$F189&amp;";",ROW($1:$99),1),";")),"",ROW($1:$99)+1),COLUMN(E189)),SMALL(IF(ISERROR(SEARCH(MID(";"&amp;'CASE DATA'!$F189&amp;";",ROW($1:$99),1),";")),"",ROW($1:$99)),COLUMN(E188)+1)-SMALL(IF(ISERROR(SEARCH(MID(";"&amp;'CASE DATA'!$F189&amp;";",ROW($1:$99),1),";")),"",ROW($1:$99)),COLUMN(E188))-1)</f>
        <v/>
      </c>
      <c r="AC189" s="75" t="str" cm="1">
        <f t="array" ref="AC189">MID(";"&amp;'CASE DATA'!$F189&amp;";",SMALL(IF(ISERROR(SEARCH(MID(";"&amp;'CASE DATA'!$F189&amp;";",ROW($1:$99),1),";")),"",ROW($1:$99)+1),COLUMN(F189)),SMALL(IF(ISERROR(SEARCH(MID(";"&amp;'CASE DATA'!$F189&amp;";",ROW($1:$99),1),";")),"",ROW($1:$99)),COLUMN(F188)+1)-SMALL(IF(ISERROR(SEARCH(MID(";"&amp;'CASE DATA'!$F189&amp;";",ROW($1:$99),1),";")),"",ROW($1:$99)),COLUMN(F188))-1)</f>
        <v/>
      </c>
      <c r="AD189" s="75" t="str" cm="1">
        <f t="array" ref="AD189">MID(";"&amp;'CASE DATA'!$F189&amp;";",SMALL(IF(ISERROR(SEARCH(MID(";"&amp;'CASE DATA'!$F189&amp;";",ROW($1:$99),1),";")),"",ROW($1:$99)+1),COLUMN(G189)),SMALL(IF(ISERROR(SEARCH(MID(";"&amp;'CASE DATA'!$F189&amp;";",ROW($1:$99),1),";")),"",ROW($1:$99)),COLUMN(G188)+1)-SMALL(IF(ISERROR(SEARCH(MID(";"&amp;'CASE DATA'!$F189&amp;";",ROW($1:$99),1),";")),"",ROW($1:$99)),COLUMN(G188))-1)</f>
        <v/>
      </c>
      <c r="AE189" s="75" t="str" cm="1">
        <f t="array" ref="AE189">MID(";"&amp;'CASE DATA'!$F189&amp;";",SMALL(IF(ISERROR(SEARCH(MID(";"&amp;'CASE DATA'!$F189&amp;";",ROW($1:$99),1),";")),"",ROW($1:$99)+1),COLUMN(H189)),SMALL(IF(ISERROR(SEARCH(MID(";"&amp;'CASE DATA'!$F189&amp;";",ROW($1:$99),1),";")),"",ROW($1:$99)),COLUMN(H188)+1)-SMALL(IF(ISERROR(SEARCH(MID(";"&amp;'CASE DATA'!$F189&amp;";",ROW($1:$99),1),";")),"",ROW($1:$99)),COLUMN(H188))-1)</f>
        <v/>
      </c>
      <c r="AF189" s="75" t="str" cm="1">
        <f t="array" ref="AF189">MID(";"&amp;'CASE DATA'!$F189&amp;";",SMALL(IF(ISERROR(SEARCH(MID(";"&amp;'CASE DATA'!$F189&amp;";",ROW($1:$99),1),";")),"",ROW($1:$99)+1),COLUMN(I189)),SMALL(IF(ISERROR(SEARCH(MID(";"&amp;'CASE DATA'!$F189&amp;";",ROW($1:$99),1),";")),"",ROW($1:$99)),COLUMN(I188)+1)-SMALL(IF(ISERROR(SEARCH(MID(";"&amp;'CASE DATA'!$F189&amp;";",ROW($1:$99),1),";")),"",ROW($1:$99)),COLUMN(I188))-1)</f>
        <v/>
      </c>
      <c r="AG189" s="75" t="str" cm="1">
        <f t="array" ref="AG189">MID(";"&amp;'CASE DATA'!$F189&amp;";",SMALL(IF(ISERROR(SEARCH(MID(";"&amp;'CASE DATA'!$F189&amp;";",ROW($1:$99),1),";")),"",ROW($1:$99)+1),COLUMN(K189)),SMALL(IF(ISERROR(SEARCH(MID(";"&amp;'CASE DATA'!$F189&amp;";",ROW($1:$99),1),";")),"",ROW($1:$99)),COLUMN(K188)+1)-SMALL(IF(ISERROR(SEARCH(MID(";"&amp;'CASE DATA'!$F189&amp;";",ROW($1:$99),1),";")),"",ROW($1:$99)),COLUMN(K188))-1)</f>
        <v/>
      </c>
      <c r="AH189" s="75" t="str" cm="1">
        <f t="array" ref="AH189">MID(";"&amp;'CASE DATA'!$F189&amp;";",SMALL(IF(ISERROR(SEARCH(MID(";"&amp;'CASE DATA'!$F189&amp;";",ROW($1:$99),1),";")),"",ROW($1:$99)+1),COLUMN(L189)),SMALL(IF(ISERROR(SEARCH(MID(";"&amp;'CASE DATA'!$F189&amp;";",ROW($1:$99),1),";")),"",ROW($1:$99)),COLUMN(L188)+1)-SMALL(IF(ISERROR(SEARCH(MID(";"&amp;'CASE DATA'!$F189&amp;";",ROW($1:$99),1),";")),"",ROW($1:$99)),COLUMN(L188))-1)</f>
        <v/>
      </c>
      <c r="AI189" s="75" t="str" cm="1">
        <f t="array" ref="AI189">MID(";"&amp;'CASE DATA'!$F189&amp;";",SMALL(IF(ISERROR(SEARCH(MID(";"&amp;'CASE DATA'!$F189&amp;";",ROW($1:$99),1),";")),"",ROW($1:$99)+1),COLUMN(M189)),SMALL(IF(ISERROR(SEARCH(MID(";"&amp;'CASE DATA'!$F189&amp;";",ROW($1:$99),1),";")),"",ROW($1:$99)),COLUMN(M188)+1)-SMALL(IF(ISERROR(SEARCH(MID(";"&amp;'CASE DATA'!$F189&amp;";",ROW($1:$99),1),";")),"",ROW($1:$99)),COLUMN(M188))-1)</f>
        <v/>
      </c>
      <c r="BO189" s="99"/>
      <c r="BP189" s="99"/>
      <c r="BQ189" s="99"/>
      <c r="BR189" s="99"/>
      <c r="BS189" s="99"/>
      <c r="BT189" s="99"/>
      <c r="BU189" s="99"/>
      <c r="BV189" s="99"/>
      <c r="BW189" s="99"/>
      <c r="BX189" s="99"/>
      <c r="BY189" s="99"/>
      <c r="BZ189" s="99"/>
      <c r="CA189" s="99"/>
      <c r="CB189" s="99"/>
      <c r="CC189" s="99"/>
      <c r="CD189" s="99"/>
      <c r="CE189" s="99"/>
      <c r="CF189" s="99"/>
      <c r="CG189" s="99"/>
      <c r="CH189" s="99"/>
      <c r="CI189" s="99"/>
      <c r="CJ189" s="99"/>
      <c r="CK189" s="99"/>
      <c r="CL189" s="99"/>
      <c r="CM189" s="99"/>
      <c r="CN189" s="99"/>
      <c r="CO189" s="99"/>
      <c r="CP189" s="99"/>
      <c r="CQ189" s="99"/>
      <c r="CR189" s="99"/>
      <c r="CS189" s="99"/>
      <c r="CT189" s="99"/>
      <c r="CU189" s="99"/>
      <c r="CV189" s="99"/>
      <c r="CW189" s="99"/>
      <c r="CX189" s="99"/>
      <c r="CY189" s="99"/>
      <c r="CZ189" s="99"/>
      <c r="DA189" s="99"/>
      <c r="DB189" s="99"/>
      <c r="DC189" s="99"/>
      <c r="DD189" s="99"/>
      <c r="DE189" s="99"/>
      <c r="DF189" s="99"/>
      <c r="DG189" s="99"/>
      <c r="DH189" s="99"/>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99"/>
      <c r="EE189" s="99"/>
      <c r="EF189" s="99"/>
      <c r="EG189" s="99"/>
      <c r="EH189" s="99"/>
      <c r="EI189" s="99"/>
      <c r="EJ189" s="99"/>
      <c r="EK189" s="99"/>
      <c r="EL189" s="99"/>
      <c r="EM189" s="99"/>
      <c r="EN189" s="99"/>
      <c r="EO189" s="99"/>
      <c r="EP189" s="99"/>
      <c r="EQ189" s="99"/>
      <c r="ER189" s="99"/>
      <c r="ES189" s="99"/>
      <c r="ET189" s="99"/>
      <c r="EU189" s="99"/>
      <c r="EV189" s="99"/>
      <c r="EW189" s="99"/>
      <c r="EX189" s="99"/>
      <c r="EY189" s="99"/>
      <c r="EZ189" s="99"/>
      <c r="FA189" s="99"/>
      <c r="FB189" s="99"/>
      <c r="FC189" s="99"/>
      <c r="FD189" s="99"/>
      <c r="FE189" s="99"/>
      <c r="FF189" s="99"/>
      <c r="FG189" s="99"/>
      <c r="FH189" s="99"/>
      <c r="FI189" s="99"/>
      <c r="FJ189" s="99"/>
      <c r="FK189" s="99"/>
    </row>
    <row r="190" spans="3:167" x14ac:dyDescent="0.25">
      <c r="C190" s="10"/>
      <c r="D190" s="10"/>
      <c r="E190" s="11"/>
      <c r="F190" s="15"/>
      <c r="J190" s="99">
        <v>187</v>
      </c>
      <c r="K190" s="16"/>
      <c r="L190" s="16"/>
      <c r="M190" s="16"/>
      <c r="N190" s="16"/>
      <c r="O190" s="16"/>
      <c r="P190" s="16"/>
      <c r="Q190" s="16"/>
      <c r="R190" s="16"/>
      <c r="S190" s="16"/>
      <c r="T190" s="16"/>
      <c r="U190" s="14">
        <f>SUM(K190:T190)</f>
        <v>0</v>
      </c>
      <c r="V190" s="14"/>
      <c r="X190" s="75" t="str" cm="1">
        <f t="array" ref="X190">MID(";"&amp;'CASE DATA'!$F190&amp;";",SMALL(IF(ISERROR(SEARCH(MID(";"&amp;'CASE DATA'!$F190&amp;";",ROW($1:$99),1),";")),"",ROW($1:$99)+1),COLUMN(A190)),SMALL(IF(ISERROR(SEARCH(MID(";"&amp;'CASE DATA'!$F190&amp;";",ROW($1:$99),1),";")),"",ROW($1:$99)),COLUMN(A189)+1)-SMALL(IF(ISERROR(SEARCH(MID(";"&amp;'CASE DATA'!$F190&amp;";",ROW($1:$99),1),";")),"",ROW($1:$99)),COLUMN(A189))-1)</f>
        <v/>
      </c>
      <c r="Y190" s="75" t="str" cm="1">
        <f t="array" ref="Y190">MID(";"&amp;'CASE DATA'!$F190&amp;";",SMALL(IF(ISERROR(SEARCH(MID(";"&amp;'CASE DATA'!$F190&amp;";",ROW($1:$99),1),";")),"",ROW($1:$99)+1),COLUMN(B190)),SMALL(IF(ISERROR(SEARCH(MID(";"&amp;'CASE DATA'!$F190&amp;";",ROW($1:$99),1),";")),"",ROW($1:$99)),COLUMN(B189)+1)-SMALL(IF(ISERROR(SEARCH(MID(";"&amp;'CASE DATA'!$F190&amp;";",ROW($1:$99),1),";")),"",ROW($1:$99)),COLUMN(B189))-1)</f>
        <v/>
      </c>
      <c r="Z190" s="75" t="str" cm="1">
        <f t="array" ref="Z190">MID(";"&amp;'CASE DATA'!$F190&amp;";",SMALL(IF(ISERROR(SEARCH(MID(";"&amp;'CASE DATA'!$F190&amp;";",ROW($1:$99),1),";")),"",ROW($1:$99)+1),COLUMN(C190)),SMALL(IF(ISERROR(SEARCH(MID(";"&amp;'CASE DATA'!$F190&amp;";",ROW($1:$99),1),";")),"",ROW($1:$99)),COLUMN(C189)+1)-SMALL(IF(ISERROR(SEARCH(MID(";"&amp;'CASE DATA'!$F190&amp;";",ROW($1:$99),1),";")),"",ROW($1:$99)),COLUMN(C189))-1)</f>
        <v/>
      </c>
      <c r="AA190" s="75" t="str" cm="1">
        <f t="array" ref="AA190">MID(";"&amp;'CASE DATA'!$F190&amp;";",SMALL(IF(ISERROR(SEARCH(MID(";"&amp;'CASE DATA'!$F190&amp;";",ROW($1:$99),1),";")),"",ROW($1:$99)+1),COLUMN(D190)),SMALL(IF(ISERROR(SEARCH(MID(";"&amp;'CASE DATA'!$F190&amp;";",ROW($1:$99),1),";")),"",ROW($1:$99)),COLUMN(D189)+1)-SMALL(IF(ISERROR(SEARCH(MID(";"&amp;'CASE DATA'!$F190&amp;";",ROW($1:$99),1),";")),"",ROW($1:$99)),COLUMN(D189))-1)</f>
        <v/>
      </c>
      <c r="AB190" s="75" t="str" cm="1">
        <f t="array" ref="AB190">MID(";"&amp;'CASE DATA'!$F190&amp;";",SMALL(IF(ISERROR(SEARCH(MID(";"&amp;'CASE DATA'!$F190&amp;";",ROW($1:$99),1),";")),"",ROW($1:$99)+1),COLUMN(E190)),SMALL(IF(ISERROR(SEARCH(MID(";"&amp;'CASE DATA'!$F190&amp;";",ROW($1:$99),1),";")),"",ROW($1:$99)),COLUMN(E189)+1)-SMALL(IF(ISERROR(SEARCH(MID(";"&amp;'CASE DATA'!$F190&amp;";",ROW($1:$99),1),";")),"",ROW($1:$99)),COLUMN(E189))-1)</f>
        <v/>
      </c>
      <c r="AC190" s="75" t="str" cm="1">
        <f t="array" ref="AC190">MID(";"&amp;'CASE DATA'!$F190&amp;";",SMALL(IF(ISERROR(SEARCH(MID(";"&amp;'CASE DATA'!$F190&amp;";",ROW($1:$99),1),";")),"",ROW($1:$99)+1),COLUMN(F190)),SMALL(IF(ISERROR(SEARCH(MID(";"&amp;'CASE DATA'!$F190&amp;";",ROW($1:$99),1),";")),"",ROW($1:$99)),COLUMN(F189)+1)-SMALL(IF(ISERROR(SEARCH(MID(";"&amp;'CASE DATA'!$F190&amp;";",ROW($1:$99),1),";")),"",ROW($1:$99)),COLUMN(F189))-1)</f>
        <v/>
      </c>
      <c r="AD190" s="75" t="str" cm="1">
        <f t="array" ref="AD190">MID(";"&amp;'CASE DATA'!$F190&amp;";",SMALL(IF(ISERROR(SEARCH(MID(";"&amp;'CASE DATA'!$F190&amp;";",ROW($1:$99),1),";")),"",ROW($1:$99)+1),COLUMN(G190)),SMALL(IF(ISERROR(SEARCH(MID(";"&amp;'CASE DATA'!$F190&amp;";",ROW($1:$99),1),";")),"",ROW($1:$99)),COLUMN(G189)+1)-SMALL(IF(ISERROR(SEARCH(MID(";"&amp;'CASE DATA'!$F190&amp;";",ROW($1:$99),1),";")),"",ROW($1:$99)),COLUMN(G189))-1)</f>
        <v/>
      </c>
      <c r="AE190" s="75" t="str" cm="1">
        <f t="array" ref="AE190">MID(";"&amp;'CASE DATA'!$F190&amp;";",SMALL(IF(ISERROR(SEARCH(MID(";"&amp;'CASE DATA'!$F190&amp;";",ROW($1:$99),1),";")),"",ROW($1:$99)+1),COLUMN(H190)),SMALL(IF(ISERROR(SEARCH(MID(";"&amp;'CASE DATA'!$F190&amp;";",ROW($1:$99),1),";")),"",ROW($1:$99)),COLUMN(H189)+1)-SMALL(IF(ISERROR(SEARCH(MID(";"&amp;'CASE DATA'!$F190&amp;";",ROW($1:$99),1),";")),"",ROW($1:$99)),COLUMN(H189))-1)</f>
        <v/>
      </c>
      <c r="AF190" s="75" t="str" cm="1">
        <f t="array" ref="AF190">MID(";"&amp;'CASE DATA'!$F190&amp;";",SMALL(IF(ISERROR(SEARCH(MID(";"&amp;'CASE DATA'!$F190&amp;";",ROW($1:$99),1),";")),"",ROW($1:$99)+1),COLUMN(I190)),SMALL(IF(ISERROR(SEARCH(MID(";"&amp;'CASE DATA'!$F190&amp;";",ROW($1:$99),1),";")),"",ROW($1:$99)),COLUMN(I189)+1)-SMALL(IF(ISERROR(SEARCH(MID(";"&amp;'CASE DATA'!$F190&amp;";",ROW($1:$99),1),";")),"",ROW($1:$99)),COLUMN(I189))-1)</f>
        <v/>
      </c>
      <c r="AG190" s="75" t="str" cm="1">
        <f t="array" ref="AG190">MID(";"&amp;'CASE DATA'!$F190&amp;";",SMALL(IF(ISERROR(SEARCH(MID(";"&amp;'CASE DATA'!$F190&amp;";",ROW($1:$99),1),";")),"",ROW($1:$99)+1),COLUMN(K190)),SMALL(IF(ISERROR(SEARCH(MID(";"&amp;'CASE DATA'!$F190&amp;";",ROW($1:$99),1),";")),"",ROW($1:$99)),COLUMN(K189)+1)-SMALL(IF(ISERROR(SEARCH(MID(";"&amp;'CASE DATA'!$F190&amp;";",ROW($1:$99),1),";")),"",ROW($1:$99)),COLUMN(K189))-1)</f>
        <v/>
      </c>
      <c r="AH190" s="75" t="str" cm="1">
        <f t="array" ref="AH190">MID(";"&amp;'CASE DATA'!$F190&amp;";",SMALL(IF(ISERROR(SEARCH(MID(";"&amp;'CASE DATA'!$F190&amp;";",ROW($1:$99),1),";")),"",ROW($1:$99)+1),COLUMN(L190)),SMALL(IF(ISERROR(SEARCH(MID(";"&amp;'CASE DATA'!$F190&amp;";",ROW($1:$99),1),";")),"",ROW($1:$99)),COLUMN(L189)+1)-SMALL(IF(ISERROR(SEARCH(MID(";"&amp;'CASE DATA'!$F190&amp;";",ROW($1:$99),1),";")),"",ROW($1:$99)),COLUMN(L189))-1)</f>
        <v/>
      </c>
      <c r="AI190" s="75" t="str" cm="1">
        <f t="array" ref="AI190">MID(";"&amp;'CASE DATA'!$F190&amp;";",SMALL(IF(ISERROR(SEARCH(MID(";"&amp;'CASE DATA'!$F190&amp;";",ROW($1:$99),1),";")),"",ROW($1:$99)+1),COLUMN(M190)),SMALL(IF(ISERROR(SEARCH(MID(";"&amp;'CASE DATA'!$F190&amp;";",ROW($1:$99),1),";")),"",ROW($1:$99)),COLUMN(M189)+1)-SMALL(IF(ISERROR(SEARCH(MID(";"&amp;'CASE DATA'!$F190&amp;";",ROW($1:$99),1),";")),"",ROW($1:$99)),COLUMN(M189))-1)</f>
        <v/>
      </c>
      <c r="BO190" s="99"/>
      <c r="BP190" s="99"/>
      <c r="BQ190" s="99"/>
      <c r="BR190" s="99"/>
      <c r="BS190" s="99"/>
      <c r="BT190" s="99"/>
      <c r="BU190" s="99"/>
      <c r="BV190" s="99"/>
      <c r="BW190" s="99"/>
      <c r="BX190" s="99"/>
      <c r="BY190" s="99"/>
      <c r="BZ190" s="99"/>
      <c r="CA190" s="99"/>
      <c r="CB190" s="99"/>
      <c r="CC190" s="99"/>
      <c r="CD190" s="99"/>
      <c r="CE190" s="99"/>
      <c r="CF190" s="99"/>
      <c r="CG190" s="99"/>
      <c r="CH190" s="99"/>
      <c r="CI190" s="99"/>
      <c r="CJ190" s="99"/>
      <c r="CK190" s="99"/>
      <c r="CL190" s="99"/>
      <c r="CM190" s="99"/>
      <c r="CN190" s="99"/>
      <c r="CO190" s="99"/>
      <c r="CP190" s="99"/>
      <c r="CQ190" s="99"/>
      <c r="CR190" s="99"/>
      <c r="CS190" s="99"/>
      <c r="CT190" s="99"/>
      <c r="CU190" s="99"/>
      <c r="CV190" s="99"/>
      <c r="CW190" s="99"/>
      <c r="CX190" s="99"/>
      <c r="CY190" s="99"/>
      <c r="CZ190" s="99"/>
      <c r="DA190" s="99"/>
      <c r="DB190" s="99"/>
      <c r="DC190" s="99"/>
      <c r="DD190" s="99"/>
      <c r="DE190" s="99"/>
      <c r="DF190" s="99"/>
      <c r="DG190" s="99"/>
      <c r="DH190" s="99"/>
      <c r="DI190" s="99"/>
      <c r="DJ190" s="99"/>
      <c r="DK190" s="99"/>
      <c r="DL190" s="99"/>
      <c r="DM190" s="99"/>
      <c r="DN190" s="99"/>
      <c r="DO190" s="99"/>
      <c r="DP190" s="99"/>
      <c r="DQ190" s="99"/>
      <c r="DR190" s="99"/>
      <c r="DS190" s="99"/>
      <c r="DT190" s="99"/>
      <c r="DU190" s="99"/>
      <c r="DV190" s="99"/>
      <c r="DW190" s="99"/>
      <c r="DX190" s="99"/>
      <c r="DY190" s="99"/>
      <c r="DZ190" s="99"/>
      <c r="EA190" s="99"/>
      <c r="EB190" s="99"/>
      <c r="EC190" s="99"/>
      <c r="ED190" s="99"/>
      <c r="EE190" s="99"/>
      <c r="EF190" s="99"/>
      <c r="EG190" s="99"/>
      <c r="EH190" s="99"/>
      <c r="EI190" s="99"/>
      <c r="EJ190" s="99"/>
      <c r="EK190" s="99"/>
      <c r="EL190" s="99"/>
      <c r="EM190" s="99"/>
      <c r="EN190" s="99"/>
      <c r="EO190" s="99"/>
      <c r="EP190" s="99"/>
      <c r="EQ190" s="99"/>
      <c r="ER190" s="99"/>
      <c r="ES190" s="99"/>
      <c r="ET190" s="99"/>
      <c r="EU190" s="99"/>
      <c r="EV190" s="99"/>
      <c r="EW190" s="99"/>
      <c r="EX190" s="99"/>
      <c r="EY190" s="99"/>
      <c r="EZ190" s="99"/>
      <c r="FA190" s="99"/>
      <c r="FB190" s="99"/>
      <c r="FC190" s="99"/>
      <c r="FD190" s="99"/>
      <c r="FE190" s="99"/>
      <c r="FF190" s="99"/>
      <c r="FG190" s="99"/>
      <c r="FH190" s="99"/>
      <c r="FI190" s="99"/>
      <c r="FJ190" s="99"/>
      <c r="FK190" s="99"/>
    </row>
    <row r="191" spans="3:167" x14ac:dyDescent="0.25">
      <c r="C191" s="10"/>
      <c r="D191" s="10"/>
      <c r="E191" s="11"/>
      <c r="F191" s="15"/>
      <c r="J191" s="99">
        <v>188</v>
      </c>
      <c r="K191" s="16"/>
      <c r="L191" s="16"/>
      <c r="M191" s="16"/>
      <c r="N191" s="16"/>
      <c r="O191" s="16"/>
      <c r="P191" s="16"/>
      <c r="Q191" s="16"/>
      <c r="R191" s="16"/>
      <c r="S191" s="16"/>
      <c r="T191" s="16"/>
      <c r="U191" s="14">
        <f>SUM(K191:T191)</f>
        <v>0</v>
      </c>
      <c r="V191" s="14"/>
      <c r="X191" s="75" t="str" cm="1">
        <f t="array" ref="X191">MID(";"&amp;'CASE DATA'!$F191&amp;";",SMALL(IF(ISERROR(SEARCH(MID(";"&amp;'CASE DATA'!$F191&amp;";",ROW($1:$99),1),";")),"",ROW($1:$99)+1),COLUMN(A191)),SMALL(IF(ISERROR(SEARCH(MID(";"&amp;'CASE DATA'!$F191&amp;";",ROW($1:$99),1),";")),"",ROW($1:$99)),COLUMN(A190)+1)-SMALL(IF(ISERROR(SEARCH(MID(";"&amp;'CASE DATA'!$F191&amp;";",ROW($1:$99),1),";")),"",ROW($1:$99)),COLUMN(A190))-1)</f>
        <v/>
      </c>
      <c r="Y191" s="75" t="str" cm="1">
        <f t="array" ref="Y191">MID(";"&amp;'CASE DATA'!$F191&amp;";",SMALL(IF(ISERROR(SEARCH(MID(";"&amp;'CASE DATA'!$F191&amp;";",ROW($1:$99),1),";")),"",ROW($1:$99)+1),COLUMN(B191)),SMALL(IF(ISERROR(SEARCH(MID(";"&amp;'CASE DATA'!$F191&amp;";",ROW($1:$99),1),";")),"",ROW($1:$99)),COLUMN(B190)+1)-SMALL(IF(ISERROR(SEARCH(MID(";"&amp;'CASE DATA'!$F191&amp;";",ROW($1:$99),1),";")),"",ROW($1:$99)),COLUMN(B190))-1)</f>
        <v/>
      </c>
      <c r="Z191" s="75" t="str" cm="1">
        <f t="array" ref="Z191">MID(";"&amp;'CASE DATA'!$F191&amp;";",SMALL(IF(ISERROR(SEARCH(MID(";"&amp;'CASE DATA'!$F191&amp;";",ROW($1:$99),1),";")),"",ROW($1:$99)+1),COLUMN(C191)),SMALL(IF(ISERROR(SEARCH(MID(";"&amp;'CASE DATA'!$F191&amp;";",ROW($1:$99),1),";")),"",ROW($1:$99)),COLUMN(C190)+1)-SMALL(IF(ISERROR(SEARCH(MID(";"&amp;'CASE DATA'!$F191&amp;";",ROW($1:$99),1),";")),"",ROW($1:$99)),COLUMN(C190))-1)</f>
        <v/>
      </c>
      <c r="AA191" s="75" t="str" cm="1">
        <f t="array" ref="AA191">MID(";"&amp;'CASE DATA'!$F191&amp;";",SMALL(IF(ISERROR(SEARCH(MID(";"&amp;'CASE DATA'!$F191&amp;";",ROW($1:$99),1),";")),"",ROW($1:$99)+1),COLUMN(D191)),SMALL(IF(ISERROR(SEARCH(MID(";"&amp;'CASE DATA'!$F191&amp;";",ROW($1:$99),1),";")),"",ROW($1:$99)),COLUMN(D190)+1)-SMALL(IF(ISERROR(SEARCH(MID(";"&amp;'CASE DATA'!$F191&amp;";",ROW($1:$99),1),";")),"",ROW($1:$99)),COLUMN(D190))-1)</f>
        <v/>
      </c>
      <c r="AB191" s="75" t="str" cm="1">
        <f t="array" ref="AB191">MID(";"&amp;'CASE DATA'!$F191&amp;";",SMALL(IF(ISERROR(SEARCH(MID(";"&amp;'CASE DATA'!$F191&amp;";",ROW($1:$99),1),";")),"",ROW($1:$99)+1),COLUMN(E191)),SMALL(IF(ISERROR(SEARCH(MID(";"&amp;'CASE DATA'!$F191&amp;";",ROW($1:$99),1),";")),"",ROW($1:$99)),COLUMN(E190)+1)-SMALL(IF(ISERROR(SEARCH(MID(";"&amp;'CASE DATA'!$F191&amp;";",ROW($1:$99),1),";")),"",ROW($1:$99)),COLUMN(E190))-1)</f>
        <v/>
      </c>
      <c r="AC191" s="75" t="str" cm="1">
        <f t="array" ref="AC191">MID(";"&amp;'CASE DATA'!$F191&amp;";",SMALL(IF(ISERROR(SEARCH(MID(";"&amp;'CASE DATA'!$F191&amp;";",ROW($1:$99),1),";")),"",ROW($1:$99)+1),COLUMN(F191)),SMALL(IF(ISERROR(SEARCH(MID(";"&amp;'CASE DATA'!$F191&amp;";",ROW($1:$99),1),";")),"",ROW($1:$99)),COLUMN(F190)+1)-SMALL(IF(ISERROR(SEARCH(MID(";"&amp;'CASE DATA'!$F191&amp;";",ROW($1:$99),1),";")),"",ROW($1:$99)),COLUMN(F190))-1)</f>
        <v/>
      </c>
      <c r="AD191" s="75" t="str" cm="1">
        <f t="array" ref="AD191">MID(";"&amp;'CASE DATA'!$F191&amp;";",SMALL(IF(ISERROR(SEARCH(MID(";"&amp;'CASE DATA'!$F191&amp;";",ROW($1:$99),1),";")),"",ROW($1:$99)+1),COLUMN(G191)),SMALL(IF(ISERROR(SEARCH(MID(";"&amp;'CASE DATA'!$F191&amp;";",ROW($1:$99),1),";")),"",ROW($1:$99)),COLUMN(G190)+1)-SMALL(IF(ISERROR(SEARCH(MID(";"&amp;'CASE DATA'!$F191&amp;";",ROW($1:$99),1),";")),"",ROW($1:$99)),COLUMN(G190))-1)</f>
        <v/>
      </c>
      <c r="AE191" s="75" t="str" cm="1">
        <f t="array" ref="AE191">MID(";"&amp;'CASE DATA'!$F191&amp;";",SMALL(IF(ISERROR(SEARCH(MID(";"&amp;'CASE DATA'!$F191&amp;";",ROW($1:$99),1),";")),"",ROW($1:$99)+1),COLUMN(H191)),SMALL(IF(ISERROR(SEARCH(MID(";"&amp;'CASE DATA'!$F191&amp;";",ROW($1:$99),1),";")),"",ROW($1:$99)),COLUMN(H190)+1)-SMALL(IF(ISERROR(SEARCH(MID(";"&amp;'CASE DATA'!$F191&amp;";",ROW($1:$99),1),";")),"",ROW($1:$99)),COLUMN(H190))-1)</f>
        <v/>
      </c>
      <c r="AF191" s="75" t="str" cm="1">
        <f t="array" ref="AF191">MID(";"&amp;'CASE DATA'!$F191&amp;";",SMALL(IF(ISERROR(SEARCH(MID(";"&amp;'CASE DATA'!$F191&amp;";",ROW($1:$99),1),";")),"",ROW($1:$99)+1),COLUMN(I191)),SMALL(IF(ISERROR(SEARCH(MID(";"&amp;'CASE DATA'!$F191&amp;";",ROW($1:$99),1),";")),"",ROW($1:$99)),COLUMN(I190)+1)-SMALL(IF(ISERROR(SEARCH(MID(";"&amp;'CASE DATA'!$F191&amp;";",ROW($1:$99),1),";")),"",ROW($1:$99)),COLUMN(I190))-1)</f>
        <v/>
      </c>
      <c r="AG191" s="75" t="str" cm="1">
        <f t="array" ref="AG191">MID(";"&amp;'CASE DATA'!$F191&amp;";",SMALL(IF(ISERROR(SEARCH(MID(";"&amp;'CASE DATA'!$F191&amp;";",ROW($1:$99),1),";")),"",ROW($1:$99)+1),COLUMN(K191)),SMALL(IF(ISERROR(SEARCH(MID(";"&amp;'CASE DATA'!$F191&amp;";",ROW($1:$99),1),";")),"",ROW($1:$99)),COLUMN(K190)+1)-SMALL(IF(ISERROR(SEARCH(MID(";"&amp;'CASE DATA'!$F191&amp;";",ROW($1:$99),1),";")),"",ROW($1:$99)),COLUMN(K190))-1)</f>
        <v/>
      </c>
      <c r="AH191" s="75" t="str" cm="1">
        <f t="array" ref="AH191">MID(";"&amp;'CASE DATA'!$F191&amp;";",SMALL(IF(ISERROR(SEARCH(MID(";"&amp;'CASE DATA'!$F191&amp;";",ROW($1:$99),1),";")),"",ROW($1:$99)+1),COLUMN(L191)),SMALL(IF(ISERROR(SEARCH(MID(";"&amp;'CASE DATA'!$F191&amp;";",ROW($1:$99),1),";")),"",ROW($1:$99)),COLUMN(L190)+1)-SMALL(IF(ISERROR(SEARCH(MID(";"&amp;'CASE DATA'!$F191&amp;";",ROW($1:$99),1),";")),"",ROW($1:$99)),COLUMN(L190))-1)</f>
        <v/>
      </c>
      <c r="AI191" s="75" t="str" cm="1">
        <f t="array" ref="AI191">MID(";"&amp;'CASE DATA'!$F191&amp;";",SMALL(IF(ISERROR(SEARCH(MID(";"&amp;'CASE DATA'!$F191&amp;";",ROW($1:$99),1),";")),"",ROW($1:$99)+1),COLUMN(M191)),SMALL(IF(ISERROR(SEARCH(MID(";"&amp;'CASE DATA'!$F191&amp;";",ROW($1:$99),1),";")),"",ROW($1:$99)),COLUMN(M190)+1)-SMALL(IF(ISERROR(SEARCH(MID(";"&amp;'CASE DATA'!$F191&amp;";",ROW($1:$99),1),";")),"",ROW($1:$99)),COLUMN(M190))-1)</f>
        <v/>
      </c>
      <c r="BO191" s="99"/>
      <c r="BP191" s="99"/>
      <c r="BQ191" s="99"/>
      <c r="BR191" s="99"/>
      <c r="BS191" s="99"/>
      <c r="BT191" s="99"/>
      <c r="BU191" s="99"/>
      <c r="BV191" s="99"/>
      <c r="BW191" s="99"/>
      <c r="BX191" s="99"/>
      <c r="BY191" s="99"/>
      <c r="BZ191" s="99"/>
      <c r="CA191" s="99"/>
      <c r="CB191" s="99"/>
      <c r="CC191" s="99"/>
      <c r="CD191" s="99"/>
      <c r="CE191" s="99"/>
      <c r="CF191" s="99"/>
      <c r="CG191" s="99"/>
      <c r="CH191" s="99"/>
      <c r="CI191" s="99"/>
      <c r="CJ191" s="99"/>
      <c r="CK191" s="99"/>
      <c r="CL191" s="99"/>
      <c r="CM191" s="99"/>
      <c r="CN191" s="99"/>
      <c r="CO191" s="99"/>
      <c r="CP191" s="99"/>
      <c r="CQ191" s="99"/>
      <c r="CR191" s="99"/>
      <c r="CS191" s="99"/>
      <c r="CT191" s="99"/>
      <c r="CU191" s="99"/>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99"/>
      <c r="EE191" s="99"/>
      <c r="EF191" s="99"/>
      <c r="EG191" s="99"/>
      <c r="EH191" s="99"/>
      <c r="EI191" s="99"/>
      <c r="EJ191" s="99"/>
      <c r="EK191" s="99"/>
      <c r="EL191" s="99"/>
      <c r="EM191" s="99"/>
      <c r="EN191" s="99"/>
      <c r="EO191" s="99"/>
      <c r="EP191" s="99"/>
      <c r="EQ191" s="99"/>
      <c r="ER191" s="99"/>
      <c r="ES191" s="99"/>
      <c r="ET191" s="99"/>
      <c r="EU191" s="99"/>
      <c r="EV191" s="99"/>
      <c r="EW191" s="99"/>
      <c r="EX191" s="99"/>
      <c r="EY191" s="99"/>
      <c r="EZ191" s="99"/>
      <c r="FA191" s="99"/>
      <c r="FB191" s="99"/>
      <c r="FC191" s="99"/>
      <c r="FD191" s="99"/>
      <c r="FE191" s="99"/>
      <c r="FF191" s="99"/>
      <c r="FG191" s="99"/>
      <c r="FH191" s="99"/>
      <c r="FI191" s="99"/>
      <c r="FJ191" s="99"/>
      <c r="FK191" s="99"/>
    </row>
    <row r="192" spans="3:167" x14ac:dyDescent="0.25">
      <c r="C192" s="10"/>
      <c r="D192" s="10"/>
      <c r="E192" s="11"/>
      <c r="F192" s="15"/>
      <c r="J192" s="99">
        <v>189</v>
      </c>
      <c r="K192" s="16"/>
      <c r="L192" s="16"/>
      <c r="M192" s="16"/>
      <c r="N192" s="16"/>
      <c r="O192" s="16"/>
      <c r="P192" s="16"/>
      <c r="Q192" s="16"/>
      <c r="R192" s="16"/>
      <c r="S192" s="16"/>
      <c r="T192" s="16"/>
      <c r="U192" s="14">
        <f>SUM(K192:T192)</f>
        <v>0</v>
      </c>
      <c r="V192" s="14"/>
      <c r="X192" s="75" t="str" cm="1">
        <f t="array" ref="X192">MID(";"&amp;'CASE DATA'!$F192&amp;";",SMALL(IF(ISERROR(SEARCH(MID(";"&amp;'CASE DATA'!$F192&amp;";",ROW($1:$99),1),";")),"",ROW($1:$99)+1),COLUMN(A192)),SMALL(IF(ISERROR(SEARCH(MID(";"&amp;'CASE DATA'!$F192&amp;";",ROW($1:$99),1),";")),"",ROW($1:$99)),COLUMN(A191)+1)-SMALL(IF(ISERROR(SEARCH(MID(";"&amp;'CASE DATA'!$F192&amp;";",ROW($1:$99),1),";")),"",ROW($1:$99)),COLUMN(A191))-1)</f>
        <v/>
      </c>
      <c r="Y192" s="75" t="str" cm="1">
        <f t="array" ref="Y192">MID(";"&amp;'CASE DATA'!$F192&amp;";",SMALL(IF(ISERROR(SEARCH(MID(";"&amp;'CASE DATA'!$F192&amp;";",ROW($1:$99),1),";")),"",ROW($1:$99)+1),COLUMN(B192)),SMALL(IF(ISERROR(SEARCH(MID(";"&amp;'CASE DATA'!$F192&amp;";",ROW($1:$99),1),";")),"",ROW($1:$99)),COLUMN(B191)+1)-SMALL(IF(ISERROR(SEARCH(MID(";"&amp;'CASE DATA'!$F192&amp;";",ROW($1:$99),1),";")),"",ROW($1:$99)),COLUMN(B191))-1)</f>
        <v/>
      </c>
      <c r="Z192" s="75" t="str" cm="1">
        <f t="array" ref="Z192">MID(";"&amp;'CASE DATA'!$F192&amp;";",SMALL(IF(ISERROR(SEARCH(MID(";"&amp;'CASE DATA'!$F192&amp;";",ROW($1:$99),1),";")),"",ROW($1:$99)+1),COLUMN(C192)),SMALL(IF(ISERROR(SEARCH(MID(";"&amp;'CASE DATA'!$F192&amp;";",ROW($1:$99),1),";")),"",ROW($1:$99)),COLUMN(C191)+1)-SMALL(IF(ISERROR(SEARCH(MID(";"&amp;'CASE DATA'!$F192&amp;";",ROW($1:$99),1),";")),"",ROW($1:$99)),COLUMN(C191))-1)</f>
        <v/>
      </c>
      <c r="AA192" s="75" t="str" cm="1">
        <f t="array" ref="AA192">MID(";"&amp;'CASE DATA'!$F192&amp;";",SMALL(IF(ISERROR(SEARCH(MID(";"&amp;'CASE DATA'!$F192&amp;";",ROW($1:$99),1),";")),"",ROW($1:$99)+1),COLUMN(D192)),SMALL(IF(ISERROR(SEARCH(MID(";"&amp;'CASE DATA'!$F192&amp;";",ROW($1:$99),1),";")),"",ROW($1:$99)),COLUMN(D191)+1)-SMALL(IF(ISERROR(SEARCH(MID(";"&amp;'CASE DATA'!$F192&amp;";",ROW($1:$99),1),";")),"",ROW($1:$99)),COLUMN(D191))-1)</f>
        <v/>
      </c>
      <c r="AB192" s="75" t="str" cm="1">
        <f t="array" ref="AB192">MID(";"&amp;'CASE DATA'!$F192&amp;";",SMALL(IF(ISERROR(SEARCH(MID(";"&amp;'CASE DATA'!$F192&amp;";",ROW($1:$99),1),";")),"",ROW($1:$99)+1),COLUMN(E192)),SMALL(IF(ISERROR(SEARCH(MID(";"&amp;'CASE DATA'!$F192&amp;";",ROW($1:$99),1),";")),"",ROW($1:$99)),COLUMN(E191)+1)-SMALL(IF(ISERROR(SEARCH(MID(";"&amp;'CASE DATA'!$F192&amp;";",ROW($1:$99),1),";")),"",ROW($1:$99)),COLUMN(E191))-1)</f>
        <v/>
      </c>
      <c r="AC192" s="75" t="str" cm="1">
        <f t="array" ref="AC192">MID(";"&amp;'CASE DATA'!$F192&amp;";",SMALL(IF(ISERROR(SEARCH(MID(";"&amp;'CASE DATA'!$F192&amp;";",ROW($1:$99),1),";")),"",ROW($1:$99)+1),COLUMN(F192)),SMALL(IF(ISERROR(SEARCH(MID(";"&amp;'CASE DATA'!$F192&amp;";",ROW($1:$99),1),";")),"",ROW($1:$99)),COLUMN(F191)+1)-SMALL(IF(ISERROR(SEARCH(MID(";"&amp;'CASE DATA'!$F192&amp;";",ROW($1:$99),1),";")),"",ROW($1:$99)),COLUMN(F191))-1)</f>
        <v/>
      </c>
      <c r="AD192" s="75" t="str" cm="1">
        <f t="array" ref="AD192">MID(";"&amp;'CASE DATA'!$F192&amp;";",SMALL(IF(ISERROR(SEARCH(MID(";"&amp;'CASE DATA'!$F192&amp;";",ROW($1:$99),1),";")),"",ROW($1:$99)+1),COLUMN(G192)),SMALL(IF(ISERROR(SEARCH(MID(";"&amp;'CASE DATA'!$F192&amp;";",ROW($1:$99),1),";")),"",ROW($1:$99)),COLUMN(G191)+1)-SMALL(IF(ISERROR(SEARCH(MID(";"&amp;'CASE DATA'!$F192&amp;";",ROW($1:$99),1),";")),"",ROW($1:$99)),COLUMN(G191))-1)</f>
        <v/>
      </c>
      <c r="AE192" s="75" t="str" cm="1">
        <f t="array" ref="AE192">MID(";"&amp;'CASE DATA'!$F192&amp;";",SMALL(IF(ISERROR(SEARCH(MID(";"&amp;'CASE DATA'!$F192&amp;";",ROW($1:$99),1),";")),"",ROW($1:$99)+1),COLUMN(H192)),SMALL(IF(ISERROR(SEARCH(MID(";"&amp;'CASE DATA'!$F192&amp;";",ROW($1:$99),1),";")),"",ROW($1:$99)),COLUMN(H191)+1)-SMALL(IF(ISERROR(SEARCH(MID(";"&amp;'CASE DATA'!$F192&amp;";",ROW($1:$99),1),";")),"",ROW($1:$99)),COLUMN(H191))-1)</f>
        <v/>
      </c>
      <c r="AF192" s="75" t="str" cm="1">
        <f t="array" ref="AF192">MID(";"&amp;'CASE DATA'!$F192&amp;";",SMALL(IF(ISERROR(SEARCH(MID(";"&amp;'CASE DATA'!$F192&amp;";",ROW($1:$99),1),";")),"",ROW($1:$99)+1),COLUMN(I192)),SMALL(IF(ISERROR(SEARCH(MID(";"&amp;'CASE DATA'!$F192&amp;";",ROW($1:$99),1),";")),"",ROW($1:$99)),COLUMN(I191)+1)-SMALL(IF(ISERROR(SEARCH(MID(";"&amp;'CASE DATA'!$F192&amp;";",ROW($1:$99),1),";")),"",ROW($1:$99)),COLUMN(I191))-1)</f>
        <v/>
      </c>
      <c r="AG192" s="75" t="str" cm="1">
        <f t="array" ref="AG192">MID(";"&amp;'CASE DATA'!$F192&amp;";",SMALL(IF(ISERROR(SEARCH(MID(";"&amp;'CASE DATA'!$F192&amp;";",ROW($1:$99),1),";")),"",ROW($1:$99)+1),COLUMN(K192)),SMALL(IF(ISERROR(SEARCH(MID(";"&amp;'CASE DATA'!$F192&amp;";",ROW($1:$99),1),";")),"",ROW($1:$99)),COLUMN(K191)+1)-SMALL(IF(ISERROR(SEARCH(MID(";"&amp;'CASE DATA'!$F192&amp;";",ROW($1:$99),1),";")),"",ROW($1:$99)),COLUMN(K191))-1)</f>
        <v/>
      </c>
      <c r="AH192" s="75" t="str" cm="1">
        <f t="array" ref="AH192">MID(";"&amp;'CASE DATA'!$F192&amp;";",SMALL(IF(ISERROR(SEARCH(MID(";"&amp;'CASE DATA'!$F192&amp;";",ROW($1:$99),1),";")),"",ROW($1:$99)+1),COLUMN(L192)),SMALL(IF(ISERROR(SEARCH(MID(";"&amp;'CASE DATA'!$F192&amp;";",ROW($1:$99),1),";")),"",ROW($1:$99)),COLUMN(L191)+1)-SMALL(IF(ISERROR(SEARCH(MID(";"&amp;'CASE DATA'!$F192&amp;";",ROW($1:$99),1),";")),"",ROW($1:$99)),COLUMN(L191))-1)</f>
        <v/>
      </c>
      <c r="AI192" s="75" t="str" cm="1">
        <f t="array" ref="AI192">MID(";"&amp;'CASE DATA'!$F192&amp;";",SMALL(IF(ISERROR(SEARCH(MID(";"&amp;'CASE DATA'!$F192&amp;";",ROW($1:$99),1),";")),"",ROW($1:$99)+1),COLUMN(M192)),SMALL(IF(ISERROR(SEARCH(MID(";"&amp;'CASE DATA'!$F192&amp;";",ROW($1:$99),1),";")),"",ROW($1:$99)),COLUMN(M191)+1)-SMALL(IF(ISERROR(SEARCH(MID(";"&amp;'CASE DATA'!$F192&amp;";",ROW($1:$99),1),";")),"",ROW($1:$99)),COLUMN(M191))-1)</f>
        <v/>
      </c>
      <c r="BO192" s="99"/>
      <c r="BP192" s="99"/>
      <c r="BQ192" s="99"/>
      <c r="BR192" s="99"/>
      <c r="BS192" s="99"/>
      <c r="BT192" s="99"/>
      <c r="BU192" s="99"/>
      <c r="BV192" s="99"/>
      <c r="BW192" s="99"/>
      <c r="BX192" s="99"/>
      <c r="BY192" s="99"/>
      <c r="BZ192" s="99"/>
      <c r="CA192" s="99"/>
      <c r="CB192" s="99"/>
      <c r="CC192" s="99"/>
      <c r="CD192" s="99"/>
      <c r="CE192" s="99"/>
      <c r="CF192" s="99"/>
      <c r="CG192" s="99"/>
      <c r="CH192" s="99"/>
      <c r="CI192" s="99"/>
      <c r="CJ192" s="99"/>
      <c r="CK192" s="99"/>
      <c r="CL192" s="99"/>
      <c r="CM192" s="99"/>
      <c r="CN192" s="99"/>
      <c r="CO192" s="99"/>
      <c r="CP192" s="99"/>
      <c r="CQ192" s="99"/>
      <c r="CR192" s="99"/>
      <c r="CS192" s="99"/>
      <c r="CT192" s="99"/>
      <c r="CU192" s="99"/>
      <c r="CV192" s="99"/>
      <c r="CW192" s="99"/>
      <c r="CX192" s="99"/>
      <c r="CY192" s="99"/>
      <c r="CZ192" s="99"/>
      <c r="DA192" s="99"/>
      <c r="DB192" s="99"/>
      <c r="DC192" s="99"/>
      <c r="DD192" s="99"/>
      <c r="DE192" s="99"/>
      <c r="DF192" s="99"/>
      <c r="DG192" s="99"/>
      <c r="DH192" s="99"/>
      <c r="DI192" s="99"/>
      <c r="DJ192" s="99"/>
      <c r="DK192" s="99"/>
      <c r="DL192" s="99"/>
      <c r="DM192" s="99"/>
      <c r="DN192" s="99"/>
      <c r="DO192" s="99"/>
      <c r="DP192" s="99"/>
      <c r="DQ192" s="99"/>
      <c r="DR192" s="99"/>
      <c r="DS192" s="99"/>
      <c r="DT192" s="99"/>
      <c r="DU192" s="99"/>
      <c r="DV192" s="99"/>
      <c r="DW192" s="99"/>
      <c r="DX192" s="99"/>
      <c r="DY192" s="99"/>
      <c r="DZ192" s="99"/>
      <c r="EA192" s="99"/>
      <c r="EB192" s="99"/>
      <c r="EC192" s="99"/>
      <c r="ED192" s="99"/>
      <c r="EE192" s="99"/>
      <c r="EF192" s="99"/>
      <c r="EG192" s="99"/>
      <c r="EH192" s="99"/>
      <c r="EI192" s="99"/>
      <c r="EJ192" s="99"/>
      <c r="EK192" s="99"/>
      <c r="EL192" s="99"/>
      <c r="EM192" s="99"/>
      <c r="EN192" s="99"/>
      <c r="EO192" s="99"/>
      <c r="EP192" s="99"/>
      <c r="EQ192" s="99"/>
      <c r="ER192" s="99"/>
      <c r="ES192" s="99"/>
      <c r="ET192" s="99"/>
      <c r="EU192" s="99"/>
      <c r="EV192" s="99"/>
      <c r="EW192" s="99"/>
      <c r="EX192" s="99"/>
      <c r="EY192" s="99"/>
      <c r="EZ192" s="99"/>
      <c r="FA192" s="99"/>
      <c r="FB192" s="99"/>
      <c r="FC192" s="99"/>
      <c r="FD192" s="99"/>
      <c r="FE192" s="99"/>
      <c r="FF192" s="99"/>
      <c r="FG192" s="99"/>
      <c r="FH192" s="99"/>
      <c r="FI192" s="99"/>
      <c r="FJ192" s="99"/>
      <c r="FK192" s="99"/>
    </row>
    <row r="193" spans="3:167" x14ac:dyDescent="0.25">
      <c r="C193" s="10"/>
      <c r="D193" s="10"/>
      <c r="E193" s="11"/>
      <c r="F193" s="15"/>
      <c r="J193" s="99">
        <v>190</v>
      </c>
      <c r="K193" s="16"/>
      <c r="L193" s="16"/>
      <c r="M193" s="16"/>
      <c r="N193" s="16"/>
      <c r="O193" s="16"/>
      <c r="P193" s="16"/>
      <c r="Q193" s="16"/>
      <c r="R193" s="16"/>
      <c r="S193" s="16"/>
      <c r="T193" s="16"/>
      <c r="U193" s="14">
        <f>SUM(K193:T193)</f>
        <v>0</v>
      </c>
      <c r="V193" s="14"/>
      <c r="X193" s="75" t="str" cm="1">
        <f t="array" ref="X193">MID(";"&amp;'CASE DATA'!$F193&amp;";",SMALL(IF(ISERROR(SEARCH(MID(";"&amp;'CASE DATA'!$F193&amp;";",ROW($1:$99),1),";")),"",ROW($1:$99)+1),COLUMN(A193)),SMALL(IF(ISERROR(SEARCH(MID(";"&amp;'CASE DATA'!$F193&amp;";",ROW($1:$99),1),";")),"",ROW($1:$99)),COLUMN(A192)+1)-SMALL(IF(ISERROR(SEARCH(MID(";"&amp;'CASE DATA'!$F193&amp;";",ROW($1:$99),1),";")),"",ROW($1:$99)),COLUMN(A192))-1)</f>
        <v/>
      </c>
      <c r="Y193" s="75" t="str" cm="1">
        <f t="array" ref="Y193">MID(";"&amp;'CASE DATA'!$F193&amp;";",SMALL(IF(ISERROR(SEARCH(MID(";"&amp;'CASE DATA'!$F193&amp;";",ROW($1:$99),1),";")),"",ROW($1:$99)+1),COLUMN(B193)),SMALL(IF(ISERROR(SEARCH(MID(";"&amp;'CASE DATA'!$F193&amp;";",ROW($1:$99),1),";")),"",ROW($1:$99)),COLUMN(B192)+1)-SMALL(IF(ISERROR(SEARCH(MID(";"&amp;'CASE DATA'!$F193&amp;";",ROW($1:$99),1),";")),"",ROW($1:$99)),COLUMN(B192))-1)</f>
        <v/>
      </c>
      <c r="Z193" s="75" t="str" cm="1">
        <f t="array" ref="Z193">MID(";"&amp;'CASE DATA'!$F193&amp;";",SMALL(IF(ISERROR(SEARCH(MID(";"&amp;'CASE DATA'!$F193&amp;";",ROW($1:$99),1),";")),"",ROW($1:$99)+1),COLUMN(C193)),SMALL(IF(ISERROR(SEARCH(MID(";"&amp;'CASE DATA'!$F193&amp;";",ROW($1:$99),1),";")),"",ROW($1:$99)),COLUMN(C192)+1)-SMALL(IF(ISERROR(SEARCH(MID(";"&amp;'CASE DATA'!$F193&amp;";",ROW($1:$99),1),";")),"",ROW($1:$99)),COLUMN(C192))-1)</f>
        <v/>
      </c>
      <c r="AA193" s="75" t="str" cm="1">
        <f t="array" ref="AA193">MID(";"&amp;'CASE DATA'!$F193&amp;";",SMALL(IF(ISERROR(SEARCH(MID(";"&amp;'CASE DATA'!$F193&amp;";",ROW($1:$99),1),";")),"",ROW($1:$99)+1),COLUMN(D193)),SMALL(IF(ISERROR(SEARCH(MID(";"&amp;'CASE DATA'!$F193&amp;";",ROW($1:$99),1),";")),"",ROW($1:$99)),COLUMN(D192)+1)-SMALL(IF(ISERROR(SEARCH(MID(";"&amp;'CASE DATA'!$F193&amp;";",ROW($1:$99),1),";")),"",ROW($1:$99)),COLUMN(D192))-1)</f>
        <v/>
      </c>
      <c r="AB193" s="75" t="str" cm="1">
        <f t="array" ref="AB193">MID(";"&amp;'CASE DATA'!$F193&amp;";",SMALL(IF(ISERROR(SEARCH(MID(";"&amp;'CASE DATA'!$F193&amp;";",ROW($1:$99),1),";")),"",ROW($1:$99)+1),COLUMN(E193)),SMALL(IF(ISERROR(SEARCH(MID(";"&amp;'CASE DATA'!$F193&amp;";",ROW($1:$99),1),";")),"",ROW($1:$99)),COLUMN(E192)+1)-SMALL(IF(ISERROR(SEARCH(MID(";"&amp;'CASE DATA'!$F193&amp;";",ROW($1:$99),1),";")),"",ROW($1:$99)),COLUMN(E192))-1)</f>
        <v/>
      </c>
      <c r="AC193" s="75" t="str" cm="1">
        <f t="array" ref="AC193">MID(";"&amp;'CASE DATA'!$F193&amp;";",SMALL(IF(ISERROR(SEARCH(MID(";"&amp;'CASE DATA'!$F193&amp;";",ROW($1:$99),1),";")),"",ROW($1:$99)+1),COLUMN(F193)),SMALL(IF(ISERROR(SEARCH(MID(";"&amp;'CASE DATA'!$F193&amp;";",ROW($1:$99),1),";")),"",ROW($1:$99)),COLUMN(F192)+1)-SMALL(IF(ISERROR(SEARCH(MID(";"&amp;'CASE DATA'!$F193&amp;";",ROW($1:$99),1),";")),"",ROW($1:$99)),COLUMN(F192))-1)</f>
        <v/>
      </c>
      <c r="AD193" s="75" t="str" cm="1">
        <f t="array" ref="AD193">MID(";"&amp;'CASE DATA'!$F193&amp;";",SMALL(IF(ISERROR(SEARCH(MID(";"&amp;'CASE DATA'!$F193&amp;";",ROW($1:$99),1),";")),"",ROW($1:$99)+1),COLUMN(G193)),SMALL(IF(ISERROR(SEARCH(MID(";"&amp;'CASE DATA'!$F193&amp;";",ROW($1:$99),1),";")),"",ROW($1:$99)),COLUMN(G192)+1)-SMALL(IF(ISERROR(SEARCH(MID(";"&amp;'CASE DATA'!$F193&amp;";",ROW($1:$99),1),";")),"",ROW($1:$99)),COLUMN(G192))-1)</f>
        <v/>
      </c>
      <c r="AE193" s="75" t="str" cm="1">
        <f t="array" ref="AE193">MID(";"&amp;'CASE DATA'!$F193&amp;";",SMALL(IF(ISERROR(SEARCH(MID(";"&amp;'CASE DATA'!$F193&amp;";",ROW($1:$99),1),";")),"",ROW($1:$99)+1),COLUMN(H193)),SMALL(IF(ISERROR(SEARCH(MID(";"&amp;'CASE DATA'!$F193&amp;";",ROW($1:$99),1),";")),"",ROW($1:$99)),COLUMN(H192)+1)-SMALL(IF(ISERROR(SEARCH(MID(";"&amp;'CASE DATA'!$F193&amp;";",ROW($1:$99),1),";")),"",ROW($1:$99)),COLUMN(H192))-1)</f>
        <v/>
      </c>
      <c r="AF193" s="75" t="str" cm="1">
        <f t="array" ref="AF193">MID(";"&amp;'CASE DATA'!$F193&amp;";",SMALL(IF(ISERROR(SEARCH(MID(";"&amp;'CASE DATA'!$F193&amp;";",ROW($1:$99),1),";")),"",ROW($1:$99)+1),COLUMN(I193)),SMALL(IF(ISERROR(SEARCH(MID(";"&amp;'CASE DATA'!$F193&amp;";",ROW($1:$99),1),";")),"",ROW($1:$99)),COLUMN(I192)+1)-SMALL(IF(ISERROR(SEARCH(MID(";"&amp;'CASE DATA'!$F193&amp;";",ROW($1:$99),1),";")),"",ROW($1:$99)),COLUMN(I192))-1)</f>
        <v/>
      </c>
      <c r="AG193" s="75" t="str" cm="1">
        <f t="array" ref="AG193">MID(";"&amp;'CASE DATA'!$F193&amp;";",SMALL(IF(ISERROR(SEARCH(MID(";"&amp;'CASE DATA'!$F193&amp;";",ROW($1:$99),1),";")),"",ROW($1:$99)+1),COLUMN(K193)),SMALL(IF(ISERROR(SEARCH(MID(";"&amp;'CASE DATA'!$F193&amp;";",ROW($1:$99),1),";")),"",ROW($1:$99)),COLUMN(K192)+1)-SMALL(IF(ISERROR(SEARCH(MID(";"&amp;'CASE DATA'!$F193&amp;";",ROW($1:$99),1),";")),"",ROW($1:$99)),COLUMN(K192))-1)</f>
        <v/>
      </c>
      <c r="AH193" s="75" t="str" cm="1">
        <f t="array" ref="AH193">MID(";"&amp;'CASE DATA'!$F193&amp;";",SMALL(IF(ISERROR(SEARCH(MID(";"&amp;'CASE DATA'!$F193&amp;";",ROW($1:$99),1),";")),"",ROW($1:$99)+1),COLUMN(L193)),SMALL(IF(ISERROR(SEARCH(MID(";"&amp;'CASE DATA'!$F193&amp;";",ROW($1:$99),1),";")),"",ROW($1:$99)),COLUMN(L192)+1)-SMALL(IF(ISERROR(SEARCH(MID(";"&amp;'CASE DATA'!$F193&amp;";",ROW($1:$99),1),";")),"",ROW($1:$99)),COLUMN(L192))-1)</f>
        <v/>
      </c>
      <c r="AI193" s="75" t="str" cm="1">
        <f t="array" ref="AI193">MID(";"&amp;'CASE DATA'!$F193&amp;";",SMALL(IF(ISERROR(SEARCH(MID(";"&amp;'CASE DATA'!$F193&amp;";",ROW($1:$99),1),";")),"",ROW($1:$99)+1),COLUMN(M193)),SMALL(IF(ISERROR(SEARCH(MID(";"&amp;'CASE DATA'!$F193&amp;";",ROW($1:$99),1),";")),"",ROW($1:$99)),COLUMN(M192)+1)-SMALL(IF(ISERROR(SEARCH(MID(";"&amp;'CASE DATA'!$F193&amp;";",ROW($1:$99),1),";")),"",ROW($1:$99)),COLUMN(M192))-1)</f>
        <v/>
      </c>
      <c r="BO193" s="99"/>
      <c r="BP193" s="99"/>
      <c r="BQ193" s="99"/>
      <c r="BR193" s="99"/>
      <c r="BS193" s="99"/>
      <c r="BT193" s="99"/>
      <c r="BU193" s="99"/>
      <c r="BV193" s="99"/>
      <c r="BW193" s="99"/>
      <c r="BX193" s="99"/>
      <c r="BY193" s="99"/>
      <c r="BZ193" s="99"/>
      <c r="CA193" s="99"/>
      <c r="CB193" s="99"/>
      <c r="CC193" s="99"/>
      <c r="CD193" s="99"/>
      <c r="CE193" s="99"/>
      <c r="CF193" s="99"/>
      <c r="CG193" s="99"/>
      <c r="CH193" s="99"/>
      <c r="CI193" s="99"/>
      <c r="CJ193" s="99"/>
      <c r="CK193" s="99"/>
      <c r="CL193" s="99"/>
      <c r="CM193" s="99"/>
      <c r="CN193" s="99"/>
      <c r="CO193" s="99"/>
      <c r="CP193" s="99"/>
      <c r="CQ193" s="99"/>
      <c r="CR193" s="99"/>
      <c r="CS193" s="99"/>
      <c r="CT193" s="99"/>
      <c r="CU193" s="99"/>
      <c r="CV193" s="99"/>
      <c r="CW193" s="99"/>
      <c r="CX193" s="99"/>
      <c r="CY193" s="99"/>
      <c r="CZ193" s="99"/>
      <c r="DA193" s="99"/>
      <c r="DB193" s="99"/>
      <c r="DC193" s="99"/>
      <c r="DD193" s="99"/>
      <c r="DE193" s="99"/>
      <c r="DF193" s="99"/>
      <c r="DG193" s="99"/>
      <c r="DH193" s="99"/>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99"/>
      <c r="EE193" s="99"/>
      <c r="EF193" s="99"/>
      <c r="EG193" s="99"/>
      <c r="EH193" s="99"/>
      <c r="EI193" s="99"/>
      <c r="EJ193" s="99"/>
      <c r="EK193" s="99"/>
      <c r="EL193" s="99"/>
      <c r="EM193" s="99"/>
      <c r="EN193" s="99"/>
      <c r="EO193" s="99"/>
      <c r="EP193" s="99"/>
      <c r="EQ193" s="99"/>
      <c r="ER193" s="99"/>
      <c r="ES193" s="99"/>
      <c r="ET193" s="99"/>
      <c r="EU193" s="99"/>
      <c r="EV193" s="99"/>
      <c r="EW193" s="99"/>
      <c r="EX193" s="99"/>
      <c r="EY193" s="99"/>
      <c r="EZ193" s="99"/>
      <c r="FA193" s="99"/>
      <c r="FB193" s="99"/>
      <c r="FC193" s="99"/>
      <c r="FD193" s="99"/>
      <c r="FE193" s="99"/>
      <c r="FF193" s="99"/>
      <c r="FG193" s="99"/>
      <c r="FH193" s="99"/>
      <c r="FI193" s="99"/>
      <c r="FJ193" s="99"/>
      <c r="FK193" s="99"/>
    </row>
    <row r="194" spans="3:167" x14ac:dyDescent="0.25">
      <c r="C194" s="10"/>
      <c r="D194" s="10"/>
      <c r="E194" s="11"/>
      <c r="F194" s="15"/>
      <c r="J194" s="99">
        <v>191</v>
      </c>
      <c r="K194" s="16"/>
      <c r="L194" s="16"/>
      <c r="M194" s="16"/>
      <c r="N194" s="16"/>
      <c r="O194" s="16"/>
      <c r="P194" s="16"/>
      <c r="Q194" s="16"/>
      <c r="R194" s="16"/>
      <c r="S194" s="16"/>
      <c r="T194" s="16"/>
      <c r="U194" s="14">
        <f>SUM(K194:T194)</f>
        <v>0</v>
      </c>
      <c r="V194" s="14"/>
      <c r="X194" s="75" t="str" cm="1">
        <f t="array" ref="X194">MID(";"&amp;'CASE DATA'!$F194&amp;";",SMALL(IF(ISERROR(SEARCH(MID(";"&amp;'CASE DATA'!$F194&amp;";",ROW($1:$99),1),";")),"",ROW($1:$99)+1),COLUMN(A194)),SMALL(IF(ISERROR(SEARCH(MID(";"&amp;'CASE DATA'!$F194&amp;";",ROW($1:$99),1),";")),"",ROW($1:$99)),COLUMN(A193)+1)-SMALL(IF(ISERROR(SEARCH(MID(";"&amp;'CASE DATA'!$F194&amp;";",ROW($1:$99),1),";")),"",ROW($1:$99)),COLUMN(A193))-1)</f>
        <v/>
      </c>
      <c r="Y194" s="75" t="str" cm="1">
        <f t="array" ref="Y194">MID(";"&amp;'CASE DATA'!$F194&amp;";",SMALL(IF(ISERROR(SEARCH(MID(";"&amp;'CASE DATA'!$F194&amp;";",ROW($1:$99),1),";")),"",ROW($1:$99)+1),COLUMN(B194)),SMALL(IF(ISERROR(SEARCH(MID(";"&amp;'CASE DATA'!$F194&amp;";",ROW($1:$99),1),";")),"",ROW($1:$99)),COLUMN(B193)+1)-SMALL(IF(ISERROR(SEARCH(MID(";"&amp;'CASE DATA'!$F194&amp;";",ROW($1:$99),1),";")),"",ROW($1:$99)),COLUMN(B193))-1)</f>
        <v/>
      </c>
      <c r="Z194" s="75" t="str" cm="1">
        <f t="array" ref="Z194">MID(";"&amp;'CASE DATA'!$F194&amp;";",SMALL(IF(ISERROR(SEARCH(MID(";"&amp;'CASE DATA'!$F194&amp;";",ROW($1:$99),1),";")),"",ROW($1:$99)+1),COLUMN(C194)),SMALL(IF(ISERROR(SEARCH(MID(";"&amp;'CASE DATA'!$F194&amp;";",ROW($1:$99),1),";")),"",ROW($1:$99)),COLUMN(C193)+1)-SMALL(IF(ISERROR(SEARCH(MID(";"&amp;'CASE DATA'!$F194&amp;";",ROW($1:$99),1),";")),"",ROW($1:$99)),COLUMN(C193))-1)</f>
        <v/>
      </c>
      <c r="AA194" s="75" t="str" cm="1">
        <f t="array" ref="AA194">MID(";"&amp;'CASE DATA'!$F194&amp;";",SMALL(IF(ISERROR(SEARCH(MID(";"&amp;'CASE DATA'!$F194&amp;";",ROW($1:$99),1),";")),"",ROW($1:$99)+1),COLUMN(D194)),SMALL(IF(ISERROR(SEARCH(MID(";"&amp;'CASE DATA'!$F194&amp;";",ROW($1:$99),1),";")),"",ROW($1:$99)),COLUMN(D193)+1)-SMALL(IF(ISERROR(SEARCH(MID(";"&amp;'CASE DATA'!$F194&amp;";",ROW($1:$99),1),";")),"",ROW($1:$99)),COLUMN(D193))-1)</f>
        <v/>
      </c>
      <c r="AB194" s="75" t="str" cm="1">
        <f t="array" ref="AB194">MID(";"&amp;'CASE DATA'!$F194&amp;";",SMALL(IF(ISERROR(SEARCH(MID(";"&amp;'CASE DATA'!$F194&amp;";",ROW($1:$99),1),";")),"",ROW($1:$99)+1),COLUMN(E194)),SMALL(IF(ISERROR(SEARCH(MID(";"&amp;'CASE DATA'!$F194&amp;";",ROW($1:$99),1),";")),"",ROW($1:$99)),COLUMN(E193)+1)-SMALL(IF(ISERROR(SEARCH(MID(";"&amp;'CASE DATA'!$F194&amp;";",ROW($1:$99),1),";")),"",ROW($1:$99)),COLUMN(E193))-1)</f>
        <v/>
      </c>
      <c r="AC194" s="75" t="str" cm="1">
        <f t="array" ref="AC194">MID(";"&amp;'CASE DATA'!$F194&amp;";",SMALL(IF(ISERROR(SEARCH(MID(";"&amp;'CASE DATA'!$F194&amp;";",ROW($1:$99),1),";")),"",ROW($1:$99)+1),COLUMN(F194)),SMALL(IF(ISERROR(SEARCH(MID(";"&amp;'CASE DATA'!$F194&amp;";",ROW($1:$99),1),";")),"",ROW($1:$99)),COLUMN(F193)+1)-SMALL(IF(ISERROR(SEARCH(MID(";"&amp;'CASE DATA'!$F194&amp;";",ROW($1:$99),1),";")),"",ROW($1:$99)),COLUMN(F193))-1)</f>
        <v/>
      </c>
      <c r="AD194" s="75" t="str" cm="1">
        <f t="array" ref="AD194">MID(";"&amp;'CASE DATA'!$F194&amp;";",SMALL(IF(ISERROR(SEARCH(MID(";"&amp;'CASE DATA'!$F194&amp;";",ROW($1:$99),1),";")),"",ROW($1:$99)+1),COLUMN(G194)),SMALL(IF(ISERROR(SEARCH(MID(";"&amp;'CASE DATA'!$F194&amp;";",ROW($1:$99),1),";")),"",ROW($1:$99)),COLUMN(G193)+1)-SMALL(IF(ISERROR(SEARCH(MID(";"&amp;'CASE DATA'!$F194&amp;";",ROW($1:$99),1),";")),"",ROW($1:$99)),COLUMN(G193))-1)</f>
        <v/>
      </c>
      <c r="AE194" s="75" t="str" cm="1">
        <f t="array" ref="AE194">MID(";"&amp;'CASE DATA'!$F194&amp;";",SMALL(IF(ISERROR(SEARCH(MID(";"&amp;'CASE DATA'!$F194&amp;";",ROW($1:$99),1),";")),"",ROW($1:$99)+1),COLUMN(H194)),SMALL(IF(ISERROR(SEARCH(MID(";"&amp;'CASE DATA'!$F194&amp;";",ROW($1:$99),1),";")),"",ROW($1:$99)),COLUMN(H193)+1)-SMALL(IF(ISERROR(SEARCH(MID(";"&amp;'CASE DATA'!$F194&amp;";",ROW($1:$99),1),";")),"",ROW($1:$99)),COLUMN(H193))-1)</f>
        <v/>
      </c>
      <c r="AF194" s="75" t="str" cm="1">
        <f t="array" ref="AF194">MID(";"&amp;'CASE DATA'!$F194&amp;";",SMALL(IF(ISERROR(SEARCH(MID(";"&amp;'CASE DATA'!$F194&amp;";",ROW($1:$99),1),";")),"",ROW($1:$99)+1),COLUMN(I194)),SMALL(IF(ISERROR(SEARCH(MID(";"&amp;'CASE DATA'!$F194&amp;";",ROW($1:$99),1),";")),"",ROW($1:$99)),COLUMN(I193)+1)-SMALL(IF(ISERROR(SEARCH(MID(";"&amp;'CASE DATA'!$F194&amp;";",ROW($1:$99),1),";")),"",ROW($1:$99)),COLUMN(I193))-1)</f>
        <v/>
      </c>
      <c r="AG194" s="75" t="str" cm="1">
        <f t="array" ref="AG194">MID(";"&amp;'CASE DATA'!$F194&amp;";",SMALL(IF(ISERROR(SEARCH(MID(";"&amp;'CASE DATA'!$F194&amp;";",ROW($1:$99),1),";")),"",ROW($1:$99)+1),COLUMN(K194)),SMALL(IF(ISERROR(SEARCH(MID(";"&amp;'CASE DATA'!$F194&amp;";",ROW($1:$99),1),";")),"",ROW($1:$99)),COLUMN(K193)+1)-SMALL(IF(ISERROR(SEARCH(MID(";"&amp;'CASE DATA'!$F194&amp;";",ROW($1:$99),1),";")),"",ROW($1:$99)),COLUMN(K193))-1)</f>
        <v/>
      </c>
      <c r="AH194" s="75" t="str" cm="1">
        <f t="array" ref="AH194">MID(";"&amp;'CASE DATA'!$F194&amp;";",SMALL(IF(ISERROR(SEARCH(MID(";"&amp;'CASE DATA'!$F194&amp;";",ROW($1:$99),1),";")),"",ROW($1:$99)+1),COLUMN(L194)),SMALL(IF(ISERROR(SEARCH(MID(";"&amp;'CASE DATA'!$F194&amp;";",ROW($1:$99),1),";")),"",ROW($1:$99)),COLUMN(L193)+1)-SMALL(IF(ISERROR(SEARCH(MID(";"&amp;'CASE DATA'!$F194&amp;";",ROW($1:$99),1),";")),"",ROW($1:$99)),COLUMN(L193))-1)</f>
        <v/>
      </c>
      <c r="AI194" s="75" t="str" cm="1">
        <f t="array" ref="AI194">MID(";"&amp;'CASE DATA'!$F194&amp;";",SMALL(IF(ISERROR(SEARCH(MID(";"&amp;'CASE DATA'!$F194&amp;";",ROW($1:$99),1),";")),"",ROW($1:$99)+1),COLUMN(M194)),SMALL(IF(ISERROR(SEARCH(MID(";"&amp;'CASE DATA'!$F194&amp;";",ROW($1:$99),1),";")),"",ROW($1:$99)),COLUMN(M193)+1)-SMALL(IF(ISERROR(SEARCH(MID(";"&amp;'CASE DATA'!$F194&amp;";",ROW($1:$99),1),";")),"",ROW($1:$99)),COLUMN(M193))-1)</f>
        <v/>
      </c>
      <c r="BO194" s="99"/>
      <c r="BP194" s="99"/>
      <c r="BQ194" s="99"/>
      <c r="BR194" s="99"/>
      <c r="BS194" s="99"/>
      <c r="BT194" s="99"/>
      <c r="BU194" s="99"/>
      <c r="BV194" s="99"/>
      <c r="BW194" s="99"/>
      <c r="BX194" s="99"/>
      <c r="BY194" s="99"/>
      <c r="BZ194" s="99"/>
      <c r="CA194" s="99"/>
      <c r="CB194" s="99"/>
      <c r="CC194" s="99"/>
      <c r="CD194" s="99"/>
      <c r="CE194" s="99"/>
      <c r="CF194" s="99"/>
      <c r="CG194" s="99"/>
      <c r="CH194" s="99"/>
      <c r="CI194" s="99"/>
      <c r="CJ194" s="99"/>
      <c r="CK194" s="99"/>
      <c r="CL194" s="99"/>
      <c r="CM194" s="99"/>
      <c r="CN194" s="99"/>
      <c r="CO194" s="99"/>
      <c r="CP194" s="99"/>
      <c r="CQ194" s="99"/>
      <c r="CR194" s="99"/>
      <c r="CS194" s="99"/>
      <c r="CT194" s="99"/>
      <c r="CU194" s="99"/>
      <c r="CV194" s="99"/>
      <c r="CW194" s="99"/>
      <c r="CX194" s="99"/>
      <c r="CY194" s="99"/>
      <c r="CZ194" s="99"/>
      <c r="DA194" s="99"/>
      <c r="DB194" s="99"/>
      <c r="DC194" s="99"/>
      <c r="DD194" s="99"/>
      <c r="DE194" s="99"/>
      <c r="DF194" s="99"/>
      <c r="DG194" s="99"/>
      <c r="DH194" s="99"/>
      <c r="DI194" s="99"/>
      <c r="DJ194" s="99"/>
      <c r="DK194" s="99"/>
      <c r="DL194" s="99"/>
      <c r="DM194" s="99"/>
      <c r="DN194" s="99"/>
      <c r="DO194" s="99"/>
      <c r="DP194" s="99"/>
      <c r="DQ194" s="99"/>
      <c r="DR194" s="99"/>
      <c r="DS194" s="99"/>
      <c r="DT194" s="99"/>
      <c r="DU194" s="99"/>
      <c r="DV194" s="99"/>
      <c r="DW194" s="99"/>
      <c r="DX194" s="99"/>
      <c r="DY194" s="99"/>
      <c r="DZ194" s="99"/>
      <c r="EA194" s="99"/>
      <c r="EB194" s="99"/>
      <c r="EC194" s="99"/>
      <c r="ED194" s="99"/>
      <c r="EE194" s="99"/>
      <c r="EF194" s="99"/>
      <c r="EG194" s="99"/>
      <c r="EH194" s="99"/>
      <c r="EI194" s="99"/>
      <c r="EJ194" s="99"/>
      <c r="EK194" s="99"/>
      <c r="EL194" s="99"/>
      <c r="EM194" s="99"/>
      <c r="EN194" s="99"/>
      <c r="EO194" s="99"/>
      <c r="EP194" s="99"/>
      <c r="EQ194" s="99"/>
      <c r="ER194" s="99"/>
      <c r="ES194" s="99"/>
      <c r="ET194" s="99"/>
      <c r="EU194" s="99"/>
      <c r="EV194" s="99"/>
      <c r="EW194" s="99"/>
      <c r="EX194" s="99"/>
      <c r="EY194" s="99"/>
      <c r="EZ194" s="99"/>
      <c r="FA194" s="99"/>
      <c r="FB194" s="99"/>
      <c r="FC194" s="99"/>
      <c r="FD194" s="99"/>
      <c r="FE194" s="99"/>
      <c r="FF194" s="99"/>
      <c r="FG194" s="99"/>
      <c r="FH194" s="99"/>
      <c r="FI194" s="99"/>
      <c r="FJ194" s="99"/>
      <c r="FK194" s="99"/>
    </row>
    <row r="195" spans="3:167" x14ac:dyDescent="0.25">
      <c r="C195" s="10"/>
      <c r="D195" s="10"/>
      <c r="E195" s="11"/>
      <c r="F195" s="15"/>
      <c r="J195" s="99">
        <v>192</v>
      </c>
      <c r="K195" s="16"/>
      <c r="L195" s="16"/>
      <c r="M195" s="16"/>
      <c r="N195" s="16"/>
      <c r="O195" s="16"/>
      <c r="P195" s="16"/>
      <c r="Q195" s="16"/>
      <c r="R195" s="16"/>
      <c r="S195" s="16"/>
      <c r="T195" s="16"/>
      <c r="U195" s="14">
        <f>SUM(K195:T195)</f>
        <v>0</v>
      </c>
      <c r="V195" s="14"/>
      <c r="X195" s="75" t="str" cm="1">
        <f t="array" ref="X195">MID(";"&amp;'CASE DATA'!$F195&amp;";",SMALL(IF(ISERROR(SEARCH(MID(";"&amp;'CASE DATA'!$F195&amp;";",ROW($1:$99),1),";")),"",ROW($1:$99)+1),COLUMN(A195)),SMALL(IF(ISERROR(SEARCH(MID(";"&amp;'CASE DATA'!$F195&amp;";",ROW($1:$99),1),";")),"",ROW($1:$99)),COLUMN(A194)+1)-SMALL(IF(ISERROR(SEARCH(MID(";"&amp;'CASE DATA'!$F195&amp;";",ROW($1:$99),1),";")),"",ROW($1:$99)),COLUMN(A194))-1)</f>
        <v/>
      </c>
      <c r="Y195" s="75" t="str" cm="1">
        <f t="array" ref="Y195">MID(";"&amp;'CASE DATA'!$F195&amp;";",SMALL(IF(ISERROR(SEARCH(MID(";"&amp;'CASE DATA'!$F195&amp;";",ROW($1:$99),1),";")),"",ROW($1:$99)+1),COLUMN(B195)),SMALL(IF(ISERROR(SEARCH(MID(";"&amp;'CASE DATA'!$F195&amp;";",ROW($1:$99),1),";")),"",ROW($1:$99)),COLUMN(B194)+1)-SMALL(IF(ISERROR(SEARCH(MID(";"&amp;'CASE DATA'!$F195&amp;";",ROW($1:$99),1),";")),"",ROW($1:$99)),COLUMN(B194))-1)</f>
        <v/>
      </c>
      <c r="Z195" s="75" t="str" cm="1">
        <f t="array" ref="Z195">MID(";"&amp;'CASE DATA'!$F195&amp;";",SMALL(IF(ISERROR(SEARCH(MID(";"&amp;'CASE DATA'!$F195&amp;";",ROW($1:$99),1),";")),"",ROW($1:$99)+1),COLUMN(C195)),SMALL(IF(ISERROR(SEARCH(MID(";"&amp;'CASE DATA'!$F195&amp;";",ROW($1:$99),1),";")),"",ROW($1:$99)),COLUMN(C194)+1)-SMALL(IF(ISERROR(SEARCH(MID(";"&amp;'CASE DATA'!$F195&amp;";",ROW($1:$99),1),";")),"",ROW($1:$99)),COLUMN(C194))-1)</f>
        <v/>
      </c>
      <c r="AA195" s="75" t="str" cm="1">
        <f t="array" ref="AA195">MID(";"&amp;'CASE DATA'!$F195&amp;";",SMALL(IF(ISERROR(SEARCH(MID(";"&amp;'CASE DATA'!$F195&amp;";",ROW($1:$99),1),";")),"",ROW($1:$99)+1),COLUMN(D195)),SMALL(IF(ISERROR(SEARCH(MID(";"&amp;'CASE DATA'!$F195&amp;";",ROW($1:$99),1),";")),"",ROW($1:$99)),COLUMN(D194)+1)-SMALL(IF(ISERROR(SEARCH(MID(";"&amp;'CASE DATA'!$F195&amp;";",ROW($1:$99),1),";")),"",ROW($1:$99)),COLUMN(D194))-1)</f>
        <v/>
      </c>
      <c r="AB195" s="75" t="str" cm="1">
        <f t="array" ref="AB195">MID(";"&amp;'CASE DATA'!$F195&amp;";",SMALL(IF(ISERROR(SEARCH(MID(";"&amp;'CASE DATA'!$F195&amp;";",ROW($1:$99),1),";")),"",ROW($1:$99)+1),COLUMN(E195)),SMALL(IF(ISERROR(SEARCH(MID(";"&amp;'CASE DATA'!$F195&amp;";",ROW($1:$99),1),";")),"",ROW($1:$99)),COLUMN(E194)+1)-SMALL(IF(ISERROR(SEARCH(MID(";"&amp;'CASE DATA'!$F195&amp;";",ROW($1:$99),1),";")),"",ROW($1:$99)),COLUMN(E194))-1)</f>
        <v/>
      </c>
      <c r="AC195" s="75" t="str" cm="1">
        <f t="array" ref="AC195">MID(";"&amp;'CASE DATA'!$F195&amp;";",SMALL(IF(ISERROR(SEARCH(MID(";"&amp;'CASE DATA'!$F195&amp;";",ROW($1:$99),1),";")),"",ROW($1:$99)+1),COLUMN(F195)),SMALL(IF(ISERROR(SEARCH(MID(";"&amp;'CASE DATA'!$F195&amp;";",ROW($1:$99),1),";")),"",ROW($1:$99)),COLUMN(F194)+1)-SMALL(IF(ISERROR(SEARCH(MID(";"&amp;'CASE DATA'!$F195&amp;";",ROW($1:$99),1),";")),"",ROW($1:$99)),COLUMN(F194))-1)</f>
        <v/>
      </c>
      <c r="AD195" s="75" t="str" cm="1">
        <f t="array" ref="AD195">MID(";"&amp;'CASE DATA'!$F195&amp;";",SMALL(IF(ISERROR(SEARCH(MID(";"&amp;'CASE DATA'!$F195&amp;";",ROW($1:$99),1),";")),"",ROW($1:$99)+1),COLUMN(G195)),SMALL(IF(ISERROR(SEARCH(MID(";"&amp;'CASE DATA'!$F195&amp;";",ROW($1:$99),1),";")),"",ROW($1:$99)),COLUMN(G194)+1)-SMALL(IF(ISERROR(SEARCH(MID(";"&amp;'CASE DATA'!$F195&amp;";",ROW($1:$99),1),";")),"",ROW($1:$99)),COLUMN(G194))-1)</f>
        <v/>
      </c>
      <c r="AE195" s="75" t="str" cm="1">
        <f t="array" ref="AE195">MID(";"&amp;'CASE DATA'!$F195&amp;";",SMALL(IF(ISERROR(SEARCH(MID(";"&amp;'CASE DATA'!$F195&amp;";",ROW($1:$99),1),";")),"",ROW($1:$99)+1),COLUMN(H195)),SMALL(IF(ISERROR(SEARCH(MID(";"&amp;'CASE DATA'!$F195&amp;";",ROW($1:$99),1),";")),"",ROW($1:$99)),COLUMN(H194)+1)-SMALL(IF(ISERROR(SEARCH(MID(";"&amp;'CASE DATA'!$F195&amp;";",ROW($1:$99),1),";")),"",ROW($1:$99)),COLUMN(H194))-1)</f>
        <v/>
      </c>
      <c r="AF195" s="75" t="str" cm="1">
        <f t="array" ref="AF195">MID(";"&amp;'CASE DATA'!$F195&amp;";",SMALL(IF(ISERROR(SEARCH(MID(";"&amp;'CASE DATA'!$F195&amp;";",ROW($1:$99),1),";")),"",ROW($1:$99)+1),COLUMN(I195)),SMALL(IF(ISERROR(SEARCH(MID(";"&amp;'CASE DATA'!$F195&amp;";",ROW($1:$99),1),";")),"",ROW($1:$99)),COLUMN(I194)+1)-SMALL(IF(ISERROR(SEARCH(MID(";"&amp;'CASE DATA'!$F195&amp;";",ROW($1:$99),1),";")),"",ROW($1:$99)),COLUMN(I194))-1)</f>
        <v/>
      </c>
      <c r="AG195" s="75" t="str" cm="1">
        <f t="array" ref="AG195">MID(";"&amp;'CASE DATA'!$F195&amp;";",SMALL(IF(ISERROR(SEARCH(MID(";"&amp;'CASE DATA'!$F195&amp;";",ROW($1:$99),1),";")),"",ROW($1:$99)+1),COLUMN(K195)),SMALL(IF(ISERROR(SEARCH(MID(";"&amp;'CASE DATA'!$F195&amp;";",ROW($1:$99),1),";")),"",ROW($1:$99)),COLUMN(K194)+1)-SMALL(IF(ISERROR(SEARCH(MID(";"&amp;'CASE DATA'!$F195&amp;";",ROW($1:$99),1),";")),"",ROW($1:$99)),COLUMN(K194))-1)</f>
        <v/>
      </c>
      <c r="AH195" s="75" t="str" cm="1">
        <f t="array" ref="AH195">MID(";"&amp;'CASE DATA'!$F195&amp;";",SMALL(IF(ISERROR(SEARCH(MID(";"&amp;'CASE DATA'!$F195&amp;";",ROW($1:$99),1),";")),"",ROW($1:$99)+1),COLUMN(L195)),SMALL(IF(ISERROR(SEARCH(MID(";"&amp;'CASE DATA'!$F195&amp;";",ROW($1:$99),1),";")),"",ROW($1:$99)),COLUMN(L194)+1)-SMALL(IF(ISERROR(SEARCH(MID(";"&amp;'CASE DATA'!$F195&amp;";",ROW($1:$99),1),";")),"",ROW($1:$99)),COLUMN(L194))-1)</f>
        <v/>
      </c>
      <c r="AI195" s="75" t="str" cm="1">
        <f t="array" ref="AI195">MID(";"&amp;'CASE DATA'!$F195&amp;";",SMALL(IF(ISERROR(SEARCH(MID(";"&amp;'CASE DATA'!$F195&amp;";",ROW($1:$99),1),";")),"",ROW($1:$99)+1),COLUMN(M195)),SMALL(IF(ISERROR(SEARCH(MID(";"&amp;'CASE DATA'!$F195&amp;";",ROW($1:$99),1),";")),"",ROW($1:$99)),COLUMN(M194)+1)-SMALL(IF(ISERROR(SEARCH(MID(";"&amp;'CASE DATA'!$F195&amp;";",ROW($1:$99),1),";")),"",ROW($1:$99)),COLUMN(M194))-1)</f>
        <v/>
      </c>
      <c r="BO195" s="99"/>
      <c r="BP195" s="99"/>
      <c r="BQ195" s="99"/>
      <c r="BR195" s="99"/>
      <c r="BS195" s="99"/>
      <c r="BT195" s="99"/>
      <c r="BU195" s="99"/>
      <c r="BV195" s="99"/>
      <c r="BW195" s="99"/>
      <c r="BX195" s="99"/>
      <c r="BY195" s="99"/>
      <c r="BZ195" s="99"/>
      <c r="CA195" s="99"/>
      <c r="CB195" s="99"/>
      <c r="CC195" s="99"/>
      <c r="CD195" s="99"/>
      <c r="CE195" s="99"/>
      <c r="CF195" s="99"/>
      <c r="CG195" s="99"/>
      <c r="CH195" s="99"/>
      <c r="CI195" s="99"/>
      <c r="CJ195" s="99"/>
      <c r="CK195" s="99"/>
      <c r="CL195" s="99"/>
      <c r="CM195" s="99"/>
      <c r="CN195" s="99"/>
      <c r="CO195" s="99"/>
      <c r="CP195" s="99"/>
      <c r="CQ195" s="99"/>
      <c r="CR195" s="99"/>
      <c r="CS195" s="99"/>
      <c r="CT195" s="99"/>
      <c r="CU195" s="99"/>
      <c r="CV195" s="99"/>
      <c r="CW195" s="99"/>
      <c r="CX195" s="99"/>
      <c r="CY195" s="99"/>
      <c r="CZ195" s="99"/>
      <c r="DA195" s="99"/>
      <c r="DB195" s="99"/>
      <c r="DC195" s="99"/>
      <c r="DD195" s="99"/>
      <c r="DE195" s="99"/>
      <c r="DF195" s="99"/>
      <c r="DG195" s="99"/>
      <c r="DH195" s="99"/>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99"/>
      <c r="EE195" s="99"/>
      <c r="EF195" s="99"/>
      <c r="EG195" s="99"/>
      <c r="EH195" s="99"/>
      <c r="EI195" s="99"/>
      <c r="EJ195" s="99"/>
      <c r="EK195" s="99"/>
      <c r="EL195" s="99"/>
      <c r="EM195" s="99"/>
      <c r="EN195" s="99"/>
      <c r="EO195" s="99"/>
      <c r="EP195" s="99"/>
      <c r="EQ195" s="99"/>
      <c r="ER195" s="99"/>
      <c r="ES195" s="99"/>
      <c r="ET195" s="99"/>
      <c r="EU195" s="99"/>
      <c r="EV195" s="99"/>
      <c r="EW195" s="99"/>
      <c r="EX195" s="99"/>
      <c r="EY195" s="99"/>
      <c r="EZ195" s="99"/>
      <c r="FA195" s="99"/>
      <c r="FB195" s="99"/>
      <c r="FC195" s="99"/>
      <c r="FD195" s="99"/>
      <c r="FE195" s="99"/>
      <c r="FF195" s="99"/>
      <c r="FG195" s="99"/>
      <c r="FH195" s="99"/>
      <c r="FI195" s="99"/>
      <c r="FJ195" s="99"/>
      <c r="FK195" s="99"/>
    </row>
    <row r="196" spans="3:167" x14ac:dyDescent="0.25">
      <c r="C196" s="10"/>
      <c r="D196" s="10"/>
      <c r="E196" s="11"/>
      <c r="F196" s="15"/>
      <c r="J196" s="99">
        <v>193</v>
      </c>
      <c r="K196" s="16"/>
      <c r="L196" s="16"/>
      <c r="M196" s="16"/>
      <c r="N196" s="16"/>
      <c r="O196" s="16"/>
      <c r="P196" s="16"/>
      <c r="Q196" s="16"/>
      <c r="R196" s="16"/>
      <c r="S196" s="16"/>
      <c r="T196" s="16"/>
      <c r="U196" s="14">
        <f>SUM(K196:T196)</f>
        <v>0</v>
      </c>
      <c r="V196" s="14"/>
      <c r="X196" s="75" t="str" cm="1">
        <f t="array" ref="X196">MID(";"&amp;'CASE DATA'!$F196&amp;";",SMALL(IF(ISERROR(SEARCH(MID(";"&amp;'CASE DATA'!$F196&amp;";",ROW($1:$99),1),";")),"",ROW($1:$99)+1),COLUMN(A196)),SMALL(IF(ISERROR(SEARCH(MID(";"&amp;'CASE DATA'!$F196&amp;";",ROW($1:$99),1),";")),"",ROW($1:$99)),COLUMN(A195)+1)-SMALL(IF(ISERROR(SEARCH(MID(";"&amp;'CASE DATA'!$F196&amp;";",ROW($1:$99),1),";")),"",ROW($1:$99)),COLUMN(A195))-1)</f>
        <v/>
      </c>
      <c r="Y196" s="75" t="str" cm="1">
        <f t="array" ref="Y196">MID(";"&amp;'CASE DATA'!$F196&amp;";",SMALL(IF(ISERROR(SEARCH(MID(";"&amp;'CASE DATA'!$F196&amp;";",ROW($1:$99),1),";")),"",ROW($1:$99)+1),COLUMN(B196)),SMALL(IF(ISERROR(SEARCH(MID(";"&amp;'CASE DATA'!$F196&amp;";",ROW($1:$99),1),";")),"",ROW($1:$99)),COLUMN(B195)+1)-SMALL(IF(ISERROR(SEARCH(MID(";"&amp;'CASE DATA'!$F196&amp;";",ROW($1:$99),1),";")),"",ROW($1:$99)),COLUMN(B195))-1)</f>
        <v/>
      </c>
      <c r="Z196" s="75" t="str" cm="1">
        <f t="array" ref="Z196">MID(";"&amp;'CASE DATA'!$F196&amp;";",SMALL(IF(ISERROR(SEARCH(MID(";"&amp;'CASE DATA'!$F196&amp;";",ROW($1:$99),1),";")),"",ROW($1:$99)+1),COLUMN(C196)),SMALL(IF(ISERROR(SEARCH(MID(";"&amp;'CASE DATA'!$F196&amp;";",ROW($1:$99),1),";")),"",ROW($1:$99)),COLUMN(C195)+1)-SMALL(IF(ISERROR(SEARCH(MID(";"&amp;'CASE DATA'!$F196&amp;";",ROW($1:$99),1),";")),"",ROW($1:$99)),COLUMN(C195))-1)</f>
        <v/>
      </c>
      <c r="AA196" s="75" t="str" cm="1">
        <f t="array" ref="AA196">MID(";"&amp;'CASE DATA'!$F196&amp;";",SMALL(IF(ISERROR(SEARCH(MID(";"&amp;'CASE DATA'!$F196&amp;";",ROW($1:$99),1),";")),"",ROW($1:$99)+1),COLUMN(D196)),SMALL(IF(ISERROR(SEARCH(MID(";"&amp;'CASE DATA'!$F196&amp;";",ROW($1:$99),1),";")),"",ROW($1:$99)),COLUMN(D195)+1)-SMALL(IF(ISERROR(SEARCH(MID(";"&amp;'CASE DATA'!$F196&amp;";",ROW($1:$99),1),";")),"",ROW($1:$99)),COLUMN(D195))-1)</f>
        <v/>
      </c>
      <c r="AB196" s="75" t="str" cm="1">
        <f t="array" ref="AB196">MID(";"&amp;'CASE DATA'!$F196&amp;";",SMALL(IF(ISERROR(SEARCH(MID(";"&amp;'CASE DATA'!$F196&amp;";",ROW($1:$99),1),";")),"",ROW($1:$99)+1),COLUMN(E196)),SMALL(IF(ISERROR(SEARCH(MID(";"&amp;'CASE DATA'!$F196&amp;";",ROW($1:$99),1),";")),"",ROW($1:$99)),COLUMN(E195)+1)-SMALL(IF(ISERROR(SEARCH(MID(";"&amp;'CASE DATA'!$F196&amp;";",ROW($1:$99),1),";")),"",ROW($1:$99)),COLUMN(E195))-1)</f>
        <v/>
      </c>
      <c r="AC196" s="75" t="str" cm="1">
        <f t="array" ref="AC196">MID(";"&amp;'CASE DATA'!$F196&amp;";",SMALL(IF(ISERROR(SEARCH(MID(";"&amp;'CASE DATA'!$F196&amp;";",ROW($1:$99),1),";")),"",ROW($1:$99)+1),COLUMN(F196)),SMALL(IF(ISERROR(SEARCH(MID(";"&amp;'CASE DATA'!$F196&amp;";",ROW($1:$99),1),";")),"",ROW($1:$99)),COLUMN(F195)+1)-SMALL(IF(ISERROR(SEARCH(MID(";"&amp;'CASE DATA'!$F196&amp;";",ROW($1:$99),1),";")),"",ROW($1:$99)),COLUMN(F195))-1)</f>
        <v/>
      </c>
      <c r="AD196" s="75" t="str" cm="1">
        <f t="array" ref="AD196">MID(";"&amp;'CASE DATA'!$F196&amp;";",SMALL(IF(ISERROR(SEARCH(MID(";"&amp;'CASE DATA'!$F196&amp;";",ROW($1:$99),1),";")),"",ROW($1:$99)+1),COLUMN(G196)),SMALL(IF(ISERROR(SEARCH(MID(";"&amp;'CASE DATA'!$F196&amp;";",ROW($1:$99),1),";")),"",ROW($1:$99)),COLUMN(G195)+1)-SMALL(IF(ISERROR(SEARCH(MID(";"&amp;'CASE DATA'!$F196&amp;";",ROW($1:$99),1),";")),"",ROW($1:$99)),COLUMN(G195))-1)</f>
        <v/>
      </c>
      <c r="AE196" s="75" t="str" cm="1">
        <f t="array" ref="AE196">MID(";"&amp;'CASE DATA'!$F196&amp;";",SMALL(IF(ISERROR(SEARCH(MID(";"&amp;'CASE DATA'!$F196&amp;";",ROW($1:$99),1),";")),"",ROW($1:$99)+1),COLUMN(H196)),SMALL(IF(ISERROR(SEARCH(MID(";"&amp;'CASE DATA'!$F196&amp;";",ROW($1:$99),1),";")),"",ROW($1:$99)),COLUMN(H195)+1)-SMALL(IF(ISERROR(SEARCH(MID(";"&amp;'CASE DATA'!$F196&amp;";",ROW($1:$99),1),";")),"",ROW($1:$99)),COLUMN(H195))-1)</f>
        <v/>
      </c>
      <c r="AF196" s="75" t="str" cm="1">
        <f t="array" ref="AF196">MID(";"&amp;'CASE DATA'!$F196&amp;";",SMALL(IF(ISERROR(SEARCH(MID(";"&amp;'CASE DATA'!$F196&amp;";",ROW($1:$99),1),";")),"",ROW($1:$99)+1),COLUMN(I196)),SMALL(IF(ISERROR(SEARCH(MID(";"&amp;'CASE DATA'!$F196&amp;";",ROW($1:$99),1),";")),"",ROW($1:$99)),COLUMN(I195)+1)-SMALL(IF(ISERROR(SEARCH(MID(";"&amp;'CASE DATA'!$F196&amp;";",ROW($1:$99),1),";")),"",ROW($1:$99)),COLUMN(I195))-1)</f>
        <v/>
      </c>
      <c r="AG196" s="75" t="str" cm="1">
        <f t="array" ref="AG196">MID(";"&amp;'CASE DATA'!$F196&amp;";",SMALL(IF(ISERROR(SEARCH(MID(";"&amp;'CASE DATA'!$F196&amp;";",ROW($1:$99),1),";")),"",ROW($1:$99)+1),COLUMN(K196)),SMALL(IF(ISERROR(SEARCH(MID(";"&amp;'CASE DATA'!$F196&amp;";",ROW($1:$99),1),";")),"",ROW($1:$99)),COLUMN(K195)+1)-SMALL(IF(ISERROR(SEARCH(MID(";"&amp;'CASE DATA'!$F196&amp;";",ROW($1:$99),1),";")),"",ROW($1:$99)),COLUMN(K195))-1)</f>
        <v/>
      </c>
      <c r="AH196" s="75" t="str" cm="1">
        <f t="array" ref="AH196">MID(";"&amp;'CASE DATA'!$F196&amp;";",SMALL(IF(ISERROR(SEARCH(MID(";"&amp;'CASE DATA'!$F196&amp;";",ROW($1:$99),1),";")),"",ROW($1:$99)+1),COLUMN(L196)),SMALL(IF(ISERROR(SEARCH(MID(";"&amp;'CASE DATA'!$F196&amp;";",ROW($1:$99),1),";")),"",ROW($1:$99)),COLUMN(L195)+1)-SMALL(IF(ISERROR(SEARCH(MID(";"&amp;'CASE DATA'!$F196&amp;";",ROW($1:$99),1),";")),"",ROW($1:$99)),COLUMN(L195))-1)</f>
        <v/>
      </c>
      <c r="AI196" s="75" t="str" cm="1">
        <f t="array" ref="AI196">MID(";"&amp;'CASE DATA'!$F196&amp;";",SMALL(IF(ISERROR(SEARCH(MID(";"&amp;'CASE DATA'!$F196&amp;";",ROW($1:$99),1),";")),"",ROW($1:$99)+1),COLUMN(M196)),SMALL(IF(ISERROR(SEARCH(MID(";"&amp;'CASE DATA'!$F196&amp;";",ROW($1:$99),1),";")),"",ROW($1:$99)),COLUMN(M195)+1)-SMALL(IF(ISERROR(SEARCH(MID(";"&amp;'CASE DATA'!$F196&amp;";",ROW($1:$99),1),";")),"",ROW($1:$99)),COLUMN(M195))-1)</f>
        <v/>
      </c>
      <c r="BO196" s="99"/>
      <c r="BP196" s="99"/>
      <c r="BQ196" s="99"/>
      <c r="BR196" s="99"/>
      <c r="BS196" s="99"/>
      <c r="BT196" s="99"/>
      <c r="BU196" s="99"/>
      <c r="BV196" s="99"/>
      <c r="BW196" s="99"/>
      <c r="BX196" s="99"/>
      <c r="BY196" s="99"/>
      <c r="BZ196" s="99"/>
      <c r="CA196" s="99"/>
      <c r="CB196" s="99"/>
      <c r="CC196" s="99"/>
      <c r="CD196" s="99"/>
      <c r="CE196" s="99"/>
      <c r="CF196" s="99"/>
      <c r="CG196" s="99"/>
      <c r="CH196" s="99"/>
      <c r="CI196" s="99"/>
      <c r="CJ196" s="99"/>
      <c r="CK196" s="99"/>
      <c r="CL196" s="99"/>
      <c r="CM196" s="99"/>
      <c r="CN196" s="99"/>
      <c r="CO196" s="99"/>
      <c r="CP196" s="99"/>
      <c r="CQ196" s="99"/>
      <c r="CR196" s="99"/>
      <c r="CS196" s="99"/>
      <c r="CT196" s="99"/>
      <c r="CU196" s="99"/>
      <c r="CV196" s="99"/>
      <c r="CW196" s="99"/>
      <c r="CX196" s="99"/>
      <c r="CY196" s="99"/>
      <c r="CZ196" s="99"/>
      <c r="DA196" s="99"/>
      <c r="DB196" s="99"/>
      <c r="DC196" s="99"/>
      <c r="DD196" s="99"/>
      <c r="DE196" s="99"/>
      <c r="DF196" s="99"/>
      <c r="DG196" s="99"/>
      <c r="DH196" s="99"/>
      <c r="DI196" s="99"/>
      <c r="DJ196" s="99"/>
      <c r="DK196" s="99"/>
      <c r="DL196" s="99"/>
      <c r="DM196" s="99"/>
      <c r="DN196" s="99"/>
      <c r="DO196" s="99"/>
      <c r="DP196" s="99"/>
      <c r="DQ196" s="99"/>
      <c r="DR196" s="99"/>
      <c r="DS196" s="99"/>
      <c r="DT196" s="99"/>
      <c r="DU196" s="99"/>
      <c r="DV196" s="99"/>
      <c r="DW196" s="99"/>
      <c r="DX196" s="99"/>
      <c r="DY196" s="99"/>
      <c r="DZ196" s="99"/>
      <c r="EA196" s="99"/>
      <c r="EB196" s="99"/>
      <c r="EC196" s="99"/>
      <c r="ED196" s="99"/>
      <c r="EE196" s="99"/>
      <c r="EF196" s="99"/>
      <c r="EG196" s="99"/>
      <c r="EH196" s="99"/>
      <c r="EI196" s="99"/>
      <c r="EJ196" s="99"/>
      <c r="EK196" s="99"/>
      <c r="EL196" s="99"/>
      <c r="EM196" s="99"/>
      <c r="EN196" s="99"/>
      <c r="EO196" s="99"/>
      <c r="EP196" s="99"/>
      <c r="EQ196" s="99"/>
      <c r="ER196" s="99"/>
      <c r="ES196" s="99"/>
      <c r="ET196" s="99"/>
      <c r="EU196" s="99"/>
      <c r="EV196" s="99"/>
      <c r="EW196" s="99"/>
      <c r="EX196" s="99"/>
      <c r="EY196" s="99"/>
      <c r="EZ196" s="99"/>
      <c r="FA196" s="99"/>
      <c r="FB196" s="99"/>
      <c r="FC196" s="99"/>
      <c r="FD196" s="99"/>
      <c r="FE196" s="99"/>
      <c r="FF196" s="99"/>
      <c r="FG196" s="99"/>
      <c r="FH196" s="99"/>
      <c r="FI196" s="99"/>
      <c r="FJ196" s="99"/>
      <c r="FK196" s="99"/>
    </row>
    <row r="197" spans="3:167" x14ac:dyDescent="0.25">
      <c r="C197" s="10"/>
      <c r="D197" s="10"/>
      <c r="E197" s="11"/>
      <c r="F197" s="15"/>
      <c r="J197" s="99">
        <v>194</v>
      </c>
      <c r="K197" s="16"/>
      <c r="L197" s="16"/>
      <c r="M197" s="16"/>
      <c r="N197" s="16"/>
      <c r="O197" s="16"/>
      <c r="P197" s="16"/>
      <c r="Q197" s="16"/>
      <c r="R197" s="16"/>
      <c r="S197" s="16"/>
      <c r="T197" s="16"/>
      <c r="U197" s="14">
        <f>SUM(K197:T197)</f>
        <v>0</v>
      </c>
      <c r="V197" s="14"/>
      <c r="X197" s="75" t="str" cm="1">
        <f t="array" ref="X197">MID(";"&amp;'CASE DATA'!$F197&amp;";",SMALL(IF(ISERROR(SEARCH(MID(";"&amp;'CASE DATA'!$F197&amp;";",ROW($1:$99),1),";")),"",ROW($1:$99)+1),COLUMN(A197)),SMALL(IF(ISERROR(SEARCH(MID(";"&amp;'CASE DATA'!$F197&amp;";",ROW($1:$99),1),";")),"",ROW($1:$99)),COLUMN(A196)+1)-SMALL(IF(ISERROR(SEARCH(MID(";"&amp;'CASE DATA'!$F197&amp;";",ROW($1:$99),1),";")),"",ROW($1:$99)),COLUMN(A196))-1)</f>
        <v/>
      </c>
      <c r="Y197" s="75" t="str" cm="1">
        <f t="array" ref="Y197">MID(";"&amp;'CASE DATA'!$F197&amp;";",SMALL(IF(ISERROR(SEARCH(MID(";"&amp;'CASE DATA'!$F197&amp;";",ROW($1:$99),1),";")),"",ROW($1:$99)+1),COLUMN(B197)),SMALL(IF(ISERROR(SEARCH(MID(";"&amp;'CASE DATA'!$F197&amp;";",ROW($1:$99),1),";")),"",ROW($1:$99)),COLUMN(B196)+1)-SMALL(IF(ISERROR(SEARCH(MID(";"&amp;'CASE DATA'!$F197&amp;";",ROW($1:$99),1),";")),"",ROW($1:$99)),COLUMN(B196))-1)</f>
        <v/>
      </c>
      <c r="Z197" s="75" t="str" cm="1">
        <f t="array" ref="Z197">MID(";"&amp;'CASE DATA'!$F197&amp;";",SMALL(IF(ISERROR(SEARCH(MID(";"&amp;'CASE DATA'!$F197&amp;";",ROW($1:$99),1),";")),"",ROW($1:$99)+1),COLUMN(C197)),SMALL(IF(ISERROR(SEARCH(MID(";"&amp;'CASE DATA'!$F197&amp;";",ROW($1:$99),1),";")),"",ROW($1:$99)),COLUMN(C196)+1)-SMALL(IF(ISERROR(SEARCH(MID(";"&amp;'CASE DATA'!$F197&amp;";",ROW($1:$99),1),";")),"",ROW($1:$99)),COLUMN(C196))-1)</f>
        <v/>
      </c>
      <c r="AA197" s="75" t="str" cm="1">
        <f t="array" ref="AA197">MID(";"&amp;'CASE DATA'!$F197&amp;";",SMALL(IF(ISERROR(SEARCH(MID(";"&amp;'CASE DATA'!$F197&amp;";",ROW($1:$99),1),";")),"",ROW($1:$99)+1),COLUMN(D197)),SMALL(IF(ISERROR(SEARCH(MID(";"&amp;'CASE DATA'!$F197&amp;";",ROW($1:$99),1),";")),"",ROW($1:$99)),COLUMN(D196)+1)-SMALL(IF(ISERROR(SEARCH(MID(";"&amp;'CASE DATA'!$F197&amp;";",ROW($1:$99),1),";")),"",ROW($1:$99)),COLUMN(D196))-1)</f>
        <v/>
      </c>
      <c r="AB197" s="75" t="str" cm="1">
        <f t="array" ref="AB197">MID(";"&amp;'CASE DATA'!$F197&amp;";",SMALL(IF(ISERROR(SEARCH(MID(";"&amp;'CASE DATA'!$F197&amp;";",ROW($1:$99),1),";")),"",ROW($1:$99)+1),COLUMN(E197)),SMALL(IF(ISERROR(SEARCH(MID(";"&amp;'CASE DATA'!$F197&amp;";",ROW($1:$99),1),";")),"",ROW($1:$99)),COLUMN(E196)+1)-SMALL(IF(ISERROR(SEARCH(MID(";"&amp;'CASE DATA'!$F197&amp;";",ROW($1:$99),1),";")),"",ROW($1:$99)),COLUMN(E196))-1)</f>
        <v/>
      </c>
      <c r="AC197" s="75" t="str" cm="1">
        <f t="array" ref="AC197">MID(";"&amp;'CASE DATA'!$F197&amp;";",SMALL(IF(ISERROR(SEARCH(MID(";"&amp;'CASE DATA'!$F197&amp;";",ROW($1:$99),1),";")),"",ROW($1:$99)+1),COLUMN(F197)),SMALL(IF(ISERROR(SEARCH(MID(";"&amp;'CASE DATA'!$F197&amp;";",ROW($1:$99),1),";")),"",ROW($1:$99)),COLUMN(F196)+1)-SMALL(IF(ISERROR(SEARCH(MID(";"&amp;'CASE DATA'!$F197&amp;";",ROW($1:$99),1),";")),"",ROW($1:$99)),COLUMN(F196))-1)</f>
        <v/>
      </c>
      <c r="AD197" s="75" t="str" cm="1">
        <f t="array" ref="AD197">MID(";"&amp;'CASE DATA'!$F197&amp;";",SMALL(IF(ISERROR(SEARCH(MID(";"&amp;'CASE DATA'!$F197&amp;";",ROW($1:$99),1),";")),"",ROW($1:$99)+1),COLUMN(G197)),SMALL(IF(ISERROR(SEARCH(MID(";"&amp;'CASE DATA'!$F197&amp;";",ROW($1:$99),1),";")),"",ROW($1:$99)),COLUMN(G196)+1)-SMALL(IF(ISERROR(SEARCH(MID(";"&amp;'CASE DATA'!$F197&amp;";",ROW($1:$99),1),";")),"",ROW($1:$99)),COLUMN(G196))-1)</f>
        <v/>
      </c>
      <c r="AE197" s="75" t="str" cm="1">
        <f t="array" ref="AE197">MID(";"&amp;'CASE DATA'!$F197&amp;";",SMALL(IF(ISERROR(SEARCH(MID(";"&amp;'CASE DATA'!$F197&amp;";",ROW($1:$99),1),";")),"",ROW($1:$99)+1),COLUMN(H197)),SMALL(IF(ISERROR(SEARCH(MID(";"&amp;'CASE DATA'!$F197&amp;";",ROW($1:$99),1),";")),"",ROW($1:$99)),COLUMN(H196)+1)-SMALL(IF(ISERROR(SEARCH(MID(";"&amp;'CASE DATA'!$F197&amp;";",ROW($1:$99),1),";")),"",ROW($1:$99)),COLUMN(H196))-1)</f>
        <v/>
      </c>
      <c r="AF197" s="75" t="str" cm="1">
        <f t="array" ref="AF197">MID(";"&amp;'CASE DATA'!$F197&amp;";",SMALL(IF(ISERROR(SEARCH(MID(";"&amp;'CASE DATA'!$F197&amp;";",ROW($1:$99),1),";")),"",ROW($1:$99)+1),COLUMN(I197)),SMALL(IF(ISERROR(SEARCH(MID(";"&amp;'CASE DATA'!$F197&amp;";",ROW($1:$99),1),";")),"",ROW($1:$99)),COLUMN(I196)+1)-SMALL(IF(ISERROR(SEARCH(MID(";"&amp;'CASE DATA'!$F197&amp;";",ROW($1:$99),1),";")),"",ROW($1:$99)),COLUMN(I196))-1)</f>
        <v/>
      </c>
      <c r="AG197" s="75" t="str" cm="1">
        <f t="array" ref="AG197">MID(";"&amp;'CASE DATA'!$F197&amp;";",SMALL(IF(ISERROR(SEARCH(MID(";"&amp;'CASE DATA'!$F197&amp;";",ROW($1:$99),1),";")),"",ROW($1:$99)+1),COLUMN(K197)),SMALL(IF(ISERROR(SEARCH(MID(";"&amp;'CASE DATA'!$F197&amp;";",ROW($1:$99),1),";")),"",ROW($1:$99)),COLUMN(K196)+1)-SMALL(IF(ISERROR(SEARCH(MID(";"&amp;'CASE DATA'!$F197&amp;";",ROW($1:$99),1),";")),"",ROW($1:$99)),COLUMN(K196))-1)</f>
        <v/>
      </c>
      <c r="AH197" s="75" t="str" cm="1">
        <f t="array" ref="AH197">MID(";"&amp;'CASE DATA'!$F197&amp;";",SMALL(IF(ISERROR(SEARCH(MID(";"&amp;'CASE DATA'!$F197&amp;";",ROW($1:$99),1),";")),"",ROW($1:$99)+1),COLUMN(L197)),SMALL(IF(ISERROR(SEARCH(MID(";"&amp;'CASE DATA'!$F197&amp;";",ROW($1:$99),1),";")),"",ROW($1:$99)),COLUMN(L196)+1)-SMALL(IF(ISERROR(SEARCH(MID(";"&amp;'CASE DATA'!$F197&amp;";",ROW($1:$99),1),";")),"",ROW($1:$99)),COLUMN(L196))-1)</f>
        <v/>
      </c>
      <c r="AI197" s="75" t="str" cm="1">
        <f t="array" ref="AI197">MID(";"&amp;'CASE DATA'!$F197&amp;";",SMALL(IF(ISERROR(SEARCH(MID(";"&amp;'CASE DATA'!$F197&amp;";",ROW($1:$99),1),";")),"",ROW($1:$99)+1),COLUMN(M197)),SMALL(IF(ISERROR(SEARCH(MID(";"&amp;'CASE DATA'!$F197&amp;";",ROW($1:$99),1),";")),"",ROW($1:$99)),COLUMN(M196)+1)-SMALL(IF(ISERROR(SEARCH(MID(";"&amp;'CASE DATA'!$F197&amp;";",ROW($1:$99),1),";")),"",ROW($1:$99)),COLUMN(M196))-1)</f>
        <v/>
      </c>
      <c r="BO197" s="99"/>
      <c r="BP197" s="99"/>
      <c r="BQ197" s="99"/>
      <c r="BR197" s="99"/>
      <c r="BS197" s="99"/>
      <c r="BT197" s="99"/>
      <c r="BU197" s="99"/>
      <c r="BV197" s="99"/>
      <c r="BW197" s="99"/>
      <c r="BX197" s="99"/>
      <c r="BY197" s="99"/>
      <c r="BZ197" s="99"/>
      <c r="CA197" s="99"/>
      <c r="CB197" s="99"/>
      <c r="CC197" s="99"/>
      <c r="CD197" s="99"/>
      <c r="CE197" s="99"/>
      <c r="CF197" s="99"/>
      <c r="CG197" s="99"/>
      <c r="CH197" s="99"/>
      <c r="CI197" s="99"/>
      <c r="CJ197" s="99"/>
      <c r="CK197" s="99"/>
      <c r="CL197" s="99"/>
      <c r="CM197" s="99"/>
      <c r="CN197" s="99"/>
      <c r="CO197" s="99"/>
      <c r="CP197" s="99"/>
      <c r="CQ197" s="99"/>
      <c r="CR197" s="99"/>
      <c r="CS197" s="99"/>
      <c r="CT197" s="99"/>
      <c r="CU197" s="99"/>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99"/>
      <c r="EE197" s="99"/>
      <c r="EF197" s="99"/>
      <c r="EG197" s="99"/>
      <c r="EH197" s="99"/>
      <c r="EI197" s="99"/>
      <c r="EJ197" s="99"/>
      <c r="EK197" s="99"/>
      <c r="EL197" s="99"/>
      <c r="EM197" s="99"/>
      <c r="EN197" s="99"/>
      <c r="EO197" s="99"/>
      <c r="EP197" s="99"/>
      <c r="EQ197" s="99"/>
      <c r="ER197" s="99"/>
      <c r="ES197" s="99"/>
      <c r="ET197" s="99"/>
      <c r="EU197" s="99"/>
      <c r="EV197" s="99"/>
      <c r="EW197" s="99"/>
      <c r="EX197" s="99"/>
      <c r="EY197" s="99"/>
      <c r="EZ197" s="99"/>
      <c r="FA197" s="99"/>
      <c r="FB197" s="99"/>
      <c r="FC197" s="99"/>
      <c r="FD197" s="99"/>
      <c r="FE197" s="99"/>
      <c r="FF197" s="99"/>
      <c r="FG197" s="99"/>
      <c r="FH197" s="99"/>
      <c r="FI197" s="99"/>
      <c r="FJ197" s="99"/>
      <c r="FK197" s="99"/>
    </row>
    <row r="198" spans="3:167" x14ac:dyDescent="0.25">
      <c r="C198" s="10"/>
      <c r="D198" s="10"/>
      <c r="E198" s="11"/>
      <c r="F198" s="15"/>
      <c r="J198" s="99">
        <v>195</v>
      </c>
      <c r="K198" s="16"/>
      <c r="L198" s="16"/>
      <c r="M198" s="16"/>
      <c r="N198" s="16"/>
      <c r="O198" s="16"/>
      <c r="P198" s="16"/>
      <c r="Q198" s="16"/>
      <c r="R198" s="16"/>
      <c r="S198" s="16"/>
      <c r="T198" s="16"/>
      <c r="U198" s="14">
        <f>SUM(K198:T198)</f>
        <v>0</v>
      </c>
      <c r="V198" s="14"/>
      <c r="X198" s="75" t="str" cm="1">
        <f t="array" ref="X198">MID(";"&amp;'CASE DATA'!$F198&amp;";",SMALL(IF(ISERROR(SEARCH(MID(";"&amp;'CASE DATA'!$F198&amp;";",ROW($1:$99),1),";")),"",ROW($1:$99)+1),COLUMN(A198)),SMALL(IF(ISERROR(SEARCH(MID(";"&amp;'CASE DATA'!$F198&amp;";",ROW($1:$99),1),";")),"",ROW($1:$99)),COLUMN(A197)+1)-SMALL(IF(ISERROR(SEARCH(MID(";"&amp;'CASE DATA'!$F198&amp;";",ROW($1:$99),1),";")),"",ROW($1:$99)),COLUMN(A197))-1)</f>
        <v/>
      </c>
      <c r="Y198" s="75" t="str" cm="1">
        <f t="array" ref="Y198">MID(";"&amp;'CASE DATA'!$F198&amp;";",SMALL(IF(ISERROR(SEARCH(MID(";"&amp;'CASE DATA'!$F198&amp;";",ROW($1:$99),1),";")),"",ROW($1:$99)+1),COLUMN(B198)),SMALL(IF(ISERROR(SEARCH(MID(";"&amp;'CASE DATA'!$F198&amp;";",ROW($1:$99),1),";")),"",ROW($1:$99)),COLUMN(B197)+1)-SMALL(IF(ISERROR(SEARCH(MID(";"&amp;'CASE DATA'!$F198&amp;";",ROW($1:$99),1),";")),"",ROW($1:$99)),COLUMN(B197))-1)</f>
        <v/>
      </c>
      <c r="Z198" s="75" t="str" cm="1">
        <f t="array" ref="Z198">MID(";"&amp;'CASE DATA'!$F198&amp;";",SMALL(IF(ISERROR(SEARCH(MID(";"&amp;'CASE DATA'!$F198&amp;";",ROW($1:$99),1),";")),"",ROW($1:$99)+1),COLUMN(C198)),SMALL(IF(ISERROR(SEARCH(MID(";"&amp;'CASE DATA'!$F198&amp;";",ROW($1:$99),1),";")),"",ROW($1:$99)),COLUMN(C197)+1)-SMALL(IF(ISERROR(SEARCH(MID(";"&amp;'CASE DATA'!$F198&amp;";",ROW($1:$99),1),";")),"",ROW($1:$99)),COLUMN(C197))-1)</f>
        <v/>
      </c>
      <c r="AA198" s="75" t="str" cm="1">
        <f t="array" ref="AA198">MID(";"&amp;'CASE DATA'!$F198&amp;";",SMALL(IF(ISERROR(SEARCH(MID(";"&amp;'CASE DATA'!$F198&amp;";",ROW($1:$99),1),";")),"",ROW($1:$99)+1),COLUMN(D198)),SMALL(IF(ISERROR(SEARCH(MID(";"&amp;'CASE DATA'!$F198&amp;";",ROW($1:$99),1),";")),"",ROW($1:$99)),COLUMN(D197)+1)-SMALL(IF(ISERROR(SEARCH(MID(";"&amp;'CASE DATA'!$F198&amp;";",ROW($1:$99),1),";")),"",ROW($1:$99)),COLUMN(D197))-1)</f>
        <v/>
      </c>
      <c r="AB198" s="75" t="str" cm="1">
        <f t="array" ref="AB198">MID(";"&amp;'CASE DATA'!$F198&amp;";",SMALL(IF(ISERROR(SEARCH(MID(";"&amp;'CASE DATA'!$F198&amp;";",ROW($1:$99),1),";")),"",ROW($1:$99)+1),COLUMN(E198)),SMALL(IF(ISERROR(SEARCH(MID(";"&amp;'CASE DATA'!$F198&amp;";",ROW($1:$99),1),";")),"",ROW($1:$99)),COLUMN(E197)+1)-SMALL(IF(ISERROR(SEARCH(MID(";"&amp;'CASE DATA'!$F198&amp;";",ROW($1:$99),1),";")),"",ROW($1:$99)),COLUMN(E197))-1)</f>
        <v/>
      </c>
      <c r="AC198" s="75" t="str" cm="1">
        <f t="array" ref="AC198">MID(";"&amp;'CASE DATA'!$F198&amp;";",SMALL(IF(ISERROR(SEARCH(MID(";"&amp;'CASE DATA'!$F198&amp;";",ROW($1:$99),1),";")),"",ROW($1:$99)+1),COLUMN(F198)),SMALL(IF(ISERROR(SEARCH(MID(";"&amp;'CASE DATA'!$F198&amp;";",ROW($1:$99),1),";")),"",ROW($1:$99)),COLUMN(F197)+1)-SMALL(IF(ISERROR(SEARCH(MID(";"&amp;'CASE DATA'!$F198&amp;";",ROW($1:$99),1),";")),"",ROW($1:$99)),COLUMN(F197))-1)</f>
        <v/>
      </c>
      <c r="AD198" s="75" t="str" cm="1">
        <f t="array" ref="AD198">MID(";"&amp;'CASE DATA'!$F198&amp;";",SMALL(IF(ISERROR(SEARCH(MID(";"&amp;'CASE DATA'!$F198&amp;";",ROW($1:$99),1),";")),"",ROW($1:$99)+1),COLUMN(G198)),SMALL(IF(ISERROR(SEARCH(MID(";"&amp;'CASE DATA'!$F198&amp;";",ROW($1:$99),1),";")),"",ROW($1:$99)),COLUMN(G197)+1)-SMALL(IF(ISERROR(SEARCH(MID(";"&amp;'CASE DATA'!$F198&amp;";",ROW($1:$99),1),";")),"",ROW($1:$99)),COLUMN(G197))-1)</f>
        <v/>
      </c>
      <c r="AE198" s="75" t="str" cm="1">
        <f t="array" ref="AE198">MID(";"&amp;'CASE DATA'!$F198&amp;";",SMALL(IF(ISERROR(SEARCH(MID(";"&amp;'CASE DATA'!$F198&amp;";",ROW($1:$99),1),";")),"",ROW($1:$99)+1),COLUMN(H198)),SMALL(IF(ISERROR(SEARCH(MID(";"&amp;'CASE DATA'!$F198&amp;";",ROW($1:$99),1),";")),"",ROW($1:$99)),COLUMN(H197)+1)-SMALL(IF(ISERROR(SEARCH(MID(";"&amp;'CASE DATA'!$F198&amp;";",ROW($1:$99),1),";")),"",ROW($1:$99)),COLUMN(H197))-1)</f>
        <v/>
      </c>
      <c r="AF198" s="75" t="str" cm="1">
        <f t="array" ref="AF198">MID(";"&amp;'CASE DATA'!$F198&amp;";",SMALL(IF(ISERROR(SEARCH(MID(";"&amp;'CASE DATA'!$F198&amp;";",ROW($1:$99),1),";")),"",ROW($1:$99)+1),COLUMN(I198)),SMALL(IF(ISERROR(SEARCH(MID(";"&amp;'CASE DATA'!$F198&amp;";",ROW($1:$99),1),";")),"",ROW($1:$99)),COLUMN(I197)+1)-SMALL(IF(ISERROR(SEARCH(MID(";"&amp;'CASE DATA'!$F198&amp;";",ROW($1:$99),1),";")),"",ROW($1:$99)),COLUMN(I197))-1)</f>
        <v/>
      </c>
      <c r="AG198" s="75" t="str" cm="1">
        <f t="array" ref="AG198">MID(";"&amp;'CASE DATA'!$F198&amp;";",SMALL(IF(ISERROR(SEARCH(MID(";"&amp;'CASE DATA'!$F198&amp;";",ROW($1:$99),1),";")),"",ROW($1:$99)+1),COLUMN(K198)),SMALL(IF(ISERROR(SEARCH(MID(";"&amp;'CASE DATA'!$F198&amp;";",ROW($1:$99),1),";")),"",ROW($1:$99)),COLUMN(K197)+1)-SMALL(IF(ISERROR(SEARCH(MID(";"&amp;'CASE DATA'!$F198&amp;";",ROW($1:$99),1),";")),"",ROW($1:$99)),COLUMN(K197))-1)</f>
        <v/>
      </c>
      <c r="AH198" s="75" t="str" cm="1">
        <f t="array" ref="AH198">MID(";"&amp;'CASE DATA'!$F198&amp;";",SMALL(IF(ISERROR(SEARCH(MID(";"&amp;'CASE DATA'!$F198&amp;";",ROW($1:$99),1),";")),"",ROW($1:$99)+1),COLUMN(L198)),SMALL(IF(ISERROR(SEARCH(MID(";"&amp;'CASE DATA'!$F198&amp;";",ROW($1:$99),1),";")),"",ROW($1:$99)),COLUMN(L197)+1)-SMALL(IF(ISERROR(SEARCH(MID(";"&amp;'CASE DATA'!$F198&amp;";",ROW($1:$99),1),";")),"",ROW($1:$99)),COLUMN(L197))-1)</f>
        <v/>
      </c>
      <c r="AI198" s="75" t="str" cm="1">
        <f t="array" ref="AI198">MID(";"&amp;'CASE DATA'!$F198&amp;";",SMALL(IF(ISERROR(SEARCH(MID(";"&amp;'CASE DATA'!$F198&amp;";",ROW($1:$99),1),";")),"",ROW($1:$99)+1),COLUMN(M198)),SMALL(IF(ISERROR(SEARCH(MID(";"&amp;'CASE DATA'!$F198&amp;";",ROW($1:$99),1),";")),"",ROW($1:$99)),COLUMN(M197)+1)-SMALL(IF(ISERROR(SEARCH(MID(";"&amp;'CASE DATA'!$F198&amp;";",ROW($1:$99),1),";")),"",ROW($1:$99)),COLUMN(M197))-1)</f>
        <v/>
      </c>
      <c r="BO198" s="99"/>
      <c r="BP198" s="99"/>
      <c r="BQ198" s="99"/>
      <c r="BR198" s="99"/>
      <c r="BS198" s="99"/>
      <c r="BT198" s="99"/>
      <c r="BU198" s="99"/>
      <c r="BV198" s="99"/>
      <c r="BW198" s="99"/>
      <c r="BX198" s="99"/>
      <c r="BY198" s="99"/>
      <c r="BZ198" s="99"/>
      <c r="CA198" s="99"/>
      <c r="CB198" s="99"/>
      <c r="CC198" s="99"/>
      <c r="CD198" s="99"/>
      <c r="CE198" s="99"/>
      <c r="CF198" s="99"/>
      <c r="CG198" s="99"/>
      <c r="CH198" s="99"/>
      <c r="CI198" s="99"/>
      <c r="CJ198" s="99"/>
      <c r="CK198" s="99"/>
      <c r="CL198" s="99"/>
      <c r="CM198" s="99"/>
      <c r="CN198" s="99"/>
      <c r="CO198" s="99"/>
      <c r="CP198" s="99"/>
      <c r="CQ198" s="99"/>
      <c r="CR198" s="99"/>
      <c r="CS198" s="99"/>
      <c r="CT198" s="99"/>
      <c r="CU198" s="99"/>
      <c r="CV198" s="99"/>
      <c r="CW198" s="99"/>
      <c r="CX198" s="99"/>
      <c r="CY198" s="99"/>
      <c r="CZ198" s="99"/>
      <c r="DA198" s="99"/>
      <c r="DB198" s="99"/>
      <c r="DC198" s="99"/>
      <c r="DD198" s="99"/>
      <c r="DE198" s="99"/>
      <c r="DF198" s="99"/>
      <c r="DG198" s="99"/>
      <c r="DH198" s="99"/>
      <c r="DI198" s="99"/>
      <c r="DJ198" s="99"/>
      <c r="DK198" s="99"/>
      <c r="DL198" s="99"/>
      <c r="DM198" s="99"/>
      <c r="DN198" s="99"/>
      <c r="DO198" s="99"/>
      <c r="DP198" s="99"/>
      <c r="DQ198" s="99"/>
      <c r="DR198" s="99"/>
      <c r="DS198" s="99"/>
      <c r="DT198" s="99"/>
      <c r="DU198" s="99"/>
      <c r="DV198" s="99"/>
      <c r="DW198" s="99"/>
      <c r="DX198" s="99"/>
      <c r="DY198" s="99"/>
      <c r="DZ198" s="99"/>
      <c r="EA198" s="99"/>
      <c r="EB198" s="99"/>
      <c r="EC198" s="99"/>
      <c r="ED198" s="99"/>
      <c r="EE198" s="99"/>
      <c r="EF198" s="99"/>
      <c r="EG198" s="99"/>
      <c r="EH198" s="99"/>
      <c r="EI198" s="99"/>
      <c r="EJ198" s="99"/>
      <c r="EK198" s="99"/>
      <c r="EL198" s="99"/>
      <c r="EM198" s="99"/>
      <c r="EN198" s="99"/>
      <c r="EO198" s="99"/>
      <c r="EP198" s="99"/>
      <c r="EQ198" s="99"/>
      <c r="ER198" s="99"/>
      <c r="ES198" s="99"/>
      <c r="ET198" s="99"/>
      <c r="EU198" s="99"/>
      <c r="EV198" s="99"/>
      <c r="EW198" s="99"/>
      <c r="EX198" s="99"/>
      <c r="EY198" s="99"/>
      <c r="EZ198" s="99"/>
      <c r="FA198" s="99"/>
      <c r="FB198" s="99"/>
      <c r="FC198" s="99"/>
      <c r="FD198" s="99"/>
      <c r="FE198" s="99"/>
      <c r="FF198" s="99"/>
      <c r="FG198" s="99"/>
      <c r="FH198" s="99"/>
      <c r="FI198" s="99"/>
      <c r="FJ198" s="99"/>
      <c r="FK198" s="99"/>
    </row>
    <row r="199" spans="3:167" x14ac:dyDescent="0.25">
      <c r="C199" s="10"/>
      <c r="D199" s="10"/>
      <c r="E199" s="11"/>
      <c r="F199" s="15"/>
      <c r="J199" s="99">
        <v>196</v>
      </c>
      <c r="K199" s="16"/>
      <c r="L199" s="16"/>
      <c r="M199" s="16"/>
      <c r="N199" s="16"/>
      <c r="O199" s="16"/>
      <c r="P199" s="16"/>
      <c r="Q199" s="16"/>
      <c r="R199" s="16"/>
      <c r="S199" s="16"/>
      <c r="T199" s="16"/>
      <c r="U199" s="14">
        <f>SUM(K199:T199)</f>
        <v>0</v>
      </c>
      <c r="V199" s="14"/>
      <c r="X199" s="75" t="str" cm="1">
        <f t="array" ref="X199">MID(";"&amp;'CASE DATA'!$F199&amp;";",SMALL(IF(ISERROR(SEARCH(MID(";"&amp;'CASE DATA'!$F199&amp;";",ROW($1:$99),1),";")),"",ROW($1:$99)+1),COLUMN(A199)),SMALL(IF(ISERROR(SEARCH(MID(";"&amp;'CASE DATA'!$F199&amp;";",ROW($1:$99),1),";")),"",ROW($1:$99)),COLUMN(A198)+1)-SMALL(IF(ISERROR(SEARCH(MID(";"&amp;'CASE DATA'!$F199&amp;";",ROW($1:$99),1),";")),"",ROW($1:$99)),COLUMN(A198))-1)</f>
        <v/>
      </c>
      <c r="Y199" s="75" t="str" cm="1">
        <f t="array" ref="Y199">MID(";"&amp;'CASE DATA'!$F199&amp;";",SMALL(IF(ISERROR(SEARCH(MID(";"&amp;'CASE DATA'!$F199&amp;";",ROW($1:$99),1),";")),"",ROW($1:$99)+1),COLUMN(B199)),SMALL(IF(ISERROR(SEARCH(MID(";"&amp;'CASE DATA'!$F199&amp;";",ROW($1:$99),1),";")),"",ROW($1:$99)),COLUMN(B198)+1)-SMALL(IF(ISERROR(SEARCH(MID(";"&amp;'CASE DATA'!$F199&amp;";",ROW($1:$99),1),";")),"",ROW($1:$99)),COLUMN(B198))-1)</f>
        <v/>
      </c>
      <c r="Z199" s="75" t="str" cm="1">
        <f t="array" ref="Z199">MID(";"&amp;'CASE DATA'!$F199&amp;";",SMALL(IF(ISERROR(SEARCH(MID(";"&amp;'CASE DATA'!$F199&amp;";",ROW($1:$99),1),";")),"",ROW($1:$99)+1),COLUMN(C199)),SMALL(IF(ISERROR(SEARCH(MID(";"&amp;'CASE DATA'!$F199&amp;";",ROW($1:$99),1),";")),"",ROW($1:$99)),COLUMN(C198)+1)-SMALL(IF(ISERROR(SEARCH(MID(";"&amp;'CASE DATA'!$F199&amp;";",ROW($1:$99),1),";")),"",ROW($1:$99)),COLUMN(C198))-1)</f>
        <v/>
      </c>
      <c r="AA199" s="75" t="str" cm="1">
        <f t="array" ref="AA199">MID(";"&amp;'CASE DATA'!$F199&amp;";",SMALL(IF(ISERROR(SEARCH(MID(";"&amp;'CASE DATA'!$F199&amp;";",ROW($1:$99),1),";")),"",ROW($1:$99)+1),COLUMN(D199)),SMALL(IF(ISERROR(SEARCH(MID(";"&amp;'CASE DATA'!$F199&amp;";",ROW($1:$99),1),";")),"",ROW($1:$99)),COLUMN(D198)+1)-SMALL(IF(ISERROR(SEARCH(MID(";"&amp;'CASE DATA'!$F199&amp;";",ROW($1:$99),1),";")),"",ROW($1:$99)),COLUMN(D198))-1)</f>
        <v/>
      </c>
      <c r="AB199" s="75" t="str" cm="1">
        <f t="array" ref="AB199">MID(";"&amp;'CASE DATA'!$F199&amp;";",SMALL(IF(ISERROR(SEARCH(MID(";"&amp;'CASE DATA'!$F199&amp;";",ROW($1:$99),1),";")),"",ROW($1:$99)+1),COLUMN(E199)),SMALL(IF(ISERROR(SEARCH(MID(";"&amp;'CASE DATA'!$F199&amp;";",ROW($1:$99),1),";")),"",ROW($1:$99)),COLUMN(E198)+1)-SMALL(IF(ISERROR(SEARCH(MID(";"&amp;'CASE DATA'!$F199&amp;";",ROW($1:$99),1),";")),"",ROW($1:$99)),COLUMN(E198))-1)</f>
        <v/>
      </c>
      <c r="AC199" s="75" t="str" cm="1">
        <f t="array" ref="AC199">MID(";"&amp;'CASE DATA'!$F199&amp;";",SMALL(IF(ISERROR(SEARCH(MID(";"&amp;'CASE DATA'!$F199&amp;";",ROW($1:$99),1),";")),"",ROW($1:$99)+1),COLUMN(F199)),SMALL(IF(ISERROR(SEARCH(MID(";"&amp;'CASE DATA'!$F199&amp;";",ROW($1:$99),1),";")),"",ROW($1:$99)),COLUMN(F198)+1)-SMALL(IF(ISERROR(SEARCH(MID(";"&amp;'CASE DATA'!$F199&amp;";",ROW($1:$99),1),";")),"",ROW($1:$99)),COLUMN(F198))-1)</f>
        <v/>
      </c>
      <c r="AD199" s="75" t="str" cm="1">
        <f t="array" ref="AD199">MID(";"&amp;'CASE DATA'!$F199&amp;";",SMALL(IF(ISERROR(SEARCH(MID(";"&amp;'CASE DATA'!$F199&amp;";",ROW($1:$99),1),";")),"",ROW($1:$99)+1),COLUMN(G199)),SMALL(IF(ISERROR(SEARCH(MID(";"&amp;'CASE DATA'!$F199&amp;";",ROW($1:$99),1),";")),"",ROW($1:$99)),COLUMN(G198)+1)-SMALL(IF(ISERROR(SEARCH(MID(";"&amp;'CASE DATA'!$F199&amp;";",ROW($1:$99),1),";")),"",ROW($1:$99)),COLUMN(G198))-1)</f>
        <v/>
      </c>
      <c r="AE199" s="75" t="str" cm="1">
        <f t="array" ref="AE199">MID(";"&amp;'CASE DATA'!$F199&amp;";",SMALL(IF(ISERROR(SEARCH(MID(";"&amp;'CASE DATA'!$F199&amp;";",ROW($1:$99),1),";")),"",ROW($1:$99)+1),COLUMN(H199)),SMALL(IF(ISERROR(SEARCH(MID(";"&amp;'CASE DATA'!$F199&amp;";",ROW($1:$99),1),";")),"",ROW($1:$99)),COLUMN(H198)+1)-SMALL(IF(ISERROR(SEARCH(MID(";"&amp;'CASE DATA'!$F199&amp;";",ROW($1:$99),1),";")),"",ROW($1:$99)),COLUMN(H198))-1)</f>
        <v/>
      </c>
      <c r="AF199" s="75" t="str" cm="1">
        <f t="array" ref="AF199">MID(";"&amp;'CASE DATA'!$F199&amp;";",SMALL(IF(ISERROR(SEARCH(MID(";"&amp;'CASE DATA'!$F199&amp;";",ROW($1:$99),1),";")),"",ROW($1:$99)+1),COLUMN(I199)),SMALL(IF(ISERROR(SEARCH(MID(";"&amp;'CASE DATA'!$F199&amp;";",ROW($1:$99),1),";")),"",ROW($1:$99)),COLUMN(I198)+1)-SMALL(IF(ISERROR(SEARCH(MID(";"&amp;'CASE DATA'!$F199&amp;";",ROW($1:$99),1),";")),"",ROW($1:$99)),COLUMN(I198))-1)</f>
        <v/>
      </c>
      <c r="AG199" s="75" t="str" cm="1">
        <f t="array" ref="AG199">MID(";"&amp;'CASE DATA'!$F199&amp;";",SMALL(IF(ISERROR(SEARCH(MID(";"&amp;'CASE DATA'!$F199&amp;";",ROW($1:$99),1),";")),"",ROW($1:$99)+1),COLUMN(K199)),SMALL(IF(ISERROR(SEARCH(MID(";"&amp;'CASE DATA'!$F199&amp;";",ROW($1:$99),1),";")),"",ROW($1:$99)),COLUMN(K198)+1)-SMALL(IF(ISERROR(SEARCH(MID(";"&amp;'CASE DATA'!$F199&amp;";",ROW($1:$99),1),";")),"",ROW($1:$99)),COLUMN(K198))-1)</f>
        <v/>
      </c>
      <c r="AH199" s="75" t="str" cm="1">
        <f t="array" ref="AH199">MID(";"&amp;'CASE DATA'!$F199&amp;";",SMALL(IF(ISERROR(SEARCH(MID(";"&amp;'CASE DATA'!$F199&amp;";",ROW($1:$99),1),";")),"",ROW($1:$99)+1),COLUMN(L199)),SMALL(IF(ISERROR(SEARCH(MID(";"&amp;'CASE DATA'!$F199&amp;";",ROW($1:$99),1),";")),"",ROW($1:$99)),COLUMN(L198)+1)-SMALL(IF(ISERROR(SEARCH(MID(";"&amp;'CASE DATA'!$F199&amp;";",ROW($1:$99),1),";")),"",ROW($1:$99)),COLUMN(L198))-1)</f>
        <v/>
      </c>
      <c r="AI199" s="75" t="str" cm="1">
        <f t="array" ref="AI199">MID(";"&amp;'CASE DATA'!$F199&amp;";",SMALL(IF(ISERROR(SEARCH(MID(";"&amp;'CASE DATA'!$F199&amp;";",ROW($1:$99),1),";")),"",ROW($1:$99)+1),COLUMN(M199)),SMALL(IF(ISERROR(SEARCH(MID(";"&amp;'CASE DATA'!$F199&amp;";",ROW($1:$99),1),";")),"",ROW($1:$99)),COLUMN(M198)+1)-SMALL(IF(ISERROR(SEARCH(MID(";"&amp;'CASE DATA'!$F199&amp;";",ROW($1:$99),1),";")),"",ROW($1:$99)),COLUMN(M198))-1)</f>
        <v/>
      </c>
      <c r="BO199" s="99"/>
      <c r="BP199" s="99"/>
      <c r="BQ199" s="99"/>
      <c r="BR199" s="99"/>
      <c r="BS199" s="99"/>
      <c r="BT199" s="99"/>
      <c r="BU199" s="99"/>
      <c r="BV199" s="99"/>
      <c r="BW199" s="99"/>
      <c r="BX199" s="99"/>
      <c r="BY199" s="99"/>
      <c r="BZ199" s="99"/>
      <c r="CA199" s="99"/>
      <c r="CB199" s="99"/>
      <c r="CC199" s="99"/>
      <c r="CD199" s="99"/>
      <c r="CE199" s="99"/>
      <c r="CF199" s="99"/>
      <c r="CG199" s="99"/>
      <c r="CH199" s="99"/>
      <c r="CI199" s="99"/>
      <c r="CJ199" s="99"/>
      <c r="CK199" s="99"/>
      <c r="CL199" s="99"/>
      <c r="CM199" s="99"/>
      <c r="CN199" s="99"/>
      <c r="CO199" s="99"/>
      <c r="CP199" s="99"/>
      <c r="CQ199" s="99"/>
      <c r="CR199" s="99"/>
      <c r="CS199" s="99"/>
      <c r="CT199" s="99"/>
      <c r="CU199" s="99"/>
      <c r="CV199" s="99"/>
      <c r="CW199" s="99"/>
      <c r="CX199" s="99"/>
      <c r="CY199" s="99"/>
      <c r="CZ199" s="99"/>
      <c r="DA199" s="99"/>
      <c r="DB199" s="99"/>
      <c r="DC199" s="99"/>
      <c r="DD199" s="99"/>
      <c r="DE199" s="99"/>
      <c r="DF199" s="99"/>
      <c r="DG199" s="99"/>
      <c r="DH199" s="99"/>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99"/>
      <c r="EE199" s="99"/>
      <c r="EF199" s="99"/>
      <c r="EG199" s="99"/>
      <c r="EH199" s="99"/>
      <c r="EI199" s="99"/>
      <c r="EJ199" s="99"/>
      <c r="EK199" s="99"/>
      <c r="EL199" s="99"/>
      <c r="EM199" s="99"/>
      <c r="EN199" s="99"/>
      <c r="EO199" s="99"/>
      <c r="EP199" s="99"/>
      <c r="EQ199" s="99"/>
      <c r="ER199" s="99"/>
      <c r="ES199" s="99"/>
      <c r="ET199" s="99"/>
      <c r="EU199" s="99"/>
      <c r="EV199" s="99"/>
      <c r="EW199" s="99"/>
      <c r="EX199" s="99"/>
      <c r="EY199" s="99"/>
      <c r="EZ199" s="99"/>
      <c r="FA199" s="99"/>
      <c r="FB199" s="99"/>
      <c r="FC199" s="99"/>
      <c r="FD199" s="99"/>
      <c r="FE199" s="99"/>
      <c r="FF199" s="99"/>
      <c r="FG199" s="99"/>
      <c r="FH199" s="99"/>
      <c r="FI199" s="99"/>
      <c r="FJ199" s="99"/>
      <c r="FK199" s="99"/>
    </row>
    <row r="200" spans="3:167" x14ac:dyDescent="0.25">
      <c r="C200" s="10"/>
      <c r="D200" s="10"/>
      <c r="E200" s="11"/>
      <c r="F200" s="18"/>
      <c r="J200" s="99">
        <v>197</v>
      </c>
      <c r="K200" s="16"/>
      <c r="L200" s="16"/>
      <c r="M200" s="16"/>
      <c r="N200" s="16"/>
      <c r="O200" s="16"/>
      <c r="P200" s="16"/>
      <c r="Q200" s="16"/>
      <c r="R200" s="16"/>
      <c r="S200" s="16"/>
      <c r="T200" s="16"/>
      <c r="U200" s="14">
        <f>SUM(K200:T200)</f>
        <v>0</v>
      </c>
      <c r="V200" s="14"/>
      <c r="X200" s="75" t="str" cm="1">
        <f t="array" ref="X200">MID(";"&amp;'CASE DATA'!$F200&amp;";",SMALL(IF(ISERROR(SEARCH(MID(";"&amp;'CASE DATA'!$F200&amp;";",ROW($1:$99),1),";")),"",ROW($1:$99)+1),COLUMN(A200)),SMALL(IF(ISERROR(SEARCH(MID(";"&amp;'CASE DATA'!$F200&amp;";",ROW($1:$99),1),";")),"",ROW($1:$99)),COLUMN(A199)+1)-SMALL(IF(ISERROR(SEARCH(MID(";"&amp;'CASE DATA'!$F200&amp;";",ROW($1:$99),1),";")),"",ROW($1:$99)),COLUMN(A199))-1)</f>
        <v/>
      </c>
      <c r="Y200" s="75" t="str" cm="1">
        <f t="array" ref="Y200">MID(";"&amp;'CASE DATA'!$F200&amp;";",SMALL(IF(ISERROR(SEARCH(MID(";"&amp;'CASE DATA'!$F200&amp;";",ROW($1:$99),1),";")),"",ROW($1:$99)+1),COLUMN(B200)),SMALL(IF(ISERROR(SEARCH(MID(";"&amp;'CASE DATA'!$F200&amp;";",ROW($1:$99),1),";")),"",ROW($1:$99)),COLUMN(B199)+1)-SMALL(IF(ISERROR(SEARCH(MID(";"&amp;'CASE DATA'!$F200&amp;";",ROW($1:$99),1),";")),"",ROW($1:$99)),COLUMN(B199))-1)</f>
        <v/>
      </c>
      <c r="Z200" s="75" t="str" cm="1">
        <f t="array" ref="Z200">MID(";"&amp;'CASE DATA'!$F200&amp;";",SMALL(IF(ISERROR(SEARCH(MID(";"&amp;'CASE DATA'!$F200&amp;";",ROW($1:$99),1),";")),"",ROW($1:$99)+1),COLUMN(C200)),SMALL(IF(ISERROR(SEARCH(MID(";"&amp;'CASE DATA'!$F200&amp;";",ROW($1:$99),1),";")),"",ROW($1:$99)),COLUMN(C199)+1)-SMALL(IF(ISERROR(SEARCH(MID(";"&amp;'CASE DATA'!$F200&amp;";",ROW($1:$99),1),";")),"",ROW($1:$99)),COLUMN(C199))-1)</f>
        <v/>
      </c>
      <c r="AA200" s="75" t="str" cm="1">
        <f t="array" ref="AA200">MID(";"&amp;'CASE DATA'!$F200&amp;";",SMALL(IF(ISERROR(SEARCH(MID(";"&amp;'CASE DATA'!$F200&amp;";",ROW($1:$99),1),";")),"",ROW($1:$99)+1),COLUMN(D200)),SMALL(IF(ISERROR(SEARCH(MID(";"&amp;'CASE DATA'!$F200&amp;";",ROW($1:$99),1),";")),"",ROW($1:$99)),COLUMN(D199)+1)-SMALL(IF(ISERROR(SEARCH(MID(";"&amp;'CASE DATA'!$F200&amp;";",ROW($1:$99),1),";")),"",ROW($1:$99)),COLUMN(D199))-1)</f>
        <v/>
      </c>
      <c r="AB200" s="75" t="str" cm="1">
        <f t="array" ref="AB200">MID(";"&amp;'CASE DATA'!$F200&amp;";",SMALL(IF(ISERROR(SEARCH(MID(";"&amp;'CASE DATA'!$F200&amp;";",ROW($1:$99),1),";")),"",ROW($1:$99)+1),COLUMN(E200)),SMALL(IF(ISERROR(SEARCH(MID(";"&amp;'CASE DATA'!$F200&amp;";",ROW($1:$99),1),";")),"",ROW($1:$99)),COLUMN(E199)+1)-SMALL(IF(ISERROR(SEARCH(MID(";"&amp;'CASE DATA'!$F200&amp;";",ROW($1:$99),1),";")),"",ROW($1:$99)),COLUMN(E199))-1)</f>
        <v/>
      </c>
      <c r="AC200" s="75" t="str" cm="1">
        <f t="array" ref="AC200">MID(";"&amp;'CASE DATA'!$F200&amp;";",SMALL(IF(ISERROR(SEARCH(MID(";"&amp;'CASE DATA'!$F200&amp;";",ROW($1:$99),1),";")),"",ROW($1:$99)+1),COLUMN(F200)),SMALL(IF(ISERROR(SEARCH(MID(";"&amp;'CASE DATA'!$F200&amp;";",ROW($1:$99),1),";")),"",ROW($1:$99)),COLUMN(F199)+1)-SMALL(IF(ISERROR(SEARCH(MID(";"&amp;'CASE DATA'!$F200&amp;";",ROW($1:$99),1),";")),"",ROW($1:$99)),COLUMN(F199))-1)</f>
        <v/>
      </c>
      <c r="AD200" s="75" t="str" cm="1">
        <f t="array" ref="AD200">MID(";"&amp;'CASE DATA'!$F200&amp;";",SMALL(IF(ISERROR(SEARCH(MID(";"&amp;'CASE DATA'!$F200&amp;";",ROW($1:$99),1),";")),"",ROW($1:$99)+1),COLUMN(G200)),SMALL(IF(ISERROR(SEARCH(MID(";"&amp;'CASE DATA'!$F200&amp;";",ROW($1:$99),1),";")),"",ROW($1:$99)),COLUMN(G199)+1)-SMALL(IF(ISERROR(SEARCH(MID(";"&amp;'CASE DATA'!$F200&amp;";",ROW($1:$99),1),";")),"",ROW($1:$99)),COLUMN(G199))-1)</f>
        <v/>
      </c>
      <c r="AE200" s="75" t="str" cm="1">
        <f t="array" ref="AE200">MID(";"&amp;'CASE DATA'!$F200&amp;";",SMALL(IF(ISERROR(SEARCH(MID(";"&amp;'CASE DATA'!$F200&amp;";",ROW($1:$99),1),";")),"",ROW($1:$99)+1),COLUMN(H200)),SMALL(IF(ISERROR(SEARCH(MID(";"&amp;'CASE DATA'!$F200&amp;";",ROW($1:$99),1),";")),"",ROW($1:$99)),COLUMN(H199)+1)-SMALL(IF(ISERROR(SEARCH(MID(";"&amp;'CASE DATA'!$F200&amp;";",ROW($1:$99),1),";")),"",ROW($1:$99)),COLUMN(H199))-1)</f>
        <v/>
      </c>
      <c r="AF200" s="75" t="str" cm="1">
        <f t="array" ref="AF200">MID(";"&amp;'CASE DATA'!$F200&amp;";",SMALL(IF(ISERROR(SEARCH(MID(";"&amp;'CASE DATA'!$F200&amp;";",ROW($1:$99),1),";")),"",ROW($1:$99)+1),COLUMN(I200)),SMALL(IF(ISERROR(SEARCH(MID(";"&amp;'CASE DATA'!$F200&amp;";",ROW($1:$99),1),";")),"",ROW($1:$99)),COLUMN(I199)+1)-SMALL(IF(ISERROR(SEARCH(MID(";"&amp;'CASE DATA'!$F200&amp;";",ROW($1:$99),1),";")),"",ROW($1:$99)),COLUMN(I199))-1)</f>
        <v/>
      </c>
      <c r="AG200" s="75" t="str" cm="1">
        <f t="array" ref="AG200">MID(";"&amp;'CASE DATA'!$F200&amp;";",SMALL(IF(ISERROR(SEARCH(MID(";"&amp;'CASE DATA'!$F200&amp;";",ROW($1:$99),1),";")),"",ROW($1:$99)+1),COLUMN(K200)),SMALL(IF(ISERROR(SEARCH(MID(";"&amp;'CASE DATA'!$F200&amp;";",ROW($1:$99),1),";")),"",ROW($1:$99)),COLUMN(K199)+1)-SMALL(IF(ISERROR(SEARCH(MID(";"&amp;'CASE DATA'!$F200&amp;";",ROW($1:$99),1),";")),"",ROW($1:$99)),COLUMN(K199))-1)</f>
        <v/>
      </c>
      <c r="AH200" s="75" t="str" cm="1">
        <f t="array" ref="AH200">MID(";"&amp;'CASE DATA'!$F200&amp;";",SMALL(IF(ISERROR(SEARCH(MID(";"&amp;'CASE DATA'!$F200&amp;";",ROW($1:$99),1),";")),"",ROW($1:$99)+1),COLUMN(L200)),SMALL(IF(ISERROR(SEARCH(MID(";"&amp;'CASE DATA'!$F200&amp;";",ROW($1:$99),1),";")),"",ROW($1:$99)),COLUMN(L199)+1)-SMALL(IF(ISERROR(SEARCH(MID(";"&amp;'CASE DATA'!$F200&amp;";",ROW($1:$99),1),";")),"",ROW($1:$99)),COLUMN(L199))-1)</f>
        <v/>
      </c>
      <c r="AI200" s="75" t="str" cm="1">
        <f t="array" ref="AI200">MID(";"&amp;'CASE DATA'!$F200&amp;";",SMALL(IF(ISERROR(SEARCH(MID(";"&amp;'CASE DATA'!$F200&amp;";",ROW($1:$99),1),";")),"",ROW($1:$99)+1),COLUMN(M200)),SMALL(IF(ISERROR(SEARCH(MID(";"&amp;'CASE DATA'!$F200&amp;";",ROW($1:$99),1),";")),"",ROW($1:$99)),COLUMN(M199)+1)-SMALL(IF(ISERROR(SEARCH(MID(";"&amp;'CASE DATA'!$F200&amp;";",ROW($1:$99),1),";")),"",ROW($1:$99)),COLUMN(M199))-1)</f>
        <v/>
      </c>
      <c r="BO200" s="99"/>
      <c r="BP200" s="99"/>
      <c r="BQ200" s="99"/>
      <c r="BR200" s="99"/>
      <c r="BS200" s="99"/>
      <c r="BT200" s="99"/>
      <c r="BU200" s="99"/>
      <c r="BV200" s="99"/>
      <c r="BW200" s="99"/>
      <c r="BX200" s="99"/>
      <c r="BY200" s="99"/>
      <c r="BZ200" s="99"/>
      <c r="CA200" s="99"/>
      <c r="CB200" s="99"/>
      <c r="CC200" s="99"/>
      <c r="CD200" s="99"/>
      <c r="CE200" s="99"/>
      <c r="CF200" s="99"/>
      <c r="CG200" s="99"/>
      <c r="CH200" s="99"/>
      <c r="CI200" s="99"/>
      <c r="CJ200" s="99"/>
      <c r="CK200" s="99"/>
      <c r="CL200" s="99"/>
      <c r="CM200" s="99"/>
      <c r="CN200" s="99"/>
      <c r="CO200" s="99"/>
      <c r="CP200" s="99"/>
      <c r="CQ200" s="99"/>
      <c r="CR200" s="99"/>
      <c r="CS200" s="99"/>
      <c r="CT200" s="99"/>
      <c r="CU200" s="99"/>
      <c r="CV200" s="99"/>
      <c r="CW200" s="99"/>
      <c r="CX200" s="99"/>
      <c r="CY200" s="99"/>
      <c r="CZ200" s="99"/>
      <c r="DA200" s="99"/>
      <c r="DB200" s="99"/>
      <c r="DC200" s="99"/>
      <c r="DD200" s="99"/>
      <c r="DE200" s="99"/>
      <c r="DF200" s="99"/>
      <c r="DG200" s="99"/>
      <c r="DH200" s="99"/>
      <c r="DI200" s="99"/>
      <c r="DJ200" s="99"/>
      <c r="DK200" s="99"/>
      <c r="DL200" s="99"/>
      <c r="DM200" s="99"/>
      <c r="DN200" s="99"/>
      <c r="DO200" s="99"/>
      <c r="DP200" s="99"/>
      <c r="DQ200" s="99"/>
      <c r="DR200" s="99"/>
      <c r="DS200" s="99"/>
      <c r="DT200" s="99"/>
      <c r="DU200" s="99"/>
      <c r="DV200" s="99"/>
      <c r="DW200" s="99"/>
      <c r="DX200" s="99"/>
      <c r="DY200" s="99"/>
      <c r="DZ200" s="99"/>
      <c r="EA200" s="99"/>
      <c r="EB200" s="99"/>
      <c r="EC200" s="99"/>
      <c r="ED200" s="99"/>
      <c r="EE200" s="99"/>
      <c r="EF200" s="99"/>
      <c r="EG200" s="99"/>
      <c r="EH200" s="99"/>
      <c r="EI200" s="99"/>
      <c r="EJ200" s="99"/>
      <c r="EK200" s="99"/>
      <c r="EL200" s="99"/>
      <c r="EM200" s="99"/>
      <c r="EN200" s="99"/>
      <c r="EO200" s="99"/>
      <c r="EP200" s="99"/>
      <c r="EQ200" s="99"/>
      <c r="ER200" s="99"/>
      <c r="ES200" s="99"/>
      <c r="ET200" s="99"/>
      <c r="EU200" s="99"/>
      <c r="EV200" s="99"/>
      <c r="EW200" s="99"/>
      <c r="EX200" s="99"/>
      <c r="EY200" s="99"/>
      <c r="EZ200" s="99"/>
      <c r="FA200" s="99"/>
      <c r="FB200" s="99"/>
      <c r="FC200" s="99"/>
      <c r="FD200" s="99"/>
      <c r="FE200" s="99"/>
      <c r="FF200" s="99"/>
      <c r="FG200" s="99"/>
      <c r="FH200" s="99"/>
      <c r="FI200" s="99"/>
      <c r="FJ200" s="99"/>
      <c r="FK200" s="99"/>
    </row>
    <row r="201" spans="3:167" x14ac:dyDescent="0.25">
      <c r="C201" s="10"/>
      <c r="D201" s="10"/>
      <c r="J201" s="99">
        <v>198</v>
      </c>
      <c r="K201" s="16"/>
      <c r="L201" s="16"/>
      <c r="M201" s="16"/>
      <c r="N201" s="16"/>
      <c r="O201" s="16"/>
      <c r="P201" s="16"/>
      <c r="Q201" s="16"/>
      <c r="R201" s="16"/>
      <c r="S201" s="16"/>
      <c r="T201" s="16"/>
      <c r="U201" s="14">
        <f>SUM(K201:T201)</f>
        <v>0</v>
      </c>
      <c r="V201" s="14"/>
      <c r="X201" s="75" t="str" cm="1">
        <f t="array" ref="X201">MID(";"&amp;'CASE DATA'!$F201&amp;";",SMALL(IF(ISERROR(SEARCH(MID(";"&amp;'CASE DATA'!$F201&amp;";",ROW($1:$99),1),";")),"",ROW($1:$99)+1),COLUMN(A201)),SMALL(IF(ISERROR(SEARCH(MID(";"&amp;'CASE DATA'!$F201&amp;";",ROW($1:$99),1),";")),"",ROW($1:$99)),COLUMN(A200)+1)-SMALL(IF(ISERROR(SEARCH(MID(";"&amp;'CASE DATA'!$F201&amp;";",ROW($1:$99),1),";")),"",ROW($1:$99)),COLUMN(A200))-1)</f>
        <v/>
      </c>
      <c r="Y201" s="75" t="str" cm="1">
        <f t="array" ref="Y201">MID(";"&amp;'CASE DATA'!$F201&amp;";",SMALL(IF(ISERROR(SEARCH(MID(";"&amp;'CASE DATA'!$F201&amp;";",ROW($1:$99),1),";")),"",ROW($1:$99)+1),COLUMN(B201)),SMALL(IF(ISERROR(SEARCH(MID(";"&amp;'CASE DATA'!$F201&amp;";",ROW($1:$99),1),";")),"",ROW($1:$99)),COLUMN(B200)+1)-SMALL(IF(ISERROR(SEARCH(MID(";"&amp;'CASE DATA'!$F201&amp;";",ROW($1:$99),1),";")),"",ROW($1:$99)),COLUMN(B200))-1)</f>
        <v/>
      </c>
      <c r="Z201" s="75" t="str" cm="1">
        <f t="array" ref="Z201">MID(";"&amp;'CASE DATA'!$F201&amp;";",SMALL(IF(ISERROR(SEARCH(MID(";"&amp;'CASE DATA'!$F201&amp;";",ROW($1:$99),1),";")),"",ROW($1:$99)+1),COLUMN(C201)),SMALL(IF(ISERROR(SEARCH(MID(";"&amp;'CASE DATA'!$F201&amp;";",ROW($1:$99),1),";")),"",ROW($1:$99)),COLUMN(C200)+1)-SMALL(IF(ISERROR(SEARCH(MID(";"&amp;'CASE DATA'!$F201&amp;";",ROW($1:$99),1),";")),"",ROW($1:$99)),COLUMN(C200))-1)</f>
        <v/>
      </c>
      <c r="AA201" s="75" t="str" cm="1">
        <f t="array" ref="AA201">MID(";"&amp;'CASE DATA'!$F201&amp;";",SMALL(IF(ISERROR(SEARCH(MID(";"&amp;'CASE DATA'!$F201&amp;";",ROW($1:$99),1),";")),"",ROW($1:$99)+1),COLUMN(D201)),SMALL(IF(ISERROR(SEARCH(MID(";"&amp;'CASE DATA'!$F201&amp;";",ROW($1:$99),1),";")),"",ROW($1:$99)),COLUMN(D200)+1)-SMALL(IF(ISERROR(SEARCH(MID(";"&amp;'CASE DATA'!$F201&amp;";",ROW($1:$99),1),";")),"",ROW($1:$99)),COLUMN(D200))-1)</f>
        <v/>
      </c>
      <c r="AB201" s="75" t="str" cm="1">
        <f t="array" ref="AB201">MID(";"&amp;'CASE DATA'!$F201&amp;";",SMALL(IF(ISERROR(SEARCH(MID(";"&amp;'CASE DATA'!$F201&amp;";",ROW($1:$99),1),";")),"",ROW($1:$99)+1),COLUMN(E201)),SMALL(IF(ISERROR(SEARCH(MID(";"&amp;'CASE DATA'!$F201&amp;";",ROW($1:$99),1),";")),"",ROW($1:$99)),COLUMN(E200)+1)-SMALL(IF(ISERROR(SEARCH(MID(";"&amp;'CASE DATA'!$F201&amp;";",ROW($1:$99),1),";")),"",ROW($1:$99)),COLUMN(E200))-1)</f>
        <v/>
      </c>
      <c r="AC201" s="75" t="str" cm="1">
        <f t="array" ref="AC201">MID(";"&amp;'CASE DATA'!$F201&amp;";",SMALL(IF(ISERROR(SEARCH(MID(";"&amp;'CASE DATA'!$F201&amp;";",ROW($1:$99),1),";")),"",ROW($1:$99)+1),COLUMN(F201)),SMALL(IF(ISERROR(SEARCH(MID(";"&amp;'CASE DATA'!$F201&amp;";",ROW($1:$99),1),";")),"",ROW($1:$99)),COLUMN(F200)+1)-SMALL(IF(ISERROR(SEARCH(MID(";"&amp;'CASE DATA'!$F201&amp;";",ROW($1:$99),1),";")),"",ROW($1:$99)),COLUMN(F200))-1)</f>
        <v/>
      </c>
      <c r="AD201" s="75" t="str" cm="1">
        <f t="array" ref="AD201">MID(";"&amp;'CASE DATA'!$F201&amp;";",SMALL(IF(ISERROR(SEARCH(MID(";"&amp;'CASE DATA'!$F201&amp;";",ROW($1:$99),1),";")),"",ROW($1:$99)+1),COLUMN(G201)),SMALL(IF(ISERROR(SEARCH(MID(";"&amp;'CASE DATA'!$F201&amp;";",ROW($1:$99),1),";")),"",ROW($1:$99)),COLUMN(G200)+1)-SMALL(IF(ISERROR(SEARCH(MID(";"&amp;'CASE DATA'!$F201&amp;";",ROW($1:$99),1),";")),"",ROW($1:$99)),COLUMN(G200))-1)</f>
        <v/>
      </c>
      <c r="AE201" s="75" t="str" cm="1">
        <f t="array" ref="AE201">MID(";"&amp;'CASE DATA'!$F201&amp;";",SMALL(IF(ISERROR(SEARCH(MID(";"&amp;'CASE DATA'!$F201&amp;";",ROW($1:$99),1),";")),"",ROW($1:$99)+1),COLUMN(H201)),SMALL(IF(ISERROR(SEARCH(MID(";"&amp;'CASE DATA'!$F201&amp;";",ROW($1:$99),1),";")),"",ROW($1:$99)),COLUMN(H200)+1)-SMALL(IF(ISERROR(SEARCH(MID(";"&amp;'CASE DATA'!$F201&amp;";",ROW($1:$99),1),";")),"",ROW($1:$99)),COLUMN(H200))-1)</f>
        <v/>
      </c>
      <c r="AF201" s="75" t="str" cm="1">
        <f t="array" ref="AF201">MID(";"&amp;'CASE DATA'!$F201&amp;";",SMALL(IF(ISERROR(SEARCH(MID(";"&amp;'CASE DATA'!$F201&amp;";",ROW($1:$99),1),";")),"",ROW($1:$99)+1),COLUMN(I201)),SMALL(IF(ISERROR(SEARCH(MID(";"&amp;'CASE DATA'!$F201&amp;";",ROW($1:$99),1),";")),"",ROW($1:$99)),COLUMN(I200)+1)-SMALL(IF(ISERROR(SEARCH(MID(";"&amp;'CASE DATA'!$F201&amp;";",ROW($1:$99),1),";")),"",ROW($1:$99)),COLUMN(I200))-1)</f>
        <v/>
      </c>
      <c r="AG201" s="75" t="str" cm="1">
        <f t="array" ref="AG201">MID(";"&amp;'CASE DATA'!$F201&amp;";",SMALL(IF(ISERROR(SEARCH(MID(";"&amp;'CASE DATA'!$F201&amp;";",ROW($1:$99),1),";")),"",ROW($1:$99)+1),COLUMN(K201)),SMALL(IF(ISERROR(SEARCH(MID(";"&amp;'CASE DATA'!$F201&amp;";",ROW($1:$99),1),";")),"",ROW($1:$99)),COLUMN(K200)+1)-SMALL(IF(ISERROR(SEARCH(MID(";"&amp;'CASE DATA'!$F201&amp;";",ROW($1:$99),1),";")),"",ROW($1:$99)),COLUMN(K200))-1)</f>
        <v/>
      </c>
      <c r="AH201" s="75" t="str" cm="1">
        <f t="array" ref="AH201">MID(";"&amp;'CASE DATA'!$F201&amp;";",SMALL(IF(ISERROR(SEARCH(MID(";"&amp;'CASE DATA'!$F201&amp;";",ROW($1:$99),1),";")),"",ROW($1:$99)+1),COLUMN(L201)),SMALL(IF(ISERROR(SEARCH(MID(";"&amp;'CASE DATA'!$F201&amp;";",ROW($1:$99),1),";")),"",ROW($1:$99)),COLUMN(L200)+1)-SMALL(IF(ISERROR(SEARCH(MID(";"&amp;'CASE DATA'!$F201&amp;";",ROW($1:$99),1),";")),"",ROW($1:$99)),COLUMN(L200))-1)</f>
        <v/>
      </c>
      <c r="AI201" s="75" t="str" cm="1">
        <f t="array" ref="AI201">MID(";"&amp;'CASE DATA'!$F201&amp;";",SMALL(IF(ISERROR(SEARCH(MID(";"&amp;'CASE DATA'!$F201&amp;";",ROW($1:$99),1),";")),"",ROW($1:$99)+1),COLUMN(M201)),SMALL(IF(ISERROR(SEARCH(MID(";"&amp;'CASE DATA'!$F201&amp;";",ROW($1:$99),1),";")),"",ROW($1:$99)),COLUMN(M200)+1)-SMALL(IF(ISERROR(SEARCH(MID(";"&amp;'CASE DATA'!$F201&amp;";",ROW($1:$99),1),";")),"",ROW($1:$99)),COLUMN(M200))-1)</f>
        <v/>
      </c>
      <c r="BO201" s="99"/>
      <c r="BP201" s="99"/>
      <c r="BQ201" s="99"/>
      <c r="BR201" s="99"/>
      <c r="BS201" s="99"/>
      <c r="BT201" s="99"/>
      <c r="BU201" s="99"/>
      <c r="BV201" s="99"/>
      <c r="BW201" s="99"/>
      <c r="BX201" s="99"/>
      <c r="BY201" s="99"/>
      <c r="BZ201" s="99"/>
      <c r="CA201" s="99"/>
      <c r="CB201" s="99"/>
      <c r="CC201" s="99"/>
      <c r="CD201" s="99"/>
      <c r="CE201" s="99"/>
      <c r="CF201" s="99"/>
      <c r="CG201" s="99"/>
      <c r="CH201" s="99"/>
      <c r="CI201" s="99"/>
      <c r="CJ201" s="99"/>
      <c r="CK201" s="99"/>
      <c r="CL201" s="99"/>
      <c r="CM201" s="99"/>
      <c r="CN201" s="99"/>
      <c r="CO201" s="99"/>
      <c r="CP201" s="99"/>
      <c r="CQ201" s="99"/>
      <c r="CR201" s="99"/>
      <c r="CS201" s="99"/>
      <c r="CT201" s="99"/>
      <c r="CU201" s="99"/>
      <c r="CV201" s="99"/>
      <c r="CW201" s="99"/>
      <c r="CX201" s="99"/>
      <c r="CY201" s="99"/>
      <c r="CZ201" s="99"/>
      <c r="DA201" s="99"/>
      <c r="DB201" s="99"/>
      <c r="DC201" s="99"/>
      <c r="DD201" s="99"/>
      <c r="DE201" s="99"/>
      <c r="DF201" s="99"/>
      <c r="DG201" s="99"/>
      <c r="DH201" s="99"/>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99"/>
      <c r="EE201" s="99"/>
      <c r="EF201" s="99"/>
      <c r="EG201" s="99"/>
      <c r="EH201" s="99"/>
      <c r="EI201" s="99"/>
      <c r="EJ201" s="99"/>
      <c r="EK201" s="99"/>
      <c r="EL201" s="99"/>
      <c r="EM201" s="99"/>
      <c r="EN201" s="99"/>
      <c r="EO201" s="99"/>
      <c r="EP201" s="99"/>
      <c r="EQ201" s="99"/>
      <c r="ER201" s="99"/>
      <c r="ES201" s="99"/>
      <c r="ET201" s="99"/>
      <c r="EU201" s="99"/>
      <c r="EV201" s="99"/>
      <c r="EW201" s="99"/>
      <c r="EX201" s="99"/>
      <c r="EY201" s="99"/>
      <c r="EZ201" s="99"/>
      <c r="FA201" s="99"/>
      <c r="FB201" s="99"/>
      <c r="FC201" s="99"/>
      <c r="FD201" s="99"/>
      <c r="FE201" s="99"/>
      <c r="FF201" s="99"/>
      <c r="FG201" s="99"/>
      <c r="FH201" s="99"/>
      <c r="FI201" s="99"/>
      <c r="FJ201" s="99"/>
      <c r="FK201" s="99"/>
    </row>
    <row r="202" spans="3:167" x14ac:dyDescent="0.25">
      <c r="C202" s="10"/>
      <c r="D202" s="10"/>
      <c r="J202" s="99">
        <v>199</v>
      </c>
      <c r="K202" s="16"/>
      <c r="L202" s="16"/>
      <c r="M202" s="16"/>
      <c r="N202" s="16"/>
      <c r="O202" s="16"/>
      <c r="P202" s="16"/>
      <c r="Q202" s="16"/>
      <c r="R202" s="16"/>
      <c r="S202" s="16"/>
      <c r="T202" s="16"/>
      <c r="U202" s="14">
        <f>SUM(K202:T202)</f>
        <v>0</v>
      </c>
      <c r="V202" s="14"/>
      <c r="X202" s="75" t="str" cm="1">
        <f t="array" ref="X202">MID(";"&amp;'CASE DATA'!$F202&amp;";",SMALL(IF(ISERROR(SEARCH(MID(";"&amp;'CASE DATA'!$F202&amp;";",ROW($1:$99),1),";")),"",ROW($1:$99)+1),COLUMN(A202)),SMALL(IF(ISERROR(SEARCH(MID(";"&amp;'CASE DATA'!$F202&amp;";",ROW($1:$99),1),";")),"",ROW($1:$99)),COLUMN(A201)+1)-SMALL(IF(ISERROR(SEARCH(MID(";"&amp;'CASE DATA'!$F202&amp;";",ROW($1:$99),1),";")),"",ROW($1:$99)),COLUMN(A201))-1)</f>
        <v/>
      </c>
      <c r="Y202" s="75" t="str" cm="1">
        <f t="array" ref="Y202">MID(";"&amp;'CASE DATA'!$F202&amp;";",SMALL(IF(ISERROR(SEARCH(MID(";"&amp;'CASE DATA'!$F202&amp;";",ROW($1:$99),1),";")),"",ROW($1:$99)+1),COLUMN(B202)),SMALL(IF(ISERROR(SEARCH(MID(";"&amp;'CASE DATA'!$F202&amp;";",ROW($1:$99),1),";")),"",ROW($1:$99)),COLUMN(B201)+1)-SMALL(IF(ISERROR(SEARCH(MID(";"&amp;'CASE DATA'!$F202&amp;";",ROW($1:$99),1),";")),"",ROW($1:$99)),COLUMN(B201))-1)</f>
        <v/>
      </c>
      <c r="Z202" s="75" t="str" cm="1">
        <f t="array" ref="Z202">MID(";"&amp;'CASE DATA'!$F202&amp;";",SMALL(IF(ISERROR(SEARCH(MID(";"&amp;'CASE DATA'!$F202&amp;";",ROW($1:$99),1),";")),"",ROW($1:$99)+1),COLUMN(C202)),SMALL(IF(ISERROR(SEARCH(MID(";"&amp;'CASE DATA'!$F202&amp;";",ROW($1:$99),1),";")),"",ROW($1:$99)),COLUMN(C201)+1)-SMALL(IF(ISERROR(SEARCH(MID(";"&amp;'CASE DATA'!$F202&amp;";",ROW($1:$99),1),";")),"",ROW($1:$99)),COLUMN(C201))-1)</f>
        <v/>
      </c>
      <c r="AA202" s="75" t="str" cm="1">
        <f t="array" ref="AA202">MID(";"&amp;'CASE DATA'!$F202&amp;";",SMALL(IF(ISERROR(SEARCH(MID(";"&amp;'CASE DATA'!$F202&amp;";",ROW($1:$99),1),";")),"",ROW($1:$99)+1),COLUMN(D202)),SMALL(IF(ISERROR(SEARCH(MID(";"&amp;'CASE DATA'!$F202&amp;";",ROW($1:$99),1),";")),"",ROW($1:$99)),COLUMN(D201)+1)-SMALL(IF(ISERROR(SEARCH(MID(";"&amp;'CASE DATA'!$F202&amp;";",ROW($1:$99),1),";")),"",ROW($1:$99)),COLUMN(D201))-1)</f>
        <v/>
      </c>
      <c r="AB202" s="75" t="str" cm="1">
        <f t="array" ref="AB202">MID(";"&amp;'CASE DATA'!$F202&amp;";",SMALL(IF(ISERROR(SEARCH(MID(";"&amp;'CASE DATA'!$F202&amp;";",ROW($1:$99),1),";")),"",ROW($1:$99)+1),COLUMN(E202)),SMALL(IF(ISERROR(SEARCH(MID(";"&amp;'CASE DATA'!$F202&amp;";",ROW($1:$99),1),";")),"",ROW($1:$99)),COLUMN(E201)+1)-SMALL(IF(ISERROR(SEARCH(MID(";"&amp;'CASE DATA'!$F202&amp;";",ROW($1:$99),1),";")),"",ROW($1:$99)),COLUMN(E201))-1)</f>
        <v/>
      </c>
      <c r="AC202" s="75" t="str" cm="1">
        <f t="array" ref="AC202">MID(";"&amp;'CASE DATA'!$F202&amp;";",SMALL(IF(ISERROR(SEARCH(MID(";"&amp;'CASE DATA'!$F202&amp;";",ROW($1:$99),1),";")),"",ROW($1:$99)+1),COLUMN(F202)),SMALL(IF(ISERROR(SEARCH(MID(";"&amp;'CASE DATA'!$F202&amp;";",ROW($1:$99),1),";")),"",ROW($1:$99)),COLUMN(F201)+1)-SMALL(IF(ISERROR(SEARCH(MID(";"&amp;'CASE DATA'!$F202&amp;";",ROW($1:$99),1),";")),"",ROW($1:$99)),COLUMN(F201))-1)</f>
        <v/>
      </c>
      <c r="AD202" s="75" t="str" cm="1">
        <f t="array" ref="AD202">MID(";"&amp;'CASE DATA'!$F202&amp;";",SMALL(IF(ISERROR(SEARCH(MID(";"&amp;'CASE DATA'!$F202&amp;";",ROW($1:$99),1),";")),"",ROW($1:$99)+1),COLUMN(G202)),SMALL(IF(ISERROR(SEARCH(MID(";"&amp;'CASE DATA'!$F202&amp;";",ROW($1:$99),1),";")),"",ROW($1:$99)),COLUMN(G201)+1)-SMALL(IF(ISERROR(SEARCH(MID(";"&amp;'CASE DATA'!$F202&amp;";",ROW($1:$99),1),";")),"",ROW($1:$99)),COLUMN(G201))-1)</f>
        <v/>
      </c>
      <c r="AE202" s="75" t="str" cm="1">
        <f t="array" ref="AE202">MID(";"&amp;'CASE DATA'!$F202&amp;";",SMALL(IF(ISERROR(SEARCH(MID(";"&amp;'CASE DATA'!$F202&amp;";",ROW($1:$99),1),";")),"",ROW($1:$99)+1),COLUMN(H202)),SMALL(IF(ISERROR(SEARCH(MID(";"&amp;'CASE DATA'!$F202&amp;";",ROW($1:$99),1),";")),"",ROW($1:$99)),COLUMN(H201)+1)-SMALL(IF(ISERROR(SEARCH(MID(";"&amp;'CASE DATA'!$F202&amp;";",ROW($1:$99),1),";")),"",ROW($1:$99)),COLUMN(H201))-1)</f>
        <v/>
      </c>
      <c r="AF202" s="75" t="str" cm="1">
        <f t="array" ref="AF202">MID(";"&amp;'CASE DATA'!$F202&amp;";",SMALL(IF(ISERROR(SEARCH(MID(";"&amp;'CASE DATA'!$F202&amp;";",ROW($1:$99),1),";")),"",ROW($1:$99)+1),COLUMN(I202)),SMALL(IF(ISERROR(SEARCH(MID(";"&amp;'CASE DATA'!$F202&amp;";",ROW($1:$99),1),";")),"",ROW($1:$99)),COLUMN(I201)+1)-SMALL(IF(ISERROR(SEARCH(MID(";"&amp;'CASE DATA'!$F202&amp;";",ROW($1:$99),1),";")),"",ROW($1:$99)),COLUMN(I201))-1)</f>
        <v/>
      </c>
      <c r="AG202" s="75" t="str" cm="1">
        <f t="array" ref="AG202">MID(";"&amp;'CASE DATA'!$F202&amp;";",SMALL(IF(ISERROR(SEARCH(MID(";"&amp;'CASE DATA'!$F202&amp;";",ROW($1:$99),1),";")),"",ROW($1:$99)+1),COLUMN(K202)),SMALL(IF(ISERROR(SEARCH(MID(";"&amp;'CASE DATA'!$F202&amp;";",ROW($1:$99),1),";")),"",ROW($1:$99)),COLUMN(K201)+1)-SMALL(IF(ISERROR(SEARCH(MID(";"&amp;'CASE DATA'!$F202&amp;";",ROW($1:$99),1),";")),"",ROW($1:$99)),COLUMN(K201))-1)</f>
        <v/>
      </c>
      <c r="AH202" s="75" t="str" cm="1">
        <f t="array" ref="AH202">MID(";"&amp;'CASE DATA'!$F202&amp;";",SMALL(IF(ISERROR(SEARCH(MID(";"&amp;'CASE DATA'!$F202&amp;";",ROW($1:$99),1),";")),"",ROW($1:$99)+1),COLUMN(L202)),SMALL(IF(ISERROR(SEARCH(MID(";"&amp;'CASE DATA'!$F202&amp;";",ROW($1:$99),1),";")),"",ROW($1:$99)),COLUMN(L201)+1)-SMALL(IF(ISERROR(SEARCH(MID(";"&amp;'CASE DATA'!$F202&amp;";",ROW($1:$99),1),";")),"",ROW($1:$99)),COLUMN(L201))-1)</f>
        <v/>
      </c>
      <c r="AI202" s="75" t="str" cm="1">
        <f t="array" ref="AI202">MID(";"&amp;'CASE DATA'!$F202&amp;";",SMALL(IF(ISERROR(SEARCH(MID(";"&amp;'CASE DATA'!$F202&amp;";",ROW($1:$99),1),";")),"",ROW($1:$99)+1),COLUMN(M202)),SMALL(IF(ISERROR(SEARCH(MID(";"&amp;'CASE DATA'!$F202&amp;";",ROW($1:$99),1),";")),"",ROW($1:$99)),COLUMN(M201)+1)-SMALL(IF(ISERROR(SEARCH(MID(";"&amp;'CASE DATA'!$F202&amp;";",ROW($1:$99),1),";")),"",ROW($1:$99)),COLUMN(M201))-1)</f>
        <v/>
      </c>
      <c r="BO202" s="99"/>
      <c r="BP202" s="99"/>
      <c r="BQ202" s="99"/>
      <c r="BR202" s="99"/>
      <c r="BS202" s="99"/>
      <c r="BT202" s="99"/>
      <c r="BU202" s="99"/>
      <c r="BV202" s="99"/>
      <c r="BW202" s="99"/>
      <c r="BX202" s="99"/>
      <c r="BY202" s="99"/>
      <c r="BZ202" s="99"/>
      <c r="CA202" s="99"/>
      <c r="CB202" s="99"/>
      <c r="CC202" s="99"/>
      <c r="CD202" s="99"/>
      <c r="CE202" s="99"/>
      <c r="CF202" s="99"/>
      <c r="CG202" s="99"/>
      <c r="CH202" s="99"/>
      <c r="CI202" s="99"/>
      <c r="CJ202" s="99"/>
      <c r="CK202" s="99"/>
      <c r="CL202" s="99"/>
      <c r="CM202" s="99"/>
      <c r="CN202" s="99"/>
      <c r="CO202" s="99"/>
      <c r="CP202" s="99"/>
      <c r="CQ202" s="99"/>
      <c r="CR202" s="99"/>
      <c r="CS202" s="99"/>
      <c r="CT202" s="99"/>
      <c r="CU202" s="99"/>
      <c r="CV202" s="99"/>
      <c r="CW202" s="99"/>
      <c r="CX202" s="99"/>
      <c r="CY202" s="99"/>
      <c r="CZ202" s="99"/>
      <c r="DA202" s="99"/>
      <c r="DB202" s="99"/>
      <c r="DC202" s="99"/>
      <c r="DD202" s="99"/>
      <c r="DE202" s="99"/>
      <c r="DF202" s="99"/>
      <c r="DG202" s="99"/>
      <c r="DH202" s="99"/>
      <c r="DI202" s="99"/>
      <c r="DJ202" s="99"/>
      <c r="DK202" s="99"/>
      <c r="DL202" s="99"/>
      <c r="DM202" s="99"/>
      <c r="DN202" s="99"/>
      <c r="DO202" s="99"/>
      <c r="DP202" s="99"/>
      <c r="DQ202" s="99"/>
      <c r="DR202" s="99"/>
      <c r="DS202" s="99"/>
      <c r="DT202" s="99"/>
      <c r="DU202" s="99"/>
      <c r="DV202" s="99"/>
      <c r="DW202" s="99"/>
      <c r="DX202" s="99"/>
      <c r="DY202" s="99"/>
      <c r="DZ202" s="99"/>
      <c r="EA202" s="99"/>
      <c r="EB202" s="99"/>
      <c r="EC202" s="99"/>
      <c r="ED202" s="99"/>
      <c r="EE202" s="99"/>
      <c r="EF202" s="99"/>
      <c r="EG202" s="99"/>
      <c r="EH202" s="99"/>
      <c r="EI202" s="99"/>
      <c r="EJ202" s="99"/>
      <c r="EK202" s="99"/>
      <c r="EL202" s="99"/>
      <c r="EM202" s="99"/>
      <c r="EN202" s="99"/>
      <c r="EO202" s="99"/>
      <c r="EP202" s="99"/>
      <c r="EQ202" s="99"/>
      <c r="ER202" s="99"/>
      <c r="ES202" s="99"/>
      <c r="ET202" s="99"/>
      <c r="EU202" s="99"/>
      <c r="EV202" s="99"/>
      <c r="EW202" s="99"/>
      <c r="EX202" s="99"/>
      <c r="EY202" s="99"/>
      <c r="EZ202" s="99"/>
      <c r="FA202" s="99"/>
      <c r="FB202" s="99"/>
      <c r="FC202" s="99"/>
      <c r="FD202" s="99"/>
      <c r="FE202" s="99"/>
      <c r="FF202" s="99"/>
      <c r="FG202" s="99"/>
      <c r="FH202" s="99"/>
      <c r="FI202" s="99"/>
      <c r="FJ202" s="99"/>
      <c r="FK202" s="99"/>
    </row>
    <row r="203" spans="3:167" x14ac:dyDescent="0.25">
      <c r="C203" s="10"/>
      <c r="D203" s="10"/>
      <c r="J203" s="99">
        <v>200</v>
      </c>
      <c r="K203" s="16"/>
      <c r="L203" s="16"/>
      <c r="M203" s="16"/>
      <c r="N203" s="16"/>
      <c r="O203" s="16"/>
      <c r="P203" s="16"/>
      <c r="Q203" s="16"/>
      <c r="R203" s="16"/>
      <c r="S203" s="16"/>
      <c r="T203" s="16"/>
      <c r="U203" s="14">
        <f>SUM(K203:T203)</f>
        <v>0</v>
      </c>
      <c r="V203" s="14"/>
      <c r="X203" s="75" t="str" cm="1">
        <f t="array" ref="X203">MID(";"&amp;'CASE DATA'!$F203&amp;";",SMALL(IF(ISERROR(SEARCH(MID(";"&amp;'CASE DATA'!$F203&amp;";",ROW($1:$99),1),";")),"",ROW($1:$99)+1),COLUMN(A203)),SMALL(IF(ISERROR(SEARCH(MID(";"&amp;'CASE DATA'!$F203&amp;";",ROW($1:$99),1),";")),"",ROW($1:$99)),COLUMN(A202)+1)-SMALL(IF(ISERROR(SEARCH(MID(";"&amp;'CASE DATA'!$F203&amp;";",ROW($1:$99),1),";")),"",ROW($1:$99)),COLUMN(A202))-1)</f>
        <v/>
      </c>
      <c r="Y203" s="75" t="str" cm="1">
        <f t="array" ref="Y203">MID(";"&amp;'CASE DATA'!$F203&amp;";",SMALL(IF(ISERROR(SEARCH(MID(";"&amp;'CASE DATA'!$F203&amp;";",ROW($1:$99),1),";")),"",ROW($1:$99)+1),COLUMN(B203)),SMALL(IF(ISERROR(SEARCH(MID(";"&amp;'CASE DATA'!$F203&amp;";",ROW($1:$99),1),";")),"",ROW($1:$99)),COLUMN(B202)+1)-SMALL(IF(ISERROR(SEARCH(MID(";"&amp;'CASE DATA'!$F203&amp;";",ROW($1:$99),1),";")),"",ROW($1:$99)),COLUMN(B202))-1)</f>
        <v/>
      </c>
      <c r="Z203" s="75" t="str" cm="1">
        <f t="array" ref="Z203">MID(";"&amp;'CASE DATA'!$F203&amp;";",SMALL(IF(ISERROR(SEARCH(MID(";"&amp;'CASE DATA'!$F203&amp;";",ROW($1:$99),1),";")),"",ROW($1:$99)+1),COLUMN(C203)),SMALL(IF(ISERROR(SEARCH(MID(";"&amp;'CASE DATA'!$F203&amp;";",ROW($1:$99),1),";")),"",ROW($1:$99)),COLUMN(C202)+1)-SMALL(IF(ISERROR(SEARCH(MID(";"&amp;'CASE DATA'!$F203&amp;";",ROW($1:$99),1),";")),"",ROW($1:$99)),COLUMN(C202))-1)</f>
        <v/>
      </c>
      <c r="AA203" s="75" t="str" cm="1">
        <f t="array" ref="AA203">MID(";"&amp;'CASE DATA'!$F203&amp;";",SMALL(IF(ISERROR(SEARCH(MID(";"&amp;'CASE DATA'!$F203&amp;";",ROW($1:$99),1),";")),"",ROW($1:$99)+1),COLUMN(D203)),SMALL(IF(ISERROR(SEARCH(MID(";"&amp;'CASE DATA'!$F203&amp;";",ROW($1:$99),1),";")),"",ROW($1:$99)),COLUMN(D202)+1)-SMALL(IF(ISERROR(SEARCH(MID(";"&amp;'CASE DATA'!$F203&amp;";",ROW($1:$99),1),";")),"",ROW($1:$99)),COLUMN(D202))-1)</f>
        <v/>
      </c>
      <c r="AB203" s="75" t="str" cm="1">
        <f t="array" ref="AB203">MID(";"&amp;'CASE DATA'!$F203&amp;";",SMALL(IF(ISERROR(SEARCH(MID(";"&amp;'CASE DATA'!$F203&amp;";",ROW($1:$99),1),";")),"",ROW($1:$99)+1),COLUMN(E203)),SMALL(IF(ISERROR(SEARCH(MID(";"&amp;'CASE DATA'!$F203&amp;";",ROW($1:$99),1),";")),"",ROW($1:$99)),COLUMN(E202)+1)-SMALL(IF(ISERROR(SEARCH(MID(";"&amp;'CASE DATA'!$F203&amp;";",ROW($1:$99),1),";")),"",ROW($1:$99)),COLUMN(E202))-1)</f>
        <v/>
      </c>
      <c r="AC203" s="75" t="str" cm="1">
        <f t="array" ref="AC203">MID(";"&amp;'CASE DATA'!$F203&amp;";",SMALL(IF(ISERROR(SEARCH(MID(";"&amp;'CASE DATA'!$F203&amp;";",ROW($1:$99),1),";")),"",ROW($1:$99)+1),COLUMN(F203)),SMALL(IF(ISERROR(SEARCH(MID(";"&amp;'CASE DATA'!$F203&amp;";",ROW($1:$99),1),";")),"",ROW($1:$99)),COLUMN(F202)+1)-SMALL(IF(ISERROR(SEARCH(MID(";"&amp;'CASE DATA'!$F203&amp;";",ROW($1:$99),1),";")),"",ROW($1:$99)),COLUMN(F202))-1)</f>
        <v/>
      </c>
      <c r="AD203" s="75" t="str" cm="1">
        <f t="array" ref="AD203">MID(";"&amp;'CASE DATA'!$F203&amp;";",SMALL(IF(ISERROR(SEARCH(MID(";"&amp;'CASE DATA'!$F203&amp;";",ROW($1:$99),1),";")),"",ROW($1:$99)+1),COLUMN(G203)),SMALL(IF(ISERROR(SEARCH(MID(";"&amp;'CASE DATA'!$F203&amp;";",ROW($1:$99),1),";")),"",ROW($1:$99)),COLUMN(G202)+1)-SMALL(IF(ISERROR(SEARCH(MID(";"&amp;'CASE DATA'!$F203&amp;";",ROW($1:$99),1),";")),"",ROW($1:$99)),COLUMN(G202))-1)</f>
        <v/>
      </c>
      <c r="AE203" s="75" t="str" cm="1">
        <f t="array" ref="AE203">MID(";"&amp;'CASE DATA'!$F203&amp;";",SMALL(IF(ISERROR(SEARCH(MID(";"&amp;'CASE DATA'!$F203&amp;";",ROW($1:$99),1),";")),"",ROW($1:$99)+1),COLUMN(H203)),SMALL(IF(ISERROR(SEARCH(MID(";"&amp;'CASE DATA'!$F203&amp;";",ROW($1:$99),1),";")),"",ROW($1:$99)),COLUMN(H202)+1)-SMALL(IF(ISERROR(SEARCH(MID(";"&amp;'CASE DATA'!$F203&amp;";",ROW($1:$99),1),";")),"",ROW($1:$99)),COLUMN(H202))-1)</f>
        <v/>
      </c>
      <c r="AF203" s="75" t="str" cm="1">
        <f t="array" ref="AF203">MID(";"&amp;'CASE DATA'!$F203&amp;";",SMALL(IF(ISERROR(SEARCH(MID(";"&amp;'CASE DATA'!$F203&amp;";",ROW($1:$99),1),";")),"",ROW($1:$99)+1),COLUMN(I203)),SMALL(IF(ISERROR(SEARCH(MID(";"&amp;'CASE DATA'!$F203&amp;";",ROW($1:$99),1),";")),"",ROW($1:$99)),COLUMN(I202)+1)-SMALL(IF(ISERROR(SEARCH(MID(";"&amp;'CASE DATA'!$F203&amp;";",ROW($1:$99),1),";")),"",ROW($1:$99)),COLUMN(I202))-1)</f>
        <v/>
      </c>
      <c r="AG203" s="75" t="str" cm="1">
        <f t="array" ref="AG203">MID(";"&amp;'CASE DATA'!$F203&amp;";",SMALL(IF(ISERROR(SEARCH(MID(";"&amp;'CASE DATA'!$F203&amp;";",ROW($1:$99),1),";")),"",ROW($1:$99)+1),COLUMN(K203)),SMALL(IF(ISERROR(SEARCH(MID(";"&amp;'CASE DATA'!$F203&amp;";",ROW($1:$99),1),";")),"",ROW($1:$99)),COLUMN(K202)+1)-SMALL(IF(ISERROR(SEARCH(MID(";"&amp;'CASE DATA'!$F203&amp;";",ROW($1:$99),1),";")),"",ROW($1:$99)),COLUMN(K202))-1)</f>
        <v/>
      </c>
      <c r="AH203" s="75" t="str" cm="1">
        <f t="array" ref="AH203">MID(";"&amp;'CASE DATA'!$F203&amp;";",SMALL(IF(ISERROR(SEARCH(MID(";"&amp;'CASE DATA'!$F203&amp;";",ROW($1:$99),1),";")),"",ROW($1:$99)+1),COLUMN(L203)),SMALL(IF(ISERROR(SEARCH(MID(";"&amp;'CASE DATA'!$F203&amp;";",ROW($1:$99),1),";")),"",ROW($1:$99)),COLUMN(L202)+1)-SMALL(IF(ISERROR(SEARCH(MID(";"&amp;'CASE DATA'!$F203&amp;";",ROW($1:$99),1),";")),"",ROW($1:$99)),COLUMN(L202))-1)</f>
        <v/>
      </c>
      <c r="AI203" s="75" t="str" cm="1">
        <f t="array" ref="AI203">MID(";"&amp;'CASE DATA'!$F203&amp;";",SMALL(IF(ISERROR(SEARCH(MID(";"&amp;'CASE DATA'!$F203&amp;";",ROW($1:$99),1),";")),"",ROW($1:$99)+1),COLUMN(M203)),SMALL(IF(ISERROR(SEARCH(MID(";"&amp;'CASE DATA'!$F203&amp;";",ROW($1:$99),1),";")),"",ROW($1:$99)),COLUMN(M202)+1)-SMALL(IF(ISERROR(SEARCH(MID(";"&amp;'CASE DATA'!$F203&amp;";",ROW($1:$99),1),";")),"",ROW($1:$99)),COLUMN(M202))-1)</f>
        <v/>
      </c>
      <c r="BO203" s="99"/>
      <c r="BP203" s="99"/>
      <c r="BQ203" s="99"/>
      <c r="BR203" s="99"/>
      <c r="BS203" s="99"/>
      <c r="BT203" s="99"/>
      <c r="BU203" s="99"/>
      <c r="BV203" s="99"/>
      <c r="BW203" s="99"/>
      <c r="BX203" s="99"/>
      <c r="BY203" s="99"/>
      <c r="BZ203" s="99"/>
      <c r="CA203" s="99"/>
      <c r="CB203" s="99"/>
      <c r="CC203" s="99"/>
      <c r="CD203" s="99"/>
      <c r="CE203" s="99"/>
      <c r="CF203" s="99"/>
      <c r="CG203" s="99"/>
      <c r="CH203" s="99"/>
      <c r="CI203" s="99"/>
      <c r="CJ203" s="99"/>
      <c r="CK203" s="99"/>
      <c r="CL203" s="99"/>
      <c r="CM203" s="99"/>
      <c r="CN203" s="99"/>
      <c r="CO203" s="99"/>
      <c r="CP203" s="99"/>
      <c r="CQ203" s="99"/>
      <c r="CR203" s="99"/>
      <c r="CS203" s="99"/>
      <c r="CT203" s="99"/>
      <c r="CU203" s="99"/>
      <c r="CV203" s="99"/>
      <c r="CW203" s="99"/>
      <c r="CX203" s="99"/>
      <c r="CY203" s="99"/>
      <c r="CZ203" s="99"/>
      <c r="DA203" s="99"/>
      <c r="DB203" s="99"/>
      <c r="DC203" s="99"/>
      <c r="DD203" s="99"/>
      <c r="DE203" s="99"/>
      <c r="DF203" s="99"/>
      <c r="DG203" s="99"/>
      <c r="DH203" s="99"/>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99"/>
      <c r="EE203" s="99"/>
      <c r="EF203" s="99"/>
      <c r="EG203" s="99"/>
      <c r="EH203" s="99"/>
      <c r="EI203" s="99"/>
      <c r="EJ203" s="99"/>
      <c r="EK203" s="99"/>
      <c r="EL203" s="99"/>
      <c r="EM203" s="99"/>
      <c r="EN203" s="99"/>
      <c r="EO203" s="99"/>
      <c r="EP203" s="99"/>
      <c r="EQ203" s="99"/>
      <c r="ER203" s="99"/>
      <c r="ES203" s="99"/>
      <c r="ET203" s="99"/>
      <c r="EU203" s="99"/>
      <c r="EV203" s="99"/>
      <c r="EW203" s="99"/>
      <c r="EX203" s="99"/>
      <c r="EY203" s="99"/>
      <c r="EZ203" s="99"/>
      <c r="FA203" s="99"/>
      <c r="FB203" s="99"/>
      <c r="FC203" s="99"/>
      <c r="FD203" s="99"/>
      <c r="FE203" s="99"/>
      <c r="FF203" s="99"/>
      <c r="FG203" s="99"/>
      <c r="FH203" s="99"/>
      <c r="FI203" s="99"/>
      <c r="FJ203" s="99"/>
      <c r="FK203" s="99"/>
    </row>
    <row r="204" spans="3:167" x14ac:dyDescent="0.25">
      <c r="C204" s="10"/>
      <c r="D204" s="10"/>
      <c r="J204" s="99">
        <v>201</v>
      </c>
      <c r="K204" s="16"/>
      <c r="L204" s="16"/>
      <c r="M204" s="16"/>
      <c r="N204" s="16"/>
      <c r="O204" s="16"/>
      <c r="P204" s="16"/>
      <c r="Q204" s="16"/>
      <c r="R204" s="16"/>
      <c r="S204" s="16"/>
      <c r="T204" s="16"/>
      <c r="U204" s="14">
        <f>SUM(K204:T204)</f>
        <v>0</v>
      </c>
      <c r="V204" s="14"/>
      <c r="X204" s="75" t="str" cm="1">
        <f t="array" ref="X204">MID(";"&amp;'CASE DATA'!$F204&amp;";",SMALL(IF(ISERROR(SEARCH(MID(";"&amp;'CASE DATA'!$F204&amp;";",ROW($1:$99),1),";")),"",ROW($1:$99)+1),COLUMN(A204)),SMALL(IF(ISERROR(SEARCH(MID(";"&amp;'CASE DATA'!$F204&amp;";",ROW($1:$99),1),";")),"",ROW($1:$99)),COLUMN(A203)+1)-SMALL(IF(ISERROR(SEARCH(MID(";"&amp;'CASE DATA'!$F204&amp;";",ROW($1:$99),1),";")),"",ROW($1:$99)),COLUMN(A203))-1)</f>
        <v/>
      </c>
      <c r="Y204" s="75" t="str" cm="1">
        <f t="array" ref="Y204">MID(";"&amp;'CASE DATA'!$F204&amp;";",SMALL(IF(ISERROR(SEARCH(MID(";"&amp;'CASE DATA'!$F204&amp;";",ROW($1:$99),1),";")),"",ROW($1:$99)+1),COLUMN(B204)),SMALL(IF(ISERROR(SEARCH(MID(";"&amp;'CASE DATA'!$F204&amp;";",ROW($1:$99),1),";")),"",ROW($1:$99)),COLUMN(B203)+1)-SMALL(IF(ISERROR(SEARCH(MID(";"&amp;'CASE DATA'!$F204&amp;";",ROW($1:$99),1),";")),"",ROW($1:$99)),COLUMN(B203))-1)</f>
        <v/>
      </c>
      <c r="Z204" s="75" t="str" cm="1">
        <f t="array" ref="Z204">MID(";"&amp;'CASE DATA'!$F204&amp;";",SMALL(IF(ISERROR(SEARCH(MID(";"&amp;'CASE DATA'!$F204&amp;";",ROW($1:$99),1),";")),"",ROW($1:$99)+1),COLUMN(C204)),SMALL(IF(ISERROR(SEARCH(MID(";"&amp;'CASE DATA'!$F204&amp;";",ROW($1:$99),1),";")),"",ROW($1:$99)),COLUMN(C203)+1)-SMALL(IF(ISERROR(SEARCH(MID(";"&amp;'CASE DATA'!$F204&amp;";",ROW($1:$99),1),";")),"",ROW($1:$99)),COLUMN(C203))-1)</f>
        <v/>
      </c>
      <c r="AA204" s="75" t="str" cm="1">
        <f t="array" ref="AA204">MID(";"&amp;'CASE DATA'!$F204&amp;";",SMALL(IF(ISERROR(SEARCH(MID(";"&amp;'CASE DATA'!$F204&amp;";",ROW($1:$99),1),";")),"",ROW($1:$99)+1),COLUMN(D204)),SMALL(IF(ISERROR(SEARCH(MID(";"&amp;'CASE DATA'!$F204&amp;";",ROW($1:$99),1),";")),"",ROW($1:$99)),COLUMN(D203)+1)-SMALL(IF(ISERROR(SEARCH(MID(";"&amp;'CASE DATA'!$F204&amp;";",ROW($1:$99),1),";")),"",ROW($1:$99)),COLUMN(D203))-1)</f>
        <v/>
      </c>
      <c r="AB204" s="75" t="str" cm="1">
        <f t="array" ref="AB204">MID(";"&amp;'CASE DATA'!$F204&amp;";",SMALL(IF(ISERROR(SEARCH(MID(";"&amp;'CASE DATA'!$F204&amp;";",ROW($1:$99),1),";")),"",ROW($1:$99)+1),COLUMN(E204)),SMALL(IF(ISERROR(SEARCH(MID(";"&amp;'CASE DATA'!$F204&amp;";",ROW($1:$99),1),";")),"",ROW($1:$99)),COLUMN(E203)+1)-SMALL(IF(ISERROR(SEARCH(MID(";"&amp;'CASE DATA'!$F204&amp;";",ROW($1:$99),1),";")),"",ROW($1:$99)),COLUMN(E203))-1)</f>
        <v/>
      </c>
      <c r="AC204" s="75" t="str" cm="1">
        <f t="array" ref="AC204">MID(";"&amp;'CASE DATA'!$F204&amp;";",SMALL(IF(ISERROR(SEARCH(MID(";"&amp;'CASE DATA'!$F204&amp;";",ROW($1:$99),1),";")),"",ROW($1:$99)+1),COLUMN(F204)),SMALL(IF(ISERROR(SEARCH(MID(";"&amp;'CASE DATA'!$F204&amp;";",ROW($1:$99),1),";")),"",ROW($1:$99)),COLUMN(F203)+1)-SMALL(IF(ISERROR(SEARCH(MID(";"&amp;'CASE DATA'!$F204&amp;";",ROW($1:$99),1),";")),"",ROW($1:$99)),COLUMN(F203))-1)</f>
        <v/>
      </c>
      <c r="AD204" s="75" t="str" cm="1">
        <f t="array" ref="AD204">MID(";"&amp;'CASE DATA'!$F204&amp;";",SMALL(IF(ISERROR(SEARCH(MID(";"&amp;'CASE DATA'!$F204&amp;";",ROW($1:$99),1),";")),"",ROW($1:$99)+1),COLUMN(G204)),SMALL(IF(ISERROR(SEARCH(MID(";"&amp;'CASE DATA'!$F204&amp;";",ROW($1:$99),1),";")),"",ROW($1:$99)),COLUMN(G203)+1)-SMALL(IF(ISERROR(SEARCH(MID(";"&amp;'CASE DATA'!$F204&amp;";",ROW($1:$99),1),";")),"",ROW($1:$99)),COLUMN(G203))-1)</f>
        <v/>
      </c>
      <c r="AE204" s="75" t="str" cm="1">
        <f t="array" ref="AE204">MID(";"&amp;'CASE DATA'!$F204&amp;";",SMALL(IF(ISERROR(SEARCH(MID(";"&amp;'CASE DATA'!$F204&amp;";",ROW($1:$99),1),";")),"",ROW($1:$99)+1),COLUMN(H204)),SMALL(IF(ISERROR(SEARCH(MID(";"&amp;'CASE DATA'!$F204&amp;";",ROW($1:$99),1),";")),"",ROW($1:$99)),COLUMN(H203)+1)-SMALL(IF(ISERROR(SEARCH(MID(";"&amp;'CASE DATA'!$F204&amp;";",ROW($1:$99),1),";")),"",ROW($1:$99)),COLUMN(H203))-1)</f>
        <v/>
      </c>
      <c r="AF204" s="75" t="str" cm="1">
        <f t="array" ref="AF204">MID(";"&amp;'CASE DATA'!$F204&amp;";",SMALL(IF(ISERROR(SEARCH(MID(";"&amp;'CASE DATA'!$F204&amp;";",ROW($1:$99),1),";")),"",ROW($1:$99)+1),COLUMN(I204)),SMALL(IF(ISERROR(SEARCH(MID(";"&amp;'CASE DATA'!$F204&amp;";",ROW($1:$99),1),";")),"",ROW($1:$99)),COLUMN(I203)+1)-SMALL(IF(ISERROR(SEARCH(MID(";"&amp;'CASE DATA'!$F204&amp;";",ROW($1:$99),1),";")),"",ROW($1:$99)),COLUMN(I203))-1)</f>
        <v/>
      </c>
      <c r="AG204" s="75" t="str" cm="1">
        <f t="array" ref="AG204">MID(";"&amp;'CASE DATA'!$F204&amp;";",SMALL(IF(ISERROR(SEARCH(MID(";"&amp;'CASE DATA'!$F204&amp;";",ROW($1:$99),1),";")),"",ROW($1:$99)+1),COLUMN(K204)),SMALL(IF(ISERROR(SEARCH(MID(";"&amp;'CASE DATA'!$F204&amp;";",ROW($1:$99),1),";")),"",ROW($1:$99)),COLUMN(K203)+1)-SMALL(IF(ISERROR(SEARCH(MID(";"&amp;'CASE DATA'!$F204&amp;";",ROW($1:$99),1),";")),"",ROW($1:$99)),COLUMN(K203))-1)</f>
        <v/>
      </c>
      <c r="AH204" s="75" t="str" cm="1">
        <f t="array" ref="AH204">MID(";"&amp;'CASE DATA'!$F204&amp;";",SMALL(IF(ISERROR(SEARCH(MID(";"&amp;'CASE DATA'!$F204&amp;";",ROW($1:$99),1),";")),"",ROW($1:$99)+1),COLUMN(L204)),SMALL(IF(ISERROR(SEARCH(MID(";"&amp;'CASE DATA'!$F204&amp;";",ROW($1:$99),1),";")),"",ROW($1:$99)),COLUMN(L203)+1)-SMALL(IF(ISERROR(SEARCH(MID(";"&amp;'CASE DATA'!$F204&amp;";",ROW($1:$99),1),";")),"",ROW($1:$99)),COLUMN(L203))-1)</f>
        <v/>
      </c>
      <c r="AI204" s="75" t="str" cm="1">
        <f t="array" ref="AI204">MID(";"&amp;'CASE DATA'!$F204&amp;";",SMALL(IF(ISERROR(SEARCH(MID(";"&amp;'CASE DATA'!$F204&amp;";",ROW($1:$99),1),";")),"",ROW($1:$99)+1),COLUMN(M204)),SMALL(IF(ISERROR(SEARCH(MID(";"&amp;'CASE DATA'!$F204&amp;";",ROW($1:$99),1),";")),"",ROW($1:$99)),COLUMN(M203)+1)-SMALL(IF(ISERROR(SEARCH(MID(";"&amp;'CASE DATA'!$F204&amp;";",ROW($1:$99),1),";")),"",ROW($1:$99)),COLUMN(M203))-1)</f>
        <v/>
      </c>
      <c r="BO204" s="99"/>
      <c r="BP204" s="99"/>
      <c r="BQ204" s="99"/>
      <c r="BR204" s="99"/>
      <c r="BS204" s="99"/>
      <c r="BT204" s="99"/>
      <c r="BU204" s="99"/>
      <c r="BV204" s="99"/>
      <c r="BW204" s="99"/>
      <c r="BX204" s="99"/>
      <c r="BY204" s="99"/>
      <c r="BZ204" s="99"/>
      <c r="CA204" s="99"/>
      <c r="CB204" s="99"/>
      <c r="CC204" s="99"/>
      <c r="CD204" s="99"/>
      <c r="CE204" s="99"/>
      <c r="CF204" s="99"/>
      <c r="CG204" s="99"/>
      <c r="CH204" s="99"/>
      <c r="CI204" s="99"/>
      <c r="CJ204" s="99"/>
      <c r="CK204" s="99"/>
      <c r="CL204" s="99"/>
      <c r="CM204" s="99"/>
      <c r="CN204" s="99"/>
      <c r="CO204" s="99"/>
      <c r="CP204" s="99"/>
      <c r="CQ204" s="99"/>
      <c r="CR204" s="99"/>
      <c r="CS204" s="99"/>
      <c r="CT204" s="99"/>
      <c r="CU204" s="99"/>
      <c r="CV204" s="99"/>
      <c r="CW204" s="99"/>
      <c r="CX204" s="99"/>
      <c r="CY204" s="99"/>
      <c r="CZ204" s="99"/>
      <c r="DA204" s="99"/>
      <c r="DB204" s="99"/>
      <c r="DC204" s="99"/>
      <c r="DD204" s="99"/>
      <c r="DE204" s="99"/>
      <c r="DF204" s="99"/>
      <c r="DG204" s="99"/>
      <c r="DH204" s="99"/>
      <c r="DI204" s="99"/>
      <c r="DJ204" s="99"/>
      <c r="DK204" s="99"/>
      <c r="DL204" s="99"/>
      <c r="DM204" s="99"/>
      <c r="DN204" s="99"/>
      <c r="DO204" s="99"/>
      <c r="DP204" s="99"/>
      <c r="DQ204" s="99"/>
      <c r="DR204" s="99"/>
      <c r="DS204" s="99"/>
      <c r="DT204" s="99"/>
      <c r="DU204" s="99"/>
      <c r="DV204" s="99"/>
      <c r="DW204" s="99"/>
      <c r="DX204" s="99"/>
      <c r="DY204" s="99"/>
      <c r="DZ204" s="99"/>
      <c r="EA204" s="99"/>
      <c r="EB204" s="99"/>
      <c r="EC204" s="99"/>
      <c r="ED204" s="99"/>
      <c r="EE204" s="99"/>
      <c r="EF204" s="99"/>
      <c r="EG204" s="99"/>
      <c r="EH204" s="99"/>
      <c r="EI204" s="99"/>
      <c r="EJ204" s="99"/>
      <c r="EK204" s="99"/>
      <c r="EL204" s="99"/>
      <c r="EM204" s="99"/>
      <c r="EN204" s="99"/>
      <c r="EO204" s="99"/>
      <c r="EP204" s="99"/>
      <c r="EQ204" s="99"/>
      <c r="ER204" s="99"/>
      <c r="ES204" s="99"/>
      <c r="ET204" s="99"/>
      <c r="EU204" s="99"/>
      <c r="EV204" s="99"/>
      <c r="EW204" s="99"/>
      <c r="EX204" s="99"/>
      <c r="EY204" s="99"/>
      <c r="EZ204" s="99"/>
      <c r="FA204" s="99"/>
      <c r="FB204" s="99"/>
      <c r="FC204" s="99"/>
      <c r="FD204" s="99"/>
      <c r="FE204" s="99"/>
      <c r="FF204" s="99"/>
      <c r="FG204" s="99"/>
      <c r="FH204" s="99"/>
      <c r="FI204" s="99"/>
      <c r="FJ204" s="99"/>
      <c r="FK204" s="99"/>
    </row>
    <row r="205" spans="3:167" x14ac:dyDescent="0.25">
      <c r="C205" s="10"/>
      <c r="D205" s="10"/>
      <c r="J205" s="99">
        <v>202</v>
      </c>
      <c r="K205" s="16"/>
      <c r="L205" s="16"/>
      <c r="M205" s="16"/>
      <c r="N205" s="16"/>
      <c r="O205" s="16"/>
      <c r="P205" s="16"/>
      <c r="Q205" s="16"/>
      <c r="R205" s="16"/>
      <c r="S205" s="16"/>
      <c r="T205" s="16"/>
      <c r="U205" s="14">
        <f>SUM(K205:T205)</f>
        <v>0</v>
      </c>
      <c r="V205" s="14"/>
      <c r="X205" s="75" t="str" cm="1">
        <f t="array" ref="X205">MID(";"&amp;'CASE DATA'!$F205&amp;";",SMALL(IF(ISERROR(SEARCH(MID(";"&amp;'CASE DATA'!$F205&amp;";",ROW($1:$99),1),";")),"",ROW($1:$99)+1),COLUMN(A205)),SMALL(IF(ISERROR(SEARCH(MID(";"&amp;'CASE DATA'!$F205&amp;";",ROW($1:$99),1),";")),"",ROW($1:$99)),COLUMN(A204)+1)-SMALL(IF(ISERROR(SEARCH(MID(";"&amp;'CASE DATA'!$F205&amp;";",ROW($1:$99),1),";")),"",ROW($1:$99)),COLUMN(A204))-1)</f>
        <v/>
      </c>
      <c r="Y205" s="75" t="str" cm="1">
        <f t="array" ref="Y205">MID(";"&amp;'CASE DATA'!$F205&amp;";",SMALL(IF(ISERROR(SEARCH(MID(";"&amp;'CASE DATA'!$F205&amp;";",ROW($1:$99),1),";")),"",ROW($1:$99)+1),COLUMN(B205)),SMALL(IF(ISERROR(SEARCH(MID(";"&amp;'CASE DATA'!$F205&amp;";",ROW($1:$99),1),";")),"",ROW($1:$99)),COLUMN(B204)+1)-SMALL(IF(ISERROR(SEARCH(MID(";"&amp;'CASE DATA'!$F205&amp;";",ROW($1:$99),1),";")),"",ROW($1:$99)),COLUMN(B204))-1)</f>
        <v/>
      </c>
      <c r="Z205" s="75" t="str" cm="1">
        <f t="array" ref="Z205">MID(";"&amp;'CASE DATA'!$F205&amp;";",SMALL(IF(ISERROR(SEARCH(MID(";"&amp;'CASE DATA'!$F205&amp;";",ROW($1:$99),1),";")),"",ROW($1:$99)+1),COLUMN(C205)),SMALL(IF(ISERROR(SEARCH(MID(";"&amp;'CASE DATA'!$F205&amp;";",ROW($1:$99),1),";")),"",ROW($1:$99)),COLUMN(C204)+1)-SMALL(IF(ISERROR(SEARCH(MID(";"&amp;'CASE DATA'!$F205&amp;";",ROW($1:$99),1),";")),"",ROW($1:$99)),COLUMN(C204))-1)</f>
        <v/>
      </c>
      <c r="AA205" s="75" t="str" cm="1">
        <f t="array" ref="AA205">MID(";"&amp;'CASE DATA'!$F205&amp;";",SMALL(IF(ISERROR(SEARCH(MID(";"&amp;'CASE DATA'!$F205&amp;";",ROW($1:$99),1),";")),"",ROW($1:$99)+1),COLUMN(D205)),SMALL(IF(ISERROR(SEARCH(MID(";"&amp;'CASE DATA'!$F205&amp;";",ROW($1:$99),1),";")),"",ROW($1:$99)),COLUMN(D204)+1)-SMALL(IF(ISERROR(SEARCH(MID(";"&amp;'CASE DATA'!$F205&amp;";",ROW($1:$99),1),";")),"",ROW($1:$99)),COLUMN(D204))-1)</f>
        <v/>
      </c>
      <c r="AB205" s="75" t="str" cm="1">
        <f t="array" ref="AB205">MID(";"&amp;'CASE DATA'!$F205&amp;";",SMALL(IF(ISERROR(SEARCH(MID(";"&amp;'CASE DATA'!$F205&amp;";",ROW($1:$99),1),";")),"",ROW($1:$99)+1),COLUMN(E205)),SMALL(IF(ISERROR(SEARCH(MID(";"&amp;'CASE DATA'!$F205&amp;";",ROW($1:$99),1),";")),"",ROW($1:$99)),COLUMN(E204)+1)-SMALL(IF(ISERROR(SEARCH(MID(";"&amp;'CASE DATA'!$F205&amp;";",ROW($1:$99),1),";")),"",ROW($1:$99)),COLUMN(E204))-1)</f>
        <v/>
      </c>
      <c r="AC205" s="75" t="str" cm="1">
        <f t="array" ref="AC205">MID(";"&amp;'CASE DATA'!$F205&amp;";",SMALL(IF(ISERROR(SEARCH(MID(";"&amp;'CASE DATA'!$F205&amp;";",ROW($1:$99),1),";")),"",ROW($1:$99)+1),COLUMN(F205)),SMALL(IF(ISERROR(SEARCH(MID(";"&amp;'CASE DATA'!$F205&amp;";",ROW($1:$99),1),";")),"",ROW($1:$99)),COLUMN(F204)+1)-SMALL(IF(ISERROR(SEARCH(MID(";"&amp;'CASE DATA'!$F205&amp;";",ROW($1:$99),1),";")),"",ROW($1:$99)),COLUMN(F204))-1)</f>
        <v/>
      </c>
      <c r="AD205" s="75" t="str" cm="1">
        <f t="array" ref="AD205">MID(";"&amp;'CASE DATA'!$F205&amp;";",SMALL(IF(ISERROR(SEARCH(MID(";"&amp;'CASE DATA'!$F205&amp;";",ROW($1:$99),1),";")),"",ROW($1:$99)+1),COLUMN(G205)),SMALL(IF(ISERROR(SEARCH(MID(";"&amp;'CASE DATA'!$F205&amp;";",ROW($1:$99),1),";")),"",ROW($1:$99)),COLUMN(G204)+1)-SMALL(IF(ISERROR(SEARCH(MID(";"&amp;'CASE DATA'!$F205&amp;";",ROW($1:$99),1),";")),"",ROW($1:$99)),COLUMN(G204))-1)</f>
        <v/>
      </c>
      <c r="AE205" s="75" t="str" cm="1">
        <f t="array" ref="AE205">MID(";"&amp;'CASE DATA'!$F205&amp;";",SMALL(IF(ISERROR(SEARCH(MID(";"&amp;'CASE DATA'!$F205&amp;";",ROW($1:$99),1),";")),"",ROW($1:$99)+1),COLUMN(H205)),SMALL(IF(ISERROR(SEARCH(MID(";"&amp;'CASE DATA'!$F205&amp;";",ROW($1:$99),1),";")),"",ROW($1:$99)),COLUMN(H204)+1)-SMALL(IF(ISERROR(SEARCH(MID(";"&amp;'CASE DATA'!$F205&amp;";",ROW($1:$99),1),";")),"",ROW($1:$99)),COLUMN(H204))-1)</f>
        <v/>
      </c>
      <c r="AF205" s="75" t="str" cm="1">
        <f t="array" ref="AF205">MID(";"&amp;'CASE DATA'!$F205&amp;";",SMALL(IF(ISERROR(SEARCH(MID(";"&amp;'CASE DATA'!$F205&amp;";",ROW($1:$99),1),";")),"",ROW($1:$99)+1),COLUMN(I205)),SMALL(IF(ISERROR(SEARCH(MID(";"&amp;'CASE DATA'!$F205&amp;";",ROW($1:$99),1),";")),"",ROW($1:$99)),COLUMN(I204)+1)-SMALL(IF(ISERROR(SEARCH(MID(";"&amp;'CASE DATA'!$F205&amp;";",ROW($1:$99),1),";")),"",ROW($1:$99)),COLUMN(I204))-1)</f>
        <v/>
      </c>
      <c r="AG205" s="75" t="str" cm="1">
        <f t="array" ref="AG205">MID(";"&amp;'CASE DATA'!$F205&amp;";",SMALL(IF(ISERROR(SEARCH(MID(";"&amp;'CASE DATA'!$F205&amp;";",ROW($1:$99),1),";")),"",ROW($1:$99)+1),COLUMN(K205)),SMALL(IF(ISERROR(SEARCH(MID(";"&amp;'CASE DATA'!$F205&amp;";",ROW($1:$99),1),";")),"",ROW($1:$99)),COLUMN(K204)+1)-SMALL(IF(ISERROR(SEARCH(MID(";"&amp;'CASE DATA'!$F205&amp;";",ROW($1:$99),1),";")),"",ROW($1:$99)),COLUMN(K204))-1)</f>
        <v/>
      </c>
      <c r="AH205" s="75" t="str" cm="1">
        <f t="array" ref="AH205">MID(";"&amp;'CASE DATA'!$F205&amp;";",SMALL(IF(ISERROR(SEARCH(MID(";"&amp;'CASE DATA'!$F205&amp;";",ROW($1:$99),1),";")),"",ROW($1:$99)+1),COLUMN(L205)),SMALL(IF(ISERROR(SEARCH(MID(";"&amp;'CASE DATA'!$F205&amp;";",ROW($1:$99),1),";")),"",ROW($1:$99)),COLUMN(L204)+1)-SMALL(IF(ISERROR(SEARCH(MID(";"&amp;'CASE DATA'!$F205&amp;";",ROW($1:$99),1),";")),"",ROW($1:$99)),COLUMN(L204))-1)</f>
        <v/>
      </c>
      <c r="AI205" s="75" t="str" cm="1">
        <f t="array" ref="AI205">MID(";"&amp;'CASE DATA'!$F205&amp;";",SMALL(IF(ISERROR(SEARCH(MID(";"&amp;'CASE DATA'!$F205&amp;";",ROW($1:$99),1),";")),"",ROW($1:$99)+1),COLUMN(M205)),SMALL(IF(ISERROR(SEARCH(MID(";"&amp;'CASE DATA'!$F205&amp;";",ROW($1:$99),1),";")),"",ROW($1:$99)),COLUMN(M204)+1)-SMALL(IF(ISERROR(SEARCH(MID(";"&amp;'CASE DATA'!$F205&amp;";",ROW($1:$99),1),";")),"",ROW($1:$99)),COLUMN(M204))-1)</f>
        <v/>
      </c>
      <c r="BO205" s="99"/>
      <c r="BP205" s="99"/>
      <c r="BQ205" s="99"/>
      <c r="BR205" s="99"/>
      <c r="BS205" s="99"/>
      <c r="BT205" s="99"/>
      <c r="BU205" s="99"/>
      <c r="BV205" s="99"/>
      <c r="BW205" s="99"/>
      <c r="BX205" s="99"/>
      <c r="BY205" s="99"/>
      <c r="BZ205" s="99"/>
      <c r="CA205" s="99"/>
      <c r="CB205" s="99"/>
      <c r="CC205" s="99"/>
      <c r="CD205" s="99"/>
      <c r="CE205" s="99"/>
      <c r="CF205" s="99"/>
      <c r="CG205" s="99"/>
      <c r="CH205" s="99"/>
      <c r="CI205" s="99"/>
      <c r="CJ205" s="99"/>
      <c r="CK205" s="99"/>
      <c r="CL205" s="99"/>
      <c r="CM205" s="99"/>
      <c r="CN205" s="99"/>
      <c r="CO205" s="99"/>
      <c r="CP205" s="99"/>
      <c r="CQ205" s="99"/>
      <c r="CR205" s="99"/>
      <c r="CS205" s="99"/>
      <c r="CT205" s="99"/>
      <c r="CU205" s="99"/>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99"/>
      <c r="EE205" s="99"/>
      <c r="EF205" s="99"/>
      <c r="EG205" s="99"/>
      <c r="EH205" s="99"/>
      <c r="EI205" s="99"/>
      <c r="EJ205" s="99"/>
      <c r="EK205" s="99"/>
      <c r="EL205" s="99"/>
      <c r="EM205" s="99"/>
      <c r="EN205" s="99"/>
      <c r="EO205" s="99"/>
      <c r="EP205" s="99"/>
      <c r="EQ205" s="99"/>
      <c r="ER205" s="99"/>
      <c r="ES205" s="99"/>
      <c r="ET205" s="99"/>
      <c r="EU205" s="99"/>
      <c r="EV205" s="99"/>
      <c r="EW205" s="99"/>
      <c r="EX205" s="99"/>
      <c r="EY205" s="99"/>
      <c r="EZ205" s="99"/>
      <c r="FA205" s="99"/>
      <c r="FB205" s="99"/>
      <c r="FC205" s="99"/>
      <c r="FD205" s="99"/>
      <c r="FE205" s="99"/>
      <c r="FF205" s="99"/>
      <c r="FG205" s="99"/>
      <c r="FH205" s="99"/>
      <c r="FI205" s="99"/>
      <c r="FJ205" s="99"/>
      <c r="FK205" s="99"/>
    </row>
    <row r="206" spans="3:167" x14ac:dyDescent="0.25">
      <c r="C206" s="10"/>
      <c r="D206" s="10"/>
      <c r="J206" s="99">
        <v>203</v>
      </c>
      <c r="K206" s="16"/>
      <c r="L206" s="16"/>
      <c r="M206" s="16"/>
      <c r="N206" s="16"/>
      <c r="O206" s="16"/>
      <c r="P206" s="16"/>
      <c r="Q206" s="16"/>
      <c r="R206" s="16"/>
      <c r="S206" s="16"/>
      <c r="T206" s="16"/>
      <c r="U206" s="14">
        <f>SUM(K206:T206)</f>
        <v>0</v>
      </c>
      <c r="V206" s="14"/>
      <c r="X206" s="75" t="str" cm="1">
        <f t="array" ref="X206">MID(";"&amp;'CASE DATA'!$F206&amp;";",SMALL(IF(ISERROR(SEARCH(MID(";"&amp;'CASE DATA'!$F206&amp;";",ROW($1:$99),1),";")),"",ROW($1:$99)+1),COLUMN(A206)),SMALL(IF(ISERROR(SEARCH(MID(";"&amp;'CASE DATA'!$F206&amp;";",ROW($1:$99),1),";")),"",ROW($1:$99)),COLUMN(A205)+1)-SMALL(IF(ISERROR(SEARCH(MID(";"&amp;'CASE DATA'!$F206&amp;";",ROW($1:$99),1),";")),"",ROW($1:$99)),COLUMN(A205))-1)</f>
        <v/>
      </c>
      <c r="Y206" s="75" t="str" cm="1">
        <f t="array" ref="Y206">MID(";"&amp;'CASE DATA'!$F206&amp;";",SMALL(IF(ISERROR(SEARCH(MID(";"&amp;'CASE DATA'!$F206&amp;";",ROW($1:$99),1),";")),"",ROW($1:$99)+1),COLUMN(B206)),SMALL(IF(ISERROR(SEARCH(MID(";"&amp;'CASE DATA'!$F206&amp;";",ROW($1:$99),1),";")),"",ROW($1:$99)),COLUMN(B205)+1)-SMALL(IF(ISERROR(SEARCH(MID(";"&amp;'CASE DATA'!$F206&amp;";",ROW($1:$99),1),";")),"",ROW($1:$99)),COLUMN(B205))-1)</f>
        <v/>
      </c>
      <c r="Z206" s="75" t="str" cm="1">
        <f t="array" ref="Z206">MID(";"&amp;'CASE DATA'!$F206&amp;";",SMALL(IF(ISERROR(SEARCH(MID(";"&amp;'CASE DATA'!$F206&amp;";",ROW($1:$99),1),";")),"",ROW($1:$99)+1),COLUMN(C206)),SMALL(IF(ISERROR(SEARCH(MID(";"&amp;'CASE DATA'!$F206&amp;";",ROW($1:$99),1),";")),"",ROW($1:$99)),COLUMN(C205)+1)-SMALL(IF(ISERROR(SEARCH(MID(";"&amp;'CASE DATA'!$F206&amp;";",ROW($1:$99),1),";")),"",ROW($1:$99)),COLUMN(C205))-1)</f>
        <v/>
      </c>
      <c r="AA206" s="75" t="str" cm="1">
        <f t="array" ref="AA206">MID(";"&amp;'CASE DATA'!$F206&amp;";",SMALL(IF(ISERROR(SEARCH(MID(";"&amp;'CASE DATA'!$F206&amp;";",ROW($1:$99),1),";")),"",ROW($1:$99)+1),COLUMN(D206)),SMALL(IF(ISERROR(SEARCH(MID(";"&amp;'CASE DATA'!$F206&amp;";",ROW($1:$99),1),";")),"",ROW($1:$99)),COLUMN(D205)+1)-SMALL(IF(ISERROR(SEARCH(MID(";"&amp;'CASE DATA'!$F206&amp;";",ROW($1:$99),1),";")),"",ROW($1:$99)),COLUMN(D205))-1)</f>
        <v/>
      </c>
      <c r="AB206" s="75" t="str" cm="1">
        <f t="array" ref="AB206">MID(";"&amp;'CASE DATA'!$F206&amp;";",SMALL(IF(ISERROR(SEARCH(MID(";"&amp;'CASE DATA'!$F206&amp;";",ROW($1:$99),1),";")),"",ROW($1:$99)+1),COLUMN(E206)),SMALL(IF(ISERROR(SEARCH(MID(";"&amp;'CASE DATA'!$F206&amp;";",ROW($1:$99),1),";")),"",ROW($1:$99)),COLUMN(E205)+1)-SMALL(IF(ISERROR(SEARCH(MID(";"&amp;'CASE DATA'!$F206&amp;";",ROW($1:$99),1),";")),"",ROW($1:$99)),COLUMN(E205))-1)</f>
        <v/>
      </c>
      <c r="AC206" s="75" t="str" cm="1">
        <f t="array" ref="AC206">MID(";"&amp;'CASE DATA'!$F206&amp;";",SMALL(IF(ISERROR(SEARCH(MID(";"&amp;'CASE DATA'!$F206&amp;";",ROW($1:$99),1),";")),"",ROW($1:$99)+1),COLUMN(F206)),SMALL(IF(ISERROR(SEARCH(MID(";"&amp;'CASE DATA'!$F206&amp;";",ROW($1:$99),1),";")),"",ROW($1:$99)),COLUMN(F205)+1)-SMALL(IF(ISERROR(SEARCH(MID(";"&amp;'CASE DATA'!$F206&amp;";",ROW($1:$99),1),";")),"",ROW($1:$99)),COLUMN(F205))-1)</f>
        <v/>
      </c>
      <c r="AD206" s="75" t="str" cm="1">
        <f t="array" ref="AD206">MID(";"&amp;'CASE DATA'!$F206&amp;";",SMALL(IF(ISERROR(SEARCH(MID(";"&amp;'CASE DATA'!$F206&amp;";",ROW($1:$99),1),";")),"",ROW($1:$99)+1),COLUMN(G206)),SMALL(IF(ISERROR(SEARCH(MID(";"&amp;'CASE DATA'!$F206&amp;";",ROW($1:$99),1),";")),"",ROW($1:$99)),COLUMN(G205)+1)-SMALL(IF(ISERROR(SEARCH(MID(";"&amp;'CASE DATA'!$F206&amp;";",ROW($1:$99),1),";")),"",ROW($1:$99)),COLUMN(G205))-1)</f>
        <v/>
      </c>
      <c r="AE206" s="75" t="str" cm="1">
        <f t="array" ref="AE206">MID(";"&amp;'CASE DATA'!$F206&amp;";",SMALL(IF(ISERROR(SEARCH(MID(";"&amp;'CASE DATA'!$F206&amp;";",ROW($1:$99),1),";")),"",ROW($1:$99)+1),COLUMN(H206)),SMALL(IF(ISERROR(SEARCH(MID(";"&amp;'CASE DATA'!$F206&amp;";",ROW($1:$99),1),";")),"",ROW($1:$99)),COLUMN(H205)+1)-SMALL(IF(ISERROR(SEARCH(MID(";"&amp;'CASE DATA'!$F206&amp;";",ROW($1:$99),1),";")),"",ROW($1:$99)),COLUMN(H205))-1)</f>
        <v/>
      </c>
      <c r="AF206" s="75" t="str" cm="1">
        <f t="array" ref="AF206">MID(";"&amp;'CASE DATA'!$F206&amp;";",SMALL(IF(ISERROR(SEARCH(MID(";"&amp;'CASE DATA'!$F206&amp;";",ROW($1:$99),1),";")),"",ROW($1:$99)+1),COLUMN(I206)),SMALL(IF(ISERROR(SEARCH(MID(";"&amp;'CASE DATA'!$F206&amp;";",ROW($1:$99),1),";")),"",ROW($1:$99)),COLUMN(I205)+1)-SMALL(IF(ISERROR(SEARCH(MID(";"&amp;'CASE DATA'!$F206&amp;";",ROW($1:$99),1),";")),"",ROW($1:$99)),COLUMN(I205))-1)</f>
        <v/>
      </c>
      <c r="AG206" s="75" t="str" cm="1">
        <f t="array" ref="AG206">MID(";"&amp;'CASE DATA'!$F206&amp;";",SMALL(IF(ISERROR(SEARCH(MID(";"&amp;'CASE DATA'!$F206&amp;";",ROW($1:$99),1),";")),"",ROW($1:$99)+1),COLUMN(K206)),SMALL(IF(ISERROR(SEARCH(MID(";"&amp;'CASE DATA'!$F206&amp;";",ROW($1:$99),1),";")),"",ROW($1:$99)),COLUMN(K205)+1)-SMALL(IF(ISERROR(SEARCH(MID(";"&amp;'CASE DATA'!$F206&amp;";",ROW($1:$99),1),";")),"",ROW($1:$99)),COLUMN(K205))-1)</f>
        <v/>
      </c>
      <c r="AH206" s="75" t="str" cm="1">
        <f t="array" ref="AH206">MID(";"&amp;'CASE DATA'!$F206&amp;";",SMALL(IF(ISERROR(SEARCH(MID(";"&amp;'CASE DATA'!$F206&amp;";",ROW($1:$99),1),";")),"",ROW($1:$99)+1),COLUMN(L206)),SMALL(IF(ISERROR(SEARCH(MID(";"&amp;'CASE DATA'!$F206&amp;";",ROW($1:$99),1),";")),"",ROW($1:$99)),COLUMN(L205)+1)-SMALL(IF(ISERROR(SEARCH(MID(";"&amp;'CASE DATA'!$F206&amp;";",ROW($1:$99),1),";")),"",ROW($1:$99)),COLUMN(L205))-1)</f>
        <v/>
      </c>
      <c r="AI206" s="75" t="str" cm="1">
        <f t="array" ref="AI206">MID(";"&amp;'CASE DATA'!$F206&amp;";",SMALL(IF(ISERROR(SEARCH(MID(";"&amp;'CASE DATA'!$F206&amp;";",ROW($1:$99),1),";")),"",ROW($1:$99)+1),COLUMN(M206)),SMALL(IF(ISERROR(SEARCH(MID(";"&amp;'CASE DATA'!$F206&amp;";",ROW($1:$99),1),";")),"",ROW($1:$99)),COLUMN(M205)+1)-SMALL(IF(ISERROR(SEARCH(MID(";"&amp;'CASE DATA'!$F206&amp;";",ROW($1:$99),1),";")),"",ROW($1:$99)),COLUMN(M205))-1)</f>
        <v/>
      </c>
      <c r="BO206" s="99"/>
      <c r="BP206" s="99"/>
      <c r="BQ206" s="99"/>
      <c r="BR206" s="99"/>
      <c r="BS206" s="99"/>
      <c r="BT206" s="99"/>
      <c r="BU206" s="99"/>
      <c r="BV206" s="99"/>
      <c r="BW206" s="99"/>
      <c r="BX206" s="99"/>
      <c r="BY206" s="99"/>
      <c r="BZ206" s="99"/>
      <c r="CA206" s="99"/>
      <c r="CB206" s="99"/>
      <c r="CC206" s="99"/>
      <c r="CD206" s="99"/>
      <c r="CE206" s="99"/>
      <c r="CF206" s="99"/>
      <c r="CG206" s="99"/>
      <c r="CH206" s="99"/>
      <c r="CI206" s="99"/>
      <c r="CJ206" s="99"/>
      <c r="CK206" s="99"/>
      <c r="CL206" s="99"/>
      <c r="CM206" s="99"/>
      <c r="CN206" s="99"/>
      <c r="CO206" s="99"/>
      <c r="CP206" s="99"/>
      <c r="CQ206" s="99"/>
      <c r="CR206" s="99"/>
      <c r="CS206" s="99"/>
      <c r="CT206" s="99"/>
      <c r="CU206" s="99"/>
      <c r="CV206" s="99"/>
      <c r="CW206" s="99"/>
      <c r="CX206" s="99"/>
      <c r="CY206" s="99"/>
      <c r="CZ206" s="99"/>
      <c r="DA206" s="99"/>
      <c r="DB206" s="99"/>
      <c r="DC206" s="99"/>
      <c r="DD206" s="99"/>
      <c r="DE206" s="99"/>
      <c r="DF206" s="99"/>
      <c r="DG206" s="99"/>
      <c r="DH206" s="99"/>
      <c r="DI206" s="99"/>
      <c r="DJ206" s="99"/>
      <c r="DK206" s="99"/>
      <c r="DL206" s="99"/>
      <c r="DM206" s="99"/>
      <c r="DN206" s="99"/>
      <c r="DO206" s="99"/>
      <c r="DP206" s="99"/>
      <c r="DQ206" s="99"/>
      <c r="DR206" s="99"/>
      <c r="DS206" s="99"/>
      <c r="DT206" s="99"/>
      <c r="DU206" s="99"/>
      <c r="DV206" s="99"/>
      <c r="DW206" s="99"/>
      <c r="DX206" s="99"/>
      <c r="DY206" s="99"/>
      <c r="DZ206" s="99"/>
      <c r="EA206" s="99"/>
      <c r="EB206" s="99"/>
      <c r="EC206" s="99"/>
      <c r="ED206" s="99"/>
      <c r="EE206" s="99"/>
      <c r="EF206" s="99"/>
      <c r="EG206" s="99"/>
      <c r="EH206" s="99"/>
      <c r="EI206" s="99"/>
      <c r="EJ206" s="99"/>
      <c r="EK206" s="99"/>
      <c r="EL206" s="99"/>
      <c r="EM206" s="99"/>
      <c r="EN206" s="99"/>
      <c r="EO206" s="99"/>
      <c r="EP206" s="99"/>
      <c r="EQ206" s="99"/>
      <c r="ER206" s="99"/>
      <c r="ES206" s="99"/>
      <c r="ET206" s="99"/>
      <c r="EU206" s="99"/>
      <c r="EV206" s="99"/>
      <c r="EW206" s="99"/>
      <c r="EX206" s="99"/>
      <c r="EY206" s="99"/>
      <c r="EZ206" s="99"/>
      <c r="FA206" s="99"/>
      <c r="FB206" s="99"/>
      <c r="FC206" s="99"/>
      <c r="FD206" s="99"/>
      <c r="FE206" s="99"/>
      <c r="FF206" s="99"/>
      <c r="FG206" s="99"/>
      <c r="FH206" s="99"/>
      <c r="FI206" s="99"/>
      <c r="FJ206" s="99"/>
      <c r="FK206" s="99"/>
    </row>
    <row r="207" spans="3:167" x14ac:dyDescent="0.25">
      <c r="C207" s="10"/>
      <c r="D207" s="10"/>
      <c r="J207" s="99">
        <v>204</v>
      </c>
      <c r="K207" s="16"/>
      <c r="L207" s="16"/>
      <c r="M207" s="16"/>
      <c r="N207" s="16"/>
      <c r="O207" s="16"/>
      <c r="P207" s="16"/>
      <c r="Q207" s="16"/>
      <c r="R207" s="16"/>
      <c r="S207" s="16"/>
      <c r="T207" s="16"/>
      <c r="U207" s="14">
        <f>SUM(K207:T207)</f>
        <v>0</v>
      </c>
      <c r="V207" s="14"/>
      <c r="X207" s="75" t="str" cm="1">
        <f t="array" ref="X207">MID(";"&amp;'CASE DATA'!$F207&amp;";",SMALL(IF(ISERROR(SEARCH(MID(";"&amp;'CASE DATA'!$F207&amp;";",ROW($1:$99),1),";")),"",ROW($1:$99)+1),COLUMN(A207)),SMALL(IF(ISERROR(SEARCH(MID(";"&amp;'CASE DATA'!$F207&amp;";",ROW($1:$99),1),";")),"",ROW($1:$99)),COLUMN(A206)+1)-SMALL(IF(ISERROR(SEARCH(MID(";"&amp;'CASE DATA'!$F207&amp;";",ROW($1:$99),1),";")),"",ROW($1:$99)),COLUMN(A206))-1)</f>
        <v/>
      </c>
      <c r="Y207" s="75" t="str" cm="1">
        <f t="array" ref="Y207">MID(";"&amp;'CASE DATA'!$F207&amp;";",SMALL(IF(ISERROR(SEARCH(MID(";"&amp;'CASE DATA'!$F207&amp;";",ROW($1:$99),1),";")),"",ROW($1:$99)+1),COLUMN(B207)),SMALL(IF(ISERROR(SEARCH(MID(";"&amp;'CASE DATA'!$F207&amp;";",ROW($1:$99),1),";")),"",ROW($1:$99)),COLUMN(B206)+1)-SMALL(IF(ISERROR(SEARCH(MID(";"&amp;'CASE DATA'!$F207&amp;";",ROW($1:$99),1),";")),"",ROW($1:$99)),COLUMN(B206))-1)</f>
        <v/>
      </c>
      <c r="Z207" s="75" t="str" cm="1">
        <f t="array" ref="Z207">MID(";"&amp;'CASE DATA'!$F207&amp;";",SMALL(IF(ISERROR(SEARCH(MID(";"&amp;'CASE DATA'!$F207&amp;";",ROW($1:$99),1),";")),"",ROW($1:$99)+1),COLUMN(C207)),SMALL(IF(ISERROR(SEARCH(MID(";"&amp;'CASE DATA'!$F207&amp;";",ROW($1:$99),1),";")),"",ROW($1:$99)),COLUMN(C206)+1)-SMALL(IF(ISERROR(SEARCH(MID(";"&amp;'CASE DATA'!$F207&amp;";",ROW($1:$99),1),";")),"",ROW($1:$99)),COLUMN(C206))-1)</f>
        <v/>
      </c>
      <c r="AA207" s="75" t="str" cm="1">
        <f t="array" ref="AA207">MID(";"&amp;'CASE DATA'!$F207&amp;";",SMALL(IF(ISERROR(SEARCH(MID(";"&amp;'CASE DATA'!$F207&amp;";",ROW($1:$99),1),";")),"",ROW($1:$99)+1),COLUMN(D207)),SMALL(IF(ISERROR(SEARCH(MID(";"&amp;'CASE DATA'!$F207&amp;";",ROW($1:$99),1),";")),"",ROW($1:$99)),COLUMN(D206)+1)-SMALL(IF(ISERROR(SEARCH(MID(";"&amp;'CASE DATA'!$F207&amp;";",ROW($1:$99),1),";")),"",ROW($1:$99)),COLUMN(D206))-1)</f>
        <v/>
      </c>
      <c r="AB207" s="75" t="str" cm="1">
        <f t="array" ref="AB207">MID(";"&amp;'CASE DATA'!$F207&amp;";",SMALL(IF(ISERROR(SEARCH(MID(";"&amp;'CASE DATA'!$F207&amp;";",ROW($1:$99),1),";")),"",ROW($1:$99)+1),COLUMN(E207)),SMALL(IF(ISERROR(SEARCH(MID(";"&amp;'CASE DATA'!$F207&amp;";",ROW($1:$99),1),";")),"",ROW($1:$99)),COLUMN(E206)+1)-SMALL(IF(ISERROR(SEARCH(MID(";"&amp;'CASE DATA'!$F207&amp;";",ROW($1:$99),1),";")),"",ROW($1:$99)),COLUMN(E206))-1)</f>
        <v/>
      </c>
      <c r="AC207" s="75" t="str" cm="1">
        <f t="array" ref="AC207">MID(";"&amp;'CASE DATA'!$F207&amp;";",SMALL(IF(ISERROR(SEARCH(MID(";"&amp;'CASE DATA'!$F207&amp;";",ROW($1:$99),1),";")),"",ROW($1:$99)+1),COLUMN(F207)),SMALL(IF(ISERROR(SEARCH(MID(";"&amp;'CASE DATA'!$F207&amp;";",ROW($1:$99),1),";")),"",ROW($1:$99)),COLUMN(F206)+1)-SMALL(IF(ISERROR(SEARCH(MID(";"&amp;'CASE DATA'!$F207&amp;";",ROW($1:$99),1),";")),"",ROW($1:$99)),COLUMN(F206))-1)</f>
        <v/>
      </c>
      <c r="AD207" s="75" t="str" cm="1">
        <f t="array" ref="AD207">MID(";"&amp;'CASE DATA'!$F207&amp;";",SMALL(IF(ISERROR(SEARCH(MID(";"&amp;'CASE DATA'!$F207&amp;";",ROW($1:$99),1),";")),"",ROW($1:$99)+1),COLUMN(G207)),SMALL(IF(ISERROR(SEARCH(MID(";"&amp;'CASE DATA'!$F207&amp;";",ROW($1:$99),1),";")),"",ROW($1:$99)),COLUMN(G206)+1)-SMALL(IF(ISERROR(SEARCH(MID(";"&amp;'CASE DATA'!$F207&amp;";",ROW($1:$99),1),";")),"",ROW($1:$99)),COLUMN(G206))-1)</f>
        <v/>
      </c>
      <c r="AE207" s="75" t="str" cm="1">
        <f t="array" ref="AE207">MID(";"&amp;'CASE DATA'!$F207&amp;";",SMALL(IF(ISERROR(SEARCH(MID(";"&amp;'CASE DATA'!$F207&amp;";",ROW($1:$99),1),";")),"",ROW($1:$99)+1),COLUMN(H207)),SMALL(IF(ISERROR(SEARCH(MID(";"&amp;'CASE DATA'!$F207&amp;";",ROW($1:$99),1),";")),"",ROW($1:$99)),COLUMN(H206)+1)-SMALL(IF(ISERROR(SEARCH(MID(";"&amp;'CASE DATA'!$F207&amp;";",ROW($1:$99),1),";")),"",ROW($1:$99)),COLUMN(H206))-1)</f>
        <v/>
      </c>
      <c r="AF207" s="75" t="str" cm="1">
        <f t="array" ref="AF207">MID(";"&amp;'CASE DATA'!$F207&amp;";",SMALL(IF(ISERROR(SEARCH(MID(";"&amp;'CASE DATA'!$F207&amp;";",ROW($1:$99),1),";")),"",ROW($1:$99)+1),COLUMN(I207)),SMALL(IF(ISERROR(SEARCH(MID(";"&amp;'CASE DATA'!$F207&amp;";",ROW($1:$99),1),";")),"",ROW($1:$99)),COLUMN(I206)+1)-SMALL(IF(ISERROR(SEARCH(MID(";"&amp;'CASE DATA'!$F207&amp;";",ROW($1:$99),1),";")),"",ROW($1:$99)),COLUMN(I206))-1)</f>
        <v/>
      </c>
      <c r="AG207" s="75" t="str" cm="1">
        <f t="array" ref="AG207">MID(";"&amp;'CASE DATA'!$F207&amp;";",SMALL(IF(ISERROR(SEARCH(MID(";"&amp;'CASE DATA'!$F207&amp;";",ROW($1:$99),1),";")),"",ROW($1:$99)+1),COLUMN(K207)),SMALL(IF(ISERROR(SEARCH(MID(";"&amp;'CASE DATA'!$F207&amp;";",ROW($1:$99),1),";")),"",ROW($1:$99)),COLUMN(K206)+1)-SMALL(IF(ISERROR(SEARCH(MID(";"&amp;'CASE DATA'!$F207&amp;";",ROW($1:$99),1),";")),"",ROW($1:$99)),COLUMN(K206))-1)</f>
        <v/>
      </c>
      <c r="AH207" s="75" t="str" cm="1">
        <f t="array" ref="AH207">MID(";"&amp;'CASE DATA'!$F207&amp;";",SMALL(IF(ISERROR(SEARCH(MID(";"&amp;'CASE DATA'!$F207&amp;";",ROW($1:$99),1),";")),"",ROW($1:$99)+1),COLUMN(L207)),SMALL(IF(ISERROR(SEARCH(MID(";"&amp;'CASE DATA'!$F207&amp;";",ROW($1:$99),1),";")),"",ROW($1:$99)),COLUMN(L206)+1)-SMALL(IF(ISERROR(SEARCH(MID(";"&amp;'CASE DATA'!$F207&amp;";",ROW($1:$99),1),";")),"",ROW($1:$99)),COLUMN(L206))-1)</f>
        <v/>
      </c>
      <c r="AI207" s="75" t="str" cm="1">
        <f t="array" ref="AI207">MID(";"&amp;'CASE DATA'!$F207&amp;";",SMALL(IF(ISERROR(SEARCH(MID(";"&amp;'CASE DATA'!$F207&amp;";",ROW($1:$99),1),";")),"",ROW($1:$99)+1),COLUMN(M207)),SMALL(IF(ISERROR(SEARCH(MID(";"&amp;'CASE DATA'!$F207&amp;";",ROW($1:$99),1),";")),"",ROW($1:$99)),COLUMN(M206)+1)-SMALL(IF(ISERROR(SEARCH(MID(";"&amp;'CASE DATA'!$F207&amp;";",ROW($1:$99),1),";")),"",ROW($1:$99)),COLUMN(M206))-1)</f>
        <v/>
      </c>
      <c r="BO207" s="99"/>
      <c r="BP207" s="99"/>
      <c r="BQ207" s="99"/>
      <c r="BR207" s="99"/>
      <c r="BS207" s="99"/>
      <c r="BT207" s="99"/>
      <c r="BU207" s="99"/>
      <c r="BV207" s="99"/>
      <c r="BW207" s="99"/>
      <c r="BX207" s="99"/>
      <c r="BY207" s="99"/>
      <c r="BZ207" s="99"/>
      <c r="CA207" s="99"/>
      <c r="CB207" s="99"/>
      <c r="CC207" s="99"/>
      <c r="CD207" s="99"/>
      <c r="CE207" s="99"/>
      <c r="CF207" s="99"/>
      <c r="CG207" s="99"/>
      <c r="CH207" s="99"/>
      <c r="CI207" s="99"/>
      <c r="CJ207" s="99"/>
      <c r="CK207" s="99"/>
      <c r="CL207" s="99"/>
      <c r="CM207" s="99"/>
      <c r="CN207" s="99"/>
      <c r="CO207" s="99"/>
      <c r="CP207" s="99"/>
      <c r="CQ207" s="99"/>
      <c r="CR207" s="99"/>
      <c r="CS207" s="99"/>
      <c r="CT207" s="99"/>
      <c r="CU207" s="99"/>
      <c r="CV207" s="99"/>
      <c r="CW207" s="99"/>
      <c r="CX207" s="99"/>
      <c r="CY207" s="99"/>
      <c r="CZ207" s="99"/>
      <c r="DA207" s="99"/>
      <c r="DB207" s="99"/>
      <c r="DC207" s="99"/>
      <c r="DD207" s="99"/>
      <c r="DE207" s="99"/>
      <c r="DF207" s="99"/>
      <c r="DG207" s="99"/>
      <c r="DH207" s="99"/>
      <c r="DI207" s="99"/>
      <c r="DJ207" s="99"/>
      <c r="DK207" s="99"/>
      <c r="DL207" s="99"/>
      <c r="DM207" s="99"/>
      <c r="DN207" s="99"/>
      <c r="DO207" s="99"/>
      <c r="DP207" s="99"/>
      <c r="DQ207" s="99"/>
      <c r="DR207" s="99"/>
      <c r="DS207" s="99"/>
      <c r="DT207" s="99"/>
      <c r="DU207" s="99"/>
      <c r="DV207" s="99"/>
      <c r="DW207" s="99"/>
      <c r="DX207" s="99"/>
      <c r="DY207" s="99"/>
      <c r="DZ207" s="99"/>
      <c r="EA207" s="99"/>
      <c r="EB207" s="99"/>
      <c r="EC207" s="99"/>
      <c r="ED207" s="99"/>
      <c r="EE207" s="99"/>
      <c r="EF207" s="99"/>
      <c r="EG207" s="99"/>
      <c r="EH207" s="99"/>
      <c r="EI207" s="99"/>
      <c r="EJ207" s="99"/>
      <c r="EK207" s="99"/>
      <c r="EL207" s="99"/>
      <c r="EM207" s="99"/>
      <c r="EN207" s="99"/>
      <c r="EO207" s="99"/>
      <c r="EP207" s="99"/>
      <c r="EQ207" s="99"/>
      <c r="ER207" s="99"/>
      <c r="ES207" s="99"/>
      <c r="ET207" s="99"/>
      <c r="EU207" s="99"/>
      <c r="EV207" s="99"/>
      <c r="EW207" s="99"/>
      <c r="EX207" s="99"/>
      <c r="EY207" s="99"/>
      <c r="EZ207" s="99"/>
      <c r="FA207" s="99"/>
      <c r="FB207" s="99"/>
      <c r="FC207" s="99"/>
      <c r="FD207" s="99"/>
      <c r="FE207" s="99"/>
      <c r="FF207" s="99"/>
      <c r="FG207" s="99"/>
      <c r="FH207" s="99"/>
      <c r="FI207" s="99"/>
      <c r="FJ207" s="99"/>
      <c r="FK207" s="99"/>
    </row>
    <row r="208" spans="3:167" x14ac:dyDescent="0.25">
      <c r="C208" s="10"/>
      <c r="D208" s="10"/>
      <c r="J208" s="99">
        <v>205</v>
      </c>
      <c r="K208" s="16"/>
      <c r="L208" s="16"/>
      <c r="M208" s="16"/>
      <c r="N208" s="16"/>
      <c r="O208" s="16"/>
      <c r="P208" s="16"/>
      <c r="Q208" s="16"/>
      <c r="R208" s="16"/>
      <c r="S208" s="16"/>
      <c r="T208" s="16"/>
      <c r="U208" s="14">
        <f>SUM(K208:T208)</f>
        <v>0</v>
      </c>
      <c r="V208" s="14"/>
      <c r="X208" s="75" t="str" cm="1">
        <f t="array" ref="X208">MID(";"&amp;'CASE DATA'!$F208&amp;";",SMALL(IF(ISERROR(SEARCH(MID(";"&amp;'CASE DATA'!$F208&amp;";",ROW($1:$99),1),";")),"",ROW($1:$99)+1),COLUMN(A208)),SMALL(IF(ISERROR(SEARCH(MID(";"&amp;'CASE DATA'!$F208&amp;";",ROW($1:$99),1),";")),"",ROW($1:$99)),COLUMN(A207)+1)-SMALL(IF(ISERROR(SEARCH(MID(";"&amp;'CASE DATA'!$F208&amp;";",ROW($1:$99),1),";")),"",ROW($1:$99)),COLUMN(A207))-1)</f>
        <v/>
      </c>
      <c r="Y208" s="75" t="str" cm="1">
        <f t="array" ref="Y208">MID(";"&amp;'CASE DATA'!$F208&amp;";",SMALL(IF(ISERROR(SEARCH(MID(";"&amp;'CASE DATA'!$F208&amp;";",ROW($1:$99),1),";")),"",ROW($1:$99)+1),COLUMN(B208)),SMALL(IF(ISERROR(SEARCH(MID(";"&amp;'CASE DATA'!$F208&amp;";",ROW($1:$99),1),";")),"",ROW($1:$99)),COLUMN(B207)+1)-SMALL(IF(ISERROR(SEARCH(MID(";"&amp;'CASE DATA'!$F208&amp;";",ROW($1:$99),1),";")),"",ROW($1:$99)),COLUMN(B207))-1)</f>
        <v/>
      </c>
      <c r="Z208" s="75" t="str" cm="1">
        <f t="array" ref="Z208">MID(";"&amp;'CASE DATA'!$F208&amp;";",SMALL(IF(ISERROR(SEARCH(MID(";"&amp;'CASE DATA'!$F208&amp;";",ROW($1:$99),1),";")),"",ROW($1:$99)+1),COLUMN(C208)),SMALL(IF(ISERROR(SEARCH(MID(";"&amp;'CASE DATA'!$F208&amp;";",ROW($1:$99),1),";")),"",ROW($1:$99)),COLUMN(C207)+1)-SMALL(IF(ISERROR(SEARCH(MID(";"&amp;'CASE DATA'!$F208&amp;";",ROW($1:$99),1),";")),"",ROW($1:$99)),COLUMN(C207))-1)</f>
        <v/>
      </c>
      <c r="AA208" s="75" t="str" cm="1">
        <f t="array" ref="AA208">MID(";"&amp;'CASE DATA'!$F208&amp;";",SMALL(IF(ISERROR(SEARCH(MID(";"&amp;'CASE DATA'!$F208&amp;";",ROW($1:$99),1),";")),"",ROW($1:$99)+1),COLUMN(D208)),SMALL(IF(ISERROR(SEARCH(MID(";"&amp;'CASE DATA'!$F208&amp;";",ROW($1:$99),1),";")),"",ROW($1:$99)),COLUMN(D207)+1)-SMALL(IF(ISERROR(SEARCH(MID(";"&amp;'CASE DATA'!$F208&amp;";",ROW($1:$99),1),";")),"",ROW($1:$99)),COLUMN(D207))-1)</f>
        <v/>
      </c>
      <c r="AB208" s="75" t="str" cm="1">
        <f t="array" ref="AB208">MID(";"&amp;'CASE DATA'!$F208&amp;";",SMALL(IF(ISERROR(SEARCH(MID(";"&amp;'CASE DATA'!$F208&amp;";",ROW($1:$99),1),";")),"",ROW($1:$99)+1),COLUMN(E208)),SMALL(IF(ISERROR(SEARCH(MID(";"&amp;'CASE DATA'!$F208&amp;";",ROW($1:$99),1),";")),"",ROW($1:$99)),COLUMN(E207)+1)-SMALL(IF(ISERROR(SEARCH(MID(";"&amp;'CASE DATA'!$F208&amp;";",ROW($1:$99),1),";")),"",ROW($1:$99)),COLUMN(E207))-1)</f>
        <v/>
      </c>
      <c r="AC208" s="75" t="str" cm="1">
        <f t="array" ref="AC208">MID(";"&amp;'CASE DATA'!$F208&amp;";",SMALL(IF(ISERROR(SEARCH(MID(";"&amp;'CASE DATA'!$F208&amp;";",ROW($1:$99),1),";")),"",ROW($1:$99)+1),COLUMN(F208)),SMALL(IF(ISERROR(SEARCH(MID(";"&amp;'CASE DATA'!$F208&amp;";",ROW($1:$99),1),";")),"",ROW($1:$99)),COLUMN(F207)+1)-SMALL(IF(ISERROR(SEARCH(MID(";"&amp;'CASE DATA'!$F208&amp;";",ROW($1:$99),1),";")),"",ROW($1:$99)),COLUMN(F207))-1)</f>
        <v/>
      </c>
      <c r="AD208" s="75" t="str" cm="1">
        <f t="array" ref="AD208">MID(";"&amp;'CASE DATA'!$F208&amp;";",SMALL(IF(ISERROR(SEARCH(MID(";"&amp;'CASE DATA'!$F208&amp;";",ROW($1:$99),1),";")),"",ROW($1:$99)+1),COLUMN(G208)),SMALL(IF(ISERROR(SEARCH(MID(";"&amp;'CASE DATA'!$F208&amp;";",ROW($1:$99),1),";")),"",ROW($1:$99)),COLUMN(G207)+1)-SMALL(IF(ISERROR(SEARCH(MID(";"&amp;'CASE DATA'!$F208&amp;";",ROW($1:$99),1),";")),"",ROW($1:$99)),COLUMN(G207))-1)</f>
        <v/>
      </c>
      <c r="AE208" s="75" t="str" cm="1">
        <f t="array" ref="AE208">MID(";"&amp;'CASE DATA'!$F208&amp;";",SMALL(IF(ISERROR(SEARCH(MID(";"&amp;'CASE DATA'!$F208&amp;";",ROW($1:$99),1),";")),"",ROW($1:$99)+1),COLUMN(H208)),SMALL(IF(ISERROR(SEARCH(MID(";"&amp;'CASE DATA'!$F208&amp;";",ROW($1:$99),1),";")),"",ROW($1:$99)),COLUMN(H207)+1)-SMALL(IF(ISERROR(SEARCH(MID(";"&amp;'CASE DATA'!$F208&amp;";",ROW($1:$99),1),";")),"",ROW($1:$99)),COLUMN(H207))-1)</f>
        <v/>
      </c>
      <c r="AF208" s="75" t="str" cm="1">
        <f t="array" ref="AF208">MID(";"&amp;'CASE DATA'!$F208&amp;";",SMALL(IF(ISERROR(SEARCH(MID(";"&amp;'CASE DATA'!$F208&amp;";",ROW($1:$99),1),";")),"",ROW($1:$99)+1),COLUMN(I208)),SMALL(IF(ISERROR(SEARCH(MID(";"&amp;'CASE DATA'!$F208&amp;";",ROW($1:$99),1),";")),"",ROW($1:$99)),COLUMN(I207)+1)-SMALL(IF(ISERROR(SEARCH(MID(";"&amp;'CASE DATA'!$F208&amp;";",ROW($1:$99),1),";")),"",ROW($1:$99)),COLUMN(I207))-1)</f>
        <v/>
      </c>
      <c r="AG208" s="75" t="str" cm="1">
        <f t="array" ref="AG208">MID(";"&amp;'CASE DATA'!$F208&amp;";",SMALL(IF(ISERROR(SEARCH(MID(";"&amp;'CASE DATA'!$F208&amp;";",ROW($1:$99),1),";")),"",ROW($1:$99)+1),COLUMN(K208)),SMALL(IF(ISERROR(SEARCH(MID(";"&amp;'CASE DATA'!$F208&amp;";",ROW($1:$99),1),";")),"",ROW($1:$99)),COLUMN(K207)+1)-SMALL(IF(ISERROR(SEARCH(MID(";"&amp;'CASE DATA'!$F208&amp;";",ROW($1:$99),1),";")),"",ROW($1:$99)),COLUMN(K207))-1)</f>
        <v/>
      </c>
      <c r="AH208" s="75" t="str" cm="1">
        <f t="array" ref="AH208">MID(";"&amp;'CASE DATA'!$F208&amp;";",SMALL(IF(ISERROR(SEARCH(MID(";"&amp;'CASE DATA'!$F208&amp;";",ROW($1:$99),1),";")),"",ROW($1:$99)+1),COLUMN(L208)),SMALL(IF(ISERROR(SEARCH(MID(";"&amp;'CASE DATA'!$F208&amp;";",ROW($1:$99),1),";")),"",ROW($1:$99)),COLUMN(L207)+1)-SMALL(IF(ISERROR(SEARCH(MID(";"&amp;'CASE DATA'!$F208&amp;";",ROW($1:$99),1),";")),"",ROW($1:$99)),COLUMN(L207))-1)</f>
        <v/>
      </c>
      <c r="AI208" s="75" t="str" cm="1">
        <f t="array" ref="AI208">MID(";"&amp;'CASE DATA'!$F208&amp;";",SMALL(IF(ISERROR(SEARCH(MID(";"&amp;'CASE DATA'!$F208&amp;";",ROW($1:$99),1),";")),"",ROW($1:$99)+1),COLUMN(M208)),SMALL(IF(ISERROR(SEARCH(MID(";"&amp;'CASE DATA'!$F208&amp;";",ROW($1:$99),1),";")),"",ROW($1:$99)),COLUMN(M207)+1)-SMALL(IF(ISERROR(SEARCH(MID(";"&amp;'CASE DATA'!$F208&amp;";",ROW($1:$99),1),";")),"",ROW($1:$99)),COLUMN(M207))-1)</f>
        <v/>
      </c>
      <c r="BO208" s="99"/>
      <c r="BP208" s="99"/>
      <c r="BQ208" s="99"/>
      <c r="BR208" s="99"/>
      <c r="BS208" s="99"/>
      <c r="BT208" s="99"/>
      <c r="BU208" s="99"/>
      <c r="BV208" s="99"/>
      <c r="BW208" s="99"/>
      <c r="BX208" s="99"/>
      <c r="BY208" s="99"/>
      <c r="BZ208" s="99"/>
      <c r="CA208" s="99"/>
      <c r="CB208" s="99"/>
      <c r="CC208" s="99"/>
      <c r="CD208" s="99"/>
      <c r="CE208" s="99"/>
      <c r="CF208" s="99"/>
      <c r="CG208" s="99"/>
      <c r="CH208" s="99"/>
      <c r="CI208" s="99"/>
      <c r="CJ208" s="99"/>
      <c r="CK208" s="99"/>
      <c r="CL208" s="99"/>
      <c r="CM208" s="99"/>
      <c r="CN208" s="99"/>
      <c r="CO208" s="99"/>
      <c r="CP208" s="99"/>
      <c r="CQ208" s="99"/>
      <c r="CR208" s="99"/>
      <c r="CS208" s="99"/>
      <c r="CT208" s="99"/>
      <c r="CU208" s="99"/>
      <c r="CV208" s="99"/>
      <c r="CW208" s="99"/>
      <c r="CX208" s="99"/>
      <c r="CY208" s="99"/>
      <c r="CZ208" s="99"/>
      <c r="DA208" s="99"/>
      <c r="DB208" s="99"/>
      <c r="DC208" s="99"/>
      <c r="DD208" s="99"/>
      <c r="DE208" s="99"/>
      <c r="DF208" s="99"/>
      <c r="DG208" s="99"/>
      <c r="DH208" s="99"/>
      <c r="DI208" s="99"/>
      <c r="DJ208" s="99"/>
      <c r="DK208" s="99"/>
      <c r="DL208" s="99"/>
      <c r="DM208" s="99"/>
      <c r="DN208" s="99"/>
      <c r="DO208" s="99"/>
      <c r="DP208" s="99"/>
      <c r="DQ208" s="99"/>
      <c r="DR208" s="99"/>
      <c r="DS208" s="99"/>
      <c r="DT208" s="99"/>
      <c r="DU208" s="99"/>
      <c r="DV208" s="99"/>
      <c r="DW208" s="99"/>
      <c r="DX208" s="99"/>
      <c r="DY208" s="99"/>
      <c r="DZ208" s="99"/>
      <c r="EA208" s="99"/>
      <c r="EB208" s="99"/>
      <c r="EC208" s="99"/>
      <c r="ED208" s="99"/>
      <c r="EE208" s="99"/>
      <c r="EF208" s="99"/>
      <c r="EG208" s="99"/>
      <c r="EH208" s="99"/>
      <c r="EI208" s="99"/>
      <c r="EJ208" s="99"/>
      <c r="EK208" s="99"/>
      <c r="EL208" s="99"/>
      <c r="EM208" s="99"/>
      <c r="EN208" s="99"/>
      <c r="EO208" s="99"/>
      <c r="EP208" s="99"/>
      <c r="EQ208" s="99"/>
      <c r="ER208" s="99"/>
      <c r="ES208" s="99"/>
      <c r="ET208" s="99"/>
      <c r="EU208" s="99"/>
      <c r="EV208" s="99"/>
      <c r="EW208" s="99"/>
      <c r="EX208" s="99"/>
      <c r="EY208" s="99"/>
      <c r="EZ208" s="99"/>
      <c r="FA208" s="99"/>
      <c r="FB208" s="99"/>
      <c r="FC208" s="99"/>
      <c r="FD208" s="99"/>
      <c r="FE208" s="99"/>
      <c r="FF208" s="99"/>
      <c r="FG208" s="99"/>
      <c r="FH208" s="99"/>
      <c r="FI208" s="99"/>
      <c r="FJ208" s="99"/>
      <c r="FK208" s="99"/>
    </row>
    <row r="209" spans="3:167" x14ac:dyDescent="0.25">
      <c r="C209" s="10"/>
      <c r="D209" s="10"/>
      <c r="J209" s="99">
        <v>206</v>
      </c>
      <c r="K209" s="16"/>
      <c r="L209" s="16"/>
      <c r="M209" s="16"/>
      <c r="N209" s="16"/>
      <c r="O209" s="16"/>
      <c r="P209" s="16"/>
      <c r="Q209" s="16"/>
      <c r="R209" s="16"/>
      <c r="S209" s="16"/>
      <c r="T209" s="16"/>
      <c r="U209" s="14">
        <f>SUM(K209:T209)</f>
        <v>0</v>
      </c>
      <c r="V209" s="14"/>
      <c r="X209" s="75" t="str" cm="1">
        <f t="array" ref="X209">MID(";"&amp;'CASE DATA'!$F209&amp;";",SMALL(IF(ISERROR(SEARCH(MID(";"&amp;'CASE DATA'!$F209&amp;";",ROW($1:$99),1),";")),"",ROW($1:$99)+1),COLUMN(A209)),SMALL(IF(ISERROR(SEARCH(MID(";"&amp;'CASE DATA'!$F209&amp;";",ROW($1:$99),1),";")),"",ROW($1:$99)),COLUMN(A208)+1)-SMALL(IF(ISERROR(SEARCH(MID(";"&amp;'CASE DATA'!$F209&amp;";",ROW($1:$99),1),";")),"",ROW($1:$99)),COLUMN(A208))-1)</f>
        <v/>
      </c>
      <c r="Y209" s="75" t="str" cm="1">
        <f t="array" ref="Y209">MID(";"&amp;'CASE DATA'!$F209&amp;";",SMALL(IF(ISERROR(SEARCH(MID(";"&amp;'CASE DATA'!$F209&amp;";",ROW($1:$99),1),";")),"",ROW($1:$99)+1),COLUMN(B209)),SMALL(IF(ISERROR(SEARCH(MID(";"&amp;'CASE DATA'!$F209&amp;";",ROW($1:$99),1),";")),"",ROW($1:$99)),COLUMN(B208)+1)-SMALL(IF(ISERROR(SEARCH(MID(";"&amp;'CASE DATA'!$F209&amp;";",ROW($1:$99),1),";")),"",ROW($1:$99)),COLUMN(B208))-1)</f>
        <v/>
      </c>
      <c r="Z209" s="75" t="str" cm="1">
        <f t="array" ref="Z209">MID(";"&amp;'CASE DATA'!$F209&amp;";",SMALL(IF(ISERROR(SEARCH(MID(";"&amp;'CASE DATA'!$F209&amp;";",ROW($1:$99),1),";")),"",ROW($1:$99)+1),COLUMN(C209)),SMALL(IF(ISERROR(SEARCH(MID(";"&amp;'CASE DATA'!$F209&amp;";",ROW($1:$99),1),";")),"",ROW($1:$99)),COLUMN(C208)+1)-SMALL(IF(ISERROR(SEARCH(MID(";"&amp;'CASE DATA'!$F209&amp;";",ROW($1:$99),1),";")),"",ROW($1:$99)),COLUMN(C208))-1)</f>
        <v/>
      </c>
      <c r="AA209" s="75" t="str" cm="1">
        <f t="array" ref="AA209">MID(";"&amp;'CASE DATA'!$F209&amp;";",SMALL(IF(ISERROR(SEARCH(MID(";"&amp;'CASE DATA'!$F209&amp;";",ROW($1:$99),1),";")),"",ROW($1:$99)+1),COLUMN(D209)),SMALL(IF(ISERROR(SEARCH(MID(";"&amp;'CASE DATA'!$F209&amp;";",ROW($1:$99),1),";")),"",ROW($1:$99)),COLUMN(D208)+1)-SMALL(IF(ISERROR(SEARCH(MID(";"&amp;'CASE DATA'!$F209&amp;";",ROW($1:$99),1),";")),"",ROW($1:$99)),COLUMN(D208))-1)</f>
        <v/>
      </c>
      <c r="AB209" s="75" t="str" cm="1">
        <f t="array" ref="AB209">MID(";"&amp;'CASE DATA'!$F209&amp;";",SMALL(IF(ISERROR(SEARCH(MID(";"&amp;'CASE DATA'!$F209&amp;";",ROW($1:$99),1),";")),"",ROW($1:$99)+1),COLUMN(E209)),SMALL(IF(ISERROR(SEARCH(MID(";"&amp;'CASE DATA'!$F209&amp;";",ROW($1:$99),1),";")),"",ROW($1:$99)),COLUMN(E208)+1)-SMALL(IF(ISERROR(SEARCH(MID(";"&amp;'CASE DATA'!$F209&amp;";",ROW($1:$99),1),";")),"",ROW($1:$99)),COLUMN(E208))-1)</f>
        <v/>
      </c>
      <c r="AC209" s="75" t="str" cm="1">
        <f t="array" ref="AC209">MID(";"&amp;'CASE DATA'!$F209&amp;";",SMALL(IF(ISERROR(SEARCH(MID(";"&amp;'CASE DATA'!$F209&amp;";",ROW($1:$99),1),";")),"",ROW($1:$99)+1),COLUMN(F209)),SMALL(IF(ISERROR(SEARCH(MID(";"&amp;'CASE DATA'!$F209&amp;";",ROW($1:$99),1),";")),"",ROW($1:$99)),COLUMN(F208)+1)-SMALL(IF(ISERROR(SEARCH(MID(";"&amp;'CASE DATA'!$F209&amp;";",ROW($1:$99),1),";")),"",ROW($1:$99)),COLUMN(F208))-1)</f>
        <v/>
      </c>
      <c r="AD209" s="75" t="str" cm="1">
        <f t="array" ref="AD209">MID(";"&amp;'CASE DATA'!$F209&amp;";",SMALL(IF(ISERROR(SEARCH(MID(";"&amp;'CASE DATA'!$F209&amp;";",ROW($1:$99),1),";")),"",ROW($1:$99)+1),COLUMN(G209)),SMALL(IF(ISERROR(SEARCH(MID(";"&amp;'CASE DATA'!$F209&amp;";",ROW($1:$99),1),";")),"",ROW($1:$99)),COLUMN(G208)+1)-SMALL(IF(ISERROR(SEARCH(MID(";"&amp;'CASE DATA'!$F209&amp;";",ROW($1:$99),1),";")),"",ROW($1:$99)),COLUMN(G208))-1)</f>
        <v/>
      </c>
      <c r="AE209" s="75" t="str" cm="1">
        <f t="array" ref="AE209">MID(";"&amp;'CASE DATA'!$F209&amp;";",SMALL(IF(ISERROR(SEARCH(MID(";"&amp;'CASE DATA'!$F209&amp;";",ROW($1:$99),1),";")),"",ROW($1:$99)+1),COLUMN(H209)),SMALL(IF(ISERROR(SEARCH(MID(";"&amp;'CASE DATA'!$F209&amp;";",ROW($1:$99),1),";")),"",ROW($1:$99)),COLUMN(H208)+1)-SMALL(IF(ISERROR(SEARCH(MID(";"&amp;'CASE DATA'!$F209&amp;";",ROW($1:$99),1),";")),"",ROW($1:$99)),COLUMN(H208))-1)</f>
        <v/>
      </c>
      <c r="AF209" s="75" t="str" cm="1">
        <f t="array" ref="AF209">MID(";"&amp;'CASE DATA'!$F209&amp;";",SMALL(IF(ISERROR(SEARCH(MID(";"&amp;'CASE DATA'!$F209&amp;";",ROW($1:$99),1),";")),"",ROW($1:$99)+1),COLUMN(I209)),SMALL(IF(ISERROR(SEARCH(MID(";"&amp;'CASE DATA'!$F209&amp;";",ROW($1:$99),1),";")),"",ROW($1:$99)),COLUMN(I208)+1)-SMALL(IF(ISERROR(SEARCH(MID(";"&amp;'CASE DATA'!$F209&amp;";",ROW($1:$99),1),";")),"",ROW($1:$99)),COLUMN(I208))-1)</f>
        <v/>
      </c>
      <c r="AG209" s="75" t="str" cm="1">
        <f t="array" ref="AG209">MID(";"&amp;'CASE DATA'!$F209&amp;";",SMALL(IF(ISERROR(SEARCH(MID(";"&amp;'CASE DATA'!$F209&amp;";",ROW($1:$99),1),";")),"",ROW($1:$99)+1),COLUMN(K209)),SMALL(IF(ISERROR(SEARCH(MID(";"&amp;'CASE DATA'!$F209&amp;";",ROW($1:$99),1),";")),"",ROW($1:$99)),COLUMN(K208)+1)-SMALL(IF(ISERROR(SEARCH(MID(";"&amp;'CASE DATA'!$F209&amp;";",ROW($1:$99),1),";")),"",ROW($1:$99)),COLUMN(K208))-1)</f>
        <v/>
      </c>
      <c r="AH209" s="75" t="str" cm="1">
        <f t="array" ref="AH209">MID(";"&amp;'CASE DATA'!$F209&amp;";",SMALL(IF(ISERROR(SEARCH(MID(";"&amp;'CASE DATA'!$F209&amp;";",ROW($1:$99),1),";")),"",ROW($1:$99)+1),COLUMN(L209)),SMALL(IF(ISERROR(SEARCH(MID(";"&amp;'CASE DATA'!$F209&amp;";",ROW($1:$99),1),";")),"",ROW($1:$99)),COLUMN(L208)+1)-SMALL(IF(ISERROR(SEARCH(MID(";"&amp;'CASE DATA'!$F209&amp;";",ROW($1:$99),1),";")),"",ROW($1:$99)),COLUMN(L208))-1)</f>
        <v/>
      </c>
      <c r="AI209" s="75" t="str" cm="1">
        <f t="array" ref="AI209">MID(";"&amp;'CASE DATA'!$F209&amp;";",SMALL(IF(ISERROR(SEARCH(MID(";"&amp;'CASE DATA'!$F209&amp;";",ROW($1:$99),1),";")),"",ROW($1:$99)+1),COLUMN(M209)),SMALL(IF(ISERROR(SEARCH(MID(";"&amp;'CASE DATA'!$F209&amp;";",ROW($1:$99),1),";")),"",ROW($1:$99)),COLUMN(M208)+1)-SMALL(IF(ISERROR(SEARCH(MID(";"&amp;'CASE DATA'!$F209&amp;";",ROW($1:$99),1),";")),"",ROW($1:$99)),COLUMN(M208))-1)</f>
        <v/>
      </c>
      <c r="BO209" s="99"/>
      <c r="BP209" s="99"/>
      <c r="BQ209" s="99"/>
      <c r="BR209" s="99"/>
      <c r="BS209" s="99"/>
      <c r="BT209" s="99"/>
      <c r="BU209" s="99"/>
      <c r="BV209" s="99"/>
      <c r="BW209" s="99"/>
      <c r="BX209" s="99"/>
      <c r="BY209" s="99"/>
      <c r="BZ209" s="99"/>
      <c r="CA209" s="99"/>
      <c r="CB209" s="99"/>
      <c r="CC209" s="99"/>
      <c r="CD209" s="99"/>
      <c r="CE209" s="99"/>
      <c r="CF209" s="99"/>
      <c r="CG209" s="99"/>
      <c r="CH209" s="99"/>
      <c r="CI209" s="99"/>
      <c r="CJ209" s="99"/>
      <c r="CK209" s="99"/>
      <c r="CL209" s="99"/>
      <c r="CM209" s="99"/>
      <c r="CN209" s="99"/>
      <c r="CO209" s="99"/>
      <c r="CP209" s="99"/>
      <c r="CQ209" s="99"/>
      <c r="CR209" s="99"/>
      <c r="CS209" s="99"/>
      <c r="CT209" s="99"/>
      <c r="CU209" s="99"/>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99"/>
      <c r="EE209" s="99"/>
      <c r="EF209" s="99"/>
      <c r="EG209" s="99"/>
      <c r="EH209" s="99"/>
      <c r="EI209" s="99"/>
      <c r="EJ209" s="99"/>
      <c r="EK209" s="99"/>
      <c r="EL209" s="99"/>
      <c r="EM209" s="99"/>
      <c r="EN209" s="99"/>
      <c r="EO209" s="99"/>
      <c r="EP209" s="99"/>
      <c r="EQ209" s="99"/>
      <c r="ER209" s="99"/>
      <c r="ES209" s="99"/>
      <c r="ET209" s="99"/>
      <c r="EU209" s="99"/>
      <c r="EV209" s="99"/>
      <c r="EW209" s="99"/>
      <c r="EX209" s="99"/>
      <c r="EY209" s="99"/>
      <c r="EZ209" s="99"/>
      <c r="FA209" s="99"/>
      <c r="FB209" s="99"/>
      <c r="FC209" s="99"/>
      <c r="FD209" s="99"/>
      <c r="FE209" s="99"/>
      <c r="FF209" s="99"/>
      <c r="FG209" s="99"/>
      <c r="FH209" s="99"/>
      <c r="FI209" s="99"/>
      <c r="FJ209" s="99"/>
      <c r="FK209" s="99"/>
    </row>
    <row r="210" spans="3:167" x14ac:dyDescent="0.25">
      <c r="C210" s="10"/>
      <c r="D210" s="10"/>
      <c r="J210" s="99">
        <v>207</v>
      </c>
      <c r="K210" s="16"/>
      <c r="L210" s="16"/>
      <c r="M210" s="16"/>
      <c r="N210" s="16"/>
      <c r="O210" s="16"/>
      <c r="P210" s="16"/>
      <c r="Q210" s="16"/>
      <c r="R210" s="16"/>
      <c r="S210" s="16"/>
      <c r="T210" s="16"/>
      <c r="U210" s="14">
        <f>SUM(K210:T210)</f>
        <v>0</v>
      </c>
      <c r="V210" s="14"/>
      <c r="X210" s="75" t="str" cm="1">
        <f t="array" ref="X210">MID(";"&amp;'CASE DATA'!$F210&amp;";",SMALL(IF(ISERROR(SEARCH(MID(";"&amp;'CASE DATA'!$F210&amp;";",ROW($1:$99),1),";")),"",ROW($1:$99)+1),COLUMN(A210)),SMALL(IF(ISERROR(SEARCH(MID(";"&amp;'CASE DATA'!$F210&amp;";",ROW($1:$99),1),";")),"",ROW($1:$99)),COLUMN(A209)+1)-SMALL(IF(ISERROR(SEARCH(MID(";"&amp;'CASE DATA'!$F210&amp;";",ROW($1:$99),1),";")),"",ROW($1:$99)),COLUMN(A209))-1)</f>
        <v/>
      </c>
      <c r="Y210" s="75" t="str" cm="1">
        <f t="array" ref="Y210">MID(";"&amp;'CASE DATA'!$F210&amp;";",SMALL(IF(ISERROR(SEARCH(MID(";"&amp;'CASE DATA'!$F210&amp;";",ROW($1:$99),1),";")),"",ROW($1:$99)+1),COLUMN(B210)),SMALL(IF(ISERROR(SEARCH(MID(";"&amp;'CASE DATA'!$F210&amp;";",ROW($1:$99),1),";")),"",ROW($1:$99)),COLUMN(B209)+1)-SMALL(IF(ISERROR(SEARCH(MID(";"&amp;'CASE DATA'!$F210&amp;";",ROW($1:$99),1),";")),"",ROW($1:$99)),COLUMN(B209))-1)</f>
        <v/>
      </c>
      <c r="Z210" s="75" t="str" cm="1">
        <f t="array" ref="Z210">MID(";"&amp;'CASE DATA'!$F210&amp;";",SMALL(IF(ISERROR(SEARCH(MID(";"&amp;'CASE DATA'!$F210&amp;";",ROW($1:$99),1),";")),"",ROW($1:$99)+1),COLUMN(C210)),SMALL(IF(ISERROR(SEARCH(MID(";"&amp;'CASE DATA'!$F210&amp;";",ROW($1:$99),1),";")),"",ROW($1:$99)),COLUMN(C209)+1)-SMALL(IF(ISERROR(SEARCH(MID(";"&amp;'CASE DATA'!$F210&amp;";",ROW($1:$99),1),";")),"",ROW($1:$99)),COLUMN(C209))-1)</f>
        <v/>
      </c>
      <c r="AA210" s="75" t="str" cm="1">
        <f t="array" ref="AA210">MID(";"&amp;'CASE DATA'!$F210&amp;";",SMALL(IF(ISERROR(SEARCH(MID(";"&amp;'CASE DATA'!$F210&amp;";",ROW($1:$99),1),";")),"",ROW($1:$99)+1),COLUMN(D210)),SMALL(IF(ISERROR(SEARCH(MID(";"&amp;'CASE DATA'!$F210&amp;";",ROW($1:$99),1),";")),"",ROW($1:$99)),COLUMN(D209)+1)-SMALL(IF(ISERROR(SEARCH(MID(";"&amp;'CASE DATA'!$F210&amp;";",ROW($1:$99),1),";")),"",ROW($1:$99)),COLUMN(D209))-1)</f>
        <v/>
      </c>
      <c r="AB210" s="75" t="str" cm="1">
        <f t="array" ref="AB210">MID(";"&amp;'CASE DATA'!$F210&amp;";",SMALL(IF(ISERROR(SEARCH(MID(";"&amp;'CASE DATA'!$F210&amp;";",ROW($1:$99),1),";")),"",ROW($1:$99)+1),COLUMN(E210)),SMALL(IF(ISERROR(SEARCH(MID(";"&amp;'CASE DATA'!$F210&amp;";",ROW($1:$99),1),";")),"",ROW($1:$99)),COLUMN(E209)+1)-SMALL(IF(ISERROR(SEARCH(MID(";"&amp;'CASE DATA'!$F210&amp;";",ROW($1:$99),1),";")),"",ROW($1:$99)),COLUMN(E209))-1)</f>
        <v/>
      </c>
      <c r="AC210" s="75" t="str" cm="1">
        <f t="array" ref="AC210">MID(";"&amp;'CASE DATA'!$F210&amp;";",SMALL(IF(ISERROR(SEARCH(MID(";"&amp;'CASE DATA'!$F210&amp;";",ROW($1:$99),1),";")),"",ROW($1:$99)+1),COLUMN(F210)),SMALL(IF(ISERROR(SEARCH(MID(";"&amp;'CASE DATA'!$F210&amp;";",ROW($1:$99),1),";")),"",ROW($1:$99)),COLUMN(F209)+1)-SMALL(IF(ISERROR(SEARCH(MID(";"&amp;'CASE DATA'!$F210&amp;";",ROW($1:$99),1),";")),"",ROW($1:$99)),COLUMN(F209))-1)</f>
        <v/>
      </c>
      <c r="AD210" s="75" t="str" cm="1">
        <f t="array" ref="AD210">MID(";"&amp;'CASE DATA'!$F210&amp;";",SMALL(IF(ISERROR(SEARCH(MID(";"&amp;'CASE DATA'!$F210&amp;";",ROW($1:$99),1),";")),"",ROW($1:$99)+1),COLUMN(G210)),SMALL(IF(ISERROR(SEARCH(MID(";"&amp;'CASE DATA'!$F210&amp;";",ROW($1:$99),1),";")),"",ROW($1:$99)),COLUMN(G209)+1)-SMALL(IF(ISERROR(SEARCH(MID(";"&amp;'CASE DATA'!$F210&amp;";",ROW($1:$99),1),";")),"",ROW($1:$99)),COLUMN(G209))-1)</f>
        <v/>
      </c>
      <c r="AE210" s="75" t="str" cm="1">
        <f t="array" ref="AE210">MID(";"&amp;'CASE DATA'!$F210&amp;";",SMALL(IF(ISERROR(SEARCH(MID(";"&amp;'CASE DATA'!$F210&amp;";",ROW($1:$99),1),";")),"",ROW($1:$99)+1),COLUMN(H210)),SMALL(IF(ISERROR(SEARCH(MID(";"&amp;'CASE DATA'!$F210&amp;";",ROW($1:$99),1),";")),"",ROW($1:$99)),COLUMN(H209)+1)-SMALL(IF(ISERROR(SEARCH(MID(";"&amp;'CASE DATA'!$F210&amp;";",ROW($1:$99),1),";")),"",ROW($1:$99)),COLUMN(H209))-1)</f>
        <v/>
      </c>
      <c r="AF210" s="75" t="str" cm="1">
        <f t="array" ref="AF210">MID(";"&amp;'CASE DATA'!$F210&amp;";",SMALL(IF(ISERROR(SEARCH(MID(";"&amp;'CASE DATA'!$F210&amp;";",ROW($1:$99),1),";")),"",ROW($1:$99)+1),COLUMN(I210)),SMALL(IF(ISERROR(SEARCH(MID(";"&amp;'CASE DATA'!$F210&amp;";",ROW($1:$99),1),";")),"",ROW($1:$99)),COLUMN(I209)+1)-SMALL(IF(ISERROR(SEARCH(MID(";"&amp;'CASE DATA'!$F210&amp;";",ROW($1:$99),1),";")),"",ROW($1:$99)),COLUMN(I209))-1)</f>
        <v/>
      </c>
      <c r="AG210" s="75" t="str" cm="1">
        <f t="array" ref="AG210">MID(";"&amp;'CASE DATA'!$F210&amp;";",SMALL(IF(ISERROR(SEARCH(MID(";"&amp;'CASE DATA'!$F210&amp;";",ROW($1:$99),1),";")),"",ROW($1:$99)+1),COLUMN(K210)),SMALL(IF(ISERROR(SEARCH(MID(";"&amp;'CASE DATA'!$F210&amp;";",ROW($1:$99),1),";")),"",ROW($1:$99)),COLUMN(K209)+1)-SMALL(IF(ISERROR(SEARCH(MID(";"&amp;'CASE DATA'!$F210&amp;";",ROW($1:$99),1),";")),"",ROW($1:$99)),COLUMN(K209))-1)</f>
        <v/>
      </c>
      <c r="AH210" s="75" t="str" cm="1">
        <f t="array" ref="AH210">MID(";"&amp;'CASE DATA'!$F210&amp;";",SMALL(IF(ISERROR(SEARCH(MID(";"&amp;'CASE DATA'!$F210&amp;";",ROW($1:$99),1),";")),"",ROW($1:$99)+1),COLUMN(L210)),SMALL(IF(ISERROR(SEARCH(MID(";"&amp;'CASE DATA'!$F210&amp;";",ROW($1:$99),1),";")),"",ROW($1:$99)),COLUMN(L209)+1)-SMALL(IF(ISERROR(SEARCH(MID(";"&amp;'CASE DATA'!$F210&amp;";",ROW($1:$99),1),";")),"",ROW($1:$99)),COLUMN(L209))-1)</f>
        <v/>
      </c>
      <c r="AI210" s="75" t="str" cm="1">
        <f t="array" ref="AI210">MID(";"&amp;'CASE DATA'!$F210&amp;";",SMALL(IF(ISERROR(SEARCH(MID(";"&amp;'CASE DATA'!$F210&amp;";",ROW($1:$99),1),";")),"",ROW($1:$99)+1),COLUMN(M210)),SMALL(IF(ISERROR(SEARCH(MID(";"&amp;'CASE DATA'!$F210&amp;";",ROW($1:$99),1),";")),"",ROW($1:$99)),COLUMN(M209)+1)-SMALL(IF(ISERROR(SEARCH(MID(";"&amp;'CASE DATA'!$F210&amp;";",ROW($1:$99),1),";")),"",ROW($1:$99)),COLUMN(M209))-1)</f>
        <v/>
      </c>
      <c r="BO210" s="99"/>
      <c r="BP210" s="99"/>
      <c r="BQ210" s="99"/>
      <c r="BR210" s="99"/>
      <c r="BS210" s="99"/>
      <c r="BT210" s="99"/>
      <c r="BU210" s="99"/>
      <c r="BV210" s="99"/>
      <c r="BW210" s="99"/>
      <c r="BX210" s="99"/>
      <c r="BY210" s="99"/>
      <c r="BZ210" s="99"/>
      <c r="CA210" s="99"/>
      <c r="CB210" s="99"/>
      <c r="CC210" s="99"/>
      <c r="CD210" s="99"/>
      <c r="CE210" s="99"/>
      <c r="CF210" s="99"/>
      <c r="CG210" s="99"/>
      <c r="CH210" s="99"/>
      <c r="CI210" s="99"/>
      <c r="CJ210" s="99"/>
      <c r="CK210" s="99"/>
      <c r="CL210" s="99"/>
      <c r="CM210" s="99"/>
      <c r="CN210" s="99"/>
      <c r="CO210" s="99"/>
      <c r="CP210" s="99"/>
      <c r="CQ210" s="99"/>
      <c r="CR210" s="99"/>
      <c r="CS210" s="99"/>
      <c r="CT210" s="99"/>
      <c r="CU210" s="99"/>
      <c r="CV210" s="99"/>
      <c r="CW210" s="99"/>
      <c r="CX210" s="99"/>
      <c r="CY210" s="99"/>
      <c r="CZ210" s="99"/>
      <c r="DA210" s="99"/>
      <c r="DB210" s="99"/>
      <c r="DC210" s="99"/>
      <c r="DD210" s="99"/>
      <c r="DE210" s="99"/>
      <c r="DF210" s="99"/>
      <c r="DG210" s="99"/>
      <c r="DH210" s="99"/>
      <c r="DI210" s="99"/>
      <c r="DJ210" s="99"/>
      <c r="DK210" s="99"/>
      <c r="DL210" s="99"/>
      <c r="DM210" s="99"/>
      <c r="DN210" s="99"/>
      <c r="DO210" s="99"/>
      <c r="DP210" s="99"/>
      <c r="DQ210" s="99"/>
      <c r="DR210" s="99"/>
      <c r="DS210" s="99"/>
      <c r="DT210" s="99"/>
      <c r="DU210" s="99"/>
      <c r="DV210" s="99"/>
      <c r="DW210" s="99"/>
      <c r="DX210" s="99"/>
      <c r="DY210" s="99"/>
      <c r="DZ210" s="99"/>
      <c r="EA210" s="99"/>
      <c r="EB210" s="99"/>
      <c r="EC210" s="99"/>
      <c r="ED210" s="99"/>
      <c r="EE210" s="99"/>
      <c r="EF210" s="99"/>
      <c r="EG210" s="99"/>
      <c r="EH210" s="99"/>
      <c r="EI210" s="99"/>
      <c r="EJ210" s="99"/>
      <c r="EK210" s="99"/>
      <c r="EL210" s="99"/>
      <c r="EM210" s="99"/>
      <c r="EN210" s="99"/>
      <c r="EO210" s="99"/>
      <c r="EP210" s="99"/>
      <c r="EQ210" s="99"/>
      <c r="ER210" s="99"/>
      <c r="ES210" s="99"/>
      <c r="ET210" s="99"/>
      <c r="EU210" s="99"/>
      <c r="EV210" s="99"/>
      <c r="EW210" s="99"/>
      <c r="EX210" s="99"/>
      <c r="EY210" s="99"/>
      <c r="EZ210" s="99"/>
      <c r="FA210" s="99"/>
      <c r="FB210" s="99"/>
      <c r="FC210" s="99"/>
      <c r="FD210" s="99"/>
      <c r="FE210" s="99"/>
      <c r="FF210" s="99"/>
      <c r="FG210" s="99"/>
      <c r="FH210" s="99"/>
      <c r="FI210" s="99"/>
      <c r="FJ210" s="99"/>
      <c r="FK210" s="99"/>
    </row>
    <row r="211" spans="3:167" x14ac:dyDescent="0.25">
      <c r="C211" s="10"/>
      <c r="D211" s="10"/>
      <c r="J211" s="99">
        <v>208</v>
      </c>
      <c r="K211" s="16"/>
      <c r="L211" s="16"/>
      <c r="M211" s="16"/>
      <c r="N211" s="16"/>
      <c r="O211" s="16"/>
      <c r="P211" s="16"/>
      <c r="Q211" s="16"/>
      <c r="R211" s="16"/>
      <c r="S211" s="16"/>
      <c r="T211" s="16"/>
      <c r="U211" s="14">
        <f>SUM(K211:T211)</f>
        <v>0</v>
      </c>
      <c r="V211" s="14"/>
      <c r="X211" s="75" t="str" cm="1">
        <f t="array" ref="X211">MID(";"&amp;'CASE DATA'!$F211&amp;";",SMALL(IF(ISERROR(SEARCH(MID(";"&amp;'CASE DATA'!$F211&amp;";",ROW($1:$99),1),";")),"",ROW($1:$99)+1),COLUMN(A211)),SMALL(IF(ISERROR(SEARCH(MID(";"&amp;'CASE DATA'!$F211&amp;";",ROW($1:$99),1),";")),"",ROW($1:$99)),COLUMN(A210)+1)-SMALL(IF(ISERROR(SEARCH(MID(";"&amp;'CASE DATA'!$F211&amp;";",ROW($1:$99),1),";")),"",ROW($1:$99)),COLUMN(A210))-1)</f>
        <v/>
      </c>
      <c r="Y211" s="75" t="str" cm="1">
        <f t="array" ref="Y211">MID(";"&amp;'CASE DATA'!$F211&amp;";",SMALL(IF(ISERROR(SEARCH(MID(";"&amp;'CASE DATA'!$F211&amp;";",ROW($1:$99),1),";")),"",ROW($1:$99)+1),COLUMN(B211)),SMALL(IF(ISERROR(SEARCH(MID(";"&amp;'CASE DATA'!$F211&amp;";",ROW($1:$99),1),";")),"",ROW($1:$99)),COLUMN(B210)+1)-SMALL(IF(ISERROR(SEARCH(MID(";"&amp;'CASE DATA'!$F211&amp;";",ROW($1:$99),1),";")),"",ROW($1:$99)),COLUMN(B210))-1)</f>
        <v/>
      </c>
      <c r="Z211" s="75" t="str" cm="1">
        <f t="array" ref="Z211">MID(";"&amp;'CASE DATA'!$F211&amp;";",SMALL(IF(ISERROR(SEARCH(MID(";"&amp;'CASE DATA'!$F211&amp;";",ROW($1:$99),1),";")),"",ROW($1:$99)+1),COLUMN(C211)),SMALL(IF(ISERROR(SEARCH(MID(";"&amp;'CASE DATA'!$F211&amp;";",ROW($1:$99),1),";")),"",ROW($1:$99)),COLUMN(C210)+1)-SMALL(IF(ISERROR(SEARCH(MID(";"&amp;'CASE DATA'!$F211&amp;";",ROW($1:$99),1),";")),"",ROW($1:$99)),COLUMN(C210))-1)</f>
        <v/>
      </c>
      <c r="AA211" s="75" t="str" cm="1">
        <f t="array" ref="AA211">MID(";"&amp;'CASE DATA'!$F211&amp;";",SMALL(IF(ISERROR(SEARCH(MID(";"&amp;'CASE DATA'!$F211&amp;";",ROW($1:$99),1),";")),"",ROW($1:$99)+1),COLUMN(D211)),SMALL(IF(ISERROR(SEARCH(MID(";"&amp;'CASE DATA'!$F211&amp;";",ROW($1:$99),1),";")),"",ROW($1:$99)),COLUMN(D210)+1)-SMALL(IF(ISERROR(SEARCH(MID(";"&amp;'CASE DATA'!$F211&amp;";",ROW($1:$99),1),";")),"",ROW($1:$99)),COLUMN(D210))-1)</f>
        <v/>
      </c>
      <c r="AB211" s="75" t="str" cm="1">
        <f t="array" ref="AB211">MID(";"&amp;'CASE DATA'!$F211&amp;";",SMALL(IF(ISERROR(SEARCH(MID(";"&amp;'CASE DATA'!$F211&amp;";",ROW($1:$99),1),";")),"",ROW($1:$99)+1),COLUMN(E211)),SMALL(IF(ISERROR(SEARCH(MID(";"&amp;'CASE DATA'!$F211&amp;";",ROW($1:$99),1),";")),"",ROW($1:$99)),COLUMN(E210)+1)-SMALL(IF(ISERROR(SEARCH(MID(";"&amp;'CASE DATA'!$F211&amp;";",ROW($1:$99),1),";")),"",ROW($1:$99)),COLUMN(E210))-1)</f>
        <v/>
      </c>
      <c r="AC211" s="75" t="str" cm="1">
        <f t="array" ref="AC211">MID(";"&amp;'CASE DATA'!$F211&amp;";",SMALL(IF(ISERROR(SEARCH(MID(";"&amp;'CASE DATA'!$F211&amp;";",ROW($1:$99),1),";")),"",ROW($1:$99)+1),COLUMN(F211)),SMALL(IF(ISERROR(SEARCH(MID(";"&amp;'CASE DATA'!$F211&amp;";",ROW($1:$99),1),";")),"",ROW($1:$99)),COLUMN(F210)+1)-SMALL(IF(ISERROR(SEARCH(MID(";"&amp;'CASE DATA'!$F211&amp;";",ROW($1:$99),1),";")),"",ROW($1:$99)),COLUMN(F210))-1)</f>
        <v/>
      </c>
      <c r="AD211" s="75" t="str" cm="1">
        <f t="array" ref="AD211">MID(";"&amp;'CASE DATA'!$F211&amp;";",SMALL(IF(ISERROR(SEARCH(MID(";"&amp;'CASE DATA'!$F211&amp;";",ROW($1:$99),1),";")),"",ROW($1:$99)+1),COLUMN(G211)),SMALL(IF(ISERROR(SEARCH(MID(";"&amp;'CASE DATA'!$F211&amp;";",ROW($1:$99),1),";")),"",ROW($1:$99)),COLUMN(G210)+1)-SMALL(IF(ISERROR(SEARCH(MID(";"&amp;'CASE DATA'!$F211&amp;";",ROW($1:$99),1),";")),"",ROW($1:$99)),COLUMN(G210))-1)</f>
        <v/>
      </c>
      <c r="AE211" s="75" t="str" cm="1">
        <f t="array" ref="AE211">MID(";"&amp;'CASE DATA'!$F211&amp;";",SMALL(IF(ISERROR(SEARCH(MID(";"&amp;'CASE DATA'!$F211&amp;";",ROW($1:$99),1),";")),"",ROW($1:$99)+1),COLUMN(H211)),SMALL(IF(ISERROR(SEARCH(MID(";"&amp;'CASE DATA'!$F211&amp;";",ROW($1:$99),1),";")),"",ROW($1:$99)),COLUMN(H210)+1)-SMALL(IF(ISERROR(SEARCH(MID(";"&amp;'CASE DATA'!$F211&amp;";",ROW($1:$99),1),";")),"",ROW($1:$99)),COLUMN(H210))-1)</f>
        <v/>
      </c>
      <c r="AF211" s="75" t="str" cm="1">
        <f t="array" ref="AF211">MID(";"&amp;'CASE DATA'!$F211&amp;";",SMALL(IF(ISERROR(SEARCH(MID(";"&amp;'CASE DATA'!$F211&amp;";",ROW($1:$99),1),";")),"",ROW($1:$99)+1),COLUMN(I211)),SMALL(IF(ISERROR(SEARCH(MID(";"&amp;'CASE DATA'!$F211&amp;";",ROW($1:$99),1),";")),"",ROW($1:$99)),COLUMN(I210)+1)-SMALL(IF(ISERROR(SEARCH(MID(";"&amp;'CASE DATA'!$F211&amp;";",ROW($1:$99),1),";")),"",ROW($1:$99)),COLUMN(I210))-1)</f>
        <v/>
      </c>
      <c r="AG211" s="75" t="str" cm="1">
        <f t="array" ref="AG211">MID(";"&amp;'CASE DATA'!$F211&amp;";",SMALL(IF(ISERROR(SEARCH(MID(";"&amp;'CASE DATA'!$F211&amp;";",ROW($1:$99),1),";")),"",ROW($1:$99)+1),COLUMN(K211)),SMALL(IF(ISERROR(SEARCH(MID(";"&amp;'CASE DATA'!$F211&amp;";",ROW($1:$99),1),";")),"",ROW($1:$99)),COLUMN(K210)+1)-SMALL(IF(ISERROR(SEARCH(MID(";"&amp;'CASE DATA'!$F211&amp;";",ROW($1:$99),1),";")),"",ROW($1:$99)),COLUMN(K210))-1)</f>
        <v/>
      </c>
      <c r="AH211" s="75" t="str" cm="1">
        <f t="array" ref="AH211">MID(";"&amp;'CASE DATA'!$F211&amp;";",SMALL(IF(ISERROR(SEARCH(MID(";"&amp;'CASE DATA'!$F211&amp;";",ROW($1:$99),1),";")),"",ROW($1:$99)+1),COLUMN(L211)),SMALL(IF(ISERROR(SEARCH(MID(";"&amp;'CASE DATA'!$F211&amp;";",ROW($1:$99),1),";")),"",ROW($1:$99)),COLUMN(L210)+1)-SMALL(IF(ISERROR(SEARCH(MID(";"&amp;'CASE DATA'!$F211&amp;";",ROW($1:$99),1),";")),"",ROW($1:$99)),COLUMN(L210))-1)</f>
        <v/>
      </c>
      <c r="AI211" s="75" t="str" cm="1">
        <f t="array" ref="AI211">MID(";"&amp;'CASE DATA'!$F211&amp;";",SMALL(IF(ISERROR(SEARCH(MID(";"&amp;'CASE DATA'!$F211&amp;";",ROW($1:$99),1),";")),"",ROW($1:$99)+1),COLUMN(M211)),SMALL(IF(ISERROR(SEARCH(MID(";"&amp;'CASE DATA'!$F211&amp;";",ROW($1:$99),1),";")),"",ROW($1:$99)),COLUMN(M210)+1)-SMALL(IF(ISERROR(SEARCH(MID(";"&amp;'CASE DATA'!$F211&amp;";",ROW($1:$99),1),";")),"",ROW($1:$99)),COLUMN(M210))-1)</f>
        <v/>
      </c>
      <c r="BO211" s="99"/>
      <c r="BP211" s="99"/>
      <c r="BQ211" s="99"/>
      <c r="BR211" s="99"/>
      <c r="BS211" s="99"/>
      <c r="BT211" s="99"/>
      <c r="BU211" s="99"/>
      <c r="BV211" s="99"/>
      <c r="BW211" s="99"/>
      <c r="BX211" s="99"/>
      <c r="BY211" s="99"/>
      <c r="BZ211" s="99"/>
      <c r="CA211" s="99"/>
      <c r="CB211" s="99"/>
      <c r="CC211" s="99"/>
      <c r="CD211" s="99"/>
      <c r="CE211" s="99"/>
      <c r="CF211" s="99"/>
      <c r="CG211" s="99"/>
      <c r="CH211" s="99"/>
      <c r="CI211" s="99"/>
      <c r="CJ211" s="99"/>
      <c r="CK211" s="99"/>
      <c r="CL211" s="99"/>
      <c r="CM211" s="99"/>
      <c r="CN211" s="99"/>
      <c r="CO211" s="99"/>
      <c r="CP211" s="99"/>
      <c r="CQ211" s="99"/>
      <c r="CR211" s="99"/>
      <c r="CS211" s="99"/>
      <c r="CT211" s="99"/>
      <c r="CU211" s="99"/>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99"/>
      <c r="EE211" s="99"/>
      <c r="EF211" s="99"/>
      <c r="EG211" s="99"/>
      <c r="EH211" s="99"/>
      <c r="EI211" s="99"/>
      <c r="EJ211" s="99"/>
      <c r="EK211" s="99"/>
      <c r="EL211" s="99"/>
      <c r="EM211" s="99"/>
      <c r="EN211" s="99"/>
      <c r="EO211" s="99"/>
      <c r="EP211" s="99"/>
      <c r="EQ211" s="99"/>
      <c r="ER211" s="99"/>
      <c r="ES211" s="99"/>
      <c r="ET211" s="99"/>
      <c r="EU211" s="99"/>
      <c r="EV211" s="99"/>
      <c r="EW211" s="99"/>
      <c r="EX211" s="99"/>
      <c r="EY211" s="99"/>
      <c r="EZ211" s="99"/>
      <c r="FA211" s="99"/>
      <c r="FB211" s="99"/>
      <c r="FC211" s="99"/>
      <c r="FD211" s="99"/>
      <c r="FE211" s="99"/>
      <c r="FF211" s="99"/>
      <c r="FG211" s="99"/>
      <c r="FH211" s="99"/>
      <c r="FI211" s="99"/>
      <c r="FJ211" s="99"/>
      <c r="FK211" s="99"/>
    </row>
    <row r="212" spans="3:167" x14ac:dyDescent="0.25">
      <c r="C212" s="10"/>
      <c r="D212" s="10"/>
      <c r="J212" s="99">
        <v>209</v>
      </c>
      <c r="K212" s="16"/>
      <c r="L212" s="16"/>
      <c r="M212" s="16"/>
      <c r="N212" s="16"/>
      <c r="O212" s="16"/>
      <c r="P212" s="16"/>
      <c r="Q212" s="16"/>
      <c r="R212" s="16"/>
      <c r="S212" s="16"/>
      <c r="T212" s="16"/>
      <c r="U212" s="14">
        <f>SUM(K212:T212)</f>
        <v>0</v>
      </c>
      <c r="V212" s="14"/>
      <c r="X212" s="75" t="str" cm="1">
        <f t="array" ref="X212">MID(";"&amp;'CASE DATA'!$F212&amp;";",SMALL(IF(ISERROR(SEARCH(MID(";"&amp;'CASE DATA'!$F212&amp;";",ROW($1:$99),1),";")),"",ROW($1:$99)+1),COLUMN(A212)),SMALL(IF(ISERROR(SEARCH(MID(";"&amp;'CASE DATA'!$F212&amp;";",ROW($1:$99),1),";")),"",ROW($1:$99)),COLUMN(A211)+1)-SMALL(IF(ISERROR(SEARCH(MID(";"&amp;'CASE DATA'!$F212&amp;";",ROW($1:$99),1),";")),"",ROW($1:$99)),COLUMN(A211))-1)</f>
        <v/>
      </c>
      <c r="Y212" s="75" t="str" cm="1">
        <f t="array" ref="Y212">MID(";"&amp;'CASE DATA'!$F212&amp;";",SMALL(IF(ISERROR(SEARCH(MID(";"&amp;'CASE DATA'!$F212&amp;";",ROW($1:$99),1),";")),"",ROW($1:$99)+1),COLUMN(B212)),SMALL(IF(ISERROR(SEARCH(MID(";"&amp;'CASE DATA'!$F212&amp;";",ROW($1:$99),1),";")),"",ROW($1:$99)),COLUMN(B211)+1)-SMALL(IF(ISERROR(SEARCH(MID(";"&amp;'CASE DATA'!$F212&amp;";",ROW($1:$99),1),";")),"",ROW($1:$99)),COLUMN(B211))-1)</f>
        <v/>
      </c>
      <c r="Z212" s="75" t="str" cm="1">
        <f t="array" ref="Z212">MID(";"&amp;'CASE DATA'!$F212&amp;";",SMALL(IF(ISERROR(SEARCH(MID(";"&amp;'CASE DATA'!$F212&amp;";",ROW($1:$99),1),";")),"",ROW($1:$99)+1),COLUMN(C212)),SMALL(IF(ISERROR(SEARCH(MID(";"&amp;'CASE DATA'!$F212&amp;";",ROW($1:$99),1),";")),"",ROW($1:$99)),COLUMN(C211)+1)-SMALL(IF(ISERROR(SEARCH(MID(";"&amp;'CASE DATA'!$F212&amp;";",ROW($1:$99),1),";")),"",ROW($1:$99)),COLUMN(C211))-1)</f>
        <v/>
      </c>
      <c r="AA212" s="75" t="str" cm="1">
        <f t="array" ref="AA212">MID(";"&amp;'CASE DATA'!$F212&amp;";",SMALL(IF(ISERROR(SEARCH(MID(";"&amp;'CASE DATA'!$F212&amp;";",ROW($1:$99),1),";")),"",ROW($1:$99)+1),COLUMN(D212)),SMALL(IF(ISERROR(SEARCH(MID(";"&amp;'CASE DATA'!$F212&amp;";",ROW($1:$99),1),";")),"",ROW($1:$99)),COLUMN(D211)+1)-SMALL(IF(ISERROR(SEARCH(MID(";"&amp;'CASE DATA'!$F212&amp;";",ROW($1:$99),1),";")),"",ROW($1:$99)),COLUMN(D211))-1)</f>
        <v/>
      </c>
      <c r="AB212" s="75" t="str" cm="1">
        <f t="array" ref="AB212">MID(";"&amp;'CASE DATA'!$F212&amp;";",SMALL(IF(ISERROR(SEARCH(MID(";"&amp;'CASE DATA'!$F212&amp;";",ROW($1:$99),1),";")),"",ROW($1:$99)+1),COLUMN(E212)),SMALL(IF(ISERROR(SEARCH(MID(";"&amp;'CASE DATA'!$F212&amp;";",ROW($1:$99),1),";")),"",ROW($1:$99)),COLUMN(E211)+1)-SMALL(IF(ISERROR(SEARCH(MID(";"&amp;'CASE DATA'!$F212&amp;";",ROW($1:$99),1),";")),"",ROW($1:$99)),COLUMN(E211))-1)</f>
        <v/>
      </c>
      <c r="AC212" s="75" t="str" cm="1">
        <f t="array" ref="AC212">MID(";"&amp;'CASE DATA'!$F212&amp;";",SMALL(IF(ISERROR(SEARCH(MID(";"&amp;'CASE DATA'!$F212&amp;";",ROW($1:$99),1),";")),"",ROW($1:$99)+1),COLUMN(F212)),SMALL(IF(ISERROR(SEARCH(MID(";"&amp;'CASE DATA'!$F212&amp;";",ROW($1:$99),1),";")),"",ROW($1:$99)),COLUMN(F211)+1)-SMALL(IF(ISERROR(SEARCH(MID(";"&amp;'CASE DATA'!$F212&amp;";",ROW($1:$99),1),";")),"",ROW($1:$99)),COLUMN(F211))-1)</f>
        <v/>
      </c>
      <c r="AD212" s="75" t="str" cm="1">
        <f t="array" ref="AD212">MID(";"&amp;'CASE DATA'!$F212&amp;";",SMALL(IF(ISERROR(SEARCH(MID(";"&amp;'CASE DATA'!$F212&amp;";",ROW($1:$99),1),";")),"",ROW($1:$99)+1),COLUMN(G212)),SMALL(IF(ISERROR(SEARCH(MID(";"&amp;'CASE DATA'!$F212&amp;";",ROW($1:$99),1),";")),"",ROW($1:$99)),COLUMN(G211)+1)-SMALL(IF(ISERROR(SEARCH(MID(";"&amp;'CASE DATA'!$F212&amp;";",ROW($1:$99),1),";")),"",ROW($1:$99)),COLUMN(G211))-1)</f>
        <v/>
      </c>
      <c r="AE212" s="75" t="str" cm="1">
        <f t="array" ref="AE212">MID(";"&amp;'CASE DATA'!$F212&amp;";",SMALL(IF(ISERROR(SEARCH(MID(";"&amp;'CASE DATA'!$F212&amp;";",ROW($1:$99),1),";")),"",ROW($1:$99)+1),COLUMN(H212)),SMALL(IF(ISERROR(SEARCH(MID(";"&amp;'CASE DATA'!$F212&amp;";",ROW($1:$99),1),";")),"",ROW($1:$99)),COLUMN(H211)+1)-SMALL(IF(ISERROR(SEARCH(MID(";"&amp;'CASE DATA'!$F212&amp;";",ROW($1:$99),1),";")),"",ROW($1:$99)),COLUMN(H211))-1)</f>
        <v/>
      </c>
      <c r="AF212" s="75" t="str" cm="1">
        <f t="array" ref="AF212">MID(";"&amp;'CASE DATA'!$F212&amp;";",SMALL(IF(ISERROR(SEARCH(MID(";"&amp;'CASE DATA'!$F212&amp;";",ROW($1:$99),1),";")),"",ROW($1:$99)+1),COLUMN(I212)),SMALL(IF(ISERROR(SEARCH(MID(";"&amp;'CASE DATA'!$F212&amp;";",ROW($1:$99),1),";")),"",ROW($1:$99)),COLUMN(I211)+1)-SMALL(IF(ISERROR(SEARCH(MID(";"&amp;'CASE DATA'!$F212&amp;";",ROW($1:$99),1),";")),"",ROW($1:$99)),COLUMN(I211))-1)</f>
        <v/>
      </c>
      <c r="AG212" s="75" t="str" cm="1">
        <f t="array" ref="AG212">MID(";"&amp;'CASE DATA'!$F212&amp;";",SMALL(IF(ISERROR(SEARCH(MID(";"&amp;'CASE DATA'!$F212&amp;";",ROW($1:$99),1),";")),"",ROW($1:$99)+1),COLUMN(K212)),SMALL(IF(ISERROR(SEARCH(MID(";"&amp;'CASE DATA'!$F212&amp;";",ROW($1:$99),1),";")),"",ROW($1:$99)),COLUMN(K211)+1)-SMALL(IF(ISERROR(SEARCH(MID(";"&amp;'CASE DATA'!$F212&amp;";",ROW($1:$99),1),";")),"",ROW($1:$99)),COLUMN(K211))-1)</f>
        <v/>
      </c>
      <c r="AH212" s="75" t="str" cm="1">
        <f t="array" ref="AH212">MID(";"&amp;'CASE DATA'!$F212&amp;";",SMALL(IF(ISERROR(SEARCH(MID(";"&amp;'CASE DATA'!$F212&amp;";",ROW($1:$99),1),";")),"",ROW($1:$99)+1),COLUMN(L212)),SMALL(IF(ISERROR(SEARCH(MID(";"&amp;'CASE DATA'!$F212&amp;";",ROW($1:$99),1),";")),"",ROW($1:$99)),COLUMN(L211)+1)-SMALL(IF(ISERROR(SEARCH(MID(";"&amp;'CASE DATA'!$F212&amp;";",ROW($1:$99),1),";")),"",ROW($1:$99)),COLUMN(L211))-1)</f>
        <v/>
      </c>
      <c r="AI212" s="75" t="str" cm="1">
        <f t="array" ref="AI212">MID(";"&amp;'CASE DATA'!$F212&amp;";",SMALL(IF(ISERROR(SEARCH(MID(";"&amp;'CASE DATA'!$F212&amp;";",ROW($1:$99),1),";")),"",ROW($1:$99)+1),COLUMN(M212)),SMALL(IF(ISERROR(SEARCH(MID(";"&amp;'CASE DATA'!$F212&amp;";",ROW($1:$99),1),";")),"",ROW($1:$99)),COLUMN(M211)+1)-SMALL(IF(ISERROR(SEARCH(MID(";"&amp;'CASE DATA'!$F212&amp;";",ROW($1:$99),1),";")),"",ROW($1:$99)),COLUMN(M211))-1)</f>
        <v/>
      </c>
      <c r="BO212" s="99"/>
      <c r="BP212" s="99"/>
      <c r="BQ212" s="99"/>
      <c r="BR212" s="99"/>
      <c r="BS212" s="99"/>
      <c r="BT212" s="99"/>
      <c r="BU212" s="99"/>
      <c r="BV212" s="99"/>
      <c r="BW212" s="99"/>
      <c r="BX212" s="99"/>
      <c r="BY212" s="99"/>
      <c r="BZ212" s="99"/>
      <c r="CA212" s="99"/>
      <c r="CB212" s="99"/>
      <c r="CC212" s="99"/>
      <c r="CD212" s="99"/>
      <c r="CE212" s="99"/>
      <c r="CF212" s="99"/>
      <c r="CG212" s="99"/>
      <c r="CH212" s="99"/>
      <c r="CI212" s="99"/>
      <c r="CJ212" s="99"/>
      <c r="CK212" s="99"/>
      <c r="CL212" s="99"/>
      <c r="CM212" s="99"/>
      <c r="CN212" s="99"/>
      <c r="CO212" s="99"/>
      <c r="CP212" s="99"/>
      <c r="CQ212" s="99"/>
      <c r="CR212" s="99"/>
      <c r="CS212" s="99"/>
      <c r="CT212" s="99"/>
      <c r="CU212" s="99"/>
      <c r="CV212" s="99"/>
      <c r="CW212" s="99"/>
      <c r="CX212" s="99"/>
      <c r="CY212" s="99"/>
      <c r="CZ212" s="99"/>
      <c r="DA212" s="99"/>
      <c r="DB212" s="99"/>
      <c r="DC212" s="99"/>
      <c r="DD212" s="99"/>
      <c r="DE212" s="99"/>
      <c r="DF212" s="99"/>
      <c r="DG212" s="99"/>
      <c r="DH212" s="99"/>
      <c r="DI212" s="99"/>
      <c r="DJ212" s="99"/>
      <c r="DK212" s="99"/>
      <c r="DL212" s="99"/>
      <c r="DM212" s="99"/>
      <c r="DN212" s="99"/>
      <c r="DO212" s="99"/>
      <c r="DP212" s="99"/>
      <c r="DQ212" s="99"/>
      <c r="DR212" s="99"/>
      <c r="DS212" s="99"/>
      <c r="DT212" s="99"/>
      <c r="DU212" s="99"/>
      <c r="DV212" s="99"/>
      <c r="DW212" s="99"/>
      <c r="DX212" s="99"/>
      <c r="DY212" s="99"/>
      <c r="DZ212" s="99"/>
      <c r="EA212" s="99"/>
      <c r="EB212" s="99"/>
      <c r="EC212" s="99"/>
      <c r="ED212" s="99"/>
      <c r="EE212" s="99"/>
      <c r="EF212" s="99"/>
      <c r="EG212" s="99"/>
      <c r="EH212" s="99"/>
      <c r="EI212" s="99"/>
      <c r="EJ212" s="99"/>
      <c r="EK212" s="99"/>
      <c r="EL212" s="99"/>
      <c r="EM212" s="99"/>
      <c r="EN212" s="99"/>
      <c r="EO212" s="99"/>
      <c r="EP212" s="99"/>
      <c r="EQ212" s="99"/>
      <c r="ER212" s="99"/>
      <c r="ES212" s="99"/>
      <c r="ET212" s="99"/>
      <c r="EU212" s="99"/>
      <c r="EV212" s="99"/>
      <c r="EW212" s="99"/>
      <c r="EX212" s="99"/>
      <c r="EY212" s="99"/>
      <c r="EZ212" s="99"/>
      <c r="FA212" s="99"/>
      <c r="FB212" s="99"/>
      <c r="FC212" s="99"/>
      <c r="FD212" s="99"/>
      <c r="FE212" s="99"/>
      <c r="FF212" s="99"/>
      <c r="FG212" s="99"/>
      <c r="FH212" s="99"/>
      <c r="FI212" s="99"/>
      <c r="FJ212" s="99"/>
      <c r="FK212" s="99"/>
    </row>
    <row r="213" spans="3:167" x14ac:dyDescent="0.25">
      <c r="C213" s="10"/>
      <c r="D213" s="10"/>
      <c r="J213" s="99">
        <v>210</v>
      </c>
      <c r="K213" s="16"/>
      <c r="L213" s="16"/>
      <c r="M213" s="16"/>
      <c r="N213" s="16"/>
      <c r="O213" s="16"/>
      <c r="P213" s="16"/>
      <c r="Q213" s="16"/>
      <c r="R213" s="16"/>
      <c r="S213" s="16"/>
      <c r="T213" s="16"/>
      <c r="U213" s="14">
        <f>SUM(K213:T213)</f>
        <v>0</v>
      </c>
      <c r="V213" s="14"/>
      <c r="X213" s="75" t="str" cm="1">
        <f t="array" ref="X213">MID(";"&amp;'CASE DATA'!$F213&amp;";",SMALL(IF(ISERROR(SEARCH(MID(";"&amp;'CASE DATA'!$F213&amp;";",ROW($1:$99),1),";")),"",ROW($1:$99)+1),COLUMN(A213)),SMALL(IF(ISERROR(SEARCH(MID(";"&amp;'CASE DATA'!$F213&amp;";",ROW($1:$99),1),";")),"",ROW($1:$99)),COLUMN(A212)+1)-SMALL(IF(ISERROR(SEARCH(MID(";"&amp;'CASE DATA'!$F213&amp;";",ROW($1:$99),1),";")),"",ROW($1:$99)),COLUMN(A212))-1)</f>
        <v/>
      </c>
      <c r="Y213" s="75" t="str" cm="1">
        <f t="array" ref="Y213">MID(";"&amp;'CASE DATA'!$F213&amp;";",SMALL(IF(ISERROR(SEARCH(MID(";"&amp;'CASE DATA'!$F213&amp;";",ROW($1:$99),1),";")),"",ROW($1:$99)+1),COLUMN(B213)),SMALL(IF(ISERROR(SEARCH(MID(";"&amp;'CASE DATA'!$F213&amp;";",ROW($1:$99),1),";")),"",ROW($1:$99)),COLUMN(B212)+1)-SMALL(IF(ISERROR(SEARCH(MID(";"&amp;'CASE DATA'!$F213&amp;";",ROW($1:$99),1),";")),"",ROW($1:$99)),COLUMN(B212))-1)</f>
        <v/>
      </c>
      <c r="Z213" s="75" t="str" cm="1">
        <f t="array" ref="Z213">MID(";"&amp;'CASE DATA'!$F213&amp;";",SMALL(IF(ISERROR(SEARCH(MID(";"&amp;'CASE DATA'!$F213&amp;";",ROW($1:$99),1),";")),"",ROW($1:$99)+1),COLUMN(C213)),SMALL(IF(ISERROR(SEARCH(MID(";"&amp;'CASE DATA'!$F213&amp;";",ROW($1:$99),1),";")),"",ROW($1:$99)),COLUMN(C212)+1)-SMALL(IF(ISERROR(SEARCH(MID(";"&amp;'CASE DATA'!$F213&amp;";",ROW($1:$99),1),";")),"",ROW($1:$99)),COLUMN(C212))-1)</f>
        <v/>
      </c>
      <c r="AA213" s="75" t="str" cm="1">
        <f t="array" ref="AA213">MID(";"&amp;'CASE DATA'!$F213&amp;";",SMALL(IF(ISERROR(SEARCH(MID(";"&amp;'CASE DATA'!$F213&amp;";",ROW($1:$99),1),";")),"",ROW($1:$99)+1),COLUMN(D213)),SMALL(IF(ISERROR(SEARCH(MID(";"&amp;'CASE DATA'!$F213&amp;";",ROW($1:$99),1),";")),"",ROW($1:$99)),COLUMN(D212)+1)-SMALL(IF(ISERROR(SEARCH(MID(";"&amp;'CASE DATA'!$F213&amp;";",ROW($1:$99),1),";")),"",ROW($1:$99)),COLUMN(D212))-1)</f>
        <v/>
      </c>
      <c r="AB213" s="75" t="str" cm="1">
        <f t="array" ref="AB213">MID(";"&amp;'CASE DATA'!$F213&amp;";",SMALL(IF(ISERROR(SEARCH(MID(";"&amp;'CASE DATA'!$F213&amp;";",ROW($1:$99),1),";")),"",ROW($1:$99)+1),COLUMN(E213)),SMALL(IF(ISERROR(SEARCH(MID(";"&amp;'CASE DATA'!$F213&amp;";",ROW($1:$99),1),";")),"",ROW($1:$99)),COLUMN(E212)+1)-SMALL(IF(ISERROR(SEARCH(MID(";"&amp;'CASE DATA'!$F213&amp;";",ROW($1:$99),1),";")),"",ROW($1:$99)),COLUMN(E212))-1)</f>
        <v/>
      </c>
      <c r="AC213" s="75" t="str" cm="1">
        <f t="array" ref="AC213">MID(";"&amp;'CASE DATA'!$F213&amp;";",SMALL(IF(ISERROR(SEARCH(MID(";"&amp;'CASE DATA'!$F213&amp;";",ROW($1:$99),1),";")),"",ROW($1:$99)+1),COLUMN(F213)),SMALL(IF(ISERROR(SEARCH(MID(";"&amp;'CASE DATA'!$F213&amp;";",ROW($1:$99),1),";")),"",ROW($1:$99)),COLUMN(F212)+1)-SMALL(IF(ISERROR(SEARCH(MID(";"&amp;'CASE DATA'!$F213&amp;";",ROW($1:$99),1),";")),"",ROW($1:$99)),COLUMN(F212))-1)</f>
        <v/>
      </c>
      <c r="AD213" s="75" t="str" cm="1">
        <f t="array" ref="AD213">MID(";"&amp;'CASE DATA'!$F213&amp;";",SMALL(IF(ISERROR(SEARCH(MID(";"&amp;'CASE DATA'!$F213&amp;";",ROW($1:$99),1),";")),"",ROW($1:$99)+1),COLUMN(G213)),SMALL(IF(ISERROR(SEARCH(MID(";"&amp;'CASE DATA'!$F213&amp;";",ROW($1:$99),1),";")),"",ROW($1:$99)),COLUMN(G212)+1)-SMALL(IF(ISERROR(SEARCH(MID(";"&amp;'CASE DATA'!$F213&amp;";",ROW($1:$99),1),";")),"",ROW($1:$99)),COLUMN(G212))-1)</f>
        <v/>
      </c>
      <c r="AE213" s="75" t="str" cm="1">
        <f t="array" ref="AE213">MID(";"&amp;'CASE DATA'!$F213&amp;";",SMALL(IF(ISERROR(SEARCH(MID(";"&amp;'CASE DATA'!$F213&amp;";",ROW($1:$99),1),";")),"",ROW($1:$99)+1),COLUMN(H213)),SMALL(IF(ISERROR(SEARCH(MID(";"&amp;'CASE DATA'!$F213&amp;";",ROW($1:$99),1),";")),"",ROW($1:$99)),COLUMN(H212)+1)-SMALL(IF(ISERROR(SEARCH(MID(";"&amp;'CASE DATA'!$F213&amp;";",ROW($1:$99),1),";")),"",ROW($1:$99)),COLUMN(H212))-1)</f>
        <v/>
      </c>
      <c r="AF213" s="75" t="str" cm="1">
        <f t="array" ref="AF213">MID(";"&amp;'CASE DATA'!$F213&amp;";",SMALL(IF(ISERROR(SEARCH(MID(";"&amp;'CASE DATA'!$F213&amp;";",ROW($1:$99),1),";")),"",ROW($1:$99)+1),COLUMN(I213)),SMALL(IF(ISERROR(SEARCH(MID(";"&amp;'CASE DATA'!$F213&amp;";",ROW($1:$99),1),";")),"",ROW($1:$99)),COLUMN(I212)+1)-SMALL(IF(ISERROR(SEARCH(MID(";"&amp;'CASE DATA'!$F213&amp;";",ROW($1:$99),1),";")),"",ROW($1:$99)),COLUMN(I212))-1)</f>
        <v/>
      </c>
      <c r="AG213" s="75" t="str" cm="1">
        <f t="array" ref="AG213">MID(";"&amp;'CASE DATA'!$F213&amp;";",SMALL(IF(ISERROR(SEARCH(MID(";"&amp;'CASE DATA'!$F213&amp;";",ROW($1:$99),1),";")),"",ROW($1:$99)+1),COLUMN(K213)),SMALL(IF(ISERROR(SEARCH(MID(";"&amp;'CASE DATA'!$F213&amp;";",ROW($1:$99),1),";")),"",ROW($1:$99)),COLUMN(K212)+1)-SMALL(IF(ISERROR(SEARCH(MID(";"&amp;'CASE DATA'!$F213&amp;";",ROW($1:$99),1),";")),"",ROW($1:$99)),COLUMN(K212))-1)</f>
        <v/>
      </c>
      <c r="AH213" s="75" t="str" cm="1">
        <f t="array" ref="AH213">MID(";"&amp;'CASE DATA'!$F213&amp;";",SMALL(IF(ISERROR(SEARCH(MID(";"&amp;'CASE DATA'!$F213&amp;";",ROW($1:$99),1),";")),"",ROW($1:$99)+1),COLUMN(L213)),SMALL(IF(ISERROR(SEARCH(MID(";"&amp;'CASE DATA'!$F213&amp;";",ROW($1:$99),1),";")),"",ROW($1:$99)),COLUMN(L212)+1)-SMALL(IF(ISERROR(SEARCH(MID(";"&amp;'CASE DATA'!$F213&amp;";",ROW($1:$99),1),";")),"",ROW($1:$99)),COLUMN(L212))-1)</f>
        <v/>
      </c>
      <c r="AI213" s="75" t="str" cm="1">
        <f t="array" ref="AI213">MID(";"&amp;'CASE DATA'!$F213&amp;";",SMALL(IF(ISERROR(SEARCH(MID(";"&amp;'CASE DATA'!$F213&amp;";",ROW($1:$99),1),";")),"",ROW($1:$99)+1),COLUMN(M213)),SMALL(IF(ISERROR(SEARCH(MID(";"&amp;'CASE DATA'!$F213&amp;";",ROW($1:$99),1),";")),"",ROW($1:$99)),COLUMN(M212)+1)-SMALL(IF(ISERROR(SEARCH(MID(";"&amp;'CASE DATA'!$F213&amp;";",ROW($1:$99),1),";")),"",ROW($1:$99)),COLUMN(M212))-1)</f>
        <v/>
      </c>
      <c r="BO213" s="99"/>
      <c r="BP213" s="99"/>
      <c r="BQ213" s="99"/>
      <c r="BR213" s="99"/>
      <c r="BS213" s="99"/>
      <c r="BT213" s="99"/>
      <c r="BU213" s="99"/>
      <c r="BV213" s="99"/>
      <c r="BW213" s="99"/>
      <c r="BX213" s="99"/>
      <c r="BY213" s="99"/>
      <c r="BZ213" s="99"/>
      <c r="CA213" s="99"/>
      <c r="CB213" s="99"/>
      <c r="CC213" s="99"/>
      <c r="CD213" s="99"/>
      <c r="CE213" s="99"/>
      <c r="CF213" s="99"/>
      <c r="CG213" s="99"/>
      <c r="CH213" s="99"/>
      <c r="CI213" s="99"/>
      <c r="CJ213" s="99"/>
      <c r="CK213" s="99"/>
      <c r="CL213" s="99"/>
      <c r="CM213" s="99"/>
      <c r="CN213" s="99"/>
      <c r="CO213" s="99"/>
      <c r="CP213" s="99"/>
      <c r="CQ213" s="99"/>
      <c r="CR213" s="99"/>
      <c r="CS213" s="99"/>
      <c r="CT213" s="99"/>
      <c r="CU213" s="99"/>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99"/>
      <c r="EE213" s="99"/>
      <c r="EF213" s="99"/>
      <c r="EG213" s="99"/>
      <c r="EH213" s="99"/>
      <c r="EI213" s="99"/>
      <c r="EJ213" s="99"/>
      <c r="EK213" s="99"/>
      <c r="EL213" s="99"/>
      <c r="EM213" s="99"/>
      <c r="EN213" s="99"/>
      <c r="EO213" s="99"/>
      <c r="EP213" s="99"/>
      <c r="EQ213" s="99"/>
      <c r="ER213" s="99"/>
      <c r="ES213" s="99"/>
      <c r="ET213" s="99"/>
      <c r="EU213" s="99"/>
      <c r="EV213" s="99"/>
      <c r="EW213" s="99"/>
      <c r="EX213" s="99"/>
      <c r="EY213" s="99"/>
      <c r="EZ213" s="99"/>
      <c r="FA213" s="99"/>
      <c r="FB213" s="99"/>
      <c r="FC213" s="99"/>
      <c r="FD213" s="99"/>
      <c r="FE213" s="99"/>
      <c r="FF213" s="99"/>
      <c r="FG213" s="99"/>
      <c r="FH213" s="99"/>
      <c r="FI213" s="99"/>
      <c r="FJ213" s="99"/>
      <c r="FK213" s="99"/>
    </row>
    <row r="214" spans="3:167" x14ac:dyDescent="0.25">
      <c r="C214" s="10"/>
      <c r="D214" s="10"/>
      <c r="J214" s="99">
        <v>211</v>
      </c>
      <c r="K214" s="16"/>
      <c r="L214" s="16"/>
      <c r="M214" s="16"/>
      <c r="N214" s="16"/>
      <c r="O214" s="16"/>
      <c r="P214" s="16"/>
      <c r="Q214" s="16"/>
      <c r="R214" s="16"/>
      <c r="S214" s="16"/>
      <c r="T214" s="16"/>
      <c r="U214" s="14">
        <f>SUM(K214:T214)</f>
        <v>0</v>
      </c>
      <c r="V214" s="14"/>
      <c r="X214" s="75" t="str" cm="1">
        <f t="array" ref="X214">MID(";"&amp;'CASE DATA'!$F214&amp;";",SMALL(IF(ISERROR(SEARCH(MID(";"&amp;'CASE DATA'!$F214&amp;";",ROW($1:$99),1),";")),"",ROW($1:$99)+1),COLUMN(A214)),SMALL(IF(ISERROR(SEARCH(MID(";"&amp;'CASE DATA'!$F214&amp;";",ROW($1:$99),1),";")),"",ROW($1:$99)),COLUMN(A213)+1)-SMALL(IF(ISERROR(SEARCH(MID(";"&amp;'CASE DATA'!$F214&amp;";",ROW($1:$99),1),";")),"",ROW($1:$99)),COLUMN(A213))-1)</f>
        <v/>
      </c>
      <c r="Y214" s="75" t="str" cm="1">
        <f t="array" ref="Y214">MID(";"&amp;'CASE DATA'!$F214&amp;";",SMALL(IF(ISERROR(SEARCH(MID(";"&amp;'CASE DATA'!$F214&amp;";",ROW($1:$99),1),";")),"",ROW($1:$99)+1),COLUMN(B214)),SMALL(IF(ISERROR(SEARCH(MID(";"&amp;'CASE DATA'!$F214&amp;";",ROW($1:$99),1),";")),"",ROW($1:$99)),COLUMN(B213)+1)-SMALL(IF(ISERROR(SEARCH(MID(";"&amp;'CASE DATA'!$F214&amp;";",ROW($1:$99),1),";")),"",ROW($1:$99)),COLUMN(B213))-1)</f>
        <v/>
      </c>
      <c r="Z214" s="75" t="str" cm="1">
        <f t="array" ref="Z214">MID(";"&amp;'CASE DATA'!$F214&amp;";",SMALL(IF(ISERROR(SEARCH(MID(";"&amp;'CASE DATA'!$F214&amp;";",ROW($1:$99),1),";")),"",ROW($1:$99)+1),COLUMN(C214)),SMALL(IF(ISERROR(SEARCH(MID(";"&amp;'CASE DATA'!$F214&amp;";",ROW($1:$99),1),";")),"",ROW($1:$99)),COLUMN(C213)+1)-SMALL(IF(ISERROR(SEARCH(MID(";"&amp;'CASE DATA'!$F214&amp;";",ROW($1:$99),1),";")),"",ROW($1:$99)),COLUMN(C213))-1)</f>
        <v/>
      </c>
      <c r="AA214" s="75" t="str" cm="1">
        <f t="array" ref="AA214">MID(";"&amp;'CASE DATA'!$F214&amp;";",SMALL(IF(ISERROR(SEARCH(MID(";"&amp;'CASE DATA'!$F214&amp;";",ROW($1:$99),1),";")),"",ROW($1:$99)+1),COLUMN(D214)),SMALL(IF(ISERROR(SEARCH(MID(";"&amp;'CASE DATA'!$F214&amp;";",ROW($1:$99),1),";")),"",ROW($1:$99)),COLUMN(D213)+1)-SMALL(IF(ISERROR(SEARCH(MID(";"&amp;'CASE DATA'!$F214&amp;";",ROW($1:$99),1),";")),"",ROW($1:$99)),COLUMN(D213))-1)</f>
        <v/>
      </c>
      <c r="AB214" s="75" t="str" cm="1">
        <f t="array" ref="AB214">MID(";"&amp;'CASE DATA'!$F214&amp;";",SMALL(IF(ISERROR(SEARCH(MID(";"&amp;'CASE DATA'!$F214&amp;";",ROW($1:$99),1),";")),"",ROW($1:$99)+1),COLUMN(E214)),SMALL(IF(ISERROR(SEARCH(MID(";"&amp;'CASE DATA'!$F214&amp;";",ROW($1:$99),1),";")),"",ROW($1:$99)),COLUMN(E213)+1)-SMALL(IF(ISERROR(SEARCH(MID(";"&amp;'CASE DATA'!$F214&amp;";",ROW($1:$99),1),";")),"",ROW($1:$99)),COLUMN(E213))-1)</f>
        <v/>
      </c>
      <c r="AC214" s="75" t="str" cm="1">
        <f t="array" ref="AC214">MID(";"&amp;'CASE DATA'!$F214&amp;";",SMALL(IF(ISERROR(SEARCH(MID(";"&amp;'CASE DATA'!$F214&amp;";",ROW($1:$99),1),";")),"",ROW($1:$99)+1),COLUMN(F214)),SMALL(IF(ISERROR(SEARCH(MID(";"&amp;'CASE DATA'!$F214&amp;";",ROW($1:$99),1),";")),"",ROW($1:$99)),COLUMN(F213)+1)-SMALL(IF(ISERROR(SEARCH(MID(";"&amp;'CASE DATA'!$F214&amp;";",ROW($1:$99),1),";")),"",ROW($1:$99)),COLUMN(F213))-1)</f>
        <v/>
      </c>
      <c r="AD214" s="75" t="str" cm="1">
        <f t="array" ref="AD214">MID(";"&amp;'CASE DATA'!$F214&amp;";",SMALL(IF(ISERROR(SEARCH(MID(";"&amp;'CASE DATA'!$F214&amp;";",ROW($1:$99),1),";")),"",ROW($1:$99)+1),COLUMN(G214)),SMALL(IF(ISERROR(SEARCH(MID(";"&amp;'CASE DATA'!$F214&amp;";",ROW($1:$99),1),";")),"",ROW($1:$99)),COLUMN(G213)+1)-SMALL(IF(ISERROR(SEARCH(MID(";"&amp;'CASE DATA'!$F214&amp;";",ROW($1:$99),1),";")),"",ROW($1:$99)),COLUMN(G213))-1)</f>
        <v/>
      </c>
      <c r="AE214" s="75" t="str" cm="1">
        <f t="array" ref="AE214">MID(";"&amp;'CASE DATA'!$F214&amp;";",SMALL(IF(ISERROR(SEARCH(MID(";"&amp;'CASE DATA'!$F214&amp;";",ROW($1:$99),1),";")),"",ROW($1:$99)+1),COLUMN(H214)),SMALL(IF(ISERROR(SEARCH(MID(";"&amp;'CASE DATA'!$F214&amp;";",ROW($1:$99),1),";")),"",ROW($1:$99)),COLUMN(H213)+1)-SMALL(IF(ISERROR(SEARCH(MID(";"&amp;'CASE DATA'!$F214&amp;";",ROW($1:$99),1),";")),"",ROW($1:$99)),COLUMN(H213))-1)</f>
        <v/>
      </c>
      <c r="AF214" s="75" t="str" cm="1">
        <f t="array" ref="AF214">MID(";"&amp;'CASE DATA'!$F214&amp;";",SMALL(IF(ISERROR(SEARCH(MID(";"&amp;'CASE DATA'!$F214&amp;";",ROW($1:$99),1),";")),"",ROW($1:$99)+1),COLUMN(I214)),SMALL(IF(ISERROR(SEARCH(MID(";"&amp;'CASE DATA'!$F214&amp;";",ROW($1:$99),1),";")),"",ROW($1:$99)),COLUMN(I213)+1)-SMALL(IF(ISERROR(SEARCH(MID(";"&amp;'CASE DATA'!$F214&amp;";",ROW($1:$99),1),";")),"",ROW($1:$99)),COLUMN(I213))-1)</f>
        <v/>
      </c>
      <c r="AG214" s="75" t="str" cm="1">
        <f t="array" ref="AG214">MID(";"&amp;'CASE DATA'!$F214&amp;";",SMALL(IF(ISERROR(SEARCH(MID(";"&amp;'CASE DATA'!$F214&amp;";",ROW($1:$99),1),";")),"",ROW($1:$99)+1),COLUMN(K214)),SMALL(IF(ISERROR(SEARCH(MID(";"&amp;'CASE DATA'!$F214&amp;";",ROW($1:$99),1),";")),"",ROW($1:$99)),COLUMN(K213)+1)-SMALL(IF(ISERROR(SEARCH(MID(";"&amp;'CASE DATA'!$F214&amp;";",ROW($1:$99),1),";")),"",ROW($1:$99)),COLUMN(K213))-1)</f>
        <v/>
      </c>
      <c r="AH214" s="75" t="str" cm="1">
        <f t="array" ref="AH214">MID(";"&amp;'CASE DATA'!$F214&amp;";",SMALL(IF(ISERROR(SEARCH(MID(";"&amp;'CASE DATA'!$F214&amp;";",ROW($1:$99),1),";")),"",ROW($1:$99)+1),COLUMN(L214)),SMALL(IF(ISERROR(SEARCH(MID(";"&amp;'CASE DATA'!$F214&amp;";",ROW($1:$99),1),";")),"",ROW($1:$99)),COLUMN(L213)+1)-SMALL(IF(ISERROR(SEARCH(MID(";"&amp;'CASE DATA'!$F214&amp;";",ROW($1:$99),1),";")),"",ROW($1:$99)),COLUMN(L213))-1)</f>
        <v/>
      </c>
      <c r="AI214" s="75" t="str" cm="1">
        <f t="array" ref="AI214">MID(";"&amp;'CASE DATA'!$F214&amp;";",SMALL(IF(ISERROR(SEARCH(MID(";"&amp;'CASE DATA'!$F214&amp;";",ROW($1:$99),1),";")),"",ROW($1:$99)+1),COLUMN(M214)),SMALL(IF(ISERROR(SEARCH(MID(";"&amp;'CASE DATA'!$F214&amp;";",ROW($1:$99),1),";")),"",ROW($1:$99)),COLUMN(M213)+1)-SMALL(IF(ISERROR(SEARCH(MID(";"&amp;'CASE DATA'!$F214&amp;";",ROW($1:$99),1),";")),"",ROW($1:$99)),COLUMN(M213))-1)</f>
        <v/>
      </c>
      <c r="BO214" s="99"/>
      <c r="BP214" s="99"/>
      <c r="BQ214" s="99"/>
      <c r="BR214" s="99"/>
      <c r="BS214" s="99"/>
      <c r="BT214" s="99"/>
      <c r="BU214" s="99"/>
      <c r="BV214" s="99"/>
      <c r="BW214" s="99"/>
      <c r="BX214" s="99"/>
      <c r="BY214" s="99"/>
      <c r="BZ214" s="99"/>
      <c r="CA214" s="99"/>
      <c r="CB214" s="99"/>
      <c r="CC214" s="99"/>
      <c r="CD214" s="99"/>
      <c r="CE214" s="99"/>
      <c r="CF214" s="99"/>
      <c r="CG214" s="99"/>
      <c r="CH214" s="99"/>
      <c r="CI214" s="99"/>
      <c r="CJ214" s="99"/>
      <c r="CK214" s="99"/>
      <c r="CL214" s="99"/>
      <c r="CM214" s="99"/>
      <c r="CN214" s="99"/>
      <c r="CO214" s="99"/>
      <c r="CP214" s="99"/>
      <c r="CQ214" s="99"/>
      <c r="CR214" s="99"/>
      <c r="CS214" s="99"/>
      <c r="CT214" s="99"/>
      <c r="CU214" s="99"/>
      <c r="CV214" s="99"/>
      <c r="CW214" s="99"/>
      <c r="CX214" s="99"/>
      <c r="CY214" s="99"/>
      <c r="CZ214" s="99"/>
      <c r="DA214" s="99"/>
      <c r="DB214" s="99"/>
      <c r="DC214" s="99"/>
      <c r="DD214" s="99"/>
      <c r="DE214" s="99"/>
      <c r="DF214" s="99"/>
      <c r="DG214" s="99"/>
      <c r="DH214" s="99"/>
      <c r="DI214" s="99"/>
      <c r="DJ214" s="99"/>
      <c r="DK214" s="99"/>
      <c r="DL214" s="99"/>
      <c r="DM214" s="99"/>
      <c r="DN214" s="99"/>
      <c r="DO214" s="99"/>
      <c r="DP214" s="99"/>
      <c r="DQ214" s="99"/>
      <c r="DR214" s="99"/>
      <c r="DS214" s="99"/>
      <c r="DT214" s="99"/>
      <c r="DU214" s="99"/>
      <c r="DV214" s="99"/>
      <c r="DW214" s="99"/>
      <c r="DX214" s="99"/>
      <c r="DY214" s="99"/>
      <c r="DZ214" s="99"/>
      <c r="EA214" s="99"/>
      <c r="EB214" s="99"/>
      <c r="EC214" s="99"/>
      <c r="ED214" s="99"/>
      <c r="EE214" s="99"/>
      <c r="EF214" s="99"/>
      <c r="EG214" s="99"/>
      <c r="EH214" s="99"/>
      <c r="EI214" s="99"/>
      <c r="EJ214" s="99"/>
      <c r="EK214" s="99"/>
      <c r="EL214" s="99"/>
      <c r="EM214" s="99"/>
      <c r="EN214" s="99"/>
      <c r="EO214" s="99"/>
      <c r="EP214" s="99"/>
      <c r="EQ214" s="99"/>
      <c r="ER214" s="99"/>
      <c r="ES214" s="99"/>
      <c r="ET214" s="99"/>
      <c r="EU214" s="99"/>
      <c r="EV214" s="99"/>
      <c r="EW214" s="99"/>
      <c r="EX214" s="99"/>
      <c r="EY214" s="99"/>
      <c r="EZ214" s="99"/>
      <c r="FA214" s="99"/>
      <c r="FB214" s="99"/>
      <c r="FC214" s="99"/>
      <c r="FD214" s="99"/>
      <c r="FE214" s="99"/>
      <c r="FF214" s="99"/>
      <c r="FG214" s="99"/>
      <c r="FH214" s="99"/>
      <c r="FI214" s="99"/>
      <c r="FJ214" s="99"/>
      <c r="FK214" s="99"/>
    </row>
    <row r="215" spans="3:167" x14ac:dyDescent="0.25">
      <c r="C215" s="10"/>
      <c r="D215" s="10"/>
      <c r="J215" s="99">
        <v>212</v>
      </c>
      <c r="K215" s="16"/>
      <c r="L215" s="16"/>
      <c r="M215" s="16"/>
      <c r="N215" s="16"/>
      <c r="O215" s="16"/>
      <c r="P215" s="16"/>
      <c r="Q215" s="16"/>
      <c r="R215" s="16"/>
      <c r="S215" s="16"/>
      <c r="T215" s="16"/>
      <c r="U215" s="14">
        <f>SUM(K215:T215)</f>
        <v>0</v>
      </c>
      <c r="V215" s="14"/>
      <c r="X215" s="75" t="str" cm="1">
        <f t="array" ref="X215">MID(";"&amp;'CASE DATA'!$F215&amp;";",SMALL(IF(ISERROR(SEARCH(MID(";"&amp;'CASE DATA'!$F215&amp;";",ROW($1:$99),1),";")),"",ROW($1:$99)+1),COLUMN(A215)),SMALL(IF(ISERROR(SEARCH(MID(";"&amp;'CASE DATA'!$F215&amp;";",ROW($1:$99),1),";")),"",ROW($1:$99)),COLUMN(A214)+1)-SMALL(IF(ISERROR(SEARCH(MID(";"&amp;'CASE DATA'!$F215&amp;";",ROW($1:$99),1),";")),"",ROW($1:$99)),COLUMN(A214))-1)</f>
        <v/>
      </c>
      <c r="Y215" s="75" t="str" cm="1">
        <f t="array" ref="Y215">MID(";"&amp;'CASE DATA'!$F215&amp;";",SMALL(IF(ISERROR(SEARCH(MID(";"&amp;'CASE DATA'!$F215&amp;";",ROW($1:$99),1),";")),"",ROW($1:$99)+1),COLUMN(B215)),SMALL(IF(ISERROR(SEARCH(MID(";"&amp;'CASE DATA'!$F215&amp;";",ROW($1:$99),1),";")),"",ROW($1:$99)),COLUMN(B214)+1)-SMALL(IF(ISERROR(SEARCH(MID(";"&amp;'CASE DATA'!$F215&amp;";",ROW($1:$99),1),";")),"",ROW($1:$99)),COLUMN(B214))-1)</f>
        <v/>
      </c>
      <c r="Z215" s="75" t="str" cm="1">
        <f t="array" ref="Z215">MID(";"&amp;'CASE DATA'!$F215&amp;";",SMALL(IF(ISERROR(SEARCH(MID(";"&amp;'CASE DATA'!$F215&amp;";",ROW($1:$99),1),";")),"",ROW($1:$99)+1),COLUMN(C215)),SMALL(IF(ISERROR(SEARCH(MID(";"&amp;'CASE DATA'!$F215&amp;";",ROW($1:$99),1),";")),"",ROW($1:$99)),COLUMN(C214)+1)-SMALL(IF(ISERROR(SEARCH(MID(";"&amp;'CASE DATA'!$F215&amp;";",ROW($1:$99),1),";")),"",ROW($1:$99)),COLUMN(C214))-1)</f>
        <v/>
      </c>
      <c r="AA215" s="75" t="str" cm="1">
        <f t="array" ref="AA215">MID(";"&amp;'CASE DATA'!$F215&amp;";",SMALL(IF(ISERROR(SEARCH(MID(";"&amp;'CASE DATA'!$F215&amp;";",ROW($1:$99),1),";")),"",ROW($1:$99)+1),COLUMN(D215)),SMALL(IF(ISERROR(SEARCH(MID(";"&amp;'CASE DATA'!$F215&amp;";",ROW($1:$99),1),";")),"",ROW($1:$99)),COLUMN(D214)+1)-SMALL(IF(ISERROR(SEARCH(MID(";"&amp;'CASE DATA'!$F215&amp;";",ROW($1:$99),1),";")),"",ROW($1:$99)),COLUMN(D214))-1)</f>
        <v/>
      </c>
      <c r="AB215" s="75" t="str" cm="1">
        <f t="array" ref="AB215">MID(";"&amp;'CASE DATA'!$F215&amp;";",SMALL(IF(ISERROR(SEARCH(MID(";"&amp;'CASE DATA'!$F215&amp;";",ROW($1:$99),1),";")),"",ROW($1:$99)+1),COLUMN(E215)),SMALL(IF(ISERROR(SEARCH(MID(";"&amp;'CASE DATA'!$F215&amp;";",ROW($1:$99),1),";")),"",ROW($1:$99)),COLUMN(E214)+1)-SMALL(IF(ISERROR(SEARCH(MID(";"&amp;'CASE DATA'!$F215&amp;";",ROW($1:$99),1),";")),"",ROW($1:$99)),COLUMN(E214))-1)</f>
        <v/>
      </c>
      <c r="AC215" s="75" t="str" cm="1">
        <f t="array" ref="AC215">MID(";"&amp;'CASE DATA'!$F215&amp;";",SMALL(IF(ISERROR(SEARCH(MID(";"&amp;'CASE DATA'!$F215&amp;";",ROW($1:$99),1),";")),"",ROW($1:$99)+1),COLUMN(F215)),SMALL(IF(ISERROR(SEARCH(MID(";"&amp;'CASE DATA'!$F215&amp;";",ROW($1:$99),1),";")),"",ROW($1:$99)),COLUMN(F214)+1)-SMALL(IF(ISERROR(SEARCH(MID(";"&amp;'CASE DATA'!$F215&amp;";",ROW($1:$99),1),";")),"",ROW($1:$99)),COLUMN(F214))-1)</f>
        <v/>
      </c>
      <c r="AD215" s="75" t="str" cm="1">
        <f t="array" ref="AD215">MID(";"&amp;'CASE DATA'!$F215&amp;";",SMALL(IF(ISERROR(SEARCH(MID(";"&amp;'CASE DATA'!$F215&amp;";",ROW($1:$99),1),";")),"",ROW($1:$99)+1),COLUMN(G215)),SMALL(IF(ISERROR(SEARCH(MID(";"&amp;'CASE DATA'!$F215&amp;";",ROW($1:$99),1),";")),"",ROW($1:$99)),COLUMN(G214)+1)-SMALL(IF(ISERROR(SEARCH(MID(";"&amp;'CASE DATA'!$F215&amp;";",ROW($1:$99),1),";")),"",ROW($1:$99)),COLUMN(G214))-1)</f>
        <v/>
      </c>
      <c r="AE215" s="75" t="str" cm="1">
        <f t="array" ref="AE215">MID(";"&amp;'CASE DATA'!$F215&amp;";",SMALL(IF(ISERROR(SEARCH(MID(";"&amp;'CASE DATA'!$F215&amp;";",ROW($1:$99),1),";")),"",ROW($1:$99)+1),COLUMN(H215)),SMALL(IF(ISERROR(SEARCH(MID(";"&amp;'CASE DATA'!$F215&amp;";",ROW($1:$99),1),";")),"",ROW($1:$99)),COLUMN(H214)+1)-SMALL(IF(ISERROR(SEARCH(MID(";"&amp;'CASE DATA'!$F215&amp;";",ROW($1:$99),1),";")),"",ROW($1:$99)),COLUMN(H214))-1)</f>
        <v/>
      </c>
      <c r="AF215" s="75" t="str" cm="1">
        <f t="array" ref="AF215">MID(";"&amp;'CASE DATA'!$F215&amp;";",SMALL(IF(ISERROR(SEARCH(MID(";"&amp;'CASE DATA'!$F215&amp;";",ROW($1:$99),1),";")),"",ROW($1:$99)+1),COLUMN(I215)),SMALL(IF(ISERROR(SEARCH(MID(";"&amp;'CASE DATA'!$F215&amp;";",ROW($1:$99),1),";")),"",ROW($1:$99)),COLUMN(I214)+1)-SMALL(IF(ISERROR(SEARCH(MID(";"&amp;'CASE DATA'!$F215&amp;";",ROW($1:$99),1),";")),"",ROW($1:$99)),COLUMN(I214))-1)</f>
        <v/>
      </c>
      <c r="AG215" s="75" t="str" cm="1">
        <f t="array" ref="AG215">MID(";"&amp;'CASE DATA'!$F215&amp;";",SMALL(IF(ISERROR(SEARCH(MID(";"&amp;'CASE DATA'!$F215&amp;";",ROW($1:$99),1),";")),"",ROW($1:$99)+1),COLUMN(K215)),SMALL(IF(ISERROR(SEARCH(MID(";"&amp;'CASE DATA'!$F215&amp;";",ROW($1:$99),1),";")),"",ROW($1:$99)),COLUMN(K214)+1)-SMALL(IF(ISERROR(SEARCH(MID(";"&amp;'CASE DATA'!$F215&amp;";",ROW($1:$99),1),";")),"",ROW($1:$99)),COLUMN(K214))-1)</f>
        <v/>
      </c>
      <c r="AH215" s="75" t="str" cm="1">
        <f t="array" ref="AH215">MID(";"&amp;'CASE DATA'!$F215&amp;";",SMALL(IF(ISERROR(SEARCH(MID(";"&amp;'CASE DATA'!$F215&amp;";",ROW($1:$99),1),";")),"",ROW($1:$99)+1),COLUMN(L215)),SMALL(IF(ISERROR(SEARCH(MID(";"&amp;'CASE DATA'!$F215&amp;";",ROW($1:$99),1),";")),"",ROW($1:$99)),COLUMN(L214)+1)-SMALL(IF(ISERROR(SEARCH(MID(";"&amp;'CASE DATA'!$F215&amp;";",ROW($1:$99),1),";")),"",ROW($1:$99)),COLUMN(L214))-1)</f>
        <v/>
      </c>
      <c r="AI215" s="75" t="str" cm="1">
        <f t="array" ref="AI215">MID(";"&amp;'CASE DATA'!$F215&amp;";",SMALL(IF(ISERROR(SEARCH(MID(";"&amp;'CASE DATA'!$F215&amp;";",ROW($1:$99),1),";")),"",ROW($1:$99)+1),COLUMN(M215)),SMALL(IF(ISERROR(SEARCH(MID(";"&amp;'CASE DATA'!$F215&amp;";",ROW($1:$99),1),";")),"",ROW($1:$99)),COLUMN(M214)+1)-SMALL(IF(ISERROR(SEARCH(MID(";"&amp;'CASE DATA'!$F215&amp;";",ROW($1:$99),1),";")),"",ROW($1:$99)),COLUMN(M214))-1)</f>
        <v/>
      </c>
      <c r="BO215" s="99"/>
      <c r="BP215" s="99"/>
      <c r="BQ215" s="99"/>
      <c r="BR215" s="99"/>
      <c r="BS215" s="99"/>
      <c r="BT215" s="99"/>
      <c r="BU215" s="99"/>
      <c r="BV215" s="99"/>
      <c r="BW215" s="99"/>
      <c r="BX215" s="99"/>
      <c r="BY215" s="99"/>
      <c r="BZ215" s="99"/>
      <c r="CA215" s="99"/>
      <c r="CB215" s="99"/>
      <c r="CC215" s="99"/>
      <c r="CD215" s="99"/>
      <c r="CE215" s="99"/>
      <c r="CF215" s="99"/>
      <c r="CG215" s="99"/>
      <c r="CH215" s="99"/>
      <c r="CI215" s="99"/>
      <c r="CJ215" s="99"/>
      <c r="CK215" s="99"/>
      <c r="CL215" s="99"/>
      <c r="CM215" s="99"/>
      <c r="CN215" s="99"/>
      <c r="CO215" s="99"/>
      <c r="CP215" s="99"/>
      <c r="CQ215" s="99"/>
      <c r="CR215" s="99"/>
      <c r="CS215" s="99"/>
      <c r="CT215" s="99"/>
      <c r="CU215" s="99"/>
      <c r="CV215" s="99"/>
      <c r="CW215" s="99"/>
      <c r="CX215" s="99"/>
      <c r="CY215" s="99"/>
      <c r="CZ215" s="99"/>
      <c r="DA215" s="99"/>
      <c r="DB215" s="99"/>
      <c r="DC215" s="99"/>
      <c r="DD215" s="99"/>
      <c r="DE215" s="99"/>
      <c r="DF215" s="99"/>
      <c r="DG215" s="99"/>
      <c r="DH215" s="99"/>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99"/>
      <c r="EE215" s="99"/>
      <c r="EF215" s="99"/>
      <c r="EG215" s="99"/>
      <c r="EH215" s="99"/>
      <c r="EI215" s="99"/>
      <c r="EJ215" s="99"/>
      <c r="EK215" s="99"/>
      <c r="EL215" s="99"/>
      <c r="EM215" s="99"/>
      <c r="EN215" s="99"/>
      <c r="EO215" s="99"/>
      <c r="EP215" s="99"/>
      <c r="EQ215" s="99"/>
      <c r="ER215" s="99"/>
      <c r="ES215" s="99"/>
      <c r="ET215" s="99"/>
      <c r="EU215" s="99"/>
      <c r="EV215" s="99"/>
      <c r="EW215" s="99"/>
      <c r="EX215" s="99"/>
      <c r="EY215" s="99"/>
      <c r="EZ215" s="99"/>
      <c r="FA215" s="99"/>
      <c r="FB215" s="99"/>
      <c r="FC215" s="99"/>
      <c r="FD215" s="99"/>
      <c r="FE215" s="99"/>
      <c r="FF215" s="99"/>
      <c r="FG215" s="99"/>
      <c r="FH215" s="99"/>
      <c r="FI215" s="99"/>
      <c r="FJ215" s="99"/>
      <c r="FK215" s="99"/>
    </row>
    <row r="216" spans="3:167" x14ac:dyDescent="0.25">
      <c r="C216" s="10"/>
      <c r="D216" s="10"/>
      <c r="J216" s="99">
        <v>213</v>
      </c>
      <c r="K216" s="16"/>
      <c r="L216" s="16"/>
      <c r="M216" s="16"/>
      <c r="N216" s="16"/>
      <c r="O216" s="16"/>
      <c r="P216" s="16"/>
      <c r="Q216" s="16"/>
      <c r="R216" s="16"/>
      <c r="S216" s="16"/>
      <c r="T216" s="16"/>
      <c r="U216" s="14">
        <f>SUM(K216:T216)</f>
        <v>0</v>
      </c>
      <c r="V216" s="14"/>
      <c r="X216" s="75" t="str" cm="1">
        <f t="array" ref="X216">MID(";"&amp;'CASE DATA'!$F216&amp;";",SMALL(IF(ISERROR(SEARCH(MID(";"&amp;'CASE DATA'!$F216&amp;";",ROW($1:$99),1),";")),"",ROW($1:$99)+1),COLUMN(A216)),SMALL(IF(ISERROR(SEARCH(MID(";"&amp;'CASE DATA'!$F216&amp;";",ROW($1:$99),1),";")),"",ROW($1:$99)),COLUMN(A215)+1)-SMALL(IF(ISERROR(SEARCH(MID(";"&amp;'CASE DATA'!$F216&amp;";",ROW($1:$99),1),";")),"",ROW($1:$99)),COLUMN(A215))-1)</f>
        <v/>
      </c>
      <c r="Y216" s="75" t="str" cm="1">
        <f t="array" ref="Y216">MID(";"&amp;'CASE DATA'!$F216&amp;";",SMALL(IF(ISERROR(SEARCH(MID(";"&amp;'CASE DATA'!$F216&amp;";",ROW($1:$99),1),";")),"",ROW($1:$99)+1),COLUMN(B216)),SMALL(IF(ISERROR(SEARCH(MID(";"&amp;'CASE DATA'!$F216&amp;";",ROW($1:$99),1),";")),"",ROW($1:$99)),COLUMN(B215)+1)-SMALL(IF(ISERROR(SEARCH(MID(";"&amp;'CASE DATA'!$F216&amp;";",ROW($1:$99),1),";")),"",ROW($1:$99)),COLUMN(B215))-1)</f>
        <v/>
      </c>
      <c r="Z216" s="75" t="str" cm="1">
        <f t="array" ref="Z216">MID(";"&amp;'CASE DATA'!$F216&amp;";",SMALL(IF(ISERROR(SEARCH(MID(";"&amp;'CASE DATA'!$F216&amp;";",ROW($1:$99),1),";")),"",ROW($1:$99)+1),COLUMN(C216)),SMALL(IF(ISERROR(SEARCH(MID(";"&amp;'CASE DATA'!$F216&amp;";",ROW($1:$99),1),";")),"",ROW($1:$99)),COLUMN(C215)+1)-SMALL(IF(ISERROR(SEARCH(MID(";"&amp;'CASE DATA'!$F216&amp;";",ROW($1:$99),1),";")),"",ROW($1:$99)),COLUMN(C215))-1)</f>
        <v/>
      </c>
      <c r="AA216" s="75" t="str" cm="1">
        <f t="array" ref="AA216">MID(";"&amp;'CASE DATA'!$F216&amp;";",SMALL(IF(ISERROR(SEARCH(MID(";"&amp;'CASE DATA'!$F216&amp;";",ROW($1:$99),1),";")),"",ROW($1:$99)+1),COLUMN(D216)),SMALL(IF(ISERROR(SEARCH(MID(";"&amp;'CASE DATA'!$F216&amp;";",ROW($1:$99),1),";")),"",ROW($1:$99)),COLUMN(D215)+1)-SMALL(IF(ISERROR(SEARCH(MID(";"&amp;'CASE DATA'!$F216&amp;";",ROW($1:$99),1),";")),"",ROW($1:$99)),COLUMN(D215))-1)</f>
        <v/>
      </c>
      <c r="AB216" s="75" t="str" cm="1">
        <f t="array" ref="AB216">MID(";"&amp;'CASE DATA'!$F216&amp;";",SMALL(IF(ISERROR(SEARCH(MID(";"&amp;'CASE DATA'!$F216&amp;";",ROW($1:$99),1),";")),"",ROW($1:$99)+1),COLUMN(E216)),SMALL(IF(ISERROR(SEARCH(MID(";"&amp;'CASE DATA'!$F216&amp;";",ROW($1:$99),1),";")),"",ROW($1:$99)),COLUMN(E215)+1)-SMALL(IF(ISERROR(SEARCH(MID(";"&amp;'CASE DATA'!$F216&amp;";",ROW($1:$99),1),";")),"",ROW($1:$99)),COLUMN(E215))-1)</f>
        <v/>
      </c>
      <c r="AC216" s="75" t="str" cm="1">
        <f t="array" ref="AC216">MID(";"&amp;'CASE DATA'!$F216&amp;";",SMALL(IF(ISERROR(SEARCH(MID(";"&amp;'CASE DATA'!$F216&amp;";",ROW($1:$99),1),";")),"",ROW($1:$99)+1),COLUMN(F216)),SMALL(IF(ISERROR(SEARCH(MID(";"&amp;'CASE DATA'!$F216&amp;";",ROW($1:$99),1),";")),"",ROW($1:$99)),COLUMN(F215)+1)-SMALL(IF(ISERROR(SEARCH(MID(";"&amp;'CASE DATA'!$F216&amp;";",ROW($1:$99),1),";")),"",ROW($1:$99)),COLUMN(F215))-1)</f>
        <v/>
      </c>
      <c r="AD216" s="75" t="str" cm="1">
        <f t="array" ref="AD216">MID(";"&amp;'CASE DATA'!$F216&amp;";",SMALL(IF(ISERROR(SEARCH(MID(";"&amp;'CASE DATA'!$F216&amp;";",ROW($1:$99),1),";")),"",ROW($1:$99)+1),COLUMN(G216)),SMALL(IF(ISERROR(SEARCH(MID(";"&amp;'CASE DATA'!$F216&amp;";",ROW($1:$99),1),";")),"",ROW($1:$99)),COLUMN(G215)+1)-SMALL(IF(ISERROR(SEARCH(MID(";"&amp;'CASE DATA'!$F216&amp;";",ROW($1:$99),1),";")),"",ROW($1:$99)),COLUMN(G215))-1)</f>
        <v/>
      </c>
      <c r="AE216" s="75" t="str" cm="1">
        <f t="array" ref="AE216">MID(";"&amp;'CASE DATA'!$F216&amp;";",SMALL(IF(ISERROR(SEARCH(MID(";"&amp;'CASE DATA'!$F216&amp;";",ROW($1:$99),1),";")),"",ROW($1:$99)+1),COLUMN(H216)),SMALL(IF(ISERROR(SEARCH(MID(";"&amp;'CASE DATA'!$F216&amp;";",ROW($1:$99),1),";")),"",ROW($1:$99)),COLUMN(H215)+1)-SMALL(IF(ISERROR(SEARCH(MID(";"&amp;'CASE DATA'!$F216&amp;";",ROW($1:$99),1),";")),"",ROW($1:$99)),COLUMN(H215))-1)</f>
        <v/>
      </c>
      <c r="AF216" s="75" t="str" cm="1">
        <f t="array" ref="AF216">MID(";"&amp;'CASE DATA'!$F216&amp;";",SMALL(IF(ISERROR(SEARCH(MID(";"&amp;'CASE DATA'!$F216&amp;";",ROW($1:$99),1),";")),"",ROW($1:$99)+1),COLUMN(I216)),SMALL(IF(ISERROR(SEARCH(MID(";"&amp;'CASE DATA'!$F216&amp;";",ROW($1:$99),1),";")),"",ROW($1:$99)),COLUMN(I215)+1)-SMALL(IF(ISERROR(SEARCH(MID(";"&amp;'CASE DATA'!$F216&amp;";",ROW($1:$99),1),";")),"",ROW($1:$99)),COLUMN(I215))-1)</f>
        <v/>
      </c>
      <c r="AG216" s="75" t="str" cm="1">
        <f t="array" ref="AG216">MID(";"&amp;'CASE DATA'!$F216&amp;";",SMALL(IF(ISERROR(SEARCH(MID(";"&amp;'CASE DATA'!$F216&amp;";",ROW($1:$99),1),";")),"",ROW($1:$99)+1),COLUMN(K216)),SMALL(IF(ISERROR(SEARCH(MID(";"&amp;'CASE DATA'!$F216&amp;";",ROW($1:$99),1),";")),"",ROW($1:$99)),COLUMN(K215)+1)-SMALL(IF(ISERROR(SEARCH(MID(";"&amp;'CASE DATA'!$F216&amp;";",ROW($1:$99),1),";")),"",ROW($1:$99)),COLUMN(K215))-1)</f>
        <v/>
      </c>
      <c r="AH216" s="75" t="str" cm="1">
        <f t="array" ref="AH216">MID(";"&amp;'CASE DATA'!$F216&amp;";",SMALL(IF(ISERROR(SEARCH(MID(";"&amp;'CASE DATA'!$F216&amp;";",ROW($1:$99),1),";")),"",ROW($1:$99)+1),COLUMN(L216)),SMALL(IF(ISERROR(SEARCH(MID(";"&amp;'CASE DATA'!$F216&amp;";",ROW($1:$99),1),";")),"",ROW($1:$99)),COLUMN(L215)+1)-SMALL(IF(ISERROR(SEARCH(MID(";"&amp;'CASE DATA'!$F216&amp;";",ROW($1:$99),1),";")),"",ROW($1:$99)),COLUMN(L215))-1)</f>
        <v/>
      </c>
      <c r="AI216" s="75" t="str" cm="1">
        <f t="array" ref="AI216">MID(";"&amp;'CASE DATA'!$F216&amp;";",SMALL(IF(ISERROR(SEARCH(MID(";"&amp;'CASE DATA'!$F216&amp;";",ROW($1:$99),1),";")),"",ROW($1:$99)+1),COLUMN(M216)),SMALL(IF(ISERROR(SEARCH(MID(";"&amp;'CASE DATA'!$F216&amp;";",ROW($1:$99),1),";")),"",ROW($1:$99)),COLUMN(M215)+1)-SMALL(IF(ISERROR(SEARCH(MID(";"&amp;'CASE DATA'!$F216&amp;";",ROW($1:$99),1),";")),"",ROW($1:$99)),COLUMN(M215))-1)</f>
        <v/>
      </c>
      <c r="BO216" s="99"/>
      <c r="BP216" s="99"/>
      <c r="BQ216" s="99"/>
      <c r="BR216" s="99"/>
      <c r="BS216" s="99"/>
      <c r="BT216" s="99"/>
      <c r="BU216" s="99"/>
      <c r="BV216" s="99"/>
      <c r="BW216" s="99"/>
      <c r="BX216" s="99"/>
      <c r="BY216" s="99"/>
      <c r="BZ216" s="99"/>
      <c r="CA216" s="99"/>
      <c r="CB216" s="99"/>
      <c r="CC216" s="99"/>
      <c r="CD216" s="99"/>
      <c r="CE216" s="99"/>
      <c r="CF216" s="99"/>
      <c r="CG216" s="99"/>
      <c r="CH216" s="99"/>
      <c r="CI216" s="99"/>
      <c r="CJ216" s="99"/>
      <c r="CK216" s="99"/>
      <c r="CL216" s="99"/>
      <c r="CM216" s="99"/>
      <c r="CN216" s="99"/>
      <c r="CO216" s="99"/>
      <c r="CP216" s="99"/>
      <c r="CQ216" s="99"/>
      <c r="CR216" s="99"/>
      <c r="CS216" s="99"/>
      <c r="CT216" s="99"/>
      <c r="CU216" s="99"/>
      <c r="CV216" s="99"/>
      <c r="CW216" s="99"/>
      <c r="CX216" s="99"/>
      <c r="CY216" s="99"/>
      <c r="CZ216" s="99"/>
      <c r="DA216" s="99"/>
      <c r="DB216" s="99"/>
      <c r="DC216" s="99"/>
      <c r="DD216" s="99"/>
      <c r="DE216" s="99"/>
      <c r="DF216" s="99"/>
      <c r="DG216" s="99"/>
      <c r="DH216" s="99"/>
      <c r="DI216" s="99"/>
      <c r="DJ216" s="99"/>
      <c r="DK216" s="99"/>
      <c r="DL216" s="99"/>
      <c r="DM216" s="99"/>
      <c r="DN216" s="99"/>
      <c r="DO216" s="99"/>
      <c r="DP216" s="99"/>
      <c r="DQ216" s="99"/>
      <c r="DR216" s="99"/>
      <c r="DS216" s="99"/>
      <c r="DT216" s="99"/>
      <c r="DU216" s="99"/>
      <c r="DV216" s="99"/>
      <c r="DW216" s="99"/>
      <c r="DX216" s="99"/>
      <c r="DY216" s="99"/>
      <c r="DZ216" s="99"/>
      <c r="EA216" s="99"/>
      <c r="EB216" s="99"/>
      <c r="EC216" s="99"/>
      <c r="ED216" s="99"/>
      <c r="EE216" s="99"/>
      <c r="EF216" s="99"/>
      <c r="EG216" s="99"/>
      <c r="EH216" s="99"/>
      <c r="EI216" s="99"/>
      <c r="EJ216" s="99"/>
      <c r="EK216" s="99"/>
      <c r="EL216" s="99"/>
      <c r="EM216" s="99"/>
      <c r="EN216" s="99"/>
      <c r="EO216" s="99"/>
      <c r="EP216" s="99"/>
      <c r="EQ216" s="99"/>
      <c r="ER216" s="99"/>
      <c r="ES216" s="99"/>
      <c r="ET216" s="99"/>
      <c r="EU216" s="99"/>
      <c r="EV216" s="99"/>
      <c r="EW216" s="99"/>
      <c r="EX216" s="99"/>
      <c r="EY216" s="99"/>
      <c r="EZ216" s="99"/>
      <c r="FA216" s="99"/>
      <c r="FB216" s="99"/>
      <c r="FC216" s="99"/>
      <c r="FD216" s="99"/>
      <c r="FE216" s="99"/>
      <c r="FF216" s="99"/>
      <c r="FG216" s="99"/>
      <c r="FH216" s="99"/>
      <c r="FI216" s="99"/>
      <c r="FJ216" s="99"/>
      <c r="FK216" s="99"/>
    </row>
    <row r="217" spans="3:167" x14ac:dyDescent="0.25">
      <c r="C217" s="10"/>
      <c r="D217" s="10"/>
      <c r="J217" s="99">
        <v>214</v>
      </c>
      <c r="K217" s="16"/>
      <c r="L217" s="16"/>
      <c r="M217" s="16"/>
      <c r="N217" s="16"/>
      <c r="O217" s="16"/>
      <c r="P217" s="16"/>
      <c r="Q217" s="16"/>
      <c r="R217" s="16"/>
      <c r="S217" s="16"/>
      <c r="T217" s="16"/>
      <c r="U217" s="14">
        <f>SUM(K217:T217)</f>
        <v>0</v>
      </c>
      <c r="V217" s="14"/>
      <c r="X217" s="75" t="str" cm="1">
        <f t="array" ref="X217">MID(";"&amp;'CASE DATA'!$F217&amp;";",SMALL(IF(ISERROR(SEARCH(MID(";"&amp;'CASE DATA'!$F217&amp;";",ROW($1:$99),1),";")),"",ROW($1:$99)+1),COLUMN(A217)),SMALL(IF(ISERROR(SEARCH(MID(";"&amp;'CASE DATA'!$F217&amp;";",ROW($1:$99),1),";")),"",ROW($1:$99)),COLUMN(A216)+1)-SMALL(IF(ISERROR(SEARCH(MID(";"&amp;'CASE DATA'!$F217&amp;";",ROW($1:$99),1),";")),"",ROW($1:$99)),COLUMN(A216))-1)</f>
        <v/>
      </c>
      <c r="Y217" s="75" t="str" cm="1">
        <f t="array" ref="Y217">MID(";"&amp;'CASE DATA'!$F217&amp;";",SMALL(IF(ISERROR(SEARCH(MID(";"&amp;'CASE DATA'!$F217&amp;";",ROW($1:$99),1),";")),"",ROW($1:$99)+1),COLUMN(B217)),SMALL(IF(ISERROR(SEARCH(MID(";"&amp;'CASE DATA'!$F217&amp;";",ROW($1:$99),1),";")),"",ROW($1:$99)),COLUMN(B216)+1)-SMALL(IF(ISERROR(SEARCH(MID(";"&amp;'CASE DATA'!$F217&amp;";",ROW($1:$99),1),";")),"",ROW($1:$99)),COLUMN(B216))-1)</f>
        <v/>
      </c>
      <c r="Z217" s="75" t="str" cm="1">
        <f t="array" ref="Z217">MID(";"&amp;'CASE DATA'!$F217&amp;";",SMALL(IF(ISERROR(SEARCH(MID(";"&amp;'CASE DATA'!$F217&amp;";",ROW($1:$99),1),";")),"",ROW($1:$99)+1),COLUMN(C217)),SMALL(IF(ISERROR(SEARCH(MID(";"&amp;'CASE DATA'!$F217&amp;";",ROW($1:$99),1),";")),"",ROW($1:$99)),COLUMN(C216)+1)-SMALL(IF(ISERROR(SEARCH(MID(";"&amp;'CASE DATA'!$F217&amp;";",ROW($1:$99),1),";")),"",ROW($1:$99)),COLUMN(C216))-1)</f>
        <v/>
      </c>
      <c r="AA217" s="75" t="str" cm="1">
        <f t="array" ref="AA217">MID(";"&amp;'CASE DATA'!$F217&amp;";",SMALL(IF(ISERROR(SEARCH(MID(";"&amp;'CASE DATA'!$F217&amp;";",ROW($1:$99),1),";")),"",ROW($1:$99)+1),COLUMN(D217)),SMALL(IF(ISERROR(SEARCH(MID(";"&amp;'CASE DATA'!$F217&amp;";",ROW($1:$99),1),";")),"",ROW($1:$99)),COLUMN(D216)+1)-SMALL(IF(ISERROR(SEARCH(MID(";"&amp;'CASE DATA'!$F217&amp;";",ROW($1:$99),1),";")),"",ROW($1:$99)),COLUMN(D216))-1)</f>
        <v/>
      </c>
      <c r="AB217" s="75" t="str" cm="1">
        <f t="array" ref="AB217">MID(";"&amp;'CASE DATA'!$F217&amp;";",SMALL(IF(ISERROR(SEARCH(MID(";"&amp;'CASE DATA'!$F217&amp;";",ROW($1:$99),1),";")),"",ROW($1:$99)+1),COLUMN(E217)),SMALL(IF(ISERROR(SEARCH(MID(";"&amp;'CASE DATA'!$F217&amp;";",ROW($1:$99),1),";")),"",ROW($1:$99)),COLUMN(E216)+1)-SMALL(IF(ISERROR(SEARCH(MID(";"&amp;'CASE DATA'!$F217&amp;";",ROW($1:$99),1),";")),"",ROW($1:$99)),COLUMN(E216))-1)</f>
        <v/>
      </c>
      <c r="AC217" s="75" t="str" cm="1">
        <f t="array" ref="AC217">MID(";"&amp;'CASE DATA'!$F217&amp;";",SMALL(IF(ISERROR(SEARCH(MID(";"&amp;'CASE DATA'!$F217&amp;";",ROW($1:$99),1),";")),"",ROW($1:$99)+1),COLUMN(F217)),SMALL(IF(ISERROR(SEARCH(MID(";"&amp;'CASE DATA'!$F217&amp;";",ROW($1:$99),1),";")),"",ROW($1:$99)),COLUMN(F216)+1)-SMALL(IF(ISERROR(SEARCH(MID(";"&amp;'CASE DATA'!$F217&amp;";",ROW($1:$99),1),";")),"",ROW($1:$99)),COLUMN(F216))-1)</f>
        <v/>
      </c>
      <c r="AD217" s="75" t="str" cm="1">
        <f t="array" ref="AD217">MID(";"&amp;'CASE DATA'!$F217&amp;";",SMALL(IF(ISERROR(SEARCH(MID(";"&amp;'CASE DATA'!$F217&amp;";",ROW($1:$99),1),";")),"",ROW($1:$99)+1),COLUMN(G217)),SMALL(IF(ISERROR(SEARCH(MID(";"&amp;'CASE DATA'!$F217&amp;";",ROW($1:$99),1),";")),"",ROW($1:$99)),COLUMN(G216)+1)-SMALL(IF(ISERROR(SEARCH(MID(";"&amp;'CASE DATA'!$F217&amp;";",ROW($1:$99),1),";")),"",ROW($1:$99)),COLUMN(G216))-1)</f>
        <v/>
      </c>
      <c r="AE217" s="75" t="str" cm="1">
        <f t="array" ref="AE217">MID(";"&amp;'CASE DATA'!$F217&amp;";",SMALL(IF(ISERROR(SEARCH(MID(";"&amp;'CASE DATA'!$F217&amp;";",ROW($1:$99),1),";")),"",ROW($1:$99)+1),COLUMN(H217)),SMALL(IF(ISERROR(SEARCH(MID(";"&amp;'CASE DATA'!$F217&amp;";",ROW($1:$99),1),";")),"",ROW($1:$99)),COLUMN(H216)+1)-SMALL(IF(ISERROR(SEARCH(MID(";"&amp;'CASE DATA'!$F217&amp;";",ROW($1:$99),1),";")),"",ROW($1:$99)),COLUMN(H216))-1)</f>
        <v/>
      </c>
      <c r="AF217" s="75" t="str" cm="1">
        <f t="array" ref="AF217">MID(";"&amp;'CASE DATA'!$F217&amp;";",SMALL(IF(ISERROR(SEARCH(MID(";"&amp;'CASE DATA'!$F217&amp;";",ROW($1:$99),1),";")),"",ROW($1:$99)+1),COLUMN(I217)),SMALL(IF(ISERROR(SEARCH(MID(";"&amp;'CASE DATA'!$F217&amp;";",ROW($1:$99),1),";")),"",ROW($1:$99)),COLUMN(I216)+1)-SMALL(IF(ISERROR(SEARCH(MID(";"&amp;'CASE DATA'!$F217&amp;";",ROW($1:$99),1),";")),"",ROW($1:$99)),COLUMN(I216))-1)</f>
        <v/>
      </c>
      <c r="AG217" s="75" t="str" cm="1">
        <f t="array" ref="AG217">MID(";"&amp;'CASE DATA'!$F217&amp;";",SMALL(IF(ISERROR(SEARCH(MID(";"&amp;'CASE DATA'!$F217&amp;";",ROW($1:$99),1),";")),"",ROW($1:$99)+1),COLUMN(K217)),SMALL(IF(ISERROR(SEARCH(MID(";"&amp;'CASE DATA'!$F217&amp;";",ROW($1:$99),1),";")),"",ROW($1:$99)),COLUMN(K216)+1)-SMALL(IF(ISERROR(SEARCH(MID(";"&amp;'CASE DATA'!$F217&amp;";",ROW($1:$99),1),";")),"",ROW($1:$99)),COLUMN(K216))-1)</f>
        <v/>
      </c>
      <c r="AH217" s="75" t="str" cm="1">
        <f t="array" ref="AH217">MID(";"&amp;'CASE DATA'!$F217&amp;";",SMALL(IF(ISERROR(SEARCH(MID(";"&amp;'CASE DATA'!$F217&amp;";",ROW($1:$99),1),";")),"",ROW($1:$99)+1),COLUMN(L217)),SMALL(IF(ISERROR(SEARCH(MID(";"&amp;'CASE DATA'!$F217&amp;";",ROW($1:$99),1),";")),"",ROW($1:$99)),COLUMN(L216)+1)-SMALL(IF(ISERROR(SEARCH(MID(";"&amp;'CASE DATA'!$F217&amp;";",ROW($1:$99),1),";")),"",ROW($1:$99)),COLUMN(L216))-1)</f>
        <v/>
      </c>
      <c r="AI217" s="75" t="str" cm="1">
        <f t="array" ref="AI217">MID(";"&amp;'CASE DATA'!$F217&amp;";",SMALL(IF(ISERROR(SEARCH(MID(";"&amp;'CASE DATA'!$F217&amp;";",ROW($1:$99),1),";")),"",ROW($1:$99)+1),COLUMN(M217)),SMALL(IF(ISERROR(SEARCH(MID(";"&amp;'CASE DATA'!$F217&amp;";",ROW($1:$99),1),";")),"",ROW($1:$99)),COLUMN(M216)+1)-SMALL(IF(ISERROR(SEARCH(MID(";"&amp;'CASE DATA'!$F217&amp;";",ROW($1:$99),1),";")),"",ROW($1:$99)),COLUMN(M216))-1)</f>
        <v/>
      </c>
      <c r="BO217" s="99"/>
      <c r="BP217" s="99"/>
      <c r="BQ217" s="99"/>
      <c r="BR217" s="99"/>
      <c r="BS217" s="99"/>
      <c r="BT217" s="99"/>
      <c r="BU217" s="99"/>
      <c r="BV217" s="99"/>
      <c r="BW217" s="99"/>
      <c r="BX217" s="99"/>
      <c r="BY217" s="99"/>
      <c r="BZ217" s="99"/>
      <c r="CA217" s="99"/>
      <c r="CB217" s="99"/>
      <c r="CC217" s="99"/>
      <c r="CD217" s="99"/>
      <c r="CE217" s="99"/>
      <c r="CF217" s="99"/>
      <c r="CG217" s="99"/>
      <c r="CH217" s="99"/>
      <c r="CI217" s="99"/>
      <c r="CJ217" s="99"/>
      <c r="CK217" s="99"/>
      <c r="CL217" s="99"/>
      <c r="CM217" s="99"/>
      <c r="CN217" s="99"/>
      <c r="CO217" s="99"/>
      <c r="CP217" s="99"/>
      <c r="CQ217" s="99"/>
      <c r="CR217" s="99"/>
      <c r="CS217" s="99"/>
      <c r="CT217" s="99"/>
      <c r="CU217" s="99"/>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99"/>
      <c r="EE217" s="99"/>
      <c r="EF217" s="99"/>
      <c r="EG217" s="99"/>
      <c r="EH217" s="99"/>
      <c r="EI217" s="99"/>
      <c r="EJ217" s="99"/>
      <c r="EK217" s="99"/>
      <c r="EL217" s="99"/>
      <c r="EM217" s="99"/>
      <c r="EN217" s="99"/>
      <c r="EO217" s="99"/>
      <c r="EP217" s="99"/>
      <c r="EQ217" s="99"/>
      <c r="ER217" s="99"/>
      <c r="ES217" s="99"/>
      <c r="ET217" s="99"/>
      <c r="EU217" s="99"/>
      <c r="EV217" s="99"/>
      <c r="EW217" s="99"/>
      <c r="EX217" s="99"/>
      <c r="EY217" s="99"/>
      <c r="EZ217" s="99"/>
      <c r="FA217" s="99"/>
      <c r="FB217" s="99"/>
      <c r="FC217" s="99"/>
      <c r="FD217" s="99"/>
      <c r="FE217" s="99"/>
      <c r="FF217" s="99"/>
      <c r="FG217" s="99"/>
      <c r="FH217" s="99"/>
      <c r="FI217" s="99"/>
      <c r="FJ217" s="99"/>
      <c r="FK217" s="99"/>
    </row>
    <row r="218" spans="3:167" x14ac:dyDescent="0.25">
      <c r="C218" s="10"/>
      <c r="D218" s="10"/>
      <c r="J218" s="99">
        <v>215</v>
      </c>
      <c r="K218" s="16"/>
      <c r="L218" s="16"/>
      <c r="M218" s="16"/>
      <c r="N218" s="16"/>
      <c r="O218" s="16"/>
      <c r="P218" s="16"/>
      <c r="Q218" s="16"/>
      <c r="R218" s="16"/>
      <c r="S218" s="16"/>
      <c r="T218" s="16"/>
      <c r="U218" s="14">
        <f>SUM(K218:T218)</f>
        <v>0</v>
      </c>
      <c r="V218" s="14"/>
      <c r="X218" s="75" t="str" cm="1">
        <f t="array" ref="X218">MID(";"&amp;'CASE DATA'!$F218&amp;";",SMALL(IF(ISERROR(SEARCH(MID(";"&amp;'CASE DATA'!$F218&amp;";",ROW($1:$99),1),";")),"",ROW($1:$99)+1),COLUMN(A218)),SMALL(IF(ISERROR(SEARCH(MID(";"&amp;'CASE DATA'!$F218&amp;";",ROW($1:$99),1),";")),"",ROW($1:$99)),COLUMN(A217)+1)-SMALL(IF(ISERROR(SEARCH(MID(";"&amp;'CASE DATA'!$F218&amp;";",ROW($1:$99),1),";")),"",ROW($1:$99)),COLUMN(A217))-1)</f>
        <v/>
      </c>
      <c r="Y218" s="75" t="str" cm="1">
        <f t="array" ref="Y218">MID(";"&amp;'CASE DATA'!$F218&amp;";",SMALL(IF(ISERROR(SEARCH(MID(";"&amp;'CASE DATA'!$F218&amp;";",ROW($1:$99),1),";")),"",ROW($1:$99)+1),COLUMN(B218)),SMALL(IF(ISERROR(SEARCH(MID(";"&amp;'CASE DATA'!$F218&amp;";",ROW($1:$99),1),";")),"",ROW($1:$99)),COLUMN(B217)+1)-SMALL(IF(ISERROR(SEARCH(MID(";"&amp;'CASE DATA'!$F218&amp;";",ROW($1:$99),1),";")),"",ROW($1:$99)),COLUMN(B217))-1)</f>
        <v/>
      </c>
      <c r="Z218" s="75" t="str" cm="1">
        <f t="array" ref="Z218">MID(";"&amp;'CASE DATA'!$F218&amp;";",SMALL(IF(ISERROR(SEARCH(MID(";"&amp;'CASE DATA'!$F218&amp;";",ROW($1:$99),1),";")),"",ROW($1:$99)+1),COLUMN(C218)),SMALL(IF(ISERROR(SEARCH(MID(";"&amp;'CASE DATA'!$F218&amp;";",ROW($1:$99),1),";")),"",ROW($1:$99)),COLUMN(C217)+1)-SMALL(IF(ISERROR(SEARCH(MID(";"&amp;'CASE DATA'!$F218&amp;";",ROW($1:$99),1),";")),"",ROW($1:$99)),COLUMN(C217))-1)</f>
        <v/>
      </c>
      <c r="AA218" s="75" t="str" cm="1">
        <f t="array" ref="AA218">MID(";"&amp;'CASE DATA'!$F218&amp;";",SMALL(IF(ISERROR(SEARCH(MID(";"&amp;'CASE DATA'!$F218&amp;";",ROW($1:$99),1),";")),"",ROW($1:$99)+1),COLUMN(D218)),SMALL(IF(ISERROR(SEARCH(MID(";"&amp;'CASE DATA'!$F218&amp;";",ROW($1:$99),1),";")),"",ROW($1:$99)),COLUMN(D217)+1)-SMALL(IF(ISERROR(SEARCH(MID(";"&amp;'CASE DATA'!$F218&amp;";",ROW($1:$99),1),";")),"",ROW($1:$99)),COLUMN(D217))-1)</f>
        <v/>
      </c>
      <c r="AB218" s="75" t="str" cm="1">
        <f t="array" ref="AB218">MID(";"&amp;'CASE DATA'!$F218&amp;";",SMALL(IF(ISERROR(SEARCH(MID(";"&amp;'CASE DATA'!$F218&amp;";",ROW($1:$99),1),";")),"",ROW($1:$99)+1),COLUMN(E218)),SMALL(IF(ISERROR(SEARCH(MID(";"&amp;'CASE DATA'!$F218&amp;";",ROW($1:$99),1),";")),"",ROW($1:$99)),COLUMN(E217)+1)-SMALL(IF(ISERROR(SEARCH(MID(";"&amp;'CASE DATA'!$F218&amp;";",ROW($1:$99),1),";")),"",ROW($1:$99)),COLUMN(E217))-1)</f>
        <v/>
      </c>
      <c r="AC218" s="75" t="str" cm="1">
        <f t="array" ref="AC218">MID(";"&amp;'CASE DATA'!$F218&amp;";",SMALL(IF(ISERROR(SEARCH(MID(";"&amp;'CASE DATA'!$F218&amp;";",ROW($1:$99),1),";")),"",ROW($1:$99)+1),COLUMN(F218)),SMALL(IF(ISERROR(SEARCH(MID(";"&amp;'CASE DATA'!$F218&amp;";",ROW($1:$99),1),";")),"",ROW($1:$99)),COLUMN(F217)+1)-SMALL(IF(ISERROR(SEARCH(MID(";"&amp;'CASE DATA'!$F218&amp;";",ROW($1:$99),1),";")),"",ROW($1:$99)),COLUMN(F217))-1)</f>
        <v/>
      </c>
      <c r="AD218" s="75" t="str" cm="1">
        <f t="array" ref="AD218">MID(";"&amp;'CASE DATA'!$F218&amp;";",SMALL(IF(ISERROR(SEARCH(MID(";"&amp;'CASE DATA'!$F218&amp;";",ROW($1:$99),1),";")),"",ROW($1:$99)+1),COLUMN(G218)),SMALL(IF(ISERROR(SEARCH(MID(";"&amp;'CASE DATA'!$F218&amp;";",ROW($1:$99),1),";")),"",ROW($1:$99)),COLUMN(G217)+1)-SMALL(IF(ISERROR(SEARCH(MID(";"&amp;'CASE DATA'!$F218&amp;";",ROW($1:$99),1),";")),"",ROW($1:$99)),COLUMN(G217))-1)</f>
        <v/>
      </c>
      <c r="AE218" s="75" t="str" cm="1">
        <f t="array" ref="AE218">MID(";"&amp;'CASE DATA'!$F218&amp;";",SMALL(IF(ISERROR(SEARCH(MID(";"&amp;'CASE DATA'!$F218&amp;";",ROW($1:$99),1),";")),"",ROW($1:$99)+1),COLUMN(H218)),SMALL(IF(ISERROR(SEARCH(MID(";"&amp;'CASE DATA'!$F218&amp;";",ROW($1:$99),1),";")),"",ROW($1:$99)),COLUMN(H217)+1)-SMALL(IF(ISERROR(SEARCH(MID(";"&amp;'CASE DATA'!$F218&amp;";",ROW($1:$99),1),";")),"",ROW($1:$99)),COLUMN(H217))-1)</f>
        <v/>
      </c>
      <c r="AF218" s="75" t="str" cm="1">
        <f t="array" ref="AF218">MID(";"&amp;'CASE DATA'!$F218&amp;";",SMALL(IF(ISERROR(SEARCH(MID(";"&amp;'CASE DATA'!$F218&amp;";",ROW($1:$99),1),";")),"",ROW($1:$99)+1),COLUMN(I218)),SMALL(IF(ISERROR(SEARCH(MID(";"&amp;'CASE DATA'!$F218&amp;";",ROW($1:$99),1),";")),"",ROW($1:$99)),COLUMN(I217)+1)-SMALL(IF(ISERROR(SEARCH(MID(";"&amp;'CASE DATA'!$F218&amp;";",ROW($1:$99),1),";")),"",ROW($1:$99)),COLUMN(I217))-1)</f>
        <v/>
      </c>
      <c r="AG218" s="75" t="str" cm="1">
        <f t="array" ref="AG218">MID(";"&amp;'CASE DATA'!$F218&amp;";",SMALL(IF(ISERROR(SEARCH(MID(";"&amp;'CASE DATA'!$F218&amp;";",ROW($1:$99),1),";")),"",ROW($1:$99)+1),COLUMN(K218)),SMALL(IF(ISERROR(SEARCH(MID(";"&amp;'CASE DATA'!$F218&amp;";",ROW($1:$99),1),";")),"",ROW($1:$99)),COLUMN(K217)+1)-SMALL(IF(ISERROR(SEARCH(MID(";"&amp;'CASE DATA'!$F218&amp;";",ROW($1:$99),1),";")),"",ROW($1:$99)),COLUMN(K217))-1)</f>
        <v/>
      </c>
      <c r="AH218" s="75" t="str" cm="1">
        <f t="array" ref="AH218">MID(";"&amp;'CASE DATA'!$F218&amp;";",SMALL(IF(ISERROR(SEARCH(MID(";"&amp;'CASE DATA'!$F218&amp;";",ROW($1:$99),1),";")),"",ROW($1:$99)+1),COLUMN(L218)),SMALL(IF(ISERROR(SEARCH(MID(";"&amp;'CASE DATA'!$F218&amp;";",ROW($1:$99),1),";")),"",ROW($1:$99)),COLUMN(L217)+1)-SMALL(IF(ISERROR(SEARCH(MID(";"&amp;'CASE DATA'!$F218&amp;";",ROW($1:$99),1),";")),"",ROW($1:$99)),COLUMN(L217))-1)</f>
        <v/>
      </c>
      <c r="AI218" s="75" t="str" cm="1">
        <f t="array" ref="AI218">MID(";"&amp;'CASE DATA'!$F218&amp;";",SMALL(IF(ISERROR(SEARCH(MID(";"&amp;'CASE DATA'!$F218&amp;";",ROW($1:$99),1),";")),"",ROW($1:$99)+1),COLUMN(M218)),SMALL(IF(ISERROR(SEARCH(MID(";"&amp;'CASE DATA'!$F218&amp;";",ROW($1:$99),1),";")),"",ROW($1:$99)),COLUMN(M217)+1)-SMALL(IF(ISERROR(SEARCH(MID(";"&amp;'CASE DATA'!$F218&amp;";",ROW($1:$99),1),";")),"",ROW($1:$99)),COLUMN(M217))-1)</f>
        <v/>
      </c>
      <c r="BO218" s="99"/>
      <c r="BP218" s="99"/>
      <c r="BQ218" s="99"/>
      <c r="BR218" s="99"/>
      <c r="BS218" s="99"/>
      <c r="BT218" s="99"/>
      <c r="BU218" s="99"/>
      <c r="BV218" s="99"/>
      <c r="BW218" s="99"/>
      <c r="BX218" s="99"/>
      <c r="BY218" s="99"/>
      <c r="BZ218" s="99"/>
      <c r="CA218" s="99"/>
      <c r="CB218" s="99"/>
      <c r="CC218" s="99"/>
      <c r="CD218" s="99"/>
      <c r="CE218" s="99"/>
      <c r="CF218" s="99"/>
      <c r="CG218" s="99"/>
      <c r="CH218" s="99"/>
      <c r="CI218" s="99"/>
      <c r="CJ218" s="99"/>
      <c r="CK218" s="99"/>
      <c r="CL218" s="99"/>
      <c r="CM218" s="99"/>
      <c r="CN218" s="99"/>
      <c r="CO218" s="99"/>
      <c r="CP218" s="99"/>
      <c r="CQ218" s="99"/>
      <c r="CR218" s="99"/>
      <c r="CS218" s="99"/>
      <c r="CT218" s="99"/>
      <c r="CU218" s="99"/>
      <c r="CV218" s="99"/>
      <c r="CW218" s="99"/>
      <c r="CX218" s="99"/>
      <c r="CY218" s="99"/>
      <c r="CZ218" s="99"/>
      <c r="DA218" s="99"/>
      <c r="DB218" s="99"/>
      <c r="DC218" s="99"/>
      <c r="DD218" s="99"/>
      <c r="DE218" s="99"/>
      <c r="DF218" s="99"/>
      <c r="DG218" s="99"/>
      <c r="DH218" s="99"/>
      <c r="DI218" s="99"/>
      <c r="DJ218" s="99"/>
      <c r="DK218" s="99"/>
      <c r="DL218" s="99"/>
      <c r="DM218" s="99"/>
      <c r="DN218" s="99"/>
      <c r="DO218" s="99"/>
      <c r="DP218" s="99"/>
      <c r="DQ218" s="99"/>
      <c r="DR218" s="99"/>
      <c r="DS218" s="99"/>
      <c r="DT218" s="99"/>
      <c r="DU218" s="99"/>
      <c r="DV218" s="99"/>
      <c r="DW218" s="99"/>
      <c r="DX218" s="99"/>
      <c r="DY218" s="99"/>
      <c r="DZ218" s="99"/>
      <c r="EA218" s="99"/>
      <c r="EB218" s="99"/>
      <c r="EC218" s="99"/>
      <c r="ED218" s="99"/>
      <c r="EE218" s="99"/>
      <c r="EF218" s="99"/>
      <c r="EG218" s="99"/>
      <c r="EH218" s="99"/>
      <c r="EI218" s="99"/>
      <c r="EJ218" s="99"/>
      <c r="EK218" s="99"/>
      <c r="EL218" s="99"/>
      <c r="EM218" s="99"/>
      <c r="EN218" s="99"/>
      <c r="EO218" s="99"/>
      <c r="EP218" s="99"/>
      <c r="EQ218" s="99"/>
      <c r="ER218" s="99"/>
      <c r="ES218" s="99"/>
      <c r="ET218" s="99"/>
      <c r="EU218" s="99"/>
      <c r="EV218" s="99"/>
      <c r="EW218" s="99"/>
      <c r="EX218" s="99"/>
      <c r="EY218" s="99"/>
      <c r="EZ218" s="99"/>
      <c r="FA218" s="99"/>
      <c r="FB218" s="99"/>
      <c r="FC218" s="99"/>
      <c r="FD218" s="99"/>
      <c r="FE218" s="99"/>
      <c r="FF218" s="99"/>
      <c r="FG218" s="99"/>
      <c r="FH218" s="99"/>
      <c r="FI218" s="99"/>
      <c r="FJ218" s="99"/>
      <c r="FK218" s="99"/>
    </row>
    <row r="219" spans="3:167" x14ac:dyDescent="0.25">
      <c r="C219" s="10"/>
      <c r="D219" s="10"/>
      <c r="J219" s="99">
        <v>216</v>
      </c>
      <c r="K219" s="16"/>
      <c r="L219" s="16"/>
      <c r="M219" s="16"/>
      <c r="N219" s="16"/>
      <c r="O219" s="16"/>
      <c r="P219" s="16"/>
      <c r="Q219" s="16"/>
      <c r="R219" s="16"/>
      <c r="S219" s="16"/>
      <c r="T219" s="16"/>
      <c r="U219" s="14">
        <f>SUM(K219:T219)</f>
        <v>0</v>
      </c>
      <c r="V219" s="14"/>
      <c r="X219" s="75" t="str" cm="1">
        <f t="array" ref="X219">MID(";"&amp;'CASE DATA'!$F219&amp;";",SMALL(IF(ISERROR(SEARCH(MID(";"&amp;'CASE DATA'!$F219&amp;";",ROW($1:$99),1),";")),"",ROW($1:$99)+1),COLUMN(A219)),SMALL(IF(ISERROR(SEARCH(MID(";"&amp;'CASE DATA'!$F219&amp;";",ROW($1:$99),1),";")),"",ROW($1:$99)),COLUMN(A218)+1)-SMALL(IF(ISERROR(SEARCH(MID(";"&amp;'CASE DATA'!$F219&amp;";",ROW($1:$99),1),";")),"",ROW($1:$99)),COLUMN(A218))-1)</f>
        <v/>
      </c>
      <c r="Y219" s="75" t="str" cm="1">
        <f t="array" ref="Y219">MID(";"&amp;'CASE DATA'!$F219&amp;";",SMALL(IF(ISERROR(SEARCH(MID(";"&amp;'CASE DATA'!$F219&amp;";",ROW($1:$99),1),";")),"",ROW($1:$99)+1),COLUMN(B219)),SMALL(IF(ISERROR(SEARCH(MID(";"&amp;'CASE DATA'!$F219&amp;";",ROW($1:$99),1),";")),"",ROW($1:$99)),COLUMN(B218)+1)-SMALL(IF(ISERROR(SEARCH(MID(";"&amp;'CASE DATA'!$F219&amp;";",ROW($1:$99),1),";")),"",ROW($1:$99)),COLUMN(B218))-1)</f>
        <v/>
      </c>
      <c r="Z219" s="75" t="str" cm="1">
        <f t="array" ref="Z219">MID(";"&amp;'CASE DATA'!$F219&amp;";",SMALL(IF(ISERROR(SEARCH(MID(";"&amp;'CASE DATA'!$F219&amp;";",ROW($1:$99),1),";")),"",ROW($1:$99)+1),COLUMN(C219)),SMALL(IF(ISERROR(SEARCH(MID(";"&amp;'CASE DATA'!$F219&amp;";",ROW($1:$99),1),";")),"",ROW($1:$99)),COLUMN(C218)+1)-SMALL(IF(ISERROR(SEARCH(MID(";"&amp;'CASE DATA'!$F219&amp;";",ROW($1:$99),1),";")),"",ROW($1:$99)),COLUMN(C218))-1)</f>
        <v/>
      </c>
      <c r="AA219" s="75" t="str" cm="1">
        <f t="array" ref="AA219">MID(";"&amp;'CASE DATA'!$F219&amp;";",SMALL(IF(ISERROR(SEARCH(MID(";"&amp;'CASE DATA'!$F219&amp;";",ROW($1:$99),1),";")),"",ROW($1:$99)+1),COLUMN(D219)),SMALL(IF(ISERROR(SEARCH(MID(";"&amp;'CASE DATA'!$F219&amp;";",ROW($1:$99),1),";")),"",ROW($1:$99)),COLUMN(D218)+1)-SMALL(IF(ISERROR(SEARCH(MID(";"&amp;'CASE DATA'!$F219&amp;";",ROW($1:$99),1),";")),"",ROW($1:$99)),COLUMN(D218))-1)</f>
        <v/>
      </c>
      <c r="AB219" s="75" t="str" cm="1">
        <f t="array" ref="AB219">MID(";"&amp;'CASE DATA'!$F219&amp;";",SMALL(IF(ISERROR(SEARCH(MID(";"&amp;'CASE DATA'!$F219&amp;";",ROW($1:$99),1),";")),"",ROW($1:$99)+1),COLUMN(E219)),SMALL(IF(ISERROR(SEARCH(MID(";"&amp;'CASE DATA'!$F219&amp;";",ROW($1:$99),1),";")),"",ROW($1:$99)),COLUMN(E218)+1)-SMALL(IF(ISERROR(SEARCH(MID(";"&amp;'CASE DATA'!$F219&amp;";",ROW($1:$99),1),";")),"",ROW($1:$99)),COLUMN(E218))-1)</f>
        <v/>
      </c>
      <c r="AC219" s="75" t="str" cm="1">
        <f t="array" ref="AC219">MID(";"&amp;'CASE DATA'!$F219&amp;";",SMALL(IF(ISERROR(SEARCH(MID(";"&amp;'CASE DATA'!$F219&amp;";",ROW($1:$99),1),";")),"",ROW($1:$99)+1),COLUMN(F219)),SMALL(IF(ISERROR(SEARCH(MID(";"&amp;'CASE DATA'!$F219&amp;";",ROW($1:$99),1),";")),"",ROW($1:$99)),COLUMN(F218)+1)-SMALL(IF(ISERROR(SEARCH(MID(";"&amp;'CASE DATA'!$F219&amp;";",ROW($1:$99),1),";")),"",ROW($1:$99)),COLUMN(F218))-1)</f>
        <v/>
      </c>
      <c r="AD219" s="75" t="str" cm="1">
        <f t="array" ref="AD219">MID(";"&amp;'CASE DATA'!$F219&amp;";",SMALL(IF(ISERROR(SEARCH(MID(";"&amp;'CASE DATA'!$F219&amp;";",ROW($1:$99),1),";")),"",ROW($1:$99)+1),COLUMN(G219)),SMALL(IF(ISERROR(SEARCH(MID(";"&amp;'CASE DATA'!$F219&amp;";",ROW($1:$99),1),";")),"",ROW($1:$99)),COLUMN(G218)+1)-SMALL(IF(ISERROR(SEARCH(MID(";"&amp;'CASE DATA'!$F219&amp;";",ROW($1:$99),1),";")),"",ROW($1:$99)),COLUMN(G218))-1)</f>
        <v/>
      </c>
      <c r="AE219" s="75" t="str" cm="1">
        <f t="array" ref="AE219">MID(";"&amp;'CASE DATA'!$F219&amp;";",SMALL(IF(ISERROR(SEARCH(MID(";"&amp;'CASE DATA'!$F219&amp;";",ROW($1:$99),1),";")),"",ROW($1:$99)+1),COLUMN(H219)),SMALL(IF(ISERROR(SEARCH(MID(";"&amp;'CASE DATA'!$F219&amp;";",ROW($1:$99),1),";")),"",ROW($1:$99)),COLUMN(H218)+1)-SMALL(IF(ISERROR(SEARCH(MID(";"&amp;'CASE DATA'!$F219&amp;";",ROW($1:$99),1),";")),"",ROW($1:$99)),COLUMN(H218))-1)</f>
        <v/>
      </c>
      <c r="AF219" s="75" t="str" cm="1">
        <f t="array" ref="AF219">MID(";"&amp;'CASE DATA'!$F219&amp;";",SMALL(IF(ISERROR(SEARCH(MID(";"&amp;'CASE DATA'!$F219&amp;";",ROW($1:$99),1),";")),"",ROW($1:$99)+1),COLUMN(I219)),SMALL(IF(ISERROR(SEARCH(MID(";"&amp;'CASE DATA'!$F219&amp;";",ROW($1:$99),1),";")),"",ROW($1:$99)),COLUMN(I218)+1)-SMALL(IF(ISERROR(SEARCH(MID(";"&amp;'CASE DATA'!$F219&amp;";",ROW($1:$99),1),";")),"",ROW($1:$99)),COLUMN(I218))-1)</f>
        <v/>
      </c>
      <c r="AG219" s="75" t="str" cm="1">
        <f t="array" ref="AG219">MID(";"&amp;'CASE DATA'!$F219&amp;";",SMALL(IF(ISERROR(SEARCH(MID(";"&amp;'CASE DATA'!$F219&amp;";",ROW($1:$99),1),";")),"",ROW($1:$99)+1),COLUMN(K219)),SMALL(IF(ISERROR(SEARCH(MID(";"&amp;'CASE DATA'!$F219&amp;";",ROW($1:$99),1),";")),"",ROW($1:$99)),COLUMN(K218)+1)-SMALL(IF(ISERROR(SEARCH(MID(";"&amp;'CASE DATA'!$F219&amp;";",ROW($1:$99),1),";")),"",ROW($1:$99)),COLUMN(K218))-1)</f>
        <v/>
      </c>
      <c r="AH219" s="75" t="str" cm="1">
        <f t="array" ref="AH219">MID(";"&amp;'CASE DATA'!$F219&amp;";",SMALL(IF(ISERROR(SEARCH(MID(";"&amp;'CASE DATA'!$F219&amp;";",ROW($1:$99),1),";")),"",ROW($1:$99)+1),COLUMN(L219)),SMALL(IF(ISERROR(SEARCH(MID(";"&amp;'CASE DATA'!$F219&amp;";",ROW($1:$99),1),";")),"",ROW($1:$99)),COLUMN(L218)+1)-SMALL(IF(ISERROR(SEARCH(MID(";"&amp;'CASE DATA'!$F219&amp;";",ROW($1:$99),1),";")),"",ROW($1:$99)),COLUMN(L218))-1)</f>
        <v/>
      </c>
      <c r="AI219" s="75" t="str" cm="1">
        <f t="array" ref="AI219">MID(";"&amp;'CASE DATA'!$F219&amp;";",SMALL(IF(ISERROR(SEARCH(MID(";"&amp;'CASE DATA'!$F219&amp;";",ROW($1:$99),1),";")),"",ROW($1:$99)+1),COLUMN(M219)),SMALL(IF(ISERROR(SEARCH(MID(";"&amp;'CASE DATA'!$F219&amp;";",ROW($1:$99),1),";")),"",ROW($1:$99)),COLUMN(M218)+1)-SMALL(IF(ISERROR(SEARCH(MID(";"&amp;'CASE DATA'!$F219&amp;";",ROW($1:$99),1),";")),"",ROW($1:$99)),COLUMN(M218))-1)</f>
        <v/>
      </c>
      <c r="BO219" s="99"/>
      <c r="BP219" s="99"/>
      <c r="BQ219" s="99"/>
      <c r="BR219" s="99"/>
      <c r="BS219" s="99"/>
      <c r="BT219" s="99"/>
      <c r="BU219" s="99"/>
      <c r="BV219" s="99"/>
      <c r="BW219" s="99"/>
      <c r="BX219" s="99"/>
      <c r="BY219" s="99"/>
      <c r="BZ219" s="99"/>
      <c r="CA219" s="99"/>
      <c r="CB219" s="99"/>
      <c r="CC219" s="99"/>
      <c r="CD219" s="99"/>
      <c r="CE219" s="99"/>
      <c r="CF219" s="99"/>
      <c r="CG219" s="99"/>
      <c r="CH219" s="99"/>
      <c r="CI219" s="99"/>
      <c r="CJ219" s="99"/>
      <c r="CK219" s="99"/>
      <c r="CL219" s="99"/>
      <c r="CM219" s="99"/>
      <c r="CN219" s="99"/>
      <c r="CO219" s="99"/>
      <c r="CP219" s="99"/>
      <c r="CQ219" s="99"/>
      <c r="CR219" s="99"/>
      <c r="CS219" s="99"/>
      <c r="CT219" s="99"/>
      <c r="CU219" s="99"/>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99"/>
      <c r="EE219" s="99"/>
      <c r="EF219" s="99"/>
      <c r="EG219" s="99"/>
      <c r="EH219" s="99"/>
      <c r="EI219" s="99"/>
      <c r="EJ219" s="99"/>
      <c r="EK219" s="99"/>
      <c r="EL219" s="99"/>
      <c r="EM219" s="99"/>
      <c r="EN219" s="99"/>
      <c r="EO219" s="99"/>
      <c r="EP219" s="99"/>
      <c r="EQ219" s="99"/>
      <c r="ER219" s="99"/>
      <c r="ES219" s="99"/>
      <c r="ET219" s="99"/>
      <c r="EU219" s="99"/>
      <c r="EV219" s="99"/>
      <c r="EW219" s="99"/>
      <c r="EX219" s="99"/>
      <c r="EY219" s="99"/>
      <c r="EZ219" s="99"/>
      <c r="FA219" s="99"/>
      <c r="FB219" s="99"/>
      <c r="FC219" s="99"/>
      <c r="FD219" s="99"/>
      <c r="FE219" s="99"/>
      <c r="FF219" s="99"/>
      <c r="FG219" s="99"/>
      <c r="FH219" s="99"/>
      <c r="FI219" s="99"/>
      <c r="FJ219" s="99"/>
      <c r="FK219" s="99"/>
    </row>
    <row r="220" spans="3:167" x14ac:dyDescent="0.25">
      <c r="C220" s="10"/>
      <c r="D220" s="10"/>
      <c r="J220" s="99">
        <v>217</v>
      </c>
      <c r="K220" s="16"/>
      <c r="L220" s="16"/>
      <c r="M220" s="16"/>
      <c r="N220" s="16"/>
      <c r="O220" s="16"/>
      <c r="P220" s="16"/>
      <c r="Q220" s="16"/>
      <c r="R220" s="16"/>
      <c r="S220" s="16"/>
      <c r="T220" s="16"/>
      <c r="U220" s="14">
        <f>SUM(K220:T220)</f>
        <v>0</v>
      </c>
      <c r="V220" s="14"/>
      <c r="X220" s="75" t="str" cm="1">
        <f t="array" ref="X220">MID(";"&amp;'CASE DATA'!$F220&amp;";",SMALL(IF(ISERROR(SEARCH(MID(";"&amp;'CASE DATA'!$F220&amp;";",ROW($1:$99),1),";")),"",ROW($1:$99)+1),COLUMN(A220)),SMALL(IF(ISERROR(SEARCH(MID(";"&amp;'CASE DATA'!$F220&amp;";",ROW($1:$99),1),";")),"",ROW($1:$99)),COLUMN(A219)+1)-SMALL(IF(ISERROR(SEARCH(MID(";"&amp;'CASE DATA'!$F220&amp;";",ROW($1:$99),1),";")),"",ROW($1:$99)),COLUMN(A219))-1)</f>
        <v/>
      </c>
      <c r="Y220" s="75" t="str" cm="1">
        <f t="array" ref="Y220">MID(";"&amp;'CASE DATA'!$F220&amp;";",SMALL(IF(ISERROR(SEARCH(MID(";"&amp;'CASE DATA'!$F220&amp;";",ROW($1:$99),1),";")),"",ROW($1:$99)+1),COLUMN(B220)),SMALL(IF(ISERROR(SEARCH(MID(";"&amp;'CASE DATA'!$F220&amp;";",ROW($1:$99),1),";")),"",ROW($1:$99)),COLUMN(B219)+1)-SMALL(IF(ISERROR(SEARCH(MID(";"&amp;'CASE DATA'!$F220&amp;";",ROW($1:$99),1),";")),"",ROW($1:$99)),COLUMN(B219))-1)</f>
        <v/>
      </c>
      <c r="Z220" s="75" t="str" cm="1">
        <f t="array" ref="Z220">MID(";"&amp;'CASE DATA'!$F220&amp;";",SMALL(IF(ISERROR(SEARCH(MID(";"&amp;'CASE DATA'!$F220&amp;";",ROW($1:$99),1),";")),"",ROW($1:$99)+1),COLUMN(C220)),SMALL(IF(ISERROR(SEARCH(MID(";"&amp;'CASE DATA'!$F220&amp;";",ROW($1:$99),1),";")),"",ROW($1:$99)),COLUMN(C219)+1)-SMALL(IF(ISERROR(SEARCH(MID(";"&amp;'CASE DATA'!$F220&amp;";",ROW($1:$99),1),";")),"",ROW($1:$99)),COLUMN(C219))-1)</f>
        <v/>
      </c>
      <c r="AA220" s="75" t="str" cm="1">
        <f t="array" ref="AA220">MID(";"&amp;'CASE DATA'!$F220&amp;";",SMALL(IF(ISERROR(SEARCH(MID(";"&amp;'CASE DATA'!$F220&amp;";",ROW($1:$99),1),";")),"",ROW($1:$99)+1),COLUMN(D220)),SMALL(IF(ISERROR(SEARCH(MID(";"&amp;'CASE DATA'!$F220&amp;";",ROW($1:$99),1),";")),"",ROW($1:$99)),COLUMN(D219)+1)-SMALL(IF(ISERROR(SEARCH(MID(";"&amp;'CASE DATA'!$F220&amp;";",ROW($1:$99),1),";")),"",ROW($1:$99)),COLUMN(D219))-1)</f>
        <v/>
      </c>
      <c r="AB220" s="75" t="str" cm="1">
        <f t="array" ref="AB220">MID(";"&amp;'CASE DATA'!$F220&amp;";",SMALL(IF(ISERROR(SEARCH(MID(";"&amp;'CASE DATA'!$F220&amp;";",ROW($1:$99),1),";")),"",ROW($1:$99)+1),COLUMN(E220)),SMALL(IF(ISERROR(SEARCH(MID(";"&amp;'CASE DATA'!$F220&amp;";",ROW($1:$99),1),";")),"",ROW($1:$99)),COLUMN(E219)+1)-SMALL(IF(ISERROR(SEARCH(MID(";"&amp;'CASE DATA'!$F220&amp;";",ROW($1:$99),1),";")),"",ROW($1:$99)),COLUMN(E219))-1)</f>
        <v/>
      </c>
      <c r="AC220" s="75" t="str" cm="1">
        <f t="array" ref="AC220">MID(";"&amp;'CASE DATA'!$F220&amp;";",SMALL(IF(ISERROR(SEARCH(MID(";"&amp;'CASE DATA'!$F220&amp;";",ROW($1:$99),1),";")),"",ROW($1:$99)+1),COLUMN(F220)),SMALL(IF(ISERROR(SEARCH(MID(";"&amp;'CASE DATA'!$F220&amp;";",ROW($1:$99),1),";")),"",ROW($1:$99)),COLUMN(F219)+1)-SMALL(IF(ISERROR(SEARCH(MID(";"&amp;'CASE DATA'!$F220&amp;";",ROW($1:$99),1),";")),"",ROW($1:$99)),COLUMN(F219))-1)</f>
        <v/>
      </c>
      <c r="AD220" s="75" t="str" cm="1">
        <f t="array" ref="AD220">MID(";"&amp;'CASE DATA'!$F220&amp;";",SMALL(IF(ISERROR(SEARCH(MID(";"&amp;'CASE DATA'!$F220&amp;";",ROW($1:$99),1),";")),"",ROW($1:$99)+1),COLUMN(G220)),SMALL(IF(ISERROR(SEARCH(MID(";"&amp;'CASE DATA'!$F220&amp;";",ROW($1:$99),1),";")),"",ROW($1:$99)),COLUMN(G219)+1)-SMALL(IF(ISERROR(SEARCH(MID(";"&amp;'CASE DATA'!$F220&amp;";",ROW($1:$99),1),";")),"",ROW($1:$99)),COLUMN(G219))-1)</f>
        <v/>
      </c>
      <c r="AE220" s="75" t="str" cm="1">
        <f t="array" ref="AE220">MID(";"&amp;'CASE DATA'!$F220&amp;";",SMALL(IF(ISERROR(SEARCH(MID(";"&amp;'CASE DATA'!$F220&amp;";",ROW($1:$99),1),";")),"",ROW($1:$99)+1),COLUMN(H220)),SMALL(IF(ISERROR(SEARCH(MID(";"&amp;'CASE DATA'!$F220&amp;";",ROW($1:$99),1),";")),"",ROW($1:$99)),COLUMN(H219)+1)-SMALL(IF(ISERROR(SEARCH(MID(";"&amp;'CASE DATA'!$F220&amp;";",ROW($1:$99),1),";")),"",ROW($1:$99)),COLUMN(H219))-1)</f>
        <v/>
      </c>
      <c r="AF220" s="75" t="str" cm="1">
        <f t="array" ref="AF220">MID(";"&amp;'CASE DATA'!$F220&amp;";",SMALL(IF(ISERROR(SEARCH(MID(";"&amp;'CASE DATA'!$F220&amp;";",ROW($1:$99),1),";")),"",ROW($1:$99)+1),COLUMN(I220)),SMALL(IF(ISERROR(SEARCH(MID(";"&amp;'CASE DATA'!$F220&amp;";",ROW($1:$99),1),";")),"",ROW($1:$99)),COLUMN(I219)+1)-SMALL(IF(ISERROR(SEARCH(MID(";"&amp;'CASE DATA'!$F220&amp;";",ROW($1:$99),1),";")),"",ROW($1:$99)),COLUMN(I219))-1)</f>
        <v/>
      </c>
      <c r="AG220" s="75" t="str" cm="1">
        <f t="array" ref="AG220">MID(";"&amp;'CASE DATA'!$F220&amp;";",SMALL(IF(ISERROR(SEARCH(MID(";"&amp;'CASE DATA'!$F220&amp;";",ROW($1:$99),1),";")),"",ROW($1:$99)+1),COLUMN(K220)),SMALL(IF(ISERROR(SEARCH(MID(";"&amp;'CASE DATA'!$F220&amp;";",ROW($1:$99),1),";")),"",ROW($1:$99)),COLUMN(K219)+1)-SMALL(IF(ISERROR(SEARCH(MID(";"&amp;'CASE DATA'!$F220&amp;";",ROW($1:$99),1),";")),"",ROW($1:$99)),COLUMN(K219))-1)</f>
        <v/>
      </c>
      <c r="AH220" s="75" t="str" cm="1">
        <f t="array" ref="AH220">MID(";"&amp;'CASE DATA'!$F220&amp;";",SMALL(IF(ISERROR(SEARCH(MID(";"&amp;'CASE DATA'!$F220&amp;";",ROW($1:$99),1),";")),"",ROW($1:$99)+1),COLUMN(L220)),SMALL(IF(ISERROR(SEARCH(MID(";"&amp;'CASE DATA'!$F220&amp;";",ROW($1:$99),1),";")),"",ROW($1:$99)),COLUMN(L219)+1)-SMALL(IF(ISERROR(SEARCH(MID(";"&amp;'CASE DATA'!$F220&amp;";",ROW($1:$99),1),";")),"",ROW($1:$99)),COLUMN(L219))-1)</f>
        <v/>
      </c>
      <c r="AI220" s="75" t="str" cm="1">
        <f t="array" ref="AI220">MID(";"&amp;'CASE DATA'!$F220&amp;";",SMALL(IF(ISERROR(SEARCH(MID(";"&amp;'CASE DATA'!$F220&amp;";",ROW($1:$99),1),";")),"",ROW($1:$99)+1),COLUMN(M220)),SMALL(IF(ISERROR(SEARCH(MID(";"&amp;'CASE DATA'!$F220&amp;";",ROW($1:$99),1),";")),"",ROW($1:$99)),COLUMN(M219)+1)-SMALL(IF(ISERROR(SEARCH(MID(";"&amp;'CASE DATA'!$F220&amp;";",ROW($1:$99),1),";")),"",ROW($1:$99)),COLUMN(M219))-1)</f>
        <v/>
      </c>
      <c r="BO220" s="99"/>
      <c r="BP220" s="99"/>
      <c r="BQ220" s="99"/>
      <c r="BR220" s="99"/>
      <c r="BS220" s="99"/>
      <c r="BT220" s="99"/>
      <c r="BU220" s="99"/>
      <c r="BV220" s="99"/>
      <c r="BW220" s="99"/>
      <c r="BX220" s="99"/>
      <c r="BY220" s="99"/>
      <c r="BZ220" s="99"/>
      <c r="CA220" s="99"/>
      <c r="CB220" s="99"/>
      <c r="CC220" s="99"/>
      <c r="CD220" s="99"/>
      <c r="CE220" s="99"/>
      <c r="CF220" s="99"/>
      <c r="CG220" s="99"/>
      <c r="CH220" s="99"/>
      <c r="CI220" s="99"/>
      <c r="CJ220" s="99"/>
      <c r="CK220" s="99"/>
      <c r="CL220" s="99"/>
      <c r="CM220" s="99"/>
      <c r="CN220" s="99"/>
      <c r="CO220" s="99"/>
      <c r="CP220" s="99"/>
      <c r="CQ220" s="99"/>
      <c r="CR220" s="99"/>
      <c r="CS220" s="99"/>
      <c r="CT220" s="99"/>
      <c r="CU220" s="99"/>
      <c r="CV220" s="99"/>
      <c r="CW220" s="99"/>
      <c r="CX220" s="99"/>
      <c r="CY220" s="99"/>
      <c r="CZ220" s="99"/>
      <c r="DA220" s="99"/>
      <c r="DB220" s="99"/>
      <c r="DC220" s="99"/>
      <c r="DD220" s="99"/>
      <c r="DE220" s="99"/>
      <c r="DF220" s="99"/>
      <c r="DG220" s="99"/>
      <c r="DH220" s="99"/>
      <c r="DI220" s="99"/>
      <c r="DJ220" s="99"/>
      <c r="DK220" s="99"/>
      <c r="DL220" s="99"/>
      <c r="DM220" s="99"/>
      <c r="DN220" s="99"/>
      <c r="DO220" s="99"/>
      <c r="DP220" s="99"/>
      <c r="DQ220" s="99"/>
      <c r="DR220" s="99"/>
      <c r="DS220" s="99"/>
      <c r="DT220" s="99"/>
      <c r="DU220" s="99"/>
      <c r="DV220" s="99"/>
      <c r="DW220" s="99"/>
      <c r="DX220" s="99"/>
      <c r="DY220" s="99"/>
      <c r="DZ220" s="99"/>
      <c r="EA220" s="99"/>
      <c r="EB220" s="99"/>
      <c r="EC220" s="99"/>
      <c r="ED220" s="99"/>
      <c r="EE220" s="99"/>
      <c r="EF220" s="99"/>
      <c r="EG220" s="99"/>
      <c r="EH220" s="99"/>
      <c r="EI220" s="99"/>
      <c r="EJ220" s="99"/>
      <c r="EK220" s="99"/>
      <c r="EL220" s="99"/>
      <c r="EM220" s="99"/>
      <c r="EN220" s="99"/>
      <c r="EO220" s="99"/>
      <c r="EP220" s="99"/>
      <c r="EQ220" s="99"/>
      <c r="ER220" s="99"/>
      <c r="ES220" s="99"/>
      <c r="ET220" s="99"/>
      <c r="EU220" s="99"/>
      <c r="EV220" s="99"/>
      <c r="EW220" s="99"/>
      <c r="EX220" s="99"/>
      <c r="EY220" s="99"/>
      <c r="EZ220" s="99"/>
      <c r="FA220" s="99"/>
      <c r="FB220" s="99"/>
      <c r="FC220" s="99"/>
      <c r="FD220" s="99"/>
      <c r="FE220" s="99"/>
      <c r="FF220" s="99"/>
      <c r="FG220" s="99"/>
      <c r="FH220" s="99"/>
      <c r="FI220" s="99"/>
      <c r="FJ220" s="99"/>
      <c r="FK220" s="99"/>
    </row>
    <row r="221" spans="3:167" x14ac:dyDescent="0.25">
      <c r="C221" s="10"/>
      <c r="D221" s="10"/>
      <c r="J221" s="99">
        <v>218</v>
      </c>
      <c r="K221" s="16"/>
      <c r="L221" s="16"/>
      <c r="M221" s="16"/>
      <c r="N221" s="16"/>
      <c r="O221" s="16"/>
      <c r="P221" s="16"/>
      <c r="Q221" s="16"/>
      <c r="R221" s="16"/>
      <c r="S221" s="16"/>
      <c r="T221" s="16"/>
      <c r="U221" s="14">
        <f>SUM(K221:T221)</f>
        <v>0</v>
      </c>
      <c r="V221" s="14"/>
      <c r="X221" s="75" t="str" cm="1">
        <f t="array" ref="X221">MID(";"&amp;'CASE DATA'!$F221&amp;";",SMALL(IF(ISERROR(SEARCH(MID(";"&amp;'CASE DATA'!$F221&amp;";",ROW($1:$99),1),";")),"",ROW($1:$99)+1),COLUMN(A221)),SMALL(IF(ISERROR(SEARCH(MID(";"&amp;'CASE DATA'!$F221&amp;";",ROW($1:$99),1),";")),"",ROW($1:$99)),COLUMN(A220)+1)-SMALL(IF(ISERROR(SEARCH(MID(";"&amp;'CASE DATA'!$F221&amp;";",ROW($1:$99),1),";")),"",ROW($1:$99)),COLUMN(A220))-1)</f>
        <v/>
      </c>
      <c r="Y221" s="75" t="str" cm="1">
        <f t="array" ref="Y221">MID(";"&amp;'CASE DATA'!$F221&amp;";",SMALL(IF(ISERROR(SEARCH(MID(";"&amp;'CASE DATA'!$F221&amp;";",ROW($1:$99),1),";")),"",ROW($1:$99)+1),COLUMN(B221)),SMALL(IF(ISERROR(SEARCH(MID(";"&amp;'CASE DATA'!$F221&amp;";",ROW($1:$99),1),";")),"",ROW($1:$99)),COLUMN(B220)+1)-SMALL(IF(ISERROR(SEARCH(MID(";"&amp;'CASE DATA'!$F221&amp;";",ROW($1:$99),1),";")),"",ROW($1:$99)),COLUMN(B220))-1)</f>
        <v/>
      </c>
      <c r="Z221" s="75" t="str" cm="1">
        <f t="array" ref="Z221">MID(";"&amp;'CASE DATA'!$F221&amp;";",SMALL(IF(ISERROR(SEARCH(MID(";"&amp;'CASE DATA'!$F221&amp;";",ROW($1:$99),1),";")),"",ROW($1:$99)+1),COLUMN(C221)),SMALL(IF(ISERROR(SEARCH(MID(";"&amp;'CASE DATA'!$F221&amp;";",ROW($1:$99),1),";")),"",ROW($1:$99)),COLUMN(C220)+1)-SMALL(IF(ISERROR(SEARCH(MID(";"&amp;'CASE DATA'!$F221&amp;";",ROW($1:$99),1),";")),"",ROW($1:$99)),COLUMN(C220))-1)</f>
        <v/>
      </c>
      <c r="AA221" s="75" t="str" cm="1">
        <f t="array" ref="AA221">MID(";"&amp;'CASE DATA'!$F221&amp;";",SMALL(IF(ISERROR(SEARCH(MID(";"&amp;'CASE DATA'!$F221&amp;";",ROW($1:$99),1),";")),"",ROW($1:$99)+1),COLUMN(D221)),SMALL(IF(ISERROR(SEARCH(MID(";"&amp;'CASE DATA'!$F221&amp;";",ROW($1:$99),1),";")),"",ROW($1:$99)),COLUMN(D220)+1)-SMALL(IF(ISERROR(SEARCH(MID(";"&amp;'CASE DATA'!$F221&amp;";",ROW($1:$99),1),";")),"",ROW($1:$99)),COLUMN(D220))-1)</f>
        <v/>
      </c>
      <c r="AB221" s="75" t="str" cm="1">
        <f t="array" ref="AB221">MID(";"&amp;'CASE DATA'!$F221&amp;";",SMALL(IF(ISERROR(SEARCH(MID(";"&amp;'CASE DATA'!$F221&amp;";",ROW($1:$99),1),";")),"",ROW($1:$99)+1),COLUMN(E221)),SMALL(IF(ISERROR(SEARCH(MID(";"&amp;'CASE DATA'!$F221&amp;";",ROW($1:$99),1),";")),"",ROW($1:$99)),COLUMN(E220)+1)-SMALL(IF(ISERROR(SEARCH(MID(";"&amp;'CASE DATA'!$F221&amp;";",ROW($1:$99),1),";")),"",ROW($1:$99)),COLUMN(E220))-1)</f>
        <v/>
      </c>
      <c r="AC221" s="75" t="str" cm="1">
        <f t="array" ref="AC221">MID(";"&amp;'CASE DATA'!$F221&amp;";",SMALL(IF(ISERROR(SEARCH(MID(";"&amp;'CASE DATA'!$F221&amp;";",ROW($1:$99),1),";")),"",ROW($1:$99)+1),COLUMN(F221)),SMALL(IF(ISERROR(SEARCH(MID(";"&amp;'CASE DATA'!$F221&amp;";",ROW($1:$99),1),";")),"",ROW($1:$99)),COLUMN(F220)+1)-SMALL(IF(ISERROR(SEARCH(MID(";"&amp;'CASE DATA'!$F221&amp;";",ROW($1:$99),1),";")),"",ROW($1:$99)),COLUMN(F220))-1)</f>
        <v/>
      </c>
      <c r="AD221" s="75" t="str" cm="1">
        <f t="array" ref="AD221">MID(";"&amp;'CASE DATA'!$F221&amp;";",SMALL(IF(ISERROR(SEARCH(MID(";"&amp;'CASE DATA'!$F221&amp;";",ROW($1:$99),1),";")),"",ROW($1:$99)+1),COLUMN(G221)),SMALL(IF(ISERROR(SEARCH(MID(";"&amp;'CASE DATA'!$F221&amp;";",ROW($1:$99),1),";")),"",ROW($1:$99)),COLUMN(G220)+1)-SMALL(IF(ISERROR(SEARCH(MID(";"&amp;'CASE DATA'!$F221&amp;";",ROW($1:$99),1),";")),"",ROW($1:$99)),COLUMN(G220))-1)</f>
        <v/>
      </c>
      <c r="AE221" s="75" t="str" cm="1">
        <f t="array" ref="AE221">MID(";"&amp;'CASE DATA'!$F221&amp;";",SMALL(IF(ISERROR(SEARCH(MID(";"&amp;'CASE DATA'!$F221&amp;";",ROW($1:$99),1),";")),"",ROW($1:$99)+1),COLUMN(H221)),SMALL(IF(ISERROR(SEARCH(MID(";"&amp;'CASE DATA'!$F221&amp;";",ROW($1:$99),1),";")),"",ROW($1:$99)),COLUMN(H220)+1)-SMALL(IF(ISERROR(SEARCH(MID(";"&amp;'CASE DATA'!$F221&amp;";",ROW($1:$99),1),";")),"",ROW($1:$99)),COLUMN(H220))-1)</f>
        <v/>
      </c>
      <c r="AF221" s="75" t="str" cm="1">
        <f t="array" ref="AF221">MID(";"&amp;'CASE DATA'!$F221&amp;";",SMALL(IF(ISERROR(SEARCH(MID(";"&amp;'CASE DATA'!$F221&amp;";",ROW($1:$99),1),";")),"",ROW($1:$99)+1),COLUMN(I221)),SMALL(IF(ISERROR(SEARCH(MID(";"&amp;'CASE DATA'!$F221&amp;";",ROW($1:$99),1),";")),"",ROW($1:$99)),COLUMN(I220)+1)-SMALL(IF(ISERROR(SEARCH(MID(";"&amp;'CASE DATA'!$F221&amp;";",ROW($1:$99),1),";")),"",ROW($1:$99)),COLUMN(I220))-1)</f>
        <v/>
      </c>
      <c r="AG221" s="75" t="str" cm="1">
        <f t="array" ref="AG221">MID(";"&amp;'CASE DATA'!$F221&amp;";",SMALL(IF(ISERROR(SEARCH(MID(";"&amp;'CASE DATA'!$F221&amp;";",ROW($1:$99),1),";")),"",ROW($1:$99)+1),COLUMN(K221)),SMALL(IF(ISERROR(SEARCH(MID(";"&amp;'CASE DATA'!$F221&amp;";",ROW($1:$99),1),";")),"",ROW($1:$99)),COLUMN(K220)+1)-SMALL(IF(ISERROR(SEARCH(MID(";"&amp;'CASE DATA'!$F221&amp;";",ROW($1:$99),1),";")),"",ROW($1:$99)),COLUMN(K220))-1)</f>
        <v/>
      </c>
      <c r="AH221" s="75" t="str" cm="1">
        <f t="array" ref="AH221">MID(";"&amp;'CASE DATA'!$F221&amp;";",SMALL(IF(ISERROR(SEARCH(MID(";"&amp;'CASE DATA'!$F221&amp;";",ROW($1:$99),1),";")),"",ROW($1:$99)+1),COLUMN(L221)),SMALL(IF(ISERROR(SEARCH(MID(";"&amp;'CASE DATA'!$F221&amp;";",ROW($1:$99),1),";")),"",ROW($1:$99)),COLUMN(L220)+1)-SMALL(IF(ISERROR(SEARCH(MID(";"&amp;'CASE DATA'!$F221&amp;";",ROW($1:$99),1),";")),"",ROW($1:$99)),COLUMN(L220))-1)</f>
        <v/>
      </c>
      <c r="AI221" s="75" t="str" cm="1">
        <f t="array" ref="AI221">MID(";"&amp;'CASE DATA'!$F221&amp;";",SMALL(IF(ISERROR(SEARCH(MID(";"&amp;'CASE DATA'!$F221&amp;";",ROW($1:$99),1),";")),"",ROW($1:$99)+1),COLUMN(M221)),SMALL(IF(ISERROR(SEARCH(MID(";"&amp;'CASE DATA'!$F221&amp;";",ROW($1:$99),1),";")),"",ROW($1:$99)),COLUMN(M220)+1)-SMALL(IF(ISERROR(SEARCH(MID(";"&amp;'CASE DATA'!$F221&amp;";",ROW($1:$99),1),";")),"",ROW($1:$99)),COLUMN(M220))-1)</f>
        <v/>
      </c>
      <c r="BO221" s="99"/>
      <c r="BP221" s="99"/>
      <c r="BQ221" s="99"/>
      <c r="BR221" s="99"/>
      <c r="BS221" s="99"/>
      <c r="BT221" s="99"/>
      <c r="BU221" s="99"/>
      <c r="BV221" s="99"/>
      <c r="BW221" s="99"/>
      <c r="BX221" s="99"/>
      <c r="BY221" s="99"/>
      <c r="BZ221" s="99"/>
      <c r="CA221" s="99"/>
      <c r="CB221" s="99"/>
      <c r="CC221" s="99"/>
      <c r="CD221" s="99"/>
      <c r="CE221" s="99"/>
      <c r="CF221" s="99"/>
      <c r="CG221" s="99"/>
      <c r="CH221" s="99"/>
      <c r="CI221" s="99"/>
      <c r="CJ221" s="99"/>
      <c r="CK221" s="99"/>
      <c r="CL221" s="99"/>
      <c r="CM221" s="99"/>
      <c r="CN221" s="99"/>
      <c r="CO221" s="99"/>
      <c r="CP221" s="99"/>
      <c r="CQ221" s="99"/>
      <c r="CR221" s="99"/>
      <c r="CS221" s="99"/>
      <c r="CT221" s="99"/>
      <c r="CU221" s="99"/>
      <c r="CV221" s="99"/>
      <c r="CW221" s="99"/>
      <c r="CX221" s="99"/>
      <c r="CY221" s="99"/>
      <c r="CZ221" s="99"/>
      <c r="DA221" s="99"/>
      <c r="DB221" s="99"/>
      <c r="DC221" s="99"/>
      <c r="DD221" s="99"/>
      <c r="DE221" s="99"/>
      <c r="DF221" s="99"/>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99"/>
      <c r="EE221" s="99"/>
      <c r="EF221" s="99"/>
      <c r="EG221" s="99"/>
      <c r="EH221" s="99"/>
      <c r="EI221" s="99"/>
      <c r="EJ221" s="99"/>
      <c r="EK221" s="99"/>
      <c r="EL221" s="99"/>
      <c r="EM221" s="99"/>
      <c r="EN221" s="99"/>
      <c r="EO221" s="99"/>
      <c r="EP221" s="99"/>
      <c r="EQ221" s="99"/>
      <c r="ER221" s="99"/>
      <c r="ES221" s="99"/>
      <c r="ET221" s="99"/>
      <c r="EU221" s="99"/>
      <c r="EV221" s="99"/>
      <c r="EW221" s="99"/>
      <c r="EX221" s="99"/>
      <c r="EY221" s="99"/>
      <c r="EZ221" s="99"/>
      <c r="FA221" s="99"/>
      <c r="FB221" s="99"/>
      <c r="FC221" s="99"/>
      <c r="FD221" s="99"/>
      <c r="FE221" s="99"/>
      <c r="FF221" s="99"/>
      <c r="FG221" s="99"/>
      <c r="FH221" s="99"/>
      <c r="FI221" s="99"/>
      <c r="FJ221" s="99"/>
      <c r="FK221" s="99"/>
    </row>
    <row r="222" spans="3:167" x14ac:dyDescent="0.25">
      <c r="C222" s="10"/>
      <c r="D222" s="10"/>
      <c r="J222" s="99">
        <v>219</v>
      </c>
      <c r="K222" s="16"/>
      <c r="L222" s="16"/>
      <c r="M222" s="16"/>
      <c r="N222" s="16"/>
      <c r="O222" s="16"/>
      <c r="P222" s="16"/>
      <c r="Q222" s="16"/>
      <c r="R222" s="16"/>
      <c r="S222" s="16"/>
      <c r="T222" s="16"/>
      <c r="U222" s="14">
        <f>SUM(K222:T222)</f>
        <v>0</v>
      </c>
      <c r="V222" s="14"/>
      <c r="X222" s="75" t="str" cm="1">
        <f t="array" ref="X222">MID(";"&amp;'CASE DATA'!$F222&amp;";",SMALL(IF(ISERROR(SEARCH(MID(";"&amp;'CASE DATA'!$F222&amp;";",ROW($1:$99),1),";")),"",ROW($1:$99)+1),COLUMN(A222)),SMALL(IF(ISERROR(SEARCH(MID(";"&amp;'CASE DATA'!$F222&amp;";",ROW($1:$99),1),";")),"",ROW($1:$99)),COLUMN(A221)+1)-SMALL(IF(ISERROR(SEARCH(MID(";"&amp;'CASE DATA'!$F222&amp;";",ROW($1:$99),1),";")),"",ROW($1:$99)),COLUMN(A221))-1)</f>
        <v/>
      </c>
      <c r="Y222" s="75" t="str" cm="1">
        <f t="array" ref="Y222">MID(";"&amp;'CASE DATA'!$F222&amp;";",SMALL(IF(ISERROR(SEARCH(MID(";"&amp;'CASE DATA'!$F222&amp;";",ROW($1:$99),1),";")),"",ROW($1:$99)+1),COLUMN(B222)),SMALL(IF(ISERROR(SEARCH(MID(";"&amp;'CASE DATA'!$F222&amp;";",ROW($1:$99),1),";")),"",ROW($1:$99)),COLUMN(B221)+1)-SMALL(IF(ISERROR(SEARCH(MID(";"&amp;'CASE DATA'!$F222&amp;";",ROW($1:$99),1),";")),"",ROW($1:$99)),COLUMN(B221))-1)</f>
        <v/>
      </c>
      <c r="Z222" s="75" t="str" cm="1">
        <f t="array" ref="Z222">MID(";"&amp;'CASE DATA'!$F222&amp;";",SMALL(IF(ISERROR(SEARCH(MID(";"&amp;'CASE DATA'!$F222&amp;";",ROW($1:$99),1),";")),"",ROW($1:$99)+1),COLUMN(C222)),SMALL(IF(ISERROR(SEARCH(MID(";"&amp;'CASE DATA'!$F222&amp;";",ROW($1:$99),1),";")),"",ROW($1:$99)),COLUMN(C221)+1)-SMALL(IF(ISERROR(SEARCH(MID(";"&amp;'CASE DATA'!$F222&amp;";",ROW($1:$99),1),";")),"",ROW($1:$99)),COLUMN(C221))-1)</f>
        <v/>
      </c>
      <c r="AA222" s="75" t="str" cm="1">
        <f t="array" ref="AA222">MID(";"&amp;'CASE DATA'!$F222&amp;";",SMALL(IF(ISERROR(SEARCH(MID(";"&amp;'CASE DATA'!$F222&amp;";",ROW($1:$99),1),";")),"",ROW($1:$99)+1),COLUMN(D222)),SMALL(IF(ISERROR(SEARCH(MID(";"&amp;'CASE DATA'!$F222&amp;";",ROW($1:$99),1),";")),"",ROW($1:$99)),COLUMN(D221)+1)-SMALL(IF(ISERROR(SEARCH(MID(";"&amp;'CASE DATA'!$F222&amp;";",ROW($1:$99),1),";")),"",ROW($1:$99)),COLUMN(D221))-1)</f>
        <v/>
      </c>
      <c r="AB222" s="75" t="str" cm="1">
        <f t="array" ref="AB222">MID(";"&amp;'CASE DATA'!$F222&amp;";",SMALL(IF(ISERROR(SEARCH(MID(";"&amp;'CASE DATA'!$F222&amp;";",ROW($1:$99),1),";")),"",ROW($1:$99)+1),COLUMN(E222)),SMALL(IF(ISERROR(SEARCH(MID(";"&amp;'CASE DATA'!$F222&amp;";",ROW($1:$99),1),";")),"",ROW($1:$99)),COLUMN(E221)+1)-SMALL(IF(ISERROR(SEARCH(MID(";"&amp;'CASE DATA'!$F222&amp;";",ROW($1:$99),1),";")),"",ROW($1:$99)),COLUMN(E221))-1)</f>
        <v/>
      </c>
      <c r="AC222" s="75" t="str" cm="1">
        <f t="array" ref="AC222">MID(";"&amp;'CASE DATA'!$F222&amp;";",SMALL(IF(ISERROR(SEARCH(MID(";"&amp;'CASE DATA'!$F222&amp;";",ROW($1:$99),1),";")),"",ROW($1:$99)+1),COLUMN(F222)),SMALL(IF(ISERROR(SEARCH(MID(";"&amp;'CASE DATA'!$F222&amp;";",ROW($1:$99),1),";")),"",ROW($1:$99)),COLUMN(F221)+1)-SMALL(IF(ISERROR(SEARCH(MID(";"&amp;'CASE DATA'!$F222&amp;";",ROW($1:$99),1),";")),"",ROW($1:$99)),COLUMN(F221))-1)</f>
        <v/>
      </c>
      <c r="AD222" s="75" t="str" cm="1">
        <f t="array" ref="AD222">MID(";"&amp;'CASE DATA'!$F222&amp;";",SMALL(IF(ISERROR(SEARCH(MID(";"&amp;'CASE DATA'!$F222&amp;";",ROW($1:$99),1),";")),"",ROW($1:$99)+1),COLUMN(G222)),SMALL(IF(ISERROR(SEARCH(MID(";"&amp;'CASE DATA'!$F222&amp;";",ROW($1:$99),1),";")),"",ROW($1:$99)),COLUMN(G221)+1)-SMALL(IF(ISERROR(SEARCH(MID(";"&amp;'CASE DATA'!$F222&amp;";",ROW($1:$99),1),";")),"",ROW($1:$99)),COLUMN(G221))-1)</f>
        <v/>
      </c>
      <c r="AE222" s="75" t="str" cm="1">
        <f t="array" ref="AE222">MID(";"&amp;'CASE DATA'!$F222&amp;";",SMALL(IF(ISERROR(SEARCH(MID(";"&amp;'CASE DATA'!$F222&amp;";",ROW($1:$99),1),";")),"",ROW($1:$99)+1),COLUMN(H222)),SMALL(IF(ISERROR(SEARCH(MID(";"&amp;'CASE DATA'!$F222&amp;";",ROW($1:$99),1),";")),"",ROW($1:$99)),COLUMN(H221)+1)-SMALL(IF(ISERROR(SEARCH(MID(";"&amp;'CASE DATA'!$F222&amp;";",ROW($1:$99),1),";")),"",ROW($1:$99)),COLUMN(H221))-1)</f>
        <v/>
      </c>
      <c r="AF222" s="75" t="str" cm="1">
        <f t="array" ref="AF222">MID(";"&amp;'CASE DATA'!$F222&amp;";",SMALL(IF(ISERROR(SEARCH(MID(";"&amp;'CASE DATA'!$F222&amp;";",ROW($1:$99),1),";")),"",ROW($1:$99)+1),COLUMN(I222)),SMALL(IF(ISERROR(SEARCH(MID(";"&amp;'CASE DATA'!$F222&amp;";",ROW($1:$99),1),";")),"",ROW($1:$99)),COLUMN(I221)+1)-SMALL(IF(ISERROR(SEARCH(MID(";"&amp;'CASE DATA'!$F222&amp;";",ROW($1:$99),1),";")),"",ROW($1:$99)),COLUMN(I221))-1)</f>
        <v/>
      </c>
      <c r="AG222" s="75" t="str" cm="1">
        <f t="array" ref="AG222">MID(";"&amp;'CASE DATA'!$F222&amp;";",SMALL(IF(ISERROR(SEARCH(MID(";"&amp;'CASE DATA'!$F222&amp;";",ROW($1:$99),1),";")),"",ROW($1:$99)+1),COLUMN(K222)),SMALL(IF(ISERROR(SEARCH(MID(";"&amp;'CASE DATA'!$F222&amp;";",ROW($1:$99),1),";")),"",ROW($1:$99)),COLUMN(K221)+1)-SMALL(IF(ISERROR(SEARCH(MID(";"&amp;'CASE DATA'!$F222&amp;";",ROW($1:$99),1),";")),"",ROW($1:$99)),COLUMN(K221))-1)</f>
        <v/>
      </c>
      <c r="AH222" s="75" t="str" cm="1">
        <f t="array" ref="AH222">MID(";"&amp;'CASE DATA'!$F222&amp;";",SMALL(IF(ISERROR(SEARCH(MID(";"&amp;'CASE DATA'!$F222&amp;";",ROW($1:$99),1),";")),"",ROW($1:$99)+1),COLUMN(L222)),SMALL(IF(ISERROR(SEARCH(MID(";"&amp;'CASE DATA'!$F222&amp;";",ROW($1:$99),1),";")),"",ROW($1:$99)),COLUMN(L221)+1)-SMALL(IF(ISERROR(SEARCH(MID(";"&amp;'CASE DATA'!$F222&amp;";",ROW($1:$99),1),";")),"",ROW($1:$99)),COLUMN(L221))-1)</f>
        <v/>
      </c>
      <c r="AI222" s="75" t="str" cm="1">
        <f t="array" ref="AI222">MID(";"&amp;'CASE DATA'!$F222&amp;";",SMALL(IF(ISERROR(SEARCH(MID(";"&amp;'CASE DATA'!$F222&amp;";",ROW($1:$99),1),";")),"",ROW($1:$99)+1),COLUMN(M222)),SMALL(IF(ISERROR(SEARCH(MID(";"&amp;'CASE DATA'!$F222&amp;";",ROW($1:$99),1),";")),"",ROW($1:$99)),COLUMN(M221)+1)-SMALL(IF(ISERROR(SEARCH(MID(";"&amp;'CASE DATA'!$F222&amp;";",ROW($1:$99),1),";")),"",ROW($1:$99)),COLUMN(M221))-1)</f>
        <v/>
      </c>
      <c r="BO222" s="99"/>
      <c r="BP222" s="99"/>
      <c r="BQ222" s="99"/>
      <c r="BR222" s="99"/>
      <c r="BS222" s="99"/>
      <c r="BT222" s="99"/>
      <c r="BU222" s="99"/>
      <c r="BV222" s="99"/>
      <c r="BW222" s="99"/>
      <c r="BX222" s="99"/>
      <c r="BY222" s="99"/>
      <c r="BZ222" s="99"/>
      <c r="CA222" s="99"/>
      <c r="CB222" s="99"/>
      <c r="CC222" s="99"/>
      <c r="CD222" s="99"/>
      <c r="CE222" s="99"/>
      <c r="CF222" s="99"/>
      <c r="CG222" s="99"/>
      <c r="CH222" s="99"/>
      <c r="CI222" s="99"/>
      <c r="CJ222" s="99"/>
      <c r="CK222" s="99"/>
      <c r="CL222" s="99"/>
      <c r="CM222" s="99"/>
      <c r="CN222" s="99"/>
      <c r="CO222" s="99"/>
      <c r="CP222" s="99"/>
      <c r="CQ222" s="99"/>
      <c r="CR222" s="99"/>
      <c r="CS222" s="99"/>
      <c r="CT222" s="99"/>
      <c r="CU222" s="99"/>
      <c r="CV222" s="99"/>
      <c r="CW222" s="99"/>
      <c r="CX222" s="99"/>
      <c r="CY222" s="99"/>
      <c r="CZ222" s="99"/>
      <c r="DA222" s="99"/>
      <c r="DB222" s="99"/>
      <c r="DC222" s="99"/>
      <c r="DD222" s="99"/>
      <c r="DE222" s="99"/>
      <c r="DF222" s="99"/>
      <c r="DG222" s="99"/>
      <c r="DH222" s="99"/>
      <c r="DI222" s="99"/>
      <c r="DJ222" s="99"/>
      <c r="DK222" s="99"/>
      <c r="DL222" s="99"/>
      <c r="DM222" s="99"/>
      <c r="DN222" s="99"/>
      <c r="DO222" s="99"/>
      <c r="DP222" s="99"/>
      <c r="DQ222" s="99"/>
      <c r="DR222" s="99"/>
      <c r="DS222" s="99"/>
      <c r="DT222" s="99"/>
      <c r="DU222" s="99"/>
      <c r="DV222" s="99"/>
      <c r="DW222" s="99"/>
      <c r="DX222" s="99"/>
      <c r="DY222" s="99"/>
      <c r="DZ222" s="99"/>
      <c r="EA222" s="99"/>
      <c r="EB222" s="99"/>
      <c r="EC222" s="99"/>
      <c r="ED222" s="99"/>
      <c r="EE222" s="99"/>
      <c r="EF222" s="99"/>
      <c r="EG222" s="99"/>
      <c r="EH222" s="99"/>
      <c r="EI222" s="99"/>
      <c r="EJ222" s="99"/>
      <c r="EK222" s="99"/>
      <c r="EL222" s="99"/>
      <c r="EM222" s="99"/>
      <c r="EN222" s="99"/>
      <c r="EO222" s="99"/>
      <c r="EP222" s="99"/>
      <c r="EQ222" s="99"/>
      <c r="ER222" s="99"/>
      <c r="ES222" s="99"/>
      <c r="ET222" s="99"/>
      <c r="EU222" s="99"/>
      <c r="EV222" s="99"/>
      <c r="EW222" s="99"/>
      <c r="EX222" s="99"/>
      <c r="EY222" s="99"/>
      <c r="EZ222" s="99"/>
      <c r="FA222" s="99"/>
      <c r="FB222" s="99"/>
      <c r="FC222" s="99"/>
      <c r="FD222" s="99"/>
      <c r="FE222" s="99"/>
      <c r="FF222" s="99"/>
      <c r="FG222" s="99"/>
      <c r="FH222" s="99"/>
      <c r="FI222" s="99"/>
      <c r="FJ222" s="99"/>
      <c r="FK222" s="99"/>
    </row>
    <row r="223" spans="3:167" x14ac:dyDescent="0.25">
      <c r="C223" s="10"/>
      <c r="D223" s="10"/>
      <c r="J223" s="99">
        <v>220</v>
      </c>
      <c r="K223" s="16"/>
      <c r="L223" s="16"/>
      <c r="M223" s="16"/>
      <c r="N223" s="16"/>
      <c r="O223" s="16"/>
      <c r="P223" s="16"/>
      <c r="Q223" s="16"/>
      <c r="R223" s="16"/>
      <c r="S223" s="16"/>
      <c r="T223" s="16"/>
      <c r="U223" s="14">
        <f>SUM(K223:T223)</f>
        <v>0</v>
      </c>
      <c r="V223" s="14"/>
      <c r="X223" s="75" t="str" cm="1">
        <f t="array" ref="X223">MID(";"&amp;'CASE DATA'!$F223&amp;";",SMALL(IF(ISERROR(SEARCH(MID(";"&amp;'CASE DATA'!$F223&amp;";",ROW($1:$99),1),";")),"",ROW($1:$99)+1),COLUMN(A223)),SMALL(IF(ISERROR(SEARCH(MID(";"&amp;'CASE DATA'!$F223&amp;";",ROW($1:$99),1),";")),"",ROW($1:$99)),COLUMN(A222)+1)-SMALL(IF(ISERROR(SEARCH(MID(";"&amp;'CASE DATA'!$F223&amp;";",ROW($1:$99),1),";")),"",ROW($1:$99)),COLUMN(A222))-1)</f>
        <v/>
      </c>
      <c r="Y223" s="75" t="str" cm="1">
        <f t="array" ref="Y223">MID(";"&amp;'CASE DATA'!$F223&amp;";",SMALL(IF(ISERROR(SEARCH(MID(";"&amp;'CASE DATA'!$F223&amp;";",ROW($1:$99),1),";")),"",ROW($1:$99)+1),COLUMN(B223)),SMALL(IF(ISERROR(SEARCH(MID(";"&amp;'CASE DATA'!$F223&amp;";",ROW($1:$99),1),";")),"",ROW($1:$99)),COLUMN(B222)+1)-SMALL(IF(ISERROR(SEARCH(MID(";"&amp;'CASE DATA'!$F223&amp;";",ROW($1:$99),1),";")),"",ROW($1:$99)),COLUMN(B222))-1)</f>
        <v/>
      </c>
      <c r="Z223" s="75" t="str" cm="1">
        <f t="array" ref="Z223">MID(";"&amp;'CASE DATA'!$F223&amp;";",SMALL(IF(ISERROR(SEARCH(MID(";"&amp;'CASE DATA'!$F223&amp;";",ROW($1:$99),1),";")),"",ROW($1:$99)+1),COLUMN(C223)),SMALL(IF(ISERROR(SEARCH(MID(";"&amp;'CASE DATA'!$F223&amp;";",ROW($1:$99),1),";")),"",ROW($1:$99)),COLUMN(C222)+1)-SMALL(IF(ISERROR(SEARCH(MID(";"&amp;'CASE DATA'!$F223&amp;";",ROW($1:$99),1),";")),"",ROW($1:$99)),COLUMN(C222))-1)</f>
        <v/>
      </c>
      <c r="AA223" s="75" t="str" cm="1">
        <f t="array" ref="AA223">MID(";"&amp;'CASE DATA'!$F223&amp;";",SMALL(IF(ISERROR(SEARCH(MID(";"&amp;'CASE DATA'!$F223&amp;";",ROW($1:$99),1),";")),"",ROW($1:$99)+1),COLUMN(D223)),SMALL(IF(ISERROR(SEARCH(MID(";"&amp;'CASE DATA'!$F223&amp;";",ROW($1:$99),1),";")),"",ROW($1:$99)),COLUMN(D222)+1)-SMALL(IF(ISERROR(SEARCH(MID(";"&amp;'CASE DATA'!$F223&amp;";",ROW($1:$99),1),";")),"",ROW($1:$99)),COLUMN(D222))-1)</f>
        <v/>
      </c>
      <c r="AB223" s="75" t="str" cm="1">
        <f t="array" ref="AB223">MID(";"&amp;'CASE DATA'!$F223&amp;";",SMALL(IF(ISERROR(SEARCH(MID(";"&amp;'CASE DATA'!$F223&amp;";",ROW($1:$99),1),";")),"",ROW($1:$99)+1),COLUMN(E223)),SMALL(IF(ISERROR(SEARCH(MID(";"&amp;'CASE DATA'!$F223&amp;";",ROW($1:$99),1),";")),"",ROW($1:$99)),COLUMN(E222)+1)-SMALL(IF(ISERROR(SEARCH(MID(";"&amp;'CASE DATA'!$F223&amp;";",ROW($1:$99),1),";")),"",ROW($1:$99)),COLUMN(E222))-1)</f>
        <v/>
      </c>
      <c r="AC223" s="75" t="str" cm="1">
        <f t="array" ref="AC223">MID(";"&amp;'CASE DATA'!$F223&amp;";",SMALL(IF(ISERROR(SEARCH(MID(";"&amp;'CASE DATA'!$F223&amp;";",ROW($1:$99),1),";")),"",ROW($1:$99)+1),COLUMN(F223)),SMALL(IF(ISERROR(SEARCH(MID(";"&amp;'CASE DATA'!$F223&amp;";",ROW($1:$99),1),";")),"",ROW($1:$99)),COLUMN(F222)+1)-SMALL(IF(ISERROR(SEARCH(MID(";"&amp;'CASE DATA'!$F223&amp;";",ROW($1:$99),1),";")),"",ROW($1:$99)),COLUMN(F222))-1)</f>
        <v/>
      </c>
      <c r="AD223" s="75" t="str" cm="1">
        <f t="array" ref="AD223">MID(";"&amp;'CASE DATA'!$F223&amp;";",SMALL(IF(ISERROR(SEARCH(MID(";"&amp;'CASE DATA'!$F223&amp;";",ROW($1:$99),1),";")),"",ROW($1:$99)+1),COLUMN(G223)),SMALL(IF(ISERROR(SEARCH(MID(";"&amp;'CASE DATA'!$F223&amp;";",ROW($1:$99),1),";")),"",ROW($1:$99)),COLUMN(G222)+1)-SMALL(IF(ISERROR(SEARCH(MID(";"&amp;'CASE DATA'!$F223&amp;";",ROW($1:$99),1),";")),"",ROW($1:$99)),COLUMN(G222))-1)</f>
        <v/>
      </c>
      <c r="AE223" s="75" t="str" cm="1">
        <f t="array" ref="AE223">MID(";"&amp;'CASE DATA'!$F223&amp;";",SMALL(IF(ISERROR(SEARCH(MID(";"&amp;'CASE DATA'!$F223&amp;";",ROW($1:$99),1),";")),"",ROW($1:$99)+1),COLUMN(H223)),SMALL(IF(ISERROR(SEARCH(MID(";"&amp;'CASE DATA'!$F223&amp;";",ROW($1:$99),1),";")),"",ROW($1:$99)),COLUMN(H222)+1)-SMALL(IF(ISERROR(SEARCH(MID(";"&amp;'CASE DATA'!$F223&amp;";",ROW($1:$99),1),";")),"",ROW($1:$99)),COLUMN(H222))-1)</f>
        <v/>
      </c>
      <c r="AF223" s="75" t="str" cm="1">
        <f t="array" ref="AF223">MID(";"&amp;'CASE DATA'!$F223&amp;";",SMALL(IF(ISERROR(SEARCH(MID(";"&amp;'CASE DATA'!$F223&amp;";",ROW($1:$99),1),";")),"",ROW($1:$99)+1),COLUMN(I223)),SMALL(IF(ISERROR(SEARCH(MID(";"&amp;'CASE DATA'!$F223&amp;";",ROW($1:$99),1),";")),"",ROW($1:$99)),COLUMN(I222)+1)-SMALL(IF(ISERROR(SEARCH(MID(";"&amp;'CASE DATA'!$F223&amp;";",ROW($1:$99),1),";")),"",ROW($1:$99)),COLUMN(I222))-1)</f>
        <v/>
      </c>
      <c r="AG223" s="75" t="str" cm="1">
        <f t="array" ref="AG223">MID(";"&amp;'CASE DATA'!$F223&amp;";",SMALL(IF(ISERROR(SEARCH(MID(";"&amp;'CASE DATA'!$F223&amp;";",ROW($1:$99),1),";")),"",ROW($1:$99)+1),COLUMN(K223)),SMALL(IF(ISERROR(SEARCH(MID(";"&amp;'CASE DATA'!$F223&amp;";",ROW($1:$99),1),";")),"",ROW($1:$99)),COLUMN(K222)+1)-SMALL(IF(ISERROR(SEARCH(MID(";"&amp;'CASE DATA'!$F223&amp;";",ROW($1:$99),1),";")),"",ROW($1:$99)),COLUMN(K222))-1)</f>
        <v/>
      </c>
      <c r="AH223" s="75" t="str" cm="1">
        <f t="array" ref="AH223">MID(";"&amp;'CASE DATA'!$F223&amp;";",SMALL(IF(ISERROR(SEARCH(MID(";"&amp;'CASE DATA'!$F223&amp;";",ROW($1:$99),1),";")),"",ROW($1:$99)+1),COLUMN(L223)),SMALL(IF(ISERROR(SEARCH(MID(";"&amp;'CASE DATA'!$F223&amp;";",ROW($1:$99),1),";")),"",ROW($1:$99)),COLUMN(L222)+1)-SMALL(IF(ISERROR(SEARCH(MID(";"&amp;'CASE DATA'!$F223&amp;";",ROW($1:$99),1),";")),"",ROW($1:$99)),COLUMN(L222))-1)</f>
        <v/>
      </c>
      <c r="AI223" s="75" t="str" cm="1">
        <f t="array" ref="AI223">MID(";"&amp;'CASE DATA'!$F223&amp;";",SMALL(IF(ISERROR(SEARCH(MID(";"&amp;'CASE DATA'!$F223&amp;";",ROW($1:$99),1),";")),"",ROW($1:$99)+1),COLUMN(M223)),SMALL(IF(ISERROR(SEARCH(MID(";"&amp;'CASE DATA'!$F223&amp;";",ROW($1:$99),1),";")),"",ROW($1:$99)),COLUMN(M222)+1)-SMALL(IF(ISERROR(SEARCH(MID(";"&amp;'CASE DATA'!$F223&amp;";",ROW($1:$99),1),";")),"",ROW($1:$99)),COLUMN(M222))-1)</f>
        <v/>
      </c>
      <c r="BO223" s="99"/>
      <c r="BP223" s="99"/>
      <c r="BQ223" s="99"/>
      <c r="BR223" s="99"/>
      <c r="BS223" s="99"/>
      <c r="BT223" s="99"/>
      <c r="BU223" s="99"/>
      <c r="BV223" s="99"/>
      <c r="BW223" s="99"/>
      <c r="BX223" s="99"/>
      <c r="BY223" s="99"/>
      <c r="BZ223" s="99"/>
      <c r="CA223" s="99"/>
      <c r="CB223" s="99"/>
      <c r="CC223" s="99"/>
      <c r="CD223" s="99"/>
      <c r="CE223" s="99"/>
      <c r="CF223" s="99"/>
      <c r="CG223" s="99"/>
      <c r="CH223" s="99"/>
      <c r="CI223" s="99"/>
      <c r="CJ223" s="99"/>
      <c r="CK223" s="99"/>
      <c r="CL223" s="99"/>
      <c r="CM223" s="99"/>
      <c r="CN223" s="99"/>
      <c r="CO223" s="99"/>
      <c r="CP223" s="99"/>
      <c r="CQ223" s="99"/>
      <c r="CR223" s="99"/>
      <c r="CS223" s="99"/>
      <c r="CT223" s="99"/>
      <c r="CU223" s="99"/>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99"/>
      <c r="EE223" s="99"/>
      <c r="EF223" s="99"/>
      <c r="EG223" s="99"/>
      <c r="EH223" s="99"/>
      <c r="EI223" s="99"/>
      <c r="EJ223" s="99"/>
      <c r="EK223" s="99"/>
      <c r="EL223" s="99"/>
      <c r="EM223" s="99"/>
      <c r="EN223" s="99"/>
      <c r="EO223" s="99"/>
      <c r="EP223" s="99"/>
      <c r="EQ223" s="99"/>
      <c r="ER223" s="99"/>
      <c r="ES223" s="99"/>
      <c r="ET223" s="99"/>
      <c r="EU223" s="99"/>
      <c r="EV223" s="99"/>
      <c r="EW223" s="99"/>
      <c r="EX223" s="99"/>
      <c r="EY223" s="99"/>
      <c r="EZ223" s="99"/>
      <c r="FA223" s="99"/>
      <c r="FB223" s="99"/>
      <c r="FC223" s="99"/>
      <c r="FD223" s="99"/>
      <c r="FE223" s="99"/>
      <c r="FF223" s="99"/>
      <c r="FG223" s="99"/>
      <c r="FH223" s="99"/>
      <c r="FI223" s="99"/>
      <c r="FJ223" s="99"/>
      <c r="FK223" s="99"/>
    </row>
    <row r="224" spans="3:167" x14ac:dyDescent="0.25">
      <c r="C224" s="10"/>
      <c r="D224" s="10"/>
      <c r="J224" s="99">
        <v>221</v>
      </c>
      <c r="K224" s="16"/>
      <c r="L224" s="16"/>
      <c r="M224" s="16"/>
      <c r="N224" s="16"/>
      <c r="O224" s="16"/>
      <c r="P224" s="16"/>
      <c r="Q224" s="16"/>
      <c r="R224" s="16"/>
      <c r="S224" s="16"/>
      <c r="T224" s="16"/>
      <c r="U224" s="14">
        <f>SUM(K224:T224)</f>
        <v>0</v>
      </c>
      <c r="V224" s="14"/>
      <c r="X224" s="75" t="str" cm="1">
        <f t="array" ref="X224">MID(";"&amp;'CASE DATA'!$F224&amp;";",SMALL(IF(ISERROR(SEARCH(MID(";"&amp;'CASE DATA'!$F224&amp;";",ROW($1:$99),1),";")),"",ROW($1:$99)+1),COLUMN(A224)),SMALL(IF(ISERROR(SEARCH(MID(";"&amp;'CASE DATA'!$F224&amp;";",ROW($1:$99),1),";")),"",ROW($1:$99)),COLUMN(A223)+1)-SMALL(IF(ISERROR(SEARCH(MID(";"&amp;'CASE DATA'!$F224&amp;";",ROW($1:$99),1),";")),"",ROW($1:$99)),COLUMN(A223))-1)</f>
        <v/>
      </c>
      <c r="Y224" s="75" t="str" cm="1">
        <f t="array" ref="Y224">MID(";"&amp;'CASE DATA'!$F224&amp;";",SMALL(IF(ISERROR(SEARCH(MID(";"&amp;'CASE DATA'!$F224&amp;";",ROW($1:$99),1),";")),"",ROW($1:$99)+1),COLUMN(B224)),SMALL(IF(ISERROR(SEARCH(MID(";"&amp;'CASE DATA'!$F224&amp;";",ROW($1:$99),1),";")),"",ROW($1:$99)),COLUMN(B223)+1)-SMALL(IF(ISERROR(SEARCH(MID(";"&amp;'CASE DATA'!$F224&amp;";",ROW($1:$99),1),";")),"",ROW($1:$99)),COLUMN(B223))-1)</f>
        <v/>
      </c>
      <c r="Z224" s="75" t="str" cm="1">
        <f t="array" ref="Z224">MID(";"&amp;'CASE DATA'!$F224&amp;";",SMALL(IF(ISERROR(SEARCH(MID(";"&amp;'CASE DATA'!$F224&amp;";",ROW($1:$99),1),";")),"",ROW($1:$99)+1),COLUMN(C224)),SMALL(IF(ISERROR(SEARCH(MID(";"&amp;'CASE DATA'!$F224&amp;";",ROW($1:$99),1),";")),"",ROW($1:$99)),COLUMN(C223)+1)-SMALL(IF(ISERROR(SEARCH(MID(";"&amp;'CASE DATA'!$F224&amp;";",ROW($1:$99),1),";")),"",ROW($1:$99)),COLUMN(C223))-1)</f>
        <v/>
      </c>
      <c r="AA224" s="75" t="str" cm="1">
        <f t="array" ref="AA224">MID(";"&amp;'CASE DATA'!$F224&amp;";",SMALL(IF(ISERROR(SEARCH(MID(";"&amp;'CASE DATA'!$F224&amp;";",ROW($1:$99),1),";")),"",ROW($1:$99)+1),COLUMN(D224)),SMALL(IF(ISERROR(SEARCH(MID(";"&amp;'CASE DATA'!$F224&amp;";",ROW($1:$99),1),";")),"",ROW($1:$99)),COLUMN(D223)+1)-SMALL(IF(ISERROR(SEARCH(MID(";"&amp;'CASE DATA'!$F224&amp;";",ROW($1:$99),1),";")),"",ROW($1:$99)),COLUMN(D223))-1)</f>
        <v/>
      </c>
      <c r="AB224" s="75" t="str" cm="1">
        <f t="array" ref="AB224">MID(";"&amp;'CASE DATA'!$F224&amp;";",SMALL(IF(ISERROR(SEARCH(MID(";"&amp;'CASE DATA'!$F224&amp;";",ROW($1:$99),1),";")),"",ROW($1:$99)+1),COLUMN(E224)),SMALL(IF(ISERROR(SEARCH(MID(";"&amp;'CASE DATA'!$F224&amp;";",ROW($1:$99),1),";")),"",ROW($1:$99)),COLUMN(E223)+1)-SMALL(IF(ISERROR(SEARCH(MID(";"&amp;'CASE DATA'!$F224&amp;";",ROW($1:$99),1),";")),"",ROW($1:$99)),COLUMN(E223))-1)</f>
        <v/>
      </c>
      <c r="AC224" s="75" t="str" cm="1">
        <f t="array" ref="AC224">MID(";"&amp;'CASE DATA'!$F224&amp;";",SMALL(IF(ISERROR(SEARCH(MID(";"&amp;'CASE DATA'!$F224&amp;";",ROW($1:$99),1),";")),"",ROW($1:$99)+1),COLUMN(F224)),SMALL(IF(ISERROR(SEARCH(MID(";"&amp;'CASE DATA'!$F224&amp;";",ROW($1:$99),1),";")),"",ROW($1:$99)),COLUMN(F223)+1)-SMALL(IF(ISERROR(SEARCH(MID(";"&amp;'CASE DATA'!$F224&amp;";",ROW($1:$99),1),";")),"",ROW($1:$99)),COLUMN(F223))-1)</f>
        <v/>
      </c>
      <c r="AD224" s="75" t="str" cm="1">
        <f t="array" ref="AD224">MID(";"&amp;'CASE DATA'!$F224&amp;";",SMALL(IF(ISERROR(SEARCH(MID(";"&amp;'CASE DATA'!$F224&amp;";",ROW($1:$99),1),";")),"",ROW($1:$99)+1),COLUMN(G224)),SMALL(IF(ISERROR(SEARCH(MID(";"&amp;'CASE DATA'!$F224&amp;";",ROW($1:$99),1),";")),"",ROW($1:$99)),COLUMN(G223)+1)-SMALL(IF(ISERROR(SEARCH(MID(";"&amp;'CASE DATA'!$F224&amp;";",ROW($1:$99),1),";")),"",ROW($1:$99)),COLUMN(G223))-1)</f>
        <v/>
      </c>
      <c r="AE224" s="75" t="str" cm="1">
        <f t="array" ref="AE224">MID(";"&amp;'CASE DATA'!$F224&amp;";",SMALL(IF(ISERROR(SEARCH(MID(";"&amp;'CASE DATA'!$F224&amp;";",ROW($1:$99),1),";")),"",ROW($1:$99)+1),COLUMN(H224)),SMALL(IF(ISERROR(SEARCH(MID(";"&amp;'CASE DATA'!$F224&amp;";",ROW($1:$99),1),";")),"",ROW($1:$99)),COLUMN(H223)+1)-SMALL(IF(ISERROR(SEARCH(MID(";"&amp;'CASE DATA'!$F224&amp;";",ROW($1:$99),1),";")),"",ROW($1:$99)),COLUMN(H223))-1)</f>
        <v/>
      </c>
      <c r="AF224" s="75" t="str" cm="1">
        <f t="array" ref="AF224">MID(";"&amp;'CASE DATA'!$F224&amp;";",SMALL(IF(ISERROR(SEARCH(MID(";"&amp;'CASE DATA'!$F224&amp;";",ROW($1:$99),1),";")),"",ROW($1:$99)+1),COLUMN(I224)),SMALL(IF(ISERROR(SEARCH(MID(";"&amp;'CASE DATA'!$F224&amp;";",ROW($1:$99),1),";")),"",ROW($1:$99)),COLUMN(I223)+1)-SMALL(IF(ISERROR(SEARCH(MID(";"&amp;'CASE DATA'!$F224&amp;";",ROW($1:$99),1),";")),"",ROW($1:$99)),COLUMN(I223))-1)</f>
        <v/>
      </c>
      <c r="AG224" s="75" t="str" cm="1">
        <f t="array" ref="AG224">MID(";"&amp;'CASE DATA'!$F224&amp;";",SMALL(IF(ISERROR(SEARCH(MID(";"&amp;'CASE DATA'!$F224&amp;";",ROW($1:$99),1),";")),"",ROW($1:$99)+1),COLUMN(K224)),SMALL(IF(ISERROR(SEARCH(MID(";"&amp;'CASE DATA'!$F224&amp;";",ROW($1:$99),1),";")),"",ROW($1:$99)),COLUMN(K223)+1)-SMALL(IF(ISERROR(SEARCH(MID(";"&amp;'CASE DATA'!$F224&amp;";",ROW($1:$99),1),";")),"",ROW($1:$99)),COLUMN(K223))-1)</f>
        <v/>
      </c>
      <c r="AH224" s="75" t="str" cm="1">
        <f t="array" ref="AH224">MID(";"&amp;'CASE DATA'!$F224&amp;";",SMALL(IF(ISERROR(SEARCH(MID(";"&amp;'CASE DATA'!$F224&amp;";",ROW($1:$99),1),";")),"",ROW($1:$99)+1),COLUMN(L224)),SMALL(IF(ISERROR(SEARCH(MID(";"&amp;'CASE DATA'!$F224&amp;";",ROW($1:$99),1),";")),"",ROW($1:$99)),COLUMN(L223)+1)-SMALL(IF(ISERROR(SEARCH(MID(";"&amp;'CASE DATA'!$F224&amp;";",ROW($1:$99),1),";")),"",ROW($1:$99)),COLUMN(L223))-1)</f>
        <v/>
      </c>
      <c r="AI224" s="75" t="str" cm="1">
        <f t="array" ref="AI224">MID(";"&amp;'CASE DATA'!$F224&amp;";",SMALL(IF(ISERROR(SEARCH(MID(";"&amp;'CASE DATA'!$F224&amp;";",ROW($1:$99),1),";")),"",ROW($1:$99)+1),COLUMN(M224)),SMALL(IF(ISERROR(SEARCH(MID(";"&amp;'CASE DATA'!$F224&amp;";",ROW($1:$99),1),";")),"",ROW($1:$99)),COLUMN(M223)+1)-SMALL(IF(ISERROR(SEARCH(MID(";"&amp;'CASE DATA'!$F224&amp;";",ROW($1:$99),1),";")),"",ROW($1:$99)),COLUMN(M223))-1)</f>
        <v/>
      </c>
      <c r="BO224" s="99"/>
      <c r="BP224" s="99"/>
      <c r="BQ224" s="99"/>
      <c r="BR224" s="99"/>
      <c r="BS224" s="99"/>
      <c r="BT224" s="99"/>
      <c r="BU224" s="99"/>
      <c r="BV224" s="99"/>
      <c r="BW224" s="99"/>
      <c r="BX224" s="99"/>
      <c r="BY224" s="99"/>
      <c r="BZ224" s="99"/>
      <c r="CA224" s="99"/>
      <c r="CB224" s="99"/>
      <c r="CC224" s="99"/>
      <c r="CD224" s="99"/>
      <c r="CE224" s="99"/>
      <c r="CF224" s="99"/>
      <c r="CG224" s="99"/>
      <c r="CH224" s="99"/>
      <c r="CI224" s="99"/>
      <c r="CJ224" s="99"/>
      <c r="CK224" s="99"/>
      <c r="CL224" s="99"/>
      <c r="CM224" s="99"/>
      <c r="CN224" s="99"/>
      <c r="CO224" s="99"/>
      <c r="CP224" s="99"/>
      <c r="CQ224" s="99"/>
      <c r="CR224" s="99"/>
      <c r="CS224" s="99"/>
      <c r="CT224" s="99"/>
      <c r="CU224" s="99"/>
      <c r="CV224" s="99"/>
      <c r="CW224" s="99"/>
      <c r="CX224" s="99"/>
      <c r="CY224" s="99"/>
      <c r="CZ224" s="99"/>
      <c r="DA224" s="99"/>
      <c r="DB224" s="99"/>
      <c r="DC224" s="99"/>
      <c r="DD224" s="99"/>
      <c r="DE224" s="99"/>
      <c r="DF224" s="99"/>
      <c r="DG224" s="99"/>
      <c r="DH224" s="99"/>
      <c r="DI224" s="99"/>
      <c r="DJ224" s="99"/>
      <c r="DK224" s="99"/>
      <c r="DL224" s="99"/>
      <c r="DM224" s="99"/>
      <c r="DN224" s="99"/>
      <c r="DO224" s="99"/>
      <c r="DP224" s="99"/>
      <c r="DQ224" s="99"/>
      <c r="DR224" s="99"/>
      <c r="DS224" s="99"/>
      <c r="DT224" s="99"/>
      <c r="DU224" s="99"/>
      <c r="DV224" s="99"/>
      <c r="DW224" s="99"/>
      <c r="DX224" s="99"/>
      <c r="DY224" s="99"/>
      <c r="DZ224" s="99"/>
      <c r="EA224" s="99"/>
      <c r="EB224" s="99"/>
      <c r="EC224" s="99"/>
      <c r="ED224" s="99"/>
      <c r="EE224" s="99"/>
      <c r="EF224" s="99"/>
      <c r="EG224" s="99"/>
      <c r="EH224" s="99"/>
      <c r="EI224" s="99"/>
      <c r="EJ224" s="99"/>
      <c r="EK224" s="99"/>
      <c r="EL224" s="99"/>
      <c r="EM224" s="99"/>
      <c r="EN224" s="99"/>
      <c r="EO224" s="99"/>
      <c r="EP224" s="99"/>
      <c r="EQ224" s="99"/>
      <c r="ER224" s="99"/>
      <c r="ES224" s="99"/>
      <c r="ET224" s="99"/>
      <c r="EU224" s="99"/>
      <c r="EV224" s="99"/>
      <c r="EW224" s="99"/>
      <c r="EX224" s="99"/>
      <c r="EY224" s="99"/>
      <c r="EZ224" s="99"/>
      <c r="FA224" s="99"/>
      <c r="FB224" s="99"/>
      <c r="FC224" s="99"/>
      <c r="FD224" s="99"/>
      <c r="FE224" s="99"/>
      <c r="FF224" s="99"/>
      <c r="FG224" s="99"/>
      <c r="FH224" s="99"/>
      <c r="FI224" s="99"/>
      <c r="FJ224" s="99"/>
      <c r="FK224" s="99"/>
    </row>
    <row r="225" spans="3:167" x14ac:dyDescent="0.25">
      <c r="C225" s="10"/>
      <c r="D225" s="10"/>
      <c r="J225" s="99">
        <v>222</v>
      </c>
      <c r="K225" s="16"/>
      <c r="L225" s="16"/>
      <c r="M225" s="16"/>
      <c r="N225" s="16"/>
      <c r="O225" s="16"/>
      <c r="P225" s="16"/>
      <c r="Q225" s="16"/>
      <c r="R225" s="16"/>
      <c r="S225" s="16"/>
      <c r="T225" s="16"/>
      <c r="U225" s="14">
        <f>SUM(K225:T225)</f>
        <v>0</v>
      </c>
      <c r="V225" s="14"/>
      <c r="X225" s="75" t="str" cm="1">
        <f t="array" ref="X225">MID(";"&amp;'CASE DATA'!$F225&amp;";",SMALL(IF(ISERROR(SEARCH(MID(";"&amp;'CASE DATA'!$F225&amp;";",ROW($1:$99),1),";")),"",ROW($1:$99)+1),COLUMN(A225)),SMALL(IF(ISERROR(SEARCH(MID(";"&amp;'CASE DATA'!$F225&amp;";",ROW($1:$99),1),";")),"",ROW($1:$99)),COLUMN(A224)+1)-SMALL(IF(ISERROR(SEARCH(MID(";"&amp;'CASE DATA'!$F225&amp;";",ROW($1:$99),1),";")),"",ROW($1:$99)),COLUMN(A224))-1)</f>
        <v/>
      </c>
      <c r="Y225" s="75" t="str" cm="1">
        <f t="array" ref="Y225">MID(";"&amp;'CASE DATA'!$F225&amp;";",SMALL(IF(ISERROR(SEARCH(MID(";"&amp;'CASE DATA'!$F225&amp;";",ROW($1:$99),1),";")),"",ROW($1:$99)+1),COLUMN(B225)),SMALL(IF(ISERROR(SEARCH(MID(";"&amp;'CASE DATA'!$F225&amp;";",ROW($1:$99),1),";")),"",ROW($1:$99)),COLUMN(B224)+1)-SMALL(IF(ISERROR(SEARCH(MID(";"&amp;'CASE DATA'!$F225&amp;";",ROW($1:$99),1),";")),"",ROW($1:$99)),COLUMN(B224))-1)</f>
        <v/>
      </c>
      <c r="Z225" s="75" t="str" cm="1">
        <f t="array" ref="Z225">MID(";"&amp;'CASE DATA'!$F225&amp;";",SMALL(IF(ISERROR(SEARCH(MID(";"&amp;'CASE DATA'!$F225&amp;";",ROW($1:$99),1),";")),"",ROW($1:$99)+1),COLUMN(C225)),SMALL(IF(ISERROR(SEARCH(MID(";"&amp;'CASE DATA'!$F225&amp;";",ROW($1:$99),1),";")),"",ROW($1:$99)),COLUMN(C224)+1)-SMALL(IF(ISERROR(SEARCH(MID(";"&amp;'CASE DATA'!$F225&amp;";",ROW($1:$99),1),";")),"",ROW($1:$99)),COLUMN(C224))-1)</f>
        <v/>
      </c>
      <c r="AA225" s="75" t="str" cm="1">
        <f t="array" ref="AA225">MID(";"&amp;'CASE DATA'!$F225&amp;";",SMALL(IF(ISERROR(SEARCH(MID(";"&amp;'CASE DATA'!$F225&amp;";",ROW($1:$99),1),";")),"",ROW($1:$99)+1),COLUMN(D225)),SMALL(IF(ISERROR(SEARCH(MID(";"&amp;'CASE DATA'!$F225&amp;";",ROW($1:$99),1),";")),"",ROW($1:$99)),COLUMN(D224)+1)-SMALL(IF(ISERROR(SEARCH(MID(";"&amp;'CASE DATA'!$F225&amp;";",ROW($1:$99),1),";")),"",ROW($1:$99)),COLUMN(D224))-1)</f>
        <v/>
      </c>
      <c r="AB225" s="75" t="str" cm="1">
        <f t="array" ref="AB225">MID(";"&amp;'CASE DATA'!$F225&amp;";",SMALL(IF(ISERROR(SEARCH(MID(";"&amp;'CASE DATA'!$F225&amp;";",ROW($1:$99),1),";")),"",ROW($1:$99)+1),COLUMN(E225)),SMALL(IF(ISERROR(SEARCH(MID(";"&amp;'CASE DATA'!$F225&amp;";",ROW($1:$99),1),";")),"",ROW($1:$99)),COLUMN(E224)+1)-SMALL(IF(ISERROR(SEARCH(MID(";"&amp;'CASE DATA'!$F225&amp;";",ROW($1:$99),1),";")),"",ROW($1:$99)),COLUMN(E224))-1)</f>
        <v/>
      </c>
      <c r="AC225" s="75" t="str" cm="1">
        <f t="array" ref="AC225">MID(";"&amp;'CASE DATA'!$F225&amp;";",SMALL(IF(ISERROR(SEARCH(MID(";"&amp;'CASE DATA'!$F225&amp;";",ROW($1:$99),1),";")),"",ROW($1:$99)+1),COLUMN(F225)),SMALL(IF(ISERROR(SEARCH(MID(";"&amp;'CASE DATA'!$F225&amp;";",ROW($1:$99),1),";")),"",ROW($1:$99)),COLUMN(F224)+1)-SMALL(IF(ISERROR(SEARCH(MID(";"&amp;'CASE DATA'!$F225&amp;";",ROW($1:$99),1),";")),"",ROW($1:$99)),COLUMN(F224))-1)</f>
        <v/>
      </c>
      <c r="AD225" s="75" t="str" cm="1">
        <f t="array" ref="AD225">MID(";"&amp;'CASE DATA'!$F225&amp;";",SMALL(IF(ISERROR(SEARCH(MID(";"&amp;'CASE DATA'!$F225&amp;";",ROW($1:$99),1),";")),"",ROW($1:$99)+1),COLUMN(G225)),SMALL(IF(ISERROR(SEARCH(MID(";"&amp;'CASE DATA'!$F225&amp;";",ROW($1:$99),1),";")),"",ROW($1:$99)),COLUMN(G224)+1)-SMALL(IF(ISERROR(SEARCH(MID(";"&amp;'CASE DATA'!$F225&amp;";",ROW($1:$99),1),";")),"",ROW($1:$99)),COLUMN(G224))-1)</f>
        <v/>
      </c>
      <c r="AE225" s="75" t="str" cm="1">
        <f t="array" ref="AE225">MID(";"&amp;'CASE DATA'!$F225&amp;";",SMALL(IF(ISERROR(SEARCH(MID(";"&amp;'CASE DATA'!$F225&amp;";",ROW($1:$99),1),";")),"",ROW($1:$99)+1),COLUMN(H225)),SMALL(IF(ISERROR(SEARCH(MID(";"&amp;'CASE DATA'!$F225&amp;";",ROW($1:$99),1),";")),"",ROW($1:$99)),COLUMN(H224)+1)-SMALL(IF(ISERROR(SEARCH(MID(";"&amp;'CASE DATA'!$F225&amp;";",ROW($1:$99),1),";")),"",ROW($1:$99)),COLUMN(H224))-1)</f>
        <v/>
      </c>
      <c r="AF225" s="75" t="str" cm="1">
        <f t="array" ref="AF225">MID(";"&amp;'CASE DATA'!$F225&amp;";",SMALL(IF(ISERROR(SEARCH(MID(";"&amp;'CASE DATA'!$F225&amp;";",ROW($1:$99),1),";")),"",ROW($1:$99)+1),COLUMN(I225)),SMALL(IF(ISERROR(SEARCH(MID(";"&amp;'CASE DATA'!$F225&amp;";",ROW($1:$99),1),";")),"",ROW($1:$99)),COLUMN(I224)+1)-SMALL(IF(ISERROR(SEARCH(MID(";"&amp;'CASE DATA'!$F225&amp;";",ROW($1:$99),1),";")),"",ROW($1:$99)),COLUMN(I224))-1)</f>
        <v/>
      </c>
      <c r="AG225" s="75" t="str" cm="1">
        <f t="array" ref="AG225">MID(";"&amp;'CASE DATA'!$F225&amp;";",SMALL(IF(ISERROR(SEARCH(MID(";"&amp;'CASE DATA'!$F225&amp;";",ROW($1:$99),1),";")),"",ROW($1:$99)+1),COLUMN(K225)),SMALL(IF(ISERROR(SEARCH(MID(";"&amp;'CASE DATA'!$F225&amp;";",ROW($1:$99),1),";")),"",ROW($1:$99)),COLUMN(K224)+1)-SMALL(IF(ISERROR(SEARCH(MID(";"&amp;'CASE DATA'!$F225&amp;";",ROW($1:$99),1),";")),"",ROW($1:$99)),COLUMN(K224))-1)</f>
        <v/>
      </c>
      <c r="AH225" s="75" t="str" cm="1">
        <f t="array" ref="AH225">MID(";"&amp;'CASE DATA'!$F225&amp;";",SMALL(IF(ISERROR(SEARCH(MID(";"&amp;'CASE DATA'!$F225&amp;";",ROW($1:$99),1),";")),"",ROW($1:$99)+1),COLUMN(L225)),SMALL(IF(ISERROR(SEARCH(MID(";"&amp;'CASE DATA'!$F225&amp;";",ROW($1:$99),1),";")),"",ROW($1:$99)),COLUMN(L224)+1)-SMALL(IF(ISERROR(SEARCH(MID(";"&amp;'CASE DATA'!$F225&amp;";",ROW($1:$99),1),";")),"",ROW($1:$99)),COLUMN(L224))-1)</f>
        <v/>
      </c>
      <c r="AI225" s="75" t="str" cm="1">
        <f t="array" ref="AI225">MID(";"&amp;'CASE DATA'!$F225&amp;";",SMALL(IF(ISERROR(SEARCH(MID(";"&amp;'CASE DATA'!$F225&amp;";",ROW($1:$99),1),";")),"",ROW($1:$99)+1),COLUMN(M225)),SMALL(IF(ISERROR(SEARCH(MID(";"&amp;'CASE DATA'!$F225&amp;";",ROW($1:$99),1),";")),"",ROW($1:$99)),COLUMN(M224)+1)-SMALL(IF(ISERROR(SEARCH(MID(";"&amp;'CASE DATA'!$F225&amp;";",ROW($1:$99),1),";")),"",ROW($1:$99)),COLUMN(M224))-1)</f>
        <v/>
      </c>
      <c r="BO225" s="99"/>
      <c r="BP225" s="99"/>
      <c r="BQ225" s="99"/>
      <c r="BR225" s="99"/>
      <c r="BS225" s="99"/>
      <c r="BT225" s="99"/>
      <c r="BU225" s="99"/>
      <c r="BV225" s="99"/>
      <c r="BW225" s="99"/>
      <c r="BX225" s="99"/>
      <c r="BY225" s="99"/>
      <c r="BZ225" s="99"/>
      <c r="CA225" s="99"/>
      <c r="CB225" s="99"/>
      <c r="CC225" s="99"/>
      <c r="CD225" s="99"/>
      <c r="CE225" s="99"/>
      <c r="CF225" s="99"/>
      <c r="CG225" s="99"/>
      <c r="CH225" s="99"/>
      <c r="CI225" s="99"/>
      <c r="CJ225" s="99"/>
      <c r="CK225" s="99"/>
      <c r="CL225" s="99"/>
      <c r="CM225" s="99"/>
      <c r="CN225" s="99"/>
      <c r="CO225" s="99"/>
      <c r="CP225" s="99"/>
      <c r="CQ225" s="99"/>
      <c r="CR225" s="99"/>
      <c r="CS225" s="99"/>
      <c r="CT225" s="99"/>
      <c r="CU225" s="99"/>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99"/>
      <c r="EE225" s="99"/>
      <c r="EF225" s="99"/>
      <c r="EG225" s="99"/>
      <c r="EH225" s="99"/>
      <c r="EI225" s="99"/>
      <c r="EJ225" s="99"/>
      <c r="EK225" s="99"/>
      <c r="EL225" s="99"/>
      <c r="EM225" s="99"/>
      <c r="EN225" s="99"/>
      <c r="EO225" s="99"/>
      <c r="EP225" s="99"/>
      <c r="EQ225" s="99"/>
      <c r="ER225" s="99"/>
      <c r="ES225" s="99"/>
      <c r="ET225" s="99"/>
      <c r="EU225" s="99"/>
      <c r="EV225" s="99"/>
      <c r="EW225" s="99"/>
      <c r="EX225" s="99"/>
      <c r="EY225" s="99"/>
      <c r="EZ225" s="99"/>
      <c r="FA225" s="99"/>
      <c r="FB225" s="99"/>
      <c r="FC225" s="99"/>
      <c r="FD225" s="99"/>
      <c r="FE225" s="99"/>
      <c r="FF225" s="99"/>
      <c r="FG225" s="99"/>
      <c r="FH225" s="99"/>
      <c r="FI225" s="99"/>
      <c r="FJ225" s="99"/>
      <c r="FK225" s="99"/>
    </row>
    <row r="226" spans="3:167" x14ac:dyDescent="0.25">
      <c r="C226" s="10"/>
      <c r="D226" s="10"/>
      <c r="J226" s="99">
        <v>223</v>
      </c>
      <c r="K226" s="16"/>
      <c r="L226" s="16"/>
      <c r="M226" s="16"/>
      <c r="N226" s="16"/>
      <c r="O226" s="16"/>
      <c r="P226" s="16"/>
      <c r="Q226" s="16"/>
      <c r="R226" s="16"/>
      <c r="S226" s="16"/>
      <c r="T226" s="16"/>
      <c r="U226" s="14">
        <f>SUM(K226:T226)</f>
        <v>0</v>
      </c>
      <c r="V226" s="14"/>
      <c r="X226" s="75" t="str" cm="1">
        <f t="array" ref="X226">MID(";"&amp;'CASE DATA'!$F226&amp;";",SMALL(IF(ISERROR(SEARCH(MID(";"&amp;'CASE DATA'!$F226&amp;";",ROW($1:$99),1),";")),"",ROW($1:$99)+1),COLUMN(A226)),SMALL(IF(ISERROR(SEARCH(MID(";"&amp;'CASE DATA'!$F226&amp;";",ROW($1:$99),1),";")),"",ROW($1:$99)),COLUMN(A225)+1)-SMALL(IF(ISERROR(SEARCH(MID(";"&amp;'CASE DATA'!$F226&amp;";",ROW($1:$99),1),";")),"",ROW($1:$99)),COLUMN(A225))-1)</f>
        <v/>
      </c>
      <c r="Y226" s="75" t="str" cm="1">
        <f t="array" ref="Y226">MID(";"&amp;'CASE DATA'!$F226&amp;";",SMALL(IF(ISERROR(SEARCH(MID(";"&amp;'CASE DATA'!$F226&amp;";",ROW($1:$99),1),";")),"",ROW($1:$99)+1),COLUMN(B226)),SMALL(IF(ISERROR(SEARCH(MID(";"&amp;'CASE DATA'!$F226&amp;";",ROW($1:$99),1),";")),"",ROW($1:$99)),COLUMN(B225)+1)-SMALL(IF(ISERROR(SEARCH(MID(";"&amp;'CASE DATA'!$F226&amp;";",ROW($1:$99),1),";")),"",ROW($1:$99)),COLUMN(B225))-1)</f>
        <v/>
      </c>
      <c r="Z226" s="75" t="str" cm="1">
        <f t="array" ref="Z226">MID(";"&amp;'CASE DATA'!$F226&amp;";",SMALL(IF(ISERROR(SEARCH(MID(";"&amp;'CASE DATA'!$F226&amp;";",ROW($1:$99),1),";")),"",ROW($1:$99)+1),COLUMN(C226)),SMALL(IF(ISERROR(SEARCH(MID(";"&amp;'CASE DATA'!$F226&amp;";",ROW($1:$99),1),";")),"",ROW($1:$99)),COLUMN(C225)+1)-SMALL(IF(ISERROR(SEARCH(MID(";"&amp;'CASE DATA'!$F226&amp;";",ROW($1:$99),1),";")),"",ROW($1:$99)),COLUMN(C225))-1)</f>
        <v/>
      </c>
      <c r="AA226" s="75" t="str" cm="1">
        <f t="array" ref="AA226">MID(";"&amp;'CASE DATA'!$F226&amp;";",SMALL(IF(ISERROR(SEARCH(MID(";"&amp;'CASE DATA'!$F226&amp;";",ROW($1:$99),1),";")),"",ROW($1:$99)+1),COLUMN(D226)),SMALL(IF(ISERROR(SEARCH(MID(";"&amp;'CASE DATA'!$F226&amp;";",ROW($1:$99),1),";")),"",ROW($1:$99)),COLUMN(D225)+1)-SMALL(IF(ISERROR(SEARCH(MID(";"&amp;'CASE DATA'!$F226&amp;";",ROW($1:$99),1),";")),"",ROW($1:$99)),COLUMN(D225))-1)</f>
        <v/>
      </c>
      <c r="AB226" s="75" t="str" cm="1">
        <f t="array" ref="AB226">MID(";"&amp;'CASE DATA'!$F226&amp;";",SMALL(IF(ISERROR(SEARCH(MID(";"&amp;'CASE DATA'!$F226&amp;";",ROW($1:$99),1),";")),"",ROW($1:$99)+1),COLUMN(E226)),SMALL(IF(ISERROR(SEARCH(MID(";"&amp;'CASE DATA'!$F226&amp;";",ROW($1:$99),1),";")),"",ROW($1:$99)),COLUMN(E225)+1)-SMALL(IF(ISERROR(SEARCH(MID(";"&amp;'CASE DATA'!$F226&amp;";",ROW($1:$99),1),";")),"",ROW($1:$99)),COLUMN(E225))-1)</f>
        <v/>
      </c>
      <c r="AC226" s="75" t="str" cm="1">
        <f t="array" ref="AC226">MID(";"&amp;'CASE DATA'!$F226&amp;";",SMALL(IF(ISERROR(SEARCH(MID(";"&amp;'CASE DATA'!$F226&amp;";",ROW($1:$99),1),";")),"",ROW($1:$99)+1),COLUMN(F226)),SMALL(IF(ISERROR(SEARCH(MID(";"&amp;'CASE DATA'!$F226&amp;";",ROW($1:$99),1),";")),"",ROW($1:$99)),COLUMN(F225)+1)-SMALL(IF(ISERROR(SEARCH(MID(";"&amp;'CASE DATA'!$F226&amp;";",ROW($1:$99),1),";")),"",ROW($1:$99)),COLUMN(F225))-1)</f>
        <v/>
      </c>
      <c r="AD226" s="75" t="str" cm="1">
        <f t="array" ref="AD226">MID(";"&amp;'CASE DATA'!$F226&amp;";",SMALL(IF(ISERROR(SEARCH(MID(";"&amp;'CASE DATA'!$F226&amp;";",ROW($1:$99),1),";")),"",ROW($1:$99)+1),COLUMN(G226)),SMALL(IF(ISERROR(SEARCH(MID(";"&amp;'CASE DATA'!$F226&amp;";",ROW($1:$99),1),";")),"",ROW($1:$99)),COLUMN(G225)+1)-SMALL(IF(ISERROR(SEARCH(MID(";"&amp;'CASE DATA'!$F226&amp;";",ROW($1:$99),1),";")),"",ROW($1:$99)),COLUMN(G225))-1)</f>
        <v/>
      </c>
      <c r="AE226" s="75" t="str" cm="1">
        <f t="array" ref="AE226">MID(";"&amp;'CASE DATA'!$F226&amp;";",SMALL(IF(ISERROR(SEARCH(MID(";"&amp;'CASE DATA'!$F226&amp;";",ROW($1:$99),1),";")),"",ROW($1:$99)+1),COLUMN(H226)),SMALL(IF(ISERROR(SEARCH(MID(";"&amp;'CASE DATA'!$F226&amp;";",ROW($1:$99),1),";")),"",ROW($1:$99)),COLUMN(H225)+1)-SMALL(IF(ISERROR(SEARCH(MID(";"&amp;'CASE DATA'!$F226&amp;";",ROW($1:$99),1),";")),"",ROW($1:$99)),COLUMN(H225))-1)</f>
        <v/>
      </c>
      <c r="AF226" s="75" t="str" cm="1">
        <f t="array" ref="AF226">MID(";"&amp;'CASE DATA'!$F226&amp;";",SMALL(IF(ISERROR(SEARCH(MID(";"&amp;'CASE DATA'!$F226&amp;";",ROW($1:$99),1),";")),"",ROW($1:$99)+1),COLUMN(I226)),SMALL(IF(ISERROR(SEARCH(MID(";"&amp;'CASE DATA'!$F226&amp;";",ROW($1:$99),1),";")),"",ROW($1:$99)),COLUMN(I225)+1)-SMALL(IF(ISERROR(SEARCH(MID(";"&amp;'CASE DATA'!$F226&amp;";",ROW($1:$99),1),";")),"",ROW($1:$99)),COLUMN(I225))-1)</f>
        <v/>
      </c>
      <c r="AG226" s="75" t="str" cm="1">
        <f t="array" ref="AG226">MID(";"&amp;'CASE DATA'!$F226&amp;";",SMALL(IF(ISERROR(SEARCH(MID(";"&amp;'CASE DATA'!$F226&amp;";",ROW($1:$99),1),";")),"",ROW($1:$99)+1),COLUMN(K226)),SMALL(IF(ISERROR(SEARCH(MID(";"&amp;'CASE DATA'!$F226&amp;";",ROW($1:$99),1),";")),"",ROW($1:$99)),COLUMN(K225)+1)-SMALL(IF(ISERROR(SEARCH(MID(";"&amp;'CASE DATA'!$F226&amp;";",ROW($1:$99),1),";")),"",ROW($1:$99)),COLUMN(K225))-1)</f>
        <v/>
      </c>
      <c r="AH226" s="75" t="str" cm="1">
        <f t="array" ref="AH226">MID(";"&amp;'CASE DATA'!$F226&amp;";",SMALL(IF(ISERROR(SEARCH(MID(";"&amp;'CASE DATA'!$F226&amp;";",ROW($1:$99),1),";")),"",ROW($1:$99)+1),COLUMN(L226)),SMALL(IF(ISERROR(SEARCH(MID(";"&amp;'CASE DATA'!$F226&amp;";",ROW($1:$99),1),";")),"",ROW($1:$99)),COLUMN(L225)+1)-SMALL(IF(ISERROR(SEARCH(MID(";"&amp;'CASE DATA'!$F226&amp;";",ROW($1:$99),1),";")),"",ROW($1:$99)),COLUMN(L225))-1)</f>
        <v/>
      </c>
      <c r="AI226" s="75" t="str" cm="1">
        <f t="array" ref="AI226">MID(";"&amp;'CASE DATA'!$F226&amp;";",SMALL(IF(ISERROR(SEARCH(MID(";"&amp;'CASE DATA'!$F226&amp;";",ROW($1:$99),1),";")),"",ROW($1:$99)+1),COLUMN(M226)),SMALL(IF(ISERROR(SEARCH(MID(";"&amp;'CASE DATA'!$F226&amp;";",ROW($1:$99),1),";")),"",ROW($1:$99)),COLUMN(M225)+1)-SMALL(IF(ISERROR(SEARCH(MID(";"&amp;'CASE DATA'!$F226&amp;";",ROW($1:$99),1),";")),"",ROW($1:$99)),COLUMN(M225))-1)</f>
        <v/>
      </c>
      <c r="BO226" s="99"/>
      <c r="BP226" s="99"/>
      <c r="BQ226" s="99"/>
      <c r="BR226" s="99"/>
      <c r="BS226" s="99"/>
      <c r="BT226" s="99"/>
      <c r="BU226" s="99"/>
      <c r="BV226" s="99"/>
      <c r="BW226" s="99"/>
      <c r="BX226" s="99"/>
      <c r="BY226" s="99"/>
      <c r="BZ226" s="99"/>
      <c r="CA226" s="99"/>
      <c r="CB226" s="99"/>
      <c r="CC226" s="99"/>
      <c r="CD226" s="99"/>
      <c r="CE226" s="99"/>
      <c r="CF226" s="99"/>
      <c r="CG226" s="99"/>
      <c r="CH226" s="99"/>
      <c r="CI226" s="99"/>
      <c r="CJ226" s="99"/>
      <c r="CK226" s="99"/>
      <c r="CL226" s="99"/>
      <c r="CM226" s="99"/>
      <c r="CN226" s="99"/>
      <c r="CO226" s="99"/>
      <c r="CP226" s="99"/>
      <c r="CQ226" s="99"/>
      <c r="CR226" s="99"/>
      <c r="CS226" s="99"/>
      <c r="CT226" s="99"/>
      <c r="CU226" s="99"/>
      <c r="CV226" s="99"/>
      <c r="CW226" s="99"/>
      <c r="CX226" s="99"/>
      <c r="CY226" s="99"/>
      <c r="CZ226" s="99"/>
      <c r="DA226" s="99"/>
      <c r="DB226" s="99"/>
      <c r="DC226" s="99"/>
      <c r="DD226" s="99"/>
      <c r="DE226" s="99"/>
      <c r="DF226" s="99"/>
      <c r="DG226" s="99"/>
      <c r="DH226" s="99"/>
      <c r="DI226" s="99"/>
      <c r="DJ226" s="99"/>
      <c r="DK226" s="99"/>
      <c r="DL226" s="99"/>
      <c r="DM226" s="99"/>
      <c r="DN226" s="99"/>
      <c r="DO226" s="99"/>
      <c r="DP226" s="99"/>
      <c r="DQ226" s="99"/>
      <c r="DR226" s="99"/>
      <c r="DS226" s="99"/>
      <c r="DT226" s="99"/>
      <c r="DU226" s="99"/>
      <c r="DV226" s="99"/>
      <c r="DW226" s="99"/>
      <c r="DX226" s="99"/>
      <c r="DY226" s="99"/>
      <c r="DZ226" s="99"/>
      <c r="EA226" s="99"/>
      <c r="EB226" s="99"/>
      <c r="EC226" s="99"/>
      <c r="ED226" s="99"/>
      <c r="EE226" s="99"/>
      <c r="EF226" s="99"/>
      <c r="EG226" s="99"/>
      <c r="EH226" s="99"/>
      <c r="EI226" s="99"/>
      <c r="EJ226" s="99"/>
      <c r="EK226" s="99"/>
      <c r="EL226" s="99"/>
      <c r="EM226" s="99"/>
      <c r="EN226" s="99"/>
      <c r="EO226" s="99"/>
      <c r="EP226" s="99"/>
      <c r="EQ226" s="99"/>
      <c r="ER226" s="99"/>
      <c r="ES226" s="99"/>
      <c r="ET226" s="99"/>
      <c r="EU226" s="99"/>
      <c r="EV226" s="99"/>
      <c r="EW226" s="99"/>
      <c r="EX226" s="99"/>
      <c r="EY226" s="99"/>
      <c r="EZ226" s="99"/>
      <c r="FA226" s="99"/>
      <c r="FB226" s="99"/>
      <c r="FC226" s="99"/>
      <c r="FD226" s="99"/>
      <c r="FE226" s="99"/>
      <c r="FF226" s="99"/>
      <c r="FG226" s="99"/>
      <c r="FH226" s="99"/>
      <c r="FI226" s="99"/>
      <c r="FJ226" s="99"/>
      <c r="FK226" s="99"/>
    </row>
    <row r="227" spans="3:167" x14ac:dyDescent="0.25">
      <c r="C227" s="10"/>
      <c r="D227" s="10"/>
      <c r="J227" s="99">
        <v>224</v>
      </c>
      <c r="K227" s="16"/>
      <c r="L227" s="16"/>
      <c r="M227" s="16"/>
      <c r="N227" s="16"/>
      <c r="O227" s="16"/>
      <c r="P227" s="16"/>
      <c r="Q227" s="16"/>
      <c r="R227" s="16"/>
      <c r="S227" s="16"/>
      <c r="T227" s="16"/>
      <c r="U227" s="14">
        <f>SUM(K227:T227)</f>
        <v>0</v>
      </c>
      <c r="V227" s="14"/>
      <c r="X227" s="75" t="str" cm="1">
        <f t="array" ref="X227">MID(";"&amp;'CASE DATA'!$F227&amp;";",SMALL(IF(ISERROR(SEARCH(MID(";"&amp;'CASE DATA'!$F227&amp;";",ROW($1:$99),1),";")),"",ROW($1:$99)+1),COLUMN(A227)),SMALL(IF(ISERROR(SEARCH(MID(";"&amp;'CASE DATA'!$F227&amp;";",ROW($1:$99),1),";")),"",ROW($1:$99)),COLUMN(A226)+1)-SMALL(IF(ISERROR(SEARCH(MID(";"&amp;'CASE DATA'!$F227&amp;";",ROW($1:$99),1),";")),"",ROW($1:$99)),COLUMN(A226))-1)</f>
        <v/>
      </c>
      <c r="Y227" s="75" t="str" cm="1">
        <f t="array" ref="Y227">MID(";"&amp;'CASE DATA'!$F227&amp;";",SMALL(IF(ISERROR(SEARCH(MID(";"&amp;'CASE DATA'!$F227&amp;";",ROW($1:$99),1),";")),"",ROW($1:$99)+1),COLUMN(B227)),SMALL(IF(ISERROR(SEARCH(MID(";"&amp;'CASE DATA'!$F227&amp;";",ROW($1:$99),1),";")),"",ROW($1:$99)),COLUMN(B226)+1)-SMALL(IF(ISERROR(SEARCH(MID(";"&amp;'CASE DATA'!$F227&amp;";",ROW($1:$99),1),";")),"",ROW($1:$99)),COLUMN(B226))-1)</f>
        <v/>
      </c>
      <c r="Z227" s="75" t="str" cm="1">
        <f t="array" ref="Z227">MID(";"&amp;'CASE DATA'!$F227&amp;";",SMALL(IF(ISERROR(SEARCH(MID(";"&amp;'CASE DATA'!$F227&amp;";",ROW($1:$99),1),";")),"",ROW($1:$99)+1),COLUMN(C227)),SMALL(IF(ISERROR(SEARCH(MID(";"&amp;'CASE DATA'!$F227&amp;";",ROW($1:$99),1),";")),"",ROW($1:$99)),COLUMN(C226)+1)-SMALL(IF(ISERROR(SEARCH(MID(";"&amp;'CASE DATA'!$F227&amp;";",ROW($1:$99),1),";")),"",ROW($1:$99)),COLUMN(C226))-1)</f>
        <v/>
      </c>
      <c r="AA227" s="75" t="str" cm="1">
        <f t="array" ref="AA227">MID(";"&amp;'CASE DATA'!$F227&amp;";",SMALL(IF(ISERROR(SEARCH(MID(";"&amp;'CASE DATA'!$F227&amp;";",ROW($1:$99),1),";")),"",ROW($1:$99)+1),COLUMN(D227)),SMALL(IF(ISERROR(SEARCH(MID(";"&amp;'CASE DATA'!$F227&amp;";",ROW($1:$99),1),";")),"",ROW($1:$99)),COLUMN(D226)+1)-SMALL(IF(ISERROR(SEARCH(MID(";"&amp;'CASE DATA'!$F227&amp;";",ROW($1:$99),1),";")),"",ROW($1:$99)),COLUMN(D226))-1)</f>
        <v/>
      </c>
      <c r="AB227" s="75" t="str" cm="1">
        <f t="array" ref="AB227">MID(";"&amp;'CASE DATA'!$F227&amp;";",SMALL(IF(ISERROR(SEARCH(MID(";"&amp;'CASE DATA'!$F227&amp;";",ROW($1:$99),1),";")),"",ROW($1:$99)+1),COLUMN(E227)),SMALL(IF(ISERROR(SEARCH(MID(";"&amp;'CASE DATA'!$F227&amp;";",ROW($1:$99),1),";")),"",ROW($1:$99)),COLUMN(E226)+1)-SMALL(IF(ISERROR(SEARCH(MID(";"&amp;'CASE DATA'!$F227&amp;";",ROW($1:$99),1),";")),"",ROW($1:$99)),COLUMN(E226))-1)</f>
        <v/>
      </c>
      <c r="AC227" s="75" t="str" cm="1">
        <f t="array" ref="AC227">MID(";"&amp;'CASE DATA'!$F227&amp;";",SMALL(IF(ISERROR(SEARCH(MID(";"&amp;'CASE DATA'!$F227&amp;";",ROW($1:$99),1),";")),"",ROW($1:$99)+1),COLUMN(F227)),SMALL(IF(ISERROR(SEARCH(MID(";"&amp;'CASE DATA'!$F227&amp;";",ROW($1:$99),1),";")),"",ROW($1:$99)),COLUMN(F226)+1)-SMALL(IF(ISERROR(SEARCH(MID(";"&amp;'CASE DATA'!$F227&amp;";",ROW($1:$99),1),";")),"",ROW($1:$99)),COLUMN(F226))-1)</f>
        <v/>
      </c>
      <c r="AD227" s="75" t="str" cm="1">
        <f t="array" ref="AD227">MID(";"&amp;'CASE DATA'!$F227&amp;";",SMALL(IF(ISERROR(SEARCH(MID(";"&amp;'CASE DATA'!$F227&amp;";",ROW($1:$99),1),";")),"",ROW($1:$99)+1),COLUMN(G227)),SMALL(IF(ISERROR(SEARCH(MID(";"&amp;'CASE DATA'!$F227&amp;";",ROW($1:$99),1),";")),"",ROW($1:$99)),COLUMN(G226)+1)-SMALL(IF(ISERROR(SEARCH(MID(";"&amp;'CASE DATA'!$F227&amp;";",ROW($1:$99),1),";")),"",ROW($1:$99)),COLUMN(G226))-1)</f>
        <v/>
      </c>
      <c r="AE227" s="75" t="str" cm="1">
        <f t="array" ref="AE227">MID(";"&amp;'CASE DATA'!$F227&amp;";",SMALL(IF(ISERROR(SEARCH(MID(";"&amp;'CASE DATA'!$F227&amp;";",ROW($1:$99),1),";")),"",ROW($1:$99)+1),COLUMN(H227)),SMALL(IF(ISERROR(SEARCH(MID(";"&amp;'CASE DATA'!$F227&amp;";",ROW($1:$99),1),";")),"",ROW($1:$99)),COLUMN(H226)+1)-SMALL(IF(ISERROR(SEARCH(MID(";"&amp;'CASE DATA'!$F227&amp;";",ROW($1:$99),1),";")),"",ROW($1:$99)),COLUMN(H226))-1)</f>
        <v/>
      </c>
      <c r="AF227" s="75" t="str" cm="1">
        <f t="array" ref="AF227">MID(";"&amp;'CASE DATA'!$F227&amp;";",SMALL(IF(ISERROR(SEARCH(MID(";"&amp;'CASE DATA'!$F227&amp;";",ROW($1:$99),1),";")),"",ROW($1:$99)+1),COLUMN(I227)),SMALL(IF(ISERROR(SEARCH(MID(";"&amp;'CASE DATA'!$F227&amp;";",ROW($1:$99),1),";")),"",ROW($1:$99)),COLUMN(I226)+1)-SMALL(IF(ISERROR(SEARCH(MID(";"&amp;'CASE DATA'!$F227&amp;";",ROW($1:$99),1),";")),"",ROW($1:$99)),COLUMN(I226))-1)</f>
        <v/>
      </c>
      <c r="AG227" s="75" t="str" cm="1">
        <f t="array" ref="AG227">MID(";"&amp;'CASE DATA'!$F227&amp;";",SMALL(IF(ISERROR(SEARCH(MID(";"&amp;'CASE DATA'!$F227&amp;";",ROW($1:$99),1),";")),"",ROW($1:$99)+1),COLUMN(K227)),SMALL(IF(ISERROR(SEARCH(MID(";"&amp;'CASE DATA'!$F227&amp;";",ROW($1:$99),1),";")),"",ROW($1:$99)),COLUMN(K226)+1)-SMALL(IF(ISERROR(SEARCH(MID(";"&amp;'CASE DATA'!$F227&amp;";",ROW($1:$99),1),";")),"",ROW($1:$99)),COLUMN(K226))-1)</f>
        <v/>
      </c>
      <c r="AH227" s="75" t="str" cm="1">
        <f t="array" ref="AH227">MID(";"&amp;'CASE DATA'!$F227&amp;";",SMALL(IF(ISERROR(SEARCH(MID(";"&amp;'CASE DATA'!$F227&amp;";",ROW($1:$99),1),";")),"",ROW($1:$99)+1),COLUMN(L227)),SMALL(IF(ISERROR(SEARCH(MID(";"&amp;'CASE DATA'!$F227&amp;";",ROW($1:$99),1),";")),"",ROW($1:$99)),COLUMN(L226)+1)-SMALL(IF(ISERROR(SEARCH(MID(";"&amp;'CASE DATA'!$F227&amp;";",ROW($1:$99),1),";")),"",ROW($1:$99)),COLUMN(L226))-1)</f>
        <v/>
      </c>
      <c r="AI227" s="75" t="str" cm="1">
        <f t="array" ref="AI227">MID(";"&amp;'CASE DATA'!$F227&amp;";",SMALL(IF(ISERROR(SEARCH(MID(";"&amp;'CASE DATA'!$F227&amp;";",ROW($1:$99),1),";")),"",ROW($1:$99)+1),COLUMN(M227)),SMALL(IF(ISERROR(SEARCH(MID(";"&amp;'CASE DATA'!$F227&amp;";",ROW($1:$99),1),";")),"",ROW($1:$99)),COLUMN(M226)+1)-SMALL(IF(ISERROR(SEARCH(MID(";"&amp;'CASE DATA'!$F227&amp;";",ROW($1:$99),1),";")),"",ROW($1:$99)),COLUMN(M226))-1)</f>
        <v/>
      </c>
      <c r="BO227" s="99"/>
      <c r="BP227" s="99"/>
      <c r="BQ227" s="99"/>
      <c r="BR227" s="99"/>
      <c r="BS227" s="99"/>
      <c r="BT227" s="99"/>
      <c r="BU227" s="99"/>
      <c r="BV227" s="99"/>
      <c r="BW227" s="99"/>
      <c r="BX227" s="99"/>
      <c r="BY227" s="99"/>
      <c r="BZ227" s="99"/>
      <c r="CA227" s="99"/>
      <c r="CB227" s="99"/>
      <c r="CC227" s="99"/>
      <c r="CD227" s="99"/>
      <c r="CE227" s="99"/>
      <c r="CF227" s="99"/>
      <c r="CG227" s="99"/>
      <c r="CH227" s="99"/>
      <c r="CI227" s="99"/>
      <c r="CJ227" s="99"/>
      <c r="CK227" s="99"/>
      <c r="CL227" s="99"/>
      <c r="CM227" s="99"/>
      <c r="CN227" s="99"/>
      <c r="CO227" s="99"/>
      <c r="CP227" s="99"/>
      <c r="CQ227" s="99"/>
      <c r="CR227" s="99"/>
      <c r="CS227" s="99"/>
      <c r="CT227" s="99"/>
      <c r="CU227" s="99"/>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99"/>
      <c r="EE227" s="99"/>
      <c r="EF227" s="99"/>
      <c r="EG227" s="99"/>
      <c r="EH227" s="99"/>
      <c r="EI227" s="99"/>
      <c r="EJ227" s="99"/>
      <c r="EK227" s="99"/>
      <c r="EL227" s="99"/>
      <c r="EM227" s="99"/>
      <c r="EN227" s="99"/>
      <c r="EO227" s="99"/>
      <c r="EP227" s="99"/>
      <c r="EQ227" s="99"/>
      <c r="ER227" s="99"/>
      <c r="ES227" s="99"/>
      <c r="ET227" s="99"/>
      <c r="EU227" s="99"/>
      <c r="EV227" s="99"/>
      <c r="EW227" s="99"/>
      <c r="EX227" s="99"/>
      <c r="EY227" s="99"/>
      <c r="EZ227" s="99"/>
      <c r="FA227" s="99"/>
      <c r="FB227" s="99"/>
      <c r="FC227" s="99"/>
      <c r="FD227" s="99"/>
      <c r="FE227" s="99"/>
      <c r="FF227" s="99"/>
      <c r="FG227" s="99"/>
      <c r="FH227" s="99"/>
      <c r="FI227" s="99"/>
      <c r="FJ227" s="99"/>
      <c r="FK227" s="99"/>
    </row>
    <row r="228" spans="3:167" x14ac:dyDescent="0.25">
      <c r="C228" s="10"/>
      <c r="D228" s="10"/>
      <c r="J228" s="99">
        <v>225</v>
      </c>
      <c r="K228" s="16"/>
      <c r="L228" s="16"/>
      <c r="M228" s="16"/>
      <c r="N228" s="16"/>
      <c r="O228" s="16"/>
      <c r="P228" s="16"/>
      <c r="Q228" s="16"/>
      <c r="R228" s="16"/>
      <c r="S228" s="16"/>
      <c r="T228" s="16"/>
      <c r="U228" s="14">
        <f>SUM(K228:T228)</f>
        <v>0</v>
      </c>
      <c r="V228" s="14"/>
      <c r="X228" s="75" t="str" cm="1">
        <f t="array" ref="X228">MID(";"&amp;'CASE DATA'!$F228&amp;";",SMALL(IF(ISERROR(SEARCH(MID(";"&amp;'CASE DATA'!$F228&amp;";",ROW($1:$99),1),";")),"",ROW($1:$99)+1),COLUMN(A228)),SMALL(IF(ISERROR(SEARCH(MID(";"&amp;'CASE DATA'!$F228&amp;";",ROW($1:$99),1),";")),"",ROW($1:$99)),COLUMN(A227)+1)-SMALL(IF(ISERROR(SEARCH(MID(";"&amp;'CASE DATA'!$F228&amp;";",ROW($1:$99),1),";")),"",ROW($1:$99)),COLUMN(A227))-1)</f>
        <v/>
      </c>
      <c r="Y228" s="75" t="str" cm="1">
        <f t="array" ref="Y228">MID(";"&amp;'CASE DATA'!$F228&amp;";",SMALL(IF(ISERROR(SEARCH(MID(";"&amp;'CASE DATA'!$F228&amp;";",ROW($1:$99),1),";")),"",ROW($1:$99)+1),COLUMN(B228)),SMALL(IF(ISERROR(SEARCH(MID(";"&amp;'CASE DATA'!$F228&amp;";",ROW($1:$99),1),";")),"",ROW($1:$99)),COLUMN(B227)+1)-SMALL(IF(ISERROR(SEARCH(MID(";"&amp;'CASE DATA'!$F228&amp;";",ROW($1:$99),1),";")),"",ROW($1:$99)),COLUMN(B227))-1)</f>
        <v/>
      </c>
      <c r="Z228" s="75" t="str" cm="1">
        <f t="array" ref="Z228">MID(";"&amp;'CASE DATA'!$F228&amp;";",SMALL(IF(ISERROR(SEARCH(MID(";"&amp;'CASE DATA'!$F228&amp;";",ROW($1:$99),1),";")),"",ROW($1:$99)+1),COLUMN(C228)),SMALL(IF(ISERROR(SEARCH(MID(";"&amp;'CASE DATA'!$F228&amp;";",ROW($1:$99),1),";")),"",ROW($1:$99)),COLUMN(C227)+1)-SMALL(IF(ISERROR(SEARCH(MID(";"&amp;'CASE DATA'!$F228&amp;";",ROW($1:$99),1),";")),"",ROW($1:$99)),COLUMN(C227))-1)</f>
        <v/>
      </c>
      <c r="AA228" s="75" t="str" cm="1">
        <f t="array" ref="AA228">MID(";"&amp;'CASE DATA'!$F228&amp;";",SMALL(IF(ISERROR(SEARCH(MID(";"&amp;'CASE DATA'!$F228&amp;";",ROW($1:$99),1),";")),"",ROW($1:$99)+1),COLUMN(D228)),SMALL(IF(ISERROR(SEARCH(MID(";"&amp;'CASE DATA'!$F228&amp;";",ROW($1:$99),1),";")),"",ROW($1:$99)),COLUMN(D227)+1)-SMALL(IF(ISERROR(SEARCH(MID(";"&amp;'CASE DATA'!$F228&amp;";",ROW($1:$99),1),";")),"",ROW($1:$99)),COLUMN(D227))-1)</f>
        <v/>
      </c>
      <c r="AB228" s="75" t="str" cm="1">
        <f t="array" ref="AB228">MID(";"&amp;'CASE DATA'!$F228&amp;";",SMALL(IF(ISERROR(SEARCH(MID(";"&amp;'CASE DATA'!$F228&amp;";",ROW($1:$99),1),";")),"",ROW($1:$99)+1),COLUMN(E228)),SMALL(IF(ISERROR(SEARCH(MID(";"&amp;'CASE DATA'!$F228&amp;";",ROW($1:$99),1),";")),"",ROW($1:$99)),COLUMN(E227)+1)-SMALL(IF(ISERROR(SEARCH(MID(";"&amp;'CASE DATA'!$F228&amp;";",ROW($1:$99),1),";")),"",ROW($1:$99)),COLUMN(E227))-1)</f>
        <v/>
      </c>
      <c r="AC228" s="75" t="str" cm="1">
        <f t="array" ref="AC228">MID(";"&amp;'CASE DATA'!$F228&amp;";",SMALL(IF(ISERROR(SEARCH(MID(";"&amp;'CASE DATA'!$F228&amp;";",ROW($1:$99),1),";")),"",ROW($1:$99)+1),COLUMN(F228)),SMALL(IF(ISERROR(SEARCH(MID(";"&amp;'CASE DATA'!$F228&amp;";",ROW($1:$99),1),";")),"",ROW($1:$99)),COLUMN(F227)+1)-SMALL(IF(ISERROR(SEARCH(MID(";"&amp;'CASE DATA'!$F228&amp;";",ROW($1:$99),1),";")),"",ROW($1:$99)),COLUMN(F227))-1)</f>
        <v/>
      </c>
      <c r="AD228" s="75" t="str" cm="1">
        <f t="array" ref="AD228">MID(";"&amp;'CASE DATA'!$F228&amp;";",SMALL(IF(ISERROR(SEARCH(MID(";"&amp;'CASE DATA'!$F228&amp;";",ROW($1:$99),1),";")),"",ROW($1:$99)+1),COLUMN(G228)),SMALL(IF(ISERROR(SEARCH(MID(";"&amp;'CASE DATA'!$F228&amp;";",ROW($1:$99),1),";")),"",ROW($1:$99)),COLUMN(G227)+1)-SMALL(IF(ISERROR(SEARCH(MID(";"&amp;'CASE DATA'!$F228&amp;";",ROW($1:$99),1),";")),"",ROW($1:$99)),COLUMN(G227))-1)</f>
        <v/>
      </c>
      <c r="AE228" s="75" t="str" cm="1">
        <f t="array" ref="AE228">MID(";"&amp;'CASE DATA'!$F228&amp;";",SMALL(IF(ISERROR(SEARCH(MID(";"&amp;'CASE DATA'!$F228&amp;";",ROW($1:$99),1),";")),"",ROW($1:$99)+1),COLUMN(H228)),SMALL(IF(ISERROR(SEARCH(MID(";"&amp;'CASE DATA'!$F228&amp;";",ROW($1:$99),1),";")),"",ROW($1:$99)),COLUMN(H227)+1)-SMALL(IF(ISERROR(SEARCH(MID(";"&amp;'CASE DATA'!$F228&amp;";",ROW($1:$99),1),";")),"",ROW($1:$99)),COLUMN(H227))-1)</f>
        <v/>
      </c>
      <c r="AF228" s="75" t="str" cm="1">
        <f t="array" ref="AF228">MID(";"&amp;'CASE DATA'!$F228&amp;";",SMALL(IF(ISERROR(SEARCH(MID(";"&amp;'CASE DATA'!$F228&amp;";",ROW($1:$99),1),";")),"",ROW($1:$99)+1),COLUMN(I228)),SMALL(IF(ISERROR(SEARCH(MID(";"&amp;'CASE DATA'!$F228&amp;";",ROW($1:$99),1),";")),"",ROW($1:$99)),COLUMN(I227)+1)-SMALL(IF(ISERROR(SEARCH(MID(";"&amp;'CASE DATA'!$F228&amp;";",ROW($1:$99),1),";")),"",ROW($1:$99)),COLUMN(I227))-1)</f>
        <v/>
      </c>
      <c r="AG228" s="75" t="str" cm="1">
        <f t="array" ref="AG228">MID(";"&amp;'CASE DATA'!$F228&amp;";",SMALL(IF(ISERROR(SEARCH(MID(";"&amp;'CASE DATA'!$F228&amp;";",ROW($1:$99),1),";")),"",ROW($1:$99)+1),COLUMN(K228)),SMALL(IF(ISERROR(SEARCH(MID(";"&amp;'CASE DATA'!$F228&amp;";",ROW($1:$99),1),";")),"",ROW($1:$99)),COLUMN(K227)+1)-SMALL(IF(ISERROR(SEARCH(MID(";"&amp;'CASE DATA'!$F228&amp;";",ROW($1:$99),1),";")),"",ROW($1:$99)),COLUMN(K227))-1)</f>
        <v/>
      </c>
      <c r="AH228" s="75" t="str" cm="1">
        <f t="array" ref="AH228">MID(";"&amp;'CASE DATA'!$F228&amp;";",SMALL(IF(ISERROR(SEARCH(MID(";"&amp;'CASE DATA'!$F228&amp;";",ROW($1:$99),1),";")),"",ROW($1:$99)+1),COLUMN(L228)),SMALL(IF(ISERROR(SEARCH(MID(";"&amp;'CASE DATA'!$F228&amp;";",ROW($1:$99),1),";")),"",ROW($1:$99)),COLUMN(L227)+1)-SMALL(IF(ISERROR(SEARCH(MID(";"&amp;'CASE DATA'!$F228&amp;";",ROW($1:$99),1),";")),"",ROW($1:$99)),COLUMN(L227))-1)</f>
        <v/>
      </c>
      <c r="AI228" s="75" t="str" cm="1">
        <f t="array" ref="AI228">MID(";"&amp;'CASE DATA'!$F228&amp;";",SMALL(IF(ISERROR(SEARCH(MID(";"&amp;'CASE DATA'!$F228&amp;";",ROW($1:$99),1),";")),"",ROW($1:$99)+1),COLUMN(M228)),SMALL(IF(ISERROR(SEARCH(MID(";"&amp;'CASE DATA'!$F228&amp;";",ROW($1:$99),1),";")),"",ROW($1:$99)),COLUMN(M227)+1)-SMALL(IF(ISERROR(SEARCH(MID(";"&amp;'CASE DATA'!$F228&amp;";",ROW($1:$99),1),";")),"",ROW($1:$99)),COLUMN(M227))-1)</f>
        <v/>
      </c>
      <c r="BO228" s="99"/>
      <c r="BP228" s="99"/>
      <c r="BQ228" s="99"/>
      <c r="BR228" s="99"/>
      <c r="BS228" s="99"/>
      <c r="BT228" s="99"/>
      <c r="BU228" s="99"/>
      <c r="BV228" s="99"/>
      <c r="BW228" s="99"/>
      <c r="BX228" s="99"/>
      <c r="BY228" s="99"/>
      <c r="BZ228" s="99"/>
      <c r="CA228" s="99"/>
      <c r="CB228" s="99"/>
      <c r="CC228" s="99"/>
      <c r="CD228" s="99"/>
      <c r="CE228" s="99"/>
      <c r="CF228" s="99"/>
      <c r="CG228" s="99"/>
      <c r="CH228" s="99"/>
      <c r="CI228" s="99"/>
      <c r="CJ228" s="99"/>
      <c r="CK228" s="99"/>
      <c r="CL228" s="99"/>
      <c r="CM228" s="99"/>
      <c r="CN228" s="99"/>
      <c r="CO228" s="99"/>
      <c r="CP228" s="99"/>
      <c r="CQ228" s="99"/>
      <c r="CR228" s="99"/>
      <c r="CS228" s="99"/>
      <c r="CT228" s="99"/>
      <c r="CU228" s="99"/>
      <c r="CV228" s="99"/>
      <c r="CW228" s="99"/>
      <c r="CX228" s="99"/>
      <c r="CY228" s="99"/>
      <c r="CZ228" s="99"/>
      <c r="DA228" s="99"/>
      <c r="DB228" s="99"/>
      <c r="DC228" s="99"/>
      <c r="DD228" s="99"/>
      <c r="DE228" s="99"/>
      <c r="DF228" s="99"/>
      <c r="DG228" s="99"/>
      <c r="DH228" s="99"/>
      <c r="DI228" s="99"/>
      <c r="DJ228" s="99"/>
      <c r="DK228" s="99"/>
      <c r="DL228" s="99"/>
      <c r="DM228" s="99"/>
      <c r="DN228" s="99"/>
      <c r="DO228" s="99"/>
      <c r="DP228" s="99"/>
      <c r="DQ228" s="99"/>
      <c r="DR228" s="99"/>
      <c r="DS228" s="99"/>
      <c r="DT228" s="99"/>
      <c r="DU228" s="99"/>
      <c r="DV228" s="99"/>
      <c r="DW228" s="99"/>
      <c r="DX228" s="99"/>
      <c r="DY228" s="99"/>
      <c r="DZ228" s="99"/>
      <c r="EA228" s="99"/>
      <c r="EB228" s="99"/>
      <c r="EC228" s="99"/>
      <c r="ED228" s="99"/>
      <c r="EE228" s="99"/>
      <c r="EF228" s="99"/>
      <c r="EG228" s="99"/>
      <c r="EH228" s="99"/>
      <c r="EI228" s="99"/>
      <c r="EJ228" s="99"/>
      <c r="EK228" s="99"/>
      <c r="EL228" s="99"/>
      <c r="EM228" s="99"/>
      <c r="EN228" s="99"/>
      <c r="EO228" s="99"/>
      <c r="EP228" s="99"/>
      <c r="EQ228" s="99"/>
      <c r="ER228" s="99"/>
      <c r="ES228" s="99"/>
      <c r="ET228" s="99"/>
      <c r="EU228" s="99"/>
      <c r="EV228" s="99"/>
      <c r="EW228" s="99"/>
      <c r="EX228" s="99"/>
      <c r="EY228" s="99"/>
      <c r="EZ228" s="99"/>
      <c r="FA228" s="99"/>
      <c r="FB228" s="99"/>
      <c r="FC228" s="99"/>
      <c r="FD228" s="99"/>
      <c r="FE228" s="99"/>
      <c r="FF228" s="99"/>
      <c r="FG228" s="99"/>
      <c r="FH228" s="99"/>
      <c r="FI228" s="99"/>
      <c r="FJ228" s="99"/>
      <c r="FK228" s="99"/>
    </row>
    <row r="229" spans="3:167" x14ac:dyDescent="0.25">
      <c r="C229" s="10"/>
      <c r="D229" s="10"/>
      <c r="J229" s="99">
        <v>226</v>
      </c>
      <c r="K229" s="16"/>
      <c r="L229" s="16"/>
      <c r="M229" s="16"/>
      <c r="N229" s="16"/>
      <c r="O229" s="16"/>
      <c r="P229" s="16"/>
      <c r="Q229" s="16"/>
      <c r="R229" s="16"/>
      <c r="S229" s="16"/>
      <c r="T229" s="16"/>
      <c r="U229" s="14">
        <f>SUM(K229:T229)</f>
        <v>0</v>
      </c>
      <c r="V229" s="14"/>
      <c r="X229" s="75" t="str" cm="1">
        <f t="array" ref="X229">MID(";"&amp;'CASE DATA'!$F229&amp;";",SMALL(IF(ISERROR(SEARCH(MID(";"&amp;'CASE DATA'!$F229&amp;";",ROW($1:$99),1),";")),"",ROW($1:$99)+1),COLUMN(A229)),SMALL(IF(ISERROR(SEARCH(MID(";"&amp;'CASE DATA'!$F229&amp;";",ROW($1:$99),1),";")),"",ROW($1:$99)),COLUMN(A228)+1)-SMALL(IF(ISERROR(SEARCH(MID(";"&amp;'CASE DATA'!$F229&amp;";",ROW($1:$99),1),";")),"",ROW($1:$99)),COLUMN(A228))-1)</f>
        <v/>
      </c>
      <c r="Y229" s="75" t="str" cm="1">
        <f t="array" ref="Y229">MID(";"&amp;'CASE DATA'!$F229&amp;";",SMALL(IF(ISERROR(SEARCH(MID(";"&amp;'CASE DATA'!$F229&amp;";",ROW($1:$99),1),";")),"",ROW($1:$99)+1),COLUMN(B229)),SMALL(IF(ISERROR(SEARCH(MID(";"&amp;'CASE DATA'!$F229&amp;";",ROW($1:$99),1),";")),"",ROW($1:$99)),COLUMN(B228)+1)-SMALL(IF(ISERROR(SEARCH(MID(";"&amp;'CASE DATA'!$F229&amp;";",ROW($1:$99),1),";")),"",ROW($1:$99)),COLUMN(B228))-1)</f>
        <v/>
      </c>
      <c r="Z229" s="75" t="str" cm="1">
        <f t="array" ref="Z229">MID(";"&amp;'CASE DATA'!$F229&amp;";",SMALL(IF(ISERROR(SEARCH(MID(";"&amp;'CASE DATA'!$F229&amp;";",ROW($1:$99),1),";")),"",ROW($1:$99)+1),COLUMN(C229)),SMALL(IF(ISERROR(SEARCH(MID(";"&amp;'CASE DATA'!$F229&amp;";",ROW($1:$99),1),";")),"",ROW($1:$99)),COLUMN(C228)+1)-SMALL(IF(ISERROR(SEARCH(MID(";"&amp;'CASE DATA'!$F229&amp;";",ROW($1:$99),1),";")),"",ROW($1:$99)),COLUMN(C228))-1)</f>
        <v/>
      </c>
      <c r="AA229" s="75" t="str" cm="1">
        <f t="array" ref="AA229">MID(";"&amp;'CASE DATA'!$F229&amp;";",SMALL(IF(ISERROR(SEARCH(MID(";"&amp;'CASE DATA'!$F229&amp;";",ROW($1:$99),1),";")),"",ROW($1:$99)+1),COLUMN(D229)),SMALL(IF(ISERROR(SEARCH(MID(";"&amp;'CASE DATA'!$F229&amp;";",ROW($1:$99),1),";")),"",ROW($1:$99)),COLUMN(D228)+1)-SMALL(IF(ISERROR(SEARCH(MID(";"&amp;'CASE DATA'!$F229&amp;";",ROW($1:$99),1),";")),"",ROW($1:$99)),COLUMN(D228))-1)</f>
        <v/>
      </c>
      <c r="AB229" s="75" t="str" cm="1">
        <f t="array" ref="AB229">MID(";"&amp;'CASE DATA'!$F229&amp;";",SMALL(IF(ISERROR(SEARCH(MID(";"&amp;'CASE DATA'!$F229&amp;";",ROW($1:$99),1),";")),"",ROW($1:$99)+1),COLUMN(E229)),SMALL(IF(ISERROR(SEARCH(MID(";"&amp;'CASE DATA'!$F229&amp;";",ROW($1:$99),1),";")),"",ROW($1:$99)),COLUMN(E228)+1)-SMALL(IF(ISERROR(SEARCH(MID(";"&amp;'CASE DATA'!$F229&amp;";",ROW($1:$99),1),";")),"",ROW($1:$99)),COLUMN(E228))-1)</f>
        <v/>
      </c>
      <c r="AC229" s="75" t="str" cm="1">
        <f t="array" ref="AC229">MID(";"&amp;'CASE DATA'!$F229&amp;";",SMALL(IF(ISERROR(SEARCH(MID(";"&amp;'CASE DATA'!$F229&amp;";",ROW($1:$99),1),";")),"",ROW($1:$99)+1),COLUMN(F229)),SMALL(IF(ISERROR(SEARCH(MID(";"&amp;'CASE DATA'!$F229&amp;";",ROW($1:$99),1),";")),"",ROW($1:$99)),COLUMN(F228)+1)-SMALL(IF(ISERROR(SEARCH(MID(";"&amp;'CASE DATA'!$F229&amp;";",ROW($1:$99),1),";")),"",ROW($1:$99)),COLUMN(F228))-1)</f>
        <v/>
      </c>
      <c r="AD229" s="75" t="str" cm="1">
        <f t="array" ref="AD229">MID(";"&amp;'CASE DATA'!$F229&amp;";",SMALL(IF(ISERROR(SEARCH(MID(";"&amp;'CASE DATA'!$F229&amp;";",ROW($1:$99),1),";")),"",ROW($1:$99)+1),COLUMN(G229)),SMALL(IF(ISERROR(SEARCH(MID(";"&amp;'CASE DATA'!$F229&amp;";",ROW($1:$99),1),";")),"",ROW($1:$99)),COLUMN(G228)+1)-SMALL(IF(ISERROR(SEARCH(MID(";"&amp;'CASE DATA'!$F229&amp;";",ROW($1:$99),1),";")),"",ROW($1:$99)),COLUMN(G228))-1)</f>
        <v/>
      </c>
      <c r="AE229" s="75" t="str" cm="1">
        <f t="array" ref="AE229">MID(";"&amp;'CASE DATA'!$F229&amp;";",SMALL(IF(ISERROR(SEARCH(MID(";"&amp;'CASE DATA'!$F229&amp;";",ROW($1:$99),1),";")),"",ROW($1:$99)+1),COLUMN(H229)),SMALL(IF(ISERROR(SEARCH(MID(";"&amp;'CASE DATA'!$F229&amp;";",ROW($1:$99),1),";")),"",ROW($1:$99)),COLUMN(H228)+1)-SMALL(IF(ISERROR(SEARCH(MID(";"&amp;'CASE DATA'!$F229&amp;";",ROW($1:$99),1),";")),"",ROW($1:$99)),COLUMN(H228))-1)</f>
        <v/>
      </c>
      <c r="AF229" s="75" t="str" cm="1">
        <f t="array" ref="AF229">MID(";"&amp;'CASE DATA'!$F229&amp;";",SMALL(IF(ISERROR(SEARCH(MID(";"&amp;'CASE DATA'!$F229&amp;";",ROW($1:$99),1),";")),"",ROW($1:$99)+1),COLUMN(I229)),SMALL(IF(ISERROR(SEARCH(MID(";"&amp;'CASE DATA'!$F229&amp;";",ROW($1:$99),1),";")),"",ROW($1:$99)),COLUMN(I228)+1)-SMALL(IF(ISERROR(SEARCH(MID(";"&amp;'CASE DATA'!$F229&amp;";",ROW($1:$99),1),";")),"",ROW($1:$99)),COLUMN(I228))-1)</f>
        <v/>
      </c>
      <c r="AG229" s="75" t="str" cm="1">
        <f t="array" ref="AG229">MID(";"&amp;'CASE DATA'!$F229&amp;";",SMALL(IF(ISERROR(SEARCH(MID(";"&amp;'CASE DATA'!$F229&amp;";",ROW($1:$99),1),";")),"",ROW($1:$99)+1),COLUMN(K229)),SMALL(IF(ISERROR(SEARCH(MID(";"&amp;'CASE DATA'!$F229&amp;";",ROW($1:$99),1),";")),"",ROW($1:$99)),COLUMN(K228)+1)-SMALL(IF(ISERROR(SEARCH(MID(";"&amp;'CASE DATA'!$F229&amp;";",ROW($1:$99),1),";")),"",ROW($1:$99)),COLUMN(K228))-1)</f>
        <v/>
      </c>
      <c r="AH229" s="75" t="str" cm="1">
        <f t="array" ref="AH229">MID(";"&amp;'CASE DATA'!$F229&amp;";",SMALL(IF(ISERROR(SEARCH(MID(";"&amp;'CASE DATA'!$F229&amp;";",ROW($1:$99),1),";")),"",ROW($1:$99)+1),COLUMN(L229)),SMALL(IF(ISERROR(SEARCH(MID(";"&amp;'CASE DATA'!$F229&amp;";",ROW($1:$99),1),";")),"",ROW($1:$99)),COLUMN(L228)+1)-SMALL(IF(ISERROR(SEARCH(MID(";"&amp;'CASE DATA'!$F229&amp;";",ROW($1:$99),1),";")),"",ROW($1:$99)),COLUMN(L228))-1)</f>
        <v/>
      </c>
      <c r="AI229" s="75" t="str" cm="1">
        <f t="array" ref="AI229">MID(";"&amp;'CASE DATA'!$F229&amp;";",SMALL(IF(ISERROR(SEARCH(MID(";"&amp;'CASE DATA'!$F229&amp;";",ROW($1:$99),1),";")),"",ROW($1:$99)+1),COLUMN(M229)),SMALL(IF(ISERROR(SEARCH(MID(";"&amp;'CASE DATA'!$F229&amp;";",ROW($1:$99),1),";")),"",ROW($1:$99)),COLUMN(M228)+1)-SMALL(IF(ISERROR(SEARCH(MID(";"&amp;'CASE DATA'!$F229&amp;";",ROW($1:$99),1),";")),"",ROW($1:$99)),COLUMN(M228))-1)</f>
        <v/>
      </c>
      <c r="BO229" s="99"/>
      <c r="BP229" s="99"/>
      <c r="BQ229" s="99"/>
      <c r="BR229" s="99"/>
      <c r="BS229" s="99"/>
      <c r="BT229" s="99"/>
      <c r="BU229" s="99"/>
      <c r="BV229" s="99"/>
      <c r="BW229" s="99"/>
      <c r="BX229" s="99"/>
      <c r="BY229" s="99"/>
      <c r="BZ229" s="99"/>
      <c r="CA229" s="99"/>
      <c r="CB229" s="99"/>
      <c r="CC229" s="99"/>
      <c r="CD229" s="99"/>
      <c r="CE229" s="99"/>
      <c r="CF229" s="99"/>
      <c r="CG229" s="99"/>
      <c r="CH229" s="99"/>
      <c r="CI229" s="99"/>
      <c r="CJ229" s="99"/>
      <c r="CK229" s="99"/>
      <c r="CL229" s="99"/>
      <c r="CM229" s="99"/>
      <c r="CN229" s="99"/>
      <c r="CO229" s="99"/>
      <c r="CP229" s="99"/>
      <c r="CQ229" s="99"/>
      <c r="CR229" s="99"/>
      <c r="CS229" s="99"/>
      <c r="CT229" s="99"/>
      <c r="CU229" s="99"/>
      <c r="CV229" s="99"/>
      <c r="CW229" s="99"/>
      <c r="CX229" s="99"/>
      <c r="CY229" s="99"/>
      <c r="CZ229" s="99"/>
      <c r="DA229" s="99"/>
      <c r="DB229" s="99"/>
      <c r="DC229" s="99"/>
      <c r="DD229" s="99"/>
      <c r="DE229" s="99"/>
      <c r="DF229" s="99"/>
      <c r="DG229" s="99"/>
      <c r="DH229" s="99"/>
      <c r="DI229" s="99"/>
      <c r="DJ229" s="99"/>
      <c r="DK229" s="99"/>
      <c r="DL229" s="99"/>
      <c r="DM229" s="99"/>
      <c r="DN229" s="99"/>
      <c r="DO229" s="99"/>
      <c r="DP229" s="99"/>
      <c r="DQ229" s="99"/>
      <c r="DR229" s="99"/>
      <c r="DS229" s="99"/>
      <c r="DT229" s="99"/>
      <c r="DU229" s="99"/>
      <c r="DV229" s="99"/>
      <c r="DW229" s="99"/>
      <c r="DX229" s="99"/>
      <c r="DY229" s="99"/>
      <c r="DZ229" s="99"/>
      <c r="EA229" s="99"/>
      <c r="EB229" s="99"/>
      <c r="EC229" s="99"/>
      <c r="ED229" s="99"/>
      <c r="EE229" s="99"/>
      <c r="EF229" s="99"/>
      <c r="EG229" s="99"/>
      <c r="EH229" s="99"/>
      <c r="EI229" s="99"/>
      <c r="EJ229" s="99"/>
      <c r="EK229" s="99"/>
      <c r="EL229" s="99"/>
      <c r="EM229" s="99"/>
      <c r="EN229" s="99"/>
      <c r="EO229" s="99"/>
      <c r="EP229" s="99"/>
      <c r="EQ229" s="99"/>
      <c r="ER229" s="99"/>
      <c r="ES229" s="99"/>
      <c r="ET229" s="99"/>
      <c r="EU229" s="99"/>
      <c r="EV229" s="99"/>
      <c r="EW229" s="99"/>
      <c r="EX229" s="99"/>
      <c r="EY229" s="99"/>
      <c r="EZ229" s="99"/>
      <c r="FA229" s="99"/>
      <c r="FB229" s="99"/>
      <c r="FC229" s="99"/>
      <c r="FD229" s="99"/>
      <c r="FE229" s="99"/>
      <c r="FF229" s="99"/>
      <c r="FG229" s="99"/>
      <c r="FH229" s="99"/>
      <c r="FI229" s="99"/>
      <c r="FJ229" s="99"/>
      <c r="FK229" s="99"/>
    </row>
    <row r="230" spans="3:167" x14ac:dyDescent="0.25">
      <c r="C230" s="10"/>
      <c r="D230" s="10"/>
      <c r="J230" s="99">
        <v>227</v>
      </c>
      <c r="K230" s="16"/>
      <c r="L230" s="16"/>
      <c r="M230" s="16"/>
      <c r="N230" s="16"/>
      <c r="O230" s="16"/>
      <c r="P230" s="16"/>
      <c r="Q230" s="16"/>
      <c r="R230" s="16"/>
      <c r="S230" s="16"/>
      <c r="T230" s="16"/>
      <c r="U230" s="14">
        <f>SUM(K230:T230)</f>
        <v>0</v>
      </c>
      <c r="V230" s="14"/>
      <c r="X230" s="75" t="str" cm="1">
        <f t="array" ref="X230">MID(";"&amp;'CASE DATA'!$F230&amp;";",SMALL(IF(ISERROR(SEARCH(MID(";"&amp;'CASE DATA'!$F230&amp;";",ROW($1:$99),1),";")),"",ROW($1:$99)+1),COLUMN(A230)),SMALL(IF(ISERROR(SEARCH(MID(";"&amp;'CASE DATA'!$F230&amp;";",ROW($1:$99),1),";")),"",ROW($1:$99)),COLUMN(A229)+1)-SMALL(IF(ISERROR(SEARCH(MID(";"&amp;'CASE DATA'!$F230&amp;";",ROW($1:$99),1),";")),"",ROW($1:$99)),COLUMN(A229))-1)</f>
        <v/>
      </c>
      <c r="Y230" s="75" t="str" cm="1">
        <f t="array" ref="Y230">MID(";"&amp;'CASE DATA'!$F230&amp;";",SMALL(IF(ISERROR(SEARCH(MID(";"&amp;'CASE DATA'!$F230&amp;";",ROW($1:$99),1),";")),"",ROW($1:$99)+1),COLUMN(B230)),SMALL(IF(ISERROR(SEARCH(MID(";"&amp;'CASE DATA'!$F230&amp;";",ROW($1:$99),1),";")),"",ROW($1:$99)),COLUMN(B229)+1)-SMALL(IF(ISERROR(SEARCH(MID(";"&amp;'CASE DATA'!$F230&amp;";",ROW($1:$99),1),";")),"",ROW($1:$99)),COLUMN(B229))-1)</f>
        <v/>
      </c>
      <c r="Z230" s="75" t="str" cm="1">
        <f t="array" ref="Z230">MID(";"&amp;'CASE DATA'!$F230&amp;";",SMALL(IF(ISERROR(SEARCH(MID(";"&amp;'CASE DATA'!$F230&amp;";",ROW($1:$99),1),";")),"",ROW($1:$99)+1),COLUMN(C230)),SMALL(IF(ISERROR(SEARCH(MID(";"&amp;'CASE DATA'!$F230&amp;";",ROW($1:$99),1),";")),"",ROW($1:$99)),COLUMN(C229)+1)-SMALL(IF(ISERROR(SEARCH(MID(";"&amp;'CASE DATA'!$F230&amp;";",ROW($1:$99),1),";")),"",ROW($1:$99)),COLUMN(C229))-1)</f>
        <v/>
      </c>
      <c r="AA230" s="75" t="str" cm="1">
        <f t="array" ref="AA230">MID(";"&amp;'CASE DATA'!$F230&amp;";",SMALL(IF(ISERROR(SEARCH(MID(";"&amp;'CASE DATA'!$F230&amp;";",ROW($1:$99),1),";")),"",ROW($1:$99)+1),COLUMN(D230)),SMALL(IF(ISERROR(SEARCH(MID(";"&amp;'CASE DATA'!$F230&amp;";",ROW($1:$99),1),";")),"",ROW($1:$99)),COLUMN(D229)+1)-SMALL(IF(ISERROR(SEARCH(MID(";"&amp;'CASE DATA'!$F230&amp;";",ROW($1:$99),1),";")),"",ROW($1:$99)),COLUMN(D229))-1)</f>
        <v/>
      </c>
      <c r="AB230" s="75" t="str" cm="1">
        <f t="array" ref="AB230">MID(";"&amp;'CASE DATA'!$F230&amp;";",SMALL(IF(ISERROR(SEARCH(MID(";"&amp;'CASE DATA'!$F230&amp;";",ROW($1:$99),1),";")),"",ROW($1:$99)+1),COLUMN(E230)),SMALL(IF(ISERROR(SEARCH(MID(";"&amp;'CASE DATA'!$F230&amp;";",ROW($1:$99),1),";")),"",ROW($1:$99)),COLUMN(E229)+1)-SMALL(IF(ISERROR(SEARCH(MID(";"&amp;'CASE DATA'!$F230&amp;";",ROW($1:$99),1),";")),"",ROW($1:$99)),COLUMN(E229))-1)</f>
        <v/>
      </c>
      <c r="AC230" s="75" t="str" cm="1">
        <f t="array" ref="AC230">MID(";"&amp;'CASE DATA'!$F230&amp;";",SMALL(IF(ISERROR(SEARCH(MID(";"&amp;'CASE DATA'!$F230&amp;";",ROW($1:$99),1),";")),"",ROW($1:$99)+1),COLUMN(F230)),SMALL(IF(ISERROR(SEARCH(MID(";"&amp;'CASE DATA'!$F230&amp;";",ROW($1:$99),1),";")),"",ROW($1:$99)),COLUMN(F229)+1)-SMALL(IF(ISERROR(SEARCH(MID(";"&amp;'CASE DATA'!$F230&amp;";",ROW($1:$99),1),";")),"",ROW($1:$99)),COLUMN(F229))-1)</f>
        <v/>
      </c>
      <c r="AD230" s="75" t="str" cm="1">
        <f t="array" ref="AD230">MID(";"&amp;'CASE DATA'!$F230&amp;";",SMALL(IF(ISERROR(SEARCH(MID(";"&amp;'CASE DATA'!$F230&amp;";",ROW($1:$99),1),";")),"",ROW($1:$99)+1),COLUMN(G230)),SMALL(IF(ISERROR(SEARCH(MID(";"&amp;'CASE DATA'!$F230&amp;";",ROW($1:$99),1),";")),"",ROW($1:$99)),COLUMN(G229)+1)-SMALL(IF(ISERROR(SEARCH(MID(";"&amp;'CASE DATA'!$F230&amp;";",ROW($1:$99),1),";")),"",ROW($1:$99)),COLUMN(G229))-1)</f>
        <v/>
      </c>
      <c r="AE230" s="75" t="str" cm="1">
        <f t="array" ref="AE230">MID(";"&amp;'CASE DATA'!$F230&amp;";",SMALL(IF(ISERROR(SEARCH(MID(";"&amp;'CASE DATA'!$F230&amp;";",ROW($1:$99),1),";")),"",ROW($1:$99)+1),COLUMN(H230)),SMALL(IF(ISERROR(SEARCH(MID(";"&amp;'CASE DATA'!$F230&amp;";",ROW($1:$99),1),";")),"",ROW($1:$99)),COLUMN(H229)+1)-SMALL(IF(ISERROR(SEARCH(MID(";"&amp;'CASE DATA'!$F230&amp;";",ROW($1:$99),1),";")),"",ROW($1:$99)),COLUMN(H229))-1)</f>
        <v/>
      </c>
      <c r="AF230" s="75" t="str" cm="1">
        <f t="array" ref="AF230">MID(";"&amp;'CASE DATA'!$F230&amp;";",SMALL(IF(ISERROR(SEARCH(MID(";"&amp;'CASE DATA'!$F230&amp;";",ROW($1:$99),1),";")),"",ROW($1:$99)+1),COLUMN(I230)),SMALL(IF(ISERROR(SEARCH(MID(";"&amp;'CASE DATA'!$F230&amp;";",ROW($1:$99),1),";")),"",ROW($1:$99)),COLUMN(I229)+1)-SMALL(IF(ISERROR(SEARCH(MID(";"&amp;'CASE DATA'!$F230&amp;";",ROW($1:$99),1),";")),"",ROW($1:$99)),COLUMN(I229))-1)</f>
        <v/>
      </c>
      <c r="AG230" s="75" t="str" cm="1">
        <f t="array" ref="AG230">MID(";"&amp;'CASE DATA'!$F230&amp;";",SMALL(IF(ISERROR(SEARCH(MID(";"&amp;'CASE DATA'!$F230&amp;";",ROW($1:$99),1),";")),"",ROW($1:$99)+1),COLUMN(K230)),SMALL(IF(ISERROR(SEARCH(MID(";"&amp;'CASE DATA'!$F230&amp;";",ROW($1:$99),1),";")),"",ROW($1:$99)),COLUMN(K229)+1)-SMALL(IF(ISERROR(SEARCH(MID(";"&amp;'CASE DATA'!$F230&amp;";",ROW($1:$99),1),";")),"",ROW($1:$99)),COLUMN(K229))-1)</f>
        <v/>
      </c>
      <c r="AH230" s="75" t="str" cm="1">
        <f t="array" ref="AH230">MID(";"&amp;'CASE DATA'!$F230&amp;";",SMALL(IF(ISERROR(SEARCH(MID(";"&amp;'CASE DATA'!$F230&amp;";",ROW($1:$99),1),";")),"",ROW($1:$99)+1),COLUMN(L230)),SMALL(IF(ISERROR(SEARCH(MID(";"&amp;'CASE DATA'!$F230&amp;";",ROW($1:$99),1),";")),"",ROW($1:$99)),COLUMN(L229)+1)-SMALL(IF(ISERROR(SEARCH(MID(";"&amp;'CASE DATA'!$F230&amp;";",ROW($1:$99),1),";")),"",ROW($1:$99)),COLUMN(L229))-1)</f>
        <v/>
      </c>
      <c r="AI230" s="75" t="str" cm="1">
        <f t="array" ref="AI230">MID(";"&amp;'CASE DATA'!$F230&amp;";",SMALL(IF(ISERROR(SEARCH(MID(";"&amp;'CASE DATA'!$F230&amp;";",ROW($1:$99),1),";")),"",ROW($1:$99)+1),COLUMN(M230)),SMALL(IF(ISERROR(SEARCH(MID(";"&amp;'CASE DATA'!$F230&amp;";",ROW($1:$99),1),";")),"",ROW($1:$99)),COLUMN(M229)+1)-SMALL(IF(ISERROR(SEARCH(MID(";"&amp;'CASE DATA'!$F230&amp;";",ROW($1:$99),1),";")),"",ROW($1:$99)),COLUMN(M229))-1)</f>
        <v/>
      </c>
      <c r="BO230" s="99"/>
      <c r="BP230" s="99"/>
      <c r="BQ230" s="99"/>
      <c r="BR230" s="99"/>
      <c r="BS230" s="99"/>
      <c r="BT230" s="99"/>
      <c r="BU230" s="99"/>
      <c r="BV230" s="99"/>
      <c r="BW230" s="99"/>
      <c r="BX230" s="99"/>
      <c r="BY230" s="99"/>
      <c r="BZ230" s="99"/>
      <c r="CA230" s="99"/>
      <c r="CB230" s="99"/>
      <c r="CC230" s="99"/>
      <c r="CD230" s="99"/>
      <c r="CE230" s="99"/>
      <c r="CF230" s="99"/>
      <c r="CG230" s="99"/>
      <c r="CH230" s="99"/>
      <c r="CI230" s="99"/>
      <c r="CJ230" s="99"/>
      <c r="CK230" s="99"/>
      <c r="CL230" s="99"/>
      <c r="CM230" s="99"/>
      <c r="CN230" s="99"/>
      <c r="CO230" s="99"/>
      <c r="CP230" s="99"/>
      <c r="CQ230" s="99"/>
      <c r="CR230" s="99"/>
      <c r="CS230" s="99"/>
      <c r="CT230" s="99"/>
      <c r="CU230" s="99"/>
      <c r="CV230" s="99"/>
      <c r="CW230" s="99"/>
      <c r="CX230" s="99"/>
      <c r="CY230" s="99"/>
      <c r="CZ230" s="99"/>
      <c r="DA230" s="99"/>
      <c r="DB230" s="99"/>
      <c r="DC230" s="99"/>
      <c r="DD230" s="99"/>
      <c r="DE230" s="99"/>
      <c r="DF230" s="99"/>
      <c r="DG230" s="99"/>
      <c r="DH230" s="99"/>
      <c r="DI230" s="99"/>
      <c r="DJ230" s="99"/>
      <c r="DK230" s="99"/>
      <c r="DL230" s="99"/>
      <c r="DM230" s="99"/>
      <c r="DN230" s="99"/>
      <c r="DO230" s="99"/>
      <c r="DP230" s="99"/>
      <c r="DQ230" s="99"/>
      <c r="DR230" s="99"/>
      <c r="DS230" s="99"/>
      <c r="DT230" s="99"/>
      <c r="DU230" s="99"/>
      <c r="DV230" s="99"/>
      <c r="DW230" s="99"/>
      <c r="DX230" s="99"/>
      <c r="DY230" s="99"/>
      <c r="DZ230" s="99"/>
      <c r="EA230" s="99"/>
      <c r="EB230" s="99"/>
      <c r="EC230" s="99"/>
      <c r="ED230" s="99"/>
      <c r="EE230" s="99"/>
      <c r="EF230" s="99"/>
      <c r="EG230" s="99"/>
      <c r="EH230" s="99"/>
      <c r="EI230" s="99"/>
      <c r="EJ230" s="99"/>
      <c r="EK230" s="99"/>
      <c r="EL230" s="99"/>
      <c r="EM230" s="99"/>
      <c r="EN230" s="99"/>
      <c r="EO230" s="99"/>
      <c r="EP230" s="99"/>
      <c r="EQ230" s="99"/>
      <c r="ER230" s="99"/>
      <c r="ES230" s="99"/>
      <c r="ET230" s="99"/>
      <c r="EU230" s="99"/>
      <c r="EV230" s="99"/>
      <c r="EW230" s="99"/>
      <c r="EX230" s="99"/>
      <c r="EY230" s="99"/>
      <c r="EZ230" s="99"/>
      <c r="FA230" s="99"/>
      <c r="FB230" s="99"/>
      <c r="FC230" s="99"/>
      <c r="FD230" s="99"/>
      <c r="FE230" s="99"/>
      <c r="FF230" s="99"/>
      <c r="FG230" s="99"/>
      <c r="FH230" s="99"/>
      <c r="FI230" s="99"/>
      <c r="FJ230" s="99"/>
      <c r="FK230" s="99"/>
    </row>
    <row r="231" spans="3:167" x14ac:dyDescent="0.25">
      <c r="C231" s="10"/>
      <c r="D231" s="10"/>
      <c r="J231" s="99">
        <v>228</v>
      </c>
      <c r="K231" s="16"/>
      <c r="L231" s="16"/>
      <c r="M231" s="16"/>
      <c r="N231" s="16"/>
      <c r="O231" s="16"/>
      <c r="P231" s="16"/>
      <c r="Q231" s="16"/>
      <c r="R231" s="16"/>
      <c r="S231" s="16"/>
      <c r="T231" s="16"/>
      <c r="U231" s="14">
        <f>SUM(K231:T231)</f>
        <v>0</v>
      </c>
      <c r="V231" s="14"/>
      <c r="X231" s="75" t="str" cm="1">
        <f t="array" ref="X231">MID(";"&amp;'CASE DATA'!$F231&amp;";",SMALL(IF(ISERROR(SEARCH(MID(";"&amp;'CASE DATA'!$F231&amp;";",ROW($1:$99),1),";")),"",ROW($1:$99)+1),COLUMN(A231)),SMALL(IF(ISERROR(SEARCH(MID(";"&amp;'CASE DATA'!$F231&amp;";",ROW($1:$99),1),";")),"",ROW($1:$99)),COLUMN(A230)+1)-SMALL(IF(ISERROR(SEARCH(MID(";"&amp;'CASE DATA'!$F231&amp;";",ROW($1:$99),1),";")),"",ROW($1:$99)),COLUMN(A230))-1)</f>
        <v/>
      </c>
      <c r="Y231" s="75" t="str" cm="1">
        <f t="array" ref="Y231">MID(";"&amp;'CASE DATA'!$F231&amp;";",SMALL(IF(ISERROR(SEARCH(MID(";"&amp;'CASE DATA'!$F231&amp;";",ROW($1:$99),1),";")),"",ROW($1:$99)+1),COLUMN(B231)),SMALL(IF(ISERROR(SEARCH(MID(";"&amp;'CASE DATA'!$F231&amp;";",ROW($1:$99),1),";")),"",ROW($1:$99)),COLUMN(B230)+1)-SMALL(IF(ISERROR(SEARCH(MID(";"&amp;'CASE DATA'!$F231&amp;";",ROW($1:$99),1),";")),"",ROW($1:$99)),COLUMN(B230))-1)</f>
        <v/>
      </c>
      <c r="Z231" s="75" t="str" cm="1">
        <f t="array" ref="Z231">MID(";"&amp;'CASE DATA'!$F231&amp;";",SMALL(IF(ISERROR(SEARCH(MID(";"&amp;'CASE DATA'!$F231&amp;";",ROW($1:$99),1),";")),"",ROW($1:$99)+1),COLUMN(C231)),SMALL(IF(ISERROR(SEARCH(MID(";"&amp;'CASE DATA'!$F231&amp;";",ROW($1:$99),1),";")),"",ROW($1:$99)),COLUMN(C230)+1)-SMALL(IF(ISERROR(SEARCH(MID(";"&amp;'CASE DATA'!$F231&amp;";",ROW($1:$99),1),";")),"",ROW($1:$99)),COLUMN(C230))-1)</f>
        <v/>
      </c>
      <c r="AA231" s="75" t="str" cm="1">
        <f t="array" ref="AA231">MID(";"&amp;'CASE DATA'!$F231&amp;";",SMALL(IF(ISERROR(SEARCH(MID(";"&amp;'CASE DATA'!$F231&amp;";",ROW($1:$99),1),";")),"",ROW($1:$99)+1),COLUMN(D231)),SMALL(IF(ISERROR(SEARCH(MID(";"&amp;'CASE DATA'!$F231&amp;";",ROW($1:$99),1),";")),"",ROW($1:$99)),COLUMN(D230)+1)-SMALL(IF(ISERROR(SEARCH(MID(";"&amp;'CASE DATA'!$F231&amp;";",ROW($1:$99),1),";")),"",ROW($1:$99)),COLUMN(D230))-1)</f>
        <v/>
      </c>
      <c r="AB231" s="75" t="str" cm="1">
        <f t="array" ref="AB231">MID(";"&amp;'CASE DATA'!$F231&amp;";",SMALL(IF(ISERROR(SEARCH(MID(";"&amp;'CASE DATA'!$F231&amp;";",ROW($1:$99),1),";")),"",ROW($1:$99)+1),COLUMN(E231)),SMALL(IF(ISERROR(SEARCH(MID(";"&amp;'CASE DATA'!$F231&amp;";",ROW($1:$99),1),";")),"",ROW($1:$99)),COLUMN(E230)+1)-SMALL(IF(ISERROR(SEARCH(MID(";"&amp;'CASE DATA'!$F231&amp;";",ROW($1:$99),1),";")),"",ROW($1:$99)),COLUMN(E230))-1)</f>
        <v/>
      </c>
      <c r="AC231" s="75" t="str" cm="1">
        <f t="array" ref="AC231">MID(";"&amp;'CASE DATA'!$F231&amp;";",SMALL(IF(ISERROR(SEARCH(MID(";"&amp;'CASE DATA'!$F231&amp;";",ROW($1:$99),1),";")),"",ROW($1:$99)+1),COLUMN(F231)),SMALL(IF(ISERROR(SEARCH(MID(";"&amp;'CASE DATA'!$F231&amp;";",ROW($1:$99),1),";")),"",ROW($1:$99)),COLUMN(F230)+1)-SMALL(IF(ISERROR(SEARCH(MID(";"&amp;'CASE DATA'!$F231&amp;";",ROW($1:$99),1),";")),"",ROW($1:$99)),COLUMN(F230))-1)</f>
        <v/>
      </c>
      <c r="AD231" s="75" t="str" cm="1">
        <f t="array" ref="AD231">MID(";"&amp;'CASE DATA'!$F231&amp;";",SMALL(IF(ISERROR(SEARCH(MID(";"&amp;'CASE DATA'!$F231&amp;";",ROW($1:$99),1),";")),"",ROW($1:$99)+1),COLUMN(G231)),SMALL(IF(ISERROR(SEARCH(MID(";"&amp;'CASE DATA'!$F231&amp;";",ROW($1:$99),1),";")),"",ROW($1:$99)),COLUMN(G230)+1)-SMALL(IF(ISERROR(SEARCH(MID(";"&amp;'CASE DATA'!$F231&amp;";",ROW($1:$99),1),";")),"",ROW($1:$99)),COLUMN(G230))-1)</f>
        <v/>
      </c>
      <c r="AE231" s="75" t="str" cm="1">
        <f t="array" ref="AE231">MID(";"&amp;'CASE DATA'!$F231&amp;";",SMALL(IF(ISERROR(SEARCH(MID(";"&amp;'CASE DATA'!$F231&amp;";",ROW($1:$99),1),";")),"",ROW($1:$99)+1),COLUMN(H231)),SMALL(IF(ISERROR(SEARCH(MID(";"&amp;'CASE DATA'!$F231&amp;";",ROW($1:$99),1),";")),"",ROW($1:$99)),COLUMN(H230)+1)-SMALL(IF(ISERROR(SEARCH(MID(";"&amp;'CASE DATA'!$F231&amp;";",ROW($1:$99),1),";")),"",ROW($1:$99)),COLUMN(H230))-1)</f>
        <v/>
      </c>
      <c r="AF231" s="75" t="str" cm="1">
        <f t="array" ref="AF231">MID(";"&amp;'CASE DATA'!$F231&amp;";",SMALL(IF(ISERROR(SEARCH(MID(";"&amp;'CASE DATA'!$F231&amp;";",ROW($1:$99),1),";")),"",ROW($1:$99)+1),COLUMN(I231)),SMALL(IF(ISERROR(SEARCH(MID(";"&amp;'CASE DATA'!$F231&amp;";",ROW($1:$99),1),";")),"",ROW($1:$99)),COLUMN(I230)+1)-SMALL(IF(ISERROR(SEARCH(MID(";"&amp;'CASE DATA'!$F231&amp;";",ROW($1:$99),1),";")),"",ROW($1:$99)),COLUMN(I230))-1)</f>
        <v/>
      </c>
      <c r="AG231" s="75" t="str" cm="1">
        <f t="array" ref="AG231">MID(";"&amp;'CASE DATA'!$F231&amp;";",SMALL(IF(ISERROR(SEARCH(MID(";"&amp;'CASE DATA'!$F231&amp;";",ROW($1:$99),1),";")),"",ROW($1:$99)+1),COLUMN(K231)),SMALL(IF(ISERROR(SEARCH(MID(";"&amp;'CASE DATA'!$F231&amp;";",ROW($1:$99),1),";")),"",ROW($1:$99)),COLUMN(K230)+1)-SMALL(IF(ISERROR(SEARCH(MID(";"&amp;'CASE DATA'!$F231&amp;";",ROW($1:$99),1),";")),"",ROW($1:$99)),COLUMN(K230))-1)</f>
        <v/>
      </c>
      <c r="AH231" s="75" t="str" cm="1">
        <f t="array" ref="AH231">MID(";"&amp;'CASE DATA'!$F231&amp;";",SMALL(IF(ISERROR(SEARCH(MID(";"&amp;'CASE DATA'!$F231&amp;";",ROW($1:$99),1),";")),"",ROW($1:$99)+1),COLUMN(L231)),SMALL(IF(ISERROR(SEARCH(MID(";"&amp;'CASE DATA'!$F231&amp;";",ROW($1:$99),1),";")),"",ROW($1:$99)),COLUMN(L230)+1)-SMALL(IF(ISERROR(SEARCH(MID(";"&amp;'CASE DATA'!$F231&amp;";",ROW($1:$99),1),";")),"",ROW($1:$99)),COLUMN(L230))-1)</f>
        <v/>
      </c>
      <c r="AI231" s="75" t="str" cm="1">
        <f t="array" ref="AI231">MID(";"&amp;'CASE DATA'!$F231&amp;";",SMALL(IF(ISERROR(SEARCH(MID(";"&amp;'CASE DATA'!$F231&amp;";",ROW($1:$99),1),";")),"",ROW($1:$99)+1),COLUMN(M231)),SMALL(IF(ISERROR(SEARCH(MID(";"&amp;'CASE DATA'!$F231&amp;";",ROW($1:$99),1),";")),"",ROW($1:$99)),COLUMN(M230)+1)-SMALL(IF(ISERROR(SEARCH(MID(";"&amp;'CASE DATA'!$F231&amp;";",ROW($1:$99),1),";")),"",ROW($1:$99)),COLUMN(M230))-1)</f>
        <v/>
      </c>
      <c r="BO231" s="99"/>
      <c r="BP231" s="99"/>
      <c r="BQ231" s="99"/>
      <c r="BR231" s="99"/>
      <c r="BS231" s="99"/>
      <c r="BT231" s="99"/>
      <c r="BU231" s="99"/>
      <c r="BV231" s="99"/>
      <c r="BW231" s="99"/>
      <c r="BX231" s="99"/>
      <c r="BY231" s="99"/>
      <c r="BZ231" s="99"/>
      <c r="CA231" s="99"/>
      <c r="CB231" s="99"/>
      <c r="CC231" s="99"/>
      <c r="CD231" s="99"/>
      <c r="CE231" s="99"/>
      <c r="CF231" s="99"/>
      <c r="CG231" s="99"/>
      <c r="CH231" s="99"/>
      <c r="CI231" s="99"/>
      <c r="CJ231" s="99"/>
      <c r="CK231" s="99"/>
      <c r="CL231" s="99"/>
      <c r="CM231" s="99"/>
      <c r="CN231" s="99"/>
      <c r="CO231" s="99"/>
      <c r="CP231" s="99"/>
      <c r="CQ231" s="99"/>
      <c r="CR231" s="99"/>
      <c r="CS231" s="99"/>
      <c r="CT231" s="99"/>
      <c r="CU231" s="99"/>
      <c r="CV231" s="99"/>
      <c r="CW231" s="99"/>
      <c r="CX231" s="99"/>
      <c r="CY231" s="99"/>
      <c r="CZ231" s="99"/>
      <c r="DA231" s="99"/>
      <c r="DB231" s="99"/>
      <c r="DC231" s="99"/>
      <c r="DD231" s="99"/>
      <c r="DE231" s="99"/>
      <c r="DF231" s="99"/>
      <c r="DG231" s="99"/>
      <c r="DH231" s="99"/>
      <c r="DI231" s="99"/>
      <c r="DJ231" s="99"/>
      <c r="DK231" s="99"/>
      <c r="DL231" s="99"/>
      <c r="DM231" s="99"/>
      <c r="DN231" s="99"/>
      <c r="DO231" s="99"/>
      <c r="DP231" s="99"/>
      <c r="DQ231" s="99"/>
      <c r="DR231" s="99"/>
      <c r="DS231" s="99"/>
      <c r="DT231" s="99"/>
      <c r="DU231" s="99"/>
      <c r="DV231" s="99"/>
      <c r="DW231" s="99"/>
      <c r="DX231" s="99"/>
      <c r="DY231" s="99"/>
      <c r="DZ231" s="99"/>
      <c r="EA231" s="99"/>
      <c r="EB231" s="99"/>
      <c r="EC231" s="99"/>
      <c r="ED231" s="99"/>
      <c r="EE231" s="99"/>
      <c r="EF231" s="99"/>
      <c r="EG231" s="99"/>
      <c r="EH231" s="99"/>
      <c r="EI231" s="99"/>
      <c r="EJ231" s="99"/>
      <c r="EK231" s="99"/>
      <c r="EL231" s="99"/>
      <c r="EM231" s="99"/>
      <c r="EN231" s="99"/>
      <c r="EO231" s="99"/>
      <c r="EP231" s="99"/>
      <c r="EQ231" s="99"/>
      <c r="ER231" s="99"/>
      <c r="ES231" s="99"/>
      <c r="ET231" s="99"/>
      <c r="EU231" s="99"/>
      <c r="EV231" s="99"/>
      <c r="EW231" s="99"/>
      <c r="EX231" s="99"/>
      <c r="EY231" s="99"/>
      <c r="EZ231" s="99"/>
      <c r="FA231" s="99"/>
      <c r="FB231" s="99"/>
      <c r="FC231" s="99"/>
      <c r="FD231" s="99"/>
      <c r="FE231" s="99"/>
      <c r="FF231" s="99"/>
      <c r="FG231" s="99"/>
      <c r="FH231" s="99"/>
      <c r="FI231" s="99"/>
      <c r="FJ231" s="99"/>
      <c r="FK231" s="99"/>
    </row>
    <row r="232" spans="3:167" x14ac:dyDescent="0.25">
      <c r="C232" s="10"/>
      <c r="D232" s="10"/>
      <c r="J232" s="99">
        <v>229</v>
      </c>
      <c r="K232" s="16"/>
      <c r="L232" s="16"/>
      <c r="M232" s="16"/>
      <c r="N232" s="16"/>
      <c r="O232" s="16"/>
      <c r="P232" s="16"/>
      <c r="Q232" s="16"/>
      <c r="R232" s="16"/>
      <c r="S232" s="16"/>
      <c r="T232" s="16"/>
      <c r="U232" s="14">
        <f>SUM(K232:T232)</f>
        <v>0</v>
      </c>
      <c r="V232" s="14"/>
      <c r="X232" s="75" t="str" cm="1">
        <f t="array" ref="X232">MID(";"&amp;'CASE DATA'!$F232&amp;";",SMALL(IF(ISERROR(SEARCH(MID(";"&amp;'CASE DATA'!$F232&amp;";",ROW($1:$99),1),";")),"",ROW($1:$99)+1),COLUMN(A232)),SMALL(IF(ISERROR(SEARCH(MID(";"&amp;'CASE DATA'!$F232&amp;";",ROW($1:$99),1),";")),"",ROW($1:$99)),COLUMN(A231)+1)-SMALL(IF(ISERROR(SEARCH(MID(";"&amp;'CASE DATA'!$F232&amp;";",ROW($1:$99),1),";")),"",ROW($1:$99)),COLUMN(A231))-1)</f>
        <v/>
      </c>
      <c r="Y232" s="75" t="str" cm="1">
        <f t="array" ref="Y232">MID(";"&amp;'CASE DATA'!$F232&amp;";",SMALL(IF(ISERROR(SEARCH(MID(";"&amp;'CASE DATA'!$F232&amp;";",ROW($1:$99),1),";")),"",ROW($1:$99)+1),COLUMN(B232)),SMALL(IF(ISERROR(SEARCH(MID(";"&amp;'CASE DATA'!$F232&amp;";",ROW($1:$99),1),";")),"",ROW($1:$99)),COLUMN(B231)+1)-SMALL(IF(ISERROR(SEARCH(MID(";"&amp;'CASE DATA'!$F232&amp;";",ROW($1:$99),1),";")),"",ROW($1:$99)),COLUMN(B231))-1)</f>
        <v/>
      </c>
      <c r="Z232" s="75" t="str" cm="1">
        <f t="array" ref="Z232">MID(";"&amp;'CASE DATA'!$F232&amp;";",SMALL(IF(ISERROR(SEARCH(MID(";"&amp;'CASE DATA'!$F232&amp;";",ROW($1:$99),1),";")),"",ROW($1:$99)+1),COLUMN(C232)),SMALL(IF(ISERROR(SEARCH(MID(";"&amp;'CASE DATA'!$F232&amp;";",ROW($1:$99),1),";")),"",ROW($1:$99)),COLUMN(C231)+1)-SMALL(IF(ISERROR(SEARCH(MID(";"&amp;'CASE DATA'!$F232&amp;";",ROW($1:$99),1),";")),"",ROW($1:$99)),COLUMN(C231))-1)</f>
        <v/>
      </c>
      <c r="AA232" s="75" t="str" cm="1">
        <f t="array" ref="AA232">MID(";"&amp;'CASE DATA'!$F232&amp;";",SMALL(IF(ISERROR(SEARCH(MID(";"&amp;'CASE DATA'!$F232&amp;";",ROW($1:$99),1),";")),"",ROW($1:$99)+1),COLUMN(D232)),SMALL(IF(ISERROR(SEARCH(MID(";"&amp;'CASE DATA'!$F232&amp;";",ROW($1:$99),1),";")),"",ROW($1:$99)),COLUMN(D231)+1)-SMALL(IF(ISERROR(SEARCH(MID(";"&amp;'CASE DATA'!$F232&amp;";",ROW($1:$99),1),";")),"",ROW($1:$99)),COLUMN(D231))-1)</f>
        <v/>
      </c>
      <c r="AB232" s="75" t="str" cm="1">
        <f t="array" ref="AB232">MID(";"&amp;'CASE DATA'!$F232&amp;";",SMALL(IF(ISERROR(SEARCH(MID(";"&amp;'CASE DATA'!$F232&amp;";",ROW($1:$99),1),";")),"",ROW($1:$99)+1),COLUMN(E232)),SMALL(IF(ISERROR(SEARCH(MID(";"&amp;'CASE DATA'!$F232&amp;";",ROW($1:$99),1),";")),"",ROW($1:$99)),COLUMN(E231)+1)-SMALL(IF(ISERROR(SEARCH(MID(";"&amp;'CASE DATA'!$F232&amp;";",ROW($1:$99),1),";")),"",ROW($1:$99)),COLUMN(E231))-1)</f>
        <v/>
      </c>
      <c r="AC232" s="75" t="str" cm="1">
        <f t="array" ref="AC232">MID(";"&amp;'CASE DATA'!$F232&amp;";",SMALL(IF(ISERROR(SEARCH(MID(";"&amp;'CASE DATA'!$F232&amp;";",ROW($1:$99),1),";")),"",ROW($1:$99)+1),COLUMN(F232)),SMALL(IF(ISERROR(SEARCH(MID(";"&amp;'CASE DATA'!$F232&amp;";",ROW($1:$99),1),";")),"",ROW($1:$99)),COLUMN(F231)+1)-SMALL(IF(ISERROR(SEARCH(MID(";"&amp;'CASE DATA'!$F232&amp;";",ROW($1:$99),1),";")),"",ROW($1:$99)),COLUMN(F231))-1)</f>
        <v/>
      </c>
      <c r="AD232" s="75" t="str" cm="1">
        <f t="array" ref="AD232">MID(";"&amp;'CASE DATA'!$F232&amp;";",SMALL(IF(ISERROR(SEARCH(MID(";"&amp;'CASE DATA'!$F232&amp;";",ROW($1:$99),1),";")),"",ROW($1:$99)+1),COLUMN(G232)),SMALL(IF(ISERROR(SEARCH(MID(";"&amp;'CASE DATA'!$F232&amp;";",ROW($1:$99),1),";")),"",ROW($1:$99)),COLUMN(G231)+1)-SMALL(IF(ISERROR(SEARCH(MID(";"&amp;'CASE DATA'!$F232&amp;";",ROW($1:$99),1),";")),"",ROW($1:$99)),COLUMN(G231))-1)</f>
        <v/>
      </c>
      <c r="AE232" s="75" t="str" cm="1">
        <f t="array" ref="AE232">MID(";"&amp;'CASE DATA'!$F232&amp;";",SMALL(IF(ISERROR(SEARCH(MID(";"&amp;'CASE DATA'!$F232&amp;";",ROW($1:$99),1),";")),"",ROW($1:$99)+1),COLUMN(H232)),SMALL(IF(ISERROR(SEARCH(MID(";"&amp;'CASE DATA'!$F232&amp;";",ROW($1:$99),1),";")),"",ROW($1:$99)),COLUMN(H231)+1)-SMALL(IF(ISERROR(SEARCH(MID(";"&amp;'CASE DATA'!$F232&amp;";",ROW($1:$99),1),";")),"",ROW($1:$99)),COLUMN(H231))-1)</f>
        <v/>
      </c>
      <c r="AF232" s="75" t="str" cm="1">
        <f t="array" ref="AF232">MID(";"&amp;'CASE DATA'!$F232&amp;";",SMALL(IF(ISERROR(SEARCH(MID(";"&amp;'CASE DATA'!$F232&amp;";",ROW($1:$99),1),";")),"",ROW($1:$99)+1),COLUMN(I232)),SMALL(IF(ISERROR(SEARCH(MID(";"&amp;'CASE DATA'!$F232&amp;";",ROW($1:$99),1),";")),"",ROW($1:$99)),COLUMN(I231)+1)-SMALL(IF(ISERROR(SEARCH(MID(";"&amp;'CASE DATA'!$F232&amp;";",ROW($1:$99),1),";")),"",ROW($1:$99)),COLUMN(I231))-1)</f>
        <v/>
      </c>
      <c r="AG232" s="75" t="str" cm="1">
        <f t="array" ref="AG232">MID(";"&amp;'CASE DATA'!$F232&amp;";",SMALL(IF(ISERROR(SEARCH(MID(";"&amp;'CASE DATA'!$F232&amp;";",ROW($1:$99),1),";")),"",ROW($1:$99)+1),COLUMN(K232)),SMALL(IF(ISERROR(SEARCH(MID(";"&amp;'CASE DATA'!$F232&amp;";",ROW($1:$99),1),";")),"",ROW($1:$99)),COLUMN(K231)+1)-SMALL(IF(ISERROR(SEARCH(MID(";"&amp;'CASE DATA'!$F232&amp;";",ROW($1:$99),1),";")),"",ROW($1:$99)),COLUMN(K231))-1)</f>
        <v/>
      </c>
      <c r="AH232" s="75" t="str" cm="1">
        <f t="array" ref="AH232">MID(";"&amp;'CASE DATA'!$F232&amp;";",SMALL(IF(ISERROR(SEARCH(MID(";"&amp;'CASE DATA'!$F232&amp;";",ROW($1:$99),1),";")),"",ROW($1:$99)+1),COLUMN(L232)),SMALL(IF(ISERROR(SEARCH(MID(";"&amp;'CASE DATA'!$F232&amp;";",ROW($1:$99),1),";")),"",ROW($1:$99)),COLUMN(L231)+1)-SMALL(IF(ISERROR(SEARCH(MID(";"&amp;'CASE DATA'!$F232&amp;";",ROW($1:$99),1),";")),"",ROW($1:$99)),COLUMN(L231))-1)</f>
        <v/>
      </c>
      <c r="AI232" s="75" t="str" cm="1">
        <f t="array" ref="AI232">MID(";"&amp;'CASE DATA'!$F232&amp;";",SMALL(IF(ISERROR(SEARCH(MID(";"&amp;'CASE DATA'!$F232&amp;";",ROW($1:$99),1),";")),"",ROW($1:$99)+1),COLUMN(M232)),SMALL(IF(ISERROR(SEARCH(MID(";"&amp;'CASE DATA'!$F232&amp;";",ROW($1:$99),1),";")),"",ROW($1:$99)),COLUMN(M231)+1)-SMALL(IF(ISERROR(SEARCH(MID(";"&amp;'CASE DATA'!$F232&amp;";",ROW($1:$99),1),";")),"",ROW($1:$99)),COLUMN(M231))-1)</f>
        <v/>
      </c>
      <c r="BO232" s="99"/>
      <c r="BP232" s="99"/>
      <c r="BQ232" s="99"/>
      <c r="BR232" s="99"/>
      <c r="BS232" s="99"/>
      <c r="BT232" s="99"/>
      <c r="BU232" s="99"/>
      <c r="BV232" s="99"/>
      <c r="BW232" s="99"/>
      <c r="BX232" s="99"/>
      <c r="BY232" s="99"/>
      <c r="BZ232" s="99"/>
      <c r="CA232" s="99"/>
      <c r="CB232" s="99"/>
      <c r="CC232" s="99"/>
      <c r="CD232" s="99"/>
      <c r="CE232" s="99"/>
      <c r="CF232" s="99"/>
      <c r="CG232" s="99"/>
      <c r="CH232" s="99"/>
      <c r="CI232" s="99"/>
      <c r="CJ232" s="99"/>
      <c r="CK232" s="99"/>
      <c r="CL232" s="99"/>
      <c r="CM232" s="99"/>
      <c r="CN232" s="99"/>
      <c r="CO232" s="99"/>
      <c r="CP232" s="99"/>
      <c r="CQ232" s="99"/>
      <c r="CR232" s="99"/>
      <c r="CS232" s="99"/>
      <c r="CT232" s="99"/>
      <c r="CU232" s="99"/>
      <c r="CV232" s="99"/>
      <c r="CW232" s="99"/>
      <c r="CX232" s="99"/>
      <c r="CY232" s="99"/>
      <c r="CZ232" s="99"/>
      <c r="DA232" s="99"/>
      <c r="DB232" s="99"/>
      <c r="DC232" s="99"/>
      <c r="DD232" s="99"/>
      <c r="DE232" s="99"/>
      <c r="DF232" s="99"/>
      <c r="DG232" s="99"/>
      <c r="DH232" s="99"/>
      <c r="DI232" s="99"/>
      <c r="DJ232" s="99"/>
      <c r="DK232" s="99"/>
      <c r="DL232" s="99"/>
      <c r="DM232" s="99"/>
      <c r="DN232" s="99"/>
      <c r="DO232" s="99"/>
      <c r="DP232" s="99"/>
      <c r="DQ232" s="99"/>
      <c r="DR232" s="99"/>
      <c r="DS232" s="99"/>
      <c r="DT232" s="99"/>
      <c r="DU232" s="99"/>
      <c r="DV232" s="99"/>
      <c r="DW232" s="99"/>
      <c r="DX232" s="99"/>
      <c r="DY232" s="99"/>
      <c r="DZ232" s="99"/>
      <c r="EA232" s="99"/>
      <c r="EB232" s="99"/>
      <c r="EC232" s="99"/>
      <c r="ED232" s="99"/>
      <c r="EE232" s="99"/>
      <c r="EF232" s="99"/>
      <c r="EG232" s="99"/>
      <c r="EH232" s="99"/>
      <c r="EI232" s="99"/>
      <c r="EJ232" s="99"/>
      <c r="EK232" s="99"/>
      <c r="EL232" s="99"/>
      <c r="EM232" s="99"/>
      <c r="EN232" s="99"/>
      <c r="EO232" s="99"/>
      <c r="EP232" s="99"/>
      <c r="EQ232" s="99"/>
      <c r="ER232" s="99"/>
      <c r="ES232" s="99"/>
      <c r="ET232" s="99"/>
      <c r="EU232" s="99"/>
      <c r="EV232" s="99"/>
      <c r="EW232" s="99"/>
      <c r="EX232" s="99"/>
      <c r="EY232" s="99"/>
      <c r="EZ232" s="99"/>
      <c r="FA232" s="99"/>
      <c r="FB232" s="99"/>
      <c r="FC232" s="99"/>
      <c r="FD232" s="99"/>
      <c r="FE232" s="99"/>
      <c r="FF232" s="99"/>
      <c r="FG232" s="99"/>
      <c r="FH232" s="99"/>
      <c r="FI232" s="99"/>
      <c r="FJ232" s="99"/>
      <c r="FK232" s="99"/>
    </row>
    <row r="233" spans="3:167" x14ac:dyDescent="0.25">
      <c r="C233" s="10"/>
      <c r="D233" s="10"/>
      <c r="J233" s="99">
        <v>230</v>
      </c>
      <c r="K233" s="16"/>
      <c r="L233" s="16"/>
      <c r="M233" s="16"/>
      <c r="N233" s="16"/>
      <c r="O233" s="16"/>
      <c r="P233" s="16"/>
      <c r="Q233" s="16"/>
      <c r="R233" s="16"/>
      <c r="S233" s="16"/>
      <c r="T233" s="16"/>
      <c r="U233" s="14">
        <f>SUM(K233:T233)</f>
        <v>0</v>
      </c>
      <c r="V233" s="14"/>
      <c r="X233" s="75" t="str" cm="1">
        <f t="array" ref="X233">MID(";"&amp;'CASE DATA'!$F233&amp;";",SMALL(IF(ISERROR(SEARCH(MID(";"&amp;'CASE DATA'!$F233&amp;";",ROW($1:$99),1),";")),"",ROW($1:$99)+1),COLUMN(A233)),SMALL(IF(ISERROR(SEARCH(MID(";"&amp;'CASE DATA'!$F233&amp;";",ROW($1:$99),1),";")),"",ROW($1:$99)),COLUMN(A232)+1)-SMALL(IF(ISERROR(SEARCH(MID(";"&amp;'CASE DATA'!$F233&amp;";",ROW($1:$99),1),";")),"",ROW($1:$99)),COLUMN(A232))-1)</f>
        <v/>
      </c>
      <c r="Y233" s="75" t="str" cm="1">
        <f t="array" ref="Y233">MID(";"&amp;'CASE DATA'!$F233&amp;";",SMALL(IF(ISERROR(SEARCH(MID(";"&amp;'CASE DATA'!$F233&amp;";",ROW($1:$99),1),";")),"",ROW($1:$99)+1),COLUMN(B233)),SMALL(IF(ISERROR(SEARCH(MID(";"&amp;'CASE DATA'!$F233&amp;";",ROW($1:$99),1),";")),"",ROW($1:$99)),COLUMN(B232)+1)-SMALL(IF(ISERROR(SEARCH(MID(";"&amp;'CASE DATA'!$F233&amp;";",ROW($1:$99),1),";")),"",ROW($1:$99)),COLUMN(B232))-1)</f>
        <v/>
      </c>
      <c r="Z233" s="75" t="str" cm="1">
        <f t="array" ref="Z233">MID(";"&amp;'CASE DATA'!$F233&amp;";",SMALL(IF(ISERROR(SEARCH(MID(";"&amp;'CASE DATA'!$F233&amp;";",ROW($1:$99),1),";")),"",ROW($1:$99)+1),COLUMN(C233)),SMALL(IF(ISERROR(SEARCH(MID(";"&amp;'CASE DATA'!$F233&amp;";",ROW($1:$99),1),";")),"",ROW($1:$99)),COLUMN(C232)+1)-SMALL(IF(ISERROR(SEARCH(MID(";"&amp;'CASE DATA'!$F233&amp;";",ROW($1:$99),1),";")),"",ROW($1:$99)),COLUMN(C232))-1)</f>
        <v/>
      </c>
      <c r="AA233" s="75" t="str" cm="1">
        <f t="array" ref="AA233">MID(";"&amp;'CASE DATA'!$F233&amp;";",SMALL(IF(ISERROR(SEARCH(MID(";"&amp;'CASE DATA'!$F233&amp;";",ROW($1:$99),1),";")),"",ROW($1:$99)+1),COLUMN(D233)),SMALL(IF(ISERROR(SEARCH(MID(";"&amp;'CASE DATA'!$F233&amp;";",ROW($1:$99),1),";")),"",ROW($1:$99)),COLUMN(D232)+1)-SMALL(IF(ISERROR(SEARCH(MID(";"&amp;'CASE DATA'!$F233&amp;";",ROW($1:$99),1),";")),"",ROW($1:$99)),COLUMN(D232))-1)</f>
        <v/>
      </c>
      <c r="AB233" s="75" t="str" cm="1">
        <f t="array" ref="AB233">MID(";"&amp;'CASE DATA'!$F233&amp;";",SMALL(IF(ISERROR(SEARCH(MID(";"&amp;'CASE DATA'!$F233&amp;";",ROW($1:$99),1),";")),"",ROW($1:$99)+1),COLUMN(E233)),SMALL(IF(ISERROR(SEARCH(MID(";"&amp;'CASE DATA'!$F233&amp;";",ROW($1:$99),1),";")),"",ROW($1:$99)),COLUMN(E232)+1)-SMALL(IF(ISERROR(SEARCH(MID(";"&amp;'CASE DATA'!$F233&amp;";",ROW($1:$99),1),";")),"",ROW($1:$99)),COLUMN(E232))-1)</f>
        <v/>
      </c>
      <c r="AC233" s="75" t="str" cm="1">
        <f t="array" ref="AC233">MID(";"&amp;'CASE DATA'!$F233&amp;";",SMALL(IF(ISERROR(SEARCH(MID(";"&amp;'CASE DATA'!$F233&amp;";",ROW($1:$99),1),";")),"",ROW($1:$99)+1),COLUMN(F233)),SMALL(IF(ISERROR(SEARCH(MID(";"&amp;'CASE DATA'!$F233&amp;";",ROW($1:$99),1),";")),"",ROW($1:$99)),COLUMN(F232)+1)-SMALL(IF(ISERROR(SEARCH(MID(";"&amp;'CASE DATA'!$F233&amp;";",ROW($1:$99),1),";")),"",ROW($1:$99)),COLUMN(F232))-1)</f>
        <v/>
      </c>
      <c r="AD233" s="75" t="str" cm="1">
        <f t="array" ref="AD233">MID(";"&amp;'CASE DATA'!$F233&amp;";",SMALL(IF(ISERROR(SEARCH(MID(";"&amp;'CASE DATA'!$F233&amp;";",ROW($1:$99),1),";")),"",ROW($1:$99)+1),COLUMN(G233)),SMALL(IF(ISERROR(SEARCH(MID(";"&amp;'CASE DATA'!$F233&amp;";",ROW($1:$99),1),";")),"",ROW($1:$99)),COLUMN(G232)+1)-SMALL(IF(ISERROR(SEARCH(MID(";"&amp;'CASE DATA'!$F233&amp;";",ROW($1:$99),1),";")),"",ROW($1:$99)),COLUMN(G232))-1)</f>
        <v/>
      </c>
      <c r="AE233" s="75" t="str" cm="1">
        <f t="array" ref="AE233">MID(";"&amp;'CASE DATA'!$F233&amp;";",SMALL(IF(ISERROR(SEARCH(MID(";"&amp;'CASE DATA'!$F233&amp;";",ROW($1:$99),1),";")),"",ROW($1:$99)+1),COLUMN(H233)),SMALL(IF(ISERROR(SEARCH(MID(";"&amp;'CASE DATA'!$F233&amp;";",ROW($1:$99),1),";")),"",ROW($1:$99)),COLUMN(H232)+1)-SMALL(IF(ISERROR(SEARCH(MID(";"&amp;'CASE DATA'!$F233&amp;";",ROW($1:$99),1),";")),"",ROW($1:$99)),COLUMN(H232))-1)</f>
        <v/>
      </c>
      <c r="AF233" s="75" t="str" cm="1">
        <f t="array" ref="AF233">MID(";"&amp;'CASE DATA'!$F233&amp;";",SMALL(IF(ISERROR(SEARCH(MID(";"&amp;'CASE DATA'!$F233&amp;";",ROW($1:$99),1),";")),"",ROW($1:$99)+1),COLUMN(I233)),SMALL(IF(ISERROR(SEARCH(MID(";"&amp;'CASE DATA'!$F233&amp;";",ROW($1:$99),1),";")),"",ROW($1:$99)),COLUMN(I232)+1)-SMALL(IF(ISERROR(SEARCH(MID(";"&amp;'CASE DATA'!$F233&amp;";",ROW($1:$99),1),";")),"",ROW($1:$99)),COLUMN(I232))-1)</f>
        <v/>
      </c>
      <c r="AG233" s="75" t="str" cm="1">
        <f t="array" ref="AG233">MID(";"&amp;'CASE DATA'!$F233&amp;";",SMALL(IF(ISERROR(SEARCH(MID(";"&amp;'CASE DATA'!$F233&amp;";",ROW($1:$99),1),";")),"",ROW($1:$99)+1),COLUMN(K233)),SMALL(IF(ISERROR(SEARCH(MID(";"&amp;'CASE DATA'!$F233&amp;";",ROW($1:$99),1),";")),"",ROW($1:$99)),COLUMN(K232)+1)-SMALL(IF(ISERROR(SEARCH(MID(";"&amp;'CASE DATA'!$F233&amp;";",ROW($1:$99),1),";")),"",ROW($1:$99)),COLUMN(K232))-1)</f>
        <v/>
      </c>
      <c r="AH233" s="75" t="str" cm="1">
        <f t="array" ref="AH233">MID(";"&amp;'CASE DATA'!$F233&amp;";",SMALL(IF(ISERROR(SEARCH(MID(";"&amp;'CASE DATA'!$F233&amp;";",ROW($1:$99),1),";")),"",ROW($1:$99)+1),COLUMN(L233)),SMALL(IF(ISERROR(SEARCH(MID(";"&amp;'CASE DATA'!$F233&amp;";",ROW($1:$99),1),";")),"",ROW($1:$99)),COLUMN(L232)+1)-SMALL(IF(ISERROR(SEARCH(MID(";"&amp;'CASE DATA'!$F233&amp;";",ROW($1:$99),1),";")),"",ROW($1:$99)),COLUMN(L232))-1)</f>
        <v/>
      </c>
      <c r="AI233" s="75" t="str" cm="1">
        <f t="array" ref="AI233">MID(";"&amp;'CASE DATA'!$F233&amp;";",SMALL(IF(ISERROR(SEARCH(MID(";"&amp;'CASE DATA'!$F233&amp;";",ROW($1:$99),1),";")),"",ROW($1:$99)+1),COLUMN(M233)),SMALL(IF(ISERROR(SEARCH(MID(";"&amp;'CASE DATA'!$F233&amp;";",ROW($1:$99),1),";")),"",ROW($1:$99)),COLUMN(M232)+1)-SMALL(IF(ISERROR(SEARCH(MID(";"&amp;'CASE DATA'!$F233&amp;";",ROW($1:$99),1),";")),"",ROW($1:$99)),COLUMN(M232))-1)</f>
        <v/>
      </c>
      <c r="BO233" s="99"/>
      <c r="BP233" s="99"/>
      <c r="BQ233" s="99"/>
      <c r="BR233" s="99"/>
      <c r="BS233" s="99"/>
      <c r="BT233" s="99"/>
      <c r="BU233" s="99"/>
      <c r="BV233" s="99"/>
      <c r="BW233" s="99"/>
      <c r="BX233" s="99"/>
      <c r="BY233" s="99"/>
      <c r="BZ233" s="99"/>
      <c r="CA233" s="99"/>
      <c r="CB233" s="99"/>
      <c r="CC233" s="99"/>
      <c r="CD233" s="99"/>
      <c r="CE233" s="99"/>
      <c r="CF233" s="99"/>
      <c r="CG233" s="99"/>
      <c r="CH233" s="99"/>
      <c r="CI233" s="99"/>
      <c r="CJ233" s="99"/>
      <c r="CK233" s="99"/>
      <c r="CL233" s="99"/>
      <c r="CM233" s="99"/>
      <c r="CN233" s="99"/>
      <c r="CO233" s="99"/>
      <c r="CP233" s="99"/>
      <c r="CQ233" s="99"/>
      <c r="CR233" s="99"/>
      <c r="CS233" s="99"/>
      <c r="CT233" s="99"/>
      <c r="CU233" s="99"/>
      <c r="CV233" s="99"/>
      <c r="CW233" s="99"/>
      <c r="CX233" s="99"/>
      <c r="CY233" s="99"/>
      <c r="CZ233" s="99"/>
      <c r="DA233" s="99"/>
      <c r="DB233" s="99"/>
      <c r="DC233" s="99"/>
      <c r="DD233" s="99"/>
      <c r="DE233" s="99"/>
      <c r="DF233" s="99"/>
      <c r="DG233" s="99"/>
      <c r="DH233" s="99"/>
      <c r="DI233" s="99"/>
      <c r="DJ233" s="99"/>
      <c r="DK233" s="99"/>
      <c r="DL233" s="99"/>
      <c r="DM233" s="99"/>
      <c r="DN233" s="99"/>
      <c r="DO233" s="99"/>
      <c r="DP233" s="99"/>
      <c r="DQ233" s="99"/>
      <c r="DR233" s="99"/>
      <c r="DS233" s="99"/>
      <c r="DT233" s="99"/>
      <c r="DU233" s="99"/>
      <c r="DV233" s="99"/>
      <c r="DW233" s="99"/>
      <c r="DX233" s="99"/>
      <c r="DY233" s="99"/>
      <c r="DZ233" s="99"/>
      <c r="EA233" s="99"/>
      <c r="EB233" s="99"/>
      <c r="EC233" s="99"/>
      <c r="ED233" s="99"/>
      <c r="EE233" s="99"/>
      <c r="EF233" s="99"/>
      <c r="EG233" s="99"/>
      <c r="EH233" s="99"/>
      <c r="EI233" s="99"/>
      <c r="EJ233" s="99"/>
      <c r="EK233" s="99"/>
      <c r="EL233" s="99"/>
      <c r="EM233" s="99"/>
      <c r="EN233" s="99"/>
      <c r="EO233" s="99"/>
      <c r="EP233" s="99"/>
      <c r="EQ233" s="99"/>
      <c r="ER233" s="99"/>
      <c r="ES233" s="99"/>
      <c r="ET233" s="99"/>
      <c r="EU233" s="99"/>
      <c r="EV233" s="99"/>
      <c r="EW233" s="99"/>
      <c r="EX233" s="99"/>
      <c r="EY233" s="99"/>
      <c r="EZ233" s="99"/>
      <c r="FA233" s="99"/>
      <c r="FB233" s="99"/>
      <c r="FC233" s="99"/>
      <c r="FD233" s="99"/>
      <c r="FE233" s="99"/>
      <c r="FF233" s="99"/>
      <c r="FG233" s="99"/>
      <c r="FH233" s="99"/>
      <c r="FI233" s="99"/>
      <c r="FJ233" s="99"/>
      <c r="FK233" s="99"/>
    </row>
    <row r="234" spans="3:167" x14ac:dyDescent="0.25">
      <c r="C234" s="10"/>
      <c r="D234" s="10"/>
      <c r="J234" s="99">
        <v>231</v>
      </c>
      <c r="K234" s="16"/>
      <c r="L234" s="16"/>
      <c r="M234" s="16"/>
      <c r="N234" s="16"/>
      <c r="O234" s="16"/>
      <c r="P234" s="16"/>
      <c r="Q234" s="16"/>
      <c r="R234" s="16"/>
      <c r="S234" s="16"/>
      <c r="T234" s="16"/>
      <c r="U234" s="14">
        <f>SUM(K234:T234)</f>
        <v>0</v>
      </c>
      <c r="V234" s="14"/>
      <c r="X234" s="75" t="str" cm="1">
        <f t="array" ref="X234">MID(";"&amp;'CASE DATA'!$F234&amp;";",SMALL(IF(ISERROR(SEARCH(MID(";"&amp;'CASE DATA'!$F234&amp;";",ROW($1:$99),1),";")),"",ROW($1:$99)+1),COLUMN(A234)),SMALL(IF(ISERROR(SEARCH(MID(";"&amp;'CASE DATA'!$F234&amp;";",ROW($1:$99),1),";")),"",ROW($1:$99)),COLUMN(A233)+1)-SMALL(IF(ISERROR(SEARCH(MID(";"&amp;'CASE DATA'!$F234&amp;";",ROW($1:$99),1),";")),"",ROW($1:$99)),COLUMN(A233))-1)</f>
        <v/>
      </c>
      <c r="Y234" s="75" t="str" cm="1">
        <f t="array" ref="Y234">MID(";"&amp;'CASE DATA'!$F234&amp;";",SMALL(IF(ISERROR(SEARCH(MID(";"&amp;'CASE DATA'!$F234&amp;";",ROW($1:$99),1),";")),"",ROW($1:$99)+1),COLUMN(B234)),SMALL(IF(ISERROR(SEARCH(MID(";"&amp;'CASE DATA'!$F234&amp;";",ROW($1:$99),1),";")),"",ROW($1:$99)),COLUMN(B233)+1)-SMALL(IF(ISERROR(SEARCH(MID(";"&amp;'CASE DATA'!$F234&amp;";",ROW($1:$99),1),";")),"",ROW($1:$99)),COLUMN(B233))-1)</f>
        <v/>
      </c>
      <c r="Z234" s="75" t="str" cm="1">
        <f t="array" ref="Z234">MID(";"&amp;'CASE DATA'!$F234&amp;";",SMALL(IF(ISERROR(SEARCH(MID(";"&amp;'CASE DATA'!$F234&amp;";",ROW($1:$99),1),";")),"",ROW($1:$99)+1),COLUMN(C234)),SMALL(IF(ISERROR(SEARCH(MID(";"&amp;'CASE DATA'!$F234&amp;";",ROW($1:$99),1),";")),"",ROW($1:$99)),COLUMN(C233)+1)-SMALL(IF(ISERROR(SEARCH(MID(";"&amp;'CASE DATA'!$F234&amp;";",ROW($1:$99),1),";")),"",ROW($1:$99)),COLUMN(C233))-1)</f>
        <v/>
      </c>
      <c r="AA234" s="75" t="str" cm="1">
        <f t="array" ref="AA234">MID(";"&amp;'CASE DATA'!$F234&amp;";",SMALL(IF(ISERROR(SEARCH(MID(";"&amp;'CASE DATA'!$F234&amp;";",ROW($1:$99),1),";")),"",ROW($1:$99)+1),COLUMN(D234)),SMALL(IF(ISERROR(SEARCH(MID(";"&amp;'CASE DATA'!$F234&amp;";",ROW($1:$99),1),";")),"",ROW($1:$99)),COLUMN(D233)+1)-SMALL(IF(ISERROR(SEARCH(MID(";"&amp;'CASE DATA'!$F234&amp;";",ROW($1:$99),1),";")),"",ROW($1:$99)),COLUMN(D233))-1)</f>
        <v/>
      </c>
      <c r="AB234" s="75" t="str" cm="1">
        <f t="array" ref="AB234">MID(";"&amp;'CASE DATA'!$F234&amp;";",SMALL(IF(ISERROR(SEARCH(MID(";"&amp;'CASE DATA'!$F234&amp;";",ROW($1:$99),1),";")),"",ROW($1:$99)+1),COLUMN(E234)),SMALL(IF(ISERROR(SEARCH(MID(";"&amp;'CASE DATA'!$F234&amp;";",ROW($1:$99),1),";")),"",ROW($1:$99)),COLUMN(E233)+1)-SMALL(IF(ISERROR(SEARCH(MID(";"&amp;'CASE DATA'!$F234&amp;";",ROW($1:$99),1),";")),"",ROW($1:$99)),COLUMN(E233))-1)</f>
        <v/>
      </c>
      <c r="AC234" s="75" t="str" cm="1">
        <f t="array" ref="AC234">MID(";"&amp;'CASE DATA'!$F234&amp;";",SMALL(IF(ISERROR(SEARCH(MID(";"&amp;'CASE DATA'!$F234&amp;";",ROW($1:$99),1),";")),"",ROW($1:$99)+1),COLUMN(F234)),SMALL(IF(ISERROR(SEARCH(MID(";"&amp;'CASE DATA'!$F234&amp;";",ROW($1:$99),1),";")),"",ROW($1:$99)),COLUMN(F233)+1)-SMALL(IF(ISERROR(SEARCH(MID(";"&amp;'CASE DATA'!$F234&amp;";",ROW($1:$99),1),";")),"",ROW($1:$99)),COLUMN(F233))-1)</f>
        <v/>
      </c>
      <c r="AD234" s="75" t="str" cm="1">
        <f t="array" ref="AD234">MID(";"&amp;'CASE DATA'!$F234&amp;";",SMALL(IF(ISERROR(SEARCH(MID(";"&amp;'CASE DATA'!$F234&amp;";",ROW($1:$99),1),";")),"",ROW($1:$99)+1),COLUMN(G234)),SMALL(IF(ISERROR(SEARCH(MID(";"&amp;'CASE DATA'!$F234&amp;";",ROW($1:$99),1),";")),"",ROW($1:$99)),COLUMN(G233)+1)-SMALL(IF(ISERROR(SEARCH(MID(";"&amp;'CASE DATA'!$F234&amp;";",ROW($1:$99),1),";")),"",ROW($1:$99)),COLUMN(G233))-1)</f>
        <v/>
      </c>
      <c r="AE234" s="75" t="str" cm="1">
        <f t="array" ref="AE234">MID(";"&amp;'CASE DATA'!$F234&amp;";",SMALL(IF(ISERROR(SEARCH(MID(";"&amp;'CASE DATA'!$F234&amp;";",ROW($1:$99),1),";")),"",ROW($1:$99)+1),COLUMN(H234)),SMALL(IF(ISERROR(SEARCH(MID(";"&amp;'CASE DATA'!$F234&amp;";",ROW($1:$99),1),";")),"",ROW($1:$99)),COLUMN(H233)+1)-SMALL(IF(ISERROR(SEARCH(MID(";"&amp;'CASE DATA'!$F234&amp;";",ROW($1:$99),1),";")),"",ROW($1:$99)),COLUMN(H233))-1)</f>
        <v/>
      </c>
      <c r="AF234" s="75" t="str" cm="1">
        <f t="array" ref="AF234">MID(";"&amp;'CASE DATA'!$F234&amp;";",SMALL(IF(ISERROR(SEARCH(MID(";"&amp;'CASE DATA'!$F234&amp;";",ROW($1:$99),1),";")),"",ROW($1:$99)+1),COLUMN(I234)),SMALL(IF(ISERROR(SEARCH(MID(";"&amp;'CASE DATA'!$F234&amp;";",ROW($1:$99),1),";")),"",ROW($1:$99)),COLUMN(I233)+1)-SMALL(IF(ISERROR(SEARCH(MID(";"&amp;'CASE DATA'!$F234&amp;";",ROW($1:$99),1),";")),"",ROW($1:$99)),COLUMN(I233))-1)</f>
        <v/>
      </c>
      <c r="AG234" s="75" t="str" cm="1">
        <f t="array" ref="AG234">MID(";"&amp;'CASE DATA'!$F234&amp;";",SMALL(IF(ISERROR(SEARCH(MID(";"&amp;'CASE DATA'!$F234&amp;";",ROW($1:$99),1),";")),"",ROW($1:$99)+1),COLUMN(K234)),SMALL(IF(ISERROR(SEARCH(MID(";"&amp;'CASE DATA'!$F234&amp;";",ROW($1:$99),1),";")),"",ROW($1:$99)),COLUMN(K233)+1)-SMALL(IF(ISERROR(SEARCH(MID(";"&amp;'CASE DATA'!$F234&amp;";",ROW($1:$99),1),";")),"",ROW($1:$99)),COLUMN(K233))-1)</f>
        <v/>
      </c>
      <c r="AH234" s="75" t="str" cm="1">
        <f t="array" ref="AH234">MID(";"&amp;'CASE DATA'!$F234&amp;";",SMALL(IF(ISERROR(SEARCH(MID(";"&amp;'CASE DATA'!$F234&amp;";",ROW($1:$99),1),";")),"",ROW($1:$99)+1),COLUMN(L234)),SMALL(IF(ISERROR(SEARCH(MID(";"&amp;'CASE DATA'!$F234&amp;";",ROW($1:$99),1),";")),"",ROW($1:$99)),COLUMN(L233)+1)-SMALL(IF(ISERROR(SEARCH(MID(";"&amp;'CASE DATA'!$F234&amp;";",ROW($1:$99),1),";")),"",ROW($1:$99)),COLUMN(L233))-1)</f>
        <v/>
      </c>
      <c r="AI234" s="75" t="str" cm="1">
        <f t="array" ref="AI234">MID(";"&amp;'CASE DATA'!$F234&amp;";",SMALL(IF(ISERROR(SEARCH(MID(";"&amp;'CASE DATA'!$F234&amp;";",ROW($1:$99),1),";")),"",ROW($1:$99)+1),COLUMN(M234)),SMALL(IF(ISERROR(SEARCH(MID(";"&amp;'CASE DATA'!$F234&amp;";",ROW($1:$99),1),";")),"",ROW($1:$99)),COLUMN(M233)+1)-SMALL(IF(ISERROR(SEARCH(MID(";"&amp;'CASE DATA'!$F234&amp;";",ROW($1:$99),1),";")),"",ROW($1:$99)),COLUMN(M233))-1)</f>
        <v/>
      </c>
      <c r="BO234" s="99"/>
      <c r="BP234" s="99"/>
      <c r="BQ234" s="99"/>
      <c r="BR234" s="99"/>
      <c r="BS234" s="99"/>
      <c r="BT234" s="99"/>
      <c r="BU234" s="99"/>
      <c r="BV234" s="99"/>
      <c r="BW234" s="99"/>
      <c r="BX234" s="99"/>
      <c r="BY234" s="99"/>
      <c r="BZ234" s="99"/>
      <c r="CA234" s="99"/>
      <c r="CB234" s="99"/>
      <c r="CC234" s="99"/>
      <c r="CD234" s="99"/>
      <c r="CE234" s="99"/>
      <c r="CF234" s="99"/>
      <c r="CG234" s="99"/>
      <c r="CH234" s="99"/>
      <c r="CI234" s="99"/>
      <c r="CJ234" s="99"/>
      <c r="CK234" s="99"/>
      <c r="CL234" s="99"/>
      <c r="CM234" s="99"/>
      <c r="CN234" s="99"/>
      <c r="CO234" s="99"/>
      <c r="CP234" s="99"/>
      <c r="CQ234" s="99"/>
      <c r="CR234" s="99"/>
      <c r="CS234" s="99"/>
      <c r="CT234" s="99"/>
      <c r="CU234" s="99"/>
      <c r="CV234" s="99"/>
      <c r="CW234" s="99"/>
      <c r="CX234" s="99"/>
      <c r="CY234" s="99"/>
      <c r="CZ234" s="99"/>
      <c r="DA234" s="99"/>
      <c r="DB234" s="99"/>
      <c r="DC234" s="99"/>
      <c r="DD234" s="99"/>
      <c r="DE234" s="99"/>
      <c r="DF234" s="99"/>
      <c r="DG234" s="99"/>
      <c r="DH234" s="99"/>
      <c r="DI234" s="99"/>
      <c r="DJ234" s="99"/>
      <c r="DK234" s="99"/>
      <c r="DL234" s="99"/>
      <c r="DM234" s="99"/>
      <c r="DN234" s="99"/>
      <c r="DO234" s="99"/>
      <c r="DP234" s="99"/>
      <c r="DQ234" s="99"/>
      <c r="DR234" s="99"/>
      <c r="DS234" s="99"/>
      <c r="DT234" s="99"/>
      <c r="DU234" s="99"/>
      <c r="DV234" s="99"/>
      <c r="DW234" s="99"/>
      <c r="DX234" s="99"/>
      <c r="DY234" s="99"/>
      <c r="DZ234" s="99"/>
      <c r="EA234" s="99"/>
      <c r="EB234" s="99"/>
      <c r="EC234" s="99"/>
      <c r="ED234" s="99"/>
      <c r="EE234" s="99"/>
      <c r="EF234" s="99"/>
      <c r="EG234" s="99"/>
      <c r="EH234" s="99"/>
      <c r="EI234" s="99"/>
      <c r="EJ234" s="99"/>
      <c r="EK234" s="99"/>
      <c r="EL234" s="99"/>
      <c r="EM234" s="99"/>
      <c r="EN234" s="99"/>
      <c r="EO234" s="99"/>
      <c r="EP234" s="99"/>
      <c r="EQ234" s="99"/>
      <c r="ER234" s="99"/>
      <c r="ES234" s="99"/>
      <c r="ET234" s="99"/>
      <c r="EU234" s="99"/>
      <c r="EV234" s="99"/>
      <c r="EW234" s="99"/>
      <c r="EX234" s="99"/>
      <c r="EY234" s="99"/>
      <c r="EZ234" s="99"/>
      <c r="FA234" s="99"/>
      <c r="FB234" s="99"/>
      <c r="FC234" s="99"/>
      <c r="FD234" s="99"/>
      <c r="FE234" s="99"/>
      <c r="FF234" s="99"/>
      <c r="FG234" s="99"/>
      <c r="FH234" s="99"/>
      <c r="FI234" s="99"/>
      <c r="FJ234" s="99"/>
      <c r="FK234" s="99"/>
    </row>
    <row r="235" spans="3:167" x14ac:dyDescent="0.25">
      <c r="C235" s="10"/>
      <c r="D235" s="10"/>
      <c r="J235" s="99">
        <v>232</v>
      </c>
      <c r="K235" s="16"/>
      <c r="L235" s="16"/>
      <c r="M235" s="16"/>
      <c r="N235" s="16"/>
      <c r="O235" s="16"/>
      <c r="P235" s="16"/>
      <c r="Q235" s="16"/>
      <c r="R235" s="16"/>
      <c r="S235" s="16"/>
      <c r="T235" s="16"/>
      <c r="U235" s="14">
        <f>SUM(K235:T235)</f>
        <v>0</v>
      </c>
      <c r="V235" s="14"/>
      <c r="X235" s="75" t="str" cm="1">
        <f t="array" ref="X235">MID(";"&amp;'CASE DATA'!$F235&amp;";",SMALL(IF(ISERROR(SEARCH(MID(";"&amp;'CASE DATA'!$F235&amp;";",ROW($1:$99),1),";")),"",ROW($1:$99)+1),COLUMN(A235)),SMALL(IF(ISERROR(SEARCH(MID(";"&amp;'CASE DATA'!$F235&amp;";",ROW($1:$99),1),";")),"",ROW($1:$99)),COLUMN(A234)+1)-SMALL(IF(ISERROR(SEARCH(MID(";"&amp;'CASE DATA'!$F235&amp;";",ROW($1:$99),1),";")),"",ROW($1:$99)),COLUMN(A234))-1)</f>
        <v/>
      </c>
      <c r="Y235" s="75" t="str" cm="1">
        <f t="array" ref="Y235">MID(";"&amp;'CASE DATA'!$F235&amp;";",SMALL(IF(ISERROR(SEARCH(MID(";"&amp;'CASE DATA'!$F235&amp;";",ROW($1:$99),1),";")),"",ROW($1:$99)+1),COLUMN(B235)),SMALL(IF(ISERROR(SEARCH(MID(";"&amp;'CASE DATA'!$F235&amp;";",ROW($1:$99),1),";")),"",ROW($1:$99)),COLUMN(B234)+1)-SMALL(IF(ISERROR(SEARCH(MID(";"&amp;'CASE DATA'!$F235&amp;";",ROW($1:$99),1),";")),"",ROW($1:$99)),COLUMN(B234))-1)</f>
        <v/>
      </c>
      <c r="Z235" s="75" t="str" cm="1">
        <f t="array" ref="Z235">MID(";"&amp;'CASE DATA'!$F235&amp;";",SMALL(IF(ISERROR(SEARCH(MID(";"&amp;'CASE DATA'!$F235&amp;";",ROW($1:$99),1),";")),"",ROW($1:$99)+1),COLUMN(C235)),SMALL(IF(ISERROR(SEARCH(MID(";"&amp;'CASE DATA'!$F235&amp;";",ROW($1:$99),1),";")),"",ROW($1:$99)),COLUMN(C234)+1)-SMALL(IF(ISERROR(SEARCH(MID(";"&amp;'CASE DATA'!$F235&amp;";",ROW($1:$99),1),";")),"",ROW($1:$99)),COLUMN(C234))-1)</f>
        <v/>
      </c>
      <c r="AA235" s="75" t="str" cm="1">
        <f t="array" ref="AA235">MID(";"&amp;'CASE DATA'!$F235&amp;";",SMALL(IF(ISERROR(SEARCH(MID(";"&amp;'CASE DATA'!$F235&amp;";",ROW($1:$99),1),";")),"",ROW($1:$99)+1),COLUMN(D235)),SMALL(IF(ISERROR(SEARCH(MID(";"&amp;'CASE DATA'!$F235&amp;";",ROW($1:$99),1),";")),"",ROW($1:$99)),COLUMN(D234)+1)-SMALL(IF(ISERROR(SEARCH(MID(";"&amp;'CASE DATA'!$F235&amp;";",ROW($1:$99),1),";")),"",ROW($1:$99)),COLUMN(D234))-1)</f>
        <v/>
      </c>
      <c r="AB235" s="75" t="str" cm="1">
        <f t="array" ref="AB235">MID(";"&amp;'CASE DATA'!$F235&amp;";",SMALL(IF(ISERROR(SEARCH(MID(";"&amp;'CASE DATA'!$F235&amp;";",ROW($1:$99),1),";")),"",ROW($1:$99)+1),COLUMN(E235)),SMALL(IF(ISERROR(SEARCH(MID(";"&amp;'CASE DATA'!$F235&amp;";",ROW($1:$99),1),";")),"",ROW($1:$99)),COLUMN(E234)+1)-SMALL(IF(ISERROR(SEARCH(MID(";"&amp;'CASE DATA'!$F235&amp;";",ROW($1:$99),1),";")),"",ROW($1:$99)),COLUMN(E234))-1)</f>
        <v/>
      </c>
      <c r="AC235" s="75" t="str" cm="1">
        <f t="array" ref="AC235">MID(";"&amp;'CASE DATA'!$F235&amp;";",SMALL(IF(ISERROR(SEARCH(MID(";"&amp;'CASE DATA'!$F235&amp;";",ROW($1:$99),1),";")),"",ROW($1:$99)+1),COLUMN(F235)),SMALL(IF(ISERROR(SEARCH(MID(";"&amp;'CASE DATA'!$F235&amp;";",ROW($1:$99),1),";")),"",ROW($1:$99)),COLUMN(F234)+1)-SMALL(IF(ISERROR(SEARCH(MID(";"&amp;'CASE DATA'!$F235&amp;";",ROW($1:$99),1),";")),"",ROW($1:$99)),COLUMN(F234))-1)</f>
        <v/>
      </c>
      <c r="AD235" s="75" t="str" cm="1">
        <f t="array" ref="AD235">MID(";"&amp;'CASE DATA'!$F235&amp;";",SMALL(IF(ISERROR(SEARCH(MID(";"&amp;'CASE DATA'!$F235&amp;";",ROW($1:$99),1),";")),"",ROW($1:$99)+1),COLUMN(G235)),SMALL(IF(ISERROR(SEARCH(MID(";"&amp;'CASE DATA'!$F235&amp;";",ROW($1:$99),1),";")),"",ROW($1:$99)),COLUMN(G234)+1)-SMALL(IF(ISERROR(SEARCH(MID(";"&amp;'CASE DATA'!$F235&amp;";",ROW($1:$99),1),";")),"",ROW($1:$99)),COLUMN(G234))-1)</f>
        <v/>
      </c>
      <c r="AE235" s="75" t="str" cm="1">
        <f t="array" ref="AE235">MID(";"&amp;'CASE DATA'!$F235&amp;";",SMALL(IF(ISERROR(SEARCH(MID(";"&amp;'CASE DATA'!$F235&amp;";",ROW($1:$99),1),";")),"",ROW($1:$99)+1),COLUMN(H235)),SMALL(IF(ISERROR(SEARCH(MID(";"&amp;'CASE DATA'!$F235&amp;";",ROW($1:$99),1),";")),"",ROW($1:$99)),COLUMN(H234)+1)-SMALL(IF(ISERROR(SEARCH(MID(";"&amp;'CASE DATA'!$F235&amp;";",ROW($1:$99),1),";")),"",ROW($1:$99)),COLUMN(H234))-1)</f>
        <v/>
      </c>
      <c r="AF235" s="75" t="str" cm="1">
        <f t="array" ref="AF235">MID(";"&amp;'CASE DATA'!$F235&amp;";",SMALL(IF(ISERROR(SEARCH(MID(";"&amp;'CASE DATA'!$F235&amp;";",ROW($1:$99),1),";")),"",ROW($1:$99)+1),COLUMN(I235)),SMALL(IF(ISERROR(SEARCH(MID(";"&amp;'CASE DATA'!$F235&amp;";",ROW($1:$99),1),";")),"",ROW($1:$99)),COLUMN(I234)+1)-SMALL(IF(ISERROR(SEARCH(MID(";"&amp;'CASE DATA'!$F235&amp;";",ROW($1:$99),1),";")),"",ROW($1:$99)),COLUMN(I234))-1)</f>
        <v/>
      </c>
      <c r="AG235" s="75" t="str" cm="1">
        <f t="array" ref="AG235">MID(";"&amp;'CASE DATA'!$F235&amp;";",SMALL(IF(ISERROR(SEARCH(MID(";"&amp;'CASE DATA'!$F235&amp;";",ROW($1:$99),1),";")),"",ROW($1:$99)+1),COLUMN(K235)),SMALL(IF(ISERROR(SEARCH(MID(";"&amp;'CASE DATA'!$F235&amp;";",ROW($1:$99),1),";")),"",ROW($1:$99)),COLUMN(K234)+1)-SMALL(IF(ISERROR(SEARCH(MID(";"&amp;'CASE DATA'!$F235&amp;";",ROW($1:$99),1),";")),"",ROW($1:$99)),COLUMN(K234))-1)</f>
        <v/>
      </c>
      <c r="AH235" s="75" t="str" cm="1">
        <f t="array" ref="AH235">MID(";"&amp;'CASE DATA'!$F235&amp;";",SMALL(IF(ISERROR(SEARCH(MID(";"&amp;'CASE DATA'!$F235&amp;";",ROW($1:$99),1),";")),"",ROW($1:$99)+1),COLUMN(L235)),SMALL(IF(ISERROR(SEARCH(MID(";"&amp;'CASE DATA'!$F235&amp;";",ROW($1:$99),1),";")),"",ROW($1:$99)),COLUMN(L234)+1)-SMALL(IF(ISERROR(SEARCH(MID(";"&amp;'CASE DATA'!$F235&amp;";",ROW($1:$99),1),";")),"",ROW($1:$99)),COLUMN(L234))-1)</f>
        <v/>
      </c>
      <c r="AI235" s="75" t="str" cm="1">
        <f t="array" ref="AI235">MID(";"&amp;'CASE DATA'!$F235&amp;";",SMALL(IF(ISERROR(SEARCH(MID(";"&amp;'CASE DATA'!$F235&amp;";",ROW($1:$99),1),";")),"",ROW($1:$99)+1),COLUMN(M235)),SMALL(IF(ISERROR(SEARCH(MID(";"&amp;'CASE DATA'!$F235&amp;";",ROW($1:$99),1),";")),"",ROW($1:$99)),COLUMN(M234)+1)-SMALL(IF(ISERROR(SEARCH(MID(";"&amp;'CASE DATA'!$F235&amp;";",ROW($1:$99),1),";")),"",ROW($1:$99)),COLUMN(M234))-1)</f>
        <v/>
      </c>
      <c r="BO235" s="99"/>
      <c r="BP235" s="99"/>
      <c r="BQ235" s="99"/>
      <c r="BR235" s="99"/>
      <c r="BS235" s="99"/>
      <c r="BT235" s="99"/>
      <c r="BU235" s="99"/>
      <c r="BV235" s="99"/>
      <c r="BW235" s="99"/>
      <c r="BX235" s="99"/>
      <c r="BY235" s="99"/>
      <c r="BZ235" s="99"/>
      <c r="CA235" s="99"/>
      <c r="CB235" s="99"/>
      <c r="CC235" s="99"/>
      <c r="CD235" s="99"/>
      <c r="CE235" s="99"/>
      <c r="CF235" s="99"/>
      <c r="CG235" s="99"/>
      <c r="CH235" s="99"/>
      <c r="CI235" s="99"/>
      <c r="CJ235" s="99"/>
      <c r="CK235" s="99"/>
      <c r="CL235" s="99"/>
      <c r="CM235" s="99"/>
      <c r="CN235" s="99"/>
      <c r="CO235" s="99"/>
      <c r="CP235" s="99"/>
      <c r="CQ235" s="99"/>
      <c r="CR235" s="99"/>
      <c r="CS235" s="99"/>
      <c r="CT235" s="99"/>
      <c r="CU235" s="99"/>
      <c r="CV235" s="99"/>
      <c r="CW235" s="99"/>
      <c r="CX235" s="99"/>
      <c r="CY235" s="99"/>
      <c r="CZ235" s="99"/>
      <c r="DA235" s="99"/>
      <c r="DB235" s="99"/>
      <c r="DC235" s="99"/>
      <c r="DD235" s="99"/>
      <c r="DE235" s="99"/>
      <c r="DF235" s="99"/>
      <c r="DG235" s="99"/>
      <c r="DH235" s="99"/>
      <c r="DI235" s="99"/>
      <c r="DJ235" s="99"/>
      <c r="DK235" s="99"/>
      <c r="DL235" s="99"/>
      <c r="DM235" s="99"/>
      <c r="DN235" s="99"/>
      <c r="DO235" s="99"/>
      <c r="DP235" s="99"/>
      <c r="DQ235" s="99"/>
      <c r="DR235" s="99"/>
      <c r="DS235" s="99"/>
      <c r="DT235" s="99"/>
      <c r="DU235" s="99"/>
      <c r="DV235" s="99"/>
      <c r="DW235" s="99"/>
      <c r="DX235" s="99"/>
      <c r="DY235" s="99"/>
      <c r="DZ235" s="99"/>
      <c r="EA235" s="99"/>
      <c r="EB235" s="99"/>
      <c r="EC235" s="99"/>
      <c r="ED235" s="99"/>
      <c r="EE235" s="99"/>
      <c r="EF235" s="99"/>
      <c r="EG235" s="99"/>
      <c r="EH235" s="99"/>
      <c r="EI235" s="99"/>
      <c r="EJ235" s="99"/>
      <c r="EK235" s="99"/>
      <c r="EL235" s="99"/>
      <c r="EM235" s="99"/>
      <c r="EN235" s="99"/>
      <c r="EO235" s="99"/>
      <c r="EP235" s="99"/>
      <c r="EQ235" s="99"/>
      <c r="ER235" s="99"/>
      <c r="ES235" s="99"/>
      <c r="ET235" s="99"/>
      <c r="EU235" s="99"/>
      <c r="EV235" s="99"/>
      <c r="EW235" s="99"/>
      <c r="EX235" s="99"/>
      <c r="EY235" s="99"/>
      <c r="EZ235" s="99"/>
      <c r="FA235" s="99"/>
      <c r="FB235" s="99"/>
      <c r="FC235" s="99"/>
      <c r="FD235" s="99"/>
      <c r="FE235" s="99"/>
      <c r="FF235" s="99"/>
      <c r="FG235" s="99"/>
      <c r="FH235" s="99"/>
      <c r="FI235" s="99"/>
      <c r="FJ235" s="99"/>
      <c r="FK235" s="99"/>
    </row>
    <row r="236" spans="3:167" x14ac:dyDescent="0.25">
      <c r="C236" s="10"/>
      <c r="D236" s="10"/>
      <c r="J236" s="99">
        <v>233</v>
      </c>
      <c r="K236" s="16"/>
      <c r="L236" s="16"/>
      <c r="M236" s="16"/>
      <c r="N236" s="16"/>
      <c r="O236" s="16"/>
      <c r="P236" s="16"/>
      <c r="Q236" s="16"/>
      <c r="R236" s="16"/>
      <c r="S236" s="16"/>
      <c r="T236" s="16"/>
      <c r="U236" s="14">
        <f>SUM(K236:T236)</f>
        <v>0</v>
      </c>
      <c r="V236" s="14"/>
      <c r="X236" s="75" t="str" cm="1">
        <f t="array" ref="X236">MID(";"&amp;'CASE DATA'!$F236&amp;";",SMALL(IF(ISERROR(SEARCH(MID(";"&amp;'CASE DATA'!$F236&amp;";",ROW($1:$99),1),";")),"",ROW($1:$99)+1),COLUMN(A236)),SMALL(IF(ISERROR(SEARCH(MID(";"&amp;'CASE DATA'!$F236&amp;";",ROW($1:$99),1),";")),"",ROW($1:$99)),COLUMN(A235)+1)-SMALL(IF(ISERROR(SEARCH(MID(";"&amp;'CASE DATA'!$F236&amp;";",ROW($1:$99),1),";")),"",ROW($1:$99)),COLUMN(A235))-1)</f>
        <v/>
      </c>
      <c r="Y236" s="75" t="str" cm="1">
        <f t="array" ref="Y236">MID(";"&amp;'CASE DATA'!$F236&amp;";",SMALL(IF(ISERROR(SEARCH(MID(";"&amp;'CASE DATA'!$F236&amp;";",ROW($1:$99),1),";")),"",ROW($1:$99)+1),COLUMN(B236)),SMALL(IF(ISERROR(SEARCH(MID(";"&amp;'CASE DATA'!$F236&amp;";",ROW($1:$99),1),";")),"",ROW($1:$99)),COLUMN(B235)+1)-SMALL(IF(ISERROR(SEARCH(MID(";"&amp;'CASE DATA'!$F236&amp;";",ROW($1:$99),1),";")),"",ROW($1:$99)),COLUMN(B235))-1)</f>
        <v/>
      </c>
      <c r="Z236" s="75" t="str" cm="1">
        <f t="array" ref="Z236">MID(";"&amp;'CASE DATA'!$F236&amp;";",SMALL(IF(ISERROR(SEARCH(MID(";"&amp;'CASE DATA'!$F236&amp;";",ROW($1:$99),1),";")),"",ROW($1:$99)+1),COLUMN(C236)),SMALL(IF(ISERROR(SEARCH(MID(";"&amp;'CASE DATA'!$F236&amp;";",ROW($1:$99),1),";")),"",ROW($1:$99)),COLUMN(C235)+1)-SMALL(IF(ISERROR(SEARCH(MID(";"&amp;'CASE DATA'!$F236&amp;";",ROW($1:$99),1),";")),"",ROW($1:$99)),COLUMN(C235))-1)</f>
        <v/>
      </c>
      <c r="AA236" s="75" t="str" cm="1">
        <f t="array" ref="AA236">MID(";"&amp;'CASE DATA'!$F236&amp;";",SMALL(IF(ISERROR(SEARCH(MID(";"&amp;'CASE DATA'!$F236&amp;";",ROW($1:$99),1),";")),"",ROW($1:$99)+1),COLUMN(D236)),SMALL(IF(ISERROR(SEARCH(MID(";"&amp;'CASE DATA'!$F236&amp;";",ROW($1:$99),1),";")),"",ROW($1:$99)),COLUMN(D235)+1)-SMALL(IF(ISERROR(SEARCH(MID(";"&amp;'CASE DATA'!$F236&amp;";",ROW($1:$99),1),";")),"",ROW($1:$99)),COLUMN(D235))-1)</f>
        <v/>
      </c>
      <c r="AB236" s="75" t="str" cm="1">
        <f t="array" ref="AB236">MID(";"&amp;'CASE DATA'!$F236&amp;";",SMALL(IF(ISERROR(SEARCH(MID(";"&amp;'CASE DATA'!$F236&amp;";",ROW($1:$99),1),";")),"",ROW($1:$99)+1),COLUMN(E236)),SMALL(IF(ISERROR(SEARCH(MID(";"&amp;'CASE DATA'!$F236&amp;";",ROW($1:$99),1),";")),"",ROW($1:$99)),COLUMN(E235)+1)-SMALL(IF(ISERROR(SEARCH(MID(";"&amp;'CASE DATA'!$F236&amp;";",ROW($1:$99),1),";")),"",ROW($1:$99)),COLUMN(E235))-1)</f>
        <v/>
      </c>
      <c r="AC236" s="75" t="str" cm="1">
        <f t="array" ref="AC236">MID(";"&amp;'CASE DATA'!$F236&amp;";",SMALL(IF(ISERROR(SEARCH(MID(";"&amp;'CASE DATA'!$F236&amp;";",ROW($1:$99),1),";")),"",ROW($1:$99)+1),COLUMN(F236)),SMALL(IF(ISERROR(SEARCH(MID(";"&amp;'CASE DATA'!$F236&amp;";",ROW($1:$99),1),";")),"",ROW($1:$99)),COLUMN(F235)+1)-SMALL(IF(ISERROR(SEARCH(MID(";"&amp;'CASE DATA'!$F236&amp;";",ROW($1:$99),1),";")),"",ROW($1:$99)),COLUMN(F235))-1)</f>
        <v/>
      </c>
      <c r="AD236" s="75" t="str" cm="1">
        <f t="array" ref="AD236">MID(";"&amp;'CASE DATA'!$F236&amp;";",SMALL(IF(ISERROR(SEARCH(MID(";"&amp;'CASE DATA'!$F236&amp;";",ROW($1:$99),1),";")),"",ROW($1:$99)+1),COLUMN(G236)),SMALL(IF(ISERROR(SEARCH(MID(";"&amp;'CASE DATA'!$F236&amp;";",ROW($1:$99),1),";")),"",ROW($1:$99)),COLUMN(G235)+1)-SMALL(IF(ISERROR(SEARCH(MID(";"&amp;'CASE DATA'!$F236&amp;";",ROW($1:$99),1),";")),"",ROW($1:$99)),COLUMN(G235))-1)</f>
        <v/>
      </c>
      <c r="AE236" s="75" t="str" cm="1">
        <f t="array" ref="AE236">MID(";"&amp;'CASE DATA'!$F236&amp;";",SMALL(IF(ISERROR(SEARCH(MID(";"&amp;'CASE DATA'!$F236&amp;";",ROW($1:$99),1),";")),"",ROW($1:$99)+1),COLUMN(H236)),SMALL(IF(ISERROR(SEARCH(MID(";"&amp;'CASE DATA'!$F236&amp;";",ROW($1:$99),1),";")),"",ROW($1:$99)),COLUMN(H235)+1)-SMALL(IF(ISERROR(SEARCH(MID(";"&amp;'CASE DATA'!$F236&amp;";",ROW($1:$99),1),";")),"",ROW($1:$99)),COLUMN(H235))-1)</f>
        <v/>
      </c>
      <c r="AF236" s="75" t="str" cm="1">
        <f t="array" ref="AF236">MID(";"&amp;'CASE DATA'!$F236&amp;";",SMALL(IF(ISERROR(SEARCH(MID(";"&amp;'CASE DATA'!$F236&amp;";",ROW($1:$99),1),";")),"",ROW($1:$99)+1),COLUMN(I236)),SMALL(IF(ISERROR(SEARCH(MID(";"&amp;'CASE DATA'!$F236&amp;";",ROW($1:$99),1),";")),"",ROW($1:$99)),COLUMN(I235)+1)-SMALL(IF(ISERROR(SEARCH(MID(";"&amp;'CASE DATA'!$F236&amp;";",ROW($1:$99),1),";")),"",ROW($1:$99)),COLUMN(I235))-1)</f>
        <v/>
      </c>
      <c r="AG236" s="75" t="str" cm="1">
        <f t="array" ref="AG236">MID(";"&amp;'CASE DATA'!$F236&amp;";",SMALL(IF(ISERROR(SEARCH(MID(";"&amp;'CASE DATA'!$F236&amp;";",ROW($1:$99),1),";")),"",ROW($1:$99)+1),COLUMN(K236)),SMALL(IF(ISERROR(SEARCH(MID(";"&amp;'CASE DATA'!$F236&amp;";",ROW($1:$99),1),";")),"",ROW($1:$99)),COLUMN(K235)+1)-SMALL(IF(ISERROR(SEARCH(MID(";"&amp;'CASE DATA'!$F236&amp;";",ROW($1:$99),1),";")),"",ROW($1:$99)),COLUMN(K235))-1)</f>
        <v/>
      </c>
      <c r="AH236" s="75" t="str" cm="1">
        <f t="array" ref="AH236">MID(";"&amp;'CASE DATA'!$F236&amp;";",SMALL(IF(ISERROR(SEARCH(MID(";"&amp;'CASE DATA'!$F236&amp;";",ROW($1:$99),1),";")),"",ROW($1:$99)+1),COLUMN(L236)),SMALL(IF(ISERROR(SEARCH(MID(";"&amp;'CASE DATA'!$F236&amp;";",ROW($1:$99),1),";")),"",ROW($1:$99)),COLUMN(L235)+1)-SMALL(IF(ISERROR(SEARCH(MID(";"&amp;'CASE DATA'!$F236&amp;";",ROW($1:$99),1),";")),"",ROW($1:$99)),COLUMN(L235))-1)</f>
        <v/>
      </c>
      <c r="AI236" s="75" t="str" cm="1">
        <f t="array" ref="AI236">MID(";"&amp;'CASE DATA'!$F236&amp;";",SMALL(IF(ISERROR(SEARCH(MID(";"&amp;'CASE DATA'!$F236&amp;";",ROW($1:$99),1),";")),"",ROW($1:$99)+1),COLUMN(M236)),SMALL(IF(ISERROR(SEARCH(MID(";"&amp;'CASE DATA'!$F236&amp;";",ROW($1:$99),1),";")),"",ROW($1:$99)),COLUMN(M235)+1)-SMALL(IF(ISERROR(SEARCH(MID(";"&amp;'CASE DATA'!$F236&amp;";",ROW($1:$99),1),";")),"",ROW($1:$99)),COLUMN(M235))-1)</f>
        <v/>
      </c>
      <c r="BO236" s="99"/>
      <c r="BP236" s="99"/>
      <c r="BQ236" s="99"/>
      <c r="BR236" s="99"/>
      <c r="BS236" s="99"/>
      <c r="BT236" s="99"/>
      <c r="BU236" s="99"/>
      <c r="BV236" s="99"/>
      <c r="BW236" s="99"/>
      <c r="BX236" s="99"/>
      <c r="BY236" s="99"/>
      <c r="BZ236" s="99"/>
      <c r="CA236" s="99"/>
      <c r="CB236" s="99"/>
      <c r="CC236" s="99"/>
      <c r="CD236" s="99"/>
      <c r="CE236" s="99"/>
      <c r="CF236" s="99"/>
      <c r="CG236" s="99"/>
      <c r="CH236" s="99"/>
      <c r="CI236" s="99"/>
      <c r="CJ236" s="99"/>
      <c r="CK236" s="99"/>
      <c r="CL236" s="99"/>
      <c r="CM236" s="99"/>
      <c r="CN236" s="99"/>
      <c r="CO236" s="99"/>
      <c r="CP236" s="99"/>
      <c r="CQ236" s="99"/>
      <c r="CR236" s="99"/>
      <c r="CS236" s="99"/>
      <c r="CT236" s="99"/>
      <c r="CU236" s="99"/>
      <c r="CV236" s="99"/>
      <c r="CW236" s="99"/>
      <c r="CX236" s="99"/>
      <c r="CY236" s="99"/>
      <c r="CZ236" s="99"/>
      <c r="DA236" s="99"/>
      <c r="DB236" s="99"/>
      <c r="DC236" s="99"/>
      <c r="DD236" s="99"/>
      <c r="DE236" s="99"/>
      <c r="DF236" s="99"/>
      <c r="DG236" s="99"/>
      <c r="DH236" s="99"/>
      <c r="DI236" s="99"/>
      <c r="DJ236" s="99"/>
      <c r="DK236" s="99"/>
      <c r="DL236" s="99"/>
      <c r="DM236" s="99"/>
      <c r="DN236" s="99"/>
      <c r="DO236" s="99"/>
      <c r="DP236" s="99"/>
      <c r="DQ236" s="99"/>
      <c r="DR236" s="99"/>
      <c r="DS236" s="99"/>
      <c r="DT236" s="99"/>
      <c r="DU236" s="99"/>
      <c r="DV236" s="99"/>
      <c r="DW236" s="99"/>
      <c r="DX236" s="99"/>
      <c r="DY236" s="99"/>
      <c r="DZ236" s="99"/>
      <c r="EA236" s="99"/>
      <c r="EB236" s="99"/>
      <c r="EC236" s="99"/>
      <c r="ED236" s="99"/>
      <c r="EE236" s="99"/>
      <c r="EF236" s="99"/>
      <c r="EG236" s="99"/>
      <c r="EH236" s="99"/>
      <c r="EI236" s="99"/>
      <c r="EJ236" s="99"/>
      <c r="EK236" s="99"/>
      <c r="EL236" s="99"/>
      <c r="EM236" s="99"/>
      <c r="EN236" s="99"/>
      <c r="EO236" s="99"/>
      <c r="EP236" s="99"/>
      <c r="EQ236" s="99"/>
      <c r="ER236" s="99"/>
      <c r="ES236" s="99"/>
      <c r="ET236" s="99"/>
      <c r="EU236" s="99"/>
      <c r="EV236" s="99"/>
      <c r="EW236" s="99"/>
      <c r="EX236" s="99"/>
      <c r="EY236" s="99"/>
      <c r="EZ236" s="99"/>
      <c r="FA236" s="99"/>
      <c r="FB236" s="99"/>
      <c r="FC236" s="99"/>
      <c r="FD236" s="99"/>
      <c r="FE236" s="99"/>
      <c r="FF236" s="99"/>
      <c r="FG236" s="99"/>
      <c r="FH236" s="99"/>
      <c r="FI236" s="99"/>
      <c r="FJ236" s="99"/>
      <c r="FK236" s="99"/>
    </row>
    <row r="237" spans="3:167" x14ac:dyDescent="0.25">
      <c r="C237" s="10"/>
      <c r="D237" s="10"/>
      <c r="J237" s="99">
        <v>234</v>
      </c>
      <c r="K237" s="16"/>
      <c r="L237" s="16"/>
      <c r="M237" s="16"/>
      <c r="N237" s="16"/>
      <c r="O237" s="16"/>
      <c r="P237" s="16"/>
      <c r="Q237" s="16"/>
      <c r="R237" s="16"/>
      <c r="S237" s="16"/>
      <c r="T237" s="16"/>
      <c r="U237" s="14">
        <f>SUM(K237:T237)</f>
        <v>0</v>
      </c>
      <c r="V237" s="14"/>
      <c r="X237" s="75" t="str" cm="1">
        <f t="array" ref="X237">MID(";"&amp;'CASE DATA'!$F237&amp;";",SMALL(IF(ISERROR(SEARCH(MID(";"&amp;'CASE DATA'!$F237&amp;";",ROW($1:$99),1),";")),"",ROW($1:$99)+1),COLUMN(A237)),SMALL(IF(ISERROR(SEARCH(MID(";"&amp;'CASE DATA'!$F237&amp;";",ROW($1:$99),1),";")),"",ROW($1:$99)),COLUMN(A236)+1)-SMALL(IF(ISERROR(SEARCH(MID(";"&amp;'CASE DATA'!$F237&amp;";",ROW($1:$99),1),";")),"",ROW($1:$99)),COLUMN(A236))-1)</f>
        <v/>
      </c>
      <c r="Y237" s="75" t="str" cm="1">
        <f t="array" ref="Y237">MID(";"&amp;'CASE DATA'!$F237&amp;";",SMALL(IF(ISERROR(SEARCH(MID(";"&amp;'CASE DATA'!$F237&amp;";",ROW($1:$99),1),";")),"",ROW($1:$99)+1),COLUMN(B237)),SMALL(IF(ISERROR(SEARCH(MID(";"&amp;'CASE DATA'!$F237&amp;";",ROW($1:$99),1),";")),"",ROW($1:$99)),COLUMN(B236)+1)-SMALL(IF(ISERROR(SEARCH(MID(";"&amp;'CASE DATA'!$F237&amp;";",ROW($1:$99),1),";")),"",ROW($1:$99)),COLUMN(B236))-1)</f>
        <v/>
      </c>
      <c r="Z237" s="75" t="str" cm="1">
        <f t="array" ref="Z237">MID(";"&amp;'CASE DATA'!$F237&amp;";",SMALL(IF(ISERROR(SEARCH(MID(";"&amp;'CASE DATA'!$F237&amp;";",ROW($1:$99),1),";")),"",ROW($1:$99)+1),COLUMN(C237)),SMALL(IF(ISERROR(SEARCH(MID(";"&amp;'CASE DATA'!$F237&amp;";",ROW($1:$99),1),";")),"",ROW($1:$99)),COLUMN(C236)+1)-SMALL(IF(ISERROR(SEARCH(MID(";"&amp;'CASE DATA'!$F237&amp;";",ROW($1:$99),1),";")),"",ROW($1:$99)),COLUMN(C236))-1)</f>
        <v/>
      </c>
      <c r="AA237" s="75" t="str" cm="1">
        <f t="array" ref="AA237">MID(";"&amp;'CASE DATA'!$F237&amp;";",SMALL(IF(ISERROR(SEARCH(MID(";"&amp;'CASE DATA'!$F237&amp;";",ROW($1:$99),1),";")),"",ROW($1:$99)+1),COLUMN(D237)),SMALL(IF(ISERROR(SEARCH(MID(";"&amp;'CASE DATA'!$F237&amp;";",ROW($1:$99),1),";")),"",ROW($1:$99)),COLUMN(D236)+1)-SMALL(IF(ISERROR(SEARCH(MID(";"&amp;'CASE DATA'!$F237&amp;";",ROW($1:$99),1),";")),"",ROW($1:$99)),COLUMN(D236))-1)</f>
        <v/>
      </c>
      <c r="AB237" s="75" t="str" cm="1">
        <f t="array" ref="AB237">MID(";"&amp;'CASE DATA'!$F237&amp;";",SMALL(IF(ISERROR(SEARCH(MID(";"&amp;'CASE DATA'!$F237&amp;";",ROW($1:$99),1),";")),"",ROW($1:$99)+1),COLUMN(E237)),SMALL(IF(ISERROR(SEARCH(MID(";"&amp;'CASE DATA'!$F237&amp;";",ROW($1:$99),1),";")),"",ROW($1:$99)),COLUMN(E236)+1)-SMALL(IF(ISERROR(SEARCH(MID(";"&amp;'CASE DATA'!$F237&amp;";",ROW($1:$99),1),";")),"",ROW($1:$99)),COLUMN(E236))-1)</f>
        <v/>
      </c>
      <c r="AC237" s="75" t="str" cm="1">
        <f t="array" ref="AC237">MID(";"&amp;'CASE DATA'!$F237&amp;";",SMALL(IF(ISERROR(SEARCH(MID(";"&amp;'CASE DATA'!$F237&amp;";",ROW($1:$99),1),";")),"",ROW($1:$99)+1),COLUMN(F237)),SMALL(IF(ISERROR(SEARCH(MID(";"&amp;'CASE DATA'!$F237&amp;";",ROW($1:$99),1),";")),"",ROW($1:$99)),COLUMN(F236)+1)-SMALL(IF(ISERROR(SEARCH(MID(";"&amp;'CASE DATA'!$F237&amp;";",ROW($1:$99),1),";")),"",ROW($1:$99)),COLUMN(F236))-1)</f>
        <v/>
      </c>
      <c r="AD237" s="75" t="str" cm="1">
        <f t="array" ref="AD237">MID(";"&amp;'CASE DATA'!$F237&amp;";",SMALL(IF(ISERROR(SEARCH(MID(";"&amp;'CASE DATA'!$F237&amp;";",ROW($1:$99),1),";")),"",ROW($1:$99)+1),COLUMN(G237)),SMALL(IF(ISERROR(SEARCH(MID(";"&amp;'CASE DATA'!$F237&amp;";",ROW($1:$99),1),";")),"",ROW($1:$99)),COLUMN(G236)+1)-SMALL(IF(ISERROR(SEARCH(MID(";"&amp;'CASE DATA'!$F237&amp;";",ROW($1:$99),1),";")),"",ROW($1:$99)),COLUMN(G236))-1)</f>
        <v/>
      </c>
      <c r="AE237" s="75" t="str" cm="1">
        <f t="array" ref="AE237">MID(";"&amp;'CASE DATA'!$F237&amp;";",SMALL(IF(ISERROR(SEARCH(MID(";"&amp;'CASE DATA'!$F237&amp;";",ROW($1:$99),1),";")),"",ROW($1:$99)+1),COLUMN(H237)),SMALL(IF(ISERROR(SEARCH(MID(";"&amp;'CASE DATA'!$F237&amp;";",ROW($1:$99),1),";")),"",ROW($1:$99)),COLUMN(H236)+1)-SMALL(IF(ISERROR(SEARCH(MID(";"&amp;'CASE DATA'!$F237&amp;";",ROW($1:$99),1),";")),"",ROW($1:$99)),COLUMN(H236))-1)</f>
        <v/>
      </c>
      <c r="AF237" s="75" t="str" cm="1">
        <f t="array" ref="AF237">MID(";"&amp;'CASE DATA'!$F237&amp;";",SMALL(IF(ISERROR(SEARCH(MID(";"&amp;'CASE DATA'!$F237&amp;";",ROW($1:$99),1),";")),"",ROW($1:$99)+1),COLUMN(I237)),SMALL(IF(ISERROR(SEARCH(MID(";"&amp;'CASE DATA'!$F237&amp;";",ROW($1:$99),1),";")),"",ROW($1:$99)),COLUMN(I236)+1)-SMALL(IF(ISERROR(SEARCH(MID(";"&amp;'CASE DATA'!$F237&amp;";",ROW($1:$99),1),";")),"",ROW($1:$99)),COLUMN(I236))-1)</f>
        <v/>
      </c>
      <c r="AG237" s="75" t="str" cm="1">
        <f t="array" ref="AG237">MID(";"&amp;'CASE DATA'!$F237&amp;";",SMALL(IF(ISERROR(SEARCH(MID(";"&amp;'CASE DATA'!$F237&amp;";",ROW($1:$99),1),";")),"",ROW($1:$99)+1),COLUMN(K237)),SMALL(IF(ISERROR(SEARCH(MID(";"&amp;'CASE DATA'!$F237&amp;";",ROW($1:$99),1),";")),"",ROW($1:$99)),COLUMN(K236)+1)-SMALL(IF(ISERROR(SEARCH(MID(";"&amp;'CASE DATA'!$F237&amp;";",ROW($1:$99),1),";")),"",ROW($1:$99)),COLUMN(K236))-1)</f>
        <v/>
      </c>
      <c r="AH237" s="75" t="str" cm="1">
        <f t="array" ref="AH237">MID(";"&amp;'CASE DATA'!$F237&amp;";",SMALL(IF(ISERROR(SEARCH(MID(";"&amp;'CASE DATA'!$F237&amp;";",ROW($1:$99),1),";")),"",ROW($1:$99)+1),COLUMN(L237)),SMALL(IF(ISERROR(SEARCH(MID(";"&amp;'CASE DATA'!$F237&amp;";",ROW($1:$99),1),";")),"",ROW($1:$99)),COLUMN(L236)+1)-SMALL(IF(ISERROR(SEARCH(MID(";"&amp;'CASE DATA'!$F237&amp;";",ROW($1:$99),1),";")),"",ROW($1:$99)),COLUMN(L236))-1)</f>
        <v/>
      </c>
      <c r="AI237" s="75" t="str" cm="1">
        <f t="array" ref="AI237">MID(";"&amp;'CASE DATA'!$F237&amp;";",SMALL(IF(ISERROR(SEARCH(MID(";"&amp;'CASE DATA'!$F237&amp;";",ROW($1:$99),1),";")),"",ROW($1:$99)+1),COLUMN(M237)),SMALL(IF(ISERROR(SEARCH(MID(";"&amp;'CASE DATA'!$F237&amp;";",ROW($1:$99),1),";")),"",ROW($1:$99)),COLUMN(M236)+1)-SMALL(IF(ISERROR(SEARCH(MID(";"&amp;'CASE DATA'!$F237&amp;";",ROW($1:$99),1),";")),"",ROW($1:$99)),COLUMN(M236))-1)</f>
        <v/>
      </c>
      <c r="BO237" s="99"/>
      <c r="BP237" s="99"/>
      <c r="BQ237" s="99"/>
      <c r="BR237" s="99"/>
      <c r="BS237" s="99"/>
      <c r="BT237" s="99"/>
      <c r="BU237" s="99"/>
      <c r="BV237" s="99"/>
      <c r="BW237" s="99"/>
      <c r="BX237" s="99"/>
      <c r="BY237" s="99"/>
      <c r="BZ237" s="99"/>
      <c r="CA237" s="99"/>
      <c r="CB237" s="99"/>
      <c r="CC237" s="99"/>
      <c r="CD237" s="99"/>
      <c r="CE237" s="99"/>
      <c r="CF237" s="99"/>
      <c r="CG237" s="99"/>
      <c r="CH237" s="99"/>
      <c r="CI237" s="99"/>
      <c r="CJ237" s="99"/>
      <c r="CK237" s="99"/>
      <c r="CL237" s="99"/>
      <c r="CM237" s="99"/>
      <c r="CN237" s="99"/>
      <c r="CO237" s="99"/>
      <c r="CP237" s="99"/>
      <c r="CQ237" s="99"/>
      <c r="CR237" s="99"/>
      <c r="CS237" s="99"/>
      <c r="CT237" s="99"/>
      <c r="CU237" s="99"/>
      <c r="CV237" s="99"/>
      <c r="CW237" s="99"/>
      <c r="CX237" s="99"/>
      <c r="CY237" s="99"/>
      <c r="CZ237" s="99"/>
      <c r="DA237" s="99"/>
      <c r="DB237" s="99"/>
      <c r="DC237" s="99"/>
      <c r="DD237" s="99"/>
      <c r="DE237" s="99"/>
      <c r="DF237" s="99"/>
      <c r="DG237" s="99"/>
      <c r="DH237" s="99"/>
      <c r="DI237" s="99"/>
      <c r="DJ237" s="99"/>
      <c r="DK237" s="99"/>
      <c r="DL237" s="99"/>
      <c r="DM237" s="99"/>
      <c r="DN237" s="99"/>
      <c r="DO237" s="99"/>
      <c r="DP237" s="99"/>
      <c r="DQ237" s="99"/>
      <c r="DR237" s="99"/>
      <c r="DS237" s="99"/>
      <c r="DT237" s="99"/>
      <c r="DU237" s="99"/>
      <c r="DV237" s="99"/>
      <c r="DW237" s="99"/>
      <c r="DX237" s="99"/>
      <c r="DY237" s="99"/>
      <c r="DZ237" s="99"/>
      <c r="EA237" s="99"/>
      <c r="EB237" s="99"/>
      <c r="EC237" s="99"/>
      <c r="ED237" s="99"/>
      <c r="EE237" s="99"/>
      <c r="EF237" s="99"/>
      <c r="EG237" s="99"/>
      <c r="EH237" s="99"/>
      <c r="EI237" s="99"/>
      <c r="EJ237" s="99"/>
      <c r="EK237" s="99"/>
      <c r="EL237" s="99"/>
      <c r="EM237" s="99"/>
      <c r="EN237" s="99"/>
      <c r="EO237" s="99"/>
      <c r="EP237" s="99"/>
      <c r="EQ237" s="99"/>
      <c r="ER237" s="99"/>
      <c r="ES237" s="99"/>
      <c r="ET237" s="99"/>
      <c r="EU237" s="99"/>
      <c r="EV237" s="99"/>
      <c r="EW237" s="99"/>
      <c r="EX237" s="99"/>
      <c r="EY237" s="99"/>
      <c r="EZ237" s="99"/>
      <c r="FA237" s="99"/>
      <c r="FB237" s="99"/>
      <c r="FC237" s="99"/>
      <c r="FD237" s="99"/>
      <c r="FE237" s="99"/>
      <c r="FF237" s="99"/>
      <c r="FG237" s="99"/>
      <c r="FH237" s="99"/>
      <c r="FI237" s="99"/>
      <c r="FJ237" s="99"/>
      <c r="FK237" s="99"/>
    </row>
    <row r="238" spans="3:167" x14ac:dyDescent="0.25">
      <c r="C238" s="10"/>
      <c r="D238" s="10"/>
      <c r="J238" s="99">
        <v>235</v>
      </c>
      <c r="K238" s="16"/>
      <c r="L238" s="16"/>
      <c r="M238" s="16"/>
      <c r="N238" s="16"/>
      <c r="O238" s="16"/>
      <c r="P238" s="16"/>
      <c r="Q238" s="16"/>
      <c r="R238" s="16"/>
      <c r="S238" s="16"/>
      <c r="T238" s="16"/>
      <c r="U238" s="14">
        <f>SUM(K238:T238)</f>
        <v>0</v>
      </c>
      <c r="V238" s="14"/>
      <c r="X238" s="75" t="str" cm="1">
        <f t="array" ref="X238">MID(";"&amp;'CASE DATA'!$F238&amp;";",SMALL(IF(ISERROR(SEARCH(MID(";"&amp;'CASE DATA'!$F238&amp;";",ROW($1:$99),1),";")),"",ROW($1:$99)+1),COLUMN(A238)),SMALL(IF(ISERROR(SEARCH(MID(";"&amp;'CASE DATA'!$F238&amp;";",ROW($1:$99),1),";")),"",ROW($1:$99)),COLUMN(A237)+1)-SMALL(IF(ISERROR(SEARCH(MID(";"&amp;'CASE DATA'!$F238&amp;";",ROW($1:$99),1),";")),"",ROW($1:$99)),COLUMN(A237))-1)</f>
        <v/>
      </c>
      <c r="Y238" s="75" t="str" cm="1">
        <f t="array" ref="Y238">MID(";"&amp;'CASE DATA'!$F238&amp;";",SMALL(IF(ISERROR(SEARCH(MID(";"&amp;'CASE DATA'!$F238&amp;";",ROW($1:$99),1),";")),"",ROW($1:$99)+1),COLUMN(B238)),SMALL(IF(ISERROR(SEARCH(MID(";"&amp;'CASE DATA'!$F238&amp;";",ROW($1:$99),1),";")),"",ROW($1:$99)),COLUMN(B237)+1)-SMALL(IF(ISERROR(SEARCH(MID(";"&amp;'CASE DATA'!$F238&amp;";",ROW($1:$99),1),";")),"",ROW($1:$99)),COLUMN(B237))-1)</f>
        <v/>
      </c>
      <c r="Z238" s="75" t="str" cm="1">
        <f t="array" ref="Z238">MID(";"&amp;'CASE DATA'!$F238&amp;";",SMALL(IF(ISERROR(SEARCH(MID(";"&amp;'CASE DATA'!$F238&amp;";",ROW($1:$99),1),";")),"",ROW($1:$99)+1),COLUMN(C238)),SMALL(IF(ISERROR(SEARCH(MID(";"&amp;'CASE DATA'!$F238&amp;";",ROW($1:$99),1),";")),"",ROW($1:$99)),COLUMN(C237)+1)-SMALL(IF(ISERROR(SEARCH(MID(";"&amp;'CASE DATA'!$F238&amp;";",ROW($1:$99),1),";")),"",ROW($1:$99)),COLUMN(C237))-1)</f>
        <v/>
      </c>
      <c r="AA238" s="75" t="str" cm="1">
        <f t="array" ref="AA238">MID(";"&amp;'CASE DATA'!$F238&amp;";",SMALL(IF(ISERROR(SEARCH(MID(";"&amp;'CASE DATA'!$F238&amp;";",ROW($1:$99),1),";")),"",ROW($1:$99)+1),COLUMN(D238)),SMALL(IF(ISERROR(SEARCH(MID(";"&amp;'CASE DATA'!$F238&amp;";",ROW($1:$99),1),";")),"",ROW($1:$99)),COLUMN(D237)+1)-SMALL(IF(ISERROR(SEARCH(MID(";"&amp;'CASE DATA'!$F238&amp;";",ROW($1:$99),1),";")),"",ROW($1:$99)),COLUMN(D237))-1)</f>
        <v/>
      </c>
      <c r="AB238" s="75" t="str" cm="1">
        <f t="array" ref="AB238">MID(";"&amp;'CASE DATA'!$F238&amp;";",SMALL(IF(ISERROR(SEARCH(MID(";"&amp;'CASE DATA'!$F238&amp;";",ROW($1:$99),1),";")),"",ROW($1:$99)+1),COLUMN(E238)),SMALL(IF(ISERROR(SEARCH(MID(";"&amp;'CASE DATA'!$F238&amp;";",ROW($1:$99),1),";")),"",ROW($1:$99)),COLUMN(E237)+1)-SMALL(IF(ISERROR(SEARCH(MID(";"&amp;'CASE DATA'!$F238&amp;";",ROW($1:$99),1),";")),"",ROW($1:$99)),COLUMN(E237))-1)</f>
        <v/>
      </c>
      <c r="AC238" s="75" t="str" cm="1">
        <f t="array" ref="AC238">MID(";"&amp;'CASE DATA'!$F238&amp;";",SMALL(IF(ISERROR(SEARCH(MID(";"&amp;'CASE DATA'!$F238&amp;";",ROW($1:$99),1),";")),"",ROW($1:$99)+1),COLUMN(F238)),SMALL(IF(ISERROR(SEARCH(MID(";"&amp;'CASE DATA'!$F238&amp;";",ROW($1:$99),1),";")),"",ROW($1:$99)),COLUMN(F237)+1)-SMALL(IF(ISERROR(SEARCH(MID(";"&amp;'CASE DATA'!$F238&amp;";",ROW($1:$99),1),";")),"",ROW($1:$99)),COLUMN(F237))-1)</f>
        <v/>
      </c>
      <c r="AD238" s="75" t="str" cm="1">
        <f t="array" ref="AD238">MID(";"&amp;'CASE DATA'!$F238&amp;";",SMALL(IF(ISERROR(SEARCH(MID(";"&amp;'CASE DATA'!$F238&amp;";",ROW($1:$99),1),";")),"",ROW($1:$99)+1),COLUMN(G238)),SMALL(IF(ISERROR(SEARCH(MID(";"&amp;'CASE DATA'!$F238&amp;";",ROW($1:$99),1),";")),"",ROW($1:$99)),COLUMN(G237)+1)-SMALL(IF(ISERROR(SEARCH(MID(";"&amp;'CASE DATA'!$F238&amp;";",ROW($1:$99),1),";")),"",ROW($1:$99)),COLUMN(G237))-1)</f>
        <v/>
      </c>
      <c r="AE238" s="75" t="str" cm="1">
        <f t="array" ref="AE238">MID(";"&amp;'CASE DATA'!$F238&amp;";",SMALL(IF(ISERROR(SEARCH(MID(";"&amp;'CASE DATA'!$F238&amp;";",ROW($1:$99),1),";")),"",ROW($1:$99)+1),COLUMN(H238)),SMALL(IF(ISERROR(SEARCH(MID(";"&amp;'CASE DATA'!$F238&amp;";",ROW($1:$99),1),";")),"",ROW($1:$99)),COLUMN(H237)+1)-SMALL(IF(ISERROR(SEARCH(MID(";"&amp;'CASE DATA'!$F238&amp;";",ROW($1:$99),1),";")),"",ROW($1:$99)),COLUMN(H237))-1)</f>
        <v/>
      </c>
      <c r="AF238" s="75" t="str" cm="1">
        <f t="array" ref="AF238">MID(";"&amp;'CASE DATA'!$F238&amp;";",SMALL(IF(ISERROR(SEARCH(MID(";"&amp;'CASE DATA'!$F238&amp;";",ROW($1:$99),1),";")),"",ROW($1:$99)+1),COLUMN(I238)),SMALL(IF(ISERROR(SEARCH(MID(";"&amp;'CASE DATA'!$F238&amp;";",ROW($1:$99),1),";")),"",ROW($1:$99)),COLUMN(I237)+1)-SMALL(IF(ISERROR(SEARCH(MID(";"&amp;'CASE DATA'!$F238&amp;";",ROW($1:$99),1),";")),"",ROW($1:$99)),COLUMN(I237))-1)</f>
        <v/>
      </c>
      <c r="AG238" s="75" t="str" cm="1">
        <f t="array" ref="AG238">MID(";"&amp;'CASE DATA'!$F238&amp;";",SMALL(IF(ISERROR(SEARCH(MID(";"&amp;'CASE DATA'!$F238&amp;";",ROW($1:$99),1),";")),"",ROW($1:$99)+1),COLUMN(K238)),SMALL(IF(ISERROR(SEARCH(MID(";"&amp;'CASE DATA'!$F238&amp;";",ROW($1:$99),1),";")),"",ROW($1:$99)),COLUMN(K237)+1)-SMALL(IF(ISERROR(SEARCH(MID(";"&amp;'CASE DATA'!$F238&amp;";",ROW($1:$99),1),";")),"",ROW($1:$99)),COLUMN(K237))-1)</f>
        <v/>
      </c>
      <c r="AH238" s="75" t="str" cm="1">
        <f t="array" ref="AH238">MID(";"&amp;'CASE DATA'!$F238&amp;";",SMALL(IF(ISERROR(SEARCH(MID(";"&amp;'CASE DATA'!$F238&amp;";",ROW($1:$99),1),";")),"",ROW($1:$99)+1),COLUMN(L238)),SMALL(IF(ISERROR(SEARCH(MID(";"&amp;'CASE DATA'!$F238&amp;";",ROW($1:$99),1),";")),"",ROW($1:$99)),COLUMN(L237)+1)-SMALL(IF(ISERROR(SEARCH(MID(";"&amp;'CASE DATA'!$F238&amp;";",ROW($1:$99),1),";")),"",ROW($1:$99)),COLUMN(L237))-1)</f>
        <v/>
      </c>
      <c r="AI238" s="75" t="str" cm="1">
        <f t="array" ref="AI238">MID(";"&amp;'CASE DATA'!$F238&amp;";",SMALL(IF(ISERROR(SEARCH(MID(";"&amp;'CASE DATA'!$F238&amp;";",ROW($1:$99),1),";")),"",ROW($1:$99)+1),COLUMN(M238)),SMALL(IF(ISERROR(SEARCH(MID(";"&amp;'CASE DATA'!$F238&amp;";",ROW($1:$99),1),";")),"",ROW($1:$99)),COLUMN(M237)+1)-SMALL(IF(ISERROR(SEARCH(MID(";"&amp;'CASE DATA'!$F238&amp;";",ROW($1:$99),1),";")),"",ROW($1:$99)),COLUMN(M237))-1)</f>
        <v/>
      </c>
      <c r="BO238" s="99"/>
      <c r="BP238" s="99"/>
      <c r="BQ238" s="99"/>
      <c r="BR238" s="99"/>
      <c r="BS238" s="99"/>
      <c r="BT238" s="99"/>
      <c r="BU238" s="99"/>
      <c r="BV238" s="99"/>
      <c r="BW238" s="99"/>
      <c r="BX238" s="99"/>
      <c r="BY238" s="99"/>
      <c r="BZ238" s="99"/>
      <c r="CA238" s="99"/>
      <c r="CB238" s="99"/>
      <c r="CC238" s="99"/>
      <c r="CD238" s="99"/>
      <c r="CE238" s="99"/>
      <c r="CF238" s="99"/>
      <c r="CG238" s="99"/>
      <c r="CH238" s="99"/>
      <c r="CI238" s="99"/>
      <c r="CJ238" s="99"/>
      <c r="CK238" s="99"/>
      <c r="CL238" s="99"/>
      <c r="CM238" s="99"/>
      <c r="CN238" s="99"/>
      <c r="CO238" s="99"/>
      <c r="CP238" s="99"/>
      <c r="CQ238" s="99"/>
      <c r="CR238" s="99"/>
      <c r="CS238" s="99"/>
      <c r="CT238" s="99"/>
      <c r="CU238" s="99"/>
      <c r="CV238" s="99"/>
      <c r="CW238" s="99"/>
      <c r="CX238" s="99"/>
      <c r="CY238" s="99"/>
      <c r="CZ238" s="99"/>
      <c r="DA238" s="99"/>
      <c r="DB238" s="99"/>
      <c r="DC238" s="99"/>
      <c r="DD238" s="99"/>
      <c r="DE238" s="99"/>
      <c r="DF238" s="99"/>
      <c r="DG238" s="99"/>
      <c r="DH238" s="99"/>
      <c r="DI238" s="99"/>
      <c r="DJ238" s="99"/>
      <c r="DK238" s="99"/>
      <c r="DL238" s="99"/>
      <c r="DM238" s="99"/>
      <c r="DN238" s="99"/>
      <c r="DO238" s="99"/>
      <c r="DP238" s="99"/>
      <c r="DQ238" s="99"/>
      <c r="DR238" s="99"/>
      <c r="DS238" s="99"/>
      <c r="DT238" s="99"/>
      <c r="DU238" s="99"/>
      <c r="DV238" s="99"/>
      <c r="DW238" s="99"/>
      <c r="DX238" s="99"/>
      <c r="DY238" s="99"/>
      <c r="DZ238" s="99"/>
      <c r="EA238" s="99"/>
      <c r="EB238" s="99"/>
      <c r="EC238" s="99"/>
      <c r="ED238" s="99"/>
      <c r="EE238" s="99"/>
      <c r="EF238" s="99"/>
      <c r="EG238" s="99"/>
      <c r="EH238" s="99"/>
      <c r="EI238" s="99"/>
      <c r="EJ238" s="99"/>
      <c r="EK238" s="99"/>
      <c r="EL238" s="99"/>
      <c r="EM238" s="99"/>
      <c r="EN238" s="99"/>
      <c r="EO238" s="99"/>
      <c r="EP238" s="99"/>
      <c r="EQ238" s="99"/>
      <c r="ER238" s="99"/>
      <c r="ES238" s="99"/>
      <c r="ET238" s="99"/>
      <c r="EU238" s="99"/>
      <c r="EV238" s="99"/>
      <c r="EW238" s="99"/>
      <c r="EX238" s="99"/>
      <c r="EY238" s="99"/>
      <c r="EZ238" s="99"/>
      <c r="FA238" s="99"/>
      <c r="FB238" s="99"/>
      <c r="FC238" s="99"/>
      <c r="FD238" s="99"/>
      <c r="FE238" s="99"/>
      <c r="FF238" s="99"/>
      <c r="FG238" s="99"/>
      <c r="FH238" s="99"/>
      <c r="FI238" s="99"/>
      <c r="FJ238" s="99"/>
      <c r="FK238" s="99"/>
    </row>
    <row r="239" spans="3:167" x14ac:dyDescent="0.25">
      <c r="C239" s="10"/>
      <c r="D239" s="10"/>
      <c r="J239" s="99">
        <v>236</v>
      </c>
      <c r="K239" s="16"/>
      <c r="L239" s="16"/>
      <c r="M239" s="16"/>
      <c r="N239" s="16"/>
      <c r="O239" s="16"/>
      <c r="P239" s="16"/>
      <c r="Q239" s="16"/>
      <c r="R239" s="16"/>
      <c r="S239" s="16"/>
      <c r="T239" s="16"/>
      <c r="U239" s="14">
        <f>SUM(K239:T239)</f>
        <v>0</v>
      </c>
      <c r="V239" s="14"/>
      <c r="X239" s="75" t="str" cm="1">
        <f t="array" ref="X239">MID(";"&amp;'CASE DATA'!$F239&amp;";",SMALL(IF(ISERROR(SEARCH(MID(";"&amp;'CASE DATA'!$F239&amp;";",ROW($1:$99),1),";")),"",ROW($1:$99)+1),COLUMN(A239)),SMALL(IF(ISERROR(SEARCH(MID(";"&amp;'CASE DATA'!$F239&amp;";",ROW($1:$99),1),";")),"",ROW($1:$99)),COLUMN(A238)+1)-SMALL(IF(ISERROR(SEARCH(MID(";"&amp;'CASE DATA'!$F239&amp;";",ROW($1:$99),1),";")),"",ROW($1:$99)),COLUMN(A238))-1)</f>
        <v/>
      </c>
      <c r="Y239" s="75" t="str" cm="1">
        <f t="array" ref="Y239">MID(";"&amp;'CASE DATA'!$F239&amp;";",SMALL(IF(ISERROR(SEARCH(MID(";"&amp;'CASE DATA'!$F239&amp;";",ROW($1:$99),1),";")),"",ROW($1:$99)+1),COLUMN(B239)),SMALL(IF(ISERROR(SEARCH(MID(";"&amp;'CASE DATA'!$F239&amp;";",ROW($1:$99),1),";")),"",ROW($1:$99)),COLUMN(B238)+1)-SMALL(IF(ISERROR(SEARCH(MID(";"&amp;'CASE DATA'!$F239&amp;";",ROW($1:$99),1),";")),"",ROW($1:$99)),COLUMN(B238))-1)</f>
        <v/>
      </c>
      <c r="Z239" s="75" t="str" cm="1">
        <f t="array" ref="Z239">MID(";"&amp;'CASE DATA'!$F239&amp;";",SMALL(IF(ISERROR(SEARCH(MID(";"&amp;'CASE DATA'!$F239&amp;";",ROW($1:$99),1),";")),"",ROW($1:$99)+1),COLUMN(C239)),SMALL(IF(ISERROR(SEARCH(MID(";"&amp;'CASE DATA'!$F239&amp;";",ROW($1:$99),1),";")),"",ROW($1:$99)),COLUMN(C238)+1)-SMALL(IF(ISERROR(SEARCH(MID(";"&amp;'CASE DATA'!$F239&amp;";",ROW($1:$99),1),";")),"",ROW($1:$99)),COLUMN(C238))-1)</f>
        <v/>
      </c>
      <c r="AA239" s="75" t="str" cm="1">
        <f t="array" ref="AA239">MID(";"&amp;'CASE DATA'!$F239&amp;";",SMALL(IF(ISERROR(SEARCH(MID(";"&amp;'CASE DATA'!$F239&amp;";",ROW($1:$99),1),";")),"",ROW($1:$99)+1),COLUMN(D239)),SMALL(IF(ISERROR(SEARCH(MID(";"&amp;'CASE DATA'!$F239&amp;";",ROW($1:$99),1),";")),"",ROW($1:$99)),COLUMN(D238)+1)-SMALL(IF(ISERROR(SEARCH(MID(";"&amp;'CASE DATA'!$F239&amp;";",ROW($1:$99),1),";")),"",ROW($1:$99)),COLUMN(D238))-1)</f>
        <v/>
      </c>
      <c r="AB239" s="75" t="str" cm="1">
        <f t="array" ref="AB239">MID(";"&amp;'CASE DATA'!$F239&amp;";",SMALL(IF(ISERROR(SEARCH(MID(";"&amp;'CASE DATA'!$F239&amp;";",ROW($1:$99),1),";")),"",ROW($1:$99)+1),COLUMN(E239)),SMALL(IF(ISERROR(SEARCH(MID(";"&amp;'CASE DATA'!$F239&amp;";",ROW($1:$99),1),";")),"",ROW($1:$99)),COLUMN(E238)+1)-SMALL(IF(ISERROR(SEARCH(MID(";"&amp;'CASE DATA'!$F239&amp;";",ROW($1:$99),1),";")),"",ROW($1:$99)),COLUMN(E238))-1)</f>
        <v/>
      </c>
      <c r="AC239" s="75" t="str" cm="1">
        <f t="array" ref="AC239">MID(";"&amp;'CASE DATA'!$F239&amp;";",SMALL(IF(ISERROR(SEARCH(MID(";"&amp;'CASE DATA'!$F239&amp;";",ROW($1:$99),1),";")),"",ROW($1:$99)+1),COLUMN(F239)),SMALL(IF(ISERROR(SEARCH(MID(";"&amp;'CASE DATA'!$F239&amp;";",ROW($1:$99),1),";")),"",ROW($1:$99)),COLUMN(F238)+1)-SMALL(IF(ISERROR(SEARCH(MID(";"&amp;'CASE DATA'!$F239&amp;";",ROW($1:$99),1),";")),"",ROW($1:$99)),COLUMN(F238))-1)</f>
        <v/>
      </c>
      <c r="AD239" s="75" t="str" cm="1">
        <f t="array" ref="AD239">MID(";"&amp;'CASE DATA'!$F239&amp;";",SMALL(IF(ISERROR(SEARCH(MID(";"&amp;'CASE DATA'!$F239&amp;";",ROW($1:$99),1),";")),"",ROW($1:$99)+1),COLUMN(G239)),SMALL(IF(ISERROR(SEARCH(MID(";"&amp;'CASE DATA'!$F239&amp;";",ROW($1:$99),1),";")),"",ROW($1:$99)),COLUMN(G238)+1)-SMALL(IF(ISERROR(SEARCH(MID(";"&amp;'CASE DATA'!$F239&amp;";",ROW($1:$99),1),";")),"",ROW($1:$99)),COLUMN(G238))-1)</f>
        <v/>
      </c>
      <c r="AE239" s="75" t="str" cm="1">
        <f t="array" ref="AE239">MID(";"&amp;'CASE DATA'!$F239&amp;";",SMALL(IF(ISERROR(SEARCH(MID(";"&amp;'CASE DATA'!$F239&amp;";",ROW($1:$99),1),";")),"",ROW($1:$99)+1),COLUMN(H239)),SMALL(IF(ISERROR(SEARCH(MID(";"&amp;'CASE DATA'!$F239&amp;";",ROW($1:$99),1),";")),"",ROW($1:$99)),COLUMN(H238)+1)-SMALL(IF(ISERROR(SEARCH(MID(";"&amp;'CASE DATA'!$F239&amp;";",ROW($1:$99),1),";")),"",ROW($1:$99)),COLUMN(H238))-1)</f>
        <v/>
      </c>
      <c r="AF239" s="75" t="str" cm="1">
        <f t="array" ref="AF239">MID(";"&amp;'CASE DATA'!$F239&amp;";",SMALL(IF(ISERROR(SEARCH(MID(";"&amp;'CASE DATA'!$F239&amp;";",ROW($1:$99),1),";")),"",ROW($1:$99)+1),COLUMN(I239)),SMALL(IF(ISERROR(SEARCH(MID(";"&amp;'CASE DATA'!$F239&amp;";",ROW($1:$99),1),";")),"",ROW($1:$99)),COLUMN(I238)+1)-SMALL(IF(ISERROR(SEARCH(MID(";"&amp;'CASE DATA'!$F239&amp;";",ROW($1:$99),1),";")),"",ROW($1:$99)),COLUMN(I238))-1)</f>
        <v/>
      </c>
      <c r="AG239" s="75" t="str" cm="1">
        <f t="array" ref="AG239">MID(";"&amp;'CASE DATA'!$F239&amp;";",SMALL(IF(ISERROR(SEARCH(MID(";"&amp;'CASE DATA'!$F239&amp;";",ROW($1:$99),1),";")),"",ROW($1:$99)+1),COLUMN(K239)),SMALL(IF(ISERROR(SEARCH(MID(";"&amp;'CASE DATA'!$F239&amp;";",ROW($1:$99),1),";")),"",ROW($1:$99)),COLUMN(K238)+1)-SMALL(IF(ISERROR(SEARCH(MID(";"&amp;'CASE DATA'!$F239&amp;";",ROW($1:$99),1),";")),"",ROW($1:$99)),COLUMN(K238))-1)</f>
        <v/>
      </c>
      <c r="AH239" s="75" t="str" cm="1">
        <f t="array" ref="AH239">MID(";"&amp;'CASE DATA'!$F239&amp;";",SMALL(IF(ISERROR(SEARCH(MID(";"&amp;'CASE DATA'!$F239&amp;";",ROW($1:$99),1),";")),"",ROW($1:$99)+1),COLUMN(L239)),SMALL(IF(ISERROR(SEARCH(MID(";"&amp;'CASE DATA'!$F239&amp;";",ROW($1:$99),1),";")),"",ROW($1:$99)),COLUMN(L238)+1)-SMALL(IF(ISERROR(SEARCH(MID(";"&amp;'CASE DATA'!$F239&amp;";",ROW($1:$99),1),";")),"",ROW($1:$99)),COLUMN(L238))-1)</f>
        <v/>
      </c>
      <c r="AI239" s="75" t="str" cm="1">
        <f t="array" ref="AI239">MID(";"&amp;'CASE DATA'!$F239&amp;";",SMALL(IF(ISERROR(SEARCH(MID(";"&amp;'CASE DATA'!$F239&amp;";",ROW($1:$99),1),";")),"",ROW($1:$99)+1),COLUMN(M239)),SMALL(IF(ISERROR(SEARCH(MID(";"&amp;'CASE DATA'!$F239&amp;";",ROW($1:$99),1),";")),"",ROW($1:$99)),COLUMN(M238)+1)-SMALL(IF(ISERROR(SEARCH(MID(";"&amp;'CASE DATA'!$F239&amp;";",ROW($1:$99),1),";")),"",ROW($1:$99)),COLUMN(M238))-1)</f>
        <v/>
      </c>
      <c r="BO239" s="99"/>
      <c r="BP239" s="99"/>
      <c r="BQ239" s="99"/>
      <c r="BR239" s="99"/>
      <c r="BS239" s="99"/>
      <c r="BT239" s="99"/>
      <c r="BU239" s="99"/>
      <c r="BV239" s="99"/>
      <c r="BW239" s="99"/>
      <c r="BX239" s="99"/>
      <c r="BY239" s="99"/>
      <c r="BZ239" s="99"/>
      <c r="CA239" s="99"/>
      <c r="CB239" s="99"/>
      <c r="CC239" s="99"/>
      <c r="CD239" s="99"/>
      <c r="CE239" s="99"/>
      <c r="CF239" s="99"/>
      <c r="CG239" s="99"/>
      <c r="CH239" s="99"/>
      <c r="CI239" s="99"/>
      <c r="CJ239" s="99"/>
      <c r="CK239" s="99"/>
      <c r="CL239" s="99"/>
      <c r="CM239" s="99"/>
      <c r="CN239" s="99"/>
      <c r="CO239" s="99"/>
      <c r="CP239" s="99"/>
      <c r="CQ239" s="99"/>
      <c r="CR239" s="99"/>
      <c r="CS239" s="99"/>
      <c r="CT239" s="99"/>
      <c r="CU239" s="99"/>
      <c r="CV239" s="99"/>
      <c r="CW239" s="99"/>
      <c r="CX239" s="99"/>
      <c r="CY239" s="99"/>
      <c r="CZ239" s="99"/>
      <c r="DA239" s="99"/>
      <c r="DB239" s="99"/>
      <c r="DC239" s="99"/>
      <c r="DD239" s="99"/>
      <c r="DE239" s="99"/>
      <c r="DF239" s="99"/>
      <c r="DG239" s="99"/>
      <c r="DH239" s="99"/>
      <c r="DI239" s="99"/>
      <c r="DJ239" s="99"/>
      <c r="DK239" s="99"/>
      <c r="DL239" s="99"/>
      <c r="DM239" s="99"/>
      <c r="DN239" s="99"/>
      <c r="DO239" s="99"/>
      <c r="DP239" s="99"/>
      <c r="DQ239" s="99"/>
      <c r="DR239" s="99"/>
      <c r="DS239" s="99"/>
      <c r="DT239" s="99"/>
      <c r="DU239" s="99"/>
      <c r="DV239" s="99"/>
      <c r="DW239" s="99"/>
      <c r="DX239" s="99"/>
      <c r="DY239" s="99"/>
      <c r="DZ239" s="99"/>
      <c r="EA239" s="99"/>
      <c r="EB239" s="99"/>
      <c r="EC239" s="99"/>
      <c r="ED239" s="99"/>
      <c r="EE239" s="99"/>
      <c r="EF239" s="99"/>
      <c r="EG239" s="99"/>
      <c r="EH239" s="99"/>
      <c r="EI239" s="99"/>
      <c r="EJ239" s="99"/>
      <c r="EK239" s="99"/>
      <c r="EL239" s="99"/>
      <c r="EM239" s="99"/>
      <c r="EN239" s="99"/>
      <c r="EO239" s="99"/>
      <c r="EP239" s="99"/>
      <c r="EQ239" s="99"/>
      <c r="ER239" s="99"/>
      <c r="ES239" s="99"/>
      <c r="ET239" s="99"/>
      <c r="EU239" s="99"/>
      <c r="EV239" s="99"/>
      <c r="EW239" s="99"/>
      <c r="EX239" s="99"/>
      <c r="EY239" s="99"/>
      <c r="EZ239" s="99"/>
      <c r="FA239" s="99"/>
      <c r="FB239" s="99"/>
      <c r="FC239" s="99"/>
      <c r="FD239" s="99"/>
      <c r="FE239" s="99"/>
      <c r="FF239" s="99"/>
      <c r="FG239" s="99"/>
      <c r="FH239" s="99"/>
      <c r="FI239" s="99"/>
      <c r="FJ239" s="99"/>
      <c r="FK239" s="99"/>
    </row>
    <row r="240" spans="3:167" x14ac:dyDescent="0.25">
      <c r="C240" s="10"/>
      <c r="D240" s="10"/>
      <c r="J240" s="99">
        <v>237</v>
      </c>
      <c r="K240" s="16"/>
      <c r="L240" s="16"/>
      <c r="M240" s="16"/>
      <c r="N240" s="16"/>
      <c r="O240" s="16"/>
      <c r="P240" s="16"/>
      <c r="Q240" s="16"/>
      <c r="R240" s="16"/>
      <c r="S240" s="16"/>
      <c r="T240" s="16"/>
      <c r="U240" s="14">
        <f>SUM(K240:T240)</f>
        <v>0</v>
      </c>
      <c r="V240" s="14"/>
      <c r="X240" s="75" t="str" cm="1">
        <f t="array" ref="X240">MID(";"&amp;'CASE DATA'!$F240&amp;";",SMALL(IF(ISERROR(SEARCH(MID(";"&amp;'CASE DATA'!$F240&amp;";",ROW($1:$99),1),";")),"",ROW($1:$99)+1),COLUMN(A240)),SMALL(IF(ISERROR(SEARCH(MID(";"&amp;'CASE DATA'!$F240&amp;";",ROW($1:$99),1),";")),"",ROW($1:$99)),COLUMN(A239)+1)-SMALL(IF(ISERROR(SEARCH(MID(";"&amp;'CASE DATA'!$F240&amp;";",ROW($1:$99),1),";")),"",ROW($1:$99)),COLUMN(A239))-1)</f>
        <v/>
      </c>
      <c r="Y240" s="75" t="str" cm="1">
        <f t="array" ref="Y240">MID(";"&amp;'CASE DATA'!$F240&amp;";",SMALL(IF(ISERROR(SEARCH(MID(";"&amp;'CASE DATA'!$F240&amp;";",ROW($1:$99),1),";")),"",ROW($1:$99)+1),COLUMN(B240)),SMALL(IF(ISERROR(SEARCH(MID(";"&amp;'CASE DATA'!$F240&amp;";",ROW($1:$99),1),";")),"",ROW($1:$99)),COLUMN(B239)+1)-SMALL(IF(ISERROR(SEARCH(MID(";"&amp;'CASE DATA'!$F240&amp;";",ROW($1:$99),1),";")),"",ROW($1:$99)),COLUMN(B239))-1)</f>
        <v/>
      </c>
      <c r="Z240" s="75" t="str" cm="1">
        <f t="array" ref="Z240">MID(";"&amp;'CASE DATA'!$F240&amp;";",SMALL(IF(ISERROR(SEARCH(MID(";"&amp;'CASE DATA'!$F240&amp;";",ROW($1:$99),1),";")),"",ROW($1:$99)+1),COLUMN(C240)),SMALL(IF(ISERROR(SEARCH(MID(";"&amp;'CASE DATA'!$F240&amp;";",ROW($1:$99),1),";")),"",ROW($1:$99)),COLUMN(C239)+1)-SMALL(IF(ISERROR(SEARCH(MID(";"&amp;'CASE DATA'!$F240&amp;";",ROW($1:$99),1),";")),"",ROW($1:$99)),COLUMN(C239))-1)</f>
        <v/>
      </c>
      <c r="AA240" s="75" t="str" cm="1">
        <f t="array" ref="AA240">MID(";"&amp;'CASE DATA'!$F240&amp;";",SMALL(IF(ISERROR(SEARCH(MID(";"&amp;'CASE DATA'!$F240&amp;";",ROW($1:$99),1),";")),"",ROW($1:$99)+1),COLUMN(D240)),SMALL(IF(ISERROR(SEARCH(MID(";"&amp;'CASE DATA'!$F240&amp;";",ROW($1:$99),1),";")),"",ROW($1:$99)),COLUMN(D239)+1)-SMALL(IF(ISERROR(SEARCH(MID(";"&amp;'CASE DATA'!$F240&amp;";",ROW($1:$99),1),";")),"",ROW($1:$99)),COLUMN(D239))-1)</f>
        <v/>
      </c>
      <c r="AB240" s="75" t="str" cm="1">
        <f t="array" ref="AB240">MID(";"&amp;'CASE DATA'!$F240&amp;";",SMALL(IF(ISERROR(SEARCH(MID(";"&amp;'CASE DATA'!$F240&amp;";",ROW($1:$99),1),";")),"",ROW($1:$99)+1),COLUMN(E240)),SMALL(IF(ISERROR(SEARCH(MID(";"&amp;'CASE DATA'!$F240&amp;";",ROW($1:$99),1),";")),"",ROW($1:$99)),COLUMN(E239)+1)-SMALL(IF(ISERROR(SEARCH(MID(";"&amp;'CASE DATA'!$F240&amp;";",ROW($1:$99),1),";")),"",ROW($1:$99)),COLUMN(E239))-1)</f>
        <v/>
      </c>
      <c r="AC240" s="75" t="str" cm="1">
        <f t="array" ref="AC240">MID(";"&amp;'CASE DATA'!$F240&amp;";",SMALL(IF(ISERROR(SEARCH(MID(";"&amp;'CASE DATA'!$F240&amp;";",ROW($1:$99),1),";")),"",ROW($1:$99)+1),COLUMN(F240)),SMALL(IF(ISERROR(SEARCH(MID(";"&amp;'CASE DATA'!$F240&amp;";",ROW($1:$99),1),";")),"",ROW($1:$99)),COLUMN(F239)+1)-SMALL(IF(ISERROR(SEARCH(MID(";"&amp;'CASE DATA'!$F240&amp;";",ROW($1:$99),1),";")),"",ROW($1:$99)),COLUMN(F239))-1)</f>
        <v/>
      </c>
      <c r="AD240" s="75" t="str" cm="1">
        <f t="array" ref="AD240">MID(";"&amp;'CASE DATA'!$F240&amp;";",SMALL(IF(ISERROR(SEARCH(MID(";"&amp;'CASE DATA'!$F240&amp;";",ROW($1:$99),1),";")),"",ROW($1:$99)+1),COLUMN(G240)),SMALL(IF(ISERROR(SEARCH(MID(";"&amp;'CASE DATA'!$F240&amp;";",ROW($1:$99),1),";")),"",ROW($1:$99)),COLUMN(G239)+1)-SMALL(IF(ISERROR(SEARCH(MID(";"&amp;'CASE DATA'!$F240&amp;";",ROW($1:$99),1),";")),"",ROW($1:$99)),COLUMN(G239))-1)</f>
        <v/>
      </c>
      <c r="AE240" s="75" t="str" cm="1">
        <f t="array" ref="AE240">MID(";"&amp;'CASE DATA'!$F240&amp;";",SMALL(IF(ISERROR(SEARCH(MID(";"&amp;'CASE DATA'!$F240&amp;";",ROW($1:$99),1),";")),"",ROW($1:$99)+1),COLUMN(H240)),SMALL(IF(ISERROR(SEARCH(MID(";"&amp;'CASE DATA'!$F240&amp;";",ROW($1:$99),1),";")),"",ROW($1:$99)),COLUMN(H239)+1)-SMALL(IF(ISERROR(SEARCH(MID(";"&amp;'CASE DATA'!$F240&amp;";",ROW($1:$99),1),";")),"",ROW($1:$99)),COLUMN(H239))-1)</f>
        <v/>
      </c>
      <c r="AF240" s="75" t="str" cm="1">
        <f t="array" ref="AF240">MID(";"&amp;'CASE DATA'!$F240&amp;";",SMALL(IF(ISERROR(SEARCH(MID(";"&amp;'CASE DATA'!$F240&amp;";",ROW($1:$99),1),";")),"",ROW($1:$99)+1),COLUMN(I240)),SMALL(IF(ISERROR(SEARCH(MID(";"&amp;'CASE DATA'!$F240&amp;";",ROW($1:$99),1),";")),"",ROW($1:$99)),COLUMN(I239)+1)-SMALL(IF(ISERROR(SEARCH(MID(";"&amp;'CASE DATA'!$F240&amp;";",ROW($1:$99),1),";")),"",ROW($1:$99)),COLUMN(I239))-1)</f>
        <v/>
      </c>
      <c r="AG240" s="75" t="str" cm="1">
        <f t="array" ref="AG240">MID(";"&amp;'CASE DATA'!$F240&amp;";",SMALL(IF(ISERROR(SEARCH(MID(";"&amp;'CASE DATA'!$F240&amp;";",ROW($1:$99),1),";")),"",ROW($1:$99)+1),COLUMN(K240)),SMALL(IF(ISERROR(SEARCH(MID(";"&amp;'CASE DATA'!$F240&amp;";",ROW($1:$99),1),";")),"",ROW($1:$99)),COLUMN(K239)+1)-SMALL(IF(ISERROR(SEARCH(MID(";"&amp;'CASE DATA'!$F240&amp;";",ROW($1:$99),1),";")),"",ROW($1:$99)),COLUMN(K239))-1)</f>
        <v/>
      </c>
      <c r="AH240" s="75" t="str" cm="1">
        <f t="array" ref="AH240">MID(";"&amp;'CASE DATA'!$F240&amp;";",SMALL(IF(ISERROR(SEARCH(MID(";"&amp;'CASE DATA'!$F240&amp;";",ROW($1:$99),1),";")),"",ROW($1:$99)+1),COLUMN(L240)),SMALL(IF(ISERROR(SEARCH(MID(";"&amp;'CASE DATA'!$F240&amp;";",ROW($1:$99),1),";")),"",ROW($1:$99)),COLUMN(L239)+1)-SMALL(IF(ISERROR(SEARCH(MID(";"&amp;'CASE DATA'!$F240&amp;";",ROW($1:$99),1),";")),"",ROW($1:$99)),COLUMN(L239))-1)</f>
        <v/>
      </c>
      <c r="AI240" s="75" t="str" cm="1">
        <f t="array" ref="AI240">MID(";"&amp;'CASE DATA'!$F240&amp;";",SMALL(IF(ISERROR(SEARCH(MID(";"&amp;'CASE DATA'!$F240&amp;";",ROW($1:$99),1),";")),"",ROW($1:$99)+1),COLUMN(M240)),SMALL(IF(ISERROR(SEARCH(MID(";"&amp;'CASE DATA'!$F240&amp;";",ROW($1:$99),1),";")),"",ROW($1:$99)),COLUMN(M239)+1)-SMALL(IF(ISERROR(SEARCH(MID(";"&amp;'CASE DATA'!$F240&amp;";",ROW($1:$99),1),";")),"",ROW($1:$99)),COLUMN(M239))-1)</f>
        <v/>
      </c>
      <c r="BO240" s="99"/>
      <c r="BP240" s="99"/>
      <c r="BQ240" s="99"/>
      <c r="BR240" s="99"/>
      <c r="BS240" s="99"/>
      <c r="BT240" s="99"/>
      <c r="BU240" s="99"/>
      <c r="BV240" s="99"/>
      <c r="BW240" s="99"/>
      <c r="BX240" s="99"/>
      <c r="BY240" s="99"/>
      <c r="BZ240" s="99"/>
      <c r="CA240" s="99"/>
      <c r="CB240" s="99"/>
      <c r="CC240" s="99"/>
      <c r="CD240" s="99"/>
      <c r="CE240" s="99"/>
      <c r="CF240" s="99"/>
      <c r="CG240" s="99"/>
      <c r="CH240" s="99"/>
      <c r="CI240" s="99"/>
      <c r="CJ240" s="99"/>
      <c r="CK240" s="99"/>
      <c r="CL240" s="99"/>
      <c r="CM240" s="99"/>
      <c r="CN240" s="99"/>
      <c r="CO240" s="99"/>
      <c r="CP240" s="99"/>
      <c r="CQ240" s="99"/>
      <c r="CR240" s="99"/>
      <c r="CS240" s="99"/>
      <c r="CT240" s="99"/>
      <c r="CU240" s="99"/>
      <c r="CV240" s="99"/>
      <c r="CW240" s="99"/>
      <c r="CX240" s="99"/>
      <c r="CY240" s="99"/>
      <c r="CZ240" s="99"/>
      <c r="DA240" s="99"/>
      <c r="DB240" s="99"/>
      <c r="DC240" s="99"/>
      <c r="DD240" s="99"/>
      <c r="DE240" s="99"/>
      <c r="DF240" s="99"/>
      <c r="DG240" s="99"/>
      <c r="DH240" s="99"/>
      <c r="DI240" s="99"/>
      <c r="DJ240" s="99"/>
      <c r="DK240" s="99"/>
      <c r="DL240" s="99"/>
      <c r="DM240" s="99"/>
      <c r="DN240" s="99"/>
      <c r="DO240" s="99"/>
      <c r="DP240" s="99"/>
      <c r="DQ240" s="99"/>
      <c r="DR240" s="99"/>
      <c r="DS240" s="99"/>
      <c r="DT240" s="99"/>
      <c r="DU240" s="99"/>
      <c r="DV240" s="99"/>
      <c r="DW240" s="99"/>
      <c r="DX240" s="99"/>
      <c r="DY240" s="99"/>
      <c r="DZ240" s="99"/>
      <c r="EA240" s="99"/>
      <c r="EB240" s="99"/>
      <c r="EC240" s="99"/>
      <c r="ED240" s="99"/>
      <c r="EE240" s="99"/>
      <c r="EF240" s="99"/>
      <c r="EG240" s="99"/>
      <c r="EH240" s="99"/>
      <c r="EI240" s="99"/>
      <c r="EJ240" s="99"/>
      <c r="EK240" s="99"/>
      <c r="EL240" s="99"/>
      <c r="EM240" s="99"/>
      <c r="EN240" s="99"/>
      <c r="EO240" s="99"/>
      <c r="EP240" s="99"/>
      <c r="EQ240" s="99"/>
      <c r="ER240" s="99"/>
      <c r="ES240" s="99"/>
      <c r="ET240" s="99"/>
      <c r="EU240" s="99"/>
      <c r="EV240" s="99"/>
      <c r="EW240" s="99"/>
      <c r="EX240" s="99"/>
      <c r="EY240" s="99"/>
      <c r="EZ240" s="99"/>
      <c r="FA240" s="99"/>
      <c r="FB240" s="99"/>
      <c r="FC240" s="99"/>
      <c r="FD240" s="99"/>
      <c r="FE240" s="99"/>
      <c r="FF240" s="99"/>
      <c r="FG240" s="99"/>
      <c r="FH240" s="99"/>
      <c r="FI240" s="99"/>
      <c r="FJ240" s="99"/>
      <c r="FK240" s="99"/>
    </row>
    <row r="241" spans="3:167" x14ac:dyDescent="0.25">
      <c r="C241" s="10"/>
      <c r="D241" s="10"/>
      <c r="J241" s="99">
        <v>238</v>
      </c>
      <c r="K241" s="16"/>
      <c r="L241" s="16"/>
      <c r="M241" s="16"/>
      <c r="N241" s="16"/>
      <c r="O241" s="16"/>
      <c r="P241" s="16"/>
      <c r="Q241" s="16"/>
      <c r="R241" s="16"/>
      <c r="S241" s="16"/>
      <c r="T241" s="16"/>
      <c r="U241" s="14">
        <f>SUM(K241:T241)</f>
        <v>0</v>
      </c>
      <c r="V241" s="14"/>
      <c r="X241" s="75" t="str" cm="1">
        <f t="array" ref="X241">MID(";"&amp;'CASE DATA'!$F241&amp;";",SMALL(IF(ISERROR(SEARCH(MID(";"&amp;'CASE DATA'!$F241&amp;";",ROW($1:$99),1),";")),"",ROW($1:$99)+1),COLUMN(A241)),SMALL(IF(ISERROR(SEARCH(MID(";"&amp;'CASE DATA'!$F241&amp;";",ROW($1:$99),1),";")),"",ROW($1:$99)),COLUMN(A240)+1)-SMALL(IF(ISERROR(SEARCH(MID(";"&amp;'CASE DATA'!$F241&amp;";",ROW($1:$99),1),";")),"",ROW($1:$99)),COLUMN(A240))-1)</f>
        <v/>
      </c>
      <c r="Y241" s="75" t="str" cm="1">
        <f t="array" ref="Y241">MID(";"&amp;'CASE DATA'!$F241&amp;";",SMALL(IF(ISERROR(SEARCH(MID(";"&amp;'CASE DATA'!$F241&amp;";",ROW($1:$99),1),";")),"",ROW($1:$99)+1),COLUMN(B241)),SMALL(IF(ISERROR(SEARCH(MID(";"&amp;'CASE DATA'!$F241&amp;";",ROW($1:$99),1),";")),"",ROW($1:$99)),COLUMN(B240)+1)-SMALL(IF(ISERROR(SEARCH(MID(";"&amp;'CASE DATA'!$F241&amp;";",ROW($1:$99),1),";")),"",ROW($1:$99)),COLUMN(B240))-1)</f>
        <v/>
      </c>
      <c r="Z241" s="75" t="str" cm="1">
        <f t="array" ref="Z241">MID(";"&amp;'CASE DATA'!$F241&amp;";",SMALL(IF(ISERROR(SEARCH(MID(";"&amp;'CASE DATA'!$F241&amp;";",ROW($1:$99),1),";")),"",ROW($1:$99)+1),COLUMN(C241)),SMALL(IF(ISERROR(SEARCH(MID(";"&amp;'CASE DATA'!$F241&amp;";",ROW($1:$99),1),";")),"",ROW($1:$99)),COLUMN(C240)+1)-SMALL(IF(ISERROR(SEARCH(MID(";"&amp;'CASE DATA'!$F241&amp;";",ROW($1:$99),1),";")),"",ROW($1:$99)),COLUMN(C240))-1)</f>
        <v/>
      </c>
      <c r="AA241" s="75" t="str" cm="1">
        <f t="array" ref="AA241">MID(";"&amp;'CASE DATA'!$F241&amp;";",SMALL(IF(ISERROR(SEARCH(MID(";"&amp;'CASE DATA'!$F241&amp;";",ROW($1:$99),1),";")),"",ROW($1:$99)+1),COLUMN(D241)),SMALL(IF(ISERROR(SEARCH(MID(";"&amp;'CASE DATA'!$F241&amp;";",ROW($1:$99),1),";")),"",ROW($1:$99)),COLUMN(D240)+1)-SMALL(IF(ISERROR(SEARCH(MID(";"&amp;'CASE DATA'!$F241&amp;";",ROW($1:$99),1),";")),"",ROW($1:$99)),COLUMN(D240))-1)</f>
        <v/>
      </c>
      <c r="AB241" s="75" t="str" cm="1">
        <f t="array" ref="AB241">MID(";"&amp;'CASE DATA'!$F241&amp;";",SMALL(IF(ISERROR(SEARCH(MID(";"&amp;'CASE DATA'!$F241&amp;";",ROW($1:$99),1),";")),"",ROW($1:$99)+1),COLUMN(E241)),SMALL(IF(ISERROR(SEARCH(MID(";"&amp;'CASE DATA'!$F241&amp;";",ROW($1:$99),1),";")),"",ROW($1:$99)),COLUMN(E240)+1)-SMALL(IF(ISERROR(SEARCH(MID(";"&amp;'CASE DATA'!$F241&amp;";",ROW($1:$99),1),";")),"",ROW($1:$99)),COLUMN(E240))-1)</f>
        <v/>
      </c>
      <c r="AC241" s="75" t="str" cm="1">
        <f t="array" ref="AC241">MID(";"&amp;'CASE DATA'!$F241&amp;";",SMALL(IF(ISERROR(SEARCH(MID(";"&amp;'CASE DATA'!$F241&amp;";",ROW($1:$99),1),";")),"",ROW($1:$99)+1),COLUMN(F241)),SMALL(IF(ISERROR(SEARCH(MID(";"&amp;'CASE DATA'!$F241&amp;";",ROW($1:$99),1),";")),"",ROW($1:$99)),COLUMN(F240)+1)-SMALL(IF(ISERROR(SEARCH(MID(";"&amp;'CASE DATA'!$F241&amp;";",ROW($1:$99),1),";")),"",ROW($1:$99)),COLUMN(F240))-1)</f>
        <v/>
      </c>
      <c r="AD241" s="75" t="str" cm="1">
        <f t="array" ref="AD241">MID(";"&amp;'CASE DATA'!$F241&amp;";",SMALL(IF(ISERROR(SEARCH(MID(";"&amp;'CASE DATA'!$F241&amp;";",ROW($1:$99),1),";")),"",ROW($1:$99)+1),COLUMN(G241)),SMALL(IF(ISERROR(SEARCH(MID(";"&amp;'CASE DATA'!$F241&amp;";",ROW($1:$99),1),";")),"",ROW($1:$99)),COLUMN(G240)+1)-SMALL(IF(ISERROR(SEARCH(MID(";"&amp;'CASE DATA'!$F241&amp;";",ROW($1:$99),1),";")),"",ROW($1:$99)),COLUMN(G240))-1)</f>
        <v/>
      </c>
      <c r="AE241" s="75" t="str" cm="1">
        <f t="array" ref="AE241">MID(";"&amp;'CASE DATA'!$F241&amp;";",SMALL(IF(ISERROR(SEARCH(MID(";"&amp;'CASE DATA'!$F241&amp;";",ROW($1:$99),1),";")),"",ROW($1:$99)+1),COLUMN(H241)),SMALL(IF(ISERROR(SEARCH(MID(";"&amp;'CASE DATA'!$F241&amp;";",ROW($1:$99),1),";")),"",ROW($1:$99)),COLUMN(H240)+1)-SMALL(IF(ISERROR(SEARCH(MID(";"&amp;'CASE DATA'!$F241&amp;";",ROW($1:$99),1),";")),"",ROW($1:$99)),COLUMN(H240))-1)</f>
        <v/>
      </c>
      <c r="AF241" s="75" t="str" cm="1">
        <f t="array" ref="AF241">MID(";"&amp;'CASE DATA'!$F241&amp;";",SMALL(IF(ISERROR(SEARCH(MID(";"&amp;'CASE DATA'!$F241&amp;";",ROW($1:$99),1),";")),"",ROW($1:$99)+1),COLUMN(I241)),SMALL(IF(ISERROR(SEARCH(MID(";"&amp;'CASE DATA'!$F241&amp;";",ROW($1:$99),1),";")),"",ROW($1:$99)),COLUMN(I240)+1)-SMALL(IF(ISERROR(SEARCH(MID(";"&amp;'CASE DATA'!$F241&amp;";",ROW($1:$99),1),";")),"",ROW($1:$99)),COLUMN(I240))-1)</f>
        <v/>
      </c>
      <c r="AG241" s="75" t="str" cm="1">
        <f t="array" ref="AG241">MID(";"&amp;'CASE DATA'!$F241&amp;";",SMALL(IF(ISERROR(SEARCH(MID(";"&amp;'CASE DATA'!$F241&amp;";",ROW($1:$99),1),";")),"",ROW($1:$99)+1),COLUMN(K241)),SMALL(IF(ISERROR(SEARCH(MID(";"&amp;'CASE DATA'!$F241&amp;";",ROW($1:$99),1),";")),"",ROW($1:$99)),COLUMN(K240)+1)-SMALL(IF(ISERROR(SEARCH(MID(";"&amp;'CASE DATA'!$F241&amp;";",ROW($1:$99),1),";")),"",ROW($1:$99)),COLUMN(K240))-1)</f>
        <v/>
      </c>
      <c r="AH241" s="75" t="str" cm="1">
        <f t="array" ref="AH241">MID(";"&amp;'CASE DATA'!$F241&amp;";",SMALL(IF(ISERROR(SEARCH(MID(";"&amp;'CASE DATA'!$F241&amp;";",ROW($1:$99),1),";")),"",ROW($1:$99)+1),COLUMN(L241)),SMALL(IF(ISERROR(SEARCH(MID(";"&amp;'CASE DATA'!$F241&amp;";",ROW($1:$99),1),";")),"",ROW($1:$99)),COLUMN(L240)+1)-SMALL(IF(ISERROR(SEARCH(MID(";"&amp;'CASE DATA'!$F241&amp;";",ROW($1:$99),1),";")),"",ROW($1:$99)),COLUMN(L240))-1)</f>
        <v/>
      </c>
      <c r="AI241" s="75" t="str" cm="1">
        <f t="array" ref="AI241">MID(";"&amp;'CASE DATA'!$F241&amp;";",SMALL(IF(ISERROR(SEARCH(MID(";"&amp;'CASE DATA'!$F241&amp;";",ROW($1:$99),1),";")),"",ROW($1:$99)+1),COLUMN(M241)),SMALL(IF(ISERROR(SEARCH(MID(";"&amp;'CASE DATA'!$F241&amp;";",ROW($1:$99),1),";")),"",ROW($1:$99)),COLUMN(M240)+1)-SMALL(IF(ISERROR(SEARCH(MID(";"&amp;'CASE DATA'!$F241&amp;";",ROW($1:$99),1),";")),"",ROW($1:$99)),COLUMN(M240))-1)</f>
        <v/>
      </c>
      <c r="BO241" s="99"/>
      <c r="BP241" s="99"/>
      <c r="BQ241" s="99"/>
      <c r="BR241" s="99"/>
      <c r="BS241" s="99"/>
      <c r="BT241" s="99"/>
      <c r="BU241" s="99"/>
      <c r="BV241" s="99"/>
      <c r="BW241" s="99"/>
      <c r="BX241" s="99"/>
      <c r="BY241" s="99"/>
      <c r="BZ241" s="99"/>
      <c r="CA241" s="99"/>
      <c r="CB241" s="99"/>
      <c r="CC241" s="99"/>
      <c r="CD241" s="99"/>
      <c r="CE241" s="99"/>
      <c r="CF241" s="99"/>
      <c r="CG241" s="99"/>
      <c r="CH241" s="99"/>
      <c r="CI241" s="99"/>
      <c r="CJ241" s="99"/>
      <c r="CK241" s="99"/>
      <c r="CL241" s="99"/>
      <c r="CM241" s="99"/>
      <c r="CN241" s="99"/>
      <c r="CO241" s="99"/>
      <c r="CP241" s="99"/>
      <c r="CQ241" s="99"/>
      <c r="CR241" s="99"/>
      <c r="CS241" s="99"/>
      <c r="CT241" s="99"/>
      <c r="CU241" s="99"/>
      <c r="CV241" s="99"/>
      <c r="CW241" s="99"/>
      <c r="CX241" s="99"/>
      <c r="CY241" s="99"/>
      <c r="CZ241" s="99"/>
      <c r="DA241" s="99"/>
      <c r="DB241" s="99"/>
      <c r="DC241" s="99"/>
      <c r="DD241" s="99"/>
      <c r="DE241" s="99"/>
      <c r="DF241" s="99"/>
      <c r="DG241" s="99"/>
      <c r="DH241" s="99"/>
      <c r="DI241" s="99"/>
      <c r="DJ241" s="99"/>
      <c r="DK241" s="99"/>
      <c r="DL241" s="99"/>
      <c r="DM241" s="99"/>
      <c r="DN241" s="99"/>
      <c r="DO241" s="99"/>
      <c r="DP241" s="99"/>
      <c r="DQ241" s="99"/>
      <c r="DR241" s="99"/>
      <c r="DS241" s="99"/>
      <c r="DT241" s="99"/>
      <c r="DU241" s="99"/>
      <c r="DV241" s="99"/>
      <c r="DW241" s="99"/>
      <c r="DX241" s="99"/>
      <c r="DY241" s="99"/>
      <c r="DZ241" s="99"/>
      <c r="EA241" s="99"/>
      <c r="EB241" s="99"/>
      <c r="EC241" s="99"/>
      <c r="ED241" s="99"/>
      <c r="EE241" s="99"/>
      <c r="EF241" s="99"/>
      <c r="EG241" s="99"/>
      <c r="EH241" s="99"/>
      <c r="EI241" s="99"/>
      <c r="EJ241" s="99"/>
      <c r="EK241" s="99"/>
      <c r="EL241" s="99"/>
      <c r="EM241" s="99"/>
      <c r="EN241" s="99"/>
      <c r="EO241" s="99"/>
      <c r="EP241" s="99"/>
      <c r="EQ241" s="99"/>
      <c r="ER241" s="99"/>
      <c r="ES241" s="99"/>
      <c r="ET241" s="99"/>
      <c r="EU241" s="99"/>
      <c r="EV241" s="99"/>
      <c r="EW241" s="99"/>
      <c r="EX241" s="99"/>
      <c r="EY241" s="99"/>
      <c r="EZ241" s="99"/>
      <c r="FA241" s="99"/>
      <c r="FB241" s="99"/>
      <c r="FC241" s="99"/>
      <c r="FD241" s="99"/>
      <c r="FE241" s="99"/>
      <c r="FF241" s="99"/>
      <c r="FG241" s="99"/>
      <c r="FH241" s="99"/>
      <c r="FI241" s="99"/>
      <c r="FJ241" s="99"/>
      <c r="FK241" s="99"/>
    </row>
    <row r="242" spans="3:167" x14ac:dyDescent="0.25">
      <c r="C242" s="10"/>
      <c r="D242" s="10"/>
      <c r="J242" s="99">
        <v>239</v>
      </c>
      <c r="K242" s="16"/>
      <c r="L242" s="16"/>
      <c r="M242" s="16"/>
      <c r="N242" s="16"/>
      <c r="O242" s="16"/>
      <c r="P242" s="16"/>
      <c r="Q242" s="16"/>
      <c r="R242" s="16"/>
      <c r="S242" s="16"/>
      <c r="T242" s="16"/>
      <c r="U242" s="14">
        <f>SUM(K242:T242)</f>
        <v>0</v>
      </c>
      <c r="V242" s="14"/>
      <c r="X242" s="75" t="str" cm="1">
        <f t="array" ref="X242">MID(";"&amp;'CASE DATA'!$F242&amp;";",SMALL(IF(ISERROR(SEARCH(MID(";"&amp;'CASE DATA'!$F242&amp;";",ROW($1:$99),1),";")),"",ROW($1:$99)+1),COLUMN(A242)),SMALL(IF(ISERROR(SEARCH(MID(";"&amp;'CASE DATA'!$F242&amp;";",ROW($1:$99),1),";")),"",ROW($1:$99)),COLUMN(A241)+1)-SMALL(IF(ISERROR(SEARCH(MID(";"&amp;'CASE DATA'!$F242&amp;";",ROW($1:$99),1),";")),"",ROW($1:$99)),COLUMN(A241))-1)</f>
        <v/>
      </c>
      <c r="Y242" s="75" t="str" cm="1">
        <f t="array" ref="Y242">MID(";"&amp;'CASE DATA'!$F242&amp;";",SMALL(IF(ISERROR(SEARCH(MID(";"&amp;'CASE DATA'!$F242&amp;";",ROW($1:$99),1),";")),"",ROW($1:$99)+1),COLUMN(B242)),SMALL(IF(ISERROR(SEARCH(MID(";"&amp;'CASE DATA'!$F242&amp;";",ROW($1:$99),1),";")),"",ROW($1:$99)),COLUMN(B241)+1)-SMALL(IF(ISERROR(SEARCH(MID(";"&amp;'CASE DATA'!$F242&amp;";",ROW($1:$99),1),";")),"",ROW($1:$99)),COLUMN(B241))-1)</f>
        <v/>
      </c>
      <c r="Z242" s="75" t="str" cm="1">
        <f t="array" ref="Z242">MID(";"&amp;'CASE DATA'!$F242&amp;";",SMALL(IF(ISERROR(SEARCH(MID(";"&amp;'CASE DATA'!$F242&amp;";",ROW($1:$99),1),";")),"",ROW($1:$99)+1),COLUMN(C242)),SMALL(IF(ISERROR(SEARCH(MID(";"&amp;'CASE DATA'!$F242&amp;";",ROW($1:$99),1),";")),"",ROW($1:$99)),COLUMN(C241)+1)-SMALL(IF(ISERROR(SEARCH(MID(";"&amp;'CASE DATA'!$F242&amp;";",ROW($1:$99),1),";")),"",ROW($1:$99)),COLUMN(C241))-1)</f>
        <v/>
      </c>
      <c r="AA242" s="75" t="str" cm="1">
        <f t="array" ref="AA242">MID(";"&amp;'CASE DATA'!$F242&amp;";",SMALL(IF(ISERROR(SEARCH(MID(";"&amp;'CASE DATA'!$F242&amp;";",ROW($1:$99),1),";")),"",ROW($1:$99)+1),COLUMN(D242)),SMALL(IF(ISERROR(SEARCH(MID(";"&amp;'CASE DATA'!$F242&amp;";",ROW($1:$99),1),";")),"",ROW($1:$99)),COLUMN(D241)+1)-SMALL(IF(ISERROR(SEARCH(MID(";"&amp;'CASE DATA'!$F242&amp;";",ROW($1:$99),1),";")),"",ROW($1:$99)),COLUMN(D241))-1)</f>
        <v/>
      </c>
      <c r="AB242" s="75" t="str" cm="1">
        <f t="array" ref="AB242">MID(";"&amp;'CASE DATA'!$F242&amp;";",SMALL(IF(ISERROR(SEARCH(MID(";"&amp;'CASE DATA'!$F242&amp;";",ROW($1:$99),1),";")),"",ROW($1:$99)+1),COLUMN(E242)),SMALL(IF(ISERROR(SEARCH(MID(";"&amp;'CASE DATA'!$F242&amp;";",ROW($1:$99),1),";")),"",ROW($1:$99)),COLUMN(E241)+1)-SMALL(IF(ISERROR(SEARCH(MID(";"&amp;'CASE DATA'!$F242&amp;";",ROW($1:$99),1),";")),"",ROW($1:$99)),COLUMN(E241))-1)</f>
        <v/>
      </c>
      <c r="AC242" s="75" t="str" cm="1">
        <f t="array" ref="AC242">MID(";"&amp;'CASE DATA'!$F242&amp;";",SMALL(IF(ISERROR(SEARCH(MID(";"&amp;'CASE DATA'!$F242&amp;";",ROW($1:$99),1),";")),"",ROW($1:$99)+1),COLUMN(F242)),SMALL(IF(ISERROR(SEARCH(MID(";"&amp;'CASE DATA'!$F242&amp;";",ROW($1:$99),1),";")),"",ROW($1:$99)),COLUMN(F241)+1)-SMALL(IF(ISERROR(SEARCH(MID(";"&amp;'CASE DATA'!$F242&amp;";",ROW($1:$99),1),";")),"",ROW($1:$99)),COLUMN(F241))-1)</f>
        <v/>
      </c>
      <c r="AD242" s="75" t="str" cm="1">
        <f t="array" ref="AD242">MID(";"&amp;'CASE DATA'!$F242&amp;";",SMALL(IF(ISERROR(SEARCH(MID(";"&amp;'CASE DATA'!$F242&amp;";",ROW($1:$99),1),";")),"",ROW($1:$99)+1),COLUMN(G242)),SMALL(IF(ISERROR(SEARCH(MID(";"&amp;'CASE DATA'!$F242&amp;";",ROW($1:$99),1),";")),"",ROW($1:$99)),COLUMN(G241)+1)-SMALL(IF(ISERROR(SEARCH(MID(";"&amp;'CASE DATA'!$F242&amp;";",ROW($1:$99),1),";")),"",ROW($1:$99)),COLUMN(G241))-1)</f>
        <v/>
      </c>
      <c r="AE242" s="75" t="str" cm="1">
        <f t="array" ref="AE242">MID(";"&amp;'CASE DATA'!$F242&amp;";",SMALL(IF(ISERROR(SEARCH(MID(";"&amp;'CASE DATA'!$F242&amp;";",ROW($1:$99),1),";")),"",ROW($1:$99)+1),COLUMN(H242)),SMALL(IF(ISERROR(SEARCH(MID(";"&amp;'CASE DATA'!$F242&amp;";",ROW($1:$99),1),";")),"",ROW($1:$99)),COLUMN(H241)+1)-SMALL(IF(ISERROR(SEARCH(MID(";"&amp;'CASE DATA'!$F242&amp;";",ROW($1:$99),1),";")),"",ROW($1:$99)),COLUMN(H241))-1)</f>
        <v/>
      </c>
      <c r="AF242" s="75" t="str" cm="1">
        <f t="array" ref="AF242">MID(";"&amp;'CASE DATA'!$F242&amp;";",SMALL(IF(ISERROR(SEARCH(MID(";"&amp;'CASE DATA'!$F242&amp;";",ROW($1:$99),1),";")),"",ROW($1:$99)+1),COLUMN(I242)),SMALL(IF(ISERROR(SEARCH(MID(";"&amp;'CASE DATA'!$F242&amp;";",ROW($1:$99),1),";")),"",ROW($1:$99)),COLUMN(I241)+1)-SMALL(IF(ISERROR(SEARCH(MID(";"&amp;'CASE DATA'!$F242&amp;";",ROW($1:$99),1),";")),"",ROW($1:$99)),COLUMN(I241))-1)</f>
        <v/>
      </c>
      <c r="AG242" s="75" t="str" cm="1">
        <f t="array" ref="AG242">MID(";"&amp;'CASE DATA'!$F242&amp;";",SMALL(IF(ISERROR(SEARCH(MID(";"&amp;'CASE DATA'!$F242&amp;";",ROW($1:$99),1),";")),"",ROW($1:$99)+1),COLUMN(K242)),SMALL(IF(ISERROR(SEARCH(MID(";"&amp;'CASE DATA'!$F242&amp;";",ROW($1:$99),1),";")),"",ROW($1:$99)),COLUMN(K241)+1)-SMALL(IF(ISERROR(SEARCH(MID(";"&amp;'CASE DATA'!$F242&amp;";",ROW($1:$99),1),";")),"",ROW($1:$99)),COLUMN(K241))-1)</f>
        <v/>
      </c>
      <c r="AH242" s="75" t="str" cm="1">
        <f t="array" ref="AH242">MID(";"&amp;'CASE DATA'!$F242&amp;";",SMALL(IF(ISERROR(SEARCH(MID(";"&amp;'CASE DATA'!$F242&amp;";",ROW($1:$99),1),";")),"",ROW($1:$99)+1),COLUMN(L242)),SMALL(IF(ISERROR(SEARCH(MID(";"&amp;'CASE DATA'!$F242&amp;";",ROW($1:$99),1),";")),"",ROW($1:$99)),COLUMN(L241)+1)-SMALL(IF(ISERROR(SEARCH(MID(";"&amp;'CASE DATA'!$F242&amp;";",ROW($1:$99),1),";")),"",ROW($1:$99)),COLUMN(L241))-1)</f>
        <v/>
      </c>
      <c r="AI242" s="75" t="str" cm="1">
        <f t="array" ref="AI242">MID(";"&amp;'CASE DATA'!$F242&amp;";",SMALL(IF(ISERROR(SEARCH(MID(";"&amp;'CASE DATA'!$F242&amp;";",ROW($1:$99),1),";")),"",ROW($1:$99)+1),COLUMN(M242)),SMALL(IF(ISERROR(SEARCH(MID(";"&amp;'CASE DATA'!$F242&amp;";",ROW($1:$99),1),";")),"",ROW($1:$99)),COLUMN(M241)+1)-SMALL(IF(ISERROR(SEARCH(MID(";"&amp;'CASE DATA'!$F242&amp;";",ROW($1:$99),1),";")),"",ROW($1:$99)),COLUMN(M241))-1)</f>
        <v/>
      </c>
      <c r="BO242" s="99"/>
      <c r="BP242" s="99"/>
      <c r="BQ242" s="99"/>
      <c r="BR242" s="99"/>
      <c r="BS242" s="99"/>
      <c r="BT242" s="99"/>
      <c r="BU242" s="99"/>
      <c r="BV242" s="99"/>
      <c r="BW242" s="99"/>
      <c r="BX242" s="99"/>
      <c r="BY242" s="99"/>
      <c r="BZ242" s="99"/>
      <c r="CA242" s="99"/>
      <c r="CB242" s="99"/>
      <c r="CC242" s="99"/>
      <c r="CD242" s="99"/>
      <c r="CE242" s="99"/>
      <c r="CF242" s="99"/>
      <c r="CG242" s="99"/>
      <c r="CH242" s="99"/>
      <c r="CI242" s="99"/>
      <c r="CJ242" s="99"/>
      <c r="CK242" s="99"/>
      <c r="CL242" s="99"/>
      <c r="CM242" s="99"/>
      <c r="CN242" s="99"/>
      <c r="CO242" s="99"/>
      <c r="CP242" s="99"/>
      <c r="CQ242" s="99"/>
      <c r="CR242" s="99"/>
      <c r="CS242" s="99"/>
      <c r="CT242" s="99"/>
      <c r="CU242" s="99"/>
      <c r="CV242" s="99"/>
      <c r="CW242" s="99"/>
      <c r="CX242" s="99"/>
      <c r="CY242" s="99"/>
      <c r="CZ242" s="99"/>
      <c r="DA242" s="99"/>
      <c r="DB242" s="99"/>
      <c r="DC242" s="99"/>
      <c r="DD242" s="99"/>
      <c r="DE242" s="99"/>
      <c r="DF242" s="99"/>
      <c r="DG242" s="99"/>
      <c r="DH242" s="99"/>
      <c r="DI242" s="99"/>
      <c r="DJ242" s="99"/>
      <c r="DK242" s="99"/>
      <c r="DL242" s="99"/>
      <c r="DM242" s="99"/>
      <c r="DN242" s="99"/>
      <c r="DO242" s="99"/>
      <c r="DP242" s="99"/>
      <c r="DQ242" s="99"/>
      <c r="DR242" s="99"/>
      <c r="DS242" s="99"/>
      <c r="DT242" s="99"/>
      <c r="DU242" s="99"/>
      <c r="DV242" s="99"/>
      <c r="DW242" s="99"/>
      <c r="DX242" s="99"/>
      <c r="DY242" s="99"/>
      <c r="DZ242" s="99"/>
      <c r="EA242" s="99"/>
      <c r="EB242" s="99"/>
      <c r="EC242" s="99"/>
      <c r="ED242" s="99"/>
      <c r="EE242" s="99"/>
      <c r="EF242" s="99"/>
      <c r="EG242" s="99"/>
      <c r="EH242" s="99"/>
      <c r="EI242" s="99"/>
      <c r="EJ242" s="99"/>
      <c r="EK242" s="99"/>
      <c r="EL242" s="99"/>
      <c r="EM242" s="99"/>
      <c r="EN242" s="99"/>
      <c r="EO242" s="99"/>
      <c r="EP242" s="99"/>
      <c r="EQ242" s="99"/>
      <c r="ER242" s="99"/>
      <c r="ES242" s="99"/>
      <c r="ET242" s="99"/>
      <c r="EU242" s="99"/>
      <c r="EV242" s="99"/>
      <c r="EW242" s="99"/>
      <c r="EX242" s="99"/>
      <c r="EY242" s="99"/>
      <c r="EZ242" s="99"/>
      <c r="FA242" s="99"/>
      <c r="FB242" s="99"/>
      <c r="FC242" s="99"/>
      <c r="FD242" s="99"/>
      <c r="FE242" s="99"/>
      <c r="FF242" s="99"/>
      <c r="FG242" s="99"/>
      <c r="FH242" s="99"/>
      <c r="FI242" s="99"/>
      <c r="FJ242" s="99"/>
      <c r="FK242" s="99"/>
    </row>
    <row r="243" spans="3:167" x14ac:dyDescent="0.25">
      <c r="C243" s="10"/>
      <c r="D243" s="10"/>
      <c r="J243" s="99">
        <v>240</v>
      </c>
      <c r="K243" s="16"/>
      <c r="L243" s="16"/>
      <c r="M243" s="16"/>
      <c r="N243" s="16"/>
      <c r="O243" s="16"/>
      <c r="P243" s="16"/>
      <c r="Q243" s="16"/>
      <c r="R243" s="16"/>
      <c r="S243" s="16"/>
      <c r="T243" s="16"/>
      <c r="U243" s="14">
        <f>SUM(K243:T243)</f>
        <v>0</v>
      </c>
      <c r="V243" s="14"/>
      <c r="X243" s="75" t="str" cm="1">
        <f t="array" ref="X243">MID(";"&amp;'CASE DATA'!$F243&amp;";",SMALL(IF(ISERROR(SEARCH(MID(";"&amp;'CASE DATA'!$F243&amp;";",ROW($1:$99),1),";")),"",ROW($1:$99)+1),COLUMN(A243)),SMALL(IF(ISERROR(SEARCH(MID(";"&amp;'CASE DATA'!$F243&amp;";",ROW($1:$99),1),";")),"",ROW($1:$99)),COLUMN(A242)+1)-SMALL(IF(ISERROR(SEARCH(MID(";"&amp;'CASE DATA'!$F243&amp;";",ROW($1:$99),1),";")),"",ROW($1:$99)),COLUMN(A242))-1)</f>
        <v/>
      </c>
      <c r="Y243" s="75" t="str" cm="1">
        <f t="array" ref="Y243">MID(";"&amp;'CASE DATA'!$F243&amp;";",SMALL(IF(ISERROR(SEARCH(MID(";"&amp;'CASE DATA'!$F243&amp;";",ROW($1:$99),1),";")),"",ROW($1:$99)+1),COLUMN(B243)),SMALL(IF(ISERROR(SEARCH(MID(";"&amp;'CASE DATA'!$F243&amp;";",ROW($1:$99),1),";")),"",ROW($1:$99)),COLUMN(B242)+1)-SMALL(IF(ISERROR(SEARCH(MID(";"&amp;'CASE DATA'!$F243&amp;";",ROW($1:$99),1),";")),"",ROW($1:$99)),COLUMN(B242))-1)</f>
        <v/>
      </c>
      <c r="Z243" s="75" t="str" cm="1">
        <f t="array" ref="Z243">MID(";"&amp;'CASE DATA'!$F243&amp;";",SMALL(IF(ISERROR(SEARCH(MID(";"&amp;'CASE DATA'!$F243&amp;";",ROW($1:$99),1),";")),"",ROW($1:$99)+1),COLUMN(C243)),SMALL(IF(ISERROR(SEARCH(MID(";"&amp;'CASE DATA'!$F243&amp;";",ROW($1:$99),1),";")),"",ROW($1:$99)),COLUMN(C242)+1)-SMALL(IF(ISERROR(SEARCH(MID(";"&amp;'CASE DATA'!$F243&amp;";",ROW($1:$99),1),";")),"",ROW($1:$99)),COLUMN(C242))-1)</f>
        <v/>
      </c>
      <c r="AA243" s="75" t="str" cm="1">
        <f t="array" ref="AA243">MID(";"&amp;'CASE DATA'!$F243&amp;";",SMALL(IF(ISERROR(SEARCH(MID(";"&amp;'CASE DATA'!$F243&amp;";",ROW($1:$99),1),";")),"",ROW($1:$99)+1),COLUMN(D243)),SMALL(IF(ISERROR(SEARCH(MID(";"&amp;'CASE DATA'!$F243&amp;";",ROW($1:$99),1),";")),"",ROW($1:$99)),COLUMN(D242)+1)-SMALL(IF(ISERROR(SEARCH(MID(";"&amp;'CASE DATA'!$F243&amp;";",ROW($1:$99),1),";")),"",ROW($1:$99)),COLUMN(D242))-1)</f>
        <v/>
      </c>
      <c r="AB243" s="75" t="str" cm="1">
        <f t="array" ref="AB243">MID(";"&amp;'CASE DATA'!$F243&amp;";",SMALL(IF(ISERROR(SEARCH(MID(";"&amp;'CASE DATA'!$F243&amp;";",ROW($1:$99),1),";")),"",ROW($1:$99)+1),COLUMN(E243)),SMALL(IF(ISERROR(SEARCH(MID(";"&amp;'CASE DATA'!$F243&amp;";",ROW($1:$99),1),";")),"",ROW($1:$99)),COLUMN(E242)+1)-SMALL(IF(ISERROR(SEARCH(MID(";"&amp;'CASE DATA'!$F243&amp;";",ROW($1:$99),1),";")),"",ROW($1:$99)),COLUMN(E242))-1)</f>
        <v/>
      </c>
      <c r="AC243" s="75" t="str" cm="1">
        <f t="array" ref="AC243">MID(";"&amp;'CASE DATA'!$F243&amp;";",SMALL(IF(ISERROR(SEARCH(MID(";"&amp;'CASE DATA'!$F243&amp;";",ROW($1:$99),1),";")),"",ROW($1:$99)+1),COLUMN(F243)),SMALL(IF(ISERROR(SEARCH(MID(";"&amp;'CASE DATA'!$F243&amp;";",ROW($1:$99),1),";")),"",ROW($1:$99)),COLUMN(F242)+1)-SMALL(IF(ISERROR(SEARCH(MID(";"&amp;'CASE DATA'!$F243&amp;";",ROW($1:$99),1),";")),"",ROW($1:$99)),COLUMN(F242))-1)</f>
        <v/>
      </c>
      <c r="AD243" s="75" t="str" cm="1">
        <f t="array" ref="AD243">MID(";"&amp;'CASE DATA'!$F243&amp;";",SMALL(IF(ISERROR(SEARCH(MID(";"&amp;'CASE DATA'!$F243&amp;";",ROW($1:$99),1),";")),"",ROW($1:$99)+1),COLUMN(G243)),SMALL(IF(ISERROR(SEARCH(MID(";"&amp;'CASE DATA'!$F243&amp;";",ROW($1:$99),1),";")),"",ROW($1:$99)),COLUMN(G242)+1)-SMALL(IF(ISERROR(SEARCH(MID(";"&amp;'CASE DATA'!$F243&amp;";",ROW($1:$99),1),";")),"",ROW($1:$99)),COLUMN(G242))-1)</f>
        <v/>
      </c>
      <c r="AE243" s="75" t="str" cm="1">
        <f t="array" ref="AE243">MID(";"&amp;'CASE DATA'!$F243&amp;";",SMALL(IF(ISERROR(SEARCH(MID(";"&amp;'CASE DATA'!$F243&amp;";",ROW($1:$99),1),";")),"",ROW($1:$99)+1),COLUMN(H243)),SMALL(IF(ISERROR(SEARCH(MID(";"&amp;'CASE DATA'!$F243&amp;";",ROW($1:$99),1),";")),"",ROW($1:$99)),COLUMN(H242)+1)-SMALL(IF(ISERROR(SEARCH(MID(";"&amp;'CASE DATA'!$F243&amp;";",ROW($1:$99),1),";")),"",ROW($1:$99)),COLUMN(H242))-1)</f>
        <v/>
      </c>
      <c r="AF243" s="75" t="str" cm="1">
        <f t="array" ref="AF243">MID(";"&amp;'CASE DATA'!$F243&amp;";",SMALL(IF(ISERROR(SEARCH(MID(";"&amp;'CASE DATA'!$F243&amp;";",ROW($1:$99),1),";")),"",ROW($1:$99)+1),COLUMN(I243)),SMALL(IF(ISERROR(SEARCH(MID(";"&amp;'CASE DATA'!$F243&amp;";",ROW($1:$99),1),";")),"",ROW($1:$99)),COLUMN(I242)+1)-SMALL(IF(ISERROR(SEARCH(MID(";"&amp;'CASE DATA'!$F243&amp;";",ROW($1:$99),1),";")),"",ROW($1:$99)),COLUMN(I242))-1)</f>
        <v/>
      </c>
      <c r="AG243" s="75" t="str" cm="1">
        <f t="array" ref="AG243">MID(";"&amp;'CASE DATA'!$F243&amp;";",SMALL(IF(ISERROR(SEARCH(MID(";"&amp;'CASE DATA'!$F243&amp;";",ROW($1:$99),1),";")),"",ROW($1:$99)+1),COLUMN(K243)),SMALL(IF(ISERROR(SEARCH(MID(";"&amp;'CASE DATA'!$F243&amp;";",ROW($1:$99),1),";")),"",ROW($1:$99)),COLUMN(K242)+1)-SMALL(IF(ISERROR(SEARCH(MID(";"&amp;'CASE DATA'!$F243&amp;";",ROW($1:$99),1),";")),"",ROW($1:$99)),COLUMN(K242))-1)</f>
        <v/>
      </c>
      <c r="AH243" s="75" t="str" cm="1">
        <f t="array" ref="AH243">MID(";"&amp;'CASE DATA'!$F243&amp;";",SMALL(IF(ISERROR(SEARCH(MID(";"&amp;'CASE DATA'!$F243&amp;";",ROW($1:$99),1),";")),"",ROW($1:$99)+1),COLUMN(L243)),SMALL(IF(ISERROR(SEARCH(MID(";"&amp;'CASE DATA'!$F243&amp;";",ROW($1:$99),1),";")),"",ROW($1:$99)),COLUMN(L242)+1)-SMALL(IF(ISERROR(SEARCH(MID(";"&amp;'CASE DATA'!$F243&amp;";",ROW($1:$99),1),";")),"",ROW($1:$99)),COLUMN(L242))-1)</f>
        <v/>
      </c>
      <c r="AI243" s="75" t="str" cm="1">
        <f t="array" ref="AI243">MID(";"&amp;'CASE DATA'!$F243&amp;";",SMALL(IF(ISERROR(SEARCH(MID(";"&amp;'CASE DATA'!$F243&amp;";",ROW($1:$99),1),";")),"",ROW($1:$99)+1),COLUMN(M243)),SMALL(IF(ISERROR(SEARCH(MID(";"&amp;'CASE DATA'!$F243&amp;";",ROW($1:$99),1),";")),"",ROW($1:$99)),COLUMN(M242)+1)-SMALL(IF(ISERROR(SEARCH(MID(";"&amp;'CASE DATA'!$F243&amp;";",ROW($1:$99),1),";")),"",ROW($1:$99)),COLUMN(M242))-1)</f>
        <v/>
      </c>
      <c r="BO243" s="99"/>
      <c r="BP243" s="99"/>
      <c r="BQ243" s="99"/>
      <c r="BR243" s="99"/>
      <c r="BS243" s="99"/>
      <c r="BT243" s="99"/>
      <c r="BU243" s="99"/>
      <c r="BV243" s="99"/>
      <c r="BW243" s="99"/>
      <c r="BX243" s="99"/>
      <c r="BY243" s="99"/>
      <c r="BZ243" s="99"/>
      <c r="CA243" s="99"/>
      <c r="CB243" s="99"/>
      <c r="CC243" s="99"/>
      <c r="CD243" s="99"/>
      <c r="CE243" s="99"/>
      <c r="CF243" s="99"/>
      <c r="CG243" s="99"/>
      <c r="CH243" s="99"/>
      <c r="CI243" s="99"/>
      <c r="CJ243" s="99"/>
      <c r="CK243" s="99"/>
      <c r="CL243" s="99"/>
      <c r="CM243" s="99"/>
      <c r="CN243" s="99"/>
      <c r="CO243" s="99"/>
      <c r="CP243" s="99"/>
      <c r="CQ243" s="99"/>
      <c r="CR243" s="99"/>
      <c r="CS243" s="99"/>
      <c r="CT243" s="99"/>
      <c r="CU243" s="99"/>
      <c r="CV243" s="99"/>
      <c r="CW243" s="99"/>
      <c r="CX243" s="99"/>
      <c r="CY243" s="99"/>
      <c r="CZ243" s="99"/>
      <c r="DA243" s="99"/>
      <c r="DB243" s="99"/>
      <c r="DC243" s="99"/>
      <c r="DD243" s="99"/>
      <c r="DE243" s="99"/>
      <c r="DF243" s="99"/>
      <c r="DG243" s="99"/>
      <c r="DH243" s="99"/>
      <c r="DI243" s="99"/>
      <c r="DJ243" s="99"/>
      <c r="DK243" s="99"/>
      <c r="DL243" s="99"/>
      <c r="DM243" s="99"/>
      <c r="DN243" s="99"/>
      <c r="DO243" s="99"/>
      <c r="DP243" s="99"/>
      <c r="DQ243" s="99"/>
      <c r="DR243" s="99"/>
      <c r="DS243" s="99"/>
      <c r="DT243" s="99"/>
      <c r="DU243" s="99"/>
      <c r="DV243" s="99"/>
      <c r="DW243" s="99"/>
      <c r="DX243" s="99"/>
      <c r="DY243" s="99"/>
      <c r="DZ243" s="99"/>
      <c r="EA243" s="99"/>
      <c r="EB243" s="99"/>
      <c r="EC243" s="99"/>
      <c r="ED243" s="99"/>
      <c r="EE243" s="99"/>
      <c r="EF243" s="99"/>
      <c r="EG243" s="99"/>
      <c r="EH243" s="99"/>
      <c r="EI243" s="99"/>
      <c r="EJ243" s="99"/>
      <c r="EK243" s="99"/>
      <c r="EL243" s="99"/>
      <c r="EM243" s="99"/>
      <c r="EN243" s="99"/>
      <c r="EO243" s="99"/>
      <c r="EP243" s="99"/>
      <c r="EQ243" s="99"/>
      <c r="ER243" s="99"/>
      <c r="ES243" s="99"/>
      <c r="ET243" s="99"/>
      <c r="EU243" s="99"/>
      <c r="EV243" s="99"/>
      <c r="EW243" s="99"/>
      <c r="EX243" s="99"/>
      <c r="EY243" s="99"/>
      <c r="EZ243" s="99"/>
      <c r="FA243" s="99"/>
      <c r="FB243" s="99"/>
      <c r="FC243" s="99"/>
      <c r="FD243" s="99"/>
      <c r="FE243" s="99"/>
      <c r="FF243" s="99"/>
      <c r="FG243" s="99"/>
      <c r="FH243" s="99"/>
      <c r="FI243" s="99"/>
      <c r="FJ243" s="99"/>
      <c r="FK243" s="99"/>
    </row>
    <row r="244" spans="3:167" x14ac:dyDescent="0.25">
      <c r="C244" s="10"/>
      <c r="D244" s="10"/>
      <c r="J244" s="99">
        <v>241</v>
      </c>
      <c r="K244" s="16"/>
      <c r="L244" s="16"/>
      <c r="M244" s="16"/>
      <c r="N244" s="16"/>
      <c r="O244" s="16"/>
      <c r="P244" s="16"/>
      <c r="Q244" s="16"/>
      <c r="R244" s="16"/>
      <c r="S244" s="16"/>
      <c r="T244" s="16"/>
      <c r="U244" s="14">
        <f>SUM(K244:T244)</f>
        <v>0</v>
      </c>
      <c r="V244" s="14"/>
      <c r="X244" s="75" t="str" cm="1">
        <f t="array" ref="X244">MID(";"&amp;'CASE DATA'!$F244&amp;";",SMALL(IF(ISERROR(SEARCH(MID(";"&amp;'CASE DATA'!$F244&amp;";",ROW($1:$99),1),";")),"",ROW($1:$99)+1),COLUMN(A244)),SMALL(IF(ISERROR(SEARCH(MID(";"&amp;'CASE DATA'!$F244&amp;";",ROW($1:$99),1),";")),"",ROW($1:$99)),COLUMN(A243)+1)-SMALL(IF(ISERROR(SEARCH(MID(";"&amp;'CASE DATA'!$F244&amp;";",ROW($1:$99),1),";")),"",ROW($1:$99)),COLUMN(A243))-1)</f>
        <v/>
      </c>
      <c r="Y244" s="75" t="str" cm="1">
        <f t="array" ref="Y244">MID(";"&amp;'CASE DATA'!$F244&amp;";",SMALL(IF(ISERROR(SEARCH(MID(";"&amp;'CASE DATA'!$F244&amp;";",ROW($1:$99),1),";")),"",ROW($1:$99)+1),COLUMN(B244)),SMALL(IF(ISERROR(SEARCH(MID(";"&amp;'CASE DATA'!$F244&amp;";",ROW($1:$99),1),";")),"",ROW($1:$99)),COLUMN(B243)+1)-SMALL(IF(ISERROR(SEARCH(MID(";"&amp;'CASE DATA'!$F244&amp;";",ROW($1:$99),1),";")),"",ROW($1:$99)),COLUMN(B243))-1)</f>
        <v/>
      </c>
      <c r="Z244" s="75" t="str" cm="1">
        <f t="array" ref="Z244">MID(";"&amp;'CASE DATA'!$F244&amp;";",SMALL(IF(ISERROR(SEARCH(MID(";"&amp;'CASE DATA'!$F244&amp;";",ROW($1:$99),1),";")),"",ROW($1:$99)+1),COLUMN(C244)),SMALL(IF(ISERROR(SEARCH(MID(";"&amp;'CASE DATA'!$F244&amp;";",ROW($1:$99),1),";")),"",ROW($1:$99)),COLUMN(C243)+1)-SMALL(IF(ISERROR(SEARCH(MID(";"&amp;'CASE DATA'!$F244&amp;";",ROW($1:$99),1),";")),"",ROW($1:$99)),COLUMN(C243))-1)</f>
        <v/>
      </c>
      <c r="AA244" s="75" t="str" cm="1">
        <f t="array" ref="AA244">MID(";"&amp;'CASE DATA'!$F244&amp;";",SMALL(IF(ISERROR(SEARCH(MID(";"&amp;'CASE DATA'!$F244&amp;";",ROW($1:$99),1),";")),"",ROW($1:$99)+1),COLUMN(D244)),SMALL(IF(ISERROR(SEARCH(MID(";"&amp;'CASE DATA'!$F244&amp;";",ROW($1:$99),1),";")),"",ROW($1:$99)),COLUMN(D243)+1)-SMALL(IF(ISERROR(SEARCH(MID(";"&amp;'CASE DATA'!$F244&amp;";",ROW($1:$99),1),";")),"",ROW($1:$99)),COLUMN(D243))-1)</f>
        <v/>
      </c>
      <c r="AB244" s="75" t="str" cm="1">
        <f t="array" ref="AB244">MID(";"&amp;'CASE DATA'!$F244&amp;";",SMALL(IF(ISERROR(SEARCH(MID(";"&amp;'CASE DATA'!$F244&amp;";",ROW($1:$99),1),";")),"",ROW($1:$99)+1),COLUMN(E244)),SMALL(IF(ISERROR(SEARCH(MID(";"&amp;'CASE DATA'!$F244&amp;";",ROW($1:$99),1),";")),"",ROW($1:$99)),COLUMN(E243)+1)-SMALL(IF(ISERROR(SEARCH(MID(";"&amp;'CASE DATA'!$F244&amp;";",ROW($1:$99),1),";")),"",ROW($1:$99)),COLUMN(E243))-1)</f>
        <v/>
      </c>
      <c r="AC244" s="75" t="str" cm="1">
        <f t="array" ref="AC244">MID(";"&amp;'CASE DATA'!$F244&amp;";",SMALL(IF(ISERROR(SEARCH(MID(";"&amp;'CASE DATA'!$F244&amp;";",ROW($1:$99),1),";")),"",ROW($1:$99)+1),COLUMN(F244)),SMALL(IF(ISERROR(SEARCH(MID(";"&amp;'CASE DATA'!$F244&amp;";",ROW($1:$99),1),";")),"",ROW($1:$99)),COLUMN(F243)+1)-SMALL(IF(ISERROR(SEARCH(MID(";"&amp;'CASE DATA'!$F244&amp;";",ROW($1:$99),1),";")),"",ROW($1:$99)),COLUMN(F243))-1)</f>
        <v/>
      </c>
      <c r="AD244" s="75" t="str" cm="1">
        <f t="array" ref="AD244">MID(";"&amp;'CASE DATA'!$F244&amp;";",SMALL(IF(ISERROR(SEARCH(MID(";"&amp;'CASE DATA'!$F244&amp;";",ROW($1:$99),1),";")),"",ROW($1:$99)+1),COLUMN(G244)),SMALL(IF(ISERROR(SEARCH(MID(";"&amp;'CASE DATA'!$F244&amp;";",ROW($1:$99),1),";")),"",ROW($1:$99)),COLUMN(G243)+1)-SMALL(IF(ISERROR(SEARCH(MID(";"&amp;'CASE DATA'!$F244&amp;";",ROW($1:$99),1),";")),"",ROW($1:$99)),COLUMN(G243))-1)</f>
        <v/>
      </c>
      <c r="AE244" s="75" t="str" cm="1">
        <f t="array" ref="AE244">MID(";"&amp;'CASE DATA'!$F244&amp;";",SMALL(IF(ISERROR(SEARCH(MID(";"&amp;'CASE DATA'!$F244&amp;";",ROW($1:$99),1),";")),"",ROW($1:$99)+1),COLUMN(H244)),SMALL(IF(ISERROR(SEARCH(MID(";"&amp;'CASE DATA'!$F244&amp;";",ROW($1:$99),1),";")),"",ROW($1:$99)),COLUMN(H243)+1)-SMALL(IF(ISERROR(SEARCH(MID(";"&amp;'CASE DATA'!$F244&amp;";",ROW($1:$99),1),";")),"",ROW($1:$99)),COLUMN(H243))-1)</f>
        <v/>
      </c>
      <c r="AF244" s="75" t="str" cm="1">
        <f t="array" ref="AF244">MID(";"&amp;'CASE DATA'!$F244&amp;";",SMALL(IF(ISERROR(SEARCH(MID(";"&amp;'CASE DATA'!$F244&amp;";",ROW($1:$99),1),";")),"",ROW($1:$99)+1),COLUMN(I244)),SMALL(IF(ISERROR(SEARCH(MID(";"&amp;'CASE DATA'!$F244&amp;";",ROW($1:$99),1),";")),"",ROW($1:$99)),COLUMN(I243)+1)-SMALL(IF(ISERROR(SEARCH(MID(";"&amp;'CASE DATA'!$F244&amp;";",ROW($1:$99),1),";")),"",ROW($1:$99)),COLUMN(I243))-1)</f>
        <v/>
      </c>
      <c r="AG244" s="75" t="str" cm="1">
        <f t="array" ref="AG244">MID(";"&amp;'CASE DATA'!$F244&amp;";",SMALL(IF(ISERROR(SEARCH(MID(";"&amp;'CASE DATA'!$F244&amp;";",ROW($1:$99),1),";")),"",ROW($1:$99)+1),COLUMN(K244)),SMALL(IF(ISERROR(SEARCH(MID(";"&amp;'CASE DATA'!$F244&amp;";",ROW($1:$99),1),";")),"",ROW($1:$99)),COLUMN(K243)+1)-SMALL(IF(ISERROR(SEARCH(MID(";"&amp;'CASE DATA'!$F244&amp;";",ROW($1:$99),1),";")),"",ROW($1:$99)),COLUMN(K243))-1)</f>
        <v/>
      </c>
      <c r="AH244" s="75" t="str" cm="1">
        <f t="array" ref="AH244">MID(";"&amp;'CASE DATA'!$F244&amp;";",SMALL(IF(ISERROR(SEARCH(MID(";"&amp;'CASE DATA'!$F244&amp;";",ROW($1:$99),1),";")),"",ROW($1:$99)+1),COLUMN(L244)),SMALL(IF(ISERROR(SEARCH(MID(";"&amp;'CASE DATA'!$F244&amp;";",ROW($1:$99),1),";")),"",ROW($1:$99)),COLUMN(L243)+1)-SMALL(IF(ISERROR(SEARCH(MID(";"&amp;'CASE DATA'!$F244&amp;";",ROW($1:$99),1),";")),"",ROW($1:$99)),COLUMN(L243))-1)</f>
        <v/>
      </c>
      <c r="AI244" s="75" t="str" cm="1">
        <f t="array" ref="AI244">MID(";"&amp;'CASE DATA'!$F244&amp;";",SMALL(IF(ISERROR(SEARCH(MID(";"&amp;'CASE DATA'!$F244&amp;";",ROW($1:$99),1),";")),"",ROW($1:$99)+1),COLUMN(M244)),SMALL(IF(ISERROR(SEARCH(MID(";"&amp;'CASE DATA'!$F244&amp;";",ROW($1:$99),1),";")),"",ROW($1:$99)),COLUMN(M243)+1)-SMALL(IF(ISERROR(SEARCH(MID(";"&amp;'CASE DATA'!$F244&amp;";",ROW($1:$99),1),";")),"",ROW($1:$99)),COLUMN(M243))-1)</f>
        <v/>
      </c>
      <c r="BO244" s="99"/>
      <c r="BP244" s="99"/>
      <c r="BQ244" s="99"/>
      <c r="BR244" s="99"/>
      <c r="BS244" s="99"/>
      <c r="BT244" s="99"/>
      <c r="BU244" s="99"/>
      <c r="BV244" s="99"/>
      <c r="BW244" s="99"/>
      <c r="BX244" s="99"/>
      <c r="BY244" s="99"/>
      <c r="BZ244" s="99"/>
      <c r="CA244" s="99"/>
      <c r="CB244" s="99"/>
      <c r="CC244" s="99"/>
      <c r="CD244" s="99"/>
      <c r="CE244" s="99"/>
      <c r="CF244" s="99"/>
      <c r="CG244" s="99"/>
      <c r="CH244" s="99"/>
      <c r="CI244" s="99"/>
      <c r="CJ244" s="99"/>
      <c r="CK244" s="99"/>
      <c r="CL244" s="99"/>
      <c r="CM244" s="99"/>
      <c r="CN244" s="99"/>
      <c r="CO244" s="99"/>
      <c r="CP244" s="99"/>
      <c r="CQ244" s="99"/>
      <c r="CR244" s="99"/>
      <c r="CS244" s="99"/>
      <c r="CT244" s="99"/>
      <c r="CU244" s="99"/>
      <c r="CV244" s="99"/>
      <c r="CW244" s="99"/>
      <c r="CX244" s="99"/>
      <c r="CY244" s="99"/>
      <c r="CZ244" s="99"/>
      <c r="DA244" s="99"/>
      <c r="DB244" s="99"/>
      <c r="DC244" s="99"/>
      <c r="DD244" s="99"/>
      <c r="DE244" s="99"/>
      <c r="DF244" s="99"/>
      <c r="DG244" s="99"/>
      <c r="DH244" s="99"/>
      <c r="DI244" s="99"/>
      <c r="DJ244" s="99"/>
      <c r="DK244" s="99"/>
      <c r="DL244" s="99"/>
      <c r="DM244" s="99"/>
      <c r="DN244" s="99"/>
      <c r="DO244" s="99"/>
      <c r="DP244" s="99"/>
      <c r="DQ244" s="99"/>
      <c r="DR244" s="99"/>
      <c r="DS244" s="99"/>
      <c r="DT244" s="99"/>
      <c r="DU244" s="99"/>
      <c r="DV244" s="99"/>
      <c r="DW244" s="99"/>
      <c r="DX244" s="99"/>
      <c r="DY244" s="99"/>
      <c r="DZ244" s="99"/>
      <c r="EA244" s="99"/>
      <c r="EB244" s="99"/>
      <c r="EC244" s="99"/>
      <c r="ED244" s="99"/>
      <c r="EE244" s="99"/>
      <c r="EF244" s="99"/>
      <c r="EG244" s="99"/>
      <c r="EH244" s="99"/>
      <c r="EI244" s="99"/>
      <c r="EJ244" s="99"/>
      <c r="EK244" s="99"/>
      <c r="EL244" s="99"/>
      <c r="EM244" s="99"/>
      <c r="EN244" s="99"/>
      <c r="EO244" s="99"/>
      <c r="EP244" s="99"/>
      <c r="EQ244" s="99"/>
      <c r="ER244" s="99"/>
      <c r="ES244" s="99"/>
      <c r="ET244" s="99"/>
      <c r="EU244" s="99"/>
      <c r="EV244" s="99"/>
      <c r="EW244" s="99"/>
      <c r="EX244" s="99"/>
      <c r="EY244" s="99"/>
      <c r="EZ244" s="99"/>
      <c r="FA244" s="99"/>
      <c r="FB244" s="99"/>
      <c r="FC244" s="99"/>
      <c r="FD244" s="99"/>
      <c r="FE244" s="99"/>
      <c r="FF244" s="99"/>
      <c r="FG244" s="99"/>
      <c r="FH244" s="99"/>
      <c r="FI244" s="99"/>
      <c r="FJ244" s="99"/>
      <c r="FK244" s="99"/>
    </row>
    <row r="245" spans="3:167" x14ac:dyDescent="0.25">
      <c r="C245" s="10"/>
      <c r="D245" s="10"/>
      <c r="J245" s="99">
        <v>242</v>
      </c>
      <c r="K245" s="16"/>
      <c r="L245" s="16"/>
      <c r="M245" s="16"/>
      <c r="N245" s="16"/>
      <c r="O245" s="16"/>
      <c r="P245" s="16"/>
      <c r="Q245" s="16"/>
      <c r="R245" s="16"/>
      <c r="S245" s="16"/>
      <c r="T245" s="16"/>
      <c r="U245" s="14">
        <f>SUM(K245:T245)</f>
        <v>0</v>
      </c>
      <c r="V245" s="14"/>
      <c r="X245" s="75" t="str" cm="1">
        <f t="array" ref="X245">MID(";"&amp;'CASE DATA'!$F245&amp;";",SMALL(IF(ISERROR(SEARCH(MID(";"&amp;'CASE DATA'!$F245&amp;";",ROW($1:$99),1),";")),"",ROW($1:$99)+1),COLUMN(A245)),SMALL(IF(ISERROR(SEARCH(MID(";"&amp;'CASE DATA'!$F245&amp;";",ROW($1:$99),1),";")),"",ROW($1:$99)),COLUMN(A244)+1)-SMALL(IF(ISERROR(SEARCH(MID(";"&amp;'CASE DATA'!$F245&amp;";",ROW($1:$99),1),";")),"",ROW($1:$99)),COLUMN(A244))-1)</f>
        <v/>
      </c>
      <c r="Y245" s="75" t="str" cm="1">
        <f t="array" ref="Y245">MID(";"&amp;'CASE DATA'!$F245&amp;";",SMALL(IF(ISERROR(SEARCH(MID(";"&amp;'CASE DATA'!$F245&amp;";",ROW($1:$99),1),";")),"",ROW($1:$99)+1),COLUMN(B245)),SMALL(IF(ISERROR(SEARCH(MID(";"&amp;'CASE DATA'!$F245&amp;";",ROW($1:$99),1),";")),"",ROW($1:$99)),COLUMN(B244)+1)-SMALL(IF(ISERROR(SEARCH(MID(";"&amp;'CASE DATA'!$F245&amp;";",ROW($1:$99),1),";")),"",ROW($1:$99)),COLUMN(B244))-1)</f>
        <v/>
      </c>
      <c r="Z245" s="75" t="str" cm="1">
        <f t="array" ref="Z245">MID(";"&amp;'CASE DATA'!$F245&amp;";",SMALL(IF(ISERROR(SEARCH(MID(";"&amp;'CASE DATA'!$F245&amp;";",ROW($1:$99),1),";")),"",ROW($1:$99)+1),COLUMN(C245)),SMALL(IF(ISERROR(SEARCH(MID(";"&amp;'CASE DATA'!$F245&amp;";",ROW($1:$99),1),";")),"",ROW($1:$99)),COLUMN(C244)+1)-SMALL(IF(ISERROR(SEARCH(MID(";"&amp;'CASE DATA'!$F245&amp;";",ROW($1:$99),1),";")),"",ROW($1:$99)),COLUMN(C244))-1)</f>
        <v/>
      </c>
      <c r="AA245" s="75" t="str" cm="1">
        <f t="array" ref="AA245">MID(";"&amp;'CASE DATA'!$F245&amp;";",SMALL(IF(ISERROR(SEARCH(MID(";"&amp;'CASE DATA'!$F245&amp;";",ROW($1:$99),1),";")),"",ROW($1:$99)+1),COLUMN(D245)),SMALL(IF(ISERROR(SEARCH(MID(";"&amp;'CASE DATA'!$F245&amp;";",ROW($1:$99),1),";")),"",ROW($1:$99)),COLUMN(D244)+1)-SMALL(IF(ISERROR(SEARCH(MID(";"&amp;'CASE DATA'!$F245&amp;";",ROW($1:$99),1),";")),"",ROW($1:$99)),COLUMN(D244))-1)</f>
        <v/>
      </c>
      <c r="AB245" s="75" t="str" cm="1">
        <f t="array" ref="AB245">MID(";"&amp;'CASE DATA'!$F245&amp;";",SMALL(IF(ISERROR(SEARCH(MID(";"&amp;'CASE DATA'!$F245&amp;";",ROW($1:$99),1),";")),"",ROW($1:$99)+1),COLUMN(E245)),SMALL(IF(ISERROR(SEARCH(MID(";"&amp;'CASE DATA'!$F245&amp;";",ROW($1:$99),1),";")),"",ROW($1:$99)),COLUMN(E244)+1)-SMALL(IF(ISERROR(SEARCH(MID(";"&amp;'CASE DATA'!$F245&amp;";",ROW($1:$99),1),";")),"",ROW($1:$99)),COLUMN(E244))-1)</f>
        <v/>
      </c>
      <c r="AC245" s="75" t="str" cm="1">
        <f t="array" ref="AC245">MID(";"&amp;'CASE DATA'!$F245&amp;";",SMALL(IF(ISERROR(SEARCH(MID(";"&amp;'CASE DATA'!$F245&amp;";",ROW($1:$99),1),";")),"",ROW($1:$99)+1),COLUMN(F245)),SMALL(IF(ISERROR(SEARCH(MID(";"&amp;'CASE DATA'!$F245&amp;";",ROW($1:$99),1),";")),"",ROW($1:$99)),COLUMN(F244)+1)-SMALL(IF(ISERROR(SEARCH(MID(";"&amp;'CASE DATA'!$F245&amp;";",ROW($1:$99),1),";")),"",ROW($1:$99)),COLUMN(F244))-1)</f>
        <v/>
      </c>
      <c r="AD245" s="75" t="str" cm="1">
        <f t="array" ref="AD245">MID(";"&amp;'CASE DATA'!$F245&amp;";",SMALL(IF(ISERROR(SEARCH(MID(";"&amp;'CASE DATA'!$F245&amp;";",ROW($1:$99),1),";")),"",ROW($1:$99)+1),COLUMN(G245)),SMALL(IF(ISERROR(SEARCH(MID(";"&amp;'CASE DATA'!$F245&amp;";",ROW($1:$99),1),";")),"",ROW($1:$99)),COLUMN(G244)+1)-SMALL(IF(ISERROR(SEARCH(MID(";"&amp;'CASE DATA'!$F245&amp;";",ROW($1:$99),1),";")),"",ROW($1:$99)),COLUMN(G244))-1)</f>
        <v/>
      </c>
      <c r="AE245" s="75" t="str" cm="1">
        <f t="array" ref="AE245">MID(";"&amp;'CASE DATA'!$F245&amp;";",SMALL(IF(ISERROR(SEARCH(MID(";"&amp;'CASE DATA'!$F245&amp;";",ROW($1:$99),1),";")),"",ROW($1:$99)+1),COLUMN(H245)),SMALL(IF(ISERROR(SEARCH(MID(";"&amp;'CASE DATA'!$F245&amp;";",ROW($1:$99),1),";")),"",ROW($1:$99)),COLUMN(H244)+1)-SMALL(IF(ISERROR(SEARCH(MID(";"&amp;'CASE DATA'!$F245&amp;";",ROW($1:$99),1),";")),"",ROW($1:$99)),COLUMN(H244))-1)</f>
        <v/>
      </c>
      <c r="AF245" s="75" t="str" cm="1">
        <f t="array" ref="AF245">MID(";"&amp;'CASE DATA'!$F245&amp;";",SMALL(IF(ISERROR(SEARCH(MID(";"&amp;'CASE DATA'!$F245&amp;";",ROW($1:$99),1),";")),"",ROW($1:$99)+1),COLUMN(I245)),SMALL(IF(ISERROR(SEARCH(MID(";"&amp;'CASE DATA'!$F245&amp;";",ROW($1:$99),1),";")),"",ROW($1:$99)),COLUMN(I244)+1)-SMALL(IF(ISERROR(SEARCH(MID(";"&amp;'CASE DATA'!$F245&amp;";",ROW($1:$99),1),";")),"",ROW($1:$99)),COLUMN(I244))-1)</f>
        <v/>
      </c>
      <c r="AG245" s="75" t="str" cm="1">
        <f t="array" ref="AG245">MID(";"&amp;'CASE DATA'!$F245&amp;";",SMALL(IF(ISERROR(SEARCH(MID(";"&amp;'CASE DATA'!$F245&amp;";",ROW($1:$99),1),";")),"",ROW($1:$99)+1),COLUMN(K245)),SMALL(IF(ISERROR(SEARCH(MID(";"&amp;'CASE DATA'!$F245&amp;";",ROW($1:$99),1),";")),"",ROW($1:$99)),COLUMN(K244)+1)-SMALL(IF(ISERROR(SEARCH(MID(";"&amp;'CASE DATA'!$F245&amp;";",ROW($1:$99),1),";")),"",ROW($1:$99)),COLUMN(K244))-1)</f>
        <v/>
      </c>
      <c r="AH245" s="75" t="str" cm="1">
        <f t="array" ref="AH245">MID(";"&amp;'CASE DATA'!$F245&amp;";",SMALL(IF(ISERROR(SEARCH(MID(";"&amp;'CASE DATA'!$F245&amp;";",ROW($1:$99),1),";")),"",ROW($1:$99)+1),COLUMN(L245)),SMALL(IF(ISERROR(SEARCH(MID(";"&amp;'CASE DATA'!$F245&amp;";",ROW($1:$99),1),";")),"",ROW($1:$99)),COLUMN(L244)+1)-SMALL(IF(ISERROR(SEARCH(MID(";"&amp;'CASE DATA'!$F245&amp;";",ROW($1:$99),1),";")),"",ROW($1:$99)),COLUMN(L244))-1)</f>
        <v/>
      </c>
      <c r="AI245" s="75" t="str" cm="1">
        <f t="array" ref="AI245">MID(";"&amp;'CASE DATA'!$F245&amp;";",SMALL(IF(ISERROR(SEARCH(MID(";"&amp;'CASE DATA'!$F245&amp;";",ROW($1:$99),1),";")),"",ROW($1:$99)+1),COLUMN(M245)),SMALL(IF(ISERROR(SEARCH(MID(";"&amp;'CASE DATA'!$F245&amp;";",ROW($1:$99),1),";")),"",ROW($1:$99)),COLUMN(M244)+1)-SMALL(IF(ISERROR(SEARCH(MID(";"&amp;'CASE DATA'!$F245&amp;";",ROW($1:$99),1),";")),"",ROW($1:$99)),COLUMN(M244))-1)</f>
        <v/>
      </c>
      <c r="BO245" s="99"/>
      <c r="BP245" s="99"/>
      <c r="BQ245" s="99"/>
      <c r="BR245" s="99"/>
      <c r="BS245" s="99"/>
      <c r="BT245" s="99"/>
      <c r="BU245" s="99"/>
      <c r="BV245" s="99"/>
      <c r="BW245" s="99"/>
      <c r="BX245" s="99"/>
      <c r="BY245" s="99"/>
      <c r="BZ245" s="99"/>
      <c r="CA245" s="99"/>
      <c r="CB245" s="99"/>
      <c r="CC245" s="99"/>
      <c r="CD245" s="99"/>
      <c r="CE245" s="99"/>
      <c r="CF245" s="99"/>
      <c r="CG245" s="99"/>
      <c r="CH245" s="99"/>
      <c r="CI245" s="99"/>
      <c r="CJ245" s="99"/>
      <c r="CK245" s="99"/>
      <c r="CL245" s="99"/>
      <c r="CM245" s="99"/>
      <c r="CN245" s="99"/>
      <c r="CO245" s="99"/>
      <c r="CP245" s="99"/>
      <c r="CQ245" s="99"/>
      <c r="CR245" s="99"/>
      <c r="CS245" s="99"/>
      <c r="CT245" s="99"/>
      <c r="CU245" s="99"/>
      <c r="CV245" s="99"/>
      <c r="CW245" s="99"/>
      <c r="CX245" s="99"/>
      <c r="CY245" s="99"/>
      <c r="CZ245" s="99"/>
      <c r="DA245" s="99"/>
      <c r="DB245" s="99"/>
      <c r="DC245" s="99"/>
      <c r="DD245" s="99"/>
      <c r="DE245" s="99"/>
      <c r="DF245" s="99"/>
      <c r="DG245" s="99"/>
      <c r="DH245" s="99"/>
      <c r="DI245" s="99"/>
      <c r="DJ245" s="99"/>
      <c r="DK245" s="99"/>
      <c r="DL245" s="99"/>
      <c r="DM245" s="99"/>
      <c r="DN245" s="99"/>
      <c r="DO245" s="99"/>
      <c r="DP245" s="99"/>
      <c r="DQ245" s="99"/>
      <c r="DR245" s="99"/>
      <c r="DS245" s="99"/>
      <c r="DT245" s="99"/>
      <c r="DU245" s="99"/>
      <c r="DV245" s="99"/>
      <c r="DW245" s="99"/>
      <c r="DX245" s="99"/>
      <c r="DY245" s="99"/>
      <c r="DZ245" s="99"/>
      <c r="EA245" s="99"/>
      <c r="EB245" s="99"/>
      <c r="EC245" s="99"/>
      <c r="ED245" s="99"/>
      <c r="EE245" s="99"/>
      <c r="EF245" s="99"/>
      <c r="EG245" s="99"/>
      <c r="EH245" s="99"/>
      <c r="EI245" s="99"/>
      <c r="EJ245" s="99"/>
      <c r="EK245" s="99"/>
      <c r="EL245" s="99"/>
      <c r="EM245" s="99"/>
      <c r="EN245" s="99"/>
      <c r="EO245" s="99"/>
      <c r="EP245" s="99"/>
      <c r="EQ245" s="99"/>
      <c r="ER245" s="99"/>
      <c r="ES245" s="99"/>
      <c r="ET245" s="99"/>
      <c r="EU245" s="99"/>
      <c r="EV245" s="99"/>
      <c r="EW245" s="99"/>
      <c r="EX245" s="99"/>
      <c r="EY245" s="99"/>
      <c r="EZ245" s="99"/>
      <c r="FA245" s="99"/>
      <c r="FB245" s="99"/>
      <c r="FC245" s="99"/>
      <c r="FD245" s="99"/>
      <c r="FE245" s="99"/>
      <c r="FF245" s="99"/>
      <c r="FG245" s="99"/>
      <c r="FH245" s="99"/>
      <c r="FI245" s="99"/>
      <c r="FJ245" s="99"/>
      <c r="FK245" s="99"/>
    </row>
    <row r="246" spans="3:167" x14ac:dyDescent="0.25">
      <c r="C246" s="10"/>
      <c r="D246" s="10"/>
      <c r="J246" s="99">
        <v>243</v>
      </c>
      <c r="K246" s="16"/>
      <c r="L246" s="16"/>
      <c r="M246" s="16"/>
      <c r="N246" s="16"/>
      <c r="O246" s="16"/>
      <c r="P246" s="16"/>
      <c r="Q246" s="16"/>
      <c r="R246" s="16"/>
      <c r="S246" s="16"/>
      <c r="T246" s="16"/>
      <c r="U246" s="14">
        <f>SUM(K246:T246)</f>
        <v>0</v>
      </c>
      <c r="V246" s="14"/>
      <c r="X246" s="75" t="str" cm="1">
        <f t="array" ref="X246">MID(";"&amp;'CASE DATA'!$F246&amp;";",SMALL(IF(ISERROR(SEARCH(MID(";"&amp;'CASE DATA'!$F246&amp;";",ROW($1:$99),1),";")),"",ROW($1:$99)+1),COLUMN(A246)),SMALL(IF(ISERROR(SEARCH(MID(";"&amp;'CASE DATA'!$F246&amp;";",ROW($1:$99),1),";")),"",ROW($1:$99)),COLUMN(A245)+1)-SMALL(IF(ISERROR(SEARCH(MID(";"&amp;'CASE DATA'!$F246&amp;";",ROW($1:$99),1),";")),"",ROW($1:$99)),COLUMN(A245))-1)</f>
        <v/>
      </c>
      <c r="Y246" s="75" t="str" cm="1">
        <f t="array" ref="Y246">MID(";"&amp;'CASE DATA'!$F246&amp;";",SMALL(IF(ISERROR(SEARCH(MID(";"&amp;'CASE DATA'!$F246&amp;";",ROW($1:$99),1),";")),"",ROW($1:$99)+1),COLUMN(B246)),SMALL(IF(ISERROR(SEARCH(MID(";"&amp;'CASE DATA'!$F246&amp;";",ROW($1:$99),1),";")),"",ROW($1:$99)),COLUMN(B245)+1)-SMALL(IF(ISERROR(SEARCH(MID(";"&amp;'CASE DATA'!$F246&amp;";",ROW($1:$99),1),";")),"",ROW($1:$99)),COLUMN(B245))-1)</f>
        <v/>
      </c>
      <c r="Z246" s="75" t="str" cm="1">
        <f t="array" ref="Z246">MID(";"&amp;'CASE DATA'!$F246&amp;";",SMALL(IF(ISERROR(SEARCH(MID(";"&amp;'CASE DATA'!$F246&amp;";",ROW($1:$99),1),";")),"",ROW($1:$99)+1),COLUMN(C246)),SMALL(IF(ISERROR(SEARCH(MID(";"&amp;'CASE DATA'!$F246&amp;";",ROW($1:$99),1),";")),"",ROW($1:$99)),COLUMN(C245)+1)-SMALL(IF(ISERROR(SEARCH(MID(";"&amp;'CASE DATA'!$F246&amp;";",ROW($1:$99),1),";")),"",ROW($1:$99)),COLUMN(C245))-1)</f>
        <v/>
      </c>
      <c r="AA246" s="75" t="str" cm="1">
        <f t="array" ref="AA246">MID(";"&amp;'CASE DATA'!$F246&amp;";",SMALL(IF(ISERROR(SEARCH(MID(";"&amp;'CASE DATA'!$F246&amp;";",ROW($1:$99),1),";")),"",ROW($1:$99)+1),COLUMN(D246)),SMALL(IF(ISERROR(SEARCH(MID(";"&amp;'CASE DATA'!$F246&amp;";",ROW($1:$99),1),";")),"",ROW($1:$99)),COLUMN(D245)+1)-SMALL(IF(ISERROR(SEARCH(MID(";"&amp;'CASE DATA'!$F246&amp;";",ROW($1:$99),1),";")),"",ROW($1:$99)),COLUMN(D245))-1)</f>
        <v/>
      </c>
      <c r="AB246" s="75" t="str" cm="1">
        <f t="array" ref="AB246">MID(";"&amp;'CASE DATA'!$F246&amp;";",SMALL(IF(ISERROR(SEARCH(MID(";"&amp;'CASE DATA'!$F246&amp;";",ROW($1:$99),1),";")),"",ROW($1:$99)+1),COLUMN(E246)),SMALL(IF(ISERROR(SEARCH(MID(";"&amp;'CASE DATA'!$F246&amp;";",ROW($1:$99),1),";")),"",ROW($1:$99)),COLUMN(E245)+1)-SMALL(IF(ISERROR(SEARCH(MID(";"&amp;'CASE DATA'!$F246&amp;";",ROW($1:$99),1),";")),"",ROW($1:$99)),COLUMN(E245))-1)</f>
        <v/>
      </c>
      <c r="AC246" s="75" t="str" cm="1">
        <f t="array" ref="AC246">MID(";"&amp;'CASE DATA'!$F246&amp;";",SMALL(IF(ISERROR(SEARCH(MID(";"&amp;'CASE DATA'!$F246&amp;";",ROW($1:$99),1),";")),"",ROW($1:$99)+1),COLUMN(F246)),SMALL(IF(ISERROR(SEARCH(MID(";"&amp;'CASE DATA'!$F246&amp;";",ROW($1:$99),1),";")),"",ROW($1:$99)),COLUMN(F245)+1)-SMALL(IF(ISERROR(SEARCH(MID(";"&amp;'CASE DATA'!$F246&amp;";",ROW($1:$99),1),";")),"",ROW($1:$99)),COLUMN(F245))-1)</f>
        <v/>
      </c>
      <c r="AD246" s="75" t="str" cm="1">
        <f t="array" ref="AD246">MID(";"&amp;'CASE DATA'!$F246&amp;";",SMALL(IF(ISERROR(SEARCH(MID(";"&amp;'CASE DATA'!$F246&amp;";",ROW($1:$99),1),";")),"",ROW($1:$99)+1),COLUMN(G246)),SMALL(IF(ISERROR(SEARCH(MID(";"&amp;'CASE DATA'!$F246&amp;";",ROW($1:$99),1),";")),"",ROW($1:$99)),COLUMN(G245)+1)-SMALL(IF(ISERROR(SEARCH(MID(";"&amp;'CASE DATA'!$F246&amp;";",ROW($1:$99),1),";")),"",ROW($1:$99)),COLUMN(G245))-1)</f>
        <v/>
      </c>
      <c r="AE246" s="75" t="str" cm="1">
        <f t="array" ref="AE246">MID(";"&amp;'CASE DATA'!$F246&amp;";",SMALL(IF(ISERROR(SEARCH(MID(";"&amp;'CASE DATA'!$F246&amp;";",ROW($1:$99),1),";")),"",ROW($1:$99)+1),COLUMN(H246)),SMALL(IF(ISERROR(SEARCH(MID(";"&amp;'CASE DATA'!$F246&amp;";",ROW($1:$99),1),";")),"",ROW($1:$99)),COLUMN(H245)+1)-SMALL(IF(ISERROR(SEARCH(MID(";"&amp;'CASE DATA'!$F246&amp;";",ROW($1:$99),1),";")),"",ROW($1:$99)),COLUMN(H245))-1)</f>
        <v/>
      </c>
      <c r="AF246" s="75" t="str" cm="1">
        <f t="array" ref="AF246">MID(";"&amp;'CASE DATA'!$F246&amp;";",SMALL(IF(ISERROR(SEARCH(MID(";"&amp;'CASE DATA'!$F246&amp;";",ROW($1:$99),1),";")),"",ROW($1:$99)+1),COLUMN(I246)),SMALL(IF(ISERROR(SEARCH(MID(";"&amp;'CASE DATA'!$F246&amp;";",ROW($1:$99),1),";")),"",ROW($1:$99)),COLUMN(I245)+1)-SMALL(IF(ISERROR(SEARCH(MID(";"&amp;'CASE DATA'!$F246&amp;";",ROW($1:$99),1),";")),"",ROW($1:$99)),COLUMN(I245))-1)</f>
        <v/>
      </c>
      <c r="AG246" s="75" t="str" cm="1">
        <f t="array" ref="AG246">MID(";"&amp;'CASE DATA'!$F246&amp;";",SMALL(IF(ISERROR(SEARCH(MID(";"&amp;'CASE DATA'!$F246&amp;";",ROW($1:$99),1),";")),"",ROW($1:$99)+1),COLUMN(K246)),SMALL(IF(ISERROR(SEARCH(MID(";"&amp;'CASE DATA'!$F246&amp;";",ROW($1:$99),1),";")),"",ROW($1:$99)),COLUMN(K245)+1)-SMALL(IF(ISERROR(SEARCH(MID(";"&amp;'CASE DATA'!$F246&amp;";",ROW($1:$99),1),";")),"",ROW($1:$99)),COLUMN(K245))-1)</f>
        <v/>
      </c>
      <c r="AH246" s="75" t="str" cm="1">
        <f t="array" ref="AH246">MID(";"&amp;'CASE DATA'!$F246&amp;";",SMALL(IF(ISERROR(SEARCH(MID(";"&amp;'CASE DATA'!$F246&amp;";",ROW($1:$99),1),";")),"",ROW($1:$99)+1),COLUMN(L246)),SMALL(IF(ISERROR(SEARCH(MID(";"&amp;'CASE DATA'!$F246&amp;";",ROW($1:$99),1),";")),"",ROW($1:$99)),COLUMN(L245)+1)-SMALL(IF(ISERROR(SEARCH(MID(";"&amp;'CASE DATA'!$F246&amp;";",ROW($1:$99),1),";")),"",ROW($1:$99)),COLUMN(L245))-1)</f>
        <v/>
      </c>
      <c r="AI246" s="75" t="str" cm="1">
        <f t="array" ref="AI246">MID(";"&amp;'CASE DATA'!$F246&amp;";",SMALL(IF(ISERROR(SEARCH(MID(";"&amp;'CASE DATA'!$F246&amp;";",ROW($1:$99),1),";")),"",ROW($1:$99)+1),COLUMN(M246)),SMALL(IF(ISERROR(SEARCH(MID(";"&amp;'CASE DATA'!$F246&amp;";",ROW($1:$99),1),";")),"",ROW($1:$99)),COLUMN(M245)+1)-SMALL(IF(ISERROR(SEARCH(MID(";"&amp;'CASE DATA'!$F246&amp;";",ROW($1:$99),1),";")),"",ROW($1:$99)),COLUMN(M245))-1)</f>
        <v/>
      </c>
      <c r="BO246" s="99"/>
      <c r="BP246" s="99"/>
      <c r="BQ246" s="99"/>
      <c r="BR246" s="99"/>
      <c r="BS246" s="99"/>
      <c r="BT246" s="99"/>
      <c r="BU246" s="99"/>
      <c r="BV246" s="99"/>
      <c r="BW246" s="99"/>
      <c r="BX246" s="99"/>
      <c r="BY246" s="99"/>
      <c r="BZ246" s="99"/>
      <c r="CA246" s="99"/>
      <c r="CB246" s="99"/>
      <c r="CC246" s="99"/>
      <c r="CD246" s="99"/>
      <c r="CE246" s="99"/>
      <c r="CF246" s="99"/>
      <c r="CG246" s="99"/>
      <c r="CH246" s="99"/>
      <c r="CI246" s="99"/>
      <c r="CJ246" s="99"/>
      <c r="CK246" s="99"/>
      <c r="CL246" s="99"/>
      <c r="CM246" s="99"/>
      <c r="CN246" s="99"/>
      <c r="CO246" s="99"/>
      <c r="CP246" s="99"/>
      <c r="CQ246" s="99"/>
      <c r="CR246" s="99"/>
      <c r="CS246" s="99"/>
      <c r="CT246" s="99"/>
      <c r="CU246" s="99"/>
      <c r="CV246" s="99"/>
      <c r="CW246" s="99"/>
      <c r="CX246" s="99"/>
      <c r="CY246" s="99"/>
      <c r="CZ246" s="99"/>
      <c r="DA246" s="99"/>
      <c r="DB246" s="99"/>
      <c r="DC246" s="99"/>
      <c r="DD246" s="99"/>
      <c r="DE246" s="99"/>
      <c r="DF246" s="99"/>
      <c r="DG246" s="99"/>
      <c r="DH246" s="99"/>
      <c r="DI246" s="99"/>
      <c r="DJ246" s="99"/>
      <c r="DK246" s="99"/>
      <c r="DL246" s="99"/>
      <c r="DM246" s="99"/>
      <c r="DN246" s="99"/>
      <c r="DO246" s="99"/>
      <c r="DP246" s="99"/>
      <c r="DQ246" s="99"/>
      <c r="DR246" s="99"/>
      <c r="DS246" s="99"/>
      <c r="DT246" s="99"/>
      <c r="DU246" s="99"/>
      <c r="DV246" s="99"/>
      <c r="DW246" s="99"/>
      <c r="DX246" s="99"/>
      <c r="DY246" s="99"/>
      <c r="DZ246" s="99"/>
      <c r="EA246" s="99"/>
      <c r="EB246" s="99"/>
      <c r="EC246" s="99"/>
      <c r="ED246" s="99"/>
      <c r="EE246" s="99"/>
      <c r="EF246" s="99"/>
      <c r="EG246" s="99"/>
      <c r="EH246" s="99"/>
      <c r="EI246" s="99"/>
      <c r="EJ246" s="99"/>
      <c r="EK246" s="99"/>
      <c r="EL246" s="99"/>
      <c r="EM246" s="99"/>
      <c r="EN246" s="99"/>
      <c r="EO246" s="99"/>
      <c r="EP246" s="99"/>
      <c r="EQ246" s="99"/>
      <c r="ER246" s="99"/>
      <c r="ES246" s="99"/>
      <c r="ET246" s="99"/>
      <c r="EU246" s="99"/>
      <c r="EV246" s="99"/>
      <c r="EW246" s="99"/>
      <c r="EX246" s="99"/>
      <c r="EY246" s="99"/>
      <c r="EZ246" s="99"/>
      <c r="FA246" s="99"/>
      <c r="FB246" s="99"/>
      <c r="FC246" s="99"/>
      <c r="FD246" s="99"/>
      <c r="FE246" s="99"/>
      <c r="FF246" s="99"/>
      <c r="FG246" s="99"/>
      <c r="FH246" s="99"/>
      <c r="FI246" s="99"/>
      <c r="FJ246" s="99"/>
      <c r="FK246" s="99"/>
    </row>
    <row r="247" spans="3:167" x14ac:dyDescent="0.25">
      <c r="C247" s="10"/>
      <c r="D247" s="10"/>
      <c r="J247" s="99">
        <v>244</v>
      </c>
      <c r="K247" s="16"/>
      <c r="L247" s="16"/>
      <c r="M247" s="16"/>
      <c r="N247" s="16"/>
      <c r="O247" s="16"/>
      <c r="P247" s="16"/>
      <c r="Q247" s="16"/>
      <c r="R247" s="16"/>
      <c r="S247" s="16"/>
      <c r="T247" s="16"/>
      <c r="U247" s="14">
        <f>SUM(K247:T247)</f>
        <v>0</v>
      </c>
      <c r="V247" s="14"/>
      <c r="X247" s="75" t="str" cm="1">
        <f t="array" ref="X247">MID(";"&amp;'CASE DATA'!$F247&amp;";",SMALL(IF(ISERROR(SEARCH(MID(";"&amp;'CASE DATA'!$F247&amp;";",ROW($1:$99),1),";")),"",ROW($1:$99)+1),COLUMN(A247)),SMALL(IF(ISERROR(SEARCH(MID(";"&amp;'CASE DATA'!$F247&amp;";",ROW($1:$99),1),";")),"",ROW($1:$99)),COLUMN(A246)+1)-SMALL(IF(ISERROR(SEARCH(MID(";"&amp;'CASE DATA'!$F247&amp;";",ROW($1:$99),1),";")),"",ROW($1:$99)),COLUMN(A246))-1)</f>
        <v/>
      </c>
      <c r="Y247" s="75" t="str" cm="1">
        <f t="array" ref="Y247">MID(";"&amp;'CASE DATA'!$F247&amp;";",SMALL(IF(ISERROR(SEARCH(MID(";"&amp;'CASE DATA'!$F247&amp;";",ROW($1:$99),1),";")),"",ROW($1:$99)+1),COLUMN(B247)),SMALL(IF(ISERROR(SEARCH(MID(";"&amp;'CASE DATA'!$F247&amp;";",ROW($1:$99),1),";")),"",ROW($1:$99)),COLUMN(B246)+1)-SMALL(IF(ISERROR(SEARCH(MID(";"&amp;'CASE DATA'!$F247&amp;";",ROW($1:$99),1),";")),"",ROW($1:$99)),COLUMN(B246))-1)</f>
        <v/>
      </c>
      <c r="Z247" s="75" t="str" cm="1">
        <f t="array" ref="Z247">MID(";"&amp;'CASE DATA'!$F247&amp;";",SMALL(IF(ISERROR(SEARCH(MID(";"&amp;'CASE DATA'!$F247&amp;";",ROW($1:$99),1),";")),"",ROW($1:$99)+1),COLUMN(C247)),SMALL(IF(ISERROR(SEARCH(MID(";"&amp;'CASE DATA'!$F247&amp;";",ROW($1:$99),1),";")),"",ROW($1:$99)),COLUMN(C246)+1)-SMALL(IF(ISERROR(SEARCH(MID(";"&amp;'CASE DATA'!$F247&amp;";",ROW($1:$99),1),";")),"",ROW($1:$99)),COLUMN(C246))-1)</f>
        <v/>
      </c>
      <c r="AA247" s="75" t="str" cm="1">
        <f t="array" ref="AA247">MID(";"&amp;'CASE DATA'!$F247&amp;";",SMALL(IF(ISERROR(SEARCH(MID(";"&amp;'CASE DATA'!$F247&amp;";",ROW($1:$99),1),";")),"",ROW($1:$99)+1),COLUMN(D247)),SMALL(IF(ISERROR(SEARCH(MID(";"&amp;'CASE DATA'!$F247&amp;";",ROW($1:$99),1),";")),"",ROW($1:$99)),COLUMN(D246)+1)-SMALL(IF(ISERROR(SEARCH(MID(";"&amp;'CASE DATA'!$F247&amp;";",ROW($1:$99),1),";")),"",ROW($1:$99)),COLUMN(D246))-1)</f>
        <v/>
      </c>
      <c r="AB247" s="75" t="str" cm="1">
        <f t="array" ref="AB247">MID(";"&amp;'CASE DATA'!$F247&amp;";",SMALL(IF(ISERROR(SEARCH(MID(";"&amp;'CASE DATA'!$F247&amp;";",ROW($1:$99),1),";")),"",ROW($1:$99)+1),COLUMN(E247)),SMALL(IF(ISERROR(SEARCH(MID(";"&amp;'CASE DATA'!$F247&amp;";",ROW($1:$99),1),";")),"",ROW($1:$99)),COLUMN(E246)+1)-SMALL(IF(ISERROR(SEARCH(MID(";"&amp;'CASE DATA'!$F247&amp;";",ROW($1:$99),1),";")),"",ROW($1:$99)),COLUMN(E246))-1)</f>
        <v/>
      </c>
      <c r="AC247" s="75" t="str" cm="1">
        <f t="array" ref="AC247">MID(";"&amp;'CASE DATA'!$F247&amp;";",SMALL(IF(ISERROR(SEARCH(MID(";"&amp;'CASE DATA'!$F247&amp;";",ROW($1:$99),1),";")),"",ROW($1:$99)+1),COLUMN(F247)),SMALL(IF(ISERROR(SEARCH(MID(";"&amp;'CASE DATA'!$F247&amp;";",ROW($1:$99),1),";")),"",ROW($1:$99)),COLUMN(F246)+1)-SMALL(IF(ISERROR(SEARCH(MID(";"&amp;'CASE DATA'!$F247&amp;";",ROW($1:$99),1),";")),"",ROW($1:$99)),COLUMN(F246))-1)</f>
        <v/>
      </c>
      <c r="AD247" s="75" t="str" cm="1">
        <f t="array" ref="AD247">MID(";"&amp;'CASE DATA'!$F247&amp;";",SMALL(IF(ISERROR(SEARCH(MID(";"&amp;'CASE DATA'!$F247&amp;";",ROW($1:$99),1),";")),"",ROW($1:$99)+1),COLUMN(G247)),SMALL(IF(ISERROR(SEARCH(MID(";"&amp;'CASE DATA'!$F247&amp;";",ROW($1:$99),1),";")),"",ROW($1:$99)),COLUMN(G246)+1)-SMALL(IF(ISERROR(SEARCH(MID(";"&amp;'CASE DATA'!$F247&amp;";",ROW($1:$99),1),";")),"",ROW($1:$99)),COLUMN(G246))-1)</f>
        <v/>
      </c>
      <c r="AE247" s="75" t="str" cm="1">
        <f t="array" ref="AE247">MID(";"&amp;'CASE DATA'!$F247&amp;";",SMALL(IF(ISERROR(SEARCH(MID(";"&amp;'CASE DATA'!$F247&amp;";",ROW($1:$99),1),";")),"",ROW($1:$99)+1),COLUMN(H247)),SMALL(IF(ISERROR(SEARCH(MID(";"&amp;'CASE DATA'!$F247&amp;";",ROW($1:$99),1),";")),"",ROW($1:$99)),COLUMN(H246)+1)-SMALL(IF(ISERROR(SEARCH(MID(";"&amp;'CASE DATA'!$F247&amp;";",ROW($1:$99),1),";")),"",ROW($1:$99)),COLUMN(H246))-1)</f>
        <v/>
      </c>
      <c r="AF247" s="75" t="str" cm="1">
        <f t="array" ref="AF247">MID(";"&amp;'CASE DATA'!$F247&amp;";",SMALL(IF(ISERROR(SEARCH(MID(";"&amp;'CASE DATA'!$F247&amp;";",ROW($1:$99),1),";")),"",ROW($1:$99)+1),COLUMN(I247)),SMALL(IF(ISERROR(SEARCH(MID(";"&amp;'CASE DATA'!$F247&amp;";",ROW($1:$99),1),";")),"",ROW($1:$99)),COLUMN(I246)+1)-SMALL(IF(ISERROR(SEARCH(MID(";"&amp;'CASE DATA'!$F247&amp;";",ROW($1:$99),1),";")),"",ROW($1:$99)),COLUMN(I246))-1)</f>
        <v/>
      </c>
      <c r="AG247" s="75" t="str" cm="1">
        <f t="array" ref="AG247">MID(";"&amp;'CASE DATA'!$F247&amp;";",SMALL(IF(ISERROR(SEARCH(MID(";"&amp;'CASE DATA'!$F247&amp;";",ROW($1:$99),1),";")),"",ROW($1:$99)+1),COLUMN(K247)),SMALL(IF(ISERROR(SEARCH(MID(";"&amp;'CASE DATA'!$F247&amp;";",ROW($1:$99),1),";")),"",ROW($1:$99)),COLUMN(K246)+1)-SMALL(IF(ISERROR(SEARCH(MID(";"&amp;'CASE DATA'!$F247&amp;";",ROW($1:$99),1),";")),"",ROW($1:$99)),COLUMN(K246))-1)</f>
        <v/>
      </c>
      <c r="AH247" s="75" t="str" cm="1">
        <f t="array" ref="AH247">MID(";"&amp;'CASE DATA'!$F247&amp;";",SMALL(IF(ISERROR(SEARCH(MID(";"&amp;'CASE DATA'!$F247&amp;";",ROW($1:$99),1),";")),"",ROW($1:$99)+1),COLUMN(L247)),SMALL(IF(ISERROR(SEARCH(MID(";"&amp;'CASE DATA'!$F247&amp;";",ROW($1:$99),1),";")),"",ROW($1:$99)),COLUMN(L246)+1)-SMALL(IF(ISERROR(SEARCH(MID(";"&amp;'CASE DATA'!$F247&amp;";",ROW($1:$99),1),";")),"",ROW($1:$99)),COLUMN(L246))-1)</f>
        <v/>
      </c>
      <c r="AI247" s="75" t="str" cm="1">
        <f t="array" ref="AI247">MID(";"&amp;'CASE DATA'!$F247&amp;";",SMALL(IF(ISERROR(SEARCH(MID(";"&amp;'CASE DATA'!$F247&amp;";",ROW($1:$99),1),";")),"",ROW($1:$99)+1),COLUMN(M247)),SMALL(IF(ISERROR(SEARCH(MID(";"&amp;'CASE DATA'!$F247&amp;";",ROW($1:$99),1),";")),"",ROW($1:$99)),COLUMN(M246)+1)-SMALL(IF(ISERROR(SEARCH(MID(";"&amp;'CASE DATA'!$F247&amp;";",ROW($1:$99),1),";")),"",ROW($1:$99)),COLUMN(M246))-1)</f>
        <v/>
      </c>
      <c r="BO247" s="99"/>
      <c r="BP247" s="99"/>
      <c r="BQ247" s="99"/>
      <c r="BR247" s="99"/>
      <c r="BS247" s="99"/>
      <c r="BT247" s="99"/>
      <c r="BU247" s="99"/>
      <c r="BV247" s="99"/>
      <c r="BW247" s="99"/>
      <c r="BX247" s="99"/>
      <c r="BY247" s="99"/>
      <c r="BZ247" s="99"/>
      <c r="CA247" s="99"/>
      <c r="CB247" s="99"/>
      <c r="CC247" s="99"/>
      <c r="CD247" s="99"/>
      <c r="CE247" s="99"/>
      <c r="CF247" s="99"/>
      <c r="CG247" s="99"/>
      <c r="CH247" s="99"/>
      <c r="CI247" s="99"/>
      <c r="CJ247" s="99"/>
      <c r="CK247" s="99"/>
      <c r="CL247" s="99"/>
      <c r="CM247" s="99"/>
      <c r="CN247" s="99"/>
      <c r="CO247" s="99"/>
      <c r="CP247" s="99"/>
      <c r="CQ247" s="99"/>
      <c r="CR247" s="99"/>
      <c r="CS247" s="99"/>
      <c r="CT247" s="99"/>
      <c r="CU247" s="99"/>
      <c r="CV247" s="99"/>
      <c r="CW247" s="99"/>
      <c r="CX247" s="99"/>
      <c r="CY247" s="99"/>
      <c r="CZ247" s="99"/>
      <c r="DA247" s="99"/>
      <c r="DB247" s="99"/>
      <c r="DC247" s="99"/>
      <c r="DD247" s="99"/>
      <c r="DE247" s="99"/>
      <c r="DF247" s="99"/>
      <c r="DG247" s="99"/>
      <c r="DH247" s="99"/>
      <c r="DI247" s="99"/>
      <c r="DJ247" s="99"/>
      <c r="DK247" s="99"/>
      <c r="DL247" s="99"/>
      <c r="DM247" s="99"/>
      <c r="DN247" s="99"/>
      <c r="DO247" s="99"/>
      <c r="DP247" s="99"/>
      <c r="DQ247" s="99"/>
      <c r="DR247" s="99"/>
      <c r="DS247" s="99"/>
      <c r="DT247" s="99"/>
      <c r="DU247" s="99"/>
      <c r="DV247" s="99"/>
      <c r="DW247" s="99"/>
      <c r="DX247" s="99"/>
      <c r="DY247" s="99"/>
      <c r="DZ247" s="99"/>
      <c r="EA247" s="99"/>
      <c r="EB247" s="99"/>
      <c r="EC247" s="99"/>
      <c r="ED247" s="99"/>
      <c r="EE247" s="99"/>
      <c r="EF247" s="99"/>
      <c r="EG247" s="99"/>
      <c r="EH247" s="99"/>
      <c r="EI247" s="99"/>
      <c r="EJ247" s="99"/>
      <c r="EK247" s="99"/>
      <c r="EL247" s="99"/>
      <c r="EM247" s="99"/>
      <c r="EN247" s="99"/>
      <c r="EO247" s="99"/>
      <c r="EP247" s="99"/>
      <c r="EQ247" s="99"/>
      <c r="ER247" s="99"/>
      <c r="ES247" s="99"/>
      <c r="ET247" s="99"/>
      <c r="EU247" s="99"/>
      <c r="EV247" s="99"/>
      <c r="EW247" s="99"/>
      <c r="EX247" s="99"/>
      <c r="EY247" s="99"/>
      <c r="EZ247" s="99"/>
      <c r="FA247" s="99"/>
      <c r="FB247" s="99"/>
      <c r="FC247" s="99"/>
      <c r="FD247" s="99"/>
      <c r="FE247" s="99"/>
      <c r="FF247" s="99"/>
      <c r="FG247" s="99"/>
      <c r="FH247" s="99"/>
      <c r="FI247" s="99"/>
      <c r="FJ247" s="99"/>
      <c r="FK247" s="99"/>
    </row>
    <row r="248" spans="3:167" x14ac:dyDescent="0.25">
      <c r="C248" s="10"/>
      <c r="D248" s="10"/>
      <c r="J248" s="99">
        <v>245</v>
      </c>
      <c r="K248" s="16"/>
      <c r="L248" s="16"/>
      <c r="M248" s="16"/>
      <c r="N248" s="16"/>
      <c r="O248" s="16"/>
      <c r="P248" s="16"/>
      <c r="Q248" s="16"/>
      <c r="R248" s="16"/>
      <c r="S248" s="16"/>
      <c r="T248" s="16"/>
      <c r="U248" s="14">
        <f>SUM(K248:T248)</f>
        <v>0</v>
      </c>
      <c r="V248" s="14"/>
      <c r="X248" s="75" t="str" cm="1">
        <f t="array" ref="X248">MID(";"&amp;'CASE DATA'!$F248&amp;";",SMALL(IF(ISERROR(SEARCH(MID(";"&amp;'CASE DATA'!$F248&amp;";",ROW($1:$99),1),";")),"",ROW($1:$99)+1),COLUMN(A248)),SMALL(IF(ISERROR(SEARCH(MID(";"&amp;'CASE DATA'!$F248&amp;";",ROW($1:$99),1),";")),"",ROW($1:$99)),COLUMN(A247)+1)-SMALL(IF(ISERROR(SEARCH(MID(";"&amp;'CASE DATA'!$F248&amp;";",ROW($1:$99),1),";")),"",ROW($1:$99)),COLUMN(A247))-1)</f>
        <v/>
      </c>
      <c r="Y248" s="75" t="str" cm="1">
        <f t="array" ref="Y248">MID(";"&amp;'CASE DATA'!$F248&amp;";",SMALL(IF(ISERROR(SEARCH(MID(";"&amp;'CASE DATA'!$F248&amp;";",ROW($1:$99),1),";")),"",ROW($1:$99)+1),COLUMN(B248)),SMALL(IF(ISERROR(SEARCH(MID(";"&amp;'CASE DATA'!$F248&amp;";",ROW($1:$99),1),";")),"",ROW($1:$99)),COLUMN(B247)+1)-SMALL(IF(ISERROR(SEARCH(MID(";"&amp;'CASE DATA'!$F248&amp;";",ROW($1:$99),1),";")),"",ROW($1:$99)),COLUMN(B247))-1)</f>
        <v/>
      </c>
      <c r="Z248" s="75" t="str" cm="1">
        <f t="array" ref="Z248">MID(";"&amp;'CASE DATA'!$F248&amp;";",SMALL(IF(ISERROR(SEARCH(MID(";"&amp;'CASE DATA'!$F248&amp;";",ROW($1:$99),1),";")),"",ROW($1:$99)+1),COLUMN(C248)),SMALL(IF(ISERROR(SEARCH(MID(";"&amp;'CASE DATA'!$F248&amp;";",ROW($1:$99),1),";")),"",ROW($1:$99)),COLUMN(C247)+1)-SMALL(IF(ISERROR(SEARCH(MID(";"&amp;'CASE DATA'!$F248&amp;";",ROW($1:$99),1),";")),"",ROW($1:$99)),COLUMN(C247))-1)</f>
        <v/>
      </c>
      <c r="AA248" s="75" t="str" cm="1">
        <f t="array" ref="AA248">MID(";"&amp;'CASE DATA'!$F248&amp;";",SMALL(IF(ISERROR(SEARCH(MID(";"&amp;'CASE DATA'!$F248&amp;";",ROW($1:$99),1),";")),"",ROW($1:$99)+1),COLUMN(D248)),SMALL(IF(ISERROR(SEARCH(MID(";"&amp;'CASE DATA'!$F248&amp;";",ROW($1:$99),1),";")),"",ROW($1:$99)),COLUMN(D247)+1)-SMALL(IF(ISERROR(SEARCH(MID(";"&amp;'CASE DATA'!$F248&amp;";",ROW($1:$99),1),";")),"",ROW($1:$99)),COLUMN(D247))-1)</f>
        <v/>
      </c>
      <c r="AB248" s="75" t="str" cm="1">
        <f t="array" ref="AB248">MID(";"&amp;'CASE DATA'!$F248&amp;";",SMALL(IF(ISERROR(SEARCH(MID(";"&amp;'CASE DATA'!$F248&amp;";",ROW($1:$99),1),";")),"",ROW($1:$99)+1),COLUMN(E248)),SMALL(IF(ISERROR(SEARCH(MID(";"&amp;'CASE DATA'!$F248&amp;";",ROW($1:$99),1),";")),"",ROW($1:$99)),COLUMN(E247)+1)-SMALL(IF(ISERROR(SEARCH(MID(";"&amp;'CASE DATA'!$F248&amp;";",ROW($1:$99),1),";")),"",ROW($1:$99)),COLUMN(E247))-1)</f>
        <v/>
      </c>
      <c r="AC248" s="75" t="str" cm="1">
        <f t="array" ref="AC248">MID(";"&amp;'CASE DATA'!$F248&amp;";",SMALL(IF(ISERROR(SEARCH(MID(";"&amp;'CASE DATA'!$F248&amp;";",ROW($1:$99),1),";")),"",ROW($1:$99)+1),COLUMN(F248)),SMALL(IF(ISERROR(SEARCH(MID(";"&amp;'CASE DATA'!$F248&amp;";",ROW($1:$99),1),";")),"",ROW($1:$99)),COLUMN(F247)+1)-SMALL(IF(ISERROR(SEARCH(MID(";"&amp;'CASE DATA'!$F248&amp;";",ROW($1:$99),1),";")),"",ROW($1:$99)),COLUMN(F247))-1)</f>
        <v/>
      </c>
      <c r="AD248" s="75" t="str" cm="1">
        <f t="array" ref="AD248">MID(";"&amp;'CASE DATA'!$F248&amp;";",SMALL(IF(ISERROR(SEARCH(MID(";"&amp;'CASE DATA'!$F248&amp;";",ROW($1:$99),1),";")),"",ROW($1:$99)+1),COLUMN(G248)),SMALL(IF(ISERROR(SEARCH(MID(";"&amp;'CASE DATA'!$F248&amp;";",ROW($1:$99),1),";")),"",ROW($1:$99)),COLUMN(G247)+1)-SMALL(IF(ISERROR(SEARCH(MID(";"&amp;'CASE DATA'!$F248&amp;";",ROW($1:$99),1),";")),"",ROW($1:$99)),COLUMN(G247))-1)</f>
        <v/>
      </c>
      <c r="AE248" s="75" t="str" cm="1">
        <f t="array" ref="AE248">MID(";"&amp;'CASE DATA'!$F248&amp;";",SMALL(IF(ISERROR(SEARCH(MID(";"&amp;'CASE DATA'!$F248&amp;";",ROW($1:$99),1),";")),"",ROW($1:$99)+1),COLUMN(H248)),SMALL(IF(ISERROR(SEARCH(MID(";"&amp;'CASE DATA'!$F248&amp;";",ROW($1:$99),1),";")),"",ROW($1:$99)),COLUMN(H247)+1)-SMALL(IF(ISERROR(SEARCH(MID(";"&amp;'CASE DATA'!$F248&amp;";",ROW($1:$99),1),";")),"",ROW($1:$99)),COLUMN(H247))-1)</f>
        <v/>
      </c>
      <c r="AF248" s="75" t="str" cm="1">
        <f t="array" ref="AF248">MID(";"&amp;'CASE DATA'!$F248&amp;";",SMALL(IF(ISERROR(SEARCH(MID(";"&amp;'CASE DATA'!$F248&amp;";",ROW($1:$99),1),";")),"",ROW($1:$99)+1),COLUMN(I248)),SMALL(IF(ISERROR(SEARCH(MID(";"&amp;'CASE DATA'!$F248&amp;";",ROW($1:$99),1),";")),"",ROW($1:$99)),COLUMN(I247)+1)-SMALL(IF(ISERROR(SEARCH(MID(";"&amp;'CASE DATA'!$F248&amp;";",ROW($1:$99),1),";")),"",ROW($1:$99)),COLUMN(I247))-1)</f>
        <v/>
      </c>
      <c r="AG248" s="75" t="str" cm="1">
        <f t="array" ref="AG248">MID(";"&amp;'CASE DATA'!$F248&amp;";",SMALL(IF(ISERROR(SEARCH(MID(";"&amp;'CASE DATA'!$F248&amp;";",ROW($1:$99),1),";")),"",ROW($1:$99)+1),COLUMN(K248)),SMALL(IF(ISERROR(SEARCH(MID(";"&amp;'CASE DATA'!$F248&amp;";",ROW($1:$99),1),";")),"",ROW($1:$99)),COLUMN(K247)+1)-SMALL(IF(ISERROR(SEARCH(MID(";"&amp;'CASE DATA'!$F248&amp;";",ROW($1:$99),1),";")),"",ROW($1:$99)),COLUMN(K247))-1)</f>
        <v/>
      </c>
      <c r="AH248" s="75" t="str" cm="1">
        <f t="array" ref="AH248">MID(";"&amp;'CASE DATA'!$F248&amp;";",SMALL(IF(ISERROR(SEARCH(MID(";"&amp;'CASE DATA'!$F248&amp;";",ROW($1:$99),1),";")),"",ROW($1:$99)+1),COLUMN(L248)),SMALL(IF(ISERROR(SEARCH(MID(";"&amp;'CASE DATA'!$F248&amp;";",ROW($1:$99),1),";")),"",ROW($1:$99)),COLUMN(L247)+1)-SMALL(IF(ISERROR(SEARCH(MID(";"&amp;'CASE DATA'!$F248&amp;";",ROW($1:$99),1),";")),"",ROW($1:$99)),COLUMN(L247))-1)</f>
        <v/>
      </c>
      <c r="AI248" s="75" t="str" cm="1">
        <f t="array" ref="AI248">MID(";"&amp;'CASE DATA'!$F248&amp;";",SMALL(IF(ISERROR(SEARCH(MID(";"&amp;'CASE DATA'!$F248&amp;";",ROW($1:$99),1),";")),"",ROW($1:$99)+1),COLUMN(M248)),SMALL(IF(ISERROR(SEARCH(MID(";"&amp;'CASE DATA'!$F248&amp;";",ROW($1:$99),1),";")),"",ROW($1:$99)),COLUMN(M247)+1)-SMALL(IF(ISERROR(SEARCH(MID(";"&amp;'CASE DATA'!$F248&amp;";",ROW($1:$99),1),";")),"",ROW($1:$99)),COLUMN(M247))-1)</f>
        <v/>
      </c>
      <c r="BO248" s="99"/>
      <c r="BP248" s="99"/>
      <c r="BQ248" s="99"/>
      <c r="BR248" s="99"/>
      <c r="BS248" s="99"/>
      <c r="BT248" s="99"/>
      <c r="BU248" s="99"/>
      <c r="BV248" s="99"/>
      <c r="BW248" s="99"/>
      <c r="BX248" s="99"/>
      <c r="BY248" s="99"/>
      <c r="BZ248" s="99"/>
      <c r="CA248" s="99"/>
      <c r="CB248" s="99"/>
      <c r="CC248" s="99"/>
      <c r="CD248" s="99"/>
      <c r="CE248" s="99"/>
      <c r="CF248" s="99"/>
      <c r="CG248" s="99"/>
      <c r="CH248" s="99"/>
      <c r="CI248" s="99"/>
      <c r="CJ248" s="99"/>
      <c r="CK248" s="99"/>
      <c r="CL248" s="99"/>
      <c r="CM248" s="99"/>
      <c r="CN248" s="99"/>
      <c r="CO248" s="99"/>
      <c r="CP248" s="99"/>
      <c r="CQ248" s="99"/>
      <c r="CR248" s="99"/>
      <c r="CS248" s="99"/>
      <c r="CT248" s="99"/>
      <c r="CU248" s="99"/>
      <c r="CV248" s="99"/>
      <c r="CW248" s="99"/>
      <c r="CX248" s="99"/>
      <c r="CY248" s="99"/>
      <c r="CZ248" s="99"/>
      <c r="DA248" s="99"/>
      <c r="DB248" s="99"/>
      <c r="DC248" s="99"/>
      <c r="DD248" s="99"/>
      <c r="DE248" s="99"/>
      <c r="DF248" s="99"/>
      <c r="DG248" s="99"/>
      <c r="DH248" s="99"/>
      <c r="DI248" s="99"/>
      <c r="DJ248" s="99"/>
      <c r="DK248" s="99"/>
      <c r="DL248" s="99"/>
      <c r="DM248" s="99"/>
      <c r="DN248" s="99"/>
      <c r="DO248" s="99"/>
      <c r="DP248" s="99"/>
      <c r="DQ248" s="99"/>
      <c r="DR248" s="99"/>
      <c r="DS248" s="99"/>
      <c r="DT248" s="99"/>
      <c r="DU248" s="99"/>
      <c r="DV248" s="99"/>
      <c r="DW248" s="99"/>
      <c r="DX248" s="99"/>
      <c r="DY248" s="99"/>
      <c r="DZ248" s="99"/>
      <c r="EA248" s="99"/>
      <c r="EB248" s="99"/>
      <c r="EC248" s="99"/>
      <c r="ED248" s="99"/>
      <c r="EE248" s="99"/>
      <c r="EF248" s="99"/>
      <c r="EG248" s="99"/>
      <c r="EH248" s="99"/>
      <c r="EI248" s="99"/>
      <c r="EJ248" s="99"/>
      <c r="EK248" s="99"/>
      <c r="EL248" s="99"/>
      <c r="EM248" s="99"/>
      <c r="EN248" s="99"/>
      <c r="EO248" s="99"/>
      <c r="EP248" s="99"/>
      <c r="EQ248" s="99"/>
      <c r="ER248" s="99"/>
      <c r="ES248" s="99"/>
      <c r="ET248" s="99"/>
      <c r="EU248" s="99"/>
      <c r="EV248" s="99"/>
      <c r="EW248" s="99"/>
      <c r="EX248" s="99"/>
      <c r="EY248" s="99"/>
      <c r="EZ248" s="99"/>
      <c r="FA248" s="99"/>
      <c r="FB248" s="99"/>
      <c r="FC248" s="99"/>
      <c r="FD248" s="99"/>
      <c r="FE248" s="99"/>
      <c r="FF248" s="99"/>
      <c r="FG248" s="99"/>
      <c r="FH248" s="99"/>
      <c r="FI248" s="99"/>
      <c r="FJ248" s="99"/>
      <c r="FK248" s="99"/>
    </row>
    <row r="249" spans="3:167" x14ac:dyDescent="0.25">
      <c r="C249" s="10"/>
      <c r="D249" s="10"/>
      <c r="J249" s="99">
        <v>246</v>
      </c>
      <c r="K249" s="16"/>
      <c r="L249" s="16"/>
      <c r="M249" s="16"/>
      <c r="N249" s="16"/>
      <c r="O249" s="16"/>
      <c r="P249" s="16"/>
      <c r="Q249" s="16"/>
      <c r="R249" s="16"/>
      <c r="S249" s="16"/>
      <c r="T249" s="16"/>
      <c r="U249" s="14">
        <f>SUM(K249:T249)</f>
        <v>0</v>
      </c>
      <c r="V249" s="14"/>
      <c r="X249" s="75" t="str" cm="1">
        <f t="array" ref="X249">MID(";"&amp;'CASE DATA'!$F249&amp;";",SMALL(IF(ISERROR(SEARCH(MID(";"&amp;'CASE DATA'!$F249&amp;";",ROW($1:$99),1),";")),"",ROW($1:$99)+1),COLUMN(A249)),SMALL(IF(ISERROR(SEARCH(MID(";"&amp;'CASE DATA'!$F249&amp;";",ROW($1:$99),1),";")),"",ROW($1:$99)),COLUMN(A248)+1)-SMALL(IF(ISERROR(SEARCH(MID(";"&amp;'CASE DATA'!$F249&amp;";",ROW($1:$99),1),";")),"",ROW($1:$99)),COLUMN(A248))-1)</f>
        <v/>
      </c>
      <c r="Y249" s="75" t="str" cm="1">
        <f t="array" ref="Y249">MID(";"&amp;'CASE DATA'!$F249&amp;";",SMALL(IF(ISERROR(SEARCH(MID(";"&amp;'CASE DATA'!$F249&amp;";",ROW($1:$99),1),";")),"",ROW($1:$99)+1),COLUMN(B249)),SMALL(IF(ISERROR(SEARCH(MID(";"&amp;'CASE DATA'!$F249&amp;";",ROW($1:$99),1),";")),"",ROW($1:$99)),COLUMN(B248)+1)-SMALL(IF(ISERROR(SEARCH(MID(";"&amp;'CASE DATA'!$F249&amp;";",ROW($1:$99),1),";")),"",ROW($1:$99)),COLUMN(B248))-1)</f>
        <v/>
      </c>
      <c r="Z249" s="75" t="str" cm="1">
        <f t="array" ref="Z249">MID(";"&amp;'CASE DATA'!$F249&amp;";",SMALL(IF(ISERROR(SEARCH(MID(";"&amp;'CASE DATA'!$F249&amp;";",ROW($1:$99),1),";")),"",ROW($1:$99)+1),COLUMN(C249)),SMALL(IF(ISERROR(SEARCH(MID(";"&amp;'CASE DATA'!$F249&amp;";",ROW($1:$99),1),";")),"",ROW($1:$99)),COLUMN(C248)+1)-SMALL(IF(ISERROR(SEARCH(MID(";"&amp;'CASE DATA'!$F249&amp;";",ROW($1:$99),1),";")),"",ROW($1:$99)),COLUMN(C248))-1)</f>
        <v/>
      </c>
      <c r="AA249" s="75" t="str" cm="1">
        <f t="array" ref="AA249">MID(";"&amp;'CASE DATA'!$F249&amp;";",SMALL(IF(ISERROR(SEARCH(MID(";"&amp;'CASE DATA'!$F249&amp;";",ROW($1:$99),1),";")),"",ROW($1:$99)+1),COLUMN(D249)),SMALL(IF(ISERROR(SEARCH(MID(";"&amp;'CASE DATA'!$F249&amp;";",ROW($1:$99),1),";")),"",ROW($1:$99)),COLUMN(D248)+1)-SMALL(IF(ISERROR(SEARCH(MID(";"&amp;'CASE DATA'!$F249&amp;";",ROW($1:$99),1),";")),"",ROW($1:$99)),COLUMN(D248))-1)</f>
        <v/>
      </c>
      <c r="AB249" s="75" t="str" cm="1">
        <f t="array" ref="AB249">MID(";"&amp;'CASE DATA'!$F249&amp;";",SMALL(IF(ISERROR(SEARCH(MID(";"&amp;'CASE DATA'!$F249&amp;";",ROW($1:$99),1),";")),"",ROW($1:$99)+1),COLUMN(E249)),SMALL(IF(ISERROR(SEARCH(MID(";"&amp;'CASE DATA'!$F249&amp;";",ROW($1:$99),1),";")),"",ROW($1:$99)),COLUMN(E248)+1)-SMALL(IF(ISERROR(SEARCH(MID(";"&amp;'CASE DATA'!$F249&amp;";",ROW($1:$99),1),";")),"",ROW($1:$99)),COLUMN(E248))-1)</f>
        <v/>
      </c>
      <c r="AC249" s="75" t="str" cm="1">
        <f t="array" ref="AC249">MID(";"&amp;'CASE DATA'!$F249&amp;";",SMALL(IF(ISERROR(SEARCH(MID(";"&amp;'CASE DATA'!$F249&amp;";",ROW($1:$99),1),";")),"",ROW($1:$99)+1),COLUMN(F249)),SMALL(IF(ISERROR(SEARCH(MID(";"&amp;'CASE DATA'!$F249&amp;";",ROW($1:$99),1),";")),"",ROW($1:$99)),COLUMN(F248)+1)-SMALL(IF(ISERROR(SEARCH(MID(";"&amp;'CASE DATA'!$F249&amp;";",ROW($1:$99),1),";")),"",ROW($1:$99)),COLUMN(F248))-1)</f>
        <v/>
      </c>
      <c r="AD249" s="75" t="str" cm="1">
        <f t="array" ref="AD249">MID(";"&amp;'CASE DATA'!$F249&amp;";",SMALL(IF(ISERROR(SEARCH(MID(";"&amp;'CASE DATA'!$F249&amp;";",ROW($1:$99),1),";")),"",ROW($1:$99)+1),COLUMN(G249)),SMALL(IF(ISERROR(SEARCH(MID(";"&amp;'CASE DATA'!$F249&amp;";",ROW($1:$99),1),";")),"",ROW($1:$99)),COLUMN(G248)+1)-SMALL(IF(ISERROR(SEARCH(MID(";"&amp;'CASE DATA'!$F249&amp;";",ROW($1:$99),1),";")),"",ROW($1:$99)),COLUMN(G248))-1)</f>
        <v/>
      </c>
      <c r="AE249" s="75" t="str" cm="1">
        <f t="array" ref="AE249">MID(";"&amp;'CASE DATA'!$F249&amp;";",SMALL(IF(ISERROR(SEARCH(MID(";"&amp;'CASE DATA'!$F249&amp;";",ROW($1:$99),1),";")),"",ROW($1:$99)+1),COLUMN(H249)),SMALL(IF(ISERROR(SEARCH(MID(";"&amp;'CASE DATA'!$F249&amp;";",ROW($1:$99),1),";")),"",ROW($1:$99)),COLUMN(H248)+1)-SMALL(IF(ISERROR(SEARCH(MID(";"&amp;'CASE DATA'!$F249&amp;";",ROW($1:$99),1),";")),"",ROW($1:$99)),COLUMN(H248))-1)</f>
        <v/>
      </c>
      <c r="AF249" s="75" t="str" cm="1">
        <f t="array" ref="AF249">MID(";"&amp;'CASE DATA'!$F249&amp;";",SMALL(IF(ISERROR(SEARCH(MID(";"&amp;'CASE DATA'!$F249&amp;";",ROW($1:$99),1),";")),"",ROW($1:$99)+1),COLUMN(I249)),SMALL(IF(ISERROR(SEARCH(MID(";"&amp;'CASE DATA'!$F249&amp;";",ROW($1:$99),1),";")),"",ROW($1:$99)),COLUMN(I248)+1)-SMALL(IF(ISERROR(SEARCH(MID(";"&amp;'CASE DATA'!$F249&amp;";",ROW($1:$99),1),";")),"",ROW($1:$99)),COLUMN(I248))-1)</f>
        <v/>
      </c>
      <c r="AG249" s="75" t="str" cm="1">
        <f t="array" ref="AG249">MID(";"&amp;'CASE DATA'!$F249&amp;";",SMALL(IF(ISERROR(SEARCH(MID(";"&amp;'CASE DATA'!$F249&amp;";",ROW($1:$99),1),";")),"",ROW($1:$99)+1),COLUMN(K249)),SMALL(IF(ISERROR(SEARCH(MID(";"&amp;'CASE DATA'!$F249&amp;";",ROW($1:$99),1),";")),"",ROW($1:$99)),COLUMN(K248)+1)-SMALL(IF(ISERROR(SEARCH(MID(";"&amp;'CASE DATA'!$F249&amp;";",ROW($1:$99),1),";")),"",ROW($1:$99)),COLUMN(K248))-1)</f>
        <v/>
      </c>
      <c r="AH249" s="75" t="str" cm="1">
        <f t="array" ref="AH249">MID(";"&amp;'CASE DATA'!$F249&amp;";",SMALL(IF(ISERROR(SEARCH(MID(";"&amp;'CASE DATA'!$F249&amp;";",ROW($1:$99),1),";")),"",ROW($1:$99)+1),COLUMN(L249)),SMALL(IF(ISERROR(SEARCH(MID(";"&amp;'CASE DATA'!$F249&amp;";",ROW($1:$99),1),";")),"",ROW($1:$99)),COLUMN(L248)+1)-SMALL(IF(ISERROR(SEARCH(MID(";"&amp;'CASE DATA'!$F249&amp;";",ROW($1:$99),1),";")),"",ROW($1:$99)),COLUMN(L248))-1)</f>
        <v/>
      </c>
      <c r="AI249" s="75" t="str" cm="1">
        <f t="array" ref="AI249">MID(";"&amp;'CASE DATA'!$F249&amp;";",SMALL(IF(ISERROR(SEARCH(MID(";"&amp;'CASE DATA'!$F249&amp;";",ROW($1:$99),1),";")),"",ROW($1:$99)+1),COLUMN(M249)),SMALL(IF(ISERROR(SEARCH(MID(";"&amp;'CASE DATA'!$F249&amp;";",ROW($1:$99),1),";")),"",ROW($1:$99)),COLUMN(M248)+1)-SMALL(IF(ISERROR(SEARCH(MID(";"&amp;'CASE DATA'!$F249&amp;";",ROW($1:$99),1),";")),"",ROW($1:$99)),COLUMN(M248))-1)</f>
        <v/>
      </c>
      <c r="BO249" s="99"/>
      <c r="BP249" s="99"/>
      <c r="BQ249" s="99"/>
      <c r="BR249" s="99"/>
      <c r="BS249" s="99"/>
      <c r="BT249" s="99"/>
      <c r="BU249" s="99"/>
      <c r="BV249" s="99"/>
      <c r="BW249" s="99"/>
      <c r="BX249" s="99"/>
      <c r="BY249" s="99"/>
      <c r="BZ249" s="99"/>
      <c r="CA249" s="99"/>
      <c r="CB249" s="99"/>
      <c r="CC249" s="99"/>
      <c r="CD249" s="99"/>
      <c r="CE249" s="99"/>
      <c r="CF249" s="99"/>
      <c r="CG249" s="99"/>
      <c r="CH249" s="99"/>
      <c r="CI249" s="99"/>
      <c r="CJ249" s="99"/>
      <c r="CK249" s="99"/>
      <c r="CL249" s="99"/>
      <c r="CM249" s="99"/>
      <c r="CN249" s="99"/>
      <c r="CO249" s="99"/>
      <c r="CP249" s="99"/>
      <c r="CQ249" s="99"/>
      <c r="CR249" s="99"/>
      <c r="CS249" s="99"/>
      <c r="CT249" s="99"/>
      <c r="CU249" s="99"/>
      <c r="CV249" s="99"/>
      <c r="CW249" s="99"/>
      <c r="CX249" s="99"/>
      <c r="CY249" s="99"/>
      <c r="CZ249" s="99"/>
      <c r="DA249" s="99"/>
      <c r="DB249" s="99"/>
      <c r="DC249" s="99"/>
      <c r="DD249" s="99"/>
      <c r="DE249" s="99"/>
      <c r="DF249" s="99"/>
      <c r="DG249" s="99"/>
      <c r="DH249" s="99"/>
      <c r="DI249" s="99"/>
      <c r="DJ249" s="99"/>
      <c r="DK249" s="99"/>
      <c r="DL249" s="99"/>
      <c r="DM249" s="99"/>
      <c r="DN249" s="99"/>
      <c r="DO249" s="99"/>
      <c r="DP249" s="99"/>
      <c r="DQ249" s="99"/>
      <c r="DR249" s="99"/>
      <c r="DS249" s="99"/>
      <c r="DT249" s="99"/>
      <c r="DU249" s="99"/>
      <c r="DV249" s="99"/>
      <c r="DW249" s="99"/>
      <c r="DX249" s="99"/>
      <c r="DY249" s="99"/>
      <c r="DZ249" s="99"/>
      <c r="EA249" s="99"/>
      <c r="EB249" s="99"/>
      <c r="EC249" s="99"/>
      <c r="ED249" s="99"/>
      <c r="EE249" s="99"/>
      <c r="EF249" s="99"/>
      <c r="EG249" s="99"/>
      <c r="EH249" s="99"/>
      <c r="EI249" s="99"/>
      <c r="EJ249" s="99"/>
      <c r="EK249" s="99"/>
      <c r="EL249" s="99"/>
      <c r="EM249" s="99"/>
      <c r="EN249" s="99"/>
      <c r="EO249" s="99"/>
      <c r="EP249" s="99"/>
      <c r="EQ249" s="99"/>
      <c r="ER249" s="99"/>
      <c r="ES249" s="99"/>
      <c r="ET249" s="99"/>
      <c r="EU249" s="99"/>
      <c r="EV249" s="99"/>
      <c r="EW249" s="99"/>
      <c r="EX249" s="99"/>
      <c r="EY249" s="99"/>
      <c r="EZ249" s="99"/>
      <c r="FA249" s="99"/>
      <c r="FB249" s="99"/>
      <c r="FC249" s="99"/>
      <c r="FD249" s="99"/>
      <c r="FE249" s="99"/>
      <c r="FF249" s="99"/>
      <c r="FG249" s="99"/>
      <c r="FH249" s="99"/>
      <c r="FI249" s="99"/>
      <c r="FJ249" s="99"/>
      <c r="FK249" s="99"/>
    </row>
    <row r="250" spans="3:167" x14ac:dyDescent="0.25">
      <c r="C250" s="10"/>
      <c r="D250" s="10"/>
      <c r="J250" s="99">
        <v>247</v>
      </c>
      <c r="K250" s="16"/>
      <c r="L250" s="16"/>
      <c r="M250" s="16"/>
      <c r="N250" s="16"/>
      <c r="O250" s="16"/>
      <c r="P250" s="16"/>
      <c r="Q250" s="16"/>
      <c r="R250" s="16"/>
      <c r="S250" s="16"/>
      <c r="T250" s="16"/>
      <c r="U250" s="14">
        <f>SUM(K250:T250)</f>
        <v>0</v>
      </c>
      <c r="V250" s="14"/>
      <c r="X250" s="75" t="str" cm="1">
        <f t="array" ref="X250">MID(";"&amp;'CASE DATA'!$F250&amp;";",SMALL(IF(ISERROR(SEARCH(MID(";"&amp;'CASE DATA'!$F250&amp;";",ROW($1:$99),1),";")),"",ROW($1:$99)+1),COLUMN(A250)),SMALL(IF(ISERROR(SEARCH(MID(";"&amp;'CASE DATA'!$F250&amp;";",ROW($1:$99),1),";")),"",ROW($1:$99)),COLUMN(A249)+1)-SMALL(IF(ISERROR(SEARCH(MID(";"&amp;'CASE DATA'!$F250&amp;";",ROW($1:$99),1),";")),"",ROW($1:$99)),COLUMN(A249))-1)</f>
        <v/>
      </c>
      <c r="Y250" s="75" t="str" cm="1">
        <f t="array" ref="Y250">MID(";"&amp;'CASE DATA'!$F250&amp;";",SMALL(IF(ISERROR(SEARCH(MID(";"&amp;'CASE DATA'!$F250&amp;";",ROW($1:$99),1),";")),"",ROW($1:$99)+1),COLUMN(B250)),SMALL(IF(ISERROR(SEARCH(MID(";"&amp;'CASE DATA'!$F250&amp;";",ROW($1:$99),1),";")),"",ROW($1:$99)),COLUMN(B249)+1)-SMALL(IF(ISERROR(SEARCH(MID(";"&amp;'CASE DATA'!$F250&amp;";",ROW($1:$99),1),";")),"",ROW($1:$99)),COLUMN(B249))-1)</f>
        <v/>
      </c>
      <c r="Z250" s="75" t="str" cm="1">
        <f t="array" ref="Z250">MID(";"&amp;'CASE DATA'!$F250&amp;";",SMALL(IF(ISERROR(SEARCH(MID(";"&amp;'CASE DATA'!$F250&amp;";",ROW($1:$99),1),";")),"",ROW($1:$99)+1),COLUMN(C250)),SMALL(IF(ISERROR(SEARCH(MID(";"&amp;'CASE DATA'!$F250&amp;";",ROW($1:$99),1),";")),"",ROW($1:$99)),COLUMN(C249)+1)-SMALL(IF(ISERROR(SEARCH(MID(";"&amp;'CASE DATA'!$F250&amp;";",ROW($1:$99),1),";")),"",ROW($1:$99)),COLUMN(C249))-1)</f>
        <v/>
      </c>
      <c r="AA250" s="75" t="str" cm="1">
        <f t="array" ref="AA250">MID(";"&amp;'CASE DATA'!$F250&amp;";",SMALL(IF(ISERROR(SEARCH(MID(";"&amp;'CASE DATA'!$F250&amp;";",ROW($1:$99),1),";")),"",ROW($1:$99)+1),COLUMN(D250)),SMALL(IF(ISERROR(SEARCH(MID(";"&amp;'CASE DATA'!$F250&amp;";",ROW($1:$99),1),";")),"",ROW($1:$99)),COLUMN(D249)+1)-SMALL(IF(ISERROR(SEARCH(MID(";"&amp;'CASE DATA'!$F250&amp;";",ROW($1:$99),1),";")),"",ROW($1:$99)),COLUMN(D249))-1)</f>
        <v/>
      </c>
      <c r="AB250" s="75" t="str" cm="1">
        <f t="array" ref="AB250">MID(";"&amp;'CASE DATA'!$F250&amp;";",SMALL(IF(ISERROR(SEARCH(MID(";"&amp;'CASE DATA'!$F250&amp;";",ROW($1:$99),1),";")),"",ROW($1:$99)+1),COLUMN(E250)),SMALL(IF(ISERROR(SEARCH(MID(";"&amp;'CASE DATA'!$F250&amp;";",ROW($1:$99),1),";")),"",ROW($1:$99)),COLUMN(E249)+1)-SMALL(IF(ISERROR(SEARCH(MID(";"&amp;'CASE DATA'!$F250&amp;";",ROW($1:$99),1),";")),"",ROW($1:$99)),COLUMN(E249))-1)</f>
        <v/>
      </c>
      <c r="AC250" s="75" t="str" cm="1">
        <f t="array" ref="AC250">MID(";"&amp;'CASE DATA'!$F250&amp;";",SMALL(IF(ISERROR(SEARCH(MID(";"&amp;'CASE DATA'!$F250&amp;";",ROW($1:$99),1),";")),"",ROW($1:$99)+1),COLUMN(F250)),SMALL(IF(ISERROR(SEARCH(MID(";"&amp;'CASE DATA'!$F250&amp;";",ROW($1:$99),1),";")),"",ROW($1:$99)),COLUMN(F249)+1)-SMALL(IF(ISERROR(SEARCH(MID(";"&amp;'CASE DATA'!$F250&amp;";",ROW($1:$99),1),";")),"",ROW($1:$99)),COLUMN(F249))-1)</f>
        <v/>
      </c>
      <c r="AD250" s="75" t="str" cm="1">
        <f t="array" ref="AD250">MID(";"&amp;'CASE DATA'!$F250&amp;";",SMALL(IF(ISERROR(SEARCH(MID(";"&amp;'CASE DATA'!$F250&amp;";",ROW($1:$99),1),";")),"",ROW($1:$99)+1),COLUMN(G250)),SMALL(IF(ISERROR(SEARCH(MID(";"&amp;'CASE DATA'!$F250&amp;";",ROW($1:$99),1),";")),"",ROW($1:$99)),COLUMN(G249)+1)-SMALL(IF(ISERROR(SEARCH(MID(";"&amp;'CASE DATA'!$F250&amp;";",ROW($1:$99),1),";")),"",ROW($1:$99)),COLUMN(G249))-1)</f>
        <v/>
      </c>
      <c r="AE250" s="75" t="str" cm="1">
        <f t="array" ref="AE250">MID(";"&amp;'CASE DATA'!$F250&amp;";",SMALL(IF(ISERROR(SEARCH(MID(";"&amp;'CASE DATA'!$F250&amp;";",ROW($1:$99),1),";")),"",ROW($1:$99)+1),COLUMN(H250)),SMALL(IF(ISERROR(SEARCH(MID(";"&amp;'CASE DATA'!$F250&amp;";",ROW($1:$99),1),";")),"",ROW($1:$99)),COLUMN(H249)+1)-SMALL(IF(ISERROR(SEARCH(MID(";"&amp;'CASE DATA'!$F250&amp;";",ROW($1:$99),1),";")),"",ROW($1:$99)),COLUMN(H249))-1)</f>
        <v/>
      </c>
      <c r="AF250" s="75" t="str" cm="1">
        <f t="array" ref="AF250">MID(";"&amp;'CASE DATA'!$F250&amp;";",SMALL(IF(ISERROR(SEARCH(MID(";"&amp;'CASE DATA'!$F250&amp;";",ROW($1:$99),1),";")),"",ROW($1:$99)+1),COLUMN(I250)),SMALL(IF(ISERROR(SEARCH(MID(";"&amp;'CASE DATA'!$F250&amp;";",ROW($1:$99),1),";")),"",ROW($1:$99)),COLUMN(I249)+1)-SMALL(IF(ISERROR(SEARCH(MID(";"&amp;'CASE DATA'!$F250&amp;";",ROW($1:$99),1),";")),"",ROW($1:$99)),COLUMN(I249))-1)</f>
        <v/>
      </c>
      <c r="AG250" s="75" t="str" cm="1">
        <f t="array" ref="AG250">MID(";"&amp;'CASE DATA'!$F250&amp;";",SMALL(IF(ISERROR(SEARCH(MID(";"&amp;'CASE DATA'!$F250&amp;";",ROW($1:$99),1),";")),"",ROW($1:$99)+1),COLUMN(K250)),SMALL(IF(ISERROR(SEARCH(MID(";"&amp;'CASE DATA'!$F250&amp;";",ROW($1:$99),1),";")),"",ROW($1:$99)),COLUMN(K249)+1)-SMALL(IF(ISERROR(SEARCH(MID(";"&amp;'CASE DATA'!$F250&amp;";",ROW($1:$99),1),";")),"",ROW($1:$99)),COLUMN(K249))-1)</f>
        <v/>
      </c>
      <c r="AH250" s="75" t="str" cm="1">
        <f t="array" ref="AH250">MID(";"&amp;'CASE DATA'!$F250&amp;";",SMALL(IF(ISERROR(SEARCH(MID(";"&amp;'CASE DATA'!$F250&amp;";",ROW($1:$99),1),";")),"",ROW($1:$99)+1),COLUMN(L250)),SMALL(IF(ISERROR(SEARCH(MID(";"&amp;'CASE DATA'!$F250&amp;";",ROW($1:$99),1),";")),"",ROW($1:$99)),COLUMN(L249)+1)-SMALL(IF(ISERROR(SEARCH(MID(";"&amp;'CASE DATA'!$F250&amp;";",ROW($1:$99),1),";")),"",ROW($1:$99)),COLUMN(L249))-1)</f>
        <v/>
      </c>
      <c r="AI250" s="75" t="str" cm="1">
        <f t="array" ref="AI250">MID(";"&amp;'CASE DATA'!$F250&amp;";",SMALL(IF(ISERROR(SEARCH(MID(";"&amp;'CASE DATA'!$F250&amp;";",ROW($1:$99),1),";")),"",ROW($1:$99)+1),COLUMN(M250)),SMALL(IF(ISERROR(SEARCH(MID(";"&amp;'CASE DATA'!$F250&amp;";",ROW($1:$99),1),";")),"",ROW($1:$99)),COLUMN(M249)+1)-SMALL(IF(ISERROR(SEARCH(MID(";"&amp;'CASE DATA'!$F250&amp;";",ROW($1:$99),1),";")),"",ROW($1:$99)),COLUMN(M249))-1)</f>
        <v/>
      </c>
      <c r="BO250" s="99"/>
      <c r="BP250" s="99"/>
      <c r="BQ250" s="99"/>
      <c r="BR250" s="99"/>
      <c r="BS250" s="99"/>
      <c r="BT250" s="99"/>
      <c r="BU250" s="99"/>
      <c r="BV250" s="99"/>
      <c r="BW250" s="99"/>
      <c r="BX250" s="99"/>
      <c r="BY250" s="99"/>
      <c r="BZ250" s="99"/>
      <c r="CA250" s="99"/>
      <c r="CB250" s="99"/>
      <c r="CC250" s="99"/>
      <c r="CD250" s="99"/>
      <c r="CE250" s="99"/>
      <c r="CF250" s="99"/>
      <c r="CG250" s="99"/>
      <c r="CH250" s="99"/>
      <c r="CI250" s="99"/>
      <c r="CJ250" s="99"/>
      <c r="CK250" s="99"/>
      <c r="CL250" s="99"/>
      <c r="CM250" s="99"/>
      <c r="CN250" s="99"/>
      <c r="CO250" s="99"/>
      <c r="CP250" s="99"/>
      <c r="CQ250" s="99"/>
      <c r="CR250" s="99"/>
      <c r="CS250" s="99"/>
      <c r="CT250" s="99"/>
      <c r="CU250" s="99"/>
      <c r="CV250" s="99"/>
      <c r="CW250" s="99"/>
      <c r="CX250" s="99"/>
      <c r="CY250" s="99"/>
      <c r="CZ250" s="99"/>
      <c r="DA250" s="99"/>
      <c r="DB250" s="99"/>
      <c r="DC250" s="99"/>
      <c r="DD250" s="99"/>
      <c r="DE250" s="99"/>
      <c r="DF250" s="99"/>
      <c r="DG250" s="99"/>
      <c r="DH250" s="99"/>
      <c r="DI250" s="99"/>
      <c r="DJ250" s="99"/>
      <c r="DK250" s="99"/>
      <c r="DL250" s="99"/>
      <c r="DM250" s="99"/>
      <c r="DN250" s="99"/>
      <c r="DO250" s="99"/>
      <c r="DP250" s="99"/>
      <c r="DQ250" s="99"/>
      <c r="DR250" s="99"/>
      <c r="DS250" s="99"/>
      <c r="DT250" s="99"/>
      <c r="DU250" s="99"/>
      <c r="DV250" s="99"/>
      <c r="DW250" s="99"/>
      <c r="DX250" s="99"/>
      <c r="DY250" s="99"/>
      <c r="DZ250" s="99"/>
      <c r="EA250" s="99"/>
      <c r="EB250" s="99"/>
      <c r="EC250" s="99"/>
      <c r="ED250" s="99"/>
      <c r="EE250" s="99"/>
      <c r="EF250" s="99"/>
      <c r="EG250" s="99"/>
      <c r="EH250" s="99"/>
      <c r="EI250" s="99"/>
      <c r="EJ250" s="99"/>
      <c r="EK250" s="99"/>
      <c r="EL250" s="99"/>
      <c r="EM250" s="99"/>
      <c r="EN250" s="99"/>
      <c r="EO250" s="99"/>
      <c r="EP250" s="99"/>
      <c r="EQ250" s="99"/>
      <c r="ER250" s="99"/>
      <c r="ES250" s="99"/>
      <c r="ET250" s="99"/>
      <c r="EU250" s="99"/>
      <c r="EV250" s="99"/>
      <c r="EW250" s="99"/>
      <c r="EX250" s="99"/>
      <c r="EY250" s="99"/>
      <c r="EZ250" s="99"/>
      <c r="FA250" s="99"/>
      <c r="FB250" s="99"/>
      <c r="FC250" s="99"/>
      <c r="FD250" s="99"/>
      <c r="FE250" s="99"/>
      <c r="FF250" s="99"/>
      <c r="FG250" s="99"/>
      <c r="FH250" s="99"/>
      <c r="FI250" s="99"/>
      <c r="FJ250" s="99"/>
      <c r="FK250" s="99"/>
    </row>
    <row r="251" spans="3:167" x14ac:dyDescent="0.25">
      <c r="C251" s="10"/>
      <c r="D251" s="10"/>
      <c r="J251" s="99">
        <v>248</v>
      </c>
      <c r="K251" s="16"/>
      <c r="L251" s="16"/>
      <c r="M251" s="16"/>
      <c r="N251" s="16"/>
      <c r="O251" s="16"/>
      <c r="P251" s="16"/>
      <c r="Q251" s="16"/>
      <c r="R251" s="16"/>
      <c r="S251" s="16"/>
      <c r="T251" s="16"/>
      <c r="U251" s="14">
        <f>SUM(K251:T251)</f>
        <v>0</v>
      </c>
      <c r="V251" s="14"/>
      <c r="X251" s="75" t="str" cm="1">
        <f t="array" ref="X251">MID(";"&amp;'CASE DATA'!$F251&amp;";",SMALL(IF(ISERROR(SEARCH(MID(";"&amp;'CASE DATA'!$F251&amp;";",ROW($1:$99),1),";")),"",ROW($1:$99)+1),COLUMN(A251)),SMALL(IF(ISERROR(SEARCH(MID(";"&amp;'CASE DATA'!$F251&amp;";",ROW($1:$99),1),";")),"",ROW($1:$99)),COLUMN(A250)+1)-SMALL(IF(ISERROR(SEARCH(MID(";"&amp;'CASE DATA'!$F251&amp;";",ROW($1:$99),1),";")),"",ROW($1:$99)),COLUMN(A250))-1)</f>
        <v/>
      </c>
      <c r="Y251" s="75" t="str" cm="1">
        <f t="array" ref="Y251">MID(";"&amp;'CASE DATA'!$F251&amp;";",SMALL(IF(ISERROR(SEARCH(MID(";"&amp;'CASE DATA'!$F251&amp;";",ROW($1:$99),1),";")),"",ROW($1:$99)+1),COLUMN(B251)),SMALL(IF(ISERROR(SEARCH(MID(";"&amp;'CASE DATA'!$F251&amp;";",ROW($1:$99),1),";")),"",ROW($1:$99)),COLUMN(B250)+1)-SMALL(IF(ISERROR(SEARCH(MID(";"&amp;'CASE DATA'!$F251&amp;";",ROW($1:$99),1),";")),"",ROW($1:$99)),COLUMN(B250))-1)</f>
        <v/>
      </c>
      <c r="Z251" s="75" t="str" cm="1">
        <f t="array" ref="Z251">MID(";"&amp;'CASE DATA'!$F251&amp;";",SMALL(IF(ISERROR(SEARCH(MID(";"&amp;'CASE DATA'!$F251&amp;";",ROW($1:$99),1),";")),"",ROW($1:$99)+1),COLUMN(C251)),SMALL(IF(ISERROR(SEARCH(MID(";"&amp;'CASE DATA'!$F251&amp;";",ROW($1:$99),1),";")),"",ROW($1:$99)),COLUMN(C250)+1)-SMALL(IF(ISERROR(SEARCH(MID(";"&amp;'CASE DATA'!$F251&amp;";",ROW($1:$99),1),";")),"",ROW($1:$99)),COLUMN(C250))-1)</f>
        <v/>
      </c>
      <c r="AA251" s="75" t="str" cm="1">
        <f t="array" ref="AA251">MID(";"&amp;'CASE DATA'!$F251&amp;";",SMALL(IF(ISERROR(SEARCH(MID(";"&amp;'CASE DATA'!$F251&amp;";",ROW($1:$99),1),";")),"",ROW($1:$99)+1),COLUMN(D251)),SMALL(IF(ISERROR(SEARCH(MID(";"&amp;'CASE DATA'!$F251&amp;";",ROW($1:$99),1),";")),"",ROW($1:$99)),COLUMN(D250)+1)-SMALL(IF(ISERROR(SEARCH(MID(";"&amp;'CASE DATA'!$F251&amp;";",ROW($1:$99),1),";")),"",ROW($1:$99)),COLUMN(D250))-1)</f>
        <v/>
      </c>
      <c r="AB251" s="75" t="str" cm="1">
        <f t="array" ref="AB251">MID(";"&amp;'CASE DATA'!$F251&amp;";",SMALL(IF(ISERROR(SEARCH(MID(";"&amp;'CASE DATA'!$F251&amp;";",ROW($1:$99),1),";")),"",ROW($1:$99)+1),COLUMN(E251)),SMALL(IF(ISERROR(SEARCH(MID(";"&amp;'CASE DATA'!$F251&amp;";",ROW($1:$99),1),";")),"",ROW($1:$99)),COLUMN(E250)+1)-SMALL(IF(ISERROR(SEARCH(MID(";"&amp;'CASE DATA'!$F251&amp;";",ROW($1:$99),1),";")),"",ROW($1:$99)),COLUMN(E250))-1)</f>
        <v/>
      </c>
      <c r="AC251" s="75" t="str" cm="1">
        <f t="array" ref="AC251">MID(";"&amp;'CASE DATA'!$F251&amp;";",SMALL(IF(ISERROR(SEARCH(MID(";"&amp;'CASE DATA'!$F251&amp;";",ROW($1:$99),1),";")),"",ROW($1:$99)+1),COLUMN(F251)),SMALL(IF(ISERROR(SEARCH(MID(";"&amp;'CASE DATA'!$F251&amp;";",ROW($1:$99),1),";")),"",ROW($1:$99)),COLUMN(F250)+1)-SMALL(IF(ISERROR(SEARCH(MID(";"&amp;'CASE DATA'!$F251&amp;";",ROW($1:$99),1),";")),"",ROW($1:$99)),COLUMN(F250))-1)</f>
        <v/>
      </c>
      <c r="AD251" s="75" t="str" cm="1">
        <f t="array" ref="AD251">MID(";"&amp;'CASE DATA'!$F251&amp;";",SMALL(IF(ISERROR(SEARCH(MID(";"&amp;'CASE DATA'!$F251&amp;";",ROW($1:$99),1),";")),"",ROW($1:$99)+1),COLUMN(G251)),SMALL(IF(ISERROR(SEARCH(MID(";"&amp;'CASE DATA'!$F251&amp;";",ROW($1:$99),1),";")),"",ROW($1:$99)),COLUMN(G250)+1)-SMALL(IF(ISERROR(SEARCH(MID(";"&amp;'CASE DATA'!$F251&amp;";",ROW($1:$99),1),";")),"",ROW($1:$99)),COLUMN(G250))-1)</f>
        <v/>
      </c>
      <c r="AE251" s="75" t="str" cm="1">
        <f t="array" ref="AE251">MID(";"&amp;'CASE DATA'!$F251&amp;";",SMALL(IF(ISERROR(SEARCH(MID(";"&amp;'CASE DATA'!$F251&amp;";",ROW($1:$99),1),";")),"",ROW($1:$99)+1),COLUMN(H251)),SMALL(IF(ISERROR(SEARCH(MID(";"&amp;'CASE DATA'!$F251&amp;";",ROW($1:$99),1),";")),"",ROW($1:$99)),COLUMN(H250)+1)-SMALL(IF(ISERROR(SEARCH(MID(";"&amp;'CASE DATA'!$F251&amp;";",ROW($1:$99),1),";")),"",ROW($1:$99)),COLUMN(H250))-1)</f>
        <v/>
      </c>
      <c r="AF251" s="75" t="str" cm="1">
        <f t="array" ref="AF251">MID(";"&amp;'CASE DATA'!$F251&amp;";",SMALL(IF(ISERROR(SEARCH(MID(";"&amp;'CASE DATA'!$F251&amp;";",ROW($1:$99),1),";")),"",ROW($1:$99)+1),COLUMN(I251)),SMALL(IF(ISERROR(SEARCH(MID(";"&amp;'CASE DATA'!$F251&amp;";",ROW($1:$99),1),";")),"",ROW($1:$99)),COLUMN(I250)+1)-SMALL(IF(ISERROR(SEARCH(MID(";"&amp;'CASE DATA'!$F251&amp;";",ROW($1:$99),1),";")),"",ROW($1:$99)),COLUMN(I250))-1)</f>
        <v/>
      </c>
      <c r="AG251" s="75" t="str" cm="1">
        <f t="array" ref="AG251">MID(";"&amp;'CASE DATA'!$F251&amp;";",SMALL(IF(ISERROR(SEARCH(MID(";"&amp;'CASE DATA'!$F251&amp;";",ROW($1:$99),1),";")),"",ROW($1:$99)+1),COLUMN(K251)),SMALL(IF(ISERROR(SEARCH(MID(";"&amp;'CASE DATA'!$F251&amp;";",ROW($1:$99),1),";")),"",ROW($1:$99)),COLUMN(K250)+1)-SMALL(IF(ISERROR(SEARCH(MID(";"&amp;'CASE DATA'!$F251&amp;";",ROW($1:$99),1),";")),"",ROW($1:$99)),COLUMN(K250))-1)</f>
        <v/>
      </c>
      <c r="AH251" s="75" t="str" cm="1">
        <f t="array" ref="AH251">MID(";"&amp;'CASE DATA'!$F251&amp;";",SMALL(IF(ISERROR(SEARCH(MID(";"&amp;'CASE DATA'!$F251&amp;";",ROW($1:$99),1),";")),"",ROW($1:$99)+1),COLUMN(L251)),SMALL(IF(ISERROR(SEARCH(MID(";"&amp;'CASE DATA'!$F251&amp;";",ROW($1:$99),1),";")),"",ROW($1:$99)),COLUMN(L250)+1)-SMALL(IF(ISERROR(SEARCH(MID(";"&amp;'CASE DATA'!$F251&amp;";",ROW($1:$99),1),";")),"",ROW($1:$99)),COLUMN(L250))-1)</f>
        <v/>
      </c>
      <c r="AI251" s="75" t="str" cm="1">
        <f t="array" ref="AI251">MID(";"&amp;'CASE DATA'!$F251&amp;";",SMALL(IF(ISERROR(SEARCH(MID(";"&amp;'CASE DATA'!$F251&amp;";",ROW($1:$99),1),";")),"",ROW($1:$99)+1),COLUMN(M251)),SMALL(IF(ISERROR(SEARCH(MID(";"&amp;'CASE DATA'!$F251&amp;";",ROW($1:$99),1),";")),"",ROW($1:$99)),COLUMN(M250)+1)-SMALL(IF(ISERROR(SEARCH(MID(";"&amp;'CASE DATA'!$F251&amp;";",ROW($1:$99),1),";")),"",ROW($1:$99)),COLUMN(M250))-1)</f>
        <v/>
      </c>
      <c r="BO251" s="99"/>
      <c r="BP251" s="99"/>
      <c r="BQ251" s="99"/>
      <c r="BR251" s="99"/>
      <c r="BS251" s="99"/>
      <c r="BT251" s="99"/>
      <c r="BU251" s="99"/>
      <c r="BV251" s="99"/>
      <c r="BW251" s="99"/>
      <c r="BX251" s="99"/>
      <c r="BY251" s="99"/>
      <c r="BZ251" s="99"/>
      <c r="CA251" s="99"/>
      <c r="CB251" s="99"/>
      <c r="CC251" s="99"/>
      <c r="CD251" s="99"/>
      <c r="CE251" s="99"/>
      <c r="CF251" s="99"/>
      <c r="CG251" s="99"/>
      <c r="CH251" s="99"/>
      <c r="CI251" s="99"/>
      <c r="CJ251" s="99"/>
      <c r="CK251" s="99"/>
      <c r="CL251" s="99"/>
      <c r="CM251" s="99"/>
      <c r="CN251" s="99"/>
      <c r="CO251" s="99"/>
      <c r="CP251" s="99"/>
      <c r="CQ251" s="99"/>
      <c r="CR251" s="99"/>
      <c r="CS251" s="99"/>
      <c r="CT251" s="99"/>
      <c r="CU251" s="99"/>
      <c r="CV251" s="99"/>
      <c r="CW251" s="99"/>
      <c r="CX251" s="99"/>
      <c r="CY251" s="99"/>
      <c r="CZ251" s="99"/>
      <c r="DA251" s="99"/>
      <c r="DB251" s="99"/>
      <c r="DC251" s="99"/>
      <c r="DD251" s="99"/>
      <c r="DE251" s="99"/>
      <c r="DF251" s="99"/>
      <c r="DG251" s="99"/>
      <c r="DH251" s="99"/>
      <c r="DI251" s="99"/>
      <c r="DJ251" s="99"/>
      <c r="DK251" s="99"/>
      <c r="DL251" s="99"/>
      <c r="DM251" s="99"/>
      <c r="DN251" s="99"/>
      <c r="DO251" s="99"/>
      <c r="DP251" s="99"/>
      <c r="DQ251" s="99"/>
      <c r="DR251" s="99"/>
      <c r="DS251" s="99"/>
      <c r="DT251" s="99"/>
      <c r="DU251" s="99"/>
      <c r="DV251" s="99"/>
      <c r="DW251" s="99"/>
      <c r="DX251" s="99"/>
      <c r="DY251" s="99"/>
      <c r="DZ251" s="99"/>
      <c r="EA251" s="99"/>
      <c r="EB251" s="99"/>
      <c r="EC251" s="99"/>
      <c r="ED251" s="99"/>
      <c r="EE251" s="99"/>
      <c r="EF251" s="99"/>
      <c r="EG251" s="99"/>
      <c r="EH251" s="99"/>
      <c r="EI251" s="99"/>
      <c r="EJ251" s="99"/>
      <c r="EK251" s="99"/>
      <c r="EL251" s="99"/>
      <c r="EM251" s="99"/>
      <c r="EN251" s="99"/>
      <c r="EO251" s="99"/>
      <c r="EP251" s="99"/>
      <c r="EQ251" s="99"/>
      <c r="ER251" s="99"/>
      <c r="ES251" s="99"/>
      <c r="ET251" s="99"/>
      <c r="EU251" s="99"/>
      <c r="EV251" s="99"/>
      <c r="EW251" s="99"/>
      <c r="EX251" s="99"/>
      <c r="EY251" s="99"/>
      <c r="EZ251" s="99"/>
      <c r="FA251" s="99"/>
      <c r="FB251" s="99"/>
      <c r="FC251" s="99"/>
      <c r="FD251" s="99"/>
      <c r="FE251" s="99"/>
      <c r="FF251" s="99"/>
      <c r="FG251" s="99"/>
      <c r="FH251" s="99"/>
      <c r="FI251" s="99"/>
      <c r="FJ251" s="99"/>
      <c r="FK251" s="99"/>
    </row>
    <row r="252" spans="3:167" x14ac:dyDescent="0.25">
      <c r="C252" s="10"/>
      <c r="D252" s="10"/>
      <c r="J252" s="99">
        <v>249</v>
      </c>
      <c r="K252" s="16"/>
      <c r="L252" s="16"/>
      <c r="M252" s="16"/>
      <c r="N252" s="16"/>
      <c r="O252" s="16"/>
      <c r="P252" s="16"/>
      <c r="Q252" s="16"/>
      <c r="R252" s="16"/>
      <c r="S252" s="16"/>
      <c r="T252" s="16"/>
      <c r="U252" s="14">
        <f>SUM(K252:T252)</f>
        <v>0</v>
      </c>
      <c r="V252" s="14"/>
      <c r="X252" s="75" t="str" cm="1">
        <f t="array" ref="X252">MID(";"&amp;'CASE DATA'!$F252&amp;";",SMALL(IF(ISERROR(SEARCH(MID(";"&amp;'CASE DATA'!$F252&amp;";",ROW($1:$99),1),";")),"",ROW($1:$99)+1),COLUMN(A252)),SMALL(IF(ISERROR(SEARCH(MID(";"&amp;'CASE DATA'!$F252&amp;";",ROW($1:$99),1),";")),"",ROW($1:$99)),COLUMN(A251)+1)-SMALL(IF(ISERROR(SEARCH(MID(";"&amp;'CASE DATA'!$F252&amp;";",ROW($1:$99),1),";")),"",ROW($1:$99)),COLUMN(A251))-1)</f>
        <v/>
      </c>
      <c r="Y252" s="75" t="str" cm="1">
        <f t="array" ref="Y252">MID(";"&amp;'CASE DATA'!$F252&amp;";",SMALL(IF(ISERROR(SEARCH(MID(";"&amp;'CASE DATA'!$F252&amp;";",ROW($1:$99),1),";")),"",ROW($1:$99)+1),COLUMN(B252)),SMALL(IF(ISERROR(SEARCH(MID(";"&amp;'CASE DATA'!$F252&amp;";",ROW($1:$99),1),";")),"",ROW($1:$99)),COLUMN(B251)+1)-SMALL(IF(ISERROR(SEARCH(MID(";"&amp;'CASE DATA'!$F252&amp;";",ROW($1:$99),1),";")),"",ROW($1:$99)),COLUMN(B251))-1)</f>
        <v/>
      </c>
      <c r="Z252" s="75" t="str" cm="1">
        <f t="array" ref="Z252">MID(";"&amp;'CASE DATA'!$F252&amp;";",SMALL(IF(ISERROR(SEARCH(MID(";"&amp;'CASE DATA'!$F252&amp;";",ROW($1:$99),1),";")),"",ROW($1:$99)+1),COLUMN(C252)),SMALL(IF(ISERROR(SEARCH(MID(";"&amp;'CASE DATA'!$F252&amp;";",ROW($1:$99),1),";")),"",ROW($1:$99)),COLUMN(C251)+1)-SMALL(IF(ISERROR(SEARCH(MID(";"&amp;'CASE DATA'!$F252&amp;";",ROW($1:$99),1),";")),"",ROW($1:$99)),COLUMN(C251))-1)</f>
        <v/>
      </c>
      <c r="AA252" s="75" t="str" cm="1">
        <f t="array" ref="AA252">MID(";"&amp;'CASE DATA'!$F252&amp;";",SMALL(IF(ISERROR(SEARCH(MID(";"&amp;'CASE DATA'!$F252&amp;";",ROW($1:$99),1),";")),"",ROW($1:$99)+1),COLUMN(D252)),SMALL(IF(ISERROR(SEARCH(MID(";"&amp;'CASE DATA'!$F252&amp;";",ROW($1:$99),1),";")),"",ROW($1:$99)),COLUMN(D251)+1)-SMALL(IF(ISERROR(SEARCH(MID(";"&amp;'CASE DATA'!$F252&amp;";",ROW($1:$99),1),";")),"",ROW($1:$99)),COLUMN(D251))-1)</f>
        <v/>
      </c>
      <c r="AB252" s="75" t="str" cm="1">
        <f t="array" ref="AB252">MID(";"&amp;'CASE DATA'!$F252&amp;";",SMALL(IF(ISERROR(SEARCH(MID(";"&amp;'CASE DATA'!$F252&amp;";",ROW($1:$99),1),";")),"",ROW($1:$99)+1),COLUMN(E252)),SMALL(IF(ISERROR(SEARCH(MID(";"&amp;'CASE DATA'!$F252&amp;";",ROW($1:$99),1),";")),"",ROW($1:$99)),COLUMN(E251)+1)-SMALL(IF(ISERROR(SEARCH(MID(";"&amp;'CASE DATA'!$F252&amp;";",ROW($1:$99),1),";")),"",ROW($1:$99)),COLUMN(E251))-1)</f>
        <v/>
      </c>
      <c r="AC252" s="75" t="str" cm="1">
        <f t="array" ref="AC252">MID(";"&amp;'CASE DATA'!$F252&amp;";",SMALL(IF(ISERROR(SEARCH(MID(";"&amp;'CASE DATA'!$F252&amp;";",ROW($1:$99),1),";")),"",ROW($1:$99)+1),COLUMN(F252)),SMALL(IF(ISERROR(SEARCH(MID(";"&amp;'CASE DATA'!$F252&amp;";",ROW($1:$99),1),";")),"",ROW($1:$99)),COLUMN(F251)+1)-SMALL(IF(ISERROR(SEARCH(MID(";"&amp;'CASE DATA'!$F252&amp;";",ROW($1:$99),1),";")),"",ROW($1:$99)),COLUMN(F251))-1)</f>
        <v/>
      </c>
      <c r="AD252" s="75" t="str" cm="1">
        <f t="array" ref="AD252">MID(";"&amp;'CASE DATA'!$F252&amp;";",SMALL(IF(ISERROR(SEARCH(MID(";"&amp;'CASE DATA'!$F252&amp;";",ROW($1:$99),1),";")),"",ROW($1:$99)+1),COLUMN(G252)),SMALL(IF(ISERROR(SEARCH(MID(";"&amp;'CASE DATA'!$F252&amp;";",ROW($1:$99),1),";")),"",ROW($1:$99)),COLUMN(G251)+1)-SMALL(IF(ISERROR(SEARCH(MID(";"&amp;'CASE DATA'!$F252&amp;";",ROW($1:$99),1),";")),"",ROW($1:$99)),COLUMN(G251))-1)</f>
        <v/>
      </c>
      <c r="AE252" s="75" t="str" cm="1">
        <f t="array" ref="AE252">MID(";"&amp;'CASE DATA'!$F252&amp;";",SMALL(IF(ISERROR(SEARCH(MID(";"&amp;'CASE DATA'!$F252&amp;";",ROW($1:$99),1),";")),"",ROW($1:$99)+1),COLUMN(H252)),SMALL(IF(ISERROR(SEARCH(MID(";"&amp;'CASE DATA'!$F252&amp;";",ROW($1:$99),1),";")),"",ROW($1:$99)),COLUMN(H251)+1)-SMALL(IF(ISERROR(SEARCH(MID(";"&amp;'CASE DATA'!$F252&amp;";",ROW($1:$99),1),";")),"",ROW($1:$99)),COLUMN(H251))-1)</f>
        <v/>
      </c>
      <c r="AF252" s="75" t="str" cm="1">
        <f t="array" ref="AF252">MID(";"&amp;'CASE DATA'!$F252&amp;";",SMALL(IF(ISERROR(SEARCH(MID(";"&amp;'CASE DATA'!$F252&amp;";",ROW($1:$99),1),";")),"",ROW($1:$99)+1),COLUMN(I252)),SMALL(IF(ISERROR(SEARCH(MID(";"&amp;'CASE DATA'!$F252&amp;";",ROW($1:$99),1),";")),"",ROW($1:$99)),COLUMN(I251)+1)-SMALL(IF(ISERROR(SEARCH(MID(";"&amp;'CASE DATA'!$F252&amp;";",ROW($1:$99),1),";")),"",ROW($1:$99)),COLUMN(I251))-1)</f>
        <v/>
      </c>
      <c r="AG252" s="75" t="str" cm="1">
        <f t="array" ref="AG252">MID(";"&amp;'CASE DATA'!$F252&amp;";",SMALL(IF(ISERROR(SEARCH(MID(";"&amp;'CASE DATA'!$F252&amp;";",ROW($1:$99),1),";")),"",ROW($1:$99)+1),COLUMN(K252)),SMALL(IF(ISERROR(SEARCH(MID(";"&amp;'CASE DATA'!$F252&amp;";",ROW($1:$99),1),";")),"",ROW($1:$99)),COLUMN(K251)+1)-SMALL(IF(ISERROR(SEARCH(MID(";"&amp;'CASE DATA'!$F252&amp;";",ROW($1:$99),1),";")),"",ROW($1:$99)),COLUMN(K251))-1)</f>
        <v/>
      </c>
      <c r="AH252" s="75" t="str" cm="1">
        <f t="array" ref="AH252">MID(";"&amp;'CASE DATA'!$F252&amp;";",SMALL(IF(ISERROR(SEARCH(MID(";"&amp;'CASE DATA'!$F252&amp;";",ROW($1:$99),1),";")),"",ROW($1:$99)+1),COLUMN(L252)),SMALL(IF(ISERROR(SEARCH(MID(";"&amp;'CASE DATA'!$F252&amp;";",ROW($1:$99),1),";")),"",ROW($1:$99)),COLUMN(L251)+1)-SMALL(IF(ISERROR(SEARCH(MID(";"&amp;'CASE DATA'!$F252&amp;";",ROW($1:$99),1),";")),"",ROW($1:$99)),COLUMN(L251))-1)</f>
        <v/>
      </c>
      <c r="AI252" s="75" t="str" cm="1">
        <f t="array" ref="AI252">MID(";"&amp;'CASE DATA'!$F252&amp;";",SMALL(IF(ISERROR(SEARCH(MID(";"&amp;'CASE DATA'!$F252&amp;";",ROW($1:$99),1),";")),"",ROW($1:$99)+1),COLUMN(M252)),SMALL(IF(ISERROR(SEARCH(MID(";"&amp;'CASE DATA'!$F252&amp;";",ROW($1:$99),1),";")),"",ROW($1:$99)),COLUMN(M251)+1)-SMALL(IF(ISERROR(SEARCH(MID(";"&amp;'CASE DATA'!$F252&amp;";",ROW($1:$99),1),";")),"",ROW($1:$99)),COLUMN(M251))-1)</f>
        <v/>
      </c>
      <c r="BO252" s="99"/>
      <c r="BP252" s="99"/>
      <c r="BQ252" s="99"/>
      <c r="BR252" s="99"/>
      <c r="BS252" s="99"/>
      <c r="BT252" s="99"/>
      <c r="BU252" s="99"/>
      <c r="BV252" s="99"/>
      <c r="BW252" s="99"/>
      <c r="BX252" s="99"/>
      <c r="BY252" s="99"/>
      <c r="BZ252" s="99"/>
      <c r="CA252" s="99"/>
      <c r="CB252" s="99"/>
      <c r="CC252" s="99"/>
      <c r="CD252" s="99"/>
      <c r="CE252" s="99"/>
      <c r="CF252" s="99"/>
      <c r="CG252" s="99"/>
      <c r="CH252" s="99"/>
      <c r="CI252" s="99"/>
      <c r="CJ252" s="99"/>
      <c r="CK252" s="99"/>
      <c r="CL252" s="99"/>
      <c r="CM252" s="99"/>
      <c r="CN252" s="99"/>
      <c r="CO252" s="99"/>
      <c r="CP252" s="99"/>
      <c r="CQ252" s="99"/>
      <c r="CR252" s="99"/>
      <c r="CS252" s="99"/>
      <c r="CT252" s="99"/>
      <c r="CU252" s="99"/>
      <c r="CV252" s="99"/>
      <c r="CW252" s="99"/>
      <c r="CX252" s="99"/>
      <c r="CY252" s="99"/>
      <c r="CZ252" s="99"/>
      <c r="DA252" s="99"/>
      <c r="DB252" s="99"/>
      <c r="DC252" s="99"/>
      <c r="DD252" s="99"/>
      <c r="DE252" s="99"/>
      <c r="DF252" s="99"/>
      <c r="DG252" s="99"/>
      <c r="DH252" s="99"/>
      <c r="DI252" s="99"/>
      <c r="DJ252" s="99"/>
      <c r="DK252" s="99"/>
      <c r="DL252" s="99"/>
      <c r="DM252" s="99"/>
      <c r="DN252" s="99"/>
      <c r="DO252" s="99"/>
      <c r="DP252" s="99"/>
      <c r="DQ252" s="99"/>
      <c r="DR252" s="99"/>
      <c r="DS252" s="99"/>
      <c r="DT252" s="99"/>
      <c r="DU252" s="99"/>
      <c r="DV252" s="99"/>
      <c r="DW252" s="99"/>
      <c r="DX252" s="99"/>
      <c r="DY252" s="99"/>
      <c r="DZ252" s="99"/>
      <c r="EA252" s="99"/>
      <c r="EB252" s="99"/>
      <c r="EC252" s="99"/>
      <c r="ED252" s="99"/>
      <c r="EE252" s="99"/>
      <c r="EF252" s="99"/>
      <c r="EG252" s="99"/>
      <c r="EH252" s="99"/>
      <c r="EI252" s="99"/>
      <c r="EJ252" s="99"/>
      <c r="EK252" s="99"/>
      <c r="EL252" s="99"/>
      <c r="EM252" s="99"/>
      <c r="EN252" s="99"/>
      <c r="EO252" s="99"/>
      <c r="EP252" s="99"/>
      <c r="EQ252" s="99"/>
      <c r="ER252" s="99"/>
      <c r="ES252" s="99"/>
      <c r="ET252" s="99"/>
      <c r="EU252" s="99"/>
      <c r="EV252" s="99"/>
      <c r="EW252" s="99"/>
      <c r="EX252" s="99"/>
      <c r="EY252" s="99"/>
      <c r="EZ252" s="99"/>
      <c r="FA252" s="99"/>
      <c r="FB252" s="99"/>
      <c r="FC252" s="99"/>
      <c r="FD252" s="99"/>
      <c r="FE252" s="99"/>
      <c r="FF252" s="99"/>
      <c r="FG252" s="99"/>
      <c r="FH252" s="99"/>
      <c r="FI252" s="99"/>
      <c r="FJ252" s="99"/>
      <c r="FK252" s="99"/>
    </row>
    <row r="253" spans="3:167" x14ac:dyDescent="0.25">
      <c r="C253" s="10"/>
      <c r="D253" s="10"/>
      <c r="J253" s="99">
        <v>250</v>
      </c>
      <c r="K253" s="16"/>
      <c r="L253" s="16"/>
      <c r="M253" s="16"/>
      <c r="N253" s="16"/>
      <c r="O253" s="16"/>
      <c r="P253" s="16"/>
      <c r="Q253" s="16"/>
      <c r="R253" s="16"/>
      <c r="S253" s="16"/>
      <c r="T253" s="16"/>
      <c r="U253" s="14">
        <f>SUM(K253:T253)</f>
        <v>0</v>
      </c>
      <c r="V253" s="14"/>
      <c r="X253" s="75" t="str" cm="1">
        <f t="array" ref="X253">MID(";"&amp;'CASE DATA'!$F253&amp;";",SMALL(IF(ISERROR(SEARCH(MID(";"&amp;'CASE DATA'!$F253&amp;";",ROW($1:$99),1),";")),"",ROW($1:$99)+1),COLUMN(A253)),SMALL(IF(ISERROR(SEARCH(MID(";"&amp;'CASE DATA'!$F253&amp;";",ROW($1:$99),1),";")),"",ROW($1:$99)),COLUMN(A252)+1)-SMALL(IF(ISERROR(SEARCH(MID(";"&amp;'CASE DATA'!$F253&amp;";",ROW($1:$99),1),";")),"",ROW($1:$99)),COLUMN(A252))-1)</f>
        <v/>
      </c>
      <c r="Y253" s="75" t="str" cm="1">
        <f t="array" ref="Y253">MID(";"&amp;'CASE DATA'!$F253&amp;";",SMALL(IF(ISERROR(SEARCH(MID(";"&amp;'CASE DATA'!$F253&amp;";",ROW($1:$99),1),";")),"",ROW($1:$99)+1),COLUMN(B253)),SMALL(IF(ISERROR(SEARCH(MID(";"&amp;'CASE DATA'!$F253&amp;";",ROW($1:$99),1),";")),"",ROW($1:$99)),COLUMN(B252)+1)-SMALL(IF(ISERROR(SEARCH(MID(";"&amp;'CASE DATA'!$F253&amp;";",ROW($1:$99),1),";")),"",ROW($1:$99)),COLUMN(B252))-1)</f>
        <v/>
      </c>
      <c r="Z253" s="75" t="str" cm="1">
        <f t="array" ref="Z253">MID(";"&amp;'CASE DATA'!$F253&amp;";",SMALL(IF(ISERROR(SEARCH(MID(";"&amp;'CASE DATA'!$F253&amp;";",ROW($1:$99),1),";")),"",ROW($1:$99)+1),COLUMN(C253)),SMALL(IF(ISERROR(SEARCH(MID(";"&amp;'CASE DATA'!$F253&amp;";",ROW($1:$99),1),";")),"",ROW($1:$99)),COLUMN(C252)+1)-SMALL(IF(ISERROR(SEARCH(MID(";"&amp;'CASE DATA'!$F253&amp;";",ROW($1:$99),1),";")),"",ROW($1:$99)),COLUMN(C252))-1)</f>
        <v/>
      </c>
      <c r="AA253" s="75" t="str" cm="1">
        <f t="array" ref="AA253">MID(";"&amp;'CASE DATA'!$F253&amp;";",SMALL(IF(ISERROR(SEARCH(MID(";"&amp;'CASE DATA'!$F253&amp;";",ROW($1:$99),1),";")),"",ROW($1:$99)+1),COLUMN(D253)),SMALL(IF(ISERROR(SEARCH(MID(";"&amp;'CASE DATA'!$F253&amp;";",ROW($1:$99),1),";")),"",ROW($1:$99)),COLUMN(D252)+1)-SMALL(IF(ISERROR(SEARCH(MID(";"&amp;'CASE DATA'!$F253&amp;";",ROW($1:$99),1),";")),"",ROW($1:$99)),COLUMN(D252))-1)</f>
        <v/>
      </c>
      <c r="AB253" s="75" t="str" cm="1">
        <f t="array" ref="AB253">MID(";"&amp;'CASE DATA'!$F253&amp;";",SMALL(IF(ISERROR(SEARCH(MID(";"&amp;'CASE DATA'!$F253&amp;";",ROW($1:$99),1),";")),"",ROW($1:$99)+1),COLUMN(E253)),SMALL(IF(ISERROR(SEARCH(MID(";"&amp;'CASE DATA'!$F253&amp;";",ROW($1:$99),1),";")),"",ROW($1:$99)),COLUMN(E252)+1)-SMALL(IF(ISERROR(SEARCH(MID(";"&amp;'CASE DATA'!$F253&amp;";",ROW($1:$99),1),";")),"",ROW($1:$99)),COLUMN(E252))-1)</f>
        <v/>
      </c>
      <c r="AC253" s="75" t="str" cm="1">
        <f t="array" ref="AC253">MID(";"&amp;'CASE DATA'!$F253&amp;";",SMALL(IF(ISERROR(SEARCH(MID(";"&amp;'CASE DATA'!$F253&amp;";",ROW($1:$99),1),";")),"",ROW($1:$99)+1),COLUMN(F253)),SMALL(IF(ISERROR(SEARCH(MID(";"&amp;'CASE DATA'!$F253&amp;";",ROW($1:$99),1),";")),"",ROW($1:$99)),COLUMN(F252)+1)-SMALL(IF(ISERROR(SEARCH(MID(";"&amp;'CASE DATA'!$F253&amp;";",ROW($1:$99),1),";")),"",ROW($1:$99)),COLUMN(F252))-1)</f>
        <v/>
      </c>
      <c r="AD253" s="75" t="str" cm="1">
        <f t="array" ref="AD253">MID(";"&amp;'CASE DATA'!$F253&amp;";",SMALL(IF(ISERROR(SEARCH(MID(";"&amp;'CASE DATA'!$F253&amp;";",ROW($1:$99),1),";")),"",ROW($1:$99)+1),COLUMN(G253)),SMALL(IF(ISERROR(SEARCH(MID(";"&amp;'CASE DATA'!$F253&amp;";",ROW($1:$99),1),";")),"",ROW($1:$99)),COLUMN(G252)+1)-SMALL(IF(ISERROR(SEARCH(MID(";"&amp;'CASE DATA'!$F253&amp;";",ROW($1:$99),1),";")),"",ROW($1:$99)),COLUMN(G252))-1)</f>
        <v/>
      </c>
      <c r="AE253" s="75" t="str" cm="1">
        <f t="array" ref="AE253">MID(";"&amp;'CASE DATA'!$F253&amp;";",SMALL(IF(ISERROR(SEARCH(MID(";"&amp;'CASE DATA'!$F253&amp;";",ROW($1:$99),1),";")),"",ROW($1:$99)+1),COLUMN(H253)),SMALL(IF(ISERROR(SEARCH(MID(";"&amp;'CASE DATA'!$F253&amp;";",ROW($1:$99),1),";")),"",ROW($1:$99)),COLUMN(H252)+1)-SMALL(IF(ISERROR(SEARCH(MID(";"&amp;'CASE DATA'!$F253&amp;";",ROW($1:$99),1),";")),"",ROW($1:$99)),COLUMN(H252))-1)</f>
        <v/>
      </c>
      <c r="AF253" s="75" t="str" cm="1">
        <f t="array" ref="AF253">MID(";"&amp;'CASE DATA'!$F253&amp;";",SMALL(IF(ISERROR(SEARCH(MID(";"&amp;'CASE DATA'!$F253&amp;";",ROW($1:$99),1),";")),"",ROW($1:$99)+1),COLUMN(I253)),SMALL(IF(ISERROR(SEARCH(MID(";"&amp;'CASE DATA'!$F253&amp;";",ROW($1:$99),1),";")),"",ROW($1:$99)),COLUMN(I252)+1)-SMALL(IF(ISERROR(SEARCH(MID(";"&amp;'CASE DATA'!$F253&amp;";",ROW($1:$99),1),";")),"",ROW($1:$99)),COLUMN(I252))-1)</f>
        <v/>
      </c>
      <c r="AG253" s="75" t="str" cm="1">
        <f t="array" ref="AG253">MID(";"&amp;'CASE DATA'!$F253&amp;";",SMALL(IF(ISERROR(SEARCH(MID(";"&amp;'CASE DATA'!$F253&amp;";",ROW($1:$99),1),";")),"",ROW($1:$99)+1),COLUMN(K253)),SMALL(IF(ISERROR(SEARCH(MID(";"&amp;'CASE DATA'!$F253&amp;";",ROW($1:$99),1),";")),"",ROW($1:$99)),COLUMN(K252)+1)-SMALL(IF(ISERROR(SEARCH(MID(";"&amp;'CASE DATA'!$F253&amp;";",ROW($1:$99),1),";")),"",ROW($1:$99)),COLUMN(K252))-1)</f>
        <v/>
      </c>
      <c r="AH253" s="75" t="str" cm="1">
        <f t="array" ref="AH253">MID(";"&amp;'CASE DATA'!$F253&amp;";",SMALL(IF(ISERROR(SEARCH(MID(";"&amp;'CASE DATA'!$F253&amp;";",ROW($1:$99),1),";")),"",ROW($1:$99)+1),COLUMN(L253)),SMALL(IF(ISERROR(SEARCH(MID(";"&amp;'CASE DATA'!$F253&amp;";",ROW($1:$99),1),";")),"",ROW($1:$99)),COLUMN(L252)+1)-SMALL(IF(ISERROR(SEARCH(MID(";"&amp;'CASE DATA'!$F253&amp;";",ROW($1:$99),1),";")),"",ROW($1:$99)),COLUMN(L252))-1)</f>
        <v/>
      </c>
      <c r="AI253" s="75" t="str" cm="1">
        <f t="array" ref="AI253">MID(";"&amp;'CASE DATA'!$F253&amp;";",SMALL(IF(ISERROR(SEARCH(MID(";"&amp;'CASE DATA'!$F253&amp;";",ROW($1:$99),1),";")),"",ROW($1:$99)+1),COLUMN(M253)),SMALL(IF(ISERROR(SEARCH(MID(";"&amp;'CASE DATA'!$F253&amp;";",ROW($1:$99),1),";")),"",ROW($1:$99)),COLUMN(M252)+1)-SMALL(IF(ISERROR(SEARCH(MID(";"&amp;'CASE DATA'!$F253&amp;";",ROW($1:$99),1),";")),"",ROW($1:$99)),COLUMN(M252))-1)</f>
        <v/>
      </c>
      <c r="BO253" s="99"/>
      <c r="BP253" s="99"/>
      <c r="BQ253" s="99"/>
      <c r="BR253" s="99"/>
      <c r="BS253" s="99"/>
      <c r="BT253" s="99"/>
      <c r="BU253" s="99"/>
      <c r="BV253" s="99"/>
      <c r="BW253" s="99"/>
      <c r="BX253" s="99"/>
      <c r="BY253" s="99"/>
      <c r="BZ253" s="99"/>
      <c r="CA253" s="99"/>
      <c r="CB253" s="99"/>
      <c r="CC253" s="99"/>
      <c r="CD253" s="99"/>
      <c r="CE253" s="99"/>
      <c r="CF253" s="99"/>
      <c r="CG253" s="99"/>
      <c r="CH253" s="99"/>
      <c r="CI253" s="99"/>
      <c r="CJ253" s="99"/>
      <c r="CK253" s="99"/>
      <c r="CL253" s="99"/>
      <c r="CM253" s="99"/>
      <c r="CN253" s="99"/>
      <c r="CO253" s="99"/>
      <c r="CP253" s="99"/>
      <c r="CQ253" s="99"/>
      <c r="CR253" s="99"/>
      <c r="CS253" s="99"/>
      <c r="CT253" s="99"/>
      <c r="CU253" s="99"/>
      <c r="CV253" s="99"/>
      <c r="CW253" s="99"/>
      <c r="CX253" s="99"/>
      <c r="CY253" s="99"/>
      <c r="CZ253" s="99"/>
      <c r="DA253" s="99"/>
      <c r="DB253" s="99"/>
      <c r="DC253" s="99"/>
      <c r="DD253" s="99"/>
      <c r="DE253" s="99"/>
      <c r="DF253" s="99"/>
      <c r="DG253" s="99"/>
      <c r="DH253" s="99"/>
      <c r="DI253" s="99"/>
      <c r="DJ253" s="99"/>
      <c r="DK253" s="99"/>
      <c r="DL253" s="99"/>
      <c r="DM253" s="99"/>
      <c r="DN253" s="99"/>
      <c r="DO253" s="99"/>
      <c r="DP253" s="99"/>
      <c r="DQ253" s="99"/>
      <c r="DR253" s="99"/>
      <c r="DS253" s="99"/>
      <c r="DT253" s="99"/>
      <c r="DU253" s="99"/>
      <c r="DV253" s="99"/>
      <c r="DW253" s="99"/>
      <c r="DX253" s="99"/>
      <c r="DY253" s="99"/>
      <c r="DZ253" s="99"/>
      <c r="EA253" s="99"/>
      <c r="EB253" s="99"/>
      <c r="EC253" s="99"/>
      <c r="ED253" s="99"/>
      <c r="EE253" s="99"/>
      <c r="EF253" s="99"/>
      <c r="EG253" s="99"/>
      <c r="EH253" s="99"/>
      <c r="EI253" s="99"/>
      <c r="EJ253" s="99"/>
      <c r="EK253" s="99"/>
      <c r="EL253" s="99"/>
      <c r="EM253" s="99"/>
      <c r="EN253" s="99"/>
      <c r="EO253" s="99"/>
      <c r="EP253" s="99"/>
      <c r="EQ253" s="99"/>
      <c r="ER253" s="99"/>
      <c r="ES253" s="99"/>
      <c r="ET253" s="99"/>
      <c r="EU253" s="99"/>
      <c r="EV253" s="99"/>
      <c r="EW253" s="99"/>
      <c r="EX253" s="99"/>
      <c r="EY253" s="99"/>
      <c r="EZ253" s="99"/>
      <c r="FA253" s="99"/>
      <c r="FB253" s="99"/>
      <c r="FC253" s="99"/>
      <c r="FD253" s="99"/>
      <c r="FE253" s="99"/>
      <c r="FF253" s="99"/>
      <c r="FG253" s="99"/>
      <c r="FH253" s="99"/>
      <c r="FI253" s="99"/>
      <c r="FJ253" s="99"/>
      <c r="FK253" s="99"/>
    </row>
    <row r="254" spans="3:167" x14ac:dyDescent="0.25">
      <c r="C254" s="10"/>
      <c r="D254" s="10"/>
      <c r="J254" s="99">
        <v>251</v>
      </c>
      <c r="K254" s="16"/>
      <c r="L254" s="16"/>
      <c r="M254" s="16"/>
      <c r="N254" s="16"/>
      <c r="O254" s="16"/>
      <c r="P254" s="16"/>
      <c r="Q254" s="16"/>
      <c r="R254" s="16"/>
      <c r="S254" s="16"/>
      <c r="T254" s="16"/>
      <c r="U254" s="14">
        <f>SUM(K254:T254)</f>
        <v>0</v>
      </c>
      <c r="V254" s="14"/>
      <c r="X254" s="75" t="str" cm="1">
        <f t="array" ref="X254">MID(";"&amp;'CASE DATA'!$F254&amp;";",SMALL(IF(ISERROR(SEARCH(MID(";"&amp;'CASE DATA'!$F254&amp;";",ROW($1:$99),1),";")),"",ROW($1:$99)+1),COLUMN(A254)),SMALL(IF(ISERROR(SEARCH(MID(";"&amp;'CASE DATA'!$F254&amp;";",ROW($1:$99),1),";")),"",ROW($1:$99)),COLUMN(A253)+1)-SMALL(IF(ISERROR(SEARCH(MID(";"&amp;'CASE DATA'!$F254&amp;";",ROW($1:$99),1),";")),"",ROW($1:$99)),COLUMN(A253))-1)</f>
        <v/>
      </c>
      <c r="Y254" s="75" t="str" cm="1">
        <f t="array" ref="Y254">MID(";"&amp;'CASE DATA'!$F254&amp;";",SMALL(IF(ISERROR(SEARCH(MID(";"&amp;'CASE DATA'!$F254&amp;";",ROW($1:$99),1),";")),"",ROW($1:$99)+1),COLUMN(B254)),SMALL(IF(ISERROR(SEARCH(MID(";"&amp;'CASE DATA'!$F254&amp;";",ROW($1:$99),1),";")),"",ROW($1:$99)),COLUMN(B253)+1)-SMALL(IF(ISERROR(SEARCH(MID(";"&amp;'CASE DATA'!$F254&amp;";",ROW($1:$99),1),";")),"",ROW($1:$99)),COLUMN(B253))-1)</f>
        <v/>
      </c>
      <c r="Z254" s="75" t="str" cm="1">
        <f t="array" ref="Z254">MID(";"&amp;'CASE DATA'!$F254&amp;";",SMALL(IF(ISERROR(SEARCH(MID(";"&amp;'CASE DATA'!$F254&amp;";",ROW($1:$99),1),";")),"",ROW($1:$99)+1),COLUMN(C254)),SMALL(IF(ISERROR(SEARCH(MID(";"&amp;'CASE DATA'!$F254&amp;";",ROW($1:$99),1),";")),"",ROW($1:$99)),COLUMN(C253)+1)-SMALL(IF(ISERROR(SEARCH(MID(";"&amp;'CASE DATA'!$F254&amp;";",ROW($1:$99),1),";")),"",ROW($1:$99)),COLUMN(C253))-1)</f>
        <v/>
      </c>
      <c r="AA254" s="75" t="str" cm="1">
        <f t="array" ref="AA254">MID(";"&amp;'CASE DATA'!$F254&amp;";",SMALL(IF(ISERROR(SEARCH(MID(";"&amp;'CASE DATA'!$F254&amp;";",ROW($1:$99),1),";")),"",ROW($1:$99)+1),COLUMN(D254)),SMALL(IF(ISERROR(SEARCH(MID(";"&amp;'CASE DATA'!$F254&amp;";",ROW($1:$99),1),";")),"",ROW($1:$99)),COLUMN(D253)+1)-SMALL(IF(ISERROR(SEARCH(MID(";"&amp;'CASE DATA'!$F254&amp;";",ROW($1:$99),1),";")),"",ROW($1:$99)),COLUMN(D253))-1)</f>
        <v/>
      </c>
      <c r="AB254" s="75" t="str" cm="1">
        <f t="array" ref="AB254">MID(";"&amp;'CASE DATA'!$F254&amp;";",SMALL(IF(ISERROR(SEARCH(MID(";"&amp;'CASE DATA'!$F254&amp;";",ROW($1:$99),1),";")),"",ROW($1:$99)+1),COLUMN(E254)),SMALL(IF(ISERROR(SEARCH(MID(";"&amp;'CASE DATA'!$F254&amp;";",ROW($1:$99),1),";")),"",ROW($1:$99)),COLUMN(E253)+1)-SMALL(IF(ISERROR(SEARCH(MID(";"&amp;'CASE DATA'!$F254&amp;";",ROW($1:$99),1),";")),"",ROW($1:$99)),COLUMN(E253))-1)</f>
        <v/>
      </c>
      <c r="AC254" s="75" t="str" cm="1">
        <f t="array" ref="AC254">MID(";"&amp;'CASE DATA'!$F254&amp;";",SMALL(IF(ISERROR(SEARCH(MID(";"&amp;'CASE DATA'!$F254&amp;";",ROW($1:$99),1),";")),"",ROW($1:$99)+1),COLUMN(F254)),SMALL(IF(ISERROR(SEARCH(MID(";"&amp;'CASE DATA'!$F254&amp;";",ROW($1:$99),1),";")),"",ROW($1:$99)),COLUMN(F253)+1)-SMALL(IF(ISERROR(SEARCH(MID(";"&amp;'CASE DATA'!$F254&amp;";",ROW($1:$99),1),";")),"",ROW($1:$99)),COLUMN(F253))-1)</f>
        <v/>
      </c>
      <c r="AD254" s="75" t="str" cm="1">
        <f t="array" ref="AD254">MID(";"&amp;'CASE DATA'!$F254&amp;";",SMALL(IF(ISERROR(SEARCH(MID(";"&amp;'CASE DATA'!$F254&amp;";",ROW($1:$99),1),";")),"",ROW($1:$99)+1),COLUMN(G254)),SMALL(IF(ISERROR(SEARCH(MID(";"&amp;'CASE DATA'!$F254&amp;";",ROW($1:$99),1),";")),"",ROW($1:$99)),COLUMN(G253)+1)-SMALL(IF(ISERROR(SEARCH(MID(";"&amp;'CASE DATA'!$F254&amp;";",ROW($1:$99),1),";")),"",ROW($1:$99)),COLUMN(G253))-1)</f>
        <v/>
      </c>
      <c r="AE254" s="75" t="str" cm="1">
        <f t="array" ref="AE254">MID(";"&amp;'CASE DATA'!$F254&amp;";",SMALL(IF(ISERROR(SEARCH(MID(";"&amp;'CASE DATA'!$F254&amp;";",ROW($1:$99),1),";")),"",ROW($1:$99)+1),COLUMN(H254)),SMALL(IF(ISERROR(SEARCH(MID(";"&amp;'CASE DATA'!$F254&amp;";",ROW($1:$99),1),";")),"",ROW($1:$99)),COLUMN(H253)+1)-SMALL(IF(ISERROR(SEARCH(MID(";"&amp;'CASE DATA'!$F254&amp;";",ROW($1:$99),1),";")),"",ROW($1:$99)),COLUMN(H253))-1)</f>
        <v/>
      </c>
      <c r="AF254" s="75" t="str" cm="1">
        <f t="array" ref="AF254">MID(";"&amp;'CASE DATA'!$F254&amp;";",SMALL(IF(ISERROR(SEARCH(MID(";"&amp;'CASE DATA'!$F254&amp;";",ROW($1:$99),1),";")),"",ROW($1:$99)+1),COLUMN(I254)),SMALL(IF(ISERROR(SEARCH(MID(";"&amp;'CASE DATA'!$F254&amp;";",ROW($1:$99),1),";")),"",ROW($1:$99)),COLUMN(I253)+1)-SMALL(IF(ISERROR(SEARCH(MID(";"&amp;'CASE DATA'!$F254&amp;";",ROW($1:$99),1),";")),"",ROW($1:$99)),COLUMN(I253))-1)</f>
        <v/>
      </c>
      <c r="AG254" s="75" t="str" cm="1">
        <f t="array" ref="AG254">MID(";"&amp;'CASE DATA'!$F254&amp;";",SMALL(IF(ISERROR(SEARCH(MID(";"&amp;'CASE DATA'!$F254&amp;";",ROW($1:$99),1),";")),"",ROW($1:$99)+1),COLUMN(K254)),SMALL(IF(ISERROR(SEARCH(MID(";"&amp;'CASE DATA'!$F254&amp;";",ROW($1:$99),1),";")),"",ROW($1:$99)),COLUMN(K253)+1)-SMALL(IF(ISERROR(SEARCH(MID(";"&amp;'CASE DATA'!$F254&amp;";",ROW($1:$99),1),";")),"",ROW($1:$99)),COLUMN(K253))-1)</f>
        <v/>
      </c>
      <c r="AH254" s="75" t="str" cm="1">
        <f t="array" ref="AH254">MID(";"&amp;'CASE DATA'!$F254&amp;";",SMALL(IF(ISERROR(SEARCH(MID(";"&amp;'CASE DATA'!$F254&amp;";",ROW($1:$99),1),";")),"",ROW($1:$99)+1),COLUMN(L254)),SMALL(IF(ISERROR(SEARCH(MID(";"&amp;'CASE DATA'!$F254&amp;";",ROW($1:$99),1),";")),"",ROW($1:$99)),COLUMN(L253)+1)-SMALL(IF(ISERROR(SEARCH(MID(";"&amp;'CASE DATA'!$F254&amp;";",ROW($1:$99),1),";")),"",ROW($1:$99)),COLUMN(L253))-1)</f>
        <v/>
      </c>
      <c r="AI254" s="75" t="str" cm="1">
        <f t="array" ref="AI254">MID(";"&amp;'CASE DATA'!$F254&amp;";",SMALL(IF(ISERROR(SEARCH(MID(";"&amp;'CASE DATA'!$F254&amp;";",ROW($1:$99),1),";")),"",ROW($1:$99)+1),COLUMN(M254)),SMALL(IF(ISERROR(SEARCH(MID(";"&amp;'CASE DATA'!$F254&amp;";",ROW($1:$99),1),";")),"",ROW($1:$99)),COLUMN(M253)+1)-SMALL(IF(ISERROR(SEARCH(MID(";"&amp;'CASE DATA'!$F254&amp;";",ROW($1:$99),1),";")),"",ROW($1:$99)),COLUMN(M253))-1)</f>
        <v/>
      </c>
      <c r="BO254" s="99"/>
      <c r="BP254" s="99"/>
      <c r="BQ254" s="99"/>
      <c r="BR254" s="99"/>
      <c r="BS254" s="99"/>
      <c r="BT254" s="99"/>
      <c r="BU254" s="99"/>
      <c r="BV254" s="99"/>
      <c r="BW254" s="99"/>
      <c r="BX254" s="99"/>
      <c r="BY254" s="99"/>
      <c r="BZ254" s="99"/>
      <c r="CA254" s="99"/>
      <c r="CB254" s="99"/>
      <c r="CC254" s="99"/>
      <c r="CD254" s="99"/>
      <c r="CE254" s="99"/>
      <c r="CF254" s="99"/>
      <c r="CG254" s="99"/>
      <c r="CH254" s="99"/>
      <c r="CI254" s="99"/>
      <c r="CJ254" s="99"/>
      <c r="CK254" s="99"/>
      <c r="CL254" s="99"/>
      <c r="CM254" s="99"/>
      <c r="CN254" s="99"/>
      <c r="CO254" s="99"/>
      <c r="CP254" s="99"/>
      <c r="CQ254" s="99"/>
      <c r="CR254" s="99"/>
      <c r="CS254" s="99"/>
      <c r="CT254" s="99"/>
      <c r="CU254" s="99"/>
      <c r="CV254" s="99"/>
      <c r="CW254" s="99"/>
      <c r="CX254" s="99"/>
      <c r="CY254" s="99"/>
      <c r="CZ254" s="99"/>
      <c r="DA254" s="99"/>
      <c r="DB254" s="99"/>
      <c r="DC254" s="99"/>
      <c r="DD254" s="99"/>
      <c r="DE254" s="99"/>
      <c r="DF254" s="99"/>
      <c r="DG254" s="99"/>
      <c r="DH254" s="99"/>
      <c r="DI254" s="99"/>
      <c r="DJ254" s="99"/>
      <c r="DK254" s="99"/>
      <c r="DL254" s="99"/>
      <c r="DM254" s="99"/>
      <c r="DN254" s="99"/>
      <c r="DO254" s="99"/>
      <c r="DP254" s="99"/>
      <c r="DQ254" s="99"/>
      <c r="DR254" s="99"/>
      <c r="DS254" s="99"/>
      <c r="DT254" s="99"/>
      <c r="DU254" s="99"/>
      <c r="DV254" s="99"/>
      <c r="DW254" s="99"/>
      <c r="DX254" s="99"/>
      <c r="DY254" s="99"/>
      <c r="DZ254" s="99"/>
      <c r="EA254" s="99"/>
      <c r="EB254" s="99"/>
      <c r="EC254" s="99"/>
      <c r="ED254" s="99"/>
      <c r="EE254" s="99"/>
      <c r="EF254" s="99"/>
      <c r="EG254" s="99"/>
      <c r="EH254" s="99"/>
      <c r="EI254" s="99"/>
      <c r="EJ254" s="99"/>
      <c r="EK254" s="99"/>
      <c r="EL254" s="99"/>
      <c r="EM254" s="99"/>
      <c r="EN254" s="99"/>
      <c r="EO254" s="99"/>
      <c r="EP254" s="99"/>
      <c r="EQ254" s="99"/>
      <c r="ER254" s="99"/>
      <c r="ES254" s="99"/>
      <c r="ET254" s="99"/>
      <c r="EU254" s="99"/>
      <c r="EV254" s="99"/>
      <c r="EW254" s="99"/>
      <c r="EX254" s="99"/>
      <c r="EY254" s="99"/>
      <c r="EZ254" s="99"/>
      <c r="FA254" s="99"/>
      <c r="FB254" s="99"/>
      <c r="FC254" s="99"/>
      <c r="FD254" s="99"/>
      <c r="FE254" s="99"/>
      <c r="FF254" s="99"/>
      <c r="FG254" s="99"/>
      <c r="FH254" s="99"/>
      <c r="FI254" s="99"/>
      <c r="FJ254" s="99"/>
      <c r="FK254" s="99"/>
    </row>
    <row r="255" spans="3:167" x14ac:dyDescent="0.25">
      <c r="C255" s="10"/>
      <c r="D255" s="10"/>
      <c r="J255" s="99">
        <v>252</v>
      </c>
      <c r="K255" s="16"/>
      <c r="L255" s="16"/>
      <c r="M255" s="16"/>
      <c r="N255" s="16"/>
      <c r="O255" s="16"/>
      <c r="P255" s="16"/>
      <c r="Q255" s="16"/>
      <c r="R255" s="16"/>
      <c r="S255" s="16"/>
      <c r="T255" s="16"/>
      <c r="U255" s="14">
        <f>SUM(K255:T255)</f>
        <v>0</v>
      </c>
      <c r="V255" s="14"/>
      <c r="X255" s="75" t="str" cm="1">
        <f t="array" ref="X255">MID(";"&amp;'CASE DATA'!$F255&amp;";",SMALL(IF(ISERROR(SEARCH(MID(";"&amp;'CASE DATA'!$F255&amp;";",ROW($1:$99),1),";")),"",ROW($1:$99)+1),COLUMN(A255)),SMALL(IF(ISERROR(SEARCH(MID(";"&amp;'CASE DATA'!$F255&amp;";",ROW($1:$99),1),";")),"",ROW($1:$99)),COLUMN(A254)+1)-SMALL(IF(ISERROR(SEARCH(MID(";"&amp;'CASE DATA'!$F255&amp;";",ROW($1:$99),1),";")),"",ROW($1:$99)),COLUMN(A254))-1)</f>
        <v/>
      </c>
      <c r="Y255" s="75" t="str" cm="1">
        <f t="array" ref="Y255">MID(";"&amp;'CASE DATA'!$F255&amp;";",SMALL(IF(ISERROR(SEARCH(MID(";"&amp;'CASE DATA'!$F255&amp;";",ROW($1:$99),1),";")),"",ROW($1:$99)+1),COLUMN(B255)),SMALL(IF(ISERROR(SEARCH(MID(";"&amp;'CASE DATA'!$F255&amp;";",ROW($1:$99),1),";")),"",ROW($1:$99)),COLUMN(B254)+1)-SMALL(IF(ISERROR(SEARCH(MID(";"&amp;'CASE DATA'!$F255&amp;";",ROW($1:$99),1),";")),"",ROW($1:$99)),COLUMN(B254))-1)</f>
        <v/>
      </c>
      <c r="Z255" s="75" t="str" cm="1">
        <f t="array" ref="Z255">MID(";"&amp;'CASE DATA'!$F255&amp;";",SMALL(IF(ISERROR(SEARCH(MID(";"&amp;'CASE DATA'!$F255&amp;";",ROW($1:$99),1),";")),"",ROW($1:$99)+1),COLUMN(C255)),SMALL(IF(ISERROR(SEARCH(MID(";"&amp;'CASE DATA'!$F255&amp;";",ROW($1:$99),1),";")),"",ROW($1:$99)),COLUMN(C254)+1)-SMALL(IF(ISERROR(SEARCH(MID(";"&amp;'CASE DATA'!$F255&amp;";",ROW($1:$99),1),";")),"",ROW($1:$99)),COLUMN(C254))-1)</f>
        <v/>
      </c>
      <c r="AA255" s="75" t="str" cm="1">
        <f t="array" ref="AA255">MID(";"&amp;'CASE DATA'!$F255&amp;";",SMALL(IF(ISERROR(SEARCH(MID(";"&amp;'CASE DATA'!$F255&amp;";",ROW($1:$99),1),";")),"",ROW($1:$99)+1),COLUMN(D255)),SMALL(IF(ISERROR(SEARCH(MID(";"&amp;'CASE DATA'!$F255&amp;";",ROW($1:$99),1),";")),"",ROW($1:$99)),COLUMN(D254)+1)-SMALL(IF(ISERROR(SEARCH(MID(";"&amp;'CASE DATA'!$F255&amp;";",ROW($1:$99),1),";")),"",ROW($1:$99)),COLUMN(D254))-1)</f>
        <v/>
      </c>
      <c r="AB255" s="75" t="str" cm="1">
        <f t="array" ref="AB255">MID(";"&amp;'CASE DATA'!$F255&amp;";",SMALL(IF(ISERROR(SEARCH(MID(";"&amp;'CASE DATA'!$F255&amp;";",ROW($1:$99),1),";")),"",ROW($1:$99)+1),COLUMN(E255)),SMALL(IF(ISERROR(SEARCH(MID(";"&amp;'CASE DATA'!$F255&amp;";",ROW($1:$99),1),";")),"",ROW($1:$99)),COLUMN(E254)+1)-SMALL(IF(ISERROR(SEARCH(MID(";"&amp;'CASE DATA'!$F255&amp;";",ROW($1:$99),1),";")),"",ROW($1:$99)),COLUMN(E254))-1)</f>
        <v/>
      </c>
      <c r="AC255" s="75" t="str" cm="1">
        <f t="array" ref="AC255">MID(";"&amp;'CASE DATA'!$F255&amp;";",SMALL(IF(ISERROR(SEARCH(MID(";"&amp;'CASE DATA'!$F255&amp;";",ROW($1:$99),1),";")),"",ROW($1:$99)+1),COLUMN(F255)),SMALL(IF(ISERROR(SEARCH(MID(";"&amp;'CASE DATA'!$F255&amp;";",ROW($1:$99),1),";")),"",ROW($1:$99)),COLUMN(F254)+1)-SMALL(IF(ISERROR(SEARCH(MID(";"&amp;'CASE DATA'!$F255&amp;";",ROW($1:$99),1),";")),"",ROW($1:$99)),COLUMN(F254))-1)</f>
        <v/>
      </c>
      <c r="AD255" s="75" t="str" cm="1">
        <f t="array" ref="AD255">MID(";"&amp;'CASE DATA'!$F255&amp;";",SMALL(IF(ISERROR(SEARCH(MID(";"&amp;'CASE DATA'!$F255&amp;";",ROW($1:$99),1),";")),"",ROW($1:$99)+1),COLUMN(G255)),SMALL(IF(ISERROR(SEARCH(MID(";"&amp;'CASE DATA'!$F255&amp;";",ROW($1:$99),1),";")),"",ROW($1:$99)),COLUMN(G254)+1)-SMALL(IF(ISERROR(SEARCH(MID(";"&amp;'CASE DATA'!$F255&amp;";",ROW($1:$99),1),";")),"",ROW($1:$99)),COLUMN(G254))-1)</f>
        <v/>
      </c>
      <c r="AE255" s="75" t="str" cm="1">
        <f t="array" ref="AE255">MID(";"&amp;'CASE DATA'!$F255&amp;";",SMALL(IF(ISERROR(SEARCH(MID(";"&amp;'CASE DATA'!$F255&amp;";",ROW($1:$99),1),";")),"",ROW($1:$99)+1),COLUMN(H255)),SMALL(IF(ISERROR(SEARCH(MID(";"&amp;'CASE DATA'!$F255&amp;";",ROW($1:$99),1),";")),"",ROW($1:$99)),COLUMN(H254)+1)-SMALL(IF(ISERROR(SEARCH(MID(";"&amp;'CASE DATA'!$F255&amp;";",ROW($1:$99),1),";")),"",ROW($1:$99)),COLUMN(H254))-1)</f>
        <v/>
      </c>
      <c r="AF255" s="75" t="str" cm="1">
        <f t="array" ref="AF255">MID(";"&amp;'CASE DATA'!$F255&amp;";",SMALL(IF(ISERROR(SEARCH(MID(";"&amp;'CASE DATA'!$F255&amp;";",ROW($1:$99),1),";")),"",ROW($1:$99)+1),COLUMN(I255)),SMALL(IF(ISERROR(SEARCH(MID(";"&amp;'CASE DATA'!$F255&amp;";",ROW($1:$99),1),";")),"",ROW($1:$99)),COLUMN(I254)+1)-SMALL(IF(ISERROR(SEARCH(MID(";"&amp;'CASE DATA'!$F255&amp;";",ROW($1:$99),1),";")),"",ROW($1:$99)),COLUMN(I254))-1)</f>
        <v/>
      </c>
      <c r="AG255" s="75" t="str" cm="1">
        <f t="array" ref="AG255">MID(";"&amp;'CASE DATA'!$F255&amp;";",SMALL(IF(ISERROR(SEARCH(MID(";"&amp;'CASE DATA'!$F255&amp;";",ROW($1:$99),1),";")),"",ROW($1:$99)+1),COLUMN(K255)),SMALL(IF(ISERROR(SEARCH(MID(";"&amp;'CASE DATA'!$F255&amp;";",ROW($1:$99),1),";")),"",ROW($1:$99)),COLUMN(K254)+1)-SMALL(IF(ISERROR(SEARCH(MID(";"&amp;'CASE DATA'!$F255&amp;";",ROW($1:$99),1),";")),"",ROW($1:$99)),COLUMN(K254))-1)</f>
        <v/>
      </c>
      <c r="AH255" s="75" t="str" cm="1">
        <f t="array" ref="AH255">MID(";"&amp;'CASE DATA'!$F255&amp;";",SMALL(IF(ISERROR(SEARCH(MID(";"&amp;'CASE DATA'!$F255&amp;";",ROW($1:$99),1),";")),"",ROW($1:$99)+1),COLUMN(L255)),SMALL(IF(ISERROR(SEARCH(MID(";"&amp;'CASE DATA'!$F255&amp;";",ROW($1:$99),1),";")),"",ROW($1:$99)),COLUMN(L254)+1)-SMALL(IF(ISERROR(SEARCH(MID(";"&amp;'CASE DATA'!$F255&amp;";",ROW($1:$99),1),";")),"",ROW($1:$99)),COLUMN(L254))-1)</f>
        <v/>
      </c>
      <c r="AI255" s="75" t="str" cm="1">
        <f t="array" ref="AI255">MID(";"&amp;'CASE DATA'!$F255&amp;";",SMALL(IF(ISERROR(SEARCH(MID(";"&amp;'CASE DATA'!$F255&amp;";",ROW($1:$99),1),";")),"",ROW($1:$99)+1),COLUMN(M255)),SMALL(IF(ISERROR(SEARCH(MID(";"&amp;'CASE DATA'!$F255&amp;";",ROW($1:$99),1),";")),"",ROW($1:$99)),COLUMN(M254)+1)-SMALL(IF(ISERROR(SEARCH(MID(";"&amp;'CASE DATA'!$F255&amp;";",ROW($1:$99),1),";")),"",ROW($1:$99)),COLUMN(M254))-1)</f>
        <v/>
      </c>
      <c r="BO255" s="99"/>
      <c r="BP255" s="99"/>
      <c r="BQ255" s="99"/>
      <c r="BR255" s="99"/>
      <c r="BS255" s="99"/>
      <c r="BT255" s="99"/>
      <c r="BU255" s="99"/>
      <c r="BV255" s="99"/>
      <c r="BW255" s="99"/>
      <c r="BX255" s="99"/>
      <c r="BY255" s="99"/>
      <c r="BZ255" s="99"/>
      <c r="CA255" s="99"/>
      <c r="CB255" s="99"/>
      <c r="CC255" s="99"/>
      <c r="CD255" s="99"/>
      <c r="CE255" s="99"/>
      <c r="CF255" s="99"/>
      <c r="CG255" s="99"/>
      <c r="CH255" s="99"/>
      <c r="CI255" s="99"/>
      <c r="CJ255" s="99"/>
      <c r="CK255" s="99"/>
      <c r="CL255" s="99"/>
      <c r="CM255" s="99"/>
      <c r="CN255" s="99"/>
      <c r="CO255" s="99"/>
      <c r="CP255" s="99"/>
      <c r="CQ255" s="99"/>
      <c r="CR255" s="99"/>
      <c r="CS255" s="99"/>
      <c r="CT255" s="99"/>
      <c r="CU255" s="99"/>
      <c r="CV255" s="99"/>
      <c r="CW255" s="99"/>
      <c r="CX255" s="99"/>
      <c r="CY255" s="99"/>
      <c r="CZ255" s="99"/>
      <c r="DA255" s="99"/>
      <c r="DB255" s="99"/>
      <c r="DC255" s="99"/>
      <c r="DD255" s="99"/>
      <c r="DE255" s="99"/>
      <c r="DF255" s="99"/>
      <c r="DG255" s="99"/>
      <c r="DH255" s="99"/>
      <c r="DI255" s="99"/>
      <c r="DJ255" s="99"/>
      <c r="DK255" s="99"/>
      <c r="DL255" s="99"/>
      <c r="DM255" s="99"/>
      <c r="DN255" s="99"/>
      <c r="DO255" s="99"/>
      <c r="DP255" s="99"/>
      <c r="DQ255" s="99"/>
      <c r="DR255" s="99"/>
      <c r="DS255" s="99"/>
      <c r="DT255" s="99"/>
      <c r="DU255" s="99"/>
      <c r="DV255" s="99"/>
      <c r="DW255" s="99"/>
      <c r="DX255" s="99"/>
      <c r="DY255" s="99"/>
      <c r="DZ255" s="99"/>
      <c r="EA255" s="99"/>
      <c r="EB255" s="99"/>
      <c r="EC255" s="99"/>
      <c r="ED255" s="99"/>
      <c r="EE255" s="99"/>
      <c r="EF255" s="99"/>
      <c r="EG255" s="99"/>
      <c r="EH255" s="99"/>
      <c r="EI255" s="99"/>
      <c r="EJ255" s="99"/>
      <c r="EK255" s="99"/>
      <c r="EL255" s="99"/>
      <c r="EM255" s="99"/>
      <c r="EN255" s="99"/>
      <c r="EO255" s="99"/>
      <c r="EP255" s="99"/>
      <c r="EQ255" s="99"/>
      <c r="ER255" s="99"/>
      <c r="ES255" s="99"/>
      <c r="ET255" s="99"/>
      <c r="EU255" s="99"/>
      <c r="EV255" s="99"/>
      <c r="EW255" s="99"/>
      <c r="EX255" s="99"/>
      <c r="EY255" s="99"/>
      <c r="EZ255" s="99"/>
      <c r="FA255" s="99"/>
      <c r="FB255" s="99"/>
      <c r="FC255" s="99"/>
      <c r="FD255" s="99"/>
      <c r="FE255" s="99"/>
      <c r="FF255" s="99"/>
      <c r="FG255" s="99"/>
      <c r="FH255" s="99"/>
      <c r="FI255" s="99"/>
      <c r="FJ255" s="99"/>
      <c r="FK255" s="99"/>
    </row>
    <row r="256" spans="3:167" x14ac:dyDescent="0.25">
      <c r="C256" s="10"/>
      <c r="D256" s="10"/>
      <c r="J256" s="99">
        <v>253</v>
      </c>
      <c r="K256" s="16"/>
      <c r="L256" s="16"/>
      <c r="M256" s="16"/>
      <c r="N256" s="16"/>
      <c r="O256" s="16"/>
      <c r="P256" s="16"/>
      <c r="Q256" s="16"/>
      <c r="R256" s="16"/>
      <c r="S256" s="16"/>
      <c r="T256" s="16"/>
      <c r="U256" s="14">
        <f>SUM(K256:T256)</f>
        <v>0</v>
      </c>
      <c r="V256" s="14"/>
      <c r="X256" s="75" t="str" cm="1">
        <f t="array" ref="X256">MID(";"&amp;'CASE DATA'!$F256&amp;";",SMALL(IF(ISERROR(SEARCH(MID(";"&amp;'CASE DATA'!$F256&amp;";",ROW($1:$99),1),";")),"",ROW($1:$99)+1),COLUMN(A256)),SMALL(IF(ISERROR(SEARCH(MID(";"&amp;'CASE DATA'!$F256&amp;";",ROW($1:$99),1),";")),"",ROW($1:$99)),COLUMN(A255)+1)-SMALL(IF(ISERROR(SEARCH(MID(";"&amp;'CASE DATA'!$F256&amp;";",ROW($1:$99),1),";")),"",ROW($1:$99)),COLUMN(A255))-1)</f>
        <v/>
      </c>
      <c r="Y256" s="75" t="str" cm="1">
        <f t="array" ref="Y256">MID(";"&amp;'CASE DATA'!$F256&amp;";",SMALL(IF(ISERROR(SEARCH(MID(";"&amp;'CASE DATA'!$F256&amp;";",ROW($1:$99),1),";")),"",ROW($1:$99)+1),COLUMN(B256)),SMALL(IF(ISERROR(SEARCH(MID(";"&amp;'CASE DATA'!$F256&amp;";",ROW($1:$99),1),";")),"",ROW($1:$99)),COLUMN(B255)+1)-SMALL(IF(ISERROR(SEARCH(MID(";"&amp;'CASE DATA'!$F256&amp;";",ROW($1:$99),1),";")),"",ROW($1:$99)),COLUMN(B255))-1)</f>
        <v/>
      </c>
      <c r="Z256" s="75" t="str" cm="1">
        <f t="array" ref="Z256">MID(";"&amp;'CASE DATA'!$F256&amp;";",SMALL(IF(ISERROR(SEARCH(MID(";"&amp;'CASE DATA'!$F256&amp;";",ROW($1:$99),1),";")),"",ROW($1:$99)+1),COLUMN(C256)),SMALL(IF(ISERROR(SEARCH(MID(";"&amp;'CASE DATA'!$F256&amp;";",ROW($1:$99),1),";")),"",ROW($1:$99)),COLUMN(C255)+1)-SMALL(IF(ISERROR(SEARCH(MID(";"&amp;'CASE DATA'!$F256&amp;";",ROW($1:$99),1),";")),"",ROW($1:$99)),COLUMN(C255))-1)</f>
        <v/>
      </c>
      <c r="AA256" s="75" t="str" cm="1">
        <f t="array" ref="AA256">MID(";"&amp;'CASE DATA'!$F256&amp;";",SMALL(IF(ISERROR(SEARCH(MID(";"&amp;'CASE DATA'!$F256&amp;";",ROW($1:$99),1),";")),"",ROW($1:$99)+1),COLUMN(D256)),SMALL(IF(ISERROR(SEARCH(MID(";"&amp;'CASE DATA'!$F256&amp;";",ROW($1:$99),1),";")),"",ROW($1:$99)),COLUMN(D255)+1)-SMALL(IF(ISERROR(SEARCH(MID(";"&amp;'CASE DATA'!$F256&amp;";",ROW($1:$99),1),";")),"",ROW($1:$99)),COLUMN(D255))-1)</f>
        <v/>
      </c>
      <c r="AB256" s="75" t="str" cm="1">
        <f t="array" ref="AB256">MID(";"&amp;'CASE DATA'!$F256&amp;";",SMALL(IF(ISERROR(SEARCH(MID(";"&amp;'CASE DATA'!$F256&amp;";",ROW($1:$99),1),";")),"",ROW($1:$99)+1),COLUMN(E256)),SMALL(IF(ISERROR(SEARCH(MID(";"&amp;'CASE DATA'!$F256&amp;";",ROW($1:$99),1),";")),"",ROW($1:$99)),COLUMN(E255)+1)-SMALL(IF(ISERROR(SEARCH(MID(";"&amp;'CASE DATA'!$F256&amp;";",ROW($1:$99),1),";")),"",ROW($1:$99)),COLUMN(E255))-1)</f>
        <v/>
      </c>
      <c r="AC256" s="75" t="str" cm="1">
        <f t="array" ref="AC256">MID(";"&amp;'CASE DATA'!$F256&amp;";",SMALL(IF(ISERROR(SEARCH(MID(";"&amp;'CASE DATA'!$F256&amp;";",ROW($1:$99),1),";")),"",ROW($1:$99)+1),COLUMN(F256)),SMALL(IF(ISERROR(SEARCH(MID(";"&amp;'CASE DATA'!$F256&amp;";",ROW($1:$99),1),";")),"",ROW($1:$99)),COLUMN(F255)+1)-SMALL(IF(ISERROR(SEARCH(MID(";"&amp;'CASE DATA'!$F256&amp;";",ROW($1:$99),1),";")),"",ROW($1:$99)),COLUMN(F255))-1)</f>
        <v/>
      </c>
      <c r="AD256" s="75" t="str" cm="1">
        <f t="array" ref="AD256">MID(";"&amp;'CASE DATA'!$F256&amp;";",SMALL(IF(ISERROR(SEARCH(MID(";"&amp;'CASE DATA'!$F256&amp;";",ROW($1:$99),1),";")),"",ROW($1:$99)+1),COLUMN(G256)),SMALL(IF(ISERROR(SEARCH(MID(";"&amp;'CASE DATA'!$F256&amp;";",ROW($1:$99),1),";")),"",ROW($1:$99)),COLUMN(G255)+1)-SMALL(IF(ISERROR(SEARCH(MID(";"&amp;'CASE DATA'!$F256&amp;";",ROW($1:$99),1),";")),"",ROW($1:$99)),COLUMN(G255))-1)</f>
        <v/>
      </c>
      <c r="AE256" s="75" t="str" cm="1">
        <f t="array" ref="AE256">MID(";"&amp;'CASE DATA'!$F256&amp;";",SMALL(IF(ISERROR(SEARCH(MID(";"&amp;'CASE DATA'!$F256&amp;";",ROW($1:$99),1),";")),"",ROW($1:$99)+1),COLUMN(H256)),SMALL(IF(ISERROR(SEARCH(MID(";"&amp;'CASE DATA'!$F256&amp;";",ROW($1:$99),1),";")),"",ROW($1:$99)),COLUMN(H255)+1)-SMALL(IF(ISERROR(SEARCH(MID(";"&amp;'CASE DATA'!$F256&amp;";",ROW($1:$99),1),";")),"",ROW($1:$99)),COLUMN(H255))-1)</f>
        <v/>
      </c>
      <c r="AF256" s="75" t="str" cm="1">
        <f t="array" ref="AF256">MID(";"&amp;'CASE DATA'!$F256&amp;";",SMALL(IF(ISERROR(SEARCH(MID(";"&amp;'CASE DATA'!$F256&amp;";",ROW($1:$99),1),";")),"",ROW($1:$99)+1),COLUMN(I256)),SMALL(IF(ISERROR(SEARCH(MID(";"&amp;'CASE DATA'!$F256&amp;";",ROW($1:$99),1),";")),"",ROW($1:$99)),COLUMN(I255)+1)-SMALL(IF(ISERROR(SEARCH(MID(";"&amp;'CASE DATA'!$F256&amp;";",ROW($1:$99),1),";")),"",ROW($1:$99)),COLUMN(I255))-1)</f>
        <v/>
      </c>
      <c r="AG256" s="75" t="str" cm="1">
        <f t="array" ref="AG256">MID(";"&amp;'CASE DATA'!$F256&amp;";",SMALL(IF(ISERROR(SEARCH(MID(";"&amp;'CASE DATA'!$F256&amp;";",ROW($1:$99),1),";")),"",ROW($1:$99)+1),COLUMN(K256)),SMALL(IF(ISERROR(SEARCH(MID(";"&amp;'CASE DATA'!$F256&amp;";",ROW($1:$99),1),";")),"",ROW($1:$99)),COLUMN(K255)+1)-SMALL(IF(ISERROR(SEARCH(MID(";"&amp;'CASE DATA'!$F256&amp;";",ROW($1:$99),1),";")),"",ROW($1:$99)),COLUMN(K255))-1)</f>
        <v/>
      </c>
      <c r="AH256" s="75" t="str" cm="1">
        <f t="array" ref="AH256">MID(";"&amp;'CASE DATA'!$F256&amp;";",SMALL(IF(ISERROR(SEARCH(MID(";"&amp;'CASE DATA'!$F256&amp;";",ROW($1:$99),1),";")),"",ROW($1:$99)+1),COLUMN(L256)),SMALL(IF(ISERROR(SEARCH(MID(";"&amp;'CASE DATA'!$F256&amp;";",ROW($1:$99),1),";")),"",ROW($1:$99)),COLUMN(L255)+1)-SMALL(IF(ISERROR(SEARCH(MID(";"&amp;'CASE DATA'!$F256&amp;";",ROW($1:$99),1),";")),"",ROW($1:$99)),COLUMN(L255))-1)</f>
        <v/>
      </c>
      <c r="AI256" s="75" t="str" cm="1">
        <f t="array" ref="AI256">MID(";"&amp;'CASE DATA'!$F256&amp;";",SMALL(IF(ISERROR(SEARCH(MID(";"&amp;'CASE DATA'!$F256&amp;";",ROW($1:$99),1),";")),"",ROW($1:$99)+1),COLUMN(M256)),SMALL(IF(ISERROR(SEARCH(MID(";"&amp;'CASE DATA'!$F256&amp;";",ROW($1:$99),1),";")),"",ROW($1:$99)),COLUMN(M255)+1)-SMALL(IF(ISERROR(SEARCH(MID(";"&amp;'CASE DATA'!$F256&amp;";",ROW($1:$99),1),";")),"",ROW($1:$99)),COLUMN(M255))-1)</f>
        <v/>
      </c>
      <c r="BO256" s="99"/>
      <c r="BP256" s="99"/>
      <c r="BQ256" s="99"/>
      <c r="BR256" s="99"/>
      <c r="BS256" s="99"/>
      <c r="BT256" s="99"/>
      <c r="BU256" s="99"/>
      <c r="BV256" s="99"/>
      <c r="BW256" s="99"/>
      <c r="BX256" s="99"/>
      <c r="BY256" s="99"/>
      <c r="BZ256" s="99"/>
      <c r="CA256" s="99"/>
      <c r="CB256" s="99"/>
      <c r="CC256" s="99"/>
      <c r="CD256" s="99"/>
      <c r="CE256" s="99"/>
      <c r="CF256" s="99"/>
      <c r="CG256" s="99"/>
      <c r="CH256" s="99"/>
      <c r="CI256" s="99"/>
      <c r="CJ256" s="99"/>
      <c r="CK256" s="99"/>
      <c r="CL256" s="99"/>
      <c r="CM256" s="99"/>
      <c r="CN256" s="99"/>
      <c r="CO256" s="99"/>
      <c r="CP256" s="99"/>
      <c r="CQ256" s="99"/>
      <c r="CR256" s="99"/>
      <c r="CS256" s="99"/>
      <c r="CT256" s="99"/>
      <c r="CU256" s="99"/>
      <c r="CV256" s="99"/>
      <c r="CW256" s="99"/>
      <c r="CX256" s="99"/>
      <c r="CY256" s="99"/>
      <c r="CZ256" s="99"/>
      <c r="DA256" s="99"/>
      <c r="DB256" s="99"/>
      <c r="DC256" s="99"/>
      <c r="DD256" s="99"/>
      <c r="DE256" s="99"/>
      <c r="DF256" s="99"/>
      <c r="DG256" s="99"/>
      <c r="DH256" s="99"/>
      <c r="DI256" s="99"/>
      <c r="DJ256" s="99"/>
      <c r="DK256" s="99"/>
      <c r="DL256" s="99"/>
      <c r="DM256" s="99"/>
      <c r="DN256" s="99"/>
      <c r="DO256" s="99"/>
      <c r="DP256" s="99"/>
      <c r="DQ256" s="99"/>
      <c r="DR256" s="99"/>
      <c r="DS256" s="99"/>
      <c r="DT256" s="99"/>
      <c r="DU256" s="99"/>
      <c r="DV256" s="99"/>
      <c r="DW256" s="99"/>
      <c r="DX256" s="99"/>
      <c r="DY256" s="99"/>
      <c r="DZ256" s="99"/>
      <c r="EA256" s="99"/>
      <c r="EB256" s="99"/>
      <c r="EC256" s="99"/>
      <c r="ED256" s="99"/>
      <c r="EE256" s="99"/>
      <c r="EF256" s="99"/>
      <c r="EG256" s="99"/>
      <c r="EH256" s="99"/>
      <c r="EI256" s="99"/>
      <c r="EJ256" s="99"/>
      <c r="EK256" s="99"/>
      <c r="EL256" s="99"/>
      <c r="EM256" s="99"/>
      <c r="EN256" s="99"/>
      <c r="EO256" s="99"/>
      <c r="EP256" s="99"/>
      <c r="EQ256" s="99"/>
      <c r="ER256" s="99"/>
      <c r="ES256" s="99"/>
      <c r="ET256" s="99"/>
      <c r="EU256" s="99"/>
      <c r="EV256" s="99"/>
      <c r="EW256" s="99"/>
      <c r="EX256" s="99"/>
      <c r="EY256" s="99"/>
      <c r="EZ256" s="99"/>
      <c r="FA256" s="99"/>
      <c r="FB256" s="99"/>
      <c r="FC256" s="99"/>
      <c r="FD256" s="99"/>
      <c r="FE256" s="99"/>
      <c r="FF256" s="99"/>
      <c r="FG256" s="99"/>
      <c r="FH256" s="99"/>
      <c r="FI256" s="99"/>
      <c r="FJ256" s="99"/>
      <c r="FK256" s="99"/>
    </row>
    <row r="257" spans="3:167" x14ac:dyDescent="0.25">
      <c r="C257" s="10"/>
      <c r="D257" s="10"/>
      <c r="J257" s="99">
        <v>254</v>
      </c>
      <c r="K257" s="16"/>
      <c r="L257" s="16"/>
      <c r="M257" s="16"/>
      <c r="N257" s="16"/>
      <c r="O257" s="16"/>
      <c r="P257" s="16"/>
      <c r="Q257" s="16"/>
      <c r="R257" s="16"/>
      <c r="S257" s="16"/>
      <c r="T257" s="16"/>
      <c r="U257" s="14">
        <f>SUM(K257:T257)</f>
        <v>0</v>
      </c>
      <c r="V257" s="14"/>
      <c r="X257" s="75" t="str" cm="1">
        <f t="array" ref="X257">MID(";"&amp;'CASE DATA'!$F257&amp;";",SMALL(IF(ISERROR(SEARCH(MID(";"&amp;'CASE DATA'!$F257&amp;";",ROW($1:$99),1),";")),"",ROW($1:$99)+1),COLUMN(A257)),SMALL(IF(ISERROR(SEARCH(MID(";"&amp;'CASE DATA'!$F257&amp;";",ROW($1:$99),1),";")),"",ROW($1:$99)),COLUMN(A256)+1)-SMALL(IF(ISERROR(SEARCH(MID(";"&amp;'CASE DATA'!$F257&amp;";",ROW($1:$99),1),";")),"",ROW($1:$99)),COLUMN(A256))-1)</f>
        <v/>
      </c>
      <c r="Y257" s="75" t="str" cm="1">
        <f t="array" ref="Y257">MID(";"&amp;'CASE DATA'!$F257&amp;";",SMALL(IF(ISERROR(SEARCH(MID(";"&amp;'CASE DATA'!$F257&amp;";",ROW($1:$99),1),";")),"",ROW($1:$99)+1),COLUMN(B257)),SMALL(IF(ISERROR(SEARCH(MID(";"&amp;'CASE DATA'!$F257&amp;";",ROW($1:$99),1),";")),"",ROW($1:$99)),COLUMN(B256)+1)-SMALL(IF(ISERROR(SEARCH(MID(";"&amp;'CASE DATA'!$F257&amp;";",ROW($1:$99),1),";")),"",ROW($1:$99)),COLUMN(B256))-1)</f>
        <v/>
      </c>
      <c r="Z257" s="75" t="str" cm="1">
        <f t="array" ref="Z257">MID(";"&amp;'CASE DATA'!$F257&amp;";",SMALL(IF(ISERROR(SEARCH(MID(";"&amp;'CASE DATA'!$F257&amp;";",ROW($1:$99),1),";")),"",ROW($1:$99)+1),COLUMN(C257)),SMALL(IF(ISERROR(SEARCH(MID(";"&amp;'CASE DATA'!$F257&amp;";",ROW($1:$99),1),";")),"",ROW($1:$99)),COLUMN(C256)+1)-SMALL(IF(ISERROR(SEARCH(MID(";"&amp;'CASE DATA'!$F257&amp;";",ROW($1:$99),1),";")),"",ROW($1:$99)),COLUMN(C256))-1)</f>
        <v/>
      </c>
      <c r="AA257" s="75" t="str" cm="1">
        <f t="array" ref="AA257">MID(";"&amp;'CASE DATA'!$F257&amp;";",SMALL(IF(ISERROR(SEARCH(MID(";"&amp;'CASE DATA'!$F257&amp;";",ROW($1:$99),1),";")),"",ROW($1:$99)+1),COLUMN(D257)),SMALL(IF(ISERROR(SEARCH(MID(";"&amp;'CASE DATA'!$F257&amp;";",ROW($1:$99),1),";")),"",ROW($1:$99)),COLUMN(D256)+1)-SMALL(IF(ISERROR(SEARCH(MID(";"&amp;'CASE DATA'!$F257&amp;";",ROW($1:$99),1),";")),"",ROW($1:$99)),COLUMN(D256))-1)</f>
        <v/>
      </c>
      <c r="AB257" s="75" t="str" cm="1">
        <f t="array" ref="AB257">MID(";"&amp;'CASE DATA'!$F257&amp;";",SMALL(IF(ISERROR(SEARCH(MID(";"&amp;'CASE DATA'!$F257&amp;";",ROW($1:$99),1),";")),"",ROW($1:$99)+1),COLUMN(E257)),SMALL(IF(ISERROR(SEARCH(MID(";"&amp;'CASE DATA'!$F257&amp;";",ROW($1:$99),1),";")),"",ROW($1:$99)),COLUMN(E256)+1)-SMALL(IF(ISERROR(SEARCH(MID(";"&amp;'CASE DATA'!$F257&amp;";",ROW($1:$99),1),";")),"",ROW($1:$99)),COLUMN(E256))-1)</f>
        <v/>
      </c>
      <c r="AC257" s="75" t="str" cm="1">
        <f t="array" ref="AC257">MID(";"&amp;'CASE DATA'!$F257&amp;";",SMALL(IF(ISERROR(SEARCH(MID(";"&amp;'CASE DATA'!$F257&amp;";",ROW($1:$99),1),";")),"",ROW($1:$99)+1),COLUMN(F257)),SMALL(IF(ISERROR(SEARCH(MID(";"&amp;'CASE DATA'!$F257&amp;";",ROW($1:$99),1),";")),"",ROW($1:$99)),COLUMN(F256)+1)-SMALL(IF(ISERROR(SEARCH(MID(";"&amp;'CASE DATA'!$F257&amp;";",ROW($1:$99),1),";")),"",ROW($1:$99)),COLUMN(F256))-1)</f>
        <v/>
      </c>
      <c r="AD257" s="75" t="str" cm="1">
        <f t="array" ref="AD257">MID(";"&amp;'CASE DATA'!$F257&amp;";",SMALL(IF(ISERROR(SEARCH(MID(";"&amp;'CASE DATA'!$F257&amp;";",ROW($1:$99),1),";")),"",ROW($1:$99)+1),COLUMN(G257)),SMALL(IF(ISERROR(SEARCH(MID(";"&amp;'CASE DATA'!$F257&amp;";",ROW($1:$99),1),";")),"",ROW($1:$99)),COLUMN(G256)+1)-SMALL(IF(ISERROR(SEARCH(MID(";"&amp;'CASE DATA'!$F257&amp;";",ROW($1:$99),1),";")),"",ROW($1:$99)),COLUMN(G256))-1)</f>
        <v/>
      </c>
      <c r="AE257" s="75" t="str" cm="1">
        <f t="array" ref="AE257">MID(";"&amp;'CASE DATA'!$F257&amp;";",SMALL(IF(ISERROR(SEARCH(MID(";"&amp;'CASE DATA'!$F257&amp;";",ROW($1:$99),1),";")),"",ROW($1:$99)+1),COLUMN(H257)),SMALL(IF(ISERROR(SEARCH(MID(";"&amp;'CASE DATA'!$F257&amp;";",ROW($1:$99),1),";")),"",ROW($1:$99)),COLUMN(H256)+1)-SMALL(IF(ISERROR(SEARCH(MID(";"&amp;'CASE DATA'!$F257&amp;";",ROW($1:$99),1),";")),"",ROW($1:$99)),COLUMN(H256))-1)</f>
        <v/>
      </c>
      <c r="AF257" s="75" t="str" cm="1">
        <f t="array" ref="AF257">MID(";"&amp;'CASE DATA'!$F257&amp;";",SMALL(IF(ISERROR(SEARCH(MID(";"&amp;'CASE DATA'!$F257&amp;";",ROW($1:$99),1),";")),"",ROW($1:$99)+1),COLUMN(I257)),SMALL(IF(ISERROR(SEARCH(MID(";"&amp;'CASE DATA'!$F257&amp;";",ROW($1:$99),1),";")),"",ROW($1:$99)),COLUMN(I256)+1)-SMALL(IF(ISERROR(SEARCH(MID(";"&amp;'CASE DATA'!$F257&amp;";",ROW($1:$99),1),";")),"",ROW($1:$99)),COLUMN(I256))-1)</f>
        <v/>
      </c>
      <c r="AG257" s="75" t="str" cm="1">
        <f t="array" ref="AG257">MID(";"&amp;'CASE DATA'!$F257&amp;";",SMALL(IF(ISERROR(SEARCH(MID(";"&amp;'CASE DATA'!$F257&amp;";",ROW($1:$99),1),";")),"",ROW($1:$99)+1),COLUMN(K257)),SMALL(IF(ISERROR(SEARCH(MID(";"&amp;'CASE DATA'!$F257&amp;";",ROW($1:$99),1),";")),"",ROW($1:$99)),COLUMN(K256)+1)-SMALL(IF(ISERROR(SEARCH(MID(";"&amp;'CASE DATA'!$F257&amp;";",ROW($1:$99),1),";")),"",ROW($1:$99)),COLUMN(K256))-1)</f>
        <v/>
      </c>
      <c r="AH257" s="75" t="str" cm="1">
        <f t="array" ref="AH257">MID(";"&amp;'CASE DATA'!$F257&amp;";",SMALL(IF(ISERROR(SEARCH(MID(";"&amp;'CASE DATA'!$F257&amp;";",ROW($1:$99),1),";")),"",ROW($1:$99)+1),COLUMN(L257)),SMALL(IF(ISERROR(SEARCH(MID(";"&amp;'CASE DATA'!$F257&amp;";",ROW($1:$99),1),";")),"",ROW($1:$99)),COLUMN(L256)+1)-SMALL(IF(ISERROR(SEARCH(MID(";"&amp;'CASE DATA'!$F257&amp;";",ROW($1:$99),1),";")),"",ROW($1:$99)),COLUMN(L256))-1)</f>
        <v/>
      </c>
      <c r="AI257" s="75" t="str" cm="1">
        <f t="array" ref="AI257">MID(";"&amp;'CASE DATA'!$F257&amp;";",SMALL(IF(ISERROR(SEARCH(MID(";"&amp;'CASE DATA'!$F257&amp;";",ROW($1:$99),1),";")),"",ROW($1:$99)+1),COLUMN(M257)),SMALL(IF(ISERROR(SEARCH(MID(";"&amp;'CASE DATA'!$F257&amp;";",ROW($1:$99),1),";")),"",ROW($1:$99)),COLUMN(M256)+1)-SMALL(IF(ISERROR(SEARCH(MID(";"&amp;'CASE DATA'!$F257&amp;";",ROW($1:$99),1),";")),"",ROW($1:$99)),COLUMN(M256))-1)</f>
        <v/>
      </c>
      <c r="BO257" s="99"/>
      <c r="BP257" s="99"/>
      <c r="BQ257" s="99"/>
      <c r="BR257" s="99"/>
      <c r="BS257" s="99"/>
      <c r="BT257" s="99"/>
      <c r="BU257" s="99"/>
      <c r="BV257" s="99"/>
      <c r="BW257" s="99"/>
      <c r="BX257" s="99"/>
      <c r="BY257" s="99"/>
      <c r="BZ257" s="99"/>
      <c r="CA257" s="99"/>
      <c r="CB257" s="99"/>
      <c r="CC257" s="99"/>
      <c r="CD257" s="99"/>
      <c r="CE257" s="99"/>
      <c r="CF257" s="99"/>
      <c r="CG257" s="99"/>
      <c r="CH257" s="99"/>
      <c r="CI257" s="99"/>
      <c r="CJ257" s="99"/>
      <c r="CK257" s="99"/>
      <c r="CL257" s="99"/>
      <c r="CM257" s="99"/>
      <c r="CN257" s="99"/>
      <c r="CO257" s="99"/>
      <c r="CP257" s="99"/>
      <c r="CQ257" s="99"/>
      <c r="CR257" s="99"/>
      <c r="CS257" s="99"/>
      <c r="CT257" s="99"/>
      <c r="CU257" s="99"/>
      <c r="CV257" s="99"/>
      <c r="CW257" s="99"/>
      <c r="CX257" s="99"/>
      <c r="CY257" s="99"/>
      <c r="CZ257" s="99"/>
      <c r="DA257" s="99"/>
      <c r="DB257" s="99"/>
      <c r="DC257" s="99"/>
      <c r="DD257" s="99"/>
      <c r="DE257" s="99"/>
      <c r="DF257" s="99"/>
      <c r="DG257" s="99"/>
      <c r="DH257" s="99"/>
      <c r="DI257" s="99"/>
      <c r="DJ257" s="99"/>
      <c r="DK257" s="99"/>
      <c r="DL257" s="99"/>
      <c r="DM257" s="99"/>
      <c r="DN257" s="99"/>
      <c r="DO257" s="99"/>
      <c r="DP257" s="99"/>
      <c r="DQ257" s="99"/>
      <c r="DR257" s="99"/>
      <c r="DS257" s="99"/>
      <c r="DT257" s="99"/>
      <c r="DU257" s="99"/>
      <c r="DV257" s="99"/>
      <c r="DW257" s="99"/>
      <c r="DX257" s="99"/>
      <c r="DY257" s="99"/>
      <c r="DZ257" s="99"/>
      <c r="EA257" s="99"/>
      <c r="EB257" s="99"/>
      <c r="EC257" s="99"/>
      <c r="ED257" s="99"/>
      <c r="EE257" s="99"/>
      <c r="EF257" s="99"/>
      <c r="EG257" s="99"/>
      <c r="EH257" s="99"/>
      <c r="EI257" s="99"/>
      <c r="EJ257" s="99"/>
      <c r="EK257" s="99"/>
      <c r="EL257" s="99"/>
      <c r="EM257" s="99"/>
      <c r="EN257" s="99"/>
      <c r="EO257" s="99"/>
      <c r="EP257" s="99"/>
      <c r="EQ257" s="99"/>
      <c r="ER257" s="99"/>
      <c r="ES257" s="99"/>
      <c r="ET257" s="99"/>
      <c r="EU257" s="99"/>
      <c r="EV257" s="99"/>
      <c r="EW257" s="99"/>
      <c r="EX257" s="99"/>
      <c r="EY257" s="99"/>
      <c r="EZ257" s="99"/>
      <c r="FA257" s="99"/>
      <c r="FB257" s="99"/>
      <c r="FC257" s="99"/>
      <c r="FD257" s="99"/>
      <c r="FE257" s="99"/>
      <c r="FF257" s="99"/>
      <c r="FG257" s="99"/>
      <c r="FH257" s="99"/>
      <c r="FI257" s="99"/>
      <c r="FJ257" s="99"/>
      <c r="FK257" s="99"/>
    </row>
    <row r="258" spans="3:167" x14ac:dyDescent="0.25">
      <c r="C258" s="10"/>
      <c r="D258" s="10"/>
      <c r="J258" s="99">
        <v>255</v>
      </c>
      <c r="K258" s="16"/>
      <c r="L258" s="16"/>
      <c r="M258" s="16"/>
      <c r="N258" s="16"/>
      <c r="O258" s="16"/>
      <c r="P258" s="16"/>
      <c r="Q258" s="16"/>
      <c r="R258" s="16"/>
      <c r="S258" s="16"/>
      <c r="T258" s="16"/>
      <c r="U258" s="14">
        <f>SUM(K258:T258)</f>
        <v>0</v>
      </c>
      <c r="V258" s="14"/>
      <c r="X258" s="75" t="str" cm="1">
        <f t="array" ref="X258">MID(";"&amp;'CASE DATA'!$F258&amp;";",SMALL(IF(ISERROR(SEARCH(MID(";"&amp;'CASE DATA'!$F258&amp;";",ROW($1:$99),1),";")),"",ROW($1:$99)+1),COLUMN(A258)),SMALL(IF(ISERROR(SEARCH(MID(";"&amp;'CASE DATA'!$F258&amp;";",ROW($1:$99),1),";")),"",ROW($1:$99)),COLUMN(A257)+1)-SMALL(IF(ISERROR(SEARCH(MID(";"&amp;'CASE DATA'!$F258&amp;";",ROW($1:$99),1),";")),"",ROW($1:$99)),COLUMN(A257))-1)</f>
        <v/>
      </c>
      <c r="Y258" s="75" t="str" cm="1">
        <f t="array" ref="Y258">MID(";"&amp;'CASE DATA'!$F258&amp;";",SMALL(IF(ISERROR(SEARCH(MID(";"&amp;'CASE DATA'!$F258&amp;";",ROW($1:$99),1),";")),"",ROW($1:$99)+1),COLUMN(B258)),SMALL(IF(ISERROR(SEARCH(MID(";"&amp;'CASE DATA'!$F258&amp;";",ROW($1:$99),1),";")),"",ROW($1:$99)),COLUMN(B257)+1)-SMALL(IF(ISERROR(SEARCH(MID(";"&amp;'CASE DATA'!$F258&amp;";",ROW($1:$99),1),";")),"",ROW($1:$99)),COLUMN(B257))-1)</f>
        <v/>
      </c>
      <c r="Z258" s="75" t="str" cm="1">
        <f t="array" ref="Z258">MID(";"&amp;'CASE DATA'!$F258&amp;";",SMALL(IF(ISERROR(SEARCH(MID(";"&amp;'CASE DATA'!$F258&amp;";",ROW($1:$99),1),";")),"",ROW($1:$99)+1),COLUMN(C258)),SMALL(IF(ISERROR(SEARCH(MID(";"&amp;'CASE DATA'!$F258&amp;";",ROW($1:$99),1),";")),"",ROW($1:$99)),COLUMN(C257)+1)-SMALL(IF(ISERROR(SEARCH(MID(";"&amp;'CASE DATA'!$F258&amp;";",ROW($1:$99),1),";")),"",ROW($1:$99)),COLUMN(C257))-1)</f>
        <v/>
      </c>
      <c r="AA258" s="75" t="str" cm="1">
        <f t="array" ref="AA258">MID(";"&amp;'CASE DATA'!$F258&amp;";",SMALL(IF(ISERROR(SEARCH(MID(";"&amp;'CASE DATA'!$F258&amp;";",ROW($1:$99),1),";")),"",ROW($1:$99)+1),COLUMN(D258)),SMALL(IF(ISERROR(SEARCH(MID(";"&amp;'CASE DATA'!$F258&amp;";",ROW($1:$99),1),";")),"",ROW($1:$99)),COLUMN(D257)+1)-SMALL(IF(ISERROR(SEARCH(MID(";"&amp;'CASE DATA'!$F258&amp;";",ROW($1:$99),1),";")),"",ROW($1:$99)),COLUMN(D257))-1)</f>
        <v/>
      </c>
      <c r="AB258" s="75" t="str" cm="1">
        <f t="array" ref="AB258">MID(";"&amp;'CASE DATA'!$F258&amp;";",SMALL(IF(ISERROR(SEARCH(MID(";"&amp;'CASE DATA'!$F258&amp;";",ROW($1:$99),1),";")),"",ROW($1:$99)+1),COLUMN(E258)),SMALL(IF(ISERROR(SEARCH(MID(";"&amp;'CASE DATA'!$F258&amp;";",ROW($1:$99),1),";")),"",ROW($1:$99)),COLUMN(E257)+1)-SMALL(IF(ISERROR(SEARCH(MID(";"&amp;'CASE DATA'!$F258&amp;";",ROW($1:$99),1),";")),"",ROW($1:$99)),COLUMN(E257))-1)</f>
        <v/>
      </c>
      <c r="AC258" s="75" t="str" cm="1">
        <f t="array" ref="AC258">MID(";"&amp;'CASE DATA'!$F258&amp;";",SMALL(IF(ISERROR(SEARCH(MID(";"&amp;'CASE DATA'!$F258&amp;";",ROW($1:$99),1),";")),"",ROW($1:$99)+1),COLUMN(F258)),SMALL(IF(ISERROR(SEARCH(MID(";"&amp;'CASE DATA'!$F258&amp;";",ROW($1:$99),1),";")),"",ROW($1:$99)),COLUMN(F257)+1)-SMALL(IF(ISERROR(SEARCH(MID(";"&amp;'CASE DATA'!$F258&amp;";",ROW($1:$99),1),";")),"",ROW($1:$99)),COLUMN(F257))-1)</f>
        <v/>
      </c>
      <c r="AD258" s="75" t="str" cm="1">
        <f t="array" ref="AD258">MID(";"&amp;'CASE DATA'!$F258&amp;";",SMALL(IF(ISERROR(SEARCH(MID(";"&amp;'CASE DATA'!$F258&amp;";",ROW($1:$99),1),";")),"",ROW($1:$99)+1),COLUMN(G258)),SMALL(IF(ISERROR(SEARCH(MID(";"&amp;'CASE DATA'!$F258&amp;";",ROW($1:$99),1),";")),"",ROW($1:$99)),COLUMN(G257)+1)-SMALL(IF(ISERROR(SEARCH(MID(";"&amp;'CASE DATA'!$F258&amp;";",ROW($1:$99),1),";")),"",ROW($1:$99)),COLUMN(G257))-1)</f>
        <v/>
      </c>
      <c r="AE258" s="75" t="str" cm="1">
        <f t="array" ref="AE258">MID(";"&amp;'CASE DATA'!$F258&amp;";",SMALL(IF(ISERROR(SEARCH(MID(";"&amp;'CASE DATA'!$F258&amp;";",ROW($1:$99),1),";")),"",ROW($1:$99)+1),COLUMN(H258)),SMALL(IF(ISERROR(SEARCH(MID(";"&amp;'CASE DATA'!$F258&amp;";",ROW($1:$99),1),";")),"",ROW($1:$99)),COLUMN(H257)+1)-SMALL(IF(ISERROR(SEARCH(MID(";"&amp;'CASE DATA'!$F258&amp;";",ROW($1:$99),1),";")),"",ROW($1:$99)),COLUMN(H257))-1)</f>
        <v/>
      </c>
      <c r="AF258" s="75" t="str" cm="1">
        <f t="array" ref="AF258">MID(";"&amp;'CASE DATA'!$F258&amp;";",SMALL(IF(ISERROR(SEARCH(MID(";"&amp;'CASE DATA'!$F258&amp;";",ROW($1:$99),1),";")),"",ROW($1:$99)+1),COLUMN(I258)),SMALL(IF(ISERROR(SEARCH(MID(";"&amp;'CASE DATA'!$F258&amp;";",ROW($1:$99),1),";")),"",ROW($1:$99)),COLUMN(I257)+1)-SMALL(IF(ISERROR(SEARCH(MID(";"&amp;'CASE DATA'!$F258&amp;";",ROW($1:$99),1),";")),"",ROW($1:$99)),COLUMN(I257))-1)</f>
        <v/>
      </c>
      <c r="AG258" s="75" t="str" cm="1">
        <f t="array" ref="AG258">MID(";"&amp;'CASE DATA'!$F258&amp;";",SMALL(IF(ISERROR(SEARCH(MID(";"&amp;'CASE DATA'!$F258&amp;";",ROW($1:$99),1),";")),"",ROW($1:$99)+1),COLUMN(K258)),SMALL(IF(ISERROR(SEARCH(MID(";"&amp;'CASE DATA'!$F258&amp;";",ROW($1:$99),1),";")),"",ROW($1:$99)),COLUMN(K257)+1)-SMALL(IF(ISERROR(SEARCH(MID(";"&amp;'CASE DATA'!$F258&amp;";",ROW($1:$99),1),";")),"",ROW($1:$99)),COLUMN(K257))-1)</f>
        <v/>
      </c>
      <c r="AH258" s="75" t="str" cm="1">
        <f t="array" ref="AH258">MID(";"&amp;'CASE DATA'!$F258&amp;";",SMALL(IF(ISERROR(SEARCH(MID(";"&amp;'CASE DATA'!$F258&amp;";",ROW($1:$99),1),";")),"",ROW($1:$99)+1),COLUMN(L258)),SMALL(IF(ISERROR(SEARCH(MID(";"&amp;'CASE DATA'!$F258&amp;";",ROW($1:$99),1),";")),"",ROW($1:$99)),COLUMN(L257)+1)-SMALL(IF(ISERROR(SEARCH(MID(";"&amp;'CASE DATA'!$F258&amp;";",ROW($1:$99),1),";")),"",ROW($1:$99)),COLUMN(L257))-1)</f>
        <v/>
      </c>
      <c r="AI258" s="75" t="str" cm="1">
        <f t="array" ref="AI258">MID(";"&amp;'CASE DATA'!$F258&amp;";",SMALL(IF(ISERROR(SEARCH(MID(";"&amp;'CASE DATA'!$F258&amp;";",ROW($1:$99),1),";")),"",ROW($1:$99)+1),COLUMN(M258)),SMALL(IF(ISERROR(SEARCH(MID(";"&amp;'CASE DATA'!$F258&amp;";",ROW($1:$99),1),";")),"",ROW($1:$99)),COLUMN(M257)+1)-SMALL(IF(ISERROR(SEARCH(MID(";"&amp;'CASE DATA'!$F258&amp;";",ROW($1:$99),1),";")),"",ROW($1:$99)),COLUMN(M257))-1)</f>
        <v/>
      </c>
      <c r="BO258" s="99"/>
      <c r="BP258" s="99"/>
      <c r="BQ258" s="99"/>
      <c r="BR258" s="99"/>
      <c r="BS258" s="99"/>
      <c r="BT258" s="99"/>
      <c r="BU258" s="99"/>
      <c r="BV258" s="99"/>
      <c r="BW258" s="99"/>
      <c r="BX258" s="99"/>
      <c r="BY258" s="99"/>
      <c r="BZ258" s="99"/>
      <c r="CA258" s="99"/>
      <c r="CB258" s="99"/>
      <c r="CC258" s="99"/>
      <c r="CD258" s="99"/>
      <c r="CE258" s="99"/>
      <c r="CF258" s="99"/>
      <c r="CG258" s="99"/>
      <c r="CH258" s="99"/>
      <c r="CI258" s="99"/>
      <c r="CJ258" s="99"/>
      <c r="CK258" s="99"/>
      <c r="CL258" s="99"/>
      <c r="CM258" s="99"/>
      <c r="CN258" s="99"/>
      <c r="CO258" s="99"/>
      <c r="CP258" s="99"/>
      <c r="CQ258" s="99"/>
      <c r="CR258" s="99"/>
      <c r="CS258" s="99"/>
      <c r="CT258" s="99"/>
      <c r="CU258" s="99"/>
      <c r="CV258" s="99"/>
      <c r="CW258" s="99"/>
      <c r="CX258" s="99"/>
      <c r="CY258" s="99"/>
      <c r="CZ258" s="99"/>
      <c r="DA258" s="99"/>
      <c r="DB258" s="99"/>
      <c r="DC258" s="99"/>
      <c r="DD258" s="99"/>
      <c r="DE258" s="99"/>
      <c r="DF258" s="99"/>
      <c r="DG258" s="99"/>
      <c r="DH258" s="99"/>
      <c r="DI258" s="99"/>
      <c r="DJ258" s="99"/>
      <c r="DK258" s="99"/>
      <c r="DL258" s="99"/>
      <c r="DM258" s="99"/>
      <c r="DN258" s="99"/>
      <c r="DO258" s="99"/>
      <c r="DP258" s="99"/>
      <c r="DQ258" s="99"/>
      <c r="DR258" s="99"/>
      <c r="DS258" s="99"/>
      <c r="DT258" s="99"/>
      <c r="DU258" s="99"/>
      <c r="DV258" s="99"/>
      <c r="DW258" s="99"/>
      <c r="DX258" s="99"/>
      <c r="DY258" s="99"/>
      <c r="DZ258" s="99"/>
      <c r="EA258" s="99"/>
      <c r="EB258" s="99"/>
      <c r="EC258" s="99"/>
      <c r="ED258" s="99"/>
      <c r="EE258" s="99"/>
      <c r="EF258" s="99"/>
      <c r="EG258" s="99"/>
      <c r="EH258" s="99"/>
      <c r="EI258" s="99"/>
      <c r="EJ258" s="99"/>
      <c r="EK258" s="99"/>
      <c r="EL258" s="99"/>
      <c r="EM258" s="99"/>
      <c r="EN258" s="99"/>
      <c r="EO258" s="99"/>
      <c r="EP258" s="99"/>
      <c r="EQ258" s="99"/>
      <c r="ER258" s="99"/>
      <c r="ES258" s="99"/>
      <c r="ET258" s="99"/>
      <c r="EU258" s="99"/>
      <c r="EV258" s="99"/>
      <c r="EW258" s="99"/>
      <c r="EX258" s="99"/>
      <c r="EY258" s="99"/>
      <c r="EZ258" s="99"/>
      <c r="FA258" s="99"/>
      <c r="FB258" s="99"/>
      <c r="FC258" s="99"/>
      <c r="FD258" s="99"/>
      <c r="FE258" s="99"/>
      <c r="FF258" s="99"/>
      <c r="FG258" s="99"/>
      <c r="FH258" s="99"/>
      <c r="FI258" s="99"/>
      <c r="FJ258" s="99"/>
      <c r="FK258" s="99"/>
    </row>
    <row r="259" spans="3:167" x14ac:dyDescent="0.25">
      <c r="C259" s="10"/>
      <c r="D259" s="10"/>
      <c r="J259" s="99">
        <v>256</v>
      </c>
      <c r="K259" s="16"/>
      <c r="L259" s="16"/>
      <c r="M259" s="16"/>
      <c r="N259" s="16"/>
      <c r="O259" s="16"/>
      <c r="P259" s="16"/>
      <c r="Q259" s="16"/>
      <c r="R259" s="16"/>
      <c r="S259" s="16"/>
      <c r="T259" s="16"/>
      <c r="U259" s="14">
        <f>SUM(K259:T259)</f>
        <v>0</v>
      </c>
      <c r="V259" s="14"/>
      <c r="X259" s="75" t="str" cm="1">
        <f t="array" ref="X259">MID(";"&amp;'CASE DATA'!$F259&amp;";",SMALL(IF(ISERROR(SEARCH(MID(";"&amp;'CASE DATA'!$F259&amp;";",ROW($1:$99),1),";")),"",ROW($1:$99)+1),COLUMN(A259)),SMALL(IF(ISERROR(SEARCH(MID(";"&amp;'CASE DATA'!$F259&amp;";",ROW($1:$99),1),";")),"",ROW($1:$99)),COLUMN(A258)+1)-SMALL(IF(ISERROR(SEARCH(MID(";"&amp;'CASE DATA'!$F259&amp;";",ROW($1:$99),1),";")),"",ROW($1:$99)),COLUMN(A258))-1)</f>
        <v/>
      </c>
      <c r="Y259" s="75" t="str" cm="1">
        <f t="array" ref="Y259">MID(";"&amp;'CASE DATA'!$F259&amp;";",SMALL(IF(ISERROR(SEARCH(MID(";"&amp;'CASE DATA'!$F259&amp;";",ROW($1:$99),1),";")),"",ROW($1:$99)+1),COLUMN(B259)),SMALL(IF(ISERROR(SEARCH(MID(";"&amp;'CASE DATA'!$F259&amp;";",ROW($1:$99),1),";")),"",ROW($1:$99)),COLUMN(B258)+1)-SMALL(IF(ISERROR(SEARCH(MID(";"&amp;'CASE DATA'!$F259&amp;";",ROW($1:$99),1),";")),"",ROW($1:$99)),COLUMN(B258))-1)</f>
        <v/>
      </c>
      <c r="Z259" s="75" t="str" cm="1">
        <f t="array" ref="Z259">MID(";"&amp;'CASE DATA'!$F259&amp;";",SMALL(IF(ISERROR(SEARCH(MID(";"&amp;'CASE DATA'!$F259&amp;";",ROW($1:$99),1),";")),"",ROW($1:$99)+1),COLUMN(C259)),SMALL(IF(ISERROR(SEARCH(MID(";"&amp;'CASE DATA'!$F259&amp;";",ROW($1:$99),1),";")),"",ROW($1:$99)),COLUMN(C258)+1)-SMALL(IF(ISERROR(SEARCH(MID(";"&amp;'CASE DATA'!$F259&amp;";",ROW($1:$99),1),";")),"",ROW($1:$99)),COLUMN(C258))-1)</f>
        <v/>
      </c>
      <c r="AA259" s="75" t="str" cm="1">
        <f t="array" ref="AA259">MID(";"&amp;'CASE DATA'!$F259&amp;";",SMALL(IF(ISERROR(SEARCH(MID(";"&amp;'CASE DATA'!$F259&amp;";",ROW($1:$99),1),";")),"",ROW($1:$99)+1),COLUMN(D259)),SMALL(IF(ISERROR(SEARCH(MID(";"&amp;'CASE DATA'!$F259&amp;";",ROW($1:$99),1),";")),"",ROW($1:$99)),COLUMN(D258)+1)-SMALL(IF(ISERROR(SEARCH(MID(";"&amp;'CASE DATA'!$F259&amp;";",ROW($1:$99),1),";")),"",ROW($1:$99)),COLUMN(D258))-1)</f>
        <v/>
      </c>
      <c r="AB259" s="75" t="str" cm="1">
        <f t="array" ref="AB259">MID(";"&amp;'CASE DATA'!$F259&amp;";",SMALL(IF(ISERROR(SEARCH(MID(";"&amp;'CASE DATA'!$F259&amp;";",ROW($1:$99),1),";")),"",ROW($1:$99)+1),COLUMN(E259)),SMALL(IF(ISERROR(SEARCH(MID(";"&amp;'CASE DATA'!$F259&amp;";",ROW($1:$99),1),";")),"",ROW($1:$99)),COLUMN(E258)+1)-SMALL(IF(ISERROR(SEARCH(MID(";"&amp;'CASE DATA'!$F259&amp;";",ROW($1:$99),1),";")),"",ROW($1:$99)),COLUMN(E258))-1)</f>
        <v/>
      </c>
      <c r="AC259" s="75" t="str" cm="1">
        <f t="array" ref="AC259">MID(";"&amp;'CASE DATA'!$F259&amp;";",SMALL(IF(ISERROR(SEARCH(MID(";"&amp;'CASE DATA'!$F259&amp;";",ROW($1:$99),1),";")),"",ROW($1:$99)+1),COLUMN(F259)),SMALL(IF(ISERROR(SEARCH(MID(";"&amp;'CASE DATA'!$F259&amp;";",ROW($1:$99),1),";")),"",ROW($1:$99)),COLUMN(F258)+1)-SMALL(IF(ISERROR(SEARCH(MID(";"&amp;'CASE DATA'!$F259&amp;";",ROW($1:$99),1),";")),"",ROW($1:$99)),COLUMN(F258))-1)</f>
        <v/>
      </c>
      <c r="AD259" s="75" t="str" cm="1">
        <f t="array" ref="AD259">MID(";"&amp;'CASE DATA'!$F259&amp;";",SMALL(IF(ISERROR(SEARCH(MID(";"&amp;'CASE DATA'!$F259&amp;";",ROW($1:$99),1),";")),"",ROW($1:$99)+1),COLUMN(G259)),SMALL(IF(ISERROR(SEARCH(MID(";"&amp;'CASE DATA'!$F259&amp;";",ROW($1:$99),1),";")),"",ROW($1:$99)),COLUMN(G258)+1)-SMALL(IF(ISERROR(SEARCH(MID(";"&amp;'CASE DATA'!$F259&amp;";",ROW($1:$99),1),";")),"",ROW($1:$99)),COLUMN(G258))-1)</f>
        <v/>
      </c>
      <c r="AE259" s="75" t="str" cm="1">
        <f t="array" ref="AE259">MID(";"&amp;'CASE DATA'!$F259&amp;";",SMALL(IF(ISERROR(SEARCH(MID(";"&amp;'CASE DATA'!$F259&amp;";",ROW($1:$99),1),";")),"",ROW($1:$99)+1),COLUMN(H259)),SMALL(IF(ISERROR(SEARCH(MID(";"&amp;'CASE DATA'!$F259&amp;";",ROW($1:$99),1),";")),"",ROW($1:$99)),COLUMN(H258)+1)-SMALL(IF(ISERROR(SEARCH(MID(";"&amp;'CASE DATA'!$F259&amp;";",ROW($1:$99),1),";")),"",ROW($1:$99)),COLUMN(H258))-1)</f>
        <v/>
      </c>
      <c r="AF259" s="75" t="str" cm="1">
        <f t="array" ref="AF259">MID(";"&amp;'CASE DATA'!$F259&amp;";",SMALL(IF(ISERROR(SEARCH(MID(";"&amp;'CASE DATA'!$F259&amp;";",ROW($1:$99),1),";")),"",ROW($1:$99)+1),COLUMN(I259)),SMALL(IF(ISERROR(SEARCH(MID(";"&amp;'CASE DATA'!$F259&amp;";",ROW($1:$99),1),";")),"",ROW($1:$99)),COLUMN(I258)+1)-SMALL(IF(ISERROR(SEARCH(MID(";"&amp;'CASE DATA'!$F259&amp;";",ROW($1:$99),1),";")),"",ROW($1:$99)),COLUMN(I258))-1)</f>
        <v/>
      </c>
      <c r="AG259" s="75" t="str" cm="1">
        <f t="array" ref="AG259">MID(";"&amp;'CASE DATA'!$F259&amp;";",SMALL(IF(ISERROR(SEARCH(MID(";"&amp;'CASE DATA'!$F259&amp;";",ROW($1:$99),1),";")),"",ROW($1:$99)+1),COLUMN(K259)),SMALL(IF(ISERROR(SEARCH(MID(";"&amp;'CASE DATA'!$F259&amp;";",ROW($1:$99),1),";")),"",ROW($1:$99)),COLUMN(K258)+1)-SMALL(IF(ISERROR(SEARCH(MID(";"&amp;'CASE DATA'!$F259&amp;";",ROW($1:$99),1),";")),"",ROW($1:$99)),COLUMN(K258))-1)</f>
        <v/>
      </c>
      <c r="AH259" s="75" t="str" cm="1">
        <f t="array" ref="AH259">MID(";"&amp;'CASE DATA'!$F259&amp;";",SMALL(IF(ISERROR(SEARCH(MID(";"&amp;'CASE DATA'!$F259&amp;";",ROW($1:$99),1),";")),"",ROW($1:$99)+1),COLUMN(L259)),SMALL(IF(ISERROR(SEARCH(MID(";"&amp;'CASE DATA'!$F259&amp;";",ROW($1:$99),1),";")),"",ROW($1:$99)),COLUMN(L258)+1)-SMALL(IF(ISERROR(SEARCH(MID(";"&amp;'CASE DATA'!$F259&amp;";",ROW($1:$99),1),";")),"",ROW($1:$99)),COLUMN(L258))-1)</f>
        <v/>
      </c>
      <c r="AI259" s="75" t="str" cm="1">
        <f t="array" ref="AI259">MID(";"&amp;'CASE DATA'!$F259&amp;";",SMALL(IF(ISERROR(SEARCH(MID(";"&amp;'CASE DATA'!$F259&amp;";",ROW($1:$99),1),";")),"",ROW($1:$99)+1),COLUMN(M259)),SMALL(IF(ISERROR(SEARCH(MID(";"&amp;'CASE DATA'!$F259&amp;";",ROW($1:$99),1),";")),"",ROW($1:$99)),COLUMN(M258)+1)-SMALL(IF(ISERROR(SEARCH(MID(";"&amp;'CASE DATA'!$F259&amp;";",ROW($1:$99),1),";")),"",ROW($1:$99)),COLUMN(M258))-1)</f>
        <v/>
      </c>
      <c r="BO259" s="99"/>
      <c r="BP259" s="99"/>
      <c r="BQ259" s="99"/>
      <c r="BR259" s="99"/>
      <c r="BS259" s="99"/>
      <c r="BT259" s="99"/>
      <c r="BU259" s="99"/>
      <c r="BV259" s="99"/>
      <c r="BW259" s="99"/>
      <c r="BX259" s="99"/>
      <c r="BY259" s="99"/>
      <c r="BZ259" s="99"/>
      <c r="CA259" s="99"/>
      <c r="CB259" s="99"/>
      <c r="CC259" s="99"/>
      <c r="CD259" s="99"/>
      <c r="CE259" s="99"/>
      <c r="CF259" s="99"/>
      <c r="CG259" s="99"/>
      <c r="CH259" s="99"/>
      <c r="CI259" s="99"/>
      <c r="CJ259" s="99"/>
      <c r="CK259" s="99"/>
      <c r="CL259" s="99"/>
      <c r="CM259" s="99"/>
      <c r="CN259" s="99"/>
      <c r="CO259" s="99"/>
      <c r="CP259" s="99"/>
      <c r="CQ259" s="99"/>
      <c r="CR259" s="99"/>
      <c r="CS259" s="99"/>
      <c r="CT259" s="99"/>
      <c r="CU259" s="99"/>
      <c r="CV259" s="99"/>
      <c r="CW259" s="99"/>
      <c r="CX259" s="99"/>
      <c r="CY259" s="99"/>
      <c r="CZ259" s="99"/>
      <c r="DA259" s="99"/>
      <c r="DB259" s="99"/>
      <c r="DC259" s="99"/>
      <c r="DD259" s="99"/>
      <c r="DE259" s="99"/>
      <c r="DF259" s="99"/>
      <c r="DG259" s="99"/>
      <c r="DH259" s="99"/>
      <c r="DI259" s="99"/>
      <c r="DJ259" s="99"/>
      <c r="DK259" s="99"/>
      <c r="DL259" s="99"/>
      <c r="DM259" s="99"/>
      <c r="DN259" s="99"/>
      <c r="DO259" s="99"/>
      <c r="DP259" s="99"/>
      <c r="DQ259" s="99"/>
      <c r="DR259" s="99"/>
      <c r="DS259" s="99"/>
      <c r="DT259" s="99"/>
      <c r="DU259" s="99"/>
      <c r="DV259" s="99"/>
      <c r="DW259" s="99"/>
      <c r="DX259" s="99"/>
      <c r="DY259" s="99"/>
      <c r="DZ259" s="99"/>
      <c r="EA259" s="99"/>
      <c r="EB259" s="99"/>
      <c r="EC259" s="99"/>
      <c r="ED259" s="99"/>
      <c r="EE259" s="99"/>
      <c r="EF259" s="99"/>
      <c r="EG259" s="99"/>
      <c r="EH259" s="99"/>
      <c r="EI259" s="99"/>
      <c r="EJ259" s="99"/>
      <c r="EK259" s="99"/>
      <c r="EL259" s="99"/>
      <c r="EM259" s="99"/>
      <c r="EN259" s="99"/>
      <c r="EO259" s="99"/>
      <c r="EP259" s="99"/>
      <c r="EQ259" s="99"/>
      <c r="ER259" s="99"/>
      <c r="ES259" s="99"/>
      <c r="ET259" s="99"/>
      <c r="EU259" s="99"/>
      <c r="EV259" s="99"/>
      <c r="EW259" s="99"/>
      <c r="EX259" s="99"/>
      <c r="EY259" s="99"/>
      <c r="EZ259" s="99"/>
      <c r="FA259" s="99"/>
      <c r="FB259" s="99"/>
      <c r="FC259" s="99"/>
      <c r="FD259" s="99"/>
      <c r="FE259" s="99"/>
      <c r="FF259" s="99"/>
      <c r="FG259" s="99"/>
      <c r="FH259" s="99"/>
      <c r="FI259" s="99"/>
      <c r="FJ259" s="99"/>
      <c r="FK259" s="99"/>
    </row>
    <row r="260" spans="3:167" x14ac:dyDescent="0.25">
      <c r="C260" s="10"/>
      <c r="D260" s="10"/>
      <c r="J260" s="99">
        <v>257</v>
      </c>
      <c r="K260" s="16"/>
      <c r="L260" s="16"/>
      <c r="M260" s="16"/>
      <c r="N260" s="16"/>
      <c r="O260" s="16"/>
      <c r="P260" s="16"/>
      <c r="Q260" s="16"/>
      <c r="R260" s="16"/>
      <c r="S260" s="16"/>
      <c r="T260" s="16"/>
      <c r="U260" s="14">
        <f>SUM(K260:T260)</f>
        <v>0</v>
      </c>
      <c r="V260" s="14"/>
      <c r="X260" s="75" t="str" cm="1">
        <f t="array" ref="X260">MID(";"&amp;'CASE DATA'!$F260&amp;";",SMALL(IF(ISERROR(SEARCH(MID(";"&amp;'CASE DATA'!$F260&amp;";",ROW($1:$99),1),";")),"",ROW($1:$99)+1),COLUMN(A260)),SMALL(IF(ISERROR(SEARCH(MID(";"&amp;'CASE DATA'!$F260&amp;";",ROW($1:$99),1),";")),"",ROW($1:$99)),COLUMN(A259)+1)-SMALL(IF(ISERROR(SEARCH(MID(";"&amp;'CASE DATA'!$F260&amp;";",ROW($1:$99),1),";")),"",ROW($1:$99)),COLUMN(A259))-1)</f>
        <v/>
      </c>
      <c r="Y260" s="75" t="str" cm="1">
        <f t="array" ref="Y260">MID(";"&amp;'CASE DATA'!$F260&amp;";",SMALL(IF(ISERROR(SEARCH(MID(";"&amp;'CASE DATA'!$F260&amp;";",ROW($1:$99),1),";")),"",ROW($1:$99)+1),COLUMN(B260)),SMALL(IF(ISERROR(SEARCH(MID(";"&amp;'CASE DATA'!$F260&amp;";",ROW($1:$99),1),";")),"",ROW($1:$99)),COLUMN(B259)+1)-SMALL(IF(ISERROR(SEARCH(MID(";"&amp;'CASE DATA'!$F260&amp;";",ROW($1:$99),1),";")),"",ROW($1:$99)),COLUMN(B259))-1)</f>
        <v/>
      </c>
      <c r="Z260" s="75" t="str" cm="1">
        <f t="array" ref="Z260">MID(";"&amp;'CASE DATA'!$F260&amp;";",SMALL(IF(ISERROR(SEARCH(MID(";"&amp;'CASE DATA'!$F260&amp;";",ROW($1:$99),1),";")),"",ROW($1:$99)+1),COLUMN(C260)),SMALL(IF(ISERROR(SEARCH(MID(";"&amp;'CASE DATA'!$F260&amp;";",ROW($1:$99),1),";")),"",ROW($1:$99)),COLUMN(C259)+1)-SMALL(IF(ISERROR(SEARCH(MID(";"&amp;'CASE DATA'!$F260&amp;";",ROW($1:$99),1),";")),"",ROW($1:$99)),COLUMN(C259))-1)</f>
        <v/>
      </c>
      <c r="AA260" s="75" t="str" cm="1">
        <f t="array" ref="AA260">MID(";"&amp;'CASE DATA'!$F260&amp;";",SMALL(IF(ISERROR(SEARCH(MID(";"&amp;'CASE DATA'!$F260&amp;";",ROW($1:$99),1),";")),"",ROW($1:$99)+1),COLUMN(D260)),SMALL(IF(ISERROR(SEARCH(MID(";"&amp;'CASE DATA'!$F260&amp;";",ROW($1:$99),1),";")),"",ROW($1:$99)),COLUMN(D259)+1)-SMALL(IF(ISERROR(SEARCH(MID(";"&amp;'CASE DATA'!$F260&amp;";",ROW($1:$99),1),";")),"",ROW($1:$99)),COLUMN(D259))-1)</f>
        <v/>
      </c>
      <c r="AB260" s="75" t="str" cm="1">
        <f t="array" ref="AB260">MID(";"&amp;'CASE DATA'!$F260&amp;";",SMALL(IF(ISERROR(SEARCH(MID(";"&amp;'CASE DATA'!$F260&amp;";",ROW($1:$99),1),";")),"",ROW($1:$99)+1),COLUMN(E260)),SMALL(IF(ISERROR(SEARCH(MID(";"&amp;'CASE DATA'!$F260&amp;";",ROW($1:$99),1),";")),"",ROW($1:$99)),COLUMN(E259)+1)-SMALL(IF(ISERROR(SEARCH(MID(";"&amp;'CASE DATA'!$F260&amp;";",ROW($1:$99),1),";")),"",ROW($1:$99)),COLUMN(E259))-1)</f>
        <v/>
      </c>
      <c r="AC260" s="75" t="str" cm="1">
        <f t="array" ref="AC260">MID(";"&amp;'CASE DATA'!$F260&amp;";",SMALL(IF(ISERROR(SEARCH(MID(";"&amp;'CASE DATA'!$F260&amp;";",ROW($1:$99),1),";")),"",ROW($1:$99)+1),COLUMN(F260)),SMALL(IF(ISERROR(SEARCH(MID(";"&amp;'CASE DATA'!$F260&amp;";",ROW($1:$99),1),";")),"",ROW($1:$99)),COLUMN(F259)+1)-SMALL(IF(ISERROR(SEARCH(MID(";"&amp;'CASE DATA'!$F260&amp;";",ROW($1:$99),1),";")),"",ROW($1:$99)),COLUMN(F259))-1)</f>
        <v/>
      </c>
      <c r="AD260" s="75" t="str" cm="1">
        <f t="array" ref="AD260">MID(";"&amp;'CASE DATA'!$F260&amp;";",SMALL(IF(ISERROR(SEARCH(MID(";"&amp;'CASE DATA'!$F260&amp;";",ROW($1:$99),1),";")),"",ROW($1:$99)+1),COLUMN(G260)),SMALL(IF(ISERROR(SEARCH(MID(";"&amp;'CASE DATA'!$F260&amp;";",ROW($1:$99),1),";")),"",ROW($1:$99)),COLUMN(G259)+1)-SMALL(IF(ISERROR(SEARCH(MID(";"&amp;'CASE DATA'!$F260&amp;";",ROW($1:$99),1),";")),"",ROW($1:$99)),COLUMN(G259))-1)</f>
        <v/>
      </c>
      <c r="AE260" s="75" t="str" cm="1">
        <f t="array" ref="AE260">MID(";"&amp;'CASE DATA'!$F260&amp;";",SMALL(IF(ISERROR(SEARCH(MID(";"&amp;'CASE DATA'!$F260&amp;";",ROW($1:$99),1),";")),"",ROW($1:$99)+1),COLUMN(H260)),SMALL(IF(ISERROR(SEARCH(MID(";"&amp;'CASE DATA'!$F260&amp;";",ROW($1:$99),1),";")),"",ROW($1:$99)),COLUMN(H259)+1)-SMALL(IF(ISERROR(SEARCH(MID(";"&amp;'CASE DATA'!$F260&amp;";",ROW($1:$99),1),";")),"",ROW($1:$99)),COLUMN(H259))-1)</f>
        <v/>
      </c>
      <c r="AF260" s="75" t="str" cm="1">
        <f t="array" ref="AF260">MID(";"&amp;'CASE DATA'!$F260&amp;";",SMALL(IF(ISERROR(SEARCH(MID(";"&amp;'CASE DATA'!$F260&amp;";",ROW($1:$99),1),";")),"",ROW($1:$99)+1),COLUMN(I260)),SMALL(IF(ISERROR(SEARCH(MID(";"&amp;'CASE DATA'!$F260&amp;";",ROW($1:$99),1),";")),"",ROW($1:$99)),COLUMN(I259)+1)-SMALL(IF(ISERROR(SEARCH(MID(";"&amp;'CASE DATA'!$F260&amp;";",ROW($1:$99),1),";")),"",ROW($1:$99)),COLUMN(I259))-1)</f>
        <v/>
      </c>
      <c r="AG260" s="75" t="str" cm="1">
        <f t="array" ref="AG260">MID(";"&amp;'CASE DATA'!$F260&amp;";",SMALL(IF(ISERROR(SEARCH(MID(";"&amp;'CASE DATA'!$F260&amp;";",ROW($1:$99),1),";")),"",ROW($1:$99)+1),COLUMN(K260)),SMALL(IF(ISERROR(SEARCH(MID(";"&amp;'CASE DATA'!$F260&amp;";",ROW($1:$99),1),";")),"",ROW($1:$99)),COLUMN(K259)+1)-SMALL(IF(ISERROR(SEARCH(MID(";"&amp;'CASE DATA'!$F260&amp;";",ROW($1:$99),1),";")),"",ROW($1:$99)),COLUMN(K259))-1)</f>
        <v/>
      </c>
      <c r="AH260" s="75" t="str" cm="1">
        <f t="array" ref="AH260">MID(";"&amp;'CASE DATA'!$F260&amp;";",SMALL(IF(ISERROR(SEARCH(MID(";"&amp;'CASE DATA'!$F260&amp;";",ROW($1:$99),1),";")),"",ROW($1:$99)+1),COLUMN(L260)),SMALL(IF(ISERROR(SEARCH(MID(";"&amp;'CASE DATA'!$F260&amp;";",ROW($1:$99),1),";")),"",ROW($1:$99)),COLUMN(L259)+1)-SMALL(IF(ISERROR(SEARCH(MID(";"&amp;'CASE DATA'!$F260&amp;";",ROW($1:$99),1),";")),"",ROW($1:$99)),COLUMN(L259))-1)</f>
        <v/>
      </c>
      <c r="AI260" s="75" t="str" cm="1">
        <f t="array" ref="AI260">MID(";"&amp;'CASE DATA'!$F260&amp;";",SMALL(IF(ISERROR(SEARCH(MID(";"&amp;'CASE DATA'!$F260&amp;";",ROW($1:$99),1),";")),"",ROW($1:$99)+1),COLUMN(M260)),SMALL(IF(ISERROR(SEARCH(MID(";"&amp;'CASE DATA'!$F260&amp;";",ROW($1:$99),1),";")),"",ROW($1:$99)),COLUMN(M259)+1)-SMALL(IF(ISERROR(SEARCH(MID(";"&amp;'CASE DATA'!$F260&amp;";",ROW($1:$99),1),";")),"",ROW($1:$99)),COLUMN(M259))-1)</f>
        <v/>
      </c>
      <c r="BO260" s="99"/>
      <c r="BP260" s="99"/>
      <c r="BQ260" s="99"/>
      <c r="BR260" s="99"/>
      <c r="BS260" s="99"/>
      <c r="BT260" s="99"/>
      <c r="BU260" s="99"/>
      <c r="BV260" s="99"/>
      <c r="BW260" s="99"/>
      <c r="BX260" s="99"/>
      <c r="BY260" s="99"/>
      <c r="BZ260" s="99"/>
      <c r="CA260" s="99"/>
      <c r="CB260" s="99"/>
      <c r="CC260" s="99"/>
      <c r="CD260" s="99"/>
      <c r="CE260" s="99"/>
      <c r="CF260" s="99"/>
      <c r="CG260" s="99"/>
      <c r="CH260" s="99"/>
      <c r="CI260" s="99"/>
      <c r="CJ260" s="99"/>
      <c r="CK260" s="99"/>
      <c r="CL260" s="99"/>
      <c r="CM260" s="99"/>
      <c r="CN260" s="99"/>
      <c r="CO260" s="99"/>
      <c r="CP260" s="99"/>
      <c r="CQ260" s="99"/>
      <c r="CR260" s="99"/>
      <c r="CS260" s="99"/>
      <c r="CT260" s="99"/>
      <c r="CU260" s="99"/>
      <c r="CV260" s="99"/>
      <c r="CW260" s="99"/>
      <c r="CX260" s="99"/>
      <c r="CY260" s="99"/>
      <c r="CZ260" s="99"/>
      <c r="DA260" s="99"/>
      <c r="DB260" s="99"/>
      <c r="DC260" s="99"/>
      <c r="DD260" s="99"/>
      <c r="DE260" s="99"/>
      <c r="DF260" s="99"/>
      <c r="DG260" s="99"/>
      <c r="DH260" s="99"/>
      <c r="DI260" s="99"/>
      <c r="DJ260" s="99"/>
      <c r="DK260" s="99"/>
      <c r="DL260" s="99"/>
      <c r="DM260" s="99"/>
      <c r="DN260" s="99"/>
      <c r="DO260" s="99"/>
      <c r="DP260" s="99"/>
      <c r="DQ260" s="99"/>
      <c r="DR260" s="99"/>
      <c r="DS260" s="99"/>
      <c r="DT260" s="99"/>
      <c r="DU260" s="99"/>
      <c r="DV260" s="99"/>
      <c r="DW260" s="99"/>
      <c r="DX260" s="99"/>
      <c r="DY260" s="99"/>
      <c r="DZ260" s="99"/>
      <c r="EA260" s="99"/>
      <c r="EB260" s="99"/>
      <c r="EC260" s="99"/>
      <c r="ED260" s="99"/>
      <c r="EE260" s="99"/>
      <c r="EF260" s="99"/>
      <c r="EG260" s="99"/>
      <c r="EH260" s="99"/>
      <c r="EI260" s="99"/>
      <c r="EJ260" s="99"/>
      <c r="EK260" s="99"/>
      <c r="EL260" s="99"/>
      <c r="EM260" s="99"/>
      <c r="EN260" s="99"/>
      <c r="EO260" s="99"/>
      <c r="EP260" s="99"/>
      <c r="EQ260" s="99"/>
      <c r="ER260" s="99"/>
      <c r="ES260" s="99"/>
      <c r="ET260" s="99"/>
      <c r="EU260" s="99"/>
      <c r="EV260" s="99"/>
      <c r="EW260" s="99"/>
      <c r="EX260" s="99"/>
      <c r="EY260" s="99"/>
      <c r="EZ260" s="99"/>
      <c r="FA260" s="99"/>
      <c r="FB260" s="99"/>
      <c r="FC260" s="99"/>
      <c r="FD260" s="99"/>
      <c r="FE260" s="99"/>
      <c r="FF260" s="99"/>
      <c r="FG260" s="99"/>
      <c r="FH260" s="99"/>
      <c r="FI260" s="99"/>
      <c r="FJ260" s="99"/>
      <c r="FK260" s="99"/>
    </row>
    <row r="261" spans="3:167" x14ac:dyDescent="0.25">
      <c r="C261" s="10"/>
      <c r="D261" s="10"/>
      <c r="J261" s="99">
        <v>258</v>
      </c>
      <c r="K261" s="16"/>
      <c r="L261" s="16"/>
      <c r="M261" s="16"/>
      <c r="N261" s="16"/>
      <c r="O261" s="16"/>
      <c r="P261" s="16"/>
      <c r="Q261" s="16"/>
      <c r="R261" s="16"/>
      <c r="S261" s="16"/>
      <c r="T261" s="16"/>
      <c r="U261" s="14">
        <f>SUM(K261:T261)</f>
        <v>0</v>
      </c>
      <c r="V261" s="14"/>
      <c r="X261" s="75" t="str" cm="1">
        <f t="array" ref="X261">MID(";"&amp;'CASE DATA'!$F261&amp;";",SMALL(IF(ISERROR(SEARCH(MID(";"&amp;'CASE DATA'!$F261&amp;";",ROW($1:$99),1),";")),"",ROW($1:$99)+1),COLUMN(A261)),SMALL(IF(ISERROR(SEARCH(MID(";"&amp;'CASE DATA'!$F261&amp;";",ROW($1:$99),1),";")),"",ROW($1:$99)),COLUMN(A260)+1)-SMALL(IF(ISERROR(SEARCH(MID(";"&amp;'CASE DATA'!$F261&amp;";",ROW($1:$99),1),";")),"",ROW($1:$99)),COLUMN(A260))-1)</f>
        <v/>
      </c>
      <c r="Y261" s="75" t="str" cm="1">
        <f t="array" ref="Y261">MID(";"&amp;'CASE DATA'!$F261&amp;";",SMALL(IF(ISERROR(SEARCH(MID(";"&amp;'CASE DATA'!$F261&amp;";",ROW($1:$99),1),";")),"",ROW($1:$99)+1),COLUMN(B261)),SMALL(IF(ISERROR(SEARCH(MID(";"&amp;'CASE DATA'!$F261&amp;";",ROW($1:$99),1),";")),"",ROW($1:$99)),COLUMN(B260)+1)-SMALL(IF(ISERROR(SEARCH(MID(";"&amp;'CASE DATA'!$F261&amp;";",ROW($1:$99),1),";")),"",ROW($1:$99)),COLUMN(B260))-1)</f>
        <v/>
      </c>
      <c r="Z261" s="75" t="str" cm="1">
        <f t="array" ref="Z261">MID(";"&amp;'CASE DATA'!$F261&amp;";",SMALL(IF(ISERROR(SEARCH(MID(";"&amp;'CASE DATA'!$F261&amp;";",ROW($1:$99),1),";")),"",ROW($1:$99)+1),COLUMN(C261)),SMALL(IF(ISERROR(SEARCH(MID(";"&amp;'CASE DATA'!$F261&amp;";",ROW($1:$99),1),";")),"",ROW($1:$99)),COLUMN(C260)+1)-SMALL(IF(ISERROR(SEARCH(MID(";"&amp;'CASE DATA'!$F261&amp;";",ROW($1:$99),1),";")),"",ROW($1:$99)),COLUMN(C260))-1)</f>
        <v/>
      </c>
      <c r="AA261" s="75" t="str" cm="1">
        <f t="array" ref="AA261">MID(";"&amp;'CASE DATA'!$F261&amp;";",SMALL(IF(ISERROR(SEARCH(MID(";"&amp;'CASE DATA'!$F261&amp;";",ROW($1:$99),1),";")),"",ROW($1:$99)+1),COLUMN(D261)),SMALL(IF(ISERROR(SEARCH(MID(";"&amp;'CASE DATA'!$F261&amp;";",ROW($1:$99),1),";")),"",ROW($1:$99)),COLUMN(D260)+1)-SMALL(IF(ISERROR(SEARCH(MID(";"&amp;'CASE DATA'!$F261&amp;";",ROW($1:$99),1),";")),"",ROW($1:$99)),COLUMN(D260))-1)</f>
        <v/>
      </c>
      <c r="AB261" s="75" t="str" cm="1">
        <f t="array" ref="AB261">MID(";"&amp;'CASE DATA'!$F261&amp;";",SMALL(IF(ISERROR(SEARCH(MID(";"&amp;'CASE DATA'!$F261&amp;";",ROW($1:$99),1),";")),"",ROW($1:$99)+1),COLUMN(E261)),SMALL(IF(ISERROR(SEARCH(MID(";"&amp;'CASE DATA'!$F261&amp;";",ROW($1:$99),1),";")),"",ROW($1:$99)),COLUMN(E260)+1)-SMALL(IF(ISERROR(SEARCH(MID(";"&amp;'CASE DATA'!$F261&amp;";",ROW($1:$99),1),";")),"",ROW($1:$99)),COLUMN(E260))-1)</f>
        <v/>
      </c>
      <c r="AC261" s="75" t="str" cm="1">
        <f t="array" ref="AC261">MID(";"&amp;'CASE DATA'!$F261&amp;";",SMALL(IF(ISERROR(SEARCH(MID(";"&amp;'CASE DATA'!$F261&amp;";",ROW($1:$99),1),";")),"",ROW($1:$99)+1),COLUMN(F261)),SMALL(IF(ISERROR(SEARCH(MID(";"&amp;'CASE DATA'!$F261&amp;";",ROW($1:$99),1),";")),"",ROW($1:$99)),COLUMN(F260)+1)-SMALL(IF(ISERROR(SEARCH(MID(";"&amp;'CASE DATA'!$F261&amp;";",ROW($1:$99),1),";")),"",ROW($1:$99)),COLUMN(F260))-1)</f>
        <v/>
      </c>
      <c r="AD261" s="75" t="str" cm="1">
        <f t="array" ref="AD261">MID(";"&amp;'CASE DATA'!$F261&amp;";",SMALL(IF(ISERROR(SEARCH(MID(";"&amp;'CASE DATA'!$F261&amp;";",ROW($1:$99),1),";")),"",ROW($1:$99)+1),COLUMN(G261)),SMALL(IF(ISERROR(SEARCH(MID(";"&amp;'CASE DATA'!$F261&amp;";",ROW($1:$99),1),";")),"",ROW($1:$99)),COLUMN(G260)+1)-SMALL(IF(ISERROR(SEARCH(MID(";"&amp;'CASE DATA'!$F261&amp;";",ROW($1:$99),1),";")),"",ROW($1:$99)),COLUMN(G260))-1)</f>
        <v/>
      </c>
      <c r="AE261" s="75" t="str" cm="1">
        <f t="array" ref="AE261">MID(";"&amp;'CASE DATA'!$F261&amp;";",SMALL(IF(ISERROR(SEARCH(MID(";"&amp;'CASE DATA'!$F261&amp;";",ROW($1:$99),1),";")),"",ROW($1:$99)+1),COLUMN(H261)),SMALL(IF(ISERROR(SEARCH(MID(";"&amp;'CASE DATA'!$F261&amp;";",ROW($1:$99),1),";")),"",ROW($1:$99)),COLUMN(H260)+1)-SMALL(IF(ISERROR(SEARCH(MID(";"&amp;'CASE DATA'!$F261&amp;";",ROW($1:$99),1),";")),"",ROW($1:$99)),COLUMN(H260))-1)</f>
        <v/>
      </c>
      <c r="AF261" s="75" t="str" cm="1">
        <f t="array" ref="AF261">MID(";"&amp;'CASE DATA'!$F261&amp;";",SMALL(IF(ISERROR(SEARCH(MID(";"&amp;'CASE DATA'!$F261&amp;";",ROW($1:$99),1),";")),"",ROW($1:$99)+1),COLUMN(I261)),SMALL(IF(ISERROR(SEARCH(MID(";"&amp;'CASE DATA'!$F261&amp;";",ROW($1:$99),1),";")),"",ROW($1:$99)),COLUMN(I260)+1)-SMALL(IF(ISERROR(SEARCH(MID(";"&amp;'CASE DATA'!$F261&amp;";",ROW($1:$99),1),";")),"",ROW($1:$99)),COLUMN(I260))-1)</f>
        <v/>
      </c>
      <c r="AG261" s="75" t="str" cm="1">
        <f t="array" ref="AG261">MID(";"&amp;'CASE DATA'!$F261&amp;";",SMALL(IF(ISERROR(SEARCH(MID(";"&amp;'CASE DATA'!$F261&amp;";",ROW($1:$99),1),";")),"",ROW($1:$99)+1),COLUMN(K261)),SMALL(IF(ISERROR(SEARCH(MID(";"&amp;'CASE DATA'!$F261&amp;";",ROW($1:$99),1),";")),"",ROW($1:$99)),COLUMN(K260)+1)-SMALL(IF(ISERROR(SEARCH(MID(";"&amp;'CASE DATA'!$F261&amp;";",ROW($1:$99),1),";")),"",ROW($1:$99)),COLUMN(K260))-1)</f>
        <v/>
      </c>
      <c r="AH261" s="75" t="str" cm="1">
        <f t="array" ref="AH261">MID(";"&amp;'CASE DATA'!$F261&amp;";",SMALL(IF(ISERROR(SEARCH(MID(";"&amp;'CASE DATA'!$F261&amp;";",ROW($1:$99),1),";")),"",ROW($1:$99)+1),COLUMN(L261)),SMALL(IF(ISERROR(SEARCH(MID(";"&amp;'CASE DATA'!$F261&amp;";",ROW($1:$99),1),";")),"",ROW($1:$99)),COLUMN(L260)+1)-SMALL(IF(ISERROR(SEARCH(MID(";"&amp;'CASE DATA'!$F261&amp;";",ROW($1:$99),1),";")),"",ROW($1:$99)),COLUMN(L260))-1)</f>
        <v/>
      </c>
      <c r="AI261" s="75" t="str" cm="1">
        <f t="array" ref="AI261">MID(";"&amp;'CASE DATA'!$F261&amp;";",SMALL(IF(ISERROR(SEARCH(MID(";"&amp;'CASE DATA'!$F261&amp;";",ROW($1:$99),1),";")),"",ROW($1:$99)+1),COLUMN(M261)),SMALL(IF(ISERROR(SEARCH(MID(";"&amp;'CASE DATA'!$F261&amp;";",ROW($1:$99),1),";")),"",ROW($1:$99)),COLUMN(M260)+1)-SMALL(IF(ISERROR(SEARCH(MID(";"&amp;'CASE DATA'!$F261&amp;";",ROW($1:$99),1),";")),"",ROW($1:$99)),COLUMN(M260))-1)</f>
        <v/>
      </c>
      <c r="BO261" s="99"/>
      <c r="BP261" s="99"/>
      <c r="BQ261" s="99"/>
      <c r="BR261" s="99"/>
      <c r="BS261" s="99"/>
      <c r="BT261" s="99"/>
      <c r="BU261" s="99"/>
      <c r="BV261" s="99"/>
      <c r="BW261" s="99"/>
      <c r="BX261" s="99"/>
      <c r="BY261" s="99"/>
      <c r="BZ261" s="99"/>
      <c r="CA261" s="99"/>
      <c r="CB261" s="99"/>
      <c r="CC261" s="99"/>
      <c r="CD261" s="99"/>
      <c r="CE261" s="99"/>
      <c r="CF261" s="99"/>
      <c r="CG261" s="99"/>
      <c r="CH261" s="99"/>
      <c r="CI261" s="99"/>
      <c r="CJ261" s="99"/>
      <c r="CK261" s="99"/>
      <c r="CL261" s="99"/>
      <c r="CM261" s="99"/>
      <c r="CN261" s="99"/>
      <c r="CO261" s="99"/>
      <c r="CP261" s="99"/>
      <c r="CQ261" s="99"/>
      <c r="CR261" s="99"/>
      <c r="CS261" s="99"/>
      <c r="CT261" s="99"/>
      <c r="CU261" s="99"/>
      <c r="CV261" s="99"/>
      <c r="CW261" s="99"/>
      <c r="CX261" s="99"/>
      <c r="CY261" s="99"/>
      <c r="CZ261" s="99"/>
      <c r="DA261" s="99"/>
      <c r="DB261" s="99"/>
      <c r="DC261" s="99"/>
      <c r="DD261" s="99"/>
      <c r="DE261" s="99"/>
      <c r="DF261" s="99"/>
      <c r="DG261" s="99"/>
      <c r="DH261" s="99"/>
      <c r="DI261" s="99"/>
      <c r="DJ261" s="99"/>
      <c r="DK261" s="99"/>
      <c r="DL261" s="99"/>
      <c r="DM261" s="99"/>
      <c r="DN261" s="99"/>
      <c r="DO261" s="99"/>
      <c r="DP261" s="99"/>
      <c r="DQ261" s="99"/>
      <c r="DR261" s="99"/>
      <c r="DS261" s="99"/>
      <c r="DT261" s="99"/>
      <c r="DU261" s="99"/>
      <c r="DV261" s="99"/>
      <c r="DW261" s="99"/>
      <c r="DX261" s="99"/>
      <c r="DY261" s="99"/>
      <c r="DZ261" s="99"/>
      <c r="EA261" s="99"/>
      <c r="EB261" s="99"/>
      <c r="EC261" s="99"/>
      <c r="ED261" s="99"/>
      <c r="EE261" s="99"/>
      <c r="EF261" s="99"/>
      <c r="EG261" s="99"/>
      <c r="EH261" s="99"/>
      <c r="EI261" s="99"/>
      <c r="EJ261" s="99"/>
      <c r="EK261" s="99"/>
      <c r="EL261" s="99"/>
      <c r="EM261" s="99"/>
      <c r="EN261" s="99"/>
      <c r="EO261" s="99"/>
      <c r="EP261" s="99"/>
      <c r="EQ261" s="99"/>
      <c r="ER261" s="99"/>
      <c r="ES261" s="99"/>
      <c r="ET261" s="99"/>
      <c r="EU261" s="99"/>
      <c r="EV261" s="99"/>
      <c r="EW261" s="99"/>
      <c r="EX261" s="99"/>
      <c r="EY261" s="99"/>
      <c r="EZ261" s="99"/>
      <c r="FA261" s="99"/>
      <c r="FB261" s="99"/>
      <c r="FC261" s="99"/>
      <c r="FD261" s="99"/>
      <c r="FE261" s="99"/>
      <c r="FF261" s="99"/>
      <c r="FG261" s="99"/>
      <c r="FH261" s="99"/>
      <c r="FI261" s="99"/>
      <c r="FJ261" s="99"/>
      <c r="FK261" s="99"/>
    </row>
    <row r="262" spans="3:167" x14ac:dyDescent="0.25">
      <c r="C262" s="10"/>
      <c r="D262" s="10"/>
      <c r="J262" s="99">
        <v>259</v>
      </c>
      <c r="K262" s="16"/>
      <c r="L262" s="16"/>
      <c r="M262" s="16"/>
      <c r="N262" s="16"/>
      <c r="O262" s="16"/>
      <c r="P262" s="16"/>
      <c r="Q262" s="16"/>
      <c r="R262" s="16"/>
      <c r="S262" s="16"/>
      <c r="T262" s="16"/>
      <c r="U262" s="14">
        <f>SUM(K262:T262)</f>
        <v>0</v>
      </c>
      <c r="V262" s="14"/>
      <c r="X262" s="75" t="str" cm="1">
        <f t="array" ref="X262">MID(";"&amp;'CASE DATA'!$F262&amp;";",SMALL(IF(ISERROR(SEARCH(MID(";"&amp;'CASE DATA'!$F262&amp;";",ROW($1:$99),1),";")),"",ROW($1:$99)+1),COLUMN(A262)),SMALL(IF(ISERROR(SEARCH(MID(";"&amp;'CASE DATA'!$F262&amp;";",ROW($1:$99),1),";")),"",ROW($1:$99)),COLUMN(A261)+1)-SMALL(IF(ISERROR(SEARCH(MID(";"&amp;'CASE DATA'!$F262&amp;";",ROW($1:$99),1),";")),"",ROW($1:$99)),COLUMN(A261))-1)</f>
        <v/>
      </c>
      <c r="Y262" s="75" t="str" cm="1">
        <f t="array" ref="Y262">MID(";"&amp;'CASE DATA'!$F262&amp;";",SMALL(IF(ISERROR(SEARCH(MID(";"&amp;'CASE DATA'!$F262&amp;";",ROW($1:$99),1),";")),"",ROW($1:$99)+1),COLUMN(B262)),SMALL(IF(ISERROR(SEARCH(MID(";"&amp;'CASE DATA'!$F262&amp;";",ROW($1:$99),1),";")),"",ROW($1:$99)),COLUMN(B261)+1)-SMALL(IF(ISERROR(SEARCH(MID(";"&amp;'CASE DATA'!$F262&amp;";",ROW($1:$99),1),";")),"",ROW($1:$99)),COLUMN(B261))-1)</f>
        <v/>
      </c>
      <c r="Z262" s="75" t="str" cm="1">
        <f t="array" ref="Z262">MID(";"&amp;'CASE DATA'!$F262&amp;";",SMALL(IF(ISERROR(SEARCH(MID(";"&amp;'CASE DATA'!$F262&amp;";",ROW($1:$99),1),";")),"",ROW($1:$99)+1),COLUMN(C262)),SMALL(IF(ISERROR(SEARCH(MID(";"&amp;'CASE DATA'!$F262&amp;";",ROW($1:$99),1),";")),"",ROW($1:$99)),COLUMN(C261)+1)-SMALL(IF(ISERROR(SEARCH(MID(";"&amp;'CASE DATA'!$F262&amp;";",ROW($1:$99),1),";")),"",ROW($1:$99)),COLUMN(C261))-1)</f>
        <v/>
      </c>
      <c r="AA262" s="75" t="str" cm="1">
        <f t="array" ref="AA262">MID(";"&amp;'CASE DATA'!$F262&amp;";",SMALL(IF(ISERROR(SEARCH(MID(";"&amp;'CASE DATA'!$F262&amp;";",ROW($1:$99),1),";")),"",ROW($1:$99)+1),COLUMN(D262)),SMALL(IF(ISERROR(SEARCH(MID(";"&amp;'CASE DATA'!$F262&amp;";",ROW($1:$99),1),";")),"",ROW($1:$99)),COLUMN(D261)+1)-SMALL(IF(ISERROR(SEARCH(MID(";"&amp;'CASE DATA'!$F262&amp;";",ROW($1:$99),1),";")),"",ROW($1:$99)),COLUMN(D261))-1)</f>
        <v/>
      </c>
      <c r="AB262" s="75" t="str" cm="1">
        <f t="array" ref="AB262">MID(";"&amp;'CASE DATA'!$F262&amp;";",SMALL(IF(ISERROR(SEARCH(MID(";"&amp;'CASE DATA'!$F262&amp;";",ROW($1:$99),1),";")),"",ROW($1:$99)+1),COLUMN(E262)),SMALL(IF(ISERROR(SEARCH(MID(";"&amp;'CASE DATA'!$F262&amp;";",ROW($1:$99),1),";")),"",ROW($1:$99)),COLUMN(E261)+1)-SMALL(IF(ISERROR(SEARCH(MID(";"&amp;'CASE DATA'!$F262&amp;";",ROW($1:$99),1),";")),"",ROW($1:$99)),COLUMN(E261))-1)</f>
        <v/>
      </c>
      <c r="AC262" s="75" t="str" cm="1">
        <f t="array" ref="AC262">MID(";"&amp;'CASE DATA'!$F262&amp;";",SMALL(IF(ISERROR(SEARCH(MID(";"&amp;'CASE DATA'!$F262&amp;";",ROW($1:$99),1),";")),"",ROW($1:$99)+1),COLUMN(F262)),SMALL(IF(ISERROR(SEARCH(MID(";"&amp;'CASE DATA'!$F262&amp;";",ROW($1:$99),1),";")),"",ROW($1:$99)),COLUMN(F261)+1)-SMALL(IF(ISERROR(SEARCH(MID(";"&amp;'CASE DATA'!$F262&amp;";",ROW($1:$99),1),";")),"",ROW($1:$99)),COLUMN(F261))-1)</f>
        <v/>
      </c>
      <c r="AD262" s="75" t="str" cm="1">
        <f t="array" ref="AD262">MID(";"&amp;'CASE DATA'!$F262&amp;";",SMALL(IF(ISERROR(SEARCH(MID(";"&amp;'CASE DATA'!$F262&amp;";",ROW($1:$99),1),";")),"",ROW($1:$99)+1),COLUMN(G262)),SMALL(IF(ISERROR(SEARCH(MID(";"&amp;'CASE DATA'!$F262&amp;";",ROW($1:$99),1),";")),"",ROW($1:$99)),COLUMN(G261)+1)-SMALL(IF(ISERROR(SEARCH(MID(";"&amp;'CASE DATA'!$F262&amp;";",ROW($1:$99),1),";")),"",ROW($1:$99)),COLUMN(G261))-1)</f>
        <v/>
      </c>
      <c r="AE262" s="75" t="str" cm="1">
        <f t="array" ref="AE262">MID(";"&amp;'CASE DATA'!$F262&amp;";",SMALL(IF(ISERROR(SEARCH(MID(";"&amp;'CASE DATA'!$F262&amp;";",ROW($1:$99),1),";")),"",ROW($1:$99)+1),COLUMN(H262)),SMALL(IF(ISERROR(SEARCH(MID(";"&amp;'CASE DATA'!$F262&amp;";",ROW($1:$99),1),";")),"",ROW($1:$99)),COLUMN(H261)+1)-SMALL(IF(ISERROR(SEARCH(MID(";"&amp;'CASE DATA'!$F262&amp;";",ROW($1:$99),1),";")),"",ROW($1:$99)),COLUMN(H261))-1)</f>
        <v/>
      </c>
      <c r="AF262" s="75" t="str" cm="1">
        <f t="array" ref="AF262">MID(";"&amp;'CASE DATA'!$F262&amp;";",SMALL(IF(ISERROR(SEARCH(MID(";"&amp;'CASE DATA'!$F262&amp;";",ROW($1:$99),1),";")),"",ROW($1:$99)+1),COLUMN(I262)),SMALL(IF(ISERROR(SEARCH(MID(";"&amp;'CASE DATA'!$F262&amp;";",ROW($1:$99),1),";")),"",ROW($1:$99)),COLUMN(I261)+1)-SMALL(IF(ISERROR(SEARCH(MID(";"&amp;'CASE DATA'!$F262&amp;";",ROW($1:$99),1),";")),"",ROW($1:$99)),COLUMN(I261))-1)</f>
        <v/>
      </c>
      <c r="AG262" s="75" t="str" cm="1">
        <f t="array" ref="AG262">MID(";"&amp;'CASE DATA'!$F262&amp;";",SMALL(IF(ISERROR(SEARCH(MID(";"&amp;'CASE DATA'!$F262&amp;";",ROW($1:$99),1),";")),"",ROW($1:$99)+1),COLUMN(K262)),SMALL(IF(ISERROR(SEARCH(MID(";"&amp;'CASE DATA'!$F262&amp;";",ROW($1:$99),1),";")),"",ROW($1:$99)),COLUMN(K261)+1)-SMALL(IF(ISERROR(SEARCH(MID(";"&amp;'CASE DATA'!$F262&amp;";",ROW($1:$99),1),";")),"",ROW($1:$99)),COLUMN(K261))-1)</f>
        <v/>
      </c>
      <c r="AH262" s="75" t="str" cm="1">
        <f t="array" ref="AH262">MID(";"&amp;'CASE DATA'!$F262&amp;";",SMALL(IF(ISERROR(SEARCH(MID(";"&amp;'CASE DATA'!$F262&amp;";",ROW($1:$99),1),";")),"",ROW($1:$99)+1),COLUMN(L262)),SMALL(IF(ISERROR(SEARCH(MID(";"&amp;'CASE DATA'!$F262&amp;";",ROW($1:$99),1),";")),"",ROW($1:$99)),COLUMN(L261)+1)-SMALL(IF(ISERROR(SEARCH(MID(";"&amp;'CASE DATA'!$F262&amp;";",ROW($1:$99),1),";")),"",ROW($1:$99)),COLUMN(L261))-1)</f>
        <v/>
      </c>
      <c r="AI262" s="75" t="str" cm="1">
        <f t="array" ref="AI262">MID(";"&amp;'CASE DATA'!$F262&amp;";",SMALL(IF(ISERROR(SEARCH(MID(";"&amp;'CASE DATA'!$F262&amp;";",ROW($1:$99),1),";")),"",ROW($1:$99)+1),COLUMN(M262)),SMALL(IF(ISERROR(SEARCH(MID(";"&amp;'CASE DATA'!$F262&amp;";",ROW($1:$99),1),";")),"",ROW($1:$99)),COLUMN(M261)+1)-SMALL(IF(ISERROR(SEARCH(MID(";"&amp;'CASE DATA'!$F262&amp;";",ROW($1:$99),1),";")),"",ROW($1:$99)),COLUMN(M261))-1)</f>
        <v/>
      </c>
      <c r="BO262" s="99"/>
      <c r="BP262" s="99"/>
      <c r="BQ262" s="99"/>
      <c r="BR262" s="99"/>
      <c r="BS262" s="99"/>
      <c r="BT262" s="99"/>
      <c r="BU262" s="99"/>
      <c r="BV262" s="99"/>
      <c r="BW262" s="99"/>
      <c r="BX262" s="99"/>
      <c r="BY262" s="99"/>
      <c r="BZ262" s="99"/>
      <c r="CA262" s="99"/>
      <c r="CB262" s="99"/>
      <c r="CC262" s="99"/>
      <c r="CD262" s="99"/>
      <c r="CE262" s="99"/>
      <c r="CF262" s="99"/>
      <c r="CG262" s="99"/>
      <c r="CH262" s="99"/>
      <c r="CI262" s="99"/>
      <c r="CJ262" s="99"/>
      <c r="CK262" s="99"/>
      <c r="CL262" s="99"/>
      <c r="CM262" s="99"/>
      <c r="CN262" s="99"/>
      <c r="CO262" s="99"/>
      <c r="CP262" s="99"/>
      <c r="CQ262" s="99"/>
      <c r="CR262" s="99"/>
      <c r="CS262" s="99"/>
      <c r="CT262" s="99"/>
      <c r="CU262" s="99"/>
      <c r="CV262" s="99"/>
      <c r="CW262" s="99"/>
      <c r="CX262" s="99"/>
      <c r="CY262" s="99"/>
      <c r="CZ262" s="99"/>
      <c r="DA262" s="99"/>
      <c r="DB262" s="99"/>
      <c r="DC262" s="99"/>
      <c r="DD262" s="99"/>
      <c r="DE262" s="99"/>
      <c r="DF262" s="99"/>
      <c r="DG262" s="99"/>
      <c r="DH262" s="99"/>
      <c r="DI262" s="99"/>
      <c r="DJ262" s="99"/>
      <c r="DK262" s="99"/>
      <c r="DL262" s="99"/>
      <c r="DM262" s="99"/>
      <c r="DN262" s="99"/>
      <c r="DO262" s="99"/>
      <c r="DP262" s="99"/>
      <c r="DQ262" s="99"/>
      <c r="DR262" s="99"/>
      <c r="DS262" s="99"/>
      <c r="DT262" s="99"/>
      <c r="DU262" s="99"/>
      <c r="DV262" s="99"/>
      <c r="DW262" s="99"/>
      <c r="DX262" s="99"/>
      <c r="DY262" s="99"/>
      <c r="DZ262" s="99"/>
      <c r="EA262" s="99"/>
      <c r="EB262" s="99"/>
      <c r="EC262" s="99"/>
      <c r="ED262" s="99"/>
      <c r="EE262" s="99"/>
      <c r="EF262" s="99"/>
      <c r="EG262" s="99"/>
      <c r="EH262" s="99"/>
      <c r="EI262" s="99"/>
      <c r="EJ262" s="99"/>
      <c r="EK262" s="99"/>
      <c r="EL262" s="99"/>
      <c r="EM262" s="99"/>
      <c r="EN262" s="99"/>
      <c r="EO262" s="99"/>
      <c r="EP262" s="99"/>
      <c r="EQ262" s="99"/>
      <c r="ER262" s="99"/>
      <c r="ES262" s="99"/>
      <c r="ET262" s="99"/>
      <c r="EU262" s="99"/>
      <c r="EV262" s="99"/>
      <c r="EW262" s="99"/>
      <c r="EX262" s="99"/>
      <c r="EY262" s="99"/>
      <c r="EZ262" s="99"/>
      <c r="FA262" s="99"/>
      <c r="FB262" s="99"/>
      <c r="FC262" s="99"/>
      <c r="FD262" s="99"/>
      <c r="FE262" s="99"/>
      <c r="FF262" s="99"/>
      <c r="FG262" s="99"/>
      <c r="FH262" s="99"/>
      <c r="FI262" s="99"/>
      <c r="FJ262" s="99"/>
      <c r="FK262" s="99"/>
    </row>
    <row r="263" spans="3:167" x14ac:dyDescent="0.25">
      <c r="C263" s="10"/>
      <c r="D263" s="10"/>
      <c r="J263" s="99">
        <v>260</v>
      </c>
      <c r="K263" s="16"/>
      <c r="L263" s="16"/>
      <c r="M263" s="16"/>
      <c r="N263" s="16"/>
      <c r="O263" s="16"/>
      <c r="P263" s="16"/>
      <c r="Q263" s="16"/>
      <c r="R263" s="16"/>
      <c r="S263" s="16"/>
      <c r="T263" s="16"/>
      <c r="U263" s="14">
        <f>SUM(K263:T263)</f>
        <v>0</v>
      </c>
      <c r="V263" s="14"/>
      <c r="X263" s="75" t="str" cm="1">
        <f t="array" ref="X263">MID(";"&amp;'CASE DATA'!$F263&amp;";",SMALL(IF(ISERROR(SEARCH(MID(";"&amp;'CASE DATA'!$F263&amp;";",ROW($1:$99),1),";")),"",ROW($1:$99)+1),COLUMN(A263)),SMALL(IF(ISERROR(SEARCH(MID(";"&amp;'CASE DATA'!$F263&amp;";",ROW($1:$99),1),";")),"",ROW($1:$99)),COLUMN(A262)+1)-SMALL(IF(ISERROR(SEARCH(MID(";"&amp;'CASE DATA'!$F263&amp;";",ROW($1:$99),1),";")),"",ROW($1:$99)),COLUMN(A262))-1)</f>
        <v/>
      </c>
      <c r="Y263" s="75" t="str" cm="1">
        <f t="array" ref="Y263">MID(";"&amp;'CASE DATA'!$F263&amp;";",SMALL(IF(ISERROR(SEARCH(MID(";"&amp;'CASE DATA'!$F263&amp;";",ROW($1:$99),1),";")),"",ROW($1:$99)+1),COLUMN(B263)),SMALL(IF(ISERROR(SEARCH(MID(";"&amp;'CASE DATA'!$F263&amp;";",ROW($1:$99),1),";")),"",ROW($1:$99)),COLUMN(B262)+1)-SMALL(IF(ISERROR(SEARCH(MID(";"&amp;'CASE DATA'!$F263&amp;";",ROW($1:$99),1),";")),"",ROW($1:$99)),COLUMN(B262))-1)</f>
        <v/>
      </c>
      <c r="Z263" s="75" t="str" cm="1">
        <f t="array" ref="Z263">MID(";"&amp;'CASE DATA'!$F263&amp;";",SMALL(IF(ISERROR(SEARCH(MID(";"&amp;'CASE DATA'!$F263&amp;";",ROW($1:$99),1),";")),"",ROW($1:$99)+1),COLUMN(C263)),SMALL(IF(ISERROR(SEARCH(MID(";"&amp;'CASE DATA'!$F263&amp;";",ROW($1:$99),1),";")),"",ROW($1:$99)),COLUMN(C262)+1)-SMALL(IF(ISERROR(SEARCH(MID(";"&amp;'CASE DATA'!$F263&amp;";",ROW($1:$99),1),";")),"",ROW($1:$99)),COLUMN(C262))-1)</f>
        <v/>
      </c>
      <c r="AA263" s="75" t="str" cm="1">
        <f t="array" ref="AA263">MID(";"&amp;'CASE DATA'!$F263&amp;";",SMALL(IF(ISERROR(SEARCH(MID(";"&amp;'CASE DATA'!$F263&amp;";",ROW($1:$99),1),";")),"",ROW($1:$99)+1),COLUMN(D263)),SMALL(IF(ISERROR(SEARCH(MID(";"&amp;'CASE DATA'!$F263&amp;";",ROW($1:$99),1),";")),"",ROW($1:$99)),COLUMN(D262)+1)-SMALL(IF(ISERROR(SEARCH(MID(";"&amp;'CASE DATA'!$F263&amp;";",ROW($1:$99),1),";")),"",ROW($1:$99)),COLUMN(D262))-1)</f>
        <v/>
      </c>
      <c r="AB263" s="75" t="str" cm="1">
        <f t="array" ref="AB263">MID(";"&amp;'CASE DATA'!$F263&amp;";",SMALL(IF(ISERROR(SEARCH(MID(";"&amp;'CASE DATA'!$F263&amp;";",ROW($1:$99),1),";")),"",ROW($1:$99)+1),COLUMN(E263)),SMALL(IF(ISERROR(SEARCH(MID(";"&amp;'CASE DATA'!$F263&amp;";",ROW($1:$99),1),";")),"",ROW($1:$99)),COLUMN(E262)+1)-SMALL(IF(ISERROR(SEARCH(MID(";"&amp;'CASE DATA'!$F263&amp;";",ROW($1:$99),1),";")),"",ROW($1:$99)),COLUMN(E262))-1)</f>
        <v/>
      </c>
      <c r="AC263" s="75" t="str" cm="1">
        <f t="array" ref="AC263">MID(";"&amp;'CASE DATA'!$F263&amp;";",SMALL(IF(ISERROR(SEARCH(MID(";"&amp;'CASE DATA'!$F263&amp;";",ROW($1:$99),1),";")),"",ROW($1:$99)+1),COLUMN(F263)),SMALL(IF(ISERROR(SEARCH(MID(";"&amp;'CASE DATA'!$F263&amp;";",ROW($1:$99),1),";")),"",ROW($1:$99)),COLUMN(F262)+1)-SMALL(IF(ISERROR(SEARCH(MID(";"&amp;'CASE DATA'!$F263&amp;";",ROW($1:$99),1),";")),"",ROW($1:$99)),COLUMN(F262))-1)</f>
        <v/>
      </c>
      <c r="AD263" s="75" t="str" cm="1">
        <f t="array" ref="AD263">MID(";"&amp;'CASE DATA'!$F263&amp;";",SMALL(IF(ISERROR(SEARCH(MID(";"&amp;'CASE DATA'!$F263&amp;";",ROW($1:$99),1),";")),"",ROW($1:$99)+1),COLUMN(G263)),SMALL(IF(ISERROR(SEARCH(MID(";"&amp;'CASE DATA'!$F263&amp;";",ROW($1:$99),1),";")),"",ROW($1:$99)),COLUMN(G262)+1)-SMALL(IF(ISERROR(SEARCH(MID(";"&amp;'CASE DATA'!$F263&amp;";",ROW($1:$99),1),";")),"",ROW($1:$99)),COLUMN(G262))-1)</f>
        <v/>
      </c>
      <c r="AE263" s="75" t="str" cm="1">
        <f t="array" ref="AE263">MID(";"&amp;'CASE DATA'!$F263&amp;";",SMALL(IF(ISERROR(SEARCH(MID(";"&amp;'CASE DATA'!$F263&amp;";",ROW($1:$99),1),";")),"",ROW($1:$99)+1),COLUMN(H263)),SMALL(IF(ISERROR(SEARCH(MID(";"&amp;'CASE DATA'!$F263&amp;";",ROW($1:$99),1),";")),"",ROW($1:$99)),COLUMN(H262)+1)-SMALL(IF(ISERROR(SEARCH(MID(";"&amp;'CASE DATA'!$F263&amp;";",ROW($1:$99),1),";")),"",ROW($1:$99)),COLUMN(H262))-1)</f>
        <v/>
      </c>
      <c r="AF263" s="75" t="str" cm="1">
        <f t="array" ref="AF263">MID(";"&amp;'CASE DATA'!$F263&amp;";",SMALL(IF(ISERROR(SEARCH(MID(";"&amp;'CASE DATA'!$F263&amp;";",ROW($1:$99),1),";")),"",ROW($1:$99)+1),COLUMN(I263)),SMALL(IF(ISERROR(SEARCH(MID(";"&amp;'CASE DATA'!$F263&amp;";",ROW($1:$99),1),";")),"",ROW($1:$99)),COLUMN(I262)+1)-SMALL(IF(ISERROR(SEARCH(MID(";"&amp;'CASE DATA'!$F263&amp;";",ROW($1:$99),1),";")),"",ROW($1:$99)),COLUMN(I262))-1)</f>
        <v/>
      </c>
      <c r="AG263" s="75" t="str" cm="1">
        <f t="array" ref="AG263">MID(";"&amp;'CASE DATA'!$F263&amp;";",SMALL(IF(ISERROR(SEARCH(MID(";"&amp;'CASE DATA'!$F263&amp;";",ROW($1:$99),1),";")),"",ROW($1:$99)+1),COLUMN(K263)),SMALL(IF(ISERROR(SEARCH(MID(";"&amp;'CASE DATA'!$F263&amp;";",ROW($1:$99),1),";")),"",ROW($1:$99)),COLUMN(K262)+1)-SMALL(IF(ISERROR(SEARCH(MID(";"&amp;'CASE DATA'!$F263&amp;";",ROW($1:$99),1),";")),"",ROW($1:$99)),COLUMN(K262))-1)</f>
        <v/>
      </c>
      <c r="AH263" s="75" t="str" cm="1">
        <f t="array" ref="AH263">MID(";"&amp;'CASE DATA'!$F263&amp;";",SMALL(IF(ISERROR(SEARCH(MID(";"&amp;'CASE DATA'!$F263&amp;";",ROW($1:$99),1),";")),"",ROW($1:$99)+1),COLUMN(L263)),SMALL(IF(ISERROR(SEARCH(MID(";"&amp;'CASE DATA'!$F263&amp;";",ROW($1:$99),1),";")),"",ROW($1:$99)),COLUMN(L262)+1)-SMALL(IF(ISERROR(SEARCH(MID(";"&amp;'CASE DATA'!$F263&amp;";",ROW($1:$99),1),";")),"",ROW($1:$99)),COLUMN(L262))-1)</f>
        <v/>
      </c>
      <c r="AI263" s="75" t="str" cm="1">
        <f t="array" ref="AI263">MID(";"&amp;'CASE DATA'!$F263&amp;";",SMALL(IF(ISERROR(SEARCH(MID(";"&amp;'CASE DATA'!$F263&amp;";",ROW($1:$99),1),";")),"",ROW($1:$99)+1),COLUMN(M263)),SMALL(IF(ISERROR(SEARCH(MID(";"&amp;'CASE DATA'!$F263&amp;";",ROW($1:$99),1),";")),"",ROW($1:$99)),COLUMN(M262)+1)-SMALL(IF(ISERROR(SEARCH(MID(";"&amp;'CASE DATA'!$F263&amp;";",ROW($1:$99),1),";")),"",ROW($1:$99)),COLUMN(M262))-1)</f>
        <v/>
      </c>
      <c r="BO263" s="99"/>
      <c r="BP263" s="99"/>
      <c r="BQ263" s="99"/>
      <c r="BR263" s="99"/>
      <c r="BS263" s="99"/>
      <c r="BT263" s="99"/>
      <c r="BU263" s="99"/>
      <c r="BV263" s="99"/>
      <c r="BW263" s="99"/>
      <c r="BX263" s="99"/>
      <c r="BY263" s="99"/>
      <c r="BZ263" s="99"/>
      <c r="CA263" s="99"/>
      <c r="CB263" s="99"/>
      <c r="CC263" s="99"/>
      <c r="CD263" s="99"/>
      <c r="CE263" s="99"/>
      <c r="CF263" s="99"/>
      <c r="CG263" s="99"/>
      <c r="CH263" s="99"/>
      <c r="CI263" s="99"/>
      <c r="CJ263" s="99"/>
      <c r="CK263" s="99"/>
      <c r="CL263" s="99"/>
      <c r="CM263" s="99"/>
      <c r="CN263" s="99"/>
      <c r="CO263" s="99"/>
      <c r="CP263" s="99"/>
      <c r="CQ263" s="99"/>
      <c r="CR263" s="99"/>
      <c r="CS263" s="99"/>
      <c r="CT263" s="99"/>
      <c r="CU263" s="99"/>
      <c r="CV263" s="99"/>
      <c r="CW263" s="99"/>
      <c r="CX263" s="99"/>
      <c r="CY263" s="99"/>
      <c r="CZ263" s="99"/>
      <c r="DA263" s="99"/>
      <c r="DB263" s="99"/>
      <c r="DC263" s="99"/>
      <c r="DD263" s="99"/>
      <c r="DE263" s="99"/>
      <c r="DF263" s="99"/>
      <c r="DG263" s="99"/>
      <c r="DH263" s="99"/>
      <c r="DI263" s="99"/>
      <c r="DJ263" s="99"/>
      <c r="DK263" s="99"/>
      <c r="DL263" s="99"/>
      <c r="DM263" s="99"/>
      <c r="DN263" s="99"/>
      <c r="DO263" s="99"/>
      <c r="DP263" s="99"/>
      <c r="DQ263" s="99"/>
      <c r="DR263" s="99"/>
      <c r="DS263" s="99"/>
      <c r="DT263" s="99"/>
      <c r="DU263" s="99"/>
      <c r="DV263" s="99"/>
      <c r="DW263" s="99"/>
      <c r="DX263" s="99"/>
      <c r="DY263" s="99"/>
      <c r="DZ263" s="99"/>
      <c r="EA263" s="99"/>
      <c r="EB263" s="99"/>
      <c r="EC263" s="99"/>
      <c r="ED263" s="99"/>
      <c r="EE263" s="99"/>
      <c r="EF263" s="99"/>
      <c r="EG263" s="99"/>
      <c r="EH263" s="99"/>
      <c r="EI263" s="99"/>
      <c r="EJ263" s="99"/>
      <c r="EK263" s="99"/>
      <c r="EL263" s="99"/>
      <c r="EM263" s="99"/>
      <c r="EN263" s="99"/>
      <c r="EO263" s="99"/>
      <c r="EP263" s="99"/>
      <c r="EQ263" s="99"/>
      <c r="ER263" s="99"/>
      <c r="ES263" s="99"/>
      <c r="ET263" s="99"/>
      <c r="EU263" s="99"/>
      <c r="EV263" s="99"/>
      <c r="EW263" s="99"/>
      <c r="EX263" s="99"/>
      <c r="EY263" s="99"/>
      <c r="EZ263" s="99"/>
      <c r="FA263" s="99"/>
      <c r="FB263" s="99"/>
      <c r="FC263" s="99"/>
      <c r="FD263" s="99"/>
      <c r="FE263" s="99"/>
      <c r="FF263" s="99"/>
      <c r="FG263" s="99"/>
      <c r="FH263" s="99"/>
      <c r="FI263" s="99"/>
      <c r="FJ263" s="99"/>
      <c r="FK263" s="99"/>
    </row>
    <row r="264" spans="3:167" x14ac:dyDescent="0.25">
      <c r="C264" s="10"/>
      <c r="D264" s="10"/>
      <c r="J264" s="99">
        <v>261</v>
      </c>
      <c r="K264" s="16"/>
      <c r="L264" s="16"/>
      <c r="M264" s="16"/>
      <c r="N264" s="16"/>
      <c r="O264" s="16"/>
      <c r="P264" s="16"/>
      <c r="Q264" s="16"/>
      <c r="R264" s="16"/>
      <c r="S264" s="16"/>
      <c r="T264" s="16"/>
      <c r="U264" s="14">
        <f>SUM(K264:T264)</f>
        <v>0</v>
      </c>
      <c r="V264" s="14"/>
      <c r="X264" s="75" t="str" cm="1">
        <f t="array" ref="X264">MID(";"&amp;'CASE DATA'!$F264&amp;";",SMALL(IF(ISERROR(SEARCH(MID(";"&amp;'CASE DATA'!$F264&amp;";",ROW($1:$99),1),";")),"",ROW($1:$99)+1),COLUMN(A264)),SMALL(IF(ISERROR(SEARCH(MID(";"&amp;'CASE DATA'!$F264&amp;";",ROW($1:$99),1),";")),"",ROW($1:$99)),COLUMN(A263)+1)-SMALL(IF(ISERROR(SEARCH(MID(";"&amp;'CASE DATA'!$F264&amp;";",ROW($1:$99),1),";")),"",ROW($1:$99)),COLUMN(A263))-1)</f>
        <v/>
      </c>
      <c r="Y264" s="75" t="str" cm="1">
        <f t="array" ref="Y264">MID(";"&amp;'CASE DATA'!$F264&amp;";",SMALL(IF(ISERROR(SEARCH(MID(";"&amp;'CASE DATA'!$F264&amp;";",ROW($1:$99),1),";")),"",ROW($1:$99)+1),COLUMN(B264)),SMALL(IF(ISERROR(SEARCH(MID(";"&amp;'CASE DATA'!$F264&amp;";",ROW($1:$99),1),";")),"",ROW($1:$99)),COLUMN(B263)+1)-SMALL(IF(ISERROR(SEARCH(MID(";"&amp;'CASE DATA'!$F264&amp;";",ROW($1:$99),1),";")),"",ROW($1:$99)),COLUMN(B263))-1)</f>
        <v/>
      </c>
      <c r="Z264" s="75" t="str" cm="1">
        <f t="array" ref="Z264">MID(";"&amp;'CASE DATA'!$F264&amp;";",SMALL(IF(ISERROR(SEARCH(MID(";"&amp;'CASE DATA'!$F264&amp;";",ROW($1:$99),1),";")),"",ROW($1:$99)+1),COLUMN(C264)),SMALL(IF(ISERROR(SEARCH(MID(";"&amp;'CASE DATA'!$F264&amp;";",ROW($1:$99),1),";")),"",ROW($1:$99)),COLUMN(C263)+1)-SMALL(IF(ISERROR(SEARCH(MID(";"&amp;'CASE DATA'!$F264&amp;";",ROW($1:$99),1),";")),"",ROW($1:$99)),COLUMN(C263))-1)</f>
        <v/>
      </c>
      <c r="AA264" s="75" t="str" cm="1">
        <f t="array" ref="AA264">MID(";"&amp;'CASE DATA'!$F264&amp;";",SMALL(IF(ISERROR(SEARCH(MID(";"&amp;'CASE DATA'!$F264&amp;";",ROW($1:$99),1),";")),"",ROW($1:$99)+1),COLUMN(D264)),SMALL(IF(ISERROR(SEARCH(MID(";"&amp;'CASE DATA'!$F264&amp;";",ROW($1:$99),1),";")),"",ROW($1:$99)),COLUMN(D263)+1)-SMALL(IF(ISERROR(SEARCH(MID(";"&amp;'CASE DATA'!$F264&amp;";",ROW($1:$99),1),";")),"",ROW($1:$99)),COLUMN(D263))-1)</f>
        <v/>
      </c>
      <c r="AB264" s="75" t="str" cm="1">
        <f t="array" ref="AB264">MID(";"&amp;'CASE DATA'!$F264&amp;";",SMALL(IF(ISERROR(SEARCH(MID(";"&amp;'CASE DATA'!$F264&amp;";",ROW($1:$99),1),";")),"",ROW($1:$99)+1),COLUMN(E264)),SMALL(IF(ISERROR(SEARCH(MID(";"&amp;'CASE DATA'!$F264&amp;";",ROW($1:$99),1),";")),"",ROW($1:$99)),COLUMN(E263)+1)-SMALL(IF(ISERROR(SEARCH(MID(";"&amp;'CASE DATA'!$F264&amp;";",ROW($1:$99),1),";")),"",ROW($1:$99)),COLUMN(E263))-1)</f>
        <v/>
      </c>
      <c r="AC264" s="75" t="str" cm="1">
        <f t="array" ref="AC264">MID(";"&amp;'CASE DATA'!$F264&amp;";",SMALL(IF(ISERROR(SEARCH(MID(";"&amp;'CASE DATA'!$F264&amp;";",ROW($1:$99),1),";")),"",ROW($1:$99)+1),COLUMN(F264)),SMALL(IF(ISERROR(SEARCH(MID(";"&amp;'CASE DATA'!$F264&amp;";",ROW($1:$99),1),";")),"",ROW($1:$99)),COLUMN(F263)+1)-SMALL(IF(ISERROR(SEARCH(MID(";"&amp;'CASE DATA'!$F264&amp;";",ROW($1:$99),1),";")),"",ROW($1:$99)),COLUMN(F263))-1)</f>
        <v/>
      </c>
      <c r="AD264" s="75" t="str" cm="1">
        <f t="array" ref="AD264">MID(";"&amp;'CASE DATA'!$F264&amp;";",SMALL(IF(ISERROR(SEARCH(MID(";"&amp;'CASE DATA'!$F264&amp;";",ROW($1:$99),1),";")),"",ROW($1:$99)+1),COLUMN(G264)),SMALL(IF(ISERROR(SEARCH(MID(";"&amp;'CASE DATA'!$F264&amp;";",ROW($1:$99),1),";")),"",ROW($1:$99)),COLUMN(G263)+1)-SMALL(IF(ISERROR(SEARCH(MID(";"&amp;'CASE DATA'!$F264&amp;";",ROW($1:$99),1),";")),"",ROW($1:$99)),COLUMN(G263))-1)</f>
        <v/>
      </c>
      <c r="AE264" s="75" t="str" cm="1">
        <f t="array" ref="AE264">MID(";"&amp;'CASE DATA'!$F264&amp;";",SMALL(IF(ISERROR(SEARCH(MID(";"&amp;'CASE DATA'!$F264&amp;";",ROW($1:$99),1),";")),"",ROW($1:$99)+1),COLUMN(H264)),SMALL(IF(ISERROR(SEARCH(MID(";"&amp;'CASE DATA'!$F264&amp;";",ROW($1:$99),1),";")),"",ROW($1:$99)),COLUMN(H263)+1)-SMALL(IF(ISERROR(SEARCH(MID(";"&amp;'CASE DATA'!$F264&amp;";",ROW($1:$99),1),";")),"",ROW($1:$99)),COLUMN(H263))-1)</f>
        <v/>
      </c>
      <c r="AF264" s="75" t="str" cm="1">
        <f t="array" ref="AF264">MID(";"&amp;'CASE DATA'!$F264&amp;";",SMALL(IF(ISERROR(SEARCH(MID(";"&amp;'CASE DATA'!$F264&amp;";",ROW($1:$99),1),";")),"",ROW($1:$99)+1),COLUMN(I264)),SMALL(IF(ISERROR(SEARCH(MID(";"&amp;'CASE DATA'!$F264&amp;";",ROW($1:$99),1),";")),"",ROW($1:$99)),COLUMN(I263)+1)-SMALL(IF(ISERROR(SEARCH(MID(";"&amp;'CASE DATA'!$F264&amp;";",ROW($1:$99),1),";")),"",ROW($1:$99)),COLUMN(I263))-1)</f>
        <v/>
      </c>
      <c r="AG264" s="75" t="str" cm="1">
        <f t="array" ref="AG264">MID(";"&amp;'CASE DATA'!$F264&amp;";",SMALL(IF(ISERROR(SEARCH(MID(";"&amp;'CASE DATA'!$F264&amp;";",ROW($1:$99),1),";")),"",ROW($1:$99)+1),COLUMN(K264)),SMALL(IF(ISERROR(SEARCH(MID(";"&amp;'CASE DATA'!$F264&amp;";",ROW($1:$99),1),";")),"",ROW($1:$99)),COLUMN(K263)+1)-SMALL(IF(ISERROR(SEARCH(MID(";"&amp;'CASE DATA'!$F264&amp;";",ROW($1:$99),1),";")),"",ROW($1:$99)),COLUMN(K263))-1)</f>
        <v/>
      </c>
      <c r="AH264" s="75" t="str" cm="1">
        <f t="array" ref="AH264">MID(";"&amp;'CASE DATA'!$F264&amp;";",SMALL(IF(ISERROR(SEARCH(MID(";"&amp;'CASE DATA'!$F264&amp;";",ROW($1:$99),1),";")),"",ROW($1:$99)+1),COLUMN(L264)),SMALL(IF(ISERROR(SEARCH(MID(";"&amp;'CASE DATA'!$F264&amp;";",ROW($1:$99),1),";")),"",ROW($1:$99)),COLUMN(L263)+1)-SMALL(IF(ISERROR(SEARCH(MID(";"&amp;'CASE DATA'!$F264&amp;";",ROW($1:$99),1),";")),"",ROW($1:$99)),COLUMN(L263))-1)</f>
        <v/>
      </c>
      <c r="AI264" s="75" t="str" cm="1">
        <f t="array" ref="AI264">MID(";"&amp;'CASE DATA'!$F264&amp;";",SMALL(IF(ISERROR(SEARCH(MID(";"&amp;'CASE DATA'!$F264&amp;";",ROW($1:$99),1),";")),"",ROW($1:$99)+1),COLUMN(M264)),SMALL(IF(ISERROR(SEARCH(MID(";"&amp;'CASE DATA'!$F264&amp;";",ROW($1:$99),1),";")),"",ROW($1:$99)),COLUMN(M263)+1)-SMALL(IF(ISERROR(SEARCH(MID(";"&amp;'CASE DATA'!$F264&amp;";",ROW($1:$99),1),";")),"",ROW($1:$99)),COLUMN(M263))-1)</f>
        <v/>
      </c>
      <c r="BO264" s="99"/>
      <c r="BP264" s="99"/>
      <c r="BQ264" s="99"/>
      <c r="BR264" s="99"/>
      <c r="BS264" s="99"/>
      <c r="BT264" s="99"/>
      <c r="BU264" s="99"/>
      <c r="BV264" s="99"/>
      <c r="BW264" s="99"/>
      <c r="BX264" s="99"/>
      <c r="BY264" s="99"/>
      <c r="BZ264" s="99"/>
      <c r="CA264" s="99"/>
      <c r="CB264" s="99"/>
      <c r="CC264" s="99"/>
      <c r="CD264" s="99"/>
      <c r="CE264" s="99"/>
      <c r="CF264" s="99"/>
      <c r="CG264" s="99"/>
      <c r="CH264" s="99"/>
      <c r="CI264" s="99"/>
      <c r="CJ264" s="99"/>
      <c r="CK264" s="99"/>
      <c r="CL264" s="99"/>
      <c r="CM264" s="99"/>
      <c r="CN264" s="99"/>
      <c r="CO264" s="99"/>
      <c r="CP264" s="99"/>
      <c r="CQ264" s="99"/>
      <c r="CR264" s="99"/>
      <c r="CS264" s="99"/>
      <c r="CT264" s="99"/>
      <c r="CU264" s="99"/>
      <c r="CV264" s="99"/>
      <c r="CW264" s="99"/>
      <c r="CX264" s="99"/>
      <c r="CY264" s="99"/>
      <c r="CZ264" s="99"/>
      <c r="DA264" s="99"/>
      <c r="DB264" s="99"/>
      <c r="DC264" s="99"/>
      <c r="DD264" s="99"/>
      <c r="DE264" s="99"/>
      <c r="DF264" s="99"/>
      <c r="DG264" s="99"/>
      <c r="DH264" s="99"/>
      <c r="DI264" s="99"/>
      <c r="DJ264" s="99"/>
      <c r="DK264" s="99"/>
      <c r="DL264" s="99"/>
      <c r="DM264" s="99"/>
      <c r="DN264" s="99"/>
      <c r="DO264" s="99"/>
      <c r="DP264" s="99"/>
      <c r="DQ264" s="99"/>
      <c r="DR264" s="99"/>
      <c r="DS264" s="99"/>
      <c r="DT264" s="99"/>
      <c r="DU264" s="99"/>
      <c r="DV264" s="99"/>
      <c r="DW264" s="99"/>
      <c r="DX264" s="99"/>
      <c r="DY264" s="99"/>
      <c r="DZ264" s="99"/>
      <c r="EA264" s="99"/>
      <c r="EB264" s="99"/>
      <c r="EC264" s="99"/>
      <c r="ED264" s="99"/>
      <c r="EE264" s="99"/>
      <c r="EF264" s="99"/>
      <c r="EG264" s="99"/>
      <c r="EH264" s="99"/>
      <c r="EI264" s="99"/>
      <c r="EJ264" s="99"/>
      <c r="EK264" s="99"/>
      <c r="EL264" s="99"/>
      <c r="EM264" s="99"/>
      <c r="EN264" s="99"/>
      <c r="EO264" s="99"/>
      <c r="EP264" s="99"/>
      <c r="EQ264" s="99"/>
      <c r="ER264" s="99"/>
      <c r="ES264" s="99"/>
      <c r="ET264" s="99"/>
      <c r="EU264" s="99"/>
      <c r="EV264" s="99"/>
      <c r="EW264" s="99"/>
      <c r="EX264" s="99"/>
      <c r="EY264" s="99"/>
      <c r="EZ264" s="99"/>
      <c r="FA264" s="99"/>
      <c r="FB264" s="99"/>
      <c r="FC264" s="99"/>
      <c r="FD264" s="99"/>
      <c r="FE264" s="99"/>
      <c r="FF264" s="99"/>
      <c r="FG264" s="99"/>
      <c r="FH264" s="99"/>
      <c r="FI264" s="99"/>
      <c r="FJ264" s="99"/>
      <c r="FK264" s="99"/>
    </row>
    <row r="265" spans="3:167" x14ac:dyDescent="0.25">
      <c r="C265" s="10"/>
      <c r="D265" s="10"/>
      <c r="J265" s="99">
        <v>262</v>
      </c>
      <c r="K265" s="16"/>
      <c r="L265" s="16"/>
      <c r="M265" s="16"/>
      <c r="N265" s="16"/>
      <c r="O265" s="16"/>
      <c r="P265" s="16"/>
      <c r="Q265" s="16"/>
      <c r="R265" s="16"/>
      <c r="S265" s="16"/>
      <c r="T265" s="16"/>
      <c r="U265" s="14">
        <f>SUM(K265:T265)</f>
        <v>0</v>
      </c>
      <c r="V265" s="14"/>
      <c r="X265" s="75" t="str" cm="1">
        <f t="array" ref="X265">MID(";"&amp;'CASE DATA'!$F265&amp;";",SMALL(IF(ISERROR(SEARCH(MID(";"&amp;'CASE DATA'!$F265&amp;";",ROW($1:$99),1),";")),"",ROW($1:$99)+1),COLUMN(A265)),SMALL(IF(ISERROR(SEARCH(MID(";"&amp;'CASE DATA'!$F265&amp;";",ROW($1:$99),1),";")),"",ROW($1:$99)),COLUMN(A264)+1)-SMALL(IF(ISERROR(SEARCH(MID(";"&amp;'CASE DATA'!$F265&amp;";",ROW($1:$99),1),";")),"",ROW($1:$99)),COLUMN(A264))-1)</f>
        <v/>
      </c>
      <c r="Y265" s="75" t="str" cm="1">
        <f t="array" ref="Y265">MID(";"&amp;'CASE DATA'!$F265&amp;";",SMALL(IF(ISERROR(SEARCH(MID(";"&amp;'CASE DATA'!$F265&amp;";",ROW($1:$99),1),";")),"",ROW($1:$99)+1),COLUMN(B265)),SMALL(IF(ISERROR(SEARCH(MID(";"&amp;'CASE DATA'!$F265&amp;";",ROW($1:$99),1),";")),"",ROW($1:$99)),COLUMN(B264)+1)-SMALL(IF(ISERROR(SEARCH(MID(";"&amp;'CASE DATA'!$F265&amp;";",ROW($1:$99),1),";")),"",ROW($1:$99)),COLUMN(B264))-1)</f>
        <v/>
      </c>
      <c r="Z265" s="75" t="str" cm="1">
        <f t="array" ref="Z265">MID(";"&amp;'CASE DATA'!$F265&amp;";",SMALL(IF(ISERROR(SEARCH(MID(";"&amp;'CASE DATA'!$F265&amp;";",ROW($1:$99),1),";")),"",ROW($1:$99)+1),COLUMN(C265)),SMALL(IF(ISERROR(SEARCH(MID(";"&amp;'CASE DATA'!$F265&amp;";",ROW($1:$99),1),";")),"",ROW($1:$99)),COLUMN(C264)+1)-SMALL(IF(ISERROR(SEARCH(MID(";"&amp;'CASE DATA'!$F265&amp;";",ROW($1:$99),1),";")),"",ROW($1:$99)),COLUMN(C264))-1)</f>
        <v/>
      </c>
      <c r="AA265" s="75" t="str" cm="1">
        <f t="array" ref="AA265">MID(";"&amp;'CASE DATA'!$F265&amp;";",SMALL(IF(ISERROR(SEARCH(MID(";"&amp;'CASE DATA'!$F265&amp;";",ROW($1:$99),1),";")),"",ROW($1:$99)+1),COLUMN(D265)),SMALL(IF(ISERROR(SEARCH(MID(";"&amp;'CASE DATA'!$F265&amp;";",ROW($1:$99),1),";")),"",ROW($1:$99)),COLUMN(D264)+1)-SMALL(IF(ISERROR(SEARCH(MID(";"&amp;'CASE DATA'!$F265&amp;";",ROW($1:$99),1),";")),"",ROW($1:$99)),COLUMN(D264))-1)</f>
        <v/>
      </c>
      <c r="AB265" s="75" t="str" cm="1">
        <f t="array" ref="AB265">MID(";"&amp;'CASE DATA'!$F265&amp;";",SMALL(IF(ISERROR(SEARCH(MID(";"&amp;'CASE DATA'!$F265&amp;";",ROW($1:$99),1),";")),"",ROW($1:$99)+1),COLUMN(E265)),SMALL(IF(ISERROR(SEARCH(MID(";"&amp;'CASE DATA'!$F265&amp;";",ROW($1:$99),1),";")),"",ROW($1:$99)),COLUMN(E264)+1)-SMALL(IF(ISERROR(SEARCH(MID(";"&amp;'CASE DATA'!$F265&amp;";",ROW($1:$99),1),";")),"",ROW($1:$99)),COLUMN(E264))-1)</f>
        <v/>
      </c>
      <c r="AC265" s="75" t="str" cm="1">
        <f t="array" ref="AC265">MID(";"&amp;'CASE DATA'!$F265&amp;";",SMALL(IF(ISERROR(SEARCH(MID(";"&amp;'CASE DATA'!$F265&amp;";",ROW($1:$99),1),";")),"",ROW($1:$99)+1),COLUMN(F265)),SMALL(IF(ISERROR(SEARCH(MID(";"&amp;'CASE DATA'!$F265&amp;";",ROW($1:$99),1),";")),"",ROW($1:$99)),COLUMN(F264)+1)-SMALL(IF(ISERROR(SEARCH(MID(";"&amp;'CASE DATA'!$F265&amp;";",ROW($1:$99),1),";")),"",ROW($1:$99)),COLUMN(F264))-1)</f>
        <v/>
      </c>
      <c r="AD265" s="75" t="str" cm="1">
        <f t="array" ref="AD265">MID(";"&amp;'CASE DATA'!$F265&amp;";",SMALL(IF(ISERROR(SEARCH(MID(";"&amp;'CASE DATA'!$F265&amp;";",ROW($1:$99),1),";")),"",ROW($1:$99)+1),COLUMN(G265)),SMALL(IF(ISERROR(SEARCH(MID(";"&amp;'CASE DATA'!$F265&amp;";",ROW($1:$99),1),";")),"",ROW($1:$99)),COLUMN(G264)+1)-SMALL(IF(ISERROR(SEARCH(MID(";"&amp;'CASE DATA'!$F265&amp;";",ROW($1:$99),1),";")),"",ROW($1:$99)),COLUMN(G264))-1)</f>
        <v/>
      </c>
      <c r="AE265" s="75" t="str" cm="1">
        <f t="array" ref="AE265">MID(";"&amp;'CASE DATA'!$F265&amp;";",SMALL(IF(ISERROR(SEARCH(MID(";"&amp;'CASE DATA'!$F265&amp;";",ROW($1:$99),1),";")),"",ROW($1:$99)+1),COLUMN(H265)),SMALL(IF(ISERROR(SEARCH(MID(";"&amp;'CASE DATA'!$F265&amp;";",ROW($1:$99),1),";")),"",ROW($1:$99)),COLUMN(H264)+1)-SMALL(IF(ISERROR(SEARCH(MID(";"&amp;'CASE DATA'!$F265&amp;";",ROW($1:$99),1),";")),"",ROW($1:$99)),COLUMN(H264))-1)</f>
        <v/>
      </c>
      <c r="AF265" s="75" t="str" cm="1">
        <f t="array" ref="AF265">MID(";"&amp;'CASE DATA'!$F265&amp;";",SMALL(IF(ISERROR(SEARCH(MID(";"&amp;'CASE DATA'!$F265&amp;";",ROW($1:$99),1),";")),"",ROW($1:$99)+1),COLUMN(I265)),SMALL(IF(ISERROR(SEARCH(MID(";"&amp;'CASE DATA'!$F265&amp;";",ROW($1:$99),1),";")),"",ROW($1:$99)),COLUMN(I264)+1)-SMALL(IF(ISERROR(SEARCH(MID(";"&amp;'CASE DATA'!$F265&amp;";",ROW($1:$99),1),";")),"",ROW($1:$99)),COLUMN(I264))-1)</f>
        <v/>
      </c>
      <c r="AG265" s="75" t="str" cm="1">
        <f t="array" ref="AG265">MID(";"&amp;'CASE DATA'!$F265&amp;";",SMALL(IF(ISERROR(SEARCH(MID(";"&amp;'CASE DATA'!$F265&amp;";",ROW($1:$99),1),";")),"",ROW($1:$99)+1),COLUMN(K265)),SMALL(IF(ISERROR(SEARCH(MID(";"&amp;'CASE DATA'!$F265&amp;";",ROW($1:$99),1),";")),"",ROW($1:$99)),COLUMN(K264)+1)-SMALL(IF(ISERROR(SEARCH(MID(";"&amp;'CASE DATA'!$F265&amp;";",ROW($1:$99),1),";")),"",ROW($1:$99)),COLUMN(K264))-1)</f>
        <v/>
      </c>
      <c r="AH265" s="75" t="str" cm="1">
        <f t="array" ref="AH265">MID(";"&amp;'CASE DATA'!$F265&amp;";",SMALL(IF(ISERROR(SEARCH(MID(";"&amp;'CASE DATA'!$F265&amp;";",ROW($1:$99),1),";")),"",ROW($1:$99)+1),COLUMN(L265)),SMALL(IF(ISERROR(SEARCH(MID(";"&amp;'CASE DATA'!$F265&amp;";",ROW($1:$99),1),";")),"",ROW($1:$99)),COLUMN(L264)+1)-SMALL(IF(ISERROR(SEARCH(MID(";"&amp;'CASE DATA'!$F265&amp;";",ROW($1:$99),1),";")),"",ROW($1:$99)),COLUMN(L264))-1)</f>
        <v/>
      </c>
      <c r="AI265" s="75" t="str" cm="1">
        <f t="array" ref="AI265">MID(";"&amp;'CASE DATA'!$F265&amp;";",SMALL(IF(ISERROR(SEARCH(MID(";"&amp;'CASE DATA'!$F265&amp;";",ROW($1:$99),1),";")),"",ROW($1:$99)+1),COLUMN(M265)),SMALL(IF(ISERROR(SEARCH(MID(";"&amp;'CASE DATA'!$F265&amp;";",ROW($1:$99),1),";")),"",ROW($1:$99)),COLUMN(M264)+1)-SMALL(IF(ISERROR(SEARCH(MID(";"&amp;'CASE DATA'!$F265&amp;";",ROW($1:$99),1),";")),"",ROW($1:$99)),COLUMN(M264))-1)</f>
        <v/>
      </c>
      <c r="BO265" s="99"/>
      <c r="BP265" s="99"/>
      <c r="BQ265" s="99"/>
      <c r="BR265" s="99"/>
      <c r="BS265" s="99"/>
      <c r="BT265" s="99"/>
      <c r="BU265" s="99"/>
      <c r="BV265" s="99"/>
      <c r="BW265" s="99"/>
      <c r="BX265" s="99"/>
      <c r="BY265" s="99"/>
      <c r="BZ265" s="99"/>
      <c r="CA265" s="99"/>
      <c r="CB265" s="99"/>
      <c r="CC265" s="99"/>
      <c r="CD265" s="99"/>
      <c r="CE265" s="99"/>
      <c r="CF265" s="99"/>
      <c r="CG265" s="99"/>
      <c r="CH265" s="99"/>
      <c r="CI265" s="99"/>
      <c r="CJ265" s="99"/>
      <c r="CK265" s="99"/>
      <c r="CL265" s="99"/>
      <c r="CM265" s="99"/>
      <c r="CN265" s="99"/>
      <c r="CO265" s="99"/>
      <c r="CP265" s="99"/>
      <c r="CQ265" s="99"/>
      <c r="CR265" s="99"/>
      <c r="CS265" s="99"/>
      <c r="CT265" s="99"/>
      <c r="CU265" s="99"/>
      <c r="CV265" s="99"/>
      <c r="CW265" s="99"/>
      <c r="CX265" s="99"/>
      <c r="CY265" s="99"/>
      <c r="CZ265" s="99"/>
      <c r="DA265" s="99"/>
      <c r="DB265" s="99"/>
      <c r="DC265" s="99"/>
      <c r="DD265" s="99"/>
      <c r="DE265" s="99"/>
      <c r="DF265" s="99"/>
      <c r="DG265" s="99"/>
      <c r="DH265" s="99"/>
      <c r="DI265" s="99"/>
      <c r="DJ265" s="99"/>
      <c r="DK265" s="99"/>
      <c r="DL265" s="99"/>
      <c r="DM265" s="99"/>
      <c r="DN265" s="99"/>
      <c r="DO265" s="99"/>
      <c r="DP265" s="99"/>
      <c r="DQ265" s="99"/>
      <c r="DR265" s="99"/>
      <c r="DS265" s="99"/>
      <c r="DT265" s="99"/>
      <c r="DU265" s="99"/>
      <c r="DV265" s="99"/>
      <c r="DW265" s="99"/>
      <c r="DX265" s="99"/>
      <c r="DY265" s="99"/>
      <c r="DZ265" s="99"/>
      <c r="EA265" s="99"/>
      <c r="EB265" s="99"/>
      <c r="EC265" s="99"/>
      <c r="ED265" s="99"/>
      <c r="EE265" s="99"/>
      <c r="EF265" s="99"/>
      <c r="EG265" s="99"/>
      <c r="EH265" s="99"/>
      <c r="EI265" s="99"/>
      <c r="EJ265" s="99"/>
      <c r="EK265" s="99"/>
      <c r="EL265" s="99"/>
      <c r="EM265" s="99"/>
      <c r="EN265" s="99"/>
      <c r="EO265" s="99"/>
      <c r="EP265" s="99"/>
      <c r="EQ265" s="99"/>
      <c r="ER265" s="99"/>
      <c r="ES265" s="99"/>
      <c r="ET265" s="99"/>
      <c r="EU265" s="99"/>
      <c r="EV265" s="99"/>
      <c r="EW265" s="99"/>
      <c r="EX265" s="99"/>
      <c r="EY265" s="99"/>
      <c r="EZ265" s="99"/>
      <c r="FA265" s="99"/>
      <c r="FB265" s="99"/>
      <c r="FC265" s="99"/>
      <c r="FD265" s="99"/>
      <c r="FE265" s="99"/>
      <c r="FF265" s="99"/>
      <c r="FG265" s="99"/>
      <c r="FH265" s="99"/>
      <c r="FI265" s="99"/>
      <c r="FJ265" s="99"/>
      <c r="FK265" s="99"/>
    </row>
    <row r="266" spans="3:167" x14ac:dyDescent="0.25">
      <c r="C266" s="10"/>
      <c r="D266" s="10"/>
      <c r="J266" s="99">
        <v>263</v>
      </c>
      <c r="K266" s="16"/>
      <c r="L266" s="16"/>
      <c r="M266" s="16"/>
      <c r="N266" s="16"/>
      <c r="O266" s="16"/>
      <c r="P266" s="16"/>
      <c r="Q266" s="16"/>
      <c r="R266" s="16"/>
      <c r="S266" s="16"/>
      <c r="T266" s="16"/>
      <c r="U266" s="14">
        <f>SUM(K266:T266)</f>
        <v>0</v>
      </c>
      <c r="V266" s="14"/>
      <c r="X266" s="75" t="str" cm="1">
        <f t="array" ref="X266">MID(";"&amp;'CASE DATA'!$F266&amp;";",SMALL(IF(ISERROR(SEARCH(MID(";"&amp;'CASE DATA'!$F266&amp;";",ROW($1:$99),1),";")),"",ROW($1:$99)+1),COLUMN(A266)),SMALL(IF(ISERROR(SEARCH(MID(";"&amp;'CASE DATA'!$F266&amp;";",ROW($1:$99),1),";")),"",ROW($1:$99)),COLUMN(A265)+1)-SMALL(IF(ISERROR(SEARCH(MID(";"&amp;'CASE DATA'!$F266&amp;";",ROW($1:$99),1),";")),"",ROW($1:$99)),COLUMN(A265))-1)</f>
        <v/>
      </c>
      <c r="Y266" s="75" t="str" cm="1">
        <f t="array" ref="Y266">MID(";"&amp;'CASE DATA'!$F266&amp;";",SMALL(IF(ISERROR(SEARCH(MID(";"&amp;'CASE DATA'!$F266&amp;";",ROW($1:$99),1),";")),"",ROW($1:$99)+1),COLUMN(B266)),SMALL(IF(ISERROR(SEARCH(MID(";"&amp;'CASE DATA'!$F266&amp;";",ROW($1:$99),1),";")),"",ROW($1:$99)),COLUMN(B265)+1)-SMALL(IF(ISERROR(SEARCH(MID(";"&amp;'CASE DATA'!$F266&amp;";",ROW($1:$99),1),";")),"",ROW($1:$99)),COLUMN(B265))-1)</f>
        <v/>
      </c>
      <c r="Z266" s="75" t="str" cm="1">
        <f t="array" ref="Z266">MID(";"&amp;'CASE DATA'!$F266&amp;";",SMALL(IF(ISERROR(SEARCH(MID(";"&amp;'CASE DATA'!$F266&amp;";",ROW($1:$99),1),";")),"",ROW($1:$99)+1),COLUMN(C266)),SMALL(IF(ISERROR(SEARCH(MID(";"&amp;'CASE DATA'!$F266&amp;";",ROW($1:$99),1),";")),"",ROW($1:$99)),COLUMN(C265)+1)-SMALL(IF(ISERROR(SEARCH(MID(";"&amp;'CASE DATA'!$F266&amp;";",ROW($1:$99),1),";")),"",ROW($1:$99)),COLUMN(C265))-1)</f>
        <v/>
      </c>
      <c r="AA266" s="75" t="str" cm="1">
        <f t="array" ref="AA266">MID(";"&amp;'CASE DATA'!$F266&amp;";",SMALL(IF(ISERROR(SEARCH(MID(";"&amp;'CASE DATA'!$F266&amp;";",ROW($1:$99),1),";")),"",ROW($1:$99)+1),COLUMN(D266)),SMALL(IF(ISERROR(SEARCH(MID(";"&amp;'CASE DATA'!$F266&amp;";",ROW($1:$99),1),";")),"",ROW($1:$99)),COLUMN(D265)+1)-SMALL(IF(ISERROR(SEARCH(MID(";"&amp;'CASE DATA'!$F266&amp;";",ROW($1:$99),1),";")),"",ROW($1:$99)),COLUMN(D265))-1)</f>
        <v/>
      </c>
      <c r="AB266" s="75" t="str" cm="1">
        <f t="array" ref="AB266">MID(";"&amp;'CASE DATA'!$F266&amp;";",SMALL(IF(ISERROR(SEARCH(MID(";"&amp;'CASE DATA'!$F266&amp;";",ROW($1:$99),1),";")),"",ROW($1:$99)+1),COLUMN(E266)),SMALL(IF(ISERROR(SEARCH(MID(";"&amp;'CASE DATA'!$F266&amp;";",ROW($1:$99),1),";")),"",ROW($1:$99)),COLUMN(E265)+1)-SMALL(IF(ISERROR(SEARCH(MID(";"&amp;'CASE DATA'!$F266&amp;";",ROW($1:$99),1),";")),"",ROW($1:$99)),COLUMN(E265))-1)</f>
        <v/>
      </c>
      <c r="AC266" s="75" t="str" cm="1">
        <f t="array" ref="AC266">MID(";"&amp;'CASE DATA'!$F266&amp;";",SMALL(IF(ISERROR(SEARCH(MID(";"&amp;'CASE DATA'!$F266&amp;";",ROW($1:$99),1),";")),"",ROW($1:$99)+1),COLUMN(F266)),SMALL(IF(ISERROR(SEARCH(MID(";"&amp;'CASE DATA'!$F266&amp;";",ROW($1:$99),1),";")),"",ROW($1:$99)),COLUMN(F265)+1)-SMALL(IF(ISERROR(SEARCH(MID(";"&amp;'CASE DATA'!$F266&amp;";",ROW($1:$99),1),";")),"",ROW($1:$99)),COLUMN(F265))-1)</f>
        <v/>
      </c>
      <c r="AD266" s="75" t="str" cm="1">
        <f t="array" ref="AD266">MID(";"&amp;'CASE DATA'!$F266&amp;";",SMALL(IF(ISERROR(SEARCH(MID(";"&amp;'CASE DATA'!$F266&amp;";",ROW($1:$99),1),";")),"",ROW($1:$99)+1),COLUMN(G266)),SMALL(IF(ISERROR(SEARCH(MID(";"&amp;'CASE DATA'!$F266&amp;";",ROW($1:$99),1),";")),"",ROW($1:$99)),COLUMN(G265)+1)-SMALL(IF(ISERROR(SEARCH(MID(";"&amp;'CASE DATA'!$F266&amp;";",ROW($1:$99),1),";")),"",ROW($1:$99)),COLUMN(G265))-1)</f>
        <v/>
      </c>
      <c r="AE266" s="75" t="str" cm="1">
        <f t="array" ref="AE266">MID(";"&amp;'CASE DATA'!$F266&amp;";",SMALL(IF(ISERROR(SEARCH(MID(";"&amp;'CASE DATA'!$F266&amp;";",ROW($1:$99),1),";")),"",ROW($1:$99)+1),COLUMN(H266)),SMALL(IF(ISERROR(SEARCH(MID(";"&amp;'CASE DATA'!$F266&amp;";",ROW($1:$99),1),";")),"",ROW($1:$99)),COLUMN(H265)+1)-SMALL(IF(ISERROR(SEARCH(MID(";"&amp;'CASE DATA'!$F266&amp;";",ROW($1:$99),1),";")),"",ROW($1:$99)),COLUMN(H265))-1)</f>
        <v/>
      </c>
      <c r="AF266" s="75" t="str" cm="1">
        <f t="array" ref="AF266">MID(";"&amp;'CASE DATA'!$F266&amp;";",SMALL(IF(ISERROR(SEARCH(MID(";"&amp;'CASE DATA'!$F266&amp;";",ROW($1:$99),1),";")),"",ROW($1:$99)+1),COLUMN(I266)),SMALL(IF(ISERROR(SEARCH(MID(";"&amp;'CASE DATA'!$F266&amp;";",ROW($1:$99),1),";")),"",ROW($1:$99)),COLUMN(I265)+1)-SMALL(IF(ISERROR(SEARCH(MID(";"&amp;'CASE DATA'!$F266&amp;";",ROW($1:$99),1),";")),"",ROW($1:$99)),COLUMN(I265))-1)</f>
        <v/>
      </c>
      <c r="AG266" s="75" t="str" cm="1">
        <f t="array" ref="AG266">MID(";"&amp;'CASE DATA'!$F266&amp;";",SMALL(IF(ISERROR(SEARCH(MID(";"&amp;'CASE DATA'!$F266&amp;";",ROW($1:$99),1),";")),"",ROW($1:$99)+1),COLUMN(K266)),SMALL(IF(ISERROR(SEARCH(MID(";"&amp;'CASE DATA'!$F266&amp;";",ROW($1:$99),1),";")),"",ROW($1:$99)),COLUMN(K265)+1)-SMALL(IF(ISERROR(SEARCH(MID(";"&amp;'CASE DATA'!$F266&amp;";",ROW($1:$99),1),";")),"",ROW($1:$99)),COLUMN(K265))-1)</f>
        <v/>
      </c>
      <c r="AH266" s="75" t="str" cm="1">
        <f t="array" ref="AH266">MID(";"&amp;'CASE DATA'!$F266&amp;";",SMALL(IF(ISERROR(SEARCH(MID(";"&amp;'CASE DATA'!$F266&amp;";",ROW($1:$99),1),";")),"",ROW($1:$99)+1),COLUMN(L266)),SMALL(IF(ISERROR(SEARCH(MID(";"&amp;'CASE DATA'!$F266&amp;";",ROW($1:$99),1),";")),"",ROW($1:$99)),COLUMN(L265)+1)-SMALL(IF(ISERROR(SEARCH(MID(";"&amp;'CASE DATA'!$F266&amp;";",ROW($1:$99),1),";")),"",ROW($1:$99)),COLUMN(L265))-1)</f>
        <v/>
      </c>
      <c r="AI266" s="75" t="str" cm="1">
        <f t="array" ref="AI266">MID(";"&amp;'CASE DATA'!$F266&amp;";",SMALL(IF(ISERROR(SEARCH(MID(";"&amp;'CASE DATA'!$F266&amp;";",ROW($1:$99),1),";")),"",ROW($1:$99)+1),COLUMN(M266)),SMALL(IF(ISERROR(SEARCH(MID(";"&amp;'CASE DATA'!$F266&amp;";",ROW($1:$99),1),";")),"",ROW($1:$99)),COLUMN(M265)+1)-SMALL(IF(ISERROR(SEARCH(MID(";"&amp;'CASE DATA'!$F266&amp;";",ROW($1:$99),1),";")),"",ROW($1:$99)),COLUMN(M265))-1)</f>
        <v/>
      </c>
      <c r="BO266" s="99"/>
      <c r="BP266" s="99"/>
      <c r="BQ266" s="99"/>
      <c r="BR266" s="99"/>
      <c r="BS266" s="99"/>
      <c r="BT266" s="99"/>
      <c r="BU266" s="99"/>
      <c r="BV266" s="99"/>
      <c r="BW266" s="99"/>
      <c r="BX266" s="99"/>
      <c r="BY266" s="99"/>
      <c r="BZ266" s="99"/>
      <c r="CA266" s="99"/>
      <c r="CB266" s="99"/>
      <c r="CC266" s="99"/>
      <c r="CD266" s="99"/>
      <c r="CE266" s="99"/>
      <c r="CF266" s="99"/>
      <c r="CG266" s="99"/>
      <c r="CH266" s="99"/>
      <c r="CI266" s="99"/>
      <c r="CJ266" s="99"/>
      <c r="CK266" s="99"/>
      <c r="CL266" s="99"/>
      <c r="CM266" s="99"/>
      <c r="CN266" s="99"/>
      <c r="CO266" s="99"/>
      <c r="CP266" s="99"/>
      <c r="CQ266" s="99"/>
      <c r="CR266" s="99"/>
      <c r="CS266" s="99"/>
      <c r="CT266" s="99"/>
      <c r="CU266" s="99"/>
      <c r="CV266" s="99"/>
      <c r="CW266" s="99"/>
      <c r="CX266" s="99"/>
      <c r="CY266" s="99"/>
      <c r="CZ266" s="99"/>
      <c r="DA266" s="99"/>
      <c r="DB266" s="99"/>
      <c r="DC266" s="99"/>
      <c r="DD266" s="99"/>
      <c r="DE266" s="99"/>
      <c r="DF266" s="99"/>
      <c r="DG266" s="99"/>
      <c r="DH266" s="99"/>
      <c r="DI266" s="99"/>
      <c r="DJ266" s="99"/>
      <c r="DK266" s="99"/>
      <c r="DL266" s="99"/>
      <c r="DM266" s="99"/>
      <c r="DN266" s="99"/>
      <c r="DO266" s="99"/>
      <c r="DP266" s="99"/>
      <c r="DQ266" s="99"/>
      <c r="DR266" s="99"/>
      <c r="DS266" s="99"/>
      <c r="DT266" s="99"/>
      <c r="DU266" s="99"/>
      <c r="DV266" s="99"/>
      <c r="DW266" s="99"/>
      <c r="DX266" s="99"/>
      <c r="DY266" s="99"/>
      <c r="DZ266" s="99"/>
      <c r="EA266" s="99"/>
      <c r="EB266" s="99"/>
      <c r="EC266" s="99"/>
      <c r="ED266" s="99"/>
      <c r="EE266" s="99"/>
      <c r="EF266" s="99"/>
      <c r="EG266" s="99"/>
      <c r="EH266" s="99"/>
      <c r="EI266" s="99"/>
      <c r="EJ266" s="99"/>
      <c r="EK266" s="99"/>
      <c r="EL266" s="99"/>
      <c r="EM266" s="99"/>
      <c r="EN266" s="99"/>
      <c r="EO266" s="99"/>
      <c r="EP266" s="99"/>
      <c r="EQ266" s="99"/>
      <c r="ER266" s="99"/>
      <c r="ES266" s="99"/>
      <c r="ET266" s="99"/>
      <c r="EU266" s="99"/>
      <c r="EV266" s="99"/>
      <c r="EW266" s="99"/>
      <c r="EX266" s="99"/>
      <c r="EY266" s="99"/>
      <c r="EZ266" s="99"/>
      <c r="FA266" s="99"/>
      <c r="FB266" s="99"/>
      <c r="FC266" s="99"/>
      <c r="FD266" s="99"/>
      <c r="FE266" s="99"/>
      <c r="FF266" s="99"/>
      <c r="FG266" s="99"/>
      <c r="FH266" s="99"/>
      <c r="FI266" s="99"/>
      <c r="FJ266" s="99"/>
      <c r="FK266" s="99"/>
    </row>
    <row r="267" spans="3:167" x14ac:dyDescent="0.25">
      <c r="C267" s="10"/>
      <c r="D267" s="10"/>
      <c r="J267" s="99">
        <v>264</v>
      </c>
      <c r="K267" s="16"/>
      <c r="L267" s="16"/>
      <c r="M267" s="16"/>
      <c r="N267" s="16"/>
      <c r="O267" s="16"/>
      <c r="P267" s="16"/>
      <c r="Q267" s="16"/>
      <c r="R267" s="16"/>
      <c r="S267" s="16"/>
      <c r="T267" s="16"/>
      <c r="U267" s="14">
        <f>SUM(K267:T267)</f>
        <v>0</v>
      </c>
      <c r="V267" s="14"/>
      <c r="X267" s="75" t="str" cm="1">
        <f t="array" ref="X267">MID(";"&amp;'CASE DATA'!$F267&amp;";",SMALL(IF(ISERROR(SEARCH(MID(";"&amp;'CASE DATA'!$F267&amp;";",ROW($1:$99),1),";")),"",ROW($1:$99)+1),COLUMN(A267)),SMALL(IF(ISERROR(SEARCH(MID(";"&amp;'CASE DATA'!$F267&amp;";",ROW($1:$99),1),";")),"",ROW($1:$99)),COLUMN(A266)+1)-SMALL(IF(ISERROR(SEARCH(MID(";"&amp;'CASE DATA'!$F267&amp;";",ROW($1:$99),1),";")),"",ROW($1:$99)),COLUMN(A266))-1)</f>
        <v/>
      </c>
      <c r="Y267" s="75" t="str" cm="1">
        <f t="array" ref="Y267">MID(";"&amp;'CASE DATA'!$F267&amp;";",SMALL(IF(ISERROR(SEARCH(MID(";"&amp;'CASE DATA'!$F267&amp;";",ROW($1:$99),1),";")),"",ROW($1:$99)+1),COLUMN(B267)),SMALL(IF(ISERROR(SEARCH(MID(";"&amp;'CASE DATA'!$F267&amp;";",ROW($1:$99),1),";")),"",ROW($1:$99)),COLUMN(B266)+1)-SMALL(IF(ISERROR(SEARCH(MID(";"&amp;'CASE DATA'!$F267&amp;";",ROW($1:$99),1),";")),"",ROW($1:$99)),COLUMN(B266))-1)</f>
        <v/>
      </c>
      <c r="Z267" s="75" t="str" cm="1">
        <f t="array" ref="Z267">MID(";"&amp;'CASE DATA'!$F267&amp;";",SMALL(IF(ISERROR(SEARCH(MID(";"&amp;'CASE DATA'!$F267&amp;";",ROW($1:$99),1),";")),"",ROW($1:$99)+1),COLUMN(C267)),SMALL(IF(ISERROR(SEARCH(MID(";"&amp;'CASE DATA'!$F267&amp;";",ROW($1:$99),1),";")),"",ROW($1:$99)),COLUMN(C266)+1)-SMALL(IF(ISERROR(SEARCH(MID(";"&amp;'CASE DATA'!$F267&amp;";",ROW($1:$99),1),";")),"",ROW($1:$99)),COLUMN(C266))-1)</f>
        <v/>
      </c>
      <c r="AA267" s="75" t="str" cm="1">
        <f t="array" ref="AA267">MID(";"&amp;'CASE DATA'!$F267&amp;";",SMALL(IF(ISERROR(SEARCH(MID(";"&amp;'CASE DATA'!$F267&amp;";",ROW($1:$99),1),";")),"",ROW($1:$99)+1),COLUMN(D267)),SMALL(IF(ISERROR(SEARCH(MID(";"&amp;'CASE DATA'!$F267&amp;";",ROW($1:$99),1),";")),"",ROW($1:$99)),COLUMN(D266)+1)-SMALL(IF(ISERROR(SEARCH(MID(";"&amp;'CASE DATA'!$F267&amp;";",ROW($1:$99),1),";")),"",ROW($1:$99)),COLUMN(D266))-1)</f>
        <v/>
      </c>
      <c r="AB267" s="75" t="str" cm="1">
        <f t="array" ref="AB267">MID(";"&amp;'CASE DATA'!$F267&amp;";",SMALL(IF(ISERROR(SEARCH(MID(";"&amp;'CASE DATA'!$F267&amp;";",ROW($1:$99),1),";")),"",ROW($1:$99)+1),COLUMN(E267)),SMALL(IF(ISERROR(SEARCH(MID(";"&amp;'CASE DATA'!$F267&amp;";",ROW($1:$99),1),";")),"",ROW($1:$99)),COLUMN(E266)+1)-SMALL(IF(ISERROR(SEARCH(MID(";"&amp;'CASE DATA'!$F267&amp;";",ROW($1:$99),1),";")),"",ROW($1:$99)),COLUMN(E266))-1)</f>
        <v/>
      </c>
      <c r="AC267" s="75" t="str" cm="1">
        <f t="array" ref="AC267">MID(";"&amp;'CASE DATA'!$F267&amp;";",SMALL(IF(ISERROR(SEARCH(MID(";"&amp;'CASE DATA'!$F267&amp;";",ROW($1:$99),1),";")),"",ROW($1:$99)+1),COLUMN(F267)),SMALL(IF(ISERROR(SEARCH(MID(";"&amp;'CASE DATA'!$F267&amp;";",ROW($1:$99),1),";")),"",ROW($1:$99)),COLUMN(F266)+1)-SMALL(IF(ISERROR(SEARCH(MID(";"&amp;'CASE DATA'!$F267&amp;";",ROW($1:$99),1),";")),"",ROW($1:$99)),COLUMN(F266))-1)</f>
        <v/>
      </c>
      <c r="AD267" s="75" t="str" cm="1">
        <f t="array" ref="AD267">MID(";"&amp;'CASE DATA'!$F267&amp;";",SMALL(IF(ISERROR(SEARCH(MID(";"&amp;'CASE DATA'!$F267&amp;";",ROW($1:$99),1),";")),"",ROW($1:$99)+1),COLUMN(G267)),SMALL(IF(ISERROR(SEARCH(MID(";"&amp;'CASE DATA'!$F267&amp;";",ROW($1:$99),1),";")),"",ROW($1:$99)),COLUMN(G266)+1)-SMALL(IF(ISERROR(SEARCH(MID(";"&amp;'CASE DATA'!$F267&amp;";",ROW($1:$99),1),";")),"",ROW($1:$99)),COLUMN(G266))-1)</f>
        <v/>
      </c>
      <c r="AE267" s="75" t="str" cm="1">
        <f t="array" ref="AE267">MID(";"&amp;'CASE DATA'!$F267&amp;";",SMALL(IF(ISERROR(SEARCH(MID(";"&amp;'CASE DATA'!$F267&amp;";",ROW($1:$99),1),";")),"",ROW($1:$99)+1),COLUMN(H267)),SMALL(IF(ISERROR(SEARCH(MID(";"&amp;'CASE DATA'!$F267&amp;";",ROW($1:$99),1),";")),"",ROW($1:$99)),COLUMN(H266)+1)-SMALL(IF(ISERROR(SEARCH(MID(";"&amp;'CASE DATA'!$F267&amp;";",ROW($1:$99),1),";")),"",ROW($1:$99)),COLUMN(H266))-1)</f>
        <v/>
      </c>
      <c r="AF267" s="75" t="str" cm="1">
        <f t="array" ref="AF267">MID(";"&amp;'CASE DATA'!$F267&amp;";",SMALL(IF(ISERROR(SEARCH(MID(";"&amp;'CASE DATA'!$F267&amp;";",ROW($1:$99),1),";")),"",ROW($1:$99)+1),COLUMN(I267)),SMALL(IF(ISERROR(SEARCH(MID(";"&amp;'CASE DATA'!$F267&amp;";",ROW($1:$99),1),";")),"",ROW($1:$99)),COLUMN(I266)+1)-SMALL(IF(ISERROR(SEARCH(MID(";"&amp;'CASE DATA'!$F267&amp;";",ROW($1:$99),1),";")),"",ROW($1:$99)),COLUMN(I266))-1)</f>
        <v/>
      </c>
      <c r="AG267" s="75" t="str" cm="1">
        <f t="array" ref="AG267">MID(";"&amp;'CASE DATA'!$F267&amp;";",SMALL(IF(ISERROR(SEARCH(MID(";"&amp;'CASE DATA'!$F267&amp;";",ROW($1:$99),1),";")),"",ROW($1:$99)+1),COLUMN(K267)),SMALL(IF(ISERROR(SEARCH(MID(";"&amp;'CASE DATA'!$F267&amp;";",ROW($1:$99),1),";")),"",ROW($1:$99)),COLUMN(K266)+1)-SMALL(IF(ISERROR(SEARCH(MID(";"&amp;'CASE DATA'!$F267&amp;";",ROW($1:$99),1),";")),"",ROW($1:$99)),COLUMN(K266))-1)</f>
        <v/>
      </c>
      <c r="AH267" s="75" t="str" cm="1">
        <f t="array" ref="AH267">MID(";"&amp;'CASE DATA'!$F267&amp;";",SMALL(IF(ISERROR(SEARCH(MID(";"&amp;'CASE DATA'!$F267&amp;";",ROW($1:$99),1),";")),"",ROW($1:$99)+1),COLUMN(L267)),SMALL(IF(ISERROR(SEARCH(MID(";"&amp;'CASE DATA'!$F267&amp;";",ROW($1:$99),1),";")),"",ROW($1:$99)),COLUMN(L266)+1)-SMALL(IF(ISERROR(SEARCH(MID(";"&amp;'CASE DATA'!$F267&amp;";",ROW($1:$99),1),";")),"",ROW($1:$99)),COLUMN(L266))-1)</f>
        <v/>
      </c>
      <c r="AI267" s="75" t="str" cm="1">
        <f t="array" ref="AI267">MID(";"&amp;'CASE DATA'!$F267&amp;";",SMALL(IF(ISERROR(SEARCH(MID(";"&amp;'CASE DATA'!$F267&amp;";",ROW($1:$99),1),";")),"",ROW($1:$99)+1),COLUMN(M267)),SMALL(IF(ISERROR(SEARCH(MID(";"&amp;'CASE DATA'!$F267&amp;";",ROW($1:$99),1),";")),"",ROW($1:$99)),COLUMN(M266)+1)-SMALL(IF(ISERROR(SEARCH(MID(";"&amp;'CASE DATA'!$F267&amp;";",ROW($1:$99),1),";")),"",ROW($1:$99)),COLUMN(M266))-1)</f>
        <v/>
      </c>
      <c r="BO267" s="99"/>
      <c r="BP267" s="99"/>
      <c r="BQ267" s="99"/>
      <c r="BR267" s="99"/>
      <c r="BS267" s="99"/>
      <c r="BT267" s="99"/>
      <c r="BU267" s="99"/>
      <c r="BV267" s="99"/>
      <c r="BW267" s="99"/>
      <c r="BX267" s="99"/>
      <c r="BY267" s="99"/>
      <c r="BZ267" s="99"/>
      <c r="CA267" s="99"/>
      <c r="CB267" s="99"/>
      <c r="CC267" s="99"/>
      <c r="CD267" s="99"/>
      <c r="CE267" s="99"/>
      <c r="CF267" s="99"/>
      <c r="CG267" s="99"/>
      <c r="CH267" s="99"/>
      <c r="CI267" s="99"/>
      <c r="CJ267" s="99"/>
      <c r="CK267" s="99"/>
      <c r="CL267" s="99"/>
      <c r="CM267" s="99"/>
      <c r="CN267" s="99"/>
      <c r="CO267" s="99"/>
      <c r="CP267" s="99"/>
      <c r="CQ267" s="99"/>
      <c r="CR267" s="99"/>
      <c r="CS267" s="99"/>
      <c r="CT267" s="99"/>
      <c r="CU267" s="99"/>
      <c r="CV267" s="99"/>
      <c r="CW267" s="99"/>
      <c r="CX267" s="99"/>
      <c r="CY267" s="99"/>
      <c r="CZ267" s="99"/>
      <c r="DA267" s="99"/>
      <c r="DB267" s="99"/>
      <c r="DC267" s="99"/>
      <c r="DD267" s="99"/>
      <c r="DE267" s="99"/>
      <c r="DF267" s="99"/>
      <c r="DG267" s="99"/>
      <c r="DH267" s="99"/>
      <c r="DI267" s="99"/>
      <c r="DJ267" s="99"/>
      <c r="DK267" s="99"/>
      <c r="DL267" s="99"/>
      <c r="DM267" s="99"/>
      <c r="DN267" s="99"/>
      <c r="DO267" s="99"/>
      <c r="DP267" s="99"/>
      <c r="DQ267" s="99"/>
      <c r="DR267" s="99"/>
      <c r="DS267" s="99"/>
      <c r="DT267" s="99"/>
      <c r="DU267" s="99"/>
      <c r="DV267" s="99"/>
      <c r="DW267" s="99"/>
      <c r="DX267" s="99"/>
      <c r="DY267" s="99"/>
      <c r="DZ267" s="99"/>
      <c r="EA267" s="99"/>
      <c r="EB267" s="99"/>
      <c r="EC267" s="99"/>
      <c r="ED267" s="99"/>
      <c r="EE267" s="99"/>
      <c r="EF267" s="99"/>
      <c r="EG267" s="99"/>
      <c r="EH267" s="99"/>
      <c r="EI267" s="99"/>
      <c r="EJ267" s="99"/>
      <c r="EK267" s="99"/>
      <c r="EL267" s="99"/>
      <c r="EM267" s="99"/>
      <c r="EN267" s="99"/>
      <c r="EO267" s="99"/>
      <c r="EP267" s="99"/>
      <c r="EQ267" s="99"/>
      <c r="ER267" s="99"/>
      <c r="ES267" s="99"/>
      <c r="ET267" s="99"/>
      <c r="EU267" s="99"/>
      <c r="EV267" s="99"/>
      <c r="EW267" s="99"/>
      <c r="EX267" s="99"/>
      <c r="EY267" s="99"/>
      <c r="EZ267" s="99"/>
      <c r="FA267" s="99"/>
      <c r="FB267" s="99"/>
      <c r="FC267" s="99"/>
      <c r="FD267" s="99"/>
      <c r="FE267" s="99"/>
      <c r="FF267" s="99"/>
      <c r="FG267" s="99"/>
      <c r="FH267" s="99"/>
      <c r="FI267" s="99"/>
      <c r="FJ267" s="99"/>
      <c r="FK267" s="99"/>
    </row>
    <row r="268" spans="3:167" x14ac:dyDescent="0.25">
      <c r="C268" s="10"/>
      <c r="D268" s="10"/>
      <c r="J268" s="99">
        <v>265</v>
      </c>
      <c r="K268" s="16"/>
      <c r="L268" s="16"/>
      <c r="M268" s="16"/>
      <c r="N268" s="16"/>
      <c r="O268" s="16"/>
      <c r="P268" s="16"/>
      <c r="Q268" s="16"/>
      <c r="R268" s="16"/>
      <c r="S268" s="16"/>
      <c r="T268" s="16"/>
      <c r="U268" s="14">
        <f>SUM(K268:T268)</f>
        <v>0</v>
      </c>
      <c r="V268" s="14"/>
      <c r="X268" s="75" t="str" cm="1">
        <f t="array" ref="X268">MID(";"&amp;'CASE DATA'!$F268&amp;";",SMALL(IF(ISERROR(SEARCH(MID(";"&amp;'CASE DATA'!$F268&amp;";",ROW($1:$99),1),";")),"",ROW($1:$99)+1),COLUMN(A268)),SMALL(IF(ISERROR(SEARCH(MID(";"&amp;'CASE DATA'!$F268&amp;";",ROW($1:$99),1),";")),"",ROW($1:$99)),COLUMN(A267)+1)-SMALL(IF(ISERROR(SEARCH(MID(";"&amp;'CASE DATA'!$F268&amp;";",ROW($1:$99),1),";")),"",ROW($1:$99)),COLUMN(A267))-1)</f>
        <v/>
      </c>
      <c r="Y268" s="75" t="str" cm="1">
        <f t="array" ref="Y268">MID(";"&amp;'CASE DATA'!$F268&amp;";",SMALL(IF(ISERROR(SEARCH(MID(";"&amp;'CASE DATA'!$F268&amp;";",ROW($1:$99),1),";")),"",ROW($1:$99)+1),COLUMN(B268)),SMALL(IF(ISERROR(SEARCH(MID(";"&amp;'CASE DATA'!$F268&amp;";",ROW($1:$99),1),";")),"",ROW($1:$99)),COLUMN(B267)+1)-SMALL(IF(ISERROR(SEARCH(MID(";"&amp;'CASE DATA'!$F268&amp;";",ROW($1:$99),1),";")),"",ROW($1:$99)),COLUMN(B267))-1)</f>
        <v/>
      </c>
      <c r="Z268" s="75" t="str" cm="1">
        <f t="array" ref="Z268">MID(";"&amp;'CASE DATA'!$F268&amp;";",SMALL(IF(ISERROR(SEARCH(MID(";"&amp;'CASE DATA'!$F268&amp;";",ROW($1:$99),1),";")),"",ROW($1:$99)+1),COLUMN(C268)),SMALL(IF(ISERROR(SEARCH(MID(";"&amp;'CASE DATA'!$F268&amp;";",ROW($1:$99),1),";")),"",ROW($1:$99)),COLUMN(C267)+1)-SMALL(IF(ISERROR(SEARCH(MID(";"&amp;'CASE DATA'!$F268&amp;";",ROW($1:$99),1),";")),"",ROW($1:$99)),COLUMN(C267))-1)</f>
        <v/>
      </c>
      <c r="AA268" s="75" t="str" cm="1">
        <f t="array" ref="AA268">MID(";"&amp;'CASE DATA'!$F268&amp;";",SMALL(IF(ISERROR(SEARCH(MID(";"&amp;'CASE DATA'!$F268&amp;";",ROW($1:$99),1),";")),"",ROW($1:$99)+1),COLUMN(D268)),SMALL(IF(ISERROR(SEARCH(MID(";"&amp;'CASE DATA'!$F268&amp;";",ROW($1:$99),1),";")),"",ROW($1:$99)),COLUMN(D267)+1)-SMALL(IF(ISERROR(SEARCH(MID(";"&amp;'CASE DATA'!$F268&amp;";",ROW($1:$99),1),";")),"",ROW($1:$99)),COLUMN(D267))-1)</f>
        <v/>
      </c>
      <c r="AB268" s="75" t="str" cm="1">
        <f t="array" ref="AB268">MID(";"&amp;'CASE DATA'!$F268&amp;";",SMALL(IF(ISERROR(SEARCH(MID(";"&amp;'CASE DATA'!$F268&amp;";",ROW($1:$99),1),";")),"",ROW($1:$99)+1),COLUMN(E268)),SMALL(IF(ISERROR(SEARCH(MID(";"&amp;'CASE DATA'!$F268&amp;";",ROW($1:$99),1),";")),"",ROW($1:$99)),COLUMN(E267)+1)-SMALL(IF(ISERROR(SEARCH(MID(";"&amp;'CASE DATA'!$F268&amp;";",ROW($1:$99),1),";")),"",ROW($1:$99)),COLUMN(E267))-1)</f>
        <v/>
      </c>
      <c r="AC268" s="75" t="str" cm="1">
        <f t="array" ref="AC268">MID(";"&amp;'CASE DATA'!$F268&amp;";",SMALL(IF(ISERROR(SEARCH(MID(";"&amp;'CASE DATA'!$F268&amp;";",ROW($1:$99),1),";")),"",ROW($1:$99)+1),COLUMN(F268)),SMALL(IF(ISERROR(SEARCH(MID(";"&amp;'CASE DATA'!$F268&amp;";",ROW($1:$99),1),";")),"",ROW($1:$99)),COLUMN(F267)+1)-SMALL(IF(ISERROR(SEARCH(MID(";"&amp;'CASE DATA'!$F268&amp;";",ROW($1:$99),1),";")),"",ROW($1:$99)),COLUMN(F267))-1)</f>
        <v/>
      </c>
      <c r="AD268" s="75" t="str" cm="1">
        <f t="array" ref="AD268">MID(";"&amp;'CASE DATA'!$F268&amp;";",SMALL(IF(ISERROR(SEARCH(MID(";"&amp;'CASE DATA'!$F268&amp;";",ROW($1:$99),1),";")),"",ROW($1:$99)+1),COLUMN(G268)),SMALL(IF(ISERROR(SEARCH(MID(";"&amp;'CASE DATA'!$F268&amp;";",ROW($1:$99),1),";")),"",ROW($1:$99)),COLUMN(G267)+1)-SMALL(IF(ISERROR(SEARCH(MID(";"&amp;'CASE DATA'!$F268&amp;";",ROW($1:$99),1),";")),"",ROW($1:$99)),COLUMN(G267))-1)</f>
        <v/>
      </c>
      <c r="AE268" s="75" t="str" cm="1">
        <f t="array" ref="AE268">MID(";"&amp;'CASE DATA'!$F268&amp;";",SMALL(IF(ISERROR(SEARCH(MID(";"&amp;'CASE DATA'!$F268&amp;";",ROW($1:$99),1),";")),"",ROW($1:$99)+1),COLUMN(H268)),SMALL(IF(ISERROR(SEARCH(MID(";"&amp;'CASE DATA'!$F268&amp;";",ROW($1:$99),1),";")),"",ROW($1:$99)),COLUMN(H267)+1)-SMALL(IF(ISERROR(SEARCH(MID(";"&amp;'CASE DATA'!$F268&amp;";",ROW($1:$99),1),";")),"",ROW($1:$99)),COLUMN(H267))-1)</f>
        <v/>
      </c>
      <c r="AF268" s="75" t="str" cm="1">
        <f t="array" ref="AF268">MID(";"&amp;'CASE DATA'!$F268&amp;";",SMALL(IF(ISERROR(SEARCH(MID(";"&amp;'CASE DATA'!$F268&amp;";",ROW($1:$99),1),";")),"",ROW($1:$99)+1),COLUMN(I268)),SMALL(IF(ISERROR(SEARCH(MID(";"&amp;'CASE DATA'!$F268&amp;";",ROW($1:$99),1),";")),"",ROW($1:$99)),COLUMN(I267)+1)-SMALL(IF(ISERROR(SEARCH(MID(";"&amp;'CASE DATA'!$F268&amp;";",ROW($1:$99),1),";")),"",ROW($1:$99)),COLUMN(I267))-1)</f>
        <v/>
      </c>
      <c r="AG268" s="75" t="str" cm="1">
        <f t="array" ref="AG268">MID(";"&amp;'CASE DATA'!$F268&amp;";",SMALL(IF(ISERROR(SEARCH(MID(";"&amp;'CASE DATA'!$F268&amp;";",ROW($1:$99),1),";")),"",ROW($1:$99)+1),COLUMN(K268)),SMALL(IF(ISERROR(SEARCH(MID(";"&amp;'CASE DATA'!$F268&amp;";",ROW($1:$99),1),";")),"",ROW($1:$99)),COLUMN(K267)+1)-SMALL(IF(ISERROR(SEARCH(MID(";"&amp;'CASE DATA'!$F268&amp;";",ROW($1:$99),1),";")),"",ROW($1:$99)),COLUMN(K267))-1)</f>
        <v/>
      </c>
      <c r="AH268" s="75" t="str" cm="1">
        <f t="array" ref="AH268">MID(";"&amp;'CASE DATA'!$F268&amp;";",SMALL(IF(ISERROR(SEARCH(MID(";"&amp;'CASE DATA'!$F268&amp;";",ROW($1:$99),1),";")),"",ROW($1:$99)+1),COLUMN(L268)),SMALL(IF(ISERROR(SEARCH(MID(";"&amp;'CASE DATA'!$F268&amp;";",ROW($1:$99),1),";")),"",ROW($1:$99)),COLUMN(L267)+1)-SMALL(IF(ISERROR(SEARCH(MID(";"&amp;'CASE DATA'!$F268&amp;";",ROW($1:$99),1),";")),"",ROW($1:$99)),COLUMN(L267))-1)</f>
        <v/>
      </c>
      <c r="AI268" s="75" t="str" cm="1">
        <f t="array" ref="AI268">MID(";"&amp;'CASE DATA'!$F268&amp;";",SMALL(IF(ISERROR(SEARCH(MID(";"&amp;'CASE DATA'!$F268&amp;";",ROW($1:$99),1),";")),"",ROW($1:$99)+1),COLUMN(M268)),SMALL(IF(ISERROR(SEARCH(MID(";"&amp;'CASE DATA'!$F268&amp;";",ROW($1:$99),1),";")),"",ROW($1:$99)),COLUMN(M267)+1)-SMALL(IF(ISERROR(SEARCH(MID(";"&amp;'CASE DATA'!$F268&amp;";",ROW($1:$99),1),";")),"",ROW($1:$99)),COLUMN(M267))-1)</f>
        <v/>
      </c>
      <c r="BO268" s="99"/>
      <c r="BP268" s="99"/>
      <c r="BQ268" s="99"/>
      <c r="BR268" s="99"/>
      <c r="BS268" s="99"/>
      <c r="BT268" s="99"/>
      <c r="BU268" s="99"/>
      <c r="BV268" s="99"/>
      <c r="BW268" s="99"/>
      <c r="BX268" s="99"/>
      <c r="BY268" s="99"/>
      <c r="BZ268" s="99"/>
      <c r="CA268" s="99"/>
      <c r="CB268" s="99"/>
      <c r="CC268" s="99"/>
      <c r="CD268" s="99"/>
      <c r="CE268" s="99"/>
      <c r="CF268" s="99"/>
      <c r="CG268" s="99"/>
      <c r="CH268" s="99"/>
      <c r="CI268" s="99"/>
      <c r="CJ268" s="99"/>
      <c r="CK268" s="99"/>
      <c r="CL268" s="99"/>
      <c r="CM268" s="99"/>
      <c r="CN268" s="99"/>
      <c r="CO268" s="99"/>
      <c r="CP268" s="99"/>
      <c r="CQ268" s="99"/>
      <c r="CR268" s="99"/>
      <c r="CS268" s="99"/>
      <c r="CT268" s="99"/>
      <c r="CU268" s="99"/>
      <c r="CV268" s="99"/>
      <c r="CW268" s="99"/>
      <c r="CX268" s="99"/>
      <c r="CY268" s="99"/>
      <c r="CZ268" s="99"/>
      <c r="DA268" s="99"/>
      <c r="DB268" s="99"/>
      <c r="DC268" s="99"/>
      <c r="DD268" s="99"/>
      <c r="DE268" s="99"/>
      <c r="DF268" s="99"/>
      <c r="DG268" s="99"/>
      <c r="DH268" s="99"/>
      <c r="DI268" s="99"/>
      <c r="DJ268" s="99"/>
      <c r="DK268" s="99"/>
      <c r="DL268" s="99"/>
      <c r="DM268" s="99"/>
      <c r="DN268" s="99"/>
      <c r="DO268" s="99"/>
      <c r="DP268" s="99"/>
      <c r="DQ268" s="99"/>
      <c r="DR268" s="99"/>
      <c r="DS268" s="99"/>
      <c r="DT268" s="99"/>
      <c r="DU268" s="99"/>
      <c r="DV268" s="99"/>
      <c r="DW268" s="99"/>
      <c r="DX268" s="99"/>
      <c r="DY268" s="99"/>
      <c r="DZ268" s="99"/>
      <c r="EA268" s="99"/>
      <c r="EB268" s="99"/>
      <c r="EC268" s="99"/>
      <c r="ED268" s="99"/>
      <c r="EE268" s="99"/>
      <c r="EF268" s="99"/>
      <c r="EG268" s="99"/>
      <c r="EH268" s="99"/>
      <c r="EI268" s="99"/>
      <c r="EJ268" s="99"/>
      <c r="EK268" s="99"/>
      <c r="EL268" s="99"/>
      <c r="EM268" s="99"/>
      <c r="EN268" s="99"/>
      <c r="EO268" s="99"/>
      <c r="EP268" s="99"/>
      <c r="EQ268" s="99"/>
      <c r="ER268" s="99"/>
      <c r="ES268" s="99"/>
      <c r="ET268" s="99"/>
      <c r="EU268" s="99"/>
      <c r="EV268" s="99"/>
      <c r="EW268" s="99"/>
      <c r="EX268" s="99"/>
      <c r="EY268" s="99"/>
      <c r="EZ268" s="99"/>
      <c r="FA268" s="99"/>
      <c r="FB268" s="99"/>
      <c r="FC268" s="99"/>
      <c r="FD268" s="99"/>
      <c r="FE268" s="99"/>
      <c r="FF268" s="99"/>
      <c r="FG268" s="99"/>
      <c r="FH268" s="99"/>
      <c r="FI268" s="99"/>
      <c r="FJ268" s="99"/>
      <c r="FK268" s="99"/>
    </row>
    <row r="269" spans="3:167" x14ac:dyDescent="0.25">
      <c r="C269" s="10"/>
      <c r="D269" s="10"/>
      <c r="J269" s="99">
        <v>266</v>
      </c>
      <c r="K269" s="16"/>
      <c r="L269" s="16"/>
      <c r="M269" s="16"/>
      <c r="N269" s="16"/>
      <c r="O269" s="16"/>
      <c r="P269" s="16"/>
      <c r="Q269" s="16"/>
      <c r="R269" s="16"/>
      <c r="S269" s="16"/>
      <c r="T269" s="16"/>
      <c r="U269" s="14">
        <f>SUM(K269:T269)</f>
        <v>0</v>
      </c>
      <c r="V269" s="14"/>
      <c r="X269" s="75" t="str" cm="1">
        <f t="array" ref="X269">MID(";"&amp;'CASE DATA'!$F269&amp;";",SMALL(IF(ISERROR(SEARCH(MID(";"&amp;'CASE DATA'!$F269&amp;";",ROW($1:$99),1),";")),"",ROW($1:$99)+1),COLUMN(A269)),SMALL(IF(ISERROR(SEARCH(MID(";"&amp;'CASE DATA'!$F269&amp;";",ROW($1:$99),1),";")),"",ROW($1:$99)),COLUMN(A268)+1)-SMALL(IF(ISERROR(SEARCH(MID(";"&amp;'CASE DATA'!$F269&amp;";",ROW($1:$99),1),";")),"",ROW($1:$99)),COLUMN(A268))-1)</f>
        <v/>
      </c>
      <c r="Y269" s="75" t="str" cm="1">
        <f t="array" ref="Y269">MID(";"&amp;'CASE DATA'!$F269&amp;";",SMALL(IF(ISERROR(SEARCH(MID(";"&amp;'CASE DATA'!$F269&amp;";",ROW($1:$99),1),";")),"",ROW($1:$99)+1),COLUMN(B269)),SMALL(IF(ISERROR(SEARCH(MID(";"&amp;'CASE DATA'!$F269&amp;";",ROW($1:$99),1),";")),"",ROW($1:$99)),COLUMN(B268)+1)-SMALL(IF(ISERROR(SEARCH(MID(";"&amp;'CASE DATA'!$F269&amp;";",ROW($1:$99),1),";")),"",ROW($1:$99)),COLUMN(B268))-1)</f>
        <v/>
      </c>
      <c r="Z269" s="75" t="str" cm="1">
        <f t="array" ref="Z269">MID(";"&amp;'CASE DATA'!$F269&amp;";",SMALL(IF(ISERROR(SEARCH(MID(";"&amp;'CASE DATA'!$F269&amp;";",ROW($1:$99),1),";")),"",ROW($1:$99)+1),COLUMN(C269)),SMALL(IF(ISERROR(SEARCH(MID(";"&amp;'CASE DATA'!$F269&amp;";",ROW($1:$99),1),";")),"",ROW($1:$99)),COLUMN(C268)+1)-SMALL(IF(ISERROR(SEARCH(MID(";"&amp;'CASE DATA'!$F269&amp;";",ROW($1:$99),1),";")),"",ROW($1:$99)),COLUMN(C268))-1)</f>
        <v/>
      </c>
      <c r="AA269" s="75" t="str" cm="1">
        <f t="array" ref="AA269">MID(";"&amp;'CASE DATA'!$F269&amp;";",SMALL(IF(ISERROR(SEARCH(MID(";"&amp;'CASE DATA'!$F269&amp;";",ROW($1:$99),1),";")),"",ROW($1:$99)+1),COLUMN(D269)),SMALL(IF(ISERROR(SEARCH(MID(";"&amp;'CASE DATA'!$F269&amp;";",ROW($1:$99),1),";")),"",ROW($1:$99)),COLUMN(D268)+1)-SMALL(IF(ISERROR(SEARCH(MID(";"&amp;'CASE DATA'!$F269&amp;";",ROW($1:$99),1),";")),"",ROW($1:$99)),COLUMN(D268))-1)</f>
        <v/>
      </c>
      <c r="AB269" s="75" t="str" cm="1">
        <f t="array" ref="AB269">MID(";"&amp;'CASE DATA'!$F269&amp;";",SMALL(IF(ISERROR(SEARCH(MID(";"&amp;'CASE DATA'!$F269&amp;";",ROW($1:$99),1),";")),"",ROW($1:$99)+1),COLUMN(E269)),SMALL(IF(ISERROR(SEARCH(MID(";"&amp;'CASE DATA'!$F269&amp;";",ROW($1:$99),1),";")),"",ROW($1:$99)),COLUMN(E268)+1)-SMALL(IF(ISERROR(SEARCH(MID(";"&amp;'CASE DATA'!$F269&amp;";",ROW($1:$99),1),";")),"",ROW($1:$99)),COLUMN(E268))-1)</f>
        <v/>
      </c>
      <c r="AC269" s="75" t="str" cm="1">
        <f t="array" ref="AC269">MID(";"&amp;'CASE DATA'!$F269&amp;";",SMALL(IF(ISERROR(SEARCH(MID(";"&amp;'CASE DATA'!$F269&amp;";",ROW($1:$99),1),";")),"",ROW($1:$99)+1),COLUMN(F269)),SMALL(IF(ISERROR(SEARCH(MID(";"&amp;'CASE DATA'!$F269&amp;";",ROW($1:$99),1),";")),"",ROW($1:$99)),COLUMN(F268)+1)-SMALL(IF(ISERROR(SEARCH(MID(";"&amp;'CASE DATA'!$F269&amp;";",ROW($1:$99),1),";")),"",ROW($1:$99)),COLUMN(F268))-1)</f>
        <v/>
      </c>
      <c r="AD269" s="75" t="str" cm="1">
        <f t="array" ref="AD269">MID(";"&amp;'CASE DATA'!$F269&amp;";",SMALL(IF(ISERROR(SEARCH(MID(";"&amp;'CASE DATA'!$F269&amp;";",ROW($1:$99),1),";")),"",ROW($1:$99)+1),COLUMN(G269)),SMALL(IF(ISERROR(SEARCH(MID(";"&amp;'CASE DATA'!$F269&amp;";",ROW($1:$99),1),";")),"",ROW($1:$99)),COLUMN(G268)+1)-SMALL(IF(ISERROR(SEARCH(MID(";"&amp;'CASE DATA'!$F269&amp;";",ROW($1:$99),1),";")),"",ROW($1:$99)),COLUMN(G268))-1)</f>
        <v/>
      </c>
      <c r="AE269" s="75" t="str" cm="1">
        <f t="array" ref="AE269">MID(";"&amp;'CASE DATA'!$F269&amp;";",SMALL(IF(ISERROR(SEARCH(MID(";"&amp;'CASE DATA'!$F269&amp;";",ROW($1:$99),1),";")),"",ROW($1:$99)+1),COLUMN(H269)),SMALL(IF(ISERROR(SEARCH(MID(";"&amp;'CASE DATA'!$F269&amp;";",ROW($1:$99),1),";")),"",ROW($1:$99)),COLUMN(H268)+1)-SMALL(IF(ISERROR(SEARCH(MID(";"&amp;'CASE DATA'!$F269&amp;";",ROW($1:$99),1),";")),"",ROW($1:$99)),COLUMN(H268))-1)</f>
        <v/>
      </c>
      <c r="AF269" s="75" t="str" cm="1">
        <f t="array" ref="AF269">MID(";"&amp;'CASE DATA'!$F269&amp;";",SMALL(IF(ISERROR(SEARCH(MID(";"&amp;'CASE DATA'!$F269&amp;";",ROW($1:$99),1),";")),"",ROW($1:$99)+1),COLUMN(I269)),SMALL(IF(ISERROR(SEARCH(MID(";"&amp;'CASE DATA'!$F269&amp;";",ROW($1:$99),1),";")),"",ROW($1:$99)),COLUMN(I268)+1)-SMALL(IF(ISERROR(SEARCH(MID(";"&amp;'CASE DATA'!$F269&amp;";",ROW($1:$99),1),";")),"",ROW($1:$99)),COLUMN(I268))-1)</f>
        <v/>
      </c>
      <c r="AG269" s="75" t="str" cm="1">
        <f t="array" ref="AG269">MID(";"&amp;'CASE DATA'!$F269&amp;";",SMALL(IF(ISERROR(SEARCH(MID(";"&amp;'CASE DATA'!$F269&amp;";",ROW($1:$99),1),";")),"",ROW($1:$99)+1),COLUMN(K269)),SMALL(IF(ISERROR(SEARCH(MID(";"&amp;'CASE DATA'!$F269&amp;";",ROW($1:$99),1),";")),"",ROW($1:$99)),COLUMN(K268)+1)-SMALL(IF(ISERROR(SEARCH(MID(";"&amp;'CASE DATA'!$F269&amp;";",ROW($1:$99),1),";")),"",ROW($1:$99)),COLUMN(K268))-1)</f>
        <v/>
      </c>
      <c r="AH269" s="75" t="str" cm="1">
        <f t="array" ref="AH269">MID(";"&amp;'CASE DATA'!$F269&amp;";",SMALL(IF(ISERROR(SEARCH(MID(";"&amp;'CASE DATA'!$F269&amp;";",ROW($1:$99),1),";")),"",ROW($1:$99)+1),COLUMN(L269)),SMALL(IF(ISERROR(SEARCH(MID(";"&amp;'CASE DATA'!$F269&amp;";",ROW($1:$99),1),";")),"",ROW($1:$99)),COLUMN(L268)+1)-SMALL(IF(ISERROR(SEARCH(MID(";"&amp;'CASE DATA'!$F269&amp;";",ROW($1:$99),1),";")),"",ROW($1:$99)),COLUMN(L268))-1)</f>
        <v/>
      </c>
      <c r="AI269" s="75" t="str" cm="1">
        <f t="array" ref="AI269">MID(";"&amp;'CASE DATA'!$F269&amp;";",SMALL(IF(ISERROR(SEARCH(MID(";"&amp;'CASE DATA'!$F269&amp;";",ROW($1:$99),1),";")),"",ROW($1:$99)+1),COLUMN(M269)),SMALL(IF(ISERROR(SEARCH(MID(";"&amp;'CASE DATA'!$F269&amp;";",ROW($1:$99),1),";")),"",ROW($1:$99)),COLUMN(M268)+1)-SMALL(IF(ISERROR(SEARCH(MID(";"&amp;'CASE DATA'!$F269&amp;";",ROW($1:$99),1),";")),"",ROW($1:$99)),COLUMN(M268))-1)</f>
        <v/>
      </c>
      <c r="BO269" s="99"/>
      <c r="BP269" s="99"/>
      <c r="BQ269" s="99"/>
      <c r="BR269" s="99"/>
      <c r="BS269" s="99"/>
      <c r="BT269" s="99"/>
      <c r="BU269" s="99"/>
      <c r="BV269" s="99"/>
      <c r="BW269" s="99"/>
      <c r="BX269" s="99"/>
      <c r="BY269" s="99"/>
      <c r="BZ269" s="99"/>
      <c r="CA269" s="99"/>
      <c r="CB269" s="99"/>
      <c r="CC269" s="99"/>
      <c r="CD269" s="99"/>
      <c r="CE269" s="99"/>
      <c r="CF269" s="99"/>
      <c r="CG269" s="99"/>
      <c r="CH269" s="99"/>
      <c r="CI269" s="99"/>
      <c r="CJ269" s="99"/>
      <c r="CK269" s="99"/>
      <c r="CL269" s="99"/>
      <c r="CM269" s="99"/>
      <c r="CN269" s="99"/>
      <c r="CO269" s="99"/>
      <c r="CP269" s="99"/>
      <c r="CQ269" s="99"/>
      <c r="CR269" s="99"/>
      <c r="CS269" s="99"/>
      <c r="CT269" s="99"/>
      <c r="CU269" s="99"/>
      <c r="CV269" s="99"/>
      <c r="CW269" s="99"/>
      <c r="CX269" s="99"/>
      <c r="CY269" s="99"/>
      <c r="CZ269" s="99"/>
      <c r="DA269" s="99"/>
      <c r="DB269" s="99"/>
      <c r="DC269" s="99"/>
      <c r="DD269" s="99"/>
      <c r="DE269" s="99"/>
      <c r="DF269" s="99"/>
      <c r="DG269" s="99"/>
      <c r="DH269" s="99"/>
      <c r="DI269" s="99"/>
      <c r="DJ269" s="99"/>
      <c r="DK269" s="99"/>
      <c r="DL269" s="99"/>
      <c r="DM269" s="99"/>
      <c r="DN269" s="99"/>
      <c r="DO269" s="99"/>
      <c r="DP269" s="99"/>
      <c r="DQ269" s="99"/>
      <c r="DR269" s="99"/>
      <c r="DS269" s="99"/>
      <c r="DT269" s="99"/>
      <c r="DU269" s="99"/>
      <c r="DV269" s="99"/>
      <c r="DW269" s="99"/>
      <c r="DX269" s="99"/>
      <c r="DY269" s="99"/>
      <c r="DZ269" s="99"/>
      <c r="EA269" s="99"/>
      <c r="EB269" s="99"/>
      <c r="EC269" s="99"/>
      <c r="ED269" s="99"/>
      <c r="EE269" s="99"/>
      <c r="EF269" s="99"/>
      <c r="EG269" s="99"/>
      <c r="EH269" s="99"/>
      <c r="EI269" s="99"/>
      <c r="EJ269" s="99"/>
      <c r="EK269" s="99"/>
      <c r="EL269" s="99"/>
      <c r="EM269" s="99"/>
      <c r="EN269" s="99"/>
      <c r="EO269" s="99"/>
      <c r="EP269" s="99"/>
      <c r="EQ269" s="99"/>
      <c r="ER269" s="99"/>
      <c r="ES269" s="99"/>
      <c r="ET269" s="99"/>
      <c r="EU269" s="99"/>
      <c r="EV269" s="99"/>
      <c r="EW269" s="99"/>
      <c r="EX269" s="99"/>
      <c r="EY269" s="99"/>
      <c r="EZ269" s="99"/>
      <c r="FA269" s="99"/>
      <c r="FB269" s="99"/>
      <c r="FC269" s="99"/>
      <c r="FD269" s="99"/>
      <c r="FE269" s="99"/>
      <c r="FF269" s="99"/>
      <c r="FG269" s="99"/>
      <c r="FH269" s="99"/>
      <c r="FI269" s="99"/>
      <c r="FJ269" s="99"/>
      <c r="FK269" s="99"/>
    </row>
    <row r="270" spans="3:167" x14ac:dyDescent="0.25">
      <c r="C270" s="10"/>
      <c r="D270" s="10"/>
      <c r="J270" s="99">
        <v>267</v>
      </c>
      <c r="K270" s="16"/>
      <c r="L270" s="16"/>
      <c r="M270" s="16"/>
      <c r="N270" s="16"/>
      <c r="O270" s="16"/>
      <c r="P270" s="16"/>
      <c r="Q270" s="16"/>
      <c r="R270" s="16"/>
      <c r="S270" s="16"/>
      <c r="T270" s="16"/>
      <c r="U270" s="14">
        <f>SUM(K270:T270)</f>
        <v>0</v>
      </c>
      <c r="V270" s="14"/>
      <c r="X270" s="75" t="str" cm="1">
        <f t="array" ref="X270">MID(";"&amp;'CASE DATA'!$F270&amp;";",SMALL(IF(ISERROR(SEARCH(MID(";"&amp;'CASE DATA'!$F270&amp;";",ROW($1:$99),1),";")),"",ROW($1:$99)+1),COLUMN(A270)),SMALL(IF(ISERROR(SEARCH(MID(";"&amp;'CASE DATA'!$F270&amp;";",ROW($1:$99),1),";")),"",ROW($1:$99)),COLUMN(A269)+1)-SMALL(IF(ISERROR(SEARCH(MID(";"&amp;'CASE DATA'!$F270&amp;";",ROW($1:$99),1),";")),"",ROW($1:$99)),COLUMN(A269))-1)</f>
        <v/>
      </c>
      <c r="Y270" s="75" t="str" cm="1">
        <f t="array" ref="Y270">MID(";"&amp;'CASE DATA'!$F270&amp;";",SMALL(IF(ISERROR(SEARCH(MID(";"&amp;'CASE DATA'!$F270&amp;";",ROW($1:$99),1),";")),"",ROW($1:$99)+1),COLUMN(B270)),SMALL(IF(ISERROR(SEARCH(MID(";"&amp;'CASE DATA'!$F270&amp;";",ROW($1:$99),1),";")),"",ROW($1:$99)),COLUMN(B269)+1)-SMALL(IF(ISERROR(SEARCH(MID(";"&amp;'CASE DATA'!$F270&amp;";",ROW($1:$99),1),";")),"",ROW($1:$99)),COLUMN(B269))-1)</f>
        <v/>
      </c>
      <c r="Z270" s="75" t="str" cm="1">
        <f t="array" ref="Z270">MID(";"&amp;'CASE DATA'!$F270&amp;";",SMALL(IF(ISERROR(SEARCH(MID(";"&amp;'CASE DATA'!$F270&amp;";",ROW($1:$99),1),";")),"",ROW($1:$99)+1),COLUMN(C270)),SMALL(IF(ISERROR(SEARCH(MID(";"&amp;'CASE DATA'!$F270&amp;";",ROW($1:$99),1),";")),"",ROW($1:$99)),COLUMN(C269)+1)-SMALL(IF(ISERROR(SEARCH(MID(";"&amp;'CASE DATA'!$F270&amp;";",ROW($1:$99),1),";")),"",ROW($1:$99)),COLUMN(C269))-1)</f>
        <v/>
      </c>
      <c r="AA270" s="75" t="str" cm="1">
        <f t="array" ref="AA270">MID(";"&amp;'CASE DATA'!$F270&amp;";",SMALL(IF(ISERROR(SEARCH(MID(";"&amp;'CASE DATA'!$F270&amp;";",ROW($1:$99),1),";")),"",ROW($1:$99)+1),COLUMN(D270)),SMALL(IF(ISERROR(SEARCH(MID(";"&amp;'CASE DATA'!$F270&amp;";",ROW($1:$99),1),";")),"",ROW($1:$99)),COLUMN(D269)+1)-SMALL(IF(ISERROR(SEARCH(MID(";"&amp;'CASE DATA'!$F270&amp;";",ROW($1:$99),1),";")),"",ROW($1:$99)),COLUMN(D269))-1)</f>
        <v/>
      </c>
      <c r="AB270" s="75" t="str" cm="1">
        <f t="array" ref="AB270">MID(";"&amp;'CASE DATA'!$F270&amp;";",SMALL(IF(ISERROR(SEARCH(MID(";"&amp;'CASE DATA'!$F270&amp;";",ROW($1:$99),1),";")),"",ROW($1:$99)+1),COLUMN(E270)),SMALL(IF(ISERROR(SEARCH(MID(";"&amp;'CASE DATA'!$F270&amp;";",ROW($1:$99),1),";")),"",ROW($1:$99)),COLUMN(E269)+1)-SMALL(IF(ISERROR(SEARCH(MID(";"&amp;'CASE DATA'!$F270&amp;";",ROW($1:$99),1),";")),"",ROW($1:$99)),COLUMN(E269))-1)</f>
        <v/>
      </c>
      <c r="AC270" s="75" t="str" cm="1">
        <f t="array" ref="AC270">MID(";"&amp;'CASE DATA'!$F270&amp;";",SMALL(IF(ISERROR(SEARCH(MID(";"&amp;'CASE DATA'!$F270&amp;";",ROW($1:$99),1),";")),"",ROW($1:$99)+1),COLUMN(F270)),SMALL(IF(ISERROR(SEARCH(MID(";"&amp;'CASE DATA'!$F270&amp;";",ROW($1:$99),1),";")),"",ROW($1:$99)),COLUMN(F269)+1)-SMALL(IF(ISERROR(SEARCH(MID(";"&amp;'CASE DATA'!$F270&amp;";",ROW($1:$99),1),";")),"",ROW($1:$99)),COLUMN(F269))-1)</f>
        <v/>
      </c>
      <c r="AD270" s="75" t="str" cm="1">
        <f t="array" ref="AD270">MID(";"&amp;'CASE DATA'!$F270&amp;";",SMALL(IF(ISERROR(SEARCH(MID(";"&amp;'CASE DATA'!$F270&amp;";",ROW($1:$99),1),";")),"",ROW($1:$99)+1),COLUMN(G270)),SMALL(IF(ISERROR(SEARCH(MID(";"&amp;'CASE DATA'!$F270&amp;";",ROW($1:$99),1),";")),"",ROW($1:$99)),COLUMN(G269)+1)-SMALL(IF(ISERROR(SEARCH(MID(";"&amp;'CASE DATA'!$F270&amp;";",ROW($1:$99),1),";")),"",ROW($1:$99)),COLUMN(G269))-1)</f>
        <v/>
      </c>
      <c r="AE270" s="75" t="str" cm="1">
        <f t="array" ref="AE270">MID(";"&amp;'CASE DATA'!$F270&amp;";",SMALL(IF(ISERROR(SEARCH(MID(";"&amp;'CASE DATA'!$F270&amp;";",ROW($1:$99),1),";")),"",ROW($1:$99)+1),COLUMN(H270)),SMALL(IF(ISERROR(SEARCH(MID(";"&amp;'CASE DATA'!$F270&amp;";",ROW($1:$99),1),";")),"",ROW($1:$99)),COLUMN(H269)+1)-SMALL(IF(ISERROR(SEARCH(MID(";"&amp;'CASE DATA'!$F270&amp;";",ROW($1:$99),1),";")),"",ROW($1:$99)),COLUMN(H269))-1)</f>
        <v/>
      </c>
      <c r="AF270" s="75" t="str" cm="1">
        <f t="array" ref="AF270">MID(";"&amp;'CASE DATA'!$F270&amp;";",SMALL(IF(ISERROR(SEARCH(MID(";"&amp;'CASE DATA'!$F270&amp;";",ROW($1:$99),1),";")),"",ROW($1:$99)+1),COLUMN(I270)),SMALL(IF(ISERROR(SEARCH(MID(";"&amp;'CASE DATA'!$F270&amp;";",ROW($1:$99),1),";")),"",ROW($1:$99)),COLUMN(I269)+1)-SMALL(IF(ISERROR(SEARCH(MID(";"&amp;'CASE DATA'!$F270&amp;";",ROW($1:$99),1),";")),"",ROW($1:$99)),COLUMN(I269))-1)</f>
        <v/>
      </c>
      <c r="AG270" s="75" t="str" cm="1">
        <f t="array" ref="AG270">MID(";"&amp;'CASE DATA'!$F270&amp;";",SMALL(IF(ISERROR(SEARCH(MID(";"&amp;'CASE DATA'!$F270&amp;";",ROW($1:$99),1),";")),"",ROW($1:$99)+1),COLUMN(K270)),SMALL(IF(ISERROR(SEARCH(MID(";"&amp;'CASE DATA'!$F270&amp;";",ROW($1:$99),1),";")),"",ROW($1:$99)),COLUMN(K269)+1)-SMALL(IF(ISERROR(SEARCH(MID(";"&amp;'CASE DATA'!$F270&amp;";",ROW($1:$99),1),";")),"",ROW($1:$99)),COLUMN(K269))-1)</f>
        <v/>
      </c>
      <c r="AH270" s="75" t="str" cm="1">
        <f t="array" ref="AH270">MID(";"&amp;'CASE DATA'!$F270&amp;";",SMALL(IF(ISERROR(SEARCH(MID(";"&amp;'CASE DATA'!$F270&amp;";",ROW($1:$99),1),";")),"",ROW($1:$99)+1),COLUMN(L270)),SMALL(IF(ISERROR(SEARCH(MID(";"&amp;'CASE DATA'!$F270&amp;";",ROW($1:$99),1),";")),"",ROW($1:$99)),COLUMN(L269)+1)-SMALL(IF(ISERROR(SEARCH(MID(";"&amp;'CASE DATA'!$F270&amp;";",ROW($1:$99),1),";")),"",ROW($1:$99)),COLUMN(L269))-1)</f>
        <v/>
      </c>
      <c r="AI270" s="75" t="str" cm="1">
        <f t="array" ref="AI270">MID(";"&amp;'CASE DATA'!$F270&amp;";",SMALL(IF(ISERROR(SEARCH(MID(";"&amp;'CASE DATA'!$F270&amp;";",ROW($1:$99),1),";")),"",ROW($1:$99)+1),COLUMN(M270)),SMALL(IF(ISERROR(SEARCH(MID(";"&amp;'CASE DATA'!$F270&amp;";",ROW($1:$99),1),";")),"",ROW($1:$99)),COLUMN(M269)+1)-SMALL(IF(ISERROR(SEARCH(MID(";"&amp;'CASE DATA'!$F270&amp;";",ROW($1:$99),1),";")),"",ROW($1:$99)),COLUMN(M269))-1)</f>
        <v/>
      </c>
      <c r="BO270" s="99"/>
      <c r="BP270" s="99"/>
      <c r="BQ270" s="99"/>
      <c r="BR270" s="99"/>
      <c r="BS270" s="99"/>
      <c r="BT270" s="99"/>
      <c r="BU270" s="99"/>
      <c r="BV270" s="99"/>
      <c r="BW270" s="99"/>
      <c r="BX270" s="99"/>
      <c r="BY270" s="99"/>
      <c r="BZ270" s="99"/>
      <c r="CA270" s="99"/>
      <c r="CB270" s="99"/>
      <c r="CC270" s="99"/>
      <c r="CD270" s="99"/>
      <c r="CE270" s="99"/>
      <c r="CF270" s="99"/>
      <c r="CG270" s="99"/>
      <c r="CH270" s="99"/>
      <c r="CI270" s="99"/>
      <c r="CJ270" s="99"/>
      <c r="CK270" s="99"/>
      <c r="CL270" s="99"/>
      <c r="CM270" s="99"/>
      <c r="CN270" s="99"/>
      <c r="CO270" s="99"/>
      <c r="CP270" s="99"/>
      <c r="CQ270" s="99"/>
      <c r="CR270" s="99"/>
      <c r="CS270" s="99"/>
      <c r="CT270" s="99"/>
      <c r="CU270" s="99"/>
      <c r="CV270" s="99"/>
      <c r="CW270" s="99"/>
      <c r="CX270" s="99"/>
      <c r="CY270" s="99"/>
      <c r="CZ270" s="99"/>
      <c r="DA270" s="99"/>
      <c r="DB270" s="99"/>
      <c r="DC270" s="99"/>
      <c r="DD270" s="99"/>
      <c r="DE270" s="99"/>
      <c r="DF270" s="99"/>
      <c r="DG270" s="99"/>
      <c r="DH270" s="99"/>
      <c r="DI270" s="99"/>
      <c r="DJ270" s="99"/>
      <c r="DK270" s="99"/>
      <c r="DL270" s="99"/>
      <c r="DM270" s="99"/>
      <c r="DN270" s="99"/>
      <c r="DO270" s="99"/>
      <c r="DP270" s="99"/>
      <c r="DQ270" s="99"/>
      <c r="DR270" s="99"/>
      <c r="DS270" s="99"/>
      <c r="DT270" s="99"/>
      <c r="DU270" s="99"/>
      <c r="DV270" s="99"/>
      <c r="DW270" s="99"/>
      <c r="DX270" s="99"/>
      <c r="DY270" s="99"/>
      <c r="DZ270" s="99"/>
      <c r="EA270" s="99"/>
      <c r="EB270" s="99"/>
      <c r="EC270" s="99"/>
      <c r="ED270" s="99"/>
      <c r="EE270" s="99"/>
      <c r="EF270" s="99"/>
      <c r="EG270" s="99"/>
      <c r="EH270" s="99"/>
      <c r="EI270" s="99"/>
      <c r="EJ270" s="99"/>
      <c r="EK270" s="99"/>
      <c r="EL270" s="99"/>
      <c r="EM270" s="99"/>
      <c r="EN270" s="99"/>
      <c r="EO270" s="99"/>
      <c r="EP270" s="99"/>
      <c r="EQ270" s="99"/>
      <c r="ER270" s="99"/>
      <c r="ES270" s="99"/>
      <c r="ET270" s="99"/>
      <c r="EU270" s="99"/>
      <c r="EV270" s="99"/>
      <c r="EW270" s="99"/>
      <c r="EX270" s="99"/>
      <c r="EY270" s="99"/>
      <c r="EZ270" s="99"/>
      <c r="FA270" s="99"/>
      <c r="FB270" s="99"/>
      <c r="FC270" s="99"/>
      <c r="FD270" s="99"/>
      <c r="FE270" s="99"/>
      <c r="FF270" s="99"/>
      <c r="FG270" s="99"/>
      <c r="FH270" s="99"/>
      <c r="FI270" s="99"/>
      <c r="FJ270" s="99"/>
      <c r="FK270" s="99"/>
    </row>
    <row r="271" spans="3:167" x14ac:dyDescent="0.25">
      <c r="C271" s="10"/>
      <c r="D271" s="10"/>
      <c r="J271" s="99">
        <v>268</v>
      </c>
      <c r="K271" s="16"/>
      <c r="L271" s="16"/>
      <c r="M271" s="16"/>
      <c r="N271" s="16"/>
      <c r="O271" s="16"/>
      <c r="P271" s="16"/>
      <c r="Q271" s="16"/>
      <c r="R271" s="16"/>
      <c r="S271" s="16"/>
      <c r="T271" s="16"/>
      <c r="U271" s="14">
        <f>SUM(K271:T271)</f>
        <v>0</v>
      </c>
      <c r="V271" s="14"/>
      <c r="X271" s="75" t="str" cm="1">
        <f t="array" ref="X271">MID(";"&amp;'CASE DATA'!$F271&amp;";",SMALL(IF(ISERROR(SEARCH(MID(";"&amp;'CASE DATA'!$F271&amp;";",ROW($1:$99),1),";")),"",ROW($1:$99)+1),COLUMN(A271)),SMALL(IF(ISERROR(SEARCH(MID(";"&amp;'CASE DATA'!$F271&amp;";",ROW($1:$99),1),";")),"",ROW($1:$99)),COLUMN(A270)+1)-SMALL(IF(ISERROR(SEARCH(MID(";"&amp;'CASE DATA'!$F271&amp;";",ROW($1:$99),1),";")),"",ROW($1:$99)),COLUMN(A270))-1)</f>
        <v/>
      </c>
      <c r="Y271" s="75" t="str" cm="1">
        <f t="array" ref="Y271">MID(";"&amp;'CASE DATA'!$F271&amp;";",SMALL(IF(ISERROR(SEARCH(MID(";"&amp;'CASE DATA'!$F271&amp;";",ROW($1:$99),1),";")),"",ROW($1:$99)+1),COLUMN(B271)),SMALL(IF(ISERROR(SEARCH(MID(";"&amp;'CASE DATA'!$F271&amp;";",ROW($1:$99),1),";")),"",ROW($1:$99)),COLUMN(B270)+1)-SMALL(IF(ISERROR(SEARCH(MID(";"&amp;'CASE DATA'!$F271&amp;";",ROW($1:$99),1),";")),"",ROW($1:$99)),COLUMN(B270))-1)</f>
        <v/>
      </c>
      <c r="Z271" s="75" t="str" cm="1">
        <f t="array" ref="Z271">MID(";"&amp;'CASE DATA'!$F271&amp;";",SMALL(IF(ISERROR(SEARCH(MID(";"&amp;'CASE DATA'!$F271&amp;";",ROW($1:$99),1),";")),"",ROW($1:$99)+1),COLUMN(C271)),SMALL(IF(ISERROR(SEARCH(MID(";"&amp;'CASE DATA'!$F271&amp;";",ROW($1:$99),1),";")),"",ROW($1:$99)),COLUMN(C270)+1)-SMALL(IF(ISERROR(SEARCH(MID(";"&amp;'CASE DATA'!$F271&amp;";",ROW($1:$99),1),";")),"",ROW($1:$99)),COLUMN(C270))-1)</f>
        <v/>
      </c>
      <c r="AA271" s="75" t="str" cm="1">
        <f t="array" ref="AA271">MID(";"&amp;'CASE DATA'!$F271&amp;";",SMALL(IF(ISERROR(SEARCH(MID(";"&amp;'CASE DATA'!$F271&amp;";",ROW($1:$99),1),";")),"",ROW($1:$99)+1),COLUMN(D271)),SMALL(IF(ISERROR(SEARCH(MID(";"&amp;'CASE DATA'!$F271&amp;";",ROW($1:$99),1),";")),"",ROW($1:$99)),COLUMN(D270)+1)-SMALL(IF(ISERROR(SEARCH(MID(";"&amp;'CASE DATA'!$F271&amp;";",ROW($1:$99),1),";")),"",ROW($1:$99)),COLUMN(D270))-1)</f>
        <v/>
      </c>
      <c r="AB271" s="75" t="str" cm="1">
        <f t="array" ref="AB271">MID(";"&amp;'CASE DATA'!$F271&amp;";",SMALL(IF(ISERROR(SEARCH(MID(";"&amp;'CASE DATA'!$F271&amp;";",ROW($1:$99),1),";")),"",ROW($1:$99)+1),COLUMN(E271)),SMALL(IF(ISERROR(SEARCH(MID(";"&amp;'CASE DATA'!$F271&amp;";",ROW($1:$99),1),";")),"",ROW($1:$99)),COLUMN(E270)+1)-SMALL(IF(ISERROR(SEARCH(MID(";"&amp;'CASE DATA'!$F271&amp;";",ROW($1:$99),1),";")),"",ROW($1:$99)),COLUMN(E270))-1)</f>
        <v/>
      </c>
      <c r="AC271" s="75" t="str" cm="1">
        <f t="array" ref="AC271">MID(";"&amp;'CASE DATA'!$F271&amp;";",SMALL(IF(ISERROR(SEARCH(MID(";"&amp;'CASE DATA'!$F271&amp;";",ROW($1:$99),1),";")),"",ROW($1:$99)+1),COLUMN(F271)),SMALL(IF(ISERROR(SEARCH(MID(";"&amp;'CASE DATA'!$F271&amp;";",ROW($1:$99),1),";")),"",ROW($1:$99)),COLUMN(F270)+1)-SMALL(IF(ISERROR(SEARCH(MID(";"&amp;'CASE DATA'!$F271&amp;";",ROW($1:$99),1),";")),"",ROW($1:$99)),COLUMN(F270))-1)</f>
        <v/>
      </c>
      <c r="AD271" s="75" t="str" cm="1">
        <f t="array" ref="AD271">MID(";"&amp;'CASE DATA'!$F271&amp;";",SMALL(IF(ISERROR(SEARCH(MID(";"&amp;'CASE DATA'!$F271&amp;";",ROW($1:$99),1),";")),"",ROW($1:$99)+1),COLUMN(G271)),SMALL(IF(ISERROR(SEARCH(MID(";"&amp;'CASE DATA'!$F271&amp;";",ROW($1:$99),1),";")),"",ROW($1:$99)),COLUMN(G270)+1)-SMALL(IF(ISERROR(SEARCH(MID(";"&amp;'CASE DATA'!$F271&amp;";",ROW($1:$99),1),";")),"",ROW($1:$99)),COLUMN(G270))-1)</f>
        <v/>
      </c>
      <c r="AE271" s="75" t="str" cm="1">
        <f t="array" ref="AE271">MID(";"&amp;'CASE DATA'!$F271&amp;";",SMALL(IF(ISERROR(SEARCH(MID(";"&amp;'CASE DATA'!$F271&amp;";",ROW($1:$99),1),";")),"",ROW($1:$99)+1),COLUMN(H271)),SMALL(IF(ISERROR(SEARCH(MID(";"&amp;'CASE DATA'!$F271&amp;";",ROW($1:$99),1),";")),"",ROW($1:$99)),COLUMN(H270)+1)-SMALL(IF(ISERROR(SEARCH(MID(";"&amp;'CASE DATA'!$F271&amp;";",ROW($1:$99),1),";")),"",ROW($1:$99)),COLUMN(H270))-1)</f>
        <v/>
      </c>
      <c r="AF271" s="75" t="str" cm="1">
        <f t="array" ref="AF271">MID(";"&amp;'CASE DATA'!$F271&amp;";",SMALL(IF(ISERROR(SEARCH(MID(";"&amp;'CASE DATA'!$F271&amp;";",ROW($1:$99),1),";")),"",ROW($1:$99)+1),COLUMN(I271)),SMALL(IF(ISERROR(SEARCH(MID(";"&amp;'CASE DATA'!$F271&amp;";",ROW($1:$99),1),";")),"",ROW($1:$99)),COLUMN(I270)+1)-SMALL(IF(ISERROR(SEARCH(MID(";"&amp;'CASE DATA'!$F271&amp;";",ROW($1:$99),1),";")),"",ROW($1:$99)),COLUMN(I270))-1)</f>
        <v/>
      </c>
      <c r="AG271" s="75" t="str" cm="1">
        <f t="array" ref="AG271">MID(";"&amp;'CASE DATA'!$F271&amp;";",SMALL(IF(ISERROR(SEARCH(MID(";"&amp;'CASE DATA'!$F271&amp;";",ROW($1:$99),1),";")),"",ROW($1:$99)+1),COLUMN(K271)),SMALL(IF(ISERROR(SEARCH(MID(";"&amp;'CASE DATA'!$F271&amp;";",ROW($1:$99),1),";")),"",ROW($1:$99)),COLUMN(K270)+1)-SMALL(IF(ISERROR(SEARCH(MID(";"&amp;'CASE DATA'!$F271&amp;";",ROW($1:$99),1),";")),"",ROW($1:$99)),COLUMN(K270))-1)</f>
        <v/>
      </c>
      <c r="AH271" s="75" t="str" cm="1">
        <f t="array" ref="AH271">MID(";"&amp;'CASE DATA'!$F271&amp;";",SMALL(IF(ISERROR(SEARCH(MID(";"&amp;'CASE DATA'!$F271&amp;";",ROW($1:$99),1),";")),"",ROW($1:$99)+1),COLUMN(L271)),SMALL(IF(ISERROR(SEARCH(MID(";"&amp;'CASE DATA'!$F271&amp;";",ROW($1:$99),1),";")),"",ROW($1:$99)),COLUMN(L270)+1)-SMALL(IF(ISERROR(SEARCH(MID(";"&amp;'CASE DATA'!$F271&amp;";",ROW($1:$99),1),";")),"",ROW($1:$99)),COLUMN(L270))-1)</f>
        <v/>
      </c>
      <c r="AI271" s="75" t="str" cm="1">
        <f t="array" ref="AI271">MID(";"&amp;'CASE DATA'!$F271&amp;";",SMALL(IF(ISERROR(SEARCH(MID(";"&amp;'CASE DATA'!$F271&amp;";",ROW($1:$99),1),";")),"",ROW($1:$99)+1),COLUMN(M271)),SMALL(IF(ISERROR(SEARCH(MID(";"&amp;'CASE DATA'!$F271&amp;";",ROW($1:$99),1),";")),"",ROW($1:$99)),COLUMN(M270)+1)-SMALL(IF(ISERROR(SEARCH(MID(";"&amp;'CASE DATA'!$F271&amp;";",ROW($1:$99),1),";")),"",ROW($1:$99)),COLUMN(M270))-1)</f>
        <v/>
      </c>
      <c r="BO271" s="99"/>
      <c r="BP271" s="99"/>
      <c r="BQ271" s="99"/>
      <c r="BR271" s="99"/>
      <c r="BS271" s="99"/>
      <c r="BT271" s="99"/>
      <c r="BU271" s="99"/>
      <c r="BV271" s="99"/>
      <c r="BW271" s="99"/>
      <c r="BX271" s="99"/>
      <c r="BY271" s="99"/>
      <c r="BZ271" s="99"/>
      <c r="CA271" s="99"/>
      <c r="CB271" s="99"/>
      <c r="CC271" s="99"/>
      <c r="CD271" s="99"/>
      <c r="CE271" s="99"/>
      <c r="CF271" s="99"/>
      <c r="CG271" s="99"/>
      <c r="CH271" s="99"/>
      <c r="CI271" s="99"/>
      <c r="CJ271" s="99"/>
      <c r="CK271" s="99"/>
      <c r="CL271" s="99"/>
      <c r="CM271" s="99"/>
      <c r="CN271" s="99"/>
      <c r="CO271" s="99"/>
      <c r="CP271" s="99"/>
      <c r="CQ271" s="99"/>
      <c r="CR271" s="99"/>
      <c r="CS271" s="99"/>
      <c r="CT271" s="99"/>
      <c r="CU271" s="99"/>
      <c r="CV271" s="99"/>
      <c r="CW271" s="99"/>
      <c r="CX271" s="99"/>
      <c r="CY271" s="99"/>
      <c r="CZ271" s="99"/>
      <c r="DA271" s="99"/>
      <c r="DB271" s="99"/>
      <c r="DC271" s="99"/>
      <c r="DD271" s="99"/>
      <c r="DE271" s="99"/>
      <c r="DF271" s="99"/>
      <c r="DG271" s="99"/>
      <c r="DH271" s="99"/>
      <c r="DI271" s="99"/>
      <c r="DJ271" s="99"/>
      <c r="DK271" s="99"/>
      <c r="DL271" s="99"/>
      <c r="DM271" s="99"/>
      <c r="DN271" s="99"/>
      <c r="DO271" s="99"/>
      <c r="DP271" s="99"/>
      <c r="DQ271" s="99"/>
      <c r="DR271" s="99"/>
      <c r="DS271" s="99"/>
      <c r="DT271" s="99"/>
      <c r="DU271" s="99"/>
      <c r="DV271" s="99"/>
      <c r="DW271" s="99"/>
      <c r="DX271" s="99"/>
      <c r="DY271" s="99"/>
      <c r="DZ271" s="99"/>
      <c r="EA271" s="99"/>
      <c r="EB271" s="99"/>
      <c r="EC271" s="99"/>
      <c r="ED271" s="99"/>
      <c r="EE271" s="99"/>
      <c r="EF271" s="99"/>
      <c r="EG271" s="99"/>
      <c r="EH271" s="99"/>
      <c r="EI271" s="99"/>
      <c r="EJ271" s="99"/>
      <c r="EK271" s="99"/>
      <c r="EL271" s="99"/>
      <c r="EM271" s="99"/>
      <c r="EN271" s="99"/>
      <c r="EO271" s="99"/>
      <c r="EP271" s="99"/>
      <c r="EQ271" s="99"/>
      <c r="ER271" s="99"/>
      <c r="ES271" s="99"/>
      <c r="ET271" s="99"/>
      <c r="EU271" s="99"/>
      <c r="EV271" s="99"/>
      <c r="EW271" s="99"/>
      <c r="EX271" s="99"/>
      <c r="EY271" s="99"/>
      <c r="EZ271" s="99"/>
      <c r="FA271" s="99"/>
      <c r="FB271" s="99"/>
      <c r="FC271" s="99"/>
      <c r="FD271" s="99"/>
      <c r="FE271" s="99"/>
      <c r="FF271" s="99"/>
      <c r="FG271" s="99"/>
      <c r="FH271" s="99"/>
      <c r="FI271" s="99"/>
      <c r="FJ271" s="99"/>
      <c r="FK271" s="99"/>
    </row>
    <row r="272" spans="3:167" x14ac:dyDescent="0.25">
      <c r="C272" s="10"/>
      <c r="D272" s="10"/>
      <c r="J272" s="99">
        <v>269</v>
      </c>
      <c r="K272" s="16"/>
      <c r="L272" s="16"/>
      <c r="M272" s="16"/>
      <c r="N272" s="16"/>
      <c r="O272" s="16"/>
      <c r="P272" s="16"/>
      <c r="Q272" s="16"/>
      <c r="R272" s="16"/>
      <c r="S272" s="16"/>
      <c r="T272" s="16"/>
      <c r="U272" s="14">
        <f>SUM(K272:T272)</f>
        <v>0</v>
      </c>
      <c r="V272" s="14"/>
      <c r="X272" s="75" t="str" cm="1">
        <f t="array" ref="X272">MID(";"&amp;'CASE DATA'!$F272&amp;";",SMALL(IF(ISERROR(SEARCH(MID(";"&amp;'CASE DATA'!$F272&amp;";",ROW($1:$99),1),";")),"",ROW($1:$99)+1),COLUMN(A272)),SMALL(IF(ISERROR(SEARCH(MID(";"&amp;'CASE DATA'!$F272&amp;";",ROW($1:$99),1),";")),"",ROW($1:$99)),COLUMN(A271)+1)-SMALL(IF(ISERROR(SEARCH(MID(";"&amp;'CASE DATA'!$F272&amp;";",ROW($1:$99),1),";")),"",ROW($1:$99)),COLUMN(A271))-1)</f>
        <v/>
      </c>
      <c r="Y272" s="75" t="str" cm="1">
        <f t="array" ref="Y272">MID(";"&amp;'CASE DATA'!$F272&amp;";",SMALL(IF(ISERROR(SEARCH(MID(";"&amp;'CASE DATA'!$F272&amp;";",ROW($1:$99),1),";")),"",ROW($1:$99)+1),COLUMN(B272)),SMALL(IF(ISERROR(SEARCH(MID(";"&amp;'CASE DATA'!$F272&amp;";",ROW($1:$99),1),";")),"",ROW($1:$99)),COLUMN(B271)+1)-SMALL(IF(ISERROR(SEARCH(MID(";"&amp;'CASE DATA'!$F272&amp;";",ROW($1:$99),1),";")),"",ROW($1:$99)),COLUMN(B271))-1)</f>
        <v/>
      </c>
      <c r="Z272" s="75" t="str" cm="1">
        <f t="array" ref="Z272">MID(";"&amp;'CASE DATA'!$F272&amp;";",SMALL(IF(ISERROR(SEARCH(MID(";"&amp;'CASE DATA'!$F272&amp;";",ROW($1:$99),1),";")),"",ROW($1:$99)+1),COLUMN(C272)),SMALL(IF(ISERROR(SEARCH(MID(";"&amp;'CASE DATA'!$F272&amp;";",ROW($1:$99),1),";")),"",ROW($1:$99)),COLUMN(C271)+1)-SMALL(IF(ISERROR(SEARCH(MID(";"&amp;'CASE DATA'!$F272&amp;";",ROW($1:$99),1),";")),"",ROW($1:$99)),COLUMN(C271))-1)</f>
        <v/>
      </c>
      <c r="AA272" s="75" t="str" cm="1">
        <f t="array" ref="AA272">MID(";"&amp;'CASE DATA'!$F272&amp;";",SMALL(IF(ISERROR(SEARCH(MID(";"&amp;'CASE DATA'!$F272&amp;";",ROW($1:$99),1),";")),"",ROW($1:$99)+1),COLUMN(D272)),SMALL(IF(ISERROR(SEARCH(MID(";"&amp;'CASE DATA'!$F272&amp;";",ROW($1:$99),1),";")),"",ROW($1:$99)),COLUMN(D271)+1)-SMALL(IF(ISERROR(SEARCH(MID(";"&amp;'CASE DATA'!$F272&amp;";",ROW($1:$99),1),";")),"",ROW($1:$99)),COLUMN(D271))-1)</f>
        <v/>
      </c>
      <c r="AB272" s="75" t="str" cm="1">
        <f t="array" ref="AB272">MID(";"&amp;'CASE DATA'!$F272&amp;";",SMALL(IF(ISERROR(SEARCH(MID(";"&amp;'CASE DATA'!$F272&amp;";",ROW($1:$99),1),";")),"",ROW($1:$99)+1),COLUMN(E272)),SMALL(IF(ISERROR(SEARCH(MID(";"&amp;'CASE DATA'!$F272&amp;";",ROW($1:$99),1),";")),"",ROW($1:$99)),COLUMN(E271)+1)-SMALL(IF(ISERROR(SEARCH(MID(";"&amp;'CASE DATA'!$F272&amp;";",ROW($1:$99),1),";")),"",ROW($1:$99)),COLUMN(E271))-1)</f>
        <v/>
      </c>
      <c r="AC272" s="75" t="str" cm="1">
        <f t="array" ref="AC272">MID(";"&amp;'CASE DATA'!$F272&amp;";",SMALL(IF(ISERROR(SEARCH(MID(";"&amp;'CASE DATA'!$F272&amp;";",ROW($1:$99),1),";")),"",ROW($1:$99)+1),COLUMN(F272)),SMALL(IF(ISERROR(SEARCH(MID(";"&amp;'CASE DATA'!$F272&amp;";",ROW($1:$99),1),";")),"",ROW($1:$99)),COLUMN(F271)+1)-SMALL(IF(ISERROR(SEARCH(MID(";"&amp;'CASE DATA'!$F272&amp;";",ROW($1:$99),1),";")),"",ROW($1:$99)),COLUMN(F271))-1)</f>
        <v/>
      </c>
      <c r="AD272" s="75" t="str" cm="1">
        <f t="array" ref="AD272">MID(";"&amp;'CASE DATA'!$F272&amp;";",SMALL(IF(ISERROR(SEARCH(MID(";"&amp;'CASE DATA'!$F272&amp;";",ROW($1:$99),1),";")),"",ROW($1:$99)+1),COLUMN(G272)),SMALL(IF(ISERROR(SEARCH(MID(";"&amp;'CASE DATA'!$F272&amp;";",ROW($1:$99),1),";")),"",ROW($1:$99)),COLUMN(G271)+1)-SMALL(IF(ISERROR(SEARCH(MID(";"&amp;'CASE DATA'!$F272&amp;";",ROW($1:$99),1),";")),"",ROW($1:$99)),COLUMN(G271))-1)</f>
        <v/>
      </c>
      <c r="AE272" s="75" t="str" cm="1">
        <f t="array" ref="AE272">MID(";"&amp;'CASE DATA'!$F272&amp;";",SMALL(IF(ISERROR(SEARCH(MID(";"&amp;'CASE DATA'!$F272&amp;";",ROW($1:$99),1),";")),"",ROW($1:$99)+1),COLUMN(H272)),SMALL(IF(ISERROR(SEARCH(MID(";"&amp;'CASE DATA'!$F272&amp;";",ROW($1:$99),1),";")),"",ROW($1:$99)),COLUMN(H271)+1)-SMALL(IF(ISERROR(SEARCH(MID(";"&amp;'CASE DATA'!$F272&amp;";",ROW($1:$99),1),";")),"",ROW($1:$99)),COLUMN(H271))-1)</f>
        <v/>
      </c>
      <c r="AF272" s="75" t="str" cm="1">
        <f t="array" ref="AF272">MID(";"&amp;'CASE DATA'!$F272&amp;";",SMALL(IF(ISERROR(SEARCH(MID(";"&amp;'CASE DATA'!$F272&amp;";",ROW($1:$99),1),";")),"",ROW($1:$99)+1),COLUMN(I272)),SMALL(IF(ISERROR(SEARCH(MID(";"&amp;'CASE DATA'!$F272&amp;";",ROW($1:$99),1),";")),"",ROW($1:$99)),COLUMN(I271)+1)-SMALL(IF(ISERROR(SEARCH(MID(";"&amp;'CASE DATA'!$F272&amp;";",ROW($1:$99),1),";")),"",ROW($1:$99)),COLUMN(I271))-1)</f>
        <v/>
      </c>
      <c r="AG272" s="75" t="str" cm="1">
        <f t="array" ref="AG272">MID(";"&amp;'CASE DATA'!$F272&amp;";",SMALL(IF(ISERROR(SEARCH(MID(";"&amp;'CASE DATA'!$F272&amp;";",ROW($1:$99),1),";")),"",ROW($1:$99)+1),COLUMN(K272)),SMALL(IF(ISERROR(SEARCH(MID(";"&amp;'CASE DATA'!$F272&amp;";",ROW($1:$99),1),";")),"",ROW($1:$99)),COLUMN(K271)+1)-SMALL(IF(ISERROR(SEARCH(MID(";"&amp;'CASE DATA'!$F272&amp;";",ROW($1:$99),1),";")),"",ROW($1:$99)),COLUMN(K271))-1)</f>
        <v/>
      </c>
      <c r="AH272" s="75" t="str" cm="1">
        <f t="array" ref="AH272">MID(";"&amp;'CASE DATA'!$F272&amp;";",SMALL(IF(ISERROR(SEARCH(MID(";"&amp;'CASE DATA'!$F272&amp;";",ROW($1:$99),1),";")),"",ROW($1:$99)+1),COLUMN(L272)),SMALL(IF(ISERROR(SEARCH(MID(";"&amp;'CASE DATA'!$F272&amp;";",ROW($1:$99),1),";")),"",ROW($1:$99)),COLUMN(L271)+1)-SMALL(IF(ISERROR(SEARCH(MID(";"&amp;'CASE DATA'!$F272&amp;";",ROW($1:$99),1),";")),"",ROW($1:$99)),COLUMN(L271))-1)</f>
        <v/>
      </c>
      <c r="AI272" s="75" t="str" cm="1">
        <f t="array" ref="AI272">MID(";"&amp;'CASE DATA'!$F272&amp;";",SMALL(IF(ISERROR(SEARCH(MID(";"&amp;'CASE DATA'!$F272&amp;";",ROW($1:$99),1),";")),"",ROW($1:$99)+1),COLUMN(M272)),SMALL(IF(ISERROR(SEARCH(MID(";"&amp;'CASE DATA'!$F272&amp;";",ROW($1:$99),1),";")),"",ROW($1:$99)),COLUMN(M271)+1)-SMALL(IF(ISERROR(SEARCH(MID(";"&amp;'CASE DATA'!$F272&amp;";",ROW($1:$99),1),";")),"",ROW($1:$99)),COLUMN(M271))-1)</f>
        <v/>
      </c>
      <c r="BO272" s="99"/>
      <c r="BP272" s="99"/>
      <c r="BQ272" s="99"/>
      <c r="BR272" s="99"/>
      <c r="BS272" s="99"/>
      <c r="BT272" s="99"/>
      <c r="BU272" s="99"/>
      <c r="BV272" s="99"/>
      <c r="BW272" s="99"/>
      <c r="BX272" s="99"/>
      <c r="BY272" s="99"/>
      <c r="BZ272" s="99"/>
      <c r="CA272" s="99"/>
      <c r="CB272" s="99"/>
      <c r="CC272" s="99"/>
      <c r="CD272" s="99"/>
      <c r="CE272" s="99"/>
      <c r="CF272" s="99"/>
      <c r="CG272" s="99"/>
      <c r="CH272" s="99"/>
      <c r="CI272" s="99"/>
      <c r="CJ272" s="99"/>
      <c r="CK272" s="99"/>
      <c r="CL272" s="99"/>
      <c r="CM272" s="99"/>
      <c r="CN272" s="99"/>
      <c r="CO272" s="99"/>
      <c r="CP272" s="99"/>
      <c r="CQ272" s="99"/>
      <c r="CR272" s="99"/>
      <c r="CS272" s="99"/>
      <c r="CT272" s="99"/>
      <c r="CU272" s="99"/>
      <c r="CV272" s="99"/>
      <c r="CW272" s="99"/>
      <c r="CX272" s="99"/>
      <c r="CY272" s="99"/>
      <c r="CZ272" s="99"/>
      <c r="DA272" s="99"/>
      <c r="DB272" s="99"/>
      <c r="DC272" s="99"/>
      <c r="DD272" s="99"/>
      <c r="DE272" s="99"/>
      <c r="DF272" s="99"/>
      <c r="DG272" s="99"/>
      <c r="DH272" s="99"/>
      <c r="DI272" s="99"/>
      <c r="DJ272" s="99"/>
      <c r="DK272" s="99"/>
      <c r="DL272" s="99"/>
      <c r="DM272" s="99"/>
      <c r="DN272" s="99"/>
      <c r="DO272" s="99"/>
      <c r="DP272" s="99"/>
      <c r="DQ272" s="99"/>
      <c r="DR272" s="99"/>
      <c r="DS272" s="99"/>
      <c r="DT272" s="99"/>
      <c r="DU272" s="99"/>
      <c r="DV272" s="99"/>
      <c r="DW272" s="99"/>
      <c r="DX272" s="99"/>
      <c r="DY272" s="99"/>
      <c r="DZ272" s="99"/>
      <c r="EA272" s="99"/>
      <c r="EB272" s="99"/>
      <c r="EC272" s="99"/>
      <c r="ED272" s="99"/>
      <c r="EE272" s="99"/>
      <c r="EF272" s="99"/>
      <c r="EG272" s="99"/>
      <c r="EH272" s="99"/>
      <c r="EI272" s="99"/>
      <c r="EJ272" s="99"/>
      <c r="EK272" s="99"/>
      <c r="EL272" s="99"/>
      <c r="EM272" s="99"/>
      <c r="EN272" s="99"/>
      <c r="EO272" s="99"/>
      <c r="EP272" s="99"/>
      <c r="EQ272" s="99"/>
      <c r="ER272" s="99"/>
      <c r="ES272" s="99"/>
      <c r="ET272" s="99"/>
      <c r="EU272" s="99"/>
      <c r="EV272" s="99"/>
      <c r="EW272" s="99"/>
      <c r="EX272" s="99"/>
      <c r="EY272" s="99"/>
      <c r="EZ272" s="99"/>
      <c r="FA272" s="99"/>
      <c r="FB272" s="99"/>
      <c r="FC272" s="99"/>
      <c r="FD272" s="99"/>
      <c r="FE272" s="99"/>
      <c r="FF272" s="99"/>
      <c r="FG272" s="99"/>
      <c r="FH272" s="99"/>
      <c r="FI272" s="99"/>
      <c r="FJ272" s="99"/>
      <c r="FK272" s="99"/>
    </row>
    <row r="273" spans="3:167" x14ac:dyDescent="0.25">
      <c r="C273" s="10"/>
      <c r="D273" s="10"/>
      <c r="J273" s="99">
        <v>270</v>
      </c>
      <c r="K273" s="16"/>
      <c r="L273" s="16"/>
      <c r="M273" s="16"/>
      <c r="N273" s="16"/>
      <c r="O273" s="16"/>
      <c r="P273" s="16"/>
      <c r="Q273" s="16"/>
      <c r="R273" s="16"/>
      <c r="S273" s="16"/>
      <c r="T273" s="16"/>
      <c r="U273" s="14">
        <f>SUM(K273:T273)</f>
        <v>0</v>
      </c>
      <c r="V273" s="14"/>
      <c r="X273" s="75" t="str" cm="1">
        <f t="array" ref="X273">MID(";"&amp;'CASE DATA'!$F273&amp;";",SMALL(IF(ISERROR(SEARCH(MID(";"&amp;'CASE DATA'!$F273&amp;";",ROW($1:$99),1),";")),"",ROW($1:$99)+1),COLUMN(A273)),SMALL(IF(ISERROR(SEARCH(MID(";"&amp;'CASE DATA'!$F273&amp;";",ROW($1:$99),1),";")),"",ROW($1:$99)),COLUMN(A272)+1)-SMALL(IF(ISERROR(SEARCH(MID(";"&amp;'CASE DATA'!$F273&amp;";",ROW($1:$99),1),";")),"",ROW($1:$99)),COLUMN(A272))-1)</f>
        <v/>
      </c>
      <c r="Y273" s="75" t="str" cm="1">
        <f t="array" ref="Y273">MID(";"&amp;'CASE DATA'!$F273&amp;";",SMALL(IF(ISERROR(SEARCH(MID(";"&amp;'CASE DATA'!$F273&amp;";",ROW($1:$99),1),";")),"",ROW($1:$99)+1),COLUMN(B273)),SMALL(IF(ISERROR(SEARCH(MID(";"&amp;'CASE DATA'!$F273&amp;";",ROW($1:$99),1),";")),"",ROW($1:$99)),COLUMN(B272)+1)-SMALL(IF(ISERROR(SEARCH(MID(";"&amp;'CASE DATA'!$F273&amp;";",ROW($1:$99),1),";")),"",ROW($1:$99)),COLUMN(B272))-1)</f>
        <v/>
      </c>
      <c r="Z273" s="75" t="str" cm="1">
        <f t="array" ref="Z273">MID(";"&amp;'CASE DATA'!$F273&amp;";",SMALL(IF(ISERROR(SEARCH(MID(";"&amp;'CASE DATA'!$F273&amp;";",ROW($1:$99),1),";")),"",ROW($1:$99)+1),COLUMN(C273)),SMALL(IF(ISERROR(SEARCH(MID(";"&amp;'CASE DATA'!$F273&amp;";",ROW($1:$99),1),";")),"",ROW($1:$99)),COLUMN(C272)+1)-SMALL(IF(ISERROR(SEARCH(MID(";"&amp;'CASE DATA'!$F273&amp;";",ROW($1:$99),1),";")),"",ROW($1:$99)),COLUMN(C272))-1)</f>
        <v/>
      </c>
      <c r="AA273" s="75" t="str" cm="1">
        <f t="array" ref="AA273">MID(";"&amp;'CASE DATA'!$F273&amp;";",SMALL(IF(ISERROR(SEARCH(MID(";"&amp;'CASE DATA'!$F273&amp;";",ROW($1:$99),1),";")),"",ROW($1:$99)+1),COLUMN(D273)),SMALL(IF(ISERROR(SEARCH(MID(";"&amp;'CASE DATA'!$F273&amp;";",ROW($1:$99),1),";")),"",ROW($1:$99)),COLUMN(D272)+1)-SMALL(IF(ISERROR(SEARCH(MID(";"&amp;'CASE DATA'!$F273&amp;";",ROW($1:$99),1),";")),"",ROW($1:$99)),COLUMN(D272))-1)</f>
        <v/>
      </c>
      <c r="AB273" s="75" t="str" cm="1">
        <f t="array" ref="AB273">MID(";"&amp;'CASE DATA'!$F273&amp;";",SMALL(IF(ISERROR(SEARCH(MID(";"&amp;'CASE DATA'!$F273&amp;";",ROW($1:$99),1),";")),"",ROW($1:$99)+1),COLUMN(E273)),SMALL(IF(ISERROR(SEARCH(MID(";"&amp;'CASE DATA'!$F273&amp;";",ROW($1:$99),1),";")),"",ROW($1:$99)),COLUMN(E272)+1)-SMALL(IF(ISERROR(SEARCH(MID(";"&amp;'CASE DATA'!$F273&amp;";",ROW($1:$99),1),";")),"",ROW($1:$99)),COLUMN(E272))-1)</f>
        <v/>
      </c>
      <c r="AC273" s="75" t="str" cm="1">
        <f t="array" ref="AC273">MID(";"&amp;'CASE DATA'!$F273&amp;";",SMALL(IF(ISERROR(SEARCH(MID(";"&amp;'CASE DATA'!$F273&amp;";",ROW($1:$99),1),";")),"",ROW($1:$99)+1),COLUMN(F273)),SMALL(IF(ISERROR(SEARCH(MID(";"&amp;'CASE DATA'!$F273&amp;";",ROW($1:$99),1),";")),"",ROW($1:$99)),COLUMN(F272)+1)-SMALL(IF(ISERROR(SEARCH(MID(";"&amp;'CASE DATA'!$F273&amp;";",ROW($1:$99),1),";")),"",ROW($1:$99)),COLUMN(F272))-1)</f>
        <v/>
      </c>
      <c r="AD273" s="75" t="str" cm="1">
        <f t="array" ref="AD273">MID(";"&amp;'CASE DATA'!$F273&amp;";",SMALL(IF(ISERROR(SEARCH(MID(";"&amp;'CASE DATA'!$F273&amp;";",ROW($1:$99),1),";")),"",ROW($1:$99)+1),COLUMN(G273)),SMALL(IF(ISERROR(SEARCH(MID(";"&amp;'CASE DATA'!$F273&amp;";",ROW($1:$99),1),";")),"",ROW($1:$99)),COLUMN(G272)+1)-SMALL(IF(ISERROR(SEARCH(MID(";"&amp;'CASE DATA'!$F273&amp;";",ROW($1:$99),1),";")),"",ROW($1:$99)),COLUMN(G272))-1)</f>
        <v/>
      </c>
      <c r="AE273" s="75" t="str" cm="1">
        <f t="array" ref="AE273">MID(";"&amp;'CASE DATA'!$F273&amp;";",SMALL(IF(ISERROR(SEARCH(MID(";"&amp;'CASE DATA'!$F273&amp;";",ROW($1:$99),1),";")),"",ROW($1:$99)+1),COLUMN(H273)),SMALL(IF(ISERROR(SEARCH(MID(";"&amp;'CASE DATA'!$F273&amp;";",ROW($1:$99),1),";")),"",ROW($1:$99)),COLUMN(H272)+1)-SMALL(IF(ISERROR(SEARCH(MID(";"&amp;'CASE DATA'!$F273&amp;";",ROW($1:$99),1),";")),"",ROW($1:$99)),COLUMN(H272))-1)</f>
        <v/>
      </c>
      <c r="AF273" s="75" t="str" cm="1">
        <f t="array" ref="AF273">MID(";"&amp;'CASE DATA'!$F273&amp;";",SMALL(IF(ISERROR(SEARCH(MID(";"&amp;'CASE DATA'!$F273&amp;";",ROW($1:$99),1),";")),"",ROW($1:$99)+1),COLUMN(I273)),SMALL(IF(ISERROR(SEARCH(MID(";"&amp;'CASE DATA'!$F273&amp;";",ROW($1:$99),1),";")),"",ROW($1:$99)),COLUMN(I272)+1)-SMALL(IF(ISERROR(SEARCH(MID(";"&amp;'CASE DATA'!$F273&amp;";",ROW($1:$99),1),";")),"",ROW($1:$99)),COLUMN(I272))-1)</f>
        <v/>
      </c>
      <c r="AG273" s="75" t="str" cm="1">
        <f t="array" ref="AG273">MID(";"&amp;'CASE DATA'!$F273&amp;";",SMALL(IF(ISERROR(SEARCH(MID(";"&amp;'CASE DATA'!$F273&amp;";",ROW($1:$99),1),";")),"",ROW($1:$99)+1),COLUMN(K273)),SMALL(IF(ISERROR(SEARCH(MID(";"&amp;'CASE DATA'!$F273&amp;";",ROW($1:$99),1),";")),"",ROW($1:$99)),COLUMN(K272)+1)-SMALL(IF(ISERROR(SEARCH(MID(";"&amp;'CASE DATA'!$F273&amp;";",ROW($1:$99),1),";")),"",ROW($1:$99)),COLUMN(K272))-1)</f>
        <v/>
      </c>
      <c r="AH273" s="75" t="str" cm="1">
        <f t="array" ref="AH273">MID(";"&amp;'CASE DATA'!$F273&amp;";",SMALL(IF(ISERROR(SEARCH(MID(";"&amp;'CASE DATA'!$F273&amp;";",ROW($1:$99),1),";")),"",ROW($1:$99)+1),COLUMN(L273)),SMALL(IF(ISERROR(SEARCH(MID(";"&amp;'CASE DATA'!$F273&amp;";",ROW($1:$99),1),";")),"",ROW($1:$99)),COLUMN(L272)+1)-SMALL(IF(ISERROR(SEARCH(MID(";"&amp;'CASE DATA'!$F273&amp;";",ROW($1:$99),1),";")),"",ROW($1:$99)),COLUMN(L272))-1)</f>
        <v/>
      </c>
      <c r="AI273" s="75" t="str" cm="1">
        <f t="array" ref="AI273">MID(";"&amp;'CASE DATA'!$F273&amp;";",SMALL(IF(ISERROR(SEARCH(MID(";"&amp;'CASE DATA'!$F273&amp;";",ROW($1:$99),1),";")),"",ROW($1:$99)+1),COLUMN(M273)),SMALL(IF(ISERROR(SEARCH(MID(";"&amp;'CASE DATA'!$F273&amp;";",ROW($1:$99),1),";")),"",ROW($1:$99)),COLUMN(M272)+1)-SMALL(IF(ISERROR(SEARCH(MID(";"&amp;'CASE DATA'!$F273&amp;";",ROW($1:$99),1),";")),"",ROW($1:$99)),COLUMN(M272))-1)</f>
        <v/>
      </c>
      <c r="BO273" s="99"/>
      <c r="BP273" s="99"/>
      <c r="BQ273" s="99"/>
      <c r="BR273" s="99"/>
      <c r="BS273" s="99"/>
      <c r="BT273" s="99"/>
      <c r="BU273" s="99"/>
      <c r="BV273" s="99"/>
      <c r="BW273" s="99"/>
      <c r="BX273" s="99"/>
      <c r="BY273" s="99"/>
      <c r="BZ273" s="99"/>
      <c r="CA273" s="99"/>
      <c r="CB273" s="99"/>
      <c r="CC273" s="99"/>
      <c r="CD273" s="99"/>
      <c r="CE273" s="99"/>
      <c r="CF273" s="99"/>
      <c r="CG273" s="99"/>
      <c r="CH273" s="99"/>
      <c r="CI273" s="99"/>
      <c r="CJ273" s="99"/>
      <c r="CK273" s="99"/>
      <c r="CL273" s="99"/>
      <c r="CM273" s="99"/>
      <c r="CN273" s="99"/>
      <c r="CO273" s="99"/>
      <c r="CP273" s="99"/>
      <c r="CQ273" s="99"/>
      <c r="CR273" s="99"/>
      <c r="CS273" s="99"/>
      <c r="CT273" s="99"/>
      <c r="CU273" s="99"/>
      <c r="CV273" s="99"/>
      <c r="CW273" s="99"/>
      <c r="CX273" s="99"/>
      <c r="CY273" s="99"/>
      <c r="CZ273" s="99"/>
      <c r="DA273" s="99"/>
      <c r="DB273" s="99"/>
      <c r="DC273" s="99"/>
      <c r="DD273" s="99"/>
      <c r="DE273" s="99"/>
      <c r="DF273" s="99"/>
      <c r="DG273" s="99"/>
      <c r="DH273" s="99"/>
      <c r="DI273" s="99"/>
      <c r="DJ273" s="99"/>
      <c r="DK273" s="99"/>
      <c r="DL273" s="99"/>
      <c r="DM273" s="99"/>
      <c r="DN273" s="99"/>
      <c r="DO273" s="99"/>
      <c r="DP273" s="99"/>
      <c r="DQ273" s="99"/>
      <c r="DR273" s="99"/>
      <c r="DS273" s="99"/>
      <c r="DT273" s="99"/>
      <c r="DU273" s="99"/>
      <c r="DV273" s="99"/>
      <c r="DW273" s="99"/>
      <c r="DX273" s="99"/>
      <c r="DY273" s="99"/>
      <c r="DZ273" s="99"/>
      <c r="EA273" s="99"/>
      <c r="EB273" s="99"/>
      <c r="EC273" s="99"/>
      <c r="ED273" s="99"/>
      <c r="EE273" s="99"/>
      <c r="EF273" s="99"/>
      <c r="EG273" s="99"/>
      <c r="EH273" s="99"/>
      <c r="EI273" s="99"/>
      <c r="EJ273" s="99"/>
      <c r="EK273" s="99"/>
      <c r="EL273" s="99"/>
      <c r="EM273" s="99"/>
      <c r="EN273" s="99"/>
      <c r="EO273" s="99"/>
      <c r="EP273" s="99"/>
      <c r="EQ273" s="99"/>
      <c r="ER273" s="99"/>
      <c r="ES273" s="99"/>
      <c r="ET273" s="99"/>
      <c r="EU273" s="99"/>
      <c r="EV273" s="99"/>
      <c r="EW273" s="99"/>
      <c r="EX273" s="99"/>
      <c r="EY273" s="99"/>
      <c r="EZ273" s="99"/>
      <c r="FA273" s="99"/>
      <c r="FB273" s="99"/>
      <c r="FC273" s="99"/>
      <c r="FD273" s="99"/>
      <c r="FE273" s="99"/>
      <c r="FF273" s="99"/>
      <c r="FG273" s="99"/>
      <c r="FH273" s="99"/>
      <c r="FI273" s="99"/>
      <c r="FJ273" s="99"/>
      <c r="FK273" s="99"/>
    </row>
    <row r="274" spans="3:167" x14ac:dyDescent="0.25">
      <c r="C274" s="10"/>
      <c r="D274" s="10"/>
      <c r="J274" s="99">
        <v>271</v>
      </c>
      <c r="K274" s="16"/>
      <c r="L274" s="16"/>
      <c r="M274" s="16"/>
      <c r="N274" s="16"/>
      <c r="O274" s="16"/>
      <c r="P274" s="16"/>
      <c r="Q274" s="16"/>
      <c r="R274" s="16"/>
      <c r="S274" s="16"/>
      <c r="T274" s="16"/>
      <c r="U274" s="14">
        <f>SUM(K274:T274)</f>
        <v>0</v>
      </c>
      <c r="V274" s="14"/>
      <c r="X274" s="75" t="str" cm="1">
        <f t="array" ref="X274">MID(";"&amp;'CASE DATA'!$F274&amp;";",SMALL(IF(ISERROR(SEARCH(MID(";"&amp;'CASE DATA'!$F274&amp;";",ROW($1:$99),1),";")),"",ROW($1:$99)+1),COLUMN(A274)),SMALL(IF(ISERROR(SEARCH(MID(";"&amp;'CASE DATA'!$F274&amp;";",ROW($1:$99),1),";")),"",ROW($1:$99)),COLUMN(A273)+1)-SMALL(IF(ISERROR(SEARCH(MID(";"&amp;'CASE DATA'!$F274&amp;";",ROW($1:$99),1),";")),"",ROW($1:$99)),COLUMN(A273))-1)</f>
        <v/>
      </c>
      <c r="Y274" s="75" t="str" cm="1">
        <f t="array" ref="Y274">MID(";"&amp;'CASE DATA'!$F274&amp;";",SMALL(IF(ISERROR(SEARCH(MID(";"&amp;'CASE DATA'!$F274&amp;";",ROW($1:$99),1),";")),"",ROW($1:$99)+1),COLUMN(B274)),SMALL(IF(ISERROR(SEARCH(MID(";"&amp;'CASE DATA'!$F274&amp;";",ROW($1:$99),1),";")),"",ROW($1:$99)),COLUMN(B273)+1)-SMALL(IF(ISERROR(SEARCH(MID(";"&amp;'CASE DATA'!$F274&amp;";",ROW($1:$99),1),";")),"",ROW($1:$99)),COLUMN(B273))-1)</f>
        <v/>
      </c>
      <c r="Z274" s="75" t="str" cm="1">
        <f t="array" ref="Z274">MID(";"&amp;'CASE DATA'!$F274&amp;";",SMALL(IF(ISERROR(SEARCH(MID(";"&amp;'CASE DATA'!$F274&amp;";",ROW($1:$99),1),";")),"",ROW($1:$99)+1),COLUMN(C274)),SMALL(IF(ISERROR(SEARCH(MID(";"&amp;'CASE DATA'!$F274&amp;";",ROW($1:$99),1),";")),"",ROW($1:$99)),COLUMN(C273)+1)-SMALL(IF(ISERROR(SEARCH(MID(";"&amp;'CASE DATA'!$F274&amp;";",ROW($1:$99),1),";")),"",ROW($1:$99)),COLUMN(C273))-1)</f>
        <v/>
      </c>
      <c r="AA274" s="75" t="str" cm="1">
        <f t="array" ref="AA274">MID(";"&amp;'CASE DATA'!$F274&amp;";",SMALL(IF(ISERROR(SEARCH(MID(";"&amp;'CASE DATA'!$F274&amp;";",ROW($1:$99),1),";")),"",ROW($1:$99)+1),COLUMN(D274)),SMALL(IF(ISERROR(SEARCH(MID(";"&amp;'CASE DATA'!$F274&amp;";",ROW($1:$99),1),";")),"",ROW($1:$99)),COLUMN(D273)+1)-SMALL(IF(ISERROR(SEARCH(MID(";"&amp;'CASE DATA'!$F274&amp;";",ROW($1:$99),1),";")),"",ROW($1:$99)),COLUMN(D273))-1)</f>
        <v/>
      </c>
      <c r="AB274" s="75" t="str" cm="1">
        <f t="array" ref="AB274">MID(";"&amp;'CASE DATA'!$F274&amp;";",SMALL(IF(ISERROR(SEARCH(MID(";"&amp;'CASE DATA'!$F274&amp;";",ROW($1:$99),1),";")),"",ROW($1:$99)+1),COLUMN(E274)),SMALL(IF(ISERROR(SEARCH(MID(";"&amp;'CASE DATA'!$F274&amp;";",ROW($1:$99),1),";")),"",ROW($1:$99)),COLUMN(E273)+1)-SMALL(IF(ISERROR(SEARCH(MID(";"&amp;'CASE DATA'!$F274&amp;";",ROW($1:$99),1),";")),"",ROW($1:$99)),COLUMN(E273))-1)</f>
        <v/>
      </c>
      <c r="AC274" s="75" t="str" cm="1">
        <f t="array" ref="AC274">MID(";"&amp;'CASE DATA'!$F274&amp;";",SMALL(IF(ISERROR(SEARCH(MID(";"&amp;'CASE DATA'!$F274&amp;";",ROW($1:$99),1),";")),"",ROW($1:$99)+1),COLUMN(F274)),SMALL(IF(ISERROR(SEARCH(MID(";"&amp;'CASE DATA'!$F274&amp;";",ROW($1:$99),1),";")),"",ROW($1:$99)),COLUMN(F273)+1)-SMALL(IF(ISERROR(SEARCH(MID(";"&amp;'CASE DATA'!$F274&amp;";",ROW($1:$99),1),";")),"",ROW($1:$99)),COLUMN(F273))-1)</f>
        <v/>
      </c>
      <c r="AD274" s="75" t="str" cm="1">
        <f t="array" ref="AD274">MID(";"&amp;'CASE DATA'!$F274&amp;";",SMALL(IF(ISERROR(SEARCH(MID(";"&amp;'CASE DATA'!$F274&amp;";",ROW($1:$99),1),";")),"",ROW($1:$99)+1),COLUMN(G274)),SMALL(IF(ISERROR(SEARCH(MID(";"&amp;'CASE DATA'!$F274&amp;";",ROW($1:$99),1),";")),"",ROW($1:$99)),COLUMN(G273)+1)-SMALL(IF(ISERROR(SEARCH(MID(";"&amp;'CASE DATA'!$F274&amp;";",ROW($1:$99),1),";")),"",ROW($1:$99)),COLUMN(G273))-1)</f>
        <v/>
      </c>
      <c r="AE274" s="75" t="str" cm="1">
        <f t="array" ref="AE274">MID(";"&amp;'CASE DATA'!$F274&amp;";",SMALL(IF(ISERROR(SEARCH(MID(";"&amp;'CASE DATA'!$F274&amp;";",ROW($1:$99),1),";")),"",ROW($1:$99)+1),COLUMN(H274)),SMALL(IF(ISERROR(SEARCH(MID(";"&amp;'CASE DATA'!$F274&amp;";",ROW($1:$99),1),";")),"",ROW($1:$99)),COLUMN(H273)+1)-SMALL(IF(ISERROR(SEARCH(MID(";"&amp;'CASE DATA'!$F274&amp;";",ROW($1:$99),1),";")),"",ROW($1:$99)),COLUMN(H273))-1)</f>
        <v/>
      </c>
      <c r="AF274" s="75" t="str" cm="1">
        <f t="array" ref="AF274">MID(";"&amp;'CASE DATA'!$F274&amp;";",SMALL(IF(ISERROR(SEARCH(MID(";"&amp;'CASE DATA'!$F274&amp;";",ROW($1:$99),1),";")),"",ROW($1:$99)+1),COLUMN(I274)),SMALL(IF(ISERROR(SEARCH(MID(";"&amp;'CASE DATA'!$F274&amp;";",ROW($1:$99),1),";")),"",ROW($1:$99)),COLUMN(I273)+1)-SMALL(IF(ISERROR(SEARCH(MID(";"&amp;'CASE DATA'!$F274&amp;";",ROW($1:$99),1),";")),"",ROW($1:$99)),COLUMN(I273))-1)</f>
        <v/>
      </c>
      <c r="AG274" s="75" t="str" cm="1">
        <f t="array" ref="AG274">MID(";"&amp;'CASE DATA'!$F274&amp;";",SMALL(IF(ISERROR(SEARCH(MID(";"&amp;'CASE DATA'!$F274&amp;";",ROW($1:$99),1),";")),"",ROW($1:$99)+1),COLUMN(K274)),SMALL(IF(ISERROR(SEARCH(MID(";"&amp;'CASE DATA'!$F274&amp;";",ROW($1:$99),1),";")),"",ROW($1:$99)),COLUMN(K273)+1)-SMALL(IF(ISERROR(SEARCH(MID(";"&amp;'CASE DATA'!$F274&amp;";",ROW($1:$99),1),";")),"",ROW($1:$99)),COLUMN(K273))-1)</f>
        <v/>
      </c>
      <c r="AH274" s="75" t="str" cm="1">
        <f t="array" ref="AH274">MID(";"&amp;'CASE DATA'!$F274&amp;";",SMALL(IF(ISERROR(SEARCH(MID(";"&amp;'CASE DATA'!$F274&amp;";",ROW($1:$99),1),";")),"",ROW($1:$99)+1),COLUMN(L274)),SMALL(IF(ISERROR(SEARCH(MID(";"&amp;'CASE DATA'!$F274&amp;";",ROW($1:$99),1),";")),"",ROW($1:$99)),COLUMN(L273)+1)-SMALL(IF(ISERROR(SEARCH(MID(";"&amp;'CASE DATA'!$F274&amp;";",ROW($1:$99),1),";")),"",ROW($1:$99)),COLUMN(L273))-1)</f>
        <v/>
      </c>
      <c r="AI274" s="75" t="str" cm="1">
        <f t="array" ref="AI274">MID(";"&amp;'CASE DATA'!$F274&amp;";",SMALL(IF(ISERROR(SEARCH(MID(";"&amp;'CASE DATA'!$F274&amp;";",ROW($1:$99),1),";")),"",ROW($1:$99)+1),COLUMN(M274)),SMALL(IF(ISERROR(SEARCH(MID(";"&amp;'CASE DATA'!$F274&amp;";",ROW($1:$99),1),";")),"",ROW($1:$99)),COLUMN(M273)+1)-SMALL(IF(ISERROR(SEARCH(MID(";"&amp;'CASE DATA'!$F274&amp;";",ROW($1:$99),1),";")),"",ROW($1:$99)),COLUMN(M273))-1)</f>
        <v/>
      </c>
      <c r="BO274" s="99"/>
      <c r="BP274" s="99"/>
      <c r="BQ274" s="99"/>
      <c r="BR274" s="99"/>
      <c r="BS274" s="99"/>
      <c r="BT274" s="99"/>
      <c r="BU274" s="99"/>
      <c r="BV274" s="99"/>
      <c r="BW274" s="99"/>
      <c r="BX274" s="99"/>
      <c r="BY274" s="99"/>
      <c r="BZ274" s="99"/>
      <c r="CA274" s="99"/>
      <c r="CB274" s="99"/>
      <c r="CC274" s="99"/>
      <c r="CD274" s="99"/>
      <c r="CE274" s="99"/>
      <c r="CF274" s="99"/>
      <c r="CG274" s="99"/>
      <c r="CH274" s="99"/>
      <c r="CI274" s="99"/>
      <c r="CJ274" s="99"/>
      <c r="CK274" s="99"/>
      <c r="CL274" s="99"/>
      <c r="CM274" s="99"/>
      <c r="CN274" s="99"/>
      <c r="CO274" s="99"/>
      <c r="CP274" s="99"/>
      <c r="CQ274" s="99"/>
      <c r="CR274" s="99"/>
      <c r="CS274" s="99"/>
      <c r="CT274" s="99"/>
      <c r="CU274" s="99"/>
      <c r="CV274" s="99"/>
      <c r="CW274" s="99"/>
      <c r="CX274" s="99"/>
      <c r="CY274" s="99"/>
      <c r="CZ274" s="99"/>
      <c r="DA274" s="99"/>
      <c r="DB274" s="99"/>
      <c r="DC274" s="99"/>
      <c r="DD274" s="99"/>
      <c r="DE274" s="99"/>
      <c r="DF274" s="99"/>
      <c r="DG274" s="99"/>
      <c r="DH274" s="99"/>
      <c r="DI274" s="99"/>
      <c r="DJ274" s="99"/>
      <c r="DK274" s="99"/>
      <c r="DL274" s="99"/>
      <c r="DM274" s="99"/>
      <c r="DN274" s="99"/>
      <c r="DO274" s="99"/>
      <c r="DP274" s="99"/>
      <c r="DQ274" s="99"/>
      <c r="DR274" s="99"/>
      <c r="DS274" s="99"/>
      <c r="DT274" s="99"/>
      <c r="DU274" s="99"/>
      <c r="DV274" s="99"/>
      <c r="DW274" s="99"/>
      <c r="DX274" s="99"/>
      <c r="DY274" s="99"/>
      <c r="DZ274" s="99"/>
      <c r="EA274" s="99"/>
      <c r="EB274" s="99"/>
      <c r="EC274" s="99"/>
      <c r="ED274" s="99"/>
      <c r="EE274" s="99"/>
      <c r="EF274" s="99"/>
      <c r="EG274" s="99"/>
      <c r="EH274" s="99"/>
      <c r="EI274" s="99"/>
      <c r="EJ274" s="99"/>
      <c r="EK274" s="99"/>
      <c r="EL274" s="99"/>
      <c r="EM274" s="99"/>
      <c r="EN274" s="99"/>
      <c r="EO274" s="99"/>
      <c r="EP274" s="99"/>
      <c r="EQ274" s="99"/>
      <c r="ER274" s="99"/>
      <c r="ES274" s="99"/>
      <c r="ET274" s="99"/>
      <c r="EU274" s="99"/>
      <c r="EV274" s="99"/>
      <c r="EW274" s="99"/>
      <c r="EX274" s="99"/>
      <c r="EY274" s="99"/>
      <c r="EZ274" s="99"/>
      <c r="FA274" s="99"/>
      <c r="FB274" s="99"/>
      <c r="FC274" s="99"/>
      <c r="FD274" s="99"/>
      <c r="FE274" s="99"/>
      <c r="FF274" s="99"/>
      <c r="FG274" s="99"/>
      <c r="FH274" s="99"/>
      <c r="FI274" s="99"/>
      <c r="FJ274" s="99"/>
      <c r="FK274" s="99"/>
    </row>
    <row r="275" spans="3:167" x14ac:dyDescent="0.25">
      <c r="C275" s="10"/>
      <c r="D275" s="10"/>
      <c r="J275" s="99">
        <v>272</v>
      </c>
      <c r="K275" s="16"/>
      <c r="L275" s="16"/>
      <c r="M275" s="16"/>
      <c r="N275" s="16"/>
      <c r="O275" s="16"/>
      <c r="P275" s="16"/>
      <c r="Q275" s="16"/>
      <c r="R275" s="16"/>
      <c r="S275" s="16"/>
      <c r="T275" s="16"/>
      <c r="U275" s="14">
        <f>SUM(K275:T275)</f>
        <v>0</v>
      </c>
      <c r="V275" s="14"/>
      <c r="X275" s="75" t="str" cm="1">
        <f t="array" ref="X275">MID(";"&amp;'CASE DATA'!$F275&amp;";",SMALL(IF(ISERROR(SEARCH(MID(";"&amp;'CASE DATA'!$F275&amp;";",ROW($1:$99),1),";")),"",ROW($1:$99)+1),COLUMN(A275)),SMALL(IF(ISERROR(SEARCH(MID(";"&amp;'CASE DATA'!$F275&amp;";",ROW($1:$99),1),";")),"",ROW($1:$99)),COLUMN(A274)+1)-SMALL(IF(ISERROR(SEARCH(MID(";"&amp;'CASE DATA'!$F275&amp;";",ROW($1:$99),1),";")),"",ROW($1:$99)),COLUMN(A274))-1)</f>
        <v/>
      </c>
      <c r="Y275" s="75" t="str" cm="1">
        <f t="array" ref="Y275">MID(";"&amp;'CASE DATA'!$F275&amp;";",SMALL(IF(ISERROR(SEARCH(MID(";"&amp;'CASE DATA'!$F275&amp;";",ROW($1:$99),1),";")),"",ROW($1:$99)+1),COLUMN(B275)),SMALL(IF(ISERROR(SEARCH(MID(";"&amp;'CASE DATA'!$F275&amp;";",ROW($1:$99),1),";")),"",ROW($1:$99)),COLUMN(B274)+1)-SMALL(IF(ISERROR(SEARCH(MID(";"&amp;'CASE DATA'!$F275&amp;";",ROW($1:$99),1),";")),"",ROW($1:$99)),COLUMN(B274))-1)</f>
        <v/>
      </c>
      <c r="Z275" s="75" t="str" cm="1">
        <f t="array" ref="Z275">MID(";"&amp;'CASE DATA'!$F275&amp;";",SMALL(IF(ISERROR(SEARCH(MID(";"&amp;'CASE DATA'!$F275&amp;";",ROW($1:$99),1),";")),"",ROW($1:$99)+1),COLUMN(C275)),SMALL(IF(ISERROR(SEARCH(MID(";"&amp;'CASE DATA'!$F275&amp;";",ROW($1:$99),1),";")),"",ROW($1:$99)),COLUMN(C274)+1)-SMALL(IF(ISERROR(SEARCH(MID(";"&amp;'CASE DATA'!$F275&amp;";",ROW($1:$99),1),";")),"",ROW($1:$99)),COLUMN(C274))-1)</f>
        <v/>
      </c>
      <c r="AA275" s="75" t="str" cm="1">
        <f t="array" ref="AA275">MID(";"&amp;'CASE DATA'!$F275&amp;";",SMALL(IF(ISERROR(SEARCH(MID(";"&amp;'CASE DATA'!$F275&amp;";",ROW($1:$99),1),";")),"",ROW($1:$99)+1),COLUMN(D275)),SMALL(IF(ISERROR(SEARCH(MID(";"&amp;'CASE DATA'!$F275&amp;";",ROW($1:$99),1),";")),"",ROW($1:$99)),COLUMN(D274)+1)-SMALL(IF(ISERROR(SEARCH(MID(";"&amp;'CASE DATA'!$F275&amp;";",ROW($1:$99),1),";")),"",ROW($1:$99)),COLUMN(D274))-1)</f>
        <v/>
      </c>
      <c r="AB275" s="75" t="str" cm="1">
        <f t="array" ref="AB275">MID(";"&amp;'CASE DATA'!$F275&amp;";",SMALL(IF(ISERROR(SEARCH(MID(";"&amp;'CASE DATA'!$F275&amp;";",ROW($1:$99),1),";")),"",ROW($1:$99)+1),COLUMN(E275)),SMALL(IF(ISERROR(SEARCH(MID(";"&amp;'CASE DATA'!$F275&amp;";",ROW($1:$99),1),";")),"",ROW($1:$99)),COLUMN(E274)+1)-SMALL(IF(ISERROR(SEARCH(MID(";"&amp;'CASE DATA'!$F275&amp;";",ROW($1:$99),1),";")),"",ROW($1:$99)),COLUMN(E274))-1)</f>
        <v/>
      </c>
      <c r="AC275" s="75" t="str" cm="1">
        <f t="array" ref="AC275">MID(";"&amp;'CASE DATA'!$F275&amp;";",SMALL(IF(ISERROR(SEARCH(MID(";"&amp;'CASE DATA'!$F275&amp;";",ROW($1:$99),1),";")),"",ROW($1:$99)+1),COLUMN(F275)),SMALL(IF(ISERROR(SEARCH(MID(";"&amp;'CASE DATA'!$F275&amp;";",ROW($1:$99),1),";")),"",ROW($1:$99)),COLUMN(F274)+1)-SMALL(IF(ISERROR(SEARCH(MID(";"&amp;'CASE DATA'!$F275&amp;";",ROW($1:$99),1),";")),"",ROW($1:$99)),COLUMN(F274))-1)</f>
        <v/>
      </c>
      <c r="AD275" s="75" t="str" cm="1">
        <f t="array" ref="AD275">MID(";"&amp;'CASE DATA'!$F275&amp;";",SMALL(IF(ISERROR(SEARCH(MID(";"&amp;'CASE DATA'!$F275&amp;";",ROW($1:$99),1),";")),"",ROW($1:$99)+1),COLUMN(G275)),SMALL(IF(ISERROR(SEARCH(MID(";"&amp;'CASE DATA'!$F275&amp;";",ROW($1:$99),1),";")),"",ROW($1:$99)),COLUMN(G274)+1)-SMALL(IF(ISERROR(SEARCH(MID(";"&amp;'CASE DATA'!$F275&amp;";",ROW($1:$99),1),";")),"",ROW($1:$99)),COLUMN(G274))-1)</f>
        <v/>
      </c>
      <c r="AE275" s="75" t="str" cm="1">
        <f t="array" ref="AE275">MID(";"&amp;'CASE DATA'!$F275&amp;";",SMALL(IF(ISERROR(SEARCH(MID(";"&amp;'CASE DATA'!$F275&amp;";",ROW($1:$99),1),";")),"",ROW($1:$99)+1),COLUMN(H275)),SMALL(IF(ISERROR(SEARCH(MID(";"&amp;'CASE DATA'!$F275&amp;";",ROW($1:$99),1),";")),"",ROW($1:$99)),COLUMN(H274)+1)-SMALL(IF(ISERROR(SEARCH(MID(";"&amp;'CASE DATA'!$F275&amp;";",ROW($1:$99),1),";")),"",ROW($1:$99)),COLUMN(H274))-1)</f>
        <v/>
      </c>
      <c r="AF275" s="75" t="str" cm="1">
        <f t="array" ref="AF275">MID(";"&amp;'CASE DATA'!$F275&amp;";",SMALL(IF(ISERROR(SEARCH(MID(";"&amp;'CASE DATA'!$F275&amp;";",ROW($1:$99),1),";")),"",ROW($1:$99)+1),COLUMN(I275)),SMALL(IF(ISERROR(SEARCH(MID(";"&amp;'CASE DATA'!$F275&amp;";",ROW($1:$99),1),";")),"",ROW($1:$99)),COLUMN(I274)+1)-SMALL(IF(ISERROR(SEARCH(MID(";"&amp;'CASE DATA'!$F275&amp;";",ROW($1:$99),1),";")),"",ROW($1:$99)),COLUMN(I274))-1)</f>
        <v/>
      </c>
      <c r="AG275" s="75" t="str" cm="1">
        <f t="array" ref="AG275">MID(";"&amp;'CASE DATA'!$F275&amp;";",SMALL(IF(ISERROR(SEARCH(MID(";"&amp;'CASE DATA'!$F275&amp;";",ROW($1:$99),1),";")),"",ROW($1:$99)+1),COLUMN(K275)),SMALL(IF(ISERROR(SEARCH(MID(";"&amp;'CASE DATA'!$F275&amp;";",ROW($1:$99),1),";")),"",ROW($1:$99)),COLUMN(K274)+1)-SMALL(IF(ISERROR(SEARCH(MID(";"&amp;'CASE DATA'!$F275&amp;";",ROW($1:$99),1),";")),"",ROW($1:$99)),COLUMN(K274))-1)</f>
        <v/>
      </c>
      <c r="AH275" s="75" t="str" cm="1">
        <f t="array" ref="AH275">MID(";"&amp;'CASE DATA'!$F275&amp;";",SMALL(IF(ISERROR(SEARCH(MID(";"&amp;'CASE DATA'!$F275&amp;";",ROW($1:$99),1),";")),"",ROW($1:$99)+1),COLUMN(L275)),SMALL(IF(ISERROR(SEARCH(MID(";"&amp;'CASE DATA'!$F275&amp;";",ROW($1:$99),1),";")),"",ROW($1:$99)),COLUMN(L274)+1)-SMALL(IF(ISERROR(SEARCH(MID(";"&amp;'CASE DATA'!$F275&amp;";",ROW($1:$99),1),";")),"",ROW($1:$99)),COLUMN(L274))-1)</f>
        <v/>
      </c>
      <c r="AI275" s="75" t="str" cm="1">
        <f t="array" ref="AI275">MID(";"&amp;'CASE DATA'!$F275&amp;";",SMALL(IF(ISERROR(SEARCH(MID(";"&amp;'CASE DATA'!$F275&amp;";",ROW($1:$99),1),";")),"",ROW($1:$99)+1),COLUMN(M275)),SMALL(IF(ISERROR(SEARCH(MID(";"&amp;'CASE DATA'!$F275&amp;";",ROW($1:$99),1),";")),"",ROW($1:$99)),COLUMN(M274)+1)-SMALL(IF(ISERROR(SEARCH(MID(";"&amp;'CASE DATA'!$F275&amp;";",ROW($1:$99),1),";")),"",ROW($1:$99)),COLUMN(M274))-1)</f>
        <v/>
      </c>
      <c r="BO275" s="99"/>
      <c r="BP275" s="99"/>
      <c r="BQ275" s="99"/>
      <c r="BR275" s="99"/>
      <c r="BS275" s="99"/>
      <c r="BT275" s="99"/>
      <c r="BU275" s="99"/>
      <c r="BV275" s="99"/>
      <c r="BW275" s="99"/>
      <c r="BX275" s="99"/>
      <c r="BY275" s="99"/>
      <c r="BZ275" s="99"/>
      <c r="CA275" s="99"/>
      <c r="CB275" s="99"/>
      <c r="CC275" s="99"/>
      <c r="CD275" s="99"/>
      <c r="CE275" s="99"/>
      <c r="CF275" s="99"/>
      <c r="CG275" s="99"/>
      <c r="CH275" s="99"/>
      <c r="CI275" s="99"/>
      <c r="CJ275" s="99"/>
      <c r="CK275" s="99"/>
      <c r="CL275" s="99"/>
      <c r="CM275" s="99"/>
      <c r="CN275" s="99"/>
      <c r="CO275" s="99"/>
      <c r="CP275" s="99"/>
      <c r="CQ275" s="99"/>
      <c r="CR275" s="99"/>
      <c r="CS275" s="99"/>
      <c r="CT275" s="99"/>
      <c r="CU275" s="99"/>
      <c r="CV275" s="99"/>
      <c r="CW275" s="99"/>
      <c r="CX275" s="99"/>
      <c r="CY275" s="99"/>
      <c r="CZ275" s="99"/>
      <c r="DA275" s="99"/>
      <c r="DB275" s="99"/>
      <c r="DC275" s="99"/>
      <c r="DD275" s="99"/>
      <c r="DE275" s="99"/>
      <c r="DF275" s="99"/>
      <c r="DG275" s="99"/>
      <c r="DH275" s="99"/>
      <c r="DI275" s="99"/>
      <c r="DJ275" s="99"/>
      <c r="DK275" s="99"/>
      <c r="DL275" s="99"/>
      <c r="DM275" s="99"/>
      <c r="DN275" s="99"/>
      <c r="DO275" s="99"/>
      <c r="DP275" s="99"/>
      <c r="DQ275" s="99"/>
      <c r="DR275" s="99"/>
      <c r="DS275" s="99"/>
      <c r="DT275" s="99"/>
      <c r="DU275" s="99"/>
      <c r="DV275" s="99"/>
      <c r="DW275" s="99"/>
      <c r="DX275" s="99"/>
      <c r="DY275" s="99"/>
      <c r="DZ275" s="99"/>
      <c r="EA275" s="99"/>
      <c r="EB275" s="99"/>
      <c r="EC275" s="99"/>
      <c r="ED275" s="99"/>
      <c r="EE275" s="99"/>
      <c r="EF275" s="99"/>
      <c r="EG275" s="99"/>
      <c r="EH275" s="99"/>
      <c r="EI275" s="99"/>
      <c r="EJ275" s="99"/>
      <c r="EK275" s="99"/>
      <c r="EL275" s="99"/>
      <c r="EM275" s="99"/>
      <c r="EN275" s="99"/>
      <c r="EO275" s="99"/>
      <c r="EP275" s="99"/>
      <c r="EQ275" s="99"/>
      <c r="ER275" s="99"/>
      <c r="ES275" s="99"/>
      <c r="ET275" s="99"/>
      <c r="EU275" s="99"/>
      <c r="EV275" s="99"/>
      <c r="EW275" s="99"/>
      <c r="EX275" s="99"/>
      <c r="EY275" s="99"/>
      <c r="EZ275" s="99"/>
      <c r="FA275" s="99"/>
      <c r="FB275" s="99"/>
      <c r="FC275" s="99"/>
      <c r="FD275" s="99"/>
      <c r="FE275" s="99"/>
      <c r="FF275" s="99"/>
      <c r="FG275" s="99"/>
      <c r="FH275" s="99"/>
      <c r="FI275" s="99"/>
      <c r="FJ275" s="99"/>
      <c r="FK275" s="99"/>
    </row>
    <row r="276" spans="3:167" x14ac:dyDescent="0.25">
      <c r="C276" s="10"/>
      <c r="D276" s="10"/>
      <c r="J276" s="99">
        <v>273</v>
      </c>
      <c r="K276" s="16"/>
      <c r="L276" s="16"/>
      <c r="M276" s="16"/>
      <c r="N276" s="16"/>
      <c r="O276" s="16"/>
      <c r="P276" s="16"/>
      <c r="Q276" s="16"/>
      <c r="R276" s="16"/>
      <c r="S276" s="16"/>
      <c r="T276" s="16"/>
      <c r="U276" s="14">
        <f>SUM(K276:T276)</f>
        <v>0</v>
      </c>
      <c r="V276" s="14"/>
      <c r="X276" s="75" t="str" cm="1">
        <f t="array" ref="X276">MID(";"&amp;'CASE DATA'!$F276&amp;";",SMALL(IF(ISERROR(SEARCH(MID(";"&amp;'CASE DATA'!$F276&amp;";",ROW($1:$99),1),";")),"",ROW($1:$99)+1),COLUMN(A276)),SMALL(IF(ISERROR(SEARCH(MID(";"&amp;'CASE DATA'!$F276&amp;";",ROW($1:$99),1),";")),"",ROW($1:$99)),COLUMN(A275)+1)-SMALL(IF(ISERROR(SEARCH(MID(";"&amp;'CASE DATA'!$F276&amp;";",ROW($1:$99),1),";")),"",ROW($1:$99)),COLUMN(A275))-1)</f>
        <v/>
      </c>
      <c r="Y276" s="75" t="str" cm="1">
        <f t="array" ref="Y276">MID(";"&amp;'CASE DATA'!$F276&amp;";",SMALL(IF(ISERROR(SEARCH(MID(";"&amp;'CASE DATA'!$F276&amp;";",ROW($1:$99),1),";")),"",ROW($1:$99)+1),COLUMN(B276)),SMALL(IF(ISERROR(SEARCH(MID(";"&amp;'CASE DATA'!$F276&amp;";",ROW($1:$99),1),";")),"",ROW($1:$99)),COLUMN(B275)+1)-SMALL(IF(ISERROR(SEARCH(MID(";"&amp;'CASE DATA'!$F276&amp;";",ROW($1:$99),1),";")),"",ROW($1:$99)),COLUMN(B275))-1)</f>
        <v/>
      </c>
      <c r="Z276" s="75" t="str" cm="1">
        <f t="array" ref="Z276">MID(";"&amp;'CASE DATA'!$F276&amp;";",SMALL(IF(ISERROR(SEARCH(MID(";"&amp;'CASE DATA'!$F276&amp;";",ROW($1:$99),1),";")),"",ROW($1:$99)+1),COLUMN(C276)),SMALL(IF(ISERROR(SEARCH(MID(";"&amp;'CASE DATA'!$F276&amp;";",ROW($1:$99),1),";")),"",ROW($1:$99)),COLUMN(C275)+1)-SMALL(IF(ISERROR(SEARCH(MID(";"&amp;'CASE DATA'!$F276&amp;";",ROW($1:$99),1),";")),"",ROW($1:$99)),COLUMN(C275))-1)</f>
        <v/>
      </c>
      <c r="AA276" s="75" t="str" cm="1">
        <f t="array" ref="AA276">MID(";"&amp;'CASE DATA'!$F276&amp;";",SMALL(IF(ISERROR(SEARCH(MID(";"&amp;'CASE DATA'!$F276&amp;";",ROW($1:$99),1),";")),"",ROW($1:$99)+1),COLUMN(D276)),SMALL(IF(ISERROR(SEARCH(MID(";"&amp;'CASE DATA'!$F276&amp;";",ROW($1:$99),1),";")),"",ROW($1:$99)),COLUMN(D275)+1)-SMALL(IF(ISERROR(SEARCH(MID(";"&amp;'CASE DATA'!$F276&amp;";",ROW($1:$99),1),";")),"",ROW($1:$99)),COLUMN(D275))-1)</f>
        <v/>
      </c>
      <c r="AB276" s="75" t="str" cm="1">
        <f t="array" ref="AB276">MID(";"&amp;'CASE DATA'!$F276&amp;";",SMALL(IF(ISERROR(SEARCH(MID(";"&amp;'CASE DATA'!$F276&amp;";",ROW($1:$99),1),";")),"",ROW($1:$99)+1),COLUMN(E276)),SMALL(IF(ISERROR(SEARCH(MID(";"&amp;'CASE DATA'!$F276&amp;";",ROW($1:$99),1),";")),"",ROW($1:$99)),COLUMN(E275)+1)-SMALL(IF(ISERROR(SEARCH(MID(";"&amp;'CASE DATA'!$F276&amp;";",ROW($1:$99),1),";")),"",ROW($1:$99)),COLUMN(E275))-1)</f>
        <v/>
      </c>
      <c r="AC276" s="75" t="str" cm="1">
        <f t="array" ref="AC276">MID(";"&amp;'CASE DATA'!$F276&amp;";",SMALL(IF(ISERROR(SEARCH(MID(";"&amp;'CASE DATA'!$F276&amp;";",ROW($1:$99),1),";")),"",ROW($1:$99)+1),COLUMN(F276)),SMALL(IF(ISERROR(SEARCH(MID(";"&amp;'CASE DATA'!$F276&amp;";",ROW($1:$99),1),";")),"",ROW($1:$99)),COLUMN(F275)+1)-SMALL(IF(ISERROR(SEARCH(MID(";"&amp;'CASE DATA'!$F276&amp;";",ROW($1:$99),1),";")),"",ROW($1:$99)),COLUMN(F275))-1)</f>
        <v/>
      </c>
      <c r="AD276" s="75" t="str" cm="1">
        <f t="array" ref="AD276">MID(";"&amp;'CASE DATA'!$F276&amp;";",SMALL(IF(ISERROR(SEARCH(MID(";"&amp;'CASE DATA'!$F276&amp;";",ROW($1:$99),1),";")),"",ROW($1:$99)+1),COLUMN(G276)),SMALL(IF(ISERROR(SEARCH(MID(";"&amp;'CASE DATA'!$F276&amp;";",ROW($1:$99),1),";")),"",ROW($1:$99)),COLUMN(G275)+1)-SMALL(IF(ISERROR(SEARCH(MID(";"&amp;'CASE DATA'!$F276&amp;";",ROW($1:$99),1),";")),"",ROW($1:$99)),COLUMN(G275))-1)</f>
        <v/>
      </c>
      <c r="AE276" s="75" t="str" cm="1">
        <f t="array" ref="AE276">MID(";"&amp;'CASE DATA'!$F276&amp;";",SMALL(IF(ISERROR(SEARCH(MID(";"&amp;'CASE DATA'!$F276&amp;";",ROW($1:$99),1),";")),"",ROW($1:$99)+1),COLUMN(H276)),SMALL(IF(ISERROR(SEARCH(MID(";"&amp;'CASE DATA'!$F276&amp;";",ROW($1:$99),1),";")),"",ROW($1:$99)),COLUMN(H275)+1)-SMALL(IF(ISERROR(SEARCH(MID(";"&amp;'CASE DATA'!$F276&amp;";",ROW($1:$99),1),";")),"",ROW($1:$99)),COLUMN(H275))-1)</f>
        <v/>
      </c>
      <c r="AF276" s="75" t="str" cm="1">
        <f t="array" ref="AF276">MID(";"&amp;'CASE DATA'!$F276&amp;";",SMALL(IF(ISERROR(SEARCH(MID(";"&amp;'CASE DATA'!$F276&amp;";",ROW($1:$99),1),";")),"",ROW($1:$99)+1),COLUMN(I276)),SMALL(IF(ISERROR(SEARCH(MID(";"&amp;'CASE DATA'!$F276&amp;";",ROW($1:$99),1),";")),"",ROW($1:$99)),COLUMN(I275)+1)-SMALL(IF(ISERROR(SEARCH(MID(";"&amp;'CASE DATA'!$F276&amp;";",ROW($1:$99),1),";")),"",ROW($1:$99)),COLUMN(I275))-1)</f>
        <v/>
      </c>
      <c r="AG276" s="75" t="str" cm="1">
        <f t="array" ref="AG276">MID(";"&amp;'CASE DATA'!$F276&amp;";",SMALL(IF(ISERROR(SEARCH(MID(";"&amp;'CASE DATA'!$F276&amp;";",ROW($1:$99),1),";")),"",ROW($1:$99)+1),COLUMN(K276)),SMALL(IF(ISERROR(SEARCH(MID(";"&amp;'CASE DATA'!$F276&amp;";",ROW($1:$99),1),";")),"",ROW($1:$99)),COLUMN(K275)+1)-SMALL(IF(ISERROR(SEARCH(MID(";"&amp;'CASE DATA'!$F276&amp;";",ROW($1:$99),1),";")),"",ROW($1:$99)),COLUMN(K275))-1)</f>
        <v/>
      </c>
      <c r="AH276" s="75" t="str" cm="1">
        <f t="array" ref="AH276">MID(";"&amp;'CASE DATA'!$F276&amp;";",SMALL(IF(ISERROR(SEARCH(MID(";"&amp;'CASE DATA'!$F276&amp;";",ROW($1:$99),1),";")),"",ROW($1:$99)+1),COLUMN(L276)),SMALL(IF(ISERROR(SEARCH(MID(";"&amp;'CASE DATA'!$F276&amp;";",ROW($1:$99),1),";")),"",ROW($1:$99)),COLUMN(L275)+1)-SMALL(IF(ISERROR(SEARCH(MID(";"&amp;'CASE DATA'!$F276&amp;";",ROW($1:$99),1),";")),"",ROW($1:$99)),COLUMN(L275))-1)</f>
        <v/>
      </c>
      <c r="AI276" s="75" t="str" cm="1">
        <f t="array" ref="AI276">MID(";"&amp;'CASE DATA'!$F276&amp;";",SMALL(IF(ISERROR(SEARCH(MID(";"&amp;'CASE DATA'!$F276&amp;";",ROW($1:$99),1),";")),"",ROW($1:$99)+1),COLUMN(M276)),SMALL(IF(ISERROR(SEARCH(MID(";"&amp;'CASE DATA'!$F276&amp;";",ROW($1:$99),1),";")),"",ROW($1:$99)),COLUMN(M275)+1)-SMALL(IF(ISERROR(SEARCH(MID(";"&amp;'CASE DATA'!$F276&amp;";",ROW($1:$99),1),";")),"",ROW($1:$99)),COLUMN(M275))-1)</f>
        <v/>
      </c>
      <c r="BO276" s="99"/>
      <c r="BP276" s="99"/>
      <c r="BQ276" s="99"/>
      <c r="BR276" s="99"/>
      <c r="BS276" s="99"/>
      <c r="BT276" s="99"/>
      <c r="BU276" s="99"/>
      <c r="BV276" s="99"/>
      <c r="BW276" s="99"/>
      <c r="BX276" s="99"/>
      <c r="BY276" s="99"/>
      <c r="BZ276" s="99"/>
      <c r="CA276" s="99"/>
      <c r="CB276" s="99"/>
      <c r="CC276" s="99"/>
      <c r="CD276" s="99"/>
      <c r="CE276" s="99"/>
      <c r="CF276" s="99"/>
      <c r="CG276" s="99"/>
      <c r="CH276" s="99"/>
      <c r="CI276" s="99"/>
      <c r="CJ276" s="99"/>
      <c r="CK276" s="99"/>
      <c r="CL276" s="99"/>
      <c r="CM276" s="99"/>
      <c r="CN276" s="99"/>
      <c r="CO276" s="99"/>
      <c r="CP276" s="99"/>
      <c r="CQ276" s="99"/>
      <c r="CR276" s="99"/>
      <c r="CS276" s="99"/>
      <c r="CT276" s="99"/>
      <c r="CU276" s="99"/>
      <c r="CV276" s="99"/>
      <c r="CW276" s="99"/>
      <c r="CX276" s="99"/>
      <c r="CY276" s="99"/>
      <c r="CZ276" s="99"/>
      <c r="DA276" s="99"/>
      <c r="DB276" s="99"/>
      <c r="DC276" s="99"/>
      <c r="DD276" s="99"/>
      <c r="DE276" s="99"/>
      <c r="DF276" s="99"/>
      <c r="DG276" s="99"/>
      <c r="DH276" s="99"/>
      <c r="DI276" s="99"/>
      <c r="DJ276" s="99"/>
      <c r="DK276" s="99"/>
      <c r="DL276" s="99"/>
      <c r="DM276" s="99"/>
      <c r="DN276" s="99"/>
      <c r="DO276" s="99"/>
      <c r="DP276" s="99"/>
      <c r="DQ276" s="99"/>
      <c r="DR276" s="99"/>
      <c r="DS276" s="99"/>
      <c r="DT276" s="99"/>
      <c r="DU276" s="99"/>
      <c r="DV276" s="99"/>
      <c r="DW276" s="99"/>
      <c r="DX276" s="99"/>
      <c r="DY276" s="99"/>
      <c r="DZ276" s="99"/>
      <c r="EA276" s="99"/>
      <c r="EB276" s="99"/>
      <c r="EC276" s="99"/>
      <c r="ED276" s="99"/>
      <c r="EE276" s="99"/>
      <c r="EF276" s="99"/>
      <c r="EG276" s="99"/>
      <c r="EH276" s="99"/>
      <c r="EI276" s="99"/>
      <c r="EJ276" s="99"/>
      <c r="EK276" s="99"/>
      <c r="EL276" s="99"/>
      <c r="EM276" s="99"/>
      <c r="EN276" s="99"/>
      <c r="EO276" s="99"/>
      <c r="EP276" s="99"/>
      <c r="EQ276" s="99"/>
      <c r="ER276" s="99"/>
      <c r="ES276" s="99"/>
      <c r="ET276" s="99"/>
      <c r="EU276" s="99"/>
      <c r="EV276" s="99"/>
      <c r="EW276" s="99"/>
      <c r="EX276" s="99"/>
      <c r="EY276" s="99"/>
      <c r="EZ276" s="99"/>
      <c r="FA276" s="99"/>
      <c r="FB276" s="99"/>
      <c r="FC276" s="99"/>
      <c r="FD276" s="99"/>
      <c r="FE276" s="99"/>
      <c r="FF276" s="99"/>
      <c r="FG276" s="99"/>
      <c r="FH276" s="99"/>
      <c r="FI276" s="99"/>
      <c r="FJ276" s="99"/>
      <c r="FK276" s="99"/>
    </row>
    <row r="277" spans="3:167" x14ac:dyDescent="0.25">
      <c r="C277" s="10"/>
      <c r="D277" s="10"/>
      <c r="J277" s="99">
        <v>274</v>
      </c>
      <c r="K277" s="16"/>
      <c r="L277" s="16"/>
      <c r="M277" s="16"/>
      <c r="N277" s="16"/>
      <c r="O277" s="16"/>
      <c r="P277" s="16"/>
      <c r="Q277" s="16"/>
      <c r="R277" s="16"/>
      <c r="S277" s="16"/>
      <c r="T277" s="16"/>
      <c r="U277" s="14">
        <f>SUM(K277:T277)</f>
        <v>0</v>
      </c>
      <c r="V277" s="14"/>
      <c r="X277" s="75" t="str" cm="1">
        <f t="array" ref="X277">MID(";"&amp;'CASE DATA'!$F277&amp;";",SMALL(IF(ISERROR(SEARCH(MID(";"&amp;'CASE DATA'!$F277&amp;";",ROW($1:$99),1),";")),"",ROW($1:$99)+1),COLUMN(A277)),SMALL(IF(ISERROR(SEARCH(MID(";"&amp;'CASE DATA'!$F277&amp;";",ROW($1:$99),1),";")),"",ROW($1:$99)),COLUMN(A276)+1)-SMALL(IF(ISERROR(SEARCH(MID(";"&amp;'CASE DATA'!$F277&amp;";",ROW($1:$99),1),";")),"",ROW($1:$99)),COLUMN(A276))-1)</f>
        <v/>
      </c>
      <c r="Y277" s="75" t="str" cm="1">
        <f t="array" ref="Y277">MID(";"&amp;'CASE DATA'!$F277&amp;";",SMALL(IF(ISERROR(SEARCH(MID(";"&amp;'CASE DATA'!$F277&amp;";",ROW($1:$99),1),";")),"",ROW($1:$99)+1),COLUMN(B277)),SMALL(IF(ISERROR(SEARCH(MID(";"&amp;'CASE DATA'!$F277&amp;";",ROW($1:$99),1),";")),"",ROW($1:$99)),COLUMN(B276)+1)-SMALL(IF(ISERROR(SEARCH(MID(";"&amp;'CASE DATA'!$F277&amp;";",ROW($1:$99),1),";")),"",ROW($1:$99)),COLUMN(B276))-1)</f>
        <v/>
      </c>
      <c r="Z277" s="75" t="str" cm="1">
        <f t="array" ref="Z277">MID(";"&amp;'CASE DATA'!$F277&amp;";",SMALL(IF(ISERROR(SEARCH(MID(";"&amp;'CASE DATA'!$F277&amp;";",ROW($1:$99),1),";")),"",ROW($1:$99)+1),COLUMN(C277)),SMALL(IF(ISERROR(SEARCH(MID(";"&amp;'CASE DATA'!$F277&amp;";",ROW($1:$99),1),";")),"",ROW($1:$99)),COLUMN(C276)+1)-SMALL(IF(ISERROR(SEARCH(MID(";"&amp;'CASE DATA'!$F277&amp;";",ROW($1:$99),1),";")),"",ROW($1:$99)),COLUMN(C276))-1)</f>
        <v/>
      </c>
      <c r="AA277" s="75" t="str" cm="1">
        <f t="array" ref="AA277">MID(";"&amp;'CASE DATA'!$F277&amp;";",SMALL(IF(ISERROR(SEARCH(MID(";"&amp;'CASE DATA'!$F277&amp;";",ROW($1:$99),1),";")),"",ROW($1:$99)+1),COLUMN(D277)),SMALL(IF(ISERROR(SEARCH(MID(";"&amp;'CASE DATA'!$F277&amp;";",ROW($1:$99),1),";")),"",ROW($1:$99)),COLUMN(D276)+1)-SMALL(IF(ISERROR(SEARCH(MID(";"&amp;'CASE DATA'!$F277&amp;";",ROW($1:$99),1),";")),"",ROW($1:$99)),COLUMN(D276))-1)</f>
        <v/>
      </c>
      <c r="AB277" s="75" t="str" cm="1">
        <f t="array" ref="AB277">MID(";"&amp;'CASE DATA'!$F277&amp;";",SMALL(IF(ISERROR(SEARCH(MID(";"&amp;'CASE DATA'!$F277&amp;";",ROW($1:$99),1),";")),"",ROW($1:$99)+1),COLUMN(E277)),SMALL(IF(ISERROR(SEARCH(MID(";"&amp;'CASE DATA'!$F277&amp;";",ROW($1:$99),1),";")),"",ROW($1:$99)),COLUMN(E276)+1)-SMALL(IF(ISERROR(SEARCH(MID(";"&amp;'CASE DATA'!$F277&amp;";",ROW($1:$99),1),";")),"",ROW($1:$99)),COLUMN(E276))-1)</f>
        <v/>
      </c>
      <c r="AC277" s="75" t="str" cm="1">
        <f t="array" ref="AC277">MID(";"&amp;'CASE DATA'!$F277&amp;";",SMALL(IF(ISERROR(SEARCH(MID(";"&amp;'CASE DATA'!$F277&amp;";",ROW($1:$99),1),";")),"",ROW($1:$99)+1),COLUMN(F277)),SMALL(IF(ISERROR(SEARCH(MID(";"&amp;'CASE DATA'!$F277&amp;";",ROW($1:$99),1),";")),"",ROW($1:$99)),COLUMN(F276)+1)-SMALL(IF(ISERROR(SEARCH(MID(";"&amp;'CASE DATA'!$F277&amp;";",ROW($1:$99),1),";")),"",ROW($1:$99)),COLUMN(F276))-1)</f>
        <v/>
      </c>
      <c r="AD277" s="75" t="str" cm="1">
        <f t="array" ref="AD277">MID(";"&amp;'CASE DATA'!$F277&amp;";",SMALL(IF(ISERROR(SEARCH(MID(";"&amp;'CASE DATA'!$F277&amp;";",ROW($1:$99),1),";")),"",ROW($1:$99)+1),COLUMN(G277)),SMALL(IF(ISERROR(SEARCH(MID(";"&amp;'CASE DATA'!$F277&amp;";",ROW($1:$99),1),";")),"",ROW($1:$99)),COLUMN(G276)+1)-SMALL(IF(ISERROR(SEARCH(MID(";"&amp;'CASE DATA'!$F277&amp;";",ROW($1:$99),1),";")),"",ROW($1:$99)),COLUMN(G276))-1)</f>
        <v/>
      </c>
      <c r="AE277" s="75" t="str" cm="1">
        <f t="array" ref="AE277">MID(";"&amp;'CASE DATA'!$F277&amp;";",SMALL(IF(ISERROR(SEARCH(MID(";"&amp;'CASE DATA'!$F277&amp;";",ROW($1:$99),1),";")),"",ROW($1:$99)+1),COLUMN(H277)),SMALL(IF(ISERROR(SEARCH(MID(";"&amp;'CASE DATA'!$F277&amp;";",ROW($1:$99),1),";")),"",ROW($1:$99)),COLUMN(H276)+1)-SMALL(IF(ISERROR(SEARCH(MID(";"&amp;'CASE DATA'!$F277&amp;";",ROW($1:$99),1),";")),"",ROW($1:$99)),COLUMN(H276))-1)</f>
        <v/>
      </c>
      <c r="AF277" s="75" t="str" cm="1">
        <f t="array" ref="AF277">MID(";"&amp;'CASE DATA'!$F277&amp;";",SMALL(IF(ISERROR(SEARCH(MID(";"&amp;'CASE DATA'!$F277&amp;";",ROW($1:$99),1),";")),"",ROW($1:$99)+1),COLUMN(I277)),SMALL(IF(ISERROR(SEARCH(MID(";"&amp;'CASE DATA'!$F277&amp;";",ROW($1:$99),1),";")),"",ROW($1:$99)),COLUMN(I276)+1)-SMALL(IF(ISERROR(SEARCH(MID(";"&amp;'CASE DATA'!$F277&amp;";",ROW($1:$99),1),";")),"",ROW($1:$99)),COLUMN(I276))-1)</f>
        <v/>
      </c>
      <c r="AG277" s="75" t="str" cm="1">
        <f t="array" ref="AG277">MID(";"&amp;'CASE DATA'!$F277&amp;";",SMALL(IF(ISERROR(SEARCH(MID(";"&amp;'CASE DATA'!$F277&amp;";",ROW($1:$99),1),";")),"",ROW($1:$99)+1),COLUMN(K277)),SMALL(IF(ISERROR(SEARCH(MID(";"&amp;'CASE DATA'!$F277&amp;";",ROW($1:$99),1),";")),"",ROW($1:$99)),COLUMN(K276)+1)-SMALL(IF(ISERROR(SEARCH(MID(";"&amp;'CASE DATA'!$F277&amp;";",ROW($1:$99),1),";")),"",ROW($1:$99)),COLUMN(K276))-1)</f>
        <v/>
      </c>
      <c r="AH277" s="75" t="str" cm="1">
        <f t="array" ref="AH277">MID(";"&amp;'CASE DATA'!$F277&amp;";",SMALL(IF(ISERROR(SEARCH(MID(";"&amp;'CASE DATA'!$F277&amp;";",ROW($1:$99),1),";")),"",ROW($1:$99)+1),COLUMN(L277)),SMALL(IF(ISERROR(SEARCH(MID(";"&amp;'CASE DATA'!$F277&amp;";",ROW($1:$99),1),";")),"",ROW($1:$99)),COLUMN(L276)+1)-SMALL(IF(ISERROR(SEARCH(MID(";"&amp;'CASE DATA'!$F277&amp;";",ROW($1:$99),1),";")),"",ROW($1:$99)),COLUMN(L276))-1)</f>
        <v/>
      </c>
      <c r="AI277" s="75" t="str" cm="1">
        <f t="array" ref="AI277">MID(";"&amp;'CASE DATA'!$F277&amp;";",SMALL(IF(ISERROR(SEARCH(MID(";"&amp;'CASE DATA'!$F277&amp;";",ROW($1:$99),1),";")),"",ROW($1:$99)+1),COLUMN(M277)),SMALL(IF(ISERROR(SEARCH(MID(";"&amp;'CASE DATA'!$F277&amp;";",ROW($1:$99),1),";")),"",ROW($1:$99)),COLUMN(M276)+1)-SMALL(IF(ISERROR(SEARCH(MID(";"&amp;'CASE DATA'!$F277&amp;";",ROW($1:$99),1),";")),"",ROW($1:$99)),COLUMN(M276))-1)</f>
        <v/>
      </c>
      <c r="BO277" s="99"/>
      <c r="BP277" s="99"/>
      <c r="BQ277" s="99"/>
      <c r="BR277" s="99"/>
      <c r="BS277" s="99"/>
      <c r="BT277" s="99"/>
      <c r="BU277" s="99"/>
      <c r="BV277" s="99"/>
      <c r="BW277" s="99"/>
      <c r="BX277" s="99"/>
      <c r="BY277" s="99"/>
      <c r="BZ277" s="99"/>
      <c r="CA277" s="99"/>
      <c r="CB277" s="99"/>
      <c r="CC277" s="99"/>
      <c r="CD277" s="99"/>
      <c r="CE277" s="99"/>
      <c r="CF277" s="99"/>
      <c r="CG277" s="99"/>
      <c r="CH277" s="99"/>
      <c r="CI277" s="99"/>
      <c r="CJ277" s="99"/>
      <c r="CK277" s="99"/>
      <c r="CL277" s="99"/>
      <c r="CM277" s="99"/>
      <c r="CN277" s="99"/>
      <c r="CO277" s="99"/>
      <c r="CP277" s="99"/>
      <c r="CQ277" s="99"/>
      <c r="CR277" s="99"/>
      <c r="CS277" s="99"/>
      <c r="CT277" s="99"/>
      <c r="CU277" s="99"/>
      <c r="CV277" s="99"/>
      <c r="CW277" s="99"/>
      <c r="CX277" s="99"/>
      <c r="CY277" s="99"/>
      <c r="CZ277" s="99"/>
      <c r="DA277" s="99"/>
      <c r="DB277" s="99"/>
      <c r="DC277" s="99"/>
      <c r="DD277" s="99"/>
      <c r="DE277" s="99"/>
      <c r="DF277" s="99"/>
      <c r="DG277" s="99"/>
      <c r="DH277" s="99"/>
      <c r="DI277" s="99"/>
      <c r="DJ277" s="99"/>
      <c r="DK277" s="99"/>
      <c r="DL277" s="99"/>
      <c r="DM277" s="99"/>
      <c r="DN277" s="99"/>
      <c r="DO277" s="99"/>
      <c r="DP277" s="99"/>
      <c r="DQ277" s="99"/>
      <c r="DR277" s="99"/>
      <c r="DS277" s="99"/>
      <c r="DT277" s="99"/>
      <c r="DU277" s="99"/>
      <c r="DV277" s="99"/>
      <c r="DW277" s="99"/>
      <c r="DX277" s="99"/>
      <c r="DY277" s="99"/>
      <c r="DZ277" s="99"/>
      <c r="EA277" s="99"/>
      <c r="EB277" s="99"/>
      <c r="EC277" s="99"/>
      <c r="ED277" s="99"/>
      <c r="EE277" s="99"/>
      <c r="EF277" s="99"/>
      <c r="EG277" s="99"/>
      <c r="EH277" s="99"/>
      <c r="EI277" s="99"/>
      <c r="EJ277" s="99"/>
      <c r="EK277" s="99"/>
      <c r="EL277" s="99"/>
      <c r="EM277" s="99"/>
      <c r="EN277" s="99"/>
      <c r="EO277" s="99"/>
      <c r="EP277" s="99"/>
      <c r="EQ277" s="99"/>
      <c r="ER277" s="99"/>
      <c r="ES277" s="99"/>
      <c r="ET277" s="99"/>
      <c r="EU277" s="99"/>
      <c r="EV277" s="99"/>
      <c r="EW277" s="99"/>
      <c r="EX277" s="99"/>
      <c r="EY277" s="99"/>
      <c r="EZ277" s="99"/>
      <c r="FA277" s="99"/>
      <c r="FB277" s="99"/>
      <c r="FC277" s="99"/>
      <c r="FD277" s="99"/>
      <c r="FE277" s="99"/>
      <c r="FF277" s="99"/>
      <c r="FG277" s="99"/>
      <c r="FH277" s="99"/>
      <c r="FI277" s="99"/>
      <c r="FJ277" s="99"/>
      <c r="FK277" s="99"/>
    </row>
    <row r="278" spans="3:167" x14ac:dyDescent="0.25">
      <c r="C278" s="10"/>
      <c r="D278" s="10"/>
      <c r="J278" s="99">
        <v>275</v>
      </c>
      <c r="K278" s="16"/>
      <c r="L278" s="16"/>
      <c r="M278" s="16"/>
      <c r="N278" s="16"/>
      <c r="O278" s="16"/>
      <c r="P278" s="16"/>
      <c r="Q278" s="16"/>
      <c r="R278" s="16"/>
      <c r="S278" s="16"/>
      <c r="T278" s="16"/>
      <c r="U278" s="14">
        <f>SUM(K278:T278)</f>
        <v>0</v>
      </c>
      <c r="V278" s="14"/>
      <c r="X278" s="75" t="str" cm="1">
        <f t="array" ref="X278">MID(";"&amp;'CASE DATA'!$F278&amp;";",SMALL(IF(ISERROR(SEARCH(MID(";"&amp;'CASE DATA'!$F278&amp;";",ROW($1:$99),1),";")),"",ROW($1:$99)+1),COLUMN(A278)),SMALL(IF(ISERROR(SEARCH(MID(";"&amp;'CASE DATA'!$F278&amp;";",ROW($1:$99),1),";")),"",ROW($1:$99)),COLUMN(A277)+1)-SMALL(IF(ISERROR(SEARCH(MID(";"&amp;'CASE DATA'!$F278&amp;";",ROW($1:$99),1),";")),"",ROW($1:$99)),COLUMN(A277))-1)</f>
        <v/>
      </c>
      <c r="Y278" s="75" t="str" cm="1">
        <f t="array" ref="Y278">MID(";"&amp;'CASE DATA'!$F278&amp;";",SMALL(IF(ISERROR(SEARCH(MID(";"&amp;'CASE DATA'!$F278&amp;";",ROW($1:$99),1),";")),"",ROW($1:$99)+1),COLUMN(B278)),SMALL(IF(ISERROR(SEARCH(MID(";"&amp;'CASE DATA'!$F278&amp;";",ROW($1:$99),1),";")),"",ROW($1:$99)),COLUMN(B277)+1)-SMALL(IF(ISERROR(SEARCH(MID(";"&amp;'CASE DATA'!$F278&amp;";",ROW($1:$99),1),";")),"",ROW($1:$99)),COLUMN(B277))-1)</f>
        <v/>
      </c>
      <c r="Z278" s="75" t="str" cm="1">
        <f t="array" ref="Z278">MID(";"&amp;'CASE DATA'!$F278&amp;";",SMALL(IF(ISERROR(SEARCH(MID(";"&amp;'CASE DATA'!$F278&amp;";",ROW($1:$99),1),";")),"",ROW($1:$99)+1),COLUMN(C278)),SMALL(IF(ISERROR(SEARCH(MID(";"&amp;'CASE DATA'!$F278&amp;";",ROW($1:$99),1),";")),"",ROW($1:$99)),COLUMN(C277)+1)-SMALL(IF(ISERROR(SEARCH(MID(";"&amp;'CASE DATA'!$F278&amp;";",ROW($1:$99),1),";")),"",ROW($1:$99)),COLUMN(C277))-1)</f>
        <v/>
      </c>
      <c r="AA278" s="75" t="str" cm="1">
        <f t="array" ref="AA278">MID(";"&amp;'CASE DATA'!$F278&amp;";",SMALL(IF(ISERROR(SEARCH(MID(";"&amp;'CASE DATA'!$F278&amp;";",ROW($1:$99),1),";")),"",ROW($1:$99)+1),COLUMN(D278)),SMALL(IF(ISERROR(SEARCH(MID(";"&amp;'CASE DATA'!$F278&amp;";",ROW($1:$99),1),";")),"",ROW($1:$99)),COLUMN(D277)+1)-SMALL(IF(ISERROR(SEARCH(MID(";"&amp;'CASE DATA'!$F278&amp;";",ROW($1:$99),1),";")),"",ROW($1:$99)),COLUMN(D277))-1)</f>
        <v/>
      </c>
      <c r="AB278" s="75" t="str" cm="1">
        <f t="array" ref="AB278">MID(";"&amp;'CASE DATA'!$F278&amp;";",SMALL(IF(ISERROR(SEARCH(MID(";"&amp;'CASE DATA'!$F278&amp;";",ROW($1:$99),1),";")),"",ROW($1:$99)+1),COLUMN(E278)),SMALL(IF(ISERROR(SEARCH(MID(";"&amp;'CASE DATA'!$F278&amp;";",ROW($1:$99),1),";")),"",ROW($1:$99)),COLUMN(E277)+1)-SMALL(IF(ISERROR(SEARCH(MID(";"&amp;'CASE DATA'!$F278&amp;";",ROW($1:$99),1),";")),"",ROW($1:$99)),COLUMN(E277))-1)</f>
        <v/>
      </c>
      <c r="AC278" s="75" t="str" cm="1">
        <f t="array" ref="AC278">MID(";"&amp;'CASE DATA'!$F278&amp;";",SMALL(IF(ISERROR(SEARCH(MID(";"&amp;'CASE DATA'!$F278&amp;";",ROW($1:$99),1),";")),"",ROW($1:$99)+1),COLUMN(F278)),SMALL(IF(ISERROR(SEARCH(MID(";"&amp;'CASE DATA'!$F278&amp;";",ROW($1:$99),1),";")),"",ROW($1:$99)),COLUMN(F277)+1)-SMALL(IF(ISERROR(SEARCH(MID(";"&amp;'CASE DATA'!$F278&amp;";",ROW($1:$99),1),";")),"",ROW($1:$99)),COLUMN(F277))-1)</f>
        <v/>
      </c>
      <c r="AD278" s="75" t="str" cm="1">
        <f t="array" ref="AD278">MID(";"&amp;'CASE DATA'!$F278&amp;";",SMALL(IF(ISERROR(SEARCH(MID(";"&amp;'CASE DATA'!$F278&amp;";",ROW($1:$99),1),";")),"",ROW($1:$99)+1),COLUMN(G278)),SMALL(IF(ISERROR(SEARCH(MID(";"&amp;'CASE DATA'!$F278&amp;";",ROW($1:$99),1),";")),"",ROW($1:$99)),COLUMN(G277)+1)-SMALL(IF(ISERROR(SEARCH(MID(";"&amp;'CASE DATA'!$F278&amp;";",ROW($1:$99),1),";")),"",ROW($1:$99)),COLUMN(G277))-1)</f>
        <v/>
      </c>
      <c r="AE278" s="75" t="str" cm="1">
        <f t="array" ref="AE278">MID(";"&amp;'CASE DATA'!$F278&amp;";",SMALL(IF(ISERROR(SEARCH(MID(";"&amp;'CASE DATA'!$F278&amp;";",ROW($1:$99),1),";")),"",ROW($1:$99)+1),COLUMN(H278)),SMALL(IF(ISERROR(SEARCH(MID(";"&amp;'CASE DATA'!$F278&amp;";",ROW($1:$99),1),";")),"",ROW($1:$99)),COLUMN(H277)+1)-SMALL(IF(ISERROR(SEARCH(MID(";"&amp;'CASE DATA'!$F278&amp;";",ROW($1:$99),1),";")),"",ROW($1:$99)),COLUMN(H277))-1)</f>
        <v/>
      </c>
      <c r="AF278" s="75" t="str" cm="1">
        <f t="array" ref="AF278">MID(";"&amp;'CASE DATA'!$F278&amp;";",SMALL(IF(ISERROR(SEARCH(MID(";"&amp;'CASE DATA'!$F278&amp;";",ROW($1:$99),1),";")),"",ROW($1:$99)+1),COLUMN(I278)),SMALL(IF(ISERROR(SEARCH(MID(";"&amp;'CASE DATA'!$F278&amp;";",ROW($1:$99),1),";")),"",ROW($1:$99)),COLUMN(I277)+1)-SMALL(IF(ISERROR(SEARCH(MID(";"&amp;'CASE DATA'!$F278&amp;";",ROW($1:$99),1),";")),"",ROW($1:$99)),COLUMN(I277))-1)</f>
        <v/>
      </c>
      <c r="AG278" s="75" t="str" cm="1">
        <f t="array" ref="AG278">MID(";"&amp;'CASE DATA'!$F278&amp;";",SMALL(IF(ISERROR(SEARCH(MID(";"&amp;'CASE DATA'!$F278&amp;";",ROW($1:$99),1),";")),"",ROW($1:$99)+1),COLUMN(K278)),SMALL(IF(ISERROR(SEARCH(MID(";"&amp;'CASE DATA'!$F278&amp;";",ROW($1:$99),1),";")),"",ROW($1:$99)),COLUMN(K277)+1)-SMALL(IF(ISERROR(SEARCH(MID(";"&amp;'CASE DATA'!$F278&amp;";",ROW($1:$99),1),";")),"",ROW($1:$99)),COLUMN(K277))-1)</f>
        <v/>
      </c>
      <c r="AH278" s="75" t="str" cm="1">
        <f t="array" ref="AH278">MID(";"&amp;'CASE DATA'!$F278&amp;";",SMALL(IF(ISERROR(SEARCH(MID(";"&amp;'CASE DATA'!$F278&amp;";",ROW($1:$99),1),";")),"",ROW($1:$99)+1),COLUMN(L278)),SMALL(IF(ISERROR(SEARCH(MID(";"&amp;'CASE DATA'!$F278&amp;";",ROW($1:$99),1),";")),"",ROW($1:$99)),COLUMN(L277)+1)-SMALL(IF(ISERROR(SEARCH(MID(";"&amp;'CASE DATA'!$F278&amp;";",ROW($1:$99),1),";")),"",ROW($1:$99)),COLUMN(L277))-1)</f>
        <v/>
      </c>
      <c r="AI278" s="75" t="str" cm="1">
        <f t="array" ref="AI278">MID(";"&amp;'CASE DATA'!$F278&amp;";",SMALL(IF(ISERROR(SEARCH(MID(";"&amp;'CASE DATA'!$F278&amp;";",ROW($1:$99),1),";")),"",ROW($1:$99)+1),COLUMN(M278)),SMALL(IF(ISERROR(SEARCH(MID(";"&amp;'CASE DATA'!$F278&amp;";",ROW($1:$99),1),";")),"",ROW($1:$99)),COLUMN(M277)+1)-SMALL(IF(ISERROR(SEARCH(MID(";"&amp;'CASE DATA'!$F278&amp;";",ROW($1:$99),1),";")),"",ROW($1:$99)),COLUMN(M277))-1)</f>
        <v/>
      </c>
      <c r="BO278" s="99"/>
      <c r="BP278" s="99"/>
      <c r="BQ278" s="99"/>
      <c r="BR278" s="99"/>
      <c r="BS278" s="99"/>
      <c r="BT278" s="99"/>
      <c r="BU278" s="99"/>
      <c r="BV278" s="99"/>
      <c r="BW278" s="99"/>
      <c r="BX278" s="99"/>
      <c r="BY278" s="99"/>
      <c r="BZ278" s="99"/>
      <c r="CA278" s="99"/>
      <c r="CB278" s="99"/>
      <c r="CC278" s="99"/>
      <c r="CD278" s="99"/>
      <c r="CE278" s="99"/>
      <c r="CF278" s="99"/>
      <c r="CG278" s="99"/>
      <c r="CH278" s="99"/>
      <c r="CI278" s="99"/>
      <c r="CJ278" s="99"/>
      <c r="CK278" s="99"/>
      <c r="CL278" s="99"/>
      <c r="CM278" s="99"/>
      <c r="CN278" s="99"/>
      <c r="CO278" s="99"/>
      <c r="CP278" s="99"/>
      <c r="CQ278" s="99"/>
      <c r="CR278" s="99"/>
      <c r="CS278" s="99"/>
      <c r="CT278" s="99"/>
      <c r="CU278" s="99"/>
      <c r="CV278" s="99"/>
      <c r="CW278" s="99"/>
      <c r="CX278" s="99"/>
      <c r="CY278" s="99"/>
      <c r="CZ278" s="99"/>
      <c r="DA278" s="99"/>
      <c r="DB278" s="99"/>
      <c r="DC278" s="99"/>
      <c r="DD278" s="99"/>
      <c r="DE278" s="99"/>
      <c r="DF278" s="99"/>
      <c r="DG278" s="99"/>
      <c r="DH278" s="99"/>
      <c r="DI278" s="99"/>
      <c r="DJ278" s="99"/>
      <c r="DK278" s="99"/>
      <c r="DL278" s="99"/>
      <c r="DM278" s="99"/>
      <c r="DN278" s="99"/>
      <c r="DO278" s="99"/>
      <c r="DP278" s="99"/>
      <c r="DQ278" s="99"/>
      <c r="DR278" s="99"/>
      <c r="DS278" s="99"/>
      <c r="DT278" s="99"/>
      <c r="DU278" s="99"/>
      <c r="DV278" s="99"/>
      <c r="DW278" s="99"/>
      <c r="DX278" s="99"/>
      <c r="DY278" s="99"/>
      <c r="DZ278" s="99"/>
      <c r="EA278" s="99"/>
      <c r="EB278" s="99"/>
      <c r="EC278" s="99"/>
      <c r="ED278" s="99"/>
      <c r="EE278" s="99"/>
      <c r="EF278" s="99"/>
      <c r="EG278" s="99"/>
      <c r="EH278" s="99"/>
      <c r="EI278" s="99"/>
      <c r="EJ278" s="99"/>
      <c r="EK278" s="99"/>
      <c r="EL278" s="99"/>
      <c r="EM278" s="99"/>
      <c r="EN278" s="99"/>
      <c r="EO278" s="99"/>
      <c r="EP278" s="99"/>
      <c r="EQ278" s="99"/>
      <c r="ER278" s="99"/>
      <c r="ES278" s="99"/>
      <c r="ET278" s="99"/>
      <c r="EU278" s="99"/>
      <c r="EV278" s="99"/>
      <c r="EW278" s="99"/>
      <c r="EX278" s="99"/>
      <c r="EY278" s="99"/>
      <c r="EZ278" s="99"/>
      <c r="FA278" s="99"/>
      <c r="FB278" s="99"/>
      <c r="FC278" s="99"/>
      <c r="FD278" s="99"/>
      <c r="FE278" s="99"/>
      <c r="FF278" s="99"/>
      <c r="FG278" s="99"/>
      <c r="FH278" s="99"/>
      <c r="FI278" s="99"/>
      <c r="FJ278" s="99"/>
      <c r="FK278" s="99"/>
    </row>
    <row r="279" spans="3:167" x14ac:dyDescent="0.25">
      <c r="C279" s="10"/>
      <c r="D279" s="10"/>
      <c r="J279" s="99">
        <v>276</v>
      </c>
      <c r="K279" s="16"/>
      <c r="L279" s="16"/>
      <c r="M279" s="16"/>
      <c r="N279" s="16"/>
      <c r="O279" s="16"/>
      <c r="P279" s="16"/>
      <c r="Q279" s="16"/>
      <c r="R279" s="16"/>
      <c r="S279" s="16"/>
      <c r="T279" s="16"/>
      <c r="U279" s="14">
        <f>SUM(K279:T279)</f>
        <v>0</v>
      </c>
      <c r="V279" s="14"/>
      <c r="X279" s="75" t="str" cm="1">
        <f t="array" ref="X279">MID(";"&amp;'CASE DATA'!$F279&amp;";",SMALL(IF(ISERROR(SEARCH(MID(";"&amp;'CASE DATA'!$F279&amp;";",ROW($1:$99),1),";")),"",ROW($1:$99)+1),COLUMN(A279)),SMALL(IF(ISERROR(SEARCH(MID(";"&amp;'CASE DATA'!$F279&amp;";",ROW($1:$99),1),";")),"",ROW($1:$99)),COLUMN(A278)+1)-SMALL(IF(ISERROR(SEARCH(MID(";"&amp;'CASE DATA'!$F279&amp;";",ROW($1:$99),1),";")),"",ROW($1:$99)),COLUMN(A278))-1)</f>
        <v/>
      </c>
      <c r="Y279" s="75" t="str" cm="1">
        <f t="array" ref="Y279">MID(";"&amp;'CASE DATA'!$F279&amp;";",SMALL(IF(ISERROR(SEARCH(MID(";"&amp;'CASE DATA'!$F279&amp;";",ROW($1:$99),1),";")),"",ROW($1:$99)+1),COLUMN(B279)),SMALL(IF(ISERROR(SEARCH(MID(";"&amp;'CASE DATA'!$F279&amp;";",ROW($1:$99),1),";")),"",ROW($1:$99)),COLUMN(B278)+1)-SMALL(IF(ISERROR(SEARCH(MID(";"&amp;'CASE DATA'!$F279&amp;";",ROW($1:$99),1),";")),"",ROW($1:$99)),COLUMN(B278))-1)</f>
        <v/>
      </c>
      <c r="Z279" s="75" t="str" cm="1">
        <f t="array" ref="Z279">MID(";"&amp;'CASE DATA'!$F279&amp;";",SMALL(IF(ISERROR(SEARCH(MID(";"&amp;'CASE DATA'!$F279&amp;";",ROW($1:$99),1),";")),"",ROW($1:$99)+1),COLUMN(C279)),SMALL(IF(ISERROR(SEARCH(MID(";"&amp;'CASE DATA'!$F279&amp;";",ROW($1:$99),1),";")),"",ROW($1:$99)),COLUMN(C278)+1)-SMALL(IF(ISERROR(SEARCH(MID(";"&amp;'CASE DATA'!$F279&amp;";",ROW($1:$99),1),";")),"",ROW($1:$99)),COLUMN(C278))-1)</f>
        <v/>
      </c>
      <c r="AA279" s="75" t="str" cm="1">
        <f t="array" ref="AA279">MID(";"&amp;'CASE DATA'!$F279&amp;";",SMALL(IF(ISERROR(SEARCH(MID(";"&amp;'CASE DATA'!$F279&amp;";",ROW($1:$99),1),";")),"",ROW($1:$99)+1),COLUMN(D279)),SMALL(IF(ISERROR(SEARCH(MID(";"&amp;'CASE DATA'!$F279&amp;";",ROW($1:$99),1),";")),"",ROW($1:$99)),COLUMN(D278)+1)-SMALL(IF(ISERROR(SEARCH(MID(";"&amp;'CASE DATA'!$F279&amp;";",ROW($1:$99),1),";")),"",ROW($1:$99)),COLUMN(D278))-1)</f>
        <v/>
      </c>
      <c r="AB279" s="75" t="str" cm="1">
        <f t="array" ref="AB279">MID(";"&amp;'CASE DATA'!$F279&amp;";",SMALL(IF(ISERROR(SEARCH(MID(";"&amp;'CASE DATA'!$F279&amp;";",ROW($1:$99),1),";")),"",ROW($1:$99)+1),COLUMN(E279)),SMALL(IF(ISERROR(SEARCH(MID(";"&amp;'CASE DATA'!$F279&amp;";",ROW($1:$99),1),";")),"",ROW($1:$99)),COLUMN(E278)+1)-SMALL(IF(ISERROR(SEARCH(MID(";"&amp;'CASE DATA'!$F279&amp;";",ROW($1:$99),1),";")),"",ROW($1:$99)),COLUMN(E278))-1)</f>
        <v/>
      </c>
      <c r="AC279" s="75" t="str" cm="1">
        <f t="array" ref="AC279">MID(";"&amp;'CASE DATA'!$F279&amp;";",SMALL(IF(ISERROR(SEARCH(MID(";"&amp;'CASE DATA'!$F279&amp;";",ROW($1:$99),1),";")),"",ROW($1:$99)+1),COLUMN(F279)),SMALL(IF(ISERROR(SEARCH(MID(";"&amp;'CASE DATA'!$F279&amp;";",ROW($1:$99),1),";")),"",ROW($1:$99)),COLUMN(F278)+1)-SMALL(IF(ISERROR(SEARCH(MID(";"&amp;'CASE DATA'!$F279&amp;";",ROW($1:$99),1),";")),"",ROW($1:$99)),COLUMN(F278))-1)</f>
        <v/>
      </c>
      <c r="AD279" s="75" t="str" cm="1">
        <f t="array" ref="AD279">MID(";"&amp;'CASE DATA'!$F279&amp;";",SMALL(IF(ISERROR(SEARCH(MID(";"&amp;'CASE DATA'!$F279&amp;";",ROW($1:$99),1),";")),"",ROW($1:$99)+1),COLUMN(G279)),SMALL(IF(ISERROR(SEARCH(MID(";"&amp;'CASE DATA'!$F279&amp;";",ROW($1:$99),1),";")),"",ROW($1:$99)),COLUMN(G278)+1)-SMALL(IF(ISERROR(SEARCH(MID(";"&amp;'CASE DATA'!$F279&amp;";",ROW($1:$99),1),";")),"",ROW($1:$99)),COLUMN(G278))-1)</f>
        <v/>
      </c>
      <c r="AE279" s="75" t="str" cm="1">
        <f t="array" ref="AE279">MID(";"&amp;'CASE DATA'!$F279&amp;";",SMALL(IF(ISERROR(SEARCH(MID(";"&amp;'CASE DATA'!$F279&amp;";",ROW($1:$99),1),";")),"",ROW($1:$99)+1),COLUMN(H279)),SMALL(IF(ISERROR(SEARCH(MID(";"&amp;'CASE DATA'!$F279&amp;";",ROW($1:$99),1),";")),"",ROW($1:$99)),COLUMN(H278)+1)-SMALL(IF(ISERROR(SEARCH(MID(";"&amp;'CASE DATA'!$F279&amp;";",ROW($1:$99),1),";")),"",ROW($1:$99)),COLUMN(H278))-1)</f>
        <v/>
      </c>
      <c r="AF279" s="75" t="str" cm="1">
        <f t="array" ref="AF279">MID(";"&amp;'CASE DATA'!$F279&amp;";",SMALL(IF(ISERROR(SEARCH(MID(";"&amp;'CASE DATA'!$F279&amp;";",ROW($1:$99),1),";")),"",ROW($1:$99)+1),COLUMN(I279)),SMALL(IF(ISERROR(SEARCH(MID(";"&amp;'CASE DATA'!$F279&amp;";",ROW($1:$99),1),";")),"",ROW($1:$99)),COLUMN(I278)+1)-SMALL(IF(ISERROR(SEARCH(MID(";"&amp;'CASE DATA'!$F279&amp;";",ROW($1:$99),1),";")),"",ROW($1:$99)),COLUMN(I278))-1)</f>
        <v/>
      </c>
      <c r="AG279" s="75" t="str" cm="1">
        <f t="array" ref="AG279">MID(";"&amp;'CASE DATA'!$F279&amp;";",SMALL(IF(ISERROR(SEARCH(MID(";"&amp;'CASE DATA'!$F279&amp;";",ROW($1:$99),1),";")),"",ROW($1:$99)+1),COLUMN(K279)),SMALL(IF(ISERROR(SEARCH(MID(";"&amp;'CASE DATA'!$F279&amp;";",ROW($1:$99),1),";")),"",ROW($1:$99)),COLUMN(K278)+1)-SMALL(IF(ISERROR(SEARCH(MID(";"&amp;'CASE DATA'!$F279&amp;";",ROW($1:$99),1),";")),"",ROW($1:$99)),COLUMN(K278))-1)</f>
        <v/>
      </c>
      <c r="AH279" s="75" t="str" cm="1">
        <f t="array" ref="AH279">MID(";"&amp;'CASE DATA'!$F279&amp;";",SMALL(IF(ISERROR(SEARCH(MID(";"&amp;'CASE DATA'!$F279&amp;";",ROW($1:$99),1),";")),"",ROW($1:$99)+1),COLUMN(L279)),SMALL(IF(ISERROR(SEARCH(MID(";"&amp;'CASE DATA'!$F279&amp;";",ROW($1:$99),1),";")),"",ROW($1:$99)),COLUMN(L278)+1)-SMALL(IF(ISERROR(SEARCH(MID(";"&amp;'CASE DATA'!$F279&amp;";",ROW($1:$99),1),";")),"",ROW($1:$99)),COLUMN(L278))-1)</f>
        <v/>
      </c>
      <c r="AI279" s="75" t="str" cm="1">
        <f t="array" ref="AI279">MID(";"&amp;'CASE DATA'!$F279&amp;";",SMALL(IF(ISERROR(SEARCH(MID(";"&amp;'CASE DATA'!$F279&amp;";",ROW($1:$99),1),";")),"",ROW($1:$99)+1),COLUMN(M279)),SMALL(IF(ISERROR(SEARCH(MID(";"&amp;'CASE DATA'!$F279&amp;";",ROW($1:$99),1),";")),"",ROW($1:$99)),COLUMN(M278)+1)-SMALL(IF(ISERROR(SEARCH(MID(";"&amp;'CASE DATA'!$F279&amp;";",ROW($1:$99),1),";")),"",ROW($1:$99)),COLUMN(M278))-1)</f>
        <v/>
      </c>
      <c r="BO279" s="99"/>
      <c r="BP279" s="99"/>
      <c r="BQ279" s="99"/>
      <c r="BR279" s="99"/>
      <c r="BS279" s="99"/>
      <c r="BT279" s="99"/>
      <c r="BU279" s="99"/>
      <c r="BV279" s="99"/>
      <c r="BW279" s="99"/>
      <c r="BX279" s="99"/>
      <c r="BY279" s="99"/>
      <c r="BZ279" s="99"/>
      <c r="CA279" s="99"/>
      <c r="CB279" s="99"/>
      <c r="CC279" s="99"/>
      <c r="CD279" s="99"/>
      <c r="CE279" s="99"/>
      <c r="CF279" s="99"/>
      <c r="CG279" s="99"/>
      <c r="CH279" s="99"/>
      <c r="CI279" s="99"/>
      <c r="CJ279" s="99"/>
      <c r="CK279" s="99"/>
      <c r="CL279" s="99"/>
      <c r="CM279" s="99"/>
      <c r="CN279" s="99"/>
      <c r="CO279" s="99"/>
      <c r="CP279" s="99"/>
      <c r="CQ279" s="99"/>
      <c r="CR279" s="99"/>
      <c r="CS279" s="99"/>
      <c r="CT279" s="99"/>
      <c r="CU279" s="99"/>
      <c r="CV279" s="99"/>
      <c r="CW279" s="99"/>
      <c r="CX279" s="99"/>
      <c r="CY279" s="99"/>
      <c r="CZ279" s="99"/>
      <c r="DA279" s="99"/>
      <c r="DB279" s="99"/>
      <c r="DC279" s="99"/>
      <c r="DD279" s="99"/>
      <c r="DE279" s="99"/>
      <c r="DF279" s="99"/>
      <c r="DG279" s="99"/>
      <c r="DH279" s="99"/>
      <c r="DI279" s="99"/>
      <c r="DJ279" s="99"/>
      <c r="DK279" s="99"/>
      <c r="DL279" s="99"/>
      <c r="DM279" s="99"/>
      <c r="DN279" s="99"/>
      <c r="DO279" s="99"/>
      <c r="DP279" s="99"/>
      <c r="DQ279" s="99"/>
      <c r="DR279" s="99"/>
      <c r="DS279" s="99"/>
      <c r="DT279" s="99"/>
      <c r="DU279" s="99"/>
      <c r="DV279" s="99"/>
      <c r="DW279" s="99"/>
      <c r="DX279" s="99"/>
      <c r="DY279" s="99"/>
      <c r="DZ279" s="99"/>
      <c r="EA279" s="99"/>
      <c r="EB279" s="99"/>
      <c r="EC279" s="99"/>
      <c r="ED279" s="99"/>
      <c r="EE279" s="99"/>
      <c r="EF279" s="99"/>
      <c r="EG279" s="99"/>
      <c r="EH279" s="99"/>
      <c r="EI279" s="99"/>
      <c r="EJ279" s="99"/>
      <c r="EK279" s="99"/>
      <c r="EL279" s="99"/>
      <c r="EM279" s="99"/>
      <c r="EN279" s="99"/>
      <c r="EO279" s="99"/>
      <c r="EP279" s="99"/>
      <c r="EQ279" s="99"/>
      <c r="ER279" s="99"/>
      <c r="ES279" s="99"/>
      <c r="ET279" s="99"/>
      <c r="EU279" s="99"/>
      <c r="EV279" s="99"/>
      <c r="EW279" s="99"/>
      <c r="EX279" s="99"/>
      <c r="EY279" s="99"/>
      <c r="EZ279" s="99"/>
      <c r="FA279" s="99"/>
      <c r="FB279" s="99"/>
      <c r="FC279" s="99"/>
      <c r="FD279" s="99"/>
      <c r="FE279" s="99"/>
      <c r="FF279" s="99"/>
      <c r="FG279" s="99"/>
      <c r="FH279" s="99"/>
      <c r="FI279" s="99"/>
      <c r="FJ279" s="99"/>
      <c r="FK279" s="99"/>
    </row>
    <row r="280" spans="3:167" x14ac:dyDescent="0.25">
      <c r="C280" s="10"/>
      <c r="D280" s="10"/>
      <c r="J280" s="99">
        <v>277</v>
      </c>
      <c r="K280" s="16"/>
      <c r="L280" s="16"/>
      <c r="M280" s="16"/>
      <c r="N280" s="16"/>
      <c r="O280" s="16"/>
      <c r="P280" s="16"/>
      <c r="Q280" s="16"/>
      <c r="R280" s="16"/>
      <c r="S280" s="16"/>
      <c r="T280" s="16"/>
      <c r="U280" s="14">
        <f>SUM(K280:T280)</f>
        <v>0</v>
      </c>
      <c r="V280" s="14"/>
      <c r="X280" s="75" t="str" cm="1">
        <f t="array" ref="X280">MID(";"&amp;'CASE DATA'!$F280&amp;";",SMALL(IF(ISERROR(SEARCH(MID(";"&amp;'CASE DATA'!$F280&amp;";",ROW($1:$99),1),";")),"",ROW($1:$99)+1),COLUMN(A280)),SMALL(IF(ISERROR(SEARCH(MID(";"&amp;'CASE DATA'!$F280&amp;";",ROW($1:$99),1),";")),"",ROW($1:$99)),COLUMN(A279)+1)-SMALL(IF(ISERROR(SEARCH(MID(";"&amp;'CASE DATA'!$F280&amp;";",ROW($1:$99),1),";")),"",ROW($1:$99)),COLUMN(A279))-1)</f>
        <v/>
      </c>
      <c r="Y280" s="75" t="str" cm="1">
        <f t="array" ref="Y280">MID(";"&amp;'CASE DATA'!$F280&amp;";",SMALL(IF(ISERROR(SEARCH(MID(";"&amp;'CASE DATA'!$F280&amp;";",ROW($1:$99),1),";")),"",ROW($1:$99)+1),COLUMN(B280)),SMALL(IF(ISERROR(SEARCH(MID(";"&amp;'CASE DATA'!$F280&amp;";",ROW($1:$99),1),";")),"",ROW($1:$99)),COLUMN(B279)+1)-SMALL(IF(ISERROR(SEARCH(MID(";"&amp;'CASE DATA'!$F280&amp;";",ROW($1:$99),1),";")),"",ROW($1:$99)),COLUMN(B279))-1)</f>
        <v/>
      </c>
      <c r="Z280" s="75" t="str" cm="1">
        <f t="array" ref="Z280">MID(";"&amp;'CASE DATA'!$F280&amp;";",SMALL(IF(ISERROR(SEARCH(MID(";"&amp;'CASE DATA'!$F280&amp;";",ROW($1:$99),1),";")),"",ROW($1:$99)+1),COLUMN(C280)),SMALL(IF(ISERROR(SEARCH(MID(";"&amp;'CASE DATA'!$F280&amp;";",ROW($1:$99),1),";")),"",ROW($1:$99)),COLUMN(C279)+1)-SMALL(IF(ISERROR(SEARCH(MID(";"&amp;'CASE DATA'!$F280&amp;";",ROW($1:$99),1),";")),"",ROW($1:$99)),COLUMN(C279))-1)</f>
        <v/>
      </c>
      <c r="AA280" s="75" t="str" cm="1">
        <f t="array" ref="AA280">MID(";"&amp;'CASE DATA'!$F280&amp;";",SMALL(IF(ISERROR(SEARCH(MID(";"&amp;'CASE DATA'!$F280&amp;";",ROW($1:$99),1),";")),"",ROW($1:$99)+1),COLUMN(D280)),SMALL(IF(ISERROR(SEARCH(MID(";"&amp;'CASE DATA'!$F280&amp;";",ROW($1:$99),1),";")),"",ROW($1:$99)),COLUMN(D279)+1)-SMALL(IF(ISERROR(SEARCH(MID(";"&amp;'CASE DATA'!$F280&amp;";",ROW($1:$99),1),";")),"",ROW($1:$99)),COLUMN(D279))-1)</f>
        <v/>
      </c>
      <c r="AB280" s="75" t="str" cm="1">
        <f t="array" ref="AB280">MID(";"&amp;'CASE DATA'!$F280&amp;";",SMALL(IF(ISERROR(SEARCH(MID(";"&amp;'CASE DATA'!$F280&amp;";",ROW($1:$99),1),";")),"",ROW($1:$99)+1),COLUMN(E280)),SMALL(IF(ISERROR(SEARCH(MID(";"&amp;'CASE DATA'!$F280&amp;";",ROW($1:$99),1),";")),"",ROW($1:$99)),COLUMN(E279)+1)-SMALL(IF(ISERROR(SEARCH(MID(";"&amp;'CASE DATA'!$F280&amp;";",ROW($1:$99),1),";")),"",ROW($1:$99)),COLUMN(E279))-1)</f>
        <v/>
      </c>
      <c r="AC280" s="75" t="str" cm="1">
        <f t="array" ref="AC280">MID(";"&amp;'CASE DATA'!$F280&amp;";",SMALL(IF(ISERROR(SEARCH(MID(";"&amp;'CASE DATA'!$F280&amp;";",ROW($1:$99),1),";")),"",ROW($1:$99)+1),COLUMN(F280)),SMALL(IF(ISERROR(SEARCH(MID(";"&amp;'CASE DATA'!$F280&amp;";",ROW($1:$99),1),";")),"",ROW($1:$99)),COLUMN(F279)+1)-SMALL(IF(ISERROR(SEARCH(MID(";"&amp;'CASE DATA'!$F280&amp;";",ROW($1:$99),1),";")),"",ROW($1:$99)),COLUMN(F279))-1)</f>
        <v/>
      </c>
      <c r="AD280" s="75" t="str" cm="1">
        <f t="array" ref="AD280">MID(";"&amp;'CASE DATA'!$F280&amp;";",SMALL(IF(ISERROR(SEARCH(MID(";"&amp;'CASE DATA'!$F280&amp;";",ROW($1:$99),1),";")),"",ROW($1:$99)+1),COLUMN(G280)),SMALL(IF(ISERROR(SEARCH(MID(";"&amp;'CASE DATA'!$F280&amp;";",ROW($1:$99),1),";")),"",ROW($1:$99)),COLUMN(G279)+1)-SMALL(IF(ISERROR(SEARCH(MID(";"&amp;'CASE DATA'!$F280&amp;";",ROW($1:$99),1),";")),"",ROW($1:$99)),COLUMN(G279))-1)</f>
        <v/>
      </c>
      <c r="AE280" s="75" t="str" cm="1">
        <f t="array" ref="AE280">MID(";"&amp;'CASE DATA'!$F280&amp;";",SMALL(IF(ISERROR(SEARCH(MID(";"&amp;'CASE DATA'!$F280&amp;";",ROW($1:$99),1),";")),"",ROW($1:$99)+1),COLUMN(H280)),SMALL(IF(ISERROR(SEARCH(MID(";"&amp;'CASE DATA'!$F280&amp;";",ROW($1:$99),1),";")),"",ROW($1:$99)),COLUMN(H279)+1)-SMALL(IF(ISERROR(SEARCH(MID(";"&amp;'CASE DATA'!$F280&amp;";",ROW($1:$99),1),";")),"",ROW($1:$99)),COLUMN(H279))-1)</f>
        <v/>
      </c>
      <c r="AF280" s="75" t="str" cm="1">
        <f t="array" ref="AF280">MID(";"&amp;'CASE DATA'!$F280&amp;";",SMALL(IF(ISERROR(SEARCH(MID(";"&amp;'CASE DATA'!$F280&amp;";",ROW($1:$99),1),";")),"",ROW($1:$99)+1),COLUMN(I280)),SMALL(IF(ISERROR(SEARCH(MID(";"&amp;'CASE DATA'!$F280&amp;";",ROW($1:$99),1),";")),"",ROW($1:$99)),COLUMN(I279)+1)-SMALL(IF(ISERROR(SEARCH(MID(";"&amp;'CASE DATA'!$F280&amp;";",ROW($1:$99),1),";")),"",ROW($1:$99)),COLUMN(I279))-1)</f>
        <v/>
      </c>
      <c r="AG280" s="75" t="str" cm="1">
        <f t="array" ref="AG280">MID(";"&amp;'CASE DATA'!$F280&amp;";",SMALL(IF(ISERROR(SEARCH(MID(";"&amp;'CASE DATA'!$F280&amp;";",ROW($1:$99),1),";")),"",ROW($1:$99)+1),COLUMN(K280)),SMALL(IF(ISERROR(SEARCH(MID(";"&amp;'CASE DATA'!$F280&amp;";",ROW($1:$99),1),";")),"",ROW($1:$99)),COLUMN(K279)+1)-SMALL(IF(ISERROR(SEARCH(MID(";"&amp;'CASE DATA'!$F280&amp;";",ROW($1:$99),1),";")),"",ROW($1:$99)),COLUMN(K279))-1)</f>
        <v/>
      </c>
      <c r="AH280" s="75" t="str" cm="1">
        <f t="array" ref="AH280">MID(";"&amp;'CASE DATA'!$F280&amp;";",SMALL(IF(ISERROR(SEARCH(MID(";"&amp;'CASE DATA'!$F280&amp;";",ROW($1:$99),1),";")),"",ROW($1:$99)+1),COLUMN(L280)),SMALL(IF(ISERROR(SEARCH(MID(";"&amp;'CASE DATA'!$F280&amp;";",ROW($1:$99),1),";")),"",ROW($1:$99)),COLUMN(L279)+1)-SMALL(IF(ISERROR(SEARCH(MID(";"&amp;'CASE DATA'!$F280&amp;";",ROW($1:$99),1),";")),"",ROW($1:$99)),COLUMN(L279))-1)</f>
        <v/>
      </c>
      <c r="AI280" s="75" t="str" cm="1">
        <f t="array" ref="AI280">MID(";"&amp;'CASE DATA'!$F280&amp;";",SMALL(IF(ISERROR(SEARCH(MID(";"&amp;'CASE DATA'!$F280&amp;";",ROW($1:$99),1),";")),"",ROW($1:$99)+1),COLUMN(M280)),SMALL(IF(ISERROR(SEARCH(MID(";"&amp;'CASE DATA'!$F280&amp;";",ROW($1:$99),1),";")),"",ROW($1:$99)),COLUMN(M279)+1)-SMALL(IF(ISERROR(SEARCH(MID(";"&amp;'CASE DATA'!$F280&amp;";",ROW($1:$99),1),";")),"",ROW($1:$99)),COLUMN(M279))-1)</f>
        <v/>
      </c>
      <c r="BO280" s="99"/>
      <c r="BP280" s="99"/>
      <c r="BQ280" s="99"/>
      <c r="BR280" s="99"/>
      <c r="BS280" s="99"/>
      <c r="BT280" s="99"/>
      <c r="BU280" s="99"/>
      <c r="BV280" s="99"/>
      <c r="BW280" s="99"/>
      <c r="BX280" s="99"/>
      <c r="BY280" s="99"/>
      <c r="BZ280" s="99"/>
      <c r="CA280" s="99"/>
      <c r="CB280" s="99"/>
      <c r="CC280" s="99"/>
      <c r="CD280" s="99"/>
      <c r="CE280" s="99"/>
      <c r="CF280" s="99"/>
      <c r="CG280" s="99"/>
      <c r="CH280" s="99"/>
      <c r="CI280" s="99"/>
      <c r="CJ280" s="99"/>
      <c r="CK280" s="99"/>
      <c r="CL280" s="99"/>
      <c r="CM280" s="99"/>
      <c r="CN280" s="99"/>
      <c r="CO280" s="99"/>
      <c r="CP280" s="99"/>
      <c r="CQ280" s="99"/>
      <c r="CR280" s="99"/>
      <c r="CS280" s="99"/>
      <c r="CT280" s="99"/>
      <c r="CU280" s="99"/>
      <c r="CV280" s="99"/>
      <c r="CW280" s="99"/>
      <c r="CX280" s="99"/>
      <c r="CY280" s="99"/>
      <c r="CZ280" s="99"/>
      <c r="DA280" s="99"/>
      <c r="DB280" s="99"/>
      <c r="DC280" s="99"/>
      <c r="DD280" s="99"/>
      <c r="DE280" s="99"/>
      <c r="DF280" s="99"/>
      <c r="DG280" s="99"/>
      <c r="DH280" s="99"/>
      <c r="DI280" s="99"/>
      <c r="DJ280" s="99"/>
      <c r="DK280" s="99"/>
      <c r="DL280" s="99"/>
      <c r="DM280" s="99"/>
      <c r="DN280" s="99"/>
      <c r="DO280" s="99"/>
      <c r="DP280" s="99"/>
      <c r="DQ280" s="99"/>
      <c r="DR280" s="99"/>
      <c r="DS280" s="99"/>
      <c r="DT280" s="99"/>
      <c r="DU280" s="99"/>
      <c r="DV280" s="99"/>
      <c r="DW280" s="99"/>
      <c r="DX280" s="99"/>
      <c r="DY280" s="99"/>
      <c r="DZ280" s="99"/>
      <c r="EA280" s="99"/>
      <c r="EB280" s="99"/>
      <c r="EC280" s="99"/>
      <c r="ED280" s="99"/>
      <c r="EE280" s="99"/>
      <c r="EF280" s="99"/>
      <c r="EG280" s="99"/>
      <c r="EH280" s="99"/>
      <c r="EI280" s="99"/>
      <c r="EJ280" s="99"/>
      <c r="EK280" s="99"/>
      <c r="EL280" s="99"/>
      <c r="EM280" s="99"/>
      <c r="EN280" s="99"/>
      <c r="EO280" s="99"/>
      <c r="EP280" s="99"/>
      <c r="EQ280" s="99"/>
      <c r="ER280" s="99"/>
      <c r="ES280" s="99"/>
      <c r="ET280" s="99"/>
      <c r="EU280" s="99"/>
      <c r="EV280" s="99"/>
      <c r="EW280" s="99"/>
      <c r="EX280" s="99"/>
      <c r="EY280" s="99"/>
      <c r="EZ280" s="99"/>
      <c r="FA280" s="99"/>
      <c r="FB280" s="99"/>
      <c r="FC280" s="99"/>
      <c r="FD280" s="99"/>
      <c r="FE280" s="99"/>
      <c r="FF280" s="99"/>
      <c r="FG280" s="99"/>
      <c r="FH280" s="99"/>
      <c r="FI280" s="99"/>
      <c r="FJ280" s="99"/>
      <c r="FK280" s="99"/>
    </row>
    <row r="281" spans="3:167" x14ac:dyDescent="0.25">
      <c r="C281" s="10"/>
      <c r="D281" s="10"/>
      <c r="J281" s="99">
        <v>278</v>
      </c>
      <c r="K281" s="16"/>
      <c r="L281" s="16"/>
      <c r="M281" s="16"/>
      <c r="N281" s="16"/>
      <c r="O281" s="16"/>
      <c r="P281" s="16"/>
      <c r="Q281" s="16"/>
      <c r="R281" s="16"/>
      <c r="S281" s="16"/>
      <c r="T281" s="16"/>
      <c r="U281" s="14">
        <f>SUM(K281:T281)</f>
        <v>0</v>
      </c>
      <c r="V281" s="14"/>
      <c r="X281" s="75" t="str" cm="1">
        <f t="array" ref="X281">MID(";"&amp;'CASE DATA'!$F281&amp;";",SMALL(IF(ISERROR(SEARCH(MID(";"&amp;'CASE DATA'!$F281&amp;";",ROW($1:$99),1),";")),"",ROW($1:$99)+1),COLUMN(A281)),SMALL(IF(ISERROR(SEARCH(MID(";"&amp;'CASE DATA'!$F281&amp;";",ROW($1:$99),1),";")),"",ROW($1:$99)),COLUMN(A280)+1)-SMALL(IF(ISERROR(SEARCH(MID(";"&amp;'CASE DATA'!$F281&amp;";",ROW($1:$99),1),";")),"",ROW($1:$99)),COLUMN(A280))-1)</f>
        <v/>
      </c>
      <c r="Y281" s="75" t="str" cm="1">
        <f t="array" ref="Y281">MID(";"&amp;'CASE DATA'!$F281&amp;";",SMALL(IF(ISERROR(SEARCH(MID(";"&amp;'CASE DATA'!$F281&amp;";",ROW($1:$99),1),";")),"",ROW($1:$99)+1),COLUMN(B281)),SMALL(IF(ISERROR(SEARCH(MID(";"&amp;'CASE DATA'!$F281&amp;";",ROW($1:$99),1),";")),"",ROW($1:$99)),COLUMN(B280)+1)-SMALL(IF(ISERROR(SEARCH(MID(";"&amp;'CASE DATA'!$F281&amp;";",ROW($1:$99),1),";")),"",ROW($1:$99)),COLUMN(B280))-1)</f>
        <v/>
      </c>
      <c r="Z281" s="75" t="str" cm="1">
        <f t="array" ref="Z281">MID(";"&amp;'CASE DATA'!$F281&amp;";",SMALL(IF(ISERROR(SEARCH(MID(";"&amp;'CASE DATA'!$F281&amp;";",ROW($1:$99),1),";")),"",ROW($1:$99)+1),COLUMN(C281)),SMALL(IF(ISERROR(SEARCH(MID(";"&amp;'CASE DATA'!$F281&amp;";",ROW($1:$99),1),";")),"",ROW($1:$99)),COLUMN(C280)+1)-SMALL(IF(ISERROR(SEARCH(MID(";"&amp;'CASE DATA'!$F281&amp;";",ROW($1:$99),1),";")),"",ROW($1:$99)),COLUMN(C280))-1)</f>
        <v/>
      </c>
      <c r="AA281" s="75" t="str" cm="1">
        <f t="array" ref="AA281">MID(";"&amp;'CASE DATA'!$F281&amp;";",SMALL(IF(ISERROR(SEARCH(MID(";"&amp;'CASE DATA'!$F281&amp;";",ROW($1:$99),1),";")),"",ROW($1:$99)+1),COLUMN(D281)),SMALL(IF(ISERROR(SEARCH(MID(";"&amp;'CASE DATA'!$F281&amp;";",ROW($1:$99),1),";")),"",ROW($1:$99)),COLUMN(D280)+1)-SMALL(IF(ISERROR(SEARCH(MID(";"&amp;'CASE DATA'!$F281&amp;";",ROW($1:$99),1),";")),"",ROW($1:$99)),COLUMN(D280))-1)</f>
        <v/>
      </c>
      <c r="AB281" s="75" t="str" cm="1">
        <f t="array" ref="AB281">MID(";"&amp;'CASE DATA'!$F281&amp;";",SMALL(IF(ISERROR(SEARCH(MID(";"&amp;'CASE DATA'!$F281&amp;";",ROW($1:$99),1),";")),"",ROW($1:$99)+1),COLUMN(E281)),SMALL(IF(ISERROR(SEARCH(MID(";"&amp;'CASE DATA'!$F281&amp;";",ROW($1:$99),1),";")),"",ROW($1:$99)),COLUMN(E280)+1)-SMALL(IF(ISERROR(SEARCH(MID(";"&amp;'CASE DATA'!$F281&amp;";",ROW($1:$99),1),";")),"",ROW($1:$99)),COLUMN(E280))-1)</f>
        <v/>
      </c>
      <c r="AC281" s="75" t="str" cm="1">
        <f t="array" ref="AC281">MID(";"&amp;'CASE DATA'!$F281&amp;";",SMALL(IF(ISERROR(SEARCH(MID(";"&amp;'CASE DATA'!$F281&amp;";",ROW($1:$99),1),";")),"",ROW($1:$99)+1),COLUMN(F281)),SMALL(IF(ISERROR(SEARCH(MID(";"&amp;'CASE DATA'!$F281&amp;";",ROW($1:$99),1),";")),"",ROW($1:$99)),COLUMN(F280)+1)-SMALL(IF(ISERROR(SEARCH(MID(";"&amp;'CASE DATA'!$F281&amp;";",ROW($1:$99),1),";")),"",ROW($1:$99)),COLUMN(F280))-1)</f>
        <v/>
      </c>
      <c r="AD281" s="75" t="str" cm="1">
        <f t="array" ref="AD281">MID(";"&amp;'CASE DATA'!$F281&amp;";",SMALL(IF(ISERROR(SEARCH(MID(";"&amp;'CASE DATA'!$F281&amp;";",ROW($1:$99),1),";")),"",ROW($1:$99)+1),COLUMN(G281)),SMALL(IF(ISERROR(SEARCH(MID(";"&amp;'CASE DATA'!$F281&amp;";",ROW($1:$99),1),";")),"",ROW($1:$99)),COLUMN(G280)+1)-SMALL(IF(ISERROR(SEARCH(MID(";"&amp;'CASE DATA'!$F281&amp;";",ROW($1:$99),1),";")),"",ROW($1:$99)),COLUMN(G280))-1)</f>
        <v/>
      </c>
      <c r="AE281" s="75" t="str" cm="1">
        <f t="array" ref="AE281">MID(";"&amp;'CASE DATA'!$F281&amp;";",SMALL(IF(ISERROR(SEARCH(MID(";"&amp;'CASE DATA'!$F281&amp;";",ROW($1:$99),1),";")),"",ROW($1:$99)+1),COLUMN(H281)),SMALL(IF(ISERROR(SEARCH(MID(";"&amp;'CASE DATA'!$F281&amp;";",ROW($1:$99),1),";")),"",ROW($1:$99)),COLUMN(H280)+1)-SMALL(IF(ISERROR(SEARCH(MID(";"&amp;'CASE DATA'!$F281&amp;";",ROW($1:$99),1),";")),"",ROW($1:$99)),COLUMN(H280))-1)</f>
        <v/>
      </c>
      <c r="AF281" s="75" t="str" cm="1">
        <f t="array" ref="AF281">MID(";"&amp;'CASE DATA'!$F281&amp;";",SMALL(IF(ISERROR(SEARCH(MID(";"&amp;'CASE DATA'!$F281&amp;";",ROW($1:$99),1),";")),"",ROW($1:$99)+1),COLUMN(I281)),SMALL(IF(ISERROR(SEARCH(MID(";"&amp;'CASE DATA'!$F281&amp;";",ROW($1:$99),1),";")),"",ROW($1:$99)),COLUMN(I280)+1)-SMALL(IF(ISERROR(SEARCH(MID(";"&amp;'CASE DATA'!$F281&amp;";",ROW($1:$99),1),";")),"",ROW($1:$99)),COLUMN(I280))-1)</f>
        <v/>
      </c>
      <c r="AG281" s="75" t="str" cm="1">
        <f t="array" ref="AG281">MID(";"&amp;'CASE DATA'!$F281&amp;";",SMALL(IF(ISERROR(SEARCH(MID(";"&amp;'CASE DATA'!$F281&amp;";",ROW($1:$99),1),";")),"",ROW($1:$99)+1),COLUMN(K281)),SMALL(IF(ISERROR(SEARCH(MID(";"&amp;'CASE DATA'!$F281&amp;";",ROW($1:$99),1),";")),"",ROW($1:$99)),COLUMN(K280)+1)-SMALL(IF(ISERROR(SEARCH(MID(";"&amp;'CASE DATA'!$F281&amp;";",ROW($1:$99),1),";")),"",ROW($1:$99)),COLUMN(K280))-1)</f>
        <v/>
      </c>
      <c r="AH281" s="75" t="str" cm="1">
        <f t="array" ref="AH281">MID(";"&amp;'CASE DATA'!$F281&amp;";",SMALL(IF(ISERROR(SEARCH(MID(";"&amp;'CASE DATA'!$F281&amp;";",ROW($1:$99),1),";")),"",ROW($1:$99)+1),COLUMN(L281)),SMALL(IF(ISERROR(SEARCH(MID(";"&amp;'CASE DATA'!$F281&amp;";",ROW($1:$99),1),";")),"",ROW($1:$99)),COLUMN(L280)+1)-SMALL(IF(ISERROR(SEARCH(MID(";"&amp;'CASE DATA'!$F281&amp;";",ROW($1:$99),1),";")),"",ROW($1:$99)),COLUMN(L280))-1)</f>
        <v/>
      </c>
      <c r="AI281" s="75" t="str" cm="1">
        <f t="array" ref="AI281">MID(";"&amp;'CASE DATA'!$F281&amp;";",SMALL(IF(ISERROR(SEARCH(MID(";"&amp;'CASE DATA'!$F281&amp;";",ROW($1:$99),1),";")),"",ROW($1:$99)+1),COLUMN(M281)),SMALL(IF(ISERROR(SEARCH(MID(";"&amp;'CASE DATA'!$F281&amp;";",ROW($1:$99),1),";")),"",ROW($1:$99)),COLUMN(M280)+1)-SMALL(IF(ISERROR(SEARCH(MID(";"&amp;'CASE DATA'!$F281&amp;";",ROW($1:$99),1),";")),"",ROW($1:$99)),COLUMN(M280))-1)</f>
        <v/>
      </c>
      <c r="BO281" s="99"/>
      <c r="BP281" s="99"/>
      <c r="BQ281" s="99"/>
      <c r="BR281" s="99"/>
      <c r="BS281" s="99"/>
      <c r="BT281" s="99"/>
      <c r="BU281" s="99"/>
      <c r="BV281" s="99"/>
      <c r="BW281" s="99"/>
      <c r="BX281" s="99"/>
      <c r="BY281" s="99"/>
      <c r="BZ281" s="99"/>
      <c r="CA281" s="99"/>
      <c r="CB281" s="99"/>
      <c r="CC281" s="99"/>
      <c r="CD281" s="99"/>
      <c r="CE281" s="99"/>
      <c r="CF281" s="99"/>
      <c r="CG281" s="99"/>
      <c r="CH281" s="99"/>
      <c r="CI281" s="99"/>
      <c r="CJ281" s="99"/>
      <c r="CK281" s="99"/>
      <c r="CL281" s="99"/>
      <c r="CM281" s="99"/>
      <c r="CN281" s="99"/>
      <c r="CO281" s="99"/>
      <c r="CP281" s="99"/>
      <c r="CQ281" s="99"/>
      <c r="CR281" s="99"/>
      <c r="CS281" s="99"/>
      <c r="CT281" s="99"/>
      <c r="CU281" s="99"/>
      <c r="CV281" s="99"/>
      <c r="CW281" s="99"/>
      <c r="CX281" s="99"/>
      <c r="CY281" s="99"/>
      <c r="CZ281" s="99"/>
      <c r="DA281" s="99"/>
      <c r="DB281" s="99"/>
      <c r="DC281" s="99"/>
      <c r="DD281" s="99"/>
      <c r="DE281" s="99"/>
      <c r="DF281" s="99"/>
      <c r="DG281" s="99"/>
      <c r="DH281" s="99"/>
      <c r="DI281" s="99"/>
      <c r="DJ281" s="99"/>
      <c r="DK281" s="99"/>
      <c r="DL281" s="99"/>
      <c r="DM281" s="99"/>
      <c r="DN281" s="99"/>
      <c r="DO281" s="99"/>
      <c r="DP281" s="99"/>
      <c r="DQ281" s="99"/>
      <c r="DR281" s="99"/>
      <c r="DS281" s="99"/>
      <c r="DT281" s="99"/>
      <c r="DU281" s="99"/>
      <c r="DV281" s="99"/>
      <c r="DW281" s="99"/>
      <c r="DX281" s="99"/>
      <c r="DY281" s="99"/>
      <c r="DZ281" s="99"/>
      <c r="EA281" s="99"/>
      <c r="EB281" s="99"/>
      <c r="EC281" s="99"/>
      <c r="ED281" s="99"/>
      <c r="EE281" s="99"/>
      <c r="EF281" s="99"/>
      <c r="EG281" s="99"/>
      <c r="EH281" s="99"/>
      <c r="EI281" s="99"/>
      <c r="EJ281" s="99"/>
      <c r="EK281" s="99"/>
      <c r="EL281" s="99"/>
      <c r="EM281" s="99"/>
      <c r="EN281" s="99"/>
      <c r="EO281" s="99"/>
      <c r="EP281" s="99"/>
      <c r="EQ281" s="99"/>
      <c r="ER281" s="99"/>
      <c r="ES281" s="99"/>
      <c r="ET281" s="99"/>
      <c r="EU281" s="99"/>
      <c r="EV281" s="99"/>
      <c r="EW281" s="99"/>
      <c r="EX281" s="99"/>
      <c r="EY281" s="99"/>
      <c r="EZ281" s="99"/>
      <c r="FA281" s="99"/>
      <c r="FB281" s="99"/>
      <c r="FC281" s="99"/>
      <c r="FD281" s="99"/>
      <c r="FE281" s="99"/>
      <c r="FF281" s="99"/>
      <c r="FG281" s="99"/>
      <c r="FH281" s="99"/>
      <c r="FI281" s="99"/>
      <c r="FJ281" s="99"/>
      <c r="FK281" s="99"/>
    </row>
    <row r="282" spans="3:167" x14ac:dyDescent="0.25">
      <c r="C282" s="10"/>
      <c r="D282" s="10"/>
      <c r="J282" s="99">
        <v>279</v>
      </c>
      <c r="K282" s="16"/>
      <c r="L282" s="16"/>
      <c r="M282" s="16"/>
      <c r="N282" s="16"/>
      <c r="O282" s="16"/>
      <c r="P282" s="16"/>
      <c r="Q282" s="16"/>
      <c r="R282" s="16"/>
      <c r="S282" s="16"/>
      <c r="T282" s="16"/>
      <c r="U282" s="14">
        <f>SUM(K282:T282)</f>
        <v>0</v>
      </c>
      <c r="V282" s="14"/>
      <c r="X282" s="75" t="str" cm="1">
        <f t="array" ref="X282">MID(";"&amp;'CASE DATA'!$F282&amp;";",SMALL(IF(ISERROR(SEARCH(MID(";"&amp;'CASE DATA'!$F282&amp;";",ROW($1:$99),1),";")),"",ROW($1:$99)+1),COLUMN(A282)),SMALL(IF(ISERROR(SEARCH(MID(";"&amp;'CASE DATA'!$F282&amp;";",ROW($1:$99),1),";")),"",ROW($1:$99)),COLUMN(A281)+1)-SMALL(IF(ISERROR(SEARCH(MID(";"&amp;'CASE DATA'!$F282&amp;";",ROW($1:$99),1),";")),"",ROW($1:$99)),COLUMN(A281))-1)</f>
        <v/>
      </c>
      <c r="Y282" s="75" t="str" cm="1">
        <f t="array" ref="Y282">MID(";"&amp;'CASE DATA'!$F282&amp;";",SMALL(IF(ISERROR(SEARCH(MID(";"&amp;'CASE DATA'!$F282&amp;";",ROW($1:$99),1),";")),"",ROW($1:$99)+1),COLUMN(B282)),SMALL(IF(ISERROR(SEARCH(MID(";"&amp;'CASE DATA'!$F282&amp;";",ROW($1:$99),1),";")),"",ROW($1:$99)),COLUMN(B281)+1)-SMALL(IF(ISERROR(SEARCH(MID(";"&amp;'CASE DATA'!$F282&amp;";",ROW($1:$99),1),";")),"",ROW($1:$99)),COLUMN(B281))-1)</f>
        <v/>
      </c>
      <c r="Z282" s="75" t="str" cm="1">
        <f t="array" ref="Z282">MID(";"&amp;'CASE DATA'!$F282&amp;";",SMALL(IF(ISERROR(SEARCH(MID(";"&amp;'CASE DATA'!$F282&amp;";",ROW($1:$99),1),";")),"",ROW($1:$99)+1),COLUMN(C282)),SMALL(IF(ISERROR(SEARCH(MID(";"&amp;'CASE DATA'!$F282&amp;";",ROW($1:$99),1),";")),"",ROW($1:$99)),COLUMN(C281)+1)-SMALL(IF(ISERROR(SEARCH(MID(";"&amp;'CASE DATA'!$F282&amp;";",ROW($1:$99),1),";")),"",ROW($1:$99)),COLUMN(C281))-1)</f>
        <v/>
      </c>
      <c r="AA282" s="75" t="str" cm="1">
        <f t="array" ref="AA282">MID(";"&amp;'CASE DATA'!$F282&amp;";",SMALL(IF(ISERROR(SEARCH(MID(";"&amp;'CASE DATA'!$F282&amp;";",ROW($1:$99),1),";")),"",ROW($1:$99)+1),COLUMN(D282)),SMALL(IF(ISERROR(SEARCH(MID(";"&amp;'CASE DATA'!$F282&amp;";",ROW($1:$99),1),";")),"",ROW($1:$99)),COLUMN(D281)+1)-SMALL(IF(ISERROR(SEARCH(MID(";"&amp;'CASE DATA'!$F282&amp;";",ROW($1:$99),1),";")),"",ROW($1:$99)),COLUMN(D281))-1)</f>
        <v/>
      </c>
      <c r="AB282" s="75" t="str" cm="1">
        <f t="array" ref="AB282">MID(";"&amp;'CASE DATA'!$F282&amp;";",SMALL(IF(ISERROR(SEARCH(MID(";"&amp;'CASE DATA'!$F282&amp;";",ROW($1:$99),1),";")),"",ROW($1:$99)+1),COLUMN(E282)),SMALL(IF(ISERROR(SEARCH(MID(";"&amp;'CASE DATA'!$F282&amp;";",ROW($1:$99),1),";")),"",ROW($1:$99)),COLUMN(E281)+1)-SMALL(IF(ISERROR(SEARCH(MID(";"&amp;'CASE DATA'!$F282&amp;";",ROW($1:$99),1),";")),"",ROW($1:$99)),COLUMN(E281))-1)</f>
        <v/>
      </c>
      <c r="AC282" s="75" t="str" cm="1">
        <f t="array" ref="AC282">MID(";"&amp;'CASE DATA'!$F282&amp;";",SMALL(IF(ISERROR(SEARCH(MID(";"&amp;'CASE DATA'!$F282&amp;";",ROW($1:$99),1),";")),"",ROW($1:$99)+1),COLUMN(F282)),SMALL(IF(ISERROR(SEARCH(MID(";"&amp;'CASE DATA'!$F282&amp;";",ROW($1:$99),1),";")),"",ROW($1:$99)),COLUMN(F281)+1)-SMALL(IF(ISERROR(SEARCH(MID(";"&amp;'CASE DATA'!$F282&amp;";",ROW($1:$99),1),";")),"",ROW($1:$99)),COLUMN(F281))-1)</f>
        <v/>
      </c>
      <c r="AD282" s="75" t="str" cm="1">
        <f t="array" ref="AD282">MID(";"&amp;'CASE DATA'!$F282&amp;";",SMALL(IF(ISERROR(SEARCH(MID(";"&amp;'CASE DATA'!$F282&amp;";",ROW($1:$99),1),";")),"",ROW($1:$99)+1),COLUMN(G282)),SMALL(IF(ISERROR(SEARCH(MID(";"&amp;'CASE DATA'!$F282&amp;";",ROW($1:$99),1),";")),"",ROW($1:$99)),COLUMN(G281)+1)-SMALL(IF(ISERROR(SEARCH(MID(";"&amp;'CASE DATA'!$F282&amp;";",ROW($1:$99),1),";")),"",ROW($1:$99)),COLUMN(G281))-1)</f>
        <v/>
      </c>
      <c r="AE282" s="75" t="str" cm="1">
        <f t="array" ref="AE282">MID(";"&amp;'CASE DATA'!$F282&amp;";",SMALL(IF(ISERROR(SEARCH(MID(";"&amp;'CASE DATA'!$F282&amp;";",ROW($1:$99),1),";")),"",ROW($1:$99)+1),COLUMN(H282)),SMALL(IF(ISERROR(SEARCH(MID(";"&amp;'CASE DATA'!$F282&amp;";",ROW($1:$99),1),";")),"",ROW($1:$99)),COLUMN(H281)+1)-SMALL(IF(ISERROR(SEARCH(MID(";"&amp;'CASE DATA'!$F282&amp;";",ROW($1:$99),1),";")),"",ROW($1:$99)),COLUMN(H281))-1)</f>
        <v/>
      </c>
      <c r="AF282" s="75" t="str" cm="1">
        <f t="array" ref="AF282">MID(";"&amp;'CASE DATA'!$F282&amp;";",SMALL(IF(ISERROR(SEARCH(MID(";"&amp;'CASE DATA'!$F282&amp;";",ROW($1:$99),1),";")),"",ROW($1:$99)+1),COLUMN(I282)),SMALL(IF(ISERROR(SEARCH(MID(";"&amp;'CASE DATA'!$F282&amp;";",ROW($1:$99),1),";")),"",ROW($1:$99)),COLUMN(I281)+1)-SMALL(IF(ISERROR(SEARCH(MID(";"&amp;'CASE DATA'!$F282&amp;";",ROW($1:$99),1),";")),"",ROW($1:$99)),COLUMN(I281))-1)</f>
        <v/>
      </c>
      <c r="AG282" s="75" t="str" cm="1">
        <f t="array" ref="AG282">MID(";"&amp;'CASE DATA'!$F282&amp;";",SMALL(IF(ISERROR(SEARCH(MID(";"&amp;'CASE DATA'!$F282&amp;";",ROW($1:$99),1),";")),"",ROW($1:$99)+1),COLUMN(K282)),SMALL(IF(ISERROR(SEARCH(MID(";"&amp;'CASE DATA'!$F282&amp;";",ROW($1:$99),1),";")),"",ROW($1:$99)),COLUMN(K281)+1)-SMALL(IF(ISERROR(SEARCH(MID(";"&amp;'CASE DATA'!$F282&amp;";",ROW($1:$99),1),";")),"",ROW($1:$99)),COLUMN(K281))-1)</f>
        <v/>
      </c>
      <c r="AH282" s="75" t="str" cm="1">
        <f t="array" ref="AH282">MID(";"&amp;'CASE DATA'!$F282&amp;";",SMALL(IF(ISERROR(SEARCH(MID(";"&amp;'CASE DATA'!$F282&amp;";",ROW($1:$99),1),";")),"",ROW($1:$99)+1),COLUMN(L282)),SMALL(IF(ISERROR(SEARCH(MID(";"&amp;'CASE DATA'!$F282&amp;";",ROW($1:$99),1),";")),"",ROW($1:$99)),COLUMN(L281)+1)-SMALL(IF(ISERROR(SEARCH(MID(";"&amp;'CASE DATA'!$F282&amp;";",ROW($1:$99),1),";")),"",ROW($1:$99)),COLUMN(L281))-1)</f>
        <v/>
      </c>
      <c r="AI282" s="75" t="str" cm="1">
        <f t="array" ref="AI282">MID(";"&amp;'CASE DATA'!$F282&amp;";",SMALL(IF(ISERROR(SEARCH(MID(";"&amp;'CASE DATA'!$F282&amp;";",ROW($1:$99),1),";")),"",ROW($1:$99)+1),COLUMN(M282)),SMALL(IF(ISERROR(SEARCH(MID(";"&amp;'CASE DATA'!$F282&amp;";",ROW($1:$99),1),";")),"",ROW($1:$99)),COLUMN(M281)+1)-SMALL(IF(ISERROR(SEARCH(MID(";"&amp;'CASE DATA'!$F282&amp;";",ROW($1:$99),1),";")),"",ROW($1:$99)),COLUMN(M281))-1)</f>
        <v/>
      </c>
      <c r="BO282" s="99"/>
      <c r="BP282" s="99"/>
      <c r="BQ282" s="99"/>
      <c r="BR282" s="99"/>
      <c r="BS282" s="99"/>
      <c r="BT282" s="99"/>
      <c r="BU282" s="99"/>
      <c r="BV282" s="99"/>
      <c r="BW282" s="99"/>
      <c r="BX282" s="99"/>
      <c r="BY282" s="99"/>
      <c r="BZ282" s="99"/>
      <c r="CA282" s="99"/>
      <c r="CB282" s="99"/>
      <c r="CC282" s="99"/>
      <c r="CD282" s="99"/>
      <c r="CE282" s="99"/>
      <c r="CF282" s="99"/>
      <c r="CG282" s="99"/>
      <c r="CH282" s="99"/>
      <c r="CI282" s="99"/>
      <c r="CJ282" s="99"/>
      <c r="CK282" s="99"/>
      <c r="CL282" s="99"/>
      <c r="CM282" s="99"/>
      <c r="CN282" s="99"/>
      <c r="CO282" s="99"/>
      <c r="CP282" s="99"/>
      <c r="CQ282" s="99"/>
      <c r="CR282" s="99"/>
      <c r="CS282" s="99"/>
      <c r="CT282" s="99"/>
      <c r="CU282" s="99"/>
      <c r="CV282" s="99"/>
      <c r="CW282" s="99"/>
      <c r="CX282" s="99"/>
      <c r="CY282" s="99"/>
      <c r="CZ282" s="99"/>
      <c r="DA282" s="99"/>
      <c r="DB282" s="99"/>
      <c r="DC282" s="99"/>
      <c r="DD282" s="99"/>
      <c r="DE282" s="99"/>
      <c r="DF282" s="99"/>
      <c r="DG282" s="99"/>
      <c r="DH282" s="99"/>
      <c r="DI282" s="99"/>
      <c r="DJ282" s="99"/>
      <c r="DK282" s="99"/>
      <c r="DL282" s="99"/>
      <c r="DM282" s="99"/>
      <c r="DN282" s="99"/>
      <c r="DO282" s="99"/>
      <c r="DP282" s="99"/>
      <c r="DQ282" s="99"/>
      <c r="DR282" s="99"/>
      <c r="DS282" s="99"/>
      <c r="DT282" s="99"/>
      <c r="DU282" s="99"/>
      <c r="DV282" s="99"/>
      <c r="DW282" s="99"/>
      <c r="DX282" s="99"/>
      <c r="DY282" s="99"/>
      <c r="DZ282" s="99"/>
      <c r="EA282" s="99"/>
      <c r="EB282" s="99"/>
      <c r="EC282" s="99"/>
      <c r="ED282" s="99"/>
      <c r="EE282" s="99"/>
      <c r="EF282" s="99"/>
      <c r="EG282" s="99"/>
      <c r="EH282" s="99"/>
      <c r="EI282" s="99"/>
      <c r="EJ282" s="99"/>
      <c r="EK282" s="99"/>
      <c r="EL282" s="99"/>
      <c r="EM282" s="99"/>
      <c r="EN282" s="99"/>
      <c r="EO282" s="99"/>
      <c r="EP282" s="99"/>
      <c r="EQ282" s="99"/>
      <c r="ER282" s="99"/>
      <c r="ES282" s="99"/>
      <c r="ET282" s="99"/>
      <c r="EU282" s="99"/>
      <c r="EV282" s="99"/>
      <c r="EW282" s="99"/>
      <c r="EX282" s="99"/>
      <c r="EY282" s="99"/>
      <c r="EZ282" s="99"/>
      <c r="FA282" s="99"/>
      <c r="FB282" s="99"/>
      <c r="FC282" s="99"/>
      <c r="FD282" s="99"/>
      <c r="FE282" s="99"/>
      <c r="FF282" s="99"/>
      <c r="FG282" s="99"/>
      <c r="FH282" s="99"/>
      <c r="FI282" s="99"/>
      <c r="FJ282" s="99"/>
      <c r="FK282" s="99"/>
    </row>
    <row r="283" spans="3:167" x14ac:dyDescent="0.25">
      <c r="C283" s="10"/>
      <c r="D283" s="10"/>
      <c r="J283" s="99">
        <v>280</v>
      </c>
      <c r="K283" s="16"/>
      <c r="L283" s="16"/>
      <c r="M283" s="16"/>
      <c r="N283" s="16"/>
      <c r="O283" s="16"/>
      <c r="P283" s="16"/>
      <c r="Q283" s="16"/>
      <c r="R283" s="16"/>
      <c r="S283" s="16"/>
      <c r="T283" s="16"/>
      <c r="U283" s="14">
        <f>SUM(K283:T283)</f>
        <v>0</v>
      </c>
      <c r="V283" s="14"/>
      <c r="X283" s="75" t="str" cm="1">
        <f t="array" ref="X283">MID(";"&amp;'CASE DATA'!$F283&amp;";",SMALL(IF(ISERROR(SEARCH(MID(";"&amp;'CASE DATA'!$F283&amp;";",ROW($1:$99),1),";")),"",ROW($1:$99)+1),COLUMN(A283)),SMALL(IF(ISERROR(SEARCH(MID(";"&amp;'CASE DATA'!$F283&amp;";",ROW($1:$99),1),";")),"",ROW($1:$99)),COLUMN(A282)+1)-SMALL(IF(ISERROR(SEARCH(MID(";"&amp;'CASE DATA'!$F283&amp;";",ROW($1:$99),1),";")),"",ROW($1:$99)),COLUMN(A282))-1)</f>
        <v/>
      </c>
      <c r="Y283" s="75" t="str" cm="1">
        <f t="array" ref="Y283">MID(";"&amp;'CASE DATA'!$F283&amp;";",SMALL(IF(ISERROR(SEARCH(MID(";"&amp;'CASE DATA'!$F283&amp;";",ROW($1:$99),1),";")),"",ROW($1:$99)+1),COLUMN(B283)),SMALL(IF(ISERROR(SEARCH(MID(";"&amp;'CASE DATA'!$F283&amp;";",ROW($1:$99),1),";")),"",ROW($1:$99)),COLUMN(B282)+1)-SMALL(IF(ISERROR(SEARCH(MID(";"&amp;'CASE DATA'!$F283&amp;";",ROW($1:$99),1),";")),"",ROW($1:$99)),COLUMN(B282))-1)</f>
        <v/>
      </c>
      <c r="Z283" s="75" t="str" cm="1">
        <f t="array" ref="Z283">MID(";"&amp;'CASE DATA'!$F283&amp;";",SMALL(IF(ISERROR(SEARCH(MID(";"&amp;'CASE DATA'!$F283&amp;";",ROW($1:$99),1),";")),"",ROW($1:$99)+1),COLUMN(C283)),SMALL(IF(ISERROR(SEARCH(MID(";"&amp;'CASE DATA'!$F283&amp;";",ROW($1:$99),1),";")),"",ROW($1:$99)),COLUMN(C282)+1)-SMALL(IF(ISERROR(SEARCH(MID(";"&amp;'CASE DATA'!$F283&amp;";",ROW($1:$99),1),";")),"",ROW($1:$99)),COLUMN(C282))-1)</f>
        <v/>
      </c>
      <c r="AA283" s="75" t="str" cm="1">
        <f t="array" ref="AA283">MID(";"&amp;'CASE DATA'!$F283&amp;";",SMALL(IF(ISERROR(SEARCH(MID(";"&amp;'CASE DATA'!$F283&amp;";",ROW($1:$99),1),";")),"",ROW($1:$99)+1),COLUMN(D283)),SMALL(IF(ISERROR(SEARCH(MID(";"&amp;'CASE DATA'!$F283&amp;";",ROW($1:$99),1),";")),"",ROW($1:$99)),COLUMN(D282)+1)-SMALL(IF(ISERROR(SEARCH(MID(";"&amp;'CASE DATA'!$F283&amp;";",ROW($1:$99),1),";")),"",ROW($1:$99)),COLUMN(D282))-1)</f>
        <v/>
      </c>
      <c r="AB283" s="75" t="str" cm="1">
        <f t="array" ref="AB283">MID(";"&amp;'CASE DATA'!$F283&amp;";",SMALL(IF(ISERROR(SEARCH(MID(";"&amp;'CASE DATA'!$F283&amp;";",ROW($1:$99),1),";")),"",ROW($1:$99)+1),COLUMN(E283)),SMALL(IF(ISERROR(SEARCH(MID(";"&amp;'CASE DATA'!$F283&amp;";",ROW($1:$99),1),";")),"",ROW($1:$99)),COLUMN(E282)+1)-SMALL(IF(ISERROR(SEARCH(MID(";"&amp;'CASE DATA'!$F283&amp;";",ROW($1:$99),1),";")),"",ROW($1:$99)),COLUMN(E282))-1)</f>
        <v/>
      </c>
      <c r="AC283" s="75" t="str" cm="1">
        <f t="array" ref="AC283">MID(";"&amp;'CASE DATA'!$F283&amp;";",SMALL(IF(ISERROR(SEARCH(MID(";"&amp;'CASE DATA'!$F283&amp;";",ROW($1:$99),1),";")),"",ROW($1:$99)+1),COLUMN(F283)),SMALL(IF(ISERROR(SEARCH(MID(";"&amp;'CASE DATA'!$F283&amp;";",ROW($1:$99),1),";")),"",ROW($1:$99)),COLUMN(F282)+1)-SMALL(IF(ISERROR(SEARCH(MID(";"&amp;'CASE DATA'!$F283&amp;";",ROW($1:$99),1),";")),"",ROW($1:$99)),COLUMN(F282))-1)</f>
        <v/>
      </c>
      <c r="AD283" s="75" t="str" cm="1">
        <f t="array" ref="AD283">MID(";"&amp;'CASE DATA'!$F283&amp;";",SMALL(IF(ISERROR(SEARCH(MID(";"&amp;'CASE DATA'!$F283&amp;";",ROW($1:$99),1),";")),"",ROW($1:$99)+1),COLUMN(G283)),SMALL(IF(ISERROR(SEARCH(MID(";"&amp;'CASE DATA'!$F283&amp;";",ROW($1:$99),1),";")),"",ROW($1:$99)),COLUMN(G282)+1)-SMALL(IF(ISERROR(SEARCH(MID(";"&amp;'CASE DATA'!$F283&amp;";",ROW($1:$99),1),";")),"",ROW($1:$99)),COLUMN(G282))-1)</f>
        <v/>
      </c>
      <c r="AE283" s="75" t="str" cm="1">
        <f t="array" ref="AE283">MID(";"&amp;'CASE DATA'!$F283&amp;";",SMALL(IF(ISERROR(SEARCH(MID(";"&amp;'CASE DATA'!$F283&amp;";",ROW($1:$99),1),";")),"",ROW($1:$99)+1),COLUMN(H283)),SMALL(IF(ISERROR(SEARCH(MID(";"&amp;'CASE DATA'!$F283&amp;";",ROW($1:$99),1),";")),"",ROW($1:$99)),COLUMN(H282)+1)-SMALL(IF(ISERROR(SEARCH(MID(";"&amp;'CASE DATA'!$F283&amp;";",ROW($1:$99),1),";")),"",ROW($1:$99)),COLUMN(H282))-1)</f>
        <v/>
      </c>
      <c r="AF283" s="75" t="str" cm="1">
        <f t="array" ref="AF283">MID(";"&amp;'CASE DATA'!$F283&amp;";",SMALL(IF(ISERROR(SEARCH(MID(";"&amp;'CASE DATA'!$F283&amp;";",ROW($1:$99),1),";")),"",ROW($1:$99)+1),COLUMN(I283)),SMALL(IF(ISERROR(SEARCH(MID(";"&amp;'CASE DATA'!$F283&amp;";",ROW($1:$99),1),";")),"",ROW($1:$99)),COLUMN(I282)+1)-SMALL(IF(ISERROR(SEARCH(MID(";"&amp;'CASE DATA'!$F283&amp;";",ROW($1:$99),1),";")),"",ROW($1:$99)),COLUMN(I282))-1)</f>
        <v/>
      </c>
      <c r="AG283" s="75" t="str" cm="1">
        <f t="array" ref="AG283">MID(";"&amp;'CASE DATA'!$F283&amp;";",SMALL(IF(ISERROR(SEARCH(MID(";"&amp;'CASE DATA'!$F283&amp;";",ROW($1:$99),1),";")),"",ROW($1:$99)+1),COLUMN(K283)),SMALL(IF(ISERROR(SEARCH(MID(";"&amp;'CASE DATA'!$F283&amp;";",ROW($1:$99),1),";")),"",ROW($1:$99)),COLUMN(K282)+1)-SMALL(IF(ISERROR(SEARCH(MID(";"&amp;'CASE DATA'!$F283&amp;";",ROW($1:$99),1),";")),"",ROW($1:$99)),COLUMN(K282))-1)</f>
        <v/>
      </c>
      <c r="AH283" s="75" t="str" cm="1">
        <f t="array" ref="AH283">MID(";"&amp;'CASE DATA'!$F283&amp;";",SMALL(IF(ISERROR(SEARCH(MID(";"&amp;'CASE DATA'!$F283&amp;";",ROW($1:$99),1),";")),"",ROW($1:$99)+1),COLUMN(L283)),SMALL(IF(ISERROR(SEARCH(MID(";"&amp;'CASE DATA'!$F283&amp;";",ROW($1:$99),1),";")),"",ROW($1:$99)),COLUMN(L282)+1)-SMALL(IF(ISERROR(SEARCH(MID(";"&amp;'CASE DATA'!$F283&amp;";",ROW($1:$99),1),";")),"",ROW($1:$99)),COLUMN(L282))-1)</f>
        <v/>
      </c>
      <c r="AI283" s="75" t="str" cm="1">
        <f t="array" ref="AI283">MID(";"&amp;'CASE DATA'!$F283&amp;";",SMALL(IF(ISERROR(SEARCH(MID(";"&amp;'CASE DATA'!$F283&amp;";",ROW($1:$99),1),";")),"",ROW($1:$99)+1),COLUMN(M283)),SMALL(IF(ISERROR(SEARCH(MID(";"&amp;'CASE DATA'!$F283&amp;";",ROW($1:$99),1),";")),"",ROW($1:$99)),COLUMN(M282)+1)-SMALL(IF(ISERROR(SEARCH(MID(";"&amp;'CASE DATA'!$F283&amp;";",ROW($1:$99),1),";")),"",ROW($1:$99)),COLUMN(M282))-1)</f>
        <v/>
      </c>
      <c r="BO283" s="99"/>
      <c r="BP283" s="99"/>
      <c r="BQ283" s="99"/>
      <c r="BR283" s="99"/>
      <c r="BS283" s="99"/>
      <c r="BT283" s="99"/>
      <c r="BU283" s="99"/>
      <c r="BV283" s="99"/>
      <c r="BW283" s="99"/>
      <c r="BX283" s="99"/>
      <c r="BY283" s="99"/>
      <c r="BZ283" s="99"/>
      <c r="CA283" s="99"/>
      <c r="CB283" s="99"/>
      <c r="CC283" s="99"/>
      <c r="CD283" s="99"/>
      <c r="CE283" s="99"/>
      <c r="CF283" s="99"/>
      <c r="CG283" s="99"/>
      <c r="CH283" s="99"/>
      <c r="CI283" s="99"/>
      <c r="CJ283" s="99"/>
      <c r="CK283" s="99"/>
      <c r="CL283" s="99"/>
      <c r="CM283" s="99"/>
      <c r="CN283" s="99"/>
      <c r="CO283" s="99"/>
      <c r="CP283" s="99"/>
      <c r="CQ283" s="99"/>
      <c r="CR283" s="99"/>
      <c r="CS283" s="99"/>
      <c r="CT283" s="99"/>
      <c r="CU283" s="99"/>
      <c r="CV283" s="99"/>
      <c r="CW283" s="99"/>
      <c r="CX283" s="99"/>
      <c r="CY283" s="99"/>
      <c r="CZ283" s="99"/>
      <c r="DA283" s="99"/>
      <c r="DB283" s="99"/>
      <c r="DC283" s="99"/>
      <c r="DD283" s="99"/>
      <c r="DE283" s="99"/>
      <c r="DF283" s="99"/>
      <c r="DG283" s="99"/>
      <c r="DH283" s="99"/>
      <c r="DI283" s="99"/>
      <c r="DJ283" s="99"/>
      <c r="DK283" s="99"/>
      <c r="DL283" s="99"/>
      <c r="DM283" s="99"/>
      <c r="DN283" s="99"/>
      <c r="DO283" s="99"/>
      <c r="DP283" s="99"/>
      <c r="DQ283" s="99"/>
      <c r="DR283" s="99"/>
      <c r="DS283" s="99"/>
      <c r="DT283" s="99"/>
      <c r="DU283" s="99"/>
      <c r="DV283" s="99"/>
      <c r="DW283" s="99"/>
      <c r="DX283" s="99"/>
      <c r="DY283" s="99"/>
      <c r="DZ283" s="99"/>
      <c r="EA283" s="99"/>
      <c r="EB283" s="99"/>
      <c r="EC283" s="99"/>
      <c r="ED283" s="99"/>
      <c r="EE283" s="99"/>
      <c r="EF283" s="99"/>
      <c r="EG283" s="99"/>
      <c r="EH283" s="99"/>
      <c r="EI283" s="99"/>
      <c r="EJ283" s="99"/>
      <c r="EK283" s="99"/>
      <c r="EL283" s="99"/>
      <c r="EM283" s="99"/>
      <c r="EN283" s="99"/>
      <c r="EO283" s="99"/>
      <c r="EP283" s="99"/>
      <c r="EQ283" s="99"/>
      <c r="ER283" s="99"/>
      <c r="ES283" s="99"/>
      <c r="ET283" s="99"/>
      <c r="EU283" s="99"/>
      <c r="EV283" s="99"/>
      <c r="EW283" s="99"/>
      <c r="EX283" s="99"/>
      <c r="EY283" s="99"/>
      <c r="EZ283" s="99"/>
      <c r="FA283" s="99"/>
      <c r="FB283" s="99"/>
      <c r="FC283" s="99"/>
      <c r="FD283" s="99"/>
      <c r="FE283" s="99"/>
      <c r="FF283" s="99"/>
      <c r="FG283" s="99"/>
      <c r="FH283" s="99"/>
      <c r="FI283" s="99"/>
      <c r="FJ283" s="99"/>
      <c r="FK283" s="99"/>
    </row>
    <row r="284" spans="3:167" x14ac:dyDescent="0.25">
      <c r="C284" s="10"/>
      <c r="D284" s="10"/>
      <c r="J284" s="99">
        <v>281</v>
      </c>
      <c r="K284" s="16"/>
      <c r="L284" s="16"/>
      <c r="M284" s="16"/>
      <c r="N284" s="16"/>
      <c r="O284" s="16"/>
      <c r="P284" s="16"/>
      <c r="Q284" s="16"/>
      <c r="R284" s="16"/>
      <c r="S284" s="16"/>
      <c r="T284" s="16"/>
      <c r="U284" s="14">
        <f>SUM(K284:T284)</f>
        <v>0</v>
      </c>
      <c r="V284" s="14"/>
      <c r="X284" s="75" t="str" cm="1">
        <f t="array" ref="X284">MID(";"&amp;'CASE DATA'!$F284&amp;";",SMALL(IF(ISERROR(SEARCH(MID(";"&amp;'CASE DATA'!$F284&amp;";",ROW($1:$99),1),";")),"",ROW($1:$99)+1),COLUMN(A284)),SMALL(IF(ISERROR(SEARCH(MID(";"&amp;'CASE DATA'!$F284&amp;";",ROW($1:$99),1),";")),"",ROW($1:$99)),COLUMN(A283)+1)-SMALL(IF(ISERROR(SEARCH(MID(";"&amp;'CASE DATA'!$F284&amp;";",ROW($1:$99),1),";")),"",ROW($1:$99)),COLUMN(A283))-1)</f>
        <v/>
      </c>
      <c r="Y284" s="75" t="str" cm="1">
        <f t="array" ref="Y284">MID(";"&amp;'CASE DATA'!$F284&amp;";",SMALL(IF(ISERROR(SEARCH(MID(";"&amp;'CASE DATA'!$F284&amp;";",ROW($1:$99),1),";")),"",ROW($1:$99)+1),COLUMN(B284)),SMALL(IF(ISERROR(SEARCH(MID(";"&amp;'CASE DATA'!$F284&amp;";",ROW($1:$99),1),";")),"",ROW($1:$99)),COLUMN(B283)+1)-SMALL(IF(ISERROR(SEARCH(MID(";"&amp;'CASE DATA'!$F284&amp;";",ROW($1:$99),1),";")),"",ROW($1:$99)),COLUMN(B283))-1)</f>
        <v/>
      </c>
      <c r="Z284" s="75" t="str" cm="1">
        <f t="array" ref="Z284">MID(";"&amp;'CASE DATA'!$F284&amp;";",SMALL(IF(ISERROR(SEARCH(MID(";"&amp;'CASE DATA'!$F284&amp;";",ROW($1:$99),1),";")),"",ROW($1:$99)+1),COLUMN(C284)),SMALL(IF(ISERROR(SEARCH(MID(";"&amp;'CASE DATA'!$F284&amp;";",ROW($1:$99),1),";")),"",ROW($1:$99)),COLUMN(C283)+1)-SMALL(IF(ISERROR(SEARCH(MID(";"&amp;'CASE DATA'!$F284&amp;";",ROW($1:$99),1),";")),"",ROW($1:$99)),COLUMN(C283))-1)</f>
        <v/>
      </c>
      <c r="AA284" s="75" t="str" cm="1">
        <f t="array" ref="AA284">MID(";"&amp;'CASE DATA'!$F284&amp;";",SMALL(IF(ISERROR(SEARCH(MID(";"&amp;'CASE DATA'!$F284&amp;";",ROW($1:$99),1),";")),"",ROW($1:$99)+1),COLUMN(D284)),SMALL(IF(ISERROR(SEARCH(MID(";"&amp;'CASE DATA'!$F284&amp;";",ROW($1:$99),1),";")),"",ROW($1:$99)),COLUMN(D283)+1)-SMALL(IF(ISERROR(SEARCH(MID(";"&amp;'CASE DATA'!$F284&amp;";",ROW($1:$99),1),";")),"",ROW($1:$99)),COLUMN(D283))-1)</f>
        <v/>
      </c>
      <c r="AB284" s="75" t="str" cm="1">
        <f t="array" ref="AB284">MID(";"&amp;'CASE DATA'!$F284&amp;";",SMALL(IF(ISERROR(SEARCH(MID(";"&amp;'CASE DATA'!$F284&amp;";",ROW($1:$99),1),";")),"",ROW($1:$99)+1),COLUMN(E284)),SMALL(IF(ISERROR(SEARCH(MID(";"&amp;'CASE DATA'!$F284&amp;";",ROW($1:$99),1),";")),"",ROW($1:$99)),COLUMN(E283)+1)-SMALL(IF(ISERROR(SEARCH(MID(";"&amp;'CASE DATA'!$F284&amp;";",ROW($1:$99),1),";")),"",ROW($1:$99)),COLUMN(E283))-1)</f>
        <v/>
      </c>
      <c r="AC284" s="75" t="str" cm="1">
        <f t="array" ref="AC284">MID(";"&amp;'CASE DATA'!$F284&amp;";",SMALL(IF(ISERROR(SEARCH(MID(";"&amp;'CASE DATA'!$F284&amp;";",ROW($1:$99),1),";")),"",ROW($1:$99)+1),COLUMN(F284)),SMALL(IF(ISERROR(SEARCH(MID(";"&amp;'CASE DATA'!$F284&amp;";",ROW($1:$99),1),";")),"",ROW($1:$99)),COLUMN(F283)+1)-SMALL(IF(ISERROR(SEARCH(MID(";"&amp;'CASE DATA'!$F284&amp;";",ROW($1:$99),1),";")),"",ROW($1:$99)),COLUMN(F283))-1)</f>
        <v/>
      </c>
      <c r="AD284" s="75" t="str" cm="1">
        <f t="array" ref="AD284">MID(";"&amp;'CASE DATA'!$F284&amp;";",SMALL(IF(ISERROR(SEARCH(MID(";"&amp;'CASE DATA'!$F284&amp;";",ROW($1:$99),1),";")),"",ROW($1:$99)+1),COLUMN(G284)),SMALL(IF(ISERROR(SEARCH(MID(";"&amp;'CASE DATA'!$F284&amp;";",ROW($1:$99),1),";")),"",ROW($1:$99)),COLUMN(G283)+1)-SMALL(IF(ISERROR(SEARCH(MID(";"&amp;'CASE DATA'!$F284&amp;";",ROW($1:$99),1),";")),"",ROW($1:$99)),COLUMN(G283))-1)</f>
        <v/>
      </c>
      <c r="AE284" s="75" t="str" cm="1">
        <f t="array" ref="AE284">MID(";"&amp;'CASE DATA'!$F284&amp;";",SMALL(IF(ISERROR(SEARCH(MID(";"&amp;'CASE DATA'!$F284&amp;";",ROW($1:$99),1),";")),"",ROW($1:$99)+1),COLUMN(H284)),SMALL(IF(ISERROR(SEARCH(MID(";"&amp;'CASE DATA'!$F284&amp;";",ROW($1:$99),1),";")),"",ROW($1:$99)),COLUMN(H283)+1)-SMALL(IF(ISERROR(SEARCH(MID(";"&amp;'CASE DATA'!$F284&amp;";",ROW($1:$99),1),";")),"",ROW($1:$99)),COLUMN(H283))-1)</f>
        <v/>
      </c>
      <c r="AF284" s="75" t="str" cm="1">
        <f t="array" ref="AF284">MID(";"&amp;'CASE DATA'!$F284&amp;";",SMALL(IF(ISERROR(SEARCH(MID(";"&amp;'CASE DATA'!$F284&amp;";",ROW($1:$99),1),";")),"",ROW($1:$99)+1),COLUMN(I284)),SMALL(IF(ISERROR(SEARCH(MID(";"&amp;'CASE DATA'!$F284&amp;";",ROW($1:$99),1),";")),"",ROW($1:$99)),COLUMN(I283)+1)-SMALL(IF(ISERROR(SEARCH(MID(";"&amp;'CASE DATA'!$F284&amp;";",ROW($1:$99),1),";")),"",ROW($1:$99)),COLUMN(I283))-1)</f>
        <v/>
      </c>
      <c r="AG284" s="75" t="str" cm="1">
        <f t="array" ref="AG284">MID(";"&amp;'CASE DATA'!$F284&amp;";",SMALL(IF(ISERROR(SEARCH(MID(";"&amp;'CASE DATA'!$F284&amp;";",ROW($1:$99),1),";")),"",ROW($1:$99)+1),COLUMN(K284)),SMALL(IF(ISERROR(SEARCH(MID(";"&amp;'CASE DATA'!$F284&amp;";",ROW($1:$99),1),";")),"",ROW($1:$99)),COLUMN(K283)+1)-SMALL(IF(ISERROR(SEARCH(MID(";"&amp;'CASE DATA'!$F284&amp;";",ROW($1:$99),1),";")),"",ROW($1:$99)),COLUMN(K283))-1)</f>
        <v/>
      </c>
      <c r="AH284" s="75" t="str" cm="1">
        <f t="array" ref="AH284">MID(";"&amp;'CASE DATA'!$F284&amp;";",SMALL(IF(ISERROR(SEARCH(MID(";"&amp;'CASE DATA'!$F284&amp;";",ROW($1:$99),1),";")),"",ROW($1:$99)+1),COLUMN(L284)),SMALL(IF(ISERROR(SEARCH(MID(";"&amp;'CASE DATA'!$F284&amp;";",ROW($1:$99),1),";")),"",ROW($1:$99)),COLUMN(L283)+1)-SMALL(IF(ISERROR(SEARCH(MID(";"&amp;'CASE DATA'!$F284&amp;";",ROW($1:$99),1),";")),"",ROW($1:$99)),COLUMN(L283))-1)</f>
        <v/>
      </c>
      <c r="AI284" s="75" t="str" cm="1">
        <f t="array" ref="AI284">MID(";"&amp;'CASE DATA'!$F284&amp;";",SMALL(IF(ISERROR(SEARCH(MID(";"&amp;'CASE DATA'!$F284&amp;";",ROW($1:$99),1),";")),"",ROW($1:$99)+1),COLUMN(M284)),SMALL(IF(ISERROR(SEARCH(MID(";"&amp;'CASE DATA'!$F284&amp;";",ROW($1:$99),1),";")),"",ROW($1:$99)),COLUMN(M283)+1)-SMALL(IF(ISERROR(SEARCH(MID(";"&amp;'CASE DATA'!$F284&amp;";",ROW($1:$99),1),";")),"",ROW($1:$99)),COLUMN(M283))-1)</f>
        <v/>
      </c>
      <c r="BO284" s="99"/>
      <c r="BP284" s="99"/>
      <c r="BQ284" s="99"/>
      <c r="BR284" s="99"/>
      <c r="BS284" s="99"/>
      <c r="BT284" s="99"/>
      <c r="BU284" s="99"/>
      <c r="BV284" s="99"/>
      <c r="BW284" s="99"/>
      <c r="BX284" s="99"/>
      <c r="BY284" s="99"/>
      <c r="BZ284" s="99"/>
      <c r="CA284" s="99"/>
      <c r="CB284" s="99"/>
      <c r="CC284" s="99"/>
      <c r="CD284" s="99"/>
      <c r="CE284" s="99"/>
      <c r="CF284" s="99"/>
      <c r="CG284" s="99"/>
      <c r="CH284" s="99"/>
      <c r="CI284" s="99"/>
      <c r="CJ284" s="99"/>
      <c r="CK284" s="99"/>
      <c r="CL284" s="99"/>
      <c r="CM284" s="99"/>
      <c r="CN284" s="99"/>
      <c r="CO284" s="99"/>
      <c r="CP284" s="99"/>
      <c r="CQ284" s="99"/>
      <c r="CR284" s="99"/>
      <c r="CS284" s="99"/>
      <c r="CT284" s="99"/>
      <c r="CU284" s="99"/>
      <c r="CV284" s="99"/>
      <c r="CW284" s="99"/>
      <c r="CX284" s="99"/>
      <c r="CY284" s="99"/>
      <c r="CZ284" s="99"/>
      <c r="DA284" s="99"/>
      <c r="DB284" s="99"/>
      <c r="DC284" s="99"/>
      <c r="DD284" s="99"/>
      <c r="DE284" s="99"/>
      <c r="DF284" s="99"/>
      <c r="DG284" s="99"/>
      <c r="DH284" s="99"/>
      <c r="DI284" s="99"/>
      <c r="DJ284" s="99"/>
      <c r="DK284" s="99"/>
      <c r="DL284" s="99"/>
      <c r="DM284" s="99"/>
      <c r="DN284" s="99"/>
      <c r="DO284" s="99"/>
      <c r="DP284" s="99"/>
      <c r="DQ284" s="99"/>
      <c r="DR284" s="99"/>
      <c r="DS284" s="99"/>
      <c r="DT284" s="99"/>
      <c r="DU284" s="99"/>
      <c r="DV284" s="99"/>
      <c r="DW284" s="99"/>
      <c r="DX284" s="99"/>
      <c r="DY284" s="99"/>
      <c r="DZ284" s="99"/>
      <c r="EA284" s="99"/>
      <c r="EB284" s="99"/>
      <c r="EC284" s="99"/>
      <c r="ED284" s="99"/>
      <c r="EE284" s="99"/>
      <c r="EF284" s="99"/>
      <c r="EG284" s="99"/>
      <c r="EH284" s="99"/>
      <c r="EI284" s="99"/>
      <c r="EJ284" s="99"/>
      <c r="EK284" s="99"/>
      <c r="EL284" s="99"/>
      <c r="EM284" s="99"/>
      <c r="EN284" s="99"/>
      <c r="EO284" s="99"/>
      <c r="EP284" s="99"/>
      <c r="EQ284" s="99"/>
      <c r="ER284" s="99"/>
      <c r="ES284" s="99"/>
      <c r="ET284" s="99"/>
      <c r="EU284" s="99"/>
      <c r="EV284" s="99"/>
      <c r="EW284" s="99"/>
      <c r="EX284" s="99"/>
      <c r="EY284" s="99"/>
      <c r="EZ284" s="99"/>
      <c r="FA284" s="99"/>
      <c r="FB284" s="99"/>
      <c r="FC284" s="99"/>
      <c r="FD284" s="99"/>
      <c r="FE284" s="99"/>
      <c r="FF284" s="99"/>
      <c r="FG284" s="99"/>
      <c r="FH284" s="99"/>
      <c r="FI284" s="99"/>
      <c r="FJ284" s="99"/>
      <c r="FK284" s="99"/>
    </row>
    <row r="285" spans="3:167" x14ac:dyDescent="0.25">
      <c r="C285" s="10"/>
      <c r="D285" s="10"/>
      <c r="J285" s="99">
        <v>282</v>
      </c>
      <c r="K285" s="16"/>
      <c r="L285" s="16"/>
      <c r="M285" s="16"/>
      <c r="N285" s="16"/>
      <c r="O285" s="16"/>
      <c r="P285" s="16"/>
      <c r="Q285" s="16"/>
      <c r="R285" s="16"/>
      <c r="S285" s="16"/>
      <c r="T285" s="16"/>
      <c r="U285" s="14">
        <f>SUM(K285:T285)</f>
        <v>0</v>
      </c>
      <c r="V285" s="14"/>
      <c r="X285" s="75" t="str" cm="1">
        <f t="array" ref="X285">MID(";"&amp;'CASE DATA'!$F285&amp;";",SMALL(IF(ISERROR(SEARCH(MID(";"&amp;'CASE DATA'!$F285&amp;";",ROW($1:$99),1),";")),"",ROW($1:$99)+1),COLUMN(A285)),SMALL(IF(ISERROR(SEARCH(MID(";"&amp;'CASE DATA'!$F285&amp;";",ROW($1:$99),1),";")),"",ROW($1:$99)),COLUMN(A284)+1)-SMALL(IF(ISERROR(SEARCH(MID(";"&amp;'CASE DATA'!$F285&amp;";",ROW($1:$99),1),";")),"",ROW($1:$99)),COLUMN(A284))-1)</f>
        <v/>
      </c>
      <c r="Y285" s="75" t="str" cm="1">
        <f t="array" ref="Y285">MID(";"&amp;'CASE DATA'!$F285&amp;";",SMALL(IF(ISERROR(SEARCH(MID(";"&amp;'CASE DATA'!$F285&amp;";",ROW($1:$99),1),";")),"",ROW($1:$99)+1),COLUMN(B285)),SMALL(IF(ISERROR(SEARCH(MID(";"&amp;'CASE DATA'!$F285&amp;";",ROW($1:$99),1),";")),"",ROW($1:$99)),COLUMN(B284)+1)-SMALL(IF(ISERROR(SEARCH(MID(";"&amp;'CASE DATA'!$F285&amp;";",ROW($1:$99),1),";")),"",ROW($1:$99)),COLUMN(B284))-1)</f>
        <v/>
      </c>
      <c r="Z285" s="75" t="str" cm="1">
        <f t="array" ref="Z285">MID(";"&amp;'CASE DATA'!$F285&amp;";",SMALL(IF(ISERROR(SEARCH(MID(";"&amp;'CASE DATA'!$F285&amp;";",ROW($1:$99),1),";")),"",ROW($1:$99)+1),COLUMN(C285)),SMALL(IF(ISERROR(SEARCH(MID(";"&amp;'CASE DATA'!$F285&amp;";",ROW($1:$99),1),";")),"",ROW($1:$99)),COLUMN(C284)+1)-SMALL(IF(ISERROR(SEARCH(MID(";"&amp;'CASE DATA'!$F285&amp;";",ROW($1:$99),1),";")),"",ROW($1:$99)),COLUMN(C284))-1)</f>
        <v/>
      </c>
      <c r="AA285" s="75" t="str" cm="1">
        <f t="array" ref="AA285">MID(";"&amp;'CASE DATA'!$F285&amp;";",SMALL(IF(ISERROR(SEARCH(MID(";"&amp;'CASE DATA'!$F285&amp;";",ROW($1:$99),1),";")),"",ROW($1:$99)+1),COLUMN(D285)),SMALL(IF(ISERROR(SEARCH(MID(";"&amp;'CASE DATA'!$F285&amp;";",ROW($1:$99),1),";")),"",ROW($1:$99)),COLUMN(D284)+1)-SMALL(IF(ISERROR(SEARCH(MID(";"&amp;'CASE DATA'!$F285&amp;";",ROW($1:$99),1),";")),"",ROW($1:$99)),COLUMN(D284))-1)</f>
        <v/>
      </c>
      <c r="AB285" s="75" t="str" cm="1">
        <f t="array" ref="AB285">MID(";"&amp;'CASE DATA'!$F285&amp;";",SMALL(IF(ISERROR(SEARCH(MID(";"&amp;'CASE DATA'!$F285&amp;";",ROW($1:$99),1),";")),"",ROW($1:$99)+1),COLUMN(E285)),SMALL(IF(ISERROR(SEARCH(MID(";"&amp;'CASE DATA'!$F285&amp;";",ROW($1:$99),1),";")),"",ROW($1:$99)),COLUMN(E284)+1)-SMALL(IF(ISERROR(SEARCH(MID(";"&amp;'CASE DATA'!$F285&amp;";",ROW($1:$99),1),";")),"",ROW($1:$99)),COLUMN(E284))-1)</f>
        <v/>
      </c>
      <c r="AC285" s="75" t="str" cm="1">
        <f t="array" ref="AC285">MID(";"&amp;'CASE DATA'!$F285&amp;";",SMALL(IF(ISERROR(SEARCH(MID(";"&amp;'CASE DATA'!$F285&amp;";",ROW($1:$99),1),";")),"",ROW($1:$99)+1),COLUMN(F285)),SMALL(IF(ISERROR(SEARCH(MID(";"&amp;'CASE DATA'!$F285&amp;";",ROW($1:$99),1),";")),"",ROW($1:$99)),COLUMN(F284)+1)-SMALL(IF(ISERROR(SEARCH(MID(";"&amp;'CASE DATA'!$F285&amp;";",ROW($1:$99),1),";")),"",ROW($1:$99)),COLUMN(F284))-1)</f>
        <v/>
      </c>
      <c r="AD285" s="75" t="str" cm="1">
        <f t="array" ref="AD285">MID(";"&amp;'CASE DATA'!$F285&amp;";",SMALL(IF(ISERROR(SEARCH(MID(";"&amp;'CASE DATA'!$F285&amp;";",ROW($1:$99),1),";")),"",ROW($1:$99)+1),COLUMN(G285)),SMALL(IF(ISERROR(SEARCH(MID(";"&amp;'CASE DATA'!$F285&amp;";",ROW($1:$99),1),";")),"",ROW($1:$99)),COLUMN(G284)+1)-SMALL(IF(ISERROR(SEARCH(MID(";"&amp;'CASE DATA'!$F285&amp;";",ROW($1:$99),1),";")),"",ROW($1:$99)),COLUMN(G284))-1)</f>
        <v/>
      </c>
      <c r="AE285" s="75" t="str" cm="1">
        <f t="array" ref="AE285">MID(";"&amp;'CASE DATA'!$F285&amp;";",SMALL(IF(ISERROR(SEARCH(MID(";"&amp;'CASE DATA'!$F285&amp;";",ROW($1:$99),1),";")),"",ROW($1:$99)+1),COLUMN(H285)),SMALL(IF(ISERROR(SEARCH(MID(";"&amp;'CASE DATA'!$F285&amp;";",ROW($1:$99),1),";")),"",ROW($1:$99)),COLUMN(H284)+1)-SMALL(IF(ISERROR(SEARCH(MID(";"&amp;'CASE DATA'!$F285&amp;";",ROW($1:$99),1),";")),"",ROW($1:$99)),COLUMN(H284))-1)</f>
        <v/>
      </c>
      <c r="AF285" s="75" t="str" cm="1">
        <f t="array" ref="AF285">MID(";"&amp;'CASE DATA'!$F285&amp;";",SMALL(IF(ISERROR(SEARCH(MID(";"&amp;'CASE DATA'!$F285&amp;";",ROW($1:$99),1),";")),"",ROW($1:$99)+1),COLUMN(I285)),SMALL(IF(ISERROR(SEARCH(MID(";"&amp;'CASE DATA'!$F285&amp;";",ROW($1:$99),1),";")),"",ROW($1:$99)),COLUMN(I284)+1)-SMALL(IF(ISERROR(SEARCH(MID(";"&amp;'CASE DATA'!$F285&amp;";",ROW($1:$99),1),";")),"",ROW($1:$99)),COLUMN(I284))-1)</f>
        <v/>
      </c>
      <c r="AG285" s="75" t="str" cm="1">
        <f t="array" ref="AG285">MID(";"&amp;'CASE DATA'!$F285&amp;";",SMALL(IF(ISERROR(SEARCH(MID(";"&amp;'CASE DATA'!$F285&amp;";",ROW($1:$99),1),";")),"",ROW($1:$99)+1),COLUMN(K285)),SMALL(IF(ISERROR(SEARCH(MID(";"&amp;'CASE DATA'!$F285&amp;";",ROW($1:$99),1),";")),"",ROW($1:$99)),COLUMN(K284)+1)-SMALL(IF(ISERROR(SEARCH(MID(";"&amp;'CASE DATA'!$F285&amp;";",ROW($1:$99),1),";")),"",ROW($1:$99)),COLUMN(K284))-1)</f>
        <v/>
      </c>
      <c r="AH285" s="75" t="str" cm="1">
        <f t="array" ref="AH285">MID(";"&amp;'CASE DATA'!$F285&amp;";",SMALL(IF(ISERROR(SEARCH(MID(";"&amp;'CASE DATA'!$F285&amp;";",ROW($1:$99),1),";")),"",ROW($1:$99)+1),COLUMN(L285)),SMALL(IF(ISERROR(SEARCH(MID(";"&amp;'CASE DATA'!$F285&amp;";",ROW($1:$99),1),";")),"",ROW($1:$99)),COLUMN(L284)+1)-SMALL(IF(ISERROR(SEARCH(MID(";"&amp;'CASE DATA'!$F285&amp;";",ROW($1:$99),1),";")),"",ROW($1:$99)),COLUMN(L284))-1)</f>
        <v/>
      </c>
      <c r="AI285" s="75" t="str" cm="1">
        <f t="array" ref="AI285">MID(";"&amp;'CASE DATA'!$F285&amp;";",SMALL(IF(ISERROR(SEARCH(MID(";"&amp;'CASE DATA'!$F285&amp;";",ROW($1:$99),1),";")),"",ROW($1:$99)+1),COLUMN(M285)),SMALL(IF(ISERROR(SEARCH(MID(";"&amp;'CASE DATA'!$F285&amp;";",ROW($1:$99),1),";")),"",ROW($1:$99)),COLUMN(M284)+1)-SMALL(IF(ISERROR(SEARCH(MID(";"&amp;'CASE DATA'!$F285&amp;";",ROW($1:$99),1),";")),"",ROW($1:$99)),COLUMN(M284))-1)</f>
        <v/>
      </c>
      <c r="BO285" s="99"/>
      <c r="BP285" s="99"/>
      <c r="BQ285" s="99"/>
      <c r="BR285" s="99"/>
      <c r="BS285" s="99"/>
      <c r="BT285" s="99"/>
      <c r="BU285" s="99"/>
      <c r="BV285" s="99"/>
      <c r="BW285" s="99"/>
      <c r="BX285" s="99"/>
      <c r="BY285" s="99"/>
      <c r="BZ285" s="99"/>
      <c r="CA285" s="99"/>
      <c r="CB285" s="99"/>
      <c r="CC285" s="99"/>
      <c r="CD285" s="99"/>
      <c r="CE285" s="99"/>
      <c r="CF285" s="99"/>
      <c r="CG285" s="99"/>
      <c r="CH285" s="99"/>
      <c r="CI285" s="99"/>
      <c r="CJ285" s="99"/>
      <c r="CK285" s="99"/>
      <c r="CL285" s="99"/>
      <c r="CM285" s="99"/>
      <c r="CN285" s="99"/>
      <c r="CO285" s="99"/>
      <c r="CP285" s="99"/>
      <c r="CQ285" s="99"/>
      <c r="CR285" s="99"/>
      <c r="CS285" s="99"/>
      <c r="CT285" s="99"/>
      <c r="CU285" s="99"/>
      <c r="CV285" s="99"/>
      <c r="CW285" s="99"/>
      <c r="CX285" s="99"/>
      <c r="CY285" s="99"/>
      <c r="CZ285" s="99"/>
      <c r="DA285" s="99"/>
      <c r="DB285" s="99"/>
      <c r="DC285" s="99"/>
      <c r="DD285" s="99"/>
      <c r="DE285" s="99"/>
      <c r="DF285" s="99"/>
      <c r="DG285" s="99"/>
      <c r="DH285" s="99"/>
      <c r="DI285" s="99"/>
      <c r="DJ285" s="99"/>
      <c r="DK285" s="99"/>
      <c r="DL285" s="99"/>
      <c r="DM285" s="99"/>
      <c r="DN285" s="99"/>
      <c r="DO285" s="99"/>
      <c r="DP285" s="99"/>
      <c r="DQ285" s="99"/>
      <c r="DR285" s="99"/>
      <c r="DS285" s="99"/>
      <c r="DT285" s="99"/>
      <c r="DU285" s="99"/>
      <c r="DV285" s="99"/>
      <c r="DW285" s="99"/>
      <c r="DX285" s="99"/>
      <c r="DY285" s="99"/>
      <c r="DZ285" s="99"/>
      <c r="EA285" s="99"/>
      <c r="EB285" s="99"/>
      <c r="EC285" s="99"/>
      <c r="ED285" s="99"/>
      <c r="EE285" s="99"/>
      <c r="EF285" s="99"/>
      <c r="EG285" s="99"/>
      <c r="EH285" s="99"/>
      <c r="EI285" s="99"/>
      <c r="EJ285" s="99"/>
      <c r="EK285" s="99"/>
      <c r="EL285" s="99"/>
      <c r="EM285" s="99"/>
      <c r="EN285" s="99"/>
      <c r="EO285" s="99"/>
      <c r="EP285" s="99"/>
      <c r="EQ285" s="99"/>
      <c r="ER285" s="99"/>
      <c r="ES285" s="99"/>
      <c r="ET285" s="99"/>
      <c r="EU285" s="99"/>
      <c r="EV285" s="99"/>
      <c r="EW285" s="99"/>
      <c r="EX285" s="99"/>
      <c r="EY285" s="99"/>
      <c r="EZ285" s="99"/>
      <c r="FA285" s="99"/>
      <c r="FB285" s="99"/>
      <c r="FC285" s="99"/>
      <c r="FD285" s="99"/>
      <c r="FE285" s="99"/>
      <c r="FF285" s="99"/>
      <c r="FG285" s="99"/>
      <c r="FH285" s="99"/>
      <c r="FI285" s="99"/>
      <c r="FJ285" s="99"/>
      <c r="FK285" s="99"/>
    </row>
    <row r="286" spans="3:167" x14ac:dyDescent="0.25">
      <c r="C286" s="10"/>
      <c r="D286" s="10"/>
      <c r="J286" s="99">
        <v>283</v>
      </c>
      <c r="K286" s="16"/>
      <c r="L286" s="16"/>
      <c r="M286" s="16"/>
      <c r="N286" s="16"/>
      <c r="O286" s="16"/>
      <c r="P286" s="16"/>
      <c r="Q286" s="16"/>
      <c r="R286" s="16"/>
      <c r="S286" s="16"/>
      <c r="T286" s="16"/>
      <c r="U286" s="14">
        <f>SUM(K286:T286)</f>
        <v>0</v>
      </c>
      <c r="V286" s="14"/>
      <c r="X286" s="75" t="str" cm="1">
        <f t="array" ref="X286">MID(";"&amp;'CASE DATA'!$F286&amp;";",SMALL(IF(ISERROR(SEARCH(MID(";"&amp;'CASE DATA'!$F286&amp;";",ROW($1:$99),1),";")),"",ROW($1:$99)+1),COLUMN(A286)),SMALL(IF(ISERROR(SEARCH(MID(";"&amp;'CASE DATA'!$F286&amp;";",ROW($1:$99),1),";")),"",ROW($1:$99)),COLUMN(A285)+1)-SMALL(IF(ISERROR(SEARCH(MID(";"&amp;'CASE DATA'!$F286&amp;";",ROW($1:$99),1),";")),"",ROW($1:$99)),COLUMN(A285))-1)</f>
        <v/>
      </c>
      <c r="Y286" s="75" t="str" cm="1">
        <f t="array" ref="Y286">MID(";"&amp;'CASE DATA'!$F286&amp;";",SMALL(IF(ISERROR(SEARCH(MID(";"&amp;'CASE DATA'!$F286&amp;";",ROW($1:$99),1),";")),"",ROW($1:$99)+1),COLUMN(B286)),SMALL(IF(ISERROR(SEARCH(MID(";"&amp;'CASE DATA'!$F286&amp;";",ROW($1:$99),1),";")),"",ROW($1:$99)),COLUMN(B285)+1)-SMALL(IF(ISERROR(SEARCH(MID(";"&amp;'CASE DATA'!$F286&amp;";",ROW($1:$99),1),";")),"",ROW($1:$99)),COLUMN(B285))-1)</f>
        <v/>
      </c>
      <c r="Z286" s="75" t="str" cm="1">
        <f t="array" ref="Z286">MID(";"&amp;'CASE DATA'!$F286&amp;";",SMALL(IF(ISERROR(SEARCH(MID(";"&amp;'CASE DATA'!$F286&amp;";",ROW($1:$99),1),";")),"",ROW($1:$99)+1),COLUMN(C286)),SMALL(IF(ISERROR(SEARCH(MID(";"&amp;'CASE DATA'!$F286&amp;";",ROW($1:$99),1),";")),"",ROW($1:$99)),COLUMN(C285)+1)-SMALL(IF(ISERROR(SEARCH(MID(";"&amp;'CASE DATA'!$F286&amp;";",ROW($1:$99),1),";")),"",ROW($1:$99)),COLUMN(C285))-1)</f>
        <v/>
      </c>
      <c r="AA286" s="75" t="str" cm="1">
        <f t="array" ref="AA286">MID(";"&amp;'CASE DATA'!$F286&amp;";",SMALL(IF(ISERROR(SEARCH(MID(";"&amp;'CASE DATA'!$F286&amp;";",ROW($1:$99),1),";")),"",ROW($1:$99)+1),COLUMN(D286)),SMALL(IF(ISERROR(SEARCH(MID(";"&amp;'CASE DATA'!$F286&amp;";",ROW($1:$99),1),";")),"",ROW($1:$99)),COLUMN(D285)+1)-SMALL(IF(ISERROR(SEARCH(MID(";"&amp;'CASE DATA'!$F286&amp;";",ROW($1:$99),1),";")),"",ROW($1:$99)),COLUMN(D285))-1)</f>
        <v/>
      </c>
      <c r="AB286" s="75" t="str" cm="1">
        <f t="array" ref="AB286">MID(";"&amp;'CASE DATA'!$F286&amp;";",SMALL(IF(ISERROR(SEARCH(MID(";"&amp;'CASE DATA'!$F286&amp;";",ROW($1:$99),1),";")),"",ROW($1:$99)+1),COLUMN(E286)),SMALL(IF(ISERROR(SEARCH(MID(";"&amp;'CASE DATA'!$F286&amp;";",ROW($1:$99),1),";")),"",ROW($1:$99)),COLUMN(E285)+1)-SMALL(IF(ISERROR(SEARCH(MID(";"&amp;'CASE DATA'!$F286&amp;";",ROW($1:$99),1),";")),"",ROW($1:$99)),COLUMN(E285))-1)</f>
        <v/>
      </c>
      <c r="AC286" s="75" t="str" cm="1">
        <f t="array" ref="AC286">MID(";"&amp;'CASE DATA'!$F286&amp;";",SMALL(IF(ISERROR(SEARCH(MID(";"&amp;'CASE DATA'!$F286&amp;";",ROW($1:$99),1),";")),"",ROW($1:$99)+1),COLUMN(F286)),SMALL(IF(ISERROR(SEARCH(MID(";"&amp;'CASE DATA'!$F286&amp;";",ROW($1:$99),1),";")),"",ROW($1:$99)),COLUMN(F285)+1)-SMALL(IF(ISERROR(SEARCH(MID(";"&amp;'CASE DATA'!$F286&amp;";",ROW($1:$99),1),";")),"",ROW($1:$99)),COLUMN(F285))-1)</f>
        <v/>
      </c>
      <c r="AD286" s="75" t="str" cm="1">
        <f t="array" ref="AD286">MID(";"&amp;'CASE DATA'!$F286&amp;";",SMALL(IF(ISERROR(SEARCH(MID(";"&amp;'CASE DATA'!$F286&amp;";",ROW($1:$99),1),";")),"",ROW($1:$99)+1),COLUMN(G286)),SMALL(IF(ISERROR(SEARCH(MID(";"&amp;'CASE DATA'!$F286&amp;";",ROW($1:$99),1),";")),"",ROW($1:$99)),COLUMN(G285)+1)-SMALL(IF(ISERROR(SEARCH(MID(";"&amp;'CASE DATA'!$F286&amp;";",ROW($1:$99),1),";")),"",ROW($1:$99)),COLUMN(G285))-1)</f>
        <v/>
      </c>
      <c r="AE286" s="75" t="str" cm="1">
        <f t="array" ref="AE286">MID(";"&amp;'CASE DATA'!$F286&amp;";",SMALL(IF(ISERROR(SEARCH(MID(";"&amp;'CASE DATA'!$F286&amp;";",ROW($1:$99),1),";")),"",ROW($1:$99)+1),COLUMN(H286)),SMALL(IF(ISERROR(SEARCH(MID(";"&amp;'CASE DATA'!$F286&amp;";",ROW($1:$99),1),";")),"",ROW($1:$99)),COLUMN(H285)+1)-SMALL(IF(ISERROR(SEARCH(MID(";"&amp;'CASE DATA'!$F286&amp;";",ROW($1:$99),1),";")),"",ROW($1:$99)),COLUMN(H285))-1)</f>
        <v/>
      </c>
      <c r="AF286" s="75" t="str" cm="1">
        <f t="array" ref="AF286">MID(";"&amp;'CASE DATA'!$F286&amp;";",SMALL(IF(ISERROR(SEARCH(MID(";"&amp;'CASE DATA'!$F286&amp;";",ROW($1:$99),1),";")),"",ROW($1:$99)+1),COLUMN(I286)),SMALL(IF(ISERROR(SEARCH(MID(";"&amp;'CASE DATA'!$F286&amp;";",ROW($1:$99),1),";")),"",ROW($1:$99)),COLUMN(I285)+1)-SMALL(IF(ISERROR(SEARCH(MID(";"&amp;'CASE DATA'!$F286&amp;";",ROW($1:$99),1),";")),"",ROW($1:$99)),COLUMN(I285))-1)</f>
        <v/>
      </c>
      <c r="AG286" s="75" t="str" cm="1">
        <f t="array" ref="AG286">MID(";"&amp;'CASE DATA'!$F286&amp;";",SMALL(IF(ISERROR(SEARCH(MID(";"&amp;'CASE DATA'!$F286&amp;";",ROW($1:$99),1),";")),"",ROW($1:$99)+1),COLUMN(K286)),SMALL(IF(ISERROR(SEARCH(MID(";"&amp;'CASE DATA'!$F286&amp;";",ROW($1:$99),1),";")),"",ROW($1:$99)),COLUMN(K285)+1)-SMALL(IF(ISERROR(SEARCH(MID(";"&amp;'CASE DATA'!$F286&amp;";",ROW($1:$99),1),";")),"",ROW($1:$99)),COLUMN(K285))-1)</f>
        <v/>
      </c>
      <c r="AH286" s="75" t="str" cm="1">
        <f t="array" ref="AH286">MID(";"&amp;'CASE DATA'!$F286&amp;";",SMALL(IF(ISERROR(SEARCH(MID(";"&amp;'CASE DATA'!$F286&amp;";",ROW($1:$99),1),";")),"",ROW($1:$99)+1),COLUMN(L286)),SMALL(IF(ISERROR(SEARCH(MID(";"&amp;'CASE DATA'!$F286&amp;";",ROW($1:$99),1),";")),"",ROW($1:$99)),COLUMN(L285)+1)-SMALL(IF(ISERROR(SEARCH(MID(";"&amp;'CASE DATA'!$F286&amp;";",ROW($1:$99),1),";")),"",ROW($1:$99)),COLUMN(L285))-1)</f>
        <v/>
      </c>
      <c r="AI286" s="75" t="str" cm="1">
        <f t="array" ref="AI286">MID(";"&amp;'CASE DATA'!$F286&amp;";",SMALL(IF(ISERROR(SEARCH(MID(";"&amp;'CASE DATA'!$F286&amp;";",ROW($1:$99),1),";")),"",ROW($1:$99)+1),COLUMN(M286)),SMALL(IF(ISERROR(SEARCH(MID(";"&amp;'CASE DATA'!$F286&amp;";",ROW($1:$99),1),";")),"",ROW($1:$99)),COLUMN(M285)+1)-SMALL(IF(ISERROR(SEARCH(MID(";"&amp;'CASE DATA'!$F286&amp;";",ROW($1:$99),1),";")),"",ROW($1:$99)),COLUMN(M285))-1)</f>
        <v/>
      </c>
      <c r="BO286" s="99"/>
      <c r="BP286" s="99"/>
      <c r="BQ286" s="99"/>
      <c r="BR286" s="99"/>
      <c r="BS286" s="99"/>
      <c r="BT286" s="99"/>
      <c r="BU286" s="99"/>
      <c r="BV286" s="99"/>
      <c r="BW286" s="99"/>
      <c r="BX286" s="99"/>
      <c r="BY286" s="99"/>
      <c r="BZ286" s="99"/>
      <c r="CA286" s="99"/>
      <c r="CB286" s="99"/>
      <c r="CC286" s="99"/>
      <c r="CD286" s="99"/>
      <c r="CE286" s="99"/>
      <c r="CF286" s="99"/>
      <c r="CG286" s="99"/>
      <c r="CH286" s="99"/>
      <c r="CI286" s="99"/>
      <c r="CJ286" s="99"/>
      <c r="CK286" s="99"/>
      <c r="CL286" s="99"/>
      <c r="CM286" s="99"/>
      <c r="CN286" s="99"/>
      <c r="CO286" s="99"/>
      <c r="CP286" s="99"/>
      <c r="CQ286" s="99"/>
      <c r="CR286" s="99"/>
      <c r="CS286" s="99"/>
      <c r="CT286" s="99"/>
      <c r="CU286" s="99"/>
      <c r="CV286" s="99"/>
      <c r="CW286" s="99"/>
      <c r="CX286" s="99"/>
      <c r="CY286" s="99"/>
      <c r="CZ286" s="99"/>
      <c r="DA286" s="99"/>
      <c r="DB286" s="99"/>
      <c r="DC286" s="99"/>
      <c r="DD286" s="99"/>
      <c r="DE286" s="99"/>
      <c r="DF286" s="99"/>
      <c r="DG286" s="99"/>
      <c r="DH286" s="99"/>
      <c r="DI286" s="99"/>
      <c r="DJ286" s="99"/>
      <c r="DK286" s="99"/>
      <c r="DL286" s="99"/>
      <c r="DM286" s="99"/>
      <c r="DN286" s="99"/>
      <c r="DO286" s="99"/>
      <c r="DP286" s="99"/>
      <c r="DQ286" s="99"/>
      <c r="DR286" s="99"/>
      <c r="DS286" s="99"/>
      <c r="DT286" s="99"/>
      <c r="DU286" s="99"/>
      <c r="DV286" s="99"/>
      <c r="DW286" s="99"/>
      <c r="DX286" s="99"/>
      <c r="DY286" s="99"/>
      <c r="DZ286" s="99"/>
      <c r="EA286" s="99"/>
      <c r="EB286" s="99"/>
      <c r="EC286" s="99"/>
      <c r="ED286" s="99"/>
      <c r="EE286" s="99"/>
      <c r="EF286" s="99"/>
      <c r="EG286" s="99"/>
      <c r="EH286" s="99"/>
      <c r="EI286" s="99"/>
      <c r="EJ286" s="99"/>
      <c r="EK286" s="99"/>
      <c r="EL286" s="99"/>
      <c r="EM286" s="99"/>
      <c r="EN286" s="99"/>
      <c r="EO286" s="99"/>
      <c r="EP286" s="99"/>
      <c r="EQ286" s="99"/>
      <c r="ER286" s="99"/>
      <c r="ES286" s="99"/>
      <c r="ET286" s="99"/>
      <c r="EU286" s="99"/>
      <c r="EV286" s="99"/>
      <c r="EW286" s="99"/>
      <c r="EX286" s="99"/>
      <c r="EY286" s="99"/>
      <c r="EZ286" s="99"/>
      <c r="FA286" s="99"/>
      <c r="FB286" s="99"/>
      <c r="FC286" s="99"/>
      <c r="FD286" s="99"/>
      <c r="FE286" s="99"/>
      <c r="FF286" s="99"/>
      <c r="FG286" s="99"/>
      <c r="FH286" s="99"/>
      <c r="FI286" s="99"/>
      <c r="FJ286" s="99"/>
      <c r="FK286" s="99"/>
    </row>
    <row r="287" spans="3:167" x14ac:dyDescent="0.25">
      <c r="C287" s="10"/>
      <c r="D287" s="10"/>
      <c r="J287" s="99">
        <v>284</v>
      </c>
      <c r="K287" s="16"/>
      <c r="L287" s="16"/>
      <c r="M287" s="16"/>
      <c r="N287" s="16"/>
      <c r="O287" s="16"/>
      <c r="P287" s="16"/>
      <c r="Q287" s="16"/>
      <c r="R287" s="16"/>
      <c r="S287" s="16"/>
      <c r="T287" s="16"/>
      <c r="U287" s="14">
        <f>SUM(K287:T287)</f>
        <v>0</v>
      </c>
      <c r="V287" s="14"/>
      <c r="X287" s="75" t="str" cm="1">
        <f t="array" ref="X287">MID(";"&amp;'CASE DATA'!$F287&amp;";",SMALL(IF(ISERROR(SEARCH(MID(";"&amp;'CASE DATA'!$F287&amp;";",ROW($1:$99),1),";")),"",ROW($1:$99)+1),COLUMN(A287)),SMALL(IF(ISERROR(SEARCH(MID(";"&amp;'CASE DATA'!$F287&amp;";",ROW($1:$99),1),";")),"",ROW($1:$99)),COLUMN(A286)+1)-SMALL(IF(ISERROR(SEARCH(MID(";"&amp;'CASE DATA'!$F287&amp;";",ROW($1:$99),1),";")),"",ROW($1:$99)),COLUMN(A286))-1)</f>
        <v/>
      </c>
      <c r="Y287" s="75" t="str" cm="1">
        <f t="array" ref="Y287">MID(";"&amp;'CASE DATA'!$F287&amp;";",SMALL(IF(ISERROR(SEARCH(MID(";"&amp;'CASE DATA'!$F287&amp;";",ROW($1:$99),1),";")),"",ROW($1:$99)+1),COLUMN(B287)),SMALL(IF(ISERROR(SEARCH(MID(";"&amp;'CASE DATA'!$F287&amp;";",ROW($1:$99),1),";")),"",ROW($1:$99)),COLUMN(B286)+1)-SMALL(IF(ISERROR(SEARCH(MID(";"&amp;'CASE DATA'!$F287&amp;";",ROW($1:$99),1),";")),"",ROW($1:$99)),COLUMN(B286))-1)</f>
        <v/>
      </c>
      <c r="Z287" s="75" t="str" cm="1">
        <f t="array" ref="Z287">MID(";"&amp;'CASE DATA'!$F287&amp;";",SMALL(IF(ISERROR(SEARCH(MID(";"&amp;'CASE DATA'!$F287&amp;";",ROW($1:$99),1),";")),"",ROW($1:$99)+1),COLUMN(C287)),SMALL(IF(ISERROR(SEARCH(MID(";"&amp;'CASE DATA'!$F287&amp;";",ROW($1:$99),1),";")),"",ROW($1:$99)),COLUMN(C286)+1)-SMALL(IF(ISERROR(SEARCH(MID(";"&amp;'CASE DATA'!$F287&amp;";",ROW($1:$99),1),";")),"",ROW($1:$99)),COLUMN(C286))-1)</f>
        <v/>
      </c>
      <c r="AA287" s="75" t="str" cm="1">
        <f t="array" ref="AA287">MID(";"&amp;'CASE DATA'!$F287&amp;";",SMALL(IF(ISERROR(SEARCH(MID(";"&amp;'CASE DATA'!$F287&amp;";",ROW($1:$99),1),";")),"",ROW($1:$99)+1),COLUMN(D287)),SMALL(IF(ISERROR(SEARCH(MID(";"&amp;'CASE DATA'!$F287&amp;";",ROW($1:$99),1),";")),"",ROW($1:$99)),COLUMN(D286)+1)-SMALL(IF(ISERROR(SEARCH(MID(";"&amp;'CASE DATA'!$F287&amp;";",ROW($1:$99),1),";")),"",ROW($1:$99)),COLUMN(D286))-1)</f>
        <v/>
      </c>
      <c r="AB287" s="75" t="str" cm="1">
        <f t="array" ref="AB287">MID(";"&amp;'CASE DATA'!$F287&amp;";",SMALL(IF(ISERROR(SEARCH(MID(";"&amp;'CASE DATA'!$F287&amp;";",ROW($1:$99),1),";")),"",ROW($1:$99)+1),COLUMN(E287)),SMALL(IF(ISERROR(SEARCH(MID(";"&amp;'CASE DATA'!$F287&amp;";",ROW($1:$99),1),";")),"",ROW($1:$99)),COLUMN(E286)+1)-SMALL(IF(ISERROR(SEARCH(MID(";"&amp;'CASE DATA'!$F287&amp;";",ROW($1:$99),1),";")),"",ROW($1:$99)),COLUMN(E286))-1)</f>
        <v/>
      </c>
      <c r="AC287" s="75" t="str" cm="1">
        <f t="array" ref="AC287">MID(";"&amp;'CASE DATA'!$F287&amp;";",SMALL(IF(ISERROR(SEARCH(MID(";"&amp;'CASE DATA'!$F287&amp;";",ROW($1:$99),1),";")),"",ROW($1:$99)+1),COLUMN(F287)),SMALL(IF(ISERROR(SEARCH(MID(";"&amp;'CASE DATA'!$F287&amp;";",ROW($1:$99),1),";")),"",ROW($1:$99)),COLUMN(F286)+1)-SMALL(IF(ISERROR(SEARCH(MID(";"&amp;'CASE DATA'!$F287&amp;";",ROW($1:$99),1),";")),"",ROW($1:$99)),COLUMN(F286))-1)</f>
        <v/>
      </c>
      <c r="AD287" s="75" t="str" cm="1">
        <f t="array" ref="AD287">MID(";"&amp;'CASE DATA'!$F287&amp;";",SMALL(IF(ISERROR(SEARCH(MID(";"&amp;'CASE DATA'!$F287&amp;";",ROW($1:$99),1),";")),"",ROW($1:$99)+1),COLUMN(G287)),SMALL(IF(ISERROR(SEARCH(MID(";"&amp;'CASE DATA'!$F287&amp;";",ROW($1:$99),1),";")),"",ROW($1:$99)),COLUMN(G286)+1)-SMALL(IF(ISERROR(SEARCH(MID(";"&amp;'CASE DATA'!$F287&amp;";",ROW($1:$99),1),";")),"",ROW($1:$99)),COLUMN(G286))-1)</f>
        <v/>
      </c>
      <c r="AE287" s="75" t="str" cm="1">
        <f t="array" ref="AE287">MID(";"&amp;'CASE DATA'!$F287&amp;";",SMALL(IF(ISERROR(SEARCH(MID(";"&amp;'CASE DATA'!$F287&amp;";",ROW($1:$99),1),";")),"",ROW($1:$99)+1),COLUMN(H287)),SMALL(IF(ISERROR(SEARCH(MID(";"&amp;'CASE DATA'!$F287&amp;";",ROW($1:$99),1),";")),"",ROW($1:$99)),COLUMN(H286)+1)-SMALL(IF(ISERROR(SEARCH(MID(";"&amp;'CASE DATA'!$F287&amp;";",ROW($1:$99),1),";")),"",ROW($1:$99)),COLUMN(H286))-1)</f>
        <v/>
      </c>
      <c r="AF287" s="75" t="str" cm="1">
        <f t="array" ref="AF287">MID(";"&amp;'CASE DATA'!$F287&amp;";",SMALL(IF(ISERROR(SEARCH(MID(";"&amp;'CASE DATA'!$F287&amp;";",ROW($1:$99),1),";")),"",ROW($1:$99)+1),COLUMN(I287)),SMALL(IF(ISERROR(SEARCH(MID(";"&amp;'CASE DATA'!$F287&amp;";",ROW($1:$99),1),";")),"",ROW($1:$99)),COLUMN(I286)+1)-SMALL(IF(ISERROR(SEARCH(MID(";"&amp;'CASE DATA'!$F287&amp;";",ROW($1:$99),1),";")),"",ROW($1:$99)),COLUMN(I286))-1)</f>
        <v/>
      </c>
      <c r="AG287" s="75" t="str" cm="1">
        <f t="array" ref="AG287">MID(";"&amp;'CASE DATA'!$F287&amp;";",SMALL(IF(ISERROR(SEARCH(MID(";"&amp;'CASE DATA'!$F287&amp;";",ROW($1:$99),1),";")),"",ROW($1:$99)+1),COLUMN(K287)),SMALL(IF(ISERROR(SEARCH(MID(";"&amp;'CASE DATA'!$F287&amp;";",ROW($1:$99),1),";")),"",ROW($1:$99)),COLUMN(K286)+1)-SMALL(IF(ISERROR(SEARCH(MID(";"&amp;'CASE DATA'!$F287&amp;";",ROW($1:$99),1),";")),"",ROW($1:$99)),COLUMN(K286))-1)</f>
        <v/>
      </c>
      <c r="AH287" s="75" t="str" cm="1">
        <f t="array" ref="AH287">MID(";"&amp;'CASE DATA'!$F287&amp;";",SMALL(IF(ISERROR(SEARCH(MID(";"&amp;'CASE DATA'!$F287&amp;";",ROW($1:$99),1),";")),"",ROW($1:$99)+1),COLUMN(L287)),SMALL(IF(ISERROR(SEARCH(MID(";"&amp;'CASE DATA'!$F287&amp;";",ROW($1:$99),1),";")),"",ROW($1:$99)),COLUMN(L286)+1)-SMALL(IF(ISERROR(SEARCH(MID(";"&amp;'CASE DATA'!$F287&amp;";",ROW($1:$99),1),";")),"",ROW($1:$99)),COLUMN(L286))-1)</f>
        <v/>
      </c>
      <c r="AI287" s="75" t="str" cm="1">
        <f t="array" ref="AI287">MID(";"&amp;'CASE DATA'!$F287&amp;";",SMALL(IF(ISERROR(SEARCH(MID(";"&amp;'CASE DATA'!$F287&amp;";",ROW($1:$99),1),";")),"",ROW($1:$99)+1),COLUMN(M287)),SMALL(IF(ISERROR(SEARCH(MID(";"&amp;'CASE DATA'!$F287&amp;";",ROW($1:$99),1),";")),"",ROW($1:$99)),COLUMN(M286)+1)-SMALL(IF(ISERROR(SEARCH(MID(";"&amp;'CASE DATA'!$F287&amp;";",ROW($1:$99),1),";")),"",ROW($1:$99)),COLUMN(M286))-1)</f>
        <v/>
      </c>
      <c r="BO287" s="99"/>
      <c r="BP287" s="99"/>
      <c r="BQ287" s="99"/>
      <c r="BR287" s="99"/>
      <c r="BS287" s="99"/>
      <c r="BT287" s="99"/>
      <c r="BU287" s="99"/>
      <c r="BV287" s="99"/>
      <c r="BW287" s="99"/>
      <c r="BX287" s="99"/>
      <c r="BY287" s="99"/>
      <c r="BZ287" s="99"/>
      <c r="CA287" s="99"/>
      <c r="CB287" s="99"/>
      <c r="CC287" s="99"/>
      <c r="CD287" s="99"/>
      <c r="CE287" s="99"/>
      <c r="CF287" s="99"/>
      <c r="CG287" s="99"/>
      <c r="CH287" s="99"/>
      <c r="CI287" s="99"/>
      <c r="CJ287" s="99"/>
      <c r="CK287" s="99"/>
      <c r="CL287" s="99"/>
      <c r="CM287" s="99"/>
      <c r="CN287" s="99"/>
      <c r="CO287" s="99"/>
      <c r="CP287" s="99"/>
      <c r="CQ287" s="99"/>
      <c r="CR287" s="99"/>
      <c r="CS287" s="99"/>
      <c r="CT287" s="99"/>
      <c r="CU287" s="99"/>
      <c r="CV287" s="99"/>
      <c r="CW287" s="99"/>
      <c r="CX287" s="99"/>
      <c r="CY287" s="99"/>
      <c r="CZ287" s="99"/>
      <c r="DA287" s="99"/>
      <c r="DB287" s="99"/>
      <c r="DC287" s="99"/>
      <c r="DD287" s="99"/>
      <c r="DE287" s="99"/>
      <c r="DF287" s="99"/>
      <c r="DG287" s="99"/>
      <c r="DH287" s="99"/>
      <c r="DI287" s="99"/>
      <c r="DJ287" s="99"/>
      <c r="DK287" s="99"/>
      <c r="DL287" s="99"/>
      <c r="DM287" s="99"/>
      <c r="DN287" s="99"/>
      <c r="DO287" s="99"/>
      <c r="DP287" s="99"/>
      <c r="DQ287" s="99"/>
      <c r="DR287" s="99"/>
      <c r="DS287" s="99"/>
      <c r="DT287" s="99"/>
      <c r="DU287" s="99"/>
      <c r="DV287" s="99"/>
      <c r="DW287" s="99"/>
      <c r="DX287" s="99"/>
      <c r="DY287" s="99"/>
      <c r="DZ287" s="99"/>
      <c r="EA287" s="99"/>
      <c r="EB287" s="99"/>
      <c r="EC287" s="99"/>
      <c r="ED287" s="99"/>
      <c r="EE287" s="99"/>
      <c r="EF287" s="99"/>
      <c r="EG287" s="99"/>
      <c r="EH287" s="99"/>
      <c r="EI287" s="99"/>
      <c r="EJ287" s="99"/>
      <c r="EK287" s="99"/>
      <c r="EL287" s="99"/>
      <c r="EM287" s="99"/>
      <c r="EN287" s="99"/>
      <c r="EO287" s="99"/>
      <c r="EP287" s="99"/>
      <c r="EQ287" s="99"/>
      <c r="ER287" s="99"/>
      <c r="ES287" s="99"/>
      <c r="ET287" s="99"/>
      <c r="EU287" s="99"/>
      <c r="EV287" s="99"/>
      <c r="EW287" s="99"/>
      <c r="EX287" s="99"/>
      <c r="EY287" s="99"/>
      <c r="EZ287" s="99"/>
      <c r="FA287" s="99"/>
      <c r="FB287" s="99"/>
      <c r="FC287" s="99"/>
      <c r="FD287" s="99"/>
      <c r="FE287" s="99"/>
      <c r="FF287" s="99"/>
      <c r="FG287" s="99"/>
      <c r="FH287" s="99"/>
      <c r="FI287" s="99"/>
      <c r="FJ287" s="99"/>
      <c r="FK287" s="99"/>
    </row>
    <row r="288" spans="3:167" x14ac:dyDescent="0.25">
      <c r="C288" s="10"/>
      <c r="D288" s="10"/>
      <c r="J288" s="99">
        <v>285</v>
      </c>
      <c r="K288" s="16"/>
      <c r="L288" s="16"/>
      <c r="M288" s="16"/>
      <c r="N288" s="16"/>
      <c r="O288" s="16"/>
      <c r="P288" s="16"/>
      <c r="Q288" s="16"/>
      <c r="R288" s="16"/>
      <c r="S288" s="16"/>
      <c r="T288" s="16"/>
      <c r="U288" s="14">
        <f>SUM(K288:T288)</f>
        <v>0</v>
      </c>
      <c r="V288" s="14"/>
      <c r="X288" s="75" t="str" cm="1">
        <f t="array" ref="X288">MID(";"&amp;'CASE DATA'!$F288&amp;";",SMALL(IF(ISERROR(SEARCH(MID(";"&amp;'CASE DATA'!$F288&amp;";",ROW($1:$99),1),";")),"",ROW($1:$99)+1),COLUMN(A288)),SMALL(IF(ISERROR(SEARCH(MID(";"&amp;'CASE DATA'!$F288&amp;";",ROW($1:$99),1),";")),"",ROW($1:$99)),COLUMN(A287)+1)-SMALL(IF(ISERROR(SEARCH(MID(";"&amp;'CASE DATA'!$F288&amp;";",ROW($1:$99),1),";")),"",ROW($1:$99)),COLUMN(A287))-1)</f>
        <v/>
      </c>
      <c r="Y288" s="75" t="str" cm="1">
        <f t="array" ref="Y288">MID(";"&amp;'CASE DATA'!$F288&amp;";",SMALL(IF(ISERROR(SEARCH(MID(";"&amp;'CASE DATA'!$F288&amp;";",ROW($1:$99),1),";")),"",ROW($1:$99)+1),COLUMN(B288)),SMALL(IF(ISERROR(SEARCH(MID(";"&amp;'CASE DATA'!$F288&amp;";",ROW($1:$99),1),";")),"",ROW($1:$99)),COLUMN(B287)+1)-SMALL(IF(ISERROR(SEARCH(MID(";"&amp;'CASE DATA'!$F288&amp;";",ROW($1:$99),1),";")),"",ROW($1:$99)),COLUMN(B287))-1)</f>
        <v/>
      </c>
      <c r="Z288" s="75" t="str" cm="1">
        <f t="array" ref="Z288">MID(";"&amp;'CASE DATA'!$F288&amp;";",SMALL(IF(ISERROR(SEARCH(MID(";"&amp;'CASE DATA'!$F288&amp;";",ROW($1:$99),1),";")),"",ROW($1:$99)+1),COLUMN(C288)),SMALL(IF(ISERROR(SEARCH(MID(";"&amp;'CASE DATA'!$F288&amp;";",ROW($1:$99),1),";")),"",ROW($1:$99)),COLUMN(C287)+1)-SMALL(IF(ISERROR(SEARCH(MID(";"&amp;'CASE DATA'!$F288&amp;";",ROW($1:$99),1),";")),"",ROW($1:$99)),COLUMN(C287))-1)</f>
        <v/>
      </c>
      <c r="AA288" s="75" t="str" cm="1">
        <f t="array" ref="AA288">MID(";"&amp;'CASE DATA'!$F288&amp;";",SMALL(IF(ISERROR(SEARCH(MID(";"&amp;'CASE DATA'!$F288&amp;";",ROW($1:$99),1),";")),"",ROW($1:$99)+1),COLUMN(D288)),SMALL(IF(ISERROR(SEARCH(MID(";"&amp;'CASE DATA'!$F288&amp;";",ROW($1:$99),1),";")),"",ROW($1:$99)),COLUMN(D287)+1)-SMALL(IF(ISERROR(SEARCH(MID(";"&amp;'CASE DATA'!$F288&amp;";",ROW($1:$99),1),";")),"",ROW($1:$99)),COLUMN(D287))-1)</f>
        <v/>
      </c>
      <c r="AB288" s="75" t="str" cm="1">
        <f t="array" ref="AB288">MID(";"&amp;'CASE DATA'!$F288&amp;";",SMALL(IF(ISERROR(SEARCH(MID(";"&amp;'CASE DATA'!$F288&amp;";",ROW($1:$99),1),";")),"",ROW($1:$99)+1),COLUMN(E288)),SMALL(IF(ISERROR(SEARCH(MID(";"&amp;'CASE DATA'!$F288&amp;";",ROW($1:$99),1),";")),"",ROW($1:$99)),COLUMN(E287)+1)-SMALL(IF(ISERROR(SEARCH(MID(";"&amp;'CASE DATA'!$F288&amp;";",ROW($1:$99),1),";")),"",ROW($1:$99)),COLUMN(E287))-1)</f>
        <v/>
      </c>
      <c r="AC288" s="75" t="str" cm="1">
        <f t="array" ref="AC288">MID(";"&amp;'CASE DATA'!$F288&amp;";",SMALL(IF(ISERROR(SEARCH(MID(";"&amp;'CASE DATA'!$F288&amp;";",ROW($1:$99),1),";")),"",ROW($1:$99)+1),COLUMN(F288)),SMALL(IF(ISERROR(SEARCH(MID(";"&amp;'CASE DATA'!$F288&amp;";",ROW($1:$99),1),";")),"",ROW($1:$99)),COLUMN(F287)+1)-SMALL(IF(ISERROR(SEARCH(MID(";"&amp;'CASE DATA'!$F288&amp;";",ROW($1:$99),1),";")),"",ROW($1:$99)),COLUMN(F287))-1)</f>
        <v/>
      </c>
      <c r="AD288" s="75" t="str" cm="1">
        <f t="array" ref="AD288">MID(";"&amp;'CASE DATA'!$F288&amp;";",SMALL(IF(ISERROR(SEARCH(MID(";"&amp;'CASE DATA'!$F288&amp;";",ROW($1:$99),1),";")),"",ROW($1:$99)+1),COLUMN(G288)),SMALL(IF(ISERROR(SEARCH(MID(";"&amp;'CASE DATA'!$F288&amp;";",ROW($1:$99),1),";")),"",ROW($1:$99)),COLUMN(G287)+1)-SMALL(IF(ISERROR(SEARCH(MID(";"&amp;'CASE DATA'!$F288&amp;";",ROW($1:$99),1),";")),"",ROW($1:$99)),COLUMN(G287))-1)</f>
        <v/>
      </c>
      <c r="AE288" s="75" t="str" cm="1">
        <f t="array" ref="AE288">MID(";"&amp;'CASE DATA'!$F288&amp;";",SMALL(IF(ISERROR(SEARCH(MID(";"&amp;'CASE DATA'!$F288&amp;";",ROW($1:$99),1),";")),"",ROW($1:$99)+1),COLUMN(H288)),SMALL(IF(ISERROR(SEARCH(MID(";"&amp;'CASE DATA'!$F288&amp;";",ROW($1:$99),1),";")),"",ROW($1:$99)),COLUMN(H287)+1)-SMALL(IF(ISERROR(SEARCH(MID(";"&amp;'CASE DATA'!$F288&amp;";",ROW($1:$99),1),";")),"",ROW($1:$99)),COLUMN(H287))-1)</f>
        <v/>
      </c>
      <c r="AF288" s="75" t="str" cm="1">
        <f t="array" ref="AF288">MID(";"&amp;'CASE DATA'!$F288&amp;";",SMALL(IF(ISERROR(SEARCH(MID(";"&amp;'CASE DATA'!$F288&amp;";",ROW($1:$99),1),";")),"",ROW($1:$99)+1),COLUMN(I288)),SMALL(IF(ISERROR(SEARCH(MID(";"&amp;'CASE DATA'!$F288&amp;";",ROW($1:$99),1),";")),"",ROW($1:$99)),COLUMN(I287)+1)-SMALL(IF(ISERROR(SEARCH(MID(";"&amp;'CASE DATA'!$F288&amp;";",ROW($1:$99),1),";")),"",ROW($1:$99)),COLUMN(I287))-1)</f>
        <v/>
      </c>
      <c r="AG288" s="75" t="str" cm="1">
        <f t="array" ref="AG288">MID(";"&amp;'CASE DATA'!$F288&amp;";",SMALL(IF(ISERROR(SEARCH(MID(";"&amp;'CASE DATA'!$F288&amp;";",ROW($1:$99),1),";")),"",ROW($1:$99)+1),COLUMN(K288)),SMALL(IF(ISERROR(SEARCH(MID(";"&amp;'CASE DATA'!$F288&amp;";",ROW($1:$99),1),";")),"",ROW($1:$99)),COLUMN(K287)+1)-SMALL(IF(ISERROR(SEARCH(MID(";"&amp;'CASE DATA'!$F288&amp;";",ROW($1:$99),1),";")),"",ROW($1:$99)),COLUMN(K287))-1)</f>
        <v/>
      </c>
      <c r="AH288" s="75" t="str" cm="1">
        <f t="array" ref="AH288">MID(";"&amp;'CASE DATA'!$F288&amp;";",SMALL(IF(ISERROR(SEARCH(MID(";"&amp;'CASE DATA'!$F288&amp;";",ROW($1:$99),1),";")),"",ROW($1:$99)+1),COLUMN(L288)),SMALL(IF(ISERROR(SEARCH(MID(";"&amp;'CASE DATA'!$F288&amp;";",ROW($1:$99),1),";")),"",ROW($1:$99)),COLUMN(L287)+1)-SMALL(IF(ISERROR(SEARCH(MID(";"&amp;'CASE DATA'!$F288&amp;";",ROW($1:$99),1),";")),"",ROW($1:$99)),COLUMN(L287))-1)</f>
        <v/>
      </c>
      <c r="AI288" s="75" t="str" cm="1">
        <f t="array" ref="AI288">MID(";"&amp;'CASE DATA'!$F288&amp;";",SMALL(IF(ISERROR(SEARCH(MID(";"&amp;'CASE DATA'!$F288&amp;";",ROW($1:$99),1),";")),"",ROW($1:$99)+1),COLUMN(M288)),SMALL(IF(ISERROR(SEARCH(MID(";"&amp;'CASE DATA'!$F288&amp;";",ROW($1:$99),1),";")),"",ROW($1:$99)),COLUMN(M287)+1)-SMALL(IF(ISERROR(SEARCH(MID(";"&amp;'CASE DATA'!$F288&amp;";",ROW($1:$99),1),";")),"",ROW($1:$99)),COLUMN(M287))-1)</f>
        <v/>
      </c>
      <c r="BO288" s="99"/>
      <c r="BP288" s="99"/>
      <c r="BQ288" s="99"/>
      <c r="BR288" s="99"/>
      <c r="BS288" s="99"/>
      <c r="BT288" s="99"/>
      <c r="BU288" s="99"/>
      <c r="BV288" s="99"/>
      <c r="BW288" s="99"/>
      <c r="BX288" s="99"/>
      <c r="BY288" s="99"/>
      <c r="BZ288" s="99"/>
      <c r="CA288" s="99"/>
      <c r="CB288" s="99"/>
      <c r="CC288" s="99"/>
      <c r="CD288" s="99"/>
      <c r="CE288" s="99"/>
      <c r="CF288" s="99"/>
      <c r="CG288" s="99"/>
      <c r="CH288" s="99"/>
      <c r="CI288" s="99"/>
      <c r="CJ288" s="99"/>
      <c r="CK288" s="99"/>
      <c r="CL288" s="99"/>
      <c r="CM288" s="99"/>
      <c r="CN288" s="99"/>
      <c r="CO288" s="99"/>
      <c r="CP288" s="99"/>
      <c r="CQ288" s="99"/>
      <c r="CR288" s="99"/>
      <c r="CS288" s="99"/>
      <c r="CT288" s="99"/>
      <c r="CU288" s="99"/>
      <c r="CV288" s="99"/>
      <c r="CW288" s="99"/>
      <c r="CX288" s="99"/>
      <c r="CY288" s="99"/>
      <c r="CZ288" s="99"/>
      <c r="DA288" s="99"/>
      <c r="DB288" s="99"/>
      <c r="DC288" s="99"/>
      <c r="DD288" s="99"/>
      <c r="DE288" s="99"/>
      <c r="DF288" s="99"/>
      <c r="DG288" s="99"/>
      <c r="DH288" s="99"/>
      <c r="DI288" s="99"/>
      <c r="DJ288" s="99"/>
      <c r="DK288" s="99"/>
      <c r="DL288" s="99"/>
      <c r="DM288" s="99"/>
      <c r="DN288" s="99"/>
      <c r="DO288" s="99"/>
      <c r="DP288" s="99"/>
      <c r="DQ288" s="99"/>
      <c r="DR288" s="99"/>
      <c r="DS288" s="99"/>
      <c r="DT288" s="99"/>
      <c r="DU288" s="99"/>
      <c r="DV288" s="99"/>
      <c r="DW288" s="99"/>
      <c r="DX288" s="99"/>
      <c r="DY288" s="99"/>
      <c r="DZ288" s="99"/>
      <c r="EA288" s="99"/>
      <c r="EB288" s="99"/>
      <c r="EC288" s="99"/>
      <c r="ED288" s="99"/>
      <c r="EE288" s="99"/>
      <c r="EF288" s="99"/>
      <c r="EG288" s="99"/>
      <c r="EH288" s="99"/>
      <c r="EI288" s="99"/>
      <c r="EJ288" s="99"/>
      <c r="EK288" s="99"/>
      <c r="EL288" s="99"/>
      <c r="EM288" s="99"/>
      <c r="EN288" s="99"/>
      <c r="EO288" s="99"/>
      <c r="EP288" s="99"/>
      <c r="EQ288" s="99"/>
      <c r="ER288" s="99"/>
      <c r="ES288" s="99"/>
      <c r="ET288" s="99"/>
      <c r="EU288" s="99"/>
      <c r="EV288" s="99"/>
      <c r="EW288" s="99"/>
      <c r="EX288" s="99"/>
      <c r="EY288" s="99"/>
      <c r="EZ288" s="99"/>
      <c r="FA288" s="99"/>
      <c r="FB288" s="99"/>
      <c r="FC288" s="99"/>
      <c r="FD288" s="99"/>
      <c r="FE288" s="99"/>
      <c r="FF288" s="99"/>
      <c r="FG288" s="99"/>
      <c r="FH288" s="99"/>
      <c r="FI288" s="99"/>
      <c r="FJ288" s="99"/>
      <c r="FK288" s="99"/>
    </row>
    <row r="289" spans="3:167" x14ac:dyDescent="0.25">
      <c r="C289" s="10"/>
      <c r="D289" s="10"/>
      <c r="J289" s="99">
        <v>286</v>
      </c>
      <c r="K289" s="16"/>
      <c r="L289" s="16"/>
      <c r="M289" s="16"/>
      <c r="N289" s="16"/>
      <c r="O289" s="16"/>
      <c r="P289" s="16"/>
      <c r="Q289" s="16"/>
      <c r="R289" s="16"/>
      <c r="S289" s="16"/>
      <c r="T289" s="16"/>
      <c r="U289" s="14">
        <f>SUM(K289:T289)</f>
        <v>0</v>
      </c>
      <c r="V289" s="14"/>
      <c r="X289" s="75" t="str" cm="1">
        <f t="array" ref="X289">MID(";"&amp;'CASE DATA'!$F289&amp;";",SMALL(IF(ISERROR(SEARCH(MID(";"&amp;'CASE DATA'!$F289&amp;";",ROW($1:$99),1),";")),"",ROW($1:$99)+1),COLUMN(A289)),SMALL(IF(ISERROR(SEARCH(MID(";"&amp;'CASE DATA'!$F289&amp;";",ROW($1:$99),1),";")),"",ROW($1:$99)),COLUMN(A288)+1)-SMALL(IF(ISERROR(SEARCH(MID(";"&amp;'CASE DATA'!$F289&amp;";",ROW($1:$99),1),";")),"",ROW($1:$99)),COLUMN(A288))-1)</f>
        <v/>
      </c>
      <c r="Y289" s="75" t="str" cm="1">
        <f t="array" ref="Y289">MID(";"&amp;'CASE DATA'!$F289&amp;";",SMALL(IF(ISERROR(SEARCH(MID(";"&amp;'CASE DATA'!$F289&amp;";",ROW($1:$99),1),";")),"",ROW($1:$99)+1),COLUMN(B289)),SMALL(IF(ISERROR(SEARCH(MID(";"&amp;'CASE DATA'!$F289&amp;";",ROW($1:$99),1),";")),"",ROW($1:$99)),COLUMN(B288)+1)-SMALL(IF(ISERROR(SEARCH(MID(";"&amp;'CASE DATA'!$F289&amp;";",ROW($1:$99),1),";")),"",ROW($1:$99)),COLUMN(B288))-1)</f>
        <v/>
      </c>
      <c r="Z289" s="75" t="str" cm="1">
        <f t="array" ref="Z289">MID(";"&amp;'CASE DATA'!$F289&amp;";",SMALL(IF(ISERROR(SEARCH(MID(";"&amp;'CASE DATA'!$F289&amp;";",ROW($1:$99),1),";")),"",ROW($1:$99)+1),COLUMN(C289)),SMALL(IF(ISERROR(SEARCH(MID(";"&amp;'CASE DATA'!$F289&amp;";",ROW($1:$99),1),";")),"",ROW($1:$99)),COLUMN(C288)+1)-SMALL(IF(ISERROR(SEARCH(MID(";"&amp;'CASE DATA'!$F289&amp;";",ROW($1:$99),1),";")),"",ROW($1:$99)),COLUMN(C288))-1)</f>
        <v/>
      </c>
      <c r="AA289" s="75" t="str" cm="1">
        <f t="array" ref="AA289">MID(";"&amp;'CASE DATA'!$F289&amp;";",SMALL(IF(ISERROR(SEARCH(MID(";"&amp;'CASE DATA'!$F289&amp;";",ROW($1:$99),1),";")),"",ROW($1:$99)+1),COLUMN(D289)),SMALL(IF(ISERROR(SEARCH(MID(";"&amp;'CASE DATA'!$F289&amp;";",ROW($1:$99),1),";")),"",ROW($1:$99)),COLUMN(D288)+1)-SMALL(IF(ISERROR(SEARCH(MID(";"&amp;'CASE DATA'!$F289&amp;";",ROW($1:$99),1),";")),"",ROW($1:$99)),COLUMN(D288))-1)</f>
        <v/>
      </c>
      <c r="AB289" s="75" t="str" cm="1">
        <f t="array" ref="AB289">MID(";"&amp;'CASE DATA'!$F289&amp;";",SMALL(IF(ISERROR(SEARCH(MID(";"&amp;'CASE DATA'!$F289&amp;";",ROW($1:$99),1),";")),"",ROW($1:$99)+1),COLUMN(E289)),SMALL(IF(ISERROR(SEARCH(MID(";"&amp;'CASE DATA'!$F289&amp;";",ROW($1:$99),1),";")),"",ROW($1:$99)),COLUMN(E288)+1)-SMALL(IF(ISERROR(SEARCH(MID(";"&amp;'CASE DATA'!$F289&amp;";",ROW($1:$99),1),";")),"",ROW($1:$99)),COLUMN(E288))-1)</f>
        <v/>
      </c>
      <c r="AC289" s="75" t="str" cm="1">
        <f t="array" ref="AC289">MID(";"&amp;'CASE DATA'!$F289&amp;";",SMALL(IF(ISERROR(SEARCH(MID(";"&amp;'CASE DATA'!$F289&amp;";",ROW($1:$99),1),";")),"",ROW($1:$99)+1),COLUMN(F289)),SMALL(IF(ISERROR(SEARCH(MID(";"&amp;'CASE DATA'!$F289&amp;";",ROW($1:$99),1),";")),"",ROW($1:$99)),COLUMN(F288)+1)-SMALL(IF(ISERROR(SEARCH(MID(";"&amp;'CASE DATA'!$F289&amp;";",ROW($1:$99),1),";")),"",ROW($1:$99)),COLUMN(F288))-1)</f>
        <v/>
      </c>
      <c r="AD289" s="75" t="str" cm="1">
        <f t="array" ref="AD289">MID(";"&amp;'CASE DATA'!$F289&amp;";",SMALL(IF(ISERROR(SEARCH(MID(";"&amp;'CASE DATA'!$F289&amp;";",ROW($1:$99),1),";")),"",ROW($1:$99)+1),COLUMN(G289)),SMALL(IF(ISERROR(SEARCH(MID(";"&amp;'CASE DATA'!$F289&amp;";",ROW($1:$99),1),";")),"",ROW($1:$99)),COLUMN(G288)+1)-SMALL(IF(ISERROR(SEARCH(MID(";"&amp;'CASE DATA'!$F289&amp;";",ROW($1:$99),1),";")),"",ROW($1:$99)),COLUMN(G288))-1)</f>
        <v/>
      </c>
      <c r="AE289" s="75" t="str" cm="1">
        <f t="array" ref="AE289">MID(";"&amp;'CASE DATA'!$F289&amp;";",SMALL(IF(ISERROR(SEARCH(MID(";"&amp;'CASE DATA'!$F289&amp;";",ROW($1:$99),1),";")),"",ROW($1:$99)+1),COLUMN(H289)),SMALL(IF(ISERROR(SEARCH(MID(";"&amp;'CASE DATA'!$F289&amp;";",ROW($1:$99),1),";")),"",ROW($1:$99)),COLUMN(H288)+1)-SMALL(IF(ISERROR(SEARCH(MID(";"&amp;'CASE DATA'!$F289&amp;";",ROW($1:$99),1),";")),"",ROW($1:$99)),COLUMN(H288))-1)</f>
        <v/>
      </c>
      <c r="AF289" s="75" t="str" cm="1">
        <f t="array" ref="AF289">MID(";"&amp;'CASE DATA'!$F289&amp;";",SMALL(IF(ISERROR(SEARCH(MID(";"&amp;'CASE DATA'!$F289&amp;";",ROW($1:$99),1),";")),"",ROW($1:$99)+1),COLUMN(I289)),SMALL(IF(ISERROR(SEARCH(MID(";"&amp;'CASE DATA'!$F289&amp;";",ROW($1:$99),1),";")),"",ROW($1:$99)),COLUMN(I288)+1)-SMALL(IF(ISERROR(SEARCH(MID(";"&amp;'CASE DATA'!$F289&amp;";",ROW($1:$99),1),";")),"",ROW($1:$99)),COLUMN(I288))-1)</f>
        <v/>
      </c>
      <c r="AG289" s="75" t="str" cm="1">
        <f t="array" ref="AG289">MID(";"&amp;'CASE DATA'!$F289&amp;";",SMALL(IF(ISERROR(SEARCH(MID(";"&amp;'CASE DATA'!$F289&amp;";",ROW($1:$99),1),";")),"",ROW($1:$99)+1),COLUMN(K289)),SMALL(IF(ISERROR(SEARCH(MID(";"&amp;'CASE DATA'!$F289&amp;";",ROW($1:$99),1),";")),"",ROW($1:$99)),COLUMN(K288)+1)-SMALL(IF(ISERROR(SEARCH(MID(";"&amp;'CASE DATA'!$F289&amp;";",ROW($1:$99),1),";")),"",ROW($1:$99)),COLUMN(K288))-1)</f>
        <v/>
      </c>
      <c r="AH289" s="75" t="str" cm="1">
        <f t="array" ref="AH289">MID(";"&amp;'CASE DATA'!$F289&amp;";",SMALL(IF(ISERROR(SEARCH(MID(";"&amp;'CASE DATA'!$F289&amp;";",ROW($1:$99),1),";")),"",ROW($1:$99)+1),COLUMN(L289)),SMALL(IF(ISERROR(SEARCH(MID(";"&amp;'CASE DATA'!$F289&amp;";",ROW($1:$99),1),";")),"",ROW($1:$99)),COLUMN(L288)+1)-SMALL(IF(ISERROR(SEARCH(MID(";"&amp;'CASE DATA'!$F289&amp;";",ROW($1:$99),1),";")),"",ROW($1:$99)),COLUMN(L288))-1)</f>
        <v/>
      </c>
      <c r="AI289" s="75" t="str" cm="1">
        <f t="array" ref="AI289">MID(";"&amp;'CASE DATA'!$F289&amp;";",SMALL(IF(ISERROR(SEARCH(MID(";"&amp;'CASE DATA'!$F289&amp;";",ROW($1:$99),1),";")),"",ROW($1:$99)+1),COLUMN(M289)),SMALL(IF(ISERROR(SEARCH(MID(";"&amp;'CASE DATA'!$F289&amp;";",ROW($1:$99),1),";")),"",ROW($1:$99)),COLUMN(M288)+1)-SMALL(IF(ISERROR(SEARCH(MID(";"&amp;'CASE DATA'!$F289&amp;";",ROW($1:$99),1),";")),"",ROW($1:$99)),COLUMN(M288))-1)</f>
        <v/>
      </c>
      <c r="BO289" s="99"/>
      <c r="BP289" s="99"/>
      <c r="BQ289" s="99"/>
      <c r="BR289" s="99"/>
      <c r="BS289" s="99"/>
      <c r="BT289" s="99"/>
      <c r="BU289" s="99"/>
      <c r="BV289" s="99"/>
      <c r="BW289" s="99"/>
      <c r="BX289" s="99"/>
      <c r="BY289" s="99"/>
      <c r="BZ289" s="99"/>
      <c r="CA289" s="99"/>
      <c r="CB289" s="99"/>
      <c r="CC289" s="99"/>
      <c r="CD289" s="99"/>
      <c r="CE289" s="99"/>
      <c r="CF289" s="99"/>
      <c r="CG289" s="99"/>
      <c r="CH289" s="99"/>
      <c r="CI289" s="99"/>
      <c r="CJ289" s="99"/>
      <c r="CK289" s="99"/>
      <c r="CL289" s="99"/>
      <c r="CM289" s="99"/>
      <c r="CN289" s="99"/>
      <c r="CO289" s="99"/>
      <c r="CP289" s="99"/>
      <c r="CQ289" s="99"/>
      <c r="CR289" s="99"/>
      <c r="CS289" s="99"/>
      <c r="CT289" s="99"/>
      <c r="CU289" s="99"/>
      <c r="CV289" s="99"/>
      <c r="CW289" s="99"/>
      <c r="CX289" s="99"/>
      <c r="CY289" s="99"/>
      <c r="CZ289" s="99"/>
      <c r="DA289" s="99"/>
      <c r="DB289" s="99"/>
      <c r="DC289" s="99"/>
      <c r="DD289" s="99"/>
      <c r="DE289" s="99"/>
      <c r="DF289" s="99"/>
      <c r="DG289" s="99"/>
      <c r="DH289" s="99"/>
      <c r="DI289" s="99"/>
      <c r="DJ289" s="99"/>
      <c r="DK289" s="99"/>
      <c r="DL289" s="99"/>
      <c r="DM289" s="99"/>
      <c r="DN289" s="99"/>
      <c r="DO289" s="99"/>
      <c r="DP289" s="99"/>
      <c r="DQ289" s="99"/>
      <c r="DR289" s="99"/>
      <c r="DS289" s="99"/>
      <c r="DT289" s="99"/>
      <c r="DU289" s="99"/>
      <c r="DV289" s="99"/>
      <c r="DW289" s="99"/>
      <c r="DX289" s="99"/>
      <c r="DY289" s="99"/>
      <c r="DZ289" s="99"/>
      <c r="EA289" s="99"/>
      <c r="EB289" s="99"/>
      <c r="EC289" s="99"/>
      <c r="ED289" s="99"/>
      <c r="EE289" s="99"/>
      <c r="EF289" s="99"/>
      <c r="EG289" s="99"/>
      <c r="EH289" s="99"/>
      <c r="EI289" s="99"/>
      <c r="EJ289" s="99"/>
      <c r="EK289" s="99"/>
      <c r="EL289" s="99"/>
      <c r="EM289" s="99"/>
      <c r="EN289" s="99"/>
      <c r="EO289" s="99"/>
      <c r="EP289" s="99"/>
      <c r="EQ289" s="99"/>
      <c r="ER289" s="99"/>
      <c r="ES289" s="99"/>
      <c r="ET289" s="99"/>
      <c r="EU289" s="99"/>
      <c r="EV289" s="99"/>
      <c r="EW289" s="99"/>
      <c r="EX289" s="99"/>
      <c r="EY289" s="99"/>
      <c r="EZ289" s="99"/>
      <c r="FA289" s="99"/>
      <c r="FB289" s="99"/>
      <c r="FC289" s="99"/>
      <c r="FD289" s="99"/>
      <c r="FE289" s="99"/>
      <c r="FF289" s="99"/>
      <c r="FG289" s="99"/>
      <c r="FH289" s="99"/>
      <c r="FI289" s="99"/>
      <c r="FJ289" s="99"/>
      <c r="FK289" s="99"/>
    </row>
    <row r="290" spans="3:167" x14ac:dyDescent="0.25">
      <c r="C290" s="10"/>
      <c r="D290" s="10"/>
      <c r="J290" s="99">
        <v>287</v>
      </c>
      <c r="K290" s="16"/>
      <c r="L290" s="16"/>
      <c r="M290" s="16"/>
      <c r="N290" s="16"/>
      <c r="O290" s="16"/>
      <c r="P290" s="16"/>
      <c r="Q290" s="16"/>
      <c r="R290" s="16"/>
      <c r="S290" s="16"/>
      <c r="T290" s="16"/>
      <c r="U290" s="14">
        <f>SUM(K290:T290)</f>
        <v>0</v>
      </c>
      <c r="V290" s="14"/>
      <c r="X290" s="75" t="str" cm="1">
        <f t="array" ref="X290">MID(";"&amp;'CASE DATA'!$F290&amp;";",SMALL(IF(ISERROR(SEARCH(MID(";"&amp;'CASE DATA'!$F290&amp;";",ROW($1:$99),1),";")),"",ROW($1:$99)+1),COLUMN(A290)),SMALL(IF(ISERROR(SEARCH(MID(";"&amp;'CASE DATA'!$F290&amp;";",ROW($1:$99),1),";")),"",ROW($1:$99)),COLUMN(A289)+1)-SMALL(IF(ISERROR(SEARCH(MID(";"&amp;'CASE DATA'!$F290&amp;";",ROW($1:$99),1),";")),"",ROW($1:$99)),COLUMN(A289))-1)</f>
        <v/>
      </c>
      <c r="Y290" s="75" t="str" cm="1">
        <f t="array" ref="Y290">MID(";"&amp;'CASE DATA'!$F290&amp;";",SMALL(IF(ISERROR(SEARCH(MID(";"&amp;'CASE DATA'!$F290&amp;";",ROW($1:$99),1),";")),"",ROW($1:$99)+1),COLUMN(B290)),SMALL(IF(ISERROR(SEARCH(MID(";"&amp;'CASE DATA'!$F290&amp;";",ROW($1:$99),1),";")),"",ROW($1:$99)),COLUMN(B289)+1)-SMALL(IF(ISERROR(SEARCH(MID(";"&amp;'CASE DATA'!$F290&amp;";",ROW($1:$99),1),";")),"",ROW($1:$99)),COLUMN(B289))-1)</f>
        <v/>
      </c>
      <c r="Z290" s="75" t="str" cm="1">
        <f t="array" ref="Z290">MID(";"&amp;'CASE DATA'!$F290&amp;";",SMALL(IF(ISERROR(SEARCH(MID(";"&amp;'CASE DATA'!$F290&amp;";",ROW($1:$99),1),";")),"",ROW($1:$99)+1),COLUMN(C290)),SMALL(IF(ISERROR(SEARCH(MID(";"&amp;'CASE DATA'!$F290&amp;";",ROW($1:$99),1),";")),"",ROW($1:$99)),COLUMN(C289)+1)-SMALL(IF(ISERROR(SEARCH(MID(";"&amp;'CASE DATA'!$F290&amp;";",ROW($1:$99),1),";")),"",ROW($1:$99)),COLUMN(C289))-1)</f>
        <v/>
      </c>
      <c r="AA290" s="75" t="str" cm="1">
        <f t="array" ref="AA290">MID(";"&amp;'CASE DATA'!$F290&amp;";",SMALL(IF(ISERROR(SEARCH(MID(";"&amp;'CASE DATA'!$F290&amp;";",ROW($1:$99),1),";")),"",ROW($1:$99)+1),COLUMN(D290)),SMALL(IF(ISERROR(SEARCH(MID(";"&amp;'CASE DATA'!$F290&amp;";",ROW($1:$99),1),";")),"",ROW($1:$99)),COLUMN(D289)+1)-SMALL(IF(ISERROR(SEARCH(MID(";"&amp;'CASE DATA'!$F290&amp;";",ROW($1:$99),1),";")),"",ROW($1:$99)),COLUMN(D289))-1)</f>
        <v/>
      </c>
      <c r="AB290" s="75" t="str" cm="1">
        <f t="array" ref="AB290">MID(";"&amp;'CASE DATA'!$F290&amp;";",SMALL(IF(ISERROR(SEARCH(MID(";"&amp;'CASE DATA'!$F290&amp;";",ROW($1:$99),1),";")),"",ROW($1:$99)+1),COLUMN(E290)),SMALL(IF(ISERROR(SEARCH(MID(";"&amp;'CASE DATA'!$F290&amp;";",ROW($1:$99),1),";")),"",ROW($1:$99)),COLUMN(E289)+1)-SMALL(IF(ISERROR(SEARCH(MID(";"&amp;'CASE DATA'!$F290&amp;";",ROW($1:$99),1),";")),"",ROW($1:$99)),COLUMN(E289))-1)</f>
        <v/>
      </c>
      <c r="AC290" s="75" t="str" cm="1">
        <f t="array" ref="AC290">MID(";"&amp;'CASE DATA'!$F290&amp;";",SMALL(IF(ISERROR(SEARCH(MID(";"&amp;'CASE DATA'!$F290&amp;";",ROW($1:$99),1),";")),"",ROW($1:$99)+1),COLUMN(F290)),SMALL(IF(ISERROR(SEARCH(MID(";"&amp;'CASE DATA'!$F290&amp;";",ROW($1:$99),1),";")),"",ROW($1:$99)),COLUMN(F289)+1)-SMALL(IF(ISERROR(SEARCH(MID(";"&amp;'CASE DATA'!$F290&amp;";",ROW($1:$99),1),";")),"",ROW($1:$99)),COLUMN(F289))-1)</f>
        <v/>
      </c>
      <c r="AD290" s="75" t="str" cm="1">
        <f t="array" ref="AD290">MID(";"&amp;'CASE DATA'!$F290&amp;";",SMALL(IF(ISERROR(SEARCH(MID(";"&amp;'CASE DATA'!$F290&amp;";",ROW($1:$99),1),";")),"",ROW($1:$99)+1),COLUMN(G290)),SMALL(IF(ISERROR(SEARCH(MID(";"&amp;'CASE DATA'!$F290&amp;";",ROW($1:$99),1),";")),"",ROW($1:$99)),COLUMN(G289)+1)-SMALL(IF(ISERROR(SEARCH(MID(";"&amp;'CASE DATA'!$F290&amp;";",ROW($1:$99),1),";")),"",ROW($1:$99)),COLUMN(G289))-1)</f>
        <v/>
      </c>
      <c r="AE290" s="75" t="str" cm="1">
        <f t="array" ref="AE290">MID(";"&amp;'CASE DATA'!$F290&amp;";",SMALL(IF(ISERROR(SEARCH(MID(";"&amp;'CASE DATA'!$F290&amp;";",ROW($1:$99),1),";")),"",ROW($1:$99)+1),COLUMN(H290)),SMALL(IF(ISERROR(SEARCH(MID(";"&amp;'CASE DATA'!$F290&amp;";",ROW($1:$99),1),";")),"",ROW($1:$99)),COLUMN(H289)+1)-SMALL(IF(ISERROR(SEARCH(MID(";"&amp;'CASE DATA'!$F290&amp;";",ROW($1:$99),1),";")),"",ROW($1:$99)),COLUMN(H289))-1)</f>
        <v/>
      </c>
      <c r="AF290" s="75" t="str" cm="1">
        <f t="array" ref="AF290">MID(";"&amp;'CASE DATA'!$F290&amp;";",SMALL(IF(ISERROR(SEARCH(MID(";"&amp;'CASE DATA'!$F290&amp;";",ROW($1:$99),1),";")),"",ROW($1:$99)+1),COLUMN(I290)),SMALL(IF(ISERROR(SEARCH(MID(";"&amp;'CASE DATA'!$F290&amp;";",ROW($1:$99),1),";")),"",ROW($1:$99)),COLUMN(I289)+1)-SMALL(IF(ISERROR(SEARCH(MID(";"&amp;'CASE DATA'!$F290&amp;";",ROW($1:$99),1),";")),"",ROW($1:$99)),COLUMN(I289))-1)</f>
        <v/>
      </c>
      <c r="AG290" s="75" t="str" cm="1">
        <f t="array" ref="AG290">MID(";"&amp;'CASE DATA'!$F290&amp;";",SMALL(IF(ISERROR(SEARCH(MID(";"&amp;'CASE DATA'!$F290&amp;";",ROW($1:$99),1),";")),"",ROW($1:$99)+1),COLUMN(K290)),SMALL(IF(ISERROR(SEARCH(MID(";"&amp;'CASE DATA'!$F290&amp;";",ROW($1:$99),1),";")),"",ROW($1:$99)),COLUMN(K289)+1)-SMALL(IF(ISERROR(SEARCH(MID(";"&amp;'CASE DATA'!$F290&amp;";",ROW($1:$99),1),";")),"",ROW($1:$99)),COLUMN(K289))-1)</f>
        <v/>
      </c>
      <c r="AH290" s="75" t="str" cm="1">
        <f t="array" ref="AH290">MID(";"&amp;'CASE DATA'!$F290&amp;";",SMALL(IF(ISERROR(SEARCH(MID(";"&amp;'CASE DATA'!$F290&amp;";",ROW($1:$99),1),";")),"",ROW($1:$99)+1),COLUMN(L290)),SMALL(IF(ISERROR(SEARCH(MID(";"&amp;'CASE DATA'!$F290&amp;";",ROW($1:$99),1),";")),"",ROW($1:$99)),COLUMN(L289)+1)-SMALL(IF(ISERROR(SEARCH(MID(";"&amp;'CASE DATA'!$F290&amp;";",ROW($1:$99),1),";")),"",ROW($1:$99)),COLUMN(L289))-1)</f>
        <v/>
      </c>
      <c r="AI290" s="75" t="str" cm="1">
        <f t="array" ref="AI290">MID(";"&amp;'CASE DATA'!$F290&amp;";",SMALL(IF(ISERROR(SEARCH(MID(";"&amp;'CASE DATA'!$F290&amp;";",ROW($1:$99),1),";")),"",ROW($1:$99)+1),COLUMN(M290)),SMALL(IF(ISERROR(SEARCH(MID(";"&amp;'CASE DATA'!$F290&amp;";",ROW($1:$99),1),";")),"",ROW($1:$99)),COLUMN(M289)+1)-SMALL(IF(ISERROR(SEARCH(MID(";"&amp;'CASE DATA'!$F290&amp;";",ROW($1:$99),1),";")),"",ROW($1:$99)),COLUMN(M289))-1)</f>
        <v/>
      </c>
      <c r="BO290" s="99"/>
      <c r="BP290" s="99"/>
      <c r="BQ290" s="99"/>
      <c r="BR290" s="99"/>
      <c r="BS290" s="99"/>
      <c r="BT290" s="99"/>
      <c r="BU290" s="99"/>
      <c r="BV290" s="99"/>
      <c r="BW290" s="99"/>
      <c r="BX290" s="99"/>
      <c r="BY290" s="99"/>
      <c r="BZ290" s="99"/>
      <c r="CA290" s="99"/>
      <c r="CB290" s="99"/>
      <c r="CC290" s="99"/>
      <c r="CD290" s="99"/>
      <c r="CE290" s="99"/>
      <c r="CF290" s="99"/>
      <c r="CG290" s="99"/>
      <c r="CH290" s="99"/>
      <c r="CI290" s="99"/>
      <c r="CJ290" s="99"/>
      <c r="CK290" s="99"/>
      <c r="CL290" s="99"/>
      <c r="CM290" s="99"/>
      <c r="CN290" s="99"/>
      <c r="CO290" s="99"/>
      <c r="CP290" s="99"/>
      <c r="CQ290" s="99"/>
      <c r="CR290" s="99"/>
      <c r="CS290" s="99"/>
      <c r="CT290" s="99"/>
      <c r="CU290" s="99"/>
      <c r="CV290" s="99"/>
      <c r="CW290" s="99"/>
      <c r="CX290" s="99"/>
      <c r="CY290" s="99"/>
      <c r="CZ290" s="99"/>
      <c r="DA290" s="99"/>
      <c r="DB290" s="99"/>
      <c r="DC290" s="99"/>
      <c r="DD290" s="99"/>
      <c r="DE290" s="99"/>
      <c r="DF290" s="99"/>
      <c r="DG290" s="99"/>
      <c r="DH290" s="99"/>
      <c r="DI290" s="99"/>
      <c r="DJ290" s="99"/>
      <c r="DK290" s="99"/>
      <c r="DL290" s="99"/>
      <c r="DM290" s="99"/>
      <c r="DN290" s="99"/>
      <c r="DO290" s="99"/>
      <c r="DP290" s="99"/>
      <c r="DQ290" s="99"/>
      <c r="DR290" s="99"/>
      <c r="DS290" s="99"/>
      <c r="DT290" s="99"/>
      <c r="DU290" s="99"/>
      <c r="DV290" s="99"/>
      <c r="DW290" s="99"/>
      <c r="DX290" s="99"/>
      <c r="DY290" s="99"/>
      <c r="DZ290" s="99"/>
      <c r="EA290" s="99"/>
      <c r="EB290" s="99"/>
      <c r="EC290" s="99"/>
      <c r="ED290" s="99"/>
      <c r="EE290" s="99"/>
      <c r="EF290" s="99"/>
      <c r="EG290" s="99"/>
      <c r="EH290" s="99"/>
      <c r="EI290" s="99"/>
      <c r="EJ290" s="99"/>
      <c r="EK290" s="99"/>
      <c r="EL290" s="99"/>
      <c r="EM290" s="99"/>
      <c r="EN290" s="99"/>
      <c r="EO290" s="99"/>
      <c r="EP290" s="99"/>
      <c r="EQ290" s="99"/>
      <c r="ER290" s="99"/>
      <c r="ES290" s="99"/>
      <c r="ET290" s="99"/>
      <c r="EU290" s="99"/>
      <c r="EV290" s="99"/>
      <c r="EW290" s="99"/>
      <c r="EX290" s="99"/>
      <c r="EY290" s="99"/>
      <c r="EZ290" s="99"/>
      <c r="FA290" s="99"/>
      <c r="FB290" s="99"/>
      <c r="FC290" s="99"/>
      <c r="FD290" s="99"/>
      <c r="FE290" s="99"/>
      <c r="FF290" s="99"/>
      <c r="FG290" s="99"/>
      <c r="FH290" s="99"/>
      <c r="FI290" s="99"/>
      <c r="FJ290" s="99"/>
      <c r="FK290" s="99"/>
    </row>
    <row r="291" spans="3:167" x14ac:dyDescent="0.25">
      <c r="C291" s="10"/>
      <c r="D291" s="10"/>
      <c r="J291" s="99">
        <v>288</v>
      </c>
      <c r="K291" s="16"/>
      <c r="L291" s="16"/>
      <c r="M291" s="16"/>
      <c r="N291" s="16"/>
      <c r="O291" s="16"/>
      <c r="P291" s="16"/>
      <c r="Q291" s="16"/>
      <c r="R291" s="16"/>
      <c r="S291" s="16"/>
      <c r="T291" s="16"/>
      <c r="U291" s="14">
        <f>SUM(K291:T291)</f>
        <v>0</v>
      </c>
      <c r="V291" s="14"/>
      <c r="X291" s="75" t="str" cm="1">
        <f t="array" ref="X291">MID(";"&amp;'CASE DATA'!$F291&amp;";",SMALL(IF(ISERROR(SEARCH(MID(";"&amp;'CASE DATA'!$F291&amp;";",ROW($1:$99),1),";")),"",ROW($1:$99)+1),COLUMN(A291)),SMALL(IF(ISERROR(SEARCH(MID(";"&amp;'CASE DATA'!$F291&amp;";",ROW($1:$99),1),";")),"",ROW($1:$99)),COLUMN(A290)+1)-SMALL(IF(ISERROR(SEARCH(MID(";"&amp;'CASE DATA'!$F291&amp;";",ROW($1:$99),1),";")),"",ROW($1:$99)),COLUMN(A290))-1)</f>
        <v/>
      </c>
      <c r="Y291" s="75" t="str" cm="1">
        <f t="array" ref="Y291">MID(";"&amp;'CASE DATA'!$F291&amp;";",SMALL(IF(ISERROR(SEARCH(MID(";"&amp;'CASE DATA'!$F291&amp;";",ROW($1:$99),1),";")),"",ROW($1:$99)+1),COLUMN(B291)),SMALL(IF(ISERROR(SEARCH(MID(";"&amp;'CASE DATA'!$F291&amp;";",ROW($1:$99),1),";")),"",ROW($1:$99)),COLUMN(B290)+1)-SMALL(IF(ISERROR(SEARCH(MID(";"&amp;'CASE DATA'!$F291&amp;";",ROW($1:$99),1),";")),"",ROW($1:$99)),COLUMN(B290))-1)</f>
        <v/>
      </c>
      <c r="Z291" s="75" t="str" cm="1">
        <f t="array" ref="Z291">MID(";"&amp;'CASE DATA'!$F291&amp;";",SMALL(IF(ISERROR(SEARCH(MID(";"&amp;'CASE DATA'!$F291&amp;";",ROW($1:$99),1),";")),"",ROW($1:$99)+1),COLUMN(C291)),SMALL(IF(ISERROR(SEARCH(MID(";"&amp;'CASE DATA'!$F291&amp;";",ROW($1:$99),1),";")),"",ROW($1:$99)),COLUMN(C290)+1)-SMALL(IF(ISERROR(SEARCH(MID(";"&amp;'CASE DATA'!$F291&amp;";",ROW($1:$99),1),";")),"",ROW($1:$99)),COLUMN(C290))-1)</f>
        <v/>
      </c>
      <c r="AA291" s="75" t="str" cm="1">
        <f t="array" ref="AA291">MID(";"&amp;'CASE DATA'!$F291&amp;";",SMALL(IF(ISERROR(SEARCH(MID(";"&amp;'CASE DATA'!$F291&amp;";",ROW($1:$99),1),";")),"",ROW($1:$99)+1),COLUMN(D291)),SMALL(IF(ISERROR(SEARCH(MID(";"&amp;'CASE DATA'!$F291&amp;";",ROW($1:$99),1),";")),"",ROW($1:$99)),COLUMN(D290)+1)-SMALL(IF(ISERROR(SEARCH(MID(";"&amp;'CASE DATA'!$F291&amp;";",ROW($1:$99),1),";")),"",ROW($1:$99)),COLUMN(D290))-1)</f>
        <v/>
      </c>
      <c r="AB291" s="75" t="str" cm="1">
        <f t="array" ref="AB291">MID(";"&amp;'CASE DATA'!$F291&amp;";",SMALL(IF(ISERROR(SEARCH(MID(";"&amp;'CASE DATA'!$F291&amp;";",ROW($1:$99),1),";")),"",ROW($1:$99)+1),COLUMN(E291)),SMALL(IF(ISERROR(SEARCH(MID(";"&amp;'CASE DATA'!$F291&amp;";",ROW($1:$99),1),";")),"",ROW($1:$99)),COLUMN(E290)+1)-SMALL(IF(ISERROR(SEARCH(MID(";"&amp;'CASE DATA'!$F291&amp;";",ROW($1:$99),1),";")),"",ROW($1:$99)),COLUMN(E290))-1)</f>
        <v/>
      </c>
      <c r="AC291" s="75" t="str" cm="1">
        <f t="array" ref="AC291">MID(";"&amp;'CASE DATA'!$F291&amp;";",SMALL(IF(ISERROR(SEARCH(MID(";"&amp;'CASE DATA'!$F291&amp;";",ROW($1:$99),1),";")),"",ROW($1:$99)+1),COLUMN(F291)),SMALL(IF(ISERROR(SEARCH(MID(";"&amp;'CASE DATA'!$F291&amp;";",ROW($1:$99),1),";")),"",ROW($1:$99)),COLUMN(F290)+1)-SMALL(IF(ISERROR(SEARCH(MID(";"&amp;'CASE DATA'!$F291&amp;";",ROW($1:$99),1),";")),"",ROW($1:$99)),COLUMN(F290))-1)</f>
        <v/>
      </c>
      <c r="AD291" s="75" t="str" cm="1">
        <f t="array" ref="AD291">MID(";"&amp;'CASE DATA'!$F291&amp;";",SMALL(IF(ISERROR(SEARCH(MID(";"&amp;'CASE DATA'!$F291&amp;";",ROW($1:$99),1),";")),"",ROW($1:$99)+1),COLUMN(G291)),SMALL(IF(ISERROR(SEARCH(MID(";"&amp;'CASE DATA'!$F291&amp;";",ROW($1:$99),1),";")),"",ROW($1:$99)),COLUMN(G290)+1)-SMALL(IF(ISERROR(SEARCH(MID(";"&amp;'CASE DATA'!$F291&amp;";",ROW($1:$99),1),";")),"",ROW($1:$99)),COLUMN(G290))-1)</f>
        <v/>
      </c>
      <c r="AE291" s="75" t="str" cm="1">
        <f t="array" ref="AE291">MID(";"&amp;'CASE DATA'!$F291&amp;";",SMALL(IF(ISERROR(SEARCH(MID(";"&amp;'CASE DATA'!$F291&amp;";",ROW($1:$99),1),";")),"",ROW($1:$99)+1),COLUMN(H291)),SMALL(IF(ISERROR(SEARCH(MID(";"&amp;'CASE DATA'!$F291&amp;";",ROW($1:$99),1),";")),"",ROW($1:$99)),COLUMN(H290)+1)-SMALL(IF(ISERROR(SEARCH(MID(";"&amp;'CASE DATA'!$F291&amp;";",ROW($1:$99),1),";")),"",ROW($1:$99)),COLUMN(H290))-1)</f>
        <v/>
      </c>
      <c r="AF291" s="75" t="str" cm="1">
        <f t="array" ref="AF291">MID(";"&amp;'CASE DATA'!$F291&amp;";",SMALL(IF(ISERROR(SEARCH(MID(";"&amp;'CASE DATA'!$F291&amp;";",ROW($1:$99),1),";")),"",ROW($1:$99)+1),COLUMN(I291)),SMALL(IF(ISERROR(SEARCH(MID(";"&amp;'CASE DATA'!$F291&amp;";",ROW($1:$99),1),";")),"",ROW($1:$99)),COLUMN(I290)+1)-SMALL(IF(ISERROR(SEARCH(MID(";"&amp;'CASE DATA'!$F291&amp;";",ROW($1:$99),1),";")),"",ROW($1:$99)),COLUMN(I290))-1)</f>
        <v/>
      </c>
      <c r="AG291" s="75" t="str" cm="1">
        <f t="array" ref="AG291">MID(";"&amp;'CASE DATA'!$F291&amp;";",SMALL(IF(ISERROR(SEARCH(MID(";"&amp;'CASE DATA'!$F291&amp;";",ROW($1:$99),1),";")),"",ROW($1:$99)+1),COLUMN(K291)),SMALL(IF(ISERROR(SEARCH(MID(";"&amp;'CASE DATA'!$F291&amp;";",ROW($1:$99),1),";")),"",ROW($1:$99)),COLUMN(K290)+1)-SMALL(IF(ISERROR(SEARCH(MID(";"&amp;'CASE DATA'!$F291&amp;";",ROW($1:$99),1),";")),"",ROW($1:$99)),COLUMN(K290))-1)</f>
        <v/>
      </c>
      <c r="AH291" s="75" t="str" cm="1">
        <f t="array" ref="AH291">MID(";"&amp;'CASE DATA'!$F291&amp;";",SMALL(IF(ISERROR(SEARCH(MID(";"&amp;'CASE DATA'!$F291&amp;";",ROW($1:$99),1),";")),"",ROW($1:$99)+1),COLUMN(L291)),SMALL(IF(ISERROR(SEARCH(MID(";"&amp;'CASE DATA'!$F291&amp;";",ROW($1:$99),1),";")),"",ROW($1:$99)),COLUMN(L290)+1)-SMALL(IF(ISERROR(SEARCH(MID(";"&amp;'CASE DATA'!$F291&amp;";",ROW($1:$99),1),";")),"",ROW($1:$99)),COLUMN(L290))-1)</f>
        <v/>
      </c>
      <c r="AI291" s="75" t="str" cm="1">
        <f t="array" ref="AI291">MID(";"&amp;'CASE DATA'!$F291&amp;";",SMALL(IF(ISERROR(SEARCH(MID(";"&amp;'CASE DATA'!$F291&amp;";",ROW($1:$99),1),";")),"",ROW($1:$99)+1),COLUMN(M291)),SMALL(IF(ISERROR(SEARCH(MID(";"&amp;'CASE DATA'!$F291&amp;";",ROW($1:$99),1),";")),"",ROW($1:$99)),COLUMN(M290)+1)-SMALL(IF(ISERROR(SEARCH(MID(";"&amp;'CASE DATA'!$F291&amp;";",ROW($1:$99),1),";")),"",ROW($1:$99)),COLUMN(M290))-1)</f>
        <v/>
      </c>
      <c r="BO291" s="99"/>
      <c r="BP291" s="99"/>
      <c r="BQ291" s="99"/>
      <c r="BR291" s="99"/>
      <c r="BS291" s="99"/>
      <c r="BT291" s="99"/>
      <c r="BU291" s="99"/>
      <c r="BV291" s="99"/>
      <c r="BW291" s="99"/>
      <c r="BX291" s="99"/>
      <c r="BY291" s="99"/>
      <c r="BZ291" s="99"/>
      <c r="CA291" s="99"/>
      <c r="CB291" s="99"/>
      <c r="CC291" s="99"/>
      <c r="CD291" s="99"/>
      <c r="CE291" s="99"/>
      <c r="CF291" s="99"/>
      <c r="CG291" s="99"/>
      <c r="CH291" s="99"/>
      <c r="CI291" s="99"/>
      <c r="CJ291" s="99"/>
      <c r="CK291" s="99"/>
      <c r="CL291" s="99"/>
      <c r="CM291" s="99"/>
      <c r="CN291" s="99"/>
      <c r="CO291" s="99"/>
      <c r="CP291" s="99"/>
      <c r="CQ291" s="99"/>
      <c r="CR291" s="99"/>
      <c r="CS291" s="99"/>
      <c r="CT291" s="99"/>
      <c r="CU291" s="99"/>
      <c r="CV291" s="99"/>
      <c r="CW291" s="99"/>
      <c r="CX291" s="99"/>
      <c r="CY291" s="99"/>
      <c r="CZ291" s="99"/>
      <c r="DA291" s="99"/>
      <c r="DB291" s="99"/>
      <c r="DC291" s="99"/>
      <c r="DD291" s="99"/>
      <c r="DE291" s="99"/>
      <c r="DF291" s="99"/>
      <c r="DG291" s="99"/>
      <c r="DH291" s="99"/>
      <c r="DI291" s="99"/>
      <c r="DJ291" s="99"/>
      <c r="DK291" s="99"/>
      <c r="DL291" s="99"/>
      <c r="DM291" s="99"/>
      <c r="DN291" s="99"/>
      <c r="DO291" s="99"/>
      <c r="DP291" s="99"/>
      <c r="DQ291" s="99"/>
      <c r="DR291" s="99"/>
      <c r="DS291" s="99"/>
      <c r="DT291" s="99"/>
      <c r="DU291" s="99"/>
      <c r="DV291" s="99"/>
      <c r="DW291" s="99"/>
      <c r="DX291" s="99"/>
      <c r="DY291" s="99"/>
      <c r="DZ291" s="99"/>
      <c r="EA291" s="99"/>
      <c r="EB291" s="99"/>
      <c r="EC291" s="99"/>
      <c r="ED291" s="99"/>
      <c r="EE291" s="99"/>
      <c r="EF291" s="99"/>
      <c r="EG291" s="99"/>
      <c r="EH291" s="99"/>
      <c r="EI291" s="99"/>
      <c r="EJ291" s="99"/>
      <c r="EK291" s="99"/>
      <c r="EL291" s="99"/>
      <c r="EM291" s="99"/>
      <c r="EN291" s="99"/>
      <c r="EO291" s="99"/>
      <c r="EP291" s="99"/>
      <c r="EQ291" s="99"/>
      <c r="ER291" s="99"/>
      <c r="ES291" s="99"/>
      <c r="ET291" s="99"/>
      <c r="EU291" s="99"/>
      <c r="EV291" s="99"/>
      <c r="EW291" s="99"/>
      <c r="EX291" s="99"/>
      <c r="EY291" s="99"/>
      <c r="EZ291" s="99"/>
      <c r="FA291" s="99"/>
      <c r="FB291" s="99"/>
      <c r="FC291" s="99"/>
      <c r="FD291" s="99"/>
      <c r="FE291" s="99"/>
      <c r="FF291" s="99"/>
      <c r="FG291" s="99"/>
      <c r="FH291" s="99"/>
      <c r="FI291" s="99"/>
      <c r="FJ291" s="99"/>
      <c r="FK291" s="99"/>
    </row>
    <row r="292" spans="3:167" x14ac:dyDescent="0.25">
      <c r="C292" s="10"/>
      <c r="D292" s="10"/>
      <c r="J292" s="99">
        <v>289</v>
      </c>
      <c r="K292" s="16"/>
      <c r="L292" s="16"/>
      <c r="M292" s="16"/>
      <c r="N292" s="16"/>
      <c r="O292" s="16"/>
      <c r="P292" s="16"/>
      <c r="Q292" s="16"/>
      <c r="R292" s="16"/>
      <c r="S292" s="16"/>
      <c r="T292" s="16"/>
      <c r="U292" s="14">
        <f>SUM(K292:T292)</f>
        <v>0</v>
      </c>
      <c r="V292" s="14"/>
      <c r="X292" s="75" t="str" cm="1">
        <f t="array" ref="X292">MID(";"&amp;'CASE DATA'!$F292&amp;";",SMALL(IF(ISERROR(SEARCH(MID(";"&amp;'CASE DATA'!$F292&amp;";",ROW($1:$99),1),";")),"",ROW($1:$99)+1),COLUMN(A292)),SMALL(IF(ISERROR(SEARCH(MID(";"&amp;'CASE DATA'!$F292&amp;";",ROW($1:$99),1),";")),"",ROW($1:$99)),COLUMN(A291)+1)-SMALL(IF(ISERROR(SEARCH(MID(";"&amp;'CASE DATA'!$F292&amp;";",ROW($1:$99),1),";")),"",ROW($1:$99)),COLUMN(A291))-1)</f>
        <v/>
      </c>
      <c r="Y292" s="75" t="str" cm="1">
        <f t="array" ref="Y292">MID(";"&amp;'CASE DATA'!$F292&amp;";",SMALL(IF(ISERROR(SEARCH(MID(";"&amp;'CASE DATA'!$F292&amp;";",ROW($1:$99),1),";")),"",ROW($1:$99)+1),COLUMN(B292)),SMALL(IF(ISERROR(SEARCH(MID(";"&amp;'CASE DATA'!$F292&amp;";",ROW($1:$99),1),";")),"",ROW($1:$99)),COLUMN(B291)+1)-SMALL(IF(ISERROR(SEARCH(MID(";"&amp;'CASE DATA'!$F292&amp;";",ROW($1:$99),1),";")),"",ROW($1:$99)),COLUMN(B291))-1)</f>
        <v/>
      </c>
      <c r="Z292" s="75" t="str" cm="1">
        <f t="array" ref="Z292">MID(";"&amp;'CASE DATA'!$F292&amp;";",SMALL(IF(ISERROR(SEARCH(MID(";"&amp;'CASE DATA'!$F292&amp;";",ROW($1:$99),1),";")),"",ROW($1:$99)+1),COLUMN(C292)),SMALL(IF(ISERROR(SEARCH(MID(";"&amp;'CASE DATA'!$F292&amp;";",ROW($1:$99),1),";")),"",ROW($1:$99)),COLUMN(C291)+1)-SMALL(IF(ISERROR(SEARCH(MID(";"&amp;'CASE DATA'!$F292&amp;";",ROW($1:$99),1),";")),"",ROW($1:$99)),COLUMN(C291))-1)</f>
        <v/>
      </c>
      <c r="AA292" s="75" t="str" cm="1">
        <f t="array" ref="AA292">MID(";"&amp;'CASE DATA'!$F292&amp;";",SMALL(IF(ISERROR(SEARCH(MID(";"&amp;'CASE DATA'!$F292&amp;";",ROW($1:$99),1),";")),"",ROW($1:$99)+1),COLUMN(D292)),SMALL(IF(ISERROR(SEARCH(MID(";"&amp;'CASE DATA'!$F292&amp;";",ROW($1:$99),1),";")),"",ROW($1:$99)),COLUMN(D291)+1)-SMALL(IF(ISERROR(SEARCH(MID(";"&amp;'CASE DATA'!$F292&amp;";",ROW($1:$99),1),";")),"",ROW($1:$99)),COLUMN(D291))-1)</f>
        <v/>
      </c>
      <c r="AB292" s="75" t="str" cm="1">
        <f t="array" ref="AB292">MID(";"&amp;'CASE DATA'!$F292&amp;";",SMALL(IF(ISERROR(SEARCH(MID(";"&amp;'CASE DATA'!$F292&amp;";",ROW($1:$99),1),";")),"",ROW($1:$99)+1),COLUMN(E292)),SMALL(IF(ISERROR(SEARCH(MID(";"&amp;'CASE DATA'!$F292&amp;";",ROW($1:$99),1),";")),"",ROW($1:$99)),COLUMN(E291)+1)-SMALL(IF(ISERROR(SEARCH(MID(";"&amp;'CASE DATA'!$F292&amp;";",ROW($1:$99),1),";")),"",ROW($1:$99)),COLUMN(E291))-1)</f>
        <v/>
      </c>
      <c r="AC292" s="75" t="str" cm="1">
        <f t="array" ref="AC292">MID(";"&amp;'CASE DATA'!$F292&amp;";",SMALL(IF(ISERROR(SEARCH(MID(";"&amp;'CASE DATA'!$F292&amp;";",ROW($1:$99),1),";")),"",ROW($1:$99)+1),COLUMN(F292)),SMALL(IF(ISERROR(SEARCH(MID(";"&amp;'CASE DATA'!$F292&amp;";",ROW($1:$99),1),";")),"",ROW($1:$99)),COLUMN(F291)+1)-SMALL(IF(ISERROR(SEARCH(MID(";"&amp;'CASE DATA'!$F292&amp;";",ROW($1:$99),1),";")),"",ROW($1:$99)),COLUMN(F291))-1)</f>
        <v/>
      </c>
      <c r="AD292" s="75" t="str" cm="1">
        <f t="array" ref="AD292">MID(";"&amp;'CASE DATA'!$F292&amp;";",SMALL(IF(ISERROR(SEARCH(MID(";"&amp;'CASE DATA'!$F292&amp;";",ROW($1:$99),1),";")),"",ROW($1:$99)+1),COLUMN(G292)),SMALL(IF(ISERROR(SEARCH(MID(";"&amp;'CASE DATA'!$F292&amp;";",ROW($1:$99),1),";")),"",ROW($1:$99)),COLUMN(G291)+1)-SMALL(IF(ISERROR(SEARCH(MID(";"&amp;'CASE DATA'!$F292&amp;";",ROW($1:$99),1),";")),"",ROW($1:$99)),COLUMN(G291))-1)</f>
        <v/>
      </c>
      <c r="AE292" s="75" t="str" cm="1">
        <f t="array" ref="AE292">MID(";"&amp;'CASE DATA'!$F292&amp;";",SMALL(IF(ISERROR(SEARCH(MID(";"&amp;'CASE DATA'!$F292&amp;";",ROW($1:$99),1),";")),"",ROW($1:$99)+1),COLUMN(H292)),SMALL(IF(ISERROR(SEARCH(MID(";"&amp;'CASE DATA'!$F292&amp;";",ROW($1:$99),1),";")),"",ROW($1:$99)),COLUMN(H291)+1)-SMALL(IF(ISERROR(SEARCH(MID(";"&amp;'CASE DATA'!$F292&amp;";",ROW($1:$99),1),";")),"",ROW($1:$99)),COLUMN(H291))-1)</f>
        <v/>
      </c>
      <c r="AF292" s="75" t="str" cm="1">
        <f t="array" ref="AF292">MID(";"&amp;'CASE DATA'!$F292&amp;";",SMALL(IF(ISERROR(SEARCH(MID(";"&amp;'CASE DATA'!$F292&amp;";",ROW($1:$99),1),";")),"",ROW($1:$99)+1),COLUMN(I292)),SMALL(IF(ISERROR(SEARCH(MID(";"&amp;'CASE DATA'!$F292&amp;";",ROW($1:$99),1),";")),"",ROW($1:$99)),COLUMN(I291)+1)-SMALL(IF(ISERROR(SEARCH(MID(";"&amp;'CASE DATA'!$F292&amp;";",ROW($1:$99),1),";")),"",ROW($1:$99)),COLUMN(I291))-1)</f>
        <v/>
      </c>
      <c r="AG292" s="75" t="str" cm="1">
        <f t="array" ref="AG292">MID(";"&amp;'CASE DATA'!$F292&amp;";",SMALL(IF(ISERROR(SEARCH(MID(";"&amp;'CASE DATA'!$F292&amp;";",ROW($1:$99),1),";")),"",ROW($1:$99)+1),COLUMN(K292)),SMALL(IF(ISERROR(SEARCH(MID(";"&amp;'CASE DATA'!$F292&amp;";",ROW($1:$99),1),";")),"",ROW($1:$99)),COLUMN(K291)+1)-SMALL(IF(ISERROR(SEARCH(MID(";"&amp;'CASE DATA'!$F292&amp;";",ROW($1:$99),1),";")),"",ROW($1:$99)),COLUMN(K291))-1)</f>
        <v/>
      </c>
      <c r="AH292" s="75" t="str" cm="1">
        <f t="array" ref="AH292">MID(";"&amp;'CASE DATA'!$F292&amp;";",SMALL(IF(ISERROR(SEARCH(MID(";"&amp;'CASE DATA'!$F292&amp;";",ROW($1:$99),1),";")),"",ROW($1:$99)+1),COLUMN(L292)),SMALL(IF(ISERROR(SEARCH(MID(";"&amp;'CASE DATA'!$F292&amp;";",ROW($1:$99),1),";")),"",ROW($1:$99)),COLUMN(L291)+1)-SMALL(IF(ISERROR(SEARCH(MID(";"&amp;'CASE DATA'!$F292&amp;";",ROW($1:$99),1),";")),"",ROW($1:$99)),COLUMN(L291))-1)</f>
        <v/>
      </c>
      <c r="AI292" s="75" t="str" cm="1">
        <f t="array" ref="AI292">MID(";"&amp;'CASE DATA'!$F292&amp;";",SMALL(IF(ISERROR(SEARCH(MID(";"&amp;'CASE DATA'!$F292&amp;";",ROW($1:$99),1),";")),"",ROW($1:$99)+1),COLUMN(M292)),SMALL(IF(ISERROR(SEARCH(MID(";"&amp;'CASE DATA'!$F292&amp;";",ROW($1:$99),1),";")),"",ROW($1:$99)),COLUMN(M291)+1)-SMALL(IF(ISERROR(SEARCH(MID(";"&amp;'CASE DATA'!$F292&amp;";",ROW($1:$99),1),";")),"",ROW($1:$99)),COLUMN(M291))-1)</f>
        <v/>
      </c>
      <c r="BO292" s="99"/>
      <c r="BP292" s="99"/>
      <c r="BQ292" s="99"/>
      <c r="BR292" s="99"/>
      <c r="BS292" s="99"/>
      <c r="BT292" s="99"/>
      <c r="BU292" s="99"/>
      <c r="BV292" s="99"/>
      <c r="BW292" s="99"/>
      <c r="BX292" s="99"/>
      <c r="BY292" s="99"/>
      <c r="BZ292" s="99"/>
      <c r="CA292" s="99"/>
      <c r="CB292" s="99"/>
      <c r="CC292" s="99"/>
      <c r="CD292" s="99"/>
      <c r="CE292" s="99"/>
      <c r="CF292" s="99"/>
      <c r="CG292" s="99"/>
      <c r="CH292" s="99"/>
      <c r="CI292" s="99"/>
      <c r="CJ292" s="99"/>
      <c r="CK292" s="99"/>
      <c r="CL292" s="99"/>
      <c r="CM292" s="99"/>
      <c r="CN292" s="99"/>
      <c r="CO292" s="99"/>
      <c r="CP292" s="99"/>
      <c r="CQ292" s="99"/>
      <c r="CR292" s="99"/>
      <c r="CS292" s="99"/>
      <c r="CT292" s="99"/>
      <c r="CU292" s="99"/>
      <c r="CV292" s="99"/>
      <c r="CW292" s="99"/>
      <c r="CX292" s="99"/>
      <c r="CY292" s="99"/>
      <c r="CZ292" s="99"/>
      <c r="DA292" s="99"/>
      <c r="DB292" s="99"/>
      <c r="DC292" s="99"/>
      <c r="DD292" s="99"/>
      <c r="DE292" s="99"/>
      <c r="DF292" s="99"/>
      <c r="DG292" s="99"/>
      <c r="DH292" s="99"/>
      <c r="DI292" s="99"/>
      <c r="DJ292" s="99"/>
      <c r="DK292" s="99"/>
      <c r="DL292" s="99"/>
      <c r="DM292" s="99"/>
      <c r="DN292" s="99"/>
      <c r="DO292" s="99"/>
      <c r="DP292" s="99"/>
      <c r="DQ292" s="99"/>
      <c r="DR292" s="99"/>
      <c r="DS292" s="99"/>
      <c r="DT292" s="99"/>
      <c r="DU292" s="99"/>
      <c r="DV292" s="99"/>
      <c r="DW292" s="99"/>
      <c r="DX292" s="99"/>
      <c r="DY292" s="99"/>
      <c r="DZ292" s="99"/>
      <c r="EA292" s="99"/>
      <c r="EB292" s="99"/>
      <c r="EC292" s="99"/>
      <c r="ED292" s="99"/>
      <c r="EE292" s="99"/>
      <c r="EF292" s="99"/>
      <c r="EG292" s="99"/>
      <c r="EH292" s="99"/>
      <c r="EI292" s="99"/>
      <c r="EJ292" s="99"/>
      <c r="EK292" s="99"/>
      <c r="EL292" s="99"/>
      <c r="EM292" s="99"/>
      <c r="EN292" s="99"/>
      <c r="EO292" s="99"/>
      <c r="EP292" s="99"/>
      <c r="EQ292" s="99"/>
      <c r="ER292" s="99"/>
      <c r="ES292" s="99"/>
      <c r="ET292" s="99"/>
      <c r="EU292" s="99"/>
      <c r="EV292" s="99"/>
      <c r="EW292" s="99"/>
      <c r="EX292" s="99"/>
      <c r="EY292" s="99"/>
      <c r="EZ292" s="99"/>
      <c r="FA292" s="99"/>
      <c r="FB292" s="99"/>
      <c r="FC292" s="99"/>
      <c r="FD292" s="99"/>
      <c r="FE292" s="99"/>
      <c r="FF292" s="99"/>
      <c r="FG292" s="99"/>
      <c r="FH292" s="99"/>
      <c r="FI292" s="99"/>
      <c r="FJ292" s="99"/>
      <c r="FK292" s="99"/>
    </row>
    <row r="293" spans="3:167" x14ac:dyDescent="0.25">
      <c r="C293" s="10"/>
      <c r="D293" s="10"/>
      <c r="J293" s="99">
        <v>290</v>
      </c>
      <c r="K293" s="16"/>
      <c r="L293" s="16"/>
      <c r="M293" s="16"/>
      <c r="N293" s="16"/>
      <c r="O293" s="16"/>
      <c r="P293" s="16"/>
      <c r="Q293" s="16"/>
      <c r="R293" s="16"/>
      <c r="S293" s="16"/>
      <c r="T293" s="16"/>
      <c r="U293" s="14">
        <f>SUM(K293:T293)</f>
        <v>0</v>
      </c>
      <c r="V293" s="14"/>
      <c r="X293" s="75" t="str" cm="1">
        <f t="array" ref="X293">MID(";"&amp;'CASE DATA'!$F293&amp;";",SMALL(IF(ISERROR(SEARCH(MID(";"&amp;'CASE DATA'!$F293&amp;";",ROW($1:$99),1),";")),"",ROW($1:$99)+1),COLUMN(A293)),SMALL(IF(ISERROR(SEARCH(MID(";"&amp;'CASE DATA'!$F293&amp;";",ROW($1:$99),1),";")),"",ROW($1:$99)),COLUMN(A292)+1)-SMALL(IF(ISERROR(SEARCH(MID(";"&amp;'CASE DATA'!$F293&amp;";",ROW($1:$99),1),";")),"",ROW($1:$99)),COLUMN(A292))-1)</f>
        <v/>
      </c>
      <c r="Y293" s="75" t="str" cm="1">
        <f t="array" ref="Y293">MID(";"&amp;'CASE DATA'!$F293&amp;";",SMALL(IF(ISERROR(SEARCH(MID(";"&amp;'CASE DATA'!$F293&amp;";",ROW($1:$99),1),";")),"",ROW($1:$99)+1),COLUMN(B293)),SMALL(IF(ISERROR(SEARCH(MID(";"&amp;'CASE DATA'!$F293&amp;";",ROW($1:$99),1),";")),"",ROW($1:$99)),COLUMN(B292)+1)-SMALL(IF(ISERROR(SEARCH(MID(";"&amp;'CASE DATA'!$F293&amp;";",ROW($1:$99),1),";")),"",ROW($1:$99)),COLUMN(B292))-1)</f>
        <v/>
      </c>
      <c r="Z293" s="75" t="str" cm="1">
        <f t="array" ref="Z293">MID(";"&amp;'CASE DATA'!$F293&amp;";",SMALL(IF(ISERROR(SEARCH(MID(";"&amp;'CASE DATA'!$F293&amp;";",ROW($1:$99),1),";")),"",ROW($1:$99)+1),COLUMN(C293)),SMALL(IF(ISERROR(SEARCH(MID(";"&amp;'CASE DATA'!$F293&amp;";",ROW($1:$99),1),";")),"",ROW($1:$99)),COLUMN(C292)+1)-SMALL(IF(ISERROR(SEARCH(MID(";"&amp;'CASE DATA'!$F293&amp;";",ROW($1:$99),1),";")),"",ROW($1:$99)),COLUMN(C292))-1)</f>
        <v/>
      </c>
      <c r="AA293" s="75" t="str" cm="1">
        <f t="array" ref="AA293">MID(";"&amp;'CASE DATA'!$F293&amp;";",SMALL(IF(ISERROR(SEARCH(MID(";"&amp;'CASE DATA'!$F293&amp;";",ROW($1:$99),1),";")),"",ROW($1:$99)+1),COLUMN(D293)),SMALL(IF(ISERROR(SEARCH(MID(";"&amp;'CASE DATA'!$F293&amp;";",ROW($1:$99),1),";")),"",ROW($1:$99)),COLUMN(D292)+1)-SMALL(IF(ISERROR(SEARCH(MID(";"&amp;'CASE DATA'!$F293&amp;";",ROW($1:$99),1),";")),"",ROW($1:$99)),COLUMN(D292))-1)</f>
        <v/>
      </c>
      <c r="AB293" s="75" t="str" cm="1">
        <f t="array" ref="AB293">MID(";"&amp;'CASE DATA'!$F293&amp;";",SMALL(IF(ISERROR(SEARCH(MID(";"&amp;'CASE DATA'!$F293&amp;";",ROW($1:$99),1),";")),"",ROW($1:$99)+1),COLUMN(E293)),SMALL(IF(ISERROR(SEARCH(MID(";"&amp;'CASE DATA'!$F293&amp;";",ROW($1:$99),1),";")),"",ROW($1:$99)),COLUMN(E292)+1)-SMALL(IF(ISERROR(SEARCH(MID(";"&amp;'CASE DATA'!$F293&amp;";",ROW($1:$99),1),";")),"",ROW($1:$99)),COLUMN(E292))-1)</f>
        <v/>
      </c>
      <c r="AC293" s="75" t="str" cm="1">
        <f t="array" ref="AC293">MID(";"&amp;'CASE DATA'!$F293&amp;";",SMALL(IF(ISERROR(SEARCH(MID(";"&amp;'CASE DATA'!$F293&amp;";",ROW($1:$99),1),";")),"",ROW($1:$99)+1),COLUMN(F293)),SMALL(IF(ISERROR(SEARCH(MID(";"&amp;'CASE DATA'!$F293&amp;";",ROW($1:$99),1),";")),"",ROW($1:$99)),COLUMN(F292)+1)-SMALL(IF(ISERROR(SEARCH(MID(";"&amp;'CASE DATA'!$F293&amp;";",ROW($1:$99),1),";")),"",ROW($1:$99)),COLUMN(F292))-1)</f>
        <v/>
      </c>
      <c r="AD293" s="75" t="str" cm="1">
        <f t="array" ref="AD293">MID(";"&amp;'CASE DATA'!$F293&amp;";",SMALL(IF(ISERROR(SEARCH(MID(";"&amp;'CASE DATA'!$F293&amp;";",ROW($1:$99),1),";")),"",ROW($1:$99)+1),COLUMN(G293)),SMALL(IF(ISERROR(SEARCH(MID(";"&amp;'CASE DATA'!$F293&amp;";",ROW($1:$99),1),";")),"",ROW($1:$99)),COLUMN(G292)+1)-SMALL(IF(ISERROR(SEARCH(MID(";"&amp;'CASE DATA'!$F293&amp;";",ROW($1:$99),1),";")),"",ROW($1:$99)),COLUMN(G292))-1)</f>
        <v/>
      </c>
      <c r="AE293" s="75" t="str" cm="1">
        <f t="array" ref="AE293">MID(";"&amp;'CASE DATA'!$F293&amp;";",SMALL(IF(ISERROR(SEARCH(MID(";"&amp;'CASE DATA'!$F293&amp;";",ROW($1:$99),1),";")),"",ROW($1:$99)+1),COLUMN(H293)),SMALL(IF(ISERROR(SEARCH(MID(";"&amp;'CASE DATA'!$F293&amp;";",ROW($1:$99),1),";")),"",ROW($1:$99)),COLUMN(H292)+1)-SMALL(IF(ISERROR(SEARCH(MID(";"&amp;'CASE DATA'!$F293&amp;";",ROW($1:$99),1),";")),"",ROW($1:$99)),COLUMN(H292))-1)</f>
        <v/>
      </c>
      <c r="AF293" s="75" t="str" cm="1">
        <f t="array" ref="AF293">MID(";"&amp;'CASE DATA'!$F293&amp;";",SMALL(IF(ISERROR(SEARCH(MID(";"&amp;'CASE DATA'!$F293&amp;";",ROW($1:$99),1),";")),"",ROW($1:$99)+1),COLUMN(I293)),SMALL(IF(ISERROR(SEARCH(MID(";"&amp;'CASE DATA'!$F293&amp;";",ROW($1:$99),1),";")),"",ROW($1:$99)),COLUMN(I292)+1)-SMALL(IF(ISERROR(SEARCH(MID(";"&amp;'CASE DATA'!$F293&amp;";",ROW($1:$99),1),";")),"",ROW($1:$99)),COLUMN(I292))-1)</f>
        <v/>
      </c>
      <c r="AG293" s="75" t="str" cm="1">
        <f t="array" ref="AG293">MID(";"&amp;'CASE DATA'!$F293&amp;";",SMALL(IF(ISERROR(SEARCH(MID(";"&amp;'CASE DATA'!$F293&amp;";",ROW($1:$99),1),";")),"",ROW($1:$99)+1),COLUMN(K293)),SMALL(IF(ISERROR(SEARCH(MID(";"&amp;'CASE DATA'!$F293&amp;";",ROW($1:$99),1),";")),"",ROW($1:$99)),COLUMN(K292)+1)-SMALL(IF(ISERROR(SEARCH(MID(";"&amp;'CASE DATA'!$F293&amp;";",ROW($1:$99),1),";")),"",ROW($1:$99)),COLUMN(K292))-1)</f>
        <v/>
      </c>
      <c r="AH293" s="75" t="str" cm="1">
        <f t="array" ref="AH293">MID(";"&amp;'CASE DATA'!$F293&amp;";",SMALL(IF(ISERROR(SEARCH(MID(";"&amp;'CASE DATA'!$F293&amp;";",ROW($1:$99),1),";")),"",ROW($1:$99)+1),COLUMN(L293)),SMALL(IF(ISERROR(SEARCH(MID(";"&amp;'CASE DATA'!$F293&amp;";",ROW($1:$99),1),";")),"",ROW($1:$99)),COLUMN(L292)+1)-SMALL(IF(ISERROR(SEARCH(MID(";"&amp;'CASE DATA'!$F293&amp;";",ROW($1:$99),1),";")),"",ROW($1:$99)),COLUMN(L292))-1)</f>
        <v/>
      </c>
      <c r="AI293" s="75" t="str" cm="1">
        <f t="array" ref="AI293">MID(";"&amp;'CASE DATA'!$F293&amp;";",SMALL(IF(ISERROR(SEARCH(MID(";"&amp;'CASE DATA'!$F293&amp;";",ROW($1:$99),1),";")),"",ROW($1:$99)+1),COLUMN(M293)),SMALL(IF(ISERROR(SEARCH(MID(";"&amp;'CASE DATA'!$F293&amp;";",ROW($1:$99),1),";")),"",ROW($1:$99)),COLUMN(M292)+1)-SMALL(IF(ISERROR(SEARCH(MID(";"&amp;'CASE DATA'!$F293&amp;";",ROW($1:$99),1),";")),"",ROW($1:$99)),COLUMN(M292))-1)</f>
        <v/>
      </c>
      <c r="BO293" s="99"/>
      <c r="BP293" s="99"/>
      <c r="BQ293" s="99"/>
      <c r="BR293" s="99"/>
      <c r="BS293" s="99"/>
      <c r="BT293" s="99"/>
      <c r="BU293" s="99"/>
      <c r="BV293" s="99"/>
      <c r="BW293" s="99"/>
      <c r="BX293" s="99"/>
      <c r="BY293" s="99"/>
      <c r="BZ293" s="99"/>
      <c r="CA293" s="99"/>
      <c r="CB293" s="99"/>
      <c r="CC293" s="99"/>
      <c r="CD293" s="99"/>
      <c r="CE293" s="99"/>
      <c r="CF293" s="99"/>
      <c r="CG293" s="99"/>
      <c r="CH293" s="99"/>
      <c r="CI293" s="99"/>
      <c r="CJ293" s="99"/>
      <c r="CK293" s="99"/>
      <c r="CL293" s="99"/>
      <c r="CM293" s="99"/>
      <c r="CN293" s="99"/>
      <c r="CO293" s="99"/>
      <c r="CP293" s="99"/>
      <c r="CQ293" s="99"/>
      <c r="CR293" s="99"/>
      <c r="CS293" s="99"/>
      <c r="CT293" s="99"/>
      <c r="CU293" s="99"/>
      <c r="CV293" s="99"/>
      <c r="CW293" s="99"/>
      <c r="CX293" s="99"/>
      <c r="CY293" s="99"/>
      <c r="CZ293" s="99"/>
      <c r="DA293" s="99"/>
      <c r="DB293" s="99"/>
      <c r="DC293" s="99"/>
      <c r="DD293" s="99"/>
      <c r="DE293" s="99"/>
      <c r="DF293" s="99"/>
      <c r="DG293" s="99"/>
      <c r="DH293" s="99"/>
      <c r="DI293" s="99"/>
      <c r="DJ293" s="99"/>
      <c r="DK293" s="99"/>
      <c r="DL293" s="99"/>
      <c r="DM293" s="99"/>
      <c r="DN293" s="99"/>
      <c r="DO293" s="99"/>
      <c r="DP293" s="99"/>
      <c r="DQ293" s="99"/>
      <c r="DR293" s="99"/>
      <c r="DS293" s="99"/>
      <c r="DT293" s="99"/>
      <c r="DU293" s="99"/>
      <c r="DV293" s="99"/>
      <c r="DW293" s="99"/>
      <c r="DX293" s="99"/>
      <c r="DY293" s="99"/>
      <c r="DZ293" s="99"/>
      <c r="EA293" s="99"/>
      <c r="EB293" s="99"/>
      <c r="EC293" s="99"/>
      <c r="ED293" s="99"/>
      <c r="EE293" s="99"/>
      <c r="EF293" s="99"/>
      <c r="EG293" s="99"/>
      <c r="EH293" s="99"/>
      <c r="EI293" s="99"/>
      <c r="EJ293" s="99"/>
      <c r="EK293" s="99"/>
      <c r="EL293" s="99"/>
      <c r="EM293" s="99"/>
      <c r="EN293" s="99"/>
      <c r="EO293" s="99"/>
      <c r="EP293" s="99"/>
      <c r="EQ293" s="99"/>
      <c r="ER293" s="99"/>
      <c r="ES293" s="99"/>
      <c r="ET293" s="99"/>
      <c r="EU293" s="99"/>
      <c r="EV293" s="99"/>
      <c r="EW293" s="99"/>
      <c r="EX293" s="99"/>
      <c r="EY293" s="99"/>
      <c r="EZ293" s="99"/>
      <c r="FA293" s="99"/>
      <c r="FB293" s="99"/>
      <c r="FC293" s="99"/>
      <c r="FD293" s="99"/>
      <c r="FE293" s="99"/>
      <c r="FF293" s="99"/>
      <c r="FG293" s="99"/>
      <c r="FH293" s="99"/>
      <c r="FI293" s="99"/>
      <c r="FJ293" s="99"/>
      <c r="FK293" s="99"/>
    </row>
    <row r="294" spans="3:167" x14ac:dyDescent="0.25">
      <c r="C294" s="10"/>
      <c r="D294" s="10"/>
      <c r="J294" s="99">
        <v>291</v>
      </c>
      <c r="K294" s="16"/>
      <c r="L294" s="16"/>
      <c r="M294" s="16"/>
      <c r="N294" s="16"/>
      <c r="O294" s="16"/>
      <c r="P294" s="16"/>
      <c r="Q294" s="16"/>
      <c r="R294" s="16"/>
      <c r="S294" s="16"/>
      <c r="T294" s="16"/>
      <c r="U294" s="14">
        <f>SUM(K294:T294)</f>
        <v>0</v>
      </c>
      <c r="V294" s="14"/>
      <c r="X294" s="75" t="str" cm="1">
        <f t="array" ref="X294">MID(";"&amp;'CASE DATA'!$F294&amp;";",SMALL(IF(ISERROR(SEARCH(MID(";"&amp;'CASE DATA'!$F294&amp;";",ROW($1:$99),1),";")),"",ROW($1:$99)+1),COLUMN(A294)),SMALL(IF(ISERROR(SEARCH(MID(";"&amp;'CASE DATA'!$F294&amp;";",ROW($1:$99),1),";")),"",ROW($1:$99)),COLUMN(A293)+1)-SMALL(IF(ISERROR(SEARCH(MID(";"&amp;'CASE DATA'!$F294&amp;";",ROW($1:$99),1),";")),"",ROW($1:$99)),COLUMN(A293))-1)</f>
        <v/>
      </c>
      <c r="Y294" s="75" t="str" cm="1">
        <f t="array" ref="Y294">MID(";"&amp;'CASE DATA'!$F294&amp;";",SMALL(IF(ISERROR(SEARCH(MID(";"&amp;'CASE DATA'!$F294&amp;";",ROW($1:$99),1),";")),"",ROW($1:$99)+1),COLUMN(B294)),SMALL(IF(ISERROR(SEARCH(MID(";"&amp;'CASE DATA'!$F294&amp;";",ROW($1:$99),1),";")),"",ROW($1:$99)),COLUMN(B293)+1)-SMALL(IF(ISERROR(SEARCH(MID(";"&amp;'CASE DATA'!$F294&amp;";",ROW($1:$99),1),";")),"",ROW($1:$99)),COLUMN(B293))-1)</f>
        <v/>
      </c>
      <c r="Z294" s="75" t="str" cm="1">
        <f t="array" ref="Z294">MID(";"&amp;'CASE DATA'!$F294&amp;";",SMALL(IF(ISERROR(SEARCH(MID(";"&amp;'CASE DATA'!$F294&amp;";",ROW($1:$99),1),";")),"",ROW($1:$99)+1),COLUMN(C294)),SMALL(IF(ISERROR(SEARCH(MID(";"&amp;'CASE DATA'!$F294&amp;";",ROW($1:$99),1),";")),"",ROW($1:$99)),COLUMN(C293)+1)-SMALL(IF(ISERROR(SEARCH(MID(";"&amp;'CASE DATA'!$F294&amp;";",ROW($1:$99),1),";")),"",ROW($1:$99)),COLUMN(C293))-1)</f>
        <v/>
      </c>
      <c r="AA294" s="75" t="str" cm="1">
        <f t="array" ref="AA294">MID(";"&amp;'CASE DATA'!$F294&amp;";",SMALL(IF(ISERROR(SEARCH(MID(";"&amp;'CASE DATA'!$F294&amp;";",ROW($1:$99),1),";")),"",ROW($1:$99)+1),COLUMN(D294)),SMALL(IF(ISERROR(SEARCH(MID(";"&amp;'CASE DATA'!$F294&amp;";",ROW($1:$99),1),";")),"",ROW($1:$99)),COLUMN(D293)+1)-SMALL(IF(ISERROR(SEARCH(MID(";"&amp;'CASE DATA'!$F294&amp;";",ROW($1:$99),1),";")),"",ROW($1:$99)),COLUMN(D293))-1)</f>
        <v/>
      </c>
      <c r="AB294" s="75" t="str" cm="1">
        <f t="array" ref="AB294">MID(";"&amp;'CASE DATA'!$F294&amp;";",SMALL(IF(ISERROR(SEARCH(MID(";"&amp;'CASE DATA'!$F294&amp;";",ROW($1:$99),1),";")),"",ROW($1:$99)+1),COLUMN(E294)),SMALL(IF(ISERROR(SEARCH(MID(";"&amp;'CASE DATA'!$F294&amp;";",ROW($1:$99),1),";")),"",ROW($1:$99)),COLUMN(E293)+1)-SMALL(IF(ISERROR(SEARCH(MID(";"&amp;'CASE DATA'!$F294&amp;";",ROW($1:$99),1),";")),"",ROW($1:$99)),COLUMN(E293))-1)</f>
        <v/>
      </c>
      <c r="AC294" s="75" t="str" cm="1">
        <f t="array" ref="AC294">MID(";"&amp;'CASE DATA'!$F294&amp;";",SMALL(IF(ISERROR(SEARCH(MID(";"&amp;'CASE DATA'!$F294&amp;";",ROW($1:$99),1),";")),"",ROW($1:$99)+1),COLUMN(F294)),SMALL(IF(ISERROR(SEARCH(MID(";"&amp;'CASE DATA'!$F294&amp;";",ROW($1:$99),1),";")),"",ROW($1:$99)),COLUMN(F293)+1)-SMALL(IF(ISERROR(SEARCH(MID(";"&amp;'CASE DATA'!$F294&amp;";",ROW($1:$99),1),";")),"",ROW($1:$99)),COLUMN(F293))-1)</f>
        <v/>
      </c>
      <c r="AD294" s="75" t="str" cm="1">
        <f t="array" ref="AD294">MID(";"&amp;'CASE DATA'!$F294&amp;";",SMALL(IF(ISERROR(SEARCH(MID(";"&amp;'CASE DATA'!$F294&amp;";",ROW($1:$99),1),";")),"",ROW($1:$99)+1),COLUMN(G294)),SMALL(IF(ISERROR(SEARCH(MID(";"&amp;'CASE DATA'!$F294&amp;";",ROW($1:$99),1),";")),"",ROW($1:$99)),COLUMN(G293)+1)-SMALL(IF(ISERROR(SEARCH(MID(";"&amp;'CASE DATA'!$F294&amp;";",ROW($1:$99),1),";")),"",ROW($1:$99)),COLUMN(G293))-1)</f>
        <v/>
      </c>
      <c r="AE294" s="75" t="str" cm="1">
        <f t="array" ref="AE294">MID(";"&amp;'CASE DATA'!$F294&amp;";",SMALL(IF(ISERROR(SEARCH(MID(";"&amp;'CASE DATA'!$F294&amp;";",ROW($1:$99),1),";")),"",ROW($1:$99)+1),COLUMN(H294)),SMALL(IF(ISERROR(SEARCH(MID(";"&amp;'CASE DATA'!$F294&amp;";",ROW($1:$99),1),";")),"",ROW($1:$99)),COLUMN(H293)+1)-SMALL(IF(ISERROR(SEARCH(MID(";"&amp;'CASE DATA'!$F294&amp;";",ROW($1:$99),1),";")),"",ROW($1:$99)),COLUMN(H293))-1)</f>
        <v/>
      </c>
      <c r="AF294" s="75" t="str" cm="1">
        <f t="array" ref="AF294">MID(";"&amp;'CASE DATA'!$F294&amp;";",SMALL(IF(ISERROR(SEARCH(MID(";"&amp;'CASE DATA'!$F294&amp;";",ROW($1:$99),1),";")),"",ROW($1:$99)+1),COLUMN(I294)),SMALL(IF(ISERROR(SEARCH(MID(";"&amp;'CASE DATA'!$F294&amp;";",ROW($1:$99),1),";")),"",ROW($1:$99)),COLUMN(I293)+1)-SMALL(IF(ISERROR(SEARCH(MID(";"&amp;'CASE DATA'!$F294&amp;";",ROW($1:$99),1),";")),"",ROW($1:$99)),COLUMN(I293))-1)</f>
        <v/>
      </c>
      <c r="AG294" s="75" t="str" cm="1">
        <f t="array" ref="AG294">MID(";"&amp;'CASE DATA'!$F294&amp;";",SMALL(IF(ISERROR(SEARCH(MID(";"&amp;'CASE DATA'!$F294&amp;";",ROW($1:$99),1),";")),"",ROW($1:$99)+1),COLUMN(K294)),SMALL(IF(ISERROR(SEARCH(MID(";"&amp;'CASE DATA'!$F294&amp;";",ROW($1:$99),1),";")),"",ROW($1:$99)),COLUMN(K293)+1)-SMALL(IF(ISERROR(SEARCH(MID(";"&amp;'CASE DATA'!$F294&amp;";",ROW($1:$99),1),";")),"",ROW($1:$99)),COLUMN(K293))-1)</f>
        <v/>
      </c>
      <c r="AH294" s="75" t="str" cm="1">
        <f t="array" ref="AH294">MID(";"&amp;'CASE DATA'!$F294&amp;";",SMALL(IF(ISERROR(SEARCH(MID(";"&amp;'CASE DATA'!$F294&amp;";",ROW($1:$99),1),";")),"",ROW($1:$99)+1),COLUMN(L294)),SMALL(IF(ISERROR(SEARCH(MID(";"&amp;'CASE DATA'!$F294&amp;";",ROW($1:$99),1),";")),"",ROW($1:$99)),COLUMN(L293)+1)-SMALL(IF(ISERROR(SEARCH(MID(";"&amp;'CASE DATA'!$F294&amp;";",ROW($1:$99),1),";")),"",ROW($1:$99)),COLUMN(L293))-1)</f>
        <v/>
      </c>
      <c r="AI294" s="75" t="str" cm="1">
        <f t="array" ref="AI294">MID(";"&amp;'CASE DATA'!$F294&amp;";",SMALL(IF(ISERROR(SEARCH(MID(";"&amp;'CASE DATA'!$F294&amp;";",ROW($1:$99),1),";")),"",ROW($1:$99)+1),COLUMN(M294)),SMALL(IF(ISERROR(SEARCH(MID(";"&amp;'CASE DATA'!$F294&amp;";",ROW($1:$99),1),";")),"",ROW($1:$99)),COLUMN(M293)+1)-SMALL(IF(ISERROR(SEARCH(MID(";"&amp;'CASE DATA'!$F294&amp;";",ROW($1:$99),1),";")),"",ROW($1:$99)),COLUMN(M293))-1)</f>
        <v/>
      </c>
      <c r="BO294" s="99"/>
      <c r="BP294" s="99"/>
      <c r="BQ294" s="99"/>
      <c r="BR294" s="99"/>
      <c r="BS294" s="99"/>
      <c r="BT294" s="99"/>
      <c r="BU294" s="99"/>
      <c r="BV294" s="99"/>
      <c r="BW294" s="99"/>
      <c r="BX294" s="99"/>
      <c r="BY294" s="99"/>
      <c r="BZ294" s="99"/>
      <c r="CA294" s="99"/>
      <c r="CB294" s="99"/>
      <c r="CC294" s="99"/>
      <c r="CD294" s="99"/>
      <c r="CE294" s="99"/>
      <c r="CF294" s="99"/>
      <c r="CG294" s="99"/>
      <c r="CH294" s="99"/>
      <c r="CI294" s="99"/>
      <c r="CJ294" s="99"/>
      <c r="CK294" s="99"/>
      <c r="CL294" s="99"/>
      <c r="CM294" s="99"/>
      <c r="CN294" s="99"/>
      <c r="CO294" s="99"/>
      <c r="CP294" s="99"/>
      <c r="CQ294" s="99"/>
      <c r="CR294" s="99"/>
      <c r="CS294" s="99"/>
      <c r="CT294" s="99"/>
      <c r="CU294" s="99"/>
      <c r="CV294" s="99"/>
      <c r="CW294" s="99"/>
      <c r="CX294" s="99"/>
      <c r="CY294" s="99"/>
      <c r="CZ294" s="99"/>
      <c r="DA294" s="99"/>
      <c r="DB294" s="99"/>
      <c r="DC294" s="99"/>
      <c r="DD294" s="99"/>
      <c r="DE294" s="99"/>
      <c r="DF294" s="99"/>
      <c r="DG294" s="99"/>
      <c r="DH294" s="99"/>
      <c r="DI294" s="99"/>
      <c r="DJ294" s="99"/>
      <c r="DK294" s="99"/>
      <c r="DL294" s="99"/>
      <c r="DM294" s="99"/>
      <c r="DN294" s="99"/>
      <c r="DO294" s="99"/>
      <c r="DP294" s="99"/>
      <c r="DQ294" s="99"/>
      <c r="DR294" s="99"/>
      <c r="DS294" s="99"/>
      <c r="DT294" s="99"/>
      <c r="DU294" s="99"/>
      <c r="DV294" s="99"/>
      <c r="DW294" s="99"/>
      <c r="DX294" s="99"/>
      <c r="DY294" s="99"/>
      <c r="DZ294" s="99"/>
      <c r="EA294" s="99"/>
      <c r="EB294" s="99"/>
      <c r="EC294" s="99"/>
      <c r="ED294" s="99"/>
      <c r="EE294" s="99"/>
      <c r="EF294" s="99"/>
      <c r="EG294" s="99"/>
      <c r="EH294" s="99"/>
      <c r="EI294" s="99"/>
      <c r="EJ294" s="99"/>
      <c r="EK294" s="99"/>
      <c r="EL294" s="99"/>
      <c r="EM294" s="99"/>
      <c r="EN294" s="99"/>
      <c r="EO294" s="99"/>
      <c r="EP294" s="99"/>
      <c r="EQ294" s="99"/>
      <c r="ER294" s="99"/>
      <c r="ES294" s="99"/>
      <c r="ET294" s="99"/>
      <c r="EU294" s="99"/>
      <c r="EV294" s="99"/>
      <c r="EW294" s="99"/>
      <c r="EX294" s="99"/>
      <c r="EY294" s="99"/>
      <c r="EZ294" s="99"/>
      <c r="FA294" s="99"/>
      <c r="FB294" s="99"/>
      <c r="FC294" s="99"/>
      <c r="FD294" s="99"/>
      <c r="FE294" s="99"/>
      <c r="FF294" s="99"/>
      <c r="FG294" s="99"/>
      <c r="FH294" s="99"/>
      <c r="FI294" s="99"/>
      <c r="FJ294" s="99"/>
      <c r="FK294" s="99"/>
    </row>
    <row r="295" spans="3:167" x14ac:dyDescent="0.25">
      <c r="C295" s="10"/>
      <c r="D295" s="10"/>
      <c r="J295" s="99">
        <v>292</v>
      </c>
      <c r="K295" s="16"/>
      <c r="L295" s="16"/>
      <c r="M295" s="16"/>
      <c r="N295" s="16"/>
      <c r="O295" s="16"/>
      <c r="P295" s="16"/>
      <c r="Q295" s="16"/>
      <c r="R295" s="16"/>
      <c r="S295" s="16"/>
      <c r="T295" s="16"/>
      <c r="U295" s="14">
        <f>SUM(K295:T295)</f>
        <v>0</v>
      </c>
      <c r="V295" s="14"/>
      <c r="X295" s="75" t="str" cm="1">
        <f t="array" ref="X295">MID(";"&amp;'CASE DATA'!$F295&amp;";",SMALL(IF(ISERROR(SEARCH(MID(";"&amp;'CASE DATA'!$F295&amp;";",ROW($1:$99),1),";")),"",ROW($1:$99)+1),COLUMN(A295)),SMALL(IF(ISERROR(SEARCH(MID(";"&amp;'CASE DATA'!$F295&amp;";",ROW($1:$99),1),";")),"",ROW($1:$99)),COLUMN(A294)+1)-SMALL(IF(ISERROR(SEARCH(MID(";"&amp;'CASE DATA'!$F295&amp;";",ROW($1:$99),1),";")),"",ROW($1:$99)),COLUMN(A294))-1)</f>
        <v/>
      </c>
      <c r="Y295" s="75" t="str" cm="1">
        <f t="array" ref="Y295">MID(";"&amp;'CASE DATA'!$F295&amp;";",SMALL(IF(ISERROR(SEARCH(MID(";"&amp;'CASE DATA'!$F295&amp;";",ROW($1:$99),1),";")),"",ROW($1:$99)+1),COLUMN(B295)),SMALL(IF(ISERROR(SEARCH(MID(";"&amp;'CASE DATA'!$F295&amp;";",ROW($1:$99),1),";")),"",ROW($1:$99)),COLUMN(B294)+1)-SMALL(IF(ISERROR(SEARCH(MID(";"&amp;'CASE DATA'!$F295&amp;";",ROW($1:$99),1),";")),"",ROW($1:$99)),COLUMN(B294))-1)</f>
        <v/>
      </c>
      <c r="Z295" s="75" t="str" cm="1">
        <f t="array" ref="Z295">MID(";"&amp;'CASE DATA'!$F295&amp;";",SMALL(IF(ISERROR(SEARCH(MID(";"&amp;'CASE DATA'!$F295&amp;";",ROW($1:$99),1),";")),"",ROW($1:$99)+1),COLUMN(C295)),SMALL(IF(ISERROR(SEARCH(MID(";"&amp;'CASE DATA'!$F295&amp;";",ROW($1:$99),1),";")),"",ROW($1:$99)),COLUMN(C294)+1)-SMALL(IF(ISERROR(SEARCH(MID(";"&amp;'CASE DATA'!$F295&amp;";",ROW($1:$99),1),";")),"",ROW($1:$99)),COLUMN(C294))-1)</f>
        <v/>
      </c>
      <c r="AA295" s="75" t="str" cm="1">
        <f t="array" ref="AA295">MID(";"&amp;'CASE DATA'!$F295&amp;";",SMALL(IF(ISERROR(SEARCH(MID(";"&amp;'CASE DATA'!$F295&amp;";",ROW($1:$99),1),";")),"",ROW($1:$99)+1),COLUMN(D295)),SMALL(IF(ISERROR(SEARCH(MID(";"&amp;'CASE DATA'!$F295&amp;";",ROW($1:$99),1),";")),"",ROW($1:$99)),COLUMN(D294)+1)-SMALL(IF(ISERROR(SEARCH(MID(";"&amp;'CASE DATA'!$F295&amp;";",ROW($1:$99),1),";")),"",ROW($1:$99)),COLUMN(D294))-1)</f>
        <v/>
      </c>
      <c r="AB295" s="75" t="str" cm="1">
        <f t="array" ref="AB295">MID(";"&amp;'CASE DATA'!$F295&amp;";",SMALL(IF(ISERROR(SEARCH(MID(";"&amp;'CASE DATA'!$F295&amp;";",ROW($1:$99),1),";")),"",ROW($1:$99)+1),COLUMN(E295)),SMALL(IF(ISERROR(SEARCH(MID(";"&amp;'CASE DATA'!$F295&amp;";",ROW($1:$99),1),";")),"",ROW($1:$99)),COLUMN(E294)+1)-SMALL(IF(ISERROR(SEARCH(MID(";"&amp;'CASE DATA'!$F295&amp;";",ROW($1:$99),1),";")),"",ROW($1:$99)),COLUMN(E294))-1)</f>
        <v/>
      </c>
      <c r="AC295" s="75" t="str" cm="1">
        <f t="array" ref="AC295">MID(";"&amp;'CASE DATA'!$F295&amp;";",SMALL(IF(ISERROR(SEARCH(MID(";"&amp;'CASE DATA'!$F295&amp;";",ROW($1:$99),1),";")),"",ROW($1:$99)+1),COLUMN(F295)),SMALL(IF(ISERROR(SEARCH(MID(";"&amp;'CASE DATA'!$F295&amp;";",ROW($1:$99),1),";")),"",ROW($1:$99)),COLUMN(F294)+1)-SMALL(IF(ISERROR(SEARCH(MID(";"&amp;'CASE DATA'!$F295&amp;";",ROW($1:$99),1),";")),"",ROW($1:$99)),COLUMN(F294))-1)</f>
        <v/>
      </c>
      <c r="AD295" s="75" t="str" cm="1">
        <f t="array" ref="AD295">MID(";"&amp;'CASE DATA'!$F295&amp;";",SMALL(IF(ISERROR(SEARCH(MID(";"&amp;'CASE DATA'!$F295&amp;";",ROW($1:$99),1),";")),"",ROW($1:$99)+1),COLUMN(G295)),SMALL(IF(ISERROR(SEARCH(MID(";"&amp;'CASE DATA'!$F295&amp;";",ROW($1:$99),1),";")),"",ROW($1:$99)),COLUMN(G294)+1)-SMALL(IF(ISERROR(SEARCH(MID(";"&amp;'CASE DATA'!$F295&amp;";",ROW($1:$99),1),";")),"",ROW($1:$99)),COLUMN(G294))-1)</f>
        <v/>
      </c>
      <c r="AE295" s="75" t="str" cm="1">
        <f t="array" ref="AE295">MID(";"&amp;'CASE DATA'!$F295&amp;";",SMALL(IF(ISERROR(SEARCH(MID(";"&amp;'CASE DATA'!$F295&amp;";",ROW($1:$99),1),";")),"",ROW($1:$99)+1),COLUMN(H295)),SMALL(IF(ISERROR(SEARCH(MID(";"&amp;'CASE DATA'!$F295&amp;";",ROW($1:$99),1),";")),"",ROW($1:$99)),COLUMN(H294)+1)-SMALL(IF(ISERROR(SEARCH(MID(";"&amp;'CASE DATA'!$F295&amp;";",ROW($1:$99),1),";")),"",ROW($1:$99)),COLUMN(H294))-1)</f>
        <v/>
      </c>
      <c r="AF295" s="75" t="str" cm="1">
        <f t="array" ref="AF295">MID(";"&amp;'CASE DATA'!$F295&amp;";",SMALL(IF(ISERROR(SEARCH(MID(";"&amp;'CASE DATA'!$F295&amp;";",ROW($1:$99),1),";")),"",ROW($1:$99)+1),COLUMN(I295)),SMALL(IF(ISERROR(SEARCH(MID(";"&amp;'CASE DATA'!$F295&amp;";",ROW($1:$99),1),";")),"",ROW($1:$99)),COLUMN(I294)+1)-SMALL(IF(ISERROR(SEARCH(MID(";"&amp;'CASE DATA'!$F295&amp;";",ROW($1:$99),1),";")),"",ROW($1:$99)),COLUMN(I294))-1)</f>
        <v/>
      </c>
      <c r="AG295" s="75" t="str" cm="1">
        <f t="array" ref="AG295">MID(";"&amp;'CASE DATA'!$F295&amp;";",SMALL(IF(ISERROR(SEARCH(MID(";"&amp;'CASE DATA'!$F295&amp;";",ROW($1:$99),1),";")),"",ROW($1:$99)+1),COLUMN(K295)),SMALL(IF(ISERROR(SEARCH(MID(";"&amp;'CASE DATA'!$F295&amp;";",ROW($1:$99),1),";")),"",ROW($1:$99)),COLUMN(K294)+1)-SMALL(IF(ISERROR(SEARCH(MID(";"&amp;'CASE DATA'!$F295&amp;";",ROW($1:$99),1),";")),"",ROW($1:$99)),COLUMN(K294))-1)</f>
        <v/>
      </c>
      <c r="AH295" s="75" t="str" cm="1">
        <f t="array" ref="AH295">MID(";"&amp;'CASE DATA'!$F295&amp;";",SMALL(IF(ISERROR(SEARCH(MID(";"&amp;'CASE DATA'!$F295&amp;";",ROW($1:$99),1),";")),"",ROW($1:$99)+1),COLUMN(L295)),SMALL(IF(ISERROR(SEARCH(MID(";"&amp;'CASE DATA'!$F295&amp;";",ROW($1:$99),1),";")),"",ROW($1:$99)),COLUMN(L294)+1)-SMALL(IF(ISERROR(SEARCH(MID(";"&amp;'CASE DATA'!$F295&amp;";",ROW($1:$99),1),";")),"",ROW($1:$99)),COLUMN(L294))-1)</f>
        <v/>
      </c>
      <c r="AI295" s="75" t="str" cm="1">
        <f t="array" ref="AI295">MID(";"&amp;'CASE DATA'!$F295&amp;";",SMALL(IF(ISERROR(SEARCH(MID(";"&amp;'CASE DATA'!$F295&amp;";",ROW($1:$99),1),";")),"",ROW($1:$99)+1),COLUMN(M295)),SMALL(IF(ISERROR(SEARCH(MID(";"&amp;'CASE DATA'!$F295&amp;";",ROW($1:$99),1),";")),"",ROW($1:$99)),COLUMN(M294)+1)-SMALL(IF(ISERROR(SEARCH(MID(";"&amp;'CASE DATA'!$F295&amp;";",ROW($1:$99),1),";")),"",ROW($1:$99)),COLUMN(M294))-1)</f>
        <v/>
      </c>
      <c r="BO295" s="99"/>
      <c r="BP295" s="99"/>
      <c r="BQ295" s="99"/>
      <c r="BR295" s="99"/>
      <c r="BS295" s="99"/>
      <c r="BT295" s="99"/>
      <c r="BU295" s="99"/>
      <c r="BV295" s="99"/>
      <c r="BW295" s="99"/>
      <c r="BX295" s="99"/>
      <c r="BY295" s="99"/>
      <c r="BZ295" s="99"/>
      <c r="CA295" s="99"/>
      <c r="CB295" s="99"/>
      <c r="CC295" s="99"/>
      <c r="CD295" s="99"/>
      <c r="CE295" s="99"/>
      <c r="CF295" s="99"/>
      <c r="CG295" s="99"/>
      <c r="CH295" s="99"/>
      <c r="CI295" s="99"/>
      <c r="CJ295" s="99"/>
      <c r="CK295" s="99"/>
      <c r="CL295" s="99"/>
      <c r="CM295" s="99"/>
      <c r="CN295" s="99"/>
      <c r="CO295" s="99"/>
      <c r="CP295" s="99"/>
      <c r="CQ295" s="99"/>
      <c r="CR295" s="99"/>
      <c r="CS295" s="99"/>
      <c r="CT295" s="99"/>
      <c r="CU295" s="99"/>
      <c r="CV295" s="99"/>
      <c r="CW295" s="99"/>
      <c r="CX295" s="99"/>
      <c r="CY295" s="99"/>
      <c r="CZ295" s="99"/>
      <c r="DA295" s="99"/>
      <c r="DB295" s="99"/>
      <c r="DC295" s="99"/>
      <c r="DD295" s="99"/>
      <c r="DE295" s="99"/>
      <c r="DF295" s="99"/>
      <c r="DG295" s="99"/>
      <c r="DH295" s="99"/>
      <c r="DI295" s="99"/>
      <c r="DJ295" s="99"/>
      <c r="DK295" s="99"/>
      <c r="DL295" s="99"/>
      <c r="DM295" s="99"/>
      <c r="DN295" s="99"/>
      <c r="DO295" s="99"/>
      <c r="DP295" s="99"/>
      <c r="DQ295" s="99"/>
      <c r="DR295" s="99"/>
      <c r="DS295" s="99"/>
      <c r="DT295" s="99"/>
      <c r="DU295" s="99"/>
      <c r="DV295" s="99"/>
      <c r="DW295" s="99"/>
      <c r="DX295" s="99"/>
      <c r="DY295" s="99"/>
      <c r="DZ295" s="99"/>
      <c r="EA295" s="99"/>
      <c r="EB295" s="99"/>
      <c r="EC295" s="99"/>
      <c r="ED295" s="99"/>
      <c r="EE295" s="99"/>
      <c r="EF295" s="99"/>
      <c r="EG295" s="99"/>
      <c r="EH295" s="99"/>
      <c r="EI295" s="99"/>
      <c r="EJ295" s="99"/>
      <c r="EK295" s="99"/>
      <c r="EL295" s="99"/>
      <c r="EM295" s="99"/>
      <c r="EN295" s="99"/>
      <c r="EO295" s="99"/>
      <c r="EP295" s="99"/>
      <c r="EQ295" s="99"/>
      <c r="ER295" s="99"/>
      <c r="ES295" s="99"/>
      <c r="ET295" s="99"/>
      <c r="EU295" s="99"/>
      <c r="EV295" s="99"/>
      <c r="EW295" s="99"/>
      <c r="EX295" s="99"/>
      <c r="EY295" s="99"/>
      <c r="EZ295" s="99"/>
      <c r="FA295" s="99"/>
      <c r="FB295" s="99"/>
      <c r="FC295" s="99"/>
      <c r="FD295" s="99"/>
      <c r="FE295" s="99"/>
      <c r="FF295" s="99"/>
      <c r="FG295" s="99"/>
      <c r="FH295" s="99"/>
      <c r="FI295" s="99"/>
      <c r="FJ295" s="99"/>
      <c r="FK295" s="99"/>
    </row>
    <row r="296" spans="3:167" x14ac:dyDescent="0.25">
      <c r="C296" s="10"/>
      <c r="D296" s="10"/>
      <c r="J296" s="99">
        <v>293</v>
      </c>
      <c r="K296" s="16"/>
      <c r="L296" s="16"/>
      <c r="M296" s="16"/>
      <c r="N296" s="16"/>
      <c r="O296" s="16"/>
      <c r="P296" s="16"/>
      <c r="Q296" s="16"/>
      <c r="R296" s="16"/>
      <c r="S296" s="16"/>
      <c r="T296" s="16"/>
      <c r="U296" s="14">
        <f>SUM(K296:T296)</f>
        <v>0</v>
      </c>
      <c r="V296" s="14"/>
      <c r="X296" s="75" t="str" cm="1">
        <f t="array" ref="X296">MID(";"&amp;'CASE DATA'!$F296&amp;";",SMALL(IF(ISERROR(SEARCH(MID(";"&amp;'CASE DATA'!$F296&amp;";",ROW($1:$99),1),";")),"",ROW($1:$99)+1),COLUMN(A296)),SMALL(IF(ISERROR(SEARCH(MID(";"&amp;'CASE DATA'!$F296&amp;";",ROW($1:$99),1),";")),"",ROW($1:$99)),COLUMN(A295)+1)-SMALL(IF(ISERROR(SEARCH(MID(";"&amp;'CASE DATA'!$F296&amp;";",ROW($1:$99),1),";")),"",ROW($1:$99)),COLUMN(A295))-1)</f>
        <v/>
      </c>
      <c r="Y296" s="75" t="str" cm="1">
        <f t="array" ref="Y296">MID(";"&amp;'CASE DATA'!$F296&amp;";",SMALL(IF(ISERROR(SEARCH(MID(";"&amp;'CASE DATA'!$F296&amp;";",ROW($1:$99),1),";")),"",ROW($1:$99)+1),COLUMN(B296)),SMALL(IF(ISERROR(SEARCH(MID(";"&amp;'CASE DATA'!$F296&amp;";",ROW($1:$99),1),";")),"",ROW($1:$99)),COLUMN(B295)+1)-SMALL(IF(ISERROR(SEARCH(MID(";"&amp;'CASE DATA'!$F296&amp;";",ROW($1:$99),1),";")),"",ROW($1:$99)),COLUMN(B295))-1)</f>
        <v/>
      </c>
      <c r="Z296" s="75" t="str" cm="1">
        <f t="array" ref="Z296">MID(";"&amp;'CASE DATA'!$F296&amp;";",SMALL(IF(ISERROR(SEARCH(MID(";"&amp;'CASE DATA'!$F296&amp;";",ROW($1:$99),1),";")),"",ROW($1:$99)+1),COLUMN(C296)),SMALL(IF(ISERROR(SEARCH(MID(";"&amp;'CASE DATA'!$F296&amp;";",ROW($1:$99),1),";")),"",ROW($1:$99)),COLUMN(C295)+1)-SMALL(IF(ISERROR(SEARCH(MID(";"&amp;'CASE DATA'!$F296&amp;";",ROW($1:$99),1),";")),"",ROW($1:$99)),COLUMN(C295))-1)</f>
        <v/>
      </c>
      <c r="AA296" s="75" t="str" cm="1">
        <f t="array" ref="AA296">MID(";"&amp;'CASE DATA'!$F296&amp;";",SMALL(IF(ISERROR(SEARCH(MID(";"&amp;'CASE DATA'!$F296&amp;";",ROW($1:$99),1),";")),"",ROW($1:$99)+1),COLUMN(D296)),SMALL(IF(ISERROR(SEARCH(MID(";"&amp;'CASE DATA'!$F296&amp;";",ROW($1:$99),1),";")),"",ROW($1:$99)),COLUMN(D295)+1)-SMALL(IF(ISERROR(SEARCH(MID(";"&amp;'CASE DATA'!$F296&amp;";",ROW($1:$99),1),";")),"",ROW($1:$99)),COLUMN(D295))-1)</f>
        <v/>
      </c>
      <c r="AB296" s="75" t="str" cm="1">
        <f t="array" ref="AB296">MID(";"&amp;'CASE DATA'!$F296&amp;";",SMALL(IF(ISERROR(SEARCH(MID(";"&amp;'CASE DATA'!$F296&amp;";",ROW($1:$99),1),";")),"",ROW($1:$99)+1),COLUMN(E296)),SMALL(IF(ISERROR(SEARCH(MID(";"&amp;'CASE DATA'!$F296&amp;";",ROW($1:$99),1),";")),"",ROW($1:$99)),COLUMN(E295)+1)-SMALL(IF(ISERROR(SEARCH(MID(";"&amp;'CASE DATA'!$F296&amp;";",ROW($1:$99),1),";")),"",ROW($1:$99)),COLUMN(E295))-1)</f>
        <v/>
      </c>
      <c r="AC296" s="75" t="str" cm="1">
        <f t="array" ref="AC296">MID(";"&amp;'CASE DATA'!$F296&amp;";",SMALL(IF(ISERROR(SEARCH(MID(";"&amp;'CASE DATA'!$F296&amp;";",ROW($1:$99),1),";")),"",ROW($1:$99)+1),COLUMN(F296)),SMALL(IF(ISERROR(SEARCH(MID(";"&amp;'CASE DATA'!$F296&amp;";",ROW($1:$99),1),";")),"",ROW($1:$99)),COLUMN(F295)+1)-SMALL(IF(ISERROR(SEARCH(MID(";"&amp;'CASE DATA'!$F296&amp;";",ROW($1:$99),1),";")),"",ROW($1:$99)),COLUMN(F295))-1)</f>
        <v/>
      </c>
      <c r="AD296" s="75" t="str" cm="1">
        <f t="array" ref="AD296">MID(";"&amp;'CASE DATA'!$F296&amp;";",SMALL(IF(ISERROR(SEARCH(MID(";"&amp;'CASE DATA'!$F296&amp;";",ROW($1:$99),1),";")),"",ROW($1:$99)+1),COLUMN(G296)),SMALL(IF(ISERROR(SEARCH(MID(";"&amp;'CASE DATA'!$F296&amp;";",ROW($1:$99),1),";")),"",ROW($1:$99)),COLUMN(G295)+1)-SMALL(IF(ISERROR(SEARCH(MID(";"&amp;'CASE DATA'!$F296&amp;";",ROW($1:$99),1),";")),"",ROW($1:$99)),COLUMN(G295))-1)</f>
        <v/>
      </c>
      <c r="AE296" s="75" t="str" cm="1">
        <f t="array" ref="AE296">MID(";"&amp;'CASE DATA'!$F296&amp;";",SMALL(IF(ISERROR(SEARCH(MID(";"&amp;'CASE DATA'!$F296&amp;";",ROW($1:$99),1),";")),"",ROW($1:$99)+1),COLUMN(H296)),SMALL(IF(ISERROR(SEARCH(MID(";"&amp;'CASE DATA'!$F296&amp;";",ROW($1:$99),1),";")),"",ROW($1:$99)),COLUMN(H295)+1)-SMALL(IF(ISERROR(SEARCH(MID(";"&amp;'CASE DATA'!$F296&amp;";",ROW($1:$99),1),";")),"",ROW($1:$99)),COLUMN(H295))-1)</f>
        <v/>
      </c>
      <c r="AF296" s="75" t="str" cm="1">
        <f t="array" ref="AF296">MID(";"&amp;'CASE DATA'!$F296&amp;";",SMALL(IF(ISERROR(SEARCH(MID(";"&amp;'CASE DATA'!$F296&amp;";",ROW($1:$99),1),";")),"",ROW($1:$99)+1),COLUMN(I296)),SMALL(IF(ISERROR(SEARCH(MID(";"&amp;'CASE DATA'!$F296&amp;";",ROW($1:$99),1),";")),"",ROW($1:$99)),COLUMN(I295)+1)-SMALL(IF(ISERROR(SEARCH(MID(";"&amp;'CASE DATA'!$F296&amp;";",ROW($1:$99),1),";")),"",ROW($1:$99)),COLUMN(I295))-1)</f>
        <v/>
      </c>
      <c r="AG296" s="75" t="str" cm="1">
        <f t="array" ref="AG296">MID(";"&amp;'CASE DATA'!$F296&amp;";",SMALL(IF(ISERROR(SEARCH(MID(";"&amp;'CASE DATA'!$F296&amp;";",ROW($1:$99),1),";")),"",ROW($1:$99)+1),COLUMN(K296)),SMALL(IF(ISERROR(SEARCH(MID(";"&amp;'CASE DATA'!$F296&amp;";",ROW($1:$99),1),";")),"",ROW($1:$99)),COLUMN(K295)+1)-SMALL(IF(ISERROR(SEARCH(MID(";"&amp;'CASE DATA'!$F296&amp;";",ROW($1:$99),1),";")),"",ROW($1:$99)),COLUMN(K295))-1)</f>
        <v/>
      </c>
      <c r="AH296" s="75" t="str" cm="1">
        <f t="array" ref="AH296">MID(";"&amp;'CASE DATA'!$F296&amp;";",SMALL(IF(ISERROR(SEARCH(MID(";"&amp;'CASE DATA'!$F296&amp;";",ROW($1:$99),1),";")),"",ROW($1:$99)+1),COLUMN(L296)),SMALL(IF(ISERROR(SEARCH(MID(";"&amp;'CASE DATA'!$F296&amp;";",ROW($1:$99),1),";")),"",ROW($1:$99)),COLUMN(L295)+1)-SMALL(IF(ISERROR(SEARCH(MID(";"&amp;'CASE DATA'!$F296&amp;";",ROW($1:$99),1),";")),"",ROW($1:$99)),COLUMN(L295))-1)</f>
        <v/>
      </c>
      <c r="AI296" s="75" t="str" cm="1">
        <f t="array" ref="AI296">MID(";"&amp;'CASE DATA'!$F296&amp;";",SMALL(IF(ISERROR(SEARCH(MID(";"&amp;'CASE DATA'!$F296&amp;";",ROW($1:$99),1),";")),"",ROW($1:$99)+1),COLUMN(M296)),SMALL(IF(ISERROR(SEARCH(MID(";"&amp;'CASE DATA'!$F296&amp;";",ROW($1:$99),1),";")),"",ROW($1:$99)),COLUMN(M295)+1)-SMALL(IF(ISERROR(SEARCH(MID(";"&amp;'CASE DATA'!$F296&amp;";",ROW($1:$99),1),";")),"",ROW($1:$99)),COLUMN(M295))-1)</f>
        <v/>
      </c>
      <c r="BO296" s="99"/>
      <c r="BP296" s="99"/>
      <c r="BQ296" s="99"/>
      <c r="BR296" s="99"/>
      <c r="BS296" s="99"/>
      <c r="BT296" s="99"/>
      <c r="BU296" s="99"/>
      <c r="BV296" s="99"/>
      <c r="BW296" s="99"/>
      <c r="BX296" s="99"/>
      <c r="BY296" s="99"/>
      <c r="BZ296" s="99"/>
      <c r="CA296" s="99"/>
      <c r="CB296" s="99"/>
      <c r="CC296" s="99"/>
      <c r="CD296" s="99"/>
      <c r="CE296" s="99"/>
      <c r="CF296" s="99"/>
      <c r="CG296" s="99"/>
      <c r="CH296" s="99"/>
      <c r="CI296" s="99"/>
      <c r="CJ296" s="99"/>
      <c r="CK296" s="99"/>
      <c r="CL296" s="99"/>
      <c r="CM296" s="99"/>
      <c r="CN296" s="99"/>
      <c r="CO296" s="99"/>
      <c r="CP296" s="99"/>
      <c r="CQ296" s="99"/>
      <c r="CR296" s="99"/>
      <c r="CS296" s="99"/>
      <c r="CT296" s="99"/>
      <c r="CU296" s="99"/>
      <c r="CV296" s="99"/>
      <c r="CW296" s="99"/>
      <c r="CX296" s="99"/>
      <c r="CY296" s="99"/>
      <c r="CZ296" s="99"/>
      <c r="DA296" s="99"/>
      <c r="DB296" s="99"/>
      <c r="DC296" s="99"/>
      <c r="DD296" s="99"/>
      <c r="DE296" s="99"/>
      <c r="DF296" s="99"/>
      <c r="DG296" s="99"/>
      <c r="DH296" s="99"/>
      <c r="DI296" s="99"/>
      <c r="DJ296" s="99"/>
      <c r="DK296" s="99"/>
      <c r="DL296" s="99"/>
      <c r="DM296" s="99"/>
      <c r="DN296" s="99"/>
      <c r="DO296" s="99"/>
      <c r="DP296" s="99"/>
      <c r="DQ296" s="99"/>
      <c r="DR296" s="99"/>
      <c r="DS296" s="99"/>
      <c r="DT296" s="99"/>
      <c r="DU296" s="99"/>
      <c r="DV296" s="99"/>
      <c r="DW296" s="99"/>
      <c r="DX296" s="99"/>
      <c r="DY296" s="99"/>
      <c r="DZ296" s="99"/>
      <c r="EA296" s="99"/>
      <c r="EB296" s="99"/>
      <c r="EC296" s="99"/>
      <c r="ED296" s="99"/>
      <c r="EE296" s="99"/>
      <c r="EF296" s="99"/>
      <c r="EG296" s="99"/>
      <c r="EH296" s="99"/>
      <c r="EI296" s="99"/>
      <c r="EJ296" s="99"/>
      <c r="EK296" s="99"/>
      <c r="EL296" s="99"/>
      <c r="EM296" s="99"/>
      <c r="EN296" s="99"/>
      <c r="EO296" s="99"/>
      <c r="EP296" s="99"/>
      <c r="EQ296" s="99"/>
      <c r="ER296" s="99"/>
      <c r="ES296" s="99"/>
      <c r="ET296" s="99"/>
      <c r="EU296" s="99"/>
      <c r="EV296" s="99"/>
      <c r="EW296" s="99"/>
      <c r="EX296" s="99"/>
      <c r="EY296" s="99"/>
      <c r="EZ296" s="99"/>
      <c r="FA296" s="99"/>
      <c r="FB296" s="99"/>
      <c r="FC296" s="99"/>
      <c r="FD296" s="99"/>
      <c r="FE296" s="99"/>
      <c r="FF296" s="99"/>
      <c r="FG296" s="99"/>
      <c r="FH296" s="99"/>
      <c r="FI296" s="99"/>
      <c r="FJ296" s="99"/>
      <c r="FK296" s="99"/>
    </row>
    <row r="297" spans="3:167" x14ac:dyDescent="0.25">
      <c r="C297" s="10"/>
      <c r="D297" s="10"/>
      <c r="J297" s="99">
        <v>294</v>
      </c>
      <c r="K297" s="16"/>
      <c r="L297" s="16"/>
      <c r="M297" s="16"/>
      <c r="N297" s="16"/>
      <c r="O297" s="16"/>
      <c r="P297" s="16"/>
      <c r="Q297" s="16"/>
      <c r="R297" s="16"/>
      <c r="S297" s="16"/>
      <c r="T297" s="16"/>
      <c r="U297" s="14">
        <f>SUM(K297:T297)</f>
        <v>0</v>
      </c>
      <c r="V297" s="14"/>
      <c r="X297" s="75" t="str" cm="1">
        <f t="array" ref="X297">MID(";"&amp;'CASE DATA'!$F297&amp;";",SMALL(IF(ISERROR(SEARCH(MID(";"&amp;'CASE DATA'!$F297&amp;";",ROW($1:$99),1),";")),"",ROW($1:$99)+1),COLUMN(A297)),SMALL(IF(ISERROR(SEARCH(MID(";"&amp;'CASE DATA'!$F297&amp;";",ROW($1:$99),1),";")),"",ROW($1:$99)),COLUMN(A296)+1)-SMALL(IF(ISERROR(SEARCH(MID(";"&amp;'CASE DATA'!$F297&amp;";",ROW($1:$99),1),";")),"",ROW($1:$99)),COLUMN(A296))-1)</f>
        <v/>
      </c>
      <c r="Y297" s="75" t="str" cm="1">
        <f t="array" ref="Y297">MID(";"&amp;'CASE DATA'!$F297&amp;";",SMALL(IF(ISERROR(SEARCH(MID(";"&amp;'CASE DATA'!$F297&amp;";",ROW($1:$99),1),";")),"",ROW($1:$99)+1),COLUMN(B297)),SMALL(IF(ISERROR(SEARCH(MID(";"&amp;'CASE DATA'!$F297&amp;";",ROW($1:$99),1),";")),"",ROW($1:$99)),COLUMN(B296)+1)-SMALL(IF(ISERROR(SEARCH(MID(";"&amp;'CASE DATA'!$F297&amp;";",ROW($1:$99),1),";")),"",ROW($1:$99)),COLUMN(B296))-1)</f>
        <v/>
      </c>
      <c r="Z297" s="75" t="str" cm="1">
        <f t="array" ref="Z297">MID(";"&amp;'CASE DATA'!$F297&amp;";",SMALL(IF(ISERROR(SEARCH(MID(";"&amp;'CASE DATA'!$F297&amp;";",ROW($1:$99),1),";")),"",ROW($1:$99)+1),COLUMN(C297)),SMALL(IF(ISERROR(SEARCH(MID(";"&amp;'CASE DATA'!$F297&amp;";",ROW($1:$99),1),";")),"",ROW($1:$99)),COLUMN(C296)+1)-SMALL(IF(ISERROR(SEARCH(MID(";"&amp;'CASE DATA'!$F297&amp;";",ROW($1:$99),1),";")),"",ROW($1:$99)),COLUMN(C296))-1)</f>
        <v/>
      </c>
      <c r="AA297" s="75" t="str" cm="1">
        <f t="array" ref="AA297">MID(";"&amp;'CASE DATA'!$F297&amp;";",SMALL(IF(ISERROR(SEARCH(MID(";"&amp;'CASE DATA'!$F297&amp;";",ROW($1:$99),1),";")),"",ROW($1:$99)+1),COLUMN(D297)),SMALL(IF(ISERROR(SEARCH(MID(";"&amp;'CASE DATA'!$F297&amp;";",ROW($1:$99),1),";")),"",ROW($1:$99)),COLUMN(D296)+1)-SMALL(IF(ISERROR(SEARCH(MID(";"&amp;'CASE DATA'!$F297&amp;";",ROW($1:$99),1),";")),"",ROW($1:$99)),COLUMN(D296))-1)</f>
        <v/>
      </c>
      <c r="AB297" s="75" t="str" cm="1">
        <f t="array" ref="AB297">MID(";"&amp;'CASE DATA'!$F297&amp;";",SMALL(IF(ISERROR(SEARCH(MID(";"&amp;'CASE DATA'!$F297&amp;";",ROW($1:$99),1),";")),"",ROW($1:$99)+1),COLUMN(E297)),SMALL(IF(ISERROR(SEARCH(MID(";"&amp;'CASE DATA'!$F297&amp;";",ROW($1:$99),1),";")),"",ROW($1:$99)),COLUMN(E296)+1)-SMALL(IF(ISERROR(SEARCH(MID(";"&amp;'CASE DATA'!$F297&amp;";",ROW($1:$99),1),";")),"",ROW($1:$99)),COLUMN(E296))-1)</f>
        <v/>
      </c>
      <c r="AC297" s="75" t="str" cm="1">
        <f t="array" ref="AC297">MID(";"&amp;'CASE DATA'!$F297&amp;";",SMALL(IF(ISERROR(SEARCH(MID(";"&amp;'CASE DATA'!$F297&amp;";",ROW($1:$99),1),";")),"",ROW($1:$99)+1),COLUMN(F297)),SMALL(IF(ISERROR(SEARCH(MID(";"&amp;'CASE DATA'!$F297&amp;";",ROW($1:$99),1),";")),"",ROW($1:$99)),COLUMN(F296)+1)-SMALL(IF(ISERROR(SEARCH(MID(";"&amp;'CASE DATA'!$F297&amp;";",ROW($1:$99),1),";")),"",ROW($1:$99)),COLUMN(F296))-1)</f>
        <v/>
      </c>
      <c r="AD297" s="75" t="str" cm="1">
        <f t="array" ref="AD297">MID(";"&amp;'CASE DATA'!$F297&amp;";",SMALL(IF(ISERROR(SEARCH(MID(";"&amp;'CASE DATA'!$F297&amp;";",ROW($1:$99),1),";")),"",ROW($1:$99)+1),COLUMN(G297)),SMALL(IF(ISERROR(SEARCH(MID(";"&amp;'CASE DATA'!$F297&amp;";",ROW($1:$99),1),";")),"",ROW($1:$99)),COLUMN(G296)+1)-SMALL(IF(ISERROR(SEARCH(MID(";"&amp;'CASE DATA'!$F297&amp;";",ROW($1:$99),1),";")),"",ROW($1:$99)),COLUMN(G296))-1)</f>
        <v/>
      </c>
      <c r="AE297" s="75" t="str" cm="1">
        <f t="array" ref="AE297">MID(";"&amp;'CASE DATA'!$F297&amp;";",SMALL(IF(ISERROR(SEARCH(MID(";"&amp;'CASE DATA'!$F297&amp;";",ROW($1:$99),1),";")),"",ROW($1:$99)+1),COLUMN(H297)),SMALL(IF(ISERROR(SEARCH(MID(";"&amp;'CASE DATA'!$F297&amp;";",ROW($1:$99),1),";")),"",ROW($1:$99)),COLUMN(H296)+1)-SMALL(IF(ISERROR(SEARCH(MID(";"&amp;'CASE DATA'!$F297&amp;";",ROW($1:$99),1),";")),"",ROW($1:$99)),COLUMN(H296))-1)</f>
        <v/>
      </c>
      <c r="AF297" s="75" t="str" cm="1">
        <f t="array" ref="AF297">MID(";"&amp;'CASE DATA'!$F297&amp;";",SMALL(IF(ISERROR(SEARCH(MID(";"&amp;'CASE DATA'!$F297&amp;";",ROW($1:$99),1),";")),"",ROW($1:$99)+1),COLUMN(I297)),SMALL(IF(ISERROR(SEARCH(MID(";"&amp;'CASE DATA'!$F297&amp;";",ROW($1:$99),1),";")),"",ROW($1:$99)),COLUMN(I296)+1)-SMALL(IF(ISERROR(SEARCH(MID(";"&amp;'CASE DATA'!$F297&amp;";",ROW($1:$99),1),";")),"",ROW($1:$99)),COLUMN(I296))-1)</f>
        <v/>
      </c>
      <c r="AG297" s="75" t="str" cm="1">
        <f t="array" ref="AG297">MID(";"&amp;'CASE DATA'!$F297&amp;";",SMALL(IF(ISERROR(SEARCH(MID(";"&amp;'CASE DATA'!$F297&amp;";",ROW($1:$99),1),";")),"",ROW($1:$99)+1),COLUMN(K297)),SMALL(IF(ISERROR(SEARCH(MID(";"&amp;'CASE DATA'!$F297&amp;";",ROW($1:$99),1),";")),"",ROW($1:$99)),COLUMN(K296)+1)-SMALL(IF(ISERROR(SEARCH(MID(";"&amp;'CASE DATA'!$F297&amp;";",ROW($1:$99),1),";")),"",ROW($1:$99)),COLUMN(K296))-1)</f>
        <v/>
      </c>
      <c r="AH297" s="75" t="str" cm="1">
        <f t="array" ref="AH297">MID(";"&amp;'CASE DATA'!$F297&amp;";",SMALL(IF(ISERROR(SEARCH(MID(";"&amp;'CASE DATA'!$F297&amp;";",ROW($1:$99),1),";")),"",ROW($1:$99)+1),COLUMN(L297)),SMALL(IF(ISERROR(SEARCH(MID(";"&amp;'CASE DATA'!$F297&amp;";",ROW($1:$99),1),";")),"",ROW($1:$99)),COLUMN(L296)+1)-SMALL(IF(ISERROR(SEARCH(MID(";"&amp;'CASE DATA'!$F297&amp;";",ROW($1:$99),1),";")),"",ROW($1:$99)),COLUMN(L296))-1)</f>
        <v/>
      </c>
      <c r="AI297" s="75" t="str" cm="1">
        <f t="array" ref="AI297">MID(";"&amp;'CASE DATA'!$F297&amp;";",SMALL(IF(ISERROR(SEARCH(MID(";"&amp;'CASE DATA'!$F297&amp;";",ROW($1:$99),1),";")),"",ROW($1:$99)+1),COLUMN(M297)),SMALL(IF(ISERROR(SEARCH(MID(";"&amp;'CASE DATA'!$F297&amp;";",ROW($1:$99),1),";")),"",ROW($1:$99)),COLUMN(M296)+1)-SMALL(IF(ISERROR(SEARCH(MID(";"&amp;'CASE DATA'!$F297&amp;";",ROW($1:$99),1),";")),"",ROW($1:$99)),COLUMN(M296))-1)</f>
        <v/>
      </c>
      <c r="BO297" s="99"/>
      <c r="BP297" s="99"/>
      <c r="BQ297" s="99"/>
      <c r="BR297" s="99"/>
      <c r="BS297" s="99"/>
      <c r="BT297" s="99"/>
      <c r="BU297" s="99"/>
      <c r="BV297" s="99"/>
      <c r="BW297" s="99"/>
      <c r="BX297" s="99"/>
      <c r="BY297" s="99"/>
      <c r="BZ297" s="99"/>
      <c r="CA297" s="99"/>
      <c r="CB297" s="99"/>
      <c r="CC297" s="99"/>
      <c r="CD297" s="99"/>
      <c r="CE297" s="99"/>
      <c r="CF297" s="99"/>
      <c r="CG297" s="99"/>
      <c r="CH297" s="99"/>
      <c r="CI297" s="99"/>
      <c r="CJ297" s="99"/>
      <c r="CK297" s="99"/>
      <c r="CL297" s="99"/>
      <c r="CM297" s="99"/>
      <c r="CN297" s="99"/>
      <c r="CO297" s="99"/>
      <c r="CP297" s="99"/>
      <c r="CQ297" s="99"/>
      <c r="CR297" s="99"/>
      <c r="CS297" s="99"/>
      <c r="CT297" s="99"/>
      <c r="CU297" s="99"/>
      <c r="CV297" s="99"/>
      <c r="CW297" s="99"/>
      <c r="CX297" s="99"/>
      <c r="CY297" s="99"/>
      <c r="CZ297" s="99"/>
      <c r="DA297" s="99"/>
      <c r="DB297" s="99"/>
      <c r="DC297" s="99"/>
      <c r="DD297" s="99"/>
      <c r="DE297" s="99"/>
      <c r="DF297" s="99"/>
      <c r="DG297" s="99"/>
      <c r="DH297" s="99"/>
      <c r="DI297" s="99"/>
      <c r="DJ297" s="99"/>
      <c r="DK297" s="99"/>
      <c r="DL297" s="99"/>
      <c r="DM297" s="99"/>
      <c r="DN297" s="99"/>
      <c r="DO297" s="99"/>
      <c r="DP297" s="99"/>
      <c r="DQ297" s="99"/>
      <c r="DR297" s="99"/>
      <c r="DS297" s="99"/>
      <c r="DT297" s="99"/>
      <c r="DU297" s="99"/>
      <c r="DV297" s="99"/>
      <c r="DW297" s="99"/>
      <c r="DX297" s="99"/>
      <c r="DY297" s="99"/>
      <c r="DZ297" s="99"/>
      <c r="EA297" s="99"/>
      <c r="EB297" s="99"/>
      <c r="EC297" s="99"/>
      <c r="ED297" s="99"/>
      <c r="EE297" s="99"/>
      <c r="EF297" s="99"/>
      <c r="EG297" s="99"/>
      <c r="EH297" s="99"/>
      <c r="EI297" s="99"/>
      <c r="EJ297" s="99"/>
      <c r="EK297" s="99"/>
      <c r="EL297" s="99"/>
      <c r="EM297" s="99"/>
      <c r="EN297" s="99"/>
      <c r="EO297" s="99"/>
      <c r="EP297" s="99"/>
      <c r="EQ297" s="99"/>
      <c r="ER297" s="99"/>
      <c r="ES297" s="99"/>
      <c r="ET297" s="99"/>
      <c r="EU297" s="99"/>
      <c r="EV297" s="99"/>
      <c r="EW297" s="99"/>
      <c r="EX297" s="99"/>
      <c r="EY297" s="99"/>
      <c r="EZ297" s="99"/>
      <c r="FA297" s="99"/>
      <c r="FB297" s="99"/>
      <c r="FC297" s="99"/>
      <c r="FD297" s="99"/>
      <c r="FE297" s="99"/>
      <c r="FF297" s="99"/>
      <c r="FG297" s="99"/>
      <c r="FH297" s="99"/>
      <c r="FI297" s="99"/>
      <c r="FJ297" s="99"/>
      <c r="FK297" s="99"/>
    </row>
    <row r="298" spans="3:167" x14ac:dyDescent="0.25">
      <c r="C298" s="10"/>
      <c r="D298" s="10"/>
      <c r="J298" s="99">
        <v>295</v>
      </c>
      <c r="K298" s="16"/>
      <c r="L298" s="16"/>
      <c r="M298" s="16"/>
      <c r="N298" s="16"/>
      <c r="O298" s="16"/>
      <c r="P298" s="16"/>
      <c r="Q298" s="16"/>
      <c r="R298" s="16"/>
      <c r="S298" s="16"/>
      <c r="T298" s="16"/>
      <c r="U298" s="14">
        <f>SUM(K298:T298)</f>
        <v>0</v>
      </c>
      <c r="V298" s="14"/>
      <c r="X298" s="75" t="str" cm="1">
        <f t="array" ref="X298">MID(";"&amp;'CASE DATA'!$F298&amp;";",SMALL(IF(ISERROR(SEARCH(MID(";"&amp;'CASE DATA'!$F298&amp;";",ROW($1:$99),1),";")),"",ROW($1:$99)+1),COLUMN(A298)),SMALL(IF(ISERROR(SEARCH(MID(";"&amp;'CASE DATA'!$F298&amp;";",ROW($1:$99),1),";")),"",ROW($1:$99)),COLUMN(A297)+1)-SMALL(IF(ISERROR(SEARCH(MID(";"&amp;'CASE DATA'!$F298&amp;";",ROW($1:$99),1),";")),"",ROW($1:$99)),COLUMN(A297))-1)</f>
        <v/>
      </c>
      <c r="Y298" s="75" t="str" cm="1">
        <f t="array" ref="Y298">MID(";"&amp;'CASE DATA'!$F298&amp;";",SMALL(IF(ISERROR(SEARCH(MID(";"&amp;'CASE DATA'!$F298&amp;";",ROW($1:$99),1),";")),"",ROW($1:$99)+1),COLUMN(B298)),SMALL(IF(ISERROR(SEARCH(MID(";"&amp;'CASE DATA'!$F298&amp;";",ROW($1:$99),1),";")),"",ROW($1:$99)),COLUMN(B297)+1)-SMALL(IF(ISERROR(SEARCH(MID(";"&amp;'CASE DATA'!$F298&amp;";",ROW($1:$99),1),";")),"",ROW($1:$99)),COLUMN(B297))-1)</f>
        <v/>
      </c>
      <c r="Z298" s="75" t="str" cm="1">
        <f t="array" ref="Z298">MID(";"&amp;'CASE DATA'!$F298&amp;";",SMALL(IF(ISERROR(SEARCH(MID(";"&amp;'CASE DATA'!$F298&amp;";",ROW($1:$99),1),";")),"",ROW($1:$99)+1),COLUMN(C298)),SMALL(IF(ISERROR(SEARCH(MID(";"&amp;'CASE DATA'!$F298&amp;";",ROW($1:$99),1),";")),"",ROW($1:$99)),COLUMN(C297)+1)-SMALL(IF(ISERROR(SEARCH(MID(";"&amp;'CASE DATA'!$F298&amp;";",ROW($1:$99),1),";")),"",ROW($1:$99)),COLUMN(C297))-1)</f>
        <v/>
      </c>
      <c r="AA298" s="75" t="str" cm="1">
        <f t="array" ref="AA298">MID(";"&amp;'CASE DATA'!$F298&amp;";",SMALL(IF(ISERROR(SEARCH(MID(";"&amp;'CASE DATA'!$F298&amp;";",ROW($1:$99),1),";")),"",ROW($1:$99)+1),COLUMN(D298)),SMALL(IF(ISERROR(SEARCH(MID(";"&amp;'CASE DATA'!$F298&amp;";",ROW($1:$99),1),";")),"",ROW($1:$99)),COLUMN(D297)+1)-SMALL(IF(ISERROR(SEARCH(MID(";"&amp;'CASE DATA'!$F298&amp;";",ROW($1:$99),1),";")),"",ROW($1:$99)),COLUMN(D297))-1)</f>
        <v/>
      </c>
      <c r="AB298" s="75" t="str" cm="1">
        <f t="array" ref="AB298">MID(";"&amp;'CASE DATA'!$F298&amp;";",SMALL(IF(ISERROR(SEARCH(MID(";"&amp;'CASE DATA'!$F298&amp;";",ROW($1:$99),1),";")),"",ROW($1:$99)+1),COLUMN(E298)),SMALL(IF(ISERROR(SEARCH(MID(";"&amp;'CASE DATA'!$F298&amp;";",ROW($1:$99),1),";")),"",ROW($1:$99)),COLUMN(E297)+1)-SMALL(IF(ISERROR(SEARCH(MID(";"&amp;'CASE DATA'!$F298&amp;";",ROW($1:$99),1),";")),"",ROW($1:$99)),COLUMN(E297))-1)</f>
        <v/>
      </c>
      <c r="AC298" s="75" t="str" cm="1">
        <f t="array" ref="AC298">MID(";"&amp;'CASE DATA'!$F298&amp;";",SMALL(IF(ISERROR(SEARCH(MID(";"&amp;'CASE DATA'!$F298&amp;";",ROW($1:$99),1),";")),"",ROW($1:$99)+1),COLUMN(F298)),SMALL(IF(ISERROR(SEARCH(MID(";"&amp;'CASE DATA'!$F298&amp;";",ROW($1:$99),1),";")),"",ROW($1:$99)),COLUMN(F297)+1)-SMALL(IF(ISERROR(SEARCH(MID(";"&amp;'CASE DATA'!$F298&amp;";",ROW($1:$99),1),";")),"",ROW($1:$99)),COLUMN(F297))-1)</f>
        <v/>
      </c>
      <c r="AD298" s="75" t="str" cm="1">
        <f t="array" ref="AD298">MID(";"&amp;'CASE DATA'!$F298&amp;";",SMALL(IF(ISERROR(SEARCH(MID(";"&amp;'CASE DATA'!$F298&amp;";",ROW($1:$99),1),";")),"",ROW($1:$99)+1),COLUMN(G298)),SMALL(IF(ISERROR(SEARCH(MID(";"&amp;'CASE DATA'!$F298&amp;";",ROW($1:$99),1),";")),"",ROW($1:$99)),COLUMN(G297)+1)-SMALL(IF(ISERROR(SEARCH(MID(";"&amp;'CASE DATA'!$F298&amp;";",ROW($1:$99),1),";")),"",ROW($1:$99)),COLUMN(G297))-1)</f>
        <v/>
      </c>
      <c r="AE298" s="75" t="str" cm="1">
        <f t="array" ref="AE298">MID(";"&amp;'CASE DATA'!$F298&amp;";",SMALL(IF(ISERROR(SEARCH(MID(";"&amp;'CASE DATA'!$F298&amp;";",ROW($1:$99),1),";")),"",ROW($1:$99)+1),COLUMN(H298)),SMALL(IF(ISERROR(SEARCH(MID(";"&amp;'CASE DATA'!$F298&amp;";",ROW($1:$99),1),";")),"",ROW($1:$99)),COLUMN(H297)+1)-SMALL(IF(ISERROR(SEARCH(MID(";"&amp;'CASE DATA'!$F298&amp;";",ROW($1:$99),1),";")),"",ROW($1:$99)),COLUMN(H297))-1)</f>
        <v/>
      </c>
      <c r="AF298" s="75" t="str" cm="1">
        <f t="array" ref="AF298">MID(";"&amp;'CASE DATA'!$F298&amp;";",SMALL(IF(ISERROR(SEARCH(MID(";"&amp;'CASE DATA'!$F298&amp;";",ROW($1:$99),1),";")),"",ROW($1:$99)+1),COLUMN(I298)),SMALL(IF(ISERROR(SEARCH(MID(";"&amp;'CASE DATA'!$F298&amp;";",ROW($1:$99),1),";")),"",ROW($1:$99)),COLUMN(I297)+1)-SMALL(IF(ISERROR(SEARCH(MID(";"&amp;'CASE DATA'!$F298&amp;";",ROW($1:$99),1),";")),"",ROW($1:$99)),COLUMN(I297))-1)</f>
        <v/>
      </c>
      <c r="AG298" s="75" t="str" cm="1">
        <f t="array" ref="AG298">MID(";"&amp;'CASE DATA'!$F298&amp;";",SMALL(IF(ISERROR(SEARCH(MID(";"&amp;'CASE DATA'!$F298&amp;";",ROW($1:$99),1),";")),"",ROW($1:$99)+1),COLUMN(K298)),SMALL(IF(ISERROR(SEARCH(MID(";"&amp;'CASE DATA'!$F298&amp;";",ROW($1:$99),1),";")),"",ROW($1:$99)),COLUMN(K297)+1)-SMALL(IF(ISERROR(SEARCH(MID(";"&amp;'CASE DATA'!$F298&amp;";",ROW($1:$99),1),";")),"",ROW($1:$99)),COLUMN(K297))-1)</f>
        <v/>
      </c>
      <c r="AH298" s="75" t="str" cm="1">
        <f t="array" ref="AH298">MID(";"&amp;'CASE DATA'!$F298&amp;";",SMALL(IF(ISERROR(SEARCH(MID(";"&amp;'CASE DATA'!$F298&amp;";",ROW($1:$99),1),";")),"",ROW($1:$99)+1),COLUMN(L298)),SMALL(IF(ISERROR(SEARCH(MID(";"&amp;'CASE DATA'!$F298&amp;";",ROW($1:$99),1),";")),"",ROW($1:$99)),COLUMN(L297)+1)-SMALL(IF(ISERROR(SEARCH(MID(";"&amp;'CASE DATA'!$F298&amp;";",ROW($1:$99),1),";")),"",ROW($1:$99)),COLUMN(L297))-1)</f>
        <v/>
      </c>
      <c r="AI298" s="75" t="str" cm="1">
        <f t="array" ref="AI298">MID(";"&amp;'CASE DATA'!$F298&amp;";",SMALL(IF(ISERROR(SEARCH(MID(";"&amp;'CASE DATA'!$F298&amp;";",ROW($1:$99),1),";")),"",ROW($1:$99)+1),COLUMN(M298)),SMALL(IF(ISERROR(SEARCH(MID(";"&amp;'CASE DATA'!$F298&amp;";",ROW($1:$99),1),";")),"",ROW($1:$99)),COLUMN(M297)+1)-SMALL(IF(ISERROR(SEARCH(MID(";"&amp;'CASE DATA'!$F298&amp;";",ROW($1:$99),1),";")),"",ROW($1:$99)),COLUMN(M297))-1)</f>
        <v/>
      </c>
      <c r="BO298" s="99"/>
      <c r="BP298" s="99"/>
      <c r="BQ298" s="99"/>
      <c r="BR298" s="99"/>
      <c r="BS298" s="99"/>
      <c r="BT298" s="99"/>
      <c r="BU298" s="99"/>
      <c r="BV298" s="99"/>
      <c r="BW298" s="99"/>
      <c r="BX298" s="99"/>
      <c r="BY298" s="99"/>
      <c r="BZ298" s="99"/>
      <c r="CA298" s="99"/>
      <c r="CB298" s="99"/>
      <c r="CC298" s="99"/>
      <c r="CD298" s="99"/>
      <c r="CE298" s="99"/>
      <c r="CF298" s="99"/>
      <c r="CG298" s="99"/>
      <c r="CH298" s="99"/>
      <c r="CI298" s="99"/>
      <c r="CJ298" s="99"/>
      <c r="CK298" s="99"/>
      <c r="CL298" s="99"/>
      <c r="CM298" s="99"/>
      <c r="CN298" s="99"/>
      <c r="CO298" s="99"/>
      <c r="CP298" s="99"/>
      <c r="CQ298" s="99"/>
      <c r="CR298" s="99"/>
      <c r="CS298" s="99"/>
      <c r="CT298" s="99"/>
      <c r="CU298" s="99"/>
      <c r="CV298" s="99"/>
      <c r="CW298" s="99"/>
      <c r="CX298" s="99"/>
      <c r="CY298" s="99"/>
      <c r="CZ298" s="99"/>
      <c r="DA298" s="99"/>
      <c r="DB298" s="99"/>
      <c r="DC298" s="99"/>
      <c r="DD298" s="99"/>
      <c r="DE298" s="99"/>
      <c r="DF298" s="99"/>
      <c r="DG298" s="99"/>
      <c r="DH298" s="99"/>
      <c r="DI298" s="99"/>
      <c r="DJ298" s="99"/>
      <c r="DK298" s="99"/>
      <c r="DL298" s="99"/>
      <c r="DM298" s="99"/>
      <c r="DN298" s="99"/>
      <c r="DO298" s="99"/>
      <c r="DP298" s="99"/>
      <c r="DQ298" s="99"/>
      <c r="DR298" s="99"/>
      <c r="DS298" s="99"/>
      <c r="DT298" s="99"/>
      <c r="DU298" s="99"/>
      <c r="DV298" s="99"/>
      <c r="DW298" s="99"/>
      <c r="DX298" s="99"/>
      <c r="DY298" s="99"/>
      <c r="DZ298" s="99"/>
      <c r="EA298" s="99"/>
      <c r="EB298" s="99"/>
      <c r="EC298" s="99"/>
      <c r="ED298" s="99"/>
      <c r="EE298" s="99"/>
      <c r="EF298" s="99"/>
      <c r="EG298" s="99"/>
      <c r="EH298" s="99"/>
      <c r="EI298" s="99"/>
      <c r="EJ298" s="99"/>
      <c r="EK298" s="99"/>
      <c r="EL298" s="99"/>
      <c r="EM298" s="99"/>
      <c r="EN298" s="99"/>
      <c r="EO298" s="99"/>
      <c r="EP298" s="99"/>
      <c r="EQ298" s="99"/>
      <c r="ER298" s="99"/>
      <c r="ES298" s="99"/>
      <c r="ET298" s="99"/>
      <c r="EU298" s="99"/>
      <c r="EV298" s="99"/>
      <c r="EW298" s="99"/>
      <c r="EX298" s="99"/>
      <c r="EY298" s="99"/>
      <c r="EZ298" s="99"/>
      <c r="FA298" s="99"/>
      <c r="FB298" s="99"/>
      <c r="FC298" s="99"/>
      <c r="FD298" s="99"/>
      <c r="FE298" s="99"/>
      <c r="FF298" s="99"/>
      <c r="FG298" s="99"/>
      <c r="FH298" s="99"/>
      <c r="FI298" s="99"/>
      <c r="FJ298" s="99"/>
      <c r="FK298" s="99"/>
    </row>
    <row r="299" spans="3:167" x14ac:dyDescent="0.25">
      <c r="C299" s="10"/>
      <c r="D299" s="10"/>
      <c r="J299" s="99">
        <v>296</v>
      </c>
      <c r="K299" s="16"/>
      <c r="L299" s="16"/>
      <c r="M299" s="16"/>
      <c r="N299" s="16"/>
      <c r="O299" s="16"/>
      <c r="P299" s="16"/>
      <c r="Q299" s="16"/>
      <c r="R299" s="16"/>
      <c r="S299" s="16"/>
      <c r="T299" s="16"/>
      <c r="U299" s="14">
        <f>SUM(K299:T299)</f>
        <v>0</v>
      </c>
      <c r="V299" s="14"/>
      <c r="X299" s="75" t="str" cm="1">
        <f t="array" ref="X299">MID(";"&amp;'CASE DATA'!$F299&amp;";",SMALL(IF(ISERROR(SEARCH(MID(";"&amp;'CASE DATA'!$F299&amp;";",ROW($1:$99),1),";")),"",ROW($1:$99)+1),COLUMN(A299)),SMALL(IF(ISERROR(SEARCH(MID(";"&amp;'CASE DATA'!$F299&amp;";",ROW($1:$99),1),";")),"",ROW($1:$99)),COLUMN(A298)+1)-SMALL(IF(ISERROR(SEARCH(MID(";"&amp;'CASE DATA'!$F299&amp;";",ROW($1:$99),1),";")),"",ROW($1:$99)),COLUMN(A298))-1)</f>
        <v/>
      </c>
      <c r="Y299" s="75" t="str" cm="1">
        <f t="array" ref="Y299">MID(";"&amp;'CASE DATA'!$F299&amp;";",SMALL(IF(ISERROR(SEARCH(MID(";"&amp;'CASE DATA'!$F299&amp;";",ROW($1:$99),1),";")),"",ROW($1:$99)+1),COLUMN(B299)),SMALL(IF(ISERROR(SEARCH(MID(";"&amp;'CASE DATA'!$F299&amp;";",ROW($1:$99),1),";")),"",ROW($1:$99)),COLUMN(B298)+1)-SMALL(IF(ISERROR(SEARCH(MID(";"&amp;'CASE DATA'!$F299&amp;";",ROW($1:$99),1),";")),"",ROW($1:$99)),COLUMN(B298))-1)</f>
        <v/>
      </c>
      <c r="Z299" s="75" t="str" cm="1">
        <f t="array" ref="Z299">MID(";"&amp;'CASE DATA'!$F299&amp;";",SMALL(IF(ISERROR(SEARCH(MID(";"&amp;'CASE DATA'!$F299&amp;";",ROW($1:$99),1),";")),"",ROW($1:$99)+1),COLUMN(C299)),SMALL(IF(ISERROR(SEARCH(MID(";"&amp;'CASE DATA'!$F299&amp;";",ROW($1:$99),1),";")),"",ROW($1:$99)),COLUMN(C298)+1)-SMALL(IF(ISERROR(SEARCH(MID(";"&amp;'CASE DATA'!$F299&amp;";",ROW($1:$99),1),";")),"",ROW($1:$99)),COLUMN(C298))-1)</f>
        <v/>
      </c>
      <c r="AA299" s="75" t="str" cm="1">
        <f t="array" ref="AA299">MID(";"&amp;'CASE DATA'!$F299&amp;";",SMALL(IF(ISERROR(SEARCH(MID(";"&amp;'CASE DATA'!$F299&amp;";",ROW($1:$99),1),";")),"",ROW($1:$99)+1),COLUMN(D299)),SMALL(IF(ISERROR(SEARCH(MID(";"&amp;'CASE DATA'!$F299&amp;";",ROW($1:$99),1),";")),"",ROW($1:$99)),COLUMN(D298)+1)-SMALL(IF(ISERROR(SEARCH(MID(";"&amp;'CASE DATA'!$F299&amp;";",ROW($1:$99),1),";")),"",ROW($1:$99)),COLUMN(D298))-1)</f>
        <v/>
      </c>
      <c r="AB299" s="75" t="str" cm="1">
        <f t="array" ref="AB299">MID(";"&amp;'CASE DATA'!$F299&amp;";",SMALL(IF(ISERROR(SEARCH(MID(";"&amp;'CASE DATA'!$F299&amp;";",ROW($1:$99),1),";")),"",ROW($1:$99)+1),COLUMN(E299)),SMALL(IF(ISERROR(SEARCH(MID(";"&amp;'CASE DATA'!$F299&amp;";",ROW($1:$99),1),";")),"",ROW($1:$99)),COLUMN(E298)+1)-SMALL(IF(ISERROR(SEARCH(MID(";"&amp;'CASE DATA'!$F299&amp;";",ROW($1:$99),1),";")),"",ROW($1:$99)),COLUMN(E298))-1)</f>
        <v/>
      </c>
      <c r="AC299" s="75" t="str" cm="1">
        <f t="array" ref="AC299">MID(";"&amp;'CASE DATA'!$F299&amp;";",SMALL(IF(ISERROR(SEARCH(MID(";"&amp;'CASE DATA'!$F299&amp;";",ROW($1:$99),1),";")),"",ROW($1:$99)+1),COLUMN(F299)),SMALL(IF(ISERROR(SEARCH(MID(";"&amp;'CASE DATA'!$F299&amp;";",ROW($1:$99),1),";")),"",ROW($1:$99)),COLUMN(F298)+1)-SMALL(IF(ISERROR(SEARCH(MID(";"&amp;'CASE DATA'!$F299&amp;";",ROW($1:$99),1),";")),"",ROW($1:$99)),COLUMN(F298))-1)</f>
        <v/>
      </c>
      <c r="AD299" s="75" t="str" cm="1">
        <f t="array" ref="AD299">MID(";"&amp;'CASE DATA'!$F299&amp;";",SMALL(IF(ISERROR(SEARCH(MID(";"&amp;'CASE DATA'!$F299&amp;";",ROW($1:$99),1),";")),"",ROW($1:$99)+1),COLUMN(G299)),SMALL(IF(ISERROR(SEARCH(MID(";"&amp;'CASE DATA'!$F299&amp;";",ROW($1:$99),1),";")),"",ROW($1:$99)),COLUMN(G298)+1)-SMALL(IF(ISERROR(SEARCH(MID(";"&amp;'CASE DATA'!$F299&amp;";",ROW($1:$99),1),";")),"",ROW($1:$99)),COLUMN(G298))-1)</f>
        <v/>
      </c>
      <c r="AE299" s="75" t="str" cm="1">
        <f t="array" ref="AE299">MID(";"&amp;'CASE DATA'!$F299&amp;";",SMALL(IF(ISERROR(SEARCH(MID(";"&amp;'CASE DATA'!$F299&amp;";",ROW($1:$99),1),";")),"",ROW($1:$99)+1),COLUMN(H299)),SMALL(IF(ISERROR(SEARCH(MID(";"&amp;'CASE DATA'!$F299&amp;";",ROW($1:$99),1),";")),"",ROW($1:$99)),COLUMN(H298)+1)-SMALL(IF(ISERROR(SEARCH(MID(";"&amp;'CASE DATA'!$F299&amp;";",ROW($1:$99),1),";")),"",ROW($1:$99)),COLUMN(H298))-1)</f>
        <v/>
      </c>
      <c r="AF299" s="75" t="str" cm="1">
        <f t="array" ref="AF299">MID(";"&amp;'CASE DATA'!$F299&amp;";",SMALL(IF(ISERROR(SEARCH(MID(";"&amp;'CASE DATA'!$F299&amp;";",ROW($1:$99),1),";")),"",ROW($1:$99)+1),COLUMN(I299)),SMALL(IF(ISERROR(SEARCH(MID(";"&amp;'CASE DATA'!$F299&amp;";",ROW($1:$99),1),";")),"",ROW($1:$99)),COLUMN(I298)+1)-SMALL(IF(ISERROR(SEARCH(MID(";"&amp;'CASE DATA'!$F299&amp;";",ROW($1:$99),1),";")),"",ROW($1:$99)),COLUMN(I298))-1)</f>
        <v/>
      </c>
      <c r="AG299" s="75" t="str" cm="1">
        <f t="array" ref="AG299">MID(";"&amp;'CASE DATA'!$F299&amp;";",SMALL(IF(ISERROR(SEARCH(MID(";"&amp;'CASE DATA'!$F299&amp;";",ROW($1:$99),1),";")),"",ROW($1:$99)+1),COLUMN(K299)),SMALL(IF(ISERROR(SEARCH(MID(";"&amp;'CASE DATA'!$F299&amp;";",ROW($1:$99),1),";")),"",ROW($1:$99)),COLUMN(K298)+1)-SMALL(IF(ISERROR(SEARCH(MID(";"&amp;'CASE DATA'!$F299&amp;";",ROW($1:$99),1),";")),"",ROW($1:$99)),COLUMN(K298))-1)</f>
        <v/>
      </c>
      <c r="AH299" s="75" t="str" cm="1">
        <f t="array" ref="AH299">MID(";"&amp;'CASE DATA'!$F299&amp;";",SMALL(IF(ISERROR(SEARCH(MID(";"&amp;'CASE DATA'!$F299&amp;";",ROW($1:$99),1),";")),"",ROW($1:$99)+1),COLUMN(L299)),SMALL(IF(ISERROR(SEARCH(MID(";"&amp;'CASE DATA'!$F299&amp;";",ROW($1:$99),1),";")),"",ROW($1:$99)),COLUMN(L298)+1)-SMALL(IF(ISERROR(SEARCH(MID(";"&amp;'CASE DATA'!$F299&amp;";",ROW($1:$99),1),";")),"",ROW($1:$99)),COLUMN(L298))-1)</f>
        <v/>
      </c>
      <c r="AI299" s="75" t="str" cm="1">
        <f t="array" ref="AI299">MID(";"&amp;'CASE DATA'!$F299&amp;";",SMALL(IF(ISERROR(SEARCH(MID(";"&amp;'CASE DATA'!$F299&amp;";",ROW($1:$99),1),";")),"",ROW($1:$99)+1),COLUMN(M299)),SMALL(IF(ISERROR(SEARCH(MID(";"&amp;'CASE DATA'!$F299&amp;";",ROW($1:$99),1),";")),"",ROW($1:$99)),COLUMN(M298)+1)-SMALL(IF(ISERROR(SEARCH(MID(";"&amp;'CASE DATA'!$F299&amp;";",ROW($1:$99),1),";")),"",ROW($1:$99)),COLUMN(M298))-1)</f>
        <v/>
      </c>
      <c r="BO299" s="99"/>
      <c r="BP299" s="99"/>
      <c r="BQ299" s="99"/>
      <c r="BR299" s="99"/>
      <c r="BS299" s="99"/>
      <c r="BT299" s="99"/>
      <c r="BU299" s="99"/>
      <c r="BV299" s="99"/>
      <c r="BW299" s="99"/>
      <c r="BX299" s="99"/>
      <c r="BY299" s="99"/>
      <c r="BZ299" s="99"/>
      <c r="CA299" s="99"/>
      <c r="CB299" s="99"/>
      <c r="CC299" s="99"/>
      <c r="CD299" s="99"/>
      <c r="CE299" s="99"/>
      <c r="CF299" s="99"/>
      <c r="CG299" s="99"/>
      <c r="CH299" s="99"/>
      <c r="CI299" s="99"/>
      <c r="CJ299" s="99"/>
      <c r="CK299" s="99"/>
      <c r="CL299" s="99"/>
      <c r="CM299" s="99"/>
      <c r="CN299" s="99"/>
      <c r="CO299" s="99"/>
      <c r="CP299" s="99"/>
      <c r="CQ299" s="99"/>
      <c r="CR299" s="99"/>
      <c r="CS299" s="99"/>
      <c r="CT299" s="99"/>
      <c r="CU299" s="99"/>
      <c r="CV299" s="99"/>
      <c r="CW299" s="99"/>
      <c r="CX299" s="99"/>
      <c r="CY299" s="99"/>
      <c r="CZ299" s="99"/>
      <c r="DA299" s="99"/>
      <c r="DB299" s="99"/>
      <c r="DC299" s="99"/>
      <c r="DD299" s="99"/>
      <c r="DE299" s="99"/>
      <c r="DF299" s="99"/>
      <c r="DG299" s="99"/>
      <c r="DH299" s="99"/>
      <c r="DI299" s="99"/>
      <c r="DJ299" s="99"/>
      <c r="DK299" s="99"/>
      <c r="DL299" s="99"/>
      <c r="DM299" s="99"/>
      <c r="DN299" s="99"/>
      <c r="DO299" s="99"/>
      <c r="DP299" s="99"/>
      <c r="DQ299" s="99"/>
      <c r="DR299" s="99"/>
      <c r="DS299" s="99"/>
      <c r="DT299" s="99"/>
      <c r="DU299" s="99"/>
      <c r="DV299" s="99"/>
      <c r="DW299" s="99"/>
      <c r="DX299" s="99"/>
      <c r="DY299" s="99"/>
      <c r="DZ299" s="99"/>
      <c r="EA299" s="99"/>
      <c r="EB299" s="99"/>
      <c r="EC299" s="99"/>
      <c r="ED299" s="99"/>
      <c r="EE299" s="99"/>
      <c r="EF299" s="99"/>
      <c r="EG299" s="99"/>
      <c r="EH299" s="99"/>
      <c r="EI299" s="99"/>
      <c r="EJ299" s="99"/>
      <c r="EK299" s="99"/>
      <c r="EL299" s="99"/>
      <c r="EM299" s="99"/>
      <c r="EN299" s="99"/>
      <c r="EO299" s="99"/>
      <c r="EP299" s="99"/>
      <c r="EQ299" s="99"/>
      <c r="ER299" s="99"/>
      <c r="ES299" s="99"/>
      <c r="ET299" s="99"/>
      <c r="EU299" s="99"/>
      <c r="EV299" s="99"/>
      <c r="EW299" s="99"/>
      <c r="EX299" s="99"/>
      <c r="EY299" s="99"/>
      <c r="EZ299" s="99"/>
      <c r="FA299" s="99"/>
      <c r="FB299" s="99"/>
      <c r="FC299" s="99"/>
      <c r="FD299" s="99"/>
      <c r="FE299" s="99"/>
      <c r="FF299" s="99"/>
      <c r="FG299" s="99"/>
      <c r="FH299" s="99"/>
      <c r="FI299" s="99"/>
      <c r="FJ299" s="99"/>
      <c r="FK299" s="99"/>
    </row>
    <row r="300" spans="3:167" x14ac:dyDescent="0.25">
      <c r="C300" s="10"/>
      <c r="D300" s="10"/>
      <c r="J300" s="99">
        <v>297</v>
      </c>
      <c r="K300" s="16"/>
      <c r="L300" s="16"/>
      <c r="M300" s="16"/>
      <c r="N300" s="16"/>
      <c r="O300" s="16"/>
      <c r="P300" s="16"/>
      <c r="Q300" s="16"/>
      <c r="R300" s="16"/>
      <c r="S300" s="16"/>
      <c r="T300" s="16"/>
      <c r="U300" s="14">
        <f>SUM(K300:T300)</f>
        <v>0</v>
      </c>
      <c r="V300" s="14"/>
      <c r="X300" s="75" t="str" cm="1">
        <f t="array" ref="X300">MID(";"&amp;'CASE DATA'!$F300&amp;";",SMALL(IF(ISERROR(SEARCH(MID(";"&amp;'CASE DATA'!$F300&amp;";",ROW($1:$99),1),";")),"",ROW($1:$99)+1),COLUMN(A300)),SMALL(IF(ISERROR(SEARCH(MID(";"&amp;'CASE DATA'!$F300&amp;";",ROW($1:$99),1),";")),"",ROW($1:$99)),COLUMN(A299)+1)-SMALL(IF(ISERROR(SEARCH(MID(";"&amp;'CASE DATA'!$F300&amp;";",ROW($1:$99),1),";")),"",ROW($1:$99)),COLUMN(A299))-1)</f>
        <v/>
      </c>
      <c r="Y300" s="75" t="str" cm="1">
        <f t="array" ref="Y300">MID(";"&amp;'CASE DATA'!$F300&amp;";",SMALL(IF(ISERROR(SEARCH(MID(";"&amp;'CASE DATA'!$F300&amp;";",ROW($1:$99),1),";")),"",ROW($1:$99)+1),COLUMN(B300)),SMALL(IF(ISERROR(SEARCH(MID(";"&amp;'CASE DATA'!$F300&amp;";",ROW($1:$99),1),";")),"",ROW($1:$99)),COLUMN(B299)+1)-SMALL(IF(ISERROR(SEARCH(MID(";"&amp;'CASE DATA'!$F300&amp;";",ROW($1:$99),1),";")),"",ROW($1:$99)),COLUMN(B299))-1)</f>
        <v/>
      </c>
      <c r="Z300" s="75" t="str" cm="1">
        <f t="array" ref="Z300">MID(";"&amp;'CASE DATA'!$F300&amp;";",SMALL(IF(ISERROR(SEARCH(MID(";"&amp;'CASE DATA'!$F300&amp;";",ROW($1:$99),1),";")),"",ROW($1:$99)+1),COLUMN(C300)),SMALL(IF(ISERROR(SEARCH(MID(";"&amp;'CASE DATA'!$F300&amp;";",ROW($1:$99),1),";")),"",ROW($1:$99)),COLUMN(C299)+1)-SMALL(IF(ISERROR(SEARCH(MID(";"&amp;'CASE DATA'!$F300&amp;";",ROW($1:$99),1),";")),"",ROW($1:$99)),COLUMN(C299))-1)</f>
        <v/>
      </c>
      <c r="AA300" s="75" t="str" cm="1">
        <f t="array" ref="AA300">MID(";"&amp;'CASE DATA'!$F300&amp;";",SMALL(IF(ISERROR(SEARCH(MID(";"&amp;'CASE DATA'!$F300&amp;";",ROW($1:$99),1),";")),"",ROW($1:$99)+1),COLUMN(D300)),SMALL(IF(ISERROR(SEARCH(MID(";"&amp;'CASE DATA'!$F300&amp;";",ROW($1:$99),1),";")),"",ROW($1:$99)),COLUMN(D299)+1)-SMALL(IF(ISERROR(SEARCH(MID(";"&amp;'CASE DATA'!$F300&amp;";",ROW($1:$99),1),";")),"",ROW($1:$99)),COLUMN(D299))-1)</f>
        <v/>
      </c>
      <c r="AB300" s="75" t="str" cm="1">
        <f t="array" ref="AB300">MID(";"&amp;'CASE DATA'!$F300&amp;";",SMALL(IF(ISERROR(SEARCH(MID(";"&amp;'CASE DATA'!$F300&amp;";",ROW($1:$99),1),";")),"",ROW($1:$99)+1),COLUMN(E300)),SMALL(IF(ISERROR(SEARCH(MID(";"&amp;'CASE DATA'!$F300&amp;";",ROW($1:$99),1),";")),"",ROW($1:$99)),COLUMN(E299)+1)-SMALL(IF(ISERROR(SEARCH(MID(";"&amp;'CASE DATA'!$F300&amp;";",ROW($1:$99),1),";")),"",ROW($1:$99)),COLUMN(E299))-1)</f>
        <v/>
      </c>
      <c r="AC300" s="75" t="str" cm="1">
        <f t="array" ref="AC300">MID(";"&amp;'CASE DATA'!$F300&amp;";",SMALL(IF(ISERROR(SEARCH(MID(";"&amp;'CASE DATA'!$F300&amp;";",ROW($1:$99),1),";")),"",ROW($1:$99)+1),COLUMN(F300)),SMALL(IF(ISERROR(SEARCH(MID(";"&amp;'CASE DATA'!$F300&amp;";",ROW($1:$99),1),";")),"",ROW($1:$99)),COLUMN(F299)+1)-SMALL(IF(ISERROR(SEARCH(MID(";"&amp;'CASE DATA'!$F300&amp;";",ROW($1:$99),1),";")),"",ROW($1:$99)),COLUMN(F299))-1)</f>
        <v/>
      </c>
      <c r="AD300" s="75" t="str" cm="1">
        <f t="array" ref="AD300">MID(";"&amp;'CASE DATA'!$F300&amp;";",SMALL(IF(ISERROR(SEARCH(MID(";"&amp;'CASE DATA'!$F300&amp;";",ROW($1:$99),1),";")),"",ROW($1:$99)+1),COLUMN(G300)),SMALL(IF(ISERROR(SEARCH(MID(";"&amp;'CASE DATA'!$F300&amp;";",ROW($1:$99),1),";")),"",ROW($1:$99)),COLUMN(G299)+1)-SMALL(IF(ISERROR(SEARCH(MID(";"&amp;'CASE DATA'!$F300&amp;";",ROW($1:$99),1),";")),"",ROW($1:$99)),COLUMN(G299))-1)</f>
        <v/>
      </c>
      <c r="AE300" s="75" t="str" cm="1">
        <f t="array" ref="AE300">MID(";"&amp;'CASE DATA'!$F300&amp;";",SMALL(IF(ISERROR(SEARCH(MID(";"&amp;'CASE DATA'!$F300&amp;";",ROW($1:$99),1),";")),"",ROW($1:$99)+1),COLUMN(H300)),SMALL(IF(ISERROR(SEARCH(MID(";"&amp;'CASE DATA'!$F300&amp;";",ROW($1:$99),1),";")),"",ROW($1:$99)),COLUMN(H299)+1)-SMALL(IF(ISERROR(SEARCH(MID(";"&amp;'CASE DATA'!$F300&amp;";",ROW($1:$99),1),";")),"",ROW($1:$99)),COLUMN(H299))-1)</f>
        <v/>
      </c>
      <c r="AF300" s="75" t="str" cm="1">
        <f t="array" ref="AF300">MID(";"&amp;'CASE DATA'!$F300&amp;";",SMALL(IF(ISERROR(SEARCH(MID(";"&amp;'CASE DATA'!$F300&amp;";",ROW($1:$99),1),";")),"",ROW($1:$99)+1),COLUMN(I300)),SMALL(IF(ISERROR(SEARCH(MID(";"&amp;'CASE DATA'!$F300&amp;";",ROW($1:$99),1),";")),"",ROW($1:$99)),COLUMN(I299)+1)-SMALL(IF(ISERROR(SEARCH(MID(";"&amp;'CASE DATA'!$F300&amp;";",ROW($1:$99),1),";")),"",ROW($1:$99)),COLUMN(I299))-1)</f>
        <v/>
      </c>
      <c r="AG300" s="75" t="str" cm="1">
        <f t="array" ref="AG300">MID(";"&amp;'CASE DATA'!$F300&amp;";",SMALL(IF(ISERROR(SEARCH(MID(";"&amp;'CASE DATA'!$F300&amp;";",ROW($1:$99),1),";")),"",ROW($1:$99)+1),COLUMN(K300)),SMALL(IF(ISERROR(SEARCH(MID(";"&amp;'CASE DATA'!$F300&amp;";",ROW($1:$99),1),";")),"",ROW($1:$99)),COLUMN(K299)+1)-SMALL(IF(ISERROR(SEARCH(MID(";"&amp;'CASE DATA'!$F300&amp;";",ROW($1:$99),1),";")),"",ROW($1:$99)),COLUMN(K299))-1)</f>
        <v/>
      </c>
      <c r="AH300" s="75" t="str" cm="1">
        <f t="array" ref="AH300">MID(";"&amp;'CASE DATA'!$F300&amp;";",SMALL(IF(ISERROR(SEARCH(MID(";"&amp;'CASE DATA'!$F300&amp;";",ROW($1:$99),1),";")),"",ROW($1:$99)+1),COLUMN(L300)),SMALL(IF(ISERROR(SEARCH(MID(";"&amp;'CASE DATA'!$F300&amp;";",ROW($1:$99),1),";")),"",ROW($1:$99)),COLUMN(L299)+1)-SMALL(IF(ISERROR(SEARCH(MID(";"&amp;'CASE DATA'!$F300&amp;";",ROW($1:$99),1),";")),"",ROW($1:$99)),COLUMN(L299))-1)</f>
        <v/>
      </c>
      <c r="AI300" s="75" t="str" cm="1">
        <f t="array" ref="AI300">MID(";"&amp;'CASE DATA'!$F300&amp;";",SMALL(IF(ISERROR(SEARCH(MID(";"&amp;'CASE DATA'!$F300&amp;";",ROW($1:$99),1),";")),"",ROW($1:$99)+1),COLUMN(M300)),SMALL(IF(ISERROR(SEARCH(MID(";"&amp;'CASE DATA'!$F300&amp;";",ROW($1:$99),1),";")),"",ROW($1:$99)),COLUMN(M299)+1)-SMALL(IF(ISERROR(SEARCH(MID(";"&amp;'CASE DATA'!$F300&amp;";",ROW($1:$99),1),";")),"",ROW($1:$99)),COLUMN(M299))-1)</f>
        <v/>
      </c>
      <c r="BO300" s="99"/>
      <c r="BP300" s="99"/>
      <c r="BQ300" s="99"/>
      <c r="BR300" s="99"/>
      <c r="BS300" s="99"/>
      <c r="BT300" s="99"/>
      <c r="BU300" s="99"/>
      <c r="BV300" s="99"/>
      <c r="BW300" s="99"/>
      <c r="BX300" s="99"/>
      <c r="BY300" s="99"/>
      <c r="BZ300" s="99"/>
      <c r="CA300" s="99"/>
      <c r="CB300" s="99"/>
      <c r="CC300" s="99"/>
      <c r="CD300" s="99"/>
      <c r="CE300" s="99"/>
      <c r="CF300" s="99"/>
      <c r="CG300" s="99"/>
      <c r="CH300" s="99"/>
      <c r="CI300" s="99"/>
      <c r="CJ300" s="99"/>
      <c r="CK300" s="99"/>
      <c r="CL300" s="99"/>
      <c r="CM300" s="99"/>
      <c r="CN300" s="99"/>
      <c r="CO300" s="99"/>
      <c r="CP300" s="99"/>
      <c r="CQ300" s="99"/>
      <c r="CR300" s="99"/>
      <c r="CS300" s="99"/>
      <c r="CT300" s="99"/>
      <c r="CU300" s="99"/>
      <c r="CV300" s="99"/>
      <c r="CW300" s="99"/>
      <c r="CX300" s="99"/>
      <c r="CY300" s="99"/>
      <c r="CZ300" s="99"/>
      <c r="DA300" s="99"/>
      <c r="DB300" s="99"/>
      <c r="DC300" s="99"/>
      <c r="DD300" s="99"/>
      <c r="DE300" s="99"/>
      <c r="DF300" s="99"/>
      <c r="DG300" s="99"/>
      <c r="DH300" s="99"/>
      <c r="DI300" s="99"/>
      <c r="DJ300" s="99"/>
      <c r="DK300" s="99"/>
      <c r="DL300" s="99"/>
      <c r="DM300" s="99"/>
      <c r="DN300" s="99"/>
      <c r="DO300" s="99"/>
      <c r="DP300" s="99"/>
      <c r="DQ300" s="99"/>
      <c r="DR300" s="99"/>
      <c r="DS300" s="99"/>
      <c r="DT300" s="99"/>
      <c r="DU300" s="99"/>
      <c r="DV300" s="99"/>
      <c r="DW300" s="99"/>
      <c r="DX300" s="99"/>
      <c r="DY300" s="99"/>
      <c r="DZ300" s="99"/>
      <c r="EA300" s="99"/>
      <c r="EB300" s="99"/>
      <c r="EC300" s="99"/>
      <c r="ED300" s="99"/>
      <c r="EE300" s="99"/>
      <c r="EF300" s="99"/>
      <c r="EG300" s="99"/>
      <c r="EH300" s="99"/>
      <c r="EI300" s="99"/>
      <c r="EJ300" s="99"/>
      <c r="EK300" s="99"/>
      <c r="EL300" s="99"/>
      <c r="EM300" s="99"/>
      <c r="EN300" s="99"/>
      <c r="EO300" s="99"/>
      <c r="EP300" s="99"/>
      <c r="EQ300" s="99"/>
      <c r="ER300" s="99"/>
      <c r="ES300" s="99"/>
      <c r="ET300" s="99"/>
      <c r="EU300" s="99"/>
      <c r="EV300" s="99"/>
      <c r="EW300" s="99"/>
      <c r="EX300" s="99"/>
      <c r="EY300" s="99"/>
      <c r="EZ300" s="99"/>
      <c r="FA300" s="99"/>
      <c r="FB300" s="99"/>
      <c r="FC300" s="99"/>
      <c r="FD300" s="99"/>
      <c r="FE300" s="99"/>
      <c r="FF300" s="99"/>
      <c r="FG300" s="99"/>
      <c r="FH300" s="99"/>
      <c r="FI300" s="99"/>
      <c r="FJ300" s="99"/>
      <c r="FK300" s="99"/>
    </row>
    <row r="301" spans="3:167" x14ac:dyDescent="0.25">
      <c r="J301" s="99"/>
      <c r="BO301" s="99"/>
      <c r="BP301" s="99"/>
      <c r="BQ301" s="99"/>
      <c r="BR301" s="99"/>
      <c r="BS301" s="99"/>
      <c r="BT301" s="99"/>
      <c r="BU301" s="99"/>
      <c r="BV301" s="99"/>
      <c r="BW301" s="99"/>
      <c r="BX301" s="99"/>
      <c r="BY301" s="99"/>
      <c r="BZ301" s="99"/>
      <c r="CA301" s="99"/>
      <c r="CB301" s="99"/>
      <c r="CC301" s="99"/>
      <c r="CD301" s="99"/>
      <c r="CE301" s="99"/>
      <c r="CF301" s="99"/>
      <c r="CG301" s="99"/>
      <c r="CH301" s="99"/>
      <c r="CI301" s="99"/>
      <c r="CJ301" s="99"/>
      <c r="CK301" s="99"/>
      <c r="CL301" s="99"/>
      <c r="CM301" s="99"/>
      <c r="CN301" s="99"/>
      <c r="CO301" s="99"/>
      <c r="CP301" s="99"/>
      <c r="CQ301" s="99"/>
      <c r="CR301" s="99"/>
      <c r="CS301" s="99"/>
      <c r="CT301" s="99"/>
      <c r="CU301" s="99"/>
      <c r="CV301" s="99"/>
      <c r="CW301" s="99"/>
      <c r="CX301" s="99"/>
      <c r="CY301" s="99"/>
      <c r="CZ301" s="99"/>
      <c r="DA301" s="99"/>
      <c r="DB301" s="99"/>
      <c r="DC301" s="99"/>
      <c r="DD301" s="99"/>
      <c r="DE301" s="99"/>
      <c r="DF301" s="99"/>
      <c r="DG301" s="99"/>
      <c r="DH301" s="99"/>
      <c r="DI301" s="99"/>
      <c r="DJ301" s="99"/>
      <c r="DK301" s="99"/>
      <c r="DL301" s="99"/>
      <c r="DM301" s="99"/>
      <c r="DN301" s="99"/>
      <c r="DO301" s="99"/>
      <c r="DP301" s="99"/>
      <c r="DQ301" s="99"/>
      <c r="DR301" s="99"/>
      <c r="DS301" s="99"/>
      <c r="DT301" s="99"/>
      <c r="DU301" s="99"/>
      <c r="DV301" s="99"/>
      <c r="DW301" s="99"/>
      <c r="DX301" s="99"/>
      <c r="DY301" s="99"/>
      <c r="DZ301" s="99"/>
      <c r="EA301" s="99"/>
      <c r="EB301" s="99"/>
      <c r="EC301" s="99"/>
      <c r="ED301" s="99"/>
      <c r="EE301" s="99"/>
      <c r="EF301" s="99"/>
      <c r="EG301" s="99"/>
      <c r="EH301" s="99"/>
      <c r="EI301" s="99"/>
      <c r="EJ301" s="99"/>
      <c r="EK301" s="99"/>
      <c r="EL301" s="99"/>
      <c r="EM301" s="99"/>
      <c r="EN301" s="99"/>
      <c r="EO301" s="99"/>
      <c r="EP301" s="99"/>
      <c r="EQ301" s="99"/>
      <c r="ER301" s="99"/>
      <c r="ES301" s="99"/>
      <c r="ET301" s="99"/>
      <c r="EU301" s="99"/>
      <c r="EV301" s="99"/>
      <c r="EW301" s="99"/>
      <c r="EX301" s="99"/>
      <c r="EY301" s="99"/>
      <c r="EZ301" s="99"/>
      <c r="FA301" s="99"/>
      <c r="FB301" s="99"/>
      <c r="FC301" s="99"/>
      <c r="FD301" s="99"/>
      <c r="FE301" s="99"/>
      <c r="FF301" s="99"/>
      <c r="FG301" s="99"/>
      <c r="FH301" s="99"/>
      <c r="FI301" s="99"/>
      <c r="FJ301" s="99"/>
      <c r="FK301" s="99"/>
    </row>
    <row r="302" spans="3:167" x14ac:dyDescent="0.25">
      <c r="J302" s="99"/>
      <c r="BO302" s="99"/>
      <c r="BP302" s="99"/>
      <c r="BQ302" s="99"/>
      <c r="BR302" s="99"/>
      <c r="BS302" s="99"/>
      <c r="BT302" s="99"/>
      <c r="BU302" s="99"/>
      <c r="BV302" s="99"/>
      <c r="BW302" s="99"/>
      <c r="BX302" s="99"/>
      <c r="BY302" s="99"/>
      <c r="BZ302" s="99"/>
      <c r="CA302" s="99"/>
      <c r="CB302" s="99"/>
      <c r="CC302" s="99"/>
      <c r="CD302" s="99"/>
      <c r="CE302" s="99"/>
      <c r="CF302" s="99"/>
      <c r="CG302" s="99"/>
      <c r="CH302" s="99"/>
      <c r="CI302" s="99"/>
      <c r="CJ302" s="99"/>
      <c r="CK302" s="99"/>
      <c r="CL302" s="99"/>
      <c r="CM302" s="99"/>
      <c r="CN302" s="99"/>
      <c r="CO302" s="99"/>
      <c r="CP302" s="99"/>
      <c r="CQ302" s="99"/>
      <c r="CR302" s="99"/>
      <c r="CS302" s="99"/>
      <c r="CT302" s="99"/>
      <c r="CU302" s="99"/>
      <c r="CV302" s="99"/>
      <c r="CW302" s="99"/>
      <c r="CX302" s="99"/>
      <c r="CY302" s="99"/>
      <c r="CZ302" s="99"/>
      <c r="DA302" s="99"/>
      <c r="DB302" s="99"/>
      <c r="DC302" s="99"/>
      <c r="DD302" s="99"/>
      <c r="DE302" s="99"/>
      <c r="DF302" s="99"/>
      <c r="DG302" s="99"/>
      <c r="DH302" s="99"/>
      <c r="DI302" s="99"/>
      <c r="DJ302" s="99"/>
      <c r="DK302" s="99"/>
      <c r="DL302" s="99"/>
      <c r="DM302" s="99"/>
      <c r="DN302" s="99"/>
      <c r="DO302" s="99"/>
      <c r="DP302" s="99"/>
      <c r="DQ302" s="99"/>
      <c r="DR302" s="99"/>
      <c r="DS302" s="99"/>
      <c r="DT302" s="99"/>
      <c r="DU302" s="99"/>
      <c r="DV302" s="99"/>
      <c r="DW302" s="99"/>
      <c r="DX302" s="99"/>
      <c r="DY302" s="99"/>
      <c r="DZ302" s="99"/>
      <c r="EA302" s="99"/>
      <c r="EB302" s="99"/>
      <c r="EC302" s="99"/>
      <c r="ED302" s="99"/>
      <c r="EE302" s="99"/>
      <c r="EF302" s="99"/>
      <c r="EG302" s="99"/>
      <c r="EH302" s="99"/>
      <c r="EI302" s="99"/>
      <c r="EJ302" s="99"/>
      <c r="EK302" s="99"/>
      <c r="EL302" s="99"/>
      <c r="EM302" s="99"/>
      <c r="EN302" s="99"/>
      <c r="EO302" s="99"/>
      <c r="EP302" s="99"/>
      <c r="EQ302" s="99"/>
      <c r="ER302" s="99"/>
      <c r="ES302" s="99"/>
      <c r="ET302" s="99"/>
      <c r="EU302" s="99"/>
      <c r="EV302" s="99"/>
      <c r="EW302" s="99"/>
      <c r="EX302" s="99"/>
      <c r="EY302" s="99"/>
      <c r="EZ302" s="99"/>
      <c r="FA302" s="99"/>
      <c r="FB302" s="99"/>
      <c r="FC302" s="99"/>
      <c r="FD302" s="99"/>
      <c r="FE302" s="99"/>
      <c r="FF302" s="99"/>
      <c r="FG302" s="99"/>
      <c r="FH302" s="99"/>
      <c r="FI302" s="99"/>
      <c r="FJ302" s="99"/>
      <c r="FK302" s="99"/>
    </row>
    <row r="303" spans="3:167" x14ac:dyDescent="0.25">
      <c r="J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99"/>
      <c r="CO303" s="99"/>
      <c r="CP303" s="99"/>
      <c r="CQ303" s="99"/>
      <c r="CR303" s="99"/>
      <c r="CS303" s="99"/>
      <c r="CT303" s="99"/>
      <c r="CU303" s="99"/>
      <c r="CV303" s="99"/>
      <c r="CW303" s="99"/>
      <c r="CX303" s="99"/>
      <c r="CY303" s="99"/>
      <c r="CZ303" s="99"/>
      <c r="DA303" s="99"/>
      <c r="DB303" s="99"/>
      <c r="DC303" s="99"/>
      <c r="DD303" s="99"/>
      <c r="DE303" s="99"/>
      <c r="DF303" s="99"/>
      <c r="DG303" s="99"/>
      <c r="DH303" s="99"/>
      <c r="DI303" s="99"/>
      <c r="DJ303" s="99"/>
      <c r="DK303" s="99"/>
      <c r="DL303" s="99"/>
      <c r="DM303" s="99"/>
      <c r="DN303" s="99"/>
      <c r="DO303" s="99"/>
      <c r="DP303" s="99"/>
      <c r="DQ303" s="99"/>
      <c r="DR303" s="99"/>
      <c r="DS303" s="99"/>
      <c r="DT303" s="99"/>
      <c r="DU303" s="99"/>
      <c r="DV303" s="99"/>
      <c r="DW303" s="99"/>
      <c r="DX303" s="99"/>
      <c r="DY303" s="99"/>
      <c r="DZ303" s="99"/>
      <c r="EA303" s="99"/>
      <c r="EB303" s="99"/>
      <c r="EC303" s="99"/>
      <c r="ED303" s="99"/>
      <c r="EE303" s="99"/>
      <c r="EF303" s="99"/>
      <c r="EG303" s="99"/>
      <c r="EH303" s="99"/>
      <c r="EI303" s="99"/>
      <c r="EJ303" s="99"/>
      <c r="EK303" s="99"/>
      <c r="EL303" s="99"/>
      <c r="EM303" s="99"/>
      <c r="EN303" s="99"/>
      <c r="EO303" s="99"/>
      <c r="EP303" s="99"/>
      <c r="EQ303" s="99"/>
      <c r="ER303" s="99"/>
      <c r="ES303" s="99"/>
      <c r="ET303" s="99"/>
      <c r="EU303" s="99"/>
      <c r="EV303" s="99"/>
      <c r="EW303" s="99"/>
      <c r="EX303" s="99"/>
      <c r="EY303" s="99"/>
      <c r="EZ303" s="99"/>
      <c r="FA303" s="99"/>
      <c r="FB303" s="99"/>
      <c r="FC303" s="99"/>
      <c r="FD303" s="99"/>
      <c r="FE303" s="99"/>
      <c r="FF303" s="99"/>
      <c r="FG303" s="99"/>
      <c r="FH303" s="99"/>
      <c r="FI303" s="99"/>
      <c r="FJ303" s="99"/>
      <c r="FK303" s="99"/>
    </row>
    <row r="304" spans="3:167" x14ac:dyDescent="0.25">
      <c r="J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99"/>
      <c r="CO304" s="99"/>
      <c r="CP304" s="99"/>
      <c r="CQ304" s="99"/>
      <c r="CR304" s="99"/>
      <c r="CS304" s="99"/>
      <c r="CT304" s="99"/>
      <c r="CU304" s="99"/>
      <c r="CV304" s="99"/>
      <c r="CW304" s="99"/>
      <c r="CX304" s="99"/>
      <c r="CY304" s="99"/>
      <c r="CZ304" s="99"/>
      <c r="DA304" s="99"/>
      <c r="DB304" s="99"/>
      <c r="DC304" s="99"/>
      <c r="DD304" s="99"/>
      <c r="DE304" s="99"/>
      <c r="DF304" s="99"/>
      <c r="DG304" s="99"/>
      <c r="DH304" s="99"/>
      <c r="DI304" s="99"/>
      <c r="DJ304" s="99"/>
      <c r="DK304" s="99"/>
      <c r="DL304" s="99"/>
      <c r="DM304" s="99"/>
      <c r="DN304" s="99"/>
      <c r="DO304" s="99"/>
      <c r="DP304" s="99"/>
      <c r="DQ304" s="99"/>
      <c r="DR304" s="99"/>
      <c r="DS304" s="99"/>
      <c r="DT304" s="99"/>
      <c r="DU304" s="99"/>
      <c r="DV304" s="99"/>
      <c r="DW304" s="99"/>
      <c r="DX304" s="99"/>
      <c r="DY304" s="99"/>
      <c r="DZ304" s="99"/>
      <c r="EA304" s="99"/>
      <c r="EB304" s="99"/>
      <c r="EC304" s="99"/>
      <c r="ED304" s="99"/>
      <c r="EE304" s="99"/>
      <c r="EF304" s="99"/>
      <c r="EG304" s="99"/>
      <c r="EH304" s="99"/>
      <c r="EI304" s="99"/>
      <c r="EJ304" s="99"/>
      <c r="EK304" s="99"/>
      <c r="EL304" s="99"/>
      <c r="EM304" s="99"/>
      <c r="EN304" s="99"/>
      <c r="EO304" s="99"/>
      <c r="EP304" s="99"/>
      <c r="EQ304" s="99"/>
      <c r="ER304" s="99"/>
      <c r="ES304" s="99"/>
      <c r="ET304" s="99"/>
      <c r="EU304" s="99"/>
      <c r="EV304" s="99"/>
      <c r="EW304" s="99"/>
      <c r="EX304" s="99"/>
      <c r="EY304" s="99"/>
      <c r="EZ304" s="99"/>
      <c r="FA304" s="99"/>
      <c r="FB304" s="99"/>
      <c r="FC304" s="99"/>
      <c r="FD304" s="99"/>
      <c r="FE304" s="99"/>
      <c r="FF304" s="99"/>
      <c r="FG304" s="99"/>
      <c r="FH304" s="99"/>
      <c r="FI304" s="99"/>
      <c r="FJ304" s="99"/>
      <c r="FK304" s="99"/>
    </row>
    <row r="305" spans="10:10" x14ac:dyDescent="0.25">
      <c r="J305" s="99"/>
    </row>
    <row r="306" spans="10:10" x14ac:dyDescent="0.25">
      <c r="J306" s="99"/>
    </row>
    <row r="307" spans="10:10" x14ac:dyDescent="0.25">
      <c r="J307" s="99"/>
    </row>
    <row r="308" spans="10:10" x14ac:dyDescent="0.25">
      <c r="J308" s="99"/>
    </row>
    <row r="309" spans="10:10" x14ac:dyDescent="0.25">
      <c r="J309" s="99"/>
    </row>
    <row r="310" spans="10:10" x14ac:dyDescent="0.25">
      <c r="J310" s="99"/>
    </row>
    <row r="311" spans="10:10" x14ac:dyDescent="0.25">
      <c r="J311" s="99"/>
    </row>
    <row r="312" spans="10:10" x14ac:dyDescent="0.25">
      <c r="J312" s="99"/>
    </row>
    <row r="313" spans="10:10" x14ac:dyDescent="0.25">
      <c r="J313" s="99"/>
    </row>
    <row r="314" spans="10:10" x14ac:dyDescent="0.25">
      <c r="J314" s="99"/>
    </row>
    <row r="315" spans="10:10" x14ac:dyDescent="0.25">
      <c r="J315" s="99"/>
    </row>
    <row r="316" spans="10:10" x14ac:dyDescent="0.25">
      <c r="J316" s="99"/>
    </row>
    <row r="317" spans="10:10" x14ac:dyDescent="0.25">
      <c r="J317" s="99"/>
    </row>
    <row r="318" spans="10:10" x14ac:dyDescent="0.25">
      <c r="J318" s="99"/>
    </row>
    <row r="319" spans="10:10" x14ac:dyDescent="0.25">
      <c r="J319" s="99"/>
    </row>
    <row r="320" spans="10:10" x14ac:dyDescent="0.25">
      <c r="J320" s="99"/>
    </row>
    <row r="321" spans="10:10" x14ac:dyDescent="0.25">
      <c r="J321" s="99"/>
    </row>
    <row r="322" spans="10:10" x14ac:dyDescent="0.25">
      <c r="J322" s="99"/>
    </row>
    <row r="323" spans="10:10" x14ac:dyDescent="0.25">
      <c r="J323" s="99"/>
    </row>
    <row r="324" spans="10:10" x14ac:dyDescent="0.25">
      <c r="J324" s="99"/>
    </row>
    <row r="325" spans="10:10" x14ac:dyDescent="0.25">
      <c r="J325" s="99"/>
    </row>
    <row r="326" spans="10:10" x14ac:dyDescent="0.25">
      <c r="J326" s="99"/>
    </row>
    <row r="327" spans="10:10" x14ac:dyDescent="0.25">
      <c r="J327" s="99"/>
    </row>
    <row r="328" spans="10:10" x14ac:dyDescent="0.25">
      <c r="J328" s="99"/>
    </row>
    <row r="329" spans="10:10" x14ac:dyDescent="0.25">
      <c r="J329" s="99"/>
    </row>
    <row r="330" spans="10:10" x14ac:dyDescent="0.25">
      <c r="J330" s="99"/>
    </row>
    <row r="331" spans="10:10" x14ac:dyDescent="0.25">
      <c r="J331" s="99"/>
    </row>
    <row r="332" spans="10:10" x14ac:dyDescent="0.25">
      <c r="J332" s="99"/>
    </row>
    <row r="333" spans="10:10" x14ac:dyDescent="0.25">
      <c r="J333" s="99"/>
    </row>
    <row r="334" spans="10:10" x14ac:dyDescent="0.25">
      <c r="J334" s="99"/>
    </row>
    <row r="335" spans="10:10" x14ac:dyDescent="0.25">
      <c r="J335" s="99"/>
    </row>
    <row r="336" spans="10:10" x14ac:dyDescent="0.25">
      <c r="J336" s="99"/>
    </row>
    <row r="337" spans="10:10" x14ac:dyDescent="0.25">
      <c r="J337" s="99"/>
    </row>
    <row r="338" spans="10:10" x14ac:dyDescent="0.25">
      <c r="J338" s="99"/>
    </row>
    <row r="339" spans="10:10" x14ac:dyDescent="0.25">
      <c r="J339" s="99"/>
    </row>
    <row r="340" spans="10:10" x14ac:dyDescent="0.25">
      <c r="J340" s="99"/>
    </row>
    <row r="341" spans="10:10" x14ac:dyDescent="0.25">
      <c r="J341" s="99"/>
    </row>
    <row r="342" spans="10:10" x14ac:dyDescent="0.25">
      <c r="J342" s="99"/>
    </row>
    <row r="343" spans="10:10" x14ac:dyDescent="0.25">
      <c r="J343" s="99"/>
    </row>
    <row r="344" spans="10:10" x14ac:dyDescent="0.25">
      <c r="J344" s="99"/>
    </row>
    <row r="345" spans="10:10" x14ac:dyDescent="0.25">
      <c r="J345" s="99"/>
    </row>
    <row r="346" spans="10:10" x14ac:dyDescent="0.25">
      <c r="J346" s="99"/>
    </row>
    <row r="347" spans="10:10" x14ac:dyDescent="0.25">
      <c r="J347" s="99"/>
    </row>
    <row r="348" spans="10:10" x14ac:dyDescent="0.25">
      <c r="J348" s="99"/>
    </row>
    <row r="349" spans="10:10" x14ac:dyDescent="0.25">
      <c r="J349" s="99"/>
    </row>
    <row r="350" spans="10:10" x14ac:dyDescent="0.25">
      <c r="J350" s="99"/>
    </row>
    <row r="351" spans="10:10" x14ac:dyDescent="0.25">
      <c r="J351" s="99"/>
    </row>
    <row r="352" spans="10:10" x14ac:dyDescent="0.25">
      <c r="J352" s="99"/>
    </row>
    <row r="353" spans="10:10" x14ac:dyDescent="0.25">
      <c r="J353" s="99"/>
    </row>
    <row r="354" spans="10:10" x14ac:dyDescent="0.25">
      <c r="J354" s="99"/>
    </row>
    <row r="355" spans="10:10" x14ac:dyDescent="0.25">
      <c r="J355" s="99"/>
    </row>
    <row r="356" spans="10:10" x14ac:dyDescent="0.25">
      <c r="J356" s="99"/>
    </row>
    <row r="357" spans="10:10" x14ac:dyDescent="0.25">
      <c r="J357" s="99"/>
    </row>
    <row r="358" spans="10:10" x14ac:dyDescent="0.25">
      <c r="J358" s="99"/>
    </row>
    <row r="359" spans="10:10" x14ac:dyDescent="0.25">
      <c r="J359" s="99"/>
    </row>
    <row r="360" spans="10:10" x14ac:dyDescent="0.25">
      <c r="J360" s="99"/>
    </row>
    <row r="361" spans="10:10" x14ac:dyDescent="0.25">
      <c r="J361" s="99"/>
    </row>
    <row r="362" spans="10:10" x14ac:dyDescent="0.25">
      <c r="J362" s="99"/>
    </row>
    <row r="363" spans="10:10" x14ac:dyDescent="0.25">
      <c r="J363" s="99"/>
    </row>
    <row r="364" spans="10:10" x14ac:dyDescent="0.25">
      <c r="J364" s="99"/>
    </row>
    <row r="365" spans="10:10" x14ac:dyDescent="0.25">
      <c r="J365" s="99"/>
    </row>
    <row r="366" spans="10:10" x14ac:dyDescent="0.25">
      <c r="J366" s="99"/>
    </row>
    <row r="367" spans="10:10" x14ac:dyDescent="0.25">
      <c r="J367" s="99"/>
    </row>
    <row r="368" spans="10:10" x14ac:dyDescent="0.25">
      <c r="J368" s="99"/>
    </row>
    <row r="369" spans="10:10" x14ac:dyDescent="0.25">
      <c r="J369" s="99"/>
    </row>
    <row r="370" spans="10:10" x14ac:dyDescent="0.25">
      <c r="J370" s="99"/>
    </row>
    <row r="371" spans="10:10" x14ac:dyDescent="0.25">
      <c r="J371" s="99"/>
    </row>
    <row r="372" spans="10:10" x14ac:dyDescent="0.25">
      <c r="J372" s="99"/>
    </row>
    <row r="373" spans="10:10" x14ac:dyDescent="0.25">
      <c r="J373" s="99"/>
    </row>
    <row r="374" spans="10:10" x14ac:dyDescent="0.25">
      <c r="J374" s="99"/>
    </row>
    <row r="375" spans="10:10" x14ac:dyDescent="0.25">
      <c r="J375" s="99"/>
    </row>
    <row r="376" spans="10:10" x14ac:dyDescent="0.25">
      <c r="J376" s="99"/>
    </row>
    <row r="377" spans="10:10" x14ac:dyDescent="0.25">
      <c r="J377" s="99"/>
    </row>
    <row r="378" spans="10:10" x14ac:dyDescent="0.25">
      <c r="J378" s="99"/>
    </row>
    <row r="379" spans="10:10" x14ac:dyDescent="0.25">
      <c r="J379" s="99"/>
    </row>
    <row r="380" spans="10:10" x14ac:dyDescent="0.25">
      <c r="J380" s="99"/>
    </row>
    <row r="381" spans="10:10" x14ac:dyDescent="0.25">
      <c r="J381" s="99"/>
    </row>
    <row r="382" spans="10:10" x14ac:dyDescent="0.25">
      <c r="J382" s="99"/>
    </row>
    <row r="383" spans="10:10" x14ac:dyDescent="0.25">
      <c r="J383" s="99"/>
    </row>
    <row r="384" spans="10:10" x14ac:dyDescent="0.25">
      <c r="J384" s="99"/>
    </row>
    <row r="385" spans="10:10" x14ac:dyDescent="0.25">
      <c r="J385" s="99"/>
    </row>
    <row r="386" spans="10:10" x14ac:dyDescent="0.25">
      <c r="J386" s="99"/>
    </row>
    <row r="387" spans="10:10" x14ac:dyDescent="0.25">
      <c r="J387" s="99"/>
    </row>
    <row r="388" spans="10:10" x14ac:dyDescent="0.25">
      <c r="J388" s="99"/>
    </row>
    <row r="389" spans="10:10" x14ac:dyDescent="0.25">
      <c r="J389" s="99"/>
    </row>
    <row r="390" spans="10:10" x14ac:dyDescent="0.25">
      <c r="J390" s="99"/>
    </row>
    <row r="391" spans="10:10" x14ac:dyDescent="0.25">
      <c r="J391" s="99"/>
    </row>
    <row r="392" spans="10:10" x14ac:dyDescent="0.25">
      <c r="J392" s="99"/>
    </row>
    <row r="393" spans="10:10" x14ac:dyDescent="0.25">
      <c r="J393" s="99"/>
    </row>
    <row r="394" spans="10:10" x14ac:dyDescent="0.25">
      <c r="J394" s="99"/>
    </row>
    <row r="395" spans="10:10" x14ac:dyDescent="0.25">
      <c r="J395" s="99"/>
    </row>
    <row r="396" spans="10:10" x14ac:dyDescent="0.25">
      <c r="J396" s="99"/>
    </row>
    <row r="397" spans="10:10" x14ac:dyDescent="0.25">
      <c r="J397" s="99"/>
    </row>
    <row r="398" spans="10:10" x14ac:dyDescent="0.25">
      <c r="J398" s="99"/>
    </row>
    <row r="399" spans="10:10" x14ac:dyDescent="0.25">
      <c r="J399" s="99"/>
    </row>
    <row r="400" spans="10:10" x14ac:dyDescent="0.25">
      <c r="J400" s="99"/>
    </row>
    <row r="401" spans="10:10" x14ac:dyDescent="0.25">
      <c r="J401" s="99"/>
    </row>
    <row r="402" spans="10:10" x14ac:dyDescent="0.25">
      <c r="J402" s="99"/>
    </row>
    <row r="403" spans="10:10" x14ac:dyDescent="0.25">
      <c r="J403" s="99"/>
    </row>
    <row r="404" spans="10:10" x14ac:dyDescent="0.25">
      <c r="J404" s="99"/>
    </row>
    <row r="405" spans="10:10" x14ac:dyDescent="0.25">
      <c r="J405" s="99"/>
    </row>
    <row r="406" spans="10:10" x14ac:dyDescent="0.25">
      <c r="J406" s="99"/>
    </row>
    <row r="407" spans="10:10" x14ac:dyDescent="0.25">
      <c r="J407" s="99"/>
    </row>
    <row r="408" spans="10:10" x14ac:dyDescent="0.25">
      <c r="J408" s="99"/>
    </row>
    <row r="409" spans="10:10" x14ac:dyDescent="0.25">
      <c r="J409" s="99"/>
    </row>
    <row r="410" spans="10:10" x14ac:dyDescent="0.25">
      <c r="J410" s="99"/>
    </row>
    <row r="411" spans="10:10" x14ac:dyDescent="0.25">
      <c r="J411" s="99"/>
    </row>
    <row r="412" spans="10:10" x14ac:dyDescent="0.25">
      <c r="J412" s="99"/>
    </row>
    <row r="413" spans="10:10" x14ac:dyDescent="0.25">
      <c r="J413" s="99"/>
    </row>
    <row r="414" spans="10:10" x14ac:dyDescent="0.25">
      <c r="J414" s="99"/>
    </row>
    <row r="415" spans="10:10" x14ac:dyDescent="0.25">
      <c r="J415" s="99"/>
    </row>
    <row r="416" spans="10:10" x14ac:dyDescent="0.25">
      <c r="J416" s="99"/>
    </row>
    <row r="417" spans="10:10" x14ac:dyDescent="0.25">
      <c r="J417" s="99"/>
    </row>
    <row r="418" spans="10:10" x14ac:dyDescent="0.25">
      <c r="J418" s="99"/>
    </row>
    <row r="419" spans="10:10" x14ac:dyDescent="0.25">
      <c r="J419" s="99"/>
    </row>
    <row r="420" spans="10:10" x14ac:dyDescent="0.25">
      <c r="J420" s="99"/>
    </row>
    <row r="421" spans="10:10" x14ac:dyDescent="0.25">
      <c r="J421" s="99"/>
    </row>
    <row r="422" spans="10:10" x14ac:dyDescent="0.25">
      <c r="J422" s="99"/>
    </row>
    <row r="423" spans="10:10" x14ac:dyDescent="0.25">
      <c r="J423" s="99"/>
    </row>
    <row r="424" spans="10:10" x14ac:dyDescent="0.25">
      <c r="J424" s="99"/>
    </row>
    <row r="425" spans="10:10" x14ac:dyDescent="0.25">
      <c r="J425" s="99"/>
    </row>
    <row r="426" spans="10:10" x14ac:dyDescent="0.25">
      <c r="J426" s="99"/>
    </row>
    <row r="427" spans="10:10" x14ac:dyDescent="0.25">
      <c r="J427" s="99"/>
    </row>
    <row r="428" spans="10:10" x14ac:dyDescent="0.25">
      <c r="J428" s="99"/>
    </row>
    <row r="429" spans="10:10" x14ac:dyDescent="0.25">
      <c r="J429" s="99"/>
    </row>
    <row r="430" spans="10:10" x14ac:dyDescent="0.25">
      <c r="J430" s="99"/>
    </row>
    <row r="431" spans="10:10" x14ac:dyDescent="0.25">
      <c r="J431" s="99"/>
    </row>
    <row r="432" spans="10:10" x14ac:dyDescent="0.25">
      <c r="J432" s="99"/>
    </row>
    <row r="433" spans="10:10" x14ac:dyDescent="0.25">
      <c r="J433" s="99"/>
    </row>
    <row r="434" spans="10:10" x14ac:dyDescent="0.25">
      <c r="J434" s="99"/>
    </row>
    <row r="435" spans="10:10" x14ac:dyDescent="0.25">
      <c r="J435" s="99"/>
    </row>
    <row r="436" spans="10:10" x14ac:dyDescent="0.25">
      <c r="J436" s="99"/>
    </row>
    <row r="437" spans="10:10" x14ac:dyDescent="0.25">
      <c r="J437" s="99"/>
    </row>
    <row r="438" spans="10:10" x14ac:dyDescent="0.25">
      <c r="J438" s="99"/>
    </row>
    <row r="439" spans="10:10" x14ac:dyDescent="0.25">
      <c r="J439" s="99"/>
    </row>
    <row r="440" spans="10:10" x14ac:dyDescent="0.25">
      <c r="J440" s="99"/>
    </row>
    <row r="441" spans="10:10" x14ac:dyDescent="0.25">
      <c r="J441" s="99"/>
    </row>
    <row r="442" spans="10:10" x14ac:dyDescent="0.25">
      <c r="J442" s="99"/>
    </row>
    <row r="443" spans="10:10" x14ac:dyDescent="0.25">
      <c r="J443" s="99"/>
    </row>
    <row r="444" spans="10:10" x14ac:dyDescent="0.25">
      <c r="J444" s="99"/>
    </row>
    <row r="445" spans="10:10" x14ac:dyDescent="0.25">
      <c r="J445" s="99"/>
    </row>
    <row r="446" spans="10:10" x14ac:dyDescent="0.25">
      <c r="J446" s="99"/>
    </row>
    <row r="447" spans="10:10" x14ac:dyDescent="0.25">
      <c r="J447" s="99"/>
    </row>
    <row r="448" spans="10:10" x14ac:dyDescent="0.25">
      <c r="J448" s="99"/>
    </row>
    <row r="449" spans="10:10" x14ac:dyDescent="0.25">
      <c r="J449" s="99"/>
    </row>
    <row r="450" spans="10:10" x14ac:dyDescent="0.25">
      <c r="J450" s="99"/>
    </row>
    <row r="451" spans="10:10" x14ac:dyDescent="0.25">
      <c r="J451" s="99"/>
    </row>
    <row r="452" spans="10:10" x14ac:dyDescent="0.25">
      <c r="J452" s="99"/>
    </row>
    <row r="453" spans="10:10" x14ac:dyDescent="0.25">
      <c r="J453" s="99"/>
    </row>
    <row r="454" spans="10:10" x14ac:dyDescent="0.25">
      <c r="J454" s="99"/>
    </row>
    <row r="455" spans="10:10" x14ac:dyDescent="0.25">
      <c r="J455" s="99"/>
    </row>
    <row r="456" spans="10:10" x14ac:dyDescent="0.25">
      <c r="J456" s="99"/>
    </row>
    <row r="457" spans="10:10" x14ac:dyDescent="0.25">
      <c r="J457" s="99"/>
    </row>
    <row r="458" spans="10:10" x14ac:dyDescent="0.25">
      <c r="J458" s="99"/>
    </row>
    <row r="459" spans="10:10" x14ac:dyDescent="0.25">
      <c r="J459" s="99"/>
    </row>
    <row r="460" spans="10:10" x14ac:dyDescent="0.25">
      <c r="J460" s="99"/>
    </row>
    <row r="461" spans="10:10" x14ac:dyDescent="0.25">
      <c r="J461" s="99"/>
    </row>
    <row r="462" spans="10:10" x14ac:dyDescent="0.25">
      <c r="J462" s="99"/>
    </row>
    <row r="463" spans="10:10" x14ac:dyDescent="0.25">
      <c r="J463" s="99"/>
    </row>
    <row r="464" spans="10:10" x14ac:dyDescent="0.25">
      <c r="J464" s="99"/>
    </row>
    <row r="465" spans="10:10" x14ac:dyDescent="0.25">
      <c r="J465" s="99"/>
    </row>
    <row r="466" spans="10:10" x14ac:dyDescent="0.25">
      <c r="J466" s="99"/>
    </row>
    <row r="467" spans="10:10" x14ac:dyDescent="0.25">
      <c r="J467" s="99"/>
    </row>
    <row r="468" spans="10:10" x14ac:dyDescent="0.25">
      <c r="J468" s="99"/>
    </row>
    <row r="469" spans="10:10" x14ac:dyDescent="0.25">
      <c r="J469" s="99"/>
    </row>
    <row r="470" spans="10:10" x14ac:dyDescent="0.25">
      <c r="J470" s="99"/>
    </row>
    <row r="471" spans="10:10" x14ac:dyDescent="0.25">
      <c r="J471" s="99"/>
    </row>
    <row r="472" spans="10:10" x14ac:dyDescent="0.25">
      <c r="J472" s="99"/>
    </row>
    <row r="473" spans="10:10" x14ac:dyDescent="0.25">
      <c r="J473" s="99"/>
    </row>
    <row r="474" spans="10:10" x14ac:dyDescent="0.25">
      <c r="J474" s="99"/>
    </row>
    <row r="475" spans="10:10" x14ac:dyDescent="0.25">
      <c r="J475" s="99"/>
    </row>
    <row r="476" spans="10:10" x14ac:dyDescent="0.25">
      <c r="J476" s="99"/>
    </row>
    <row r="477" spans="10:10" x14ac:dyDescent="0.25">
      <c r="J477" s="99"/>
    </row>
    <row r="478" spans="10:10" x14ac:dyDescent="0.25">
      <c r="J478" s="99"/>
    </row>
    <row r="479" spans="10:10" x14ac:dyDescent="0.25">
      <c r="J479" s="99"/>
    </row>
    <row r="480" spans="10:10" x14ac:dyDescent="0.25">
      <c r="J480" s="99"/>
    </row>
    <row r="481" spans="10:10" x14ac:dyDescent="0.25">
      <c r="J481" s="99"/>
    </row>
    <row r="482" spans="10:10" x14ac:dyDescent="0.25">
      <c r="J482" s="99"/>
    </row>
    <row r="483" spans="10:10" x14ac:dyDescent="0.25">
      <c r="J483" s="99"/>
    </row>
    <row r="484" spans="10:10" x14ac:dyDescent="0.25">
      <c r="J484" s="99"/>
    </row>
    <row r="485" spans="10:10" x14ac:dyDescent="0.25">
      <c r="J485" s="99"/>
    </row>
    <row r="486" spans="10:10" x14ac:dyDescent="0.25">
      <c r="J486" s="99"/>
    </row>
    <row r="487" spans="10:10" x14ac:dyDescent="0.25">
      <c r="J487" s="99"/>
    </row>
    <row r="488" spans="10:10" x14ac:dyDescent="0.25">
      <c r="J488" s="99"/>
    </row>
    <row r="489" spans="10:10" x14ac:dyDescent="0.25">
      <c r="J489" s="99"/>
    </row>
    <row r="490" spans="10:10" x14ac:dyDescent="0.25">
      <c r="J490" s="99"/>
    </row>
    <row r="491" spans="10:10" x14ac:dyDescent="0.25">
      <c r="J491" s="99"/>
    </row>
    <row r="492" spans="10:10" x14ac:dyDescent="0.25">
      <c r="J492" s="99"/>
    </row>
    <row r="493" spans="10:10" x14ac:dyDescent="0.25">
      <c r="J493" s="99"/>
    </row>
    <row r="494" spans="10:10" x14ac:dyDescent="0.25">
      <c r="J494" s="99"/>
    </row>
    <row r="495" spans="10:10" x14ac:dyDescent="0.25">
      <c r="J495" s="99"/>
    </row>
    <row r="496" spans="10:10" x14ac:dyDescent="0.25">
      <c r="J496" s="99"/>
    </row>
    <row r="497" spans="10:10" x14ac:dyDescent="0.25">
      <c r="J497" s="99"/>
    </row>
    <row r="498" spans="10:10" x14ac:dyDescent="0.25">
      <c r="J498" s="99"/>
    </row>
    <row r="499" spans="10:10" x14ac:dyDescent="0.25">
      <c r="J499" s="99"/>
    </row>
    <row r="500" spans="10:10" x14ac:dyDescent="0.25">
      <c r="J500" s="99"/>
    </row>
    <row r="501" spans="10:10" x14ac:dyDescent="0.25">
      <c r="J501" s="99"/>
    </row>
    <row r="502" spans="10:10" x14ac:dyDescent="0.25">
      <c r="J502" s="99"/>
    </row>
    <row r="503" spans="10:10" x14ac:dyDescent="0.25">
      <c r="J503" s="99"/>
    </row>
    <row r="504" spans="10:10" x14ac:dyDescent="0.25">
      <c r="J504" s="99"/>
    </row>
    <row r="505" spans="10:10" x14ac:dyDescent="0.25">
      <c r="J505" s="99"/>
    </row>
    <row r="506" spans="10:10" x14ac:dyDescent="0.25">
      <c r="J506" s="99"/>
    </row>
    <row r="507" spans="10:10" x14ac:dyDescent="0.25">
      <c r="J507" s="99"/>
    </row>
    <row r="508" spans="10:10" x14ac:dyDescent="0.25">
      <c r="J508" s="99"/>
    </row>
    <row r="509" spans="10:10" x14ac:dyDescent="0.25">
      <c r="J509" s="99"/>
    </row>
    <row r="510" spans="10:10" x14ac:dyDescent="0.25">
      <c r="J510" s="99"/>
    </row>
    <row r="511" spans="10:10" x14ac:dyDescent="0.25">
      <c r="J511" s="99"/>
    </row>
    <row r="512" spans="10:10" x14ac:dyDescent="0.25">
      <c r="J512" s="99"/>
    </row>
    <row r="513" spans="10:10" x14ac:dyDescent="0.25">
      <c r="J513" s="99"/>
    </row>
    <row r="514" spans="10:10" x14ac:dyDescent="0.25">
      <c r="J514" s="99"/>
    </row>
    <row r="515" spans="10:10" x14ac:dyDescent="0.25">
      <c r="J515" s="99"/>
    </row>
    <row r="516" spans="10:10" x14ac:dyDescent="0.25">
      <c r="J516" s="99"/>
    </row>
    <row r="517" spans="10:10" x14ac:dyDescent="0.25">
      <c r="J517" s="99"/>
    </row>
    <row r="518" spans="10:10" x14ac:dyDescent="0.25">
      <c r="J518" s="99"/>
    </row>
    <row r="519" spans="10:10" x14ac:dyDescent="0.25">
      <c r="J519" s="99"/>
    </row>
    <row r="520" spans="10:10" x14ac:dyDescent="0.25">
      <c r="J520" s="99"/>
    </row>
    <row r="521" spans="10:10" x14ac:dyDescent="0.25">
      <c r="J521" s="99"/>
    </row>
    <row r="522" spans="10:10" x14ac:dyDescent="0.25">
      <c r="J522" s="99"/>
    </row>
    <row r="523" spans="10:10" x14ac:dyDescent="0.25">
      <c r="J523" s="99"/>
    </row>
    <row r="524" spans="10:10" x14ac:dyDescent="0.25">
      <c r="J524" s="99"/>
    </row>
    <row r="525" spans="10:10" x14ac:dyDescent="0.25">
      <c r="J525" s="99"/>
    </row>
    <row r="526" spans="10:10" x14ac:dyDescent="0.25">
      <c r="J526" s="99"/>
    </row>
    <row r="527" spans="10:10" x14ac:dyDescent="0.25">
      <c r="J527" s="99"/>
    </row>
    <row r="528" spans="10:10" x14ac:dyDescent="0.25">
      <c r="J528" s="99"/>
    </row>
    <row r="529" spans="10:10" x14ac:dyDescent="0.25">
      <c r="J529" s="99"/>
    </row>
    <row r="530" spans="10:10" x14ac:dyDescent="0.25">
      <c r="J530" s="99"/>
    </row>
    <row r="531" spans="10:10" x14ac:dyDescent="0.25">
      <c r="J531" s="99"/>
    </row>
    <row r="532" spans="10:10" x14ac:dyDescent="0.25">
      <c r="J532" s="99"/>
    </row>
    <row r="533" spans="10:10" x14ac:dyDescent="0.25">
      <c r="J533" s="99"/>
    </row>
    <row r="534" spans="10:10" x14ac:dyDescent="0.25">
      <c r="J534" s="99"/>
    </row>
    <row r="535" spans="10:10" x14ac:dyDescent="0.25">
      <c r="J535" s="99"/>
    </row>
    <row r="536" spans="10:10" x14ac:dyDescent="0.25">
      <c r="J536" s="99"/>
    </row>
    <row r="537" spans="10:10" x14ac:dyDescent="0.25">
      <c r="J537" s="99"/>
    </row>
    <row r="538" spans="10:10" x14ac:dyDescent="0.25">
      <c r="J538" s="99"/>
    </row>
    <row r="539" spans="10:10" x14ac:dyDescent="0.25">
      <c r="J539" s="99"/>
    </row>
    <row r="540" spans="10:10" x14ac:dyDescent="0.25">
      <c r="J540" s="99"/>
    </row>
    <row r="541" spans="10:10" x14ac:dyDescent="0.25">
      <c r="J541" s="99"/>
    </row>
    <row r="542" spans="10:10" x14ac:dyDescent="0.25">
      <c r="J542" s="99"/>
    </row>
    <row r="543" spans="10:10" x14ac:dyDescent="0.25">
      <c r="J543" s="99"/>
    </row>
    <row r="544" spans="10:10" x14ac:dyDescent="0.25">
      <c r="J544" s="99"/>
    </row>
    <row r="545" spans="10:10" x14ac:dyDescent="0.25">
      <c r="J545" s="99"/>
    </row>
    <row r="546" spans="10:10" x14ac:dyDescent="0.25">
      <c r="J546" s="99"/>
    </row>
    <row r="547" spans="10:10" x14ac:dyDescent="0.25">
      <c r="J547" s="99"/>
    </row>
    <row r="548" spans="10:10" x14ac:dyDescent="0.25">
      <c r="J548" s="99"/>
    </row>
    <row r="549" spans="10:10" x14ac:dyDescent="0.25">
      <c r="J549" s="99"/>
    </row>
    <row r="550" spans="10:10" x14ac:dyDescent="0.25">
      <c r="J550" s="99"/>
    </row>
    <row r="551" spans="10:10" x14ac:dyDescent="0.25">
      <c r="J551" s="99"/>
    </row>
    <row r="552" spans="10:10" x14ac:dyDescent="0.25">
      <c r="J552" s="99"/>
    </row>
    <row r="553" spans="10:10" x14ac:dyDescent="0.25">
      <c r="J553" s="99"/>
    </row>
    <row r="554" spans="10:10" x14ac:dyDescent="0.25">
      <c r="J554" s="99"/>
    </row>
    <row r="555" spans="10:10" x14ac:dyDescent="0.25">
      <c r="J555" s="99"/>
    </row>
    <row r="556" spans="10:10" x14ac:dyDescent="0.25">
      <c r="J556" s="99"/>
    </row>
    <row r="557" spans="10:10" x14ac:dyDescent="0.25">
      <c r="J557" s="99"/>
    </row>
    <row r="558" spans="10:10" x14ac:dyDescent="0.25">
      <c r="J558" s="99"/>
    </row>
    <row r="559" spans="10:10" x14ac:dyDescent="0.25">
      <c r="J559" s="99"/>
    </row>
    <row r="560" spans="10:10" x14ac:dyDescent="0.25">
      <c r="J560" s="99"/>
    </row>
    <row r="561" spans="10:10" x14ac:dyDescent="0.25">
      <c r="J561" s="99"/>
    </row>
    <row r="562" spans="10:10" x14ac:dyDescent="0.25">
      <c r="J562" s="99"/>
    </row>
    <row r="563" spans="10:10" x14ac:dyDescent="0.25">
      <c r="J563" s="99"/>
    </row>
    <row r="564" spans="10:10" x14ac:dyDescent="0.25">
      <c r="J564" s="99"/>
    </row>
    <row r="565" spans="10:10" x14ac:dyDescent="0.25">
      <c r="J565" s="99"/>
    </row>
    <row r="566" spans="10:10" x14ac:dyDescent="0.25">
      <c r="J566" s="99"/>
    </row>
    <row r="567" spans="10:10" x14ac:dyDescent="0.25">
      <c r="J567" s="99"/>
    </row>
    <row r="568" spans="10:10" x14ac:dyDescent="0.25">
      <c r="J568" s="99"/>
    </row>
    <row r="569" spans="10:10" x14ac:dyDescent="0.25">
      <c r="J569" s="99"/>
    </row>
    <row r="570" spans="10:10" x14ac:dyDescent="0.25">
      <c r="J570" s="99"/>
    </row>
    <row r="571" spans="10:10" x14ac:dyDescent="0.25">
      <c r="J571" s="99"/>
    </row>
    <row r="572" spans="10:10" x14ac:dyDescent="0.25">
      <c r="J572" s="99"/>
    </row>
    <row r="573" spans="10:10" x14ac:dyDescent="0.25">
      <c r="J573" s="99"/>
    </row>
    <row r="574" spans="10:10" x14ac:dyDescent="0.25">
      <c r="J574" s="99"/>
    </row>
    <row r="575" spans="10:10" x14ac:dyDescent="0.25">
      <c r="J575" s="99"/>
    </row>
    <row r="576" spans="10:10" x14ac:dyDescent="0.25">
      <c r="J576" s="99"/>
    </row>
    <row r="577" spans="10:10" x14ac:dyDescent="0.25">
      <c r="J577" s="99"/>
    </row>
    <row r="578" spans="10:10" x14ac:dyDescent="0.25">
      <c r="J578" s="99"/>
    </row>
    <row r="579" spans="10:10" x14ac:dyDescent="0.25">
      <c r="J579" s="99"/>
    </row>
    <row r="580" spans="10:10" x14ac:dyDescent="0.25">
      <c r="J580" s="99"/>
    </row>
    <row r="581" spans="10:10" x14ac:dyDescent="0.25">
      <c r="J581" s="99"/>
    </row>
    <row r="582" spans="10:10" x14ac:dyDescent="0.25">
      <c r="J582" s="99"/>
    </row>
    <row r="583" spans="10:10" x14ac:dyDescent="0.25">
      <c r="J583" s="99"/>
    </row>
    <row r="584" spans="10:10" x14ac:dyDescent="0.25">
      <c r="J584" s="99"/>
    </row>
    <row r="585" spans="10:10" x14ac:dyDescent="0.25">
      <c r="J585" s="99"/>
    </row>
    <row r="586" spans="10:10" x14ac:dyDescent="0.25">
      <c r="J586" s="99"/>
    </row>
    <row r="587" spans="10:10" x14ac:dyDescent="0.25">
      <c r="J587" s="99"/>
    </row>
    <row r="588" spans="10:10" x14ac:dyDescent="0.25">
      <c r="J588" s="99"/>
    </row>
    <row r="589" spans="10:10" x14ac:dyDescent="0.25">
      <c r="J589" s="99"/>
    </row>
    <row r="590" spans="10:10" x14ac:dyDescent="0.25">
      <c r="J590" s="99"/>
    </row>
    <row r="591" spans="10:10" x14ac:dyDescent="0.25">
      <c r="J591" s="99"/>
    </row>
    <row r="592" spans="10:10" x14ac:dyDescent="0.25">
      <c r="J592" s="99"/>
    </row>
    <row r="593" spans="10:10" x14ac:dyDescent="0.25">
      <c r="J593" s="99"/>
    </row>
    <row r="594" spans="10:10" x14ac:dyDescent="0.25">
      <c r="J594" s="99"/>
    </row>
    <row r="595" spans="10:10" x14ac:dyDescent="0.25">
      <c r="J595" s="99"/>
    </row>
    <row r="596" spans="10:10" x14ac:dyDescent="0.25">
      <c r="J596" s="99"/>
    </row>
    <row r="597" spans="10:10" x14ac:dyDescent="0.25">
      <c r="J597" s="99"/>
    </row>
    <row r="598" spans="10:10" x14ac:dyDescent="0.25">
      <c r="J598" s="99"/>
    </row>
    <row r="599" spans="10:10" x14ac:dyDescent="0.25">
      <c r="J599" s="99"/>
    </row>
    <row r="600" spans="10:10" x14ac:dyDescent="0.25">
      <c r="J600" s="99"/>
    </row>
    <row r="601" spans="10:10" x14ac:dyDescent="0.25">
      <c r="J601" s="99"/>
    </row>
    <row r="602" spans="10:10" x14ac:dyDescent="0.25">
      <c r="J602" s="99"/>
    </row>
    <row r="603" spans="10:10" x14ac:dyDescent="0.25">
      <c r="J603" s="99"/>
    </row>
    <row r="604" spans="10:10" x14ac:dyDescent="0.25">
      <c r="J604" s="99"/>
    </row>
    <row r="605" spans="10:10" x14ac:dyDescent="0.25">
      <c r="J605" s="99"/>
    </row>
    <row r="606" spans="10:10" x14ac:dyDescent="0.25">
      <c r="J606" s="99"/>
    </row>
    <row r="607" spans="10:10" x14ac:dyDescent="0.25">
      <c r="J607" s="99"/>
    </row>
    <row r="608" spans="10:10" x14ac:dyDescent="0.25">
      <c r="J608" s="99"/>
    </row>
    <row r="609" spans="10:10" x14ac:dyDescent="0.25">
      <c r="J609" s="99"/>
    </row>
    <row r="610" spans="10:10" x14ac:dyDescent="0.25">
      <c r="J610" s="99"/>
    </row>
    <row r="611" spans="10:10" x14ac:dyDescent="0.25">
      <c r="J611" s="99"/>
    </row>
    <row r="612" spans="10:10" x14ac:dyDescent="0.25">
      <c r="J612" s="99"/>
    </row>
    <row r="613" spans="10:10" x14ac:dyDescent="0.25">
      <c r="J613" s="99"/>
    </row>
    <row r="614" spans="10:10" x14ac:dyDescent="0.25">
      <c r="J614" s="99"/>
    </row>
    <row r="615" spans="10:10" x14ac:dyDescent="0.25">
      <c r="J615" s="99"/>
    </row>
    <row r="616" spans="10:10" x14ac:dyDescent="0.25">
      <c r="J616" s="99"/>
    </row>
    <row r="617" spans="10:10" x14ac:dyDescent="0.25">
      <c r="J617" s="99"/>
    </row>
    <row r="618" spans="10:10" x14ac:dyDescent="0.25">
      <c r="J618" s="99"/>
    </row>
    <row r="619" spans="10:10" x14ac:dyDescent="0.25">
      <c r="J619" s="99"/>
    </row>
    <row r="620" spans="10:10" x14ac:dyDescent="0.25">
      <c r="J620" s="99"/>
    </row>
    <row r="621" spans="10:10" x14ac:dyDescent="0.25">
      <c r="J621" s="99"/>
    </row>
    <row r="622" spans="10:10" x14ac:dyDescent="0.25">
      <c r="J622" s="99"/>
    </row>
    <row r="623" spans="10:10" x14ac:dyDescent="0.25">
      <c r="J623" s="99"/>
    </row>
    <row r="624" spans="10:10" x14ac:dyDescent="0.25">
      <c r="J624" s="99"/>
    </row>
    <row r="625" spans="10:10" x14ac:dyDescent="0.25">
      <c r="J625" s="99"/>
    </row>
    <row r="626" spans="10:10" x14ac:dyDescent="0.25">
      <c r="J626" s="99"/>
    </row>
    <row r="627" spans="10:10" x14ac:dyDescent="0.25">
      <c r="J627" s="99"/>
    </row>
    <row r="628" spans="10:10" x14ac:dyDescent="0.25">
      <c r="J628" s="99"/>
    </row>
    <row r="629" spans="10:10" x14ac:dyDescent="0.25">
      <c r="J629" s="99"/>
    </row>
    <row r="630" spans="10:10" x14ac:dyDescent="0.25">
      <c r="J630" s="99"/>
    </row>
    <row r="631" spans="10:10" x14ac:dyDescent="0.25">
      <c r="J631" s="99"/>
    </row>
    <row r="632" spans="10:10" x14ac:dyDescent="0.25">
      <c r="J632" s="99"/>
    </row>
    <row r="633" spans="10:10" x14ac:dyDescent="0.25">
      <c r="J633" s="99"/>
    </row>
    <row r="634" spans="10:10" x14ac:dyDescent="0.25">
      <c r="J634" s="99"/>
    </row>
    <row r="635" spans="10:10" x14ac:dyDescent="0.25">
      <c r="J635" s="99"/>
    </row>
    <row r="636" spans="10:10" x14ac:dyDescent="0.25">
      <c r="J636" s="99"/>
    </row>
    <row r="637" spans="10:10" x14ac:dyDescent="0.25">
      <c r="J637" s="99"/>
    </row>
    <row r="638" spans="10:10" x14ac:dyDescent="0.25">
      <c r="J638" s="99"/>
    </row>
    <row r="639" spans="10:10" x14ac:dyDescent="0.25">
      <c r="J639" s="99"/>
    </row>
    <row r="640" spans="10:10" x14ac:dyDescent="0.25">
      <c r="J640" s="99"/>
    </row>
    <row r="641" spans="10:10" x14ac:dyDescent="0.25">
      <c r="J641" s="99"/>
    </row>
    <row r="642" spans="10:10" x14ac:dyDescent="0.25">
      <c r="J642" s="99"/>
    </row>
    <row r="643" spans="10:10" x14ac:dyDescent="0.25">
      <c r="J643" s="99"/>
    </row>
    <row r="644" spans="10:10" x14ac:dyDescent="0.25">
      <c r="J644" s="99"/>
    </row>
    <row r="645" spans="10:10" x14ac:dyDescent="0.25">
      <c r="J645" s="99"/>
    </row>
    <row r="646" spans="10:10" x14ac:dyDescent="0.25">
      <c r="J646" s="99"/>
    </row>
    <row r="647" spans="10:10" x14ac:dyDescent="0.25">
      <c r="J647" s="99"/>
    </row>
    <row r="648" spans="10:10" x14ac:dyDescent="0.25">
      <c r="J648" s="99"/>
    </row>
    <row r="649" spans="10:10" x14ac:dyDescent="0.25">
      <c r="J649" s="99"/>
    </row>
    <row r="650" spans="10:10" x14ac:dyDescent="0.25">
      <c r="J650" s="99"/>
    </row>
    <row r="651" spans="10:10" x14ac:dyDescent="0.25">
      <c r="J651" s="99"/>
    </row>
    <row r="652" spans="10:10" x14ac:dyDescent="0.25">
      <c r="J652" s="99"/>
    </row>
    <row r="653" spans="10:10" x14ac:dyDescent="0.25">
      <c r="J653" s="99"/>
    </row>
    <row r="654" spans="10:10" x14ac:dyDescent="0.25">
      <c r="J654" s="99"/>
    </row>
    <row r="655" spans="10:10" x14ac:dyDescent="0.25">
      <c r="J655" s="99"/>
    </row>
    <row r="656" spans="10:10" x14ac:dyDescent="0.25">
      <c r="J656" s="99"/>
    </row>
    <row r="657" spans="10:10" x14ac:dyDescent="0.25">
      <c r="J657" s="99"/>
    </row>
    <row r="658" spans="10:10" x14ac:dyDescent="0.25">
      <c r="J658" s="99"/>
    </row>
    <row r="659" spans="10:10" x14ac:dyDescent="0.25">
      <c r="J659" s="99"/>
    </row>
    <row r="660" spans="10:10" x14ac:dyDescent="0.25">
      <c r="J660" s="99"/>
    </row>
    <row r="661" spans="10:10" x14ac:dyDescent="0.25">
      <c r="J661" s="99"/>
    </row>
    <row r="662" spans="10:10" x14ac:dyDescent="0.25">
      <c r="J662" s="99"/>
    </row>
    <row r="663" spans="10:10" x14ac:dyDescent="0.25">
      <c r="J663" s="99"/>
    </row>
    <row r="664" spans="10:10" x14ac:dyDescent="0.25">
      <c r="J664" s="99"/>
    </row>
    <row r="665" spans="10:10" x14ac:dyDescent="0.25">
      <c r="J665" s="99"/>
    </row>
    <row r="666" spans="10:10" x14ac:dyDescent="0.25">
      <c r="J666" s="99"/>
    </row>
    <row r="667" spans="10:10" x14ac:dyDescent="0.25">
      <c r="J667" s="99"/>
    </row>
    <row r="668" spans="10:10" x14ac:dyDescent="0.25">
      <c r="J668" s="99"/>
    </row>
    <row r="669" spans="10:10" x14ac:dyDescent="0.25">
      <c r="J669" s="99"/>
    </row>
    <row r="670" spans="10:10" x14ac:dyDescent="0.25">
      <c r="J670" s="99"/>
    </row>
    <row r="671" spans="10:10" x14ac:dyDescent="0.25">
      <c r="J671" s="99"/>
    </row>
    <row r="672" spans="10:10" x14ac:dyDescent="0.25">
      <c r="J672" s="99"/>
    </row>
    <row r="673" spans="10:10" x14ac:dyDescent="0.25">
      <c r="J673" s="99"/>
    </row>
    <row r="674" spans="10:10" x14ac:dyDescent="0.25">
      <c r="J674" s="99"/>
    </row>
    <row r="675" spans="10:10" x14ac:dyDescent="0.25">
      <c r="J675" s="99"/>
    </row>
    <row r="676" spans="10:10" x14ac:dyDescent="0.25">
      <c r="J676" s="99"/>
    </row>
    <row r="677" spans="10:10" x14ac:dyDescent="0.25">
      <c r="J677" s="99"/>
    </row>
    <row r="678" spans="10:10" x14ac:dyDescent="0.25">
      <c r="J678" s="99"/>
    </row>
    <row r="679" spans="10:10" x14ac:dyDescent="0.25">
      <c r="J679" s="99"/>
    </row>
    <row r="680" spans="10:10" x14ac:dyDescent="0.25">
      <c r="J680" s="99"/>
    </row>
    <row r="681" spans="10:10" x14ac:dyDescent="0.25">
      <c r="J681" s="99"/>
    </row>
    <row r="682" spans="10:10" x14ac:dyDescent="0.25">
      <c r="J682" s="99"/>
    </row>
    <row r="683" spans="10:10" x14ac:dyDescent="0.25">
      <c r="J683" s="99"/>
    </row>
    <row r="684" spans="10:10" x14ac:dyDescent="0.25">
      <c r="J684" s="99"/>
    </row>
    <row r="685" spans="10:10" x14ac:dyDescent="0.25">
      <c r="J685" s="99"/>
    </row>
    <row r="686" spans="10:10" x14ac:dyDescent="0.25">
      <c r="J686" s="99"/>
    </row>
    <row r="687" spans="10:10" x14ac:dyDescent="0.25">
      <c r="J687" s="99"/>
    </row>
    <row r="688" spans="10:10" x14ac:dyDescent="0.25">
      <c r="J688" s="99"/>
    </row>
    <row r="689" spans="10:10" x14ac:dyDescent="0.25">
      <c r="J689" s="99"/>
    </row>
    <row r="690" spans="10:10" x14ac:dyDescent="0.25">
      <c r="J690" s="99"/>
    </row>
    <row r="691" spans="10:10" x14ac:dyDescent="0.25">
      <c r="J691" s="99"/>
    </row>
    <row r="692" spans="10:10" x14ac:dyDescent="0.25">
      <c r="J692" s="99"/>
    </row>
    <row r="693" spans="10:10" x14ac:dyDescent="0.25">
      <c r="J693" s="99"/>
    </row>
    <row r="694" spans="10:10" x14ac:dyDescent="0.25">
      <c r="J694" s="99"/>
    </row>
    <row r="695" spans="10:10" x14ac:dyDescent="0.25">
      <c r="J695" s="99"/>
    </row>
    <row r="696" spans="10:10" x14ac:dyDescent="0.25">
      <c r="J696" s="99"/>
    </row>
    <row r="697" spans="10:10" x14ac:dyDescent="0.25">
      <c r="J697" s="99"/>
    </row>
    <row r="698" spans="10:10" x14ac:dyDescent="0.25">
      <c r="J698" s="99"/>
    </row>
    <row r="699" spans="10:10" x14ac:dyDescent="0.25">
      <c r="J699" s="99"/>
    </row>
    <row r="700" spans="10:10" x14ac:dyDescent="0.25">
      <c r="J700" s="99"/>
    </row>
    <row r="701" spans="10:10" x14ac:dyDescent="0.25">
      <c r="J701" s="99"/>
    </row>
    <row r="702" spans="10:10" x14ac:dyDescent="0.25">
      <c r="J702" s="99"/>
    </row>
    <row r="703" spans="10:10" x14ac:dyDescent="0.25">
      <c r="J703" s="99"/>
    </row>
    <row r="704" spans="10:10" x14ac:dyDescent="0.25">
      <c r="J704" s="99"/>
    </row>
    <row r="705" spans="10:10" x14ac:dyDescent="0.25">
      <c r="J705" s="99"/>
    </row>
    <row r="706" spans="10:10" x14ac:dyDescent="0.25">
      <c r="J706" s="99"/>
    </row>
    <row r="707" spans="10:10" x14ac:dyDescent="0.25">
      <c r="J707" s="99"/>
    </row>
    <row r="708" spans="10:10" x14ac:dyDescent="0.25">
      <c r="J708" s="99"/>
    </row>
    <row r="709" spans="10:10" x14ac:dyDescent="0.25">
      <c r="J709" s="99"/>
    </row>
    <row r="710" spans="10:10" x14ac:dyDescent="0.25">
      <c r="J710" s="99"/>
    </row>
    <row r="711" spans="10:10" x14ac:dyDescent="0.25">
      <c r="J711" s="99"/>
    </row>
    <row r="712" spans="10:10" x14ac:dyDescent="0.25">
      <c r="J712" s="99"/>
    </row>
    <row r="713" spans="10:10" x14ac:dyDescent="0.25">
      <c r="J713" s="99"/>
    </row>
    <row r="714" spans="10:10" x14ac:dyDescent="0.25">
      <c r="J714" s="99"/>
    </row>
    <row r="715" spans="10:10" x14ac:dyDescent="0.25">
      <c r="J715" s="99"/>
    </row>
    <row r="716" spans="10:10" x14ac:dyDescent="0.25">
      <c r="J716" s="99"/>
    </row>
    <row r="717" spans="10:10" x14ac:dyDescent="0.25">
      <c r="J717" s="99"/>
    </row>
    <row r="718" spans="10:10" x14ac:dyDescent="0.25">
      <c r="J718" s="99"/>
    </row>
    <row r="719" spans="10:10" x14ac:dyDescent="0.25">
      <c r="J719" s="99"/>
    </row>
    <row r="720" spans="10:10" x14ac:dyDescent="0.25">
      <c r="J720" s="99"/>
    </row>
    <row r="721" spans="10:10" x14ac:dyDescent="0.25">
      <c r="J721" s="99"/>
    </row>
    <row r="722" spans="10:10" x14ac:dyDescent="0.25">
      <c r="J722" s="99"/>
    </row>
    <row r="723" spans="10:10" x14ac:dyDescent="0.25">
      <c r="J723" s="99"/>
    </row>
    <row r="724" spans="10:10" x14ac:dyDescent="0.25">
      <c r="J724" s="99"/>
    </row>
    <row r="725" spans="10:10" x14ac:dyDescent="0.25">
      <c r="J725" s="99"/>
    </row>
    <row r="726" spans="10:10" x14ac:dyDescent="0.25">
      <c r="J726" s="99"/>
    </row>
    <row r="727" spans="10:10" x14ac:dyDescent="0.25">
      <c r="J727" s="99"/>
    </row>
    <row r="728" spans="10:10" x14ac:dyDescent="0.25">
      <c r="J728" s="99"/>
    </row>
    <row r="729" spans="10:10" x14ac:dyDescent="0.25">
      <c r="J729" s="99"/>
    </row>
    <row r="730" spans="10:10" x14ac:dyDescent="0.25">
      <c r="J730" s="99"/>
    </row>
    <row r="731" spans="10:10" x14ac:dyDescent="0.25">
      <c r="J731" s="99"/>
    </row>
    <row r="732" spans="10:10" x14ac:dyDescent="0.25">
      <c r="J732" s="99"/>
    </row>
    <row r="733" spans="10:10" x14ac:dyDescent="0.25">
      <c r="J733" s="99"/>
    </row>
    <row r="734" spans="10:10" x14ac:dyDescent="0.25">
      <c r="J734" s="99"/>
    </row>
    <row r="735" spans="10:10" x14ac:dyDescent="0.25">
      <c r="J735" s="99"/>
    </row>
    <row r="736" spans="10:10" x14ac:dyDescent="0.25">
      <c r="J736" s="99"/>
    </row>
    <row r="737" spans="10:10" x14ac:dyDescent="0.25">
      <c r="J737" s="99"/>
    </row>
    <row r="738" spans="10:10" x14ac:dyDescent="0.25">
      <c r="J738" s="99"/>
    </row>
    <row r="739" spans="10:10" x14ac:dyDescent="0.25">
      <c r="J739" s="99"/>
    </row>
    <row r="740" spans="10:10" x14ac:dyDescent="0.25">
      <c r="J740" s="99"/>
    </row>
    <row r="741" spans="10:10" x14ac:dyDescent="0.25">
      <c r="J741" s="99"/>
    </row>
    <row r="742" spans="10:10" x14ac:dyDescent="0.25">
      <c r="J742" s="99"/>
    </row>
    <row r="743" spans="10:10" x14ac:dyDescent="0.25">
      <c r="J743" s="99"/>
    </row>
    <row r="744" spans="10:10" x14ac:dyDescent="0.25">
      <c r="J744" s="99"/>
    </row>
    <row r="745" spans="10:10" x14ac:dyDescent="0.25">
      <c r="J745" s="99"/>
    </row>
    <row r="746" spans="10:10" x14ac:dyDescent="0.25">
      <c r="J746" s="99"/>
    </row>
    <row r="747" spans="10:10" x14ac:dyDescent="0.25">
      <c r="J747" s="99"/>
    </row>
    <row r="748" spans="10:10" x14ac:dyDescent="0.25">
      <c r="J748" s="99"/>
    </row>
    <row r="749" spans="10:10" x14ac:dyDescent="0.25">
      <c r="J749" s="99"/>
    </row>
    <row r="750" spans="10:10" x14ac:dyDescent="0.25">
      <c r="J750" s="99"/>
    </row>
    <row r="751" spans="10:10" x14ac:dyDescent="0.25">
      <c r="J751" s="99"/>
    </row>
    <row r="752" spans="10:10" x14ac:dyDescent="0.25">
      <c r="J752" s="99"/>
    </row>
    <row r="753" spans="10:10" x14ac:dyDescent="0.25">
      <c r="J753" s="99"/>
    </row>
    <row r="754" spans="10:10" x14ac:dyDescent="0.25">
      <c r="J754" s="99"/>
    </row>
    <row r="755" spans="10:10" x14ac:dyDescent="0.25">
      <c r="J755" s="99"/>
    </row>
    <row r="756" spans="10:10" x14ac:dyDescent="0.25">
      <c r="J756" s="99"/>
    </row>
    <row r="757" spans="10:10" x14ac:dyDescent="0.25">
      <c r="J757" s="99"/>
    </row>
    <row r="758" spans="10:10" x14ac:dyDescent="0.25">
      <c r="J758" s="99"/>
    </row>
    <row r="759" spans="10:10" x14ac:dyDescent="0.25">
      <c r="J759" s="99"/>
    </row>
    <row r="760" spans="10:10" x14ac:dyDescent="0.25">
      <c r="J760" s="99"/>
    </row>
    <row r="761" spans="10:10" x14ac:dyDescent="0.25">
      <c r="J761" s="99"/>
    </row>
    <row r="762" spans="10:10" x14ac:dyDescent="0.25">
      <c r="J762" s="99"/>
    </row>
    <row r="763" spans="10:10" x14ac:dyDescent="0.25">
      <c r="J763" s="99"/>
    </row>
    <row r="1048576" spans="2:2" x14ac:dyDescent="0.25">
      <c r="B1048576" t="s">
        <v>32</v>
      </c>
    </row>
  </sheetData>
  <autoFilter ref="A2:AI300" xr:uid="{00000000-0009-0000-0000-000001000000}">
    <sortState xmlns:xlrd2="http://schemas.microsoft.com/office/spreadsheetml/2017/richdata2" ref="A5:AI300">
      <sortCondition ref="F2:F300"/>
    </sortState>
  </autoFilter>
  <sortState xmlns:xlrd2="http://schemas.microsoft.com/office/spreadsheetml/2017/richdata2" ref="A5:V300">
    <sortCondition ref="J4:J300"/>
  </sortState>
  <mergeCells count="23">
    <mergeCell ref="A1:J1"/>
    <mergeCell ref="J2:J3"/>
    <mergeCell ref="U2:U3"/>
    <mergeCell ref="P2:P3"/>
    <mergeCell ref="Q2:Q3"/>
    <mergeCell ref="R2:R3"/>
    <mergeCell ref="S2:S3"/>
    <mergeCell ref="T2:T3"/>
    <mergeCell ref="X1:AI1"/>
    <mergeCell ref="A2:A3"/>
    <mergeCell ref="B2:B3"/>
    <mergeCell ref="C2:C3"/>
    <mergeCell ref="D2:D3"/>
    <mergeCell ref="E2:E3"/>
    <mergeCell ref="F2:F3"/>
    <mergeCell ref="G2:G3"/>
    <mergeCell ref="H2:H3"/>
    <mergeCell ref="I2:I3"/>
    <mergeCell ref="K2:K3"/>
    <mergeCell ref="L2:L3"/>
    <mergeCell ref="M2:M3"/>
    <mergeCell ref="N2:N3"/>
    <mergeCell ref="O2:O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00"/>
  <sheetViews>
    <sheetView zoomScaleNormal="100" workbookViewId="0">
      <pane xSplit="1" topLeftCell="B1" activePane="topRight" state="frozen"/>
      <selection pane="topRight" activeCell="R2" sqref="R1:R1048576"/>
    </sheetView>
  </sheetViews>
  <sheetFormatPr defaultColWidth="8.7109375" defaultRowHeight="15" x14ac:dyDescent="0.25"/>
  <cols>
    <col min="1" max="1" width="23.140625" customWidth="1"/>
    <col min="2" max="2" width="54.85546875" style="11"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1" width="17" customWidth="1"/>
    <col min="12" max="12" width="12" customWidth="1"/>
    <col min="13" max="14" width="17.140625" customWidth="1"/>
    <col min="15" max="15" width="15.140625" customWidth="1"/>
    <col min="16" max="18" width="17.140625" customWidth="1"/>
    <col min="19" max="19" width="14" customWidth="1"/>
    <col min="20" max="20" width="14.140625" customWidth="1"/>
    <col min="21" max="21" width="12.42578125" customWidth="1"/>
    <col min="22" max="22" width="15.28515625" customWidth="1"/>
    <col min="23" max="23" width="11.42578125" customWidth="1"/>
    <col min="24" max="24" width="22.140625" customWidth="1"/>
    <col min="25" max="25" width="14.85546875" customWidth="1"/>
    <col min="26" max="26" width="10.7109375" customWidth="1"/>
    <col min="27" max="27" width="15.140625" customWidth="1"/>
    <col min="28" max="28" width="14.42578125" customWidth="1"/>
    <col min="29" max="29" width="13.7109375" customWidth="1"/>
    <col min="30" max="30" width="16.7109375" customWidth="1"/>
    <col min="31" max="31" width="11.42578125" customWidth="1"/>
  </cols>
  <sheetData>
    <row r="1" spans="1:31" x14ac:dyDescent="0.25">
      <c r="A1" s="90" t="s">
        <v>33</v>
      </c>
      <c r="B1" s="91"/>
      <c r="C1" s="77"/>
      <c r="D1" s="19" t="s">
        <v>34</v>
      </c>
      <c r="E1" s="92" t="s">
        <v>35</v>
      </c>
      <c r="F1" s="77"/>
      <c r="G1" s="77"/>
      <c r="H1" s="77"/>
      <c r="I1" s="93" t="s">
        <v>36</v>
      </c>
      <c r="J1" s="77"/>
      <c r="K1" s="77"/>
      <c r="L1" s="77"/>
      <c r="M1" s="94" t="s">
        <v>37</v>
      </c>
      <c r="N1" s="77"/>
      <c r="O1" s="77"/>
      <c r="P1" s="77"/>
      <c r="Q1" s="77"/>
      <c r="R1" s="77"/>
      <c r="S1" s="77"/>
      <c r="T1" s="95" t="s">
        <v>38</v>
      </c>
      <c r="U1" s="77"/>
      <c r="V1" s="77"/>
      <c r="W1" s="77"/>
      <c r="X1" s="88" t="s">
        <v>39</v>
      </c>
      <c r="Y1" s="77"/>
      <c r="Z1" s="89" t="s">
        <v>40</v>
      </c>
      <c r="AA1" s="77"/>
      <c r="AB1" s="77"/>
    </row>
    <row r="2" spans="1:31" ht="45" x14ac:dyDescent="0.25">
      <c r="A2" s="1" t="s">
        <v>41</v>
      </c>
      <c r="B2" s="65" t="s">
        <v>42</v>
      </c>
      <c r="C2" s="20" t="s">
        <v>43</v>
      </c>
      <c r="D2" s="21" t="s">
        <v>44</v>
      </c>
      <c r="E2" s="22" t="s">
        <v>45</v>
      </c>
      <c r="F2" s="23" t="s">
        <v>46</v>
      </c>
      <c r="G2" s="23" t="s">
        <v>47</v>
      </c>
      <c r="H2" s="23" t="s">
        <v>48</v>
      </c>
      <c r="I2" s="24" t="s">
        <v>49</v>
      </c>
      <c r="J2" s="25" t="s">
        <v>50</v>
      </c>
      <c r="K2" s="25" t="s">
        <v>51</v>
      </c>
      <c r="L2" s="25" t="s">
        <v>52</v>
      </c>
      <c r="M2" s="26" t="s">
        <v>53</v>
      </c>
      <c r="N2" s="26" t="s">
        <v>54</v>
      </c>
      <c r="O2" s="27" t="s">
        <v>47</v>
      </c>
      <c r="P2" s="26" t="s">
        <v>55</v>
      </c>
      <c r="Q2" s="26" t="s">
        <v>51</v>
      </c>
      <c r="R2" s="28" t="s">
        <v>56</v>
      </c>
      <c r="S2" s="28" t="s">
        <v>57</v>
      </c>
      <c r="T2" s="29" t="s">
        <v>58</v>
      </c>
      <c r="U2" s="29" t="s">
        <v>59</v>
      </c>
      <c r="V2" s="30" t="s">
        <v>55</v>
      </c>
      <c r="W2" s="31" t="s">
        <v>56</v>
      </c>
      <c r="X2" s="32" t="s">
        <v>60</v>
      </c>
      <c r="Y2" s="32" t="s">
        <v>61</v>
      </c>
      <c r="Z2" s="33" t="s">
        <v>62</v>
      </c>
      <c r="AA2" s="34" t="s">
        <v>61</v>
      </c>
      <c r="AB2" s="34" t="s">
        <v>63</v>
      </c>
    </row>
    <row r="3" spans="1:31" x14ac:dyDescent="0.25">
      <c r="A3" s="35" t="str">
        <f>IF('CASE DATA'!A4="","z",'CASE DATA'!A4)</f>
        <v>z</v>
      </c>
      <c r="B3" s="66" t="str">
        <f>IF('CASE DATA'!A4="","",'CASE DATA'!E4)</f>
        <v/>
      </c>
      <c r="C3" s="36">
        <f>'CASE DATA'!D4</f>
        <v>0</v>
      </c>
      <c r="D3" s="37" t="str">
        <f>IF('CASE DATA'!I4="YES",SUM('CASE DATA'!K4:Q4),"n/a")</f>
        <v>n/a</v>
      </c>
      <c r="E3" s="38" t="str">
        <f>IF('CASE DATA'!G4="JUV", "YES", "NO")</f>
        <v>NO</v>
      </c>
      <c r="F3" s="38" t="str">
        <f t="array" ref="F3">IF(E3="YES",IF(SUM(COUNTIF('CASE DATA'!$G$4:$G$200, {"GTR","GPL","DEF","JUV"}))&gt;0, "YES","NO"),"N/A")</f>
        <v>N/A</v>
      </c>
      <c r="G3" s="38" t="str">
        <f>IF(E3="YES",IF(COUNTIF('CASE DATA'!$D$4:$D$200, "")-COUNTIF('CASE DATA'!$A$4:$A$200, "")&gt;0, "YES","NO"),"N/A")</f>
        <v>N/A</v>
      </c>
      <c r="H3" s="35" t="str">
        <f>_xlfn.IFS(E3="NO", "N/A", AND('BASIC INFO'!$B$3&gt;'BASIC INFO'!$B$6+6574.5, C3+730.5&lt;'BASIC INFO'!$B$3), "YES", 'BASIC INFO'!$B$3&lt;('BASIC INFO'!$B$6+6574.5), "NOT YET 18", C3+730.5&gt;'BASIC INFO'!$B$3, "NOT YET 2 YEARS")</f>
        <v>N/A</v>
      </c>
      <c r="I3" s="39" t="str">
        <f>IF(OR(AND(LEFT('CASE DATA'!F4,4)="321.",MID('CASE DATA'!A4,8,2)="SM"),MID('CASE DATA'!A4,8,2)="ST",MID('CASE DATA'!A4,8,2)="NT"),"TRAFFIC",IF(OR('CASE DATA'!G4="DISM", 'CASE DATA'!G4="ACQ", 'CASE DATA'!G4="NOTF", 'CASE DATA'!G4="WTHD", 'CASE DATA'!G4="TNSF"), "YES", "NO"))</f>
        <v>NO</v>
      </c>
      <c r="J3" s="40" t="str">
        <f>IF(I3="YES",'CASE DATA'!U4,"N/A")</f>
        <v>N/A</v>
      </c>
      <c r="K3" s="40" t="str">
        <f>IF(I3="YES",SOL!C4+SOL!D4,"N/A")</f>
        <v>N/A</v>
      </c>
      <c r="L3" s="35" t="str">
        <f>IF(I3="YES",IF(C3+180&lt;'BASIC INFO'!$B$3, "YES", "NO"),"N/A")</f>
        <v>N/A</v>
      </c>
      <c r="M3" s="40" t="str">
        <f t="array" ref="M3">IF(I3="TRAFFIC","n/a",IF(OR('CASE DATA'!G4="GTR", 'CASE DATA'!G4="GPL"),IF(SUM(COUNTIF('CASE DATA'!X4:AI4, 'CODE SECTIONS'!$V$2:$V$218&amp;"*"))&gt;0,"NO","YES"),"n/a"))</f>
        <v>n/a</v>
      </c>
      <c r="N3" s="40" t="str">
        <f t="array" ref="N3">IF(M3="YES",IF(OR((SUM(COUNTIF('CASE DATA'!X4:AI4,'CODE SECTIONS'!$X$2:$X$19&amp;"*"))&gt;0),LEFT('CASE DATA'!X4:AI4,4)="717C", LEFT('CASE DATA'!X4:AI4, 3)="719", LEFT('CASE DATA'!X4:AI4,3)="720", LEFT('CASE DATA'!X4:AI4,3)="724", LEFT('CASE DATA'!X4:AI4,3)="726", LEFT('CASE DATA'!X4:AI4,3)="728", LEFT('CASE DATA'!X4:AI4,4)="901A"), "ineligible misd","eligible"),"n/a")</f>
        <v>n/a</v>
      </c>
      <c r="O3" s="40" t="str">
        <f>IF(N3="eligible",IF(COUNTIF('CASE DATA'!$D$4:$D$200, "")-COUNTIF('CASE DATA'!$A$4:$A$200, "")&gt;0, "YES","NO"),"N/A")</f>
        <v>N/A</v>
      </c>
      <c r="P3" s="74" t="str">
        <f>IF(N3="eligible",BANKRUPTCY!C4+BANKRUPTCY!D4,"N/A")</f>
        <v>N/A</v>
      </c>
      <c r="Q3" s="40" t="str">
        <f>IF(N3="eligible",SOL!C4+SOL!D4,"N/A")</f>
        <v>N/A</v>
      </c>
      <c r="R3" s="40" t="str">
        <f>IF(N3="eligible",SUM('CASE DATA'!K4:T4),"N/A")</f>
        <v>N/A</v>
      </c>
      <c r="S3" s="40" t="str">
        <f>IF(N3="eligible",IF(C3+2920&lt;'BASIC INFO'!$B$3, "YES", "NO"),"N/A")</f>
        <v>N/A</v>
      </c>
      <c r="T3" s="39" t="str">
        <f>IF(OR('CASE DATA'!G4="DEF"), "YES", "NO")</f>
        <v>NO</v>
      </c>
      <c r="U3" s="35" t="str">
        <f>IF(T3="YES",'CASE DATA'!I4,"N/A")</f>
        <v>N/A</v>
      </c>
      <c r="V3" s="40" t="str">
        <f>IF(T3="YES",BANKRUPTCY!C4+BANKRUPTCY!D4,"N/A")</f>
        <v>N/A</v>
      </c>
      <c r="W3" s="40" t="str">
        <f>IF(T3="YES",SUM('CASE DATA'!K4:T4),"N/A")</f>
        <v>N/A</v>
      </c>
      <c r="X3" s="35" t="str">
        <f>IF(OR('CASE DATA'!F4="123.46",'CASE DATA'!F4="123.47"),"YES","NO")</f>
        <v>NO</v>
      </c>
      <c r="Y3" s="40" t="str">
        <f>IF(X3="YES",IF(C3+730.5&lt;'BASIC INFO'!$B$3, "YES","NO"), "N/A")</f>
        <v>N/A</v>
      </c>
      <c r="Z3" s="35" t="str">
        <f>IF('CASE DATA'!F4="725.1","YES","NO")</f>
        <v>NO</v>
      </c>
      <c r="AA3" s="41" t="str">
        <f>IF(Z3="YES",IF(C3+730.5&lt;'BASIC INFO'!$B$3, "YES","NO"), "N/A")</f>
        <v>N/A</v>
      </c>
      <c r="AB3" t="str">
        <f>IF('BASIC INFO'!$B$6+6574.5&gt;C3, "YES", "NO")</f>
        <v>YES</v>
      </c>
    </row>
    <row r="4" spans="1:31" x14ac:dyDescent="0.25">
      <c r="A4" s="35" t="str">
        <f>IF('CASE DATA'!A5="","z",'CASE DATA'!A5)</f>
        <v>z</v>
      </c>
      <c r="B4" s="66" t="str">
        <f>IF('CASE DATA'!A5="","",'CASE DATA'!E5)</f>
        <v/>
      </c>
      <c r="C4" s="36">
        <f>'CASE DATA'!D5</f>
        <v>0</v>
      </c>
      <c r="D4" s="37" t="str">
        <f>IF('CASE DATA'!I5="YES",SUM('CASE DATA'!K5:Q5),"n/a")</f>
        <v>n/a</v>
      </c>
      <c r="E4" s="38" t="str">
        <f>IF('CASE DATA'!G5="JUV", "YES", "NO")</f>
        <v>NO</v>
      </c>
      <c r="F4" s="38" t="str">
        <f t="array" ref="F4">IF(E4="YES",IF(SUM(COUNTIF('CASE DATA'!$G$4:$G$200, {"GTR","GPL","DEF","JUV"}))&gt;0, "YES","NO"),"N/A")</f>
        <v>N/A</v>
      </c>
      <c r="G4" s="38" t="str">
        <f>IF(E4="YES",IF(COUNTIF('CASE DATA'!$D$4:$D$200, "")-COUNTIF('CASE DATA'!$A$4:$A$200, "")&gt;0, "YES","NO"),"N/A")</f>
        <v>N/A</v>
      </c>
      <c r="H4" s="35" t="str">
        <f>_xlfn.IFS(E4="NO", "N/A", AND('BASIC INFO'!$B$3&gt;'BASIC INFO'!$B$6+6574.5, C4+730.5&lt;'BASIC INFO'!$B$3), "YES", 'BASIC INFO'!$B$3&lt;('BASIC INFO'!$B$6+6574.5), "NOT YET 18", C4+730.5&gt;'BASIC INFO'!$B$3, "NOT YET 2 YEARS")</f>
        <v>N/A</v>
      </c>
      <c r="I4" s="39" t="str">
        <f>IF(OR(AND(LEFT('CASE DATA'!F5,4)="321.",MID('CASE DATA'!A5,8,2)="SM"),MID('CASE DATA'!A5,8,2)="ST",MID('CASE DATA'!A5,8,2)="NT"),"TRAFFIC",IF(OR('CASE DATA'!G5="DISM", 'CASE DATA'!G5="ACQ", 'CASE DATA'!G5="NOTF", 'CASE DATA'!G5="WTHD", 'CASE DATA'!G5="TNSF"), "YES", "NO"))</f>
        <v>NO</v>
      </c>
      <c r="J4" s="40" t="str">
        <f>IF(I4="YES",'CASE DATA'!U5,"N/A")</f>
        <v>N/A</v>
      </c>
      <c r="K4" s="40" t="str">
        <f>IF(I4="YES",SOL!C5+SOL!D5,"N/A")</f>
        <v>N/A</v>
      </c>
      <c r="L4" s="35" t="str">
        <f>IF(I4="YES",IF(C4+180&lt;'BASIC INFO'!$B$3, "YES", "NO"),"N/A")</f>
        <v>N/A</v>
      </c>
      <c r="M4" s="40" t="str">
        <f t="array" ref="M4">IF(I4="TRAFFIC","n/a",IF(OR('CASE DATA'!G5="GTR", 'CASE DATA'!G5="GPL"),IF(SUM(COUNTIF('CASE DATA'!X5:AI5, 'CODE SECTIONS'!$V$2:$V$218&amp;"*"))&gt;0,"NO","YES"),"n/a"))</f>
        <v>n/a</v>
      </c>
      <c r="N4" s="40" t="str">
        <f t="array" ref="N4">IF(M4="YES",IF(OR((SUM(COUNTIF('CASE DATA'!X5:AI5,'CODE SECTIONS'!$X$2:$X$19&amp;"*"))&gt;0),LEFT('CASE DATA'!X5:AI5,4)="717C", LEFT('CASE DATA'!X5:AI5, 3)="719", LEFT('CASE DATA'!X5:AI5,3)="720", LEFT('CASE DATA'!X5:AI5,3)="724", LEFT('CASE DATA'!X5:AI5,3)="726", LEFT('CASE DATA'!X5:AI5,3)="728", LEFT('CASE DATA'!X5:AI5,4)="901A"), "ineligible misd","eligible"),"n/a")</f>
        <v>n/a</v>
      </c>
      <c r="O4" s="40" t="str">
        <f>IF(N4="eligible",IF(COUNTIF('CASE DATA'!$D$4:$D$200, "")-COUNTIF('CASE DATA'!$A$4:$A$200, "")&gt;0, "YES","NO"),"N/A")</f>
        <v>N/A</v>
      </c>
      <c r="P4" s="74" t="str">
        <f>IF(N4="eligible",BANKRUPTCY!C5+BANKRUPTCY!D5,"N/A")</f>
        <v>N/A</v>
      </c>
      <c r="Q4" s="74" t="str">
        <f>IF(N4="eligible",SOL!C5+SOL!D5,"N/A")</f>
        <v>N/A</v>
      </c>
      <c r="R4" s="40" t="str">
        <f>IF(N4="eligible",SUM('CASE DATA'!K5:T5),"N/A")</f>
        <v>N/A</v>
      </c>
      <c r="S4" s="40" t="str">
        <f>IF(N4="eligible",IF(C4+2920&lt;'BASIC INFO'!$B$3, "YES", "NO"),"N/A")</f>
        <v>N/A</v>
      </c>
      <c r="T4" s="39" t="str">
        <f>IF(OR('CASE DATA'!G5="DEF"), "YES", "NO")</f>
        <v>NO</v>
      </c>
      <c r="U4" s="35" t="str">
        <f>IF(T4="YES",'CASE DATA'!I5,"N/A")</f>
        <v>N/A</v>
      </c>
      <c r="V4" s="40" t="str">
        <f>IF(T4="YES",BANKRUPTCY!C5+BANKRUPTCY!D5,"N/A")</f>
        <v>N/A</v>
      </c>
      <c r="W4" s="40" t="str">
        <f>IF(T4="YES",SUM('CASE DATA'!K5:T5),"N/A")</f>
        <v>N/A</v>
      </c>
      <c r="X4" s="35" t="str">
        <f>IF(OR('CASE DATA'!F5="123.46",'CASE DATA'!F5="123.47"),"YES","NO")</f>
        <v>NO</v>
      </c>
      <c r="Y4" s="40" t="str">
        <f>IF(X4="YES",IF(C4+730.5&lt;'BASIC INFO'!$B$3, "YES","NO"), "N/A")</f>
        <v>N/A</v>
      </c>
      <c r="Z4" s="35" t="str">
        <f>IF('CASE DATA'!F5="725.1","YES","NO")</f>
        <v>NO</v>
      </c>
      <c r="AA4" s="35" t="str">
        <f>IF(Z4="YES",IF(C4+730.5&lt;'BASIC INFO'!$B$3, "YES","NO"), "N/A")</f>
        <v>N/A</v>
      </c>
      <c r="AB4" s="35" t="str">
        <f>IF('BASIC INFO'!$B$6+6574.5&gt;C4, "YES", "NO")</f>
        <v>YES</v>
      </c>
    </row>
    <row r="5" spans="1:31" x14ac:dyDescent="0.25">
      <c r="A5" s="35" t="str">
        <f>IF('CASE DATA'!A6="","z",'CASE DATA'!A6)</f>
        <v>z</v>
      </c>
      <c r="B5" s="66" t="str">
        <f>IF('CASE DATA'!A6="","",'CASE DATA'!E6)</f>
        <v/>
      </c>
      <c r="C5" s="36">
        <f>'CASE DATA'!D6</f>
        <v>0</v>
      </c>
      <c r="D5" s="37" t="str">
        <f>IF('CASE DATA'!I6="YES",SUM('CASE DATA'!K6:Q6),"n/a")</f>
        <v>n/a</v>
      </c>
      <c r="E5" s="38" t="str">
        <f>IF('CASE DATA'!G6="JUV", "YES", "NO")</f>
        <v>NO</v>
      </c>
      <c r="F5" s="38" t="str">
        <f t="array" ref="F5">IF(E5="YES",IF(SUM(COUNTIF('CASE DATA'!$G$4:$G$200, {"GTR","GPL","DEF","JUV"}))&gt;0, "YES","NO"),"N/A")</f>
        <v>N/A</v>
      </c>
      <c r="G5" s="38" t="str">
        <f>IF(E5="YES",IF(COUNTIF('CASE DATA'!$D$4:$D$200, "")-COUNTIF('CASE DATA'!$A$4:$A$200, "")&gt;0, "YES","NO"),"N/A")</f>
        <v>N/A</v>
      </c>
      <c r="H5" s="35" t="str">
        <f>_xlfn.IFS(E5="NO", "N/A", AND('BASIC INFO'!$B$3&gt;'BASIC INFO'!$B$6+6574.5, C5+730.5&lt;'BASIC INFO'!$B$3), "YES", 'BASIC INFO'!$B$3&lt;('BASIC INFO'!$B$6+6574.5), "NOT YET 18", C5+730.5&gt;'BASIC INFO'!$B$3, "NOT YET 2 YEARS")</f>
        <v>N/A</v>
      </c>
      <c r="I5" s="39" t="str">
        <f>IF(OR(AND(LEFT('CASE DATA'!F6,4)="321.",MID('CASE DATA'!A6,8,2)="SM"),MID('CASE DATA'!A6,8,2)="ST",MID('CASE DATA'!A6,8,2)="NT"),"TRAFFIC",IF(OR('CASE DATA'!G6="DISM", 'CASE DATA'!G6="ACQ", 'CASE DATA'!G6="NOTF", 'CASE DATA'!G6="WTHD", 'CASE DATA'!G6="TNSF"), "YES", "NO"))</f>
        <v>NO</v>
      </c>
      <c r="J5" s="40" t="str">
        <f>IF(I5="YES",'CASE DATA'!U6,"N/A")</f>
        <v>N/A</v>
      </c>
      <c r="K5" s="40" t="str">
        <f>IF(I5="YES",SOL!C6+SOL!D6,"N/A")</f>
        <v>N/A</v>
      </c>
      <c r="L5" s="35" t="str">
        <f>IF(I5="YES",IF(C5+180&lt;'BASIC INFO'!$B$3, "YES", "NO"),"N/A")</f>
        <v>N/A</v>
      </c>
      <c r="M5" s="40" t="str">
        <f t="array" ref="M5">IF(I5="TRAFFIC","n/a",IF(OR('CASE DATA'!G6="GTR", 'CASE DATA'!G6="GPL"),IF(SUM(COUNTIF('CASE DATA'!X6:AI6, 'CODE SECTIONS'!$V$2:$V$218&amp;"*"))&gt;0,"NO","YES"),"n/a"))</f>
        <v>n/a</v>
      </c>
      <c r="N5" s="40" t="str">
        <f t="array" ref="N5">IF(M5="YES",IF(OR((SUM(COUNTIF('CASE DATA'!X6:AI6,'CODE SECTIONS'!$X$2:$X$19&amp;"*"))&gt;0),LEFT('CASE DATA'!X6:AI6,4)="717C", LEFT('CASE DATA'!X6:AI6, 3)="719", LEFT('CASE DATA'!X6:AI6,3)="720", LEFT('CASE DATA'!X6:AI6,3)="724", LEFT('CASE DATA'!X6:AI6,3)="726", LEFT('CASE DATA'!X6:AI6,3)="728", LEFT('CASE DATA'!X6:AI6,4)="901A"), "ineligible misd","eligible"),"n/a")</f>
        <v>n/a</v>
      </c>
      <c r="O5" s="40" t="str">
        <f>IF(N5="eligible",IF(COUNTIF('CASE DATA'!$D$4:$D$200, "")-COUNTIF('CASE DATA'!$A$4:$A$200, "")&gt;0, "YES","NO"),"N/A")</f>
        <v>N/A</v>
      </c>
      <c r="P5" s="40" t="str">
        <f>IF(N5="eligible",BANKRUPTCY!C6+BANKRUPTCY!D6,"N/A")</f>
        <v>N/A</v>
      </c>
      <c r="Q5" s="40" t="str">
        <f>IF(N5="eligible",SOL!C6+SOL!D6,"N/A")</f>
        <v>N/A</v>
      </c>
      <c r="R5" s="40" t="str">
        <f>IF(N5="eligible",SUM('CASE DATA'!K6:T6),"N/A")</f>
        <v>N/A</v>
      </c>
      <c r="S5" s="40" t="str">
        <f>IF(N5="eligible",IF(C5+2920&lt;'BASIC INFO'!$B$3, "YES", "NO"),"N/A")</f>
        <v>N/A</v>
      </c>
      <c r="T5" s="39" t="str">
        <f>IF(OR('CASE DATA'!G6="DEF"), "YES", "NO")</f>
        <v>NO</v>
      </c>
      <c r="U5" s="35" t="str">
        <f>IF(T5="YES",'CASE DATA'!I6,"N/A")</f>
        <v>N/A</v>
      </c>
      <c r="V5" s="40" t="str">
        <f>IF(T5="YES",BANKRUPTCY!C6+BANKRUPTCY!D6,"N/A")</f>
        <v>N/A</v>
      </c>
      <c r="W5" s="40" t="str">
        <f>IF(T5="YES",SUM('CASE DATA'!K6:T6),"N/A")</f>
        <v>N/A</v>
      </c>
      <c r="X5" s="35" t="str">
        <f>IF(OR('CASE DATA'!F6="123.46",'CASE DATA'!F6="123.47"),"YES","NO")</f>
        <v>NO</v>
      </c>
      <c r="Y5" s="40" t="str">
        <f>IF(X5="YES",IF(C5+730.5&lt;'BASIC INFO'!$B$3, "YES","NO"), "N/A")</f>
        <v>N/A</v>
      </c>
      <c r="Z5" s="35" t="str">
        <f>IF('CASE DATA'!F6="725.1","YES","NO")</f>
        <v>NO</v>
      </c>
      <c r="AA5" s="35" t="str">
        <f>IF(Z5="YES",IF(C5+730.5&lt;'BASIC INFO'!$B$3, "YES","NO"), "N/A")</f>
        <v>N/A</v>
      </c>
      <c r="AB5" s="35" t="str">
        <f>IF('BASIC INFO'!$B$6+6574.5&gt;C5, "YES", "NO")</f>
        <v>YES</v>
      </c>
    </row>
    <row r="6" spans="1:31" x14ac:dyDescent="0.25">
      <c r="A6" s="35" t="str">
        <f>IF('CASE DATA'!A7="","z",'CASE DATA'!A7)</f>
        <v>z</v>
      </c>
      <c r="B6" s="66" t="str">
        <f>IF('CASE DATA'!A7="","",'CASE DATA'!E7)</f>
        <v/>
      </c>
      <c r="C6" s="36">
        <f>'CASE DATA'!D7</f>
        <v>0</v>
      </c>
      <c r="D6" s="37" t="str">
        <f>IF('CASE DATA'!I7="YES",SUM('CASE DATA'!K7:Q7),"n/a")</f>
        <v>n/a</v>
      </c>
      <c r="E6" s="38" t="str">
        <f>IF('CASE DATA'!G7="JUV", "YES", "NO")</f>
        <v>NO</v>
      </c>
      <c r="F6" s="38" t="str">
        <f t="array" ref="F6">IF(E6="YES",IF(SUM(COUNTIF('CASE DATA'!$G$4:$G$200, {"GTR","GPL","DEF","JUV"}))&gt;0, "YES","NO"),"N/A")</f>
        <v>N/A</v>
      </c>
      <c r="G6" s="38" t="str">
        <f>IF(E6="YES",IF(COUNTIF('CASE DATA'!$D$4:$D$200, "")-COUNTIF('CASE DATA'!$A$4:$A$200, "")&gt;0, "YES","NO"),"N/A")</f>
        <v>N/A</v>
      </c>
      <c r="H6" s="35" t="str">
        <f>_xlfn.IFS(E6="NO", "N/A", AND('BASIC INFO'!$B$3&gt;'BASIC INFO'!$B$6+6574.5, C6+730.5&lt;'BASIC INFO'!$B$3), "YES", 'BASIC INFO'!$B$3&lt;('BASIC INFO'!$B$6+6574.5), "NOT YET 18", C6+730.5&gt;'BASIC INFO'!$B$3, "NOT YET 2 YEARS")</f>
        <v>N/A</v>
      </c>
      <c r="I6" s="39" t="str">
        <f>IF(OR(AND(LEFT('CASE DATA'!F7,4)="321.",MID('CASE DATA'!A7,8,2)="SM"),MID('CASE DATA'!A7,8,2)="ST",MID('CASE DATA'!A7,8,2)="NT"),"TRAFFIC",IF(OR('CASE DATA'!G7="DISM", 'CASE DATA'!G7="ACQ", 'CASE DATA'!G7="NOTF", 'CASE DATA'!G7="WTHD", 'CASE DATA'!G7="TNSF"), "YES", "NO"))</f>
        <v>NO</v>
      </c>
      <c r="J6" s="40" t="str">
        <f>IF(I6="YES",'CASE DATA'!U7,"N/A")</f>
        <v>N/A</v>
      </c>
      <c r="K6" s="40" t="str">
        <f>IF(I6="YES",SOL!C7+SOL!D7,"N/A")</f>
        <v>N/A</v>
      </c>
      <c r="L6" s="35" t="str">
        <f>IF(I6="YES",IF(C6+180&lt;'BASIC INFO'!$B$3, "YES", "NO"),"N/A")</f>
        <v>N/A</v>
      </c>
      <c r="M6" s="40" t="str">
        <f t="array" ref="M6">IF(I6="TRAFFIC","n/a",IF(OR('CASE DATA'!G7="GTR", 'CASE DATA'!G7="GPL"),IF(SUM(COUNTIF('CASE DATA'!X7:AI7, 'CODE SECTIONS'!$V$2:$V$218&amp;"*"))&gt;0,"NO","YES"),"n/a"))</f>
        <v>n/a</v>
      </c>
      <c r="N6" s="40" t="str">
        <f t="array" ref="N6">IF(M6="YES",IF(OR((SUM(COUNTIF('CASE DATA'!X7:AI7,'CODE SECTIONS'!$X$2:$X$19&amp;"*"))&gt;0),LEFT('CASE DATA'!X7:AI7,4)="717C", LEFT('CASE DATA'!X7:AI7, 3)="719", LEFT('CASE DATA'!X7:AI7,3)="720", LEFT('CASE DATA'!X7:AI7,3)="724", LEFT('CASE DATA'!X7:AI7,3)="726", LEFT('CASE DATA'!X7:AI7,3)="728", LEFT('CASE DATA'!X7:AI7,4)="901A"), "ineligible misd","eligible"),"n/a")</f>
        <v>n/a</v>
      </c>
      <c r="O6" s="40" t="str">
        <f>IF(N6="eligible",IF(COUNTIF('CASE DATA'!$D$4:$D$200, "")-COUNTIF('CASE DATA'!$A$4:$A$200, "")&gt;0, "YES","NO"),"N/A")</f>
        <v>N/A</v>
      </c>
      <c r="P6" s="40" t="str">
        <f>IF(N6="eligible",BANKRUPTCY!C7+BANKRUPTCY!D7,"N/A")</f>
        <v>N/A</v>
      </c>
      <c r="Q6" s="40" t="str">
        <f>IF(N6="eligible",SOL!C7+SOL!D7,"N/A")</f>
        <v>N/A</v>
      </c>
      <c r="R6" s="40" t="str">
        <f>IF(N6="eligible",SUM('CASE DATA'!K7:T7),"N/A")</f>
        <v>N/A</v>
      </c>
      <c r="S6" s="40" t="str">
        <f>IF(N6="eligible",IF(C6+2920&lt;'BASIC INFO'!$B$3, "YES", "NO"),"N/A")</f>
        <v>N/A</v>
      </c>
      <c r="T6" s="39" t="str">
        <f>IF(OR('CASE DATA'!G7="DEF"), "YES", "NO")</f>
        <v>NO</v>
      </c>
      <c r="U6" s="35" t="str">
        <f>IF(T6="YES",'CASE DATA'!I7,"N/A")</f>
        <v>N/A</v>
      </c>
      <c r="V6" s="40" t="str">
        <f>IF(T6="YES",BANKRUPTCY!C7+BANKRUPTCY!D7,"N/A")</f>
        <v>N/A</v>
      </c>
      <c r="W6" s="40" t="str">
        <f>IF(T6="YES",SUM('CASE DATA'!K7:T7),"N/A")</f>
        <v>N/A</v>
      </c>
      <c r="X6" s="35" t="str">
        <f>IF(OR('CASE DATA'!F7="123.46",'CASE DATA'!F7="123.47"),"YES","NO")</f>
        <v>NO</v>
      </c>
      <c r="Y6" s="40" t="str">
        <f>IF(X6="YES",IF(C6+730.5&lt;'BASIC INFO'!$B$3, "YES","NO"), "N/A")</f>
        <v>N/A</v>
      </c>
      <c r="Z6" s="35" t="str">
        <f>IF('CASE DATA'!F7="725.1","YES","NO")</f>
        <v>NO</v>
      </c>
      <c r="AA6" s="35" t="str">
        <f>IF(Z6="YES",IF(C6+730.5&lt;'BASIC INFO'!$B$3, "YES","NO"), "N/A")</f>
        <v>N/A</v>
      </c>
      <c r="AB6" s="35" t="str">
        <f>IF('BASIC INFO'!$B$6+6574.5&gt;C6, "YES", "NO")</f>
        <v>YES</v>
      </c>
    </row>
    <row r="7" spans="1:31" x14ac:dyDescent="0.25">
      <c r="A7" s="35" t="str">
        <f>IF('CASE DATA'!A8="","z",'CASE DATA'!A8)</f>
        <v>z</v>
      </c>
      <c r="B7" s="66" t="str">
        <f>IF('CASE DATA'!A8="","",'CASE DATA'!E8)</f>
        <v/>
      </c>
      <c r="C7" s="36">
        <f>'CASE DATA'!D8</f>
        <v>0</v>
      </c>
      <c r="D7" s="37" t="str">
        <f>IF('CASE DATA'!I8="YES",SUM('CASE DATA'!K8:Q8),"n/a")</f>
        <v>n/a</v>
      </c>
      <c r="E7" s="38" t="str">
        <f>IF('CASE DATA'!G8="JUV", "YES", "NO")</f>
        <v>NO</v>
      </c>
      <c r="F7" s="38" t="str">
        <f t="array" ref="F7">IF(E7="YES",IF(SUM(COUNTIF('CASE DATA'!$G$4:$G$200, {"GTR","GPL","DEF","JUV"}))&gt;0, "YES","NO"),"N/A")</f>
        <v>N/A</v>
      </c>
      <c r="G7" s="38" t="str">
        <f>IF(E7="YES",IF(COUNTIF('CASE DATA'!$D$4:$D$200, "")-COUNTIF('CASE DATA'!$A$4:$A$200, "")&gt;0, "YES","NO"),"N/A")</f>
        <v>N/A</v>
      </c>
      <c r="H7" s="35" t="str">
        <f>_xlfn.IFS(E7="NO", "N/A", AND('BASIC INFO'!$B$3&gt;'BASIC INFO'!$B$6+6574.5, C7+730.5&lt;'BASIC INFO'!$B$3), "YES", 'BASIC INFO'!$B$3&lt;('BASIC INFO'!$B$6+6574.5), "NOT YET 18", C7+730.5&gt;'BASIC INFO'!$B$3, "NOT YET 2 YEARS")</f>
        <v>N/A</v>
      </c>
      <c r="I7" s="39" t="str">
        <f>IF(OR(AND(LEFT('CASE DATA'!F8,4)="321.",MID('CASE DATA'!A8,8,2)="SM"),MID('CASE DATA'!A8,8,2)="ST",MID('CASE DATA'!A8,8,2)="NT"),"TRAFFIC",IF(OR('CASE DATA'!G8="DISM", 'CASE DATA'!G8="ACQ", 'CASE DATA'!G8="NOTF", 'CASE DATA'!G8="WTHD", 'CASE DATA'!G8="TNSF"), "YES", "NO"))</f>
        <v>NO</v>
      </c>
      <c r="J7" s="40" t="str">
        <f>IF(I7="YES",'CASE DATA'!U8,"N/A")</f>
        <v>N/A</v>
      </c>
      <c r="K7" s="40" t="str">
        <f>IF(I7="YES",SOL!C8+SOL!D8,"N/A")</f>
        <v>N/A</v>
      </c>
      <c r="L7" s="35" t="str">
        <f>IF(I7="YES",IF(C7+180&lt;'BASIC INFO'!$B$3, "YES", "NO"),"N/A")</f>
        <v>N/A</v>
      </c>
      <c r="M7" s="40" t="str">
        <f t="array" ref="M7">IF(I7="TRAFFIC","n/a",IF(OR('CASE DATA'!G8="GTR", 'CASE DATA'!G8="GPL"),IF(SUM(COUNTIF('CASE DATA'!X8:AI8, 'CODE SECTIONS'!$V$2:$V$218&amp;"*"))&gt;0,"NO","YES"),"n/a"))</f>
        <v>n/a</v>
      </c>
      <c r="N7" s="40" t="str">
        <f t="array" ref="N7">IF(M7="YES",IF(OR((SUM(COUNTIF('CASE DATA'!X8:AI8,'CODE SECTIONS'!$X$2:$X$19&amp;"*"))&gt;0),LEFT('CASE DATA'!X8:AI8,4)="717C", LEFT('CASE DATA'!X8:AI8, 3)="719", LEFT('CASE DATA'!X8:AI8,3)="720", LEFT('CASE DATA'!X8:AI8,3)="724", LEFT('CASE DATA'!X8:AI8,3)="726", LEFT('CASE DATA'!X8:AI8,3)="728", LEFT('CASE DATA'!X8:AI8,4)="901A"), "ineligible misd","eligible"),"n/a")</f>
        <v>n/a</v>
      </c>
      <c r="O7" s="40" t="str">
        <f>IF(N7="eligible",IF(COUNTIF('CASE DATA'!$D$4:$D$200, "")-COUNTIF('CASE DATA'!$A$4:$A$200, "")&gt;0, "YES","NO"),"N/A")</f>
        <v>N/A</v>
      </c>
      <c r="P7" s="40" t="str">
        <f>IF(N7="eligible",BANKRUPTCY!C8+BANKRUPTCY!D8,"N/A")</f>
        <v>N/A</v>
      </c>
      <c r="Q7" s="40" t="str">
        <f>IF(N7="eligible",SOL!C8+SOL!D8,"N/A")</f>
        <v>N/A</v>
      </c>
      <c r="R7" s="40" t="str">
        <f>IF(N7="eligible",SUM('CASE DATA'!K8:T8),"N/A")</f>
        <v>N/A</v>
      </c>
      <c r="S7" s="40" t="str">
        <f>IF(N7="eligible",IF(C7+2920&lt;'BASIC INFO'!$B$3, "YES", "NO"),"N/A")</f>
        <v>N/A</v>
      </c>
      <c r="T7" s="39" t="str">
        <f>IF(OR('CASE DATA'!G8="DEF"), "YES", "NO")</f>
        <v>NO</v>
      </c>
      <c r="U7" s="35" t="str">
        <f>IF(T7="YES",'CASE DATA'!I8,"N/A")</f>
        <v>N/A</v>
      </c>
      <c r="V7" s="40" t="str">
        <f>IF(T7="YES",BANKRUPTCY!C8+BANKRUPTCY!D8,"N/A")</f>
        <v>N/A</v>
      </c>
      <c r="W7" s="40" t="str">
        <f>IF(T7="YES",SUM('CASE DATA'!K8:T8),"N/A")</f>
        <v>N/A</v>
      </c>
      <c r="X7" s="35" t="str">
        <f>IF(OR('CASE DATA'!F8="123.46",'CASE DATA'!F8="123.47"),"YES","NO")</f>
        <v>NO</v>
      </c>
      <c r="Y7" s="40" t="str">
        <f>IF(X7="YES",IF(C7+730.5&lt;'BASIC INFO'!$B$3, "YES","NO"), "N/A")</f>
        <v>N/A</v>
      </c>
      <c r="Z7" s="35" t="str">
        <f>IF('CASE DATA'!F8="725.1","YES","NO")</f>
        <v>NO</v>
      </c>
      <c r="AA7" s="35" t="str">
        <f>IF(Z7="YES",IF(C7+730.5&lt;'BASIC INFO'!$B$3, "YES","NO"), "N/A")</f>
        <v>N/A</v>
      </c>
      <c r="AB7" s="35" t="str">
        <f>IF('BASIC INFO'!$B$6+6574.5&gt;C7, "YES", "NO")</f>
        <v>YES</v>
      </c>
    </row>
    <row r="8" spans="1:31" x14ac:dyDescent="0.25">
      <c r="A8" s="35" t="str">
        <f>IF('CASE DATA'!A9="","z",'CASE DATA'!A9)</f>
        <v>z</v>
      </c>
      <c r="B8" s="66" t="str">
        <f>IF('CASE DATA'!A9="","",'CASE DATA'!E9)</f>
        <v/>
      </c>
      <c r="C8" s="36">
        <f>'CASE DATA'!D9</f>
        <v>0</v>
      </c>
      <c r="D8" s="37" t="str">
        <f>IF('CASE DATA'!I9="YES",SUM('CASE DATA'!K9:Q9),"n/a")</f>
        <v>n/a</v>
      </c>
      <c r="E8" s="38" t="str">
        <f>IF('CASE DATA'!G9="JUV", "YES", "NO")</f>
        <v>NO</v>
      </c>
      <c r="F8" s="38" t="str">
        <f t="array" ref="F8">IF(E8="YES",IF(SUM(COUNTIF('CASE DATA'!$G$4:$G$200, {"GTR","GPL","DEF","JUV"}))&gt;0, "YES","NO"),"N/A")</f>
        <v>N/A</v>
      </c>
      <c r="G8" s="38" t="str">
        <f>IF(E8="YES",IF(COUNTIF('CASE DATA'!$D$4:$D$200, "")-COUNTIF('CASE DATA'!$A$4:$A$200, "")&gt;0, "YES","NO"),"N/A")</f>
        <v>N/A</v>
      </c>
      <c r="H8" s="35" t="str">
        <f>_xlfn.IFS(E8="NO", "N/A", AND('BASIC INFO'!$B$3&gt;'BASIC INFO'!$B$6+6574.5, C8+730.5&lt;'BASIC INFO'!$B$3), "YES", 'BASIC INFO'!$B$3&lt;('BASIC INFO'!$B$6+6574.5), "NOT YET 18", C8+730.5&gt;'BASIC INFO'!$B$3, "NOT YET 2 YEARS")</f>
        <v>N/A</v>
      </c>
      <c r="I8" s="39" t="str">
        <f>IF(OR(AND(LEFT('CASE DATA'!F9,4)="321.",MID('CASE DATA'!A9,8,2)="SM"),MID('CASE DATA'!A9,8,2)="ST",MID('CASE DATA'!A9,8,2)="NT"),"TRAFFIC",IF(OR('CASE DATA'!G9="DISM", 'CASE DATA'!G9="ACQ", 'CASE DATA'!G9="NOTF", 'CASE DATA'!G9="WTHD", 'CASE DATA'!G9="TNSF"), "YES", "NO"))</f>
        <v>NO</v>
      </c>
      <c r="J8" s="40" t="str">
        <f>IF(I8="YES",'CASE DATA'!U9,"N/A")</f>
        <v>N/A</v>
      </c>
      <c r="K8" s="40" t="str">
        <f>IF(I8="YES",SOL!C9+SOL!D9,"N/A")</f>
        <v>N/A</v>
      </c>
      <c r="L8" s="35" t="str">
        <f>IF(I8="YES",IF(C8+180&lt;'BASIC INFO'!$B$3, "YES", "NO"),"N/A")</f>
        <v>N/A</v>
      </c>
      <c r="M8" s="40" t="str">
        <f t="array" ref="M8">IF(I8="TRAFFIC","n/a",IF(OR('CASE DATA'!G9="GTR", 'CASE DATA'!G9="GPL"),IF(SUM(COUNTIF('CASE DATA'!X9:AI9, 'CODE SECTIONS'!$V$2:$V$218&amp;"*"))&gt;0,"NO","YES"),"n/a"))</f>
        <v>n/a</v>
      </c>
      <c r="N8" s="40" t="str">
        <f t="array" ref="N8">IF(M8="YES",IF(OR((SUM(COUNTIF('CASE DATA'!X9:AI9,'CODE SECTIONS'!$X$2:$X$19&amp;"*"))&gt;0),LEFT('CASE DATA'!X9:AI9,4)="717C", LEFT('CASE DATA'!X9:AI9, 3)="719", LEFT('CASE DATA'!X9:AI9,3)="720", LEFT('CASE DATA'!X9:AI9,3)="724", LEFT('CASE DATA'!X9:AI9,3)="726", LEFT('CASE DATA'!X9:AI9,3)="728", LEFT('CASE DATA'!X9:AI9,4)="901A"), "ineligible misd","eligible"),"n/a")</f>
        <v>n/a</v>
      </c>
      <c r="O8" s="40" t="str">
        <f>IF(N8="eligible",IF(COUNTIF('CASE DATA'!$D$4:$D$200, "")-COUNTIF('CASE DATA'!$A$4:$A$200, "")&gt;0, "YES","NO"),"N/A")</f>
        <v>N/A</v>
      </c>
      <c r="P8" s="74" t="str">
        <f>IF(N8="eligible",BANKRUPTCY!C9+BANKRUPTCY!D9,"N/A")</f>
        <v>N/A</v>
      </c>
      <c r="Q8" s="40" t="str">
        <f>IF(N8="eligible",SOL!C9+SOL!D9,"N/A")</f>
        <v>N/A</v>
      </c>
      <c r="R8" s="40" t="str">
        <f>IF(N8="eligible",SUM('CASE DATA'!K9:T9),"N/A")</f>
        <v>N/A</v>
      </c>
      <c r="S8" s="40" t="str">
        <f>IF(N8="eligible",IF(C8+2920&lt;'BASIC INFO'!$B$3, "YES", "NO"),"N/A")</f>
        <v>N/A</v>
      </c>
      <c r="T8" s="39" t="str">
        <f>IF(OR('CASE DATA'!G9="DEF"), "YES", "NO")</f>
        <v>NO</v>
      </c>
      <c r="U8" s="35" t="str">
        <f>IF(T8="YES",'CASE DATA'!I9,"N/A")</f>
        <v>N/A</v>
      </c>
      <c r="V8" s="40" t="str">
        <f>IF(T8="YES",BANKRUPTCY!C9+BANKRUPTCY!D9,"N/A")</f>
        <v>N/A</v>
      </c>
      <c r="W8" s="40" t="str">
        <f>IF(T8="YES",SUM('CASE DATA'!K9:T9),"N/A")</f>
        <v>N/A</v>
      </c>
      <c r="X8" s="35" t="str">
        <f>IF(OR('CASE DATA'!F9="123.46",'CASE DATA'!F9="123.47"),"YES","NO")</f>
        <v>NO</v>
      </c>
      <c r="Y8" s="40" t="str">
        <f>IF(X8="YES",IF(C8+730.5&lt;'BASIC INFO'!$B$3, "YES","NO"), "N/A")</f>
        <v>N/A</v>
      </c>
      <c r="Z8" s="35" t="str">
        <f>IF('CASE DATA'!F9="725.1","YES","NO")</f>
        <v>NO</v>
      </c>
      <c r="AA8" s="35" t="str">
        <f>IF(Z8="YES",IF(C8+730.5&lt;'BASIC INFO'!$B$3, "YES","NO"), "N/A")</f>
        <v>N/A</v>
      </c>
      <c r="AB8" s="35" t="str">
        <f>IF('BASIC INFO'!$B$6+6574.5&gt;C8, "YES", "NO")</f>
        <v>YES</v>
      </c>
      <c r="AD8" s="36"/>
      <c r="AE8" s="10"/>
    </row>
    <row r="9" spans="1:31" x14ac:dyDescent="0.25">
      <c r="A9" s="35" t="str">
        <f>IF('CASE DATA'!A10="","z",'CASE DATA'!A10)</f>
        <v>z</v>
      </c>
      <c r="B9" s="66" t="str">
        <f>IF('CASE DATA'!A10="","",'CASE DATA'!E10)</f>
        <v/>
      </c>
      <c r="C9" s="36">
        <f>'CASE DATA'!D10</f>
        <v>0</v>
      </c>
      <c r="D9" s="37" t="str">
        <f>IF('CASE DATA'!I10="YES",SUM('CASE DATA'!K10:Q10),"n/a")</f>
        <v>n/a</v>
      </c>
      <c r="E9" s="38" t="str">
        <f>IF('CASE DATA'!G10="JUV", "YES", "NO")</f>
        <v>NO</v>
      </c>
      <c r="F9" s="38" t="str">
        <f t="array" ref="F9">IF(E9="YES",IF(SUM(COUNTIF('CASE DATA'!$G$4:$G$200, {"GTR","GPL","DEF","JUV"}))&gt;0, "YES","NO"),"N/A")</f>
        <v>N/A</v>
      </c>
      <c r="G9" s="38" t="str">
        <f>IF(E9="YES",IF(COUNTIF('CASE DATA'!$D$4:$D$200, "")-COUNTIF('CASE DATA'!$A$4:$A$200, "")&gt;0, "YES","NO"),"N/A")</f>
        <v>N/A</v>
      </c>
      <c r="H9" s="35" t="str">
        <f>_xlfn.IFS(E9="NO", "N/A", AND('BASIC INFO'!$B$3&gt;'BASIC INFO'!$B$6+6574.5, C9+730.5&lt;'BASIC INFO'!$B$3), "YES", 'BASIC INFO'!$B$3&lt;('BASIC INFO'!$B$6+6574.5), "NOT YET 18", C9+730.5&gt;'BASIC INFO'!$B$3, "NOT YET 2 YEARS")</f>
        <v>N/A</v>
      </c>
      <c r="I9" s="39" t="str">
        <f>IF(OR(AND(LEFT('CASE DATA'!F10,4)="321.",MID('CASE DATA'!A10,8,2)="SM"),MID('CASE DATA'!A10,8,2)="ST",MID('CASE DATA'!A10,8,2)="NT"),"TRAFFIC",IF(OR('CASE DATA'!G10="DISM", 'CASE DATA'!G10="ACQ", 'CASE DATA'!G10="NOTF", 'CASE DATA'!G10="WTHD", 'CASE DATA'!G10="TNSF"), "YES", "NO"))</f>
        <v>NO</v>
      </c>
      <c r="J9" s="40" t="str">
        <f>IF(I9="YES",'CASE DATA'!U10,"N/A")</f>
        <v>N/A</v>
      </c>
      <c r="K9" s="40" t="str">
        <f>IF(I9="YES",SOL!C10+SOL!D10,"N/A")</f>
        <v>N/A</v>
      </c>
      <c r="L9" s="35" t="str">
        <f>IF(I9="YES",IF(C9+180&lt;'BASIC INFO'!$B$3, "YES", "NO"),"N/A")</f>
        <v>N/A</v>
      </c>
      <c r="M9" s="40" t="str">
        <f t="array" ref="M9">IF(I9="TRAFFIC","n/a",IF(OR('CASE DATA'!G10="GTR", 'CASE DATA'!G10="GPL"),IF(SUM(COUNTIF('CASE DATA'!X10:AI10, 'CODE SECTIONS'!$V$2:$V$218&amp;"*"))&gt;0,"NO","YES"),"n/a"))</f>
        <v>n/a</v>
      </c>
      <c r="N9" s="40" t="str">
        <f t="array" ref="N9">IF(M9="YES",IF(OR((SUM(COUNTIF('CASE DATA'!X10:AI10,'CODE SECTIONS'!$X$2:$X$19&amp;"*"))&gt;0),LEFT('CASE DATA'!X10:AI10,4)="717C", LEFT('CASE DATA'!X10:AI10, 3)="719", LEFT('CASE DATA'!X10:AI10,3)="720", LEFT('CASE DATA'!X10:AI10,3)="724", LEFT('CASE DATA'!X10:AI10,3)="726", LEFT('CASE DATA'!X10:AI10,3)="728", LEFT('CASE DATA'!X10:AI10,4)="901A"), "ineligible misd","eligible"),"n/a")</f>
        <v>n/a</v>
      </c>
      <c r="O9" s="40" t="str">
        <f>IF(N9="eligible",IF(COUNTIF('CASE DATA'!$D$4:$D$200, "")-COUNTIF('CASE DATA'!$A$4:$A$200, "")&gt;0, "YES","NO"),"N/A")</f>
        <v>N/A</v>
      </c>
      <c r="P9" s="74" t="str">
        <f>IF(N9="eligible",BANKRUPTCY!C10+BANKRUPTCY!D10,"N/A")</f>
        <v>N/A</v>
      </c>
      <c r="Q9" s="40" t="str">
        <f>IF(N9="eligible",SOL!C10+SOL!D10,"N/A")</f>
        <v>N/A</v>
      </c>
      <c r="R9" s="40" t="str">
        <f>IF(N9="eligible",SUM('CASE DATA'!K10:T10),"N/A")</f>
        <v>N/A</v>
      </c>
      <c r="S9" s="40" t="str">
        <f>IF(N9="eligible",IF(C9+2920&lt;'BASIC INFO'!$B$3, "YES", "NO"),"N/A")</f>
        <v>N/A</v>
      </c>
      <c r="T9" s="39" t="str">
        <f>IF(OR('CASE DATA'!G10="DEF"), "YES", "NO")</f>
        <v>NO</v>
      </c>
      <c r="U9" s="35" t="str">
        <f>IF(T9="YES",'CASE DATA'!I10,"N/A")</f>
        <v>N/A</v>
      </c>
      <c r="V9" s="40" t="str">
        <f>IF(T9="YES",BANKRUPTCY!C10+BANKRUPTCY!D10,"N/A")</f>
        <v>N/A</v>
      </c>
      <c r="W9" s="40" t="str">
        <f>IF(T9="YES",SUM('CASE DATA'!K10:T10),"N/A")</f>
        <v>N/A</v>
      </c>
      <c r="X9" s="35" t="str">
        <f>IF(OR('CASE DATA'!F10="123.46",'CASE DATA'!F10="123.47"),"YES","NO")</f>
        <v>NO</v>
      </c>
      <c r="Y9" s="40" t="str">
        <f>IF(X9="YES",IF(C9+730.5&lt;'BASIC INFO'!$B$3, "YES","NO"), "N/A")</f>
        <v>N/A</v>
      </c>
      <c r="Z9" s="35" t="str">
        <f>IF('CASE DATA'!F10="725.1","YES","NO")</f>
        <v>NO</v>
      </c>
      <c r="AA9" s="35" t="str">
        <f>IF(Z9="YES",IF(C9+730.5&lt;'BASIC INFO'!$B$3, "YES","NO"), "N/A")</f>
        <v>N/A</v>
      </c>
      <c r="AB9" s="35" t="str">
        <f>IF('BASIC INFO'!$B$6+6574.5&gt;C9, "YES", "NO")</f>
        <v>YES</v>
      </c>
    </row>
    <row r="10" spans="1:31" x14ac:dyDescent="0.25">
      <c r="A10" s="35" t="str">
        <f>IF('CASE DATA'!A11="","z",'CASE DATA'!A11)</f>
        <v>z</v>
      </c>
      <c r="B10" s="66" t="str">
        <f>IF('CASE DATA'!A11="","",'CASE DATA'!E11)</f>
        <v/>
      </c>
      <c r="C10" s="36">
        <f>'CASE DATA'!D11</f>
        <v>0</v>
      </c>
      <c r="D10" s="37" t="str">
        <f>IF('CASE DATA'!I11="YES",SUM('CASE DATA'!K11:Q11),"n/a")</f>
        <v>n/a</v>
      </c>
      <c r="E10" s="38" t="str">
        <f>IF('CASE DATA'!G11="JUV", "YES", "NO")</f>
        <v>NO</v>
      </c>
      <c r="F10" s="38" t="str">
        <f t="array" ref="F10">IF(E10="YES",IF(SUM(COUNTIF('CASE DATA'!$G$4:$G$200, {"GTR","GPL","DEF","JUV"}))&gt;0, "YES","NO"),"N/A")</f>
        <v>N/A</v>
      </c>
      <c r="G10" s="38" t="str">
        <f>IF(E10="YES",IF(COUNTIF('CASE DATA'!$D$4:$D$200, "")-COUNTIF('CASE DATA'!$A$4:$A$200, "")&gt;0, "YES","NO"),"N/A")</f>
        <v>N/A</v>
      </c>
      <c r="H10" s="35" t="str">
        <f>_xlfn.IFS(E10="NO", "N/A", AND('BASIC INFO'!$B$3&gt;'BASIC INFO'!$B$6+6574.5, C10+730.5&lt;'BASIC INFO'!$B$3), "YES", 'BASIC INFO'!$B$3&lt;('BASIC INFO'!$B$6+6574.5), "NOT YET 18", C10+730.5&gt;'BASIC INFO'!$B$3, "NOT YET 2 YEARS")</f>
        <v>N/A</v>
      </c>
      <c r="I10" s="39" t="str">
        <f>IF(OR(AND(LEFT('CASE DATA'!F11,4)="321.",MID('CASE DATA'!A11,8,2)="SM"),MID('CASE DATA'!A11,8,2)="ST",MID('CASE DATA'!A11,8,2)="NT"),"TRAFFIC",IF(OR('CASE DATA'!G11="DISM", 'CASE DATA'!G11="ACQ", 'CASE DATA'!G11="NOTF", 'CASE DATA'!G11="WTHD", 'CASE DATA'!G11="TNSF"), "YES", "NO"))</f>
        <v>NO</v>
      </c>
      <c r="J10" s="40" t="str">
        <f>IF(I10="YES",'CASE DATA'!U11,"N/A")</f>
        <v>N/A</v>
      </c>
      <c r="K10" s="40" t="str">
        <f>IF(I10="YES",SOL!C11+SOL!D11,"N/A")</f>
        <v>N/A</v>
      </c>
      <c r="L10" s="35" t="str">
        <f>IF(I10="YES",IF(C10+180&lt;'BASIC INFO'!$B$3, "YES", "NO"),"N/A")</f>
        <v>N/A</v>
      </c>
      <c r="M10" s="40" t="str">
        <f t="array" ref="M10">IF(I10="TRAFFIC","n/a",IF(OR('CASE DATA'!G11="GTR", 'CASE DATA'!G11="GPL"),IF(SUM(COUNTIF('CASE DATA'!X11:AI11, 'CODE SECTIONS'!$V$2:$V$218&amp;"*"))&gt;0,"NO","YES"),"n/a"))</f>
        <v>n/a</v>
      </c>
      <c r="N10" s="40" t="str">
        <f t="array" ref="N10">IF(M10="YES",IF(OR((SUM(COUNTIF('CASE DATA'!X11:AI11,'CODE SECTIONS'!$X$2:$X$19&amp;"*"))&gt;0),LEFT('CASE DATA'!X11:AI11,4)="717C", LEFT('CASE DATA'!X11:AI11, 3)="719", LEFT('CASE DATA'!X11:AI11,3)="720", LEFT('CASE DATA'!X11:AI11,3)="724", LEFT('CASE DATA'!X11:AI11,3)="726", LEFT('CASE DATA'!X11:AI11,3)="728", LEFT('CASE DATA'!X11:AI11,4)="901A"), "ineligible misd","eligible"),"n/a")</f>
        <v>n/a</v>
      </c>
      <c r="O10" s="40" t="str">
        <f>IF(N10="eligible",IF(COUNTIF('CASE DATA'!$D$4:$D$200, "")-COUNTIF('CASE DATA'!$A$4:$A$200, "")&gt;0, "YES","NO"),"N/A")</f>
        <v>N/A</v>
      </c>
      <c r="P10" s="40" t="str">
        <f>IF(N10="eligible",BANKRUPTCY!C11+BANKRUPTCY!D11,"N/A")</f>
        <v>N/A</v>
      </c>
      <c r="Q10" s="40" t="str">
        <f>IF(N10="eligible",SOL!C11+SOL!D11,"N/A")</f>
        <v>N/A</v>
      </c>
      <c r="R10" s="40" t="str">
        <f>IF(N10="eligible",SUM('CASE DATA'!K11:T11),"N/A")</f>
        <v>N/A</v>
      </c>
      <c r="S10" s="40" t="str">
        <f>IF(N10="eligible",IF(C10+2920&lt;'BASIC INFO'!$B$3, "YES", "NO"),"N/A")</f>
        <v>N/A</v>
      </c>
      <c r="T10" s="39" t="str">
        <f>IF(OR('CASE DATA'!G11="DEF"), "YES", "NO")</f>
        <v>NO</v>
      </c>
      <c r="U10" s="35" t="str">
        <f>IF(T10="YES",'CASE DATA'!I11,"N/A")</f>
        <v>N/A</v>
      </c>
      <c r="V10" s="40" t="str">
        <f>IF(T10="YES",BANKRUPTCY!C11+BANKRUPTCY!D11,"N/A")</f>
        <v>N/A</v>
      </c>
      <c r="W10" s="40" t="str">
        <f>IF(T10="YES",SUM('CASE DATA'!K11:T11),"N/A")</f>
        <v>N/A</v>
      </c>
      <c r="X10" s="35" t="str">
        <f>IF(OR('CASE DATA'!F11="123.46",'CASE DATA'!F11="123.47"),"YES","NO")</f>
        <v>NO</v>
      </c>
      <c r="Y10" s="40" t="str">
        <f>IF(X10="YES",IF(C10+730.5&lt;'BASIC INFO'!$B$3, "YES","NO"), "N/A")</f>
        <v>N/A</v>
      </c>
      <c r="Z10" s="35" t="str">
        <f>IF('CASE DATA'!F11="725.1","YES","NO")</f>
        <v>NO</v>
      </c>
      <c r="AA10" s="35" t="str">
        <f>IF(Z10="YES",IF(C10+730.5&lt;'BASIC INFO'!$B$3, "YES","NO"), "N/A")</f>
        <v>N/A</v>
      </c>
      <c r="AB10" s="35" t="str">
        <f>IF('BASIC INFO'!$B$6+6574.5&gt;C10, "YES", "NO")</f>
        <v>YES</v>
      </c>
    </row>
    <row r="11" spans="1:31" x14ac:dyDescent="0.25">
      <c r="A11" s="35" t="str">
        <f>IF('CASE DATA'!A12="","z",'CASE DATA'!A12)</f>
        <v>z</v>
      </c>
      <c r="B11" s="66" t="str">
        <f>IF('CASE DATA'!A12="","",'CASE DATA'!E12)</f>
        <v/>
      </c>
      <c r="C11" s="36">
        <f>'CASE DATA'!D12</f>
        <v>0</v>
      </c>
      <c r="D11" s="37" t="str">
        <f>IF('CASE DATA'!I12="YES",SUM('CASE DATA'!K12:Q12),"n/a")</f>
        <v>n/a</v>
      </c>
      <c r="E11" s="38" t="str">
        <f>IF('CASE DATA'!G12="JUV", "YES", "NO")</f>
        <v>NO</v>
      </c>
      <c r="F11" s="38" t="str">
        <f t="array" ref="F11">IF(E11="YES",IF(SUM(COUNTIF('CASE DATA'!$G$4:$G$200, {"GTR","GPL","DEF","JUV"}))&gt;0, "YES","NO"),"N/A")</f>
        <v>N/A</v>
      </c>
      <c r="G11" s="38" t="str">
        <f>IF(E11="YES",IF(COUNTIF('CASE DATA'!$D$4:$D$200, "")-COUNTIF('CASE DATA'!$A$4:$A$200, "")&gt;0, "YES","NO"),"N/A")</f>
        <v>N/A</v>
      </c>
      <c r="H11" s="35" t="str">
        <f>_xlfn.IFS(E11="NO", "N/A", AND('BASIC INFO'!$B$3&gt;'BASIC INFO'!$B$6+6574.5, C11+730.5&lt;'BASIC INFO'!$B$3), "YES", 'BASIC INFO'!$B$3&lt;('BASIC INFO'!$B$6+6574.5), "NOT YET 18", C11+730.5&gt;'BASIC INFO'!$B$3, "NOT YET 2 YEARS")</f>
        <v>N/A</v>
      </c>
      <c r="I11" s="39" t="str">
        <f>IF(OR(AND(LEFT('CASE DATA'!F12,4)="321.",MID('CASE DATA'!A12,8,2)="SM"),MID('CASE DATA'!A12,8,2)="ST",MID('CASE DATA'!A12,8,2)="NT"),"TRAFFIC",IF(OR('CASE DATA'!G12="DISM", 'CASE DATA'!G12="ACQ", 'CASE DATA'!G12="NOTF", 'CASE DATA'!G12="WTHD", 'CASE DATA'!G12="TNSF"), "YES", "NO"))</f>
        <v>NO</v>
      </c>
      <c r="J11" s="40" t="str">
        <f>IF(I11="YES",'CASE DATA'!U12,"N/A")</f>
        <v>N/A</v>
      </c>
      <c r="K11" s="40" t="str">
        <f>IF(I11="YES",SOL!C12+SOL!D12,"N/A")</f>
        <v>N/A</v>
      </c>
      <c r="L11" s="35" t="str">
        <f>IF(I11="YES",IF(C11+180&lt;'BASIC INFO'!$B$3, "YES", "NO"),"N/A")</f>
        <v>N/A</v>
      </c>
      <c r="M11" s="40" t="str">
        <f t="array" ref="M11">IF(I11="TRAFFIC","n/a",IF(OR('CASE DATA'!G12="GTR", 'CASE DATA'!G12="GPL"),IF(SUM(COUNTIF('CASE DATA'!X12:AI12, 'CODE SECTIONS'!$V$2:$V$218&amp;"*"))&gt;0,"NO","YES"),"n/a"))</f>
        <v>n/a</v>
      </c>
      <c r="N11" s="40" t="str">
        <f t="array" ref="N11">IF(M11="YES",IF(OR((SUM(COUNTIF('CASE DATA'!X12:AI12,'CODE SECTIONS'!$X$2:$X$19&amp;"*"))&gt;0),LEFT('CASE DATA'!X12:AI12,4)="717C", LEFT('CASE DATA'!X12:AI12, 3)="719", LEFT('CASE DATA'!X12:AI12,3)="720", LEFT('CASE DATA'!X12:AI12,3)="724", LEFT('CASE DATA'!X12:AI12,3)="726", LEFT('CASE DATA'!X12:AI12,3)="728", LEFT('CASE DATA'!X12:AI12,4)="901A"), "ineligible misd","eligible"),"n/a")</f>
        <v>n/a</v>
      </c>
      <c r="O11" s="40" t="str">
        <f>IF(N11="eligible",IF(COUNTIF('CASE DATA'!$D$4:$D$200, "")-COUNTIF('CASE DATA'!$A$4:$A$200, "")&gt;0, "YES","NO"),"N/A")</f>
        <v>N/A</v>
      </c>
      <c r="P11" s="40" t="str">
        <f>IF(N11="eligible",BANKRUPTCY!C12+BANKRUPTCY!D12,"N/A")</f>
        <v>N/A</v>
      </c>
      <c r="Q11" s="40" t="str">
        <f>IF(N11="eligible",SOL!C12+SOL!D12,"N/A")</f>
        <v>N/A</v>
      </c>
      <c r="R11" s="40" t="str">
        <f>IF(N11="eligible",SUM('CASE DATA'!K12:T12),"N/A")</f>
        <v>N/A</v>
      </c>
      <c r="S11" s="40" t="str">
        <f>IF(N11="eligible",IF(C11+2920&lt;'BASIC INFO'!$B$3, "YES", "NO"),"N/A")</f>
        <v>N/A</v>
      </c>
      <c r="T11" s="39" t="str">
        <f>IF(OR('CASE DATA'!G12="DEF"), "YES", "NO")</f>
        <v>NO</v>
      </c>
      <c r="U11" s="35" t="str">
        <f>IF(T11="YES",'CASE DATA'!I12,"N/A")</f>
        <v>N/A</v>
      </c>
      <c r="V11" s="40" t="str">
        <f>IF(T11="YES",BANKRUPTCY!C12+BANKRUPTCY!D12,"N/A")</f>
        <v>N/A</v>
      </c>
      <c r="W11" s="40" t="str">
        <f>IF(T11="YES",SUM('CASE DATA'!K12:T12),"N/A")</f>
        <v>N/A</v>
      </c>
      <c r="X11" s="35" t="str">
        <f>IF(OR('CASE DATA'!F12="123.46",'CASE DATA'!F12="123.47"),"YES","NO")</f>
        <v>NO</v>
      </c>
      <c r="Y11" s="40" t="str">
        <f>IF(X11="YES",IF(C11+730.5&lt;'BASIC INFO'!$B$3, "YES","NO"), "N/A")</f>
        <v>N/A</v>
      </c>
      <c r="Z11" s="35" t="str">
        <f>IF('CASE DATA'!F12="725.1","YES","NO")</f>
        <v>NO</v>
      </c>
      <c r="AA11" s="35" t="str">
        <f>IF(Z11="YES",IF(C11+730.5&lt;'BASIC INFO'!$B$3, "YES","NO"), "N/A")</f>
        <v>N/A</v>
      </c>
      <c r="AB11" s="35" t="str">
        <f>IF('BASIC INFO'!$B$6+6574.5&gt;C11, "YES", "NO")</f>
        <v>YES</v>
      </c>
    </row>
    <row r="12" spans="1:31" x14ac:dyDescent="0.25">
      <c r="A12" s="35" t="str">
        <f>IF('CASE DATA'!A13="","z",'CASE DATA'!A13)</f>
        <v>z</v>
      </c>
      <c r="B12" s="66" t="str">
        <f>IF('CASE DATA'!A13="","",'CASE DATA'!E13)</f>
        <v/>
      </c>
      <c r="C12" s="36">
        <f>'CASE DATA'!D13</f>
        <v>0</v>
      </c>
      <c r="D12" s="37" t="str">
        <f>IF('CASE DATA'!I13="YES",SUM('CASE DATA'!K13:Q13),"n/a")</f>
        <v>n/a</v>
      </c>
      <c r="E12" s="38" t="str">
        <f>IF('CASE DATA'!G13="JUV", "YES", "NO")</f>
        <v>NO</v>
      </c>
      <c r="F12" s="38" t="str">
        <f t="array" ref="F12">IF(E12="YES",IF(SUM(COUNTIF('CASE DATA'!$G$4:$G$200, {"GTR","GPL","DEF","JUV"}))&gt;0, "YES","NO"),"N/A")</f>
        <v>N/A</v>
      </c>
      <c r="G12" s="38" t="str">
        <f>IF(E12="YES",IF(COUNTIF('CASE DATA'!$D$4:$D$200, "")-COUNTIF('CASE DATA'!$A$4:$A$200, "")&gt;0, "YES","NO"),"N/A")</f>
        <v>N/A</v>
      </c>
      <c r="H12" s="35" t="str">
        <f>_xlfn.IFS(E12="NO", "N/A", AND('BASIC INFO'!$B$3&gt;'BASIC INFO'!$B$6+6574.5, C12+730.5&lt;'BASIC INFO'!$B$3), "YES", 'BASIC INFO'!$B$3&lt;('BASIC INFO'!$B$6+6574.5), "NOT YET 18", C12+730.5&gt;'BASIC INFO'!$B$3, "NOT YET 2 YEARS")</f>
        <v>N/A</v>
      </c>
      <c r="I12" s="39" t="str">
        <f>IF(OR(AND(LEFT('CASE DATA'!F13,4)="321.",MID('CASE DATA'!A13,8,2)="SM"),MID('CASE DATA'!A13,8,2)="ST",MID('CASE DATA'!A13,8,2)="NT"),"TRAFFIC",IF(OR('CASE DATA'!G13="DISM", 'CASE DATA'!G13="ACQ", 'CASE DATA'!G13="NOTF", 'CASE DATA'!G13="WTHD", 'CASE DATA'!G13="TNSF"), "YES", "NO"))</f>
        <v>NO</v>
      </c>
      <c r="J12" s="40" t="str">
        <f>IF(I12="YES",'CASE DATA'!U13,"N/A")</f>
        <v>N/A</v>
      </c>
      <c r="K12" s="40" t="str">
        <f>IF(I12="YES",SOL!C13+SOL!D13,"N/A")</f>
        <v>N/A</v>
      </c>
      <c r="L12" s="35" t="str">
        <f>IF(I12="YES",IF(C12+180&lt;'BASIC INFO'!$B$3, "YES", "NO"),"N/A")</f>
        <v>N/A</v>
      </c>
      <c r="M12" s="40" t="str">
        <f t="array" ref="M12">IF(I12="TRAFFIC","n/a",IF(OR('CASE DATA'!G13="GTR", 'CASE DATA'!G13="GPL"),IF(SUM(COUNTIF('CASE DATA'!X13:AI13, 'CODE SECTIONS'!$V$2:$V$218&amp;"*"))&gt;0,"NO","YES"),"n/a"))</f>
        <v>n/a</v>
      </c>
      <c r="N12" s="40" t="str">
        <f t="array" ref="N12">IF(M12="YES",IF(OR((SUM(COUNTIF('CASE DATA'!X13:AI13,'CODE SECTIONS'!$X$2:$X$19&amp;"*"))&gt;0),LEFT('CASE DATA'!X13:AI13,4)="717C", LEFT('CASE DATA'!X13:AI13, 3)="719", LEFT('CASE DATA'!X13:AI13,3)="720", LEFT('CASE DATA'!X13:AI13,3)="724", LEFT('CASE DATA'!X13:AI13,3)="726", LEFT('CASE DATA'!X13:AI13,3)="728", LEFT('CASE DATA'!X13:AI13,4)="901A"), "ineligible misd","eligible"),"n/a")</f>
        <v>n/a</v>
      </c>
      <c r="O12" s="40" t="str">
        <f>IF(N12="eligible",IF(COUNTIF('CASE DATA'!$D$4:$D$200, "")-COUNTIF('CASE DATA'!$A$4:$A$200, "")&gt;0, "YES","NO"),"N/A")</f>
        <v>N/A</v>
      </c>
      <c r="P12" s="40" t="str">
        <f>IF(N12="eligible",BANKRUPTCY!C13+BANKRUPTCY!D13,"N/A")</f>
        <v>N/A</v>
      </c>
      <c r="Q12" s="40" t="str">
        <f>IF(N12="eligible",SOL!C13+SOL!D13,"N/A")</f>
        <v>N/A</v>
      </c>
      <c r="R12" s="40" t="str">
        <f>IF(N12="eligible",SUM('CASE DATA'!K13:T13),"N/A")</f>
        <v>N/A</v>
      </c>
      <c r="S12" s="40" t="str">
        <f>IF(N12="eligible",IF(C12+2920&lt;'BASIC INFO'!$B$3, "YES", "NO"),"N/A")</f>
        <v>N/A</v>
      </c>
      <c r="T12" s="39" t="str">
        <f>IF(OR('CASE DATA'!G13="DEF"), "YES", "NO")</f>
        <v>NO</v>
      </c>
      <c r="U12" s="35" t="str">
        <f>IF(T12="YES",'CASE DATA'!I13,"N/A")</f>
        <v>N/A</v>
      </c>
      <c r="V12" s="40" t="str">
        <f>IF(T12="YES",BANKRUPTCY!C13+BANKRUPTCY!D13,"N/A")</f>
        <v>N/A</v>
      </c>
      <c r="W12" s="40" t="str">
        <f>IF(T12="YES",SUM('CASE DATA'!K13:T13),"N/A")</f>
        <v>N/A</v>
      </c>
      <c r="X12" s="35" t="str">
        <f>IF(OR('CASE DATA'!F13="123.46",'CASE DATA'!F13="123.47"),"YES","NO")</f>
        <v>NO</v>
      </c>
      <c r="Y12" s="40" t="str">
        <f>IF(X12="YES",IF(C12+730.5&lt;'BASIC INFO'!$B$3, "YES","NO"), "N/A")</f>
        <v>N/A</v>
      </c>
      <c r="Z12" s="35" t="str">
        <f>IF('CASE DATA'!F13="725.1","YES","NO")</f>
        <v>NO</v>
      </c>
      <c r="AA12" s="35" t="str">
        <f>IF(Z12="YES",IF(C12+730.5&lt;'BASIC INFO'!$B$3, "YES","NO"), "N/A")</f>
        <v>N/A</v>
      </c>
      <c r="AB12" s="35" t="str">
        <f>IF('BASIC INFO'!$B$6+6574.5&gt;C12, "YES", "NO")</f>
        <v>YES</v>
      </c>
    </row>
    <row r="13" spans="1:31" x14ac:dyDescent="0.25">
      <c r="A13" s="35" t="str">
        <f>IF('CASE DATA'!A14="","z",'CASE DATA'!A14)</f>
        <v>z</v>
      </c>
      <c r="B13" s="66" t="str">
        <f>IF('CASE DATA'!A14="","",'CASE DATA'!E14)</f>
        <v/>
      </c>
      <c r="C13" s="36">
        <f>'CASE DATA'!D14</f>
        <v>0</v>
      </c>
      <c r="D13" s="37" t="str">
        <f>IF('CASE DATA'!I14="YES",SUM('CASE DATA'!K14:Q14),"n/a")</f>
        <v>n/a</v>
      </c>
      <c r="E13" s="38" t="str">
        <f>IF('CASE DATA'!G14="JUV", "YES", "NO")</f>
        <v>NO</v>
      </c>
      <c r="F13" s="38" t="str">
        <f t="array" ref="F13">IF(E13="YES",IF(SUM(COUNTIF('CASE DATA'!$G$4:$G$200, {"GTR","GPL","DEF","JUV"}))&gt;0, "YES","NO"),"N/A")</f>
        <v>N/A</v>
      </c>
      <c r="G13" s="38" t="str">
        <f>IF(E13="YES",IF(COUNTIF('CASE DATA'!$D$4:$D$200, "")-COUNTIF('CASE DATA'!$A$4:$A$200, "")&gt;0, "YES","NO"),"N/A")</f>
        <v>N/A</v>
      </c>
      <c r="H13" s="35" t="str">
        <f>_xlfn.IFS(E13="NO", "N/A", AND('BASIC INFO'!$B$3&gt;'BASIC INFO'!$B$6+6574.5, C13+730.5&lt;'BASIC INFO'!$B$3), "YES", 'BASIC INFO'!$B$3&lt;('BASIC INFO'!$B$6+6574.5), "NOT YET 18", C13+730.5&gt;'BASIC INFO'!$B$3, "NOT YET 2 YEARS")</f>
        <v>N/A</v>
      </c>
      <c r="I13" s="39" t="str">
        <f>IF(OR(AND(LEFT('CASE DATA'!F14,4)="321.",MID('CASE DATA'!A14,8,2)="SM"),MID('CASE DATA'!A14,8,2)="ST",MID('CASE DATA'!A14,8,2)="NT"),"TRAFFIC",IF(OR('CASE DATA'!G14="DISM", 'CASE DATA'!G14="ACQ", 'CASE DATA'!G14="NOTF", 'CASE DATA'!G14="WTHD", 'CASE DATA'!G14="TNSF"), "YES", "NO"))</f>
        <v>NO</v>
      </c>
      <c r="J13" s="40" t="str">
        <f>IF(I13="YES",'CASE DATA'!U14,"N/A")</f>
        <v>N/A</v>
      </c>
      <c r="K13" s="40" t="str">
        <f>IF(I13="YES",SOL!C14+SOL!D14,"N/A")</f>
        <v>N/A</v>
      </c>
      <c r="L13" s="35" t="str">
        <f>IF(I13="YES",IF(C13+180&lt;'BASIC INFO'!$B$3, "YES", "NO"),"N/A")</f>
        <v>N/A</v>
      </c>
      <c r="M13" s="40" t="str">
        <f t="array" ref="M13">IF(I13="TRAFFIC","n/a",IF(OR('CASE DATA'!G14="GTR", 'CASE DATA'!G14="GPL"),IF(SUM(COUNTIF('CASE DATA'!X14:AI14, 'CODE SECTIONS'!$V$2:$V$218&amp;"*"))&gt;0,"NO","YES"),"n/a"))</f>
        <v>n/a</v>
      </c>
      <c r="N13" s="40" t="str">
        <f t="array" ref="N13">IF(M13="YES",IF(OR((SUM(COUNTIF('CASE DATA'!X14:AI14,'CODE SECTIONS'!$X$2:$X$19&amp;"*"))&gt;0),LEFT('CASE DATA'!X14:AI14,4)="717C", LEFT('CASE DATA'!X14:AI14, 3)="719", LEFT('CASE DATA'!X14:AI14,3)="720", LEFT('CASE DATA'!X14:AI14,3)="724", LEFT('CASE DATA'!X14:AI14,3)="726", LEFT('CASE DATA'!X14:AI14,3)="728", LEFT('CASE DATA'!X14:AI14,4)="901A"), "ineligible misd","eligible"),"n/a")</f>
        <v>n/a</v>
      </c>
      <c r="O13" s="40" t="str">
        <f>IF(N13="eligible",IF(COUNTIF('CASE DATA'!$D$4:$D$200, "")-COUNTIF('CASE DATA'!$A$4:$A$200, "")&gt;0, "YES","NO"),"N/A")</f>
        <v>N/A</v>
      </c>
      <c r="P13" s="40" t="str">
        <f>IF(N13="eligible",BANKRUPTCY!C14+BANKRUPTCY!D14,"N/A")</f>
        <v>N/A</v>
      </c>
      <c r="Q13" s="40" t="str">
        <f>IF(N13="eligible",SOL!C14+SOL!D14,"N/A")</f>
        <v>N/A</v>
      </c>
      <c r="R13" s="40" t="str">
        <f>IF(N13="eligible",SUM('CASE DATA'!K14:T14),"N/A")</f>
        <v>N/A</v>
      </c>
      <c r="S13" s="40" t="str">
        <f>IF(N13="eligible",IF(C13+2920&lt;'BASIC INFO'!$B$3, "YES", "NO"),"N/A")</f>
        <v>N/A</v>
      </c>
      <c r="T13" s="39" t="str">
        <f>IF(OR('CASE DATA'!G14="DEF"), "YES", "NO")</f>
        <v>NO</v>
      </c>
      <c r="U13" s="35" t="str">
        <f>IF(T13="YES",'CASE DATA'!I14,"N/A")</f>
        <v>N/A</v>
      </c>
      <c r="V13" s="40" t="str">
        <f>IF(T13="YES",BANKRUPTCY!C14+BANKRUPTCY!D14,"N/A")</f>
        <v>N/A</v>
      </c>
      <c r="W13" s="40" t="str">
        <f>IF(T13="YES",SUM('CASE DATA'!K14:T14),"N/A")</f>
        <v>N/A</v>
      </c>
      <c r="X13" s="35" t="str">
        <f>IF(OR('CASE DATA'!F14="123.46",'CASE DATA'!F14="123.47"),"YES","NO")</f>
        <v>NO</v>
      </c>
      <c r="Y13" s="40" t="str">
        <f>IF(X13="YES",IF(C13+730.5&lt;'BASIC INFO'!$B$3, "YES","NO"), "N/A")</f>
        <v>N/A</v>
      </c>
      <c r="Z13" s="35" t="str">
        <f>IF('CASE DATA'!F14="725.1","YES","NO")</f>
        <v>NO</v>
      </c>
      <c r="AA13" s="35" t="str">
        <f>IF(Z13="YES",IF(C13+730.5&lt;'BASIC INFO'!$B$3, "YES","NO"), "N/A")</f>
        <v>N/A</v>
      </c>
      <c r="AB13" s="35" t="str">
        <f>IF('BASIC INFO'!$B$6+6574.5&gt;C13, "YES", "NO")</f>
        <v>YES</v>
      </c>
    </row>
    <row r="14" spans="1:31" x14ac:dyDescent="0.25">
      <c r="A14" s="35" t="str">
        <f>IF('CASE DATA'!A15="","z",'CASE DATA'!A15)</f>
        <v>z</v>
      </c>
      <c r="B14" s="66" t="str">
        <f>IF('CASE DATA'!A15="","",'CASE DATA'!E15)</f>
        <v/>
      </c>
      <c r="C14" s="36">
        <f>'CASE DATA'!D15</f>
        <v>0</v>
      </c>
      <c r="D14" s="37" t="str">
        <f>IF('CASE DATA'!I15="YES",SUM('CASE DATA'!K15:Q15),"n/a")</f>
        <v>n/a</v>
      </c>
      <c r="E14" s="38" t="str">
        <f>IF('CASE DATA'!G15="JUV", "YES", "NO")</f>
        <v>NO</v>
      </c>
      <c r="F14" s="38" t="str">
        <f t="array" ref="F14">IF(E14="YES",IF(SUM(COUNTIF('CASE DATA'!$G$4:$G$200, {"GTR","GPL","DEF","JUV"}))&gt;0, "YES","NO"),"N/A")</f>
        <v>N/A</v>
      </c>
      <c r="G14" s="38" t="str">
        <f>IF(E14="YES",IF(COUNTIF('CASE DATA'!$D$4:$D$200, "")-COUNTIF('CASE DATA'!$A$4:$A$200, "")&gt;0, "YES","NO"),"N/A")</f>
        <v>N/A</v>
      </c>
      <c r="H14" s="35" t="str">
        <f>_xlfn.IFS(E14="NO", "N/A", AND('BASIC INFO'!$B$3&gt;'BASIC INFO'!$B$6+6574.5, C14+730.5&lt;'BASIC INFO'!$B$3), "YES", 'BASIC INFO'!$B$3&lt;('BASIC INFO'!$B$6+6574.5), "NOT YET 18", C14+730.5&gt;'BASIC INFO'!$B$3, "NOT YET 2 YEARS")</f>
        <v>N/A</v>
      </c>
      <c r="I14" s="39" t="str">
        <f>IF(OR(AND(LEFT('CASE DATA'!F15,4)="321.",MID('CASE DATA'!A15,8,2)="SM"),MID('CASE DATA'!A15,8,2)="ST",MID('CASE DATA'!A15,8,2)="NT"),"TRAFFIC",IF(OR('CASE DATA'!G15="DISM", 'CASE DATA'!G15="ACQ", 'CASE DATA'!G15="NOTF", 'CASE DATA'!G15="WTHD", 'CASE DATA'!G15="TNSF"), "YES", "NO"))</f>
        <v>NO</v>
      </c>
      <c r="J14" s="40" t="str">
        <f>IF(I14="YES",'CASE DATA'!U15,"N/A")</f>
        <v>N/A</v>
      </c>
      <c r="K14" s="40" t="str">
        <f>IF(I14="YES",SOL!C15+SOL!D15,"N/A")</f>
        <v>N/A</v>
      </c>
      <c r="L14" s="35" t="str">
        <f>IF(I14="YES",IF(C14+180&lt;'BASIC INFO'!$B$3, "YES", "NO"),"N/A")</f>
        <v>N/A</v>
      </c>
      <c r="M14" s="40" t="str">
        <f t="array" ref="M14">IF(I14="TRAFFIC","n/a",IF(OR('CASE DATA'!G15="GTR", 'CASE DATA'!G15="GPL"),IF(SUM(COUNTIF('CASE DATA'!X15:AI15, 'CODE SECTIONS'!$V$2:$V$218&amp;"*"))&gt;0,"NO","YES"),"n/a"))</f>
        <v>n/a</v>
      </c>
      <c r="N14" s="40" t="str">
        <f t="array" ref="N14">IF(M14="YES",IF(OR((SUM(COUNTIF('CASE DATA'!X15:AI15,'CODE SECTIONS'!$X$2:$X$19&amp;"*"))&gt;0),LEFT('CASE DATA'!X15:AI15,4)="717C", LEFT('CASE DATA'!X15:AI15, 3)="719", LEFT('CASE DATA'!X15:AI15,3)="720", LEFT('CASE DATA'!X15:AI15,3)="724", LEFT('CASE DATA'!X15:AI15,3)="726", LEFT('CASE DATA'!X15:AI15,3)="728", LEFT('CASE DATA'!X15:AI15,4)="901A"), "ineligible misd","eligible"),"n/a")</f>
        <v>n/a</v>
      </c>
      <c r="O14" s="40" t="str">
        <f>IF(N14="eligible",IF(COUNTIF('CASE DATA'!$D$4:$D$200, "")-COUNTIF('CASE DATA'!$A$4:$A$200, "")&gt;0, "YES","NO"),"N/A")</f>
        <v>N/A</v>
      </c>
      <c r="P14" s="40" t="str">
        <f>IF(N14="eligible",BANKRUPTCY!C15+BANKRUPTCY!D15,"N/A")</f>
        <v>N/A</v>
      </c>
      <c r="Q14" s="40" t="str">
        <f>IF(N14="eligible",SOL!C15+SOL!D15,"N/A")</f>
        <v>N/A</v>
      </c>
      <c r="R14" s="40" t="str">
        <f>IF(N14="eligible",SUM('CASE DATA'!K15:T15),"N/A")</f>
        <v>N/A</v>
      </c>
      <c r="S14" s="40" t="str">
        <f>IF(N14="eligible",IF(C14+2920&lt;'BASIC INFO'!$B$3, "YES", "NO"),"N/A")</f>
        <v>N/A</v>
      </c>
      <c r="T14" s="39" t="str">
        <f>IF(OR('CASE DATA'!G15="DEF"), "YES", "NO")</f>
        <v>NO</v>
      </c>
      <c r="U14" s="35" t="str">
        <f>IF(T14="YES",'CASE DATA'!I15,"N/A")</f>
        <v>N/A</v>
      </c>
      <c r="V14" s="40" t="str">
        <f>IF(T14="YES",BANKRUPTCY!C15+BANKRUPTCY!D15,"N/A")</f>
        <v>N/A</v>
      </c>
      <c r="W14" s="40" t="str">
        <f>IF(T14="YES",SUM('CASE DATA'!K15:T15),"N/A")</f>
        <v>N/A</v>
      </c>
      <c r="X14" s="35" t="str">
        <f>IF(OR('CASE DATA'!F15="123.46",'CASE DATA'!F15="123.47"),"YES","NO")</f>
        <v>NO</v>
      </c>
      <c r="Y14" s="40" t="str">
        <f>IF(X14="YES",IF(C14+730.5&lt;'BASIC INFO'!$B$3, "YES","NO"), "N/A")</f>
        <v>N/A</v>
      </c>
      <c r="Z14" s="35" t="str">
        <f>IF('CASE DATA'!F15="725.1","YES","NO")</f>
        <v>NO</v>
      </c>
      <c r="AA14" s="35" t="str">
        <f>IF(Z14="YES",IF(C14+730.5&lt;'BASIC INFO'!$B$3, "YES","NO"), "N/A")</f>
        <v>N/A</v>
      </c>
      <c r="AB14" s="35" t="str">
        <f>IF('BASIC INFO'!$B$6+6574.5&gt;C14, "YES", "NO")</f>
        <v>YES</v>
      </c>
    </row>
    <row r="15" spans="1:31" x14ac:dyDescent="0.25">
      <c r="A15" s="35" t="str">
        <f>IF('CASE DATA'!A16="","z",'CASE DATA'!A16)</f>
        <v>z</v>
      </c>
      <c r="B15" s="66" t="str">
        <f>IF('CASE DATA'!A16="","",'CASE DATA'!E16)</f>
        <v/>
      </c>
      <c r="C15" s="36">
        <f>'CASE DATA'!D16</f>
        <v>0</v>
      </c>
      <c r="D15" s="37" t="str">
        <f>IF('CASE DATA'!I16="YES",SUM('CASE DATA'!K16:Q16),"n/a")</f>
        <v>n/a</v>
      </c>
      <c r="E15" s="38" t="str">
        <f>IF('CASE DATA'!G16="JUV", "YES", "NO")</f>
        <v>NO</v>
      </c>
      <c r="F15" s="38" t="str">
        <f t="array" ref="F15">IF(E15="YES",IF(SUM(COUNTIF('CASE DATA'!$G$4:$G$200, {"GTR","GPL","DEF","JUV"}))&gt;0, "YES","NO"),"N/A")</f>
        <v>N/A</v>
      </c>
      <c r="G15" s="38" t="str">
        <f>IF(E15="YES",IF(COUNTIF('CASE DATA'!$D$4:$D$200, "")-COUNTIF('CASE DATA'!$A$4:$A$200, "")&gt;0, "YES","NO"),"N/A")</f>
        <v>N/A</v>
      </c>
      <c r="H15" s="35" t="str">
        <f>_xlfn.IFS(E15="NO", "N/A", AND('BASIC INFO'!$B$3&gt;'BASIC INFO'!$B$6+6574.5, C15+730.5&lt;'BASIC INFO'!$B$3), "YES", 'BASIC INFO'!$B$3&lt;('BASIC INFO'!$B$6+6574.5), "NOT YET 18", C15+730.5&gt;'BASIC INFO'!$B$3, "NOT YET 2 YEARS")</f>
        <v>N/A</v>
      </c>
      <c r="I15" s="39" t="str">
        <f>IF(OR(AND(LEFT('CASE DATA'!F16,4)="321.",MID('CASE DATA'!A16,8,2)="SM"),MID('CASE DATA'!A16,8,2)="ST",MID('CASE DATA'!A16,8,2)="NT"),"TRAFFIC",IF(OR('CASE DATA'!G16="DISM", 'CASE DATA'!G16="ACQ", 'CASE DATA'!G16="NOTF", 'CASE DATA'!G16="WTHD", 'CASE DATA'!G16="TNSF"), "YES", "NO"))</f>
        <v>NO</v>
      </c>
      <c r="J15" s="40" t="str">
        <f>IF(I15="YES",'CASE DATA'!U16,"N/A")</f>
        <v>N/A</v>
      </c>
      <c r="K15" s="40" t="str">
        <f>IF(I15="YES",SOL!C16+SOL!D16,"N/A")</f>
        <v>N/A</v>
      </c>
      <c r="L15" s="35" t="str">
        <f>IF(I15="YES",IF(C15+180&lt;'BASIC INFO'!$B$3, "YES", "NO"),"N/A")</f>
        <v>N/A</v>
      </c>
      <c r="M15" s="40" t="str">
        <f t="array" ref="M15">IF(I15="TRAFFIC","n/a",IF(OR('CASE DATA'!G16="GTR", 'CASE DATA'!G16="GPL"),IF(SUM(COUNTIF('CASE DATA'!X16:AI16, 'CODE SECTIONS'!$V$2:$V$218&amp;"*"))&gt;0,"NO","YES"),"n/a"))</f>
        <v>n/a</v>
      </c>
      <c r="N15" s="40" t="str">
        <f t="array" ref="N15">IF(M15="YES",IF(OR((SUM(COUNTIF('CASE DATA'!X16:AI16,'CODE SECTIONS'!$X$2:$X$19&amp;"*"))&gt;0),LEFT('CASE DATA'!X16:AI16,4)="717C", LEFT('CASE DATA'!X16:AI16, 3)="719", LEFT('CASE DATA'!X16:AI16,3)="720", LEFT('CASE DATA'!X16:AI16,3)="724", LEFT('CASE DATA'!X16:AI16,3)="726", LEFT('CASE DATA'!X16:AI16,3)="728", LEFT('CASE DATA'!X16:AI16,4)="901A"), "ineligible misd","eligible"),"n/a")</f>
        <v>n/a</v>
      </c>
      <c r="O15" s="40" t="str">
        <f>IF(N15="eligible",IF(COUNTIF('CASE DATA'!$D$4:$D$200, "")-COUNTIF('CASE DATA'!$A$4:$A$200, "")&gt;0, "YES","NO"),"N/A")</f>
        <v>N/A</v>
      </c>
      <c r="P15" s="40" t="str">
        <f>IF(N15="eligible",BANKRUPTCY!C16+BANKRUPTCY!D16,"N/A")</f>
        <v>N/A</v>
      </c>
      <c r="Q15" s="40" t="str">
        <f>IF(N15="eligible",SOL!C16+SOL!D16,"N/A")</f>
        <v>N/A</v>
      </c>
      <c r="R15" s="40" t="str">
        <f>IF(N15="eligible",SUM('CASE DATA'!K16:T16),"N/A")</f>
        <v>N/A</v>
      </c>
      <c r="S15" s="40" t="str">
        <f>IF(N15="eligible",IF(C15+2920&lt;'BASIC INFO'!$B$3, "YES", "NO"),"N/A")</f>
        <v>N/A</v>
      </c>
      <c r="T15" s="39" t="str">
        <f>IF(OR('CASE DATA'!G16="DEF"), "YES", "NO")</f>
        <v>NO</v>
      </c>
      <c r="U15" s="35" t="str">
        <f>IF(T15="YES",'CASE DATA'!I16,"N/A")</f>
        <v>N/A</v>
      </c>
      <c r="V15" s="40" t="str">
        <f>IF(T15="YES",BANKRUPTCY!C16+BANKRUPTCY!D16,"N/A")</f>
        <v>N/A</v>
      </c>
      <c r="W15" s="40" t="str">
        <f>IF(T15="YES",SUM('CASE DATA'!K16:T16),"N/A")</f>
        <v>N/A</v>
      </c>
      <c r="X15" s="35" t="str">
        <f>IF(OR('CASE DATA'!F16="123.46",'CASE DATA'!F16="123.47"),"YES","NO")</f>
        <v>NO</v>
      </c>
      <c r="Y15" s="40" t="str">
        <f>IF(X15="YES",IF(C15+730.5&lt;'BASIC INFO'!$B$3, "YES","NO"), "N/A")</f>
        <v>N/A</v>
      </c>
      <c r="Z15" s="35" t="str">
        <f>IF('CASE DATA'!F16="725.1","YES","NO")</f>
        <v>NO</v>
      </c>
      <c r="AA15" s="35" t="str">
        <f>IF(Z15="YES",IF(C15+730.5&lt;'BASIC INFO'!$B$3, "YES","NO"), "N/A")</f>
        <v>N/A</v>
      </c>
      <c r="AB15" s="35" t="str">
        <f>IF('BASIC INFO'!$B$6+6574.5&gt;C15, "YES", "NO")</f>
        <v>YES</v>
      </c>
    </row>
    <row r="16" spans="1:31" x14ac:dyDescent="0.25">
      <c r="A16" s="35" t="str">
        <f>IF('CASE DATA'!A17="","z",'CASE DATA'!A17)</f>
        <v>z</v>
      </c>
      <c r="B16" s="66" t="str">
        <f>IF('CASE DATA'!A17="","",'CASE DATA'!E17)</f>
        <v/>
      </c>
      <c r="C16" s="36">
        <f>'CASE DATA'!D17</f>
        <v>0</v>
      </c>
      <c r="D16" s="37" t="str">
        <f>IF('CASE DATA'!I17="YES",SUM('CASE DATA'!K17:Q17),"n/a")</f>
        <v>n/a</v>
      </c>
      <c r="E16" s="38" t="str">
        <f>IF('CASE DATA'!G17="JUV", "YES", "NO")</f>
        <v>NO</v>
      </c>
      <c r="F16" s="38" t="str">
        <f t="array" ref="F16">IF(E16="YES",IF(SUM(COUNTIF('CASE DATA'!$G$4:$G$200, {"GTR","GPL","DEF","JUV"}))&gt;0, "YES","NO"),"N/A")</f>
        <v>N/A</v>
      </c>
      <c r="G16" s="38" t="str">
        <f>IF(E16="YES",IF(COUNTIF('CASE DATA'!$D$4:$D$200, "")-COUNTIF('CASE DATA'!$A$4:$A$200, "")&gt;0, "YES","NO"),"N/A")</f>
        <v>N/A</v>
      </c>
      <c r="H16" s="35" t="str">
        <f>_xlfn.IFS(E16="NO", "N/A", AND('BASIC INFO'!$B$3&gt;'BASIC INFO'!$B$6+6574.5, C16+730.5&lt;'BASIC INFO'!$B$3), "YES", 'BASIC INFO'!$B$3&lt;('BASIC INFO'!$B$6+6574.5), "NOT YET 18", C16+730.5&gt;'BASIC INFO'!$B$3, "NOT YET 2 YEARS")</f>
        <v>N/A</v>
      </c>
      <c r="I16" s="39" t="str">
        <f>IF(OR(AND(LEFT('CASE DATA'!F17,4)="321.",MID('CASE DATA'!A17,8,2)="SM"),MID('CASE DATA'!A17,8,2)="ST",MID('CASE DATA'!A17,8,2)="NT"),"TRAFFIC",IF(OR('CASE DATA'!G17="DISM", 'CASE DATA'!G17="ACQ", 'CASE DATA'!G17="NOTF", 'CASE DATA'!G17="WTHD", 'CASE DATA'!G17="TNSF"), "YES", "NO"))</f>
        <v>NO</v>
      </c>
      <c r="J16" s="40" t="str">
        <f>IF(I16="YES",'CASE DATA'!U17,"N/A")</f>
        <v>N/A</v>
      </c>
      <c r="K16" s="40" t="str">
        <f>IF(I16="YES",SOL!C17+SOL!D17,"N/A")</f>
        <v>N/A</v>
      </c>
      <c r="L16" s="35" t="str">
        <f>IF(I16="YES",IF(C16+180&lt;'BASIC INFO'!$B$3, "YES", "NO"),"N/A")</f>
        <v>N/A</v>
      </c>
      <c r="M16" s="40" t="str">
        <f t="array" ref="M16">IF(I16="TRAFFIC","n/a",IF(OR('CASE DATA'!G17="GTR", 'CASE DATA'!G17="GPL"),IF(SUM(COUNTIF('CASE DATA'!X17:AI17, 'CODE SECTIONS'!$V$2:$V$218&amp;"*"))&gt;0,"NO","YES"),"n/a"))</f>
        <v>n/a</v>
      </c>
      <c r="N16" s="40" t="str">
        <f t="array" ref="N16">IF(M16="YES",IF(OR((SUM(COUNTIF('CASE DATA'!X17:AI17,'CODE SECTIONS'!$X$2:$X$19&amp;"*"))&gt;0),LEFT('CASE DATA'!X17:AI17,4)="717C", LEFT('CASE DATA'!X17:AI17, 3)="719", LEFT('CASE DATA'!X17:AI17,3)="720", LEFT('CASE DATA'!X17:AI17,3)="724", LEFT('CASE DATA'!X17:AI17,3)="726", LEFT('CASE DATA'!X17:AI17,3)="728", LEFT('CASE DATA'!X17:AI17,4)="901A"), "ineligible misd","eligible"),"n/a")</f>
        <v>n/a</v>
      </c>
      <c r="O16" s="40" t="str">
        <f>IF(N16="eligible",IF(COUNTIF('CASE DATA'!$D$4:$D$200, "")-COUNTIF('CASE DATA'!$A$4:$A$200, "")&gt;0, "YES","NO"),"N/A")</f>
        <v>N/A</v>
      </c>
      <c r="P16" s="40" t="str">
        <f>IF(N16="eligible",BANKRUPTCY!C17+BANKRUPTCY!D17,"N/A")</f>
        <v>N/A</v>
      </c>
      <c r="Q16" s="40" t="str">
        <f>IF(N16="eligible",SOL!C17+SOL!D17,"N/A")</f>
        <v>N/A</v>
      </c>
      <c r="R16" s="40" t="str">
        <f>IF(N16="eligible",SUM('CASE DATA'!K17:T17),"N/A")</f>
        <v>N/A</v>
      </c>
      <c r="S16" s="40" t="str">
        <f>IF(N16="eligible",IF(C16+2920&lt;'BASIC INFO'!$B$3, "YES", "NO"),"N/A")</f>
        <v>N/A</v>
      </c>
      <c r="T16" s="39" t="str">
        <f>IF(OR('CASE DATA'!G17="DEF"), "YES", "NO")</f>
        <v>NO</v>
      </c>
      <c r="U16" s="35" t="str">
        <f>IF(T16="YES",'CASE DATA'!I17,"N/A")</f>
        <v>N/A</v>
      </c>
      <c r="V16" s="40" t="str">
        <f>IF(T16="YES",BANKRUPTCY!C17+BANKRUPTCY!D17,"N/A")</f>
        <v>N/A</v>
      </c>
      <c r="W16" s="40" t="str">
        <f>IF(T16="YES",SUM('CASE DATA'!K17:T17),"N/A")</f>
        <v>N/A</v>
      </c>
      <c r="X16" s="35" t="str">
        <f>IF(OR('CASE DATA'!F17="123.46",'CASE DATA'!F17="123.47"),"YES","NO")</f>
        <v>NO</v>
      </c>
      <c r="Y16" s="40" t="str">
        <f>IF(X16="YES",IF(C16+730.5&lt;'BASIC INFO'!$B$3, "YES","NO"), "N/A")</f>
        <v>N/A</v>
      </c>
      <c r="Z16" s="35" t="str">
        <f>IF('CASE DATA'!F17="725.1","YES","NO")</f>
        <v>NO</v>
      </c>
      <c r="AA16" s="35" t="str">
        <f>IF(Z16="YES",IF(C16+730.5&lt;'BASIC INFO'!$B$3, "YES","NO"), "N/A")</f>
        <v>N/A</v>
      </c>
      <c r="AB16" s="35" t="str">
        <f>IF('BASIC INFO'!$B$6+6574.5&gt;C16, "YES", "NO")</f>
        <v>YES</v>
      </c>
    </row>
    <row r="17" spans="1:28" x14ac:dyDescent="0.25">
      <c r="A17" s="35" t="str">
        <f>IF('CASE DATA'!A18="","z",'CASE DATA'!A18)</f>
        <v>z</v>
      </c>
      <c r="B17" s="66" t="str">
        <f>IF('CASE DATA'!A18="","",'CASE DATA'!E18)</f>
        <v/>
      </c>
      <c r="C17" s="36">
        <f>'CASE DATA'!D18</f>
        <v>0</v>
      </c>
      <c r="D17" s="37" t="str">
        <f>IF('CASE DATA'!I18="YES",SUM('CASE DATA'!K18:Q18),"n/a")</f>
        <v>n/a</v>
      </c>
      <c r="E17" s="38" t="str">
        <f>IF('CASE DATA'!G18="JUV", "YES", "NO")</f>
        <v>NO</v>
      </c>
      <c r="F17" s="38" t="str">
        <f t="array" ref="F17">IF(E17="YES",IF(SUM(COUNTIF('CASE DATA'!$G$4:$G$200, {"GTR","GPL","DEF","JUV"}))&gt;0, "YES","NO"),"N/A")</f>
        <v>N/A</v>
      </c>
      <c r="G17" s="38" t="str">
        <f>IF(E17="YES",IF(COUNTIF('CASE DATA'!$D$4:$D$200, "")-COUNTIF('CASE DATA'!$A$4:$A$200, "")&gt;0, "YES","NO"),"N/A")</f>
        <v>N/A</v>
      </c>
      <c r="H17" s="35" t="str">
        <f>_xlfn.IFS(E17="NO", "N/A", AND('BASIC INFO'!$B$3&gt;'BASIC INFO'!$B$6+6574.5, C17+730.5&lt;'BASIC INFO'!$B$3), "YES", 'BASIC INFO'!$B$3&lt;('BASIC INFO'!$B$6+6574.5), "NOT YET 18", C17+730.5&gt;'BASIC INFO'!$B$3, "NOT YET 2 YEARS")</f>
        <v>N/A</v>
      </c>
      <c r="I17" s="39" t="str">
        <f>IF(OR(AND(LEFT('CASE DATA'!F18,4)="321.",MID('CASE DATA'!A18,8,2)="SM"),MID('CASE DATA'!A18,8,2)="ST",MID('CASE DATA'!A18,8,2)="NT"),"TRAFFIC",IF(OR('CASE DATA'!G18="DISM", 'CASE DATA'!G18="ACQ", 'CASE DATA'!G18="NOTF", 'CASE DATA'!G18="WTHD", 'CASE DATA'!G18="TNSF"), "YES", "NO"))</f>
        <v>NO</v>
      </c>
      <c r="J17" s="40" t="str">
        <f>IF(I17="YES",'CASE DATA'!U18,"N/A")</f>
        <v>N/A</v>
      </c>
      <c r="K17" s="40" t="str">
        <f>IF(I17="YES",SOL!C18+SOL!D18,"N/A")</f>
        <v>N/A</v>
      </c>
      <c r="L17" s="35" t="str">
        <f>IF(I17="YES",IF(C17+180&lt;'BASIC INFO'!$B$3, "YES", "NO"),"N/A")</f>
        <v>N/A</v>
      </c>
      <c r="M17" s="40" t="str">
        <f t="array" ref="M17">IF(I17="TRAFFIC","n/a",IF(OR('CASE DATA'!G18="GTR", 'CASE DATA'!G18="GPL"),IF(SUM(COUNTIF('CASE DATA'!X18:AI18, 'CODE SECTIONS'!$V$2:$V$218&amp;"*"))&gt;0,"NO","YES"),"n/a"))</f>
        <v>n/a</v>
      </c>
      <c r="N17" s="40" t="str">
        <f t="array" ref="N17">IF(M17="YES",IF(OR((SUM(COUNTIF('CASE DATA'!X18:AI18,'CODE SECTIONS'!$X$2:$X$19&amp;"*"))&gt;0),LEFT('CASE DATA'!X18:AI18,4)="717C", LEFT('CASE DATA'!X18:AI18, 3)="719", LEFT('CASE DATA'!X18:AI18,3)="720", LEFT('CASE DATA'!X18:AI18,3)="724", LEFT('CASE DATA'!X18:AI18,3)="726", LEFT('CASE DATA'!X18:AI18,3)="728", LEFT('CASE DATA'!X18:AI18,4)="901A"), "ineligible misd","eligible"),"n/a")</f>
        <v>n/a</v>
      </c>
      <c r="O17" s="40" t="str">
        <f>IF(N17="eligible",IF(COUNTIF('CASE DATA'!$D$4:$D$200, "")-COUNTIF('CASE DATA'!$A$4:$A$200, "")&gt;0, "YES","NO"),"N/A")</f>
        <v>N/A</v>
      </c>
      <c r="P17" s="40" t="str">
        <f>IF(N17="eligible",BANKRUPTCY!C18+BANKRUPTCY!D18,"N/A")</f>
        <v>N/A</v>
      </c>
      <c r="Q17" s="40" t="str">
        <f>IF(N17="eligible",SOL!C18+SOL!D18,"N/A")</f>
        <v>N/A</v>
      </c>
      <c r="R17" s="40" t="str">
        <f>IF(N17="eligible",SUM('CASE DATA'!K18:T18),"N/A")</f>
        <v>N/A</v>
      </c>
      <c r="S17" s="40" t="str">
        <f>IF(N17="eligible",IF(C17+2920&lt;'BASIC INFO'!$B$3, "YES", "NO"),"N/A")</f>
        <v>N/A</v>
      </c>
      <c r="T17" s="39" t="str">
        <f>IF(OR('CASE DATA'!G18="DEF"), "YES", "NO")</f>
        <v>NO</v>
      </c>
      <c r="U17" s="35" t="str">
        <f>IF(T17="YES",'CASE DATA'!I18,"N/A")</f>
        <v>N/A</v>
      </c>
      <c r="V17" s="40" t="str">
        <f>IF(T17="YES",BANKRUPTCY!C18+BANKRUPTCY!D18,"N/A")</f>
        <v>N/A</v>
      </c>
      <c r="W17" s="40" t="str">
        <f>IF(T17="YES",SUM('CASE DATA'!K18:T18),"N/A")</f>
        <v>N/A</v>
      </c>
      <c r="X17" s="35" t="str">
        <f>IF(OR('CASE DATA'!F18="123.46",'CASE DATA'!F18="123.47"),"YES","NO")</f>
        <v>NO</v>
      </c>
      <c r="Y17" s="40" t="str">
        <f>IF(X17="YES",IF(C17+730.5&lt;'BASIC INFO'!$B$3, "YES","NO"), "N/A")</f>
        <v>N/A</v>
      </c>
      <c r="Z17" s="35" t="str">
        <f>IF('CASE DATA'!F18="725.1","YES","NO")</f>
        <v>NO</v>
      </c>
      <c r="AA17" s="35" t="str">
        <f>IF(Z17="YES",IF(C17+730.5&lt;'BASIC INFO'!$B$3, "YES","NO"), "N/A")</f>
        <v>N/A</v>
      </c>
      <c r="AB17" s="35" t="str">
        <f>IF('BASIC INFO'!$B$6+6574.5&gt;C17, "YES", "NO")</f>
        <v>YES</v>
      </c>
    </row>
    <row r="18" spans="1:28" x14ac:dyDescent="0.25">
      <c r="A18" s="35" t="str">
        <f>IF('CASE DATA'!A19="","z",'CASE DATA'!A19)</f>
        <v>z</v>
      </c>
      <c r="B18" s="66" t="str">
        <f>IF('CASE DATA'!A19="","",'CASE DATA'!E19)</f>
        <v/>
      </c>
      <c r="C18" s="36">
        <f>'CASE DATA'!D19</f>
        <v>0</v>
      </c>
      <c r="D18" s="37" t="str">
        <f>IF('CASE DATA'!I19="YES",SUM('CASE DATA'!K19:Q19),"n/a")</f>
        <v>n/a</v>
      </c>
      <c r="E18" s="38" t="str">
        <f>IF('CASE DATA'!G19="JUV", "YES", "NO")</f>
        <v>NO</v>
      </c>
      <c r="F18" s="38" t="str">
        <f t="array" ref="F18">IF(E18="YES",IF(SUM(COUNTIF('CASE DATA'!$G$4:$G$200, {"GTR","GPL","DEF","JUV"}))&gt;0, "YES","NO"),"N/A")</f>
        <v>N/A</v>
      </c>
      <c r="G18" s="38" t="str">
        <f>IF(E18="YES",IF(COUNTIF('CASE DATA'!$D$4:$D$200, "")-COUNTIF('CASE DATA'!$A$4:$A$200, "")&gt;0, "YES","NO"),"N/A")</f>
        <v>N/A</v>
      </c>
      <c r="H18" s="35" t="str">
        <f>_xlfn.IFS(E18="NO", "N/A", AND('BASIC INFO'!$B$3&gt;'BASIC INFO'!$B$6+6574.5, C18+730.5&lt;'BASIC INFO'!$B$3), "YES", 'BASIC INFO'!$B$3&lt;('BASIC INFO'!$B$6+6574.5), "NOT YET 18", C18+730.5&gt;'BASIC INFO'!$B$3, "NOT YET 2 YEARS")</f>
        <v>N/A</v>
      </c>
      <c r="I18" s="39" t="str">
        <f>IF(OR(AND(LEFT('CASE DATA'!F19,4)="321.",MID('CASE DATA'!A19,8,2)="SM"),MID('CASE DATA'!A19,8,2)="ST",MID('CASE DATA'!A19,8,2)="NT"),"TRAFFIC",IF(OR('CASE DATA'!G19="DISM", 'CASE DATA'!G19="ACQ", 'CASE DATA'!G19="NOTF", 'CASE DATA'!G19="WTHD", 'CASE DATA'!G19="TNSF"), "YES", "NO"))</f>
        <v>NO</v>
      </c>
      <c r="J18" s="40" t="str">
        <f>IF(I18="YES",'CASE DATA'!U19,"N/A")</f>
        <v>N/A</v>
      </c>
      <c r="K18" s="40" t="str">
        <f>IF(I18="YES",SOL!C19+SOL!D19,"N/A")</f>
        <v>N/A</v>
      </c>
      <c r="L18" s="35" t="str">
        <f>IF(I18="YES",IF(C18+180&lt;'BASIC INFO'!$B$3, "YES", "NO"),"N/A")</f>
        <v>N/A</v>
      </c>
      <c r="M18" s="40" t="str">
        <f t="array" ref="M18">IF(I18="TRAFFIC","n/a",IF(OR('CASE DATA'!G19="GTR", 'CASE DATA'!G19="GPL"),IF(SUM(COUNTIF('CASE DATA'!X19:AI19, 'CODE SECTIONS'!$V$2:$V$218&amp;"*"))&gt;0,"NO","YES"),"n/a"))</f>
        <v>n/a</v>
      </c>
      <c r="N18" s="40" t="str">
        <f t="array" ref="N18">IF(M18="YES",IF(OR((SUM(COUNTIF('CASE DATA'!X19:AI19,'CODE SECTIONS'!$X$2:$X$19&amp;"*"))&gt;0),LEFT('CASE DATA'!X19:AI19,4)="717C", LEFT('CASE DATA'!X19:AI19, 3)="719", LEFT('CASE DATA'!X19:AI19,3)="720", LEFT('CASE DATA'!X19:AI19,3)="724", LEFT('CASE DATA'!X19:AI19,3)="726", LEFT('CASE DATA'!X19:AI19,3)="728", LEFT('CASE DATA'!X19:AI19,4)="901A"), "ineligible misd","eligible"),"n/a")</f>
        <v>n/a</v>
      </c>
      <c r="O18" s="40" t="str">
        <f>IF(N18="eligible",IF(COUNTIF('CASE DATA'!$D$4:$D$200, "")-COUNTIF('CASE DATA'!$A$4:$A$200, "")&gt;0, "YES","NO"),"N/A")</f>
        <v>N/A</v>
      </c>
      <c r="P18" s="40" t="str">
        <f>IF(N18="eligible",BANKRUPTCY!C19+BANKRUPTCY!D19,"N/A")</f>
        <v>N/A</v>
      </c>
      <c r="Q18" s="40" t="str">
        <f>IF(N18="eligible",SOL!C19+SOL!D19,"N/A")</f>
        <v>N/A</v>
      </c>
      <c r="R18" s="40" t="str">
        <f>IF(N18="eligible",SUM('CASE DATA'!K19:T19),"N/A")</f>
        <v>N/A</v>
      </c>
      <c r="S18" s="40" t="str">
        <f>IF(N18="eligible",IF(C18+2920&lt;'BASIC INFO'!$B$3, "YES", "NO"),"N/A")</f>
        <v>N/A</v>
      </c>
      <c r="T18" s="39" t="str">
        <f>IF(OR('CASE DATA'!G19="DEF"), "YES", "NO")</f>
        <v>NO</v>
      </c>
      <c r="U18" s="35" t="str">
        <f>IF(T18="YES",'CASE DATA'!I19,"N/A")</f>
        <v>N/A</v>
      </c>
      <c r="V18" s="40" t="str">
        <f>IF(T18="YES",BANKRUPTCY!C19+BANKRUPTCY!D19,"N/A")</f>
        <v>N/A</v>
      </c>
      <c r="W18" s="40" t="str">
        <f>IF(T18="YES",SUM('CASE DATA'!K19:T19),"N/A")</f>
        <v>N/A</v>
      </c>
      <c r="X18" s="35" t="str">
        <f>IF(OR('CASE DATA'!F19="123.46",'CASE DATA'!F19="123.47"),"YES","NO")</f>
        <v>NO</v>
      </c>
      <c r="Y18" s="40" t="str">
        <f>IF(X18="YES",IF(C18+730.5&lt;'BASIC INFO'!$B$3, "YES","NO"), "N/A")</f>
        <v>N/A</v>
      </c>
      <c r="Z18" s="35" t="str">
        <f>IF('CASE DATA'!F19="725.1","YES","NO")</f>
        <v>NO</v>
      </c>
      <c r="AA18" s="35" t="str">
        <f>IF(Z18="YES",IF(C18+730.5&lt;'BASIC INFO'!$B$3, "YES","NO"), "N/A")</f>
        <v>N/A</v>
      </c>
      <c r="AB18" s="35" t="str">
        <f>IF('BASIC INFO'!$B$6+6574.5&gt;C18, "YES", "NO")</f>
        <v>YES</v>
      </c>
    </row>
    <row r="19" spans="1:28" x14ac:dyDescent="0.25">
      <c r="A19" s="35" t="str">
        <f>IF('CASE DATA'!A20="","z",'CASE DATA'!A20)</f>
        <v>z</v>
      </c>
      <c r="B19" s="66" t="str">
        <f>IF('CASE DATA'!A20="","",'CASE DATA'!E20)</f>
        <v/>
      </c>
      <c r="C19" s="36">
        <f>'CASE DATA'!D20</f>
        <v>0</v>
      </c>
      <c r="D19" s="37" t="str">
        <f>IF('CASE DATA'!I20="YES",SUM('CASE DATA'!K20:Q20),"n/a")</f>
        <v>n/a</v>
      </c>
      <c r="E19" s="38" t="str">
        <f>IF('CASE DATA'!G20="JUV", "YES", "NO")</f>
        <v>NO</v>
      </c>
      <c r="F19" s="38" t="str">
        <f t="array" ref="F19">IF(E19="YES",IF(SUM(COUNTIF('CASE DATA'!$G$4:$G$200, {"GTR","GPL","DEF","JUV"}))&gt;0, "YES","NO"),"N/A")</f>
        <v>N/A</v>
      </c>
      <c r="G19" s="38" t="str">
        <f>IF(E19="YES",IF(COUNTIF('CASE DATA'!$D$4:$D$200, "")-COUNTIF('CASE DATA'!$A$4:$A$200, "")&gt;0, "YES","NO"),"N/A")</f>
        <v>N/A</v>
      </c>
      <c r="H19" s="35" t="str">
        <f>_xlfn.IFS(E19="NO", "N/A", AND('BASIC INFO'!$B$3&gt;'BASIC INFO'!$B$6+6574.5, C19+730.5&lt;'BASIC INFO'!$B$3), "YES", 'BASIC INFO'!$B$3&lt;('BASIC INFO'!$B$6+6574.5), "NOT YET 18", C19+730.5&gt;'BASIC INFO'!$B$3, "NOT YET 2 YEARS")</f>
        <v>N/A</v>
      </c>
      <c r="I19" s="39" t="str">
        <f>IF(OR(AND(LEFT('CASE DATA'!F20,4)="321.",MID('CASE DATA'!A20,8,2)="SM"),MID('CASE DATA'!A20,8,2)="ST",MID('CASE DATA'!A20,8,2)="NT"),"TRAFFIC",IF(OR('CASE DATA'!G20="DISM", 'CASE DATA'!G20="ACQ", 'CASE DATA'!G20="NOTF", 'CASE DATA'!G20="WTHD", 'CASE DATA'!G20="TNSF"), "YES", "NO"))</f>
        <v>NO</v>
      </c>
      <c r="J19" s="40" t="str">
        <f>IF(I19="YES",'CASE DATA'!U20,"N/A")</f>
        <v>N/A</v>
      </c>
      <c r="K19" s="40" t="str">
        <f>IF(I19="YES",SOL!C20+SOL!D20,"N/A")</f>
        <v>N/A</v>
      </c>
      <c r="L19" s="35" t="str">
        <f>IF(I19="YES",IF(C19+180&lt;'BASIC INFO'!$B$3, "YES", "NO"),"N/A")</f>
        <v>N/A</v>
      </c>
      <c r="M19" s="40" t="str">
        <f t="array" ref="M19">IF(I19="TRAFFIC","n/a",IF(OR('CASE DATA'!G20="GTR", 'CASE DATA'!G20="GPL"),IF(SUM(COUNTIF('CASE DATA'!X20:AI20, 'CODE SECTIONS'!$V$2:$V$218&amp;"*"))&gt;0,"NO","YES"),"n/a"))</f>
        <v>n/a</v>
      </c>
      <c r="N19" s="40" t="str">
        <f t="array" ref="N19">IF(M19="YES",IF(OR((SUM(COUNTIF('CASE DATA'!X20:AI20,'CODE SECTIONS'!$X$2:$X$19&amp;"*"))&gt;0),LEFT('CASE DATA'!X20:AI20,4)="717C", LEFT('CASE DATA'!X20:AI20, 3)="719", LEFT('CASE DATA'!X20:AI20,3)="720", LEFT('CASE DATA'!X20:AI20,3)="724", LEFT('CASE DATA'!X20:AI20,3)="726", LEFT('CASE DATA'!X20:AI20,3)="728", LEFT('CASE DATA'!X20:AI20,4)="901A"), "ineligible misd","eligible"),"n/a")</f>
        <v>n/a</v>
      </c>
      <c r="O19" s="40" t="str">
        <f>IF(N19="eligible",IF(COUNTIF('CASE DATA'!$D$4:$D$200, "")-COUNTIF('CASE DATA'!$A$4:$A$200, "")&gt;0, "YES","NO"),"N/A")</f>
        <v>N/A</v>
      </c>
      <c r="P19" s="40" t="str">
        <f>IF(N19="eligible",BANKRUPTCY!C20+BANKRUPTCY!D20,"N/A")</f>
        <v>N/A</v>
      </c>
      <c r="Q19" s="40" t="str">
        <f>IF(N19="eligible",SOL!C20+SOL!D20,"N/A")</f>
        <v>N/A</v>
      </c>
      <c r="R19" s="40" t="str">
        <f>IF(N19="eligible",SUM('CASE DATA'!K20:T20),"N/A")</f>
        <v>N/A</v>
      </c>
      <c r="S19" s="40" t="str">
        <f>IF(N19="eligible",IF(C19+2920&lt;'BASIC INFO'!$B$3, "YES", "NO"),"N/A")</f>
        <v>N/A</v>
      </c>
      <c r="T19" s="39" t="str">
        <f>IF(OR('CASE DATA'!G20="DEF"), "YES", "NO")</f>
        <v>NO</v>
      </c>
      <c r="U19" s="35" t="str">
        <f>IF(T19="YES",'CASE DATA'!I20,"N/A")</f>
        <v>N/A</v>
      </c>
      <c r="V19" s="40" t="str">
        <f>IF(T19="YES",BANKRUPTCY!C20+BANKRUPTCY!D20,"N/A")</f>
        <v>N/A</v>
      </c>
      <c r="W19" s="40" t="str">
        <f>IF(T19="YES",SUM('CASE DATA'!K20:T20),"N/A")</f>
        <v>N/A</v>
      </c>
      <c r="X19" s="35" t="str">
        <f>IF(OR('CASE DATA'!F20="123.46",'CASE DATA'!F20="123.47"),"YES","NO")</f>
        <v>NO</v>
      </c>
      <c r="Y19" s="40" t="str">
        <f>IF(X19="YES",IF(C19+730.5&lt;'BASIC INFO'!$B$3, "YES","NO"), "N/A")</f>
        <v>N/A</v>
      </c>
      <c r="Z19" s="35" t="str">
        <f>IF('CASE DATA'!F20="725.1","YES","NO")</f>
        <v>NO</v>
      </c>
      <c r="AA19" s="35" t="str">
        <f>IF(Z19="YES",IF(C19+730.5&lt;'BASIC INFO'!$B$3, "YES","NO"), "N/A")</f>
        <v>N/A</v>
      </c>
      <c r="AB19" s="35" t="str">
        <f>IF('BASIC INFO'!$B$6+6574.5&gt;C19, "YES", "NO")</f>
        <v>YES</v>
      </c>
    </row>
    <row r="20" spans="1:28" x14ac:dyDescent="0.25">
      <c r="A20" s="35" t="str">
        <f>IF('CASE DATA'!A21="","z",'CASE DATA'!A21)</f>
        <v>z</v>
      </c>
      <c r="B20" s="66" t="str">
        <f>IF('CASE DATA'!A21="","",'CASE DATA'!E21)</f>
        <v/>
      </c>
      <c r="C20" s="36">
        <f>'CASE DATA'!D21</f>
        <v>0</v>
      </c>
      <c r="D20" s="37" t="str">
        <f>IF('CASE DATA'!I21="YES",SUM('CASE DATA'!K21:Q21),"n/a")</f>
        <v>n/a</v>
      </c>
      <c r="E20" s="38" t="str">
        <f>IF('CASE DATA'!G21="JUV", "YES", "NO")</f>
        <v>NO</v>
      </c>
      <c r="F20" s="38" t="str">
        <f t="array" ref="F20">IF(E20="YES",IF(SUM(COUNTIF('CASE DATA'!$G$4:$G$200, {"GTR","GPL","DEF","JUV"}))&gt;0, "YES","NO"),"N/A")</f>
        <v>N/A</v>
      </c>
      <c r="G20" s="38" t="str">
        <f>IF(E20="YES",IF(COUNTIF('CASE DATA'!$D$4:$D$200, "")-COUNTIF('CASE DATA'!$A$4:$A$200, "")&gt;0, "YES","NO"),"N/A")</f>
        <v>N/A</v>
      </c>
      <c r="H20" s="35" t="str">
        <f>_xlfn.IFS(E20="NO", "N/A", AND('BASIC INFO'!$B$3&gt;'BASIC INFO'!$B$6+6574.5, C20+730.5&lt;'BASIC INFO'!$B$3), "YES", 'BASIC INFO'!$B$3&lt;('BASIC INFO'!$B$6+6574.5), "NOT YET 18", C20+730.5&gt;'BASIC INFO'!$B$3, "NOT YET 2 YEARS")</f>
        <v>N/A</v>
      </c>
      <c r="I20" s="39" t="str">
        <f>IF(OR(AND(LEFT('CASE DATA'!F21,4)="321.",MID('CASE DATA'!A21,8,2)="SM"),MID('CASE DATA'!A21,8,2)="ST",MID('CASE DATA'!A21,8,2)="NT"),"TRAFFIC",IF(OR('CASE DATA'!G21="DISM", 'CASE DATA'!G21="ACQ", 'CASE DATA'!G21="NOTF", 'CASE DATA'!G21="WTHD", 'CASE DATA'!G21="TNSF"), "YES", "NO"))</f>
        <v>NO</v>
      </c>
      <c r="J20" s="40" t="str">
        <f>IF(I20="YES",'CASE DATA'!U21,"N/A")</f>
        <v>N/A</v>
      </c>
      <c r="K20" s="40" t="str">
        <f>IF(I20="YES",SOL!C21+SOL!D21,"N/A")</f>
        <v>N/A</v>
      </c>
      <c r="L20" s="35" t="str">
        <f>IF(I20="YES",IF(C20+180&lt;'BASIC INFO'!$B$3, "YES", "NO"),"N/A")</f>
        <v>N/A</v>
      </c>
      <c r="M20" s="40" t="str">
        <f t="array" ref="M20">IF(I20="TRAFFIC","n/a",IF(OR('CASE DATA'!G21="GTR", 'CASE DATA'!G21="GPL"),IF(SUM(COUNTIF('CASE DATA'!X21:AI21, 'CODE SECTIONS'!$V$2:$V$218&amp;"*"))&gt;0,"NO","YES"),"n/a"))</f>
        <v>n/a</v>
      </c>
      <c r="N20" s="40" t="str">
        <f t="array" ref="N20">IF(M20="YES",IF(OR((SUM(COUNTIF('CASE DATA'!X21:AI21,'CODE SECTIONS'!$X$2:$X$19&amp;"*"))&gt;0),LEFT('CASE DATA'!X21:AI21,4)="717C", LEFT('CASE DATA'!X21:AI21, 3)="719", LEFT('CASE DATA'!X21:AI21,3)="720", LEFT('CASE DATA'!X21:AI21,3)="724", LEFT('CASE DATA'!X21:AI21,3)="726", LEFT('CASE DATA'!X21:AI21,3)="728", LEFT('CASE DATA'!X21:AI21,4)="901A"), "ineligible misd","eligible"),"n/a")</f>
        <v>n/a</v>
      </c>
      <c r="O20" s="40" t="str">
        <f>IF(N20="eligible",IF(COUNTIF('CASE DATA'!$D$4:$D$200, "")-COUNTIF('CASE DATA'!$A$4:$A$200, "")&gt;0, "YES","NO"),"N/A")</f>
        <v>N/A</v>
      </c>
      <c r="P20" s="40" t="str">
        <f>IF(N20="eligible",BANKRUPTCY!C21+BANKRUPTCY!D21,"N/A")</f>
        <v>N/A</v>
      </c>
      <c r="Q20" s="40" t="str">
        <f>IF(N20="eligible",SOL!C21+SOL!D21,"N/A")</f>
        <v>N/A</v>
      </c>
      <c r="R20" s="40" t="str">
        <f>IF(N20="eligible",SUM('CASE DATA'!K21:T21),"N/A")</f>
        <v>N/A</v>
      </c>
      <c r="S20" s="40" t="str">
        <f>IF(N20="eligible",IF(C20+2920&lt;'BASIC INFO'!$B$3, "YES", "NO"),"N/A")</f>
        <v>N/A</v>
      </c>
      <c r="T20" s="39" t="str">
        <f>IF(OR('CASE DATA'!G21="DEF"), "YES", "NO")</f>
        <v>NO</v>
      </c>
      <c r="U20" s="35" t="str">
        <f>IF(T20="YES",'CASE DATA'!I21,"N/A")</f>
        <v>N/A</v>
      </c>
      <c r="V20" s="40" t="str">
        <f>IF(T20="YES",BANKRUPTCY!C21+BANKRUPTCY!D21,"N/A")</f>
        <v>N/A</v>
      </c>
      <c r="W20" s="40" t="str">
        <f>IF(T20="YES",SUM('CASE DATA'!K21:T21),"N/A")</f>
        <v>N/A</v>
      </c>
      <c r="X20" s="35" t="str">
        <f>IF(OR('CASE DATA'!F21="123.46",'CASE DATA'!F21="123.47"),"YES","NO")</f>
        <v>NO</v>
      </c>
      <c r="Y20" s="40" t="str">
        <f>IF(X20="YES",IF(C20+730.5&lt;'BASIC INFO'!$B$3, "YES","NO"), "N/A")</f>
        <v>N/A</v>
      </c>
      <c r="Z20" s="35" t="str">
        <f>IF('CASE DATA'!F21="725.1","YES","NO")</f>
        <v>NO</v>
      </c>
      <c r="AA20" s="35" t="str">
        <f>IF(Z20="YES",IF(C20+730.5&lt;'BASIC INFO'!$B$3, "YES","NO"), "N/A")</f>
        <v>N/A</v>
      </c>
      <c r="AB20" s="35" t="str">
        <f>IF('BASIC INFO'!$B$6+6574.5&gt;C20, "YES", "NO")</f>
        <v>YES</v>
      </c>
    </row>
    <row r="21" spans="1:28" x14ac:dyDescent="0.25">
      <c r="A21" s="35" t="str">
        <f>IF('CASE DATA'!A22="","z",'CASE DATA'!A22)</f>
        <v>z</v>
      </c>
      <c r="B21" s="66" t="str">
        <f>IF('CASE DATA'!A22="","",'CASE DATA'!E22)</f>
        <v/>
      </c>
      <c r="C21" s="36">
        <f>'CASE DATA'!D22</f>
        <v>0</v>
      </c>
      <c r="D21" s="37" t="str">
        <f>IF('CASE DATA'!I22="YES",SUM('CASE DATA'!K22:Q22),"n/a")</f>
        <v>n/a</v>
      </c>
      <c r="E21" s="38" t="str">
        <f>IF('CASE DATA'!G22="JUV", "YES", "NO")</f>
        <v>NO</v>
      </c>
      <c r="F21" s="38" t="str">
        <f t="array" ref="F21">IF(E21="YES",IF(SUM(COUNTIF('CASE DATA'!$G$4:$G$200, {"GTR","GPL","DEF","JUV"}))&gt;0, "YES","NO"),"N/A")</f>
        <v>N/A</v>
      </c>
      <c r="G21" s="38" t="str">
        <f>IF(E21="YES",IF(COUNTIF('CASE DATA'!$D$4:$D$200, "")-COUNTIF('CASE DATA'!$A$4:$A$200, "")&gt;0, "YES","NO"),"N/A")</f>
        <v>N/A</v>
      </c>
      <c r="H21" s="35" t="str">
        <f>_xlfn.IFS(E21="NO", "N/A", AND('BASIC INFO'!$B$3&gt;'BASIC INFO'!$B$6+6574.5, C21+730.5&lt;'BASIC INFO'!$B$3), "YES", 'BASIC INFO'!$B$3&lt;('BASIC INFO'!$B$6+6574.5), "NOT YET 18", C21+730.5&gt;'BASIC INFO'!$B$3, "NOT YET 2 YEARS")</f>
        <v>N/A</v>
      </c>
      <c r="I21" s="39" t="str">
        <f>IF(OR(AND(LEFT('CASE DATA'!F22,4)="321.",MID('CASE DATA'!A22,8,2)="SM"),MID('CASE DATA'!A22,8,2)="ST",MID('CASE DATA'!A22,8,2)="NT"),"TRAFFIC",IF(OR('CASE DATA'!G22="DISM", 'CASE DATA'!G22="ACQ", 'CASE DATA'!G22="NOTF", 'CASE DATA'!G22="WTHD", 'CASE DATA'!G22="TNSF"), "YES", "NO"))</f>
        <v>NO</v>
      </c>
      <c r="J21" s="40" t="str">
        <f>IF(I21="YES",'CASE DATA'!U22,"N/A")</f>
        <v>N/A</v>
      </c>
      <c r="K21" s="40" t="str">
        <f>IF(I21="YES",SOL!C22+SOL!D22,"N/A")</f>
        <v>N/A</v>
      </c>
      <c r="L21" s="35" t="str">
        <f>IF(I21="YES",IF(C21+180&lt;'BASIC INFO'!$B$3, "YES", "NO"),"N/A")</f>
        <v>N/A</v>
      </c>
      <c r="M21" s="40" t="str">
        <f t="array" ref="M21">IF(I21="TRAFFIC","n/a",IF(OR('CASE DATA'!G22="GTR", 'CASE DATA'!G22="GPL"),IF(SUM(COUNTIF('CASE DATA'!X22:AI22, 'CODE SECTIONS'!$V$2:$V$218&amp;"*"))&gt;0,"NO","YES"),"n/a"))</f>
        <v>n/a</v>
      </c>
      <c r="N21" s="40" t="str">
        <f t="array" ref="N21">IF(M21="YES",IF(OR((SUM(COUNTIF('CASE DATA'!X22:AI22,'CODE SECTIONS'!$X$2:$X$19&amp;"*"))&gt;0),LEFT('CASE DATA'!X22:AI22,4)="717C", LEFT('CASE DATA'!X22:AI22, 3)="719", LEFT('CASE DATA'!X22:AI22,3)="720", LEFT('CASE DATA'!X22:AI22,3)="724", LEFT('CASE DATA'!X22:AI22,3)="726", LEFT('CASE DATA'!X22:AI22,3)="728", LEFT('CASE DATA'!X22:AI22,4)="901A"), "ineligible misd","eligible"),"n/a")</f>
        <v>n/a</v>
      </c>
      <c r="O21" s="40" t="str">
        <f>IF(N21="eligible",IF(COUNTIF('CASE DATA'!$D$4:$D$200, "")-COUNTIF('CASE DATA'!$A$4:$A$200, "")&gt;0, "YES","NO"),"N/A")</f>
        <v>N/A</v>
      </c>
      <c r="P21" s="40" t="str">
        <f>IF(N21="eligible",BANKRUPTCY!C22+BANKRUPTCY!D22,"N/A")</f>
        <v>N/A</v>
      </c>
      <c r="Q21" s="40" t="str">
        <f>IF(N21="eligible",SOL!C22+SOL!D22,"N/A")</f>
        <v>N/A</v>
      </c>
      <c r="R21" s="40" t="str">
        <f>IF(N21="eligible",SUM('CASE DATA'!K22:T22),"N/A")</f>
        <v>N/A</v>
      </c>
      <c r="S21" s="40" t="str">
        <f>IF(N21="eligible",IF(C21+2920&lt;'BASIC INFO'!$B$3, "YES", "NO"),"N/A")</f>
        <v>N/A</v>
      </c>
      <c r="T21" s="39" t="str">
        <f>IF(OR('CASE DATA'!G22="DEF"), "YES", "NO")</f>
        <v>NO</v>
      </c>
      <c r="U21" s="35" t="str">
        <f>IF(T21="YES",'CASE DATA'!I22,"N/A")</f>
        <v>N/A</v>
      </c>
      <c r="V21" s="40" t="str">
        <f>IF(T21="YES",BANKRUPTCY!C22+BANKRUPTCY!D22,"N/A")</f>
        <v>N/A</v>
      </c>
      <c r="W21" s="40" t="str">
        <f>IF(T21="YES",SUM('CASE DATA'!K22:T22),"N/A")</f>
        <v>N/A</v>
      </c>
      <c r="X21" s="35" t="str">
        <f>IF(OR('CASE DATA'!F22="123.46",'CASE DATA'!F22="123.47"),"YES","NO")</f>
        <v>NO</v>
      </c>
      <c r="Y21" s="40" t="str">
        <f>IF(X21="YES",IF(C21+730.5&lt;'BASIC INFO'!$B$3, "YES","NO"), "N/A")</f>
        <v>N/A</v>
      </c>
      <c r="Z21" s="35" t="str">
        <f>IF('CASE DATA'!F22="725.1","YES","NO")</f>
        <v>NO</v>
      </c>
      <c r="AA21" s="35" t="str">
        <f>IF(Z21="YES",IF(C21+730.5&lt;'BASIC INFO'!$B$3, "YES","NO"), "N/A")</f>
        <v>N/A</v>
      </c>
      <c r="AB21" s="35" t="str">
        <f>IF('BASIC INFO'!$B$6+6574.5&gt;C21, "YES", "NO")</f>
        <v>YES</v>
      </c>
    </row>
    <row r="22" spans="1:28" x14ac:dyDescent="0.25">
      <c r="A22" s="35" t="str">
        <f>IF('CASE DATA'!A23="","z",'CASE DATA'!A23)</f>
        <v>z</v>
      </c>
      <c r="B22" s="66" t="str">
        <f>IF('CASE DATA'!A23="","",'CASE DATA'!E23)</f>
        <v/>
      </c>
      <c r="C22" s="36">
        <f>'CASE DATA'!D23</f>
        <v>0</v>
      </c>
      <c r="D22" s="37" t="str">
        <f>IF('CASE DATA'!I23="YES",SUM('CASE DATA'!K23:Q23),"n/a")</f>
        <v>n/a</v>
      </c>
      <c r="E22" s="38" t="str">
        <f>IF('CASE DATA'!G23="JUV", "YES", "NO")</f>
        <v>NO</v>
      </c>
      <c r="F22" s="38" t="str">
        <f t="array" ref="F22">IF(E22="YES",IF(SUM(COUNTIF('CASE DATA'!$G$4:$G$200, {"GTR","GPL","DEF","JUV"}))&gt;0, "YES","NO"),"N/A")</f>
        <v>N/A</v>
      </c>
      <c r="G22" s="38" t="str">
        <f>IF(E22="YES",IF(COUNTIF('CASE DATA'!$D$4:$D$200, "")-COUNTIF('CASE DATA'!$A$4:$A$200, "")&gt;0, "YES","NO"),"N/A")</f>
        <v>N/A</v>
      </c>
      <c r="H22" s="35" t="str">
        <f>_xlfn.IFS(E22="NO", "N/A", AND('BASIC INFO'!$B$3&gt;'BASIC INFO'!$B$6+6574.5, C22+730.5&lt;'BASIC INFO'!$B$3), "YES", 'BASIC INFO'!$B$3&lt;('BASIC INFO'!$B$6+6574.5), "NOT YET 18", C22+730.5&gt;'BASIC INFO'!$B$3, "NOT YET 2 YEARS")</f>
        <v>N/A</v>
      </c>
      <c r="I22" s="39" t="str">
        <f>IF(OR(AND(LEFT('CASE DATA'!F23,4)="321.",MID('CASE DATA'!A23,8,2)="SM"),MID('CASE DATA'!A23,8,2)="ST",MID('CASE DATA'!A23,8,2)="NT"),"TRAFFIC",IF(OR('CASE DATA'!G23="DISM", 'CASE DATA'!G23="ACQ", 'CASE DATA'!G23="NOTF", 'CASE DATA'!G23="WTHD", 'CASE DATA'!G23="TNSF"), "YES", "NO"))</f>
        <v>NO</v>
      </c>
      <c r="J22" s="40" t="str">
        <f>IF(I22="YES",'CASE DATA'!U23,"N/A")</f>
        <v>N/A</v>
      </c>
      <c r="K22" s="40" t="str">
        <f>IF(I22="YES",SOL!C23+SOL!D23,"N/A")</f>
        <v>N/A</v>
      </c>
      <c r="L22" s="35" t="str">
        <f>IF(I22="YES",IF(C22+180&lt;'BASIC INFO'!$B$3, "YES", "NO"),"N/A")</f>
        <v>N/A</v>
      </c>
      <c r="M22" s="40" t="str">
        <f t="array" ref="M22">IF(I22="TRAFFIC","n/a",IF(OR('CASE DATA'!G23="GTR", 'CASE DATA'!G23="GPL"),IF(SUM(COUNTIF('CASE DATA'!X23:AI23, 'CODE SECTIONS'!$V$2:$V$218&amp;"*"))&gt;0,"NO","YES"),"n/a"))</f>
        <v>n/a</v>
      </c>
      <c r="N22" s="40" t="str">
        <f t="array" ref="N22">IF(M22="YES",IF(OR((SUM(COUNTIF('CASE DATA'!X23:AI23,'CODE SECTIONS'!$X$2:$X$19&amp;"*"))&gt;0),LEFT('CASE DATA'!X23:AI23,4)="717C", LEFT('CASE DATA'!X23:AI23, 3)="719", LEFT('CASE DATA'!X23:AI23,3)="720", LEFT('CASE DATA'!X23:AI23,3)="724", LEFT('CASE DATA'!X23:AI23,3)="726", LEFT('CASE DATA'!X23:AI23,3)="728", LEFT('CASE DATA'!X23:AI23,4)="901A"), "ineligible misd","eligible"),"n/a")</f>
        <v>n/a</v>
      </c>
      <c r="O22" s="40" t="str">
        <f>IF(N22="eligible",IF(COUNTIF('CASE DATA'!$D$4:$D$200, "")-COUNTIF('CASE DATA'!$A$4:$A$200, "")&gt;0, "YES","NO"),"N/A")</f>
        <v>N/A</v>
      </c>
      <c r="P22" s="40" t="str">
        <f>IF(N22="eligible",BANKRUPTCY!C23+BANKRUPTCY!D23,"N/A")</f>
        <v>N/A</v>
      </c>
      <c r="Q22" s="40" t="str">
        <f>IF(N22="eligible",SOL!C23+SOL!D23,"N/A")</f>
        <v>N/A</v>
      </c>
      <c r="R22" s="40" t="str">
        <f>IF(N22="eligible",SUM('CASE DATA'!K23:T23),"N/A")</f>
        <v>N/A</v>
      </c>
      <c r="S22" s="40" t="str">
        <f>IF(N22="eligible",IF(C22+2920&lt;'BASIC INFO'!$B$3, "YES", "NO"),"N/A")</f>
        <v>N/A</v>
      </c>
      <c r="T22" s="39" t="str">
        <f>IF(OR('CASE DATA'!G23="DEF"), "YES", "NO")</f>
        <v>NO</v>
      </c>
      <c r="U22" s="35" t="str">
        <f>IF(T22="YES",'CASE DATA'!I23,"N/A")</f>
        <v>N/A</v>
      </c>
      <c r="V22" s="40" t="str">
        <f>IF(T22="YES",BANKRUPTCY!C23+BANKRUPTCY!D23,"N/A")</f>
        <v>N/A</v>
      </c>
      <c r="W22" s="40" t="str">
        <f>IF(T22="YES",SUM('CASE DATA'!K23:T23),"N/A")</f>
        <v>N/A</v>
      </c>
      <c r="X22" s="35" t="str">
        <f>IF(OR('CASE DATA'!F23="123.46",'CASE DATA'!F23="123.47"),"YES","NO")</f>
        <v>NO</v>
      </c>
      <c r="Y22" s="40" t="str">
        <f>IF(X22="YES",IF(C22+730.5&lt;'BASIC INFO'!$B$3, "YES","NO"), "N/A")</f>
        <v>N/A</v>
      </c>
      <c r="Z22" s="35" t="str">
        <f>IF('CASE DATA'!F23="725.1","YES","NO")</f>
        <v>NO</v>
      </c>
      <c r="AA22" s="35" t="str">
        <f>IF(Z22="YES",IF(C22+730.5&lt;'BASIC INFO'!$B$3, "YES","NO"), "N/A")</f>
        <v>N/A</v>
      </c>
      <c r="AB22" s="35" t="str">
        <f>IF('BASIC INFO'!$B$6+6574.5&gt;C22, "YES", "NO")</f>
        <v>YES</v>
      </c>
    </row>
    <row r="23" spans="1:28" x14ac:dyDescent="0.25">
      <c r="A23" s="35" t="str">
        <f>IF('CASE DATA'!A24="","z",'CASE DATA'!A24)</f>
        <v>z</v>
      </c>
      <c r="B23" s="66" t="str">
        <f>IF('CASE DATA'!A24="","",'CASE DATA'!E24)</f>
        <v/>
      </c>
      <c r="C23" s="36">
        <f>'CASE DATA'!D24</f>
        <v>0</v>
      </c>
      <c r="D23" s="37" t="str">
        <f>IF('CASE DATA'!I24="YES",SUM('CASE DATA'!K24:Q24),"n/a")</f>
        <v>n/a</v>
      </c>
      <c r="E23" s="38" t="str">
        <f>IF('CASE DATA'!G24="JUV", "YES", "NO")</f>
        <v>NO</v>
      </c>
      <c r="F23" s="38" t="str">
        <f t="array" ref="F23">IF(E23="YES",IF(SUM(COUNTIF('CASE DATA'!$G$4:$G$200, {"GTR","GPL","DEF","JUV"}))&gt;0, "YES","NO"),"N/A")</f>
        <v>N/A</v>
      </c>
      <c r="G23" s="38" t="str">
        <f>IF(E23="YES",IF(COUNTIF('CASE DATA'!$D$4:$D$200, "")-COUNTIF('CASE DATA'!$A$4:$A$200, "")&gt;0, "YES","NO"),"N/A")</f>
        <v>N/A</v>
      </c>
      <c r="H23" s="35" t="str">
        <f>_xlfn.IFS(E23="NO", "N/A", AND('BASIC INFO'!$B$3&gt;'BASIC INFO'!$B$6+6574.5, C23+730.5&lt;'BASIC INFO'!$B$3), "YES", 'BASIC INFO'!$B$3&lt;('BASIC INFO'!$B$6+6574.5), "NOT YET 18", C23+730.5&gt;'BASIC INFO'!$B$3, "NOT YET 2 YEARS")</f>
        <v>N/A</v>
      </c>
      <c r="I23" s="39" t="str">
        <f>IF(OR(AND(LEFT('CASE DATA'!F24,4)="321.",MID('CASE DATA'!A24,8,2)="SM"),MID('CASE DATA'!A24,8,2)="ST",MID('CASE DATA'!A24,8,2)="NT"),"TRAFFIC",IF(OR('CASE DATA'!G24="DISM", 'CASE DATA'!G24="ACQ", 'CASE DATA'!G24="NOTF", 'CASE DATA'!G24="WTHD", 'CASE DATA'!G24="TNSF"), "YES", "NO"))</f>
        <v>NO</v>
      </c>
      <c r="J23" s="40" t="str">
        <f>IF(I23="YES",'CASE DATA'!U24,"N/A")</f>
        <v>N/A</v>
      </c>
      <c r="K23" s="40" t="str">
        <f>IF(I23="YES",SOL!C24+SOL!D24,"N/A")</f>
        <v>N/A</v>
      </c>
      <c r="L23" s="35" t="str">
        <f>IF(I23="YES",IF(C23+180&lt;'BASIC INFO'!$B$3, "YES", "NO"),"N/A")</f>
        <v>N/A</v>
      </c>
      <c r="M23" s="40" t="str">
        <f t="array" ref="M23">IF(I23="TRAFFIC","n/a",IF(OR('CASE DATA'!G24="GTR", 'CASE DATA'!G24="GPL"),IF(SUM(COUNTIF('CASE DATA'!X24:AI24, 'CODE SECTIONS'!$V$2:$V$218&amp;"*"))&gt;0,"NO","YES"),"n/a"))</f>
        <v>n/a</v>
      </c>
      <c r="N23" s="40" t="str">
        <f t="array" ref="N23">IF(M23="YES",IF(OR((SUM(COUNTIF('CASE DATA'!X24:AI24,'CODE SECTIONS'!$X$2:$X$19&amp;"*"))&gt;0),LEFT('CASE DATA'!X24:AI24,4)="717C", LEFT('CASE DATA'!X24:AI24, 3)="719", LEFT('CASE DATA'!X24:AI24,3)="720", LEFT('CASE DATA'!X24:AI24,3)="724", LEFT('CASE DATA'!X24:AI24,3)="726", LEFT('CASE DATA'!X24:AI24,3)="728", LEFT('CASE DATA'!X24:AI24,4)="901A"), "ineligible misd","eligible"),"n/a")</f>
        <v>n/a</v>
      </c>
      <c r="O23" s="40" t="str">
        <f>IF(N23="eligible",IF(COUNTIF('CASE DATA'!$D$4:$D$200, "")-COUNTIF('CASE DATA'!$A$4:$A$200, "")&gt;0, "YES","NO"),"N/A")</f>
        <v>N/A</v>
      </c>
      <c r="P23" s="40" t="str">
        <f>IF(N23="eligible",BANKRUPTCY!C24+BANKRUPTCY!D24,"N/A")</f>
        <v>N/A</v>
      </c>
      <c r="Q23" s="40" t="str">
        <f>IF(N23="eligible",SOL!C24+SOL!D24,"N/A")</f>
        <v>N/A</v>
      </c>
      <c r="R23" s="40" t="str">
        <f>IF(N23="eligible",SUM('CASE DATA'!K24:T24),"N/A")</f>
        <v>N/A</v>
      </c>
      <c r="S23" s="40" t="str">
        <f>IF(N23="eligible",IF(C23+2920&lt;'BASIC INFO'!$B$3, "YES", "NO"),"N/A")</f>
        <v>N/A</v>
      </c>
      <c r="T23" s="39" t="str">
        <f>IF(OR('CASE DATA'!G24="DEF"), "YES", "NO")</f>
        <v>NO</v>
      </c>
      <c r="U23" s="35" t="str">
        <f>IF(T23="YES",'CASE DATA'!I24,"N/A")</f>
        <v>N/A</v>
      </c>
      <c r="V23" s="40" t="str">
        <f>IF(T23="YES",BANKRUPTCY!C24+BANKRUPTCY!D24,"N/A")</f>
        <v>N/A</v>
      </c>
      <c r="W23" s="40" t="str">
        <f>IF(T23="YES",SUM('CASE DATA'!K24:T24),"N/A")</f>
        <v>N/A</v>
      </c>
      <c r="X23" s="35" t="str">
        <f>IF(OR('CASE DATA'!F24="123.46",'CASE DATA'!F24="123.47"),"YES","NO")</f>
        <v>NO</v>
      </c>
      <c r="Y23" s="40" t="str">
        <f>IF(X23="YES",IF(C23+730.5&lt;'BASIC INFO'!$B$3, "YES","NO"), "N/A")</f>
        <v>N/A</v>
      </c>
      <c r="Z23" s="35" t="str">
        <f>IF('CASE DATA'!F24="725.1","YES","NO")</f>
        <v>NO</v>
      </c>
      <c r="AA23" s="35" t="str">
        <f>IF(Z23="YES",IF(C23+730.5&lt;'BASIC INFO'!$B$3, "YES","NO"), "N/A")</f>
        <v>N/A</v>
      </c>
      <c r="AB23" s="35" t="str">
        <f>IF('BASIC INFO'!$B$6+6574.5&gt;C23, "YES", "NO")</f>
        <v>YES</v>
      </c>
    </row>
    <row r="24" spans="1:28" x14ac:dyDescent="0.25">
      <c r="A24" s="35" t="str">
        <f>IF('CASE DATA'!A25="","z",'CASE DATA'!A25)</f>
        <v>z</v>
      </c>
      <c r="B24" s="66" t="str">
        <f>IF('CASE DATA'!A25="","",'CASE DATA'!E25)</f>
        <v/>
      </c>
      <c r="C24" s="36">
        <f>'CASE DATA'!D25</f>
        <v>0</v>
      </c>
      <c r="D24" s="37" t="str">
        <f>IF('CASE DATA'!I25="YES",SUM('CASE DATA'!K25:Q25),"n/a")</f>
        <v>n/a</v>
      </c>
      <c r="E24" s="38" t="str">
        <f>IF('CASE DATA'!G25="JUV", "YES", "NO")</f>
        <v>NO</v>
      </c>
      <c r="F24" s="38" t="str">
        <f t="array" ref="F24">IF(E24="YES",IF(SUM(COUNTIF('CASE DATA'!$G$4:$G$200, {"GTR","GPL","DEF","JUV"}))&gt;0, "YES","NO"),"N/A")</f>
        <v>N/A</v>
      </c>
      <c r="G24" s="38" t="str">
        <f>IF(E24="YES",IF(COUNTIF('CASE DATA'!$D$4:$D$200, "")-COUNTIF('CASE DATA'!$A$4:$A$200, "")&gt;0, "YES","NO"),"N/A")</f>
        <v>N/A</v>
      </c>
      <c r="H24" s="35" t="str">
        <f>_xlfn.IFS(E24="NO", "N/A", AND('BASIC INFO'!$B$3&gt;'BASIC INFO'!$B$6+6574.5, C24+730.5&lt;'BASIC INFO'!$B$3), "YES", 'BASIC INFO'!$B$3&lt;('BASIC INFO'!$B$6+6574.5), "NOT YET 18", C24+730.5&gt;'BASIC INFO'!$B$3, "NOT YET 2 YEARS")</f>
        <v>N/A</v>
      </c>
      <c r="I24" s="39" t="str">
        <f>IF(OR(AND(LEFT('CASE DATA'!F25,4)="321.",MID('CASE DATA'!A25,8,2)="SM"),MID('CASE DATA'!A25,8,2)="ST",MID('CASE DATA'!A25,8,2)="NT"),"TRAFFIC",IF(OR('CASE DATA'!G25="DISM", 'CASE DATA'!G25="ACQ", 'CASE DATA'!G25="NOTF", 'CASE DATA'!G25="WTHD", 'CASE DATA'!G25="TNSF"), "YES", "NO"))</f>
        <v>NO</v>
      </c>
      <c r="J24" s="40" t="str">
        <f>IF(I24="YES",'CASE DATA'!U25,"N/A")</f>
        <v>N/A</v>
      </c>
      <c r="K24" s="40" t="str">
        <f>IF(I24="YES",SOL!C25+SOL!D25,"N/A")</f>
        <v>N/A</v>
      </c>
      <c r="L24" s="35" t="str">
        <f>IF(I24="YES",IF(C24+180&lt;'BASIC INFO'!$B$3, "YES", "NO"),"N/A")</f>
        <v>N/A</v>
      </c>
      <c r="M24" s="40" t="str">
        <f t="array" ref="M24">IF(I24="TRAFFIC","n/a",IF(OR('CASE DATA'!G25="GTR", 'CASE DATA'!G25="GPL"),IF(SUM(COUNTIF('CASE DATA'!X25:AI25, 'CODE SECTIONS'!$V$2:$V$218&amp;"*"))&gt;0,"NO","YES"),"n/a"))</f>
        <v>n/a</v>
      </c>
      <c r="N24" s="40" t="str">
        <f t="array" ref="N24">IF(M24="YES",IF(OR((SUM(COUNTIF('CASE DATA'!X25:AI25,'CODE SECTIONS'!$X$2:$X$19&amp;"*"))&gt;0),LEFT('CASE DATA'!X25:AI25,4)="717C", LEFT('CASE DATA'!X25:AI25, 3)="719", LEFT('CASE DATA'!X25:AI25,3)="720", LEFT('CASE DATA'!X25:AI25,3)="724", LEFT('CASE DATA'!X25:AI25,3)="726", LEFT('CASE DATA'!X25:AI25,3)="728", LEFT('CASE DATA'!X25:AI25,4)="901A"), "ineligible misd","eligible"),"n/a")</f>
        <v>n/a</v>
      </c>
      <c r="O24" s="40" t="str">
        <f>IF(N24="eligible",IF(COUNTIF('CASE DATA'!$D$4:$D$200, "")-COUNTIF('CASE DATA'!$A$4:$A$200, "")&gt;0, "YES","NO"),"N/A")</f>
        <v>N/A</v>
      </c>
      <c r="P24" s="40" t="str">
        <f>IF(N24="eligible",BANKRUPTCY!C25+BANKRUPTCY!D25,"N/A")</f>
        <v>N/A</v>
      </c>
      <c r="Q24" s="40" t="str">
        <f>IF(N24="eligible",SOL!C25+SOL!D25,"N/A")</f>
        <v>N/A</v>
      </c>
      <c r="R24" s="40" t="str">
        <f>IF(N24="eligible",SUM('CASE DATA'!K25:T25),"N/A")</f>
        <v>N/A</v>
      </c>
      <c r="S24" s="40" t="str">
        <f>IF(N24="eligible",IF(C24+2920&lt;'BASIC INFO'!$B$3, "YES", "NO"),"N/A")</f>
        <v>N/A</v>
      </c>
      <c r="T24" s="39" t="str">
        <f>IF(OR('CASE DATA'!G25="DEF"), "YES", "NO")</f>
        <v>NO</v>
      </c>
      <c r="U24" s="35" t="str">
        <f>IF(T24="YES",'CASE DATA'!I25,"N/A")</f>
        <v>N/A</v>
      </c>
      <c r="V24" s="40" t="str">
        <f>IF(T24="YES",BANKRUPTCY!C25+BANKRUPTCY!D25,"N/A")</f>
        <v>N/A</v>
      </c>
      <c r="W24" s="40" t="str">
        <f>IF(T24="YES",SUM('CASE DATA'!K25:T25),"N/A")</f>
        <v>N/A</v>
      </c>
      <c r="X24" s="35" t="str">
        <f>IF(OR('CASE DATA'!F25="123.46",'CASE DATA'!F25="123.47"),"YES","NO")</f>
        <v>NO</v>
      </c>
      <c r="Y24" s="40" t="str">
        <f>IF(X24="YES",IF(C24+730.5&lt;'BASIC INFO'!$B$3, "YES","NO"), "N/A")</f>
        <v>N/A</v>
      </c>
      <c r="Z24" s="35" t="str">
        <f>IF('CASE DATA'!F25="725.1","YES","NO")</f>
        <v>NO</v>
      </c>
      <c r="AA24" s="35" t="str">
        <f>IF(Z24="YES",IF(C24+730.5&lt;'BASIC INFO'!$B$3, "YES","NO"), "N/A")</f>
        <v>N/A</v>
      </c>
      <c r="AB24" s="35" t="str">
        <f>IF('BASIC INFO'!$B$6+6574.5&gt;C24, "YES", "NO")</f>
        <v>YES</v>
      </c>
    </row>
    <row r="25" spans="1:28" x14ac:dyDescent="0.25">
      <c r="A25" s="35" t="str">
        <f>IF('CASE DATA'!A26="","z",'CASE DATA'!A26)</f>
        <v>z</v>
      </c>
      <c r="B25" s="66" t="str">
        <f>IF('CASE DATA'!A26="","",'CASE DATA'!E26)</f>
        <v/>
      </c>
      <c r="C25" s="36">
        <f>'CASE DATA'!D26</f>
        <v>0</v>
      </c>
      <c r="D25" s="37" t="str">
        <f>IF('CASE DATA'!I26="YES",SUM('CASE DATA'!K26:Q26),"n/a")</f>
        <v>n/a</v>
      </c>
      <c r="E25" s="38" t="str">
        <f>IF('CASE DATA'!G26="JUV", "YES", "NO")</f>
        <v>NO</v>
      </c>
      <c r="F25" s="38" t="str">
        <f t="array" ref="F25">IF(E25="YES",IF(SUM(COUNTIF('CASE DATA'!$G$4:$G$200, {"GTR","GPL","DEF","JUV"}))&gt;0, "YES","NO"),"N/A")</f>
        <v>N/A</v>
      </c>
      <c r="G25" s="38" t="str">
        <f>IF(E25="YES",IF(COUNTIF('CASE DATA'!$D$4:$D$200, "")-COUNTIF('CASE DATA'!$A$4:$A$200, "")&gt;0, "YES","NO"),"N/A")</f>
        <v>N/A</v>
      </c>
      <c r="H25" s="35" t="str">
        <f>_xlfn.IFS(E25="NO", "N/A", AND('BASIC INFO'!$B$3&gt;'BASIC INFO'!$B$6+6574.5, C25+730.5&lt;'BASIC INFO'!$B$3), "YES", 'BASIC INFO'!$B$3&lt;('BASIC INFO'!$B$6+6574.5), "NOT YET 18", C25+730.5&gt;'BASIC INFO'!$B$3, "NOT YET 2 YEARS")</f>
        <v>N/A</v>
      </c>
      <c r="I25" s="39" t="str">
        <f>IF(OR(AND(LEFT('CASE DATA'!F26,4)="321.",MID('CASE DATA'!A26,8,2)="SM"),MID('CASE DATA'!A26,8,2)="ST",MID('CASE DATA'!A26,8,2)="NT"),"TRAFFIC",IF(OR('CASE DATA'!G26="DISM", 'CASE DATA'!G26="ACQ", 'CASE DATA'!G26="NOTF", 'CASE DATA'!G26="WTHD", 'CASE DATA'!G26="TNSF"), "YES", "NO"))</f>
        <v>NO</v>
      </c>
      <c r="J25" s="40" t="str">
        <f>IF(I25="YES",'CASE DATA'!U26,"N/A")</f>
        <v>N/A</v>
      </c>
      <c r="K25" s="40" t="str">
        <f>IF(I25="YES",SOL!C26+SOL!D26,"N/A")</f>
        <v>N/A</v>
      </c>
      <c r="L25" s="35" t="str">
        <f>IF(I25="YES",IF(C25+180&lt;'BASIC INFO'!$B$3, "YES", "NO"),"N/A")</f>
        <v>N/A</v>
      </c>
      <c r="M25" s="40" t="str">
        <f t="array" ref="M25">IF(I25="TRAFFIC","n/a",IF(OR('CASE DATA'!G26="GTR", 'CASE DATA'!G26="GPL"),IF(SUM(COUNTIF('CASE DATA'!X26:AI26, 'CODE SECTIONS'!$V$2:$V$218&amp;"*"))&gt;0,"NO","YES"),"n/a"))</f>
        <v>n/a</v>
      </c>
      <c r="N25" s="40" t="str">
        <f t="array" ref="N25">IF(M25="YES",IF(OR((SUM(COUNTIF('CASE DATA'!X26:AI26,'CODE SECTIONS'!$X$2:$X$19&amp;"*"))&gt;0),LEFT('CASE DATA'!X26:AI26,4)="717C", LEFT('CASE DATA'!X26:AI26, 3)="719", LEFT('CASE DATA'!X26:AI26,3)="720", LEFT('CASE DATA'!X26:AI26,3)="724", LEFT('CASE DATA'!X26:AI26,3)="726", LEFT('CASE DATA'!X26:AI26,3)="728", LEFT('CASE DATA'!X26:AI26,4)="901A"), "ineligible misd","eligible"),"n/a")</f>
        <v>n/a</v>
      </c>
      <c r="O25" s="40" t="str">
        <f>IF(N25="eligible",IF(COUNTIF('CASE DATA'!$D$4:$D$200, "")-COUNTIF('CASE DATA'!$A$4:$A$200, "")&gt;0, "YES","NO"),"N/A")</f>
        <v>N/A</v>
      </c>
      <c r="P25" s="40" t="str">
        <f>IF(N25="eligible",BANKRUPTCY!C26+BANKRUPTCY!D26,"N/A")</f>
        <v>N/A</v>
      </c>
      <c r="Q25" s="40" t="str">
        <f>IF(N25="eligible",SOL!C26+SOL!D26,"N/A")</f>
        <v>N/A</v>
      </c>
      <c r="R25" s="40" t="str">
        <f>IF(N25="eligible",SUM('CASE DATA'!K26:T26),"N/A")</f>
        <v>N/A</v>
      </c>
      <c r="S25" s="40" t="str">
        <f>IF(N25="eligible",IF(C25+2920&lt;'BASIC INFO'!$B$3, "YES", "NO"),"N/A")</f>
        <v>N/A</v>
      </c>
      <c r="T25" s="39" t="str">
        <f>IF(OR('CASE DATA'!G26="DEF"), "YES", "NO")</f>
        <v>NO</v>
      </c>
      <c r="U25" s="35" t="str">
        <f>IF(T25="YES",'CASE DATA'!I26,"N/A")</f>
        <v>N/A</v>
      </c>
      <c r="V25" s="40" t="str">
        <f>IF(T25="YES",BANKRUPTCY!C26+BANKRUPTCY!D26,"N/A")</f>
        <v>N/A</v>
      </c>
      <c r="W25" s="40" t="str">
        <f>IF(T25="YES",SUM('CASE DATA'!K26:T26),"N/A")</f>
        <v>N/A</v>
      </c>
      <c r="X25" s="35" t="str">
        <f>IF(OR('CASE DATA'!F26="123.46",'CASE DATA'!F26="123.47"),"YES","NO")</f>
        <v>NO</v>
      </c>
      <c r="Y25" s="40" t="str">
        <f>IF(X25="YES",IF(C25+730.5&lt;'BASIC INFO'!$B$3, "YES","NO"), "N/A")</f>
        <v>N/A</v>
      </c>
      <c r="Z25" s="35" t="str">
        <f>IF('CASE DATA'!F26="725.1","YES","NO")</f>
        <v>NO</v>
      </c>
      <c r="AA25" s="35" t="str">
        <f>IF(Z25="YES",IF(C25+730.5&lt;'BASIC INFO'!$B$3, "YES","NO"), "N/A")</f>
        <v>N/A</v>
      </c>
      <c r="AB25" s="35" t="str">
        <f>IF('BASIC INFO'!$B$6+6574.5&gt;C25, "YES", "NO")</f>
        <v>YES</v>
      </c>
    </row>
    <row r="26" spans="1:28" x14ac:dyDescent="0.25">
      <c r="A26" s="35" t="str">
        <f>IF('CASE DATA'!A27="","z",'CASE DATA'!A27)</f>
        <v>z</v>
      </c>
      <c r="B26" s="66" t="str">
        <f>IF('CASE DATA'!A27="","",'CASE DATA'!E27)</f>
        <v/>
      </c>
      <c r="C26" s="36">
        <f>'CASE DATA'!D27</f>
        <v>0</v>
      </c>
      <c r="D26" s="37" t="str">
        <f>IF('CASE DATA'!I27="YES",SUM('CASE DATA'!K27:Q27),"n/a")</f>
        <v>n/a</v>
      </c>
      <c r="E26" s="38" t="str">
        <f>IF('CASE DATA'!G27="JUV", "YES", "NO")</f>
        <v>NO</v>
      </c>
      <c r="F26" s="38" t="str">
        <f t="array" ref="F26">IF(E26="YES",IF(SUM(COUNTIF('CASE DATA'!$G$4:$G$200, {"GTR","GPL","DEF","JUV"}))&gt;0, "YES","NO"),"N/A")</f>
        <v>N/A</v>
      </c>
      <c r="G26" s="38" t="str">
        <f>IF(E26="YES",IF(COUNTIF('CASE DATA'!$D$4:$D$200, "")-COUNTIF('CASE DATA'!$A$4:$A$200, "")&gt;0, "YES","NO"),"N/A")</f>
        <v>N/A</v>
      </c>
      <c r="H26" s="35" t="str">
        <f>_xlfn.IFS(E26="NO", "N/A", AND('BASIC INFO'!$B$3&gt;'BASIC INFO'!$B$6+6574.5, C26+730.5&lt;'BASIC INFO'!$B$3), "YES", 'BASIC INFO'!$B$3&lt;('BASIC INFO'!$B$6+6574.5), "NOT YET 18", C26+730.5&gt;'BASIC INFO'!$B$3, "NOT YET 2 YEARS")</f>
        <v>N/A</v>
      </c>
      <c r="I26" s="39" t="str">
        <f>IF(OR(AND(LEFT('CASE DATA'!F27,4)="321.",MID('CASE DATA'!A27,8,2)="SM"),MID('CASE DATA'!A27,8,2)="ST",MID('CASE DATA'!A27,8,2)="NT"),"TRAFFIC",IF(OR('CASE DATA'!G27="DISM", 'CASE DATA'!G27="ACQ", 'CASE DATA'!G27="NOTF", 'CASE DATA'!G27="WTHD", 'CASE DATA'!G27="TNSF"), "YES", "NO"))</f>
        <v>NO</v>
      </c>
      <c r="J26" s="40" t="str">
        <f>IF(I26="YES",'CASE DATA'!U27,"N/A")</f>
        <v>N/A</v>
      </c>
      <c r="K26" s="40" t="str">
        <f>IF(I26="YES",SOL!C27+SOL!D27,"N/A")</f>
        <v>N/A</v>
      </c>
      <c r="L26" s="35" t="str">
        <f>IF(I26="YES",IF(C26+180&lt;'BASIC INFO'!$B$3, "YES", "NO"),"N/A")</f>
        <v>N/A</v>
      </c>
      <c r="M26" s="40" t="str">
        <f t="array" ref="M26">IF(I26="TRAFFIC","n/a",IF(OR('CASE DATA'!G27="GTR", 'CASE DATA'!G27="GPL"),IF(SUM(COUNTIF('CASE DATA'!X27:AI27, 'CODE SECTIONS'!$V$2:$V$218&amp;"*"))&gt;0,"NO","YES"),"n/a"))</f>
        <v>n/a</v>
      </c>
      <c r="N26" s="40" t="str">
        <f t="array" ref="N26">IF(M26="YES",IF(OR((SUM(COUNTIF('CASE DATA'!X27:AI27,'CODE SECTIONS'!$X$2:$X$19&amp;"*"))&gt;0),LEFT('CASE DATA'!X27:AI27,4)="717C", LEFT('CASE DATA'!X27:AI27, 3)="719", LEFT('CASE DATA'!X27:AI27,3)="720", LEFT('CASE DATA'!X27:AI27,3)="724", LEFT('CASE DATA'!X27:AI27,3)="726", LEFT('CASE DATA'!X27:AI27,3)="728", LEFT('CASE DATA'!X27:AI27,4)="901A"), "ineligible misd","eligible"),"n/a")</f>
        <v>n/a</v>
      </c>
      <c r="O26" s="40" t="str">
        <f>IF(N26="eligible",IF(COUNTIF('CASE DATA'!$D$4:$D$200, "")-COUNTIF('CASE DATA'!$A$4:$A$200, "")&gt;0, "YES","NO"),"N/A")</f>
        <v>N/A</v>
      </c>
      <c r="P26" s="40" t="str">
        <f>IF(N26="eligible",BANKRUPTCY!C27+BANKRUPTCY!D27,"N/A")</f>
        <v>N/A</v>
      </c>
      <c r="Q26" s="40" t="str">
        <f>IF(N26="eligible",SOL!C27+SOL!D27,"N/A")</f>
        <v>N/A</v>
      </c>
      <c r="R26" s="40" t="str">
        <f>IF(N26="eligible",SUM('CASE DATA'!K27:T27),"N/A")</f>
        <v>N/A</v>
      </c>
      <c r="S26" s="40" t="str">
        <f>IF(N26="eligible",IF(C26+2920&lt;'BASIC INFO'!$B$3, "YES", "NO"),"N/A")</f>
        <v>N/A</v>
      </c>
      <c r="T26" s="39" t="str">
        <f>IF(OR('CASE DATA'!G27="DEF"), "YES", "NO")</f>
        <v>NO</v>
      </c>
      <c r="U26" s="35" t="str">
        <f>IF(T26="YES",'CASE DATA'!I27,"N/A")</f>
        <v>N/A</v>
      </c>
      <c r="V26" s="40" t="str">
        <f>IF(T26="YES",BANKRUPTCY!C27+BANKRUPTCY!D27,"N/A")</f>
        <v>N/A</v>
      </c>
      <c r="W26" s="40" t="str">
        <f>IF(T26="YES",SUM('CASE DATA'!K27:T27),"N/A")</f>
        <v>N/A</v>
      </c>
      <c r="X26" s="35" t="str">
        <f>IF(OR('CASE DATA'!F27="123.46",'CASE DATA'!F27="123.47"),"YES","NO")</f>
        <v>NO</v>
      </c>
      <c r="Y26" s="40" t="str">
        <f>IF(X26="YES",IF(C26+730.5&lt;'BASIC INFO'!$B$3, "YES","NO"), "N/A")</f>
        <v>N/A</v>
      </c>
      <c r="Z26" s="35" t="str">
        <f>IF('CASE DATA'!F27="725.1","YES","NO")</f>
        <v>NO</v>
      </c>
      <c r="AA26" s="35" t="str">
        <f>IF(Z26="YES",IF(C26+730.5&lt;'BASIC INFO'!$B$3, "YES","NO"), "N/A")</f>
        <v>N/A</v>
      </c>
      <c r="AB26" s="35" t="str">
        <f>IF('BASIC INFO'!$B$6+6574.5&gt;C26, "YES", "NO")</f>
        <v>YES</v>
      </c>
    </row>
    <row r="27" spans="1:28" x14ac:dyDescent="0.25">
      <c r="A27" s="35" t="str">
        <f>IF('CASE DATA'!A28="","z",'CASE DATA'!A28)</f>
        <v>z</v>
      </c>
      <c r="B27" s="66" t="str">
        <f>IF('CASE DATA'!A28="","",'CASE DATA'!E28)</f>
        <v/>
      </c>
      <c r="C27" s="36">
        <f>'CASE DATA'!D28</f>
        <v>0</v>
      </c>
      <c r="D27" s="37" t="str">
        <f>IF('CASE DATA'!I28="YES",SUM('CASE DATA'!K28:Q28),"n/a")</f>
        <v>n/a</v>
      </c>
      <c r="E27" s="38" t="str">
        <f>IF('CASE DATA'!G28="JUV", "YES", "NO")</f>
        <v>NO</v>
      </c>
      <c r="F27" s="38" t="str">
        <f t="array" ref="F27">IF(E27="YES",IF(SUM(COUNTIF('CASE DATA'!$G$4:$G$200, {"GTR","GPL","DEF","JUV"}))&gt;0, "YES","NO"),"N/A")</f>
        <v>N/A</v>
      </c>
      <c r="G27" s="38" t="str">
        <f>IF(E27="YES",IF(COUNTIF('CASE DATA'!$D$4:$D$200, "")-COUNTIF('CASE DATA'!$A$4:$A$200, "")&gt;0, "YES","NO"),"N/A")</f>
        <v>N/A</v>
      </c>
      <c r="H27" s="35" t="str">
        <f>_xlfn.IFS(E27="NO", "N/A", AND('BASIC INFO'!$B$3&gt;'BASIC INFO'!$B$6+6574.5, C27+730.5&lt;'BASIC INFO'!$B$3), "YES", 'BASIC INFO'!$B$3&lt;('BASIC INFO'!$B$6+6574.5), "NOT YET 18", C27+730.5&gt;'BASIC INFO'!$B$3, "NOT YET 2 YEARS")</f>
        <v>N/A</v>
      </c>
      <c r="I27" s="39" t="str">
        <f>IF(OR(AND(LEFT('CASE DATA'!F28,4)="321.",MID('CASE DATA'!A28,8,2)="SM"),MID('CASE DATA'!A28,8,2)="ST",MID('CASE DATA'!A28,8,2)="NT"),"TRAFFIC",IF(OR('CASE DATA'!G28="DISM", 'CASE DATA'!G28="ACQ", 'CASE DATA'!G28="NOTF", 'CASE DATA'!G28="WTHD", 'CASE DATA'!G28="TNSF"), "YES", "NO"))</f>
        <v>NO</v>
      </c>
      <c r="J27" s="40" t="str">
        <f>IF(I27="YES",'CASE DATA'!U28,"N/A")</f>
        <v>N/A</v>
      </c>
      <c r="K27" s="40" t="str">
        <f>IF(I27="YES",SOL!C28+SOL!D28,"N/A")</f>
        <v>N/A</v>
      </c>
      <c r="L27" s="35" t="str">
        <f>IF(I27="YES",IF(C27+180&lt;'BASIC INFO'!$B$3, "YES", "NO"),"N/A")</f>
        <v>N/A</v>
      </c>
      <c r="M27" s="40" t="str">
        <f t="array" ref="M27">IF(I27="TRAFFIC","n/a",IF(OR('CASE DATA'!G28="GTR", 'CASE DATA'!G28="GPL"),IF(SUM(COUNTIF('CASE DATA'!X28:AI28, 'CODE SECTIONS'!$V$2:$V$218&amp;"*"))&gt;0,"NO","YES"),"n/a"))</f>
        <v>n/a</v>
      </c>
      <c r="N27" s="40" t="str">
        <f t="array" ref="N27">IF(M27="YES",IF(OR((SUM(COUNTIF('CASE DATA'!X28:AI28,'CODE SECTIONS'!$X$2:$X$19&amp;"*"))&gt;0),LEFT('CASE DATA'!X28:AI28,4)="717C", LEFT('CASE DATA'!X28:AI28, 3)="719", LEFT('CASE DATA'!X28:AI28,3)="720", LEFT('CASE DATA'!X28:AI28,3)="724", LEFT('CASE DATA'!X28:AI28,3)="726", LEFT('CASE DATA'!X28:AI28,3)="728", LEFT('CASE DATA'!X28:AI28,4)="901A"), "ineligible misd","eligible"),"n/a")</f>
        <v>n/a</v>
      </c>
      <c r="O27" s="40" t="str">
        <f>IF(N27="eligible",IF(COUNTIF('CASE DATA'!$D$4:$D$200, "")-COUNTIF('CASE DATA'!$A$4:$A$200, "")&gt;0, "YES","NO"),"N/A")</f>
        <v>N/A</v>
      </c>
      <c r="P27" s="40" t="str">
        <f>IF(N27="eligible",BANKRUPTCY!C28+BANKRUPTCY!D28,"N/A")</f>
        <v>N/A</v>
      </c>
      <c r="Q27" s="40" t="str">
        <f>IF(N27="eligible",SOL!C28+SOL!D28,"N/A")</f>
        <v>N/A</v>
      </c>
      <c r="R27" s="40" t="str">
        <f>IF(N27="eligible",SUM('CASE DATA'!K28:T28),"N/A")</f>
        <v>N/A</v>
      </c>
      <c r="S27" s="40" t="str">
        <f>IF(N27="eligible",IF(C27+2920&lt;'BASIC INFO'!$B$3, "YES", "NO"),"N/A")</f>
        <v>N/A</v>
      </c>
      <c r="T27" s="39" t="str">
        <f>IF(OR('CASE DATA'!G28="DEF"), "YES", "NO")</f>
        <v>NO</v>
      </c>
      <c r="U27" s="35" t="str">
        <f>IF(T27="YES",'CASE DATA'!I28,"N/A")</f>
        <v>N/A</v>
      </c>
      <c r="V27" s="40" t="str">
        <f>IF(T27="YES",BANKRUPTCY!C28+BANKRUPTCY!D28,"N/A")</f>
        <v>N/A</v>
      </c>
      <c r="W27" s="40" t="str">
        <f>IF(T27="YES",SUM('CASE DATA'!K28:T28),"N/A")</f>
        <v>N/A</v>
      </c>
      <c r="X27" s="35" t="str">
        <f>IF(OR('CASE DATA'!F28="123.46",'CASE DATA'!F28="123.47"),"YES","NO")</f>
        <v>NO</v>
      </c>
      <c r="Y27" s="40" t="str">
        <f>IF(X27="YES",IF(C27+730.5&lt;'BASIC INFO'!$B$3, "YES","NO"), "N/A")</f>
        <v>N/A</v>
      </c>
      <c r="Z27" s="35" t="str">
        <f>IF('CASE DATA'!F28="725.1","YES","NO")</f>
        <v>NO</v>
      </c>
      <c r="AA27" s="35" t="str">
        <f>IF(Z27="YES",IF(C27+730.5&lt;'BASIC INFO'!$B$3, "YES","NO"), "N/A")</f>
        <v>N/A</v>
      </c>
      <c r="AB27" s="35" t="str">
        <f>IF('BASIC INFO'!$B$6+6574.5&gt;C27, "YES", "NO")</f>
        <v>YES</v>
      </c>
    </row>
    <row r="28" spans="1:28" x14ac:dyDescent="0.25">
      <c r="A28" s="35" t="str">
        <f>IF('CASE DATA'!A29="","z",'CASE DATA'!A29)</f>
        <v>z</v>
      </c>
      <c r="B28" s="66" t="str">
        <f>IF('CASE DATA'!A29="","",'CASE DATA'!E29)</f>
        <v/>
      </c>
      <c r="C28" s="36">
        <f>'CASE DATA'!D29</f>
        <v>0</v>
      </c>
      <c r="D28" s="37" t="str">
        <f>IF('CASE DATA'!I29="YES",SUM('CASE DATA'!K29:Q29),"n/a")</f>
        <v>n/a</v>
      </c>
      <c r="E28" s="38" t="str">
        <f>IF('CASE DATA'!G29="JUV", "YES", "NO")</f>
        <v>NO</v>
      </c>
      <c r="F28" s="38" t="str">
        <f t="array" ref="F28">IF(E28="YES",IF(SUM(COUNTIF('CASE DATA'!$G$4:$G$200, {"GTR","GPL","DEF","JUV"}))&gt;0, "YES","NO"),"N/A")</f>
        <v>N/A</v>
      </c>
      <c r="G28" s="38" t="str">
        <f>IF(E28="YES",IF(COUNTIF('CASE DATA'!$D$4:$D$200, "")-COUNTIF('CASE DATA'!$A$4:$A$200, "")&gt;0, "YES","NO"),"N/A")</f>
        <v>N/A</v>
      </c>
      <c r="H28" s="35" t="str">
        <f>_xlfn.IFS(E28="NO", "N/A", AND('BASIC INFO'!$B$3&gt;'BASIC INFO'!$B$6+6574.5, C28+730.5&lt;'BASIC INFO'!$B$3), "YES", 'BASIC INFO'!$B$3&lt;('BASIC INFO'!$B$6+6574.5), "NOT YET 18", C28+730.5&gt;'BASIC INFO'!$B$3, "NOT YET 2 YEARS")</f>
        <v>N/A</v>
      </c>
      <c r="I28" s="39" t="str">
        <f>IF(OR(AND(LEFT('CASE DATA'!F29,4)="321.",MID('CASE DATA'!A29,8,2)="SM"),MID('CASE DATA'!A29,8,2)="ST",MID('CASE DATA'!A29,8,2)="NT"),"TRAFFIC",IF(OR('CASE DATA'!G29="DISM", 'CASE DATA'!G29="ACQ", 'CASE DATA'!G29="NOTF", 'CASE DATA'!G29="WTHD", 'CASE DATA'!G29="TNSF"), "YES", "NO"))</f>
        <v>NO</v>
      </c>
      <c r="J28" s="40" t="str">
        <f>IF(I28="YES",'CASE DATA'!U29,"N/A")</f>
        <v>N/A</v>
      </c>
      <c r="K28" s="40" t="str">
        <f>IF(I28="YES",SOL!C29+SOL!D29,"N/A")</f>
        <v>N/A</v>
      </c>
      <c r="L28" s="35" t="str">
        <f>IF(I28="YES",IF(C28+180&lt;'BASIC INFO'!$B$3, "YES", "NO"),"N/A")</f>
        <v>N/A</v>
      </c>
      <c r="M28" s="40" t="str">
        <f t="array" ref="M28">IF(I28="TRAFFIC","n/a",IF(OR('CASE DATA'!G29="GTR", 'CASE DATA'!G29="GPL"),IF(SUM(COUNTIF('CASE DATA'!X29:AI29, 'CODE SECTIONS'!$V$2:$V$218&amp;"*"))&gt;0,"NO","YES"),"n/a"))</f>
        <v>n/a</v>
      </c>
      <c r="N28" s="40" t="str">
        <f t="array" ref="N28">IF(M28="YES",IF(OR((SUM(COUNTIF('CASE DATA'!X29:AI29,'CODE SECTIONS'!$X$2:$X$19&amp;"*"))&gt;0),LEFT('CASE DATA'!X29:AI29,4)="717C", LEFT('CASE DATA'!X29:AI29, 3)="719", LEFT('CASE DATA'!X29:AI29,3)="720", LEFT('CASE DATA'!X29:AI29,3)="724", LEFT('CASE DATA'!X29:AI29,3)="726", LEFT('CASE DATA'!X29:AI29,3)="728", LEFT('CASE DATA'!X29:AI29,4)="901A"), "ineligible misd","eligible"),"n/a")</f>
        <v>n/a</v>
      </c>
      <c r="O28" s="40" t="str">
        <f>IF(N28="eligible",IF(COUNTIF('CASE DATA'!$D$4:$D$200, "")-COUNTIF('CASE DATA'!$A$4:$A$200, "")&gt;0, "YES","NO"),"N/A")</f>
        <v>N/A</v>
      </c>
      <c r="P28" s="40" t="str">
        <f>IF(N28="eligible",BANKRUPTCY!C29+BANKRUPTCY!D29,"N/A")</f>
        <v>N/A</v>
      </c>
      <c r="Q28" s="40" t="str">
        <f>IF(N28="eligible",SOL!C29+SOL!D29,"N/A")</f>
        <v>N/A</v>
      </c>
      <c r="R28" s="40" t="str">
        <f>IF(N28="eligible",SUM('CASE DATA'!K29:T29),"N/A")</f>
        <v>N/A</v>
      </c>
      <c r="S28" s="40" t="str">
        <f>IF(N28="eligible",IF(C28+2920&lt;'BASIC INFO'!$B$3, "YES", "NO"),"N/A")</f>
        <v>N/A</v>
      </c>
      <c r="T28" s="39" t="str">
        <f>IF(OR('CASE DATA'!G29="DEF"), "YES", "NO")</f>
        <v>NO</v>
      </c>
      <c r="U28" s="35" t="str">
        <f>IF(T28="YES",'CASE DATA'!I29,"N/A")</f>
        <v>N/A</v>
      </c>
      <c r="V28" s="40" t="str">
        <f>IF(T28="YES",BANKRUPTCY!C29+BANKRUPTCY!D29,"N/A")</f>
        <v>N/A</v>
      </c>
      <c r="W28" s="40" t="str">
        <f>IF(T28="YES",SUM('CASE DATA'!K29:T29),"N/A")</f>
        <v>N/A</v>
      </c>
      <c r="X28" s="35" t="str">
        <f>IF(OR('CASE DATA'!F29="123.46",'CASE DATA'!F29="123.47"),"YES","NO")</f>
        <v>NO</v>
      </c>
      <c r="Y28" s="40" t="str">
        <f>IF(X28="YES",IF(C28+730.5&lt;'BASIC INFO'!$B$3, "YES","NO"), "N/A")</f>
        <v>N/A</v>
      </c>
      <c r="Z28" s="35" t="str">
        <f>IF('CASE DATA'!F29="725.1","YES","NO")</f>
        <v>NO</v>
      </c>
      <c r="AA28" s="35" t="str">
        <f>IF(Z28="YES",IF(C28+730.5&lt;'BASIC INFO'!$B$3, "YES","NO"), "N/A")</f>
        <v>N/A</v>
      </c>
      <c r="AB28" s="35" t="str">
        <f>IF('BASIC INFO'!$B$6+6574.5&gt;C28, "YES", "NO")</f>
        <v>YES</v>
      </c>
    </row>
    <row r="29" spans="1:28" x14ac:dyDescent="0.25">
      <c r="A29" s="35" t="str">
        <f>IF('CASE DATA'!A30="","z",'CASE DATA'!A30)</f>
        <v>z</v>
      </c>
      <c r="B29" s="66" t="str">
        <f>IF('CASE DATA'!A30="","",'CASE DATA'!E30)</f>
        <v/>
      </c>
      <c r="C29" s="36">
        <f>'CASE DATA'!D30</f>
        <v>0</v>
      </c>
      <c r="D29" s="37" t="str">
        <f>IF('CASE DATA'!I30="YES",SUM('CASE DATA'!K30:Q30),"n/a")</f>
        <v>n/a</v>
      </c>
      <c r="E29" s="38" t="str">
        <f>IF('CASE DATA'!G30="JUV", "YES", "NO")</f>
        <v>NO</v>
      </c>
      <c r="F29" s="38" t="str">
        <f t="array" ref="F29">IF(E29="YES",IF(SUM(COUNTIF('CASE DATA'!$G$4:$G$200, {"GTR","GPL","DEF","JUV"}))&gt;0, "YES","NO"),"N/A")</f>
        <v>N/A</v>
      </c>
      <c r="G29" s="38" t="str">
        <f>IF(E29="YES",IF(COUNTIF('CASE DATA'!$D$4:$D$200, "")-COUNTIF('CASE DATA'!$A$4:$A$200, "")&gt;0, "YES","NO"),"N/A")</f>
        <v>N/A</v>
      </c>
      <c r="H29" s="35" t="str">
        <f>_xlfn.IFS(E29="NO", "N/A", AND('BASIC INFO'!$B$3&gt;'BASIC INFO'!$B$6+6574.5, C29+730.5&lt;'BASIC INFO'!$B$3), "YES", 'BASIC INFO'!$B$3&lt;('BASIC INFO'!$B$6+6574.5), "NOT YET 18", C29+730.5&gt;'BASIC INFO'!$B$3, "NOT YET 2 YEARS")</f>
        <v>N/A</v>
      </c>
      <c r="I29" s="39" t="str">
        <f>IF(OR(AND(LEFT('CASE DATA'!F30,4)="321.",MID('CASE DATA'!A30,8,2)="SM"),MID('CASE DATA'!A30,8,2)="ST",MID('CASE DATA'!A30,8,2)="NT"),"TRAFFIC",IF(OR('CASE DATA'!G30="DISM", 'CASE DATA'!G30="ACQ", 'CASE DATA'!G30="NOTF", 'CASE DATA'!G30="WTHD", 'CASE DATA'!G30="TNSF"), "YES", "NO"))</f>
        <v>NO</v>
      </c>
      <c r="J29" s="40" t="str">
        <f>IF(I29="YES",'CASE DATA'!U30,"N/A")</f>
        <v>N/A</v>
      </c>
      <c r="K29" s="40" t="str">
        <f>IF(I29="YES",SOL!C30+SOL!D30,"N/A")</f>
        <v>N/A</v>
      </c>
      <c r="L29" s="35" t="str">
        <f>IF(I29="YES",IF(C29+180&lt;'BASIC INFO'!$B$3, "YES", "NO"),"N/A")</f>
        <v>N/A</v>
      </c>
      <c r="M29" s="40" t="str">
        <f t="array" ref="M29">IF(I29="TRAFFIC","n/a",IF(OR('CASE DATA'!G30="GTR", 'CASE DATA'!G30="GPL"),IF(SUM(COUNTIF('CASE DATA'!X30:AI30, 'CODE SECTIONS'!$V$2:$V$218&amp;"*"))&gt;0,"NO","YES"),"n/a"))</f>
        <v>n/a</v>
      </c>
      <c r="N29" s="40" t="str">
        <f t="array" ref="N29">IF(M29="YES",IF(OR((SUM(COUNTIF('CASE DATA'!X30:AI30,'CODE SECTIONS'!$X$2:$X$19&amp;"*"))&gt;0),LEFT('CASE DATA'!X30:AI30,4)="717C", LEFT('CASE DATA'!X30:AI30, 3)="719", LEFT('CASE DATA'!X30:AI30,3)="720", LEFT('CASE DATA'!X30:AI30,3)="724", LEFT('CASE DATA'!X30:AI30,3)="726", LEFT('CASE DATA'!X30:AI30,3)="728", LEFT('CASE DATA'!X30:AI30,4)="901A"), "ineligible misd","eligible"),"n/a")</f>
        <v>n/a</v>
      </c>
      <c r="O29" s="40" t="str">
        <f>IF(N29="eligible",IF(COUNTIF('CASE DATA'!$D$4:$D$200, "")-COUNTIF('CASE DATA'!$A$4:$A$200, "")&gt;0, "YES","NO"),"N/A")</f>
        <v>N/A</v>
      </c>
      <c r="P29" s="40" t="str">
        <f>IF(N29="eligible",BANKRUPTCY!C30+BANKRUPTCY!D30,"N/A")</f>
        <v>N/A</v>
      </c>
      <c r="Q29" s="40" t="str">
        <f>IF(N29="eligible",SOL!C30+SOL!D30,"N/A")</f>
        <v>N/A</v>
      </c>
      <c r="R29" s="40" t="str">
        <f>IF(N29="eligible",SUM('CASE DATA'!K30:T30),"N/A")</f>
        <v>N/A</v>
      </c>
      <c r="S29" s="40" t="str">
        <f>IF(N29="eligible",IF(C29+2920&lt;'BASIC INFO'!$B$3, "YES", "NO"),"N/A")</f>
        <v>N/A</v>
      </c>
      <c r="T29" s="39" t="str">
        <f>IF(OR('CASE DATA'!G30="DEF"), "YES", "NO")</f>
        <v>NO</v>
      </c>
      <c r="U29" s="35" t="str">
        <f>IF(T29="YES",'CASE DATA'!I30,"N/A")</f>
        <v>N/A</v>
      </c>
      <c r="V29" s="40" t="str">
        <f>IF(T29="YES",BANKRUPTCY!C30+BANKRUPTCY!D30,"N/A")</f>
        <v>N/A</v>
      </c>
      <c r="W29" s="40" t="str">
        <f>IF(T29="YES",SUM('CASE DATA'!K30:T30),"N/A")</f>
        <v>N/A</v>
      </c>
      <c r="X29" s="35" t="str">
        <f>IF(OR('CASE DATA'!F30="123.46",'CASE DATA'!F30="123.47"),"YES","NO")</f>
        <v>NO</v>
      </c>
      <c r="Y29" s="40" t="str">
        <f>IF(X29="YES",IF(C29+730.5&lt;'BASIC INFO'!$B$3, "YES","NO"), "N/A")</f>
        <v>N/A</v>
      </c>
      <c r="Z29" s="35" t="str">
        <f>IF('CASE DATA'!F30="725.1","YES","NO")</f>
        <v>NO</v>
      </c>
      <c r="AA29" s="35" t="str">
        <f>IF(Z29="YES",IF(C29+730.5&lt;'BASIC INFO'!$B$3, "YES","NO"), "N/A")</f>
        <v>N/A</v>
      </c>
      <c r="AB29" s="35" t="str">
        <f>IF('BASIC INFO'!$B$6+6574.5&gt;C29, "YES", "NO")</f>
        <v>YES</v>
      </c>
    </row>
    <row r="30" spans="1:28" x14ac:dyDescent="0.25">
      <c r="A30" s="35" t="str">
        <f>IF('CASE DATA'!A31="","z",'CASE DATA'!A31)</f>
        <v>z</v>
      </c>
      <c r="B30" s="66" t="str">
        <f>IF('CASE DATA'!A31="","",'CASE DATA'!E31)</f>
        <v/>
      </c>
      <c r="C30" s="36">
        <f>'CASE DATA'!D31</f>
        <v>0</v>
      </c>
      <c r="D30" s="37" t="str">
        <f>IF('CASE DATA'!I31="YES",SUM('CASE DATA'!K31:Q31),"n/a")</f>
        <v>n/a</v>
      </c>
      <c r="E30" s="38" t="str">
        <f>IF('CASE DATA'!G31="JUV", "YES", "NO")</f>
        <v>NO</v>
      </c>
      <c r="F30" s="38" t="str">
        <f t="array" ref="F30">IF(E30="YES",IF(SUM(COUNTIF('CASE DATA'!$G$4:$G$200, {"GTR","GPL","DEF","JUV"}))&gt;0, "YES","NO"),"N/A")</f>
        <v>N/A</v>
      </c>
      <c r="G30" s="38" t="str">
        <f>IF(E30="YES",IF(COUNTIF('CASE DATA'!$D$4:$D$200, "")-COUNTIF('CASE DATA'!$A$4:$A$200, "")&gt;0, "YES","NO"),"N/A")</f>
        <v>N/A</v>
      </c>
      <c r="H30" s="35" t="str">
        <f>_xlfn.IFS(E30="NO", "N/A", AND('BASIC INFO'!$B$3&gt;'BASIC INFO'!$B$6+6574.5, C30+730.5&lt;'BASIC INFO'!$B$3), "YES", 'BASIC INFO'!$B$3&lt;('BASIC INFO'!$B$6+6574.5), "NOT YET 18", C30+730.5&gt;'BASIC INFO'!$B$3, "NOT YET 2 YEARS")</f>
        <v>N/A</v>
      </c>
      <c r="I30" s="39" t="str">
        <f>IF(OR(AND(LEFT('CASE DATA'!F31,4)="321.",MID('CASE DATA'!A31,8,2)="SM"),MID('CASE DATA'!A31,8,2)="ST",MID('CASE DATA'!A31,8,2)="NT"),"TRAFFIC",IF(OR('CASE DATA'!G31="DISM", 'CASE DATA'!G31="ACQ", 'CASE DATA'!G31="NOTF", 'CASE DATA'!G31="WTHD", 'CASE DATA'!G31="TNSF"), "YES", "NO"))</f>
        <v>NO</v>
      </c>
      <c r="J30" s="40" t="str">
        <f>IF(I30="YES",'CASE DATA'!U31,"N/A")</f>
        <v>N/A</v>
      </c>
      <c r="K30" s="40" t="str">
        <f>IF(I30="YES",SOL!C31+SOL!D31,"N/A")</f>
        <v>N/A</v>
      </c>
      <c r="L30" s="35" t="str">
        <f>IF(I30="YES",IF(C30+180&lt;'BASIC INFO'!$B$3, "YES", "NO"),"N/A")</f>
        <v>N/A</v>
      </c>
      <c r="M30" s="40" t="str">
        <f t="array" ref="M30">IF(I30="TRAFFIC","n/a",IF(OR('CASE DATA'!G31="GTR", 'CASE DATA'!G31="GPL"),IF(SUM(COUNTIF('CASE DATA'!X31:AI31, 'CODE SECTIONS'!$V$2:$V$218&amp;"*"))&gt;0,"NO","YES"),"n/a"))</f>
        <v>n/a</v>
      </c>
      <c r="N30" s="40" t="str">
        <f t="array" ref="N30">IF(M30="YES",IF(OR((SUM(COUNTIF('CASE DATA'!X31:AI31,'CODE SECTIONS'!$X$2:$X$19&amp;"*"))&gt;0),LEFT('CASE DATA'!X31:AI31,4)="717C", LEFT('CASE DATA'!X31:AI31, 3)="719", LEFT('CASE DATA'!X31:AI31,3)="720", LEFT('CASE DATA'!X31:AI31,3)="724", LEFT('CASE DATA'!X31:AI31,3)="726", LEFT('CASE DATA'!X31:AI31,3)="728", LEFT('CASE DATA'!X31:AI31,4)="901A"), "ineligible misd","eligible"),"n/a")</f>
        <v>n/a</v>
      </c>
      <c r="O30" s="40" t="str">
        <f>IF(N30="eligible",IF(COUNTIF('CASE DATA'!$D$4:$D$200, "")-COUNTIF('CASE DATA'!$A$4:$A$200, "")&gt;0, "YES","NO"),"N/A")</f>
        <v>N/A</v>
      </c>
      <c r="P30" s="40" t="str">
        <f>IF(N30="eligible",BANKRUPTCY!C31+BANKRUPTCY!D31,"N/A")</f>
        <v>N/A</v>
      </c>
      <c r="Q30" s="40" t="str">
        <f>IF(N30="eligible",SOL!C31+SOL!D31,"N/A")</f>
        <v>N/A</v>
      </c>
      <c r="R30" s="40" t="str">
        <f>IF(N30="eligible",SUM('CASE DATA'!K31:T31),"N/A")</f>
        <v>N/A</v>
      </c>
      <c r="S30" s="40" t="str">
        <f>IF(N30="eligible",IF(C30+2920&lt;'BASIC INFO'!$B$3, "YES", "NO"),"N/A")</f>
        <v>N/A</v>
      </c>
      <c r="T30" s="39" t="str">
        <f>IF(OR('CASE DATA'!G31="DEF"), "YES", "NO")</f>
        <v>NO</v>
      </c>
      <c r="U30" s="35" t="str">
        <f>IF(T30="YES",'CASE DATA'!I31,"N/A")</f>
        <v>N/A</v>
      </c>
      <c r="V30" s="40" t="str">
        <f>IF(T30="YES",BANKRUPTCY!C31+BANKRUPTCY!D31,"N/A")</f>
        <v>N/A</v>
      </c>
      <c r="W30" s="40" t="str">
        <f>IF(T30="YES",SUM('CASE DATA'!K31:T31),"N/A")</f>
        <v>N/A</v>
      </c>
      <c r="X30" s="35" t="str">
        <f>IF(OR('CASE DATA'!F31="123.46",'CASE DATA'!F31="123.47"),"YES","NO")</f>
        <v>NO</v>
      </c>
      <c r="Y30" s="40" t="str">
        <f>IF(X30="YES",IF(C30+730.5&lt;'BASIC INFO'!$B$3, "YES","NO"), "N/A")</f>
        <v>N/A</v>
      </c>
      <c r="Z30" s="35" t="str">
        <f>IF('CASE DATA'!F31="725.1","YES","NO")</f>
        <v>NO</v>
      </c>
      <c r="AA30" s="35" t="str">
        <f>IF(Z30="YES",IF(C30+730.5&lt;'BASIC INFO'!$B$3, "YES","NO"), "N/A")</f>
        <v>N/A</v>
      </c>
      <c r="AB30" s="35" t="str">
        <f>IF('BASIC INFO'!$B$6+6574.5&gt;C30, "YES", "NO")</f>
        <v>YES</v>
      </c>
    </row>
    <row r="31" spans="1:28" x14ac:dyDescent="0.25">
      <c r="A31" s="35" t="str">
        <f>IF('CASE DATA'!A32="","z",'CASE DATA'!A32)</f>
        <v>z</v>
      </c>
      <c r="B31" s="66" t="str">
        <f>IF('CASE DATA'!A32="","",'CASE DATA'!E32)</f>
        <v/>
      </c>
      <c r="C31" s="36">
        <f>'CASE DATA'!D32</f>
        <v>0</v>
      </c>
      <c r="D31" s="37" t="str">
        <f>IF('CASE DATA'!I32="YES",SUM('CASE DATA'!K32:Q32),"n/a")</f>
        <v>n/a</v>
      </c>
      <c r="E31" s="38" t="str">
        <f>IF('CASE DATA'!G32="JUV", "YES", "NO")</f>
        <v>NO</v>
      </c>
      <c r="F31" s="38" t="str">
        <f t="array" ref="F31">IF(E31="YES",IF(SUM(COUNTIF('CASE DATA'!$G$4:$G$200, {"GTR","GPL","DEF","JUV"}))&gt;0, "YES","NO"),"N/A")</f>
        <v>N/A</v>
      </c>
      <c r="G31" s="38" t="str">
        <f>IF(E31="YES",IF(COUNTIF('CASE DATA'!$D$4:$D$200, "")-COUNTIF('CASE DATA'!$A$4:$A$200, "")&gt;0, "YES","NO"),"N/A")</f>
        <v>N/A</v>
      </c>
      <c r="H31" s="35" t="str">
        <f>_xlfn.IFS(E31="NO", "N/A", AND('BASIC INFO'!$B$3&gt;'BASIC INFO'!$B$6+6574.5, C31+730.5&lt;'BASIC INFO'!$B$3), "YES", 'BASIC INFO'!$B$3&lt;('BASIC INFO'!$B$6+6574.5), "NOT YET 18", C31+730.5&gt;'BASIC INFO'!$B$3, "NOT YET 2 YEARS")</f>
        <v>N/A</v>
      </c>
      <c r="I31" s="39" t="str">
        <f>IF(OR(AND(LEFT('CASE DATA'!F32,4)="321.",MID('CASE DATA'!A32,8,2)="SM"),MID('CASE DATA'!A32,8,2)="ST",MID('CASE DATA'!A32,8,2)="NT"),"TRAFFIC",IF(OR('CASE DATA'!G32="DISM", 'CASE DATA'!G32="ACQ", 'CASE DATA'!G32="NOTF", 'CASE DATA'!G32="WTHD", 'CASE DATA'!G32="TNSF"), "YES", "NO"))</f>
        <v>NO</v>
      </c>
      <c r="J31" s="40" t="str">
        <f>IF(I31="YES",'CASE DATA'!U32,"N/A")</f>
        <v>N/A</v>
      </c>
      <c r="K31" s="40" t="str">
        <f>IF(I31="YES",SOL!C32+SOL!D32,"N/A")</f>
        <v>N/A</v>
      </c>
      <c r="L31" s="35" t="str">
        <f>IF(I31="YES",IF(C31+180&lt;'BASIC INFO'!$B$3, "YES", "NO"),"N/A")</f>
        <v>N/A</v>
      </c>
      <c r="M31" s="40" t="str">
        <f t="array" ref="M31">IF(I31="TRAFFIC","n/a",IF(OR('CASE DATA'!G32="GTR", 'CASE DATA'!G32="GPL"),IF(SUM(COUNTIF('CASE DATA'!X32:AI32, 'CODE SECTIONS'!$V$2:$V$218&amp;"*"))&gt;0,"NO","YES"),"n/a"))</f>
        <v>n/a</v>
      </c>
      <c r="N31" s="40" t="str">
        <f t="array" ref="N31">IF(M31="YES",IF(OR((SUM(COUNTIF('CASE DATA'!X32:AI32,'CODE SECTIONS'!$X$2:$X$19&amp;"*"))&gt;0),LEFT('CASE DATA'!X32:AI32,4)="717C", LEFT('CASE DATA'!X32:AI32, 3)="719", LEFT('CASE DATA'!X32:AI32,3)="720", LEFT('CASE DATA'!X32:AI32,3)="724", LEFT('CASE DATA'!X32:AI32,3)="726", LEFT('CASE DATA'!X32:AI32,3)="728", LEFT('CASE DATA'!X32:AI32,4)="901A"), "ineligible misd","eligible"),"n/a")</f>
        <v>n/a</v>
      </c>
      <c r="O31" s="40" t="str">
        <f>IF(N31="eligible",IF(COUNTIF('CASE DATA'!$D$4:$D$200, "")-COUNTIF('CASE DATA'!$A$4:$A$200, "")&gt;0, "YES","NO"),"N/A")</f>
        <v>N/A</v>
      </c>
      <c r="P31" s="40" t="str">
        <f>IF(N31="eligible",BANKRUPTCY!C32+BANKRUPTCY!D32,"N/A")</f>
        <v>N/A</v>
      </c>
      <c r="Q31" s="40" t="str">
        <f>IF(N31="eligible",SOL!C32+SOL!D32,"N/A")</f>
        <v>N/A</v>
      </c>
      <c r="R31" s="40" t="str">
        <f>IF(N31="eligible",SUM('CASE DATA'!K32:T32),"N/A")</f>
        <v>N/A</v>
      </c>
      <c r="S31" s="40" t="str">
        <f>IF(N31="eligible",IF(C31+2920&lt;'BASIC INFO'!$B$3, "YES", "NO"),"N/A")</f>
        <v>N/A</v>
      </c>
      <c r="T31" s="39" t="str">
        <f>IF(OR('CASE DATA'!G32="DEF"), "YES", "NO")</f>
        <v>NO</v>
      </c>
      <c r="U31" s="35" t="str">
        <f>IF(T31="YES",'CASE DATA'!I32,"N/A")</f>
        <v>N/A</v>
      </c>
      <c r="V31" s="40" t="str">
        <f>IF(T31="YES",BANKRUPTCY!C32+BANKRUPTCY!D32,"N/A")</f>
        <v>N/A</v>
      </c>
      <c r="W31" s="40" t="str">
        <f>IF(T31="YES",SUM('CASE DATA'!K32:T32),"N/A")</f>
        <v>N/A</v>
      </c>
      <c r="X31" s="35" t="str">
        <f>IF(OR('CASE DATA'!F32="123.46",'CASE DATA'!F32="123.47"),"YES","NO")</f>
        <v>NO</v>
      </c>
      <c r="Y31" s="40" t="str">
        <f>IF(X31="YES",IF(C31+730.5&lt;'BASIC INFO'!$B$3, "YES","NO"), "N/A")</f>
        <v>N/A</v>
      </c>
      <c r="Z31" s="35" t="str">
        <f>IF('CASE DATA'!F32="725.1","YES","NO")</f>
        <v>NO</v>
      </c>
      <c r="AA31" s="35" t="str">
        <f>IF(Z31="YES",IF(C31+730.5&lt;'BASIC INFO'!$B$3, "YES","NO"), "N/A")</f>
        <v>N/A</v>
      </c>
      <c r="AB31" s="35" t="str">
        <f>IF('BASIC INFO'!$B$6+6574.5&gt;C31, "YES", "NO")</f>
        <v>YES</v>
      </c>
    </row>
    <row r="32" spans="1:28" x14ac:dyDescent="0.25">
      <c r="A32" s="35" t="str">
        <f>IF('CASE DATA'!A33="","z",'CASE DATA'!A33)</f>
        <v>z</v>
      </c>
      <c r="B32" s="66" t="str">
        <f>IF('CASE DATA'!A33="","",'CASE DATA'!E33)</f>
        <v/>
      </c>
      <c r="C32" s="36">
        <f>'CASE DATA'!D33</f>
        <v>0</v>
      </c>
      <c r="D32" s="37" t="str">
        <f>IF('CASE DATA'!I33="YES",SUM('CASE DATA'!K33:Q33),"n/a")</f>
        <v>n/a</v>
      </c>
      <c r="E32" s="38" t="str">
        <f>IF('CASE DATA'!G33="JUV", "YES", "NO")</f>
        <v>NO</v>
      </c>
      <c r="F32" s="38" t="str">
        <f t="array" ref="F32">IF(E32="YES",IF(SUM(COUNTIF('CASE DATA'!$G$4:$G$200, {"GTR","GPL","DEF","JUV"}))&gt;0, "YES","NO"),"N/A")</f>
        <v>N/A</v>
      </c>
      <c r="G32" s="38" t="str">
        <f>IF(E32="YES",IF(COUNTIF('CASE DATA'!$D$4:$D$200, "")-COUNTIF('CASE DATA'!$A$4:$A$200, "")&gt;0, "YES","NO"),"N/A")</f>
        <v>N/A</v>
      </c>
      <c r="H32" s="35" t="str">
        <f>_xlfn.IFS(E32="NO", "N/A", AND('BASIC INFO'!$B$3&gt;'BASIC INFO'!$B$6+6574.5, C32+730.5&lt;'BASIC INFO'!$B$3), "YES", 'BASIC INFO'!$B$3&lt;('BASIC INFO'!$B$6+6574.5), "NOT YET 18", C32+730.5&gt;'BASIC INFO'!$B$3, "NOT YET 2 YEARS")</f>
        <v>N/A</v>
      </c>
      <c r="I32" s="39" t="str">
        <f>IF(OR(AND(LEFT('CASE DATA'!F33,4)="321.",MID('CASE DATA'!A33,8,2)="SM"),MID('CASE DATA'!A33,8,2)="ST",MID('CASE DATA'!A33,8,2)="NT"),"TRAFFIC",IF(OR('CASE DATA'!G33="DISM", 'CASE DATA'!G33="ACQ", 'CASE DATA'!G33="NOTF", 'CASE DATA'!G33="WTHD", 'CASE DATA'!G33="TNSF"), "YES", "NO"))</f>
        <v>NO</v>
      </c>
      <c r="J32" s="40" t="str">
        <f>IF(I32="YES",'CASE DATA'!U33,"N/A")</f>
        <v>N/A</v>
      </c>
      <c r="K32" s="40" t="str">
        <f>IF(I32="YES",SOL!C33+SOL!D33,"N/A")</f>
        <v>N/A</v>
      </c>
      <c r="L32" s="35" t="str">
        <f>IF(I32="YES",IF(C32+180&lt;'BASIC INFO'!$B$3, "YES", "NO"),"N/A")</f>
        <v>N/A</v>
      </c>
      <c r="M32" s="40" t="str">
        <f t="array" ref="M32">IF(I32="TRAFFIC","n/a",IF(OR('CASE DATA'!G33="GTR", 'CASE DATA'!G33="GPL"),IF(SUM(COUNTIF('CASE DATA'!X33:AI33, 'CODE SECTIONS'!$V$2:$V$218&amp;"*"))&gt;0,"NO","YES"),"n/a"))</f>
        <v>n/a</v>
      </c>
      <c r="N32" s="40" t="str">
        <f t="array" ref="N32">IF(M32="YES",IF(OR((SUM(COUNTIF('CASE DATA'!X33:AI33,'CODE SECTIONS'!$X$2:$X$19&amp;"*"))&gt;0),LEFT('CASE DATA'!X33:AI33,4)="717C", LEFT('CASE DATA'!X33:AI33, 3)="719", LEFT('CASE DATA'!X33:AI33,3)="720", LEFT('CASE DATA'!X33:AI33,3)="724", LEFT('CASE DATA'!X33:AI33,3)="726", LEFT('CASE DATA'!X33:AI33,3)="728", LEFT('CASE DATA'!X33:AI33,4)="901A"), "ineligible misd","eligible"),"n/a")</f>
        <v>n/a</v>
      </c>
      <c r="O32" s="40" t="str">
        <f>IF(N32="eligible",IF(COUNTIF('CASE DATA'!$D$4:$D$200, "")-COUNTIF('CASE DATA'!$A$4:$A$200, "")&gt;0, "YES","NO"),"N/A")</f>
        <v>N/A</v>
      </c>
      <c r="P32" s="40" t="str">
        <f>IF(N32="eligible",BANKRUPTCY!C33+BANKRUPTCY!D33,"N/A")</f>
        <v>N/A</v>
      </c>
      <c r="Q32" s="40" t="str">
        <f>IF(N32="eligible",SOL!C33+SOL!D33,"N/A")</f>
        <v>N/A</v>
      </c>
      <c r="R32" s="40" t="str">
        <f>IF(N32="eligible",SUM('CASE DATA'!K33:T33),"N/A")</f>
        <v>N/A</v>
      </c>
      <c r="S32" s="40" t="str">
        <f>IF(N32="eligible",IF(C32+2920&lt;'BASIC INFO'!$B$3, "YES", "NO"),"N/A")</f>
        <v>N/A</v>
      </c>
      <c r="T32" s="39" t="str">
        <f>IF(OR('CASE DATA'!G33="DEF"), "YES", "NO")</f>
        <v>NO</v>
      </c>
      <c r="U32" s="35" t="str">
        <f>IF(T32="YES",'CASE DATA'!I33,"N/A")</f>
        <v>N/A</v>
      </c>
      <c r="V32" s="40" t="str">
        <f>IF(T32="YES",BANKRUPTCY!C33+BANKRUPTCY!D33,"N/A")</f>
        <v>N/A</v>
      </c>
      <c r="W32" s="40" t="str">
        <f>IF(T32="YES",SUM('CASE DATA'!K33:T33),"N/A")</f>
        <v>N/A</v>
      </c>
      <c r="X32" s="35" t="str">
        <f>IF(OR('CASE DATA'!F33="123.46",'CASE DATA'!F33="123.47"),"YES","NO")</f>
        <v>NO</v>
      </c>
      <c r="Y32" s="40" t="str">
        <f>IF(X32="YES",IF(C32+730.5&lt;'BASIC INFO'!$B$3, "YES","NO"), "N/A")</f>
        <v>N/A</v>
      </c>
      <c r="Z32" s="35" t="str">
        <f>IF('CASE DATA'!F33="725.1","YES","NO")</f>
        <v>NO</v>
      </c>
      <c r="AA32" s="35" t="str">
        <f>IF(Z32="YES",IF(C32+730.5&lt;'BASIC INFO'!$B$3, "YES","NO"), "N/A")</f>
        <v>N/A</v>
      </c>
      <c r="AB32" s="35" t="str">
        <f>IF('BASIC INFO'!$B$6+6574.5&gt;C32, "YES", "NO")</f>
        <v>YES</v>
      </c>
    </row>
    <row r="33" spans="1:28" x14ac:dyDescent="0.25">
      <c r="A33" s="35" t="str">
        <f>IF('CASE DATA'!A34="","z",'CASE DATA'!A34)</f>
        <v>z</v>
      </c>
      <c r="B33" s="66" t="str">
        <f>IF('CASE DATA'!A34="","",'CASE DATA'!E34)</f>
        <v/>
      </c>
      <c r="C33" s="36">
        <f>'CASE DATA'!D34</f>
        <v>0</v>
      </c>
      <c r="D33" s="37" t="str">
        <f>IF('CASE DATA'!I34="YES",SUM('CASE DATA'!K34:Q34),"n/a")</f>
        <v>n/a</v>
      </c>
      <c r="E33" s="38" t="str">
        <f>IF('CASE DATA'!G34="JUV", "YES", "NO")</f>
        <v>NO</v>
      </c>
      <c r="F33" s="38" t="str">
        <f t="array" ref="F33">IF(E33="YES",IF(SUM(COUNTIF('CASE DATA'!$G$4:$G$200, {"GTR","GPL","DEF","JUV"}))&gt;0, "YES","NO"),"N/A")</f>
        <v>N/A</v>
      </c>
      <c r="G33" s="38" t="str">
        <f>IF(E33="YES",IF(COUNTIF('CASE DATA'!$D$4:$D$200, "")-COUNTIF('CASE DATA'!$A$4:$A$200, "")&gt;0, "YES","NO"),"N/A")</f>
        <v>N/A</v>
      </c>
      <c r="H33" s="35" t="str">
        <f>_xlfn.IFS(E33="NO", "N/A", AND('BASIC INFO'!$B$3&gt;'BASIC INFO'!$B$6+6574.5, C33+730.5&lt;'BASIC INFO'!$B$3), "YES", 'BASIC INFO'!$B$3&lt;('BASIC INFO'!$B$6+6574.5), "NOT YET 18", C33+730.5&gt;'BASIC INFO'!$B$3, "NOT YET 2 YEARS")</f>
        <v>N/A</v>
      </c>
      <c r="I33" s="39" t="str">
        <f>IF(OR(AND(LEFT('CASE DATA'!F34,4)="321.",MID('CASE DATA'!A34,8,2)="SM"),MID('CASE DATA'!A34,8,2)="ST",MID('CASE DATA'!A34,8,2)="NT"),"TRAFFIC",IF(OR('CASE DATA'!G34="DISM", 'CASE DATA'!G34="ACQ", 'CASE DATA'!G34="NOTF", 'CASE DATA'!G34="WTHD", 'CASE DATA'!G34="TNSF"), "YES", "NO"))</f>
        <v>NO</v>
      </c>
      <c r="J33" s="40" t="str">
        <f>IF(I33="YES",'CASE DATA'!U34,"N/A")</f>
        <v>N/A</v>
      </c>
      <c r="K33" s="40" t="str">
        <f>IF(I33="YES",SOL!C34+SOL!D34,"N/A")</f>
        <v>N/A</v>
      </c>
      <c r="L33" s="35" t="str">
        <f>IF(I33="YES",IF(C33+180&lt;'BASIC INFO'!$B$3, "YES", "NO"),"N/A")</f>
        <v>N/A</v>
      </c>
      <c r="M33" s="40" t="str">
        <f t="array" ref="M33">IF(I33="TRAFFIC","n/a",IF(OR('CASE DATA'!G34="GTR", 'CASE DATA'!G34="GPL"),IF(SUM(COUNTIF('CASE DATA'!X34:AI34, 'CODE SECTIONS'!$V$2:$V$218&amp;"*"))&gt;0,"NO","YES"),"n/a"))</f>
        <v>n/a</v>
      </c>
      <c r="N33" s="40" t="str">
        <f t="array" ref="N33">IF(M33="YES",IF(OR((SUM(COUNTIF('CASE DATA'!X34:AI34,'CODE SECTIONS'!$X$2:$X$19&amp;"*"))&gt;0),LEFT('CASE DATA'!X34:AI34,4)="717C", LEFT('CASE DATA'!X34:AI34, 3)="719", LEFT('CASE DATA'!X34:AI34,3)="720", LEFT('CASE DATA'!X34:AI34,3)="724", LEFT('CASE DATA'!X34:AI34,3)="726", LEFT('CASE DATA'!X34:AI34,3)="728", LEFT('CASE DATA'!X34:AI34,4)="901A"), "ineligible misd","eligible"),"n/a")</f>
        <v>n/a</v>
      </c>
      <c r="O33" s="40" t="str">
        <f>IF(N33="eligible",IF(COUNTIF('CASE DATA'!$D$4:$D$200, "")-COUNTIF('CASE DATA'!$A$4:$A$200, "")&gt;0, "YES","NO"),"N/A")</f>
        <v>N/A</v>
      </c>
      <c r="P33" s="40" t="str">
        <f>IF(N33="eligible",BANKRUPTCY!C34+BANKRUPTCY!D34,"N/A")</f>
        <v>N/A</v>
      </c>
      <c r="Q33" s="40" t="str">
        <f>IF(N33="eligible",SOL!C34+SOL!D34,"N/A")</f>
        <v>N/A</v>
      </c>
      <c r="R33" s="40" t="str">
        <f>IF(N33="eligible",SUM('CASE DATA'!K34:T34),"N/A")</f>
        <v>N/A</v>
      </c>
      <c r="S33" s="40" t="str">
        <f>IF(N33="eligible",IF(C33+2920&lt;'BASIC INFO'!$B$3, "YES", "NO"),"N/A")</f>
        <v>N/A</v>
      </c>
      <c r="T33" s="39" t="str">
        <f>IF(OR('CASE DATA'!G34="DEF"), "YES", "NO")</f>
        <v>NO</v>
      </c>
      <c r="U33" s="35" t="str">
        <f>IF(T33="YES",'CASE DATA'!I34,"N/A")</f>
        <v>N/A</v>
      </c>
      <c r="V33" s="40" t="str">
        <f>IF(T33="YES",BANKRUPTCY!C34+BANKRUPTCY!D34,"N/A")</f>
        <v>N/A</v>
      </c>
      <c r="W33" s="40" t="str">
        <f>IF(T33="YES",SUM('CASE DATA'!K34:T34),"N/A")</f>
        <v>N/A</v>
      </c>
      <c r="X33" s="35" t="str">
        <f>IF(OR('CASE DATA'!F34="123.46",'CASE DATA'!F34="123.47"),"YES","NO")</f>
        <v>NO</v>
      </c>
      <c r="Y33" s="40" t="str">
        <f>IF(X33="YES",IF(C33+730.5&lt;'BASIC INFO'!$B$3, "YES","NO"), "N/A")</f>
        <v>N/A</v>
      </c>
      <c r="Z33" s="35" t="str">
        <f>IF('CASE DATA'!F34="725.1","YES","NO")</f>
        <v>NO</v>
      </c>
      <c r="AA33" s="35" t="str">
        <f>IF(Z33="YES",IF(C33+730.5&lt;'BASIC INFO'!$B$3, "YES","NO"), "N/A")</f>
        <v>N/A</v>
      </c>
      <c r="AB33" s="35" t="str">
        <f>IF('BASIC INFO'!$B$6+6574.5&gt;C33, "YES", "NO")</f>
        <v>YES</v>
      </c>
    </row>
    <row r="34" spans="1:28" x14ac:dyDescent="0.25">
      <c r="A34" s="35" t="str">
        <f>IF('CASE DATA'!A35="","z",'CASE DATA'!A35)</f>
        <v>z</v>
      </c>
      <c r="B34" s="66" t="str">
        <f>IF('CASE DATA'!A35="","",'CASE DATA'!E35)</f>
        <v/>
      </c>
      <c r="C34" s="36">
        <f>'CASE DATA'!D35</f>
        <v>0</v>
      </c>
      <c r="D34" s="37" t="str">
        <f>IF('CASE DATA'!I35="YES",SUM('CASE DATA'!K35:Q35),"n/a")</f>
        <v>n/a</v>
      </c>
      <c r="E34" s="38" t="str">
        <f>IF('CASE DATA'!G35="JUV", "YES", "NO")</f>
        <v>NO</v>
      </c>
      <c r="F34" s="38" t="str">
        <f t="array" ref="F34">IF(E34="YES",IF(SUM(COUNTIF('CASE DATA'!$G$4:$G$200, {"GTR","GPL","DEF","JUV"}))&gt;0, "YES","NO"),"N/A")</f>
        <v>N/A</v>
      </c>
      <c r="G34" s="38" t="str">
        <f>IF(E34="YES",IF(COUNTIF('CASE DATA'!$D$4:$D$200, "")-COUNTIF('CASE DATA'!$A$4:$A$200, "")&gt;0, "YES","NO"),"N/A")</f>
        <v>N/A</v>
      </c>
      <c r="H34" s="35" t="str">
        <f>_xlfn.IFS(E34="NO", "N/A", AND('BASIC INFO'!$B$3&gt;'BASIC INFO'!$B$6+6574.5, C34+730.5&lt;'BASIC INFO'!$B$3), "YES", 'BASIC INFO'!$B$3&lt;('BASIC INFO'!$B$6+6574.5), "NOT YET 18", C34+730.5&gt;'BASIC INFO'!$B$3, "NOT YET 2 YEARS")</f>
        <v>N/A</v>
      </c>
      <c r="I34" s="39" t="str">
        <f>IF(OR(AND(LEFT('CASE DATA'!F35,4)="321.",MID('CASE DATA'!A35,8,2)="SM"),MID('CASE DATA'!A35,8,2)="ST",MID('CASE DATA'!A35,8,2)="NT"),"TRAFFIC",IF(OR('CASE DATA'!G35="DISM", 'CASE DATA'!G35="ACQ", 'CASE DATA'!G35="NOTF", 'CASE DATA'!G35="WTHD", 'CASE DATA'!G35="TNSF"), "YES", "NO"))</f>
        <v>NO</v>
      </c>
      <c r="J34" s="40" t="str">
        <f>IF(I34="YES",'CASE DATA'!U35,"N/A")</f>
        <v>N/A</v>
      </c>
      <c r="K34" s="40" t="str">
        <f>IF(I34="YES",SOL!C35+SOL!D35,"N/A")</f>
        <v>N/A</v>
      </c>
      <c r="L34" s="35" t="str">
        <f>IF(I34="YES",IF(C34+180&lt;'BASIC INFO'!$B$3, "YES", "NO"),"N/A")</f>
        <v>N/A</v>
      </c>
      <c r="M34" s="40" t="str">
        <f t="array" ref="M34">IF(I34="TRAFFIC","n/a",IF(OR('CASE DATA'!G35="GTR", 'CASE DATA'!G35="GPL"),IF(SUM(COUNTIF('CASE DATA'!X35:AI35, 'CODE SECTIONS'!$V$2:$V$218&amp;"*"))&gt;0,"NO","YES"),"n/a"))</f>
        <v>n/a</v>
      </c>
      <c r="N34" s="40" t="str">
        <f t="array" ref="N34">IF(M34="YES",IF(OR((SUM(COUNTIF('CASE DATA'!X35:AI35,'CODE SECTIONS'!$X$2:$X$19&amp;"*"))&gt;0),LEFT('CASE DATA'!X35:AI35,4)="717C", LEFT('CASE DATA'!X35:AI35, 3)="719", LEFT('CASE DATA'!X35:AI35,3)="720", LEFT('CASE DATA'!X35:AI35,3)="724", LEFT('CASE DATA'!X35:AI35,3)="726", LEFT('CASE DATA'!X35:AI35,3)="728", LEFT('CASE DATA'!X35:AI35,4)="901A"), "ineligible misd","eligible"),"n/a")</f>
        <v>n/a</v>
      </c>
      <c r="O34" s="40" t="str">
        <f>IF(N34="eligible",IF(COUNTIF('CASE DATA'!$D$4:$D$200, "")-COUNTIF('CASE DATA'!$A$4:$A$200, "")&gt;0, "YES","NO"),"N/A")</f>
        <v>N/A</v>
      </c>
      <c r="P34" s="40" t="str">
        <f>IF(N34="eligible",BANKRUPTCY!C35+BANKRUPTCY!D35,"N/A")</f>
        <v>N/A</v>
      </c>
      <c r="Q34" s="40" t="str">
        <f>IF(N34="eligible",SOL!C35+SOL!D35,"N/A")</f>
        <v>N/A</v>
      </c>
      <c r="R34" s="40" t="str">
        <f>IF(N34="eligible",SUM('CASE DATA'!K35:T35),"N/A")</f>
        <v>N/A</v>
      </c>
      <c r="S34" s="40" t="str">
        <f>IF(N34="eligible",IF(C34+2920&lt;'BASIC INFO'!$B$3, "YES", "NO"),"N/A")</f>
        <v>N/A</v>
      </c>
      <c r="T34" s="39" t="str">
        <f>IF(OR('CASE DATA'!G35="DEF"), "YES", "NO")</f>
        <v>NO</v>
      </c>
      <c r="U34" s="35" t="str">
        <f>IF(T34="YES",'CASE DATA'!I35,"N/A")</f>
        <v>N/A</v>
      </c>
      <c r="V34" s="40" t="str">
        <f>IF(T34="YES",BANKRUPTCY!C35+BANKRUPTCY!D35,"N/A")</f>
        <v>N/A</v>
      </c>
      <c r="W34" s="40" t="str">
        <f>IF(T34="YES",SUM('CASE DATA'!K35:T35),"N/A")</f>
        <v>N/A</v>
      </c>
      <c r="X34" s="35" t="str">
        <f>IF(OR('CASE DATA'!F35="123.46",'CASE DATA'!F35="123.47"),"YES","NO")</f>
        <v>NO</v>
      </c>
      <c r="Y34" s="40" t="str">
        <f>IF(X34="YES",IF(C34+730.5&lt;'BASIC INFO'!$B$3, "YES","NO"), "N/A")</f>
        <v>N/A</v>
      </c>
      <c r="Z34" s="35" t="str">
        <f>IF('CASE DATA'!F35="725.1","YES","NO")</f>
        <v>NO</v>
      </c>
      <c r="AA34" s="35" t="str">
        <f>IF(Z34="YES",IF(C34+730.5&lt;'BASIC INFO'!$B$3, "YES","NO"), "N/A")</f>
        <v>N/A</v>
      </c>
      <c r="AB34" s="35" t="str">
        <f>IF('BASIC INFO'!$B$6+6574.5&gt;C34, "YES", "NO")</f>
        <v>YES</v>
      </c>
    </row>
    <row r="35" spans="1:28" x14ac:dyDescent="0.25">
      <c r="A35" s="35" t="str">
        <f>IF('CASE DATA'!A36="","z",'CASE DATA'!A36)</f>
        <v>z</v>
      </c>
      <c r="B35" s="66" t="str">
        <f>IF('CASE DATA'!A36="","",'CASE DATA'!E36)</f>
        <v/>
      </c>
      <c r="C35" s="36">
        <f>'CASE DATA'!D36</f>
        <v>0</v>
      </c>
      <c r="D35" s="37" t="str">
        <f>IF('CASE DATA'!I36="YES",SUM('CASE DATA'!K36:Q36),"n/a")</f>
        <v>n/a</v>
      </c>
      <c r="E35" s="38" t="str">
        <f>IF('CASE DATA'!G36="JUV", "YES", "NO")</f>
        <v>NO</v>
      </c>
      <c r="F35" s="38" t="str">
        <f t="array" ref="F35">IF(E35="YES",IF(SUM(COUNTIF('CASE DATA'!$G$4:$G$200, {"GTR","GPL","DEF","JUV"}))&gt;0, "YES","NO"),"N/A")</f>
        <v>N/A</v>
      </c>
      <c r="G35" s="38" t="str">
        <f>IF(E35="YES",IF(COUNTIF('CASE DATA'!$D$4:$D$200, "")-COUNTIF('CASE DATA'!$A$4:$A$200, "")&gt;0, "YES","NO"),"N/A")</f>
        <v>N/A</v>
      </c>
      <c r="H35" s="35" t="str">
        <f>_xlfn.IFS(E35="NO", "N/A", AND('BASIC INFO'!$B$3&gt;'BASIC INFO'!$B$6+6574.5, C35+730.5&lt;'BASIC INFO'!$B$3), "YES", 'BASIC INFO'!$B$3&lt;('BASIC INFO'!$B$6+6574.5), "NOT YET 18", C35+730.5&gt;'BASIC INFO'!$B$3, "NOT YET 2 YEARS")</f>
        <v>N/A</v>
      </c>
      <c r="I35" s="39" t="str">
        <f>IF(OR(AND(LEFT('CASE DATA'!F36,4)="321.",MID('CASE DATA'!A36,8,2)="SM"),MID('CASE DATA'!A36,8,2)="ST",MID('CASE DATA'!A36,8,2)="NT"),"TRAFFIC",IF(OR('CASE DATA'!G36="DISM", 'CASE DATA'!G36="ACQ", 'CASE DATA'!G36="NOTF", 'CASE DATA'!G36="WTHD", 'CASE DATA'!G36="TNSF"), "YES", "NO"))</f>
        <v>NO</v>
      </c>
      <c r="J35" s="40" t="str">
        <f>IF(I35="YES",'CASE DATA'!U36,"N/A")</f>
        <v>N/A</v>
      </c>
      <c r="K35" s="40" t="str">
        <f>IF(I35="YES",SOL!C36+SOL!D36,"N/A")</f>
        <v>N/A</v>
      </c>
      <c r="L35" s="35" t="str">
        <f>IF(I35="YES",IF(C35+180&lt;'BASIC INFO'!$B$3, "YES", "NO"),"N/A")</f>
        <v>N/A</v>
      </c>
      <c r="M35" s="40" t="str">
        <f t="array" ref="M35">IF(I35="TRAFFIC","n/a",IF(OR('CASE DATA'!G36="GTR", 'CASE DATA'!G36="GPL"),IF(SUM(COUNTIF('CASE DATA'!X36:AI36, 'CODE SECTIONS'!$V$2:$V$218&amp;"*"))&gt;0,"NO","YES"),"n/a"))</f>
        <v>n/a</v>
      </c>
      <c r="N35" s="40" t="str">
        <f t="array" ref="N35">IF(M35="YES",IF(OR((SUM(COUNTIF('CASE DATA'!X36:AI36,'CODE SECTIONS'!$X$2:$X$19&amp;"*"))&gt;0),LEFT('CASE DATA'!X36:AI36,4)="717C", LEFT('CASE DATA'!X36:AI36, 3)="719", LEFT('CASE DATA'!X36:AI36,3)="720", LEFT('CASE DATA'!X36:AI36,3)="724", LEFT('CASE DATA'!X36:AI36,3)="726", LEFT('CASE DATA'!X36:AI36,3)="728", LEFT('CASE DATA'!X36:AI36,4)="901A"), "ineligible misd","eligible"),"n/a")</f>
        <v>n/a</v>
      </c>
      <c r="O35" s="40" t="str">
        <f>IF(N35="eligible",IF(COUNTIF('CASE DATA'!$D$4:$D$200, "")-COUNTIF('CASE DATA'!$A$4:$A$200, "")&gt;0, "YES","NO"),"N/A")</f>
        <v>N/A</v>
      </c>
      <c r="P35" s="40" t="str">
        <f>IF(N35="eligible",BANKRUPTCY!C36+BANKRUPTCY!D36,"N/A")</f>
        <v>N/A</v>
      </c>
      <c r="Q35" s="40" t="str">
        <f>IF(N35="eligible",SOL!C36+SOL!D36,"N/A")</f>
        <v>N/A</v>
      </c>
      <c r="R35" s="40" t="str">
        <f>IF(N35="eligible",SUM('CASE DATA'!K36:T36),"N/A")</f>
        <v>N/A</v>
      </c>
      <c r="S35" s="40" t="str">
        <f>IF(N35="eligible",IF(C35+2920&lt;'BASIC INFO'!$B$3, "YES", "NO"),"N/A")</f>
        <v>N/A</v>
      </c>
      <c r="T35" s="39" t="str">
        <f>IF(OR('CASE DATA'!G36="DEF"), "YES", "NO")</f>
        <v>NO</v>
      </c>
      <c r="U35" s="35" t="str">
        <f>IF(T35="YES",'CASE DATA'!I36,"N/A")</f>
        <v>N/A</v>
      </c>
      <c r="V35" s="40" t="str">
        <f>IF(T35="YES",BANKRUPTCY!C36+BANKRUPTCY!D36,"N/A")</f>
        <v>N/A</v>
      </c>
      <c r="W35" s="40" t="str">
        <f>IF(T35="YES",SUM('CASE DATA'!K36:T36),"N/A")</f>
        <v>N/A</v>
      </c>
      <c r="X35" s="35" t="str">
        <f>IF(OR('CASE DATA'!F36="123.46",'CASE DATA'!F36="123.47"),"YES","NO")</f>
        <v>NO</v>
      </c>
      <c r="Y35" s="40" t="str">
        <f>IF(X35="YES",IF(C35+730.5&lt;'BASIC INFO'!$B$3, "YES","NO"), "N/A")</f>
        <v>N/A</v>
      </c>
      <c r="Z35" s="35" t="str">
        <f>IF('CASE DATA'!F36="725.1","YES","NO")</f>
        <v>NO</v>
      </c>
      <c r="AA35" s="35" t="str">
        <f>IF(Z35="YES",IF(C35+730.5&lt;'BASIC INFO'!$B$3, "YES","NO"), "N/A")</f>
        <v>N/A</v>
      </c>
      <c r="AB35" s="35" t="str">
        <f>IF('BASIC INFO'!$B$6+6574.5&gt;C35, "YES", "NO")</f>
        <v>YES</v>
      </c>
    </row>
    <row r="36" spans="1:28" x14ac:dyDescent="0.25">
      <c r="A36" s="35" t="str">
        <f>IF('CASE DATA'!A37="","z",'CASE DATA'!A37)</f>
        <v>z</v>
      </c>
      <c r="B36" s="66" t="str">
        <f>IF('CASE DATA'!A37="","",'CASE DATA'!E37)</f>
        <v/>
      </c>
      <c r="C36" s="36">
        <f>'CASE DATA'!D37</f>
        <v>0</v>
      </c>
      <c r="D36" s="37" t="str">
        <f>IF('CASE DATA'!I37="YES",SUM('CASE DATA'!K37:Q37),"n/a")</f>
        <v>n/a</v>
      </c>
      <c r="E36" s="38" t="str">
        <f>IF('CASE DATA'!G37="JUV", "YES", "NO")</f>
        <v>NO</v>
      </c>
      <c r="F36" s="38" t="str">
        <f t="array" ref="F36">IF(E36="YES",IF(SUM(COUNTIF('CASE DATA'!$G$4:$G$200, {"GTR","GPL","DEF","JUV"}))&gt;0, "YES","NO"),"N/A")</f>
        <v>N/A</v>
      </c>
      <c r="G36" s="38" t="str">
        <f>IF(E36="YES",IF(COUNTIF('CASE DATA'!$D$4:$D$200, "")-COUNTIF('CASE DATA'!$A$4:$A$200, "")&gt;0, "YES","NO"),"N/A")</f>
        <v>N/A</v>
      </c>
      <c r="H36" s="35" t="str">
        <f>_xlfn.IFS(E36="NO", "N/A", AND('BASIC INFO'!$B$3&gt;'BASIC INFO'!$B$6+6574.5, C36+730.5&lt;'BASIC INFO'!$B$3), "YES", 'BASIC INFO'!$B$3&lt;('BASIC INFO'!$B$6+6574.5), "NOT YET 18", C36+730.5&gt;'BASIC INFO'!$B$3, "NOT YET 2 YEARS")</f>
        <v>N/A</v>
      </c>
      <c r="I36" s="39" t="str">
        <f>IF(OR(AND(LEFT('CASE DATA'!F37,4)="321.",MID('CASE DATA'!A37,8,2)="SM"),MID('CASE DATA'!A37,8,2)="ST",MID('CASE DATA'!A37,8,2)="NT"),"TRAFFIC",IF(OR('CASE DATA'!G37="DISM", 'CASE DATA'!G37="ACQ", 'CASE DATA'!G37="NOTF", 'CASE DATA'!G37="WTHD", 'CASE DATA'!G37="TNSF"), "YES", "NO"))</f>
        <v>NO</v>
      </c>
      <c r="J36" s="40" t="str">
        <f>IF(I36="YES",'CASE DATA'!U37,"N/A")</f>
        <v>N/A</v>
      </c>
      <c r="K36" s="40" t="str">
        <f>IF(I36="YES",SOL!C37+SOL!D37,"N/A")</f>
        <v>N/A</v>
      </c>
      <c r="L36" s="35" t="str">
        <f>IF(I36="YES",IF(C36+180&lt;'BASIC INFO'!$B$3, "YES", "NO"),"N/A")</f>
        <v>N/A</v>
      </c>
      <c r="M36" s="40" t="str">
        <f t="array" ref="M36">IF(I36="TRAFFIC","n/a",IF(OR('CASE DATA'!G37="GTR", 'CASE DATA'!G37="GPL"),IF(SUM(COUNTIF('CASE DATA'!X37:AI37, 'CODE SECTIONS'!$V$2:$V$218&amp;"*"))&gt;0,"NO","YES"),"n/a"))</f>
        <v>n/a</v>
      </c>
      <c r="N36" s="40" t="str">
        <f t="array" ref="N36">IF(M36="YES",IF(OR((SUM(COUNTIF('CASE DATA'!X37:AI37,'CODE SECTIONS'!$X$2:$X$19&amp;"*"))&gt;0),LEFT('CASE DATA'!X37:AI37,4)="717C", LEFT('CASE DATA'!X37:AI37, 3)="719", LEFT('CASE DATA'!X37:AI37,3)="720", LEFT('CASE DATA'!X37:AI37,3)="724", LEFT('CASE DATA'!X37:AI37,3)="726", LEFT('CASE DATA'!X37:AI37,3)="728", LEFT('CASE DATA'!X37:AI37,4)="901A"), "ineligible misd","eligible"),"n/a")</f>
        <v>n/a</v>
      </c>
      <c r="O36" s="40" t="str">
        <f>IF(N36="eligible",IF(COUNTIF('CASE DATA'!$D$4:$D$200, "")-COUNTIF('CASE DATA'!$A$4:$A$200, "")&gt;0, "YES","NO"),"N/A")</f>
        <v>N/A</v>
      </c>
      <c r="P36" s="40" t="str">
        <f>IF(N36="eligible",BANKRUPTCY!C37+BANKRUPTCY!D37,"N/A")</f>
        <v>N/A</v>
      </c>
      <c r="Q36" s="40" t="str">
        <f>IF(N36="eligible",SOL!C37+SOL!D37,"N/A")</f>
        <v>N/A</v>
      </c>
      <c r="R36" s="40" t="str">
        <f>IF(N36="eligible",SUM('CASE DATA'!K37:T37),"N/A")</f>
        <v>N/A</v>
      </c>
      <c r="S36" s="40" t="str">
        <f>IF(N36="eligible",IF(C36+2920&lt;'BASIC INFO'!$B$3, "YES", "NO"),"N/A")</f>
        <v>N/A</v>
      </c>
      <c r="T36" s="39" t="str">
        <f>IF(OR('CASE DATA'!G37="DEF"), "YES", "NO")</f>
        <v>NO</v>
      </c>
      <c r="U36" s="35" t="str">
        <f>IF(T36="YES",'CASE DATA'!I37,"N/A")</f>
        <v>N/A</v>
      </c>
      <c r="V36" s="40" t="str">
        <f>IF(T36="YES",BANKRUPTCY!C37+BANKRUPTCY!D37,"N/A")</f>
        <v>N/A</v>
      </c>
      <c r="W36" s="40" t="str">
        <f>IF(T36="YES",SUM('CASE DATA'!K37:T37),"N/A")</f>
        <v>N/A</v>
      </c>
      <c r="X36" s="35" t="str">
        <f>IF(OR('CASE DATA'!F37="123.46",'CASE DATA'!F37="123.47"),"YES","NO")</f>
        <v>NO</v>
      </c>
      <c r="Y36" s="40" t="str">
        <f>IF(X36="YES",IF(C36+730.5&lt;'BASIC INFO'!$B$3, "YES","NO"), "N/A")</f>
        <v>N/A</v>
      </c>
      <c r="Z36" s="35" t="str">
        <f>IF('CASE DATA'!F37="725.1","YES","NO")</f>
        <v>NO</v>
      </c>
      <c r="AA36" s="35" t="str">
        <f>IF(Z36="YES",IF(C36+730.5&lt;'BASIC INFO'!$B$3, "YES","NO"), "N/A")</f>
        <v>N/A</v>
      </c>
      <c r="AB36" s="35" t="str">
        <f>IF('BASIC INFO'!$B$6+6574.5&gt;C36, "YES", "NO")</f>
        <v>YES</v>
      </c>
    </row>
    <row r="37" spans="1:28" x14ac:dyDescent="0.25">
      <c r="A37" s="35" t="str">
        <f>IF('CASE DATA'!A38="","z",'CASE DATA'!A38)</f>
        <v>z</v>
      </c>
      <c r="B37" s="66" t="str">
        <f>IF('CASE DATA'!A38="","",'CASE DATA'!E38)</f>
        <v/>
      </c>
      <c r="C37" s="36">
        <f>'CASE DATA'!D38</f>
        <v>0</v>
      </c>
      <c r="D37" s="37" t="str">
        <f>IF('CASE DATA'!I38="YES",SUM('CASE DATA'!K38:Q38),"n/a")</f>
        <v>n/a</v>
      </c>
      <c r="E37" s="38" t="str">
        <f>IF('CASE DATA'!G38="JUV", "YES", "NO")</f>
        <v>NO</v>
      </c>
      <c r="F37" s="38" t="str">
        <f t="array" ref="F37">IF(E37="YES",IF(SUM(COUNTIF('CASE DATA'!$G$4:$G$200, {"GTR","GPL","DEF","JUV"}))&gt;0, "YES","NO"),"N/A")</f>
        <v>N/A</v>
      </c>
      <c r="G37" s="38" t="str">
        <f>IF(E37="YES",IF(COUNTIF('CASE DATA'!$D$4:$D$200, "")-COUNTIF('CASE DATA'!$A$4:$A$200, "")&gt;0, "YES","NO"),"N/A")</f>
        <v>N/A</v>
      </c>
      <c r="H37" s="35" t="str">
        <f>_xlfn.IFS(E37="NO", "N/A", AND('BASIC INFO'!$B$3&gt;'BASIC INFO'!$B$6+6574.5, C37+730.5&lt;'BASIC INFO'!$B$3), "YES", 'BASIC INFO'!$B$3&lt;('BASIC INFO'!$B$6+6574.5), "NOT YET 18", C37+730.5&gt;'BASIC INFO'!$B$3, "NOT YET 2 YEARS")</f>
        <v>N/A</v>
      </c>
      <c r="I37" s="39" t="str">
        <f>IF(OR(AND(LEFT('CASE DATA'!F38,4)="321.",MID('CASE DATA'!A38,8,2)="SM"),MID('CASE DATA'!A38,8,2)="ST",MID('CASE DATA'!A38,8,2)="NT"),"TRAFFIC",IF(OR('CASE DATA'!G38="DISM", 'CASE DATA'!G38="ACQ", 'CASE DATA'!G38="NOTF", 'CASE DATA'!G38="WTHD", 'CASE DATA'!G38="TNSF"), "YES", "NO"))</f>
        <v>NO</v>
      </c>
      <c r="J37" s="40" t="str">
        <f>IF(I37="YES",'CASE DATA'!U38,"N/A")</f>
        <v>N/A</v>
      </c>
      <c r="K37" s="40" t="str">
        <f>IF(I37="YES",SOL!C38+SOL!D38,"N/A")</f>
        <v>N/A</v>
      </c>
      <c r="L37" s="35" t="str">
        <f>IF(I37="YES",IF(C37+180&lt;'BASIC INFO'!$B$3, "YES", "NO"),"N/A")</f>
        <v>N/A</v>
      </c>
      <c r="M37" s="40" t="str">
        <f t="array" ref="M37">IF(I37="TRAFFIC","n/a",IF(OR('CASE DATA'!G38="GTR", 'CASE DATA'!G38="GPL"),IF(SUM(COUNTIF('CASE DATA'!X38:AI38, 'CODE SECTIONS'!$V$2:$V$218&amp;"*"))&gt;0,"NO","YES"),"n/a"))</f>
        <v>n/a</v>
      </c>
      <c r="N37" s="40" t="str">
        <f t="array" ref="N37">IF(M37="YES",IF(OR((SUM(COUNTIF('CASE DATA'!X38:AI38,'CODE SECTIONS'!$X$2:$X$19&amp;"*"))&gt;0),LEFT('CASE DATA'!X38:AI38,4)="717C", LEFT('CASE DATA'!X38:AI38, 3)="719", LEFT('CASE DATA'!X38:AI38,3)="720", LEFT('CASE DATA'!X38:AI38,3)="724", LEFT('CASE DATA'!X38:AI38,3)="726", LEFT('CASE DATA'!X38:AI38,3)="728", LEFT('CASE DATA'!X38:AI38,4)="901A"), "ineligible misd","eligible"),"n/a")</f>
        <v>n/a</v>
      </c>
      <c r="O37" s="40" t="str">
        <f>IF(N37="eligible",IF(COUNTIF('CASE DATA'!$D$4:$D$200, "")-COUNTIF('CASE DATA'!$A$4:$A$200, "")&gt;0, "YES","NO"),"N/A")</f>
        <v>N/A</v>
      </c>
      <c r="P37" s="40" t="str">
        <f>IF(N37="eligible",BANKRUPTCY!C38+BANKRUPTCY!D38,"N/A")</f>
        <v>N/A</v>
      </c>
      <c r="Q37" s="40" t="str">
        <f>IF(N37="eligible",SOL!C38+SOL!D38,"N/A")</f>
        <v>N/A</v>
      </c>
      <c r="R37" s="40" t="str">
        <f>IF(N37="eligible",SUM('CASE DATA'!K38:T38),"N/A")</f>
        <v>N/A</v>
      </c>
      <c r="S37" s="40" t="str">
        <f>IF(N37="eligible",IF(C37+2920&lt;'BASIC INFO'!$B$3, "YES", "NO"),"N/A")</f>
        <v>N/A</v>
      </c>
      <c r="T37" s="39" t="str">
        <f>IF(OR('CASE DATA'!G38="DEF"), "YES", "NO")</f>
        <v>NO</v>
      </c>
      <c r="U37" s="35" t="str">
        <f>IF(T37="YES",'CASE DATA'!I38,"N/A")</f>
        <v>N/A</v>
      </c>
      <c r="V37" s="40" t="str">
        <f>IF(T37="YES",BANKRUPTCY!C38+BANKRUPTCY!D38,"N/A")</f>
        <v>N/A</v>
      </c>
      <c r="W37" s="40" t="str">
        <f>IF(T37="YES",SUM('CASE DATA'!K38:T38),"N/A")</f>
        <v>N/A</v>
      </c>
      <c r="X37" s="35" t="str">
        <f>IF(OR('CASE DATA'!F38="123.46",'CASE DATA'!F38="123.47"),"YES","NO")</f>
        <v>NO</v>
      </c>
      <c r="Y37" s="40" t="str">
        <f>IF(X37="YES",IF(C37+730.5&lt;'BASIC INFO'!$B$3, "YES","NO"), "N/A")</f>
        <v>N/A</v>
      </c>
      <c r="Z37" s="35" t="str">
        <f>IF('CASE DATA'!F38="725.1","YES","NO")</f>
        <v>NO</v>
      </c>
      <c r="AA37" s="35" t="str">
        <f>IF(Z37="YES",IF(C37+730.5&lt;'BASIC INFO'!$B$3, "YES","NO"), "N/A")</f>
        <v>N/A</v>
      </c>
      <c r="AB37" s="35" t="str">
        <f>IF('BASIC INFO'!$B$6+6574.5&gt;C37, "YES", "NO")</f>
        <v>YES</v>
      </c>
    </row>
    <row r="38" spans="1:28" x14ac:dyDescent="0.25">
      <c r="A38" s="35" t="str">
        <f>IF('CASE DATA'!A39="","z",'CASE DATA'!A39)</f>
        <v>z</v>
      </c>
      <c r="B38" s="66" t="str">
        <f>IF('CASE DATA'!A39="","",'CASE DATA'!E39)</f>
        <v/>
      </c>
      <c r="C38" s="36">
        <f>'CASE DATA'!D39</f>
        <v>0</v>
      </c>
      <c r="D38" s="37" t="str">
        <f>IF('CASE DATA'!I39="YES",SUM('CASE DATA'!K39:Q39),"n/a")</f>
        <v>n/a</v>
      </c>
      <c r="E38" s="38" t="str">
        <f>IF('CASE DATA'!G39="JUV", "YES", "NO")</f>
        <v>NO</v>
      </c>
      <c r="F38" s="38" t="str">
        <f t="array" ref="F38">IF(E38="YES",IF(SUM(COUNTIF('CASE DATA'!$G$4:$G$200, {"GTR","GPL","DEF","JUV"}))&gt;0, "YES","NO"),"N/A")</f>
        <v>N/A</v>
      </c>
      <c r="G38" s="38" t="str">
        <f>IF(E38="YES",IF(COUNTIF('CASE DATA'!$D$4:$D$200, "")-COUNTIF('CASE DATA'!$A$4:$A$200, "")&gt;0, "YES","NO"),"N/A")</f>
        <v>N/A</v>
      </c>
      <c r="H38" s="35" t="str">
        <f>_xlfn.IFS(E38="NO", "N/A", AND('BASIC INFO'!$B$3&gt;'BASIC INFO'!$B$6+6574.5, C38+730.5&lt;'BASIC INFO'!$B$3), "YES", 'BASIC INFO'!$B$3&lt;('BASIC INFO'!$B$6+6574.5), "NOT YET 18", C38+730.5&gt;'BASIC INFO'!$B$3, "NOT YET 2 YEARS")</f>
        <v>N/A</v>
      </c>
      <c r="I38" s="39" t="str">
        <f>IF(OR(AND(LEFT('CASE DATA'!F39,4)="321.",MID('CASE DATA'!A39,8,2)="SM"),MID('CASE DATA'!A39,8,2)="ST",MID('CASE DATA'!A39,8,2)="NT"),"TRAFFIC",IF(OR('CASE DATA'!G39="DISM", 'CASE DATA'!G39="ACQ", 'CASE DATA'!G39="NOTF", 'CASE DATA'!G39="WTHD", 'CASE DATA'!G39="TNSF"), "YES", "NO"))</f>
        <v>NO</v>
      </c>
      <c r="J38" s="40" t="str">
        <f>IF(I38="YES",'CASE DATA'!U39,"N/A")</f>
        <v>N/A</v>
      </c>
      <c r="K38" s="40" t="str">
        <f>IF(I38="YES",SOL!C39+SOL!D39,"N/A")</f>
        <v>N/A</v>
      </c>
      <c r="L38" s="35" t="str">
        <f>IF(I38="YES",IF(C38+180&lt;'BASIC INFO'!$B$3, "YES", "NO"),"N/A")</f>
        <v>N/A</v>
      </c>
      <c r="M38" s="40" t="str">
        <f t="array" ref="M38">IF(I38="TRAFFIC","n/a",IF(OR('CASE DATA'!G39="GTR", 'CASE DATA'!G39="GPL"),IF(SUM(COUNTIF('CASE DATA'!X39:AI39, 'CODE SECTIONS'!$V$2:$V$218&amp;"*"))&gt;0,"NO","YES"),"n/a"))</f>
        <v>n/a</v>
      </c>
      <c r="N38" s="40" t="str">
        <f t="array" ref="N38">IF(M38="YES",IF(OR((SUM(COUNTIF('CASE DATA'!X39:AI39,'CODE SECTIONS'!$X$2:$X$19&amp;"*"))&gt;0),LEFT('CASE DATA'!X39:AI39,4)="717C", LEFT('CASE DATA'!X39:AI39, 3)="719", LEFT('CASE DATA'!X39:AI39,3)="720", LEFT('CASE DATA'!X39:AI39,3)="724", LEFT('CASE DATA'!X39:AI39,3)="726", LEFT('CASE DATA'!X39:AI39,3)="728", LEFT('CASE DATA'!X39:AI39,4)="901A"), "ineligible misd","eligible"),"n/a")</f>
        <v>n/a</v>
      </c>
      <c r="O38" s="40" t="str">
        <f>IF(N38="eligible",IF(COUNTIF('CASE DATA'!$D$4:$D$200, "")-COUNTIF('CASE DATA'!$A$4:$A$200, "")&gt;0, "YES","NO"),"N/A")</f>
        <v>N/A</v>
      </c>
      <c r="P38" s="40" t="str">
        <f>IF(N38="eligible",BANKRUPTCY!C39+BANKRUPTCY!D39,"N/A")</f>
        <v>N/A</v>
      </c>
      <c r="Q38" s="40" t="str">
        <f>IF(N38="eligible",SOL!C39+SOL!D39,"N/A")</f>
        <v>N/A</v>
      </c>
      <c r="R38" s="40" t="str">
        <f>IF(N38="eligible",SUM('CASE DATA'!K39:T39),"N/A")</f>
        <v>N/A</v>
      </c>
      <c r="S38" s="40" t="str">
        <f>IF(N38="eligible",IF(C38+2920&lt;'BASIC INFO'!$B$3, "YES", "NO"),"N/A")</f>
        <v>N/A</v>
      </c>
      <c r="T38" s="39" t="str">
        <f>IF(OR('CASE DATA'!G39="DEF"), "YES", "NO")</f>
        <v>NO</v>
      </c>
      <c r="U38" s="35" t="str">
        <f>IF(T38="YES",'CASE DATA'!I39,"N/A")</f>
        <v>N/A</v>
      </c>
      <c r="V38" s="40" t="str">
        <f>IF(T38="YES",BANKRUPTCY!C39+BANKRUPTCY!D39,"N/A")</f>
        <v>N/A</v>
      </c>
      <c r="W38" s="40" t="str">
        <f>IF(T38="YES",SUM('CASE DATA'!K39:T39),"N/A")</f>
        <v>N/A</v>
      </c>
      <c r="X38" s="35" t="str">
        <f>IF(OR('CASE DATA'!F39="123.46",'CASE DATA'!F39="123.47"),"YES","NO")</f>
        <v>NO</v>
      </c>
      <c r="Y38" s="40" t="str">
        <f>IF(X38="YES",IF(C38+730.5&lt;'BASIC INFO'!$B$3, "YES","NO"), "N/A")</f>
        <v>N/A</v>
      </c>
      <c r="Z38" s="35" t="str">
        <f>IF('CASE DATA'!F39="725.1","YES","NO")</f>
        <v>NO</v>
      </c>
      <c r="AA38" s="35" t="str">
        <f>IF(Z38="YES",IF(C38+730.5&lt;'BASIC INFO'!$B$3, "YES","NO"), "N/A")</f>
        <v>N/A</v>
      </c>
      <c r="AB38" s="35" t="str">
        <f>IF('BASIC INFO'!$B$6+6574.5&gt;C38, "YES", "NO")</f>
        <v>YES</v>
      </c>
    </row>
    <row r="39" spans="1:28" x14ac:dyDescent="0.25">
      <c r="A39" s="35" t="str">
        <f>IF('CASE DATA'!A40="","z",'CASE DATA'!A40)</f>
        <v>z</v>
      </c>
      <c r="B39" s="66" t="str">
        <f>IF('CASE DATA'!A40="","",'CASE DATA'!E40)</f>
        <v/>
      </c>
      <c r="C39" s="36">
        <f>'CASE DATA'!D40</f>
        <v>0</v>
      </c>
      <c r="D39" s="37" t="str">
        <f>IF('CASE DATA'!I40="YES",SUM('CASE DATA'!K40:Q40),"n/a")</f>
        <v>n/a</v>
      </c>
      <c r="E39" s="38" t="str">
        <f>IF('CASE DATA'!G40="JUV", "YES", "NO")</f>
        <v>NO</v>
      </c>
      <c r="F39" s="38" t="str">
        <f t="array" ref="F39">IF(E39="YES",IF(SUM(COUNTIF('CASE DATA'!$G$4:$G$200, {"GTR","GPL","DEF","JUV"}))&gt;0, "YES","NO"),"N/A")</f>
        <v>N/A</v>
      </c>
      <c r="G39" s="38" t="str">
        <f>IF(E39="YES",IF(COUNTIF('CASE DATA'!$D$4:$D$200, "")-COUNTIF('CASE DATA'!$A$4:$A$200, "")&gt;0, "YES","NO"),"N/A")</f>
        <v>N/A</v>
      </c>
      <c r="H39" s="35" t="str">
        <f>_xlfn.IFS(E39="NO", "N/A", AND('BASIC INFO'!$B$3&gt;'BASIC INFO'!$B$6+6574.5, C39+730.5&lt;'BASIC INFO'!$B$3), "YES", 'BASIC INFO'!$B$3&lt;('BASIC INFO'!$B$6+6574.5), "NOT YET 18", C39+730.5&gt;'BASIC INFO'!$B$3, "NOT YET 2 YEARS")</f>
        <v>N/A</v>
      </c>
      <c r="I39" s="39" t="str">
        <f>IF(OR(AND(LEFT('CASE DATA'!F40,4)="321.",MID('CASE DATA'!A40,8,2)="SM"),MID('CASE DATA'!A40,8,2)="ST",MID('CASE DATA'!A40,8,2)="NT"),"TRAFFIC",IF(OR('CASE DATA'!G40="DISM", 'CASE DATA'!G40="ACQ", 'CASE DATA'!G40="NOTF", 'CASE DATA'!G40="WTHD", 'CASE DATA'!G40="TNSF"), "YES", "NO"))</f>
        <v>NO</v>
      </c>
      <c r="J39" s="40" t="str">
        <f>IF(I39="YES",'CASE DATA'!U40,"N/A")</f>
        <v>N/A</v>
      </c>
      <c r="K39" s="40" t="str">
        <f>IF(I39="YES",SOL!C40+SOL!D40,"N/A")</f>
        <v>N/A</v>
      </c>
      <c r="L39" s="35" t="str">
        <f>IF(I39="YES",IF(C39+180&lt;'BASIC INFO'!$B$3, "YES", "NO"),"N/A")</f>
        <v>N/A</v>
      </c>
      <c r="M39" s="40" t="str">
        <f t="array" ref="M39">IF(I39="TRAFFIC","n/a",IF(OR('CASE DATA'!G40="GTR", 'CASE DATA'!G40="GPL"),IF(SUM(COUNTIF('CASE DATA'!X40:AI40, 'CODE SECTIONS'!$V$2:$V$218&amp;"*"))&gt;0,"NO","YES"),"n/a"))</f>
        <v>n/a</v>
      </c>
      <c r="N39" s="40" t="str">
        <f t="array" ref="N39">IF(M39="YES",IF(OR((SUM(COUNTIF('CASE DATA'!X40:AI40,'CODE SECTIONS'!$X$2:$X$19&amp;"*"))&gt;0),LEFT('CASE DATA'!X40:AI40,4)="717C", LEFT('CASE DATA'!X40:AI40, 3)="719", LEFT('CASE DATA'!X40:AI40,3)="720", LEFT('CASE DATA'!X40:AI40,3)="724", LEFT('CASE DATA'!X40:AI40,3)="726", LEFT('CASE DATA'!X40:AI40,3)="728", LEFT('CASE DATA'!X40:AI40,4)="901A"), "ineligible misd","eligible"),"n/a")</f>
        <v>n/a</v>
      </c>
      <c r="O39" s="40" t="str">
        <f>IF(N39="eligible",IF(COUNTIF('CASE DATA'!$D$4:$D$200, "")-COUNTIF('CASE DATA'!$A$4:$A$200, "")&gt;0, "YES","NO"),"N/A")</f>
        <v>N/A</v>
      </c>
      <c r="P39" s="40" t="str">
        <f>IF(N39="eligible",BANKRUPTCY!C40+BANKRUPTCY!D40,"N/A")</f>
        <v>N/A</v>
      </c>
      <c r="Q39" s="40" t="str">
        <f>IF(N39="eligible",SOL!C40+SOL!D40,"N/A")</f>
        <v>N/A</v>
      </c>
      <c r="R39" s="40" t="str">
        <f>IF(N39="eligible",SUM('CASE DATA'!K40:T40),"N/A")</f>
        <v>N/A</v>
      </c>
      <c r="S39" s="40" t="str">
        <f>IF(N39="eligible",IF(C39+2920&lt;'BASIC INFO'!$B$3, "YES", "NO"),"N/A")</f>
        <v>N/A</v>
      </c>
      <c r="T39" s="39" t="str">
        <f>IF(OR('CASE DATA'!G40="DEF"), "YES", "NO")</f>
        <v>NO</v>
      </c>
      <c r="U39" s="35" t="str">
        <f>IF(T39="YES",'CASE DATA'!I40,"N/A")</f>
        <v>N/A</v>
      </c>
      <c r="V39" s="40" t="str">
        <f>IF(T39="YES",BANKRUPTCY!C40+BANKRUPTCY!D40,"N/A")</f>
        <v>N/A</v>
      </c>
      <c r="W39" s="40" t="str">
        <f>IF(T39="YES",SUM('CASE DATA'!K40:T40),"N/A")</f>
        <v>N/A</v>
      </c>
      <c r="X39" s="35" t="str">
        <f>IF(OR('CASE DATA'!F40="123.46",'CASE DATA'!F40="123.47"),"YES","NO")</f>
        <v>NO</v>
      </c>
      <c r="Y39" s="40" t="str">
        <f>IF(X39="YES",IF(C39+730.5&lt;'BASIC INFO'!$B$3, "YES","NO"), "N/A")</f>
        <v>N/A</v>
      </c>
      <c r="Z39" s="35" t="str">
        <f>IF('CASE DATA'!F40="725.1","YES","NO")</f>
        <v>NO</v>
      </c>
      <c r="AA39" s="35" t="str">
        <f>IF(Z39="YES",IF(C39+730.5&lt;'BASIC INFO'!$B$3, "YES","NO"), "N/A")</f>
        <v>N/A</v>
      </c>
      <c r="AB39" s="35" t="str">
        <f>IF('BASIC INFO'!$B$6+6574.5&gt;C39, "YES", "NO")</f>
        <v>YES</v>
      </c>
    </row>
    <row r="40" spans="1:28" x14ac:dyDescent="0.25">
      <c r="A40" s="35" t="str">
        <f>IF('CASE DATA'!A41="","z",'CASE DATA'!A41)</f>
        <v>z</v>
      </c>
      <c r="B40" s="66" t="str">
        <f>IF('CASE DATA'!A41="","",'CASE DATA'!E41)</f>
        <v/>
      </c>
      <c r="C40" s="36">
        <f>'CASE DATA'!D41</f>
        <v>0</v>
      </c>
      <c r="D40" s="37" t="str">
        <f>IF('CASE DATA'!I41="YES",SUM('CASE DATA'!K41:Q41),"n/a")</f>
        <v>n/a</v>
      </c>
      <c r="E40" s="38" t="str">
        <f>IF('CASE DATA'!G41="JUV", "YES", "NO")</f>
        <v>NO</v>
      </c>
      <c r="F40" s="38" t="str">
        <f t="array" ref="F40">IF(E40="YES",IF(SUM(COUNTIF('CASE DATA'!$G$4:$G$200, {"GTR","GPL","DEF","JUV"}))&gt;0, "YES","NO"),"N/A")</f>
        <v>N/A</v>
      </c>
      <c r="G40" s="38" t="str">
        <f>IF(E40="YES",IF(COUNTIF('CASE DATA'!$D$4:$D$200, "")-COUNTIF('CASE DATA'!$A$4:$A$200, "")&gt;0, "YES","NO"),"N/A")</f>
        <v>N/A</v>
      </c>
      <c r="H40" s="35" t="str">
        <f>_xlfn.IFS(E40="NO", "N/A", AND('BASIC INFO'!$B$3&gt;'BASIC INFO'!$B$6+6574.5, C40+730.5&lt;'BASIC INFO'!$B$3), "YES", 'BASIC INFO'!$B$3&lt;('BASIC INFO'!$B$6+6574.5), "NOT YET 18", C40+730.5&gt;'BASIC INFO'!$B$3, "NOT YET 2 YEARS")</f>
        <v>N/A</v>
      </c>
      <c r="I40" s="39" t="str">
        <f>IF(OR(AND(LEFT('CASE DATA'!F41,4)="321.",MID('CASE DATA'!A41,8,2)="SM"),MID('CASE DATA'!A41,8,2)="ST",MID('CASE DATA'!A41,8,2)="NT"),"TRAFFIC",IF(OR('CASE DATA'!G41="DISM", 'CASE DATA'!G41="ACQ", 'CASE DATA'!G41="NOTF", 'CASE DATA'!G41="WTHD", 'CASE DATA'!G41="TNSF"), "YES", "NO"))</f>
        <v>NO</v>
      </c>
      <c r="J40" s="40" t="str">
        <f>IF(I40="YES",'CASE DATA'!U41,"N/A")</f>
        <v>N/A</v>
      </c>
      <c r="K40" s="40" t="str">
        <f>IF(I40="YES",SOL!C41+SOL!D41,"N/A")</f>
        <v>N/A</v>
      </c>
      <c r="L40" s="35" t="str">
        <f>IF(I40="YES",IF(C40+180&lt;'BASIC INFO'!$B$3, "YES", "NO"),"N/A")</f>
        <v>N/A</v>
      </c>
      <c r="M40" s="40" t="str">
        <f t="array" ref="M40">IF(I40="TRAFFIC","n/a",IF(OR('CASE DATA'!G41="GTR", 'CASE DATA'!G41="GPL"),IF(SUM(COUNTIF('CASE DATA'!X41:AI41, 'CODE SECTIONS'!$V$2:$V$218&amp;"*"))&gt;0,"NO","YES"),"n/a"))</f>
        <v>n/a</v>
      </c>
      <c r="N40" s="40" t="str">
        <f t="array" ref="N40">IF(M40="YES",IF(OR((SUM(COUNTIF('CASE DATA'!X41:AI41,'CODE SECTIONS'!$X$2:$X$19&amp;"*"))&gt;0),LEFT('CASE DATA'!X41:AI41,4)="717C", LEFT('CASE DATA'!X41:AI41, 3)="719", LEFT('CASE DATA'!X41:AI41,3)="720", LEFT('CASE DATA'!X41:AI41,3)="724", LEFT('CASE DATA'!X41:AI41,3)="726", LEFT('CASE DATA'!X41:AI41,3)="728", LEFT('CASE DATA'!X41:AI41,4)="901A"), "ineligible misd","eligible"),"n/a")</f>
        <v>n/a</v>
      </c>
      <c r="O40" s="40" t="str">
        <f>IF(N40="eligible",IF(COUNTIF('CASE DATA'!$D$4:$D$200, "")-COUNTIF('CASE DATA'!$A$4:$A$200, "")&gt;0, "YES","NO"),"N/A")</f>
        <v>N/A</v>
      </c>
      <c r="P40" s="40" t="str">
        <f>IF(N40="eligible",BANKRUPTCY!C41+BANKRUPTCY!D41,"N/A")</f>
        <v>N/A</v>
      </c>
      <c r="Q40" s="40" t="str">
        <f>IF(N40="eligible",SOL!C41+SOL!D41,"N/A")</f>
        <v>N/A</v>
      </c>
      <c r="R40" s="40" t="str">
        <f>IF(N40="eligible",SUM('CASE DATA'!K41:T41),"N/A")</f>
        <v>N/A</v>
      </c>
      <c r="S40" s="40" t="str">
        <f>IF(N40="eligible",IF(C40+2920&lt;'BASIC INFO'!$B$3, "YES", "NO"),"N/A")</f>
        <v>N/A</v>
      </c>
      <c r="T40" s="39" t="str">
        <f>IF(OR('CASE DATA'!G41="DEF"), "YES", "NO")</f>
        <v>NO</v>
      </c>
      <c r="U40" s="35" t="str">
        <f>IF(T40="YES",'CASE DATA'!I41,"N/A")</f>
        <v>N/A</v>
      </c>
      <c r="V40" s="40" t="str">
        <f>IF(T40="YES",BANKRUPTCY!C41+BANKRUPTCY!D41,"N/A")</f>
        <v>N/A</v>
      </c>
      <c r="W40" s="40" t="str">
        <f>IF(T40="YES",SUM('CASE DATA'!K41:T41),"N/A")</f>
        <v>N/A</v>
      </c>
      <c r="X40" s="35" t="str">
        <f>IF(OR('CASE DATA'!F41="123.46",'CASE DATA'!F41="123.47"),"YES","NO")</f>
        <v>NO</v>
      </c>
      <c r="Y40" s="40" t="str">
        <f>IF(X40="YES",IF(C40+730.5&lt;'BASIC INFO'!$B$3, "YES","NO"), "N/A")</f>
        <v>N/A</v>
      </c>
      <c r="Z40" s="35" t="str">
        <f>IF('CASE DATA'!F41="725.1","YES","NO")</f>
        <v>NO</v>
      </c>
      <c r="AA40" s="35" t="str">
        <f>IF(Z40="YES",IF(C40+730.5&lt;'BASIC INFO'!$B$3, "YES","NO"), "N/A")</f>
        <v>N/A</v>
      </c>
      <c r="AB40" s="35" t="str">
        <f>IF('BASIC INFO'!$B$6+6574.5&gt;C40, "YES", "NO")</f>
        <v>YES</v>
      </c>
    </row>
    <row r="41" spans="1:28" x14ac:dyDescent="0.25">
      <c r="A41" s="35" t="str">
        <f>IF('CASE DATA'!A42="","z",'CASE DATA'!A42)</f>
        <v>z</v>
      </c>
      <c r="B41" s="66" t="str">
        <f>IF('CASE DATA'!A42="","",'CASE DATA'!E42)</f>
        <v/>
      </c>
      <c r="C41" s="36">
        <f>'CASE DATA'!D42</f>
        <v>0</v>
      </c>
      <c r="D41" s="37" t="str">
        <f>IF('CASE DATA'!I42="YES",SUM('CASE DATA'!K42:Q42),"n/a")</f>
        <v>n/a</v>
      </c>
      <c r="E41" s="38" t="str">
        <f>IF('CASE DATA'!G42="JUV", "YES", "NO")</f>
        <v>NO</v>
      </c>
      <c r="F41" s="38" t="str">
        <f t="array" ref="F41">IF(E41="YES",IF(SUM(COUNTIF('CASE DATA'!$G$4:$G$200, {"GTR","GPL","DEF","JUV"}))&gt;0, "YES","NO"),"N/A")</f>
        <v>N/A</v>
      </c>
      <c r="G41" s="38" t="str">
        <f>IF(E41="YES",IF(COUNTIF('CASE DATA'!$D$4:$D$200, "")-COUNTIF('CASE DATA'!$A$4:$A$200, "")&gt;0, "YES","NO"),"N/A")</f>
        <v>N/A</v>
      </c>
      <c r="H41" s="35" t="str">
        <f>_xlfn.IFS(E41="NO", "N/A", AND('BASIC INFO'!$B$3&gt;'BASIC INFO'!$B$6+6574.5, C41+730.5&lt;'BASIC INFO'!$B$3), "YES", 'BASIC INFO'!$B$3&lt;('BASIC INFO'!$B$6+6574.5), "NOT YET 18", C41+730.5&gt;'BASIC INFO'!$B$3, "NOT YET 2 YEARS")</f>
        <v>N/A</v>
      </c>
      <c r="I41" s="39" t="str">
        <f>IF(OR(AND(LEFT('CASE DATA'!F42,4)="321.",MID('CASE DATA'!A42,8,2)="SM"),MID('CASE DATA'!A42,8,2)="ST",MID('CASE DATA'!A42,8,2)="NT"),"TRAFFIC",IF(OR('CASE DATA'!G42="DISM", 'CASE DATA'!G42="ACQ", 'CASE DATA'!G42="NOTF", 'CASE DATA'!G42="WTHD", 'CASE DATA'!G42="TNSF"), "YES", "NO"))</f>
        <v>NO</v>
      </c>
      <c r="J41" s="40" t="str">
        <f>IF(I41="YES",'CASE DATA'!U42,"N/A")</f>
        <v>N/A</v>
      </c>
      <c r="K41" s="40" t="str">
        <f>IF(I41="YES",SOL!C42+SOL!D42,"N/A")</f>
        <v>N/A</v>
      </c>
      <c r="L41" s="35" t="str">
        <f>IF(I41="YES",IF(C41+180&lt;'BASIC INFO'!$B$3, "YES", "NO"),"N/A")</f>
        <v>N/A</v>
      </c>
      <c r="M41" s="40" t="str">
        <f t="array" ref="M41">IF(I41="TRAFFIC","n/a",IF(OR('CASE DATA'!G42="GTR", 'CASE DATA'!G42="GPL"),IF(SUM(COUNTIF('CASE DATA'!X42:AI42, 'CODE SECTIONS'!$V$2:$V$218&amp;"*"))&gt;0,"NO","YES"),"n/a"))</f>
        <v>n/a</v>
      </c>
      <c r="N41" s="40" t="str">
        <f t="array" ref="N41">IF(M41="YES",IF(OR((SUM(COUNTIF('CASE DATA'!X42:AI42,'CODE SECTIONS'!$X$2:$X$19&amp;"*"))&gt;0),LEFT('CASE DATA'!X42:AI42,4)="717C", LEFT('CASE DATA'!X42:AI42, 3)="719", LEFT('CASE DATA'!X42:AI42,3)="720", LEFT('CASE DATA'!X42:AI42,3)="724", LEFT('CASE DATA'!X42:AI42,3)="726", LEFT('CASE DATA'!X42:AI42,3)="728", LEFT('CASE DATA'!X42:AI42,4)="901A"), "ineligible misd","eligible"),"n/a")</f>
        <v>n/a</v>
      </c>
      <c r="O41" s="40" t="str">
        <f>IF(N41="eligible",IF(COUNTIF('CASE DATA'!$D$4:$D$200, "")-COUNTIF('CASE DATA'!$A$4:$A$200, "")&gt;0, "YES","NO"),"N/A")</f>
        <v>N/A</v>
      </c>
      <c r="P41" s="40" t="str">
        <f>IF(N41="eligible",BANKRUPTCY!C42+BANKRUPTCY!D42,"N/A")</f>
        <v>N/A</v>
      </c>
      <c r="Q41" s="40" t="str">
        <f>IF(N41="eligible",SOL!C42+SOL!D42,"N/A")</f>
        <v>N/A</v>
      </c>
      <c r="R41" s="40" t="str">
        <f>IF(N41="eligible",SUM('CASE DATA'!K42:T42),"N/A")</f>
        <v>N/A</v>
      </c>
      <c r="S41" s="40" t="str">
        <f>IF(N41="eligible",IF(C41+2920&lt;'BASIC INFO'!$B$3, "YES", "NO"),"N/A")</f>
        <v>N/A</v>
      </c>
      <c r="T41" s="39" t="str">
        <f>IF(OR('CASE DATA'!G42="DEF"), "YES", "NO")</f>
        <v>NO</v>
      </c>
      <c r="U41" s="35" t="str">
        <f>IF(T41="YES",'CASE DATA'!I42,"N/A")</f>
        <v>N/A</v>
      </c>
      <c r="V41" s="40" t="str">
        <f>IF(T41="YES",BANKRUPTCY!C42+BANKRUPTCY!D42,"N/A")</f>
        <v>N/A</v>
      </c>
      <c r="W41" s="40" t="str">
        <f>IF(T41="YES",SUM('CASE DATA'!K42:T42),"N/A")</f>
        <v>N/A</v>
      </c>
      <c r="X41" s="35" t="str">
        <f>IF(OR('CASE DATA'!F42="123.46",'CASE DATA'!F42="123.47"),"YES","NO")</f>
        <v>NO</v>
      </c>
      <c r="Y41" s="40" t="str">
        <f>IF(X41="YES",IF(C41+730.5&lt;'BASIC INFO'!$B$3, "YES","NO"), "N/A")</f>
        <v>N/A</v>
      </c>
      <c r="Z41" s="35" t="str">
        <f>IF('CASE DATA'!F42="725.1","YES","NO")</f>
        <v>NO</v>
      </c>
      <c r="AA41" s="35" t="str">
        <f>IF(Z41="YES",IF(C41+730.5&lt;'BASIC INFO'!$B$3, "YES","NO"), "N/A")</f>
        <v>N/A</v>
      </c>
      <c r="AB41" s="35" t="str">
        <f>IF('BASIC INFO'!$B$6+6574.5&gt;C41, "YES", "NO")</f>
        <v>YES</v>
      </c>
    </row>
    <row r="42" spans="1:28" x14ac:dyDescent="0.25">
      <c r="A42" s="35" t="str">
        <f>IF('CASE DATA'!A43="","z",'CASE DATA'!A43)</f>
        <v>z</v>
      </c>
      <c r="B42" s="66" t="str">
        <f>IF('CASE DATA'!A43="","",'CASE DATA'!E43)</f>
        <v/>
      </c>
      <c r="C42" s="36">
        <f>'CASE DATA'!D43</f>
        <v>0</v>
      </c>
      <c r="D42" s="37" t="str">
        <f>IF('CASE DATA'!I43="YES",SUM('CASE DATA'!K43:Q43),"n/a")</f>
        <v>n/a</v>
      </c>
      <c r="E42" s="38" t="str">
        <f>IF('CASE DATA'!G43="JUV", "YES", "NO")</f>
        <v>NO</v>
      </c>
      <c r="F42" s="38" t="str">
        <f t="array" ref="F42">IF(E42="YES",IF(SUM(COUNTIF('CASE DATA'!$G$4:$G$200, {"GTR","GPL","DEF","JUV"}))&gt;0, "YES","NO"),"N/A")</f>
        <v>N/A</v>
      </c>
      <c r="G42" s="38" t="str">
        <f>IF(E42="YES",IF(COUNTIF('CASE DATA'!$D$4:$D$200, "")-COUNTIF('CASE DATA'!$A$4:$A$200, "")&gt;0, "YES","NO"),"N/A")</f>
        <v>N/A</v>
      </c>
      <c r="H42" s="35" t="str">
        <f>_xlfn.IFS(E42="NO", "N/A", AND('BASIC INFO'!$B$3&gt;'BASIC INFO'!$B$6+6574.5, C42+730.5&lt;'BASIC INFO'!$B$3), "YES", 'BASIC INFO'!$B$3&lt;('BASIC INFO'!$B$6+6574.5), "NOT YET 18", C42+730.5&gt;'BASIC INFO'!$B$3, "NOT YET 2 YEARS")</f>
        <v>N/A</v>
      </c>
      <c r="I42" s="39" t="str">
        <f>IF(OR(AND(LEFT('CASE DATA'!F43,4)="321.",MID('CASE DATA'!A43,8,2)="SM"),MID('CASE DATA'!A43,8,2)="ST",MID('CASE DATA'!A43,8,2)="NT"),"TRAFFIC",IF(OR('CASE DATA'!G43="DISM", 'CASE DATA'!G43="ACQ", 'CASE DATA'!G43="NOTF", 'CASE DATA'!G43="WTHD", 'CASE DATA'!G43="TNSF"), "YES", "NO"))</f>
        <v>NO</v>
      </c>
      <c r="J42" s="40" t="str">
        <f>IF(I42="YES",'CASE DATA'!U43,"N/A")</f>
        <v>N/A</v>
      </c>
      <c r="K42" s="40" t="str">
        <f>IF(I42="YES",SOL!C43+SOL!D43,"N/A")</f>
        <v>N/A</v>
      </c>
      <c r="L42" s="35" t="str">
        <f>IF(I42="YES",IF(C42+180&lt;'BASIC INFO'!$B$3, "YES", "NO"),"N/A")</f>
        <v>N/A</v>
      </c>
      <c r="M42" s="40" t="str">
        <f t="array" ref="M42">IF(I42="TRAFFIC","n/a",IF(OR('CASE DATA'!G43="GTR", 'CASE DATA'!G43="GPL"),IF(SUM(COUNTIF('CASE DATA'!X43:AI43, 'CODE SECTIONS'!$V$2:$V$218&amp;"*"))&gt;0,"NO","YES"),"n/a"))</f>
        <v>n/a</v>
      </c>
      <c r="N42" s="40" t="str">
        <f t="array" ref="N42">IF(M42="YES",IF(OR((SUM(COUNTIF('CASE DATA'!X43:AI43,'CODE SECTIONS'!$X$2:$X$19&amp;"*"))&gt;0),LEFT('CASE DATA'!X43:AI43,4)="717C", LEFT('CASE DATA'!X43:AI43, 3)="719", LEFT('CASE DATA'!X43:AI43,3)="720", LEFT('CASE DATA'!X43:AI43,3)="724", LEFT('CASE DATA'!X43:AI43,3)="726", LEFT('CASE DATA'!X43:AI43,3)="728", LEFT('CASE DATA'!X43:AI43,4)="901A"), "ineligible misd","eligible"),"n/a")</f>
        <v>n/a</v>
      </c>
      <c r="O42" s="40" t="str">
        <f>IF(N42="eligible",IF(COUNTIF('CASE DATA'!$D$4:$D$200, "")-COUNTIF('CASE DATA'!$A$4:$A$200, "")&gt;0, "YES","NO"),"N/A")</f>
        <v>N/A</v>
      </c>
      <c r="P42" s="40" t="str">
        <f>IF(N42="eligible",BANKRUPTCY!C43+BANKRUPTCY!D43,"N/A")</f>
        <v>N/A</v>
      </c>
      <c r="Q42" s="40" t="str">
        <f>IF(N42="eligible",SOL!C43+SOL!D43,"N/A")</f>
        <v>N/A</v>
      </c>
      <c r="R42" s="40" t="str">
        <f>IF(N42="eligible",SUM('CASE DATA'!K43:T43),"N/A")</f>
        <v>N/A</v>
      </c>
      <c r="S42" s="40" t="str">
        <f>IF(N42="eligible",IF(C42+2920&lt;'BASIC INFO'!$B$3, "YES", "NO"),"N/A")</f>
        <v>N/A</v>
      </c>
      <c r="T42" s="39" t="str">
        <f>IF(OR('CASE DATA'!G43="DEF"), "YES", "NO")</f>
        <v>NO</v>
      </c>
      <c r="U42" s="35" t="str">
        <f>IF(T42="YES",'CASE DATA'!I43,"N/A")</f>
        <v>N/A</v>
      </c>
      <c r="V42" s="40" t="str">
        <f>IF(T42="YES",BANKRUPTCY!C43+BANKRUPTCY!D43,"N/A")</f>
        <v>N/A</v>
      </c>
      <c r="W42" s="40" t="str">
        <f>IF(T42="YES",SUM('CASE DATA'!K43:T43),"N/A")</f>
        <v>N/A</v>
      </c>
      <c r="X42" s="35" t="str">
        <f>IF(OR('CASE DATA'!F43="123.46",'CASE DATA'!F43="123.47"),"YES","NO")</f>
        <v>NO</v>
      </c>
      <c r="Y42" s="40" t="str">
        <f>IF(X42="YES",IF(C42+730.5&lt;'BASIC INFO'!$B$3, "YES","NO"), "N/A")</f>
        <v>N/A</v>
      </c>
      <c r="Z42" s="35" t="str">
        <f>IF('CASE DATA'!F43="725.1","YES","NO")</f>
        <v>NO</v>
      </c>
      <c r="AA42" s="35" t="str">
        <f>IF(Z42="YES",IF(C42+730.5&lt;'BASIC INFO'!$B$3, "YES","NO"), "N/A")</f>
        <v>N/A</v>
      </c>
      <c r="AB42" s="35" t="str">
        <f>IF('BASIC INFO'!$B$6+6574.5&gt;C42, "YES", "NO")</f>
        <v>YES</v>
      </c>
    </row>
    <row r="43" spans="1:28" x14ac:dyDescent="0.25">
      <c r="A43" s="35" t="str">
        <f>IF('CASE DATA'!A44="","z",'CASE DATA'!A44)</f>
        <v>z</v>
      </c>
      <c r="B43" s="66" t="str">
        <f>IF('CASE DATA'!A44="","",'CASE DATA'!E44)</f>
        <v/>
      </c>
      <c r="C43" s="36">
        <f>'CASE DATA'!D44</f>
        <v>0</v>
      </c>
      <c r="D43" s="37" t="str">
        <f>IF('CASE DATA'!I44="YES",SUM('CASE DATA'!K44:Q44),"n/a")</f>
        <v>n/a</v>
      </c>
      <c r="E43" s="38" t="str">
        <f>IF('CASE DATA'!G44="JUV", "YES", "NO")</f>
        <v>NO</v>
      </c>
      <c r="F43" s="38" t="str">
        <f t="array" ref="F43">IF(E43="YES",IF(SUM(COUNTIF('CASE DATA'!$G$4:$G$200, {"GTR","GPL","DEF","JUV"}))&gt;0, "YES","NO"),"N/A")</f>
        <v>N/A</v>
      </c>
      <c r="G43" s="38" t="str">
        <f>IF(E43="YES",IF(COUNTIF('CASE DATA'!$D$4:$D$200, "")-COUNTIF('CASE DATA'!$A$4:$A$200, "")&gt;0, "YES","NO"),"N/A")</f>
        <v>N/A</v>
      </c>
      <c r="H43" s="35" t="str">
        <f>_xlfn.IFS(E43="NO", "N/A", AND('BASIC INFO'!$B$3&gt;'BASIC INFO'!$B$6+6574.5, C43+730.5&lt;'BASIC INFO'!$B$3), "YES", 'BASIC INFO'!$B$3&lt;('BASIC INFO'!$B$6+6574.5), "NOT YET 18", C43+730.5&gt;'BASIC INFO'!$B$3, "NOT YET 2 YEARS")</f>
        <v>N/A</v>
      </c>
      <c r="I43" s="39" t="str">
        <f>IF(OR(AND(LEFT('CASE DATA'!F44,4)="321.",MID('CASE DATA'!A44,8,2)="SM"),MID('CASE DATA'!A44,8,2)="ST",MID('CASE DATA'!A44,8,2)="NT"),"TRAFFIC",IF(OR('CASE DATA'!G44="DISM", 'CASE DATA'!G44="ACQ", 'CASE DATA'!G44="NOTF", 'CASE DATA'!G44="WTHD", 'CASE DATA'!G44="TNSF"), "YES", "NO"))</f>
        <v>NO</v>
      </c>
      <c r="J43" s="40" t="str">
        <f>IF(I43="YES",'CASE DATA'!U44,"N/A")</f>
        <v>N/A</v>
      </c>
      <c r="K43" s="40" t="str">
        <f>IF(I43="YES",SOL!C44+SOL!D44,"N/A")</f>
        <v>N/A</v>
      </c>
      <c r="L43" s="35" t="str">
        <f>IF(I43="YES",IF(C43+180&lt;'BASIC INFO'!$B$3, "YES", "NO"),"N/A")</f>
        <v>N/A</v>
      </c>
      <c r="M43" s="40" t="str">
        <f t="array" ref="M43">IF(I43="TRAFFIC","n/a",IF(OR('CASE DATA'!G44="GTR", 'CASE DATA'!G44="GPL"),IF(SUM(COUNTIF('CASE DATA'!X44:AI44, 'CODE SECTIONS'!$V$2:$V$218&amp;"*"))&gt;0,"NO","YES"),"n/a"))</f>
        <v>n/a</v>
      </c>
      <c r="N43" s="40" t="str">
        <f t="array" ref="N43">IF(M43="YES",IF(OR((SUM(COUNTIF('CASE DATA'!X44:AI44,'CODE SECTIONS'!$X$2:$X$19&amp;"*"))&gt;0),LEFT('CASE DATA'!X44:AI44,4)="717C", LEFT('CASE DATA'!X44:AI44, 3)="719", LEFT('CASE DATA'!X44:AI44,3)="720", LEFT('CASE DATA'!X44:AI44,3)="724", LEFT('CASE DATA'!X44:AI44,3)="726", LEFT('CASE DATA'!X44:AI44,3)="728", LEFT('CASE DATA'!X44:AI44,4)="901A"), "ineligible misd","eligible"),"n/a")</f>
        <v>n/a</v>
      </c>
      <c r="O43" s="40" t="str">
        <f>IF(N43="eligible",IF(COUNTIF('CASE DATA'!$D$4:$D$200, "")-COUNTIF('CASE DATA'!$A$4:$A$200, "")&gt;0, "YES","NO"),"N/A")</f>
        <v>N/A</v>
      </c>
      <c r="P43" s="40" t="str">
        <f>IF(N43="eligible",BANKRUPTCY!C44+BANKRUPTCY!D44,"N/A")</f>
        <v>N/A</v>
      </c>
      <c r="Q43" s="40" t="str">
        <f>IF(N43="eligible",SOL!C44+SOL!D44,"N/A")</f>
        <v>N/A</v>
      </c>
      <c r="R43" s="40" t="str">
        <f>IF(N43="eligible",SUM('CASE DATA'!K44:T44),"N/A")</f>
        <v>N/A</v>
      </c>
      <c r="S43" s="40" t="str">
        <f>IF(N43="eligible",IF(C43+2920&lt;'BASIC INFO'!$B$3, "YES", "NO"),"N/A")</f>
        <v>N/A</v>
      </c>
      <c r="T43" s="39" t="str">
        <f>IF(OR('CASE DATA'!G44="DEF"), "YES", "NO")</f>
        <v>NO</v>
      </c>
      <c r="U43" s="35" t="str">
        <f>IF(T43="YES",'CASE DATA'!I44,"N/A")</f>
        <v>N/A</v>
      </c>
      <c r="V43" s="40" t="str">
        <f>IF(T43="YES",BANKRUPTCY!C44+BANKRUPTCY!D44,"N/A")</f>
        <v>N/A</v>
      </c>
      <c r="W43" s="40" t="str">
        <f>IF(T43="YES",SUM('CASE DATA'!K44:T44),"N/A")</f>
        <v>N/A</v>
      </c>
      <c r="X43" s="35" t="str">
        <f>IF(OR('CASE DATA'!F44="123.46",'CASE DATA'!F44="123.47"),"YES","NO")</f>
        <v>NO</v>
      </c>
      <c r="Y43" s="40" t="str">
        <f>IF(X43="YES",IF(C43+730.5&lt;'BASIC INFO'!$B$3, "YES","NO"), "N/A")</f>
        <v>N/A</v>
      </c>
      <c r="Z43" s="35" t="str">
        <f>IF('CASE DATA'!F44="725.1","YES","NO")</f>
        <v>NO</v>
      </c>
      <c r="AA43" s="35" t="str">
        <f>IF(Z43="YES",IF(C43+730.5&lt;'BASIC INFO'!$B$3, "YES","NO"), "N/A")</f>
        <v>N/A</v>
      </c>
      <c r="AB43" s="35" t="str">
        <f>IF('BASIC INFO'!$B$6+6574.5&gt;C43, "YES", "NO")</f>
        <v>YES</v>
      </c>
    </row>
    <row r="44" spans="1:28" x14ac:dyDescent="0.25">
      <c r="A44" s="35" t="str">
        <f>IF('CASE DATA'!A45="","z",'CASE DATA'!A45)</f>
        <v>z</v>
      </c>
      <c r="B44" s="66" t="str">
        <f>IF('CASE DATA'!A45="","",'CASE DATA'!E45)</f>
        <v/>
      </c>
      <c r="C44" s="36">
        <f>'CASE DATA'!D45</f>
        <v>0</v>
      </c>
      <c r="D44" s="37" t="str">
        <f>IF('CASE DATA'!I45="YES",SUM('CASE DATA'!K45:Q45),"n/a")</f>
        <v>n/a</v>
      </c>
      <c r="E44" s="38" t="str">
        <f>IF('CASE DATA'!G45="JUV", "YES", "NO")</f>
        <v>NO</v>
      </c>
      <c r="F44" s="38" t="str">
        <f t="array" ref="F44">IF(E44="YES",IF(SUM(COUNTIF('CASE DATA'!$G$4:$G$200, {"GTR","GPL","DEF","JUV"}))&gt;0, "YES","NO"),"N/A")</f>
        <v>N/A</v>
      </c>
      <c r="G44" s="38" t="str">
        <f>IF(E44="YES",IF(COUNTIF('CASE DATA'!$D$4:$D$200, "")-COUNTIF('CASE DATA'!$A$4:$A$200, "")&gt;0, "YES","NO"),"N/A")</f>
        <v>N/A</v>
      </c>
      <c r="H44" s="35" t="str">
        <f>_xlfn.IFS(E44="NO", "N/A", AND('BASIC INFO'!$B$3&gt;'BASIC INFO'!$B$6+6574.5, C44+730.5&lt;'BASIC INFO'!$B$3), "YES", 'BASIC INFO'!$B$3&lt;('BASIC INFO'!$B$6+6574.5), "NOT YET 18", C44+730.5&gt;'BASIC INFO'!$B$3, "NOT YET 2 YEARS")</f>
        <v>N/A</v>
      </c>
      <c r="I44" s="39" t="str">
        <f>IF(OR(AND(LEFT('CASE DATA'!F45,4)="321.",MID('CASE DATA'!A45,8,2)="SM"),MID('CASE DATA'!A45,8,2)="ST",MID('CASE DATA'!A45,8,2)="NT"),"TRAFFIC",IF(OR('CASE DATA'!G45="DISM", 'CASE DATA'!G45="ACQ", 'CASE DATA'!G45="NOTF", 'CASE DATA'!G45="WTHD", 'CASE DATA'!G45="TNSF"), "YES", "NO"))</f>
        <v>NO</v>
      </c>
      <c r="J44" s="40" t="str">
        <f>IF(I44="YES",'CASE DATA'!U45,"N/A")</f>
        <v>N/A</v>
      </c>
      <c r="K44" s="40" t="str">
        <f>IF(I44="YES",SOL!C45+SOL!D45,"N/A")</f>
        <v>N/A</v>
      </c>
      <c r="L44" s="35" t="str">
        <f>IF(I44="YES",IF(C44+180&lt;'BASIC INFO'!$B$3, "YES", "NO"),"N/A")</f>
        <v>N/A</v>
      </c>
      <c r="M44" s="40" t="str">
        <f t="array" ref="M44">IF(I44="TRAFFIC","n/a",IF(OR('CASE DATA'!G45="GTR", 'CASE DATA'!G45="GPL"),IF(SUM(COUNTIF('CASE DATA'!X45:AI45, 'CODE SECTIONS'!$V$2:$V$218&amp;"*"))&gt;0,"NO","YES"),"n/a"))</f>
        <v>n/a</v>
      </c>
      <c r="N44" s="40" t="str">
        <f t="array" ref="N44">IF(M44="YES",IF(OR((SUM(COUNTIF('CASE DATA'!X45:AI45,'CODE SECTIONS'!$X$2:$X$19&amp;"*"))&gt;0),LEFT('CASE DATA'!X45:AI45,4)="717C", LEFT('CASE DATA'!X45:AI45, 3)="719", LEFT('CASE DATA'!X45:AI45,3)="720", LEFT('CASE DATA'!X45:AI45,3)="724", LEFT('CASE DATA'!X45:AI45,3)="726", LEFT('CASE DATA'!X45:AI45,3)="728", LEFT('CASE DATA'!X45:AI45,4)="901A"), "ineligible misd","eligible"),"n/a")</f>
        <v>n/a</v>
      </c>
      <c r="O44" s="40" t="str">
        <f>IF(N44="eligible",IF(COUNTIF('CASE DATA'!$D$4:$D$200, "")-COUNTIF('CASE DATA'!$A$4:$A$200, "")&gt;0, "YES","NO"),"N/A")</f>
        <v>N/A</v>
      </c>
      <c r="P44" s="40" t="str">
        <f>IF(N44="eligible",BANKRUPTCY!C45+BANKRUPTCY!D45,"N/A")</f>
        <v>N/A</v>
      </c>
      <c r="Q44" s="40" t="str">
        <f>IF(N44="eligible",SOL!C45+SOL!D45,"N/A")</f>
        <v>N/A</v>
      </c>
      <c r="R44" s="40" t="str">
        <f>IF(N44="eligible",SUM('CASE DATA'!K45:T45),"N/A")</f>
        <v>N/A</v>
      </c>
      <c r="S44" s="40" t="str">
        <f>IF(N44="eligible",IF(C44+2920&lt;'BASIC INFO'!$B$3, "YES", "NO"),"N/A")</f>
        <v>N/A</v>
      </c>
      <c r="T44" s="39" t="str">
        <f>IF(OR('CASE DATA'!G45="DEF"), "YES", "NO")</f>
        <v>NO</v>
      </c>
      <c r="U44" s="35" t="str">
        <f>IF(T44="YES",'CASE DATA'!I45,"N/A")</f>
        <v>N/A</v>
      </c>
      <c r="V44" s="40" t="str">
        <f>IF(T44="YES",BANKRUPTCY!C45+BANKRUPTCY!D45,"N/A")</f>
        <v>N/A</v>
      </c>
      <c r="W44" s="40" t="str">
        <f>IF(T44="YES",SUM('CASE DATA'!K45:T45),"N/A")</f>
        <v>N/A</v>
      </c>
      <c r="X44" s="35" t="str">
        <f>IF(OR('CASE DATA'!F45="123.46",'CASE DATA'!F45="123.47"),"YES","NO")</f>
        <v>NO</v>
      </c>
      <c r="Y44" s="40" t="str">
        <f>IF(X44="YES",IF(C44+730.5&lt;'BASIC INFO'!$B$3, "YES","NO"), "N/A")</f>
        <v>N/A</v>
      </c>
      <c r="Z44" s="35" t="str">
        <f>IF('CASE DATA'!F45="725.1","YES","NO")</f>
        <v>NO</v>
      </c>
      <c r="AA44" s="35" t="str">
        <f>IF(Z44="YES",IF(C44+730.5&lt;'BASIC INFO'!$B$3, "YES","NO"), "N/A")</f>
        <v>N/A</v>
      </c>
      <c r="AB44" s="35" t="str">
        <f>IF('BASIC INFO'!$B$6+6574.5&gt;C44, "YES", "NO")</f>
        <v>YES</v>
      </c>
    </row>
    <row r="45" spans="1:28" x14ac:dyDescent="0.25">
      <c r="A45" s="35" t="str">
        <f>IF('CASE DATA'!A46="","z",'CASE DATA'!A46)</f>
        <v>z</v>
      </c>
      <c r="B45" s="66" t="str">
        <f>IF('CASE DATA'!A46="","",'CASE DATA'!E46)</f>
        <v/>
      </c>
      <c r="C45" s="36">
        <f>'CASE DATA'!D46</f>
        <v>0</v>
      </c>
      <c r="D45" s="37" t="str">
        <f>IF('CASE DATA'!I46="YES",SUM('CASE DATA'!K46:Q46),"n/a")</f>
        <v>n/a</v>
      </c>
      <c r="E45" s="38" t="str">
        <f>IF('CASE DATA'!G46="JUV", "YES", "NO")</f>
        <v>NO</v>
      </c>
      <c r="F45" s="38" t="str">
        <f t="array" ref="F45">IF(E45="YES",IF(SUM(COUNTIF('CASE DATA'!$G$4:$G$200, {"GTR","GPL","DEF","JUV"}))&gt;0, "YES","NO"),"N/A")</f>
        <v>N/A</v>
      </c>
      <c r="G45" s="38" t="str">
        <f>IF(E45="YES",IF(COUNTIF('CASE DATA'!$D$4:$D$200, "")-COUNTIF('CASE DATA'!$A$4:$A$200, "")&gt;0, "YES","NO"),"N/A")</f>
        <v>N/A</v>
      </c>
      <c r="H45" s="35" t="str">
        <f>_xlfn.IFS(E45="NO", "N/A", AND('BASIC INFO'!$B$3&gt;'BASIC INFO'!$B$6+6574.5, C45+730.5&lt;'BASIC INFO'!$B$3), "YES", 'BASIC INFO'!$B$3&lt;('BASIC INFO'!$B$6+6574.5), "NOT YET 18", C45+730.5&gt;'BASIC INFO'!$B$3, "NOT YET 2 YEARS")</f>
        <v>N/A</v>
      </c>
      <c r="I45" s="39" t="str">
        <f>IF(OR(AND(LEFT('CASE DATA'!F46,4)="321.",MID('CASE DATA'!A46,8,2)="SM"),MID('CASE DATA'!A46,8,2)="ST",MID('CASE DATA'!A46,8,2)="NT"),"TRAFFIC",IF(OR('CASE DATA'!G46="DISM", 'CASE DATA'!G46="ACQ", 'CASE DATA'!G46="NOTF", 'CASE DATA'!G46="WTHD", 'CASE DATA'!G46="TNSF"), "YES", "NO"))</f>
        <v>NO</v>
      </c>
      <c r="J45" s="40" t="str">
        <f>IF(I45="YES",'CASE DATA'!U46,"N/A")</f>
        <v>N/A</v>
      </c>
      <c r="K45" s="40" t="str">
        <f>IF(I45="YES",SOL!C46+SOL!D46,"N/A")</f>
        <v>N/A</v>
      </c>
      <c r="L45" s="35" t="str">
        <f>IF(I45="YES",IF(C45+180&lt;'BASIC INFO'!$B$3, "YES", "NO"),"N/A")</f>
        <v>N/A</v>
      </c>
      <c r="M45" s="40" t="str">
        <f t="array" ref="M45">IF(I45="TRAFFIC","n/a",IF(OR('CASE DATA'!G46="GTR", 'CASE DATA'!G46="GPL"),IF(SUM(COUNTIF('CASE DATA'!X46:AI46, 'CODE SECTIONS'!$V$2:$V$218&amp;"*"))&gt;0,"NO","YES"),"n/a"))</f>
        <v>n/a</v>
      </c>
      <c r="N45" s="40" t="str">
        <f t="array" ref="N45">IF(M45="YES",IF(OR((SUM(COUNTIF('CASE DATA'!X46:AI46,'CODE SECTIONS'!$X$2:$X$19&amp;"*"))&gt;0),LEFT('CASE DATA'!X46:AI46,4)="717C", LEFT('CASE DATA'!X46:AI46, 3)="719", LEFT('CASE DATA'!X46:AI46,3)="720", LEFT('CASE DATA'!X46:AI46,3)="724", LEFT('CASE DATA'!X46:AI46,3)="726", LEFT('CASE DATA'!X46:AI46,3)="728", LEFT('CASE DATA'!X46:AI46,4)="901A"), "ineligible misd","eligible"),"n/a")</f>
        <v>n/a</v>
      </c>
      <c r="O45" s="40" t="str">
        <f>IF(N45="eligible",IF(COUNTIF('CASE DATA'!$D$4:$D$200, "")-COUNTIF('CASE DATA'!$A$4:$A$200, "")&gt;0, "YES","NO"),"N/A")</f>
        <v>N/A</v>
      </c>
      <c r="P45" s="40" t="str">
        <f>IF(N45="eligible",BANKRUPTCY!C46+BANKRUPTCY!D46,"N/A")</f>
        <v>N/A</v>
      </c>
      <c r="Q45" s="40" t="str">
        <f>IF(N45="eligible",SOL!C46+SOL!D46,"N/A")</f>
        <v>N/A</v>
      </c>
      <c r="R45" s="40" t="str">
        <f>IF(N45="eligible",SUM('CASE DATA'!K46:T46),"N/A")</f>
        <v>N/A</v>
      </c>
      <c r="S45" s="40" t="str">
        <f>IF(N45="eligible",IF(C45+2920&lt;'BASIC INFO'!$B$3, "YES", "NO"),"N/A")</f>
        <v>N/A</v>
      </c>
      <c r="T45" s="39" t="str">
        <f>IF(OR('CASE DATA'!G46="DEF"), "YES", "NO")</f>
        <v>NO</v>
      </c>
      <c r="U45" s="35" t="str">
        <f>IF(T45="YES",'CASE DATA'!I46,"N/A")</f>
        <v>N/A</v>
      </c>
      <c r="V45" s="40" t="str">
        <f>IF(T45="YES",BANKRUPTCY!C46+BANKRUPTCY!D46,"N/A")</f>
        <v>N/A</v>
      </c>
      <c r="W45" s="40" t="str">
        <f>IF(T45="YES",SUM('CASE DATA'!K46:T46),"N/A")</f>
        <v>N/A</v>
      </c>
      <c r="X45" s="35" t="str">
        <f>IF(OR('CASE DATA'!F46="123.46",'CASE DATA'!F46="123.47"),"YES","NO")</f>
        <v>NO</v>
      </c>
      <c r="Y45" s="40" t="str">
        <f>IF(X45="YES",IF(C45+730.5&lt;'BASIC INFO'!$B$3, "YES","NO"), "N/A")</f>
        <v>N/A</v>
      </c>
      <c r="Z45" s="35" t="str">
        <f>IF('CASE DATA'!F46="725.1","YES","NO")</f>
        <v>NO</v>
      </c>
      <c r="AA45" s="35" t="str">
        <f>IF(Z45="YES",IF(C45+730.5&lt;'BASIC INFO'!$B$3, "YES","NO"), "N/A")</f>
        <v>N/A</v>
      </c>
      <c r="AB45" s="35" t="str">
        <f>IF('BASIC INFO'!$B$6+6574.5&gt;C45, "YES", "NO")</f>
        <v>YES</v>
      </c>
    </row>
    <row r="46" spans="1:28" x14ac:dyDescent="0.25">
      <c r="A46" s="35" t="str">
        <f>IF('CASE DATA'!A47="","z",'CASE DATA'!A47)</f>
        <v>z</v>
      </c>
      <c r="B46" s="66" t="str">
        <f>IF('CASE DATA'!A47="","",'CASE DATA'!E47)</f>
        <v/>
      </c>
      <c r="C46" s="36">
        <f>'CASE DATA'!D47</f>
        <v>0</v>
      </c>
      <c r="D46" s="37" t="str">
        <f>IF('CASE DATA'!I47="YES",SUM('CASE DATA'!K47:Q47),"n/a")</f>
        <v>n/a</v>
      </c>
      <c r="E46" s="38" t="str">
        <f>IF('CASE DATA'!G47="JUV", "YES", "NO")</f>
        <v>NO</v>
      </c>
      <c r="F46" s="38" t="str">
        <f t="array" ref="F46">IF(E46="YES",IF(SUM(COUNTIF('CASE DATA'!$G$4:$G$200, {"GTR","GPL","DEF","JUV"}))&gt;0, "YES","NO"),"N/A")</f>
        <v>N/A</v>
      </c>
      <c r="G46" s="38" t="str">
        <f>IF(E46="YES",IF(COUNTIF('CASE DATA'!$D$4:$D$200, "")-COUNTIF('CASE DATA'!$A$4:$A$200, "")&gt;0, "YES","NO"),"N/A")</f>
        <v>N/A</v>
      </c>
      <c r="H46" s="35" t="str">
        <f>_xlfn.IFS(E46="NO", "N/A", AND('BASIC INFO'!$B$3&gt;'BASIC INFO'!$B$6+6574.5, C46+730.5&lt;'BASIC INFO'!$B$3), "YES", 'BASIC INFO'!$B$3&lt;('BASIC INFO'!$B$6+6574.5), "NOT YET 18", C46+730.5&gt;'BASIC INFO'!$B$3, "NOT YET 2 YEARS")</f>
        <v>N/A</v>
      </c>
      <c r="I46" s="39" t="str">
        <f>IF(OR(AND(LEFT('CASE DATA'!F47,4)="321.",MID('CASE DATA'!A47,8,2)="SM"),MID('CASE DATA'!A47,8,2)="ST",MID('CASE DATA'!A47,8,2)="NT"),"TRAFFIC",IF(OR('CASE DATA'!G47="DISM", 'CASE DATA'!G47="ACQ", 'CASE DATA'!G47="NOTF", 'CASE DATA'!G47="WTHD", 'CASE DATA'!G47="TNSF"), "YES", "NO"))</f>
        <v>NO</v>
      </c>
      <c r="J46" s="40" t="str">
        <f>IF(I46="YES",'CASE DATA'!U47,"N/A")</f>
        <v>N/A</v>
      </c>
      <c r="K46" s="40" t="str">
        <f>IF(I46="YES",SOL!C47+SOL!D47,"N/A")</f>
        <v>N/A</v>
      </c>
      <c r="L46" s="35" t="str">
        <f>IF(I46="YES",IF(C46+180&lt;'BASIC INFO'!$B$3, "YES", "NO"),"N/A")</f>
        <v>N/A</v>
      </c>
      <c r="M46" s="40" t="str">
        <f t="array" ref="M46">IF(I46="TRAFFIC","n/a",IF(OR('CASE DATA'!G47="GTR", 'CASE DATA'!G47="GPL"),IF(SUM(COUNTIF('CASE DATA'!X47:AI47, 'CODE SECTIONS'!$V$2:$V$218&amp;"*"))&gt;0,"NO","YES"),"n/a"))</f>
        <v>n/a</v>
      </c>
      <c r="N46" s="40" t="str">
        <f t="array" ref="N46">IF(M46="YES",IF(OR((SUM(COUNTIF('CASE DATA'!X47:AI47,'CODE SECTIONS'!$X$2:$X$19&amp;"*"))&gt;0),LEFT('CASE DATA'!X47:AI47,4)="717C", LEFT('CASE DATA'!X47:AI47, 3)="719", LEFT('CASE DATA'!X47:AI47,3)="720", LEFT('CASE DATA'!X47:AI47,3)="724", LEFT('CASE DATA'!X47:AI47,3)="726", LEFT('CASE DATA'!X47:AI47,3)="728", LEFT('CASE DATA'!X47:AI47,4)="901A"), "ineligible misd","eligible"),"n/a")</f>
        <v>n/a</v>
      </c>
      <c r="O46" s="40" t="str">
        <f>IF(N46="eligible",IF(COUNTIF('CASE DATA'!$D$4:$D$200, "")-COUNTIF('CASE DATA'!$A$4:$A$200, "")&gt;0, "YES","NO"),"N/A")</f>
        <v>N/A</v>
      </c>
      <c r="P46" s="40" t="str">
        <f>IF(N46="eligible",BANKRUPTCY!C47+BANKRUPTCY!D47,"N/A")</f>
        <v>N/A</v>
      </c>
      <c r="Q46" s="40" t="str">
        <f>IF(N46="eligible",SOL!C47+SOL!D47,"N/A")</f>
        <v>N/A</v>
      </c>
      <c r="R46" s="40" t="str">
        <f>IF(N46="eligible",SUM('CASE DATA'!K47:T47),"N/A")</f>
        <v>N/A</v>
      </c>
      <c r="S46" s="40" t="str">
        <f>IF(N46="eligible",IF(C46+2920&lt;'BASIC INFO'!$B$3, "YES", "NO"),"N/A")</f>
        <v>N/A</v>
      </c>
      <c r="T46" s="39" t="str">
        <f>IF(OR('CASE DATA'!G47="DEF"), "YES", "NO")</f>
        <v>NO</v>
      </c>
      <c r="U46" s="35" t="str">
        <f>IF(T46="YES",'CASE DATA'!I47,"N/A")</f>
        <v>N/A</v>
      </c>
      <c r="V46" s="40" t="str">
        <f>IF(T46="YES",BANKRUPTCY!C47+BANKRUPTCY!D47,"N/A")</f>
        <v>N/A</v>
      </c>
      <c r="W46" s="40" t="str">
        <f>IF(T46="YES",SUM('CASE DATA'!K47:T47),"N/A")</f>
        <v>N/A</v>
      </c>
      <c r="X46" s="35" t="str">
        <f>IF(OR('CASE DATA'!F47="123.46",'CASE DATA'!F47="123.47"),"YES","NO")</f>
        <v>NO</v>
      </c>
      <c r="Y46" s="40" t="str">
        <f>IF(X46="YES",IF(C46+730.5&lt;'BASIC INFO'!$B$3, "YES","NO"), "N/A")</f>
        <v>N/A</v>
      </c>
      <c r="Z46" s="35" t="str">
        <f>IF('CASE DATA'!F47="725.1","YES","NO")</f>
        <v>NO</v>
      </c>
      <c r="AA46" s="35" t="str">
        <f>IF(Z46="YES",IF(C46+730.5&lt;'BASIC INFO'!$B$3, "YES","NO"), "N/A")</f>
        <v>N/A</v>
      </c>
      <c r="AB46" s="35" t="str">
        <f>IF('BASIC INFO'!$B$6+6574.5&gt;C46, "YES", "NO")</f>
        <v>YES</v>
      </c>
    </row>
    <row r="47" spans="1:28" x14ac:dyDescent="0.25">
      <c r="A47" s="35" t="str">
        <f>IF('CASE DATA'!A48="","z",'CASE DATA'!A48)</f>
        <v>z</v>
      </c>
      <c r="B47" s="66" t="str">
        <f>IF('CASE DATA'!A48="","",'CASE DATA'!E48)</f>
        <v/>
      </c>
      <c r="C47" s="36">
        <f>'CASE DATA'!D48</f>
        <v>0</v>
      </c>
      <c r="D47" s="37" t="str">
        <f>IF('CASE DATA'!I48="YES",SUM('CASE DATA'!K48:Q48),"n/a")</f>
        <v>n/a</v>
      </c>
      <c r="E47" s="38" t="str">
        <f>IF('CASE DATA'!G48="JUV", "YES", "NO")</f>
        <v>NO</v>
      </c>
      <c r="F47" s="38" t="str">
        <f t="array" ref="F47">IF(E47="YES",IF(SUM(COUNTIF('CASE DATA'!$G$4:$G$200, {"GTR","GPL","DEF","JUV"}))&gt;0, "YES","NO"),"N/A")</f>
        <v>N/A</v>
      </c>
      <c r="G47" s="38" t="str">
        <f>IF(E47="YES",IF(COUNTIF('CASE DATA'!$D$4:$D$200, "")-COUNTIF('CASE DATA'!$A$4:$A$200, "")&gt;0, "YES","NO"),"N/A")</f>
        <v>N/A</v>
      </c>
      <c r="H47" s="35" t="str">
        <f>_xlfn.IFS(E47="NO", "N/A", AND('BASIC INFO'!$B$3&gt;'BASIC INFO'!$B$6+6574.5, C47+730.5&lt;'BASIC INFO'!$B$3), "YES", 'BASIC INFO'!$B$3&lt;('BASIC INFO'!$B$6+6574.5), "NOT YET 18", C47+730.5&gt;'BASIC INFO'!$B$3, "NOT YET 2 YEARS")</f>
        <v>N/A</v>
      </c>
      <c r="I47" s="39" t="str">
        <f>IF(OR(AND(LEFT('CASE DATA'!F48,4)="321.",MID('CASE DATA'!A48,8,2)="SM"),MID('CASE DATA'!A48,8,2)="ST",MID('CASE DATA'!A48,8,2)="NT"),"TRAFFIC",IF(OR('CASE DATA'!G48="DISM", 'CASE DATA'!G48="ACQ", 'CASE DATA'!G48="NOTF", 'CASE DATA'!G48="WTHD", 'CASE DATA'!G48="TNSF"), "YES", "NO"))</f>
        <v>NO</v>
      </c>
      <c r="J47" s="40" t="str">
        <f>IF(I47="YES",'CASE DATA'!U48,"N/A")</f>
        <v>N/A</v>
      </c>
      <c r="K47" s="40" t="str">
        <f>IF(I47="YES",SOL!C48+SOL!D48,"N/A")</f>
        <v>N/A</v>
      </c>
      <c r="L47" s="35" t="str">
        <f>IF(I47="YES",IF(C47+180&lt;'BASIC INFO'!$B$3, "YES", "NO"),"N/A")</f>
        <v>N/A</v>
      </c>
      <c r="M47" s="40" t="str">
        <f t="array" ref="M47">IF(I47="TRAFFIC","n/a",IF(OR('CASE DATA'!G48="GTR", 'CASE DATA'!G48="GPL"),IF(SUM(COUNTIF('CASE DATA'!X48:AI48, 'CODE SECTIONS'!$V$2:$V$218&amp;"*"))&gt;0,"NO","YES"),"n/a"))</f>
        <v>n/a</v>
      </c>
      <c r="N47" s="40" t="str">
        <f t="array" ref="N47">IF(M47="YES",IF(OR((SUM(COUNTIF('CASE DATA'!X48:AI48,'CODE SECTIONS'!$X$2:$X$19&amp;"*"))&gt;0),LEFT('CASE DATA'!X48:AI48,4)="717C", LEFT('CASE DATA'!X48:AI48, 3)="719", LEFT('CASE DATA'!X48:AI48,3)="720", LEFT('CASE DATA'!X48:AI48,3)="724", LEFT('CASE DATA'!X48:AI48,3)="726", LEFT('CASE DATA'!X48:AI48,3)="728", LEFT('CASE DATA'!X48:AI48,4)="901A"), "ineligible misd","eligible"),"n/a")</f>
        <v>n/a</v>
      </c>
      <c r="O47" s="40" t="str">
        <f>IF(N47="eligible",IF(COUNTIF('CASE DATA'!$D$4:$D$200, "")-COUNTIF('CASE DATA'!$A$4:$A$200, "")&gt;0, "YES","NO"),"N/A")</f>
        <v>N/A</v>
      </c>
      <c r="P47" s="40" t="str">
        <f>IF(N47="eligible",BANKRUPTCY!C48+BANKRUPTCY!D48,"N/A")</f>
        <v>N/A</v>
      </c>
      <c r="Q47" s="40" t="str">
        <f>IF(N47="eligible",SOL!C48+SOL!D48,"N/A")</f>
        <v>N/A</v>
      </c>
      <c r="R47" s="40" t="str">
        <f>IF(N47="eligible",SUM('CASE DATA'!K48:T48),"N/A")</f>
        <v>N/A</v>
      </c>
      <c r="S47" s="40" t="str">
        <f>IF(N47="eligible",IF(C47+2920&lt;'BASIC INFO'!$B$3, "YES", "NO"),"N/A")</f>
        <v>N/A</v>
      </c>
      <c r="T47" s="39" t="str">
        <f>IF(OR('CASE DATA'!G48="DEF"), "YES", "NO")</f>
        <v>NO</v>
      </c>
      <c r="U47" s="35" t="str">
        <f>IF(T47="YES",'CASE DATA'!I48,"N/A")</f>
        <v>N/A</v>
      </c>
      <c r="V47" s="40" t="str">
        <f>IF(T47="YES",BANKRUPTCY!C48+BANKRUPTCY!D48,"N/A")</f>
        <v>N/A</v>
      </c>
      <c r="W47" s="40" t="str">
        <f>IF(T47="YES",SUM('CASE DATA'!K48:T48),"N/A")</f>
        <v>N/A</v>
      </c>
      <c r="X47" s="35" t="str">
        <f>IF(OR('CASE DATA'!F48="123.46",'CASE DATA'!F48="123.47"),"YES","NO")</f>
        <v>NO</v>
      </c>
      <c r="Y47" s="40" t="str">
        <f>IF(X47="YES",IF(C47+730.5&lt;'BASIC INFO'!$B$3, "YES","NO"), "N/A")</f>
        <v>N/A</v>
      </c>
      <c r="Z47" s="35" t="str">
        <f>IF('CASE DATA'!F48="725.1","YES","NO")</f>
        <v>NO</v>
      </c>
      <c r="AA47" s="35" t="str">
        <f>IF(Z47="YES",IF(C47+730.5&lt;'BASIC INFO'!$B$3, "YES","NO"), "N/A")</f>
        <v>N/A</v>
      </c>
      <c r="AB47" s="35" t="str">
        <f>IF('BASIC INFO'!$B$6+6574.5&gt;C47, "YES", "NO")</f>
        <v>YES</v>
      </c>
    </row>
    <row r="48" spans="1:28" x14ac:dyDescent="0.25">
      <c r="A48" s="35" t="str">
        <f>IF('CASE DATA'!A49="","z",'CASE DATA'!A49)</f>
        <v>z</v>
      </c>
      <c r="B48" s="66" t="str">
        <f>IF('CASE DATA'!A49="","",'CASE DATA'!E49)</f>
        <v/>
      </c>
      <c r="C48" s="36">
        <f>'CASE DATA'!D49</f>
        <v>0</v>
      </c>
      <c r="D48" s="37" t="str">
        <f>IF('CASE DATA'!I49="YES",SUM('CASE DATA'!K49:Q49),"n/a")</f>
        <v>n/a</v>
      </c>
      <c r="E48" s="38" t="str">
        <f>IF('CASE DATA'!G49="JUV", "YES", "NO")</f>
        <v>NO</v>
      </c>
      <c r="F48" s="38" t="str">
        <f t="array" ref="F48">IF(E48="YES",IF(SUM(COUNTIF('CASE DATA'!$G$4:$G$200, {"GTR","GPL","DEF","JUV"}))&gt;0, "YES","NO"),"N/A")</f>
        <v>N/A</v>
      </c>
      <c r="G48" s="38" t="str">
        <f>IF(E48="YES",IF(COUNTIF('CASE DATA'!$D$4:$D$200, "")-COUNTIF('CASE DATA'!$A$4:$A$200, "")&gt;0, "YES","NO"),"N/A")</f>
        <v>N/A</v>
      </c>
      <c r="H48" s="35" t="str">
        <f>_xlfn.IFS(E48="NO", "N/A", AND('BASIC INFO'!$B$3&gt;'BASIC INFO'!$B$6+6574.5, C48+730.5&lt;'BASIC INFO'!$B$3), "YES", 'BASIC INFO'!$B$3&lt;('BASIC INFO'!$B$6+6574.5), "NOT YET 18", C48+730.5&gt;'BASIC INFO'!$B$3, "NOT YET 2 YEARS")</f>
        <v>N/A</v>
      </c>
      <c r="I48" s="39" t="str">
        <f>IF(OR(AND(LEFT('CASE DATA'!F49,4)="321.",MID('CASE DATA'!A49,8,2)="SM"),MID('CASE DATA'!A49,8,2)="ST",MID('CASE DATA'!A49,8,2)="NT"),"TRAFFIC",IF(OR('CASE DATA'!G49="DISM", 'CASE DATA'!G49="ACQ", 'CASE DATA'!G49="NOTF", 'CASE DATA'!G49="WTHD", 'CASE DATA'!G49="TNSF"), "YES", "NO"))</f>
        <v>NO</v>
      </c>
      <c r="J48" s="40" t="str">
        <f>IF(I48="YES",'CASE DATA'!U49,"N/A")</f>
        <v>N/A</v>
      </c>
      <c r="K48" s="40" t="str">
        <f>IF(I48="YES",SOL!C49+SOL!D49,"N/A")</f>
        <v>N/A</v>
      </c>
      <c r="L48" s="35" t="str">
        <f>IF(I48="YES",IF(C48+180&lt;'BASIC INFO'!$B$3, "YES", "NO"),"N/A")</f>
        <v>N/A</v>
      </c>
      <c r="M48" s="40" t="str">
        <f t="array" ref="M48">IF(I48="TRAFFIC","n/a",IF(OR('CASE DATA'!G49="GTR", 'CASE DATA'!G49="GPL"),IF(SUM(COUNTIF('CASE DATA'!X49:AI49, 'CODE SECTIONS'!$V$2:$V$218&amp;"*"))&gt;0,"NO","YES"),"n/a"))</f>
        <v>n/a</v>
      </c>
      <c r="N48" s="40" t="str">
        <f t="array" ref="N48">IF(M48="YES",IF(OR((SUM(COUNTIF('CASE DATA'!X49:AI49,'CODE SECTIONS'!$X$2:$X$19&amp;"*"))&gt;0),LEFT('CASE DATA'!X49:AI49,4)="717C", LEFT('CASE DATA'!X49:AI49, 3)="719", LEFT('CASE DATA'!X49:AI49,3)="720", LEFT('CASE DATA'!X49:AI49,3)="724", LEFT('CASE DATA'!X49:AI49,3)="726", LEFT('CASE DATA'!X49:AI49,3)="728", LEFT('CASE DATA'!X49:AI49,4)="901A"), "ineligible misd","eligible"),"n/a")</f>
        <v>n/a</v>
      </c>
      <c r="O48" s="40" t="str">
        <f>IF(N48="eligible",IF(COUNTIF('CASE DATA'!$D$4:$D$200, "")-COUNTIF('CASE DATA'!$A$4:$A$200, "")&gt;0, "YES","NO"),"N/A")</f>
        <v>N/A</v>
      </c>
      <c r="P48" s="40" t="str">
        <f>IF(N48="eligible",BANKRUPTCY!C49+BANKRUPTCY!D49,"N/A")</f>
        <v>N/A</v>
      </c>
      <c r="Q48" s="40" t="str">
        <f>IF(N48="eligible",SOL!C49+SOL!D49,"N/A")</f>
        <v>N/A</v>
      </c>
      <c r="R48" s="40" t="str">
        <f>IF(N48="eligible",SUM('CASE DATA'!K49:T49),"N/A")</f>
        <v>N/A</v>
      </c>
      <c r="S48" s="40" t="str">
        <f>IF(N48="eligible",IF(C48+2920&lt;'BASIC INFO'!$B$3, "YES", "NO"),"N/A")</f>
        <v>N/A</v>
      </c>
      <c r="T48" s="39" t="str">
        <f>IF(OR('CASE DATA'!G49="DEF"), "YES", "NO")</f>
        <v>NO</v>
      </c>
      <c r="U48" s="35" t="str">
        <f>IF(T48="YES",'CASE DATA'!I49,"N/A")</f>
        <v>N/A</v>
      </c>
      <c r="V48" s="40" t="str">
        <f>IF(T48="YES",BANKRUPTCY!C49+BANKRUPTCY!D49,"N/A")</f>
        <v>N/A</v>
      </c>
      <c r="W48" s="40" t="str">
        <f>IF(T48="YES",SUM('CASE DATA'!K49:T49),"N/A")</f>
        <v>N/A</v>
      </c>
      <c r="X48" s="35" t="str">
        <f>IF(OR('CASE DATA'!F49="123.46",'CASE DATA'!F49="123.47"),"YES","NO")</f>
        <v>NO</v>
      </c>
      <c r="Y48" s="40" t="str">
        <f>IF(X48="YES",IF(C48+730.5&lt;'BASIC INFO'!$B$3, "YES","NO"), "N/A")</f>
        <v>N/A</v>
      </c>
      <c r="Z48" s="35" t="str">
        <f>IF('CASE DATA'!F49="725.1","YES","NO")</f>
        <v>NO</v>
      </c>
      <c r="AA48" s="35" t="str">
        <f>IF(Z48="YES",IF(C48+730.5&lt;'BASIC INFO'!$B$3, "YES","NO"), "N/A")</f>
        <v>N/A</v>
      </c>
      <c r="AB48" s="35" t="str">
        <f>IF('BASIC INFO'!$B$6+6574.5&gt;C48, "YES", "NO")</f>
        <v>YES</v>
      </c>
    </row>
    <row r="49" spans="1:28" x14ac:dyDescent="0.25">
      <c r="A49" s="35" t="str">
        <f>IF('CASE DATA'!A50="","z",'CASE DATA'!A50)</f>
        <v>z</v>
      </c>
      <c r="B49" s="66" t="str">
        <f>IF('CASE DATA'!A50="","",'CASE DATA'!E50)</f>
        <v/>
      </c>
      <c r="C49" s="36">
        <f>'CASE DATA'!D50</f>
        <v>0</v>
      </c>
      <c r="D49" s="37" t="str">
        <f>IF('CASE DATA'!I50="YES",SUM('CASE DATA'!K50:Q50),"n/a")</f>
        <v>n/a</v>
      </c>
      <c r="E49" s="38" t="str">
        <f>IF('CASE DATA'!G50="JUV", "YES", "NO")</f>
        <v>NO</v>
      </c>
      <c r="F49" s="38" t="str">
        <f t="array" ref="F49">IF(E49="YES",IF(SUM(COUNTIF('CASE DATA'!$G$4:$G$200, {"GTR","GPL","DEF","JUV"}))&gt;0, "YES","NO"),"N/A")</f>
        <v>N/A</v>
      </c>
      <c r="G49" s="38" t="str">
        <f>IF(E49="YES",IF(COUNTIF('CASE DATA'!$D$4:$D$200, "")-COUNTIF('CASE DATA'!$A$4:$A$200, "")&gt;0, "YES","NO"),"N/A")</f>
        <v>N/A</v>
      </c>
      <c r="H49" s="35" t="str">
        <f>_xlfn.IFS(E49="NO", "N/A", AND('BASIC INFO'!$B$3&gt;'BASIC INFO'!$B$6+6574.5, C49+730.5&lt;'BASIC INFO'!$B$3), "YES", 'BASIC INFO'!$B$3&lt;('BASIC INFO'!$B$6+6574.5), "NOT YET 18", C49+730.5&gt;'BASIC INFO'!$B$3, "NOT YET 2 YEARS")</f>
        <v>N/A</v>
      </c>
      <c r="I49" s="39" t="str">
        <f>IF(OR(AND(LEFT('CASE DATA'!F50,4)="321.",MID('CASE DATA'!A50,8,2)="SM"),MID('CASE DATA'!A50,8,2)="ST",MID('CASE DATA'!A50,8,2)="NT"),"TRAFFIC",IF(OR('CASE DATA'!G50="DISM", 'CASE DATA'!G50="ACQ", 'CASE DATA'!G50="NOTF", 'CASE DATA'!G50="WTHD", 'CASE DATA'!G50="TNSF"), "YES", "NO"))</f>
        <v>NO</v>
      </c>
      <c r="J49" s="40" t="str">
        <f>IF(I49="YES",'CASE DATA'!U50,"N/A")</f>
        <v>N/A</v>
      </c>
      <c r="K49" s="40" t="str">
        <f>IF(I49="YES",SOL!C50+SOL!D50,"N/A")</f>
        <v>N/A</v>
      </c>
      <c r="L49" s="35" t="str">
        <f>IF(I49="YES",IF(C49+180&lt;'BASIC INFO'!$B$3, "YES", "NO"),"N/A")</f>
        <v>N/A</v>
      </c>
      <c r="M49" s="40" t="str">
        <f t="array" ref="M49">IF(I49="TRAFFIC","n/a",IF(OR('CASE DATA'!G50="GTR", 'CASE DATA'!G50="GPL"),IF(SUM(COUNTIF('CASE DATA'!X50:AI50, 'CODE SECTIONS'!$V$2:$V$218&amp;"*"))&gt;0,"NO","YES"),"n/a"))</f>
        <v>n/a</v>
      </c>
      <c r="N49" s="40" t="str">
        <f t="array" ref="N49">IF(M49="YES",IF(OR((SUM(COUNTIF('CASE DATA'!X50:AI50,'CODE SECTIONS'!$X$2:$X$19&amp;"*"))&gt;0),LEFT('CASE DATA'!X50:AI50,4)="717C", LEFT('CASE DATA'!X50:AI50, 3)="719", LEFT('CASE DATA'!X50:AI50,3)="720", LEFT('CASE DATA'!X50:AI50,3)="724", LEFT('CASE DATA'!X50:AI50,3)="726", LEFT('CASE DATA'!X50:AI50,3)="728", LEFT('CASE DATA'!X50:AI50,4)="901A"), "ineligible misd","eligible"),"n/a")</f>
        <v>n/a</v>
      </c>
      <c r="O49" s="40" t="str">
        <f>IF(N49="eligible",IF(COUNTIF('CASE DATA'!$D$4:$D$200, "")-COUNTIF('CASE DATA'!$A$4:$A$200, "")&gt;0, "YES","NO"),"N/A")</f>
        <v>N/A</v>
      </c>
      <c r="P49" s="40" t="str">
        <f>IF(N49="eligible",BANKRUPTCY!C50+BANKRUPTCY!D50,"N/A")</f>
        <v>N/A</v>
      </c>
      <c r="Q49" s="40" t="str">
        <f>IF(N49="eligible",SOL!C50+SOL!D50,"N/A")</f>
        <v>N/A</v>
      </c>
      <c r="R49" s="40" t="str">
        <f>IF(N49="eligible",SUM('CASE DATA'!K50:T50),"N/A")</f>
        <v>N/A</v>
      </c>
      <c r="S49" s="40" t="str">
        <f>IF(N49="eligible",IF(C49+2920&lt;'BASIC INFO'!$B$3, "YES", "NO"),"N/A")</f>
        <v>N/A</v>
      </c>
      <c r="T49" s="39" t="str">
        <f>IF(OR('CASE DATA'!G50="DEF"), "YES", "NO")</f>
        <v>NO</v>
      </c>
      <c r="U49" s="35" t="str">
        <f>IF(T49="YES",'CASE DATA'!I50,"N/A")</f>
        <v>N/A</v>
      </c>
      <c r="V49" s="40" t="str">
        <f>IF(T49="YES",BANKRUPTCY!C50+BANKRUPTCY!D50,"N/A")</f>
        <v>N/A</v>
      </c>
      <c r="W49" s="40" t="str">
        <f>IF(T49="YES",SUM('CASE DATA'!K50:T50),"N/A")</f>
        <v>N/A</v>
      </c>
      <c r="X49" s="35" t="str">
        <f>IF(OR('CASE DATA'!F50="123.46",'CASE DATA'!F50="123.47"),"YES","NO")</f>
        <v>NO</v>
      </c>
      <c r="Y49" s="40" t="str">
        <f>IF(X49="YES",IF(C49+730.5&lt;'BASIC INFO'!$B$3, "YES","NO"), "N/A")</f>
        <v>N/A</v>
      </c>
      <c r="Z49" s="35" t="str">
        <f>IF('CASE DATA'!F50="725.1","YES","NO")</f>
        <v>NO</v>
      </c>
      <c r="AA49" s="35" t="str">
        <f>IF(Z49="YES",IF(C49+730.5&lt;'BASIC INFO'!$B$3, "YES","NO"), "N/A")</f>
        <v>N/A</v>
      </c>
      <c r="AB49" s="35" t="str">
        <f>IF('BASIC INFO'!$B$6+6574.5&gt;C49, "YES", "NO")</f>
        <v>YES</v>
      </c>
    </row>
    <row r="50" spans="1:28" x14ac:dyDescent="0.25">
      <c r="A50" s="35" t="str">
        <f>IF('CASE DATA'!A51="","z",'CASE DATA'!A51)</f>
        <v>z</v>
      </c>
      <c r="B50" s="66" t="str">
        <f>IF('CASE DATA'!A51="","",'CASE DATA'!E51)</f>
        <v/>
      </c>
      <c r="C50" s="36">
        <f>'CASE DATA'!D51</f>
        <v>0</v>
      </c>
      <c r="D50" s="37" t="str">
        <f>IF('CASE DATA'!I51="YES",SUM('CASE DATA'!K51:Q51),"n/a")</f>
        <v>n/a</v>
      </c>
      <c r="E50" s="38" t="str">
        <f>IF('CASE DATA'!G51="JUV", "YES", "NO")</f>
        <v>NO</v>
      </c>
      <c r="F50" s="38" t="str">
        <f t="array" ref="F50">IF(E50="YES",IF(SUM(COUNTIF('CASE DATA'!$G$4:$G$200, {"GTR","GPL","DEF","JUV"}))&gt;0, "YES","NO"),"N/A")</f>
        <v>N/A</v>
      </c>
      <c r="G50" s="38" t="str">
        <f>IF(E50="YES",IF(COUNTIF('CASE DATA'!$D$4:$D$200, "")-COUNTIF('CASE DATA'!$A$4:$A$200, "")&gt;0, "YES","NO"),"N/A")</f>
        <v>N/A</v>
      </c>
      <c r="H50" s="35" t="str">
        <f>_xlfn.IFS(E50="NO", "N/A", AND('BASIC INFO'!$B$3&gt;'BASIC INFO'!$B$6+6574.5, C50+730.5&lt;'BASIC INFO'!$B$3), "YES", 'BASIC INFO'!$B$3&lt;('BASIC INFO'!$B$6+6574.5), "NOT YET 18", C50+730.5&gt;'BASIC INFO'!$B$3, "NOT YET 2 YEARS")</f>
        <v>N/A</v>
      </c>
      <c r="I50" s="39" t="str">
        <f>IF(OR(AND(LEFT('CASE DATA'!F51,4)="321.",MID('CASE DATA'!A51,8,2)="SM"),MID('CASE DATA'!A51,8,2)="ST",MID('CASE DATA'!A51,8,2)="NT"),"TRAFFIC",IF(OR('CASE DATA'!G51="DISM", 'CASE DATA'!G51="ACQ", 'CASE DATA'!G51="NOTF", 'CASE DATA'!G51="WTHD", 'CASE DATA'!G51="TNSF"), "YES", "NO"))</f>
        <v>NO</v>
      </c>
      <c r="J50" s="40" t="str">
        <f>IF(I50="YES",'CASE DATA'!U51,"N/A")</f>
        <v>N/A</v>
      </c>
      <c r="K50" s="40" t="str">
        <f>IF(I50="YES",SOL!C51+SOL!D51,"N/A")</f>
        <v>N/A</v>
      </c>
      <c r="L50" s="35" t="str">
        <f>IF(I50="YES",IF(C50+180&lt;'BASIC INFO'!$B$3, "YES", "NO"),"N/A")</f>
        <v>N/A</v>
      </c>
      <c r="M50" s="40" t="str">
        <f t="array" ref="M50">IF(I50="TRAFFIC","n/a",IF(OR('CASE DATA'!G51="GTR", 'CASE DATA'!G51="GPL"),IF(SUM(COUNTIF('CASE DATA'!X51:AI51, 'CODE SECTIONS'!$V$2:$V$218&amp;"*"))&gt;0,"NO","YES"),"n/a"))</f>
        <v>n/a</v>
      </c>
      <c r="N50" s="40" t="str">
        <f t="array" ref="N50">IF(M50="YES",IF(OR((SUM(COUNTIF('CASE DATA'!X51:AI51,'CODE SECTIONS'!$X$2:$X$19&amp;"*"))&gt;0),LEFT('CASE DATA'!X51:AI51,4)="717C", LEFT('CASE DATA'!X51:AI51, 3)="719", LEFT('CASE DATA'!X51:AI51,3)="720", LEFT('CASE DATA'!X51:AI51,3)="724", LEFT('CASE DATA'!X51:AI51,3)="726", LEFT('CASE DATA'!X51:AI51,3)="728", LEFT('CASE DATA'!X51:AI51,4)="901A"), "ineligible misd","eligible"),"n/a")</f>
        <v>n/a</v>
      </c>
      <c r="O50" s="40" t="str">
        <f>IF(N50="eligible",IF(COUNTIF('CASE DATA'!$D$4:$D$200, "")-COUNTIF('CASE DATA'!$A$4:$A$200, "")&gt;0, "YES","NO"),"N/A")</f>
        <v>N/A</v>
      </c>
      <c r="P50" s="40" t="str">
        <f>IF(N50="eligible",BANKRUPTCY!C51+BANKRUPTCY!D51,"N/A")</f>
        <v>N/A</v>
      </c>
      <c r="Q50" s="40" t="str">
        <f>IF(N50="eligible",SOL!C51+SOL!D51,"N/A")</f>
        <v>N/A</v>
      </c>
      <c r="R50" s="40" t="str">
        <f>IF(N50="eligible",SUM('CASE DATA'!K51:T51),"N/A")</f>
        <v>N/A</v>
      </c>
      <c r="S50" s="40" t="str">
        <f>IF(N50="eligible",IF(C50+2920&lt;'BASIC INFO'!$B$3, "YES", "NO"),"N/A")</f>
        <v>N/A</v>
      </c>
      <c r="T50" s="39" t="str">
        <f>IF(OR('CASE DATA'!G51="DEF"), "YES", "NO")</f>
        <v>NO</v>
      </c>
      <c r="U50" s="35" t="str">
        <f>IF(T50="YES",'CASE DATA'!I51,"N/A")</f>
        <v>N/A</v>
      </c>
      <c r="V50" s="40" t="str">
        <f>IF(T50="YES",BANKRUPTCY!C51+BANKRUPTCY!D51,"N/A")</f>
        <v>N/A</v>
      </c>
      <c r="W50" s="40" t="str">
        <f>IF(T50="YES",SUM('CASE DATA'!K51:T51),"N/A")</f>
        <v>N/A</v>
      </c>
      <c r="X50" s="35" t="str">
        <f>IF(OR('CASE DATA'!F51="123.46",'CASE DATA'!F51="123.47"),"YES","NO")</f>
        <v>NO</v>
      </c>
      <c r="Y50" s="40" t="str">
        <f>IF(X50="YES",IF(C50+730.5&lt;'BASIC INFO'!$B$3, "YES","NO"), "N/A")</f>
        <v>N/A</v>
      </c>
      <c r="Z50" s="35" t="str">
        <f>IF('CASE DATA'!F51="725.1","YES","NO")</f>
        <v>NO</v>
      </c>
      <c r="AA50" s="35" t="str">
        <f>IF(Z50="YES",IF(C50+730.5&lt;'BASIC INFO'!$B$3, "YES","NO"), "N/A")</f>
        <v>N/A</v>
      </c>
      <c r="AB50" s="35" t="str">
        <f>IF('BASIC INFO'!$B$6+6574.5&gt;C50, "YES", "NO")</f>
        <v>YES</v>
      </c>
    </row>
    <row r="51" spans="1:28" x14ac:dyDescent="0.25">
      <c r="A51" s="35" t="str">
        <f>IF('CASE DATA'!A52="","z",'CASE DATA'!A52)</f>
        <v>z</v>
      </c>
      <c r="B51" s="66" t="str">
        <f>IF('CASE DATA'!A52="","",'CASE DATA'!E52)</f>
        <v/>
      </c>
      <c r="C51" s="36">
        <f>'CASE DATA'!D52</f>
        <v>0</v>
      </c>
      <c r="D51" s="37" t="str">
        <f>IF('CASE DATA'!I52="YES",SUM('CASE DATA'!K52:Q52),"n/a")</f>
        <v>n/a</v>
      </c>
      <c r="E51" s="38" t="str">
        <f>IF('CASE DATA'!G52="JUV", "YES", "NO")</f>
        <v>NO</v>
      </c>
      <c r="F51" s="38" t="str">
        <f t="array" ref="F51">IF(E51="YES",IF(SUM(COUNTIF('CASE DATA'!$G$4:$G$200, {"GTR","GPL","DEF","JUV"}))&gt;0, "YES","NO"),"N/A")</f>
        <v>N/A</v>
      </c>
      <c r="G51" s="38" t="str">
        <f>IF(E51="YES",IF(COUNTIF('CASE DATA'!$D$4:$D$200, "")-COUNTIF('CASE DATA'!$A$4:$A$200, "")&gt;0, "YES","NO"),"N/A")</f>
        <v>N/A</v>
      </c>
      <c r="H51" s="35" t="str">
        <f>_xlfn.IFS(E51="NO", "N/A", AND('BASIC INFO'!$B$3&gt;'BASIC INFO'!$B$6+6574.5, C51+730.5&lt;'BASIC INFO'!$B$3), "YES", 'BASIC INFO'!$B$3&lt;('BASIC INFO'!$B$6+6574.5), "NOT YET 18", C51+730.5&gt;'BASIC INFO'!$B$3, "NOT YET 2 YEARS")</f>
        <v>N/A</v>
      </c>
      <c r="I51" s="39" t="str">
        <f>IF(OR(AND(LEFT('CASE DATA'!F52,4)="321.",MID('CASE DATA'!A52,8,2)="SM"),MID('CASE DATA'!A52,8,2)="ST",MID('CASE DATA'!A52,8,2)="NT"),"TRAFFIC",IF(OR('CASE DATA'!G52="DISM", 'CASE DATA'!G52="ACQ", 'CASE DATA'!G52="NOTF", 'CASE DATA'!G52="WTHD", 'CASE DATA'!G52="TNSF"), "YES", "NO"))</f>
        <v>NO</v>
      </c>
      <c r="J51" s="40" t="str">
        <f>IF(I51="YES",'CASE DATA'!U52,"N/A")</f>
        <v>N/A</v>
      </c>
      <c r="K51" s="40" t="str">
        <f>IF(I51="YES",SOL!C52+SOL!D52,"N/A")</f>
        <v>N/A</v>
      </c>
      <c r="L51" s="35" t="str">
        <f>IF(I51="YES",IF(C51+180&lt;'BASIC INFO'!$B$3, "YES", "NO"),"N/A")</f>
        <v>N/A</v>
      </c>
      <c r="M51" s="40" t="str">
        <f t="array" ref="M51">IF(I51="TRAFFIC","n/a",IF(OR('CASE DATA'!G52="GTR", 'CASE DATA'!G52="GPL"),IF(SUM(COUNTIF('CASE DATA'!X52:AI52, 'CODE SECTIONS'!$V$2:$V$218&amp;"*"))&gt;0,"NO","YES"),"n/a"))</f>
        <v>n/a</v>
      </c>
      <c r="N51" s="40" t="str">
        <f t="array" ref="N51">IF(M51="YES",IF(OR((SUM(COUNTIF('CASE DATA'!X52:AI52,'CODE SECTIONS'!$X$2:$X$19&amp;"*"))&gt;0),LEFT('CASE DATA'!X52:AI52,4)="717C", LEFT('CASE DATA'!X52:AI52, 3)="719", LEFT('CASE DATA'!X52:AI52,3)="720", LEFT('CASE DATA'!X52:AI52,3)="724", LEFT('CASE DATA'!X52:AI52,3)="726", LEFT('CASE DATA'!X52:AI52,3)="728", LEFT('CASE DATA'!X52:AI52,4)="901A"), "ineligible misd","eligible"),"n/a")</f>
        <v>n/a</v>
      </c>
      <c r="O51" s="40" t="str">
        <f>IF(N51="eligible",IF(COUNTIF('CASE DATA'!$D$4:$D$200, "")-COUNTIF('CASE DATA'!$A$4:$A$200, "")&gt;0, "YES","NO"),"N/A")</f>
        <v>N/A</v>
      </c>
      <c r="P51" s="40" t="str">
        <f>IF(N51="eligible",BANKRUPTCY!C52+BANKRUPTCY!D52,"N/A")</f>
        <v>N/A</v>
      </c>
      <c r="Q51" s="40" t="str">
        <f>IF(N51="eligible",SOL!C52+SOL!D52,"N/A")</f>
        <v>N/A</v>
      </c>
      <c r="R51" s="40" t="str">
        <f>IF(N51="eligible",SUM('CASE DATA'!K52:T52),"N/A")</f>
        <v>N/A</v>
      </c>
      <c r="S51" s="40" t="str">
        <f>IF(N51="eligible",IF(C51+2920&lt;'BASIC INFO'!$B$3, "YES", "NO"),"N/A")</f>
        <v>N/A</v>
      </c>
      <c r="T51" s="39" t="str">
        <f>IF(OR('CASE DATA'!G52="DEF"), "YES", "NO")</f>
        <v>NO</v>
      </c>
      <c r="U51" s="35" t="str">
        <f>IF(T51="YES",'CASE DATA'!I52,"N/A")</f>
        <v>N/A</v>
      </c>
      <c r="V51" s="40" t="str">
        <f>IF(T51="YES",BANKRUPTCY!C52+BANKRUPTCY!D52,"N/A")</f>
        <v>N/A</v>
      </c>
      <c r="W51" s="40" t="str">
        <f>IF(T51="YES",SUM('CASE DATA'!K52:T52),"N/A")</f>
        <v>N/A</v>
      </c>
      <c r="X51" s="35" t="str">
        <f>IF(OR('CASE DATA'!F52="123.46",'CASE DATA'!F52="123.47"),"YES","NO")</f>
        <v>NO</v>
      </c>
      <c r="Y51" s="40" t="str">
        <f>IF(X51="YES",IF(C51+730.5&lt;'BASIC INFO'!$B$3, "YES","NO"), "N/A")</f>
        <v>N/A</v>
      </c>
      <c r="Z51" s="35" t="str">
        <f>IF('CASE DATA'!F52="725.1","YES","NO")</f>
        <v>NO</v>
      </c>
      <c r="AA51" s="35" t="str">
        <f>IF(Z51="YES",IF(C51+730.5&lt;'BASIC INFO'!$B$3, "YES","NO"), "N/A")</f>
        <v>N/A</v>
      </c>
      <c r="AB51" s="35" t="str">
        <f>IF('BASIC INFO'!$B$6+6574.5&gt;C51, "YES", "NO")</f>
        <v>YES</v>
      </c>
    </row>
    <row r="52" spans="1:28" x14ac:dyDescent="0.25">
      <c r="A52" s="35" t="str">
        <f>IF('CASE DATA'!A53="","z",'CASE DATA'!A53)</f>
        <v>z</v>
      </c>
      <c r="B52" s="66" t="str">
        <f>IF('CASE DATA'!A53="","",'CASE DATA'!E53)</f>
        <v/>
      </c>
      <c r="C52" s="36">
        <f>'CASE DATA'!D53</f>
        <v>0</v>
      </c>
      <c r="D52" s="37" t="str">
        <f>IF('CASE DATA'!I53="YES",SUM('CASE DATA'!K53:Q53),"n/a")</f>
        <v>n/a</v>
      </c>
      <c r="E52" s="38" t="str">
        <f>IF('CASE DATA'!G53="JUV", "YES", "NO")</f>
        <v>NO</v>
      </c>
      <c r="F52" s="38" t="str">
        <f t="array" ref="F52">IF(E52="YES",IF(SUM(COUNTIF('CASE DATA'!$G$4:$G$200, {"GTR","GPL","DEF","JUV"}))&gt;0, "YES","NO"),"N/A")</f>
        <v>N/A</v>
      </c>
      <c r="G52" s="38" t="str">
        <f>IF(E52="YES",IF(COUNTIF('CASE DATA'!$D$4:$D$200, "")-COUNTIF('CASE DATA'!$A$4:$A$200, "")&gt;0, "YES","NO"),"N/A")</f>
        <v>N/A</v>
      </c>
      <c r="H52" s="35" t="str">
        <f>_xlfn.IFS(E52="NO", "N/A", AND('BASIC INFO'!$B$3&gt;'BASIC INFO'!$B$6+6574.5, C52+730.5&lt;'BASIC INFO'!$B$3), "YES", 'BASIC INFO'!$B$3&lt;('BASIC INFO'!$B$6+6574.5), "NOT YET 18", C52+730.5&gt;'BASIC INFO'!$B$3, "NOT YET 2 YEARS")</f>
        <v>N/A</v>
      </c>
      <c r="I52" s="39" t="str">
        <f>IF(OR(AND(LEFT('CASE DATA'!F53,4)="321.",MID('CASE DATA'!A53,8,2)="SM"),MID('CASE DATA'!A53,8,2)="ST",MID('CASE DATA'!A53,8,2)="NT"),"TRAFFIC",IF(OR('CASE DATA'!G53="DISM", 'CASE DATA'!G53="ACQ", 'CASE DATA'!G53="NOTF", 'CASE DATA'!G53="WTHD", 'CASE DATA'!G53="TNSF"), "YES", "NO"))</f>
        <v>NO</v>
      </c>
      <c r="J52" s="40" t="str">
        <f>IF(I52="YES",'CASE DATA'!U53,"N/A")</f>
        <v>N/A</v>
      </c>
      <c r="K52" s="40" t="str">
        <f>IF(I52="YES",SOL!C53+SOL!D53,"N/A")</f>
        <v>N/A</v>
      </c>
      <c r="L52" s="35" t="str">
        <f>IF(I52="YES",IF(C52+180&lt;'BASIC INFO'!$B$3, "YES", "NO"),"N/A")</f>
        <v>N/A</v>
      </c>
      <c r="M52" s="40" t="str">
        <f t="array" ref="M52">IF(I52="TRAFFIC","n/a",IF(OR('CASE DATA'!G53="GTR", 'CASE DATA'!G53="GPL"),IF(SUM(COUNTIF('CASE DATA'!X53:AI53, 'CODE SECTIONS'!$V$2:$V$218&amp;"*"))&gt;0,"NO","YES"),"n/a"))</f>
        <v>n/a</v>
      </c>
      <c r="N52" s="40" t="str">
        <f t="array" ref="N52">IF(M52="YES",IF(OR((SUM(COUNTIF('CASE DATA'!X53:AI53,'CODE SECTIONS'!$X$2:$X$19&amp;"*"))&gt;0),LEFT('CASE DATA'!X53:AI53,4)="717C", LEFT('CASE DATA'!X53:AI53, 3)="719", LEFT('CASE DATA'!X53:AI53,3)="720", LEFT('CASE DATA'!X53:AI53,3)="724", LEFT('CASE DATA'!X53:AI53,3)="726", LEFT('CASE DATA'!X53:AI53,3)="728", LEFT('CASE DATA'!X53:AI53,4)="901A"), "ineligible misd","eligible"),"n/a")</f>
        <v>n/a</v>
      </c>
      <c r="O52" s="40" t="str">
        <f>IF(N52="eligible",IF(COUNTIF('CASE DATA'!$D$4:$D$200, "")-COUNTIF('CASE DATA'!$A$4:$A$200, "")&gt;0, "YES","NO"),"N/A")</f>
        <v>N/A</v>
      </c>
      <c r="P52" s="40" t="str">
        <f>IF(N52="eligible",BANKRUPTCY!C53+BANKRUPTCY!D53,"N/A")</f>
        <v>N/A</v>
      </c>
      <c r="Q52" s="40" t="str">
        <f>IF(N52="eligible",SOL!C53+SOL!D53,"N/A")</f>
        <v>N/A</v>
      </c>
      <c r="R52" s="40" t="str">
        <f>IF(N52="eligible",SUM('CASE DATA'!K53:T53),"N/A")</f>
        <v>N/A</v>
      </c>
      <c r="S52" s="40" t="str">
        <f>IF(N52="eligible",IF(C52+2920&lt;'BASIC INFO'!$B$3, "YES", "NO"),"N/A")</f>
        <v>N/A</v>
      </c>
      <c r="T52" s="39" t="str">
        <f>IF(OR('CASE DATA'!G53="DEF"), "YES", "NO")</f>
        <v>NO</v>
      </c>
      <c r="U52" s="35" t="str">
        <f>IF(T52="YES",'CASE DATA'!I53,"N/A")</f>
        <v>N/A</v>
      </c>
      <c r="V52" s="40" t="str">
        <f>IF(T52="YES",BANKRUPTCY!C53+BANKRUPTCY!D53,"N/A")</f>
        <v>N/A</v>
      </c>
      <c r="W52" s="40" t="str">
        <f>IF(T52="YES",SUM('CASE DATA'!K53:T53),"N/A")</f>
        <v>N/A</v>
      </c>
      <c r="X52" s="35" t="str">
        <f>IF(OR('CASE DATA'!F53="123.46",'CASE DATA'!F53="123.47"),"YES","NO")</f>
        <v>NO</v>
      </c>
      <c r="Y52" s="40" t="str">
        <f>IF(X52="YES",IF(C52+730.5&lt;'BASIC INFO'!$B$3, "YES","NO"), "N/A")</f>
        <v>N/A</v>
      </c>
      <c r="Z52" s="35" t="str">
        <f>IF('CASE DATA'!F53="725.1","YES","NO")</f>
        <v>NO</v>
      </c>
      <c r="AA52" s="35" t="str">
        <f>IF(Z52="YES",IF(C52+730.5&lt;'BASIC INFO'!$B$3, "YES","NO"), "N/A")</f>
        <v>N/A</v>
      </c>
      <c r="AB52" s="35" t="str">
        <f>IF('BASIC INFO'!$B$6+6574.5&gt;C52, "YES", "NO")</f>
        <v>YES</v>
      </c>
    </row>
    <row r="53" spans="1:28" x14ac:dyDescent="0.25">
      <c r="A53" s="35" t="str">
        <f>IF('CASE DATA'!A54="","z",'CASE DATA'!A54)</f>
        <v>z</v>
      </c>
      <c r="B53" s="66" t="str">
        <f>IF('CASE DATA'!A54="","",'CASE DATA'!E54)</f>
        <v/>
      </c>
      <c r="C53" s="36">
        <f>'CASE DATA'!D54</f>
        <v>0</v>
      </c>
      <c r="D53" s="37" t="str">
        <f>IF('CASE DATA'!I54="YES",SUM('CASE DATA'!K54:Q54),"n/a")</f>
        <v>n/a</v>
      </c>
      <c r="E53" s="38" t="str">
        <f>IF('CASE DATA'!G54="JUV", "YES", "NO")</f>
        <v>NO</v>
      </c>
      <c r="F53" s="38" t="str">
        <f t="array" ref="F53">IF(E53="YES",IF(SUM(COUNTIF('CASE DATA'!$G$4:$G$200, {"GTR","GPL","DEF","JUV"}))&gt;0, "YES","NO"),"N/A")</f>
        <v>N/A</v>
      </c>
      <c r="G53" s="38" t="str">
        <f>IF(E53="YES",IF(COUNTIF('CASE DATA'!$D$4:$D$200, "")-COUNTIF('CASE DATA'!$A$4:$A$200, "")&gt;0, "YES","NO"),"N/A")</f>
        <v>N/A</v>
      </c>
      <c r="H53" s="35" t="str">
        <f>_xlfn.IFS(E53="NO", "N/A", AND('BASIC INFO'!$B$3&gt;'BASIC INFO'!$B$6+6574.5, C53+730.5&lt;'BASIC INFO'!$B$3), "YES", 'BASIC INFO'!$B$3&lt;('BASIC INFO'!$B$6+6574.5), "NOT YET 18", C53+730.5&gt;'BASIC INFO'!$B$3, "NOT YET 2 YEARS")</f>
        <v>N/A</v>
      </c>
      <c r="I53" s="39" t="str">
        <f>IF(OR(AND(LEFT('CASE DATA'!F54,4)="321.",MID('CASE DATA'!A54,8,2)="SM"),MID('CASE DATA'!A54,8,2)="ST",MID('CASE DATA'!A54,8,2)="NT"),"TRAFFIC",IF(OR('CASE DATA'!G54="DISM", 'CASE DATA'!G54="ACQ", 'CASE DATA'!G54="NOTF", 'CASE DATA'!G54="WTHD", 'CASE DATA'!G54="TNSF"), "YES", "NO"))</f>
        <v>NO</v>
      </c>
      <c r="J53" s="40" t="str">
        <f>IF(I53="YES",'CASE DATA'!U54,"N/A")</f>
        <v>N/A</v>
      </c>
      <c r="K53" s="40" t="str">
        <f>IF(I53="YES",SOL!C54+SOL!D54,"N/A")</f>
        <v>N/A</v>
      </c>
      <c r="L53" s="35" t="str">
        <f>IF(I53="YES",IF(C53+180&lt;'BASIC INFO'!$B$3, "YES", "NO"),"N/A")</f>
        <v>N/A</v>
      </c>
      <c r="M53" s="40" t="str">
        <f t="array" ref="M53">IF(I53="TRAFFIC","n/a",IF(OR('CASE DATA'!G54="GTR", 'CASE DATA'!G54="GPL"),IF(SUM(COUNTIF('CASE DATA'!X54:AI54, 'CODE SECTIONS'!$V$2:$V$218&amp;"*"))&gt;0,"NO","YES"),"n/a"))</f>
        <v>n/a</v>
      </c>
      <c r="N53" s="40" t="str">
        <f t="array" ref="N53">IF(M53="YES",IF(OR((SUM(COUNTIF('CASE DATA'!X54:AI54,'CODE SECTIONS'!$X$2:$X$19&amp;"*"))&gt;0),LEFT('CASE DATA'!X54:AI54,4)="717C", LEFT('CASE DATA'!X54:AI54, 3)="719", LEFT('CASE DATA'!X54:AI54,3)="720", LEFT('CASE DATA'!X54:AI54,3)="724", LEFT('CASE DATA'!X54:AI54,3)="726", LEFT('CASE DATA'!X54:AI54,3)="728", LEFT('CASE DATA'!X54:AI54,4)="901A"), "ineligible misd","eligible"),"n/a")</f>
        <v>n/a</v>
      </c>
      <c r="O53" s="40" t="str">
        <f>IF(N53="eligible",IF(COUNTIF('CASE DATA'!$D$4:$D$200, "")-COUNTIF('CASE DATA'!$A$4:$A$200, "")&gt;0, "YES","NO"),"N/A")</f>
        <v>N/A</v>
      </c>
      <c r="P53" s="40" t="str">
        <f>IF(N53="eligible",BANKRUPTCY!C54+BANKRUPTCY!D54,"N/A")</f>
        <v>N/A</v>
      </c>
      <c r="Q53" s="40" t="str">
        <f>IF(N53="eligible",SOL!C54+SOL!D54,"N/A")</f>
        <v>N/A</v>
      </c>
      <c r="R53" s="40" t="str">
        <f>IF(N53="eligible",SUM('CASE DATA'!K54:T54),"N/A")</f>
        <v>N/A</v>
      </c>
      <c r="S53" s="40" t="str">
        <f>IF(N53="eligible",IF(C53+2920&lt;'BASIC INFO'!$B$3, "YES", "NO"),"N/A")</f>
        <v>N/A</v>
      </c>
      <c r="T53" s="39" t="str">
        <f>IF(OR('CASE DATA'!G54="DEF"), "YES", "NO")</f>
        <v>NO</v>
      </c>
      <c r="U53" s="35" t="str">
        <f>IF(T53="YES",'CASE DATA'!I54,"N/A")</f>
        <v>N/A</v>
      </c>
      <c r="V53" s="40" t="str">
        <f>IF(T53="YES",BANKRUPTCY!C54+BANKRUPTCY!D54,"N/A")</f>
        <v>N/A</v>
      </c>
      <c r="W53" s="40" t="str">
        <f>IF(T53="YES",SUM('CASE DATA'!K54:T54),"N/A")</f>
        <v>N/A</v>
      </c>
      <c r="X53" s="35" t="str">
        <f>IF(OR('CASE DATA'!F54="123.46",'CASE DATA'!F54="123.47"),"YES","NO")</f>
        <v>NO</v>
      </c>
      <c r="Y53" s="40" t="str">
        <f>IF(X53="YES",IF(C53+730.5&lt;'BASIC INFO'!$B$3, "YES","NO"), "N/A")</f>
        <v>N/A</v>
      </c>
      <c r="Z53" s="35" t="str">
        <f>IF('CASE DATA'!F54="725.1","YES","NO")</f>
        <v>NO</v>
      </c>
      <c r="AA53" s="35" t="str">
        <f>IF(Z53="YES",IF(C53+730.5&lt;'BASIC INFO'!$B$3, "YES","NO"), "N/A")</f>
        <v>N/A</v>
      </c>
      <c r="AB53" s="35" t="str">
        <f>IF('BASIC INFO'!$B$6+6574.5&gt;C53, "YES", "NO")</f>
        <v>YES</v>
      </c>
    </row>
    <row r="54" spans="1:28" x14ac:dyDescent="0.25">
      <c r="A54" s="35" t="str">
        <f>IF('CASE DATA'!A55="","z",'CASE DATA'!A55)</f>
        <v>z</v>
      </c>
      <c r="B54" s="66" t="str">
        <f>IF('CASE DATA'!A55="","",'CASE DATA'!E55)</f>
        <v/>
      </c>
      <c r="C54" s="36">
        <f>'CASE DATA'!D55</f>
        <v>0</v>
      </c>
      <c r="D54" s="37" t="str">
        <f>IF('CASE DATA'!I55="YES",SUM('CASE DATA'!K55:Q55),"n/a")</f>
        <v>n/a</v>
      </c>
      <c r="E54" s="38" t="str">
        <f>IF('CASE DATA'!G55="JUV", "YES", "NO")</f>
        <v>NO</v>
      </c>
      <c r="F54" s="38" t="str">
        <f t="array" ref="F54">IF(E54="YES",IF(SUM(COUNTIF('CASE DATA'!$G$4:$G$200, {"GTR","GPL","DEF","JUV"}))&gt;0, "YES","NO"),"N/A")</f>
        <v>N/A</v>
      </c>
      <c r="G54" s="38" t="str">
        <f>IF(E54="YES",IF(COUNTIF('CASE DATA'!$D$4:$D$200, "")-COUNTIF('CASE DATA'!$A$4:$A$200, "")&gt;0, "YES","NO"),"N/A")</f>
        <v>N/A</v>
      </c>
      <c r="H54" s="35" t="str">
        <f>_xlfn.IFS(E54="NO", "N/A", AND('BASIC INFO'!$B$3&gt;'BASIC INFO'!$B$6+6574.5, C54+730.5&lt;'BASIC INFO'!$B$3), "YES", 'BASIC INFO'!$B$3&lt;('BASIC INFO'!$B$6+6574.5), "NOT YET 18", C54+730.5&gt;'BASIC INFO'!$B$3, "NOT YET 2 YEARS")</f>
        <v>N/A</v>
      </c>
      <c r="I54" s="39" t="str">
        <f>IF(OR(AND(LEFT('CASE DATA'!F55,4)="321.",MID('CASE DATA'!A55,8,2)="SM"),MID('CASE DATA'!A55,8,2)="ST",MID('CASE DATA'!A55,8,2)="NT"),"TRAFFIC",IF(OR('CASE DATA'!G55="DISM", 'CASE DATA'!G55="ACQ", 'CASE DATA'!G55="NOTF", 'CASE DATA'!G55="WTHD", 'CASE DATA'!G55="TNSF"), "YES", "NO"))</f>
        <v>NO</v>
      </c>
      <c r="J54" s="40" t="str">
        <f>IF(I54="YES",'CASE DATA'!U55,"N/A")</f>
        <v>N/A</v>
      </c>
      <c r="K54" s="40" t="str">
        <f>IF(I54="YES",SOL!C55+SOL!D55,"N/A")</f>
        <v>N/A</v>
      </c>
      <c r="L54" s="35" t="str">
        <f>IF(I54="YES",IF(C54+180&lt;'BASIC INFO'!$B$3, "YES", "NO"),"N/A")</f>
        <v>N/A</v>
      </c>
      <c r="M54" s="40" t="str">
        <f t="array" ref="M54">IF(I54="TRAFFIC","n/a",IF(OR('CASE DATA'!G55="GTR", 'CASE DATA'!G55="GPL"),IF(SUM(COUNTIF('CASE DATA'!X55:AI55, 'CODE SECTIONS'!$V$2:$V$218&amp;"*"))&gt;0,"NO","YES"),"n/a"))</f>
        <v>n/a</v>
      </c>
      <c r="N54" s="40" t="str">
        <f t="array" ref="N54">IF(M54="YES",IF(OR((SUM(COUNTIF('CASE DATA'!X55:AI55,'CODE SECTIONS'!$X$2:$X$19&amp;"*"))&gt;0),LEFT('CASE DATA'!X55:AI55,4)="717C", LEFT('CASE DATA'!X55:AI55, 3)="719", LEFT('CASE DATA'!X55:AI55,3)="720", LEFT('CASE DATA'!X55:AI55,3)="724", LEFT('CASE DATA'!X55:AI55,3)="726", LEFT('CASE DATA'!X55:AI55,3)="728", LEFT('CASE DATA'!X55:AI55,4)="901A"), "ineligible misd","eligible"),"n/a")</f>
        <v>n/a</v>
      </c>
      <c r="O54" s="40" t="str">
        <f>IF(N54="eligible",IF(COUNTIF('CASE DATA'!$D$4:$D$200, "")-COUNTIF('CASE DATA'!$A$4:$A$200, "")&gt;0, "YES","NO"),"N/A")</f>
        <v>N/A</v>
      </c>
      <c r="P54" s="40" t="str">
        <f>IF(N54="eligible",BANKRUPTCY!C55+BANKRUPTCY!D55,"N/A")</f>
        <v>N/A</v>
      </c>
      <c r="Q54" s="40" t="str">
        <f>IF(N54="eligible",SOL!C55+SOL!D55,"N/A")</f>
        <v>N/A</v>
      </c>
      <c r="R54" s="40" t="str">
        <f>IF(N54="eligible",SUM('CASE DATA'!K55:T55),"N/A")</f>
        <v>N/A</v>
      </c>
      <c r="S54" s="40" t="str">
        <f>IF(N54="eligible",IF(C54+2920&lt;'BASIC INFO'!$B$3, "YES", "NO"),"N/A")</f>
        <v>N/A</v>
      </c>
      <c r="T54" s="39" t="str">
        <f>IF(OR('CASE DATA'!G55="DEF"), "YES", "NO")</f>
        <v>NO</v>
      </c>
      <c r="U54" s="35" t="str">
        <f>IF(T54="YES",'CASE DATA'!I55,"N/A")</f>
        <v>N/A</v>
      </c>
      <c r="V54" s="40" t="str">
        <f>IF(T54="YES",BANKRUPTCY!C55+BANKRUPTCY!D55,"N/A")</f>
        <v>N/A</v>
      </c>
      <c r="W54" s="40" t="str">
        <f>IF(T54="YES",SUM('CASE DATA'!K55:T55),"N/A")</f>
        <v>N/A</v>
      </c>
      <c r="X54" s="35" t="str">
        <f>IF(OR('CASE DATA'!F55="123.46",'CASE DATA'!F55="123.47"),"YES","NO")</f>
        <v>NO</v>
      </c>
      <c r="Y54" s="40" t="str">
        <f>IF(X54="YES",IF(C54+730.5&lt;'BASIC INFO'!$B$3, "YES","NO"), "N/A")</f>
        <v>N/A</v>
      </c>
      <c r="Z54" s="35" t="str">
        <f>IF('CASE DATA'!F55="725.1","YES","NO")</f>
        <v>NO</v>
      </c>
      <c r="AA54" s="35" t="str">
        <f>IF(Z54="YES",IF(C54+730.5&lt;'BASIC INFO'!$B$3, "YES","NO"), "N/A")</f>
        <v>N/A</v>
      </c>
      <c r="AB54" s="35" t="str">
        <f>IF('BASIC INFO'!$B$6+6574.5&gt;C54, "YES", "NO")</f>
        <v>YES</v>
      </c>
    </row>
    <row r="55" spans="1:28" x14ac:dyDescent="0.25">
      <c r="A55" s="35" t="str">
        <f>IF('CASE DATA'!A56="","z",'CASE DATA'!A56)</f>
        <v>z</v>
      </c>
      <c r="B55" s="66" t="str">
        <f>IF('CASE DATA'!A56="","",'CASE DATA'!E56)</f>
        <v/>
      </c>
      <c r="C55" s="36">
        <f>'CASE DATA'!D56</f>
        <v>0</v>
      </c>
      <c r="D55" s="37" t="str">
        <f>IF('CASE DATA'!I56="YES",SUM('CASE DATA'!K56:Q56),"n/a")</f>
        <v>n/a</v>
      </c>
      <c r="E55" s="38" t="str">
        <f>IF('CASE DATA'!G56="JUV", "YES", "NO")</f>
        <v>NO</v>
      </c>
      <c r="F55" s="38" t="str">
        <f t="array" ref="F55">IF(E55="YES",IF(SUM(COUNTIF('CASE DATA'!$G$4:$G$200, {"GTR","GPL","DEF","JUV"}))&gt;0, "YES","NO"),"N/A")</f>
        <v>N/A</v>
      </c>
      <c r="G55" s="38" t="str">
        <f>IF(E55="YES",IF(COUNTIF('CASE DATA'!$D$4:$D$200, "")-COUNTIF('CASE DATA'!$A$4:$A$200, "")&gt;0, "YES","NO"),"N/A")</f>
        <v>N/A</v>
      </c>
      <c r="H55" s="35" t="str">
        <f>_xlfn.IFS(E55="NO", "N/A", AND('BASIC INFO'!$B$3&gt;'BASIC INFO'!$B$6+6574.5, C55+730.5&lt;'BASIC INFO'!$B$3), "YES", 'BASIC INFO'!$B$3&lt;('BASIC INFO'!$B$6+6574.5), "NOT YET 18", C55+730.5&gt;'BASIC INFO'!$B$3, "NOT YET 2 YEARS")</f>
        <v>N/A</v>
      </c>
      <c r="I55" s="39" t="str">
        <f>IF(OR(AND(LEFT('CASE DATA'!F56,4)="321.",MID('CASE DATA'!A56,8,2)="SM"),MID('CASE DATA'!A56,8,2)="ST",MID('CASE DATA'!A56,8,2)="NT"),"TRAFFIC",IF(OR('CASE DATA'!G56="DISM", 'CASE DATA'!G56="ACQ", 'CASE DATA'!G56="NOTF", 'CASE DATA'!G56="WTHD", 'CASE DATA'!G56="TNSF"), "YES", "NO"))</f>
        <v>NO</v>
      </c>
      <c r="J55" s="40" t="str">
        <f>IF(I55="YES",'CASE DATA'!U56,"N/A")</f>
        <v>N/A</v>
      </c>
      <c r="K55" s="40" t="str">
        <f>IF(I55="YES",SOL!C56+SOL!D56,"N/A")</f>
        <v>N/A</v>
      </c>
      <c r="L55" s="35" t="str">
        <f>IF(I55="YES",IF(C55+180&lt;'BASIC INFO'!$B$3, "YES", "NO"),"N/A")</f>
        <v>N/A</v>
      </c>
      <c r="M55" s="40" t="str">
        <f t="array" ref="M55">IF(I55="TRAFFIC","n/a",IF(OR('CASE DATA'!G56="GTR", 'CASE DATA'!G56="GPL"),IF(SUM(COUNTIF('CASE DATA'!X56:AI56, 'CODE SECTIONS'!$V$2:$V$218&amp;"*"))&gt;0,"NO","YES"),"n/a"))</f>
        <v>n/a</v>
      </c>
      <c r="N55" s="40" t="str">
        <f t="array" ref="N55">IF(M55="YES",IF(OR((SUM(COUNTIF('CASE DATA'!X56:AI56,'CODE SECTIONS'!$X$2:$X$19&amp;"*"))&gt;0),LEFT('CASE DATA'!X56:AI56,4)="717C", LEFT('CASE DATA'!X56:AI56, 3)="719", LEFT('CASE DATA'!X56:AI56,3)="720", LEFT('CASE DATA'!X56:AI56,3)="724", LEFT('CASE DATA'!X56:AI56,3)="726", LEFT('CASE DATA'!X56:AI56,3)="728", LEFT('CASE DATA'!X56:AI56,4)="901A"), "ineligible misd","eligible"),"n/a")</f>
        <v>n/a</v>
      </c>
      <c r="O55" s="40" t="str">
        <f>IF(N55="eligible",IF(COUNTIF('CASE DATA'!$D$4:$D$200, "")-COUNTIF('CASE DATA'!$A$4:$A$200, "")&gt;0, "YES","NO"),"N/A")</f>
        <v>N/A</v>
      </c>
      <c r="P55" s="40" t="str">
        <f>IF(N55="eligible",BANKRUPTCY!C56+BANKRUPTCY!D56,"N/A")</f>
        <v>N/A</v>
      </c>
      <c r="Q55" s="40" t="str">
        <f>IF(N55="eligible",SOL!C56+SOL!D56,"N/A")</f>
        <v>N/A</v>
      </c>
      <c r="R55" s="40" t="str">
        <f>IF(N55="eligible",SUM('CASE DATA'!K56:T56),"N/A")</f>
        <v>N/A</v>
      </c>
      <c r="S55" s="40" t="str">
        <f>IF(N55="eligible",IF(C55+2920&lt;'BASIC INFO'!$B$3, "YES", "NO"),"N/A")</f>
        <v>N/A</v>
      </c>
      <c r="T55" s="39" t="str">
        <f>IF(OR('CASE DATA'!G56="DEF"), "YES", "NO")</f>
        <v>NO</v>
      </c>
      <c r="U55" s="35" t="str">
        <f>IF(T55="YES",'CASE DATA'!I56,"N/A")</f>
        <v>N/A</v>
      </c>
      <c r="V55" s="40" t="str">
        <f>IF(T55="YES",BANKRUPTCY!C56+BANKRUPTCY!D56,"N/A")</f>
        <v>N/A</v>
      </c>
      <c r="W55" s="40" t="str">
        <f>IF(T55="YES",SUM('CASE DATA'!K56:T56),"N/A")</f>
        <v>N/A</v>
      </c>
      <c r="X55" s="35" t="str">
        <f>IF(OR('CASE DATA'!F56="123.46",'CASE DATA'!F56="123.47"),"YES","NO")</f>
        <v>NO</v>
      </c>
      <c r="Y55" s="40" t="str">
        <f>IF(X55="YES",IF(C55+730.5&lt;'BASIC INFO'!$B$3, "YES","NO"), "N/A")</f>
        <v>N/A</v>
      </c>
      <c r="Z55" s="35" t="str">
        <f>IF('CASE DATA'!F56="725.1","YES","NO")</f>
        <v>NO</v>
      </c>
      <c r="AA55" s="35" t="str">
        <f>IF(Z55="YES",IF(C55+730.5&lt;'BASIC INFO'!$B$3, "YES","NO"), "N/A")</f>
        <v>N/A</v>
      </c>
      <c r="AB55" s="35" t="str">
        <f>IF('BASIC INFO'!$B$6+6574.5&gt;C55, "YES", "NO")</f>
        <v>YES</v>
      </c>
    </row>
    <row r="56" spans="1:28" x14ac:dyDescent="0.25">
      <c r="A56" s="35" t="str">
        <f>IF('CASE DATA'!A57="","z",'CASE DATA'!A57)</f>
        <v>z</v>
      </c>
      <c r="B56" s="66" t="str">
        <f>IF('CASE DATA'!A57="","",'CASE DATA'!E57)</f>
        <v/>
      </c>
      <c r="C56" s="36">
        <f>'CASE DATA'!D57</f>
        <v>0</v>
      </c>
      <c r="D56" s="37" t="str">
        <f>IF('CASE DATA'!I57="YES",SUM('CASE DATA'!K57:Q57),"n/a")</f>
        <v>n/a</v>
      </c>
      <c r="E56" s="38" t="str">
        <f>IF('CASE DATA'!G57="JUV", "YES", "NO")</f>
        <v>NO</v>
      </c>
      <c r="F56" s="38" t="str">
        <f t="array" ref="F56">IF(E56="YES",IF(SUM(COUNTIF('CASE DATA'!$G$4:$G$200, {"GTR","GPL","DEF","JUV"}))&gt;0, "YES","NO"),"N/A")</f>
        <v>N/A</v>
      </c>
      <c r="G56" s="38" t="str">
        <f>IF(E56="YES",IF(COUNTIF('CASE DATA'!$D$4:$D$200, "")-COUNTIF('CASE DATA'!$A$4:$A$200, "")&gt;0, "YES","NO"),"N/A")</f>
        <v>N/A</v>
      </c>
      <c r="H56" s="35" t="str">
        <f>_xlfn.IFS(E56="NO", "N/A", AND('BASIC INFO'!$B$3&gt;'BASIC INFO'!$B$6+6574.5, C56+730.5&lt;'BASIC INFO'!$B$3), "YES", 'BASIC INFO'!$B$3&lt;('BASIC INFO'!$B$6+6574.5), "NOT YET 18", C56+730.5&gt;'BASIC INFO'!$B$3, "NOT YET 2 YEARS")</f>
        <v>N/A</v>
      </c>
      <c r="I56" s="39" t="str">
        <f>IF(OR(AND(LEFT('CASE DATA'!F57,4)="321.",MID('CASE DATA'!A57,8,2)="SM"),MID('CASE DATA'!A57,8,2)="ST",MID('CASE DATA'!A57,8,2)="NT"),"TRAFFIC",IF(OR('CASE DATA'!G57="DISM", 'CASE DATA'!G57="ACQ", 'CASE DATA'!G57="NOTF", 'CASE DATA'!G57="WTHD", 'CASE DATA'!G57="TNSF"), "YES", "NO"))</f>
        <v>NO</v>
      </c>
      <c r="J56" s="40" t="str">
        <f>IF(I56="YES",'CASE DATA'!U57,"N/A")</f>
        <v>N/A</v>
      </c>
      <c r="K56" s="40" t="str">
        <f>IF(I56="YES",SOL!C57+SOL!D57,"N/A")</f>
        <v>N/A</v>
      </c>
      <c r="L56" s="35" t="str">
        <f>IF(I56="YES",IF(C56+180&lt;'BASIC INFO'!$B$3, "YES", "NO"),"N/A")</f>
        <v>N/A</v>
      </c>
      <c r="M56" s="40" t="str">
        <f t="array" ref="M56">IF(I56="TRAFFIC","n/a",IF(OR('CASE DATA'!G57="GTR", 'CASE DATA'!G57="GPL"),IF(SUM(COUNTIF('CASE DATA'!X57:AI57, 'CODE SECTIONS'!$V$2:$V$218&amp;"*"))&gt;0,"NO","YES"),"n/a"))</f>
        <v>n/a</v>
      </c>
      <c r="N56" s="40" t="str">
        <f t="array" ref="N56">IF(M56="YES",IF(OR((SUM(COUNTIF('CASE DATA'!X57:AI57,'CODE SECTIONS'!$X$2:$X$19&amp;"*"))&gt;0),LEFT('CASE DATA'!X57:AI57,4)="717C", LEFT('CASE DATA'!X57:AI57, 3)="719", LEFT('CASE DATA'!X57:AI57,3)="720", LEFT('CASE DATA'!X57:AI57,3)="724", LEFT('CASE DATA'!X57:AI57,3)="726", LEFT('CASE DATA'!X57:AI57,3)="728", LEFT('CASE DATA'!X57:AI57,4)="901A"), "ineligible misd","eligible"),"n/a")</f>
        <v>n/a</v>
      </c>
      <c r="O56" s="40" t="str">
        <f>IF(N56="eligible",IF(COUNTIF('CASE DATA'!$D$4:$D$200, "")-COUNTIF('CASE DATA'!$A$4:$A$200, "")&gt;0, "YES","NO"),"N/A")</f>
        <v>N/A</v>
      </c>
      <c r="P56" s="40" t="str">
        <f>IF(N56="eligible",BANKRUPTCY!C57+BANKRUPTCY!D57,"N/A")</f>
        <v>N/A</v>
      </c>
      <c r="Q56" s="40" t="str">
        <f>IF(N56="eligible",SOL!C57+SOL!D57,"N/A")</f>
        <v>N/A</v>
      </c>
      <c r="R56" s="40" t="str">
        <f>IF(N56="eligible",SUM('CASE DATA'!K57:T57),"N/A")</f>
        <v>N/A</v>
      </c>
      <c r="S56" s="40" t="str">
        <f>IF(N56="eligible",IF(C56+2920&lt;'BASIC INFO'!$B$3, "YES", "NO"),"N/A")</f>
        <v>N/A</v>
      </c>
      <c r="T56" s="39" t="str">
        <f>IF(OR('CASE DATA'!G57="DEF"), "YES", "NO")</f>
        <v>NO</v>
      </c>
      <c r="U56" s="35" t="str">
        <f>IF(T56="YES",'CASE DATA'!I57,"N/A")</f>
        <v>N/A</v>
      </c>
      <c r="V56" s="40" t="str">
        <f>IF(T56="YES",BANKRUPTCY!C57+BANKRUPTCY!D57,"N/A")</f>
        <v>N/A</v>
      </c>
      <c r="W56" s="40" t="str">
        <f>IF(T56="YES",SUM('CASE DATA'!K57:T57),"N/A")</f>
        <v>N/A</v>
      </c>
      <c r="X56" s="35" t="str">
        <f>IF(OR('CASE DATA'!F57="123.46",'CASE DATA'!F57="123.47"),"YES","NO")</f>
        <v>NO</v>
      </c>
      <c r="Y56" s="40" t="str">
        <f>IF(X56="YES",IF(C56+730.5&lt;'BASIC INFO'!$B$3, "YES","NO"), "N/A")</f>
        <v>N/A</v>
      </c>
      <c r="Z56" s="35" t="str">
        <f>IF('CASE DATA'!F57="725.1","YES","NO")</f>
        <v>NO</v>
      </c>
      <c r="AA56" s="35" t="str">
        <f>IF(Z56="YES",IF(C56+730.5&lt;'BASIC INFO'!$B$3, "YES","NO"), "N/A")</f>
        <v>N/A</v>
      </c>
      <c r="AB56" s="35" t="str">
        <f>IF('BASIC INFO'!$B$6+6574.5&gt;C56, "YES", "NO")</f>
        <v>YES</v>
      </c>
    </row>
    <row r="57" spans="1:28" x14ac:dyDescent="0.25">
      <c r="A57" s="35" t="str">
        <f>IF('CASE DATA'!A58="","z",'CASE DATA'!A58)</f>
        <v>z</v>
      </c>
      <c r="B57" s="66" t="str">
        <f>IF('CASE DATA'!A58="","",'CASE DATA'!E58)</f>
        <v/>
      </c>
      <c r="C57" s="36">
        <f>'CASE DATA'!D58</f>
        <v>0</v>
      </c>
      <c r="D57" s="37" t="str">
        <f>IF('CASE DATA'!I58="YES",SUM('CASE DATA'!K58:Q58),"n/a")</f>
        <v>n/a</v>
      </c>
      <c r="E57" s="38" t="str">
        <f>IF('CASE DATA'!G58="JUV", "YES", "NO")</f>
        <v>NO</v>
      </c>
      <c r="F57" s="38" t="str">
        <f t="array" ref="F57">IF(E57="YES",IF(SUM(COUNTIF('CASE DATA'!$G$4:$G$200, {"GTR","GPL","DEF","JUV"}))&gt;0, "YES","NO"),"N/A")</f>
        <v>N/A</v>
      </c>
      <c r="G57" s="38" t="str">
        <f>IF(E57="YES",IF(COUNTIF('CASE DATA'!$D$4:$D$200, "")-COUNTIF('CASE DATA'!$A$4:$A$200, "")&gt;0, "YES","NO"),"N/A")</f>
        <v>N/A</v>
      </c>
      <c r="H57" s="35" t="str">
        <f>_xlfn.IFS(E57="NO", "N/A", AND('BASIC INFO'!$B$3&gt;'BASIC INFO'!$B$6+6574.5, C57+730.5&lt;'BASIC INFO'!$B$3), "YES", 'BASIC INFO'!$B$3&lt;('BASIC INFO'!$B$6+6574.5), "NOT YET 18", C57+730.5&gt;'BASIC INFO'!$B$3, "NOT YET 2 YEARS")</f>
        <v>N/A</v>
      </c>
      <c r="I57" s="39" t="str">
        <f>IF(OR(AND(LEFT('CASE DATA'!F58,4)="321.",MID('CASE DATA'!A58,8,2)="SM"),MID('CASE DATA'!A58,8,2)="ST",MID('CASE DATA'!A58,8,2)="NT"),"TRAFFIC",IF(OR('CASE DATA'!G58="DISM", 'CASE DATA'!G58="ACQ", 'CASE DATA'!G58="NOTF", 'CASE DATA'!G58="WTHD", 'CASE DATA'!G58="TNSF"), "YES", "NO"))</f>
        <v>NO</v>
      </c>
      <c r="J57" s="40" t="str">
        <f>IF(I57="YES",'CASE DATA'!U58,"N/A")</f>
        <v>N/A</v>
      </c>
      <c r="K57" s="40" t="str">
        <f>IF(I57="YES",SOL!C58+SOL!D58,"N/A")</f>
        <v>N/A</v>
      </c>
      <c r="L57" s="35" t="str">
        <f>IF(I57="YES",IF(C57+180&lt;'BASIC INFO'!$B$3, "YES", "NO"),"N/A")</f>
        <v>N/A</v>
      </c>
      <c r="M57" s="40" t="str">
        <f t="array" ref="M57">IF(I57="TRAFFIC","n/a",IF(OR('CASE DATA'!G58="GTR", 'CASE DATA'!G58="GPL"),IF(SUM(COUNTIF('CASE DATA'!X58:AI58, 'CODE SECTIONS'!$V$2:$V$218&amp;"*"))&gt;0,"NO","YES"),"n/a"))</f>
        <v>n/a</v>
      </c>
      <c r="N57" s="40" t="str">
        <f t="array" ref="N57">IF(M57="YES",IF(OR((SUM(COUNTIF('CASE DATA'!X58:AI58,'CODE SECTIONS'!$X$2:$X$19&amp;"*"))&gt;0),LEFT('CASE DATA'!X58:AI58,4)="717C", LEFT('CASE DATA'!X58:AI58, 3)="719", LEFT('CASE DATA'!X58:AI58,3)="720", LEFT('CASE DATA'!X58:AI58,3)="724", LEFT('CASE DATA'!X58:AI58,3)="726", LEFT('CASE DATA'!X58:AI58,3)="728", LEFT('CASE DATA'!X58:AI58,4)="901A"), "ineligible misd","eligible"),"n/a")</f>
        <v>n/a</v>
      </c>
      <c r="O57" s="40" t="str">
        <f>IF(N57="eligible",IF(COUNTIF('CASE DATA'!$D$4:$D$200, "")-COUNTIF('CASE DATA'!$A$4:$A$200, "")&gt;0, "YES","NO"),"N/A")</f>
        <v>N/A</v>
      </c>
      <c r="P57" s="40" t="str">
        <f>IF(N57="eligible",BANKRUPTCY!C58+BANKRUPTCY!D58,"N/A")</f>
        <v>N/A</v>
      </c>
      <c r="Q57" s="40" t="str">
        <f>IF(N57="eligible",SOL!C58+SOL!D58,"N/A")</f>
        <v>N/A</v>
      </c>
      <c r="R57" s="40" t="str">
        <f>IF(N57="eligible",SUM('CASE DATA'!K58:T58),"N/A")</f>
        <v>N/A</v>
      </c>
      <c r="S57" s="40" t="str">
        <f>IF(N57="eligible",IF(C57+2920&lt;'BASIC INFO'!$B$3, "YES", "NO"),"N/A")</f>
        <v>N/A</v>
      </c>
      <c r="T57" s="39" t="str">
        <f>IF(OR('CASE DATA'!G58="DEF"), "YES", "NO")</f>
        <v>NO</v>
      </c>
      <c r="U57" s="35" t="str">
        <f>IF(T57="YES",'CASE DATA'!I58,"N/A")</f>
        <v>N/A</v>
      </c>
      <c r="V57" s="40" t="str">
        <f>IF(T57="YES",BANKRUPTCY!C58+BANKRUPTCY!D58,"N/A")</f>
        <v>N/A</v>
      </c>
      <c r="W57" s="40" t="str">
        <f>IF(T57="YES",SUM('CASE DATA'!K58:T58),"N/A")</f>
        <v>N/A</v>
      </c>
      <c r="X57" s="35" t="str">
        <f>IF(OR('CASE DATA'!F58="123.46",'CASE DATA'!F58="123.47"),"YES","NO")</f>
        <v>NO</v>
      </c>
      <c r="Y57" s="40" t="str">
        <f>IF(X57="YES",IF(C57+730.5&lt;'BASIC INFO'!$B$3, "YES","NO"), "N/A")</f>
        <v>N/A</v>
      </c>
      <c r="Z57" s="35" t="str">
        <f>IF('CASE DATA'!F58="725.1","YES","NO")</f>
        <v>NO</v>
      </c>
      <c r="AA57" s="35" t="str">
        <f>IF(Z57="YES",IF(C57+730.5&lt;'BASIC INFO'!$B$3, "YES","NO"), "N/A")</f>
        <v>N/A</v>
      </c>
      <c r="AB57" s="35" t="str">
        <f>IF('BASIC INFO'!$B$6+6574.5&gt;C57, "YES", "NO")</f>
        <v>YES</v>
      </c>
    </row>
    <row r="58" spans="1:28" x14ac:dyDescent="0.25">
      <c r="A58" s="35" t="str">
        <f>IF('CASE DATA'!A59="","z",'CASE DATA'!A59)</f>
        <v>z</v>
      </c>
      <c r="B58" s="66" t="str">
        <f>IF('CASE DATA'!A59="","",'CASE DATA'!E59)</f>
        <v/>
      </c>
      <c r="C58" s="36">
        <f>'CASE DATA'!D59</f>
        <v>0</v>
      </c>
      <c r="D58" s="37" t="str">
        <f>IF('CASE DATA'!I59="YES",SUM('CASE DATA'!K59:Q59),"n/a")</f>
        <v>n/a</v>
      </c>
      <c r="E58" s="38" t="str">
        <f>IF('CASE DATA'!G59="JUV", "YES", "NO")</f>
        <v>NO</v>
      </c>
      <c r="F58" s="38" t="str">
        <f t="array" ref="F58">IF(E58="YES",IF(SUM(COUNTIF('CASE DATA'!$G$4:$G$200, {"GTR","GPL","DEF","JUV"}))&gt;0, "YES","NO"),"N/A")</f>
        <v>N/A</v>
      </c>
      <c r="G58" s="38" t="str">
        <f>IF(E58="YES",IF(COUNTIF('CASE DATA'!$D$4:$D$200, "")-COUNTIF('CASE DATA'!$A$4:$A$200, "")&gt;0, "YES","NO"),"N/A")</f>
        <v>N/A</v>
      </c>
      <c r="H58" s="35" t="str">
        <f>_xlfn.IFS(E58="NO", "N/A", AND('BASIC INFO'!$B$3&gt;'BASIC INFO'!$B$6+6574.5, C58+730.5&lt;'BASIC INFO'!$B$3), "YES", 'BASIC INFO'!$B$3&lt;('BASIC INFO'!$B$6+6574.5), "NOT YET 18", C58+730.5&gt;'BASIC INFO'!$B$3, "NOT YET 2 YEARS")</f>
        <v>N/A</v>
      </c>
      <c r="I58" s="39" t="str">
        <f>IF(OR(AND(LEFT('CASE DATA'!F59,4)="321.",MID('CASE DATA'!A59,8,2)="SM"),MID('CASE DATA'!A59,8,2)="ST",MID('CASE DATA'!A59,8,2)="NT"),"TRAFFIC",IF(OR('CASE DATA'!G59="DISM", 'CASE DATA'!G59="ACQ", 'CASE DATA'!G59="NOTF", 'CASE DATA'!G59="WTHD", 'CASE DATA'!G59="TNSF"), "YES", "NO"))</f>
        <v>NO</v>
      </c>
      <c r="J58" s="40" t="str">
        <f>IF(I58="YES",'CASE DATA'!U59,"N/A")</f>
        <v>N/A</v>
      </c>
      <c r="K58" s="40" t="str">
        <f>IF(I58="YES",SOL!C59+SOL!D59,"N/A")</f>
        <v>N/A</v>
      </c>
      <c r="L58" s="35" t="str">
        <f>IF(I58="YES",IF(C58+180&lt;'BASIC INFO'!$B$3, "YES", "NO"),"N/A")</f>
        <v>N/A</v>
      </c>
      <c r="M58" s="40" t="str">
        <f t="array" ref="M58">IF(I58="TRAFFIC","n/a",IF(OR('CASE DATA'!G59="GTR", 'CASE DATA'!G59="GPL"),IF(SUM(COUNTIF('CASE DATA'!X59:AI59, 'CODE SECTIONS'!$V$2:$V$218&amp;"*"))&gt;0,"NO","YES"),"n/a"))</f>
        <v>n/a</v>
      </c>
      <c r="N58" s="40" t="str">
        <f t="array" ref="N58">IF(M58="YES",IF(OR((SUM(COUNTIF('CASE DATA'!X59:AI59,'CODE SECTIONS'!$X$2:$X$19&amp;"*"))&gt;0),LEFT('CASE DATA'!X59:AI59,4)="717C", LEFT('CASE DATA'!X59:AI59, 3)="719", LEFT('CASE DATA'!X59:AI59,3)="720", LEFT('CASE DATA'!X59:AI59,3)="724", LEFT('CASE DATA'!X59:AI59,3)="726", LEFT('CASE DATA'!X59:AI59,3)="728", LEFT('CASE DATA'!X59:AI59,4)="901A"), "ineligible misd","eligible"),"n/a")</f>
        <v>n/a</v>
      </c>
      <c r="O58" s="40" t="str">
        <f>IF(N58="eligible",IF(COUNTIF('CASE DATA'!$D$4:$D$200, "")-COUNTIF('CASE DATA'!$A$4:$A$200, "")&gt;0, "YES","NO"),"N/A")</f>
        <v>N/A</v>
      </c>
      <c r="P58" s="40" t="str">
        <f>IF(N58="eligible",BANKRUPTCY!C59+BANKRUPTCY!D59,"N/A")</f>
        <v>N/A</v>
      </c>
      <c r="Q58" s="40" t="str">
        <f>IF(N58="eligible",SOL!C59+SOL!D59,"N/A")</f>
        <v>N/A</v>
      </c>
      <c r="R58" s="40" t="str">
        <f>IF(N58="eligible",SUM('CASE DATA'!K59:T59),"N/A")</f>
        <v>N/A</v>
      </c>
      <c r="S58" s="40" t="str">
        <f>IF(N58="eligible",IF(C58+2920&lt;'BASIC INFO'!$B$3, "YES", "NO"),"N/A")</f>
        <v>N/A</v>
      </c>
      <c r="T58" s="39" t="str">
        <f>IF(OR('CASE DATA'!G59="DEF"), "YES", "NO")</f>
        <v>NO</v>
      </c>
      <c r="U58" s="35" t="str">
        <f>IF(T58="YES",'CASE DATA'!I59,"N/A")</f>
        <v>N/A</v>
      </c>
      <c r="V58" s="40" t="str">
        <f>IF(T58="YES",BANKRUPTCY!C59+BANKRUPTCY!D59,"N/A")</f>
        <v>N/A</v>
      </c>
      <c r="W58" s="40" t="str">
        <f>IF(T58="YES",SUM('CASE DATA'!K59:T59),"N/A")</f>
        <v>N/A</v>
      </c>
      <c r="X58" s="35" t="str">
        <f>IF(OR('CASE DATA'!F59="123.46",'CASE DATA'!F59="123.47"),"YES","NO")</f>
        <v>NO</v>
      </c>
      <c r="Y58" s="40" t="str">
        <f>IF(X58="YES",IF(C58+730.5&lt;'BASIC INFO'!$B$3, "YES","NO"), "N/A")</f>
        <v>N/A</v>
      </c>
      <c r="Z58" s="35" t="str">
        <f>IF('CASE DATA'!F59="725.1","YES","NO")</f>
        <v>NO</v>
      </c>
      <c r="AA58" s="35" t="str">
        <f>IF(Z58="YES",IF(C58+730.5&lt;'BASIC INFO'!$B$3, "YES","NO"), "N/A")</f>
        <v>N/A</v>
      </c>
      <c r="AB58" s="35" t="str">
        <f>IF('BASIC INFO'!$B$6+6574.5&gt;C58, "YES", "NO")</f>
        <v>YES</v>
      </c>
    </row>
    <row r="59" spans="1:28" x14ac:dyDescent="0.25">
      <c r="A59" s="35" t="str">
        <f>IF('CASE DATA'!A60="","z",'CASE DATA'!A60)</f>
        <v>z</v>
      </c>
      <c r="B59" s="66" t="str">
        <f>IF('CASE DATA'!A60="","",'CASE DATA'!E60)</f>
        <v/>
      </c>
      <c r="C59" s="36">
        <f>'CASE DATA'!D60</f>
        <v>0</v>
      </c>
      <c r="D59" s="37" t="str">
        <f>IF('CASE DATA'!I60="YES",SUM('CASE DATA'!K60:Q60),"n/a")</f>
        <v>n/a</v>
      </c>
      <c r="E59" s="38" t="str">
        <f>IF('CASE DATA'!G60="JUV", "YES", "NO")</f>
        <v>NO</v>
      </c>
      <c r="F59" s="38" t="str">
        <f t="array" ref="F59">IF(E59="YES",IF(SUM(COUNTIF('CASE DATA'!$G$4:$G$200, {"GTR","GPL","DEF","JUV"}))&gt;0, "YES","NO"),"N/A")</f>
        <v>N/A</v>
      </c>
      <c r="G59" s="38" t="str">
        <f>IF(E59="YES",IF(COUNTIF('CASE DATA'!$D$4:$D$200, "")-COUNTIF('CASE DATA'!$A$4:$A$200, "")&gt;0, "YES","NO"),"N/A")</f>
        <v>N/A</v>
      </c>
      <c r="H59" s="35" t="str">
        <f>_xlfn.IFS(E59="NO", "N/A", AND('BASIC INFO'!$B$3&gt;'BASIC INFO'!$B$6+6574.5, C59+730.5&lt;'BASIC INFO'!$B$3), "YES", 'BASIC INFO'!$B$3&lt;('BASIC INFO'!$B$6+6574.5), "NOT YET 18", C59+730.5&gt;'BASIC INFO'!$B$3, "NOT YET 2 YEARS")</f>
        <v>N/A</v>
      </c>
      <c r="I59" s="39" t="str">
        <f>IF(OR(AND(LEFT('CASE DATA'!F60,4)="321.",MID('CASE DATA'!A60,8,2)="SM"),MID('CASE DATA'!A60,8,2)="ST",MID('CASE DATA'!A60,8,2)="NT"),"TRAFFIC",IF(OR('CASE DATA'!G60="DISM", 'CASE DATA'!G60="ACQ", 'CASE DATA'!G60="NOTF", 'CASE DATA'!G60="WTHD", 'CASE DATA'!G60="TNSF"), "YES", "NO"))</f>
        <v>NO</v>
      </c>
      <c r="J59" s="40" t="str">
        <f>IF(I59="YES",'CASE DATA'!U60,"N/A")</f>
        <v>N/A</v>
      </c>
      <c r="K59" s="40" t="str">
        <f>IF(I59="YES",SOL!C60+SOL!D60,"N/A")</f>
        <v>N/A</v>
      </c>
      <c r="L59" s="35" t="str">
        <f>IF(I59="YES",IF(C59+180&lt;'BASIC INFO'!$B$3, "YES", "NO"),"N/A")</f>
        <v>N/A</v>
      </c>
      <c r="M59" s="40" t="str">
        <f t="array" ref="M59">IF(I59="TRAFFIC","n/a",IF(OR('CASE DATA'!G60="GTR", 'CASE DATA'!G60="GPL"),IF(SUM(COUNTIF('CASE DATA'!X60:AI60, 'CODE SECTIONS'!$V$2:$V$218&amp;"*"))&gt;0,"NO","YES"),"n/a"))</f>
        <v>n/a</v>
      </c>
      <c r="N59" s="40" t="str">
        <f t="array" ref="N59">IF(M59="YES",IF(OR((SUM(COUNTIF('CASE DATA'!X60:AI60,'CODE SECTIONS'!$X$2:$X$19&amp;"*"))&gt;0),LEFT('CASE DATA'!X60:AI60,4)="717C", LEFT('CASE DATA'!X60:AI60, 3)="719", LEFT('CASE DATA'!X60:AI60,3)="720", LEFT('CASE DATA'!X60:AI60,3)="724", LEFT('CASE DATA'!X60:AI60,3)="726", LEFT('CASE DATA'!X60:AI60,3)="728", LEFT('CASE DATA'!X60:AI60,4)="901A"), "ineligible misd","eligible"),"n/a")</f>
        <v>n/a</v>
      </c>
      <c r="O59" s="40" t="str">
        <f>IF(N59="eligible",IF(COUNTIF('CASE DATA'!$D$4:$D$200, "")-COUNTIF('CASE DATA'!$A$4:$A$200, "")&gt;0, "YES","NO"),"N/A")</f>
        <v>N/A</v>
      </c>
      <c r="P59" s="40" t="str">
        <f>IF(N59="eligible",BANKRUPTCY!C60+BANKRUPTCY!D60,"N/A")</f>
        <v>N/A</v>
      </c>
      <c r="Q59" s="40" t="str">
        <f>IF(N59="eligible",SOL!C60+SOL!D60,"N/A")</f>
        <v>N/A</v>
      </c>
      <c r="R59" s="40" t="str">
        <f>IF(N59="eligible",SUM('CASE DATA'!K60:T60),"N/A")</f>
        <v>N/A</v>
      </c>
      <c r="S59" s="40" t="str">
        <f>IF(N59="eligible",IF(C59+2920&lt;'BASIC INFO'!$B$3, "YES", "NO"),"N/A")</f>
        <v>N/A</v>
      </c>
      <c r="T59" s="39" t="str">
        <f>IF(OR('CASE DATA'!G60="DEF"), "YES", "NO")</f>
        <v>NO</v>
      </c>
      <c r="U59" s="35" t="str">
        <f>IF(T59="YES",'CASE DATA'!I60,"N/A")</f>
        <v>N/A</v>
      </c>
      <c r="V59" s="40" t="str">
        <f>IF(T59="YES",BANKRUPTCY!C60+BANKRUPTCY!D60,"N/A")</f>
        <v>N/A</v>
      </c>
      <c r="W59" s="40" t="str">
        <f>IF(T59="YES",SUM('CASE DATA'!K60:T60),"N/A")</f>
        <v>N/A</v>
      </c>
      <c r="X59" s="35" t="str">
        <f>IF(OR('CASE DATA'!F60="123.46",'CASE DATA'!F60="123.47"),"YES","NO")</f>
        <v>NO</v>
      </c>
      <c r="Y59" s="40" t="str">
        <f>IF(X59="YES",IF(C59+730.5&lt;'BASIC INFO'!$B$3, "YES","NO"), "N/A")</f>
        <v>N/A</v>
      </c>
      <c r="Z59" s="35" t="str">
        <f>IF('CASE DATA'!F60="725.1","YES","NO")</f>
        <v>NO</v>
      </c>
      <c r="AA59" s="35" t="str">
        <f>IF(Z59="YES",IF(C59+730.5&lt;'BASIC INFO'!$B$3, "YES","NO"), "N/A")</f>
        <v>N/A</v>
      </c>
      <c r="AB59" s="35" t="str">
        <f>IF('BASIC INFO'!$B$6+6574.5&gt;C59, "YES", "NO")</f>
        <v>YES</v>
      </c>
    </row>
    <row r="60" spans="1:28" x14ac:dyDescent="0.25">
      <c r="A60" s="35" t="str">
        <f>IF('CASE DATA'!A61="","z",'CASE DATA'!A61)</f>
        <v>z</v>
      </c>
      <c r="B60" s="66" t="str">
        <f>IF('CASE DATA'!A61="","",'CASE DATA'!E61)</f>
        <v/>
      </c>
      <c r="C60" s="36">
        <f>'CASE DATA'!D61</f>
        <v>0</v>
      </c>
      <c r="D60" s="37" t="str">
        <f>IF('CASE DATA'!I61="YES",SUM('CASE DATA'!K61:Q61),"n/a")</f>
        <v>n/a</v>
      </c>
      <c r="E60" s="38" t="str">
        <f>IF('CASE DATA'!G61="JUV", "YES", "NO")</f>
        <v>NO</v>
      </c>
      <c r="F60" s="38" t="str">
        <f t="array" ref="F60">IF(E60="YES",IF(SUM(COUNTIF('CASE DATA'!$G$4:$G$200, {"GTR","GPL","DEF","JUV"}))&gt;0, "YES","NO"),"N/A")</f>
        <v>N/A</v>
      </c>
      <c r="G60" s="38" t="str">
        <f>IF(E60="YES",IF(COUNTIF('CASE DATA'!$D$4:$D$200, "")-COUNTIF('CASE DATA'!$A$4:$A$200, "")&gt;0, "YES","NO"),"N/A")</f>
        <v>N/A</v>
      </c>
      <c r="H60" s="35" t="str">
        <f>_xlfn.IFS(E60="NO", "N/A", AND('BASIC INFO'!$B$3&gt;'BASIC INFO'!$B$6+6574.5, C60+730.5&lt;'BASIC INFO'!$B$3), "YES", 'BASIC INFO'!$B$3&lt;('BASIC INFO'!$B$6+6574.5), "NOT YET 18", C60+730.5&gt;'BASIC INFO'!$B$3, "NOT YET 2 YEARS")</f>
        <v>N/A</v>
      </c>
      <c r="I60" s="39" t="str">
        <f>IF(OR(AND(LEFT('CASE DATA'!F61,4)="321.",MID('CASE DATA'!A61,8,2)="SM"),MID('CASE DATA'!A61,8,2)="ST",MID('CASE DATA'!A61,8,2)="NT"),"TRAFFIC",IF(OR('CASE DATA'!G61="DISM", 'CASE DATA'!G61="ACQ", 'CASE DATA'!G61="NOTF", 'CASE DATA'!G61="WTHD", 'CASE DATA'!G61="TNSF"), "YES", "NO"))</f>
        <v>NO</v>
      </c>
      <c r="J60" s="40" t="str">
        <f>IF(I60="YES",'CASE DATA'!U61,"N/A")</f>
        <v>N/A</v>
      </c>
      <c r="K60" s="40" t="str">
        <f>IF(I60="YES",SOL!C61+SOL!D61,"N/A")</f>
        <v>N/A</v>
      </c>
      <c r="L60" s="35" t="str">
        <f>IF(I60="YES",IF(C60+180&lt;'BASIC INFO'!$B$3, "YES", "NO"),"N/A")</f>
        <v>N/A</v>
      </c>
      <c r="M60" s="40" t="str">
        <f t="array" ref="M60">IF(I60="TRAFFIC","n/a",IF(OR('CASE DATA'!G61="GTR", 'CASE DATA'!G61="GPL"),IF(SUM(COUNTIF('CASE DATA'!X61:AI61, 'CODE SECTIONS'!$V$2:$V$218&amp;"*"))&gt;0,"NO","YES"),"n/a"))</f>
        <v>n/a</v>
      </c>
      <c r="N60" s="40" t="str">
        <f t="array" ref="N60">IF(M60="YES",IF(OR((SUM(COUNTIF('CASE DATA'!X61:AI61,'CODE SECTIONS'!$X$2:$X$19&amp;"*"))&gt;0),LEFT('CASE DATA'!X61:AI61,4)="717C", LEFT('CASE DATA'!X61:AI61, 3)="719", LEFT('CASE DATA'!X61:AI61,3)="720", LEFT('CASE DATA'!X61:AI61,3)="724", LEFT('CASE DATA'!X61:AI61,3)="726", LEFT('CASE DATA'!X61:AI61,3)="728", LEFT('CASE DATA'!X61:AI61,4)="901A"), "ineligible misd","eligible"),"n/a")</f>
        <v>n/a</v>
      </c>
      <c r="O60" s="40" t="str">
        <f>IF(N60="eligible",IF(COUNTIF('CASE DATA'!$D$4:$D$200, "")-COUNTIF('CASE DATA'!$A$4:$A$200, "")&gt;0, "YES","NO"),"N/A")</f>
        <v>N/A</v>
      </c>
      <c r="P60" s="40" t="str">
        <f>IF(N60="eligible",BANKRUPTCY!C61+BANKRUPTCY!D61,"N/A")</f>
        <v>N/A</v>
      </c>
      <c r="Q60" s="40" t="str">
        <f>IF(N60="eligible",SOL!C61+SOL!D61,"N/A")</f>
        <v>N/A</v>
      </c>
      <c r="R60" s="40" t="str">
        <f>IF(N60="eligible",SUM('CASE DATA'!K61:T61),"N/A")</f>
        <v>N/A</v>
      </c>
      <c r="S60" s="40" t="str">
        <f>IF(N60="eligible",IF(C60+2920&lt;'BASIC INFO'!$B$3, "YES", "NO"),"N/A")</f>
        <v>N/A</v>
      </c>
      <c r="T60" s="39" t="str">
        <f>IF(OR('CASE DATA'!G61="DEF"), "YES", "NO")</f>
        <v>NO</v>
      </c>
      <c r="U60" s="35" t="str">
        <f>IF(T60="YES",'CASE DATA'!I61,"N/A")</f>
        <v>N/A</v>
      </c>
      <c r="V60" s="40" t="str">
        <f>IF(T60="YES",BANKRUPTCY!C61+BANKRUPTCY!D61,"N/A")</f>
        <v>N/A</v>
      </c>
      <c r="W60" s="40" t="str">
        <f>IF(T60="YES",SUM('CASE DATA'!K61:T61),"N/A")</f>
        <v>N/A</v>
      </c>
      <c r="X60" s="35" t="str">
        <f>IF(OR('CASE DATA'!F61="123.46",'CASE DATA'!F61="123.47"),"YES","NO")</f>
        <v>NO</v>
      </c>
      <c r="Y60" s="40" t="str">
        <f>IF(X60="YES",IF(C60+730.5&lt;'BASIC INFO'!$B$3, "YES","NO"), "N/A")</f>
        <v>N/A</v>
      </c>
      <c r="Z60" s="35" t="str">
        <f>IF('CASE DATA'!F61="725.1","YES","NO")</f>
        <v>NO</v>
      </c>
      <c r="AA60" s="35" t="str">
        <f>IF(Z60="YES",IF(C60+730.5&lt;'BASIC INFO'!$B$3, "YES","NO"), "N/A")</f>
        <v>N/A</v>
      </c>
      <c r="AB60" s="35" t="str">
        <f>IF('BASIC INFO'!$B$6+6574.5&gt;C60, "YES", "NO")</f>
        <v>YES</v>
      </c>
    </row>
    <row r="61" spans="1:28" x14ac:dyDescent="0.25">
      <c r="A61" s="35" t="str">
        <f>IF('CASE DATA'!A62="","z",'CASE DATA'!A62)</f>
        <v>z</v>
      </c>
      <c r="B61" s="66" t="str">
        <f>IF('CASE DATA'!A62="","",'CASE DATA'!E62)</f>
        <v/>
      </c>
      <c r="C61" s="36">
        <f>'CASE DATA'!D62</f>
        <v>0</v>
      </c>
      <c r="D61" s="37" t="str">
        <f>IF('CASE DATA'!I62="YES",SUM('CASE DATA'!K62:Q62),"n/a")</f>
        <v>n/a</v>
      </c>
      <c r="E61" s="38" t="str">
        <f>IF('CASE DATA'!G62="JUV", "YES", "NO")</f>
        <v>NO</v>
      </c>
      <c r="F61" s="38" t="str">
        <f t="array" ref="F61">IF(E61="YES",IF(SUM(COUNTIF('CASE DATA'!$G$4:$G$200, {"GTR","GPL","DEF","JUV"}))&gt;0, "YES","NO"),"N/A")</f>
        <v>N/A</v>
      </c>
      <c r="G61" s="38" t="str">
        <f>IF(E61="YES",IF(COUNTIF('CASE DATA'!$D$4:$D$200, "")-COUNTIF('CASE DATA'!$A$4:$A$200, "")&gt;0, "YES","NO"),"N/A")</f>
        <v>N/A</v>
      </c>
      <c r="H61" s="35" t="str">
        <f>_xlfn.IFS(E61="NO", "N/A", AND('BASIC INFO'!$B$3&gt;'BASIC INFO'!$B$6+6574.5, C61+730.5&lt;'BASIC INFO'!$B$3), "YES", 'BASIC INFO'!$B$3&lt;('BASIC INFO'!$B$6+6574.5), "NOT YET 18", C61+730.5&gt;'BASIC INFO'!$B$3, "NOT YET 2 YEARS")</f>
        <v>N/A</v>
      </c>
      <c r="I61" s="39" t="str">
        <f>IF(OR(AND(LEFT('CASE DATA'!F62,4)="321.",MID('CASE DATA'!A62,8,2)="SM"),MID('CASE DATA'!A62,8,2)="ST",MID('CASE DATA'!A62,8,2)="NT"),"TRAFFIC",IF(OR('CASE DATA'!G62="DISM", 'CASE DATA'!G62="ACQ", 'CASE DATA'!G62="NOTF", 'CASE DATA'!G62="WTHD", 'CASE DATA'!G62="TNSF"), "YES", "NO"))</f>
        <v>NO</v>
      </c>
      <c r="J61" s="40" t="str">
        <f>IF(I61="YES",'CASE DATA'!U62,"N/A")</f>
        <v>N/A</v>
      </c>
      <c r="K61" s="40" t="str">
        <f>IF(I61="YES",SOL!C62+SOL!D62,"N/A")</f>
        <v>N/A</v>
      </c>
      <c r="L61" s="35" t="str">
        <f>IF(I61="YES",IF(C61+180&lt;'BASIC INFO'!$B$3, "YES", "NO"),"N/A")</f>
        <v>N/A</v>
      </c>
      <c r="M61" s="40" t="str">
        <f t="array" ref="M61">IF(I61="TRAFFIC","n/a",IF(OR('CASE DATA'!G62="GTR", 'CASE DATA'!G62="GPL"),IF(SUM(COUNTIF('CASE DATA'!X62:AI62, 'CODE SECTIONS'!$V$2:$V$218&amp;"*"))&gt;0,"NO","YES"),"n/a"))</f>
        <v>n/a</v>
      </c>
      <c r="N61" s="40" t="str">
        <f t="array" ref="N61">IF(M61="YES",IF(OR((SUM(COUNTIF('CASE DATA'!X62:AI62,'CODE SECTIONS'!$X$2:$X$19&amp;"*"))&gt;0),LEFT('CASE DATA'!X62:AI62,4)="717C", LEFT('CASE DATA'!X62:AI62, 3)="719", LEFT('CASE DATA'!X62:AI62,3)="720", LEFT('CASE DATA'!X62:AI62,3)="724", LEFT('CASE DATA'!X62:AI62,3)="726", LEFT('CASE DATA'!X62:AI62,3)="728", LEFT('CASE DATA'!X62:AI62,4)="901A"), "ineligible misd","eligible"),"n/a")</f>
        <v>n/a</v>
      </c>
      <c r="O61" s="40" t="str">
        <f>IF(N61="eligible",IF(COUNTIF('CASE DATA'!$D$4:$D$200, "")-COUNTIF('CASE DATA'!$A$4:$A$200, "")&gt;0, "YES","NO"),"N/A")</f>
        <v>N/A</v>
      </c>
      <c r="P61" s="40" t="str">
        <f>IF(N61="eligible",BANKRUPTCY!C62+BANKRUPTCY!D62,"N/A")</f>
        <v>N/A</v>
      </c>
      <c r="Q61" s="40" t="str">
        <f>IF(N61="eligible",SOL!C62+SOL!D62,"N/A")</f>
        <v>N/A</v>
      </c>
      <c r="R61" s="40" t="str">
        <f>IF(N61="eligible",SUM('CASE DATA'!K62:T62),"N/A")</f>
        <v>N/A</v>
      </c>
      <c r="S61" s="40" t="str">
        <f>IF(N61="eligible",IF(C61+2920&lt;'BASIC INFO'!$B$3, "YES", "NO"),"N/A")</f>
        <v>N/A</v>
      </c>
      <c r="T61" s="39" t="str">
        <f>IF(OR('CASE DATA'!G62="DEF"), "YES", "NO")</f>
        <v>NO</v>
      </c>
      <c r="U61" s="35" t="str">
        <f>IF(T61="YES",'CASE DATA'!I62,"N/A")</f>
        <v>N/A</v>
      </c>
      <c r="V61" s="40" t="str">
        <f>IF(T61="YES",BANKRUPTCY!C62+BANKRUPTCY!D62,"N/A")</f>
        <v>N/A</v>
      </c>
      <c r="W61" s="40" t="str">
        <f>IF(T61="YES",SUM('CASE DATA'!K62:T62),"N/A")</f>
        <v>N/A</v>
      </c>
      <c r="X61" s="35" t="str">
        <f>IF(OR('CASE DATA'!F62="123.46",'CASE DATA'!F62="123.47"),"YES","NO")</f>
        <v>NO</v>
      </c>
      <c r="Y61" s="40" t="str">
        <f>IF(X61="YES",IF(C61+730.5&lt;'BASIC INFO'!$B$3, "YES","NO"), "N/A")</f>
        <v>N/A</v>
      </c>
      <c r="Z61" s="35" t="str">
        <f>IF('CASE DATA'!F62="725.1","YES","NO")</f>
        <v>NO</v>
      </c>
      <c r="AA61" s="35" t="str">
        <f>IF(Z61="YES",IF(C61+730.5&lt;'BASIC INFO'!$B$3, "YES","NO"), "N/A")</f>
        <v>N/A</v>
      </c>
      <c r="AB61" s="35" t="str">
        <f>IF('BASIC INFO'!$B$6+6574.5&gt;C61, "YES", "NO")</f>
        <v>YES</v>
      </c>
    </row>
    <row r="62" spans="1:28" x14ac:dyDescent="0.25">
      <c r="A62" s="35" t="str">
        <f>IF('CASE DATA'!A63="","z",'CASE DATA'!A63)</f>
        <v>z</v>
      </c>
      <c r="B62" s="66" t="str">
        <f>IF('CASE DATA'!A63="","",'CASE DATA'!E63)</f>
        <v/>
      </c>
      <c r="C62" s="36">
        <f>'CASE DATA'!D63</f>
        <v>0</v>
      </c>
      <c r="D62" s="37" t="str">
        <f>IF('CASE DATA'!I63="YES",SUM('CASE DATA'!K63:Q63),"n/a")</f>
        <v>n/a</v>
      </c>
      <c r="E62" s="38" t="str">
        <f>IF('CASE DATA'!G63="JUV", "YES", "NO")</f>
        <v>NO</v>
      </c>
      <c r="F62" s="38" t="str">
        <f t="array" ref="F62">IF(E62="YES",IF(SUM(COUNTIF('CASE DATA'!$G$4:$G$200, {"GTR","GPL","DEF","JUV"}))&gt;0, "YES","NO"),"N/A")</f>
        <v>N/A</v>
      </c>
      <c r="G62" s="38" t="str">
        <f>IF(E62="YES",IF(COUNTIF('CASE DATA'!$D$4:$D$200, "")-COUNTIF('CASE DATA'!$A$4:$A$200, "")&gt;0, "YES","NO"),"N/A")</f>
        <v>N/A</v>
      </c>
      <c r="H62" s="35" t="str">
        <f>_xlfn.IFS(E62="NO", "N/A", AND('BASIC INFO'!$B$3&gt;'BASIC INFO'!$B$6+6574.5, C62+730.5&lt;'BASIC INFO'!$B$3), "YES", 'BASIC INFO'!$B$3&lt;('BASIC INFO'!$B$6+6574.5), "NOT YET 18", C62+730.5&gt;'BASIC INFO'!$B$3, "NOT YET 2 YEARS")</f>
        <v>N/A</v>
      </c>
      <c r="I62" s="39" t="str">
        <f>IF(OR(AND(LEFT('CASE DATA'!F63,4)="321.",MID('CASE DATA'!A63,8,2)="SM"),MID('CASE DATA'!A63,8,2)="ST",MID('CASE DATA'!A63,8,2)="NT"),"TRAFFIC",IF(OR('CASE DATA'!G63="DISM", 'CASE DATA'!G63="ACQ", 'CASE DATA'!G63="NOTF", 'CASE DATA'!G63="WTHD", 'CASE DATA'!G63="TNSF"), "YES", "NO"))</f>
        <v>NO</v>
      </c>
      <c r="J62" s="40" t="str">
        <f>IF(I62="YES",'CASE DATA'!U63,"N/A")</f>
        <v>N/A</v>
      </c>
      <c r="K62" s="40" t="str">
        <f>IF(I62="YES",SOL!C63+SOL!D63,"N/A")</f>
        <v>N/A</v>
      </c>
      <c r="L62" s="35" t="str">
        <f>IF(I62="YES",IF(C62+180&lt;'BASIC INFO'!$B$3, "YES", "NO"),"N/A")</f>
        <v>N/A</v>
      </c>
      <c r="M62" s="40" t="str">
        <f t="array" ref="M62">IF(I62="TRAFFIC","n/a",IF(OR('CASE DATA'!G63="GTR", 'CASE DATA'!G63="GPL"),IF(SUM(COUNTIF('CASE DATA'!X63:AI63, 'CODE SECTIONS'!$V$2:$V$218&amp;"*"))&gt;0,"NO","YES"),"n/a"))</f>
        <v>n/a</v>
      </c>
      <c r="N62" s="40" t="str">
        <f t="array" ref="N62">IF(M62="YES",IF(OR((SUM(COUNTIF('CASE DATA'!X63:AI63,'CODE SECTIONS'!$X$2:$X$19&amp;"*"))&gt;0),LEFT('CASE DATA'!X63:AI63,4)="717C", LEFT('CASE DATA'!X63:AI63, 3)="719", LEFT('CASE DATA'!X63:AI63,3)="720", LEFT('CASE DATA'!X63:AI63,3)="724", LEFT('CASE DATA'!X63:AI63,3)="726", LEFT('CASE DATA'!X63:AI63,3)="728", LEFT('CASE DATA'!X63:AI63,4)="901A"), "ineligible misd","eligible"),"n/a")</f>
        <v>n/a</v>
      </c>
      <c r="O62" s="40" t="str">
        <f>IF(N62="eligible",IF(COUNTIF('CASE DATA'!$D$4:$D$200, "")-COUNTIF('CASE DATA'!$A$4:$A$200, "")&gt;0, "YES","NO"),"N/A")</f>
        <v>N/A</v>
      </c>
      <c r="P62" s="40" t="str">
        <f>IF(N62="eligible",BANKRUPTCY!C63+BANKRUPTCY!D63,"N/A")</f>
        <v>N/A</v>
      </c>
      <c r="Q62" s="40" t="str">
        <f>IF(N62="eligible",SOL!C63+SOL!D63,"N/A")</f>
        <v>N/A</v>
      </c>
      <c r="R62" s="40" t="str">
        <f>IF(N62="eligible",SUM('CASE DATA'!K63:T63),"N/A")</f>
        <v>N/A</v>
      </c>
      <c r="S62" s="40" t="str">
        <f>IF(N62="eligible",IF(C62+2920&lt;'BASIC INFO'!$B$3, "YES", "NO"),"N/A")</f>
        <v>N/A</v>
      </c>
      <c r="T62" s="39" t="str">
        <f>IF(OR('CASE DATA'!G63="DEF"), "YES", "NO")</f>
        <v>NO</v>
      </c>
      <c r="U62" s="35" t="str">
        <f>IF(T62="YES",'CASE DATA'!I63,"N/A")</f>
        <v>N/A</v>
      </c>
      <c r="V62" s="40" t="str">
        <f>IF(T62="YES",BANKRUPTCY!C63+BANKRUPTCY!D63,"N/A")</f>
        <v>N/A</v>
      </c>
      <c r="W62" s="40" t="str">
        <f>IF(T62="YES",SUM('CASE DATA'!K63:T63),"N/A")</f>
        <v>N/A</v>
      </c>
      <c r="X62" s="35" t="str">
        <f>IF(OR('CASE DATA'!F63="123.46",'CASE DATA'!F63="123.47"),"YES","NO")</f>
        <v>NO</v>
      </c>
      <c r="Y62" s="40" t="str">
        <f>IF(X62="YES",IF(C62+730.5&lt;'BASIC INFO'!$B$3, "YES","NO"), "N/A")</f>
        <v>N/A</v>
      </c>
      <c r="Z62" s="35" t="str">
        <f>IF('CASE DATA'!F63="725.1","YES","NO")</f>
        <v>NO</v>
      </c>
      <c r="AA62" s="35" t="str">
        <f>IF(Z62="YES",IF(C62+730.5&lt;'BASIC INFO'!$B$3, "YES","NO"), "N/A")</f>
        <v>N/A</v>
      </c>
      <c r="AB62" s="35" t="str">
        <f>IF('BASIC INFO'!$B$6+6574.5&gt;C62, "YES", "NO")</f>
        <v>YES</v>
      </c>
    </row>
    <row r="63" spans="1:28" x14ac:dyDescent="0.25">
      <c r="A63" s="35" t="str">
        <f>IF('CASE DATA'!A64="","z",'CASE DATA'!A64)</f>
        <v>z</v>
      </c>
      <c r="B63" s="66" t="str">
        <f>IF('CASE DATA'!A64="","",'CASE DATA'!E64)</f>
        <v/>
      </c>
      <c r="C63" s="36">
        <f>'CASE DATA'!D64</f>
        <v>0</v>
      </c>
      <c r="D63" s="37" t="str">
        <f>IF('CASE DATA'!I64="YES",SUM('CASE DATA'!K64:Q64),"n/a")</f>
        <v>n/a</v>
      </c>
      <c r="E63" s="38" t="str">
        <f>IF('CASE DATA'!G64="JUV", "YES", "NO")</f>
        <v>NO</v>
      </c>
      <c r="F63" s="38" t="str">
        <f t="array" ref="F63">IF(E63="YES",IF(SUM(COUNTIF('CASE DATA'!$G$4:$G$200, {"GTR","GPL","DEF","JUV"}))&gt;0, "YES","NO"),"N/A")</f>
        <v>N/A</v>
      </c>
      <c r="G63" s="38" t="str">
        <f>IF(E63="YES",IF(COUNTIF('CASE DATA'!$D$4:$D$200, "")-COUNTIF('CASE DATA'!$A$4:$A$200, "")&gt;0, "YES","NO"),"N/A")</f>
        <v>N/A</v>
      </c>
      <c r="H63" s="35" t="str">
        <f>_xlfn.IFS(E63="NO", "N/A", AND('BASIC INFO'!$B$3&gt;'BASIC INFO'!$B$6+6574.5, C63+730.5&lt;'BASIC INFO'!$B$3), "YES", 'BASIC INFO'!$B$3&lt;('BASIC INFO'!$B$6+6574.5), "NOT YET 18", C63+730.5&gt;'BASIC INFO'!$B$3, "NOT YET 2 YEARS")</f>
        <v>N/A</v>
      </c>
      <c r="I63" s="39" t="str">
        <f>IF(OR(AND(LEFT('CASE DATA'!F64,4)="321.",MID('CASE DATA'!A64,8,2)="SM"),MID('CASE DATA'!A64,8,2)="ST",MID('CASE DATA'!A64,8,2)="NT"),"TRAFFIC",IF(OR('CASE DATA'!G64="DISM", 'CASE DATA'!G64="ACQ", 'CASE DATA'!G64="NOTF", 'CASE DATA'!G64="WTHD", 'CASE DATA'!G64="TNSF"), "YES", "NO"))</f>
        <v>NO</v>
      </c>
      <c r="J63" s="40" t="str">
        <f>IF(I63="YES",'CASE DATA'!U64,"N/A")</f>
        <v>N/A</v>
      </c>
      <c r="K63" s="40" t="str">
        <f>IF(I63="YES",SOL!C64+SOL!D64,"N/A")</f>
        <v>N/A</v>
      </c>
      <c r="L63" s="35" t="str">
        <f>IF(I63="YES",IF(C63+180&lt;'BASIC INFO'!$B$3, "YES", "NO"),"N/A")</f>
        <v>N/A</v>
      </c>
      <c r="M63" s="40" t="str">
        <f t="array" ref="M63">IF(I63="TRAFFIC","n/a",IF(OR('CASE DATA'!G64="GTR", 'CASE DATA'!G64="GPL"),IF(SUM(COUNTIF('CASE DATA'!X64:AI64, 'CODE SECTIONS'!$V$2:$V$218&amp;"*"))&gt;0,"NO","YES"),"n/a"))</f>
        <v>n/a</v>
      </c>
      <c r="N63" s="40" t="str">
        <f t="array" ref="N63">IF(M63="YES",IF(OR((SUM(COUNTIF('CASE DATA'!X64:AI64,'CODE SECTIONS'!$X$2:$X$19&amp;"*"))&gt;0),LEFT('CASE DATA'!X64:AI64,4)="717C", LEFT('CASE DATA'!X64:AI64, 3)="719", LEFT('CASE DATA'!X64:AI64,3)="720", LEFT('CASE DATA'!X64:AI64,3)="724", LEFT('CASE DATA'!X64:AI64,3)="726", LEFT('CASE DATA'!X64:AI64,3)="728", LEFT('CASE DATA'!X64:AI64,4)="901A"), "ineligible misd","eligible"),"n/a")</f>
        <v>n/a</v>
      </c>
      <c r="O63" s="40" t="str">
        <f>IF(N63="eligible",IF(COUNTIF('CASE DATA'!$D$4:$D$200, "")-COUNTIF('CASE DATA'!$A$4:$A$200, "")&gt;0, "YES","NO"),"N/A")</f>
        <v>N/A</v>
      </c>
      <c r="P63" s="40" t="str">
        <f>IF(N63="eligible",BANKRUPTCY!C64+BANKRUPTCY!D64,"N/A")</f>
        <v>N/A</v>
      </c>
      <c r="Q63" s="40" t="str">
        <f>IF(N63="eligible",SOL!C64+SOL!D64,"N/A")</f>
        <v>N/A</v>
      </c>
      <c r="R63" s="40" t="str">
        <f>IF(N63="eligible",SUM('CASE DATA'!K64:T64),"N/A")</f>
        <v>N/A</v>
      </c>
      <c r="S63" s="40" t="str">
        <f>IF(N63="eligible",IF(C63+2920&lt;'BASIC INFO'!$B$3, "YES", "NO"),"N/A")</f>
        <v>N/A</v>
      </c>
      <c r="T63" s="39" t="str">
        <f>IF(OR('CASE DATA'!G64="DEF"), "YES", "NO")</f>
        <v>NO</v>
      </c>
      <c r="U63" s="35" t="str">
        <f>IF(T63="YES",'CASE DATA'!I64,"N/A")</f>
        <v>N/A</v>
      </c>
      <c r="V63" s="40" t="str">
        <f>IF(T63="YES",BANKRUPTCY!C64+BANKRUPTCY!D64,"N/A")</f>
        <v>N/A</v>
      </c>
      <c r="W63" s="40" t="str">
        <f>IF(T63="YES",SUM('CASE DATA'!K64:T64),"N/A")</f>
        <v>N/A</v>
      </c>
      <c r="X63" s="35" t="str">
        <f>IF(OR('CASE DATA'!F64="123.46",'CASE DATA'!F64="123.47"),"YES","NO")</f>
        <v>NO</v>
      </c>
      <c r="Y63" s="40" t="str">
        <f>IF(X63="YES",IF(C63+730.5&lt;'BASIC INFO'!$B$3, "YES","NO"), "N/A")</f>
        <v>N/A</v>
      </c>
      <c r="Z63" s="35" t="str">
        <f>IF('CASE DATA'!F64="725.1","YES","NO")</f>
        <v>NO</v>
      </c>
      <c r="AA63" s="35" t="str">
        <f>IF(Z63="YES",IF(C63+730.5&lt;'BASIC INFO'!$B$3, "YES","NO"), "N/A")</f>
        <v>N/A</v>
      </c>
      <c r="AB63" s="35" t="str">
        <f>IF('BASIC INFO'!$B$6+6574.5&gt;C63, "YES", "NO")</f>
        <v>YES</v>
      </c>
    </row>
    <row r="64" spans="1:28" x14ac:dyDescent="0.25">
      <c r="A64" s="35" t="str">
        <f>IF('CASE DATA'!A65="","z",'CASE DATA'!A65)</f>
        <v>z</v>
      </c>
      <c r="B64" s="66" t="str">
        <f>IF('CASE DATA'!A65="","",'CASE DATA'!E65)</f>
        <v/>
      </c>
      <c r="C64" s="36">
        <f>'CASE DATA'!D65</f>
        <v>0</v>
      </c>
      <c r="D64" s="37" t="str">
        <f>IF('CASE DATA'!I65="YES",SUM('CASE DATA'!K65:Q65),"n/a")</f>
        <v>n/a</v>
      </c>
      <c r="E64" s="38" t="str">
        <f>IF('CASE DATA'!G65="JUV", "YES", "NO")</f>
        <v>NO</v>
      </c>
      <c r="F64" s="38" t="str">
        <f t="array" ref="F64">IF(E64="YES",IF(SUM(COUNTIF('CASE DATA'!$G$4:$G$200, {"GTR","GPL","DEF","JUV"}))&gt;0, "YES","NO"),"N/A")</f>
        <v>N/A</v>
      </c>
      <c r="G64" s="38" t="str">
        <f>IF(E64="YES",IF(COUNTIF('CASE DATA'!$D$4:$D$200, "")-COUNTIF('CASE DATA'!$A$4:$A$200, "")&gt;0, "YES","NO"),"N/A")</f>
        <v>N/A</v>
      </c>
      <c r="H64" s="35" t="str">
        <f>_xlfn.IFS(E64="NO", "N/A", AND('BASIC INFO'!$B$3&gt;'BASIC INFO'!$B$6+6574.5, C64+730.5&lt;'BASIC INFO'!$B$3), "YES", 'BASIC INFO'!$B$3&lt;('BASIC INFO'!$B$6+6574.5), "NOT YET 18", C64+730.5&gt;'BASIC INFO'!$B$3, "NOT YET 2 YEARS")</f>
        <v>N/A</v>
      </c>
      <c r="I64" s="39" t="str">
        <f>IF(OR(AND(LEFT('CASE DATA'!F65,4)="321.",MID('CASE DATA'!A65,8,2)="SM"),MID('CASE DATA'!A65,8,2)="ST",MID('CASE DATA'!A65,8,2)="NT"),"TRAFFIC",IF(OR('CASE DATA'!G65="DISM", 'CASE DATA'!G65="ACQ", 'CASE DATA'!G65="NOTF", 'CASE DATA'!G65="WTHD", 'CASE DATA'!G65="TNSF"), "YES", "NO"))</f>
        <v>NO</v>
      </c>
      <c r="J64" s="40" t="str">
        <f>IF(I64="YES",'CASE DATA'!U65,"N/A")</f>
        <v>N/A</v>
      </c>
      <c r="K64" s="40" t="str">
        <f>IF(I64="YES",SOL!C65+SOL!D65,"N/A")</f>
        <v>N/A</v>
      </c>
      <c r="L64" s="35" t="str">
        <f>IF(I64="YES",IF(C64+180&lt;'BASIC INFO'!$B$3, "YES", "NO"),"N/A")</f>
        <v>N/A</v>
      </c>
      <c r="M64" s="40" t="str">
        <f t="array" ref="M64">IF(I64="TRAFFIC","n/a",IF(OR('CASE DATA'!G65="GTR", 'CASE DATA'!G65="GPL"),IF(SUM(COUNTIF('CASE DATA'!X65:AI65, 'CODE SECTIONS'!$V$2:$V$218&amp;"*"))&gt;0,"NO","YES"),"n/a"))</f>
        <v>n/a</v>
      </c>
      <c r="N64" s="40" t="str">
        <f t="array" ref="N64">IF(M64="YES",IF(OR((SUM(COUNTIF('CASE DATA'!X65:AI65,'CODE SECTIONS'!$X$2:$X$19&amp;"*"))&gt;0),LEFT('CASE DATA'!X65:AI65,4)="717C", LEFT('CASE DATA'!X65:AI65, 3)="719", LEFT('CASE DATA'!X65:AI65,3)="720", LEFT('CASE DATA'!X65:AI65,3)="724", LEFT('CASE DATA'!X65:AI65,3)="726", LEFT('CASE DATA'!X65:AI65,3)="728", LEFT('CASE DATA'!X65:AI65,4)="901A"), "ineligible misd","eligible"),"n/a")</f>
        <v>n/a</v>
      </c>
      <c r="O64" s="40" t="str">
        <f>IF(N64="eligible",IF(COUNTIF('CASE DATA'!$D$4:$D$200, "")-COUNTIF('CASE DATA'!$A$4:$A$200, "")&gt;0, "YES","NO"),"N/A")</f>
        <v>N/A</v>
      </c>
      <c r="P64" s="40" t="str">
        <f>IF(N64="eligible",BANKRUPTCY!C65+BANKRUPTCY!D65,"N/A")</f>
        <v>N/A</v>
      </c>
      <c r="Q64" s="40" t="str">
        <f>IF(N64="eligible",SOL!C65+SOL!D65,"N/A")</f>
        <v>N/A</v>
      </c>
      <c r="R64" s="40" t="str">
        <f>IF(N64="eligible",SUM('CASE DATA'!K65:T65),"N/A")</f>
        <v>N/A</v>
      </c>
      <c r="S64" s="40" t="str">
        <f>IF(N64="eligible",IF(C64+2920&lt;'BASIC INFO'!$B$3, "YES", "NO"),"N/A")</f>
        <v>N/A</v>
      </c>
      <c r="T64" s="39" t="str">
        <f>IF(OR('CASE DATA'!G65="DEF"), "YES", "NO")</f>
        <v>NO</v>
      </c>
      <c r="U64" s="35" t="str">
        <f>IF(T64="YES",'CASE DATA'!I65,"N/A")</f>
        <v>N/A</v>
      </c>
      <c r="V64" s="40" t="str">
        <f>IF(T64="YES",BANKRUPTCY!C65+BANKRUPTCY!D65,"N/A")</f>
        <v>N/A</v>
      </c>
      <c r="W64" s="40" t="str">
        <f>IF(T64="YES",SUM('CASE DATA'!K65:T65),"N/A")</f>
        <v>N/A</v>
      </c>
      <c r="X64" s="35" t="str">
        <f>IF(OR('CASE DATA'!F65="123.46",'CASE DATA'!F65="123.47"),"YES","NO")</f>
        <v>NO</v>
      </c>
      <c r="Y64" s="40" t="str">
        <f>IF(X64="YES",IF(C64+730.5&lt;'BASIC INFO'!$B$3, "YES","NO"), "N/A")</f>
        <v>N/A</v>
      </c>
      <c r="Z64" s="35" t="str">
        <f>IF('CASE DATA'!F65="725.1","YES","NO")</f>
        <v>NO</v>
      </c>
      <c r="AA64" s="35" t="str">
        <f>IF(Z64="YES",IF(C64+730.5&lt;'BASIC INFO'!$B$3, "YES","NO"), "N/A")</f>
        <v>N/A</v>
      </c>
      <c r="AB64" s="35" t="str">
        <f>IF('BASIC INFO'!$B$6+6574.5&gt;C64, "YES", "NO")</f>
        <v>YES</v>
      </c>
    </row>
    <row r="65" spans="1:28" x14ac:dyDescent="0.25">
      <c r="A65" s="35" t="str">
        <f>IF('CASE DATA'!A66="","z",'CASE DATA'!A66)</f>
        <v>z</v>
      </c>
      <c r="B65" s="66" t="str">
        <f>IF('CASE DATA'!A66="","",'CASE DATA'!E66)</f>
        <v/>
      </c>
      <c r="C65" s="36">
        <f>'CASE DATA'!D66</f>
        <v>0</v>
      </c>
      <c r="D65" s="37" t="str">
        <f>IF('CASE DATA'!I66="YES",SUM('CASE DATA'!K66:Q66),"n/a")</f>
        <v>n/a</v>
      </c>
      <c r="E65" s="38" t="str">
        <f>IF('CASE DATA'!G66="JUV", "YES", "NO")</f>
        <v>NO</v>
      </c>
      <c r="F65" s="38" t="str">
        <f t="array" ref="F65">IF(E65="YES",IF(SUM(COUNTIF('CASE DATA'!$G$4:$G$200, {"GTR","GPL","DEF","JUV"}))&gt;0, "YES","NO"),"N/A")</f>
        <v>N/A</v>
      </c>
      <c r="G65" s="38" t="str">
        <f>IF(E65="YES",IF(COUNTIF('CASE DATA'!$D$4:$D$200, "")-COUNTIF('CASE DATA'!$A$4:$A$200, "")&gt;0, "YES","NO"),"N/A")</f>
        <v>N/A</v>
      </c>
      <c r="H65" s="35" t="str">
        <f>_xlfn.IFS(E65="NO", "N/A", AND('BASIC INFO'!$B$3&gt;'BASIC INFO'!$B$6+6574.5, C65+730.5&lt;'BASIC INFO'!$B$3), "YES", 'BASIC INFO'!$B$3&lt;('BASIC INFO'!$B$6+6574.5), "NOT YET 18", C65+730.5&gt;'BASIC INFO'!$B$3, "NOT YET 2 YEARS")</f>
        <v>N/A</v>
      </c>
      <c r="I65" s="39" t="str">
        <f>IF(OR(AND(LEFT('CASE DATA'!F66,4)="321.",MID('CASE DATA'!A66,8,2)="SM"),MID('CASE DATA'!A66,8,2)="ST",MID('CASE DATA'!A66,8,2)="NT"),"TRAFFIC",IF(OR('CASE DATA'!G66="DISM", 'CASE DATA'!G66="ACQ", 'CASE DATA'!G66="NOTF", 'CASE DATA'!G66="WTHD", 'CASE DATA'!G66="TNSF"), "YES", "NO"))</f>
        <v>NO</v>
      </c>
      <c r="J65" s="40" t="str">
        <f>IF(I65="YES",'CASE DATA'!U66,"N/A")</f>
        <v>N/A</v>
      </c>
      <c r="K65" s="40" t="str">
        <f>IF(I65="YES",SOL!C66+SOL!D66,"N/A")</f>
        <v>N/A</v>
      </c>
      <c r="L65" s="35" t="str">
        <f>IF(I65="YES",IF(C65+180&lt;'BASIC INFO'!$B$3, "YES", "NO"),"N/A")</f>
        <v>N/A</v>
      </c>
      <c r="M65" s="40" t="str">
        <f t="array" ref="M65">IF(I65="TRAFFIC","n/a",IF(OR('CASE DATA'!G66="GTR", 'CASE DATA'!G66="GPL"),IF(SUM(COUNTIF('CASE DATA'!X66:AI66, 'CODE SECTIONS'!$V$2:$V$218&amp;"*"))&gt;0,"NO","YES"),"n/a"))</f>
        <v>n/a</v>
      </c>
      <c r="N65" s="40" t="str">
        <f t="array" ref="N65">IF(M65="YES",IF(OR((SUM(COUNTIF('CASE DATA'!X66:AI66,'CODE SECTIONS'!$X$2:$X$19&amp;"*"))&gt;0),LEFT('CASE DATA'!X66:AI66,4)="717C", LEFT('CASE DATA'!X66:AI66, 3)="719", LEFT('CASE DATA'!X66:AI66,3)="720", LEFT('CASE DATA'!X66:AI66,3)="724", LEFT('CASE DATA'!X66:AI66,3)="726", LEFT('CASE DATA'!X66:AI66,3)="728", LEFT('CASE DATA'!X66:AI66,4)="901A"), "ineligible misd","eligible"),"n/a")</f>
        <v>n/a</v>
      </c>
      <c r="O65" s="40" t="str">
        <f>IF(N65="eligible",IF(COUNTIF('CASE DATA'!$D$4:$D$200, "")-COUNTIF('CASE DATA'!$A$4:$A$200, "")&gt;0, "YES","NO"),"N/A")</f>
        <v>N/A</v>
      </c>
      <c r="P65" s="40" t="str">
        <f>IF(N65="eligible",BANKRUPTCY!C66+BANKRUPTCY!D66,"N/A")</f>
        <v>N/A</v>
      </c>
      <c r="Q65" s="40" t="str">
        <f>IF(N65="eligible",SOL!C66+SOL!D66,"N/A")</f>
        <v>N/A</v>
      </c>
      <c r="R65" s="40" t="str">
        <f>IF(N65="eligible",SUM('CASE DATA'!K66:T66),"N/A")</f>
        <v>N/A</v>
      </c>
      <c r="S65" s="40" t="str">
        <f>IF(N65="eligible",IF(C65+2920&lt;'BASIC INFO'!$B$3, "YES", "NO"),"N/A")</f>
        <v>N/A</v>
      </c>
      <c r="T65" s="39" t="str">
        <f>IF(OR('CASE DATA'!G66="DEF"), "YES", "NO")</f>
        <v>NO</v>
      </c>
      <c r="U65" s="35" t="str">
        <f>IF(T65="YES",'CASE DATA'!I66,"N/A")</f>
        <v>N/A</v>
      </c>
      <c r="V65" s="40" t="str">
        <f>IF(T65="YES",BANKRUPTCY!C66+BANKRUPTCY!D66,"N/A")</f>
        <v>N/A</v>
      </c>
      <c r="W65" s="40" t="str">
        <f>IF(T65="YES",SUM('CASE DATA'!K66:T66),"N/A")</f>
        <v>N/A</v>
      </c>
      <c r="X65" s="35" t="str">
        <f>IF(OR('CASE DATA'!F66="123.46",'CASE DATA'!F66="123.47"),"YES","NO")</f>
        <v>NO</v>
      </c>
      <c r="Y65" s="40" t="str">
        <f>IF(X65="YES",IF(C65+730.5&lt;'BASIC INFO'!$B$3, "YES","NO"), "N/A")</f>
        <v>N/A</v>
      </c>
      <c r="Z65" s="35" t="str">
        <f>IF('CASE DATA'!F66="725.1","YES","NO")</f>
        <v>NO</v>
      </c>
      <c r="AA65" s="35" t="str">
        <f>IF(Z65="YES",IF(C65+730.5&lt;'BASIC INFO'!$B$3, "YES","NO"), "N/A")</f>
        <v>N/A</v>
      </c>
      <c r="AB65" s="35" t="str">
        <f>IF('BASIC INFO'!$B$6+6574.5&gt;C65, "YES", "NO")</f>
        <v>YES</v>
      </c>
    </row>
    <row r="66" spans="1:28" x14ac:dyDescent="0.25">
      <c r="A66" s="35" t="str">
        <f>IF('CASE DATA'!A67="","z",'CASE DATA'!A67)</f>
        <v>z</v>
      </c>
      <c r="B66" s="66" t="str">
        <f>IF('CASE DATA'!A67="","",'CASE DATA'!E67)</f>
        <v/>
      </c>
      <c r="C66" s="36">
        <f>'CASE DATA'!D67</f>
        <v>0</v>
      </c>
      <c r="D66" s="37" t="str">
        <f>IF('CASE DATA'!I67="YES",SUM('CASE DATA'!K67:Q67),"n/a")</f>
        <v>n/a</v>
      </c>
      <c r="E66" s="38" t="str">
        <f>IF('CASE DATA'!G67="JUV", "YES", "NO")</f>
        <v>NO</v>
      </c>
      <c r="F66" s="38" t="str">
        <f t="array" ref="F66">IF(E66="YES",IF(SUM(COUNTIF('CASE DATA'!$G$4:$G$200, {"GTR","GPL","DEF","JUV"}))&gt;0, "YES","NO"),"N/A")</f>
        <v>N/A</v>
      </c>
      <c r="G66" s="38" t="str">
        <f>IF(E66="YES",IF(COUNTIF('CASE DATA'!$D$4:$D$200, "")-COUNTIF('CASE DATA'!$A$4:$A$200, "")&gt;0, "YES","NO"),"N/A")</f>
        <v>N/A</v>
      </c>
      <c r="H66" s="35" t="str">
        <f>_xlfn.IFS(E66="NO", "N/A", AND('BASIC INFO'!$B$3&gt;'BASIC INFO'!$B$6+6574.5, C66+730.5&lt;'BASIC INFO'!$B$3), "YES", 'BASIC INFO'!$B$3&lt;('BASIC INFO'!$B$6+6574.5), "NOT YET 18", C66+730.5&gt;'BASIC INFO'!$B$3, "NOT YET 2 YEARS")</f>
        <v>N/A</v>
      </c>
      <c r="I66" s="39" t="str">
        <f>IF(OR(AND(LEFT('CASE DATA'!F67,4)="321.",MID('CASE DATA'!A67,8,2)="SM"),MID('CASE DATA'!A67,8,2)="ST",MID('CASE DATA'!A67,8,2)="NT"),"TRAFFIC",IF(OR('CASE DATA'!G67="DISM", 'CASE DATA'!G67="ACQ", 'CASE DATA'!G67="NOTF", 'CASE DATA'!G67="WTHD", 'CASE DATA'!G67="TNSF"), "YES", "NO"))</f>
        <v>NO</v>
      </c>
      <c r="J66" s="40" t="str">
        <f>IF(I66="YES",'CASE DATA'!U67,"N/A")</f>
        <v>N/A</v>
      </c>
      <c r="K66" s="40" t="str">
        <f>IF(I66="YES",SOL!C67+SOL!D67,"N/A")</f>
        <v>N/A</v>
      </c>
      <c r="L66" s="35" t="str">
        <f>IF(I66="YES",IF(C66+180&lt;'BASIC INFO'!$B$3, "YES", "NO"),"N/A")</f>
        <v>N/A</v>
      </c>
      <c r="M66" s="40" t="str">
        <f t="array" ref="M66">IF(I66="TRAFFIC","n/a",IF(OR('CASE DATA'!G67="GTR", 'CASE DATA'!G67="GPL"),IF(SUM(COUNTIF('CASE DATA'!X67:AI67, 'CODE SECTIONS'!$V$2:$V$218&amp;"*"))&gt;0,"NO","YES"),"n/a"))</f>
        <v>n/a</v>
      </c>
      <c r="N66" s="40" t="str">
        <f t="array" ref="N66">IF(M66="YES",IF(OR((SUM(COUNTIF('CASE DATA'!X67:AI67,'CODE SECTIONS'!$X$2:$X$19&amp;"*"))&gt;0),LEFT('CASE DATA'!X67:AI67,4)="717C", LEFT('CASE DATA'!X67:AI67, 3)="719", LEFT('CASE DATA'!X67:AI67,3)="720", LEFT('CASE DATA'!X67:AI67,3)="724", LEFT('CASE DATA'!X67:AI67,3)="726", LEFT('CASE DATA'!X67:AI67,3)="728", LEFT('CASE DATA'!X67:AI67,4)="901A"), "ineligible misd","eligible"),"n/a")</f>
        <v>n/a</v>
      </c>
      <c r="O66" s="40" t="str">
        <f>IF(N66="eligible",IF(COUNTIF('CASE DATA'!$D$4:$D$200, "")-COUNTIF('CASE DATA'!$A$4:$A$200, "")&gt;0, "YES","NO"),"N/A")</f>
        <v>N/A</v>
      </c>
      <c r="P66" s="40" t="str">
        <f>IF(N66="eligible",BANKRUPTCY!C67+BANKRUPTCY!D67,"N/A")</f>
        <v>N/A</v>
      </c>
      <c r="Q66" s="40" t="str">
        <f>IF(N66="eligible",SOL!C67+SOL!D67,"N/A")</f>
        <v>N/A</v>
      </c>
      <c r="R66" s="40" t="str">
        <f>IF(N66="eligible",SUM('CASE DATA'!K67:T67),"N/A")</f>
        <v>N/A</v>
      </c>
      <c r="S66" s="40" t="str">
        <f>IF(N66="eligible",IF(C66+2920&lt;'BASIC INFO'!$B$3, "YES", "NO"),"N/A")</f>
        <v>N/A</v>
      </c>
      <c r="T66" s="39" t="str">
        <f>IF(OR('CASE DATA'!G67="DEF"), "YES", "NO")</f>
        <v>NO</v>
      </c>
      <c r="U66" s="35" t="str">
        <f>IF(T66="YES",'CASE DATA'!I67,"N/A")</f>
        <v>N/A</v>
      </c>
      <c r="V66" s="40" t="str">
        <f>IF(T66="YES",BANKRUPTCY!C67+BANKRUPTCY!D67,"N/A")</f>
        <v>N/A</v>
      </c>
      <c r="W66" s="40" t="str">
        <f>IF(T66="YES",SUM('CASE DATA'!K67:T67),"N/A")</f>
        <v>N/A</v>
      </c>
      <c r="X66" s="35" t="str">
        <f>IF(OR('CASE DATA'!F67="123.46",'CASE DATA'!F67="123.47"),"YES","NO")</f>
        <v>NO</v>
      </c>
      <c r="Y66" s="40" t="str">
        <f>IF(X66="YES",IF(C66+730.5&lt;'BASIC INFO'!$B$3, "YES","NO"), "N/A")</f>
        <v>N/A</v>
      </c>
      <c r="Z66" s="35" t="str">
        <f>IF('CASE DATA'!F67="725.1","YES","NO")</f>
        <v>NO</v>
      </c>
      <c r="AA66" s="35" t="str">
        <f>IF(Z66="YES",IF(C66+730.5&lt;'BASIC INFO'!$B$3, "YES","NO"), "N/A")</f>
        <v>N/A</v>
      </c>
      <c r="AB66" s="35" t="str">
        <f>IF('BASIC INFO'!$B$6+6574.5&gt;C66, "YES", "NO")</f>
        <v>YES</v>
      </c>
    </row>
    <row r="67" spans="1:28" x14ac:dyDescent="0.25">
      <c r="A67" s="35" t="str">
        <f>IF('CASE DATA'!A68="","z",'CASE DATA'!A68)</f>
        <v>z</v>
      </c>
      <c r="B67" s="66" t="str">
        <f>IF('CASE DATA'!A68="","",'CASE DATA'!E68)</f>
        <v/>
      </c>
      <c r="C67" s="36">
        <f>'CASE DATA'!D68</f>
        <v>0</v>
      </c>
      <c r="D67" s="37" t="str">
        <f>IF('CASE DATA'!I68="YES",SUM('CASE DATA'!K68:Q68),"n/a")</f>
        <v>n/a</v>
      </c>
      <c r="E67" s="38" t="str">
        <f>IF('CASE DATA'!G68="JUV", "YES", "NO")</f>
        <v>NO</v>
      </c>
      <c r="F67" s="38" t="str">
        <f t="array" ref="F67">IF(E67="YES",IF(SUM(COUNTIF('CASE DATA'!$G$4:$G$200, {"GTR","GPL","DEF","JUV"}))&gt;0, "YES","NO"),"N/A")</f>
        <v>N/A</v>
      </c>
      <c r="G67" s="38" t="str">
        <f>IF(E67="YES",IF(COUNTIF('CASE DATA'!$D$4:$D$200, "")-COUNTIF('CASE DATA'!$A$4:$A$200, "")&gt;0, "YES","NO"),"N/A")</f>
        <v>N/A</v>
      </c>
      <c r="H67" s="35" t="str">
        <f>_xlfn.IFS(E67="NO", "N/A", AND('BASIC INFO'!$B$3&gt;'BASIC INFO'!$B$6+6574.5, C67+730.5&lt;'BASIC INFO'!$B$3), "YES", 'BASIC INFO'!$B$3&lt;('BASIC INFO'!$B$6+6574.5), "NOT YET 18", C67+730.5&gt;'BASIC INFO'!$B$3, "NOT YET 2 YEARS")</f>
        <v>N/A</v>
      </c>
      <c r="I67" s="39" t="str">
        <f>IF(OR(AND(LEFT('CASE DATA'!F68,4)="321.",MID('CASE DATA'!A68,8,2)="SM"),MID('CASE DATA'!A68,8,2)="ST",MID('CASE DATA'!A68,8,2)="NT"),"TRAFFIC",IF(OR('CASE DATA'!G68="DISM", 'CASE DATA'!G68="ACQ", 'CASE DATA'!G68="NOTF", 'CASE DATA'!G68="WTHD", 'CASE DATA'!G68="TNSF"), "YES", "NO"))</f>
        <v>NO</v>
      </c>
      <c r="J67" s="40" t="str">
        <f>IF(I67="YES",'CASE DATA'!U68,"N/A")</f>
        <v>N/A</v>
      </c>
      <c r="K67" s="40" t="str">
        <f>IF(I67="YES",SOL!C68+SOL!D68,"N/A")</f>
        <v>N/A</v>
      </c>
      <c r="L67" s="35" t="str">
        <f>IF(I67="YES",IF(C67+180&lt;'BASIC INFO'!$B$3, "YES", "NO"),"N/A")</f>
        <v>N/A</v>
      </c>
      <c r="M67" s="40" t="str">
        <f t="array" ref="M67">IF(I67="TRAFFIC","n/a",IF(OR('CASE DATA'!G68="GTR", 'CASE DATA'!G68="GPL"),IF(SUM(COUNTIF('CASE DATA'!X68:AI68, 'CODE SECTIONS'!$V$2:$V$218&amp;"*"))&gt;0,"NO","YES"),"n/a"))</f>
        <v>n/a</v>
      </c>
      <c r="N67" s="40" t="str">
        <f t="array" ref="N67">IF(M67="YES",IF(OR((SUM(COUNTIF('CASE DATA'!X68:AI68,'CODE SECTIONS'!$X$2:$X$19&amp;"*"))&gt;0),LEFT('CASE DATA'!X68:AI68,4)="717C", LEFT('CASE DATA'!X68:AI68, 3)="719", LEFT('CASE DATA'!X68:AI68,3)="720", LEFT('CASE DATA'!X68:AI68,3)="724", LEFT('CASE DATA'!X68:AI68,3)="726", LEFT('CASE DATA'!X68:AI68,3)="728", LEFT('CASE DATA'!X68:AI68,4)="901A"), "ineligible misd","eligible"),"n/a")</f>
        <v>n/a</v>
      </c>
      <c r="O67" s="40" t="str">
        <f>IF(N67="eligible",IF(COUNTIF('CASE DATA'!$D$4:$D$200, "")-COUNTIF('CASE DATA'!$A$4:$A$200, "")&gt;0, "YES","NO"),"N/A")</f>
        <v>N/A</v>
      </c>
      <c r="P67" s="40" t="str">
        <f>IF(N67="eligible",BANKRUPTCY!C68+BANKRUPTCY!D68,"N/A")</f>
        <v>N/A</v>
      </c>
      <c r="Q67" s="40" t="str">
        <f>IF(N67="eligible",SOL!C68+SOL!D68,"N/A")</f>
        <v>N/A</v>
      </c>
      <c r="R67" s="40" t="str">
        <f>IF(N67="eligible",SUM('CASE DATA'!K68:T68),"N/A")</f>
        <v>N/A</v>
      </c>
      <c r="S67" s="40" t="str">
        <f>IF(N67="eligible",IF(C67+2920&lt;'BASIC INFO'!$B$3, "YES", "NO"),"N/A")</f>
        <v>N/A</v>
      </c>
      <c r="T67" s="39" t="str">
        <f>IF(OR('CASE DATA'!G68="DEF"), "YES", "NO")</f>
        <v>NO</v>
      </c>
      <c r="U67" s="35" t="str">
        <f>IF(T67="YES",'CASE DATA'!I68,"N/A")</f>
        <v>N/A</v>
      </c>
      <c r="V67" s="40" t="str">
        <f>IF(T67="YES",BANKRUPTCY!C68+BANKRUPTCY!D68,"N/A")</f>
        <v>N/A</v>
      </c>
      <c r="W67" s="40" t="str">
        <f>IF(T67="YES",SUM('CASE DATA'!K68:T68),"N/A")</f>
        <v>N/A</v>
      </c>
      <c r="X67" s="35" t="str">
        <f>IF(OR('CASE DATA'!F68="123.46",'CASE DATA'!F68="123.47"),"YES","NO")</f>
        <v>NO</v>
      </c>
      <c r="Y67" s="40" t="str">
        <f>IF(X67="YES",IF(C67+730.5&lt;'BASIC INFO'!$B$3, "YES","NO"), "N/A")</f>
        <v>N/A</v>
      </c>
      <c r="Z67" s="35" t="str">
        <f>IF('CASE DATA'!F68="725.1","YES","NO")</f>
        <v>NO</v>
      </c>
      <c r="AA67" s="35" t="str">
        <f>IF(Z67="YES",IF(C67+730.5&lt;'BASIC INFO'!$B$3, "YES","NO"), "N/A")</f>
        <v>N/A</v>
      </c>
      <c r="AB67" s="35" t="str">
        <f>IF('BASIC INFO'!$B$6+6574.5&gt;C67, "YES", "NO")</f>
        <v>YES</v>
      </c>
    </row>
    <row r="68" spans="1:28" x14ac:dyDescent="0.25">
      <c r="A68" s="35" t="str">
        <f>IF('CASE DATA'!A69="","z",'CASE DATA'!A69)</f>
        <v>z</v>
      </c>
      <c r="B68" s="66" t="str">
        <f>IF('CASE DATA'!A69="","",'CASE DATA'!E69)</f>
        <v/>
      </c>
      <c r="C68" s="36">
        <f>'CASE DATA'!D69</f>
        <v>0</v>
      </c>
      <c r="D68" s="37" t="str">
        <f>IF('CASE DATA'!I69="YES",SUM('CASE DATA'!K69:Q69),"n/a")</f>
        <v>n/a</v>
      </c>
      <c r="E68" s="38" t="str">
        <f>IF('CASE DATA'!G69="JUV", "YES", "NO")</f>
        <v>NO</v>
      </c>
      <c r="F68" s="38" t="str">
        <f t="array" ref="F68">IF(E68="YES",IF(SUM(COUNTIF('CASE DATA'!$G$4:$G$200, {"GTR","GPL","DEF","JUV"}))&gt;0, "YES","NO"),"N/A")</f>
        <v>N/A</v>
      </c>
      <c r="G68" s="38" t="str">
        <f>IF(E68="YES",IF(COUNTIF('CASE DATA'!$D$4:$D$200, "")-COUNTIF('CASE DATA'!$A$4:$A$200, "")&gt;0, "YES","NO"),"N/A")</f>
        <v>N/A</v>
      </c>
      <c r="H68" s="35" t="str">
        <f>_xlfn.IFS(E68="NO", "N/A", AND('BASIC INFO'!$B$3&gt;'BASIC INFO'!$B$6+6574.5, C68+730.5&lt;'BASIC INFO'!$B$3), "YES", 'BASIC INFO'!$B$3&lt;('BASIC INFO'!$B$6+6574.5), "NOT YET 18", C68+730.5&gt;'BASIC INFO'!$B$3, "NOT YET 2 YEARS")</f>
        <v>N/A</v>
      </c>
      <c r="I68" s="39" t="str">
        <f>IF(OR(AND(LEFT('CASE DATA'!F69,4)="321.",MID('CASE DATA'!A69,8,2)="SM"),MID('CASE DATA'!A69,8,2)="ST",MID('CASE DATA'!A69,8,2)="NT"),"TRAFFIC",IF(OR('CASE DATA'!G69="DISM", 'CASE DATA'!G69="ACQ", 'CASE DATA'!G69="NOTF", 'CASE DATA'!G69="WTHD", 'CASE DATA'!G69="TNSF"), "YES", "NO"))</f>
        <v>NO</v>
      </c>
      <c r="J68" s="40" t="str">
        <f>IF(I68="YES",'CASE DATA'!U69,"N/A")</f>
        <v>N/A</v>
      </c>
      <c r="K68" s="40" t="str">
        <f>IF(I68="YES",SOL!C69+SOL!D69,"N/A")</f>
        <v>N/A</v>
      </c>
      <c r="L68" s="35" t="str">
        <f>IF(I68="YES",IF(C68+180&lt;'BASIC INFO'!$B$3, "YES", "NO"),"N/A")</f>
        <v>N/A</v>
      </c>
      <c r="M68" s="40" t="str">
        <f t="array" ref="M68">IF(I68="TRAFFIC","n/a",IF(OR('CASE DATA'!G69="GTR", 'CASE DATA'!G69="GPL"),IF(SUM(COUNTIF('CASE DATA'!X69:AI69, 'CODE SECTIONS'!$V$2:$V$218&amp;"*"))&gt;0,"NO","YES"),"n/a"))</f>
        <v>n/a</v>
      </c>
      <c r="N68" s="40" t="str">
        <f t="array" ref="N68">IF(M68="YES",IF(OR((SUM(COUNTIF('CASE DATA'!X69:AI69,'CODE SECTIONS'!$X$2:$X$19&amp;"*"))&gt;0),LEFT('CASE DATA'!X69:AI69,4)="717C", LEFT('CASE DATA'!X69:AI69, 3)="719", LEFT('CASE DATA'!X69:AI69,3)="720", LEFT('CASE DATA'!X69:AI69,3)="724", LEFT('CASE DATA'!X69:AI69,3)="726", LEFT('CASE DATA'!X69:AI69,3)="728", LEFT('CASE DATA'!X69:AI69,4)="901A"), "ineligible misd","eligible"),"n/a")</f>
        <v>n/a</v>
      </c>
      <c r="O68" s="40" t="str">
        <f>IF(N68="eligible",IF(COUNTIF('CASE DATA'!$D$4:$D$200, "")-COUNTIF('CASE DATA'!$A$4:$A$200, "")&gt;0, "YES","NO"),"N/A")</f>
        <v>N/A</v>
      </c>
      <c r="P68" s="40" t="str">
        <f>IF(N68="eligible",BANKRUPTCY!C69+BANKRUPTCY!D69,"N/A")</f>
        <v>N/A</v>
      </c>
      <c r="Q68" s="40" t="str">
        <f>IF(N68="eligible",SOL!C69+SOL!D69,"N/A")</f>
        <v>N/A</v>
      </c>
      <c r="R68" s="40" t="str">
        <f>IF(N68="eligible",SUM('CASE DATA'!K69:T69),"N/A")</f>
        <v>N/A</v>
      </c>
      <c r="S68" s="40" t="str">
        <f>IF(N68="eligible",IF(C68+2920&lt;'BASIC INFO'!$B$3, "YES", "NO"),"N/A")</f>
        <v>N/A</v>
      </c>
      <c r="T68" s="39" t="str">
        <f>IF(OR('CASE DATA'!G69="DEF"), "YES", "NO")</f>
        <v>NO</v>
      </c>
      <c r="U68" s="35" t="str">
        <f>IF(T68="YES",'CASE DATA'!I69,"N/A")</f>
        <v>N/A</v>
      </c>
      <c r="V68" s="40" t="str">
        <f>IF(T68="YES",BANKRUPTCY!C69+BANKRUPTCY!D69,"N/A")</f>
        <v>N/A</v>
      </c>
      <c r="W68" s="40" t="str">
        <f>IF(T68="YES",SUM('CASE DATA'!K69:T69),"N/A")</f>
        <v>N/A</v>
      </c>
      <c r="X68" s="35" t="str">
        <f>IF(OR('CASE DATA'!F69="123.46",'CASE DATA'!F69="123.47"),"YES","NO")</f>
        <v>NO</v>
      </c>
      <c r="Y68" s="40" t="str">
        <f>IF(X68="YES",IF(C68+730.5&lt;'BASIC INFO'!$B$3, "YES","NO"), "N/A")</f>
        <v>N/A</v>
      </c>
      <c r="Z68" s="35" t="str">
        <f>IF('CASE DATA'!F69="725.1","YES","NO")</f>
        <v>NO</v>
      </c>
      <c r="AA68" s="35" t="str">
        <f>IF(Z68="YES",IF(C68+730.5&lt;'BASIC INFO'!$B$3, "YES","NO"), "N/A")</f>
        <v>N/A</v>
      </c>
      <c r="AB68" s="35" t="str">
        <f>IF('BASIC INFO'!$B$6+6574.5&gt;C68, "YES", "NO")</f>
        <v>YES</v>
      </c>
    </row>
    <row r="69" spans="1:28" x14ac:dyDescent="0.25">
      <c r="A69" s="35" t="str">
        <f>IF('CASE DATA'!A70="","z",'CASE DATA'!A70)</f>
        <v>z</v>
      </c>
      <c r="B69" s="66" t="str">
        <f>IF('CASE DATA'!A70="","",'CASE DATA'!E70)</f>
        <v/>
      </c>
      <c r="C69" s="36">
        <f>'CASE DATA'!D70</f>
        <v>0</v>
      </c>
      <c r="D69" s="37" t="str">
        <f>IF('CASE DATA'!I70="YES",SUM('CASE DATA'!K70:Q70),"n/a")</f>
        <v>n/a</v>
      </c>
      <c r="E69" s="38" t="str">
        <f>IF('CASE DATA'!G70="JUV", "YES", "NO")</f>
        <v>NO</v>
      </c>
      <c r="F69" s="38" t="str">
        <f t="array" ref="F69">IF(E69="YES",IF(SUM(COUNTIF('CASE DATA'!$G$4:$G$200, {"GTR","GPL","DEF","JUV"}))&gt;0, "YES","NO"),"N/A")</f>
        <v>N/A</v>
      </c>
      <c r="G69" s="38" t="str">
        <f>IF(E69="YES",IF(COUNTIF('CASE DATA'!$D$4:$D$200, "")-COUNTIF('CASE DATA'!$A$4:$A$200, "")&gt;0, "YES","NO"),"N/A")</f>
        <v>N/A</v>
      </c>
      <c r="H69" s="35" t="str">
        <f>_xlfn.IFS(E69="NO", "N/A", AND('BASIC INFO'!$B$3&gt;'BASIC INFO'!$B$6+6574.5, C69+730.5&lt;'BASIC INFO'!$B$3), "YES", 'BASIC INFO'!$B$3&lt;('BASIC INFO'!$B$6+6574.5), "NOT YET 18", C69+730.5&gt;'BASIC INFO'!$B$3, "NOT YET 2 YEARS")</f>
        <v>N/A</v>
      </c>
      <c r="I69" s="39" t="str">
        <f>IF(OR(AND(LEFT('CASE DATA'!F70,4)="321.",MID('CASE DATA'!A70,8,2)="SM"),MID('CASE DATA'!A70,8,2)="ST",MID('CASE DATA'!A70,8,2)="NT"),"TRAFFIC",IF(OR('CASE DATA'!G70="DISM", 'CASE DATA'!G70="ACQ", 'CASE DATA'!G70="NOTF", 'CASE DATA'!G70="WTHD", 'CASE DATA'!G70="TNSF"), "YES", "NO"))</f>
        <v>NO</v>
      </c>
      <c r="J69" s="40" t="str">
        <f>IF(I69="YES",'CASE DATA'!U70,"N/A")</f>
        <v>N/A</v>
      </c>
      <c r="K69" s="40" t="str">
        <f>IF(I69="YES",SOL!C70+SOL!D70,"N/A")</f>
        <v>N/A</v>
      </c>
      <c r="L69" s="35" t="str">
        <f>IF(I69="YES",IF(C69+180&lt;'BASIC INFO'!$B$3, "YES", "NO"),"N/A")</f>
        <v>N/A</v>
      </c>
      <c r="M69" s="40" t="str">
        <f t="array" ref="M69">IF(I69="TRAFFIC","n/a",IF(OR('CASE DATA'!G70="GTR", 'CASE DATA'!G70="GPL"),IF(SUM(COUNTIF('CASE DATA'!X70:AI70, 'CODE SECTIONS'!$V$2:$V$218&amp;"*"))&gt;0,"NO","YES"),"n/a"))</f>
        <v>n/a</v>
      </c>
      <c r="N69" s="40" t="str">
        <f t="array" ref="N69">IF(M69="YES",IF(OR((SUM(COUNTIF('CASE DATA'!X70:AI70,'CODE SECTIONS'!$X$2:$X$19&amp;"*"))&gt;0),LEFT('CASE DATA'!X70:AI70,4)="717C", LEFT('CASE DATA'!X70:AI70, 3)="719", LEFT('CASE DATA'!X70:AI70,3)="720", LEFT('CASE DATA'!X70:AI70,3)="724", LEFT('CASE DATA'!X70:AI70,3)="726", LEFT('CASE DATA'!X70:AI70,3)="728", LEFT('CASE DATA'!X70:AI70,4)="901A"), "ineligible misd","eligible"),"n/a")</f>
        <v>n/a</v>
      </c>
      <c r="O69" s="40" t="str">
        <f>IF(N69="eligible",IF(COUNTIF('CASE DATA'!$D$4:$D$200, "")-COUNTIF('CASE DATA'!$A$4:$A$200, "")&gt;0, "YES","NO"),"N/A")</f>
        <v>N/A</v>
      </c>
      <c r="P69" s="40" t="str">
        <f>IF(N69="eligible",BANKRUPTCY!C70+BANKRUPTCY!D70,"N/A")</f>
        <v>N/A</v>
      </c>
      <c r="Q69" s="40" t="str">
        <f>IF(N69="eligible",SOL!C70+SOL!D70,"N/A")</f>
        <v>N/A</v>
      </c>
      <c r="R69" s="40" t="str">
        <f>IF(N69="eligible",SUM('CASE DATA'!K70:T70),"N/A")</f>
        <v>N/A</v>
      </c>
      <c r="S69" s="40" t="str">
        <f>IF(N69="eligible",IF(C69+2920&lt;'BASIC INFO'!$B$3, "YES", "NO"),"N/A")</f>
        <v>N/A</v>
      </c>
      <c r="T69" s="39" t="str">
        <f>IF(OR('CASE DATA'!G70="DEF"), "YES", "NO")</f>
        <v>NO</v>
      </c>
      <c r="U69" s="35" t="str">
        <f>IF(T69="YES",'CASE DATA'!I70,"N/A")</f>
        <v>N/A</v>
      </c>
      <c r="V69" s="40" t="str">
        <f>IF(T69="YES",BANKRUPTCY!C70+BANKRUPTCY!D70,"N/A")</f>
        <v>N/A</v>
      </c>
      <c r="W69" s="40" t="str">
        <f>IF(T69="YES",SUM('CASE DATA'!K70:T70),"N/A")</f>
        <v>N/A</v>
      </c>
      <c r="X69" s="35" t="str">
        <f>IF(OR('CASE DATA'!F70="123.46",'CASE DATA'!F70="123.47"),"YES","NO")</f>
        <v>NO</v>
      </c>
      <c r="Y69" s="40" t="str">
        <f>IF(X69="YES",IF(C69+730.5&lt;'BASIC INFO'!$B$3, "YES","NO"), "N/A")</f>
        <v>N/A</v>
      </c>
      <c r="Z69" s="35" t="str">
        <f>IF('CASE DATA'!F70="725.1","YES","NO")</f>
        <v>NO</v>
      </c>
      <c r="AA69" s="35" t="str">
        <f>IF(Z69="YES",IF(C69+730.5&lt;'BASIC INFO'!$B$3, "YES","NO"), "N/A")</f>
        <v>N/A</v>
      </c>
      <c r="AB69" s="35" t="str">
        <f>IF('BASIC INFO'!$B$6+6574.5&gt;C69, "YES", "NO")</f>
        <v>YES</v>
      </c>
    </row>
    <row r="70" spans="1:28" x14ac:dyDescent="0.25">
      <c r="A70" s="35" t="str">
        <f>IF('CASE DATA'!A71="","z",'CASE DATA'!A71)</f>
        <v>z</v>
      </c>
      <c r="B70" s="66" t="str">
        <f>IF('CASE DATA'!A71="","",'CASE DATA'!E71)</f>
        <v/>
      </c>
      <c r="C70" s="36">
        <f>'CASE DATA'!D71</f>
        <v>0</v>
      </c>
      <c r="D70" s="37" t="str">
        <f>IF('CASE DATA'!I71="YES",SUM('CASE DATA'!K71:Q71),"n/a")</f>
        <v>n/a</v>
      </c>
      <c r="E70" s="38" t="str">
        <f>IF('CASE DATA'!G71="JUV", "YES", "NO")</f>
        <v>NO</v>
      </c>
      <c r="F70" s="38" t="str">
        <f t="array" ref="F70">IF(E70="YES",IF(SUM(COUNTIF('CASE DATA'!$G$4:$G$200, {"GTR","GPL","DEF","JUV"}))&gt;0, "YES","NO"),"N/A")</f>
        <v>N/A</v>
      </c>
      <c r="G70" s="38" t="str">
        <f>IF(E70="YES",IF(COUNTIF('CASE DATA'!$D$4:$D$200, "")-COUNTIF('CASE DATA'!$A$4:$A$200, "")&gt;0, "YES","NO"),"N/A")</f>
        <v>N/A</v>
      </c>
      <c r="H70" s="35" t="str">
        <f>_xlfn.IFS(E70="NO", "N/A", AND('BASIC INFO'!$B$3&gt;'BASIC INFO'!$B$6+6574.5, C70+730.5&lt;'BASIC INFO'!$B$3), "YES", 'BASIC INFO'!$B$3&lt;('BASIC INFO'!$B$6+6574.5), "NOT YET 18", C70+730.5&gt;'BASIC INFO'!$B$3, "NOT YET 2 YEARS")</f>
        <v>N/A</v>
      </c>
      <c r="I70" s="39" t="str">
        <f>IF(OR(AND(LEFT('CASE DATA'!F71,4)="321.",MID('CASE DATA'!A71,8,2)="SM"),MID('CASE DATA'!A71,8,2)="ST",MID('CASE DATA'!A71,8,2)="NT"),"TRAFFIC",IF(OR('CASE DATA'!G71="DISM", 'CASE DATA'!G71="ACQ", 'CASE DATA'!G71="NOTF", 'CASE DATA'!G71="WTHD", 'CASE DATA'!G71="TNSF"), "YES", "NO"))</f>
        <v>NO</v>
      </c>
      <c r="J70" s="40" t="str">
        <f>IF(I70="YES",'CASE DATA'!U71,"N/A")</f>
        <v>N/A</v>
      </c>
      <c r="K70" s="40" t="str">
        <f>IF(I70="YES",SOL!C71+SOL!D71,"N/A")</f>
        <v>N/A</v>
      </c>
      <c r="L70" s="35" t="str">
        <f>IF(I70="YES",IF(C70+180&lt;'BASIC INFO'!$B$3, "YES", "NO"),"N/A")</f>
        <v>N/A</v>
      </c>
      <c r="M70" s="40" t="str">
        <f t="array" ref="M70">IF(I70="TRAFFIC","n/a",IF(OR('CASE DATA'!G71="GTR", 'CASE DATA'!G71="GPL"),IF(SUM(COUNTIF('CASE DATA'!X71:AI71, 'CODE SECTIONS'!$V$2:$V$218&amp;"*"))&gt;0,"NO","YES"),"n/a"))</f>
        <v>n/a</v>
      </c>
      <c r="N70" s="40" t="str">
        <f t="array" ref="N70">IF(M70="YES",IF(OR((SUM(COUNTIF('CASE DATA'!X71:AI71,'CODE SECTIONS'!$X$2:$X$19&amp;"*"))&gt;0),LEFT('CASE DATA'!X71:AI71,4)="717C", LEFT('CASE DATA'!X71:AI71, 3)="719", LEFT('CASE DATA'!X71:AI71,3)="720", LEFT('CASE DATA'!X71:AI71,3)="724", LEFT('CASE DATA'!X71:AI71,3)="726", LEFT('CASE DATA'!X71:AI71,3)="728", LEFT('CASE DATA'!X71:AI71,4)="901A"), "ineligible misd","eligible"),"n/a")</f>
        <v>n/a</v>
      </c>
      <c r="O70" s="40" t="str">
        <f>IF(N70="eligible",IF(COUNTIF('CASE DATA'!$D$4:$D$200, "")-COUNTIF('CASE DATA'!$A$4:$A$200, "")&gt;0, "YES","NO"),"N/A")</f>
        <v>N/A</v>
      </c>
      <c r="P70" s="40" t="str">
        <f>IF(N70="eligible",BANKRUPTCY!C71+BANKRUPTCY!D71,"N/A")</f>
        <v>N/A</v>
      </c>
      <c r="Q70" s="40" t="str">
        <f>IF(N70="eligible",SOL!C71+SOL!D71,"N/A")</f>
        <v>N/A</v>
      </c>
      <c r="R70" s="40" t="str">
        <f>IF(N70="eligible",SUM('CASE DATA'!K71:T71),"N/A")</f>
        <v>N/A</v>
      </c>
      <c r="S70" s="40" t="str">
        <f>IF(N70="eligible",IF(C70+2920&lt;'BASIC INFO'!$B$3, "YES", "NO"),"N/A")</f>
        <v>N/A</v>
      </c>
      <c r="T70" s="39" t="str">
        <f>IF(OR('CASE DATA'!G71="DEF"), "YES", "NO")</f>
        <v>NO</v>
      </c>
      <c r="U70" s="35" t="str">
        <f>IF(T70="YES",'CASE DATA'!I71,"N/A")</f>
        <v>N/A</v>
      </c>
      <c r="V70" s="40" t="str">
        <f>IF(T70="YES",BANKRUPTCY!C71+BANKRUPTCY!D71,"N/A")</f>
        <v>N/A</v>
      </c>
      <c r="W70" s="40" t="str">
        <f>IF(T70="YES",SUM('CASE DATA'!K71:T71),"N/A")</f>
        <v>N/A</v>
      </c>
      <c r="X70" s="35" t="str">
        <f>IF(OR('CASE DATA'!F71="123.46",'CASE DATA'!F71="123.47"),"YES","NO")</f>
        <v>NO</v>
      </c>
      <c r="Y70" s="40" t="str">
        <f>IF(X70="YES",IF(C70+730.5&lt;'BASIC INFO'!$B$3, "YES","NO"), "N/A")</f>
        <v>N/A</v>
      </c>
      <c r="Z70" s="35" t="str">
        <f>IF('CASE DATA'!F71="725.1","YES","NO")</f>
        <v>NO</v>
      </c>
      <c r="AA70" s="35" t="str">
        <f>IF(Z70="YES",IF(C70+730.5&lt;'BASIC INFO'!$B$3, "YES","NO"), "N/A")</f>
        <v>N/A</v>
      </c>
      <c r="AB70" s="35" t="str">
        <f>IF('BASIC INFO'!$B$6+6574.5&gt;C70, "YES", "NO")</f>
        <v>YES</v>
      </c>
    </row>
    <row r="71" spans="1:28" x14ac:dyDescent="0.25">
      <c r="A71" s="35" t="str">
        <f>IF('CASE DATA'!A72="","z",'CASE DATA'!A72)</f>
        <v>z</v>
      </c>
      <c r="B71" s="66" t="str">
        <f>IF('CASE DATA'!A72="","",'CASE DATA'!E72)</f>
        <v/>
      </c>
      <c r="C71" s="36">
        <f>'CASE DATA'!D72</f>
        <v>0</v>
      </c>
      <c r="D71" s="37" t="str">
        <f>IF('CASE DATA'!I72="YES",SUM('CASE DATA'!K72:Q72),"n/a")</f>
        <v>n/a</v>
      </c>
      <c r="E71" s="38" t="str">
        <f>IF('CASE DATA'!G72="JUV", "YES", "NO")</f>
        <v>NO</v>
      </c>
      <c r="F71" s="38" t="str">
        <f t="array" ref="F71">IF(E71="YES",IF(SUM(COUNTIF('CASE DATA'!$G$4:$G$200, {"GTR","GPL","DEF","JUV"}))&gt;0, "YES","NO"),"N/A")</f>
        <v>N/A</v>
      </c>
      <c r="G71" s="38" t="str">
        <f>IF(E71="YES",IF(COUNTIF('CASE DATA'!$D$4:$D$200, "")-COUNTIF('CASE DATA'!$A$4:$A$200, "")&gt;0, "YES","NO"),"N/A")</f>
        <v>N/A</v>
      </c>
      <c r="H71" s="35" t="str">
        <f>_xlfn.IFS(E71="NO", "N/A", AND('BASIC INFO'!$B$3&gt;'BASIC INFO'!$B$6+6574.5, C71+730.5&lt;'BASIC INFO'!$B$3), "YES", 'BASIC INFO'!$B$3&lt;('BASIC INFO'!$B$6+6574.5), "NOT YET 18", C71+730.5&gt;'BASIC INFO'!$B$3, "NOT YET 2 YEARS")</f>
        <v>N/A</v>
      </c>
      <c r="I71" s="39" t="str">
        <f>IF(OR(AND(LEFT('CASE DATA'!F72,4)="321.",MID('CASE DATA'!A72,8,2)="SM"),MID('CASE DATA'!A72,8,2)="ST",MID('CASE DATA'!A72,8,2)="NT"),"TRAFFIC",IF(OR('CASE DATA'!G72="DISM", 'CASE DATA'!G72="ACQ", 'CASE DATA'!G72="NOTF", 'CASE DATA'!G72="WTHD", 'CASE DATA'!G72="TNSF"), "YES", "NO"))</f>
        <v>NO</v>
      </c>
      <c r="J71" s="40" t="str">
        <f>IF(I71="YES",'CASE DATA'!U72,"N/A")</f>
        <v>N/A</v>
      </c>
      <c r="K71" s="40" t="str">
        <f>IF(I71="YES",SOL!C72+SOL!D72,"N/A")</f>
        <v>N/A</v>
      </c>
      <c r="L71" s="35" t="str">
        <f>IF(I71="YES",IF(C71+180&lt;'BASIC INFO'!$B$3, "YES", "NO"),"N/A")</f>
        <v>N/A</v>
      </c>
      <c r="M71" s="40" t="str">
        <f t="array" ref="M71">IF(I71="TRAFFIC","n/a",IF(OR('CASE DATA'!G72="GTR", 'CASE DATA'!G72="GPL"),IF(SUM(COUNTIF('CASE DATA'!X72:AI72, 'CODE SECTIONS'!$V$2:$V$218&amp;"*"))&gt;0,"NO","YES"),"n/a"))</f>
        <v>n/a</v>
      </c>
      <c r="N71" s="40" t="str">
        <f t="array" ref="N71">IF(M71="YES",IF(OR((SUM(COUNTIF('CASE DATA'!X72:AI72,'CODE SECTIONS'!$X$2:$X$19&amp;"*"))&gt;0),LEFT('CASE DATA'!X72:AI72,4)="717C", LEFT('CASE DATA'!X72:AI72, 3)="719", LEFT('CASE DATA'!X72:AI72,3)="720", LEFT('CASE DATA'!X72:AI72,3)="724", LEFT('CASE DATA'!X72:AI72,3)="726", LEFT('CASE DATA'!X72:AI72,3)="728", LEFT('CASE DATA'!X72:AI72,4)="901A"), "ineligible misd","eligible"),"n/a")</f>
        <v>n/a</v>
      </c>
      <c r="O71" s="40" t="str">
        <f>IF(N71="eligible",IF(COUNTIF('CASE DATA'!$D$4:$D$200, "")-COUNTIF('CASE DATA'!$A$4:$A$200, "")&gt;0, "YES","NO"),"N/A")</f>
        <v>N/A</v>
      </c>
      <c r="P71" s="40" t="str">
        <f>IF(N71="eligible",BANKRUPTCY!C72+BANKRUPTCY!D72,"N/A")</f>
        <v>N/A</v>
      </c>
      <c r="Q71" s="40" t="str">
        <f>IF(N71="eligible",SOL!C72+SOL!D72,"N/A")</f>
        <v>N/A</v>
      </c>
      <c r="R71" s="40" t="str">
        <f>IF(N71="eligible",SUM('CASE DATA'!K72:T72),"N/A")</f>
        <v>N/A</v>
      </c>
      <c r="S71" s="40" t="str">
        <f>IF(N71="eligible",IF(C71+2920&lt;'BASIC INFO'!$B$3, "YES", "NO"),"N/A")</f>
        <v>N/A</v>
      </c>
      <c r="T71" s="39" t="str">
        <f>IF(OR('CASE DATA'!G72="DEF"), "YES", "NO")</f>
        <v>NO</v>
      </c>
      <c r="U71" s="35" t="str">
        <f>IF(T71="YES",'CASE DATA'!I72,"N/A")</f>
        <v>N/A</v>
      </c>
      <c r="V71" s="40" t="str">
        <f>IF(T71="YES",BANKRUPTCY!C72+BANKRUPTCY!D72,"N/A")</f>
        <v>N/A</v>
      </c>
      <c r="W71" s="40" t="str">
        <f>IF(T71="YES",SUM('CASE DATA'!K72:T72),"N/A")</f>
        <v>N/A</v>
      </c>
      <c r="X71" s="35" t="str">
        <f>IF(OR('CASE DATA'!F72="123.46",'CASE DATA'!F72="123.47"),"YES","NO")</f>
        <v>NO</v>
      </c>
      <c r="Y71" s="40" t="str">
        <f>IF(X71="YES",IF(C71+730.5&lt;'BASIC INFO'!$B$3, "YES","NO"), "N/A")</f>
        <v>N/A</v>
      </c>
      <c r="Z71" s="35" t="str">
        <f>IF('CASE DATA'!F72="725.1","YES","NO")</f>
        <v>NO</v>
      </c>
      <c r="AA71" s="35" t="str">
        <f>IF(Z71="YES",IF(C71+730.5&lt;'BASIC INFO'!$B$3, "YES","NO"), "N/A")</f>
        <v>N/A</v>
      </c>
      <c r="AB71" s="35" t="str">
        <f>IF('BASIC INFO'!$B$6+6574.5&gt;C71, "YES", "NO")</f>
        <v>YES</v>
      </c>
    </row>
    <row r="72" spans="1:28" x14ac:dyDescent="0.25">
      <c r="A72" s="35" t="str">
        <f>IF('CASE DATA'!A73="","z",'CASE DATA'!A73)</f>
        <v>z</v>
      </c>
      <c r="B72" s="66" t="str">
        <f>IF('CASE DATA'!A73="","",'CASE DATA'!E73)</f>
        <v/>
      </c>
      <c r="C72" s="36">
        <f>'CASE DATA'!D73</f>
        <v>0</v>
      </c>
      <c r="D72" s="37" t="str">
        <f>IF('CASE DATA'!I73="YES",SUM('CASE DATA'!K73:Q73),"n/a")</f>
        <v>n/a</v>
      </c>
      <c r="E72" s="38" t="str">
        <f>IF('CASE DATA'!G73="JUV", "YES", "NO")</f>
        <v>NO</v>
      </c>
      <c r="F72" s="38" t="str">
        <f t="array" ref="F72">IF(E72="YES",IF(SUM(COUNTIF('CASE DATA'!$G$4:$G$200, {"GTR","GPL","DEF","JUV"}))&gt;0, "YES","NO"),"N/A")</f>
        <v>N/A</v>
      </c>
      <c r="G72" s="38" t="str">
        <f>IF(E72="YES",IF(COUNTIF('CASE DATA'!$D$4:$D$200, "")-COUNTIF('CASE DATA'!$A$4:$A$200, "")&gt;0, "YES","NO"),"N/A")</f>
        <v>N/A</v>
      </c>
      <c r="H72" s="35" t="str">
        <f>_xlfn.IFS(E72="NO", "N/A", AND('BASIC INFO'!$B$3&gt;'BASIC INFO'!$B$6+6574.5, C72+730.5&lt;'BASIC INFO'!$B$3), "YES", 'BASIC INFO'!$B$3&lt;('BASIC INFO'!$B$6+6574.5), "NOT YET 18", C72+730.5&gt;'BASIC INFO'!$B$3, "NOT YET 2 YEARS")</f>
        <v>N/A</v>
      </c>
      <c r="I72" s="39" t="str">
        <f>IF(OR(AND(LEFT('CASE DATA'!F73,4)="321.",MID('CASE DATA'!A73,8,2)="SM"),MID('CASE DATA'!A73,8,2)="ST",MID('CASE DATA'!A73,8,2)="NT"),"TRAFFIC",IF(OR('CASE DATA'!G73="DISM", 'CASE DATA'!G73="ACQ", 'CASE DATA'!G73="NOTF", 'CASE DATA'!G73="WTHD", 'CASE DATA'!G73="TNSF"), "YES", "NO"))</f>
        <v>NO</v>
      </c>
      <c r="J72" s="40" t="str">
        <f>IF(I72="YES",'CASE DATA'!U73,"N/A")</f>
        <v>N/A</v>
      </c>
      <c r="K72" s="40" t="str">
        <f>IF(I72="YES",SOL!C73+SOL!D73,"N/A")</f>
        <v>N/A</v>
      </c>
      <c r="L72" s="35" t="str">
        <f>IF(I72="YES",IF(C72+180&lt;'BASIC INFO'!$B$3, "YES", "NO"),"N/A")</f>
        <v>N/A</v>
      </c>
      <c r="M72" s="40" t="str">
        <f t="array" ref="M72">IF(I72="TRAFFIC","n/a",IF(OR('CASE DATA'!G73="GTR", 'CASE DATA'!G73="GPL"),IF(SUM(COUNTIF('CASE DATA'!X73:AI73, 'CODE SECTIONS'!$V$2:$V$218&amp;"*"))&gt;0,"NO","YES"),"n/a"))</f>
        <v>n/a</v>
      </c>
      <c r="N72" s="40" t="str">
        <f t="array" ref="N72">IF(M72="YES",IF(OR((SUM(COUNTIF('CASE DATA'!X73:AI73,'CODE SECTIONS'!$X$2:$X$19&amp;"*"))&gt;0),LEFT('CASE DATA'!X73:AI73,4)="717C", LEFT('CASE DATA'!X73:AI73, 3)="719", LEFT('CASE DATA'!X73:AI73,3)="720", LEFT('CASE DATA'!X73:AI73,3)="724", LEFT('CASE DATA'!X73:AI73,3)="726", LEFT('CASE DATA'!X73:AI73,3)="728", LEFT('CASE DATA'!X73:AI73,4)="901A"), "ineligible misd","eligible"),"n/a")</f>
        <v>n/a</v>
      </c>
      <c r="O72" s="40" t="str">
        <f>IF(N72="eligible",IF(COUNTIF('CASE DATA'!$D$4:$D$200, "")-COUNTIF('CASE DATA'!$A$4:$A$200, "")&gt;0, "YES","NO"),"N/A")</f>
        <v>N/A</v>
      </c>
      <c r="P72" s="40" t="str">
        <f>IF(N72="eligible",BANKRUPTCY!C73+BANKRUPTCY!D73,"N/A")</f>
        <v>N/A</v>
      </c>
      <c r="Q72" s="40" t="str">
        <f>IF(N72="eligible",SOL!C73+SOL!D73,"N/A")</f>
        <v>N/A</v>
      </c>
      <c r="R72" s="40" t="str">
        <f>IF(N72="eligible",SUM('CASE DATA'!K73:T73),"N/A")</f>
        <v>N/A</v>
      </c>
      <c r="S72" s="40" t="str">
        <f>IF(N72="eligible",IF(C72+2920&lt;'BASIC INFO'!$B$3, "YES", "NO"),"N/A")</f>
        <v>N/A</v>
      </c>
      <c r="T72" s="39" t="str">
        <f>IF(OR('CASE DATA'!G73="DEF"), "YES", "NO")</f>
        <v>NO</v>
      </c>
      <c r="U72" s="35" t="str">
        <f>IF(T72="YES",'CASE DATA'!I73,"N/A")</f>
        <v>N/A</v>
      </c>
      <c r="V72" s="40" t="str">
        <f>IF(T72="YES",BANKRUPTCY!C73+BANKRUPTCY!D73,"N/A")</f>
        <v>N/A</v>
      </c>
      <c r="W72" s="40" t="str">
        <f>IF(T72="YES",SUM('CASE DATA'!K73:T73),"N/A")</f>
        <v>N/A</v>
      </c>
      <c r="X72" s="35" t="str">
        <f>IF(OR('CASE DATA'!F73="123.46",'CASE DATA'!F73="123.47"),"YES","NO")</f>
        <v>NO</v>
      </c>
      <c r="Y72" s="40" t="str">
        <f>IF(X72="YES",IF(C72+730.5&lt;'BASIC INFO'!$B$3, "YES","NO"), "N/A")</f>
        <v>N/A</v>
      </c>
      <c r="Z72" s="35" t="str">
        <f>IF('CASE DATA'!F73="725.1","YES","NO")</f>
        <v>NO</v>
      </c>
      <c r="AA72" s="35" t="str">
        <f>IF(Z72="YES",IF(C72+730.5&lt;'BASIC INFO'!$B$3, "YES","NO"), "N/A")</f>
        <v>N/A</v>
      </c>
      <c r="AB72" s="35" t="str">
        <f>IF('BASIC INFO'!$B$6+6574.5&gt;C72, "YES", "NO")</f>
        <v>YES</v>
      </c>
    </row>
    <row r="73" spans="1:28" x14ac:dyDescent="0.25">
      <c r="A73" s="35" t="str">
        <f>IF('CASE DATA'!A74="","z",'CASE DATA'!A74)</f>
        <v>z</v>
      </c>
      <c r="B73" s="66" t="str">
        <f>IF('CASE DATA'!A74="","",'CASE DATA'!E74)</f>
        <v/>
      </c>
      <c r="C73" s="36">
        <f>'CASE DATA'!D74</f>
        <v>0</v>
      </c>
      <c r="D73" s="37" t="str">
        <f>IF('CASE DATA'!I74="YES",SUM('CASE DATA'!K74:Q74),"n/a")</f>
        <v>n/a</v>
      </c>
      <c r="E73" s="38" t="str">
        <f>IF('CASE DATA'!G74="JUV", "YES", "NO")</f>
        <v>NO</v>
      </c>
      <c r="F73" s="38" t="str">
        <f t="array" ref="F73">IF(E73="YES",IF(SUM(COUNTIF('CASE DATA'!$G$4:$G$200, {"GTR","GPL","DEF","JUV"}))&gt;0, "YES","NO"),"N/A")</f>
        <v>N/A</v>
      </c>
      <c r="G73" s="38" t="str">
        <f>IF(E73="YES",IF(COUNTIF('CASE DATA'!$D$4:$D$200, "")-COUNTIF('CASE DATA'!$A$4:$A$200, "")&gt;0, "YES","NO"),"N/A")</f>
        <v>N/A</v>
      </c>
      <c r="H73" s="35" t="str">
        <f>_xlfn.IFS(E73="NO", "N/A", AND('BASIC INFO'!$B$3&gt;'BASIC INFO'!$B$6+6574.5, C73+730.5&lt;'BASIC INFO'!$B$3), "YES", 'BASIC INFO'!$B$3&lt;('BASIC INFO'!$B$6+6574.5), "NOT YET 18", C73+730.5&gt;'BASIC INFO'!$B$3, "NOT YET 2 YEARS")</f>
        <v>N/A</v>
      </c>
      <c r="I73" s="39" t="str">
        <f>IF(OR(AND(LEFT('CASE DATA'!F74,4)="321.",MID('CASE DATA'!A74,8,2)="SM"),MID('CASE DATA'!A74,8,2)="ST",MID('CASE DATA'!A74,8,2)="NT"),"TRAFFIC",IF(OR('CASE DATA'!G74="DISM", 'CASE DATA'!G74="ACQ", 'CASE DATA'!G74="NOTF", 'CASE DATA'!G74="WTHD", 'CASE DATA'!G74="TNSF"), "YES", "NO"))</f>
        <v>NO</v>
      </c>
      <c r="J73" s="40" t="str">
        <f>IF(I73="YES",'CASE DATA'!U74,"N/A")</f>
        <v>N/A</v>
      </c>
      <c r="K73" s="40" t="str">
        <f>IF(I73="YES",SOL!C74+SOL!D74,"N/A")</f>
        <v>N/A</v>
      </c>
      <c r="L73" s="35" t="str">
        <f>IF(I73="YES",IF(C73+180&lt;'BASIC INFO'!$B$3, "YES", "NO"),"N/A")</f>
        <v>N/A</v>
      </c>
      <c r="M73" s="40" t="str">
        <f t="array" ref="M73">IF(I73="TRAFFIC","n/a",IF(OR('CASE DATA'!G74="GTR", 'CASE DATA'!G74="GPL"),IF(SUM(COUNTIF('CASE DATA'!X74:AI74, 'CODE SECTIONS'!$V$2:$V$218&amp;"*"))&gt;0,"NO","YES"),"n/a"))</f>
        <v>n/a</v>
      </c>
      <c r="N73" s="40" t="str">
        <f t="array" ref="N73">IF(M73="YES",IF(OR((SUM(COUNTIF('CASE DATA'!X74:AI74,'CODE SECTIONS'!$X$2:$X$19&amp;"*"))&gt;0),LEFT('CASE DATA'!X74:AI74,4)="717C", LEFT('CASE DATA'!X74:AI74, 3)="719", LEFT('CASE DATA'!X74:AI74,3)="720", LEFT('CASE DATA'!X74:AI74,3)="724", LEFT('CASE DATA'!X74:AI74,3)="726", LEFT('CASE DATA'!X74:AI74,3)="728", LEFT('CASE DATA'!X74:AI74,4)="901A"), "ineligible misd","eligible"),"n/a")</f>
        <v>n/a</v>
      </c>
      <c r="O73" s="40" t="str">
        <f>IF(N73="eligible",IF(COUNTIF('CASE DATA'!$D$4:$D$200, "")-COUNTIF('CASE DATA'!$A$4:$A$200, "")&gt;0, "YES","NO"),"N/A")</f>
        <v>N/A</v>
      </c>
      <c r="P73" s="40" t="str">
        <f>IF(N73="eligible",BANKRUPTCY!C74+BANKRUPTCY!D74,"N/A")</f>
        <v>N/A</v>
      </c>
      <c r="Q73" s="40" t="str">
        <f>IF(N73="eligible",SOL!C74+SOL!D74,"N/A")</f>
        <v>N/A</v>
      </c>
      <c r="R73" s="40" t="str">
        <f>IF(N73="eligible",SUM('CASE DATA'!K74:T74),"N/A")</f>
        <v>N/A</v>
      </c>
      <c r="S73" s="40" t="str">
        <f>IF(N73="eligible",IF(C73+2920&lt;'BASIC INFO'!$B$3, "YES", "NO"),"N/A")</f>
        <v>N/A</v>
      </c>
      <c r="T73" s="39" t="str">
        <f>IF(OR('CASE DATA'!G74="DEF"), "YES", "NO")</f>
        <v>NO</v>
      </c>
      <c r="U73" s="35" t="str">
        <f>IF(T73="YES",'CASE DATA'!I74,"N/A")</f>
        <v>N/A</v>
      </c>
      <c r="V73" s="40" t="str">
        <f>IF(T73="YES",BANKRUPTCY!C74+BANKRUPTCY!D74,"N/A")</f>
        <v>N/A</v>
      </c>
      <c r="W73" s="40" t="str">
        <f>IF(T73="YES",SUM('CASE DATA'!K74:T74),"N/A")</f>
        <v>N/A</v>
      </c>
      <c r="X73" s="35" t="str">
        <f>IF(OR('CASE DATA'!F74="123.46",'CASE DATA'!F74="123.47"),"YES","NO")</f>
        <v>NO</v>
      </c>
      <c r="Y73" s="40" t="str">
        <f>IF(X73="YES",IF(C73+730.5&lt;'BASIC INFO'!$B$3, "YES","NO"), "N/A")</f>
        <v>N/A</v>
      </c>
      <c r="Z73" s="35" t="str">
        <f>IF('CASE DATA'!F74="725.1","YES","NO")</f>
        <v>NO</v>
      </c>
      <c r="AA73" s="35" t="str">
        <f>IF(Z73="YES",IF(C73+730.5&lt;'BASIC INFO'!$B$3, "YES","NO"), "N/A")</f>
        <v>N/A</v>
      </c>
      <c r="AB73" s="35" t="str">
        <f>IF('BASIC INFO'!$B$6+6574.5&gt;C73, "YES", "NO")</f>
        <v>YES</v>
      </c>
    </row>
    <row r="74" spans="1:28" x14ac:dyDescent="0.25">
      <c r="A74" s="35" t="str">
        <f>IF('CASE DATA'!A75="","z",'CASE DATA'!A75)</f>
        <v>z</v>
      </c>
      <c r="B74" s="66" t="str">
        <f>IF('CASE DATA'!A75="","",'CASE DATA'!E75)</f>
        <v/>
      </c>
      <c r="C74" s="36">
        <f>'CASE DATA'!D75</f>
        <v>0</v>
      </c>
      <c r="D74" s="37" t="str">
        <f>IF('CASE DATA'!I75="YES",SUM('CASE DATA'!K75:Q75),"n/a")</f>
        <v>n/a</v>
      </c>
      <c r="E74" s="38" t="str">
        <f>IF('CASE DATA'!G75="JUV", "YES", "NO")</f>
        <v>NO</v>
      </c>
      <c r="F74" s="38" t="str">
        <f t="array" ref="F74">IF(E74="YES",IF(SUM(COUNTIF('CASE DATA'!$G$4:$G$200, {"GTR","GPL","DEF","JUV"}))&gt;0, "YES","NO"),"N/A")</f>
        <v>N/A</v>
      </c>
      <c r="G74" s="38" t="str">
        <f>IF(E74="YES",IF(COUNTIF('CASE DATA'!$D$4:$D$200, "")-COUNTIF('CASE DATA'!$A$4:$A$200, "")&gt;0, "YES","NO"),"N/A")</f>
        <v>N/A</v>
      </c>
      <c r="H74" s="35" t="str">
        <f>_xlfn.IFS(E74="NO", "N/A", AND('BASIC INFO'!$B$3&gt;'BASIC INFO'!$B$6+6574.5, C74+730.5&lt;'BASIC INFO'!$B$3), "YES", 'BASIC INFO'!$B$3&lt;('BASIC INFO'!$B$6+6574.5), "NOT YET 18", C74+730.5&gt;'BASIC INFO'!$B$3, "NOT YET 2 YEARS")</f>
        <v>N/A</v>
      </c>
      <c r="I74" s="39" t="str">
        <f>IF(OR(AND(LEFT('CASE DATA'!F75,4)="321.",MID('CASE DATA'!A75,8,2)="SM"),MID('CASE DATA'!A75,8,2)="ST",MID('CASE DATA'!A75,8,2)="NT"),"TRAFFIC",IF(OR('CASE DATA'!G75="DISM", 'CASE DATA'!G75="ACQ", 'CASE DATA'!G75="NOTF", 'CASE DATA'!G75="WTHD", 'CASE DATA'!G75="TNSF"), "YES", "NO"))</f>
        <v>NO</v>
      </c>
      <c r="J74" s="40" t="str">
        <f>IF(I74="YES",'CASE DATA'!U75,"N/A")</f>
        <v>N/A</v>
      </c>
      <c r="K74" s="40" t="str">
        <f>IF(I74="YES",SOL!C75+SOL!D75,"N/A")</f>
        <v>N/A</v>
      </c>
      <c r="L74" s="35" t="str">
        <f>IF(I74="YES",IF(C74+180&lt;'BASIC INFO'!$B$3, "YES", "NO"),"N/A")</f>
        <v>N/A</v>
      </c>
      <c r="M74" s="40" t="str">
        <f t="array" ref="M74">IF(I74="TRAFFIC","n/a",IF(OR('CASE DATA'!G75="GTR", 'CASE DATA'!G75="GPL"),IF(SUM(COUNTIF('CASE DATA'!X75:AI75, 'CODE SECTIONS'!$V$2:$V$218&amp;"*"))&gt;0,"NO","YES"),"n/a"))</f>
        <v>n/a</v>
      </c>
      <c r="N74" s="40" t="str">
        <f t="array" ref="N74">IF(M74="YES",IF(OR((SUM(COUNTIF('CASE DATA'!X75:AI75,'CODE SECTIONS'!$X$2:$X$19&amp;"*"))&gt;0),LEFT('CASE DATA'!X75:AI75,4)="717C", LEFT('CASE DATA'!X75:AI75, 3)="719", LEFT('CASE DATA'!X75:AI75,3)="720", LEFT('CASE DATA'!X75:AI75,3)="724", LEFT('CASE DATA'!X75:AI75,3)="726", LEFT('CASE DATA'!X75:AI75,3)="728", LEFT('CASE DATA'!X75:AI75,4)="901A"), "ineligible misd","eligible"),"n/a")</f>
        <v>n/a</v>
      </c>
      <c r="O74" s="40" t="str">
        <f>IF(N74="eligible",IF(COUNTIF('CASE DATA'!$D$4:$D$200, "")-COUNTIF('CASE DATA'!$A$4:$A$200, "")&gt;0, "YES","NO"),"N/A")</f>
        <v>N/A</v>
      </c>
      <c r="P74" s="40" t="str">
        <f>IF(N74="eligible",BANKRUPTCY!C75+BANKRUPTCY!D75,"N/A")</f>
        <v>N/A</v>
      </c>
      <c r="Q74" s="40" t="str">
        <f>IF(N74="eligible",SOL!C75+SOL!D75,"N/A")</f>
        <v>N/A</v>
      </c>
      <c r="R74" s="40" t="str">
        <f>IF(N74="eligible",SUM('CASE DATA'!K75:T75),"N/A")</f>
        <v>N/A</v>
      </c>
      <c r="S74" s="40" t="str">
        <f>IF(N74="eligible",IF(C74+2920&lt;'BASIC INFO'!$B$3, "YES", "NO"),"N/A")</f>
        <v>N/A</v>
      </c>
      <c r="T74" s="39" t="str">
        <f>IF(OR('CASE DATA'!G75="DEF"), "YES", "NO")</f>
        <v>NO</v>
      </c>
      <c r="U74" s="35" t="str">
        <f>IF(T74="YES",'CASE DATA'!I75,"N/A")</f>
        <v>N/A</v>
      </c>
      <c r="V74" s="40" t="str">
        <f>IF(T74="YES",BANKRUPTCY!C75+BANKRUPTCY!D75,"N/A")</f>
        <v>N/A</v>
      </c>
      <c r="W74" s="40" t="str">
        <f>IF(T74="YES",SUM('CASE DATA'!K75:T75),"N/A")</f>
        <v>N/A</v>
      </c>
      <c r="X74" s="35" t="str">
        <f>IF(OR('CASE DATA'!F75="123.46",'CASE DATA'!F75="123.47"),"YES","NO")</f>
        <v>NO</v>
      </c>
      <c r="Y74" s="40" t="str">
        <f>IF(X74="YES",IF(C74+730.5&lt;'BASIC INFO'!$B$3, "YES","NO"), "N/A")</f>
        <v>N/A</v>
      </c>
      <c r="Z74" s="35" t="str">
        <f>IF('CASE DATA'!F75="725.1","YES","NO")</f>
        <v>NO</v>
      </c>
      <c r="AA74" s="35" t="str">
        <f>IF(Z74="YES",IF(C74+730.5&lt;'BASIC INFO'!$B$3, "YES","NO"), "N/A")</f>
        <v>N/A</v>
      </c>
      <c r="AB74" s="35" t="str">
        <f>IF('BASIC INFO'!$B$6+6574.5&gt;C74, "YES", "NO")</f>
        <v>YES</v>
      </c>
    </row>
    <row r="75" spans="1:28" x14ac:dyDescent="0.25">
      <c r="A75" s="35" t="str">
        <f>IF('CASE DATA'!A76="","z",'CASE DATA'!A76)</f>
        <v>z</v>
      </c>
      <c r="B75" s="66" t="str">
        <f>IF('CASE DATA'!A76="","",'CASE DATA'!E76)</f>
        <v/>
      </c>
      <c r="C75" s="36">
        <f>'CASE DATA'!D76</f>
        <v>0</v>
      </c>
      <c r="D75" s="37" t="str">
        <f>IF('CASE DATA'!I76="YES",SUM('CASE DATA'!K76:Q76),"n/a")</f>
        <v>n/a</v>
      </c>
      <c r="E75" s="38" t="str">
        <f>IF('CASE DATA'!G76="JUV", "YES", "NO")</f>
        <v>NO</v>
      </c>
      <c r="F75" s="38" t="str">
        <f t="array" ref="F75">IF(E75="YES",IF(SUM(COUNTIF('CASE DATA'!$G$4:$G$200, {"GTR","GPL","DEF","JUV"}))&gt;0, "YES","NO"),"N/A")</f>
        <v>N/A</v>
      </c>
      <c r="G75" s="38" t="str">
        <f>IF(E75="YES",IF(COUNTIF('CASE DATA'!$D$4:$D$200, "")-COUNTIF('CASE DATA'!$A$4:$A$200, "")&gt;0, "YES","NO"),"N/A")</f>
        <v>N/A</v>
      </c>
      <c r="H75" s="35" t="str">
        <f>_xlfn.IFS(E75="NO", "N/A", AND('BASIC INFO'!$B$3&gt;'BASIC INFO'!$B$6+6574.5, C75+730.5&lt;'BASIC INFO'!$B$3), "YES", 'BASIC INFO'!$B$3&lt;('BASIC INFO'!$B$6+6574.5), "NOT YET 18", C75+730.5&gt;'BASIC INFO'!$B$3, "NOT YET 2 YEARS")</f>
        <v>N/A</v>
      </c>
      <c r="I75" s="39" t="str">
        <f>IF(OR(AND(LEFT('CASE DATA'!F76,4)="321.",MID('CASE DATA'!A76,8,2)="SM"),MID('CASE DATA'!A76,8,2)="ST",MID('CASE DATA'!A76,8,2)="NT"),"TRAFFIC",IF(OR('CASE DATA'!G76="DISM", 'CASE DATA'!G76="ACQ", 'CASE DATA'!G76="NOTF", 'CASE DATA'!G76="WTHD", 'CASE DATA'!G76="TNSF"), "YES", "NO"))</f>
        <v>NO</v>
      </c>
      <c r="J75" s="40" t="str">
        <f>IF(I75="YES",'CASE DATA'!U76,"N/A")</f>
        <v>N/A</v>
      </c>
      <c r="K75" s="40" t="str">
        <f>IF(I75="YES",SOL!C76+SOL!D76,"N/A")</f>
        <v>N/A</v>
      </c>
      <c r="L75" s="35" t="str">
        <f>IF(I75="YES",IF(C75+180&lt;'BASIC INFO'!$B$3, "YES", "NO"),"N/A")</f>
        <v>N/A</v>
      </c>
      <c r="M75" s="40" t="str">
        <f t="array" ref="M75">IF(I75="TRAFFIC","n/a",IF(OR('CASE DATA'!G76="GTR", 'CASE DATA'!G76="GPL"),IF(SUM(COUNTIF('CASE DATA'!X76:AI76, 'CODE SECTIONS'!$V$2:$V$218&amp;"*"))&gt;0,"NO","YES"),"n/a"))</f>
        <v>n/a</v>
      </c>
      <c r="N75" s="40" t="str">
        <f t="array" ref="N75">IF(M75="YES",IF(OR((SUM(COUNTIF('CASE DATA'!X76:AI76,'CODE SECTIONS'!$X$2:$X$19&amp;"*"))&gt;0),LEFT('CASE DATA'!X76:AI76,4)="717C", LEFT('CASE DATA'!X76:AI76, 3)="719", LEFT('CASE DATA'!X76:AI76,3)="720", LEFT('CASE DATA'!X76:AI76,3)="724", LEFT('CASE DATA'!X76:AI76,3)="726", LEFT('CASE DATA'!X76:AI76,3)="728", LEFT('CASE DATA'!X76:AI76,4)="901A"), "ineligible misd","eligible"),"n/a")</f>
        <v>n/a</v>
      </c>
      <c r="O75" s="40" t="str">
        <f>IF(N75="eligible",IF(COUNTIF('CASE DATA'!$D$4:$D$200, "")-COUNTIF('CASE DATA'!$A$4:$A$200, "")&gt;0, "YES","NO"),"N/A")</f>
        <v>N/A</v>
      </c>
      <c r="P75" s="40" t="str">
        <f>IF(N75="eligible",BANKRUPTCY!C76+BANKRUPTCY!D76,"N/A")</f>
        <v>N/A</v>
      </c>
      <c r="Q75" s="40" t="str">
        <f>IF(N75="eligible",SOL!C76+SOL!D76,"N/A")</f>
        <v>N/A</v>
      </c>
      <c r="R75" s="40" t="str">
        <f>IF(N75="eligible",SUM('CASE DATA'!K76:T76),"N/A")</f>
        <v>N/A</v>
      </c>
      <c r="S75" s="40" t="str">
        <f>IF(N75="eligible",IF(C75+2920&lt;'BASIC INFO'!$B$3, "YES", "NO"),"N/A")</f>
        <v>N/A</v>
      </c>
      <c r="T75" s="39" t="str">
        <f>IF(OR('CASE DATA'!G76="DEF"), "YES", "NO")</f>
        <v>NO</v>
      </c>
      <c r="U75" s="35" t="str">
        <f>IF(T75="YES",'CASE DATA'!I76,"N/A")</f>
        <v>N/A</v>
      </c>
      <c r="V75" s="40" t="str">
        <f>IF(T75="YES",BANKRUPTCY!C76+BANKRUPTCY!D76,"N/A")</f>
        <v>N/A</v>
      </c>
      <c r="W75" s="40" t="str">
        <f>IF(T75="YES",SUM('CASE DATA'!K76:T76),"N/A")</f>
        <v>N/A</v>
      </c>
      <c r="X75" s="35" t="str">
        <f>IF(OR('CASE DATA'!F76="123.46",'CASE DATA'!F76="123.47"),"YES","NO")</f>
        <v>NO</v>
      </c>
      <c r="Y75" s="40" t="str">
        <f>IF(X75="YES",IF(C75+730.5&lt;'BASIC INFO'!$B$3, "YES","NO"), "N/A")</f>
        <v>N/A</v>
      </c>
      <c r="Z75" s="35" t="str">
        <f>IF('CASE DATA'!F76="725.1","YES","NO")</f>
        <v>NO</v>
      </c>
      <c r="AA75" s="35" t="str">
        <f>IF(Z75="YES",IF(C75+730.5&lt;'BASIC INFO'!$B$3, "YES","NO"), "N/A")</f>
        <v>N/A</v>
      </c>
      <c r="AB75" s="35" t="str">
        <f>IF('BASIC INFO'!$B$6+6574.5&gt;C75, "YES", "NO")</f>
        <v>YES</v>
      </c>
    </row>
    <row r="76" spans="1:28" x14ac:dyDescent="0.25">
      <c r="A76" s="35" t="str">
        <f>IF('CASE DATA'!A77="","z",'CASE DATA'!A77)</f>
        <v>z</v>
      </c>
      <c r="B76" s="66" t="str">
        <f>IF('CASE DATA'!A77="","",'CASE DATA'!E77)</f>
        <v/>
      </c>
      <c r="C76" s="36">
        <f>'CASE DATA'!D77</f>
        <v>0</v>
      </c>
      <c r="D76" s="37" t="str">
        <f>IF('CASE DATA'!I77="YES",SUM('CASE DATA'!K77:Q77),"n/a")</f>
        <v>n/a</v>
      </c>
      <c r="E76" s="38" t="str">
        <f>IF('CASE DATA'!G77="JUV", "YES", "NO")</f>
        <v>NO</v>
      </c>
      <c r="F76" s="38" t="str">
        <f t="array" ref="F76">IF(E76="YES",IF(SUM(COUNTIF('CASE DATA'!$G$4:$G$200, {"GTR","GPL","DEF","JUV"}))&gt;0, "YES","NO"),"N/A")</f>
        <v>N/A</v>
      </c>
      <c r="G76" s="38" t="str">
        <f>IF(E76="YES",IF(COUNTIF('CASE DATA'!$D$4:$D$200, "")-COUNTIF('CASE DATA'!$A$4:$A$200, "")&gt;0, "YES","NO"),"N/A")</f>
        <v>N/A</v>
      </c>
      <c r="H76" s="35" t="str">
        <f>_xlfn.IFS(E76="NO", "N/A", AND('BASIC INFO'!$B$3&gt;'BASIC INFO'!$B$6+6574.5, C76+730.5&lt;'BASIC INFO'!$B$3), "YES", 'BASIC INFO'!$B$3&lt;('BASIC INFO'!$B$6+6574.5), "NOT YET 18", C76+730.5&gt;'BASIC INFO'!$B$3, "NOT YET 2 YEARS")</f>
        <v>N/A</v>
      </c>
      <c r="I76" s="39" t="str">
        <f>IF(OR(AND(LEFT('CASE DATA'!F77,4)="321.",MID('CASE DATA'!A77,8,2)="SM"),MID('CASE DATA'!A77,8,2)="ST",MID('CASE DATA'!A77,8,2)="NT"),"TRAFFIC",IF(OR('CASE DATA'!G77="DISM", 'CASE DATA'!G77="ACQ", 'CASE DATA'!G77="NOTF", 'CASE DATA'!G77="WTHD", 'CASE DATA'!G77="TNSF"), "YES", "NO"))</f>
        <v>NO</v>
      </c>
      <c r="J76" s="40" t="str">
        <f>IF(I76="YES",'CASE DATA'!U77,"N/A")</f>
        <v>N/A</v>
      </c>
      <c r="K76" s="40" t="str">
        <f>IF(I76="YES",SOL!C77+SOL!D77,"N/A")</f>
        <v>N/A</v>
      </c>
      <c r="L76" s="35" t="str">
        <f>IF(I76="YES",IF(C76+180&lt;'BASIC INFO'!$B$3, "YES", "NO"),"N/A")</f>
        <v>N/A</v>
      </c>
      <c r="M76" s="40" t="str">
        <f t="array" ref="M76">IF(I76="TRAFFIC","n/a",IF(OR('CASE DATA'!G77="GTR", 'CASE DATA'!G77="GPL"),IF(SUM(COUNTIF('CASE DATA'!X77:AI77, 'CODE SECTIONS'!$V$2:$V$218&amp;"*"))&gt;0,"NO","YES"),"n/a"))</f>
        <v>n/a</v>
      </c>
      <c r="N76" s="40" t="str">
        <f t="array" ref="N76">IF(M76="YES",IF(OR((SUM(COUNTIF('CASE DATA'!X77:AI77,'CODE SECTIONS'!$X$2:$X$19&amp;"*"))&gt;0),LEFT('CASE DATA'!X77:AI77,4)="717C", LEFT('CASE DATA'!X77:AI77, 3)="719", LEFT('CASE DATA'!X77:AI77,3)="720", LEFT('CASE DATA'!X77:AI77,3)="724", LEFT('CASE DATA'!X77:AI77,3)="726", LEFT('CASE DATA'!X77:AI77,3)="728", LEFT('CASE DATA'!X77:AI77,4)="901A"), "ineligible misd","eligible"),"n/a")</f>
        <v>n/a</v>
      </c>
      <c r="O76" s="40" t="str">
        <f>IF(N76="eligible",IF(COUNTIF('CASE DATA'!$D$4:$D$200, "")-COUNTIF('CASE DATA'!$A$4:$A$200, "")&gt;0, "YES","NO"),"N/A")</f>
        <v>N/A</v>
      </c>
      <c r="P76" s="40" t="str">
        <f>IF(N76="eligible",BANKRUPTCY!C77+BANKRUPTCY!D77,"N/A")</f>
        <v>N/A</v>
      </c>
      <c r="Q76" s="40" t="str">
        <f>IF(N76="eligible",SOL!C77+SOL!D77,"N/A")</f>
        <v>N/A</v>
      </c>
      <c r="R76" s="40" t="str">
        <f>IF(N76="eligible",SUM('CASE DATA'!K77:T77),"N/A")</f>
        <v>N/A</v>
      </c>
      <c r="S76" s="40" t="str">
        <f>IF(N76="eligible",IF(C76+2920&lt;'BASIC INFO'!$B$3, "YES", "NO"),"N/A")</f>
        <v>N/A</v>
      </c>
      <c r="T76" s="39" t="str">
        <f>IF(OR('CASE DATA'!G77="DEF"), "YES", "NO")</f>
        <v>NO</v>
      </c>
      <c r="U76" s="35" t="str">
        <f>IF(T76="YES",'CASE DATA'!I77,"N/A")</f>
        <v>N/A</v>
      </c>
      <c r="V76" s="40" t="str">
        <f>IF(T76="YES",BANKRUPTCY!C77+BANKRUPTCY!D77,"N/A")</f>
        <v>N/A</v>
      </c>
      <c r="W76" s="40" t="str">
        <f>IF(T76="YES",SUM('CASE DATA'!K77:T77),"N/A")</f>
        <v>N/A</v>
      </c>
      <c r="X76" s="35" t="str">
        <f>IF(OR('CASE DATA'!F77="123.46",'CASE DATA'!F77="123.47"),"YES","NO")</f>
        <v>NO</v>
      </c>
      <c r="Y76" s="40" t="str">
        <f>IF(X76="YES",IF(C76+730.5&lt;'BASIC INFO'!$B$3, "YES","NO"), "N/A")</f>
        <v>N/A</v>
      </c>
      <c r="Z76" s="35" t="str">
        <f>IF('CASE DATA'!F77="725.1","YES","NO")</f>
        <v>NO</v>
      </c>
      <c r="AA76" s="35" t="str">
        <f>IF(Z76="YES",IF(C76+730.5&lt;'BASIC INFO'!$B$3, "YES","NO"), "N/A")</f>
        <v>N/A</v>
      </c>
      <c r="AB76" s="35" t="str">
        <f>IF('BASIC INFO'!$B$6+6574.5&gt;C76, "YES", "NO")</f>
        <v>YES</v>
      </c>
    </row>
    <row r="77" spans="1:28" x14ac:dyDescent="0.25">
      <c r="A77" s="35" t="str">
        <f>IF('CASE DATA'!A78="","z",'CASE DATA'!A78)</f>
        <v>z</v>
      </c>
      <c r="B77" s="66" t="str">
        <f>IF('CASE DATA'!A78="","",'CASE DATA'!E78)</f>
        <v/>
      </c>
      <c r="C77" s="36">
        <f>'CASE DATA'!D78</f>
        <v>0</v>
      </c>
      <c r="D77" s="37" t="str">
        <f>IF('CASE DATA'!I78="YES",SUM('CASE DATA'!K78:Q78),"n/a")</f>
        <v>n/a</v>
      </c>
      <c r="E77" s="38" t="str">
        <f>IF('CASE DATA'!G78="JUV", "YES", "NO")</f>
        <v>NO</v>
      </c>
      <c r="F77" s="38" t="str">
        <f t="array" ref="F77">IF(E77="YES",IF(SUM(COUNTIF('CASE DATA'!$G$4:$G$200, {"GTR","GPL","DEF","JUV"}))&gt;0, "YES","NO"),"N/A")</f>
        <v>N/A</v>
      </c>
      <c r="G77" s="38" t="str">
        <f>IF(E77="YES",IF(COUNTIF('CASE DATA'!$D$4:$D$200, "")-COUNTIF('CASE DATA'!$A$4:$A$200, "")&gt;0, "YES","NO"),"N/A")</f>
        <v>N/A</v>
      </c>
      <c r="H77" s="35" t="str">
        <f>_xlfn.IFS(E77="NO", "N/A", AND('BASIC INFO'!$B$3&gt;'BASIC INFO'!$B$6+6574.5, C77+730.5&lt;'BASIC INFO'!$B$3), "YES", 'BASIC INFO'!$B$3&lt;('BASIC INFO'!$B$6+6574.5), "NOT YET 18", C77+730.5&gt;'BASIC INFO'!$B$3, "NOT YET 2 YEARS")</f>
        <v>N/A</v>
      </c>
      <c r="I77" s="39" t="str">
        <f>IF(OR(AND(LEFT('CASE DATA'!F78,4)="321.",MID('CASE DATA'!A78,8,2)="SM"),MID('CASE DATA'!A78,8,2)="ST",MID('CASE DATA'!A78,8,2)="NT"),"TRAFFIC",IF(OR('CASE DATA'!G78="DISM", 'CASE DATA'!G78="ACQ", 'CASE DATA'!G78="NOTF", 'CASE DATA'!G78="WTHD", 'CASE DATA'!G78="TNSF"), "YES", "NO"))</f>
        <v>NO</v>
      </c>
      <c r="J77" s="40" t="str">
        <f>IF(I77="YES",'CASE DATA'!U78,"N/A")</f>
        <v>N/A</v>
      </c>
      <c r="K77" s="40" t="str">
        <f>IF(I77="YES",SOL!C78+SOL!D78,"N/A")</f>
        <v>N/A</v>
      </c>
      <c r="L77" s="35" t="str">
        <f>IF(I77="YES",IF(C77+180&lt;'BASIC INFO'!$B$3, "YES", "NO"),"N/A")</f>
        <v>N/A</v>
      </c>
      <c r="M77" s="40" t="str">
        <f t="array" ref="M77">IF(I77="TRAFFIC","n/a",IF(OR('CASE DATA'!G78="GTR", 'CASE DATA'!G78="GPL"),IF(SUM(COUNTIF('CASE DATA'!X78:AI78, 'CODE SECTIONS'!$V$2:$V$218&amp;"*"))&gt;0,"NO","YES"),"n/a"))</f>
        <v>n/a</v>
      </c>
      <c r="N77" s="40" t="str">
        <f t="array" ref="N77">IF(M77="YES",IF(OR((SUM(COUNTIF('CASE DATA'!X78:AI78,'CODE SECTIONS'!$X$2:$X$19&amp;"*"))&gt;0),LEFT('CASE DATA'!X78:AI78,4)="717C", LEFT('CASE DATA'!X78:AI78, 3)="719", LEFT('CASE DATA'!X78:AI78,3)="720", LEFT('CASE DATA'!X78:AI78,3)="724", LEFT('CASE DATA'!X78:AI78,3)="726", LEFT('CASE DATA'!X78:AI78,3)="728", LEFT('CASE DATA'!X78:AI78,4)="901A"), "ineligible misd","eligible"),"n/a")</f>
        <v>n/a</v>
      </c>
      <c r="O77" s="40" t="str">
        <f>IF(N77="eligible",IF(COUNTIF('CASE DATA'!$D$4:$D$200, "")-COUNTIF('CASE DATA'!$A$4:$A$200, "")&gt;0, "YES","NO"),"N/A")</f>
        <v>N/A</v>
      </c>
      <c r="P77" s="40" t="str">
        <f>IF(N77="eligible",BANKRUPTCY!C78+BANKRUPTCY!D78,"N/A")</f>
        <v>N/A</v>
      </c>
      <c r="Q77" s="40" t="str">
        <f>IF(N77="eligible",SOL!C78+SOL!D78,"N/A")</f>
        <v>N/A</v>
      </c>
      <c r="R77" s="40" t="str">
        <f>IF(N77="eligible",SUM('CASE DATA'!K78:T78),"N/A")</f>
        <v>N/A</v>
      </c>
      <c r="S77" s="40" t="str">
        <f>IF(N77="eligible",IF(C77+2920&lt;'BASIC INFO'!$B$3, "YES", "NO"),"N/A")</f>
        <v>N/A</v>
      </c>
      <c r="T77" s="39" t="str">
        <f>IF(OR('CASE DATA'!G78="DEF"), "YES", "NO")</f>
        <v>NO</v>
      </c>
      <c r="U77" s="35" t="str">
        <f>IF(T77="YES",'CASE DATA'!I78,"N/A")</f>
        <v>N/A</v>
      </c>
      <c r="V77" s="40" t="str">
        <f>IF(T77="YES",BANKRUPTCY!C78+BANKRUPTCY!D78,"N/A")</f>
        <v>N/A</v>
      </c>
      <c r="W77" s="40" t="str">
        <f>IF(T77="YES",SUM('CASE DATA'!K78:T78),"N/A")</f>
        <v>N/A</v>
      </c>
      <c r="X77" s="35" t="str">
        <f>IF(OR('CASE DATA'!F78="123.46",'CASE DATA'!F78="123.47"),"YES","NO")</f>
        <v>NO</v>
      </c>
      <c r="Y77" s="40" t="str">
        <f>IF(X77="YES",IF(C77+730.5&lt;'BASIC INFO'!$B$3, "YES","NO"), "N/A")</f>
        <v>N/A</v>
      </c>
      <c r="Z77" s="35" t="str">
        <f>IF('CASE DATA'!F78="725.1","YES","NO")</f>
        <v>NO</v>
      </c>
      <c r="AA77" s="35" t="str">
        <f>IF(Z77="YES",IF(C77+730.5&lt;'BASIC INFO'!$B$3, "YES","NO"), "N/A")</f>
        <v>N/A</v>
      </c>
      <c r="AB77" s="35" t="str">
        <f>IF('BASIC INFO'!$B$6+6574.5&gt;C77, "YES", "NO")</f>
        <v>YES</v>
      </c>
    </row>
    <row r="78" spans="1:28" x14ac:dyDescent="0.25">
      <c r="A78" s="35" t="str">
        <f>IF('CASE DATA'!A79="","z",'CASE DATA'!A79)</f>
        <v>z</v>
      </c>
      <c r="B78" s="66" t="str">
        <f>IF('CASE DATA'!A79="","",'CASE DATA'!E79)</f>
        <v/>
      </c>
      <c r="C78" s="36">
        <f>'CASE DATA'!D79</f>
        <v>0</v>
      </c>
      <c r="D78" s="37" t="str">
        <f>IF('CASE DATA'!I79="YES",SUM('CASE DATA'!K79:Q79),"n/a")</f>
        <v>n/a</v>
      </c>
      <c r="E78" s="38" t="str">
        <f>IF('CASE DATA'!G79="JUV", "YES", "NO")</f>
        <v>NO</v>
      </c>
      <c r="F78" s="38" t="str">
        <f t="array" ref="F78">IF(E78="YES",IF(SUM(COUNTIF('CASE DATA'!$G$4:$G$200, {"GTR","GPL","DEF","JUV"}))&gt;0, "YES","NO"),"N/A")</f>
        <v>N/A</v>
      </c>
      <c r="G78" s="38" t="str">
        <f>IF(E78="YES",IF(COUNTIF('CASE DATA'!$D$4:$D$200, "")-COUNTIF('CASE DATA'!$A$4:$A$200, "")&gt;0, "YES","NO"),"N/A")</f>
        <v>N/A</v>
      </c>
      <c r="H78" s="35" t="str">
        <f>_xlfn.IFS(E78="NO", "N/A", AND('BASIC INFO'!$B$3&gt;'BASIC INFO'!$B$6+6574.5, C78+730.5&lt;'BASIC INFO'!$B$3), "YES", 'BASIC INFO'!$B$3&lt;('BASIC INFO'!$B$6+6574.5), "NOT YET 18", C78+730.5&gt;'BASIC INFO'!$B$3, "NOT YET 2 YEARS")</f>
        <v>N/A</v>
      </c>
      <c r="I78" s="39" t="str">
        <f>IF(OR(AND(LEFT('CASE DATA'!F79,4)="321.",MID('CASE DATA'!A79,8,2)="SM"),MID('CASE DATA'!A79,8,2)="ST",MID('CASE DATA'!A79,8,2)="NT"),"TRAFFIC",IF(OR('CASE DATA'!G79="DISM", 'CASE DATA'!G79="ACQ", 'CASE DATA'!G79="NOTF", 'CASE DATA'!G79="WTHD", 'CASE DATA'!G79="TNSF"), "YES", "NO"))</f>
        <v>NO</v>
      </c>
      <c r="J78" s="40" t="str">
        <f>IF(I78="YES",'CASE DATA'!U79,"N/A")</f>
        <v>N/A</v>
      </c>
      <c r="K78" s="40" t="str">
        <f>IF(I78="YES",SOL!C79+SOL!D79,"N/A")</f>
        <v>N/A</v>
      </c>
      <c r="L78" s="35" t="str">
        <f>IF(I78="YES",IF(C78+180&lt;'BASIC INFO'!$B$3, "YES", "NO"),"N/A")</f>
        <v>N/A</v>
      </c>
      <c r="M78" s="40" t="str">
        <f t="array" ref="M78">IF(I78="TRAFFIC","n/a",IF(OR('CASE DATA'!G79="GTR", 'CASE DATA'!G79="GPL"),IF(SUM(COUNTIF('CASE DATA'!X79:AI79, 'CODE SECTIONS'!$V$2:$V$218&amp;"*"))&gt;0,"NO","YES"),"n/a"))</f>
        <v>n/a</v>
      </c>
      <c r="N78" s="40" t="str">
        <f t="array" ref="N78">IF(M78="YES",IF(OR((SUM(COUNTIF('CASE DATA'!X79:AI79,'CODE SECTIONS'!$X$2:$X$19&amp;"*"))&gt;0),LEFT('CASE DATA'!X79:AI79,4)="717C", LEFT('CASE DATA'!X79:AI79, 3)="719", LEFT('CASE DATA'!X79:AI79,3)="720", LEFT('CASE DATA'!X79:AI79,3)="724", LEFT('CASE DATA'!X79:AI79,3)="726", LEFT('CASE DATA'!X79:AI79,3)="728", LEFT('CASE DATA'!X79:AI79,4)="901A"), "ineligible misd","eligible"),"n/a")</f>
        <v>n/a</v>
      </c>
      <c r="O78" s="40" t="str">
        <f>IF(N78="eligible",IF(COUNTIF('CASE DATA'!$D$4:$D$200, "")-COUNTIF('CASE DATA'!$A$4:$A$200, "")&gt;0, "YES","NO"),"N/A")</f>
        <v>N/A</v>
      </c>
      <c r="P78" s="40" t="str">
        <f>IF(N78="eligible",BANKRUPTCY!C79+BANKRUPTCY!D79,"N/A")</f>
        <v>N/A</v>
      </c>
      <c r="Q78" s="40" t="str">
        <f>IF(N78="eligible",SOL!C79+SOL!D79,"N/A")</f>
        <v>N/A</v>
      </c>
      <c r="R78" s="40" t="str">
        <f>IF(N78="eligible",SUM('CASE DATA'!K79:T79),"N/A")</f>
        <v>N/A</v>
      </c>
      <c r="S78" s="40" t="str">
        <f>IF(N78="eligible",IF(C78+2920&lt;'BASIC INFO'!$B$3, "YES", "NO"),"N/A")</f>
        <v>N/A</v>
      </c>
      <c r="T78" s="39" t="str">
        <f>IF(OR('CASE DATA'!G79="DEF"), "YES", "NO")</f>
        <v>NO</v>
      </c>
      <c r="U78" s="35" t="str">
        <f>IF(T78="YES",'CASE DATA'!I79,"N/A")</f>
        <v>N/A</v>
      </c>
      <c r="V78" s="40" t="str">
        <f>IF(T78="YES",BANKRUPTCY!C79+BANKRUPTCY!D79,"N/A")</f>
        <v>N/A</v>
      </c>
      <c r="W78" s="40" t="str">
        <f>IF(T78="YES",SUM('CASE DATA'!K79:T79),"N/A")</f>
        <v>N/A</v>
      </c>
      <c r="X78" s="35" t="str">
        <f>IF(OR('CASE DATA'!F79="123.46",'CASE DATA'!F79="123.47"),"YES","NO")</f>
        <v>NO</v>
      </c>
      <c r="Y78" s="40" t="str">
        <f>IF(X78="YES",IF(C78+730.5&lt;'BASIC INFO'!$B$3, "YES","NO"), "N/A")</f>
        <v>N/A</v>
      </c>
      <c r="Z78" s="35" t="str">
        <f>IF('CASE DATA'!F79="725.1","YES","NO")</f>
        <v>NO</v>
      </c>
      <c r="AA78" s="35" t="str">
        <f>IF(Z78="YES",IF(C78+730.5&lt;'BASIC INFO'!$B$3, "YES","NO"), "N/A")</f>
        <v>N/A</v>
      </c>
      <c r="AB78" s="35" t="str">
        <f>IF('BASIC INFO'!$B$6+6574.5&gt;C78, "YES", "NO")</f>
        <v>YES</v>
      </c>
    </row>
    <row r="79" spans="1:28" x14ac:dyDescent="0.25">
      <c r="A79" s="35" t="str">
        <f>IF('CASE DATA'!A80="","z",'CASE DATA'!A80)</f>
        <v>z</v>
      </c>
      <c r="B79" s="66" t="str">
        <f>IF('CASE DATA'!A80="","",'CASE DATA'!E80)</f>
        <v/>
      </c>
      <c r="C79" s="36">
        <f>'CASE DATA'!D80</f>
        <v>0</v>
      </c>
      <c r="D79" s="37" t="str">
        <f>IF('CASE DATA'!I80="YES",SUM('CASE DATA'!K80:Q80),"n/a")</f>
        <v>n/a</v>
      </c>
      <c r="E79" s="38" t="str">
        <f>IF('CASE DATA'!G80="JUV", "YES", "NO")</f>
        <v>NO</v>
      </c>
      <c r="F79" s="38" t="str">
        <f t="array" ref="F79">IF(E79="YES",IF(SUM(COUNTIF('CASE DATA'!$G$4:$G$200, {"GTR","GPL","DEF","JUV"}))&gt;0, "YES","NO"),"N/A")</f>
        <v>N/A</v>
      </c>
      <c r="G79" s="38" t="str">
        <f>IF(E79="YES",IF(COUNTIF('CASE DATA'!$D$4:$D$200, "")-COUNTIF('CASE DATA'!$A$4:$A$200, "")&gt;0, "YES","NO"),"N/A")</f>
        <v>N/A</v>
      </c>
      <c r="H79" s="35" t="str">
        <f>_xlfn.IFS(E79="NO", "N/A", AND('BASIC INFO'!$B$3&gt;'BASIC INFO'!$B$6+6574.5, C79+730.5&lt;'BASIC INFO'!$B$3), "YES", 'BASIC INFO'!$B$3&lt;('BASIC INFO'!$B$6+6574.5), "NOT YET 18", C79+730.5&gt;'BASIC INFO'!$B$3, "NOT YET 2 YEARS")</f>
        <v>N/A</v>
      </c>
      <c r="I79" s="39" t="str">
        <f>IF(OR(AND(LEFT('CASE DATA'!F80,4)="321.",MID('CASE DATA'!A80,8,2)="SM"),MID('CASE DATA'!A80,8,2)="ST",MID('CASE DATA'!A80,8,2)="NT"),"TRAFFIC",IF(OR('CASE DATA'!G80="DISM", 'CASE DATA'!G80="ACQ", 'CASE DATA'!G80="NOTF", 'CASE DATA'!G80="WTHD", 'CASE DATA'!G80="TNSF"), "YES", "NO"))</f>
        <v>NO</v>
      </c>
      <c r="J79" s="40" t="str">
        <f>IF(I79="YES",'CASE DATA'!U80,"N/A")</f>
        <v>N/A</v>
      </c>
      <c r="K79" s="40" t="str">
        <f>IF(I79="YES",SOL!C80+SOL!D80,"N/A")</f>
        <v>N/A</v>
      </c>
      <c r="L79" s="35" t="str">
        <f>IF(I79="YES",IF(C79+180&lt;'BASIC INFO'!$B$3, "YES", "NO"),"N/A")</f>
        <v>N/A</v>
      </c>
      <c r="M79" s="40" t="str">
        <f t="array" ref="M79">IF(I79="TRAFFIC","n/a",IF(OR('CASE DATA'!G80="GTR", 'CASE DATA'!G80="GPL"),IF(SUM(COUNTIF('CASE DATA'!X80:AI80, 'CODE SECTIONS'!$V$2:$V$218&amp;"*"))&gt;0,"NO","YES"),"n/a"))</f>
        <v>n/a</v>
      </c>
      <c r="N79" s="40" t="str">
        <f t="array" ref="N79">IF(M79="YES",IF(OR((SUM(COUNTIF('CASE DATA'!X80:AI80,'CODE SECTIONS'!$X$2:$X$19&amp;"*"))&gt;0),LEFT('CASE DATA'!X80:AI80,4)="717C", LEFT('CASE DATA'!X80:AI80, 3)="719", LEFT('CASE DATA'!X80:AI80,3)="720", LEFT('CASE DATA'!X80:AI80,3)="724", LEFT('CASE DATA'!X80:AI80,3)="726", LEFT('CASE DATA'!X80:AI80,3)="728", LEFT('CASE DATA'!X80:AI80,4)="901A"), "ineligible misd","eligible"),"n/a")</f>
        <v>n/a</v>
      </c>
      <c r="O79" s="40" t="str">
        <f>IF(N79="eligible",IF(COUNTIF('CASE DATA'!$D$4:$D$200, "")-COUNTIF('CASE DATA'!$A$4:$A$200, "")&gt;0, "YES","NO"),"N/A")</f>
        <v>N/A</v>
      </c>
      <c r="P79" s="40" t="str">
        <f>IF(N79="eligible",BANKRUPTCY!C80+BANKRUPTCY!D80,"N/A")</f>
        <v>N/A</v>
      </c>
      <c r="Q79" s="40" t="str">
        <f>IF(N79="eligible",SOL!C80+SOL!D80,"N/A")</f>
        <v>N/A</v>
      </c>
      <c r="R79" s="40" t="str">
        <f>IF(N79="eligible",SUM('CASE DATA'!K80:T80),"N/A")</f>
        <v>N/A</v>
      </c>
      <c r="S79" s="40" t="str">
        <f>IF(N79="eligible",IF(C79+2920&lt;'BASIC INFO'!$B$3, "YES", "NO"),"N/A")</f>
        <v>N/A</v>
      </c>
      <c r="T79" s="39" t="str">
        <f>IF(OR('CASE DATA'!G80="DEF"), "YES", "NO")</f>
        <v>NO</v>
      </c>
      <c r="U79" s="35" t="str">
        <f>IF(T79="YES",'CASE DATA'!I80,"N/A")</f>
        <v>N/A</v>
      </c>
      <c r="V79" s="40" t="str">
        <f>IF(T79="YES",BANKRUPTCY!C80+BANKRUPTCY!D80,"N/A")</f>
        <v>N/A</v>
      </c>
      <c r="W79" s="40" t="str">
        <f>IF(T79="YES",SUM('CASE DATA'!K80:T80),"N/A")</f>
        <v>N/A</v>
      </c>
      <c r="X79" s="35" t="str">
        <f>IF(OR('CASE DATA'!F80="123.46",'CASE DATA'!F80="123.47"),"YES","NO")</f>
        <v>NO</v>
      </c>
      <c r="Y79" s="40" t="str">
        <f>IF(X79="YES",IF(C79+730.5&lt;'BASIC INFO'!$B$3, "YES","NO"), "N/A")</f>
        <v>N/A</v>
      </c>
      <c r="Z79" s="35" t="str">
        <f>IF('CASE DATA'!F80="725.1","YES","NO")</f>
        <v>NO</v>
      </c>
      <c r="AA79" s="35" t="str">
        <f>IF(Z79="YES",IF(C79+730.5&lt;'BASIC INFO'!$B$3, "YES","NO"), "N/A")</f>
        <v>N/A</v>
      </c>
      <c r="AB79" s="35" t="str">
        <f>IF('BASIC INFO'!$B$6+6574.5&gt;C79, "YES", "NO")</f>
        <v>YES</v>
      </c>
    </row>
    <row r="80" spans="1:28" x14ac:dyDescent="0.25">
      <c r="A80" s="35" t="str">
        <f>IF('CASE DATA'!A81="","z",'CASE DATA'!A81)</f>
        <v>z</v>
      </c>
      <c r="B80" s="66" t="str">
        <f>IF('CASE DATA'!A81="","",'CASE DATA'!E81)</f>
        <v/>
      </c>
      <c r="C80" s="36">
        <f>'CASE DATA'!D81</f>
        <v>0</v>
      </c>
      <c r="D80" s="37" t="str">
        <f>IF('CASE DATA'!I81="YES",SUM('CASE DATA'!K81:Q81),"n/a")</f>
        <v>n/a</v>
      </c>
      <c r="E80" s="38" t="str">
        <f>IF('CASE DATA'!G81="JUV", "YES", "NO")</f>
        <v>NO</v>
      </c>
      <c r="F80" s="38" t="str">
        <f t="array" ref="F80">IF(E80="YES",IF(SUM(COUNTIF('CASE DATA'!$G$4:$G$200, {"GTR","GPL","DEF","JUV"}))&gt;0, "YES","NO"),"N/A")</f>
        <v>N/A</v>
      </c>
      <c r="G80" s="38" t="str">
        <f>IF(E80="YES",IF(COUNTIF('CASE DATA'!$D$4:$D$200, "")-COUNTIF('CASE DATA'!$A$4:$A$200, "")&gt;0, "YES","NO"),"N/A")</f>
        <v>N/A</v>
      </c>
      <c r="H80" s="35" t="str">
        <f>_xlfn.IFS(E80="NO", "N/A", AND('BASIC INFO'!$B$3&gt;'BASIC INFO'!$B$6+6574.5, C80+730.5&lt;'BASIC INFO'!$B$3), "YES", 'BASIC INFO'!$B$3&lt;('BASIC INFO'!$B$6+6574.5), "NOT YET 18", C80+730.5&gt;'BASIC INFO'!$B$3, "NOT YET 2 YEARS")</f>
        <v>N/A</v>
      </c>
      <c r="I80" s="39" t="str">
        <f>IF(OR(AND(LEFT('CASE DATA'!F81,4)="321.",MID('CASE DATA'!A81,8,2)="SM"),MID('CASE DATA'!A81,8,2)="ST",MID('CASE DATA'!A81,8,2)="NT"),"TRAFFIC",IF(OR('CASE DATA'!G81="DISM", 'CASE DATA'!G81="ACQ", 'CASE DATA'!G81="NOTF", 'CASE DATA'!G81="WTHD", 'CASE DATA'!G81="TNSF"), "YES", "NO"))</f>
        <v>NO</v>
      </c>
      <c r="J80" s="40" t="str">
        <f>IF(I80="YES",'CASE DATA'!U81,"N/A")</f>
        <v>N/A</v>
      </c>
      <c r="K80" s="40" t="str">
        <f>IF(I80="YES",SOL!C81+SOL!D81,"N/A")</f>
        <v>N/A</v>
      </c>
      <c r="L80" s="35" t="str">
        <f>IF(I80="YES",IF(C80+180&lt;'BASIC INFO'!$B$3, "YES", "NO"),"N/A")</f>
        <v>N/A</v>
      </c>
      <c r="M80" s="40" t="str">
        <f t="array" ref="M80">IF(I80="TRAFFIC","n/a",IF(OR('CASE DATA'!G81="GTR", 'CASE DATA'!G81="GPL"),IF(SUM(COUNTIF('CASE DATA'!X81:AI81, 'CODE SECTIONS'!$V$2:$V$218&amp;"*"))&gt;0,"NO","YES"),"n/a"))</f>
        <v>n/a</v>
      </c>
      <c r="N80" s="40" t="str">
        <f t="array" ref="N80">IF(M80="YES",IF(OR((SUM(COUNTIF('CASE DATA'!X81:AI81,'CODE SECTIONS'!$X$2:$X$19&amp;"*"))&gt;0),LEFT('CASE DATA'!X81:AI81,4)="717C", LEFT('CASE DATA'!X81:AI81, 3)="719", LEFT('CASE DATA'!X81:AI81,3)="720", LEFT('CASE DATA'!X81:AI81,3)="724", LEFT('CASE DATA'!X81:AI81,3)="726", LEFT('CASE DATA'!X81:AI81,3)="728", LEFT('CASE DATA'!X81:AI81,4)="901A"), "ineligible misd","eligible"),"n/a")</f>
        <v>n/a</v>
      </c>
      <c r="O80" s="40" t="str">
        <f>IF(N80="eligible",IF(COUNTIF('CASE DATA'!$D$4:$D$200, "")-COUNTIF('CASE DATA'!$A$4:$A$200, "")&gt;0, "YES","NO"),"N/A")</f>
        <v>N/A</v>
      </c>
      <c r="P80" s="40" t="str">
        <f>IF(N80="eligible",BANKRUPTCY!C81+BANKRUPTCY!D81,"N/A")</f>
        <v>N/A</v>
      </c>
      <c r="Q80" s="40" t="str">
        <f>IF(N80="eligible",SOL!C81+SOL!D81,"N/A")</f>
        <v>N/A</v>
      </c>
      <c r="R80" s="40" t="str">
        <f>IF(N80="eligible",SUM('CASE DATA'!K81:T81),"N/A")</f>
        <v>N/A</v>
      </c>
      <c r="S80" s="40" t="str">
        <f>IF(N80="eligible",IF(C80+2920&lt;'BASIC INFO'!$B$3, "YES", "NO"),"N/A")</f>
        <v>N/A</v>
      </c>
      <c r="T80" s="39" t="str">
        <f>IF(OR('CASE DATA'!G81="DEF"), "YES", "NO")</f>
        <v>NO</v>
      </c>
      <c r="U80" s="35" t="str">
        <f>IF(T80="YES",'CASE DATA'!I81,"N/A")</f>
        <v>N/A</v>
      </c>
      <c r="V80" s="40" t="str">
        <f>IF(T80="YES",BANKRUPTCY!C81+BANKRUPTCY!D81,"N/A")</f>
        <v>N/A</v>
      </c>
      <c r="W80" s="40" t="str">
        <f>IF(T80="YES",SUM('CASE DATA'!K81:T81),"N/A")</f>
        <v>N/A</v>
      </c>
      <c r="X80" s="35" t="str">
        <f>IF(OR('CASE DATA'!F81="123.46",'CASE DATA'!F81="123.47"),"YES","NO")</f>
        <v>NO</v>
      </c>
      <c r="Y80" s="40" t="str">
        <f>IF(X80="YES",IF(C80+730.5&lt;'BASIC INFO'!$B$3, "YES","NO"), "N/A")</f>
        <v>N/A</v>
      </c>
      <c r="Z80" s="35" t="str">
        <f>IF('CASE DATA'!F81="725.1","YES","NO")</f>
        <v>NO</v>
      </c>
      <c r="AA80" s="35" t="str">
        <f>IF(Z80="YES",IF(C80+730.5&lt;'BASIC INFO'!$B$3, "YES","NO"), "N/A")</f>
        <v>N/A</v>
      </c>
      <c r="AB80" s="35" t="str">
        <f>IF('BASIC INFO'!$B$6+6574.5&gt;C80, "YES", "NO")</f>
        <v>YES</v>
      </c>
    </row>
    <row r="81" spans="1:28" x14ac:dyDescent="0.25">
      <c r="A81" s="35" t="str">
        <f>IF('CASE DATA'!A82="","z",'CASE DATA'!A82)</f>
        <v>z</v>
      </c>
      <c r="B81" s="66" t="str">
        <f>IF('CASE DATA'!A82="","",'CASE DATA'!E82)</f>
        <v/>
      </c>
      <c r="C81" s="36">
        <f>'CASE DATA'!D82</f>
        <v>0</v>
      </c>
      <c r="D81" s="37" t="str">
        <f>IF('CASE DATA'!I82="YES",SUM('CASE DATA'!K82:Q82),"n/a")</f>
        <v>n/a</v>
      </c>
      <c r="E81" s="38" t="str">
        <f>IF('CASE DATA'!G82="JUV", "YES", "NO")</f>
        <v>NO</v>
      </c>
      <c r="F81" s="38" t="str">
        <f t="array" ref="F81">IF(E81="YES",IF(SUM(COUNTIF('CASE DATA'!$G$4:$G$200, {"GTR","GPL","DEF","JUV"}))&gt;0, "YES","NO"),"N/A")</f>
        <v>N/A</v>
      </c>
      <c r="G81" s="38" t="str">
        <f>IF(E81="YES",IF(COUNTIF('CASE DATA'!$D$4:$D$200, "")-COUNTIF('CASE DATA'!$A$4:$A$200, "")&gt;0, "YES","NO"),"N/A")</f>
        <v>N/A</v>
      </c>
      <c r="H81" s="35" t="str">
        <f>_xlfn.IFS(E81="NO", "N/A", AND('BASIC INFO'!$B$3&gt;'BASIC INFO'!$B$6+6574.5, C81+730.5&lt;'BASIC INFO'!$B$3), "YES", 'BASIC INFO'!$B$3&lt;('BASIC INFO'!$B$6+6574.5), "NOT YET 18", C81+730.5&gt;'BASIC INFO'!$B$3, "NOT YET 2 YEARS")</f>
        <v>N/A</v>
      </c>
      <c r="I81" s="39" t="str">
        <f>IF(OR(AND(LEFT('CASE DATA'!F82,4)="321.",MID('CASE DATA'!A82,8,2)="SM"),MID('CASE DATA'!A82,8,2)="ST",MID('CASE DATA'!A82,8,2)="NT"),"TRAFFIC",IF(OR('CASE DATA'!G82="DISM", 'CASE DATA'!G82="ACQ", 'CASE DATA'!G82="NOTF", 'CASE DATA'!G82="WTHD", 'CASE DATA'!G82="TNSF"), "YES", "NO"))</f>
        <v>NO</v>
      </c>
      <c r="J81" s="40" t="str">
        <f>IF(I81="YES",'CASE DATA'!U82,"N/A")</f>
        <v>N/A</v>
      </c>
      <c r="K81" s="40" t="str">
        <f>IF(I81="YES",SOL!C82+SOL!D82,"N/A")</f>
        <v>N/A</v>
      </c>
      <c r="L81" s="35" t="str">
        <f>IF(I81="YES",IF(C81+180&lt;'BASIC INFO'!$B$3, "YES", "NO"),"N/A")</f>
        <v>N/A</v>
      </c>
      <c r="M81" s="40" t="str">
        <f t="array" ref="M81">IF(I81="TRAFFIC","n/a",IF(OR('CASE DATA'!G82="GTR", 'CASE DATA'!G82="GPL"),IF(SUM(COUNTIF('CASE DATA'!X82:AI82, 'CODE SECTIONS'!$V$2:$V$218&amp;"*"))&gt;0,"NO","YES"),"n/a"))</f>
        <v>n/a</v>
      </c>
      <c r="N81" s="40" t="str">
        <f t="array" ref="N81">IF(M81="YES",IF(OR((SUM(COUNTIF('CASE DATA'!X82:AI82,'CODE SECTIONS'!$X$2:$X$19&amp;"*"))&gt;0),LEFT('CASE DATA'!X82:AI82,4)="717C", LEFT('CASE DATA'!X82:AI82, 3)="719", LEFT('CASE DATA'!X82:AI82,3)="720", LEFT('CASE DATA'!X82:AI82,3)="724", LEFT('CASE DATA'!X82:AI82,3)="726", LEFT('CASE DATA'!X82:AI82,3)="728", LEFT('CASE DATA'!X82:AI82,4)="901A"), "ineligible misd","eligible"),"n/a")</f>
        <v>n/a</v>
      </c>
      <c r="O81" s="40" t="str">
        <f>IF(N81="eligible",IF(COUNTIF('CASE DATA'!$D$4:$D$200, "")-COUNTIF('CASE DATA'!$A$4:$A$200, "")&gt;0, "YES","NO"),"N/A")</f>
        <v>N/A</v>
      </c>
      <c r="P81" s="40" t="str">
        <f>IF(N81="eligible",BANKRUPTCY!C82+BANKRUPTCY!D82,"N/A")</f>
        <v>N/A</v>
      </c>
      <c r="Q81" s="40" t="str">
        <f>IF(N81="eligible",SOL!C82+SOL!D82,"N/A")</f>
        <v>N/A</v>
      </c>
      <c r="R81" s="40" t="str">
        <f>IF(N81="eligible",SUM('CASE DATA'!K82:T82),"N/A")</f>
        <v>N/A</v>
      </c>
      <c r="S81" s="40" t="str">
        <f>IF(N81="eligible",IF(C81+2920&lt;'BASIC INFO'!$B$3, "YES", "NO"),"N/A")</f>
        <v>N/A</v>
      </c>
      <c r="T81" s="39" t="str">
        <f>IF(OR('CASE DATA'!G82="DEF"), "YES", "NO")</f>
        <v>NO</v>
      </c>
      <c r="U81" s="35" t="str">
        <f>IF(T81="YES",'CASE DATA'!I82,"N/A")</f>
        <v>N/A</v>
      </c>
      <c r="V81" s="40" t="str">
        <f>IF(T81="YES",BANKRUPTCY!C82+BANKRUPTCY!D82,"N/A")</f>
        <v>N/A</v>
      </c>
      <c r="W81" s="40" t="str">
        <f>IF(T81="YES",SUM('CASE DATA'!K82:T82),"N/A")</f>
        <v>N/A</v>
      </c>
      <c r="X81" s="35" t="str">
        <f>IF(OR('CASE DATA'!F82="123.46",'CASE DATA'!F82="123.47"),"YES","NO")</f>
        <v>NO</v>
      </c>
      <c r="Y81" s="40" t="str">
        <f>IF(X81="YES",IF(C81+730.5&lt;'BASIC INFO'!$B$3, "YES","NO"), "N/A")</f>
        <v>N/A</v>
      </c>
      <c r="Z81" s="35" t="str">
        <f>IF('CASE DATA'!F82="725.1","YES","NO")</f>
        <v>NO</v>
      </c>
      <c r="AA81" s="35" t="str">
        <f>IF(Z81="YES",IF(C81+730.5&lt;'BASIC INFO'!$B$3, "YES","NO"), "N/A")</f>
        <v>N/A</v>
      </c>
      <c r="AB81" s="35" t="str">
        <f>IF('BASIC INFO'!$B$6+6574.5&gt;C81, "YES", "NO")</f>
        <v>YES</v>
      </c>
    </row>
    <row r="82" spans="1:28" x14ac:dyDescent="0.25">
      <c r="A82" s="35" t="str">
        <f>IF('CASE DATA'!A83="","z",'CASE DATA'!A83)</f>
        <v>z</v>
      </c>
      <c r="B82" s="66" t="str">
        <f>IF('CASE DATA'!A83="","",'CASE DATA'!E83)</f>
        <v/>
      </c>
      <c r="C82" s="36">
        <f>'CASE DATA'!D83</f>
        <v>0</v>
      </c>
      <c r="D82" s="37" t="str">
        <f>IF('CASE DATA'!I83="YES",SUM('CASE DATA'!K83:Q83),"n/a")</f>
        <v>n/a</v>
      </c>
      <c r="E82" s="38" t="str">
        <f>IF('CASE DATA'!G83="JUV", "YES", "NO")</f>
        <v>NO</v>
      </c>
      <c r="F82" s="38" t="str">
        <f t="array" ref="F82">IF(E82="YES",IF(SUM(COUNTIF('CASE DATA'!$G$4:$G$200, {"GTR","GPL","DEF","JUV"}))&gt;0, "YES","NO"),"N/A")</f>
        <v>N/A</v>
      </c>
      <c r="G82" s="38" t="str">
        <f>IF(E82="YES",IF(COUNTIF('CASE DATA'!$D$4:$D$200, "")-COUNTIF('CASE DATA'!$A$4:$A$200, "")&gt;0, "YES","NO"),"N/A")</f>
        <v>N/A</v>
      </c>
      <c r="H82" s="35" t="str">
        <f>_xlfn.IFS(E82="NO", "N/A", AND('BASIC INFO'!$B$3&gt;'BASIC INFO'!$B$6+6574.5, C82+730.5&lt;'BASIC INFO'!$B$3), "YES", 'BASIC INFO'!$B$3&lt;('BASIC INFO'!$B$6+6574.5), "NOT YET 18", C82+730.5&gt;'BASIC INFO'!$B$3, "NOT YET 2 YEARS")</f>
        <v>N/A</v>
      </c>
      <c r="I82" s="39" t="str">
        <f>IF(OR(AND(LEFT('CASE DATA'!F83,4)="321.",MID('CASE DATA'!A83,8,2)="SM"),MID('CASE DATA'!A83,8,2)="ST",MID('CASE DATA'!A83,8,2)="NT"),"TRAFFIC",IF(OR('CASE DATA'!G83="DISM", 'CASE DATA'!G83="ACQ", 'CASE DATA'!G83="NOTF", 'CASE DATA'!G83="WTHD", 'CASE DATA'!G83="TNSF"), "YES", "NO"))</f>
        <v>NO</v>
      </c>
      <c r="J82" s="40" t="str">
        <f>IF(I82="YES",'CASE DATA'!U83,"N/A")</f>
        <v>N/A</v>
      </c>
      <c r="K82" s="40" t="str">
        <f>IF(I82="YES",SOL!C83+SOL!D83,"N/A")</f>
        <v>N/A</v>
      </c>
      <c r="L82" s="35" t="str">
        <f>IF(I82="YES",IF(C82+180&lt;'BASIC INFO'!$B$3, "YES", "NO"),"N/A")</f>
        <v>N/A</v>
      </c>
      <c r="M82" s="40" t="str">
        <f t="array" ref="M82">IF(I82="TRAFFIC","n/a",IF(OR('CASE DATA'!G83="GTR", 'CASE DATA'!G83="GPL"),IF(SUM(COUNTIF('CASE DATA'!X83:AI83, 'CODE SECTIONS'!$V$2:$V$218&amp;"*"))&gt;0,"NO","YES"),"n/a"))</f>
        <v>n/a</v>
      </c>
      <c r="N82" s="40" t="str">
        <f t="array" ref="N82">IF(M82="YES",IF(OR((SUM(COUNTIF('CASE DATA'!X83:AI83,'CODE SECTIONS'!$X$2:$X$19&amp;"*"))&gt;0),LEFT('CASE DATA'!X83:AI83,4)="717C", LEFT('CASE DATA'!X83:AI83, 3)="719", LEFT('CASE DATA'!X83:AI83,3)="720", LEFT('CASE DATA'!X83:AI83,3)="724", LEFT('CASE DATA'!X83:AI83,3)="726", LEFT('CASE DATA'!X83:AI83,3)="728", LEFT('CASE DATA'!X83:AI83,4)="901A"), "ineligible misd","eligible"),"n/a")</f>
        <v>n/a</v>
      </c>
      <c r="O82" s="40" t="str">
        <f>IF(N82="eligible",IF(COUNTIF('CASE DATA'!$D$4:$D$200, "")-COUNTIF('CASE DATA'!$A$4:$A$200, "")&gt;0, "YES","NO"),"N/A")</f>
        <v>N/A</v>
      </c>
      <c r="P82" s="40" t="str">
        <f>IF(N82="eligible",BANKRUPTCY!C83+BANKRUPTCY!D83,"N/A")</f>
        <v>N/A</v>
      </c>
      <c r="Q82" s="40" t="str">
        <f>IF(N82="eligible",SOL!C83+SOL!D83,"N/A")</f>
        <v>N/A</v>
      </c>
      <c r="R82" s="40" t="str">
        <f>IF(N82="eligible",SUM('CASE DATA'!K83:T83),"N/A")</f>
        <v>N/A</v>
      </c>
      <c r="S82" s="40" t="str">
        <f>IF(N82="eligible",IF(C82+2920&lt;'BASIC INFO'!$B$3, "YES", "NO"),"N/A")</f>
        <v>N/A</v>
      </c>
      <c r="T82" s="39" t="str">
        <f>IF(OR('CASE DATA'!G83="DEF"), "YES", "NO")</f>
        <v>NO</v>
      </c>
      <c r="U82" s="35" t="str">
        <f>IF(T82="YES",'CASE DATA'!I83,"N/A")</f>
        <v>N/A</v>
      </c>
      <c r="V82" s="40" t="str">
        <f>IF(T82="YES",BANKRUPTCY!C83+BANKRUPTCY!D83,"N/A")</f>
        <v>N/A</v>
      </c>
      <c r="W82" s="40" t="str">
        <f>IF(T82="YES",SUM('CASE DATA'!K83:T83),"N/A")</f>
        <v>N/A</v>
      </c>
      <c r="X82" s="35" t="str">
        <f>IF(OR('CASE DATA'!F83="123.46",'CASE DATA'!F83="123.47"),"YES","NO")</f>
        <v>NO</v>
      </c>
      <c r="Y82" s="40" t="str">
        <f>IF(X82="YES",IF(C82+730.5&lt;'BASIC INFO'!$B$3, "YES","NO"), "N/A")</f>
        <v>N/A</v>
      </c>
      <c r="Z82" s="35" t="str">
        <f>IF('CASE DATA'!F83="725.1","YES","NO")</f>
        <v>NO</v>
      </c>
      <c r="AA82" s="35" t="str">
        <f>IF(Z82="YES",IF(C82+730.5&lt;'BASIC INFO'!$B$3, "YES","NO"), "N/A")</f>
        <v>N/A</v>
      </c>
      <c r="AB82" s="35" t="str">
        <f>IF('BASIC INFO'!$B$6+6574.5&gt;C82, "YES", "NO")</f>
        <v>YES</v>
      </c>
    </row>
    <row r="83" spans="1:28" x14ac:dyDescent="0.25">
      <c r="A83" s="35" t="str">
        <f>IF('CASE DATA'!A84="","z",'CASE DATA'!A84)</f>
        <v>z</v>
      </c>
      <c r="B83" s="66" t="str">
        <f>IF('CASE DATA'!A84="","",'CASE DATA'!E84)</f>
        <v/>
      </c>
      <c r="C83" s="36">
        <f>'CASE DATA'!D84</f>
        <v>0</v>
      </c>
      <c r="D83" s="37" t="str">
        <f>IF('CASE DATA'!I84="YES",SUM('CASE DATA'!K84:Q84),"n/a")</f>
        <v>n/a</v>
      </c>
      <c r="E83" s="38" t="str">
        <f>IF('CASE DATA'!G84="JUV", "YES", "NO")</f>
        <v>NO</v>
      </c>
      <c r="F83" s="38" t="str">
        <f t="array" ref="F83">IF(E83="YES",IF(SUM(COUNTIF('CASE DATA'!$G$4:$G$200, {"GTR","GPL","DEF","JUV"}))&gt;0, "YES","NO"),"N/A")</f>
        <v>N/A</v>
      </c>
      <c r="G83" s="38" t="str">
        <f>IF(E83="YES",IF(COUNTIF('CASE DATA'!$D$4:$D$200, "")-COUNTIF('CASE DATA'!$A$4:$A$200, "")&gt;0, "YES","NO"),"N/A")</f>
        <v>N/A</v>
      </c>
      <c r="H83" s="35" t="str">
        <f>_xlfn.IFS(E83="NO", "N/A", AND('BASIC INFO'!$B$3&gt;'BASIC INFO'!$B$6+6574.5, C83+730.5&lt;'BASIC INFO'!$B$3), "YES", 'BASIC INFO'!$B$3&lt;('BASIC INFO'!$B$6+6574.5), "NOT YET 18", C83+730.5&gt;'BASIC INFO'!$B$3, "NOT YET 2 YEARS")</f>
        <v>N/A</v>
      </c>
      <c r="I83" s="39" t="str">
        <f>IF(OR(AND(LEFT('CASE DATA'!F84,4)="321.",MID('CASE DATA'!A84,8,2)="SM"),MID('CASE DATA'!A84,8,2)="ST",MID('CASE DATA'!A84,8,2)="NT"),"TRAFFIC",IF(OR('CASE DATA'!G84="DISM", 'CASE DATA'!G84="ACQ", 'CASE DATA'!G84="NOTF", 'CASE DATA'!G84="WTHD", 'CASE DATA'!G84="TNSF"), "YES", "NO"))</f>
        <v>NO</v>
      </c>
      <c r="J83" s="40" t="str">
        <f>IF(I83="YES",'CASE DATA'!U84,"N/A")</f>
        <v>N/A</v>
      </c>
      <c r="K83" s="40" t="str">
        <f>IF(I83="YES",SOL!C84+SOL!D84,"N/A")</f>
        <v>N/A</v>
      </c>
      <c r="L83" s="35" t="str">
        <f>IF(I83="YES",IF(C83+180&lt;'BASIC INFO'!$B$3, "YES", "NO"),"N/A")</f>
        <v>N/A</v>
      </c>
      <c r="M83" s="40" t="str">
        <f t="array" ref="M83">IF(I83="TRAFFIC","n/a",IF(OR('CASE DATA'!G84="GTR", 'CASE DATA'!G84="GPL"),IF(SUM(COUNTIF('CASE DATA'!X84:AI84, 'CODE SECTIONS'!$V$2:$V$218&amp;"*"))&gt;0,"NO","YES"),"n/a"))</f>
        <v>n/a</v>
      </c>
      <c r="N83" s="40" t="str">
        <f t="array" ref="N83">IF(M83="YES",IF(OR((SUM(COUNTIF('CASE DATA'!X84:AI84,'CODE SECTIONS'!$X$2:$X$19&amp;"*"))&gt;0),LEFT('CASE DATA'!X84:AI84,4)="717C", LEFT('CASE DATA'!X84:AI84, 3)="719", LEFT('CASE DATA'!X84:AI84,3)="720", LEFT('CASE DATA'!X84:AI84,3)="724", LEFT('CASE DATA'!X84:AI84,3)="726", LEFT('CASE DATA'!X84:AI84,3)="728", LEFT('CASE DATA'!X84:AI84,4)="901A"), "ineligible misd","eligible"),"n/a")</f>
        <v>n/a</v>
      </c>
      <c r="O83" s="40" t="str">
        <f>IF(N83="eligible",IF(COUNTIF('CASE DATA'!$D$4:$D$200, "")-COUNTIF('CASE DATA'!$A$4:$A$200, "")&gt;0, "YES","NO"),"N/A")</f>
        <v>N/A</v>
      </c>
      <c r="P83" s="40" t="str">
        <f>IF(N83="eligible",BANKRUPTCY!C84+BANKRUPTCY!D84,"N/A")</f>
        <v>N/A</v>
      </c>
      <c r="Q83" s="40" t="str">
        <f>IF(N83="eligible",SOL!C84+SOL!D84,"N/A")</f>
        <v>N/A</v>
      </c>
      <c r="R83" s="40" t="str">
        <f>IF(N83="eligible",SUM('CASE DATA'!K84:T84),"N/A")</f>
        <v>N/A</v>
      </c>
      <c r="S83" s="40" t="str">
        <f>IF(N83="eligible",IF(C83+2920&lt;'BASIC INFO'!$B$3, "YES", "NO"),"N/A")</f>
        <v>N/A</v>
      </c>
      <c r="T83" s="39" t="str">
        <f>IF(OR('CASE DATA'!G84="DEF"), "YES", "NO")</f>
        <v>NO</v>
      </c>
      <c r="U83" s="35" t="str">
        <f>IF(T83="YES",'CASE DATA'!I84,"N/A")</f>
        <v>N/A</v>
      </c>
      <c r="V83" s="40" t="str">
        <f>IF(T83="YES",BANKRUPTCY!C84+BANKRUPTCY!D84,"N/A")</f>
        <v>N/A</v>
      </c>
      <c r="W83" s="40" t="str">
        <f>IF(T83="YES",SUM('CASE DATA'!K84:T84),"N/A")</f>
        <v>N/A</v>
      </c>
      <c r="X83" s="35" t="str">
        <f>IF(OR('CASE DATA'!F84="123.46",'CASE DATA'!F84="123.47"),"YES","NO")</f>
        <v>NO</v>
      </c>
      <c r="Y83" s="40" t="str">
        <f>IF(X83="YES",IF(C83+730.5&lt;'BASIC INFO'!$B$3, "YES","NO"), "N/A")</f>
        <v>N/A</v>
      </c>
      <c r="Z83" s="35" t="str">
        <f>IF('CASE DATA'!F84="725.1","YES","NO")</f>
        <v>NO</v>
      </c>
      <c r="AA83" s="35" t="str">
        <f>IF(Z83="YES",IF(C83+730.5&lt;'BASIC INFO'!$B$3, "YES","NO"), "N/A")</f>
        <v>N/A</v>
      </c>
      <c r="AB83" s="35" t="str">
        <f>IF('BASIC INFO'!$B$6+6574.5&gt;C83, "YES", "NO")</f>
        <v>YES</v>
      </c>
    </row>
    <row r="84" spans="1:28" x14ac:dyDescent="0.25">
      <c r="A84" s="35" t="str">
        <f>IF('CASE DATA'!A85="","z",'CASE DATA'!A85)</f>
        <v>z</v>
      </c>
      <c r="B84" s="66" t="str">
        <f>IF('CASE DATA'!A85="","",'CASE DATA'!E85)</f>
        <v/>
      </c>
      <c r="C84" s="36">
        <f>'CASE DATA'!D85</f>
        <v>0</v>
      </c>
      <c r="D84" s="37" t="str">
        <f>IF('CASE DATA'!I85="YES",SUM('CASE DATA'!K85:Q85),"n/a")</f>
        <v>n/a</v>
      </c>
      <c r="E84" s="38" t="str">
        <f>IF('CASE DATA'!G85="JUV", "YES", "NO")</f>
        <v>NO</v>
      </c>
      <c r="F84" s="38" t="str">
        <f t="array" ref="F84">IF(E84="YES",IF(SUM(COUNTIF('CASE DATA'!$G$4:$G$200, {"GTR","GPL","DEF","JUV"}))&gt;0, "YES","NO"),"N/A")</f>
        <v>N/A</v>
      </c>
      <c r="G84" s="38" t="str">
        <f>IF(E84="YES",IF(COUNTIF('CASE DATA'!$D$4:$D$200, "")-COUNTIF('CASE DATA'!$A$4:$A$200, "")&gt;0, "YES","NO"),"N/A")</f>
        <v>N/A</v>
      </c>
      <c r="H84" s="35" t="str">
        <f>_xlfn.IFS(E84="NO", "N/A", AND('BASIC INFO'!$B$3&gt;'BASIC INFO'!$B$6+6574.5, C84+730.5&lt;'BASIC INFO'!$B$3), "YES", 'BASIC INFO'!$B$3&lt;('BASIC INFO'!$B$6+6574.5), "NOT YET 18", C84+730.5&gt;'BASIC INFO'!$B$3, "NOT YET 2 YEARS")</f>
        <v>N/A</v>
      </c>
      <c r="I84" s="39" t="str">
        <f>IF(OR(AND(LEFT('CASE DATA'!F85,4)="321.",MID('CASE DATA'!A85,8,2)="SM"),MID('CASE DATA'!A85,8,2)="ST",MID('CASE DATA'!A85,8,2)="NT"),"TRAFFIC",IF(OR('CASE DATA'!G85="DISM", 'CASE DATA'!G85="ACQ", 'CASE DATA'!G85="NOTF", 'CASE DATA'!G85="WTHD", 'CASE DATA'!G85="TNSF"), "YES", "NO"))</f>
        <v>NO</v>
      </c>
      <c r="J84" s="40" t="str">
        <f>IF(I84="YES",'CASE DATA'!U85,"N/A")</f>
        <v>N/A</v>
      </c>
      <c r="K84" s="40" t="str">
        <f>IF(I84="YES",SOL!C85+SOL!D85,"N/A")</f>
        <v>N/A</v>
      </c>
      <c r="L84" s="35" t="str">
        <f>IF(I84="YES",IF(C84+180&lt;'BASIC INFO'!$B$3, "YES", "NO"),"N/A")</f>
        <v>N/A</v>
      </c>
      <c r="M84" s="40" t="str">
        <f t="array" ref="M84">IF(I84="TRAFFIC","n/a",IF(OR('CASE DATA'!G85="GTR", 'CASE DATA'!G85="GPL"),IF(SUM(COUNTIF('CASE DATA'!X85:AI85, 'CODE SECTIONS'!$V$2:$V$218&amp;"*"))&gt;0,"NO","YES"),"n/a"))</f>
        <v>n/a</v>
      </c>
      <c r="N84" s="40" t="str">
        <f t="array" ref="N84">IF(M84="YES",IF(OR((SUM(COUNTIF('CASE DATA'!X85:AI85,'CODE SECTIONS'!$X$2:$X$19&amp;"*"))&gt;0),LEFT('CASE DATA'!X85:AI85,4)="717C", LEFT('CASE DATA'!X85:AI85, 3)="719", LEFT('CASE DATA'!X85:AI85,3)="720", LEFT('CASE DATA'!X85:AI85,3)="724", LEFT('CASE DATA'!X85:AI85,3)="726", LEFT('CASE DATA'!X85:AI85,3)="728", LEFT('CASE DATA'!X85:AI85,4)="901A"), "ineligible misd","eligible"),"n/a")</f>
        <v>n/a</v>
      </c>
      <c r="O84" s="40" t="str">
        <f>IF(N84="eligible",IF(COUNTIF('CASE DATA'!$D$4:$D$200, "")-COUNTIF('CASE DATA'!$A$4:$A$200, "")&gt;0, "YES","NO"),"N/A")</f>
        <v>N/A</v>
      </c>
      <c r="P84" s="40" t="str">
        <f>IF(N84="eligible",BANKRUPTCY!C85+BANKRUPTCY!D85,"N/A")</f>
        <v>N/A</v>
      </c>
      <c r="Q84" s="40" t="str">
        <f>IF(N84="eligible",SOL!C85+SOL!D85,"N/A")</f>
        <v>N/A</v>
      </c>
      <c r="R84" s="40" t="str">
        <f>IF(N84="eligible",SUM('CASE DATA'!K85:T85),"N/A")</f>
        <v>N/A</v>
      </c>
      <c r="S84" s="40" t="str">
        <f>IF(N84="eligible",IF(C84+2920&lt;'BASIC INFO'!$B$3, "YES", "NO"),"N/A")</f>
        <v>N/A</v>
      </c>
      <c r="T84" s="39" t="str">
        <f>IF(OR('CASE DATA'!G85="DEF"), "YES", "NO")</f>
        <v>NO</v>
      </c>
      <c r="U84" s="35" t="str">
        <f>IF(T84="YES",'CASE DATA'!I85,"N/A")</f>
        <v>N/A</v>
      </c>
      <c r="V84" s="40" t="str">
        <f>IF(T84="YES",BANKRUPTCY!C85+BANKRUPTCY!D85,"N/A")</f>
        <v>N/A</v>
      </c>
      <c r="W84" s="40" t="str">
        <f>IF(T84="YES",SUM('CASE DATA'!K85:T85),"N/A")</f>
        <v>N/A</v>
      </c>
      <c r="X84" s="35" t="str">
        <f>IF(OR('CASE DATA'!F85="123.46",'CASE DATA'!F85="123.47"),"YES","NO")</f>
        <v>NO</v>
      </c>
      <c r="Y84" s="40" t="str">
        <f>IF(X84="YES",IF(C84+730.5&lt;'BASIC INFO'!$B$3, "YES","NO"), "N/A")</f>
        <v>N/A</v>
      </c>
      <c r="Z84" s="35" t="str">
        <f>IF('CASE DATA'!F85="725.1","YES","NO")</f>
        <v>NO</v>
      </c>
      <c r="AA84" s="35" t="str">
        <f>IF(Z84="YES",IF(C84+730.5&lt;'BASIC INFO'!$B$3, "YES","NO"), "N/A")</f>
        <v>N/A</v>
      </c>
      <c r="AB84" s="35" t="str">
        <f>IF('BASIC INFO'!$B$6+6574.5&gt;C84, "YES", "NO")</f>
        <v>YES</v>
      </c>
    </row>
    <row r="85" spans="1:28" x14ac:dyDescent="0.25">
      <c r="A85" s="35" t="str">
        <f>IF('CASE DATA'!A86="","z",'CASE DATA'!A86)</f>
        <v>z</v>
      </c>
      <c r="B85" s="66" t="str">
        <f>IF('CASE DATA'!A86="","",'CASE DATA'!E86)</f>
        <v/>
      </c>
      <c r="C85" s="36">
        <f>'CASE DATA'!D86</f>
        <v>0</v>
      </c>
      <c r="D85" s="37" t="str">
        <f>IF('CASE DATA'!I86="YES",SUM('CASE DATA'!K86:Q86),"n/a")</f>
        <v>n/a</v>
      </c>
      <c r="E85" s="38" t="str">
        <f>IF('CASE DATA'!G86="JUV", "YES", "NO")</f>
        <v>NO</v>
      </c>
      <c r="F85" s="38" t="str">
        <f t="array" ref="F85">IF(E85="YES",IF(SUM(COUNTIF('CASE DATA'!$G$4:$G$200, {"GTR","GPL","DEF","JUV"}))&gt;0, "YES","NO"),"N/A")</f>
        <v>N/A</v>
      </c>
      <c r="G85" s="38" t="str">
        <f>IF(E85="YES",IF(COUNTIF('CASE DATA'!$D$4:$D$200, "")-COUNTIF('CASE DATA'!$A$4:$A$200, "")&gt;0, "YES","NO"),"N/A")</f>
        <v>N/A</v>
      </c>
      <c r="H85" s="35" t="str">
        <f>_xlfn.IFS(E85="NO", "N/A", AND('BASIC INFO'!$B$3&gt;'BASIC INFO'!$B$6+6574.5, C85+730.5&lt;'BASIC INFO'!$B$3), "YES", 'BASIC INFO'!$B$3&lt;('BASIC INFO'!$B$6+6574.5), "NOT YET 18", C85+730.5&gt;'BASIC INFO'!$B$3, "NOT YET 2 YEARS")</f>
        <v>N/A</v>
      </c>
      <c r="I85" s="39" t="str">
        <f>IF(OR(AND(LEFT('CASE DATA'!F86,4)="321.",MID('CASE DATA'!A86,8,2)="SM"),MID('CASE DATA'!A86,8,2)="ST",MID('CASE DATA'!A86,8,2)="NT"),"TRAFFIC",IF(OR('CASE DATA'!G86="DISM", 'CASE DATA'!G86="ACQ", 'CASE DATA'!G86="NOTF", 'CASE DATA'!G86="WTHD", 'CASE DATA'!G86="TNSF"), "YES", "NO"))</f>
        <v>NO</v>
      </c>
      <c r="J85" s="40" t="str">
        <f>IF(I85="YES",'CASE DATA'!U86,"N/A")</f>
        <v>N/A</v>
      </c>
      <c r="K85" s="40" t="str">
        <f>IF(I85="YES",SOL!C86+SOL!D86,"N/A")</f>
        <v>N/A</v>
      </c>
      <c r="L85" s="35" t="str">
        <f>IF(I85="YES",IF(C85+180&lt;'BASIC INFO'!$B$3, "YES", "NO"),"N/A")</f>
        <v>N/A</v>
      </c>
      <c r="M85" s="40" t="str">
        <f t="array" ref="M85">IF(I85="TRAFFIC","n/a",IF(OR('CASE DATA'!G86="GTR", 'CASE DATA'!G86="GPL"),IF(SUM(COUNTIF('CASE DATA'!X86:AI86, 'CODE SECTIONS'!$V$2:$V$218&amp;"*"))&gt;0,"NO","YES"),"n/a"))</f>
        <v>n/a</v>
      </c>
      <c r="N85" s="40" t="str">
        <f t="array" ref="N85">IF(M85="YES",IF(OR((SUM(COUNTIF('CASE DATA'!X86:AI86,'CODE SECTIONS'!$X$2:$X$19&amp;"*"))&gt;0),LEFT('CASE DATA'!X86:AI86,4)="717C", LEFT('CASE DATA'!X86:AI86, 3)="719", LEFT('CASE DATA'!X86:AI86,3)="720", LEFT('CASE DATA'!X86:AI86,3)="724", LEFT('CASE DATA'!X86:AI86,3)="726", LEFT('CASE DATA'!X86:AI86,3)="728", LEFT('CASE DATA'!X86:AI86,4)="901A"), "ineligible misd","eligible"),"n/a")</f>
        <v>n/a</v>
      </c>
      <c r="O85" s="40" t="str">
        <f>IF(N85="eligible",IF(COUNTIF('CASE DATA'!$D$4:$D$200, "")-COUNTIF('CASE DATA'!$A$4:$A$200, "")&gt;0, "YES","NO"),"N/A")</f>
        <v>N/A</v>
      </c>
      <c r="P85" s="40" t="str">
        <f>IF(N85="eligible",BANKRUPTCY!C86+BANKRUPTCY!D86,"N/A")</f>
        <v>N/A</v>
      </c>
      <c r="Q85" s="40" t="str">
        <f>IF(N85="eligible",SOL!C86+SOL!D86,"N/A")</f>
        <v>N/A</v>
      </c>
      <c r="R85" s="40" t="str">
        <f>IF(N85="eligible",SUM('CASE DATA'!K86:T86),"N/A")</f>
        <v>N/A</v>
      </c>
      <c r="S85" s="40" t="str">
        <f>IF(N85="eligible",IF(C85+2920&lt;'BASIC INFO'!$B$3, "YES", "NO"),"N/A")</f>
        <v>N/A</v>
      </c>
      <c r="T85" s="39" t="str">
        <f>IF(OR('CASE DATA'!G86="DEF"), "YES", "NO")</f>
        <v>NO</v>
      </c>
      <c r="U85" s="35" t="str">
        <f>IF(T85="YES",'CASE DATA'!I86,"N/A")</f>
        <v>N/A</v>
      </c>
      <c r="V85" s="40" t="str">
        <f>IF(T85="YES",BANKRUPTCY!C86+BANKRUPTCY!D86,"N/A")</f>
        <v>N/A</v>
      </c>
      <c r="W85" s="40" t="str">
        <f>IF(T85="YES",SUM('CASE DATA'!K86:T86),"N/A")</f>
        <v>N/A</v>
      </c>
      <c r="X85" s="35" t="str">
        <f>IF(OR('CASE DATA'!F86="123.46",'CASE DATA'!F86="123.47"),"YES","NO")</f>
        <v>NO</v>
      </c>
      <c r="Y85" s="40" t="str">
        <f>IF(X85="YES",IF(C85+730.5&lt;'BASIC INFO'!$B$3, "YES","NO"), "N/A")</f>
        <v>N/A</v>
      </c>
      <c r="Z85" s="35" t="str">
        <f>IF('CASE DATA'!F86="725.1","YES","NO")</f>
        <v>NO</v>
      </c>
      <c r="AA85" s="35" t="str">
        <f>IF(Z85="YES",IF(C85+730.5&lt;'BASIC INFO'!$B$3, "YES","NO"), "N/A")</f>
        <v>N/A</v>
      </c>
      <c r="AB85" s="35" t="str">
        <f>IF('BASIC INFO'!$B$6+6574.5&gt;C85, "YES", "NO")</f>
        <v>YES</v>
      </c>
    </row>
    <row r="86" spans="1:28" x14ac:dyDescent="0.25">
      <c r="A86" s="35" t="str">
        <f>IF('CASE DATA'!A87="","z",'CASE DATA'!A87)</f>
        <v>z</v>
      </c>
      <c r="B86" s="66" t="str">
        <f>IF('CASE DATA'!A87="","",'CASE DATA'!E87)</f>
        <v/>
      </c>
      <c r="C86" s="36">
        <f>'CASE DATA'!D87</f>
        <v>0</v>
      </c>
      <c r="D86" s="37" t="str">
        <f>IF('CASE DATA'!I87="YES",SUM('CASE DATA'!K87:Q87),"n/a")</f>
        <v>n/a</v>
      </c>
      <c r="E86" s="38" t="str">
        <f>IF('CASE DATA'!G87="JUV", "YES", "NO")</f>
        <v>NO</v>
      </c>
      <c r="F86" s="38" t="str">
        <f t="array" ref="F86">IF(E86="YES",IF(SUM(COUNTIF('CASE DATA'!$G$4:$G$200, {"GTR","GPL","DEF","JUV"}))&gt;0, "YES","NO"),"N/A")</f>
        <v>N/A</v>
      </c>
      <c r="G86" s="38" t="str">
        <f>IF(E86="YES",IF(COUNTIF('CASE DATA'!$D$4:$D$200, "")-COUNTIF('CASE DATA'!$A$4:$A$200, "")&gt;0, "YES","NO"),"N/A")</f>
        <v>N/A</v>
      </c>
      <c r="H86" s="35" t="str">
        <f>_xlfn.IFS(E86="NO", "N/A", AND('BASIC INFO'!$B$3&gt;'BASIC INFO'!$B$6+6574.5, C86+730.5&lt;'BASIC INFO'!$B$3), "YES", 'BASIC INFO'!$B$3&lt;('BASIC INFO'!$B$6+6574.5), "NOT YET 18", C86+730.5&gt;'BASIC INFO'!$B$3, "NOT YET 2 YEARS")</f>
        <v>N/A</v>
      </c>
      <c r="I86" s="39" t="str">
        <f>IF(OR(AND(LEFT('CASE DATA'!F87,4)="321.",MID('CASE DATA'!A87,8,2)="SM"),MID('CASE DATA'!A87,8,2)="ST",MID('CASE DATA'!A87,8,2)="NT"),"TRAFFIC",IF(OR('CASE DATA'!G87="DISM", 'CASE DATA'!G87="ACQ", 'CASE DATA'!G87="NOTF", 'CASE DATA'!G87="WTHD", 'CASE DATA'!G87="TNSF"), "YES", "NO"))</f>
        <v>NO</v>
      </c>
      <c r="J86" s="40" t="str">
        <f>IF(I86="YES",'CASE DATA'!U87,"N/A")</f>
        <v>N/A</v>
      </c>
      <c r="K86" s="40" t="str">
        <f>IF(I86="YES",SOL!C87+SOL!D87,"N/A")</f>
        <v>N/A</v>
      </c>
      <c r="L86" s="35" t="str">
        <f>IF(I86="YES",IF(C86+180&lt;'BASIC INFO'!$B$3, "YES", "NO"),"N/A")</f>
        <v>N/A</v>
      </c>
      <c r="M86" s="40" t="str">
        <f t="array" ref="M86">IF(I86="TRAFFIC","n/a",IF(OR('CASE DATA'!G87="GTR", 'CASE DATA'!G87="GPL"),IF(SUM(COUNTIF('CASE DATA'!X87:AI87, 'CODE SECTIONS'!$V$2:$V$218&amp;"*"))&gt;0,"NO","YES"),"n/a"))</f>
        <v>n/a</v>
      </c>
      <c r="N86" s="40" t="str">
        <f t="array" ref="N86">IF(M86="YES",IF(OR((SUM(COUNTIF('CASE DATA'!X87:AI87,'CODE SECTIONS'!$X$2:$X$19&amp;"*"))&gt;0),LEFT('CASE DATA'!X87:AI87,4)="717C", LEFT('CASE DATA'!X87:AI87, 3)="719", LEFT('CASE DATA'!X87:AI87,3)="720", LEFT('CASE DATA'!X87:AI87,3)="724", LEFT('CASE DATA'!X87:AI87,3)="726", LEFT('CASE DATA'!X87:AI87,3)="728", LEFT('CASE DATA'!X87:AI87,4)="901A"), "ineligible misd","eligible"),"n/a")</f>
        <v>n/a</v>
      </c>
      <c r="O86" s="40" t="str">
        <f>IF(N86="eligible",IF(COUNTIF('CASE DATA'!$D$4:$D$200, "")-COUNTIF('CASE DATA'!$A$4:$A$200, "")&gt;0, "YES","NO"),"N/A")</f>
        <v>N/A</v>
      </c>
      <c r="P86" s="40" t="str">
        <f>IF(N86="eligible",BANKRUPTCY!C87+BANKRUPTCY!D87,"N/A")</f>
        <v>N/A</v>
      </c>
      <c r="Q86" s="40" t="str">
        <f>IF(N86="eligible",SOL!C87+SOL!D87,"N/A")</f>
        <v>N/A</v>
      </c>
      <c r="R86" s="40" t="str">
        <f>IF(N86="eligible",SUM('CASE DATA'!K87:T87),"N/A")</f>
        <v>N/A</v>
      </c>
      <c r="S86" s="40" t="str">
        <f>IF(N86="eligible",IF(C86+2920&lt;'BASIC INFO'!$B$3, "YES", "NO"),"N/A")</f>
        <v>N/A</v>
      </c>
      <c r="T86" s="39" t="str">
        <f>IF(OR('CASE DATA'!G87="DEF"), "YES", "NO")</f>
        <v>NO</v>
      </c>
      <c r="U86" s="35" t="str">
        <f>IF(T86="YES",'CASE DATA'!I87,"N/A")</f>
        <v>N/A</v>
      </c>
      <c r="V86" s="40" t="str">
        <f>IF(T86="YES",BANKRUPTCY!C87+BANKRUPTCY!D87,"N/A")</f>
        <v>N/A</v>
      </c>
      <c r="W86" s="40" t="str">
        <f>IF(T86="YES",SUM('CASE DATA'!K87:T87),"N/A")</f>
        <v>N/A</v>
      </c>
      <c r="X86" s="35" t="str">
        <f>IF(OR('CASE DATA'!F87="123.46",'CASE DATA'!F87="123.47"),"YES","NO")</f>
        <v>NO</v>
      </c>
      <c r="Y86" s="40" t="str">
        <f>IF(X86="YES",IF(C86+730.5&lt;'BASIC INFO'!$B$3, "YES","NO"), "N/A")</f>
        <v>N/A</v>
      </c>
      <c r="Z86" s="35" t="str">
        <f>IF('CASE DATA'!F87="725.1","YES","NO")</f>
        <v>NO</v>
      </c>
      <c r="AA86" s="35" t="str">
        <f>IF(Z86="YES",IF(C86+730.5&lt;'BASIC INFO'!$B$3, "YES","NO"), "N/A")</f>
        <v>N/A</v>
      </c>
      <c r="AB86" s="35" t="str">
        <f>IF('BASIC INFO'!$B$6+6574.5&gt;C86, "YES", "NO")</f>
        <v>YES</v>
      </c>
    </row>
    <row r="87" spans="1:28" x14ac:dyDescent="0.25">
      <c r="A87" s="35" t="str">
        <f>IF('CASE DATA'!A88="","z",'CASE DATA'!A88)</f>
        <v>z</v>
      </c>
      <c r="B87" s="66" t="str">
        <f>IF('CASE DATA'!A88="","",'CASE DATA'!E88)</f>
        <v/>
      </c>
      <c r="C87" s="36">
        <f>'CASE DATA'!D88</f>
        <v>0</v>
      </c>
      <c r="D87" s="37" t="str">
        <f>IF('CASE DATA'!I88="YES",SUM('CASE DATA'!K88:Q88),"n/a")</f>
        <v>n/a</v>
      </c>
      <c r="E87" s="38" t="str">
        <f>IF('CASE DATA'!G88="JUV", "YES", "NO")</f>
        <v>NO</v>
      </c>
      <c r="F87" s="38" t="str">
        <f t="array" ref="F87">IF(E87="YES",IF(SUM(COUNTIF('CASE DATA'!$G$4:$G$200, {"GTR","GPL","DEF","JUV"}))&gt;0, "YES","NO"),"N/A")</f>
        <v>N/A</v>
      </c>
      <c r="G87" s="38" t="str">
        <f>IF(E87="YES",IF(COUNTIF('CASE DATA'!$D$4:$D$200, "")-COUNTIF('CASE DATA'!$A$4:$A$200, "")&gt;0, "YES","NO"),"N/A")</f>
        <v>N/A</v>
      </c>
      <c r="H87" s="35" t="str">
        <f>_xlfn.IFS(E87="NO", "N/A", AND('BASIC INFO'!$B$3&gt;'BASIC INFO'!$B$6+6574.5, C87+730.5&lt;'BASIC INFO'!$B$3), "YES", 'BASIC INFO'!$B$3&lt;('BASIC INFO'!$B$6+6574.5), "NOT YET 18", C87+730.5&gt;'BASIC INFO'!$B$3, "NOT YET 2 YEARS")</f>
        <v>N/A</v>
      </c>
      <c r="I87" s="39" t="str">
        <f>IF(OR(AND(LEFT('CASE DATA'!F88,4)="321.",MID('CASE DATA'!A88,8,2)="SM"),MID('CASE DATA'!A88,8,2)="ST",MID('CASE DATA'!A88,8,2)="NT"),"TRAFFIC",IF(OR('CASE DATA'!G88="DISM", 'CASE DATA'!G88="ACQ", 'CASE DATA'!G88="NOTF", 'CASE DATA'!G88="WTHD", 'CASE DATA'!G88="TNSF"), "YES", "NO"))</f>
        <v>NO</v>
      </c>
      <c r="J87" s="40" t="str">
        <f>IF(I87="YES",'CASE DATA'!U88,"N/A")</f>
        <v>N/A</v>
      </c>
      <c r="K87" s="40" t="str">
        <f>IF(I87="YES",SOL!C88+SOL!D88,"N/A")</f>
        <v>N/A</v>
      </c>
      <c r="L87" s="35" t="str">
        <f>IF(I87="YES",IF(C87+180&lt;'BASIC INFO'!$B$3, "YES", "NO"),"N/A")</f>
        <v>N/A</v>
      </c>
      <c r="M87" s="40" t="str">
        <f t="array" ref="M87">IF(I87="TRAFFIC","n/a",IF(OR('CASE DATA'!G88="GTR", 'CASE DATA'!G88="GPL"),IF(SUM(COUNTIF('CASE DATA'!X88:AI88, 'CODE SECTIONS'!$V$2:$V$218&amp;"*"))&gt;0,"NO","YES"),"n/a"))</f>
        <v>n/a</v>
      </c>
      <c r="N87" s="40" t="str">
        <f t="array" ref="N87">IF(M87="YES",IF(OR((SUM(COUNTIF('CASE DATA'!X88:AI88,'CODE SECTIONS'!$X$2:$X$19&amp;"*"))&gt;0),LEFT('CASE DATA'!X88:AI88,4)="717C", LEFT('CASE DATA'!X88:AI88, 3)="719", LEFT('CASE DATA'!X88:AI88,3)="720", LEFT('CASE DATA'!X88:AI88,3)="724", LEFT('CASE DATA'!X88:AI88,3)="726", LEFT('CASE DATA'!X88:AI88,3)="728", LEFT('CASE DATA'!X88:AI88,4)="901A"), "ineligible misd","eligible"),"n/a")</f>
        <v>n/a</v>
      </c>
      <c r="O87" s="40" t="str">
        <f>IF(N87="eligible",IF(COUNTIF('CASE DATA'!$D$4:$D$200, "")-COUNTIF('CASE DATA'!$A$4:$A$200, "")&gt;0, "YES","NO"),"N/A")</f>
        <v>N/A</v>
      </c>
      <c r="P87" s="40" t="str">
        <f>IF(N87="eligible",BANKRUPTCY!C88+BANKRUPTCY!D88,"N/A")</f>
        <v>N/A</v>
      </c>
      <c r="Q87" s="40" t="str">
        <f>IF(N87="eligible",SOL!C88+SOL!D88,"N/A")</f>
        <v>N/A</v>
      </c>
      <c r="R87" s="40" t="str">
        <f>IF(N87="eligible",SUM('CASE DATA'!K88:T88),"N/A")</f>
        <v>N/A</v>
      </c>
      <c r="S87" s="40" t="str">
        <f>IF(N87="eligible",IF(C87+2920&lt;'BASIC INFO'!$B$3, "YES", "NO"),"N/A")</f>
        <v>N/A</v>
      </c>
      <c r="T87" s="39" t="str">
        <f>IF(OR('CASE DATA'!G88="DEF"), "YES", "NO")</f>
        <v>NO</v>
      </c>
      <c r="U87" s="35" t="str">
        <f>IF(T87="YES",'CASE DATA'!I88,"N/A")</f>
        <v>N/A</v>
      </c>
      <c r="V87" s="40" t="str">
        <f>IF(T87="YES",BANKRUPTCY!C88+BANKRUPTCY!D88,"N/A")</f>
        <v>N/A</v>
      </c>
      <c r="W87" s="40" t="str">
        <f>IF(T87="YES",SUM('CASE DATA'!K88:T88),"N/A")</f>
        <v>N/A</v>
      </c>
      <c r="X87" s="35" t="str">
        <f>IF(OR('CASE DATA'!F88="123.46",'CASE DATA'!F88="123.47"),"YES","NO")</f>
        <v>NO</v>
      </c>
      <c r="Y87" s="40" t="str">
        <f>IF(X87="YES",IF(C87+730.5&lt;'BASIC INFO'!$B$3, "YES","NO"), "N/A")</f>
        <v>N/A</v>
      </c>
      <c r="Z87" s="35" t="str">
        <f>IF('CASE DATA'!F88="725.1","YES","NO")</f>
        <v>NO</v>
      </c>
      <c r="AA87" s="35" t="str">
        <f>IF(Z87="YES",IF(C87+730.5&lt;'BASIC INFO'!$B$3, "YES","NO"), "N/A")</f>
        <v>N/A</v>
      </c>
      <c r="AB87" s="35" t="str">
        <f>IF('BASIC INFO'!$B$6+6574.5&gt;C87, "YES", "NO")</f>
        <v>YES</v>
      </c>
    </row>
    <row r="88" spans="1:28" x14ac:dyDescent="0.25">
      <c r="A88" s="35" t="str">
        <f>IF('CASE DATA'!A89="","z",'CASE DATA'!A89)</f>
        <v>z</v>
      </c>
      <c r="B88" s="66" t="str">
        <f>IF('CASE DATA'!A89="","",'CASE DATA'!E89)</f>
        <v/>
      </c>
      <c r="C88" s="36">
        <f>'CASE DATA'!D89</f>
        <v>0</v>
      </c>
      <c r="D88" s="37" t="str">
        <f>IF('CASE DATA'!I89="YES",SUM('CASE DATA'!K89:Q89),"n/a")</f>
        <v>n/a</v>
      </c>
      <c r="E88" s="38" t="str">
        <f>IF('CASE DATA'!G89="JUV", "YES", "NO")</f>
        <v>NO</v>
      </c>
      <c r="F88" s="38" t="str">
        <f t="array" ref="F88">IF(E88="YES",IF(SUM(COUNTIF('CASE DATA'!$G$4:$G$200, {"GTR","GPL","DEF","JUV"}))&gt;0, "YES","NO"),"N/A")</f>
        <v>N/A</v>
      </c>
      <c r="G88" s="38" t="str">
        <f>IF(E88="YES",IF(COUNTIF('CASE DATA'!$D$4:$D$200, "")-COUNTIF('CASE DATA'!$A$4:$A$200, "")&gt;0, "YES","NO"),"N/A")</f>
        <v>N/A</v>
      </c>
      <c r="H88" s="35" t="str">
        <f>_xlfn.IFS(E88="NO", "N/A", AND('BASIC INFO'!$B$3&gt;'BASIC INFO'!$B$6+6574.5, C88+730.5&lt;'BASIC INFO'!$B$3), "YES", 'BASIC INFO'!$B$3&lt;('BASIC INFO'!$B$6+6574.5), "NOT YET 18", C88+730.5&gt;'BASIC INFO'!$B$3, "NOT YET 2 YEARS")</f>
        <v>N/A</v>
      </c>
      <c r="I88" s="39" t="str">
        <f>IF(OR(AND(LEFT('CASE DATA'!F89,4)="321.",MID('CASE DATA'!A89,8,2)="SM"),MID('CASE DATA'!A89,8,2)="ST",MID('CASE DATA'!A89,8,2)="NT"),"TRAFFIC",IF(OR('CASE DATA'!G89="DISM", 'CASE DATA'!G89="ACQ", 'CASE DATA'!G89="NOTF", 'CASE DATA'!G89="WTHD", 'CASE DATA'!G89="TNSF"), "YES", "NO"))</f>
        <v>NO</v>
      </c>
      <c r="J88" s="40" t="str">
        <f>IF(I88="YES",'CASE DATA'!U89,"N/A")</f>
        <v>N/A</v>
      </c>
      <c r="K88" s="40" t="str">
        <f>IF(I88="YES",SOL!C89+SOL!D89,"N/A")</f>
        <v>N/A</v>
      </c>
      <c r="L88" s="35" t="str">
        <f>IF(I88="YES",IF(C88+180&lt;'BASIC INFO'!$B$3, "YES", "NO"),"N/A")</f>
        <v>N/A</v>
      </c>
      <c r="M88" s="40" t="str">
        <f t="array" ref="M88">IF(I88="TRAFFIC","n/a",IF(OR('CASE DATA'!G89="GTR", 'CASE DATA'!G89="GPL"),IF(SUM(COUNTIF('CASE DATA'!X89:AI89, 'CODE SECTIONS'!$V$2:$V$218&amp;"*"))&gt;0,"NO","YES"),"n/a"))</f>
        <v>n/a</v>
      </c>
      <c r="N88" s="40" t="str">
        <f t="array" ref="N88">IF(M88="YES",IF(OR((SUM(COUNTIF('CASE DATA'!X89:AI89,'CODE SECTIONS'!$X$2:$X$19&amp;"*"))&gt;0),LEFT('CASE DATA'!X89:AI89,4)="717C", LEFT('CASE DATA'!X89:AI89, 3)="719", LEFT('CASE DATA'!X89:AI89,3)="720", LEFT('CASE DATA'!X89:AI89,3)="724", LEFT('CASE DATA'!X89:AI89,3)="726", LEFT('CASE DATA'!X89:AI89,3)="728", LEFT('CASE DATA'!X89:AI89,4)="901A"), "ineligible misd","eligible"),"n/a")</f>
        <v>n/a</v>
      </c>
      <c r="O88" s="40" t="str">
        <f>IF(N88="eligible",IF(COUNTIF('CASE DATA'!$D$4:$D$200, "")-COUNTIF('CASE DATA'!$A$4:$A$200, "")&gt;0, "YES","NO"),"N/A")</f>
        <v>N/A</v>
      </c>
      <c r="P88" s="40" t="str">
        <f>IF(N88="eligible",BANKRUPTCY!C89+BANKRUPTCY!D89,"N/A")</f>
        <v>N/A</v>
      </c>
      <c r="Q88" s="40" t="str">
        <f>IF(N88="eligible",SOL!C89+SOL!D89,"N/A")</f>
        <v>N/A</v>
      </c>
      <c r="R88" s="40" t="str">
        <f>IF(N88="eligible",SUM('CASE DATA'!K89:T89),"N/A")</f>
        <v>N/A</v>
      </c>
      <c r="S88" s="40" t="str">
        <f>IF(N88="eligible",IF(C88+2920&lt;'BASIC INFO'!$B$3, "YES", "NO"),"N/A")</f>
        <v>N/A</v>
      </c>
      <c r="T88" s="39" t="str">
        <f>IF(OR('CASE DATA'!G89="DEF"), "YES", "NO")</f>
        <v>NO</v>
      </c>
      <c r="U88" s="35" t="str">
        <f>IF(T88="YES",'CASE DATA'!I89,"N/A")</f>
        <v>N/A</v>
      </c>
      <c r="V88" s="40" t="str">
        <f>IF(T88="YES",BANKRUPTCY!C89+BANKRUPTCY!D89,"N/A")</f>
        <v>N/A</v>
      </c>
      <c r="W88" s="40" t="str">
        <f>IF(T88="YES",SUM('CASE DATA'!K89:T89),"N/A")</f>
        <v>N/A</v>
      </c>
      <c r="X88" s="35" t="str">
        <f>IF(OR('CASE DATA'!F89="123.46",'CASE DATA'!F89="123.47"),"YES","NO")</f>
        <v>NO</v>
      </c>
      <c r="Y88" s="40" t="str">
        <f>IF(X88="YES",IF(C88+730.5&lt;'BASIC INFO'!$B$3, "YES","NO"), "N/A")</f>
        <v>N/A</v>
      </c>
      <c r="Z88" s="35" t="str">
        <f>IF('CASE DATA'!F89="725.1","YES","NO")</f>
        <v>NO</v>
      </c>
      <c r="AA88" s="35" t="str">
        <f>IF(Z88="YES",IF(C88+730.5&lt;'BASIC INFO'!$B$3, "YES","NO"), "N/A")</f>
        <v>N/A</v>
      </c>
      <c r="AB88" s="35" t="str">
        <f>IF('BASIC INFO'!$B$6+6574.5&gt;C88, "YES", "NO")</f>
        <v>YES</v>
      </c>
    </row>
    <row r="89" spans="1:28" x14ac:dyDescent="0.25">
      <c r="A89" s="35" t="str">
        <f>IF('CASE DATA'!A90="","z",'CASE DATA'!A90)</f>
        <v>z</v>
      </c>
      <c r="B89" s="66" t="str">
        <f>IF('CASE DATA'!A90="","",'CASE DATA'!E90)</f>
        <v/>
      </c>
      <c r="C89" s="36">
        <f>'CASE DATA'!D90</f>
        <v>0</v>
      </c>
      <c r="D89" s="37" t="str">
        <f>IF('CASE DATA'!I90="YES",SUM('CASE DATA'!K90:Q90),"n/a")</f>
        <v>n/a</v>
      </c>
      <c r="E89" s="38" t="str">
        <f>IF('CASE DATA'!G90="JUV", "YES", "NO")</f>
        <v>NO</v>
      </c>
      <c r="F89" s="38" t="str">
        <f t="array" ref="F89">IF(E89="YES",IF(SUM(COUNTIF('CASE DATA'!$G$4:$G$200, {"GTR","GPL","DEF","JUV"}))&gt;0, "YES","NO"),"N/A")</f>
        <v>N/A</v>
      </c>
      <c r="G89" s="38" t="str">
        <f>IF(E89="YES",IF(COUNTIF('CASE DATA'!$D$4:$D$200, "")-COUNTIF('CASE DATA'!$A$4:$A$200, "")&gt;0, "YES","NO"),"N/A")</f>
        <v>N/A</v>
      </c>
      <c r="H89" s="35" t="str">
        <f>_xlfn.IFS(E89="NO", "N/A", AND('BASIC INFO'!$B$3&gt;'BASIC INFO'!$B$6+6574.5, C89+730.5&lt;'BASIC INFO'!$B$3), "YES", 'BASIC INFO'!$B$3&lt;('BASIC INFO'!$B$6+6574.5), "NOT YET 18", C89+730.5&gt;'BASIC INFO'!$B$3, "NOT YET 2 YEARS")</f>
        <v>N/A</v>
      </c>
      <c r="I89" s="39" t="str">
        <f>IF(OR(AND(LEFT('CASE DATA'!F90,4)="321.",MID('CASE DATA'!A90,8,2)="SM"),MID('CASE DATA'!A90,8,2)="ST",MID('CASE DATA'!A90,8,2)="NT"),"TRAFFIC",IF(OR('CASE DATA'!G90="DISM", 'CASE DATA'!G90="ACQ", 'CASE DATA'!G90="NOTF", 'CASE DATA'!G90="WTHD", 'CASE DATA'!G90="TNSF"), "YES", "NO"))</f>
        <v>NO</v>
      </c>
      <c r="J89" s="40" t="str">
        <f>IF(I89="YES",'CASE DATA'!U90,"N/A")</f>
        <v>N/A</v>
      </c>
      <c r="K89" s="40" t="str">
        <f>IF(I89="YES",SOL!C90+SOL!D90,"N/A")</f>
        <v>N/A</v>
      </c>
      <c r="L89" s="35" t="str">
        <f>IF(I89="YES",IF(C89+180&lt;'BASIC INFO'!$B$3, "YES", "NO"),"N/A")</f>
        <v>N/A</v>
      </c>
      <c r="M89" s="40" t="str">
        <f t="array" ref="M89">IF(I89="TRAFFIC","n/a",IF(OR('CASE DATA'!G90="GTR", 'CASE DATA'!G90="GPL"),IF(SUM(COUNTIF('CASE DATA'!X90:AI90, 'CODE SECTIONS'!$V$2:$V$218&amp;"*"))&gt;0,"NO","YES"),"n/a"))</f>
        <v>n/a</v>
      </c>
      <c r="N89" s="40" t="str">
        <f t="array" ref="N89">IF(M89="YES",IF(OR((SUM(COUNTIF('CASE DATA'!X90:AI90,'CODE SECTIONS'!$X$2:$X$19&amp;"*"))&gt;0),LEFT('CASE DATA'!X90:AI90,4)="717C", LEFT('CASE DATA'!X90:AI90, 3)="719", LEFT('CASE DATA'!X90:AI90,3)="720", LEFT('CASE DATA'!X90:AI90,3)="724", LEFT('CASE DATA'!X90:AI90,3)="726", LEFT('CASE DATA'!X90:AI90,3)="728", LEFT('CASE DATA'!X90:AI90,4)="901A"), "ineligible misd","eligible"),"n/a")</f>
        <v>n/a</v>
      </c>
      <c r="O89" s="40" t="str">
        <f>IF(N89="eligible",IF(COUNTIF('CASE DATA'!$D$4:$D$200, "")-COUNTIF('CASE DATA'!$A$4:$A$200, "")&gt;0, "YES","NO"),"N/A")</f>
        <v>N/A</v>
      </c>
      <c r="P89" s="40" t="str">
        <f>IF(N89="eligible",BANKRUPTCY!C90+BANKRUPTCY!D90,"N/A")</f>
        <v>N/A</v>
      </c>
      <c r="Q89" s="40" t="str">
        <f>IF(N89="eligible",SOL!C90+SOL!D90,"N/A")</f>
        <v>N/A</v>
      </c>
      <c r="R89" s="40" t="str">
        <f>IF(N89="eligible",SUM('CASE DATA'!K90:T90),"N/A")</f>
        <v>N/A</v>
      </c>
      <c r="S89" s="40" t="str">
        <f>IF(N89="eligible",IF(C89+2920&lt;'BASIC INFO'!$B$3, "YES", "NO"),"N/A")</f>
        <v>N/A</v>
      </c>
      <c r="T89" s="39" t="str">
        <f>IF(OR('CASE DATA'!G90="DEF"), "YES", "NO")</f>
        <v>NO</v>
      </c>
      <c r="U89" s="35" t="str">
        <f>IF(T89="YES",'CASE DATA'!I90,"N/A")</f>
        <v>N/A</v>
      </c>
      <c r="V89" s="40" t="str">
        <f>IF(T89="YES",BANKRUPTCY!C90+BANKRUPTCY!D90,"N/A")</f>
        <v>N/A</v>
      </c>
      <c r="W89" s="40" t="str">
        <f>IF(T89="YES",SUM('CASE DATA'!K90:T90),"N/A")</f>
        <v>N/A</v>
      </c>
      <c r="X89" s="35" t="str">
        <f>IF(OR('CASE DATA'!F90="123.46",'CASE DATA'!F90="123.47"),"YES","NO")</f>
        <v>NO</v>
      </c>
      <c r="Y89" s="40" t="str">
        <f>IF(X89="YES",IF(C89+730.5&lt;'BASIC INFO'!$B$3, "YES","NO"), "N/A")</f>
        <v>N/A</v>
      </c>
      <c r="Z89" s="35" t="str">
        <f>IF('CASE DATA'!F90="725.1","YES","NO")</f>
        <v>NO</v>
      </c>
      <c r="AA89" s="35" t="str">
        <f>IF(Z89="YES",IF(C89+730.5&lt;'BASIC INFO'!$B$3, "YES","NO"), "N/A")</f>
        <v>N/A</v>
      </c>
      <c r="AB89" s="35" t="str">
        <f>IF('BASIC INFO'!$B$6+6574.5&gt;C89, "YES", "NO")</f>
        <v>YES</v>
      </c>
    </row>
    <row r="90" spans="1:28" x14ac:dyDescent="0.25">
      <c r="A90" s="35" t="str">
        <f>IF('CASE DATA'!A91="","z",'CASE DATA'!A91)</f>
        <v>z</v>
      </c>
      <c r="B90" s="66" t="str">
        <f>IF('CASE DATA'!A91="","",'CASE DATA'!E91)</f>
        <v/>
      </c>
      <c r="C90" s="36">
        <f>'CASE DATA'!D91</f>
        <v>0</v>
      </c>
      <c r="D90" s="37" t="str">
        <f>IF('CASE DATA'!I91="YES",SUM('CASE DATA'!K91:Q91),"n/a")</f>
        <v>n/a</v>
      </c>
      <c r="E90" s="38" t="str">
        <f>IF('CASE DATA'!G91="JUV", "YES", "NO")</f>
        <v>NO</v>
      </c>
      <c r="F90" s="38" t="str">
        <f t="array" ref="F90">IF(E90="YES",IF(SUM(COUNTIF('CASE DATA'!$G$4:$G$200, {"GTR","GPL","DEF","JUV"}))&gt;0, "YES","NO"),"N/A")</f>
        <v>N/A</v>
      </c>
      <c r="G90" s="38" t="str">
        <f>IF(E90="YES",IF(COUNTIF('CASE DATA'!$D$4:$D$200, "")-COUNTIF('CASE DATA'!$A$4:$A$200, "")&gt;0, "YES","NO"),"N/A")</f>
        <v>N/A</v>
      </c>
      <c r="H90" s="35" t="str">
        <f>_xlfn.IFS(E90="NO", "N/A", AND('BASIC INFO'!$B$3&gt;'BASIC INFO'!$B$6+6574.5, C90+730.5&lt;'BASIC INFO'!$B$3), "YES", 'BASIC INFO'!$B$3&lt;('BASIC INFO'!$B$6+6574.5), "NOT YET 18", C90+730.5&gt;'BASIC INFO'!$B$3, "NOT YET 2 YEARS")</f>
        <v>N/A</v>
      </c>
      <c r="I90" s="39" t="str">
        <f>IF(OR(AND(LEFT('CASE DATA'!F91,4)="321.",MID('CASE DATA'!A91,8,2)="SM"),MID('CASE DATA'!A91,8,2)="ST",MID('CASE DATA'!A91,8,2)="NT"),"TRAFFIC",IF(OR('CASE DATA'!G91="DISM", 'CASE DATA'!G91="ACQ", 'CASE DATA'!G91="NOTF", 'CASE DATA'!G91="WTHD", 'CASE DATA'!G91="TNSF"), "YES", "NO"))</f>
        <v>NO</v>
      </c>
      <c r="J90" s="40" t="str">
        <f>IF(I90="YES",'CASE DATA'!U91,"N/A")</f>
        <v>N/A</v>
      </c>
      <c r="K90" s="40" t="str">
        <f>IF(I90="YES",SOL!C91+SOL!D91,"N/A")</f>
        <v>N/A</v>
      </c>
      <c r="L90" s="35" t="str">
        <f>IF(I90="YES",IF(C90+180&lt;'BASIC INFO'!$B$3, "YES", "NO"),"N/A")</f>
        <v>N/A</v>
      </c>
      <c r="M90" s="40" t="str">
        <f t="array" ref="M90">IF(I90="TRAFFIC","n/a",IF(OR('CASE DATA'!G91="GTR", 'CASE DATA'!G91="GPL"),IF(SUM(COUNTIF('CASE DATA'!X91:AI91, 'CODE SECTIONS'!$V$2:$V$218&amp;"*"))&gt;0,"NO","YES"),"n/a"))</f>
        <v>n/a</v>
      </c>
      <c r="N90" s="40" t="str">
        <f t="array" ref="N90">IF(M90="YES",IF(OR((SUM(COUNTIF('CASE DATA'!X91:AI91,'CODE SECTIONS'!$X$2:$X$19&amp;"*"))&gt;0),LEFT('CASE DATA'!X91:AI91,4)="717C", LEFT('CASE DATA'!X91:AI91, 3)="719", LEFT('CASE DATA'!X91:AI91,3)="720", LEFT('CASE DATA'!X91:AI91,3)="724", LEFT('CASE DATA'!X91:AI91,3)="726", LEFT('CASE DATA'!X91:AI91,3)="728", LEFT('CASE DATA'!X91:AI91,4)="901A"), "ineligible misd","eligible"),"n/a")</f>
        <v>n/a</v>
      </c>
      <c r="O90" s="40" t="str">
        <f>IF(N90="eligible",IF(COUNTIF('CASE DATA'!$D$4:$D$200, "")-COUNTIF('CASE DATA'!$A$4:$A$200, "")&gt;0, "YES","NO"),"N/A")</f>
        <v>N/A</v>
      </c>
      <c r="P90" s="40" t="str">
        <f>IF(N90="eligible",BANKRUPTCY!C91+BANKRUPTCY!D91,"N/A")</f>
        <v>N/A</v>
      </c>
      <c r="Q90" s="40" t="str">
        <f>IF(N90="eligible",SOL!C91+SOL!D91,"N/A")</f>
        <v>N/A</v>
      </c>
      <c r="R90" s="40" t="str">
        <f>IF(N90="eligible",SUM('CASE DATA'!K91:T91),"N/A")</f>
        <v>N/A</v>
      </c>
      <c r="S90" s="40" t="str">
        <f>IF(N90="eligible",IF(C90+2920&lt;'BASIC INFO'!$B$3, "YES", "NO"),"N/A")</f>
        <v>N/A</v>
      </c>
      <c r="T90" s="39" t="str">
        <f>IF(OR('CASE DATA'!G91="DEF"), "YES", "NO")</f>
        <v>NO</v>
      </c>
      <c r="U90" s="35" t="str">
        <f>IF(T90="YES",'CASE DATA'!I91,"N/A")</f>
        <v>N/A</v>
      </c>
      <c r="V90" s="40" t="str">
        <f>IF(T90="YES",BANKRUPTCY!C91+BANKRUPTCY!D91,"N/A")</f>
        <v>N/A</v>
      </c>
      <c r="W90" s="40" t="str">
        <f>IF(T90="YES",SUM('CASE DATA'!K91:T91),"N/A")</f>
        <v>N/A</v>
      </c>
      <c r="X90" s="35" t="str">
        <f>IF(OR('CASE DATA'!F91="123.46",'CASE DATA'!F91="123.47"),"YES","NO")</f>
        <v>NO</v>
      </c>
      <c r="Y90" s="40" t="str">
        <f>IF(X90="YES",IF(C90+730.5&lt;'BASIC INFO'!$B$3, "YES","NO"), "N/A")</f>
        <v>N/A</v>
      </c>
      <c r="Z90" s="35" t="str">
        <f>IF('CASE DATA'!F91="725.1","YES","NO")</f>
        <v>NO</v>
      </c>
      <c r="AA90" s="35" t="str">
        <f>IF(Z90="YES",IF(C90+730.5&lt;'BASIC INFO'!$B$3, "YES","NO"), "N/A")</f>
        <v>N/A</v>
      </c>
      <c r="AB90" s="35" t="str">
        <f>IF('BASIC INFO'!$B$6+6574.5&gt;C90, "YES", "NO")</f>
        <v>YES</v>
      </c>
    </row>
    <row r="91" spans="1:28" x14ac:dyDescent="0.25">
      <c r="A91" s="35" t="str">
        <f>IF('CASE DATA'!A92="","z",'CASE DATA'!A92)</f>
        <v>z</v>
      </c>
      <c r="B91" s="66" t="str">
        <f>IF('CASE DATA'!A92="","",'CASE DATA'!E92)</f>
        <v/>
      </c>
      <c r="C91" s="36">
        <f>'CASE DATA'!D92</f>
        <v>0</v>
      </c>
      <c r="D91" s="37" t="str">
        <f>IF('CASE DATA'!I92="YES",SUM('CASE DATA'!K92:Q92),"n/a")</f>
        <v>n/a</v>
      </c>
      <c r="E91" s="38" t="str">
        <f>IF('CASE DATA'!G92="JUV", "YES", "NO")</f>
        <v>NO</v>
      </c>
      <c r="F91" s="38" t="str">
        <f t="array" ref="F91">IF(E91="YES",IF(SUM(COUNTIF('CASE DATA'!$G$4:$G$200, {"GTR","GPL","DEF","JUV"}))&gt;0, "YES","NO"),"N/A")</f>
        <v>N/A</v>
      </c>
      <c r="G91" s="38" t="str">
        <f>IF(E91="YES",IF(COUNTIF('CASE DATA'!$D$4:$D$200, "")-COUNTIF('CASE DATA'!$A$4:$A$200, "")&gt;0, "YES","NO"),"N/A")</f>
        <v>N/A</v>
      </c>
      <c r="H91" s="35" t="str">
        <f>_xlfn.IFS(E91="NO", "N/A", AND('BASIC INFO'!$B$3&gt;'BASIC INFO'!$B$6+6574.5, C91+730.5&lt;'BASIC INFO'!$B$3), "YES", 'BASIC INFO'!$B$3&lt;('BASIC INFO'!$B$6+6574.5), "NOT YET 18", C91+730.5&gt;'BASIC INFO'!$B$3, "NOT YET 2 YEARS")</f>
        <v>N/A</v>
      </c>
      <c r="I91" s="39" t="str">
        <f>IF(OR(AND(LEFT('CASE DATA'!F92,4)="321.",MID('CASE DATA'!A92,8,2)="SM"),MID('CASE DATA'!A92,8,2)="ST",MID('CASE DATA'!A92,8,2)="NT"),"TRAFFIC",IF(OR('CASE DATA'!G92="DISM", 'CASE DATA'!G92="ACQ", 'CASE DATA'!G92="NOTF", 'CASE DATA'!G92="WTHD", 'CASE DATA'!G92="TNSF"), "YES", "NO"))</f>
        <v>NO</v>
      </c>
      <c r="J91" s="40" t="str">
        <f>IF(I91="YES",'CASE DATA'!U92,"N/A")</f>
        <v>N/A</v>
      </c>
      <c r="K91" s="40" t="str">
        <f>IF(I91="YES",SOL!C92+SOL!D92,"N/A")</f>
        <v>N/A</v>
      </c>
      <c r="L91" s="35" t="str">
        <f>IF(I91="YES",IF(C91+180&lt;'BASIC INFO'!$B$3, "YES", "NO"),"N/A")</f>
        <v>N/A</v>
      </c>
      <c r="M91" s="40" t="str">
        <f t="array" ref="M91">IF(I91="TRAFFIC","n/a",IF(OR('CASE DATA'!G92="GTR", 'CASE DATA'!G92="GPL"),IF(SUM(COUNTIF('CASE DATA'!X92:AI92, 'CODE SECTIONS'!$V$2:$V$218&amp;"*"))&gt;0,"NO","YES"),"n/a"))</f>
        <v>n/a</v>
      </c>
      <c r="N91" s="40" t="str">
        <f t="array" ref="N91">IF(M91="YES",IF(OR((SUM(COUNTIF('CASE DATA'!X92:AI92,'CODE SECTIONS'!$X$2:$X$19&amp;"*"))&gt;0),LEFT('CASE DATA'!X92:AI92,4)="717C", LEFT('CASE DATA'!X92:AI92, 3)="719", LEFT('CASE DATA'!X92:AI92,3)="720", LEFT('CASE DATA'!X92:AI92,3)="724", LEFT('CASE DATA'!X92:AI92,3)="726", LEFT('CASE DATA'!X92:AI92,3)="728", LEFT('CASE DATA'!X92:AI92,4)="901A"), "ineligible misd","eligible"),"n/a")</f>
        <v>n/a</v>
      </c>
      <c r="O91" s="40" t="str">
        <f>IF(N91="eligible",IF(COUNTIF('CASE DATA'!$D$4:$D$200, "")-COUNTIF('CASE DATA'!$A$4:$A$200, "")&gt;0, "YES","NO"),"N/A")</f>
        <v>N/A</v>
      </c>
      <c r="P91" s="40" t="str">
        <f>IF(N91="eligible",BANKRUPTCY!C92+BANKRUPTCY!D92,"N/A")</f>
        <v>N/A</v>
      </c>
      <c r="Q91" s="40" t="str">
        <f>IF(N91="eligible",SOL!C92+SOL!D92,"N/A")</f>
        <v>N/A</v>
      </c>
      <c r="R91" s="40" t="str">
        <f>IF(N91="eligible",SUM('CASE DATA'!K92:T92),"N/A")</f>
        <v>N/A</v>
      </c>
      <c r="S91" s="40" t="str">
        <f>IF(N91="eligible",IF(C91+2920&lt;'BASIC INFO'!$B$3, "YES", "NO"),"N/A")</f>
        <v>N/A</v>
      </c>
      <c r="T91" s="39" t="str">
        <f>IF(OR('CASE DATA'!G92="DEF"), "YES", "NO")</f>
        <v>NO</v>
      </c>
      <c r="U91" s="35" t="str">
        <f>IF(T91="YES",'CASE DATA'!I92,"N/A")</f>
        <v>N/A</v>
      </c>
      <c r="V91" s="40" t="str">
        <f>IF(T91="YES",BANKRUPTCY!C92+BANKRUPTCY!D92,"N/A")</f>
        <v>N/A</v>
      </c>
      <c r="W91" s="40" t="str">
        <f>IF(T91="YES",SUM('CASE DATA'!K92:T92),"N/A")</f>
        <v>N/A</v>
      </c>
      <c r="X91" s="35" t="str">
        <f>IF(OR('CASE DATA'!F92="123.46",'CASE DATA'!F92="123.47"),"YES","NO")</f>
        <v>NO</v>
      </c>
      <c r="Y91" s="40" t="str">
        <f>IF(X91="YES",IF(C91+730.5&lt;'BASIC INFO'!$B$3, "YES","NO"), "N/A")</f>
        <v>N/A</v>
      </c>
      <c r="Z91" s="35" t="str">
        <f>IF('CASE DATA'!F92="725.1","YES","NO")</f>
        <v>NO</v>
      </c>
      <c r="AA91" s="35" t="str">
        <f>IF(Z91="YES",IF(C91+730.5&lt;'BASIC INFO'!$B$3, "YES","NO"), "N/A")</f>
        <v>N/A</v>
      </c>
      <c r="AB91" s="35" t="str">
        <f>IF('BASIC INFO'!$B$6+6574.5&gt;C91, "YES", "NO")</f>
        <v>YES</v>
      </c>
    </row>
    <row r="92" spans="1:28" x14ac:dyDescent="0.25">
      <c r="A92" s="35" t="str">
        <f>IF('CASE DATA'!A93="","z",'CASE DATA'!A93)</f>
        <v>z</v>
      </c>
      <c r="B92" s="66" t="str">
        <f>IF('CASE DATA'!A93="","",'CASE DATA'!E93)</f>
        <v/>
      </c>
      <c r="C92" s="36">
        <f>'CASE DATA'!D93</f>
        <v>0</v>
      </c>
      <c r="D92" s="37" t="str">
        <f>IF('CASE DATA'!I93="YES",SUM('CASE DATA'!K93:Q93),"n/a")</f>
        <v>n/a</v>
      </c>
      <c r="E92" s="38" t="str">
        <f>IF('CASE DATA'!G93="JUV", "YES", "NO")</f>
        <v>NO</v>
      </c>
      <c r="F92" s="38" t="str">
        <f t="array" ref="F92">IF(E92="YES",IF(SUM(COUNTIF('CASE DATA'!$G$4:$G$200, {"GTR","GPL","DEF","JUV"}))&gt;0, "YES","NO"),"N/A")</f>
        <v>N/A</v>
      </c>
      <c r="G92" s="38" t="str">
        <f>IF(E92="YES",IF(COUNTIF('CASE DATA'!$D$4:$D$200, "")-COUNTIF('CASE DATA'!$A$4:$A$200, "")&gt;0, "YES","NO"),"N/A")</f>
        <v>N/A</v>
      </c>
      <c r="H92" s="35" t="str">
        <f>_xlfn.IFS(E92="NO", "N/A", AND('BASIC INFO'!$B$3&gt;'BASIC INFO'!$B$6+6574.5, C92+730.5&lt;'BASIC INFO'!$B$3), "YES", 'BASIC INFO'!$B$3&lt;('BASIC INFO'!$B$6+6574.5), "NOT YET 18", C92+730.5&gt;'BASIC INFO'!$B$3, "NOT YET 2 YEARS")</f>
        <v>N/A</v>
      </c>
      <c r="I92" s="39" t="str">
        <f>IF(OR(AND(LEFT('CASE DATA'!F93,4)="321.",MID('CASE DATA'!A93,8,2)="SM"),MID('CASE DATA'!A93,8,2)="ST",MID('CASE DATA'!A93,8,2)="NT"),"TRAFFIC",IF(OR('CASE DATA'!G93="DISM", 'CASE DATA'!G93="ACQ", 'CASE DATA'!G93="NOTF", 'CASE DATA'!G93="WTHD", 'CASE DATA'!G93="TNSF"), "YES", "NO"))</f>
        <v>NO</v>
      </c>
      <c r="J92" s="40" t="str">
        <f>IF(I92="YES",'CASE DATA'!U93,"N/A")</f>
        <v>N/A</v>
      </c>
      <c r="K92" s="40" t="str">
        <f>IF(I92="YES",SOL!C93+SOL!D93,"N/A")</f>
        <v>N/A</v>
      </c>
      <c r="L92" s="35" t="str">
        <f>IF(I92="YES",IF(C92+180&lt;'BASIC INFO'!$B$3, "YES", "NO"),"N/A")</f>
        <v>N/A</v>
      </c>
      <c r="M92" s="40" t="str">
        <f t="array" ref="M92">IF(I92="TRAFFIC","n/a",IF(OR('CASE DATA'!G93="GTR", 'CASE DATA'!G93="GPL"),IF(SUM(COUNTIF('CASE DATA'!X93:AI93, 'CODE SECTIONS'!$V$2:$V$218&amp;"*"))&gt;0,"NO","YES"),"n/a"))</f>
        <v>n/a</v>
      </c>
      <c r="N92" s="40" t="str">
        <f t="array" ref="N92">IF(M92="YES",IF(OR((SUM(COUNTIF('CASE DATA'!X93:AI93,'CODE SECTIONS'!$X$2:$X$19&amp;"*"))&gt;0),LEFT('CASE DATA'!X93:AI93,4)="717C", LEFT('CASE DATA'!X93:AI93, 3)="719", LEFT('CASE DATA'!X93:AI93,3)="720", LEFT('CASE DATA'!X93:AI93,3)="724", LEFT('CASE DATA'!X93:AI93,3)="726", LEFT('CASE DATA'!X93:AI93,3)="728", LEFT('CASE DATA'!X93:AI93,4)="901A"), "ineligible misd","eligible"),"n/a")</f>
        <v>n/a</v>
      </c>
      <c r="O92" s="40" t="str">
        <f>IF(N92="eligible",IF(COUNTIF('CASE DATA'!$D$4:$D$200, "")-COUNTIF('CASE DATA'!$A$4:$A$200, "")&gt;0, "YES","NO"),"N/A")</f>
        <v>N/A</v>
      </c>
      <c r="P92" s="40" t="str">
        <f>IF(N92="eligible",BANKRUPTCY!C93+BANKRUPTCY!D93,"N/A")</f>
        <v>N/A</v>
      </c>
      <c r="Q92" s="40" t="str">
        <f>IF(N92="eligible",SOL!C93+SOL!D93,"N/A")</f>
        <v>N/A</v>
      </c>
      <c r="R92" s="40" t="str">
        <f>IF(N92="eligible",SUM('CASE DATA'!K93:T93),"N/A")</f>
        <v>N/A</v>
      </c>
      <c r="S92" s="40" t="str">
        <f>IF(N92="eligible",IF(C92+2920&lt;'BASIC INFO'!$B$3, "YES", "NO"),"N/A")</f>
        <v>N/A</v>
      </c>
      <c r="T92" s="39" t="str">
        <f>IF(OR('CASE DATA'!G93="DEF"), "YES", "NO")</f>
        <v>NO</v>
      </c>
      <c r="U92" s="35" t="str">
        <f>IF(T92="YES",'CASE DATA'!I93,"N/A")</f>
        <v>N/A</v>
      </c>
      <c r="V92" s="40" t="str">
        <f>IF(T92="YES",BANKRUPTCY!C93+BANKRUPTCY!D93,"N/A")</f>
        <v>N/A</v>
      </c>
      <c r="W92" s="40" t="str">
        <f>IF(T92="YES",SUM('CASE DATA'!K93:T93),"N/A")</f>
        <v>N/A</v>
      </c>
      <c r="X92" s="35" t="str">
        <f>IF(OR('CASE DATA'!F93="123.46",'CASE DATA'!F93="123.47"),"YES","NO")</f>
        <v>NO</v>
      </c>
      <c r="Y92" s="40" t="str">
        <f>IF(X92="YES",IF(C92+730.5&lt;'BASIC INFO'!$B$3, "YES","NO"), "N/A")</f>
        <v>N/A</v>
      </c>
      <c r="Z92" s="35" t="str">
        <f>IF('CASE DATA'!F93="725.1","YES","NO")</f>
        <v>NO</v>
      </c>
      <c r="AA92" s="35" t="str">
        <f>IF(Z92="YES",IF(C92+730.5&lt;'BASIC INFO'!$B$3, "YES","NO"), "N/A")</f>
        <v>N/A</v>
      </c>
      <c r="AB92" s="35" t="str">
        <f>IF('BASIC INFO'!$B$6+6574.5&gt;C92, "YES", "NO")</f>
        <v>YES</v>
      </c>
    </row>
    <row r="93" spans="1:28" x14ac:dyDescent="0.25">
      <c r="A93" s="35" t="str">
        <f>IF('CASE DATA'!A94="","z",'CASE DATA'!A94)</f>
        <v>z</v>
      </c>
      <c r="B93" s="66" t="str">
        <f>IF('CASE DATA'!A94="","",'CASE DATA'!E94)</f>
        <v/>
      </c>
      <c r="C93" s="36">
        <f>'CASE DATA'!D94</f>
        <v>0</v>
      </c>
      <c r="D93" s="37" t="str">
        <f>IF('CASE DATA'!I94="YES",SUM('CASE DATA'!K94:Q94),"n/a")</f>
        <v>n/a</v>
      </c>
      <c r="E93" s="38" t="str">
        <f>IF('CASE DATA'!G94="JUV", "YES", "NO")</f>
        <v>NO</v>
      </c>
      <c r="F93" s="38" t="str">
        <f t="array" ref="F93">IF(E93="YES",IF(SUM(COUNTIF('CASE DATA'!$G$4:$G$200, {"GTR","GPL","DEF","JUV"}))&gt;0, "YES","NO"),"N/A")</f>
        <v>N/A</v>
      </c>
      <c r="G93" s="38" t="str">
        <f>IF(E93="YES",IF(COUNTIF('CASE DATA'!$D$4:$D$200, "")-COUNTIF('CASE DATA'!$A$4:$A$200, "")&gt;0, "YES","NO"),"N/A")</f>
        <v>N/A</v>
      </c>
      <c r="H93" s="35" t="str">
        <f>_xlfn.IFS(E93="NO", "N/A", AND('BASIC INFO'!$B$3&gt;'BASIC INFO'!$B$6+6574.5, C93+730.5&lt;'BASIC INFO'!$B$3), "YES", 'BASIC INFO'!$B$3&lt;('BASIC INFO'!$B$6+6574.5), "NOT YET 18", C93+730.5&gt;'BASIC INFO'!$B$3, "NOT YET 2 YEARS")</f>
        <v>N/A</v>
      </c>
      <c r="I93" s="39" t="str">
        <f>IF(OR(AND(LEFT('CASE DATA'!F94,4)="321.",MID('CASE DATA'!A94,8,2)="SM"),MID('CASE DATA'!A94,8,2)="ST",MID('CASE DATA'!A94,8,2)="NT"),"TRAFFIC",IF(OR('CASE DATA'!G94="DISM", 'CASE DATA'!G94="ACQ", 'CASE DATA'!G94="NOTF", 'CASE DATA'!G94="WTHD", 'CASE DATA'!G94="TNSF"), "YES", "NO"))</f>
        <v>NO</v>
      </c>
      <c r="J93" s="40" t="str">
        <f>IF(I93="YES",'CASE DATA'!U94,"N/A")</f>
        <v>N/A</v>
      </c>
      <c r="K93" s="40" t="str">
        <f>IF(I93="YES",SOL!C94+SOL!D94,"N/A")</f>
        <v>N/A</v>
      </c>
      <c r="L93" s="35" t="str">
        <f>IF(I93="YES",IF(C93+180&lt;'BASIC INFO'!$B$3, "YES", "NO"),"N/A")</f>
        <v>N/A</v>
      </c>
      <c r="M93" s="40" t="str">
        <f t="array" ref="M93">IF(I93="TRAFFIC","n/a",IF(OR('CASE DATA'!G94="GTR", 'CASE DATA'!G94="GPL"),IF(SUM(COUNTIF('CASE DATA'!X94:AI94, 'CODE SECTIONS'!$V$2:$V$218&amp;"*"))&gt;0,"NO","YES"),"n/a"))</f>
        <v>n/a</v>
      </c>
      <c r="N93" s="40" t="str">
        <f t="array" ref="N93">IF(M93="YES",IF(OR((SUM(COUNTIF('CASE DATA'!X94:AI94,'CODE SECTIONS'!$X$2:$X$19&amp;"*"))&gt;0),LEFT('CASE DATA'!X94:AI94,4)="717C", LEFT('CASE DATA'!X94:AI94, 3)="719", LEFT('CASE DATA'!X94:AI94,3)="720", LEFT('CASE DATA'!X94:AI94,3)="724", LEFT('CASE DATA'!X94:AI94,3)="726", LEFT('CASE DATA'!X94:AI94,3)="728", LEFT('CASE DATA'!X94:AI94,4)="901A"), "ineligible misd","eligible"),"n/a")</f>
        <v>n/a</v>
      </c>
      <c r="O93" s="40" t="str">
        <f>IF(N93="eligible",IF(COUNTIF('CASE DATA'!$D$4:$D$200, "")-COUNTIF('CASE DATA'!$A$4:$A$200, "")&gt;0, "YES","NO"),"N/A")</f>
        <v>N/A</v>
      </c>
      <c r="P93" s="40" t="str">
        <f>IF(N93="eligible",BANKRUPTCY!C94+BANKRUPTCY!D94,"N/A")</f>
        <v>N/A</v>
      </c>
      <c r="Q93" s="40" t="str">
        <f>IF(N93="eligible",SOL!C94+SOL!D94,"N/A")</f>
        <v>N/A</v>
      </c>
      <c r="R93" s="40" t="str">
        <f>IF(N93="eligible",SUM('CASE DATA'!K94:T94),"N/A")</f>
        <v>N/A</v>
      </c>
      <c r="S93" s="40" t="str">
        <f>IF(N93="eligible",IF(C93+2920&lt;'BASIC INFO'!$B$3, "YES", "NO"),"N/A")</f>
        <v>N/A</v>
      </c>
      <c r="T93" s="39" t="str">
        <f>IF(OR('CASE DATA'!G94="DEF"), "YES", "NO")</f>
        <v>NO</v>
      </c>
      <c r="U93" s="35" t="str">
        <f>IF(T93="YES",'CASE DATA'!I94,"N/A")</f>
        <v>N/A</v>
      </c>
      <c r="V93" s="40" t="str">
        <f>IF(T93="YES",BANKRUPTCY!C94+BANKRUPTCY!D94,"N/A")</f>
        <v>N/A</v>
      </c>
      <c r="W93" s="40" t="str">
        <f>IF(T93="YES",SUM('CASE DATA'!K94:T94),"N/A")</f>
        <v>N/A</v>
      </c>
      <c r="X93" s="35" t="str">
        <f>IF(OR('CASE DATA'!F94="123.46",'CASE DATA'!F94="123.47"),"YES","NO")</f>
        <v>NO</v>
      </c>
      <c r="Y93" s="40" t="str">
        <f>IF(X93="YES",IF(C93+730.5&lt;'BASIC INFO'!$B$3, "YES","NO"), "N/A")</f>
        <v>N/A</v>
      </c>
      <c r="Z93" s="35" t="str">
        <f>IF('CASE DATA'!F94="725.1","YES","NO")</f>
        <v>NO</v>
      </c>
      <c r="AA93" s="35" t="str">
        <f>IF(Z93="YES",IF(C93+730.5&lt;'BASIC INFO'!$B$3, "YES","NO"), "N/A")</f>
        <v>N/A</v>
      </c>
      <c r="AB93" s="35" t="str">
        <f>IF('BASIC INFO'!$B$6+6574.5&gt;C93, "YES", "NO")</f>
        <v>YES</v>
      </c>
    </row>
    <row r="94" spans="1:28" x14ac:dyDescent="0.25">
      <c r="A94" s="35" t="str">
        <f>IF('CASE DATA'!A95="","z",'CASE DATA'!A95)</f>
        <v>z</v>
      </c>
      <c r="B94" s="66" t="str">
        <f>IF('CASE DATA'!A95="","",'CASE DATA'!E95)</f>
        <v/>
      </c>
      <c r="C94" s="36">
        <f>'CASE DATA'!D95</f>
        <v>0</v>
      </c>
      <c r="D94" s="37" t="str">
        <f>IF('CASE DATA'!I95="YES",SUM('CASE DATA'!K95:Q95),"n/a")</f>
        <v>n/a</v>
      </c>
      <c r="E94" s="38" t="str">
        <f>IF('CASE DATA'!G95="JUV", "YES", "NO")</f>
        <v>NO</v>
      </c>
      <c r="F94" s="38" t="str">
        <f t="array" ref="F94">IF(E94="YES",IF(SUM(COUNTIF('CASE DATA'!$G$4:$G$200, {"GTR","GPL","DEF","JUV"}))&gt;0, "YES","NO"),"N/A")</f>
        <v>N/A</v>
      </c>
      <c r="G94" s="38" t="str">
        <f>IF(E94="YES",IF(COUNTIF('CASE DATA'!$D$4:$D$200, "")-COUNTIF('CASE DATA'!$A$4:$A$200, "")&gt;0, "YES","NO"),"N/A")</f>
        <v>N/A</v>
      </c>
      <c r="H94" s="35" t="str">
        <f>_xlfn.IFS(E94="NO", "N/A", AND('BASIC INFO'!$B$3&gt;'BASIC INFO'!$B$6+6574.5, C94+730.5&lt;'BASIC INFO'!$B$3), "YES", 'BASIC INFO'!$B$3&lt;('BASIC INFO'!$B$6+6574.5), "NOT YET 18", C94+730.5&gt;'BASIC INFO'!$B$3, "NOT YET 2 YEARS")</f>
        <v>N/A</v>
      </c>
      <c r="I94" s="39" t="str">
        <f>IF(OR(AND(LEFT('CASE DATA'!F95,4)="321.",MID('CASE DATA'!A95,8,2)="SM"),MID('CASE DATA'!A95,8,2)="ST",MID('CASE DATA'!A95,8,2)="NT"),"TRAFFIC",IF(OR('CASE DATA'!G95="DISM", 'CASE DATA'!G95="ACQ", 'CASE DATA'!G95="NOTF", 'CASE DATA'!G95="WTHD", 'CASE DATA'!G95="TNSF"), "YES", "NO"))</f>
        <v>NO</v>
      </c>
      <c r="J94" s="40" t="str">
        <f>IF(I94="YES",'CASE DATA'!U95,"N/A")</f>
        <v>N/A</v>
      </c>
      <c r="K94" s="40" t="str">
        <f>IF(I94="YES",SOL!C95+SOL!D95,"N/A")</f>
        <v>N/A</v>
      </c>
      <c r="L94" s="35" t="str">
        <f>IF(I94="YES",IF(C94+180&lt;'BASIC INFO'!$B$3, "YES", "NO"),"N/A")</f>
        <v>N/A</v>
      </c>
      <c r="M94" s="40" t="str">
        <f t="array" ref="M94">IF(I94="TRAFFIC","n/a",IF(OR('CASE DATA'!G95="GTR", 'CASE DATA'!G95="GPL"),IF(SUM(COUNTIF('CASE DATA'!X95:AI95, 'CODE SECTIONS'!$V$2:$V$218&amp;"*"))&gt;0,"NO","YES"),"n/a"))</f>
        <v>n/a</v>
      </c>
      <c r="N94" s="40" t="str">
        <f t="array" ref="N94">IF(M94="YES",IF(OR((SUM(COUNTIF('CASE DATA'!X95:AI95,'CODE SECTIONS'!$X$2:$X$19&amp;"*"))&gt;0),LEFT('CASE DATA'!X95:AI95,4)="717C", LEFT('CASE DATA'!X95:AI95, 3)="719", LEFT('CASE DATA'!X95:AI95,3)="720", LEFT('CASE DATA'!X95:AI95,3)="724", LEFT('CASE DATA'!X95:AI95,3)="726", LEFT('CASE DATA'!X95:AI95,3)="728", LEFT('CASE DATA'!X95:AI95,4)="901A"), "ineligible misd","eligible"),"n/a")</f>
        <v>n/a</v>
      </c>
      <c r="O94" s="40" t="str">
        <f>IF(N94="eligible",IF(COUNTIF('CASE DATA'!$D$4:$D$200, "")-COUNTIF('CASE DATA'!$A$4:$A$200, "")&gt;0, "YES","NO"),"N/A")</f>
        <v>N/A</v>
      </c>
      <c r="P94" s="40" t="str">
        <f>IF(N94="eligible",BANKRUPTCY!C95+BANKRUPTCY!D95,"N/A")</f>
        <v>N/A</v>
      </c>
      <c r="Q94" s="40" t="str">
        <f>IF(N94="eligible",SOL!C95+SOL!D95,"N/A")</f>
        <v>N/A</v>
      </c>
      <c r="R94" s="40" t="str">
        <f>IF(N94="eligible",SUM('CASE DATA'!K95:T95),"N/A")</f>
        <v>N/A</v>
      </c>
      <c r="S94" s="40" t="str">
        <f>IF(N94="eligible",IF(C94+2920&lt;'BASIC INFO'!$B$3, "YES", "NO"),"N/A")</f>
        <v>N/A</v>
      </c>
      <c r="T94" s="39" t="str">
        <f>IF(OR('CASE DATA'!G95="DEF"), "YES", "NO")</f>
        <v>NO</v>
      </c>
      <c r="U94" s="35" t="str">
        <f>IF(T94="YES",'CASE DATA'!I95,"N/A")</f>
        <v>N/A</v>
      </c>
      <c r="V94" s="40" t="str">
        <f>IF(T94="YES",BANKRUPTCY!C95+BANKRUPTCY!D95,"N/A")</f>
        <v>N/A</v>
      </c>
      <c r="W94" s="40" t="str">
        <f>IF(T94="YES",SUM('CASE DATA'!K95:T95),"N/A")</f>
        <v>N/A</v>
      </c>
      <c r="X94" s="35" t="str">
        <f>IF(OR('CASE DATA'!F95="123.46",'CASE DATA'!F95="123.47"),"YES","NO")</f>
        <v>NO</v>
      </c>
      <c r="Y94" s="40" t="str">
        <f>IF(X94="YES",IF(C94+730.5&lt;'BASIC INFO'!$B$3, "YES","NO"), "N/A")</f>
        <v>N/A</v>
      </c>
      <c r="Z94" s="35" t="str">
        <f>IF('CASE DATA'!F95="725.1","YES","NO")</f>
        <v>NO</v>
      </c>
      <c r="AA94" s="35" t="str">
        <f>IF(Z94="YES",IF(C94+730.5&lt;'BASIC INFO'!$B$3, "YES","NO"), "N/A")</f>
        <v>N/A</v>
      </c>
      <c r="AB94" s="35" t="str">
        <f>IF('BASIC INFO'!$B$6+6574.5&gt;C94, "YES", "NO")</f>
        <v>YES</v>
      </c>
    </row>
    <row r="95" spans="1:28" x14ac:dyDescent="0.25">
      <c r="A95" s="35" t="str">
        <f>IF('CASE DATA'!A96="","z",'CASE DATA'!A96)</f>
        <v>z</v>
      </c>
      <c r="B95" s="66" t="str">
        <f>IF('CASE DATA'!A96="","",'CASE DATA'!E96)</f>
        <v/>
      </c>
      <c r="C95" s="36">
        <f>'CASE DATA'!D96</f>
        <v>0</v>
      </c>
      <c r="D95" s="37" t="str">
        <f>IF('CASE DATA'!I96="YES",SUM('CASE DATA'!K96:Q96),"n/a")</f>
        <v>n/a</v>
      </c>
      <c r="E95" s="38" t="str">
        <f>IF('CASE DATA'!G96="JUV", "YES", "NO")</f>
        <v>NO</v>
      </c>
      <c r="F95" s="38" t="str">
        <f t="array" ref="F95">IF(E95="YES",IF(SUM(COUNTIF('CASE DATA'!$G$4:$G$200, {"GTR","GPL","DEF","JUV"}))&gt;0, "YES","NO"),"N/A")</f>
        <v>N/A</v>
      </c>
      <c r="G95" s="38" t="str">
        <f>IF(E95="YES",IF(COUNTIF('CASE DATA'!$D$4:$D$200, "")-COUNTIF('CASE DATA'!$A$4:$A$200, "")&gt;0, "YES","NO"),"N/A")</f>
        <v>N/A</v>
      </c>
      <c r="H95" s="35" t="str">
        <f>_xlfn.IFS(E95="NO", "N/A", AND('BASIC INFO'!$B$3&gt;'BASIC INFO'!$B$6+6574.5, C95+730.5&lt;'BASIC INFO'!$B$3), "YES", 'BASIC INFO'!$B$3&lt;('BASIC INFO'!$B$6+6574.5), "NOT YET 18", C95+730.5&gt;'BASIC INFO'!$B$3, "NOT YET 2 YEARS")</f>
        <v>N/A</v>
      </c>
      <c r="I95" s="39" t="str">
        <f>IF(OR(AND(LEFT('CASE DATA'!F96,4)="321.",MID('CASE DATA'!A96,8,2)="SM"),MID('CASE DATA'!A96,8,2)="ST",MID('CASE DATA'!A96,8,2)="NT"),"TRAFFIC",IF(OR('CASE DATA'!G96="DISM", 'CASE DATA'!G96="ACQ", 'CASE DATA'!G96="NOTF", 'CASE DATA'!G96="WTHD", 'CASE DATA'!G96="TNSF"), "YES", "NO"))</f>
        <v>NO</v>
      </c>
      <c r="J95" s="40" t="str">
        <f>IF(I95="YES",'CASE DATA'!U96,"N/A")</f>
        <v>N/A</v>
      </c>
      <c r="K95" s="40" t="str">
        <f>IF(I95="YES",SOL!C96+SOL!D96,"N/A")</f>
        <v>N/A</v>
      </c>
      <c r="L95" s="35" t="str">
        <f>IF(I95="YES",IF(C95+180&lt;'BASIC INFO'!$B$3, "YES", "NO"),"N/A")</f>
        <v>N/A</v>
      </c>
      <c r="M95" s="40" t="str">
        <f t="array" ref="M95">IF(I95="TRAFFIC","n/a",IF(OR('CASE DATA'!G96="GTR", 'CASE DATA'!G96="GPL"),IF(SUM(COUNTIF('CASE DATA'!X96:AI96, 'CODE SECTIONS'!$V$2:$V$218&amp;"*"))&gt;0,"NO","YES"),"n/a"))</f>
        <v>n/a</v>
      </c>
      <c r="N95" s="40" t="str">
        <f t="array" ref="N95">IF(M95="YES",IF(OR((SUM(COUNTIF('CASE DATA'!X96:AI96,'CODE SECTIONS'!$X$2:$X$19&amp;"*"))&gt;0),LEFT('CASE DATA'!X96:AI96,4)="717C", LEFT('CASE DATA'!X96:AI96, 3)="719", LEFT('CASE DATA'!X96:AI96,3)="720", LEFT('CASE DATA'!X96:AI96,3)="724", LEFT('CASE DATA'!X96:AI96,3)="726", LEFT('CASE DATA'!X96:AI96,3)="728", LEFT('CASE DATA'!X96:AI96,4)="901A"), "ineligible misd","eligible"),"n/a")</f>
        <v>n/a</v>
      </c>
      <c r="O95" s="40" t="str">
        <f>IF(N95="eligible",IF(COUNTIF('CASE DATA'!$D$4:$D$200, "")-COUNTIF('CASE DATA'!$A$4:$A$200, "")&gt;0, "YES","NO"),"N/A")</f>
        <v>N/A</v>
      </c>
      <c r="P95" s="40" t="str">
        <f>IF(N95="eligible",BANKRUPTCY!C96+BANKRUPTCY!D96,"N/A")</f>
        <v>N/A</v>
      </c>
      <c r="Q95" s="40" t="str">
        <f>IF(N95="eligible",SOL!C96+SOL!D96,"N/A")</f>
        <v>N/A</v>
      </c>
      <c r="R95" s="40" t="str">
        <f>IF(N95="eligible",SUM('CASE DATA'!K96:T96),"N/A")</f>
        <v>N/A</v>
      </c>
      <c r="S95" s="40" t="str">
        <f>IF(N95="eligible",IF(C95+2920&lt;'BASIC INFO'!$B$3, "YES", "NO"),"N/A")</f>
        <v>N/A</v>
      </c>
      <c r="T95" s="39" t="str">
        <f>IF(OR('CASE DATA'!G96="DEF"), "YES", "NO")</f>
        <v>NO</v>
      </c>
      <c r="U95" s="35" t="str">
        <f>IF(T95="YES",'CASE DATA'!I96,"N/A")</f>
        <v>N/A</v>
      </c>
      <c r="V95" s="40" t="str">
        <f>IF(T95="YES",BANKRUPTCY!C96+BANKRUPTCY!D96,"N/A")</f>
        <v>N/A</v>
      </c>
      <c r="W95" s="40" t="str">
        <f>IF(T95="YES",SUM('CASE DATA'!K96:T96),"N/A")</f>
        <v>N/A</v>
      </c>
      <c r="X95" s="35" t="str">
        <f>IF(OR('CASE DATA'!F96="123.46",'CASE DATA'!F96="123.47"),"YES","NO")</f>
        <v>NO</v>
      </c>
      <c r="Y95" s="40" t="str">
        <f>IF(X95="YES",IF(C95+730.5&lt;'BASIC INFO'!$B$3, "YES","NO"), "N/A")</f>
        <v>N/A</v>
      </c>
      <c r="Z95" s="35" t="str">
        <f>IF('CASE DATA'!F96="725.1","YES","NO")</f>
        <v>NO</v>
      </c>
      <c r="AA95" s="35" t="str">
        <f>IF(Z95="YES",IF(C95+730.5&lt;'BASIC INFO'!$B$3, "YES","NO"), "N/A")</f>
        <v>N/A</v>
      </c>
      <c r="AB95" s="35" t="str">
        <f>IF('BASIC INFO'!$B$6+6574.5&gt;C95, "YES", "NO")</f>
        <v>YES</v>
      </c>
    </row>
    <row r="96" spans="1:28" x14ac:dyDescent="0.25">
      <c r="A96" s="35" t="str">
        <f>IF('CASE DATA'!A97="","z",'CASE DATA'!A97)</f>
        <v>z</v>
      </c>
      <c r="B96" s="66" t="str">
        <f>IF('CASE DATA'!A97="","",'CASE DATA'!E97)</f>
        <v/>
      </c>
      <c r="C96" s="36">
        <f>'CASE DATA'!D97</f>
        <v>0</v>
      </c>
      <c r="D96" s="37" t="str">
        <f>IF('CASE DATA'!I97="YES",SUM('CASE DATA'!K97:Q97),"n/a")</f>
        <v>n/a</v>
      </c>
      <c r="E96" s="38" t="str">
        <f>IF('CASE DATA'!G97="JUV", "YES", "NO")</f>
        <v>NO</v>
      </c>
      <c r="F96" s="38" t="str">
        <f t="array" ref="F96">IF(E96="YES",IF(SUM(COUNTIF('CASE DATA'!$G$4:$G$200, {"GTR","GPL","DEF","JUV"}))&gt;0, "YES","NO"),"N/A")</f>
        <v>N/A</v>
      </c>
      <c r="G96" s="38" t="str">
        <f>IF(E96="YES",IF(COUNTIF('CASE DATA'!$D$4:$D$200, "")-COUNTIF('CASE DATA'!$A$4:$A$200, "")&gt;0, "YES","NO"),"N/A")</f>
        <v>N/A</v>
      </c>
      <c r="H96" s="35" t="str">
        <f>_xlfn.IFS(E96="NO", "N/A", AND('BASIC INFO'!$B$3&gt;'BASIC INFO'!$B$6+6574.5, C96+730.5&lt;'BASIC INFO'!$B$3), "YES", 'BASIC INFO'!$B$3&lt;('BASIC INFO'!$B$6+6574.5), "NOT YET 18", C96+730.5&gt;'BASIC INFO'!$B$3, "NOT YET 2 YEARS")</f>
        <v>N/A</v>
      </c>
      <c r="I96" s="39" t="str">
        <f>IF(OR(AND(LEFT('CASE DATA'!F97,4)="321.",MID('CASE DATA'!A97,8,2)="SM"),MID('CASE DATA'!A97,8,2)="ST",MID('CASE DATA'!A97,8,2)="NT"),"TRAFFIC",IF(OR('CASE DATA'!G97="DISM", 'CASE DATA'!G97="ACQ", 'CASE DATA'!G97="NOTF", 'CASE DATA'!G97="WTHD", 'CASE DATA'!G97="TNSF"), "YES", "NO"))</f>
        <v>NO</v>
      </c>
      <c r="J96" s="40" t="str">
        <f>IF(I96="YES",'CASE DATA'!U97,"N/A")</f>
        <v>N/A</v>
      </c>
      <c r="K96" s="40" t="str">
        <f>IF(I96="YES",SOL!C97+SOL!D97,"N/A")</f>
        <v>N/A</v>
      </c>
      <c r="L96" s="35" t="str">
        <f>IF(I96="YES",IF(C96+180&lt;'BASIC INFO'!$B$3, "YES", "NO"),"N/A")</f>
        <v>N/A</v>
      </c>
      <c r="M96" s="40" t="str">
        <f t="array" ref="M96">IF(I96="TRAFFIC","n/a",IF(OR('CASE DATA'!G97="GTR", 'CASE DATA'!G97="GPL"),IF(SUM(COUNTIF('CASE DATA'!X97:AI97, 'CODE SECTIONS'!$V$2:$V$218&amp;"*"))&gt;0,"NO","YES"),"n/a"))</f>
        <v>n/a</v>
      </c>
      <c r="N96" s="40" t="str">
        <f t="array" ref="N96">IF(M96="YES",IF(OR((SUM(COUNTIF('CASE DATA'!X97:AI97,'CODE SECTIONS'!$X$2:$X$19&amp;"*"))&gt;0),LEFT('CASE DATA'!X97:AI97,4)="717C", LEFT('CASE DATA'!X97:AI97, 3)="719", LEFT('CASE DATA'!X97:AI97,3)="720", LEFT('CASE DATA'!X97:AI97,3)="724", LEFT('CASE DATA'!X97:AI97,3)="726", LEFT('CASE DATA'!X97:AI97,3)="728", LEFT('CASE DATA'!X97:AI97,4)="901A"), "ineligible misd","eligible"),"n/a")</f>
        <v>n/a</v>
      </c>
      <c r="O96" s="40" t="str">
        <f>IF(N96="eligible",IF(COUNTIF('CASE DATA'!$D$4:$D$200, "")-COUNTIF('CASE DATA'!$A$4:$A$200, "")&gt;0, "YES","NO"),"N/A")</f>
        <v>N/A</v>
      </c>
      <c r="P96" s="40" t="str">
        <f>IF(N96="eligible",BANKRUPTCY!C97+BANKRUPTCY!D97,"N/A")</f>
        <v>N/A</v>
      </c>
      <c r="Q96" s="40" t="str">
        <f>IF(N96="eligible",SOL!C97+SOL!D97,"N/A")</f>
        <v>N/A</v>
      </c>
      <c r="R96" s="40" t="str">
        <f>IF(N96="eligible",SUM('CASE DATA'!K97:T97),"N/A")</f>
        <v>N/A</v>
      </c>
      <c r="S96" s="40" t="str">
        <f>IF(N96="eligible",IF(C96+2920&lt;'BASIC INFO'!$B$3, "YES", "NO"),"N/A")</f>
        <v>N/A</v>
      </c>
      <c r="T96" s="39" t="str">
        <f>IF(OR('CASE DATA'!G97="DEF"), "YES", "NO")</f>
        <v>NO</v>
      </c>
      <c r="U96" s="35" t="str">
        <f>IF(T96="YES",'CASE DATA'!I97,"N/A")</f>
        <v>N/A</v>
      </c>
      <c r="V96" s="40" t="str">
        <f>IF(T96="YES",BANKRUPTCY!C97+BANKRUPTCY!D97,"N/A")</f>
        <v>N/A</v>
      </c>
      <c r="W96" s="40" t="str">
        <f>IF(T96="YES",SUM('CASE DATA'!K97:T97),"N/A")</f>
        <v>N/A</v>
      </c>
      <c r="X96" s="35" t="str">
        <f>IF(OR('CASE DATA'!F97="123.46",'CASE DATA'!F97="123.47"),"YES","NO")</f>
        <v>NO</v>
      </c>
      <c r="Y96" s="40" t="str">
        <f>IF(X96="YES",IF(C96+730.5&lt;'BASIC INFO'!$B$3, "YES","NO"), "N/A")</f>
        <v>N/A</v>
      </c>
      <c r="Z96" s="35" t="str">
        <f>IF('CASE DATA'!F97="725.1","YES","NO")</f>
        <v>NO</v>
      </c>
      <c r="AA96" s="35" t="str">
        <f>IF(Z96="YES",IF(C96+730.5&lt;'BASIC INFO'!$B$3, "YES","NO"), "N/A")</f>
        <v>N/A</v>
      </c>
      <c r="AB96" s="35" t="str">
        <f>IF('BASIC INFO'!$B$6+6574.5&gt;C96, "YES", "NO")</f>
        <v>YES</v>
      </c>
    </row>
    <row r="97" spans="1:28" x14ac:dyDescent="0.25">
      <c r="A97" s="35" t="str">
        <f>IF('CASE DATA'!A98="","z",'CASE DATA'!A98)</f>
        <v>z</v>
      </c>
      <c r="B97" s="66" t="str">
        <f>IF('CASE DATA'!A98="","",'CASE DATA'!E98)</f>
        <v/>
      </c>
      <c r="C97" s="36">
        <f>'CASE DATA'!D98</f>
        <v>0</v>
      </c>
      <c r="D97" s="37" t="str">
        <f>IF('CASE DATA'!I98="YES",SUM('CASE DATA'!K98:Q98),"n/a")</f>
        <v>n/a</v>
      </c>
      <c r="E97" s="38" t="str">
        <f>IF('CASE DATA'!G98="JUV", "YES", "NO")</f>
        <v>NO</v>
      </c>
      <c r="F97" s="38" t="str">
        <f t="array" ref="F97">IF(E97="YES",IF(SUM(COUNTIF('CASE DATA'!$G$4:$G$200, {"GTR","GPL","DEF","JUV"}))&gt;0, "YES","NO"),"N/A")</f>
        <v>N/A</v>
      </c>
      <c r="G97" s="38" t="str">
        <f>IF(E97="YES",IF(COUNTIF('CASE DATA'!$D$4:$D$200, "")-COUNTIF('CASE DATA'!$A$4:$A$200, "")&gt;0, "YES","NO"),"N/A")</f>
        <v>N/A</v>
      </c>
      <c r="H97" s="35" t="str">
        <f>_xlfn.IFS(E97="NO", "N/A", AND('BASIC INFO'!$B$3&gt;'BASIC INFO'!$B$6+6574.5, C97+730.5&lt;'BASIC INFO'!$B$3), "YES", 'BASIC INFO'!$B$3&lt;('BASIC INFO'!$B$6+6574.5), "NOT YET 18", C97+730.5&gt;'BASIC INFO'!$B$3, "NOT YET 2 YEARS")</f>
        <v>N/A</v>
      </c>
      <c r="I97" s="39" t="str">
        <f>IF(OR(AND(LEFT('CASE DATA'!F98,4)="321.",MID('CASE DATA'!A98,8,2)="SM"),MID('CASE DATA'!A98,8,2)="ST",MID('CASE DATA'!A98,8,2)="NT"),"TRAFFIC",IF(OR('CASE DATA'!G98="DISM", 'CASE DATA'!G98="ACQ", 'CASE DATA'!G98="NOTF", 'CASE DATA'!G98="WTHD", 'CASE DATA'!G98="TNSF"), "YES", "NO"))</f>
        <v>NO</v>
      </c>
      <c r="J97" s="40" t="str">
        <f>IF(I97="YES",'CASE DATA'!U98,"N/A")</f>
        <v>N/A</v>
      </c>
      <c r="K97" s="40" t="str">
        <f>IF(I97="YES",SOL!C98+SOL!D98,"N/A")</f>
        <v>N/A</v>
      </c>
      <c r="L97" s="35" t="str">
        <f>IF(I97="YES",IF(C97+180&lt;'BASIC INFO'!$B$3, "YES", "NO"),"N/A")</f>
        <v>N/A</v>
      </c>
      <c r="M97" s="40" t="str">
        <f t="array" ref="M97">IF(I97="TRAFFIC","n/a",IF(OR('CASE DATA'!G98="GTR", 'CASE DATA'!G98="GPL"),IF(SUM(COUNTIF('CASE DATA'!X98:AI98, 'CODE SECTIONS'!$V$2:$V$218&amp;"*"))&gt;0,"NO","YES"),"n/a"))</f>
        <v>n/a</v>
      </c>
      <c r="N97" s="40" t="str">
        <f t="array" ref="N97">IF(M97="YES",IF(OR((SUM(COUNTIF('CASE DATA'!X98:AI98,'CODE SECTIONS'!$X$2:$X$19&amp;"*"))&gt;0),LEFT('CASE DATA'!X98:AI98,4)="717C", LEFT('CASE DATA'!X98:AI98, 3)="719", LEFT('CASE DATA'!X98:AI98,3)="720", LEFT('CASE DATA'!X98:AI98,3)="724", LEFT('CASE DATA'!X98:AI98,3)="726", LEFT('CASE DATA'!X98:AI98,3)="728", LEFT('CASE DATA'!X98:AI98,4)="901A"), "ineligible misd","eligible"),"n/a")</f>
        <v>n/a</v>
      </c>
      <c r="O97" s="40" t="str">
        <f>IF(N97="eligible",IF(COUNTIF('CASE DATA'!$D$4:$D$200, "")-COUNTIF('CASE DATA'!$A$4:$A$200, "")&gt;0, "YES","NO"),"N/A")</f>
        <v>N/A</v>
      </c>
      <c r="P97" s="40" t="str">
        <f>IF(N97="eligible",BANKRUPTCY!C98+BANKRUPTCY!D98,"N/A")</f>
        <v>N/A</v>
      </c>
      <c r="Q97" s="40" t="str">
        <f>IF(N97="eligible",SOL!C98+SOL!D98,"N/A")</f>
        <v>N/A</v>
      </c>
      <c r="R97" s="40" t="str">
        <f>IF(N97="eligible",SUM('CASE DATA'!K98:T98),"N/A")</f>
        <v>N/A</v>
      </c>
      <c r="S97" s="40" t="str">
        <f>IF(N97="eligible",IF(C97+2920&lt;'BASIC INFO'!$B$3, "YES", "NO"),"N/A")</f>
        <v>N/A</v>
      </c>
      <c r="T97" s="39" t="str">
        <f>IF(OR('CASE DATA'!G98="DEF"), "YES", "NO")</f>
        <v>NO</v>
      </c>
      <c r="U97" s="35" t="str">
        <f>IF(T97="YES",'CASE DATA'!I98,"N/A")</f>
        <v>N/A</v>
      </c>
      <c r="V97" s="40" t="str">
        <f>IF(T97="YES",BANKRUPTCY!C98+BANKRUPTCY!D98,"N/A")</f>
        <v>N/A</v>
      </c>
      <c r="W97" s="40" t="str">
        <f>IF(T97="YES",SUM('CASE DATA'!K98:T98),"N/A")</f>
        <v>N/A</v>
      </c>
      <c r="X97" s="35" t="str">
        <f>IF(OR('CASE DATA'!F98="123.46",'CASE DATA'!F98="123.47"),"YES","NO")</f>
        <v>NO</v>
      </c>
      <c r="Y97" s="40" t="str">
        <f>IF(X97="YES",IF(C97+730.5&lt;'BASIC INFO'!$B$3, "YES","NO"), "N/A")</f>
        <v>N/A</v>
      </c>
      <c r="Z97" s="35" t="str">
        <f>IF('CASE DATA'!F98="725.1","YES","NO")</f>
        <v>NO</v>
      </c>
      <c r="AA97" s="35" t="str">
        <f>IF(Z97="YES",IF(C97+730.5&lt;'BASIC INFO'!$B$3, "YES","NO"), "N/A")</f>
        <v>N/A</v>
      </c>
      <c r="AB97" s="35" t="str">
        <f>IF('BASIC INFO'!$B$6+6574.5&gt;C97, "YES", "NO")</f>
        <v>YES</v>
      </c>
    </row>
    <row r="98" spans="1:28" x14ac:dyDescent="0.25">
      <c r="A98" s="35" t="str">
        <f>IF('CASE DATA'!A99="","z",'CASE DATA'!A99)</f>
        <v>z</v>
      </c>
      <c r="B98" s="66" t="str">
        <f>IF('CASE DATA'!A99="","",'CASE DATA'!E99)</f>
        <v/>
      </c>
      <c r="C98" s="36">
        <f>'CASE DATA'!D99</f>
        <v>0</v>
      </c>
      <c r="D98" s="37" t="str">
        <f>IF('CASE DATA'!I99="YES",SUM('CASE DATA'!K99:Q99),"n/a")</f>
        <v>n/a</v>
      </c>
      <c r="E98" s="38" t="str">
        <f>IF('CASE DATA'!G99="JUV", "YES", "NO")</f>
        <v>NO</v>
      </c>
      <c r="F98" s="38" t="str">
        <f t="array" ref="F98">IF(E98="YES",IF(SUM(COUNTIF('CASE DATA'!$G$4:$G$200, {"GTR","GPL","DEF","JUV"}))&gt;0, "YES","NO"),"N/A")</f>
        <v>N/A</v>
      </c>
      <c r="G98" s="38" t="str">
        <f>IF(E98="YES",IF(COUNTIF('CASE DATA'!$D$4:$D$200, "")-COUNTIF('CASE DATA'!$A$4:$A$200, "")&gt;0, "YES","NO"),"N/A")</f>
        <v>N/A</v>
      </c>
      <c r="H98" s="35" t="str">
        <f>_xlfn.IFS(E98="NO", "N/A", AND('BASIC INFO'!$B$3&gt;'BASIC INFO'!$B$6+6574.5, C98+730.5&lt;'BASIC INFO'!$B$3), "YES", 'BASIC INFO'!$B$3&lt;('BASIC INFO'!$B$6+6574.5), "NOT YET 18", C98+730.5&gt;'BASIC INFO'!$B$3, "NOT YET 2 YEARS")</f>
        <v>N/A</v>
      </c>
      <c r="I98" s="39" t="str">
        <f>IF(OR(AND(LEFT('CASE DATA'!F99,4)="321.",MID('CASE DATA'!A99,8,2)="SM"),MID('CASE DATA'!A99,8,2)="ST",MID('CASE DATA'!A99,8,2)="NT"),"TRAFFIC",IF(OR('CASE DATA'!G99="DISM", 'CASE DATA'!G99="ACQ", 'CASE DATA'!G99="NOTF", 'CASE DATA'!G99="WTHD", 'CASE DATA'!G99="TNSF"), "YES", "NO"))</f>
        <v>NO</v>
      </c>
      <c r="J98" s="40" t="str">
        <f>IF(I98="YES",'CASE DATA'!U99,"N/A")</f>
        <v>N/A</v>
      </c>
      <c r="K98" s="40" t="str">
        <f>IF(I98="YES",SOL!C99+SOL!D99,"N/A")</f>
        <v>N/A</v>
      </c>
      <c r="L98" s="35" t="str">
        <f>IF(I98="YES",IF(C98+180&lt;'BASIC INFO'!$B$3, "YES", "NO"),"N/A")</f>
        <v>N/A</v>
      </c>
      <c r="M98" s="40" t="str">
        <f t="array" ref="M98">IF(I98="TRAFFIC","n/a",IF(OR('CASE DATA'!G99="GTR", 'CASE DATA'!G99="GPL"),IF(SUM(COUNTIF('CASE DATA'!X99:AI99, 'CODE SECTIONS'!$V$2:$V$218&amp;"*"))&gt;0,"NO","YES"),"n/a"))</f>
        <v>n/a</v>
      </c>
      <c r="N98" s="40" t="str">
        <f t="array" ref="N98">IF(M98="YES",IF(OR((SUM(COUNTIF('CASE DATA'!X99:AI99,'CODE SECTIONS'!$X$2:$X$19&amp;"*"))&gt;0),LEFT('CASE DATA'!X99:AI99,4)="717C", LEFT('CASE DATA'!X99:AI99, 3)="719", LEFT('CASE DATA'!X99:AI99,3)="720", LEFT('CASE DATA'!X99:AI99,3)="724", LEFT('CASE DATA'!X99:AI99,3)="726", LEFT('CASE DATA'!X99:AI99,3)="728", LEFT('CASE DATA'!X99:AI99,4)="901A"), "ineligible misd","eligible"),"n/a")</f>
        <v>n/a</v>
      </c>
      <c r="O98" s="40" t="str">
        <f>IF(N98="eligible",IF(COUNTIF('CASE DATA'!$D$4:$D$200, "")-COUNTIF('CASE DATA'!$A$4:$A$200, "")&gt;0, "YES","NO"),"N/A")</f>
        <v>N/A</v>
      </c>
      <c r="P98" s="40" t="str">
        <f>IF(N98="eligible",BANKRUPTCY!C99+BANKRUPTCY!D99,"N/A")</f>
        <v>N/A</v>
      </c>
      <c r="Q98" s="40" t="str">
        <f>IF(N98="eligible",SOL!C99+SOL!D99,"N/A")</f>
        <v>N/A</v>
      </c>
      <c r="R98" s="40" t="str">
        <f>IF(N98="eligible",SUM('CASE DATA'!K99:T99),"N/A")</f>
        <v>N/A</v>
      </c>
      <c r="S98" s="40" t="str">
        <f>IF(N98="eligible",IF(C98+2920&lt;'BASIC INFO'!$B$3, "YES", "NO"),"N/A")</f>
        <v>N/A</v>
      </c>
      <c r="T98" s="39" t="str">
        <f>IF(OR('CASE DATA'!G99="DEF"), "YES", "NO")</f>
        <v>NO</v>
      </c>
      <c r="U98" s="35" t="str">
        <f>IF(T98="YES",'CASE DATA'!I99,"N/A")</f>
        <v>N/A</v>
      </c>
      <c r="V98" s="40" t="str">
        <f>IF(T98="YES",BANKRUPTCY!C99+BANKRUPTCY!D99,"N/A")</f>
        <v>N/A</v>
      </c>
      <c r="W98" s="40" t="str">
        <f>IF(T98="YES",SUM('CASE DATA'!K99:T99),"N/A")</f>
        <v>N/A</v>
      </c>
      <c r="X98" s="35" t="str">
        <f>IF(OR('CASE DATA'!F99="123.46",'CASE DATA'!F99="123.47"),"YES","NO")</f>
        <v>NO</v>
      </c>
      <c r="Y98" s="40" t="str">
        <f>IF(X98="YES",IF(C98+730.5&lt;'BASIC INFO'!$B$3, "YES","NO"), "N/A")</f>
        <v>N/A</v>
      </c>
      <c r="Z98" s="35" t="str">
        <f>IF('CASE DATA'!F99="725.1","YES","NO")</f>
        <v>NO</v>
      </c>
      <c r="AA98" s="35" t="str">
        <f>IF(Z98="YES",IF(C98+730.5&lt;'BASIC INFO'!$B$3, "YES","NO"), "N/A")</f>
        <v>N/A</v>
      </c>
      <c r="AB98" s="35" t="str">
        <f>IF('BASIC INFO'!$B$6+6574.5&gt;C98, "YES", "NO")</f>
        <v>YES</v>
      </c>
    </row>
    <row r="99" spans="1:28" x14ac:dyDescent="0.25">
      <c r="A99" s="35" t="str">
        <f>IF('CASE DATA'!A100="","z",'CASE DATA'!A100)</f>
        <v>z</v>
      </c>
      <c r="B99" s="66" t="str">
        <f>IF('CASE DATA'!A100="","",'CASE DATA'!E100)</f>
        <v/>
      </c>
      <c r="C99" s="36">
        <f>'CASE DATA'!D100</f>
        <v>0</v>
      </c>
      <c r="D99" s="37" t="str">
        <f>IF('CASE DATA'!I100="YES",SUM('CASE DATA'!K100:Q100),"n/a")</f>
        <v>n/a</v>
      </c>
      <c r="E99" s="38" t="str">
        <f>IF('CASE DATA'!G100="JUV", "YES", "NO")</f>
        <v>NO</v>
      </c>
      <c r="F99" s="38" t="str">
        <f t="array" ref="F99">IF(E99="YES",IF(SUM(COUNTIF('CASE DATA'!$G$4:$G$200, {"GTR","GPL","DEF","JUV"}))&gt;0, "YES","NO"),"N/A")</f>
        <v>N/A</v>
      </c>
      <c r="G99" s="38" t="str">
        <f>IF(E99="YES",IF(COUNTIF('CASE DATA'!$D$4:$D$200, "")-COUNTIF('CASE DATA'!$A$4:$A$200, "")&gt;0, "YES","NO"),"N/A")</f>
        <v>N/A</v>
      </c>
      <c r="H99" s="35" t="str">
        <f>_xlfn.IFS(E99="NO", "N/A", AND('BASIC INFO'!$B$3&gt;'BASIC INFO'!$B$6+6574.5, C99+730.5&lt;'BASIC INFO'!$B$3), "YES", 'BASIC INFO'!$B$3&lt;('BASIC INFO'!$B$6+6574.5), "NOT YET 18", C99+730.5&gt;'BASIC INFO'!$B$3, "NOT YET 2 YEARS")</f>
        <v>N/A</v>
      </c>
      <c r="I99" s="39" t="str">
        <f>IF(OR(AND(LEFT('CASE DATA'!F100,4)="321.",MID('CASE DATA'!A100,8,2)="SM"),MID('CASE DATA'!A100,8,2)="ST",MID('CASE DATA'!A100,8,2)="NT"),"TRAFFIC",IF(OR('CASE DATA'!G100="DISM", 'CASE DATA'!G100="ACQ", 'CASE DATA'!G100="NOTF", 'CASE DATA'!G100="WTHD", 'CASE DATA'!G100="TNSF"), "YES", "NO"))</f>
        <v>NO</v>
      </c>
      <c r="J99" s="40" t="str">
        <f>IF(I99="YES",'CASE DATA'!U100,"N/A")</f>
        <v>N/A</v>
      </c>
      <c r="K99" s="40" t="str">
        <f>IF(I99="YES",SOL!C100+SOL!D100,"N/A")</f>
        <v>N/A</v>
      </c>
      <c r="L99" s="35" t="str">
        <f>IF(I99="YES",IF(C99+180&lt;'BASIC INFO'!$B$3, "YES", "NO"),"N/A")</f>
        <v>N/A</v>
      </c>
      <c r="M99" s="40" t="str">
        <f t="array" ref="M99">IF(I99="TRAFFIC","n/a",IF(OR('CASE DATA'!G100="GTR", 'CASE DATA'!G100="GPL"),IF(SUM(COUNTIF('CASE DATA'!X100:AI100, 'CODE SECTIONS'!$V$2:$V$218&amp;"*"))&gt;0,"NO","YES"),"n/a"))</f>
        <v>n/a</v>
      </c>
      <c r="N99" s="40" t="str">
        <f t="array" ref="N99">IF(M99="YES",IF(OR((SUM(COUNTIF('CASE DATA'!X100:AI100,'CODE SECTIONS'!$X$2:$X$19&amp;"*"))&gt;0),LEFT('CASE DATA'!X100:AI100,4)="717C", LEFT('CASE DATA'!X100:AI100, 3)="719", LEFT('CASE DATA'!X100:AI100,3)="720", LEFT('CASE DATA'!X100:AI100,3)="724", LEFT('CASE DATA'!X100:AI100,3)="726", LEFT('CASE DATA'!X100:AI100,3)="728", LEFT('CASE DATA'!X100:AI100,4)="901A"), "ineligible misd","eligible"),"n/a")</f>
        <v>n/a</v>
      </c>
      <c r="O99" s="40" t="str">
        <f>IF(N99="eligible",IF(COUNTIF('CASE DATA'!$D$4:$D$200, "")-COUNTIF('CASE DATA'!$A$4:$A$200, "")&gt;0, "YES","NO"),"N/A")</f>
        <v>N/A</v>
      </c>
      <c r="P99" s="40" t="str">
        <f>IF(N99="eligible",BANKRUPTCY!C100+BANKRUPTCY!D100,"N/A")</f>
        <v>N/A</v>
      </c>
      <c r="Q99" s="40" t="str">
        <f>IF(N99="eligible",SOL!C100+SOL!D100,"N/A")</f>
        <v>N/A</v>
      </c>
      <c r="R99" s="40" t="str">
        <f>IF(N99="eligible",SUM('CASE DATA'!K100:T100),"N/A")</f>
        <v>N/A</v>
      </c>
      <c r="S99" s="40" t="str">
        <f>IF(N99="eligible",IF(C99+2920&lt;'BASIC INFO'!$B$3, "YES", "NO"),"N/A")</f>
        <v>N/A</v>
      </c>
      <c r="T99" s="39" t="str">
        <f>IF(OR('CASE DATA'!G100="DEF"), "YES", "NO")</f>
        <v>NO</v>
      </c>
      <c r="U99" s="35" t="str">
        <f>IF(T99="YES",'CASE DATA'!I100,"N/A")</f>
        <v>N/A</v>
      </c>
      <c r="V99" s="40" t="str">
        <f>IF(T99="YES",BANKRUPTCY!C100+BANKRUPTCY!D100,"N/A")</f>
        <v>N/A</v>
      </c>
      <c r="W99" s="40" t="str">
        <f>IF(T99="YES",SUM('CASE DATA'!K100:T100),"N/A")</f>
        <v>N/A</v>
      </c>
      <c r="X99" s="35" t="str">
        <f>IF(OR('CASE DATA'!F100="123.46",'CASE DATA'!F100="123.47"),"YES","NO")</f>
        <v>NO</v>
      </c>
      <c r="Y99" s="40" t="str">
        <f>IF(X99="YES",IF(C99+730.5&lt;'BASIC INFO'!$B$3, "YES","NO"), "N/A")</f>
        <v>N/A</v>
      </c>
      <c r="Z99" s="35" t="str">
        <f>IF('CASE DATA'!F100="725.1","YES","NO")</f>
        <v>NO</v>
      </c>
      <c r="AA99" s="35" t="str">
        <f>IF(Z99="YES",IF(C99+730.5&lt;'BASIC INFO'!$B$3, "YES","NO"), "N/A")</f>
        <v>N/A</v>
      </c>
      <c r="AB99" s="35" t="str">
        <f>IF('BASIC INFO'!$B$6+6574.5&gt;C99, "YES", "NO")</f>
        <v>YES</v>
      </c>
    </row>
    <row r="100" spans="1:28" x14ac:dyDescent="0.25">
      <c r="A100" s="35" t="str">
        <f>IF('CASE DATA'!A101="","z",'CASE DATA'!A101)</f>
        <v>z</v>
      </c>
      <c r="B100" s="66" t="str">
        <f>IF('CASE DATA'!A101="","",'CASE DATA'!E101)</f>
        <v/>
      </c>
      <c r="C100" s="36">
        <f>'CASE DATA'!D101</f>
        <v>0</v>
      </c>
      <c r="D100" s="37" t="str">
        <f>IF('CASE DATA'!I101="YES",SUM('CASE DATA'!K101:Q101),"n/a")</f>
        <v>n/a</v>
      </c>
      <c r="E100" s="38" t="str">
        <f>IF('CASE DATA'!G101="JUV", "YES", "NO")</f>
        <v>NO</v>
      </c>
      <c r="F100" s="38" t="str">
        <f t="array" ref="F100">IF(E100="YES",IF(SUM(COUNTIF('CASE DATA'!$G$4:$G$200, {"GTR","GPL","DEF","JUV"}))&gt;0, "YES","NO"),"N/A")</f>
        <v>N/A</v>
      </c>
      <c r="G100" s="38" t="str">
        <f>IF(E100="YES",IF(COUNTIF('CASE DATA'!$D$4:$D$200, "")-COUNTIF('CASE DATA'!$A$4:$A$200, "")&gt;0, "YES","NO"),"N/A")</f>
        <v>N/A</v>
      </c>
      <c r="H100" s="35" t="str">
        <f>_xlfn.IFS(E100="NO", "N/A", AND('BASIC INFO'!$B$3&gt;'BASIC INFO'!$B$6+6574.5, C100+730.5&lt;'BASIC INFO'!$B$3), "YES", 'BASIC INFO'!$B$3&lt;('BASIC INFO'!$B$6+6574.5), "NOT YET 18", C100+730.5&gt;'BASIC INFO'!$B$3, "NOT YET 2 YEARS")</f>
        <v>N/A</v>
      </c>
      <c r="I100" s="39" t="str">
        <f>IF(OR(AND(LEFT('CASE DATA'!F101,4)="321.",MID('CASE DATA'!A101,8,2)="SM"),MID('CASE DATA'!A101,8,2)="ST",MID('CASE DATA'!A101,8,2)="NT"),"TRAFFIC",IF(OR('CASE DATA'!G101="DISM", 'CASE DATA'!G101="ACQ", 'CASE DATA'!G101="NOTF", 'CASE DATA'!G101="WTHD", 'CASE DATA'!G101="TNSF"), "YES", "NO"))</f>
        <v>NO</v>
      </c>
      <c r="J100" s="40" t="str">
        <f>IF(I100="YES",'CASE DATA'!U101,"N/A")</f>
        <v>N/A</v>
      </c>
      <c r="K100" s="40" t="str">
        <f>IF(I100="YES",SOL!C101+SOL!D101,"N/A")</f>
        <v>N/A</v>
      </c>
      <c r="L100" s="35" t="str">
        <f>IF(I100="YES",IF(C100+180&lt;'BASIC INFO'!$B$3, "YES", "NO"),"N/A")</f>
        <v>N/A</v>
      </c>
      <c r="M100" s="40" t="str">
        <f t="array" ref="M100">IF(I100="TRAFFIC","n/a",IF(OR('CASE DATA'!G101="GTR", 'CASE DATA'!G101="GPL"),IF(SUM(COUNTIF('CASE DATA'!X101:AI101, 'CODE SECTIONS'!$V$2:$V$218&amp;"*"))&gt;0,"NO","YES"),"n/a"))</f>
        <v>n/a</v>
      </c>
      <c r="N100" s="40" t="str">
        <f t="array" ref="N100">IF(M100="YES",IF(OR((SUM(COUNTIF('CASE DATA'!X101:AI101,'CODE SECTIONS'!$X$2:$X$19&amp;"*"))&gt;0),LEFT('CASE DATA'!X101:AI101,4)="717C", LEFT('CASE DATA'!X101:AI101, 3)="719", LEFT('CASE DATA'!X101:AI101,3)="720", LEFT('CASE DATA'!X101:AI101,3)="724", LEFT('CASE DATA'!X101:AI101,3)="726", LEFT('CASE DATA'!X101:AI101,3)="728", LEFT('CASE DATA'!X101:AI101,4)="901A"), "ineligible misd","eligible"),"n/a")</f>
        <v>n/a</v>
      </c>
      <c r="O100" s="40" t="str">
        <f>IF(N100="eligible",IF(COUNTIF('CASE DATA'!$D$4:$D$200, "")-COUNTIF('CASE DATA'!$A$4:$A$200, "")&gt;0, "YES","NO"),"N/A")</f>
        <v>N/A</v>
      </c>
      <c r="P100" s="40" t="str">
        <f>IF(N100="eligible",BANKRUPTCY!C101+BANKRUPTCY!D101,"N/A")</f>
        <v>N/A</v>
      </c>
      <c r="Q100" s="40" t="str">
        <f>IF(N100="eligible",SOL!C101+SOL!D101,"N/A")</f>
        <v>N/A</v>
      </c>
      <c r="R100" s="40" t="str">
        <f>IF(N100="eligible",SUM('CASE DATA'!K101:T101),"N/A")</f>
        <v>N/A</v>
      </c>
      <c r="S100" s="40" t="str">
        <f>IF(N100="eligible",IF(C100+2920&lt;'BASIC INFO'!$B$3, "YES", "NO"),"N/A")</f>
        <v>N/A</v>
      </c>
      <c r="T100" s="39" t="str">
        <f>IF(OR('CASE DATA'!G101="DEF"), "YES", "NO")</f>
        <v>NO</v>
      </c>
      <c r="U100" s="35" t="str">
        <f>IF(T100="YES",'CASE DATA'!I101,"N/A")</f>
        <v>N/A</v>
      </c>
      <c r="V100" s="40" t="str">
        <f>IF(T100="YES",BANKRUPTCY!C101+BANKRUPTCY!D101,"N/A")</f>
        <v>N/A</v>
      </c>
      <c r="W100" s="40" t="str">
        <f>IF(T100="YES",SUM('CASE DATA'!K101:T101),"N/A")</f>
        <v>N/A</v>
      </c>
      <c r="X100" s="35" t="str">
        <f>IF(OR('CASE DATA'!F101="123.46",'CASE DATA'!F101="123.47"),"YES","NO")</f>
        <v>NO</v>
      </c>
      <c r="Y100" s="40" t="str">
        <f>IF(X100="YES",IF(C100+730.5&lt;'BASIC INFO'!$B$3, "YES","NO"), "N/A")</f>
        <v>N/A</v>
      </c>
      <c r="Z100" s="35" t="str">
        <f>IF('CASE DATA'!F101="725.1","YES","NO")</f>
        <v>NO</v>
      </c>
      <c r="AA100" s="35" t="str">
        <f>IF(Z100="YES",IF(C100+730.5&lt;'BASIC INFO'!$B$3, "YES","NO"), "N/A")</f>
        <v>N/A</v>
      </c>
      <c r="AB100" s="35" t="str">
        <f>IF('BASIC INFO'!$B$6+6574.5&gt;C100, "YES", "NO")</f>
        <v>YES</v>
      </c>
    </row>
    <row r="101" spans="1:28" x14ac:dyDescent="0.25">
      <c r="A101" s="35" t="str">
        <f>IF('CASE DATA'!A102="","z",'CASE DATA'!A102)</f>
        <v>z</v>
      </c>
      <c r="B101" s="66" t="str">
        <f>IF('CASE DATA'!A102="","",'CASE DATA'!E102)</f>
        <v/>
      </c>
      <c r="C101" s="36">
        <f>'CASE DATA'!D102</f>
        <v>0</v>
      </c>
      <c r="D101" s="37" t="str">
        <f>IF('CASE DATA'!I102="YES",SUM('CASE DATA'!K102:Q102),"n/a")</f>
        <v>n/a</v>
      </c>
      <c r="E101" s="38" t="str">
        <f>IF('CASE DATA'!G102="JUV", "YES", "NO")</f>
        <v>NO</v>
      </c>
      <c r="F101" s="38" t="str">
        <f t="array" ref="F101">IF(E101="YES",IF(SUM(COUNTIF('CASE DATA'!$G$4:$G$200, {"GTR","GPL","DEF","JUV"}))&gt;0, "YES","NO"),"N/A")</f>
        <v>N/A</v>
      </c>
      <c r="G101" s="38" t="str">
        <f>IF(E101="YES",IF(COUNTIF('CASE DATA'!$D$4:$D$200, "")-COUNTIF('CASE DATA'!$A$4:$A$200, "")&gt;0, "YES","NO"),"N/A")</f>
        <v>N/A</v>
      </c>
      <c r="H101" s="35" t="str">
        <f>_xlfn.IFS(E101="NO", "N/A", AND('BASIC INFO'!$B$3&gt;'BASIC INFO'!$B$6+6574.5, C101+730.5&lt;'BASIC INFO'!$B$3), "YES", 'BASIC INFO'!$B$3&lt;('BASIC INFO'!$B$6+6574.5), "NOT YET 18", C101+730.5&gt;'BASIC INFO'!$B$3, "NOT YET 2 YEARS")</f>
        <v>N/A</v>
      </c>
      <c r="I101" s="39" t="str">
        <f>IF(OR(AND(LEFT('CASE DATA'!F102,4)="321.",MID('CASE DATA'!A102,8,2)="SM"),MID('CASE DATA'!A102,8,2)="ST",MID('CASE DATA'!A102,8,2)="NT"),"TRAFFIC",IF(OR('CASE DATA'!G102="DISM", 'CASE DATA'!G102="ACQ", 'CASE DATA'!G102="NOTF", 'CASE DATA'!G102="WTHD", 'CASE DATA'!G102="TNSF"), "YES", "NO"))</f>
        <v>NO</v>
      </c>
      <c r="J101" s="40" t="str">
        <f>IF(I101="YES",'CASE DATA'!U102,"N/A")</f>
        <v>N/A</v>
      </c>
      <c r="K101" s="40" t="str">
        <f>IF(I101="YES",SOL!C102+SOL!D102,"N/A")</f>
        <v>N/A</v>
      </c>
      <c r="L101" s="35" t="str">
        <f>IF(I101="YES",IF(C101+180&lt;'BASIC INFO'!$B$3, "YES", "NO"),"N/A")</f>
        <v>N/A</v>
      </c>
      <c r="M101" s="40" t="str">
        <f t="array" ref="M101">IF(I101="TRAFFIC","n/a",IF(OR('CASE DATA'!G102="GTR", 'CASE DATA'!G102="GPL"),IF(SUM(COUNTIF('CASE DATA'!X102:AI102, 'CODE SECTIONS'!$V$2:$V$218&amp;"*"))&gt;0,"NO","YES"),"n/a"))</f>
        <v>n/a</v>
      </c>
      <c r="N101" s="40" t="str">
        <f t="array" ref="N101">IF(M101="YES",IF(OR((SUM(COUNTIF('CASE DATA'!X102:AI102,'CODE SECTIONS'!$X$2:$X$19&amp;"*"))&gt;0),LEFT('CASE DATA'!X102:AI102,4)="717C", LEFT('CASE DATA'!X102:AI102, 3)="719", LEFT('CASE DATA'!X102:AI102,3)="720", LEFT('CASE DATA'!X102:AI102,3)="724", LEFT('CASE DATA'!X102:AI102,3)="726", LEFT('CASE DATA'!X102:AI102,3)="728", LEFT('CASE DATA'!X102:AI102,4)="901A"), "ineligible misd","eligible"),"n/a")</f>
        <v>n/a</v>
      </c>
      <c r="O101" s="40" t="str">
        <f>IF(N101="eligible",IF(COUNTIF('CASE DATA'!$D$4:$D$200, "")-COUNTIF('CASE DATA'!$A$4:$A$200, "")&gt;0, "YES","NO"),"N/A")</f>
        <v>N/A</v>
      </c>
      <c r="P101" s="40" t="str">
        <f>IF(N101="eligible",BANKRUPTCY!C102+BANKRUPTCY!D102,"N/A")</f>
        <v>N/A</v>
      </c>
      <c r="Q101" s="40" t="str">
        <f>IF(N101="eligible",SOL!C102+SOL!D102,"N/A")</f>
        <v>N/A</v>
      </c>
      <c r="R101" s="40" t="str">
        <f>IF(N101="eligible",SUM('CASE DATA'!K102:T102),"N/A")</f>
        <v>N/A</v>
      </c>
      <c r="S101" s="40" t="str">
        <f>IF(N101="eligible",IF(C101+2920&lt;'BASIC INFO'!$B$3, "YES", "NO"),"N/A")</f>
        <v>N/A</v>
      </c>
      <c r="T101" s="39" t="str">
        <f>IF(OR('CASE DATA'!G102="DEF"), "YES", "NO")</f>
        <v>NO</v>
      </c>
      <c r="U101" s="35" t="str">
        <f>IF(T101="YES",'CASE DATA'!I102,"N/A")</f>
        <v>N/A</v>
      </c>
      <c r="V101" s="40" t="str">
        <f>IF(T101="YES",BANKRUPTCY!C102+BANKRUPTCY!D102,"N/A")</f>
        <v>N/A</v>
      </c>
      <c r="W101" s="40" t="str">
        <f>IF(T101="YES",SUM('CASE DATA'!K102:T102),"N/A")</f>
        <v>N/A</v>
      </c>
      <c r="X101" s="35" t="str">
        <f>IF(OR('CASE DATA'!F102="123.46",'CASE DATA'!F102="123.47"),"YES","NO")</f>
        <v>NO</v>
      </c>
      <c r="Y101" s="40" t="str">
        <f>IF(X101="YES",IF(C101+730.5&lt;'BASIC INFO'!$B$3, "YES","NO"), "N/A")</f>
        <v>N/A</v>
      </c>
      <c r="Z101" s="35" t="str">
        <f>IF('CASE DATA'!F102="725.1","YES","NO")</f>
        <v>NO</v>
      </c>
      <c r="AA101" s="35" t="str">
        <f>IF(Z101="YES",IF(C101+730.5&lt;'BASIC INFO'!$B$3, "YES","NO"), "N/A")</f>
        <v>N/A</v>
      </c>
      <c r="AB101" s="35" t="str">
        <f>IF('BASIC INFO'!$B$6+6574.5&gt;C101, "YES", "NO")</f>
        <v>YES</v>
      </c>
    </row>
    <row r="102" spans="1:28" x14ac:dyDescent="0.25">
      <c r="A102" s="35" t="str">
        <f>IF('CASE DATA'!A103="","z",'CASE DATA'!A103)</f>
        <v>z</v>
      </c>
      <c r="B102" s="66" t="str">
        <f>IF('CASE DATA'!A103="","",'CASE DATA'!E103)</f>
        <v/>
      </c>
      <c r="C102" s="36">
        <f>'CASE DATA'!D103</f>
        <v>0</v>
      </c>
      <c r="D102" s="37" t="str">
        <f>IF('CASE DATA'!I103="YES",SUM('CASE DATA'!K103:Q103),"n/a")</f>
        <v>n/a</v>
      </c>
      <c r="E102" s="38" t="str">
        <f>IF('CASE DATA'!G103="JUV", "YES", "NO")</f>
        <v>NO</v>
      </c>
      <c r="F102" s="38" t="str">
        <f t="array" ref="F102">IF(E102="YES",IF(SUM(COUNTIF('CASE DATA'!$G$4:$G$200, {"GTR","GPL","DEF","JUV"}))&gt;0, "YES","NO"),"N/A")</f>
        <v>N/A</v>
      </c>
      <c r="G102" s="38" t="str">
        <f>IF(E102="YES",IF(COUNTIF('CASE DATA'!$D$4:$D$200, "")-COUNTIF('CASE DATA'!$A$4:$A$200, "")&gt;0, "YES","NO"),"N/A")</f>
        <v>N/A</v>
      </c>
      <c r="H102" s="35" t="str">
        <f>_xlfn.IFS(E102="NO", "N/A", AND('BASIC INFO'!$B$3&gt;'BASIC INFO'!$B$6+6574.5, C102+730.5&lt;'BASIC INFO'!$B$3), "YES", 'BASIC INFO'!$B$3&lt;('BASIC INFO'!$B$6+6574.5), "NOT YET 18", C102+730.5&gt;'BASIC INFO'!$B$3, "NOT YET 2 YEARS")</f>
        <v>N/A</v>
      </c>
      <c r="I102" s="39" t="str">
        <f>IF(OR(AND(LEFT('CASE DATA'!F103,4)="321.",MID('CASE DATA'!A103,8,2)="SM"),MID('CASE DATA'!A103,8,2)="ST",MID('CASE DATA'!A103,8,2)="NT"),"TRAFFIC",IF(OR('CASE DATA'!G103="DISM", 'CASE DATA'!G103="ACQ", 'CASE DATA'!G103="NOTF", 'CASE DATA'!G103="WTHD", 'CASE DATA'!G103="TNSF"), "YES", "NO"))</f>
        <v>NO</v>
      </c>
      <c r="J102" s="40" t="str">
        <f>IF(I102="YES",'CASE DATA'!U103,"N/A")</f>
        <v>N/A</v>
      </c>
      <c r="K102" s="40" t="str">
        <f>IF(I102="YES",SOL!C103+SOL!D103,"N/A")</f>
        <v>N/A</v>
      </c>
      <c r="L102" s="35" t="str">
        <f>IF(I102="YES",IF(C102+180&lt;'BASIC INFO'!$B$3, "YES", "NO"),"N/A")</f>
        <v>N/A</v>
      </c>
      <c r="M102" s="40" t="str">
        <f t="array" ref="M102">IF(I102="TRAFFIC","n/a",IF(OR('CASE DATA'!G103="GTR", 'CASE DATA'!G103="GPL"),IF(SUM(COUNTIF('CASE DATA'!X103:AI103, 'CODE SECTIONS'!$V$2:$V$218&amp;"*"))&gt;0,"NO","YES"),"n/a"))</f>
        <v>n/a</v>
      </c>
      <c r="N102" s="40" t="str">
        <f t="array" ref="N102">IF(M102="YES",IF(OR((SUM(COUNTIF('CASE DATA'!X103:AI103,'CODE SECTIONS'!$X$2:$X$19&amp;"*"))&gt;0),LEFT('CASE DATA'!X103:AI103,4)="717C", LEFT('CASE DATA'!X103:AI103, 3)="719", LEFT('CASE DATA'!X103:AI103,3)="720", LEFT('CASE DATA'!X103:AI103,3)="724", LEFT('CASE DATA'!X103:AI103,3)="726", LEFT('CASE DATA'!X103:AI103,3)="728", LEFT('CASE DATA'!X103:AI103,4)="901A"), "ineligible misd","eligible"),"n/a")</f>
        <v>n/a</v>
      </c>
      <c r="O102" s="40" t="str">
        <f>IF(N102="eligible",IF(COUNTIF('CASE DATA'!$D$4:$D$200, "")-COUNTIF('CASE DATA'!$A$4:$A$200, "")&gt;0, "YES","NO"),"N/A")</f>
        <v>N/A</v>
      </c>
      <c r="P102" s="40" t="str">
        <f>IF(N102="eligible",BANKRUPTCY!C103+BANKRUPTCY!D103,"N/A")</f>
        <v>N/A</v>
      </c>
      <c r="Q102" s="40" t="str">
        <f>IF(N102="eligible",SOL!C103+SOL!D103,"N/A")</f>
        <v>N/A</v>
      </c>
      <c r="R102" s="40" t="str">
        <f>IF(N102="eligible",SUM('CASE DATA'!K103:T103),"N/A")</f>
        <v>N/A</v>
      </c>
      <c r="S102" s="40" t="str">
        <f>IF(N102="eligible",IF(C102+2920&lt;'BASIC INFO'!$B$3, "YES", "NO"),"N/A")</f>
        <v>N/A</v>
      </c>
      <c r="T102" s="39" t="str">
        <f>IF(OR('CASE DATA'!G103="DEF"), "YES", "NO")</f>
        <v>NO</v>
      </c>
      <c r="U102" s="35" t="str">
        <f>IF(T102="YES",'CASE DATA'!I103,"N/A")</f>
        <v>N/A</v>
      </c>
      <c r="V102" s="40" t="str">
        <f>IF(T102="YES",BANKRUPTCY!C103+BANKRUPTCY!D103,"N/A")</f>
        <v>N/A</v>
      </c>
      <c r="W102" s="40" t="str">
        <f>IF(T102="YES",SUM('CASE DATA'!K103:T103),"N/A")</f>
        <v>N/A</v>
      </c>
      <c r="X102" s="35" t="str">
        <f>IF(OR('CASE DATA'!F103="123.46",'CASE DATA'!F103="123.47"),"YES","NO")</f>
        <v>NO</v>
      </c>
      <c r="Y102" s="40" t="str">
        <f>IF(X102="YES",IF(C102+730.5&lt;'BASIC INFO'!$B$3, "YES","NO"), "N/A")</f>
        <v>N/A</v>
      </c>
      <c r="Z102" s="35" t="str">
        <f>IF('CASE DATA'!F103="725.1","YES","NO")</f>
        <v>NO</v>
      </c>
      <c r="AA102" s="35" t="str">
        <f>IF(Z102="YES",IF(C102+730.5&lt;'BASIC INFO'!$B$3, "YES","NO"), "N/A")</f>
        <v>N/A</v>
      </c>
      <c r="AB102" s="35" t="str">
        <f>IF('BASIC INFO'!$B$6+6574.5&gt;C102, "YES", "NO")</f>
        <v>YES</v>
      </c>
    </row>
    <row r="103" spans="1:28" x14ac:dyDescent="0.25">
      <c r="A103" s="35" t="str">
        <f>IF('CASE DATA'!A104="","z",'CASE DATA'!A104)</f>
        <v>z</v>
      </c>
      <c r="B103" s="66" t="str">
        <f>IF('CASE DATA'!A104="","",'CASE DATA'!E104)</f>
        <v/>
      </c>
      <c r="C103" s="36">
        <f>'CASE DATA'!D104</f>
        <v>0</v>
      </c>
      <c r="D103" s="37" t="str">
        <f>IF('CASE DATA'!I104="YES",SUM('CASE DATA'!K104:Q104),"n/a")</f>
        <v>n/a</v>
      </c>
      <c r="E103" s="38" t="str">
        <f>IF('CASE DATA'!G104="JUV", "YES", "NO")</f>
        <v>NO</v>
      </c>
      <c r="F103" s="38" t="str">
        <f t="array" ref="F103">IF(E103="YES",IF(SUM(COUNTIF('CASE DATA'!$G$4:$G$200, {"GTR","GPL","DEF","JUV"}))&gt;0, "YES","NO"),"N/A")</f>
        <v>N/A</v>
      </c>
      <c r="G103" s="38" t="str">
        <f>IF(E103="YES",IF(COUNTIF('CASE DATA'!$D$4:$D$200, "")-COUNTIF('CASE DATA'!$A$4:$A$200, "")&gt;0, "YES","NO"),"N/A")</f>
        <v>N/A</v>
      </c>
      <c r="H103" s="35" t="str">
        <f>_xlfn.IFS(E103="NO", "N/A", AND('BASIC INFO'!$B$3&gt;'BASIC INFO'!$B$6+6574.5, C103+730.5&lt;'BASIC INFO'!$B$3), "YES", 'BASIC INFO'!$B$3&lt;('BASIC INFO'!$B$6+6574.5), "NOT YET 18", C103+730.5&gt;'BASIC INFO'!$B$3, "NOT YET 2 YEARS")</f>
        <v>N/A</v>
      </c>
      <c r="I103" s="39" t="str">
        <f>IF(OR(AND(LEFT('CASE DATA'!F104,4)="321.",MID('CASE DATA'!A104,8,2)="SM"),MID('CASE DATA'!A104,8,2)="ST",MID('CASE DATA'!A104,8,2)="NT"),"TRAFFIC",IF(OR('CASE DATA'!G104="DISM", 'CASE DATA'!G104="ACQ", 'CASE DATA'!G104="NOTF", 'CASE DATA'!G104="WTHD", 'CASE DATA'!G104="TNSF"), "YES", "NO"))</f>
        <v>NO</v>
      </c>
      <c r="J103" s="40" t="str">
        <f>IF(I103="YES",'CASE DATA'!U104,"N/A")</f>
        <v>N/A</v>
      </c>
      <c r="K103" s="40" t="str">
        <f>IF(I103="YES",SOL!C104+SOL!D104,"N/A")</f>
        <v>N/A</v>
      </c>
      <c r="L103" s="35" t="str">
        <f>IF(I103="YES",IF(C103+180&lt;'BASIC INFO'!$B$3, "YES", "NO"),"N/A")</f>
        <v>N/A</v>
      </c>
      <c r="M103" s="40" t="str">
        <f t="array" ref="M103">IF(I103="TRAFFIC","n/a",IF(OR('CASE DATA'!G104="GTR", 'CASE DATA'!G104="GPL"),IF(SUM(COUNTIF('CASE DATA'!X104:AI104, 'CODE SECTIONS'!$V$2:$V$218&amp;"*"))&gt;0,"NO","YES"),"n/a"))</f>
        <v>n/a</v>
      </c>
      <c r="N103" s="40" t="str">
        <f t="array" ref="N103">IF(M103="YES",IF(OR((SUM(COUNTIF('CASE DATA'!X104:AI104,'CODE SECTIONS'!$X$2:$X$19&amp;"*"))&gt;0),LEFT('CASE DATA'!X104:AI104,4)="717C", LEFT('CASE DATA'!X104:AI104, 3)="719", LEFT('CASE DATA'!X104:AI104,3)="720", LEFT('CASE DATA'!X104:AI104,3)="724", LEFT('CASE DATA'!X104:AI104,3)="726", LEFT('CASE DATA'!X104:AI104,3)="728", LEFT('CASE DATA'!X104:AI104,4)="901A"), "ineligible misd","eligible"),"n/a")</f>
        <v>n/a</v>
      </c>
      <c r="O103" s="40" t="str">
        <f>IF(N103="eligible",IF(COUNTIF('CASE DATA'!$D$4:$D$200, "")-COUNTIF('CASE DATA'!$A$4:$A$200, "")&gt;0, "YES","NO"),"N/A")</f>
        <v>N/A</v>
      </c>
      <c r="P103" s="40" t="str">
        <f>IF(N103="eligible",BANKRUPTCY!C104+BANKRUPTCY!D104,"N/A")</f>
        <v>N/A</v>
      </c>
      <c r="Q103" s="40" t="str">
        <f>IF(N103="eligible",SOL!C104+SOL!D104,"N/A")</f>
        <v>N/A</v>
      </c>
      <c r="R103" s="40" t="str">
        <f>IF(N103="eligible",SUM('CASE DATA'!K104:T104),"N/A")</f>
        <v>N/A</v>
      </c>
      <c r="S103" s="40" t="str">
        <f>IF(N103="eligible",IF(C103+2920&lt;'BASIC INFO'!$B$3, "YES", "NO"),"N/A")</f>
        <v>N/A</v>
      </c>
      <c r="T103" s="39" t="str">
        <f>IF(OR('CASE DATA'!G104="DEF"), "YES", "NO")</f>
        <v>NO</v>
      </c>
      <c r="U103" s="35" t="str">
        <f>IF(T103="YES",'CASE DATA'!I104,"N/A")</f>
        <v>N/A</v>
      </c>
      <c r="V103" s="40" t="str">
        <f>IF(T103="YES",BANKRUPTCY!C104+BANKRUPTCY!D104,"N/A")</f>
        <v>N/A</v>
      </c>
      <c r="W103" s="40" t="str">
        <f>IF(T103="YES",SUM('CASE DATA'!K104:T104),"N/A")</f>
        <v>N/A</v>
      </c>
      <c r="X103" s="35" t="str">
        <f>IF(OR('CASE DATA'!F104="123.46",'CASE DATA'!F104="123.47"),"YES","NO")</f>
        <v>NO</v>
      </c>
      <c r="Y103" s="40" t="str">
        <f>IF(X103="YES",IF(C103+730.5&lt;'BASIC INFO'!$B$3, "YES","NO"), "N/A")</f>
        <v>N/A</v>
      </c>
      <c r="Z103" s="35" t="str">
        <f>IF('CASE DATA'!F104="725.1","YES","NO")</f>
        <v>NO</v>
      </c>
      <c r="AA103" s="35" t="str">
        <f>IF(Z103="YES",IF(C103+730.5&lt;'BASIC INFO'!$B$3, "YES","NO"), "N/A")</f>
        <v>N/A</v>
      </c>
      <c r="AB103" s="35" t="str">
        <f>IF('BASIC INFO'!$B$6+6574.5&gt;C103, "YES", "NO")</f>
        <v>YES</v>
      </c>
    </row>
    <row r="104" spans="1:28" x14ac:dyDescent="0.25">
      <c r="A104" s="35" t="str">
        <f>IF('CASE DATA'!A105="","z",'CASE DATA'!A105)</f>
        <v>z</v>
      </c>
      <c r="B104" s="66" t="str">
        <f>IF('CASE DATA'!A105="","",'CASE DATA'!E105)</f>
        <v/>
      </c>
      <c r="C104" s="36">
        <f>'CASE DATA'!D105</f>
        <v>0</v>
      </c>
      <c r="D104" s="37" t="str">
        <f>IF('CASE DATA'!I105="YES",SUM('CASE DATA'!K105:Q105),"n/a")</f>
        <v>n/a</v>
      </c>
      <c r="E104" s="38" t="str">
        <f>IF('CASE DATA'!G105="JUV", "YES", "NO")</f>
        <v>NO</v>
      </c>
      <c r="F104" s="38" t="str">
        <f t="array" ref="F104">IF(E104="YES",IF(SUM(COUNTIF('CASE DATA'!$G$4:$G$200, {"GTR","GPL","DEF","JUV"}))&gt;0, "YES","NO"),"N/A")</f>
        <v>N/A</v>
      </c>
      <c r="G104" s="38" t="str">
        <f>IF(E104="YES",IF(COUNTIF('CASE DATA'!$D$4:$D$200, "")-COUNTIF('CASE DATA'!$A$4:$A$200, "")&gt;0, "YES","NO"),"N/A")</f>
        <v>N/A</v>
      </c>
      <c r="H104" s="35" t="str">
        <f>_xlfn.IFS(E104="NO", "N/A", AND('BASIC INFO'!$B$3&gt;'BASIC INFO'!$B$6+6574.5, C104+730.5&lt;'BASIC INFO'!$B$3), "YES", 'BASIC INFO'!$B$3&lt;('BASIC INFO'!$B$6+6574.5), "NOT YET 18", C104+730.5&gt;'BASIC INFO'!$B$3, "NOT YET 2 YEARS")</f>
        <v>N/A</v>
      </c>
      <c r="I104" s="39" t="str">
        <f>IF(OR(AND(LEFT('CASE DATA'!F105,4)="321.",MID('CASE DATA'!A105,8,2)="SM"),MID('CASE DATA'!A105,8,2)="ST",MID('CASE DATA'!A105,8,2)="NT"),"TRAFFIC",IF(OR('CASE DATA'!G105="DISM", 'CASE DATA'!G105="ACQ", 'CASE DATA'!G105="NOTF", 'CASE DATA'!G105="WTHD", 'CASE DATA'!G105="TNSF"), "YES", "NO"))</f>
        <v>NO</v>
      </c>
      <c r="J104" s="40" t="str">
        <f>IF(I104="YES",'CASE DATA'!U105,"N/A")</f>
        <v>N/A</v>
      </c>
      <c r="K104" s="40" t="str">
        <f>IF(I104="YES",SOL!C105+SOL!D105,"N/A")</f>
        <v>N/A</v>
      </c>
      <c r="L104" s="35" t="str">
        <f>IF(I104="YES",IF(C104+180&lt;'BASIC INFO'!$B$3, "YES", "NO"),"N/A")</f>
        <v>N/A</v>
      </c>
      <c r="M104" s="40" t="str">
        <f t="array" ref="M104">IF(I104="TRAFFIC","n/a",IF(OR('CASE DATA'!G105="GTR", 'CASE DATA'!G105="GPL"),IF(SUM(COUNTIF('CASE DATA'!X105:AI105, 'CODE SECTIONS'!$V$2:$V$218&amp;"*"))&gt;0,"NO","YES"),"n/a"))</f>
        <v>n/a</v>
      </c>
      <c r="N104" s="40" t="str">
        <f t="array" ref="N104">IF(M104="YES",IF(OR((SUM(COUNTIF('CASE DATA'!X105:AI105,'CODE SECTIONS'!$X$2:$X$19&amp;"*"))&gt;0),LEFT('CASE DATA'!X105:AI105,4)="717C", LEFT('CASE DATA'!X105:AI105, 3)="719", LEFT('CASE DATA'!X105:AI105,3)="720", LEFT('CASE DATA'!X105:AI105,3)="724", LEFT('CASE DATA'!X105:AI105,3)="726", LEFT('CASE DATA'!X105:AI105,3)="728", LEFT('CASE DATA'!X105:AI105,4)="901A"), "ineligible misd","eligible"),"n/a")</f>
        <v>n/a</v>
      </c>
      <c r="O104" s="40" t="str">
        <f>IF(N104="eligible",IF(COUNTIF('CASE DATA'!$D$4:$D$200, "")-COUNTIF('CASE DATA'!$A$4:$A$200, "")&gt;0, "YES","NO"),"N/A")</f>
        <v>N/A</v>
      </c>
      <c r="P104" s="40" t="str">
        <f>IF(N104="eligible",BANKRUPTCY!C105+BANKRUPTCY!D105,"N/A")</f>
        <v>N/A</v>
      </c>
      <c r="Q104" s="40" t="str">
        <f>IF(N104="eligible",SOL!C105+SOL!D105,"N/A")</f>
        <v>N/A</v>
      </c>
      <c r="R104" s="40" t="str">
        <f>IF(N104="eligible",SUM('CASE DATA'!K105:T105),"N/A")</f>
        <v>N/A</v>
      </c>
      <c r="S104" s="40" t="str">
        <f>IF(N104="eligible",IF(C104+2920&lt;'BASIC INFO'!$B$3, "YES", "NO"),"N/A")</f>
        <v>N/A</v>
      </c>
      <c r="T104" s="39" t="str">
        <f>IF(OR('CASE DATA'!G105="DEF"), "YES", "NO")</f>
        <v>NO</v>
      </c>
      <c r="U104" s="35" t="str">
        <f>IF(T104="YES",'CASE DATA'!I105,"N/A")</f>
        <v>N/A</v>
      </c>
      <c r="V104" s="40" t="str">
        <f>IF(T104="YES",BANKRUPTCY!C105+BANKRUPTCY!D105,"N/A")</f>
        <v>N/A</v>
      </c>
      <c r="W104" s="40" t="str">
        <f>IF(T104="YES",SUM('CASE DATA'!K105:T105),"N/A")</f>
        <v>N/A</v>
      </c>
      <c r="X104" s="35" t="str">
        <f>IF(OR('CASE DATA'!F105="123.46",'CASE DATA'!F105="123.47"),"YES","NO")</f>
        <v>NO</v>
      </c>
      <c r="Y104" s="40" t="str">
        <f>IF(X104="YES",IF(C104+730.5&lt;'BASIC INFO'!$B$3, "YES","NO"), "N/A")</f>
        <v>N/A</v>
      </c>
      <c r="Z104" s="35" t="str">
        <f>IF('CASE DATA'!F105="725.1","YES","NO")</f>
        <v>NO</v>
      </c>
      <c r="AA104" s="35" t="str">
        <f>IF(Z104="YES",IF(C104+730.5&lt;'BASIC INFO'!$B$3, "YES","NO"), "N/A")</f>
        <v>N/A</v>
      </c>
      <c r="AB104" s="35" t="str">
        <f>IF('BASIC INFO'!$B$6+6574.5&gt;C104, "YES", "NO")</f>
        <v>YES</v>
      </c>
    </row>
    <row r="105" spans="1:28" x14ac:dyDescent="0.25">
      <c r="A105" s="35" t="str">
        <f>IF('CASE DATA'!A106="","z",'CASE DATA'!A106)</f>
        <v>z</v>
      </c>
      <c r="B105" s="66" t="str">
        <f>IF('CASE DATA'!A106="","",'CASE DATA'!E106)</f>
        <v/>
      </c>
      <c r="C105" s="36">
        <f>'CASE DATA'!D106</f>
        <v>0</v>
      </c>
      <c r="D105" s="37" t="str">
        <f>IF('CASE DATA'!I106="YES",SUM('CASE DATA'!K106:Q106),"n/a")</f>
        <v>n/a</v>
      </c>
      <c r="E105" s="38" t="str">
        <f>IF('CASE DATA'!G106="JUV", "YES", "NO")</f>
        <v>NO</v>
      </c>
      <c r="F105" s="38" t="str">
        <f t="array" ref="F105">IF(E105="YES",IF(SUM(COUNTIF('CASE DATA'!$G$4:$G$200, {"GTR","GPL","DEF","JUV"}))&gt;0, "YES","NO"),"N/A")</f>
        <v>N/A</v>
      </c>
      <c r="G105" s="38" t="str">
        <f>IF(E105="YES",IF(COUNTIF('CASE DATA'!$D$4:$D$200, "")-COUNTIF('CASE DATA'!$A$4:$A$200, "")&gt;0, "YES","NO"),"N/A")</f>
        <v>N/A</v>
      </c>
      <c r="H105" s="35" t="str">
        <f>_xlfn.IFS(E105="NO", "N/A", AND('BASIC INFO'!$B$3&gt;'BASIC INFO'!$B$6+6574.5, C105+730.5&lt;'BASIC INFO'!$B$3), "YES", 'BASIC INFO'!$B$3&lt;('BASIC INFO'!$B$6+6574.5), "NOT YET 18", C105+730.5&gt;'BASIC INFO'!$B$3, "NOT YET 2 YEARS")</f>
        <v>N/A</v>
      </c>
      <c r="I105" s="39" t="str">
        <f>IF(OR(AND(LEFT('CASE DATA'!F106,4)="321.",MID('CASE DATA'!A106,8,2)="SM"),MID('CASE DATA'!A106,8,2)="ST",MID('CASE DATA'!A106,8,2)="NT"),"TRAFFIC",IF(OR('CASE DATA'!G106="DISM", 'CASE DATA'!G106="ACQ", 'CASE DATA'!G106="NOTF", 'CASE DATA'!G106="WTHD", 'CASE DATA'!G106="TNSF"), "YES", "NO"))</f>
        <v>NO</v>
      </c>
      <c r="J105" s="40" t="str">
        <f>IF(I105="YES",'CASE DATA'!U106,"N/A")</f>
        <v>N/A</v>
      </c>
      <c r="K105" s="40" t="str">
        <f>IF(I105="YES",SOL!C106+SOL!D106,"N/A")</f>
        <v>N/A</v>
      </c>
      <c r="L105" s="35" t="str">
        <f>IF(I105="YES",IF(C105+180&lt;'BASIC INFO'!$B$3, "YES", "NO"),"N/A")</f>
        <v>N/A</v>
      </c>
      <c r="M105" s="40" t="str">
        <f t="array" ref="M105">IF(I105="TRAFFIC","n/a",IF(OR('CASE DATA'!G106="GTR", 'CASE DATA'!G106="GPL"),IF(SUM(COUNTIF('CASE DATA'!X106:AI106, 'CODE SECTIONS'!$V$2:$V$218&amp;"*"))&gt;0,"NO","YES"),"n/a"))</f>
        <v>n/a</v>
      </c>
      <c r="N105" s="40" t="str">
        <f t="array" ref="N105">IF(M105="YES",IF(OR((SUM(COUNTIF('CASE DATA'!X106:AI106,'CODE SECTIONS'!$X$2:$X$19&amp;"*"))&gt;0),LEFT('CASE DATA'!X106:AI106,4)="717C", LEFT('CASE DATA'!X106:AI106, 3)="719", LEFT('CASE DATA'!X106:AI106,3)="720", LEFT('CASE DATA'!X106:AI106,3)="724", LEFT('CASE DATA'!X106:AI106,3)="726", LEFT('CASE DATA'!X106:AI106,3)="728", LEFT('CASE DATA'!X106:AI106,4)="901A"), "ineligible misd","eligible"),"n/a")</f>
        <v>n/a</v>
      </c>
      <c r="O105" s="40" t="str">
        <f>IF(N105="eligible",IF(COUNTIF('CASE DATA'!$D$4:$D$200, "")-COUNTIF('CASE DATA'!$A$4:$A$200, "")&gt;0, "YES","NO"),"N/A")</f>
        <v>N/A</v>
      </c>
      <c r="P105" s="40" t="str">
        <f>IF(N105="eligible",BANKRUPTCY!C106+BANKRUPTCY!D106,"N/A")</f>
        <v>N/A</v>
      </c>
      <c r="Q105" s="40" t="str">
        <f>IF(N105="eligible",SOL!C106+SOL!D106,"N/A")</f>
        <v>N/A</v>
      </c>
      <c r="R105" s="40" t="str">
        <f>IF(N105="eligible",SUM('CASE DATA'!K106:T106),"N/A")</f>
        <v>N/A</v>
      </c>
      <c r="S105" s="40" t="str">
        <f>IF(N105="eligible",IF(C105+2920&lt;'BASIC INFO'!$B$3, "YES", "NO"),"N/A")</f>
        <v>N/A</v>
      </c>
      <c r="T105" s="39" t="str">
        <f>IF(OR('CASE DATA'!G106="DEF"), "YES", "NO")</f>
        <v>NO</v>
      </c>
      <c r="U105" s="35" t="str">
        <f>IF(T105="YES",'CASE DATA'!I106,"N/A")</f>
        <v>N/A</v>
      </c>
      <c r="V105" s="40" t="str">
        <f>IF(T105="YES",BANKRUPTCY!C106+BANKRUPTCY!D106,"N/A")</f>
        <v>N/A</v>
      </c>
      <c r="W105" s="40" t="str">
        <f>IF(T105="YES",SUM('CASE DATA'!K106:T106),"N/A")</f>
        <v>N/A</v>
      </c>
      <c r="X105" s="35" t="str">
        <f>IF(OR('CASE DATA'!F106="123.46",'CASE DATA'!F106="123.47"),"YES","NO")</f>
        <v>NO</v>
      </c>
      <c r="Y105" s="40" t="str">
        <f>IF(X105="YES",IF(C105+730.5&lt;'BASIC INFO'!$B$3, "YES","NO"), "N/A")</f>
        <v>N/A</v>
      </c>
      <c r="Z105" s="35" t="str">
        <f>IF('CASE DATA'!F106="725.1","YES","NO")</f>
        <v>NO</v>
      </c>
      <c r="AA105" s="35" t="str">
        <f>IF(Z105="YES",IF(C105+730.5&lt;'BASIC INFO'!$B$3, "YES","NO"), "N/A")</f>
        <v>N/A</v>
      </c>
      <c r="AB105" s="35" t="str">
        <f>IF('BASIC INFO'!$B$6+6574.5&gt;C105, "YES", "NO")</f>
        <v>YES</v>
      </c>
    </row>
    <row r="106" spans="1:28" x14ac:dyDescent="0.25">
      <c r="A106" s="35" t="str">
        <f>IF('CASE DATA'!A107="","z",'CASE DATA'!A107)</f>
        <v>z</v>
      </c>
      <c r="B106" s="66" t="str">
        <f>IF('CASE DATA'!A107="","",'CASE DATA'!E107)</f>
        <v/>
      </c>
      <c r="C106" s="36">
        <f>'CASE DATA'!D107</f>
        <v>0</v>
      </c>
      <c r="D106" s="37" t="str">
        <f>IF('CASE DATA'!I107="YES",SUM('CASE DATA'!K107:Q107),"n/a")</f>
        <v>n/a</v>
      </c>
      <c r="E106" s="38" t="str">
        <f>IF('CASE DATA'!G107="JUV", "YES", "NO")</f>
        <v>NO</v>
      </c>
      <c r="F106" s="38" t="str">
        <f t="array" ref="F106">IF(E106="YES",IF(SUM(COUNTIF('CASE DATA'!$G$4:$G$200, {"GTR","GPL","DEF","JUV"}))&gt;0, "YES","NO"),"N/A")</f>
        <v>N/A</v>
      </c>
      <c r="G106" s="38" t="str">
        <f>IF(E106="YES",IF(COUNTIF('CASE DATA'!$D$4:$D$200, "")-COUNTIF('CASE DATA'!$A$4:$A$200, "")&gt;0, "YES","NO"),"N/A")</f>
        <v>N/A</v>
      </c>
      <c r="H106" s="35" t="str">
        <f>_xlfn.IFS(E106="NO", "N/A", AND('BASIC INFO'!$B$3&gt;'BASIC INFO'!$B$6+6574.5, C106+730.5&lt;'BASIC INFO'!$B$3), "YES", 'BASIC INFO'!$B$3&lt;('BASIC INFO'!$B$6+6574.5), "NOT YET 18", C106+730.5&gt;'BASIC INFO'!$B$3, "NOT YET 2 YEARS")</f>
        <v>N/A</v>
      </c>
      <c r="I106" s="39" t="str">
        <f>IF(OR(AND(LEFT('CASE DATA'!F107,4)="321.",MID('CASE DATA'!A107,8,2)="SM"),MID('CASE DATA'!A107,8,2)="ST",MID('CASE DATA'!A107,8,2)="NT"),"TRAFFIC",IF(OR('CASE DATA'!G107="DISM", 'CASE DATA'!G107="ACQ", 'CASE DATA'!G107="NOTF", 'CASE DATA'!G107="WTHD", 'CASE DATA'!G107="TNSF"), "YES", "NO"))</f>
        <v>NO</v>
      </c>
      <c r="J106" s="40" t="str">
        <f>IF(I106="YES",'CASE DATA'!U107,"N/A")</f>
        <v>N/A</v>
      </c>
      <c r="K106" s="40" t="str">
        <f>IF(I106="YES",SOL!C107+SOL!D107,"N/A")</f>
        <v>N/A</v>
      </c>
      <c r="L106" s="35" t="str">
        <f>IF(I106="YES",IF(C106+180&lt;'BASIC INFO'!$B$3, "YES", "NO"),"N/A")</f>
        <v>N/A</v>
      </c>
      <c r="M106" s="40" t="str">
        <f t="array" ref="M106">IF(I106="TRAFFIC","n/a",IF(OR('CASE DATA'!G107="GTR", 'CASE DATA'!G107="GPL"),IF(SUM(COUNTIF('CASE DATA'!X107:AI107, 'CODE SECTIONS'!$V$2:$V$218&amp;"*"))&gt;0,"NO","YES"),"n/a"))</f>
        <v>n/a</v>
      </c>
      <c r="N106" s="40" t="str">
        <f t="array" ref="N106">IF(M106="YES",IF(OR((SUM(COUNTIF('CASE DATA'!X107:AI107,'CODE SECTIONS'!$X$2:$X$19&amp;"*"))&gt;0),LEFT('CASE DATA'!X107:AI107,4)="717C", LEFT('CASE DATA'!X107:AI107, 3)="719", LEFT('CASE DATA'!X107:AI107,3)="720", LEFT('CASE DATA'!X107:AI107,3)="724", LEFT('CASE DATA'!X107:AI107,3)="726", LEFT('CASE DATA'!X107:AI107,3)="728", LEFT('CASE DATA'!X107:AI107,4)="901A"), "ineligible misd","eligible"),"n/a")</f>
        <v>n/a</v>
      </c>
      <c r="O106" s="40" t="str">
        <f>IF(N106="eligible",IF(COUNTIF('CASE DATA'!$D$4:$D$200, "")-COUNTIF('CASE DATA'!$A$4:$A$200, "")&gt;0, "YES","NO"),"N/A")</f>
        <v>N/A</v>
      </c>
      <c r="P106" s="40" t="str">
        <f>IF(N106="eligible",BANKRUPTCY!C107+BANKRUPTCY!D107,"N/A")</f>
        <v>N/A</v>
      </c>
      <c r="Q106" s="40" t="str">
        <f>IF(N106="eligible",SOL!C107+SOL!D107,"N/A")</f>
        <v>N/A</v>
      </c>
      <c r="R106" s="40" t="str">
        <f>IF(N106="eligible",SUM('CASE DATA'!K107:T107),"N/A")</f>
        <v>N/A</v>
      </c>
      <c r="S106" s="40" t="str">
        <f>IF(N106="eligible",IF(C106+2920&lt;'BASIC INFO'!$B$3, "YES", "NO"),"N/A")</f>
        <v>N/A</v>
      </c>
      <c r="T106" s="39" t="str">
        <f>IF(OR('CASE DATA'!G107="DEF"), "YES", "NO")</f>
        <v>NO</v>
      </c>
      <c r="U106" s="35" t="str">
        <f>IF(T106="YES",'CASE DATA'!I107,"N/A")</f>
        <v>N/A</v>
      </c>
      <c r="V106" s="40" t="str">
        <f>IF(T106="YES",BANKRUPTCY!C107+BANKRUPTCY!D107,"N/A")</f>
        <v>N/A</v>
      </c>
      <c r="W106" s="40" t="str">
        <f>IF(T106="YES",SUM('CASE DATA'!K107:T107),"N/A")</f>
        <v>N/A</v>
      </c>
      <c r="X106" s="35" t="str">
        <f>IF(OR('CASE DATA'!F107="123.46",'CASE DATA'!F107="123.47"),"YES","NO")</f>
        <v>NO</v>
      </c>
      <c r="Y106" s="40" t="str">
        <f>IF(X106="YES",IF(C106+730.5&lt;'BASIC INFO'!$B$3, "YES","NO"), "N/A")</f>
        <v>N/A</v>
      </c>
      <c r="Z106" s="35" t="str">
        <f>IF('CASE DATA'!F107="725.1","YES","NO")</f>
        <v>NO</v>
      </c>
      <c r="AA106" s="35" t="str">
        <f>IF(Z106="YES",IF(C106+730.5&lt;'BASIC INFO'!$B$3, "YES","NO"), "N/A")</f>
        <v>N/A</v>
      </c>
      <c r="AB106" s="35" t="str">
        <f>IF('BASIC INFO'!$B$6+6574.5&gt;C106, "YES", "NO")</f>
        <v>YES</v>
      </c>
    </row>
    <row r="107" spans="1:28" x14ac:dyDescent="0.25">
      <c r="A107" s="35" t="str">
        <f>IF('CASE DATA'!A108="","z",'CASE DATA'!A108)</f>
        <v>z</v>
      </c>
      <c r="B107" s="66" t="str">
        <f>IF('CASE DATA'!A108="","",'CASE DATA'!E108)</f>
        <v/>
      </c>
      <c r="C107" s="36">
        <f>'CASE DATA'!D108</f>
        <v>0</v>
      </c>
      <c r="D107" s="37" t="str">
        <f>IF('CASE DATA'!I108="YES",SUM('CASE DATA'!K108:Q108),"n/a")</f>
        <v>n/a</v>
      </c>
      <c r="E107" s="38" t="str">
        <f>IF('CASE DATA'!G108="JUV", "YES", "NO")</f>
        <v>NO</v>
      </c>
      <c r="F107" s="38" t="str">
        <f t="array" ref="F107">IF(E107="YES",IF(SUM(COUNTIF('CASE DATA'!$G$4:$G$200, {"GTR","GPL","DEF","JUV"}))&gt;0, "YES","NO"),"N/A")</f>
        <v>N/A</v>
      </c>
      <c r="G107" s="38" t="str">
        <f>IF(E107="YES",IF(COUNTIF('CASE DATA'!$D$4:$D$200, "")-COUNTIF('CASE DATA'!$A$4:$A$200, "")&gt;0, "YES","NO"),"N/A")</f>
        <v>N/A</v>
      </c>
      <c r="H107" s="35" t="str">
        <f>_xlfn.IFS(E107="NO", "N/A", AND('BASIC INFO'!$B$3&gt;'BASIC INFO'!$B$6+6574.5, C107+730.5&lt;'BASIC INFO'!$B$3), "YES", 'BASIC INFO'!$B$3&lt;('BASIC INFO'!$B$6+6574.5), "NOT YET 18", C107+730.5&gt;'BASIC INFO'!$B$3, "NOT YET 2 YEARS")</f>
        <v>N/A</v>
      </c>
      <c r="I107" s="39" t="str">
        <f>IF(OR(AND(LEFT('CASE DATA'!F108,4)="321.",MID('CASE DATA'!A108,8,2)="SM"),MID('CASE DATA'!A108,8,2)="ST",MID('CASE DATA'!A108,8,2)="NT"),"TRAFFIC",IF(OR('CASE DATA'!G108="DISM", 'CASE DATA'!G108="ACQ", 'CASE DATA'!G108="NOTF", 'CASE DATA'!G108="WTHD", 'CASE DATA'!G108="TNSF"), "YES", "NO"))</f>
        <v>NO</v>
      </c>
      <c r="J107" s="40" t="str">
        <f>IF(I107="YES",'CASE DATA'!U108,"N/A")</f>
        <v>N/A</v>
      </c>
      <c r="K107" s="40" t="str">
        <f>IF(I107="YES",SOL!C108+SOL!D108,"N/A")</f>
        <v>N/A</v>
      </c>
      <c r="L107" s="35" t="str">
        <f>IF(I107="YES",IF(C107+180&lt;'BASIC INFO'!$B$3, "YES", "NO"),"N/A")</f>
        <v>N/A</v>
      </c>
      <c r="M107" s="40" t="str">
        <f t="array" ref="M107">IF(I107="TRAFFIC","n/a",IF(OR('CASE DATA'!G108="GTR", 'CASE DATA'!G108="GPL"),IF(SUM(COUNTIF('CASE DATA'!X108:AI108, 'CODE SECTIONS'!$V$2:$V$218&amp;"*"))&gt;0,"NO","YES"),"n/a"))</f>
        <v>n/a</v>
      </c>
      <c r="N107" s="40" t="str">
        <f t="array" ref="N107">IF(M107="YES",IF(OR((SUM(COUNTIF('CASE DATA'!X108:AI108,'CODE SECTIONS'!$X$2:$X$19&amp;"*"))&gt;0),LEFT('CASE DATA'!X108:AI108,4)="717C", LEFT('CASE DATA'!X108:AI108, 3)="719", LEFT('CASE DATA'!X108:AI108,3)="720", LEFT('CASE DATA'!X108:AI108,3)="724", LEFT('CASE DATA'!X108:AI108,3)="726", LEFT('CASE DATA'!X108:AI108,3)="728", LEFT('CASE DATA'!X108:AI108,4)="901A"), "ineligible misd","eligible"),"n/a")</f>
        <v>n/a</v>
      </c>
      <c r="O107" s="40" t="str">
        <f>IF(N107="eligible",IF(COUNTIF('CASE DATA'!$D$4:$D$200, "")-COUNTIF('CASE DATA'!$A$4:$A$200, "")&gt;0, "YES","NO"),"N/A")</f>
        <v>N/A</v>
      </c>
      <c r="P107" s="40" t="str">
        <f>IF(N107="eligible",BANKRUPTCY!C108+BANKRUPTCY!D108,"N/A")</f>
        <v>N/A</v>
      </c>
      <c r="Q107" s="40" t="str">
        <f>IF(N107="eligible",SOL!C108+SOL!D108,"N/A")</f>
        <v>N/A</v>
      </c>
      <c r="R107" s="40" t="str">
        <f>IF(N107="eligible",SUM('CASE DATA'!K108:T108),"N/A")</f>
        <v>N/A</v>
      </c>
      <c r="S107" s="40" t="str">
        <f>IF(N107="eligible",IF(C107+2920&lt;'BASIC INFO'!$B$3, "YES", "NO"),"N/A")</f>
        <v>N/A</v>
      </c>
      <c r="T107" s="39" t="str">
        <f>IF(OR('CASE DATA'!G108="DEF"), "YES", "NO")</f>
        <v>NO</v>
      </c>
      <c r="U107" s="35" t="str">
        <f>IF(T107="YES",'CASE DATA'!I108,"N/A")</f>
        <v>N/A</v>
      </c>
      <c r="V107" s="40" t="str">
        <f>IF(T107="YES",BANKRUPTCY!C108+BANKRUPTCY!D108,"N/A")</f>
        <v>N/A</v>
      </c>
      <c r="W107" s="40" t="str">
        <f>IF(T107="YES",SUM('CASE DATA'!K108:T108),"N/A")</f>
        <v>N/A</v>
      </c>
      <c r="X107" s="35" t="str">
        <f>IF(OR('CASE DATA'!F108="123.46",'CASE DATA'!F108="123.47"),"YES","NO")</f>
        <v>NO</v>
      </c>
      <c r="Y107" s="40" t="str">
        <f>IF(X107="YES",IF(C107+730.5&lt;'BASIC INFO'!$B$3, "YES","NO"), "N/A")</f>
        <v>N/A</v>
      </c>
      <c r="Z107" s="35" t="str">
        <f>IF('CASE DATA'!F108="725.1","YES","NO")</f>
        <v>NO</v>
      </c>
      <c r="AA107" s="35" t="str">
        <f>IF(Z107="YES",IF(C107+730.5&lt;'BASIC INFO'!$B$3, "YES","NO"), "N/A")</f>
        <v>N/A</v>
      </c>
      <c r="AB107" s="35" t="str">
        <f>IF('BASIC INFO'!$B$6+6574.5&gt;C107, "YES", "NO")</f>
        <v>YES</v>
      </c>
    </row>
    <row r="108" spans="1:28" x14ac:dyDescent="0.25">
      <c r="A108" s="35" t="str">
        <f>IF('CASE DATA'!A109="","z",'CASE DATA'!A109)</f>
        <v>z</v>
      </c>
      <c r="B108" s="66" t="str">
        <f>IF('CASE DATA'!A109="","",'CASE DATA'!E109)</f>
        <v/>
      </c>
      <c r="C108" s="36">
        <f>'CASE DATA'!D109</f>
        <v>0</v>
      </c>
      <c r="D108" s="37" t="str">
        <f>IF('CASE DATA'!I109="YES",SUM('CASE DATA'!K109:Q109),"n/a")</f>
        <v>n/a</v>
      </c>
      <c r="E108" s="38" t="str">
        <f>IF('CASE DATA'!G109="JUV", "YES", "NO")</f>
        <v>NO</v>
      </c>
      <c r="F108" s="38" t="str">
        <f t="array" ref="F108">IF(E108="YES",IF(SUM(COUNTIF('CASE DATA'!$G$4:$G$200, {"GTR","GPL","DEF","JUV"}))&gt;0, "YES","NO"),"N/A")</f>
        <v>N/A</v>
      </c>
      <c r="G108" s="38" t="str">
        <f>IF(E108="YES",IF(COUNTIF('CASE DATA'!$D$4:$D$200, "")-COUNTIF('CASE DATA'!$A$4:$A$200, "")&gt;0, "YES","NO"),"N/A")</f>
        <v>N/A</v>
      </c>
      <c r="H108" s="35" t="str">
        <f>_xlfn.IFS(E108="NO", "N/A", AND('BASIC INFO'!$B$3&gt;'BASIC INFO'!$B$6+6574.5, C108+730.5&lt;'BASIC INFO'!$B$3), "YES", 'BASIC INFO'!$B$3&lt;('BASIC INFO'!$B$6+6574.5), "NOT YET 18", C108+730.5&gt;'BASIC INFO'!$B$3, "NOT YET 2 YEARS")</f>
        <v>N/A</v>
      </c>
      <c r="I108" s="39" t="str">
        <f>IF(OR(AND(LEFT('CASE DATA'!F109,4)="321.",MID('CASE DATA'!A109,8,2)="SM"),MID('CASE DATA'!A109,8,2)="ST",MID('CASE DATA'!A109,8,2)="NT"),"TRAFFIC",IF(OR('CASE DATA'!G109="DISM", 'CASE DATA'!G109="ACQ", 'CASE DATA'!G109="NOTF", 'CASE DATA'!G109="WTHD", 'CASE DATA'!G109="TNSF"), "YES", "NO"))</f>
        <v>NO</v>
      </c>
      <c r="J108" s="40" t="str">
        <f>IF(I108="YES",'CASE DATA'!U109,"N/A")</f>
        <v>N/A</v>
      </c>
      <c r="K108" s="40" t="str">
        <f>IF(I108="YES",SOL!C109+SOL!D109,"N/A")</f>
        <v>N/A</v>
      </c>
      <c r="L108" s="35" t="str">
        <f>IF(I108="YES",IF(C108+180&lt;'BASIC INFO'!$B$3, "YES", "NO"),"N/A")</f>
        <v>N/A</v>
      </c>
      <c r="M108" s="40" t="str">
        <f t="array" ref="M108">IF(I108="TRAFFIC","n/a",IF(OR('CASE DATA'!G109="GTR", 'CASE DATA'!G109="GPL"),IF(SUM(COUNTIF('CASE DATA'!X109:AI109, 'CODE SECTIONS'!$V$2:$V$218&amp;"*"))&gt;0,"NO","YES"),"n/a"))</f>
        <v>n/a</v>
      </c>
      <c r="N108" s="40" t="str">
        <f t="array" ref="N108">IF(M108="YES",IF(OR((SUM(COUNTIF('CASE DATA'!X109:AI109,'CODE SECTIONS'!$X$2:$X$19&amp;"*"))&gt;0),LEFT('CASE DATA'!X109:AI109,4)="717C", LEFT('CASE DATA'!X109:AI109, 3)="719", LEFT('CASE DATA'!X109:AI109,3)="720", LEFT('CASE DATA'!X109:AI109,3)="724", LEFT('CASE DATA'!X109:AI109,3)="726", LEFT('CASE DATA'!X109:AI109,3)="728", LEFT('CASE DATA'!X109:AI109,4)="901A"), "ineligible misd","eligible"),"n/a")</f>
        <v>n/a</v>
      </c>
      <c r="O108" s="40" t="str">
        <f>IF(N108="eligible",IF(COUNTIF('CASE DATA'!$D$4:$D$200, "")-COUNTIF('CASE DATA'!$A$4:$A$200, "")&gt;0, "YES","NO"),"N/A")</f>
        <v>N/A</v>
      </c>
      <c r="P108" s="40" t="str">
        <f>IF(N108="eligible",BANKRUPTCY!C109+BANKRUPTCY!D109,"N/A")</f>
        <v>N/A</v>
      </c>
      <c r="Q108" s="40" t="str">
        <f>IF(N108="eligible",SOL!C109+SOL!D109,"N/A")</f>
        <v>N/A</v>
      </c>
      <c r="R108" s="40" t="str">
        <f>IF(N108="eligible",SUM('CASE DATA'!K109:T109),"N/A")</f>
        <v>N/A</v>
      </c>
      <c r="S108" s="40" t="str">
        <f>IF(N108="eligible",IF(C108+2920&lt;'BASIC INFO'!$B$3, "YES", "NO"),"N/A")</f>
        <v>N/A</v>
      </c>
      <c r="T108" s="39" t="str">
        <f>IF(OR('CASE DATA'!G109="DEF"), "YES", "NO")</f>
        <v>NO</v>
      </c>
      <c r="U108" s="35" t="str">
        <f>IF(T108="YES",'CASE DATA'!I109,"N/A")</f>
        <v>N/A</v>
      </c>
      <c r="V108" s="40" t="str">
        <f>IF(T108="YES",BANKRUPTCY!C109+BANKRUPTCY!D109,"N/A")</f>
        <v>N/A</v>
      </c>
      <c r="W108" s="40" t="str">
        <f>IF(T108="YES",SUM('CASE DATA'!K109:T109),"N/A")</f>
        <v>N/A</v>
      </c>
      <c r="X108" s="35" t="str">
        <f>IF(OR('CASE DATA'!F109="123.46",'CASE DATA'!F109="123.47"),"YES","NO")</f>
        <v>NO</v>
      </c>
      <c r="Y108" s="40" t="str">
        <f>IF(X108="YES",IF(C108+730.5&lt;'BASIC INFO'!$B$3, "YES","NO"), "N/A")</f>
        <v>N/A</v>
      </c>
      <c r="Z108" s="35" t="str">
        <f>IF('CASE DATA'!F109="725.1","YES","NO")</f>
        <v>NO</v>
      </c>
      <c r="AA108" s="35" t="str">
        <f>IF(Z108="YES",IF(C108+730.5&lt;'BASIC INFO'!$B$3, "YES","NO"), "N/A")</f>
        <v>N/A</v>
      </c>
      <c r="AB108" s="35" t="str">
        <f>IF('BASIC INFO'!$B$6+6574.5&gt;C108, "YES", "NO")</f>
        <v>YES</v>
      </c>
    </row>
    <row r="109" spans="1:28" x14ac:dyDescent="0.25">
      <c r="A109" s="35" t="str">
        <f>IF('CASE DATA'!A110="","z",'CASE DATA'!A110)</f>
        <v>z</v>
      </c>
      <c r="B109" s="66" t="str">
        <f>IF('CASE DATA'!A110="","",'CASE DATA'!E110)</f>
        <v/>
      </c>
      <c r="C109" s="36">
        <f>'CASE DATA'!D110</f>
        <v>0</v>
      </c>
      <c r="D109" s="37" t="str">
        <f>IF('CASE DATA'!I110="YES",SUM('CASE DATA'!K110:Q110),"n/a")</f>
        <v>n/a</v>
      </c>
      <c r="E109" s="38" t="str">
        <f>IF('CASE DATA'!G110="JUV", "YES", "NO")</f>
        <v>NO</v>
      </c>
      <c r="F109" s="38" t="str">
        <f t="array" ref="F109">IF(E109="YES",IF(SUM(COUNTIF('CASE DATA'!$G$4:$G$200, {"GTR","GPL","DEF","JUV"}))&gt;0, "YES","NO"),"N/A")</f>
        <v>N/A</v>
      </c>
      <c r="G109" s="38" t="str">
        <f>IF(E109="YES",IF(COUNTIF('CASE DATA'!$D$4:$D$200, "")-COUNTIF('CASE DATA'!$A$4:$A$200, "")&gt;0, "YES","NO"),"N/A")</f>
        <v>N/A</v>
      </c>
      <c r="H109" s="35" t="str">
        <f>_xlfn.IFS(E109="NO", "N/A", AND('BASIC INFO'!$B$3&gt;'BASIC INFO'!$B$6+6574.5, C109+730.5&lt;'BASIC INFO'!$B$3), "YES", 'BASIC INFO'!$B$3&lt;('BASIC INFO'!$B$6+6574.5), "NOT YET 18", C109+730.5&gt;'BASIC INFO'!$B$3, "NOT YET 2 YEARS")</f>
        <v>N/A</v>
      </c>
      <c r="I109" s="39" t="str">
        <f>IF(OR(AND(LEFT('CASE DATA'!F110,4)="321.",MID('CASE DATA'!A110,8,2)="SM"),MID('CASE DATA'!A110,8,2)="ST",MID('CASE DATA'!A110,8,2)="NT"),"TRAFFIC",IF(OR('CASE DATA'!G110="DISM", 'CASE DATA'!G110="ACQ", 'CASE DATA'!G110="NOTF", 'CASE DATA'!G110="WTHD", 'CASE DATA'!G110="TNSF"), "YES", "NO"))</f>
        <v>NO</v>
      </c>
      <c r="J109" s="40" t="str">
        <f>IF(I109="YES",'CASE DATA'!U110,"N/A")</f>
        <v>N/A</v>
      </c>
      <c r="K109" s="40" t="str">
        <f>IF(I109="YES",SOL!C110+SOL!D110,"N/A")</f>
        <v>N/A</v>
      </c>
      <c r="L109" s="35" t="str">
        <f>IF(I109="YES",IF(C109+180&lt;'BASIC INFO'!$B$3, "YES", "NO"),"N/A")</f>
        <v>N/A</v>
      </c>
      <c r="M109" s="40" t="str">
        <f t="array" ref="M109">IF(I109="TRAFFIC","n/a",IF(OR('CASE DATA'!G110="GTR", 'CASE DATA'!G110="GPL"),IF(SUM(COUNTIF('CASE DATA'!X110:AI110, 'CODE SECTIONS'!$V$2:$V$218&amp;"*"))&gt;0,"NO","YES"),"n/a"))</f>
        <v>n/a</v>
      </c>
      <c r="N109" s="40" t="str">
        <f t="array" ref="N109">IF(M109="YES",IF(OR((SUM(COUNTIF('CASE DATA'!X110:AI110,'CODE SECTIONS'!$X$2:$X$19&amp;"*"))&gt;0),LEFT('CASE DATA'!X110:AI110,4)="717C", LEFT('CASE DATA'!X110:AI110, 3)="719", LEFT('CASE DATA'!X110:AI110,3)="720", LEFT('CASE DATA'!X110:AI110,3)="724", LEFT('CASE DATA'!X110:AI110,3)="726", LEFT('CASE DATA'!X110:AI110,3)="728", LEFT('CASE DATA'!X110:AI110,4)="901A"), "ineligible misd","eligible"),"n/a")</f>
        <v>n/a</v>
      </c>
      <c r="O109" s="40" t="str">
        <f>IF(N109="eligible",IF(COUNTIF('CASE DATA'!$D$4:$D$200, "")-COUNTIF('CASE DATA'!$A$4:$A$200, "")&gt;0, "YES","NO"),"N/A")</f>
        <v>N/A</v>
      </c>
      <c r="P109" s="40" t="str">
        <f>IF(N109="eligible",BANKRUPTCY!C110+BANKRUPTCY!D110,"N/A")</f>
        <v>N/A</v>
      </c>
      <c r="Q109" s="40" t="str">
        <f>IF(N109="eligible",SOL!C110+SOL!D110,"N/A")</f>
        <v>N/A</v>
      </c>
      <c r="R109" s="40" t="str">
        <f>IF(N109="eligible",SUM('CASE DATA'!K110:T110),"N/A")</f>
        <v>N/A</v>
      </c>
      <c r="S109" s="40" t="str">
        <f>IF(N109="eligible",IF(C109+2920&lt;'BASIC INFO'!$B$3, "YES", "NO"),"N/A")</f>
        <v>N/A</v>
      </c>
      <c r="T109" s="39" t="str">
        <f>IF(OR('CASE DATA'!G110="DEF"), "YES", "NO")</f>
        <v>NO</v>
      </c>
      <c r="U109" s="35" t="str">
        <f>IF(T109="YES",'CASE DATA'!I110,"N/A")</f>
        <v>N/A</v>
      </c>
      <c r="V109" s="40" t="str">
        <f>IF(T109="YES",BANKRUPTCY!C110+BANKRUPTCY!D110,"N/A")</f>
        <v>N/A</v>
      </c>
      <c r="W109" s="40" t="str">
        <f>IF(T109="YES",SUM('CASE DATA'!K110:T110),"N/A")</f>
        <v>N/A</v>
      </c>
      <c r="X109" s="35" t="str">
        <f>IF(OR('CASE DATA'!F110="123.46",'CASE DATA'!F110="123.47"),"YES","NO")</f>
        <v>NO</v>
      </c>
      <c r="Y109" s="40" t="str">
        <f>IF(X109="YES",IF(C109+730.5&lt;'BASIC INFO'!$B$3, "YES","NO"), "N/A")</f>
        <v>N/A</v>
      </c>
      <c r="Z109" s="35" t="str">
        <f>IF('CASE DATA'!F110="725.1","YES","NO")</f>
        <v>NO</v>
      </c>
      <c r="AA109" s="35" t="str">
        <f>IF(Z109="YES",IF(C109+730.5&lt;'BASIC INFO'!$B$3, "YES","NO"), "N/A")</f>
        <v>N/A</v>
      </c>
      <c r="AB109" s="35" t="str">
        <f>IF('BASIC INFO'!$B$6+6574.5&gt;C109, "YES", "NO")</f>
        <v>YES</v>
      </c>
    </row>
    <row r="110" spans="1:28" x14ac:dyDescent="0.25">
      <c r="A110" s="35" t="str">
        <f>IF('CASE DATA'!A111="","z",'CASE DATA'!A111)</f>
        <v>z</v>
      </c>
      <c r="B110" s="66" t="str">
        <f>IF('CASE DATA'!A111="","",'CASE DATA'!E111)</f>
        <v/>
      </c>
      <c r="C110" s="36">
        <f>'CASE DATA'!D111</f>
        <v>0</v>
      </c>
      <c r="D110" s="37" t="str">
        <f>IF('CASE DATA'!I111="YES",SUM('CASE DATA'!K111:Q111),"n/a")</f>
        <v>n/a</v>
      </c>
      <c r="E110" s="38" t="str">
        <f>IF('CASE DATA'!G111="JUV", "YES", "NO")</f>
        <v>NO</v>
      </c>
      <c r="F110" s="38" t="str">
        <f t="array" ref="F110">IF(E110="YES",IF(SUM(COUNTIF('CASE DATA'!$G$4:$G$200, {"GTR","GPL","DEF","JUV"}))&gt;0, "YES","NO"),"N/A")</f>
        <v>N/A</v>
      </c>
      <c r="G110" s="38" t="str">
        <f>IF(E110="YES",IF(COUNTIF('CASE DATA'!$D$4:$D$200, "")-COUNTIF('CASE DATA'!$A$4:$A$200, "")&gt;0, "YES","NO"),"N/A")</f>
        <v>N/A</v>
      </c>
      <c r="H110" s="35" t="str">
        <f>_xlfn.IFS(E110="NO", "N/A", AND('BASIC INFO'!$B$3&gt;'BASIC INFO'!$B$6+6574.5, C110+730.5&lt;'BASIC INFO'!$B$3), "YES", 'BASIC INFO'!$B$3&lt;('BASIC INFO'!$B$6+6574.5), "NOT YET 18", C110+730.5&gt;'BASIC INFO'!$B$3, "NOT YET 2 YEARS")</f>
        <v>N/A</v>
      </c>
      <c r="I110" s="39" t="str">
        <f>IF(OR(AND(LEFT('CASE DATA'!F111,4)="321.",MID('CASE DATA'!A111,8,2)="SM"),MID('CASE DATA'!A111,8,2)="ST",MID('CASE DATA'!A111,8,2)="NT"),"TRAFFIC",IF(OR('CASE DATA'!G111="DISM", 'CASE DATA'!G111="ACQ", 'CASE DATA'!G111="NOTF", 'CASE DATA'!G111="WTHD", 'CASE DATA'!G111="TNSF"), "YES", "NO"))</f>
        <v>NO</v>
      </c>
      <c r="J110" s="40" t="str">
        <f>IF(I110="YES",'CASE DATA'!U111,"N/A")</f>
        <v>N/A</v>
      </c>
      <c r="K110" s="40" t="str">
        <f>IF(I110="YES",SOL!C111+SOL!D111,"N/A")</f>
        <v>N/A</v>
      </c>
      <c r="L110" s="35" t="str">
        <f>IF(I110="YES",IF(C110+180&lt;'BASIC INFO'!$B$3, "YES", "NO"),"N/A")</f>
        <v>N/A</v>
      </c>
      <c r="M110" s="40" t="str">
        <f t="array" ref="M110">IF(I110="TRAFFIC","n/a",IF(OR('CASE DATA'!G111="GTR", 'CASE DATA'!G111="GPL"),IF(SUM(COUNTIF('CASE DATA'!X111:AI111, 'CODE SECTIONS'!$V$2:$V$218&amp;"*"))&gt;0,"NO","YES"),"n/a"))</f>
        <v>n/a</v>
      </c>
      <c r="N110" s="40" t="str">
        <f t="array" ref="N110">IF(M110="YES",IF(OR((SUM(COUNTIF('CASE DATA'!X111:AI111,'CODE SECTIONS'!$X$2:$X$19&amp;"*"))&gt;0),LEFT('CASE DATA'!X111:AI111,4)="717C", LEFT('CASE DATA'!X111:AI111, 3)="719", LEFT('CASE DATA'!X111:AI111,3)="720", LEFT('CASE DATA'!X111:AI111,3)="724", LEFT('CASE DATA'!X111:AI111,3)="726", LEFT('CASE DATA'!X111:AI111,3)="728", LEFT('CASE DATA'!X111:AI111,4)="901A"), "ineligible misd","eligible"),"n/a")</f>
        <v>n/a</v>
      </c>
      <c r="O110" s="40" t="str">
        <f>IF(N110="eligible",IF(COUNTIF('CASE DATA'!$D$4:$D$200, "")-COUNTIF('CASE DATA'!$A$4:$A$200, "")&gt;0, "YES","NO"),"N/A")</f>
        <v>N/A</v>
      </c>
      <c r="P110" s="40" t="str">
        <f>IF(N110="eligible",BANKRUPTCY!C111+BANKRUPTCY!D111,"N/A")</f>
        <v>N/A</v>
      </c>
      <c r="Q110" s="40" t="str">
        <f>IF(N110="eligible",SOL!C111+SOL!D111,"N/A")</f>
        <v>N/A</v>
      </c>
      <c r="R110" s="40" t="str">
        <f>IF(N110="eligible",SUM('CASE DATA'!K111:T111),"N/A")</f>
        <v>N/A</v>
      </c>
      <c r="S110" s="40" t="str">
        <f>IF(N110="eligible",IF(C110+2920&lt;'BASIC INFO'!$B$3, "YES", "NO"),"N/A")</f>
        <v>N/A</v>
      </c>
      <c r="T110" s="39" t="str">
        <f>IF(OR('CASE DATA'!G111="DEF"), "YES", "NO")</f>
        <v>NO</v>
      </c>
      <c r="U110" s="35" t="str">
        <f>IF(T110="YES",'CASE DATA'!I111,"N/A")</f>
        <v>N/A</v>
      </c>
      <c r="V110" s="40" t="str">
        <f>IF(T110="YES",BANKRUPTCY!C111+BANKRUPTCY!D111,"N/A")</f>
        <v>N/A</v>
      </c>
      <c r="W110" s="40" t="str">
        <f>IF(T110="YES",SUM('CASE DATA'!K111:T111),"N/A")</f>
        <v>N/A</v>
      </c>
      <c r="X110" s="35" t="str">
        <f>IF(OR('CASE DATA'!F111="123.46",'CASE DATA'!F111="123.47"),"YES","NO")</f>
        <v>NO</v>
      </c>
      <c r="Y110" s="40" t="str">
        <f>IF(X110="YES",IF(C110+730.5&lt;'BASIC INFO'!$B$3, "YES","NO"), "N/A")</f>
        <v>N/A</v>
      </c>
      <c r="Z110" s="35" t="str">
        <f>IF('CASE DATA'!F111="725.1","YES","NO")</f>
        <v>NO</v>
      </c>
      <c r="AA110" s="35" t="str">
        <f>IF(Z110="YES",IF(C110+730.5&lt;'BASIC INFO'!$B$3, "YES","NO"), "N/A")</f>
        <v>N/A</v>
      </c>
      <c r="AB110" s="35" t="str">
        <f>IF('BASIC INFO'!$B$6+6574.5&gt;C110, "YES", "NO")</f>
        <v>YES</v>
      </c>
    </row>
    <row r="111" spans="1:28" x14ac:dyDescent="0.25">
      <c r="A111" s="35" t="str">
        <f>IF('CASE DATA'!A112="","z",'CASE DATA'!A112)</f>
        <v>z</v>
      </c>
      <c r="B111" s="66" t="str">
        <f>IF('CASE DATA'!A112="","",'CASE DATA'!E112)</f>
        <v/>
      </c>
      <c r="C111" s="36">
        <f>'CASE DATA'!D112</f>
        <v>0</v>
      </c>
      <c r="D111" s="37" t="str">
        <f>IF('CASE DATA'!I112="YES",SUM('CASE DATA'!K112:Q112),"n/a")</f>
        <v>n/a</v>
      </c>
      <c r="E111" s="38" t="str">
        <f>IF('CASE DATA'!G112="JUV", "YES", "NO")</f>
        <v>NO</v>
      </c>
      <c r="F111" s="38" t="str">
        <f t="array" ref="F111">IF(E111="YES",IF(SUM(COUNTIF('CASE DATA'!$G$4:$G$200, {"GTR","GPL","DEF","JUV"}))&gt;0, "YES","NO"),"N/A")</f>
        <v>N/A</v>
      </c>
      <c r="G111" s="38" t="str">
        <f>IF(E111="YES",IF(COUNTIF('CASE DATA'!$D$4:$D$200, "")-COUNTIF('CASE DATA'!$A$4:$A$200, "")&gt;0, "YES","NO"),"N/A")</f>
        <v>N/A</v>
      </c>
      <c r="H111" s="35" t="str">
        <f>_xlfn.IFS(E111="NO", "N/A", AND('BASIC INFO'!$B$3&gt;'BASIC INFO'!$B$6+6574.5, C111+730.5&lt;'BASIC INFO'!$B$3), "YES", 'BASIC INFO'!$B$3&lt;('BASIC INFO'!$B$6+6574.5), "NOT YET 18", C111+730.5&gt;'BASIC INFO'!$B$3, "NOT YET 2 YEARS")</f>
        <v>N/A</v>
      </c>
      <c r="I111" s="39" t="str">
        <f>IF(OR(AND(LEFT('CASE DATA'!F112,4)="321.",MID('CASE DATA'!A112,8,2)="SM"),MID('CASE DATA'!A112,8,2)="ST",MID('CASE DATA'!A112,8,2)="NT"),"TRAFFIC",IF(OR('CASE DATA'!G112="DISM", 'CASE DATA'!G112="ACQ", 'CASE DATA'!G112="NOTF", 'CASE DATA'!G112="WTHD", 'CASE DATA'!G112="TNSF"), "YES", "NO"))</f>
        <v>NO</v>
      </c>
      <c r="J111" s="40" t="str">
        <f>IF(I111="YES",'CASE DATA'!U112,"N/A")</f>
        <v>N/A</v>
      </c>
      <c r="K111" s="40" t="str">
        <f>IF(I111="YES",SOL!C112+SOL!D112,"N/A")</f>
        <v>N/A</v>
      </c>
      <c r="L111" s="35" t="str">
        <f>IF(I111="YES",IF(C111+180&lt;'BASIC INFO'!$B$3, "YES", "NO"),"N/A")</f>
        <v>N/A</v>
      </c>
      <c r="M111" s="40" t="str">
        <f t="array" ref="M111">IF(I111="TRAFFIC","n/a",IF(OR('CASE DATA'!G112="GTR", 'CASE DATA'!G112="GPL"),IF(SUM(COUNTIF('CASE DATA'!X112:AI112, 'CODE SECTIONS'!$V$2:$V$218&amp;"*"))&gt;0,"NO","YES"),"n/a"))</f>
        <v>n/a</v>
      </c>
      <c r="N111" s="40" t="str">
        <f t="array" ref="N111">IF(M111="YES",IF(OR((SUM(COUNTIF('CASE DATA'!X112:AI112,'CODE SECTIONS'!$X$2:$X$19&amp;"*"))&gt;0),LEFT('CASE DATA'!X112:AI112,4)="717C", LEFT('CASE DATA'!X112:AI112, 3)="719", LEFT('CASE DATA'!X112:AI112,3)="720", LEFT('CASE DATA'!X112:AI112,3)="724", LEFT('CASE DATA'!X112:AI112,3)="726", LEFT('CASE DATA'!X112:AI112,3)="728", LEFT('CASE DATA'!X112:AI112,4)="901A"), "ineligible misd","eligible"),"n/a")</f>
        <v>n/a</v>
      </c>
      <c r="O111" s="40" t="str">
        <f>IF(N111="eligible",IF(COUNTIF('CASE DATA'!$D$4:$D$200, "")-COUNTIF('CASE DATA'!$A$4:$A$200, "")&gt;0, "YES","NO"),"N/A")</f>
        <v>N/A</v>
      </c>
      <c r="P111" s="40" t="str">
        <f>IF(N111="eligible",BANKRUPTCY!C112+BANKRUPTCY!D112,"N/A")</f>
        <v>N/A</v>
      </c>
      <c r="Q111" s="40" t="str">
        <f>IF(N111="eligible",SOL!C112+SOL!D112,"N/A")</f>
        <v>N/A</v>
      </c>
      <c r="R111" s="40" t="str">
        <f>IF(N111="eligible",SUM('CASE DATA'!K112:T112),"N/A")</f>
        <v>N/A</v>
      </c>
      <c r="S111" s="40" t="str">
        <f>IF(N111="eligible",IF(C111+2920&lt;'BASIC INFO'!$B$3, "YES", "NO"),"N/A")</f>
        <v>N/A</v>
      </c>
      <c r="T111" s="39" t="str">
        <f>IF(OR('CASE DATA'!G112="DEF"), "YES", "NO")</f>
        <v>NO</v>
      </c>
      <c r="U111" s="35" t="str">
        <f>IF(T111="YES",'CASE DATA'!I112,"N/A")</f>
        <v>N/A</v>
      </c>
      <c r="V111" s="40" t="str">
        <f>IF(T111="YES",BANKRUPTCY!C112+BANKRUPTCY!D112,"N/A")</f>
        <v>N/A</v>
      </c>
      <c r="W111" s="40" t="str">
        <f>IF(T111="YES",SUM('CASE DATA'!K112:T112),"N/A")</f>
        <v>N/A</v>
      </c>
      <c r="X111" s="35" t="str">
        <f>IF(OR('CASE DATA'!F112="123.46",'CASE DATA'!F112="123.47"),"YES","NO")</f>
        <v>NO</v>
      </c>
      <c r="Y111" s="40" t="str">
        <f>IF(X111="YES",IF(C111+730.5&lt;'BASIC INFO'!$B$3, "YES","NO"), "N/A")</f>
        <v>N/A</v>
      </c>
      <c r="Z111" s="35" t="str">
        <f>IF('CASE DATA'!F112="725.1","YES","NO")</f>
        <v>NO</v>
      </c>
      <c r="AA111" s="35" t="str">
        <f>IF(Z111="YES",IF(C111+730.5&lt;'BASIC INFO'!$B$3, "YES","NO"), "N/A")</f>
        <v>N/A</v>
      </c>
      <c r="AB111" s="35" t="str">
        <f>IF('BASIC INFO'!$B$6+6574.5&gt;C111, "YES", "NO")</f>
        <v>YES</v>
      </c>
    </row>
    <row r="112" spans="1:28" x14ac:dyDescent="0.25">
      <c r="A112" s="35" t="str">
        <f>IF('CASE DATA'!A113="","z",'CASE DATA'!A113)</f>
        <v>z</v>
      </c>
      <c r="B112" s="66" t="str">
        <f>IF('CASE DATA'!A113="","",'CASE DATA'!E113)</f>
        <v/>
      </c>
      <c r="C112" s="36">
        <f>'CASE DATA'!D113</f>
        <v>0</v>
      </c>
      <c r="D112" s="37" t="str">
        <f>IF('CASE DATA'!I113="YES",SUM('CASE DATA'!K113:Q113),"n/a")</f>
        <v>n/a</v>
      </c>
      <c r="E112" s="38" t="str">
        <f>IF('CASE DATA'!G113="JUV", "YES", "NO")</f>
        <v>NO</v>
      </c>
      <c r="F112" s="38" t="str">
        <f t="array" ref="F112">IF(E112="YES",IF(SUM(COUNTIF('CASE DATA'!$G$4:$G$200, {"GTR","GPL","DEF","JUV"}))&gt;0, "YES","NO"),"N/A")</f>
        <v>N/A</v>
      </c>
      <c r="G112" s="38" t="str">
        <f>IF(E112="YES",IF(COUNTIF('CASE DATA'!$D$4:$D$200, "")-COUNTIF('CASE DATA'!$A$4:$A$200, "")&gt;0, "YES","NO"),"N/A")</f>
        <v>N/A</v>
      </c>
      <c r="H112" s="35" t="str">
        <f>_xlfn.IFS(E112="NO", "N/A", AND('BASIC INFO'!$B$3&gt;'BASIC INFO'!$B$6+6574.5, C112+730.5&lt;'BASIC INFO'!$B$3), "YES", 'BASIC INFO'!$B$3&lt;('BASIC INFO'!$B$6+6574.5), "NOT YET 18", C112+730.5&gt;'BASIC INFO'!$B$3, "NOT YET 2 YEARS")</f>
        <v>N/A</v>
      </c>
      <c r="I112" s="39" t="str">
        <f>IF(OR(AND(LEFT('CASE DATA'!F113,4)="321.",MID('CASE DATA'!A113,8,2)="SM"),MID('CASE DATA'!A113,8,2)="ST",MID('CASE DATA'!A113,8,2)="NT"),"TRAFFIC",IF(OR('CASE DATA'!G113="DISM", 'CASE DATA'!G113="ACQ", 'CASE DATA'!G113="NOTF", 'CASE DATA'!G113="WTHD", 'CASE DATA'!G113="TNSF"), "YES", "NO"))</f>
        <v>NO</v>
      </c>
      <c r="J112" s="40" t="str">
        <f>IF(I112="YES",'CASE DATA'!U113,"N/A")</f>
        <v>N/A</v>
      </c>
      <c r="K112" s="40" t="str">
        <f>IF(I112="YES",SOL!C113+SOL!D113,"N/A")</f>
        <v>N/A</v>
      </c>
      <c r="L112" s="35" t="str">
        <f>IF(I112="YES",IF(C112+180&lt;'BASIC INFO'!$B$3, "YES", "NO"),"N/A")</f>
        <v>N/A</v>
      </c>
      <c r="M112" s="40" t="str">
        <f t="array" ref="M112">IF(I112="TRAFFIC","n/a",IF(OR('CASE DATA'!G113="GTR", 'CASE DATA'!G113="GPL"),IF(SUM(COUNTIF('CASE DATA'!X113:AI113, 'CODE SECTIONS'!$V$2:$V$218&amp;"*"))&gt;0,"NO","YES"),"n/a"))</f>
        <v>n/a</v>
      </c>
      <c r="N112" s="40" t="str">
        <f t="array" ref="N112">IF(M112="YES",IF(OR((SUM(COUNTIF('CASE DATA'!X113:AI113,'CODE SECTIONS'!$X$2:$X$19&amp;"*"))&gt;0),LEFT('CASE DATA'!X113:AI113,4)="717C", LEFT('CASE DATA'!X113:AI113, 3)="719", LEFT('CASE DATA'!X113:AI113,3)="720", LEFT('CASE DATA'!X113:AI113,3)="724", LEFT('CASE DATA'!X113:AI113,3)="726", LEFT('CASE DATA'!X113:AI113,3)="728", LEFT('CASE DATA'!X113:AI113,4)="901A"), "ineligible misd","eligible"),"n/a")</f>
        <v>n/a</v>
      </c>
      <c r="O112" s="40" t="str">
        <f>IF(N112="eligible",IF(COUNTIF('CASE DATA'!$D$4:$D$200, "")-COUNTIF('CASE DATA'!$A$4:$A$200, "")&gt;0, "YES","NO"),"N/A")</f>
        <v>N/A</v>
      </c>
      <c r="P112" s="40" t="str">
        <f>IF(N112="eligible",BANKRUPTCY!C113+BANKRUPTCY!D113,"N/A")</f>
        <v>N/A</v>
      </c>
      <c r="Q112" s="40" t="str">
        <f>IF(N112="eligible",SOL!C113+SOL!D113,"N/A")</f>
        <v>N/A</v>
      </c>
      <c r="R112" s="40" t="str">
        <f>IF(N112="eligible",SUM('CASE DATA'!K113:T113),"N/A")</f>
        <v>N/A</v>
      </c>
      <c r="S112" s="40" t="str">
        <f>IF(N112="eligible",IF(C112+2920&lt;'BASIC INFO'!$B$3, "YES", "NO"),"N/A")</f>
        <v>N/A</v>
      </c>
      <c r="T112" s="39" t="str">
        <f>IF(OR('CASE DATA'!G113="DEF"), "YES", "NO")</f>
        <v>NO</v>
      </c>
      <c r="U112" s="35" t="str">
        <f>IF(T112="YES",'CASE DATA'!I113,"N/A")</f>
        <v>N/A</v>
      </c>
      <c r="V112" s="40" t="str">
        <f>IF(T112="YES",BANKRUPTCY!C113+BANKRUPTCY!D113,"N/A")</f>
        <v>N/A</v>
      </c>
      <c r="W112" s="40" t="str">
        <f>IF(T112="YES",SUM('CASE DATA'!K113:T113),"N/A")</f>
        <v>N/A</v>
      </c>
      <c r="X112" s="35" t="str">
        <f>IF(OR('CASE DATA'!F113="123.46",'CASE DATA'!F113="123.47"),"YES","NO")</f>
        <v>NO</v>
      </c>
      <c r="Y112" s="40" t="str">
        <f>IF(X112="YES",IF(C112+730.5&lt;'BASIC INFO'!$B$3, "YES","NO"), "N/A")</f>
        <v>N/A</v>
      </c>
      <c r="Z112" s="35" t="str">
        <f>IF('CASE DATA'!F113="725.1","YES","NO")</f>
        <v>NO</v>
      </c>
      <c r="AA112" s="35" t="str">
        <f>IF(Z112="YES",IF(C112+730.5&lt;'BASIC INFO'!$B$3, "YES","NO"), "N/A")</f>
        <v>N/A</v>
      </c>
      <c r="AB112" s="35" t="str">
        <f>IF('BASIC INFO'!$B$6+6574.5&gt;C112, "YES", "NO")</f>
        <v>YES</v>
      </c>
    </row>
    <row r="113" spans="1:28" x14ac:dyDescent="0.25">
      <c r="A113" s="35" t="str">
        <f>IF('CASE DATA'!A114="","z",'CASE DATA'!A114)</f>
        <v>z</v>
      </c>
      <c r="B113" s="66" t="str">
        <f>IF('CASE DATA'!A114="","",'CASE DATA'!E114)</f>
        <v/>
      </c>
      <c r="C113" s="36">
        <f>'CASE DATA'!D114</f>
        <v>0</v>
      </c>
      <c r="D113" s="37" t="str">
        <f>IF('CASE DATA'!I114="YES",SUM('CASE DATA'!K114:Q114),"n/a")</f>
        <v>n/a</v>
      </c>
      <c r="E113" s="38" t="str">
        <f>IF('CASE DATA'!G114="JUV", "YES", "NO")</f>
        <v>NO</v>
      </c>
      <c r="F113" s="38" t="str">
        <f t="array" ref="F113">IF(E113="YES",IF(SUM(COUNTIF('CASE DATA'!$G$4:$G$200, {"GTR","GPL","DEF","JUV"}))&gt;0, "YES","NO"),"N/A")</f>
        <v>N/A</v>
      </c>
      <c r="G113" s="38" t="str">
        <f>IF(E113="YES",IF(COUNTIF('CASE DATA'!$D$4:$D$200, "")-COUNTIF('CASE DATA'!$A$4:$A$200, "")&gt;0, "YES","NO"),"N/A")</f>
        <v>N/A</v>
      </c>
      <c r="H113" s="35" t="str">
        <f>_xlfn.IFS(E113="NO", "N/A", AND('BASIC INFO'!$B$3&gt;'BASIC INFO'!$B$6+6574.5, C113+730.5&lt;'BASIC INFO'!$B$3), "YES", 'BASIC INFO'!$B$3&lt;('BASIC INFO'!$B$6+6574.5), "NOT YET 18", C113+730.5&gt;'BASIC INFO'!$B$3, "NOT YET 2 YEARS")</f>
        <v>N/A</v>
      </c>
      <c r="I113" s="39" t="str">
        <f>IF(OR(AND(LEFT('CASE DATA'!F114,4)="321.",MID('CASE DATA'!A114,8,2)="SM"),MID('CASE DATA'!A114,8,2)="ST",MID('CASE DATA'!A114,8,2)="NT"),"TRAFFIC",IF(OR('CASE DATA'!G114="DISM", 'CASE DATA'!G114="ACQ", 'CASE DATA'!G114="NOTF", 'CASE DATA'!G114="WTHD", 'CASE DATA'!G114="TNSF"), "YES", "NO"))</f>
        <v>NO</v>
      </c>
      <c r="J113" s="40" t="str">
        <f>IF(I113="YES",'CASE DATA'!U114,"N/A")</f>
        <v>N/A</v>
      </c>
      <c r="K113" s="40" t="str">
        <f>IF(I113="YES",SOL!C114+SOL!D114,"N/A")</f>
        <v>N/A</v>
      </c>
      <c r="L113" s="35" t="str">
        <f>IF(I113="YES",IF(C113+180&lt;'BASIC INFO'!$B$3, "YES", "NO"),"N/A")</f>
        <v>N/A</v>
      </c>
      <c r="M113" s="40" t="str">
        <f t="array" ref="M113">IF(I113="TRAFFIC","n/a",IF(OR('CASE DATA'!G114="GTR", 'CASE DATA'!G114="GPL"),IF(SUM(COUNTIF('CASE DATA'!X114:AI114, 'CODE SECTIONS'!$V$2:$V$218&amp;"*"))&gt;0,"NO","YES"),"n/a"))</f>
        <v>n/a</v>
      </c>
      <c r="N113" s="40" t="str">
        <f t="array" ref="N113">IF(M113="YES",IF(OR((SUM(COUNTIF('CASE DATA'!X114:AI114,'CODE SECTIONS'!$X$2:$X$19&amp;"*"))&gt;0),LEFT('CASE DATA'!X114:AI114,4)="717C", LEFT('CASE DATA'!X114:AI114, 3)="719", LEFT('CASE DATA'!X114:AI114,3)="720", LEFT('CASE DATA'!X114:AI114,3)="724", LEFT('CASE DATA'!X114:AI114,3)="726", LEFT('CASE DATA'!X114:AI114,3)="728", LEFT('CASE DATA'!X114:AI114,4)="901A"), "ineligible misd","eligible"),"n/a")</f>
        <v>n/a</v>
      </c>
      <c r="O113" s="40" t="str">
        <f>IF(N113="eligible",IF(COUNTIF('CASE DATA'!$D$4:$D$200, "")-COUNTIF('CASE DATA'!$A$4:$A$200, "")&gt;0, "YES","NO"),"N/A")</f>
        <v>N/A</v>
      </c>
      <c r="P113" s="40" t="str">
        <f>IF(N113="eligible",BANKRUPTCY!C114+BANKRUPTCY!D114,"N/A")</f>
        <v>N/A</v>
      </c>
      <c r="Q113" s="40" t="str">
        <f>IF(N113="eligible",SOL!C114+SOL!D114,"N/A")</f>
        <v>N/A</v>
      </c>
      <c r="R113" s="40" t="str">
        <f>IF(N113="eligible",SUM('CASE DATA'!K114:T114),"N/A")</f>
        <v>N/A</v>
      </c>
      <c r="S113" s="40" t="str">
        <f>IF(N113="eligible",IF(C113+2920&lt;'BASIC INFO'!$B$3, "YES", "NO"),"N/A")</f>
        <v>N/A</v>
      </c>
      <c r="T113" s="39" t="str">
        <f>IF(OR('CASE DATA'!G114="DEF"), "YES", "NO")</f>
        <v>NO</v>
      </c>
      <c r="U113" s="35" t="str">
        <f>IF(T113="YES",'CASE DATA'!I114,"N/A")</f>
        <v>N/A</v>
      </c>
      <c r="V113" s="40" t="str">
        <f>IF(T113="YES",BANKRUPTCY!C114+BANKRUPTCY!D114,"N/A")</f>
        <v>N/A</v>
      </c>
      <c r="W113" s="40" t="str">
        <f>IF(T113="YES",SUM('CASE DATA'!K114:T114),"N/A")</f>
        <v>N/A</v>
      </c>
      <c r="X113" s="35" t="str">
        <f>IF(OR('CASE DATA'!F114="123.46",'CASE DATA'!F114="123.47"),"YES","NO")</f>
        <v>NO</v>
      </c>
      <c r="Y113" s="40" t="str">
        <f>IF(X113="YES",IF(C113+730.5&lt;'BASIC INFO'!$B$3, "YES","NO"), "N/A")</f>
        <v>N/A</v>
      </c>
      <c r="Z113" s="35" t="str">
        <f>IF('CASE DATA'!F114="725.1","YES","NO")</f>
        <v>NO</v>
      </c>
      <c r="AA113" s="35" t="str">
        <f>IF(Z113="YES",IF(C113+730.5&lt;'BASIC INFO'!$B$3, "YES","NO"), "N/A")</f>
        <v>N/A</v>
      </c>
      <c r="AB113" s="35" t="str">
        <f>IF('BASIC INFO'!$B$6+6574.5&gt;C113, "YES", "NO")</f>
        <v>YES</v>
      </c>
    </row>
    <row r="114" spans="1:28" x14ac:dyDescent="0.25">
      <c r="A114" s="35" t="str">
        <f>IF('CASE DATA'!A115="","z",'CASE DATA'!A115)</f>
        <v>z</v>
      </c>
      <c r="B114" s="66" t="str">
        <f>IF('CASE DATA'!A115="","",'CASE DATA'!E115)</f>
        <v/>
      </c>
      <c r="C114" s="36">
        <f>'CASE DATA'!D115</f>
        <v>0</v>
      </c>
      <c r="D114" s="37" t="str">
        <f>IF('CASE DATA'!I115="YES",SUM('CASE DATA'!K115:Q115),"n/a")</f>
        <v>n/a</v>
      </c>
      <c r="E114" s="38" t="str">
        <f>IF('CASE DATA'!G115="JUV", "YES", "NO")</f>
        <v>NO</v>
      </c>
      <c r="F114" s="38" t="str">
        <f t="array" ref="F114">IF(E114="YES",IF(SUM(COUNTIF('CASE DATA'!$G$4:$G$200, {"GTR","GPL","DEF","JUV"}))&gt;0, "YES","NO"),"N/A")</f>
        <v>N/A</v>
      </c>
      <c r="G114" s="38" t="str">
        <f>IF(E114="YES",IF(COUNTIF('CASE DATA'!$D$4:$D$200, "")-COUNTIF('CASE DATA'!$A$4:$A$200, "")&gt;0, "YES","NO"),"N/A")</f>
        <v>N/A</v>
      </c>
      <c r="H114" s="35" t="str">
        <f>_xlfn.IFS(E114="NO", "N/A", AND('BASIC INFO'!$B$3&gt;'BASIC INFO'!$B$6+6574.5, C114+730.5&lt;'BASIC INFO'!$B$3), "YES", 'BASIC INFO'!$B$3&lt;('BASIC INFO'!$B$6+6574.5), "NOT YET 18", C114+730.5&gt;'BASIC INFO'!$B$3, "NOT YET 2 YEARS")</f>
        <v>N/A</v>
      </c>
      <c r="I114" s="39" t="str">
        <f>IF(OR(AND(LEFT('CASE DATA'!F115,4)="321.",MID('CASE DATA'!A115,8,2)="SM"),MID('CASE DATA'!A115,8,2)="ST",MID('CASE DATA'!A115,8,2)="NT"),"TRAFFIC",IF(OR('CASE DATA'!G115="DISM", 'CASE DATA'!G115="ACQ", 'CASE DATA'!G115="NOTF", 'CASE DATA'!G115="WTHD", 'CASE DATA'!G115="TNSF"), "YES", "NO"))</f>
        <v>NO</v>
      </c>
      <c r="J114" s="40" t="str">
        <f>IF(I114="YES",'CASE DATA'!U115,"N/A")</f>
        <v>N/A</v>
      </c>
      <c r="K114" s="40" t="str">
        <f>IF(I114="YES",SOL!C115+SOL!D115,"N/A")</f>
        <v>N/A</v>
      </c>
      <c r="L114" s="35" t="str">
        <f>IF(I114="YES",IF(C114+180&lt;'BASIC INFO'!$B$3, "YES", "NO"),"N/A")</f>
        <v>N/A</v>
      </c>
      <c r="M114" s="40" t="str">
        <f t="array" ref="M114">IF(I114="TRAFFIC","n/a",IF(OR('CASE DATA'!G115="GTR", 'CASE DATA'!G115="GPL"),IF(SUM(COUNTIF('CASE DATA'!X115:AI115, 'CODE SECTIONS'!$V$2:$V$218&amp;"*"))&gt;0,"NO","YES"),"n/a"))</f>
        <v>n/a</v>
      </c>
      <c r="N114" s="40" t="str">
        <f t="array" ref="N114">IF(M114="YES",IF(OR((SUM(COUNTIF('CASE DATA'!X115:AI115,'CODE SECTIONS'!$X$2:$X$19&amp;"*"))&gt;0),LEFT('CASE DATA'!X115:AI115,4)="717C", LEFT('CASE DATA'!X115:AI115, 3)="719", LEFT('CASE DATA'!X115:AI115,3)="720", LEFT('CASE DATA'!X115:AI115,3)="724", LEFT('CASE DATA'!X115:AI115,3)="726", LEFT('CASE DATA'!X115:AI115,3)="728", LEFT('CASE DATA'!X115:AI115,4)="901A"), "ineligible misd","eligible"),"n/a")</f>
        <v>n/a</v>
      </c>
      <c r="O114" s="40" t="str">
        <f>IF(N114="eligible",IF(COUNTIF('CASE DATA'!$D$4:$D$200, "")-COUNTIF('CASE DATA'!$A$4:$A$200, "")&gt;0, "YES","NO"),"N/A")</f>
        <v>N/A</v>
      </c>
      <c r="P114" s="40" t="str">
        <f>IF(N114="eligible",BANKRUPTCY!C115+BANKRUPTCY!D115,"N/A")</f>
        <v>N/A</v>
      </c>
      <c r="Q114" s="40" t="str">
        <f>IF(N114="eligible",SOL!C115+SOL!D115,"N/A")</f>
        <v>N/A</v>
      </c>
      <c r="R114" s="40" t="str">
        <f>IF(N114="eligible",SUM('CASE DATA'!K115:T115),"N/A")</f>
        <v>N/A</v>
      </c>
      <c r="S114" s="40" t="str">
        <f>IF(N114="eligible",IF(C114+2920&lt;'BASIC INFO'!$B$3, "YES", "NO"),"N/A")</f>
        <v>N/A</v>
      </c>
      <c r="T114" s="39" t="str">
        <f>IF(OR('CASE DATA'!G115="DEF"), "YES", "NO")</f>
        <v>NO</v>
      </c>
      <c r="U114" s="35" t="str">
        <f>IF(T114="YES",'CASE DATA'!I115,"N/A")</f>
        <v>N/A</v>
      </c>
      <c r="V114" s="40" t="str">
        <f>IF(T114="YES",BANKRUPTCY!C115+BANKRUPTCY!D115,"N/A")</f>
        <v>N/A</v>
      </c>
      <c r="W114" s="40" t="str">
        <f>IF(T114="YES",SUM('CASE DATA'!K115:T115),"N/A")</f>
        <v>N/A</v>
      </c>
      <c r="X114" s="35" t="str">
        <f>IF(OR('CASE DATA'!F115="123.46",'CASE DATA'!F115="123.47"),"YES","NO")</f>
        <v>NO</v>
      </c>
      <c r="Y114" s="40" t="str">
        <f>IF(X114="YES",IF(C114+730.5&lt;'BASIC INFO'!$B$3, "YES","NO"), "N/A")</f>
        <v>N/A</v>
      </c>
      <c r="Z114" s="35" t="str">
        <f>IF('CASE DATA'!F115="725.1","YES","NO")</f>
        <v>NO</v>
      </c>
      <c r="AA114" s="35" t="str">
        <f>IF(Z114="YES",IF(C114+730.5&lt;'BASIC INFO'!$B$3, "YES","NO"), "N/A")</f>
        <v>N/A</v>
      </c>
      <c r="AB114" s="35" t="str">
        <f>IF('BASIC INFO'!$B$6+6574.5&gt;C114, "YES", "NO")</f>
        <v>YES</v>
      </c>
    </row>
    <row r="115" spans="1:28" x14ac:dyDescent="0.25">
      <c r="A115" s="35" t="str">
        <f>IF('CASE DATA'!A116="","z",'CASE DATA'!A116)</f>
        <v>z</v>
      </c>
      <c r="B115" s="66" t="str">
        <f>IF('CASE DATA'!A116="","",'CASE DATA'!E116)</f>
        <v/>
      </c>
      <c r="C115" s="36">
        <f>'CASE DATA'!D116</f>
        <v>0</v>
      </c>
      <c r="D115" s="37" t="str">
        <f>IF('CASE DATA'!I116="YES",SUM('CASE DATA'!K116:Q116),"n/a")</f>
        <v>n/a</v>
      </c>
      <c r="E115" s="38" t="str">
        <f>IF('CASE DATA'!G116="JUV", "YES", "NO")</f>
        <v>NO</v>
      </c>
      <c r="F115" s="38" t="str">
        <f t="array" ref="F115">IF(E115="YES",IF(SUM(COUNTIF('CASE DATA'!$G$4:$G$200, {"GTR","GPL","DEF","JUV"}))&gt;0, "YES","NO"),"N/A")</f>
        <v>N/A</v>
      </c>
      <c r="G115" s="38" t="str">
        <f>IF(E115="YES",IF(COUNTIF('CASE DATA'!$D$4:$D$200, "")-COUNTIF('CASE DATA'!$A$4:$A$200, "")&gt;0, "YES","NO"),"N/A")</f>
        <v>N/A</v>
      </c>
      <c r="H115" s="35" t="str">
        <f>_xlfn.IFS(E115="NO", "N/A", AND('BASIC INFO'!$B$3&gt;'BASIC INFO'!$B$6+6574.5, C115+730.5&lt;'BASIC INFO'!$B$3), "YES", 'BASIC INFO'!$B$3&lt;('BASIC INFO'!$B$6+6574.5), "NOT YET 18", C115+730.5&gt;'BASIC INFO'!$B$3, "NOT YET 2 YEARS")</f>
        <v>N/A</v>
      </c>
      <c r="I115" s="39" t="str">
        <f>IF(OR(AND(LEFT('CASE DATA'!F116,4)="321.",MID('CASE DATA'!A116,8,2)="SM"),MID('CASE DATA'!A116,8,2)="ST",MID('CASE DATA'!A116,8,2)="NT"),"TRAFFIC",IF(OR('CASE DATA'!G116="DISM", 'CASE DATA'!G116="ACQ", 'CASE DATA'!G116="NOTF", 'CASE DATA'!G116="WTHD", 'CASE DATA'!G116="TNSF"), "YES", "NO"))</f>
        <v>NO</v>
      </c>
      <c r="J115" s="40" t="str">
        <f>IF(I115="YES",'CASE DATA'!U116,"N/A")</f>
        <v>N/A</v>
      </c>
      <c r="K115" s="40" t="str">
        <f>IF(I115="YES",SOL!C116+SOL!D116,"N/A")</f>
        <v>N/A</v>
      </c>
      <c r="L115" s="35" t="str">
        <f>IF(I115="YES",IF(C115+180&lt;'BASIC INFO'!$B$3, "YES", "NO"),"N/A")</f>
        <v>N/A</v>
      </c>
      <c r="M115" s="40" t="str">
        <f t="array" ref="M115">IF(I115="TRAFFIC","n/a",IF(OR('CASE DATA'!G116="GTR", 'CASE DATA'!G116="GPL"),IF(SUM(COUNTIF('CASE DATA'!X116:AI116, 'CODE SECTIONS'!$V$2:$V$218&amp;"*"))&gt;0,"NO","YES"),"n/a"))</f>
        <v>n/a</v>
      </c>
      <c r="N115" s="40" t="str">
        <f t="array" ref="N115">IF(M115="YES",IF(OR((SUM(COUNTIF('CASE DATA'!X116:AI116,'CODE SECTIONS'!$X$2:$X$19&amp;"*"))&gt;0),LEFT('CASE DATA'!X116:AI116,4)="717C", LEFT('CASE DATA'!X116:AI116, 3)="719", LEFT('CASE DATA'!X116:AI116,3)="720", LEFT('CASE DATA'!X116:AI116,3)="724", LEFT('CASE DATA'!X116:AI116,3)="726", LEFT('CASE DATA'!X116:AI116,3)="728", LEFT('CASE DATA'!X116:AI116,4)="901A"), "ineligible misd","eligible"),"n/a")</f>
        <v>n/a</v>
      </c>
      <c r="O115" s="40" t="str">
        <f>IF(N115="eligible",IF(COUNTIF('CASE DATA'!$D$4:$D$200, "")-COUNTIF('CASE DATA'!$A$4:$A$200, "")&gt;0, "YES","NO"),"N/A")</f>
        <v>N/A</v>
      </c>
      <c r="P115" s="40" t="str">
        <f>IF(N115="eligible",BANKRUPTCY!C116+BANKRUPTCY!D116,"N/A")</f>
        <v>N/A</v>
      </c>
      <c r="Q115" s="40" t="str">
        <f>IF(N115="eligible",SOL!C116+SOL!D116,"N/A")</f>
        <v>N/A</v>
      </c>
      <c r="R115" s="40" t="str">
        <f>IF(N115="eligible",SUM('CASE DATA'!K116:T116),"N/A")</f>
        <v>N/A</v>
      </c>
      <c r="S115" s="40" t="str">
        <f>IF(N115="eligible",IF(C115+2920&lt;'BASIC INFO'!$B$3, "YES", "NO"),"N/A")</f>
        <v>N/A</v>
      </c>
      <c r="T115" s="39" t="str">
        <f>IF(OR('CASE DATA'!G116="DEF"), "YES", "NO")</f>
        <v>NO</v>
      </c>
      <c r="U115" s="35" t="str">
        <f>IF(T115="YES",'CASE DATA'!I116,"N/A")</f>
        <v>N/A</v>
      </c>
      <c r="V115" s="40" t="str">
        <f>IF(T115="YES",BANKRUPTCY!C116+BANKRUPTCY!D116,"N/A")</f>
        <v>N/A</v>
      </c>
      <c r="W115" s="40" t="str">
        <f>IF(T115="YES",SUM('CASE DATA'!K116:T116),"N/A")</f>
        <v>N/A</v>
      </c>
      <c r="X115" s="35" t="str">
        <f>IF(OR('CASE DATA'!F116="123.46",'CASE DATA'!F116="123.47"),"YES","NO")</f>
        <v>NO</v>
      </c>
      <c r="Y115" s="40" t="str">
        <f>IF(X115="YES",IF(C115+730.5&lt;'BASIC INFO'!$B$3, "YES","NO"), "N/A")</f>
        <v>N/A</v>
      </c>
      <c r="Z115" s="35" t="str">
        <f>IF('CASE DATA'!F116="725.1","YES","NO")</f>
        <v>NO</v>
      </c>
      <c r="AA115" s="35" t="str">
        <f>IF(Z115="YES",IF(C115+730.5&lt;'BASIC INFO'!$B$3, "YES","NO"), "N/A")</f>
        <v>N/A</v>
      </c>
      <c r="AB115" s="35" t="str">
        <f>IF('BASIC INFO'!$B$6+6574.5&gt;C115, "YES", "NO")</f>
        <v>YES</v>
      </c>
    </row>
    <row r="116" spans="1:28" x14ac:dyDescent="0.25">
      <c r="A116" s="35" t="str">
        <f>IF('CASE DATA'!A117="","z",'CASE DATA'!A117)</f>
        <v>z</v>
      </c>
      <c r="B116" s="66" t="str">
        <f>IF('CASE DATA'!A117="","",'CASE DATA'!E117)</f>
        <v/>
      </c>
      <c r="C116" s="36">
        <f>'CASE DATA'!D117</f>
        <v>0</v>
      </c>
      <c r="D116" s="37" t="str">
        <f>IF('CASE DATA'!I117="YES",SUM('CASE DATA'!K117:Q117),"n/a")</f>
        <v>n/a</v>
      </c>
      <c r="E116" s="38" t="str">
        <f>IF('CASE DATA'!G117="JUV", "YES", "NO")</f>
        <v>NO</v>
      </c>
      <c r="F116" s="38" t="str">
        <f t="array" ref="F116">IF(E116="YES",IF(SUM(COUNTIF('CASE DATA'!$G$4:$G$200, {"GTR","GPL","DEF","JUV"}))&gt;0, "YES","NO"),"N/A")</f>
        <v>N/A</v>
      </c>
      <c r="G116" s="38" t="str">
        <f>IF(E116="YES",IF(COUNTIF('CASE DATA'!$D$4:$D$200, "")-COUNTIF('CASE DATA'!$A$4:$A$200, "")&gt;0, "YES","NO"),"N/A")</f>
        <v>N/A</v>
      </c>
      <c r="H116" s="35" t="str">
        <f>_xlfn.IFS(E116="NO", "N/A", AND('BASIC INFO'!$B$3&gt;'BASIC INFO'!$B$6+6574.5, C116+730.5&lt;'BASIC INFO'!$B$3), "YES", 'BASIC INFO'!$B$3&lt;('BASIC INFO'!$B$6+6574.5), "NOT YET 18", C116+730.5&gt;'BASIC INFO'!$B$3, "NOT YET 2 YEARS")</f>
        <v>N/A</v>
      </c>
      <c r="I116" s="39" t="str">
        <f>IF(OR(AND(LEFT('CASE DATA'!F117,4)="321.",MID('CASE DATA'!A117,8,2)="SM"),MID('CASE DATA'!A117,8,2)="ST",MID('CASE DATA'!A117,8,2)="NT"),"TRAFFIC",IF(OR('CASE DATA'!G117="DISM", 'CASE DATA'!G117="ACQ", 'CASE DATA'!G117="NOTF", 'CASE DATA'!G117="WTHD", 'CASE DATA'!G117="TNSF"), "YES", "NO"))</f>
        <v>NO</v>
      </c>
      <c r="J116" s="40" t="str">
        <f>IF(I116="YES",'CASE DATA'!U117,"N/A")</f>
        <v>N/A</v>
      </c>
      <c r="K116" s="40" t="str">
        <f>IF(I116="YES",SOL!C117+SOL!D117,"N/A")</f>
        <v>N/A</v>
      </c>
      <c r="L116" s="35" t="str">
        <f>IF(I116="YES",IF(C116+180&lt;'BASIC INFO'!$B$3, "YES", "NO"),"N/A")</f>
        <v>N/A</v>
      </c>
      <c r="M116" s="40" t="str">
        <f t="array" ref="M116">IF(I116="TRAFFIC","n/a",IF(OR('CASE DATA'!G117="GTR", 'CASE DATA'!G117="GPL"),IF(SUM(COUNTIF('CASE DATA'!X117:AI117, 'CODE SECTIONS'!$V$2:$V$218&amp;"*"))&gt;0,"NO","YES"),"n/a"))</f>
        <v>n/a</v>
      </c>
      <c r="N116" s="40" t="str">
        <f t="array" ref="N116">IF(M116="YES",IF(OR((SUM(COUNTIF('CASE DATA'!X117:AI117,'CODE SECTIONS'!$X$2:$X$19&amp;"*"))&gt;0),LEFT('CASE DATA'!X117:AI117,4)="717C", LEFT('CASE DATA'!X117:AI117, 3)="719", LEFT('CASE DATA'!X117:AI117,3)="720", LEFT('CASE DATA'!X117:AI117,3)="724", LEFT('CASE DATA'!X117:AI117,3)="726", LEFT('CASE DATA'!X117:AI117,3)="728", LEFT('CASE DATA'!X117:AI117,4)="901A"), "ineligible misd","eligible"),"n/a")</f>
        <v>n/a</v>
      </c>
      <c r="O116" s="40" t="str">
        <f>IF(N116="eligible",IF(COUNTIF('CASE DATA'!$D$4:$D$200, "")-COUNTIF('CASE DATA'!$A$4:$A$200, "")&gt;0, "YES","NO"),"N/A")</f>
        <v>N/A</v>
      </c>
      <c r="P116" s="40" t="str">
        <f>IF(N116="eligible",BANKRUPTCY!C117+BANKRUPTCY!D117,"N/A")</f>
        <v>N/A</v>
      </c>
      <c r="Q116" s="40" t="str">
        <f>IF(N116="eligible",SOL!C117+SOL!D117,"N/A")</f>
        <v>N/A</v>
      </c>
      <c r="R116" s="40" t="str">
        <f>IF(N116="eligible",SUM('CASE DATA'!K117:T117),"N/A")</f>
        <v>N/A</v>
      </c>
      <c r="S116" s="40" t="str">
        <f>IF(N116="eligible",IF(C116+2920&lt;'BASIC INFO'!$B$3, "YES", "NO"),"N/A")</f>
        <v>N/A</v>
      </c>
      <c r="T116" s="39" t="str">
        <f>IF(OR('CASE DATA'!G117="DEF"), "YES", "NO")</f>
        <v>NO</v>
      </c>
      <c r="U116" s="35" t="str">
        <f>IF(T116="YES",'CASE DATA'!I117,"N/A")</f>
        <v>N/A</v>
      </c>
      <c r="V116" s="40" t="str">
        <f>IF(T116="YES",BANKRUPTCY!C117+BANKRUPTCY!D117,"N/A")</f>
        <v>N/A</v>
      </c>
      <c r="W116" s="40" t="str">
        <f>IF(T116="YES",SUM('CASE DATA'!K117:T117),"N/A")</f>
        <v>N/A</v>
      </c>
      <c r="X116" s="35" t="str">
        <f>IF(OR('CASE DATA'!F117="123.46",'CASE DATA'!F117="123.47"),"YES","NO")</f>
        <v>NO</v>
      </c>
      <c r="Y116" s="40" t="str">
        <f>IF(X116="YES",IF(C116+730.5&lt;'BASIC INFO'!$B$3, "YES","NO"), "N/A")</f>
        <v>N/A</v>
      </c>
      <c r="Z116" s="35" t="str">
        <f>IF('CASE DATA'!F117="725.1","YES","NO")</f>
        <v>NO</v>
      </c>
      <c r="AA116" s="35" t="str">
        <f>IF(Z116="YES",IF(C116+730.5&lt;'BASIC INFO'!$B$3, "YES","NO"), "N/A")</f>
        <v>N/A</v>
      </c>
      <c r="AB116" s="35" t="str">
        <f>IF('BASIC INFO'!$B$6+6574.5&gt;C116, "YES", "NO")</f>
        <v>YES</v>
      </c>
    </row>
    <row r="117" spans="1:28" x14ac:dyDescent="0.25">
      <c r="A117" s="35" t="str">
        <f>IF('CASE DATA'!A118="","z",'CASE DATA'!A118)</f>
        <v>z</v>
      </c>
      <c r="B117" s="66" t="str">
        <f>IF('CASE DATA'!A118="","",'CASE DATA'!E118)</f>
        <v/>
      </c>
      <c r="C117" s="36">
        <f>'CASE DATA'!D118</f>
        <v>0</v>
      </c>
      <c r="D117" s="37" t="str">
        <f>IF('CASE DATA'!I118="YES",SUM('CASE DATA'!K118:Q118),"n/a")</f>
        <v>n/a</v>
      </c>
      <c r="E117" s="38" t="str">
        <f>IF('CASE DATA'!G118="JUV", "YES", "NO")</f>
        <v>NO</v>
      </c>
      <c r="F117" s="38" t="str">
        <f t="array" ref="F117">IF(E117="YES",IF(SUM(COUNTIF('CASE DATA'!$G$4:$G$200, {"GTR","GPL","DEF","JUV"}))&gt;0, "YES","NO"),"N/A")</f>
        <v>N/A</v>
      </c>
      <c r="G117" s="38" t="str">
        <f>IF(E117="YES",IF(COUNTIF('CASE DATA'!$D$4:$D$200, "")-COUNTIF('CASE DATA'!$A$4:$A$200, "")&gt;0, "YES","NO"),"N/A")</f>
        <v>N/A</v>
      </c>
      <c r="H117" s="35" t="str">
        <f>_xlfn.IFS(E117="NO", "N/A", AND('BASIC INFO'!$B$3&gt;'BASIC INFO'!$B$6+6574.5, C117+730.5&lt;'BASIC INFO'!$B$3), "YES", 'BASIC INFO'!$B$3&lt;('BASIC INFO'!$B$6+6574.5), "NOT YET 18", C117+730.5&gt;'BASIC INFO'!$B$3, "NOT YET 2 YEARS")</f>
        <v>N/A</v>
      </c>
      <c r="I117" s="39" t="str">
        <f>IF(OR(AND(LEFT('CASE DATA'!F118,4)="321.",MID('CASE DATA'!A118,8,2)="SM"),MID('CASE DATA'!A118,8,2)="ST",MID('CASE DATA'!A118,8,2)="NT"),"TRAFFIC",IF(OR('CASE DATA'!G118="DISM", 'CASE DATA'!G118="ACQ", 'CASE DATA'!G118="NOTF", 'CASE DATA'!G118="WTHD", 'CASE DATA'!G118="TNSF"), "YES", "NO"))</f>
        <v>NO</v>
      </c>
      <c r="J117" s="40" t="str">
        <f>IF(I117="YES",'CASE DATA'!U118,"N/A")</f>
        <v>N/A</v>
      </c>
      <c r="K117" s="40" t="str">
        <f>IF(I117="YES",SOL!C118+SOL!D118,"N/A")</f>
        <v>N/A</v>
      </c>
      <c r="L117" s="35" t="str">
        <f>IF(I117="YES",IF(C117+180&lt;'BASIC INFO'!$B$3, "YES", "NO"),"N/A")</f>
        <v>N/A</v>
      </c>
      <c r="M117" s="40" t="str">
        <f t="array" ref="M117">IF(I117="TRAFFIC","n/a",IF(OR('CASE DATA'!G118="GTR", 'CASE DATA'!G118="GPL"),IF(SUM(COUNTIF('CASE DATA'!X118:AI118, 'CODE SECTIONS'!$V$2:$V$218&amp;"*"))&gt;0,"NO","YES"),"n/a"))</f>
        <v>n/a</v>
      </c>
      <c r="N117" s="40" t="str">
        <f t="array" ref="N117">IF(M117="YES",IF(OR((SUM(COUNTIF('CASE DATA'!X118:AI118,'CODE SECTIONS'!$X$2:$X$19&amp;"*"))&gt;0),LEFT('CASE DATA'!X118:AI118,4)="717C", LEFT('CASE DATA'!X118:AI118, 3)="719", LEFT('CASE DATA'!X118:AI118,3)="720", LEFT('CASE DATA'!X118:AI118,3)="724", LEFT('CASE DATA'!X118:AI118,3)="726", LEFT('CASE DATA'!X118:AI118,3)="728", LEFT('CASE DATA'!X118:AI118,4)="901A"), "ineligible misd","eligible"),"n/a")</f>
        <v>n/a</v>
      </c>
      <c r="O117" s="40" t="str">
        <f>IF(N117="eligible",IF(COUNTIF('CASE DATA'!$D$4:$D$200, "")-COUNTIF('CASE DATA'!$A$4:$A$200, "")&gt;0, "YES","NO"),"N/A")</f>
        <v>N/A</v>
      </c>
      <c r="P117" s="40" t="str">
        <f>IF(N117="eligible",BANKRUPTCY!C118+BANKRUPTCY!D118,"N/A")</f>
        <v>N/A</v>
      </c>
      <c r="Q117" s="40" t="str">
        <f>IF(N117="eligible",SOL!C118+SOL!D118,"N/A")</f>
        <v>N/A</v>
      </c>
      <c r="R117" s="40" t="str">
        <f>IF(N117="eligible",SUM('CASE DATA'!K118:T118),"N/A")</f>
        <v>N/A</v>
      </c>
      <c r="S117" s="40" t="str">
        <f>IF(N117="eligible",IF(C117+2920&lt;'BASIC INFO'!$B$3, "YES", "NO"),"N/A")</f>
        <v>N/A</v>
      </c>
      <c r="T117" s="39" t="str">
        <f>IF(OR('CASE DATA'!G118="DEF"), "YES", "NO")</f>
        <v>NO</v>
      </c>
      <c r="U117" s="35" t="str">
        <f>IF(T117="YES",'CASE DATA'!I118,"N/A")</f>
        <v>N/A</v>
      </c>
      <c r="V117" s="40" t="str">
        <f>IF(T117="YES",BANKRUPTCY!C118+BANKRUPTCY!D118,"N/A")</f>
        <v>N/A</v>
      </c>
      <c r="W117" s="40" t="str">
        <f>IF(T117="YES",SUM('CASE DATA'!K118:T118),"N/A")</f>
        <v>N/A</v>
      </c>
      <c r="X117" s="35" t="str">
        <f>IF(OR('CASE DATA'!F118="123.46",'CASE DATA'!F118="123.47"),"YES","NO")</f>
        <v>NO</v>
      </c>
      <c r="Y117" s="40" t="str">
        <f>IF(X117="YES",IF(C117+730.5&lt;'BASIC INFO'!$B$3, "YES","NO"), "N/A")</f>
        <v>N/A</v>
      </c>
      <c r="Z117" s="35" t="str">
        <f>IF('CASE DATA'!F118="725.1","YES","NO")</f>
        <v>NO</v>
      </c>
      <c r="AA117" s="35" t="str">
        <f>IF(Z117="YES",IF(C117+730.5&lt;'BASIC INFO'!$B$3, "YES","NO"), "N/A")</f>
        <v>N/A</v>
      </c>
      <c r="AB117" s="35" t="str">
        <f>IF('BASIC INFO'!$B$6+6574.5&gt;C117, "YES", "NO")</f>
        <v>YES</v>
      </c>
    </row>
    <row r="118" spans="1:28" x14ac:dyDescent="0.25">
      <c r="A118" s="35" t="str">
        <f>IF('CASE DATA'!A119="","z",'CASE DATA'!A119)</f>
        <v>z</v>
      </c>
      <c r="B118" s="66" t="str">
        <f>IF('CASE DATA'!A119="","",'CASE DATA'!E119)</f>
        <v/>
      </c>
      <c r="C118" s="36">
        <f>'CASE DATA'!D119</f>
        <v>0</v>
      </c>
      <c r="D118" s="37" t="str">
        <f>IF('CASE DATA'!I119="YES",SUM('CASE DATA'!K119:Q119),"n/a")</f>
        <v>n/a</v>
      </c>
      <c r="E118" s="38" t="str">
        <f>IF('CASE DATA'!G119="JUV", "YES", "NO")</f>
        <v>NO</v>
      </c>
      <c r="F118" s="38" t="str">
        <f t="array" ref="F118">IF(E118="YES",IF(SUM(COUNTIF('CASE DATA'!$G$4:$G$200, {"GTR","GPL","DEF","JUV"}))&gt;0, "YES","NO"),"N/A")</f>
        <v>N/A</v>
      </c>
      <c r="G118" s="38" t="str">
        <f>IF(E118="YES",IF(COUNTIF('CASE DATA'!$D$4:$D$200, "")-COUNTIF('CASE DATA'!$A$4:$A$200, "")&gt;0, "YES","NO"),"N/A")</f>
        <v>N/A</v>
      </c>
      <c r="H118" s="35" t="str">
        <f>_xlfn.IFS(E118="NO", "N/A", AND('BASIC INFO'!$B$3&gt;'BASIC INFO'!$B$6+6574.5, C118+730.5&lt;'BASIC INFO'!$B$3), "YES", 'BASIC INFO'!$B$3&lt;('BASIC INFO'!$B$6+6574.5), "NOT YET 18", C118+730.5&gt;'BASIC INFO'!$B$3, "NOT YET 2 YEARS")</f>
        <v>N/A</v>
      </c>
      <c r="I118" s="39" t="str">
        <f>IF(OR(AND(LEFT('CASE DATA'!F119,4)="321.",MID('CASE DATA'!A119,8,2)="SM"),MID('CASE DATA'!A119,8,2)="ST",MID('CASE DATA'!A119,8,2)="NT"),"TRAFFIC",IF(OR('CASE DATA'!G119="DISM", 'CASE DATA'!G119="ACQ", 'CASE DATA'!G119="NOTF", 'CASE DATA'!G119="WTHD", 'CASE DATA'!G119="TNSF"), "YES", "NO"))</f>
        <v>NO</v>
      </c>
      <c r="J118" s="40" t="str">
        <f>IF(I118="YES",'CASE DATA'!U119,"N/A")</f>
        <v>N/A</v>
      </c>
      <c r="K118" s="40" t="str">
        <f>IF(I118="YES",SOL!C119+SOL!D119,"N/A")</f>
        <v>N/A</v>
      </c>
      <c r="L118" s="35" t="str">
        <f>IF(I118="YES",IF(C118+180&lt;'BASIC INFO'!$B$3, "YES", "NO"),"N/A")</f>
        <v>N/A</v>
      </c>
      <c r="M118" s="40" t="str">
        <f t="array" ref="M118">IF(I118="TRAFFIC","n/a",IF(OR('CASE DATA'!G119="GTR", 'CASE DATA'!G119="GPL"),IF(SUM(COUNTIF('CASE DATA'!X119:AI119, 'CODE SECTIONS'!$V$2:$V$218&amp;"*"))&gt;0,"NO","YES"),"n/a"))</f>
        <v>n/a</v>
      </c>
      <c r="N118" s="40" t="str">
        <f t="array" ref="N118">IF(M118="YES",IF(OR((SUM(COUNTIF('CASE DATA'!X119:AI119,'CODE SECTIONS'!$X$2:$X$19&amp;"*"))&gt;0),LEFT('CASE DATA'!X119:AI119,4)="717C", LEFT('CASE DATA'!X119:AI119, 3)="719", LEFT('CASE DATA'!X119:AI119,3)="720", LEFT('CASE DATA'!X119:AI119,3)="724", LEFT('CASE DATA'!X119:AI119,3)="726", LEFT('CASE DATA'!X119:AI119,3)="728", LEFT('CASE DATA'!X119:AI119,4)="901A"), "ineligible misd","eligible"),"n/a")</f>
        <v>n/a</v>
      </c>
      <c r="O118" s="40" t="str">
        <f>IF(N118="eligible",IF(COUNTIF('CASE DATA'!$D$4:$D$200, "")-COUNTIF('CASE DATA'!$A$4:$A$200, "")&gt;0, "YES","NO"),"N/A")</f>
        <v>N/A</v>
      </c>
      <c r="P118" s="40" t="str">
        <f>IF(N118="eligible",BANKRUPTCY!C119+BANKRUPTCY!D119,"N/A")</f>
        <v>N/A</v>
      </c>
      <c r="Q118" s="40" t="str">
        <f>IF(N118="eligible",SOL!C119+SOL!D119,"N/A")</f>
        <v>N/A</v>
      </c>
      <c r="R118" s="40" t="str">
        <f>IF(N118="eligible",SUM('CASE DATA'!K119:T119),"N/A")</f>
        <v>N/A</v>
      </c>
      <c r="S118" s="40" t="str">
        <f>IF(N118="eligible",IF(C118+2920&lt;'BASIC INFO'!$B$3, "YES", "NO"),"N/A")</f>
        <v>N/A</v>
      </c>
      <c r="T118" s="39" t="str">
        <f>IF(OR('CASE DATA'!G119="DEF"), "YES", "NO")</f>
        <v>NO</v>
      </c>
      <c r="U118" s="35" t="str">
        <f>IF(T118="YES",'CASE DATA'!I119,"N/A")</f>
        <v>N/A</v>
      </c>
      <c r="V118" s="40" t="str">
        <f>IF(T118="YES",BANKRUPTCY!C119+BANKRUPTCY!D119,"N/A")</f>
        <v>N/A</v>
      </c>
      <c r="W118" s="40" t="str">
        <f>IF(T118="YES",SUM('CASE DATA'!K119:T119),"N/A")</f>
        <v>N/A</v>
      </c>
      <c r="X118" s="35" t="str">
        <f>IF(OR('CASE DATA'!F119="123.46",'CASE DATA'!F119="123.47"),"YES","NO")</f>
        <v>NO</v>
      </c>
      <c r="Y118" s="40" t="str">
        <f>IF(X118="YES",IF(C118+730.5&lt;'BASIC INFO'!$B$3, "YES","NO"), "N/A")</f>
        <v>N/A</v>
      </c>
      <c r="Z118" s="35" t="str">
        <f>IF('CASE DATA'!F119="725.1","YES","NO")</f>
        <v>NO</v>
      </c>
      <c r="AA118" s="35" t="str">
        <f>IF(Z118="YES",IF(C118+730.5&lt;'BASIC INFO'!$B$3, "YES","NO"), "N/A")</f>
        <v>N/A</v>
      </c>
      <c r="AB118" s="35" t="str">
        <f>IF('BASIC INFO'!$B$6+6574.5&gt;C118, "YES", "NO")</f>
        <v>YES</v>
      </c>
    </row>
    <row r="119" spans="1:28" x14ac:dyDescent="0.25">
      <c r="A119" s="35" t="str">
        <f>IF('CASE DATA'!A120="","z",'CASE DATA'!A120)</f>
        <v>z</v>
      </c>
      <c r="B119" s="66" t="str">
        <f>IF('CASE DATA'!A120="","",'CASE DATA'!E120)</f>
        <v/>
      </c>
      <c r="C119" s="36">
        <f>'CASE DATA'!D120</f>
        <v>0</v>
      </c>
      <c r="D119" s="37" t="str">
        <f>IF('CASE DATA'!I120="YES",SUM('CASE DATA'!K120:Q120),"n/a")</f>
        <v>n/a</v>
      </c>
      <c r="E119" s="38" t="str">
        <f>IF('CASE DATA'!G120="JUV", "YES", "NO")</f>
        <v>NO</v>
      </c>
      <c r="F119" s="38" t="str">
        <f t="array" ref="F119">IF(E119="YES",IF(SUM(COUNTIF('CASE DATA'!$G$4:$G$200, {"GTR","GPL","DEF","JUV"}))&gt;0, "YES","NO"),"N/A")</f>
        <v>N/A</v>
      </c>
      <c r="G119" s="38" t="str">
        <f>IF(E119="YES",IF(COUNTIF('CASE DATA'!$D$4:$D$200, "")-COUNTIF('CASE DATA'!$A$4:$A$200, "")&gt;0, "YES","NO"),"N/A")</f>
        <v>N/A</v>
      </c>
      <c r="H119" s="35" t="str">
        <f>_xlfn.IFS(E119="NO", "N/A", AND('BASIC INFO'!$B$3&gt;'BASIC INFO'!$B$6+6574.5, C119+730.5&lt;'BASIC INFO'!$B$3), "YES", 'BASIC INFO'!$B$3&lt;('BASIC INFO'!$B$6+6574.5), "NOT YET 18", C119+730.5&gt;'BASIC INFO'!$B$3, "NOT YET 2 YEARS")</f>
        <v>N/A</v>
      </c>
      <c r="I119" s="39" t="str">
        <f>IF(OR(AND(LEFT('CASE DATA'!F120,4)="321.",MID('CASE DATA'!A120,8,2)="SM"),MID('CASE DATA'!A120,8,2)="ST",MID('CASE DATA'!A120,8,2)="NT"),"TRAFFIC",IF(OR('CASE DATA'!G120="DISM", 'CASE DATA'!G120="ACQ", 'CASE DATA'!G120="NOTF", 'CASE DATA'!G120="WTHD", 'CASE DATA'!G120="TNSF"), "YES", "NO"))</f>
        <v>NO</v>
      </c>
      <c r="J119" s="40" t="str">
        <f>IF(I119="YES",'CASE DATA'!U120,"N/A")</f>
        <v>N/A</v>
      </c>
      <c r="K119" s="40" t="str">
        <f>IF(I119="YES",SOL!C120+SOL!D120,"N/A")</f>
        <v>N/A</v>
      </c>
      <c r="L119" s="35" t="str">
        <f>IF(I119="YES",IF(C119+180&lt;'BASIC INFO'!$B$3, "YES", "NO"),"N/A")</f>
        <v>N/A</v>
      </c>
      <c r="M119" s="40" t="str">
        <f t="array" ref="M119">IF(I119="TRAFFIC","n/a",IF(OR('CASE DATA'!G120="GTR", 'CASE DATA'!G120="GPL"),IF(SUM(COUNTIF('CASE DATA'!X120:AI120, 'CODE SECTIONS'!$V$2:$V$218&amp;"*"))&gt;0,"NO","YES"),"n/a"))</f>
        <v>n/a</v>
      </c>
      <c r="N119" s="40" t="str">
        <f t="array" ref="N119">IF(M119="YES",IF(OR((SUM(COUNTIF('CASE DATA'!X120:AI120,'CODE SECTIONS'!$X$2:$X$19&amp;"*"))&gt;0),LEFT('CASE DATA'!X120:AI120,4)="717C", LEFT('CASE DATA'!X120:AI120, 3)="719", LEFT('CASE DATA'!X120:AI120,3)="720", LEFT('CASE DATA'!X120:AI120,3)="724", LEFT('CASE DATA'!X120:AI120,3)="726", LEFT('CASE DATA'!X120:AI120,3)="728", LEFT('CASE DATA'!X120:AI120,4)="901A"), "ineligible misd","eligible"),"n/a")</f>
        <v>n/a</v>
      </c>
      <c r="O119" s="40" t="str">
        <f>IF(N119="eligible",IF(COUNTIF('CASE DATA'!$D$4:$D$200, "")-COUNTIF('CASE DATA'!$A$4:$A$200, "")&gt;0, "YES","NO"),"N/A")</f>
        <v>N/A</v>
      </c>
      <c r="P119" s="40" t="str">
        <f>IF(N119="eligible",BANKRUPTCY!C120+BANKRUPTCY!D120,"N/A")</f>
        <v>N/A</v>
      </c>
      <c r="Q119" s="40" t="str">
        <f>IF(N119="eligible",SOL!C120+SOL!D120,"N/A")</f>
        <v>N/A</v>
      </c>
      <c r="R119" s="40" t="str">
        <f>IF(N119="eligible",SUM('CASE DATA'!K120:T120),"N/A")</f>
        <v>N/A</v>
      </c>
      <c r="S119" s="40" t="str">
        <f>IF(N119="eligible",IF(C119+2920&lt;'BASIC INFO'!$B$3, "YES", "NO"),"N/A")</f>
        <v>N/A</v>
      </c>
      <c r="T119" s="39" t="str">
        <f>IF(OR('CASE DATA'!G120="DEF"), "YES", "NO")</f>
        <v>NO</v>
      </c>
      <c r="U119" s="35" t="str">
        <f>IF(T119="YES",'CASE DATA'!I120,"N/A")</f>
        <v>N/A</v>
      </c>
      <c r="V119" s="40" t="str">
        <f>IF(T119="YES",BANKRUPTCY!C120+BANKRUPTCY!D120,"N/A")</f>
        <v>N/A</v>
      </c>
      <c r="W119" s="40" t="str">
        <f>IF(T119="YES",SUM('CASE DATA'!K120:T120),"N/A")</f>
        <v>N/A</v>
      </c>
      <c r="X119" s="35" t="str">
        <f>IF(OR('CASE DATA'!F120="123.46",'CASE DATA'!F120="123.47"),"YES","NO")</f>
        <v>NO</v>
      </c>
      <c r="Y119" s="40" t="str">
        <f>IF(X119="YES",IF(C119+730.5&lt;'BASIC INFO'!$B$3, "YES","NO"), "N/A")</f>
        <v>N/A</v>
      </c>
      <c r="Z119" s="35" t="str">
        <f>IF('CASE DATA'!F120="725.1","YES","NO")</f>
        <v>NO</v>
      </c>
      <c r="AA119" s="35" t="str">
        <f>IF(Z119="YES",IF(C119+730.5&lt;'BASIC INFO'!$B$3, "YES","NO"), "N/A")</f>
        <v>N/A</v>
      </c>
      <c r="AB119" s="35" t="str">
        <f>IF('BASIC INFO'!$B$6+6574.5&gt;C119, "YES", "NO")</f>
        <v>YES</v>
      </c>
    </row>
    <row r="120" spans="1:28" x14ac:dyDescent="0.25">
      <c r="A120" s="35" t="str">
        <f>IF('CASE DATA'!A121="","z",'CASE DATA'!A121)</f>
        <v>z</v>
      </c>
      <c r="B120" s="66" t="str">
        <f>IF('CASE DATA'!A121="","",'CASE DATA'!E121)</f>
        <v/>
      </c>
      <c r="C120" s="36">
        <f>'CASE DATA'!D121</f>
        <v>0</v>
      </c>
      <c r="D120" s="37" t="str">
        <f>IF('CASE DATA'!I121="YES",SUM('CASE DATA'!K121:Q121),"n/a")</f>
        <v>n/a</v>
      </c>
      <c r="E120" s="38" t="str">
        <f>IF('CASE DATA'!G121="JUV", "YES", "NO")</f>
        <v>NO</v>
      </c>
      <c r="F120" s="38" t="str">
        <f t="array" ref="F120">IF(E120="YES",IF(SUM(COUNTIF('CASE DATA'!$G$4:$G$200, {"GTR","GPL","DEF","JUV"}))&gt;0, "YES","NO"),"N/A")</f>
        <v>N/A</v>
      </c>
      <c r="G120" s="38" t="str">
        <f>IF(E120="YES",IF(COUNTIF('CASE DATA'!$D$4:$D$200, "")-COUNTIF('CASE DATA'!$A$4:$A$200, "")&gt;0, "YES","NO"),"N/A")</f>
        <v>N/A</v>
      </c>
      <c r="H120" s="35" t="str">
        <f>_xlfn.IFS(E120="NO", "N/A", AND('BASIC INFO'!$B$3&gt;'BASIC INFO'!$B$6+6574.5, C120+730.5&lt;'BASIC INFO'!$B$3), "YES", 'BASIC INFO'!$B$3&lt;('BASIC INFO'!$B$6+6574.5), "NOT YET 18", C120+730.5&gt;'BASIC INFO'!$B$3, "NOT YET 2 YEARS")</f>
        <v>N/A</v>
      </c>
      <c r="I120" s="39" t="str">
        <f>IF(OR(AND(LEFT('CASE DATA'!F121,4)="321.",MID('CASE DATA'!A121,8,2)="SM"),MID('CASE DATA'!A121,8,2)="ST",MID('CASE DATA'!A121,8,2)="NT"),"TRAFFIC",IF(OR('CASE DATA'!G121="DISM", 'CASE DATA'!G121="ACQ", 'CASE DATA'!G121="NOTF", 'CASE DATA'!G121="WTHD", 'CASE DATA'!G121="TNSF"), "YES", "NO"))</f>
        <v>NO</v>
      </c>
      <c r="J120" s="40" t="str">
        <f>IF(I120="YES",'CASE DATA'!U121,"N/A")</f>
        <v>N/A</v>
      </c>
      <c r="K120" s="40" t="str">
        <f>IF(I120="YES",SOL!C121+SOL!D121,"N/A")</f>
        <v>N/A</v>
      </c>
      <c r="L120" s="35" t="str">
        <f>IF(I120="YES",IF(C120+180&lt;'BASIC INFO'!$B$3, "YES", "NO"),"N/A")</f>
        <v>N/A</v>
      </c>
      <c r="M120" s="40" t="str">
        <f t="array" ref="M120">IF(I120="TRAFFIC","n/a",IF(OR('CASE DATA'!G121="GTR", 'CASE DATA'!G121="GPL"),IF(SUM(COUNTIF('CASE DATA'!X121:AI121, 'CODE SECTIONS'!$V$2:$V$218&amp;"*"))&gt;0,"NO","YES"),"n/a"))</f>
        <v>n/a</v>
      </c>
      <c r="N120" s="40" t="str">
        <f t="array" ref="N120">IF(M120="YES",IF(OR((SUM(COUNTIF('CASE DATA'!X121:AI121,'CODE SECTIONS'!$X$2:$X$19&amp;"*"))&gt;0),LEFT('CASE DATA'!X121:AI121,4)="717C", LEFT('CASE DATA'!X121:AI121, 3)="719", LEFT('CASE DATA'!X121:AI121,3)="720", LEFT('CASE DATA'!X121:AI121,3)="724", LEFT('CASE DATA'!X121:AI121,3)="726", LEFT('CASE DATA'!X121:AI121,3)="728", LEFT('CASE DATA'!X121:AI121,4)="901A"), "ineligible misd","eligible"),"n/a")</f>
        <v>n/a</v>
      </c>
      <c r="O120" s="40" t="str">
        <f>IF(N120="eligible",IF(COUNTIF('CASE DATA'!$D$4:$D$200, "")-COUNTIF('CASE DATA'!$A$4:$A$200, "")&gt;0, "YES","NO"),"N/A")</f>
        <v>N/A</v>
      </c>
      <c r="P120" s="40" t="str">
        <f>IF(N120="eligible",BANKRUPTCY!C121+BANKRUPTCY!D121,"N/A")</f>
        <v>N/A</v>
      </c>
      <c r="Q120" s="40" t="str">
        <f>IF(N120="eligible",SOL!C121+SOL!D121,"N/A")</f>
        <v>N/A</v>
      </c>
      <c r="R120" s="40" t="str">
        <f>IF(N120="eligible",SUM('CASE DATA'!K121:T121),"N/A")</f>
        <v>N/A</v>
      </c>
      <c r="S120" s="40" t="str">
        <f>IF(N120="eligible",IF(C120+2920&lt;'BASIC INFO'!$B$3, "YES", "NO"),"N/A")</f>
        <v>N/A</v>
      </c>
      <c r="T120" s="39" t="str">
        <f>IF(OR('CASE DATA'!G121="DEF"), "YES", "NO")</f>
        <v>NO</v>
      </c>
      <c r="U120" s="35" t="str">
        <f>IF(T120="YES",'CASE DATA'!I121,"N/A")</f>
        <v>N/A</v>
      </c>
      <c r="V120" s="40" t="str">
        <f>IF(T120="YES",BANKRUPTCY!C121+BANKRUPTCY!D121,"N/A")</f>
        <v>N/A</v>
      </c>
      <c r="W120" s="40" t="str">
        <f>IF(T120="YES",SUM('CASE DATA'!K121:T121),"N/A")</f>
        <v>N/A</v>
      </c>
      <c r="X120" s="35" t="str">
        <f>IF(OR('CASE DATA'!F121="123.46",'CASE DATA'!F121="123.47"),"YES","NO")</f>
        <v>NO</v>
      </c>
      <c r="Y120" s="40" t="str">
        <f>IF(X120="YES",IF(C120+730.5&lt;'BASIC INFO'!$B$3, "YES","NO"), "N/A")</f>
        <v>N/A</v>
      </c>
      <c r="Z120" s="35" t="str">
        <f>IF('CASE DATA'!F121="725.1","YES","NO")</f>
        <v>NO</v>
      </c>
      <c r="AA120" s="35" t="str">
        <f>IF(Z120="YES",IF(C120+730.5&lt;'BASIC INFO'!$B$3, "YES","NO"), "N/A")</f>
        <v>N/A</v>
      </c>
      <c r="AB120" s="35" t="str">
        <f>IF('BASIC INFO'!$B$6+6574.5&gt;C120, "YES", "NO")</f>
        <v>YES</v>
      </c>
    </row>
    <row r="121" spans="1:28" x14ac:dyDescent="0.25">
      <c r="A121" s="35" t="str">
        <f>IF('CASE DATA'!A122="","z",'CASE DATA'!A122)</f>
        <v>z</v>
      </c>
      <c r="B121" s="66" t="str">
        <f>IF('CASE DATA'!A122="","",'CASE DATA'!E122)</f>
        <v/>
      </c>
      <c r="C121" s="36">
        <f>'CASE DATA'!D122</f>
        <v>0</v>
      </c>
      <c r="D121" s="37" t="str">
        <f>IF('CASE DATA'!I122="YES",SUM('CASE DATA'!K122:Q122),"n/a")</f>
        <v>n/a</v>
      </c>
      <c r="E121" s="38" t="str">
        <f>IF('CASE DATA'!G122="JUV", "YES", "NO")</f>
        <v>NO</v>
      </c>
      <c r="F121" s="38" t="str">
        <f t="array" ref="F121">IF(E121="YES",IF(SUM(COUNTIF('CASE DATA'!$G$4:$G$200, {"GTR","GPL","DEF","JUV"}))&gt;0, "YES","NO"),"N/A")</f>
        <v>N/A</v>
      </c>
      <c r="G121" s="38" t="str">
        <f>IF(E121="YES",IF(COUNTIF('CASE DATA'!$D$4:$D$200, "")-COUNTIF('CASE DATA'!$A$4:$A$200, "")&gt;0, "YES","NO"),"N/A")</f>
        <v>N/A</v>
      </c>
      <c r="H121" s="35" t="str">
        <f>_xlfn.IFS(E121="NO", "N/A", AND('BASIC INFO'!$B$3&gt;'BASIC INFO'!$B$6+6574.5, C121+730.5&lt;'BASIC INFO'!$B$3), "YES", 'BASIC INFO'!$B$3&lt;('BASIC INFO'!$B$6+6574.5), "NOT YET 18", C121+730.5&gt;'BASIC INFO'!$B$3, "NOT YET 2 YEARS")</f>
        <v>N/A</v>
      </c>
      <c r="I121" s="39" t="str">
        <f>IF(OR(AND(LEFT('CASE DATA'!F122,4)="321.",MID('CASE DATA'!A122,8,2)="SM"),MID('CASE DATA'!A122,8,2)="ST",MID('CASE DATA'!A122,8,2)="NT"),"TRAFFIC",IF(OR('CASE DATA'!G122="DISM", 'CASE DATA'!G122="ACQ", 'CASE DATA'!G122="NOTF", 'CASE DATA'!G122="WTHD", 'CASE DATA'!G122="TNSF"), "YES", "NO"))</f>
        <v>NO</v>
      </c>
      <c r="J121" s="40" t="str">
        <f>IF(I121="YES",'CASE DATA'!U122,"N/A")</f>
        <v>N/A</v>
      </c>
      <c r="K121" s="40" t="str">
        <f>IF(I121="YES",SOL!C122+SOL!D122,"N/A")</f>
        <v>N/A</v>
      </c>
      <c r="L121" s="35" t="str">
        <f>IF(I121="YES",IF(C121+180&lt;'BASIC INFO'!$B$3, "YES", "NO"),"N/A")</f>
        <v>N/A</v>
      </c>
      <c r="M121" s="40" t="str">
        <f t="array" ref="M121">IF(I121="TRAFFIC","n/a",IF(OR('CASE DATA'!G122="GTR", 'CASE DATA'!G122="GPL"),IF(SUM(COUNTIF('CASE DATA'!X122:AI122, 'CODE SECTIONS'!$V$2:$V$218&amp;"*"))&gt;0,"NO","YES"),"n/a"))</f>
        <v>n/a</v>
      </c>
      <c r="N121" s="40" t="str">
        <f t="array" ref="N121">IF(M121="YES",IF(OR((SUM(COUNTIF('CASE DATA'!X122:AI122,'CODE SECTIONS'!$X$2:$X$19&amp;"*"))&gt;0),LEFT('CASE DATA'!X122:AI122,4)="717C", LEFT('CASE DATA'!X122:AI122, 3)="719", LEFT('CASE DATA'!X122:AI122,3)="720", LEFT('CASE DATA'!X122:AI122,3)="724", LEFT('CASE DATA'!X122:AI122,3)="726", LEFT('CASE DATA'!X122:AI122,3)="728", LEFT('CASE DATA'!X122:AI122,4)="901A"), "ineligible misd","eligible"),"n/a")</f>
        <v>n/a</v>
      </c>
      <c r="O121" s="40" t="str">
        <f>IF(N121="eligible",IF(COUNTIF('CASE DATA'!$D$4:$D$200, "")-COUNTIF('CASE DATA'!$A$4:$A$200, "")&gt;0, "YES","NO"),"N/A")</f>
        <v>N/A</v>
      </c>
      <c r="P121" s="40" t="str">
        <f>IF(N121="eligible",BANKRUPTCY!C122+BANKRUPTCY!D122,"N/A")</f>
        <v>N/A</v>
      </c>
      <c r="Q121" s="40" t="str">
        <f>IF(N121="eligible",SOL!C122+SOL!D122,"N/A")</f>
        <v>N/A</v>
      </c>
      <c r="R121" s="40" t="str">
        <f>IF(N121="eligible",SUM('CASE DATA'!K122:T122),"N/A")</f>
        <v>N/A</v>
      </c>
      <c r="S121" s="40" t="str">
        <f>IF(N121="eligible",IF(C121+2920&lt;'BASIC INFO'!$B$3, "YES", "NO"),"N/A")</f>
        <v>N/A</v>
      </c>
      <c r="T121" s="39" t="str">
        <f>IF(OR('CASE DATA'!G122="DEF"), "YES", "NO")</f>
        <v>NO</v>
      </c>
      <c r="U121" s="35" t="str">
        <f>IF(T121="YES",'CASE DATA'!I122,"N/A")</f>
        <v>N/A</v>
      </c>
      <c r="V121" s="40" t="str">
        <f>IF(T121="YES",BANKRUPTCY!C122+BANKRUPTCY!D122,"N/A")</f>
        <v>N/A</v>
      </c>
      <c r="W121" s="40" t="str">
        <f>IF(T121="YES",SUM('CASE DATA'!K122:T122),"N/A")</f>
        <v>N/A</v>
      </c>
      <c r="X121" s="35" t="str">
        <f>IF(OR('CASE DATA'!F122="123.46",'CASE DATA'!F122="123.47"),"YES","NO")</f>
        <v>NO</v>
      </c>
      <c r="Y121" s="40" t="str">
        <f>IF(X121="YES",IF(C121+730.5&lt;'BASIC INFO'!$B$3, "YES","NO"), "N/A")</f>
        <v>N/A</v>
      </c>
      <c r="Z121" s="35" t="str">
        <f>IF('CASE DATA'!F122="725.1","YES","NO")</f>
        <v>NO</v>
      </c>
      <c r="AA121" s="35" t="str">
        <f>IF(Z121="YES",IF(C121+730.5&lt;'BASIC INFO'!$B$3, "YES","NO"), "N/A")</f>
        <v>N/A</v>
      </c>
      <c r="AB121" s="35" t="str">
        <f>IF('BASIC INFO'!$B$6+6574.5&gt;C121, "YES", "NO")</f>
        <v>YES</v>
      </c>
    </row>
    <row r="122" spans="1:28" x14ac:dyDescent="0.25">
      <c r="A122" s="35" t="str">
        <f>IF('CASE DATA'!A123="","z",'CASE DATA'!A123)</f>
        <v>z</v>
      </c>
      <c r="B122" s="66" t="str">
        <f>IF('CASE DATA'!A123="","",'CASE DATA'!E123)</f>
        <v/>
      </c>
      <c r="C122" s="36">
        <f>'CASE DATA'!D123</f>
        <v>0</v>
      </c>
      <c r="D122" s="37" t="str">
        <f>IF('CASE DATA'!I123="YES",SUM('CASE DATA'!K123:Q123),"n/a")</f>
        <v>n/a</v>
      </c>
      <c r="E122" s="38" t="str">
        <f>IF('CASE DATA'!G123="JUV", "YES", "NO")</f>
        <v>NO</v>
      </c>
      <c r="F122" s="38" t="str">
        <f t="array" ref="F122">IF(E122="YES",IF(SUM(COUNTIF('CASE DATA'!$G$4:$G$200, {"GTR","GPL","DEF","JUV"}))&gt;0, "YES","NO"),"N/A")</f>
        <v>N/A</v>
      </c>
      <c r="G122" s="38" t="str">
        <f>IF(E122="YES",IF(COUNTIF('CASE DATA'!$D$4:$D$200, "")-COUNTIF('CASE DATA'!$A$4:$A$200, "")&gt;0, "YES","NO"),"N/A")</f>
        <v>N/A</v>
      </c>
      <c r="H122" s="35" t="str">
        <f>_xlfn.IFS(E122="NO", "N/A", AND('BASIC INFO'!$B$3&gt;'BASIC INFO'!$B$6+6574.5, C122+730.5&lt;'BASIC INFO'!$B$3), "YES", 'BASIC INFO'!$B$3&lt;('BASIC INFO'!$B$6+6574.5), "NOT YET 18", C122+730.5&gt;'BASIC INFO'!$B$3, "NOT YET 2 YEARS")</f>
        <v>N/A</v>
      </c>
      <c r="I122" s="39" t="str">
        <f>IF(OR(AND(LEFT('CASE DATA'!F123,4)="321.",MID('CASE DATA'!A123,8,2)="SM"),MID('CASE DATA'!A123,8,2)="ST",MID('CASE DATA'!A123,8,2)="NT"),"TRAFFIC",IF(OR('CASE DATA'!G123="DISM", 'CASE DATA'!G123="ACQ", 'CASE DATA'!G123="NOTF", 'CASE DATA'!G123="WTHD", 'CASE DATA'!G123="TNSF"), "YES", "NO"))</f>
        <v>NO</v>
      </c>
      <c r="J122" s="40" t="str">
        <f>IF(I122="YES",'CASE DATA'!U123,"N/A")</f>
        <v>N/A</v>
      </c>
      <c r="K122" s="40" t="str">
        <f>IF(I122="YES",SOL!C123+SOL!D123,"N/A")</f>
        <v>N/A</v>
      </c>
      <c r="L122" s="35" t="str">
        <f>IF(I122="YES",IF(C122+180&lt;'BASIC INFO'!$B$3, "YES", "NO"),"N/A")</f>
        <v>N/A</v>
      </c>
      <c r="M122" s="40" t="str">
        <f t="array" ref="M122">IF(I122="TRAFFIC","n/a",IF(OR('CASE DATA'!G123="GTR", 'CASE DATA'!G123="GPL"),IF(SUM(COUNTIF('CASE DATA'!X123:AI123, 'CODE SECTIONS'!$V$2:$V$218&amp;"*"))&gt;0,"NO","YES"),"n/a"))</f>
        <v>n/a</v>
      </c>
      <c r="N122" s="40" t="str">
        <f t="array" ref="N122">IF(M122="YES",IF(OR((SUM(COUNTIF('CASE DATA'!X123:AI123,'CODE SECTIONS'!$X$2:$X$19&amp;"*"))&gt;0),LEFT('CASE DATA'!X123:AI123,4)="717C", LEFT('CASE DATA'!X123:AI123, 3)="719", LEFT('CASE DATA'!X123:AI123,3)="720", LEFT('CASE DATA'!X123:AI123,3)="724", LEFT('CASE DATA'!X123:AI123,3)="726", LEFT('CASE DATA'!X123:AI123,3)="728", LEFT('CASE DATA'!X123:AI123,4)="901A"), "ineligible misd","eligible"),"n/a")</f>
        <v>n/a</v>
      </c>
      <c r="O122" s="40" t="str">
        <f>IF(N122="eligible",IF(COUNTIF('CASE DATA'!$D$4:$D$200, "")-COUNTIF('CASE DATA'!$A$4:$A$200, "")&gt;0, "YES","NO"),"N/A")</f>
        <v>N/A</v>
      </c>
      <c r="P122" s="40" t="str">
        <f>IF(N122="eligible",BANKRUPTCY!C123+BANKRUPTCY!D123,"N/A")</f>
        <v>N/A</v>
      </c>
      <c r="Q122" s="40" t="str">
        <f>IF(N122="eligible",SOL!C123+SOL!D123,"N/A")</f>
        <v>N/A</v>
      </c>
      <c r="R122" s="40" t="str">
        <f>IF(N122="eligible",SUM('CASE DATA'!K123:T123),"N/A")</f>
        <v>N/A</v>
      </c>
      <c r="S122" s="40" t="str">
        <f>IF(N122="eligible",IF(C122+2920&lt;'BASIC INFO'!$B$3, "YES", "NO"),"N/A")</f>
        <v>N/A</v>
      </c>
      <c r="T122" s="39" t="str">
        <f>IF(OR('CASE DATA'!G123="DEF"), "YES", "NO")</f>
        <v>NO</v>
      </c>
      <c r="U122" s="35" t="str">
        <f>IF(T122="YES",'CASE DATA'!I123,"N/A")</f>
        <v>N/A</v>
      </c>
      <c r="V122" s="40" t="str">
        <f>IF(T122="YES",BANKRUPTCY!C123+BANKRUPTCY!D123,"N/A")</f>
        <v>N/A</v>
      </c>
      <c r="W122" s="40" t="str">
        <f>IF(T122="YES",SUM('CASE DATA'!K123:T123),"N/A")</f>
        <v>N/A</v>
      </c>
      <c r="X122" s="35" t="str">
        <f>IF(OR('CASE DATA'!F123="123.46",'CASE DATA'!F123="123.47"),"YES","NO")</f>
        <v>NO</v>
      </c>
      <c r="Y122" s="40" t="str">
        <f>IF(X122="YES",IF(C122+730.5&lt;'BASIC INFO'!$B$3, "YES","NO"), "N/A")</f>
        <v>N/A</v>
      </c>
      <c r="Z122" s="35" t="str">
        <f>IF('CASE DATA'!F123="725.1","YES","NO")</f>
        <v>NO</v>
      </c>
      <c r="AA122" s="35" t="str">
        <f>IF(Z122="YES",IF(C122+730.5&lt;'BASIC INFO'!$B$3, "YES","NO"), "N/A")</f>
        <v>N/A</v>
      </c>
      <c r="AB122" s="35" t="str">
        <f>IF('BASIC INFO'!$B$6+6574.5&gt;C122, "YES", "NO")</f>
        <v>YES</v>
      </c>
    </row>
    <row r="123" spans="1:28" x14ac:dyDescent="0.25">
      <c r="A123" s="35" t="str">
        <f>IF('CASE DATA'!A124="","z",'CASE DATA'!A124)</f>
        <v>z</v>
      </c>
      <c r="B123" s="66" t="str">
        <f>IF('CASE DATA'!A124="","",'CASE DATA'!E124)</f>
        <v/>
      </c>
      <c r="C123" s="36">
        <f>'CASE DATA'!D124</f>
        <v>0</v>
      </c>
      <c r="D123" s="37" t="str">
        <f>IF('CASE DATA'!I124="YES",SUM('CASE DATA'!K124:Q124),"n/a")</f>
        <v>n/a</v>
      </c>
      <c r="E123" s="38" t="str">
        <f>IF('CASE DATA'!G124="JUV", "YES", "NO")</f>
        <v>NO</v>
      </c>
      <c r="F123" s="38" t="str">
        <f t="array" ref="F123">IF(E123="YES",IF(SUM(COUNTIF('CASE DATA'!$G$4:$G$200, {"GTR","GPL","DEF","JUV"}))&gt;0, "YES","NO"),"N/A")</f>
        <v>N/A</v>
      </c>
      <c r="G123" s="38" t="str">
        <f>IF(E123="YES",IF(COUNTIF('CASE DATA'!$D$4:$D$200, "")-COUNTIF('CASE DATA'!$A$4:$A$200, "")&gt;0, "YES","NO"),"N/A")</f>
        <v>N/A</v>
      </c>
      <c r="H123" s="35" t="str">
        <f>_xlfn.IFS(E123="NO", "N/A", AND('BASIC INFO'!$B$3&gt;'BASIC INFO'!$B$6+6574.5, C123+730.5&lt;'BASIC INFO'!$B$3), "YES", 'BASIC INFO'!$B$3&lt;('BASIC INFO'!$B$6+6574.5), "NOT YET 18", C123+730.5&gt;'BASIC INFO'!$B$3, "NOT YET 2 YEARS")</f>
        <v>N/A</v>
      </c>
      <c r="I123" s="39" t="str">
        <f>IF(OR(AND(LEFT('CASE DATA'!F124,4)="321.",MID('CASE DATA'!A124,8,2)="SM"),MID('CASE DATA'!A124,8,2)="ST",MID('CASE DATA'!A124,8,2)="NT"),"TRAFFIC",IF(OR('CASE DATA'!G124="DISM", 'CASE DATA'!G124="ACQ", 'CASE DATA'!G124="NOTF", 'CASE DATA'!G124="WTHD", 'CASE DATA'!G124="TNSF"), "YES", "NO"))</f>
        <v>NO</v>
      </c>
      <c r="J123" s="40" t="str">
        <f>IF(I123="YES",'CASE DATA'!U124,"N/A")</f>
        <v>N/A</v>
      </c>
      <c r="K123" s="40" t="str">
        <f>IF(I123="YES",SOL!C124+SOL!D124,"N/A")</f>
        <v>N/A</v>
      </c>
      <c r="L123" s="35" t="str">
        <f>IF(I123="YES",IF(C123+180&lt;'BASIC INFO'!$B$3, "YES", "NO"),"N/A")</f>
        <v>N/A</v>
      </c>
      <c r="M123" s="40" t="str">
        <f t="array" ref="M123">IF(I123="TRAFFIC","n/a",IF(OR('CASE DATA'!G124="GTR", 'CASE DATA'!G124="GPL"),IF(SUM(COUNTIF('CASE DATA'!X124:AI124, 'CODE SECTIONS'!$V$2:$V$218&amp;"*"))&gt;0,"NO","YES"),"n/a"))</f>
        <v>n/a</v>
      </c>
      <c r="N123" s="40" t="str">
        <f t="array" ref="N123">IF(M123="YES",IF(OR((SUM(COUNTIF('CASE DATA'!X124:AI124,'CODE SECTIONS'!$X$2:$X$19&amp;"*"))&gt;0),LEFT('CASE DATA'!X124:AI124,4)="717C", LEFT('CASE DATA'!X124:AI124, 3)="719", LEFT('CASE DATA'!X124:AI124,3)="720", LEFT('CASE DATA'!X124:AI124,3)="724", LEFT('CASE DATA'!X124:AI124,3)="726", LEFT('CASE DATA'!X124:AI124,3)="728", LEFT('CASE DATA'!X124:AI124,4)="901A"), "ineligible misd","eligible"),"n/a")</f>
        <v>n/a</v>
      </c>
      <c r="O123" s="40" t="str">
        <f>IF(N123="eligible",IF(COUNTIF('CASE DATA'!$D$4:$D$200, "")-COUNTIF('CASE DATA'!$A$4:$A$200, "")&gt;0, "YES","NO"),"N/A")</f>
        <v>N/A</v>
      </c>
      <c r="P123" s="40" t="str">
        <f>IF(N123="eligible",BANKRUPTCY!C124+BANKRUPTCY!D124,"N/A")</f>
        <v>N/A</v>
      </c>
      <c r="Q123" s="40" t="str">
        <f>IF(N123="eligible",SOL!C124+SOL!D124,"N/A")</f>
        <v>N/A</v>
      </c>
      <c r="R123" s="40" t="str">
        <f>IF(N123="eligible",SUM('CASE DATA'!K124:T124),"N/A")</f>
        <v>N/A</v>
      </c>
      <c r="S123" s="40" t="str">
        <f>IF(N123="eligible",IF(C123+2920&lt;'BASIC INFO'!$B$3, "YES", "NO"),"N/A")</f>
        <v>N/A</v>
      </c>
      <c r="T123" s="39" t="str">
        <f>IF(OR('CASE DATA'!G124="DEF"), "YES", "NO")</f>
        <v>NO</v>
      </c>
      <c r="U123" s="35" t="str">
        <f>IF(T123="YES",'CASE DATA'!I124,"N/A")</f>
        <v>N/A</v>
      </c>
      <c r="V123" s="40" t="str">
        <f>IF(T123="YES",BANKRUPTCY!C124+BANKRUPTCY!D124,"N/A")</f>
        <v>N/A</v>
      </c>
      <c r="W123" s="40" t="str">
        <f>IF(T123="YES",SUM('CASE DATA'!K124:T124),"N/A")</f>
        <v>N/A</v>
      </c>
      <c r="X123" s="35" t="str">
        <f>IF(OR('CASE DATA'!F124="123.46",'CASE DATA'!F124="123.47"),"YES","NO")</f>
        <v>NO</v>
      </c>
      <c r="Y123" s="40" t="str">
        <f>IF(X123="YES",IF(C123+730.5&lt;'BASIC INFO'!$B$3, "YES","NO"), "N/A")</f>
        <v>N/A</v>
      </c>
      <c r="Z123" s="35" t="str">
        <f>IF('CASE DATA'!F124="725.1","YES","NO")</f>
        <v>NO</v>
      </c>
      <c r="AA123" s="35" t="str">
        <f>IF(Z123="YES",IF(C123+730.5&lt;'BASIC INFO'!$B$3, "YES","NO"), "N/A")</f>
        <v>N/A</v>
      </c>
      <c r="AB123" s="35" t="str">
        <f>IF('BASIC INFO'!$B$6+6574.5&gt;C123, "YES", "NO")</f>
        <v>YES</v>
      </c>
    </row>
    <row r="124" spans="1:28" x14ac:dyDescent="0.25">
      <c r="A124" s="35" t="str">
        <f>IF('CASE DATA'!A125="","z",'CASE DATA'!A125)</f>
        <v>z</v>
      </c>
      <c r="B124" s="66" t="str">
        <f>IF('CASE DATA'!A125="","",'CASE DATA'!E125)</f>
        <v/>
      </c>
      <c r="C124" s="36">
        <f>'CASE DATA'!D125</f>
        <v>0</v>
      </c>
      <c r="D124" s="37" t="str">
        <f>IF('CASE DATA'!I125="YES",SUM('CASE DATA'!K125:Q125),"n/a")</f>
        <v>n/a</v>
      </c>
      <c r="E124" s="38" t="str">
        <f>IF('CASE DATA'!G125="JUV", "YES", "NO")</f>
        <v>NO</v>
      </c>
      <c r="F124" s="38" t="str">
        <f t="array" ref="F124">IF(E124="YES",IF(SUM(COUNTIF('CASE DATA'!$G$4:$G$200, {"GTR","GPL","DEF","JUV"}))&gt;0, "YES","NO"),"N/A")</f>
        <v>N/A</v>
      </c>
      <c r="G124" s="38" t="str">
        <f>IF(E124="YES",IF(COUNTIF('CASE DATA'!$D$4:$D$200, "")-COUNTIF('CASE DATA'!$A$4:$A$200, "")&gt;0, "YES","NO"),"N/A")</f>
        <v>N/A</v>
      </c>
      <c r="H124" s="35" t="str">
        <f>_xlfn.IFS(E124="NO", "N/A", AND('BASIC INFO'!$B$3&gt;'BASIC INFO'!$B$6+6574.5, C124+730.5&lt;'BASIC INFO'!$B$3), "YES", 'BASIC INFO'!$B$3&lt;('BASIC INFO'!$B$6+6574.5), "NOT YET 18", C124+730.5&gt;'BASIC INFO'!$B$3, "NOT YET 2 YEARS")</f>
        <v>N/A</v>
      </c>
      <c r="I124" s="39" t="str">
        <f>IF(OR(AND(LEFT('CASE DATA'!F125,4)="321.",MID('CASE DATA'!A125,8,2)="SM"),MID('CASE DATA'!A125,8,2)="ST",MID('CASE DATA'!A125,8,2)="NT"),"TRAFFIC",IF(OR('CASE DATA'!G125="DISM", 'CASE DATA'!G125="ACQ", 'CASE DATA'!G125="NOTF", 'CASE DATA'!G125="WTHD", 'CASE DATA'!G125="TNSF"), "YES", "NO"))</f>
        <v>NO</v>
      </c>
      <c r="J124" s="40" t="str">
        <f>IF(I124="YES",'CASE DATA'!U125,"N/A")</f>
        <v>N/A</v>
      </c>
      <c r="K124" s="40" t="str">
        <f>IF(I124="YES",SOL!C125+SOL!D125,"N/A")</f>
        <v>N/A</v>
      </c>
      <c r="L124" s="35" t="str">
        <f>IF(I124="YES",IF(C124+180&lt;'BASIC INFO'!$B$3, "YES", "NO"),"N/A")</f>
        <v>N/A</v>
      </c>
      <c r="M124" s="40" t="str">
        <f t="array" ref="M124">IF(I124="TRAFFIC","n/a",IF(OR('CASE DATA'!G125="GTR", 'CASE DATA'!G125="GPL"),IF(SUM(COUNTIF('CASE DATA'!X125:AI125, 'CODE SECTIONS'!$V$2:$V$218&amp;"*"))&gt;0,"NO","YES"),"n/a"))</f>
        <v>n/a</v>
      </c>
      <c r="N124" s="40" t="str">
        <f t="array" ref="N124">IF(M124="YES",IF(OR((SUM(COUNTIF('CASE DATA'!X125:AI125,'CODE SECTIONS'!$X$2:$X$19&amp;"*"))&gt;0),LEFT('CASE DATA'!X125:AI125,4)="717C", LEFT('CASE DATA'!X125:AI125, 3)="719", LEFT('CASE DATA'!X125:AI125,3)="720", LEFT('CASE DATA'!X125:AI125,3)="724", LEFT('CASE DATA'!X125:AI125,3)="726", LEFT('CASE DATA'!X125:AI125,3)="728", LEFT('CASE DATA'!X125:AI125,4)="901A"), "ineligible misd","eligible"),"n/a")</f>
        <v>n/a</v>
      </c>
      <c r="O124" s="40" t="str">
        <f>IF(N124="eligible",IF(COUNTIF('CASE DATA'!$D$4:$D$200, "")-COUNTIF('CASE DATA'!$A$4:$A$200, "")&gt;0, "YES","NO"),"N/A")</f>
        <v>N/A</v>
      </c>
      <c r="P124" s="40" t="str">
        <f>IF(N124="eligible",BANKRUPTCY!C125+BANKRUPTCY!D125,"N/A")</f>
        <v>N/A</v>
      </c>
      <c r="Q124" s="40" t="str">
        <f>IF(N124="eligible",SOL!C125+SOL!D125,"N/A")</f>
        <v>N/A</v>
      </c>
      <c r="R124" s="40" t="str">
        <f>IF(N124="eligible",SUM('CASE DATA'!K125:T125),"N/A")</f>
        <v>N/A</v>
      </c>
      <c r="S124" s="40" t="str">
        <f>IF(N124="eligible",IF(C124+2920&lt;'BASIC INFO'!$B$3, "YES", "NO"),"N/A")</f>
        <v>N/A</v>
      </c>
      <c r="T124" s="39" t="str">
        <f>IF(OR('CASE DATA'!G125="DEF"), "YES", "NO")</f>
        <v>NO</v>
      </c>
      <c r="U124" s="35" t="str">
        <f>IF(T124="YES",'CASE DATA'!I125,"N/A")</f>
        <v>N/A</v>
      </c>
      <c r="V124" s="40" t="str">
        <f>IF(T124="YES",BANKRUPTCY!C125+BANKRUPTCY!D125,"N/A")</f>
        <v>N/A</v>
      </c>
      <c r="W124" s="40" t="str">
        <f>IF(T124="YES",SUM('CASE DATA'!K125:T125),"N/A")</f>
        <v>N/A</v>
      </c>
      <c r="X124" s="35" t="str">
        <f>IF(OR('CASE DATA'!F125="123.46",'CASE DATA'!F125="123.47"),"YES","NO")</f>
        <v>NO</v>
      </c>
      <c r="Y124" s="40" t="str">
        <f>IF(X124="YES",IF(C124+730.5&lt;'BASIC INFO'!$B$3, "YES","NO"), "N/A")</f>
        <v>N/A</v>
      </c>
      <c r="Z124" s="35" t="str">
        <f>IF('CASE DATA'!F125="725.1","YES","NO")</f>
        <v>NO</v>
      </c>
      <c r="AA124" s="35" t="str">
        <f>IF(Z124="YES",IF(C124+730.5&lt;'BASIC INFO'!$B$3, "YES","NO"), "N/A")</f>
        <v>N/A</v>
      </c>
      <c r="AB124" s="35" t="str">
        <f>IF('BASIC INFO'!$B$6+6574.5&gt;C124, "YES", "NO")</f>
        <v>YES</v>
      </c>
    </row>
    <row r="125" spans="1:28" x14ac:dyDescent="0.25">
      <c r="A125" s="35" t="str">
        <f>IF('CASE DATA'!A126="","z",'CASE DATA'!A126)</f>
        <v>z</v>
      </c>
      <c r="B125" s="66" t="str">
        <f>IF('CASE DATA'!A126="","",'CASE DATA'!E126)</f>
        <v/>
      </c>
      <c r="C125" s="36">
        <f>'CASE DATA'!D126</f>
        <v>0</v>
      </c>
      <c r="D125" s="37" t="str">
        <f>IF('CASE DATA'!I126="YES",SUM('CASE DATA'!K126:Q126),"n/a")</f>
        <v>n/a</v>
      </c>
      <c r="E125" s="38" t="str">
        <f>IF('CASE DATA'!G126="JUV", "YES", "NO")</f>
        <v>NO</v>
      </c>
      <c r="F125" s="38" t="str">
        <f t="array" ref="F125">IF(E125="YES",IF(SUM(COUNTIF('CASE DATA'!$G$4:$G$200, {"GTR","GPL","DEF","JUV"}))&gt;0, "YES","NO"),"N/A")</f>
        <v>N/A</v>
      </c>
      <c r="G125" s="38" t="str">
        <f>IF(E125="YES",IF(COUNTIF('CASE DATA'!$D$4:$D$200, "")-COUNTIF('CASE DATA'!$A$4:$A$200, "")&gt;0, "YES","NO"),"N/A")</f>
        <v>N/A</v>
      </c>
      <c r="H125" s="35" t="str">
        <f>_xlfn.IFS(E125="NO", "N/A", AND('BASIC INFO'!$B$3&gt;'BASIC INFO'!$B$6+6574.5, C125+730.5&lt;'BASIC INFO'!$B$3), "YES", 'BASIC INFO'!$B$3&lt;('BASIC INFO'!$B$6+6574.5), "NOT YET 18", C125+730.5&gt;'BASIC INFO'!$B$3, "NOT YET 2 YEARS")</f>
        <v>N/A</v>
      </c>
      <c r="I125" s="39" t="str">
        <f>IF(OR(AND(LEFT('CASE DATA'!F126,4)="321.",MID('CASE DATA'!A126,8,2)="SM"),MID('CASE DATA'!A126,8,2)="ST",MID('CASE DATA'!A126,8,2)="NT"),"TRAFFIC",IF(OR('CASE DATA'!G126="DISM", 'CASE DATA'!G126="ACQ", 'CASE DATA'!G126="NOTF", 'CASE DATA'!G126="WTHD", 'CASE DATA'!G126="TNSF"), "YES", "NO"))</f>
        <v>NO</v>
      </c>
      <c r="J125" s="40" t="str">
        <f>IF(I125="YES",'CASE DATA'!U126,"N/A")</f>
        <v>N/A</v>
      </c>
      <c r="K125" s="40" t="str">
        <f>IF(I125="YES",SOL!C126+SOL!D126,"N/A")</f>
        <v>N/A</v>
      </c>
      <c r="L125" s="35" t="str">
        <f>IF(I125="YES",IF(C125+180&lt;'BASIC INFO'!$B$3, "YES", "NO"),"N/A")</f>
        <v>N/A</v>
      </c>
      <c r="M125" s="40" t="str">
        <f t="array" ref="M125">IF(I125="TRAFFIC","n/a",IF(OR('CASE DATA'!G126="GTR", 'CASE DATA'!G126="GPL"),IF(SUM(COUNTIF('CASE DATA'!X126:AI126, 'CODE SECTIONS'!$V$2:$V$218&amp;"*"))&gt;0,"NO","YES"),"n/a"))</f>
        <v>n/a</v>
      </c>
      <c r="N125" s="40" t="str">
        <f t="array" ref="N125">IF(M125="YES",IF(OR((SUM(COUNTIF('CASE DATA'!X126:AI126,'CODE SECTIONS'!$X$2:$X$19&amp;"*"))&gt;0),LEFT('CASE DATA'!X126:AI126,4)="717C", LEFT('CASE DATA'!X126:AI126, 3)="719", LEFT('CASE DATA'!X126:AI126,3)="720", LEFT('CASE DATA'!X126:AI126,3)="724", LEFT('CASE DATA'!X126:AI126,3)="726", LEFT('CASE DATA'!X126:AI126,3)="728", LEFT('CASE DATA'!X126:AI126,4)="901A"), "ineligible misd","eligible"),"n/a")</f>
        <v>n/a</v>
      </c>
      <c r="O125" s="40" t="str">
        <f>IF(N125="eligible",IF(COUNTIF('CASE DATA'!$D$4:$D$200, "")-COUNTIF('CASE DATA'!$A$4:$A$200, "")&gt;0, "YES","NO"),"N/A")</f>
        <v>N/A</v>
      </c>
      <c r="P125" s="40" t="str">
        <f>IF(N125="eligible",BANKRUPTCY!C126+BANKRUPTCY!D126,"N/A")</f>
        <v>N/A</v>
      </c>
      <c r="Q125" s="40" t="str">
        <f>IF(N125="eligible",SOL!C126+SOL!D126,"N/A")</f>
        <v>N/A</v>
      </c>
      <c r="R125" s="40" t="str">
        <f>IF(N125="eligible",SUM('CASE DATA'!K126:T126),"N/A")</f>
        <v>N/A</v>
      </c>
      <c r="S125" s="40" t="str">
        <f>IF(N125="eligible",IF(C125+2920&lt;'BASIC INFO'!$B$3, "YES", "NO"),"N/A")</f>
        <v>N/A</v>
      </c>
      <c r="T125" s="39" t="str">
        <f>IF(OR('CASE DATA'!G126="DEF"), "YES", "NO")</f>
        <v>NO</v>
      </c>
      <c r="U125" s="35" t="str">
        <f>IF(T125="YES",'CASE DATA'!I126,"N/A")</f>
        <v>N/A</v>
      </c>
      <c r="V125" s="40" t="str">
        <f>IF(T125="YES",BANKRUPTCY!C126+BANKRUPTCY!D126,"N/A")</f>
        <v>N/A</v>
      </c>
      <c r="W125" s="40" t="str">
        <f>IF(T125="YES",SUM('CASE DATA'!K126:T126),"N/A")</f>
        <v>N/A</v>
      </c>
      <c r="X125" s="35" t="str">
        <f>IF(OR('CASE DATA'!F126="123.46",'CASE DATA'!F126="123.47"),"YES","NO")</f>
        <v>NO</v>
      </c>
      <c r="Y125" s="40" t="str">
        <f>IF(X125="YES",IF(C125+730.5&lt;'BASIC INFO'!$B$3, "YES","NO"), "N/A")</f>
        <v>N/A</v>
      </c>
      <c r="Z125" s="35" t="str">
        <f>IF('CASE DATA'!F126="725.1","YES","NO")</f>
        <v>NO</v>
      </c>
      <c r="AA125" s="35" t="str">
        <f>IF(Z125="YES",IF(C125+730.5&lt;'BASIC INFO'!$B$3, "YES","NO"), "N/A")</f>
        <v>N/A</v>
      </c>
      <c r="AB125" s="35" t="str">
        <f>IF('BASIC INFO'!$B$6+6574.5&gt;C125, "YES", "NO")</f>
        <v>YES</v>
      </c>
    </row>
    <row r="126" spans="1:28" x14ac:dyDescent="0.25">
      <c r="A126" s="35" t="str">
        <f>IF('CASE DATA'!A127="","z",'CASE DATA'!A127)</f>
        <v>z</v>
      </c>
      <c r="B126" s="66" t="str">
        <f>IF('CASE DATA'!A127="","",'CASE DATA'!E127)</f>
        <v/>
      </c>
      <c r="C126" s="36">
        <f>'CASE DATA'!D127</f>
        <v>0</v>
      </c>
      <c r="D126" s="37" t="str">
        <f>IF('CASE DATA'!I127="YES",SUM('CASE DATA'!K127:Q127),"n/a")</f>
        <v>n/a</v>
      </c>
      <c r="E126" s="38" t="str">
        <f>IF('CASE DATA'!G127="JUV", "YES", "NO")</f>
        <v>NO</v>
      </c>
      <c r="F126" s="38" t="str">
        <f t="array" ref="F126">IF(E126="YES",IF(SUM(COUNTIF('CASE DATA'!$G$4:$G$200, {"GTR","GPL","DEF","JUV"}))&gt;0, "YES","NO"),"N/A")</f>
        <v>N/A</v>
      </c>
      <c r="G126" s="38" t="str">
        <f>IF(E126="YES",IF(COUNTIF('CASE DATA'!$D$4:$D$200, "")-COUNTIF('CASE DATA'!$A$4:$A$200, "")&gt;0, "YES","NO"),"N/A")</f>
        <v>N/A</v>
      </c>
      <c r="H126" s="35" t="str">
        <f>_xlfn.IFS(E126="NO", "N/A", AND('BASIC INFO'!$B$3&gt;'BASIC INFO'!$B$6+6574.5, C126+730.5&lt;'BASIC INFO'!$B$3), "YES", 'BASIC INFO'!$B$3&lt;('BASIC INFO'!$B$6+6574.5), "NOT YET 18", C126+730.5&gt;'BASIC INFO'!$B$3, "NOT YET 2 YEARS")</f>
        <v>N/A</v>
      </c>
      <c r="I126" s="39" t="str">
        <f>IF(OR(AND(LEFT('CASE DATA'!F127,4)="321.",MID('CASE DATA'!A127,8,2)="SM"),MID('CASE DATA'!A127,8,2)="ST",MID('CASE DATA'!A127,8,2)="NT"),"TRAFFIC",IF(OR('CASE DATA'!G127="DISM", 'CASE DATA'!G127="ACQ", 'CASE DATA'!G127="NOTF", 'CASE DATA'!G127="WTHD", 'CASE DATA'!G127="TNSF"), "YES", "NO"))</f>
        <v>NO</v>
      </c>
      <c r="J126" s="40" t="str">
        <f>IF(I126="YES",'CASE DATA'!U127,"N/A")</f>
        <v>N/A</v>
      </c>
      <c r="K126" s="40" t="str">
        <f>IF(I126="YES",SOL!C127+SOL!D127,"N/A")</f>
        <v>N/A</v>
      </c>
      <c r="L126" s="35" t="str">
        <f>IF(I126="YES",IF(C126+180&lt;'BASIC INFO'!$B$3, "YES", "NO"),"N/A")</f>
        <v>N/A</v>
      </c>
      <c r="M126" s="40" t="str">
        <f t="array" ref="M126">IF(I126="TRAFFIC","n/a",IF(OR('CASE DATA'!G127="GTR", 'CASE DATA'!G127="GPL"),IF(SUM(COUNTIF('CASE DATA'!X127:AI127, 'CODE SECTIONS'!$V$2:$V$218&amp;"*"))&gt;0,"NO","YES"),"n/a"))</f>
        <v>n/a</v>
      </c>
      <c r="N126" s="40" t="str">
        <f t="array" ref="N126">IF(M126="YES",IF(OR((SUM(COUNTIF('CASE DATA'!X127:AI127,'CODE SECTIONS'!$X$2:$X$19&amp;"*"))&gt;0),LEFT('CASE DATA'!X127:AI127,4)="717C", LEFT('CASE DATA'!X127:AI127, 3)="719", LEFT('CASE DATA'!X127:AI127,3)="720", LEFT('CASE DATA'!X127:AI127,3)="724", LEFT('CASE DATA'!X127:AI127,3)="726", LEFT('CASE DATA'!X127:AI127,3)="728", LEFT('CASE DATA'!X127:AI127,4)="901A"), "ineligible misd","eligible"),"n/a")</f>
        <v>n/a</v>
      </c>
      <c r="O126" s="40" t="str">
        <f>IF(N126="eligible",IF(COUNTIF('CASE DATA'!$D$4:$D$200, "")-COUNTIF('CASE DATA'!$A$4:$A$200, "")&gt;0, "YES","NO"),"N/A")</f>
        <v>N/A</v>
      </c>
      <c r="P126" s="40" t="str">
        <f>IF(N126="eligible",BANKRUPTCY!C127+BANKRUPTCY!D127,"N/A")</f>
        <v>N/A</v>
      </c>
      <c r="Q126" s="40" t="str">
        <f>IF(N126="eligible",SOL!C127+SOL!D127,"N/A")</f>
        <v>N/A</v>
      </c>
      <c r="R126" s="40" t="str">
        <f>IF(N126="eligible",SUM('CASE DATA'!K127:T127),"N/A")</f>
        <v>N/A</v>
      </c>
      <c r="S126" s="40" t="str">
        <f>IF(N126="eligible",IF(C126+2920&lt;'BASIC INFO'!$B$3, "YES", "NO"),"N/A")</f>
        <v>N/A</v>
      </c>
      <c r="T126" s="39" t="str">
        <f>IF(OR('CASE DATA'!G127="DEF"), "YES", "NO")</f>
        <v>NO</v>
      </c>
      <c r="U126" s="35" t="str">
        <f>IF(T126="YES",'CASE DATA'!I127,"N/A")</f>
        <v>N/A</v>
      </c>
      <c r="V126" s="40" t="str">
        <f>IF(T126="YES",BANKRUPTCY!C127+BANKRUPTCY!D127,"N/A")</f>
        <v>N/A</v>
      </c>
      <c r="W126" s="40" t="str">
        <f>IF(T126="YES",SUM('CASE DATA'!K127:T127),"N/A")</f>
        <v>N/A</v>
      </c>
      <c r="X126" s="35" t="str">
        <f>IF(OR('CASE DATA'!F127="123.46",'CASE DATA'!F127="123.47"),"YES","NO")</f>
        <v>NO</v>
      </c>
      <c r="Y126" s="40" t="str">
        <f>IF(X126="YES",IF(C126+730.5&lt;'BASIC INFO'!$B$3, "YES","NO"), "N/A")</f>
        <v>N/A</v>
      </c>
      <c r="Z126" s="35" t="str">
        <f>IF('CASE DATA'!F127="725.1","YES","NO")</f>
        <v>NO</v>
      </c>
      <c r="AA126" s="35" t="str">
        <f>IF(Z126="YES",IF(C126+730.5&lt;'BASIC INFO'!$B$3, "YES","NO"), "N/A")</f>
        <v>N/A</v>
      </c>
      <c r="AB126" s="35" t="str">
        <f>IF('BASIC INFO'!$B$6+6574.5&gt;C126, "YES", "NO")</f>
        <v>YES</v>
      </c>
    </row>
    <row r="127" spans="1:28" x14ac:dyDescent="0.25">
      <c r="A127" s="35" t="str">
        <f>IF('CASE DATA'!A128="","z",'CASE DATA'!A128)</f>
        <v>z</v>
      </c>
      <c r="B127" s="66" t="str">
        <f>IF('CASE DATA'!A128="","",'CASE DATA'!E128)</f>
        <v/>
      </c>
      <c r="C127" s="36">
        <f>'CASE DATA'!D128</f>
        <v>0</v>
      </c>
      <c r="D127" s="37" t="str">
        <f>IF('CASE DATA'!I128="YES",SUM('CASE DATA'!K128:Q128),"n/a")</f>
        <v>n/a</v>
      </c>
      <c r="E127" s="38" t="str">
        <f>IF('CASE DATA'!G128="JUV", "YES", "NO")</f>
        <v>NO</v>
      </c>
      <c r="F127" s="38" t="str">
        <f t="array" ref="F127">IF(E127="YES",IF(SUM(COUNTIF('CASE DATA'!$G$4:$G$200, {"GTR","GPL","DEF","JUV"}))&gt;0, "YES","NO"),"N/A")</f>
        <v>N/A</v>
      </c>
      <c r="G127" s="38" t="str">
        <f>IF(E127="YES",IF(COUNTIF('CASE DATA'!$D$4:$D$200, "")-COUNTIF('CASE DATA'!$A$4:$A$200, "")&gt;0, "YES","NO"),"N/A")</f>
        <v>N/A</v>
      </c>
      <c r="H127" s="35" t="str">
        <f>_xlfn.IFS(E127="NO", "N/A", AND('BASIC INFO'!$B$3&gt;'BASIC INFO'!$B$6+6574.5, C127+730.5&lt;'BASIC INFO'!$B$3), "YES", 'BASIC INFO'!$B$3&lt;('BASIC INFO'!$B$6+6574.5), "NOT YET 18", C127+730.5&gt;'BASIC INFO'!$B$3, "NOT YET 2 YEARS")</f>
        <v>N/A</v>
      </c>
      <c r="I127" s="39" t="str">
        <f>IF(OR(AND(LEFT('CASE DATA'!F128,4)="321.",MID('CASE DATA'!A128,8,2)="SM"),MID('CASE DATA'!A128,8,2)="ST",MID('CASE DATA'!A128,8,2)="NT"),"TRAFFIC",IF(OR('CASE DATA'!G128="DISM", 'CASE DATA'!G128="ACQ", 'CASE DATA'!G128="NOTF", 'CASE DATA'!G128="WTHD", 'CASE DATA'!G128="TNSF"), "YES", "NO"))</f>
        <v>NO</v>
      </c>
      <c r="J127" s="40" t="str">
        <f>IF(I127="YES",'CASE DATA'!U128,"N/A")</f>
        <v>N/A</v>
      </c>
      <c r="K127" s="40" t="str">
        <f>IF(I127="YES",SOL!C128+SOL!D128,"N/A")</f>
        <v>N/A</v>
      </c>
      <c r="L127" s="35" t="str">
        <f>IF(I127="YES",IF(C127+180&lt;'BASIC INFO'!$B$3, "YES", "NO"),"N/A")</f>
        <v>N/A</v>
      </c>
      <c r="M127" s="40" t="str">
        <f t="array" ref="M127">IF(I127="TRAFFIC","n/a",IF(OR('CASE DATA'!G128="GTR", 'CASE DATA'!G128="GPL"),IF(SUM(COUNTIF('CASE DATA'!X128:AI128, 'CODE SECTIONS'!$V$2:$V$218&amp;"*"))&gt;0,"NO","YES"),"n/a"))</f>
        <v>n/a</v>
      </c>
      <c r="N127" s="40" t="str">
        <f t="array" ref="N127">IF(M127="YES",IF(OR((SUM(COUNTIF('CASE DATA'!X128:AI128,'CODE SECTIONS'!$X$2:$X$19&amp;"*"))&gt;0),LEFT('CASE DATA'!X128:AI128,4)="717C", LEFT('CASE DATA'!X128:AI128, 3)="719", LEFT('CASE DATA'!X128:AI128,3)="720", LEFT('CASE DATA'!X128:AI128,3)="724", LEFT('CASE DATA'!X128:AI128,3)="726", LEFT('CASE DATA'!X128:AI128,3)="728", LEFT('CASE DATA'!X128:AI128,4)="901A"), "ineligible misd","eligible"),"n/a")</f>
        <v>n/a</v>
      </c>
      <c r="O127" s="40" t="str">
        <f>IF(N127="eligible",IF(COUNTIF('CASE DATA'!$D$4:$D$200, "")-COUNTIF('CASE DATA'!$A$4:$A$200, "")&gt;0, "YES","NO"),"N/A")</f>
        <v>N/A</v>
      </c>
      <c r="P127" s="40" t="str">
        <f>IF(N127="eligible",BANKRUPTCY!C128+BANKRUPTCY!D128,"N/A")</f>
        <v>N/A</v>
      </c>
      <c r="Q127" s="40" t="str">
        <f>IF(N127="eligible",SOL!C128+SOL!D128,"N/A")</f>
        <v>N/A</v>
      </c>
      <c r="R127" s="40" t="str">
        <f>IF(N127="eligible",SUM('CASE DATA'!K128:T128),"N/A")</f>
        <v>N/A</v>
      </c>
      <c r="S127" s="40" t="str">
        <f>IF(N127="eligible",IF(C127+2920&lt;'BASIC INFO'!$B$3, "YES", "NO"),"N/A")</f>
        <v>N/A</v>
      </c>
      <c r="T127" s="39" t="str">
        <f>IF(OR('CASE DATA'!G128="DEF"), "YES", "NO")</f>
        <v>NO</v>
      </c>
      <c r="U127" s="35" t="str">
        <f>IF(T127="YES",'CASE DATA'!I128,"N/A")</f>
        <v>N/A</v>
      </c>
      <c r="V127" s="40" t="str">
        <f>IF(T127="YES",BANKRUPTCY!C128+BANKRUPTCY!D128,"N/A")</f>
        <v>N/A</v>
      </c>
      <c r="W127" s="40" t="str">
        <f>IF(T127="YES",SUM('CASE DATA'!K128:T128),"N/A")</f>
        <v>N/A</v>
      </c>
      <c r="X127" s="35" t="str">
        <f>IF(OR('CASE DATA'!F128="123.46",'CASE DATA'!F128="123.47"),"YES","NO")</f>
        <v>NO</v>
      </c>
      <c r="Y127" s="40" t="str">
        <f>IF(X127="YES",IF(C127+730.5&lt;'BASIC INFO'!$B$3, "YES","NO"), "N/A")</f>
        <v>N/A</v>
      </c>
      <c r="Z127" s="35" t="str">
        <f>IF('CASE DATA'!F128="725.1","YES","NO")</f>
        <v>NO</v>
      </c>
      <c r="AA127" s="35" t="str">
        <f>IF(Z127="YES",IF(C127+730.5&lt;'BASIC INFO'!$B$3, "YES","NO"), "N/A")</f>
        <v>N/A</v>
      </c>
      <c r="AB127" s="35" t="str">
        <f>IF('BASIC INFO'!$B$6+6574.5&gt;C127, "YES", "NO")</f>
        <v>YES</v>
      </c>
    </row>
    <row r="128" spans="1:28" x14ac:dyDescent="0.25">
      <c r="A128" s="35" t="str">
        <f>IF('CASE DATA'!A129="","z",'CASE DATA'!A129)</f>
        <v>z</v>
      </c>
      <c r="B128" s="66" t="str">
        <f>IF('CASE DATA'!A129="","",'CASE DATA'!E129)</f>
        <v/>
      </c>
      <c r="C128" s="36">
        <f>'CASE DATA'!D129</f>
        <v>0</v>
      </c>
      <c r="D128" s="37" t="str">
        <f>IF('CASE DATA'!I129="YES",SUM('CASE DATA'!K129:Q129),"n/a")</f>
        <v>n/a</v>
      </c>
      <c r="E128" s="38" t="str">
        <f>IF('CASE DATA'!G129="JUV", "YES", "NO")</f>
        <v>NO</v>
      </c>
      <c r="F128" s="38" t="str">
        <f t="array" ref="F128">IF(E128="YES",IF(SUM(COUNTIF('CASE DATA'!$G$4:$G$200, {"GTR","GPL","DEF","JUV"}))&gt;0, "YES","NO"),"N/A")</f>
        <v>N/A</v>
      </c>
      <c r="G128" s="38" t="str">
        <f>IF(E128="YES",IF(COUNTIF('CASE DATA'!$D$4:$D$200, "")-COUNTIF('CASE DATA'!$A$4:$A$200, "")&gt;0, "YES","NO"),"N/A")</f>
        <v>N/A</v>
      </c>
      <c r="H128" s="35" t="str">
        <f>_xlfn.IFS(E128="NO", "N/A", AND('BASIC INFO'!$B$3&gt;'BASIC INFO'!$B$6+6574.5, C128+730.5&lt;'BASIC INFO'!$B$3), "YES", 'BASIC INFO'!$B$3&lt;('BASIC INFO'!$B$6+6574.5), "NOT YET 18", C128+730.5&gt;'BASIC INFO'!$B$3, "NOT YET 2 YEARS")</f>
        <v>N/A</v>
      </c>
      <c r="I128" s="39" t="str">
        <f>IF(OR(AND(LEFT('CASE DATA'!F129,4)="321.",MID('CASE DATA'!A129,8,2)="SM"),MID('CASE DATA'!A129,8,2)="ST",MID('CASE DATA'!A129,8,2)="NT"),"TRAFFIC",IF(OR('CASE DATA'!G129="DISM", 'CASE DATA'!G129="ACQ", 'CASE DATA'!G129="NOTF", 'CASE DATA'!G129="WTHD", 'CASE DATA'!G129="TNSF"), "YES", "NO"))</f>
        <v>NO</v>
      </c>
      <c r="J128" s="40" t="str">
        <f>IF(I128="YES",'CASE DATA'!U129,"N/A")</f>
        <v>N/A</v>
      </c>
      <c r="K128" s="40" t="str">
        <f>IF(I128="YES",SOL!C129+SOL!D129,"N/A")</f>
        <v>N/A</v>
      </c>
      <c r="L128" s="35" t="str">
        <f>IF(I128="YES",IF(C128+180&lt;'BASIC INFO'!$B$3, "YES", "NO"),"N/A")</f>
        <v>N/A</v>
      </c>
      <c r="M128" s="40" t="str">
        <f t="array" ref="M128">IF(I128="TRAFFIC","n/a",IF(OR('CASE DATA'!G129="GTR", 'CASE DATA'!G129="GPL"),IF(SUM(COUNTIF('CASE DATA'!X129:AI129, 'CODE SECTIONS'!$V$2:$V$218&amp;"*"))&gt;0,"NO","YES"),"n/a"))</f>
        <v>n/a</v>
      </c>
      <c r="N128" s="40" t="str">
        <f t="array" ref="N128">IF(M128="YES",IF(OR((SUM(COUNTIF('CASE DATA'!X129:AI129,'CODE SECTIONS'!$X$2:$X$19&amp;"*"))&gt;0),LEFT('CASE DATA'!X129:AI129,4)="717C", LEFT('CASE DATA'!X129:AI129, 3)="719", LEFT('CASE DATA'!X129:AI129,3)="720", LEFT('CASE DATA'!X129:AI129,3)="724", LEFT('CASE DATA'!X129:AI129,3)="726", LEFT('CASE DATA'!X129:AI129,3)="728", LEFT('CASE DATA'!X129:AI129,4)="901A"), "ineligible misd","eligible"),"n/a")</f>
        <v>n/a</v>
      </c>
      <c r="O128" s="40" t="str">
        <f>IF(N128="eligible",IF(COUNTIF('CASE DATA'!$D$4:$D$200, "")-COUNTIF('CASE DATA'!$A$4:$A$200, "")&gt;0, "YES","NO"),"N/A")</f>
        <v>N/A</v>
      </c>
      <c r="P128" s="40" t="str">
        <f>IF(N128="eligible",BANKRUPTCY!C129+BANKRUPTCY!D129,"N/A")</f>
        <v>N/A</v>
      </c>
      <c r="Q128" s="40" t="str">
        <f>IF(N128="eligible",SOL!C129+SOL!D129,"N/A")</f>
        <v>N/A</v>
      </c>
      <c r="R128" s="40" t="str">
        <f>IF(N128="eligible",SUM('CASE DATA'!K129:T129),"N/A")</f>
        <v>N/A</v>
      </c>
      <c r="S128" s="40" t="str">
        <f>IF(N128="eligible",IF(C128+2920&lt;'BASIC INFO'!$B$3, "YES", "NO"),"N/A")</f>
        <v>N/A</v>
      </c>
      <c r="T128" s="39" t="str">
        <f>IF(OR('CASE DATA'!G129="DEF"), "YES", "NO")</f>
        <v>NO</v>
      </c>
      <c r="U128" s="35" t="str">
        <f>IF(T128="YES",'CASE DATA'!I129,"N/A")</f>
        <v>N/A</v>
      </c>
      <c r="V128" s="40" t="str">
        <f>IF(T128="YES",BANKRUPTCY!C129+BANKRUPTCY!D129,"N/A")</f>
        <v>N/A</v>
      </c>
      <c r="W128" s="40" t="str">
        <f>IF(T128="YES",SUM('CASE DATA'!K129:T129),"N/A")</f>
        <v>N/A</v>
      </c>
      <c r="X128" s="35" t="str">
        <f>IF(OR('CASE DATA'!F129="123.46",'CASE DATA'!F129="123.47"),"YES","NO")</f>
        <v>NO</v>
      </c>
      <c r="Y128" s="40" t="str">
        <f>IF(X128="YES",IF(C128+730.5&lt;'BASIC INFO'!$B$3, "YES","NO"), "N/A")</f>
        <v>N/A</v>
      </c>
      <c r="Z128" s="35" t="str">
        <f>IF('CASE DATA'!F129="725.1","YES","NO")</f>
        <v>NO</v>
      </c>
      <c r="AA128" s="35" t="str">
        <f>IF(Z128="YES",IF(C128+730.5&lt;'BASIC INFO'!$B$3, "YES","NO"), "N/A")</f>
        <v>N/A</v>
      </c>
      <c r="AB128" s="35" t="str">
        <f>IF('BASIC INFO'!$B$6+6574.5&gt;C128, "YES", "NO")</f>
        <v>YES</v>
      </c>
    </row>
    <row r="129" spans="1:28" x14ac:dyDescent="0.25">
      <c r="A129" s="35" t="str">
        <f>IF('CASE DATA'!A130="","z",'CASE DATA'!A130)</f>
        <v>z</v>
      </c>
      <c r="B129" s="66" t="str">
        <f>IF('CASE DATA'!A130="","",'CASE DATA'!E130)</f>
        <v/>
      </c>
      <c r="C129" s="36">
        <f>'CASE DATA'!D130</f>
        <v>0</v>
      </c>
      <c r="D129" s="37" t="str">
        <f>IF('CASE DATA'!I130="YES",SUM('CASE DATA'!K130:Q130),"n/a")</f>
        <v>n/a</v>
      </c>
      <c r="E129" s="38" t="str">
        <f>IF('CASE DATA'!G130="JUV", "YES", "NO")</f>
        <v>NO</v>
      </c>
      <c r="F129" s="38" t="str">
        <f t="array" ref="F129">IF(E129="YES",IF(SUM(COUNTIF('CASE DATA'!$G$4:$G$200, {"GTR","GPL","DEF","JUV"}))&gt;0, "YES","NO"),"N/A")</f>
        <v>N/A</v>
      </c>
      <c r="G129" s="38" t="str">
        <f>IF(E129="YES",IF(COUNTIF('CASE DATA'!$D$4:$D$200, "")-COUNTIF('CASE DATA'!$A$4:$A$200, "")&gt;0, "YES","NO"),"N/A")</f>
        <v>N/A</v>
      </c>
      <c r="H129" s="35" t="str">
        <f>_xlfn.IFS(E129="NO", "N/A", AND('BASIC INFO'!$B$3&gt;'BASIC INFO'!$B$6+6574.5, C129+730.5&lt;'BASIC INFO'!$B$3), "YES", 'BASIC INFO'!$B$3&lt;('BASIC INFO'!$B$6+6574.5), "NOT YET 18", C129+730.5&gt;'BASIC INFO'!$B$3, "NOT YET 2 YEARS")</f>
        <v>N/A</v>
      </c>
      <c r="I129" s="39" t="str">
        <f>IF(OR(AND(LEFT('CASE DATA'!F130,4)="321.",MID('CASE DATA'!A130,8,2)="SM"),MID('CASE DATA'!A130,8,2)="ST",MID('CASE DATA'!A130,8,2)="NT"),"TRAFFIC",IF(OR('CASE DATA'!G130="DISM", 'CASE DATA'!G130="ACQ", 'CASE DATA'!G130="NOTF", 'CASE DATA'!G130="WTHD", 'CASE DATA'!G130="TNSF"), "YES", "NO"))</f>
        <v>NO</v>
      </c>
      <c r="J129" s="40" t="str">
        <f>IF(I129="YES",'CASE DATA'!U130,"N/A")</f>
        <v>N/A</v>
      </c>
      <c r="K129" s="40" t="str">
        <f>IF(I129="YES",SOL!C130+SOL!D130,"N/A")</f>
        <v>N/A</v>
      </c>
      <c r="L129" s="35" t="str">
        <f>IF(I129="YES",IF(C129+180&lt;'BASIC INFO'!$B$3, "YES", "NO"),"N/A")</f>
        <v>N/A</v>
      </c>
      <c r="M129" s="40" t="str">
        <f t="array" ref="M129">IF(I129="TRAFFIC","n/a",IF(OR('CASE DATA'!G130="GTR", 'CASE DATA'!G130="GPL"),IF(SUM(COUNTIF('CASE DATA'!X130:AI130, 'CODE SECTIONS'!$V$2:$V$218&amp;"*"))&gt;0,"NO","YES"),"n/a"))</f>
        <v>n/a</v>
      </c>
      <c r="N129" s="40" t="str">
        <f t="array" ref="N129">IF(M129="YES",IF(OR((SUM(COUNTIF('CASE DATA'!X130:AI130,'CODE SECTIONS'!$X$2:$X$19&amp;"*"))&gt;0),LEFT('CASE DATA'!X130:AI130,4)="717C", LEFT('CASE DATA'!X130:AI130, 3)="719", LEFT('CASE DATA'!X130:AI130,3)="720", LEFT('CASE DATA'!X130:AI130,3)="724", LEFT('CASE DATA'!X130:AI130,3)="726", LEFT('CASE DATA'!X130:AI130,3)="728", LEFT('CASE DATA'!X130:AI130,4)="901A"), "ineligible misd","eligible"),"n/a")</f>
        <v>n/a</v>
      </c>
      <c r="O129" s="40" t="str">
        <f>IF(N129="eligible",IF(COUNTIF('CASE DATA'!$D$4:$D$200, "")-COUNTIF('CASE DATA'!$A$4:$A$200, "")&gt;0, "YES","NO"),"N/A")</f>
        <v>N/A</v>
      </c>
      <c r="P129" s="40" t="str">
        <f>IF(N129="eligible",BANKRUPTCY!C130+BANKRUPTCY!D130,"N/A")</f>
        <v>N/A</v>
      </c>
      <c r="Q129" s="40" t="str">
        <f>IF(N129="eligible",SOL!C130+SOL!D130,"N/A")</f>
        <v>N/A</v>
      </c>
      <c r="R129" s="40" t="str">
        <f>IF(N129="eligible",SUM('CASE DATA'!K130:T130),"N/A")</f>
        <v>N/A</v>
      </c>
      <c r="S129" s="40" t="str">
        <f>IF(N129="eligible",IF(C129+2920&lt;'BASIC INFO'!$B$3, "YES", "NO"),"N/A")</f>
        <v>N/A</v>
      </c>
      <c r="T129" s="39" t="str">
        <f>IF(OR('CASE DATA'!G130="DEF"), "YES", "NO")</f>
        <v>NO</v>
      </c>
      <c r="U129" s="35" t="str">
        <f>IF(T129="YES",'CASE DATA'!I130,"N/A")</f>
        <v>N/A</v>
      </c>
      <c r="V129" s="40" t="str">
        <f>IF(T129="YES",BANKRUPTCY!C130+BANKRUPTCY!D130,"N/A")</f>
        <v>N/A</v>
      </c>
      <c r="W129" s="40" t="str">
        <f>IF(T129="YES",SUM('CASE DATA'!K130:T130),"N/A")</f>
        <v>N/A</v>
      </c>
      <c r="X129" s="35" t="str">
        <f>IF(OR('CASE DATA'!F130="123.46",'CASE DATA'!F130="123.47"),"YES","NO")</f>
        <v>NO</v>
      </c>
      <c r="Y129" s="40" t="str">
        <f>IF(X129="YES",IF(C129+730.5&lt;'BASIC INFO'!$B$3, "YES","NO"), "N/A")</f>
        <v>N/A</v>
      </c>
      <c r="Z129" s="35" t="str">
        <f>IF('CASE DATA'!F130="725.1","YES","NO")</f>
        <v>NO</v>
      </c>
      <c r="AA129" s="35" t="str">
        <f>IF(Z129="YES",IF(C129+730.5&lt;'BASIC INFO'!$B$3, "YES","NO"), "N/A")</f>
        <v>N/A</v>
      </c>
      <c r="AB129" s="35" t="str">
        <f>IF('BASIC INFO'!$B$6+6574.5&gt;C129, "YES", "NO")</f>
        <v>YES</v>
      </c>
    </row>
    <row r="130" spans="1:28" x14ac:dyDescent="0.25">
      <c r="A130" s="35" t="str">
        <f>IF('CASE DATA'!A131="","z",'CASE DATA'!A131)</f>
        <v>z</v>
      </c>
      <c r="B130" s="66" t="str">
        <f>IF('CASE DATA'!A131="","",'CASE DATA'!E131)</f>
        <v/>
      </c>
      <c r="C130" s="36">
        <f>'CASE DATA'!D131</f>
        <v>0</v>
      </c>
      <c r="D130" s="37" t="str">
        <f>IF('CASE DATA'!I131="YES",SUM('CASE DATA'!K131:Q131),"n/a")</f>
        <v>n/a</v>
      </c>
      <c r="E130" s="38" t="str">
        <f>IF('CASE DATA'!G131="JUV", "YES", "NO")</f>
        <v>NO</v>
      </c>
      <c r="F130" s="38" t="str">
        <f t="array" ref="F130">IF(E130="YES",IF(SUM(COUNTIF('CASE DATA'!$G$4:$G$200, {"GTR","GPL","DEF","JUV"}))&gt;0, "YES","NO"),"N/A")</f>
        <v>N/A</v>
      </c>
      <c r="G130" s="38" t="str">
        <f>IF(E130="YES",IF(COUNTIF('CASE DATA'!$D$4:$D$200, "")-COUNTIF('CASE DATA'!$A$4:$A$200, "")&gt;0, "YES","NO"),"N/A")</f>
        <v>N/A</v>
      </c>
      <c r="H130" s="35" t="str">
        <f>_xlfn.IFS(E130="NO", "N/A", AND('BASIC INFO'!$B$3&gt;'BASIC INFO'!$B$6+6574.5, C130+730.5&lt;'BASIC INFO'!$B$3), "YES", 'BASIC INFO'!$B$3&lt;('BASIC INFO'!$B$6+6574.5), "NOT YET 18", C130+730.5&gt;'BASIC INFO'!$B$3, "NOT YET 2 YEARS")</f>
        <v>N/A</v>
      </c>
      <c r="I130" s="39" t="str">
        <f>IF(OR(AND(LEFT('CASE DATA'!F131,4)="321.",MID('CASE DATA'!A131,8,2)="SM"),MID('CASE DATA'!A131,8,2)="ST",MID('CASE DATA'!A131,8,2)="NT"),"TRAFFIC",IF(OR('CASE DATA'!G131="DISM", 'CASE DATA'!G131="ACQ", 'CASE DATA'!G131="NOTF", 'CASE DATA'!G131="WTHD", 'CASE DATA'!G131="TNSF"), "YES", "NO"))</f>
        <v>NO</v>
      </c>
      <c r="J130" s="40" t="str">
        <f>IF(I130="YES",'CASE DATA'!U131,"N/A")</f>
        <v>N/A</v>
      </c>
      <c r="K130" s="40" t="str">
        <f>IF(I130="YES",SOL!C131+SOL!D131,"N/A")</f>
        <v>N/A</v>
      </c>
      <c r="L130" s="35" t="str">
        <f>IF(I130="YES",IF(C130+180&lt;'BASIC INFO'!$B$3, "YES", "NO"),"N/A")</f>
        <v>N/A</v>
      </c>
      <c r="M130" s="40" t="str">
        <f t="array" ref="M130">IF(I130="TRAFFIC","n/a",IF(OR('CASE DATA'!G131="GTR", 'CASE DATA'!G131="GPL"),IF(SUM(COUNTIF('CASE DATA'!X131:AI131, 'CODE SECTIONS'!$V$2:$V$218&amp;"*"))&gt;0,"NO","YES"),"n/a"))</f>
        <v>n/a</v>
      </c>
      <c r="N130" s="40" t="str">
        <f t="array" ref="N130">IF(M130="YES",IF(OR((SUM(COUNTIF('CASE DATA'!X131:AI131,'CODE SECTIONS'!$X$2:$X$19&amp;"*"))&gt;0),LEFT('CASE DATA'!X131:AI131,4)="717C", LEFT('CASE DATA'!X131:AI131, 3)="719", LEFT('CASE DATA'!X131:AI131,3)="720", LEFT('CASE DATA'!X131:AI131,3)="724", LEFT('CASE DATA'!X131:AI131,3)="726", LEFT('CASE DATA'!X131:AI131,3)="728", LEFT('CASE DATA'!X131:AI131,4)="901A"), "ineligible misd","eligible"),"n/a")</f>
        <v>n/a</v>
      </c>
      <c r="O130" s="40" t="str">
        <f>IF(N130="eligible",IF(COUNTIF('CASE DATA'!$D$4:$D$200, "")-COUNTIF('CASE DATA'!$A$4:$A$200, "")&gt;0, "YES","NO"),"N/A")</f>
        <v>N/A</v>
      </c>
      <c r="P130" s="40" t="str">
        <f>IF(N130="eligible",BANKRUPTCY!C131+BANKRUPTCY!D131,"N/A")</f>
        <v>N/A</v>
      </c>
      <c r="Q130" s="40" t="str">
        <f>IF(N130="eligible",SOL!C131+SOL!D131,"N/A")</f>
        <v>N/A</v>
      </c>
      <c r="R130" s="40" t="str">
        <f>IF(N130="eligible",SUM('CASE DATA'!K131:T131),"N/A")</f>
        <v>N/A</v>
      </c>
      <c r="S130" s="40" t="str">
        <f>IF(N130="eligible",IF(C130+2920&lt;'BASIC INFO'!$B$3, "YES", "NO"),"N/A")</f>
        <v>N/A</v>
      </c>
      <c r="T130" s="39" t="str">
        <f>IF(OR('CASE DATA'!G131="DEF"), "YES", "NO")</f>
        <v>NO</v>
      </c>
      <c r="U130" s="35" t="str">
        <f>IF(T130="YES",'CASE DATA'!I131,"N/A")</f>
        <v>N/A</v>
      </c>
      <c r="V130" s="40" t="str">
        <f>IF(T130="YES",BANKRUPTCY!C131+BANKRUPTCY!D131,"N/A")</f>
        <v>N/A</v>
      </c>
      <c r="W130" s="40" t="str">
        <f>IF(T130="YES",SUM('CASE DATA'!K131:T131),"N/A")</f>
        <v>N/A</v>
      </c>
      <c r="X130" s="35" t="str">
        <f>IF(OR('CASE DATA'!F131="123.46",'CASE DATA'!F131="123.47"),"YES","NO")</f>
        <v>NO</v>
      </c>
      <c r="Y130" s="40" t="str">
        <f>IF(X130="YES",IF(C130+730.5&lt;'BASIC INFO'!$B$3, "YES","NO"), "N/A")</f>
        <v>N/A</v>
      </c>
      <c r="Z130" s="35" t="str">
        <f>IF('CASE DATA'!F131="725.1","YES","NO")</f>
        <v>NO</v>
      </c>
      <c r="AA130" s="35" t="str">
        <f>IF(Z130="YES",IF(C130+730.5&lt;'BASIC INFO'!$B$3, "YES","NO"), "N/A")</f>
        <v>N/A</v>
      </c>
      <c r="AB130" s="35" t="str">
        <f>IF('BASIC INFO'!$B$6+6574.5&gt;C130, "YES", "NO")</f>
        <v>YES</v>
      </c>
    </row>
    <row r="131" spans="1:28" x14ac:dyDescent="0.25">
      <c r="A131" s="35" t="str">
        <f>IF('CASE DATA'!A132="","z",'CASE DATA'!A132)</f>
        <v>z</v>
      </c>
      <c r="B131" s="66" t="str">
        <f>IF('CASE DATA'!A132="","",'CASE DATA'!E132)</f>
        <v/>
      </c>
      <c r="C131" s="36">
        <f>'CASE DATA'!D132</f>
        <v>0</v>
      </c>
      <c r="D131" s="37" t="str">
        <f>IF('CASE DATA'!I132="YES",SUM('CASE DATA'!K132:Q132),"n/a")</f>
        <v>n/a</v>
      </c>
      <c r="E131" s="38" t="str">
        <f>IF('CASE DATA'!G132="JUV", "YES", "NO")</f>
        <v>NO</v>
      </c>
      <c r="F131" s="38" t="str">
        <f t="array" ref="F131">IF(E131="YES",IF(SUM(COUNTIF('CASE DATA'!$G$4:$G$200, {"GTR","GPL","DEF","JUV"}))&gt;0, "YES","NO"),"N/A")</f>
        <v>N/A</v>
      </c>
      <c r="G131" s="38" t="str">
        <f>IF(E131="YES",IF(COUNTIF('CASE DATA'!$D$4:$D$200, "")-COUNTIF('CASE DATA'!$A$4:$A$200, "")&gt;0, "YES","NO"),"N/A")</f>
        <v>N/A</v>
      </c>
      <c r="H131" s="35" t="str">
        <f>_xlfn.IFS(E131="NO", "N/A", AND('BASIC INFO'!$B$3&gt;'BASIC INFO'!$B$6+6574.5, C131+730.5&lt;'BASIC INFO'!$B$3), "YES", 'BASIC INFO'!$B$3&lt;('BASIC INFO'!$B$6+6574.5), "NOT YET 18", C131+730.5&gt;'BASIC INFO'!$B$3, "NOT YET 2 YEARS")</f>
        <v>N/A</v>
      </c>
      <c r="I131" s="39" t="str">
        <f>IF(OR(AND(LEFT('CASE DATA'!F132,4)="321.",MID('CASE DATA'!A132,8,2)="SM"),MID('CASE DATA'!A132,8,2)="ST",MID('CASE DATA'!A132,8,2)="NT"),"TRAFFIC",IF(OR('CASE DATA'!G132="DISM", 'CASE DATA'!G132="ACQ", 'CASE DATA'!G132="NOTF", 'CASE DATA'!G132="WTHD", 'CASE DATA'!G132="TNSF"), "YES", "NO"))</f>
        <v>NO</v>
      </c>
      <c r="J131" s="40" t="str">
        <f>IF(I131="YES",'CASE DATA'!U132,"N/A")</f>
        <v>N/A</v>
      </c>
      <c r="K131" s="40" t="str">
        <f>IF(I131="YES",SOL!C132+SOL!D132,"N/A")</f>
        <v>N/A</v>
      </c>
      <c r="L131" s="35" t="str">
        <f>IF(I131="YES",IF(C131+180&lt;'BASIC INFO'!$B$3, "YES", "NO"),"N/A")</f>
        <v>N/A</v>
      </c>
      <c r="M131" s="40" t="str">
        <f t="array" ref="M131">IF(I131="TRAFFIC","n/a",IF(OR('CASE DATA'!G132="GTR", 'CASE DATA'!G132="GPL"),IF(SUM(COUNTIF('CASE DATA'!X132:AI132, 'CODE SECTIONS'!$V$2:$V$218&amp;"*"))&gt;0,"NO","YES"),"n/a"))</f>
        <v>n/a</v>
      </c>
      <c r="N131" s="40" t="str">
        <f t="array" ref="N131">IF(M131="YES",IF(OR((SUM(COUNTIF('CASE DATA'!X132:AI132,'CODE SECTIONS'!$X$2:$X$19&amp;"*"))&gt;0),LEFT('CASE DATA'!X132:AI132,4)="717C", LEFT('CASE DATA'!X132:AI132, 3)="719", LEFT('CASE DATA'!X132:AI132,3)="720", LEFT('CASE DATA'!X132:AI132,3)="724", LEFT('CASE DATA'!X132:AI132,3)="726", LEFT('CASE DATA'!X132:AI132,3)="728", LEFT('CASE DATA'!X132:AI132,4)="901A"), "ineligible misd","eligible"),"n/a")</f>
        <v>n/a</v>
      </c>
      <c r="O131" s="40" t="str">
        <f>IF(N131="eligible",IF(COUNTIF('CASE DATA'!$D$4:$D$200, "")-COUNTIF('CASE DATA'!$A$4:$A$200, "")&gt;0, "YES","NO"),"N/A")</f>
        <v>N/A</v>
      </c>
      <c r="P131" s="40" t="str">
        <f>IF(N131="eligible",BANKRUPTCY!C132+BANKRUPTCY!D132,"N/A")</f>
        <v>N/A</v>
      </c>
      <c r="Q131" s="40" t="str">
        <f>IF(N131="eligible",SOL!C132+SOL!D132,"N/A")</f>
        <v>N/A</v>
      </c>
      <c r="R131" s="40" t="str">
        <f>IF(N131="eligible",SUM('CASE DATA'!K132:T132),"N/A")</f>
        <v>N/A</v>
      </c>
      <c r="S131" s="40" t="str">
        <f>IF(N131="eligible",IF(C131+2920&lt;'BASIC INFO'!$B$3, "YES", "NO"),"N/A")</f>
        <v>N/A</v>
      </c>
      <c r="T131" s="39" t="str">
        <f>IF(OR('CASE DATA'!G132="DEF"), "YES", "NO")</f>
        <v>NO</v>
      </c>
      <c r="U131" s="35" t="str">
        <f>IF(T131="YES",'CASE DATA'!I132,"N/A")</f>
        <v>N/A</v>
      </c>
      <c r="V131" s="40" t="str">
        <f>IF(T131="YES",BANKRUPTCY!C132+BANKRUPTCY!D132,"N/A")</f>
        <v>N/A</v>
      </c>
      <c r="W131" s="40" t="str">
        <f>IF(T131="YES",SUM('CASE DATA'!K132:T132),"N/A")</f>
        <v>N/A</v>
      </c>
      <c r="X131" s="35" t="str">
        <f>IF(OR('CASE DATA'!F132="123.46",'CASE DATA'!F132="123.47"),"YES","NO")</f>
        <v>NO</v>
      </c>
      <c r="Y131" s="40" t="str">
        <f>IF(X131="YES",IF(C131+730.5&lt;'BASIC INFO'!$B$3, "YES","NO"), "N/A")</f>
        <v>N/A</v>
      </c>
      <c r="Z131" s="35" t="str">
        <f>IF('CASE DATA'!F132="725.1","YES","NO")</f>
        <v>NO</v>
      </c>
      <c r="AA131" s="35" t="str">
        <f>IF(Z131="YES",IF(C131+730.5&lt;'BASIC INFO'!$B$3, "YES","NO"), "N/A")</f>
        <v>N/A</v>
      </c>
      <c r="AB131" s="35" t="str">
        <f>IF('BASIC INFO'!$B$6+6574.5&gt;C131, "YES", "NO")</f>
        <v>YES</v>
      </c>
    </row>
    <row r="132" spans="1:28" x14ac:dyDescent="0.25">
      <c r="A132" s="35" t="str">
        <f>IF('CASE DATA'!A133="","z",'CASE DATA'!A133)</f>
        <v>z</v>
      </c>
      <c r="B132" s="66" t="str">
        <f>IF('CASE DATA'!A133="","",'CASE DATA'!E133)</f>
        <v/>
      </c>
      <c r="C132" s="36">
        <f>'CASE DATA'!D133</f>
        <v>0</v>
      </c>
      <c r="D132" s="37" t="str">
        <f>IF('CASE DATA'!I133="YES",SUM('CASE DATA'!K133:Q133),"n/a")</f>
        <v>n/a</v>
      </c>
      <c r="E132" s="38" t="str">
        <f>IF('CASE DATA'!G133="JUV", "YES", "NO")</f>
        <v>NO</v>
      </c>
      <c r="F132" s="38" t="str">
        <f t="array" ref="F132">IF(E132="YES",IF(SUM(COUNTIF('CASE DATA'!$G$4:$G$200, {"GTR","GPL","DEF","JUV"}))&gt;0, "YES","NO"),"N/A")</f>
        <v>N/A</v>
      </c>
      <c r="G132" s="38" t="str">
        <f>IF(E132="YES",IF(COUNTIF('CASE DATA'!$D$4:$D$200, "")-COUNTIF('CASE DATA'!$A$4:$A$200, "")&gt;0, "YES","NO"),"N/A")</f>
        <v>N/A</v>
      </c>
      <c r="H132" s="35" t="str">
        <f>_xlfn.IFS(E132="NO", "N/A", AND('BASIC INFO'!$B$3&gt;'BASIC INFO'!$B$6+6574.5, C132+730.5&lt;'BASIC INFO'!$B$3), "YES", 'BASIC INFO'!$B$3&lt;('BASIC INFO'!$B$6+6574.5), "NOT YET 18", C132+730.5&gt;'BASIC INFO'!$B$3, "NOT YET 2 YEARS")</f>
        <v>N/A</v>
      </c>
      <c r="I132" s="39" t="str">
        <f>IF(OR(AND(LEFT('CASE DATA'!F133,4)="321.",MID('CASE DATA'!A133,8,2)="SM"),MID('CASE DATA'!A133,8,2)="ST",MID('CASE DATA'!A133,8,2)="NT"),"TRAFFIC",IF(OR('CASE DATA'!G133="DISM", 'CASE DATA'!G133="ACQ", 'CASE DATA'!G133="NOTF", 'CASE DATA'!G133="WTHD", 'CASE DATA'!G133="TNSF"), "YES", "NO"))</f>
        <v>NO</v>
      </c>
      <c r="J132" s="40" t="str">
        <f>IF(I132="YES",'CASE DATA'!U133,"N/A")</f>
        <v>N/A</v>
      </c>
      <c r="K132" s="40" t="str">
        <f>IF(I132="YES",SOL!C133+SOL!D133,"N/A")</f>
        <v>N/A</v>
      </c>
      <c r="L132" s="35" t="str">
        <f>IF(I132="YES",IF(C132+180&lt;'BASIC INFO'!$B$3, "YES", "NO"),"N/A")</f>
        <v>N/A</v>
      </c>
      <c r="M132" s="40" t="str">
        <f t="array" ref="M132">IF(I132="TRAFFIC","n/a",IF(OR('CASE DATA'!G133="GTR", 'CASE DATA'!G133="GPL"),IF(SUM(COUNTIF('CASE DATA'!X133:AI133, 'CODE SECTIONS'!$V$2:$V$218&amp;"*"))&gt;0,"NO","YES"),"n/a"))</f>
        <v>n/a</v>
      </c>
      <c r="N132" s="40" t="str">
        <f t="array" ref="N132">IF(M132="YES",IF(OR((SUM(COUNTIF('CASE DATA'!X133:AI133,'CODE SECTIONS'!$X$2:$X$19&amp;"*"))&gt;0),LEFT('CASE DATA'!X133:AI133,4)="717C", LEFT('CASE DATA'!X133:AI133, 3)="719", LEFT('CASE DATA'!X133:AI133,3)="720", LEFT('CASE DATA'!X133:AI133,3)="724", LEFT('CASE DATA'!X133:AI133,3)="726", LEFT('CASE DATA'!X133:AI133,3)="728", LEFT('CASE DATA'!X133:AI133,4)="901A"), "ineligible misd","eligible"),"n/a")</f>
        <v>n/a</v>
      </c>
      <c r="O132" s="40" t="str">
        <f>IF(N132="eligible",IF(COUNTIF('CASE DATA'!$D$4:$D$200, "")-COUNTIF('CASE DATA'!$A$4:$A$200, "")&gt;0, "YES","NO"),"N/A")</f>
        <v>N/A</v>
      </c>
      <c r="P132" s="40" t="str">
        <f>IF(N132="eligible",BANKRUPTCY!C133+BANKRUPTCY!D133,"N/A")</f>
        <v>N/A</v>
      </c>
      <c r="Q132" s="40" t="str">
        <f>IF(N132="eligible",SOL!C133+SOL!D133,"N/A")</f>
        <v>N/A</v>
      </c>
      <c r="R132" s="40" t="str">
        <f>IF(N132="eligible",SUM('CASE DATA'!K133:T133),"N/A")</f>
        <v>N/A</v>
      </c>
      <c r="S132" s="40" t="str">
        <f>IF(N132="eligible",IF(C132+2920&lt;'BASIC INFO'!$B$3, "YES", "NO"),"N/A")</f>
        <v>N/A</v>
      </c>
      <c r="T132" s="39" t="str">
        <f>IF(OR('CASE DATA'!G133="DEF"), "YES", "NO")</f>
        <v>NO</v>
      </c>
      <c r="U132" s="35" t="str">
        <f>IF(T132="YES",'CASE DATA'!I133,"N/A")</f>
        <v>N/A</v>
      </c>
      <c r="V132" s="40" t="str">
        <f>IF(T132="YES",BANKRUPTCY!C133+BANKRUPTCY!D133,"N/A")</f>
        <v>N/A</v>
      </c>
      <c r="W132" s="40" t="str">
        <f>IF(T132="YES",SUM('CASE DATA'!K133:T133),"N/A")</f>
        <v>N/A</v>
      </c>
      <c r="X132" s="35" t="str">
        <f>IF(OR('CASE DATA'!F133="123.46",'CASE DATA'!F133="123.47"),"YES","NO")</f>
        <v>NO</v>
      </c>
      <c r="Y132" s="40" t="str">
        <f>IF(X132="YES",IF(C132+730.5&lt;'BASIC INFO'!$B$3, "YES","NO"), "N/A")</f>
        <v>N/A</v>
      </c>
      <c r="Z132" s="35" t="str">
        <f>IF('CASE DATA'!F133="725.1","YES","NO")</f>
        <v>NO</v>
      </c>
      <c r="AA132" s="35" t="str">
        <f>IF(Z132="YES",IF(C132+730.5&lt;'BASIC INFO'!$B$3, "YES","NO"), "N/A")</f>
        <v>N/A</v>
      </c>
      <c r="AB132" s="35" t="str">
        <f>IF('BASIC INFO'!$B$6+6574.5&gt;C132, "YES", "NO")</f>
        <v>YES</v>
      </c>
    </row>
    <row r="133" spans="1:28" x14ac:dyDescent="0.25">
      <c r="A133" s="35" t="str">
        <f>IF('CASE DATA'!A134="","z",'CASE DATA'!A134)</f>
        <v>z</v>
      </c>
      <c r="B133" s="66" t="str">
        <f>IF('CASE DATA'!A134="","",'CASE DATA'!E134)</f>
        <v/>
      </c>
      <c r="C133" s="36">
        <f>'CASE DATA'!D134</f>
        <v>0</v>
      </c>
      <c r="D133" s="37" t="str">
        <f>IF('CASE DATA'!I134="YES",SUM('CASE DATA'!K134:Q134),"n/a")</f>
        <v>n/a</v>
      </c>
      <c r="E133" s="38" t="str">
        <f>IF('CASE DATA'!G134="JUV", "YES", "NO")</f>
        <v>NO</v>
      </c>
      <c r="F133" s="38" t="str">
        <f t="array" ref="F133">IF(E133="YES",IF(SUM(COUNTIF('CASE DATA'!$G$4:$G$200, {"GTR","GPL","DEF","JUV"}))&gt;0, "YES","NO"),"N/A")</f>
        <v>N/A</v>
      </c>
      <c r="G133" s="38" t="str">
        <f>IF(E133="YES",IF(COUNTIF('CASE DATA'!$D$4:$D$200, "")-COUNTIF('CASE DATA'!$A$4:$A$200, "")&gt;0, "YES","NO"),"N/A")</f>
        <v>N/A</v>
      </c>
      <c r="H133" s="35" t="str">
        <f>_xlfn.IFS(E133="NO", "N/A", AND('BASIC INFO'!$B$3&gt;'BASIC INFO'!$B$6+6574.5, C133+730.5&lt;'BASIC INFO'!$B$3), "YES", 'BASIC INFO'!$B$3&lt;('BASIC INFO'!$B$6+6574.5), "NOT YET 18", C133+730.5&gt;'BASIC INFO'!$B$3, "NOT YET 2 YEARS")</f>
        <v>N/A</v>
      </c>
      <c r="I133" s="39" t="str">
        <f>IF(OR(AND(LEFT('CASE DATA'!F134,4)="321.",MID('CASE DATA'!A134,8,2)="SM"),MID('CASE DATA'!A134,8,2)="ST",MID('CASE DATA'!A134,8,2)="NT"),"TRAFFIC",IF(OR('CASE DATA'!G134="DISM", 'CASE DATA'!G134="ACQ", 'CASE DATA'!G134="NOTF", 'CASE DATA'!G134="WTHD", 'CASE DATA'!G134="TNSF"), "YES", "NO"))</f>
        <v>NO</v>
      </c>
      <c r="J133" s="40" t="str">
        <f>IF(I133="YES",'CASE DATA'!U134,"N/A")</f>
        <v>N/A</v>
      </c>
      <c r="K133" s="40" t="str">
        <f>IF(I133="YES",SOL!C134+SOL!D134,"N/A")</f>
        <v>N/A</v>
      </c>
      <c r="L133" s="35" t="str">
        <f>IF(I133="YES",IF(C133+180&lt;'BASIC INFO'!$B$3, "YES", "NO"),"N/A")</f>
        <v>N/A</v>
      </c>
      <c r="M133" s="40" t="str">
        <f t="array" ref="M133">IF(I133="TRAFFIC","n/a",IF(OR('CASE DATA'!G134="GTR", 'CASE DATA'!G134="GPL"),IF(SUM(COUNTIF('CASE DATA'!X134:AI134, 'CODE SECTIONS'!$V$2:$V$218&amp;"*"))&gt;0,"NO","YES"),"n/a"))</f>
        <v>n/a</v>
      </c>
      <c r="N133" s="40" t="str">
        <f t="array" ref="N133">IF(M133="YES",IF(OR((SUM(COUNTIF('CASE DATA'!X134:AI134,'CODE SECTIONS'!$X$2:$X$19&amp;"*"))&gt;0),LEFT('CASE DATA'!X134:AI134,4)="717C", LEFT('CASE DATA'!X134:AI134, 3)="719", LEFT('CASE DATA'!X134:AI134,3)="720", LEFT('CASE DATA'!X134:AI134,3)="724", LEFT('CASE DATA'!X134:AI134,3)="726", LEFT('CASE DATA'!X134:AI134,3)="728", LEFT('CASE DATA'!X134:AI134,4)="901A"), "ineligible misd","eligible"),"n/a")</f>
        <v>n/a</v>
      </c>
      <c r="O133" s="40" t="str">
        <f>IF(N133="eligible",IF(COUNTIF('CASE DATA'!$D$4:$D$200, "")-COUNTIF('CASE DATA'!$A$4:$A$200, "")&gt;0, "YES","NO"),"N/A")</f>
        <v>N/A</v>
      </c>
      <c r="P133" s="40" t="str">
        <f>IF(N133="eligible",BANKRUPTCY!C134+BANKRUPTCY!D134,"N/A")</f>
        <v>N/A</v>
      </c>
      <c r="Q133" s="40" t="str">
        <f>IF(N133="eligible",SOL!C134+SOL!D134,"N/A")</f>
        <v>N/A</v>
      </c>
      <c r="R133" s="40" t="str">
        <f>IF(N133="eligible",SUM('CASE DATA'!K134:T134),"N/A")</f>
        <v>N/A</v>
      </c>
      <c r="S133" s="40" t="str">
        <f>IF(N133="eligible",IF(C133+2920&lt;'BASIC INFO'!$B$3, "YES", "NO"),"N/A")</f>
        <v>N/A</v>
      </c>
      <c r="T133" s="39" t="str">
        <f>IF(OR('CASE DATA'!G134="DEF"), "YES", "NO")</f>
        <v>NO</v>
      </c>
      <c r="U133" s="35" t="str">
        <f>IF(T133="YES",'CASE DATA'!I134,"N/A")</f>
        <v>N/A</v>
      </c>
      <c r="V133" s="40" t="str">
        <f>IF(T133="YES",BANKRUPTCY!C134+BANKRUPTCY!D134,"N/A")</f>
        <v>N/A</v>
      </c>
      <c r="W133" s="40" t="str">
        <f>IF(T133="YES",SUM('CASE DATA'!K134:T134),"N/A")</f>
        <v>N/A</v>
      </c>
      <c r="X133" s="35" t="str">
        <f>IF(OR('CASE DATA'!F134="123.46",'CASE DATA'!F134="123.47"),"YES","NO")</f>
        <v>NO</v>
      </c>
      <c r="Y133" s="40" t="str">
        <f>IF(X133="YES",IF(C133+730.5&lt;'BASIC INFO'!$B$3, "YES","NO"), "N/A")</f>
        <v>N/A</v>
      </c>
      <c r="Z133" s="35" t="str">
        <f>IF('CASE DATA'!F134="725.1","YES","NO")</f>
        <v>NO</v>
      </c>
      <c r="AA133" s="35" t="str">
        <f>IF(Z133="YES",IF(C133+730.5&lt;'BASIC INFO'!$B$3, "YES","NO"), "N/A")</f>
        <v>N/A</v>
      </c>
      <c r="AB133" s="35" t="str">
        <f>IF('BASIC INFO'!$B$6+6574.5&gt;C133, "YES", "NO")</f>
        <v>YES</v>
      </c>
    </row>
    <row r="134" spans="1:28" x14ac:dyDescent="0.25">
      <c r="A134" s="35" t="str">
        <f>IF('CASE DATA'!A135="","z",'CASE DATA'!A135)</f>
        <v>z</v>
      </c>
      <c r="B134" s="66" t="str">
        <f>IF('CASE DATA'!A135="","",'CASE DATA'!E135)</f>
        <v/>
      </c>
      <c r="C134" s="36">
        <f>'CASE DATA'!D135</f>
        <v>0</v>
      </c>
      <c r="D134" s="37" t="str">
        <f>IF('CASE DATA'!I135="YES",SUM('CASE DATA'!K135:Q135),"n/a")</f>
        <v>n/a</v>
      </c>
      <c r="E134" s="38" t="str">
        <f>IF('CASE DATA'!G135="JUV", "YES", "NO")</f>
        <v>NO</v>
      </c>
      <c r="F134" s="38" t="str">
        <f t="array" ref="F134">IF(E134="YES",IF(SUM(COUNTIF('CASE DATA'!$G$4:$G$200, {"GTR","GPL","DEF","JUV"}))&gt;0, "YES","NO"),"N/A")</f>
        <v>N/A</v>
      </c>
      <c r="G134" s="38" t="str">
        <f>IF(E134="YES",IF(COUNTIF('CASE DATA'!$D$4:$D$200, "")-COUNTIF('CASE DATA'!$A$4:$A$200, "")&gt;0, "YES","NO"),"N/A")</f>
        <v>N/A</v>
      </c>
      <c r="H134" s="35" t="str">
        <f>_xlfn.IFS(E134="NO", "N/A", AND('BASIC INFO'!$B$3&gt;'BASIC INFO'!$B$6+6574.5, C134+730.5&lt;'BASIC INFO'!$B$3), "YES", 'BASIC INFO'!$B$3&lt;('BASIC INFO'!$B$6+6574.5), "NOT YET 18", C134+730.5&gt;'BASIC INFO'!$B$3, "NOT YET 2 YEARS")</f>
        <v>N/A</v>
      </c>
      <c r="I134" s="39" t="str">
        <f>IF(OR(AND(LEFT('CASE DATA'!F135,4)="321.",MID('CASE DATA'!A135,8,2)="SM"),MID('CASE DATA'!A135,8,2)="ST",MID('CASE DATA'!A135,8,2)="NT"),"TRAFFIC",IF(OR('CASE DATA'!G135="DISM", 'CASE DATA'!G135="ACQ", 'CASE DATA'!G135="NOTF", 'CASE DATA'!G135="WTHD", 'CASE DATA'!G135="TNSF"), "YES", "NO"))</f>
        <v>NO</v>
      </c>
      <c r="J134" s="40" t="str">
        <f>IF(I134="YES",'CASE DATA'!U135,"N/A")</f>
        <v>N/A</v>
      </c>
      <c r="K134" s="40" t="str">
        <f>IF(I134="YES",SOL!C135+SOL!D135,"N/A")</f>
        <v>N/A</v>
      </c>
      <c r="L134" s="35" t="str">
        <f>IF(I134="YES",IF(C134+180&lt;'BASIC INFO'!$B$3, "YES", "NO"),"N/A")</f>
        <v>N/A</v>
      </c>
      <c r="M134" s="40" t="str">
        <f t="array" ref="M134">IF(I134="TRAFFIC","n/a",IF(OR('CASE DATA'!G135="GTR", 'CASE DATA'!G135="GPL"),IF(SUM(COUNTIF('CASE DATA'!X135:AI135, 'CODE SECTIONS'!$V$2:$V$218&amp;"*"))&gt;0,"NO","YES"),"n/a"))</f>
        <v>n/a</v>
      </c>
      <c r="N134" s="40" t="str">
        <f t="array" ref="N134">IF(M134="YES",IF(OR((SUM(COUNTIF('CASE DATA'!X135:AI135,'CODE SECTIONS'!$X$2:$X$19&amp;"*"))&gt;0),LEFT('CASE DATA'!X135:AI135,4)="717C", LEFT('CASE DATA'!X135:AI135, 3)="719", LEFT('CASE DATA'!X135:AI135,3)="720", LEFT('CASE DATA'!X135:AI135,3)="724", LEFT('CASE DATA'!X135:AI135,3)="726", LEFT('CASE DATA'!X135:AI135,3)="728", LEFT('CASE DATA'!X135:AI135,4)="901A"), "ineligible misd","eligible"),"n/a")</f>
        <v>n/a</v>
      </c>
      <c r="O134" s="40" t="str">
        <f>IF(N134="eligible",IF(COUNTIF('CASE DATA'!$D$4:$D$200, "")-COUNTIF('CASE DATA'!$A$4:$A$200, "")&gt;0, "YES","NO"),"N/A")</f>
        <v>N/A</v>
      </c>
      <c r="P134" s="40" t="str">
        <f>IF(N134="eligible",BANKRUPTCY!C135+BANKRUPTCY!D135,"N/A")</f>
        <v>N/A</v>
      </c>
      <c r="Q134" s="40" t="str">
        <f>IF(N134="eligible",SOL!C135+SOL!D135,"N/A")</f>
        <v>N/A</v>
      </c>
      <c r="R134" s="40" t="str">
        <f>IF(N134="eligible",SUM('CASE DATA'!K135:T135),"N/A")</f>
        <v>N/A</v>
      </c>
      <c r="S134" s="40" t="str">
        <f>IF(N134="eligible",IF(C134+2920&lt;'BASIC INFO'!$B$3, "YES", "NO"),"N/A")</f>
        <v>N/A</v>
      </c>
      <c r="T134" s="39" t="str">
        <f>IF(OR('CASE DATA'!G135="DEF"), "YES", "NO")</f>
        <v>NO</v>
      </c>
      <c r="U134" s="35" t="str">
        <f>IF(T134="YES",'CASE DATA'!I135,"N/A")</f>
        <v>N/A</v>
      </c>
      <c r="V134" s="40" t="str">
        <f>IF(T134="YES",BANKRUPTCY!C135+BANKRUPTCY!D135,"N/A")</f>
        <v>N/A</v>
      </c>
      <c r="W134" s="40" t="str">
        <f>IF(T134="YES",SUM('CASE DATA'!K135:T135),"N/A")</f>
        <v>N/A</v>
      </c>
      <c r="X134" s="35" t="str">
        <f>IF(OR('CASE DATA'!F135="123.46",'CASE DATA'!F135="123.47"),"YES","NO")</f>
        <v>NO</v>
      </c>
      <c r="Y134" s="40" t="str">
        <f>IF(X134="YES",IF(C134+730.5&lt;'BASIC INFO'!$B$3, "YES","NO"), "N/A")</f>
        <v>N/A</v>
      </c>
      <c r="Z134" s="35" t="str">
        <f>IF('CASE DATA'!F135="725.1","YES","NO")</f>
        <v>NO</v>
      </c>
      <c r="AA134" s="35" t="str">
        <f>IF(Z134="YES",IF(C134+730.5&lt;'BASIC INFO'!$B$3, "YES","NO"), "N/A")</f>
        <v>N/A</v>
      </c>
      <c r="AB134" s="35" t="str">
        <f>IF('BASIC INFO'!$B$6+6574.5&gt;C134, "YES", "NO")</f>
        <v>YES</v>
      </c>
    </row>
    <row r="135" spans="1:28" x14ac:dyDescent="0.25">
      <c r="A135" s="35" t="str">
        <f>IF('CASE DATA'!A136="","z",'CASE DATA'!A136)</f>
        <v>z</v>
      </c>
      <c r="B135" s="66" t="str">
        <f>IF('CASE DATA'!A136="","",'CASE DATA'!E136)</f>
        <v/>
      </c>
      <c r="C135" s="36">
        <f>'CASE DATA'!D136</f>
        <v>0</v>
      </c>
      <c r="D135" s="37" t="str">
        <f>IF('CASE DATA'!I136="YES",SUM('CASE DATA'!K136:Q136),"n/a")</f>
        <v>n/a</v>
      </c>
      <c r="E135" s="38" t="str">
        <f>IF('CASE DATA'!G136="JUV", "YES", "NO")</f>
        <v>NO</v>
      </c>
      <c r="F135" s="38" t="str">
        <f t="array" ref="F135">IF(E135="YES",IF(SUM(COUNTIF('CASE DATA'!$G$4:$G$200, {"GTR","GPL","DEF","JUV"}))&gt;0, "YES","NO"),"N/A")</f>
        <v>N/A</v>
      </c>
      <c r="G135" s="38" t="str">
        <f>IF(E135="YES",IF(COUNTIF('CASE DATA'!$D$4:$D$200, "")-COUNTIF('CASE DATA'!$A$4:$A$200, "")&gt;0, "YES","NO"),"N/A")</f>
        <v>N/A</v>
      </c>
      <c r="H135" s="35" t="str">
        <f>_xlfn.IFS(E135="NO", "N/A", AND('BASIC INFO'!$B$3&gt;'BASIC INFO'!$B$6+6574.5, C135+730.5&lt;'BASIC INFO'!$B$3), "YES", 'BASIC INFO'!$B$3&lt;('BASIC INFO'!$B$6+6574.5), "NOT YET 18", C135+730.5&gt;'BASIC INFO'!$B$3, "NOT YET 2 YEARS")</f>
        <v>N/A</v>
      </c>
      <c r="I135" s="39" t="str">
        <f>IF(OR(AND(LEFT('CASE DATA'!F136,4)="321.",MID('CASE DATA'!A136,8,2)="SM"),MID('CASE DATA'!A136,8,2)="ST",MID('CASE DATA'!A136,8,2)="NT"),"TRAFFIC",IF(OR('CASE DATA'!G136="DISM", 'CASE DATA'!G136="ACQ", 'CASE DATA'!G136="NOTF", 'CASE DATA'!G136="WTHD", 'CASE DATA'!G136="TNSF"), "YES", "NO"))</f>
        <v>NO</v>
      </c>
      <c r="J135" s="40" t="str">
        <f>IF(I135="YES",'CASE DATA'!U136,"N/A")</f>
        <v>N/A</v>
      </c>
      <c r="K135" s="40" t="str">
        <f>IF(I135="YES",SOL!C136+SOL!D136,"N/A")</f>
        <v>N/A</v>
      </c>
      <c r="L135" s="35" t="str">
        <f>IF(I135="YES",IF(C135+180&lt;'BASIC INFO'!$B$3, "YES", "NO"),"N/A")</f>
        <v>N/A</v>
      </c>
      <c r="M135" s="40" t="str">
        <f t="array" ref="M135">IF(I135="TRAFFIC","n/a",IF(OR('CASE DATA'!G136="GTR", 'CASE DATA'!G136="GPL"),IF(SUM(COUNTIF('CASE DATA'!X136:AI136, 'CODE SECTIONS'!$V$2:$V$218&amp;"*"))&gt;0,"NO","YES"),"n/a"))</f>
        <v>n/a</v>
      </c>
      <c r="N135" s="40" t="str">
        <f t="array" ref="N135">IF(M135="YES",IF(OR((SUM(COUNTIF('CASE DATA'!X136:AI136,'CODE SECTIONS'!$X$2:$X$19&amp;"*"))&gt;0),LEFT('CASE DATA'!X136:AI136,4)="717C", LEFT('CASE DATA'!X136:AI136, 3)="719", LEFT('CASE DATA'!X136:AI136,3)="720", LEFT('CASE DATA'!X136:AI136,3)="724", LEFT('CASE DATA'!X136:AI136,3)="726", LEFT('CASE DATA'!X136:AI136,3)="728", LEFT('CASE DATA'!X136:AI136,4)="901A"), "ineligible misd","eligible"),"n/a")</f>
        <v>n/a</v>
      </c>
      <c r="O135" s="40" t="str">
        <f>IF(N135="eligible",IF(COUNTIF('CASE DATA'!$D$4:$D$200, "")-COUNTIF('CASE DATA'!$A$4:$A$200, "")&gt;0, "YES","NO"),"N/A")</f>
        <v>N/A</v>
      </c>
      <c r="P135" s="40" t="str">
        <f>IF(N135="eligible",BANKRUPTCY!C136+BANKRUPTCY!D136,"N/A")</f>
        <v>N/A</v>
      </c>
      <c r="Q135" s="40" t="str">
        <f>IF(N135="eligible",SOL!C136+SOL!D136,"N/A")</f>
        <v>N/A</v>
      </c>
      <c r="R135" s="40" t="str">
        <f>IF(N135="eligible",SUM('CASE DATA'!K136:T136),"N/A")</f>
        <v>N/A</v>
      </c>
      <c r="S135" s="40" t="str">
        <f>IF(N135="eligible",IF(C135+2920&lt;'BASIC INFO'!$B$3, "YES", "NO"),"N/A")</f>
        <v>N/A</v>
      </c>
      <c r="T135" s="39" t="str">
        <f>IF(OR('CASE DATA'!G136="DEF"), "YES", "NO")</f>
        <v>NO</v>
      </c>
      <c r="U135" s="35" t="str">
        <f>IF(T135="YES",'CASE DATA'!I136,"N/A")</f>
        <v>N/A</v>
      </c>
      <c r="V135" s="40" t="str">
        <f>IF(T135="YES",BANKRUPTCY!C136+BANKRUPTCY!D136,"N/A")</f>
        <v>N/A</v>
      </c>
      <c r="W135" s="40" t="str">
        <f>IF(T135="YES",SUM('CASE DATA'!K136:T136),"N/A")</f>
        <v>N/A</v>
      </c>
      <c r="X135" s="35" t="str">
        <f>IF(OR('CASE DATA'!F136="123.46",'CASE DATA'!F136="123.47"),"YES","NO")</f>
        <v>NO</v>
      </c>
      <c r="Y135" s="40" t="str">
        <f>IF(X135="YES",IF(C135+730.5&lt;'BASIC INFO'!$B$3, "YES","NO"), "N/A")</f>
        <v>N/A</v>
      </c>
      <c r="Z135" s="35" t="str">
        <f>IF('CASE DATA'!F136="725.1","YES","NO")</f>
        <v>NO</v>
      </c>
      <c r="AA135" s="35" t="str">
        <f>IF(Z135="YES",IF(C135+730.5&lt;'BASIC INFO'!$B$3, "YES","NO"), "N/A")</f>
        <v>N/A</v>
      </c>
      <c r="AB135" s="35" t="str">
        <f>IF('BASIC INFO'!$B$6+6574.5&gt;C135, "YES", "NO")</f>
        <v>YES</v>
      </c>
    </row>
    <row r="136" spans="1:28" x14ac:dyDescent="0.25">
      <c r="A136" s="35" t="str">
        <f>IF('CASE DATA'!A137="","z",'CASE DATA'!A137)</f>
        <v>z</v>
      </c>
      <c r="B136" s="66" t="str">
        <f>IF('CASE DATA'!A137="","",'CASE DATA'!E137)</f>
        <v/>
      </c>
      <c r="C136" s="36">
        <f>'CASE DATA'!D137</f>
        <v>0</v>
      </c>
      <c r="D136" s="37" t="str">
        <f>IF('CASE DATA'!I137="YES",SUM('CASE DATA'!K137:Q137),"n/a")</f>
        <v>n/a</v>
      </c>
      <c r="E136" s="38" t="str">
        <f>IF('CASE DATA'!G137="JUV", "YES", "NO")</f>
        <v>NO</v>
      </c>
      <c r="F136" s="38" t="str">
        <f t="array" ref="F136">IF(E136="YES",IF(SUM(COUNTIF('CASE DATA'!$G$4:$G$200, {"GTR","GPL","DEF","JUV"}))&gt;0, "YES","NO"),"N/A")</f>
        <v>N/A</v>
      </c>
      <c r="G136" s="38" t="str">
        <f>IF(E136="YES",IF(COUNTIF('CASE DATA'!$D$4:$D$200, "")-COUNTIF('CASE DATA'!$A$4:$A$200, "")&gt;0, "YES","NO"),"N/A")</f>
        <v>N/A</v>
      </c>
      <c r="H136" s="35" t="str">
        <f>_xlfn.IFS(E136="NO", "N/A", AND('BASIC INFO'!$B$3&gt;'BASIC INFO'!$B$6+6574.5, C136+730.5&lt;'BASIC INFO'!$B$3), "YES", 'BASIC INFO'!$B$3&lt;('BASIC INFO'!$B$6+6574.5), "NOT YET 18", C136+730.5&gt;'BASIC INFO'!$B$3, "NOT YET 2 YEARS")</f>
        <v>N/A</v>
      </c>
      <c r="I136" s="39" t="str">
        <f>IF(OR(AND(LEFT('CASE DATA'!F137,4)="321.",MID('CASE DATA'!A137,8,2)="SM"),MID('CASE DATA'!A137,8,2)="ST",MID('CASE DATA'!A137,8,2)="NT"),"TRAFFIC",IF(OR('CASE DATA'!G137="DISM", 'CASE DATA'!G137="ACQ", 'CASE DATA'!G137="NOTF", 'CASE DATA'!G137="WTHD", 'CASE DATA'!G137="TNSF"), "YES", "NO"))</f>
        <v>NO</v>
      </c>
      <c r="J136" s="40" t="str">
        <f>IF(I136="YES",'CASE DATA'!U137,"N/A")</f>
        <v>N/A</v>
      </c>
      <c r="K136" s="40" t="str">
        <f>IF(I136="YES",SOL!C137+SOL!D137,"N/A")</f>
        <v>N/A</v>
      </c>
      <c r="L136" s="35" t="str">
        <f>IF(I136="YES",IF(C136+180&lt;'BASIC INFO'!$B$3, "YES", "NO"),"N/A")</f>
        <v>N/A</v>
      </c>
      <c r="M136" s="40" t="str">
        <f t="array" ref="M136">IF(I136="TRAFFIC","n/a",IF(OR('CASE DATA'!G137="GTR", 'CASE DATA'!G137="GPL"),IF(SUM(COUNTIF('CASE DATA'!X137:AI137, 'CODE SECTIONS'!$V$2:$V$218&amp;"*"))&gt;0,"NO","YES"),"n/a"))</f>
        <v>n/a</v>
      </c>
      <c r="N136" s="40" t="str">
        <f t="array" ref="N136">IF(M136="YES",IF(OR((SUM(COUNTIF('CASE DATA'!X137:AI137,'CODE SECTIONS'!$X$2:$X$19&amp;"*"))&gt;0),LEFT('CASE DATA'!X137:AI137,4)="717C", LEFT('CASE DATA'!X137:AI137, 3)="719", LEFT('CASE DATA'!X137:AI137,3)="720", LEFT('CASE DATA'!X137:AI137,3)="724", LEFT('CASE DATA'!X137:AI137,3)="726", LEFT('CASE DATA'!X137:AI137,3)="728", LEFT('CASE DATA'!X137:AI137,4)="901A"), "ineligible misd","eligible"),"n/a")</f>
        <v>n/a</v>
      </c>
      <c r="O136" s="40" t="str">
        <f>IF(N136="eligible",IF(COUNTIF('CASE DATA'!$D$4:$D$200, "")-COUNTIF('CASE DATA'!$A$4:$A$200, "")&gt;0, "YES","NO"),"N/A")</f>
        <v>N/A</v>
      </c>
      <c r="P136" s="40" t="str">
        <f>IF(N136="eligible",BANKRUPTCY!C137+BANKRUPTCY!D137,"N/A")</f>
        <v>N/A</v>
      </c>
      <c r="Q136" s="40" t="str">
        <f>IF(N136="eligible",SOL!C137+SOL!D137,"N/A")</f>
        <v>N/A</v>
      </c>
      <c r="R136" s="40" t="str">
        <f>IF(N136="eligible",SUM('CASE DATA'!K137:T137),"N/A")</f>
        <v>N/A</v>
      </c>
      <c r="S136" s="40" t="str">
        <f>IF(N136="eligible",IF(C136+2920&lt;'BASIC INFO'!$B$3, "YES", "NO"),"N/A")</f>
        <v>N/A</v>
      </c>
      <c r="T136" s="39" t="str">
        <f>IF(OR('CASE DATA'!G137="DEF"), "YES", "NO")</f>
        <v>NO</v>
      </c>
      <c r="U136" s="35" t="str">
        <f>IF(T136="YES",'CASE DATA'!I137,"N/A")</f>
        <v>N/A</v>
      </c>
      <c r="V136" s="40" t="str">
        <f>IF(T136="YES",BANKRUPTCY!C137+BANKRUPTCY!D137,"N/A")</f>
        <v>N/A</v>
      </c>
      <c r="W136" s="40" t="str">
        <f>IF(T136="YES",SUM('CASE DATA'!K137:T137),"N/A")</f>
        <v>N/A</v>
      </c>
      <c r="X136" s="35" t="str">
        <f>IF(OR('CASE DATA'!F137="123.46",'CASE DATA'!F137="123.47"),"YES","NO")</f>
        <v>NO</v>
      </c>
      <c r="Y136" s="40" t="str">
        <f>IF(X136="YES",IF(C136+730.5&lt;'BASIC INFO'!$B$3, "YES","NO"), "N/A")</f>
        <v>N/A</v>
      </c>
      <c r="Z136" s="35" t="str">
        <f>IF('CASE DATA'!F137="725.1","YES","NO")</f>
        <v>NO</v>
      </c>
      <c r="AA136" s="35" t="str">
        <f>IF(Z136="YES",IF(C136+730.5&lt;'BASIC INFO'!$B$3, "YES","NO"), "N/A")</f>
        <v>N/A</v>
      </c>
      <c r="AB136" s="35" t="str">
        <f>IF('BASIC INFO'!$B$6+6574.5&gt;C136, "YES", "NO")</f>
        <v>YES</v>
      </c>
    </row>
    <row r="137" spans="1:28" x14ac:dyDescent="0.25">
      <c r="A137" s="35" t="str">
        <f>IF('CASE DATA'!A138="","z",'CASE DATA'!A138)</f>
        <v>z</v>
      </c>
      <c r="B137" s="66" t="str">
        <f>IF('CASE DATA'!A138="","",'CASE DATA'!E138)</f>
        <v/>
      </c>
      <c r="C137" s="36">
        <f>'CASE DATA'!D138</f>
        <v>0</v>
      </c>
      <c r="D137" s="37" t="str">
        <f>IF('CASE DATA'!I138="YES",SUM('CASE DATA'!K138:Q138),"n/a")</f>
        <v>n/a</v>
      </c>
      <c r="E137" s="38" t="str">
        <f>IF('CASE DATA'!G138="JUV", "YES", "NO")</f>
        <v>NO</v>
      </c>
      <c r="F137" s="38" t="str">
        <f t="array" ref="F137">IF(E137="YES",IF(SUM(COUNTIF('CASE DATA'!$G$4:$G$200, {"GTR","GPL","DEF","JUV"}))&gt;0, "YES","NO"),"N/A")</f>
        <v>N/A</v>
      </c>
      <c r="G137" s="38" t="str">
        <f>IF(E137="YES",IF(COUNTIF('CASE DATA'!$D$4:$D$200, "")-COUNTIF('CASE DATA'!$A$4:$A$200, "")&gt;0, "YES","NO"),"N/A")</f>
        <v>N/A</v>
      </c>
      <c r="H137" s="35" t="str">
        <f>_xlfn.IFS(E137="NO", "N/A", AND('BASIC INFO'!$B$3&gt;'BASIC INFO'!$B$6+6574.5, C137+730.5&lt;'BASIC INFO'!$B$3), "YES", 'BASIC INFO'!$B$3&lt;('BASIC INFO'!$B$6+6574.5), "NOT YET 18", C137+730.5&gt;'BASIC INFO'!$B$3, "NOT YET 2 YEARS")</f>
        <v>N/A</v>
      </c>
      <c r="I137" s="39" t="str">
        <f>IF(OR(AND(LEFT('CASE DATA'!F138,4)="321.",MID('CASE DATA'!A138,8,2)="SM"),MID('CASE DATA'!A138,8,2)="ST",MID('CASE DATA'!A138,8,2)="NT"),"TRAFFIC",IF(OR('CASE DATA'!G138="DISM", 'CASE DATA'!G138="ACQ", 'CASE DATA'!G138="NOTF", 'CASE DATA'!G138="WTHD", 'CASE DATA'!G138="TNSF"), "YES", "NO"))</f>
        <v>NO</v>
      </c>
      <c r="J137" s="40" t="str">
        <f>IF(I137="YES",'CASE DATA'!U138,"N/A")</f>
        <v>N/A</v>
      </c>
      <c r="K137" s="40" t="str">
        <f>IF(I137="YES",SOL!C138+SOL!D138,"N/A")</f>
        <v>N/A</v>
      </c>
      <c r="L137" s="35" t="str">
        <f>IF(I137="YES",IF(C137+180&lt;'BASIC INFO'!$B$3, "YES", "NO"),"N/A")</f>
        <v>N/A</v>
      </c>
      <c r="M137" s="40" t="str">
        <f t="array" ref="M137">IF(I137="TRAFFIC","n/a",IF(OR('CASE DATA'!G138="GTR", 'CASE DATA'!G138="GPL"),IF(SUM(COUNTIF('CASE DATA'!X138:AI138, 'CODE SECTIONS'!$V$2:$V$218&amp;"*"))&gt;0,"NO","YES"),"n/a"))</f>
        <v>n/a</v>
      </c>
      <c r="N137" s="40" t="str">
        <f t="array" ref="N137">IF(M137="YES",IF(OR((SUM(COUNTIF('CASE DATA'!X138:AI138,'CODE SECTIONS'!$X$2:$X$19&amp;"*"))&gt;0),LEFT('CASE DATA'!X138:AI138,4)="717C", LEFT('CASE DATA'!X138:AI138, 3)="719", LEFT('CASE DATA'!X138:AI138,3)="720", LEFT('CASE DATA'!X138:AI138,3)="724", LEFT('CASE DATA'!X138:AI138,3)="726", LEFT('CASE DATA'!X138:AI138,3)="728", LEFT('CASE DATA'!X138:AI138,4)="901A"), "ineligible misd","eligible"),"n/a")</f>
        <v>n/a</v>
      </c>
      <c r="O137" s="40" t="str">
        <f>IF(N137="eligible",IF(COUNTIF('CASE DATA'!$D$4:$D$200, "")-COUNTIF('CASE DATA'!$A$4:$A$200, "")&gt;0, "YES","NO"),"N/A")</f>
        <v>N/A</v>
      </c>
      <c r="P137" s="40" t="str">
        <f>IF(N137="eligible",BANKRUPTCY!C138+BANKRUPTCY!D138,"N/A")</f>
        <v>N/A</v>
      </c>
      <c r="Q137" s="40" t="str">
        <f>IF(N137="eligible",SOL!C138+SOL!D138,"N/A")</f>
        <v>N/A</v>
      </c>
      <c r="R137" s="40" t="str">
        <f>IF(N137="eligible",SUM('CASE DATA'!K138:T138),"N/A")</f>
        <v>N/A</v>
      </c>
      <c r="S137" s="40" t="str">
        <f>IF(N137="eligible",IF(C137+2920&lt;'BASIC INFO'!$B$3, "YES", "NO"),"N/A")</f>
        <v>N/A</v>
      </c>
      <c r="T137" s="39" t="str">
        <f>IF(OR('CASE DATA'!G138="DEF"), "YES", "NO")</f>
        <v>NO</v>
      </c>
      <c r="U137" s="35" t="str">
        <f>IF(T137="YES",'CASE DATA'!I138,"N/A")</f>
        <v>N/A</v>
      </c>
      <c r="V137" s="40" t="str">
        <f>IF(T137="YES",BANKRUPTCY!C138+BANKRUPTCY!D138,"N/A")</f>
        <v>N/A</v>
      </c>
      <c r="W137" s="40" t="str">
        <f>IF(T137="YES",SUM('CASE DATA'!K138:T138),"N/A")</f>
        <v>N/A</v>
      </c>
      <c r="X137" s="35" t="str">
        <f>IF(OR('CASE DATA'!F138="123.46",'CASE DATA'!F138="123.47"),"YES","NO")</f>
        <v>NO</v>
      </c>
      <c r="Y137" s="40" t="str">
        <f>IF(X137="YES",IF(C137+730.5&lt;'BASIC INFO'!$B$3, "YES","NO"), "N/A")</f>
        <v>N/A</v>
      </c>
      <c r="Z137" s="35" t="str">
        <f>IF('CASE DATA'!F138="725.1","YES","NO")</f>
        <v>NO</v>
      </c>
      <c r="AA137" s="35" t="str">
        <f>IF(Z137="YES",IF(C137+730.5&lt;'BASIC INFO'!$B$3, "YES","NO"), "N/A")</f>
        <v>N/A</v>
      </c>
      <c r="AB137" s="35" t="str">
        <f>IF('BASIC INFO'!$B$6+6574.5&gt;C137, "YES", "NO")</f>
        <v>YES</v>
      </c>
    </row>
    <row r="138" spans="1:28" x14ac:dyDescent="0.25">
      <c r="A138" s="35" t="str">
        <f>IF('CASE DATA'!A139="","z",'CASE DATA'!A139)</f>
        <v>z</v>
      </c>
      <c r="B138" s="66" t="str">
        <f>IF('CASE DATA'!A139="","",'CASE DATA'!E139)</f>
        <v/>
      </c>
      <c r="C138" s="36">
        <f>'CASE DATA'!D139</f>
        <v>0</v>
      </c>
      <c r="D138" s="37" t="str">
        <f>IF('CASE DATA'!I139="YES",SUM('CASE DATA'!K139:Q139),"n/a")</f>
        <v>n/a</v>
      </c>
      <c r="E138" s="38" t="str">
        <f>IF('CASE DATA'!G139="JUV", "YES", "NO")</f>
        <v>NO</v>
      </c>
      <c r="F138" s="38" t="str">
        <f t="array" ref="F138">IF(E138="YES",IF(SUM(COUNTIF('CASE DATA'!$G$4:$G$200, {"GTR","GPL","DEF","JUV"}))&gt;0, "YES","NO"),"N/A")</f>
        <v>N/A</v>
      </c>
      <c r="G138" s="38" t="str">
        <f>IF(E138="YES",IF(COUNTIF('CASE DATA'!$D$4:$D$200, "")-COUNTIF('CASE DATA'!$A$4:$A$200, "")&gt;0, "YES","NO"),"N/A")</f>
        <v>N/A</v>
      </c>
      <c r="H138" s="35" t="str">
        <f>_xlfn.IFS(E138="NO", "N/A", AND('BASIC INFO'!$B$3&gt;'BASIC INFO'!$B$6+6574.5, C138+730.5&lt;'BASIC INFO'!$B$3), "YES", 'BASIC INFO'!$B$3&lt;('BASIC INFO'!$B$6+6574.5), "NOT YET 18", C138+730.5&gt;'BASIC INFO'!$B$3, "NOT YET 2 YEARS")</f>
        <v>N/A</v>
      </c>
      <c r="I138" s="39" t="str">
        <f>IF(OR(AND(LEFT('CASE DATA'!F139,4)="321.",MID('CASE DATA'!A139,8,2)="SM"),MID('CASE DATA'!A139,8,2)="ST",MID('CASE DATA'!A139,8,2)="NT"),"TRAFFIC",IF(OR('CASE DATA'!G139="DISM", 'CASE DATA'!G139="ACQ", 'CASE DATA'!G139="NOTF", 'CASE DATA'!G139="WTHD", 'CASE DATA'!G139="TNSF"), "YES", "NO"))</f>
        <v>NO</v>
      </c>
      <c r="J138" s="40" t="str">
        <f>IF(I138="YES",'CASE DATA'!U139,"N/A")</f>
        <v>N/A</v>
      </c>
      <c r="K138" s="40" t="str">
        <f>IF(I138="YES",SOL!C139+SOL!D139,"N/A")</f>
        <v>N/A</v>
      </c>
      <c r="L138" s="35" t="str">
        <f>IF(I138="YES",IF(C138+180&lt;'BASIC INFO'!$B$3, "YES", "NO"),"N/A")</f>
        <v>N/A</v>
      </c>
      <c r="M138" s="40" t="str">
        <f t="array" ref="M138">IF(I138="TRAFFIC","n/a",IF(OR('CASE DATA'!G139="GTR", 'CASE DATA'!G139="GPL"),IF(SUM(COUNTIF('CASE DATA'!X139:AI139, 'CODE SECTIONS'!$V$2:$V$218&amp;"*"))&gt;0,"NO","YES"),"n/a"))</f>
        <v>n/a</v>
      </c>
      <c r="N138" s="40" t="str">
        <f t="array" ref="N138">IF(M138="YES",IF(OR((SUM(COUNTIF('CASE DATA'!X139:AI139,'CODE SECTIONS'!$X$2:$X$19&amp;"*"))&gt;0),LEFT('CASE DATA'!X139:AI139,4)="717C", LEFT('CASE DATA'!X139:AI139, 3)="719", LEFT('CASE DATA'!X139:AI139,3)="720", LEFT('CASE DATA'!X139:AI139,3)="724", LEFT('CASE DATA'!X139:AI139,3)="726", LEFT('CASE DATA'!X139:AI139,3)="728", LEFT('CASE DATA'!X139:AI139,4)="901A"), "ineligible misd","eligible"),"n/a")</f>
        <v>n/a</v>
      </c>
      <c r="O138" s="40" t="str">
        <f>IF(N138="eligible",IF(COUNTIF('CASE DATA'!$D$4:$D$200, "")-COUNTIF('CASE DATA'!$A$4:$A$200, "")&gt;0, "YES","NO"),"N/A")</f>
        <v>N/A</v>
      </c>
      <c r="P138" s="40" t="str">
        <f>IF(N138="eligible",BANKRUPTCY!C139+BANKRUPTCY!D139,"N/A")</f>
        <v>N/A</v>
      </c>
      <c r="Q138" s="40" t="str">
        <f>IF(N138="eligible",SOL!C139+SOL!D139,"N/A")</f>
        <v>N/A</v>
      </c>
      <c r="R138" s="40" t="str">
        <f>IF(N138="eligible",SUM('CASE DATA'!K139:T139),"N/A")</f>
        <v>N/A</v>
      </c>
      <c r="S138" s="40" t="str">
        <f>IF(N138="eligible",IF(C138+2920&lt;'BASIC INFO'!$B$3, "YES", "NO"),"N/A")</f>
        <v>N/A</v>
      </c>
      <c r="T138" s="39" t="str">
        <f>IF(OR('CASE DATA'!G139="DEF"), "YES", "NO")</f>
        <v>NO</v>
      </c>
      <c r="U138" s="35" t="str">
        <f>IF(T138="YES",'CASE DATA'!I139,"N/A")</f>
        <v>N/A</v>
      </c>
      <c r="V138" s="40" t="str">
        <f>IF(T138="YES",BANKRUPTCY!C139+BANKRUPTCY!D139,"N/A")</f>
        <v>N/A</v>
      </c>
      <c r="W138" s="40" t="str">
        <f>IF(T138="YES",SUM('CASE DATA'!K139:T139),"N/A")</f>
        <v>N/A</v>
      </c>
      <c r="X138" s="35" t="str">
        <f>IF(OR('CASE DATA'!F139="123.46",'CASE DATA'!F139="123.47"),"YES","NO")</f>
        <v>NO</v>
      </c>
      <c r="Y138" s="40" t="str">
        <f>IF(X138="YES",IF(C138+730.5&lt;'BASIC INFO'!$B$3, "YES","NO"), "N/A")</f>
        <v>N/A</v>
      </c>
      <c r="Z138" s="35" t="str">
        <f>IF('CASE DATA'!F139="725.1","YES","NO")</f>
        <v>NO</v>
      </c>
      <c r="AA138" s="35" t="str">
        <f>IF(Z138="YES",IF(C138+730.5&lt;'BASIC INFO'!$B$3, "YES","NO"), "N/A")</f>
        <v>N/A</v>
      </c>
      <c r="AB138" s="35" t="str">
        <f>IF('BASIC INFO'!$B$6+6574.5&gt;C138, "YES", "NO")</f>
        <v>YES</v>
      </c>
    </row>
    <row r="139" spans="1:28" x14ac:dyDescent="0.25">
      <c r="A139" s="35" t="str">
        <f>IF('CASE DATA'!A140="","z",'CASE DATA'!A140)</f>
        <v>z</v>
      </c>
      <c r="B139" s="66" t="str">
        <f>IF('CASE DATA'!A140="","",'CASE DATA'!E140)</f>
        <v/>
      </c>
      <c r="C139" s="36">
        <f>'CASE DATA'!D140</f>
        <v>0</v>
      </c>
      <c r="D139" s="37" t="str">
        <f>IF('CASE DATA'!I140="YES",SUM('CASE DATA'!K140:Q140),"n/a")</f>
        <v>n/a</v>
      </c>
      <c r="E139" s="38" t="str">
        <f>IF('CASE DATA'!G140="JUV", "YES", "NO")</f>
        <v>NO</v>
      </c>
      <c r="F139" s="38" t="str">
        <f t="array" ref="F139">IF(E139="YES",IF(SUM(COUNTIF('CASE DATA'!$G$4:$G$200, {"GTR","GPL","DEF","JUV"}))&gt;0, "YES","NO"),"N/A")</f>
        <v>N/A</v>
      </c>
      <c r="G139" s="38" t="str">
        <f>IF(E139="YES",IF(COUNTIF('CASE DATA'!$D$4:$D$200, "")-COUNTIF('CASE DATA'!$A$4:$A$200, "")&gt;0, "YES","NO"),"N/A")</f>
        <v>N/A</v>
      </c>
      <c r="H139" s="35" t="str">
        <f>_xlfn.IFS(E139="NO", "N/A", AND('BASIC INFO'!$B$3&gt;'BASIC INFO'!$B$6+6574.5, C139+730.5&lt;'BASIC INFO'!$B$3), "YES", 'BASIC INFO'!$B$3&lt;('BASIC INFO'!$B$6+6574.5), "NOT YET 18", C139+730.5&gt;'BASIC INFO'!$B$3, "NOT YET 2 YEARS")</f>
        <v>N/A</v>
      </c>
      <c r="I139" s="39" t="str">
        <f>IF(OR(AND(LEFT('CASE DATA'!F140,4)="321.",MID('CASE DATA'!A140,8,2)="SM"),MID('CASE DATA'!A140,8,2)="ST",MID('CASE DATA'!A140,8,2)="NT"),"TRAFFIC",IF(OR('CASE DATA'!G140="DISM", 'CASE DATA'!G140="ACQ", 'CASE DATA'!G140="NOTF", 'CASE DATA'!G140="WTHD", 'CASE DATA'!G140="TNSF"), "YES", "NO"))</f>
        <v>NO</v>
      </c>
      <c r="J139" s="40" t="str">
        <f>IF(I139="YES",'CASE DATA'!U140,"N/A")</f>
        <v>N/A</v>
      </c>
      <c r="K139" s="40" t="str">
        <f>IF(I139="YES",SOL!C140+SOL!D140,"N/A")</f>
        <v>N/A</v>
      </c>
      <c r="L139" s="35" t="str">
        <f>IF(I139="YES",IF(C139+180&lt;'BASIC INFO'!$B$3, "YES", "NO"),"N/A")</f>
        <v>N/A</v>
      </c>
      <c r="M139" s="40" t="str">
        <f t="array" ref="M139">IF(I139="TRAFFIC","n/a",IF(OR('CASE DATA'!G140="GTR", 'CASE DATA'!G140="GPL"),IF(SUM(COUNTIF('CASE DATA'!X140:AI140, 'CODE SECTIONS'!$V$2:$V$218&amp;"*"))&gt;0,"NO","YES"),"n/a"))</f>
        <v>n/a</v>
      </c>
      <c r="N139" s="40" t="str">
        <f t="array" ref="N139">IF(M139="YES",IF(OR((SUM(COUNTIF('CASE DATA'!X140:AI140,'CODE SECTIONS'!$X$2:$X$19&amp;"*"))&gt;0),LEFT('CASE DATA'!X140:AI140,4)="717C", LEFT('CASE DATA'!X140:AI140, 3)="719", LEFT('CASE DATA'!X140:AI140,3)="720", LEFT('CASE DATA'!X140:AI140,3)="724", LEFT('CASE DATA'!X140:AI140,3)="726", LEFT('CASE DATA'!X140:AI140,3)="728", LEFT('CASE DATA'!X140:AI140,4)="901A"), "ineligible misd","eligible"),"n/a")</f>
        <v>n/a</v>
      </c>
      <c r="O139" s="40" t="str">
        <f>IF(N139="eligible",IF(COUNTIF('CASE DATA'!$D$4:$D$200, "")-COUNTIF('CASE DATA'!$A$4:$A$200, "")&gt;0, "YES","NO"),"N/A")</f>
        <v>N/A</v>
      </c>
      <c r="P139" s="40" t="str">
        <f>IF(N139="eligible",BANKRUPTCY!C140+BANKRUPTCY!D140,"N/A")</f>
        <v>N/A</v>
      </c>
      <c r="Q139" s="40" t="str">
        <f>IF(N139="eligible",SOL!C140+SOL!D140,"N/A")</f>
        <v>N/A</v>
      </c>
      <c r="R139" s="40" t="str">
        <f>IF(N139="eligible",SUM('CASE DATA'!K140:T140),"N/A")</f>
        <v>N/A</v>
      </c>
      <c r="S139" s="40" t="str">
        <f>IF(N139="eligible",IF(C139+2920&lt;'BASIC INFO'!$B$3, "YES", "NO"),"N/A")</f>
        <v>N/A</v>
      </c>
      <c r="T139" s="39" t="str">
        <f>IF(OR('CASE DATA'!G140="DEF"), "YES", "NO")</f>
        <v>NO</v>
      </c>
      <c r="U139" s="35" t="str">
        <f>IF(T139="YES",'CASE DATA'!I140,"N/A")</f>
        <v>N/A</v>
      </c>
      <c r="V139" s="40" t="str">
        <f>IF(T139="YES",BANKRUPTCY!C140+BANKRUPTCY!D140,"N/A")</f>
        <v>N/A</v>
      </c>
      <c r="W139" s="40" t="str">
        <f>IF(T139="YES",SUM('CASE DATA'!K140:T140),"N/A")</f>
        <v>N/A</v>
      </c>
      <c r="X139" s="35" t="str">
        <f>IF(OR('CASE DATA'!F140="123.46",'CASE DATA'!F140="123.47"),"YES","NO")</f>
        <v>NO</v>
      </c>
      <c r="Y139" s="40" t="str">
        <f>IF(X139="YES",IF(C139+730.5&lt;'BASIC INFO'!$B$3, "YES","NO"), "N/A")</f>
        <v>N/A</v>
      </c>
      <c r="Z139" s="35" t="str">
        <f>IF('CASE DATA'!F140="725.1","YES","NO")</f>
        <v>NO</v>
      </c>
      <c r="AA139" s="35" t="str">
        <f>IF(Z139="YES",IF(C139+730.5&lt;'BASIC INFO'!$B$3, "YES","NO"), "N/A")</f>
        <v>N/A</v>
      </c>
      <c r="AB139" s="35" t="str">
        <f>IF('BASIC INFO'!$B$6+6574.5&gt;C139, "YES", "NO")</f>
        <v>YES</v>
      </c>
    </row>
    <row r="140" spans="1:28" x14ac:dyDescent="0.25">
      <c r="A140" s="35" t="str">
        <f>IF('CASE DATA'!A141="","z",'CASE DATA'!A141)</f>
        <v>z</v>
      </c>
      <c r="B140" s="66" t="str">
        <f>IF('CASE DATA'!A141="","",'CASE DATA'!E141)</f>
        <v/>
      </c>
      <c r="C140" s="36">
        <f>'CASE DATA'!D141</f>
        <v>0</v>
      </c>
      <c r="D140" s="37" t="str">
        <f>IF('CASE DATA'!I141="YES",SUM('CASE DATA'!K141:Q141),"n/a")</f>
        <v>n/a</v>
      </c>
      <c r="E140" s="38" t="str">
        <f>IF('CASE DATA'!G141="JUV", "YES", "NO")</f>
        <v>NO</v>
      </c>
      <c r="F140" s="38" t="str">
        <f t="array" ref="F140">IF(E140="YES",IF(SUM(COUNTIF('CASE DATA'!$G$4:$G$200, {"GTR","GPL","DEF","JUV"}))&gt;0, "YES","NO"),"N/A")</f>
        <v>N/A</v>
      </c>
      <c r="G140" s="38" t="str">
        <f>IF(E140="YES",IF(COUNTIF('CASE DATA'!$D$4:$D$200, "")-COUNTIF('CASE DATA'!$A$4:$A$200, "")&gt;0, "YES","NO"),"N/A")</f>
        <v>N/A</v>
      </c>
      <c r="H140" s="35" t="str">
        <f>_xlfn.IFS(E140="NO", "N/A", AND('BASIC INFO'!$B$3&gt;'BASIC INFO'!$B$6+6574.5, C140+730.5&lt;'BASIC INFO'!$B$3), "YES", 'BASIC INFO'!$B$3&lt;('BASIC INFO'!$B$6+6574.5), "NOT YET 18", C140+730.5&gt;'BASIC INFO'!$B$3, "NOT YET 2 YEARS")</f>
        <v>N/A</v>
      </c>
      <c r="I140" s="39" t="str">
        <f>IF(OR(AND(LEFT('CASE DATA'!F141,4)="321.",MID('CASE DATA'!A141,8,2)="SM"),MID('CASE DATA'!A141,8,2)="ST",MID('CASE DATA'!A141,8,2)="NT"),"TRAFFIC",IF(OR('CASE DATA'!G141="DISM", 'CASE DATA'!G141="ACQ", 'CASE DATA'!G141="NOTF", 'CASE DATA'!G141="WTHD", 'CASE DATA'!G141="TNSF"), "YES", "NO"))</f>
        <v>NO</v>
      </c>
      <c r="J140" s="40" t="str">
        <f>IF(I140="YES",'CASE DATA'!U141,"N/A")</f>
        <v>N/A</v>
      </c>
      <c r="K140" s="40" t="str">
        <f>IF(I140="YES",SOL!C141+SOL!D141,"N/A")</f>
        <v>N/A</v>
      </c>
      <c r="L140" s="35" t="str">
        <f>IF(I140="YES",IF(C140+180&lt;'BASIC INFO'!$B$3, "YES", "NO"),"N/A")</f>
        <v>N/A</v>
      </c>
      <c r="M140" s="40" t="str">
        <f t="array" ref="M140">IF(I140="TRAFFIC","n/a",IF(OR('CASE DATA'!G141="GTR", 'CASE DATA'!G141="GPL"),IF(SUM(COUNTIF('CASE DATA'!X141:AI141, 'CODE SECTIONS'!$V$2:$V$218&amp;"*"))&gt;0,"NO","YES"),"n/a"))</f>
        <v>n/a</v>
      </c>
      <c r="N140" s="40" t="str">
        <f t="array" ref="N140">IF(M140="YES",IF(OR((SUM(COUNTIF('CASE DATA'!X141:AI141,'CODE SECTIONS'!$X$2:$X$19&amp;"*"))&gt;0),LEFT('CASE DATA'!X141:AI141,4)="717C", LEFT('CASE DATA'!X141:AI141, 3)="719", LEFT('CASE DATA'!X141:AI141,3)="720", LEFT('CASE DATA'!X141:AI141,3)="724", LEFT('CASE DATA'!X141:AI141,3)="726", LEFT('CASE DATA'!X141:AI141,3)="728", LEFT('CASE DATA'!X141:AI141,4)="901A"), "ineligible misd","eligible"),"n/a")</f>
        <v>n/a</v>
      </c>
      <c r="O140" s="40" t="str">
        <f>IF(N140="eligible",IF(COUNTIF('CASE DATA'!$D$4:$D$200, "")-COUNTIF('CASE DATA'!$A$4:$A$200, "")&gt;0, "YES","NO"),"N/A")</f>
        <v>N/A</v>
      </c>
      <c r="P140" s="40" t="str">
        <f>IF(N140="eligible",BANKRUPTCY!C141+BANKRUPTCY!D141,"N/A")</f>
        <v>N/A</v>
      </c>
      <c r="Q140" s="40" t="str">
        <f>IF(N140="eligible",SOL!C141+SOL!D141,"N/A")</f>
        <v>N/A</v>
      </c>
      <c r="R140" s="40" t="str">
        <f>IF(N140="eligible",SUM('CASE DATA'!K141:T141),"N/A")</f>
        <v>N/A</v>
      </c>
      <c r="S140" s="40" t="str">
        <f>IF(N140="eligible",IF(C140+2920&lt;'BASIC INFO'!$B$3, "YES", "NO"),"N/A")</f>
        <v>N/A</v>
      </c>
      <c r="T140" s="39" t="str">
        <f>IF(OR('CASE DATA'!G141="DEF"), "YES", "NO")</f>
        <v>NO</v>
      </c>
      <c r="U140" s="35" t="str">
        <f>IF(T140="YES",'CASE DATA'!I141,"N/A")</f>
        <v>N/A</v>
      </c>
      <c r="V140" s="40" t="str">
        <f>IF(T140="YES",BANKRUPTCY!C141+BANKRUPTCY!D141,"N/A")</f>
        <v>N/A</v>
      </c>
      <c r="W140" s="40" t="str">
        <f>IF(T140="YES",SUM('CASE DATA'!K141:T141),"N/A")</f>
        <v>N/A</v>
      </c>
      <c r="X140" s="35" t="str">
        <f>IF(OR('CASE DATA'!F141="123.46",'CASE DATA'!F141="123.47"),"YES","NO")</f>
        <v>NO</v>
      </c>
      <c r="Y140" s="40" t="str">
        <f>IF(X140="YES",IF(C140+730.5&lt;'BASIC INFO'!$B$3, "YES","NO"), "N/A")</f>
        <v>N/A</v>
      </c>
      <c r="Z140" s="35" t="str">
        <f>IF('CASE DATA'!F141="725.1","YES","NO")</f>
        <v>NO</v>
      </c>
      <c r="AA140" s="35" t="str">
        <f>IF(Z140="YES",IF(C140+730.5&lt;'BASIC INFO'!$B$3, "YES","NO"), "N/A")</f>
        <v>N/A</v>
      </c>
      <c r="AB140" s="35" t="str">
        <f>IF('BASIC INFO'!$B$6+6574.5&gt;C140, "YES", "NO")</f>
        <v>YES</v>
      </c>
    </row>
    <row r="141" spans="1:28" x14ac:dyDescent="0.25">
      <c r="A141" s="35" t="str">
        <f>IF('CASE DATA'!A142="","z",'CASE DATA'!A142)</f>
        <v>z</v>
      </c>
      <c r="B141" s="66" t="str">
        <f>IF('CASE DATA'!A142="","",'CASE DATA'!E142)</f>
        <v/>
      </c>
      <c r="C141" s="36">
        <f>'CASE DATA'!D142</f>
        <v>0</v>
      </c>
      <c r="D141" s="37" t="str">
        <f>IF('CASE DATA'!I142="YES",SUM('CASE DATA'!K142:Q142),"n/a")</f>
        <v>n/a</v>
      </c>
      <c r="E141" s="38" t="str">
        <f>IF('CASE DATA'!G142="JUV", "YES", "NO")</f>
        <v>NO</v>
      </c>
      <c r="F141" s="38" t="str">
        <f t="array" ref="F141">IF(E141="YES",IF(SUM(COUNTIF('CASE DATA'!$G$4:$G$200, {"GTR","GPL","DEF","JUV"}))&gt;0, "YES","NO"),"N/A")</f>
        <v>N/A</v>
      </c>
      <c r="G141" s="38" t="str">
        <f>IF(E141="YES",IF(COUNTIF('CASE DATA'!$D$4:$D$200, "")-COUNTIF('CASE DATA'!$A$4:$A$200, "")&gt;0, "YES","NO"),"N/A")</f>
        <v>N/A</v>
      </c>
      <c r="H141" s="35" t="str">
        <f>_xlfn.IFS(E141="NO", "N/A", AND('BASIC INFO'!$B$3&gt;'BASIC INFO'!$B$6+6574.5, C141+730.5&lt;'BASIC INFO'!$B$3), "YES", 'BASIC INFO'!$B$3&lt;('BASIC INFO'!$B$6+6574.5), "NOT YET 18", C141+730.5&gt;'BASIC INFO'!$B$3, "NOT YET 2 YEARS")</f>
        <v>N/A</v>
      </c>
      <c r="I141" s="39" t="str">
        <f>IF(OR(AND(LEFT('CASE DATA'!F142,4)="321.",MID('CASE DATA'!A142,8,2)="SM"),MID('CASE DATA'!A142,8,2)="ST",MID('CASE DATA'!A142,8,2)="NT"),"TRAFFIC",IF(OR('CASE DATA'!G142="DISM", 'CASE DATA'!G142="ACQ", 'CASE DATA'!G142="NOTF", 'CASE DATA'!G142="WTHD", 'CASE DATA'!G142="TNSF"), "YES", "NO"))</f>
        <v>NO</v>
      </c>
      <c r="J141" s="40" t="str">
        <f>IF(I141="YES",'CASE DATA'!U142,"N/A")</f>
        <v>N/A</v>
      </c>
      <c r="K141" s="40" t="str">
        <f>IF(I141="YES",SOL!C142+SOL!D142,"N/A")</f>
        <v>N/A</v>
      </c>
      <c r="L141" s="35" t="str">
        <f>IF(I141="YES",IF(C141+180&lt;'BASIC INFO'!$B$3, "YES", "NO"),"N/A")</f>
        <v>N/A</v>
      </c>
      <c r="M141" s="40" t="str">
        <f t="array" ref="M141">IF(I141="TRAFFIC","n/a",IF(OR('CASE DATA'!G142="GTR", 'CASE DATA'!G142="GPL"),IF(SUM(COUNTIF('CASE DATA'!X142:AI142, 'CODE SECTIONS'!$V$2:$V$218&amp;"*"))&gt;0,"NO","YES"),"n/a"))</f>
        <v>n/a</v>
      </c>
      <c r="N141" s="40" t="str">
        <f t="array" ref="N141">IF(M141="YES",IF(OR((SUM(COUNTIF('CASE DATA'!X142:AI142,'CODE SECTIONS'!$X$2:$X$19&amp;"*"))&gt;0),LEFT('CASE DATA'!X142:AI142,4)="717C", LEFT('CASE DATA'!X142:AI142, 3)="719", LEFT('CASE DATA'!X142:AI142,3)="720", LEFT('CASE DATA'!X142:AI142,3)="724", LEFT('CASE DATA'!X142:AI142,3)="726", LEFT('CASE DATA'!X142:AI142,3)="728", LEFT('CASE DATA'!X142:AI142,4)="901A"), "ineligible misd","eligible"),"n/a")</f>
        <v>n/a</v>
      </c>
      <c r="O141" s="40" t="str">
        <f>IF(N141="eligible",IF(COUNTIF('CASE DATA'!$D$4:$D$200, "")-COUNTIF('CASE DATA'!$A$4:$A$200, "")&gt;0, "YES","NO"),"N/A")</f>
        <v>N/A</v>
      </c>
      <c r="P141" s="40" t="str">
        <f>IF(N141="eligible",BANKRUPTCY!C142+BANKRUPTCY!D142,"N/A")</f>
        <v>N/A</v>
      </c>
      <c r="Q141" s="40" t="str">
        <f>IF(N141="eligible",SOL!C142+SOL!D142,"N/A")</f>
        <v>N/A</v>
      </c>
      <c r="R141" s="40" t="str">
        <f>IF(N141="eligible",SUM('CASE DATA'!K142:T142),"N/A")</f>
        <v>N/A</v>
      </c>
      <c r="S141" s="40" t="str">
        <f>IF(N141="eligible",IF(C141+2920&lt;'BASIC INFO'!$B$3, "YES", "NO"),"N/A")</f>
        <v>N/A</v>
      </c>
      <c r="T141" s="39" t="str">
        <f>IF(OR('CASE DATA'!G142="DEF"), "YES", "NO")</f>
        <v>NO</v>
      </c>
      <c r="U141" s="35" t="str">
        <f>IF(T141="YES",'CASE DATA'!I142,"N/A")</f>
        <v>N/A</v>
      </c>
      <c r="V141" s="40" t="str">
        <f>IF(T141="YES",BANKRUPTCY!C142+BANKRUPTCY!D142,"N/A")</f>
        <v>N/A</v>
      </c>
      <c r="W141" s="40" t="str">
        <f>IF(T141="YES",SUM('CASE DATA'!K142:T142),"N/A")</f>
        <v>N/A</v>
      </c>
      <c r="X141" s="35" t="str">
        <f>IF(OR('CASE DATA'!F142="123.46",'CASE DATA'!F142="123.47"),"YES","NO")</f>
        <v>NO</v>
      </c>
      <c r="Y141" s="40" t="str">
        <f>IF(X141="YES",IF(C141+730.5&lt;'BASIC INFO'!$B$3, "YES","NO"), "N/A")</f>
        <v>N/A</v>
      </c>
      <c r="Z141" s="35" t="str">
        <f>IF('CASE DATA'!F142="725.1","YES","NO")</f>
        <v>NO</v>
      </c>
      <c r="AA141" s="35" t="str">
        <f>IF(Z141="YES",IF(C141+730.5&lt;'BASIC INFO'!$B$3, "YES","NO"), "N/A")</f>
        <v>N/A</v>
      </c>
      <c r="AB141" s="35" t="str">
        <f>IF('BASIC INFO'!$B$6+6574.5&gt;C141, "YES", "NO")</f>
        <v>YES</v>
      </c>
    </row>
    <row r="142" spans="1:28" x14ac:dyDescent="0.25">
      <c r="A142" s="35" t="str">
        <f>IF('CASE DATA'!A143="","z",'CASE DATA'!A143)</f>
        <v>z</v>
      </c>
      <c r="B142" s="66" t="str">
        <f>IF('CASE DATA'!A143="","",'CASE DATA'!E143)</f>
        <v/>
      </c>
      <c r="C142" s="36">
        <f>'CASE DATA'!D143</f>
        <v>0</v>
      </c>
      <c r="D142" s="37" t="str">
        <f>IF('CASE DATA'!I143="YES",SUM('CASE DATA'!K143:Q143),"n/a")</f>
        <v>n/a</v>
      </c>
      <c r="E142" s="38" t="str">
        <f>IF('CASE DATA'!G143="JUV", "YES", "NO")</f>
        <v>NO</v>
      </c>
      <c r="F142" s="38" t="str">
        <f t="array" ref="F142">IF(E142="YES",IF(SUM(COUNTIF('CASE DATA'!$G$4:$G$200, {"GTR","GPL","DEF","JUV"}))&gt;0, "YES","NO"),"N/A")</f>
        <v>N/A</v>
      </c>
      <c r="G142" s="38" t="str">
        <f>IF(E142="YES",IF(COUNTIF('CASE DATA'!$D$4:$D$200, "")-COUNTIF('CASE DATA'!$A$4:$A$200, "")&gt;0, "YES","NO"),"N/A")</f>
        <v>N/A</v>
      </c>
      <c r="H142" s="35" t="str">
        <f>_xlfn.IFS(E142="NO", "N/A", AND('BASIC INFO'!$B$3&gt;'BASIC INFO'!$B$6+6574.5, C142+730.5&lt;'BASIC INFO'!$B$3), "YES", 'BASIC INFO'!$B$3&lt;('BASIC INFO'!$B$6+6574.5), "NOT YET 18", C142+730.5&gt;'BASIC INFO'!$B$3, "NOT YET 2 YEARS")</f>
        <v>N/A</v>
      </c>
      <c r="I142" s="39" t="str">
        <f>IF(OR(AND(LEFT('CASE DATA'!F143,4)="321.",MID('CASE DATA'!A143,8,2)="SM"),MID('CASE DATA'!A143,8,2)="ST",MID('CASE DATA'!A143,8,2)="NT"),"TRAFFIC",IF(OR('CASE DATA'!G143="DISM", 'CASE DATA'!G143="ACQ", 'CASE DATA'!G143="NOTF", 'CASE DATA'!G143="WTHD", 'CASE DATA'!G143="TNSF"), "YES", "NO"))</f>
        <v>NO</v>
      </c>
      <c r="J142" s="40" t="str">
        <f>IF(I142="YES",'CASE DATA'!U143,"N/A")</f>
        <v>N/A</v>
      </c>
      <c r="K142" s="40" t="str">
        <f>IF(I142="YES",SOL!C143+SOL!D143,"N/A")</f>
        <v>N/A</v>
      </c>
      <c r="L142" s="35" t="str">
        <f>IF(I142="YES",IF(C142+180&lt;'BASIC INFO'!$B$3, "YES", "NO"),"N/A")</f>
        <v>N/A</v>
      </c>
      <c r="M142" s="40" t="str">
        <f t="array" ref="M142">IF(I142="TRAFFIC","n/a",IF(OR('CASE DATA'!G143="GTR", 'CASE DATA'!G143="GPL"),IF(SUM(COUNTIF('CASE DATA'!X143:AI143, 'CODE SECTIONS'!$V$2:$V$218&amp;"*"))&gt;0,"NO","YES"),"n/a"))</f>
        <v>n/a</v>
      </c>
      <c r="N142" s="40" t="str">
        <f t="array" ref="N142">IF(M142="YES",IF(OR((SUM(COUNTIF('CASE DATA'!X143:AI143,'CODE SECTIONS'!$X$2:$X$19&amp;"*"))&gt;0),LEFT('CASE DATA'!X143:AI143,4)="717C", LEFT('CASE DATA'!X143:AI143, 3)="719", LEFT('CASE DATA'!X143:AI143,3)="720", LEFT('CASE DATA'!X143:AI143,3)="724", LEFT('CASE DATA'!X143:AI143,3)="726", LEFT('CASE DATA'!X143:AI143,3)="728", LEFT('CASE DATA'!X143:AI143,4)="901A"), "ineligible misd","eligible"),"n/a")</f>
        <v>n/a</v>
      </c>
      <c r="O142" s="40" t="str">
        <f>IF(N142="eligible",IF(COUNTIF('CASE DATA'!$D$4:$D$200, "")-COUNTIF('CASE DATA'!$A$4:$A$200, "")&gt;0, "YES","NO"),"N/A")</f>
        <v>N/A</v>
      </c>
      <c r="P142" s="40" t="str">
        <f>IF(N142="eligible",BANKRUPTCY!C143+BANKRUPTCY!D143,"N/A")</f>
        <v>N/A</v>
      </c>
      <c r="Q142" s="40" t="str">
        <f>IF(N142="eligible",SOL!C143+SOL!D143,"N/A")</f>
        <v>N/A</v>
      </c>
      <c r="R142" s="40" t="str">
        <f>IF(N142="eligible",SUM('CASE DATA'!K143:T143),"N/A")</f>
        <v>N/A</v>
      </c>
      <c r="S142" s="40" t="str">
        <f>IF(N142="eligible",IF(C142+2920&lt;'BASIC INFO'!$B$3, "YES", "NO"),"N/A")</f>
        <v>N/A</v>
      </c>
      <c r="T142" s="39" t="str">
        <f>IF(OR('CASE DATA'!G143="DEF"), "YES", "NO")</f>
        <v>NO</v>
      </c>
      <c r="U142" s="35" t="str">
        <f>IF(T142="YES",'CASE DATA'!I143,"N/A")</f>
        <v>N/A</v>
      </c>
      <c r="V142" s="40" t="str">
        <f>IF(T142="YES",BANKRUPTCY!C143+BANKRUPTCY!D143,"N/A")</f>
        <v>N/A</v>
      </c>
      <c r="W142" s="40" t="str">
        <f>IF(T142="YES",SUM('CASE DATA'!K143:T143),"N/A")</f>
        <v>N/A</v>
      </c>
      <c r="X142" s="35" t="str">
        <f>IF(OR('CASE DATA'!F143="123.46",'CASE DATA'!F143="123.47"),"YES","NO")</f>
        <v>NO</v>
      </c>
      <c r="Y142" s="40" t="str">
        <f>IF(X142="YES",IF(C142+730.5&lt;'BASIC INFO'!$B$3, "YES","NO"), "N/A")</f>
        <v>N/A</v>
      </c>
      <c r="Z142" s="35" t="str">
        <f>IF('CASE DATA'!F143="725.1","YES","NO")</f>
        <v>NO</v>
      </c>
      <c r="AA142" s="35" t="str">
        <f>IF(Z142="YES",IF(C142+730.5&lt;'BASIC INFO'!$B$3, "YES","NO"), "N/A")</f>
        <v>N/A</v>
      </c>
      <c r="AB142" s="35" t="str">
        <f>IF('BASIC INFO'!$B$6+6574.5&gt;C142, "YES", "NO")</f>
        <v>YES</v>
      </c>
    </row>
    <row r="143" spans="1:28" x14ac:dyDescent="0.25">
      <c r="A143" s="35" t="str">
        <f>IF('CASE DATA'!A144="","z",'CASE DATA'!A144)</f>
        <v>z</v>
      </c>
      <c r="B143" s="66" t="str">
        <f>IF('CASE DATA'!A144="","",'CASE DATA'!E144)</f>
        <v/>
      </c>
      <c r="C143" s="36">
        <f>'CASE DATA'!D144</f>
        <v>0</v>
      </c>
      <c r="D143" s="37" t="str">
        <f>IF('CASE DATA'!I144="YES",SUM('CASE DATA'!K144:Q144),"n/a")</f>
        <v>n/a</v>
      </c>
      <c r="E143" s="38" t="str">
        <f>IF('CASE DATA'!G144="JUV", "YES", "NO")</f>
        <v>NO</v>
      </c>
      <c r="F143" s="38" t="str">
        <f t="array" ref="F143">IF(E143="YES",IF(SUM(COUNTIF('CASE DATA'!$G$4:$G$200, {"GTR","GPL","DEF","JUV"}))&gt;0, "YES","NO"),"N/A")</f>
        <v>N/A</v>
      </c>
      <c r="G143" s="38" t="str">
        <f>IF(E143="YES",IF(COUNTIF('CASE DATA'!$D$4:$D$200, "")-COUNTIF('CASE DATA'!$A$4:$A$200, "")&gt;0, "YES","NO"),"N/A")</f>
        <v>N/A</v>
      </c>
      <c r="H143" s="35" t="str">
        <f>_xlfn.IFS(E143="NO", "N/A", AND('BASIC INFO'!$B$3&gt;'BASIC INFO'!$B$6+6574.5, C143+730.5&lt;'BASIC INFO'!$B$3), "YES", 'BASIC INFO'!$B$3&lt;('BASIC INFO'!$B$6+6574.5), "NOT YET 18", C143+730.5&gt;'BASIC INFO'!$B$3, "NOT YET 2 YEARS")</f>
        <v>N/A</v>
      </c>
      <c r="I143" s="39" t="str">
        <f>IF(OR(AND(LEFT('CASE DATA'!F144,4)="321.",MID('CASE DATA'!A144,8,2)="SM"),MID('CASE DATA'!A144,8,2)="ST",MID('CASE DATA'!A144,8,2)="NT"),"TRAFFIC",IF(OR('CASE DATA'!G144="DISM", 'CASE DATA'!G144="ACQ", 'CASE DATA'!G144="NOTF", 'CASE DATA'!G144="WTHD", 'CASE DATA'!G144="TNSF"), "YES", "NO"))</f>
        <v>NO</v>
      </c>
      <c r="J143" s="40" t="str">
        <f>IF(I143="YES",'CASE DATA'!U144,"N/A")</f>
        <v>N/A</v>
      </c>
      <c r="K143" s="40" t="str">
        <f>IF(I143="YES",SOL!C144+SOL!D144,"N/A")</f>
        <v>N/A</v>
      </c>
      <c r="L143" s="35" t="str">
        <f>IF(I143="YES",IF(C143+180&lt;'BASIC INFO'!$B$3, "YES", "NO"),"N/A")</f>
        <v>N/A</v>
      </c>
      <c r="M143" s="40" t="str">
        <f t="array" ref="M143">IF(I143="TRAFFIC","n/a",IF(OR('CASE DATA'!G144="GTR", 'CASE DATA'!G144="GPL"),IF(SUM(COUNTIF('CASE DATA'!X144:AI144, 'CODE SECTIONS'!$V$2:$V$218&amp;"*"))&gt;0,"NO","YES"),"n/a"))</f>
        <v>n/a</v>
      </c>
      <c r="N143" s="40" t="str">
        <f t="array" ref="N143">IF(M143="YES",IF(OR((SUM(COUNTIF('CASE DATA'!X144:AI144,'CODE SECTIONS'!$X$2:$X$19&amp;"*"))&gt;0),LEFT('CASE DATA'!X144:AI144,4)="717C", LEFT('CASE DATA'!X144:AI144, 3)="719", LEFT('CASE DATA'!X144:AI144,3)="720", LEFT('CASE DATA'!X144:AI144,3)="724", LEFT('CASE DATA'!X144:AI144,3)="726", LEFT('CASE DATA'!X144:AI144,3)="728", LEFT('CASE DATA'!X144:AI144,4)="901A"), "ineligible misd","eligible"),"n/a")</f>
        <v>n/a</v>
      </c>
      <c r="O143" s="40" t="str">
        <f>IF(N143="eligible",IF(COUNTIF('CASE DATA'!$D$4:$D$200, "")-COUNTIF('CASE DATA'!$A$4:$A$200, "")&gt;0, "YES","NO"),"N/A")</f>
        <v>N/A</v>
      </c>
      <c r="P143" s="40" t="str">
        <f>IF(N143="eligible",BANKRUPTCY!C144+BANKRUPTCY!D144,"N/A")</f>
        <v>N/A</v>
      </c>
      <c r="Q143" s="40" t="str">
        <f>IF(N143="eligible",SOL!C144+SOL!D144,"N/A")</f>
        <v>N/A</v>
      </c>
      <c r="R143" s="40" t="str">
        <f>IF(N143="eligible",SUM('CASE DATA'!K144:T144),"N/A")</f>
        <v>N/A</v>
      </c>
      <c r="S143" s="40" t="str">
        <f>IF(N143="eligible",IF(C143+2920&lt;'BASIC INFO'!$B$3, "YES", "NO"),"N/A")</f>
        <v>N/A</v>
      </c>
      <c r="T143" s="39" t="str">
        <f>IF(OR('CASE DATA'!G144="DEF"), "YES", "NO")</f>
        <v>NO</v>
      </c>
      <c r="U143" s="35" t="str">
        <f>IF(T143="YES",'CASE DATA'!I144,"N/A")</f>
        <v>N/A</v>
      </c>
      <c r="V143" s="40" t="str">
        <f>IF(T143="YES",BANKRUPTCY!C144+BANKRUPTCY!D144,"N/A")</f>
        <v>N/A</v>
      </c>
      <c r="W143" s="40" t="str">
        <f>IF(T143="YES",SUM('CASE DATA'!K144:T144),"N/A")</f>
        <v>N/A</v>
      </c>
      <c r="X143" s="35" t="str">
        <f>IF(OR('CASE DATA'!F144="123.46",'CASE DATA'!F144="123.47"),"YES","NO")</f>
        <v>NO</v>
      </c>
      <c r="Y143" s="40" t="str">
        <f>IF(X143="YES",IF(C143+730.5&lt;'BASIC INFO'!$B$3, "YES","NO"), "N/A")</f>
        <v>N/A</v>
      </c>
      <c r="Z143" s="35" t="str">
        <f>IF('CASE DATA'!F144="725.1","YES","NO")</f>
        <v>NO</v>
      </c>
      <c r="AA143" s="35" t="str">
        <f>IF(Z143="YES",IF(C143+730.5&lt;'BASIC INFO'!$B$3, "YES","NO"), "N/A")</f>
        <v>N/A</v>
      </c>
      <c r="AB143" s="35" t="str">
        <f>IF('BASIC INFO'!$B$6+6574.5&gt;C143, "YES", "NO")</f>
        <v>YES</v>
      </c>
    </row>
    <row r="144" spans="1:28" x14ac:dyDescent="0.25">
      <c r="A144" s="35" t="str">
        <f>IF('CASE DATA'!A145="","z",'CASE DATA'!A145)</f>
        <v>z</v>
      </c>
      <c r="B144" s="66" t="str">
        <f>IF('CASE DATA'!A145="","",'CASE DATA'!E145)</f>
        <v/>
      </c>
      <c r="C144" s="36">
        <f>'CASE DATA'!D145</f>
        <v>0</v>
      </c>
      <c r="D144" s="37" t="str">
        <f>IF('CASE DATA'!I145="YES",SUM('CASE DATA'!K145:Q145),"n/a")</f>
        <v>n/a</v>
      </c>
      <c r="E144" s="38" t="str">
        <f>IF('CASE DATA'!G145="JUV", "YES", "NO")</f>
        <v>NO</v>
      </c>
      <c r="F144" s="38" t="str">
        <f t="array" ref="F144">IF(E144="YES",IF(SUM(COUNTIF('CASE DATA'!$G$4:$G$200, {"GTR","GPL","DEF","JUV"}))&gt;0, "YES","NO"),"N/A")</f>
        <v>N/A</v>
      </c>
      <c r="G144" s="38" t="str">
        <f>IF(E144="YES",IF(COUNTIF('CASE DATA'!$D$4:$D$200, "")-COUNTIF('CASE DATA'!$A$4:$A$200, "")&gt;0, "YES","NO"),"N/A")</f>
        <v>N/A</v>
      </c>
      <c r="H144" s="35" t="str">
        <f>_xlfn.IFS(E144="NO", "N/A", AND('BASIC INFO'!$B$3&gt;'BASIC INFO'!$B$6+6574.5, C144+730.5&lt;'BASIC INFO'!$B$3), "YES", 'BASIC INFO'!$B$3&lt;('BASIC INFO'!$B$6+6574.5), "NOT YET 18", C144+730.5&gt;'BASIC INFO'!$B$3, "NOT YET 2 YEARS")</f>
        <v>N/A</v>
      </c>
      <c r="I144" s="39" t="str">
        <f>IF(OR(AND(LEFT('CASE DATA'!F145,4)="321.",MID('CASE DATA'!A145,8,2)="SM"),MID('CASE DATA'!A145,8,2)="ST",MID('CASE DATA'!A145,8,2)="NT"),"TRAFFIC",IF(OR('CASE DATA'!G145="DISM", 'CASE DATA'!G145="ACQ", 'CASE DATA'!G145="NOTF", 'CASE DATA'!G145="WTHD", 'CASE DATA'!G145="TNSF"), "YES", "NO"))</f>
        <v>NO</v>
      </c>
      <c r="J144" s="40" t="str">
        <f>IF(I144="YES",'CASE DATA'!U145,"N/A")</f>
        <v>N/A</v>
      </c>
      <c r="K144" s="40" t="str">
        <f>IF(I144="YES",SOL!C145+SOL!D145,"N/A")</f>
        <v>N/A</v>
      </c>
      <c r="L144" s="35" t="str">
        <f>IF(I144="YES",IF(C144+180&lt;'BASIC INFO'!$B$3, "YES", "NO"),"N/A")</f>
        <v>N/A</v>
      </c>
      <c r="M144" s="40" t="str">
        <f t="array" ref="M144">IF(I144="TRAFFIC","n/a",IF(OR('CASE DATA'!G145="GTR", 'CASE DATA'!G145="GPL"),IF(SUM(COUNTIF('CASE DATA'!X145:AI145, 'CODE SECTIONS'!$V$2:$V$218&amp;"*"))&gt;0,"NO","YES"),"n/a"))</f>
        <v>n/a</v>
      </c>
      <c r="N144" s="40" t="str">
        <f t="array" ref="N144">IF(M144="YES",IF(OR((SUM(COUNTIF('CASE DATA'!X145:AI145,'CODE SECTIONS'!$X$2:$X$19&amp;"*"))&gt;0),LEFT('CASE DATA'!X145:AI145,4)="717C", LEFT('CASE DATA'!X145:AI145, 3)="719", LEFT('CASE DATA'!X145:AI145,3)="720", LEFT('CASE DATA'!X145:AI145,3)="724", LEFT('CASE DATA'!X145:AI145,3)="726", LEFT('CASE DATA'!X145:AI145,3)="728", LEFT('CASE DATA'!X145:AI145,4)="901A"), "ineligible misd","eligible"),"n/a")</f>
        <v>n/a</v>
      </c>
      <c r="O144" s="40" t="str">
        <f>IF(N144="eligible",IF(COUNTIF('CASE DATA'!$D$4:$D$200, "")-COUNTIF('CASE DATA'!$A$4:$A$200, "")&gt;0, "YES","NO"),"N/A")</f>
        <v>N/A</v>
      </c>
      <c r="P144" s="40" t="str">
        <f>IF(N144="eligible",BANKRUPTCY!C145+BANKRUPTCY!D145,"N/A")</f>
        <v>N/A</v>
      </c>
      <c r="Q144" s="40" t="str">
        <f>IF(N144="eligible",SOL!C145+SOL!D145,"N/A")</f>
        <v>N/A</v>
      </c>
      <c r="R144" s="40" t="str">
        <f>IF(N144="eligible",SUM('CASE DATA'!K145:T145),"N/A")</f>
        <v>N/A</v>
      </c>
      <c r="S144" s="40" t="str">
        <f>IF(N144="eligible",IF(C144+2920&lt;'BASIC INFO'!$B$3, "YES", "NO"),"N/A")</f>
        <v>N/A</v>
      </c>
      <c r="T144" s="39" t="str">
        <f>IF(OR('CASE DATA'!G145="DEF"), "YES", "NO")</f>
        <v>NO</v>
      </c>
      <c r="U144" s="35" t="str">
        <f>IF(T144="YES",'CASE DATA'!I145,"N/A")</f>
        <v>N/A</v>
      </c>
      <c r="V144" s="40" t="str">
        <f>IF(T144="YES",BANKRUPTCY!C145+BANKRUPTCY!D145,"N/A")</f>
        <v>N/A</v>
      </c>
      <c r="W144" s="40" t="str">
        <f>IF(T144="YES",SUM('CASE DATA'!K145:T145),"N/A")</f>
        <v>N/A</v>
      </c>
      <c r="X144" s="35" t="str">
        <f>IF(OR('CASE DATA'!F145="123.46",'CASE DATA'!F145="123.47"),"YES","NO")</f>
        <v>NO</v>
      </c>
      <c r="Y144" s="40" t="str">
        <f>IF(X144="YES",IF(C144+730.5&lt;'BASIC INFO'!$B$3, "YES","NO"), "N/A")</f>
        <v>N/A</v>
      </c>
      <c r="Z144" s="35" t="str">
        <f>IF('CASE DATA'!F145="725.1","YES","NO")</f>
        <v>NO</v>
      </c>
      <c r="AA144" s="35" t="str">
        <f>IF(Z144="YES",IF(C144+730.5&lt;'BASIC INFO'!$B$3, "YES","NO"), "N/A")</f>
        <v>N/A</v>
      </c>
      <c r="AB144" s="35" t="str">
        <f>IF('BASIC INFO'!$B$6+6574.5&gt;C144, "YES", "NO")</f>
        <v>YES</v>
      </c>
    </row>
    <row r="145" spans="1:28" x14ac:dyDescent="0.25">
      <c r="A145" s="35" t="str">
        <f>IF('CASE DATA'!A146="","z",'CASE DATA'!A146)</f>
        <v>z</v>
      </c>
      <c r="B145" s="66" t="str">
        <f>IF('CASE DATA'!A146="","",'CASE DATA'!E146)</f>
        <v/>
      </c>
      <c r="C145" s="36">
        <f>'CASE DATA'!D146</f>
        <v>0</v>
      </c>
      <c r="D145" s="37" t="str">
        <f>IF('CASE DATA'!I146="YES",SUM('CASE DATA'!K146:Q146),"n/a")</f>
        <v>n/a</v>
      </c>
      <c r="E145" s="38" t="str">
        <f>IF('CASE DATA'!G146="JUV", "YES", "NO")</f>
        <v>NO</v>
      </c>
      <c r="F145" s="38" t="str">
        <f t="array" ref="F145">IF(E145="YES",IF(SUM(COUNTIF('CASE DATA'!$G$4:$G$200, {"GTR","GPL","DEF","JUV"}))&gt;0, "YES","NO"),"N/A")</f>
        <v>N/A</v>
      </c>
      <c r="G145" s="38" t="str">
        <f>IF(E145="YES",IF(COUNTIF('CASE DATA'!$D$4:$D$200, "")-COUNTIF('CASE DATA'!$A$4:$A$200, "")&gt;0, "YES","NO"),"N/A")</f>
        <v>N/A</v>
      </c>
      <c r="H145" s="35" t="str">
        <f>_xlfn.IFS(E145="NO", "N/A", AND('BASIC INFO'!$B$3&gt;'BASIC INFO'!$B$6+6574.5, C145+730.5&lt;'BASIC INFO'!$B$3), "YES", 'BASIC INFO'!$B$3&lt;('BASIC INFO'!$B$6+6574.5), "NOT YET 18", C145+730.5&gt;'BASIC INFO'!$B$3, "NOT YET 2 YEARS")</f>
        <v>N/A</v>
      </c>
      <c r="I145" s="39" t="str">
        <f>IF(OR(AND(LEFT('CASE DATA'!F146,4)="321.",MID('CASE DATA'!A146,8,2)="SM"),MID('CASE DATA'!A146,8,2)="ST",MID('CASE DATA'!A146,8,2)="NT"),"TRAFFIC",IF(OR('CASE DATA'!G146="DISM", 'CASE DATA'!G146="ACQ", 'CASE DATA'!G146="NOTF", 'CASE DATA'!G146="WTHD", 'CASE DATA'!G146="TNSF"), "YES", "NO"))</f>
        <v>NO</v>
      </c>
      <c r="J145" s="40" t="str">
        <f>IF(I145="YES",'CASE DATA'!U146,"N/A")</f>
        <v>N/A</v>
      </c>
      <c r="K145" s="40" t="str">
        <f>IF(I145="YES",SOL!C146+SOL!D146,"N/A")</f>
        <v>N/A</v>
      </c>
      <c r="L145" s="35" t="str">
        <f>IF(I145="YES",IF(C145+180&lt;'BASIC INFO'!$B$3, "YES", "NO"),"N/A")</f>
        <v>N/A</v>
      </c>
      <c r="M145" s="40" t="str">
        <f t="array" ref="M145">IF(I145="TRAFFIC","n/a",IF(OR('CASE DATA'!G146="GTR", 'CASE DATA'!G146="GPL"),IF(SUM(COUNTIF('CASE DATA'!X146:AI146, 'CODE SECTIONS'!$V$2:$V$218&amp;"*"))&gt;0,"NO","YES"),"n/a"))</f>
        <v>n/a</v>
      </c>
      <c r="N145" s="40" t="str">
        <f t="array" ref="N145">IF(M145="YES",IF(OR((SUM(COUNTIF('CASE DATA'!X146:AI146,'CODE SECTIONS'!$X$2:$X$19&amp;"*"))&gt;0),LEFT('CASE DATA'!X146:AI146,4)="717C", LEFT('CASE DATA'!X146:AI146, 3)="719", LEFT('CASE DATA'!X146:AI146,3)="720", LEFT('CASE DATA'!X146:AI146,3)="724", LEFT('CASE DATA'!X146:AI146,3)="726", LEFT('CASE DATA'!X146:AI146,3)="728", LEFT('CASE DATA'!X146:AI146,4)="901A"), "ineligible misd","eligible"),"n/a")</f>
        <v>n/a</v>
      </c>
      <c r="O145" s="40" t="str">
        <f>IF(N145="eligible",IF(COUNTIF('CASE DATA'!$D$4:$D$200, "")-COUNTIF('CASE DATA'!$A$4:$A$200, "")&gt;0, "YES","NO"),"N/A")</f>
        <v>N/A</v>
      </c>
      <c r="P145" s="40" t="str">
        <f>IF(N145="eligible",BANKRUPTCY!C146+BANKRUPTCY!D146,"N/A")</f>
        <v>N/A</v>
      </c>
      <c r="Q145" s="40" t="str">
        <f>IF(N145="eligible",SOL!C146+SOL!D146,"N/A")</f>
        <v>N/A</v>
      </c>
      <c r="R145" s="40" t="str">
        <f>IF(N145="eligible",SUM('CASE DATA'!K146:T146),"N/A")</f>
        <v>N/A</v>
      </c>
      <c r="S145" s="40" t="str">
        <f>IF(N145="eligible",IF(C145+2920&lt;'BASIC INFO'!$B$3, "YES", "NO"),"N/A")</f>
        <v>N/A</v>
      </c>
      <c r="T145" s="39" t="str">
        <f>IF(OR('CASE DATA'!G146="DEF"), "YES", "NO")</f>
        <v>NO</v>
      </c>
      <c r="U145" s="35" t="str">
        <f>IF(T145="YES",'CASE DATA'!I146,"N/A")</f>
        <v>N/A</v>
      </c>
      <c r="V145" s="40" t="str">
        <f>IF(T145="YES",BANKRUPTCY!C146+BANKRUPTCY!D146,"N/A")</f>
        <v>N/A</v>
      </c>
      <c r="W145" s="40" t="str">
        <f>IF(T145="YES",SUM('CASE DATA'!K146:T146),"N/A")</f>
        <v>N/A</v>
      </c>
      <c r="X145" s="35" t="str">
        <f>IF(OR('CASE DATA'!F146="123.46",'CASE DATA'!F146="123.47"),"YES","NO")</f>
        <v>NO</v>
      </c>
      <c r="Y145" s="40" t="str">
        <f>IF(X145="YES",IF(C145+730.5&lt;'BASIC INFO'!$B$3, "YES","NO"), "N/A")</f>
        <v>N/A</v>
      </c>
      <c r="Z145" s="35" t="str">
        <f>IF('CASE DATA'!F146="725.1","YES","NO")</f>
        <v>NO</v>
      </c>
      <c r="AA145" s="35" t="str">
        <f>IF(Z145="YES",IF(C145+730.5&lt;'BASIC INFO'!$B$3, "YES","NO"), "N/A")</f>
        <v>N/A</v>
      </c>
      <c r="AB145" s="35" t="str">
        <f>IF('BASIC INFO'!$B$6+6574.5&gt;C145, "YES", "NO")</f>
        <v>YES</v>
      </c>
    </row>
    <row r="146" spans="1:28" x14ac:dyDescent="0.25">
      <c r="A146" s="35" t="str">
        <f>IF('CASE DATA'!A147="","z",'CASE DATA'!A147)</f>
        <v>z</v>
      </c>
      <c r="B146" s="66" t="str">
        <f>IF('CASE DATA'!A147="","",'CASE DATA'!E147)</f>
        <v/>
      </c>
      <c r="C146" s="36">
        <f>'CASE DATA'!D147</f>
        <v>0</v>
      </c>
      <c r="D146" s="37" t="str">
        <f>IF('CASE DATA'!I147="YES",SUM('CASE DATA'!K147:Q147),"n/a")</f>
        <v>n/a</v>
      </c>
      <c r="E146" s="38" t="str">
        <f>IF('CASE DATA'!G147="JUV", "YES", "NO")</f>
        <v>NO</v>
      </c>
      <c r="F146" s="38" t="str">
        <f t="array" ref="F146">IF(E146="YES",IF(SUM(COUNTIF('CASE DATA'!$G$4:$G$200, {"GTR","GPL","DEF","JUV"}))&gt;0, "YES","NO"),"N/A")</f>
        <v>N/A</v>
      </c>
      <c r="G146" s="38" t="str">
        <f>IF(E146="YES",IF(COUNTIF('CASE DATA'!$D$4:$D$200, "")-COUNTIF('CASE DATA'!$A$4:$A$200, "")&gt;0, "YES","NO"),"N/A")</f>
        <v>N/A</v>
      </c>
      <c r="H146" s="35" t="str">
        <f>_xlfn.IFS(E146="NO", "N/A", AND('BASIC INFO'!$B$3&gt;'BASIC INFO'!$B$6+6574.5, C146+730.5&lt;'BASIC INFO'!$B$3), "YES", 'BASIC INFO'!$B$3&lt;('BASIC INFO'!$B$6+6574.5), "NOT YET 18", C146+730.5&gt;'BASIC INFO'!$B$3, "NOT YET 2 YEARS")</f>
        <v>N/A</v>
      </c>
      <c r="I146" s="39" t="str">
        <f>IF(OR(AND(LEFT('CASE DATA'!F147,4)="321.",MID('CASE DATA'!A147,8,2)="SM"),MID('CASE DATA'!A147,8,2)="ST",MID('CASE DATA'!A147,8,2)="NT"),"TRAFFIC",IF(OR('CASE DATA'!G147="DISM", 'CASE DATA'!G147="ACQ", 'CASE DATA'!G147="NOTF", 'CASE DATA'!G147="WTHD", 'CASE DATA'!G147="TNSF"), "YES", "NO"))</f>
        <v>NO</v>
      </c>
      <c r="J146" s="40" t="str">
        <f>IF(I146="YES",'CASE DATA'!U147,"N/A")</f>
        <v>N/A</v>
      </c>
      <c r="K146" s="40" t="str">
        <f>IF(I146="YES",SOL!C147+SOL!D147,"N/A")</f>
        <v>N/A</v>
      </c>
      <c r="L146" s="35" t="str">
        <f>IF(I146="YES",IF(C146+180&lt;'BASIC INFO'!$B$3, "YES", "NO"),"N/A")</f>
        <v>N/A</v>
      </c>
      <c r="M146" s="40" t="str">
        <f t="array" ref="M146">IF(I146="TRAFFIC","n/a",IF(OR('CASE DATA'!G147="GTR", 'CASE DATA'!G147="GPL"),IF(SUM(COUNTIF('CASE DATA'!X147:AI147, 'CODE SECTIONS'!$V$2:$V$218&amp;"*"))&gt;0,"NO","YES"),"n/a"))</f>
        <v>n/a</v>
      </c>
      <c r="N146" s="40" t="str">
        <f t="array" ref="N146">IF(M146="YES",IF(OR((SUM(COUNTIF('CASE DATA'!X147:AI147,'CODE SECTIONS'!$X$2:$X$19&amp;"*"))&gt;0),LEFT('CASE DATA'!X147:AI147,4)="717C", LEFT('CASE DATA'!X147:AI147, 3)="719", LEFT('CASE DATA'!X147:AI147,3)="720", LEFT('CASE DATA'!X147:AI147,3)="724", LEFT('CASE DATA'!X147:AI147,3)="726", LEFT('CASE DATA'!X147:AI147,3)="728", LEFT('CASE DATA'!X147:AI147,4)="901A"), "ineligible misd","eligible"),"n/a")</f>
        <v>n/a</v>
      </c>
      <c r="O146" s="40" t="str">
        <f>IF(N146="eligible",IF(COUNTIF('CASE DATA'!$D$4:$D$200, "")-COUNTIF('CASE DATA'!$A$4:$A$200, "")&gt;0, "YES","NO"),"N/A")</f>
        <v>N/A</v>
      </c>
      <c r="P146" s="40" t="str">
        <f>IF(N146="eligible",BANKRUPTCY!C147+BANKRUPTCY!D147,"N/A")</f>
        <v>N/A</v>
      </c>
      <c r="Q146" s="40" t="str">
        <f>IF(N146="eligible",SOL!C147+SOL!D147,"N/A")</f>
        <v>N/A</v>
      </c>
      <c r="R146" s="40" t="str">
        <f>IF(N146="eligible",SUM('CASE DATA'!K147:T147),"N/A")</f>
        <v>N/A</v>
      </c>
      <c r="S146" s="40" t="str">
        <f>IF(N146="eligible",IF(C146+2920&lt;'BASIC INFO'!$B$3, "YES", "NO"),"N/A")</f>
        <v>N/A</v>
      </c>
      <c r="T146" s="39" t="str">
        <f>IF(OR('CASE DATA'!G147="DEF"), "YES", "NO")</f>
        <v>NO</v>
      </c>
      <c r="U146" s="35" t="str">
        <f>IF(T146="YES",'CASE DATA'!I147,"N/A")</f>
        <v>N/A</v>
      </c>
      <c r="V146" s="40" t="str">
        <f>IF(T146="YES",BANKRUPTCY!C147+BANKRUPTCY!D147,"N/A")</f>
        <v>N/A</v>
      </c>
      <c r="W146" s="40" t="str">
        <f>IF(T146="YES",SUM('CASE DATA'!K147:T147),"N/A")</f>
        <v>N/A</v>
      </c>
      <c r="X146" s="35" t="str">
        <f>IF(OR('CASE DATA'!F147="123.46",'CASE DATA'!F147="123.47"),"YES","NO")</f>
        <v>NO</v>
      </c>
      <c r="Y146" s="40" t="str">
        <f>IF(X146="YES",IF(C146+730.5&lt;'BASIC INFO'!$B$3, "YES","NO"), "N/A")</f>
        <v>N/A</v>
      </c>
      <c r="Z146" s="35" t="str">
        <f>IF('CASE DATA'!F147="725.1","YES","NO")</f>
        <v>NO</v>
      </c>
      <c r="AA146" s="35" t="str">
        <f>IF(Z146="YES",IF(C146+730.5&lt;'BASIC INFO'!$B$3, "YES","NO"), "N/A")</f>
        <v>N/A</v>
      </c>
      <c r="AB146" s="35" t="str">
        <f>IF('BASIC INFO'!$B$6+6574.5&gt;C146, "YES", "NO")</f>
        <v>YES</v>
      </c>
    </row>
    <row r="147" spans="1:28" x14ac:dyDescent="0.25">
      <c r="A147" s="35" t="str">
        <f>IF('CASE DATA'!A148="","z",'CASE DATA'!A148)</f>
        <v>z</v>
      </c>
      <c r="B147" s="66" t="str">
        <f>IF('CASE DATA'!A148="","",'CASE DATA'!E148)</f>
        <v/>
      </c>
      <c r="C147" s="36">
        <f>'CASE DATA'!D148</f>
        <v>0</v>
      </c>
      <c r="D147" s="37" t="str">
        <f>IF('CASE DATA'!I148="YES",SUM('CASE DATA'!K148:Q148),"n/a")</f>
        <v>n/a</v>
      </c>
      <c r="E147" s="38" t="str">
        <f>IF('CASE DATA'!G148="JUV", "YES", "NO")</f>
        <v>NO</v>
      </c>
      <c r="F147" s="38" t="str">
        <f t="array" ref="F147">IF(E147="YES",IF(SUM(COUNTIF('CASE DATA'!$G$4:$G$200, {"GTR","GPL","DEF","JUV"}))&gt;0, "YES","NO"),"N/A")</f>
        <v>N/A</v>
      </c>
      <c r="G147" s="38" t="str">
        <f>IF(E147="YES",IF(COUNTIF('CASE DATA'!$D$4:$D$200, "")-COUNTIF('CASE DATA'!$A$4:$A$200, "")&gt;0, "YES","NO"),"N/A")</f>
        <v>N/A</v>
      </c>
      <c r="H147" s="35" t="str">
        <f>_xlfn.IFS(E147="NO", "N/A", AND('BASIC INFO'!$B$3&gt;'BASIC INFO'!$B$6+6574.5, C147+730.5&lt;'BASIC INFO'!$B$3), "YES", 'BASIC INFO'!$B$3&lt;('BASIC INFO'!$B$6+6574.5), "NOT YET 18", C147+730.5&gt;'BASIC INFO'!$B$3, "NOT YET 2 YEARS")</f>
        <v>N/A</v>
      </c>
      <c r="I147" s="39" t="str">
        <f>IF(OR(AND(LEFT('CASE DATA'!F148,4)="321.",MID('CASE DATA'!A148,8,2)="SM"),MID('CASE DATA'!A148,8,2)="ST",MID('CASE DATA'!A148,8,2)="NT"),"TRAFFIC",IF(OR('CASE DATA'!G148="DISM", 'CASE DATA'!G148="ACQ", 'CASE DATA'!G148="NOTF", 'CASE DATA'!G148="WTHD", 'CASE DATA'!G148="TNSF"), "YES", "NO"))</f>
        <v>NO</v>
      </c>
      <c r="J147" s="40" t="str">
        <f>IF(I147="YES",'CASE DATA'!U148,"N/A")</f>
        <v>N/A</v>
      </c>
      <c r="K147" s="40" t="str">
        <f>IF(I147="YES",SOL!C148+SOL!D148,"N/A")</f>
        <v>N/A</v>
      </c>
      <c r="L147" s="35" t="str">
        <f>IF(I147="YES",IF(C147+180&lt;'BASIC INFO'!$B$3, "YES", "NO"),"N/A")</f>
        <v>N/A</v>
      </c>
      <c r="M147" s="40" t="str">
        <f t="array" ref="M147">IF(I147="TRAFFIC","n/a",IF(OR('CASE DATA'!G148="GTR", 'CASE DATA'!G148="GPL"),IF(SUM(COUNTIF('CASE DATA'!X148:AI148, 'CODE SECTIONS'!$V$2:$V$218&amp;"*"))&gt;0,"NO","YES"),"n/a"))</f>
        <v>n/a</v>
      </c>
      <c r="N147" s="40" t="str">
        <f t="array" ref="N147">IF(M147="YES",IF(OR((SUM(COUNTIF('CASE DATA'!X148:AI148,'CODE SECTIONS'!$X$2:$X$19&amp;"*"))&gt;0),LEFT('CASE DATA'!X148:AI148,4)="717C", LEFT('CASE DATA'!X148:AI148, 3)="719", LEFT('CASE DATA'!X148:AI148,3)="720", LEFT('CASE DATA'!X148:AI148,3)="724", LEFT('CASE DATA'!X148:AI148,3)="726", LEFT('CASE DATA'!X148:AI148,3)="728", LEFT('CASE DATA'!X148:AI148,4)="901A"), "ineligible misd","eligible"),"n/a")</f>
        <v>n/a</v>
      </c>
      <c r="O147" s="40" t="str">
        <f>IF(N147="eligible",IF(COUNTIF('CASE DATA'!$D$4:$D$200, "")-COUNTIF('CASE DATA'!$A$4:$A$200, "")&gt;0, "YES","NO"),"N/A")</f>
        <v>N/A</v>
      </c>
      <c r="P147" s="40" t="str">
        <f>IF(N147="eligible",BANKRUPTCY!C148+BANKRUPTCY!D148,"N/A")</f>
        <v>N/A</v>
      </c>
      <c r="Q147" s="40" t="str">
        <f>IF(N147="eligible",SOL!C148+SOL!D148,"N/A")</f>
        <v>N/A</v>
      </c>
      <c r="R147" s="40" t="str">
        <f>IF(N147="eligible",SUM('CASE DATA'!K148:T148),"N/A")</f>
        <v>N/A</v>
      </c>
      <c r="S147" s="40" t="str">
        <f>IF(N147="eligible",IF(C147+2920&lt;'BASIC INFO'!$B$3, "YES", "NO"),"N/A")</f>
        <v>N/A</v>
      </c>
      <c r="T147" s="39" t="str">
        <f>IF(OR('CASE DATA'!G148="DEF"), "YES", "NO")</f>
        <v>NO</v>
      </c>
      <c r="U147" s="35" t="str">
        <f>IF(T147="YES",'CASE DATA'!I148,"N/A")</f>
        <v>N/A</v>
      </c>
      <c r="V147" s="40" t="str">
        <f>IF(T147="YES",BANKRUPTCY!C148+BANKRUPTCY!D148,"N/A")</f>
        <v>N/A</v>
      </c>
      <c r="W147" s="40" t="str">
        <f>IF(T147="YES",SUM('CASE DATA'!K148:T148),"N/A")</f>
        <v>N/A</v>
      </c>
      <c r="X147" s="35" t="str">
        <f>IF(OR('CASE DATA'!F148="123.46",'CASE DATA'!F148="123.47"),"YES","NO")</f>
        <v>NO</v>
      </c>
      <c r="Y147" s="40" t="str">
        <f>IF(X147="YES",IF(C147+730.5&lt;'BASIC INFO'!$B$3, "YES","NO"), "N/A")</f>
        <v>N/A</v>
      </c>
      <c r="Z147" s="35" t="str">
        <f>IF('CASE DATA'!F148="725.1","YES","NO")</f>
        <v>NO</v>
      </c>
      <c r="AA147" s="35" t="str">
        <f>IF(Z147="YES",IF(C147+730.5&lt;'BASIC INFO'!$B$3, "YES","NO"), "N/A")</f>
        <v>N/A</v>
      </c>
      <c r="AB147" s="35" t="str">
        <f>IF('BASIC INFO'!$B$6+6574.5&gt;C147, "YES", "NO")</f>
        <v>YES</v>
      </c>
    </row>
    <row r="148" spans="1:28" x14ac:dyDescent="0.25">
      <c r="A148" s="35" t="str">
        <f>IF('CASE DATA'!A149="","z",'CASE DATA'!A149)</f>
        <v>z</v>
      </c>
      <c r="B148" s="66" t="str">
        <f>IF('CASE DATA'!A149="","",'CASE DATA'!E149)</f>
        <v/>
      </c>
      <c r="C148" s="36">
        <f>'CASE DATA'!D149</f>
        <v>0</v>
      </c>
      <c r="D148" s="37" t="str">
        <f>IF('CASE DATA'!I149="YES",SUM('CASE DATA'!K149:Q149),"n/a")</f>
        <v>n/a</v>
      </c>
      <c r="E148" s="38" t="str">
        <f>IF('CASE DATA'!G149="JUV", "YES", "NO")</f>
        <v>NO</v>
      </c>
      <c r="F148" s="38" t="str">
        <f t="array" ref="F148">IF(E148="YES",IF(SUM(COUNTIF('CASE DATA'!$G$4:$G$200, {"GTR","GPL","DEF","JUV"}))&gt;0, "YES","NO"),"N/A")</f>
        <v>N/A</v>
      </c>
      <c r="G148" s="38" t="str">
        <f>IF(E148="YES",IF(COUNTIF('CASE DATA'!$D$4:$D$200, "")-COUNTIF('CASE DATA'!$A$4:$A$200, "")&gt;0, "YES","NO"),"N/A")</f>
        <v>N/A</v>
      </c>
      <c r="H148" s="35" t="str">
        <f>_xlfn.IFS(E148="NO", "N/A", AND('BASIC INFO'!$B$3&gt;'BASIC INFO'!$B$6+6574.5, C148+730.5&lt;'BASIC INFO'!$B$3), "YES", 'BASIC INFO'!$B$3&lt;('BASIC INFO'!$B$6+6574.5), "NOT YET 18", C148+730.5&gt;'BASIC INFO'!$B$3, "NOT YET 2 YEARS")</f>
        <v>N/A</v>
      </c>
      <c r="I148" s="39" t="str">
        <f>IF(OR(AND(LEFT('CASE DATA'!F149,4)="321.",MID('CASE DATA'!A149,8,2)="SM"),MID('CASE DATA'!A149,8,2)="ST",MID('CASE DATA'!A149,8,2)="NT"),"TRAFFIC",IF(OR('CASE DATA'!G149="DISM", 'CASE DATA'!G149="ACQ", 'CASE DATA'!G149="NOTF", 'CASE DATA'!G149="WTHD", 'CASE DATA'!G149="TNSF"), "YES", "NO"))</f>
        <v>NO</v>
      </c>
      <c r="J148" s="40" t="str">
        <f>IF(I148="YES",'CASE DATA'!U149,"N/A")</f>
        <v>N/A</v>
      </c>
      <c r="K148" s="40" t="str">
        <f>IF(I148="YES",SOL!C149+SOL!D149,"N/A")</f>
        <v>N/A</v>
      </c>
      <c r="L148" s="35" t="str">
        <f>IF(I148="YES",IF(C148+180&lt;'BASIC INFO'!$B$3, "YES", "NO"),"N/A")</f>
        <v>N/A</v>
      </c>
      <c r="M148" s="40" t="str">
        <f t="array" ref="M148">IF(I148="TRAFFIC","n/a",IF(OR('CASE DATA'!G149="GTR", 'CASE DATA'!G149="GPL"),IF(SUM(COUNTIF('CASE DATA'!X149:AI149, 'CODE SECTIONS'!$V$2:$V$218&amp;"*"))&gt;0,"NO","YES"),"n/a"))</f>
        <v>n/a</v>
      </c>
      <c r="N148" s="40" t="str">
        <f t="array" ref="N148">IF(M148="YES",IF(OR((SUM(COUNTIF('CASE DATA'!X149:AI149,'CODE SECTIONS'!$X$2:$X$19&amp;"*"))&gt;0),LEFT('CASE DATA'!X149:AI149,4)="717C", LEFT('CASE DATA'!X149:AI149, 3)="719", LEFT('CASE DATA'!X149:AI149,3)="720", LEFT('CASE DATA'!X149:AI149,3)="724", LEFT('CASE DATA'!X149:AI149,3)="726", LEFT('CASE DATA'!X149:AI149,3)="728", LEFT('CASE DATA'!X149:AI149,4)="901A"), "ineligible misd","eligible"),"n/a")</f>
        <v>n/a</v>
      </c>
      <c r="O148" s="40" t="str">
        <f>IF(N148="eligible",IF(COUNTIF('CASE DATA'!$D$4:$D$200, "")-COUNTIF('CASE DATA'!$A$4:$A$200, "")&gt;0, "YES","NO"),"N/A")</f>
        <v>N/A</v>
      </c>
      <c r="P148" s="40" t="str">
        <f>IF(N148="eligible",BANKRUPTCY!C149+BANKRUPTCY!D149,"N/A")</f>
        <v>N/A</v>
      </c>
      <c r="Q148" s="40" t="str">
        <f>IF(N148="eligible",SOL!C149+SOL!D149,"N/A")</f>
        <v>N/A</v>
      </c>
      <c r="R148" s="40" t="str">
        <f>IF(N148="eligible",SUM('CASE DATA'!K149:T149),"N/A")</f>
        <v>N/A</v>
      </c>
      <c r="S148" s="40" t="str">
        <f>IF(N148="eligible",IF(C148+2920&lt;'BASIC INFO'!$B$3, "YES", "NO"),"N/A")</f>
        <v>N/A</v>
      </c>
      <c r="T148" s="39" t="str">
        <f>IF(OR('CASE DATA'!G149="DEF"), "YES", "NO")</f>
        <v>NO</v>
      </c>
      <c r="U148" s="35" t="str">
        <f>IF(T148="YES",'CASE DATA'!I149,"N/A")</f>
        <v>N/A</v>
      </c>
      <c r="V148" s="40" t="str">
        <f>IF(T148="YES",BANKRUPTCY!C149+BANKRUPTCY!D149,"N/A")</f>
        <v>N/A</v>
      </c>
      <c r="W148" s="40" t="str">
        <f>IF(T148="YES",SUM('CASE DATA'!K149:T149),"N/A")</f>
        <v>N/A</v>
      </c>
      <c r="X148" s="35" t="str">
        <f>IF(OR('CASE DATA'!F149="123.46",'CASE DATA'!F149="123.47"),"YES","NO")</f>
        <v>NO</v>
      </c>
      <c r="Y148" s="40" t="str">
        <f>IF(X148="YES",IF(C148+730.5&lt;'BASIC INFO'!$B$3, "YES","NO"), "N/A")</f>
        <v>N/A</v>
      </c>
      <c r="Z148" s="35" t="str">
        <f>IF('CASE DATA'!F149="725.1","YES","NO")</f>
        <v>NO</v>
      </c>
      <c r="AA148" s="35" t="str">
        <f>IF(Z148="YES",IF(C148+730.5&lt;'BASIC INFO'!$B$3, "YES","NO"), "N/A")</f>
        <v>N/A</v>
      </c>
      <c r="AB148" s="35" t="str">
        <f>IF('BASIC INFO'!$B$6+6574.5&gt;C148, "YES", "NO")</f>
        <v>YES</v>
      </c>
    </row>
    <row r="149" spans="1:28" x14ac:dyDescent="0.25">
      <c r="A149" s="35" t="str">
        <f>IF('CASE DATA'!A150="","z",'CASE DATA'!A150)</f>
        <v>z</v>
      </c>
      <c r="B149" s="66" t="str">
        <f>IF('CASE DATA'!A150="","",'CASE DATA'!E150)</f>
        <v/>
      </c>
      <c r="C149" s="36">
        <f>'CASE DATA'!D150</f>
        <v>0</v>
      </c>
      <c r="D149" s="37" t="str">
        <f>IF('CASE DATA'!I150="YES",SUM('CASE DATA'!K150:Q150),"n/a")</f>
        <v>n/a</v>
      </c>
      <c r="E149" s="38" t="str">
        <f>IF('CASE DATA'!G150="JUV", "YES", "NO")</f>
        <v>NO</v>
      </c>
      <c r="F149" s="38" t="str">
        <f t="array" ref="F149">IF(E149="YES",IF(SUM(COUNTIF('CASE DATA'!$G$4:$G$200, {"GTR","GPL","DEF","JUV"}))&gt;0, "YES","NO"),"N/A")</f>
        <v>N/A</v>
      </c>
      <c r="G149" s="38" t="str">
        <f>IF(E149="YES",IF(COUNTIF('CASE DATA'!$D$4:$D$200, "")-COUNTIF('CASE DATA'!$A$4:$A$200, "")&gt;0, "YES","NO"),"N/A")</f>
        <v>N/A</v>
      </c>
      <c r="H149" s="35" t="str">
        <f>_xlfn.IFS(E149="NO", "N/A", AND('BASIC INFO'!$B$3&gt;'BASIC INFO'!$B$6+6574.5, C149+730.5&lt;'BASIC INFO'!$B$3), "YES", 'BASIC INFO'!$B$3&lt;('BASIC INFO'!$B$6+6574.5), "NOT YET 18", C149+730.5&gt;'BASIC INFO'!$B$3, "NOT YET 2 YEARS")</f>
        <v>N/A</v>
      </c>
      <c r="I149" s="39" t="str">
        <f>IF(OR(AND(LEFT('CASE DATA'!F150,4)="321.",MID('CASE DATA'!A150,8,2)="SM"),MID('CASE DATA'!A150,8,2)="ST",MID('CASE DATA'!A150,8,2)="NT"),"TRAFFIC",IF(OR('CASE DATA'!G150="DISM", 'CASE DATA'!G150="ACQ", 'CASE DATA'!G150="NOTF", 'CASE DATA'!G150="WTHD", 'CASE DATA'!G150="TNSF"), "YES", "NO"))</f>
        <v>NO</v>
      </c>
      <c r="J149" s="40" t="str">
        <f>IF(I149="YES",'CASE DATA'!U150,"N/A")</f>
        <v>N/A</v>
      </c>
      <c r="K149" s="40" t="str">
        <f>IF(I149="YES",SOL!C150+SOL!D150,"N/A")</f>
        <v>N/A</v>
      </c>
      <c r="L149" s="35" t="str">
        <f>IF(I149="YES",IF(C149+180&lt;'BASIC INFO'!$B$3, "YES", "NO"),"N/A")</f>
        <v>N/A</v>
      </c>
      <c r="M149" s="40" t="str">
        <f t="array" ref="M149">IF(I149="TRAFFIC","n/a",IF(OR('CASE DATA'!G150="GTR", 'CASE DATA'!G150="GPL"),IF(SUM(COUNTIF('CASE DATA'!X150:AI150, 'CODE SECTIONS'!$V$2:$V$218&amp;"*"))&gt;0,"NO","YES"),"n/a"))</f>
        <v>n/a</v>
      </c>
      <c r="N149" s="40" t="str">
        <f t="array" ref="N149">IF(M149="YES",IF(OR((SUM(COUNTIF('CASE DATA'!X150:AI150,'CODE SECTIONS'!$X$2:$X$19&amp;"*"))&gt;0),LEFT('CASE DATA'!X150:AI150,4)="717C", LEFT('CASE DATA'!X150:AI150, 3)="719", LEFT('CASE DATA'!X150:AI150,3)="720", LEFT('CASE DATA'!X150:AI150,3)="724", LEFT('CASE DATA'!X150:AI150,3)="726", LEFT('CASE DATA'!X150:AI150,3)="728", LEFT('CASE DATA'!X150:AI150,4)="901A"), "ineligible misd","eligible"),"n/a")</f>
        <v>n/a</v>
      </c>
      <c r="O149" s="40" t="str">
        <f>IF(N149="eligible",IF(COUNTIF('CASE DATA'!$D$4:$D$200, "")-COUNTIF('CASE DATA'!$A$4:$A$200, "")&gt;0, "YES","NO"),"N/A")</f>
        <v>N/A</v>
      </c>
      <c r="P149" s="40" t="str">
        <f>IF(N149="eligible",BANKRUPTCY!C150+BANKRUPTCY!D150,"N/A")</f>
        <v>N/A</v>
      </c>
      <c r="Q149" s="40" t="str">
        <f>IF(N149="eligible",SOL!C150+SOL!D150,"N/A")</f>
        <v>N/A</v>
      </c>
      <c r="R149" s="40" t="str">
        <f>IF(N149="eligible",SUM('CASE DATA'!K150:T150),"N/A")</f>
        <v>N/A</v>
      </c>
      <c r="S149" s="40" t="str">
        <f>IF(N149="eligible",IF(C149+2920&lt;'BASIC INFO'!$B$3, "YES", "NO"),"N/A")</f>
        <v>N/A</v>
      </c>
      <c r="T149" s="39" t="str">
        <f>IF(OR('CASE DATA'!G150="DEF"), "YES", "NO")</f>
        <v>NO</v>
      </c>
      <c r="U149" s="35" t="str">
        <f>IF(T149="YES",'CASE DATA'!I150,"N/A")</f>
        <v>N/A</v>
      </c>
      <c r="V149" s="40" t="str">
        <f>IF(T149="YES",BANKRUPTCY!C150+BANKRUPTCY!D150,"N/A")</f>
        <v>N/A</v>
      </c>
      <c r="W149" s="40" t="str">
        <f>IF(T149="YES",SUM('CASE DATA'!K150:T150),"N/A")</f>
        <v>N/A</v>
      </c>
      <c r="X149" s="35" t="str">
        <f>IF(OR('CASE DATA'!F150="123.46",'CASE DATA'!F150="123.47"),"YES","NO")</f>
        <v>NO</v>
      </c>
      <c r="Y149" s="40" t="str">
        <f>IF(X149="YES",IF(C149+730.5&lt;'BASIC INFO'!$B$3, "YES","NO"), "N/A")</f>
        <v>N/A</v>
      </c>
      <c r="Z149" s="35" t="str">
        <f>IF('CASE DATA'!F150="725.1","YES","NO")</f>
        <v>NO</v>
      </c>
      <c r="AA149" s="35" t="str">
        <f>IF(Z149="YES",IF(C149+730.5&lt;'BASIC INFO'!$B$3, "YES","NO"), "N/A")</f>
        <v>N/A</v>
      </c>
      <c r="AB149" s="35" t="str">
        <f>IF('BASIC INFO'!$B$6+6574.5&gt;C149, "YES", "NO")</f>
        <v>YES</v>
      </c>
    </row>
    <row r="150" spans="1:28" x14ac:dyDescent="0.25">
      <c r="A150" s="35" t="str">
        <f>IF('CASE DATA'!A151="","z",'CASE DATA'!A151)</f>
        <v>z</v>
      </c>
      <c r="B150" s="66" t="str">
        <f>IF('CASE DATA'!A151="","",'CASE DATA'!E151)</f>
        <v/>
      </c>
      <c r="C150" s="36">
        <f>'CASE DATA'!D151</f>
        <v>0</v>
      </c>
      <c r="D150" s="37" t="str">
        <f>IF('CASE DATA'!I151="YES",SUM('CASE DATA'!K151:Q151),"n/a")</f>
        <v>n/a</v>
      </c>
      <c r="E150" s="38" t="str">
        <f>IF('CASE DATA'!G151="JUV", "YES", "NO")</f>
        <v>NO</v>
      </c>
      <c r="F150" s="38" t="str">
        <f t="array" ref="F150">IF(E150="YES",IF(SUM(COUNTIF('CASE DATA'!$G$4:$G$200, {"GTR","GPL","DEF","JUV"}))&gt;0, "YES","NO"),"N/A")</f>
        <v>N/A</v>
      </c>
      <c r="G150" s="38" t="str">
        <f>IF(E150="YES",IF(COUNTIF('CASE DATA'!$D$4:$D$200, "")-COUNTIF('CASE DATA'!$A$4:$A$200, "")&gt;0, "YES","NO"),"N/A")</f>
        <v>N/A</v>
      </c>
      <c r="H150" s="35" t="str">
        <f>_xlfn.IFS(E150="NO", "N/A", AND('BASIC INFO'!$B$3&gt;'BASIC INFO'!$B$6+6574.5, C150+730.5&lt;'BASIC INFO'!$B$3), "YES", 'BASIC INFO'!$B$3&lt;('BASIC INFO'!$B$6+6574.5), "NOT YET 18", C150+730.5&gt;'BASIC INFO'!$B$3, "NOT YET 2 YEARS")</f>
        <v>N/A</v>
      </c>
      <c r="I150" s="39" t="str">
        <f>IF(OR(AND(LEFT('CASE DATA'!F151,4)="321.",MID('CASE DATA'!A151,8,2)="SM"),MID('CASE DATA'!A151,8,2)="ST",MID('CASE DATA'!A151,8,2)="NT"),"TRAFFIC",IF(OR('CASE DATA'!G151="DISM", 'CASE DATA'!G151="ACQ", 'CASE DATA'!G151="NOTF", 'CASE DATA'!G151="WTHD", 'CASE DATA'!G151="TNSF"), "YES", "NO"))</f>
        <v>NO</v>
      </c>
      <c r="J150" s="40" t="str">
        <f>IF(I150="YES",'CASE DATA'!U151,"N/A")</f>
        <v>N/A</v>
      </c>
      <c r="K150" s="40" t="str">
        <f>IF(I150="YES",SOL!C151+SOL!D151,"N/A")</f>
        <v>N/A</v>
      </c>
      <c r="L150" s="35" t="str">
        <f>IF(I150="YES",IF(C150+180&lt;'BASIC INFO'!$B$3, "YES", "NO"),"N/A")</f>
        <v>N/A</v>
      </c>
      <c r="M150" s="40" t="str">
        <f t="array" ref="M150">IF(I150="TRAFFIC","n/a",IF(OR('CASE DATA'!G151="GTR", 'CASE DATA'!G151="GPL"),IF(SUM(COUNTIF('CASE DATA'!X151:AI151, 'CODE SECTIONS'!$V$2:$V$218&amp;"*"))&gt;0,"NO","YES"),"n/a"))</f>
        <v>n/a</v>
      </c>
      <c r="N150" s="40" t="str">
        <f t="array" ref="N150">IF(M150="YES",IF(OR((SUM(COUNTIF('CASE DATA'!X151:AI151,'CODE SECTIONS'!$X$2:$X$19&amp;"*"))&gt;0),LEFT('CASE DATA'!X151:AI151,4)="717C", LEFT('CASE DATA'!X151:AI151, 3)="719", LEFT('CASE DATA'!X151:AI151,3)="720", LEFT('CASE DATA'!X151:AI151,3)="724", LEFT('CASE DATA'!X151:AI151,3)="726", LEFT('CASE DATA'!X151:AI151,3)="728", LEFT('CASE DATA'!X151:AI151,4)="901A"), "ineligible misd","eligible"),"n/a")</f>
        <v>n/a</v>
      </c>
      <c r="O150" s="40" t="str">
        <f>IF(N150="eligible",IF(COUNTIF('CASE DATA'!$D$4:$D$200, "")-COUNTIF('CASE DATA'!$A$4:$A$200, "")&gt;0, "YES","NO"),"N/A")</f>
        <v>N/A</v>
      </c>
      <c r="P150" s="40" t="str">
        <f>IF(N150="eligible",BANKRUPTCY!C151+BANKRUPTCY!D151,"N/A")</f>
        <v>N/A</v>
      </c>
      <c r="Q150" s="40" t="str">
        <f>IF(N150="eligible",SOL!C151+SOL!D151,"N/A")</f>
        <v>N/A</v>
      </c>
      <c r="R150" s="40" t="str">
        <f>IF(N150="eligible",SUM('CASE DATA'!K151:T151),"N/A")</f>
        <v>N/A</v>
      </c>
      <c r="S150" s="40" t="str">
        <f>IF(N150="eligible",IF(C150+2920&lt;'BASIC INFO'!$B$3, "YES", "NO"),"N/A")</f>
        <v>N/A</v>
      </c>
      <c r="T150" s="39" t="str">
        <f>IF(OR('CASE DATA'!G151="DEF"), "YES", "NO")</f>
        <v>NO</v>
      </c>
      <c r="U150" s="35" t="str">
        <f>IF(T150="YES",'CASE DATA'!I151,"N/A")</f>
        <v>N/A</v>
      </c>
      <c r="V150" s="40" t="str">
        <f>IF(T150="YES",BANKRUPTCY!C151+BANKRUPTCY!D151,"N/A")</f>
        <v>N/A</v>
      </c>
      <c r="W150" s="40" t="str">
        <f>IF(T150="YES",SUM('CASE DATA'!K151:T151),"N/A")</f>
        <v>N/A</v>
      </c>
      <c r="X150" s="35" t="str">
        <f>IF(OR('CASE DATA'!F151="123.46",'CASE DATA'!F151="123.47"),"YES","NO")</f>
        <v>NO</v>
      </c>
      <c r="Y150" s="40" t="str">
        <f>IF(X150="YES",IF(C150+730.5&lt;'BASIC INFO'!$B$3, "YES","NO"), "N/A")</f>
        <v>N/A</v>
      </c>
      <c r="Z150" s="35" t="str">
        <f>IF('CASE DATA'!F151="725.1","YES","NO")</f>
        <v>NO</v>
      </c>
      <c r="AA150" s="35" t="str">
        <f>IF(Z150="YES",IF(C150+730.5&lt;'BASIC INFO'!$B$3, "YES","NO"), "N/A")</f>
        <v>N/A</v>
      </c>
      <c r="AB150" s="35" t="str">
        <f>IF('BASIC INFO'!$B$6+6574.5&gt;C150, "YES", "NO")</f>
        <v>YES</v>
      </c>
    </row>
    <row r="151" spans="1:28" x14ac:dyDescent="0.25">
      <c r="A151" s="35" t="str">
        <f>IF('CASE DATA'!A152="","z",'CASE DATA'!A152)</f>
        <v>z</v>
      </c>
      <c r="B151" s="66" t="str">
        <f>IF('CASE DATA'!A152="","",'CASE DATA'!E152)</f>
        <v/>
      </c>
      <c r="C151" s="36">
        <f>'CASE DATA'!D152</f>
        <v>0</v>
      </c>
      <c r="D151" s="37" t="str">
        <f>IF('CASE DATA'!I152="YES",SUM('CASE DATA'!K152:Q152),"n/a")</f>
        <v>n/a</v>
      </c>
      <c r="E151" s="38" t="str">
        <f>IF('CASE DATA'!G152="JUV", "YES", "NO")</f>
        <v>NO</v>
      </c>
      <c r="F151" s="38" t="str">
        <f t="array" ref="F151">IF(E151="YES",IF(SUM(COUNTIF('CASE DATA'!$G$4:$G$200, {"GTR","GPL","DEF","JUV"}))&gt;0, "YES","NO"),"N/A")</f>
        <v>N/A</v>
      </c>
      <c r="G151" s="38" t="str">
        <f>IF(E151="YES",IF(COUNTIF('CASE DATA'!$D$4:$D$200, "")-COUNTIF('CASE DATA'!$A$4:$A$200, "")&gt;0, "YES","NO"),"N/A")</f>
        <v>N/A</v>
      </c>
      <c r="H151" s="35" t="str">
        <f>_xlfn.IFS(E151="NO", "N/A", AND('BASIC INFO'!$B$3&gt;'BASIC INFO'!$B$6+6574.5, C151+730.5&lt;'BASIC INFO'!$B$3), "YES", 'BASIC INFO'!$B$3&lt;('BASIC INFO'!$B$6+6574.5), "NOT YET 18", C151+730.5&gt;'BASIC INFO'!$B$3, "NOT YET 2 YEARS")</f>
        <v>N/A</v>
      </c>
      <c r="I151" s="39" t="str">
        <f>IF(OR(AND(LEFT('CASE DATA'!F152,4)="321.",MID('CASE DATA'!A152,8,2)="SM"),MID('CASE DATA'!A152,8,2)="ST",MID('CASE DATA'!A152,8,2)="NT"),"TRAFFIC",IF(OR('CASE DATA'!G152="DISM", 'CASE DATA'!G152="ACQ", 'CASE DATA'!G152="NOTF", 'CASE DATA'!G152="WTHD", 'CASE DATA'!G152="TNSF"), "YES", "NO"))</f>
        <v>NO</v>
      </c>
      <c r="J151" s="40" t="str">
        <f>IF(I151="YES",'CASE DATA'!U152,"N/A")</f>
        <v>N/A</v>
      </c>
      <c r="K151" s="40" t="str">
        <f>IF(I151="YES",SOL!C152+SOL!D152,"N/A")</f>
        <v>N/A</v>
      </c>
      <c r="L151" s="35" t="str">
        <f>IF(I151="YES",IF(C151+180&lt;'BASIC INFO'!$B$3, "YES", "NO"),"N/A")</f>
        <v>N/A</v>
      </c>
      <c r="M151" s="40" t="str">
        <f t="array" ref="M151">IF(I151="TRAFFIC","n/a",IF(OR('CASE DATA'!G152="GTR", 'CASE DATA'!G152="GPL"),IF(SUM(COUNTIF('CASE DATA'!X152:AI152, 'CODE SECTIONS'!$V$2:$V$218&amp;"*"))&gt;0,"NO","YES"),"n/a"))</f>
        <v>n/a</v>
      </c>
      <c r="N151" s="40" t="str">
        <f t="array" ref="N151">IF(M151="YES",IF(OR((SUM(COUNTIF('CASE DATA'!X152:AI152,'CODE SECTIONS'!$X$2:$X$19&amp;"*"))&gt;0),LEFT('CASE DATA'!X152:AI152,4)="717C", LEFT('CASE DATA'!X152:AI152, 3)="719", LEFT('CASE DATA'!X152:AI152,3)="720", LEFT('CASE DATA'!X152:AI152,3)="724", LEFT('CASE DATA'!X152:AI152,3)="726", LEFT('CASE DATA'!X152:AI152,3)="728", LEFT('CASE DATA'!X152:AI152,4)="901A"), "ineligible misd","eligible"),"n/a")</f>
        <v>n/a</v>
      </c>
      <c r="O151" s="40" t="str">
        <f>IF(N151="eligible",IF(COUNTIF('CASE DATA'!$D$4:$D$200, "")-COUNTIF('CASE DATA'!$A$4:$A$200, "")&gt;0, "YES","NO"),"N/A")</f>
        <v>N/A</v>
      </c>
      <c r="P151" s="40" t="str">
        <f>IF(N151="eligible",BANKRUPTCY!C152+BANKRUPTCY!D152,"N/A")</f>
        <v>N/A</v>
      </c>
      <c r="Q151" s="40" t="str">
        <f>IF(N151="eligible",SOL!C152+SOL!D152,"N/A")</f>
        <v>N/A</v>
      </c>
      <c r="R151" s="40" t="str">
        <f>IF(N151="eligible",SUM('CASE DATA'!K152:T152),"N/A")</f>
        <v>N/A</v>
      </c>
      <c r="S151" s="40" t="str">
        <f>IF(N151="eligible",IF(C151+2920&lt;'BASIC INFO'!$B$3, "YES", "NO"),"N/A")</f>
        <v>N/A</v>
      </c>
      <c r="T151" s="39" t="str">
        <f>IF(OR('CASE DATA'!G152="DEF"), "YES", "NO")</f>
        <v>NO</v>
      </c>
      <c r="U151" s="35" t="str">
        <f>IF(T151="YES",'CASE DATA'!I152,"N/A")</f>
        <v>N/A</v>
      </c>
      <c r="V151" s="40" t="str">
        <f>IF(T151="YES",BANKRUPTCY!C152+BANKRUPTCY!D152,"N/A")</f>
        <v>N/A</v>
      </c>
      <c r="W151" s="40" t="str">
        <f>IF(T151="YES",SUM('CASE DATA'!K152:T152),"N/A")</f>
        <v>N/A</v>
      </c>
      <c r="X151" s="35" t="str">
        <f>IF(OR('CASE DATA'!F152="123.46",'CASE DATA'!F152="123.47"),"YES","NO")</f>
        <v>NO</v>
      </c>
      <c r="Y151" s="40" t="str">
        <f>IF(X151="YES",IF(C151+730.5&lt;'BASIC INFO'!$B$3, "YES","NO"), "N/A")</f>
        <v>N/A</v>
      </c>
      <c r="Z151" s="35" t="str">
        <f>IF('CASE DATA'!F152="725.1","YES","NO")</f>
        <v>NO</v>
      </c>
      <c r="AA151" s="35" t="str">
        <f>IF(Z151="YES",IF(C151+730.5&lt;'BASIC INFO'!$B$3, "YES","NO"), "N/A")</f>
        <v>N/A</v>
      </c>
      <c r="AB151" s="35" t="str">
        <f>IF('BASIC INFO'!$B$6+6574.5&gt;C151, "YES", "NO")</f>
        <v>YES</v>
      </c>
    </row>
    <row r="152" spans="1:28" x14ac:dyDescent="0.25">
      <c r="A152" s="35" t="str">
        <f>IF('CASE DATA'!A153="","z",'CASE DATA'!A153)</f>
        <v>z</v>
      </c>
      <c r="B152" s="66" t="str">
        <f>IF('CASE DATA'!A153="","",'CASE DATA'!E153)</f>
        <v/>
      </c>
      <c r="C152" s="36">
        <f>'CASE DATA'!D153</f>
        <v>0</v>
      </c>
      <c r="D152" s="37" t="str">
        <f>IF('CASE DATA'!I153="YES",SUM('CASE DATA'!K153:Q153),"n/a")</f>
        <v>n/a</v>
      </c>
      <c r="E152" s="38" t="str">
        <f>IF('CASE DATA'!G153="JUV", "YES", "NO")</f>
        <v>NO</v>
      </c>
      <c r="F152" s="38" t="str">
        <f t="array" ref="F152">IF(E152="YES",IF(SUM(COUNTIF('CASE DATA'!$G$4:$G$200, {"GTR","GPL","DEF","JUV"}))&gt;0, "YES","NO"),"N/A")</f>
        <v>N/A</v>
      </c>
      <c r="G152" s="38" t="str">
        <f>IF(E152="YES",IF(COUNTIF('CASE DATA'!$D$4:$D$200, "")-COUNTIF('CASE DATA'!$A$4:$A$200, "")&gt;0, "YES","NO"),"N/A")</f>
        <v>N/A</v>
      </c>
      <c r="H152" s="35" t="str">
        <f>_xlfn.IFS(E152="NO", "N/A", AND('BASIC INFO'!$B$3&gt;'BASIC INFO'!$B$6+6574.5, C152+730.5&lt;'BASIC INFO'!$B$3), "YES", 'BASIC INFO'!$B$3&lt;('BASIC INFO'!$B$6+6574.5), "NOT YET 18", C152+730.5&gt;'BASIC INFO'!$B$3, "NOT YET 2 YEARS")</f>
        <v>N/A</v>
      </c>
      <c r="I152" s="39" t="str">
        <f>IF(OR(AND(LEFT('CASE DATA'!F153,4)="321.",MID('CASE DATA'!A153,8,2)="SM"),MID('CASE DATA'!A153,8,2)="ST",MID('CASE DATA'!A153,8,2)="NT"),"TRAFFIC",IF(OR('CASE DATA'!G153="DISM", 'CASE DATA'!G153="ACQ", 'CASE DATA'!G153="NOTF", 'CASE DATA'!G153="WTHD", 'CASE DATA'!G153="TNSF"), "YES", "NO"))</f>
        <v>NO</v>
      </c>
      <c r="J152" s="40" t="str">
        <f>IF(I152="YES",'CASE DATA'!U153,"N/A")</f>
        <v>N/A</v>
      </c>
      <c r="K152" s="40" t="str">
        <f>IF(I152="YES",SOL!C153+SOL!D153,"N/A")</f>
        <v>N/A</v>
      </c>
      <c r="L152" s="35" t="str">
        <f>IF(I152="YES",IF(C152+180&lt;'BASIC INFO'!$B$3, "YES", "NO"),"N/A")</f>
        <v>N/A</v>
      </c>
      <c r="M152" s="40" t="str">
        <f t="array" ref="M152">IF(I152="TRAFFIC","n/a",IF(OR('CASE DATA'!G153="GTR", 'CASE DATA'!G153="GPL"),IF(SUM(COUNTIF('CASE DATA'!X153:AI153, 'CODE SECTIONS'!$V$2:$V$218&amp;"*"))&gt;0,"NO","YES"),"n/a"))</f>
        <v>n/a</v>
      </c>
      <c r="N152" s="40" t="str">
        <f t="array" ref="N152">IF(M152="YES",IF(OR((SUM(COUNTIF('CASE DATA'!X153:AI153,'CODE SECTIONS'!$X$2:$X$19&amp;"*"))&gt;0),LEFT('CASE DATA'!X153:AI153,4)="717C", LEFT('CASE DATA'!X153:AI153, 3)="719", LEFT('CASE DATA'!X153:AI153,3)="720", LEFT('CASE DATA'!X153:AI153,3)="724", LEFT('CASE DATA'!X153:AI153,3)="726", LEFT('CASE DATA'!X153:AI153,3)="728", LEFT('CASE DATA'!X153:AI153,4)="901A"), "ineligible misd","eligible"),"n/a")</f>
        <v>n/a</v>
      </c>
      <c r="O152" s="40" t="str">
        <f>IF(N152="eligible",IF(COUNTIF('CASE DATA'!$D$4:$D$200, "")-COUNTIF('CASE DATA'!$A$4:$A$200, "")&gt;0, "YES","NO"),"N/A")</f>
        <v>N/A</v>
      </c>
      <c r="P152" s="40" t="str">
        <f>IF(N152="eligible",BANKRUPTCY!C153+BANKRUPTCY!D153,"N/A")</f>
        <v>N/A</v>
      </c>
      <c r="Q152" s="40" t="str">
        <f>IF(N152="eligible",SOL!C153+SOL!D153,"N/A")</f>
        <v>N/A</v>
      </c>
      <c r="R152" s="40" t="str">
        <f>IF(N152="eligible",SUM('CASE DATA'!K153:T153),"N/A")</f>
        <v>N/A</v>
      </c>
      <c r="S152" s="40" t="str">
        <f>IF(N152="eligible",IF(C152+2920&lt;'BASIC INFO'!$B$3, "YES", "NO"),"N/A")</f>
        <v>N/A</v>
      </c>
      <c r="T152" s="39" t="str">
        <f>IF(OR('CASE DATA'!G153="DEF"), "YES", "NO")</f>
        <v>NO</v>
      </c>
      <c r="U152" s="35" t="str">
        <f>IF(T152="YES",'CASE DATA'!I153,"N/A")</f>
        <v>N/A</v>
      </c>
      <c r="V152" s="40" t="str">
        <f>IF(T152="YES",BANKRUPTCY!C153+BANKRUPTCY!D153,"N/A")</f>
        <v>N/A</v>
      </c>
      <c r="W152" s="40" t="str">
        <f>IF(T152="YES",SUM('CASE DATA'!K153:T153),"N/A")</f>
        <v>N/A</v>
      </c>
      <c r="X152" s="35" t="str">
        <f>IF(OR('CASE DATA'!F153="123.46",'CASE DATA'!F153="123.47"),"YES","NO")</f>
        <v>NO</v>
      </c>
      <c r="Y152" s="40" t="str">
        <f>IF(X152="YES",IF(C152+730.5&lt;'BASIC INFO'!$B$3, "YES","NO"), "N/A")</f>
        <v>N/A</v>
      </c>
      <c r="Z152" s="35" t="str">
        <f>IF('CASE DATA'!F153="725.1","YES","NO")</f>
        <v>NO</v>
      </c>
      <c r="AA152" s="35" t="str">
        <f>IF(Z152="YES",IF(C152+730.5&lt;'BASIC INFO'!$B$3, "YES","NO"), "N/A")</f>
        <v>N/A</v>
      </c>
      <c r="AB152" s="35" t="str">
        <f>IF('BASIC INFO'!$B$6+6574.5&gt;C152, "YES", "NO")</f>
        <v>YES</v>
      </c>
    </row>
    <row r="153" spans="1:28" x14ac:dyDescent="0.25">
      <c r="A153" s="35" t="str">
        <f>IF('CASE DATA'!A154="","z",'CASE DATA'!A154)</f>
        <v>z</v>
      </c>
      <c r="B153" s="66" t="str">
        <f>IF('CASE DATA'!A154="","",'CASE DATA'!E154)</f>
        <v/>
      </c>
      <c r="C153" s="36">
        <f>'CASE DATA'!D154</f>
        <v>0</v>
      </c>
      <c r="D153" s="37" t="str">
        <f>IF('CASE DATA'!I154="YES",SUM('CASE DATA'!K154:Q154),"n/a")</f>
        <v>n/a</v>
      </c>
      <c r="E153" s="38" t="str">
        <f>IF('CASE DATA'!G154="JUV", "YES", "NO")</f>
        <v>NO</v>
      </c>
      <c r="F153" s="38" t="str">
        <f t="array" ref="F153">IF(E153="YES",IF(SUM(COUNTIF('CASE DATA'!$G$4:$G$200, {"GTR","GPL","DEF","JUV"}))&gt;0, "YES","NO"),"N/A")</f>
        <v>N/A</v>
      </c>
      <c r="G153" s="38" t="str">
        <f>IF(E153="YES",IF(COUNTIF('CASE DATA'!$D$4:$D$200, "")-COUNTIF('CASE DATA'!$A$4:$A$200, "")&gt;0, "YES","NO"),"N/A")</f>
        <v>N/A</v>
      </c>
      <c r="H153" s="35" t="str">
        <f>_xlfn.IFS(E153="NO", "N/A", AND('BASIC INFO'!$B$3&gt;'BASIC INFO'!$B$6+6574.5, C153+730.5&lt;'BASIC INFO'!$B$3), "YES", 'BASIC INFO'!$B$3&lt;('BASIC INFO'!$B$6+6574.5), "NOT YET 18", C153+730.5&gt;'BASIC INFO'!$B$3, "NOT YET 2 YEARS")</f>
        <v>N/A</v>
      </c>
      <c r="I153" s="39" t="str">
        <f>IF(OR(AND(LEFT('CASE DATA'!F154,4)="321.",MID('CASE DATA'!A154,8,2)="SM"),MID('CASE DATA'!A154,8,2)="ST",MID('CASE DATA'!A154,8,2)="NT"),"TRAFFIC",IF(OR('CASE DATA'!G154="DISM", 'CASE DATA'!G154="ACQ", 'CASE DATA'!G154="NOTF", 'CASE DATA'!G154="WTHD", 'CASE DATA'!G154="TNSF"), "YES", "NO"))</f>
        <v>NO</v>
      </c>
      <c r="J153" s="40" t="str">
        <f>IF(I153="YES",'CASE DATA'!U154,"N/A")</f>
        <v>N/A</v>
      </c>
      <c r="K153" s="40" t="str">
        <f>IF(I153="YES",SOL!C154+SOL!D154,"N/A")</f>
        <v>N/A</v>
      </c>
      <c r="L153" s="35" t="str">
        <f>IF(I153="YES",IF(C153+180&lt;'BASIC INFO'!$B$3, "YES", "NO"),"N/A")</f>
        <v>N/A</v>
      </c>
      <c r="M153" s="40" t="str">
        <f t="array" ref="M153">IF(I153="TRAFFIC","n/a",IF(OR('CASE DATA'!G154="GTR", 'CASE DATA'!G154="GPL"),IF(SUM(COUNTIF('CASE DATA'!X154:AI154, 'CODE SECTIONS'!$V$2:$V$218&amp;"*"))&gt;0,"NO","YES"),"n/a"))</f>
        <v>n/a</v>
      </c>
      <c r="N153" s="40" t="str">
        <f t="array" ref="N153">IF(M153="YES",IF(OR((SUM(COUNTIF('CASE DATA'!X154:AI154,'CODE SECTIONS'!$X$2:$X$19&amp;"*"))&gt;0),LEFT('CASE DATA'!X154:AI154,4)="717C", LEFT('CASE DATA'!X154:AI154, 3)="719", LEFT('CASE DATA'!X154:AI154,3)="720", LEFT('CASE DATA'!X154:AI154,3)="724", LEFT('CASE DATA'!X154:AI154,3)="726", LEFT('CASE DATA'!X154:AI154,3)="728", LEFT('CASE DATA'!X154:AI154,4)="901A"), "ineligible misd","eligible"),"n/a")</f>
        <v>n/a</v>
      </c>
      <c r="O153" s="40" t="str">
        <f>IF(N153="eligible",IF(COUNTIF('CASE DATA'!$D$4:$D$200, "")-COUNTIF('CASE DATA'!$A$4:$A$200, "")&gt;0, "YES","NO"),"N/A")</f>
        <v>N/A</v>
      </c>
      <c r="P153" s="40" t="str">
        <f>IF(N153="eligible",BANKRUPTCY!C154+BANKRUPTCY!D154,"N/A")</f>
        <v>N/A</v>
      </c>
      <c r="Q153" s="40" t="str">
        <f>IF(N153="eligible",SOL!C154+SOL!D154,"N/A")</f>
        <v>N/A</v>
      </c>
      <c r="R153" s="40" t="str">
        <f>IF(N153="eligible",SUM('CASE DATA'!K154:T154),"N/A")</f>
        <v>N/A</v>
      </c>
      <c r="S153" s="40" t="str">
        <f>IF(N153="eligible",IF(C153+2920&lt;'BASIC INFO'!$B$3, "YES", "NO"),"N/A")</f>
        <v>N/A</v>
      </c>
      <c r="T153" s="39" t="str">
        <f>IF(OR('CASE DATA'!G154="DEF"), "YES", "NO")</f>
        <v>NO</v>
      </c>
      <c r="U153" s="35" t="str">
        <f>IF(T153="YES",'CASE DATA'!I154,"N/A")</f>
        <v>N/A</v>
      </c>
      <c r="V153" s="40" t="str">
        <f>IF(T153="YES",BANKRUPTCY!C154+BANKRUPTCY!D154,"N/A")</f>
        <v>N/A</v>
      </c>
      <c r="W153" s="40" t="str">
        <f>IF(T153="YES",SUM('CASE DATA'!K154:T154),"N/A")</f>
        <v>N/A</v>
      </c>
      <c r="X153" s="35" t="str">
        <f>IF(OR('CASE DATA'!F154="123.46",'CASE DATA'!F154="123.47"),"YES","NO")</f>
        <v>NO</v>
      </c>
      <c r="Y153" s="40" t="str">
        <f>IF(X153="YES",IF(C153+730.5&lt;'BASIC INFO'!$B$3, "YES","NO"), "N/A")</f>
        <v>N/A</v>
      </c>
      <c r="Z153" s="35" t="str">
        <f>IF('CASE DATA'!F154="725.1","YES","NO")</f>
        <v>NO</v>
      </c>
      <c r="AA153" s="35" t="str">
        <f>IF(Z153="YES",IF(C153+730.5&lt;'BASIC INFO'!$B$3, "YES","NO"), "N/A")</f>
        <v>N/A</v>
      </c>
      <c r="AB153" s="35" t="str">
        <f>IF('BASIC INFO'!$B$6+6574.5&gt;C153, "YES", "NO")</f>
        <v>YES</v>
      </c>
    </row>
    <row r="154" spans="1:28" x14ac:dyDescent="0.25">
      <c r="A154" s="35" t="str">
        <f>IF('CASE DATA'!A155="","z",'CASE DATA'!A155)</f>
        <v>z</v>
      </c>
      <c r="B154" s="66" t="str">
        <f>IF('CASE DATA'!A155="","",'CASE DATA'!E155)</f>
        <v/>
      </c>
      <c r="C154" s="36">
        <f>'CASE DATA'!D155</f>
        <v>0</v>
      </c>
      <c r="D154" s="37" t="str">
        <f>IF('CASE DATA'!I155="YES",SUM('CASE DATA'!K155:Q155),"n/a")</f>
        <v>n/a</v>
      </c>
      <c r="E154" s="38" t="str">
        <f>IF('CASE DATA'!G155="JUV", "YES", "NO")</f>
        <v>NO</v>
      </c>
      <c r="F154" s="38" t="str">
        <f t="array" ref="F154">IF(E154="YES",IF(SUM(COUNTIF('CASE DATA'!$G$4:$G$200, {"GTR","GPL","DEF","JUV"}))&gt;0, "YES","NO"),"N/A")</f>
        <v>N/A</v>
      </c>
      <c r="G154" s="38" t="str">
        <f>IF(E154="YES",IF(COUNTIF('CASE DATA'!$D$4:$D$200, "")-COUNTIF('CASE DATA'!$A$4:$A$200, "")&gt;0, "YES","NO"),"N/A")</f>
        <v>N/A</v>
      </c>
      <c r="H154" s="35" t="str">
        <f>_xlfn.IFS(E154="NO", "N/A", AND('BASIC INFO'!$B$3&gt;'BASIC INFO'!$B$6+6574.5, C154+730.5&lt;'BASIC INFO'!$B$3), "YES", 'BASIC INFO'!$B$3&lt;('BASIC INFO'!$B$6+6574.5), "NOT YET 18", C154+730.5&gt;'BASIC INFO'!$B$3, "NOT YET 2 YEARS")</f>
        <v>N/A</v>
      </c>
      <c r="I154" s="39" t="str">
        <f>IF(OR(AND(LEFT('CASE DATA'!F155,4)="321.",MID('CASE DATA'!A155,8,2)="SM"),MID('CASE DATA'!A155,8,2)="ST",MID('CASE DATA'!A155,8,2)="NT"),"TRAFFIC",IF(OR('CASE DATA'!G155="DISM", 'CASE DATA'!G155="ACQ", 'CASE DATA'!G155="NOTF", 'CASE DATA'!G155="WTHD", 'CASE DATA'!G155="TNSF"), "YES", "NO"))</f>
        <v>NO</v>
      </c>
      <c r="J154" s="40" t="str">
        <f>IF(I154="YES",'CASE DATA'!U155,"N/A")</f>
        <v>N/A</v>
      </c>
      <c r="K154" s="40" t="str">
        <f>IF(I154="YES",SOL!C155+SOL!D155,"N/A")</f>
        <v>N/A</v>
      </c>
      <c r="L154" s="35" t="str">
        <f>IF(I154="YES",IF(C154+180&lt;'BASIC INFO'!$B$3, "YES", "NO"),"N/A")</f>
        <v>N/A</v>
      </c>
      <c r="M154" s="40" t="str">
        <f t="array" ref="M154">IF(I154="TRAFFIC","n/a",IF(OR('CASE DATA'!G155="GTR", 'CASE DATA'!G155="GPL"),IF(SUM(COUNTIF('CASE DATA'!X155:AI155, 'CODE SECTIONS'!$V$2:$V$218&amp;"*"))&gt;0,"NO","YES"),"n/a"))</f>
        <v>n/a</v>
      </c>
      <c r="N154" s="40" t="str">
        <f t="array" ref="N154">IF(M154="YES",IF(OR((SUM(COUNTIF('CASE DATA'!X155:AI155,'CODE SECTIONS'!$X$2:$X$19&amp;"*"))&gt;0),LEFT('CASE DATA'!X155:AI155,4)="717C", LEFT('CASE DATA'!X155:AI155, 3)="719", LEFT('CASE DATA'!X155:AI155,3)="720", LEFT('CASE DATA'!X155:AI155,3)="724", LEFT('CASE DATA'!X155:AI155,3)="726", LEFT('CASE DATA'!X155:AI155,3)="728", LEFT('CASE DATA'!X155:AI155,4)="901A"), "ineligible misd","eligible"),"n/a")</f>
        <v>n/a</v>
      </c>
      <c r="O154" s="40" t="str">
        <f>IF(N154="eligible",IF(COUNTIF('CASE DATA'!$D$4:$D$200, "")-COUNTIF('CASE DATA'!$A$4:$A$200, "")&gt;0, "YES","NO"),"N/A")</f>
        <v>N/A</v>
      </c>
      <c r="P154" s="40" t="str">
        <f>IF(N154="eligible",BANKRUPTCY!C155+BANKRUPTCY!D155,"N/A")</f>
        <v>N/A</v>
      </c>
      <c r="Q154" s="40" t="str">
        <f>IF(N154="eligible",SOL!C155+SOL!D155,"N/A")</f>
        <v>N/A</v>
      </c>
      <c r="R154" s="40" t="str">
        <f>IF(N154="eligible",SUM('CASE DATA'!K155:T155),"N/A")</f>
        <v>N/A</v>
      </c>
      <c r="S154" s="40" t="str">
        <f>IF(N154="eligible",IF(C154+2920&lt;'BASIC INFO'!$B$3, "YES", "NO"),"N/A")</f>
        <v>N/A</v>
      </c>
      <c r="T154" s="39" t="str">
        <f>IF(OR('CASE DATA'!G155="DEF"), "YES", "NO")</f>
        <v>NO</v>
      </c>
      <c r="U154" s="35" t="str">
        <f>IF(T154="YES",'CASE DATA'!I155,"N/A")</f>
        <v>N/A</v>
      </c>
      <c r="V154" s="40" t="str">
        <f>IF(T154="YES",BANKRUPTCY!C155+BANKRUPTCY!D155,"N/A")</f>
        <v>N/A</v>
      </c>
      <c r="W154" s="40" t="str">
        <f>IF(T154="YES",SUM('CASE DATA'!K155:T155),"N/A")</f>
        <v>N/A</v>
      </c>
      <c r="X154" s="35" t="str">
        <f>IF(OR('CASE DATA'!F155="123.46",'CASE DATA'!F155="123.47"),"YES","NO")</f>
        <v>NO</v>
      </c>
      <c r="Y154" s="40" t="str">
        <f>IF(X154="YES",IF(C154+730.5&lt;'BASIC INFO'!$B$3, "YES","NO"), "N/A")</f>
        <v>N/A</v>
      </c>
      <c r="Z154" s="35" t="str">
        <f>IF('CASE DATA'!F155="725.1","YES","NO")</f>
        <v>NO</v>
      </c>
      <c r="AA154" s="35" t="str">
        <f>IF(Z154="YES",IF(C154+730.5&lt;'BASIC INFO'!$B$3, "YES","NO"), "N/A")</f>
        <v>N/A</v>
      </c>
      <c r="AB154" s="35" t="str">
        <f>IF('BASIC INFO'!$B$6+6574.5&gt;C154, "YES", "NO")</f>
        <v>YES</v>
      </c>
    </row>
    <row r="155" spans="1:28" x14ac:dyDescent="0.25">
      <c r="A155" s="35" t="str">
        <f>IF('CASE DATA'!A156="","z",'CASE DATA'!A156)</f>
        <v>z</v>
      </c>
      <c r="B155" s="66" t="str">
        <f>IF('CASE DATA'!A156="","",'CASE DATA'!E156)</f>
        <v/>
      </c>
      <c r="C155" s="36">
        <f>'CASE DATA'!D156</f>
        <v>0</v>
      </c>
      <c r="D155" s="37" t="str">
        <f>IF('CASE DATA'!I156="YES",SUM('CASE DATA'!K156:Q156),"n/a")</f>
        <v>n/a</v>
      </c>
      <c r="E155" s="38" t="str">
        <f>IF('CASE DATA'!G156="JUV", "YES", "NO")</f>
        <v>NO</v>
      </c>
      <c r="F155" s="38" t="str">
        <f t="array" ref="F155">IF(E155="YES",IF(SUM(COUNTIF('CASE DATA'!$G$4:$G$200, {"GTR","GPL","DEF","JUV"}))&gt;0, "YES","NO"),"N/A")</f>
        <v>N/A</v>
      </c>
      <c r="G155" s="38" t="str">
        <f>IF(E155="YES",IF(COUNTIF('CASE DATA'!$D$4:$D$200, "")-COUNTIF('CASE DATA'!$A$4:$A$200, "")&gt;0, "YES","NO"),"N/A")</f>
        <v>N/A</v>
      </c>
      <c r="H155" s="35" t="str">
        <f>_xlfn.IFS(E155="NO", "N/A", AND('BASIC INFO'!$B$3&gt;'BASIC INFO'!$B$6+6574.5, C155+730.5&lt;'BASIC INFO'!$B$3), "YES", 'BASIC INFO'!$B$3&lt;('BASIC INFO'!$B$6+6574.5), "NOT YET 18", C155+730.5&gt;'BASIC INFO'!$B$3, "NOT YET 2 YEARS")</f>
        <v>N/A</v>
      </c>
      <c r="I155" s="39" t="str">
        <f>IF(OR(AND(LEFT('CASE DATA'!F156,4)="321.",MID('CASE DATA'!A156,8,2)="SM"),MID('CASE DATA'!A156,8,2)="ST",MID('CASE DATA'!A156,8,2)="NT"),"TRAFFIC",IF(OR('CASE DATA'!G156="DISM", 'CASE DATA'!G156="ACQ", 'CASE DATA'!G156="NOTF", 'CASE DATA'!G156="WTHD", 'CASE DATA'!G156="TNSF"), "YES", "NO"))</f>
        <v>NO</v>
      </c>
      <c r="J155" s="40" t="str">
        <f>IF(I155="YES",'CASE DATA'!U156,"N/A")</f>
        <v>N/A</v>
      </c>
      <c r="K155" s="40" t="str">
        <f>IF(I155="YES",SOL!C156+SOL!D156,"N/A")</f>
        <v>N/A</v>
      </c>
      <c r="L155" s="35" t="str">
        <f>IF(I155="YES",IF(C155+180&lt;'BASIC INFO'!$B$3, "YES", "NO"),"N/A")</f>
        <v>N/A</v>
      </c>
      <c r="M155" s="40" t="str">
        <f t="array" ref="M155">IF(I155="TRAFFIC","n/a",IF(OR('CASE DATA'!G156="GTR", 'CASE DATA'!G156="GPL"),IF(SUM(COUNTIF('CASE DATA'!X156:AI156, 'CODE SECTIONS'!$V$2:$V$218&amp;"*"))&gt;0,"NO","YES"),"n/a"))</f>
        <v>n/a</v>
      </c>
      <c r="N155" s="40" t="str">
        <f t="array" ref="N155">IF(M155="YES",IF(OR((SUM(COUNTIF('CASE DATA'!X156:AI156,'CODE SECTIONS'!$X$2:$X$19&amp;"*"))&gt;0),LEFT('CASE DATA'!X156:AI156,4)="717C", LEFT('CASE DATA'!X156:AI156, 3)="719", LEFT('CASE DATA'!X156:AI156,3)="720", LEFT('CASE DATA'!X156:AI156,3)="724", LEFT('CASE DATA'!X156:AI156,3)="726", LEFT('CASE DATA'!X156:AI156,3)="728", LEFT('CASE DATA'!X156:AI156,4)="901A"), "ineligible misd","eligible"),"n/a")</f>
        <v>n/a</v>
      </c>
      <c r="O155" s="40" t="str">
        <f>IF(N155="eligible",IF(COUNTIF('CASE DATA'!$D$4:$D$200, "")-COUNTIF('CASE DATA'!$A$4:$A$200, "")&gt;0, "YES","NO"),"N/A")</f>
        <v>N/A</v>
      </c>
      <c r="P155" s="40" t="str">
        <f>IF(N155="eligible",BANKRUPTCY!C156+BANKRUPTCY!D156,"N/A")</f>
        <v>N/A</v>
      </c>
      <c r="Q155" s="40" t="str">
        <f>IF(N155="eligible",SOL!C156+SOL!D156,"N/A")</f>
        <v>N/A</v>
      </c>
      <c r="R155" s="40" t="str">
        <f>IF(N155="eligible",SUM('CASE DATA'!K156:T156),"N/A")</f>
        <v>N/A</v>
      </c>
      <c r="S155" s="40" t="str">
        <f>IF(N155="eligible",IF(C155+2920&lt;'BASIC INFO'!$B$3, "YES", "NO"),"N/A")</f>
        <v>N/A</v>
      </c>
      <c r="T155" s="39" t="str">
        <f>IF(OR('CASE DATA'!G156="DEF"), "YES", "NO")</f>
        <v>NO</v>
      </c>
      <c r="U155" s="35" t="str">
        <f>IF(T155="YES",'CASE DATA'!I156,"N/A")</f>
        <v>N/A</v>
      </c>
      <c r="V155" s="40" t="str">
        <f>IF(T155="YES",BANKRUPTCY!C156+BANKRUPTCY!D156,"N/A")</f>
        <v>N/A</v>
      </c>
      <c r="W155" s="40" t="str">
        <f>IF(T155="YES",SUM('CASE DATA'!K156:T156),"N/A")</f>
        <v>N/A</v>
      </c>
      <c r="X155" s="35" t="str">
        <f>IF(OR('CASE DATA'!F156="123.46",'CASE DATA'!F156="123.47"),"YES","NO")</f>
        <v>NO</v>
      </c>
      <c r="Y155" s="40" t="str">
        <f>IF(X155="YES",IF(C155+730.5&lt;'BASIC INFO'!$B$3, "YES","NO"), "N/A")</f>
        <v>N/A</v>
      </c>
      <c r="Z155" s="35" t="str">
        <f>IF('CASE DATA'!F156="725.1","YES","NO")</f>
        <v>NO</v>
      </c>
      <c r="AA155" s="35" t="str">
        <f>IF(Z155="YES",IF(C155+730.5&lt;'BASIC INFO'!$B$3, "YES","NO"), "N/A")</f>
        <v>N/A</v>
      </c>
      <c r="AB155" s="35" t="str">
        <f>IF('BASIC INFO'!$B$6+6574.5&gt;C155, "YES", "NO")</f>
        <v>YES</v>
      </c>
    </row>
    <row r="156" spans="1:28" x14ac:dyDescent="0.25">
      <c r="A156" s="35" t="str">
        <f>IF('CASE DATA'!A157="","z",'CASE DATA'!A157)</f>
        <v>z</v>
      </c>
      <c r="B156" s="66" t="str">
        <f>IF('CASE DATA'!A157="","",'CASE DATA'!E157)</f>
        <v/>
      </c>
      <c r="C156" s="36">
        <f>'CASE DATA'!D157</f>
        <v>0</v>
      </c>
      <c r="D156" s="37" t="str">
        <f>IF('CASE DATA'!I157="YES",SUM('CASE DATA'!K157:Q157),"n/a")</f>
        <v>n/a</v>
      </c>
      <c r="E156" s="38" t="str">
        <f>IF('CASE DATA'!G157="JUV", "YES", "NO")</f>
        <v>NO</v>
      </c>
      <c r="F156" s="38" t="str">
        <f t="array" ref="F156">IF(E156="YES",IF(SUM(COUNTIF('CASE DATA'!$G$4:$G$200, {"GTR","GPL","DEF","JUV"}))&gt;0, "YES","NO"),"N/A")</f>
        <v>N/A</v>
      </c>
      <c r="G156" s="38" t="str">
        <f>IF(E156="YES",IF(COUNTIF('CASE DATA'!$D$4:$D$200, "")-COUNTIF('CASE DATA'!$A$4:$A$200, "")&gt;0, "YES","NO"),"N/A")</f>
        <v>N/A</v>
      </c>
      <c r="H156" s="35" t="str">
        <f>_xlfn.IFS(E156="NO", "N/A", AND('BASIC INFO'!$B$3&gt;'BASIC INFO'!$B$6+6574.5, C156+730.5&lt;'BASIC INFO'!$B$3), "YES", 'BASIC INFO'!$B$3&lt;('BASIC INFO'!$B$6+6574.5), "NOT YET 18", C156+730.5&gt;'BASIC INFO'!$B$3, "NOT YET 2 YEARS")</f>
        <v>N/A</v>
      </c>
      <c r="I156" s="39" t="str">
        <f>IF(OR(AND(LEFT('CASE DATA'!F157,4)="321.",MID('CASE DATA'!A157,8,2)="SM"),MID('CASE DATA'!A157,8,2)="ST",MID('CASE DATA'!A157,8,2)="NT"),"TRAFFIC",IF(OR('CASE DATA'!G157="DISM", 'CASE DATA'!G157="ACQ", 'CASE DATA'!G157="NOTF", 'CASE DATA'!G157="WTHD", 'CASE DATA'!G157="TNSF"), "YES", "NO"))</f>
        <v>NO</v>
      </c>
      <c r="J156" s="40" t="str">
        <f>IF(I156="YES",'CASE DATA'!U157,"N/A")</f>
        <v>N/A</v>
      </c>
      <c r="K156" s="40" t="str">
        <f>IF(I156="YES",SOL!C157+SOL!D157,"N/A")</f>
        <v>N/A</v>
      </c>
      <c r="L156" s="35" t="str">
        <f>IF(I156="YES",IF(C156+180&lt;'BASIC INFO'!$B$3, "YES", "NO"),"N/A")</f>
        <v>N/A</v>
      </c>
      <c r="M156" s="40" t="str">
        <f t="array" ref="M156">IF(I156="TRAFFIC","n/a",IF(OR('CASE DATA'!G157="GTR", 'CASE DATA'!G157="GPL"),IF(SUM(COUNTIF('CASE DATA'!X157:AI157, 'CODE SECTIONS'!$V$2:$V$218&amp;"*"))&gt;0,"NO","YES"),"n/a"))</f>
        <v>n/a</v>
      </c>
      <c r="N156" s="40" t="str">
        <f t="array" ref="N156">IF(M156="YES",IF(OR((SUM(COUNTIF('CASE DATA'!X157:AI157,'CODE SECTIONS'!$X$2:$X$19&amp;"*"))&gt;0),LEFT('CASE DATA'!X157:AI157,4)="717C", LEFT('CASE DATA'!X157:AI157, 3)="719", LEFT('CASE DATA'!X157:AI157,3)="720", LEFT('CASE DATA'!X157:AI157,3)="724", LEFT('CASE DATA'!X157:AI157,3)="726", LEFT('CASE DATA'!X157:AI157,3)="728", LEFT('CASE DATA'!X157:AI157,4)="901A"), "ineligible misd","eligible"),"n/a")</f>
        <v>n/a</v>
      </c>
      <c r="O156" s="40" t="str">
        <f>IF(N156="eligible",IF(COUNTIF('CASE DATA'!$D$4:$D$200, "")-COUNTIF('CASE DATA'!$A$4:$A$200, "")&gt;0, "YES","NO"),"N/A")</f>
        <v>N/A</v>
      </c>
      <c r="P156" s="40" t="str">
        <f>IF(N156="eligible",BANKRUPTCY!C157+BANKRUPTCY!D157,"N/A")</f>
        <v>N/A</v>
      </c>
      <c r="Q156" s="40" t="str">
        <f>IF(N156="eligible",SOL!C157+SOL!D157,"N/A")</f>
        <v>N/A</v>
      </c>
      <c r="R156" s="40" t="str">
        <f>IF(N156="eligible",SUM('CASE DATA'!K157:T157),"N/A")</f>
        <v>N/A</v>
      </c>
      <c r="S156" s="40" t="str">
        <f>IF(N156="eligible",IF(C156+2920&lt;'BASIC INFO'!$B$3, "YES", "NO"),"N/A")</f>
        <v>N/A</v>
      </c>
      <c r="T156" s="39" t="str">
        <f>IF(OR('CASE DATA'!G157="DEF"), "YES", "NO")</f>
        <v>NO</v>
      </c>
      <c r="U156" s="35" t="str">
        <f>IF(T156="YES",'CASE DATA'!I157,"N/A")</f>
        <v>N/A</v>
      </c>
      <c r="V156" s="40" t="str">
        <f>IF(T156="YES",BANKRUPTCY!C157+BANKRUPTCY!D157,"N/A")</f>
        <v>N/A</v>
      </c>
      <c r="W156" s="40" t="str">
        <f>IF(T156="YES",SUM('CASE DATA'!K157:T157),"N/A")</f>
        <v>N/A</v>
      </c>
      <c r="X156" s="35" t="str">
        <f>IF(OR('CASE DATA'!F157="123.46",'CASE DATA'!F157="123.47"),"YES","NO")</f>
        <v>NO</v>
      </c>
      <c r="Y156" s="40" t="str">
        <f>IF(X156="YES",IF(C156+730.5&lt;'BASIC INFO'!$B$3, "YES","NO"), "N/A")</f>
        <v>N/A</v>
      </c>
      <c r="Z156" s="35" t="str">
        <f>IF('CASE DATA'!F157="725.1","YES","NO")</f>
        <v>NO</v>
      </c>
      <c r="AA156" s="35" t="str">
        <f>IF(Z156="YES",IF(C156+730.5&lt;'BASIC INFO'!$B$3, "YES","NO"), "N/A")</f>
        <v>N/A</v>
      </c>
      <c r="AB156" s="35" t="str">
        <f>IF('BASIC INFO'!$B$6+6574.5&gt;C156, "YES", "NO")</f>
        <v>YES</v>
      </c>
    </row>
    <row r="157" spans="1:28" x14ac:dyDescent="0.25">
      <c r="A157" s="35" t="str">
        <f>IF('CASE DATA'!A158="","z",'CASE DATA'!A158)</f>
        <v>z</v>
      </c>
      <c r="B157" s="66" t="str">
        <f>IF('CASE DATA'!A158="","",'CASE DATA'!E158)</f>
        <v/>
      </c>
      <c r="C157" s="36">
        <f>'CASE DATA'!D158</f>
        <v>0</v>
      </c>
      <c r="D157" s="37" t="str">
        <f>IF('CASE DATA'!I158="YES",SUM('CASE DATA'!K158:Q158),"n/a")</f>
        <v>n/a</v>
      </c>
      <c r="E157" s="38" t="str">
        <f>IF('CASE DATA'!G158="JUV", "YES", "NO")</f>
        <v>NO</v>
      </c>
      <c r="F157" s="38" t="str">
        <f t="array" ref="F157">IF(E157="YES",IF(SUM(COUNTIF('CASE DATA'!$G$4:$G$200, {"GTR","GPL","DEF","JUV"}))&gt;0, "YES","NO"),"N/A")</f>
        <v>N/A</v>
      </c>
      <c r="G157" s="38" t="str">
        <f>IF(E157="YES",IF(COUNTIF('CASE DATA'!$D$4:$D$200, "")-COUNTIF('CASE DATA'!$A$4:$A$200, "")&gt;0, "YES","NO"),"N/A")</f>
        <v>N/A</v>
      </c>
      <c r="H157" s="35" t="str">
        <f>_xlfn.IFS(E157="NO", "N/A", AND('BASIC INFO'!$B$3&gt;'BASIC INFO'!$B$6+6574.5, C157+730.5&lt;'BASIC INFO'!$B$3), "YES", 'BASIC INFO'!$B$3&lt;('BASIC INFO'!$B$6+6574.5), "NOT YET 18", C157+730.5&gt;'BASIC INFO'!$B$3, "NOT YET 2 YEARS")</f>
        <v>N/A</v>
      </c>
      <c r="I157" s="39" t="str">
        <f>IF(OR(AND(LEFT('CASE DATA'!F158,4)="321.",MID('CASE DATA'!A158,8,2)="SM"),MID('CASE DATA'!A158,8,2)="ST",MID('CASE DATA'!A158,8,2)="NT"),"TRAFFIC",IF(OR('CASE DATA'!G158="DISM", 'CASE DATA'!G158="ACQ", 'CASE DATA'!G158="NOTF", 'CASE DATA'!G158="WTHD", 'CASE DATA'!G158="TNSF"), "YES", "NO"))</f>
        <v>NO</v>
      </c>
      <c r="J157" s="40" t="str">
        <f>IF(I157="YES",'CASE DATA'!U158,"N/A")</f>
        <v>N/A</v>
      </c>
      <c r="K157" s="40" t="str">
        <f>IF(I157="YES",SOL!C158+SOL!D158,"N/A")</f>
        <v>N/A</v>
      </c>
      <c r="L157" s="35" t="str">
        <f>IF(I157="YES",IF(C157+180&lt;'BASIC INFO'!$B$3, "YES", "NO"),"N/A")</f>
        <v>N/A</v>
      </c>
      <c r="M157" s="40" t="str">
        <f t="array" ref="M157">IF(I157="TRAFFIC","n/a",IF(OR('CASE DATA'!G158="GTR", 'CASE DATA'!G158="GPL"),IF(SUM(COUNTIF('CASE DATA'!X158:AI158, 'CODE SECTIONS'!$V$2:$V$218&amp;"*"))&gt;0,"NO","YES"),"n/a"))</f>
        <v>n/a</v>
      </c>
      <c r="N157" s="40" t="str">
        <f t="array" ref="N157">IF(M157="YES",IF(OR((SUM(COUNTIF('CASE DATA'!X158:AI158,'CODE SECTIONS'!$X$2:$X$19&amp;"*"))&gt;0),LEFT('CASE DATA'!X158:AI158,4)="717C", LEFT('CASE DATA'!X158:AI158, 3)="719", LEFT('CASE DATA'!X158:AI158,3)="720", LEFT('CASE DATA'!X158:AI158,3)="724", LEFT('CASE DATA'!X158:AI158,3)="726", LEFT('CASE DATA'!X158:AI158,3)="728", LEFT('CASE DATA'!X158:AI158,4)="901A"), "ineligible misd","eligible"),"n/a")</f>
        <v>n/a</v>
      </c>
      <c r="O157" s="40" t="str">
        <f>IF(N157="eligible",IF(COUNTIF('CASE DATA'!$D$4:$D$200, "")-COUNTIF('CASE DATA'!$A$4:$A$200, "")&gt;0, "YES","NO"),"N/A")</f>
        <v>N/A</v>
      </c>
      <c r="P157" s="40" t="str">
        <f>IF(N157="eligible",BANKRUPTCY!C158+BANKRUPTCY!D158,"N/A")</f>
        <v>N/A</v>
      </c>
      <c r="Q157" s="40" t="str">
        <f>IF(N157="eligible",SOL!C158+SOL!D158,"N/A")</f>
        <v>N/A</v>
      </c>
      <c r="R157" s="40" t="str">
        <f>IF(N157="eligible",SUM('CASE DATA'!K158:T158),"N/A")</f>
        <v>N/A</v>
      </c>
      <c r="S157" s="40" t="str">
        <f>IF(N157="eligible",IF(C157+2920&lt;'BASIC INFO'!$B$3, "YES", "NO"),"N/A")</f>
        <v>N/A</v>
      </c>
      <c r="T157" s="39" t="str">
        <f>IF(OR('CASE DATA'!G158="DEF"), "YES", "NO")</f>
        <v>NO</v>
      </c>
      <c r="U157" s="35" t="str">
        <f>IF(T157="YES",'CASE DATA'!I158,"N/A")</f>
        <v>N/A</v>
      </c>
      <c r="V157" s="40" t="str">
        <f>IF(T157="YES",BANKRUPTCY!C158+BANKRUPTCY!D158,"N/A")</f>
        <v>N/A</v>
      </c>
      <c r="W157" s="40" t="str">
        <f>IF(T157="YES",SUM('CASE DATA'!K158:T158),"N/A")</f>
        <v>N/A</v>
      </c>
      <c r="X157" s="35" t="str">
        <f>IF(OR('CASE DATA'!F158="123.46",'CASE DATA'!F158="123.47"),"YES","NO")</f>
        <v>NO</v>
      </c>
      <c r="Y157" s="40" t="str">
        <f>IF(X157="YES",IF(C157+730.5&lt;'BASIC INFO'!$B$3, "YES","NO"), "N/A")</f>
        <v>N/A</v>
      </c>
      <c r="Z157" s="35" t="str">
        <f>IF('CASE DATA'!F158="725.1","YES","NO")</f>
        <v>NO</v>
      </c>
      <c r="AA157" s="35" t="str">
        <f>IF(Z157="YES",IF(C157+730.5&lt;'BASIC INFO'!$B$3, "YES","NO"), "N/A")</f>
        <v>N/A</v>
      </c>
      <c r="AB157" s="35" t="str">
        <f>IF('BASIC INFO'!$B$6+6574.5&gt;C157, "YES", "NO")</f>
        <v>YES</v>
      </c>
    </row>
    <row r="158" spans="1:28" x14ac:dyDescent="0.25">
      <c r="A158" s="35" t="str">
        <f>IF('CASE DATA'!A159="","z",'CASE DATA'!A159)</f>
        <v>z</v>
      </c>
      <c r="B158" s="66" t="str">
        <f>IF('CASE DATA'!A159="","",'CASE DATA'!E159)</f>
        <v/>
      </c>
      <c r="C158" s="36">
        <f>'CASE DATA'!D159</f>
        <v>0</v>
      </c>
      <c r="D158" s="37" t="str">
        <f>IF('CASE DATA'!I159="YES",SUM('CASE DATA'!K159:Q159),"n/a")</f>
        <v>n/a</v>
      </c>
      <c r="E158" s="38" t="str">
        <f>IF('CASE DATA'!G159="JUV", "YES", "NO")</f>
        <v>NO</v>
      </c>
      <c r="F158" s="38" t="str">
        <f t="array" ref="F158">IF(E158="YES",IF(SUM(COUNTIF('CASE DATA'!$G$4:$G$200, {"GTR","GPL","DEF","JUV"}))&gt;0, "YES","NO"),"N/A")</f>
        <v>N/A</v>
      </c>
      <c r="G158" s="38" t="str">
        <f>IF(E158="YES",IF(COUNTIF('CASE DATA'!$D$4:$D$200, "")-COUNTIF('CASE DATA'!$A$4:$A$200, "")&gt;0, "YES","NO"),"N/A")</f>
        <v>N/A</v>
      </c>
      <c r="H158" s="35" t="str">
        <f>_xlfn.IFS(E158="NO", "N/A", AND('BASIC INFO'!$B$3&gt;'BASIC INFO'!$B$6+6574.5, C158+730.5&lt;'BASIC INFO'!$B$3), "YES", 'BASIC INFO'!$B$3&lt;('BASIC INFO'!$B$6+6574.5), "NOT YET 18", C158+730.5&gt;'BASIC INFO'!$B$3, "NOT YET 2 YEARS")</f>
        <v>N/A</v>
      </c>
      <c r="I158" s="39" t="str">
        <f>IF(OR(AND(LEFT('CASE DATA'!F159,4)="321.",MID('CASE DATA'!A159,8,2)="SM"),MID('CASE DATA'!A159,8,2)="ST",MID('CASE DATA'!A159,8,2)="NT"),"TRAFFIC",IF(OR('CASE DATA'!G159="DISM", 'CASE DATA'!G159="ACQ", 'CASE DATA'!G159="NOTF", 'CASE DATA'!G159="WTHD", 'CASE DATA'!G159="TNSF"), "YES", "NO"))</f>
        <v>NO</v>
      </c>
      <c r="J158" s="40" t="str">
        <f>IF(I158="YES",'CASE DATA'!U159,"N/A")</f>
        <v>N/A</v>
      </c>
      <c r="K158" s="40" t="str">
        <f>IF(I158="YES",SOL!C159+SOL!D159,"N/A")</f>
        <v>N/A</v>
      </c>
      <c r="L158" s="35" t="str">
        <f>IF(I158="YES",IF(C158+180&lt;'BASIC INFO'!$B$3, "YES", "NO"),"N/A")</f>
        <v>N/A</v>
      </c>
      <c r="M158" s="40" t="str">
        <f t="array" ref="M158">IF(I158="TRAFFIC","n/a",IF(OR('CASE DATA'!G159="GTR", 'CASE DATA'!G159="GPL"),IF(SUM(COUNTIF('CASE DATA'!X159:AI159, 'CODE SECTIONS'!$V$2:$V$218&amp;"*"))&gt;0,"NO","YES"),"n/a"))</f>
        <v>n/a</v>
      </c>
      <c r="N158" s="40" t="str">
        <f t="array" ref="N158">IF(M158="YES",IF(OR((SUM(COUNTIF('CASE DATA'!X159:AI159,'CODE SECTIONS'!$X$2:$X$19&amp;"*"))&gt;0),LEFT('CASE DATA'!X159:AI159,4)="717C", LEFT('CASE DATA'!X159:AI159, 3)="719", LEFT('CASE DATA'!X159:AI159,3)="720", LEFT('CASE DATA'!X159:AI159,3)="724", LEFT('CASE DATA'!X159:AI159,3)="726", LEFT('CASE DATA'!X159:AI159,3)="728", LEFT('CASE DATA'!X159:AI159,4)="901A"), "ineligible misd","eligible"),"n/a")</f>
        <v>n/a</v>
      </c>
      <c r="O158" s="40" t="str">
        <f>IF(N158="eligible",IF(COUNTIF('CASE DATA'!$D$4:$D$200, "")-COUNTIF('CASE DATA'!$A$4:$A$200, "")&gt;0, "YES","NO"),"N/A")</f>
        <v>N/A</v>
      </c>
      <c r="P158" s="40" t="str">
        <f>IF(N158="eligible",BANKRUPTCY!C159+BANKRUPTCY!D159,"N/A")</f>
        <v>N/A</v>
      </c>
      <c r="Q158" s="40" t="str">
        <f>IF(N158="eligible",SOL!C159+SOL!D159,"N/A")</f>
        <v>N/A</v>
      </c>
      <c r="R158" s="40" t="str">
        <f>IF(N158="eligible",SUM('CASE DATA'!K159:T159),"N/A")</f>
        <v>N/A</v>
      </c>
      <c r="S158" s="40" t="str">
        <f>IF(N158="eligible",IF(C158+2920&lt;'BASIC INFO'!$B$3, "YES", "NO"),"N/A")</f>
        <v>N/A</v>
      </c>
      <c r="T158" s="39" t="str">
        <f>IF(OR('CASE DATA'!G159="DEF"), "YES", "NO")</f>
        <v>NO</v>
      </c>
      <c r="U158" s="35" t="str">
        <f>IF(T158="YES",'CASE DATA'!I159,"N/A")</f>
        <v>N/A</v>
      </c>
      <c r="V158" s="40" t="str">
        <f>IF(T158="YES",BANKRUPTCY!C159+BANKRUPTCY!D159,"N/A")</f>
        <v>N/A</v>
      </c>
      <c r="W158" s="40" t="str">
        <f>IF(T158="YES",SUM('CASE DATA'!K159:T159),"N/A")</f>
        <v>N/A</v>
      </c>
      <c r="X158" s="35" t="str">
        <f>IF(OR('CASE DATA'!F159="123.46",'CASE DATA'!F159="123.47"),"YES","NO")</f>
        <v>NO</v>
      </c>
      <c r="Y158" s="40" t="str">
        <f>IF(X158="YES",IF(C158+730.5&lt;'BASIC INFO'!$B$3, "YES","NO"), "N/A")</f>
        <v>N/A</v>
      </c>
      <c r="Z158" s="35" t="str">
        <f>IF('CASE DATA'!F159="725.1","YES","NO")</f>
        <v>NO</v>
      </c>
      <c r="AA158" s="35" t="str">
        <f>IF(Z158="YES",IF(C158+730.5&lt;'BASIC INFO'!$B$3, "YES","NO"), "N/A")</f>
        <v>N/A</v>
      </c>
      <c r="AB158" s="35" t="str">
        <f>IF('BASIC INFO'!$B$6+6574.5&gt;C158, "YES", "NO")</f>
        <v>YES</v>
      </c>
    </row>
    <row r="159" spans="1:28" x14ac:dyDescent="0.25">
      <c r="A159" s="35" t="str">
        <f>IF('CASE DATA'!A160="","z",'CASE DATA'!A160)</f>
        <v>z</v>
      </c>
      <c r="B159" s="66" t="str">
        <f>IF('CASE DATA'!A160="","",'CASE DATA'!E160)</f>
        <v/>
      </c>
      <c r="C159" s="36">
        <f>'CASE DATA'!D160</f>
        <v>0</v>
      </c>
      <c r="D159" s="37" t="str">
        <f>IF('CASE DATA'!I160="YES",SUM('CASE DATA'!K160:Q160),"n/a")</f>
        <v>n/a</v>
      </c>
      <c r="E159" s="38" t="str">
        <f>IF('CASE DATA'!G160="JUV", "YES", "NO")</f>
        <v>NO</v>
      </c>
      <c r="F159" s="38" t="str">
        <f t="array" ref="F159">IF(E159="YES",IF(SUM(COUNTIF('CASE DATA'!$G$4:$G$200, {"GTR","GPL","DEF","JUV"}))&gt;0, "YES","NO"),"N/A")</f>
        <v>N/A</v>
      </c>
      <c r="G159" s="38" t="str">
        <f>IF(E159="YES",IF(COUNTIF('CASE DATA'!$D$4:$D$200, "")-COUNTIF('CASE DATA'!$A$4:$A$200, "")&gt;0, "YES","NO"),"N/A")</f>
        <v>N/A</v>
      </c>
      <c r="H159" s="35" t="str">
        <f>_xlfn.IFS(E159="NO", "N/A", AND('BASIC INFO'!$B$3&gt;'BASIC INFO'!$B$6+6574.5, C159+730.5&lt;'BASIC INFO'!$B$3), "YES", 'BASIC INFO'!$B$3&lt;('BASIC INFO'!$B$6+6574.5), "NOT YET 18", C159+730.5&gt;'BASIC INFO'!$B$3, "NOT YET 2 YEARS")</f>
        <v>N/A</v>
      </c>
      <c r="I159" s="39" t="str">
        <f>IF(OR(AND(LEFT('CASE DATA'!F160,4)="321.",MID('CASE DATA'!A160,8,2)="SM"),MID('CASE DATA'!A160,8,2)="ST",MID('CASE DATA'!A160,8,2)="NT"),"TRAFFIC",IF(OR('CASE DATA'!G160="DISM", 'CASE DATA'!G160="ACQ", 'CASE DATA'!G160="NOTF", 'CASE DATA'!G160="WTHD", 'CASE DATA'!G160="TNSF"), "YES", "NO"))</f>
        <v>NO</v>
      </c>
      <c r="J159" s="40" t="str">
        <f>IF(I159="YES",'CASE DATA'!U160,"N/A")</f>
        <v>N/A</v>
      </c>
      <c r="K159" s="40" t="str">
        <f>IF(I159="YES",SOL!C160+SOL!D160,"N/A")</f>
        <v>N/A</v>
      </c>
      <c r="L159" s="35" t="str">
        <f>IF(I159="YES",IF(C159+180&lt;'BASIC INFO'!$B$3, "YES", "NO"),"N/A")</f>
        <v>N/A</v>
      </c>
      <c r="M159" s="40" t="str">
        <f t="array" ref="M159">IF(I159="TRAFFIC","n/a",IF(OR('CASE DATA'!G160="GTR", 'CASE DATA'!G160="GPL"),IF(SUM(COUNTIF('CASE DATA'!X160:AI160, 'CODE SECTIONS'!$V$2:$V$218&amp;"*"))&gt;0,"NO","YES"),"n/a"))</f>
        <v>n/a</v>
      </c>
      <c r="N159" s="40" t="str">
        <f t="array" ref="N159">IF(M159="YES",IF(OR((SUM(COUNTIF('CASE DATA'!X160:AI160,'CODE SECTIONS'!$X$2:$X$19&amp;"*"))&gt;0),LEFT('CASE DATA'!X160:AI160,4)="717C", LEFT('CASE DATA'!X160:AI160, 3)="719", LEFT('CASE DATA'!X160:AI160,3)="720", LEFT('CASE DATA'!X160:AI160,3)="724", LEFT('CASE DATA'!X160:AI160,3)="726", LEFT('CASE DATA'!X160:AI160,3)="728", LEFT('CASE DATA'!X160:AI160,4)="901A"), "ineligible misd","eligible"),"n/a")</f>
        <v>n/a</v>
      </c>
      <c r="O159" s="40" t="str">
        <f>IF(N159="eligible",IF(COUNTIF('CASE DATA'!$D$4:$D$200, "")-COUNTIF('CASE DATA'!$A$4:$A$200, "")&gt;0, "YES","NO"),"N/A")</f>
        <v>N/A</v>
      </c>
      <c r="P159" s="40" t="str">
        <f>IF(N159="eligible",BANKRUPTCY!C160+BANKRUPTCY!D160,"N/A")</f>
        <v>N/A</v>
      </c>
      <c r="Q159" s="40" t="str">
        <f>IF(N159="eligible",SOL!C160+SOL!D160,"N/A")</f>
        <v>N/A</v>
      </c>
      <c r="R159" s="40" t="str">
        <f>IF(N159="eligible",SUM('CASE DATA'!K160:T160),"N/A")</f>
        <v>N/A</v>
      </c>
      <c r="S159" s="40" t="str">
        <f>IF(N159="eligible",IF(C159+2920&lt;'BASIC INFO'!$B$3, "YES", "NO"),"N/A")</f>
        <v>N/A</v>
      </c>
      <c r="T159" s="39" t="str">
        <f>IF(OR('CASE DATA'!G160="DEF"), "YES", "NO")</f>
        <v>NO</v>
      </c>
      <c r="U159" s="35" t="str">
        <f>IF(T159="YES",'CASE DATA'!I160,"N/A")</f>
        <v>N/A</v>
      </c>
      <c r="V159" s="40" t="str">
        <f>IF(T159="YES",BANKRUPTCY!C160+BANKRUPTCY!D160,"N/A")</f>
        <v>N/A</v>
      </c>
      <c r="W159" s="40" t="str">
        <f>IF(T159="YES",SUM('CASE DATA'!K160:T160),"N/A")</f>
        <v>N/A</v>
      </c>
      <c r="X159" s="35" t="str">
        <f>IF(OR('CASE DATA'!F160="123.46",'CASE DATA'!F160="123.47"),"YES","NO")</f>
        <v>NO</v>
      </c>
      <c r="Y159" s="40" t="str">
        <f>IF(X159="YES",IF(C159+730.5&lt;'BASIC INFO'!$B$3, "YES","NO"), "N/A")</f>
        <v>N/A</v>
      </c>
      <c r="Z159" s="35" t="str">
        <f>IF('CASE DATA'!F160="725.1","YES","NO")</f>
        <v>NO</v>
      </c>
      <c r="AA159" s="35" t="str">
        <f>IF(Z159="YES",IF(C159+730.5&lt;'BASIC INFO'!$B$3, "YES","NO"), "N/A")</f>
        <v>N/A</v>
      </c>
      <c r="AB159" s="35" t="str">
        <f>IF('BASIC INFO'!$B$6+6574.5&gt;C159, "YES", "NO")</f>
        <v>YES</v>
      </c>
    </row>
    <row r="160" spans="1:28" x14ac:dyDescent="0.25">
      <c r="A160" s="35" t="str">
        <f>IF('CASE DATA'!A161="","z",'CASE DATA'!A161)</f>
        <v>z</v>
      </c>
      <c r="B160" s="66" t="str">
        <f>IF('CASE DATA'!A161="","",'CASE DATA'!E161)</f>
        <v/>
      </c>
      <c r="C160" s="36">
        <f>'CASE DATA'!D161</f>
        <v>0</v>
      </c>
      <c r="D160" s="37" t="str">
        <f>IF('CASE DATA'!I161="YES",SUM('CASE DATA'!K161:Q161),"n/a")</f>
        <v>n/a</v>
      </c>
      <c r="E160" s="38" t="str">
        <f>IF('CASE DATA'!G161="JUV", "YES", "NO")</f>
        <v>NO</v>
      </c>
      <c r="F160" s="38" t="str">
        <f t="array" ref="F160">IF(E160="YES",IF(SUM(COUNTIF('CASE DATA'!$G$4:$G$200, {"GTR","GPL","DEF","JUV"}))&gt;0, "YES","NO"),"N/A")</f>
        <v>N/A</v>
      </c>
      <c r="G160" s="38" t="str">
        <f>IF(E160="YES",IF(COUNTIF('CASE DATA'!$D$4:$D$200, "")-COUNTIF('CASE DATA'!$A$4:$A$200, "")&gt;0, "YES","NO"),"N/A")</f>
        <v>N/A</v>
      </c>
      <c r="H160" s="35" t="str">
        <f>_xlfn.IFS(E160="NO", "N/A", AND('BASIC INFO'!$B$3&gt;'BASIC INFO'!$B$6+6574.5, C160+730.5&lt;'BASIC INFO'!$B$3), "YES", 'BASIC INFO'!$B$3&lt;('BASIC INFO'!$B$6+6574.5), "NOT YET 18", C160+730.5&gt;'BASIC INFO'!$B$3, "NOT YET 2 YEARS")</f>
        <v>N/A</v>
      </c>
      <c r="I160" s="39" t="str">
        <f>IF(OR(AND(LEFT('CASE DATA'!F161,4)="321.",MID('CASE DATA'!A161,8,2)="SM"),MID('CASE DATA'!A161,8,2)="ST",MID('CASE DATA'!A161,8,2)="NT"),"TRAFFIC",IF(OR('CASE DATA'!G161="DISM", 'CASE DATA'!G161="ACQ", 'CASE DATA'!G161="NOTF", 'CASE DATA'!G161="WTHD", 'CASE DATA'!G161="TNSF"), "YES", "NO"))</f>
        <v>NO</v>
      </c>
      <c r="J160" s="40" t="str">
        <f>IF(I160="YES",'CASE DATA'!U161,"N/A")</f>
        <v>N/A</v>
      </c>
      <c r="K160" s="40" t="str">
        <f>IF(I160="YES",SOL!C161+SOL!D161,"N/A")</f>
        <v>N/A</v>
      </c>
      <c r="L160" s="35" t="str">
        <f>IF(I160="YES",IF(C160+180&lt;'BASIC INFO'!$B$3, "YES", "NO"),"N/A")</f>
        <v>N/A</v>
      </c>
      <c r="M160" s="40" t="str">
        <f t="array" ref="M160">IF(I160="TRAFFIC","n/a",IF(OR('CASE DATA'!G161="GTR", 'CASE DATA'!G161="GPL"),IF(SUM(COUNTIF('CASE DATA'!X161:AI161, 'CODE SECTIONS'!$V$2:$V$218&amp;"*"))&gt;0,"NO","YES"),"n/a"))</f>
        <v>n/a</v>
      </c>
      <c r="N160" s="40" t="str">
        <f t="array" ref="N160">IF(M160="YES",IF(OR((SUM(COUNTIF('CASE DATA'!X161:AI161,'CODE SECTIONS'!$X$2:$X$19&amp;"*"))&gt;0),LEFT('CASE DATA'!X161:AI161,4)="717C", LEFT('CASE DATA'!X161:AI161, 3)="719", LEFT('CASE DATA'!X161:AI161,3)="720", LEFT('CASE DATA'!X161:AI161,3)="724", LEFT('CASE DATA'!X161:AI161,3)="726", LEFT('CASE DATA'!X161:AI161,3)="728", LEFT('CASE DATA'!X161:AI161,4)="901A"), "ineligible misd","eligible"),"n/a")</f>
        <v>n/a</v>
      </c>
      <c r="O160" s="40" t="str">
        <f>IF(N160="eligible",IF(COUNTIF('CASE DATA'!$D$4:$D$200, "")-COUNTIF('CASE DATA'!$A$4:$A$200, "")&gt;0, "YES","NO"),"N/A")</f>
        <v>N/A</v>
      </c>
      <c r="P160" s="40" t="str">
        <f>IF(N160="eligible",BANKRUPTCY!C161+BANKRUPTCY!D161,"N/A")</f>
        <v>N/A</v>
      </c>
      <c r="Q160" s="40" t="str">
        <f>IF(N160="eligible",SOL!C161+SOL!D161,"N/A")</f>
        <v>N/A</v>
      </c>
      <c r="R160" s="40" t="str">
        <f>IF(N160="eligible",SUM('CASE DATA'!K161:T161),"N/A")</f>
        <v>N/A</v>
      </c>
      <c r="S160" s="40" t="str">
        <f>IF(N160="eligible",IF(C160+2920&lt;'BASIC INFO'!$B$3, "YES", "NO"),"N/A")</f>
        <v>N/A</v>
      </c>
      <c r="T160" s="39" t="str">
        <f>IF(OR('CASE DATA'!G161="DEF"), "YES", "NO")</f>
        <v>NO</v>
      </c>
      <c r="U160" s="35" t="str">
        <f>IF(T160="YES",'CASE DATA'!I161,"N/A")</f>
        <v>N/A</v>
      </c>
      <c r="V160" s="40" t="str">
        <f>IF(T160="YES",BANKRUPTCY!C161+BANKRUPTCY!D161,"N/A")</f>
        <v>N/A</v>
      </c>
      <c r="W160" s="40" t="str">
        <f>IF(T160="YES",SUM('CASE DATA'!K161:T161),"N/A")</f>
        <v>N/A</v>
      </c>
      <c r="X160" s="35" t="str">
        <f>IF(OR('CASE DATA'!F161="123.46",'CASE DATA'!F161="123.47"),"YES","NO")</f>
        <v>NO</v>
      </c>
      <c r="Y160" s="40" t="str">
        <f>IF(X160="YES",IF(C160+730.5&lt;'BASIC INFO'!$B$3, "YES","NO"), "N/A")</f>
        <v>N/A</v>
      </c>
      <c r="Z160" s="35" t="str">
        <f>IF('CASE DATA'!F161="725.1","YES","NO")</f>
        <v>NO</v>
      </c>
      <c r="AA160" s="35" t="str">
        <f>IF(Z160="YES",IF(C160+730.5&lt;'BASIC INFO'!$B$3, "YES","NO"), "N/A")</f>
        <v>N/A</v>
      </c>
      <c r="AB160" s="35" t="str">
        <f>IF('BASIC INFO'!$B$6+6574.5&gt;C160, "YES", "NO")</f>
        <v>YES</v>
      </c>
    </row>
    <row r="161" spans="1:28" x14ac:dyDescent="0.25">
      <c r="A161" s="35" t="str">
        <f>IF('CASE DATA'!A162="","z",'CASE DATA'!A162)</f>
        <v>z</v>
      </c>
      <c r="B161" s="66" t="str">
        <f>IF('CASE DATA'!A162="","",'CASE DATA'!E162)</f>
        <v/>
      </c>
      <c r="C161" s="36">
        <f>'CASE DATA'!D162</f>
        <v>0</v>
      </c>
      <c r="D161" s="37" t="str">
        <f>IF('CASE DATA'!I162="YES",SUM('CASE DATA'!K162:Q162),"n/a")</f>
        <v>n/a</v>
      </c>
      <c r="E161" s="38" t="str">
        <f>IF('CASE DATA'!G162="JUV", "YES", "NO")</f>
        <v>NO</v>
      </c>
      <c r="F161" s="38" t="str">
        <f t="array" ref="F161">IF(E161="YES",IF(SUM(COUNTIF('CASE DATA'!$G$4:$G$200, {"GTR","GPL","DEF","JUV"}))&gt;0, "YES","NO"),"N/A")</f>
        <v>N/A</v>
      </c>
      <c r="G161" s="38" t="str">
        <f>IF(E161="YES",IF(COUNTIF('CASE DATA'!$D$4:$D$200, "")-COUNTIF('CASE DATA'!$A$4:$A$200, "")&gt;0, "YES","NO"),"N/A")</f>
        <v>N/A</v>
      </c>
      <c r="H161" s="35" t="str">
        <f>_xlfn.IFS(E161="NO", "N/A", AND('BASIC INFO'!$B$3&gt;'BASIC INFO'!$B$6+6574.5, C161+730.5&lt;'BASIC INFO'!$B$3), "YES", 'BASIC INFO'!$B$3&lt;('BASIC INFO'!$B$6+6574.5), "NOT YET 18", C161+730.5&gt;'BASIC INFO'!$B$3, "NOT YET 2 YEARS")</f>
        <v>N/A</v>
      </c>
      <c r="I161" s="39" t="str">
        <f>IF(OR(AND(LEFT('CASE DATA'!F162,4)="321.",MID('CASE DATA'!A162,8,2)="SM"),MID('CASE DATA'!A162,8,2)="ST",MID('CASE DATA'!A162,8,2)="NT"),"TRAFFIC",IF(OR('CASE DATA'!G162="DISM", 'CASE DATA'!G162="ACQ", 'CASE DATA'!G162="NOTF", 'CASE DATA'!G162="WTHD", 'CASE DATA'!G162="TNSF"), "YES", "NO"))</f>
        <v>NO</v>
      </c>
      <c r="J161" s="40" t="str">
        <f>IF(I161="YES",'CASE DATA'!U162,"N/A")</f>
        <v>N/A</v>
      </c>
      <c r="K161" s="40" t="str">
        <f>IF(I161="YES",SOL!C162+SOL!D162,"N/A")</f>
        <v>N/A</v>
      </c>
      <c r="L161" s="35" t="str">
        <f>IF(I161="YES",IF(C161+180&lt;'BASIC INFO'!$B$3, "YES", "NO"),"N/A")</f>
        <v>N/A</v>
      </c>
      <c r="M161" s="40" t="str">
        <f t="array" ref="M161">IF(I161="TRAFFIC","n/a",IF(OR('CASE DATA'!G162="GTR", 'CASE DATA'!G162="GPL"),IF(SUM(COUNTIF('CASE DATA'!X162:AI162, 'CODE SECTIONS'!$V$2:$V$218&amp;"*"))&gt;0,"NO","YES"),"n/a"))</f>
        <v>n/a</v>
      </c>
      <c r="N161" s="40" t="str">
        <f t="array" ref="N161">IF(M161="YES",IF(OR((SUM(COUNTIF('CASE DATA'!X162:AI162,'CODE SECTIONS'!$X$2:$X$19&amp;"*"))&gt;0),LEFT('CASE DATA'!X162:AI162,4)="717C", LEFT('CASE DATA'!X162:AI162, 3)="719", LEFT('CASE DATA'!X162:AI162,3)="720", LEFT('CASE DATA'!X162:AI162,3)="724", LEFT('CASE DATA'!X162:AI162,3)="726", LEFT('CASE DATA'!X162:AI162,3)="728", LEFT('CASE DATA'!X162:AI162,4)="901A"), "ineligible misd","eligible"),"n/a")</f>
        <v>n/a</v>
      </c>
      <c r="O161" s="40" t="str">
        <f>IF(N161="eligible",IF(COUNTIF('CASE DATA'!$D$4:$D$200, "")-COUNTIF('CASE DATA'!$A$4:$A$200, "")&gt;0, "YES","NO"),"N/A")</f>
        <v>N/A</v>
      </c>
      <c r="P161" s="40" t="str">
        <f>IF(N161="eligible",BANKRUPTCY!C162+BANKRUPTCY!D162,"N/A")</f>
        <v>N/A</v>
      </c>
      <c r="Q161" s="40" t="str">
        <f>IF(N161="eligible",SOL!C162+SOL!D162,"N/A")</f>
        <v>N/A</v>
      </c>
      <c r="R161" s="40" t="str">
        <f>IF(N161="eligible",SUM('CASE DATA'!K162:T162),"N/A")</f>
        <v>N/A</v>
      </c>
      <c r="S161" s="40" t="str">
        <f>IF(N161="eligible",IF(C161+2920&lt;'BASIC INFO'!$B$3, "YES", "NO"),"N/A")</f>
        <v>N/A</v>
      </c>
      <c r="T161" s="39" t="str">
        <f>IF(OR('CASE DATA'!G162="DEF"), "YES", "NO")</f>
        <v>NO</v>
      </c>
      <c r="U161" s="35" t="str">
        <f>IF(T161="YES",'CASE DATA'!I162,"N/A")</f>
        <v>N/A</v>
      </c>
      <c r="V161" s="40" t="str">
        <f>IF(T161="YES",BANKRUPTCY!C162+BANKRUPTCY!D162,"N/A")</f>
        <v>N/A</v>
      </c>
      <c r="W161" s="40" t="str">
        <f>IF(T161="YES",SUM('CASE DATA'!K162:T162),"N/A")</f>
        <v>N/A</v>
      </c>
      <c r="X161" s="35" t="str">
        <f>IF(OR('CASE DATA'!F162="123.46",'CASE DATA'!F162="123.47"),"YES","NO")</f>
        <v>NO</v>
      </c>
      <c r="Y161" s="40" t="str">
        <f>IF(X161="YES",IF(C161+730.5&lt;'BASIC INFO'!$B$3, "YES","NO"), "N/A")</f>
        <v>N/A</v>
      </c>
      <c r="Z161" s="35" t="str">
        <f>IF('CASE DATA'!F162="725.1","YES","NO")</f>
        <v>NO</v>
      </c>
      <c r="AA161" s="35" t="str">
        <f>IF(Z161="YES",IF(C161+730.5&lt;'BASIC INFO'!$B$3, "YES","NO"), "N/A")</f>
        <v>N/A</v>
      </c>
      <c r="AB161" s="35" t="str">
        <f>IF('BASIC INFO'!$B$6+6574.5&gt;C161, "YES", "NO")</f>
        <v>YES</v>
      </c>
    </row>
    <row r="162" spans="1:28" x14ac:dyDescent="0.25">
      <c r="A162" s="35" t="str">
        <f>IF('CASE DATA'!A163="","z",'CASE DATA'!A163)</f>
        <v>z</v>
      </c>
      <c r="B162" s="66" t="str">
        <f>IF('CASE DATA'!A163="","",'CASE DATA'!E163)</f>
        <v/>
      </c>
      <c r="C162" s="36">
        <f>'CASE DATA'!D163</f>
        <v>0</v>
      </c>
      <c r="D162" s="37" t="str">
        <f>IF('CASE DATA'!I163="YES",SUM('CASE DATA'!K163:Q163),"n/a")</f>
        <v>n/a</v>
      </c>
      <c r="E162" s="38" t="str">
        <f>IF('CASE DATA'!G163="JUV", "YES", "NO")</f>
        <v>NO</v>
      </c>
      <c r="F162" s="38" t="str">
        <f t="array" ref="F162">IF(E162="YES",IF(SUM(COUNTIF('CASE DATA'!$G$4:$G$200, {"GTR","GPL","DEF","JUV"}))&gt;0, "YES","NO"),"N/A")</f>
        <v>N/A</v>
      </c>
      <c r="G162" s="38" t="str">
        <f>IF(E162="YES",IF(COUNTIF('CASE DATA'!$D$4:$D$200, "")-COUNTIF('CASE DATA'!$A$4:$A$200, "")&gt;0, "YES","NO"),"N/A")</f>
        <v>N/A</v>
      </c>
      <c r="H162" s="35" t="str">
        <f>_xlfn.IFS(E162="NO", "N/A", AND('BASIC INFO'!$B$3&gt;'BASIC INFO'!$B$6+6574.5, C162+730.5&lt;'BASIC INFO'!$B$3), "YES", 'BASIC INFO'!$B$3&lt;('BASIC INFO'!$B$6+6574.5), "NOT YET 18", C162+730.5&gt;'BASIC INFO'!$B$3, "NOT YET 2 YEARS")</f>
        <v>N/A</v>
      </c>
      <c r="I162" s="39" t="str">
        <f>IF(OR(AND(LEFT('CASE DATA'!F163,4)="321.",MID('CASE DATA'!A163,8,2)="SM"),MID('CASE DATA'!A163,8,2)="ST",MID('CASE DATA'!A163,8,2)="NT"),"TRAFFIC",IF(OR('CASE DATA'!G163="DISM", 'CASE DATA'!G163="ACQ", 'CASE DATA'!G163="NOTF", 'CASE DATA'!G163="WTHD", 'CASE DATA'!G163="TNSF"), "YES", "NO"))</f>
        <v>NO</v>
      </c>
      <c r="J162" s="40" t="str">
        <f>IF(I162="YES",'CASE DATA'!U163,"N/A")</f>
        <v>N/A</v>
      </c>
      <c r="K162" s="40" t="str">
        <f>IF(I162="YES",SOL!C163+SOL!D163,"N/A")</f>
        <v>N/A</v>
      </c>
      <c r="L162" s="35" t="str">
        <f>IF(I162="YES",IF(C162+180&lt;'BASIC INFO'!$B$3, "YES", "NO"),"N/A")</f>
        <v>N/A</v>
      </c>
      <c r="M162" s="40" t="str">
        <f t="array" ref="M162">IF(I162="TRAFFIC","n/a",IF(OR('CASE DATA'!G163="GTR", 'CASE DATA'!G163="GPL"),IF(SUM(COUNTIF('CASE DATA'!X163:AI163, 'CODE SECTIONS'!$V$2:$V$218&amp;"*"))&gt;0,"NO","YES"),"n/a"))</f>
        <v>n/a</v>
      </c>
      <c r="N162" s="40" t="str">
        <f t="array" ref="N162">IF(M162="YES",IF(OR((SUM(COUNTIF('CASE DATA'!X163:AI163,'CODE SECTIONS'!$X$2:$X$19&amp;"*"))&gt;0),LEFT('CASE DATA'!X163:AI163,4)="717C", LEFT('CASE DATA'!X163:AI163, 3)="719", LEFT('CASE DATA'!X163:AI163,3)="720", LEFT('CASE DATA'!X163:AI163,3)="724", LEFT('CASE DATA'!X163:AI163,3)="726", LEFT('CASE DATA'!X163:AI163,3)="728", LEFT('CASE DATA'!X163:AI163,4)="901A"), "ineligible misd","eligible"),"n/a")</f>
        <v>n/a</v>
      </c>
      <c r="O162" s="40" t="str">
        <f>IF(N162="eligible",IF(COUNTIF('CASE DATA'!$D$4:$D$200, "")-COUNTIF('CASE DATA'!$A$4:$A$200, "")&gt;0, "YES","NO"),"N/A")</f>
        <v>N/A</v>
      </c>
      <c r="P162" s="40" t="str">
        <f>IF(N162="eligible",BANKRUPTCY!C163+BANKRUPTCY!D163,"N/A")</f>
        <v>N/A</v>
      </c>
      <c r="Q162" s="40" t="str">
        <f>IF(N162="eligible",SOL!C163+SOL!D163,"N/A")</f>
        <v>N/A</v>
      </c>
      <c r="R162" s="40" t="str">
        <f>IF(N162="eligible",SUM('CASE DATA'!K163:T163),"N/A")</f>
        <v>N/A</v>
      </c>
      <c r="S162" s="40" t="str">
        <f>IF(N162="eligible",IF(C162+2920&lt;'BASIC INFO'!$B$3, "YES", "NO"),"N/A")</f>
        <v>N/A</v>
      </c>
      <c r="T162" s="39" t="str">
        <f>IF(OR('CASE DATA'!G163="DEF"), "YES", "NO")</f>
        <v>NO</v>
      </c>
      <c r="U162" s="35" t="str">
        <f>IF(T162="YES",'CASE DATA'!I163,"N/A")</f>
        <v>N/A</v>
      </c>
      <c r="V162" s="40" t="str">
        <f>IF(T162="YES",BANKRUPTCY!C163+BANKRUPTCY!D163,"N/A")</f>
        <v>N/A</v>
      </c>
      <c r="W162" s="40" t="str">
        <f>IF(T162="YES",SUM('CASE DATA'!K163:T163),"N/A")</f>
        <v>N/A</v>
      </c>
      <c r="X162" s="35" t="str">
        <f>IF(OR('CASE DATA'!F163="123.46",'CASE DATA'!F163="123.47"),"YES","NO")</f>
        <v>NO</v>
      </c>
      <c r="Y162" s="40" t="str">
        <f>IF(X162="YES",IF(C162+730.5&lt;'BASIC INFO'!$B$3, "YES","NO"), "N/A")</f>
        <v>N/A</v>
      </c>
      <c r="Z162" s="35" t="str">
        <f>IF('CASE DATA'!F163="725.1","YES","NO")</f>
        <v>NO</v>
      </c>
      <c r="AA162" s="35" t="str">
        <f>IF(Z162="YES",IF(C162+730.5&lt;'BASIC INFO'!$B$3, "YES","NO"), "N/A")</f>
        <v>N/A</v>
      </c>
      <c r="AB162" s="35" t="str">
        <f>IF('BASIC INFO'!$B$6+6574.5&gt;C162, "YES", "NO")</f>
        <v>YES</v>
      </c>
    </row>
    <row r="163" spans="1:28" x14ac:dyDescent="0.25">
      <c r="A163" s="35" t="str">
        <f>IF('CASE DATA'!A164="","z",'CASE DATA'!A164)</f>
        <v>z</v>
      </c>
      <c r="B163" s="66" t="str">
        <f>IF('CASE DATA'!A164="","",'CASE DATA'!E164)</f>
        <v/>
      </c>
      <c r="C163" s="36">
        <f>'CASE DATA'!D164</f>
        <v>0</v>
      </c>
      <c r="D163" s="37" t="str">
        <f>IF('CASE DATA'!I164="YES",SUM('CASE DATA'!K164:Q164),"n/a")</f>
        <v>n/a</v>
      </c>
      <c r="E163" s="38" t="str">
        <f>IF('CASE DATA'!G164="JUV", "YES", "NO")</f>
        <v>NO</v>
      </c>
      <c r="F163" s="38" t="str">
        <f t="array" ref="F163">IF(E163="YES",IF(SUM(COUNTIF('CASE DATA'!$G$4:$G$200, {"GTR","GPL","DEF","JUV"}))&gt;0, "YES","NO"),"N/A")</f>
        <v>N/A</v>
      </c>
      <c r="G163" s="38" t="str">
        <f>IF(E163="YES",IF(COUNTIF('CASE DATA'!$D$4:$D$200, "")-COUNTIF('CASE DATA'!$A$4:$A$200, "")&gt;0, "YES","NO"),"N/A")</f>
        <v>N/A</v>
      </c>
      <c r="H163" s="35" t="str">
        <f>_xlfn.IFS(E163="NO", "N/A", AND('BASIC INFO'!$B$3&gt;'BASIC INFO'!$B$6+6574.5, C163+730.5&lt;'BASIC INFO'!$B$3), "YES", 'BASIC INFO'!$B$3&lt;('BASIC INFO'!$B$6+6574.5), "NOT YET 18", C163+730.5&gt;'BASIC INFO'!$B$3, "NOT YET 2 YEARS")</f>
        <v>N/A</v>
      </c>
      <c r="I163" s="39" t="str">
        <f>IF(OR(AND(LEFT('CASE DATA'!F164,4)="321.",MID('CASE DATA'!A164,8,2)="SM"),MID('CASE DATA'!A164,8,2)="ST",MID('CASE DATA'!A164,8,2)="NT"),"TRAFFIC",IF(OR('CASE DATA'!G164="DISM", 'CASE DATA'!G164="ACQ", 'CASE DATA'!G164="NOTF", 'CASE DATA'!G164="WTHD", 'CASE DATA'!G164="TNSF"), "YES", "NO"))</f>
        <v>NO</v>
      </c>
      <c r="J163" s="40" t="str">
        <f>IF(I163="YES",'CASE DATA'!U164,"N/A")</f>
        <v>N/A</v>
      </c>
      <c r="K163" s="40" t="str">
        <f>IF(I163="YES",SOL!C164+SOL!D164,"N/A")</f>
        <v>N/A</v>
      </c>
      <c r="L163" s="35" t="str">
        <f>IF(I163="YES",IF(C163+180&lt;'BASIC INFO'!$B$3, "YES", "NO"),"N/A")</f>
        <v>N/A</v>
      </c>
      <c r="M163" s="40" t="str">
        <f t="array" ref="M163">IF(I163="TRAFFIC","n/a",IF(OR('CASE DATA'!G164="GTR", 'CASE DATA'!G164="GPL"),IF(SUM(COUNTIF('CASE DATA'!X164:AI164, 'CODE SECTIONS'!$V$2:$V$218&amp;"*"))&gt;0,"NO","YES"),"n/a"))</f>
        <v>n/a</v>
      </c>
      <c r="N163" s="40" t="str">
        <f t="array" ref="N163">IF(M163="YES",IF(OR((SUM(COUNTIF('CASE DATA'!X164:AI164,'CODE SECTIONS'!$X$2:$X$19&amp;"*"))&gt;0),LEFT('CASE DATA'!X164:AI164,4)="717C", LEFT('CASE DATA'!X164:AI164, 3)="719", LEFT('CASE DATA'!X164:AI164,3)="720", LEFT('CASE DATA'!X164:AI164,3)="724", LEFT('CASE DATA'!X164:AI164,3)="726", LEFT('CASE DATA'!X164:AI164,3)="728", LEFT('CASE DATA'!X164:AI164,4)="901A"), "ineligible misd","eligible"),"n/a")</f>
        <v>n/a</v>
      </c>
      <c r="O163" s="40" t="str">
        <f>IF(N163="eligible",IF(COUNTIF('CASE DATA'!$D$4:$D$200, "")-COUNTIF('CASE DATA'!$A$4:$A$200, "")&gt;0, "YES","NO"),"N/A")</f>
        <v>N/A</v>
      </c>
      <c r="P163" s="40" t="str">
        <f>IF(N163="eligible",BANKRUPTCY!C164+BANKRUPTCY!D164,"N/A")</f>
        <v>N/A</v>
      </c>
      <c r="Q163" s="40" t="str">
        <f>IF(N163="eligible",SOL!C164+SOL!D164,"N/A")</f>
        <v>N/A</v>
      </c>
      <c r="R163" s="40" t="str">
        <f>IF(N163="eligible",SUM('CASE DATA'!K164:T164),"N/A")</f>
        <v>N/A</v>
      </c>
      <c r="S163" s="40" t="str">
        <f>IF(N163="eligible",IF(C163+2920&lt;'BASIC INFO'!$B$3, "YES", "NO"),"N/A")</f>
        <v>N/A</v>
      </c>
      <c r="T163" s="39" t="str">
        <f>IF(OR('CASE DATA'!G164="DEF"), "YES", "NO")</f>
        <v>NO</v>
      </c>
      <c r="U163" s="35" t="str">
        <f>IF(T163="YES",'CASE DATA'!I164,"N/A")</f>
        <v>N/A</v>
      </c>
      <c r="V163" s="40" t="str">
        <f>IF(T163="YES",BANKRUPTCY!C164+BANKRUPTCY!D164,"N/A")</f>
        <v>N/A</v>
      </c>
      <c r="W163" s="40" t="str">
        <f>IF(T163="YES",SUM('CASE DATA'!K164:T164),"N/A")</f>
        <v>N/A</v>
      </c>
      <c r="X163" s="35" t="str">
        <f>IF(OR('CASE DATA'!F164="123.46",'CASE DATA'!F164="123.47"),"YES","NO")</f>
        <v>NO</v>
      </c>
      <c r="Y163" s="40" t="str">
        <f>IF(X163="YES",IF(C163+730.5&lt;'BASIC INFO'!$B$3, "YES","NO"), "N/A")</f>
        <v>N/A</v>
      </c>
      <c r="Z163" s="35" t="str">
        <f>IF('CASE DATA'!F164="725.1","YES","NO")</f>
        <v>NO</v>
      </c>
      <c r="AA163" s="35" t="str">
        <f>IF(Z163="YES",IF(C163+730.5&lt;'BASIC INFO'!$B$3, "YES","NO"), "N/A")</f>
        <v>N/A</v>
      </c>
      <c r="AB163" s="35" t="str">
        <f>IF('BASIC INFO'!$B$6+6574.5&gt;C163, "YES", "NO")</f>
        <v>YES</v>
      </c>
    </row>
    <row r="164" spans="1:28" x14ac:dyDescent="0.25">
      <c r="A164" s="35" t="str">
        <f>IF('CASE DATA'!A165="","z",'CASE DATA'!A165)</f>
        <v>z</v>
      </c>
      <c r="B164" s="66" t="str">
        <f>IF('CASE DATA'!A165="","",'CASE DATA'!E165)</f>
        <v/>
      </c>
      <c r="C164" s="36">
        <f>'CASE DATA'!D165</f>
        <v>0</v>
      </c>
      <c r="D164" s="37" t="str">
        <f>IF('CASE DATA'!I165="YES",SUM('CASE DATA'!K165:Q165),"n/a")</f>
        <v>n/a</v>
      </c>
      <c r="E164" s="38" t="str">
        <f>IF('CASE DATA'!G165="JUV", "YES", "NO")</f>
        <v>NO</v>
      </c>
      <c r="F164" s="38" t="str">
        <f t="array" ref="F164">IF(E164="YES",IF(SUM(COUNTIF('CASE DATA'!$G$4:$G$200, {"GTR","GPL","DEF","JUV"}))&gt;0, "YES","NO"),"N/A")</f>
        <v>N/A</v>
      </c>
      <c r="G164" s="38" t="str">
        <f>IF(E164="YES",IF(COUNTIF('CASE DATA'!$D$4:$D$200, "")-COUNTIF('CASE DATA'!$A$4:$A$200, "")&gt;0, "YES","NO"),"N/A")</f>
        <v>N/A</v>
      </c>
      <c r="H164" s="35" t="str">
        <f>_xlfn.IFS(E164="NO", "N/A", AND('BASIC INFO'!$B$3&gt;'BASIC INFO'!$B$6+6574.5, C164+730.5&lt;'BASIC INFO'!$B$3), "YES", 'BASIC INFO'!$B$3&lt;('BASIC INFO'!$B$6+6574.5), "NOT YET 18", C164+730.5&gt;'BASIC INFO'!$B$3, "NOT YET 2 YEARS")</f>
        <v>N/A</v>
      </c>
      <c r="I164" s="39" t="str">
        <f>IF(OR(AND(LEFT('CASE DATA'!F165,4)="321.",MID('CASE DATA'!A165,8,2)="SM"),MID('CASE DATA'!A165,8,2)="ST",MID('CASE DATA'!A165,8,2)="NT"),"TRAFFIC",IF(OR('CASE DATA'!G165="DISM", 'CASE DATA'!G165="ACQ", 'CASE DATA'!G165="NOTF", 'CASE DATA'!G165="WTHD", 'CASE DATA'!G165="TNSF"), "YES", "NO"))</f>
        <v>NO</v>
      </c>
      <c r="J164" s="40" t="str">
        <f>IF(I164="YES",'CASE DATA'!U165,"N/A")</f>
        <v>N/A</v>
      </c>
      <c r="K164" s="40" t="str">
        <f>IF(I164="YES",SOL!C165+SOL!D165,"N/A")</f>
        <v>N/A</v>
      </c>
      <c r="L164" s="35" t="str">
        <f>IF(I164="YES",IF(C164+180&lt;'BASIC INFO'!$B$3, "YES", "NO"),"N/A")</f>
        <v>N/A</v>
      </c>
      <c r="M164" s="40" t="str">
        <f t="array" ref="M164">IF(I164="TRAFFIC","n/a",IF(OR('CASE DATA'!G165="GTR", 'CASE DATA'!G165="GPL"),IF(SUM(COUNTIF('CASE DATA'!X165:AI165, 'CODE SECTIONS'!$V$2:$V$218&amp;"*"))&gt;0,"NO","YES"),"n/a"))</f>
        <v>n/a</v>
      </c>
      <c r="N164" s="40" t="str">
        <f t="array" ref="N164">IF(M164="YES",IF(OR((SUM(COUNTIF('CASE DATA'!X165:AI165,'CODE SECTIONS'!$X$2:$X$19&amp;"*"))&gt;0),LEFT('CASE DATA'!X165:AI165,4)="717C", LEFT('CASE DATA'!X165:AI165, 3)="719", LEFT('CASE DATA'!X165:AI165,3)="720", LEFT('CASE DATA'!X165:AI165,3)="724", LEFT('CASE DATA'!X165:AI165,3)="726", LEFT('CASE DATA'!X165:AI165,3)="728", LEFT('CASE DATA'!X165:AI165,4)="901A"), "ineligible misd","eligible"),"n/a")</f>
        <v>n/a</v>
      </c>
      <c r="O164" s="40" t="str">
        <f>IF(N164="eligible",IF(COUNTIF('CASE DATA'!$D$4:$D$200, "")-COUNTIF('CASE DATA'!$A$4:$A$200, "")&gt;0, "YES","NO"),"N/A")</f>
        <v>N/A</v>
      </c>
      <c r="P164" s="40" t="str">
        <f>IF(N164="eligible",BANKRUPTCY!C165+BANKRUPTCY!D165,"N/A")</f>
        <v>N/A</v>
      </c>
      <c r="Q164" s="40" t="str">
        <f>IF(N164="eligible",SOL!C165+SOL!D165,"N/A")</f>
        <v>N/A</v>
      </c>
      <c r="R164" s="40" t="str">
        <f>IF(N164="eligible",SUM('CASE DATA'!K165:T165),"N/A")</f>
        <v>N/A</v>
      </c>
      <c r="S164" s="40" t="str">
        <f>IF(N164="eligible",IF(C164+2920&lt;'BASIC INFO'!$B$3, "YES", "NO"),"N/A")</f>
        <v>N/A</v>
      </c>
      <c r="T164" s="39" t="str">
        <f>IF(OR('CASE DATA'!G165="DEF"), "YES", "NO")</f>
        <v>NO</v>
      </c>
      <c r="U164" s="35" t="str">
        <f>IF(T164="YES",'CASE DATA'!I165,"N/A")</f>
        <v>N/A</v>
      </c>
      <c r="V164" s="40" t="str">
        <f>IF(T164="YES",BANKRUPTCY!C165+BANKRUPTCY!D165,"N/A")</f>
        <v>N/A</v>
      </c>
      <c r="W164" s="40" t="str">
        <f>IF(T164="YES",SUM('CASE DATA'!K165:T165),"N/A")</f>
        <v>N/A</v>
      </c>
      <c r="X164" s="35" t="str">
        <f>IF(OR('CASE DATA'!F165="123.46",'CASE DATA'!F165="123.47"),"YES","NO")</f>
        <v>NO</v>
      </c>
      <c r="Y164" s="40" t="str">
        <f>IF(X164="YES",IF(C164+730.5&lt;'BASIC INFO'!$B$3, "YES","NO"), "N/A")</f>
        <v>N/A</v>
      </c>
      <c r="Z164" s="35" t="str">
        <f>IF('CASE DATA'!F165="725.1","YES","NO")</f>
        <v>NO</v>
      </c>
      <c r="AA164" s="35" t="str">
        <f>IF(Z164="YES",IF(C164+730.5&lt;'BASIC INFO'!$B$3, "YES","NO"), "N/A")</f>
        <v>N/A</v>
      </c>
      <c r="AB164" s="35" t="str">
        <f>IF('BASIC INFO'!$B$6+6574.5&gt;C164, "YES", "NO")</f>
        <v>YES</v>
      </c>
    </row>
    <row r="165" spans="1:28" x14ac:dyDescent="0.25">
      <c r="A165" s="35" t="str">
        <f>IF('CASE DATA'!A166="","z",'CASE DATA'!A166)</f>
        <v>z</v>
      </c>
      <c r="B165" s="66" t="str">
        <f>IF('CASE DATA'!A166="","",'CASE DATA'!E166)</f>
        <v/>
      </c>
      <c r="C165" s="36">
        <f>'CASE DATA'!D166</f>
        <v>0</v>
      </c>
      <c r="D165" s="37" t="str">
        <f>IF('CASE DATA'!I166="YES",SUM('CASE DATA'!K166:Q166),"n/a")</f>
        <v>n/a</v>
      </c>
      <c r="E165" s="38" t="str">
        <f>IF('CASE DATA'!G166="JUV", "YES", "NO")</f>
        <v>NO</v>
      </c>
      <c r="F165" s="38" t="str">
        <f t="array" ref="F165">IF(E165="YES",IF(SUM(COUNTIF('CASE DATA'!$G$4:$G$200, {"GTR","GPL","DEF","JUV"}))&gt;0, "YES","NO"),"N/A")</f>
        <v>N/A</v>
      </c>
      <c r="G165" s="38" t="str">
        <f>IF(E165="YES",IF(COUNTIF('CASE DATA'!$D$4:$D$200, "")-COUNTIF('CASE DATA'!$A$4:$A$200, "")&gt;0, "YES","NO"),"N/A")</f>
        <v>N/A</v>
      </c>
      <c r="H165" s="35" t="str">
        <f>_xlfn.IFS(E165="NO", "N/A", AND('BASIC INFO'!$B$3&gt;'BASIC INFO'!$B$6+6574.5, C165+730.5&lt;'BASIC INFO'!$B$3), "YES", 'BASIC INFO'!$B$3&lt;('BASIC INFO'!$B$6+6574.5), "NOT YET 18", C165+730.5&gt;'BASIC INFO'!$B$3, "NOT YET 2 YEARS")</f>
        <v>N/A</v>
      </c>
      <c r="I165" s="39" t="str">
        <f>IF(OR(AND(LEFT('CASE DATA'!F166,4)="321.",MID('CASE DATA'!A166,8,2)="SM"),MID('CASE DATA'!A166,8,2)="ST",MID('CASE DATA'!A166,8,2)="NT"),"TRAFFIC",IF(OR('CASE DATA'!G166="DISM", 'CASE DATA'!G166="ACQ", 'CASE DATA'!G166="NOTF", 'CASE DATA'!G166="WTHD", 'CASE DATA'!G166="TNSF"), "YES", "NO"))</f>
        <v>NO</v>
      </c>
      <c r="J165" s="40" t="str">
        <f>IF(I165="YES",'CASE DATA'!U166,"N/A")</f>
        <v>N/A</v>
      </c>
      <c r="K165" s="40" t="str">
        <f>IF(I165="YES",SOL!C166+SOL!D166,"N/A")</f>
        <v>N/A</v>
      </c>
      <c r="L165" s="35" t="str">
        <f>IF(I165="YES",IF(C165+180&lt;'BASIC INFO'!$B$3, "YES", "NO"),"N/A")</f>
        <v>N/A</v>
      </c>
      <c r="M165" s="40" t="str">
        <f t="array" ref="M165">IF(I165="TRAFFIC","n/a",IF(OR('CASE DATA'!G166="GTR", 'CASE DATA'!G166="GPL"),IF(SUM(COUNTIF('CASE DATA'!X166:AI166, 'CODE SECTIONS'!$V$2:$V$218&amp;"*"))&gt;0,"NO","YES"),"n/a"))</f>
        <v>n/a</v>
      </c>
      <c r="N165" s="40" t="str">
        <f t="array" ref="N165">IF(M165="YES",IF(OR((SUM(COUNTIF('CASE DATA'!X166:AI166,'CODE SECTIONS'!$X$2:$X$19&amp;"*"))&gt;0),LEFT('CASE DATA'!X166:AI166,4)="717C", LEFT('CASE DATA'!X166:AI166, 3)="719", LEFT('CASE DATA'!X166:AI166,3)="720", LEFT('CASE DATA'!X166:AI166,3)="724", LEFT('CASE DATA'!X166:AI166,3)="726", LEFT('CASE DATA'!X166:AI166,3)="728", LEFT('CASE DATA'!X166:AI166,4)="901A"), "ineligible misd","eligible"),"n/a")</f>
        <v>n/a</v>
      </c>
      <c r="O165" s="40" t="str">
        <f>IF(N165="eligible",IF(COUNTIF('CASE DATA'!$D$4:$D$200, "")-COUNTIF('CASE DATA'!$A$4:$A$200, "")&gt;0, "YES","NO"),"N/A")</f>
        <v>N/A</v>
      </c>
      <c r="P165" s="40" t="str">
        <f>IF(N165="eligible",BANKRUPTCY!C166+BANKRUPTCY!D166,"N/A")</f>
        <v>N/A</v>
      </c>
      <c r="Q165" s="40" t="str">
        <f>IF(N165="eligible",SOL!C166+SOL!D166,"N/A")</f>
        <v>N/A</v>
      </c>
      <c r="R165" s="40" t="str">
        <f>IF(N165="eligible",SUM('CASE DATA'!K166:T166),"N/A")</f>
        <v>N/A</v>
      </c>
      <c r="S165" s="40" t="str">
        <f>IF(N165="eligible",IF(C165+2920&lt;'BASIC INFO'!$B$3, "YES", "NO"),"N/A")</f>
        <v>N/A</v>
      </c>
      <c r="T165" s="39" t="str">
        <f>IF(OR('CASE DATA'!G166="DEF"), "YES", "NO")</f>
        <v>NO</v>
      </c>
      <c r="U165" s="35" t="str">
        <f>IF(T165="YES",'CASE DATA'!I166,"N/A")</f>
        <v>N/A</v>
      </c>
      <c r="V165" s="40" t="str">
        <f>IF(T165="YES",BANKRUPTCY!C166+BANKRUPTCY!D166,"N/A")</f>
        <v>N/A</v>
      </c>
      <c r="W165" s="40" t="str">
        <f>IF(T165="YES",SUM('CASE DATA'!K166:T166),"N/A")</f>
        <v>N/A</v>
      </c>
      <c r="X165" s="35" t="str">
        <f>IF(OR('CASE DATA'!F166="123.46",'CASE DATA'!F166="123.47"),"YES","NO")</f>
        <v>NO</v>
      </c>
      <c r="Y165" s="40" t="str">
        <f>IF(X165="YES",IF(C165+730.5&lt;'BASIC INFO'!$B$3, "YES","NO"), "N/A")</f>
        <v>N/A</v>
      </c>
      <c r="Z165" s="35" t="str">
        <f>IF('CASE DATA'!F166="725.1","YES","NO")</f>
        <v>NO</v>
      </c>
      <c r="AA165" s="35" t="str">
        <f>IF(Z165="YES",IF(C165+730.5&lt;'BASIC INFO'!$B$3, "YES","NO"), "N/A")</f>
        <v>N/A</v>
      </c>
      <c r="AB165" s="35" t="str">
        <f>IF('BASIC INFO'!$B$6+6574.5&gt;C165, "YES", "NO")</f>
        <v>YES</v>
      </c>
    </row>
    <row r="166" spans="1:28" x14ac:dyDescent="0.25">
      <c r="A166" s="35" t="str">
        <f>IF('CASE DATA'!A167="","z",'CASE DATA'!A167)</f>
        <v>z</v>
      </c>
      <c r="B166" s="66" t="str">
        <f>IF('CASE DATA'!A167="","",'CASE DATA'!E167)</f>
        <v/>
      </c>
      <c r="C166" s="36">
        <f>'CASE DATA'!D167</f>
        <v>0</v>
      </c>
      <c r="D166" s="37" t="str">
        <f>IF('CASE DATA'!I167="YES",SUM('CASE DATA'!K167:Q167),"n/a")</f>
        <v>n/a</v>
      </c>
      <c r="E166" s="38" t="str">
        <f>IF('CASE DATA'!G167="JUV", "YES", "NO")</f>
        <v>NO</v>
      </c>
      <c r="F166" s="38" t="str">
        <f t="array" ref="F166">IF(E166="YES",IF(SUM(COUNTIF('CASE DATA'!$G$4:$G$200, {"GTR","GPL","DEF","JUV"}))&gt;0, "YES","NO"),"N/A")</f>
        <v>N/A</v>
      </c>
      <c r="G166" s="38" t="str">
        <f>IF(E166="YES",IF(COUNTIF('CASE DATA'!$D$4:$D$200, "")-COUNTIF('CASE DATA'!$A$4:$A$200, "")&gt;0, "YES","NO"),"N/A")</f>
        <v>N/A</v>
      </c>
      <c r="H166" s="35" t="str">
        <f>_xlfn.IFS(E166="NO", "N/A", AND('BASIC INFO'!$B$3&gt;'BASIC INFO'!$B$6+6574.5, C166+730.5&lt;'BASIC INFO'!$B$3), "YES", 'BASIC INFO'!$B$3&lt;('BASIC INFO'!$B$6+6574.5), "NOT YET 18", C166+730.5&gt;'BASIC INFO'!$B$3, "NOT YET 2 YEARS")</f>
        <v>N/A</v>
      </c>
      <c r="I166" s="39" t="str">
        <f>IF(OR(AND(LEFT('CASE DATA'!F167,4)="321.",MID('CASE DATA'!A167,8,2)="SM"),MID('CASE DATA'!A167,8,2)="ST",MID('CASE DATA'!A167,8,2)="NT"),"TRAFFIC",IF(OR('CASE DATA'!G167="DISM", 'CASE DATA'!G167="ACQ", 'CASE DATA'!G167="NOTF", 'CASE DATA'!G167="WTHD", 'CASE DATA'!G167="TNSF"), "YES", "NO"))</f>
        <v>NO</v>
      </c>
      <c r="J166" s="40" t="str">
        <f>IF(I166="YES",'CASE DATA'!U167,"N/A")</f>
        <v>N/A</v>
      </c>
      <c r="K166" s="40" t="str">
        <f>IF(I166="YES",SOL!C167+SOL!D167,"N/A")</f>
        <v>N/A</v>
      </c>
      <c r="L166" s="35" t="str">
        <f>IF(I166="YES",IF(C166+180&lt;'BASIC INFO'!$B$3, "YES", "NO"),"N/A")</f>
        <v>N/A</v>
      </c>
      <c r="M166" s="40" t="str">
        <f t="array" ref="M166">IF(I166="TRAFFIC","n/a",IF(OR('CASE DATA'!G167="GTR", 'CASE DATA'!G167="GPL"),IF(SUM(COUNTIF('CASE DATA'!X167:AI167, 'CODE SECTIONS'!$V$2:$V$218&amp;"*"))&gt;0,"NO","YES"),"n/a"))</f>
        <v>n/a</v>
      </c>
      <c r="N166" s="40" t="str">
        <f t="array" ref="N166">IF(M166="YES",IF(OR((SUM(COUNTIF('CASE DATA'!X167:AI167,'CODE SECTIONS'!$X$2:$X$19&amp;"*"))&gt;0),LEFT('CASE DATA'!X167:AI167,4)="717C", LEFT('CASE DATA'!X167:AI167, 3)="719", LEFT('CASE DATA'!X167:AI167,3)="720", LEFT('CASE DATA'!X167:AI167,3)="724", LEFT('CASE DATA'!X167:AI167,3)="726", LEFT('CASE DATA'!X167:AI167,3)="728", LEFT('CASE DATA'!X167:AI167,4)="901A"), "ineligible misd","eligible"),"n/a")</f>
        <v>n/a</v>
      </c>
      <c r="O166" s="40" t="str">
        <f>IF(N166="eligible",IF(COUNTIF('CASE DATA'!$D$4:$D$200, "")-COUNTIF('CASE DATA'!$A$4:$A$200, "")&gt;0, "YES","NO"),"N/A")</f>
        <v>N/A</v>
      </c>
      <c r="P166" s="40" t="str">
        <f>IF(N166="eligible",BANKRUPTCY!C167+BANKRUPTCY!D167,"N/A")</f>
        <v>N/A</v>
      </c>
      <c r="Q166" s="40" t="str">
        <f>IF(N166="eligible",SOL!C167+SOL!D167,"N/A")</f>
        <v>N/A</v>
      </c>
      <c r="R166" s="40" t="str">
        <f>IF(N166="eligible",SUM('CASE DATA'!K167:T167),"N/A")</f>
        <v>N/A</v>
      </c>
      <c r="S166" s="40" t="str">
        <f>IF(N166="eligible",IF(C166+2920&lt;'BASIC INFO'!$B$3, "YES", "NO"),"N/A")</f>
        <v>N/A</v>
      </c>
      <c r="T166" s="39" t="str">
        <f>IF(OR('CASE DATA'!G167="DEF"), "YES", "NO")</f>
        <v>NO</v>
      </c>
      <c r="U166" s="35" t="str">
        <f>IF(T166="YES",'CASE DATA'!I167,"N/A")</f>
        <v>N/A</v>
      </c>
      <c r="V166" s="40" t="str">
        <f>IF(T166="YES",BANKRUPTCY!C167+BANKRUPTCY!D167,"N/A")</f>
        <v>N/A</v>
      </c>
      <c r="W166" s="40" t="str">
        <f>IF(T166="YES",SUM('CASE DATA'!K167:T167),"N/A")</f>
        <v>N/A</v>
      </c>
      <c r="X166" s="35" t="str">
        <f>IF(OR('CASE DATA'!F167="123.46",'CASE DATA'!F167="123.47"),"YES","NO")</f>
        <v>NO</v>
      </c>
      <c r="Y166" s="40" t="str">
        <f>IF(X166="YES",IF(C166+730.5&lt;'BASIC INFO'!$B$3, "YES","NO"), "N/A")</f>
        <v>N/A</v>
      </c>
      <c r="Z166" s="35" t="str">
        <f>IF('CASE DATA'!F167="725.1","YES","NO")</f>
        <v>NO</v>
      </c>
      <c r="AA166" s="35" t="str">
        <f>IF(Z166="YES",IF(C166+730.5&lt;'BASIC INFO'!$B$3, "YES","NO"), "N/A")</f>
        <v>N/A</v>
      </c>
      <c r="AB166" s="35" t="str">
        <f>IF('BASIC INFO'!$B$6+6574.5&gt;C166, "YES", "NO")</f>
        <v>YES</v>
      </c>
    </row>
    <row r="167" spans="1:28" x14ac:dyDescent="0.25">
      <c r="A167" s="35" t="str">
        <f>IF('CASE DATA'!A168="","z",'CASE DATA'!A168)</f>
        <v>z</v>
      </c>
      <c r="B167" s="66" t="str">
        <f>IF('CASE DATA'!A168="","",'CASE DATA'!E168)</f>
        <v/>
      </c>
      <c r="C167" s="36">
        <f>'CASE DATA'!D168</f>
        <v>0</v>
      </c>
      <c r="D167" s="37" t="str">
        <f>IF('CASE DATA'!I168="YES",SUM('CASE DATA'!K168:Q168),"n/a")</f>
        <v>n/a</v>
      </c>
      <c r="E167" s="38" t="str">
        <f>IF('CASE DATA'!G168="JUV", "YES", "NO")</f>
        <v>NO</v>
      </c>
      <c r="F167" s="38" t="str">
        <f t="array" ref="F167">IF(E167="YES",IF(SUM(COUNTIF('CASE DATA'!$G$4:$G$200, {"GTR","GPL","DEF","JUV"}))&gt;0, "YES","NO"),"N/A")</f>
        <v>N/A</v>
      </c>
      <c r="G167" s="38" t="str">
        <f>IF(E167="YES",IF(COUNTIF('CASE DATA'!$D$4:$D$200, "")-COUNTIF('CASE DATA'!$A$4:$A$200, "")&gt;0, "YES","NO"),"N/A")</f>
        <v>N/A</v>
      </c>
      <c r="H167" s="35" t="str">
        <f>_xlfn.IFS(E167="NO", "N/A", AND('BASIC INFO'!$B$3&gt;'BASIC INFO'!$B$6+6574.5, C167+730.5&lt;'BASIC INFO'!$B$3), "YES", 'BASIC INFO'!$B$3&lt;('BASIC INFO'!$B$6+6574.5), "NOT YET 18", C167+730.5&gt;'BASIC INFO'!$B$3, "NOT YET 2 YEARS")</f>
        <v>N/A</v>
      </c>
      <c r="I167" s="39" t="str">
        <f>IF(OR(AND(LEFT('CASE DATA'!F168,4)="321.",MID('CASE DATA'!A168,8,2)="SM"),MID('CASE DATA'!A168,8,2)="ST",MID('CASE DATA'!A168,8,2)="NT"),"TRAFFIC",IF(OR('CASE DATA'!G168="DISM", 'CASE DATA'!G168="ACQ", 'CASE DATA'!G168="NOTF", 'CASE DATA'!G168="WTHD", 'CASE DATA'!G168="TNSF"), "YES", "NO"))</f>
        <v>NO</v>
      </c>
      <c r="J167" s="40" t="str">
        <f>IF(I167="YES",'CASE DATA'!U168,"N/A")</f>
        <v>N/A</v>
      </c>
      <c r="K167" s="40" t="str">
        <f>IF(I167="YES",SOL!C168+SOL!D168,"N/A")</f>
        <v>N/A</v>
      </c>
      <c r="L167" s="35" t="str">
        <f>IF(I167="YES",IF(C167+180&lt;'BASIC INFO'!$B$3, "YES", "NO"),"N/A")</f>
        <v>N/A</v>
      </c>
      <c r="M167" s="40" t="str">
        <f t="array" ref="M167">IF(I167="TRAFFIC","n/a",IF(OR('CASE DATA'!G168="GTR", 'CASE DATA'!G168="GPL"),IF(SUM(COUNTIF('CASE DATA'!X168:AI168, 'CODE SECTIONS'!$V$2:$V$218&amp;"*"))&gt;0,"NO","YES"),"n/a"))</f>
        <v>n/a</v>
      </c>
      <c r="N167" s="40" t="str">
        <f t="array" ref="N167">IF(M167="YES",IF(OR((SUM(COUNTIF('CASE DATA'!X168:AI168,'CODE SECTIONS'!$X$2:$X$19&amp;"*"))&gt;0),LEFT('CASE DATA'!X168:AI168,4)="717C", LEFT('CASE DATA'!X168:AI168, 3)="719", LEFT('CASE DATA'!X168:AI168,3)="720", LEFT('CASE DATA'!X168:AI168,3)="724", LEFT('CASE DATA'!X168:AI168,3)="726", LEFT('CASE DATA'!X168:AI168,3)="728", LEFT('CASE DATA'!X168:AI168,4)="901A"), "ineligible misd","eligible"),"n/a")</f>
        <v>n/a</v>
      </c>
      <c r="O167" s="40" t="str">
        <f>IF(N167="eligible",IF(COUNTIF('CASE DATA'!$D$4:$D$200, "")-COUNTIF('CASE DATA'!$A$4:$A$200, "")&gt;0, "YES","NO"),"N/A")</f>
        <v>N/A</v>
      </c>
      <c r="P167" s="40" t="str">
        <f>IF(N167="eligible",BANKRUPTCY!C168+BANKRUPTCY!D168,"N/A")</f>
        <v>N/A</v>
      </c>
      <c r="Q167" s="40" t="str">
        <f>IF(N167="eligible",SOL!C168+SOL!D168,"N/A")</f>
        <v>N/A</v>
      </c>
      <c r="R167" s="40" t="str">
        <f>IF(N167="eligible",SUM('CASE DATA'!K168:T168),"N/A")</f>
        <v>N/A</v>
      </c>
      <c r="S167" s="40" t="str">
        <f>IF(N167="eligible",IF(C167+2920&lt;'BASIC INFO'!$B$3, "YES", "NO"),"N/A")</f>
        <v>N/A</v>
      </c>
      <c r="T167" s="39" t="str">
        <f>IF(OR('CASE DATA'!G168="DEF"), "YES", "NO")</f>
        <v>NO</v>
      </c>
      <c r="U167" s="35" t="str">
        <f>IF(T167="YES",'CASE DATA'!I168,"N/A")</f>
        <v>N/A</v>
      </c>
      <c r="V167" s="40" t="str">
        <f>IF(T167="YES",BANKRUPTCY!C168+BANKRUPTCY!D168,"N/A")</f>
        <v>N/A</v>
      </c>
      <c r="W167" s="40" t="str">
        <f>IF(T167="YES",SUM('CASE DATA'!K168:T168),"N/A")</f>
        <v>N/A</v>
      </c>
      <c r="X167" s="35" t="str">
        <f>IF(OR('CASE DATA'!F168="123.46",'CASE DATA'!F168="123.47"),"YES","NO")</f>
        <v>NO</v>
      </c>
      <c r="Y167" s="40" t="str">
        <f>IF(X167="YES",IF(C167+730.5&lt;'BASIC INFO'!$B$3, "YES","NO"), "N/A")</f>
        <v>N/A</v>
      </c>
      <c r="Z167" s="35" t="str">
        <f>IF('CASE DATA'!F168="725.1","YES","NO")</f>
        <v>NO</v>
      </c>
      <c r="AA167" s="35" t="str">
        <f>IF(Z167="YES",IF(C167+730.5&lt;'BASIC INFO'!$B$3, "YES","NO"), "N/A")</f>
        <v>N/A</v>
      </c>
      <c r="AB167" s="35" t="str">
        <f>IF('BASIC INFO'!$B$6+6574.5&gt;C167, "YES", "NO")</f>
        <v>YES</v>
      </c>
    </row>
    <row r="168" spans="1:28" x14ac:dyDescent="0.25">
      <c r="A168" s="35" t="str">
        <f>IF('CASE DATA'!A169="","z",'CASE DATA'!A169)</f>
        <v>z</v>
      </c>
      <c r="B168" s="66" t="str">
        <f>IF('CASE DATA'!A169="","",'CASE DATA'!E169)</f>
        <v/>
      </c>
      <c r="C168" s="36">
        <f>'CASE DATA'!D169</f>
        <v>0</v>
      </c>
      <c r="D168" s="37" t="str">
        <f>IF('CASE DATA'!I169="YES",SUM('CASE DATA'!K169:Q169),"n/a")</f>
        <v>n/a</v>
      </c>
      <c r="E168" s="38" t="str">
        <f>IF('CASE DATA'!G169="JUV", "YES", "NO")</f>
        <v>NO</v>
      </c>
      <c r="F168" s="38" t="str">
        <f t="array" ref="F168">IF(E168="YES",IF(SUM(COUNTIF('CASE DATA'!$G$4:$G$200, {"GTR","GPL","DEF","JUV"}))&gt;0, "YES","NO"),"N/A")</f>
        <v>N/A</v>
      </c>
      <c r="G168" s="38" t="str">
        <f>IF(E168="YES",IF(COUNTIF('CASE DATA'!$D$4:$D$200, "")-COUNTIF('CASE DATA'!$A$4:$A$200, "")&gt;0, "YES","NO"),"N/A")</f>
        <v>N/A</v>
      </c>
      <c r="H168" s="35" t="str">
        <f>_xlfn.IFS(E168="NO", "N/A", AND('BASIC INFO'!$B$3&gt;'BASIC INFO'!$B$6+6574.5, C168+730.5&lt;'BASIC INFO'!$B$3), "YES", 'BASIC INFO'!$B$3&lt;('BASIC INFO'!$B$6+6574.5), "NOT YET 18", C168+730.5&gt;'BASIC INFO'!$B$3, "NOT YET 2 YEARS")</f>
        <v>N/A</v>
      </c>
      <c r="I168" s="39" t="str">
        <f>IF(OR(AND(LEFT('CASE DATA'!F169,4)="321.",MID('CASE DATA'!A169,8,2)="SM"),MID('CASE DATA'!A169,8,2)="ST",MID('CASE DATA'!A169,8,2)="NT"),"TRAFFIC",IF(OR('CASE DATA'!G169="DISM", 'CASE DATA'!G169="ACQ", 'CASE DATA'!G169="NOTF", 'CASE DATA'!G169="WTHD", 'CASE DATA'!G169="TNSF"), "YES", "NO"))</f>
        <v>NO</v>
      </c>
      <c r="J168" s="40" t="str">
        <f>IF(I168="YES",'CASE DATA'!U169,"N/A")</f>
        <v>N/A</v>
      </c>
      <c r="K168" s="40" t="str">
        <f>IF(I168="YES",SOL!C169+SOL!D169,"N/A")</f>
        <v>N/A</v>
      </c>
      <c r="L168" s="35" t="str">
        <f>IF(I168="YES",IF(C168+180&lt;'BASIC INFO'!$B$3, "YES", "NO"),"N/A")</f>
        <v>N/A</v>
      </c>
      <c r="M168" s="40" t="str">
        <f t="array" ref="M168">IF(I168="TRAFFIC","n/a",IF(OR('CASE DATA'!G169="GTR", 'CASE DATA'!G169="GPL"),IF(SUM(COUNTIF('CASE DATA'!X169:AI169, 'CODE SECTIONS'!$V$2:$V$218&amp;"*"))&gt;0,"NO","YES"),"n/a"))</f>
        <v>n/a</v>
      </c>
      <c r="N168" s="40" t="str">
        <f t="array" ref="N168">IF(M168="YES",IF(OR((SUM(COUNTIF('CASE DATA'!X169:AI169,'CODE SECTIONS'!$X$2:$X$19&amp;"*"))&gt;0),LEFT('CASE DATA'!X169:AI169,4)="717C", LEFT('CASE DATA'!X169:AI169, 3)="719", LEFT('CASE DATA'!X169:AI169,3)="720", LEFT('CASE DATA'!X169:AI169,3)="724", LEFT('CASE DATA'!X169:AI169,3)="726", LEFT('CASE DATA'!X169:AI169,3)="728", LEFT('CASE DATA'!X169:AI169,4)="901A"), "ineligible misd","eligible"),"n/a")</f>
        <v>n/a</v>
      </c>
      <c r="O168" s="40" t="str">
        <f>IF(N168="eligible",IF(COUNTIF('CASE DATA'!$D$4:$D$200, "")-COUNTIF('CASE DATA'!$A$4:$A$200, "")&gt;0, "YES","NO"),"N/A")</f>
        <v>N/A</v>
      </c>
      <c r="P168" s="40" t="str">
        <f>IF(N168="eligible",BANKRUPTCY!C169+BANKRUPTCY!D169,"N/A")</f>
        <v>N/A</v>
      </c>
      <c r="Q168" s="40" t="str">
        <f>IF(N168="eligible",SOL!C169+SOL!D169,"N/A")</f>
        <v>N/A</v>
      </c>
      <c r="R168" s="40" t="str">
        <f>IF(N168="eligible",SUM('CASE DATA'!K169:T169),"N/A")</f>
        <v>N/A</v>
      </c>
      <c r="S168" s="40" t="str">
        <f>IF(N168="eligible",IF(C168+2920&lt;'BASIC INFO'!$B$3, "YES", "NO"),"N/A")</f>
        <v>N/A</v>
      </c>
      <c r="T168" s="39" t="str">
        <f>IF(OR('CASE DATA'!G169="DEF"), "YES", "NO")</f>
        <v>NO</v>
      </c>
      <c r="U168" s="35" t="str">
        <f>IF(T168="YES",'CASE DATA'!I169,"N/A")</f>
        <v>N/A</v>
      </c>
      <c r="V168" s="40" t="str">
        <f>IF(T168="YES",BANKRUPTCY!C169+BANKRUPTCY!D169,"N/A")</f>
        <v>N/A</v>
      </c>
      <c r="W168" s="40" t="str">
        <f>IF(T168="YES",SUM('CASE DATA'!K169:T169),"N/A")</f>
        <v>N/A</v>
      </c>
      <c r="X168" s="35" t="str">
        <f>IF(OR('CASE DATA'!F169="123.46",'CASE DATA'!F169="123.47"),"YES","NO")</f>
        <v>NO</v>
      </c>
      <c r="Y168" s="40" t="str">
        <f>IF(X168="YES",IF(C168+730.5&lt;'BASIC INFO'!$B$3, "YES","NO"), "N/A")</f>
        <v>N/A</v>
      </c>
      <c r="Z168" s="35" t="str">
        <f>IF('CASE DATA'!F169="725.1","YES","NO")</f>
        <v>NO</v>
      </c>
      <c r="AA168" s="35" t="str">
        <f>IF(Z168="YES",IF(C168+730.5&lt;'BASIC INFO'!$B$3, "YES","NO"), "N/A")</f>
        <v>N/A</v>
      </c>
      <c r="AB168" s="35" t="str">
        <f>IF('BASIC INFO'!$B$6+6574.5&gt;C168, "YES", "NO")</f>
        <v>YES</v>
      </c>
    </row>
    <row r="169" spans="1:28" x14ac:dyDescent="0.25">
      <c r="A169" s="35" t="str">
        <f>IF('CASE DATA'!A170="","z",'CASE DATA'!A170)</f>
        <v>z</v>
      </c>
      <c r="B169" s="66" t="str">
        <f>IF('CASE DATA'!A170="","",'CASE DATA'!E170)</f>
        <v/>
      </c>
      <c r="C169" s="36">
        <f>'CASE DATA'!D170</f>
        <v>0</v>
      </c>
      <c r="D169" s="37" t="str">
        <f>IF('CASE DATA'!I170="YES",SUM('CASE DATA'!K170:Q170),"n/a")</f>
        <v>n/a</v>
      </c>
      <c r="E169" s="38" t="str">
        <f>IF('CASE DATA'!G170="JUV", "YES", "NO")</f>
        <v>NO</v>
      </c>
      <c r="F169" s="38" t="str">
        <f t="array" ref="F169">IF(E169="YES",IF(SUM(COUNTIF('CASE DATA'!$G$4:$G$200, {"GTR","GPL","DEF","JUV"}))&gt;0, "YES","NO"),"N/A")</f>
        <v>N/A</v>
      </c>
      <c r="G169" s="38" t="str">
        <f>IF(E169="YES",IF(COUNTIF('CASE DATA'!$D$4:$D$200, "")-COUNTIF('CASE DATA'!$A$4:$A$200, "")&gt;0, "YES","NO"),"N/A")</f>
        <v>N/A</v>
      </c>
      <c r="H169" s="35" t="str">
        <f>_xlfn.IFS(E169="NO", "N/A", AND('BASIC INFO'!$B$3&gt;'BASIC INFO'!$B$6+6574.5, C169+730.5&lt;'BASIC INFO'!$B$3), "YES", 'BASIC INFO'!$B$3&lt;('BASIC INFO'!$B$6+6574.5), "NOT YET 18", C169+730.5&gt;'BASIC INFO'!$B$3, "NOT YET 2 YEARS")</f>
        <v>N/A</v>
      </c>
      <c r="I169" s="39" t="str">
        <f>IF(OR(AND(LEFT('CASE DATA'!F170,4)="321.",MID('CASE DATA'!A170,8,2)="SM"),MID('CASE DATA'!A170,8,2)="ST",MID('CASE DATA'!A170,8,2)="NT"),"TRAFFIC",IF(OR('CASE DATA'!G170="DISM", 'CASE DATA'!G170="ACQ", 'CASE DATA'!G170="NOTF", 'CASE DATA'!G170="WTHD", 'CASE DATA'!G170="TNSF"), "YES", "NO"))</f>
        <v>NO</v>
      </c>
      <c r="J169" s="40" t="str">
        <f>IF(I169="YES",'CASE DATA'!U170,"N/A")</f>
        <v>N/A</v>
      </c>
      <c r="K169" s="40" t="str">
        <f>IF(I169="YES",SOL!C170+SOL!D170,"N/A")</f>
        <v>N/A</v>
      </c>
      <c r="L169" s="35" t="str">
        <f>IF(I169="YES",IF(C169+180&lt;'BASIC INFO'!$B$3, "YES", "NO"),"N/A")</f>
        <v>N/A</v>
      </c>
      <c r="M169" s="40" t="str">
        <f t="array" ref="M169">IF(I169="TRAFFIC","n/a",IF(OR('CASE DATA'!G170="GTR", 'CASE DATA'!G170="GPL"),IF(SUM(COUNTIF('CASE DATA'!X170:AI170, 'CODE SECTIONS'!$V$2:$V$218&amp;"*"))&gt;0,"NO","YES"),"n/a"))</f>
        <v>n/a</v>
      </c>
      <c r="N169" s="40" t="str">
        <f t="array" ref="N169">IF(M169="YES",IF(OR((SUM(COUNTIF('CASE DATA'!X170:AI170,'CODE SECTIONS'!$X$2:$X$19&amp;"*"))&gt;0),LEFT('CASE DATA'!X170:AI170,4)="717C", LEFT('CASE DATA'!X170:AI170, 3)="719", LEFT('CASE DATA'!X170:AI170,3)="720", LEFT('CASE DATA'!X170:AI170,3)="724", LEFT('CASE DATA'!X170:AI170,3)="726", LEFT('CASE DATA'!X170:AI170,3)="728", LEFT('CASE DATA'!X170:AI170,4)="901A"), "ineligible misd","eligible"),"n/a")</f>
        <v>n/a</v>
      </c>
      <c r="O169" s="40" t="str">
        <f>IF(N169="eligible",IF(COUNTIF('CASE DATA'!$D$4:$D$200, "")-COUNTIF('CASE DATA'!$A$4:$A$200, "")&gt;0, "YES","NO"),"N/A")</f>
        <v>N/A</v>
      </c>
      <c r="P169" s="40" t="str">
        <f>IF(N169="eligible",BANKRUPTCY!C170+BANKRUPTCY!D170,"N/A")</f>
        <v>N/A</v>
      </c>
      <c r="Q169" s="40" t="str">
        <f>IF(N169="eligible",SOL!C170+SOL!D170,"N/A")</f>
        <v>N/A</v>
      </c>
      <c r="R169" s="40" t="str">
        <f>IF(N169="eligible",SUM('CASE DATA'!K170:T170),"N/A")</f>
        <v>N/A</v>
      </c>
      <c r="S169" s="40" t="str">
        <f>IF(N169="eligible",IF(C169+2920&lt;'BASIC INFO'!$B$3, "YES", "NO"),"N/A")</f>
        <v>N/A</v>
      </c>
      <c r="T169" s="39" t="str">
        <f>IF(OR('CASE DATA'!G170="DEF"), "YES", "NO")</f>
        <v>NO</v>
      </c>
      <c r="U169" s="35" t="str">
        <f>IF(T169="YES",'CASE DATA'!I170,"N/A")</f>
        <v>N/A</v>
      </c>
      <c r="V169" s="40" t="str">
        <f>IF(T169="YES",BANKRUPTCY!C170+BANKRUPTCY!D170,"N/A")</f>
        <v>N/A</v>
      </c>
      <c r="W169" s="40" t="str">
        <f>IF(T169="YES",SUM('CASE DATA'!K170:T170),"N/A")</f>
        <v>N/A</v>
      </c>
      <c r="X169" s="35" t="str">
        <f>IF(OR('CASE DATA'!F170="123.46",'CASE DATA'!F170="123.47"),"YES","NO")</f>
        <v>NO</v>
      </c>
      <c r="Y169" s="40" t="str">
        <f>IF(X169="YES",IF(C169+730.5&lt;'BASIC INFO'!$B$3, "YES","NO"), "N/A")</f>
        <v>N/A</v>
      </c>
      <c r="Z169" s="35" t="str">
        <f>IF('CASE DATA'!F170="725.1","YES","NO")</f>
        <v>NO</v>
      </c>
      <c r="AA169" s="35" t="str">
        <f>IF(Z169="YES",IF(C169+730.5&lt;'BASIC INFO'!$B$3, "YES","NO"), "N/A")</f>
        <v>N/A</v>
      </c>
      <c r="AB169" s="35" t="str">
        <f>IF('BASIC INFO'!$B$6+6574.5&gt;C169, "YES", "NO")</f>
        <v>YES</v>
      </c>
    </row>
    <row r="170" spans="1:28" x14ac:dyDescent="0.25">
      <c r="A170" s="35" t="str">
        <f>IF('CASE DATA'!A171="","z",'CASE DATA'!A171)</f>
        <v>z</v>
      </c>
      <c r="B170" s="66" t="str">
        <f>IF('CASE DATA'!A171="","",'CASE DATA'!E171)</f>
        <v/>
      </c>
      <c r="C170" s="36">
        <f>'CASE DATA'!D171</f>
        <v>0</v>
      </c>
      <c r="D170" s="37" t="str">
        <f>IF('CASE DATA'!I171="YES",SUM('CASE DATA'!K171:Q171),"n/a")</f>
        <v>n/a</v>
      </c>
      <c r="E170" s="38" t="str">
        <f>IF('CASE DATA'!G171="JUV", "YES", "NO")</f>
        <v>NO</v>
      </c>
      <c r="F170" s="38" t="str">
        <f t="array" ref="F170">IF(E170="YES",IF(SUM(COUNTIF('CASE DATA'!$G$4:$G$200, {"GTR","GPL","DEF","JUV"}))&gt;0, "YES","NO"),"N/A")</f>
        <v>N/A</v>
      </c>
      <c r="G170" s="38" t="str">
        <f>IF(E170="YES",IF(COUNTIF('CASE DATA'!$D$4:$D$200, "")-COUNTIF('CASE DATA'!$A$4:$A$200, "")&gt;0, "YES","NO"),"N/A")</f>
        <v>N/A</v>
      </c>
      <c r="H170" s="35" t="str">
        <f>_xlfn.IFS(E170="NO", "N/A", AND('BASIC INFO'!$B$3&gt;'BASIC INFO'!$B$6+6574.5, C170+730.5&lt;'BASIC INFO'!$B$3), "YES", 'BASIC INFO'!$B$3&lt;('BASIC INFO'!$B$6+6574.5), "NOT YET 18", C170+730.5&gt;'BASIC INFO'!$B$3, "NOT YET 2 YEARS")</f>
        <v>N/A</v>
      </c>
      <c r="I170" s="39" t="str">
        <f>IF(OR(AND(LEFT('CASE DATA'!F171,4)="321.",MID('CASE DATA'!A171,8,2)="SM"),MID('CASE DATA'!A171,8,2)="ST",MID('CASE DATA'!A171,8,2)="NT"),"TRAFFIC",IF(OR('CASE DATA'!G171="DISM", 'CASE DATA'!G171="ACQ", 'CASE DATA'!G171="NOTF", 'CASE DATA'!G171="WTHD", 'CASE DATA'!G171="TNSF"), "YES", "NO"))</f>
        <v>NO</v>
      </c>
      <c r="J170" s="40" t="str">
        <f>IF(I170="YES",'CASE DATA'!U171,"N/A")</f>
        <v>N/A</v>
      </c>
      <c r="K170" s="40" t="str">
        <f>IF(I170="YES",SOL!C171+SOL!D171,"N/A")</f>
        <v>N/A</v>
      </c>
      <c r="L170" s="35" t="str">
        <f>IF(I170="YES",IF(C170+180&lt;'BASIC INFO'!$B$3, "YES", "NO"),"N/A")</f>
        <v>N/A</v>
      </c>
      <c r="M170" s="40" t="str">
        <f t="array" ref="M170">IF(I170="TRAFFIC","n/a",IF(OR('CASE DATA'!G171="GTR", 'CASE DATA'!G171="GPL"),IF(SUM(COUNTIF('CASE DATA'!X171:AI171, 'CODE SECTIONS'!$V$2:$V$218&amp;"*"))&gt;0,"NO","YES"),"n/a"))</f>
        <v>n/a</v>
      </c>
      <c r="N170" s="40" t="str">
        <f t="array" ref="N170">IF(M170="YES",IF(OR((SUM(COUNTIF('CASE DATA'!X171:AI171,'CODE SECTIONS'!$X$2:$X$19&amp;"*"))&gt;0),LEFT('CASE DATA'!X171:AI171,4)="717C", LEFT('CASE DATA'!X171:AI171, 3)="719", LEFT('CASE DATA'!X171:AI171,3)="720", LEFT('CASE DATA'!X171:AI171,3)="724", LEFT('CASE DATA'!X171:AI171,3)="726", LEFT('CASE DATA'!X171:AI171,3)="728", LEFT('CASE DATA'!X171:AI171,4)="901A"), "ineligible misd","eligible"),"n/a")</f>
        <v>n/a</v>
      </c>
      <c r="O170" s="40" t="str">
        <f>IF(N170="eligible",IF(COUNTIF('CASE DATA'!$D$4:$D$200, "")-COUNTIF('CASE DATA'!$A$4:$A$200, "")&gt;0, "YES","NO"),"N/A")</f>
        <v>N/A</v>
      </c>
      <c r="P170" s="40" t="str">
        <f>IF(N170="eligible",BANKRUPTCY!C171+BANKRUPTCY!D171,"N/A")</f>
        <v>N/A</v>
      </c>
      <c r="Q170" s="40" t="str">
        <f>IF(N170="eligible",SOL!C171+SOL!D171,"N/A")</f>
        <v>N/A</v>
      </c>
      <c r="R170" s="40" t="str">
        <f>IF(N170="eligible",SUM('CASE DATA'!K171:T171),"N/A")</f>
        <v>N/A</v>
      </c>
      <c r="S170" s="40" t="str">
        <f>IF(N170="eligible",IF(C170+2920&lt;'BASIC INFO'!$B$3, "YES", "NO"),"N/A")</f>
        <v>N/A</v>
      </c>
      <c r="T170" s="39" t="str">
        <f>IF(OR('CASE DATA'!G171="DEF"), "YES", "NO")</f>
        <v>NO</v>
      </c>
      <c r="U170" s="35" t="str">
        <f>IF(T170="YES",'CASE DATA'!I171,"N/A")</f>
        <v>N/A</v>
      </c>
      <c r="V170" s="40" t="str">
        <f>IF(T170="YES",BANKRUPTCY!C171+BANKRUPTCY!D171,"N/A")</f>
        <v>N/A</v>
      </c>
      <c r="W170" s="40" t="str">
        <f>IF(T170="YES",SUM('CASE DATA'!K171:T171),"N/A")</f>
        <v>N/A</v>
      </c>
      <c r="X170" s="35" t="str">
        <f>IF(OR('CASE DATA'!F171="123.46",'CASE DATA'!F171="123.47"),"YES","NO")</f>
        <v>NO</v>
      </c>
      <c r="Y170" s="40" t="str">
        <f>IF(X170="YES",IF(C170+730.5&lt;'BASIC INFO'!$B$3, "YES","NO"), "N/A")</f>
        <v>N/A</v>
      </c>
      <c r="Z170" s="35" t="str">
        <f>IF('CASE DATA'!F171="725.1","YES","NO")</f>
        <v>NO</v>
      </c>
      <c r="AA170" s="35" t="str">
        <f>IF(Z170="YES",IF(C170+730.5&lt;'BASIC INFO'!$B$3, "YES","NO"), "N/A")</f>
        <v>N/A</v>
      </c>
      <c r="AB170" s="35" t="str">
        <f>IF('BASIC INFO'!$B$6+6574.5&gt;C170, "YES", "NO")</f>
        <v>YES</v>
      </c>
    </row>
    <row r="171" spans="1:28" x14ac:dyDescent="0.25">
      <c r="A171" s="35" t="str">
        <f>IF('CASE DATA'!A172="","z",'CASE DATA'!A172)</f>
        <v>z</v>
      </c>
      <c r="B171" s="66" t="str">
        <f>IF('CASE DATA'!A172="","",'CASE DATA'!E172)</f>
        <v/>
      </c>
      <c r="C171" s="36">
        <f>'CASE DATA'!D172</f>
        <v>0</v>
      </c>
      <c r="D171" s="37" t="str">
        <f>IF('CASE DATA'!I172="YES",SUM('CASE DATA'!K172:Q172),"n/a")</f>
        <v>n/a</v>
      </c>
      <c r="E171" s="38" t="str">
        <f>IF('CASE DATA'!G172="JUV", "YES", "NO")</f>
        <v>NO</v>
      </c>
      <c r="F171" s="38" t="str">
        <f t="array" ref="F171">IF(E171="YES",IF(SUM(COUNTIF('CASE DATA'!$G$4:$G$200, {"GTR","GPL","DEF","JUV"}))&gt;0, "YES","NO"),"N/A")</f>
        <v>N/A</v>
      </c>
      <c r="G171" s="38" t="str">
        <f>IF(E171="YES",IF(COUNTIF('CASE DATA'!$D$4:$D$200, "")-COUNTIF('CASE DATA'!$A$4:$A$200, "")&gt;0, "YES","NO"),"N/A")</f>
        <v>N/A</v>
      </c>
      <c r="H171" s="35" t="str">
        <f>_xlfn.IFS(E171="NO", "N/A", AND('BASIC INFO'!$B$3&gt;'BASIC INFO'!$B$6+6574.5, C171+730.5&lt;'BASIC INFO'!$B$3), "YES", 'BASIC INFO'!$B$3&lt;('BASIC INFO'!$B$6+6574.5), "NOT YET 18", C171+730.5&gt;'BASIC INFO'!$B$3, "NOT YET 2 YEARS")</f>
        <v>N/A</v>
      </c>
      <c r="I171" s="39" t="str">
        <f>IF(OR(AND(LEFT('CASE DATA'!F172,4)="321.",MID('CASE DATA'!A172,8,2)="SM"),MID('CASE DATA'!A172,8,2)="ST",MID('CASE DATA'!A172,8,2)="NT"),"TRAFFIC",IF(OR('CASE DATA'!G172="DISM", 'CASE DATA'!G172="ACQ", 'CASE DATA'!G172="NOTF", 'CASE DATA'!G172="WTHD", 'CASE DATA'!G172="TNSF"), "YES", "NO"))</f>
        <v>NO</v>
      </c>
      <c r="J171" s="40" t="str">
        <f>IF(I171="YES",'CASE DATA'!U172,"N/A")</f>
        <v>N/A</v>
      </c>
      <c r="K171" s="40" t="str">
        <f>IF(I171="YES",SOL!C172+SOL!D172,"N/A")</f>
        <v>N/A</v>
      </c>
      <c r="L171" s="35" t="str">
        <f>IF(I171="YES",IF(C171+180&lt;'BASIC INFO'!$B$3, "YES", "NO"),"N/A")</f>
        <v>N/A</v>
      </c>
      <c r="M171" s="40" t="str">
        <f t="array" ref="M171">IF(I171="TRAFFIC","n/a",IF(OR('CASE DATA'!G172="GTR", 'CASE DATA'!G172="GPL"),IF(SUM(COUNTIF('CASE DATA'!X172:AI172, 'CODE SECTIONS'!$V$2:$V$218&amp;"*"))&gt;0,"NO","YES"),"n/a"))</f>
        <v>n/a</v>
      </c>
      <c r="N171" s="40" t="str">
        <f t="array" ref="N171">IF(M171="YES",IF(OR((SUM(COUNTIF('CASE DATA'!X172:AI172,'CODE SECTIONS'!$X$2:$X$19&amp;"*"))&gt;0),LEFT('CASE DATA'!X172:AI172,4)="717C", LEFT('CASE DATA'!X172:AI172, 3)="719", LEFT('CASE DATA'!X172:AI172,3)="720", LEFT('CASE DATA'!X172:AI172,3)="724", LEFT('CASE DATA'!X172:AI172,3)="726", LEFT('CASE DATA'!X172:AI172,3)="728", LEFT('CASE DATA'!X172:AI172,4)="901A"), "ineligible misd","eligible"),"n/a")</f>
        <v>n/a</v>
      </c>
      <c r="O171" s="40" t="str">
        <f>IF(N171="eligible",IF(COUNTIF('CASE DATA'!$D$4:$D$200, "")-COUNTIF('CASE DATA'!$A$4:$A$200, "")&gt;0, "YES","NO"),"N/A")</f>
        <v>N/A</v>
      </c>
      <c r="P171" s="40" t="str">
        <f>IF(N171="eligible",BANKRUPTCY!C172+BANKRUPTCY!D172,"N/A")</f>
        <v>N/A</v>
      </c>
      <c r="Q171" s="40" t="str">
        <f>IF(N171="eligible",SOL!C172+SOL!D172,"N/A")</f>
        <v>N/A</v>
      </c>
      <c r="R171" s="40" t="str">
        <f>IF(N171="eligible",SUM('CASE DATA'!K172:T172),"N/A")</f>
        <v>N/A</v>
      </c>
      <c r="S171" s="40" t="str">
        <f>IF(N171="eligible",IF(C171+2920&lt;'BASIC INFO'!$B$3, "YES", "NO"),"N/A")</f>
        <v>N/A</v>
      </c>
      <c r="T171" s="39" t="str">
        <f>IF(OR('CASE DATA'!G172="DEF"), "YES", "NO")</f>
        <v>NO</v>
      </c>
      <c r="U171" s="35" t="str">
        <f>IF(T171="YES",'CASE DATA'!I172,"N/A")</f>
        <v>N/A</v>
      </c>
      <c r="V171" s="40" t="str">
        <f>IF(T171="YES",BANKRUPTCY!C172+BANKRUPTCY!D172,"N/A")</f>
        <v>N/A</v>
      </c>
      <c r="W171" s="40" t="str">
        <f>IF(T171="YES",SUM('CASE DATA'!K172:T172),"N/A")</f>
        <v>N/A</v>
      </c>
      <c r="X171" s="35" t="str">
        <f>IF(OR('CASE DATA'!F172="123.46",'CASE DATA'!F172="123.47"),"YES","NO")</f>
        <v>NO</v>
      </c>
      <c r="Y171" s="40" t="str">
        <f>IF(X171="YES",IF(C171+730.5&lt;'BASIC INFO'!$B$3, "YES","NO"), "N/A")</f>
        <v>N/A</v>
      </c>
      <c r="Z171" s="35" t="str">
        <f>IF('CASE DATA'!F172="725.1","YES","NO")</f>
        <v>NO</v>
      </c>
      <c r="AA171" s="35" t="str">
        <f>IF(Z171="YES",IF(C171+730.5&lt;'BASIC INFO'!$B$3, "YES","NO"), "N/A")</f>
        <v>N/A</v>
      </c>
      <c r="AB171" s="35" t="str">
        <f>IF('BASIC INFO'!$B$6+6574.5&gt;C171, "YES", "NO")</f>
        <v>YES</v>
      </c>
    </row>
    <row r="172" spans="1:28" x14ac:dyDescent="0.25">
      <c r="A172" s="35" t="str">
        <f>IF('CASE DATA'!A173="","z",'CASE DATA'!A173)</f>
        <v>z</v>
      </c>
      <c r="B172" s="66" t="str">
        <f>IF('CASE DATA'!A173="","",'CASE DATA'!E173)</f>
        <v/>
      </c>
      <c r="C172" s="36">
        <f>'CASE DATA'!D173</f>
        <v>0</v>
      </c>
      <c r="D172" s="37" t="str">
        <f>IF('CASE DATA'!I173="YES",SUM('CASE DATA'!K173:Q173),"n/a")</f>
        <v>n/a</v>
      </c>
      <c r="E172" s="38" t="str">
        <f>IF('CASE DATA'!G173="JUV", "YES", "NO")</f>
        <v>NO</v>
      </c>
      <c r="F172" s="38" t="str">
        <f t="array" ref="F172">IF(E172="YES",IF(SUM(COUNTIF('CASE DATA'!$G$4:$G$200, {"GTR","GPL","DEF","JUV"}))&gt;0, "YES","NO"),"N/A")</f>
        <v>N/A</v>
      </c>
      <c r="G172" s="38" t="str">
        <f>IF(E172="YES",IF(COUNTIF('CASE DATA'!$D$4:$D$200, "")-COUNTIF('CASE DATA'!$A$4:$A$200, "")&gt;0, "YES","NO"),"N/A")</f>
        <v>N/A</v>
      </c>
      <c r="H172" s="35" t="str">
        <f>_xlfn.IFS(E172="NO", "N/A", AND('BASIC INFO'!$B$3&gt;'BASIC INFO'!$B$6+6574.5, C172+730.5&lt;'BASIC INFO'!$B$3), "YES", 'BASIC INFO'!$B$3&lt;('BASIC INFO'!$B$6+6574.5), "NOT YET 18", C172+730.5&gt;'BASIC INFO'!$B$3, "NOT YET 2 YEARS")</f>
        <v>N/A</v>
      </c>
      <c r="I172" s="39" t="str">
        <f>IF(OR(AND(LEFT('CASE DATA'!F173,4)="321.",MID('CASE DATA'!A173,8,2)="SM"),MID('CASE DATA'!A173,8,2)="ST",MID('CASE DATA'!A173,8,2)="NT"),"TRAFFIC",IF(OR('CASE DATA'!G173="DISM", 'CASE DATA'!G173="ACQ", 'CASE DATA'!G173="NOTF", 'CASE DATA'!G173="WTHD", 'CASE DATA'!G173="TNSF"), "YES", "NO"))</f>
        <v>NO</v>
      </c>
      <c r="J172" s="40" t="str">
        <f>IF(I172="YES",'CASE DATA'!U173,"N/A")</f>
        <v>N/A</v>
      </c>
      <c r="K172" s="40" t="str">
        <f>IF(I172="YES",SOL!C173+SOL!D173,"N/A")</f>
        <v>N/A</v>
      </c>
      <c r="L172" s="35" t="str">
        <f>IF(I172="YES",IF(C172+180&lt;'BASIC INFO'!$B$3, "YES", "NO"),"N/A")</f>
        <v>N/A</v>
      </c>
      <c r="M172" s="40" t="str">
        <f t="array" ref="M172">IF(I172="TRAFFIC","n/a",IF(OR('CASE DATA'!G173="GTR", 'CASE DATA'!G173="GPL"),IF(SUM(COUNTIF('CASE DATA'!X173:AI173, 'CODE SECTIONS'!$V$2:$V$218&amp;"*"))&gt;0,"NO","YES"),"n/a"))</f>
        <v>n/a</v>
      </c>
      <c r="N172" s="40" t="str">
        <f t="array" ref="N172">IF(M172="YES",IF(OR((SUM(COUNTIF('CASE DATA'!X173:AI173,'CODE SECTIONS'!$X$2:$X$19&amp;"*"))&gt;0),LEFT('CASE DATA'!X173:AI173,4)="717C", LEFT('CASE DATA'!X173:AI173, 3)="719", LEFT('CASE DATA'!X173:AI173,3)="720", LEFT('CASE DATA'!X173:AI173,3)="724", LEFT('CASE DATA'!X173:AI173,3)="726", LEFT('CASE DATA'!X173:AI173,3)="728", LEFT('CASE DATA'!X173:AI173,4)="901A"), "ineligible misd","eligible"),"n/a")</f>
        <v>n/a</v>
      </c>
      <c r="O172" s="40" t="str">
        <f>IF(N172="eligible",IF(COUNTIF('CASE DATA'!$D$4:$D$200, "")-COUNTIF('CASE DATA'!$A$4:$A$200, "")&gt;0, "YES","NO"),"N/A")</f>
        <v>N/A</v>
      </c>
      <c r="P172" s="40" t="str">
        <f>IF(N172="eligible",BANKRUPTCY!C173+BANKRUPTCY!D173,"N/A")</f>
        <v>N/A</v>
      </c>
      <c r="Q172" s="40" t="str">
        <f>IF(N172="eligible",SOL!C173+SOL!D173,"N/A")</f>
        <v>N/A</v>
      </c>
      <c r="R172" s="40" t="str">
        <f>IF(N172="eligible",SUM('CASE DATA'!K173:T173),"N/A")</f>
        <v>N/A</v>
      </c>
      <c r="S172" s="40" t="str">
        <f>IF(N172="eligible",IF(C172+2920&lt;'BASIC INFO'!$B$3, "YES", "NO"),"N/A")</f>
        <v>N/A</v>
      </c>
      <c r="T172" s="39" t="str">
        <f>IF(OR('CASE DATA'!G173="DEF"), "YES", "NO")</f>
        <v>NO</v>
      </c>
      <c r="U172" s="35" t="str">
        <f>IF(T172="YES",'CASE DATA'!I173,"N/A")</f>
        <v>N/A</v>
      </c>
      <c r="V172" s="40" t="str">
        <f>IF(T172="YES",BANKRUPTCY!C173+BANKRUPTCY!D173,"N/A")</f>
        <v>N/A</v>
      </c>
      <c r="W172" s="40" t="str">
        <f>IF(T172="YES",SUM('CASE DATA'!K173:T173),"N/A")</f>
        <v>N/A</v>
      </c>
      <c r="X172" s="35" t="str">
        <f>IF(OR('CASE DATA'!F173="123.46",'CASE DATA'!F173="123.47"),"YES","NO")</f>
        <v>NO</v>
      </c>
      <c r="Y172" s="40" t="str">
        <f>IF(X172="YES",IF(C172+730.5&lt;'BASIC INFO'!$B$3, "YES","NO"), "N/A")</f>
        <v>N/A</v>
      </c>
      <c r="Z172" s="35" t="str">
        <f>IF('CASE DATA'!F173="725.1","YES","NO")</f>
        <v>NO</v>
      </c>
      <c r="AA172" s="35" t="str">
        <f>IF(Z172="YES",IF(C172+730.5&lt;'BASIC INFO'!$B$3, "YES","NO"), "N/A")</f>
        <v>N/A</v>
      </c>
      <c r="AB172" s="35" t="str">
        <f>IF('BASIC INFO'!$B$6+6574.5&gt;C172, "YES", "NO")</f>
        <v>YES</v>
      </c>
    </row>
    <row r="173" spans="1:28" x14ac:dyDescent="0.25">
      <c r="A173" s="35" t="str">
        <f>IF('CASE DATA'!A174="","z",'CASE DATA'!A174)</f>
        <v>z</v>
      </c>
      <c r="B173" s="66" t="str">
        <f>IF('CASE DATA'!A174="","",'CASE DATA'!E174)</f>
        <v/>
      </c>
      <c r="C173" s="36">
        <f>'CASE DATA'!D174</f>
        <v>0</v>
      </c>
      <c r="D173" s="37" t="str">
        <f>IF('CASE DATA'!I174="YES",SUM('CASE DATA'!K174:Q174),"n/a")</f>
        <v>n/a</v>
      </c>
      <c r="E173" s="38" t="str">
        <f>IF('CASE DATA'!G174="JUV", "YES", "NO")</f>
        <v>NO</v>
      </c>
      <c r="F173" s="38" t="str">
        <f t="array" ref="F173">IF(E173="YES",IF(SUM(COUNTIF('CASE DATA'!$G$4:$G$200, {"GTR","GPL","DEF","JUV"}))&gt;0, "YES","NO"),"N/A")</f>
        <v>N/A</v>
      </c>
      <c r="G173" s="38" t="str">
        <f>IF(E173="YES",IF(COUNTIF('CASE DATA'!$D$4:$D$200, "")-COUNTIF('CASE DATA'!$A$4:$A$200, "")&gt;0, "YES","NO"),"N/A")</f>
        <v>N/A</v>
      </c>
      <c r="H173" s="35" t="str">
        <f>_xlfn.IFS(E173="NO", "N/A", AND('BASIC INFO'!$B$3&gt;'BASIC INFO'!$B$6+6574.5, C173+730.5&lt;'BASIC INFO'!$B$3), "YES", 'BASIC INFO'!$B$3&lt;('BASIC INFO'!$B$6+6574.5), "NOT YET 18", C173+730.5&gt;'BASIC INFO'!$B$3, "NOT YET 2 YEARS")</f>
        <v>N/A</v>
      </c>
      <c r="I173" s="39" t="str">
        <f>IF(OR(AND(LEFT('CASE DATA'!F174,4)="321.",MID('CASE DATA'!A174,8,2)="SM"),MID('CASE DATA'!A174,8,2)="ST",MID('CASE DATA'!A174,8,2)="NT"),"TRAFFIC",IF(OR('CASE DATA'!G174="DISM", 'CASE DATA'!G174="ACQ", 'CASE DATA'!G174="NOTF", 'CASE DATA'!G174="WTHD", 'CASE DATA'!G174="TNSF"), "YES", "NO"))</f>
        <v>NO</v>
      </c>
      <c r="J173" s="40" t="str">
        <f>IF(I173="YES",'CASE DATA'!U174,"N/A")</f>
        <v>N/A</v>
      </c>
      <c r="K173" s="40" t="str">
        <f>IF(I173="YES",SOL!C174+SOL!D174,"N/A")</f>
        <v>N/A</v>
      </c>
      <c r="L173" s="35" t="str">
        <f>IF(I173="YES",IF(C173+180&lt;'BASIC INFO'!$B$3, "YES", "NO"),"N/A")</f>
        <v>N/A</v>
      </c>
      <c r="M173" s="40" t="str">
        <f t="array" ref="M173">IF(I173="TRAFFIC","n/a",IF(OR('CASE DATA'!G174="GTR", 'CASE DATA'!G174="GPL"),IF(SUM(COUNTIF('CASE DATA'!X174:AI174, 'CODE SECTIONS'!$V$2:$V$218&amp;"*"))&gt;0,"NO","YES"),"n/a"))</f>
        <v>n/a</v>
      </c>
      <c r="N173" s="40" t="str">
        <f t="array" ref="N173">IF(M173="YES",IF(OR((SUM(COUNTIF('CASE DATA'!X174:AI174,'CODE SECTIONS'!$X$2:$X$19&amp;"*"))&gt;0),LEFT('CASE DATA'!X174:AI174,4)="717C", LEFT('CASE DATA'!X174:AI174, 3)="719", LEFT('CASE DATA'!X174:AI174,3)="720", LEFT('CASE DATA'!X174:AI174,3)="724", LEFT('CASE DATA'!X174:AI174,3)="726", LEFT('CASE DATA'!X174:AI174,3)="728", LEFT('CASE DATA'!X174:AI174,4)="901A"), "ineligible misd","eligible"),"n/a")</f>
        <v>n/a</v>
      </c>
      <c r="O173" s="40" t="str">
        <f>IF(N173="eligible",IF(COUNTIF('CASE DATA'!$D$4:$D$200, "")-COUNTIF('CASE DATA'!$A$4:$A$200, "")&gt;0, "YES","NO"),"N/A")</f>
        <v>N/A</v>
      </c>
      <c r="P173" s="40" t="str">
        <f>IF(N173="eligible",BANKRUPTCY!C174+BANKRUPTCY!D174,"N/A")</f>
        <v>N/A</v>
      </c>
      <c r="Q173" s="40" t="str">
        <f>IF(N173="eligible",SOL!C174+SOL!D174,"N/A")</f>
        <v>N/A</v>
      </c>
      <c r="R173" s="40" t="str">
        <f>IF(N173="eligible",SUM('CASE DATA'!K174:T174),"N/A")</f>
        <v>N/A</v>
      </c>
      <c r="S173" s="40" t="str">
        <f>IF(N173="eligible",IF(C173+2920&lt;'BASIC INFO'!$B$3, "YES", "NO"),"N/A")</f>
        <v>N/A</v>
      </c>
      <c r="T173" s="39" t="str">
        <f>IF(OR('CASE DATA'!G174="DEF"), "YES", "NO")</f>
        <v>NO</v>
      </c>
      <c r="U173" s="35" t="str">
        <f>IF(T173="YES",'CASE DATA'!I174,"N/A")</f>
        <v>N/A</v>
      </c>
      <c r="V173" s="40" t="str">
        <f>IF(T173="YES",BANKRUPTCY!C174+BANKRUPTCY!D174,"N/A")</f>
        <v>N/A</v>
      </c>
      <c r="W173" s="40" t="str">
        <f>IF(T173="YES",SUM('CASE DATA'!K174:T174),"N/A")</f>
        <v>N/A</v>
      </c>
      <c r="X173" s="35" t="str">
        <f>IF(OR('CASE DATA'!F174="123.46",'CASE DATA'!F174="123.47"),"YES","NO")</f>
        <v>NO</v>
      </c>
      <c r="Y173" s="40" t="str">
        <f>IF(X173="YES",IF(C173+730.5&lt;'BASIC INFO'!$B$3, "YES","NO"), "N/A")</f>
        <v>N/A</v>
      </c>
      <c r="Z173" s="35" t="str">
        <f>IF('CASE DATA'!F174="725.1","YES","NO")</f>
        <v>NO</v>
      </c>
      <c r="AA173" s="35" t="str">
        <f>IF(Z173="YES",IF(C173+730.5&lt;'BASIC INFO'!$B$3, "YES","NO"), "N/A")</f>
        <v>N/A</v>
      </c>
      <c r="AB173" s="35" t="str">
        <f>IF('BASIC INFO'!$B$6+6574.5&gt;C173, "YES", "NO")</f>
        <v>YES</v>
      </c>
    </row>
    <row r="174" spans="1:28" x14ac:dyDescent="0.25">
      <c r="A174" s="35" t="str">
        <f>IF('CASE DATA'!A175="","z",'CASE DATA'!A175)</f>
        <v>z</v>
      </c>
      <c r="B174" s="66" t="str">
        <f>IF('CASE DATA'!A175="","",'CASE DATA'!E175)</f>
        <v/>
      </c>
      <c r="C174" s="36">
        <f>'CASE DATA'!D175</f>
        <v>0</v>
      </c>
      <c r="D174" s="37" t="str">
        <f>IF('CASE DATA'!I175="YES",SUM('CASE DATA'!K175:Q175),"n/a")</f>
        <v>n/a</v>
      </c>
      <c r="E174" s="38" t="str">
        <f>IF('CASE DATA'!G175="JUV", "YES", "NO")</f>
        <v>NO</v>
      </c>
      <c r="F174" s="38" t="str">
        <f t="array" ref="F174">IF(E174="YES",IF(SUM(COUNTIF('CASE DATA'!$G$4:$G$200, {"GTR","GPL","DEF","JUV"}))&gt;0, "YES","NO"),"N/A")</f>
        <v>N/A</v>
      </c>
      <c r="G174" s="38" t="str">
        <f>IF(E174="YES",IF(COUNTIF('CASE DATA'!$D$4:$D$200, "")-COUNTIF('CASE DATA'!$A$4:$A$200, "")&gt;0, "YES","NO"),"N/A")</f>
        <v>N/A</v>
      </c>
      <c r="H174" s="35" t="str">
        <f>_xlfn.IFS(E174="NO", "N/A", AND('BASIC INFO'!$B$3&gt;'BASIC INFO'!$B$6+6574.5, C174+730.5&lt;'BASIC INFO'!$B$3), "YES", 'BASIC INFO'!$B$3&lt;('BASIC INFO'!$B$6+6574.5), "NOT YET 18", C174+730.5&gt;'BASIC INFO'!$B$3, "NOT YET 2 YEARS")</f>
        <v>N/A</v>
      </c>
      <c r="I174" s="39" t="str">
        <f>IF(OR(AND(LEFT('CASE DATA'!F175,4)="321.",MID('CASE DATA'!A175,8,2)="SM"),MID('CASE DATA'!A175,8,2)="ST",MID('CASE DATA'!A175,8,2)="NT"),"TRAFFIC",IF(OR('CASE DATA'!G175="DISM", 'CASE DATA'!G175="ACQ", 'CASE DATA'!G175="NOTF", 'CASE DATA'!G175="WTHD", 'CASE DATA'!G175="TNSF"), "YES", "NO"))</f>
        <v>NO</v>
      </c>
      <c r="J174" s="40" t="str">
        <f>IF(I174="YES",'CASE DATA'!U175,"N/A")</f>
        <v>N/A</v>
      </c>
      <c r="K174" s="40" t="str">
        <f>IF(I174="YES",SOL!C175+SOL!D175,"N/A")</f>
        <v>N/A</v>
      </c>
      <c r="L174" s="35" t="str">
        <f>IF(I174="YES",IF(C174+180&lt;'BASIC INFO'!$B$3, "YES", "NO"),"N/A")</f>
        <v>N/A</v>
      </c>
      <c r="M174" s="40" t="str">
        <f t="array" ref="M174">IF(I174="TRAFFIC","n/a",IF(OR('CASE DATA'!G175="GTR", 'CASE DATA'!G175="GPL"),IF(SUM(COUNTIF('CASE DATA'!X175:AI175, 'CODE SECTIONS'!$V$2:$V$218&amp;"*"))&gt;0,"NO","YES"),"n/a"))</f>
        <v>n/a</v>
      </c>
      <c r="N174" s="40" t="str">
        <f t="array" ref="N174">IF(M174="YES",IF(OR((SUM(COUNTIF('CASE DATA'!X175:AI175,'CODE SECTIONS'!$X$2:$X$19&amp;"*"))&gt;0),LEFT('CASE DATA'!X175:AI175,4)="717C", LEFT('CASE DATA'!X175:AI175, 3)="719", LEFT('CASE DATA'!X175:AI175,3)="720", LEFT('CASE DATA'!X175:AI175,3)="724", LEFT('CASE DATA'!X175:AI175,3)="726", LEFT('CASE DATA'!X175:AI175,3)="728", LEFT('CASE DATA'!X175:AI175,4)="901A"), "ineligible misd","eligible"),"n/a")</f>
        <v>n/a</v>
      </c>
      <c r="O174" s="40" t="str">
        <f>IF(N174="eligible",IF(COUNTIF('CASE DATA'!$D$4:$D$200, "")-COUNTIF('CASE DATA'!$A$4:$A$200, "")&gt;0, "YES","NO"),"N/A")</f>
        <v>N/A</v>
      </c>
      <c r="P174" s="40" t="str">
        <f>IF(N174="eligible",BANKRUPTCY!C175+BANKRUPTCY!D175,"N/A")</f>
        <v>N/A</v>
      </c>
      <c r="Q174" s="40" t="str">
        <f>IF(N174="eligible",SOL!C175+SOL!D175,"N/A")</f>
        <v>N/A</v>
      </c>
      <c r="R174" s="40" t="str">
        <f>IF(N174="eligible",SUM('CASE DATA'!K175:T175),"N/A")</f>
        <v>N/A</v>
      </c>
      <c r="S174" s="40" t="str">
        <f>IF(N174="eligible",IF(C174+2920&lt;'BASIC INFO'!$B$3, "YES", "NO"),"N/A")</f>
        <v>N/A</v>
      </c>
      <c r="T174" s="39" t="str">
        <f>IF(OR('CASE DATA'!G175="DEF"), "YES", "NO")</f>
        <v>NO</v>
      </c>
      <c r="U174" s="35" t="str">
        <f>IF(T174="YES",'CASE DATA'!I175,"N/A")</f>
        <v>N/A</v>
      </c>
      <c r="V174" s="40" t="str">
        <f>IF(T174="YES",BANKRUPTCY!C175+BANKRUPTCY!D175,"N/A")</f>
        <v>N/A</v>
      </c>
      <c r="W174" s="40" t="str">
        <f>IF(T174="YES",SUM('CASE DATA'!K175:T175),"N/A")</f>
        <v>N/A</v>
      </c>
      <c r="X174" s="35" t="str">
        <f>IF(OR('CASE DATA'!F175="123.46",'CASE DATA'!F175="123.47"),"YES","NO")</f>
        <v>NO</v>
      </c>
      <c r="Y174" s="40" t="str">
        <f>IF(X174="YES",IF(C174+730.5&lt;'BASIC INFO'!$B$3, "YES","NO"), "N/A")</f>
        <v>N/A</v>
      </c>
      <c r="Z174" s="35" t="str">
        <f>IF('CASE DATA'!F175="725.1","YES","NO")</f>
        <v>NO</v>
      </c>
      <c r="AA174" s="35" t="str">
        <f>IF(Z174="YES",IF(C174+730.5&lt;'BASIC INFO'!$B$3, "YES","NO"), "N/A")</f>
        <v>N/A</v>
      </c>
      <c r="AB174" s="35" t="str">
        <f>IF('BASIC INFO'!$B$6+6574.5&gt;C174, "YES", "NO")</f>
        <v>YES</v>
      </c>
    </row>
    <row r="175" spans="1:28" x14ac:dyDescent="0.25">
      <c r="A175" s="35" t="str">
        <f>IF('CASE DATA'!A176="","z",'CASE DATA'!A176)</f>
        <v>z</v>
      </c>
      <c r="B175" s="66" t="str">
        <f>IF('CASE DATA'!A176="","",'CASE DATA'!E176)</f>
        <v/>
      </c>
      <c r="C175" s="36">
        <f>'CASE DATA'!D176</f>
        <v>0</v>
      </c>
      <c r="D175" s="37" t="str">
        <f>IF('CASE DATA'!I176="YES",SUM('CASE DATA'!K176:Q176),"n/a")</f>
        <v>n/a</v>
      </c>
      <c r="E175" s="38" t="str">
        <f>IF('CASE DATA'!G176="JUV", "YES", "NO")</f>
        <v>NO</v>
      </c>
      <c r="F175" s="38" t="str">
        <f t="array" ref="F175">IF(E175="YES",IF(SUM(COUNTIF('CASE DATA'!$G$4:$G$200, {"GTR","GPL","DEF","JUV"}))&gt;0, "YES","NO"),"N/A")</f>
        <v>N/A</v>
      </c>
      <c r="G175" s="38" t="str">
        <f>IF(E175="YES",IF(COUNTIF('CASE DATA'!$D$4:$D$200, "")-COUNTIF('CASE DATA'!$A$4:$A$200, "")&gt;0, "YES","NO"),"N/A")</f>
        <v>N/A</v>
      </c>
      <c r="H175" s="35" t="str">
        <f>_xlfn.IFS(E175="NO", "N/A", AND('BASIC INFO'!$B$3&gt;'BASIC INFO'!$B$6+6574.5, C175+730.5&lt;'BASIC INFO'!$B$3), "YES", 'BASIC INFO'!$B$3&lt;('BASIC INFO'!$B$6+6574.5), "NOT YET 18", C175+730.5&gt;'BASIC INFO'!$B$3, "NOT YET 2 YEARS")</f>
        <v>N/A</v>
      </c>
      <c r="I175" s="39" t="str">
        <f>IF(OR(AND(LEFT('CASE DATA'!F176,4)="321.",MID('CASE DATA'!A176,8,2)="SM"),MID('CASE DATA'!A176,8,2)="ST",MID('CASE DATA'!A176,8,2)="NT"),"TRAFFIC",IF(OR('CASE DATA'!G176="DISM", 'CASE DATA'!G176="ACQ", 'CASE DATA'!G176="NOTF", 'CASE DATA'!G176="WTHD", 'CASE DATA'!G176="TNSF"), "YES", "NO"))</f>
        <v>NO</v>
      </c>
      <c r="J175" s="40" t="str">
        <f>IF(I175="YES",'CASE DATA'!U176,"N/A")</f>
        <v>N/A</v>
      </c>
      <c r="K175" s="40" t="str">
        <f>IF(I175="YES",SOL!C176+SOL!D176,"N/A")</f>
        <v>N/A</v>
      </c>
      <c r="L175" s="35" t="str">
        <f>IF(I175="YES",IF(C175+180&lt;'BASIC INFO'!$B$3, "YES", "NO"),"N/A")</f>
        <v>N/A</v>
      </c>
      <c r="M175" s="40" t="str">
        <f t="array" ref="M175">IF(I175="TRAFFIC","n/a",IF(OR('CASE DATA'!G176="GTR", 'CASE DATA'!G176="GPL"),IF(SUM(COUNTIF('CASE DATA'!X176:AI176, 'CODE SECTIONS'!$V$2:$V$218&amp;"*"))&gt;0,"NO","YES"),"n/a"))</f>
        <v>n/a</v>
      </c>
      <c r="N175" s="40" t="str">
        <f t="array" ref="N175">IF(M175="YES",IF(OR((SUM(COUNTIF('CASE DATA'!X176:AI176,'CODE SECTIONS'!$X$2:$X$19&amp;"*"))&gt;0),LEFT('CASE DATA'!X176:AI176,4)="717C", LEFT('CASE DATA'!X176:AI176, 3)="719", LEFT('CASE DATA'!X176:AI176,3)="720", LEFT('CASE DATA'!X176:AI176,3)="724", LEFT('CASE DATA'!X176:AI176,3)="726", LEFT('CASE DATA'!X176:AI176,3)="728", LEFT('CASE DATA'!X176:AI176,4)="901A"), "ineligible misd","eligible"),"n/a")</f>
        <v>n/a</v>
      </c>
      <c r="O175" s="40" t="str">
        <f>IF(N175="eligible",IF(COUNTIF('CASE DATA'!$D$4:$D$200, "")-COUNTIF('CASE DATA'!$A$4:$A$200, "")&gt;0, "YES","NO"),"N/A")</f>
        <v>N/A</v>
      </c>
      <c r="P175" s="40" t="str">
        <f>IF(N175="eligible",BANKRUPTCY!C176+BANKRUPTCY!D176,"N/A")</f>
        <v>N/A</v>
      </c>
      <c r="Q175" s="40" t="str">
        <f>IF(N175="eligible",SOL!C176+SOL!D176,"N/A")</f>
        <v>N/A</v>
      </c>
      <c r="R175" s="40" t="str">
        <f>IF(N175="eligible",SUM('CASE DATA'!K176:T176),"N/A")</f>
        <v>N/A</v>
      </c>
      <c r="S175" s="40" t="str">
        <f>IF(N175="eligible",IF(C175+2920&lt;'BASIC INFO'!$B$3, "YES", "NO"),"N/A")</f>
        <v>N/A</v>
      </c>
      <c r="T175" s="39" t="str">
        <f>IF(OR('CASE DATA'!G176="DEF"), "YES", "NO")</f>
        <v>NO</v>
      </c>
      <c r="U175" s="35" t="str">
        <f>IF(T175="YES",'CASE DATA'!I176,"N/A")</f>
        <v>N/A</v>
      </c>
      <c r="V175" s="40" t="str">
        <f>IF(T175="YES",BANKRUPTCY!C176+BANKRUPTCY!D176,"N/A")</f>
        <v>N/A</v>
      </c>
      <c r="W175" s="40" t="str">
        <f>IF(T175="YES",SUM('CASE DATA'!K176:T176),"N/A")</f>
        <v>N/A</v>
      </c>
      <c r="X175" s="35" t="str">
        <f>IF(OR('CASE DATA'!F176="123.46",'CASE DATA'!F176="123.47"),"YES","NO")</f>
        <v>NO</v>
      </c>
      <c r="Y175" s="40" t="str">
        <f>IF(X175="YES",IF(C175+730.5&lt;'BASIC INFO'!$B$3, "YES","NO"), "N/A")</f>
        <v>N/A</v>
      </c>
      <c r="Z175" s="35" t="str">
        <f>IF('CASE DATA'!F176="725.1","YES","NO")</f>
        <v>NO</v>
      </c>
      <c r="AA175" s="35" t="str">
        <f>IF(Z175="YES",IF(C175+730.5&lt;'BASIC INFO'!$B$3, "YES","NO"), "N/A")</f>
        <v>N/A</v>
      </c>
      <c r="AB175" s="35" t="str">
        <f>IF('BASIC INFO'!$B$6+6574.5&gt;C175, "YES", "NO")</f>
        <v>YES</v>
      </c>
    </row>
    <row r="176" spans="1:28" x14ac:dyDescent="0.25">
      <c r="A176" s="35" t="str">
        <f>IF('CASE DATA'!A177="","z",'CASE DATA'!A177)</f>
        <v>z</v>
      </c>
      <c r="B176" s="66" t="str">
        <f>IF('CASE DATA'!A177="","",'CASE DATA'!E177)</f>
        <v/>
      </c>
      <c r="C176" s="36">
        <f>'CASE DATA'!D177</f>
        <v>0</v>
      </c>
      <c r="D176" s="37" t="str">
        <f>IF('CASE DATA'!I177="YES",SUM('CASE DATA'!K177:Q177),"n/a")</f>
        <v>n/a</v>
      </c>
      <c r="E176" s="38" t="str">
        <f>IF('CASE DATA'!G177="JUV", "YES", "NO")</f>
        <v>NO</v>
      </c>
      <c r="F176" s="38" t="str">
        <f t="array" ref="F176">IF(E176="YES",IF(SUM(COUNTIF('CASE DATA'!$G$4:$G$200, {"GTR","GPL","DEF","JUV"}))&gt;0, "YES","NO"),"N/A")</f>
        <v>N/A</v>
      </c>
      <c r="G176" s="38" t="str">
        <f>IF(E176="YES",IF(COUNTIF('CASE DATA'!$D$4:$D$200, "")-COUNTIF('CASE DATA'!$A$4:$A$200, "")&gt;0, "YES","NO"),"N/A")</f>
        <v>N/A</v>
      </c>
      <c r="H176" s="35" t="str">
        <f>_xlfn.IFS(E176="NO", "N/A", AND('BASIC INFO'!$B$3&gt;'BASIC INFO'!$B$6+6574.5, C176+730.5&lt;'BASIC INFO'!$B$3), "YES", 'BASIC INFO'!$B$3&lt;('BASIC INFO'!$B$6+6574.5), "NOT YET 18", C176+730.5&gt;'BASIC INFO'!$B$3, "NOT YET 2 YEARS")</f>
        <v>N/A</v>
      </c>
      <c r="I176" s="39" t="str">
        <f>IF(OR(AND(LEFT('CASE DATA'!F177,4)="321.",MID('CASE DATA'!A177,8,2)="SM"),MID('CASE DATA'!A177,8,2)="ST",MID('CASE DATA'!A177,8,2)="NT"),"TRAFFIC",IF(OR('CASE DATA'!G177="DISM", 'CASE DATA'!G177="ACQ", 'CASE DATA'!G177="NOTF", 'CASE DATA'!G177="WTHD", 'CASE DATA'!G177="TNSF"), "YES", "NO"))</f>
        <v>NO</v>
      </c>
      <c r="J176" s="40" t="str">
        <f>IF(I176="YES",'CASE DATA'!U177,"N/A")</f>
        <v>N/A</v>
      </c>
      <c r="K176" s="40" t="str">
        <f>IF(I176="YES",SOL!C177+SOL!D177,"N/A")</f>
        <v>N/A</v>
      </c>
      <c r="L176" s="35" t="str">
        <f>IF(I176="YES",IF(C176+180&lt;'BASIC INFO'!$B$3, "YES", "NO"),"N/A")</f>
        <v>N/A</v>
      </c>
      <c r="M176" s="40" t="str">
        <f t="array" ref="M176">IF(I176="TRAFFIC","n/a",IF(OR('CASE DATA'!G177="GTR", 'CASE DATA'!G177="GPL"),IF(SUM(COUNTIF('CASE DATA'!X177:AI177, 'CODE SECTIONS'!$V$2:$V$218&amp;"*"))&gt;0,"NO","YES"),"n/a"))</f>
        <v>n/a</v>
      </c>
      <c r="N176" s="40" t="str">
        <f t="array" ref="N176">IF(M176="YES",IF(OR((SUM(COUNTIF('CASE DATA'!X177:AI177,'CODE SECTIONS'!$X$2:$X$19&amp;"*"))&gt;0),LEFT('CASE DATA'!X177:AI177,4)="717C", LEFT('CASE DATA'!X177:AI177, 3)="719", LEFT('CASE DATA'!X177:AI177,3)="720", LEFT('CASE DATA'!X177:AI177,3)="724", LEFT('CASE DATA'!X177:AI177,3)="726", LEFT('CASE DATA'!X177:AI177,3)="728", LEFT('CASE DATA'!X177:AI177,4)="901A"), "ineligible misd","eligible"),"n/a")</f>
        <v>n/a</v>
      </c>
      <c r="O176" s="40" t="str">
        <f>IF(N176="eligible",IF(COUNTIF('CASE DATA'!$D$4:$D$200, "")-COUNTIF('CASE DATA'!$A$4:$A$200, "")&gt;0, "YES","NO"),"N/A")</f>
        <v>N/A</v>
      </c>
      <c r="P176" s="40" t="str">
        <f>IF(N176="eligible",BANKRUPTCY!C177+BANKRUPTCY!D177,"N/A")</f>
        <v>N/A</v>
      </c>
      <c r="Q176" s="40" t="str">
        <f>IF(N176="eligible",SOL!C177+SOL!D177,"N/A")</f>
        <v>N/A</v>
      </c>
      <c r="R176" s="40" t="str">
        <f>IF(N176="eligible",SUM('CASE DATA'!K177:T177),"N/A")</f>
        <v>N/A</v>
      </c>
      <c r="S176" s="40" t="str">
        <f>IF(N176="eligible",IF(C176+2920&lt;'BASIC INFO'!$B$3, "YES", "NO"),"N/A")</f>
        <v>N/A</v>
      </c>
      <c r="T176" s="39" t="str">
        <f>IF(OR('CASE DATA'!G177="DEF"), "YES", "NO")</f>
        <v>NO</v>
      </c>
      <c r="U176" s="35" t="str">
        <f>IF(T176="YES",'CASE DATA'!I177,"N/A")</f>
        <v>N/A</v>
      </c>
      <c r="V176" s="40" t="str">
        <f>IF(T176="YES",BANKRUPTCY!C177+BANKRUPTCY!D177,"N/A")</f>
        <v>N/A</v>
      </c>
      <c r="W176" s="40" t="str">
        <f>IF(T176="YES",SUM('CASE DATA'!K177:T177),"N/A")</f>
        <v>N/A</v>
      </c>
      <c r="X176" s="35" t="str">
        <f>IF(OR('CASE DATA'!F177="123.46",'CASE DATA'!F177="123.47"),"YES","NO")</f>
        <v>NO</v>
      </c>
      <c r="Y176" s="40" t="str">
        <f>IF(X176="YES",IF(C176+730.5&lt;'BASIC INFO'!$B$3, "YES","NO"), "N/A")</f>
        <v>N/A</v>
      </c>
      <c r="Z176" s="35" t="str">
        <f>IF('CASE DATA'!F177="725.1","YES","NO")</f>
        <v>NO</v>
      </c>
      <c r="AA176" s="35" t="str">
        <f>IF(Z176="YES",IF(C176+730.5&lt;'BASIC INFO'!$B$3, "YES","NO"), "N/A")</f>
        <v>N/A</v>
      </c>
      <c r="AB176" s="35" t="str">
        <f>IF('BASIC INFO'!$B$6+6574.5&gt;C176, "YES", "NO")</f>
        <v>YES</v>
      </c>
    </row>
    <row r="177" spans="1:28" x14ac:dyDescent="0.25">
      <c r="A177" s="35" t="str">
        <f>IF('CASE DATA'!A178="","z",'CASE DATA'!A178)</f>
        <v>z</v>
      </c>
      <c r="B177" s="66" t="str">
        <f>IF('CASE DATA'!A178="","",'CASE DATA'!E178)</f>
        <v/>
      </c>
      <c r="C177" s="36">
        <f>'CASE DATA'!D178</f>
        <v>0</v>
      </c>
      <c r="D177" s="37" t="str">
        <f>IF('CASE DATA'!I178="YES",SUM('CASE DATA'!K178:Q178),"n/a")</f>
        <v>n/a</v>
      </c>
      <c r="E177" s="38" t="str">
        <f>IF('CASE DATA'!G178="JUV", "YES", "NO")</f>
        <v>NO</v>
      </c>
      <c r="F177" s="38" t="str">
        <f t="array" ref="F177">IF(E177="YES",IF(SUM(COUNTIF('CASE DATA'!$G$4:$G$200, {"GTR","GPL","DEF","JUV"}))&gt;0, "YES","NO"),"N/A")</f>
        <v>N/A</v>
      </c>
      <c r="G177" s="38" t="str">
        <f>IF(E177="YES",IF(COUNTIF('CASE DATA'!$D$4:$D$200, "")-COUNTIF('CASE DATA'!$A$4:$A$200, "")&gt;0, "YES","NO"),"N/A")</f>
        <v>N/A</v>
      </c>
      <c r="H177" s="35" t="str">
        <f>_xlfn.IFS(E177="NO", "N/A", AND('BASIC INFO'!$B$3&gt;'BASIC INFO'!$B$6+6574.5, C177+730.5&lt;'BASIC INFO'!$B$3), "YES", 'BASIC INFO'!$B$3&lt;('BASIC INFO'!$B$6+6574.5), "NOT YET 18", C177+730.5&gt;'BASIC INFO'!$B$3, "NOT YET 2 YEARS")</f>
        <v>N/A</v>
      </c>
      <c r="I177" s="39" t="str">
        <f>IF(OR(AND(LEFT('CASE DATA'!F178,4)="321.",MID('CASE DATA'!A178,8,2)="SM"),MID('CASE DATA'!A178,8,2)="ST",MID('CASE DATA'!A178,8,2)="NT"),"TRAFFIC",IF(OR('CASE DATA'!G178="DISM", 'CASE DATA'!G178="ACQ", 'CASE DATA'!G178="NOTF", 'CASE DATA'!G178="WTHD", 'CASE DATA'!G178="TNSF"), "YES", "NO"))</f>
        <v>NO</v>
      </c>
      <c r="J177" s="40" t="str">
        <f>IF(I177="YES",'CASE DATA'!U178,"N/A")</f>
        <v>N/A</v>
      </c>
      <c r="K177" s="40" t="str">
        <f>IF(I177="YES",SOL!C178+SOL!D178,"N/A")</f>
        <v>N/A</v>
      </c>
      <c r="L177" s="35" t="str">
        <f>IF(I177="YES",IF(C177+180&lt;'BASIC INFO'!$B$3, "YES", "NO"),"N/A")</f>
        <v>N/A</v>
      </c>
      <c r="M177" s="40" t="str">
        <f t="array" ref="M177">IF(I177="TRAFFIC","n/a",IF(OR('CASE DATA'!G178="GTR", 'CASE DATA'!G178="GPL"),IF(SUM(COUNTIF('CASE DATA'!X178:AI178, 'CODE SECTIONS'!$V$2:$V$218&amp;"*"))&gt;0,"NO","YES"),"n/a"))</f>
        <v>n/a</v>
      </c>
      <c r="N177" s="40" t="str">
        <f t="array" ref="N177">IF(M177="YES",IF(OR((SUM(COUNTIF('CASE DATA'!X178:AI178,'CODE SECTIONS'!$X$2:$X$19&amp;"*"))&gt;0),LEFT('CASE DATA'!X178:AI178,4)="717C", LEFT('CASE DATA'!X178:AI178, 3)="719", LEFT('CASE DATA'!X178:AI178,3)="720", LEFT('CASE DATA'!X178:AI178,3)="724", LEFT('CASE DATA'!X178:AI178,3)="726", LEFT('CASE DATA'!X178:AI178,3)="728", LEFT('CASE DATA'!X178:AI178,4)="901A"), "ineligible misd","eligible"),"n/a")</f>
        <v>n/a</v>
      </c>
      <c r="O177" s="40" t="str">
        <f>IF(N177="eligible",IF(COUNTIF('CASE DATA'!$D$4:$D$200, "")-COUNTIF('CASE DATA'!$A$4:$A$200, "")&gt;0, "YES","NO"),"N/A")</f>
        <v>N/A</v>
      </c>
      <c r="P177" s="40" t="str">
        <f>IF(N177="eligible",BANKRUPTCY!C178+BANKRUPTCY!D178,"N/A")</f>
        <v>N/A</v>
      </c>
      <c r="Q177" s="40" t="str">
        <f>IF(N177="eligible",SOL!C178+SOL!D178,"N/A")</f>
        <v>N/A</v>
      </c>
      <c r="R177" s="40" t="str">
        <f>IF(N177="eligible",SUM('CASE DATA'!K178:T178),"N/A")</f>
        <v>N/A</v>
      </c>
      <c r="S177" s="40" t="str">
        <f>IF(N177="eligible",IF(C177+2920&lt;'BASIC INFO'!$B$3, "YES", "NO"),"N/A")</f>
        <v>N/A</v>
      </c>
      <c r="T177" s="39" t="str">
        <f>IF(OR('CASE DATA'!G178="DEF"), "YES", "NO")</f>
        <v>NO</v>
      </c>
      <c r="U177" s="35" t="str">
        <f>IF(T177="YES",'CASE DATA'!I178,"N/A")</f>
        <v>N/A</v>
      </c>
      <c r="V177" s="40" t="str">
        <f>IF(T177="YES",BANKRUPTCY!C178+BANKRUPTCY!D178,"N/A")</f>
        <v>N/A</v>
      </c>
      <c r="W177" s="40" t="str">
        <f>IF(T177="YES",SUM('CASE DATA'!K178:T178),"N/A")</f>
        <v>N/A</v>
      </c>
      <c r="X177" s="35" t="str">
        <f>IF(OR('CASE DATA'!F178="123.46",'CASE DATA'!F178="123.47"),"YES","NO")</f>
        <v>NO</v>
      </c>
      <c r="Y177" s="40" t="str">
        <f>IF(X177="YES",IF(C177+730.5&lt;'BASIC INFO'!$B$3, "YES","NO"), "N/A")</f>
        <v>N/A</v>
      </c>
      <c r="Z177" s="35" t="str">
        <f>IF('CASE DATA'!F178="725.1","YES","NO")</f>
        <v>NO</v>
      </c>
      <c r="AA177" s="35" t="str">
        <f>IF(Z177="YES",IF(C177+730.5&lt;'BASIC INFO'!$B$3, "YES","NO"), "N/A")</f>
        <v>N/A</v>
      </c>
      <c r="AB177" s="35" t="str">
        <f>IF('BASIC INFO'!$B$6+6574.5&gt;C177, "YES", "NO")</f>
        <v>YES</v>
      </c>
    </row>
    <row r="178" spans="1:28" x14ac:dyDescent="0.25">
      <c r="A178" s="35" t="str">
        <f>IF('CASE DATA'!A179="","z",'CASE DATA'!A179)</f>
        <v>z</v>
      </c>
      <c r="B178" s="66" t="str">
        <f>IF('CASE DATA'!A179="","",'CASE DATA'!E179)</f>
        <v/>
      </c>
      <c r="C178" s="36">
        <f>'CASE DATA'!D179</f>
        <v>0</v>
      </c>
      <c r="D178" s="37" t="str">
        <f>IF('CASE DATA'!I179="YES",SUM('CASE DATA'!K179:Q179),"n/a")</f>
        <v>n/a</v>
      </c>
      <c r="E178" s="38" t="str">
        <f>IF('CASE DATA'!G179="JUV", "YES", "NO")</f>
        <v>NO</v>
      </c>
      <c r="F178" s="38" t="str">
        <f t="array" ref="F178">IF(E178="YES",IF(SUM(COUNTIF('CASE DATA'!$G$4:$G$200, {"GTR","GPL","DEF","JUV"}))&gt;0, "YES","NO"),"N/A")</f>
        <v>N/A</v>
      </c>
      <c r="G178" s="38" t="str">
        <f>IF(E178="YES",IF(COUNTIF('CASE DATA'!$D$4:$D$200, "")-COUNTIF('CASE DATA'!$A$4:$A$200, "")&gt;0, "YES","NO"),"N/A")</f>
        <v>N/A</v>
      </c>
      <c r="H178" s="35" t="str">
        <f>_xlfn.IFS(E178="NO", "N/A", AND('BASIC INFO'!$B$3&gt;'BASIC INFO'!$B$6+6574.5, C178+730.5&lt;'BASIC INFO'!$B$3), "YES", 'BASIC INFO'!$B$3&lt;('BASIC INFO'!$B$6+6574.5), "NOT YET 18", C178+730.5&gt;'BASIC INFO'!$B$3, "NOT YET 2 YEARS")</f>
        <v>N/A</v>
      </c>
      <c r="I178" s="39" t="str">
        <f>IF(OR(AND(LEFT('CASE DATA'!F179,4)="321.",MID('CASE DATA'!A179,8,2)="SM"),MID('CASE DATA'!A179,8,2)="ST",MID('CASE DATA'!A179,8,2)="NT"),"TRAFFIC",IF(OR('CASE DATA'!G179="DISM", 'CASE DATA'!G179="ACQ", 'CASE DATA'!G179="NOTF", 'CASE DATA'!G179="WTHD", 'CASE DATA'!G179="TNSF"), "YES", "NO"))</f>
        <v>NO</v>
      </c>
      <c r="J178" s="40" t="str">
        <f>IF(I178="YES",'CASE DATA'!U179,"N/A")</f>
        <v>N/A</v>
      </c>
      <c r="K178" s="40" t="str">
        <f>IF(I178="YES",SOL!C179+SOL!D179,"N/A")</f>
        <v>N/A</v>
      </c>
      <c r="L178" s="35" t="str">
        <f>IF(I178="YES",IF(C178+180&lt;'BASIC INFO'!$B$3, "YES", "NO"),"N/A")</f>
        <v>N/A</v>
      </c>
      <c r="M178" s="40" t="str">
        <f t="array" ref="M178">IF(I178="TRAFFIC","n/a",IF(OR('CASE DATA'!G179="GTR", 'CASE DATA'!G179="GPL"),IF(SUM(COUNTIF('CASE DATA'!X179:AI179, 'CODE SECTIONS'!$V$2:$V$218&amp;"*"))&gt;0,"NO","YES"),"n/a"))</f>
        <v>n/a</v>
      </c>
      <c r="N178" s="40" t="str">
        <f t="array" ref="N178">IF(M178="YES",IF(OR((SUM(COUNTIF('CASE DATA'!X179:AI179,'CODE SECTIONS'!$X$2:$X$19&amp;"*"))&gt;0),LEFT('CASE DATA'!X179:AI179,4)="717C", LEFT('CASE DATA'!X179:AI179, 3)="719", LEFT('CASE DATA'!X179:AI179,3)="720", LEFT('CASE DATA'!X179:AI179,3)="724", LEFT('CASE DATA'!X179:AI179,3)="726", LEFT('CASE DATA'!X179:AI179,3)="728", LEFT('CASE DATA'!X179:AI179,4)="901A"), "ineligible misd","eligible"),"n/a")</f>
        <v>n/a</v>
      </c>
      <c r="O178" s="40" t="str">
        <f>IF(N178="eligible",IF(COUNTIF('CASE DATA'!$D$4:$D$200, "")-COUNTIF('CASE DATA'!$A$4:$A$200, "")&gt;0, "YES","NO"),"N/A")</f>
        <v>N/A</v>
      </c>
      <c r="P178" s="40" t="str">
        <f>IF(N178="eligible",BANKRUPTCY!C179+BANKRUPTCY!D179,"N/A")</f>
        <v>N/A</v>
      </c>
      <c r="Q178" s="40" t="str">
        <f>IF(N178="eligible",SOL!C179+SOL!D179,"N/A")</f>
        <v>N/A</v>
      </c>
      <c r="R178" s="40" t="str">
        <f>IF(N178="eligible",SUM('CASE DATA'!K179:T179),"N/A")</f>
        <v>N/A</v>
      </c>
      <c r="S178" s="40" t="str">
        <f>IF(N178="eligible",IF(C178+2920&lt;'BASIC INFO'!$B$3, "YES", "NO"),"N/A")</f>
        <v>N/A</v>
      </c>
      <c r="T178" s="39" t="str">
        <f>IF(OR('CASE DATA'!G179="DEF"), "YES", "NO")</f>
        <v>NO</v>
      </c>
      <c r="U178" s="35" t="str">
        <f>IF(T178="YES",'CASE DATA'!I179,"N/A")</f>
        <v>N/A</v>
      </c>
      <c r="V178" s="40" t="str">
        <f>IF(T178="YES",BANKRUPTCY!C179+BANKRUPTCY!D179,"N/A")</f>
        <v>N/A</v>
      </c>
      <c r="W178" s="40" t="str">
        <f>IF(T178="YES",SUM('CASE DATA'!K179:T179),"N/A")</f>
        <v>N/A</v>
      </c>
      <c r="X178" s="35" t="str">
        <f>IF(OR('CASE DATA'!F179="123.46",'CASE DATA'!F179="123.47"),"YES","NO")</f>
        <v>NO</v>
      </c>
      <c r="Y178" s="40" t="str">
        <f>IF(X178="YES",IF(C178+730.5&lt;'BASIC INFO'!$B$3, "YES","NO"), "N/A")</f>
        <v>N/A</v>
      </c>
      <c r="Z178" s="35" t="str">
        <f>IF('CASE DATA'!F179="725.1","YES","NO")</f>
        <v>NO</v>
      </c>
      <c r="AA178" s="35" t="str">
        <f>IF(Z178="YES",IF(C178+730.5&lt;'BASIC INFO'!$B$3, "YES","NO"), "N/A")</f>
        <v>N/A</v>
      </c>
      <c r="AB178" s="35" t="str">
        <f>IF('BASIC INFO'!$B$6+6574.5&gt;C178, "YES", "NO")</f>
        <v>YES</v>
      </c>
    </row>
    <row r="179" spans="1:28" x14ac:dyDescent="0.25">
      <c r="A179" s="35" t="str">
        <f>IF('CASE DATA'!A180="","z",'CASE DATA'!A180)</f>
        <v>z</v>
      </c>
      <c r="B179" s="66" t="str">
        <f>IF('CASE DATA'!A180="","",'CASE DATA'!E180)</f>
        <v/>
      </c>
      <c r="C179" s="36">
        <f>'CASE DATA'!D180</f>
        <v>0</v>
      </c>
      <c r="D179" s="37" t="str">
        <f>IF('CASE DATA'!I180="YES",SUM('CASE DATA'!K180:Q180),"n/a")</f>
        <v>n/a</v>
      </c>
      <c r="E179" s="38" t="str">
        <f>IF('CASE DATA'!G180="JUV", "YES", "NO")</f>
        <v>NO</v>
      </c>
      <c r="F179" s="38" t="str">
        <f t="array" ref="F179">IF(E179="YES",IF(SUM(COUNTIF('CASE DATA'!$G$4:$G$200, {"GTR","GPL","DEF","JUV"}))&gt;0, "YES","NO"),"N/A")</f>
        <v>N/A</v>
      </c>
      <c r="G179" s="38" t="str">
        <f>IF(E179="YES",IF(COUNTIF('CASE DATA'!$D$4:$D$200, "")-COUNTIF('CASE DATA'!$A$4:$A$200, "")&gt;0, "YES","NO"),"N/A")</f>
        <v>N/A</v>
      </c>
      <c r="H179" s="35" t="str">
        <f>_xlfn.IFS(E179="NO", "N/A", AND('BASIC INFO'!$B$3&gt;'BASIC INFO'!$B$6+6574.5, C179+730.5&lt;'BASIC INFO'!$B$3), "YES", 'BASIC INFO'!$B$3&lt;('BASIC INFO'!$B$6+6574.5), "NOT YET 18", C179+730.5&gt;'BASIC INFO'!$B$3, "NOT YET 2 YEARS")</f>
        <v>N/A</v>
      </c>
      <c r="I179" s="39" t="str">
        <f>IF(OR(AND(LEFT('CASE DATA'!F180,4)="321.",MID('CASE DATA'!A180,8,2)="SM"),MID('CASE DATA'!A180,8,2)="ST",MID('CASE DATA'!A180,8,2)="NT"),"TRAFFIC",IF(OR('CASE DATA'!G180="DISM", 'CASE DATA'!G180="ACQ", 'CASE DATA'!G180="NOTF", 'CASE DATA'!G180="WTHD", 'CASE DATA'!G180="TNSF"), "YES", "NO"))</f>
        <v>NO</v>
      </c>
      <c r="J179" s="40" t="str">
        <f>IF(I179="YES",'CASE DATA'!U180,"N/A")</f>
        <v>N/A</v>
      </c>
      <c r="K179" s="40" t="str">
        <f>IF(I179="YES",SOL!C180+SOL!D180,"N/A")</f>
        <v>N/A</v>
      </c>
      <c r="L179" s="35" t="str">
        <f>IF(I179="YES",IF(C179+180&lt;'BASIC INFO'!$B$3, "YES", "NO"),"N/A")</f>
        <v>N/A</v>
      </c>
      <c r="M179" s="40" t="str">
        <f t="array" ref="M179">IF(I179="TRAFFIC","n/a",IF(OR('CASE DATA'!G180="GTR", 'CASE DATA'!G180="GPL"),IF(SUM(COUNTIF('CASE DATA'!X180:AI180, 'CODE SECTIONS'!$V$2:$V$218&amp;"*"))&gt;0,"NO","YES"),"n/a"))</f>
        <v>n/a</v>
      </c>
      <c r="N179" s="40" t="str">
        <f t="array" ref="N179">IF(M179="YES",IF(OR((SUM(COUNTIF('CASE DATA'!X180:AI180,'CODE SECTIONS'!$X$2:$X$19&amp;"*"))&gt;0),LEFT('CASE DATA'!X180:AI180,4)="717C", LEFT('CASE DATA'!X180:AI180, 3)="719", LEFT('CASE DATA'!X180:AI180,3)="720", LEFT('CASE DATA'!X180:AI180,3)="724", LEFT('CASE DATA'!X180:AI180,3)="726", LEFT('CASE DATA'!X180:AI180,3)="728", LEFT('CASE DATA'!X180:AI180,4)="901A"), "ineligible misd","eligible"),"n/a")</f>
        <v>n/a</v>
      </c>
      <c r="O179" s="40" t="str">
        <f>IF(N179="eligible",IF(COUNTIF('CASE DATA'!$D$4:$D$200, "")-COUNTIF('CASE DATA'!$A$4:$A$200, "")&gt;0, "YES","NO"),"N/A")</f>
        <v>N/A</v>
      </c>
      <c r="P179" s="40" t="str">
        <f>IF(N179="eligible",BANKRUPTCY!C180+BANKRUPTCY!D180,"N/A")</f>
        <v>N/A</v>
      </c>
      <c r="Q179" s="40" t="str">
        <f>IF(N179="eligible",SOL!C180+SOL!D180,"N/A")</f>
        <v>N/A</v>
      </c>
      <c r="R179" s="40" t="str">
        <f>IF(N179="eligible",SUM('CASE DATA'!K180:T180),"N/A")</f>
        <v>N/A</v>
      </c>
      <c r="S179" s="40" t="str">
        <f>IF(N179="eligible",IF(C179+2920&lt;'BASIC INFO'!$B$3, "YES", "NO"),"N/A")</f>
        <v>N/A</v>
      </c>
      <c r="T179" s="39" t="str">
        <f>IF(OR('CASE DATA'!G180="DEF"), "YES", "NO")</f>
        <v>NO</v>
      </c>
      <c r="U179" s="35" t="str">
        <f>IF(T179="YES",'CASE DATA'!I180,"N/A")</f>
        <v>N/A</v>
      </c>
      <c r="V179" s="40" t="str">
        <f>IF(T179="YES",BANKRUPTCY!C180+BANKRUPTCY!D180,"N/A")</f>
        <v>N/A</v>
      </c>
      <c r="W179" s="40" t="str">
        <f>IF(T179="YES",SUM('CASE DATA'!K180:T180),"N/A")</f>
        <v>N/A</v>
      </c>
      <c r="X179" s="35" t="str">
        <f>IF(OR('CASE DATA'!F180="123.46",'CASE DATA'!F180="123.47"),"YES","NO")</f>
        <v>NO</v>
      </c>
      <c r="Y179" s="40" t="str">
        <f>IF(X179="YES",IF(C179+730.5&lt;'BASIC INFO'!$B$3, "YES","NO"), "N/A")</f>
        <v>N/A</v>
      </c>
      <c r="Z179" s="35" t="str">
        <f>IF('CASE DATA'!F180="725.1","YES","NO")</f>
        <v>NO</v>
      </c>
      <c r="AA179" s="35" t="str">
        <f>IF(Z179="YES",IF(C179+730.5&lt;'BASIC INFO'!$B$3, "YES","NO"), "N/A")</f>
        <v>N/A</v>
      </c>
      <c r="AB179" s="35" t="str">
        <f>IF('BASIC INFO'!$B$6+6574.5&gt;C179, "YES", "NO")</f>
        <v>YES</v>
      </c>
    </row>
    <row r="180" spans="1:28" x14ac:dyDescent="0.25">
      <c r="A180" s="35" t="str">
        <f>IF('CASE DATA'!A181="","z",'CASE DATA'!A181)</f>
        <v>z</v>
      </c>
      <c r="B180" s="66" t="str">
        <f>IF('CASE DATA'!A181="","",'CASE DATA'!E181)</f>
        <v/>
      </c>
      <c r="C180" s="36">
        <f>'CASE DATA'!D181</f>
        <v>0</v>
      </c>
      <c r="D180" s="37" t="str">
        <f>IF('CASE DATA'!I181="YES",SUM('CASE DATA'!K181:Q181),"n/a")</f>
        <v>n/a</v>
      </c>
      <c r="E180" s="38" t="str">
        <f>IF('CASE DATA'!G181="JUV", "YES", "NO")</f>
        <v>NO</v>
      </c>
      <c r="F180" s="38" t="str">
        <f t="array" ref="F180">IF(E180="YES",IF(SUM(COUNTIF('CASE DATA'!$G$4:$G$200, {"GTR","GPL","DEF","JUV"}))&gt;0, "YES","NO"),"N/A")</f>
        <v>N/A</v>
      </c>
      <c r="G180" s="38" t="str">
        <f>IF(E180="YES",IF(COUNTIF('CASE DATA'!$D$4:$D$200, "")-COUNTIF('CASE DATA'!$A$4:$A$200, "")&gt;0, "YES","NO"),"N/A")</f>
        <v>N/A</v>
      </c>
      <c r="H180" s="35" t="str">
        <f>_xlfn.IFS(E180="NO", "N/A", AND('BASIC INFO'!$B$3&gt;'BASIC INFO'!$B$6+6574.5, C180+730.5&lt;'BASIC INFO'!$B$3), "YES", 'BASIC INFO'!$B$3&lt;('BASIC INFO'!$B$6+6574.5), "NOT YET 18", C180+730.5&gt;'BASIC INFO'!$B$3, "NOT YET 2 YEARS")</f>
        <v>N/A</v>
      </c>
      <c r="I180" s="39" t="str">
        <f>IF(OR(AND(LEFT('CASE DATA'!F181,4)="321.",MID('CASE DATA'!A181,8,2)="SM"),MID('CASE DATA'!A181,8,2)="ST",MID('CASE DATA'!A181,8,2)="NT"),"TRAFFIC",IF(OR('CASE DATA'!G181="DISM", 'CASE DATA'!G181="ACQ", 'CASE DATA'!G181="NOTF", 'CASE DATA'!G181="WTHD", 'CASE DATA'!G181="TNSF"), "YES", "NO"))</f>
        <v>NO</v>
      </c>
      <c r="J180" s="40" t="str">
        <f>IF(I180="YES",'CASE DATA'!U181,"N/A")</f>
        <v>N/A</v>
      </c>
      <c r="K180" s="40" t="str">
        <f>IF(I180="YES",SOL!C181+SOL!D181,"N/A")</f>
        <v>N/A</v>
      </c>
      <c r="L180" s="35" t="str">
        <f>IF(I180="YES",IF(C180+180&lt;'BASIC INFO'!$B$3, "YES", "NO"),"N/A")</f>
        <v>N/A</v>
      </c>
      <c r="M180" s="40" t="str">
        <f t="array" ref="M180">IF(I180="TRAFFIC","n/a",IF(OR('CASE DATA'!G181="GTR", 'CASE DATA'!G181="GPL"),IF(SUM(COUNTIF('CASE DATA'!X181:AI181, 'CODE SECTIONS'!$V$2:$V$218&amp;"*"))&gt;0,"NO","YES"),"n/a"))</f>
        <v>n/a</v>
      </c>
      <c r="N180" s="40" t="str">
        <f t="array" ref="N180">IF(M180="YES",IF(OR((SUM(COUNTIF('CASE DATA'!X181:AI181,'CODE SECTIONS'!$X$2:$X$19&amp;"*"))&gt;0),LEFT('CASE DATA'!X181:AI181,4)="717C", LEFT('CASE DATA'!X181:AI181, 3)="719", LEFT('CASE DATA'!X181:AI181,3)="720", LEFT('CASE DATA'!X181:AI181,3)="724", LEFT('CASE DATA'!X181:AI181,3)="726", LEFT('CASE DATA'!X181:AI181,3)="728", LEFT('CASE DATA'!X181:AI181,4)="901A"), "ineligible misd","eligible"),"n/a")</f>
        <v>n/a</v>
      </c>
      <c r="O180" s="40" t="str">
        <f>IF(N180="eligible",IF(COUNTIF('CASE DATA'!$D$4:$D$200, "")-COUNTIF('CASE DATA'!$A$4:$A$200, "")&gt;0, "YES","NO"),"N/A")</f>
        <v>N/A</v>
      </c>
      <c r="P180" s="40" t="str">
        <f>IF(N180="eligible",BANKRUPTCY!C181+BANKRUPTCY!D181,"N/A")</f>
        <v>N/A</v>
      </c>
      <c r="Q180" s="40" t="str">
        <f>IF(N180="eligible",SOL!C181+SOL!D181,"N/A")</f>
        <v>N/A</v>
      </c>
      <c r="R180" s="40" t="str">
        <f>IF(N180="eligible",SUM('CASE DATA'!K181:T181),"N/A")</f>
        <v>N/A</v>
      </c>
      <c r="S180" s="40" t="str">
        <f>IF(N180="eligible",IF(C180+2920&lt;'BASIC INFO'!$B$3, "YES", "NO"),"N/A")</f>
        <v>N/A</v>
      </c>
      <c r="T180" s="39" t="str">
        <f>IF(OR('CASE DATA'!G181="DEF"), "YES", "NO")</f>
        <v>NO</v>
      </c>
      <c r="U180" s="35" t="str">
        <f>IF(T180="YES",'CASE DATA'!I181,"N/A")</f>
        <v>N/A</v>
      </c>
      <c r="V180" s="40" t="str">
        <f>IF(T180="YES",BANKRUPTCY!C181+BANKRUPTCY!D181,"N/A")</f>
        <v>N/A</v>
      </c>
      <c r="W180" s="40" t="str">
        <f>IF(T180="YES",SUM('CASE DATA'!K181:T181),"N/A")</f>
        <v>N/A</v>
      </c>
      <c r="X180" s="35" t="str">
        <f>IF(OR('CASE DATA'!F181="123.46",'CASE DATA'!F181="123.47"),"YES","NO")</f>
        <v>NO</v>
      </c>
      <c r="Y180" s="40" t="str">
        <f>IF(X180="YES",IF(C180+730.5&lt;'BASIC INFO'!$B$3, "YES","NO"), "N/A")</f>
        <v>N/A</v>
      </c>
      <c r="Z180" s="35" t="str">
        <f>IF('CASE DATA'!F181="725.1","YES","NO")</f>
        <v>NO</v>
      </c>
      <c r="AA180" s="35" t="str">
        <f>IF(Z180="YES",IF(C180+730.5&lt;'BASIC INFO'!$B$3, "YES","NO"), "N/A")</f>
        <v>N/A</v>
      </c>
      <c r="AB180" s="35" t="str">
        <f>IF('BASIC INFO'!$B$6+6574.5&gt;C180, "YES", "NO")</f>
        <v>YES</v>
      </c>
    </row>
    <row r="181" spans="1:28" x14ac:dyDescent="0.25">
      <c r="A181" s="35" t="str">
        <f>IF('CASE DATA'!A182="","z",'CASE DATA'!A182)</f>
        <v>z</v>
      </c>
      <c r="B181" s="66" t="str">
        <f>IF('CASE DATA'!A182="","",'CASE DATA'!E182)</f>
        <v/>
      </c>
      <c r="C181" s="36">
        <f>'CASE DATA'!D182</f>
        <v>0</v>
      </c>
      <c r="D181" s="37" t="str">
        <f>IF('CASE DATA'!I182="YES",SUM('CASE DATA'!K182:Q182),"n/a")</f>
        <v>n/a</v>
      </c>
      <c r="E181" s="38" t="str">
        <f>IF('CASE DATA'!G182="JUV", "YES", "NO")</f>
        <v>NO</v>
      </c>
      <c r="F181" s="38" t="str">
        <f t="array" ref="F181">IF(E181="YES",IF(SUM(COUNTIF('CASE DATA'!$G$4:$G$200, {"GTR","GPL","DEF","JUV"}))&gt;0, "YES","NO"),"N/A")</f>
        <v>N/A</v>
      </c>
      <c r="G181" s="38" t="str">
        <f>IF(E181="YES",IF(COUNTIF('CASE DATA'!$D$4:$D$200, "")-COUNTIF('CASE DATA'!$A$4:$A$200, "")&gt;0, "YES","NO"),"N/A")</f>
        <v>N/A</v>
      </c>
      <c r="H181" s="35" t="str">
        <f>_xlfn.IFS(E181="NO", "N/A", AND('BASIC INFO'!$B$3&gt;'BASIC INFO'!$B$6+6574.5, C181+730.5&lt;'BASIC INFO'!$B$3), "YES", 'BASIC INFO'!$B$3&lt;('BASIC INFO'!$B$6+6574.5), "NOT YET 18", C181+730.5&gt;'BASIC INFO'!$B$3, "NOT YET 2 YEARS")</f>
        <v>N/A</v>
      </c>
      <c r="I181" s="39" t="str">
        <f>IF(OR(AND(LEFT('CASE DATA'!F182,4)="321.",MID('CASE DATA'!A182,8,2)="SM"),MID('CASE DATA'!A182,8,2)="ST",MID('CASE DATA'!A182,8,2)="NT"),"TRAFFIC",IF(OR('CASE DATA'!G182="DISM", 'CASE DATA'!G182="ACQ", 'CASE DATA'!G182="NOTF", 'CASE DATA'!G182="WTHD", 'CASE DATA'!G182="TNSF"), "YES", "NO"))</f>
        <v>NO</v>
      </c>
      <c r="J181" s="40" t="str">
        <f>IF(I181="YES",'CASE DATA'!U182,"N/A")</f>
        <v>N/A</v>
      </c>
      <c r="K181" s="40" t="str">
        <f>IF(I181="YES",SOL!C182+SOL!D182,"N/A")</f>
        <v>N/A</v>
      </c>
      <c r="L181" s="35" t="str">
        <f>IF(I181="YES",IF(C181+180&lt;'BASIC INFO'!$B$3, "YES", "NO"),"N/A")</f>
        <v>N/A</v>
      </c>
      <c r="M181" s="40" t="str">
        <f t="array" ref="M181">IF(I181="TRAFFIC","n/a",IF(OR('CASE DATA'!G182="GTR", 'CASE DATA'!G182="GPL"),IF(SUM(COUNTIF('CASE DATA'!X182:AI182, 'CODE SECTIONS'!$V$2:$V$218&amp;"*"))&gt;0,"NO","YES"),"n/a"))</f>
        <v>n/a</v>
      </c>
      <c r="N181" s="40" t="str">
        <f t="array" ref="N181">IF(M181="YES",IF(OR((SUM(COUNTIF('CASE DATA'!X182:AI182,'CODE SECTIONS'!$X$2:$X$19&amp;"*"))&gt;0),LEFT('CASE DATA'!X182:AI182,4)="717C", LEFT('CASE DATA'!X182:AI182, 3)="719", LEFT('CASE DATA'!X182:AI182,3)="720", LEFT('CASE DATA'!X182:AI182,3)="724", LEFT('CASE DATA'!X182:AI182,3)="726", LEFT('CASE DATA'!X182:AI182,3)="728", LEFT('CASE DATA'!X182:AI182,4)="901A"), "ineligible misd","eligible"),"n/a")</f>
        <v>n/a</v>
      </c>
      <c r="O181" s="40" t="str">
        <f>IF(N181="eligible",IF(COUNTIF('CASE DATA'!$D$4:$D$200, "")-COUNTIF('CASE DATA'!$A$4:$A$200, "")&gt;0, "YES","NO"),"N/A")</f>
        <v>N/A</v>
      </c>
      <c r="P181" s="40" t="str">
        <f>IF(N181="eligible",BANKRUPTCY!C182+BANKRUPTCY!D182,"N/A")</f>
        <v>N/A</v>
      </c>
      <c r="Q181" s="40" t="str">
        <f>IF(N181="eligible",SOL!C182+SOL!D182,"N/A")</f>
        <v>N/A</v>
      </c>
      <c r="R181" s="40" t="str">
        <f>IF(N181="eligible",SUM('CASE DATA'!K182:T182),"N/A")</f>
        <v>N/A</v>
      </c>
      <c r="S181" s="40" t="str">
        <f>IF(N181="eligible",IF(C181+2920&lt;'BASIC INFO'!$B$3, "YES", "NO"),"N/A")</f>
        <v>N/A</v>
      </c>
      <c r="T181" s="39" t="str">
        <f>IF(OR('CASE DATA'!G182="DEF"), "YES", "NO")</f>
        <v>NO</v>
      </c>
      <c r="U181" s="35" t="str">
        <f>IF(T181="YES",'CASE DATA'!I182,"N/A")</f>
        <v>N/A</v>
      </c>
      <c r="V181" s="40" t="str">
        <f>IF(T181="YES",BANKRUPTCY!C182+BANKRUPTCY!D182,"N/A")</f>
        <v>N/A</v>
      </c>
      <c r="W181" s="40" t="str">
        <f>IF(T181="YES",SUM('CASE DATA'!K182:T182),"N/A")</f>
        <v>N/A</v>
      </c>
      <c r="X181" s="35" t="str">
        <f>IF(OR('CASE DATA'!F182="123.46",'CASE DATA'!F182="123.47"),"YES","NO")</f>
        <v>NO</v>
      </c>
      <c r="Y181" s="40" t="str">
        <f>IF(X181="YES",IF(C181+730.5&lt;'BASIC INFO'!$B$3, "YES","NO"), "N/A")</f>
        <v>N/A</v>
      </c>
      <c r="Z181" s="35" t="str">
        <f>IF('CASE DATA'!F182="725.1","YES","NO")</f>
        <v>NO</v>
      </c>
      <c r="AA181" s="35" t="str">
        <f>IF(Z181="YES",IF(C181+730.5&lt;'BASIC INFO'!$B$3, "YES","NO"), "N/A")</f>
        <v>N/A</v>
      </c>
      <c r="AB181" s="35" t="str">
        <f>IF('BASIC INFO'!$B$6+6574.5&gt;C181, "YES", "NO")</f>
        <v>YES</v>
      </c>
    </row>
    <row r="182" spans="1:28" x14ac:dyDescent="0.25">
      <c r="A182" s="35" t="str">
        <f>IF('CASE DATA'!A183="","z",'CASE DATA'!A183)</f>
        <v>z</v>
      </c>
      <c r="B182" s="66" t="str">
        <f>IF('CASE DATA'!A183="","",'CASE DATA'!E183)</f>
        <v/>
      </c>
      <c r="C182" s="36">
        <f>'CASE DATA'!D183</f>
        <v>0</v>
      </c>
      <c r="D182" s="37" t="str">
        <f>IF('CASE DATA'!I183="YES",SUM('CASE DATA'!K183:Q183),"n/a")</f>
        <v>n/a</v>
      </c>
      <c r="E182" s="38" t="str">
        <f>IF('CASE DATA'!G183="JUV", "YES", "NO")</f>
        <v>NO</v>
      </c>
      <c r="F182" s="38" t="str">
        <f t="array" ref="F182">IF(E182="YES",IF(SUM(COUNTIF('CASE DATA'!$G$4:$G$200, {"GTR","GPL","DEF","JUV"}))&gt;0, "YES","NO"),"N/A")</f>
        <v>N/A</v>
      </c>
      <c r="G182" s="38" t="str">
        <f>IF(E182="YES",IF(COUNTIF('CASE DATA'!$D$4:$D$200, "")-COUNTIF('CASE DATA'!$A$4:$A$200, "")&gt;0, "YES","NO"),"N/A")</f>
        <v>N/A</v>
      </c>
      <c r="H182" s="35" t="str">
        <f>_xlfn.IFS(E182="NO", "N/A", AND('BASIC INFO'!$B$3&gt;'BASIC INFO'!$B$6+6574.5, C182+730.5&lt;'BASIC INFO'!$B$3), "YES", 'BASIC INFO'!$B$3&lt;('BASIC INFO'!$B$6+6574.5), "NOT YET 18", C182+730.5&gt;'BASIC INFO'!$B$3, "NOT YET 2 YEARS")</f>
        <v>N/A</v>
      </c>
      <c r="I182" s="39" t="str">
        <f>IF(OR(AND(LEFT('CASE DATA'!F183,4)="321.",MID('CASE DATA'!A183,8,2)="SM"),MID('CASE DATA'!A183,8,2)="ST",MID('CASE DATA'!A183,8,2)="NT"),"TRAFFIC",IF(OR('CASE DATA'!G183="DISM", 'CASE DATA'!G183="ACQ", 'CASE DATA'!G183="NOTF", 'CASE DATA'!G183="WTHD", 'CASE DATA'!G183="TNSF"), "YES", "NO"))</f>
        <v>NO</v>
      </c>
      <c r="J182" s="40" t="str">
        <f>IF(I182="YES",'CASE DATA'!U183,"N/A")</f>
        <v>N/A</v>
      </c>
      <c r="K182" s="40" t="str">
        <f>IF(I182="YES",SOL!C183+SOL!D183,"N/A")</f>
        <v>N/A</v>
      </c>
      <c r="L182" s="35" t="str">
        <f>IF(I182="YES",IF(C182+180&lt;'BASIC INFO'!$B$3, "YES", "NO"),"N/A")</f>
        <v>N/A</v>
      </c>
      <c r="M182" s="40" t="str">
        <f t="array" ref="M182">IF(I182="TRAFFIC","n/a",IF(OR('CASE DATA'!G183="GTR", 'CASE DATA'!G183="GPL"),IF(SUM(COUNTIF('CASE DATA'!X183:AI183, 'CODE SECTIONS'!$V$2:$V$218&amp;"*"))&gt;0,"NO","YES"),"n/a"))</f>
        <v>n/a</v>
      </c>
      <c r="N182" s="40" t="str">
        <f t="array" ref="N182">IF(M182="YES",IF(OR((SUM(COUNTIF('CASE DATA'!X183:AI183,'CODE SECTIONS'!$X$2:$X$19&amp;"*"))&gt;0),LEFT('CASE DATA'!X183:AI183,4)="717C", LEFT('CASE DATA'!X183:AI183, 3)="719", LEFT('CASE DATA'!X183:AI183,3)="720", LEFT('CASE DATA'!X183:AI183,3)="724", LEFT('CASE DATA'!X183:AI183,3)="726", LEFT('CASE DATA'!X183:AI183,3)="728", LEFT('CASE DATA'!X183:AI183,4)="901A"), "ineligible misd","eligible"),"n/a")</f>
        <v>n/a</v>
      </c>
      <c r="O182" s="40" t="str">
        <f>IF(N182="eligible",IF(COUNTIF('CASE DATA'!$D$4:$D$200, "")-COUNTIF('CASE DATA'!$A$4:$A$200, "")&gt;0, "YES","NO"),"N/A")</f>
        <v>N/A</v>
      </c>
      <c r="P182" s="40" t="str">
        <f>IF(N182="eligible",BANKRUPTCY!C183+BANKRUPTCY!D183,"N/A")</f>
        <v>N/A</v>
      </c>
      <c r="Q182" s="40" t="str">
        <f>IF(N182="eligible",SOL!C183+SOL!D183,"N/A")</f>
        <v>N/A</v>
      </c>
      <c r="R182" s="40" t="str">
        <f>IF(N182="eligible",SUM('CASE DATA'!K183:T183),"N/A")</f>
        <v>N/A</v>
      </c>
      <c r="S182" s="40" t="str">
        <f>IF(N182="eligible",IF(C182+2920&lt;'BASIC INFO'!$B$3, "YES", "NO"),"N/A")</f>
        <v>N/A</v>
      </c>
      <c r="T182" s="39" t="str">
        <f>IF(OR('CASE DATA'!G183="DEF"), "YES", "NO")</f>
        <v>NO</v>
      </c>
      <c r="U182" s="35" t="str">
        <f>IF(T182="YES",'CASE DATA'!I183,"N/A")</f>
        <v>N/A</v>
      </c>
      <c r="V182" s="40" t="str">
        <f>IF(T182="YES",BANKRUPTCY!C183+BANKRUPTCY!D183,"N/A")</f>
        <v>N/A</v>
      </c>
      <c r="W182" s="40" t="str">
        <f>IF(T182="YES",SUM('CASE DATA'!K183:T183),"N/A")</f>
        <v>N/A</v>
      </c>
      <c r="X182" s="35" t="str">
        <f>IF(OR('CASE DATA'!F183="123.46",'CASE DATA'!F183="123.47"),"YES","NO")</f>
        <v>NO</v>
      </c>
      <c r="Y182" s="40" t="str">
        <f>IF(X182="YES",IF(C182+730.5&lt;'BASIC INFO'!$B$3, "YES","NO"), "N/A")</f>
        <v>N/A</v>
      </c>
      <c r="Z182" s="35" t="str">
        <f>IF('CASE DATA'!F183="725.1","YES","NO")</f>
        <v>NO</v>
      </c>
      <c r="AA182" s="35" t="str">
        <f>IF(Z182="YES",IF(C182+730.5&lt;'BASIC INFO'!$B$3, "YES","NO"), "N/A")</f>
        <v>N/A</v>
      </c>
      <c r="AB182" s="35" t="str">
        <f>IF('BASIC INFO'!$B$6+6574.5&gt;C182, "YES", "NO")</f>
        <v>YES</v>
      </c>
    </row>
    <row r="183" spans="1:28" x14ac:dyDescent="0.25">
      <c r="A183" s="35" t="str">
        <f>IF('CASE DATA'!A184="","z",'CASE DATA'!A184)</f>
        <v>z</v>
      </c>
      <c r="B183" s="66" t="str">
        <f>IF('CASE DATA'!A184="","",'CASE DATA'!E184)</f>
        <v/>
      </c>
      <c r="C183" s="36">
        <f>'CASE DATA'!D184</f>
        <v>0</v>
      </c>
      <c r="D183" s="37" t="str">
        <f>IF('CASE DATA'!I184="YES",SUM('CASE DATA'!K184:Q184),"n/a")</f>
        <v>n/a</v>
      </c>
      <c r="E183" s="38" t="str">
        <f>IF('CASE DATA'!G184="JUV", "YES", "NO")</f>
        <v>NO</v>
      </c>
      <c r="F183" s="38" t="str">
        <f t="array" ref="F183">IF(E183="YES",IF(SUM(COUNTIF('CASE DATA'!$G$4:$G$200, {"GTR","GPL","DEF","JUV"}))&gt;0, "YES","NO"),"N/A")</f>
        <v>N/A</v>
      </c>
      <c r="G183" s="38" t="str">
        <f>IF(E183="YES",IF(COUNTIF('CASE DATA'!$D$4:$D$200, "")-COUNTIF('CASE DATA'!$A$4:$A$200, "")&gt;0, "YES","NO"),"N/A")</f>
        <v>N/A</v>
      </c>
      <c r="H183" s="35" t="str">
        <f>_xlfn.IFS(E183="NO", "N/A", AND('BASIC INFO'!$B$3&gt;'BASIC INFO'!$B$6+6574.5, C183+730.5&lt;'BASIC INFO'!$B$3), "YES", 'BASIC INFO'!$B$3&lt;('BASIC INFO'!$B$6+6574.5), "NOT YET 18", C183+730.5&gt;'BASIC INFO'!$B$3, "NOT YET 2 YEARS")</f>
        <v>N/A</v>
      </c>
      <c r="I183" s="39" t="str">
        <f>IF(OR(AND(LEFT('CASE DATA'!F184,4)="321.",MID('CASE DATA'!A184,8,2)="SM"),MID('CASE DATA'!A184,8,2)="ST",MID('CASE DATA'!A184,8,2)="NT"),"TRAFFIC",IF(OR('CASE DATA'!G184="DISM", 'CASE DATA'!G184="ACQ", 'CASE DATA'!G184="NOTF", 'CASE DATA'!G184="WTHD", 'CASE DATA'!G184="TNSF"), "YES", "NO"))</f>
        <v>NO</v>
      </c>
      <c r="J183" s="40" t="str">
        <f>IF(I183="YES",'CASE DATA'!U184,"N/A")</f>
        <v>N/A</v>
      </c>
      <c r="K183" s="40" t="str">
        <f>IF(I183="YES",SOL!C184+SOL!D184,"N/A")</f>
        <v>N/A</v>
      </c>
      <c r="L183" s="35" t="str">
        <f>IF(I183="YES",IF(C183+180&lt;'BASIC INFO'!$B$3, "YES", "NO"),"N/A")</f>
        <v>N/A</v>
      </c>
      <c r="M183" s="40" t="str">
        <f t="array" ref="M183">IF(I183="TRAFFIC","n/a",IF(OR('CASE DATA'!G184="GTR", 'CASE DATA'!G184="GPL"),IF(SUM(COUNTIF('CASE DATA'!X184:AI184, 'CODE SECTIONS'!$V$2:$V$218&amp;"*"))&gt;0,"NO","YES"),"n/a"))</f>
        <v>n/a</v>
      </c>
      <c r="N183" s="40" t="str">
        <f t="array" ref="N183">IF(M183="YES",IF(OR((SUM(COUNTIF('CASE DATA'!X184:AI184,'CODE SECTIONS'!$X$2:$X$19&amp;"*"))&gt;0),LEFT('CASE DATA'!X184:AI184,4)="717C", LEFT('CASE DATA'!X184:AI184, 3)="719", LEFT('CASE DATA'!X184:AI184,3)="720", LEFT('CASE DATA'!X184:AI184,3)="724", LEFT('CASE DATA'!X184:AI184,3)="726", LEFT('CASE DATA'!X184:AI184,3)="728", LEFT('CASE DATA'!X184:AI184,4)="901A"), "ineligible misd","eligible"),"n/a")</f>
        <v>n/a</v>
      </c>
      <c r="O183" s="40" t="str">
        <f>IF(N183="eligible",IF(COUNTIF('CASE DATA'!$D$4:$D$200, "")-COUNTIF('CASE DATA'!$A$4:$A$200, "")&gt;0, "YES","NO"),"N/A")</f>
        <v>N/A</v>
      </c>
      <c r="P183" s="40" t="str">
        <f>IF(N183="eligible",BANKRUPTCY!C184+BANKRUPTCY!D184,"N/A")</f>
        <v>N/A</v>
      </c>
      <c r="Q183" s="40" t="str">
        <f>IF(N183="eligible",SOL!C184+SOL!D184,"N/A")</f>
        <v>N/A</v>
      </c>
      <c r="R183" s="40" t="str">
        <f>IF(N183="eligible",SUM('CASE DATA'!K184:T184),"N/A")</f>
        <v>N/A</v>
      </c>
      <c r="S183" s="40" t="str">
        <f>IF(N183="eligible",IF(C183+2920&lt;'BASIC INFO'!$B$3, "YES", "NO"),"N/A")</f>
        <v>N/A</v>
      </c>
      <c r="T183" s="39" t="str">
        <f>IF(OR('CASE DATA'!G184="DEF"), "YES", "NO")</f>
        <v>NO</v>
      </c>
      <c r="U183" s="35" t="str">
        <f>IF(T183="YES",'CASE DATA'!I184,"N/A")</f>
        <v>N/A</v>
      </c>
      <c r="V183" s="40" t="str">
        <f>IF(T183="YES",BANKRUPTCY!C184+BANKRUPTCY!D184,"N/A")</f>
        <v>N/A</v>
      </c>
      <c r="W183" s="40" t="str">
        <f>IF(T183="YES",SUM('CASE DATA'!K184:T184),"N/A")</f>
        <v>N/A</v>
      </c>
      <c r="X183" s="35" t="str">
        <f>IF(OR('CASE DATA'!F184="123.46",'CASE DATA'!F184="123.47"),"YES","NO")</f>
        <v>NO</v>
      </c>
      <c r="Y183" s="40" t="str">
        <f>IF(X183="YES",IF(C183+730.5&lt;'BASIC INFO'!$B$3, "YES","NO"), "N/A")</f>
        <v>N/A</v>
      </c>
      <c r="Z183" s="35" t="str">
        <f>IF('CASE DATA'!F184="725.1","YES","NO")</f>
        <v>NO</v>
      </c>
      <c r="AA183" s="35" t="str">
        <f>IF(Z183="YES",IF(C183+730.5&lt;'BASIC INFO'!$B$3, "YES","NO"), "N/A")</f>
        <v>N/A</v>
      </c>
      <c r="AB183" s="35" t="str">
        <f>IF('BASIC INFO'!$B$6+6574.5&gt;C183, "YES", "NO")</f>
        <v>YES</v>
      </c>
    </row>
    <row r="184" spans="1:28" x14ac:dyDescent="0.25">
      <c r="A184" s="35" t="str">
        <f>IF('CASE DATA'!A185="","z",'CASE DATA'!A185)</f>
        <v>z</v>
      </c>
      <c r="B184" s="66" t="str">
        <f>IF('CASE DATA'!A185="","",'CASE DATA'!E185)</f>
        <v/>
      </c>
      <c r="C184" s="36">
        <f>'CASE DATA'!D185</f>
        <v>0</v>
      </c>
      <c r="D184" s="37" t="str">
        <f>IF('CASE DATA'!I185="YES",SUM('CASE DATA'!K185:Q185),"n/a")</f>
        <v>n/a</v>
      </c>
      <c r="E184" s="38" t="str">
        <f>IF('CASE DATA'!G185="JUV", "YES", "NO")</f>
        <v>NO</v>
      </c>
      <c r="F184" s="38" t="str">
        <f t="array" ref="F184">IF(E184="YES",IF(SUM(COUNTIF('CASE DATA'!$G$4:$G$200, {"GTR","GPL","DEF","JUV"}))&gt;0, "YES","NO"),"N/A")</f>
        <v>N/A</v>
      </c>
      <c r="G184" s="38" t="str">
        <f>IF(E184="YES",IF(COUNTIF('CASE DATA'!$D$4:$D$200, "")-COUNTIF('CASE DATA'!$A$4:$A$200, "")&gt;0, "YES","NO"),"N/A")</f>
        <v>N/A</v>
      </c>
      <c r="H184" s="35" t="str">
        <f>_xlfn.IFS(E184="NO", "N/A", AND('BASIC INFO'!$B$3&gt;'BASIC INFO'!$B$6+6574.5, C184+730.5&lt;'BASIC INFO'!$B$3), "YES", 'BASIC INFO'!$B$3&lt;('BASIC INFO'!$B$6+6574.5), "NOT YET 18", C184+730.5&gt;'BASIC INFO'!$B$3, "NOT YET 2 YEARS")</f>
        <v>N/A</v>
      </c>
      <c r="I184" s="39" t="str">
        <f>IF(OR(AND(LEFT('CASE DATA'!F185,4)="321.",MID('CASE DATA'!A185,8,2)="SM"),MID('CASE DATA'!A185,8,2)="ST",MID('CASE DATA'!A185,8,2)="NT"),"TRAFFIC",IF(OR('CASE DATA'!G185="DISM", 'CASE DATA'!G185="ACQ", 'CASE DATA'!G185="NOTF", 'CASE DATA'!G185="WTHD", 'CASE DATA'!G185="TNSF"), "YES", "NO"))</f>
        <v>NO</v>
      </c>
      <c r="J184" s="40" t="str">
        <f>IF(I184="YES",'CASE DATA'!U185,"N/A")</f>
        <v>N/A</v>
      </c>
      <c r="K184" s="40" t="str">
        <f>IF(I184="YES",SOL!C185+SOL!D185,"N/A")</f>
        <v>N/A</v>
      </c>
      <c r="L184" s="35" t="str">
        <f>IF(I184="YES",IF(C184+180&lt;'BASIC INFO'!$B$3, "YES", "NO"),"N/A")</f>
        <v>N/A</v>
      </c>
      <c r="M184" s="40" t="str">
        <f t="array" ref="M184">IF(I184="TRAFFIC","n/a",IF(OR('CASE DATA'!G185="GTR", 'CASE DATA'!G185="GPL"),IF(SUM(COUNTIF('CASE DATA'!X185:AI185, 'CODE SECTIONS'!$V$2:$V$218&amp;"*"))&gt;0,"NO","YES"),"n/a"))</f>
        <v>n/a</v>
      </c>
      <c r="N184" s="40" t="str">
        <f t="array" ref="N184">IF(M184="YES",IF(OR((SUM(COUNTIF('CASE DATA'!X185:AI185,'CODE SECTIONS'!$X$2:$X$19&amp;"*"))&gt;0),LEFT('CASE DATA'!X185:AI185,4)="717C", LEFT('CASE DATA'!X185:AI185, 3)="719", LEFT('CASE DATA'!X185:AI185,3)="720", LEFT('CASE DATA'!X185:AI185,3)="724", LEFT('CASE DATA'!X185:AI185,3)="726", LEFT('CASE DATA'!X185:AI185,3)="728", LEFT('CASE DATA'!X185:AI185,4)="901A"), "ineligible misd","eligible"),"n/a")</f>
        <v>n/a</v>
      </c>
      <c r="O184" s="40" t="str">
        <f>IF(N184="eligible",IF(COUNTIF('CASE DATA'!$D$4:$D$200, "")-COUNTIF('CASE DATA'!$A$4:$A$200, "")&gt;0, "YES","NO"),"N/A")</f>
        <v>N/A</v>
      </c>
      <c r="P184" s="40" t="str">
        <f>IF(N184="eligible",BANKRUPTCY!C185+BANKRUPTCY!D185,"N/A")</f>
        <v>N/A</v>
      </c>
      <c r="Q184" s="40" t="str">
        <f>IF(N184="eligible",SOL!C185+SOL!D185,"N/A")</f>
        <v>N/A</v>
      </c>
      <c r="R184" s="40" t="str">
        <f>IF(N184="eligible",SUM('CASE DATA'!K185:T185),"N/A")</f>
        <v>N/A</v>
      </c>
      <c r="S184" s="40" t="str">
        <f>IF(N184="eligible",IF(C184+2920&lt;'BASIC INFO'!$B$3, "YES", "NO"),"N/A")</f>
        <v>N/A</v>
      </c>
      <c r="T184" s="39" t="str">
        <f>IF(OR('CASE DATA'!G185="DEF"), "YES", "NO")</f>
        <v>NO</v>
      </c>
      <c r="U184" s="35" t="str">
        <f>IF(T184="YES",'CASE DATA'!I185,"N/A")</f>
        <v>N/A</v>
      </c>
      <c r="V184" s="40" t="str">
        <f>IF(T184="YES",BANKRUPTCY!C185+BANKRUPTCY!D185,"N/A")</f>
        <v>N/A</v>
      </c>
      <c r="W184" s="40" t="str">
        <f>IF(T184="YES",SUM('CASE DATA'!K185:T185),"N/A")</f>
        <v>N/A</v>
      </c>
      <c r="X184" s="35" t="str">
        <f>IF(OR('CASE DATA'!F185="123.46",'CASE DATA'!F185="123.47"),"YES","NO")</f>
        <v>NO</v>
      </c>
      <c r="Y184" s="40" t="str">
        <f>IF(X184="YES",IF(C184+730.5&lt;'BASIC INFO'!$B$3, "YES","NO"), "N/A")</f>
        <v>N/A</v>
      </c>
      <c r="Z184" s="35" t="str">
        <f>IF('CASE DATA'!F185="725.1","YES","NO")</f>
        <v>NO</v>
      </c>
      <c r="AA184" s="35" t="str">
        <f>IF(Z184="YES",IF(C184+730.5&lt;'BASIC INFO'!$B$3, "YES","NO"), "N/A")</f>
        <v>N/A</v>
      </c>
      <c r="AB184" s="35" t="str">
        <f>IF('BASIC INFO'!$B$6+6574.5&gt;C184, "YES", "NO")</f>
        <v>YES</v>
      </c>
    </row>
    <row r="185" spans="1:28" x14ac:dyDescent="0.25">
      <c r="A185" s="35" t="str">
        <f>IF('CASE DATA'!A186="","z",'CASE DATA'!A186)</f>
        <v>z</v>
      </c>
      <c r="B185" s="66" t="str">
        <f>IF('CASE DATA'!A186="","",'CASE DATA'!E186)</f>
        <v/>
      </c>
      <c r="C185" s="36">
        <f>'CASE DATA'!D186</f>
        <v>0</v>
      </c>
      <c r="D185" s="37" t="str">
        <f>IF('CASE DATA'!I186="YES",SUM('CASE DATA'!K186:Q186),"n/a")</f>
        <v>n/a</v>
      </c>
      <c r="E185" s="38" t="str">
        <f>IF('CASE DATA'!G186="JUV", "YES", "NO")</f>
        <v>NO</v>
      </c>
      <c r="F185" s="38" t="str">
        <f t="array" ref="F185">IF(E185="YES",IF(SUM(COUNTIF('CASE DATA'!$G$4:$G$200, {"GTR","GPL","DEF","JUV"}))&gt;0, "YES","NO"),"N/A")</f>
        <v>N/A</v>
      </c>
      <c r="G185" s="38" t="str">
        <f>IF(E185="YES",IF(COUNTIF('CASE DATA'!$D$4:$D$200, "")-COUNTIF('CASE DATA'!$A$4:$A$200, "")&gt;0, "YES","NO"),"N/A")</f>
        <v>N/A</v>
      </c>
      <c r="H185" s="35" t="str">
        <f>_xlfn.IFS(E185="NO", "N/A", AND('BASIC INFO'!$B$3&gt;'BASIC INFO'!$B$6+6574.5, C185+730.5&lt;'BASIC INFO'!$B$3), "YES", 'BASIC INFO'!$B$3&lt;('BASIC INFO'!$B$6+6574.5), "NOT YET 18", C185+730.5&gt;'BASIC INFO'!$B$3, "NOT YET 2 YEARS")</f>
        <v>N/A</v>
      </c>
      <c r="I185" s="39" t="str">
        <f>IF(OR(AND(LEFT('CASE DATA'!F186,4)="321.",MID('CASE DATA'!A186,8,2)="SM"),MID('CASE DATA'!A186,8,2)="ST",MID('CASE DATA'!A186,8,2)="NT"),"TRAFFIC",IF(OR('CASE DATA'!G186="DISM", 'CASE DATA'!G186="ACQ", 'CASE DATA'!G186="NOTF", 'CASE DATA'!G186="WTHD", 'CASE DATA'!G186="TNSF"), "YES", "NO"))</f>
        <v>NO</v>
      </c>
      <c r="J185" s="40" t="str">
        <f>IF(I185="YES",'CASE DATA'!U186,"N/A")</f>
        <v>N/A</v>
      </c>
      <c r="K185" s="40" t="str">
        <f>IF(I185="YES",SOL!C186+SOL!D186,"N/A")</f>
        <v>N/A</v>
      </c>
      <c r="L185" s="35" t="str">
        <f>IF(I185="YES",IF(C185+180&lt;'BASIC INFO'!$B$3, "YES", "NO"),"N/A")</f>
        <v>N/A</v>
      </c>
      <c r="M185" s="40" t="str">
        <f t="array" ref="M185">IF(I185="TRAFFIC","n/a",IF(OR('CASE DATA'!G186="GTR", 'CASE DATA'!G186="GPL"),IF(SUM(COUNTIF('CASE DATA'!X186:AI186, 'CODE SECTIONS'!$V$2:$V$218&amp;"*"))&gt;0,"NO","YES"),"n/a"))</f>
        <v>n/a</v>
      </c>
      <c r="N185" s="40" t="str">
        <f t="array" ref="N185">IF(M185="YES",IF(OR((SUM(COUNTIF('CASE DATA'!X186:AI186,'CODE SECTIONS'!$X$2:$X$19&amp;"*"))&gt;0),LEFT('CASE DATA'!X186:AI186,4)="717C", LEFT('CASE DATA'!X186:AI186, 3)="719", LEFT('CASE DATA'!X186:AI186,3)="720", LEFT('CASE DATA'!X186:AI186,3)="724", LEFT('CASE DATA'!X186:AI186,3)="726", LEFT('CASE DATA'!X186:AI186,3)="728", LEFT('CASE DATA'!X186:AI186,4)="901A"), "ineligible misd","eligible"),"n/a")</f>
        <v>n/a</v>
      </c>
      <c r="O185" s="40" t="str">
        <f>IF(N185="eligible",IF(COUNTIF('CASE DATA'!$D$4:$D$200, "")-COUNTIF('CASE DATA'!$A$4:$A$200, "")&gt;0, "YES","NO"),"N/A")</f>
        <v>N/A</v>
      </c>
      <c r="P185" s="40" t="str">
        <f>IF(N185="eligible",BANKRUPTCY!C186+BANKRUPTCY!D186,"N/A")</f>
        <v>N/A</v>
      </c>
      <c r="Q185" s="40" t="str">
        <f>IF(N185="eligible",SOL!C186+SOL!D186,"N/A")</f>
        <v>N/A</v>
      </c>
      <c r="R185" s="40" t="str">
        <f>IF(N185="eligible",SUM('CASE DATA'!K186:T186),"N/A")</f>
        <v>N/A</v>
      </c>
      <c r="S185" s="40" t="str">
        <f>IF(N185="eligible",IF(C185+2920&lt;'BASIC INFO'!$B$3, "YES", "NO"),"N/A")</f>
        <v>N/A</v>
      </c>
      <c r="T185" s="39" t="str">
        <f>IF(OR('CASE DATA'!G186="DEF"), "YES", "NO")</f>
        <v>NO</v>
      </c>
      <c r="U185" s="35" t="str">
        <f>IF(T185="YES",'CASE DATA'!I186,"N/A")</f>
        <v>N/A</v>
      </c>
      <c r="V185" s="40" t="str">
        <f>IF(T185="YES",BANKRUPTCY!C186+BANKRUPTCY!D186,"N/A")</f>
        <v>N/A</v>
      </c>
      <c r="W185" s="40" t="str">
        <f>IF(T185="YES",SUM('CASE DATA'!K186:T186),"N/A")</f>
        <v>N/A</v>
      </c>
      <c r="X185" s="35" t="str">
        <f>IF(OR('CASE DATA'!F186="123.46",'CASE DATA'!F186="123.47"),"YES","NO")</f>
        <v>NO</v>
      </c>
      <c r="Y185" s="40" t="str">
        <f>IF(X185="YES",IF(C185+730.5&lt;'BASIC INFO'!$B$3, "YES","NO"), "N/A")</f>
        <v>N/A</v>
      </c>
      <c r="Z185" s="35" t="str">
        <f>IF('CASE DATA'!F186="725.1","YES","NO")</f>
        <v>NO</v>
      </c>
      <c r="AA185" s="35" t="str">
        <f>IF(Z185="YES",IF(C185+730.5&lt;'BASIC INFO'!$B$3, "YES","NO"), "N/A")</f>
        <v>N/A</v>
      </c>
      <c r="AB185" s="35" t="str">
        <f>IF('BASIC INFO'!$B$6+6574.5&gt;C185, "YES", "NO")</f>
        <v>YES</v>
      </c>
    </row>
    <row r="186" spans="1:28" x14ac:dyDescent="0.25">
      <c r="A186" s="35" t="str">
        <f>IF('CASE DATA'!A187="","z",'CASE DATA'!A187)</f>
        <v>z</v>
      </c>
      <c r="B186" s="66" t="str">
        <f>IF('CASE DATA'!A187="","",'CASE DATA'!E187)</f>
        <v/>
      </c>
      <c r="C186" s="36">
        <f>'CASE DATA'!D187</f>
        <v>0</v>
      </c>
      <c r="D186" s="37" t="str">
        <f>IF('CASE DATA'!I187="YES",SUM('CASE DATA'!K187:Q187),"n/a")</f>
        <v>n/a</v>
      </c>
      <c r="E186" s="38" t="str">
        <f>IF('CASE DATA'!G187="JUV", "YES", "NO")</f>
        <v>NO</v>
      </c>
      <c r="F186" s="38" t="str">
        <f t="array" ref="F186">IF(E186="YES",IF(SUM(COUNTIF('CASE DATA'!$G$4:$G$200, {"GTR","GPL","DEF","JUV"}))&gt;0, "YES","NO"),"N/A")</f>
        <v>N/A</v>
      </c>
      <c r="G186" s="38" t="str">
        <f>IF(E186="YES",IF(COUNTIF('CASE DATA'!$D$4:$D$200, "")-COUNTIF('CASE DATA'!$A$4:$A$200, "")&gt;0, "YES","NO"),"N/A")</f>
        <v>N/A</v>
      </c>
      <c r="H186" s="35" t="str">
        <f>_xlfn.IFS(E186="NO", "N/A", AND('BASIC INFO'!$B$3&gt;'BASIC INFO'!$B$6+6574.5, C186+730.5&lt;'BASIC INFO'!$B$3), "YES", 'BASIC INFO'!$B$3&lt;('BASIC INFO'!$B$6+6574.5), "NOT YET 18", C186+730.5&gt;'BASIC INFO'!$B$3, "NOT YET 2 YEARS")</f>
        <v>N/A</v>
      </c>
      <c r="I186" s="39" t="str">
        <f>IF(OR(AND(LEFT('CASE DATA'!F187,4)="321.",MID('CASE DATA'!A187,8,2)="SM"),MID('CASE DATA'!A187,8,2)="ST",MID('CASE DATA'!A187,8,2)="NT"),"TRAFFIC",IF(OR('CASE DATA'!G187="DISM", 'CASE DATA'!G187="ACQ", 'CASE DATA'!G187="NOTF", 'CASE DATA'!G187="WTHD", 'CASE DATA'!G187="TNSF"), "YES", "NO"))</f>
        <v>NO</v>
      </c>
      <c r="J186" s="40" t="str">
        <f>IF(I186="YES",'CASE DATA'!U187,"N/A")</f>
        <v>N/A</v>
      </c>
      <c r="K186" s="40" t="str">
        <f>IF(I186="YES",SOL!C187+SOL!D187,"N/A")</f>
        <v>N/A</v>
      </c>
      <c r="L186" s="35" t="str">
        <f>IF(I186="YES",IF(C186+180&lt;'BASIC INFO'!$B$3, "YES", "NO"),"N/A")</f>
        <v>N/A</v>
      </c>
      <c r="M186" s="40" t="str">
        <f t="array" ref="M186">IF(I186="TRAFFIC","n/a",IF(OR('CASE DATA'!G187="GTR", 'CASE DATA'!G187="GPL"),IF(SUM(COUNTIF('CASE DATA'!X187:AI187, 'CODE SECTIONS'!$V$2:$V$218&amp;"*"))&gt;0,"NO","YES"),"n/a"))</f>
        <v>n/a</v>
      </c>
      <c r="N186" s="40" t="str">
        <f t="array" ref="N186">IF(M186="YES",IF(OR((SUM(COUNTIF('CASE DATA'!X187:AI187,'CODE SECTIONS'!$X$2:$X$19&amp;"*"))&gt;0),LEFT('CASE DATA'!X187:AI187,4)="717C", LEFT('CASE DATA'!X187:AI187, 3)="719", LEFT('CASE DATA'!X187:AI187,3)="720", LEFT('CASE DATA'!X187:AI187,3)="724", LEFT('CASE DATA'!X187:AI187,3)="726", LEFT('CASE DATA'!X187:AI187,3)="728", LEFT('CASE DATA'!X187:AI187,4)="901A"), "ineligible misd","eligible"),"n/a")</f>
        <v>n/a</v>
      </c>
      <c r="O186" s="40" t="str">
        <f>IF(N186="eligible",IF(COUNTIF('CASE DATA'!$D$4:$D$200, "")-COUNTIF('CASE DATA'!$A$4:$A$200, "")&gt;0, "YES","NO"),"N/A")</f>
        <v>N/A</v>
      </c>
      <c r="P186" s="40" t="str">
        <f>IF(N186="eligible",BANKRUPTCY!C187+BANKRUPTCY!D187,"N/A")</f>
        <v>N/A</v>
      </c>
      <c r="Q186" s="40" t="str">
        <f>IF(N186="eligible",SOL!C187+SOL!D187,"N/A")</f>
        <v>N/A</v>
      </c>
      <c r="R186" s="40" t="str">
        <f>IF(N186="eligible",SUM('CASE DATA'!K187:T187),"N/A")</f>
        <v>N/A</v>
      </c>
      <c r="S186" s="40" t="str">
        <f>IF(N186="eligible",IF(C186+2920&lt;'BASIC INFO'!$B$3, "YES", "NO"),"N/A")</f>
        <v>N/A</v>
      </c>
      <c r="T186" s="39" t="str">
        <f>IF(OR('CASE DATA'!G187="DEF"), "YES", "NO")</f>
        <v>NO</v>
      </c>
      <c r="U186" s="35" t="str">
        <f>IF(T186="YES",'CASE DATA'!I187,"N/A")</f>
        <v>N/A</v>
      </c>
      <c r="V186" s="40" t="str">
        <f>IF(T186="YES",BANKRUPTCY!C187+BANKRUPTCY!D187,"N/A")</f>
        <v>N/A</v>
      </c>
      <c r="W186" s="40" t="str">
        <f>IF(T186="YES",SUM('CASE DATA'!K187:T187),"N/A")</f>
        <v>N/A</v>
      </c>
      <c r="X186" s="35" t="str">
        <f>IF(OR('CASE DATA'!F187="123.46",'CASE DATA'!F187="123.47"),"YES","NO")</f>
        <v>NO</v>
      </c>
      <c r="Y186" s="40" t="str">
        <f>IF(X186="YES",IF(C186+730.5&lt;'BASIC INFO'!$B$3, "YES","NO"), "N/A")</f>
        <v>N/A</v>
      </c>
      <c r="Z186" s="35" t="str">
        <f>IF('CASE DATA'!F187="725.1","YES","NO")</f>
        <v>NO</v>
      </c>
      <c r="AA186" s="35" t="str">
        <f>IF(Z186="YES",IF(C186+730.5&lt;'BASIC INFO'!$B$3, "YES","NO"), "N/A")</f>
        <v>N/A</v>
      </c>
      <c r="AB186" s="35" t="str">
        <f>IF('BASIC INFO'!$B$6+6574.5&gt;C186, "YES", "NO")</f>
        <v>YES</v>
      </c>
    </row>
    <row r="187" spans="1:28" x14ac:dyDescent="0.25">
      <c r="A187" s="35" t="str">
        <f>IF('CASE DATA'!A188="","z",'CASE DATA'!A188)</f>
        <v>z</v>
      </c>
      <c r="B187" s="66" t="str">
        <f>IF('CASE DATA'!A188="","",'CASE DATA'!E188)</f>
        <v/>
      </c>
      <c r="C187" s="36">
        <f>'CASE DATA'!D188</f>
        <v>0</v>
      </c>
      <c r="D187" s="37" t="str">
        <f>IF('CASE DATA'!I188="YES",SUM('CASE DATA'!K188:Q188),"n/a")</f>
        <v>n/a</v>
      </c>
      <c r="E187" s="38" t="str">
        <f>IF('CASE DATA'!G188="JUV", "YES", "NO")</f>
        <v>NO</v>
      </c>
      <c r="F187" s="38" t="str">
        <f t="array" ref="F187">IF(E187="YES",IF(SUM(COUNTIF('CASE DATA'!$G$4:$G$200, {"GTR","GPL","DEF","JUV"}))&gt;0, "YES","NO"),"N/A")</f>
        <v>N/A</v>
      </c>
      <c r="G187" s="38" t="str">
        <f>IF(E187="YES",IF(COUNTIF('CASE DATA'!$D$4:$D$200, "")-COUNTIF('CASE DATA'!$A$4:$A$200, "")&gt;0, "YES","NO"),"N/A")</f>
        <v>N/A</v>
      </c>
      <c r="H187" s="35" t="str">
        <f>_xlfn.IFS(E187="NO", "N/A", AND('BASIC INFO'!$B$3&gt;'BASIC INFO'!$B$6+6574.5, C187+730.5&lt;'BASIC INFO'!$B$3), "YES", 'BASIC INFO'!$B$3&lt;('BASIC INFO'!$B$6+6574.5), "NOT YET 18", C187+730.5&gt;'BASIC INFO'!$B$3, "NOT YET 2 YEARS")</f>
        <v>N/A</v>
      </c>
      <c r="I187" s="39" t="str">
        <f>IF(OR(AND(LEFT('CASE DATA'!F188,4)="321.",MID('CASE DATA'!A188,8,2)="SM"),MID('CASE DATA'!A188,8,2)="ST",MID('CASE DATA'!A188,8,2)="NT"),"TRAFFIC",IF(OR('CASE DATA'!G188="DISM", 'CASE DATA'!G188="ACQ", 'CASE DATA'!G188="NOTF", 'CASE DATA'!G188="WTHD", 'CASE DATA'!G188="TNSF"), "YES", "NO"))</f>
        <v>NO</v>
      </c>
      <c r="J187" s="40" t="str">
        <f>IF(I187="YES",'CASE DATA'!U188,"N/A")</f>
        <v>N/A</v>
      </c>
      <c r="K187" s="40" t="str">
        <f>IF(I187="YES",SOL!C188+SOL!D188,"N/A")</f>
        <v>N/A</v>
      </c>
      <c r="L187" s="35" t="str">
        <f>IF(I187="YES",IF(C187+180&lt;'BASIC INFO'!$B$3, "YES", "NO"),"N/A")</f>
        <v>N/A</v>
      </c>
      <c r="M187" s="40" t="str">
        <f t="array" ref="M187">IF(I187="TRAFFIC","n/a",IF(OR('CASE DATA'!G188="GTR", 'CASE DATA'!G188="GPL"),IF(SUM(COUNTIF('CASE DATA'!X188:AI188, 'CODE SECTIONS'!$V$2:$V$218&amp;"*"))&gt;0,"NO","YES"),"n/a"))</f>
        <v>n/a</v>
      </c>
      <c r="N187" s="40" t="str">
        <f t="array" ref="N187">IF(M187="YES",IF(OR((SUM(COUNTIF('CASE DATA'!X188:AI188,'CODE SECTIONS'!$X$2:$X$19&amp;"*"))&gt;0),LEFT('CASE DATA'!X188:AI188,4)="717C", LEFT('CASE DATA'!X188:AI188, 3)="719", LEFT('CASE DATA'!X188:AI188,3)="720", LEFT('CASE DATA'!X188:AI188,3)="724", LEFT('CASE DATA'!X188:AI188,3)="726", LEFT('CASE DATA'!X188:AI188,3)="728", LEFT('CASE DATA'!X188:AI188,4)="901A"), "ineligible misd","eligible"),"n/a")</f>
        <v>n/a</v>
      </c>
      <c r="O187" s="40" t="str">
        <f>IF(N187="eligible",IF(COUNTIF('CASE DATA'!$D$4:$D$200, "")-COUNTIF('CASE DATA'!$A$4:$A$200, "")&gt;0, "YES","NO"),"N/A")</f>
        <v>N/A</v>
      </c>
      <c r="P187" s="40" t="str">
        <f>IF(N187="eligible",BANKRUPTCY!C188+BANKRUPTCY!D188,"N/A")</f>
        <v>N/A</v>
      </c>
      <c r="Q187" s="40" t="str">
        <f>IF(N187="eligible",SOL!C188+SOL!D188,"N/A")</f>
        <v>N/A</v>
      </c>
      <c r="R187" s="40" t="str">
        <f>IF(N187="eligible",SUM('CASE DATA'!K188:T188),"N/A")</f>
        <v>N/A</v>
      </c>
      <c r="S187" s="40" t="str">
        <f>IF(N187="eligible",IF(C187+2920&lt;'BASIC INFO'!$B$3, "YES", "NO"),"N/A")</f>
        <v>N/A</v>
      </c>
      <c r="T187" s="39" t="str">
        <f>IF(OR('CASE DATA'!G188="DEF"), "YES", "NO")</f>
        <v>NO</v>
      </c>
      <c r="U187" s="35" t="str">
        <f>IF(T187="YES",'CASE DATA'!I188,"N/A")</f>
        <v>N/A</v>
      </c>
      <c r="V187" s="40" t="str">
        <f>IF(T187="YES",BANKRUPTCY!C188+BANKRUPTCY!D188,"N/A")</f>
        <v>N/A</v>
      </c>
      <c r="W187" s="40" t="str">
        <f>IF(T187="YES",SUM('CASE DATA'!K188:T188),"N/A")</f>
        <v>N/A</v>
      </c>
      <c r="X187" s="35" t="str">
        <f>IF(OR('CASE DATA'!F188="123.46",'CASE DATA'!F188="123.47"),"YES","NO")</f>
        <v>NO</v>
      </c>
      <c r="Y187" s="40" t="str">
        <f>IF(X187="YES",IF(C187+730.5&lt;'BASIC INFO'!$B$3, "YES","NO"), "N/A")</f>
        <v>N/A</v>
      </c>
      <c r="Z187" s="35" t="str">
        <f>IF('CASE DATA'!F188="725.1","YES","NO")</f>
        <v>NO</v>
      </c>
      <c r="AA187" s="35" t="str">
        <f>IF(Z187="YES",IF(C187+730.5&lt;'BASIC INFO'!$B$3, "YES","NO"), "N/A")</f>
        <v>N/A</v>
      </c>
      <c r="AB187" s="35" t="str">
        <f>IF('BASIC INFO'!$B$6+6574.5&gt;C187, "YES", "NO")</f>
        <v>YES</v>
      </c>
    </row>
    <row r="188" spans="1:28" x14ac:dyDescent="0.25">
      <c r="A188" s="35" t="str">
        <f>IF('CASE DATA'!A189="","z",'CASE DATA'!A189)</f>
        <v>z</v>
      </c>
      <c r="B188" s="66" t="str">
        <f>IF('CASE DATA'!A189="","",'CASE DATA'!E189)</f>
        <v/>
      </c>
      <c r="C188" s="36">
        <f>'CASE DATA'!D189</f>
        <v>0</v>
      </c>
      <c r="D188" s="37" t="str">
        <f>IF('CASE DATA'!I189="YES",SUM('CASE DATA'!K189:Q189),"n/a")</f>
        <v>n/a</v>
      </c>
      <c r="E188" s="38" t="str">
        <f>IF('CASE DATA'!G189="JUV", "YES", "NO")</f>
        <v>NO</v>
      </c>
      <c r="F188" s="38" t="str">
        <f t="array" ref="F188">IF(E188="YES",IF(SUM(COUNTIF('CASE DATA'!$G$4:$G$200, {"GTR","GPL","DEF","JUV"}))&gt;0, "YES","NO"),"N/A")</f>
        <v>N/A</v>
      </c>
      <c r="G188" s="38" t="str">
        <f>IF(E188="YES",IF(COUNTIF('CASE DATA'!$D$4:$D$200, "")-COUNTIF('CASE DATA'!$A$4:$A$200, "")&gt;0, "YES","NO"),"N/A")</f>
        <v>N/A</v>
      </c>
      <c r="H188" s="35" t="str">
        <f>_xlfn.IFS(E188="NO", "N/A", AND('BASIC INFO'!$B$3&gt;'BASIC INFO'!$B$6+6574.5, C188+730.5&lt;'BASIC INFO'!$B$3), "YES", 'BASIC INFO'!$B$3&lt;('BASIC INFO'!$B$6+6574.5), "NOT YET 18", C188+730.5&gt;'BASIC INFO'!$B$3, "NOT YET 2 YEARS")</f>
        <v>N/A</v>
      </c>
      <c r="I188" s="39" t="str">
        <f>IF(OR(AND(LEFT('CASE DATA'!F189,4)="321.",MID('CASE DATA'!A189,8,2)="SM"),MID('CASE DATA'!A189,8,2)="ST",MID('CASE DATA'!A189,8,2)="NT"),"TRAFFIC",IF(OR('CASE DATA'!G189="DISM", 'CASE DATA'!G189="ACQ", 'CASE DATA'!G189="NOTF", 'CASE DATA'!G189="WTHD", 'CASE DATA'!G189="TNSF"), "YES", "NO"))</f>
        <v>NO</v>
      </c>
      <c r="J188" s="40" t="str">
        <f>IF(I188="YES",'CASE DATA'!U189,"N/A")</f>
        <v>N/A</v>
      </c>
      <c r="K188" s="40" t="str">
        <f>IF(I188="YES",SOL!C189+SOL!D189,"N/A")</f>
        <v>N/A</v>
      </c>
      <c r="L188" s="35" t="str">
        <f>IF(I188="YES",IF(C188+180&lt;'BASIC INFO'!$B$3, "YES", "NO"),"N/A")</f>
        <v>N/A</v>
      </c>
      <c r="M188" s="40" t="str">
        <f t="array" ref="M188">IF(I188="TRAFFIC","n/a",IF(OR('CASE DATA'!G189="GTR", 'CASE DATA'!G189="GPL"),IF(SUM(COUNTIF('CASE DATA'!X189:AI189, 'CODE SECTIONS'!$V$2:$V$218&amp;"*"))&gt;0,"NO","YES"),"n/a"))</f>
        <v>n/a</v>
      </c>
      <c r="N188" s="40" t="str">
        <f t="array" ref="N188">IF(M188="YES",IF(OR((SUM(COUNTIF('CASE DATA'!X189:AI189,'CODE SECTIONS'!$X$2:$X$19&amp;"*"))&gt;0),LEFT('CASE DATA'!X189:AI189,4)="717C", LEFT('CASE DATA'!X189:AI189, 3)="719", LEFT('CASE DATA'!X189:AI189,3)="720", LEFT('CASE DATA'!X189:AI189,3)="724", LEFT('CASE DATA'!X189:AI189,3)="726", LEFT('CASE DATA'!X189:AI189,3)="728", LEFT('CASE DATA'!X189:AI189,4)="901A"), "ineligible misd","eligible"),"n/a")</f>
        <v>n/a</v>
      </c>
      <c r="O188" s="40" t="str">
        <f>IF(N188="eligible",IF(COUNTIF('CASE DATA'!$D$4:$D$200, "")-COUNTIF('CASE DATA'!$A$4:$A$200, "")&gt;0, "YES","NO"),"N/A")</f>
        <v>N/A</v>
      </c>
      <c r="P188" s="40" t="str">
        <f>IF(N188="eligible",BANKRUPTCY!C189+BANKRUPTCY!D189,"N/A")</f>
        <v>N/A</v>
      </c>
      <c r="Q188" s="40" t="str">
        <f>IF(N188="eligible",SOL!C189+SOL!D189,"N/A")</f>
        <v>N/A</v>
      </c>
      <c r="R188" s="40" t="str">
        <f>IF(N188="eligible",SUM('CASE DATA'!K189:T189),"N/A")</f>
        <v>N/A</v>
      </c>
      <c r="S188" s="40" t="str">
        <f>IF(N188="eligible",IF(C188+2920&lt;'BASIC INFO'!$B$3, "YES", "NO"),"N/A")</f>
        <v>N/A</v>
      </c>
      <c r="T188" s="39" t="str">
        <f>IF(OR('CASE DATA'!G189="DEF"), "YES", "NO")</f>
        <v>NO</v>
      </c>
      <c r="U188" s="35" t="str">
        <f>IF(T188="YES",'CASE DATA'!I189,"N/A")</f>
        <v>N/A</v>
      </c>
      <c r="V188" s="40" t="str">
        <f>IF(T188="YES",BANKRUPTCY!C189+BANKRUPTCY!D189,"N/A")</f>
        <v>N/A</v>
      </c>
      <c r="W188" s="40" t="str">
        <f>IF(T188="YES",SUM('CASE DATA'!K189:T189),"N/A")</f>
        <v>N/A</v>
      </c>
      <c r="X188" s="35" t="str">
        <f>IF(OR('CASE DATA'!F189="123.46",'CASE DATA'!F189="123.47"),"YES","NO")</f>
        <v>NO</v>
      </c>
      <c r="Y188" s="40" t="str">
        <f>IF(X188="YES",IF(C188+730.5&lt;'BASIC INFO'!$B$3, "YES","NO"), "N/A")</f>
        <v>N/A</v>
      </c>
      <c r="Z188" s="35" t="str">
        <f>IF('CASE DATA'!F189="725.1","YES","NO")</f>
        <v>NO</v>
      </c>
      <c r="AA188" s="35" t="str">
        <f>IF(Z188="YES",IF(C188+730.5&lt;'BASIC INFO'!$B$3, "YES","NO"), "N/A")</f>
        <v>N/A</v>
      </c>
      <c r="AB188" s="35" t="str">
        <f>IF('BASIC INFO'!$B$6+6574.5&gt;C188, "YES", "NO")</f>
        <v>YES</v>
      </c>
    </row>
    <row r="189" spans="1:28" x14ac:dyDescent="0.25">
      <c r="A189" s="35" t="str">
        <f>IF('CASE DATA'!A190="","z",'CASE DATA'!A190)</f>
        <v>z</v>
      </c>
      <c r="B189" s="66" t="str">
        <f>IF('CASE DATA'!A190="","",'CASE DATA'!E190)</f>
        <v/>
      </c>
      <c r="C189" s="36">
        <f>'CASE DATA'!D190</f>
        <v>0</v>
      </c>
      <c r="D189" s="37" t="str">
        <f>IF('CASE DATA'!I190="YES",SUM('CASE DATA'!K190:Q190),"n/a")</f>
        <v>n/a</v>
      </c>
      <c r="E189" s="38" t="str">
        <f>IF('CASE DATA'!G190="JUV", "YES", "NO")</f>
        <v>NO</v>
      </c>
      <c r="F189" s="38" t="str">
        <f t="array" ref="F189">IF(E189="YES",IF(SUM(COUNTIF('CASE DATA'!$G$4:$G$200, {"GTR","GPL","DEF","JUV"}))&gt;0, "YES","NO"),"N/A")</f>
        <v>N/A</v>
      </c>
      <c r="G189" s="38" t="str">
        <f>IF(E189="YES",IF(COUNTIF('CASE DATA'!$D$4:$D$200, "")-COUNTIF('CASE DATA'!$A$4:$A$200, "")&gt;0, "YES","NO"),"N/A")</f>
        <v>N/A</v>
      </c>
      <c r="H189" s="35" t="str">
        <f>_xlfn.IFS(E189="NO", "N/A", AND('BASIC INFO'!$B$3&gt;'BASIC INFO'!$B$6+6574.5, C189+730.5&lt;'BASIC INFO'!$B$3), "YES", 'BASIC INFO'!$B$3&lt;('BASIC INFO'!$B$6+6574.5), "NOT YET 18", C189+730.5&gt;'BASIC INFO'!$B$3, "NOT YET 2 YEARS")</f>
        <v>N/A</v>
      </c>
      <c r="I189" s="39" t="str">
        <f>IF(OR(AND(LEFT('CASE DATA'!F190,4)="321.",MID('CASE DATA'!A190,8,2)="SM"),MID('CASE DATA'!A190,8,2)="ST",MID('CASE DATA'!A190,8,2)="NT"),"TRAFFIC",IF(OR('CASE DATA'!G190="DISM", 'CASE DATA'!G190="ACQ", 'CASE DATA'!G190="NOTF", 'CASE DATA'!G190="WTHD", 'CASE DATA'!G190="TNSF"), "YES", "NO"))</f>
        <v>NO</v>
      </c>
      <c r="J189" s="40" t="str">
        <f>IF(I189="YES",'CASE DATA'!U190,"N/A")</f>
        <v>N/A</v>
      </c>
      <c r="K189" s="40" t="str">
        <f>IF(I189="YES",SOL!C190+SOL!D190,"N/A")</f>
        <v>N/A</v>
      </c>
      <c r="L189" s="35" t="str">
        <f>IF(I189="YES",IF(C189+180&lt;'BASIC INFO'!$B$3, "YES", "NO"),"N/A")</f>
        <v>N/A</v>
      </c>
      <c r="M189" s="40" t="str">
        <f t="array" ref="M189">IF(I189="TRAFFIC","n/a",IF(OR('CASE DATA'!G190="GTR", 'CASE DATA'!G190="GPL"),IF(SUM(COUNTIF('CASE DATA'!X190:AI190, 'CODE SECTIONS'!$V$2:$V$218&amp;"*"))&gt;0,"NO","YES"),"n/a"))</f>
        <v>n/a</v>
      </c>
      <c r="N189" s="40" t="str">
        <f t="array" ref="N189">IF(M189="YES",IF(OR((SUM(COUNTIF('CASE DATA'!X190:AI190,'CODE SECTIONS'!$X$2:$X$19&amp;"*"))&gt;0),LEFT('CASE DATA'!X190:AI190,4)="717C", LEFT('CASE DATA'!X190:AI190, 3)="719", LEFT('CASE DATA'!X190:AI190,3)="720", LEFT('CASE DATA'!X190:AI190,3)="724", LEFT('CASE DATA'!X190:AI190,3)="726", LEFT('CASE DATA'!X190:AI190,3)="728", LEFT('CASE DATA'!X190:AI190,4)="901A"), "ineligible misd","eligible"),"n/a")</f>
        <v>n/a</v>
      </c>
      <c r="O189" s="40" t="str">
        <f>IF(N189="eligible",IF(COUNTIF('CASE DATA'!$D$4:$D$200, "")-COUNTIF('CASE DATA'!$A$4:$A$200, "")&gt;0, "YES","NO"),"N/A")</f>
        <v>N/A</v>
      </c>
      <c r="P189" s="40" t="str">
        <f>IF(N189="eligible",BANKRUPTCY!C190+BANKRUPTCY!D190,"N/A")</f>
        <v>N/A</v>
      </c>
      <c r="Q189" s="40" t="str">
        <f>IF(N189="eligible",SOL!C190+SOL!D190,"N/A")</f>
        <v>N/A</v>
      </c>
      <c r="R189" s="40" t="str">
        <f>IF(N189="eligible",SUM('CASE DATA'!K190:T190),"N/A")</f>
        <v>N/A</v>
      </c>
      <c r="S189" s="40" t="str">
        <f>IF(N189="eligible",IF(C189+2920&lt;'BASIC INFO'!$B$3, "YES", "NO"),"N/A")</f>
        <v>N/A</v>
      </c>
      <c r="T189" s="39" t="str">
        <f>IF(OR('CASE DATA'!G190="DEF"), "YES", "NO")</f>
        <v>NO</v>
      </c>
      <c r="U189" s="35" t="str">
        <f>IF(T189="YES",'CASE DATA'!I190,"N/A")</f>
        <v>N/A</v>
      </c>
      <c r="V189" s="40" t="str">
        <f>IF(T189="YES",BANKRUPTCY!C190+BANKRUPTCY!D190,"N/A")</f>
        <v>N/A</v>
      </c>
      <c r="W189" s="40" t="str">
        <f>IF(T189="YES",SUM('CASE DATA'!K190:T190),"N/A")</f>
        <v>N/A</v>
      </c>
      <c r="X189" s="35" t="str">
        <f>IF(OR('CASE DATA'!F190="123.46",'CASE DATA'!F190="123.47"),"YES","NO")</f>
        <v>NO</v>
      </c>
      <c r="Y189" s="40" t="str">
        <f>IF(X189="YES",IF(C189+730.5&lt;'BASIC INFO'!$B$3, "YES","NO"), "N/A")</f>
        <v>N/A</v>
      </c>
      <c r="Z189" s="35" t="str">
        <f>IF('CASE DATA'!F190="725.1","YES","NO")</f>
        <v>NO</v>
      </c>
      <c r="AA189" s="35" t="str">
        <f>IF(Z189="YES",IF(C189+730.5&lt;'BASIC INFO'!$B$3, "YES","NO"), "N/A")</f>
        <v>N/A</v>
      </c>
      <c r="AB189" s="35" t="str">
        <f>IF('BASIC INFO'!$B$6+6574.5&gt;C189, "YES", "NO")</f>
        <v>YES</v>
      </c>
    </row>
    <row r="190" spans="1:28" x14ac:dyDescent="0.25">
      <c r="A190" s="35" t="str">
        <f>IF('CASE DATA'!A191="","z",'CASE DATA'!A191)</f>
        <v>z</v>
      </c>
      <c r="B190" s="66" t="str">
        <f>IF('CASE DATA'!A191="","",'CASE DATA'!E191)</f>
        <v/>
      </c>
      <c r="C190" s="36">
        <f>'CASE DATA'!D191</f>
        <v>0</v>
      </c>
      <c r="D190" s="37" t="str">
        <f>IF('CASE DATA'!I191="YES",SUM('CASE DATA'!K191:Q191),"n/a")</f>
        <v>n/a</v>
      </c>
      <c r="E190" s="38" t="str">
        <f>IF('CASE DATA'!G191="JUV", "YES", "NO")</f>
        <v>NO</v>
      </c>
      <c r="F190" s="38" t="str">
        <f t="array" ref="F190">IF(E190="YES",IF(SUM(COUNTIF('CASE DATA'!$G$4:$G$200, {"GTR","GPL","DEF","JUV"}))&gt;0, "YES","NO"),"N/A")</f>
        <v>N/A</v>
      </c>
      <c r="G190" s="38" t="str">
        <f>IF(E190="YES",IF(COUNTIF('CASE DATA'!$D$4:$D$200, "")-COUNTIF('CASE DATA'!$A$4:$A$200, "")&gt;0, "YES","NO"),"N/A")</f>
        <v>N/A</v>
      </c>
      <c r="H190" s="35" t="str">
        <f>_xlfn.IFS(E190="NO", "N/A", AND('BASIC INFO'!$B$3&gt;'BASIC INFO'!$B$6+6574.5, C190+730.5&lt;'BASIC INFO'!$B$3), "YES", 'BASIC INFO'!$B$3&lt;('BASIC INFO'!$B$6+6574.5), "NOT YET 18", C190+730.5&gt;'BASIC INFO'!$B$3, "NOT YET 2 YEARS")</f>
        <v>N/A</v>
      </c>
      <c r="I190" s="39" t="str">
        <f>IF(OR(AND(LEFT('CASE DATA'!F191,4)="321.",MID('CASE DATA'!A191,8,2)="SM"),MID('CASE DATA'!A191,8,2)="ST",MID('CASE DATA'!A191,8,2)="NT"),"TRAFFIC",IF(OR('CASE DATA'!G191="DISM", 'CASE DATA'!G191="ACQ", 'CASE DATA'!G191="NOTF", 'CASE DATA'!G191="WTHD", 'CASE DATA'!G191="TNSF"), "YES", "NO"))</f>
        <v>NO</v>
      </c>
      <c r="J190" s="40" t="str">
        <f>IF(I190="YES",'CASE DATA'!U191,"N/A")</f>
        <v>N/A</v>
      </c>
      <c r="K190" s="40" t="str">
        <f>IF(I190="YES",SOL!C191+SOL!D191,"N/A")</f>
        <v>N/A</v>
      </c>
      <c r="L190" s="35" t="str">
        <f>IF(I190="YES",IF(C190+180&lt;'BASIC INFO'!$B$3, "YES", "NO"),"N/A")</f>
        <v>N/A</v>
      </c>
      <c r="M190" s="40" t="str">
        <f t="array" ref="M190">IF(I190="TRAFFIC","n/a",IF(OR('CASE DATA'!G191="GTR", 'CASE DATA'!G191="GPL"),IF(SUM(COUNTIF('CASE DATA'!X191:AI191, 'CODE SECTIONS'!$V$2:$V$218&amp;"*"))&gt;0,"NO","YES"),"n/a"))</f>
        <v>n/a</v>
      </c>
      <c r="N190" s="40" t="str">
        <f t="array" ref="N190">IF(M190="YES",IF(OR((SUM(COUNTIF('CASE DATA'!X191:AI191,'CODE SECTIONS'!$X$2:$X$19&amp;"*"))&gt;0),LEFT('CASE DATA'!X191:AI191,4)="717C", LEFT('CASE DATA'!X191:AI191, 3)="719", LEFT('CASE DATA'!X191:AI191,3)="720", LEFT('CASE DATA'!X191:AI191,3)="724", LEFT('CASE DATA'!X191:AI191,3)="726", LEFT('CASE DATA'!X191:AI191,3)="728", LEFT('CASE DATA'!X191:AI191,4)="901A"), "ineligible misd","eligible"),"n/a")</f>
        <v>n/a</v>
      </c>
      <c r="O190" s="40" t="str">
        <f>IF(N190="eligible",IF(COUNTIF('CASE DATA'!$D$4:$D$200, "")-COUNTIF('CASE DATA'!$A$4:$A$200, "")&gt;0, "YES","NO"),"N/A")</f>
        <v>N/A</v>
      </c>
      <c r="P190" s="40" t="str">
        <f>IF(N190="eligible",BANKRUPTCY!C191+BANKRUPTCY!D191,"N/A")</f>
        <v>N/A</v>
      </c>
      <c r="Q190" s="40" t="str">
        <f>IF(N190="eligible",SOL!C191+SOL!D191,"N/A")</f>
        <v>N/A</v>
      </c>
      <c r="R190" s="40" t="str">
        <f>IF(N190="eligible",SUM('CASE DATA'!K191:T191),"N/A")</f>
        <v>N/A</v>
      </c>
      <c r="S190" s="40" t="str">
        <f>IF(N190="eligible",IF(C190+2920&lt;'BASIC INFO'!$B$3, "YES", "NO"),"N/A")</f>
        <v>N/A</v>
      </c>
      <c r="T190" s="39" t="str">
        <f>IF(OR('CASE DATA'!G191="DEF"), "YES", "NO")</f>
        <v>NO</v>
      </c>
      <c r="U190" s="35" t="str">
        <f>IF(T190="YES",'CASE DATA'!I191,"N/A")</f>
        <v>N/A</v>
      </c>
      <c r="V190" s="40" t="str">
        <f>IF(T190="YES",BANKRUPTCY!C191+BANKRUPTCY!D191,"N/A")</f>
        <v>N/A</v>
      </c>
      <c r="W190" s="40" t="str">
        <f>IF(T190="YES",SUM('CASE DATA'!K191:T191),"N/A")</f>
        <v>N/A</v>
      </c>
      <c r="X190" s="35" t="str">
        <f>IF(OR('CASE DATA'!F191="123.46",'CASE DATA'!F191="123.47"),"YES","NO")</f>
        <v>NO</v>
      </c>
      <c r="Y190" s="40" t="str">
        <f>IF(X190="YES",IF(C190+730.5&lt;'BASIC INFO'!$B$3, "YES","NO"), "N/A")</f>
        <v>N/A</v>
      </c>
      <c r="Z190" s="35" t="str">
        <f>IF('CASE DATA'!F191="725.1","YES","NO")</f>
        <v>NO</v>
      </c>
      <c r="AA190" s="35" t="str">
        <f>IF(Z190="YES",IF(C190+730.5&lt;'BASIC INFO'!$B$3, "YES","NO"), "N/A")</f>
        <v>N/A</v>
      </c>
      <c r="AB190" s="35" t="str">
        <f>IF('BASIC INFO'!$B$6+6574.5&gt;C190, "YES", "NO")</f>
        <v>YES</v>
      </c>
    </row>
    <row r="191" spans="1:28" x14ac:dyDescent="0.25">
      <c r="A191" s="35" t="str">
        <f>IF('CASE DATA'!A192="","z",'CASE DATA'!A192)</f>
        <v>z</v>
      </c>
      <c r="B191" s="66" t="str">
        <f>IF('CASE DATA'!A192="","",'CASE DATA'!E192)</f>
        <v/>
      </c>
      <c r="C191" s="36">
        <f>'CASE DATA'!D192</f>
        <v>0</v>
      </c>
      <c r="D191" s="37" t="str">
        <f>IF('CASE DATA'!I192="YES",SUM('CASE DATA'!K192:Q192),"n/a")</f>
        <v>n/a</v>
      </c>
      <c r="E191" s="38" t="str">
        <f>IF('CASE DATA'!G192="JUV", "YES", "NO")</f>
        <v>NO</v>
      </c>
      <c r="F191" s="38" t="str">
        <f t="array" ref="F191">IF(E191="YES",IF(SUM(COUNTIF('CASE DATA'!$G$4:$G$200, {"GTR","GPL","DEF","JUV"}))&gt;0, "YES","NO"),"N/A")</f>
        <v>N/A</v>
      </c>
      <c r="G191" s="38" t="str">
        <f>IF(E191="YES",IF(COUNTIF('CASE DATA'!$D$4:$D$200, "")-COUNTIF('CASE DATA'!$A$4:$A$200, "")&gt;0, "YES","NO"),"N/A")</f>
        <v>N/A</v>
      </c>
      <c r="H191" s="35" t="str">
        <f>_xlfn.IFS(E191="NO", "N/A", AND('BASIC INFO'!$B$3&gt;'BASIC INFO'!$B$6+6574.5, C191+730.5&lt;'BASIC INFO'!$B$3), "YES", 'BASIC INFO'!$B$3&lt;('BASIC INFO'!$B$6+6574.5), "NOT YET 18", C191+730.5&gt;'BASIC INFO'!$B$3, "NOT YET 2 YEARS")</f>
        <v>N/A</v>
      </c>
      <c r="I191" s="39" t="str">
        <f>IF(OR(AND(LEFT('CASE DATA'!F192,4)="321.",MID('CASE DATA'!A192,8,2)="SM"),MID('CASE DATA'!A192,8,2)="ST",MID('CASE DATA'!A192,8,2)="NT"),"TRAFFIC",IF(OR('CASE DATA'!G192="DISM", 'CASE DATA'!G192="ACQ", 'CASE DATA'!G192="NOTF", 'CASE DATA'!G192="WTHD", 'CASE DATA'!G192="TNSF"), "YES", "NO"))</f>
        <v>NO</v>
      </c>
      <c r="J191" s="40" t="str">
        <f>IF(I191="YES",'CASE DATA'!U192,"N/A")</f>
        <v>N/A</v>
      </c>
      <c r="K191" s="40" t="str">
        <f>IF(I191="YES",SOL!C192+SOL!D192,"N/A")</f>
        <v>N/A</v>
      </c>
      <c r="L191" s="35" t="str">
        <f>IF(I191="YES",IF(C191+180&lt;'BASIC INFO'!$B$3, "YES", "NO"),"N/A")</f>
        <v>N/A</v>
      </c>
      <c r="M191" s="40" t="str">
        <f t="array" ref="M191">IF(I191="TRAFFIC","n/a",IF(OR('CASE DATA'!G192="GTR", 'CASE DATA'!G192="GPL"),IF(SUM(COUNTIF('CASE DATA'!X192:AI192, 'CODE SECTIONS'!$V$2:$V$218&amp;"*"))&gt;0,"NO","YES"),"n/a"))</f>
        <v>n/a</v>
      </c>
      <c r="N191" s="40" t="str">
        <f t="array" ref="N191">IF(M191="YES",IF(OR((SUM(COUNTIF('CASE DATA'!X192:AI192,'CODE SECTIONS'!$X$2:$X$19&amp;"*"))&gt;0),LEFT('CASE DATA'!X192:AI192,4)="717C", LEFT('CASE DATA'!X192:AI192, 3)="719", LEFT('CASE DATA'!X192:AI192,3)="720", LEFT('CASE DATA'!X192:AI192,3)="724", LEFT('CASE DATA'!X192:AI192,3)="726", LEFT('CASE DATA'!X192:AI192,3)="728", LEFT('CASE DATA'!X192:AI192,4)="901A"), "ineligible misd","eligible"),"n/a")</f>
        <v>n/a</v>
      </c>
      <c r="O191" s="40" t="str">
        <f>IF(N191="eligible",IF(COUNTIF('CASE DATA'!$D$4:$D$200, "")-COUNTIF('CASE DATA'!$A$4:$A$200, "")&gt;0, "YES","NO"),"N/A")</f>
        <v>N/A</v>
      </c>
      <c r="P191" s="40" t="str">
        <f>IF(N191="eligible",BANKRUPTCY!C192+BANKRUPTCY!D192,"N/A")</f>
        <v>N/A</v>
      </c>
      <c r="Q191" s="40" t="str">
        <f>IF(N191="eligible",SOL!C192+SOL!D192,"N/A")</f>
        <v>N/A</v>
      </c>
      <c r="R191" s="40" t="str">
        <f>IF(N191="eligible",SUM('CASE DATA'!K192:T192),"N/A")</f>
        <v>N/A</v>
      </c>
      <c r="S191" s="40" t="str">
        <f>IF(N191="eligible",IF(C191+2920&lt;'BASIC INFO'!$B$3, "YES", "NO"),"N/A")</f>
        <v>N/A</v>
      </c>
      <c r="T191" s="39" t="str">
        <f>IF(OR('CASE DATA'!G192="DEF"), "YES", "NO")</f>
        <v>NO</v>
      </c>
      <c r="U191" s="35" t="str">
        <f>IF(T191="YES",'CASE DATA'!I192,"N/A")</f>
        <v>N/A</v>
      </c>
      <c r="V191" s="40" t="str">
        <f>IF(T191="YES",BANKRUPTCY!C192+BANKRUPTCY!D192,"N/A")</f>
        <v>N/A</v>
      </c>
      <c r="W191" s="40" t="str">
        <f>IF(T191="YES",SUM('CASE DATA'!K192:T192),"N/A")</f>
        <v>N/A</v>
      </c>
      <c r="X191" s="35" t="str">
        <f>IF(OR('CASE DATA'!F192="123.46",'CASE DATA'!F192="123.47"),"YES","NO")</f>
        <v>NO</v>
      </c>
      <c r="Y191" s="40" t="str">
        <f>IF(X191="YES",IF(C191+730.5&lt;'BASIC INFO'!$B$3, "YES","NO"), "N/A")</f>
        <v>N/A</v>
      </c>
      <c r="Z191" s="35" t="str">
        <f>IF('CASE DATA'!F192="725.1","YES","NO")</f>
        <v>NO</v>
      </c>
      <c r="AA191" s="35" t="str">
        <f>IF(Z191="YES",IF(C191+730.5&lt;'BASIC INFO'!$B$3, "YES","NO"), "N/A")</f>
        <v>N/A</v>
      </c>
      <c r="AB191" s="35" t="str">
        <f>IF('BASIC INFO'!$B$6+6574.5&gt;C191, "YES", "NO")</f>
        <v>YES</v>
      </c>
    </row>
    <row r="192" spans="1:28" x14ac:dyDescent="0.25">
      <c r="A192" s="35" t="str">
        <f>IF('CASE DATA'!A193="","z",'CASE DATA'!A193)</f>
        <v>z</v>
      </c>
      <c r="B192" s="66" t="str">
        <f>IF('CASE DATA'!A193="","",'CASE DATA'!E193)</f>
        <v/>
      </c>
      <c r="C192" s="36">
        <f>'CASE DATA'!D193</f>
        <v>0</v>
      </c>
      <c r="D192" s="37" t="str">
        <f>IF('CASE DATA'!I193="YES",SUM('CASE DATA'!K193:Q193),"n/a")</f>
        <v>n/a</v>
      </c>
      <c r="E192" s="38" t="str">
        <f>IF('CASE DATA'!G193="JUV", "YES", "NO")</f>
        <v>NO</v>
      </c>
      <c r="F192" s="38" t="str">
        <f t="array" ref="F192">IF(E192="YES",IF(SUM(COUNTIF('CASE DATA'!$G$4:$G$200, {"GTR","GPL","DEF","JUV"}))&gt;0, "YES","NO"),"N/A")</f>
        <v>N/A</v>
      </c>
      <c r="G192" s="38" t="str">
        <f>IF(E192="YES",IF(COUNTIF('CASE DATA'!$D$4:$D$200, "")-COUNTIF('CASE DATA'!$A$4:$A$200, "")&gt;0, "YES","NO"),"N/A")</f>
        <v>N/A</v>
      </c>
      <c r="H192" s="35" t="str">
        <f>_xlfn.IFS(E192="NO", "N/A", AND('BASIC INFO'!$B$3&gt;'BASIC INFO'!$B$6+6574.5, C192+730.5&lt;'BASIC INFO'!$B$3), "YES", 'BASIC INFO'!$B$3&lt;('BASIC INFO'!$B$6+6574.5), "NOT YET 18", C192+730.5&gt;'BASIC INFO'!$B$3, "NOT YET 2 YEARS")</f>
        <v>N/A</v>
      </c>
      <c r="I192" s="39" t="str">
        <f>IF(OR(AND(LEFT('CASE DATA'!F193,4)="321.",MID('CASE DATA'!A193,8,2)="SM"),MID('CASE DATA'!A193,8,2)="ST",MID('CASE DATA'!A193,8,2)="NT"),"TRAFFIC",IF(OR('CASE DATA'!G193="DISM", 'CASE DATA'!G193="ACQ", 'CASE DATA'!G193="NOTF", 'CASE DATA'!G193="WTHD", 'CASE DATA'!G193="TNSF"), "YES", "NO"))</f>
        <v>NO</v>
      </c>
      <c r="J192" s="40" t="str">
        <f>IF(I192="YES",'CASE DATA'!U193,"N/A")</f>
        <v>N/A</v>
      </c>
      <c r="K192" s="40" t="str">
        <f>IF(I192="YES",SOL!C193+SOL!D193,"N/A")</f>
        <v>N/A</v>
      </c>
      <c r="L192" s="35" t="str">
        <f>IF(I192="YES",IF(C192+180&lt;'BASIC INFO'!$B$3, "YES", "NO"),"N/A")</f>
        <v>N/A</v>
      </c>
      <c r="M192" s="40" t="str">
        <f t="array" ref="M192">IF(I192="TRAFFIC","n/a",IF(OR('CASE DATA'!G193="GTR", 'CASE DATA'!G193="GPL"),IF(SUM(COUNTIF('CASE DATA'!X193:AI193, 'CODE SECTIONS'!$V$2:$V$218&amp;"*"))&gt;0,"NO","YES"),"n/a"))</f>
        <v>n/a</v>
      </c>
      <c r="N192" s="40" t="str">
        <f t="array" ref="N192">IF(M192="YES",IF(OR((SUM(COUNTIF('CASE DATA'!X193:AI193,'CODE SECTIONS'!$X$2:$X$19&amp;"*"))&gt;0),LEFT('CASE DATA'!X193:AI193,4)="717C", LEFT('CASE DATA'!X193:AI193, 3)="719", LEFT('CASE DATA'!X193:AI193,3)="720", LEFT('CASE DATA'!X193:AI193,3)="724", LEFT('CASE DATA'!X193:AI193,3)="726", LEFT('CASE DATA'!X193:AI193,3)="728", LEFT('CASE DATA'!X193:AI193,4)="901A"), "ineligible misd","eligible"),"n/a")</f>
        <v>n/a</v>
      </c>
      <c r="O192" s="40" t="str">
        <f>IF(N192="eligible",IF(COUNTIF('CASE DATA'!$D$4:$D$200, "")-COUNTIF('CASE DATA'!$A$4:$A$200, "")&gt;0, "YES","NO"),"N/A")</f>
        <v>N/A</v>
      </c>
      <c r="P192" s="40" t="str">
        <f>IF(N192="eligible",BANKRUPTCY!C193+BANKRUPTCY!D193,"N/A")</f>
        <v>N/A</v>
      </c>
      <c r="Q192" s="40" t="str">
        <f>IF(N192="eligible",SOL!C193+SOL!D193,"N/A")</f>
        <v>N/A</v>
      </c>
      <c r="R192" s="40" t="str">
        <f>IF(N192="eligible",SUM('CASE DATA'!K193:T193),"N/A")</f>
        <v>N/A</v>
      </c>
      <c r="S192" s="40" t="str">
        <f>IF(N192="eligible",IF(C192+2920&lt;'BASIC INFO'!$B$3, "YES", "NO"),"N/A")</f>
        <v>N/A</v>
      </c>
      <c r="T192" s="39" t="str">
        <f>IF(OR('CASE DATA'!G193="DEF"), "YES", "NO")</f>
        <v>NO</v>
      </c>
      <c r="U192" s="35" t="str">
        <f>IF(T192="YES",'CASE DATA'!I193,"N/A")</f>
        <v>N/A</v>
      </c>
      <c r="V192" s="40" t="str">
        <f>IF(T192="YES",BANKRUPTCY!C193+BANKRUPTCY!D193,"N/A")</f>
        <v>N/A</v>
      </c>
      <c r="W192" s="40" t="str">
        <f>IF(T192="YES",SUM('CASE DATA'!K193:T193),"N/A")</f>
        <v>N/A</v>
      </c>
      <c r="X192" s="35" t="str">
        <f>IF(OR('CASE DATA'!F193="123.46",'CASE DATA'!F193="123.47"),"YES","NO")</f>
        <v>NO</v>
      </c>
      <c r="Y192" s="40" t="str">
        <f>IF(X192="YES",IF(C192+730.5&lt;'BASIC INFO'!$B$3, "YES","NO"), "N/A")</f>
        <v>N/A</v>
      </c>
      <c r="Z192" s="35" t="str">
        <f>IF('CASE DATA'!F193="725.1","YES","NO")</f>
        <v>NO</v>
      </c>
      <c r="AA192" s="35" t="str">
        <f>IF(Z192="YES",IF(C192+730.5&lt;'BASIC INFO'!$B$3, "YES","NO"), "N/A")</f>
        <v>N/A</v>
      </c>
      <c r="AB192" s="35" t="str">
        <f>IF('BASIC INFO'!$B$6+6574.5&gt;C192, "YES", "NO")</f>
        <v>YES</v>
      </c>
    </row>
    <row r="193" spans="1:28" x14ac:dyDescent="0.25">
      <c r="A193" s="35" t="str">
        <f>IF('CASE DATA'!A194="","z",'CASE DATA'!A194)</f>
        <v>z</v>
      </c>
      <c r="B193" s="66" t="str">
        <f>IF('CASE DATA'!A194="","",'CASE DATA'!E194)</f>
        <v/>
      </c>
      <c r="C193" s="36">
        <f>'CASE DATA'!D194</f>
        <v>0</v>
      </c>
      <c r="D193" s="37" t="str">
        <f>IF('CASE DATA'!I194="YES",SUM('CASE DATA'!K194:Q194),"n/a")</f>
        <v>n/a</v>
      </c>
      <c r="E193" s="38" t="str">
        <f>IF('CASE DATA'!G194="JUV", "YES", "NO")</f>
        <v>NO</v>
      </c>
      <c r="F193" s="38" t="str">
        <f t="array" ref="F193">IF(E193="YES",IF(SUM(COUNTIF('CASE DATA'!$G$4:$G$200, {"GTR","GPL","DEF","JUV"}))&gt;0, "YES","NO"),"N/A")</f>
        <v>N/A</v>
      </c>
      <c r="G193" s="38" t="str">
        <f>IF(E193="YES",IF(COUNTIF('CASE DATA'!$D$4:$D$200, "")-COUNTIF('CASE DATA'!$A$4:$A$200, "")&gt;0, "YES","NO"),"N/A")</f>
        <v>N/A</v>
      </c>
      <c r="H193" s="35" t="str">
        <f>_xlfn.IFS(E193="NO", "N/A", AND('BASIC INFO'!$B$3&gt;'BASIC INFO'!$B$6+6574.5, C193+730.5&lt;'BASIC INFO'!$B$3), "YES", 'BASIC INFO'!$B$3&lt;('BASIC INFO'!$B$6+6574.5), "NOT YET 18", C193+730.5&gt;'BASIC INFO'!$B$3, "NOT YET 2 YEARS")</f>
        <v>N/A</v>
      </c>
      <c r="I193" s="39" t="str">
        <f>IF(OR(AND(LEFT('CASE DATA'!F194,4)="321.",MID('CASE DATA'!A194,8,2)="SM"),MID('CASE DATA'!A194,8,2)="ST",MID('CASE DATA'!A194,8,2)="NT"),"TRAFFIC",IF(OR('CASE DATA'!G194="DISM", 'CASE DATA'!G194="ACQ", 'CASE DATA'!G194="NOTF", 'CASE DATA'!G194="WTHD", 'CASE DATA'!G194="TNSF"), "YES", "NO"))</f>
        <v>NO</v>
      </c>
      <c r="J193" s="40" t="str">
        <f>IF(I193="YES",'CASE DATA'!U194,"N/A")</f>
        <v>N/A</v>
      </c>
      <c r="K193" s="40" t="str">
        <f>IF(I193="YES",SOL!C194+SOL!D194,"N/A")</f>
        <v>N/A</v>
      </c>
      <c r="L193" s="35" t="str">
        <f>IF(I193="YES",IF(C193+180&lt;'BASIC INFO'!$B$3, "YES", "NO"),"N/A")</f>
        <v>N/A</v>
      </c>
      <c r="M193" s="40" t="str">
        <f t="array" ref="M193">IF(I193="TRAFFIC","n/a",IF(OR('CASE DATA'!G194="GTR", 'CASE DATA'!G194="GPL"),IF(SUM(COUNTIF('CASE DATA'!X194:AI194, 'CODE SECTIONS'!$V$2:$V$218&amp;"*"))&gt;0,"NO","YES"),"n/a"))</f>
        <v>n/a</v>
      </c>
      <c r="N193" s="40" t="str">
        <f t="array" ref="N193">IF(M193="YES",IF(OR((SUM(COUNTIF('CASE DATA'!X194:AI194,'CODE SECTIONS'!$X$2:$X$19&amp;"*"))&gt;0),LEFT('CASE DATA'!X194:AI194,4)="717C", LEFT('CASE DATA'!X194:AI194, 3)="719", LEFT('CASE DATA'!X194:AI194,3)="720", LEFT('CASE DATA'!X194:AI194,3)="724", LEFT('CASE DATA'!X194:AI194,3)="726", LEFT('CASE DATA'!X194:AI194,3)="728", LEFT('CASE DATA'!X194:AI194,4)="901A"), "ineligible misd","eligible"),"n/a")</f>
        <v>n/a</v>
      </c>
      <c r="O193" s="40" t="str">
        <f>IF(N193="eligible",IF(COUNTIF('CASE DATA'!$D$4:$D$200, "")-COUNTIF('CASE DATA'!$A$4:$A$200, "")&gt;0, "YES","NO"),"N/A")</f>
        <v>N/A</v>
      </c>
      <c r="P193" s="40" t="str">
        <f>IF(N193="eligible",BANKRUPTCY!C194+BANKRUPTCY!D194,"N/A")</f>
        <v>N/A</v>
      </c>
      <c r="Q193" s="40" t="str">
        <f>IF(N193="eligible",SOL!C194+SOL!D194,"N/A")</f>
        <v>N/A</v>
      </c>
      <c r="R193" s="40" t="str">
        <f>IF(N193="eligible",SUM('CASE DATA'!K194:T194),"N/A")</f>
        <v>N/A</v>
      </c>
      <c r="S193" s="40" t="str">
        <f>IF(N193="eligible",IF(C193+2920&lt;'BASIC INFO'!$B$3, "YES", "NO"),"N/A")</f>
        <v>N/A</v>
      </c>
      <c r="T193" s="39" t="str">
        <f>IF(OR('CASE DATA'!G194="DEF"), "YES", "NO")</f>
        <v>NO</v>
      </c>
      <c r="U193" s="35" t="str">
        <f>IF(T193="YES",'CASE DATA'!I194,"N/A")</f>
        <v>N/A</v>
      </c>
      <c r="V193" s="40" t="str">
        <f>IF(T193="YES",BANKRUPTCY!C194+BANKRUPTCY!D194,"N/A")</f>
        <v>N/A</v>
      </c>
      <c r="W193" s="40" t="str">
        <f>IF(T193="YES",SUM('CASE DATA'!K194:T194),"N/A")</f>
        <v>N/A</v>
      </c>
      <c r="X193" s="35" t="str">
        <f>IF(OR('CASE DATA'!F194="123.46",'CASE DATA'!F194="123.47"),"YES","NO")</f>
        <v>NO</v>
      </c>
      <c r="Y193" s="40" t="str">
        <f>IF(X193="YES",IF(C193+730.5&lt;'BASIC INFO'!$B$3, "YES","NO"), "N/A")</f>
        <v>N/A</v>
      </c>
      <c r="Z193" s="35" t="str">
        <f>IF('CASE DATA'!F194="725.1","YES","NO")</f>
        <v>NO</v>
      </c>
      <c r="AA193" s="35" t="str">
        <f>IF(Z193="YES",IF(C193+730.5&lt;'BASIC INFO'!$B$3, "YES","NO"), "N/A")</f>
        <v>N/A</v>
      </c>
      <c r="AB193" s="35" t="str">
        <f>IF('BASIC INFO'!$B$6+6574.5&gt;C193, "YES", "NO")</f>
        <v>YES</v>
      </c>
    </row>
    <row r="194" spans="1:28" x14ac:dyDescent="0.25">
      <c r="A194" s="35" t="str">
        <f>IF('CASE DATA'!A195="","z",'CASE DATA'!A195)</f>
        <v>z</v>
      </c>
      <c r="B194" s="66" t="str">
        <f>IF('CASE DATA'!A195="","",'CASE DATA'!E195)</f>
        <v/>
      </c>
      <c r="C194" s="36">
        <f>'CASE DATA'!D195</f>
        <v>0</v>
      </c>
      <c r="D194" s="37" t="str">
        <f>IF('CASE DATA'!I195="YES",SUM('CASE DATA'!K195:Q195),"n/a")</f>
        <v>n/a</v>
      </c>
      <c r="E194" s="38" t="str">
        <f>IF('CASE DATA'!G195="JUV", "YES", "NO")</f>
        <v>NO</v>
      </c>
      <c r="F194" s="38" t="str">
        <f t="array" ref="F194">IF(E194="YES",IF(SUM(COUNTIF('CASE DATA'!$G$4:$G$200, {"GTR","GPL","DEF","JUV"}))&gt;0, "YES","NO"),"N/A")</f>
        <v>N/A</v>
      </c>
      <c r="G194" s="38" t="str">
        <f>IF(E194="YES",IF(COUNTIF('CASE DATA'!$D$4:$D$200, "")-COUNTIF('CASE DATA'!$A$4:$A$200, "")&gt;0, "YES","NO"),"N/A")</f>
        <v>N/A</v>
      </c>
      <c r="H194" s="35" t="str">
        <f>_xlfn.IFS(E194="NO", "N/A", AND('BASIC INFO'!$B$3&gt;'BASIC INFO'!$B$6+6574.5, C194+730.5&lt;'BASIC INFO'!$B$3), "YES", 'BASIC INFO'!$B$3&lt;('BASIC INFO'!$B$6+6574.5), "NOT YET 18", C194+730.5&gt;'BASIC INFO'!$B$3, "NOT YET 2 YEARS")</f>
        <v>N/A</v>
      </c>
      <c r="I194" s="39" t="str">
        <f>IF(OR(AND(LEFT('CASE DATA'!F195,4)="321.",MID('CASE DATA'!A195,8,2)="SM"),MID('CASE DATA'!A195,8,2)="ST",MID('CASE DATA'!A195,8,2)="NT"),"TRAFFIC",IF(OR('CASE DATA'!G195="DISM", 'CASE DATA'!G195="ACQ", 'CASE DATA'!G195="NOTF", 'CASE DATA'!G195="WTHD", 'CASE DATA'!G195="TNSF"), "YES", "NO"))</f>
        <v>NO</v>
      </c>
      <c r="J194" s="40" t="str">
        <f>IF(I194="YES",'CASE DATA'!U195,"N/A")</f>
        <v>N/A</v>
      </c>
      <c r="K194" s="40" t="str">
        <f>IF(I194="YES",SOL!C195+SOL!D195,"N/A")</f>
        <v>N/A</v>
      </c>
      <c r="L194" s="35" t="str">
        <f>IF(I194="YES",IF(C194+180&lt;'BASIC INFO'!$B$3, "YES", "NO"),"N/A")</f>
        <v>N/A</v>
      </c>
      <c r="M194" s="40" t="str">
        <f t="array" ref="M194">IF(I194="TRAFFIC","n/a",IF(OR('CASE DATA'!G195="GTR", 'CASE DATA'!G195="GPL"),IF(SUM(COUNTIF('CASE DATA'!X195:AI195, 'CODE SECTIONS'!$V$2:$V$218&amp;"*"))&gt;0,"NO","YES"),"n/a"))</f>
        <v>n/a</v>
      </c>
      <c r="N194" s="40" t="str">
        <f t="array" ref="N194">IF(M194="YES",IF(OR((SUM(COUNTIF('CASE DATA'!X195:AI195,'CODE SECTIONS'!$X$2:$X$19&amp;"*"))&gt;0),LEFT('CASE DATA'!X195:AI195,4)="717C", LEFT('CASE DATA'!X195:AI195, 3)="719", LEFT('CASE DATA'!X195:AI195,3)="720", LEFT('CASE DATA'!X195:AI195,3)="724", LEFT('CASE DATA'!X195:AI195,3)="726", LEFT('CASE DATA'!X195:AI195,3)="728", LEFT('CASE DATA'!X195:AI195,4)="901A"), "ineligible misd","eligible"),"n/a")</f>
        <v>n/a</v>
      </c>
      <c r="O194" s="40" t="str">
        <f>IF(N194="eligible",IF(COUNTIF('CASE DATA'!$D$4:$D$200, "")-COUNTIF('CASE DATA'!$A$4:$A$200, "")&gt;0, "YES","NO"),"N/A")</f>
        <v>N/A</v>
      </c>
      <c r="P194" s="40" t="str">
        <f>IF(N194="eligible",BANKRUPTCY!C195+BANKRUPTCY!D195,"N/A")</f>
        <v>N/A</v>
      </c>
      <c r="Q194" s="40" t="str">
        <f>IF(N194="eligible",SOL!C195+SOL!D195,"N/A")</f>
        <v>N/A</v>
      </c>
      <c r="R194" s="40" t="str">
        <f>IF(N194="eligible",SUM('CASE DATA'!K195:T195),"N/A")</f>
        <v>N/A</v>
      </c>
      <c r="S194" s="40" t="str">
        <f>IF(N194="eligible",IF(C194+2920&lt;'BASIC INFO'!$B$3, "YES", "NO"),"N/A")</f>
        <v>N/A</v>
      </c>
      <c r="T194" s="39" t="str">
        <f>IF(OR('CASE DATA'!G195="DEF"), "YES", "NO")</f>
        <v>NO</v>
      </c>
      <c r="U194" s="35" t="str">
        <f>IF(T194="YES",'CASE DATA'!I195,"N/A")</f>
        <v>N/A</v>
      </c>
      <c r="V194" s="40" t="str">
        <f>IF(T194="YES",BANKRUPTCY!C195+BANKRUPTCY!D195,"N/A")</f>
        <v>N/A</v>
      </c>
      <c r="W194" s="40" t="str">
        <f>IF(T194="YES",SUM('CASE DATA'!K195:T195),"N/A")</f>
        <v>N/A</v>
      </c>
      <c r="X194" s="35" t="str">
        <f>IF(OR('CASE DATA'!F195="123.46",'CASE DATA'!F195="123.47"),"YES","NO")</f>
        <v>NO</v>
      </c>
      <c r="Y194" s="40" t="str">
        <f>IF(X194="YES",IF(C194+730.5&lt;'BASIC INFO'!$B$3, "YES","NO"), "N/A")</f>
        <v>N/A</v>
      </c>
      <c r="Z194" s="35" t="str">
        <f>IF('CASE DATA'!F195="725.1","YES","NO")</f>
        <v>NO</v>
      </c>
      <c r="AA194" s="35" t="str">
        <f>IF(Z194="YES",IF(C194+730.5&lt;'BASIC INFO'!$B$3, "YES","NO"), "N/A")</f>
        <v>N/A</v>
      </c>
      <c r="AB194" s="35" t="str">
        <f>IF('BASIC INFO'!$B$6+6574.5&gt;C194, "YES", "NO")</f>
        <v>YES</v>
      </c>
    </row>
    <row r="195" spans="1:28" x14ac:dyDescent="0.25">
      <c r="A195" s="35" t="str">
        <f>IF('CASE DATA'!A196="","z",'CASE DATA'!A196)</f>
        <v>z</v>
      </c>
      <c r="B195" s="66" t="str">
        <f>IF('CASE DATA'!A196="","",'CASE DATA'!E196)</f>
        <v/>
      </c>
      <c r="C195" s="36">
        <f>'CASE DATA'!D196</f>
        <v>0</v>
      </c>
      <c r="D195" s="37" t="str">
        <f>IF('CASE DATA'!I196="YES",SUM('CASE DATA'!K196:Q196),"n/a")</f>
        <v>n/a</v>
      </c>
      <c r="E195" s="38" t="str">
        <f>IF('CASE DATA'!G196="JUV", "YES", "NO")</f>
        <v>NO</v>
      </c>
      <c r="F195" s="38" t="str">
        <f t="array" ref="F195">IF(E195="YES",IF(SUM(COUNTIF('CASE DATA'!$G$4:$G$200, {"GTR","GPL","DEF","JUV"}))&gt;0, "YES","NO"),"N/A")</f>
        <v>N/A</v>
      </c>
      <c r="G195" s="38" t="str">
        <f>IF(E195="YES",IF(COUNTIF('CASE DATA'!$D$4:$D$200, "")-COUNTIF('CASE DATA'!$A$4:$A$200, "")&gt;0, "YES","NO"),"N/A")</f>
        <v>N/A</v>
      </c>
      <c r="H195" s="35" t="str">
        <f>_xlfn.IFS(E195="NO", "N/A", AND('BASIC INFO'!$B$3&gt;'BASIC INFO'!$B$6+6574.5, C195+730.5&lt;'BASIC INFO'!$B$3), "YES", 'BASIC INFO'!$B$3&lt;('BASIC INFO'!$B$6+6574.5), "NOT YET 18", C195+730.5&gt;'BASIC INFO'!$B$3, "NOT YET 2 YEARS")</f>
        <v>N/A</v>
      </c>
      <c r="I195" s="39" t="str">
        <f>IF(OR(AND(LEFT('CASE DATA'!F196,4)="321.",MID('CASE DATA'!A196,8,2)="SM"),MID('CASE DATA'!A196,8,2)="ST",MID('CASE DATA'!A196,8,2)="NT"),"TRAFFIC",IF(OR('CASE DATA'!G196="DISM", 'CASE DATA'!G196="ACQ", 'CASE DATA'!G196="NOTF", 'CASE DATA'!G196="WTHD", 'CASE DATA'!G196="TNSF"), "YES", "NO"))</f>
        <v>NO</v>
      </c>
      <c r="J195" s="40" t="str">
        <f>IF(I195="YES",'CASE DATA'!U196,"N/A")</f>
        <v>N/A</v>
      </c>
      <c r="K195" s="40" t="str">
        <f>IF(I195="YES",SOL!C196+SOL!D196,"N/A")</f>
        <v>N/A</v>
      </c>
      <c r="L195" s="35" t="str">
        <f>IF(I195="YES",IF(C195+180&lt;'BASIC INFO'!$B$3, "YES", "NO"),"N/A")</f>
        <v>N/A</v>
      </c>
      <c r="M195" s="40" t="str">
        <f t="array" ref="M195">IF(I195="TRAFFIC","n/a",IF(OR('CASE DATA'!G196="GTR", 'CASE DATA'!G196="GPL"),IF(SUM(COUNTIF('CASE DATA'!X196:AI196, 'CODE SECTIONS'!$V$2:$V$218&amp;"*"))&gt;0,"NO","YES"),"n/a"))</f>
        <v>n/a</v>
      </c>
      <c r="N195" s="40" t="str">
        <f t="array" ref="N195">IF(M195="YES",IF(OR((SUM(COUNTIF('CASE DATA'!X196:AI196,'CODE SECTIONS'!$X$2:$X$19&amp;"*"))&gt;0),LEFT('CASE DATA'!X196:AI196,4)="717C", LEFT('CASE DATA'!X196:AI196, 3)="719", LEFT('CASE DATA'!X196:AI196,3)="720", LEFT('CASE DATA'!X196:AI196,3)="724", LEFT('CASE DATA'!X196:AI196,3)="726", LEFT('CASE DATA'!X196:AI196,3)="728", LEFT('CASE DATA'!X196:AI196,4)="901A"), "ineligible misd","eligible"),"n/a")</f>
        <v>n/a</v>
      </c>
      <c r="O195" s="40" t="str">
        <f>IF(N195="eligible",IF(COUNTIF('CASE DATA'!$D$4:$D$200, "")-COUNTIF('CASE DATA'!$A$4:$A$200, "")&gt;0, "YES","NO"),"N/A")</f>
        <v>N/A</v>
      </c>
      <c r="P195" s="40" t="str">
        <f>IF(N195="eligible",BANKRUPTCY!C196+BANKRUPTCY!D196,"N/A")</f>
        <v>N/A</v>
      </c>
      <c r="Q195" s="40" t="str">
        <f>IF(N195="eligible",SOL!C196+SOL!D196,"N/A")</f>
        <v>N/A</v>
      </c>
      <c r="R195" s="40" t="str">
        <f>IF(N195="eligible",SUM('CASE DATA'!K196:T196),"N/A")</f>
        <v>N/A</v>
      </c>
      <c r="S195" s="40" t="str">
        <f>IF(N195="eligible",IF(C195+2920&lt;'BASIC INFO'!$B$3, "YES", "NO"),"N/A")</f>
        <v>N/A</v>
      </c>
      <c r="T195" s="39" t="str">
        <f>IF(OR('CASE DATA'!G196="DEF"), "YES", "NO")</f>
        <v>NO</v>
      </c>
      <c r="U195" s="35" t="str">
        <f>IF(T195="YES",'CASE DATA'!I196,"N/A")</f>
        <v>N/A</v>
      </c>
      <c r="V195" s="40" t="str">
        <f>IF(T195="YES",BANKRUPTCY!C196+BANKRUPTCY!D196,"N/A")</f>
        <v>N/A</v>
      </c>
      <c r="W195" s="40" t="str">
        <f>IF(T195="YES",SUM('CASE DATA'!K196:T196),"N/A")</f>
        <v>N/A</v>
      </c>
      <c r="X195" s="35" t="str">
        <f>IF(OR('CASE DATA'!F196="123.46",'CASE DATA'!F196="123.47"),"YES","NO")</f>
        <v>NO</v>
      </c>
      <c r="Y195" s="40" t="str">
        <f>IF(X195="YES",IF(C195+730.5&lt;'BASIC INFO'!$B$3, "YES","NO"), "N/A")</f>
        <v>N/A</v>
      </c>
      <c r="Z195" s="35" t="str">
        <f>IF('CASE DATA'!F196="725.1","YES","NO")</f>
        <v>NO</v>
      </c>
      <c r="AA195" s="35" t="str">
        <f>IF(Z195="YES",IF(C195+730.5&lt;'BASIC INFO'!$B$3, "YES","NO"), "N/A")</f>
        <v>N/A</v>
      </c>
      <c r="AB195" s="35" t="str">
        <f>IF('BASIC INFO'!$B$6+6574.5&gt;C195, "YES", "NO")</f>
        <v>YES</v>
      </c>
    </row>
    <row r="196" spans="1:28" x14ac:dyDescent="0.25">
      <c r="A196" s="35" t="str">
        <f>IF('CASE DATA'!A197="","z",'CASE DATA'!A197)</f>
        <v>z</v>
      </c>
      <c r="B196" s="66" t="str">
        <f>IF('CASE DATA'!A197="","",'CASE DATA'!E197)</f>
        <v/>
      </c>
      <c r="C196" s="36">
        <f>'CASE DATA'!D197</f>
        <v>0</v>
      </c>
      <c r="D196" s="37" t="str">
        <f>IF('CASE DATA'!I197="YES",SUM('CASE DATA'!K197:Q197),"n/a")</f>
        <v>n/a</v>
      </c>
      <c r="E196" s="38" t="str">
        <f>IF('CASE DATA'!G197="JUV", "YES", "NO")</f>
        <v>NO</v>
      </c>
      <c r="F196" s="38" t="str">
        <f t="array" ref="F196">IF(E196="YES",IF(SUM(COUNTIF('CASE DATA'!$G$4:$G$200, {"GTR","GPL","DEF","JUV"}))&gt;0, "YES","NO"),"N/A")</f>
        <v>N/A</v>
      </c>
      <c r="G196" s="38" t="str">
        <f>IF(E196="YES",IF(COUNTIF('CASE DATA'!$D$4:$D$200, "")-COUNTIF('CASE DATA'!$A$4:$A$200, "")&gt;0, "YES","NO"),"N/A")</f>
        <v>N/A</v>
      </c>
      <c r="H196" s="35" t="str">
        <f>_xlfn.IFS(E196="NO", "N/A", AND('BASIC INFO'!$B$3&gt;'BASIC INFO'!$B$6+6574.5, C196+730.5&lt;'BASIC INFO'!$B$3), "YES", 'BASIC INFO'!$B$3&lt;('BASIC INFO'!$B$6+6574.5), "NOT YET 18", C196+730.5&gt;'BASIC INFO'!$B$3, "NOT YET 2 YEARS")</f>
        <v>N/A</v>
      </c>
      <c r="I196" s="39" t="str">
        <f>IF(OR(AND(LEFT('CASE DATA'!F197,4)="321.",MID('CASE DATA'!A197,8,2)="SM"),MID('CASE DATA'!A197,8,2)="ST",MID('CASE DATA'!A197,8,2)="NT"),"TRAFFIC",IF(OR('CASE DATA'!G197="DISM", 'CASE DATA'!G197="ACQ", 'CASE DATA'!G197="NOTF", 'CASE DATA'!G197="WTHD", 'CASE DATA'!G197="TNSF"), "YES", "NO"))</f>
        <v>NO</v>
      </c>
      <c r="J196" s="40" t="str">
        <f>IF(I196="YES",'CASE DATA'!U197,"N/A")</f>
        <v>N/A</v>
      </c>
      <c r="K196" s="40" t="str">
        <f>IF(I196="YES",SOL!C197+SOL!D197,"N/A")</f>
        <v>N/A</v>
      </c>
      <c r="L196" s="35" t="str">
        <f>IF(I196="YES",IF(C196+180&lt;'BASIC INFO'!$B$3, "YES", "NO"),"N/A")</f>
        <v>N/A</v>
      </c>
      <c r="M196" s="40" t="str">
        <f t="array" ref="M196">IF(I196="TRAFFIC","n/a",IF(OR('CASE DATA'!G197="GTR", 'CASE DATA'!G197="GPL"),IF(SUM(COUNTIF('CASE DATA'!X197:AI197, 'CODE SECTIONS'!$V$2:$V$218&amp;"*"))&gt;0,"NO","YES"),"n/a"))</f>
        <v>n/a</v>
      </c>
      <c r="N196" s="40" t="str">
        <f t="array" ref="N196">IF(M196="YES",IF(OR((SUM(COUNTIF('CASE DATA'!X197:AI197,'CODE SECTIONS'!$X$2:$X$19&amp;"*"))&gt;0),LEFT('CASE DATA'!X197:AI197,4)="717C", LEFT('CASE DATA'!X197:AI197, 3)="719", LEFT('CASE DATA'!X197:AI197,3)="720", LEFT('CASE DATA'!X197:AI197,3)="724", LEFT('CASE DATA'!X197:AI197,3)="726", LEFT('CASE DATA'!X197:AI197,3)="728", LEFT('CASE DATA'!X197:AI197,4)="901A"), "ineligible misd","eligible"),"n/a")</f>
        <v>n/a</v>
      </c>
      <c r="O196" s="40" t="str">
        <f>IF(N196="eligible",IF(COUNTIF('CASE DATA'!$D$4:$D$200, "")-COUNTIF('CASE DATA'!$A$4:$A$200, "")&gt;0, "YES","NO"),"N/A")</f>
        <v>N/A</v>
      </c>
      <c r="P196" s="40" t="str">
        <f>IF(N196="eligible",BANKRUPTCY!C197+BANKRUPTCY!D197,"N/A")</f>
        <v>N/A</v>
      </c>
      <c r="Q196" s="40" t="str">
        <f>IF(N196="eligible",SOL!C197+SOL!D197,"N/A")</f>
        <v>N/A</v>
      </c>
      <c r="R196" s="40" t="str">
        <f>IF(N196="eligible",SUM('CASE DATA'!K197:T197),"N/A")</f>
        <v>N/A</v>
      </c>
      <c r="S196" s="40" t="str">
        <f>IF(N196="eligible",IF(C196+2920&lt;'BASIC INFO'!$B$3, "YES", "NO"),"N/A")</f>
        <v>N/A</v>
      </c>
      <c r="T196" s="39" t="str">
        <f>IF(OR('CASE DATA'!G197="DEF"), "YES", "NO")</f>
        <v>NO</v>
      </c>
      <c r="U196" s="35" t="str">
        <f>IF(T196="YES",'CASE DATA'!I197,"N/A")</f>
        <v>N/A</v>
      </c>
      <c r="V196" s="40" t="str">
        <f>IF(T196="YES",BANKRUPTCY!C197+BANKRUPTCY!D197,"N/A")</f>
        <v>N/A</v>
      </c>
      <c r="W196" s="40" t="str">
        <f>IF(T196="YES",SUM('CASE DATA'!K197:T197),"N/A")</f>
        <v>N/A</v>
      </c>
      <c r="X196" s="35" t="str">
        <f>IF(OR('CASE DATA'!F197="123.46",'CASE DATA'!F197="123.47"),"YES","NO")</f>
        <v>NO</v>
      </c>
      <c r="Y196" s="40" t="str">
        <f>IF(X196="YES",IF(C196+730.5&lt;'BASIC INFO'!$B$3, "YES","NO"), "N/A")</f>
        <v>N/A</v>
      </c>
      <c r="Z196" s="35" t="str">
        <f>IF('CASE DATA'!F197="725.1","YES","NO")</f>
        <v>NO</v>
      </c>
      <c r="AA196" s="35" t="str">
        <f>IF(Z196="YES",IF(C196+730.5&lt;'BASIC INFO'!$B$3, "YES","NO"), "N/A")</f>
        <v>N/A</v>
      </c>
      <c r="AB196" s="35" t="str">
        <f>IF('BASIC INFO'!$B$6+6574.5&gt;C196, "YES", "NO")</f>
        <v>YES</v>
      </c>
    </row>
    <row r="197" spans="1:28" x14ac:dyDescent="0.25">
      <c r="A197" s="35" t="str">
        <f>IF('CASE DATA'!A198="","z",'CASE DATA'!A198)</f>
        <v>z</v>
      </c>
      <c r="B197" s="66" t="str">
        <f>IF('CASE DATA'!A198="","",'CASE DATA'!E198)</f>
        <v/>
      </c>
      <c r="C197" s="36">
        <f>'CASE DATA'!D198</f>
        <v>0</v>
      </c>
      <c r="D197" s="37" t="str">
        <f>IF('CASE DATA'!I198="YES",SUM('CASE DATA'!K198:Q198),"n/a")</f>
        <v>n/a</v>
      </c>
      <c r="E197" s="38" t="str">
        <f>IF('CASE DATA'!G198="JUV", "YES", "NO")</f>
        <v>NO</v>
      </c>
      <c r="F197" s="38" t="str">
        <f t="array" ref="F197">IF(E197="YES",IF(SUM(COUNTIF('CASE DATA'!$G$4:$G$200, {"GTR","GPL","DEF","JUV"}))&gt;0, "YES","NO"),"N/A")</f>
        <v>N/A</v>
      </c>
      <c r="G197" s="38" t="str">
        <f>IF(E197="YES",IF(COUNTIF('CASE DATA'!$D$4:$D$200, "")-COUNTIF('CASE DATA'!$A$4:$A$200, "")&gt;0, "YES","NO"),"N/A")</f>
        <v>N/A</v>
      </c>
      <c r="H197" s="35" t="str">
        <f>_xlfn.IFS(E197="NO", "N/A", AND('BASIC INFO'!$B$3&gt;'BASIC INFO'!$B$6+6574.5, C197+730.5&lt;'BASIC INFO'!$B$3), "YES", 'BASIC INFO'!$B$3&lt;('BASIC INFO'!$B$6+6574.5), "NOT YET 18", C197+730.5&gt;'BASIC INFO'!$B$3, "NOT YET 2 YEARS")</f>
        <v>N/A</v>
      </c>
      <c r="I197" s="39" t="str">
        <f>IF(OR(AND(LEFT('CASE DATA'!F198,4)="321.",MID('CASE DATA'!A198,8,2)="SM"),MID('CASE DATA'!A198,8,2)="ST",MID('CASE DATA'!A198,8,2)="NT"),"TRAFFIC",IF(OR('CASE DATA'!G198="DISM", 'CASE DATA'!G198="ACQ", 'CASE DATA'!G198="NOTF", 'CASE DATA'!G198="WTHD", 'CASE DATA'!G198="TNSF"), "YES", "NO"))</f>
        <v>NO</v>
      </c>
      <c r="J197" s="40" t="str">
        <f>IF(I197="YES",'CASE DATA'!U198,"N/A")</f>
        <v>N/A</v>
      </c>
      <c r="K197" s="40" t="str">
        <f>IF(I197="YES",SOL!C198+SOL!D198,"N/A")</f>
        <v>N/A</v>
      </c>
      <c r="L197" s="35" t="str">
        <f>IF(I197="YES",IF(C197+180&lt;'BASIC INFO'!$B$3, "YES", "NO"),"N/A")</f>
        <v>N/A</v>
      </c>
      <c r="M197" s="40" t="str">
        <f t="array" ref="M197">IF(I197="TRAFFIC","n/a",IF(OR('CASE DATA'!G198="GTR", 'CASE DATA'!G198="GPL"),IF(SUM(COUNTIF('CASE DATA'!X198:AI198, 'CODE SECTIONS'!$V$2:$V$218&amp;"*"))&gt;0,"NO","YES"),"n/a"))</f>
        <v>n/a</v>
      </c>
      <c r="N197" s="40" t="str">
        <f t="array" ref="N197">IF(M197="YES",IF(OR((SUM(COUNTIF('CASE DATA'!X198:AI198,'CODE SECTIONS'!$X$2:$X$19&amp;"*"))&gt;0),LEFT('CASE DATA'!X198:AI198,4)="717C", LEFT('CASE DATA'!X198:AI198, 3)="719", LEFT('CASE DATA'!X198:AI198,3)="720", LEFT('CASE DATA'!X198:AI198,3)="724", LEFT('CASE DATA'!X198:AI198,3)="726", LEFT('CASE DATA'!X198:AI198,3)="728", LEFT('CASE DATA'!X198:AI198,4)="901A"), "ineligible misd","eligible"),"n/a")</f>
        <v>n/a</v>
      </c>
      <c r="O197" s="40" t="str">
        <f>IF(N197="eligible",IF(COUNTIF('CASE DATA'!$D$4:$D$200, "")-COUNTIF('CASE DATA'!$A$4:$A$200, "")&gt;0, "YES","NO"),"N/A")</f>
        <v>N/A</v>
      </c>
      <c r="P197" s="40" t="str">
        <f>IF(N197="eligible",BANKRUPTCY!C198+BANKRUPTCY!D198,"N/A")</f>
        <v>N/A</v>
      </c>
      <c r="Q197" s="40" t="str">
        <f>IF(N197="eligible",SOL!C198+SOL!D198,"N/A")</f>
        <v>N/A</v>
      </c>
      <c r="R197" s="40" t="str">
        <f>IF(N197="eligible",SUM('CASE DATA'!K198:T198),"N/A")</f>
        <v>N/A</v>
      </c>
      <c r="S197" s="40" t="str">
        <f>IF(N197="eligible",IF(C197+2920&lt;'BASIC INFO'!$B$3, "YES", "NO"),"N/A")</f>
        <v>N/A</v>
      </c>
      <c r="T197" s="39" t="str">
        <f>IF(OR('CASE DATA'!G198="DEF"), "YES", "NO")</f>
        <v>NO</v>
      </c>
      <c r="U197" s="35" t="str">
        <f>IF(T197="YES",'CASE DATA'!I198,"N/A")</f>
        <v>N/A</v>
      </c>
      <c r="V197" s="40" t="str">
        <f>IF(T197="YES",BANKRUPTCY!C198+BANKRUPTCY!D198,"N/A")</f>
        <v>N/A</v>
      </c>
      <c r="W197" s="40" t="str">
        <f>IF(T197="YES",SUM('CASE DATA'!K198:T198),"N/A")</f>
        <v>N/A</v>
      </c>
      <c r="X197" s="35" t="str">
        <f>IF(OR('CASE DATA'!F198="123.46",'CASE DATA'!F198="123.47"),"YES","NO")</f>
        <v>NO</v>
      </c>
      <c r="Y197" s="40" t="str">
        <f>IF(X197="YES",IF(C197+730.5&lt;'BASIC INFO'!$B$3, "YES","NO"), "N/A")</f>
        <v>N/A</v>
      </c>
      <c r="Z197" s="35" t="str">
        <f>IF('CASE DATA'!F198="725.1","YES","NO")</f>
        <v>NO</v>
      </c>
      <c r="AA197" s="35" t="str">
        <f>IF(Z197="YES",IF(C197+730.5&lt;'BASIC INFO'!$B$3, "YES","NO"), "N/A")</f>
        <v>N/A</v>
      </c>
      <c r="AB197" s="35" t="str">
        <f>IF('BASIC INFO'!$B$6+6574.5&gt;C197, "YES", "NO")</f>
        <v>YES</v>
      </c>
    </row>
    <row r="198" spans="1:28" x14ac:dyDescent="0.25">
      <c r="A198" s="35" t="str">
        <f>IF('CASE DATA'!A199="","z",'CASE DATA'!A199)</f>
        <v>z</v>
      </c>
      <c r="B198" s="66" t="str">
        <f>IF('CASE DATA'!A199="","",'CASE DATA'!E199)</f>
        <v/>
      </c>
      <c r="C198" s="36">
        <f>'CASE DATA'!D199</f>
        <v>0</v>
      </c>
      <c r="D198" s="37" t="str">
        <f>IF('CASE DATA'!I199="YES",SUM('CASE DATA'!K199:Q199),"n/a")</f>
        <v>n/a</v>
      </c>
      <c r="E198" s="38" t="str">
        <f>IF('CASE DATA'!G199="JUV", "YES", "NO")</f>
        <v>NO</v>
      </c>
      <c r="F198" s="38" t="str">
        <f t="array" ref="F198">IF(E198="YES",IF(SUM(COUNTIF('CASE DATA'!$G$4:$G$200, {"GTR","GPL","DEF","JUV"}))&gt;0, "YES","NO"),"N/A")</f>
        <v>N/A</v>
      </c>
      <c r="G198" s="38" t="str">
        <f>IF(E198="YES",IF(COUNTIF('CASE DATA'!$D$4:$D$200, "")-COUNTIF('CASE DATA'!$A$4:$A$200, "")&gt;0, "YES","NO"),"N/A")</f>
        <v>N/A</v>
      </c>
      <c r="H198" s="35" t="str">
        <f>_xlfn.IFS(E198="NO", "N/A", AND('BASIC INFO'!$B$3&gt;'BASIC INFO'!$B$6+6574.5, C198+730.5&lt;'BASIC INFO'!$B$3), "YES", 'BASIC INFO'!$B$3&lt;('BASIC INFO'!$B$6+6574.5), "NOT YET 18", C198+730.5&gt;'BASIC INFO'!$B$3, "NOT YET 2 YEARS")</f>
        <v>N/A</v>
      </c>
      <c r="I198" s="39" t="str">
        <f>IF(OR(AND(LEFT('CASE DATA'!F199,4)="321.",MID('CASE DATA'!A199,8,2)="SM"),MID('CASE DATA'!A199,8,2)="ST",MID('CASE DATA'!A199,8,2)="NT"),"TRAFFIC",IF(OR('CASE DATA'!G199="DISM", 'CASE DATA'!G199="ACQ", 'CASE DATA'!G199="NOTF", 'CASE DATA'!G199="WTHD", 'CASE DATA'!G199="TNSF"), "YES", "NO"))</f>
        <v>NO</v>
      </c>
      <c r="J198" s="40" t="str">
        <f>IF(I198="YES",'CASE DATA'!U199,"N/A")</f>
        <v>N/A</v>
      </c>
      <c r="K198" s="40" t="str">
        <f>IF(I198="YES",SOL!C199+SOL!D199,"N/A")</f>
        <v>N/A</v>
      </c>
      <c r="L198" s="35" t="str">
        <f>IF(I198="YES",IF(C198+180&lt;'BASIC INFO'!$B$3, "YES", "NO"),"N/A")</f>
        <v>N/A</v>
      </c>
      <c r="M198" s="40" t="str">
        <f t="array" ref="M198">IF(I198="TRAFFIC","n/a",IF(OR('CASE DATA'!G199="GTR", 'CASE DATA'!G199="GPL"),IF(SUM(COUNTIF('CASE DATA'!X199:AI199, 'CODE SECTIONS'!$V$2:$V$218&amp;"*"))&gt;0,"NO","YES"),"n/a"))</f>
        <v>n/a</v>
      </c>
      <c r="N198" s="40" t="str">
        <f t="array" ref="N198">IF(M198="YES",IF(OR((SUM(COUNTIF('CASE DATA'!X199:AI199,'CODE SECTIONS'!$X$2:$X$19&amp;"*"))&gt;0),LEFT('CASE DATA'!X199:AI199,4)="717C", LEFT('CASE DATA'!X199:AI199, 3)="719", LEFT('CASE DATA'!X199:AI199,3)="720", LEFT('CASE DATA'!X199:AI199,3)="724", LEFT('CASE DATA'!X199:AI199,3)="726", LEFT('CASE DATA'!X199:AI199,3)="728", LEFT('CASE DATA'!X199:AI199,4)="901A"), "ineligible misd","eligible"),"n/a")</f>
        <v>n/a</v>
      </c>
      <c r="O198" s="40" t="str">
        <f>IF(N198="eligible",IF(COUNTIF('CASE DATA'!$D$4:$D$200, "")-COUNTIF('CASE DATA'!$A$4:$A$200, "")&gt;0, "YES","NO"),"N/A")</f>
        <v>N/A</v>
      </c>
      <c r="P198" s="40" t="str">
        <f>IF(N198="eligible",BANKRUPTCY!C199+BANKRUPTCY!D199,"N/A")</f>
        <v>N/A</v>
      </c>
      <c r="Q198" s="40" t="str">
        <f>IF(N198="eligible",SOL!C199+SOL!D199,"N/A")</f>
        <v>N/A</v>
      </c>
      <c r="R198" s="40" t="str">
        <f>IF(N198="eligible",SUM('CASE DATA'!K199:T199),"N/A")</f>
        <v>N/A</v>
      </c>
      <c r="S198" s="40" t="str">
        <f>IF(N198="eligible",IF(C198+2920&lt;'BASIC INFO'!$B$3, "YES", "NO"),"N/A")</f>
        <v>N/A</v>
      </c>
      <c r="T198" s="39" t="str">
        <f>IF(OR('CASE DATA'!G199="DEF"), "YES", "NO")</f>
        <v>NO</v>
      </c>
      <c r="U198" s="35" t="str">
        <f>IF(T198="YES",'CASE DATA'!I199,"N/A")</f>
        <v>N/A</v>
      </c>
      <c r="V198" s="40" t="str">
        <f>IF(T198="YES",BANKRUPTCY!C199+BANKRUPTCY!D199,"N/A")</f>
        <v>N/A</v>
      </c>
      <c r="W198" s="40" t="str">
        <f>IF(T198="YES",SUM('CASE DATA'!K199:T199),"N/A")</f>
        <v>N/A</v>
      </c>
      <c r="X198" s="35" t="str">
        <f>IF(OR('CASE DATA'!F199="123.46",'CASE DATA'!F199="123.47"),"YES","NO")</f>
        <v>NO</v>
      </c>
      <c r="Y198" s="40" t="str">
        <f>IF(X198="YES",IF(C198+730.5&lt;'BASIC INFO'!$B$3, "YES","NO"), "N/A")</f>
        <v>N/A</v>
      </c>
      <c r="Z198" s="35" t="str">
        <f>IF('CASE DATA'!F199="725.1","YES","NO")</f>
        <v>NO</v>
      </c>
      <c r="AA198" s="35" t="str">
        <f>IF(Z198="YES",IF(C198+730.5&lt;'BASIC INFO'!$B$3, "YES","NO"), "N/A")</f>
        <v>N/A</v>
      </c>
      <c r="AB198" s="35" t="str">
        <f>IF('BASIC INFO'!$B$6+6574.5&gt;C198, "YES", "NO")</f>
        <v>YES</v>
      </c>
    </row>
    <row r="199" spans="1:28" x14ac:dyDescent="0.25">
      <c r="A199" s="35" t="str">
        <f>IF('CASE DATA'!A200="","z",'CASE DATA'!A200)</f>
        <v>z</v>
      </c>
      <c r="B199" s="66" t="str">
        <f>IF('CASE DATA'!A200="","",'CASE DATA'!E200)</f>
        <v/>
      </c>
      <c r="C199" s="36">
        <f>'CASE DATA'!D200</f>
        <v>0</v>
      </c>
      <c r="D199" s="37" t="str">
        <f>IF('CASE DATA'!I200="YES",SUM('CASE DATA'!K200:Q200),"n/a")</f>
        <v>n/a</v>
      </c>
      <c r="E199" s="38" t="str">
        <f>IF('CASE DATA'!G200="JUV", "YES", "NO")</f>
        <v>NO</v>
      </c>
      <c r="F199" s="38" t="str">
        <f t="array" ref="F199">IF(E199="YES",IF(SUM(COUNTIF('CASE DATA'!$G$4:$G$200, {"GTR","GPL","DEF","JUV"}))&gt;0, "YES","NO"),"N/A")</f>
        <v>N/A</v>
      </c>
      <c r="G199" s="38" t="str">
        <f>IF(E199="YES",IF(COUNTIF('CASE DATA'!$D$4:$D$200, "")-COUNTIF('CASE DATA'!$A$4:$A$200, "")&gt;0, "YES","NO"),"N/A")</f>
        <v>N/A</v>
      </c>
      <c r="H199" s="35" t="str">
        <f>_xlfn.IFS(E199="NO", "N/A", AND('BASIC INFO'!$B$3&gt;'BASIC INFO'!$B$6+6574.5, C199+730.5&lt;'BASIC INFO'!$B$3), "YES", 'BASIC INFO'!$B$3&lt;('BASIC INFO'!$B$6+6574.5), "NOT YET 18", C199+730.5&gt;'BASIC INFO'!$B$3, "NOT YET 2 YEARS")</f>
        <v>N/A</v>
      </c>
      <c r="I199" s="39" t="str">
        <f>IF(OR(AND(LEFT('CASE DATA'!F200,4)="321.",MID('CASE DATA'!A200,8,2)="SM"),MID('CASE DATA'!A200,8,2)="ST",MID('CASE DATA'!A200,8,2)="NT"),"TRAFFIC",IF(OR('CASE DATA'!G200="DISM", 'CASE DATA'!G200="ACQ", 'CASE DATA'!G200="NOTF", 'CASE DATA'!G200="WTHD", 'CASE DATA'!G200="TNSF"), "YES", "NO"))</f>
        <v>NO</v>
      </c>
      <c r="J199" s="40" t="str">
        <f>IF(I199="YES",'CASE DATA'!U200,"N/A")</f>
        <v>N/A</v>
      </c>
      <c r="K199" s="40" t="str">
        <f>IF(I199="YES",SOL!C200+SOL!D200,"N/A")</f>
        <v>N/A</v>
      </c>
      <c r="L199" s="35" t="str">
        <f>IF(I199="YES",IF(C199+180&lt;'BASIC INFO'!$B$3, "YES", "NO"),"N/A")</f>
        <v>N/A</v>
      </c>
      <c r="M199" s="40" t="str">
        <f t="array" ref="M199">IF(I199="TRAFFIC","n/a",IF(OR('CASE DATA'!G200="GTR", 'CASE DATA'!G200="GPL"),IF(SUM(COUNTIF('CASE DATA'!X200:AI200, 'CODE SECTIONS'!$V$2:$V$218&amp;"*"))&gt;0,"NO","YES"),"n/a"))</f>
        <v>n/a</v>
      </c>
      <c r="N199" s="40" t="str">
        <f t="array" ref="N199">IF(M199="YES",IF(OR((SUM(COUNTIF('CASE DATA'!X200:AI200,'CODE SECTIONS'!$X$2:$X$19&amp;"*"))&gt;0),LEFT('CASE DATA'!X200:AI200,4)="717C", LEFT('CASE DATA'!X200:AI200, 3)="719", LEFT('CASE DATA'!X200:AI200,3)="720", LEFT('CASE DATA'!X200:AI200,3)="724", LEFT('CASE DATA'!X200:AI200,3)="726", LEFT('CASE DATA'!X200:AI200,3)="728", LEFT('CASE DATA'!X200:AI200,4)="901A"), "ineligible misd","eligible"),"n/a")</f>
        <v>n/a</v>
      </c>
      <c r="O199" s="40" t="str">
        <f>IF(N199="eligible",IF(COUNTIF('CASE DATA'!$D$4:$D$200, "")-COUNTIF('CASE DATA'!$A$4:$A$200, "")&gt;0, "YES","NO"),"N/A")</f>
        <v>N/A</v>
      </c>
      <c r="P199" s="40" t="str">
        <f>IF(N199="eligible",BANKRUPTCY!C200+BANKRUPTCY!D200,"N/A")</f>
        <v>N/A</v>
      </c>
      <c r="Q199" s="40" t="str">
        <f>IF(N199="eligible",SOL!C200+SOL!D200,"N/A")</f>
        <v>N/A</v>
      </c>
      <c r="R199" s="40" t="str">
        <f>IF(N199="eligible",SUM('CASE DATA'!K200:T200),"N/A")</f>
        <v>N/A</v>
      </c>
      <c r="S199" s="40" t="str">
        <f>IF(N199="eligible",IF(C199+2920&lt;'BASIC INFO'!$B$3, "YES", "NO"),"N/A")</f>
        <v>N/A</v>
      </c>
      <c r="T199" s="39" t="str">
        <f>IF(OR('CASE DATA'!G200="DEF"), "YES", "NO")</f>
        <v>NO</v>
      </c>
      <c r="U199" s="35" t="str">
        <f>IF(T199="YES",'CASE DATA'!I200,"N/A")</f>
        <v>N/A</v>
      </c>
      <c r="V199" s="40" t="str">
        <f>IF(T199="YES",BANKRUPTCY!C200+BANKRUPTCY!D200,"N/A")</f>
        <v>N/A</v>
      </c>
      <c r="W199" s="40" t="str">
        <f>IF(T199="YES",SUM('CASE DATA'!K200:T200),"N/A")</f>
        <v>N/A</v>
      </c>
      <c r="X199" s="35" t="str">
        <f>IF(OR('CASE DATA'!F200="123.46",'CASE DATA'!F200="123.47"),"YES","NO")</f>
        <v>NO</v>
      </c>
      <c r="Y199" s="40" t="str">
        <f>IF(X199="YES",IF(C199+730.5&lt;'BASIC INFO'!$B$3, "YES","NO"), "N/A")</f>
        <v>N/A</v>
      </c>
      <c r="Z199" s="35" t="str">
        <f>IF('CASE DATA'!F200="725.1","YES","NO")</f>
        <v>NO</v>
      </c>
      <c r="AA199" s="35" t="str">
        <f>IF(Z199="YES",IF(C199+730.5&lt;'BASIC INFO'!$B$3, "YES","NO"), "N/A")</f>
        <v>N/A</v>
      </c>
      <c r="AB199" s="35" t="str">
        <f>IF('BASIC INFO'!$B$6+6574.5&gt;C199, "YES", "NO")</f>
        <v>YES</v>
      </c>
    </row>
    <row r="200" spans="1:28" x14ac:dyDescent="0.25">
      <c r="A200" s="35" t="str">
        <f>IF('CASE DATA'!A201="","z",'CASE DATA'!A201)</f>
        <v>z</v>
      </c>
      <c r="B200" s="66" t="str">
        <f>IF('CASE DATA'!A201="","",'CASE DATA'!E201)</f>
        <v/>
      </c>
      <c r="C200" s="36">
        <f>'CASE DATA'!D201</f>
        <v>0</v>
      </c>
      <c r="D200" s="37" t="str">
        <f>IF('CASE DATA'!I201="YES",SUM('CASE DATA'!K201:Q201),"n/a")</f>
        <v>n/a</v>
      </c>
      <c r="E200" s="38" t="str">
        <f>IF('CASE DATA'!G201="JUV", "YES", "NO")</f>
        <v>NO</v>
      </c>
      <c r="F200" s="38" t="str">
        <f t="array" ref="F200">IF(E200="YES",IF(SUM(COUNTIF('CASE DATA'!$G$4:$G$200, {"GTR","GPL","DEF","JUV"}))&gt;0, "YES","NO"),"N/A")</f>
        <v>N/A</v>
      </c>
      <c r="G200" s="38" t="str">
        <f>IF(E200="YES",IF(COUNTIF('CASE DATA'!$D$4:$D$200, "")-COUNTIF('CASE DATA'!$A$4:$A$200, "")&gt;0, "YES","NO"),"N/A")</f>
        <v>N/A</v>
      </c>
      <c r="H200" s="35" t="str">
        <f>_xlfn.IFS(E200="NO", "N/A", AND('BASIC INFO'!$B$3&gt;'BASIC INFO'!$B$6+6574.5, C200+730.5&lt;'BASIC INFO'!$B$3), "YES", 'BASIC INFO'!$B$3&lt;('BASIC INFO'!$B$6+6574.5), "NOT YET 18", C200+730.5&gt;'BASIC INFO'!$B$3, "NOT YET 2 YEARS")</f>
        <v>N/A</v>
      </c>
      <c r="I200" s="39" t="str">
        <f>IF(OR(AND(LEFT('CASE DATA'!F201,4)="321.",MID('CASE DATA'!A201,8,2)="SM"),MID('CASE DATA'!A201,8,2)="ST",MID('CASE DATA'!A201,8,2)="NT"),"TRAFFIC",IF(OR('CASE DATA'!G201="DISM", 'CASE DATA'!G201="ACQ", 'CASE DATA'!G201="NOTF", 'CASE DATA'!G201="WTHD", 'CASE DATA'!G201="TNSF"), "YES", "NO"))</f>
        <v>NO</v>
      </c>
      <c r="J200" s="40" t="str">
        <f>IF(I200="YES",'CASE DATA'!U201,"N/A")</f>
        <v>N/A</v>
      </c>
      <c r="K200" s="40" t="str">
        <f>IF(I200="YES",SOL!C201+SOL!D201,"N/A")</f>
        <v>N/A</v>
      </c>
      <c r="L200" s="35" t="str">
        <f>IF(I200="YES",IF(C200+180&lt;'BASIC INFO'!$B$3, "YES", "NO"),"N/A")</f>
        <v>N/A</v>
      </c>
      <c r="M200" s="40" t="str">
        <f t="array" ref="M200">IF(I200="TRAFFIC","n/a",IF(OR('CASE DATA'!G201="GTR", 'CASE DATA'!G201="GPL"),IF(SUM(COUNTIF('CASE DATA'!X201:AI201, 'CODE SECTIONS'!$V$2:$V$218&amp;"*"))&gt;0,"NO","YES"),"n/a"))</f>
        <v>n/a</v>
      </c>
      <c r="N200" s="40" t="str">
        <f t="array" ref="N200">IF(M200="YES",IF(OR((SUM(COUNTIF('CASE DATA'!X201:AI201,'CODE SECTIONS'!$X$2:$X$19&amp;"*"))&gt;0),LEFT('CASE DATA'!X201:AI201,4)="717C", LEFT('CASE DATA'!X201:AI201, 3)="719", LEFT('CASE DATA'!X201:AI201,3)="720", LEFT('CASE DATA'!X201:AI201,3)="724", LEFT('CASE DATA'!X201:AI201,3)="726", LEFT('CASE DATA'!X201:AI201,3)="728", LEFT('CASE DATA'!X201:AI201,4)="901A"), "ineligible misd","eligible"),"n/a")</f>
        <v>n/a</v>
      </c>
      <c r="O200" s="40" t="str">
        <f>IF(N200="eligible",IF(COUNTIF('CASE DATA'!$D$4:$D$200, "")-COUNTIF('CASE DATA'!$A$4:$A$200, "")&gt;0, "YES","NO"),"N/A")</f>
        <v>N/A</v>
      </c>
      <c r="P200" s="40" t="str">
        <f>IF(N200="eligible",BANKRUPTCY!C201+BANKRUPTCY!D201,"N/A")</f>
        <v>N/A</v>
      </c>
      <c r="Q200" s="40" t="str">
        <f>IF(N200="eligible",SOL!C201+SOL!D201,"N/A")</f>
        <v>N/A</v>
      </c>
      <c r="R200" s="40" t="str">
        <f>IF(N200="eligible",SUM('CASE DATA'!K201:T201),"N/A")</f>
        <v>N/A</v>
      </c>
      <c r="S200" s="40" t="str">
        <f>IF(N200="eligible",IF(C200+2920&lt;'BASIC INFO'!$B$3, "YES", "NO"),"N/A")</f>
        <v>N/A</v>
      </c>
      <c r="T200" s="39" t="str">
        <f>IF(OR('CASE DATA'!G201="DEF"), "YES", "NO")</f>
        <v>NO</v>
      </c>
      <c r="U200" s="35" t="str">
        <f>IF(T200="YES",'CASE DATA'!I201,"N/A")</f>
        <v>N/A</v>
      </c>
      <c r="V200" s="40" t="str">
        <f>IF(T200="YES",BANKRUPTCY!C201+BANKRUPTCY!D201,"N/A")</f>
        <v>N/A</v>
      </c>
      <c r="W200" s="40" t="str">
        <f>IF(T200="YES",SUM('CASE DATA'!K201:T201),"N/A")</f>
        <v>N/A</v>
      </c>
      <c r="X200" s="35" t="str">
        <f>IF(OR('CASE DATA'!F201="123.46",'CASE DATA'!F201="123.47"),"YES","NO")</f>
        <v>NO</v>
      </c>
      <c r="Y200" s="40" t="str">
        <f>IF(X200="YES",IF(C200+730.5&lt;'BASIC INFO'!$B$3, "YES","NO"), "N/A")</f>
        <v>N/A</v>
      </c>
      <c r="Z200" s="35" t="str">
        <f>IF('CASE DATA'!F201="725.1","YES","NO")</f>
        <v>NO</v>
      </c>
      <c r="AA200" s="35" t="str">
        <f>IF(Z200="YES",IF(C200+730.5&lt;'BASIC INFO'!$B$3, "YES","NO"), "N/A")</f>
        <v>N/A</v>
      </c>
      <c r="AB200" s="35" t="str">
        <f>IF('BASIC INFO'!$B$6+6574.5&gt;C200, "YES", "NO")</f>
        <v>YES</v>
      </c>
    </row>
  </sheetData>
  <autoFilter ref="A2:AB2" xr:uid="{00000000-0009-0000-0000-000002000000}">
    <sortState xmlns:xlrd2="http://schemas.microsoft.com/office/spreadsheetml/2017/richdata2" ref="A3:AB200">
      <sortCondition ref="A2:A3"/>
    </sortState>
  </autoFilter>
  <mergeCells count="7">
    <mergeCell ref="X1:Y1"/>
    <mergeCell ref="Z1:AB1"/>
    <mergeCell ref="A1:C1"/>
    <mergeCell ref="E1:H1"/>
    <mergeCell ref="I1:L1"/>
    <mergeCell ref="M1:S1"/>
    <mergeCell ref="T1:W1"/>
  </mergeCells>
  <conditionalFormatting sqref="A3:C200">
    <cfRule type="expression" dxfId="76" priority="8">
      <formula>$A3="z"</formula>
    </cfRule>
  </conditionalFormatting>
  <conditionalFormatting sqref="D3:D200">
    <cfRule type="expression" dxfId="75" priority="9">
      <formula>D3="n/a"</formula>
    </cfRule>
  </conditionalFormatting>
  <conditionalFormatting sqref="E3:E200">
    <cfRule type="cellIs" dxfId="74" priority="10" operator="equal">
      <formula>"NO"</formula>
    </cfRule>
    <cfRule type="cellIs" dxfId="73" priority="11" operator="equal">
      <formula>"YES"</formula>
    </cfRule>
  </conditionalFormatting>
  <conditionalFormatting sqref="F3:G200">
    <cfRule type="cellIs" dxfId="72" priority="12" operator="equal">
      <formula>"NO"</formula>
    </cfRule>
    <cfRule type="cellIs" dxfId="71" priority="13" operator="equal">
      <formula>"YES"</formula>
    </cfRule>
  </conditionalFormatting>
  <conditionalFormatting sqref="F3:H200">
    <cfRule type="cellIs" dxfId="70" priority="14" operator="equal">
      <formula>"N/A"</formula>
    </cfRule>
  </conditionalFormatting>
  <conditionalFormatting sqref="H3:H200">
    <cfRule type="cellIs" dxfId="69" priority="15" operator="equal">
      <formula>"NOT YET 18"</formula>
    </cfRule>
    <cfRule type="cellIs" dxfId="68" priority="16" operator="equal">
      <formula>"NOT YET 2 YEARS"</formula>
    </cfRule>
    <cfRule type="cellIs" dxfId="67" priority="17" operator="equal">
      <formula>"NO"</formula>
    </cfRule>
    <cfRule type="cellIs" dxfId="66" priority="18" operator="equal">
      <formula>"YES"</formula>
    </cfRule>
  </conditionalFormatting>
  <conditionalFormatting sqref="I3:I200">
    <cfRule type="cellIs" dxfId="65" priority="19" operator="equal">
      <formula>"TRAFFIC"</formula>
    </cfRule>
    <cfRule type="cellIs" dxfId="64" priority="20" operator="equal">
      <formula>"NO"</formula>
    </cfRule>
    <cfRule type="cellIs" dxfId="63" priority="21" operator="equal">
      <formula>"YES"</formula>
    </cfRule>
  </conditionalFormatting>
  <conditionalFormatting sqref="J3:K200">
    <cfRule type="cellIs" dxfId="62" priority="22" operator="equal">
      <formula>0</formula>
    </cfRule>
    <cfRule type="cellIs" dxfId="61" priority="23" operator="equal">
      <formula>"N/A"</formula>
    </cfRule>
    <cfRule type="cellIs" dxfId="60" priority="24" operator="greaterThan">
      <formula>0</formula>
    </cfRule>
  </conditionalFormatting>
  <conditionalFormatting sqref="L3:L200">
    <cfRule type="cellIs" dxfId="59" priority="25" operator="equal">
      <formula>"YES"</formula>
    </cfRule>
    <cfRule type="cellIs" dxfId="58" priority="26" operator="equal">
      <formula>"NO"</formula>
    </cfRule>
    <cfRule type="cellIs" dxfId="57" priority="27" operator="equal">
      <formula>"N/A"</formula>
    </cfRule>
  </conditionalFormatting>
  <conditionalFormatting sqref="M3:N200">
    <cfRule type="cellIs" dxfId="56" priority="34" operator="equal">
      <formula>"YES"</formula>
    </cfRule>
  </conditionalFormatting>
  <conditionalFormatting sqref="M3:S200">
    <cfRule type="cellIs" dxfId="55" priority="28" operator="equal">
      <formula>"NO"</formula>
    </cfRule>
    <cfRule type="cellIs" dxfId="54" priority="33" operator="equal">
      <formula>"N/A"</formula>
    </cfRule>
    <cfRule type="expression" dxfId="53" priority="35">
      <formula>$M3="Traffic"</formula>
    </cfRule>
  </conditionalFormatting>
  <conditionalFormatting sqref="N3:N200">
    <cfRule type="cellIs" dxfId="52" priority="39" operator="equal">
      <formula>"ineligible misd"</formula>
    </cfRule>
    <cfRule type="cellIs" dxfId="51" priority="40" operator="equal">
      <formula>"eligible"</formula>
    </cfRule>
  </conditionalFormatting>
  <conditionalFormatting sqref="O3:O200">
    <cfRule type="cellIs" dxfId="50" priority="43" operator="equal">
      <formula>"YES"</formula>
    </cfRule>
    <cfRule type="cellIs" dxfId="49" priority="44" operator="equal">
      <formula>"NO"</formula>
    </cfRule>
  </conditionalFormatting>
  <conditionalFormatting sqref="P5:P7 P10:P200">
    <cfRule type="cellIs" dxfId="48" priority="48" operator="equal">
      <formula>0</formula>
    </cfRule>
    <cfRule type="cellIs" dxfId="47" priority="49" operator="equal">
      <formula>"N/A"</formula>
    </cfRule>
  </conditionalFormatting>
  <conditionalFormatting sqref="P3:Q3 Q4:Q200">
    <cfRule type="cellIs" dxfId="46" priority="51" operator="equal">
      <formula>0</formula>
    </cfRule>
    <cfRule type="cellIs" dxfId="45" priority="52" operator="equal">
      <formula>"N/A"</formula>
    </cfRule>
  </conditionalFormatting>
  <conditionalFormatting sqref="P3:Q200">
    <cfRule type="cellIs" dxfId="44" priority="54" operator="equal">
      <formula>0</formula>
    </cfRule>
    <cfRule type="cellIs" dxfId="43" priority="55" operator="equal">
      <formula>"N/A"</formula>
    </cfRule>
  </conditionalFormatting>
  <conditionalFormatting sqref="P5:Q7 P10:Q200">
    <cfRule type="cellIs" dxfId="42" priority="50" operator="greaterThan">
      <formula>0</formula>
    </cfRule>
  </conditionalFormatting>
  <conditionalFormatting sqref="P3:R200">
    <cfRule type="cellIs" dxfId="41" priority="53" operator="greaterThan">
      <formula>0</formula>
    </cfRule>
  </conditionalFormatting>
  <conditionalFormatting sqref="P8:R9">
    <cfRule type="cellIs" dxfId="40" priority="60" operator="equal">
      <formula>0</formula>
    </cfRule>
    <cfRule type="cellIs" dxfId="39" priority="61" operator="equal">
      <formula>"N/A"</formula>
    </cfRule>
  </conditionalFormatting>
  <conditionalFormatting sqref="Q5:Q7 Q10:Q200">
    <cfRule type="cellIs" dxfId="38" priority="63" operator="equal">
      <formula>0</formula>
    </cfRule>
    <cfRule type="cellIs" dxfId="37" priority="64" operator="equal">
      <formula>"N/A"</formula>
    </cfRule>
  </conditionalFormatting>
  <conditionalFormatting sqref="R3:R200">
    <cfRule type="cellIs" dxfId="36" priority="66" operator="equal">
      <formula>0</formula>
    </cfRule>
    <cfRule type="cellIs" dxfId="35" priority="67" operator="equal">
      <formula>"N/A"</formula>
    </cfRule>
    <cfRule type="cellIs" dxfId="34" priority="69" operator="equal">
      <formula>0</formula>
    </cfRule>
    <cfRule type="cellIs" dxfId="33" priority="70" operator="equal">
      <formula>"N/A"</formula>
    </cfRule>
    <cfRule type="cellIs" dxfId="32" priority="72" operator="equal">
      <formula>0</formula>
    </cfRule>
    <cfRule type="cellIs" dxfId="31" priority="73" operator="equal">
      <formula>"N/A"</formula>
    </cfRule>
  </conditionalFormatting>
  <conditionalFormatting sqref="S3:S200">
    <cfRule type="cellIs" dxfId="30" priority="76" operator="equal">
      <formula>"NO"</formula>
    </cfRule>
    <cfRule type="cellIs" dxfId="29" priority="77" operator="equal">
      <formula>"YES"</formula>
    </cfRule>
  </conditionalFormatting>
  <conditionalFormatting sqref="T3:T200">
    <cfRule type="cellIs" dxfId="28" priority="81" operator="equal">
      <formula>"NO"</formula>
    </cfRule>
    <cfRule type="cellIs" dxfId="27" priority="82" operator="equal">
      <formula>"YES"</formula>
    </cfRule>
    <cfRule type="cellIs" dxfId="26" priority="83" operator="equal">
      <formula>"YES"</formula>
    </cfRule>
  </conditionalFormatting>
  <conditionalFormatting sqref="U3:U200">
    <cfRule type="cellIs" dxfId="25" priority="84" operator="equal">
      <formula>"NO"</formula>
    </cfRule>
    <cfRule type="cellIs" dxfId="24" priority="85" operator="equal">
      <formula>"YES"</formula>
    </cfRule>
    <cfRule type="cellIs" dxfId="23" priority="86" operator="equal">
      <formula>"N/A"</formula>
    </cfRule>
  </conditionalFormatting>
  <conditionalFormatting sqref="V3:V200">
    <cfRule type="cellIs" dxfId="22" priority="87" operator="equal">
      <formula>"N/A"</formula>
    </cfRule>
  </conditionalFormatting>
  <conditionalFormatting sqref="V3:W200">
    <cfRule type="cellIs" dxfId="21" priority="88" operator="equal">
      <formula>0</formula>
    </cfRule>
    <cfRule type="cellIs" dxfId="20" priority="89" operator="greaterThan">
      <formula>0</formula>
    </cfRule>
  </conditionalFormatting>
  <conditionalFormatting sqref="W3:W200">
    <cfRule type="cellIs" dxfId="19" priority="90" operator="equal">
      <formula>"N/A"</formula>
    </cfRule>
  </conditionalFormatting>
  <conditionalFormatting sqref="X3:X200">
    <cfRule type="cellIs" dxfId="18" priority="91" operator="equal">
      <formula>"NO"</formula>
    </cfRule>
  </conditionalFormatting>
  <conditionalFormatting sqref="X3:Y200">
    <cfRule type="cellIs" dxfId="17" priority="92" operator="equal">
      <formula>"YES"</formula>
    </cfRule>
  </conditionalFormatting>
  <conditionalFormatting sqref="Y3:Y200">
    <cfRule type="cellIs" dxfId="16" priority="96" operator="equal">
      <formula>"NO"</formula>
    </cfRule>
    <cfRule type="cellIs" dxfId="15" priority="98" operator="equal">
      <formula>"N/A"</formula>
    </cfRule>
  </conditionalFormatting>
  <conditionalFormatting sqref="Z3:AB200">
    <cfRule type="expression" dxfId="14" priority="99">
      <formula>$Z3="YES"</formula>
    </cfRule>
    <cfRule type="expression" dxfId="13" priority="100">
      <formula>$Z3="NO"</formula>
    </cfRule>
  </conditionalFormatting>
  <conditionalFormatting sqref="AA3">
    <cfRule type="expression" dxfId="12" priority="103">
      <formula>$AA3="NO"</formula>
    </cfRule>
  </conditionalFormatting>
  <conditionalFormatting sqref="AD8">
    <cfRule type="cellIs" dxfId="11" priority="104" operator="equal">
      <formula>"NO"</formula>
    </cfRule>
    <cfRule type="cellIs" dxfId="10" priority="105" operator="equal">
      <formula>"YES"</formula>
    </cfRule>
  </conditionalFormatting>
  <conditionalFormatting sqref="P4">
    <cfRule type="cellIs" dxfId="9" priority="5" operator="equal">
      <formula>0</formula>
    </cfRule>
    <cfRule type="cellIs" dxfId="8" priority="6" operator="equal">
      <formula>"N/A"</formula>
    </cfRule>
  </conditionalFormatting>
  <conditionalFormatting sqref="P8">
    <cfRule type="cellIs" dxfId="7" priority="3" operator="equal">
      <formula>0</formula>
    </cfRule>
    <cfRule type="cellIs" dxfId="6" priority="4" operator="equal">
      <formula>"N/A"</formula>
    </cfRule>
  </conditionalFormatting>
  <conditionalFormatting sqref="P9">
    <cfRule type="cellIs" dxfId="5" priority="1" operator="equal">
      <formula>0</formula>
    </cfRule>
    <cfRule type="cellIs" dxfId="4" priority="2" operator="equal">
      <formula>"N/A"</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1"/>
  <sheetViews>
    <sheetView zoomScaleNormal="100" workbookViewId="0">
      <pane ySplit="1" topLeftCell="A2" activePane="bottomLeft" state="frozen"/>
      <selection pane="bottomLeft" activeCell="C1" sqref="C1:F1"/>
    </sheetView>
  </sheetViews>
  <sheetFormatPr defaultColWidth="8.7109375" defaultRowHeight="15" x14ac:dyDescent="0.25"/>
  <cols>
    <col min="1" max="6" width="20.7109375" customWidth="1"/>
    <col min="7" max="7" width="14.7109375" customWidth="1"/>
  </cols>
  <sheetData>
    <row r="1" spans="1:7" x14ac:dyDescent="0.25">
      <c r="A1" s="96" t="s">
        <v>9</v>
      </c>
      <c r="B1" s="77"/>
      <c r="C1" s="42">
        <f>SUM(C4:C100)</f>
        <v>0</v>
      </c>
      <c r="D1" s="43">
        <f>SUM(D4:D100)</f>
        <v>0</v>
      </c>
      <c r="E1" s="44">
        <f>SUM(E4:E100)</f>
        <v>0</v>
      </c>
      <c r="F1" s="45">
        <f>SUM(F4:F100)</f>
        <v>0</v>
      </c>
      <c r="G1" s="17">
        <f>SUM(C1:F1)</f>
        <v>0</v>
      </c>
    </row>
    <row r="2" spans="1:7" x14ac:dyDescent="0.25">
      <c r="B2" s="97" t="s">
        <v>64</v>
      </c>
      <c r="C2" s="77"/>
      <c r="D2" s="77"/>
      <c r="E2" s="77"/>
      <c r="F2" s="77"/>
    </row>
    <row r="3" spans="1:7" x14ac:dyDescent="0.25">
      <c r="A3" s="46" t="s">
        <v>41</v>
      </c>
      <c r="B3" s="47" t="s">
        <v>65</v>
      </c>
      <c r="C3" s="48" t="s">
        <v>66</v>
      </c>
      <c r="D3" s="49" t="s">
        <v>67</v>
      </c>
      <c r="E3" s="50" t="s">
        <v>68</v>
      </c>
      <c r="F3" s="51" t="s">
        <v>69</v>
      </c>
      <c r="G3" s="17"/>
    </row>
    <row r="4" spans="1:7" x14ac:dyDescent="0.25">
      <c r="A4" s="35" t="str">
        <f>IF('CASE DATA'!A4="","",'CASE DATA'!A4)</f>
        <v/>
      </c>
      <c r="B4" s="40" t="str">
        <f>IF('CASE DATA'!A4&lt;&gt;"",IF('CASE DATA'!G4=0, "open charge", 'CASE DATA'!G4),"")</f>
        <v/>
      </c>
      <c r="C4" s="52">
        <f>IF(OR(B4="DISM", B4="JWV", B4="JUV", B4="CIV"), SUM('CASE DATA'!K4:T4), 'CASE DATA'!K4+'CASE DATA'!L4)</f>
        <v>0</v>
      </c>
      <c r="D4" s="53">
        <f>IF(OR(B4="DISM",B4="JWV",B4="JUV",B4="CIV"),0,SUM('CASE DATA'!M4:Q4))</f>
        <v>0</v>
      </c>
      <c r="E4" s="54">
        <f>IF(OR(B4="DISM", B4="JWV", B4="JUV", B4="CIV"), 0, 'CASE DATA'!R4)</f>
        <v>0</v>
      </c>
      <c r="F4" s="55">
        <f>IF(OR(B4="DISM", B4="JWV", B4="JUV", B4="CIV"), 0, 'CASE DATA'!S4+'CASE DATA'!T4)</f>
        <v>0</v>
      </c>
    </row>
    <row r="5" spans="1:7" x14ac:dyDescent="0.25">
      <c r="A5" s="35" t="str">
        <f>IF('CASE DATA'!A5="","",'CASE DATA'!A5)</f>
        <v/>
      </c>
      <c r="B5" s="40" t="str">
        <f>IF('CASE DATA'!A5&lt;&gt;"",IF('CASE DATA'!G5=0, "open charge", 'CASE DATA'!G5),"")</f>
        <v/>
      </c>
      <c r="C5" s="52">
        <f>IF(OR(B5="DISM", B5="JWV", B5="JUV", B5="CIV"), SUM('CASE DATA'!K5:T5), 'CASE DATA'!K5+'CASE DATA'!L5)</f>
        <v>0</v>
      </c>
      <c r="D5" s="53">
        <f>IF(OR(B5="DISM",B5="JWV",B5="JUV",B5="CIV"),0,SUM('CASE DATA'!M5:Q5))</f>
        <v>0</v>
      </c>
      <c r="E5" s="54">
        <f>IF(OR(B5="DISM", B5="JWV", B5="JUV", B5="CIV"), 0, 'CASE DATA'!R5)</f>
        <v>0</v>
      </c>
      <c r="F5" s="55">
        <f>IF(OR(B5="DISM", B5="JWV", B5="JUV", B5="CIV"), 0, 'CASE DATA'!S5+'CASE DATA'!T5)</f>
        <v>0</v>
      </c>
    </row>
    <row r="6" spans="1:7" x14ac:dyDescent="0.25">
      <c r="A6" s="35" t="str">
        <f>IF('CASE DATA'!A6="","",'CASE DATA'!A6)</f>
        <v/>
      </c>
      <c r="B6" s="40" t="str">
        <f>IF('CASE DATA'!A6&lt;&gt;"",IF('CASE DATA'!G6=0, "open charge", 'CASE DATA'!G6),"")</f>
        <v/>
      </c>
      <c r="C6" s="52">
        <f>IF(OR(B6="DISM", B6="JWV", B6="JUV", B6="CIV"), SUM('CASE DATA'!K6:T6), 'CASE DATA'!K6+'CASE DATA'!L6)</f>
        <v>0</v>
      </c>
      <c r="D6" s="53">
        <f>IF(OR(B6="DISM",B6="JWV",B6="JUV",B6="CIV"),0,SUM('CASE DATA'!M6:Q6))</f>
        <v>0</v>
      </c>
      <c r="E6" s="54">
        <f>IF(OR(B6="DISM", B6="JWV", B6="JUV", B6="CIV"), 0, 'CASE DATA'!R6)</f>
        <v>0</v>
      </c>
      <c r="F6" s="55">
        <f>IF(OR(B6="DISM", B6="JWV", B6="JUV", B6="CIV"), 0, 'CASE DATA'!S6+'CASE DATA'!T6)</f>
        <v>0</v>
      </c>
    </row>
    <row r="7" spans="1:7" x14ac:dyDescent="0.25">
      <c r="A7" s="35" t="str">
        <f>IF('CASE DATA'!A7="","",'CASE DATA'!A7)</f>
        <v/>
      </c>
      <c r="B7" s="40" t="str">
        <f>IF('CASE DATA'!A7&lt;&gt;"",IF('CASE DATA'!G7=0, "open charge", 'CASE DATA'!G7),"")</f>
        <v/>
      </c>
      <c r="C7" s="52">
        <f>IF(OR(B7="DISM", B7="JWV", B7="JUV", B7="CIV"), SUM('CASE DATA'!K7:T7), 'CASE DATA'!K7+'CASE DATA'!L7)</f>
        <v>0</v>
      </c>
      <c r="D7" s="53">
        <f>IF(OR(B7="DISM",B7="JWV",B7="JUV",B7="CIV"),0,SUM('CASE DATA'!M7:Q7))</f>
        <v>0</v>
      </c>
      <c r="E7" s="54">
        <f>IF(OR(B7="DISM", B7="JWV", B7="JUV", B7="CIV"), 0, 'CASE DATA'!R7)</f>
        <v>0</v>
      </c>
      <c r="F7" s="55">
        <f>IF(OR(B7="DISM", B7="JWV", B7="JUV", B7="CIV"), 0, 'CASE DATA'!S7+'CASE DATA'!T7)</f>
        <v>0</v>
      </c>
    </row>
    <row r="8" spans="1:7" x14ac:dyDescent="0.25">
      <c r="A8" s="35" t="str">
        <f>IF('CASE DATA'!A8="","",'CASE DATA'!A8)</f>
        <v/>
      </c>
      <c r="B8" s="40" t="str">
        <f>IF('CASE DATA'!A8&lt;&gt;"",IF('CASE DATA'!G8=0, "open charge", 'CASE DATA'!G8),"")</f>
        <v/>
      </c>
      <c r="C8" s="52">
        <f>IF(OR(B8="DISM", B8="JWV", B8="JUV", B8="CIV"), SUM('CASE DATA'!K8:T8), 'CASE DATA'!K8+'CASE DATA'!L8)</f>
        <v>0</v>
      </c>
      <c r="D8" s="53">
        <f>IF(OR(B8="DISM",B8="JWV",B8="JUV",B8="CIV"),0,SUM('CASE DATA'!M8:Q8))</f>
        <v>0</v>
      </c>
      <c r="E8" s="54">
        <f>IF(OR(B8="DISM", B8="JWV", B8="JUV", B8="CIV"), 0, 'CASE DATA'!R8)</f>
        <v>0</v>
      </c>
      <c r="F8" s="55">
        <f>IF(OR(B8="DISM", B8="JWV", B8="JUV", B8="CIV"), 0, 'CASE DATA'!S8+'CASE DATA'!T8)</f>
        <v>0</v>
      </c>
    </row>
    <row r="9" spans="1:7" x14ac:dyDescent="0.25">
      <c r="A9" s="35" t="str">
        <f>IF('CASE DATA'!A9="","",'CASE DATA'!A9)</f>
        <v/>
      </c>
      <c r="B9" s="40" t="str">
        <f>IF('CASE DATA'!A9&lt;&gt;"",IF('CASE DATA'!G9=0, "open charge", 'CASE DATA'!G9),"")</f>
        <v/>
      </c>
      <c r="C9" s="52">
        <f>IF(OR(B9="DISM", B9="JWV", B9="JUV", B9="CIV"), SUM('CASE DATA'!K9:T9), 'CASE DATA'!K9+'CASE DATA'!L9)</f>
        <v>0</v>
      </c>
      <c r="D9" s="53">
        <f>IF(OR(B9="DISM",B9="JWV",B9="JUV",B9="CIV"),0,SUM('CASE DATA'!M9:Q9))</f>
        <v>0</v>
      </c>
      <c r="E9" s="54">
        <f>IF(OR(B9="DISM", B9="JWV", B9="JUV", B9="CIV"), 0, 'CASE DATA'!R9)</f>
        <v>0</v>
      </c>
      <c r="F9" s="55">
        <f>IF(OR(B9="DISM", B9="JWV", B9="JUV", B9="CIV"), 0, 'CASE DATA'!S9+'CASE DATA'!T9)</f>
        <v>0</v>
      </c>
    </row>
    <row r="10" spans="1:7" x14ac:dyDescent="0.25">
      <c r="A10" s="35" t="str">
        <f>IF('CASE DATA'!A10="","",'CASE DATA'!A10)</f>
        <v/>
      </c>
      <c r="B10" s="40" t="str">
        <f>IF('CASE DATA'!A10&lt;&gt;"",IF('CASE DATA'!G10=0, "open charge", 'CASE DATA'!G10),"")</f>
        <v/>
      </c>
      <c r="C10" s="52">
        <f>IF(OR(B10="DISM", B10="JWV", B10="JUV", B10="CIV"), SUM('CASE DATA'!K10:T10), 'CASE DATA'!K10+'CASE DATA'!L10)</f>
        <v>0</v>
      </c>
      <c r="D10" s="53">
        <f>IF(OR(B10="DISM",B10="JWV",B10="JUV",B10="CIV"),0,SUM('CASE DATA'!M10:Q10))</f>
        <v>0</v>
      </c>
      <c r="E10" s="54">
        <f>IF(OR(B10="DISM", B10="JWV", B10="JUV", B10="CIV"), 0, 'CASE DATA'!R10)</f>
        <v>0</v>
      </c>
      <c r="F10" s="55">
        <f>IF(OR(B10="DISM", B10="JWV", B10="JUV", B10="CIV"), 0, 'CASE DATA'!S10+'CASE DATA'!T10)</f>
        <v>0</v>
      </c>
    </row>
    <row r="11" spans="1:7" x14ac:dyDescent="0.25">
      <c r="A11" s="35" t="str">
        <f>IF('CASE DATA'!A11="","",'CASE DATA'!A11)</f>
        <v/>
      </c>
      <c r="B11" s="40" t="str">
        <f>IF('CASE DATA'!A11&lt;&gt;"",IF('CASE DATA'!G11=0, "open charge", 'CASE DATA'!G11),"")</f>
        <v/>
      </c>
      <c r="C11" s="52">
        <f>IF(OR(B11="DISM", B11="JWV", B11="JUV", B11="CIV"), SUM('CASE DATA'!K11:T11), 'CASE DATA'!K11+'CASE DATA'!L11)</f>
        <v>0</v>
      </c>
      <c r="D11" s="53">
        <f>IF(OR(B11="DISM",B11="JWV",B11="JUV",B11="CIV"),0,SUM('CASE DATA'!M11:Q11))</f>
        <v>0</v>
      </c>
      <c r="E11" s="54">
        <f>IF(OR(B11="DISM", B11="JWV", B11="JUV", B11="CIV"), 0, 'CASE DATA'!R11)</f>
        <v>0</v>
      </c>
      <c r="F11" s="55">
        <f>IF(OR(B11="DISM", B11="JWV", B11="JUV", B11="CIV"), 0, 'CASE DATA'!S11+'CASE DATA'!T11)</f>
        <v>0</v>
      </c>
    </row>
    <row r="12" spans="1:7" x14ac:dyDescent="0.25">
      <c r="A12" s="35" t="str">
        <f>IF('CASE DATA'!A12="","",'CASE DATA'!A12)</f>
        <v/>
      </c>
      <c r="B12" s="40" t="str">
        <f>IF('CASE DATA'!A12&lt;&gt;"",IF('CASE DATA'!G12=0, "open charge", 'CASE DATA'!G12),"")</f>
        <v/>
      </c>
      <c r="C12" s="52">
        <f>IF(OR(B12="DISM", B12="JWV", B12="JUV", B12="CIV"), SUM('CASE DATA'!K12:T12), 'CASE DATA'!K12+'CASE DATA'!L12)</f>
        <v>0</v>
      </c>
      <c r="D12" s="53">
        <f>IF(OR(B12="DISM",B12="JWV",B12="JUV",B12="CIV"),0,SUM('CASE DATA'!M12:Q12))</f>
        <v>0</v>
      </c>
      <c r="E12" s="54">
        <f>IF(OR(B12="DISM", B12="JWV", B12="JUV", B12="CIV"), 0, 'CASE DATA'!R12)</f>
        <v>0</v>
      </c>
      <c r="F12" s="55">
        <f>IF(OR(B12="DISM", B12="JWV", B12="JUV", B12="CIV"), 0, 'CASE DATA'!S12+'CASE DATA'!T12)</f>
        <v>0</v>
      </c>
    </row>
    <row r="13" spans="1:7" x14ac:dyDescent="0.25">
      <c r="A13" s="35" t="str">
        <f>IF('CASE DATA'!A13="","",'CASE DATA'!A13)</f>
        <v/>
      </c>
      <c r="B13" s="40" t="str">
        <f>IF('CASE DATA'!A13&lt;&gt;"",IF('CASE DATA'!G13=0, "open charge", 'CASE DATA'!G13),"")</f>
        <v/>
      </c>
      <c r="C13" s="52">
        <f>IF(OR(B13="DISM", B13="JWV", B13="JUV", B13="CIV"), SUM('CASE DATA'!K13:T13), 'CASE DATA'!K13+'CASE DATA'!L13)</f>
        <v>0</v>
      </c>
      <c r="D13" s="53">
        <f>IF(OR(B13="DISM",B13="JWV",B13="JUV",B13="CIV"),0,SUM('CASE DATA'!M13:Q13))</f>
        <v>0</v>
      </c>
      <c r="E13" s="54">
        <f>IF(OR(B13="DISM", B13="JWV", B13="JUV", B13="CIV"), 0, 'CASE DATA'!R13)</f>
        <v>0</v>
      </c>
      <c r="F13" s="55">
        <f>IF(OR(B13="DISM", B13="JWV", B13="JUV", B13="CIV"), 0, 'CASE DATA'!S13+'CASE DATA'!T13)</f>
        <v>0</v>
      </c>
    </row>
    <row r="14" spans="1:7" x14ac:dyDescent="0.25">
      <c r="A14" s="35" t="str">
        <f>IF('CASE DATA'!A14="","",'CASE DATA'!A14)</f>
        <v/>
      </c>
      <c r="B14" s="40" t="str">
        <f>IF('CASE DATA'!A14&lt;&gt;"",IF('CASE DATA'!G14=0, "open charge", 'CASE DATA'!G14),"")</f>
        <v/>
      </c>
      <c r="C14" s="52">
        <f>IF(OR(B14="DISM", B14="JWV", B14="JUV", B14="CIV"), SUM('CASE DATA'!K14:T14), 'CASE DATA'!K14+'CASE DATA'!L14)</f>
        <v>0</v>
      </c>
      <c r="D14" s="53">
        <f>IF(OR(B14="DISM",B14="JWV",B14="JUV",B14="CIV"),0,SUM('CASE DATA'!M14:Q14))</f>
        <v>0</v>
      </c>
      <c r="E14" s="54">
        <f>IF(OR(B14="DISM", B14="JWV", B14="JUV", B14="CIV"), 0, 'CASE DATA'!R14)</f>
        <v>0</v>
      </c>
      <c r="F14" s="55">
        <f>IF(OR(B14="DISM", B14="JWV", B14="JUV", B14="CIV"), 0, 'CASE DATA'!S14+'CASE DATA'!T14)</f>
        <v>0</v>
      </c>
    </row>
    <row r="15" spans="1:7" x14ac:dyDescent="0.25">
      <c r="A15" s="35" t="str">
        <f>IF('CASE DATA'!A15="","",'CASE DATA'!A15)</f>
        <v/>
      </c>
      <c r="B15" s="40" t="str">
        <f>IF('CASE DATA'!A15&lt;&gt;"",IF('CASE DATA'!G15=0, "open charge", 'CASE DATA'!G15),"")</f>
        <v/>
      </c>
      <c r="C15" s="52">
        <f>IF(OR(B15="DISM", B15="JWV", B15="JUV", B15="CIV"), SUM('CASE DATA'!K15:T15), 'CASE DATA'!K15+'CASE DATA'!L15)</f>
        <v>0</v>
      </c>
      <c r="D15" s="53">
        <f>IF(OR(B15="DISM",B15="JWV",B15="JUV",B15="CIV"),0,SUM('CASE DATA'!M15:Q15))</f>
        <v>0</v>
      </c>
      <c r="E15" s="54">
        <f>IF(OR(B15="DISM", B15="JWV", B15="JUV", B15="CIV"), 0, 'CASE DATA'!R15)</f>
        <v>0</v>
      </c>
      <c r="F15" s="55">
        <f>IF(OR(B15="DISM", B15="JWV", B15="JUV", B15="CIV"), 0, 'CASE DATA'!S15+'CASE DATA'!T15)</f>
        <v>0</v>
      </c>
    </row>
    <row r="16" spans="1:7" x14ac:dyDescent="0.25">
      <c r="A16" s="35" t="str">
        <f>IF('CASE DATA'!A16="","",'CASE DATA'!A16)</f>
        <v/>
      </c>
      <c r="B16" s="40" t="str">
        <f>IF('CASE DATA'!A16&lt;&gt;"",IF('CASE DATA'!G16=0, "open charge", 'CASE DATA'!G16),"")</f>
        <v/>
      </c>
      <c r="C16" s="52">
        <f>IF(OR(B16="DISM", B16="JWV", B16="JUV", B16="CIV"), SUM('CASE DATA'!K16:T16), 'CASE DATA'!K16+'CASE DATA'!L16)</f>
        <v>0</v>
      </c>
      <c r="D16" s="53">
        <f>IF(OR(B16="DISM",B16="JWV",B16="JUV",B16="CIV"),0,SUM('CASE DATA'!M16:Q16))</f>
        <v>0</v>
      </c>
      <c r="E16" s="54">
        <f>IF(OR(B16="DISM", B16="JWV", B16="JUV", B16="CIV"), 0, 'CASE DATA'!R16)</f>
        <v>0</v>
      </c>
      <c r="F16" s="55">
        <f>IF(OR(B16="DISM", B16="JWV", B16="JUV", B16="CIV"), 0, 'CASE DATA'!S16+'CASE DATA'!T16)</f>
        <v>0</v>
      </c>
    </row>
    <row r="17" spans="1:6" x14ac:dyDescent="0.25">
      <c r="A17" s="35" t="str">
        <f>IF('CASE DATA'!A17="","",'CASE DATA'!A17)</f>
        <v/>
      </c>
      <c r="B17" s="40" t="str">
        <f>IF('CASE DATA'!A17&lt;&gt;"",IF('CASE DATA'!G17=0, "open charge", 'CASE DATA'!G17),"")</f>
        <v/>
      </c>
      <c r="C17" s="52">
        <f>IF(OR(B17="DISM", B17="JWV", B17="JUV", B17="CIV"), SUM('CASE DATA'!K17:T17), 'CASE DATA'!K17+'CASE DATA'!L17)</f>
        <v>0</v>
      </c>
      <c r="D17" s="53">
        <f>IF(OR(B17="DISM",B17="JWV",B17="JUV",B17="CIV"),0,SUM('CASE DATA'!M17:Q17))</f>
        <v>0</v>
      </c>
      <c r="E17" s="54">
        <f>IF(OR(B17="DISM", B17="JWV", B17="JUV", B17="CIV"), 0, 'CASE DATA'!R17)</f>
        <v>0</v>
      </c>
      <c r="F17" s="55">
        <f>IF(OR(B17="DISM", B17="JWV", B17="JUV", B17="CIV"), 0, 'CASE DATA'!S17+'CASE DATA'!T17)</f>
        <v>0</v>
      </c>
    </row>
    <row r="18" spans="1:6" x14ac:dyDescent="0.25">
      <c r="A18" s="35" t="str">
        <f>IF('CASE DATA'!A18="","",'CASE DATA'!A18)</f>
        <v/>
      </c>
      <c r="B18" s="40" t="str">
        <f>IF('CASE DATA'!A18&lt;&gt;"",IF('CASE DATA'!G18=0, "open charge", 'CASE DATA'!G18),"")</f>
        <v/>
      </c>
      <c r="C18" s="52">
        <f>IF(OR(B18="DISM", B18="JWV", B18="JUV", B18="CIV"), SUM('CASE DATA'!K18:T18), 'CASE DATA'!K18+'CASE DATA'!L18)</f>
        <v>0</v>
      </c>
      <c r="D18" s="53">
        <f>IF(OR(B18="DISM",B18="JWV",B18="JUV",B18="CIV"),0,SUM('CASE DATA'!M18:Q18))</f>
        <v>0</v>
      </c>
      <c r="E18" s="54">
        <f>IF(OR(B18="DISM", B18="JWV", B18="JUV", B18="CIV"), 0, 'CASE DATA'!R18)</f>
        <v>0</v>
      </c>
      <c r="F18" s="55">
        <f>IF(OR(B18="DISM", B18="JWV", B18="JUV", B18="CIV"), 0, 'CASE DATA'!S18+'CASE DATA'!T18)</f>
        <v>0</v>
      </c>
    </row>
    <row r="19" spans="1:6" x14ac:dyDescent="0.25">
      <c r="A19" s="35" t="str">
        <f>IF('CASE DATA'!A19="","",'CASE DATA'!A19)</f>
        <v/>
      </c>
      <c r="B19" s="40" t="str">
        <f>IF('CASE DATA'!A19&lt;&gt;"",IF('CASE DATA'!G19=0, "open charge", 'CASE DATA'!G19),"")</f>
        <v/>
      </c>
      <c r="C19" s="52">
        <f>IF(OR(B19="DISM", B19="JWV", B19="JUV", B19="CIV"), SUM('CASE DATA'!K19:T19), 'CASE DATA'!K19+'CASE DATA'!L19)</f>
        <v>0</v>
      </c>
      <c r="D19" s="53">
        <f>IF(OR(B19="DISM",B19="JWV",B19="JUV",B19="CIV"),0,SUM('CASE DATA'!M19:Q19))</f>
        <v>0</v>
      </c>
      <c r="E19" s="54">
        <f>IF(OR(B19="DISM", B19="JWV", B19="JUV", B19="CIV"), 0, 'CASE DATA'!R19)</f>
        <v>0</v>
      </c>
      <c r="F19" s="55">
        <f>IF(OR(B19="DISM", B19="JWV", B19="JUV", B19="CIV"), 0, 'CASE DATA'!S19+'CASE DATA'!T19)</f>
        <v>0</v>
      </c>
    </row>
    <row r="20" spans="1:6" x14ac:dyDescent="0.25">
      <c r="A20" s="35" t="str">
        <f>IF('CASE DATA'!A20="","",'CASE DATA'!A20)</f>
        <v/>
      </c>
      <c r="B20" s="40" t="str">
        <f>IF('CASE DATA'!A20&lt;&gt;"",IF('CASE DATA'!G20=0, "open charge", 'CASE DATA'!G20),"")</f>
        <v/>
      </c>
      <c r="C20" s="52">
        <f>IF(OR(B20="DISM", B20="JWV", B20="JUV", B20="CIV"), SUM('CASE DATA'!K20:T20), 'CASE DATA'!K20+'CASE DATA'!L20)</f>
        <v>0</v>
      </c>
      <c r="D20" s="53">
        <f>IF(OR(B20="DISM",B20="JWV",B20="JUV",B20="CIV"),0,SUM('CASE DATA'!M20:Q20))</f>
        <v>0</v>
      </c>
      <c r="E20" s="54">
        <f>IF(OR(B20="DISM", B20="JWV", B20="JUV", B20="CIV"), 0, 'CASE DATA'!R20)</f>
        <v>0</v>
      </c>
      <c r="F20" s="55">
        <f>IF(OR(B20="DISM", B20="JWV", B20="JUV", B20="CIV"), 0, 'CASE DATA'!S20+'CASE DATA'!T20)</f>
        <v>0</v>
      </c>
    </row>
    <row r="21" spans="1:6" x14ac:dyDescent="0.25">
      <c r="A21" s="35" t="str">
        <f>IF('CASE DATA'!A21="","",'CASE DATA'!A21)</f>
        <v/>
      </c>
      <c r="B21" s="40" t="str">
        <f>IF('CASE DATA'!A21&lt;&gt;"",IF('CASE DATA'!G21=0, "open charge", 'CASE DATA'!G21),"")</f>
        <v/>
      </c>
      <c r="C21" s="52">
        <f>IF(OR(B21="DISM", B21="JWV", B21="JUV", B21="CIV"), SUM('CASE DATA'!K21:T21), 'CASE DATA'!K21+'CASE DATA'!L21)</f>
        <v>0</v>
      </c>
      <c r="D21" s="53">
        <f>IF(OR(B21="DISM",B21="JWV",B21="JUV",B21="CIV"),0,SUM('CASE DATA'!M21:Q21))</f>
        <v>0</v>
      </c>
      <c r="E21" s="54">
        <f>IF(OR(B21="DISM", B21="JWV", B21="JUV", B21="CIV"), 0, 'CASE DATA'!R21)</f>
        <v>0</v>
      </c>
      <c r="F21" s="55">
        <f>IF(OR(B21="DISM", B21="JWV", B21="JUV", B21="CIV"), 0, 'CASE DATA'!S21+'CASE DATA'!T21)</f>
        <v>0</v>
      </c>
    </row>
    <row r="22" spans="1:6" x14ac:dyDescent="0.25">
      <c r="A22" s="35" t="str">
        <f>IF('CASE DATA'!A22="","",'CASE DATA'!A22)</f>
        <v/>
      </c>
      <c r="B22" s="40" t="str">
        <f>IF('CASE DATA'!A22&lt;&gt;"",IF('CASE DATA'!G22=0, "open charge", 'CASE DATA'!G22),"")</f>
        <v/>
      </c>
      <c r="C22" s="52">
        <f>IF(OR(B22="DISM", B22="JWV", B22="JUV", B22="CIV"), SUM('CASE DATA'!K22:T22), 'CASE DATA'!K22+'CASE DATA'!L22)</f>
        <v>0</v>
      </c>
      <c r="D22" s="53">
        <f>IF(OR(B22="DISM",B22="JWV",B22="JUV",B22="CIV"),0,SUM('CASE DATA'!M22:Q22))</f>
        <v>0</v>
      </c>
      <c r="E22" s="54">
        <f>IF(OR(B22="DISM", B22="JWV", B22="JUV", B22="CIV"), 0, 'CASE DATA'!R22)</f>
        <v>0</v>
      </c>
      <c r="F22" s="55">
        <f>IF(OR(B22="DISM", B22="JWV", B22="JUV", B22="CIV"), 0, 'CASE DATA'!S22+'CASE DATA'!T22)</f>
        <v>0</v>
      </c>
    </row>
    <row r="23" spans="1:6" x14ac:dyDescent="0.25">
      <c r="A23" s="35" t="str">
        <f>IF('CASE DATA'!A23="","",'CASE DATA'!A23)</f>
        <v/>
      </c>
      <c r="B23" s="40" t="str">
        <f>IF('CASE DATA'!A23&lt;&gt;"",IF('CASE DATA'!G23=0, "open charge", 'CASE DATA'!G23),"")</f>
        <v/>
      </c>
      <c r="C23" s="52">
        <f>IF(OR(B23="DISM", B23="JWV", B23="JUV", B23="CIV"), SUM('CASE DATA'!K23:T23), 'CASE DATA'!K23+'CASE DATA'!L23)</f>
        <v>0</v>
      </c>
      <c r="D23" s="53">
        <f>IF(OR(B23="DISM",B23="JWV",B23="JUV",B23="CIV"),0,SUM('CASE DATA'!M23:Q23))</f>
        <v>0</v>
      </c>
      <c r="E23" s="54">
        <f>IF(OR(B23="DISM", B23="JWV", B23="JUV", B23="CIV"), 0, 'CASE DATA'!R23)</f>
        <v>0</v>
      </c>
      <c r="F23" s="55">
        <f>IF(OR(B23="DISM", B23="JWV", B23="JUV", B23="CIV"), 0, 'CASE DATA'!S23+'CASE DATA'!T23)</f>
        <v>0</v>
      </c>
    </row>
    <row r="24" spans="1:6" x14ac:dyDescent="0.25">
      <c r="A24" s="35" t="str">
        <f>IF('CASE DATA'!A24="","",'CASE DATA'!A24)</f>
        <v/>
      </c>
      <c r="B24" s="40" t="str">
        <f>IF('CASE DATA'!A24&lt;&gt;"",IF('CASE DATA'!G24=0, "open charge", 'CASE DATA'!G24),"")</f>
        <v/>
      </c>
      <c r="C24" s="52">
        <f>IF(OR(B24="DISM", B24="JWV", B24="JUV", B24="CIV"), SUM('CASE DATA'!K24:T24), 'CASE DATA'!K24+'CASE DATA'!L24)</f>
        <v>0</v>
      </c>
      <c r="D24" s="53">
        <f>IF(OR(B24="DISM",B24="JWV",B24="JUV",B24="CIV"),0,SUM('CASE DATA'!M24:Q24))</f>
        <v>0</v>
      </c>
      <c r="E24" s="54">
        <f>IF(OR(B24="DISM", B24="JWV", B24="JUV", B24="CIV"), 0, 'CASE DATA'!R24)</f>
        <v>0</v>
      </c>
      <c r="F24" s="55">
        <f>IF(OR(B24="DISM", B24="JWV", B24="JUV", B24="CIV"), 0, 'CASE DATA'!S24+'CASE DATA'!T24)</f>
        <v>0</v>
      </c>
    </row>
    <row r="25" spans="1:6" x14ac:dyDescent="0.25">
      <c r="A25" s="35" t="str">
        <f>IF('CASE DATA'!A25="","",'CASE DATA'!A25)</f>
        <v/>
      </c>
      <c r="B25" s="40" t="str">
        <f>IF('CASE DATA'!A25&lt;&gt;"",IF('CASE DATA'!G25=0, "open charge", 'CASE DATA'!G25),"")</f>
        <v/>
      </c>
      <c r="C25" s="52">
        <f>IF(OR(B25="DISM", B25="JWV", B25="JUV", B25="CIV"), SUM('CASE DATA'!K25:T25), 'CASE DATA'!K25+'CASE DATA'!L25)</f>
        <v>0</v>
      </c>
      <c r="D25" s="53">
        <f>IF(OR(B25="DISM",B25="JWV",B25="JUV",B25="CIV"),0,SUM('CASE DATA'!M25:Q25))</f>
        <v>0</v>
      </c>
      <c r="E25" s="54">
        <f>IF(OR(B25="DISM", B25="JWV", B25="JUV", B25="CIV"), 0, 'CASE DATA'!R25)</f>
        <v>0</v>
      </c>
      <c r="F25" s="55">
        <f>IF(OR(B25="DISM", B25="JWV", B25="JUV", B25="CIV"), 0, 'CASE DATA'!S25+'CASE DATA'!T25)</f>
        <v>0</v>
      </c>
    </row>
    <row r="26" spans="1:6" x14ac:dyDescent="0.25">
      <c r="A26" s="35" t="str">
        <f>IF('CASE DATA'!A26="","",'CASE DATA'!A26)</f>
        <v/>
      </c>
      <c r="B26" s="40" t="str">
        <f>IF('CASE DATA'!A26&lt;&gt;"",IF('CASE DATA'!G26=0, "open charge", 'CASE DATA'!G26),"")</f>
        <v/>
      </c>
      <c r="C26" s="52">
        <f>IF(OR(B26="DISM", B26="JWV", B26="JUV", B26="CIV"), SUM('CASE DATA'!K26:T26), 'CASE DATA'!K26+'CASE DATA'!L26)</f>
        <v>0</v>
      </c>
      <c r="D26" s="53">
        <f>IF(OR(B26="DISM",B26="JWV",B26="JUV",B26="CIV"),0,SUM('CASE DATA'!M26:Q26))</f>
        <v>0</v>
      </c>
      <c r="E26" s="54">
        <f>IF(OR(B26="DISM", B26="JWV", B26="JUV", B26="CIV"), 0, 'CASE DATA'!R26)</f>
        <v>0</v>
      </c>
      <c r="F26" s="55">
        <f>IF(OR(B26="DISM", B26="JWV", B26="JUV", B26="CIV"), 0, 'CASE DATA'!S26+'CASE DATA'!T26)</f>
        <v>0</v>
      </c>
    </row>
    <row r="27" spans="1:6" x14ac:dyDescent="0.25">
      <c r="A27" s="35" t="str">
        <f>IF('CASE DATA'!A27="","",'CASE DATA'!A27)</f>
        <v/>
      </c>
      <c r="B27" s="40" t="str">
        <f>IF('CASE DATA'!A27&lt;&gt;"",IF('CASE DATA'!G27=0, "open charge", 'CASE DATA'!G27),"")</f>
        <v/>
      </c>
      <c r="C27" s="52">
        <f>IF(OR(B27="DISM", B27="JWV", B27="JUV", B27="CIV"), SUM('CASE DATA'!K27:T27), 'CASE DATA'!K27+'CASE DATA'!L27)</f>
        <v>0</v>
      </c>
      <c r="D27" s="53">
        <f>IF(OR(B27="DISM",B27="JWV",B27="JUV",B27="CIV"),0,SUM('CASE DATA'!M27:Q27))</f>
        <v>0</v>
      </c>
      <c r="E27" s="54">
        <f>IF(OR(B27="DISM", B27="JWV", B27="JUV", B27="CIV"), 0, 'CASE DATA'!R27)</f>
        <v>0</v>
      </c>
      <c r="F27" s="55">
        <f>IF(OR(B27="DISM", B27="JWV", B27="JUV", B27="CIV"), 0, 'CASE DATA'!S27+'CASE DATA'!T27)</f>
        <v>0</v>
      </c>
    </row>
    <row r="28" spans="1:6" x14ac:dyDescent="0.25">
      <c r="A28" s="35" t="str">
        <f>IF('CASE DATA'!A28="","",'CASE DATA'!A28)</f>
        <v/>
      </c>
      <c r="B28" s="40" t="str">
        <f>IF('CASE DATA'!A28&lt;&gt;"",IF('CASE DATA'!G28=0, "open charge", 'CASE DATA'!G28),"")</f>
        <v/>
      </c>
      <c r="C28" s="52">
        <f>IF(OR(B28="DISM", B28="JWV", B28="JUV", B28="CIV"), SUM('CASE DATA'!K28:T28), 'CASE DATA'!K28+'CASE DATA'!L28)</f>
        <v>0</v>
      </c>
      <c r="D28" s="53">
        <f>IF(OR(B28="DISM",B28="JWV",B28="JUV",B28="CIV"),0,SUM('CASE DATA'!M28:Q28))</f>
        <v>0</v>
      </c>
      <c r="E28" s="54">
        <f>IF(OR(B28="DISM", B28="JWV", B28="JUV", B28="CIV"), 0, 'CASE DATA'!R28)</f>
        <v>0</v>
      </c>
      <c r="F28" s="55">
        <f>IF(OR(B28="DISM", B28="JWV", B28="JUV", B28="CIV"), 0, 'CASE DATA'!S28+'CASE DATA'!T28)</f>
        <v>0</v>
      </c>
    </row>
    <row r="29" spans="1:6" x14ac:dyDescent="0.25">
      <c r="A29" s="35" t="str">
        <f>IF('CASE DATA'!A29="","",'CASE DATA'!A29)</f>
        <v/>
      </c>
      <c r="B29" s="40" t="str">
        <f>IF('CASE DATA'!A29&lt;&gt;"",IF('CASE DATA'!G29=0, "open charge", 'CASE DATA'!G29),"")</f>
        <v/>
      </c>
      <c r="C29" s="52">
        <f>IF(OR(B29="DISM", B29="JWV", B29="JUV", B29="CIV"), SUM('CASE DATA'!K29:T29), 'CASE DATA'!K29+'CASE DATA'!L29)</f>
        <v>0</v>
      </c>
      <c r="D29" s="53">
        <f>IF(OR(B29="DISM",B29="JWV",B29="JUV",B29="CIV"),0,SUM('CASE DATA'!M29:Q29))</f>
        <v>0</v>
      </c>
      <c r="E29" s="54">
        <f>IF(OR(B29="DISM", B29="JWV", B29="JUV", B29="CIV"), 0, 'CASE DATA'!R29)</f>
        <v>0</v>
      </c>
      <c r="F29" s="55">
        <f>IF(OR(B29="DISM", B29="JWV", B29="JUV", B29="CIV"), 0, 'CASE DATA'!S29+'CASE DATA'!T29)</f>
        <v>0</v>
      </c>
    </row>
    <row r="30" spans="1:6" x14ac:dyDescent="0.25">
      <c r="A30" s="35" t="str">
        <f>IF('CASE DATA'!A30="","",'CASE DATA'!A30)</f>
        <v/>
      </c>
      <c r="B30" s="40" t="str">
        <f>IF('CASE DATA'!A30&lt;&gt;"",IF('CASE DATA'!G30=0, "open charge", 'CASE DATA'!G30),"")</f>
        <v/>
      </c>
      <c r="C30" s="52">
        <f>IF(OR(B30="DISM", B30="JWV", B30="JUV", B30="CIV"), SUM('CASE DATA'!K30:T30), 'CASE DATA'!K30+'CASE DATA'!L30)</f>
        <v>0</v>
      </c>
      <c r="D30" s="53">
        <f>IF(OR(B30="DISM",B30="JWV",B30="JUV",B30="CIV"),0,SUM('CASE DATA'!M30:Q30))</f>
        <v>0</v>
      </c>
      <c r="E30" s="54">
        <f>IF(OR(B30="DISM", B30="JWV", B30="JUV", B30="CIV"), 0, 'CASE DATA'!R30)</f>
        <v>0</v>
      </c>
      <c r="F30" s="55">
        <f>IF(OR(B30="DISM", B30="JWV", B30="JUV", B30="CIV"), 0, 'CASE DATA'!S30+'CASE DATA'!T30)</f>
        <v>0</v>
      </c>
    </row>
    <row r="31" spans="1:6" x14ac:dyDescent="0.25">
      <c r="A31" s="35" t="str">
        <f>IF('CASE DATA'!A31="","",'CASE DATA'!A31)</f>
        <v/>
      </c>
      <c r="B31" s="40" t="str">
        <f>IF('CASE DATA'!A31&lt;&gt;"",IF('CASE DATA'!G31=0, "open charge", 'CASE DATA'!G31),"")</f>
        <v/>
      </c>
      <c r="C31" s="52">
        <f>IF(OR(B31="DISM", B31="JWV", B31="JUV", B31="CIV"), SUM('CASE DATA'!K31:T31), 'CASE DATA'!K31+'CASE DATA'!L31)</f>
        <v>0</v>
      </c>
      <c r="D31" s="53">
        <f>IF(OR(B31="DISM",B31="JWV",B31="JUV",B31="CIV"),0,SUM('CASE DATA'!M31:Q31))</f>
        <v>0</v>
      </c>
      <c r="E31" s="54">
        <f>IF(OR(B31="DISM", B31="JWV", B31="JUV", B31="CIV"), 0, 'CASE DATA'!R31)</f>
        <v>0</v>
      </c>
      <c r="F31" s="55">
        <f>IF(OR(B31="DISM", B31="JWV", B31="JUV", B31="CIV"), 0, 'CASE DATA'!S31+'CASE DATA'!T31)</f>
        <v>0</v>
      </c>
    </row>
    <row r="32" spans="1:6" x14ac:dyDescent="0.25">
      <c r="A32" s="35" t="str">
        <f>IF('CASE DATA'!A32="","",'CASE DATA'!A32)</f>
        <v/>
      </c>
      <c r="B32" s="40" t="str">
        <f>IF('CASE DATA'!A32&lt;&gt;"",IF('CASE DATA'!G32=0, "open charge", 'CASE DATA'!G32),"")</f>
        <v/>
      </c>
      <c r="C32" s="52">
        <f>IF(OR(B32="DISM", B32="JWV", B32="JUV", B32="CIV"), SUM('CASE DATA'!K32:T32), 'CASE DATA'!K32+'CASE DATA'!L32)</f>
        <v>0</v>
      </c>
      <c r="D32" s="53">
        <f>IF(OR(B32="DISM",B32="JWV",B32="JUV",B32="CIV"),0,SUM('CASE DATA'!M32:Q32))</f>
        <v>0</v>
      </c>
      <c r="E32" s="54">
        <f>IF(OR(B32="DISM", B32="JWV", B32="JUV", B32="CIV"), 0, 'CASE DATA'!R32)</f>
        <v>0</v>
      </c>
      <c r="F32" s="55">
        <f>IF(OR(B32="DISM", B32="JWV", B32="JUV", B32="CIV"), 0, 'CASE DATA'!S32+'CASE DATA'!T32)</f>
        <v>0</v>
      </c>
    </row>
    <row r="33" spans="1:7" x14ac:dyDescent="0.25">
      <c r="A33" s="35" t="str">
        <f>IF('CASE DATA'!A33="","",'CASE DATA'!A33)</f>
        <v/>
      </c>
      <c r="B33" s="40" t="str">
        <f>IF('CASE DATA'!A33&lt;&gt;"",IF('CASE DATA'!G33=0, "open charge", 'CASE DATA'!G33),"")</f>
        <v/>
      </c>
      <c r="C33" s="52">
        <f>IF(OR(B33="DISM", B33="JWV", B33="JUV", B33="CIV"), SUM('CASE DATA'!K33:T33), 'CASE DATA'!K33+'CASE DATA'!L33)</f>
        <v>0</v>
      </c>
      <c r="D33" s="53">
        <f>IF(OR(B33="DISM",B33="JWV",B33="JUV",B33="CIV"),0,SUM('CASE DATA'!M33:Q33))</f>
        <v>0</v>
      </c>
      <c r="E33" s="54">
        <f>IF(OR(B33="DISM", B33="JWV", B33="JUV", B33="CIV"), 0, 'CASE DATA'!R33)</f>
        <v>0</v>
      </c>
      <c r="F33" s="55">
        <f>IF(OR(B33="DISM", B33="JWV", B33="JUV", B33="CIV"), 0, 'CASE DATA'!S33+'CASE DATA'!T33)</f>
        <v>0</v>
      </c>
    </row>
    <row r="34" spans="1:7" x14ac:dyDescent="0.25">
      <c r="A34" s="35" t="str">
        <f>IF('CASE DATA'!A34="","",'CASE DATA'!A34)</f>
        <v/>
      </c>
      <c r="B34" s="40" t="str">
        <f>IF('CASE DATA'!A34&lt;&gt;"",IF('CASE DATA'!G34=0, "open charge", 'CASE DATA'!G34),"")</f>
        <v/>
      </c>
      <c r="C34" s="52">
        <f>IF(OR(B34="DISM", B34="JWV", B34="JUV", B34="CIV"), SUM('CASE DATA'!K34:T34), 'CASE DATA'!K34+'CASE DATA'!L34)</f>
        <v>0</v>
      </c>
      <c r="D34" s="53">
        <f>IF(OR(B34="DISM",B34="JWV",B34="JUV",B34="CIV"),0,SUM('CASE DATA'!M34:Q34))</f>
        <v>0</v>
      </c>
      <c r="E34" s="54">
        <f>IF(OR(B34="DISM", B34="JWV", B34="JUV", B34="CIV"), 0, 'CASE DATA'!R34)</f>
        <v>0</v>
      </c>
      <c r="F34" s="55">
        <f>IF(OR(B34="DISM", B34="JWV", B34="JUV", B34="CIV"), 0, 'CASE DATA'!S34+'CASE DATA'!T34)</f>
        <v>0</v>
      </c>
    </row>
    <row r="35" spans="1:7" x14ac:dyDescent="0.25">
      <c r="A35" s="35" t="str">
        <f>IF('CASE DATA'!A35="","",'CASE DATA'!A35)</f>
        <v/>
      </c>
      <c r="B35" s="40" t="str">
        <f>IF('CASE DATA'!A35&lt;&gt;"",IF('CASE DATA'!G35=0, "open charge", 'CASE DATA'!G35),"")</f>
        <v/>
      </c>
      <c r="C35" s="52">
        <f>IF(OR(B35="DISM", B35="JWV", B35="JUV", B35="CIV"), SUM('CASE DATA'!K35:T35), 'CASE DATA'!K35+'CASE DATA'!L35)</f>
        <v>0</v>
      </c>
      <c r="D35" s="53">
        <f>IF(OR(B35="DISM",B35="JWV",B35="JUV",B35="CIV"),0,SUM('CASE DATA'!M35:Q35))</f>
        <v>0</v>
      </c>
      <c r="E35" s="54">
        <f>IF(OR(B35="DISM", B35="JWV", B35="JUV", B35="CIV"), 0, 'CASE DATA'!R35)</f>
        <v>0</v>
      </c>
      <c r="F35" s="55">
        <f>IF(OR(B35="DISM", B35="JWV", B35="JUV", B35="CIV"), 0, 'CASE DATA'!S35+'CASE DATA'!T35)</f>
        <v>0</v>
      </c>
    </row>
    <row r="36" spans="1:7" x14ac:dyDescent="0.25">
      <c r="A36" s="35" t="str">
        <f>IF('CASE DATA'!A36="","",'CASE DATA'!A36)</f>
        <v/>
      </c>
      <c r="B36" s="40" t="str">
        <f>IF('CASE DATA'!A36&lt;&gt;"",IF('CASE DATA'!G36=0, "open charge", 'CASE DATA'!G36),"")</f>
        <v/>
      </c>
      <c r="C36" s="52">
        <f>IF(OR(B36="DISM", B36="JWV", B36="JUV", B36="CIV"), SUM('CASE DATA'!K36:T36), 'CASE DATA'!K36+'CASE DATA'!L36)</f>
        <v>0</v>
      </c>
      <c r="D36" s="53">
        <f>IF(OR(B36="DISM",B36="JWV",B36="JUV",B36="CIV"),0,SUM('CASE DATA'!M36:Q36))</f>
        <v>0</v>
      </c>
      <c r="E36" s="54">
        <f>IF(OR(B36="DISM", B36="JWV", B36="JUV", B36="CIV"), 0, 'CASE DATA'!R36)</f>
        <v>0</v>
      </c>
      <c r="F36" s="55">
        <f>IF(OR(B36="DISM", B36="JWV", B36="JUV", B36="CIV"), 0, 'CASE DATA'!S36+'CASE DATA'!T36)</f>
        <v>0</v>
      </c>
    </row>
    <row r="37" spans="1:7" x14ac:dyDescent="0.25">
      <c r="A37" s="35" t="str">
        <f>IF('CASE DATA'!A37="","",'CASE DATA'!A37)</f>
        <v/>
      </c>
      <c r="B37" s="40" t="str">
        <f>IF('CASE DATA'!A37&lt;&gt;"",IF('CASE DATA'!G37=0, "open charge", 'CASE DATA'!G37),"")</f>
        <v/>
      </c>
      <c r="C37" s="52">
        <f>IF(OR(B37="DISM", B37="JWV", B37="JUV", B37="CIV"), SUM('CASE DATA'!K37:T37), 'CASE DATA'!K37+'CASE DATA'!L37)</f>
        <v>0</v>
      </c>
      <c r="D37" s="53">
        <f>IF(OR(B37="DISM",B37="JWV",B37="JUV",B37="CIV"),0,SUM('CASE DATA'!M37:Q37))</f>
        <v>0</v>
      </c>
      <c r="E37" s="54">
        <f>IF(OR(B37="DISM", B37="JWV", B37="JUV", B37="CIV"), 0, 'CASE DATA'!R37)</f>
        <v>0</v>
      </c>
      <c r="F37" s="55">
        <f>IF(OR(B37="DISM", B37="JWV", B37="JUV", B37="CIV"), 0, 'CASE DATA'!S37+'CASE DATA'!T37)</f>
        <v>0</v>
      </c>
    </row>
    <row r="38" spans="1:7" x14ac:dyDescent="0.25">
      <c r="A38" s="35" t="str">
        <f>IF('CASE DATA'!A38="","",'CASE DATA'!A38)</f>
        <v/>
      </c>
      <c r="B38" s="40" t="str">
        <f>IF('CASE DATA'!A38&lt;&gt;"",IF('CASE DATA'!G38=0, "open charge", 'CASE DATA'!G38),"")</f>
        <v/>
      </c>
      <c r="C38" s="52">
        <f>IF(OR(B38="DISM", B38="JWV", B38="JUV", B38="CIV"), SUM('CASE DATA'!K38:T38), 'CASE DATA'!K38+'CASE DATA'!L38)</f>
        <v>0</v>
      </c>
      <c r="D38" s="53">
        <f>IF(OR(B38="DISM",B38="JWV",B38="JUV",B38="CIV"),0,SUM('CASE DATA'!M38:Q38))</f>
        <v>0</v>
      </c>
      <c r="E38" s="54">
        <f>IF(OR(B38="DISM", B38="JWV", B38="JUV", B38="CIV"), 0, 'CASE DATA'!R38)</f>
        <v>0</v>
      </c>
      <c r="F38" s="55">
        <f>IF(OR(B38="DISM", B38="JWV", B38="JUV", B38="CIV"), 0, 'CASE DATA'!S38+'CASE DATA'!T38)</f>
        <v>0</v>
      </c>
    </row>
    <row r="39" spans="1:7" x14ac:dyDescent="0.25">
      <c r="A39" s="35" t="str">
        <f>IF('CASE DATA'!A39="","",'CASE DATA'!A39)</f>
        <v/>
      </c>
      <c r="B39" s="40" t="str">
        <f>IF('CASE DATA'!A39&lt;&gt;"",IF('CASE DATA'!G39=0, "open charge", 'CASE DATA'!G39),"")</f>
        <v/>
      </c>
      <c r="C39" s="52">
        <f>IF(OR(B39="DISM", B39="JWV", B39="JUV", B39="CIV"), SUM('CASE DATA'!K39:T39), 'CASE DATA'!K39+'CASE DATA'!L39)</f>
        <v>0</v>
      </c>
      <c r="D39" s="53">
        <f>IF(OR(B39="DISM",B39="JWV",B39="JUV",B39="CIV"),0,SUM('CASE DATA'!M39:Q39))</f>
        <v>0</v>
      </c>
      <c r="E39" s="54">
        <f>IF(OR(B39="DISM", B39="JWV", B39="JUV", B39="CIV"), 0, 'CASE DATA'!R39)</f>
        <v>0</v>
      </c>
      <c r="F39" s="55">
        <f>IF(OR(B39="DISM", B39="JWV", B39="JUV", B39="CIV"), 0, 'CASE DATA'!S39+'CASE DATA'!T39)</f>
        <v>0</v>
      </c>
    </row>
    <row r="40" spans="1:7" x14ac:dyDescent="0.25">
      <c r="A40" s="35" t="str">
        <f>IF('CASE DATA'!A40="","",'CASE DATA'!A40)</f>
        <v/>
      </c>
      <c r="B40" s="40" t="str">
        <f>IF('CASE DATA'!A40&lt;&gt;"",IF('CASE DATA'!G40=0, "open charge", 'CASE DATA'!G40),"")</f>
        <v/>
      </c>
      <c r="C40" s="52">
        <f>IF(OR(B40="DISM", B40="JWV", B40="JUV", B40="CIV"), SUM('CASE DATA'!K40:T40), 'CASE DATA'!K40+'CASE DATA'!L40)</f>
        <v>0</v>
      </c>
      <c r="D40" s="53">
        <f>IF(OR(B40="DISM",B40="JWV",B40="JUV",B40="CIV"),0,SUM('CASE DATA'!M40:Q40))</f>
        <v>0</v>
      </c>
      <c r="E40" s="54">
        <f>IF(OR(B40="DISM", B40="JWV", B40="JUV", B40="CIV"), 0, 'CASE DATA'!R40)</f>
        <v>0</v>
      </c>
      <c r="F40" s="55">
        <f>IF(OR(B40="DISM", B40="JWV", B40="JUV", B40="CIV"), 0, 'CASE DATA'!S40+'CASE DATA'!T40)</f>
        <v>0</v>
      </c>
    </row>
    <row r="41" spans="1:7" x14ac:dyDescent="0.25">
      <c r="A41" s="35" t="str">
        <f>IF('CASE DATA'!A41="","",'CASE DATA'!A41)</f>
        <v/>
      </c>
      <c r="B41" s="40" t="str">
        <f>IF('CASE DATA'!A41&lt;&gt;"",IF('CASE DATA'!G41=0, "open charge", 'CASE DATA'!G41),"")</f>
        <v/>
      </c>
      <c r="C41" s="52">
        <f>IF(OR(B41="DISM", B41="JWV", B41="JUV", B41="CIV"), SUM('CASE DATA'!K41:T41), 'CASE DATA'!K41+'CASE DATA'!L41)</f>
        <v>0</v>
      </c>
      <c r="D41" s="53">
        <f>IF(OR(B41="DISM",B41="JWV",B41="JUV",B41="CIV"),0,SUM('CASE DATA'!M41:Q41))</f>
        <v>0</v>
      </c>
      <c r="E41" s="54">
        <f>IF(OR(B41="DISM", B41="JWV", B41="JUV", B41="CIV"), 0, 'CASE DATA'!R41)</f>
        <v>0</v>
      </c>
      <c r="F41" s="55">
        <f>IF(OR(B41="DISM", B41="JWV", B41="JUV", B41="CIV"), 0, 'CASE DATA'!S41+'CASE DATA'!T41)</f>
        <v>0</v>
      </c>
    </row>
    <row r="42" spans="1:7" x14ac:dyDescent="0.25">
      <c r="A42" s="35" t="str">
        <f>IF('CASE DATA'!A42="","",'CASE DATA'!A42)</f>
        <v/>
      </c>
      <c r="B42" s="40" t="str">
        <f>IF('CASE DATA'!A42&lt;&gt;"",IF('CASE DATA'!G42=0, "open charge", 'CASE DATA'!G42),"")</f>
        <v/>
      </c>
      <c r="C42" s="52">
        <f>IF(OR(B42="DISM", B42="JWV", B42="JUV", B42="CIV"), SUM('CASE DATA'!K42:T42), 'CASE DATA'!K42+'CASE DATA'!L42)</f>
        <v>0</v>
      </c>
      <c r="D42" s="53">
        <f>IF(OR(B42="DISM",B42="JWV",B42="JUV",B42="CIV"),0,SUM('CASE DATA'!M42:Q42))</f>
        <v>0</v>
      </c>
      <c r="E42" s="54">
        <f>IF(OR(B42="DISM", B42="JWV", B42="JUV", B42="CIV"), 0, 'CASE DATA'!R42)</f>
        <v>0</v>
      </c>
      <c r="F42" s="55">
        <f>IF(OR(B42="DISM", B42="JWV", B42="JUV", B42="CIV"), 0, 'CASE DATA'!S42+'CASE DATA'!T42)</f>
        <v>0</v>
      </c>
    </row>
    <row r="43" spans="1:7" x14ac:dyDescent="0.25">
      <c r="A43" s="35" t="str">
        <f>IF('CASE DATA'!A43="","",'CASE DATA'!A43)</f>
        <v/>
      </c>
      <c r="B43" s="40" t="str">
        <f>IF('CASE DATA'!A43&lt;&gt;"",IF('CASE DATA'!G43=0, "open charge", 'CASE DATA'!G43),"")</f>
        <v/>
      </c>
      <c r="C43" s="52">
        <f>IF(OR(B43="DISM", B43="JWV", B43="JUV", B43="CIV"), SUM('CASE DATA'!K43:T43), 'CASE DATA'!K43+'CASE DATA'!L43)</f>
        <v>0</v>
      </c>
      <c r="D43" s="53">
        <f>IF(OR(B43="DISM",B43="JWV",B43="JUV",B43="CIV"),0,SUM('CASE DATA'!M43:Q43))</f>
        <v>0</v>
      </c>
      <c r="E43" s="54">
        <f>IF(OR(B43="DISM", B43="JWV", B43="JUV", B43="CIV"), 0, 'CASE DATA'!R43)</f>
        <v>0</v>
      </c>
      <c r="F43" s="55">
        <f>IF(OR(B43="DISM", B43="JWV", B43="JUV", B43="CIV"), 0, 'CASE DATA'!S43+'CASE DATA'!T43)</f>
        <v>0</v>
      </c>
    </row>
    <row r="44" spans="1:7" x14ac:dyDescent="0.25">
      <c r="A44" s="35" t="str">
        <f>IF('CASE DATA'!A44="","",'CASE DATA'!A44)</f>
        <v/>
      </c>
      <c r="B44" s="40" t="str">
        <f>IF('CASE DATA'!A44&lt;&gt;"",IF('CASE DATA'!G44=0, "open charge", 'CASE DATA'!G44),"")</f>
        <v/>
      </c>
      <c r="C44" s="52">
        <f>IF(OR(B44="DISM", B44="JWV", B44="JUV", B44="CIV"), SUM('CASE DATA'!K44:T44), 'CASE DATA'!K44+'CASE DATA'!L44)</f>
        <v>0</v>
      </c>
      <c r="D44" s="53">
        <f>IF(OR(B44="DISM",B44="JWV",B44="JUV",B44="CIV"),0,SUM('CASE DATA'!M44:Q44))</f>
        <v>0</v>
      </c>
      <c r="E44" s="54">
        <f>IF(OR(B44="DISM", B44="JWV", B44="JUV", B44="CIV"), 0, 'CASE DATA'!R44)</f>
        <v>0</v>
      </c>
      <c r="F44" s="55">
        <f>IF(OR(B44="DISM", B44="JWV", B44="JUV", B44="CIV"), 0, 'CASE DATA'!S44+'CASE DATA'!T44)</f>
        <v>0</v>
      </c>
    </row>
    <row r="45" spans="1:7" x14ac:dyDescent="0.25">
      <c r="A45" s="35" t="str">
        <f>IF('CASE DATA'!A45="","",'CASE DATA'!A45)</f>
        <v/>
      </c>
      <c r="B45" s="40" t="str">
        <f>IF('CASE DATA'!A45&lt;&gt;"",IF('CASE DATA'!G45=0, "open charge", 'CASE DATA'!G45),"")</f>
        <v/>
      </c>
      <c r="C45" s="52">
        <f>IF(OR(B45="DISM", B45="JWV", B45="JUV", B45="CIV"), SUM('CASE DATA'!K45:T45), 'CASE DATA'!K45+'CASE DATA'!L45)</f>
        <v>0</v>
      </c>
      <c r="D45" s="53">
        <f>IF(OR(B45="DISM",B45="JWV",B45="JUV",B45="CIV"),0,SUM('CASE DATA'!M45:Q45))</f>
        <v>0</v>
      </c>
      <c r="E45" s="54">
        <f>IF(OR(B45="DISM", B45="JWV", B45="JUV", B45="CIV"), 0, 'CASE DATA'!R45)</f>
        <v>0</v>
      </c>
      <c r="F45" s="55">
        <f>IF(OR(B45="DISM", B45="JWV", B45="JUV", B45="CIV"), 0, 'CASE DATA'!S45+'CASE DATA'!T45)</f>
        <v>0</v>
      </c>
      <c r="G45" s="17"/>
    </row>
    <row r="46" spans="1:7" x14ac:dyDescent="0.25">
      <c r="A46" s="35" t="str">
        <f>IF('CASE DATA'!A46="","",'CASE DATA'!A46)</f>
        <v/>
      </c>
      <c r="B46" s="40" t="str">
        <f>IF('CASE DATA'!A46&lt;&gt;"",IF('CASE DATA'!G46=0, "open charge", 'CASE DATA'!G46),"")</f>
        <v/>
      </c>
      <c r="C46" s="52">
        <f>IF(OR(B46="DISM", B46="JWV", B46="JUV", B46="CIV"), SUM('CASE DATA'!K46:T46), 'CASE DATA'!K46+'CASE DATA'!L46)</f>
        <v>0</v>
      </c>
      <c r="D46" s="53">
        <f>IF(OR(B46="DISM",B46="JWV",B46="JUV",B46="CIV"),0,SUM('CASE DATA'!M46:Q46))</f>
        <v>0</v>
      </c>
      <c r="E46" s="54">
        <f>IF(OR(B46="DISM", B46="JWV", B46="JUV", B46="CIV"), 0, 'CASE DATA'!R46)</f>
        <v>0</v>
      </c>
      <c r="F46" s="55">
        <f>IF(OR(B46="DISM", B46="JWV", B46="JUV", B46="CIV"), 0, 'CASE DATA'!S46+'CASE DATA'!T46)</f>
        <v>0</v>
      </c>
    </row>
    <row r="47" spans="1:7" x14ac:dyDescent="0.25">
      <c r="A47" s="35" t="str">
        <f>IF('CASE DATA'!A47="","",'CASE DATA'!A47)</f>
        <v/>
      </c>
      <c r="B47" s="40" t="str">
        <f>IF('CASE DATA'!A47&lt;&gt;"",IF('CASE DATA'!G47=0, "open charge", 'CASE DATA'!G47),"")</f>
        <v/>
      </c>
      <c r="C47" s="52">
        <f>IF(OR(B47="DISM", B47="JWV", B47="JUV", B47="CIV"), SUM('CASE DATA'!K47:T47), 'CASE DATA'!K47+'CASE DATA'!L47)</f>
        <v>0</v>
      </c>
      <c r="D47" s="53">
        <f>IF(OR(B47="DISM",B47="JWV",B47="JUV",B47="CIV"),0,SUM('CASE DATA'!M47:Q47))</f>
        <v>0</v>
      </c>
      <c r="E47" s="54">
        <f>IF(OR(B47="DISM", B47="JWV", B47="JUV", B47="CIV"), 0, 'CASE DATA'!R47)</f>
        <v>0</v>
      </c>
      <c r="F47" s="55">
        <f>IF(OR(B47="DISM", B47="JWV", B47="JUV", B47="CIV"), 0, 'CASE DATA'!S47+'CASE DATA'!T47)</f>
        <v>0</v>
      </c>
    </row>
    <row r="48" spans="1:7" x14ac:dyDescent="0.25">
      <c r="A48" s="35" t="str">
        <f>IF('CASE DATA'!A48="","",'CASE DATA'!A48)</f>
        <v/>
      </c>
      <c r="B48" s="40" t="str">
        <f>IF('CASE DATA'!A48&lt;&gt;"",IF('CASE DATA'!G48=0, "open charge", 'CASE DATA'!G48),"")</f>
        <v/>
      </c>
      <c r="C48" s="52">
        <f>IF(OR(B48="DISM", B48="JWV", B48="JUV", B48="CIV"), SUM('CASE DATA'!K48:T48), 'CASE DATA'!K48+'CASE DATA'!L48)</f>
        <v>0</v>
      </c>
      <c r="D48" s="53">
        <f>IF(OR(B48="DISM",B48="JWV",B48="JUV",B48="CIV"),0,SUM('CASE DATA'!M48:Q48))</f>
        <v>0</v>
      </c>
      <c r="E48" s="54">
        <f>IF(OR(B48="DISM", B48="JWV", B48="JUV", B48="CIV"), 0, 'CASE DATA'!R48)</f>
        <v>0</v>
      </c>
      <c r="F48" s="55">
        <f>IF(OR(B48="DISM", B48="JWV", B48="JUV", B48="CIV"), 0, 'CASE DATA'!S48+'CASE DATA'!T48)</f>
        <v>0</v>
      </c>
    </row>
    <row r="49" spans="1:6" x14ac:dyDescent="0.25">
      <c r="A49" s="35" t="str">
        <f>IF('CASE DATA'!A49="","",'CASE DATA'!A49)</f>
        <v/>
      </c>
      <c r="B49" s="40" t="str">
        <f>IF('CASE DATA'!A49&lt;&gt;"",IF('CASE DATA'!G49=0, "open charge", 'CASE DATA'!G49),"")</f>
        <v/>
      </c>
      <c r="C49" s="52">
        <f>IF(OR(B49="DISM", B49="JWV", B49="JUV", B49="CIV"), SUM('CASE DATA'!K49:T49), 'CASE DATA'!K49+'CASE DATA'!L49)</f>
        <v>0</v>
      </c>
      <c r="D49" s="53">
        <f>IF(OR(B49="DISM",B49="JWV",B49="JUV",B49="CIV"),0,SUM('CASE DATA'!M49:Q49))</f>
        <v>0</v>
      </c>
      <c r="E49" s="54">
        <f>IF(OR(B49="DISM", B49="JWV", B49="JUV", B49="CIV"), 0, 'CASE DATA'!R49)</f>
        <v>0</v>
      </c>
      <c r="F49" s="55">
        <f>IF(OR(B49="DISM", B49="JWV", B49="JUV", B49="CIV"), 0, 'CASE DATA'!S49+'CASE DATA'!T49)</f>
        <v>0</v>
      </c>
    </row>
    <row r="50" spans="1:6" x14ac:dyDescent="0.25">
      <c r="A50" s="35" t="str">
        <f>IF('CASE DATA'!A50="","",'CASE DATA'!A50)</f>
        <v/>
      </c>
      <c r="B50" s="40" t="str">
        <f>IF('CASE DATA'!A50&lt;&gt;"",IF('CASE DATA'!G50=0, "open charge", 'CASE DATA'!G50),"")</f>
        <v/>
      </c>
      <c r="C50" s="52">
        <f>IF(OR(B50="DISM", B50="JWV", B50="JUV", B50="CIV"), SUM('CASE DATA'!K50:T50), 'CASE DATA'!K50+'CASE DATA'!L50)</f>
        <v>0</v>
      </c>
      <c r="D50" s="53">
        <f>IF(OR(B50="DISM",B50="JWV",B50="JUV",B50="CIV"),0,SUM('CASE DATA'!M50:Q50))</f>
        <v>0</v>
      </c>
      <c r="E50" s="54">
        <f>IF(OR(B50="DISM", B50="JWV", B50="JUV", B50="CIV"), 0, 'CASE DATA'!R50)</f>
        <v>0</v>
      </c>
      <c r="F50" s="55">
        <f>IF(OR(B50="DISM", B50="JWV", B50="JUV", B50="CIV"), 0, 'CASE DATA'!S50+'CASE DATA'!T50)</f>
        <v>0</v>
      </c>
    </row>
    <row r="51" spans="1:6" x14ac:dyDescent="0.25">
      <c r="A51" s="35" t="str">
        <f>IF('CASE DATA'!A51="","",'CASE DATA'!A51)</f>
        <v/>
      </c>
      <c r="B51" s="40" t="str">
        <f>IF('CASE DATA'!A51&lt;&gt;"",IF('CASE DATA'!G51=0, "open charge", 'CASE DATA'!G51),"")</f>
        <v/>
      </c>
      <c r="C51" s="52">
        <f>IF(OR(B51="DISM", B51="JWV", B51="JUV", B51="CIV"), SUM('CASE DATA'!K51:T51), 'CASE DATA'!K51+'CASE DATA'!L51)</f>
        <v>0</v>
      </c>
      <c r="D51" s="53">
        <f>IF(OR(B51="DISM",B51="JWV",B51="JUV",B51="CIV"),0,SUM('CASE DATA'!M51:Q51))</f>
        <v>0</v>
      </c>
      <c r="E51" s="54">
        <f>IF(OR(B51="DISM", B51="JWV", B51="JUV", B51="CIV"), 0, 'CASE DATA'!R51)</f>
        <v>0</v>
      </c>
      <c r="F51" s="55">
        <f>IF(OR(B51="DISM", B51="JWV", B51="JUV", B51="CIV"), 0, 'CASE DATA'!S51+'CASE DATA'!T51)</f>
        <v>0</v>
      </c>
    </row>
    <row r="52" spans="1:6" x14ac:dyDescent="0.25">
      <c r="A52" s="35" t="str">
        <f>IF('CASE DATA'!A52="","",'CASE DATA'!A52)</f>
        <v/>
      </c>
      <c r="B52" s="40" t="str">
        <f>IF('CASE DATA'!A52&lt;&gt;"",IF('CASE DATA'!G52=0, "open charge", 'CASE DATA'!G52),"")</f>
        <v/>
      </c>
      <c r="C52" s="52">
        <f>IF(OR(B52="DISM", B52="JWV", B52="JUV", B52="CIV"), SUM('CASE DATA'!K52:T52), 'CASE DATA'!K52+'CASE DATA'!L52)</f>
        <v>0</v>
      </c>
      <c r="D52" s="53">
        <f>IF(OR(B52="DISM",B52="JWV",B52="JUV",B52="CIV"),0,SUM('CASE DATA'!M52:Q52))</f>
        <v>0</v>
      </c>
      <c r="E52" s="54">
        <f>IF(OR(B52="DISM", B52="JWV", B52="JUV", B52="CIV"), 0, 'CASE DATA'!R52)</f>
        <v>0</v>
      </c>
      <c r="F52" s="55">
        <f>IF(OR(B52="DISM", B52="JWV", B52="JUV", B52="CIV"), 0, 'CASE DATA'!S52+'CASE DATA'!T52)</f>
        <v>0</v>
      </c>
    </row>
    <row r="53" spans="1:6" x14ac:dyDescent="0.25">
      <c r="A53" s="35" t="str">
        <f>IF('CASE DATA'!A53="","",'CASE DATA'!A53)</f>
        <v/>
      </c>
      <c r="B53" s="40" t="str">
        <f>IF('CASE DATA'!A53&lt;&gt;"",IF('CASE DATA'!G53=0, "open charge", 'CASE DATA'!G53),"")</f>
        <v/>
      </c>
      <c r="C53" s="52">
        <f>IF(OR(B53="DISM", B53="JWV", B53="JUV", B53="CIV"), SUM('CASE DATA'!K53:T53), 'CASE DATA'!K53+'CASE DATA'!L53)</f>
        <v>0</v>
      </c>
      <c r="D53" s="53">
        <f>IF(OR(B53="DISM",B53="JWV",B53="JUV",B53="CIV"),0,SUM('CASE DATA'!M53:Q53))</f>
        <v>0</v>
      </c>
      <c r="E53" s="54">
        <f>IF(OR(B53="DISM", B53="JWV", B53="JUV", B53="CIV"), 0, 'CASE DATA'!R53)</f>
        <v>0</v>
      </c>
      <c r="F53" s="55">
        <f>IF(OR(B53="DISM", B53="JWV", B53="JUV", B53="CIV"), 0, 'CASE DATA'!S53+'CASE DATA'!T53)</f>
        <v>0</v>
      </c>
    </row>
    <row r="54" spans="1:6" x14ac:dyDescent="0.25">
      <c r="A54" s="35" t="str">
        <f>IF('CASE DATA'!A54="","",'CASE DATA'!A54)</f>
        <v/>
      </c>
      <c r="B54" s="40" t="str">
        <f>IF('CASE DATA'!A54&lt;&gt;"",IF('CASE DATA'!G54=0, "open charge", 'CASE DATA'!G54),"")</f>
        <v/>
      </c>
      <c r="C54" s="52">
        <f>IF(OR(B54="DISM", B54="JWV", B54="JUV", B54="CIV"), SUM('CASE DATA'!K54:T54), 'CASE DATA'!K54+'CASE DATA'!L54)</f>
        <v>0</v>
      </c>
      <c r="D54" s="53">
        <f>IF(OR(B54="DISM",B54="JWV",B54="JUV",B54="CIV"),0,SUM('CASE DATA'!M54:Q54))</f>
        <v>0</v>
      </c>
      <c r="E54" s="54">
        <f>IF(OR(B54="DISM", B54="JWV", B54="JUV", B54="CIV"), 0, 'CASE DATA'!R54)</f>
        <v>0</v>
      </c>
      <c r="F54" s="55">
        <f>IF(OR(B54="DISM", B54="JWV", B54="JUV", B54="CIV"), 0, 'CASE DATA'!S54+'CASE DATA'!T54)</f>
        <v>0</v>
      </c>
    </row>
    <row r="55" spans="1:6" x14ac:dyDescent="0.25">
      <c r="A55" s="35" t="str">
        <f>IF('CASE DATA'!A55="","",'CASE DATA'!A55)</f>
        <v/>
      </c>
      <c r="B55" s="40" t="str">
        <f>IF('CASE DATA'!A55&lt;&gt;"",IF('CASE DATA'!G55=0, "open charge", 'CASE DATA'!G55),"")</f>
        <v/>
      </c>
      <c r="C55" s="52">
        <f>IF(OR(B55="DISM", B55="JWV", B55="JUV", B55="CIV"), SUM('CASE DATA'!K55:T55), 'CASE DATA'!K55+'CASE DATA'!L55)</f>
        <v>0</v>
      </c>
      <c r="D55" s="53">
        <f>IF(OR(B55="DISM",B55="JWV",B55="JUV",B55="CIV"),0,SUM('CASE DATA'!M55:Q55))</f>
        <v>0</v>
      </c>
      <c r="E55" s="54">
        <f>IF(OR(B55="DISM", B55="JWV", B55="JUV", B55="CIV"), 0, 'CASE DATA'!R55)</f>
        <v>0</v>
      </c>
      <c r="F55" s="55">
        <f>IF(OR(B55="DISM", B55="JWV", B55="JUV", B55="CIV"), 0, 'CASE DATA'!S55+'CASE DATA'!T55)</f>
        <v>0</v>
      </c>
    </row>
    <row r="56" spans="1:6" x14ac:dyDescent="0.25">
      <c r="A56" s="35" t="str">
        <f>IF('CASE DATA'!A56="","",'CASE DATA'!A56)</f>
        <v/>
      </c>
      <c r="B56" s="40" t="str">
        <f>IF('CASE DATA'!A56&lt;&gt;"",IF('CASE DATA'!G56=0, "open charge", 'CASE DATA'!G56),"")</f>
        <v/>
      </c>
      <c r="C56" s="52">
        <f>IF(OR(B56="DISM", B56="JWV", B56="JUV", B56="CIV"), SUM('CASE DATA'!K56:T56), 'CASE DATA'!K56+'CASE DATA'!L56)</f>
        <v>0</v>
      </c>
      <c r="D56" s="53">
        <f>IF(OR(B56="DISM",B56="JWV",B56="JUV",B56="CIV"),0,SUM('CASE DATA'!M56:Q56))</f>
        <v>0</v>
      </c>
      <c r="E56" s="54">
        <f>IF(OR(B56="DISM", B56="JWV", B56="JUV", B56="CIV"), 0, 'CASE DATA'!R56)</f>
        <v>0</v>
      </c>
      <c r="F56" s="55">
        <f>IF(OR(B56="DISM", B56="JWV", B56="JUV", B56="CIV"), 0, 'CASE DATA'!S56+'CASE DATA'!T56)</f>
        <v>0</v>
      </c>
    </row>
    <row r="57" spans="1:6" x14ac:dyDescent="0.25">
      <c r="A57" s="35" t="str">
        <f>IF('CASE DATA'!A57="","",'CASE DATA'!A57)</f>
        <v/>
      </c>
      <c r="B57" s="40" t="str">
        <f>IF('CASE DATA'!A57&lt;&gt;"",IF('CASE DATA'!G57=0, "open charge", 'CASE DATA'!G57),"")</f>
        <v/>
      </c>
      <c r="C57" s="52">
        <f>IF(OR(B57="DISM", B57="JWV", B57="JUV", B57="CIV"), SUM('CASE DATA'!K57:T57), 'CASE DATA'!K57+'CASE DATA'!L57)</f>
        <v>0</v>
      </c>
      <c r="D57" s="53">
        <f>IF(OR(B57="DISM",B57="JWV",B57="JUV",B57="CIV"),0,SUM('CASE DATA'!M57:Q57))</f>
        <v>0</v>
      </c>
      <c r="E57" s="54">
        <f>IF(OR(B57="DISM", B57="JWV", B57="JUV", B57="CIV"), 0, 'CASE DATA'!R57)</f>
        <v>0</v>
      </c>
      <c r="F57" s="55">
        <f>IF(OR(B57="DISM", B57="JWV", B57="JUV", B57="CIV"), 0, 'CASE DATA'!S57+'CASE DATA'!T57)</f>
        <v>0</v>
      </c>
    </row>
    <row r="58" spans="1:6" x14ac:dyDescent="0.25">
      <c r="A58" s="35" t="str">
        <f>IF('CASE DATA'!A58="","",'CASE DATA'!A58)</f>
        <v/>
      </c>
      <c r="B58" s="40" t="str">
        <f>IF('CASE DATA'!A58&lt;&gt;"",IF('CASE DATA'!G58=0, "open charge", 'CASE DATA'!G58),"")</f>
        <v/>
      </c>
      <c r="C58" s="52">
        <f>IF(OR(B58="DISM", B58="JWV", B58="JUV", B58="CIV"), SUM('CASE DATA'!K58:T58), 'CASE DATA'!K58+'CASE DATA'!L58)</f>
        <v>0</v>
      </c>
      <c r="D58" s="53">
        <f>IF(OR(B58="DISM",B58="JWV",B58="JUV",B58="CIV"),0,SUM('CASE DATA'!M58:Q58))</f>
        <v>0</v>
      </c>
      <c r="E58" s="54">
        <f>IF(OR(B58="DISM", B58="JWV", B58="JUV", B58="CIV"), 0, 'CASE DATA'!R58)</f>
        <v>0</v>
      </c>
      <c r="F58" s="55">
        <f>IF(OR(B58="DISM", B58="JWV", B58="JUV", B58="CIV"), 0, 'CASE DATA'!S58+'CASE DATA'!T58)</f>
        <v>0</v>
      </c>
    </row>
    <row r="59" spans="1:6" x14ac:dyDescent="0.25">
      <c r="A59" s="35" t="str">
        <f>IF('CASE DATA'!A59="","",'CASE DATA'!A59)</f>
        <v/>
      </c>
      <c r="B59" s="40" t="str">
        <f>IF('CASE DATA'!A59&lt;&gt;"",IF('CASE DATA'!G59=0, "open charge", 'CASE DATA'!G59),"")</f>
        <v/>
      </c>
      <c r="C59" s="52">
        <f>IF(OR(B59="DISM", B59="JWV", B59="JUV", B59="CIV"), SUM('CASE DATA'!K59:T59), 'CASE DATA'!K59+'CASE DATA'!L59)</f>
        <v>0</v>
      </c>
      <c r="D59" s="53">
        <f>IF(OR(B59="DISM",B59="JWV",B59="JUV",B59="CIV"),0,SUM('CASE DATA'!M59:Q59))</f>
        <v>0</v>
      </c>
      <c r="E59" s="54">
        <f>IF(OR(B59="DISM", B59="JWV", B59="JUV", B59="CIV"), 0, 'CASE DATA'!R59)</f>
        <v>0</v>
      </c>
      <c r="F59" s="55">
        <f>IF(OR(B59="DISM", B59="JWV", B59="JUV", B59="CIV"), 0, 'CASE DATA'!S59+'CASE DATA'!T59)</f>
        <v>0</v>
      </c>
    </row>
    <row r="60" spans="1:6" x14ac:dyDescent="0.25">
      <c r="A60" s="35" t="str">
        <f>IF('CASE DATA'!A60="","",'CASE DATA'!A60)</f>
        <v/>
      </c>
      <c r="B60" s="40" t="str">
        <f>IF('CASE DATA'!A60&lt;&gt;"",IF('CASE DATA'!G60=0, "open charge", 'CASE DATA'!G60),"")</f>
        <v/>
      </c>
      <c r="C60" s="52">
        <f>IF(OR(B60="DISM", B60="JWV", B60="JUV", B60="CIV"), SUM('CASE DATA'!K60:T60), 'CASE DATA'!K60+'CASE DATA'!L60)</f>
        <v>0</v>
      </c>
      <c r="D60" s="53">
        <f>IF(OR(B60="DISM",B60="JWV",B60="JUV",B60="CIV"),0,SUM('CASE DATA'!M60:Q60))</f>
        <v>0</v>
      </c>
      <c r="E60" s="54">
        <f>IF(OR(B60="DISM", B60="JWV", B60="JUV", B60="CIV"), 0, 'CASE DATA'!R60)</f>
        <v>0</v>
      </c>
      <c r="F60" s="55">
        <f>IF(OR(B60="DISM", B60="JWV", B60="JUV", B60="CIV"), 0, 'CASE DATA'!S60+'CASE DATA'!T60)</f>
        <v>0</v>
      </c>
    </row>
    <row r="61" spans="1:6" x14ac:dyDescent="0.25">
      <c r="A61" s="35" t="str">
        <f>IF('CASE DATA'!A61="","",'CASE DATA'!A61)</f>
        <v/>
      </c>
      <c r="B61" s="40" t="str">
        <f>IF('CASE DATA'!A61&lt;&gt;"",IF('CASE DATA'!G61=0, "open charge", 'CASE DATA'!G61),"")</f>
        <v/>
      </c>
      <c r="C61" s="52">
        <f>IF(OR(B61="DISM", B61="JWV", B61="JUV", B61="CIV"), SUM('CASE DATA'!K61:T61), 'CASE DATA'!K61+'CASE DATA'!L61)</f>
        <v>0</v>
      </c>
      <c r="D61" s="53">
        <f>IF(OR(B61="DISM",B61="JWV",B61="JUV",B61="CIV"),0,SUM('CASE DATA'!M61:Q61))</f>
        <v>0</v>
      </c>
      <c r="E61" s="54">
        <f>IF(OR(B61="DISM", B61="JWV", B61="JUV", B61="CIV"), 0, 'CASE DATA'!R61)</f>
        <v>0</v>
      </c>
      <c r="F61" s="55">
        <f>IF(OR(B61="DISM", B61="JWV", B61="JUV", B61="CIV"), 0, 'CASE DATA'!S61+'CASE DATA'!T61)</f>
        <v>0</v>
      </c>
    </row>
    <row r="62" spans="1:6" x14ac:dyDescent="0.25">
      <c r="A62" s="35" t="str">
        <f>IF('CASE DATA'!A62="","",'CASE DATA'!A62)</f>
        <v/>
      </c>
      <c r="B62" s="40" t="str">
        <f>IF('CASE DATA'!A62&lt;&gt;"",IF('CASE DATA'!G62=0, "open charge", 'CASE DATA'!G62),"")</f>
        <v/>
      </c>
      <c r="C62" s="52">
        <f>IF(OR(B62="DISM", B62="JWV", B62="JUV", B62="CIV"), SUM('CASE DATA'!K62:T62), 'CASE DATA'!K62+'CASE DATA'!L62)</f>
        <v>0</v>
      </c>
      <c r="D62" s="53">
        <f>IF(OR(B62="DISM",B62="JWV",B62="JUV",B62="CIV"),0,SUM('CASE DATA'!M62:Q62))</f>
        <v>0</v>
      </c>
      <c r="E62" s="54">
        <f>IF(OR(B62="DISM", B62="JWV", B62="JUV", B62="CIV"), 0, 'CASE DATA'!R62)</f>
        <v>0</v>
      </c>
      <c r="F62" s="55">
        <f>IF(OR(B62="DISM", B62="JWV", B62="JUV", B62="CIV"), 0, 'CASE DATA'!S62+'CASE DATA'!T62)</f>
        <v>0</v>
      </c>
    </row>
    <row r="63" spans="1:6" x14ac:dyDescent="0.25">
      <c r="A63" s="35" t="str">
        <f>IF('CASE DATA'!A63="","",'CASE DATA'!A63)</f>
        <v/>
      </c>
      <c r="B63" s="40" t="str">
        <f>IF('CASE DATA'!A63&lt;&gt;"",IF('CASE DATA'!G63=0, "open charge", 'CASE DATA'!G63),"")</f>
        <v/>
      </c>
      <c r="C63" s="52">
        <f>IF(OR(B63="DISM", B63="JWV", B63="JUV", B63="CIV"), SUM('CASE DATA'!K63:T63), 'CASE DATA'!K63+'CASE DATA'!L63)</f>
        <v>0</v>
      </c>
      <c r="D63" s="53">
        <f>IF(OR(B63="DISM",B63="JWV",B63="JUV",B63="CIV"),0,SUM('CASE DATA'!M63:Q63))</f>
        <v>0</v>
      </c>
      <c r="E63" s="54">
        <f>IF(OR(B63="DISM", B63="JWV", B63="JUV", B63="CIV"), 0, 'CASE DATA'!R63)</f>
        <v>0</v>
      </c>
      <c r="F63" s="55">
        <f>IF(OR(B63="DISM", B63="JWV", B63="JUV", B63="CIV"), 0, 'CASE DATA'!S63+'CASE DATA'!T63)</f>
        <v>0</v>
      </c>
    </row>
    <row r="64" spans="1:6" x14ac:dyDescent="0.25">
      <c r="A64" s="35" t="str">
        <f>IF('CASE DATA'!A64="","",'CASE DATA'!A64)</f>
        <v/>
      </c>
      <c r="B64" s="40" t="str">
        <f>IF('CASE DATA'!A64&lt;&gt;"",IF('CASE DATA'!G64=0, "open charge", 'CASE DATA'!G64),"")</f>
        <v/>
      </c>
      <c r="C64" s="52">
        <f>IF(OR(B64="DISM", B64="JWV", B64="JUV", B64="CIV"), SUM('CASE DATA'!K64:T64), 'CASE DATA'!K64+'CASE DATA'!L64)</f>
        <v>0</v>
      </c>
      <c r="D64" s="53">
        <f>IF(OR(B64="DISM",B64="JWV",B64="JUV",B64="CIV"),0,SUM('CASE DATA'!M64:Q64))</f>
        <v>0</v>
      </c>
      <c r="E64" s="54">
        <f>IF(OR(B64="DISM", B64="JWV", B64="JUV", B64="CIV"), 0, 'CASE DATA'!R64)</f>
        <v>0</v>
      </c>
      <c r="F64" s="55">
        <f>IF(OR(B64="DISM", B64="JWV", B64="JUV", B64="CIV"), 0, 'CASE DATA'!S64+'CASE DATA'!T64)</f>
        <v>0</v>
      </c>
    </row>
    <row r="65" spans="1:6" x14ac:dyDescent="0.25">
      <c r="A65" s="35" t="str">
        <f>IF('CASE DATA'!A65="","",'CASE DATA'!A65)</f>
        <v/>
      </c>
      <c r="B65" s="40" t="str">
        <f>IF('CASE DATA'!A65&lt;&gt;"",IF('CASE DATA'!G65=0, "open charge", 'CASE DATA'!G65),"")</f>
        <v/>
      </c>
      <c r="C65" s="52">
        <f>IF(OR(B65="DISM", B65="JWV", B65="JUV", B65="CIV"), SUM('CASE DATA'!K65:T65), 'CASE DATA'!K65+'CASE DATA'!L65)</f>
        <v>0</v>
      </c>
      <c r="D65" s="53">
        <f>IF(OR(B65="DISM",B65="JWV",B65="JUV",B65="CIV"),0,SUM('CASE DATA'!M65:Q65))</f>
        <v>0</v>
      </c>
      <c r="E65" s="54">
        <f>IF(OR(B65="DISM", B65="JWV", B65="JUV", B65="CIV"), 0, 'CASE DATA'!R65)</f>
        <v>0</v>
      </c>
      <c r="F65" s="55">
        <f>IF(OR(B65="DISM", B65="JWV", B65="JUV", B65="CIV"), 0, 'CASE DATA'!S65+'CASE DATA'!T65)</f>
        <v>0</v>
      </c>
    </row>
    <row r="66" spans="1:6" x14ac:dyDescent="0.25">
      <c r="A66" s="35" t="str">
        <f>IF('CASE DATA'!A66="","",'CASE DATA'!A66)</f>
        <v/>
      </c>
      <c r="B66" s="40" t="str">
        <f>IF('CASE DATA'!A66&lt;&gt;"",IF('CASE DATA'!G66=0, "open charge", 'CASE DATA'!G66),"")</f>
        <v/>
      </c>
      <c r="C66" s="52">
        <f>IF(OR(B66="DISM", B66="JWV", B66="JUV", B66="CIV"), SUM('CASE DATA'!K66:T66), 'CASE DATA'!K66+'CASE DATA'!L66)</f>
        <v>0</v>
      </c>
      <c r="D66" s="53">
        <f>IF(OR(B66="DISM",B66="JWV",B66="JUV",B66="CIV"),0,SUM('CASE DATA'!M66:Q66))</f>
        <v>0</v>
      </c>
      <c r="E66" s="54">
        <f>IF(OR(B66="DISM", B66="JWV", B66="JUV", B66="CIV"), 0, 'CASE DATA'!R66)</f>
        <v>0</v>
      </c>
      <c r="F66" s="55">
        <f>IF(OR(B66="DISM", B66="JWV", B66="JUV", B66="CIV"), 0, 'CASE DATA'!S66+'CASE DATA'!T66)</f>
        <v>0</v>
      </c>
    </row>
    <row r="67" spans="1:6" x14ac:dyDescent="0.25">
      <c r="A67" s="35" t="str">
        <f>IF('CASE DATA'!A67="","",'CASE DATA'!A67)</f>
        <v/>
      </c>
      <c r="B67" s="40" t="str">
        <f>IF('CASE DATA'!A67&lt;&gt;"",IF('CASE DATA'!G67=0, "open charge", 'CASE DATA'!G67),"")</f>
        <v/>
      </c>
      <c r="C67" s="52">
        <f>IF(OR(B67="DISM", B67="JWV", B67="JUV", B67="CIV"), SUM('CASE DATA'!K67:T67), 'CASE DATA'!K67+'CASE DATA'!L67)</f>
        <v>0</v>
      </c>
      <c r="D67" s="53">
        <f>IF(OR(B67="DISM",B67="JWV",B67="JUV",B67="CIV"),0,SUM('CASE DATA'!M67:Q67))</f>
        <v>0</v>
      </c>
      <c r="E67" s="54">
        <f>IF(OR(B67="DISM", B67="JWV", B67="JUV", B67="CIV"), 0, 'CASE DATA'!R67)</f>
        <v>0</v>
      </c>
      <c r="F67" s="55">
        <f>IF(OR(B67="DISM", B67="JWV", B67="JUV", B67="CIV"), 0, 'CASE DATA'!S67+'CASE DATA'!T67)</f>
        <v>0</v>
      </c>
    </row>
    <row r="68" spans="1:6" x14ac:dyDescent="0.25">
      <c r="A68" s="35" t="str">
        <f>IF('CASE DATA'!A68="","",'CASE DATA'!A68)</f>
        <v/>
      </c>
      <c r="B68" s="40" t="str">
        <f>IF('CASE DATA'!A68&lt;&gt;"",IF('CASE DATA'!G68=0, "open charge", 'CASE DATA'!G68),"")</f>
        <v/>
      </c>
      <c r="C68" s="52">
        <f>IF(OR(B68="DISM", B68="JWV", B68="JUV", B68="CIV"), SUM('CASE DATA'!K68:T68), 'CASE DATA'!K68+'CASE DATA'!L68)</f>
        <v>0</v>
      </c>
      <c r="D68" s="53">
        <f>IF(OR(B68="DISM",B68="JWV",B68="JUV",B68="CIV"),0,SUM('CASE DATA'!M68:Q68))</f>
        <v>0</v>
      </c>
      <c r="E68" s="54">
        <f>IF(OR(B68="DISM", B68="JWV", B68="JUV", B68="CIV"), 0, 'CASE DATA'!R68)</f>
        <v>0</v>
      </c>
      <c r="F68" s="55">
        <f>IF(OR(B68="DISM", B68="JWV", B68="JUV", B68="CIV"), 0, 'CASE DATA'!S68+'CASE DATA'!T68)</f>
        <v>0</v>
      </c>
    </row>
    <row r="69" spans="1:6" x14ac:dyDescent="0.25">
      <c r="A69" s="35" t="str">
        <f>IF('CASE DATA'!A69="","",'CASE DATA'!A69)</f>
        <v/>
      </c>
      <c r="B69" s="40" t="str">
        <f>IF('CASE DATA'!A69&lt;&gt;"",IF('CASE DATA'!G69=0, "open charge", 'CASE DATA'!G69),"")</f>
        <v/>
      </c>
      <c r="C69" s="52">
        <f>IF(OR(B69="DISM", B69="JWV", B69="JUV", B69="CIV"), SUM('CASE DATA'!K69:T69), 'CASE DATA'!K69+'CASE DATA'!L69)</f>
        <v>0</v>
      </c>
      <c r="D69" s="53">
        <f>IF(OR(B69="DISM",B69="JWV",B69="JUV",B69="CIV"),0,SUM('CASE DATA'!M69:Q69))</f>
        <v>0</v>
      </c>
      <c r="E69" s="54">
        <f>IF(OR(B69="DISM", B69="JWV", B69="JUV", B69="CIV"), 0, 'CASE DATA'!R69)</f>
        <v>0</v>
      </c>
      <c r="F69" s="55">
        <f>IF(OR(B69="DISM", B69="JWV", B69="JUV", B69="CIV"), 0, 'CASE DATA'!S69+'CASE DATA'!T69)</f>
        <v>0</v>
      </c>
    </row>
    <row r="70" spans="1:6" x14ac:dyDescent="0.25">
      <c r="A70" s="35" t="str">
        <f>IF('CASE DATA'!A70="","",'CASE DATA'!A70)</f>
        <v/>
      </c>
      <c r="B70" s="40" t="str">
        <f>IF('CASE DATA'!A70&lt;&gt;"",IF('CASE DATA'!G70=0, "open charge", 'CASE DATA'!G70),"")</f>
        <v/>
      </c>
      <c r="C70" s="52">
        <f>IF(OR(B70="DISM", B70="JWV", B70="JUV", B70="CIV"), SUM('CASE DATA'!K70:T70), 'CASE DATA'!K70+'CASE DATA'!L70)</f>
        <v>0</v>
      </c>
      <c r="D70" s="53">
        <f>IF(OR(B70="DISM",B70="JWV",B70="JUV",B70="CIV"),0,SUM('CASE DATA'!M70:Q70))</f>
        <v>0</v>
      </c>
      <c r="E70" s="54">
        <f>IF(OR(B70="DISM", B70="JWV", B70="JUV", B70="CIV"), 0, 'CASE DATA'!R70)</f>
        <v>0</v>
      </c>
      <c r="F70" s="55">
        <f>IF(OR(B70="DISM", B70="JWV", B70="JUV", B70="CIV"), 0, 'CASE DATA'!S70+'CASE DATA'!T70)</f>
        <v>0</v>
      </c>
    </row>
    <row r="71" spans="1:6" x14ac:dyDescent="0.25">
      <c r="A71" s="35" t="str">
        <f>IF('CASE DATA'!A71="","",'CASE DATA'!A71)</f>
        <v/>
      </c>
      <c r="B71" s="40" t="str">
        <f>IF('CASE DATA'!A71&lt;&gt;"",IF('CASE DATA'!G71=0, "open charge", 'CASE DATA'!G71),"")</f>
        <v/>
      </c>
      <c r="C71" s="52">
        <f>IF(OR(B71="DISM", B71="JWV", B71="JUV", B71="CIV"), SUM('CASE DATA'!K71:T71), 'CASE DATA'!K71+'CASE DATA'!L71)</f>
        <v>0</v>
      </c>
      <c r="D71" s="53">
        <f>IF(OR(B71="DISM",B71="JWV",B71="JUV",B71="CIV"),0,SUM('CASE DATA'!M71:Q71))</f>
        <v>0</v>
      </c>
      <c r="E71" s="54">
        <f>IF(OR(B71="DISM", B71="JWV", B71="JUV", B71="CIV"), 0, 'CASE DATA'!R71)</f>
        <v>0</v>
      </c>
      <c r="F71" s="55">
        <f>IF(OR(B71="DISM", B71="JWV", B71="JUV", B71="CIV"), 0, 'CASE DATA'!S71+'CASE DATA'!T71)</f>
        <v>0</v>
      </c>
    </row>
    <row r="72" spans="1:6" x14ac:dyDescent="0.25">
      <c r="A72" s="35" t="str">
        <f>IF('CASE DATA'!A72="","",'CASE DATA'!A72)</f>
        <v/>
      </c>
      <c r="B72" s="40" t="str">
        <f>IF('CASE DATA'!A72&lt;&gt;"",IF('CASE DATA'!G72=0, "open charge", 'CASE DATA'!G72),"")</f>
        <v/>
      </c>
      <c r="C72" s="52">
        <f>IF(OR(B72="DISM", B72="JWV", B72="JUV", B72="CIV"), SUM('CASE DATA'!K72:T72), 'CASE DATA'!K72+'CASE DATA'!L72)</f>
        <v>0</v>
      </c>
      <c r="D72" s="53">
        <f>IF(OR(B72="DISM",B72="JWV",B72="JUV",B72="CIV"),0,SUM('CASE DATA'!M72:Q72))</f>
        <v>0</v>
      </c>
      <c r="E72" s="54">
        <f>IF(OR(B72="DISM", B72="JWV", B72="JUV", B72="CIV"), 0, 'CASE DATA'!R72)</f>
        <v>0</v>
      </c>
      <c r="F72" s="55">
        <f>IF(OR(B72="DISM", B72="JWV", B72="JUV", B72="CIV"), 0, 'CASE DATA'!S72+'CASE DATA'!T72)</f>
        <v>0</v>
      </c>
    </row>
    <row r="73" spans="1:6" x14ac:dyDescent="0.25">
      <c r="A73" s="35" t="str">
        <f>IF('CASE DATA'!A73="","",'CASE DATA'!A73)</f>
        <v/>
      </c>
      <c r="B73" s="40" t="str">
        <f>IF('CASE DATA'!A73&lt;&gt;"",IF('CASE DATA'!G73=0, "open charge", 'CASE DATA'!G73),"")</f>
        <v/>
      </c>
      <c r="C73" s="52">
        <f>IF(OR(B73="DISM", B73="JWV", B73="JUV", B73="CIV"), SUM('CASE DATA'!K73:T73), 'CASE DATA'!K73+'CASE DATA'!L73)</f>
        <v>0</v>
      </c>
      <c r="D73" s="53">
        <f>IF(OR(B73="DISM",B73="JWV",B73="JUV",B73="CIV"),0,SUM('CASE DATA'!M73:Q73))</f>
        <v>0</v>
      </c>
      <c r="E73" s="54">
        <f>IF(OR(B73="DISM", B73="JWV", B73="JUV", B73="CIV"), 0, 'CASE DATA'!R73)</f>
        <v>0</v>
      </c>
      <c r="F73" s="55">
        <f>IF(OR(B73="DISM", B73="JWV", B73="JUV", B73="CIV"), 0, 'CASE DATA'!S73+'CASE DATA'!T73)</f>
        <v>0</v>
      </c>
    </row>
    <row r="74" spans="1:6" x14ac:dyDescent="0.25">
      <c r="A74" s="35" t="str">
        <f>IF('CASE DATA'!A74="","",'CASE DATA'!A74)</f>
        <v/>
      </c>
      <c r="B74" s="40" t="str">
        <f>IF('CASE DATA'!A74&lt;&gt;"",IF('CASE DATA'!G74=0, "open charge", 'CASE DATA'!G74),"")</f>
        <v/>
      </c>
      <c r="C74" s="52">
        <f>IF(OR(B74="DISM", B74="JWV", B74="JUV", B74="CIV"), SUM('CASE DATA'!K74:T74), 'CASE DATA'!K74+'CASE DATA'!L74)</f>
        <v>0</v>
      </c>
      <c r="D74" s="53">
        <f>IF(OR(B74="DISM",B74="JWV",B74="JUV",B74="CIV"),0,SUM('CASE DATA'!M74:Q74))</f>
        <v>0</v>
      </c>
      <c r="E74" s="54">
        <f>IF(OR(B74="DISM", B74="JWV", B74="JUV", B74="CIV"), 0, 'CASE DATA'!R74)</f>
        <v>0</v>
      </c>
      <c r="F74" s="55">
        <f>IF(OR(B74="DISM", B74="JWV", B74="JUV", B74="CIV"), 0, 'CASE DATA'!S74+'CASE DATA'!T74)</f>
        <v>0</v>
      </c>
    </row>
    <row r="75" spans="1:6" x14ac:dyDescent="0.25">
      <c r="A75" s="35" t="str">
        <f>IF('CASE DATA'!A75="","",'CASE DATA'!A75)</f>
        <v/>
      </c>
      <c r="B75" s="40" t="str">
        <f>IF('CASE DATA'!A75&lt;&gt;"",IF('CASE DATA'!G75=0, "open charge", 'CASE DATA'!G75),"")</f>
        <v/>
      </c>
      <c r="C75" s="52">
        <f>IF(OR(B75="DISM", B75="JWV", B75="JUV", B75="CIV"), SUM('CASE DATA'!K75:T75), 'CASE DATA'!K75+'CASE DATA'!L75)</f>
        <v>0</v>
      </c>
      <c r="D75" s="53">
        <f>IF(OR(B75="DISM",B75="JWV",B75="JUV",B75="CIV"),0,SUM('CASE DATA'!M75:Q75))</f>
        <v>0</v>
      </c>
      <c r="E75" s="54">
        <f>IF(OR(B75="DISM", B75="JWV", B75="JUV", B75="CIV"), 0, 'CASE DATA'!R75)</f>
        <v>0</v>
      </c>
      <c r="F75" s="55">
        <f>IF(OR(B75="DISM", B75="JWV", B75="JUV", B75="CIV"), 0, 'CASE DATA'!S75+'CASE DATA'!T75)</f>
        <v>0</v>
      </c>
    </row>
    <row r="76" spans="1:6" x14ac:dyDescent="0.25">
      <c r="A76" s="35" t="str">
        <f>IF('CASE DATA'!A76="","",'CASE DATA'!A76)</f>
        <v/>
      </c>
      <c r="B76" s="40" t="str">
        <f>IF('CASE DATA'!A76&lt;&gt;"",IF('CASE DATA'!G76=0, "open charge", 'CASE DATA'!G76),"")</f>
        <v/>
      </c>
      <c r="C76" s="52">
        <f>IF(OR(B76="DISM", B76="JWV", B76="JUV", B76="CIV"), SUM('CASE DATA'!K76:T76), 'CASE DATA'!K76+'CASE DATA'!L76)</f>
        <v>0</v>
      </c>
      <c r="D76" s="53">
        <f>IF(OR(B76="DISM",B76="JWV",B76="JUV",B76="CIV"),0,SUM('CASE DATA'!M76:Q76))</f>
        <v>0</v>
      </c>
      <c r="E76" s="54">
        <f>IF(OR(B76="DISM", B76="JWV", B76="JUV", B76="CIV"), 0, 'CASE DATA'!R76)</f>
        <v>0</v>
      </c>
      <c r="F76" s="55">
        <f>IF(OR(B76="DISM", B76="JWV", B76="JUV", B76="CIV"), 0, 'CASE DATA'!S76+'CASE DATA'!T76)</f>
        <v>0</v>
      </c>
    </row>
    <row r="77" spans="1:6" x14ac:dyDescent="0.25">
      <c r="A77" s="35" t="str">
        <f>IF('CASE DATA'!A77="","",'CASE DATA'!A77)</f>
        <v/>
      </c>
      <c r="B77" s="40" t="str">
        <f>IF('CASE DATA'!A77&lt;&gt;"",IF('CASE DATA'!G77=0, "open charge", 'CASE DATA'!G77),"")</f>
        <v/>
      </c>
      <c r="C77" s="52">
        <f>IF(OR(B77="DISM", B77="JWV", B77="JUV", B77="CIV"), SUM('CASE DATA'!K77:T77), 'CASE DATA'!K77+'CASE DATA'!L77)</f>
        <v>0</v>
      </c>
      <c r="D77" s="53">
        <f>IF(OR(B77="DISM",B77="JWV",B77="JUV",B77="CIV"),0,SUM('CASE DATA'!M77:Q77))</f>
        <v>0</v>
      </c>
      <c r="E77" s="54">
        <f>IF(OR(B77="DISM", B77="JWV", B77="JUV", B77="CIV"), 0, 'CASE DATA'!R77)</f>
        <v>0</v>
      </c>
      <c r="F77" s="55">
        <f>IF(OR(B77="DISM", B77="JWV", B77="JUV", B77="CIV"), 0, 'CASE DATA'!S77+'CASE DATA'!T77)</f>
        <v>0</v>
      </c>
    </row>
    <row r="78" spans="1:6" x14ac:dyDescent="0.25">
      <c r="A78" s="35" t="str">
        <f>IF('CASE DATA'!A78="","",'CASE DATA'!A78)</f>
        <v/>
      </c>
      <c r="B78" s="40" t="str">
        <f>IF('CASE DATA'!A78&lt;&gt;"",IF('CASE DATA'!G78=0, "open charge", 'CASE DATA'!G78),"")</f>
        <v/>
      </c>
      <c r="C78" s="52">
        <f>IF(OR(B78="DISM", B78="JWV", B78="JUV", B78="CIV"), SUM('CASE DATA'!K78:T78), 'CASE DATA'!K78+'CASE DATA'!L78)</f>
        <v>0</v>
      </c>
      <c r="D78" s="53">
        <f>IF(OR(B78="DISM",B78="JWV",B78="JUV",B78="CIV"),0,SUM('CASE DATA'!M78:Q78))</f>
        <v>0</v>
      </c>
      <c r="E78" s="54">
        <f>IF(OR(B78="DISM", B78="JWV", B78="JUV", B78="CIV"), 0, 'CASE DATA'!R78)</f>
        <v>0</v>
      </c>
      <c r="F78" s="55">
        <f>IF(OR(B78="DISM", B78="JWV", B78="JUV", B78="CIV"), 0, 'CASE DATA'!S78+'CASE DATA'!T78)</f>
        <v>0</v>
      </c>
    </row>
    <row r="79" spans="1:6" x14ac:dyDescent="0.25">
      <c r="A79" s="35" t="str">
        <f>IF('CASE DATA'!A79="","",'CASE DATA'!A79)</f>
        <v/>
      </c>
      <c r="B79" s="40" t="str">
        <f>IF('CASE DATA'!A79&lt;&gt;"",IF('CASE DATA'!G79=0, "open charge", 'CASE DATA'!G79),"")</f>
        <v/>
      </c>
      <c r="C79" s="52">
        <f>IF(OR(B79="DISM", B79="JWV", B79="JUV", B79="CIV"), SUM('CASE DATA'!K79:T79), 'CASE DATA'!K79+'CASE DATA'!L79)</f>
        <v>0</v>
      </c>
      <c r="D79" s="53">
        <f>IF(OR(B79="DISM",B79="JWV",B79="JUV",B79="CIV"),0,SUM('CASE DATA'!M79:Q79))</f>
        <v>0</v>
      </c>
      <c r="E79" s="54">
        <f>IF(OR(B79="DISM", B79="JWV", B79="JUV", B79="CIV"), 0, 'CASE DATA'!R79)</f>
        <v>0</v>
      </c>
      <c r="F79" s="55">
        <f>IF(OR(B79="DISM", B79="JWV", B79="JUV", B79="CIV"), 0, 'CASE DATA'!S79+'CASE DATA'!T79)</f>
        <v>0</v>
      </c>
    </row>
    <row r="80" spans="1:6" x14ac:dyDescent="0.25">
      <c r="A80" s="35" t="str">
        <f>IF('CASE DATA'!A80="","",'CASE DATA'!A80)</f>
        <v/>
      </c>
      <c r="B80" s="40" t="str">
        <f>IF('CASE DATA'!A80&lt;&gt;"",IF('CASE DATA'!G80=0, "open charge", 'CASE DATA'!G80),"")</f>
        <v/>
      </c>
      <c r="C80" s="52">
        <f>IF(OR(B80="DISM", B80="JWV", B80="JUV", B80="CIV"), SUM('CASE DATA'!K80:T80), 'CASE DATA'!K80+'CASE DATA'!L80)</f>
        <v>0</v>
      </c>
      <c r="D80" s="53">
        <f>IF(OR(B80="DISM",B80="JWV",B80="JUV",B80="CIV"),0,SUM('CASE DATA'!M80:Q80))</f>
        <v>0</v>
      </c>
      <c r="E80" s="54">
        <f>IF(OR(B80="DISM", B80="JWV", B80="JUV", B80="CIV"), 0, 'CASE DATA'!R80)</f>
        <v>0</v>
      </c>
      <c r="F80" s="55">
        <f>IF(OR(B80="DISM", B80="JWV", B80="JUV", B80="CIV"), 0, 'CASE DATA'!S80+'CASE DATA'!T80)</f>
        <v>0</v>
      </c>
    </row>
    <row r="81" spans="1:6" x14ac:dyDescent="0.25">
      <c r="A81" s="35" t="str">
        <f>IF('CASE DATA'!A81="","",'CASE DATA'!A81)</f>
        <v/>
      </c>
      <c r="B81" s="40" t="str">
        <f>IF('CASE DATA'!A81&lt;&gt;"",IF('CASE DATA'!G81=0, "open charge", 'CASE DATA'!G81),"")</f>
        <v/>
      </c>
      <c r="C81" s="52">
        <f>IF(OR(B81="DISM", B81="JWV", B81="JUV", B81="CIV"), SUM('CASE DATA'!K81:T81), 'CASE DATA'!K81+'CASE DATA'!L81)</f>
        <v>0</v>
      </c>
      <c r="D81" s="53">
        <f>IF(OR(B81="DISM",B81="JWV",B81="JUV",B81="CIV"),0,SUM('CASE DATA'!M81:Q81))</f>
        <v>0</v>
      </c>
      <c r="E81" s="54">
        <f>IF(OR(B81="DISM", B81="JWV", B81="JUV", B81="CIV"), 0, 'CASE DATA'!R81)</f>
        <v>0</v>
      </c>
      <c r="F81" s="55">
        <f>IF(OR(B81="DISM", B81="JWV", B81="JUV", B81="CIV"), 0, 'CASE DATA'!S81+'CASE DATA'!T81)</f>
        <v>0</v>
      </c>
    </row>
    <row r="82" spans="1:6" x14ac:dyDescent="0.25">
      <c r="A82" s="35" t="str">
        <f>IF('CASE DATA'!A82="","",'CASE DATA'!A82)</f>
        <v/>
      </c>
      <c r="B82" s="40" t="str">
        <f>IF('CASE DATA'!A82&lt;&gt;"",IF('CASE DATA'!G82=0, "open charge", 'CASE DATA'!G82),"")</f>
        <v/>
      </c>
      <c r="C82" s="52">
        <f>IF(OR(B82="DISM", B82="JWV", B82="JUV", B82="CIV"), SUM('CASE DATA'!K82:T82), 'CASE DATA'!K82+'CASE DATA'!L82)</f>
        <v>0</v>
      </c>
      <c r="D82" s="53">
        <f>IF(OR(B82="DISM",B82="JWV",B82="JUV",B82="CIV"),0,SUM('CASE DATA'!M82:Q82))</f>
        <v>0</v>
      </c>
      <c r="E82" s="54">
        <f>IF(OR(B82="DISM", B82="JWV", B82="JUV", B82="CIV"), 0, 'CASE DATA'!R82)</f>
        <v>0</v>
      </c>
      <c r="F82" s="55">
        <f>IF(OR(B82="DISM", B82="JWV", B82="JUV", B82="CIV"), 0, 'CASE DATA'!S82+'CASE DATA'!T82)</f>
        <v>0</v>
      </c>
    </row>
    <row r="83" spans="1:6" x14ac:dyDescent="0.25">
      <c r="A83" s="35" t="str">
        <f>IF('CASE DATA'!A83="","",'CASE DATA'!A83)</f>
        <v/>
      </c>
      <c r="B83" s="40" t="str">
        <f>IF('CASE DATA'!A83&lt;&gt;"",IF('CASE DATA'!G83=0, "open charge", 'CASE DATA'!G83),"")</f>
        <v/>
      </c>
      <c r="C83" s="52">
        <f>IF(OR(B83="DISM", B83="JWV", B83="JUV", B83="CIV"), SUM('CASE DATA'!K83:T83), 'CASE DATA'!K83+'CASE DATA'!L83)</f>
        <v>0</v>
      </c>
      <c r="D83" s="53">
        <f>IF(OR(B83="DISM",B83="JWV",B83="JUV",B83="CIV"),0,SUM('CASE DATA'!M83:Q83))</f>
        <v>0</v>
      </c>
      <c r="E83" s="54">
        <f>IF(OR(B83="DISM", B83="JWV", B83="JUV", B83="CIV"), 0, 'CASE DATA'!R83)</f>
        <v>0</v>
      </c>
      <c r="F83" s="55">
        <f>IF(OR(B83="DISM", B83="JWV", B83="JUV", B83="CIV"), 0, 'CASE DATA'!S83+'CASE DATA'!T83)</f>
        <v>0</v>
      </c>
    </row>
    <row r="84" spans="1:6" x14ac:dyDescent="0.25">
      <c r="A84" s="35" t="str">
        <f>IF('CASE DATA'!A84="","",'CASE DATA'!A84)</f>
        <v/>
      </c>
      <c r="B84" s="40" t="str">
        <f>IF('CASE DATA'!A84&lt;&gt;"",IF('CASE DATA'!G84=0, "open charge", 'CASE DATA'!G84),"")</f>
        <v/>
      </c>
      <c r="C84" s="52">
        <f>IF(OR(B84="DISM", B84="JWV", B84="JUV", B84="CIV"), SUM('CASE DATA'!K84:T84), 'CASE DATA'!K84+'CASE DATA'!L84)</f>
        <v>0</v>
      </c>
      <c r="D84" s="53">
        <f>IF(OR(B84="DISM",B84="JWV",B84="JUV",B84="CIV"),0,SUM('CASE DATA'!M84:Q84))</f>
        <v>0</v>
      </c>
      <c r="E84" s="54">
        <f>IF(OR(B84="DISM", B84="JWV", B84="JUV", B84="CIV"), 0, 'CASE DATA'!R84)</f>
        <v>0</v>
      </c>
      <c r="F84" s="55">
        <f>IF(OR(B84="DISM", B84="JWV", B84="JUV", B84="CIV"), 0, 'CASE DATA'!S84+'CASE DATA'!T84)</f>
        <v>0</v>
      </c>
    </row>
    <row r="85" spans="1:6" x14ac:dyDescent="0.25">
      <c r="A85" s="35" t="str">
        <f>IF('CASE DATA'!A85="","",'CASE DATA'!A85)</f>
        <v/>
      </c>
      <c r="B85" s="40" t="str">
        <f>IF('CASE DATA'!A85&lt;&gt;"",IF('CASE DATA'!G85=0, "open charge", 'CASE DATA'!G85),"")</f>
        <v/>
      </c>
      <c r="C85" s="52">
        <f>IF(OR(B85="DISM", B85="JWV", B85="JUV", B85="CIV"), SUM('CASE DATA'!K85:T85), 'CASE DATA'!K85+'CASE DATA'!L85)</f>
        <v>0</v>
      </c>
      <c r="D85" s="53">
        <f>IF(OR(B85="DISM",B85="JWV",B85="JUV",B85="CIV"),0,SUM('CASE DATA'!M85:Q85))</f>
        <v>0</v>
      </c>
      <c r="E85" s="54">
        <f>IF(OR(B85="DISM", B85="JWV", B85="JUV", B85="CIV"), 0, 'CASE DATA'!R85)</f>
        <v>0</v>
      </c>
      <c r="F85" s="55">
        <f>IF(OR(B85="DISM", B85="JWV", B85="JUV", B85="CIV"), 0, 'CASE DATA'!S85+'CASE DATA'!T85)</f>
        <v>0</v>
      </c>
    </row>
    <row r="86" spans="1:6" x14ac:dyDescent="0.25">
      <c r="A86" s="35" t="str">
        <f>IF('CASE DATA'!A86="","",'CASE DATA'!A86)</f>
        <v/>
      </c>
      <c r="B86" s="40" t="str">
        <f>IF('CASE DATA'!A86&lt;&gt;"",IF('CASE DATA'!G86=0, "open charge", 'CASE DATA'!G86),"")</f>
        <v/>
      </c>
      <c r="C86" s="52">
        <f>IF(OR(B86="DISM", B86="JWV", B86="JUV", B86="CIV"), SUM('CASE DATA'!K86:T86), 'CASE DATA'!K86+'CASE DATA'!L86)</f>
        <v>0</v>
      </c>
      <c r="D86" s="53">
        <f>IF(OR(B86="DISM",B86="JWV",B86="JUV",B86="CIV"),0,SUM('CASE DATA'!M86:Q86))</f>
        <v>0</v>
      </c>
      <c r="E86" s="54">
        <f>IF(OR(B86="DISM", B86="JWV", B86="JUV", B86="CIV"), 0, 'CASE DATA'!R86)</f>
        <v>0</v>
      </c>
      <c r="F86" s="55">
        <f>IF(OR(B86="DISM", B86="JWV", B86="JUV", B86="CIV"), 0, 'CASE DATA'!S86+'CASE DATA'!T86)</f>
        <v>0</v>
      </c>
    </row>
    <row r="87" spans="1:6" x14ac:dyDescent="0.25">
      <c r="A87" s="35" t="str">
        <f>IF('CASE DATA'!A87="","",'CASE DATA'!A87)</f>
        <v/>
      </c>
      <c r="B87" s="40" t="str">
        <f>IF('CASE DATA'!A87&lt;&gt;"",IF('CASE DATA'!G87=0, "open charge", 'CASE DATA'!G87),"")</f>
        <v/>
      </c>
      <c r="C87" s="52">
        <f>IF(OR(B87="DISM", B87="JWV", B87="JUV", B87="CIV"), SUM('CASE DATA'!K87:T87), 'CASE DATA'!K87+'CASE DATA'!L87)</f>
        <v>0</v>
      </c>
      <c r="D87" s="53">
        <f>IF(OR(B87="DISM",B87="JWV",B87="JUV",B87="CIV"),0,SUM('CASE DATA'!M87:Q87))</f>
        <v>0</v>
      </c>
      <c r="E87" s="54">
        <f>IF(OR(B87="DISM", B87="JWV", B87="JUV", B87="CIV"), 0, 'CASE DATA'!R87)</f>
        <v>0</v>
      </c>
      <c r="F87" s="55">
        <f>IF(OR(B87="DISM", B87="JWV", B87="JUV", B87="CIV"), 0, 'CASE DATA'!S87+'CASE DATA'!T87)</f>
        <v>0</v>
      </c>
    </row>
    <row r="88" spans="1:6" x14ac:dyDescent="0.25">
      <c r="A88" s="35" t="str">
        <f>IF('CASE DATA'!A88="","",'CASE DATA'!A88)</f>
        <v/>
      </c>
      <c r="B88" s="40" t="str">
        <f>IF('CASE DATA'!A88&lt;&gt;"",IF('CASE DATA'!G88=0, "open charge", 'CASE DATA'!G88),"")</f>
        <v/>
      </c>
      <c r="C88" s="52">
        <f>IF(OR(B88="DISM", B88="JWV", B88="JUV", B88="CIV"), SUM('CASE DATA'!K88:T88), 'CASE DATA'!K88+'CASE DATA'!L88)</f>
        <v>0</v>
      </c>
      <c r="D88" s="53">
        <f>IF(OR(B88="DISM",B88="JWV",B88="JUV",B88="CIV"),0,SUM('CASE DATA'!M88:Q88))</f>
        <v>0</v>
      </c>
      <c r="E88" s="54">
        <f>IF(OR(B88="DISM", B88="JWV", B88="JUV", B88="CIV"), 0, 'CASE DATA'!R88)</f>
        <v>0</v>
      </c>
      <c r="F88" s="55">
        <f>IF(OR(B88="DISM", B88="JWV", B88="JUV", B88="CIV"), 0, 'CASE DATA'!S88+'CASE DATA'!T88)</f>
        <v>0</v>
      </c>
    </row>
    <row r="89" spans="1:6" x14ac:dyDescent="0.25">
      <c r="A89" s="35" t="str">
        <f>IF('CASE DATA'!A89="","",'CASE DATA'!A89)</f>
        <v/>
      </c>
      <c r="B89" s="40" t="str">
        <f>IF('CASE DATA'!A89&lt;&gt;"",IF('CASE DATA'!G89=0, "open charge", 'CASE DATA'!G89),"")</f>
        <v/>
      </c>
      <c r="C89" s="52">
        <f>IF(OR(B89="DISM", B89="JWV", B89="JUV", B89="CIV"), SUM('CASE DATA'!K89:T89), 'CASE DATA'!K89+'CASE DATA'!L89)</f>
        <v>0</v>
      </c>
      <c r="D89" s="53">
        <f>IF(OR(B89="DISM",B89="JWV",B89="JUV",B89="CIV"),0,SUM('CASE DATA'!M89:Q89))</f>
        <v>0</v>
      </c>
      <c r="E89" s="54">
        <f>IF(OR(B89="DISM", B89="JWV", B89="JUV", B89="CIV"), 0, 'CASE DATA'!R89)</f>
        <v>0</v>
      </c>
      <c r="F89" s="55">
        <f>IF(OR(B89="DISM", B89="JWV", B89="JUV", B89="CIV"), 0, 'CASE DATA'!S89+'CASE DATA'!T89)</f>
        <v>0</v>
      </c>
    </row>
    <row r="90" spans="1:6" x14ac:dyDescent="0.25">
      <c r="A90" s="35" t="str">
        <f>IF('CASE DATA'!A90="","",'CASE DATA'!A90)</f>
        <v/>
      </c>
      <c r="B90" s="40" t="str">
        <f>IF('CASE DATA'!A90&lt;&gt;"",IF('CASE DATA'!G90=0, "open charge", 'CASE DATA'!G90),"")</f>
        <v/>
      </c>
      <c r="C90" s="52">
        <f>IF(OR(B90="DISM", B90="JWV", B90="JUV", B90="CIV"), SUM('CASE DATA'!K90:T90), 'CASE DATA'!K90+'CASE DATA'!L90)</f>
        <v>0</v>
      </c>
      <c r="D90" s="53">
        <f>IF(OR(B90="DISM",B90="JWV",B90="JUV",B90="CIV"),0,SUM('CASE DATA'!M90:Q90))</f>
        <v>0</v>
      </c>
      <c r="E90" s="54">
        <f>IF(OR(B90="DISM", B90="JWV", B90="JUV", B90="CIV"), 0, 'CASE DATA'!R90)</f>
        <v>0</v>
      </c>
      <c r="F90" s="55">
        <f>IF(OR(B90="DISM", B90="JWV", B90="JUV", B90="CIV"), 0, 'CASE DATA'!S90+'CASE DATA'!T90)</f>
        <v>0</v>
      </c>
    </row>
    <row r="91" spans="1:6" x14ac:dyDescent="0.25">
      <c r="A91" s="35" t="str">
        <f>IF('CASE DATA'!A91="","",'CASE DATA'!A91)</f>
        <v/>
      </c>
      <c r="B91" s="40" t="str">
        <f>IF('CASE DATA'!A91&lt;&gt;"",IF('CASE DATA'!G91=0, "open charge", 'CASE DATA'!G91),"")</f>
        <v/>
      </c>
      <c r="C91" s="52">
        <f>IF(OR(B91="DISM", B91="JWV", B91="JUV", B91="CIV"), SUM('CASE DATA'!K91:T91), 'CASE DATA'!K91+'CASE DATA'!L91)</f>
        <v>0</v>
      </c>
      <c r="D91" s="53">
        <f>IF(OR(B91="DISM",B91="JWV",B91="JUV",B91="CIV"),0,SUM('CASE DATA'!M91:Q91))</f>
        <v>0</v>
      </c>
      <c r="E91" s="54">
        <f>IF(OR(B91="DISM", B91="JWV", B91="JUV", B91="CIV"), 0, 'CASE DATA'!R91)</f>
        <v>0</v>
      </c>
      <c r="F91" s="55">
        <f>IF(OR(B91="DISM", B91="JWV", B91="JUV", B91="CIV"), 0, 'CASE DATA'!S91+'CASE DATA'!T91)</f>
        <v>0</v>
      </c>
    </row>
    <row r="92" spans="1:6" x14ac:dyDescent="0.25">
      <c r="A92" s="35" t="str">
        <f>IF('CASE DATA'!A92="","",'CASE DATA'!A92)</f>
        <v/>
      </c>
      <c r="B92" s="40" t="str">
        <f>IF('CASE DATA'!A92&lt;&gt;"",IF('CASE DATA'!G92=0, "open charge", 'CASE DATA'!G92),"")</f>
        <v/>
      </c>
      <c r="C92" s="52">
        <f>IF(OR(B92="DISM", B92="JWV", B92="JUV", B92="CIV"), SUM('CASE DATA'!K92:T92), 'CASE DATA'!K92+'CASE DATA'!L92)</f>
        <v>0</v>
      </c>
      <c r="D92" s="53">
        <f>IF(OR(B92="DISM",B92="JWV",B92="JUV",B92="CIV"),0,SUM('CASE DATA'!M92:Q92))</f>
        <v>0</v>
      </c>
      <c r="E92" s="54">
        <f>IF(OR(B92="DISM", B92="JWV", B92="JUV", B92="CIV"), 0, 'CASE DATA'!R92)</f>
        <v>0</v>
      </c>
      <c r="F92" s="55">
        <f>IF(OR(B92="DISM", B92="JWV", B92="JUV", B92="CIV"), 0, 'CASE DATA'!S92+'CASE DATA'!T92)</f>
        <v>0</v>
      </c>
    </row>
    <row r="93" spans="1:6" x14ac:dyDescent="0.25">
      <c r="A93" s="35" t="str">
        <f>IF('CASE DATA'!A93="","",'CASE DATA'!A93)</f>
        <v/>
      </c>
      <c r="B93" s="40" t="str">
        <f>IF('CASE DATA'!A93&lt;&gt;"",IF('CASE DATA'!G93=0, "open charge", 'CASE DATA'!G93),"")</f>
        <v/>
      </c>
      <c r="C93" s="52">
        <f>IF(OR(B93="DISM", B93="JWV", B93="JUV", B93="CIV"), SUM('CASE DATA'!K93:T93), 'CASE DATA'!K93+'CASE DATA'!L93)</f>
        <v>0</v>
      </c>
      <c r="D93" s="53">
        <f>IF(OR(B93="DISM",B93="JWV",B93="JUV",B93="CIV"),0,SUM('CASE DATA'!M93:Q93))</f>
        <v>0</v>
      </c>
      <c r="E93" s="54">
        <f>IF(OR(B93="DISM", B93="JWV", B93="JUV", B93="CIV"), 0, 'CASE DATA'!R93)</f>
        <v>0</v>
      </c>
      <c r="F93" s="55">
        <f>IF(OR(B93="DISM", B93="JWV", B93="JUV", B93="CIV"), 0, 'CASE DATA'!S93+'CASE DATA'!T93)</f>
        <v>0</v>
      </c>
    </row>
    <row r="94" spans="1:6" x14ac:dyDescent="0.25">
      <c r="A94" s="35" t="str">
        <f>IF('CASE DATA'!A94="","",'CASE DATA'!A94)</f>
        <v/>
      </c>
      <c r="B94" s="40" t="str">
        <f>IF('CASE DATA'!A94&lt;&gt;"",IF('CASE DATA'!G94=0, "open charge", 'CASE DATA'!G94),"")</f>
        <v/>
      </c>
      <c r="C94" s="52">
        <f>IF(OR(B94="DISM", B94="JWV", B94="JUV", B94="CIV"), SUM('CASE DATA'!K94:T94), 'CASE DATA'!K94+'CASE DATA'!L94)</f>
        <v>0</v>
      </c>
      <c r="D94" s="53">
        <f>IF(OR(B94="DISM",B94="JWV",B94="JUV",B94="CIV"),0,SUM('CASE DATA'!M94:Q94))</f>
        <v>0</v>
      </c>
      <c r="E94" s="54">
        <f>IF(OR(B94="DISM", B94="JWV", B94="JUV", B94="CIV"), 0, 'CASE DATA'!R94)</f>
        <v>0</v>
      </c>
      <c r="F94" s="55">
        <f>IF(OR(B94="DISM", B94="JWV", B94="JUV", B94="CIV"), 0, 'CASE DATA'!S94+'CASE DATA'!T94)</f>
        <v>0</v>
      </c>
    </row>
    <row r="95" spans="1:6" x14ac:dyDescent="0.25">
      <c r="A95" s="35" t="str">
        <f>IF('CASE DATA'!A95="","",'CASE DATA'!A95)</f>
        <v/>
      </c>
      <c r="B95" s="40" t="str">
        <f>IF('CASE DATA'!A95&lt;&gt;"",IF('CASE DATA'!G95=0, "open charge", 'CASE DATA'!G95),"")</f>
        <v/>
      </c>
      <c r="C95" s="52">
        <f>IF(OR(B95="DISM", B95="JWV", B95="JUV", B95="CIV"), SUM('CASE DATA'!K95:T95), 'CASE DATA'!K95+'CASE DATA'!L95)</f>
        <v>0</v>
      </c>
      <c r="D95" s="53">
        <f>IF(OR(B95="DISM",B95="JWV",B95="JUV",B95="CIV"),0,SUM('CASE DATA'!M95:Q95))</f>
        <v>0</v>
      </c>
      <c r="E95" s="54">
        <f>IF(OR(B95="DISM", B95="JWV", B95="JUV", B95="CIV"), 0, 'CASE DATA'!R95)</f>
        <v>0</v>
      </c>
      <c r="F95" s="55">
        <f>IF(OR(B95="DISM", B95="JWV", B95="JUV", B95="CIV"), 0, 'CASE DATA'!S95+'CASE DATA'!T95)</f>
        <v>0</v>
      </c>
    </row>
    <row r="96" spans="1:6" x14ac:dyDescent="0.25">
      <c r="A96" s="35" t="str">
        <f>IF('CASE DATA'!A96="","",'CASE DATA'!A96)</f>
        <v/>
      </c>
      <c r="B96" s="40" t="str">
        <f>IF('CASE DATA'!A96&lt;&gt;"",IF('CASE DATA'!G96=0, "open charge", 'CASE DATA'!G96),"")</f>
        <v/>
      </c>
      <c r="C96" s="52">
        <f>IF(OR(B96="DISM", B96="JWV", B96="JUV", B96="CIV"), SUM('CASE DATA'!K96:T96), 'CASE DATA'!K96+'CASE DATA'!L96)</f>
        <v>0</v>
      </c>
      <c r="D96" s="53">
        <f>IF(OR(B96="DISM",B96="JWV",B96="JUV",B96="CIV"),0,SUM('CASE DATA'!M96:Q96))</f>
        <v>0</v>
      </c>
      <c r="E96" s="54">
        <f>IF(OR(B96="DISM", B96="JWV", B96="JUV", B96="CIV"), 0, 'CASE DATA'!R96)</f>
        <v>0</v>
      </c>
      <c r="F96" s="55">
        <f>IF(OR(B96="DISM", B96="JWV", B96="JUV", B96="CIV"), 0, 'CASE DATA'!S96+'CASE DATA'!T96)</f>
        <v>0</v>
      </c>
    </row>
    <row r="97" spans="1:6" x14ac:dyDescent="0.25">
      <c r="A97" s="35" t="str">
        <f>IF('CASE DATA'!A97="","",'CASE DATA'!A97)</f>
        <v/>
      </c>
      <c r="B97" s="40" t="str">
        <f>IF('CASE DATA'!A97&lt;&gt;"",IF('CASE DATA'!G97=0, "open charge", 'CASE DATA'!G97),"")</f>
        <v/>
      </c>
      <c r="C97" s="52">
        <f>IF(OR(B97="DISM", B97="JWV", B97="JUV", B97="CIV"), SUM('CASE DATA'!K97:T97), 'CASE DATA'!K97+'CASE DATA'!L97)</f>
        <v>0</v>
      </c>
      <c r="D97" s="53">
        <f>IF(OR(B97="DISM",B97="JWV",B97="JUV",B97="CIV"),0,SUM('CASE DATA'!M97:Q97))</f>
        <v>0</v>
      </c>
      <c r="E97" s="54">
        <f>IF(OR(B97="DISM", B97="JWV", B97="JUV", B97="CIV"), 0, 'CASE DATA'!R97)</f>
        <v>0</v>
      </c>
      <c r="F97" s="55">
        <f>IF(OR(B97="DISM", B97="JWV", B97="JUV", B97="CIV"), 0, 'CASE DATA'!S97+'CASE DATA'!T97)</f>
        <v>0</v>
      </c>
    </row>
    <row r="98" spans="1:6" x14ac:dyDescent="0.25">
      <c r="A98" s="35" t="str">
        <f>IF('CASE DATA'!A98="","",'CASE DATA'!A98)</f>
        <v/>
      </c>
      <c r="B98" s="40" t="str">
        <f>IF('CASE DATA'!A98&lt;&gt;"",IF('CASE DATA'!G98=0, "open charge", 'CASE DATA'!G98),"")</f>
        <v/>
      </c>
      <c r="C98" s="52">
        <f>IF(OR(B98="DISM", B98="JWV", B98="JUV", B98="CIV"), SUM('CASE DATA'!K98:T98), 'CASE DATA'!K98+'CASE DATA'!L98)</f>
        <v>0</v>
      </c>
      <c r="D98" s="53">
        <f>IF(OR(B98="DISM",B98="JWV",B98="JUV",B98="CIV"),0,SUM('CASE DATA'!M98:Q98))</f>
        <v>0</v>
      </c>
      <c r="E98" s="54">
        <f>IF(OR(B98="DISM", B98="JWV", B98="JUV", B98="CIV"), 0, 'CASE DATA'!R98)</f>
        <v>0</v>
      </c>
      <c r="F98" s="55">
        <f>IF(OR(B98="DISM", B98="JWV", B98="JUV", B98="CIV"), 0, 'CASE DATA'!S98+'CASE DATA'!T98)</f>
        <v>0</v>
      </c>
    </row>
    <row r="99" spans="1:6" x14ac:dyDescent="0.25">
      <c r="A99" s="35" t="str">
        <f>IF('CASE DATA'!A99="","",'CASE DATA'!A99)</f>
        <v/>
      </c>
      <c r="B99" s="40" t="str">
        <f>IF('CASE DATA'!A99&lt;&gt;"",IF('CASE DATA'!G99=0, "open charge", 'CASE DATA'!G99),"")</f>
        <v/>
      </c>
      <c r="C99" s="52">
        <f>IF(OR(B99="DISM", B99="JWV", B99="JUV", B99="CIV"), SUM('CASE DATA'!K99:T99), 'CASE DATA'!K99+'CASE DATA'!L99)</f>
        <v>0</v>
      </c>
      <c r="D99" s="53">
        <f>IF(OR(B99="DISM",B99="JWV",B99="JUV",B99="CIV"),0,SUM('CASE DATA'!M99:Q99))</f>
        <v>0</v>
      </c>
      <c r="E99" s="54">
        <f>IF(OR(B99="DISM", B99="JWV", B99="JUV", B99="CIV"), 0, 'CASE DATA'!R99)</f>
        <v>0</v>
      </c>
      <c r="F99" s="55">
        <f>IF(OR(B99="DISM", B99="JWV", B99="JUV", B99="CIV"), 0, 'CASE DATA'!S99+'CASE DATA'!T99)</f>
        <v>0</v>
      </c>
    </row>
    <row r="100" spans="1:6" x14ac:dyDescent="0.25">
      <c r="A100" s="35" t="str">
        <f>IF('CASE DATA'!A100="","",'CASE DATA'!A100)</f>
        <v/>
      </c>
      <c r="B100" s="40" t="str">
        <f>IF('CASE DATA'!A100&lt;&gt;"",IF('CASE DATA'!G100=0, "open charge", 'CASE DATA'!G100),"")</f>
        <v/>
      </c>
      <c r="C100" s="52">
        <f>IF(OR(B100="DISM", B100="JWV", B100="JUV", B100="CIV"), SUM('CASE DATA'!K100:T100), 'CASE DATA'!K100+'CASE DATA'!L100)</f>
        <v>0</v>
      </c>
      <c r="D100" s="53">
        <f>IF(OR(B100="DISM",B100="JWV",B100="JUV",B100="CIV"),0,SUM('CASE DATA'!M100:Q100))</f>
        <v>0</v>
      </c>
      <c r="E100" s="54">
        <f>IF(OR(B100="DISM", B100="JWV", B100="JUV", B100="CIV"), 0, 'CASE DATA'!R100)</f>
        <v>0</v>
      </c>
      <c r="F100" s="55">
        <f>IF(OR(B100="DISM", B100="JWV", B100="JUV", B100="CIV"), 0, 'CASE DATA'!S100+'CASE DATA'!T100)</f>
        <v>0</v>
      </c>
    </row>
    <row r="101" spans="1:6" x14ac:dyDescent="0.25">
      <c r="A101" s="35" t="str">
        <f>IF('CASE DATA'!A101="","",'CASE DATA'!A101)</f>
        <v/>
      </c>
      <c r="B101" s="40" t="str">
        <f>IF('CASE DATA'!A101&lt;&gt;"",IF('CASE DATA'!G101=0, "open charge", 'CASE DATA'!G101),"")</f>
        <v/>
      </c>
      <c r="C101" s="52">
        <f>IF(OR(B101="DISM", B101="JWV", B101="JUV", B101="CIV"), SUM('CASE DATA'!K101:T101), 'CASE DATA'!K101+'CASE DATA'!L101)</f>
        <v>0</v>
      </c>
      <c r="D101" s="53">
        <f>IF(OR(B101="DISM",B101="JWV",B101="JUV",B101="CIV"),0,SUM('CASE DATA'!M101:Q101))</f>
        <v>0</v>
      </c>
      <c r="E101" s="54">
        <f>IF(OR(B101="DISM", B101="JWV", B101="JUV", B101="CIV"), 0, 'CASE DATA'!R101)</f>
        <v>0</v>
      </c>
      <c r="F101" s="55">
        <f>IF(OR(B101="DISM", B101="JWV", B101="JUV", B101="CIV"), 0, 'CASE DATA'!S101+'CASE DATA'!T101)</f>
        <v>0</v>
      </c>
    </row>
    <row r="102" spans="1:6" x14ac:dyDescent="0.25">
      <c r="A102" s="35" t="str">
        <f>IF('CASE DATA'!A102="","",'CASE DATA'!A102)</f>
        <v/>
      </c>
      <c r="B102" s="40" t="str">
        <f>IF('CASE DATA'!A102&lt;&gt;"",IF('CASE DATA'!G102=0, "open charge", 'CASE DATA'!G102),"")</f>
        <v/>
      </c>
      <c r="C102" s="52">
        <f>IF(OR(B102="DISM", B102="JWV", B102="JUV", B102="CIV"), SUM('CASE DATA'!K102:T102), 'CASE DATA'!K102+'CASE DATA'!L102)</f>
        <v>0</v>
      </c>
      <c r="D102" s="53">
        <f>IF(OR(B102="DISM",B102="JWV",B102="JUV",B102="CIV"),0,SUM('CASE DATA'!M102:Q102))</f>
        <v>0</v>
      </c>
      <c r="E102" s="54">
        <f>IF(OR(B102="DISM", B102="JWV", B102="JUV", B102="CIV"), 0, 'CASE DATA'!R102)</f>
        <v>0</v>
      </c>
      <c r="F102" s="55">
        <f>IF(OR(B102="DISM", B102="JWV", B102="JUV", B102="CIV"), 0, 'CASE DATA'!S102+'CASE DATA'!T102)</f>
        <v>0</v>
      </c>
    </row>
    <row r="103" spans="1:6" x14ac:dyDescent="0.25">
      <c r="A103" s="35" t="str">
        <f>IF('CASE DATA'!A103="","",'CASE DATA'!A103)</f>
        <v/>
      </c>
      <c r="B103" s="40" t="str">
        <f>IF('CASE DATA'!A103&lt;&gt;"",IF('CASE DATA'!G103=0, "open charge", 'CASE DATA'!G103),"")</f>
        <v/>
      </c>
      <c r="C103" s="52">
        <f>IF(OR(B103="DISM", B103="JWV", B103="JUV", B103="CIV"), SUM('CASE DATA'!K103:T103), 'CASE DATA'!K103+'CASE DATA'!L103)</f>
        <v>0</v>
      </c>
      <c r="D103" s="53">
        <f>IF(OR(B103="DISM",B103="JWV",B103="JUV",B103="CIV"),0,SUM('CASE DATA'!M103:Q103))</f>
        <v>0</v>
      </c>
      <c r="E103" s="54">
        <f>IF(OR(B103="DISM", B103="JWV", B103="JUV", B103="CIV"), 0, 'CASE DATA'!R103)</f>
        <v>0</v>
      </c>
      <c r="F103" s="55">
        <f>IF(OR(B103="DISM", B103="JWV", B103="JUV", B103="CIV"), 0, 'CASE DATA'!S103+'CASE DATA'!T103)</f>
        <v>0</v>
      </c>
    </row>
    <row r="104" spans="1:6" x14ac:dyDescent="0.25">
      <c r="A104" s="35" t="str">
        <f>IF('CASE DATA'!A104="","",'CASE DATA'!A104)</f>
        <v/>
      </c>
      <c r="B104" s="40" t="str">
        <f>IF('CASE DATA'!A104&lt;&gt;"",IF('CASE DATA'!G104=0, "open charge", 'CASE DATA'!G104),"")</f>
        <v/>
      </c>
      <c r="C104" s="52">
        <f>IF(OR(B104="DISM", B104="JWV", B104="JUV", B104="CIV"), SUM('CASE DATA'!K104:T104), 'CASE DATA'!K104+'CASE DATA'!L104)</f>
        <v>0</v>
      </c>
      <c r="D104" s="53">
        <f>IF(OR(B104="DISM",B104="JWV",B104="JUV",B104="CIV"),0,SUM('CASE DATA'!M104:Q104))</f>
        <v>0</v>
      </c>
      <c r="E104" s="54">
        <f>IF(OR(B104="DISM", B104="JWV", B104="JUV", B104="CIV"), 0, 'CASE DATA'!R104)</f>
        <v>0</v>
      </c>
      <c r="F104" s="55">
        <f>IF(OR(B104="DISM", B104="JWV", B104="JUV", B104="CIV"), 0, 'CASE DATA'!S104+'CASE DATA'!T104)</f>
        <v>0</v>
      </c>
    </row>
    <row r="105" spans="1:6" x14ac:dyDescent="0.25">
      <c r="A105" s="35" t="str">
        <f>IF('CASE DATA'!A105="","",'CASE DATA'!A105)</f>
        <v/>
      </c>
      <c r="B105" s="40" t="str">
        <f>IF('CASE DATA'!A105&lt;&gt;"",IF('CASE DATA'!G105=0, "open charge", 'CASE DATA'!G105),"")</f>
        <v/>
      </c>
      <c r="C105" s="52">
        <f>IF(OR(B105="DISM", B105="JWV", B105="JUV", B105="CIV"), SUM('CASE DATA'!K105:T105), 'CASE DATA'!K105+'CASE DATA'!L105)</f>
        <v>0</v>
      </c>
      <c r="D105" s="53">
        <f>IF(OR(B105="DISM",B105="JWV",B105="JUV",B105="CIV"),0,SUM('CASE DATA'!M105:Q105))</f>
        <v>0</v>
      </c>
      <c r="E105" s="54">
        <f>IF(OR(B105="DISM", B105="JWV", B105="JUV", B105="CIV"), 0, 'CASE DATA'!R105)</f>
        <v>0</v>
      </c>
      <c r="F105" s="55">
        <f>IF(OR(B105="DISM", B105="JWV", B105="JUV", B105="CIV"), 0, 'CASE DATA'!S105+'CASE DATA'!T105)</f>
        <v>0</v>
      </c>
    </row>
    <row r="106" spans="1:6" x14ac:dyDescent="0.25">
      <c r="A106" s="35" t="str">
        <f>IF('CASE DATA'!A106="","",'CASE DATA'!A106)</f>
        <v/>
      </c>
      <c r="B106" s="40" t="str">
        <f>IF('CASE DATA'!A106&lt;&gt;"",IF('CASE DATA'!G106=0, "open charge", 'CASE DATA'!G106),"")</f>
        <v/>
      </c>
      <c r="C106" s="52">
        <f>IF(OR(B106="DISM", B106="JWV", B106="JUV", B106="CIV"), SUM('CASE DATA'!K106:T106), 'CASE DATA'!K106+'CASE DATA'!L106)</f>
        <v>0</v>
      </c>
      <c r="D106" s="53">
        <f>IF(OR(B106="DISM",B106="JWV",B106="JUV",B106="CIV"),0,SUM('CASE DATA'!M106:Q106))</f>
        <v>0</v>
      </c>
      <c r="E106" s="54">
        <f>IF(OR(B106="DISM", B106="JWV", B106="JUV", B106="CIV"), 0, 'CASE DATA'!R106)</f>
        <v>0</v>
      </c>
      <c r="F106" s="55">
        <f>IF(OR(B106="DISM", B106="JWV", B106="JUV", B106="CIV"), 0, 'CASE DATA'!S106+'CASE DATA'!T106)</f>
        <v>0</v>
      </c>
    </row>
    <row r="107" spans="1:6" x14ac:dyDescent="0.25">
      <c r="A107" s="35" t="str">
        <f>IF('CASE DATA'!A107="","",'CASE DATA'!A107)</f>
        <v/>
      </c>
      <c r="B107" s="40" t="str">
        <f>IF('CASE DATA'!A107&lt;&gt;"",IF('CASE DATA'!G107=0, "open charge", 'CASE DATA'!G107),"")</f>
        <v/>
      </c>
      <c r="C107" s="52">
        <f>IF(OR(B107="DISM", B107="JWV", B107="JUV", B107="CIV"), SUM('CASE DATA'!K107:T107), 'CASE DATA'!K107+'CASE DATA'!L107)</f>
        <v>0</v>
      </c>
      <c r="D107" s="53">
        <f>IF(OR(B107="DISM",B107="JWV",B107="JUV",B107="CIV"),0,SUM('CASE DATA'!M107:Q107))</f>
        <v>0</v>
      </c>
      <c r="E107" s="54">
        <f>IF(OR(B107="DISM", B107="JWV", B107="JUV", B107="CIV"), 0, 'CASE DATA'!R107)</f>
        <v>0</v>
      </c>
      <c r="F107" s="55">
        <f>IF(OR(B107="DISM", B107="JWV", B107="JUV", B107="CIV"), 0, 'CASE DATA'!S107+'CASE DATA'!T107)</f>
        <v>0</v>
      </c>
    </row>
    <row r="108" spans="1:6" x14ac:dyDescent="0.25">
      <c r="A108" s="35" t="str">
        <f>IF('CASE DATA'!A108="","",'CASE DATA'!A108)</f>
        <v/>
      </c>
      <c r="B108" s="40" t="str">
        <f>IF('CASE DATA'!A108&lt;&gt;"",IF('CASE DATA'!G108=0, "open charge", 'CASE DATA'!G108),"")</f>
        <v/>
      </c>
      <c r="C108" s="52">
        <f>IF(OR(B108="DISM", B108="JWV", B108="JUV", B108="CIV"), SUM('CASE DATA'!K108:T108), 'CASE DATA'!K108+'CASE DATA'!L108)</f>
        <v>0</v>
      </c>
      <c r="D108" s="53">
        <f>IF(OR(B108="DISM",B108="JWV",B108="JUV",B108="CIV"),0,SUM('CASE DATA'!M108:Q108))</f>
        <v>0</v>
      </c>
      <c r="E108" s="54">
        <f>IF(OR(B108="DISM", B108="JWV", B108="JUV", B108="CIV"), 0, 'CASE DATA'!R108)</f>
        <v>0</v>
      </c>
      <c r="F108" s="55">
        <f>IF(OR(B108="DISM", B108="JWV", B108="JUV", B108="CIV"), 0, 'CASE DATA'!S108+'CASE DATA'!T108)</f>
        <v>0</v>
      </c>
    </row>
    <row r="109" spans="1:6" x14ac:dyDescent="0.25">
      <c r="A109" s="35" t="str">
        <f>IF('CASE DATA'!A109="","",'CASE DATA'!A109)</f>
        <v/>
      </c>
      <c r="B109" s="40" t="str">
        <f>IF('CASE DATA'!A109&lt;&gt;"",IF('CASE DATA'!G109=0, "open charge", 'CASE DATA'!G109),"")</f>
        <v/>
      </c>
      <c r="C109" s="52">
        <f>IF(OR(B109="DISM", B109="JWV", B109="JUV", B109="CIV"), SUM('CASE DATA'!K109:T109), 'CASE DATA'!K109+'CASE DATA'!L109)</f>
        <v>0</v>
      </c>
      <c r="D109" s="53">
        <f>IF(OR(B109="DISM",B109="JWV",B109="JUV",B109="CIV"),0,SUM('CASE DATA'!M109:Q109))</f>
        <v>0</v>
      </c>
      <c r="E109" s="54">
        <f>IF(OR(B109="DISM", B109="JWV", B109="JUV", B109="CIV"), 0, 'CASE DATA'!R109)</f>
        <v>0</v>
      </c>
      <c r="F109" s="55">
        <f>IF(OR(B109="DISM", B109="JWV", B109="JUV", B109="CIV"), 0, 'CASE DATA'!S109+'CASE DATA'!T109)</f>
        <v>0</v>
      </c>
    </row>
    <row r="110" spans="1:6" x14ac:dyDescent="0.25">
      <c r="A110" s="35" t="str">
        <f>IF('CASE DATA'!A110="","",'CASE DATA'!A110)</f>
        <v/>
      </c>
      <c r="B110" s="40" t="str">
        <f>IF('CASE DATA'!A110&lt;&gt;"",IF('CASE DATA'!G110=0, "open charge", 'CASE DATA'!G110),"")</f>
        <v/>
      </c>
      <c r="C110" s="52">
        <f>IF(OR(B110="DISM", B110="JWV", B110="JUV", B110="CIV"), SUM('CASE DATA'!K110:T110), 'CASE DATA'!K110+'CASE DATA'!L110)</f>
        <v>0</v>
      </c>
      <c r="D110" s="53">
        <f>IF(OR(B110="DISM",B110="JWV",B110="JUV",B110="CIV"),0,SUM('CASE DATA'!M110:Q110))</f>
        <v>0</v>
      </c>
      <c r="E110" s="54">
        <f>IF(OR(B110="DISM", B110="JWV", B110="JUV", B110="CIV"), 0, 'CASE DATA'!R110)</f>
        <v>0</v>
      </c>
      <c r="F110" s="55">
        <f>IF(OR(B110="DISM", B110="JWV", B110="JUV", B110="CIV"), 0, 'CASE DATA'!S110+'CASE DATA'!T110)</f>
        <v>0</v>
      </c>
    </row>
    <row r="111" spans="1:6" x14ac:dyDescent="0.25">
      <c r="A111" s="35" t="str">
        <f>IF('CASE DATA'!A111="","",'CASE DATA'!A111)</f>
        <v/>
      </c>
      <c r="B111" s="40" t="str">
        <f>IF('CASE DATA'!A111&lt;&gt;"",IF('CASE DATA'!G111=0, "open charge", 'CASE DATA'!G111),"")</f>
        <v/>
      </c>
      <c r="C111" s="52">
        <f>IF(OR(B111="DISM", B111="JWV", B111="JUV", B111="CIV"), SUM('CASE DATA'!K111:T111), 'CASE DATA'!K111+'CASE DATA'!L111)</f>
        <v>0</v>
      </c>
      <c r="D111" s="53">
        <f>IF(OR(B111="DISM",B111="JWV",B111="JUV",B111="CIV"),0,SUM('CASE DATA'!M111:Q111))</f>
        <v>0</v>
      </c>
      <c r="E111" s="54">
        <f>IF(OR(B111="DISM", B111="JWV", B111="JUV", B111="CIV"), 0, 'CASE DATA'!R111)</f>
        <v>0</v>
      </c>
      <c r="F111" s="55">
        <f>IF(OR(B111="DISM", B111="JWV", B111="JUV", B111="CIV"), 0, 'CASE DATA'!S111+'CASE DATA'!T111)</f>
        <v>0</v>
      </c>
    </row>
    <row r="112" spans="1:6" x14ac:dyDescent="0.25">
      <c r="A112" s="35" t="str">
        <f>IF('CASE DATA'!A112="","",'CASE DATA'!A112)</f>
        <v/>
      </c>
      <c r="B112" s="40" t="str">
        <f>IF('CASE DATA'!A112&lt;&gt;"",IF('CASE DATA'!G112=0, "open charge", 'CASE DATA'!G112),"")</f>
        <v/>
      </c>
      <c r="C112" s="52">
        <f>IF(OR(B112="DISM", B112="JWV", B112="JUV", B112="CIV"), SUM('CASE DATA'!K112:T112), 'CASE DATA'!K112+'CASE DATA'!L112)</f>
        <v>0</v>
      </c>
      <c r="D112" s="53">
        <f>IF(OR(B112="DISM",B112="JWV",B112="JUV",B112="CIV"),0,SUM('CASE DATA'!M112:Q112))</f>
        <v>0</v>
      </c>
      <c r="E112" s="54">
        <f>IF(OR(B112="DISM", B112="JWV", B112="JUV", B112="CIV"), 0, 'CASE DATA'!R112)</f>
        <v>0</v>
      </c>
      <c r="F112" s="55">
        <f>IF(OR(B112="DISM", B112="JWV", B112="JUV", B112="CIV"), 0, 'CASE DATA'!S112+'CASE DATA'!T112)</f>
        <v>0</v>
      </c>
    </row>
    <row r="113" spans="1:6" x14ac:dyDescent="0.25">
      <c r="A113" s="35" t="str">
        <f>IF('CASE DATA'!A113="","",'CASE DATA'!A113)</f>
        <v/>
      </c>
      <c r="B113" s="40" t="str">
        <f>IF('CASE DATA'!A113&lt;&gt;"",IF('CASE DATA'!G113=0, "open charge", 'CASE DATA'!G113),"")</f>
        <v/>
      </c>
      <c r="C113" s="52">
        <f>IF(OR(B113="DISM", B113="JWV", B113="JUV", B113="CIV"), SUM('CASE DATA'!K113:T113), 'CASE DATA'!K113+'CASE DATA'!L113)</f>
        <v>0</v>
      </c>
      <c r="D113" s="53">
        <f>IF(OR(B113="DISM",B113="JWV",B113="JUV",B113="CIV"),0,SUM('CASE DATA'!M113:Q113))</f>
        <v>0</v>
      </c>
      <c r="E113" s="54">
        <f>IF(OR(B113="DISM", B113="JWV", B113="JUV", B113="CIV"), 0, 'CASE DATA'!R113)</f>
        <v>0</v>
      </c>
      <c r="F113" s="55">
        <f>IF(OR(B113="DISM", B113="JWV", B113="JUV", B113="CIV"), 0, 'CASE DATA'!S113+'CASE DATA'!T113)</f>
        <v>0</v>
      </c>
    </row>
    <row r="114" spans="1:6" x14ac:dyDescent="0.25">
      <c r="A114" s="35" t="str">
        <f>IF('CASE DATA'!A114="","",'CASE DATA'!A114)</f>
        <v/>
      </c>
      <c r="B114" s="40" t="str">
        <f>IF('CASE DATA'!A114&lt;&gt;"",IF('CASE DATA'!G114=0, "open charge", 'CASE DATA'!G114),"")</f>
        <v/>
      </c>
      <c r="C114" s="52">
        <f>IF(OR(B114="DISM", B114="JWV", B114="JUV", B114="CIV"), SUM('CASE DATA'!K114:T114), 'CASE DATA'!K114+'CASE DATA'!L114)</f>
        <v>0</v>
      </c>
      <c r="D114" s="53">
        <f>IF(OR(B114="DISM",B114="JWV",B114="JUV",B114="CIV"),0,SUM('CASE DATA'!M114:Q114))</f>
        <v>0</v>
      </c>
      <c r="E114" s="54">
        <f>IF(OR(B114="DISM", B114="JWV", B114="JUV", B114="CIV"), 0, 'CASE DATA'!R114)</f>
        <v>0</v>
      </c>
      <c r="F114" s="55">
        <f>IF(OR(B114="DISM", B114="JWV", B114="JUV", B114="CIV"), 0, 'CASE DATA'!S114+'CASE DATA'!T114)</f>
        <v>0</v>
      </c>
    </row>
    <row r="115" spans="1:6" x14ac:dyDescent="0.25">
      <c r="A115" s="35" t="str">
        <f>IF('CASE DATA'!A115="","",'CASE DATA'!A115)</f>
        <v/>
      </c>
      <c r="B115" s="40" t="str">
        <f>IF('CASE DATA'!A115&lt;&gt;"",IF('CASE DATA'!G115=0, "open charge", 'CASE DATA'!G115),"")</f>
        <v/>
      </c>
      <c r="C115" s="52">
        <f>IF(OR(B115="DISM", B115="JWV", B115="JUV", B115="CIV"), SUM('CASE DATA'!K115:T115), 'CASE DATA'!K115+'CASE DATA'!L115)</f>
        <v>0</v>
      </c>
      <c r="D115" s="53">
        <f>IF(OR(B115="DISM",B115="JWV",B115="JUV",B115="CIV"),0,SUM('CASE DATA'!M115:Q115))</f>
        <v>0</v>
      </c>
      <c r="E115" s="54">
        <f>IF(OR(B115="DISM", B115="JWV", B115="JUV", B115="CIV"), 0, 'CASE DATA'!R115)</f>
        <v>0</v>
      </c>
      <c r="F115" s="55">
        <f>IF(OR(B115="DISM", B115="JWV", B115="JUV", B115="CIV"), 0, 'CASE DATA'!S115+'CASE DATA'!T115)</f>
        <v>0</v>
      </c>
    </row>
    <row r="116" spans="1:6" x14ac:dyDescent="0.25">
      <c r="A116" s="35" t="str">
        <f>IF('CASE DATA'!A116="","",'CASE DATA'!A116)</f>
        <v/>
      </c>
      <c r="B116" s="40" t="str">
        <f>IF('CASE DATA'!A116&lt;&gt;"",IF('CASE DATA'!G116=0, "open charge", 'CASE DATA'!G116),"")</f>
        <v/>
      </c>
      <c r="C116" s="52">
        <f>IF(OR(B116="DISM", B116="JWV", B116="JUV", B116="CIV"), SUM('CASE DATA'!K116:T116), 'CASE DATA'!K116+'CASE DATA'!L116)</f>
        <v>0</v>
      </c>
      <c r="D116" s="53">
        <f>IF(OR(B116="DISM",B116="JWV",B116="JUV",B116="CIV"),0,SUM('CASE DATA'!M116:Q116))</f>
        <v>0</v>
      </c>
      <c r="E116" s="54">
        <f>IF(OR(B116="DISM", B116="JWV", B116="JUV", B116="CIV"), 0, 'CASE DATA'!R116)</f>
        <v>0</v>
      </c>
      <c r="F116" s="55">
        <f>IF(OR(B116="DISM", B116="JWV", B116="JUV", B116="CIV"), 0, 'CASE DATA'!S116+'CASE DATA'!T116)</f>
        <v>0</v>
      </c>
    </row>
    <row r="117" spans="1:6" x14ac:dyDescent="0.25">
      <c r="A117" s="35" t="str">
        <f>IF('CASE DATA'!A117="","",'CASE DATA'!A117)</f>
        <v/>
      </c>
      <c r="B117" s="40" t="str">
        <f>IF('CASE DATA'!A117&lt;&gt;"",IF('CASE DATA'!G117=0, "open charge", 'CASE DATA'!G117),"")</f>
        <v/>
      </c>
      <c r="C117" s="52">
        <f>IF(OR(B117="DISM", B117="JWV", B117="JUV", B117="CIV"), SUM('CASE DATA'!K117:T117), 'CASE DATA'!K117+'CASE DATA'!L117)</f>
        <v>0</v>
      </c>
      <c r="D117" s="53">
        <f>IF(OR(B117="DISM",B117="JWV",B117="JUV",B117="CIV"),0,SUM('CASE DATA'!M117:Q117))</f>
        <v>0</v>
      </c>
      <c r="E117" s="54">
        <f>IF(OR(B117="DISM", B117="JWV", B117="JUV", B117="CIV"), 0, 'CASE DATA'!R117)</f>
        <v>0</v>
      </c>
      <c r="F117" s="55">
        <f>IF(OR(B117="DISM", B117="JWV", B117="JUV", B117="CIV"), 0, 'CASE DATA'!S117+'CASE DATA'!T117)</f>
        <v>0</v>
      </c>
    </row>
    <row r="118" spans="1:6" x14ac:dyDescent="0.25">
      <c r="A118" s="35" t="str">
        <f>IF('CASE DATA'!A118="","",'CASE DATA'!A118)</f>
        <v/>
      </c>
      <c r="B118" s="40" t="str">
        <f>IF('CASE DATA'!A118&lt;&gt;"",IF('CASE DATA'!G118=0, "open charge", 'CASE DATA'!G118),"")</f>
        <v/>
      </c>
      <c r="C118" s="52">
        <f>IF(OR(B118="DISM", B118="JWV", B118="JUV", B118="CIV"), SUM('CASE DATA'!K118:T118), 'CASE DATA'!K118+'CASE DATA'!L118)</f>
        <v>0</v>
      </c>
      <c r="D118" s="53">
        <f>IF(OR(B118="DISM",B118="JWV",B118="JUV",B118="CIV"),0,SUM('CASE DATA'!M118:Q118))</f>
        <v>0</v>
      </c>
      <c r="E118" s="54">
        <f>IF(OR(B118="DISM", B118="JWV", B118="JUV", B118="CIV"), 0, 'CASE DATA'!R118)</f>
        <v>0</v>
      </c>
      <c r="F118" s="55">
        <f>IF(OR(B118="DISM", B118="JWV", B118="JUV", B118="CIV"), 0, 'CASE DATA'!S118+'CASE DATA'!T118)</f>
        <v>0</v>
      </c>
    </row>
    <row r="119" spans="1:6" x14ac:dyDescent="0.25">
      <c r="A119" s="35" t="str">
        <f>IF('CASE DATA'!A119="","",'CASE DATA'!A119)</f>
        <v/>
      </c>
      <c r="B119" s="40" t="str">
        <f>IF('CASE DATA'!A119&lt;&gt;"",IF('CASE DATA'!G119=0, "open charge", 'CASE DATA'!G119),"")</f>
        <v/>
      </c>
      <c r="C119" s="52">
        <f>IF(OR(B119="DISM", B119="JWV", B119="JUV", B119="CIV"), SUM('CASE DATA'!K119:T119), 'CASE DATA'!K119+'CASE DATA'!L119)</f>
        <v>0</v>
      </c>
      <c r="D119" s="53">
        <f>IF(OR(B119="DISM",B119="JWV",B119="JUV",B119="CIV"),0,SUM('CASE DATA'!M119:Q119))</f>
        <v>0</v>
      </c>
      <c r="E119" s="54">
        <f>IF(OR(B119="DISM", B119="JWV", B119="JUV", B119="CIV"), 0, 'CASE DATA'!R119)</f>
        <v>0</v>
      </c>
      <c r="F119" s="55">
        <f>IF(OR(B119="DISM", B119="JWV", B119="JUV", B119="CIV"), 0, 'CASE DATA'!S119+'CASE DATA'!T119)</f>
        <v>0</v>
      </c>
    </row>
    <row r="120" spans="1:6" x14ac:dyDescent="0.25">
      <c r="A120" s="35" t="str">
        <f>IF('CASE DATA'!A120="","",'CASE DATA'!A120)</f>
        <v/>
      </c>
      <c r="B120" s="40" t="str">
        <f>IF('CASE DATA'!A120&lt;&gt;"",IF('CASE DATA'!G120=0, "open charge", 'CASE DATA'!G120),"")</f>
        <v/>
      </c>
      <c r="C120" s="52">
        <f>IF(OR(B120="DISM", B120="JWV", B120="JUV", B120="CIV"), SUM('CASE DATA'!K120:T120), 'CASE DATA'!K120+'CASE DATA'!L120)</f>
        <v>0</v>
      </c>
      <c r="D120" s="53">
        <f>IF(OR(B120="DISM",B120="JWV",B120="JUV",B120="CIV"),0,SUM('CASE DATA'!M120:Q120))</f>
        <v>0</v>
      </c>
      <c r="E120" s="54">
        <f>IF(OR(B120="DISM", B120="JWV", B120="JUV", B120="CIV"), 0, 'CASE DATA'!R120)</f>
        <v>0</v>
      </c>
      <c r="F120" s="55">
        <f>IF(OR(B120="DISM", B120="JWV", B120="JUV", B120="CIV"), 0, 'CASE DATA'!S120+'CASE DATA'!T120)</f>
        <v>0</v>
      </c>
    </row>
    <row r="121" spans="1:6" x14ac:dyDescent="0.25">
      <c r="A121" s="35" t="str">
        <f>IF('CASE DATA'!A121="","",'CASE DATA'!A121)</f>
        <v/>
      </c>
      <c r="B121" s="40" t="str">
        <f>IF('CASE DATA'!A121&lt;&gt;"",IF('CASE DATA'!G121=0, "open charge", 'CASE DATA'!G121),"")</f>
        <v/>
      </c>
      <c r="C121" s="52">
        <f>IF(OR(B121="DISM", B121="JWV", B121="JUV", B121="CIV"), SUM('CASE DATA'!K121:T121), 'CASE DATA'!K121+'CASE DATA'!L121)</f>
        <v>0</v>
      </c>
      <c r="D121" s="53">
        <f>IF(OR(B121="DISM",B121="JWV",B121="JUV",B121="CIV"),0,SUM('CASE DATA'!M121:Q121))</f>
        <v>0</v>
      </c>
      <c r="E121" s="54">
        <f>IF(OR(B121="DISM", B121="JWV", B121="JUV", B121="CIV"), 0, 'CASE DATA'!R121)</f>
        <v>0</v>
      </c>
      <c r="F121" s="55">
        <f>IF(OR(B121="DISM", B121="JWV", B121="JUV", B121="CIV"), 0, 'CASE DATA'!S121+'CASE DATA'!T121)</f>
        <v>0</v>
      </c>
    </row>
    <row r="122" spans="1:6" x14ac:dyDescent="0.25">
      <c r="A122" s="35" t="str">
        <f>IF('CASE DATA'!A122="","",'CASE DATA'!A122)</f>
        <v/>
      </c>
      <c r="B122" s="40" t="str">
        <f>IF('CASE DATA'!A122&lt;&gt;"",IF('CASE DATA'!G122=0, "open charge", 'CASE DATA'!G122),"")</f>
        <v/>
      </c>
      <c r="C122" s="52">
        <f>IF(OR(B122="DISM", B122="JWV", B122="JUV", B122="CIV"), SUM('CASE DATA'!K122:T122), 'CASE DATA'!K122+'CASE DATA'!L122)</f>
        <v>0</v>
      </c>
      <c r="D122" s="53">
        <f>IF(OR(B122="DISM",B122="JWV",B122="JUV",B122="CIV"),0,SUM('CASE DATA'!M122:Q122))</f>
        <v>0</v>
      </c>
      <c r="E122" s="54">
        <f>IF(OR(B122="DISM", B122="JWV", B122="JUV", B122="CIV"), 0, 'CASE DATA'!R122)</f>
        <v>0</v>
      </c>
      <c r="F122" s="55">
        <f>IF(OR(B122="DISM", B122="JWV", B122="JUV", B122="CIV"), 0, 'CASE DATA'!S122+'CASE DATA'!T122)</f>
        <v>0</v>
      </c>
    </row>
    <row r="123" spans="1:6" x14ac:dyDescent="0.25">
      <c r="A123" s="35" t="str">
        <f>IF('CASE DATA'!A123="","",'CASE DATA'!A123)</f>
        <v/>
      </c>
      <c r="B123" s="40" t="str">
        <f>IF('CASE DATA'!A123&lt;&gt;"",IF('CASE DATA'!G123=0, "open charge", 'CASE DATA'!G123),"")</f>
        <v/>
      </c>
      <c r="C123" s="52">
        <f>IF(OR(B123="DISM", B123="JWV", B123="JUV", B123="CIV"), SUM('CASE DATA'!K123:T123), 'CASE DATA'!K123+'CASE DATA'!L123)</f>
        <v>0</v>
      </c>
      <c r="D123" s="53">
        <f>IF(OR(B123="DISM",B123="JWV",B123="JUV",B123="CIV"),0,SUM('CASE DATA'!M123:Q123))</f>
        <v>0</v>
      </c>
      <c r="E123" s="54">
        <f>IF(OR(B123="DISM", B123="JWV", B123="JUV", B123="CIV"), 0, 'CASE DATA'!R123)</f>
        <v>0</v>
      </c>
      <c r="F123" s="55">
        <f>IF(OR(B123="DISM", B123="JWV", B123="JUV", B123="CIV"), 0, 'CASE DATA'!S123+'CASE DATA'!T123)</f>
        <v>0</v>
      </c>
    </row>
    <row r="124" spans="1:6" x14ac:dyDescent="0.25">
      <c r="A124" s="35" t="str">
        <f>IF('CASE DATA'!A124="","",'CASE DATA'!A124)</f>
        <v/>
      </c>
      <c r="B124" s="40" t="str">
        <f>IF('CASE DATA'!A124&lt;&gt;"",IF('CASE DATA'!G124=0, "open charge", 'CASE DATA'!G124),"")</f>
        <v/>
      </c>
      <c r="C124" s="52">
        <f>IF(OR(B124="DISM", B124="JWV", B124="JUV", B124="CIV"), SUM('CASE DATA'!K124:T124), 'CASE DATA'!K124+'CASE DATA'!L124)</f>
        <v>0</v>
      </c>
      <c r="D124" s="53">
        <f>IF(OR(B124="DISM",B124="JWV",B124="JUV",B124="CIV"),0,SUM('CASE DATA'!M124:Q124))</f>
        <v>0</v>
      </c>
      <c r="E124" s="54">
        <f>IF(OR(B124="DISM", B124="JWV", B124="JUV", B124="CIV"), 0, 'CASE DATA'!R124)</f>
        <v>0</v>
      </c>
      <c r="F124" s="55">
        <f>IF(OR(B124="DISM", B124="JWV", B124="JUV", B124="CIV"), 0, 'CASE DATA'!S124+'CASE DATA'!T124)</f>
        <v>0</v>
      </c>
    </row>
    <row r="125" spans="1:6" x14ac:dyDescent="0.25">
      <c r="A125" s="35" t="str">
        <f>IF('CASE DATA'!A125="","",'CASE DATA'!A125)</f>
        <v/>
      </c>
      <c r="B125" s="40" t="str">
        <f>IF('CASE DATA'!A125&lt;&gt;"",IF('CASE DATA'!G125=0, "open charge", 'CASE DATA'!G125),"")</f>
        <v/>
      </c>
      <c r="C125" s="52">
        <f>IF(OR(B125="DISM", B125="JWV", B125="JUV", B125="CIV"), SUM('CASE DATA'!K125:T125), 'CASE DATA'!K125+'CASE DATA'!L125)</f>
        <v>0</v>
      </c>
      <c r="D125" s="53">
        <f>IF(OR(B125="DISM",B125="JWV",B125="JUV",B125="CIV"),0,SUM('CASE DATA'!M125:Q125))</f>
        <v>0</v>
      </c>
      <c r="E125" s="54">
        <f>IF(OR(B125="DISM", B125="JWV", B125="JUV", B125="CIV"), 0, 'CASE DATA'!R125)</f>
        <v>0</v>
      </c>
      <c r="F125" s="55">
        <f>IF(OR(B125="DISM", B125="JWV", B125="JUV", B125="CIV"), 0, 'CASE DATA'!S125+'CASE DATA'!T125)</f>
        <v>0</v>
      </c>
    </row>
    <row r="126" spans="1:6" x14ac:dyDescent="0.25">
      <c r="A126" s="35" t="str">
        <f>IF('CASE DATA'!A126="","",'CASE DATA'!A126)</f>
        <v/>
      </c>
      <c r="B126" s="40" t="str">
        <f>IF('CASE DATA'!A126&lt;&gt;"",IF('CASE DATA'!G126=0, "open charge", 'CASE DATA'!G126),"")</f>
        <v/>
      </c>
      <c r="C126" s="52">
        <f>IF(OR(B126="DISM", B126="JWV", B126="JUV", B126="CIV"), SUM('CASE DATA'!K126:T126), 'CASE DATA'!K126+'CASE DATA'!L126)</f>
        <v>0</v>
      </c>
      <c r="D126" s="53">
        <f>IF(OR(B126="DISM",B126="JWV",B126="JUV",B126="CIV"),0,SUM('CASE DATA'!M126:Q126))</f>
        <v>0</v>
      </c>
      <c r="E126" s="54">
        <f>IF(OR(B126="DISM", B126="JWV", B126="JUV", B126="CIV"), 0, 'CASE DATA'!R126)</f>
        <v>0</v>
      </c>
      <c r="F126" s="55">
        <f>IF(OR(B126="DISM", B126="JWV", B126="JUV", B126="CIV"), 0, 'CASE DATA'!S126+'CASE DATA'!T126)</f>
        <v>0</v>
      </c>
    </row>
    <row r="127" spans="1:6" x14ac:dyDescent="0.25">
      <c r="A127" s="35" t="str">
        <f>IF('CASE DATA'!A127="","",'CASE DATA'!A127)</f>
        <v/>
      </c>
      <c r="B127" s="40" t="str">
        <f>IF('CASE DATA'!A127&lt;&gt;"",IF('CASE DATA'!G127=0, "open charge", 'CASE DATA'!G127),"")</f>
        <v/>
      </c>
      <c r="C127" s="52">
        <f>IF(OR(B127="DISM", B127="JWV", B127="JUV", B127="CIV"), SUM('CASE DATA'!K127:T127), 'CASE DATA'!K127+'CASE DATA'!L127)</f>
        <v>0</v>
      </c>
      <c r="D127" s="53">
        <f>IF(OR(B127="DISM",B127="JWV",B127="JUV",B127="CIV"),0,SUM('CASE DATA'!M127:Q127))</f>
        <v>0</v>
      </c>
      <c r="E127" s="54">
        <f>IF(OR(B127="DISM", B127="JWV", B127="JUV", B127="CIV"), 0, 'CASE DATA'!R127)</f>
        <v>0</v>
      </c>
      <c r="F127" s="55">
        <f>IF(OR(B127="DISM", B127="JWV", B127="JUV", B127="CIV"), 0, 'CASE DATA'!S127+'CASE DATA'!T127)</f>
        <v>0</v>
      </c>
    </row>
    <row r="128" spans="1:6" x14ac:dyDescent="0.25">
      <c r="A128" s="35" t="str">
        <f>IF('CASE DATA'!A128="","",'CASE DATA'!A128)</f>
        <v/>
      </c>
      <c r="B128" s="40" t="str">
        <f>IF('CASE DATA'!A128&lt;&gt;"",IF('CASE DATA'!G128=0, "open charge", 'CASE DATA'!G128),"")</f>
        <v/>
      </c>
      <c r="C128" s="52">
        <f>IF(OR(B128="DISM", B128="JWV", B128="JUV", B128="CIV"), SUM('CASE DATA'!K128:T128), 'CASE DATA'!K128+'CASE DATA'!L128)</f>
        <v>0</v>
      </c>
      <c r="D128" s="53">
        <f>IF(OR(B128="DISM",B128="JWV",B128="JUV",B128="CIV"),0,SUM('CASE DATA'!M128:Q128))</f>
        <v>0</v>
      </c>
      <c r="E128" s="54">
        <f>IF(OR(B128="DISM", B128="JWV", B128="JUV", B128="CIV"), 0, 'CASE DATA'!R128)</f>
        <v>0</v>
      </c>
      <c r="F128" s="55">
        <f>IF(OR(B128="DISM", B128="JWV", B128="JUV", B128="CIV"), 0, 'CASE DATA'!S128+'CASE DATA'!T128)</f>
        <v>0</v>
      </c>
    </row>
    <row r="129" spans="1:6" x14ac:dyDescent="0.25">
      <c r="A129" s="35" t="str">
        <f>IF('CASE DATA'!A129="","",'CASE DATA'!A129)</f>
        <v/>
      </c>
      <c r="B129" s="40" t="str">
        <f>IF('CASE DATA'!A129&lt;&gt;"",IF('CASE DATA'!G129=0, "open charge", 'CASE DATA'!G129),"")</f>
        <v/>
      </c>
      <c r="C129" s="52">
        <f>IF(OR(B129="DISM", B129="JWV", B129="JUV", B129="CIV"), SUM('CASE DATA'!K129:T129), 'CASE DATA'!K129+'CASE DATA'!L129)</f>
        <v>0</v>
      </c>
      <c r="D129" s="53">
        <f>IF(OR(B129="DISM",B129="JWV",B129="JUV",B129="CIV"),0,SUM('CASE DATA'!M129:Q129))</f>
        <v>0</v>
      </c>
      <c r="E129" s="54">
        <f>IF(OR(B129="DISM", B129="JWV", B129="JUV", B129="CIV"), 0, 'CASE DATA'!R129)</f>
        <v>0</v>
      </c>
      <c r="F129" s="55">
        <f>IF(OR(B129="DISM", B129="JWV", B129="JUV", B129="CIV"), 0, 'CASE DATA'!S129+'CASE DATA'!T129)</f>
        <v>0</v>
      </c>
    </row>
    <row r="130" spans="1:6" x14ac:dyDescent="0.25">
      <c r="A130" s="35" t="str">
        <f>IF('CASE DATA'!A130="","",'CASE DATA'!A130)</f>
        <v/>
      </c>
      <c r="B130" s="40" t="str">
        <f>IF('CASE DATA'!A130&lt;&gt;"",IF('CASE DATA'!G130=0, "open charge", 'CASE DATA'!G130),"")</f>
        <v/>
      </c>
      <c r="C130" s="52">
        <f>IF(OR(B130="DISM", B130="JWV", B130="JUV", B130="CIV"), SUM('CASE DATA'!K130:T130), 'CASE DATA'!K130+'CASE DATA'!L130)</f>
        <v>0</v>
      </c>
      <c r="D130" s="53">
        <f>IF(OR(B130="DISM",B130="JWV",B130="JUV",B130="CIV"),0,SUM('CASE DATA'!M130:Q130))</f>
        <v>0</v>
      </c>
      <c r="E130" s="54">
        <f>IF(OR(B130="DISM", B130="JWV", B130="JUV", B130="CIV"), 0, 'CASE DATA'!R130)</f>
        <v>0</v>
      </c>
      <c r="F130" s="55">
        <f>IF(OR(B130="DISM", B130="JWV", B130="JUV", B130="CIV"), 0, 'CASE DATA'!S130+'CASE DATA'!T130)</f>
        <v>0</v>
      </c>
    </row>
    <row r="131" spans="1:6" x14ac:dyDescent="0.25">
      <c r="A131" s="35" t="str">
        <f>IF('CASE DATA'!A131="","",'CASE DATA'!A131)</f>
        <v/>
      </c>
      <c r="B131" s="40" t="str">
        <f>IF('CASE DATA'!A131&lt;&gt;"",IF('CASE DATA'!G131=0, "open charge", 'CASE DATA'!G131),"")</f>
        <v/>
      </c>
      <c r="C131" s="52">
        <f>IF(OR(B131="DISM", B131="JWV", B131="JUV", B131="CIV"), SUM('CASE DATA'!K131:T131), 'CASE DATA'!K131+'CASE DATA'!L131)</f>
        <v>0</v>
      </c>
      <c r="D131" s="53">
        <f>IF(OR(B131="DISM",B131="JWV",B131="JUV",B131="CIV"),0,SUM('CASE DATA'!M131:Q131))</f>
        <v>0</v>
      </c>
      <c r="E131" s="54">
        <f>IF(OR(B131="DISM", B131="JWV", B131="JUV", B131="CIV"), 0, 'CASE DATA'!R131)</f>
        <v>0</v>
      </c>
      <c r="F131" s="55">
        <f>IF(OR(B131="DISM", B131="JWV", B131="JUV", B131="CIV"), 0, 'CASE DATA'!S131+'CASE DATA'!T131)</f>
        <v>0</v>
      </c>
    </row>
    <row r="132" spans="1:6" x14ac:dyDescent="0.25">
      <c r="A132" s="35" t="str">
        <f>IF('CASE DATA'!A132="","",'CASE DATA'!A132)</f>
        <v/>
      </c>
      <c r="B132" s="40" t="str">
        <f>IF('CASE DATA'!A132&lt;&gt;"",IF('CASE DATA'!G132=0, "open charge", 'CASE DATA'!G132),"")</f>
        <v/>
      </c>
      <c r="C132" s="52">
        <f>IF(OR(B132="DISM", B132="JWV", B132="JUV", B132="CIV"), SUM('CASE DATA'!K132:T132), 'CASE DATA'!K132+'CASE DATA'!L132)</f>
        <v>0</v>
      </c>
      <c r="D132" s="53">
        <f>IF(OR(B132="DISM",B132="JWV",B132="JUV",B132="CIV"),0,SUM('CASE DATA'!M132:Q132))</f>
        <v>0</v>
      </c>
      <c r="E132" s="54">
        <f>IF(OR(B132="DISM", B132="JWV", B132="JUV", B132="CIV"), 0, 'CASE DATA'!R132)</f>
        <v>0</v>
      </c>
      <c r="F132" s="55">
        <f>IF(OR(B132="DISM", B132="JWV", B132="JUV", B132="CIV"), 0, 'CASE DATA'!S132+'CASE DATA'!T132)</f>
        <v>0</v>
      </c>
    </row>
    <row r="133" spans="1:6" x14ac:dyDescent="0.25">
      <c r="A133" s="35" t="str">
        <f>IF('CASE DATA'!A133="","",'CASE DATA'!A133)</f>
        <v/>
      </c>
      <c r="B133" s="40" t="str">
        <f>IF('CASE DATA'!A133&lt;&gt;"",IF('CASE DATA'!G133=0, "open charge", 'CASE DATA'!G133),"")</f>
        <v/>
      </c>
      <c r="C133" s="52">
        <f>IF(OR(B133="DISM", B133="JWV", B133="JUV", B133="CIV"), SUM('CASE DATA'!K133:T133), 'CASE DATA'!K133+'CASE DATA'!L133)</f>
        <v>0</v>
      </c>
      <c r="D133" s="53">
        <f>IF(OR(B133="DISM",B133="JWV",B133="JUV",B133="CIV"),0,SUM('CASE DATA'!M133:Q133))</f>
        <v>0</v>
      </c>
      <c r="E133" s="54">
        <f>IF(OR(B133="DISM", B133="JWV", B133="JUV", B133="CIV"), 0, 'CASE DATA'!R133)</f>
        <v>0</v>
      </c>
      <c r="F133" s="55">
        <f>IF(OR(B133="DISM", B133="JWV", B133="JUV", B133="CIV"), 0, 'CASE DATA'!S133+'CASE DATA'!T133)</f>
        <v>0</v>
      </c>
    </row>
    <row r="134" spans="1:6" x14ac:dyDescent="0.25">
      <c r="A134" s="35" t="str">
        <f>IF('CASE DATA'!A134="","",'CASE DATA'!A134)</f>
        <v/>
      </c>
      <c r="B134" s="40" t="str">
        <f>IF('CASE DATA'!A134&lt;&gt;"",IF('CASE DATA'!G134=0, "open charge", 'CASE DATA'!G134),"")</f>
        <v/>
      </c>
      <c r="C134" s="52">
        <f>IF(OR(B134="DISM", B134="JWV", B134="JUV", B134="CIV"), SUM('CASE DATA'!K134:T134), 'CASE DATA'!K134+'CASE DATA'!L134)</f>
        <v>0</v>
      </c>
      <c r="D134" s="53">
        <f>IF(OR(B134="DISM",B134="JWV",B134="JUV",B134="CIV"),0,SUM('CASE DATA'!M134:Q134))</f>
        <v>0</v>
      </c>
      <c r="E134" s="54">
        <f>IF(OR(B134="DISM", B134="JWV", B134="JUV", B134="CIV"), 0, 'CASE DATA'!R134)</f>
        <v>0</v>
      </c>
      <c r="F134" s="55">
        <f>IF(OR(B134="DISM", B134="JWV", B134="JUV", B134="CIV"), 0, 'CASE DATA'!S134+'CASE DATA'!T134)</f>
        <v>0</v>
      </c>
    </row>
    <row r="135" spans="1:6" x14ac:dyDescent="0.25">
      <c r="A135" s="35" t="str">
        <f>IF('CASE DATA'!A135="","",'CASE DATA'!A135)</f>
        <v/>
      </c>
      <c r="B135" s="40" t="str">
        <f>IF('CASE DATA'!A135&lt;&gt;"",IF('CASE DATA'!G135=0, "open charge", 'CASE DATA'!G135),"")</f>
        <v/>
      </c>
      <c r="C135" s="52">
        <f>IF(OR(B135="DISM", B135="JWV", B135="JUV", B135="CIV"), SUM('CASE DATA'!K135:T135), 'CASE DATA'!K135+'CASE DATA'!L135)</f>
        <v>0</v>
      </c>
      <c r="D135" s="53">
        <f>IF(OR(B135="DISM",B135="JWV",B135="JUV",B135="CIV"),0,SUM('CASE DATA'!M135:Q135))</f>
        <v>0</v>
      </c>
      <c r="E135" s="54">
        <f>IF(OR(B135="DISM", B135="JWV", B135="JUV", B135="CIV"), 0, 'CASE DATA'!R135)</f>
        <v>0</v>
      </c>
      <c r="F135" s="55">
        <f>IF(OR(B135="DISM", B135="JWV", B135="JUV", B135="CIV"), 0, 'CASE DATA'!S135+'CASE DATA'!T135)</f>
        <v>0</v>
      </c>
    </row>
    <row r="136" spans="1:6" x14ac:dyDescent="0.25">
      <c r="A136" s="35" t="str">
        <f>IF('CASE DATA'!A136="","",'CASE DATA'!A136)</f>
        <v/>
      </c>
      <c r="B136" s="40" t="str">
        <f>IF('CASE DATA'!A136&lt;&gt;"",IF('CASE DATA'!G136=0, "open charge", 'CASE DATA'!G136),"")</f>
        <v/>
      </c>
      <c r="C136" s="52">
        <f>IF(OR(B136="DISM", B136="JWV", B136="JUV", B136="CIV"), SUM('CASE DATA'!K136:T136), 'CASE DATA'!K136+'CASE DATA'!L136)</f>
        <v>0</v>
      </c>
      <c r="D136" s="53">
        <f>IF(OR(B136="DISM",B136="JWV",B136="JUV",B136="CIV"),0,SUM('CASE DATA'!M136:Q136))</f>
        <v>0</v>
      </c>
      <c r="E136" s="54">
        <f>IF(OR(B136="DISM", B136="JWV", B136="JUV", B136="CIV"), 0, 'CASE DATA'!R136)</f>
        <v>0</v>
      </c>
      <c r="F136" s="55">
        <f>IF(OR(B136="DISM", B136="JWV", B136="JUV", B136="CIV"), 0, 'CASE DATA'!S136+'CASE DATA'!T136)</f>
        <v>0</v>
      </c>
    </row>
    <row r="137" spans="1:6" x14ac:dyDescent="0.25">
      <c r="A137" s="35" t="str">
        <f>IF('CASE DATA'!A137="","",'CASE DATA'!A137)</f>
        <v/>
      </c>
      <c r="B137" s="40" t="str">
        <f>IF('CASE DATA'!A137&lt;&gt;"",IF('CASE DATA'!G137=0, "open charge", 'CASE DATA'!G137),"")</f>
        <v/>
      </c>
      <c r="C137" s="52">
        <f>IF(OR(B137="DISM", B137="JWV", B137="JUV", B137="CIV"), SUM('CASE DATA'!K137:T137), 'CASE DATA'!K137+'CASE DATA'!L137)</f>
        <v>0</v>
      </c>
      <c r="D137" s="53">
        <f>IF(OR(B137="DISM",B137="JWV",B137="JUV",B137="CIV"),0,SUM('CASE DATA'!M137:Q137))</f>
        <v>0</v>
      </c>
      <c r="E137" s="54">
        <f>IF(OR(B137="DISM", B137="JWV", B137="JUV", B137="CIV"), 0, 'CASE DATA'!R137)</f>
        <v>0</v>
      </c>
      <c r="F137" s="55">
        <f>IF(OR(B137="DISM", B137="JWV", B137="JUV", B137="CIV"), 0, 'CASE DATA'!S137+'CASE DATA'!T137)</f>
        <v>0</v>
      </c>
    </row>
    <row r="138" spans="1:6" x14ac:dyDescent="0.25">
      <c r="A138" s="35" t="str">
        <f>IF('CASE DATA'!A138="","",'CASE DATA'!A138)</f>
        <v/>
      </c>
      <c r="B138" s="40" t="str">
        <f>IF('CASE DATA'!A138&lt;&gt;"",IF('CASE DATA'!G138=0, "open charge", 'CASE DATA'!G138),"")</f>
        <v/>
      </c>
      <c r="C138" s="52">
        <f>IF(OR(B138="DISM", B138="JWV", B138="JUV", B138="CIV"), SUM('CASE DATA'!K138:T138), 'CASE DATA'!K138+'CASE DATA'!L138)</f>
        <v>0</v>
      </c>
      <c r="D138" s="53">
        <f>IF(OR(B138="DISM",B138="JWV",B138="JUV",B138="CIV"),0,SUM('CASE DATA'!M138:Q138))</f>
        <v>0</v>
      </c>
      <c r="E138" s="54">
        <f>IF(OR(B138="DISM", B138="JWV", B138="JUV", B138="CIV"), 0, 'CASE DATA'!R138)</f>
        <v>0</v>
      </c>
      <c r="F138" s="55">
        <f>IF(OR(B138="DISM", B138="JWV", B138="JUV", B138="CIV"), 0, 'CASE DATA'!S138+'CASE DATA'!T138)</f>
        <v>0</v>
      </c>
    </row>
    <row r="139" spans="1:6" x14ac:dyDescent="0.25">
      <c r="A139" s="35" t="str">
        <f>IF('CASE DATA'!A139="","",'CASE DATA'!A139)</f>
        <v/>
      </c>
      <c r="B139" s="40" t="str">
        <f>IF('CASE DATA'!A139&lt;&gt;"",IF('CASE DATA'!G139=0, "open charge", 'CASE DATA'!G139),"")</f>
        <v/>
      </c>
      <c r="C139" s="52">
        <f>IF(OR(B139="DISM", B139="JWV", B139="JUV", B139="CIV"), SUM('CASE DATA'!K139:T139), 'CASE DATA'!K139+'CASE DATA'!L139)</f>
        <v>0</v>
      </c>
      <c r="D139" s="53">
        <f>IF(OR(B139="DISM",B139="JWV",B139="JUV",B139="CIV"),0,SUM('CASE DATA'!M139:Q139))</f>
        <v>0</v>
      </c>
      <c r="E139" s="54">
        <f>IF(OR(B139="DISM", B139="JWV", B139="JUV", B139="CIV"), 0, 'CASE DATA'!R139)</f>
        <v>0</v>
      </c>
      <c r="F139" s="55">
        <f>IF(OR(B139="DISM", B139="JWV", B139="JUV", B139="CIV"), 0, 'CASE DATA'!S139+'CASE DATA'!T139)</f>
        <v>0</v>
      </c>
    </row>
    <row r="140" spans="1:6" x14ac:dyDescent="0.25">
      <c r="A140" s="35" t="str">
        <f>IF('CASE DATA'!A140="","",'CASE DATA'!A140)</f>
        <v/>
      </c>
      <c r="B140" s="40" t="str">
        <f>IF('CASE DATA'!A140&lt;&gt;"",IF('CASE DATA'!G140=0, "open charge", 'CASE DATA'!G140),"")</f>
        <v/>
      </c>
      <c r="C140" s="52">
        <f>IF(OR(B140="DISM", B140="JWV", B140="JUV", B140="CIV"), SUM('CASE DATA'!K140:T140), 'CASE DATA'!K140+'CASE DATA'!L140)</f>
        <v>0</v>
      </c>
      <c r="D140" s="53">
        <f>IF(OR(B140="DISM",B140="JWV",B140="JUV",B140="CIV"),0,SUM('CASE DATA'!M140:Q140))</f>
        <v>0</v>
      </c>
      <c r="E140" s="54">
        <f>IF(OR(B140="DISM", B140="JWV", B140="JUV", B140="CIV"), 0, 'CASE DATA'!R140)</f>
        <v>0</v>
      </c>
      <c r="F140" s="55">
        <f>IF(OR(B140="DISM", B140="JWV", B140="JUV", B140="CIV"), 0, 'CASE DATA'!S140+'CASE DATA'!T140)</f>
        <v>0</v>
      </c>
    </row>
    <row r="141" spans="1:6" x14ac:dyDescent="0.25">
      <c r="A141" s="35" t="str">
        <f>IF('CASE DATA'!A141="","",'CASE DATA'!A141)</f>
        <v/>
      </c>
      <c r="B141" s="40" t="str">
        <f>IF('CASE DATA'!A141&lt;&gt;"",IF('CASE DATA'!G141=0, "open charge", 'CASE DATA'!G141),"")</f>
        <v/>
      </c>
      <c r="C141" s="52">
        <f>IF(OR(B141="DISM", B141="JWV", B141="JUV", B141="CIV"), SUM('CASE DATA'!K141:T141), 'CASE DATA'!K141+'CASE DATA'!L141)</f>
        <v>0</v>
      </c>
      <c r="D141" s="53">
        <f>IF(OR(B141="DISM",B141="JWV",B141="JUV",B141="CIV"),0,SUM('CASE DATA'!M141:Q141))</f>
        <v>0</v>
      </c>
      <c r="E141" s="54">
        <f>IF(OR(B141="DISM", B141="JWV", B141="JUV", B141="CIV"), 0, 'CASE DATA'!R141)</f>
        <v>0</v>
      </c>
      <c r="F141" s="55">
        <f>IF(OR(B141="DISM", B141="JWV", B141="JUV", B141="CIV"), 0, 'CASE DATA'!S141+'CASE DATA'!T141)</f>
        <v>0</v>
      </c>
    </row>
    <row r="142" spans="1:6" x14ac:dyDescent="0.25">
      <c r="A142" s="35" t="str">
        <f>IF('CASE DATA'!A142="","",'CASE DATA'!A142)</f>
        <v/>
      </c>
      <c r="B142" s="40" t="str">
        <f>IF('CASE DATA'!A142&lt;&gt;"",IF('CASE DATA'!G142=0, "open charge", 'CASE DATA'!G142),"")</f>
        <v/>
      </c>
      <c r="C142" s="52">
        <f>IF(OR(B142="DISM", B142="JWV", B142="JUV", B142="CIV"), SUM('CASE DATA'!K142:T142), 'CASE DATA'!K142+'CASE DATA'!L142)</f>
        <v>0</v>
      </c>
      <c r="D142" s="53">
        <f>IF(OR(B142="DISM",B142="JWV",B142="JUV",B142="CIV"),0,SUM('CASE DATA'!M142:Q142))</f>
        <v>0</v>
      </c>
      <c r="E142" s="54">
        <f>IF(OR(B142="DISM", B142="JWV", B142="JUV", B142="CIV"), 0, 'CASE DATA'!R142)</f>
        <v>0</v>
      </c>
      <c r="F142" s="55">
        <f>IF(OR(B142="DISM", B142="JWV", B142="JUV", B142="CIV"), 0, 'CASE DATA'!S142+'CASE DATA'!T142)</f>
        <v>0</v>
      </c>
    </row>
    <row r="143" spans="1:6" x14ac:dyDescent="0.25">
      <c r="A143" s="35" t="str">
        <f>IF('CASE DATA'!A143="","",'CASE DATA'!A143)</f>
        <v/>
      </c>
      <c r="B143" s="40" t="str">
        <f>IF('CASE DATA'!A143&lt;&gt;"",IF('CASE DATA'!G143=0, "open charge", 'CASE DATA'!G143),"")</f>
        <v/>
      </c>
      <c r="C143" s="52">
        <f>IF(OR(B143="DISM", B143="JWV", B143="JUV", B143="CIV"), SUM('CASE DATA'!K143:T143), 'CASE DATA'!K143+'CASE DATA'!L143)</f>
        <v>0</v>
      </c>
      <c r="D143" s="53">
        <f>IF(OR(B143="DISM",B143="JWV",B143="JUV",B143="CIV"),0,SUM('CASE DATA'!M143:Q143))</f>
        <v>0</v>
      </c>
      <c r="E143" s="54">
        <f>IF(OR(B143="DISM", B143="JWV", B143="JUV", B143="CIV"), 0, 'CASE DATA'!R143)</f>
        <v>0</v>
      </c>
      <c r="F143" s="55">
        <f>IF(OR(B143="DISM", B143="JWV", B143="JUV", B143="CIV"), 0, 'CASE DATA'!S143+'CASE DATA'!T143)</f>
        <v>0</v>
      </c>
    </row>
    <row r="144" spans="1:6" x14ac:dyDescent="0.25">
      <c r="A144" s="35" t="str">
        <f>IF('CASE DATA'!A144="","",'CASE DATA'!A144)</f>
        <v/>
      </c>
      <c r="B144" s="40" t="str">
        <f>IF('CASE DATA'!A144&lt;&gt;"",IF('CASE DATA'!G144=0, "open charge", 'CASE DATA'!G144),"")</f>
        <v/>
      </c>
      <c r="C144" s="52">
        <f>IF(OR(B144="DISM", B144="JWV", B144="JUV", B144="CIV"), SUM('CASE DATA'!K144:T144), 'CASE DATA'!K144+'CASE DATA'!L144)</f>
        <v>0</v>
      </c>
      <c r="D144" s="53">
        <f>IF(OR(B144="DISM",B144="JWV",B144="JUV",B144="CIV"),0,SUM('CASE DATA'!M144:Q144))</f>
        <v>0</v>
      </c>
      <c r="E144" s="54">
        <f>IF(OR(B144="DISM", B144="JWV", B144="JUV", B144="CIV"), 0, 'CASE DATA'!R144)</f>
        <v>0</v>
      </c>
      <c r="F144" s="55">
        <f>IF(OR(B144="DISM", B144="JWV", B144="JUV", B144="CIV"), 0, 'CASE DATA'!S144+'CASE DATA'!T144)</f>
        <v>0</v>
      </c>
    </row>
    <row r="145" spans="1:6" x14ac:dyDescent="0.25">
      <c r="A145" s="35" t="str">
        <f>IF('CASE DATA'!A145="","",'CASE DATA'!A145)</f>
        <v/>
      </c>
      <c r="B145" s="40" t="str">
        <f>IF('CASE DATA'!A145&lt;&gt;"",IF('CASE DATA'!G145=0, "open charge", 'CASE DATA'!G145),"")</f>
        <v/>
      </c>
      <c r="C145" s="52">
        <f>IF(OR(B145="DISM", B145="JWV", B145="JUV", B145="CIV"), SUM('CASE DATA'!K145:T145), 'CASE DATA'!K145+'CASE DATA'!L145)</f>
        <v>0</v>
      </c>
      <c r="D145" s="53">
        <f>IF(OR(B145="DISM",B145="JWV",B145="JUV",B145="CIV"),0,SUM('CASE DATA'!M145:Q145))</f>
        <v>0</v>
      </c>
      <c r="E145" s="54">
        <f>IF(OR(B145="DISM", B145="JWV", B145="JUV", B145="CIV"), 0, 'CASE DATA'!R145)</f>
        <v>0</v>
      </c>
      <c r="F145" s="55">
        <f>IF(OR(B145="DISM", B145="JWV", B145="JUV", B145="CIV"), 0, 'CASE DATA'!S145+'CASE DATA'!T145)</f>
        <v>0</v>
      </c>
    </row>
    <row r="146" spans="1:6" x14ac:dyDescent="0.25">
      <c r="A146" s="35" t="str">
        <f>IF('CASE DATA'!A146="","",'CASE DATA'!A146)</f>
        <v/>
      </c>
      <c r="B146" s="40" t="str">
        <f>IF('CASE DATA'!A146&lt;&gt;"",IF('CASE DATA'!G146=0, "open charge", 'CASE DATA'!G146),"")</f>
        <v/>
      </c>
      <c r="C146" s="52">
        <f>IF(OR(B146="DISM", B146="JWV", B146="JUV", B146="CIV"), SUM('CASE DATA'!K146:T146), 'CASE DATA'!K146+'CASE DATA'!L146)</f>
        <v>0</v>
      </c>
      <c r="D146" s="53">
        <f>IF(OR(B146="DISM",B146="JWV",B146="JUV",B146="CIV"),0,SUM('CASE DATA'!M146:Q146))</f>
        <v>0</v>
      </c>
      <c r="E146" s="54">
        <f>IF(OR(B146="DISM", B146="JWV", B146="JUV", B146="CIV"), 0, 'CASE DATA'!R146)</f>
        <v>0</v>
      </c>
      <c r="F146" s="55">
        <f>IF(OR(B146="DISM", B146="JWV", B146="JUV", B146="CIV"), 0, 'CASE DATA'!S146+'CASE DATA'!T146)</f>
        <v>0</v>
      </c>
    </row>
    <row r="147" spans="1:6" x14ac:dyDescent="0.25">
      <c r="A147" s="35" t="str">
        <f>IF('CASE DATA'!A147="","",'CASE DATA'!A147)</f>
        <v/>
      </c>
      <c r="B147" s="40" t="str">
        <f>IF('CASE DATA'!A147&lt;&gt;"",IF('CASE DATA'!G147=0, "open charge", 'CASE DATA'!G147),"")</f>
        <v/>
      </c>
      <c r="C147" s="52">
        <f>IF(OR(B147="DISM", B147="JWV", B147="JUV", B147="CIV"), SUM('CASE DATA'!K147:T147), 'CASE DATA'!K147+'CASE DATA'!L147)</f>
        <v>0</v>
      </c>
      <c r="D147" s="53">
        <f>IF(OR(B147="DISM",B147="JWV",B147="JUV",B147="CIV"),0,SUM('CASE DATA'!M147:Q147))</f>
        <v>0</v>
      </c>
      <c r="E147" s="54">
        <f>IF(OR(B147="DISM", B147="JWV", B147="JUV", B147="CIV"), 0, 'CASE DATA'!R147)</f>
        <v>0</v>
      </c>
      <c r="F147" s="55">
        <f>IF(OR(B147="DISM", B147="JWV", B147="JUV", B147="CIV"), 0, 'CASE DATA'!S147+'CASE DATA'!T147)</f>
        <v>0</v>
      </c>
    </row>
    <row r="148" spans="1:6" x14ac:dyDescent="0.25">
      <c r="A148" s="35" t="str">
        <f>IF('CASE DATA'!A148="","",'CASE DATA'!A148)</f>
        <v/>
      </c>
      <c r="B148" s="40" t="str">
        <f>IF('CASE DATA'!A148&lt;&gt;"",IF('CASE DATA'!G148=0, "open charge", 'CASE DATA'!G148),"")</f>
        <v/>
      </c>
      <c r="C148" s="52">
        <f>IF(OR(B148="DISM", B148="JWV", B148="JUV", B148="CIV"), SUM('CASE DATA'!K148:T148), 'CASE DATA'!K148+'CASE DATA'!L148)</f>
        <v>0</v>
      </c>
      <c r="D148" s="53">
        <f>IF(OR(B148="DISM",B148="JWV",B148="JUV",B148="CIV"),0,SUM('CASE DATA'!M148:Q148))</f>
        <v>0</v>
      </c>
      <c r="E148" s="54">
        <f>IF(OR(B148="DISM", B148="JWV", B148="JUV", B148="CIV"), 0, 'CASE DATA'!R148)</f>
        <v>0</v>
      </c>
      <c r="F148" s="55">
        <f>IF(OR(B148="DISM", B148="JWV", B148="JUV", B148="CIV"), 0, 'CASE DATA'!S148+'CASE DATA'!T148)</f>
        <v>0</v>
      </c>
    </row>
    <row r="149" spans="1:6" x14ac:dyDescent="0.25">
      <c r="A149" s="35" t="str">
        <f>IF('CASE DATA'!A149="","",'CASE DATA'!A149)</f>
        <v/>
      </c>
      <c r="B149" s="40" t="str">
        <f>IF('CASE DATA'!A149&lt;&gt;"",IF('CASE DATA'!G149=0, "open charge", 'CASE DATA'!G149),"")</f>
        <v/>
      </c>
      <c r="C149" s="52">
        <f>IF(OR(B149="DISM", B149="JWV", B149="JUV", B149="CIV"), SUM('CASE DATA'!K149:T149), 'CASE DATA'!K149+'CASE DATA'!L149)</f>
        <v>0</v>
      </c>
      <c r="D149" s="53">
        <f>IF(OR(B149="DISM",B149="JWV",B149="JUV",B149="CIV"),0,SUM('CASE DATA'!M149:Q149))</f>
        <v>0</v>
      </c>
      <c r="E149" s="54">
        <f>IF(OR(B149="DISM", B149="JWV", B149="JUV", B149="CIV"), 0, 'CASE DATA'!R149)</f>
        <v>0</v>
      </c>
      <c r="F149" s="55">
        <f>IF(OR(B149="DISM", B149="JWV", B149="JUV", B149="CIV"), 0, 'CASE DATA'!S149+'CASE DATA'!T149)</f>
        <v>0</v>
      </c>
    </row>
    <row r="150" spans="1:6" x14ac:dyDescent="0.25">
      <c r="A150" s="35" t="str">
        <f>IF('CASE DATA'!A150="","",'CASE DATA'!A150)</f>
        <v/>
      </c>
      <c r="B150" s="40" t="str">
        <f>IF('CASE DATA'!A150&lt;&gt;"",IF('CASE DATA'!G150=0, "open charge", 'CASE DATA'!G150),"")</f>
        <v/>
      </c>
      <c r="C150" s="52">
        <f>IF(OR(B150="DISM", B150="JWV", B150="JUV", B150="CIV"), SUM('CASE DATA'!K150:T150), 'CASE DATA'!K150+'CASE DATA'!L150)</f>
        <v>0</v>
      </c>
      <c r="D150" s="53">
        <f>IF(OR(B150="DISM",B150="JWV",B150="JUV",B150="CIV"),0,SUM('CASE DATA'!M150:Q150))</f>
        <v>0</v>
      </c>
      <c r="E150" s="54">
        <f>IF(OR(B150="DISM", B150="JWV", B150="JUV", B150="CIV"), 0, 'CASE DATA'!R150)</f>
        <v>0</v>
      </c>
      <c r="F150" s="55">
        <f>IF(OR(B150="DISM", B150="JWV", B150="JUV", B150="CIV"), 0, 'CASE DATA'!S150+'CASE DATA'!T150)</f>
        <v>0</v>
      </c>
    </row>
    <row r="151" spans="1:6" x14ac:dyDescent="0.25">
      <c r="A151" s="35" t="str">
        <f>IF('CASE DATA'!A151="","",'CASE DATA'!A151)</f>
        <v/>
      </c>
      <c r="B151" s="40" t="str">
        <f>IF('CASE DATA'!A151&lt;&gt;"",IF('CASE DATA'!G151=0, "open charge", 'CASE DATA'!G151),"")</f>
        <v/>
      </c>
      <c r="C151" s="52">
        <f>IF(OR(B151="DISM", B151="JWV", B151="JUV", B151="CIV"), SUM('CASE DATA'!K151:T151), 'CASE DATA'!K151+'CASE DATA'!L151)</f>
        <v>0</v>
      </c>
      <c r="D151" s="53">
        <f>IF(OR(B151="DISM",B151="JWV",B151="JUV",B151="CIV"),0,SUM('CASE DATA'!M151:Q151))</f>
        <v>0</v>
      </c>
      <c r="E151" s="54">
        <f>IF(OR(B151="DISM", B151="JWV", B151="JUV", B151="CIV"), 0, 'CASE DATA'!R151)</f>
        <v>0</v>
      </c>
      <c r="F151" s="55">
        <f>IF(OR(B151="DISM", B151="JWV", B151="JUV", B151="CIV"), 0, 'CASE DATA'!S151+'CASE DATA'!T151)</f>
        <v>0</v>
      </c>
    </row>
    <row r="152" spans="1:6" x14ac:dyDescent="0.25">
      <c r="A152" s="35" t="str">
        <f>IF('CASE DATA'!A152="","",'CASE DATA'!A152)</f>
        <v/>
      </c>
      <c r="B152" s="40" t="str">
        <f>IF('CASE DATA'!A152&lt;&gt;"",IF('CASE DATA'!G152=0, "open charge", 'CASE DATA'!G152),"")</f>
        <v/>
      </c>
      <c r="C152" s="52">
        <f>IF(OR(B152="DISM", B152="JWV", B152="JUV", B152="CIV"), SUM('CASE DATA'!K152:T152), 'CASE DATA'!K152+'CASE DATA'!L152)</f>
        <v>0</v>
      </c>
      <c r="D152" s="53">
        <f>IF(OR(B152="DISM",B152="JWV",B152="JUV",B152="CIV"),0,SUM('CASE DATA'!M152:Q152))</f>
        <v>0</v>
      </c>
      <c r="E152" s="54">
        <f>IF(OR(B152="DISM", B152="JWV", B152="JUV", B152="CIV"), 0, 'CASE DATA'!R152)</f>
        <v>0</v>
      </c>
      <c r="F152" s="55">
        <f>IF(OR(B152="DISM", B152="JWV", B152="JUV", B152="CIV"), 0, 'CASE DATA'!S152+'CASE DATA'!T152)</f>
        <v>0</v>
      </c>
    </row>
    <row r="153" spans="1:6" x14ac:dyDescent="0.25">
      <c r="A153" s="35" t="str">
        <f>IF('CASE DATA'!A153="","",'CASE DATA'!A153)</f>
        <v/>
      </c>
      <c r="B153" s="40" t="str">
        <f>IF('CASE DATA'!A153&lt;&gt;"",IF('CASE DATA'!G153=0, "open charge", 'CASE DATA'!G153),"")</f>
        <v/>
      </c>
      <c r="C153" s="52">
        <f>IF(OR(B153="DISM", B153="JWV", B153="JUV", B153="CIV"), SUM('CASE DATA'!K153:T153), 'CASE DATA'!K153+'CASE DATA'!L153)</f>
        <v>0</v>
      </c>
      <c r="D153" s="53">
        <f>IF(OR(B153="DISM",B153="JWV",B153="JUV",B153="CIV"),0,SUM('CASE DATA'!M153:Q153))</f>
        <v>0</v>
      </c>
      <c r="E153" s="54">
        <f>IF(OR(B153="DISM", B153="JWV", B153="JUV", B153="CIV"), 0, 'CASE DATA'!R153)</f>
        <v>0</v>
      </c>
      <c r="F153" s="55">
        <f>IF(OR(B153="DISM", B153="JWV", B153="JUV", B153="CIV"), 0, 'CASE DATA'!S153+'CASE DATA'!T153)</f>
        <v>0</v>
      </c>
    </row>
    <row r="154" spans="1:6" x14ac:dyDescent="0.25">
      <c r="A154" s="35" t="str">
        <f>IF('CASE DATA'!A154="","",'CASE DATA'!A154)</f>
        <v/>
      </c>
      <c r="B154" s="40" t="str">
        <f>IF('CASE DATA'!A154&lt;&gt;"",IF('CASE DATA'!G154=0, "open charge", 'CASE DATA'!G154),"")</f>
        <v/>
      </c>
      <c r="C154" s="52">
        <f>IF(OR(B154="DISM", B154="JWV", B154="JUV", B154="CIV"), SUM('CASE DATA'!K154:T154), 'CASE DATA'!K154+'CASE DATA'!L154)</f>
        <v>0</v>
      </c>
      <c r="D154" s="53">
        <f>IF(OR(B154="DISM",B154="JWV",B154="JUV",B154="CIV"),0,SUM('CASE DATA'!M154:Q154))</f>
        <v>0</v>
      </c>
      <c r="E154" s="54">
        <f>IF(OR(B154="DISM", B154="JWV", B154="JUV", B154="CIV"), 0, 'CASE DATA'!R154)</f>
        <v>0</v>
      </c>
      <c r="F154" s="55">
        <f>IF(OR(B154="DISM", B154="JWV", B154="JUV", B154="CIV"), 0, 'CASE DATA'!S154+'CASE DATA'!T154)</f>
        <v>0</v>
      </c>
    </row>
    <row r="155" spans="1:6" x14ac:dyDescent="0.25">
      <c r="A155" s="35" t="str">
        <f>IF('CASE DATA'!A155="","",'CASE DATA'!A155)</f>
        <v/>
      </c>
      <c r="B155" s="40" t="str">
        <f>IF('CASE DATA'!A155&lt;&gt;"",IF('CASE DATA'!G155=0, "open charge", 'CASE DATA'!G155),"")</f>
        <v/>
      </c>
      <c r="C155" s="52">
        <f>IF(OR(B155="DISM", B155="JWV", B155="JUV", B155="CIV"), SUM('CASE DATA'!K155:T155), 'CASE DATA'!K155+'CASE DATA'!L155)</f>
        <v>0</v>
      </c>
      <c r="D155" s="53">
        <f>IF(OR(B155="DISM",B155="JWV",B155="JUV",B155="CIV"),0,SUM('CASE DATA'!M155:Q155))</f>
        <v>0</v>
      </c>
      <c r="E155" s="54">
        <f>IF(OR(B155="DISM", B155="JWV", B155="JUV", B155="CIV"), 0, 'CASE DATA'!R155)</f>
        <v>0</v>
      </c>
      <c r="F155" s="55">
        <f>IF(OR(B155="DISM", B155="JWV", B155="JUV", B155="CIV"), 0, 'CASE DATA'!S155+'CASE DATA'!T155)</f>
        <v>0</v>
      </c>
    </row>
    <row r="156" spans="1:6" x14ac:dyDescent="0.25">
      <c r="A156" s="35" t="str">
        <f>IF('CASE DATA'!A156="","",'CASE DATA'!A156)</f>
        <v/>
      </c>
      <c r="B156" s="40" t="str">
        <f>IF('CASE DATA'!A156&lt;&gt;"",IF('CASE DATA'!G156=0, "open charge", 'CASE DATA'!G156),"")</f>
        <v/>
      </c>
      <c r="C156" s="52">
        <f>IF(OR(B156="DISM", B156="JWV", B156="JUV", B156="CIV"), SUM('CASE DATA'!K156:T156), 'CASE DATA'!K156+'CASE DATA'!L156)</f>
        <v>0</v>
      </c>
      <c r="D156" s="53">
        <f>IF(OR(B156="DISM",B156="JWV",B156="JUV",B156="CIV"),0,SUM('CASE DATA'!M156:Q156))</f>
        <v>0</v>
      </c>
      <c r="E156" s="54">
        <f>IF(OR(B156="DISM", B156="JWV", B156="JUV", B156="CIV"), 0, 'CASE DATA'!R156)</f>
        <v>0</v>
      </c>
      <c r="F156" s="55">
        <f>IF(OR(B156="DISM", B156="JWV", B156="JUV", B156="CIV"), 0, 'CASE DATA'!S156+'CASE DATA'!T156)</f>
        <v>0</v>
      </c>
    </row>
    <row r="157" spans="1:6" x14ac:dyDescent="0.25">
      <c r="A157" s="35" t="str">
        <f>IF('CASE DATA'!A157="","",'CASE DATA'!A157)</f>
        <v/>
      </c>
      <c r="B157" s="40" t="str">
        <f>IF('CASE DATA'!A157&lt;&gt;"",IF('CASE DATA'!G157=0, "open charge", 'CASE DATA'!G157),"")</f>
        <v/>
      </c>
      <c r="C157" s="52">
        <f>IF(OR(B157="DISM", B157="JWV", B157="JUV", B157="CIV"), SUM('CASE DATA'!K157:T157), 'CASE DATA'!K157+'CASE DATA'!L157)</f>
        <v>0</v>
      </c>
      <c r="D157" s="53">
        <f>IF(OR(B157="DISM",B157="JWV",B157="JUV",B157="CIV"),0,SUM('CASE DATA'!M157:Q157))</f>
        <v>0</v>
      </c>
      <c r="E157" s="54">
        <f>IF(OR(B157="DISM", B157="JWV", B157="JUV", B157="CIV"), 0, 'CASE DATA'!R157)</f>
        <v>0</v>
      </c>
      <c r="F157" s="55">
        <f>IF(OR(B157="DISM", B157="JWV", B157="JUV", B157="CIV"), 0, 'CASE DATA'!S157+'CASE DATA'!T157)</f>
        <v>0</v>
      </c>
    </row>
    <row r="158" spans="1:6" x14ac:dyDescent="0.25">
      <c r="A158" s="35" t="str">
        <f>IF('CASE DATA'!A158="","",'CASE DATA'!A158)</f>
        <v/>
      </c>
      <c r="B158" s="40" t="str">
        <f>IF('CASE DATA'!A158&lt;&gt;"",IF('CASE DATA'!G158=0, "open charge", 'CASE DATA'!G158),"")</f>
        <v/>
      </c>
      <c r="C158" s="52">
        <f>IF(OR(B158="DISM", B158="JWV", B158="JUV", B158="CIV"), SUM('CASE DATA'!K158:T158), 'CASE DATA'!K158+'CASE DATA'!L158)</f>
        <v>0</v>
      </c>
      <c r="D158" s="53">
        <f>IF(OR(B158="DISM",B158="JWV",B158="JUV",B158="CIV"),0,SUM('CASE DATA'!M158:Q158))</f>
        <v>0</v>
      </c>
      <c r="E158" s="54">
        <f>IF(OR(B158="DISM", B158="JWV", B158="JUV", B158="CIV"), 0, 'CASE DATA'!R158)</f>
        <v>0</v>
      </c>
      <c r="F158" s="55">
        <f>IF(OR(B158="DISM", B158="JWV", B158="JUV", B158="CIV"), 0, 'CASE DATA'!S158+'CASE DATA'!T158)</f>
        <v>0</v>
      </c>
    </row>
    <row r="159" spans="1:6" x14ac:dyDescent="0.25">
      <c r="A159" s="35" t="str">
        <f>IF('CASE DATA'!A159="","",'CASE DATA'!A159)</f>
        <v/>
      </c>
      <c r="B159" s="40" t="str">
        <f>IF('CASE DATA'!A159&lt;&gt;"",IF('CASE DATA'!G159=0, "open charge", 'CASE DATA'!G159),"")</f>
        <v/>
      </c>
      <c r="C159" s="52">
        <f>IF(OR(B159="DISM", B159="JWV", B159="JUV", B159="CIV"), SUM('CASE DATA'!K159:T159), 'CASE DATA'!K159+'CASE DATA'!L159)</f>
        <v>0</v>
      </c>
      <c r="D159" s="53">
        <f>IF(OR(B159="DISM",B159="JWV",B159="JUV",B159="CIV"),0,SUM('CASE DATA'!M159:Q159))</f>
        <v>0</v>
      </c>
      <c r="E159" s="54">
        <f>IF(OR(B159="DISM", B159="JWV", B159="JUV", B159="CIV"), 0, 'CASE DATA'!R159)</f>
        <v>0</v>
      </c>
      <c r="F159" s="55">
        <f>IF(OR(B159="DISM", B159="JWV", B159="JUV", B159="CIV"), 0, 'CASE DATA'!S159+'CASE DATA'!T159)</f>
        <v>0</v>
      </c>
    </row>
    <row r="160" spans="1:6" x14ac:dyDescent="0.25">
      <c r="A160" s="35" t="str">
        <f>IF('CASE DATA'!A160="","",'CASE DATA'!A160)</f>
        <v/>
      </c>
      <c r="B160" s="40" t="str">
        <f>IF('CASE DATA'!A160&lt;&gt;"",IF('CASE DATA'!G160=0, "open charge", 'CASE DATA'!G160),"")</f>
        <v/>
      </c>
      <c r="C160" s="52">
        <f>IF(OR(B160="DISM", B160="JWV", B160="JUV", B160="CIV"), SUM('CASE DATA'!K160:T160), 'CASE DATA'!K160+'CASE DATA'!L160)</f>
        <v>0</v>
      </c>
      <c r="D160" s="53">
        <f>IF(OR(B160="DISM",B160="JWV",B160="JUV",B160="CIV"),0,SUM('CASE DATA'!M160:Q160))</f>
        <v>0</v>
      </c>
      <c r="E160" s="54">
        <f>IF(OR(B160="DISM", B160="JWV", B160="JUV", B160="CIV"), 0, 'CASE DATA'!R160)</f>
        <v>0</v>
      </c>
      <c r="F160" s="55">
        <f>IF(OR(B160="DISM", B160="JWV", B160="JUV", B160="CIV"), 0, 'CASE DATA'!S160+'CASE DATA'!T160)</f>
        <v>0</v>
      </c>
    </row>
    <row r="161" spans="1:6" x14ac:dyDescent="0.25">
      <c r="A161" s="35" t="str">
        <f>IF('CASE DATA'!A161="","",'CASE DATA'!A161)</f>
        <v/>
      </c>
      <c r="B161" s="40" t="str">
        <f>IF('CASE DATA'!A161&lt;&gt;"",IF('CASE DATA'!G161=0, "open charge", 'CASE DATA'!G161),"")</f>
        <v/>
      </c>
      <c r="C161" s="52">
        <f>IF(OR(B161="DISM", B161="JWV", B161="JUV", B161="CIV"), SUM('CASE DATA'!K161:T161), 'CASE DATA'!K161+'CASE DATA'!L161)</f>
        <v>0</v>
      </c>
      <c r="D161" s="53">
        <f>IF(OR(B161="DISM",B161="JWV",B161="JUV",B161="CIV"),0,SUM('CASE DATA'!M161:Q161))</f>
        <v>0</v>
      </c>
      <c r="E161" s="54">
        <f>IF(OR(B161="DISM", B161="JWV", B161="JUV", B161="CIV"), 0, 'CASE DATA'!R161)</f>
        <v>0</v>
      </c>
      <c r="F161" s="55">
        <f>IF(OR(B161="DISM", B161="JWV", B161="JUV", B161="CIV"), 0, 'CASE DATA'!S161+'CASE DATA'!T161)</f>
        <v>0</v>
      </c>
    </row>
    <row r="162" spans="1:6" x14ac:dyDescent="0.25">
      <c r="A162" s="35" t="str">
        <f>IF('CASE DATA'!A162="","",'CASE DATA'!A162)</f>
        <v/>
      </c>
      <c r="B162" s="40" t="str">
        <f>IF('CASE DATA'!A162&lt;&gt;"",IF('CASE DATA'!G162=0, "open charge", 'CASE DATA'!G162),"")</f>
        <v/>
      </c>
      <c r="C162" s="52">
        <f>IF(OR(B162="DISM", B162="JWV", B162="JUV", B162="CIV"), SUM('CASE DATA'!K162:T162), 'CASE DATA'!K162+'CASE DATA'!L162)</f>
        <v>0</v>
      </c>
      <c r="D162" s="53">
        <f>IF(OR(B162="DISM",B162="JWV",B162="JUV",B162="CIV"),0,SUM('CASE DATA'!M162:Q162))</f>
        <v>0</v>
      </c>
      <c r="E162" s="54">
        <f>IF(OR(B162="DISM", B162="JWV", B162="JUV", B162="CIV"), 0, 'CASE DATA'!R162)</f>
        <v>0</v>
      </c>
      <c r="F162" s="55">
        <f>IF(OR(B162="DISM", B162="JWV", B162="JUV", B162="CIV"), 0, 'CASE DATA'!S162+'CASE DATA'!T162)</f>
        <v>0</v>
      </c>
    </row>
    <row r="163" spans="1:6" x14ac:dyDescent="0.25">
      <c r="A163" s="35" t="str">
        <f>IF('CASE DATA'!A163="","",'CASE DATA'!A163)</f>
        <v/>
      </c>
      <c r="B163" s="40" t="str">
        <f>IF('CASE DATA'!A163&lt;&gt;"",IF('CASE DATA'!G163=0, "open charge", 'CASE DATA'!G163),"")</f>
        <v/>
      </c>
      <c r="C163" s="52">
        <f>IF(OR(B163="DISM", B163="JWV", B163="JUV", B163="CIV"), SUM('CASE DATA'!K163:T163), 'CASE DATA'!K163+'CASE DATA'!L163)</f>
        <v>0</v>
      </c>
      <c r="D163" s="53">
        <f>IF(OR(B163="DISM",B163="JWV",B163="JUV",B163="CIV"),0,SUM('CASE DATA'!M163:Q163))</f>
        <v>0</v>
      </c>
      <c r="E163" s="54">
        <f>IF(OR(B163="DISM", B163="JWV", B163="JUV", B163="CIV"), 0, 'CASE DATA'!R163)</f>
        <v>0</v>
      </c>
      <c r="F163" s="55">
        <f>IF(OR(B163="DISM", B163="JWV", B163="JUV", B163="CIV"), 0, 'CASE DATA'!S163+'CASE DATA'!T163)</f>
        <v>0</v>
      </c>
    </row>
    <row r="164" spans="1:6" x14ac:dyDescent="0.25">
      <c r="A164" s="35" t="str">
        <f>IF('CASE DATA'!A164="","",'CASE DATA'!A164)</f>
        <v/>
      </c>
      <c r="B164" s="40" t="str">
        <f>IF('CASE DATA'!A164&lt;&gt;"",IF('CASE DATA'!G164=0, "open charge", 'CASE DATA'!G164),"")</f>
        <v/>
      </c>
      <c r="C164" s="52">
        <f>IF(OR(B164="DISM", B164="JWV", B164="JUV", B164="CIV"), SUM('CASE DATA'!K164:T164), 'CASE DATA'!K164+'CASE DATA'!L164)</f>
        <v>0</v>
      </c>
      <c r="D164" s="53">
        <f>IF(OR(B164="DISM",B164="JWV",B164="JUV",B164="CIV"),0,SUM('CASE DATA'!M164:Q164))</f>
        <v>0</v>
      </c>
      <c r="E164" s="54">
        <f>IF(OR(B164="DISM", B164="JWV", B164="JUV", B164="CIV"), 0, 'CASE DATA'!R164)</f>
        <v>0</v>
      </c>
      <c r="F164" s="55">
        <f>IF(OR(B164="DISM", B164="JWV", B164="JUV", B164="CIV"), 0, 'CASE DATA'!S164+'CASE DATA'!T164)</f>
        <v>0</v>
      </c>
    </row>
    <row r="165" spans="1:6" x14ac:dyDescent="0.25">
      <c r="A165" s="35" t="str">
        <f>IF('CASE DATA'!A165="","",'CASE DATA'!A165)</f>
        <v/>
      </c>
      <c r="B165" s="40" t="str">
        <f>IF('CASE DATA'!A165&lt;&gt;"",IF('CASE DATA'!G165=0, "open charge", 'CASE DATA'!G165),"")</f>
        <v/>
      </c>
      <c r="C165" s="52">
        <f>IF(OR(B165="DISM", B165="JWV", B165="JUV", B165="CIV"), SUM('CASE DATA'!K165:T165), 'CASE DATA'!K165+'CASE DATA'!L165)</f>
        <v>0</v>
      </c>
      <c r="D165" s="53">
        <f>IF(OR(B165="DISM",B165="JWV",B165="JUV",B165="CIV"),0,SUM('CASE DATA'!M165:Q165))</f>
        <v>0</v>
      </c>
      <c r="E165" s="54">
        <f>IF(OR(B165="DISM", B165="JWV", B165="JUV", B165="CIV"), 0, 'CASE DATA'!R165)</f>
        <v>0</v>
      </c>
      <c r="F165" s="55">
        <f>IF(OR(B165="DISM", B165="JWV", B165="JUV", B165="CIV"), 0, 'CASE DATA'!S165+'CASE DATA'!T165)</f>
        <v>0</v>
      </c>
    </row>
    <row r="166" spans="1:6" x14ac:dyDescent="0.25">
      <c r="A166" s="35" t="str">
        <f>IF('CASE DATA'!A166="","",'CASE DATA'!A166)</f>
        <v/>
      </c>
      <c r="B166" s="40" t="str">
        <f>IF('CASE DATA'!A166&lt;&gt;"",IF('CASE DATA'!G166=0, "open charge", 'CASE DATA'!G166),"")</f>
        <v/>
      </c>
      <c r="C166" s="52">
        <f>IF(OR(B166="DISM", B166="JWV", B166="JUV", B166="CIV"), SUM('CASE DATA'!K166:T166), 'CASE DATA'!K166+'CASE DATA'!L166)</f>
        <v>0</v>
      </c>
      <c r="D166" s="53">
        <f>IF(OR(B166="DISM",B166="JWV",B166="JUV",B166="CIV"),0,SUM('CASE DATA'!M166:Q166))</f>
        <v>0</v>
      </c>
      <c r="E166" s="54">
        <f>IF(OR(B166="DISM", B166="JWV", B166="JUV", B166="CIV"), 0, 'CASE DATA'!R166)</f>
        <v>0</v>
      </c>
      <c r="F166" s="55">
        <f>IF(OR(B166="DISM", B166="JWV", B166="JUV", B166="CIV"), 0, 'CASE DATA'!S166+'CASE DATA'!T166)</f>
        <v>0</v>
      </c>
    </row>
    <row r="167" spans="1:6" x14ac:dyDescent="0.25">
      <c r="A167" s="35" t="str">
        <f>IF('CASE DATA'!A167="","",'CASE DATA'!A167)</f>
        <v/>
      </c>
      <c r="B167" s="40" t="str">
        <f>IF('CASE DATA'!A167&lt;&gt;"",IF('CASE DATA'!G167=0, "open charge", 'CASE DATA'!G167),"")</f>
        <v/>
      </c>
      <c r="C167" s="52">
        <f>IF(OR(B167="DISM", B167="JWV", B167="JUV", B167="CIV"), SUM('CASE DATA'!K167:T167), 'CASE DATA'!K167+'CASE DATA'!L167)</f>
        <v>0</v>
      </c>
      <c r="D167" s="53">
        <f>IF(OR(B167="DISM",B167="JWV",B167="JUV",B167="CIV"),0,SUM('CASE DATA'!M167:Q167))</f>
        <v>0</v>
      </c>
      <c r="E167" s="54">
        <f>IF(OR(B167="DISM", B167="JWV", B167="JUV", B167="CIV"), 0, 'CASE DATA'!R167)</f>
        <v>0</v>
      </c>
      <c r="F167" s="55">
        <f>IF(OR(B167="DISM", B167="JWV", B167="JUV", B167="CIV"), 0, 'CASE DATA'!S167+'CASE DATA'!T167)</f>
        <v>0</v>
      </c>
    </row>
    <row r="168" spans="1:6" x14ac:dyDescent="0.25">
      <c r="A168" s="35" t="str">
        <f>IF('CASE DATA'!A168="","",'CASE DATA'!A168)</f>
        <v/>
      </c>
      <c r="B168" s="40" t="str">
        <f>IF('CASE DATA'!A168&lt;&gt;"",IF('CASE DATA'!G168=0, "open charge", 'CASE DATA'!G168),"")</f>
        <v/>
      </c>
      <c r="C168" s="52">
        <f>IF(OR(B168="DISM", B168="JWV", B168="JUV", B168="CIV"), SUM('CASE DATA'!K168:T168), 'CASE DATA'!K168+'CASE DATA'!L168)</f>
        <v>0</v>
      </c>
      <c r="D168" s="53">
        <f>IF(OR(B168="DISM",B168="JWV",B168="JUV",B168="CIV"),0,SUM('CASE DATA'!M168:Q168))</f>
        <v>0</v>
      </c>
      <c r="E168" s="54">
        <f>IF(OR(B168="DISM", B168="JWV", B168="JUV", B168="CIV"), 0, 'CASE DATA'!R168)</f>
        <v>0</v>
      </c>
      <c r="F168" s="55">
        <f>IF(OR(B168="DISM", B168="JWV", B168="JUV", B168="CIV"), 0, 'CASE DATA'!S168+'CASE DATA'!T168)</f>
        <v>0</v>
      </c>
    </row>
    <row r="169" spans="1:6" x14ac:dyDescent="0.25">
      <c r="A169" s="35" t="str">
        <f>IF('CASE DATA'!A169="","",'CASE DATA'!A169)</f>
        <v/>
      </c>
      <c r="B169" s="40" t="str">
        <f>IF('CASE DATA'!A169&lt;&gt;"",IF('CASE DATA'!G169=0, "open charge", 'CASE DATA'!G169),"")</f>
        <v/>
      </c>
      <c r="C169" s="52">
        <f>IF(OR(B169="DISM", B169="JWV", B169="JUV", B169="CIV"), SUM('CASE DATA'!K169:T169), 'CASE DATA'!K169+'CASE DATA'!L169)</f>
        <v>0</v>
      </c>
      <c r="D169" s="53">
        <f>IF(OR(B169="DISM",B169="JWV",B169="JUV",B169="CIV"),0,SUM('CASE DATA'!M169:Q169))</f>
        <v>0</v>
      </c>
      <c r="E169" s="54">
        <f>IF(OR(B169="DISM", B169="JWV", B169="JUV", B169="CIV"), 0, 'CASE DATA'!R169)</f>
        <v>0</v>
      </c>
      <c r="F169" s="55">
        <f>IF(OR(B169="DISM", B169="JWV", B169="JUV", B169="CIV"), 0, 'CASE DATA'!S169+'CASE DATA'!T169)</f>
        <v>0</v>
      </c>
    </row>
    <row r="170" spans="1:6" x14ac:dyDescent="0.25">
      <c r="A170" s="35" t="str">
        <f>IF('CASE DATA'!A170="","",'CASE DATA'!A170)</f>
        <v/>
      </c>
      <c r="B170" s="40" t="str">
        <f>IF('CASE DATA'!A170&lt;&gt;"",IF('CASE DATA'!G170=0, "open charge", 'CASE DATA'!G170),"")</f>
        <v/>
      </c>
      <c r="C170" s="52">
        <f>IF(OR(B170="DISM", B170="JWV", B170="JUV", B170="CIV"), SUM('CASE DATA'!K170:T170), 'CASE DATA'!K170+'CASE DATA'!L170)</f>
        <v>0</v>
      </c>
      <c r="D170" s="53">
        <f>IF(OR(B170="DISM",B170="JWV",B170="JUV",B170="CIV"),0,SUM('CASE DATA'!M170:Q170))</f>
        <v>0</v>
      </c>
      <c r="E170" s="54">
        <f>IF(OR(B170="DISM", B170="JWV", B170="JUV", B170="CIV"), 0, 'CASE DATA'!R170)</f>
        <v>0</v>
      </c>
      <c r="F170" s="55">
        <f>IF(OR(B170="DISM", B170="JWV", B170="JUV", B170="CIV"), 0, 'CASE DATA'!S170+'CASE DATA'!T170)</f>
        <v>0</v>
      </c>
    </row>
    <row r="171" spans="1:6" x14ac:dyDescent="0.25">
      <c r="A171" s="35" t="str">
        <f>IF('CASE DATA'!A171="","",'CASE DATA'!A171)</f>
        <v/>
      </c>
      <c r="B171" s="40" t="str">
        <f>IF('CASE DATA'!A171&lt;&gt;"",IF('CASE DATA'!G171=0, "open charge", 'CASE DATA'!G171),"")</f>
        <v/>
      </c>
      <c r="C171" s="52">
        <f>IF(OR(B171="DISM", B171="JWV", B171="JUV", B171="CIV"), SUM('CASE DATA'!K171:T171), 'CASE DATA'!K171+'CASE DATA'!L171)</f>
        <v>0</v>
      </c>
      <c r="D171" s="53">
        <f>IF(OR(B171="DISM",B171="JWV",B171="JUV",B171="CIV"),0,SUM('CASE DATA'!M171:Q171))</f>
        <v>0</v>
      </c>
      <c r="E171" s="54">
        <f>IF(OR(B171="DISM", B171="JWV", B171="JUV", B171="CIV"), 0, 'CASE DATA'!R171)</f>
        <v>0</v>
      </c>
      <c r="F171" s="55">
        <f>IF(OR(B171="DISM", B171="JWV", B171="JUV", B171="CIV"), 0, 'CASE DATA'!S171+'CASE DATA'!T171)</f>
        <v>0</v>
      </c>
    </row>
    <row r="172" spans="1:6" x14ac:dyDescent="0.25">
      <c r="A172" s="35" t="str">
        <f>IF('CASE DATA'!A172="","",'CASE DATA'!A172)</f>
        <v/>
      </c>
      <c r="B172" s="40" t="str">
        <f>IF('CASE DATA'!A172&lt;&gt;"",IF('CASE DATA'!G172=0, "open charge", 'CASE DATA'!G172),"")</f>
        <v/>
      </c>
      <c r="C172" s="52">
        <f>IF(OR(B172="DISM", B172="JWV", B172="JUV", B172="CIV"), SUM('CASE DATA'!K172:T172), 'CASE DATA'!K172+'CASE DATA'!L172)</f>
        <v>0</v>
      </c>
      <c r="D172" s="53">
        <f>IF(OR(B172="DISM",B172="JWV",B172="JUV",B172="CIV"),0,SUM('CASE DATA'!M172:Q172))</f>
        <v>0</v>
      </c>
      <c r="E172" s="54">
        <f>IF(OR(B172="DISM", B172="JWV", B172="JUV", B172="CIV"), 0, 'CASE DATA'!R172)</f>
        <v>0</v>
      </c>
      <c r="F172" s="55">
        <f>IF(OR(B172="DISM", B172="JWV", B172="JUV", B172="CIV"), 0, 'CASE DATA'!S172+'CASE DATA'!T172)</f>
        <v>0</v>
      </c>
    </row>
    <row r="173" spans="1:6" x14ac:dyDescent="0.25">
      <c r="A173" s="35" t="str">
        <f>IF('CASE DATA'!A173="","",'CASE DATA'!A173)</f>
        <v/>
      </c>
      <c r="B173" s="40" t="str">
        <f>IF('CASE DATA'!A173&lt;&gt;"",IF('CASE DATA'!G173=0, "open charge", 'CASE DATA'!G173),"")</f>
        <v/>
      </c>
      <c r="C173" s="52">
        <f>IF(OR(B173="DISM", B173="JWV", B173="JUV", B173="CIV"), SUM('CASE DATA'!K173:T173), 'CASE DATA'!K173+'CASE DATA'!L173)</f>
        <v>0</v>
      </c>
      <c r="D173" s="53">
        <f>IF(OR(B173="DISM",B173="JWV",B173="JUV",B173="CIV"),0,SUM('CASE DATA'!M173:Q173))</f>
        <v>0</v>
      </c>
      <c r="E173" s="54">
        <f>IF(OR(B173="DISM", B173="JWV", B173="JUV", B173="CIV"), 0, 'CASE DATA'!R173)</f>
        <v>0</v>
      </c>
      <c r="F173" s="55">
        <f>IF(OR(B173="DISM", B173="JWV", B173="JUV", B173="CIV"), 0, 'CASE DATA'!S173+'CASE DATA'!T173)</f>
        <v>0</v>
      </c>
    </row>
    <row r="174" spans="1:6" x14ac:dyDescent="0.25">
      <c r="A174" s="35" t="str">
        <f>IF('CASE DATA'!A174="","",'CASE DATA'!A174)</f>
        <v/>
      </c>
      <c r="B174" s="40" t="str">
        <f>IF('CASE DATA'!A174&lt;&gt;"",IF('CASE DATA'!G174=0, "open charge", 'CASE DATA'!G174),"")</f>
        <v/>
      </c>
      <c r="C174" s="52">
        <f>IF(OR(B174="DISM", B174="JWV", B174="JUV", B174="CIV"), SUM('CASE DATA'!K174:T174), 'CASE DATA'!K174+'CASE DATA'!L174)</f>
        <v>0</v>
      </c>
      <c r="D174" s="53">
        <f>IF(OR(B174="DISM",B174="JWV",B174="JUV",B174="CIV"),0,SUM('CASE DATA'!M174:Q174))</f>
        <v>0</v>
      </c>
      <c r="E174" s="54">
        <f>IF(OR(B174="DISM", B174="JWV", B174="JUV", B174="CIV"), 0, 'CASE DATA'!R174)</f>
        <v>0</v>
      </c>
      <c r="F174" s="55">
        <f>IF(OR(B174="DISM", B174="JWV", B174="JUV", B174="CIV"), 0, 'CASE DATA'!S174+'CASE DATA'!T174)</f>
        <v>0</v>
      </c>
    </row>
    <row r="175" spans="1:6" x14ac:dyDescent="0.25">
      <c r="A175" s="35" t="str">
        <f>IF('CASE DATA'!A175="","",'CASE DATA'!A175)</f>
        <v/>
      </c>
      <c r="B175" s="40" t="str">
        <f>IF('CASE DATA'!A175&lt;&gt;"",IF('CASE DATA'!G175=0, "open charge", 'CASE DATA'!G175),"")</f>
        <v/>
      </c>
      <c r="C175" s="52">
        <f>IF(OR(B175="DISM", B175="JWV", B175="JUV", B175="CIV"), SUM('CASE DATA'!K175:T175), 'CASE DATA'!K175+'CASE DATA'!L175)</f>
        <v>0</v>
      </c>
      <c r="D175" s="53">
        <f>IF(OR(B175="DISM",B175="JWV",B175="JUV",B175="CIV"),0,SUM('CASE DATA'!M175:Q175))</f>
        <v>0</v>
      </c>
      <c r="E175" s="54">
        <f>IF(OR(B175="DISM", B175="JWV", B175="JUV", B175="CIV"), 0, 'CASE DATA'!R175)</f>
        <v>0</v>
      </c>
      <c r="F175" s="55">
        <f>IF(OR(B175="DISM", B175="JWV", B175="JUV", B175="CIV"), 0, 'CASE DATA'!S175+'CASE DATA'!T175)</f>
        <v>0</v>
      </c>
    </row>
    <row r="176" spans="1:6" x14ac:dyDescent="0.25">
      <c r="A176" s="35" t="str">
        <f>IF('CASE DATA'!A176="","",'CASE DATA'!A176)</f>
        <v/>
      </c>
      <c r="B176" s="40" t="str">
        <f>IF('CASE DATA'!A176&lt;&gt;"",IF('CASE DATA'!G176=0, "open charge", 'CASE DATA'!G176),"")</f>
        <v/>
      </c>
      <c r="C176" s="52">
        <f>IF(OR(B176="DISM", B176="JWV", B176="JUV", B176="CIV"), SUM('CASE DATA'!K176:T176), 'CASE DATA'!K176+'CASE DATA'!L176)</f>
        <v>0</v>
      </c>
      <c r="D176" s="53">
        <f>IF(OR(B176="DISM",B176="JWV",B176="JUV",B176="CIV"),0,SUM('CASE DATA'!M176:Q176))</f>
        <v>0</v>
      </c>
      <c r="E176" s="54">
        <f>IF(OR(B176="DISM", B176="JWV", B176="JUV", B176="CIV"), 0, 'CASE DATA'!R176)</f>
        <v>0</v>
      </c>
      <c r="F176" s="55">
        <f>IF(OR(B176="DISM", B176="JWV", B176="JUV", B176="CIV"), 0, 'CASE DATA'!S176+'CASE DATA'!T176)</f>
        <v>0</v>
      </c>
    </row>
    <row r="177" spans="1:6" x14ac:dyDescent="0.25">
      <c r="A177" s="35" t="str">
        <f>IF('CASE DATA'!A177="","",'CASE DATA'!A177)</f>
        <v/>
      </c>
      <c r="B177" s="40" t="str">
        <f>IF('CASE DATA'!A177&lt;&gt;"",IF('CASE DATA'!G177=0, "open charge", 'CASE DATA'!G177),"")</f>
        <v/>
      </c>
      <c r="C177" s="52">
        <f>IF(OR(B177="DISM", B177="JWV", B177="JUV", B177="CIV"), SUM('CASE DATA'!K177:T177), 'CASE DATA'!K177+'CASE DATA'!L177)</f>
        <v>0</v>
      </c>
      <c r="D177" s="53">
        <f>IF(OR(B177="DISM",B177="JWV",B177="JUV",B177="CIV"),0,SUM('CASE DATA'!M177:Q177))</f>
        <v>0</v>
      </c>
      <c r="E177" s="54">
        <f>IF(OR(B177="DISM", B177="JWV", B177="JUV", B177="CIV"), 0, 'CASE DATA'!R177)</f>
        <v>0</v>
      </c>
      <c r="F177" s="55">
        <f>IF(OR(B177="DISM", B177="JWV", B177="JUV", B177="CIV"), 0, 'CASE DATA'!S177+'CASE DATA'!T177)</f>
        <v>0</v>
      </c>
    </row>
    <row r="178" spans="1:6" x14ac:dyDescent="0.25">
      <c r="A178" s="35" t="str">
        <f>IF('CASE DATA'!A178="","",'CASE DATA'!A178)</f>
        <v/>
      </c>
      <c r="B178" s="40" t="str">
        <f>IF('CASE DATA'!A178&lt;&gt;"",IF('CASE DATA'!G178=0, "open charge", 'CASE DATA'!G178),"")</f>
        <v/>
      </c>
      <c r="C178" s="52">
        <f>IF(OR(B178="DISM", B178="JWV", B178="JUV", B178="CIV"), SUM('CASE DATA'!K178:T178), 'CASE DATA'!K178+'CASE DATA'!L178)</f>
        <v>0</v>
      </c>
      <c r="D178" s="53">
        <f>IF(OR(B178="DISM",B178="JWV",B178="JUV",B178="CIV"),0,SUM('CASE DATA'!M178:Q178))</f>
        <v>0</v>
      </c>
      <c r="E178" s="54">
        <f>IF(OR(B178="DISM", B178="JWV", B178="JUV", B178="CIV"), 0, 'CASE DATA'!R178)</f>
        <v>0</v>
      </c>
      <c r="F178" s="55">
        <f>IF(OR(B178="DISM", B178="JWV", B178="JUV", B178="CIV"), 0, 'CASE DATA'!S178+'CASE DATA'!T178)</f>
        <v>0</v>
      </c>
    </row>
    <row r="179" spans="1:6" x14ac:dyDescent="0.25">
      <c r="A179" s="35" t="str">
        <f>IF('CASE DATA'!A179="","",'CASE DATA'!A179)</f>
        <v/>
      </c>
      <c r="B179" s="40" t="str">
        <f>IF('CASE DATA'!A179&lt;&gt;"",IF('CASE DATA'!G179=0, "open charge", 'CASE DATA'!G179),"")</f>
        <v/>
      </c>
      <c r="C179" s="52">
        <f>IF(OR(B179="DISM", B179="JWV", B179="JUV", B179="CIV"), SUM('CASE DATA'!K179:T179), 'CASE DATA'!K179+'CASE DATA'!L179)</f>
        <v>0</v>
      </c>
      <c r="D179" s="53">
        <f>IF(OR(B179="DISM",B179="JWV",B179="JUV",B179="CIV"),0,SUM('CASE DATA'!M179:Q179))</f>
        <v>0</v>
      </c>
      <c r="E179" s="54">
        <f>IF(OR(B179="DISM", B179="JWV", B179="JUV", B179="CIV"), 0, 'CASE DATA'!R179)</f>
        <v>0</v>
      </c>
      <c r="F179" s="55">
        <f>IF(OR(B179="DISM", B179="JWV", B179="JUV", B179="CIV"), 0, 'CASE DATA'!S179+'CASE DATA'!T179)</f>
        <v>0</v>
      </c>
    </row>
    <row r="180" spans="1:6" x14ac:dyDescent="0.25">
      <c r="A180" s="35" t="str">
        <f>IF('CASE DATA'!A180="","",'CASE DATA'!A180)</f>
        <v/>
      </c>
      <c r="B180" s="40" t="str">
        <f>IF('CASE DATA'!A180&lt;&gt;"",IF('CASE DATA'!G180=0, "open charge", 'CASE DATA'!G180),"")</f>
        <v/>
      </c>
      <c r="C180" s="52">
        <f>IF(OR(B180="DISM", B180="JWV", B180="JUV", B180="CIV"), SUM('CASE DATA'!K180:T180), 'CASE DATA'!K180+'CASE DATA'!L180)</f>
        <v>0</v>
      </c>
      <c r="D180" s="53">
        <f>IF(OR(B180="DISM",B180="JWV",B180="JUV",B180="CIV"),0,SUM('CASE DATA'!M180:Q180))</f>
        <v>0</v>
      </c>
      <c r="E180" s="54">
        <f>IF(OR(B180="DISM", B180="JWV", B180="JUV", B180="CIV"), 0, 'CASE DATA'!R180)</f>
        <v>0</v>
      </c>
      <c r="F180" s="55">
        <f>IF(OR(B180="DISM", B180="JWV", B180="JUV", B180="CIV"), 0, 'CASE DATA'!S180+'CASE DATA'!T180)</f>
        <v>0</v>
      </c>
    </row>
    <row r="181" spans="1:6" x14ac:dyDescent="0.25">
      <c r="A181" s="35" t="str">
        <f>IF('CASE DATA'!A181="","",'CASE DATA'!A181)</f>
        <v/>
      </c>
      <c r="B181" s="40" t="str">
        <f>IF('CASE DATA'!A181&lt;&gt;"",IF('CASE DATA'!G181=0, "open charge", 'CASE DATA'!G181),"")</f>
        <v/>
      </c>
      <c r="C181" s="52">
        <f>IF(OR(B181="DISM", B181="JWV", B181="JUV", B181="CIV"), SUM('CASE DATA'!K181:T181), 'CASE DATA'!K181+'CASE DATA'!L181)</f>
        <v>0</v>
      </c>
      <c r="D181" s="53">
        <f>IF(OR(B181="DISM",B181="JWV",B181="JUV",B181="CIV"),0,SUM('CASE DATA'!M181:Q181))</f>
        <v>0</v>
      </c>
      <c r="E181" s="54">
        <f>IF(OR(B181="DISM", B181="JWV", B181="JUV", B181="CIV"), 0, 'CASE DATA'!R181)</f>
        <v>0</v>
      </c>
      <c r="F181" s="55">
        <f>IF(OR(B181="DISM", B181="JWV", B181="JUV", B181="CIV"), 0, 'CASE DATA'!S181+'CASE DATA'!T181)</f>
        <v>0</v>
      </c>
    </row>
    <row r="182" spans="1:6" x14ac:dyDescent="0.25">
      <c r="A182" s="35" t="str">
        <f>IF('CASE DATA'!A182="","",'CASE DATA'!A182)</f>
        <v/>
      </c>
      <c r="B182" s="40" t="str">
        <f>IF('CASE DATA'!A182&lt;&gt;"",IF('CASE DATA'!G182=0, "open charge", 'CASE DATA'!G182),"")</f>
        <v/>
      </c>
      <c r="C182" s="52">
        <f>IF(OR(B182="DISM", B182="JWV", B182="JUV", B182="CIV"), SUM('CASE DATA'!K182:T182), 'CASE DATA'!K182+'CASE DATA'!L182)</f>
        <v>0</v>
      </c>
      <c r="D182" s="53">
        <f>IF(OR(B182="DISM",B182="JWV",B182="JUV",B182="CIV"),0,SUM('CASE DATA'!M182:Q182))</f>
        <v>0</v>
      </c>
      <c r="E182" s="54">
        <f>IF(OR(B182="DISM", B182="JWV", B182="JUV", B182="CIV"), 0, 'CASE DATA'!R182)</f>
        <v>0</v>
      </c>
      <c r="F182" s="55">
        <f>IF(OR(B182="DISM", B182="JWV", B182="JUV", B182="CIV"), 0, 'CASE DATA'!S182+'CASE DATA'!T182)</f>
        <v>0</v>
      </c>
    </row>
    <row r="183" spans="1:6" x14ac:dyDescent="0.25">
      <c r="A183" s="35" t="str">
        <f>IF('CASE DATA'!A183="","",'CASE DATA'!A183)</f>
        <v/>
      </c>
      <c r="B183" s="40" t="str">
        <f>IF('CASE DATA'!A183&lt;&gt;"",IF('CASE DATA'!G183=0, "open charge", 'CASE DATA'!G183),"")</f>
        <v/>
      </c>
      <c r="C183" s="52">
        <f>IF(OR(B183="DISM", B183="JWV", B183="JUV", B183="CIV"), SUM('CASE DATA'!K183:T183), 'CASE DATA'!K183+'CASE DATA'!L183)</f>
        <v>0</v>
      </c>
      <c r="D183" s="53">
        <f>IF(OR(B183="DISM",B183="JWV",B183="JUV",B183="CIV"),0,SUM('CASE DATA'!M183:Q183))</f>
        <v>0</v>
      </c>
      <c r="E183" s="54">
        <f>IF(OR(B183="DISM", B183="JWV", B183="JUV", B183="CIV"), 0, 'CASE DATA'!R183)</f>
        <v>0</v>
      </c>
      <c r="F183" s="55">
        <f>IF(OR(B183="DISM", B183="JWV", B183="JUV", B183="CIV"), 0, 'CASE DATA'!S183+'CASE DATA'!T183)</f>
        <v>0</v>
      </c>
    </row>
    <row r="184" spans="1:6" x14ac:dyDescent="0.25">
      <c r="A184" s="35" t="str">
        <f>IF('CASE DATA'!A184="","",'CASE DATA'!A184)</f>
        <v/>
      </c>
      <c r="B184" s="40" t="str">
        <f>IF('CASE DATA'!A184&lt;&gt;"",IF('CASE DATA'!G184=0, "open charge", 'CASE DATA'!G184),"")</f>
        <v/>
      </c>
      <c r="C184" s="52">
        <f>IF(OR(B184="DISM", B184="JWV", B184="JUV", B184="CIV"), SUM('CASE DATA'!K184:T184), 'CASE DATA'!K184+'CASE DATA'!L184)</f>
        <v>0</v>
      </c>
      <c r="D184" s="53">
        <f>IF(OR(B184="DISM",B184="JWV",B184="JUV",B184="CIV"),0,SUM('CASE DATA'!M184:Q184))</f>
        <v>0</v>
      </c>
      <c r="E184" s="54">
        <f>IF(OR(B184="DISM", B184="JWV", B184="JUV", B184="CIV"), 0, 'CASE DATA'!R184)</f>
        <v>0</v>
      </c>
      <c r="F184" s="55">
        <f>IF(OR(B184="DISM", B184="JWV", B184="JUV", B184="CIV"), 0, 'CASE DATA'!S184+'CASE DATA'!T184)</f>
        <v>0</v>
      </c>
    </row>
    <row r="185" spans="1:6" x14ac:dyDescent="0.25">
      <c r="A185" s="35" t="str">
        <f>IF('CASE DATA'!A185="","",'CASE DATA'!A185)</f>
        <v/>
      </c>
      <c r="B185" s="40" t="str">
        <f>IF('CASE DATA'!A185&lt;&gt;"",IF('CASE DATA'!G185=0, "open charge", 'CASE DATA'!G185),"")</f>
        <v/>
      </c>
      <c r="C185" s="52">
        <f>IF(OR(B185="DISM", B185="JWV", B185="JUV", B185="CIV"), SUM('CASE DATA'!K185:T185), 'CASE DATA'!K185+'CASE DATA'!L185)</f>
        <v>0</v>
      </c>
      <c r="D185" s="53">
        <f>IF(OR(B185="DISM",B185="JWV",B185="JUV",B185="CIV"),0,SUM('CASE DATA'!M185:Q185))</f>
        <v>0</v>
      </c>
      <c r="E185" s="54">
        <f>IF(OR(B185="DISM", B185="JWV", B185="JUV", B185="CIV"), 0, 'CASE DATA'!R185)</f>
        <v>0</v>
      </c>
      <c r="F185" s="55">
        <f>IF(OR(B185="DISM", B185="JWV", B185="JUV", B185="CIV"), 0, 'CASE DATA'!S185+'CASE DATA'!T185)</f>
        <v>0</v>
      </c>
    </row>
    <row r="186" spans="1:6" x14ac:dyDescent="0.25">
      <c r="A186" s="35" t="str">
        <f>IF('CASE DATA'!A186="","",'CASE DATA'!A186)</f>
        <v/>
      </c>
      <c r="B186" s="40" t="str">
        <f>IF('CASE DATA'!A186&lt;&gt;"",IF('CASE DATA'!G186=0, "open charge", 'CASE DATA'!G186),"")</f>
        <v/>
      </c>
      <c r="C186" s="52">
        <f>IF(OR(B186="DISM", B186="JWV", B186="JUV", B186="CIV"), SUM('CASE DATA'!K186:T186), 'CASE DATA'!K186+'CASE DATA'!L186)</f>
        <v>0</v>
      </c>
      <c r="D186" s="53">
        <f>IF(OR(B186="DISM",B186="JWV",B186="JUV",B186="CIV"),0,SUM('CASE DATA'!M186:Q186))</f>
        <v>0</v>
      </c>
      <c r="E186" s="54">
        <f>IF(OR(B186="DISM", B186="JWV", B186="JUV", B186="CIV"), 0, 'CASE DATA'!R186)</f>
        <v>0</v>
      </c>
      <c r="F186" s="55">
        <f>IF(OR(B186="DISM", B186="JWV", B186="JUV", B186="CIV"), 0, 'CASE DATA'!S186+'CASE DATA'!T186)</f>
        <v>0</v>
      </c>
    </row>
    <row r="187" spans="1:6" x14ac:dyDescent="0.25">
      <c r="A187" s="35" t="str">
        <f>IF('CASE DATA'!A187="","",'CASE DATA'!A187)</f>
        <v/>
      </c>
      <c r="B187" s="40" t="str">
        <f>IF('CASE DATA'!A187&lt;&gt;"",IF('CASE DATA'!G187=0, "open charge", 'CASE DATA'!G187),"")</f>
        <v/>
      </c>
      <c r="C187" s="52">
        <f>IF(OR(B187="DISM", B187="JWV", B187="JUV", B187="CIV"), SUM('CASE DATA'!K187:T187), 'CASE DATA'!K187+'CASE DATA'!L187)</f>
        <v>0</v>
      </c>
      <c r="D187" s="53">
        <f>IF(OR(B187="DISM",B187="JWV",B187="JUV",B187="CIV"),0,SUM('CASE DATA'!M187:Q187))</f>
        <v>0</v>
      </c>
      <c r="E187" s="54">
        <f>IF(OR(B187="DISM", B187="JWV", B187="JUV", B187="CIV"), 0, 'CASE DATA'!R187)</f>
        <v>0</v>
      </c>
      <c r="F187" s="55">
        <f>IF(OR(B187="DISM", B187="JWV", B187="JUV", B187="CIV"), 0, 'CASE DATA'!S187+'CASE DATA'!T187)</f>
        <v>0</v>
      </c>
    </row>
    <row r="188" spans="1:6" x14ac:dyDescent="0.25">
      <c r="A188" s="35" t="str">
        <f>IF('CASE DATA'!A188="","",'CASE DATA'!A188)</f>
        <v/>
      </c>
      <c r="B188" s="40" t="str">
        <f>IF('CASE DATA'!A188&lt;&gt;"",IF('CASE DATA'!G188=0, "open charge", 'CASE DATA'!G188),"")</f>
        <v/>
      </c>
      <c r="C188" s="52">
        <f>IF(OR(B188="DISM", B188="JWV", B188="JUV", B188="CIV"), SUM('CASE DATA'!K188:T188), 'CASE DATA'!K188+'CASE DATA'!L188)</f>
        <v>0</v>
      </c>
      <c r="D188" s="53">
        <f>IF(OR(B188="DISM",B188="JWV",B188="JUV",B188="CIV"),0,SUM('CASE DATA'!M188:Q188))</f>
        <v>0</v>
      </c>
      <c r="E188" s="54">
        <f>IF(OR(B188="DISM", B188="JWV", B188="JUV", B188="CIV"), 0, 'CASE DATA'!R188)</f>
        <v>0</v>
      </c>
      <c r="F188" s="55">
        <f>IF(OR(B188="DISM", B188="JWV", B188="JUV", B188="CIV"), 0, 'CASE DATA'!S188+'CASE DATA'!T188)</f>
        <v>0</v>
      </c>
    </row>
    <row r="189" spans="1:6" x14ac:dyDescent="0.25">
      <c r="A189" s="35" t="str">
        <f>IF('CASE DATA'!A189="","",'CASE DATA'!A189)</f>
        <v/>
      </c>
      <c r="B189" s="40" t="str">
        <f>IF('CASE DATA'!A189&lt;&gt;"",IF('CASE DATA'!G189=0, "open charge", 'CASE DATA'!G189),"")</f>
        <v/>
      </c>
      <c r="C189" s="52">
        <f>IF(OR(B189="DISM", B189="JWV", B189="JUV", B189="CIV"), SUM('CASE DATA'!K189:T189), 'CASE DATA'!K189+'CASE DATA'!L189)</f>
        <v>0</v>
      </c>
      <c r="D189" s="53">
        <f>IF(OR(B189="DISM",B189="JWV",B189="JUV",B189="CIV"),0,SUM('CASE DATA'!M189:Q189))</f>
        <v>0</v>
      </c>
      <c r="E189" s="54">
        <f>IF(OR(B189="DISM", B189="JWV", B189="JUV", B189="CIV"), 0, 'CASE DATA'!R189)</f>
        <v>0</v>
      </c>
      <c r="F189" s="55">
        <f>IF(OR(B189="DISM", B189="JWV", B189="JUV", B189="CIV"), 0, 'CASE DATA'!S189+'CASE DATA'!T189)</f>
        <v>0</v>
      </c>
    </row>
    <row r="190" spans="1:6" x14ac:dyDescent="0.25">
      <c r="A190" s="35" t="str">
        <f>IF('CASE DATA'!A190="","",'CASE DATA'!A190)</f>
        <v/>
      </c>
      <c r="B190" s="40" t="str">
        <f>IF('CASE DATA'!A190&lt;&gt;"",IF('CASE DATA'!G190=0, "open charge", 'CASE DATA'!G190),"")</f>
        <v/>
      </c>
      <c r="C190" s="52">
        <f>IF(OR(B190="DISM", B190="JWV", B190="JUV", B190="CIV"), SUM('CASE DATA'!K190:T190), 'CASE DATA'!K190+'CASE DATA'!L190)</f>
        <v>0</v>
      </c>
      <c r="D190" s="53">
        <f>IF(OR(B190="DISM",B190="JWV",B190="JUV",B190="CIV"),0,SUM('CASE DATA'!M190:Q190))</f>
        <v>0</v>
      </c>
      <c r="E190" s="54">
        <f>IF(OR(B190="DISM", B190="JWV", B190="JUV", B190="CIV"), 0, 'CASE DATA'!R190)</f>
        <v>0</v>
      </c>
      <c r="F190" s="55">
        <f>IF(OR(B190="DISM", B190="JWV", B190="JUV", B190="CIV"), 0, 'CASE DATA'!S190+'CASE DATA'!T190)</f>
        <v>0</v>
      </c>
    </row>
    <row r="191" spans="1:6" x14ac:dyDescent="0.25">
      <c r="A191" s="35" t="str">
        <f>IF('CASE DATA'!A191="","",'CASE DATA'!A191)</f>
        <v/>
      </c>
      <c r="B191" s="40" t="str">
        <f>IF('CASE DATA'!A191&lt;&gt;"",IF('CASE DATA'!G191=0, "open charge", 'CASE DATA'!G191),"")</f>
        <v/>
      </c>
      <c r="C191" s="52">
        <f>IF(OR(B191="DISM", B191="JWV", B191="JUV", B191="CIV"), SUM('CASE DATA'!K191:T191), 'CASE DATA'!K191+'CASE DATA'!L191)</f>
        <v>0</v>
      </c>
      <c r="D191" s="53">
        <f>IF(OR(B191="DISM",B191="JWV",B191="JUV",B191="CIV"),0,SUM('CASE DATA'!M191:Q191))</f>
        <v>0</v>
      </c>
      <c r="E191" s="54">
        <f>IF(OR(B191="DISM", B191="JWV", B191="JUV", B191="CIV"), 0, 'CASE DATA'!R191)</f>
        <v>0</v>
      </c>
      <c r="F191" s="55">
        <f>IF(OR(B191="DISM", B191="JWV", B191="JUV", B191="CIV"), 0, 'CASE DATA'!S191+'CASE DATA'!T191)</f>
        <v>0</v>
      </c>
    </row>
    <row r="192" spans="1:6" x14ac:dyDescent="0.25">
      <c r="A192" s="35" t="str">
        <f>IF('CASE DATA'!A192="","",'CASE DATA'!A192)</f>
        <v/>
      </c>
      <c r="B192" s="40" t="str">
        <f>IF('CASE DATA'!A192&lt;&gt;"",IF('CASE DATA'!G192=0, "open charge", 'CASE DATA'!G192),"")</f>
        <v/>
      </c>
      <c r="C192" s="52">
        <f>IF(OR(B192="DISM", B192="JWV", B192="JUV", B192="CIV"), SUM('CASE DATA'!K192:T192), 'CASE DATA'!K192+'CASE DATA'!L192)</f>
        <v>0</v>
      </c>
      <c r="D192" s="53">
        <f>IF(OR(B192="DISM",B192="JWV",B192="JUV",B192="CIV"),0,SUM('CASE DATA'!M192:Q192))</f>
        <v>0</v>
      </c>
      <c r="E192" s="54">
        <f>IF(OR(B192="DISM", B192="JWV", B192="JUV", B192="CIV"), 0, 'CASE DATA'!R192)</f>
        <v>0</v>
      </c>
      <c r="F192" s="55">
        <f>IF(OR(B192="DISM", B192="JWV", B192="JUV", B192="CIV"), 0, 'CASE DATA'!S192+'CASE DATA'!T192)</f>
        <v>0</v>
      </c>
    </row>
    <row r="193" spans="1:6" x14ac:dyDescent="0.25">
      <c r="A193" s="35" t="str">
        <f>IF('CASE DATA'!A193="","",'CASE DATA'!A193)</f>
        <v/>
      </c>
      <c r="B193" s="40" t="str">
        <f>IF('CASE DATA'!A193&lt;&gt;"",IF('CASE DATA'!G193=0, "open charge", 'CASE DATA'!G193),"")</f>
        <v/>
      </c>
      <c r="C193" s="52">
        <f>IF(OR(B193="DISM", B193="JWV", B193="JUV", B193="CIV"), SUM('CASE DATA'!K193:T193), 'CASE DATA'!K193+'CASE DATA'!L193)</f>
        <v>0</v>
      </c>
      <c r="D193" s="53">
        <f>IF(OR(B193="DISM",B193="JWV",B193="JUV",B193="CIV"),0,SUM('CASE DATA'!M193:Q193))</f>
        <v>0</v>
      </c>
      <c r="E193" s="54">
        <f>IF(OR(B193="DISM", B193="JWV", B193="JUV", B193="CIV"), 0, 'CASE DATA'!R193)</f>
        <v>0</v>
      </c>
      <c r="F193" s="55">
        <f>IF(OR(B193="DISM", B193="JWV", B193="JUV", B193="CIV"), 0, 'CASE DATA'!S193+'CASE DATA'!T193)</f>
        <v>0</v>
      </c>
    </row>
    <row r="194" spans="1:6" x14ac:dyDescent="0.25">
      <c r="A194" s="35" t="str">
        <f>IF('CASE DATA'!A194="","",'CASE DATA'!A194)</f>
        <v/>
      </c>
      <c r="B194" s="40" t="str">
        <f>IF('CASE DATA'!A194&lt;&gt;"",IF('CASE DATA'!G194=0, "open charge", 'CASE DATA'!G194),"")</f>
        <v/>
      </c>
      <c r="C194" s="52">
        <f>IF(OR(B194="DISM", B194="JWV", B194="JUV", B194="CIV"), SUM('CASE DATA'!K194:T194), 'CASE DATA'!K194+'CASE DATA'!L194)</f>
        <v>0</v>
      </c>
      <c r="D194" s="53">
        <f>IF(OR(B194="DISM",B194="JWV",B194="JUV",B194="CIV"),0,SUM('CASE DATA'!M194:Q194))</f>
        <v>0</v>
      </c>
      <c r="E194" s="54">
        <f>IF(OR(B194="DISM", B194="JWV", B194="JUV", B194="CIV"), 0, 'CASE DATA'!R194)</f>
        <v>0</v>
      </c>
      <c r="F194" s="55">
        <f>IF(OR(B194="DISM", B194="JWV", B194="JUV", B194="CIV"), 0, 'CASE DATA'!S194+'CASE DATA'!T194)</f>
        <v>0</v>
      </c>
    </row>
    <row r="195" spans="1:6" x14ac:dyDescent="0.25">
      <c r="A195" s="35" t="str">
        <f>IF('CASE DATA'!A195="","",'CASE DATA'!A195)</f>
        <v/>
      </c>
      <c r="B195" s="40" t="str">
        <f>IF('CASE DATA'!A195&lt;&gt;"",IF('CASE DATA'!G195=0, "open charge", 'CASE DATA'!G195),"")</f>
        <v/>
      </c>
      <c r="C195" s="52">
        <f>IF(OR(B195="DISM", B195="JWV", B195="JUV", B195="CIV"), SUM('CASE DATA'!K195:T195), 'CASE DATA'!K195+'CASE DATA'!L195)</f>
        <v>0</v>
      </c>
      <c r="D195" s="53">
        <f>IF(OR(B195="DISM",B195="JWV",B195="JUV",B195="CIV"),0,SUM('CASE DATA'!M195:Q195))</f>
        <v>0</v>
      </c>
      <c r="E195" s="54">
        <f>IF(OR(B195="DISM", B195="JWV", B195="JUV", B195="CIV"), 0, 'CASE DATA'!R195)</f>
        <v>0</v>
      </c>
      <c r="F195" s="55">
        <f>IF(OR(B195="DISM", B195="JWV", B195="JUV", B195="CIV"), 0, 'CASE DATA'!S195+'CASE DATA'!T195)</f>
        <v>0</v>
      </c>
    </row>
    <row r="196" spans="1:6" x14ac:dyDescent="0.25">
      <c r="A196" s="35" t="str">
        <f>IF('CASE DATA'!A196="","",'CASE DATA'!A196)</f>
        <v/>
      </c>
      <c r="B196" s="40" t="str">
        <f>IF('CASE DATA'!A196&lt;&gt;"",IF('CASE DATA'!G196=0, "open charge", 'CASE DATA'!G196),"")</f>
        <v/>
      </c>
      <c r="C196" s="52">
        <f>IF(OR(B196="DISM", B196="JWV", B196="JUV", B196="CIV"), SUM('CASE DATA'!K196:T196), 'CASE DATA'!K196+'CASE DATA'!L196)</f>
        <v>0</v>
      </c>
      <c r="D196" s="53">
        <f>IF(OR(B196="DISM",B196="JWV",B196="JUV",B196="CIV"),0,SUM('CASE DATA'!M196:Q196))</f>
        <v>0</v>
      </c>
      <c r="E196" s="54">
        <f>IF(OR(B196="DISM", B196="JWV", B196="JUV", B196="CIV"), 0, 'CASE DATA'!R196)</f>
        <v>0</v>
      </c>
      <c r="F196" s="55">
        <f>IF(OR(B196="DISM", B196="JWV", B196="JUV", B196="CIV"), 0, 'CASE DATA'!S196+'CASE DATA'!T196)</f>
        <v>0</v>
      </c>
    </row>
    <row r="197" spans="1:6" x14ac:dyDescent="0.25">
      <c r="A197" s="35" t="str">
        <f>IF('CASE DATA'!A197="","",'CASE DATA'!A197)</f>
        <v/>
      </c>
      <c r="B197" s="40" t="str">
        <f>IF('CASE DATA'!A197&lt;&gt;"",IF('CASE DATA'!G197=0, "open charge", 'CASE DATA'!G197),"")</f>
        <v/>
      </c>
      <c r="C197" s="52">
        <f>IF(OR(B197="DISM", B197="JWV", B197="JUV", B197="CIV"), SUM('CASE DATA'!K197:T197), 'CASE DATA'!K197+'CASE DATA'!L197)</f>
        <v>0</v>
      </c>
      <c r="D197" s="53">
        <f>IF(OR(B197="DISM",B197="JWV",B197="JUV",B197="CIV"),0,SUM('CASE DATA'!M197:Q197))</f>
        <v>0</v>
      </c>
      <c r="E197" s="54">
        <f>IF(OR(B197="DISM", B197="JWV", B197="JUV", B197="CIV"), 0, 'CASE DATA'!R197)</f>
        <v>0</v>
      </c>
      <c r="F197" s="55">
        <f>IF(OR(B197="DISM", B197="JWV", B197="JUV", B197="CIV"), 0, 'CASE DATA'!S197+'CASE DATA'!T197)</f>
        <v>0</v>
      </c>
    </row>
    <row r="198" spans="1:6" x14ac:dyDescent="0.25">
      <c r="A198" s="35" t="str">
        <f>IF('CASE DATA'!A198="","",'CASE DATA'!A198)</f>
        <v/>
      </c>
      <c r="B198" s="40" t="str">
        <f>IF('CASE DATA'!A198&lt;&gt;"",IF('CASE DATA'!G198=0, "open charge", 'CASE DATA'!G198),"")</f>
        <v/>
      </c>
      <c r="C198" s="52">
        <f>IF(OR(B198="DISM", B198="JWV", B198="JUV", B198="CIV"), SUM('CASE DATA'!K198:T198), 'CASE DATA'!K198+'CASE DATA'!L198)</f>
        <v>0</v>
      </c>
      <c r="D198" s="53">
        <f>IF(OR(B198="DISM",B198="JWV",B198="JUV",B198="CIV"),0,SUM('CASE DATA'!M198:Q198))</f>
        <v>0</v>
      </c>
      <c r="E198" s="54">
        <f>IF(OR(B198="DISM", B198="JWV", B198="JUV", B198="CIV"), 0, 'CASE DATA'!R198)</f>
        <v>0</v>
      </c>
      <c r="F198" s="55">
        <f>IF(OR(B198="DISM", B198="JWV", B198="JUV", B198="CIV"), 0, 'CASE DATA'!S198+'CASE DATA'!T198)</f>
        <v>0</v>
      </c>
    </row>
    <row r="199" spans="1:6" x14ac:dyDescent="0.25">
      <c r="A199" s="35" t="str">
        <f>IF('CASE DATA'!A199="","",'CASE DATA'!A199)</f>
        <v/>
      </c>
      <c r="B199" s="40" t="str">
        <f>IF('CASE DATA'!A199&lt;&gt;"",IF('CASE DATA'!G199=0, "open charge", 'CASE DATA'!G199),"")</f>
        <v/>
      </c>
      <c r="C199" s="52">
        <f>IF(OR(B199="DISM", B199="JWV", B199="JUV", B199="CIV"), SUM('CASE DATA'!K199:T199), 'CASE DATA'!K199+'CASE DATA'!L199)</f>
        <v>0</v>
      </c>
      <c r="D199" s="53">
        <f>IF(OR(B199="DISM",B199="JWV",B199="JUV",B199="CIV"),0,SUM('CASE DATA'!M199:Q199))</f>
        <v>0</v>
      </c>
      <c r="E199" s="54">
        <f>IF(OR(B199="DISM", B199="JWV", B199="JUV", B199="CIV"), 0, 'CASE DATA'!R199)</f>
        <v>0</v>
      </c>
      <c r="F199" s="55">
        <f>IF(OR(B199="DISM", B199="JWV", B199="JUV", B199="CIV"), 0, 'CASE DATA'!S199+'CASE DATA'!T199)</f>
        <v>0</v>
      </c>
    </row>
    <row r="200" spans="1:6" x14ac:dyDescent="0.25">
      <c r="A200" s="35" t="str">
        <f>IF('CASE DATA'!A200="","",'CASE DATA'!A200)</f>
        <v/>
      </c>
      <c r="B200" s="40" t="str">
        <f>IF('CASE DATA'!A200&lt;&gt;"",IF('CASE DATA'!G200=0, "open charge", 'CASE DATA'!G200),"")</f>
        <v/>
      </c>
      <c r="C200" s="52">
        <f>IF(OR(B200="DISM", B200="JWV", B200="JUV", B200="CIV"), SUM('CASE DATA'!K200:T200), 'CASE DATA'!K200+'CASE DATA'!L200)</f>
        <v>0</v>
      </c>
      <c r="D200" s="53">
        <f>IF(OR(B200="DISM",B200="JWV",B200="JUV",B200="CIV"),0,SUM('CASE DATA'!M200:Q200))</f>
        <v>0</v>
      </c>
      <c r="E200" s="54">
        <f>IF(OR(B200="DISM", B200="JWV", B200="JUV", B200="CIV"), 0, 'CASE DATA'!R200)</f>
        <v>0</v>
      </c>
      <c r="F200" s="55">
        <f>IF(OR(B200="DISM", B200="JWV", B200="JUV", B200="CIV"), 0, 'CASE DATA'!S200+'CASE DATA'!T200)</f>
        <v>0</v>
      </c>
    </row>
    <row r="201" spans="1:6" x14ac:dyDescent="0.25">
      <c r="A201" s="35" t="str">
        <f>IF('CASE DATA'!A201="","",'CASE DATA'!A201)</f>
        <v/>
      </c>
      <c r="B201" s="40" t="str">
        <f>IF('CASE DATA'!A201&lt;&gt;"",IF('CASE DATA'!G201=0, "open charge", 'CASE DATA'!G201),"")</f>
        <v/>
      </c>
      <c r="C201" s="52">
        <f>IF(OR(B201="DISM", B201="JWV", B201="JUV", B201="CIV"), SUM('CASE DATA'!K201:T201), 'CASE DATA'!K201+'CASE DATA'!L201)</f>
        <v>0</v>
      </c>
      <c r="D201" s="53">
        <f>IF(OR(B201="DISM",B201="JWV",B201="JUV",B201="CIV"),0,SUM('CASE DATA'!M201:Q201))</f>
        <v>0</v>
      </c>
      <c r="E201" s="54">
        <f>IF(OR(B201="DISM", B201="JWV", B201="JUV", B201="CIV"), 0, 'CASE DATA'!R201)</f>
        <v>0</v>
      </c>
      <c r="F201" s="55">
        <f>IF(OR(B201="DISM", B201="JWV", B201="JUV", B201="CIV"), 0, 'CASE DATA'!S201+'CASE DATA'!T201)</f>
        <v>0</v>
      </c>
    </row>
  </sheetData>
  <autoFilter ref="A3:G3" xr:uid="{00000000-0009-0000-0000-000003000000}"/>
  <mergeCells count="2">
    <mergeCell ref="A1:B1"/>
    <mergeCell ref="B2:F2"/>
  </mergeCell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15" activePane="bottomLeft" state="frozen"/>
      <selection pane="bottomLeft" activeCell="A2" sqref="A2:D41"/>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56" t="s">
        <v>41</v>
      </c>
      <c r="B1" s="57" t="s">
        <v>70</v>
      </c>
      <c r="C1" s="58" t="s">
        <v>71</v>
      </c>
      <c r="D1" s="58" t="s">
        <v>72</v>
      </c>
    </row>
    <row r="2" spans="1:5" x14ac:dyDescent="0.25">
      <c r="A2" s="35" t="str">
        <f>IF('CASE DATA'!A6="","",'CASE DATA'!A6)</f>
        <v/>
      </c>
      <c r="B2" s="35">
        <f>'CASE DATA'!B6</f>
        <v>0</v>
      </c>
      <c r="C2" s="35" t="str">
        <f>IF(SUM('CASE DATA'!K6:T6)&gt;0,IF(OR('CASE DATA'!G6="GTR",'CASE DATA'!G6="GPL",'CASE DATA'!G6="DEF"),IF('CASE DATA'!H6="YES","License &amp; registration","Registration only"),"Z - Neither license nor registration"),"Z - no debt")</f>
        <v>Z - no debt</v>
      </c>
      <c r="D2" s="59">
        <f>SUM('CASE DATA'!K6:T6)</f>
        <v>0</v>
      </c>
      <c r="E2" s="17"/>
    </row>
    <row r="3" spans="1:5" x14ac:dyDescent="0.25">
      <c r="A3" s="35" t="str">
        <f>IF('CASE DATA'!A7="","",'CASE DATA'!A7)</f>
        <v/>
      </c>
      <c r="B3" s="35">
        <f>'CASE DATA'!B7</f>
        <v>0</v>
      </c>
      <c r="C3" s="35" t="str">
        <f>IF(SUM('CASE DATA'!K7:T7)&gt;0,IF(OR('CASE DATA'!G7="GTR",'CASE DATA'!G7="GPL",'CASE DATA'!G7="DEF"),IF('CASE DATA'!H7="YES","License &amp; registration","Registration only"),"Z - Neither license nor registration"),"Z - no debt")</f>
        <v>Z - no debt</v>
      </c>
      <c r="D3" s="59">
        <f>SUM('CASE DATA'!K7:T7)</f>
        <v>0</v>
      </c>
      <c r="E3" s="17"/>
    </row>
    <row r="4" spans="1:5" x14ac:dyDescent="0.25">
      <c r="A4" s="35" t="str">
        <f>IF('CASE DATA'!A10="","",'CASE DATA'!A10)</f>
        <v/>
      </c>
      <c r="B4" s="35">
        <f>'CASE DATA'!B10</f>
        <v>0</v>
      </c>
      <c r="C4" s="35" t="str">
        <f>IF(SUM('CASE DATA'!K10:T10)&gt;0,IF(OR('CASE DATA'!G10="GTR",'CASE DATA'!G10="GPL",'CASE DATA'!G10="DEF"),IF('CASE DATA'!H10="YES","License &amp; registration","Registration only"),"Z - Neither license nor registration"),"Z - no debt")</f>
        <v>Z - no debt</v>
      </c>
      <c r="D4" s="59">
        <f>SUM('CASE DATA'!K10:T10)</f>
        <v>0</v>
      </c>
      <c r="E4" s="17"/>
    </row>
    <row r="5" spans="1:5" x14ac:dyDescent="0.25">
      <c r="A5" s="35" t="str">
        <f>IF('CASE DATA'!A12="","",'CASE DATA'!A12)</f>
        <v/>
      </c>
      <c r="B5" s="35">
        <f>'CASE DATA'!B12</f>
        <v>0</v>
      </c>
      <c r="C5" s="35" t="str">
        <f>IF(SUM('CASE DATA'!K12:T12)&gt;0,IF(OR('CASE DATA'!G12="GTR",'CASE DATA'!G12="GPL",'CASE DATA'!G12="DEF"),IF('CASE DATA'!H12="YES","License &amp; registration","Registration only"),"Z - Neither license nor registration"),"Z - no debt")</f>
        <v>Z - no debt</v>
      </c>
      <c r="D5" s="59">
        <f>SUM('CASE DATA'!K12:T12)</f>
        <v>0</v>
      </c>
      <c r="E5" s="17"/>
    </row>
    <row r="6" spans="1:5" x14ac:dyDescent="0.25">
      <c r="A6" s="35" t="str">
        <f>IF('CASE DATA'!A13="","",'CASE DATA'!A13)</f>
        <v/>
      </c>
      <c r="B6" s="35">
        <f>'CASE DATA'!B13</f>
        <v>0</v>
      </c>
      <c r="C6" s="35" t="str">
        <f>IF(SUM('CASE DATA'!K13:T13)&gt;0,IF(OR('CASE DATA'!G13="GTR",'CASE DATA'!G13="GPL",'CASE DATA'!G13="DEF"),IF('CASE DATA'!H13="YES","License &amp; registration","Registration only"),"Z - Neither license nor registration"),"Z - no debt")</f>
        <v>Z - no debt</v>
      </c>
      <c r="D6" s="59">
        <f>SUM('CASE DATA'!K13:T13)</f>
        <v>0</v>
      </c>
      <c r="E6" s="17"/>
    </row>
    <row r="7" spans="1:5" x14ac:dyDescent="0.25">
      <c r="A7" s="35" t="str">
        <f>IF('CASE DATA'!A22="","",'CASE DATA'!A22)</f>
        <v/>
      </c>
      <c r="B7" s="35">
        <f>'CASE DATA'!B22</f>
        <v>0</v>
      </c>
      <c r="C7" s="35" t="str">
        <f>IF(SUM('CASE DATA'!K22:T22)&gt;0,IF(OR('CASE DATA'!G22="GTR",'CASE DATA'!G22="GPL",'CASE DATA'!G22="DEF"),IF('CASE DATA'!H22="YES","License &amp; registration","Registration only"),"Z - Neither license nor registration"),"Z - no debt")</f>
        <v>Z - no debt</v>
      </c>
      <c r="D7" s="59">
        <f>SUM('CASE DATA'!K22:T22)</f>
        <v>0</v>
      </c>
      <c r="E7" s="17"/>
    </row>
    <row r="8" spans="1:5" x14ac:dyDescent="0.25">
      <c r="A8" s="35" t="str">
        <f>IF('CASE DATA'!A24="","",'CASE DATA'!A24)</f>
        <v/>
      </c>
      <c r="B8" s="35">
        <f>'CASE DATA'!B24</f>
        <v>0</v>
      </c>
      <c r="C8" s="35" t="str">
        <f>IF(SUM('CASE DATA'!K24:T24)&gt;0,IF(OR('CASE DATA'!G24="GTR",'CASE DATA'!G24="GPL",'CASE DATA'!G24="DEF"),IF('CASE DATA'!H24="YES","License &amp; registration","Registration only"),"Z - Neither license nor registration"),"Z - no debt")</f>
        <v>Z - no debt</v>
      </c>
      <c r="D8" s="59">
        <f>SUM('CASE DATA'!K24:T24)</f>
        <v>0</v>
      </c>
      <c r="E8" s="17"/>
    </row>
    <row r="9" spans="1:5" x14ac:dyDescent="0.25">
      <c r="A9" s="35" t="str">
        <f>IF('CASE DATA'!A30="","",'CASE DATA'!A30)</f>
        <v/>
      </c>
      <c r="B9" s="35">
        <f>'CASE DATA'!B30</f>
        <v>0</v>
      </c>
      <c r="C9" s="35" t="str">
        <f>IF(SUM('CASE DATA'!K30:T30)&gt;0,IF(OR('CASE DATA'!G30="GTR",'CASE DATA'!G30="GPL",'CASE DATA'!G30="DEF"),IF('CASE DATA'!H30="YES","License &amp; registration","Registration only"),"Z - Neither license nor registration"),"Z - no debt")</f>
        <v>Z - no debt</v>
      </c>
      <c r="D9" s="59">
        <f>SUM('CASE DATA'!K30:T30)</f>
        <v>0</v>
      </c>
      <c r="E9" s="17"/>
    </row>
    <row r="10" spans="1:5" x14ac:dyDescent="0.25">
      <c r="A10" s="35" t="str">
        <f>IF('CASE DATA'!A31="","",'CASE DATA'!A31)</f>
        <v/>
      </c>
      <c r="B10" s="35">
        <f>'CASE DATA'!B31</f>
        <v>0</v>
      </c>
      <c r="C10" s="35" t="str">
        <f>IF(SUM('CASE DATA'!K31:T31)&gt;0,IF(OR('CASE DATA'!G31="GTR",'CASE DATA'!G31="GPL",'CASE DATA'!G31="DEF"),IF('CASE DATA'!H31="YES","License &amp; registration","Registration only"),"Z - Neither license nor registration"),"Z - no debt")</f>
        <v>Z - no debt</v>
      </c>
      <c r="D10" s="59">
        <f>SUM('CASE DATA'!K31:T31)</f>
        <v>0</v>
      </c>
      <c r="E10" s="17"/>
    </row>
    <row r="11" spans="1:5" x14ac:dyDescent="0.25">
      <c r="A11" s="35" t="str">
        <f>IF('CASE DATA'!A34="","",'CASE DATA'!A34)</f>
        <v/>
      </c>
      <c r="B11" s="35">
        <f>'CASE DATA'!B34</f>
        <v>0</v>
      </c>
      <c r="C11" s="35" t="str">
        <f>IF(SUM('CASE DATA'!K34:T34)&gt;0,IF(OR('CASE DATA'!G34="GTR",'CASE DATA'!G34="GPL",'CASE DATA'!G34="DEF"),IF('CASE DATA'!H34="YES","License &amp; registration","Registration only"),"Z - Neither license nor registration"),"Z - no debt")</f>
        <v>Z - no debt</v>
      </c>
      <c r="D11" s="59">
        <f>SUM('CASE DATA'!K34:T34)</f>
        <v>0</v>
      </c>
      <c r="E11" s="17"/>
    </row>
    <row r="12" spans="1:5" x14ac:dyDescent="0.25">
      <c r="A12" s="35" t="str">
        <f>IF('CASE DATA'!A52="","",'CASE DATA'!A52)</f>
        <v/>
      </c>
      <c r="B12" s="35">
        <f>'CASE DATA'!B52</f>
        <v>0</v>
      </c>
      <c r="C12" s="35" t="str">
        <f>IF(SUM('CASE DATA'!K52:T52)&gt;0,IF(OR('CASE DATA'!G52="GTR",'CASE DATA'!G52="GPL",'CASE DATA'!G52="DEF"),IF('CASE DATA'!H52="YES","License &amp; registration","Registration only"),"Z - Neither license nor registration"),"Z - no debt")</f>
        <v>Z - no debt</v>
      </c>
      <c r="D12" s="59">
        <f>SUM('CASE DATA'!K52:T52)</f>
        <v>0</v>
      </c>
      <c r="E12" s="17"/>
    </row>
    <row r="13" spans="1:5" x14ac:dyDescent="0.25">
      <c r="A13" s="35" t="str">
        <f>IF('CASE DATA'!A68="","",'CASE DATA'!A68)</f>
        <v/>
      </c>
      <c r="B13" s="35">
        <f>'CASE DATA'!B68</f>
        <v>0</v>
      </c>
      <c r="C13" s="35" t="str">
        <f>IF(SUM('CASE DATA'!K68:T68)&gt;0,IF(OR('CASE DATA'!G68="GTR",'CASE DATA'!G68="GPL",'CASE DATA'!G68="DEF"),IF('CASE DATA'!H68="YES","License &amp; registration","Registration only"),"Z - Neither license nor registration"),"Z - no debt")</f>
        <v>Z - no debt</v>
      </c>
      <c r="D13" s="59">
        <f>SUM('CASE DATA'!K68:T68)</f>
        <v>0</v>
      </c>
      <c r="E13" s="17"/>
    </row>
    <row r="14" spans="1:5" x14ac:dyDescent="0.25">
      <c r="A14" s="35" t="str">
        <f>IF('CASE DATA'!A75="","",'CASE DATA'!A75)</f>
        <v/>
      </c>
      <c r="B14" s="35">
        <f>'CASE DATA'!B75</f>
        <v>0</v>
      </c>
      <c r="C14" s="35" t="str">
        <f>IF(SUM('CASE DATA'!K75:T75)&gt;0,IF(OR('CASE DATA'!G75="GTR",'CASE DATA'!G75="GPL",'CASE DATA'!G75="DEF"),IF('CASE DATA'!H75="YES","License &amp; registration","Registration only"),"Z - Neither license nor registration"),"Z - no debt")</f>
        <v>Z - no debt</v>
      </c>
      <c r="D14" s="59">
        <f>SUM('CASE DATA'!K75:T75)</f>
        <v>0</v>
      </c>
      <c r="E14" s="17"/>
    </row>
    <row r="15" spans="1:5" x14ac:dyDescent="0.25">
      <c r="A15" s="35" t="str">
        <f>IF('CASE DATA'!A80="","",'CASE DATA'!A80)</f>
        <v/>
      </c>
      <c r="B15" s="35">
        <f>'CASE DATA'!B80</f>
        <v>0</v>
      </c>
      <c r="C15" s="35" t="str">
        <f>IF(SUM('CASE DATA'!K80:T80)&gt;0,IF(OR('CASE DATA'!G80="GTR",'CASE DATA'!G80="GPL",'CASE DATA'!G80="DEF"),IF('CASE DATA'!H80="YES","License &amp; registration","Registration only"),"Z - Neither license nor registration"),"Z - no debt")</f>
        <v>Z - no debt</v>
      </c>
      <c r="D15" s="59">
        <f>SUM('CASE DATA'!K80:T80)</f>
        <v>0</v>
      </c>
      <c r="E15" s="17"/>
    </row>
    <row r="16" spans="1:5" x14ac:dyDescent="0.25">
      <c r="A16" s="35" t="str">
        <f>IF('CASE DATA'!A83="","",'CASE DATA'!A83)</f>
        <v/>
      </c>
      <c r="B16" s="35">
        <f>'CASE DATA'!B83</f>
        <v>0</v>
      </c>
      <c r="C16" s="35" t="str">
        <f>IF(SUM('CASE DATA'!K83:T83)&gt;0,IF(OR('CASE DATA'!G83="GTR",'CASE DATA'!G83="GPL",'CASE DATA'!G83="DEF"),IF('CASE DATA'!H83="YES","License &amp; registration","Registration only"),"Z - Neither license nor registration"),"Z - no debt")</f>
        <v>Z - no debt</v>
      </c>
      <c r="D16" s="59">
        <f>SUM('CASE DATA'!K83:T83)</f>
        <v>0</v>
      </c>
      <c r="E16" s="17"/>
    </row>
    <row r="17" spans="1:5" x14ac:dyDescent="0.25">
      <c r="A17" s="35" t="str">
        <f>IF('CASE DATA'!A86="","",'CASE DATA'!A86)</f>
        <v/>
      </c>
      <c r="B17" s="35">
        <f>'CASE DATA'!B86</f>
        <v>0</v>
      </c>
      <c r="C17" s="35" t="str">
        <f>IF(SUM('CASE DATA'!K86:T86)&gt;0,IF(OR('CASE DATA'!G86="GTR",'CASE DATA'!G86="GPL",'CASE DATA'!G86="DEF"),IF('CASE DATA'!H86="YES","License &amp; registration","Registration only"),"Z - Neither license nor registration"),"Z - no debt")</f>
        <v>Z - no debt</v>
      </c>
      <c r="D17" s="59">
        <f>SUM('CASE DATA'!K86:T86)</f>
        <v>0</v>
      </c>
      <c r="E17" s="17"/>
    </row>
    <row r="18" spans="1:5" x14ac:dyDescent="0.25">
      <c r="A18" s="35" t="str">
        <f>IF('CASE DATA'!A87="","",'CASE DATA'!A87)</f>
        <v/>
      </c>
      <c r="B18" s="35">
        <f>'CASE DATA'!B87</f>
        <v>0</v>
      </c>
      <c r="C18" s="35" t="str">
        <f>IF(SUM('CASE DATA'!K87:T87)&gt;0,IF(OR('CASE DATA'!G87="GTR",'CASE DATA'!G87="GPL",'CASE DATA'!G87="DEF"),IF('CASE DATA'!H87="YES","License &amp; registration","Registration only"),"Z - Neither license nor registration"),"Z - no debt")</f>
        <v>Z - no debt</v>
      </c>
      <c r="D18" s="59">
        <f>SUM('CASE DATA'!K87:T87)</f>
        <v>0</v>
      </c>
      <c r="E18" s="17"/>
    </row>
    <row r="19" spans="1:5" x14ac:dyDescent="0.25">
      <c r="A19" s="35" t="str">
        <f>IF('CASE DATA'!A88="","",'CASE DATA'!A88)</f>
        <v/>
      </c>
      <c r="B19" s="35">
        <f>'CASE DATA'!B88</f>
        <v>0</v>
      </c>
      <c r="C19" s="35" t="str">
        <f>IF(SUM('CASE DATA'!K88:T88)&gt;0,IF(OR('CASE DATA'!G88="GTR",'CASE DATA'!G88="GPL",'CASE DATA'!G88="DEF"),IF('CASE DATA'!H88="YES","License &amp; registration","Registration only"),"Z - Neither license nor registration"),"Z - no debt")</f>
        <v>Z - no debt</v>
      </c>
      <c r="D19" s="59">
        <f>SUM('CASE DATA'!K88:T88)</f>
        <v>0</v>
      </c>
      <c r="E19" s="17"/>
    </row>
    <row r="20" spans="1:5" x14ac:dyDescent="0.25">
      <c r="A20" s="35" t="str">
        <f>IF('CASE DATA'!A90="","",'CASE DATA'!A90)</f>
        <v/>
      </c>
      <c r="B20" s="35">
        <f>'CASE DATA'!B90</f>
        <v>0</v>
      </c>
      <c r="C20" s="35" t="str">
        <f>IF(SUM('CASE DATA'!K90:T90)&gt;0,IF(OR('CASE DATA'!G90="GTR",'CASE DATA'!G90="GPL",'CASE DATA'!G90="DEF"),IF('CASE DATA'!H90="YES","License &amp; registration","Registration only"),"Z - Neither license nor registration"),"Z - no debt")</f>
        <v>Z - no debt</v>
      </c>
      <c r="D20" s="59">
        <f>SUM('CASE DATA'!K90:T90)</f>
        <v>0</v>
      </c>
      <c r="E20" s="17"/>
    </row>
    <row r="21" spans="1:5" x14ac:dyDescent="0.25">
      <c r="A21" s="35" t="str">
        <f>IF('CASE DATA'!A91="","",'CASE DATA'!A91)</f>
        <v/>
      </c>
      <c r="B21" s="35">
        <f>'CASE DATA'!B91</f>
        <v>0</v>
      </c>
      <c r="C21" s="35" t="str">
        <f>IF(SUM('CASE DATA'!K91:T91)&gt;0,IF(OR('CASE DATA'!G91="GTR",'CASE DATA'!G91="GPL",'CASE DATA'!G91="DEF"),IF('CASE DATA'!H91="YES","License &amp; registration","Registration only"),"Z - Neither license nor registration"),"Z - no debt")</f>
        <v>Z - no debt</v>
      </c>
      <c r="D21" s="59">
        <f>SUM('CASE DATA'!K91:T91)</f>
        <v>0</v>
      </c>
      <c r="E21" s="17"/>
    </row>
    <row r="22" spans="1:5" x14ac:dyDescent="0.25">
      <c r="A22" s="35" t="str">
        <f>IF('CASE DATA'!A8="","",'CASE DATA'!A8)</f>
        <v/>
      </c>
      <c r="B22" s="35">
        <f>'CASE DATA'!B8</f>
        <v>0</v>
      </c>
      <c r="C22" s="35" t="str">
        <f>IF(SUM('CASE DATA'!K8:T8)&gt;0,IF(OR('CASE DATA'!G8="GTR",'CASE DATA'!G8="GPL",'CASE DATA'!G8="DEF"),IF('CASE DATA'!H8="YES","License &amp; registration","Registration only"),"Z - Neither license nor registration"),"Z - no debt")</f>
        <v>Z - no debt</v>
      </c>
      <c r="D22" s="59">
        <f>SUM('CASE DATA'!K8:T8)</f>
        <v>0</v>
      </c>
      <c r="E22" s="17"/>
    </row>
    <row r="23" spans="1:5" x14ac:dyDescent="0.25">
      <c r="A23" s="35" t="str">
        <f>IF('CASE DATA'!A11="","",'CASE DATA'!A11)</f>
        <v/>
      </c>
      <c r="B23" s="35">
        <f>'CASE DATA'!B11</f>
        <v>0</v>
      </c>
      <c r="C23" s="35" t="str">
        <f>IF(SUM('CASE DATA'!K11:T11)&gt;0,IF(OR('CASE DATA'!G11="GTR",'CASE DATA'!G11="GPL",'CASE DATA'!G11="DEF"),IF('CASE DATA'!H11="YES","License &amp; registration","Registration only"),"Z - Neither license nor registration"),"Z - no debt")</f>
        <v>Z - no debt</v>
      </c>
      <c r="D23" s="59">
        <f>SUM('CASE DATA'!K11:T11)</f>
        <v>0</v>
      </c>
      <c r="E23" s="17"/>
    </row>
    <row r="24" spans="1:5" x14ac:dyDescent="0.25">
      <c r="A24" s="35" t="str">
        <f>IF('CASE DATA'!A14="","",'CASE DATA'!A14)</f>
        <v/>
      </c>
      <c r="B24" s="35">
        <f>'CASE DATA'!B14</f>
        <v>0</v>
      </c>
      <c r="C24" s="35" t="str">
        <f>IF(SUM('CASE DATA'!K14:T14)&gt;0,IF(OR('CASE DATA'!G14="GTR",'CASE DATA'!G14="GPL",'CASE DATA'!G14="DEF"),IF('CASE DATA'!H14="YES","License &amp; registration","Registration only"),"Z - Neither license nor registration"),"Z - no debt")</f>
        <v>Z - no debt</v>
      </c>
      <c r="D24" s="59">
        <f>SUM('CASE DATA'!K14:T14)</f>
        <v>0</v>
      </c>
      <c r="E24" s="17"/>
    </row>
    <row r="25" spans="1:5" x14ac:dyDescent="0.25">
      <c r="A25" s="35" t="str">
        <f>IF('CASE DATA'!A16="","",'CASE DATA'!A16)</f>
        <v/>
      </c>
      <c r="B25" s="35">
        <f>'CASE DATA'!B16</f>
        <v>0</v>
      </c>
      <c r="C25" s="35" t="str">
        <f>IF(SUM('CASE DATA'!K16:T16)&gt;0,IF(OR('CASE DATA'!G16="GTR",'CASE DATA'!G16="GPL",'CASE DATA'!G16="DEF"),IF('CASE DATA'!H16="YES","License &amp; registration","Registration only"),"Z - Neither license nor registration"),"Z - no debt")</f>
        <v>Z - no debt</v>
      </c>
      <c r="D25" s="59">
        <f>SUM('CASE DATA'!K16:T16)</f>
        <v>0</v>
      </c>
      <c r="E25" s="17"/>
    </row>
    <row r="26" spans="1:5" x14ac:dyDescent="0.25">
      <c r="A26" s="35" t="str">
        <f>IF('CASE DATA'!A23="","",'CASE DATA'!A23)</f>
        <v/>
      </c>
      <c r="B26" s="35">
        <f>'CASE DATA'!B23</f>
        <v>0</v>
      </c>
      <c r="C26" s="35" t="str">
        <f>IF(SUM('CASE DATA'!K23:T23)&gt;0,IF(OR('CASE DATA'!G23="GTR",'CASE DATA'!G23="GPL",'CASE DATA'!G23="DEF"),IF('CASE DATA'!H23="YES","License &amp; registration","Registration only"),"Z - Neither license nor registration"),"Z - no debt")</f>
        <v>Z - no debt</v>
      </c>
      <c r="D26" s="59">
        <f>SUM('CASE DATA'!K23:T23)</f>
        <v>0</v>
      </c>
      <c r="E26" s="17"/>
    </row>
    <row r="27" spans="1:5" x14ac:dyDescent="0.25">
      <c r="A27" s="35" t="str">
        <f>IF('CASE DATA'!A55="","",'CASE DATA'!A55)</f>
        <v/>
      </c>
      <c r="B27" s="35">
        <f>'CASE DATA'!B55</f>
        <v>0</v>
      </c>
      <c r="C27" s="35" t="str">
        <f>IF(SUM('CASE DATA'!K55:T55)&gt;0,IF(OR('CASE DATA'!G55="GTR",'CASE DATA'!G55="GPL",'CASE DATA'!G55="DEF"),IF('CASE DATA'!H55="YES","License &amp; registration","Registration only"),"Z - Neither license nor registration"),"Z - no debt")</f>
        <v>Z - no debt</v>
      </c>
      <c r="D27" s="59">
        <f>SUM('CASE DATA'!K55:T55)</f>
        <v>0</v>
      </c>
      <c r="E27" s="17"/>
    </row>
    <row r="28" spans="1:5" x14ac:dyDescent="0.25">
      <c r="A28" s="35" t="str">
        <f>IF('CASE DATA'!A56="","",'CASE DATA'!A56)</f>
        <v/>
      </c>
      <c r="B28" s="35">
        <f>'CASE DATA'!B56</f>
        <v>0</v>
      </c>
      <c r="C28" s="35" t="str">
        <f>IF(SUM('CASE DATA'!K56:T56)&gt;0,IF(OR('CASE DATA'!G56="GTR",'CASE DATA'!G56="GPL",'CASE DATA'!G56="DEF"),IF('CASE DATA'!H56="YES","License &amp; registration","Registration only"),"Z - Neither license nor registration"),"Z - no debt")</f>
        <v>Z - no debt</v>
      </c>
      <c r="D28" s="59">
        <f>SUM('CASE DATA'!K56:T56)</f>
        <v>0</v>
      </c>
      <c r="E28" s="17"/>
    </row>
    <row r="29" spans="1:5" x14ac:dyDescent="0.25">
      <c r="A29" s="35" t="str">
        <f>IF('CASE DATA'!A59="","",'CASE DATA'!A59)</f>
        <v/>
      </c>
      <c r="B29" s="35">
        <f>'CASE DATA'!B59</f>
        <v>0</v>
      </c>
      <c r="C29" s="35" t="str">
        <f>IF(SUM('CASE DATA'!K59:T59)&gt;0,IF(OR('CASE DATA'!G59="GTR",'CASE DATA'!G59="GPL",'CASE DATA'!G59="DEF"),IF('CASE DATA'!H59="YES","License &amp; registration","Registration only"),"Z - Neither license nor registration"),"Z - no debt")</f>
        <v>Z - no debt</v>
      </c>
      <c r="D29" s="59">
        <f>SUM('CASE DATA'!K59:T59)</f>
        <v>0</v>
      </c>
      <c r="E29" s="17"/>
    </row>
    <row r="30" spans="1:5" x14ac:dyDescent="0.25">
      <c r="A30" s="35" t="str">
        <f>IF('CASE DATA'!A62="","",'CASE DATA'!A62)</f>
        <v/>
      </c>
      <c r="B30" s="35">
        <f>'CASE DATA'!B62</f>
        <v>0</v>
      </c>
      <c r="C30" s="35" t="str">
        <f>IF(SUM('CASE DATA'!K62:T62)&gt;0,IF(OR('CASE DATA'!G62="GTR",'CASE DATA'!G62="GPL",'CASE DATA'!G62="DEF"),IF('CASE DATA'!H62="YES","License &amp; registration","Registration only"),"Z - Neither license nor registration"),"Z - no debt")</f>
        <v>Z - no debt</v>
      </c>
      <c r="D30" s="59">
        <f>SUM('CASE DATA'!K62:T62)</f>
        <v>0</v>
      </c>
      <c r="E30" s="17"/>
    </row>
    <row r="31" spans="1:5" x14ac:dyDescent="0.25">
      <c r="A31" s="35" t="str">
        <f>IF('CASE DATA'!A67="","",'CASE DATA'!A67)</f>
        <v/>
      </c>
      <c r="B31" s="35">
        <f>'CASE DATA'!B67</f>
        <v>0</v>
      </c>
      <c r="C31" s="35" t="str">
        <f>IF(SUM('CASE DATA'!K67:T67)&gt;0,IF(OR('CASE DATA'!G67="GTR",'CASE DATA'!G67="GPL",'CASE DATA'!G67="DEF"),IF('CASE DATA'!H67="YES","License &amp; registration","Registration only"),"Z - Neither license nor registration"),"Z - no debt")</f>
        <v>Z - no debt</v>
      </c>
      <c r="D31" s="59">
        <f>SUM('CASE DATA'!K67:T67)</f>
        <v>0</v>
      </c>
      <c r="E31" s="17"/>
    </row>
    <row r="32" spans="1:5" x14ac:dyDescent="0.25">
      <c r="A32" s="35" t="str">
        <f>IF('CASE DATA'!A72="","",'CASE DATA'!A72)</f>
        <v/>
      </c>
      <c r="B32" s="35">
        <f>'CASE DATA'!B72</f>
        <v>0</v>
      </c>
      <c r="C32" s="35" t="str">
        <f>IF(SUM('CASE DATA'!K72:T72)&gt;0,IF(OR('CASE DATA'!G72="GTR",'CASE DATA'!G72="GPL",'CASE DATA'!G72="DEF"),IF('CASE DATA'!H72="YES","License &amp; registration","Registration only"),"Z - Neither license nor registration"),"Z - no debt")</f>
        <v>Z - no debt</v>
      </c>
      <c r="D32" s="59">
        <f>SUM('CASE DATA'!K72:T72)</f>
        <v>0</v>
      </c>
      <c r="E32" s="17"/>
    </row>
    <row r="33" spans="1:5" x14ac:dyDescent="0.25">
      <c r="A33" s="35" t="str">
        <f>IF('CASE DATA'!A73="","",'CASE DATA'!A73)</f>
        <v/>
      </c>
      <c r="B33" s="35">
        <f>'CASE DATA'!B73</f>
        <v>0</v>
      </c>
      <c r="C33" s="35" t="str">
        <f>IF(SUM('CASE DATA'!K73:T73)&gt;0,IF(OR('CASE DATA'!G73="GTR",'CASE DATA'!G73="GPL",'CASE DATA'!G73="DEF"),IF('CASE DATA'!H73="YES","License &amp; registration","Registration only"),"Z - Neither license nor registration"),"Z - no debt")</f>
        <v>Z - no debt</v>
      </c>
      <c r="D33" s="59">
        <f>SUM('CASE DATA'!K73:T73)</f>
        <v>0</v>
      </c>
      <c r="E33" s="17"/>
    </row>
    <row r="34" spans="1:5" x14ac:dyDescent="0.25">
      <c r="A34" s="35" t="str">
        <f>IF('CASE DATA'!A74="","",'CASE DATA'!A74)</f>
        <v/>
      </c>
      <c r="B34" s="35">
        <f>'CASE DATA'!B74</f>
        <v>0</v>
      </c>
      <c r="C34" s="35" t="str">
        <f>IF(SUM('CASE DATA'!K74:T74)&gt;0,IF(OR('CASE DATA'!G74="GTR",'CASE DATA'!G74="GPL",'CASE DATA'!G74="DEF"),IF('CASE DATA'!H74="YES","License &amp; registration","Registration only"),"Z - Neither license nor registration"),"Z - no debt")</f>
        <v>Z - no debt</v>
      </c>
      <c r="D34" s="59">
        <f>SUM('CASE DATA'!K74:T74)</f>
        <v>0</v>
      </c>
      <c r="E34" s="17"/>
    </row>
    <row r="35" spans="1:5" x14ac:dyDescent="0.25">
      <c r="A35" s="35" t="str">
        <f>IF('CASE DATA'!A76="","",'CASE DATA'!A76)</f>
        <v/>
      </c>
      <c r="B35" s="35">
        <f>'CASE DATA'!B76</f>
        <v>0</v>
      </c>
      <c r="C35" s="35" t="str">
        <f>IF(SUM('CASE DATA'!K76:T76)&gt;0,IF(OR('CASE DATA'!G76="GTR",'CASE DATA'!G76="GPL",'CASE DATA'!G76="DEF"),IF('CASE DATA'!H76="YES","License &amp; registration","Registration only"),"Z - Neither license nor registration"),"Z - no debt")</f>
        <v>Z - no debt</v>
      </c>
      <c r="D35" s="59">
        <f>SUM('CASE DATA'!K76:T76)</f>
        <v>0</v>
      </c>
      <c r="E35" s="17"/>
    </row>
    <row r="36" spans="1:5" x14ac:dyDescent="0.25">
      <c r="A36" s="35" t="str">
        <f>IF('CASE DATA'!A78="","",'CASE DATA'!A78)</f>
        <v/>
      </c>
      <c r="B36" s="35">
        <f>'CASE DATA'!B78</f>
        <v>0</v>
      </c>
      <c r="C36" s="35" t="str">
        <f>IF(SUM('CASE DATA'!K78:T78)&gt;0,IF(OR('CASE DATA'!G78="GTR",'CASE DATA'!G78="GPL",'CASE DATA'!G78="DEF"),IF('CASE DATA'!H78="YES","License &amp; registration","Registration only"),"Z - Neither license nor registration"),"Z - no debt")</f>
        <v>Z - no debt</v>
      </c>
      <c r="D36" s="59">
        <f>SUM('CASE DATA'!K78:T78)</f>
        <v>0</v>
      </c>
      <c r="E36" s="17"/>
    </row>
    <row r="37" spans="1:5" x14ac:dyDescent="0.25">
      <c r="A37" s="35" t="str">
        <f>IF('CASE DATA'!A79="","",'CASE DATA'!A79)</f>
        <v/>
      </c>
      <c r="B37" s="35">
        <f>'CASE DATA'!B79</f>
        <v>0</v>
      </c>
      <c r="C37" s="35" t="str">
        <f>IF(SUM('CASE DATA'!K79:T79)&gt;0,IF(OR('CASE DATA'!G79="GTR",'CASE DATA'!G79="GPL",'CASE DATA'!G79="DEF"),IF('CASE DATA'!H79="YES","License &amp; registration","Registration only"),"Z - Neither license nor registration"),"Z - no debt")</f>
        <v>Z - no debt</v>
      </c>
      <c r="D37" s="59">
        <f>SUM('CASE DATA'!K79:T79)</f>
        <v>0</v>
      </c>
      <c r="E37" s="17"/>
    </row>
    <row r="38" spans="1:5" x14ac:dyDescent="0.25">
      <c r="A38" s="35" t="str">
        <f>IF('CASE DATA'!A85="","",'CASE DATA'!A85)</f>
        <v/>
      </c>
      <c r="B38" s="35">
        <f>'CASE DATA'!B85</f>
        <v>0</v>
      </c>
      <c r="C38" s="35" t="str">
        <f>IF(SUM('CASE DATA'!K85:T85)&gt;0,IF(OR('CASE DATA'!G85="GTR",'CASE DATA'!G85="GPL",'CASE DATA'!G85="DEF"),IF('CASE DATA'!H85="YES","License &amp; registration","Registration only"),"Z - Neither license nor registration"),"Z - no debt")</f>
        <v>Z - no debt</v>
      </c>
      <c r="D38" s="59">
        <f>SUM('CASE DATA'!K85:T85)</f>
        <v>0</v>
      </c>
      <c r="E38" s="17"/>
    </row>
    <row r="39" spans="1:5" x14ac:dyDescent="0.25">
      <c r="A39" s="35" t="str">
        <f>IF('CASE DATA'!A89="","",'CASE DATA'!A89)</f>
        <v/>
      </c>
      <c r="B39" s="35">
        <f>'CASE DATA'!B89</f>
        <v>0</v>
      </c>
      <c r="C39" s="35" t="str">
        <f>IF(SUM('CASE DATA'!K89:T89)&gt;0,IF(OR('CASE DATA'!G89="GTR",'CASE DATA'!G89="GPL",'CASE DATA'!G89="DEF"),IF('CASE DATA'!H89="YES","License &amp; registration","Registration only"),"Z - Neither license nor registration"),"Z - no debt")</f>
        <v>Z - no debt</v>
      </c>
      <c r="D39" s="59">
        <f>SUM('CASE DATA'!K89:T89)</f>
        <v>0</v>
      </c>
      <c r="E39" s="17"/>
    </row>
    <row r="40" spans="1:5" x14ac:dyDescent="0.25">
      <c r="A40" s="35" t="str">
        <f>IF('CASE DATA'!A92="","",'CASE DATA'!A92)</f>
        <v/>
      </c>
      <c r="B40" s="35">
        <f>'CASE DATA'!B92</f>
        <v>0</v>
      </c>
      <c r="C40" s="35" t="str">
        <f>IF(SUM('CASE DATA'!K92:T92)&gt;0,IF(OR('CASE DATA'!G92="GTR",'CASE DATA'!G92="GPL",'CASE DATA'!G92="DEF"),IF('CASE DATA'!H92="YES","License &amp; registration","Registration only"),"Z - Neither license nor registration"),"Z - no debt")</f>
        <v>Z - no debt</v>
      </c>
      <c r="D40" s="59">
        <f>SUM('CASE DATA'!K92:T92)</f>
        <v>0</v>
      </c>
      <c r="E40" s="17"/>
    </row>
    <row r="41" spans="1:5" x14ac:dyDescent="0.25">
      <c r="A41" s="35" t="str">
        <f>IF('CASE DATA'!A94="","",'CASE DATA'!A94)</f>
        <v/>
      </c>
      <c r="B41" s="35">
        <f>'CASE DATA'!B94</f>
        <v>0</v>
      </c>
      <c r="C41" s="35" t="str">
        <f>IF(SUM('CASE DATA'!K94:T94)&gt;0,IF(OR('CASE DATA'!G94="GTR",'CASE DATA'!G94="GPL",'CASE DATA'!G94="DEF"),IF('CASE DATA'!H94="YES","License &amp; registration","Registration only"),"Z - Neither license nor registration"),"Z - no debt")</f>
        <v>Z - no debt</v>
      </c>
      <c r="D41" s="59">
        <f>SUM('CASE DATA'!K94:T94)</f>
        <v>0</v>
      </c>
      <c r="E41" s="17"/>
    </row>
    <row r="42" spans="1:5" x14ac:dyDescent="0.25">
      <c r="A42" s="35" t="str">
        <f>IF('CASE DATA'!A18="","",'CASE DATA'!A18)</f>
        <v/>
      </c>
      <c r="B42" s="35">
        <f>'CASE DATA'!B18</f>
        <v>0</v>
      </c>
      <c r="C42" s="35" t="str">
        <f>IF(SUM('CASE DATA'!K18:T18)&gt;0,IF(OR('CASE DATA'!G18="GTR",'CASE DATA'!G18="GPL",'CASE DATA'!G18="DEF"),IF('CASE DATA'!H18="YES","License &amp; registration","Registration only"),"Z - Neither license nor registration"),"Z - no debt")</f>
        <v>Z - no debt</v>
      </c>
      <c r="D42" s="59">
        <f>SUM('CASE DATA'!K18:T18)</f>
        <v>0</v>
      </c>
    </row>
    <row r="43" spans="1:5" x14ac:dyDescent="0.25">
      <c r="A43" s="35" t="str">
        <f>IF('CASE DATA'!A19="","",'CASE DATA'!A19)</f>
        <v/>
      </c>
      <c r="B43" s="35">
        <f>'CASE DATA'!B19</f>
        <v>0</v>
      </c>
      <c r="C43" s="35" t="str">
        <f>IF(SUM('CASE DATA'!K19:T19)&gt;0,IF(OR('CASE DATA'!G19="GTR",'CASE DATA'!G19="GPL",'CASE DATA'!G19="DEF"),IF('CASE DATA'!H19="YES","License &amp; registration","Registration only"),"Z - Neither license nor registration"),"Z - no debt")</f>
        <v>Z - no debt</v>
      </c>
      <c r="D43" s="59">
        <f>SUM('CASE DATA'!K19:T19)</f>
        <v>0</v>
      </c>
    </row>
    <row r="44" spans="1:5" x14ac:dyDescent="0.25">
      <c r="A44" s="35" t="str">
        <f>IF('CASE DATA'!A29="","",'CASE DATA'!A29)</f>
        <v/>
      </c>
      <c r="B44" s="35">
        <f>'CASE DATA'!B29</f>
        <v>0</v>
      </c>
      <c r="C44" s="35" t="str">
        <f>IF(SUM('CASE DATA'!K29:T29)&gt;0,IF(OR('CASE DATA'!G29="GTR",'CASE DATA'!G29="GPL",'CASE DATA'!G29="DEF"),IF('CASE DATA'!H29="YES","License &amp; registration","Registration only"),"Z - Neither license nor registration"),"Z - no debt")</f>
        <v>Z - no debt</v>
      </c>
      <c r="D44" s="59">
        <f>SUM('CASE DATA'!K29:T29)</f>
        <v>0</v>
      </c>
    </row>
    <row r="45" spans="1:5" x14ac:dyDescent="0.25">
      <c r="A45" s="35" t="str">
        <f>IF('CASE DATA'!A32="","",'CASE DATA'!A32)</f>
        <v/>
      </c>
      <c r="B45" s="35">
        <f>'CASE DATA'!B32</f>
        <v>0</v>
      </c>
      <c r="C45" s="35" t="str">
        <f>IF(SUM('CASE DATA'!K32:T32)&gt;0,IF(OR('CASE DATA'!G32="GTR",'CASE DATA'!G32="GPL",'CASE DATA'!G32="DEF"),IF('CASE DATA'!H32="YES","License &amp; registration","Registration only"),"Z - Neither license nor registration"),"Z - no debt")</f>
        <v>Z - no debt</v>
      </c>
      <c r="D45" s="59">
        <f>SUM('CASE DATA'!K32:T32)</f>
        <v>0</v>
      </c>
    </row>
    <row r="46" spans="1:5" x14ac:dyDescent="0.25">
      <c r="A46" s="35" t="str">
        <f>IF('CASE DATA'!A33="","",'CASE DATA'!A33)</f>
        <v/>
      </c>
      <c r="B46" s="35">
        <f>'CASE DATA'!B33</f>
        <v>0</v>
      </c>
      <c r="C46" s="35" t="str">
        <f>IF(SUM('CASE DATA'!K33:T33)&gt;0,IF(OR('CASE DATA'!G33="GTR",'CASE DATA'!G33="GPL",'CASE DATA'!G33="DEF"),IF('CASE DATA'!H33="YES","License &amp; registration","Registration only"),"Z - Neither license nor registration"),"Z - no debt")</f>
        <v>Z - no debt</v>
      </c>
      <c r="D46" s="59">
        <f>SUM('CASE DATA'!K33:T33)</f>
        <v>0</v>
      </c>
    </row>
    <row r="47" spans="1:5" x14ac:dyDescent="0.25">
      <c r="A47" s="35" t="str">
        <f>IF('CASE DATA'!A35="","",'CASE DATA'!A35)</f>
        <v/>
      </c>
      <c r="B47" s="35">
        <f>'CASE DATA'!B35</f>
        <v>0</v>
      </c>
      <c r="C47" s="35" t="str">
        <f>IF(SUM('CASE DATA'!K35:T35)&gt;0,IF(OR('CASE DATA'!G35="GTR",'CASE DATA'!G35="GPL",'CASE DATA'!G35="DEF"),IF('CASE DATA'!H35="YES","License &amp; registration","Registration only"),"Z - Neither license nor registration"),"Z - no debt")</f>
        <v>Z - no debt</v>
      </c>
      <c r="D47" s="59">
        <f>SUM('CASE DATA'!K35:T35)</f>
        <v>0</v>
      </c>
    </row>
    <row r="48" spans="1:5" x14ac:dyDescent="0.25">
      <c r="A48" s="35" t="str">
        <f>IF('CASE DATA'!A36="","",'CASE DATA'!A36)</f>
        <v/>
      </c>
      <c r="B48" s="35">
        <f>'CASE DATA'!B36</f>
        <v>0</v>
      </c>
      <c r="C48" s="35" t="str">
        <f>IF(SUM('CASE DATA'!K36:T36)&gt;0,IF(OR('CASE DATA'!G36="GTR",'CASE DATA'!G36="GPL",'CASE DATA'!G36="DEF"),IF('CASE DATA'!H36="YES","License &amp; registration","Registration only"),"Z - Neither license nor registration"),"Z - no debt")</f>
        <v>Z - no debt</v>
      </c>
      <c r="D48" s="59">
        <f>SUM('CASE DATA'!K36:T36)</f>
        <v>0</v>
      </c>
    </row>
    <row r="49" spans="1:4" x14ac:dyDescent="0.25">
      <c r="A49" s="35" t="str">
        <f>IF('CASE DATA'!A54="","",'CASE DATA'!A54)</f>
        <v/>
      </c>
      <c r="B49" s="35">
        <f>'CASE DATA'!B54</f>
        <v>0</v>
      </c>
      <c r="C49" s="35" t="str">
        <f>IF(SUM('CASE DATA'!K54:T54)&gt;0,IF(OR('CASE DATA'!G54="GTR",'CASE DATA'!G54="GPL",'CASE DATA'!G54="DEF"),IF('CASE DATA'!H54="YES","License &amp; registration","Registration only"),"Z - Neither license nor registration"),"Z - no debt")</f>
        <v>Z - no debt</v>
      </c>
      <c r="D49" s="59">
        <f>SUM('CASE DATA'!K54:T54)</f>
        <v>0</v>
      </c>
    </row>
    <row r="50" spans="1:4" x14ac:dyDescent="0.25">
      <c r="A50" s="35" t="str">
        <f>IF('CASE DATA'!A63="","",'CASE DATA'!A63)</f>
        <v/>
      </c>
      <c r="B50" s="35">
        <f>'CASE DATA'!B63</f>
        <v>0</v>
      </c>
      <c r="C50" s="35" t="str">
        <f>IF(SUM('CASE DATA'!K63:T63)&gt;0,IF(OR('CASE DATA'!G63="GTR",'CASE DATA'!G63="GPL",'CASE DATA'!G63="DEF"),IF('CASE DATA'!H63="YES","License &amp; registration","Registration only"),"Z - Neither license nor registration"),"Z - no debt")</f>
        <v>Z - no debt</v>
      </c>
      <c r="D50" s="59">
        <f>SUM('CASE DATA'!K63:T63)</f>
        <v>0</v>
      </c>
    </row>
    <row r="51" spans="1:4" x14ac:dyDescent="0.25">
      <c r="A51" s="35" t="str">
        <f>IF('CASE DATA'!A65="","",'CASE DATA'!A65)</f>
        <v/>
      </c>
      <c r="B51" s="35">
        <f>'CASE DATA'!B65</f>
        <v>0</v>
      </c>
      <c r="C51" s="35" t="str">
        <f>IF(SUM('CASE DATA'!K65:T65)&gt;0,IF(OR('CASE DATA'!G65="GTR",'CASE DATA'!G65="GPL",'CASE DATA'!G65="DEF"),IF('CASE DATA'!H65="YES","License &amp; registration","Registration only"),"Z - Neither license nor registration"),"Z - no debt")</f>
        <v>Z - no debt</v>
      </c>
      <c r="D51" s="59">
        <f>SUM('CASE DATA'!K65:T65)</f>
        <v>0</v>
      </c>
    </row>
    <row r="52" spans="1:4" x14ac:dyDescent="0.25">
      <c r="A52" s="35" t="str">
        <f>IF('CASE DATA'!A66="","",'CASE DATA'!A66)</f>
        <v/>
      </c>
      <c r="B52" s="35">
        <f>'CASE DATA'!B66</f>
        <v>0</v>
      </c>
      <c r="C52" s="35" t="str">
        <f>IF(SUM('CASE DATA'!K66:T66)&gt;0,IF(OR('CASE DATA'!G66="GTR",'CASE DATA'!G66="GPL",'CASE DATA'!G66="DEF"),IF('CASE DATA'!H66="YES","License &amp; registration","Registration only"),"Z - Neither license nor registration"),"Z - no debt")</f>
        <v>Z - no debt</v>
      </c>
      <c r="D52" s="59">
        <f>SUM('CASE DATA'!K66:T66)</f>
        <v>0</v>
      </c>
    </row>
    <row r="53" spans="1:4" x14ac:dyDescent="0.25">
      <c r="A53" s="35" t="str">
        <f>IF('CASE DATA'!A69="","",'CASE DATA'!A69)</f>
        <v/>
      </c>
      <c r="B53" s="35">
        <f>'CASE DATA'!B69</f>
        <v>0</v>
      </c>
      <c r="C53" s="35" t="str">
        <f>IF(SUM('CASE DATA'!K69:T69)&gt;0,IF(OR('CASE DATA'!G69="GTR",'CASE DATA'!G69="GPL",'CASE DATA'!G69="DEF"),IF('CASE DATA'!H69="YES","License &amp; registration","Registration only"),"Z - Neither license nor registration"),"Z - no debt")</f>
        <v>Z - no debt</v>
      </c>
      <c r="D53" s="59">
        <f>SUM('CASE DATA'!K69:T69)</f>
        <v>0</v>
      </c>
    </row>
    <row r="54" spans="1:4" x14ac:dyDescent="0.25">
      <c r="A54" s="35" t="str">
        <f>IF('CASE DATA'!A70="","",'CASE DATA'!A70)</f>
        <v/>
      </c>
      <c r="B54" s="35">
        <f>'CASE DATA'!B70</f>
        <v>0</v>
      </c>
      <c r="C54" s="35" t="str">
        <f>IF(SUM('CASE DATA'!K70:T70)&gt;0,IF(OR('CASE DATA'!G70="GTR",'CASE DATA'!G70="GPL",'CASE DATA'!G70="DEF"),IF('CASE DATA'!H70="YES","License &amp; registration","Registration only"),"Z - Neither license nor registration"),"Z - no debt")</f>
        <v>Z - no debt</v>
      </c>
      <c r="D54" s="59">
        <f>SUM('CASE DATA'!K70:T70)</f>
        <v>0</v>
      </c>
    </row>
    <row r="55" spans="1:4" x14ac:dyDescent="0.25">
      <c r="A55" s="35" t="str">
        <f>IF('CASE DATA'!A71="","",'CASE DATA'!A71)</f>
        <v/>
      </c>
      <c r="B55" s="35">
        <f>'CASE DATA'!B71</f>
        <v>0</v>
      </c>
      <c r="C55" s="35" t="str">
        <f>IF(SUM('CASE DATA'!K71:T71)&gt;0,IF(OR('CASE DATA'!G71="GTR",'CASE DATA'!G71="GPL",'CASE DATA'!G71="DEF"),IF('CASE DATA'!H71="YES","License &amp; registration","Registration only"),"Z - Neither license nor registration"),"Z - no debt")</f>
        <v>Z - no debt</v>
      </c>
      <c r="D55" s="59">
        <f>SUM('CASE DATA'!K71:T71)</f>
        <v>0</v>
      </c>
    </row>
    <row r="56" spans="1:4" x14ac:dyDescent="0.25">
      <c r="A56" s="35" t="str">
        <f>IF('CASE DATA'!A84="","",'CASE DATA'!A84)</f>
        <v/>
      </c>
      <c r="B56" s="35">
        <f>'CASE DATA'!B84</f>
        <v>0</v>
      </c>
      <c r="C56" s="35" t="str">
        <f>IF(SUM('CASE DATA'!K84:T84)&gt;0,IF(OR('CASE DATA'!G84="GTR",'CASE DATA'!G84="GPL",'CASE DATA'!G84="DEF"),IF('CASE DATA'!H84="YES","License &amp; registration","Registration only"),"Z - Neither license nor registration"),"Z - no debt")</f>
        <v>Z - no debt</v>
      </c>
      <c r="D56" s="59">
        <f>SUM('CASE DATA'!K84:T84)</f>
        <v>0</v>
      </c>
    </row>
    <row r="57" spans="1:4" x14ac:dyDescent="0.25">
      <c r="A57" s="35" t="str">
        <f>IF('CASE DATA'!A4="","",'CASE DATA'!A4)</f>
        <v/>
      </c>
      <c r="B57" s="35">
        <f>'CASE DATA'!B4</f>
        <v>0</v>
      </c>
      <c r="C57" s="35" t="str">
        <f>IF(SUM('CASE DATA'!K4:T4)&gt;0,IF(OR('CASE DATA'!G4="GTR",'CASE DATA'!G4="GPL",'CASE DATA'!G4="DEF"),IF('CASE DATA'!H4="YES","License &amp; registration","Registration only"),"Z - Neither license nor registration"),"Z - no debt")</f>
        <v>Z - no debt</v>
      </c>
      <c r="D57" s="59">
        <f>SUM('CASE DATA'!K4:T4)</f>
        <v>0</v>
      </c>
    </row>
    <row r="58" spans="1:4" x14ac:dyDescent="0.25">
      <c r="A58" s="35" t="str">
        <f>IF('CASE DATA'!A5="","",'CASE DATA'!A5)</f>
        <v/>
      </c>
      <c r="B58" s="35">
        <f>'CASE DATA'!B5</f>
        <v>0</v>
      </c>
      <c r="C58" s="35" t="str">
        <f>IF(SUM('CASE DATA'!K5:T5)&gt;0,IF(OR('CASE DATA'!G5="GTR",'CASE DATA'!G5="GPL",'CASE DATA'!G5="DEF"),IF('CASE DATA'!H5="YES","License &amp; registration","Registration only"),"Z - Neither license nor registration"),"Z - no debt")</f>
        <v>Z - no debt</v>
      </c>
      <c r="D58" s="59">
        <f>SUM('CASE DATA'!K5:T5)</f>
        <v>0</v>
      </c>
    </row>
    <row r="59" spans="1:4" x14ac:dyDescent="0.25">
      <c r="A59" s="35" t="str">
        <f>IF('CASE DATA'!A9="","",'CASE DATA'!A9)</f>
        <v/>
      </c>
      <c r="B59" s="35">
        <f>'CASE DATA'!B9</f>
        <v>0</v>
      </c>
      <c r="C59" s="35" t="str">
        <f>IF(SUM('CASE DATA'!K9:T9)&gt;0,IF(OR('CASE DATA'!G9="GTR",'CASE DATA'!G9="GPL",'CASE DATA'!G9="DEF"),IF('CASE DATA'!H9="YES","License &amp; registration","Registration only"),"Z - Neither license nor registration"),"Z - no debt")</f>
        <v>Z - no debt</v>
      </c>
      <c r="D59" s="59">
        <f>SUM('CASE DATA'!K9:T9)</f>
        <v>0</v>
      </c>
    </row>
    <row r="60" spans="1:4" x14ac:dyDescent="0.25">
      <c r="A60" s="35" t="str">
        <f>IF('CASE DATA'!A15="","",'CASE DATA'!A15)</f>
        <v/>
      </c>
      <c r="B60" s="35">
        <f>'CASE DATA'!B15</f>
        <v>0</v>
      </c>
      <c r="C60" s="35" t="str">
        <f>IF(SUM('CASE DATA'!K15:T15)&gt;0,IF(OR('CASE DATA'!G15="GTR",'CASE DATA'!G15="GPL",'CASE DATA'!G15="DEF"),IF('CASE DATA'!H15="YES","License &amp; registration","Registration only"),"Z - Neither license nor registration"),"Z - no debt")</f>
        <v>Z - no debt</v>
      </c>
      <c r="D60" s="59">
        <f>SUM('CASE DATA'!K15:T15)</f>
        <v>0</v>
      </c>
    </row>
    <row r="61" spans="1:4" x14ac:dyDescent="0.25">
      <c r="A61" s="35" t="str">
        <f>IF('CASE DATA'!A17="","",'CASE DATA'!A17)</f>
        <v/>
      </c>
      <c r="B61" s="35">
        <f>'CASE DATA'!B17</f>
        <v>0</v>
      </c>
      <c r="C61" s="35" t="str">
        <f>IF(SUM('CASE DATA'!K17:T17)&gt;0,IF(OR('CASE DATA'!G17="GTR",'CASE DATA'!G17="GPL",'CASE DATA'!G17="DEF"),IF('CASE DATA'!H17="YES","License &amp; registration","Registration only"),"Z - Neither license nor registration"),"Z - no debt")</f>
        <v>Z - no debt</v>
      </c>
      <c r="D61" s="59">
        <f>SUM('CASE DATA'!K17:T17)</f>
        <v>0</v>
      </c>
    </row>
    <row r="62" spans="1:4" x14ac:dyDescent="0.25">
      <c r="A62" s="35" t="str">
        <f>IF('CASE DATA'!A20="","",'CASE DATA'!A20)</f>
        <v/>
      </c>
      <c r="B62" s="35">
        <f>'CASE DATA'!B20</f>
        <v>0</v>
      </c>
      <c r="C62" s="35" t="str">
        <f>IF(SUM('CASE DATA'!K20:T20)&gt;0,IF(OR('CASE DATA'!G20="GTR",'CASE DATA'!G20="GPL",'CASE DATA'!G20="DEF"),IF('CASE DATA'!H20="YES","License &amp; registration","Registration only"),"Z - Neither license nor registration"),"Z - no debt")</f>
        <v>Z - no debt</v>
      </c>
      <c r="D62" s="59">
        <f>SUM('CASE DATA'!K20:T20)</f>
        <v>0</v>
      </c>
    </row>
    <row r="63" spans="1:4" x14ac:dyDescent="0.25">
      <c r="A63" s="35" t="str">
        <f>IF('CASE DATA'!A21="","",'CASE DATA'!A21)</f>
        <v/>
      </c>
      <c r="B63" s="35">
        <f>'CASE DATA'!B21</f>
        <v>0</v>
      </c>
      <c r="C63" s="35" t="str">
        <f>IF(SUM('CASE DATA'!K21:T21)&gt;0,IF(OR('CASE DATA'!G21="GTR",'CASE DATA'!G21="GPL",'CASE DATA'!G21="DEF"),IF('CASE DATA'!H21="YES","License &amp; registration","Registration only"),"Z - Neither license nor registration"),"Z - no debt")</f>
        <v>Z - no debt</v>
      </c>
      <c r="D63" s="59">
        <f>SUM('CASE DATA'!K21:T21)</f>
        <v>0</v>
      </c>
    </row>
    <row r="64" spans="1:4" x14ac:dyDescent="0.25">
      <c r="A64" s="35" t="str">
        <f>IF('CASE DATA'!A25="","",'CASE DATA'!A25)</f>
        <v/>
      </c>
      <c r="B64" s="35">
        <f>'CASE DATA'!B25</f>
        <v>0</v>
      </c>
      <c r="C64" s="35" t="str">
        <f>IF(SUM('CASE DATA'!K25:T25)&gt;0,IF(OR('CASE DATA'!G25="GTR",'CASE DATA'!G25="GPL",'CASE DATA'!G25="DEF"),IF('CASE DATA'!H25="YES","License &amp; registration","Registration only"),"Z - Neither license nor registration"),"Z - no debt")</f>
        <v>Z - no debt</v>
      </c>
      <c r="D64" s="59">
        <f>SUM('CASE DATA'!K25:T25)</f>
        <v>0</v>
      </c>
    </row>
    <row r="65" spans="1:4" x14ac:dyDescent="0.25">
      <c r="A65" s="35" t="str">
        <f>IF('CASE DATA'!A26="","",'CASE DATA'!A26)</f>
        <v/>
      </c>
      <c r="B65" s="35">
        <f>'CASE DATA'!B26</f>
        <v>0</v>
      </c>
      <c r="C65" s="35" t="str">
        <f>IF(SUM('CASE DATA'!K26:T26)&gt;0,IF(OR('CASE DATA'!G26="GTR",'CASE DATA'!G26="GPL",'CASE DATA'!G26="DEF"),IF('CASE DATA'!H26="YES","License &amp; registration","Registration only"),"Z - Neither license nor registration"),"Z - no debt")</f>
        <v>Z - no debt</v>
      </c>
      <c r="D65" s="59">
        <f>SUM('CASE DATA'!K26:T26)</f>
        <v>0</v>
      </c>
    </row>
    <row r="66" spans="1:4" x14ac:dyDescent="0.25">
      <c r="A66" s="35" t="str">
        <f>IF('CASE DATA'!A27="","",'CASE DATA'!A27)</f>
        <v/>
      </c>
      <c r="B66" s="35">
        <f>'CASE DATA'!B27</f>
        <v>0</v>
      </c>
      <c r="C66" s="35" t="str">
        <f>IF(SUM('CASE DATA'!K27:T27)&gt;0,IF(OR('CASE DATA'!G27="GTR",'CASE DATA'!G27="GPL",'CASE DATA'!G27="DEF"),IF('CASE DATA'!H27="YES","License &amp; registration","Registration only"),"Z - Neither license nor registration"),"Z - no debt")</f>
        <v>Z - no debt</v>
      </c>
      <c r="D66" s="59">
        <f>SUM('CASE DATA'!K27:T27)</f>
        <v>0</v>
      </c>
    </row>
    <row r="67" spans="1:4" x14ac:dyDescent="0.25">
      <c r="A67" s="35" t="str">
        <f>IF('CASE DATA'!A28="","",'CASE DATA'!A28)</f>
        <v/>
      </c>
      <c r="B67" s="35">
        <f>'CASE DATA'!B28</f>
        <v>0</v>
      </c>
      <c r="C67" s="35" t="str">
        <f>IF(SUM('CASE DATA'!K28:T28)&gt;0,IF(OR('CASE DATA'!G28="GTR",'CASE DATA'!G28="GPL",'CASE DATA'!G28="DEF"),IF('CASE DATA'!H28="YES","License &amp; registration","Registration only"),"Z - Neither license nor registration"),"Z - no debt")</f>
        <v>Z - no debt</v>
      </c>
      <c r="D67" s="59">
        <f>SUM('CASE DATA'!K28:T28)</f>
        <v>0</v>
      </c>
    </row>
    <row r="68" spans="1:4" x14ac:dyDescent="0.25">
      <c r="A68" s="35" t="str">
        <f>IF('CASE DATA'!A37="","",'CASE DATA'!A37)</f>
        <v/>
      </c>
      <c r="B68" s="35">
        <f>'CASE DATA'!B37</f>
        <v>0</v>
      </c>
      <c r="C68" s="35" t="str">
        <f>IF(SUM('CASE DATA'!K37:T37)&gt;0,IF(OR('CASE DATA'!G37="GTR",'CASE DATA'!G37="GPL",'CASE DATA'!G37="DEF"),IF('CASE DATA'!H37="YES","License &amp; registration","Registration only"),"Z - Neither license nor registration"),"Z - no debt")</f>
        <v>Z - no debt</v>
      </c>
      <c r="D68" s="59">
        <f>SUM('CASE DATA'!K37:T37)</f>
        <v>0</v>
      </c>
    </row>
    <row r="69" spans="1:4" x14ac:dyDescent="0.25">
      <c r="A69" s="35" t="str">
        <f>IF('CASE DATA'!A38="","",'CASE DATA'!A38)</f>
        <v/>
      </c>
      <c r="B69" s="35">
        <f>'CASE DATA'!B38</f>
        <v>0</v>
      </c>
      <c r="C69" s="35" t="str">
        <f>IF(SUM('CASE DATA'!K38:T38)&gt;0,IF(OR('CASE DATA'!G38="GTR",'CASE DATA'!G38="GPL",'CASE DATA'!G38="DEF"),IF('CASE DATA'!H38="YES","License &amp; registration","Registration only"),"Z - Neither license nor registration"),"Z - no debt")</f>
        <v>Z - no debt</v>
      </c>
      <c r="D69" s="59">
        <f>SUM('CASE DATA'!K38:T38)</f>
        <v>0</v>
      </c>
    </row>
    <row r="70" spans="1:4" x14ac:dyDescent="0.25">
      <c r="A70" s="35" t="str">
        <f>IF('CASE DATA'!A39="","",'CASE DATA'!A39)</f>
        <v/>
      </c>
      <c r="B70" s="35">
        <f>'CASE DATA'!B39</f>
        <v>0</v>
      </c>
      <c r="C70" s="35" t="str">
        <f>IF(SUM('CASE DATA'!K39:T39)&gt;0,IF(OR('CASE DATA'!G39="GTR",'CASE DATA'!G39="GPL",'CASE DATA'!G39="DEF"),IF('CASE DATA'!H39="YES","License &amp; registration","Registration only"),"Z - Neither license nor registration"),"Z - no debt")</f>
        <v>Z - no debt</v>
      </c>
      <c r="D70" s="59">
        <f>SUM('CASE DATA'!K39:T39)</f>
        <v>0</v>
      </c>
    </row>
    <row r="71" spans="1:4" x14ac:dyDescent="0.25">
      <c r="A71" s="35" t="str">
        <f>IF('CASE DATA'!A40="","",'CASE DATA'!A40)</f>
        <v/>
      </c>
      <c r="B71" s="35">
        <f>'CASE DATA'!B40</f>
        <v>0</v>
      </c>
      <c r="C71" s="35" t="str">
        <f>IF(SUM('CASE DATA'!K40:T40)&gt;0,IF(OR('CASE DATA'!G40="GTR",'CASE DATA'!G40="GPL",'CASE DATA'!G40="DEF"),IF('CASE DATA'!H40="YES","License &amp; registration","Registration only"),"Z - Neither license nor registration"),"Z - no debt")</f>
        <v>Z - no debt</v>
      </c>
      <c r="D71" s="59">
        <f>SUM('CASE DATA'!K40:T40)</f>
        <v>0</v>
      </c>
    </row>
    <row r="72" spans="1:4" x14ac:dyDescent="0.25">
      <c r="A72" s="35" t="str">
        <f>IF('CASE DATA'!A41="","",'CASE DATA'!A41)</f>
        <v/>
      </c>
      <c r="B72" s="35">
        <f>'CASE DATA'!B41</f>
        <v>0</v>
      </c>
      <c r="C72" s="35" t="str">
        <f>IF(SUM('CASE DATA'!K41:T41)&gt;0,IF(OR('CASE DATA'!G41="GTR",'CASE DATA'!G41="GPL",'CASE DATA'!G41="DEF"),IF('CASE DATA'!H41="YES","License &amp; registration","Registration only"),"Z - Neither license nor registration"),"Z - no debt")</f>
        <v>Z - no debt</v>
      </c>
      <c r="D72" s="59">
        <f>SUM('CASE DATA'!K41:T41)</f>
        <v>0</v>
      </c>
    </row>
    <row r="73" spans="1:4" x14ac:dyDescent="0.25">
      <c r="A73" s="35" t="str">
        <f>IF('CASE DATA'!A42="","",'CASE DATA'!A42)</f>
        <v/>
      </c>
      <c r="B73" s="35">
        <f>'CASE DATA'!B42</f>
        <v>0</v>
      </c>
      <c r="C73" s="35" t="str">
        <f>IF(SUM('CASE DATA'!K42:T42)&gt;0,IF(OR('CASE DATA'!G42="GTR",'CASE DATA'!G42="GPL",'CASE DATA'!G42="DEF"),IF('CASE DATA'!H42="YES","License &amp; registration","Registration only"),"Z - Neither license nor registration"),"Z - no debt")</f>
        <v>Z - no debt</v>
      </c>
      <c r="D73" s="59">
        <f>SUM('CASE DATA'!K42:T42)</f>
        <v>0</v>
      </c>
    </row>
    <row r="74" spans="1:4" x14ac:dyDescent="0.25">
      <c r="A74" s="35" t="str">
        <f>IF('CASE DATA'!A43="","",'CASE DATA'!A43)</f>
        <v/>
      </c>
      <c r="B74" s="35">
        <f>'CASE DATA'!B43</f>
        <v>0</v>
      </c>
      <c r="C74" s="35" t="str">
        <f>IF(SUM('CASE DATA'!K43:T43)&gt;0,IF(OR('CASE DATA'!G43="GTR",'CASE DATA'!G43="GPL",'CASE DATA'!G43="DEF"),IF('CASE DATA'!H43="YES","License &amp; registration","Registration only"),"Z - Neither license nor registration"),"Z - no debt")</f>
        <v>Z - no debt</v>
      </c>
      <c r="D74" s="59">
        <f>SUM('CASE DATA'!K43:T43)</f>
        <v>0</v>
      </c>
    </row>
    <row r="75" spans="1:4" x14ac:dyDescent="0.25">
      <c r="A75" s="35" t="str">
        <f>IF('CASE DATA'!A44="","",'CASE DATA'!A44)</f>
        <v/>
      </c>
      <c r="B75" s="35">
        <f>'CASE DATA'!B44</f>
        <v>0</v>
      </c>
      <c r="C75" s="35" t="str">
        <f>IF(SUM('CASE DATA'!K44:T44)&gt;0,IF(OR('CASE DATA'!G44="GTR",'CASE DATA'!G44="GPL",'CASE DATA'!G44="DEF"),IF('CASE DATA'!H44="YES","License &amp; registration","Registration only"),"Z - Neither license nor registration"),"Z - no debt")</f>
        <v>Z - no debt</v>
      </c>
      <c r="D75" s="59">
        <f>SUM('CASE DATA'!K44:T44)</f>
        <v>0</v>
      </c>
    </row>
    <row r="76" spans="1:4" x14ac:dyDescent="0.25">
      <c r="A76" s="35" t="str">
        <f>IF('CASE DATA'!A45="","",'CASE DATA'!A45)</f>
        <v/>
      </c>
      <c r="B76" s="35">
        <f>'CASE DATA'!B45</f>
        <v>0</v>
      </c>
      <c r="C76" s="35" t="str">
        <f>IF(SUM('CASE DATA'!K45:T45)&gt;0,IF(OR('CASE DATA'!G45="GTR",'CASE DATA'!G45="GPL",'CASE DATA'!G45="DEF"),IF('CASE DATA'!H45="YES","License &amp; registration","Registration only"),"Z - Neither license nor registration"),"Z - no debt")</f>
        <v>Z - no debt</v>
      </c>
      <c r="D76" s="59">
        <f>SUM('CASE DATA'!K45:T45)</f>
        <v>0</v>
      </c>
    </row>
    <row r="77" spans="1:4" x14ac:dyDescent="0.25">
      <c r="A77" s="35" t="str">
        <f>IF('CASE DATA'!A46="","",'CASE DATA'!A46)</f>
        <v/>
      </c>
      <c r="B77" s="35">
        <f>'CASE DATA'!B46</f>
        <v>0</v>
      </c>
      <c r="C77" s="35" t="str">
        <f>IF(SUM('CASE DATA'!K46:T46)&gt;0,IF(OR('CASE DATA'!G46="GTR",'CASE DATA'!G46="GPL",'CASE DATA'!G46="DEF"),IF('CASE DATA'!H46="YES","License &amp; registration","Registration only"),"Z - Neither license nor registration"),"Z - no debt")</f>
        <v>Z - no debt</v>
      </c>
      <c r="D77" s="59">
        <f>SUM('CASE DATA'!K46:T46)</f>
        <v>0</v>
      </c>
    </row>
    <row r="78" spans="1:4" x14ac:dyDescent="0.25">
      <c r="A78" s="35" t="str">
        <f>IF('CASE DATA'!A47="","",'CASE DATA'!A47)</f>
        <v/>
      </c>
      <c r="B78" s="35">
        <f>'CASE DATA'!B47</f>
        <v>0</v>
      </c>
      <c r="C78" s="35" t="str">
        <f>IF(SUM('CASE DATA'!K47:T47)&gt;0,IF(OR('CASE DATA'!G47="GTR",'CASE DATA'!G47="GPL",'CASE DATA'!G47="DEF"),IF('CASE DATA'!H47="YES","License &amp; registration","Registration only"),"Z - Neither license nor registration"),"Z - no debt")</f>
        <v>Z - no debt</v>
      </c>
      <c r="D78" s="59">
        <f>SUM('CASE DATA'!K47:T47)</f>
        <v>0</v>
      </c>
    </row>
    <row r="79" spans="1:4" x14ac:dyDescent="0.25">
      <c r="A79" s="35" t="str">
        <f>IF('CASE DATA'!A48="","",'CASE DATA'!A48)</f>
        <v/>
      </c>
      <c r="B79" s="35">
        <f>'CASE DATA'!B48</f>
        <v>0</v>
      </c>
      <c r="C79" s="35" t="str">
        <f>IF(SUM('CASE DATA'!K48:T48)&gt;0,IF(OR('CASE DATA'!G48="GTR",'CASE DATA'!G48="GPL",'CASE DATA'!G48="DEF"),IF('CASE DATA'!H48="YES","License &amp; registration","Registration only"),"Z - Neither license nor registration"),"Z - no debt")</f>
        <v>Z - no debt</v>
      </c>
      <c r="D79" s="59">
        <f>SUM('CASE DATA'!K48:T48)</f>
        <v>0</v>
      </c>
    </row>
    <row r="80" spans="1:4" x14ac:dyDescent="0.25">
      <c r="A80" s="35" t="str">
        <f>IF('CASE DATA'!A49="","",'CASE DATA'!A49)</f>
        <v/>
      </c>
      <c r="B80" s="35">
        <f>'CASE DATA'!B49</f>
        <v>0</v>
      </c>
      <c r="C80" s="35" t="str">
        <f>IF(SUM('CASE DATA'!K49:T49)&gt;0,IF(OR('CASE DATA'!G49="GTR",'CASE DATA'!G49="GPL",'CASE DATA'!G49="DEF"),IF('CASE DATA'!H49="YES","License &amp; registration","Registration only"),"Z - Neither license nor registration"),"Z - no debt")</f>
        <v>Z - no debt</v>
      </c>
      <c r="D80" s="59">
        <f>SUM('CASE DATA'!K49:T49)</f>
        <v>0</v>
      </c>
    </row>
    <row r="81" spans="1:4" x14ac:dyDescent="0.25">
      <c r="A81" s="35" t="str">
        <f>IF('CASE DATA'!A50="","",'CASE DATA'!A50)</f>
        <v/>
      </c>
      <c r="B81" s="35">
        <f>'CASE DATA'!B50</f>
        <v>0</v>
      </c>
      <c r="C81" s="35" t="str">
        <f>IF(SUM('CASE DATA'!K50:T50)&gt;0,IF(OR('CASE DATA'!G50="GTR",'CASE DATA'!G50="GPL",'CASE DATA'!G50="DEF"),IF('CASE DATA'!H50="YES","License &amp; registration","Registration only"),"Z - Neither license nor registration"),"Z - no debt")</f>
        <v>Z - no debt</v>
      </c>
      <c r="D81" s="59">
        <f>SUM('CASE DATA'!K50:T50)</f>
        <v>0</v>
      </c>
    </row>
    <row r="82" spans="1:4" x14ac:dyDescent="0.25">
      <c r="A82" s="35" t="str">
        <f>IF('CASE DATA'!A51="","",'CASE DATA'!A51)</f>
        <v/>
      </c>
      <c r="B82" s="35">
        <f>'CASE DATA'!B51</f>
        <v>0</v>
      </c>
      <c r="C82" s="35" t="str">
        <f>IF(SUM('CASE DATA'!K51:T51)&gt;0,IF(OR('CASE DATA'!G51="GTR",'CASE DATA'!G51="GPL",'CASE DATA'!G51="DEF"),IF('CASE DATA'!H51="YES","License &amp; registration","Registration only"),"Z - Neither license nor registration"),"Z - no debt")</f>
        <v>Z - no debt</v>
      </c>
      <c r="D82" s="59">
        <f>SUM('CASE DATA'!K51:T51)</f>
        <v>0</v>
      </c>
    </row>
    <row r="83" spans="1:4" x14ac:dyDescent="0.25">
      <c r="A83" s="35" t="str">
        <f>IF('CASE DATA'!A53="","",'CASE DATA'!A53)</f>
        <v/>
      </c>
      <c r="B83" s="35">
        <f>'CASE DATA'!B53</f>
        <v>0</v>
      </c>
      <c r="C83" s="35" t="str">
        <f>IF(SUM('CASE DATA'!K53:T53)&gt;0,IF(OR('CASE DATA'!G53="GTR",'CASE DATA'!G53="GPL",'CASE DATA'!G53="DEF"),IF('CASE DATA'!H53="YES","License &amp; registration","Registration only"),"Z - Neither license nor registration"),"Z - no debt")</f>
        <v>Z - no debt</v>
      </c>
      <c r="D83" s="59">
        <f>SUM('CASE DATA'!K53:T53)</f>
        <v>0</v>
      </c>
    </row>
    <row r="84" spans="1:4" x14ac:dyDescent="0.25">
      <c r="A84" s="35" t="str">
        <f>IF('CASE DATA'!A57="","",'CASE DATA'!A57)</f>
        <v/>
      </c>
      <c r="B84" s="35">
        <f>'CASE DATA'!B57</f>
        <v>0</v>
      </c>
      <c r="C84" s="35" t="str">
        <f>IF(SUM('CASE DATA'!K57:T57)&gt;0,IF(OR('CASE DATA'!G57="GTR",'CASE DATA'!G57="GPL",'CASE DATA'!G57="DEF"),IF('CASE DATA'!H57="YES","License &amp; registration","Registration only"),"Z - Neither license nor registration"),"Z - no debt")</f>
        <v>Z - no debt</v>
      </c>
      <c r="D84" s="59">
        <f>SUM('CASE DATA'!K57:T57)</f>
        <v>0</v>
      </c>
    </row>
    <row r="85" spans="1:4" x14ac:dyDescent="0.25">
      <c r="A85" s="35" t="str">
        <f>IF('CASE DATA'!A58="","",'CASE DATA'!A58)</f>
        <v/>
      </c>
      <c r="B85" s="35">
        <f>'CASE DATA'!B58</f>
        <v>0</v>
      </c>
      <c r="C85" s="35" t="str">
        <f>IF(SUM('CASE DATA'!K58:T58)&gt;0,IF(OR('CASE DATA'!G58="GTR",'CASE DATA'!G58="GPL",'CASE DATA'!G58="DEF"),IF('CASE DATA'!H58="YES","License &amp; registration","Registration only"),"Z - Neither license nor registration"),"Z - no debt")</f>
        <v>Z - no debt</v>
      </c>
      <c r="D85" s="59">
        <f>SUM('CASE DATA'!K58:T58)</f>
        <v>0</v>
      </c>
    </row>
    <row r="86" spans="1:4" x14ac:dyDescent="0.25">
      <c r="A86" s="35" t="str">
        <f>IF('CASE DATA'!A60="","",'CASE DATA'!A60)</f>
        <v/>
      </c>
      <c r="B86" s="35">
        <f>'CASE DATA'!B60</f>
        <v>0</v>
      </c>
      <c r="C86" s="35" t="str">
        <f>IF(SUM('CASE DATA'!K60:T60)&gt;0,IF(OR('CASE DATA'!G60="GTR",'CASE DATA'!G60="GPL",'CASE DATA'!G60="DEF"),IF('CASE DATA'!H60="YES","License &amp; registration","Registration only"),"Z - Neither license nor registration"),"Z - no debt")</f>
        <v>Z - no debt</v>
      </c>
      <c r="D86" s="59">
        <f>SUM('CASE DATA'!K60:T60)</f>
        <v>0</v>
      </c>
    </row>
    <row r="87" spans="1:4" x14ac:dyDescent="0.25">
      <c r="A87" s="35" t="str">
        <f>IF('CASE DATA'!A61="","",'CASE DATA'!A61)</f>
        <v/>
      </c>
      <c r="B87" s="35">
        <f>'CASE DATA'!B61</f>
        <v>0</v>
      </c>
      <c r="C87" s="35" t="str">
        <f>IF(SUM('CASE DATA'!K61:T61)&gt;0,IF(OR('CASE DATA'!G61="GTR",'CASE DATA'!G61="GPL",'CASE DATA'!G61="DEF"),IF('CASE DATA'!H61="YES","License &amp; registration","Registration only"),"Z - Neither license nor registration"),"Z - no debt")</f>
        <v>Z - no debt</v>
      </c>
      <c r="D87" s="59">
        <f>SUM('CASE DATA'!K61:T61)</f>
        <v>0</v>
      </c>
    </row>
    <row r="88" spans="1:4" x14ac:dyDescent="0.25">
      <c r="A88" s="35" t="str">
        <f>IF('CASE DATA'!A64="","",'CASE DATA'!A64)</f>
        <v/>
      </c>
      <c r="B88" s="35">
        <f>'CASE DATA'!B64</f>
        <v>0</v>
      </c>
      <c r="C88" s="35" t="str">
        <f>IF(SUM('CASE DATA'!K64:T64)&gt;0,IF(OR('CASE DATA'!G64="GTR",'CASE DATA'!G64="GPL",'CASE DATA'!G64="DEF"),IF('CASE DATA'!H64="YES","License &amp; registration","Registration only"),"Z - Neither license nor registration"),"Z - no debt")</f>
        <v>Z - no debt</v>
      </c>
      <c r="D88" s="59">
        <f>SUM('CASE DATA'!K64:T64)</f>
        <v>0</v>
      </c>
    </row>
    <row r="89" spans="1:4" x14ac:dyDescent="0.25">
      <c r="A89" s="35" t="str">
        <f>IF('CASE DATA'!A77="","",'CASE DATA'!A77)</f>
        <v/>
      </c>
      <c r="B89" s="35">
        <f>'CASE DATA'!B77</f>
        <v>0</v>
      </c>
      <c r="C89" s="35" t="str">
        <f>IF(SUM('CASE DATA'!K77:T77)&gt;0,IF(OR('CASE DATA'!G77="GTR",'CASE DATA'!G77="GPL",'CASE DATA'!G77="DEF"),IF('CASE DATA'!H77="YES","License &amp; registration","Registration only"),"Z - Neither license nor registration"),"Z - no debt")</f>
        <v>Z - no debt</v>
      </c>
      <c r="D89" s="59">
        <f>SUM('CASE DATA'!K77:T77)</f>
        <v>0</v>
      </c>
    </row>
    <row r="90" spans="1:4" x14ac:dyDescent="0.25">
      <c r="A90" s="35" t="str">
        <f>IF('CASE DATA'!A81="","",'CASE DATA'!A81)</f>
        <v/>
      </c>
      <c r="B90" s="35">
        <f>'CASE DATA'!B81</f>
        <v>0</v>
      </c>
      <c r="C90" s="35" t="str">
        <f>IF(SUM('CASE DATA'!K81:T81)&gt;0,IF(OR('CASE DATA'!G81="GTR",'CASE DATA'!G81="GPL",'CASE DATA'!G81="DEF"),IF('CASE DATA'!H81="YES","License &amp; registration","Registration only"),"Z - Neither license nor registration"),"Z - no debt")</f>
        <v>Z - no debt</v>
      </c>
      <c r="D90" s="59">
        <f>SUM('CASE DATA'!K81:T81)</f>
        <v>0</v>
      </c>
    </row>
    <row r="91" spans="1:4" x14ac:dyDescent="0.25">
      <c r="A91" s="35" t="str">
        <f>IF('CASE DATA'!A82="","",'CASE DATA'!A82)</f>
        <v/>
      </c>
      <c r="B91" s="35">
        <f>'CASE DATA'!B82</f>
        <v>0</v>
      </c>
      <c r="C91" s="35" t="str">
        <f>IF(SUM('CASE DATA'!K82:T82)&gt;0,IF(OR('CASE DATA'!G82="GTR",'CASE DATA'!G82="GPL",'CASE DATA'!G82="DEF"),IF('CASE DATA'!H82="YES","License &amp; registration","Registration only"),"Z - Neither license nor registration"),"Z - no debt")</f>
        <v>Z - no debt</v>
      </c>
      <c r="D91" s="59">
        <f>SUM('CASE DATA'!K82:T82)</f>
        <v>0</v>
      </c>
    </row>
    <row r="92" spans="1:4" x14ac:dyDescent="0.25">
      <c r="A92" s="35" t="str">
        <f>IF('CASE DATA'!A93="","",'CASE DATA'!A93)</f>
        <v/>
      </c>
      <c r="B92" s="35">
        <f>'CASE DATA'!B93</f>
        <v>0</v>
      </c>
      <c r="C92" s="35" t="str">
        <f>IF(SUM('CASE DATA'!K93:T93)&gt;0,IF(OR('CASE DATA'!G93="GTR",'CASE DATA'!G93="GPL",'CASE DATA'!G93="DEF"),IF('CASE DATA'!H93="YES","License &amp; registration","Registration only"),"Z - Neither license nor registration"),"Z - no debt")</f>
        <v>Z - no debt</v>
      </c>
      <c r="D92" s="59">
        <f>SUM('CASE DATA'!K93:T93)</f>
        <v>0</v>
      </c>
    </row>
    <row r="93" spans="1:4" x14ac:dyDescent="0.25">
      <c r="A93" s="35" t="str">
        <f>IF('CASE DATA'!A95="","",'CASE DATA'!A95)</f>
        <v/>
      </c>
      <c r="B93" s="35">
        <f>'CASE DATA'!B95</f>
        <v>0</v>
      </c>
      <c r="C93" s="35" t="str">
        <f>IF(SUM('CASE DATA'!K95:T95)&gt;0,IF(OR('CASE DATA'!G95="GTR",'CASE DATA'!G95="GPL",'CASE DATA'!G95="DEF"),IF('CASE DATA'!H95="YES","License &amp; registration","Registration only"),"Z - Neither license nor registration"),"Z - no debt")</f>
        <v>Z - no debt</v>
      </c>
      <c r="D93" s="59">
        <f>SUM('CASE DATA'!K95:T95)</f>
        <v>0</v>
      </c>
    </row>
    <row r="94" spans="1:4" x14ac:dyDescent="0.25">
      <c r="A94" s="35" t="str">
        <f>IF('CASE DATA'!A96="","",'CASE DATA'!A96)</f>
        <v/>
      </c>
      <c r="B94" s="35">
        <f>'CASE DATA'!B96</f>
        <v>0</v>
      </c>
      <c r="C94" s="35" t="str">
        <f>IF(SUM('CASE DATA'!K96:T96)&gt;0,IF(OR('CASE DATA'!G96="GTR",'CASE DATA'!G96="GPL",'CASE DATA'!G96="DEF"),IF('CASE DATA'!H96="YES","License &amp; registration","Registration only"),"Z - Neither license nor registration"),"Z - no debt")</f>
        <v>Z - no debt</v>
      </c>
      <c r="D94" s="59">
        <f>SUM('CASE DATA'!K96:T96)</f>
        <v>0</v>
      </c>
    </row>
    <row r="95" spans="1:4" x14ac:dyDescent="0.25">
      <c r="A95" s="35" t="str">
        <f>IF('CASE DATA'!A97="","",'CASE DATA'!A97)</f>
        <v/>
      </c>
      <c r="B95" s="35">
        <f>'CASE DATA'!B97</f>
        <v>0</v>
      </c>
      <c r="C95" s="35" t="str">
        <f>IF(SUM('CASE DATA'!K97:T97)&gt;0,IF(OR('CASE DATA'!G97="GTR",'CASE DATA'!G97="GPL",'CASE DATA'!G97="DEF"),IF('CASE DATA'!H97="YES","License &amp; registration","Registration only"),"Z - Neither license nor registration"),"Z - no debt")</f>
        <v>Z - no debt</v>
      </c>
      <c r="D95" s="59">
        <f>SUM('CASE DATA'!K97:T97)</f>
        <v>0</v>
      </c>
    </row>
    <row r="96" spans="1:4" x14ac:dyDescent="0.25">
      <c r="A96" s="35" t="str">
        <f>IF('CASE DATA'!A98="","",'CASE DATA'!A98)</f>
        <v/>
      </c>
      <c r="B96" s="35">
        <f>'CASE DATA'!B98</f>
        <v>0</v>
      </c>
      <c r="C96" s="35" t="str">
        <f>IF(SUM('CASE DATA'!K98:T98)&gt;0,IF(OR('CASE DATA'!G98="GTR",'CASE DATA'!G98="GPL",'CASE DATA'!G98="DEF"),IF('CASE DATA'!H98="YES","License &amp; registration","Registration only"),"Z - Neither license nor registration"),"Z - no debt")</f>
        <v>Z - no debt</v>
      </c>
      <c r="D96" s="59">
        <f>SUM('CASE DATA'!K98:T98)</f>
        <v>0</v>
      </c>
    </row>
    <row r="97" spans="1:4" x14ac:dyDescent="0.25">
      <c r="A97" s="35" t="str">
        <f>IF('CASE DATA'!A99="","",'CASE DATA'!A99)</f>
        <v/>
      </c>
      <c r="B97" s="35">
        <f>'CASE DATA'!B99</f>
        <v>0</v>
      </c>
      <c r="C97" s="35" t="str">
        <f>IF(SUM('CASE DATA'!K99:T99)&gt;0,IF(OR('CASE DATA'!G99="GTR",'CASE DATA'!G99="GPL",'CASE DATA'!G99="DEF"),IF('CASE DATA'!H99="YES","License &amp; registration","Registration only"),"Z - Neither license nor registration"),"Z - no debt")</f>
        <v>Z - no debt</v>
      </c>
      <c r="D97" s="59">
        <f>SUM('CASE DATA'!K99:T99)</f>
        <v>0</v>
      </c>
    </row>
    <row r="98" spans="1:4" x14ac:dyDescent="0.25">
      <c r="A98" s="35" t="str">
        <f>IF('CASE DATA'!A100="","",'CASE DATA'!A100)</f>
        <v/>
      </c>
      <c r="B98" s="35">
        <f>'CASE DATA'!B100</f>
        <v>0</v>
      </c>
      <c r="C98" s="35" t="str">
        <f>IF(SUM('CASE DATA'!K100:T100)&gt;0,IF(OR('CASE DATA'!G100="GTR",'CASE DATA'!G100="GPL",'CASE DATA'!G100="DEF"),IF('CASE DATA'!H100="YES","License &amp; registration","Registration only"),"Z - Neither license nor registration"),"Z - no debt")</f>
        <v>Z - no debt</v>
      </c>
      <c r="D98" s="59">
        <f>SUM('CASE DATA'!K100:T100)</f>
        <v>0</v>
      </c>
    </row>
    <row r="99" spans="1:4" x14ac:dyDescent="0.25">
      <c r="A99" s="35" t="str">
        <f>IF('CASE DATA'!A101="","",'CASE DATA'!A101)</f>
        <v/>
      </c>
      <c r="B99" s="35">
        <f>'CASE DATA'!B101</f>
        <v>0</v>
      </c>
      <c r="C99" s="35" t="str">
        <f>IF(SUM('CASE DATA'!K101:T101)&gt;0,IF(OR('CASE DATA'!G101="GTR",'CASE DATA'!G101="GPL",'CASE DATA'!G101="DEF"),IF('CASE DATA'!H101="YES","License &amp; registration","Registration only"),"Z - Neither license nor registration"),"Z - no debt")</f>
        <v>Z - no debt</v>
      </c>
      <c r="D99" s="59">
        <f>SUM('CASE DATA'!K101:T101)</f>
        <v>0</v>
      </c>
    </row>
    <row r="100" spans="1:4" x14ac:dyDescent="0.25">
      <c r="A100" s="35" t="str">
        <f>IF('CASE DATA'!A102="","",'CASE DATA'!A102)</f>
        <v/>
      </c>
      <c r="B100" s="35">
        <f>'CASE DATA'!B102</f>
        <v>0</v>
      </c>
      <c r="C100" s="35" t="str">
        <f>IF(SUM('CASE DATA'!K102:T102)&gt;0,IF(OR('CASE DATA'!G102="GTR",'CASE DATA'!G102="GPL",'CASE DATA'!G102="DEF"),IF('CASE DATA'!H102="YES","License &amp; registration","Registration only"),"Z - Neither license nor registration"),"Z - no debt")</f>
        <v>Z - no debt</v>
      </c>
      <c r="D100" s="59">
        <f>SUM('CASE DATA'!K102:T102)</f>
        <v>0</v>
      </c>
    </row>
    <row r="101" spans="1:4" x14ac:dyDescent="0.25">
      <c r="A101" s="35" t="str">
        <f>IF('CASE DATA'!A103="","",'CASE DATA'!A103)</f>
        <v/>
      </c>
      <c r="B101" s="35">
        <f>'CASE DATA'!B103</f>
        <v>0</v>
      </c>
      <c r="C101" s="35" t="str">
        <f>IF(SUM('CASE DATA'!K103:T103)&gt;0,IF(OR('CASE DATA'!G103="GTR",'CASE DATA'!G103="GPL",'CASE DATA'!G103="DEF"),IF('CASE DATA'!H103="YES","License &amp; registration","Registration only"),"Z - Neither license nor registration"),"Z - no debt")</f>
        <v>Z - no debt</v>
      </c>
      <c r="D101" s="59">
        <f>SUM('CASE DATA'!K103:T103)</f>
        <v>0</v>
      </c>
    </row>
    <row r="102" spans="1:4" x14ac:dyDescent="0.25">
      <c r="A102" s="35" t="str">
        <f>IF('CASE DATA'!A104="","",'CASE DATA'!A104)</f>
        <v/>
      </c>
      <c r="B102" s="35">
        <f>'CASE DATA'!B104</f>
        <v>0</v>
      </c>
      <c r="C102" s="35" t="str">
        <f>IF(SUM('CASE DATA'!K104:T104)&gt;0,IF(OR('CASE DATA'!G104="GTR",'CASE DATA'!G104="GPL",'CASE DATA'!G104="DEF"),IF('CASE DATA'!H104="YES","License &amp; registration","Registration only"),"Z - Neither license nor registration"),"Z - no debt")</f>
        <v>Z - no debt</v>
      </c>
      <c r="D102" s="59">
        <f>SUM('CASE DATA'!K104:T104)</f>
        <v>0</v>
      </c>
    </row>
    <row r="103" spans="1:4" x14ac:dyDescent="0.25">
      <c r="A103" s="35" t="str">
        <f>IF('CASE DATA'!A105="","",'CASE DATA'!A105)</f>
        <v/>
      </c>
      <c r="B103" s="35">
        <f>'CASE DATA'!B105</f>
        <v>0</v>
      </c>
      <c r="C103" s="35" t="str">
        <f>IF(SUM('CASE DATA'!K105:T105)&gt;0,IF(OR('CASE DATA'!G105="GTR",'CASE DATA'!G105="GPL",'CASE DATA'!G105="DEF"),IF('CASE DATA'!H105="YES","License &amp; registration","Registration only"),"Z - Neither license nor registration"),"Z - no debt")</f>
        <v>Z - no debt</v>
      </c>
      <c r="D103" s="59">
        <f>SUM('CASE DATA'!K105:T105)</f>
        <v>0</v>
      </c>
    </row>
    <row r="104" spans="1:4" x14ac:dyDescent="0.25">
      <c r="A104" s="35" t="str">
        <f>IF('CASE DATA'!A106="","",'CASE DATA'!A106)</f>
        <v/>
      </c>
      <c r="B104" s="35">
        <f>'CASE DATA'!B106</f>
        <v>0</v>
      </c>
      <c r="C104" s="35" t="str">
        <f>IF(SUM('CASE DATA'!K106:T106)&gt;0,IF(OR('CASE DATA'!G106="GTR",'CASE DATA'!G106="GPL",'CASE DATA'!G106="DEF"),IF('CASE DATA'!H106="YES","License &amp; registration","Registration only"),"Z - Neither license nor registration"),"Z - no debt")</f>
        <v>Z - no debt</v>
      </c>
      <c r="D104" s="59">
        <f>SUM('CASE DATA'!K106:T106)</f>
        <v>0</v>
      </c>
    </row>
    <row r="105" spans="1:4" x14ac:dyDescent="0.25">
      <c r="A105" s="35" t="str">
        <f>IF('CASE DATA'!A107="","",'CASE DATA'!A107)</f>
        <v/>
      </c>
      <c r="B105" s="35">
        <f>'CASE DATA'!B107</f>
        <v>0</v>
      </c>
      <c r="C105" s="35" t="str">
        <f>IF(SUM('CASE DATA'!K107:T107)&gt;0,IF(OR('CASE DATA'!G107="GTR",'CASE DATA'!G107="GPL",'CASE DATA'!G107="DEF"),IF('CASE DATA'!H107="YES","License &amp; registration","Registration only"),"Z - Neither license nor registration"),"Z - no debt")</f>
        <v>Z - no debt</v>
      </c>
      <c r="D105" s="59">
        <f>SUM('CASE DATA'!K107:T107)</f>
        <v>0</v>
      </c>
    </row>
    <row r="106" spans="1:4" x14ac:dyDescent="0.25">
      <c r="A106" s="35" t="str">
        <f>IF('CASE DATA'!A108="","",'CASE DATA'!A108)</f>
        <v/>
      </c>
      <c r="B106" s="35">
        <f>'CASE DATA'!B108</f>
        <v>0</v>
      </c>
      <c r="C106" s="35" t="str">
        <f>IF(SUM('CASE DATA'!K108:T108)&gt;0,IF(OR('CASE DATA'!G108="GTR",'CASE DATA'!G108="GPL",'CASE DATA'!G108="DEF"),IF('CASE DATA'!H108="YES","License &amp; registration","Registration only"),"Z - Neither license nor registration"),"Z - no debt")</f>
        <v>Z - no debt</v>
      </c>
      <c r="D106" s="59">
        <f>SUM('CASE DATA'!K108:T108)</f>
        <v>0</v>
      </c>
    </row>
    <row r="107" spans="1:4" x14ac:dyDescent="0.25">
      <c r="A107" s="35" t="str">
        <f>IF('CASE DATA'!A109="","",'CASE DATA'!A109)</f>
        <v/>
      </c>
      <c r="B107" s="35">
        <f>'CASE DATA'!B109</f>
        <v>0</v>
      </c>
      <c r="C107" s="35" t="str">
        <f>IF(SUM('CASE DATA'!K109:T109)&gt;0,IF(OR('CASE DATA'!G109="GTR",'CASE DATA'!G109="GPL",'CASE DATA'!G109="DEF"),IF('CASE DATA'!H109="YES","License &amp; registration","Registration only"),"Z - Neither license nor registration"),"Z - no debt")</f>
        <v>Z - no debt</v>
      </c>
      <c r="D107" s="59">
        <f>SUM('CASE DATA'!K109:T109)</f>
        <v>0</v>
      </c>
    </row>
    <row r="108" spans="1:4" x14ac:dyDescent="0.25">
      <c r="A108" s="35" t="str">
        <f>IF('CASE DATA'!A110="","",'CASE DATA'!A110)</f>
        <v/>
      </c>
      <c r="B108" s="35">
        <f>'CASE DATA'!B110</f>
        <v>0</v>
      </c>
      <c r="C108" s="35" t="str">
        <f>IF(SUM('CASE DATA'!K110:T110)&gt;0,IF(OR('CASE DATA'!G110="GTR",'CASE DATA'!G110="GPL",'CASE DATA'!G110="DEF"),IF('CASE DATA'!H110="YES","License &amp; registration","Registration only"),"Z - Neither license nor registration"),"Z - no debt")</f>
        <v>Z - no debt</v>
      </c>
      <c r="D108" s="59">
        <f>SUM('CASE DATA'!K110:T110)</f>
        <v>0</v>
      </c>
    </row>
    <row r="109" spans="1:4" x14ac:dyDescent="0.25">
      <c r="A109" s="35" t="str">
        <f>IF('CASE DATA'!A111="","",'CASE DATA'!A111)</f>
        <v/>
      </c>
      <c r="B109" s="35">
        <f>'CASE DATA'!B111</f>
        <v>0</v>
      </c>
      <c r="C109" s="35" t="str">
        <f>IF(SUM('CASE DATA'!K111:T111)&gt;0,IF(OR('CASE DATA'!G111="GTR",'CASE DATA'!G111="GPL",'CASE DATA'!G111="DEF"),IF('CASE DATA'!H111="YES","License &amp; registration","Registration only"),"Z - Neither license nor registration"),"Z - no debt")</f>
        <v>Z - no debt</v>
      </c>
      <c r="D109" s="59">
        <f>SUM('CASE DATA'!K111:T111)</f>
        <v>0</v>
      </c>
    </row>
    <row r="110" spans="1:4" x14ac:dyDescent="0.25">
      <c r="A110" s="35" t="str">
        <f>IF('CASE DATA'!A112="","",'CASE DATA'!A112)</f>
        <v/>
      </c>
      <c r="B110" s="35">
        <f>'CASE DATA'!B112</f>
        <v>0</v>
      </c>
      <c r="C110" s="35" t="str">
        <f>IF(SUM('CASE DATA'!K112:T112)&gt;0,IF(OR('CASE DATA'!G112="GTR",'CASE DATA'!G112="GPL",'CASE DATA'!G112="DEF"),IF('CASE DATA'!H112="YES","License &amp; registration","Registration only"),"Z - Neither license nor registration"),"Z - no debt")</f>
        <v>Z - no debt</v>
      </c>
      <c r="D110" s="59">
        <f>SUM('CASE DATA'!K112:T112)</f>
        <v>0</v>
      </c>
    </row>
    <row r="111" spans="1:4" x14ac:dyDescent="0.25">
      <c r="A111" s="35" t="str">
        <f>IF('CASE DATA'!A113="","",'CASE DATA'!A113)</f>
        <v/>
      </c>
      <c r="B111" s="35">
        <f>'CASE DATA'!B113</f>
        <v>0</v>
      </c>
      <c r="C111" s="35" t="str">
        <f>IF(SUM('CASE DATA'!K113:T113)&gt;0,IF(OR('CASE DATA'!G113="GTR",'CASE DATA'!G113="GPL",'CASE DATA'!G113="DEF"),IF('CASE DATA'!H113="YES","License &amp; registration","Registration only"),"Z - Neither license nor registration"),"Z - no debt")</f>
        <v>Z - no debt</v>
      </c>
      <c r="D111" s="59">
        <f>SUM('CASE DATA'!K113:T113)</f>
        <v>0</v>
      </c>
    </row>
    <row r="112" spans="1:4" x14ac:dyDescent="0.25">
      <c r="A112" s="35" t="str">
        <f>IF('CASE DATA'!A114="","",'CASE DATA'!A114)</f>
        <v/>
      </c>
      <c r="B112" s="35">
        <f>'CASE DATA'!B114</f>
        <v>0</v>
      </c>
      <c r="C112" s="35" t="str">
        <f>IF(SUM('CASE DATA'!K114:T114)&gt;0,IF(OR('CASE DATA'!G114="GTR",'CASE DATA'!G114="GPL",'CASE DATA'!G114="DEF"),IF('CASE DATA'!H114="YES","License &amp; registration","Registration only"),"Z - Neither license nor registration"),"Z - no debt")</f>
        <v>Z - no debt</v>
      </c>
      <c r="D112" s="59">
        <f>SUM('CASE DATA'!K114:T114)</f>
        <v>0</v>
      </c>
    </row>
    <row r="113" spans="1:4" x14ac:dyDescent="0.25">
      <c r="A113" s="35" t="str">
        <f>IF('CASE DATA'!A115="","",'CASE DATA'!A115)</f>
        <v/>
      </c>
      <c r="B113" s="35">
        <f>'CASE DATA'!B115</f>
        <v>0</v>
      </c>
      <c r="C113" s="35" t="str">
        <f>IF(SUM('CASE DATA'!K115:T115)&gt;0,IF(OR('CASE DATA'!G115="GTR",'CASE DATA'!G115="GPL",'CASE DATA'!G115="DEF"),IF('CASE DATA'!H115="YES","License &amp; registration","Registration only"),"Z - Neither license nor registration"),"Z - no debt")</f>
        <v>Z - no debt</v>
      </c>
      <c r="D113" s="59">
        <f>SUM('CASE DATA'!K115:T115)</f>
        <v>0</v>
      </c>
    </row>
    <row r="114" spans="1:4" x14ac:dyDescent="0.25">
      <c r="A114" s="35" t="str">
        <f>IF('CASE DATA'!A116="","",'CASE DATA'!A116)</f>
        <v/>
      </c>
      <c r="B114" s="35">
        <f>'CASE DATA'!B116</f>
        <v>0</v>
      </c>
      <c r="C114" s="35" t="str">
        <f>IF(SUM('CASE DATA'!K116:T116)&gt;0,IF(OR('CASE DATA'!G116="GTR",'CASE DATA'!G116="GPL",'CASE DATA'!G116="DEF"),IF('CASE DATA'!H116="YES","License &amp; registration","Registration only"),"Z - Neither license nor registration"),"Z - no debt")</f>
        <v>Z - no debt</v>
      </c>
      <c r="D114" s="59">
        <f>SUM('CASE DATA'!K116:T116)</f>
        <v>0</v>
      </c>
    </row>
    <row r="115" spans="1:4" x14ac:dyDescent="0.25">
      <c r="A115" s="35" t="str">
        <f>IF('CASE DATA'!A117="","",'CASE DATA'!A117)</f>
        <v/>
      </c>
      <c r="B115" s="35">
        <f>'CASE DATA'!B117</f>
        <v>0</v>
      </c>
      <c r="C115" s="35" t="str">
        <f>IF(SUM('CASE DATA'!K117:T117)&gt;0,IF(OR('CASE DATA'!G117="GTR",'CASE DATA'!G117="GPL",'CASE DATA'!G117="DEF"),IF('CASE DATA'!H117="YES","License &amp; registration","Registration only"),"Z - Neither license nor registration"),"Z - no debt")</f>
        <v>Z - no debt</v>
      </c>
      <c r="D115" s="59">
        <f>SUM('CASE DATA'!K117:T117)</f>
        <v>0</v>
      </c>
    </row>
    <row r="116" spans="1:4" x14ac:dyDescent="0.25">
      <c r="A116" s="35" t="str">
        <f>IF('CASE DATA'!A118="","",'CASE DATA'!A118)</f>
        <v/>
      </c>
      <c r="B116" s="35">
        <f>'CASE DATA'!B118</f>
        <v>0</v>
      </c>
      <c r="C116" s="35" t="str">
        <f>IF(SUM('CASE DATA'!K118:T118)&gt;0,IF(OR('CASE DATA'!G118="GTR",'CASE DATA'!G118="GPL",'CASE DATA'!G118="DEF"),IF('CASE DATA'!H118="YES","License &amp; registration","Registration only"),"Z - Neither license nor registration"),"Z - no debt")</f>
        <v>Z - no debt</v>
      </c>
      <c r="D116" s="59">
        <f>SUM('CASE DATA'!K118:T118)</f>
        <v>0</v>
      </c>
    </row>
    <row r="117" spans="1:4" x14ac:dyDescent="0.25">
      <c r="A117" s="35" t="str">
        <f>IF('CASE DATA'!A119="","",'CASE DATA'!A119)</f>
        <v/>
      </c>
      <c r="B117" s="35">
        <f>'CASE DATA'!B119</f>
        <v>0</v>
      </c>
      <c r="C117" s="35" t="str">
        <f>IF(SUM('CASE DATA'!K119:T119)&gt;0,IF(OR('CASE DATA'!G119="GTR",'CASE DATA'!G119="GPL",'CASE DATA'!G119="DEF"),IF('CASE DATA'!H119="YES","License &amp; registration","Registration only"),"Z - Neither license nor registration"),"Z - no debt")</f>
        <v>Z - no debt</v>
      </c>
      <c r="D117" s="59">
        <f>SUM('CASE DATA'!K119:T119)</f>
        <v>0</v>
      </c>
    </row>
    <row r="118" spans="1:4" x14ac:dyDescent="0.25">
      <c r="A118" s="35" t="str">
        <f>IF('CASE DATA'!A120="","",'CASE DATA'!A120)</f>
        <v/>
      </c>
      <c r="B118" s="35">
        <f>'CASE DATA'!B120</f>
        <v>0</v>
      </c>
      <c r="C118" s="35" t="str">
        <f>IF(SUM('CASE DATA'!K120:T120)&gt;0,IF(OR('CASE DATA'!G120="GTR",'CASE DATA'!G120="GPL",'CASE DATA'!G120="DEF"),IF('CASE DATA'!H120="YES","License &amp; registration","Registration only"),"Z - Neither license nor registration"),"Z - no debt")</f>
        <v>Z - no debt</v>
      </c>
      <c r="D118" s="59">
        <f>SUM('CASE DATA'!K120:T120)</f>
        <v>0</v>
      </c>
    </row>
    <row r="119" spans="1:4" x14ac:dyDescent="0.25">
      <c r="A119" s="35" t="str">
        <f>IF('CASE DATA'!A121="","",'CASE DATA'!A121)</f>
        <v/>
      </c>
      <c r="B119" s="35">
        <f>'CASE DATA'!B121</f>
        <v>0</v>
      </c>
      <c r="C119" s="35" t="str">
        <f>IF(SUM('CASE DATA'!K121:T121)&gt;0,IF(OR('CASE DATA'!G121="GTR",'CASE DATA'!G121="GPL",'CASE DATA'!G121="DEF"),IF('CASE DATA'!H121="YES","License &amp; registration","Registration only"),"Z - Neither license nor registration"),"Z - no debt")</f>
        <v>Z - no debt</v>
      </c>
      <c r="D119" s="59">
        <f>SUM('CASE DATA'!K121:T121)</f>
        <v>0</v>
      </c>
    </row>
    <row r="120" spans="1:4" x14ac:dyDescent="0.25">
      <c r="A120" s="35" t="str">
        <f>IF('CASE DATA'!A122="","",'CASE DATA'!A122)</f>
        <v/>
      </c>
      <c r="B120" s="35">
        <f>'CASE DATA'!B122</f>
        <v>0</v>
      </c>
      <c r="C120" s="35" t="str">
        <f>IF(SUM('CASE DATA'!K122:T122)&gt;0,IF(OR('CASE DATA'!G122="GTR",'CASE DATA'!G122="GPL",'CASE DATA'!G122="DEF"),IF('CASE DATA'!H122="YES","License &amp; registration","Registration only"),"Z - Neither license nor registration"),"Z - no debt")</f>
        <v>Z - no debt</v>
      </c>
      <c r="D120" s="59">
        <f>SUM('CASE DATA'!K122:T122)</f>
        <v>0</v>
      </c>
    </row>
    <row r="121" spans="1:4" x14ac:dyDescent="0.25">
      <c r="A121" s="35" t="str">
        <f>IF('CASE DATA'!A123="","",'CASE DATA'!A123)</f>
        <v/>
      </c>
      <c r="B121" s="35">
        <f>'CASE DATA'!B123</f>
        <v>0</v>
      </c>
      <c r="C121" s="35" t="str">
        <f>IF(SUM('CASE DATA'!K123:T123)&gt;0,IF(OR('CASE DATA'!G123="GTR",'CASE DATA'!G123="GPL",'CASE DATA'!G123="DEF"),IF('CASE DATA'!H123="YES","License &amp; registration","Registration only"),"Z - Neither license nor registration"),"Z - no debt")</f>
        <v>Z - no debt</v>
      </c>
      <c r="D121" s="59">
        <f>SUM('CASE DATA'!K123:T123)</f>
        <v>0</v>
      </c>
    </row>
    <row r="122" spans="1:4" x14ac:dyDescent="0.25">
      <c r="A122" s="35" t="str">
        <f>IF('CASE DATA'!A124="","",'CASE DATA'!A124)</f>
        <v/>
      </c>
      <c r="B122" s="35">
        <f>'CASE DATA'!B124</f>
        <v>0</v>
      </c>
      <c r="C122" s="35" t="str">
        <f>IF(SUM('CASE DATA'!K124:T124)&gt;0,IF(OR('CASE DATA'!G124="GTR",'CASE DATA'!G124="GPL",'CASE DATA'!G124="DEF"),IF('CASE DATA'!H124="YES","License &amp; registration","Registration only"),"Z - Neither license nor registration"),"Z - no debt")</f>
        <v>Z - no debt</v>
      </c>
      <c r="D122" s="59">
        <f>SUM('CASE DATA'!K124:T124)</f>
        <v>0</v>
      </c>
    </row>
    <row r="123" spans="1:4" x14ac:dyDescent="0.25">
      <c r="A123" s="35" t="str">
        <f>IF('CASE DATA'!A125="","",'CASE DATA'!A125)</f>
        <v/>
      </c>
      <c r="B123" s="35">
        <f>'CASE DATA'!B125</f>
        <v>0</v>
      </c>
      <c r="C123" s="35" t="str">
        <f>IF(SUM('CASE DATA'!K125:T125)&gt;0,IF(OR('CASE DATA'!G125="GTR",'CASE DATA'!G125="GPL",'CASE DATA'!G125="DEF"),IF('CASE DATA'!H125="YES","License &amp; registration","Registration only"),"Z - Neither license nor registration"),"Z - no debt")</f>
        <v>Z - no debt</v>
      </c>
      <c r="D123" s="59">
        <f>SUM('CASE DATA'!K125:T125)</f>
        <v>0</v>
      </c>
    </row>
    <row r="124" spans="1:4" x14ac:dyDescent="0.25">
      <c r="A124" s="35" t="str">
        <f>IF('CASE DATA'!A126="","",'CASE DATA'!A126)</f>
        <v/>
      </c>
      <c r="B124" s="35">
        <f>'CASE DATA'!B126</f>
        <v>0</v>
      </c>
      <c r="C124" s="35" t="str">
        <f>IF(SUM('CASE DATA'!K126:T126)&gt;0,IF(OR('CASE DATA'!G126="GTR",'CASE DATA'!G126="GPL",'CASE DATA'!G126="DEF"),IF('CASE DATA'!H126="YES","License &amp; registration","Registration only"),"Z - Neither license nor registration"),"Z - no debt")</f>
        <v>Z - no debt</v>
      </c>
      <c r="D124" s="59">
        <f>SUM('CASE DATA'!K126:T126)</f>
        <v>0</v>
      </c>
    </row>
    <row r="125" spans="1:4" x14ac:dyDescent="0.25">
      <c r="A125" s="35" t="str">
        <f>IF('CASE DATA'!A127="","",'CASE DATA'!A127)</f>
        <v/>
      </c>
      <c r="B125" s="35">
        <f>'CASE DATA'!B127</f>
        <v>0</v>
      </c>
      <c r="C125" s="35" t="str">
        <f>IF(SUM('CASE DATA'!K127:T127)&gt;0,IF(OR('CASE DATA'!G127="GTR",'CASE DATA'!G127="GPL",'CASE DATA'!G127="DEF"),IF('CASE DATA'!H127="YES","License &amp; registration","Registration only"),"Z - Neither license nor registration"),"Z - no debt")</f>
        <v>Z - no debt</v>
      </c>
      <c r="D125" s="59">
        <f>SUM('CASE DATA'!K127:T127)</f>
        <v>0</v>
      </c>
    </row>
    <row r="126" spans="1:4" x14ac:dyDescent="0.25">
      <c r="A126" s="35" t="str">
        <f>IF('CASE DATA'!A128="","",'CASE DATA'!A128)</f>
        <v/>
      </c>
      <c r="B126" s="35">
        <f>'CASE DATA'!B128</f>
        <v>0</v>
      </c>
      <c r="C126" s="35" t="str">
        <f>IF(SUM('CASE DATA'!K128:T128)&gt;0,IF(OR('CASE DATA'!G128="GTR",'CASE DATA'!G128="GPL",'CASE DATA'!G128="DEF"),IF('CASE DATA'!H128="YES","License &amp; registration","Registration only"),"Z - Neither license nor registration"),"Z - no debt")</f>
        <v>Z - no debt</v>
      </c>
      <c r="D126" s="59">
        <f>SUM('CASE DATA'!K128:T128)</f>
        <v>0</v>
      </c>
    </row>
    <row r="127" spans="1:4" x14ac:dyDescent="0.25">
      <c r="A127" s="35" t="str">
        <f>IF('CASE DATA'!A129="","",'CASE DATA'!A129)</f>
        <v/>
      </c>
      <c r="B127" s="35">
        <f>'CASE DATA'!B129</f>
        <v>0</v>
      </c>
      <c r="C127" s="35" t="str">
        <f>IF(SUM('CASE DATA'!K129:T129)&gt;0,IF(OR('CASE DATA'!G129="GTR",'CASE DATA'!G129="GPL",'CASE DATA'!G129="DEF"),IF('CASE DATA'!H129="YES","License &amp; registration","Registration only"),"Z - Neither license nor registration"),"Z - no debt")</f>
        <v>Z - no debt</v>
      </c>
      <c r="D127" s="59">
        <f>SUM('CASE DATA'!K129:T129)</f>
        <v>0</v>
      </c>
    </row>
    <row r="128" spans="1:4" x14ac:dyDescent="0.25">
      <c r="A128" s="35" t="str">
        <f>IF('CASE DATA'!A130="","",'CASE DATA'!A130)</f>
        <v/>
      </c>
      <c r="B128" s="35">
        <f>'CASE DATA'!B130</f>
        <v>0</v>
      </c>
      <c r="C128" s="35" t="str">
        <f>IF(SUM('CASE DATA'!K130:T130)&gt;0,IF(OR('CASE DATA'!G130="GTR",'CASE DATA'!G130="GPL",'CASE DATA'!G130="DEF"),IF('CASE DATA'!H130="YES","License &amp; registration","Registration only"),"Z - Neither license nor registration"),"Z - no debt")</f>
        <v>Z - no debt</v>
      </c>
      <c r="D128" s="59">
        <f>SUM('CASE DATA'!K130:T130)</f>
        <v>0</v>
      </c>
    </row>
    <row r="129" spans="1:4" x14ac:dyDescent="0.25">
      <c r="A129" s="35" t="str">
        <f>IF('CASE DATA'!A131="","",'CASE DATA'!A131)</f>
        <v/>
      </c>
      <c r="B129" s="35">
        <f>'CASE DATA'!B131</f>
        <v>0</v>
      </c>
      <c r="C129" s="35" t="str">
        <f>IF(SUM('CASE DATA'!K131:T131)&gt;0,IF(OR('CASE DATA'!G131="GTR",'CASE DATA'!G131="GPL",'CASE DATA'!G131="DEF"),IF('CASE DATA'!H131="YES","License &amp; registration","Registration only"),"Z - Neither license nor registration"),"Z - no debt")</f>
        <v>Z - no debt</v>
      </c>
      <c r="D129" s="59">
        <f>SUM('CASE DATA'!K131:T131)</f>
        <v>0</v>
      </c>
    </row>
    <row r="130" spans="1:4" x14ac:dyDescent="0.25">
      <c r="A130" s="35" t="str">
        <f>IF('CASE DATA'!A132="","",'CASE DATA'!A132)</f>
        <v/>
      </c>
      <c r="B130" s="35">
        <f>'CASE DATA'!B132</f>
        <v>0</v>
      </c>
      <c r="C130" s="35" t="str">
        <f>IF(SUM('CASE DATA'!K132:T132)&gt;0,IF(OR('CASE DATA'!G132="GTR",'CASE DATA'!G132="GPL",'CASE DATA'!G132="DEF"),IF('CASE DATA'!H132="YES","License &amp; registration","Registration only"),"Z - Neither license nor registration"),"Z - no debt")</f>
        <v>Z - no debt</v>
      </c>
      <c r="D130" s="59">
        <f>SUM('CASE DATA'!K132:T132)</f>
        <v>0</v>
      </c>
    </row>
    <row r="131" spans="1:4" x14ac:dyDescent="0.25">
      <c r="A131" s="35" t="str">
        <f>IF('CASE DATA'!A133="","",'CASE DATA'!A133)</f>
        <v/>
      </c>
      <c r="B131" s="35">
        <f>'CASE DATA'!B133</f>
        <v>0</v>
      </c>
      <c r="C131" s="35" t="str">
        <f>IF(SUM('CASE DATA'!K133:T133)&gt;0,IF(OR('CASE DATA'!G133="GTR",'CASE DATA'!G133="GPL",'CASE DATA'!G133="DEF"),IF('CASE DATA'!H133="YES","License &amp; registration","Registration only"),"Z - Neither license nor registration"),"Z - no debt")</f>
        <v>Z - no debt</v>
      </c>
      <c r="D131" s="59">
        <f>SUM('CASE DATA'!K133:T133)</f>
        <v>0</v>
      </c>
    </row>
    <row r="132" spans="1:4" x14ac:dyDescent="0.25">
      <c r="A132" s="35" t="str">
        <f>IF('CASE DATA'!A134="","",'CASE DATA'!A134)</f>
        <v/>
      </c>
      <c r="B132" s="35">
        <f>'CASE DATA'!B134</f>
        <v>0</v>
      </c>
      <c r="C132" s="35" t="str">
        <f>IF(SUM('CASE DATA'!K134:T134)&gt;0,IF(OR('CASE DATA'!G134="GTR",'CASE DATA'!G134="GPL",'CASE DATA'!G134="DEF"),IF('CASE DATA'!H134="YES","License &amp; registration","Registration only"),"Z - Neither license nor registration"),"Z - no debt")</f>
        <v>Z - no debt</v>
      </c>
      <c r="D132" s="59">
        <f>SUM('CASE DATA'!K134:T134)</f>
        <v>0</v>
      </c>
    </row>
    <row r="133" spans="1:4" x14ac:dyDescent="0.25">
      <c r="A133" s="35" t="str">
        <f>IF('CASE DATA'!A135="","",'CASE DATA'!A135)</f>
        <v/>
      </c>
      <c r="B133" s="35">
        <f>'CASE DATA'!B135</f>
        <v>0</v>
      </c>
      <c r="C133" s="35" t="str">
        <f>IF(SUM('CASE DATA'!K135:T135)&gt;0,IF(OR('CASE DATA'!G135="GTR",'CASE DATA'!G135="GPL",'CASE DATA'!G135="DEF"),IF('CASE DATA'!H135="YES","License &amp; registration","Registration only"),"Z - Neither license nor registration"),"Z - no debt")</f>
        <v>Z - no debt</v>
      </c>
      <c r="D133" s="59">
        <f>SUM('CASE DATA'!K135:T135)</f>
        <v>0</v>
      </c>
    </row>
    <row r="134" spans="1:4" x14ac:dyDescent="0.25">
      <c r="A134" s="35" t="str">
        <f>IF('CASE DATA'!A136="","",'CASE DATA'!A136)</f>
        <v/>
      </c>
      <c r="B134" s="35">
        <f>'CASE DATA'!B136</f>
        <v>0</v>
      </c>
      <c r="C134" s="35" t="str">
        <f>IF(SUM('CASE DATA'!K136:T136)&gt;0,IF(OR('CASE DATA'!G136="GTR",'CASE DATA'!G136="GPL",'CASE DATA'!G136="DEF"),IF('CASE DATA'!H136="YES","License &amp; registration","Registration only"),"Z - Neither license nor registration"),"Z - no debt")</f>
        <v>Z - no debt</v>
      </c>
      <c r="D134" s="59">
        <f>SUM('CASE DATA'!K136:T136)</f>
        <v>0</v>
      </c>
    </row>
    <row r="135" spans="1:4" x14ac:dyDescent="0.25">
      <c r="A135" s="35" t="str">
        <f>IF('CASE DATA'!A137="","",'CASE DATA'!A137)</f>
        <v/>
      </c>
      <c r="B135" s="35">
        <f>'CASE DATA'!B137</f>
        <v>0</v>
      </c>
      <c r="C135" s="35" t="str">
        <f>IF(SUM('CASE DATA'!K137:T137)&gt;0,IF(OR('CASE DATA'!G137="GTR",'CASE DATA'!G137="GPL",'CASE DATA'!G137="DEF"),IF('CASE DATA'!H137="YES","License &amp; registration","Registration only"),"Z - Neither license nor registration"),"Z - no debt")</f>
        <v>Z - no debt</v>
      </c>
      <c r="D135" s="59">
        <f>SUM('CASE DATA'!K137:T137)</f>
        <v>0</v>
      </c>
    </row>
    <row r="136" spans="1:4" x14ac:dyDescent="0.25">
      <c r="A136" s="35" t="str">
        <f>IF('CASE DATA'!A138="","",'CASE DATA'!A138)</f>
        <v/>
      </c>
      <c r="B136" s="35">
        <f>'CASE DATA'!B138</f>
        <v>0</v>
      </c>
      <c r="C136" s="35" t="str">
        <f>IF(SUM('CASE DATA'!K138:T138)&gt;0,IF(OR('CASE DATA'!G138="GTR",'CASE DATA'!G138="GPL",'CASE DATA'!G138="DEF"),IF('CASE DATA'!H138="YES","License &amp; registration","Registration only"),"Z - Neither license nor registration"),"Z - no debt")</f>
        <v>Z - no debt</v>
      </c>
      <c r="D136" s="59">
        <f>SUM('CASE DATA'!K138:T138)</f>
        <v>0</v>
      </c>
    </row>
    <row r="137" spans="1:4" x14ac:dyDescent="0.25">
      <c r="A137" s="35" t="str">
        <f>IF('CASE DATA'!A139="","",'CASE DATA'!A139)</f>
        <v/>
      </c>
      <c r="B137" s="35">
        <f>'CASE DATA'!B139</f>
        <v>0</v>
      </c>
      <c r="C137" s="35" t="str">
        <f>IF(SUM('CASE DATA'!K139:T139)&gt;0,IF(OR('CASE DATA'!G139="GTR",'CASE DATA'!G139="GPL",'CASE DATA'!G139="DEF"),IF('CASE DATA'!H139="YES","License &amp; registration","Registration only"),"Z - Neither license nor registration"),"Z - no debt")</f>
        <v>Z - no debt</v>
      </c>
      <c r="D137" s="59">
        <f>SUM('CASE DATA'!K139:T139)</f>
        <v>0</v>
      </c>
    </row>
    <row r="138" spans="1:4" x14ac:dyDescent="0.25">
      <c r="A138" s="35" t="str">
        <f>IF('CASE DATA'!A140="","",'CASE DATA'!A140)</f>
        <v/>
      </c>
      <c r="B138" s="35">
        <f>'CASE DATA'!B140</f>
        <v>0</v>
      </c>
      <c r="C138" s="35" t="str">
        <f>IF(SUM('CASE DATA'!K140:T140)&gt;0,IF(OR('CASE DATA'!G140="GTR",'CASE DATA'!G140="GPL",'CASE DATA'!G140="DEF"),IF('CASE DATA'!H140="YES","License &amp; registration","Registration only"),"Z - Neither license nor registration"),"Z - no debt")</f>
        <v>Z - no debt</v>
      </c>
      <c r="D138" s="59">
        <f>SUM('CASE DATA'!K140:T140)</f>
        <v>0</v>
      </c>
    </row>
    <row r="139" spans="1:4" x14ac:dyDescent="0.25">
      <c r="A139" s="35" t="str">
        <f>IF('CASE DATA'!A141="","",'CASE DATA'!A141)</f>
        <v/>
      </c>
      <c r="B139" s="35">
        <f>'CASE DATA'!B141</f>
        <v>0</v>
      </c>
      <c r="C139" s="35" t="str">
        <f>IF(SUM('CASE DATA'!K141:T141)&gt;0,IF(OR('CASE DATA'!G141="GTR",'CASE DATA'!G141="GPL",'CASE DATA'!G141="DEF"),IF('CASE DATA'!H141="YES","License &amp; registration","Registration only"),"Z - Neither license nor registration"),"Z - no debt")</f>
        <v>Z - no debt</v>
      </c>
      <c r="D139" s="59">
        <f>SUM('CASE DATA'!K141:T141)</f>
        <v>0</v>
      </c>
    </row>
    <row r="140" spans="1:4" x14ac:dyDescent="0.25">
      <c r="A140" s="35" t="str">
        <f>IF('CASE DATA'!A142="","",'CASE DATA'!A142)</f>
        <v/>
      </c>
      <c r="B140" s="35">
        <f>'CASE DATA'!B142</f>
        <v>0</v>
      </c>
      <c r="C140" s="35" t="str">
        <f>IF(SUM('CASE DATA'!K142:T142)&gt;0,IF(OR('CASE DATA'!G142="GTR",'CASE DATA'!G142="GPL",'CASE DATA'!G142="DEF"),IF('CASE DATA'!H142="YES","License &amp; registration","Registration only"),"Z - Neither license nor registration"),"Z - no debt")</f>
        <v>Z - no debt</v>
      </c>
      <c r="D140" s="59">
        <f>SUM('CASE DATA'!K142:T142)</f>
        <v>0</v>
      </c>
    </row>
    <row r="141" spans="1:4" x14ac:dyDescent="0.25">
      <c r="A141" s="35" t="str">
        <f>IF('CASE DATA'!A143="","",'CASE DATA'!A143)</f>
        <v/>
      </c>
      <c r="B141" s="35">
        <f>'CASE DATA'!B143</f>
        <v>0</v>
      </c>
      <c r="C141" s="35" t="str">
        <f>IF(SUM('CASE DATA'!K143:T143)&gt;0,IF(OR('CASE DATA'!G143="GTR",'CASE DATA'!G143="GPL",'CASE DATA'!G143="DEF"),IF('CASE DATA'!H143="YES","License &amp; registration","Registration only"),"Z - Neither license nor registration"),"Z - no debt")</f>
        <v>Z - no debt</v>
      </c>
      <c r="D141" s="59">
        <f>SUM('CASE DATA'!K143:T143)</f>
        <v>0</v>
      </c>
    </row>
    <row r="142" spans="1:4" x14ac:dyDescent="0.25">
      <c r="A142" s="35" t="str">
        <f>IF('CASE DATA'!A144="","",'CASE DATA'!A144)</f>
        <v/>
      </c>
      <c r="B142" s="35">
        <f>'CASE DATA'!B144</f>
        <v>0</v>
      </c>
      <c r="C142" s="35" t="str">
        <f>IF(SUM('CASE DATA'!K144:T144)&gt;0,IF(OR('CASE DATA'!G144="GTR",'CASE DATA'!G144="GPL",'CASE DATA'!G144="DEF"),IF('CASE DATA'!H144="YES","License &amp; registration","Registration only"),"Z - Neither license nor registration"),"Z - no debt")</f>
        <v>Z - no debt</v>
      </c>
      <c r="D142" s="59">
        <f>SUM('CASE DATA'!K144:T144)</f>
        <v>0</v>
      </c>
    </row>
    <row r="143" spans="1:4" x14ac:dyDescent="0.25">
      <c r="A143" s="35" t="str">
        <f>IF('CASE DATA'!A145="","",'CASE DATA'!A145)</f>
        <v/>
      </c>
      <c r="B143" s="35">
        <f>'CASE DATA'!B145</f>
        <v>0</v>
      </c>
      <c r="C143" s="35" t="str">
        <f>IF(SUM('CASE DATA'!K145:T145)&gt;0,IF(OR('CASE DATA'!G145="GTR",'CASE DATA'!G145="GPL",'CASE DATA'!G145="DEF"),IF('CASE DATA'!H145="YES","License &amp; registration","Registration only"),"Z - Neither license nor registration"),"Z - no debt")</f>
        <v>Z - no debt</v>
      </c>
      <c r="D143" s="59">
        <f>SUM('CASE DATA'!K145:T145)</f>
        <v>0</v>
      </c>
    </row>
    <row r="144" spans="1:4" x14ac:dyDescent="0.25">
      <c r="A144" s="35" t="str">
        <f>IF('CASE DATA'!A146="","",'CASE DATA'!A146)</f>
        <v/>
      </c>
      <c r="B144" s="35">
        <f>'CASE DATA'!B146</f>
        <v>0</v>
      </c>
      <c r="C144" s="35" t="str">
        <f>IF(SUM('CASE DATA'!K146:T146)&gt;0,IF(OR('CASE DATA'!G146="GTR",'CASE DATA'!G146="GPL",'CASE DATA'!G146="DEF"),IF('CASE DATA'!H146="YES","License &amp; registration","Registration only"),"Z - Neither license nor registration"),"Z - no debt")</f>
        <v>Z - no debt</v>
      </c>
      <c r="D144" s="59">
        <f>SUM('CASE DATA'!K146:T146)</f>
        <v>0</v>
      </c>
    </row>
    <row r="145" spans="1:4" x14ac:dyDescent="0.25">
      <c r="A145" s="35" t="str">
        <f>IF('CASE DATA'!A147="","",'CASE DATA'!A147)</f>
        <v/>
      </c>
      <c r="B145" s="35">
        <f>'CASE DATA'!B147</f>
        <v>0</v>
      </c>
      <c r="C145" s="35" t="str">
        <f>IF(SUM('CASE DATA'!K147:T147)&gt;0,IF(OR('CASE DATA'!G147="GTR",'CASE DATA'!G147="GPL",'CASE DATA'!G147="DEF"),IF('CASE DATA'!H147="YES","License &amp; registration","Registration only"),"Z - Neither license nor registration"),"Z - no debt")</f>
        <v>Z - no debt</v>
      </c>
      <c r="D145" s="59">
        <f>SUM('CASE DATA'!K147:T147)</f>
        <v>0</v>
      </c>
    </row>
    <row r="146" spans="1:4" x14ac:dyDescent="0.25">
      <c r="A146" s="35" t="str">
        <f>IF('CASE DATA'!A148="","",'CASE DATA'!A148)</f>
        <v/>
      </c>
      <c r="B146" s="35">
        <f>'CASE DATA'!B148</f>
        <v>0</v>
      </c>
      <c r="C146" s="35" t="str">
        <f>IF(SUM('CASE DATA'!K148:T148)&gt;0,IF(OR('CASE DATA'!G148="GTR",'CASE DATA'!G148="GPL",'CASE DATA'!G148="DEF"),IF('CASE DATA'!H148="YES","License &amp; registration","Registration only"),"Z - Neither license nor registration"),"Z - no debt")</f>
        <v>Z - no debt</v>
      </c>
      <c r="D146" s="59">
        <f>SUM('CASE DATA'!K148:T148)</f>
        <v>0</v>
      </c>
    </row>
    <row r="147" spans="1:4" x14ac:dyDescent="0.25">
      <c r="A147" s="35" t="str">
        <f>IF('CASE DATA'!A149="","",'CASE DATA'!A149)</f>
        <v/>
      </c>
      <c r="B147" s="35">
        <f>'CASE DATA'!B149</f>
        <v>0</v>
      </c>
      <c r="C147" s="35" t="str">
        <f>IF(SUM('CASE DATA'!K149:T149)&gt;0,IF(OR('CASE DATA'!G149="GTR",'CASE DATA'!G149="GPL",'CASE DATA'!G149="DEF"),IF('CASE DATA'!H149="YES","License &amp; registration","Registration only"),"Z - Neither license nor registration"),"Z - no debt")</f>
        <v>Z - no debt</v>
      </c>
      <c r="D147" s="59">
        <f>SUM('CASE DATA'!K149:T149)</f>
        <v>0</v>
      </c>
    </row>
    <row r="148" spans="1:4" x14ac:dyDescent="0.25">
      <c r="A148" s="35" t="str">
        <f>IF('CASE DATA'!A150="","",'CASE DATA'!A150)</f>
        <v/>
      </c>
      <c r="B148" s="35">
        <f>'CASE DATA'!B150</f>
        <v>0</v>
      </c>
      <c r="C148" s="35" t="str">
        <f>IF(SUM('CASE DATA'!K150:T150)&gt;0,IF(OR('CASE DATA'!G150="GTR",'CASE DATA'!G150="GPL",'CASE DATA'!G150="DEF"),IF('CASE DATA'!H150="YES","License &amp; registration","Registration only"),"Z - Neither license nor registration"),"Z - no debt")</f>
        <v>Z - no debt</v>
      </c>
      <c r="D148" s="59">
        <f>SUM('CASE DATA'!K150:T150)</f>
        <v>0</v>
      </c>
    </row>
    <row r="149" spans="1:4" x14ac:dyDescent="0.25">
      <c r="A149" s="35" t="str">
        <f>IF('CASE DATA'!A151="","",'CASE DATA'!A151)</f>
        <v/>
      </c>
      <c r="B149" s="35">
        <f>'CASE DATA'!B151</f>
        <v>0</v>
      </c>
      <c r="C149" s="35" t="str">
        <f>IF(SUM('CASE DATA'!K151:T151)&gt;0,IF(OR('CASE DATA'!G151="GTR",'CASE DATA'!G151="GPL",'CASE DATA'!G151="DEF"),IF('CASE DATA'!H151="YES","License &amp; registration","Registration only"),"Z - Neither license nor registration"),"Z - no debt")</f>
        <v>Z - no debt</v>
      </c>
      <c r="D149" s="59">
        <f>SUM('CASE DATA'!K151:T151)</f>
        <v>0</v>
      </c>
    </row>
    <row r="150" spans="1:4" x14ac:dyDescent="0.25">
      <c r="A150" s="35" t="str">
        <f>IF('CASE DATA'!A152="","",'CASE DATA'!A152)</f>
        <v/>
      </c>
      <c r="B150" s="35">
        <f>'CASE DATA'!B152</f>
        <v>0</v>
      </c>
      <c r="C150" s="35" t="str">
        <f>IF(SUM('CASE DATA'!K152:T152)&gt;0,IF(OR('CASE DATA'!G152="GTR",'CASE DATA'!G152="GPL",'CASE DATA'!G152="DEF"),IF('CASE DATA'!H152="YES","License &amp; registration","Registration only"),"Z - Neither license nor registration"),"Z - no debt")</f>
        <v>Z - no debt</v>
      </c>
      <c r="D150" s="59">
        <f>SUM('CASE DATA'!K152:T152)</f>
        <v>0</v>
      </c>
    </row>
    <row r="151" spans="1:4" x14ac:dyDescent="0.25">
      <c r="A151" s="35" t="str">
        <f>IF('CASE DATA'!A153="","",'CASE DATA'!A153)</f>
        <v/>
      </c>
      <c r="B151" s="35">
        <f>'CASE DATA'!B153</f>
        <v>0</v>
      </c>
      <c r="C151" s="35" t="str">
        <f>IF(SUM('CASE DATA'!K153:T153)&gt;0,IF(OR('CASE DATA'!G153="GTR",'CASE DATA'!G153="GPL",'CASE DATA'!G153="DEF"),IF('CASE DATA'!H153="YES","License &amp; registration","Registration only"),"Z - Neither license nor registration"),"Z - no debt")</f>
        <v>Z - no debt</v>
      </c>
      <c r="D151" s="59">
        <f>SUM('CASE DATA'!K153:T153)</f>
        <v>0</v>
      </c>
    </row>
    <row r="152" spans="1:4" x14ac:dyDescent="0.25">
      <c r="A152" s="35" t="str">
        <f>IF('CASE DATA'!A154="","",'CASE DATA'!A154)</f>
        <v/>
      </c>
      <c r="B152" s="35">
        <f>'CASE DATA'!B154</f>
        <v>0</v>
      </c>
      <c r="C152" s="35" t="str">
        <f>IF(SUM('CASE DATA'!K154:T154)&gt;0,IF(OR('CASE DATA'!G154="GTR",'CASE DATA'!G154="GPL",'CASE DATA'!G154="DEF"),IF('CASE DATA'!H154="YES","License &amp; registration","Registration only"),"Z - Neither license nor registration"),"Z - no debt")</f>
        <v>Z - no debt</v>
      </c>
      <c r="D152" s="59">
        <f>SUM('CASE DATA'!K154:T154)</f>
        <v>0</v>
      </c>
    </row>
    <row r="153" spans="1:4" x14ac:dyDescent="0.25">
      <c r="A153" s="35" t="str">
        <f>IF('CASE DATA'!A155="","",'CASE DATA'!A155)</f>
        <v/>
      </c>
      <c r="B153" s="35">
        <f>'CASE DATA'!B155</f>
        <v>0</v>
      </c>
      <c r="C153" s="35" t="str">
        <f>IF(SUM('CASE DATA'!K155:T155)&gt;0,IF(OR('CASE DATA'!G155="GTR",'CASE DATA'!G155="GPL",'CASE DATA'!G155="DEF"),IF('CASE DATA'!H155="YES","License &amp; registration","Registration only"),"Z - Neither license nor registration"),"Z - no debt")</f>
        <v>Z - no debt</v>
      </c>
      <c r="D153" s="59">
        <f>SUM('CASE DATA'!K155:T155)</f>
        <v>0</v>
      </c>
    </row>
    <row r="154" spans="1:4" x14ac:dyDescent="0.25">
      <c r="A154" s="35" t="str">
        <f>IF('CASE DATA'!A156="","",'CASE DATA'!A156)</f>
        <v/>
      </c>
      <c r="B154" s="35">
        <f>'CASE DATA'!B156</f>
        <v>0</v>
      </c>
      <c r="C154" s="35" t="str">
        <f>IF(SUM('CASE DATA'!K156:T156)&gt;0,IF(OR('CASE DATA'!G156="GTR",'CASE DATA'!G156="GPL",'CASE DATA'!G156="DEF"),IF('CASE DATA'!H156="YES","License &amp; registration","Registration only"),"Z - Neither license nor registration"),"Z - no debt")</f>
        <v>Z - no debt</v>
      </c>
      <c r="D154" s="59">
        <f>SUM('CASE DATA'!K156:T156)</f>
        <v>0</v>
      </c>
    </row>
    <row r="155" spans="1:4" x14ac:dyDescent="0.25">
      <c r="A155" s="35" t="str">
        <f>IF('CASE DATA'!A157="","",'CASE DATA'!A157)</f>
        <v/>
      </c>
      <c r="B155" s="35">
        <f>'CASE DATA'!B157</f>
        <v>0</v>
      </c>
      <c r="C155" s="35" t="str">
        <f>IF(SUM('CASE DATA'!K157:T157)&gt;0,IF(OR('CASE DATA'!G157="GTR",'CASE DATA'!G157="GPL",'CASE DATA'!G157="DEF"),IF('CASE DATA'!H157="YES","License &amp; registration","Registration only"),"Z - Neither license nor registration"),"Z - no debt")</f>
        <v>Z - no debt</v>
      </c>
      <c r="D155" s="59">
        <f>SUM('CASE DATA'!K157:T157)</f>
        <v>0</v>
      </c>
    </row>
    <row r="156" spans="1:4" x14ac:dyDescent="0.25">
      <c r="A156" s="35" t="str">
        <f>IF('CASE DATA'!A158="","",'CASE DATA'!A158)</f>
        <v/>
      </c>
      <c r="B156" s="35">
        <f>'CASE DATA'!B158</f>
        <v>0</v>
      </c>
      <c r="C156" s="35" t="str">
        <f>IF(SUM('CASE DATA'!K158:T158)&gt;0,IF(OR('CASE DATA'!G158="GTR",'CASE DATA'!G158="GPL",'CASE DATA'!G158="DEF"),IF('CASE DATA'!H158="YES","License &amp; registration","Registration only"),"Z - Neither license nor registration"),"Z - no debt")</f>
        <v>Z - no debt</v>
      </c>
      <c r="D156" s="59">
        <f>SUM('CASE DATA'!K158:T158)</f>
        <v>0</v>
      </c>
    </row>
    <row r="157" spans="1:4" x14ac:dyDescent="0.25">
      <c r="A157" s="35" t="str">
        <f>IF('CASE DATA'!A159="","",'CASE DATA'!A159)</f>
        <v/>
      </c>
      <c r="B157" s="35">
        <f>'CASE DATA'!B159</f>
        <v>0</v>
      </c>
      <c r="C157" s="35" t="str">
        <f>IF(SUM('CASE DATA'!K159:T159)&gt;0,IF(OR('CASE DATA'!G159="GTR",'CASE DATA'!G159="GPL",'CASE DATA'!G159="DEF"),IF('CASE DATA'!H159="YES","License &amp; registration","Registration only"),"Z - Neither license nor registration"),"Z - no debt")</f>
        <v>Z - no debt</v>
      </c>
      <c r="D157" s="59">
        <f>SUM('CASE DATA'!K159:T159)</f>
        <v>0</v>
      </c>
    </row>
    <row r="158" spans="1:4" x14ac:dyDescent="0.25">
      <c r="A158" s="35" t="str">
        <f>IF('CASE DATA'!A160="","",'CASE DATA'!A160)</f>
        <v/>
      </c>
      <c r="B158" s="35">
        <f>'CASE DATA'!B160</f>
        <v>0</v>
      </c>
      <c r="C158" s="35" t="str">
        <f>IF(SUM('CASE DATA'!K160:T160)&gt;0,IF(OR('CASE DATA'!G160="GTR",'CASE DATA'!G160="GPL",'CASE DATA'!G160="DEF"),IF('CASE DATA'!H160="YES","License &amp; registration","Registration only"),"Z - Neither license nor registration"),"Z - no debt")</f>
        <v>Z - no debt</v>
      </c>
      <c r="D158" s="59">
        <f>SUM('CASE DATA'!K160:T160)</f>
        <v>0</v>
      </c>
    </row>
    <row r="159" spans="1:4" x14ac:dyDescent="0.25">
      <c r="A159" s="35" t="str">
        <f>IF('CASE DATA'!A161="","",'CASE DATA'!A161)</f>
        <v/>
      </c>
      <c r="B159" s="35">
        <f>'CASE DATA'!B161</f>
        <v>0</v>
      </c>
      <c r="C159" s="35" t="str">
        <f>IF(SUM('CASE DATA'!K161:T161)&gt;0,IF(OR('CASE DATA'!G161="GTR",'CASE DATA'!G161="GPL",'CASE DATA'!G161="DEF"),IF('CASE DATA'!H161="YES","License &amp; registration","Registration only"),"Z - Neither license nor registration"),"Z - no debt")</f>
        <v>Z - no debt</v>
      </c>
      <c r="D159" s="59">
        <f>SUM('CASE DATA'!K161:T161)</f>
        <v>0</v>
      </c>
    </row>
    <row r="160" spans="1:4" x14ac:dyDescent="0.25">
      <c r="A160" s="35" t="str">
        <f>IF('CASE DATA'!A162="","",'CASE DATA'!A162)</f>
        <v/>
      </c>
      <c r="B160" s="35">
        <f>'CASE DATA'!B162</f>
        <v>0</v>
      </c>
      <c r="C160" s="35" t="str">
        <f>IF(SUM('CASE DATA'!K162:T162)&gt;0,IF(OR('CASE DATA'!G162="GTR",'CASE DATA'!G162="GPL",'CASE DATA'!G162="DEF"),IF('CASE DATA'!H162="YES","License &amp; registration","Registration only"),"Z - Neither license nor registration"),"Z - no debt")</f>
        <v>Z - no debt</v>
      </c>
      <c r="D160" s="59">
        <f>SUM('CASE DATA'!K162:T162)</f>
        <v>0</v>
      </c>
    </row>
    <row r="161" spans="1:4" x14ac:dyDescent="0.25">
      <c r="A161" s="35" t="str">
        <f>IF('CASE DATA'!A163="","",'CASE DATA'!A163)</f>
        <v/>
      </c>
      <c r="B161" s="35">
        <f>'CASE DATA'!B163</f>
        <v>0</v>
      </c>
      <c r="C161" s="35" t="str">
        <f>IF(SUM('CASE DATA'!K163:T163)&gt;0,IF(OR('CASE DATA'!G163="GTR",'CASE DATA'!G163="GPL",'CASE DATA'!G163="DEF"),IF('CASE DATA'!H163="YES","License &amp; registration","Registration only"),"Z - Neither license nor registration"),"Z - no debt")</f>
        <v>Z - no debt</v>
      </c>
      <c r="D161" s="59">
        <f>SUM('CASE DATA'!K163:T163)</f>
        <v>0</v>
      </c>
    </row>
    <row r="162" spans="1:4" x14ac:dyDescent="0.25">
      <c r="A162" s="35" t="str">
        <f>IF('CASE DATA'!A164="","",'CASE DATA'!A164)</f>
        <v/>
      </c>
      <c r="B162" s="35">
        <f>'CASE DATA'!B164</f>
        <v>0</v>
      </c>
      <c r="C162" s="35" t="str">
        <f>IF(SUM('CASE DATA'!K164:T164)&gt;0,IF(OR('CASE DATA'!G164="GTR",'CASE DATA'!G164="GPL",'CASE DATA'!G164="DEF"),IF('CASE DATA'!H164="YES","License &amp; registration","Registration only"),"Z - Neither license nor registration"),"Z - no debt")</f>
        <v>Z - no debt</v>
      </c>
      <c r="D162" s="59">
        <f>SUM('CASE DATA'!K164:T164)</f>
        <v>0</v>
      </c>
    </row>
    <row r="163" spans="1:4" x14ac:dyDescent="0.25">
      <c r="A163" s="35" t="str">
        <f>IF('CASE DATA'!A165="","",'CASE DATA'!A165)</f>
        <v/>
      </c>
      <c r="B163" s="35">
        <f>'CASE DATA'!B165</f>
        <v>0</v>
      </c>
      <c r="C163" s="35" t="str">
        <f>IF(SUM('CASE DATA'!K165:T165)&gt;0,IF(OR('CASE DATA'!G165="GTR",'CASE DATA'!G165="GPL",'CASE DATA'!G165="DEF"),IF('CASE DATA'!H165="YES","License &amp; registration","Registration only"),"Z - Neither license nor registration"),"Z - no debt")</f>
        <v>Z - no debt</v>
      </c>
      <c r="D163" s="59">
        <f>SUM('CASE DATA'!K165:T165)</f>
        <v>0</v>
      </c>
    </row>
    <row r="164" spans="1:4" x14ac:dyDescent="0.25">
      <c r="A164" s="35" t="str">
        <f>IF('CASE DATA'!A166="","",'CASE DATA'!A166)</f>
        <v/>
      </c>
      <c r="B164" s="35">
        <f>'CASE DATA'!B166</f>
        <v>0</v>
      </c>
      <c r="C164" s="35" t="str">
        <f>IF(SUM('CASE DATA'!K166:T166)&gt;0,IF(OR('CASE DATA'!G166="GTR",'CASE DATA'!G166="GPL",'CASE DATA'!G166="DEF"),IF('CASE DATA'!H166="YES","License &amp; registration","Registration only"),"Z - Neither license nor registration"),"Z - no debt")</f>
        <v>Z - no debt</v>
      </c>
      <c r="D164" s="59">
        <f>SUM('CASE DATA'!K166:T166)</f>
        <v>0</v>
      </c>
    </row>
    <row r="165" spans="1:4" x14ac:dyDescent="0.25">
      <c r="A165" s="35" t="str">
        <f>IF('CASE DATA'!A167="","",'CASE DATA'!A167)</f>
        <v/>
      </c>
      <c r="B165" s="35">
        <f>'CASE DATA'!B167</f>
        <v>0</v>
      </c>
      <c r="C165" s="35" t="str">
        <f>IF(SUM('CASE DATA'!K167:T167)&gt;0,IF(OR('CASE DATA'!G167="GTR",'CASE DATA'!G167="GPL",'CASE DATA'!G167="DEF"),IF('CASE DATA'!H167="YES","License &amp; registration","Registration only"),"Z - Neither license nor registration"),"Z - no debt")</f>
        <v>Z - no debt</v>
      </c>
      <c r="D165" s="59">
        <f>SUM('CASE DATA'!K167:T167)</f>
        <v>0</v>
      </c>
    </row>
    <row r="166" spans="1:4" x14ac:dyDescent="0.25">
      <c r="A166" s="35" t="str">
        <f>IF('CASE DATA'!A168="","",'CASE DATA'!A168)</f>
        <v/>
      </c>
      <c r="B166" s="35">
        <f>'CASE DATA'!B168</f>
        <v>0</v>
      </c>
      <c r="C166" s="35" t="str">
        <f>IF(SUM('CASE DATA'!K168:T168)&gt;0,IF(OR('CASE DATA'!G168="GTR",'CASE DATA'!G168="GPL",'CASE DATA'!G168="DEF"),IF('CASE DATA'!H168="YES","License &amp; registration","Registration only"),"Z - Neither license nor registration"),"Z - no debt")</f>
        <v>Z - no debt</v>
      </c>
      <c r="D166" s="59">
        <f>SUM('CASE DATA'!K168:T168)</f>
        <v>0</v>
      </c>
    </row>
    <row r="167" spans="1:4" x14ac:dyDescent="0.25">
      <c r="A167" s="35" t="str">
        <f>IF('CASE DATA'!A169="","",'CASE DATA'!A169)</f>
        <v/>
      </c>
      <c r="B167" s="35">
        <f>'CASE DATA'!B169</f>
        <v>0</v>
      </c>
      <c r="C167" s="35" t="str">
        <f>IF(SUM('CASE DATA'!K169:T169)&gt;0,IF(OR('CASE DATA'!G169="GTR",'CASE DATA'!G169="GPL",'CASE DATA'!G169="DEF"),IF('CASE DATA'!H169="YES","License &amp; registration","Registration only"),"Z - Neither license nor registration"),"Z - no debt")</f>
        <v>Z - no debt</v>
      </c>
      <c r="D167" s="59">
        <f>SUM('CASE DATA'!K169:T169)</f>
        <v>0</v>
      </c>
    </row>
    <row r="168" spans="1:4" x14ac:dyDescent="0.25">
      <c r="A168" s="35" t="str">
        <f>IF('CASE DATA'!A170="","",'CASE DATA'!A170)</f>
        <v/>
      </c>
      <c r="B168" s="35">
        <f>'CASE DATA'!B170</f>
        <v>0</v>
      </c>
      <c r="C168" s="35" t="str">
        <f>IF(SUM('CASE DATA'!K170:T170)&gt;0,IF(OR('CASE DATA'!G170="GTR",'CASE DATA'!G170="GPL",'CASE DATA'!G170="DEF"),IF('CASE DATA'!H170="YES","License &amp; registration","Registration only"),"Z - Neither license nor registration"),"Z - no debt")</f>
        <v>Z - no debt</v>
      </c>
      <c r="D168" s="59">
        <f>SUM('CASE DATA'!K170:T170)</f>
        <v>0</v>
      </c>
    </row>
    <row r="169" spans="1:4" x14ac:dyDescent="0.25">
      <c r="A169" s="35" t="str">
        <f>IF('CASE DATA'!A171="","",'CASE DATA'!A171)</f>
        <v/>
      </c>
      <c r="B169" s="35">
        <f>'CASE DATA'!B171</f>
        <v>0</v>
      </c>
      <c r="C169" s="35" t="str">
        <f>IF(SUM('CASE DATA'!K171:T171)&gt;0,IF(OR('CASE DATA'!G171="GTR",'CASE DATA'!G171="GPL",'CASE DATA'!G171="DEF"),IF('CASE DATA'!H171="YES","License &amp; registration","Registration only"),"Z - Neither license nor registration"),"Z - no debt")</f>
        <v>Z - no debt</v>
      </c>
      <c r="D169" s="59">
        <f>SUM('CASE DATA'!K171:T171)</f>
        <v>0</v>
      </c>
    </row>
    <row r="170" spans="1:4" x14ac:dyDescent="0.25">
      <c r="A170" s="35" t="str">
        <f>IF('CASE DATA'!A172="","",'CASE DATA'!A172)</f>
        <v/>
      </c>
      <c r="B170" s="35">
        <f>'CASE DATA'!B172</f>
        <v>0</v>
      </c>
      <c r="C170" s="35" t="str">
        <f>IF(SUM('CASE DATA'!K172:T172)&gt;0,IF(OR('CASE DATA'!G172="GTR",'CASE DATA'!G172="GPL",'CASE DATA'!G172="DEF"),IF('CASE DATA'!H172="YES","License &amp; registration","Registration only"),"Z - Neither license nor registration"),"Z - no debt")</f>
        <v>Z - no debt</v>
      </c>
      <c r="D170" s="59">
        <f>SUM('CASE DATA'!K172:T172)</f>
        <v>0</v>
      </c>
    </row>
    <row r="171" spans="1:4" x14ac:dyDescent="0.25">
      <c r="A171" s="35" t="str">
        <f>IF('CASE DATA'!A173="","",'CASE DATA'!A173)</f>
        <v/>
      </c>
      <c r="B171" s="35">
        <f>'CASE DATA'!B173</f>
        <v>0</v>
      </c>
      <c r="C171" s="35" t="str">
        <f>IF(SUM('CASE DATA'!K173:T173)&gt;0,IF(OR('CASE DATA'!G173="GTR",'CASE DATA'!G173="GPL",'CASE DATA'!G173="DEF"),IF('CASE DATA'!H173="YES","License &amp; registration","Registration only"),"Z - Neither license nor registration"),"Z - no debt")</f>
        <v>Z - no debt</v>
      </c>
      <c r="D171" s="59">
        <f>SUM('CASE DATA'!K173:T173)</f>
        <v>0</v>
      </c>
    </row>
    <row r="172" spans="1:4" x14ac:dyDescent="0.25">
      <c r="A172" s="35" t="str">
        <f>IF('CASE DATA'!A174="","",'CASE DATA'!A174)</f>
        <v/>
      </c>
      <c r="B172" s="35">
        <f>'CASE DATA'!B174</f>
        <v>0</v>
      </c>
      <c r="C172" s="35" t="str">
        <f>IF(SUM('CASE DATA'!K174:T174)&gt;0,IF(OR('CASE DATA'!G174="GTR",'CASE DATA'!G174="GPL",'CASE DATA'!G174="DEF"),IF('CASE DATA'!H174="YES","License &amp; registration","Registration only"),"Z - Neither license nor registration"),"Z - no debt")</f>
        <v>Z - no debt</v>
      </c>
      <c r="D172" s="59">
        <f>SUM('CASE DATA'!K174:T174)</f>
        <v>0</v>
      </c>
    </row>
    <row r="173" spans="1:4" x14ac:dyDescent="0.25">
      <c r="A173" s="35" t="str">
        <f>IF('CASE DATA'!A175="","",'CASE DATA'!A175)</f>
        <v/>
      </c>
      <c r="B173" s="35">
        <f>'CASE DATA'!B175</f>
        <v>0</v>
      </c>
      <c r="C173" s="35" t="str">
        <f>IF(SUM('CASE DATA'!K175:T175)&gt;0,IF(OR('CASE DATA'!G175="GTR",'CASE DATA'!G175="GPL",'CASE DATA'!G175="DEF"),IF('CASE DATA'!H175="YES","License &amp; registration","Registration only"),"Z - Neither license nor registration"),"Z - no debt")</f>
        <v>Z - no debt</v>
      </c>
      <c r="D173" s="59">
        <f>SUM('CASE DATA'!K175:T175)</f>
        <v>0</v>
      </c>
    </row>
    <row r="174" spans="1:4" x14ac:dyDescent="0.25">
      <c r="A174" s="35" t="str">
        <f>IF('CASE DATA'!A176="","",'CASE DATA'!A176)</f>
        <v/>
      </c>
      <c r="B174" s="35">
        <f>'CASE DATA'!B176</f>
        <v>0</v>
      </c>
      <c r="C174" s="35" t="str">
        <f>IF(SUM('CASE DATA'!K176:T176)&gt;0,IF(OR('CASE DATA'!G176="GTR",'CASE DATA'!G176="GPL",'CASE DATA'!G176="DEF"),IF('CASE DATA'!H176="YES","License &amp; registration","Registration only"),"Z - Neither license nor registration"),"Z - no debt")</f>
        <v>Z - no debt</v>
      </c>
      <c r="D174" s="59">
        <f>SUM('CASE DATA'!K176:T176)</f>
        <v>0</v>
      </c>
    </row>
    <row r="175" spans="1:4" x14ac:dyDescent="0.25">
      <c r="A175" s="35" t="str">
        <f>IF('CASE DATA'!A177="","",'CASE DATA'!A177)</f>
        <v/>
      </c>
      <c r="B175" s="35">
        <f>'CASE DATA'!B177</f>
        <v>0</v>
      </c>
      <c r="C175" s="35" t="str">
        <f>IF(SUM('CASE DATA'!K177:T177)&gt;0,IF(OR('CASE DATA'!G177="GTR",'CASE DATA'!G177="GPL",'CASE DATA'!G177="DEF"),IF('CASE DATA'!H177="YES","License &amp; registration","Registration only"),"Z - Neither license nor registration"),"Z - no debt")</f>
        <v>Z - no debt</v>
      </c>
      <c r="D175" s="59">
        <f>SUM('CASE DATA'!K177:T177)</f>
        <v>0</v>
      </c>
    </row>
    <row r="176" spans="1:4" x14ac:dyDescent="0.25">
      <c r="A176" s="35" t="str">
        <f>IF('CASE DATA'!A178="","",'CASE DATA'!A178)</f>
        <v/>
      </c>
      <c r="B176" s="35">
        <f>'CASE DATA'!B178</f>
        <v>0</v>
      </c>
      <c r="C176" s="35" t="str">
        <f>IF(SUM('CASE DATA'!K178:T178)&gt;0,IF(OR('CASE DATA'!G178="GTR",'CASE DATA'!G178="GPL",'CASE DATA'!G178="DEF"),IF('CASE DATA'!H178="YES","License &amp; registration","Registration only"),"Z - Neither license nor registration"),"Z - no debt")</f>
        <v>Z - no debt</v>
      </c>
      <c r="D176" s="59">
        <f>SUM('CASE DATA'!K178:T178)</f>
        <v>0</v>
      </c>
    </row>
    <row r="177" spans="1:4" x14ac:dyDescent="0.25">
      <c r="A177" s="35" t="str">
        <f>IF('CASE DATA'!A179="","",'CASE DATA'!A179)</f>
        <v/>
      </c>
      <c r="B177" s="35">
        <f>'CASE DATA'!B179</f>
        <v>0</v>
      </c>
      <c r="C177" s="35" t="str">
        <f>IF(SUM('CASE DATA'!K179:T179)&gt;0,IF(OR('CASE DATA'!G179="GTR",'CASE DATA'!G179="GPL",'CASE DATA'!G179="DEF"),IF('CASE DATA'!H179="YES","License &amp; registration","Registration only"),"Z - Neither license nor registration"),"Z - no debt")</f>
        <v>Z - no debt</v>
      </c>
      <c r="D177" s="59">
        <f>SUM('CASE DATA'!K179:T179)</f>
        <v>0</v>
      </c>
    </row>
    <row r="178" spans="1:4" x14ac:dyDescent="0.25">
      <c r="A178" s="35" t="str">
        <f>IF('CASE DATA'!A180="","",'CASE DATA'!A180)</f>
        <v/>
      </c>
      <c r="B178" s="35">
        <f>'CASE DATA'!B180</f>
        <v>0</v>
      </c>
      <c r="C178" s="35" t="str">
        <f>IF(SUM('CASE DATA'!K180:T180)&gt;0,IF(OR('CASE DATA'!G180="GTR",'CASE DATA'!G180="GPL",'CASE DATA'!G180="DEF"),IF('CASE DATA'!H180="YES","License &amp; registration","Registration only"),"Z - Neither license nor registration"),"Z - no debt")</f>
        <v>Z - no debt</v>
      </c>
      <c r="D178" s="59">
        <f>SUM('CASE DATA'!K180:T180)</f>
        <v>0</v>
      </c>
    </row>
    <row r="179" spans="1:4" x14ac:dyDescent="0.25">
      <c r="A179" s="35" t="str">
        <f>IF('CASE DATA'!A181="","",'CASE DATA'!A181)</f>
        <v/>
      </c>
      <c r="B179" s="35">
        <f>'CASE DATA'!B181</f>
        <v>0</v>
      </c>
      <c r="C179" s="35" t="str">
        <f>IF(SUM('CASE DATA'!K181:T181)&gt;0,IF(OR('CASE DATA'!G181="GTR",'CASE DATA'!G181="GPL",'CASE DATA'!G181="DEF"),IF('CASE DATA'!H181="YES","License &amp; registration","Registration only"),"Z - Neither license nor registration"),"Z - no debt")</f>
        <v>Z - no debt</v>
      </c>
      <c r="D179" s="59">
        <f>SUM('CASE DATA'!K181:T181)</f>
        <v>0</v>
      </c>
    </row>
    <row r="180" spans="1:4" x14ac:dyDescent="0.25">
      <c r="A180" s="35" t="str">
        <f>IF('CASE DATA'!A182="","",'CASE DATA'!A182)</f>
        <v/>
      </c>
      <c r="B180" s="35">
        <f>'CASE DATA'!B182</f>
        <v>0</v>
      </c>
      <c r="C180" s="35" t="str">
        <f>IF(SUM('CASE DATA'!K182:T182)&gt;0,IF(OR('CASE DATA'!G182="GTR",'CASE DATA'!G182="GPL",'CASE DATA'!G182="DEF"),IF('CASE DATA'!H182="YES","License &amp; registration","Registration only"),"Z - Neither license nor registration"),"Z - no debt")</f>
        <v>Z - no debt</v>
      </c>
      <c r="D180" s="59">
        <f>SUM('CASE DATA'!K182:T182)</f>
        <v>0</v>
      </c>
    </row>
    <row r="181" spans="1:4" x14ac:dyDescent="0.25">
      <c r="A181" s="35" t="str">
        <f>IF('CASE DATA'!A183="","",'CASE DATA'!A183)</f>
        <v/>
      </c>
      <c r="B181" s="35">
        <f>'CASE DATA'!B183</f>
        <v>0</v>
      </c>
      <c r="C181" s="35" t="str">
        <f>IF(SUM('CASE DATA'!K183:T183)&gt;0,IF(OR('CASE DATA'!G183="GTR",'CASE DATA'!G183="GPL",'CASE DATA'!G183="DEF"),IF('CASE DATA'!H183="YES","License &amp; registration","Registration only"),"Z - Neither license nor registration"),"Z - no debt")</f>
        <v>Z - no debt</v>
      </c>
      <c r="D181" s="59">
        <f>SUM('CASE DATA'!K183:T183)</f>
        <v>0</v>
      </c>
    </row>
    <row r="182" spans="1:4" x14ac:dyDescent="0.25">
      <c r="A182" s="35" t="str">
        <f>IF('CASE DATA'!A184="","",'CASE DATA'!A184)</f>
        <v/>
      </c>
      <c r="B182" s="35">
        <f>'CASE DATA'!B184</f>
        <v>0</v>
      </c>
      <c r="C182" s="35" t="str">
        <f>IF(SUM('CASE DATA'!K184:T184)&gt;0,IF(OR('CASE DATA'!G184="GTR",'CASE DATA'!G184="GPL",'CASE DATA'!G184="DEF"),IF('CASE DATA'!H184="YES","License &amp; registration","Registration only"),"Z - Neither license nor registration"),"Z - no debt")</f>
        <v>Z - no debt</v>
      </c>
      <c r="D182" s="59">
        <f>SUM('CASE DATA'!K184:T184)</f>
        <v>0</v>
      </c>
    </row>
    <row r="183" spans="1:4" x14ac:dyDescent="0.25">
      <c r="A183" s="35" t="str">
        <f>IF('CASE DATA'!A185="","",'CASE DATA'!A185)</f>
        <v/>
      </c>
      <c r="B183" s="35">
        <f>'CASE DATA'!B185</f>
        <v>0</v>
      </c>
      <c r="C183" s="35" t="str">
        <f>IF(SUM('CASE DATA'!K185:T185)&gt;0,IF(OR('CASE DATA'!G185="GTR",'CASE DATA'!G185="GPL",'CASE DATA'!G185="DEF"),IF('CASE DATA'!H185="YES","License &amp; registration","Registration only"),"Z - Neither license nor registration"),"Z - no debt")</f>
        <v>Z - no debt</v>
      </c>
      <c r="D183" s="59">
        <f>SUM('CASE DATA'!K185:T185)</f>
        <v>0</v>
      </c>
    </row>
    <row r="184" spans="1:4" x14ac:dyDescent="0.25">
      <c r="A184" s="35" t="str">
        <f>IF('CASE DATA'!A186="","",'CASE DATA'!A186)</f>
        <v/>
      </c>
      <c r="B184" s="35">
        <f>'CASE DATA'!B186</f>
        <v>0</v>
      </c>
      <c r="C184" s="35" t="str">
        <f>IF(SUM('CASE DATA'!K186:T186)&gt;0,IF(OR('CASE DATA'!G186="GTR",'CASE DATA'!G186="GPL",'CASE DATA'!G186="DEF"),IF('CASE DATA'!H186="YES","License &amp; registration","Registration only"),"Z - Neither license nor registration"),"Z - no debt")</f>
        <v>Z - no debt</v>
      </c>
      <c r="D184" s="59">
        <f>SUM('CASE DATA'!K186:T186)</f>
        <v>0</v>
      </c>
    </row>
    <row r="185" spans="1:4" x14ac:dyDescent="0.25">
      <c r="A185" s="35" t="str">
        <f>IF('CASE DATA'!A187="","",'CASE DATA'!A187)</f>
        <v/>
      </c>
      <c r="B185" s="35">
        <f>'CASE DATA'!B187</f>
        <v>0</v>
      </c>
      <c r="C185" s="35" t="str">
        <f>IF(SUM('CASE DATA'!K187:T187)&gt;0,IF(OR('CASE DATA'!G187="GTR",'CASE DATA'!G187="GPL",'CASE DATA'!G187="DEF"),IF('CASE DATA'!H187="YES","License &amp; registration","Registration only"),"Z - Neither license nor registration"),"Z - no debt")</f>
        <v>Z - no debt</v>
      </c>
      <c r="D185" s="59">
        <f>SUM('CASE DATA'!K187:T187)</f>
        <v>0</v>
      </c>
    </row>
    <row r="186" spans="1:4" x14ac:dyDescent="0.25">
      <c r="A186" s="35" t="str">
        <f>IF('CASE DATA'!A188="","",'CASE DATA'!A188)</f>
        <v/>
      </c>
      <c r="B186" s="35">
        <f>'CASE DATA'!B188</f>
        <v>0</v>
      </c>
      <c r="C186" s="35" t="str">
        <f>IF(SUM('CASE DATA'!K188:T188)&gt;0,IF(OR('CASE DATA'!G188="GTR",'CASE DATA'!G188="GPL",'CASE DATA'!G188="DEF"),IF('CASE DATA'!H188="YES","License &amp; registration","Registration only"),"Z - Neither license nor registration"),"Z - no debt")</f>
        <v>Z - no debt</v>
      </c>
      <c r="D186" s="59">
        <f>SUM('CASE DATA'!K188:T188)</f>
        <v>0</v>
      </c>
    </row>
    <row r="187" spans="1:4" x14ac:dyDescent="0.25">
      <c r="A187" s="35" t="str">
        <f>IF('CASE DATA'!A189="","",'CASE DATA'!A189)</f>
        <v/>
      </c>
      <c r="B187" s="35">
        <f>'CASE DATA'!B189</f>
        <v>0</v>
      </c>
      <c r="C187" s="35" t="str">
        <f>IF(SUM('CASE DATA'!K189:T189)&gt;0,IF(OR('CASE DATA'!G189="GTR",'CASE DATA'!G189="GPL",'CASE DATA'!G189="DEF"),IF('CASE DATA'!H189="YES","License &amp; registration","Registration only"),"Z - Neither license nor registration"),"Z - no debt")</f>
        <v>Z - no debt</v>
      </c>
      <c r="D187" s="59">
        <f>SUM('CASE DATA'!K189:T189)</f>
        <v>0</v>
      </c>
    </row>
    <row r="188" spans="1:4" x14ac:dyDescent="0.25">
      <c r="A188" s="35" t="str">
        <f>IF('CASE DATA'!A190="","",'CASE DATA'!A190)</f>
        <v/>
      </c>
      <c r="B188" s="35">
        <f>'CASE DATA'!B190</f>
        <v>0</v>
      </c>
      <c r="C188" s="35" t="str">
        <f>IF(SUM('CASE DATA'!K190:T190)&gt;0,IF(OR('CASE DATA'!G190="GTR",'CASE DATA'!G190="GPL",'CASE DATA'!G190="DEF"),IF('CASE DATA'!H190="YES","License &amp; registration","Registration only"),"Z - Neither license nor registration"),"Z - no debt")</f>
        <v>Z - no debt</v>
      </c>
      <c r="D188" s="59">
        <f>SUM('CASE DATA'!K190:T190)</f>
        <v>0</v>
      </c>
    </row>
    <row r="189" spans="1:4" x14ac:dyDescent="0.25">
      <c r="A189" s="35" t="str">
        <f>IF('CASE DATA'!A191="","",'CASE DATA'!A191)</f>
        <v/>
      </c>
      <c r="B189" s="35">
        <f>'CASE DATA'!B191</f>
        <v>0</v>
      </c>
      <c r="C189" s="35" t="str">
        <f>IF(SUM('CASE DATA'!K191:T191)&gt;0,IF(OR('CASE DATA'!G191="GTR",'CASE DATA'!G191="GPL",'CASE DATA'!G191="DEF"),IF('CASE DATA'!H191="YES","License &amp; registration","Registration only"),"Z - Neither license nor registration"),"Z - no debt")</f>
        <v>Z - no debt</v>
      </c>
      <c r="D189" s="59">
        <f>SUM('CASE DATA'!K191:T191)</f>
        <v>0</v>
      </c>
    </row>
    <row r="190" spans="1:4" x14ac:dyDescent="0.25">
      <c r="A190" s="35" t="str">
        <f>IF('CASE DATA'!A192="","",'CASE DATA'!A192)</f>
        <v/>
      </c>
      <c r="B190" s="35">
        <f>'CASE DATA'!B192</f>
        <v>0</v>
      </c>
      <c r="C190" s="35" t="str">
        <f>IF(SUM('CASE DATA'!K192:T192)&gt;0,IF(OR('CASE DATA'!G192="GTR",'CASE DATA'!G192="GPL",'CASE DATA'!G192="DEF"),IF('CASE DATA'!H192="YES","License &amp; registration","Registration only"),"Z - Neither license nor registration"),"Z - no debt")</f>
        <v>Z - no debt</v>
      </c>
      <c r="D190" s="59">
        <f>SUM('CASE DATA'!K192:T192)</f>
        <v>0</v>
      </c>
    </row>
    <row r="191" spans="1:4" x14ac:dyDescent="0.25">
      <c r="A191" s="35" t="str">
        <f>IF('CASE DATA'!A193="","",'CASE DATA'!A193)</f>
        <v/>
      </c>
      <c r="B191" s="35">
        <f>'CASE DATA'!B193</f>
        <v>0</v>
      </c>
      <c r="C191" s="35" t="str">
        <f>IF(SUM('CASE DATA'!K193:T193)&gt;0,IF(OR('CASE DATA'!G193="GTR",'CASE DATA'!G193="GPL",'CASE DATA'!G193="DEF"),IF('CASE DATA'!H193="YES","License &amp; registration","Registration only"),"Z - Neither license nor registration"),"Z - no debt")</f>
        <v>Z - no debt</v>
      </c>
      <c r="D191" s="59">
        <f>SUM('CASE DATA'!K193:T193)</f>
        <v>0</v>
      </c>
    </row>
    <row r="192" spans="1:4" x14ac:dyDescent="0.25">
      <c r="A192" s="35" t="str">
        <f>IF('CASE DATA'!A194="","",'CASE DATA'!A194)</f>
        <v/>
      </c>
      <c r="B192" s="35">
        <f>'CASE DATA'!B194</f>
        <v>0</v>
      </c>
      <c r="C192" s="35" t="str">
        <f>IF(SUM('CASE DATA'!K194:T194)&gt;0,IF(OR('CASE DATA'!G194="GTR",'CASE DATA'!G194="GPL",'CASE DATA'!G194="DEF"),IF('CASE DATA'!H194="YES","License &amp; registration","Registration only"),"Z - Neither license nor registration"),"Z - no debt")</f>
        <v>Z - no debt</v>
      </c>
      <c r="D192" s="59">
        <f>SUM('CASE DATA'!K194:T194)</f>
        <v>0</v>
      </c>
    </row>
    <row r="193" spans="1:4" x14ac:dyDescent="0.25">
      <c r="A193" s="35" t="str">
        <f>IF('CASE DATA'!A195="","",'CASE DATA'!A195)</f>
        <v/>
      </c>
      <c r="B193" s="35">
        <f>'CASE DATA'!B195</f>
        <v>0</v>
      </c>
      <c r="C193" s="35" t="str">
        <f>IF(SUM('CASE DATA'!K195:T195)&gt;0,IF(OR('CASE DATA'!G195="GTR",'CASE DATA'!G195="GPL",'CASE DATA'!G195="DEF"),IF('CASE DATA'!H195="YES","License &amp; registration","Registration only"),"Z - Neither license nor registration"),"Z - no debt")</f>
        <v>Z - no debt</v>
      </c>
      <c r="D193" s="59">
        <f>SUM('CASE DATA'!K195:T195)</f>
        <v>0</v>
      </c>
    </row>
    <row r="194" spans="1:4" x14ac:dyDescent="0.25">
      <c r="A194" s="35" t="str">
        <f>IF('CASE DATA'!A196="","",'CASE DATA'!A196)</f>
        <v/>
      </c>
      <c r="B194" s="35">
        <f>'CASE DATA'!B196</f>
        <v>0</v>
      </c>
      <c r="C194" s="35" t="str">
        <f>IF(SUM('CASE DATA'!K196:T196)&gt;0,IF(OR('CASE DATA'!G196="GTR",'CASE DATA'!G196="GPL",'CASE DATA'!G196="DEF"),IF('CASE DATA'!H196="YES","License &amp; registration","Registration only"),"Z - Neither license nor registration"),"Z - no debt")</f>
        <v>Z - no debt</v>
      </c>
      <c r="D194" s="59">
        <f>SUM('CASE DATA'!K196:T196)</f>
        <v>0</v>
      </c>
    </row>
    <row r="195" spans="1:4" x14ac:dyDescent="0.25">
      <c r="A195" s="35" t="str">
        <f>IF('CASE DATA'!A197="","",'CASE DATA'!A197)</f>
        <v/>
      </c>
      <c r="B195" s="35">
        <f>'CASE DATA'!B197</f>
        <v>0</v>
      </c>
      <c r="C195" s="35" t="str">
        <f>IF(SUM('CASE DATA'!K197:T197)&gt;0,IF(OR('CASE DATA'!G197="GTR",'CASE DATA'!G197="GPL",'CASE DATA'!G197="DEF"),IF('CASE DATA'!H197="YES","License &amp; registration","Registration only"),"Z - Neither license nor registration"),"Z - no debt")</f>
        <v>Z - no debt</v>
      </c>
      <c r="D195" s="59">
        <f>SUM('CASE DATA'!K197:T197)</f>
        <v>0</v>
      </c>
    </row>
    <row r="196" spans="1:4" x14ac:dyDescent="0.25">
      <c r="A196" s="35" t="str">
        <f>IF('CASE DATA'!A198="","",'CASE DATA'!A198)</f>
        <v/>
      </c>
      <c r="B196" s="35">
        <f>'CASE DATA'!B198</f>
        <v>0</v>
      </c>
      <c r="C196" s="35" t="str">
        <f>IF(SUM('CASE DATA'!K198:T198)&gt;0,IF(OR('CASE DATA'!G198="GTR",'CASE DATA'!G198="GPL",'CASE DATA'!G198="DEF"),IF('CASE DATA'!H198="YES","License &amp; registration","Registration only"),"Z - Neither license nor registration"),"Z - no debt")</f>
        <v>Z - no debt</v>
      </c>
      <c r="D196" s="59">
        <f>SUM('CASE DATA'!K198:T198)</f>
        <v>0</v>
      </c>
    </row>
    <row r="197" spans="1:4" x14ac:dyDescent="0.25">
      <c r="A197" s="35" t="str">
        <f>IF('CASE DATA'!A199="","",'CASE DATA'!A199)</f>
        <v/>
      </c>
      <c r="B197" s="35">
        <f>'CASE DATA'!B199</f>
        <v>0</v>
      </c>
      <c r="C197" s="35" t="str">
        <f>IF(SUM('CASE DATA'!K199:T199)&gt;0,IF(OR('CASE DATA'!G199="GTR",'CASE DATA'!G199="GPL",'CASE DATA'!G199="DEF"),IF('CASE DATA'!H199="YES","License &amp; registration","Registration only"),"Z - Neither license nor registration"),"Z - no debt")</f>
        <v>Z - no debt</v>
      </c>
      <c r="D197" s="59">
        <f>SUM('CASE DATA'!K199:T199)</f>
        <v>0</v>
      </c>
    </row>
    <row r="198" spans="1:4" x14ac:dyDescent="0.25">
      <c r="A198" s="35" t="str">
        <f>IF('CASE DATA'!A200="","",'CASE DATA'!A200)</f>
        <v/>
      </c>
      <c r="B198" s="35">
        <f>'CASE DATA'!B200</f>
        <v>0</v>
      </c>
      <c r="C198" s="35" t="str">
        <f>IF(SUM('CASE DATA'!K200:T200)&gt;0,IF(OR('CASE DATA'!G200="GTR",'CASE DATA'!G200="GPL",'CASE DATA'!G200="DEF"),IF('CASE DATA'!H200="YES","License &amp; registration","Registration only"),"Z - Neither license nor registration"),"Z - no debt")</f>
        <v>Z - no debt</v>
      </c>
      <c r="D198" s="59">
        <f>SUM('CASE DATA'!K200:T200)</f>
        <v>0</v>
      </c>
    </row>
    <row r="199" spans="1:4" x14ac:dyDescent="0.25">
      <c r="A199" s="35" t="str">
        <f>IF('CASE DATA'!A201="","",'CASE DATA'!A201)</f>
        <v/>
      </c>
      <c r="B199" s="35">
        <f>'CASE DATA'!B201</f>
        <v>0</v>
      </c>
      <c r="C199" s="35" t="str">
        <f>IF(SUM('CASE DATA'!K201:T201)&gt;0,IF(OR('CASE DATA'!G201="GTR",'CASE DATA'!G201="GPL",'CASE DATA'!G201="DEF"),IF('CASE DATA'!H201="YES","License &amp; registration","Registration only"),"Z - Neither license nor registration"),"Z - no debt")</f>
        <v>Z - no debt</v>
      </c>
      <c r="D199" s="59">
        <f>SUM('CASE DATA'!K201:T201)</f>
        <v>0</v>
      </c>
    </row>
    <row r="200" spans="1:4" x14ac:dyDescent="0.25">
      <c r="A200" s="35" t="str">
        <f>IF('CASE DATA'!A202="","",'CASE DATA'!A202)</f>
        <v/>
      </c>
      <c r="B200" s="35">
        <f>'CASE DATA'!B202</f>
        <v>0</v>
      </c>
      <c r="C200" s="35" t="str">
        <f>IF(SUM('CASE DATA'!K202:T202)&gt;0,IF(OR('CASE DATA'!G202="GTR",'CASE DATA'!G202="GPL",'CASE DATA'!G202="DEF"),IF('CASE DATA'!H202="YES","License &amp; registration","Registration only"),"Z - Neither license nor registration"),"Z - no debt")</f>
        <v>Z - no debt</v>
      </c>
      <c r="D200" s="59">
        <f>SUM('CASE DATA'!K202:T202)</f>
        <v>0</v>
      </c>
    </row>
    <row r="201" spans="1:4" x14ac:dyDescent="0.25">
      <c r="A201" s="35" t="str">
        <f>IF('CASE DATA'!A203="","",'CASE DATA'!A203)</f>
        <v/>
      </c>
      <c r="B201" s="35">
        <f>'CASE DATA'!B203</f>
        <v>0</v>
      </c>
      <c r="C201" s="35" t="str">
        <f>IF(SUM('CASE DATA'!K203:T203)&gt;0,IF(OR('CASE DATA'!G203="GTR",'CASE DATA'!G203="GPL",'CASE DATA'!G203="DEF"),IF('CASE DATA'!H203="YES","License &amp; registration","Registration only"),"Z - Neither license nor registration"),"Z - no debt")</f>
        <v>Z - no debt</v>
      </c>
      <c r="D201" s="59">
        <f>SUM('CASE DATA'!K203:T203)</f>
        <v>0</v>
      </c>
    </row>
    <row r="202" spans="1:4" x14ac:dyDescent="0.25">
      <c r="A202" s="35" t="str">
        <f>IF('CASE DATA'!A204="","",'CASE DATA'!A204)</f>
        <v/>
      </c>
      <c r="B202" s="35">
        <f>'CASE DATA'!B204</f>
        <v>0</v>
      </c>
      <c r="C202" s="35" t="str">
        <f>IF(SUM('CASE DATA'!K204:T204)&gt;0,IF(OR('CASE DATA'!G204="GTR",'CASE DATA'!G204="GPL",'CASE DATA'!G204="DEF"),IF('CASE DATA'!H204="YES","License &amp; registration","Registration only"),"Z - Neither license nor registration"),"Z - no debt")</f>
        <v>Z - no debt</v>
      </c>
      <c r="D202" s="59">
        <f>SUM('CASE DATA'!K204:T204)</f>
        <v>0</v>
      </c>
    </row>
    <row r="203" spans="1:4" x14ac:dyDescent="0.25">
      <c r="A203" s="35" t="str">
        <f>IF('CASE DATA'!A205="","",'CASE DATA'!A205)</f>
        <v/>
      </c>
      <c r="B203" s="35">
        <f>'CASE DATA'!B205</f>
        <v>0</v>
      </c>
      <c r="C203" s="35" t="str">
        <f>IF(SUM('CASE DATA'!K205:T205)&gt;0,IF(OR('CASE DATA'!G205="GTR",'CASE DATA'!G205="GPL",'CASE DATA'!G205="DEF"),IF('CASE DATA'!H205="YES","License &amp; registration","Registration only"),"Z - Neither license nor registration"),"Z - no debt")</f>
        <v>Z - no debt</v>
      </c>
      <c r="D203" s="59">
        <f>SUM('CASE DATA'!K205:T205)</f>
        <v>0</v>
      </c>
    </row>
    <row r="204" spans="1:4" x14ac:dyDescent="0.25">
      <c r="A204" s="35" t="str">
        <f>IF('CASE DATA'!A206="","",'CASE DATA'!A206)</f>
        <v/>
      </c>
      <c r="B204" s="35">
        <f>'CASE DATA'!B206</f>
        <v>0</v>
      </c>
      <c r="C204" s="35" t="str">
        <f>IF(SUM('CASE DATA'!K206:T206)&gt;0,IF(OR('CASE DATA'!G206="GTR",'CASE DATA'!G206="GPL",'CASE DATA'!G206="DEF"),IF('CASE DATA'!H206="YES","License &amp; registration","Registration only"),"Z - Neither license nor registration"),"Z - no debt")</f>
        <v>Z - no debt</v>
      </c>
      <c r="D204" s="59">
        <f>SUM('CASE DATA'!K206:T206)</f>
        <v>0</v>
      </c>
    </row>
    <row r="205" spans="1:4" x14ac:dyDescent="0.25">
      <c r="A205" s="35" t="str">
        <f>IF('CASE DATA'!A207="","",'CASE DATA'!A207)</f>
        <v/>
      </c>
      <c r="B205" s="35">
        <f>'CASE DATA'!B207</f>
        <v>0</v>
      </c>
      <c r="C205" s="35" t="str">
        <f>IF(SUM('CASE DATA'!K207:T207)&gt;0,IF(OR('CASE DATA'!G207="GTR",'CASE DATA'!G207="GPL",'CASE DATA'!G207="DEF"),IF('CASE DATA'!H207="YES","License &amp; registration","Registration only"),"Z - Neither license nor registration"),"Z - no debt")</f>
        <v>Z - no debt</v>
      </c>
      <c r="D205" s="59">
        <f>SUM('CASE DATA'!K207:T207)</f>
        <v>0</v>
      </c>
    </row>
    <row r="206" spans="1:4" x14ac:dyDescent="0.25">
      <c r="A206" s="35" t="str">
        <f>IF('CASE DATA'!A208="","",'CASE DATA'!A208)</f>
        <v/>
      </c>
      <c r="B206" s="35">
        <f>'CASE DATA'!B208</f>
        <v>0</v>
      </c>
      <c r="C206" s="35" t="str">
        <f>IF(SUM('CASE DATA'!K208:T208)&gt;0,IF(OR('CASE DATA'!G208="GTR",'CASE DATA'!G208="GPL",'CASE DATA'!G208="DEF"),IF('CASE DATA'!H208="YES","License &amp; registration","Registration only"),"Z - Neither license nor registration"),"Z - no debt")</f>
        <v>Z - no debt</v>
      </c>
      <c r="D206" s="59">
        <f>SUM('CASE DATA'!K208:T208)</f>
        <v>0</v>
      </c>
    </row>
    <row r="207" spans="1:4" x14ac:dyDescent="0.25">
      <c r="A207" s="35" t="str">
        <f>IF('CASE DATA'!A209="","",'CASE DATA'!A209)</f>
        <v/>
      </c>
      <c r="B207" s="35">
        <f>'CASE DATA'!B209</f>
        <v>0</v>
      </c>
      <c r="C207" s="35" t="str">
        <f>IF(SUM('CASE DATA'!K209:T209)&gt;0,IF(OR('CASE DATA'!G209="GTR",'CASE DATA'!G209="GPL",'CASE DATA'!G209="DEF"),IF('CASE DATA'!H209="YES","License &amp; registration","Registration only"),"Z - Neither license nor registration"),"Z - no debt")</f>
        <v>Z - no debt</v>
      </c>
      <c r="D207" s="59">
        <f>SUM('CASE DATA'!K209:T209)</f>
        <v>0</v>
      </c>
    </row>
    <row r="208" spans="1:4" x14ac:dyDescent="0.25">
      <c r="A208" s="35" t="str">
        <f>IF('CASE DATA'!A210="","",'CASE DATA'!A210)</f>
        <v/>
      </c>
      <c r="B208" s="35">
        <f>'CASE DATA'!B210</f>
        <v>0</v>
      </c>
      <c r="C208" s="35" t="str">
        <f>IF(SUM('CASE DATA'!K210:T210)&gt;0,IF(OR('CASE DATA'!G210="GTR",'CASE DATA'!G210="GPL",'CASE DATA'!G210="DEF"),IF('CASE DATA'!H210="YES","License &amp; registration","Registration only"),"Z - Neither license nor registration"),"Z - no debt")</f>
        <v>Z - no debt</v>
      </c>
      <c r="D208" s="59">
        <f>SUM('CASE DATA'!K210:T210)</f>
        <v>0</v>
      </c>
    </row>
    <row r="209" spans="1:4" x14ac:dyDescent="0.25">
      <c r="A209" s="35" t="str">
        <f>IF('CASE DATA'!A211="","",'CASE DATA'!A211)</f>
        <v/>
      </c>
      <c r="B209" s="35">
        <f>'CASE DATA'!B211</f>
        <v>0</v>
      </c>
      <c r="C209" s="35" t="str">
        <f>IF(SUM('CASE DATA'!K211:T211)&gt;0,IF(OR('CASE DATA'!G211="GTR",'CASE DATA'!G211="GPL",'CASE DATA'!G211="DEF"),IF('CASE DATA'!H211="YES","License &amp; registration","Registration only"),"Z - Neither license nor registration"),"Z - no debt")</f>
        <v>Z - no debt</v>
      </c>
      <c r="D209" s="59">
        <f>SUM('CASE DATA'!K211:T211)</f>
        <v>0</v>
      </c>
    </row>
    <row r="210" spans="1:4" x14ac:dyDescent="0.25">
      <c r="A210" s="35" t="str">
        <f>IF('CASE DATA'!A212="","",'CASE DATA'!A212)</f>
        <v/>
      </c>
      <c r="B210" s="35">
        <f>'CASE DATA'!B212</f>
        <v>0</v>
      </c>
      <c r="C210" s="35" t="str">
        <f>IF(SUM('CASE DATA'!K212:T212)&gt;0,IF(OR('CASE DATA'!G212="GTR",'CASE DATA'!G212="GPL",'CASE DATA'!G212="DEF"),IF('CASE DATA'!H212="YES","License &amp; registration","Registration only"),"Z - Neither license nor registration"),"Z - no debt")</f>
        <v>Z - no debt</v>
      </c>
      <c r="D210" s="59">
        <f>SUM('CASE DATA'!K212:T212)</f>
        <v>0</v>
      </c>
    </row>
    <row r="211" spans="1:4" x14ac:dyDescent="0.25">
      <c r="A211" s="35" t="str">
        <f>IF('CASE DATA'!A213="","",'CASE DATA'!A213)</f>
        <v/>
      </c>
      <c r="B211" s="35">
        <f>'CASE DATA'!B213</f>
        <v>0</v>
      </c>
      <c r="C211" s="35" t="str">
        <f>IF(SUM('CASE DATA'!K213:T213)&gt;0,IF(OR('CASE DATA'!G213="GTR",'CASE DATA'!G213="GPL",'CASE DATA'!G213="DEF"),IF('CASE DATA'!H213="YES","License &amp; registration","Registration only"),"Z - Neither license nor registration"),"Z - no debt")</f>
        <v>Z - no debt</v>
      </c>
      <c r="D211" s="59">
        <f>SUM('CASE DATA'!K213:T213)</f>
        <v>0</v>
      </c>
    </row>
    <row r="212" spans="1:4" x14ac:dyDescent="0.25">
      <c r="A212" s="35" t="str">
        <f>IF('CASE DATA'!A214="","",'CASE DATA'!A214)</f>
        <v/>
      </c>
      <c r="B212" s="35">
        <f>'CASE DATA'!B214</f>
        <v>0</v>
      </c>
      <c r="C212" s="35" t="str">
        <f>IF(SUM('CASE DATA'!K214:T214)&gt;0,IF(OR('CASE DATA'!G214="GTR",'CASE DATA'!G214="GPL",'CASE DATA'!G214="DEF"),IF('CASE DATA'!H214="YES","License &amp; registration","Registration only"),"Z - Neither license nor registration"),"Z - no debt")</f>
        <v>Z - no debt</v>
      </c>
      <c r="D212" s="59">
        <f>SUM('CASE DATA'!K214:T214)</f>
        <v>0</v>
      </c>
    </row>
    <row r="213" spans="1:4" x14ac:dyDescent="0.25">
      <c r="A213" s="35" t="str">
        <f>IF('CASE DATA'!A215="","",'CASE DATA'!A215)</f>
        <v/>
      </c>
      <c r="B213" s="35">
        <f>'CASE DATA'!B215</f>
        <v>0</v>
      </c>
      <c r="C213" s="35" t="str">
        <f>IF(SUM('CASE DATA'!K215:T215)&gt;0,IF(OR('CASE DATA'!G215="GTR",'CASE DATA'!G215="GPL",'CASE DATA'!G215="DEF"),IF('CASE DATA'!H215="YES","License &amp; registration","Registration only"),"Z - Neither license nor registration"),"Z - no debt")</f>
        <v>Z - no debt</v>
      </c>
      <c r="D213" s="59">
        <f>SUM('CASE DATA'!K215:T215)</f>
        <v>0</v>
      </c>
    </row>
    <row r="214" spans="1:4" x14ac:dyDescent="0.25">
      <c r="A214" s="35" t="str">
        <f>IF('CASE DATA'!A216="","",'CASE DATA'!A216)</f>
        <v/>
      </c>
      <c r="B214" s="35">
        <f>'CASE DATA'!B216</f>
        <v>0</v>
      </c>
      <c r="C214" s="35" t="str">
        <f>IF(SUM('CASE DATA'!K216:T216)&gt;0,IF(OR('CASE DATA'!G216="GTR",'CASE DATA'!G216="GPL",'CASE DATA'!G216="DEF"),IF('CASE DATA'!H216="YES","License &amp; registration","Registration only"),"Z - Neither license nor registration"),"Z - no debt")</f>
        <v>Z - no debt</v>
      </c>
      <c r="D214" s="59">
        <f>SUM('CASE DATA'!K216:T216)</f>
        <v>0</v>
      </c>
    </row>
    <row r="215" spans="1:4" x14ac:dyDescent="0.25">
      <c r="A215" s="35" t="str">
        <f>IF('CASE DATA'!A217="","",'CASE DATA'!A217)</f>
        <v/>
      </c>
      <c r="B215" s="35">
        <f>'CASE DATA'!B217</f>
        <v>0</v>
      </c>
      <c r="C215" s="35" t="str">
        <f>IF(SUM('CASE DATA'!K217:T217)&gt;0,IF(OR('CASE DATA'!G217="GTR",'CASE DATA'!G217="GPL",'CASE DATA'!G217="DEF"),IF('CASE DATA'!H217="YES","License &amp; registration","Registration only"),"Z - Neither license nor registration"),"Z - no debt")</f>
        <v>Z - no debt</v>
      </c>
      <c r="D215" s="59">
        <f>SUM('CASE DATA'!K217:T217)</f>
        <v>0</v>
      </c>
    </row>
    <row r="216" spans="1:4" x14ac:dyDescent="0.25">
      <c r="A216" s="35" t="str">
        <f>IF('CASE DATA'!A218="","",'CASE DATA'!A218)</f>
        <v/>
      </c>
      <c r="B216" s="35">
        <f>'CASE DATA'!B218</f>
        <v>0</v>
      </c>
      <c r="C216" s="35" t="str">
        <f>IF(SUM('CASE DATA'!K218:T218)&gt;0,IF(OR('CASE DATA'!G218="GTR",'CASE DATA'!G218="GPL",'CASE DATA'!G218="DEF"),IF('CASE DATA'!H218="YES","License &amp; registration","Registration only"),"Z - Neither license nor registration"),"Z - no debt")</f>
        <v>Z - no debt</v>
      </c>
      <c r="D216" s="59">
        <f>SUM('CASE DATA'!K218:T218)</f>
        <v>0</v>
      </c>
    </row>
    <row r="217" spans="1:4" x14ac:dyDescent="0.25">
      <c r="A217" s="35" t="str">
        <f>IF('CASE DATA'!A219="","",'CASE DATA'!A219)</f>
        <v/>
      </c>
      <c r="B217" s="35">
        <f>'CASE DATA'!B219</f>
        <v>0</v>
      </c>
      <c r="C217" s="35" t="str">
        <f>IF(SUM('CASE DATA'!K219:T219)&gt;0,IF(OR('CASE DATA'!G219="GTR",'CASE DATA'!G219="GPL",'CASE DATA'!G219="DEF"),IF('CASE DATA'!H219="YES","License &amp; registration","Registration only"),"Z - Neither license nor registration"),"Z - no debt")</f>
        <v>Z - no debt</v>
      </c>
      <c r="D217" s="59">
        <f>SUM('CASE DATA'!K219:T219)</f>
        <v>0</v>
      </c>
    </row>
    <row r="218" spans="1:4" x14ac:dyDescent="0.25">
      <c r="A218" s="35" t="str">
        <f>IF('CASE DATA'!A220="","",'CASE DATA'!A220)</f>
        <v/>
      </c>
      <c r="B218" s="35">
        <f>'CASE DATA'!B220</f>
        <v>0</v>
      </c>
      <c r="C218" s="35" t="str">
        <f>IF(SUM('CASE DATA'!K220:T220)&gt;0,IF(OR('CASE DATA'!G220="GTR",'CASE DATA'!G220="GPL",'CASE DATA'!G220="DEF"),IF('CASE DATA'!H220="YES","License &amp; registration","Registration only"),"Z - Neither license nor registration"),"Z - no debt")</f>
        <v>Z - no debt</v>
      </c>
      <c r="D218" s="59">
        <f>SUM('CASE DATA'!K220:T220)</f>
        <v>0</v>
      </c>
    </row>
    <row r="219" spans="1:4" x14ac:dyDescent="0.25">
      <c r="A219" s="35" t="str">
        <f>IF('CASE DATA'!A221="","",'CASE DATA'!A221)</f>
        <v/>
      </c>
      <c r="B219" s="35">
        <f>'CASE DATA'!B221</f>
        <v>0</v>
      </c>
      <c r="C219" s="35" t="str">
        <f>IF(SUM('CASE DATA'!K221:T221)&gt;0,IF(OR('CASE DATA'!G221="GTR",'CASE DATA'!G221="GPL",'CASE DATA'!G221="DEF"),IF('CASE DATA'!H221="YES","License &amp; registration","Registration only"),"Z - Neither license nor registration"),"Z - no debt")</f>
        <v>Z - no debt</v>
      </c>
      <c r="D219" s="59">
        <f>SUM('CASE DATA'!K221:T221)</f>
        <v>0</v>
      </c>
    </row>
    <row r="220" spans="1:4" x14ac:dyDescent="0.25">
      <c r="A220" s="35" t="str">
        <f>IF('CASE DATA'!A222="","",'CASE DATA'!A222)</f>
        <v/>
      </c>
      <c r="B220" s="35">
        <f>'CASE DATA'!B222</f>
        <v>0</v>
      </c>
      <c r="C220" s="35" t="str">
        <f>IF(SUM('CASE DATA'!K222:T222)&gt;0,IF(OR('CASE DATA'!G222="GTR",'CASE DATA'!G222="GPL",'CASE DATA'!G222="DEF"),IF('CASE DATA'!H222="YES","License &amp; registration","Registration only"),"Z - Neither license nor registration"),"Z - no debt")</f>
        <v>Z - no debt</v>
      </c>
      <c r="D220" s="59">
        <f>SUM('CASE DATA'!K222:T222)</f>
        <v>0</v>
      </c>
    </row>
    <row r="221" spans="1:4" x14ac:dyDescent="0.25">
      <c r="A221" s="35" t="str">
        <f>IF('CASE DATA'!A223="","",'CASE DATA'!A223)</f>
        <v/>
      </c>
      <c r="B221" s="35">
        <f>'CASE DATA'!B223</f>
        <v>0</v>
      </c>
      <c r="C221" s="35" t="str">
        <f>IF(SUM('CASE DATA'!K223:T223)&gt;0,IF(OR('CASE DATA'!G223="GTR",'CASE DATA'!G223="GPL",'CASE DATA'!G223="DEF"),IF('CASE DATA'!H223="YES","License &amp; registration","Registration only"),"Z - Neither license nor registration"),"Z - no debt")</f>
        <v>Z - no debt</v>
      </c>
      <c r="D221" s="59">
        <f>SUM('CASE DATA'!K223:T223)</f>
        <v>0</v>
      </c>
    </row>
    <row r="222" spans="1:4" x14ac:dyDescent="0.25">
      <c r="A222" s="35" t="str">
        <f>IF('CASE DATA'!A224="","",'CASE DATA'!A224)</f>
        <v/>
      </c>
      <c r="B222" s="35">
        <f>'CASE DATA'!B224</f>
        <v>0</v>
      </c>
      <c r="C222" s="35" t="str">
        <f>IF(SUM('CASE DATA'!K224:T224)&gt;0,IF(OR('CASE DATA'!G224="GTR",'CASE DATA'!G224="GPL",'CASE DATA'!G224="DEF"),IF('CASE DATA'!H224="YES","License &amp; registration","Registration only"),"Z - Neither license nor registration"),"Z - no debt")</f>
        <v>Z - no debt</v>
      </c>
      <c r="D222" s="59">
        <f>SUM('CASE DATA'!K224:T224)</f>
        <v>0</v>
      </c>
    </row>
    <row r="223" spans="1:4" x14ac:dyDescent="0.25">
      <c r="A223" s="35" t="str">
        <f>IF('CASE DATA'!A225="","",'CASE DATA'!A225)</f>
        <v/>
      </c>
      <c r="B223" s="35">
        <f>'CASE DATA'!B225</f>
        <v>0</v>
      </c>
      <c r="C223" s="35" t="str">
        <f>IF(SUM('CASE DATA'!K225:T225)&gt;0,IF(OR('CASE DATA'!G225="GTR",'CASE DATA'!G225="GPL",'CASE DATA'!G225="DEF"),IF('CASE DATA'!H225="YES","License &amp; registration","Registration only"),"Z - Neither license nor registration"),"Z - no debt")</f>
        <v>Z - no debt</v>
      </c>
      <c r="D223" s="59">
        <f>SUM('CASE DATA'!K225:T225)</f>
        <v>0</v>
      </c>
    </row>
    <row r="224" spans="1:4" x14ac:dyDescent="0.25">
      <c r="A224" s="35" t="str">
        <f>IF('CASE DATA'!A226="","",'CASE DATA'!A226)</f>
        <v/>
      </c>
      <c r="B224" s="35">
        <f>'CASE DATA'!B226</f>
        <v>0</v>
      </c>
      <c r="C224" s="35" t="str">
        <f>IF(SUM('CASE DATA'!K226:T226)&gt;0,IF(OR('CASE DATA'!G226="GTR",'CASE DATA'!G226="GPL",'CASE DATA'!G226="DEF"),IF('CASE DATA'!H226="YES","License &amp; registration","Registration only"),"Z - Neither license nor registration"),"Z - no debt")</f>
        <v>Z - no debt</v>
      </c>
      <c r="D224" s="59">
        <f>SUM('CASE DATA'!K226:T226)</f>
        <v>0</v>
      </c>
    </row>
    <row r="225" spans="1:4" x14ac:dyDescent="0.25">
      <c r="A225" s="35" t="str">
        <f>IF('CASE DATA'!A227="","",'CASE DATA'!A227)</f>
        <v/>
      </c>
      <c r="B225" s="35">
        <f>'CASE DATA'!B227</f>
        <v>0</v>
      </c>
      <c r="C225" s="35" t="str">
        <f>IF(SUM('CASE DATA'!K227:T227)&gt;0,IF(OR('CASE DATA'!G227="GTR",'CASE DATA'!G227="GPL",'CASE DATA'!G227="DEF"),IF('CASE DATA'!H227="YES","License &amp; registration","Registration only"),"Z - Neither license nor registration"),"Z - no debt")</f>
        <v>Z - no debt</v>
      </c>
      <c r="D225" s="59">
        <f>SUM('CASE DATA'!K227:T227)</f>
        <v>0</v>
      </c>
    </row>
    <row r="226" spans="1:4" x14ac:dyDescent="0.25">
      <c r="A226" s="35" t="str">
        <f>IF('CASE DATA'!A228="","",'CASE DATA'!A228)</f>
        <v/>
      </c>
      <c r="B226" s="35">
        <f>'CASE DATA'!B228</f>
        <v>0</v>
      </c>
      <c r="C226" s="35" t="str">
        <f>IF(SUM('CASE DATA'!K228:T228)&gt;0,IF(OR('CASE DATA'!G228="GTR",'CASE DATA'!G228="GPL",'CASE DATA'!G228="DEF"),IF('CASE DATA'!H228="YES","License &amp; registration","Registration only"),"Z - Neither license nor registration"),"Z - no debt")</f>
        <v>Z - no debt</v>
      </c>
      <c r="D226" s="59">
        <f>SUM('CASE DATA'!K228:T228)</f>
        <v>0</v>
      </c>
    </row>
    <row r="227" spans="1:4" x14ac:dyDescent="0.25">
      <c r="A227" s="35" t="str">
        <f>IF('CASE DATA'!A229="","",'CASE DATA'!A229)</f>
        <v/>
      </c>
      <c r="B227" s="35">
        <f>'CASE DATA'!B229</f>
        <v>0</v>
      </c>
      <c r="C227" s="35" t="str">
        <f>IF(SUM('CASE DATA'!K229:T229)&gt;0,IF(OR('CASE DATA'!G229="GTR",'CASE DATA'!G229="GPL",'CASE DATA'!G229="DEF"),IF('CASE DATA'!H229="YES","License &amp; registration","Registration only"),"Z - Neither license nor registration"),"Z - no debt")</f>
        <v>Z - no debt</v>
      </c>
      <c r="D227" s="59">
        <f>SUM('CASE DATA'!K229:T229)</f>
        <v>0</v>
      </c>
    </row>
    <row r="228" spans="1:4" x14ac:dyDescent="0.25">
      <c r="A228" s="35" t="str">
        <f>IF('CASE DATA'!A230="","",'CASE DATA'!A230)</f>
        <v/>
      </c>
      <c r="B228" s="35">
        <f>'CASE DATA'!B230</f>
        <v>0</v>
      </c>
      <c r="C228" s="35" t="str">
        <f>IF(SUM('CASE DATA'!K230:T230)&gt;0,IF(OR('CASE DATA'!G230="GTR",'CASE DATA'!G230="GPL",'CASE DATA'!G230="DEF"),IF('CASE DATA'!H230="YES","License &amp; registration","Registration only"),"Z - Neither license nor registration"),"Z - no debt")</f>
        <v>Z - no debt</v>
      </c>
      <c r="D228" s="59">
        <f>SUM('CASE DATA'!K230:T230)</f>
        <v>0</v>
      </c>
    </row>
    <row r="229" spans="1:4" x14ac:dyDescent="0.25">
      <c r="A229" s="35" t="str">
        <f>IF('CASE DATA'!A231="","",'CASE DATA'!A231)</f>
        <v/>
      </c>
      <c r="B229" s="35">
        <f>'CASE DATA'!B231</f>
        <v>0</v>
      </c>
      <c r="C229" s="35" t="str">
        <f>IF(SUM('CASE DATA'!K231:T231)&gt;0,IF(OR('CASE DATA'!G231="GTR",'CASE DATA'!G231="GPL",'CASE DATA'!G231="DEF"),IF('CASE DATA'!H231="YES","License &amp; registration","Registration only"),"Z - Neither license nor registration"),"Z - no debt")</f>
        <v>Z - no debt</v>
      </c>
      <c r="D229" s="59">
        <f>SUM('CASE DATA'!K231:T231)</f>
        <v>0</v>
      </c>
    </row>
    <row r="230" spans="1:4" x14ac:dyDescent="0.25">
      <c r="A230" s="35" t="str">
        <f>IF('CASE DATA'!A232="","",'CASE DATA'!A232)</f>
        <v/>
      </c>
      <c r="B230" s="35">
        <f>'CASE DATA'!B232</f>
        <v>0</v>
      </c>
      <c r="C230" s="35" t="str">
        <f>IF(SUM('CASE DATA'!K232:T232)&gt;0,IF(OR('CASE DATA'!G232="GTR",'CASE DATA'!G232="GPL",'CASE DATA'!G232="DEF"),IF('CASE DATA'!H232="YES","License &amp; registration","Registration only"),"Z - Neither license nor registration"),"Z - no debt")</f>
        <v>Z - no debt</v>
      </c>
      <c r="D230" s="59">
        <f>SUM('CASE DATA'!K232:T232)</f>
        <v>0</v>
      </c>
    </row>
    <row r="231" spans="1:4" x14ac:dyDescent="0.25">
      <c r="A231" s="35" t="str">
        <f>IF('CASE DATA'!A233="","",'CASE DATA'!A233)</f>
        <v/>
      </c>
      <c r="B231" s="35">
        <f>'CASE DATA'!B233</f>
        <v>0</v>
      </c>
      <c r="C231" s="35" t="str">
        <f>IF(SUM('CASE DATA'!K233:T233)&gt;0,IF(OR('CASE DATA'!G233="GTR",'CASE DATA'!G233="GPL",'CASE DATA'!G233="DEF"),IF('CASE DATA'!H233="YES","License &amp; registration","Registration only"),"Z - Neither license nor registration"),"Z - no debt")</f>
        <v>Z - no debt</v>
      </c>
      <c r="D231" s="59">
        <f>SUM('CASE DATA'!K233:T233)</f>
        <v>0</v>
      </c>
    </row>
    <row r="232" spans="1:4" x14ac:dyDescent="0.25">
      <c r="A232" s="35" t="str">
        <f>IF('CASE DATA'!A234="","",'CASE DATA'!A234)</f>
        <v/>
      </c>
      <c r="B232" s="35">
        <f>'CASE DATA'!B234</f>
        <v>0</v>
      </c>
      <c r="C232" s="35" t="str">
        <f>IF(SUM('CASE DATA'!K234:T234)&gt;0,IF(OR('CASE DATA'!G234="GTR",'CASE DATA'!G234="GPL",'CASE DATA'!G234="DEF"),IF('CASE DATA'!H234="YES","License &amp; registration","Registration only"),"Z - Neither license nor registration"),"Z - no debt")</f>
        <v>Z - no debt</v>
      </c>
      <c r="D232" s="59">
        <f>SUM('CASE DATA'!K234:T234)</f>
        <v>0</v>
      </c>
    </row>
    <row r="233" spans="1:4" x14ac:dyDescent="0.25">
      <c r="A233" s="35" t="str">
        <f>IF('CASE DATA'!A235="","",'CASE DATA'!A235)</f>
        <v/>
      </c>
      <c r="B233" s="35">
        <f>'CASE DATA'!B235</f>
        <v>0</v>
      </c>
      <c r="C233" s="35" t="str">
        <f>IF(SUM('CASE DATA'!K235:T235)&gt;0,IF(OR('CASE DATA'!G235="GTR",'CASE DATA'!G235="GPL",'CASE DATA'!G235="DEF"),IF('CASE DATA'!H235="YES","License &amp; registration","Registration only"),"Z - Neither license nor registration"),"Z - no debt")</f>
        <v>Z - no debt</v>
      </c>
      <c r="D233" s="59">
        <f>SUM('CASE DATA'!K235:T235)</f>
        <v>0</v>
      </c>
    </row>
    <row r="234" spans="1:4" x14ac:dyDescent="0.25">
      <c r="A234" s="35" t="str">
        <f>IF('CASE DATA'!A236="","",'CASE DATA'!A236)</f>
        <v/>
      </c>
      <c r="B234" s="35">
        <f>'CASE DATA'!B236</f>
        <v>0</v>
      </c>
      <c r="C234" s="35" t="str">
        <f>IF(SUM('CASE DATA'!K236:T236)&gt;0,IF(OR('CASE DATA'!G236="GTR",'CASE DATA'!G236="GPL",'CASE DATA'!G236="DEF"),IF('CASE DATA'!H236="YES","License &amp; registration","Registration only"),"Z - Neither license nor registration"),"Z - no debt")</f>
        <v>Z - no debt</v>
      </c>
      <c r="D234" s="59">
        <f>SUM('CASE DATA'!K236:T236)</f>
        <v>0</v>
      </c>
    </row>
    <row r="235" spans="1:4" x14ac:dyDescent="0.25">
      <c r="A235" s="35" t="str">
        <f>IF('CASE DATA'!A237="","",'CASE DATA'!A237)</f>
        <v/>
      </c>
      <c r="B235" s="35">
        <f>'CASE DATA'!B237</f>
        <v>0</v>
      </c>
      <c r="C235" s="35" t="str">
        <f>IF(SUM('CASE DATA'!K237:T237)&gt;0,IF(OR('CASE DATA'!G237="GTR",'CASE DATA'!G237="GPL",'CASE DATA'!G237="DEF"),IF('CASE DATA'!H237="YES","License &amp; registration","Registration only"),"Z - Neither license nor registration"),"Z - no debt")</f>
        <v>Z - no debt</v>
      </c>
      <c r="D235" s="59">
        <f>SUM('CASE DATA'!K237:T237)</f>
        <v>0</v>
      </c>
    </row>
    <row r="236" spans="1:4" x14ac:dyDescent="0.25">
      <c r="A236" s="35" t="str">
        <f>IF('CASE DATA'!A238="","",'CASE DATA'!A238)</f>
        <v/>
      </c>
      <c r="B236" s="35">
        <f>'CASE DATA'!B238</f>
        <v>0</v>
      </c>
      <c r="C236" s="35" t="str">
        <f>IF(SUM('CASE DATA'!K238:T238)&gt;0,IF(OR('CASE DATA'!G238="GTR",'CASE DATA'!G238="GPL",'CASE DATA'!G238="DEF"),IF('CASE DATA'!H238="YES","License &amp; registration","Registration only"),"Z - Neither license nor registration"),"Z - no debt")</f>
        <v>Z - no debt</v>
      </c>
      <c r="D236" s="59">
        <f>SUM('CASE DATA'!K238:T238)</f>
        <v>0</v>
      </c>
    </row>
    <row r="237" spans="1:4" x14ac:dyDescent="0.25">
      <c r="A237" s="35" t="str">
        <f>IF('CASE DATA'!A239="","",'CASE DATA'!A239)</f>
        <v/>
      </c>
      <c r="B237" s="35">
        <f>'CASE DATA'!B239</f>
        <v>0</v>
      </c>
      <c r="C237" s="35" t="str">
        <f>IF(SUM('CASE DATA'!K239:T239)&gt;0,IF(OR('CASE DATA'!G239="GTR",'CASE DATA'!G239="GPL",'CASE DATA'!G239="DEF"),IF('CASE DATA'!H239="YES","License &amp; registration","Registration only"),"Z - Neither license nor registration"),"Z - no debt")</f>
        <v>Z - no debt</v>
      </c>
      <c r="D237" s="59">
        <f>SUM('CASE DATA'!K239:T239)</f>
        <v>0</v>
      </c>
    </row>
    <row r="238" spans="1:4" x14ac:dyDescent="0.25">
      <c r="A238" s="35" t="str">
        <f>IF('CASE DATA'!A240="","",'CASE DATA'!A240)</f>
        <v/>
      </c>
      <c r="B238" s="35">
        <f>'CASE DATA'!B240</f>
        <v>0</v>
      </c>
      <c r="C238" s="35" t="str">
        <f>IF(SUM('CASE DATA'!K240:T240)&gt;0,IF(OR('CASE DATA'!G240="GTR",'CASE DATA'!G240="GPL",'CASE DATA'!G240="DEF"),IF('CASE DATA'!H240="YES","License &amp; registration","Registration only"),"Z - Neither license nor registration"),"Z - no debt")</f>
        <v>Z - no debt</v>
      </c>
      <c r="D238" s="59">
        <f>SUM('CASE DATA'!K240:T240)</f>
        <v>0</v>
      </c>
    </row>
    <row r="239" spans="1:4" x14ac:dyDescent="0.25">
      <c r="A239" s="35" t="str">
        <f>IF('CASE DATA'!A241="","",'CASE DATA'!A241)</f>
        <v/>
      </c>
      <c r="B239" s="35">
        <f>'CASE DATA'!B241</f>
        <v>0</v>
      </c>
      <c r="C239" s="35" t="str">
        <f>IF(SUM('CASE DATA'!K241:T241)&gt;0,IF(OR('CASE DATA'!G241="GTR",'CASE DATA'!G241="GPL",'CASE DATA'!G241="DEF"),IF('CASE DATA'!H241="YES","License &amp; registration","Registration only"),"Z - Neither license nor registration"),"Z - no debt")</f>
        <v>Z - no debt</v>
      </c>
      <c r="D239" s="59">
        <f>SUM('CASE DATA'!K241:T241)</f>
        <v>0</v>
      </c>
    </row>
    <row r="240" spans="1:4" x14ac:dyDescent="0.25">
      <c r="A240" s="35" t="str">
        <f>IF('CASE DATA'!A242="","",'CASE DATA'!A242)</f>
        <v/>
      </c>
      <c r="B240" s="35">
        <f>'CASE DATA'!B242</f>
        <v>0</v>
      </c>
      <c r="C240" s="35" t="str">
        <f>IF(SUM('CASE DATA'!K242:T242)&gt;0,IF(OR('CASE DATA'!G242="GTR",'CASE DATA'!G242="GPL",'CASE DATA'!G242="DEF"),IF('CASE DATA'!H242="YES","License &amp; registration","Registration only"),"Z - Neither license nor registration"),"Z - no debt")</f>
        <v>Z - no debt</v>
      </c>
      <c r="D240" s="59">
        <f>SUM('CASE DATA'!K242:T242)</f>
        <v>0</v>
      </c>
    </row>
    <row r="241" spans="1:4" x14ac:dyDescent="0.25">
      <c r="A241" s="35" t="str">
        <f>IF('CASE DATA'!A243="","",'CASE DATA'!A243)</f>
        <v/>
      </c>
      <c r="B241" s="35">
        <f>'CASE DATA'!B243</f>
        <v>0</v>
      </c>
      <c r="C241" s="35" t="str">
        <f>IF(SUM('CASE DATA'!K243:T243)&gt;0,IF(OR('CASE DATA'!G243="GTR",'CASE DATA'!G243="GPL",'CASE DATA'!G243="DEF"),IF('CASE DATA'!H243="YES","License &amp; registration","Registration only"),"Z - Neither license nor registration"),"Z - no debt")</f>
        <v>Z - no debt</v>
      </c>
      <c r="D241" s="59">
        <f>SUM('CASE DATA'!K243:T243)</f>
        <v>0</v>
      </c>
    </row>
    <row r="242" spans="1:4" x14ac:dyDescent="0.25">
      <c r="A242" s="35" t="str">
        <f>IF('CASE DATA'!A244="","",'CASE DATA'!A244)</f>
        <v/>
      </c>
      <c r="B242" s="35">
        <f>'CASE DATA'!B244</f>
        <v>0</v>
      </c>
      <c r="C242" s="35" t="str">
        <f>IF(SUM('CASE DATA'!K244:T244)&gt;0,IF(OR('CASE DATA'!G244="GTR",'CASE DATA'!G244="GPL",'CASE DATA'!G244="DEF"),IF('CASE DATA'!H244="YES","License &amp; registration","Registration only"),"Z - Neither license nor registration"),"Z - no debt")</f>
        <v>Z - no debt</v>
      </c>
      <c r="D242" s="59">
        <f>SUM('CASE DATA'!K244:T244)</f>
        <v>0</v>
      </c>
    </row>
    <row r="243" spans="1:4" x14ac:dyDescent="0.25">
      <c r="A243" s="35" t="str">
        <f>IF('CASE DATA'!A245="","",'CASE DATA'!A245)</f>
        <v/>
      </c>
      <c r="B243" s="35">
        <f>'CASE DATA'!B245</f>
        <v>0</v>
      </c>
      <c r="C243" s="35" t="str">
        <f>IF(SUM('CASE DATA'!K245:T245)&gt;0,IF(OR('CASE DATA'!G245="GTR",'CASE DATA'!G245="GPL",'CASE DATA'!G245="DEF"),IF('CASE DATA'!H245="YES","License &amp; registration","Registration only"),"Z - Neither license nor registration"),"Z - no debt")</f>
        <v>Z - no debt</v>
      </c>
      <c r="D243" s="59">
        <f>SUM('CASE DATA'!K245:T245)</f>
        <v>0</v>
      </c>
    </row>
    <row r="244" spans="1:4" x14ac:dyDescent="0.25">
      <c r="A244" s="35" t="str">
        <f>IF('CASE DATA'!A246="","",'CASE DATA'!A246)</f>
        <v/>
      </c>
      <c r="B244" s="35">
        <f>'CASE DATA'!B246</f>
        <v>0</v>
      </c>
      <c r="C244" s="35" t="str">
        <f>IF(SUM('CASE DATA'!K246:T246)&gt;0,IF(OR('CASE DATA'!G246="GTR",'CASE DATA'!G246="GPL",'CASE DATA'!G246="DEF"),IF('CASE DATA'!H246="YES","License &amp; registration","Registration only"),"Z - Neither license nor registration"),"Z - no debt")</f>
        <v>Z - no debt</v>
      </c>
      <c r="D244" s="59">
        <f>SUM('CASE DATA'!K246:T246)</f>
        <v>0</v>
      </c>
    </row>
    <row r="245" spans="1:4" x14ac:dyDescent="0.25">
      <c r="A245" s="35" t="str">
        <f>IF('CASE DATA'!A247="","",'CASE DATA'!A247)</f>
        <v/>
      </c>
      <c r="B245" s="35">
        <f>'CASE DATA'!B247</f>
        <v>0</v>
      </c>
      <c r="C245" s="35" t="str">
        <f>IF(SUM('CASE DATA'!K247:T247)&gt;0,IF(OR('CASE DATA'!G247="GTR",'CASE DATA'!G247="GPL",'CASE DATA'!G247="DEF"),IF('CASE DATA'!H247="YES","License &amp; registration","Registration only"),"Z - Neither license nor registration"),"Z - no debt")</f>
        <v>Z - no debt</v>
      </c>
      <c r="D245" s="59">
        <f>SUM('CASE DATA'!K247:T247)</f>
        <v>0</v>
      </c>
    </row>
    <row r="246" spans="1:4" x14ac:dyDescent="0.25">
      <c r="A246" s="35" t="str">
        <f>IF('CASE DATA'!A248="","",'CASE DATA'!A248)</f>
        <v/>
      </c>
      <c r="B246" s="35">
        <f>'CASE DATA'!B248</f>
        <v>0</v>
      </c>
      <c r="C246" s="35" t="str">
        <f>IF(SUM('CASE DATA'!K248:T248)&gt;0,IF(OR('CASE DATA'!G248="GTR",'CASE DATA'!G248="GPL",'CASE DATA'!G248="DEF"),IF('CASE DATA'!H248="YES","License &amp; registration","Registration only"),"Z - Neither license nor registration"),"Z - no debt")</f>
        <v>Z - no debt</v>
      </c>
      <c r="D246" s="59">
        <f>SUM('CASE DATA'!K248:T248)</f>
        <v>0</v>
      </c>
    </row>
    <row r="247" spans="1:4" x14ac:dyDescent="0.25">
      <c r="A247" s="35" t="str">
        <f>IF('CASE DATA'!A249="","",'CASE DATA'!A249)</f>
        <v/>
      </c>
      <c r="B247" s="35">
        <f>'CASE DATA'!B249</f>
        <v>0</v>
      </c>
      <c r="C247" s="35" t="str">
        <f>IF(SUM('CASE DATA'!K249:T249)&gt;0,IF(OR('CASE DATA'!G249="GTR",'CASE DATA'!G249="GPL",'CASE DATA'!G249="DEF"),IF('CASE DATA'!H249="YES","License &amp; registration","Registration only"),"Z - Neither license nor registration"),"Z - no debt")</f>
        <v>Z - no debt</v>
      </c>
      <c r="D247" s="59">
        <f>SUM('CASE DATA'!K249:T249)</f>
        <v>0</v>
      </c>
    </row>
    <row r="248" spans="1:4" x14ac:dyDescent="0.25">
      <c r="A248" s="35" t="str">
        <f>IF('CASE DATA'!A250="","",'CASE DATA'!A250)</f>
        <v/>
      </c>
      <c r="B248" s="35">
        <f>'CASE DATA'!B250</f>
        <v>0</v>
      </c>
      <c r="C248" s="35" t="str">
        <f>IF(SUM('CASE DATA'!K250:T250)&gt;0,IF(OR('CASE DATA'!G250="GTR",'CASE DATA'!G250="GPL",'CASE DATA'!G250="DEF"),IF('CASE DATA'!H250="YES","License &amp; registration","Registration only"),"Z - Neither license nor registration"),"Z - no debt")</f>
        <v>Z - no debt</v>
      </c>
      <c r="D248" s="59">
        <f>SUM('CASE DATA'!K250:T250)</f>
        <v>0</v>
      </c>
    </row>
    <row r="249" spans="1:4" x14ac:dyDescent="0.25">
      <c r="A249" s="35" t="str">
        <f>IF('CASE DATA'!A251="","",'CASE DATA'!A251)</f>
        <v/>
      </c>
      <c r="B249" s="35">
        <f>'CASE DATA'!B251</f>
        <v>0</v>
      </c>
      <c r="C249" s="35" t="str">
        <f>IF(SUM('CASE DATA'!K251:T251)&gt;0,IF(OR('CASE DATA'!G251="GTR",'CASE DATA'!G251="GPL",'CASE DATA'!G251="DEF"),IF('CASE DATA'!H251="YES","License &amp; registration","Registration only"),"Z - Neither license nor registration"),"Z - no debt")</f>
        <v>Z - no debt</v>
      </c>
      <c r="D249" s="59">
        <f>SUM('CASE DATA'!K251:T251)</f>
        <v>0</v>
      </c>
    </row>
    <row r="250" spans="1:4" x14ac:dyDescent="0.25">
      <c r="A250" s="35" t="str">
        <f>IF('CASE DATA'!A252="","",'CASE DATA'!A252)</f>
        <v/>
      </c>
      <c r="B250" s="35">
        <f>'CASE DATA'!B252</f>
        <v>0</v>
      </c>
      <c r="C250" s="35" t="str">
        <f>IF(SUM('CASE DATA'!K252:T252)&gt;0,IF(OR('CASE DATA'!G252="GTR",'CASE DATA'!G252="GPL",'CASE DATA'!G252="DEF"),IF('CASE DATA'!H252="YES","License &amp; registration","Registration only"),"Z - Neither license nor registration"),"Z - no debt")</f>
        <v>Z - no debt</v>
      </c>
      <c r="D250" s="59">
        <f>SUM('CASE DATA'!K252:T252)</f>
        <v>0</v>
      </c>
    </row>
    <row r="251" spans="1:4" x14ac:dyDescent="0.25">
      <c r="A251" s="35" t="str">
        <f>IF('CASE DATA'!A253="","",'CASE DATA'!A253)</f>
        <v/>
      </c>
      <c r="B251" s="35">
        <f>'CASE DATA'!B253</f>
        <v>0</v>
      </c>
      <c r="C251" s="35" t="str">
        <f>IF(SUM('CASE DATA'!K253:T253)&gt;0,IF(OR('CASE DATA'!G253="GTR",'CASE DATA'!G253="GPL",'CASE DATA'!G253="DEF"),IF('CASE DATA'!H253="YES","License &amp; registration","Registration only"),"Z - Neither license nor registration"),"Z - no debt")</f>
        <v>Z - no debt</v>
      </c>
      <c r="D251" s="59">
        <f>SUM('CASE DATA'!K253:T253)</f>
        <v>0</v>
      </c>
    </row>
    <row r="252" spans="1:4" x14ac:dyDescent="0.25">
      <c r="A252" s="35" t="str">
        <f>IF('CASE DATA'!A254="","",'CASE DATA'!A254)</f>
        <v/>
      </c>
      <c r="B252" s="35">
        <f>'CASE DATA'!B254</f>
        <v>0</v>
      </c>
      <c r="C252" s="35" t="str">
        <f>IF(SUM('CASE DATA'!K254:T254)&gt;0,IF(OR('CASE DATA'!G254="GTR",'CASE DATA'!G254="GPL",'CASE DATA'!G254="DEF"),IF('CASE DATA'!H254="YES","License &amp; registration","Registration only"),"Z - Neither license nor registration"),"Z - no debt")</f>
        <v>Z - no debt</v>
      </c>
      <c r="D252" s="59">
        <f>SUM('CASE DATA'!K254:T254)</f>
        <v>0</v>
      </c>
    </row>
    <row r="253" spans="1:4" x14ac:dyDescent="0.25">
      <c r="A253" s="35" t="str">
        <f>IF('CASE DATA'!A255="","",'CASE DATA'!A255)</f>
        <v/>
      </c>
      <c r="B253" s="35">
        <f>'CASE DATA'!B255</f>
        <v>0</v>
      </c>
      <c r="C253" s="35" t="str">
        <f>IF(SUM('CASE DATA'!K255:T255)&gt;0,IF(OR('CASE DATA'!G255="GTR",'CASE DATA'!G255="GPL",'CASE DATA'!G255="DEF"),IF('CASE DATA'!H255="YES","License &amp; registration","Registration only"),"Z - Neither license nor registration"),"Z - no debt")</f>
        <v>Z - no debt</v>
      </c>
      <c r="D253" s="59">
        <f>SUM('CASE DATA'!K255:T255)</f>
        <v>0</v>
      </c>
    </row>
    <row r="254" spans="1:4" x14ac:dyDescent="0.25">
      <c r="A254" s="35" t="str">
        <f>IF('CASE DATA'!A256="","",'CASE DATA'!A256)</f>
        <v/>
      </c>
      <c r="B254" s="35">
        <f>'CASE DATA'!B256</f>
        <v>0</v>
      </c>
      <c r="C254" s="35" t="str">
        <f>IF(SUM('CASE DATA'!K256:T256)&gt;0,IF(OR('CASE DATA'!G256="GTR",'CASE DATA'!G256="GPL",'CASE DATA'!G256="DEF"),IF('CASE DATA'!H256="YES","License &amp; registration","Registration only"),"Z - Neither license nor registration"),"Z - no debt")</f>
        <v>Z - no debt</v>
      </c>
      <c r="D254" s="59">
        <f>SUM('CASE DATA'!K256:T256)</f>
        <v>0</v>
      </c>
    </row>
    <row r="255" spans="1:4" x14ac:dyDescent="0.25">
      <c r="A255" s="35" t="str">
        <f>IF('CASE DATA'!A257="","",'CASE DATA'!A257)</f>
        <v/>
      </c>
      <c r="B255" s="35">
        <f>'CASE DATA'!B257</f>
        <v>0</v>
      </c>
      <c r="C255" s="35" t="str">
        <f>IF(SUM('CASE DATA'!K257:T257)&gt;0,IF(OR('CASE DATA'!G257="GTR",'CASE DATA'!G257="GPL",'CASE DATA'!G257="DEF"),IF('CASE DATA'!H257="YES","License &amp; registration","Registration only"),"Z - Neither license nor registration"),"Z - no debt")</f>
        <v>Z - no debt</v>
      </c>
      <c r="D255" s="59">
        <f>SUM('CASE DATA'!K257:T257)</f>
        <v>0</v>
      </c>
    </row>
    <row r="256" spans="1:4" x14ac:dyDescent="0.25">
      <c r="A256" s="35" t="str">
        <f>IF('CASE DATA'!A258="","",'CASE DATA'!A258)</f>
        <v/>
      </c>
      <c r="B256" s="35">
        <f>'CASE DATA'!B258</f>
        <v>0</v>
      </c>
      <c r="C256" s="35" t="str">
        <f>IF(SUM('CASE DATA'!K258:T258)&gt;0,IF(OR('CASE DATA'!G258="GTR",'CASE DATA'!G258="GPL",'CASE DATA'!G258="DEF"),IF('CASE DATA'!H258="YES","License &amp; registration","Registration only"),"Z - Neither license nor registration"),"Z - no debt")</f>
        <v>Z - no debt</v>
      </c>
      <c r="D256" s="59">
        <f>SUM('CASE DATA'!K258:T258)</f>
        <v>0</v>
      </c>
    </row>
    <row r="257" spans="1:4" x14ac:dyDescent="0.25">
      <c r="A257" s="35" t="str">
        <f>IF('CASE DATA'!A259="","",'CASE DATA'!A259)</f>
        <v/>
      </c>
      <c r="B257" s="35">
        <f>'CASE DATA'!B259</f>
        <v>0</v>
      </c>
      <c r="C257" s="35" t="str">
        <f>IF(SUM('CASE DATA'!K259:T259)&gt;0,IF(OR('CASE DATA'!G259="GTR",'CASE DATA'!G259="GPL",'CASE DATA'!G259="DEF"),IF('CASE DATA'!H259="YES","License &amp; registration","Registration only"),"Z - Neither license nor registration"),"Z - no debt")</f>
        <v>Z - no debt</v>
      </c>
      <c r="D257" s="59">
        <f>SUM('CASE DATA'!K259:T259)</f>
        <v>0</v>
      </c>
    </row>
    <row r="258" spans="1:4" x14ac:dyDescent="0.25">
      <c r="A258" s="35" t="str">
        <f>IF('CASE DATA'!A260="","",'CASE DATA'!A260)</f>
        <v/>
      </c>
      <c r="B258" s="35">
        <f>'CASE DATA'!B260</f>
        <v>0</v>
      </c>
      <c r="C258" s="35" t="str">
        <f>IF(SUM('CASE DATA'!K260:T260)&gt;0,IF(OR('CASE DATA'!G260="GTR",'CASE DATA'!G260="GPL",'CASE DATA'!G260="DEF"),IF('CASE DATA'!H260="YES","License &amp; registration","Registration only"),"Z - Neither license nor registration"),"Z - no debt")</f>
        <v>Z - no debt</v>
      </c>
      <c r="D258" s="59">
        <f>SUM('CASE DATA'!K260:T260)</f>
        <v>0</v>
      </c>
    </row>
    <row r="259" spans="1:4" x14ac:dyDescent="0.25">
      <c r="A259" s="35" t="str">
        <f>IF('CASE DATA'!A261="","",'CASE DATA'!A261)</f>
        <v/>
      </c>
      <c r="B259" s="35">
        <f>'CASE DATA'!B261</f>
        <v>0</v>
      </c>
      <c r="C259" s="35" t="str">
        <f>IF(SUM('CASE DATA'!K261:T261)&gt;0,IF(OR('CASE DATA'!G261="GTR",'CASE DATA'!G261="GPL",'CASE DATA'!G261="DEF"),IF('CASE DATA'!H261="YES","License &amp; registration","Registration only"),"Z - Neither license nor registration"),"Z - no debt")</f>
        <v>Z - no debt</v>
      </c>
      <c r="D259" s="59">
        <f>SUM('CASE DATA'!K261:T261)</f>
        <v>0</v>
      </c>
    </row>
    <row r="260" spans="1:4" x14ac:dyDescent="0.25">
      <c r="A260" s="35" t="str">
        <f>IF('CASE DATA'!A262="","",'CASE DATA'!A262)</f>
        <v/>
      </c>
      <c r="B260" s="35">
        <f>'CASE DATA'!B262</f>
        <v>0</v>
      </c>
      <c r="C260" s="35" t="str">
        <f>IF(SUM('CASE DATA'!K262:T262)&gt;0,IF(OR('CASE DATA'!G262="GTR",'CASE DATA'!G262="GPL",'CASE DATA'!G262="DEF"),IF('CASE DATA'!H262="YES","License &amp; registration","Registration only"),"Z - Neither license nor registration"),"Z - no debt")</f>
        <v>Z - no debt</v>
      </c>
      <c r="D260" s="59">
        <f>SUM('CASE DATA'!K262:T262)</f>
        <v>0</v>
      </c>
    </row>
    <row r="261" spans="1:4" x14ac:dyDescent="0.25">
      <c r="A261" s="35" t="str">
        <f>IF('CASE DATA'!A263="","",'CASE DATA'!A263)</f>
        <v/>
      </c>
      <c r="B261" s="35">
        <f>'CASE DATA'!B263</f>
        <v>0</v>
      </c>
      <c r="C261" s="35" t="str">
        <f>IF(SUM('CASE DATA'!K263:T263)&gt;0,IF(OR('CASE DATA'!G263="GTR",'CASE DATA'!G263="GPL",'CASE DATA'!G263="DEF"),IF('CASE DATA'!H263="YES","License &amp; registration","Registration only"),"Z - Neither license nor registration"),"Z - no debt")</f>
        <v>Z - no debt</v>
      </c>
      <c r="D261" s="59">
        <f>SUM('CASE DATA'!K263:T263)</f>
        <v>0</v>
      </c>
    </row>
    <row r="262" spans="1:4" x14ac:dyDescent="0.25">
      <c r="A262" s="35" t="str">
        <f>IF('CASE DATA'!A264="","",'CASE DATA'!A264)</f>
        <v/>
      </c>
      <c r="B262" s="35">
        <f>'CASE DATA'!B264</f>
        <v>0</v>
      </c>
      <c r="C262" s="35" t="str">
        <f>IF(SUM('CASE DATA'!K264:T264)&gt;0,IF(OR('CASE DATA'!G264="GTR",'CASE DATA'!G264="GPL",'CASE DATA'!G264="DEF"),IF('CASE DATA'!H264="YES","License &amp; registration","Registration only"),"Z - Neither license nor registration"),"Z - no debt")</f>
        <v>Z - no debt</v>
      </c>
      <c r="D262" s="59">
        <f>SUM('CASE DATA'!K264:T264)</f>
        <v>0</v>
      </c>
    </row>
    <row r="263" spans="1:4" x14ac:dyDescent="0.25">
      <c r="A263" s="35" t="str">
        <f>IF('CASE DATA'!A265="","",'CASE DATA'!A265)</f>
        <v/>
      </c>
      <c r="B263" s="35">
        <f>'CASE DATA'!B265</f>
        <v>0</v>
      </c>
      <c r="C263" s="35" t="str">
        <f>IF(SUM('CASE DATA'!K265:T265)&gt;0,IF(OR('CASE DATA'!G265="GTR",'CASE DATA'!G265="GPL",'CASE DATA'!G265="DEF"),IF('CASE DATA'!H265="YES","License &amp; registration","Registration only"),"Z - Neither license nor registration"),"Z - no debt")</f>
        <v>Z - no debt</v>
      </c>
      <c r="D263" s="59">
        <f>SUM('CASE DATA'!K265:T265)</f>
        <v>0</v>
      </c>
    </row>
    <row r="264" spans="1:4" x14ac:dyDescent="0.25">
      <c r="A264" s="35" t="str">
        <f>IF('CASE DATA'!A266="","",'CASE DATA'!A266)</f>
        <v/>
      </c>
      <c r="B264" s="35">
        <f>'CASE DATA'!B266</f>
        <v>0</v>
      </c>
      <c r="C264" s="35" t="str">
        <f>IF(SUM('CASE DATA'!K266:T266)&gt;0,IF(OR('CASE DATA'!G266="GTR",'CASE DATA'!G266="GPL",'CASE DATA'!G266="DEF"),IF('CASE DATA'!H266="YES","License &amp; registration","Registration only"),"Z - Neither license nor registration"),"Z - no debt")</f>
        <v>Z - no debt</v>
      </c>
      <c r="D264" s="59">
        <f>SUM('CASE DATA'!K266:T266)</f>
        <v>0</v>
      </c>
    </row>
    <row r="265" spans="1:4" x14ac:dyDescent="0.25">
      <c r="A265" s="35" t="str">
        <f>IF('CASE DATA'!A267="","",'CASE DATA'!A267)</f>
        <v/>
      </c>
      <c r="B265" s="35">
        <f>'CASE DATA'!B267</f>
        <v>0</v>
      </c>
      <c r="C265" s="35" t="str">
        <f>IF(SUM('CASE DATA'!K267:T267)&gt;0,IF(OR('CASE DATA'!G267="GTR",'CASE DATA'!G267="GPL",'CASE DATA'!G267="DEF"),IF('CASE DATA'!H267="YES","License &amp; registration","Registration only"),"Z - Neither license nor registration"),"Z - no debt")</f>
        <v>Z - no debt</v>
      </c>
      <c r="D265" s="59">
        <f>SUM('CASE DATA'!K267:T267)</f>
        <v>0</v>
      </c>
    </row>
    <row r="266" spans="1:4" x14ac:dyDescent="0.25">
      <c r="A266" s="35" t="str">
        <f>IF('CASE DATA'!A268="","",'CASE DATA'!A268)</f>
        <v/>
      </c>
      <c r="B266" s="35">
        <f>'CASE DATA'!B268</f>
        <v>0</v>
      </c>
      <c r="C266" s="35" t="str">
        <f>IF(SUM('CASE DATA'!K268:T268)&gt;0,IF(OR('CASE DATA'!G268="GTR",'CASE DATA'!G268="GPL",'CASE DATA'!G268="DEF"),IF('CASE DATA'!H268="YES","License &amp; registration","Registration only"),"Z - Neither license nor registration"),"Z - no debt")</f>
        <v>Z - no debt</v>
      </c>
      <c r="D266" s="59">
        <f>SUM('CASE DATA'!K268:T268)</f>
        <v>0</v>
      </c>
    </row>
    <row r="267" spans="1:4" x14ac:dyDescent="0.25">
      <c r="A267" s="35" t="str">
        <f>IF('CASE DATA'!A269="","",'CASE DATA'!A269)</f>
        <v/>
      </c>
      <c r="B267" s="35">
        <f>'CASE DATA'!B269</f>
        <v>0</v>
      </c>
      <c r="C267" s="35" t="str">
        <f>IF(SUM('CASE DATA'!K269:T269)&gt;0,IF(OR('CASE DATA'!G269="GTR",'CASE DATA'!G269="GPL",'CASE DATA'!G269="DEF"),IF('CASE DATA'!H269="YES","License &amp; registration","Registration only"),"Z - Neither license nor registration"),"Z - no debt")</f>
        <v>Z - no debt</v>
      </c>
      <c r="D267" s="59">
        <f>SUM('CASE DATA'!K269:T269)</f>
        <v>0</v>
      </c>
    </row>
    <row r="268" spans="1:4" x14ac:dyDescent="0.25">
      <c r="A268" s="35" t="str">
        <f>IF('CASE DATA'!A270="","",'CASE DATA'!A270)</f>
        <v/>
      </c>
      <c r="B268" s="35">
        <f>'CASE DATA'!B270</f>
        <v>0</v>
      </c>
      <c r="C268" s="35" t="str">
        <f>IF(SUM('CASE DATA'!K270:T270)&gt;0,IF(OR('CASE DATA'!G270="GTR",'CASE DATA'!G270="GPL",'CASE DATA'!G270="DEF"),IF('CASE DATA'!H270="YES","License &amp; registration","Registration only"),"Z - Neither license nor registration"),"Z - no debt")</f>
        <v>Z - no debt</v>
      </c>
      <c r="D268" s="59">
        <f>SUM('CASE DATA'!K270:T270)</f>
        <v>0</v>
      </c>
    </row>
    <row r="269" spans="1:4" x14ac:dyDescent="0.25">
      <c r="A269" s="35" t="str">
        <f>IF('CASE DATA'!A271="","",'CASE DATA'!A271)</f>
        <v/>
      </c>
      <c r="B269" s="35">
        <f>'CASE DATA'!B271</f>
        <v>0</v>
      </c>
      <c r="C269" s="35" t="str">
        <f>IF(SUM('CASE DATA'!K271:T271)&gt;0,IF(OR('CASE DATA'!G271="GTR",'CASE DATA'!G271="GPL",'CASE DATA'!G271="DEF"),IF('CASE DATA'!H271="YES","License &amp; registration","Registration only"),"Z - Neither license nor registration"),"Z - no debt")</f>
        <v>Z - no debt</v>
      </c>
      <c r="D269" s="59">
        <f>SUM('CASE DATA'!K271:T271)</f>
        <v>0</v>
      </c>
    </row>
    <row r="270" spans="1:4" x14ac:dyDescent="0.25">
      <c r="A270" s="35" t="str">
        <f>IF('CASE DATA'!A272="","",'CASE DATA'!A272)</f>
        <v/>
      </c>
      <c r="B270" s="35">
        <f>'CASE DATA'!B272</f>
        <v>0</v>
      </c>
      <c r="C270" s="35" t="str">
        <f>IF(SUM('CASE DATA'!K272:T272)&gt;0,IF(OR('CASE DATA'!G272="GTR",'CASE DATA'!G272="GPL",'CASE DATA'!G272="DEF"),IF('CASE DATA'!H272="YES","License &amp; registration","Registration only"),"Z - Neither license nor registration"),"Z - no debt")</f>
        <v>Z - no debt</v>
      </c>
      <c r="D270" s="59">
        <f>SUM('CASE DATA'!K272:T272)</f>
        <v>0</v>
      </c>
    </row>
    <row r="271" spans="1:4" x14ac:dyDescent="0.25">
      <c r="A271" s="35" t="str">
        <f>IF('CASE DATA'!A273="","",'CASE DATA'!A273)</f>
        <v/>
      </c>
      <c r="B271" s="35">
        <f>'CASE DATA'!B273</f>
        <v>0</v>
      </c>
      <c r="C271" s="35" t="str">
        <f>IF(SUM('CASE DATA'!K273:T273)&gt;0,IF(OR('CASE DATA'!G273="GTR",'CASE DATA'!G273="GPL",'CASE DATA'!G273="DEF"),IF('CASE DATA'!H273="YES","License &amp; registration","Registration only"),"Z - Neither license nor registration"),"Z - no debt")</f>
        <v>Z - no debt</v>
      </c>
      <c r="D271" s="59">
        <f>SUM('CASE DATA'!K273:T273)</f>
        <v>0</v>
      </c>
    </row>
    <row r="272" spans="1:4" x14ac:dyDescent="0.25">
      <c r="A272" s="35" t="str">
        <f>IF('CASE DATA'!A274="","",'CASE DATA'!A274)</f>
        <v/>
      </c>
      <c r="B272" s="35">
        <f>'CASE DATA'!B274</f>
        <v>0</v>
      </c>
      <c r="C272" s="35" t="str">
        <f>IF(SUM('CASE DATA'!K274:T274)&gt;0,IF(OR('CASE DATA'!G274="GTR",'CASE DATA'!G274="GPL",'CASE DATA'!G274="DEF"),IF('CASE DATA'!H274="YES","License &amp; registration","Registration only"),"Z - Neither license nor registration"),"Z - no debt")</f>
        <v>Z - no debt</v>
      </c>
      <c r="D272" s="59">
        <f>SUM('CASE DATA'!K274:T274)</f>
        <v>0</v>
      </c>
    </row>
    <row r="273" spans="1:4" x14ac:dyDescent="0.25">
      <c r="A273" s="35" t="str">
        <f>IF('CASE DATA'!A275="","",'CASE DATA'!A275)</f>
        <v/>
      </c>
      <c r="B273" s="35">
        <f>'CASE DATA'!B275</f>
        <v>0</v>
      </c>
      <c r="C273" s="35" t="str">
        <f>IF(SUM('CASE DATA'!K275:T275)&gt;0,IF(OR('CASE DATA'!G275="GTR",'CASE DATA'!G275="GPL",'CASE DATA'!G275="DEF"),IF('CASE DATA'!H275="YES","License &amp; registration","Registration only"),"Z - Neither license nor registration"),"Z - no debt")</f>
        <v>Z - no debt</v>
      </c>
      <c r="D273" s="59">
        <f>SUM('CASE DATA'!K275:T275)</f>
        <v>0</v>
      </c>
    </row>
    <row r="274" spans="1:4" x14ac:dyDescent="0.25">
      <c r="A274" s="35" t="str">
        <f>IF('CASE DATA'!A276="","",'CASE DATA'!A276)</f>
        <v/>
      </c>
      <c r="B274" s="35">
        <f>'CASE DATA'!B276</f>
        <v>0</v>
      </c>
      <c r="C274" s="35" t="str">
        <f>IF(SUM('CASE DATA'!K276:T276)&gt;0,IF(OR('CASE DATA'!G276="GTR",'CASE DATA'!G276="GPL",'CASE DATA'!G276="DEF"),IF('CASE DATA'!H276="YES","License &amp; registration","Registration only"),"Z - Neither license nor registration"),"Z - no debt")</f>
        <v>Z - no debt</v>
      </c>
      <c r="D274" s="59">
        <f>SUM('CASE DATA'!K276:T276)</f>
        <v>0</v>
      </c>
    </row>
    <row r="275" spans="1:4" x14ac:dyDescent="0.25">
      <c r="A275" s="35" t="str">
        <f>IF('CASE DATA'!A277="","",'CASE DATA'!A277)</f>
        <v/>
      </c>
      <c r="B275" s="35">
        <f>'CASE DATA'!B277</f>
        <v>0</v>
      </c>
      <c r="C275" s="35" t="str">
        <f>IF(SUM('CASE DATA'!K277:T277)&gt;0,IF(OR('CASE DATA'!G277="GTR",'CASE DATA'!G277="GPL",'CASE DATA'!G277="DEF"),IF('CASE DATA'!H277="YES","License &amp; registration","Registration only"),"Z - Neither license nor registration"),"Z - no debt")</f>
        <v>Z - no debt</v>
      </c>
      <c r="D275" s="59">
        <f>SUM('CASE DATA'!K277:T277)</f>
        <v>0</v>
      </c>
    </row>
    <row r="276" spans="1:4" x14ac:dyDescent="0.25">
      <c r="A276" s="35" t="str">
        <f>IF('CASE DATA'!A278="","",'CASE DATA'!A278)</f>
        <v/>
      </c>
      <c r="B276" s="35">
        <f>'CASE DATA'!B278</f>
        <v>0</v>
      </c>
      <c r="C276" s="35" t="str">
        <f>IF(SUM('CASE DATA'!K278:T278)&gt;0,IF(OR('CASE DATA'!G278="GTR",'CASE DATA'!G278="GPL",'CASE DATA'!G278="DEF"),IF('CASE DATA'!H278="YES","License &amp; registration","Registration only"),"Z - Neither license nor registration"),"Z - no debt")</f>
        <v>Z - no debt</v>
      </c>
      <c r="D276" s="59">
        <f>SUM('CASE DATA'!K278:T278)</f>
        <v>0</v>
      </c>
    </row>
    <row r="277" spans="1:4" x14ac:dyDescent="0.25">
      <c r="A277" s="35" t="str">
        <f>IF('CASE DATA'!A279="","",'CASE DATA'!A279)</f>
        <v/>
      </c>
      <c r="B277" s="35">
        <f>'CASE DATA'!B279</f>
        <v>0</v>
      </c>
      <c r="C277" s="35" t="str">
        <f>IF(SUM('CASE DATA'!K279:T279)&gt;0,IF(OR('CASE DATA'!G279="GTR",'CASE DATA'!G279="GPL",'CASE DATA'!G279="DEF"),IF('CASE DATA'!H279="YES","License &amp; registration","Registration only"),"Z - Neither license nor registration"),"Z - no debt")</f>
        <v>Z - no debt</v>
      </c>
      <c r="D277" s="59">
        <f>SUM('CASE DATA'!K279:T279)</f>
        <v>0</v>
      </c>
    </row>
    <row r="278" spans="1:4" x14ac:dyDescent="0.25">
      <c r="A278" s="35" t="str">
        <f>IF('CASE DATA'!A280="","",'CASE DATA'!A280)</f>
        <v/>
      </c>
      <c r="B278" s="35">
        <f>'CASE DATA'!B280</f>
        <v>0</v>
      </c>
      <c r="C278" s="35" t="str">
        <f>IF(SUM('CASE DATA'!K280:T280)&gt;0,IF(OR('CASE DATA'!G280="GTR",'CASE DATA'!G280="GPL",'CASE DATA'!G280="DEF"),IF('CASE DATA'!H280="YES","License &amp; registration","Registration only"),"Z - Neither license nor registration"),"Z - no debt")</f>
        <v>Z - no debt</v>
      </c>
      <c r="D278" s="59">
        <f>SUM('CASE DATA'!K280:T280)</f>
        <v>0</v>
      </c>
    </row>
    <row r="279" spans="1:4" x14ac:dyDescent="0.25">
      <c r="A279" s="35" t="str">
        <f>IF('CASE DATA'!A281="","",'CASE DATA'!A281)</f>
        <v/>
      </c>
      <c r="B279" s="35">
        <f>'CASE DATA'!B281</f>
        <v>0</v>
      </c>
      <c r="C279" s="35" t="str">
        <f>IF(SUM('CASE DATA'!K281:T281)&gt;0,IF(OR('CASE DATA'!G281="GTR",'CASE DATA'!G281="GPL",'CASE DATA'!G281="DEF"),IF('CASE DATA'!H281="YES","License &amp; registration","Registration only"),"Z - Neither license nor registration"),"Z - no debt")</f>
        <v>Z - no debt</v>
      </c>
      <c r="D279" s="59">
        <f>SUM('CASE DATA'!K281:T281)</f>
        <v>0</v>
      </c>
    </row>
    <row r="280" spans="1:4" x14ac:dyDescent="0.25">
      <c r="A280" s="35" t="str">
        <f>IF('CASE DATA'!A282="","",'CASE DATA'!A282)</f>
        <v/>
      </c>
      <c r="B280" s="35">
        <f>'CASE DATA'!B282</f>
        <v>0</v>
      </c>
      <c r="C280" s="35" t="str">
        <f>IF(SUM('CASE DATA'!K282:T282)&gt;0,IF(OR('CASE DATA'!G282="GTR",'CASE DATA'!G282="GPL",'CASE DATA'!G282="DEF"),IF('CASE DATA'!H282="YES","License &amp; registration","Registration only"),"Z - Neither license nor registration"),"Z - no debt")</f>
        <v>Z - no debt</v>
      </c>
      <c r="D280" s="59">
        <f>SUM('CASE DATA'!K282:T282)</f>
        <v>0</v>
      </c>
    </row>
    <row r="281" spans="1:4" x14ac:dyDescent="0.25">
      <c r="A281" s="35" t="str">
        <f>IF('CASE DATA'!A283="","",'CASE DATA'!A283)</f>
        <v/>
      </c>
      <c r="B281" s="35">
        <f>'CASE DATA'!B283</f>
        <v>0</v>
      </c>
      <c r="C281" s="35" t="str">
        <f>IF(SUM('CASE DATA'!K283:T283)&gt;0,IF(OR('CASE DATA'!G283="GTR",'CASE DATA'!G283="GPL",'CASE DATA'!G283="DEF"),IF('CASE DATA'!H283="YES","License &amp; registration","Registration only"),"Z - Neither license nor registration"),"Z - no debt")</f>
        <v>Z - no debt</v>
      </c>
      <c r="D281" s="59">
        <f>SUM('CASE DATA'!K283:T283)</f>
        <v>0</v>
      </c>
    </row>
    <row r="282" spans="1:4" x14ac:dyDescent="0.25">
      <c r="A282" s="35" t="str">
        <f>IF('CASE DATA'!A284="","",'CASE DATA'!A284)</f>
        <v/>
      </c>
      <c r="B282" s="35">
        <f>'CASE DATA'!B284</f>
        <v>0</v>
      </c>
      <c r="C282" s="35" t="str">
        <f>IF(SUM('CASE DATA'!K284:T284)&gt;0,IF(OR('CASE DATA'!G284="GTR",'CASE DATA'!G284="GPL",'CASE DATA'!G284="DEF"),IF('CASE DATA'!H284="YES","License &amp; registration","Registration only"),"Z - Neither license nor registration"),"Z - no debt")</f>
        <v>Z - no debt</v>
      </c>
      <c r="D282" s="59">
        <f>SUM('CASE DATA'!K284:T284)</f>
        <v>0</v>
      </c>
    </row>
    <row r="283" spans="1:4" x14ac:dyDescent="0.25">
      <c r="A283" s="35" t="str">
        <f>IF('CASE DATA'!A285="","",'CASE DATA'!A285)</f>
        <v/>
      </c>
      <c r="B283" s="35">
        <f>'CASE DATA'!B285</f>
        <v>0</v>
      </c>
      <c r="C283" s="35" t="str">
        <f>IF(SUM('CASE DATA'!K285:T285)&gt;0,IF(OR('CASE DATA'!G285="GTR",'CASE DATA'!G285="GPL",'CASE DATA'!G285="DEF"),IF('CASE DATA'!H285="YES","License &amp; registration","Registration only"),"Z - Neither license nor registration"),"Z - no debt")</f>
        <v>Z - no debt</v>
      </c>
      <c r="D283" s="59">
        <f>SUM('CASE DATA'!K285:T285)</f>
        <v>0</v>
      </c>
    </row>
    <row r="284" spans="1:4" x14ac:dyDescent="0.25">
      <c r="A284" s="35" t="str">
        <f>IF('CASE DATA'!A286="","",'CASE DATA'!A286)</f>
        <v/>
      </c>
      <c r="B284" s="35">
        <f>'CASE DATA'!B286</f>
        <v>0</v>
      </c>
      <c r="C284" s="35" t="str">
        <f>IF(SUM('CASE DATA'!K286:T286)&gt;0,IF(OR('CASE DATA'!G286="GTR",'CASE DATA'!G286="GPL",'CASE DATA'!G286="DEF"),IF('CASE DATA'!H286="YES","License &amp; registration","Registration only"),"Z - Neither license nor registration"),"Z - no debt")</f>
        <v>Z - no debt</v>
      </c>
      <c r="D284" s="59">
        <f>SUM('CASE DATA'!K286:T286)</f>
        <v>0</v>
      </c>
    </row>
    <row r="285" spans="1:4" x14ac:dyDescent="0.25">
      <c r="A285" s="35" t="str">
        <f>IF('CASE DATA'!A287="","",'CASE DATA'!A287)</f>
        <v/>
      </c>
      <c r="B285" s="35">
        <f>'CASE DATA'!B287</f>
        <v>0</v>
      </c>
      <c r="C285" s="35" t="str">
        <f>IF(SUM('CASE DATA'!K287:T287)&gt;0,IF(OR('CASE DATA'!G287="GTR",'CASE DATA'!G287="GPL",'CASE DATA'!G287="DEF"),IF('CASE DATA'!H287="YES","License &amp; registration","Registration only"),"Z - Neither license nor registration"),"Z - no debt")</f>
        <v>Z - no debt</v>
      </c>
      <c r="D285" s="59">
        <f>SUM('CASE DATA'!K287:T287)</f>
        <v>0</v>
      </c>
    </row>
    <row r="286" spans="1:4" x14ac:dyDescent="0.25">
      <c r="A286" s="35" t="str">
        <f>IF('CASE DATA'!A288="","",'CASE DATA'!A288)</f>
        <v/>
      </c>
      <c r="B286" s="35">
        <f>'CASE DATA'!B288</f>
        <v>0</v>
      </c>
      <c r="C286" s="35" t="str">
        <f>IF(SUM('CASE DATA'!K288:T288)&gt;0,IF(OR('CASE DATA'!G288="GTR",'CASE DATA'!G288="GPL",'CASE DATA'!G288="DEF"),IF('CASE DATA'!H288="YES","License &amp; registration","Registration only"),"Z - Neither license nor registration"),"Z - no debt")</f>
        <v>Z - no debt</v>
      </c>
      <c r="D286" s="59">
        <f>SUM('CASE DATA'!K288:T288)</f>
        <v>0</v>
      </c>
    </row>
    <row r="287" spans="1:4" x14ac:dyDescent="0.25">
      <c r="A287" s="35" t="str">
        <f>IF('CASE DATA'!A289="","",'CASE DATA'!A289)</f>
        <v/>
      </c>
      <c r="B287" s="35">
        <f>'CASE DATA'!B289</f>
        <v>0</v>
      </c>
      <c r="C287" s="35" t="str">
        <f>IF(SUM('CASE DATA'!K289:T289)&gt;0,IF(OR('CASE DATA'!G289="GTR",'CASE DATA'!G289="GPL",'CASE DATA'!G289="DEF"),IF('CASE DATA'!H289="YES","License &amp; registration","Registration only"),"Z - Neither license nor registration"),"Z - no debt")</f>
        <v>Z - no debt</v>
      </c>
      <c r="D287" s="59">
        <f>SUM('CASE DATA'!K289:T289)</f>
        <v>0</v>
      </c>
    </row>
    <row r="288" spans="1:4" x14ac:dyDescent="0.25">
      <c r="A288" s="35" t="str">
        <f>IF('CASE DATA'!A290="","",'CASE DATA'!A290)</f>
        <v/>
      </c>
      <c r="B288" s="35">
        <f>'CASE DATA'!B290</f>
        <v>0</v>
      </c>
      <c r="C288" s="35" t="str">
        <f>IF(SUM('CASE DATA'!K290:T290)&gt;0,IF(OR('CASE DATA'!G290="GTR",'CASE DATA'!G290="GPL",'CASE DATA'!G290="DEF"),IF('CASE DATA'!H290="YES","License &amp; registration","Registration only"),"Z - Neither license nor registration"),"Z - no debt")</f>
        <v>Z - no debt</v>
      </c>
      <c r="D288" s="59">
        <f>SUM('CASE DATA'!K290:T290)</f>
        <v>0</v>
      </c>
    </row>
    <row r="289" spans="1:4" x14ac:dyDescent="0.25">
      <c r="A289" s="35" t="str">
        <f>IF('CASE DATA'!A291="","",'CASE DATA'!A291)</f>
        <v/>
      </c>
      <c r="B289" s="35">
        <f>'CASE DATA'!B291</f>
        <v>0</v>
      </c>
      <c r="C289" s="35" t="str">
        <f>IF(SUM('CASE DATA'!K291:T291)&gt;0,IF(OR('CASE DATA'!G291="GTR",'CASE DATA'!G291="GPL",'CASE DATA'!G291="DEF"),IF('CASE DATA'!H291="YES","License &amp; registration","Registration only"),"Z - Neither license nor registration"),"Z - no debt")</f>
        <v>Z - no debt</v>
      </c>
      <c r="D289" s="59">
        <f>SUM('CASE DATA'!K291:T291)</f>
        <v>0</v>
      </c>
    </row>
    <row r="290" spans="1:4" x14ac:dyDescent="0.25">
      <c r="A290" s="35" t="str">
        <f>IF('CASE DATA'!A292="","",'CASE DATA'!A292)</f>
        <v/>
      </c>
      <c r="B290" s="35">
        <f>'CASE DATA'!B292</f>
        <v>0</v>
      </c>
      <c r="C290" s="35" t="str">
        <f>IF(SUM('CASE DATA'!K292:T292)&gt;0,IF(OR('CASE DATA'!G292="GTR",'CASE DATA'!G292="GPL",'CASE DATA'!G292="DEF"),IF('CASE DATA'!H292="YES","License &amp; registration","Registration only"),"Z - Neither license nor registration"),"Z - no debt")</f>
        <v>Z - no debt</v>
      </c>
      <c r="D290" s="59">
        <f>SUM('CASE DATA'!K292:T292)</f>
        <v>0</v>
      </c>
    </row>
    <row r="291" spans="1:4" x14ac:dyDescent="0.25">
      <c r="A291" s="35" t="str">
        <f>IF('CASE DATA'!A293="","",'CASE DATA'!A293)</f>
        <v/>
      </c>
      <c r="B291" s="35">
        <f>'CASE DATA'!B293</f>
        <v>0</v>
      </c>
      <c r="C291" s="35" t="str">
        <f>IF(SUM('CASE DATA'!K293:T293)&gt;0,IF(OR('CASE DATA'!G293="GTR",'CASE DATA'!G293="GPL",'CASE DATA'!G293="DEF"),IF('CASE DATA'!H293="YES","License &amp; registration","Registration only"),"Z - Neither license nor registration"),"Z - no debt")</f>
        <v>Z - no debt</v>
      </c>
      <c r="D291" s="59">
        <f>SUM('CASE DATA'!K293:T293)</f>
        <v>0</v>
      </c>
    </row>
    <row r="292" spans="1:4" x14ac:dyDescent="0.25">
      <c r="A292" s="35" t="str">
        <f>IF('CASE DATA'!A294="","",'CASE DATA'!A294)</f>
        <v/>
      </c>
      <c r="B292" s="35">
        <f>'CASE DATA'!B294</f>
        <v>0</v>
      </c>
      <c r="C292" s="35" t="str">
        <f>IF(SUM('CASE DATA'!K294:T294)&gt;0,IF(OR('CASE DATA'!G294="GTR",'CASE DATA'!G294="GPL",'CASE DATA'!G294="DEF"),IF('CASE DATA'!H294="YES","License &amp; registration","Registration only"),"Z - Neither license nor registration"),"Z - no debt")</f>
        <v>Z - no debt</v>
      </c>
      <c r="D292" s="59">
        <f>SUM('CASE DATA'!K294:T294)</f>
        <v>0</v>
      </c>
    </row>
    <row r="293" spans="1:4" x14ac:dyDescent="0.25">
      <c r="A293" s="35" t="str">
        <f>IF('CASE DATA'!A295="","",'CASE DATA'!A295)</f>
        <v/>
      </c>
      <c r="B293" s="35">
        <f>'CASE DATA'!B295</f>
        <v>0</v>
      </c>
      <c r="C293" s="35" t="str">
        <f>IF(SUM('CASE DATA'!K295:T295)&gt;0,IF(OR('CASE DATA'!G295="GTR",'CASE DATA'!G295="GPL",'CASE DATA'!G295="DEF"),IF('CASE DATA'!H295="YES","License &amp; registration","Registration only"),"Z - Neither license nor registration"),"Z - no debt")</f>
        <v>Z - no debt</v>
      </c>
      <c r="D293" s="59">
        <f>SUM('CASE DATA'!K295:T295)</f>
        <v>0</v>
      </c>
    </row>
    <row r="294" spans="1:4" x14ac:dyDescent="0.25">
      <c r="A294" s="35" t="str">
        <f>IF('CASE DATA'!A296="","",'CASE DATA'!A296)</f>
        <v/>
      </c>
      <c r="B294" s="35">
        <f>'CASE DATA'!B296</f>
        <v>0</v>
      </c>
      <c r="C294" s="35" t="str">
        <f>IF(SUM('CASE DATA'!K296:T296)&gt;0,IF(OR('CASE DATA'!G296="GTR",'CASE DATA'!G296="GPL",'CASE DATA'!G296="DEF"),IF('CASE DATA'!H296="YES","License &amp; registration","Registration only"),"Z - Neither license nor registration"),"Z - no debt")</f>
        <v>Z - no debt</v>
      </c>
      <c r="D294" s="59">
        <f>SUM('CASE DATA'!K296:T296)</f>
        <v>0</v>
      </c>
    </row>
    <row r="295" spans="1:4" x14ac:dyDescent="0.25">
      <c r="A295" s="35" t="str">
        <f>IF('CASE DATA'!A297="","",'CASE DATA'!A297)</f>
        <v/>
      </c>
      <c r="B295" s="35">
        <f>'CASE DATA'!B297</f>
        <v>0</v>
      </c>
      <c r="C295" s="35" t="str">
        <f>IF(SUM('CASE DATA'!K297:T297)&gt;0,IF(OR('CASE DATA'!G297="GTR",'CASE DATA'!G297="GPL",'CASE DATA'!G297="DEF"),IF('CASE DATA'!H297="YES","License &amp; registration","Registration only"),"Z - Neither license nor registration"),"Z - no debt")</f>
        <v>Z - no debt</v>
      </c>
      <c r="D295" s="59">
        <f>SUM('CASE DATA'!K297:T297)</f>
        <v>0</v>
      </c>
    </row>
    <row r="296" spans="1:4" x14ac:dyDescent="0.25">
      <c r="A296" s="35" t="str">
        <f>IF('CASE DATA'!A298="","",'CASE DATA'!A298)</f>
        <v/>
      </c>
      <c r="B296" s="35">
        <f>'CASE DATA'!B298</f>
        <v>0</v>
      </c>
      <c r="C296" s="35" t="str">
        <f>IF(SUM('CASE DATA'!K298:T298)&gt;0,IF(OR('CASE DATA'!G298="GTR",'CASE DATA'!G298="GPL",'CASE DATA'!G298="DEF"),IF('CASE DATA'!H298="YES","License &amp; registration","Registration only"),"Z - Neither license nor registration"),"Z - no debt")</f>
        <v>Z - no debt</v>
      </c>
      <c r="D296" s="59">
        <f>SUM('CASE DATA'!K298:T298)</f>
        <v>0</v>
      </c>
    </row>
    <row r="297" spans="1:4" x14ac:dyDescent="0.25">
      <c r="A297" s="35" t="str">
        <f>IF('CASE DATA'!A299="","",'CASE DATA'!A299)</f>
        <v/>
      </c>
      <c r="B297" s="35">
        <f>'CASE DATA'!B299</f>
        <v>0</v>
      </c>
      <c r="C297" s="35" t="str">
        <f>IF(SUM('CASE DATA'!K299:T299)&gt;0,IF(OR('CASE DATA'!G299="GTR",'CASE DATA'!G299="GPL",'CASE DATA'!G299="DEF"),IF('CASE DATA'!H299="YES","License &amp; registration","Registration only"),"Z - Neither license nor registration"),"Z - no debt")</f>
        <v>Z - no debt</v>
      </c>
      <c r="D297" s="59">
        <f>SUM('CASE DATA'!K299:T299)</f>
        <v>0</v>
      </c>
    </row>
    <row r="298" spans="1:4" x14ac:dyDescent="0.25">
      <c r="A298" s="35" t="str">
        <f>IF('CASE DATA'!A300="","",'CASE DATA'!A300)</f>
        <v/>
      </c>
      <c r="B298" s="35">
        <f>'CASE DATA'!B300</f>
        <v>0</v>
      </c>
      <c r="C298" s="35" t="str">
        <f>IF(SUM('CASE DATA'!K300:T300)&gt;0,IF(OR('CASE DATA'!G300="GTR",'CASE DATA'!G300="GPL",'CASE DATA'!G300="DEF"),IF('CASE DATA'!H300="YES","License &amp; registration","Registration only"),"Z - Neither license nor registration"),"Z - no debt")</f>
        <v>Z - no debt</v>
      </c>
      <c r="D298" s="59">
        <f>SUM('CASE DATA'!K300:T300)</f>
        <v>0</v>
      </c>
    </row>
    <row r="299" spans="1:4" x14ac:dyDescent="0.25">
      <c r="A299" s="35" t="str">
        <f>IF('CASE DATA'!A301="","",'CASE DATA'!A301)</f>
        <v/>
      </c>
      <c r="B299" s="35">
        <f>'CASE DATA'!B301</f>
        <v>0</v>
      </c>
      <c r="C299" s="35" t="str">
        <f>IF(SUM('CASE DATA'!K301:T301)&gt;0,IF(OR('CASE DATA'!G301="GTR",'CASE DATA'!G301="GPL",'CASE DATA'!G301="DEF"),IF('CASE DATA'!H301="YES","License &amp; registration","Registration only"),"Z - Neither license nor registration"),"Z - no debt")</f>
        <v>Z - no debt</v>
      </c>
      <c r="D299" s="59">
        <f>SUM('CASE DATA'!K301:T301)</f>
        <v>0</v>
      </c>
    </row>
    <row r="300" spans="1:4" x14ac:dyDescent="0.25">
      <c r="A300" s="35" t="str">
        <f>IF('CASE DATA'!A302="","",'CASE DATA'!A302)</f>
        <v/>
      </c>
      <c r="B300" s="35">
        <f>'CASE DATA'!B302</f>
        <v>0</v>
      </c>
      <c r="C300" s="35" t="str">
        <f>IF(SUM('CASE DATA'!K302:T302)&gt;0,IF(OR('CASE DATA'!G302="GTR",'CASE DATA'!G302="GPL",'CASE DATA'!G302="DEF"),IF('CASE DATA'!H302="YES","License &amp; registration","Registration only"),"Z - Neither license nor registration"),"Z - no debt")</f>
        <v>Z - no debt</v>
      </c>
      <c r="D300" s="59">
        <f>SUM('CASE DATA'!K302:T302)</f>
        <v>0</v>
      </c>
    </row>
  </sheetData>
  <autoFilter ref="A1:D1" xr:uid="{00000000-0009-0000-0000-000004000000}">
    <sortState xmlns:xlrd2="http://schemas.microsoft.com/office/spreadsheetml/2017/richdata2" ref="A2:D300">
      <sortCondition ref="C1"/>
    </sortState>
  </autoFilter>
  <conditionalFormatting sqref="A2:D300">
    <cfRule type="expression" dxfId="3" priority="2">
      <formula>OR($C2="Z - Neither license nor registration",$C2="Z - no debt",$D2=0)</formula>
    </cfRule>
    <cfRule type="expression" dxfId="2"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0"/>
  <sheetViews>
    <sheetView zoomScaleNormal="100" workbookViewId="0">
      <pane ySplit="1" topLeftCell="A2" activePane="bottomLeft" state="frozen"/>
      <selection pane="bottomLeft" activeCell="C1" sqref="C1:D1"/>
    </sheetView>
  </sheetViews>
  <sheetFormatPr defaultColWidth="8.7109375" defaultRowHeight="15" x14ac:dyDescent="0.25"/>
  <cols>
    <col min="1" max="4" width="20.7109375" customWidth="1"/>
    <col min="5" max="5" width="10.140625" customWidth="1"/>
  </cols>
  <sheetData>
    <row r="1" spans="1:5" x14ac:dyDescent="0.25">
      <c r="A1" s="96" t="s">
        <v>9</v>
      </c>
      <c r="B1" s="77"/>
      <c r="C1" s="42">
        <f>SUM(C4:C100)</f>
        <v>0</v>
      </c>
      <c r="D1" s="45">
        <f>SUM(D4:D100)</f>
        <v>0</v>
      </c>
      <c r="E1" s="17">
        <f>SUM(C1:D1)</f>
        <v>0</v>
      </c>
    </row>
    <row r="2" spans="1:5" x14ac:dyDescent="0.25">
      <c r="A2" s="98" t="s">
        <v>41</v>
      </c>
      <c r="B2" s="97" t="s">
        <v>73</v>
      </c>
      <c r="C2" s="77"/>
      <c r="D2" s="77"/>
    </row>
    <row r="3" spans="1:5" x14ac:dyDescent="0.25">
      <c r="A3" s="77"/>
      <c r="B3" s="47" t="s">
        <v>65</v>
      </c>
      <c r="C3" s="48" t="s">
        <v>74</v>
      </c>
      <c r="D3" s="51" t="s">
        <v>75</v>
      </c>
      <c r="E3" s="17"/>
    </row>
    <row r="4" spans="1:5" x14ac:dyDescent="0.25">
      <c r="A4" s="35" t="str">
        <f>IF('CASE DATA'!A4="","",'CASE DATA'!A4)</f>
        <v/>
      </c>
      <c r="B4" s="40" t="str">
        <f>IF('CASE DATA'!A4&lt;&gt;"",IF('CASE DATA'!G4=0, "open charge", 'CASE DATA'!G4),"")</f>
        <v/>
      </c>
      <c r="C4" s="52">
        <f>IF(OR(B4="DISM",B4="JWV",B4="JUV",B4="CIV"),SUM('CASE DATA'!K4:T4),SUM('CASE DATA'!K4:Q4)+'CASE DATA'!T4)</f>
        <v>0</v>
      </c>
      <c r="D4" s="55">
        <f>IF(OR(B4="DISM", B4="JWV", B4="JUV", B4="CIV"), 0, 'CASE DATA'!R4+'CASE DATA'!S4)</f>
        <v>0</v>
      </c>
    </row>
    <row r="5" spans="1:5" x14ac:dyDescent="0.25">
      <c r="A5" s="35" t="str">
        <f>IF('CASE DATA'!A5="","",'CASE DATA'!A5)</f>
        <v/>
      </c>
      <c r="B5" s="40" t="str">
        <f>IF('CASE DATA'!A5&lt;&gt;"",IF('CASE DATA'!G5=0, "open charge", 'CASE DATA'!G5),"")</f>
        <v/>
      </c>
      <c r="C5" s="52">
        <f>IF(OR(B5="DISM",B5="JWV",B5="JUV",B5="CIV"),SUM('CASE DATA'!K5:T5),SUM('CASE DATA'!K5:Q5)+'CASE DATA'!T5)</f>
        <v>0</v>
      </c>
      <c r="D5" s="55">
        <f>IF(OR(B5="DISM", B5="JWV", B5="JUV", B5="CIV"), 0, 'CASE DATA'!R5+'CASE DATA'!S5)</f>
        <v>0</v>
      </c>
    </row>
    <row r="6" spans="1:5" x14ac:dyDescent="0.25">
      <c r="A6" s="35" t="str">
        <f>IF('CASE DATA'!A6="","",'CASE DATA'!A6)</f>
        <v/>
      </c>
      <c r="B6" s="40" t="str">
        <f>IF('CASE DATA'!A6&lt;&gt;"",IF('CASE DATA'!G6=0, "open charge", 'CASE DATA'!G6),"")</f>
        <v/>
      </c>
      <c r="C6" s="52">
        <f>IF(OR(B6="DISM",B6="JWV",B6="JUV",B6="CIV"),SUM('CASE DATA'!K6:T6),SUM('CASE DATA'!K6:Q6)+'CASE DATA'!T6)</f>
        <v>0</v>
      </c>
      <c r="D6" s="55">
        <f>IF(OR(B6="DISM", B6="JWV", B6="JUV", B6="CIV"), 0, 'CASE DATA'!R6+'CASE DATA'!S6)</f>
        <v>0</v>
      </c>
    </row>
    <row r="7" spans="1:5" x14ac:dyDescent="0.25">
      <c r="A7" s="35" t="str">
        <f>IF('CASE DATA'!A7="","",'CASE DATA'!A7)</f>
        <v/>
      </c>
      <c r="B7" s="40" t="str">
        <f>IF('CASE DATA'!A7&lt;&gt;"",IF('CASE DATA'!G7=0, "open charge", 'CASE DATA'!G7),"")</f>
        <v/>
      </c>
      <c r="C7" s="52">
        <f>IF(OR(B7="DISM",B7="JWV",B7="JUV",B7="CIV"),SUM('CASE DATA'!K7:T7),SUM('CASE DATA'!K7:Q7)+'CASE DATA'!T7)</f>
        <v>0</v>
      </c>
      <c r="D7" s="55">
        <f>IF(OR(B7="DISM", B7="JWV", B7="JUV", B7="CIV"), 0, 'CASE DATA'!R7+'CASE DATA'!S7)</f>
        <v>0</v>
      </c>
    </row>
    <row r="8" spans="1:5" x14ac:dyDescent="0.25">
      <c r="A8" s="35" t="str">
        <f>IF('CASE DATA'!A8="","",'CASE DATA'!A8)</f>
        <v/>
      </c>
      <c r="B8" s="40" t="str">
        <f>IF('CASE DATA'!A8&lt;&gt;"",IF('CASE DATA'!G8=0, "open charge", 'CASE DATA'!G8),"")</f>
        <v/>
      </c>
      <c r="C8" s="52">
        <f>IF(OR(B8="DISM",B8="JWV",B8="JUV",B8="CIV"),SUM('CASE DATA'!K8:T8),SUM('CASE DATA'!K8:Q8)+'CASE DATA'!T8)</f>
        <v>0</v>
      </c>
      <c r="D8" s="55">
        <f>IF(OR(B8="DISM", B8="JWV", B8="JUV", B8="CIV"), 0, 'CASE DATA'!R8+'CASE DATA'!S8)</f>
        <v>0</v>
      </c>
    </row>
    <row r="9" spans="1:5" x14ac:dyDescent="0.25">
      <c r="A9" s="35" t="str">
        <f>IF('CASE DATA'!A9="","",'CASE DATA'!A9)</f>
        <v/>
      </c>
      <c r="B9" s="40" t="str">
        <f>IF('CASE DATA'!A9&lt;&gt;"",IF('CASE DATA'!G9=0, "open charge", 'CASE DATA'!G9),"")</f>
        <v/>
      </c>
      <c r="C9" s="52">
        <f>IF(OR(B9="DISM",B9="JWV",B9="JUV",B9="CIV"),SUM('CASE DATA'!K9:T9),SUM('CASE DATA'!K9:Q9)+'CASE DATA'!T9)</f>
        <v>0</v>
      </c>
      <c r="D9" s="55">
        <f>IF(OR(B9="DISM", B9="JWV", B9="JUV", B9="CIV"), 0, 'CASE DATA'!R9+'CASE DATA'!S9)</f>
        <v>0</v>
      </c>
    </row>
    <row r="10" spans="1:5" x14ac:dyDescent="0.25">
      <c r="A10" s="35" t="str">
        <f>IF('CASE DATA'!A10="","",'CASE DATA'!A10)</f>
        <v/>
      </c>
      <c r="B10" s="40" t="str">
        <f>IF('CASE DATA'!A10&lt;&gt;"",IF('CASE DATA'!G10=0, "open charge", 'CASE DATA'!G10),"")</f>
        <v/>
      </c>
      <c r="C10" s="52">
        <f>IF(OR(B10="DISM",B10="JWV",B10="JUV",B10="CIV"),SUM('CASE DATA'!K10:T10),SUM('CASE DATA'!K10:Q10)+'CASE DATA'!T10)</f>
        <v>0</v>
      </c>
      <c r="D10" s="55">
        <f>IF(OR(B10="DISM", B10="JWV", B10="JUV", B10="CIV"), 0, 'CASE DATA'!R10+'CASE DATA'!S10)</f>
        <v>0</v>
      </c>
    </row>
    <row r="11" spans="1:5" x14ac:dyDescent="0.25">
      <c r="A11" s="35" t="str">
        <f>IF('CASE DATA'!A11="","",'CASE DATA'!A11)</f>
        <v/>
      </c>
      <c r="B11" s="40" t="str">
        <f>IF('CASE DATA'!A11&lt;&gt;"",IF('CASE DATA'!G11=0, "open charge", 'CASE DATA'!G11),"")</f>
        <v/>
      </c>
      <c r="C11" s="52">
        <f>IF(OR(B11="DISM",B11="JWV",B11="JUV",B11="CIV"),SUM('CASE DATA'!K11:T11),SUM('CASE DATA'!K11:Q11)+'CASE DATA'!T11)</f>
        <v>0</v>
      </c>
      <c r="D11" s="55">
        <f>IF(OR(B11="DISM", B11="JWV", B11="JUV", B11="CIV"), 0, 'CASE DATA'!R11+'CASE DATA'!S11)</f>
        <v>0</v>
      </c>
    </row>
    <row r="12" spans="1:5" x14ac:dyDescent="0.25">
      <c r="A12" s="35" t="str">
        <f>IF('CASE DATA'!A12="","",'CASE DATA'!A12)</f>
        <v/>
      </c>
      <c r="B12" s="40" t="str">
        <f>IF('CASE DATA'!A12&lt;&gt;"",IF('CASE DATA'!G12=0, "open charge", 'CASE DATA'!G12),"")</f>
        <v/>
      </c>
      <c r="C12" s="52">
        <f>IF(OR(B12="DISM",B12="JWV",B12="JUV",B12="CIV"),SUM('CASE DATA'!K12:T12),SUM('CASE DATA'!K12:Q12)+'CASE DATA'!T12)</f>
        <v>0</v>
      </c>
      <c r="D12" s="55">
        <f>IF(OR(B12="DISM", B12="JWV", B12="JUV", B12="CIV"), 0, 'CASE DATA'!R12+'CASE DATA'!S12)</f>
        <v>0</v>
      </c>
    </row>
    <row r="13" spans="1:5" x14ac:dyDescent="0.25">
      <c r="A13" s="35" t="str">
        <f>IF('CASE DATA'!A13="","",'CASE DATA'!A13)</f>
        <v/>
      </c>
      <c r="B13" s="40" t="str">
        <f>IF('CASE DATA'!A13&lt;&gt;"",IF('CASE DATA'!G13=0, "open charge", 'CASE DATA'!G13),"")</f>
        <v/>
      </c>
      <c r="C13" s="52">
        <f>IF(OR(B13="DISM",B13="JWV",B13="JUV",B13="CIV"),SUM('CASE DATA'!K13:T13),SUM('CASE DATA'!K13:Q13)+'CASE DATA'!T13)</f>
        <v>0</v>
      </c>
      <c r="D13" s="55">
        <f>IF(OR(B13="DISM", B13="JWV", B13="JUV", B13="CIV"), 0, 'CASE DATA'!R13+'CASE DATA'!S13)</f>
        <v>0</v>
      </c>
    </row>
    <row r="14" spans="1:5" x14ac:dyDescent="0.25">
      <c r="A14" s="35" t="str">
        <f>IF('CASE DATA'!A14="","",'CASE DATA'!A14)</f>
        <v/>
      </c>
      <c r="B14" s="40" t="str">
        <f>IF('CASE DATA'!A14&lt;&gt;"",IF('CASE DATA'!G14=0, "open charge", 'CASE DATA'!G14),"")</f>
        <v/>
      </c>
      <c r="C14" s="52">
        <f>IF(OR(B14="DISM",B14="JWV",B14="JUV",B14="CIV"),SUM('CASE DATA'!K14:T14),SUM('CASE DATA'!K14:Q14)+'CASE DATA'!T14)</f>
        <v>0</v>
      </c>
      <c r="D14" s="55">
        <f>IF(OR(B14="DISM", B14="JWV", B14="JUV", B14="CIV"), 0, 'CASE DATA'!R14+'CASE DATA'!S14)</f>
        <v>0</v>
      </c>
    </row>
    <row r="15" spans="1:5" x14ac:dyDescent="0.25">
      <c r="A15" s="35" t="str">
        <f>IF('CASE DATA'!A15="","",'CASE DATA'!A15)</f>
        <v/>
      </c>
      <c r="B15" s="40" t="str">
        <f>IF('CASE DATA'!A15&lt;&gt;"",IF('CASE DATA'!G15=0, "open charge", 'CASE DATA'!G15),"")</f>
        <v/>
      </c>
      <c r="C15" s="52">
        <f>IF(OR(B15="DISM",B15="JWV",B15="JUV",B15="CIV"),SUM('CASE DATA'!K15:T15),SUM('CASE DATA'!K15:Q15)+'CASE DATA'!T15)</f>
        <v>0</v>
      </c>
      <c r="D15" s="55">
        <f>IF(OR(B15="DISM", B15="JWV", B15="JUV", B15="CIV"), 0, 'CASE DATA'!R15+'CASE DATA'!S15)</f>
        <v>0</v>
      </c>
    </row>
    <row r="16" spans="1:5" x14ac:dyDescent="0.25">
      <c r="A16" s="35" t="str">
        <f>IF('CASE DATA'!A16="","",'CASE DATA'!A16)</f>
        <v/>
      </c>
      <c r="B16" s="40" t="str">
        <f>IF('CASE DATA'!A16&lt;&gt;"",IF('CASE DATA'!G16=0, "open charge", 'CASE DATA'!G16),"")</f>
        <v/>
      </c>
      <c r="C16" s="52">
        <f>IF(OR(B16="DISM",B16="JWV",B16="JUV",B16="CIV"),SUM('CASE DATA'!K16:T16),SUM('CASE DATA'!K16:Q16)+'CASE DATA'!T16)</f>
        <v>0</v>
      </c>
      <c r="D16" s="55">
        <f>IF(OR(B16="DISM", B16="JWV", B16="JUV", B16="CIV"), 0, 'CASE DATA'!R16+'CASE DATA'!S16)</f>
        <v>0</v>
      </c>
    </row>
    <row r="17" spans="1:4" x14ac:dyDescent="0.25">
      <c r="A17" s="35" t="str">
        <f>IF('CASE DATA'!A17="","",'CASE DATA'!A17)</f>
        <v/>
      </c>
      <c r="B17" s="40" t="str">
        <f>IF('CASE DATA'!A17&lt;&gt;"",IF('CASE DATA'!G17=0, "open charge", 'CASE DATA'!G17),"")</f>
        <v/>
      </c>
      <c r="C17" s="52">
        <f>IF(OR(B17="DISM",B17="JWV",B17="JUV",B17="CIV"),SUM('CASE DATA'!K17:T17),SUM('CASE DATA'!K17:Q17)+'CASE DATA'!T17)</f>
        <v>0</v>
      </c>
      <c r="D17" s="55">
        <f>IF(OR(B17="DISM", B17="JWV", B17="JUV", B17="CIV"), 0, 'CASE DATA'!R17+'CASE DATA'!S17)</f>
        <v>0</v>
      </c>
    </row>
    <row r="18" spans="1:4" x14ac:dyDescent="0.25">
      <c r="A18" s="35" t="str">
        <f>IF('CASE DATA'!A18="","",'CASE DATA'!A18)</f>
        <v/>
      </c>
      <c r="B18" s="40" t="str">
        <f>IF('CASE DATA'!A18&lt;&gt;"",IF('CASE DATA'!G18=0, "open charge", 'CASE DATA'!G18),"")</f>
        <v/>
      </c>
      <c r="C18" s="52">
        <f>IF(OR(B18="DISM",B18="JWV",B18="JUV",B18="CIV"),SUM('CASE DATA'!K18:T18),SUM('CASE DATA'!K18:Q18)+'CASE DATA'!T18)</f>
        <v>0</v>
      </c>
      <c r="D18" s="55">
        <f>IF(OR(B18="DISM", B18="JWV", B18="JUV", B18="CIV"), 0, 'CASE DATA'!R18+'CASE DATA'!S18)</f>
        <v>0</v>
      </c>
    </row>
    <row r="19" spans="1:4" x14ac:dyDescent="0.25">
      <c r="A19" s="35" t="str">
        <f>IF('CASE DATA'!A19="","",'CASE DATA'!A19)</f>
        <v/>
      </c>
      <c r="B19" s="40" t="str">
        <f>IF('CASE DATA'!A19&lt;&gt;"",IF('CASE DATA'!G19=0, "open charge", 'CASE DATA'!G19),"")</f>
        <v/>
      </c>
      <c r="C19" s="52">
        <f>IF(OR(B19="DISM",B19="JWV",B19="JUV",B19="CIV"),SUM('CASE DATA'!K19:T19),SUM('CASE DATA'!K19:Q19)+'CASE DATA'!T19)</f>
        <v>0</v>
      </c>
      <c r="D19" s="55">
        <f>IF(OR(B19="DISM", B19="JWV", B19="JUV", B19="CIV"), 0, 'CASE DATA'!R19+'CASE DATA'!S19)</f>
        <v>0</v>
      </c>
    </row>
    <row r="20" spans="1:4" x14ac:dyDescent="0.25">
      <c r="A20" s="35" t="str">
        <f>IF('CASE DATA'!A20="","",'CASE DATA'!A20)</f>
        <v/>
      </c>
      <c r="B20" s="40" t="str">
        <f>IF('CASE DATA'!A20&lt;&gt;"",IF('CASE DATA'!G20=0, "open charge", 'CASE DATA'!G20),"")</f>
        <v/>
      </c>
      <c r="C20" s="52">
        <f>IF(OR(B20="DISM",B20="JWV",B20="JUV",B20="CIV"),SUM('CASE DATA'!K20:T20),SUM('CASE DATA'!K20:Q20)+'CASE DATA'!T20)</f>
        <v>0</v>
      </c>
      <c r="D20" s="55">
        <f>IF(OR(B20="DISM", B20="JWV", B20="JUV", B20="CIV"), 0, 'CASE DATA'!R20+'CASE DATA'!S20)</f>
        <v>0</v>
      </c>
    </row>
    <row r="21" spans="1:4" x14ac:dyDescent="0.25">
      <c r="A21" s="35" t="str">
        <f>IF('CASE DATA'!A21="","",'CASE DATA'!A21)</f>
        <v/>
      </c>
      <c r="B21" s="40" t="str">
        <f>IF('CASE DATA'!A21&lt;&gt;"",IF('CASE DATA'!G21=0, "open charge", 'CASE DATA'!G21),"")</f>
        <v/>
      </c>
      <c r="C21" s="52">
        <f>IF(OR(B21="DISM",B21="JWV",B21="JUV",B21="CIV"),SUM('CASE DATA'!K21:T21),SUM('CASE DATA'!K21:Q21)+'CASE DATA'!T21)</f>
        <v>0</v>
      </c>
      <c r="D21" s="55">
        <f>IF(OR(B21="DISM", B21="JWV", B21="JUV", B21="CIV"), 0, 'CASE DATA'!R21+'CASE DATA'!S21)</f>
        <v>0</v>
      </c>
    </row>
    <row r="22" spans="1:4" x14ac:dyDescent="0.25">
      <c r="A22" s="35" t="str">
        <f>IF('CASE DATA'!A22="","",'CASE DATA'!A22)</f>
        <v/>
      </c>
      <c r="B22" s="40" t="str">
        <f>IF('CASE DATA'!A22&lt;&gt;"",IF('CASE DATA'!G22=0, "open charge", 'CASE DATA'!G22),"")</f>
        <v/>
      </c>
      <c r="C22" s="52">
        <f>IF(OR(B22="DISM",B22="JWV",B22="JUV",B22="CIV"),SUM('CASE DATA'!K22:T22),SUM('CASE DATA'!K22:Q22)+'CASE DATA'!T22)</f>
        <v>0</v>
      </c>
      <c r="D22" s="55">
        <f>IF(OR(B22="DISM", B22="JWV", B22="JUV", B22="CIV"), 0, 'CASE DATA'!R22+'CASE DATA'!S22)</f>
        <v>0</v>
      </c>
    </row>
    <row r="23" spans="1:4" x14ac:dyDescent="0.25">
      <c r="A23" s="35" t="str">
        <f>IF('CASE DATA'!A23="","",'CASE DATA'!A23)</f>
        <v/>
      </c>
      <c r="B23" s="40" t="str">
        <f>IF('CASE DATA'!A23&lt;&gt;"",IF('CASE DATA'!G23=0, "open charge", 'CASE DATA'!G23),"")</f>
        <v/>
      </c>
      <c r="C23" s="52">
        <f>IF(OR(B23="DISM",B23="JWV",B23="JUV",B23="CIV"),SUM('CASE DATA'!K23:T23),SUM('CASE DATA'!K23:Q23)+'CASE DATA'!T23)</f>
        <v>0</v>
      </c>
      <c r="D23" s="55">
        <f>IF(OR(B23="DISM", B23="JWV", B23="JUV", B23="CIV"), 0, 'CASE DATA'!R23+'CASE DATA'!S23)</f>
        <v>0</v>
      </c>
    </row>
    <row r="24" spans="1:4" x14ac:dyDescent="0.25">
      <c r="A24" s="35" t="str">
        <f>IF('CASE DATA'!A24="","",'CASE DATA'!A24)</f>
        <v/>
      </c>
      <c r="B24" s="40" t="str">
        <f>IF('CASE DATA'!A24&lt;&gt;"",IF('CASE DATA'!G24=0, "open charge", 'CASE DATA'!G24),"")</f>
        <v/>
      </c>
      <c r="C24" s="52">
        <f>IF(OR(B24="DISM",B24="JWV",B24="JUV",B24="CIV"),SUM('CASE DATA'!K24:T24),SUM('CASE DATA'!K24:Q24)+'CASE DATA'!T24)</f>
        <v>0</v>
      </c>
      <c r="D24" s="55">
        <f>IF(OR(B24="DISM", B24="JWV", B24="JUV", B24="CIV"), 0, 'CASE DATA'!R24+'CASE DATA'!S24)</f>
        <v>0</v>
      </c>
    </row>
    <row r="25" spans="1:4" x14ac:dyDescent="0.25">
      <c r="A25" s="35" t="str">
        <f>IF('CASE DATA'!A25="","",'CASE DATA'!A25)</f>
        <v/>
      </c>
      <c r="B25" s="40" t="str">
        <f>IF('CASE DATA'!A25&lt;&gt;"",IF('CASE DATA'!G25=0, "open charge", 'CASE DATA'!G25),"")</f>
        <v/>
      </c>
      <c r="C25" s="52">
        <f>IF(OR(B25="DISM",B25="JWV",B25="JUV",B25="CIV"),SUM('CASE DATA'!K25:T25),SUM('CASE DATA'!K25:Q25)+'CASE DATA'!T25)</f>
        <v>0</v>
      </c>
      <c r="D25" s="55">
        <f>IF(OR(B25="DISM", B25="JWV", B25="JUV", B25="CIV"), 0, 'CASE DATA'!R25+'CASE DATA'!S25)</f>
        <v>0</v>
      </c>
    </row>
    <row r="26" spans="1:4" x14ac:dyDescent="0.25">
      <c r="A26" s="35" t="str">
        <f>IF('CASE DATA'!A26="","",'CASE DATA'!A26)</f>
        <v/>
      </c>
      <c r="B26" s="40" t="str">
        <f>IF('CASE DATA'!A26&lt;&gt;"",IF('CASE DATA'!G26=0, "open charge", 'CASE DATA'!G26),"")</f>
        <v/>
      </c>
      <c r="C26" s="52">
        <f>IF(OR(B26="DISM",B26="JWV",B26="JUV",B26="CIV"),SUM('CASE DATA'!K26:T26),SUM('CASE DATA'!K26:Q26)+'CASE DATA'!T26)</f>
        <v>0</v>
      </c>
      <c r="D26" s="55">
        <f>IF(OR(B26="DISM", B26="JWV", B26="JUV", B26="CIV"), 0, 'CASE DATA'!R26+'CASE DATA'!S26)</f>
        <v>0</v>
      </c>
    </row>
    <row r="27" spans="1:4" x14ac:dyDescent="0.25">
      <c r="A27" s="35" t="str">
        <f>IF('CASE DATA'!A27="","",'CASE DATA'!A27)</f>
        <v/>
      </c>
      <c r="B27" s="40" t="str">
        <f>IF('CASE DATA'!A27&lt;&gt;"",IF('CASE DATA'!G27=0, "open charge", 'CASE DATA'!G27),"")</f>
        <v/>
      </c>
      <c r="C27" s="52">
        <f>IF(OR(B27="DISM",B27="JWV",B27="JUV",B27="CIV"),SUM('CASE DATA'!K27:T27),SUM('CASE DATA'!K27:Q27)+'CASE DATA'!T27)</f>
        <v>0</v>
      </c>
      <c r="D27" s="55">
        <f>IF(OR(B27="DISM", B27="JWV", B27="JUV", B27="CIV"), 0, 'CASE DATA'!R27+'CASE DATA'!S27)</f>
        <v>0</v>
      </c>
    </row>
    <row r="28" spans="1:4" x14ac:dyDescent="0.25">
      <c r="A28" s="35" t="str">
        <f>IF('CASE DATA'!A28="","",'CASE DATA'!A28)</f>
        <v/>
      </c>
      <c r="B28" s="40" t="str">
        <f>IF('CASE DATA'!A28&lt;&gt;"",IF('CASE DATA'!G28=0, "open charge", 'CASE DATA'!G28),"")</f>
        <v/>
      </c>
      <c r="C28" s="52">
        <f>IF(OR(B28="DISM",B28="JWV",B28="JUV",B28="CIV"),SUM('CASE DATA'!K28:T28),SUM('CASE DATA'!K28:Q28)+'CASE DATA'!T28)</f>
        <v>0</v>
      </c>
      <c r="D28" s="55">
        <f>IF(OR(B28="DISM", B28="JWV", B28="JUV", B28="CIV"), 0, 'CASE DATA'!R28+'CASE DATA'!S28)</f>
        <v>0</v>
      </c>
    </row>
    <row r="29" spans="1:4" x14ac:dyDescent="0.25">
      <c r="A29" s="35" t="str">
        <f>IF('CASE DATA'!A29="","",'CASE DATA'!A29)</f>
        <v/>
      </c>
      <c r="B29" s="40" t="str">
        <f>IF('CASE DATA'!A29&lt;&gt;"",IF('CASE DATA'!G29=0, "open charge", 'CASE DATA'!G29),"")</f>
        <v/>
      </c>
      <c r="C29" s="52">
        <f>IF(OR(B29="DISM",B29="JWV",B29="JUV",B29="CIV"),SUM('CASE DATA'!K29:T29),SUM('CASE DATA'!K29:Q29)+'CASE DATA'!T29)</f>
        <v>0</v>
      </c>
      <c r="D29" s="55">
        <f>IF(OR(B29="DISM", B29="JWV", B29="JUV", B29="CIV"), 0, 'CASE DATA'!R29+'CASE DATA'!S29)</f>
        <v>0</v>
      </c>
    </row>
    <row r="30" spans="1:4" x14ac:dyDescent="0.25">
      <c r="A30" s="35" t="str">
        <f>IF('CASE DATA'!A30="","",'CASE DATA'!A30)</f>
        <v/>
      </c>
      <c r="B30" s="40" t="str">
        <f>IF('CASE DATA'!A30&lt;&gt;"",IF('CASE DATA'!G30=0, "open charge", 'CASE DATA'!G30),"")</f>
        <v/>
      </c>
      <c r="C30" s="52">
        <f>IF(OR(B30="DISM",B30="JWV",B30="JUV",B30="CIV"),SUM('CASE DATA'!K30:T30),SUM('CASE DATA'!K30:Q30)+'CASE DATA'!T30)</f>
        <v>0</v>
      </c>
      <c r="D30" s="55">
        <f>IF(OR(B30="DISM", B30="JWV", B30="JUV", B30="CIV"), 0, 'CASE DATA'!R30+'CASE DATA'!S30)</f>
        <v>0</v>
      </c>
    </row>
    <row r="31" spans="1:4" x14ac:dyDescent="0.25">
      <c r="A31" s="35" t="str">
        <f>IF('CASE DATA'!A31="","",'CASE DATA'!A31)</f>
        <v/>
      </c>
      <c r="B31" s="40" t="str">
        <f>IF('CASE DATA'!A31&lt;&gt;"",IF('CASE DATA'!G31=0, "open charge", 'CASE DATA'!G31),"")</f>
        <v/>
      </c>
      <c r="C31" s="52">
        <f>IF(OR(B31="DISM",B31="JWV",B31="JUV",B31="CIV"),SUM('CASE DATA'!K31:T31),SUM('CASE DATA'!K31:Q31)+'CASE DATA'!T31)</f>
        <v>0</v>
      </c>
      <c r="D31" s="55">
        <f>IF(OR(B31="DISM", B31="JWV", B31="JUV", B31="CIV"), 0, 'CASE DATA'!R31+'CASE DATA'!S31)</f>
        <v>0</v>
      </c>
    </row>
    <row r="32" spans="1:4" x14ac:dyDescent="0.25">
      <c r="A32" s="35" t="str">
        <f>IF('CASE DATA'!A32="","",'CASE DATA'!A32)</f>
        <v/>
      </c>
      <c r="B32" s="40" t="str">
        <f>IF('CASE DATA'!A32&lt;&gt;"",IF('CASE DATA'!G32=0, "open charge", 'CASE DATA'!G32),"")</f>
        <v/>
      </c>
      <c r="C32" s="52">
        <f>IF(OR(B32="DISM",B32="JWV",B32="JUV",B32="CIV"),SUM('CASE DATA'!K32:T32),SUM('CASE DATA'!K32:Q32)+'CASE DATA'!T32)</f>
        <v>0</v>
      </c>
      <c r="D32" s="55">
        <f>IF(OR(B32="DISM", B32="JWV", B32="JUV", B32="CIV"), 0, 'CASE DATA'!R32+'CASE DATA'!S32)</f>
        <v>0</v>
      </c>
    </row>
    <row r="33" spans="1:5" x14ac:dyDescent="0.25">
      <c r="A33" s="35" t="str">
        <f>IF('CASE DATA'!A33="","",'CASE DATA'!A33)</f>
        <v/>
      </c>
      <c r="B33" s="40" t="str">
        <f>IF('CASE DATA'!A33&lt;&gt;"",IF('CASE DATA'!G33=0, "open charge", 'CASE DATA'!G33),"")</f>
        <v/>
      </c>
      <c r="C33" s="52">
        <f>IF(OR(B33="DISM",B33="JWV",B33="JUV",B33="CIV"),SUM('CASE DATA'!K33:T33),SUM('CASE DATA'!K33:Q33)+'CASE DATA'!T33)</f>
        <v>0</v>
      </c>
      <c r="D33" s="55">
        <f>IF(OR(B33="DISM", B33="JWV", B33="JUV", B33="CIV"), 0, 'CASE DATA'!R33+'CASE DATA'!S33)</f>
        <v>0</v>
      </c>
    </row>
    <row r="34" spans="1:5" x14ac:dyDescent="0.25">
      <c r="A34" s="35" t="str">
        <f>IF('CASE DATA'!A34="","",'CASE DATA'!A34)</f>
        <v/>
      </c>
      <c r="B34" s="40" t="str">
        <f>IF('CASE DATA'!A34&lt;&gt;"",IF('CASE DATA'!G34=0, "open charge", 'CASE DATA'!G34),"")</f>
        <v/>
      </c>
      <c r="C34" s="52">
        <f>IF(OR(B34="DISM",B34="JWV",B34="JUV",B34="CIV"),SUM('CASE DATA'!K34:T34),SUM('CASE DATA'!K34:Q34)+'CASE DATA'!T34)</f>
        <v>0</v>
      </c>
      <c r="D34" s="55">
        <f>IF(OR(B34="DISM", B34="JWV", B34="JUV", B34="CIV"), 0, 'CASE DATA'!R34+'CASE DATA'!S34)</f>
        <v>0</v>
      </c>
    </row>
    <row r="35" spans="1:5" x14ac:dyDescent="0.25">
      <c r="A35" s="35" t="str">
        <f>IF('CASE DATA'!A35="","",'CASE DATA'!A35)</f>
        <v/>
      </c>
      <c r="B35" s="40" t="str">
        <f>IF('CASE DATA'!A35&lt;&gt;"",IF('CASE DATA'!G35=0, "open charge", 'CASE DATA'!G35),"")</f>
        <v/>
      </c>
      <c r="C35" s="52">
        <f>IF(OR(B35="DISM",B35="JWV",B35="JUV",B35="CIV"),SUM('CASE DATA'!K35:T35),SUM('CASE DATA'!K35:Q35)+'CASE DATA'!T35)</f>
        <v>0</v>
      </c>
      <c r="D35" s="55">
        <f>IF(OR(B35="DISM", B35="JWV", B35="JUV", B35="CIV"), 0, 'CASE DATA'!R35+'CASE DATA'!S35)</f>
        <v>0</v>
      </c>
    </row>
    <row r="36" spans="1:5" x14ac:dyDescent="0.25">
      <c r="A36" s="35" t="str">
        <f>IF('CASE DATA'!A36="","",'CASE DATA'!A36)</f>
        <v/>
      </c>
      <c r="B36" s="40" t="str">
        <f>IF('CASE DATA'!A36&lt;&gt;"",IF('CASE DATA'!G36=0, "open charge", 'CASE DATA'!G36),"")</f>
        <v/>
      </c>
      <c r="C36" s="52">
        <f>IF(OR(B36="DISM",B36="JWV",B36="JUV",B36="CIV"),SUM('CASE DATA'!K36:T36),SUM('CASE DATA'!K36:Q36)+'CASE DATA'!T36)</f>
        <v>0</v>
      </c>
      <c r="D36" s="55">
        <f>IF(OR(B36="DISM", B36="JWV", B36="JUV", B36="CIV"), 0, 'CASE DATA'!R36+'CASE DATA'!S36)</f>
        <v>0</v>
      </c>
    </row>
    <row r="37" spans="1:5" x14ac:dyDescent="0.25">
      <c r="A37" s="35" t="str">
        <f>IF('CASE DATA'!A37="","",'CASE DATA'!A37)</f>
        <v/>
      </c>
      <c r="B37" s="40" t="str">
        <f>IF('CASE DATA'!A37&lt;&gt;"",IF('CASE DATA'!G37=0, "open charge", 'CASE DATA'!G37),"")</f>
        <v/>
      </c>
      <c r="C37" s="52">
        <f>IF(OR(B37="DISM",B37="JWV",B37="JUV",B37="CIV"),SUM('CASE DATA'!K37:T37),SUM('CASE DATA'!K37:Q37)+'CASE DATA'!T37)</f>
        <v>0</v>
      </c>
      <c r="D37" s="55">
        <f>IF(OR(B37="DISM", B37="JWV", B37="JUV", B37="CIV"), 0, 'CASE DATA'!R37+'CASE DATA'!S37)</f>
        <v>0</v>
      </c>
    </row>
    <row r="38" spans="1:5" x14ac:dyDescent="0.25">
      <c r="A38" s="35" t="str">
        <f>IF('CASE DATA'!A38="","",'CASE DATA'!A38)</f>
        <v/>
      </c>
      <c r="B38" s="40" t="str">
        <f>IF('CASE DATA'!A38&lt;&gt;"",IF('CASE DATA'!G38=0, "open charge", 'CASE DATA'!G38),"")</f>
        <v/>
      </c>
      <c r="C38" s="52">
        <f>IF(OR(B38="DISM",B38="JWV",B38="JUV",B38="CIV"),SUM('CASE DATA'!K38:T38),SUM('CASE DATA'!K38:Q38)+'CASE DATA'!T38)</f>
        <v>0</v>
      </c>
      <c r="D38" s="55">
        <f>IF(OR(B38="DISM", B38="JWV", B38="JUV", B38="CIV"), 0, 'CASE DATA'!R38+'CASE DATA'!S38)</f>
        <v>0</v>
      </c>
    </row>
    <row r="39" spans="1:5" x14ac:dyDescent="0.25">
      <c r="A39" s="35" t="str">
        <f>IF('CASE DATA'!A39="","",'CASE DATA'!A39)</f>
        <v/>
      </c>
      <c r="B39" s="40" t="str">
        <f>IF('CASE DATA'!A39&lt;&gt;"",IF('CASE DATA'!G39=0, "open charge", 'CASE DATA'!G39),"")</f>
        <v/>
      </c>
      <c r="C39" s="52">
        <f>IF(OR(B39="DISM",B39="JWV",B39="JUV",B39="CIV"),SUM('CASE DATA'!K39:T39),SUM('CASE DATA'!K39:Q39)+'CASE DATA'!T39)</f>
        <v>0</v>
      </c>
      <c r="D39" s="55">
        <f>IF(OR(B39="DISM", B39="JWV", B39="JUV", B39="CIV"), 0, 'CASE DATA'!R39+'CASE DATA'!S39)</f>
        <v>0</v>
      </c>
    </row>
    <row r="40" spans="1:5" x14ac:dyDescent="0.25">
      <c r="A40" s="35" t="str">
        <f>IF('CASE DATA'!A40="","",'CASE DATA'!A40)</f>
        <v/>
      </c>
      <c r="B40" s="40" t="str">
        <f>IF('CASE DATA'!A40&lt;&gt;"",IF('CASE DATA'!G40=0, "open charge", 'CASE DATA'!G40),"")</f>
        <v/>
      </c>
      <c r="C40" s="52">
        <f>IF(OR(B40="DISM",B40="JWV",B40="JUV",B40="CIV"),SUM('CASE DATA'!K40:T40),SUM('CASE DATA'!K40:Q40)+'CASE DATA'!T40)</f>
        <v>0</v>
      </c>
      <c r="D40" s="55">
        <f>IF(OR(B40="DISM", B40="JWV", B40="JUV", B40="CIV"), 0, 'CASE DATA'!R40+'CASE DATA'!S40)</f>
        <v>0</v>
      </c>
    </row>
    <row r="41" spans="1:5" x14ac:dyDescent="0.25">
      <c r="A41" s="35" t="str">
        <f>IF('CASE DATA'!A41="","",'CASE DATA'!A41)</f>
        <v/>
      </c>
      <c r="B41" s="40" t="str">
        <f>IF('CASE DATA'!A41&lt;&gt;"",IF('CASE DATA'!G41=0, "open charge", 'CASE DATA'!G41),"")</f>
        <v/>
      </c>
      <c r="C41" s="52">
        <f>IF(OR(B41="DISM",B41="JWV",B41="JUV",B41="CIV"),SUM('CASE DATA'!K41:T41),SUM('CASE DATA'!K41:Q41)+'CASE DATA'!T41)</f>
        <v>0</v>
      </c>
      <c r="D41" s="55">
        <f>IF(OR(B41="DISM", B41="JWV", B41="JUV", B41="CIV"), 0, 'CASE DATA'!R41+'CASE DATA'!S41)</f>
        <v>0</v>
      </c>
    </row>
    <row r="42" spans="1:5" x14ac:dyDescent="0.25">
      <c r="A42" s="35" t="str">
        <f>IF('CASE DATA'!A42="","",'CASE DATA'!A42)</f>
        <v/>
      </c>
      <c r="B42" s="40" t="str">
        <f>IF('CASE DATA'!A42&lt;&gt;"",IF('CASE DATA'!G42=0, "open charge", 'CASE DATA'!G42),"")</f>
        <v/>
      </c>
      <c r="C42" s="52">
        <f>IF(OR(B42="DISM",B42="JWV",B42="JUV",B42="CIV"),SUM('CASE DATA'!K42:T42),SUM('CASE DATA'!K42:Q42)+'CASE DATA'!T42)</f>
        <v>0</v>
      </c>
      <c r="D42" s="55">
        <f>IF(OR(B42="DISM", B42="JWV", B42="JUV", B42="CIV"), 0, 'CASE DATA'!R42+'CASE DATA'!S42)</f>
        <v>0</v>
      </c>
    </row>
    <row r="43" spans="1:5" x14ac:dyDescent="0.25">
      <c r="A43" s="35" t="str">
        <f>IF('CASE DATA'!A43="","",'CASE DATA'!A43)</f>
        <v/>
      </c>
      <c r="B43" s="40" t="str">
        <f>IF('CASE DATA'!A43&lt;&gt;"",IF('CASE DATA'!G43=0, "open charge", 'CASE DATA'!G43),"")</f>
        <v/>
      </c>
      <c r="C43" s="52">
        <f>IF(OR(B43="DISM",B43="JWV",B43="JUV",B43="CIV"),SUM('CASE DATA'!K43:T43),SUM('CASE DATA'!K43:Q43)+'CASE DATA'!T43)</f>
        <v>0</v>
      </c>
      <c r="D43" s="55">
        <f>IF(OR(B43="DISM", B43="JWV", B43="JUV", B43="CIV"), 0, 'CASE DATA'!R43+'CASE DATA'!S43)</f>
        <v>0</v>
      </c>
    </row>
    <row r="44" spans="1:5" x14ac:dyDescent="0.25">
      <c r="A44" s="35" t="str">
        <f>IF('CASE DATA'!A44="","",'CASE DATA'!A44)</f>
        <v/>
      </c>
      <c r="B44" s="40" t="str">
        <f>IF('CASE DATA'!A44&lt;&gt;"",IF('CASE DATA'!G44=0, "open charge", 'CASE DATA'!G44),"")</f>
        <v/>
      </c>
      <c r="C44" s="52">
        <f>IF(OR(B44="DISM",B44="JWV",B44="JUV",B44="CIV"),SUM('CASE DATA'!K44:T44),SUM('CASE DATA'!K44:Q44)+'CASE DATA'!T44)</f>
        <v>0</v>
      </c>
      <c r="D44" s="55">
        <f>IF(OR(B44="DISM", B44="JWV", B44="JUV", B44="CIV"), 0, 'CASE DATA'!R44+'CASE DATA'!S44)</f>
        <v>0</v>
      </c>
    </row>
    <row r="45" spans="1:5" x14ac:dyDescent="0.25">
      <c r="A45" s="35" t="str">
        <f>IF('CASE DATA'!A45="","",'CASE DATA'!A45)</f>
        <v/>
      </c>
      <c r="B45" s="40" t="str">
        <f>IF('CASE DATA'!A45&lt;&gt;"",IF('CASE DATA'!G45=0, "open charge", 'CASE DATA'!G45),"")</f>
        <v/>
      </c>
      <c r="C45" s="52">
        <f>IF(OR(B45="DISM",B45="JWV",B45="JUV",B45="CIV"),SUM('CASE DATA'!K45:T45),SUM('CASE DATA'!K45:Q45)+'CASE DATA'!T45)</f>
        <v>0</v>
      </c>
      <c r="D45" s="55">
        <f>IF(OR(B45="DISM", B45="JWV", B45="JUV", B45="CIV"), 0, 'CASE DATA'!R45+'CASE DATA'!S45)</f>
        <v>0</v>
      </c>
      <c r="E45" s="17"/>
    </row>
    <row r="46" spans="1:5" x14ac:dyDescent="0.25">
      <c r="A46" s="35" t="str">
        <f>IF('CASE DATA'!A46="","",'CASE DATA'!A46)</f>
        <v/>
      </c>
      <c r="B46" s="40" t="str">
        <f>IF('CASE DATA'!A46&lt;&gt;"",IF('CASE DATA'!G46=0, "open charge", 'CASE DATA'!G46),"")</f>
        <v/>
      </c>
      <c r="C46" s="52">
        <f>IF(OR(B46="DISM",B46="JWV",B46="JUV",B46="CIV"),SUM('CASE DATA'!K46:T46),SUM('CASE DATA'!K46:Q46)+'CASE DATA'!T46)</f>
        <v>0</v>
      </c>
      <c r="D46" s="55">
        <f>IF(OR(B46="DISM", B46="JWV", B46="JUV", B46="CIV"), 0, 'CASE DATA'!R46+'CASE DATA'!S46)</f>
        <v>0</v>
      </c>
    </row>
    <row r="47" spans="1:5" x14ac:dyDescent="0.25">
      <c r="A47" s="35" t="str">
        <f>IF('CASE DATA'!A47="","",'CASE DATA'!A47)</f>
        <v/>
      </c>
      <c r="B47" s="40" t="str">
        <f>IF('CASE DATA'!A47&lt;&gt;"",IF('CASE DATA'!G47=0, "open charge", 'CASE DATA'!G47),"")</f>
        <v/>
      </c>
      <c r="C47" s="52">
        <f>IF(OR(B47="DISM",B47="JWV",B47="JUV",B47="CIV"),SUM('CASE DATA'!K47:T47),SUM('CASE DATA'!K47:Q47)+'CASE DATA'!T47)</f>
        <v>0</v>
      </c>
      <c r="D47" s="55">
        <f>IF(OR(B47="DISM", B47="JWV", B47="JUV", B47="CIV"), 0, 'CASE DATA'!R47+'CASE DATA'!S47)</f>
        <v>0</v>
      </c>
    </row>
    <row r="48" spans="1:5" x14ac:dyDescent="0.25">
      <c r="A48" s="35" t="str">
        <f>IF('CASE DATA'!A48="","",'CASE DATA'!A48)</f>
        <v/>
      </c>
      <c r="B48" s="40" t="str">
        <f>IF('CASE DATA'!A48&lt;&gt;"",IF('CASE DATA'!G48=0, "open charge", 'CASE DATA'!G48),"")</f>
        <v/>
      </c>
      <c r="C48" s="52">
        <f>IF(OR(B48="DISM",B48="JWV",B48="JUV",B48="CIV"),SUM('CASE DATA'!K48:T48),SUM('CASE DATA'!K48:Q48)+'CASE DATA'!T48)</f>
        <v>0</v>
      </c>
      <c r="D48" s="55">
        <f>IF(OR(B48="DISM", B48="JWV", B48="JUV", B48="CIV"), 0, 'CASE DATA'!R48+'CASE DATA'!S48)</f>
        <v>0</v>
      </c>
    </row>
    <row r="49" spans="1:4" x14ac:dyDescent="0.25">
      <c r="A49" s="35" t="str">
        <f>IF('CASE DATA'!A49="","",'CASE DATA'!A49)</f>
        <v/>
      </c>
      <c r="B49" s="40" t="str">
        <f>IF('CASE DATA'!A49&lt;&gt;"",IF('CASE DATA'!G49=0, "open charge", 'CASE DATA'!G49),"")</f>
        <v/>
      </c>
      <c r="C49" s="52">
        <f>IF(OR(B49="DISM",B49="JWV",B49="JUV",B49="CIV"),SUM('CASE DATA'!K49:T49),SUM('CASE DATA'!K49:Q49)+'CASE DATA'!T49)</f>
        <v>0</v>
      </c>
      <c r="D49" s="55">
        <f>IF(OR(B49="DISM", B49="JWV", B49="JUV", B49="CIV"), 0, 'CASE DATA'!R49+'CASE DATA'!S49)</f>
        <v>0</v>
      </c>
    </row>
    <row r="50" spans="1:4" x14ac:dyDescent="0.25">
      <c r="A50" s="35" t="str">
        <f>IF('CASE DATA'!A50="","",'CASE DATA'!A50)</f>
        <v/>
      </c>
      <c r="B50" s="40" t="str">
        <f>IF('CASE DATA'!A50&lt;&gt;"",IF('CASE DATA'!G50=0, "open charge", 'CASE DATA'!G50),"")</f>
        <v/>
      </c>
      <c r="C50" s="52">
        <f>IF(OR(B50="DISM",B50="JWV",B50="JUV",B50="CIV"),SUM('CASE DATA'!K50:T50),SUM('CASE DATA'!K50:Q50)+'CASE DATA'!T50)</f>
        <v>0</v>
      </c>
      <c r="D50" s="55">
        <f>IF(OR(B50="DISM", B50="JWV", B50="JUV", B50="CIV"), 0, 'CASE DATA'!R50+'CASE DATA'!S50)</f>
        <v>0</v>
      </c>
    </row>
    <row r="51" spans="1:4" x14ac:dyDescent="0.25">
      <c r="A51" s="35" t="str">
        <f>IF('CASE DATA'!A51="","",'CASE DATA'!A51)</f>
        <v/>
      </c>
      <c r="B51" s="40" t="str">
        <f>IF('CASE DATA'!A51&lt;&gt;"",IF('CASE DATA'!G51=0, "open charge", 'CASE DATA'!G51),"")</f>
        <v/>
      </c>
      <c r="C51" s="52">
        <f>IF(OR(B51="DISM",B51="JWV",B51="JUV",B51="CIV"),SUM('CASE DATA'!K51:T51),SUM('CASE DATA'!K51:Q51)+'CASE DATA'!T51)</f>
        <v>0</v>
      </c>
      <c r="D51" s="55">
        <f>IF(OR(B51="DISM", B51="JWV", B51="JUV", B51="CIV"), 0, 'CASE DATA'!R51+'CASE DATA'!S51)</f>
        <v>0</v>
      </c>
    </row>
    <row r="52" spans="1:4" x14ac:dyDescent="0.25">
      <c r="A52" s="35" t="str">
        <f>IF('CASE DATA'!A52="","",'CASE DATA'!A52)</f>
        <v/>
      </c>
      <c r="B52" s="40" t="str">
        <f>IF('CASE DATA'!A52&lt;&gt;"",IF('CASE DATA'!G52=0, "open charge", 'CASE DATA'!G52),"")</f>
        <v/>
      </c>
      <c r="C52" s="52">
        <f>IF(OR(B52="DISM",B52="JWV",B52="JUV",B52="CIV"),SUM('CASE DATA'!K52:T52),SUM('CASE DATA'!K52:Q52)+'CASE DATA'!T52)</f>
        <v>0</v>
      </c>
      <c r="D52" s="55">
        <f>IF(OR(B52="DISM", B52="JWV", B52="JUV", B52="CIV"), 0, 'CASE DATA'!R52+'CASE DATA'!S52)</f>
        <v>0</v>
      </c>
    </row>
    <row r="53" spans="1:4" x14ac:dyDescent="0.25">
      <c r="A53" s="35" t="str">
        <f>IF('CASE DATA'!A53="","",'CASE DATA'!A53)</f>
        <v/>
      </c>
      <c r="B53" s="40" t="str">
        <f>IF('CASE DATA'!A53&lt;&gt;"",IF('CASE DATA'!G53=0, "open charge", 'CASE DATA'!G53),"")</f>
        <v/>
      </c>
      <c r="C53" s="52">
        <f>IF(OR(B53="DISM",B53="JWV",B53="JUV",B53="CIV"),SUM('CASE DATA'!K53:T53),SUM('CASE DATA'!K53:Q53)+'CASE DATA'!T53)</f>
        <v>0</v>
      </c>
      <c r="D53" s="55">
        <f>IF(OR(B53="DISM", B53="JWV", B53="JUV", B53="CIV"), 0, 'CASE DATA'!R53+'CASE DATA'!S53)</f>
        <v>0</v>
      </c>
    </row>
    <row r="54" spans="1:4" x14ac:dyDescent="0.25">
      <c r="A54" s="35" t="str">
        <f>IF('CASE DATA'!A54="","",'CASE DATA'!A54)</f>
        <v/>
      </c>
      <c r="B54" s="40" t="str">
        <f>IF('CASE DATA'!A54&lt;&gt;"",IF('CASE DATA'!G54=0, "open charge", 'CASE DATA'!G54),"")</f>
        <v/>
      </c>
      <c r="C54" s="52">
        <f>IF(OR(B54="DISM",B54="JWV",B54="JUV",B54="CIV"),SUM('CASE DATA'!K54:T54),SUM('CASE DATA'!K54:Q54)+'CASE DATA'!T54)</f>
        <v>0</v>
      </c>
      <c r="D54" s="55">
        <f>IF(OR(B54="DISM", B54="JWV", B54="JUV", B54="CIV"), 0, 'CASE DATA'!R54+'CASE DATA'!S54)</f>
        <v>0</v>
      </c>
    </row>
    <row r="55" spans="1:4" x14ac:dyDescent="0.25">
      <c r="A55" s="35" t="str">
        <f>IF('CASE DATA'!A55="","",'CASE DATA'!A55)</f>
        <v/>
      </c>
      <c r="B55" s="40" t="str">
        <f>IF('CASE DATA'!A55&lt;&gt;"",IF('CASE DATA'!G55=0, "open charge", 'CASE DATA'!G55),"")</f>
        <v/>
      </c>
      <c r="C55" s="52">
        <f>IF(OR(B55="DISM",B55="JWV",B55="JUV",B55="CIV"),SUM('CASE DATA'!K55:T55),SUM('CASE DATA'!K55:Q55)+'CASE DATA'!T55)</f>
        <v>0</v>
      </c>
      <c r="D55" s="55">
        <f>IF(OR(B55="DISM", B55="JWV", B55="JUV", B55="CIV"), 0, 'CASE DATA'!R55+'CASE DATA'!S55)</f>
        <v>0</v>
      </c>
    </row>
    <row r="56" spans="1:4" x14ac:dyDescent="0.25">
      <c r="A56" s="35" t="str">
        <f>IF('CASE DATA'!A56="","",'CASE DATA'!A56)</f>
        <v/>
      </c>
      <c r="B56" s="40" t="str">
        <f>IF('CASE DATA'!A56&lt;&gt;"",IF('CASE DATA'!G56=0, "open charge", 'CASE DATA'!G56),"")</f>
        <v/>
      </c>
      <c r="C56" s="52">
        <f>IF(OR(B56="DISM",B56="JWV",B56="JUV",B56="CIV"),SUM('CASE DATA'!K56:T56),SUM('CASE DATA'!K56:Q56)+'CASE DATA'!T56)</f>
        <v>0</v>
      </c>
      <c r="D56" s="55">
        <f>IF(OR(B56="DISM", B56="JWV", B56="JUV", B56="CIV"), 0, 'CASE DATA'!R56+'CASE DATA'!S56)</f>
        <v>0</v>
      </c>
    </row>
    <row r="57" spans="1:4" x14ac:dyDescent="0.25">
      <c r="A57" s="35" t="str">
        <f>IF('CASE DATA'!A57="","",'CASE DATA'!A57)</f>
        <v/>
      </c>
      <c r="B57" s="40" t="str">
        <f>IF('CASE DATA'!A57&lt;&gt;"",IF('CASE DATA'!G57=0, "open charge", 'CASE DATA'!G57),"")</f>
        <v/>
      </c>
      <c r="C57" s="52">
        <f>IF(OR(B57="DISM",B57="JWV",B57="JUV",B57="CIV"),SUM('CASE DATA'!K57:T57),SUM('CASE DATA'!K57:Q57)+'CASE DATA'!T57)</f>
        <v>0</v>
      </c>
      <c r="D57" s="55">
        <f>IF(OR(B57="DISM", B57="JWV", B57="JUV", B57="CIV"), 0, 'CASE DATA'!R57+'CASE DATA'!S57)</f>
        <v>0</v>
      </c>
    </row>
    <row r="58" spans="1:4" x14ac:dyDescent="0.25">
      <c r="A58" s="35" t="str">
        <f>IF('CASE DATA'!A58="","",'CASE DATA'!A58)</f>
        <v/>
      </c>
      <c r="B58" s="40" t="str">
        <f>IF('CASE DATA'!A58&lt;&gt;"",IF('CASE DATA'!G58=0, "open charge", 'CASE DATA'!G58),"")</f>
        <v/>
      </c>
      <c r="C58" s="52">
        <f>IF(OR(B58="DISM",B58="JWV",B58="JUV",B58="CIV"),SUM('CASE DATA'!K58:T58),SUM('CASE DATA'!K58:Q58)+'CASE DATA'!T58)</f>
        <v>0</v>
      </c>
      <c r="D58" s="55">
        <f>IF(OR(B58="DISM", B58="JWV", B58="JUV", B58="CIV"), 0, 'CASE DATA'!R58+'CASE DATA'!S58)</f>
        <v>0</v>
      </c>
    </row>
    <row r="59" spans="1:4" x14ac:dyDescent="0.25">
      <c r="A59" s="35" t="str">
        <f>IF('CASE DATA'!A59="","",'CASE DATA'!A59)</f>
        <v/>
      </c>
      <c r="B59" s="40" t="str">
        <f>IF('CASE DATA'!A59&lt;&gt;"",IF('CASE DATA'!G59=0, "open charge", 'CASE DATA'!G59),"")</f>
        <v/>
      </c>
      <c r="C59" s="52">
        <f>IF(OR(B59="DISM",B59="JWV",B59="JUV",B59="CIV"),SUM('CASE DATA'!K59:T59),SUM('CASE DATA'!K59:Q59)+'CASE DATA'!T59)</f>
        <v>0</v>
      </c>
      <c r="D59" s="55">
        <f>IF(OR(B59="DISM", B59="JWV", B59="JUV", B59="CIV"), 0, 'CASE DATA'!R59+'CASE DATA'!S59)</f>
        <v>0</v>
      </c>
    </row>
    <row r="60" spans="1:4" x14ac:dyDescent="0.25">
      <c r="A60" s="35" t="str">
        <f>IF('CASE DATA'!A60="","",'CASE DATA'!A60)</f>
        <v/>
      </c>
      <c r="B60" s="40" t="str">
        <f>IF('CASE DATA'!A60&lt;&gt;"",IF('CASE DATA'!G60=0, "open charge", 'CASE DATA'!G60),"")</f>
        <v/>
      </c>
      <c r="C60" s="52">
        <f>IF(OR(B60="DISM",B60="JWV",B60="JUV",B60="CIV"),SUM('CASE DATA'!K60:T60),SUM('CASE DATA'!K60:Q60)+'CASE DATA'!T60)</f>
        <v>0</v>
      </c>
      <c r="D60" s="55">
        <f>IF(OR(B60="DISM", B60="JWV", B60="JUV", B60="CIV"), 0, 'CASE DATA'!R60+'CASE DATA'!S60)</f>
        <v>0</v>
      </c>
    </row>
    <row r="61" spans="1:4" x14ac:dyDescent="0.25">
      <c r="A61" s="35" t="str">
        <f>IF('CASE DATA'!A61="","",'CASE DATA'!A61)</f>
        <v/>
      </c>
      <c r="B61" s="40" t="str">
        <f>IF('CASE DATA'!A61&lt;&gt;"",IF('CASE DATA'!G61=0, "open charge", 'CASE DATA'!G61),"")</f>
        <v/>
      </c>
      <c r="C61" s="52">
        <f>IF(OR(B61="DISM",B61="JWV",B61="JUV",B61="CIV"),SUM('CASE DATA'!K61:T61),SUM('CASE DATA'!K61:Q61)+'CASE DATA'!T61)</f>
        <v>0</v>
      </c>
      <c r="D61" s="55">
        <f>IF(OR(B61="DISM", B61="JWV", B61="JUV", B61="CIV"), 0, 'CASE DATA'!R61+'CASE DATA'!S61)</f>
        <v>0</v>
      </c>
    </row>
    <row r="62" spans="1:4" x14ac:dyDescent="0.25">
      <c r="A62" s="35" t="str">
        <f>IF('CASE DATA'!A62="","",'CASE DATA'!A62)</f>
        <v/>
      </c>
      <c r="B62" s="40" t="str">
        <f>IF('CASE DATA'!A62&lt;&gt;"",IF('CASE DATA'!G62=0, "open charge", 'CASE DATA'!G62),"")</f>
        <v/>
      </c>
      <c r="C62" s="52">
        <f>IF(OR(B62="DISM",B62="JWV",B62="JUV",B62="CIV"),SUM('CASE DATA'!K62:T62),SUM('CASE DATA'!K62:Q62)+'CASE DATA'!T62)</f>
        <v>0</v>
      </c>
      <c r="D62" s="55">
        <f>IF(OR(B62="DISM", B62="JWV", B62="JUV", B62="CIV"), 0, 'CASE DATA'!R62+'CASE DATA'!S62)</f>
        <v>0</v>
      </c>
    </row>
    <row r="63" spans="1:4" x14ac:dyDescent="0.25">
      <c r="A63" s="35" t="str">
        <f>IF('CASE DATA'!A63="","",'CASE DATA'!A63)</f>
        <v/>
      </c>
      <c r="B63" s="40" t="str">
        <f>IF('CASE DATA'!A63&lt;&gt;"",IF('CASE DATA'!G63=0, "open charge", 'CASE DATA'!G63),"")</f>
        <v/>
      </c>
      <c r="C63" s="52">
        <f>IF(OR(B63="DISM",B63="JWV",B63="JUV",B63="CIV"),SUM('CASE DATA'!K63:T63),SUM('CASE DATA'!K63:Q63)+'CASE DATA'!T63)</f>
        <v>0</v>
      </c>
      <c r="D63" s="55">
        <f>IF(OR(B63="DISM", B63="JWV", B63="JUV", B63="CIV"), 0, 'CASE DATA'!R63+'CASE DATA'!S63)</f>
        <v>0</v>
      </c>
    </row>
    <row r="64" spans="1:4" x14ac:dyDescent="0.25">
      <c r="A64" s="35" t="str">
        <f>IF('CASE DATA'!A64="","",'CASE DATA'!A64)</f>
        <v/>
      </c>
      <c r="B64" s="40" t="str">
        <f>IF('CASE DATA'!A64&lt;&gt;"",IF('CASE DATA'!G64=0, "open charge", 'CASE DATA'!G64),"")</f>
        <v/>
      </c>
      <c r="C64" s="52">
        <f>IF(OR(B64="DISM",B64="JWV",B64="JUV",B64="CIV"),SUM('CASE DATA'!K64:T64),SUM('CASE DATA'!K64:Q64)+'CASE DATA'!T64)</f>
        <v>0</v>
      </c>
      <c r="D64" s="55">
        <f>IF(OR(B64="DISM", B64="JWV", B64="JUV", B64="CIV"), 0, 'CASE DATA'!R64+'CASE DATA'!S64)</f>
        <v>0</v>
      </c>
    </row>
    <row r="65" spans="1:4" x14ac:dyDescent="0.25">
      <c r="A65" s="35" t="str">
        <f>IF('CASE DATA'!A65="","",'CASE DATA'!A65)</f>
        <v/>
      </c>
      <c r="B65" s="40" t="str">
        <f>IF('CASE DATA'!A65&lt;&gt;"",IF('CASE DATA'!G65=0, "open charge", 'CASE DATA'!G65),"")</f>
        <v/>
      </c>
      <c r="C65" s="52">
        <f>IF(OR(B65="DISM",B65="JWV",B65="JUV",B65="CIV"),SUM('CASE DATA'!K65:T65),SUM('CASE DATA'!K65:Q65)+'CASE DATA'!T65)</f>
        <v>0</v>
      </c>
      <c r="D65" s="55">
        <f>IF(OR(B65="DISM", B65="JWV", B65="JUV", B65="CIV"), 0, 'CASE DATA'!R65+'CASE DATA'!S65)</f>
        <v>0</v>
      </c>
    </row>
    <row r="66" spans="1:4" x14ac:dyDescent="0.25">
      <c r="A66" s="35" t="str">
        <f>IF('CASE DATA'!A66="","",'CASE DATA'!A66)</f>
        <v/>
      </c>
      <c r="B66" s="40" t="str">
        <f>IF('CASE DATA'!A66&lt;&gt;"",IF('CASE DATA'!G66=0, "open charge", 'CASE DATA'!G66),"")</f>
        <v/>
      </c>
      <c r="C66" s="52">
        <f>IF(OR(B66="DISM",B66="JWV",B66="JUV",B66="CIV"),SUM('CASE DATA'!K66:T66),SUM('CASE DATA'!K66:Q66)+'CASE DATA'!T66)</f>
        <v>0</v>
      </c>
      <c r="D66" s="55">
        <f>IF(OR(B66="DISM", B66="JWV", B66="JUV", B66="CIV"), 0, 'CASE DATA'!R66+'CASE DATA'!S66)</f>
        <v>0</v>
      </c>
    </row>
    <row r="67" spans="1:4" x14ac:dyDescent="0.25">
      <c r="A67" s="35" t="str">
        <f>IF('CASE DATA'!A67="","",'CASE DATA'!A67)</f>
        <v/>
      </c>
      <c r="B67" s="40" t="str">
        <f>IF('CASE DATA'!A67&lt;&gt;"",IF('CASE DATA'!G67=0, "open charge", 'CASE DATA'!G67),"")</f>
        <v/>
      </c>
      <c r="C67" s="52">
        <f>IF(OR(B67="DISM",B67="JWV",B67="JUV",B67="CIV"),SUM('CASE DATA'!K67:T67),SUM('CASE DATA'!K67:Q67)+'CASE DATA'!T67)</f>
        <v>0</v>
      </c>
      <c r="D67" s="55">
        <f>IF(OR(B67="DISM", B67="JWV", B67="JUV", B67="CIV"), 0, 'CASE DATA'!R67+'CASE DATA'!S67)</f>
        <v>0</v>
      </c>
    </row>
    <row r="68" spans="1:4" x14ac:dyDescent="0.25">
      <c r="A68" s="35" t="str">
        <f>IF('CASE DATA'!A68="","",'CASE DATA'!A68)</f>
        <v/>
      </c>
      <c r="B68" s="40" t="str">
        <f>IF('CASE DATA'!A68&lt;&gt;"",IF('CASE DATA'!G68=0, "open charge", 'CASE DATA'!G68),"")</f>
        <v/>
      </c>
      <c r="C68" s="52">
        <f>IF(OR(B68="DISM",B68="JWV",B68="JUV",B68="CIV"),SUM('CASE DATA'!K68:T68),SUM('CASE DATA'!K68:Q68)+'CASE DATA'!T68)</f>
        <v>0</v>
      </c>
      <c r="D68" s="55">
        <f>IF(OR(B68="DISM", B68="JWV", B68="JUV", B68="CIV"), 0, 'CASE DATA'!R68+'CASE DATA'!S68)</f>
        <v>0</v>
      </c>
    </row>
    <row r="69" spans="1:4" x14ac:dyDescent="0.25">
      <c r="A69" s="35" t="str">
        <f>IF('CASE DATA'!A69="","",'CASE DATA'!A69)</f>
        <v/>
      </c>
      <c r="B69" s="40" t="str">
        <f>IF('CASE DATA'!A69&lt;&gt;"",IF('CASE DATA'!G69=0, "open charge", 'CASE DATA'!G69),"")</f>
        <v/>
      </c>
      <c r="C69" s="52">
        <f>IF(OR(B69="DISM",B69="JWV",B69="JUV",B69="CIV"),SUM('CASE DATA'!K69:T69),SUM('CASE DATA'!K69:Q69)+'CASE DATA'!T69)</f>
        <v>0</v>
      </c>
      <c r="D69" s="55">
        <f>IF(OR(B69="DISM", B69="JWV", B69="JUV", B69="CIV"), 0, 'CASE DATA'!R69+'CASE DATA'!S69)</f>
        <v>0</v>
      </c>
    </row>
    <row r="70" spans="1:4" x14ac:dyDescent="0.25">
      <c r="A70" s="35" t="str">
        <f>IF('CASE DATA'!A70="","",'CASE DATA'!A70)</f>
        <v/>
      </c>
      <c r="B70" s="40" t="str">
        <f>IF('CASE DATA'!A70&lt;&gt;"",IF('CASE DATA'!G70=0, "open charge", 'CASE DATA'!G70),"")</f>
        <v/>
      </c>
      <c r="C70" s="52">
        <f>IF(OR(B70="DISM",B70="JWV",B70="JUV",B70="CIV"),SUM('CASE DATA'!K70:T70),SUM('CASE DATA'!K70:Q70)+'CASE DATA'!T70)</f>
        <v>0</v>
      </c>
      <c r="D70" s="55">
        <f>IF(OR(B70="DISM", B70="JWV", B70="JUV", B70="CIV"), 0, 'CASE DATA'!R70+'CASE DATA'!S70)</f>
        <v>0</v>
      </c>
    </row>
    <row r="71" spans="1:4" x14ac:dyDescent="0.25">
      <c r="A71" s="35" t="str">
        <f>IF('CASE DATA'!A71="","",'CASE DATA'!A71)</f>
        <v/>
      </c>
      <c r="B71" s="40" t="str">
        <f>IF('CASE DATA'!A71&lt;&gt;"",IF('CASE DATA'!G71=0, "open charge", 'CASE DATA'!G71),"")</f>
        <v/>
      </c>
      <c r="C71" s="52">
        <f>IF(OR(B71="DISM",B71="JWV",B71="JUV",B71="CIV"),SUM('CASE DATA'!K71:T71),SUM('CASE DATA'!K71:Q71)+'CASE DATA'!T71)</f>
        <v>0</v>
      </c>
      <c r="D71" s="55">
        <f>IF(OR(B71="DISM", B71="JWV", B71="JUV", B71="CIV"), 0, 'CASE DATA'!R71+'CASE DATA'!S71)</f>
        <v>0</v>
      </c>
    </row>
    <row r="72" spans="1:4" x14ac:dyDescent="0.25">
      <c r="A72" s="35" t="str">
        <f>IF('CASE DATA'!A72="","",'CASE DATA'!A72)</f>
        <v/>
      </c>
      <c r="B72" s="40" t="str">
        <f>IF('CASE DATA'!A72&lt;&gt;"",IF('CASE DATA'!G72=0, "open charge", 'CASE DATA'!G72),"")</f>
        <v/>
      </c>
      <c r="C72" s="52">
        <f>IF(OR(B72="DISM",B72="JWV",B72="JUV",B72="CIV"),SUM('CASE DATA'!K72:T72),SUM('CASE DATA'!K72:Q72)+'CASE DATA'!T72)</f>
        <v>0</v>
      </c>
      <c r="D72" s="55">
        <f>IF(OR(B72="DISM", B72="JWV", B72="JUV", B72="CIV"), 0, 'CASE DATA'!R72+'CASE DATA'!S72)</f>
        <v>0</v>
      </c>
    </row>
    <row r="73" spans="1:4" x14ac:dyDescent="0.25">
      <c r="A73" s="35" t="str">
        <f>IF('CASE DATA'!A73="","",'CASE DATA'!A73)</f>
        <v/>
      </c>
      <c r="B73" s="40" t="str">
        <f>IF('CASE DATA'!A73&lt;&gt;"",IF('CASE DATA'!G73=0, "open charge", 'CASE DATA'!G73),"")</f>
        <v/>
      </c>
      <c r="C73" s="52">
        <f>IF(OR(B73="DISM",B73="JWV",B73="JUV",B73="CIV"),SUM('CASE DATA'!K73:T73),SUM('CASE DATA'!K73:Q73)+'CASE DATA'!T73)</f>
        <v>0</v>
      </c>
      <c r="D73" s="55">
        <f>IF(OR(B73="DISM", B73="JWV", B73="JUV", B73="CIV"), 0, 'CASE DATA'!R73+'CASE DATA'!S73)</f>
        <v>0</v>
      </c>
    </row>
    <row r="74" spans="1:4" x14ac:dyDescent="0.25">
      <c r="A74" s="35" t="str">
        <f>IF('CASE DATA'!A74="","",'CASE DATA'!A74)</f>
        <v/>
      </c>
      <c r="B74" s="40" t="str">
        <f>IF('CASE DATA'!A74&lt;&gt;"",IF('CASE DATA'!G74=0, "open charge", 'CASE DATA'!G74),"")</f>
        <v/>
      </c>
      <c r="C74" s="52">
        <f>IF(OR(B74="DISM",B74="JWV",B74="JUV",B74="CIV"),SUM('CASE DATA'!K74:T74),SUM('CASE DATA'!K74:Q74)+'CASE DATA'!T74)</f>
        <v>0</v>
      </c>
      <c r="D74" s="55">
        <f>IF(OR(B74="DISM", B74="JWV", B74="JUV", B74="CIV"), 0, 'CASE DATA'!R74+'CASE DATA'!S74)</f>
        <v>0</v>
      </c>
    </row>
    <row r="75" spans="1:4" x14ac:dyDescent="0.25">
      <c r="A75" s="35" t="str">
        <f>IF('CASE DATA'!A75="","",'CASE DATA'!A75)</f>
        <v/>
      </c>
      <c r="B75" s="40" t="str">
        <f>IF('CASE DATA'!A75&lt;&gt;"",IF('CASE DATA'!G75=0, "open charge", 'CASE DATA'!G75),"")</f>
        <v/>
      </c>
      <c r="C75" s="52">
        <f>IF(OR(B75="DISM",B75="JWV",B75="JUV",B75="CIV"),SUM('CASE DATA'!K75:T75),SUM('CASE DATA'!K75:Q75)+'CASE DATA'!T75)</f>
        <v>0</v>
      </c>
      <c r="D75" s="55">
        <f>IF(OR(B75="DISM", B75="JWV", B75="JUV", B75="CIV"), 0, 'CASE DATA'!R75+'CASE DATA'!S75)</f>
        <v>0</v>
      </c>
    </row>
    <row r="76" spans="1:4" x14ac:dyDescent="0.25">
      <c r="A76" s="35" t="str">
        <f>IF('CASE DATA'!A76="","",'CASE DATA'!A76)</f>
        <v/>
      </c>
      <c r="B76" s="40" t="str">
        <f>IF('CASE DATA'!A76&lt;&gt;"",IF('CASE DATA'!G76=0, "open charge", 'CASE DATA'!G76),"")</f>
        <v/>
      </c>
      <c r="C76" s="52">
        <f>IF(OR(B76="DISM",B76="JWV",B76="JUV",B76="CIV"),SUM('CASE DATA'!K76:T76),SUM('CASE DATA'!K76:Q76)+'CASE DATA'!T76)</f>
        <v>0</v>
      </c>
      <c r="D76" s="55">
        <f>IF(OR(B76="DISM", B76="JWV", B76="JUV", B76="CIV"), 0, 'CASE DATA'!R76+'CASE DATA'!S76)</f>
        <v>0</v>
      </c>
    </row>
    <row r="77" spans="1:4" x14ac:dyDescent="0.25">
      <c r="A77" s="35" t="str">
        <f>IF('CASE DATA'!A77="","",'CASE DATA'!A77)</f>
        <v/>
      </c>
      <c r="B77" s="40" t="str">
        <f>IF('CASE DATA'!A77&lt;&gt;"",IF('CASE DATA'!G77=0, "open charge", 'CASE DATA'!G77),"")</f>
        <v/>
      </c>
      <c r="C77" s="52">
        <f>IF(OR(B77="DISM",B77="JWV",B77="JUV",B77="CIV"),SUM('CASE DATA'!K77:T77),SUM('CASE DATA'!K77:Q77)+'CASE DATA'!T77)</f>
        <v>0</v>
      </c>
      <c r="D77" s="55">
        <f>IF(OR(B77="DISM", B77="JWV", B77="JUV", B77="CIV"), 0, 'CASE DATA'!R77+'CASE DATA'!S77)</f>
        <v>0</v>
      </c>
    </row>
    <row r="78" spans="1:4" x14ac:dyDescent="0.25">
      <c r="A78" s="35" t="str">
        <f>IF('CASE DATA'!A78="","",'CASE DATA'!A78)</f>
        <v/>
      </c>
      <c r="B78" s="40" t="str">
        <f>IF('CASE DATA'!A78&lt;&gt;"",IF('CASE DATA'!G78=0, "open charge", 'CASE DATA'!G78),"")</f>
        <v/>
      </c>
      <c r="C78" s="52">
        <f>IF(OR(B78="DISM",B78="JWV",B78="JUV",B78="CIV"),SUM('CASE DATA'!K78:T78),SUM('CASE DATA'!K78:Q78)+'CASE DATA'!T78)</f>
        <v>0</v>
      </c>
      <c r="D78" s="55">
        <f>IF(OR(B78="DISM", B78="JWV", B78="JUV", B78="CIV"), 0, 'CASE DATA'!R78+'CASE DATA'!S78)</f>
        <v>0</v>
      </c>
    </row>
    <row r="79" spans="1:4" x14ac:dyDescent="0.25">
      <c r="A79" s="35" t="str">
        <f>IF('CASE DATA'!A79="","",'CASE DATA'!A79)</f>
        <v/>
      </c>
      <c r="B79" s="40" t="str">
        <f>IF('CASE DATA'!A79&lt;&gt;"",IF('CASE DATA'!G79=0, "open charge", 'CASE DATA'!G79),"")</f>
        <v/>
      </c>
      <c r="C79" s="52">
        <f>IF(OR(B79="DISM",B79="JWV",B79="JUV",B79="CIV"),SUM('CASE DATA'!K79:T79),SUM('CASE DATA'!K79:Q79)+'CASE DATA'!T79)</f>
        <v>0</v>
      </c>
      <c r="D79" s="55">
        <f>IF(OR(B79="DISM", B79="JWV", B79="JUV", B79="CIV"), 0, 'CASE DATA'!R79+'CASE DATA'!S79)</f>
        <v>0</v>
      </c>
    </row>
    <row r="80" spans="1:4" x14ac:dyDescent="0.25">
      <c r="A80" s="35" t="str">
        <f>IF('CASE DATA'!A80="","",'CASE DATA'!A80)</f>
        <v/>
      </c>
      <c r="B80" s="40" t="str">
        <f>IF('CASE DATA'!A80&lt;&gt;"",IF('CASE DATA'!G80=0, "open charge", 'CASE DATA'!G80),"")</f>
        <v/>
      </c>
      <c r="C80" s="52">
        <f>IF(OR(B80="DISM",B80="JWV",B80="JUV",B80="CIV"),SUM('CASE DATA'!K80:T80),SUM('CASE DATA'!K80:Q80)+'CASE DATA'!T80)</f>
        <v>0</v>
      </c>
      <c r="D80" s="55">
        <f>IF(OR(B80="DISM", B80="JWV", B80="JUV", B80="CIV"), 0, 'CASE DATA'!R80+'CASE DATA'!S80)</f>
        <v>0</v>
      </c>
    </row>
    <row r="81" spans="1:4" x14ac:dyDescent="0.25">
      <c r="A81" s="35" t="str">
        <f>IF('CASE DATA'!A81="","",'CASE DATA'!A81)</f>
        <v/>
      </c>
      <c r="B81" s="40" t="str">
        <f>IF('CASE DATA'!A81&lt;&gt;"",IF('CASE DATA'!G81=0, "open charge", 'CASE DATA'!G81),"")</f>
        <v/>
      </c>
      <c r="C81" s="52">
        <f>IF(OR(B81="DISM",B81="JWV",B81="JUV",B81="CIV"),SUM('CASE DATA'!K81:T81),SUM('CASE DATA'!K81:Q81)+'CASE DATA'!T81)</f>
        <v>0</v>
      </c>
      <c r="D81" s="55">
        <f>IF(OR(B81="DISM", B81="JWV", B81="JUV", B81="CIV"), 0, 'CASE DATA'!R81+'CASE DATA'!S81)</f>
        <v>0</v>
      </c>
    </row>
    <row r="82" spans="1:4" x14ac:dyDescent="0.25">
      <c r="A82" s="35" t="str">
        <f>IF('CASE DATA'!A82="","",'CASE DATA'!A82)</f>
        <v/>
      </c>
      <c r="B82" s="40" t="str">
        <f>IF('CASE DATA'!A82&lt;&gt;"",IF('CASE DATA'!G82=0, "open charge", 'CASE DATA'!G82),"")</f>
        <v/>
      </c>
      <c r="C82" s="52">
        <f>IF(OR(B82="DISM",B82="JWV",B82="JUV",B82="CIV"),SUM('CASE DATA'!K82:T82),SUM('CASE DATA'!K82:Q82)+'CASE DATA'!T82)</f>
        <v>0</v>
      </c>
      <c r="D82" s="55">
        <f>IF(OR(B82="DISM", B82="JWV", B82="JUV", B82="CIV"), 0, 'CASE DATA'!R82+'CASE DATA'!S82)</f>
        <v>0</v>
      </c>
    </row>
    <row r="83" spans="1:4" x14ac:dyDescent="0.25">
      <c r="A83" s="35" t="str">
        <f>IF('CASE DATA'!A83="","",'CASE DATA'!A83)</f>
        <v/>
      </c>
      <c r="B83" s="40" t="str">
        <f>IF('CASE DATA'!A83&lt;&gt;"",IF('CASE DATA'!G83=0, "open charge", 'CASE DATA'!G83),"")</f>
        <v/>
      </c>
      <c r="C83" s="52">
        <f>IF(OR(B83="DISM",B83="JWV",B83="JUV",B83="CIV"),SUM('CASE DATA'!K83:T83),SUM('CASE DATA'!K83:Q83)+'CASE DATA'!T83)</f>
        <v>0</v>
      </c>
      <c r="D83" s="55">
        <f>IF(OR(B83="DISM", B83="JWV", B83="JUV", B83="CIV"), 0, 'CASE DATA'!R83+'CASE DATA'!S83)</f>
        <v>0</v>
      </c>
    </row>
    <row r="84" spans="1:4" x14ac:dyDescent="0.25">
      <c r="A84" s="35" t="str">
        <f>IF('CASE DATA'!A84="","",'CASE DATA'!A84)</f>
        <v/>
      </c>
      <c r="B84" s="40" t="str">
        <f>IF('CASE DATA'!A84&lt;&gt;"",IF('CASE DATA'!G84=0, "open charge", 'CASE DATA'!G84),"")</f>
        <v/>
      </c>
      <c r="C84" s="52">
        <f>IF(OR(B84="DISM",B84="JWV",B84="JUV",B84="CIV"),SUM('CASE DATA'!K84:T84),SUM('CASE DATA'!K84:Q84)+'CASE DATA'!T84)</f>
        <v>0</v>
      </c>
      <c r="D84" s="55">
        <f>IF(OR(B84="DISM", B84="JWV", B84="JUV", B84="CIV"), 0, 'CASE DATA'!R84+'CASE DATA'!S84)</f>
        <v>0</v>
      </c>
    </row>
    <row r="85" spans="1:4" x14ac:dyDescent="0.25">
      <c r="A85" s="35" t="str">
        <f>IF('CASE DATA'!A85="","",'CASE DATA'!A85)</f>
        <v/>
      </c>
      <c r="B85" s="40" t="str">
        <f>IF('CASE DATA'!A85&lt;&gt;"",IF('CASE DATA'!G85=0, "open charge", 'CASE DATA'!G85),"")</f>
        <v/>
      </c>
      <c r="C85" s="52">
        <f>IF(OR(B85="DISM",B85="JWV",B85="JUV",B85="CIV"),SUM('CASE DATA'!K85:T85),SUM('CASE DATA'!K85:Q85)+'CASE DATA'!T85)</f>
        <v>0</v>
      </c>
      <c r="D85" s="55">
        <f>IF(OR(B85="DISM", B85="JWV", B85="JUV", B85="CIV"), 0, 'CASE DATA'!R85+'CASE DATA'!S85)</f>
        <v>0</v>
      </c>
    </row>
    <row r="86" spans="1:4" x14ac:dyDescent="0.25">
      <c r="A86" s="35" t="str">
        <f>IF('CASE DATA'!A86="","",'CASE DATA'!A86)</f>
        <v/>
      </c>
      <c r="B86" s="40" t="str">
        <f>IF('CASE DATA'!A86&lt;&gt;"",IF('CASE DATA'!G86=0, "open charge", 'CASE DATA'!G86),"")</f>
        <v/>
      </c>
      <c r="C86" s="52">
        <f>IF(OR(B86="DISM",B86="JWV",B86="JUV",B86="CIV"),SUM('CASE DATA'!K86:T86),SUM('CASE DATA'!K86:Q86)+'CASE DATA'!T86)</f>
        <v>0</v>
      </c>
      <c r="D86" s="55">
        <f>IF(OR(B86="DISM", B86="JWV", B86="JUV", B86="CIV"), 0, 'CASE DATA'!R86+'CASE DATA'!S86)</f>
        <v>0</v>
      </c>
    </row>
    <row r="87" spans="1:4" x14ac:dyDescent="0.25">
      <c r="A87" s="35" t="str">
        <f>IF('CASE DATA'!A87="","",'CASE DATA'!A87)</f>
        <v/>
      </c>
      <c r="B87" s="40" t="str">
        <f>IF('CASE DATA'!A87&lt;&gt;"",IF('CASE DATA'!G87=0, "open charge", 'CASE DATA'!G87),"")</f>
        <v/>
      </c>
      <c r="C87" s="52">
        <f>IF(OR(B87="DISM",B87="JWV",B87="JUV",B87="CIV"),SUM('CASE DATA'!K87:T87),SUM('CASE DATA'!K87:Q87)+'CASE DATA'!T87)</f>
        <v>0</v>
      </c>
      <c r="D87" s="55">
        <f>IF(OR(B87="DISM", B87="JWV", B87="JUV", B87="CIV"), 0, 'CASE DATA'!R87+'CASE DATA'!S87)</f>
        <v>0</v>
      </c>
    </row>
    <row r="88" spans="1:4" x14ac:dyDescent="0.25">
      <c r="A88" s="35" t="str">
        <f>IF('CASE DATA'!A88="","",'CASE DATA'!A88)</f>
        <v/>
      </c>
      <c r="B88" s="40" t="str">
        <f>IF('CASE DATA'!A88&lt;&gt;"",IF('CASE DATA'!G88=0, "open charge", 'CASE DATA'!G88),"")</f>
        <v/>
      </c>
      <c r="C88" s="52">
        <f>IF(OR(B88="DISM",B88="JWV",B88="JUV",B88="CIV"),SUM('CASE DATA'!K88:T88),SUM('CASE DATA'!K88:Q88)+'CASE DATA'!T88)</f>
        <v>0</v>
      </c>
      <c r="D88" s="55">
        <f>IF(OR(B88="DISM", B88="JWV", B88="JUV", B88="CIV"), 0, 'CASE DATA'!R88+'CASE DATA'!S88)</f>
        <v>0</v>
      </c>
    </row>
    <row r="89" spans="1:4" x14ac:dyDescent="0.25">
      <c r="A89" s="35" t="str">
        <f>IF('CASE DATA'!A89="","",'CASE DATA'!A89)</f>
        <v/>
      </c>
      <c r="B89" s="40" t="str">
        <f>IF('CASE DATA'!A89&lt;&gt;"",IF('CASE DATA'!G89=0, "open charge", 'CASE DATA'!G89),"")</f>
        <v/>
      </c>
      <c r="C89" s="52">
        <f>IF(OR(B89="DISM",B89="JWV",B89="JUV",B89="CIV"),SUM('CASE DATA'!K89:T89),SUM('CASE DATA'!K89:Q89)+'CASE DATA'!T89)</f>
        <v>0</v>
      </c>
      <c r="D89" s="55">
        <f>IF(OR(B89="DISM", B89="JWV", B89="JUV", B89="CIV"), 0, 'CASE DATA'!R89+'CASE DATA'!S89)</f>
        <v>0</v>
      </c>
    </row>
    <row r="90" spans="1:4" x14ac:dyDescent="0.25">
      <c r="A90" s="35" t="str">
        <f>IF('CASE DATA'!A90="","",'CASE DATA'!A90)</f>
        <v/>
      </c>
      <c r="B90" s="40" t="str">
        <f>IF('CASE DATA'!A90&lt;&gt;"",IF('CASE DATA'!G90=0, "open charge", 'CASE DATA'!G90),"")</f>
        <v/>
      </c>
      <c r="C90" s="52">
        <f>IF(OR(B90="DISM",B90="JWV",B90="JUV",B90="CIV"),SUM('CASE DATA'!K90:T90),SUM('CASE DATA'!K90:Q90)+'CASE DATA'!T90)</f>
        <v>0</v>
      </c>
      <c r="D90" s="55">
        <f>IF(OR(B90="DISM", B90="JWV", B90="JUV", B90="CIV"), 0, 'CASE DATA'!R90+'CASE DATA'!S90)</f>
        <v>0</v>
      </c>
    </row>
    <row r="91" spans="1:4" x14ac:dyDescent="0.25">
      <c r="A91" s="35" t="str">
        <f>IF('CASE DATA'!A91="","",'CASE DATA'!A91)</f>
        <v/>
      </c>
      <c r="B91" s="40" t="str">
        <f>IF('CASE DATA'!A91&lt;&gt;"",IF('CASE DATA'!G91=0, "open charge", 'CASE DATA'!G91),"")</f>
        <v/>
      </c>
      <c r="C91" s="52">
        <f>IF(OR(B91="DISM",B91="JWV",B91="JUV",B91="CIV"),SUM('CASE DATA'!K91:T91),SUM('CASE DATA'!K91:Q91)+'CASE DATA'!T91)</f>
        <v>0</v>
      </c>
      <c r="D91" s="55">
        <f>IF(OR(B91="DISM", B91="JWV", B91="JUV", B91="CIV"), 0, 'CASE DATA'!R91+'CASE DATA'!S91)</f>
        <v>0</v>
      </c>
    </row>
    <row r="92" spans="1:4" x14ac:dyDescent="0.25">
      <c r="A92" s="35" t="str">
        <f>IF('CASE DATA'!A92="","",'CASE DATA'!A92)</f>
        <v/>
      </c>
      <c r="B92" s="40" t="str">
        <f>IF('CASE DATA'!A92&lt;&gt;"",IF('CASE DATA'!G92=0, "open charge", 'CASE DATA'!G92),"")</f>
        <v/>
      </c>
      <c r="C92" s="52">
        <f>IF(OR(B92="DISM",B92="JWV",B92="JUV",B92="CIV"),SUM('CASE DATA'!K92:T92),SUM('CASE DATA'!K92:Q92)+'CASE DATA'!T92)</f>
        <v>0</v>
      </c>
      <c r="D92" s="55">
        <f>IF(OR(B92="DISM", B92="JWV", B92="JUV", B92="CIV"), 0, 'CASE DATA'!R92+'CASE DATA'!S92)</f>
        <v>0</v>
      </c>
    </row>
    <row r="93" spans="1:4" x14ac:dyDescent="0.25">
      <c r="A93" s="35" t="str">
        <f>IF('CASE DATA'!A93="","",'CASE DATA'!A93)</f>
        <v/>
      </c>
      <c r="B93" s="40" t="str">
        <f>IF('CASE DATA'!A93&lt;&gt;"",IF('CASE DATA'!G93=0, "open charge", 'CASE DATA'!G93),"")</f>
        <v/>
      </c>
      <c r="C93" s="52">
        <f>IF(OR(B93="DISM",B93="JWV",B93="JUV",B93="CIV"),SUM('CASE DATA'!K93:T93),SUM('CASE DATA'!K93:Q93)+'CASE DATA'!T93)</f>
        <v>0</v>
      </c>
      <c r="D93" s="55">
        <f>IF(OR(B93="DISM", B93="JWV", B93="JUV", B93="CIV"), 0, 'CASE DATA'!R93+'CASE DATA'!S93)</f>
        <v>0</v>
      </c>
    </row>
    <row r="94" spans="1:4" x14ac:dyDescent="0.25">
      <c r="A94" s="35" t="str">
        <f>IF('CASE DATA'!A94="","",'CASE DATA'!A94)</f>
        <v/>
      </c>
      <c r="B94" s="40" t="str">
        <f>IF('CASE DATA'!A94&lt;&gt;"",IF('CASE DATA'!G94=0, "open charge", 'CASE DATA'!G94),"")</f>
        <v/>
      </c>
      <c r="C94" s="52">
        <f>IF(OR(B94="DISM",B94="JWV",B94="JUV",B94="CIV"),SUM('CASE DATA'!K94:T94),SUM('CASE DATA'!K94:Q94)+'CASE DATA'!T94)</f>
        <v>0</v>
      </c>
      <c r="D94" s="55">
        <f>IF(OR(B94="DISM", B94="JWV", B94="JUV", B94="CIV"), 0, 'CASE DATA'!R94+'CASE DATA'!S94)</f>
        <v>0</v>
      </c>
    </row>
    <row r="95" spans="1:4" x14ac:dyDescent="0.25">
      <c r="A95" s="35" t="str">
        <f>IF('CASE DATA'!A95="","",'CASE DATA'!A95)</f>
        <v/>
      </c>
      <c r="B95" s="40" t="str">
        <f>IF('CASE DATA'!A95&lt;&gt;"",IF('CASE DATA'!G95=0, "open charge", 'CASE DATA'!G95),"")</f>
        <v/>
      </c>
      <c r="C95" s="52">
        <f>IF(OR(B95="DISM",B95="JWV",B95="JUV",B95="CIV"),SUM('CASE DATA'!K95:T95),SUM('CASE DATA'!K95:Q95)+'CASE DATA'!T95)</f>
        <v>0</v>
      </c>
      <c r="D95" s="55">
        <f>IF(OR(B95="DISM", B95="JWV", B95="JUV", B95="CIV"), 0, 'CASE DATA'!R95+'CASE DATA'!S95)</f>
        <v>0</v>
      </c>
    </row>
    <row r="96" spans="1:4" x14ac:dyDescent="0.25">
      <c r="A96" s="35" t="str">
        <f>IF('CASE DATA'!A96="","",'CASE DATA'!A96)</f>
        <v/>
      </c>
      <c r="B96" s="40" t="str">
        <f>IF('CASE DATA'!A96&lt;&gt;"",IF('CASE DATA'!G96=0, "open charge", 'CASE DATA'!G96),"")</f>
        <v/>
      </c>
      <c r="C96" s="52">
        <f>IF(OR(B96="DISM",B96="JWV",B96="JUV",B96="CIV"),SUM('CASE DATA'!K96:T96),SUM('CASE DATA'!K96:Q96)+'CASE DATA'!T96)</f>
        <v>0</v>
      </c>
      <c r="D96" s="55">
        <f>IF(OR(B96="DISM", B96="JWV", B96="JUV", B96="CIV"), 0, 'CASE DATA'!R96+'CASE DATA'!S96)</f>
        <v>0</v>
      </c>
    </row>
    <row r="97" spans="1:4" x14ac:dyDescent="0.25">
      <c r="A97" s="35" t="str">
        <f>IF('CASE DATA'!A97="","",'CASE DATA'!A97)</f>
        <v/>
      </c>
      <c r="B97" s="40" t="str">
        <f>IF('CASE DATA'!A97&lt;&gt;"",IF('CASE DATA'!G97=0, "open charge", 'CASE DATA'!G97),"")</f>
        <v/>
      </c>
      <c r="C97" s="52">
        <f>IF(OR(B97="DISM",B97="JWV",B97="JUV",B97="CIV"),SUM('CASE DATA'!K97:T97),SUM('CASE DATA'!K97:Q97)+'CASE DATA'!T97)</f>
        <v>0</v>
      </c>
      <c r="D97" s="55">
        <f>IF(OR(B97="DISM", B97="JWV", B97="JUV", B97="CIV"), 0, 'CASE DATA'!R97+'CASE DATA'!S97)</f>
        <v>0</v>
      </c>
    </row>
    <row r="98" spans="1:4" x14ac:dyDescent="0.25">
      <c r="A98" s="35" t="str">
        <f>IF('CASE DATA'!A98="","",'CASE DATA'!A98)</f>
        <v/>
      </c>
      <c r="B98" s="40" t="str">
        <f>IF('CASE DATA'!A98&lt;&gt;"",IF('CASE DATA'!G98=0, "open charge", 'CASE DATA'!G98),"")</f>
        <v/>
      </c>
      <c r="C98" s="52">
        <f>IF(OR(B98="DISM",B98="JWV",B98="JUV",B98="CIV"),SUM('CASE DATA'!K98:T98),SUM('CASE DATA'!K98:Q98)+'CASE DATA'!T98)</f>
        <v>0</v>
      </c>
      <c r="D98" s="55">
        <f>IF(OR(B98="DISM", B98="JWV", B98="JUV", B98="CIV"), 0, 'CASE DATA'!R98+'CASE DATA'!S98)</f>
        <v>0</v>
      </c>
    </row>
    <row r="99" spans="1:4" x14ac:dyDescent="0.25">
      <c r="A99" s="35" t="str">
        <f>IF('CASE DATA'!A99="","",'CASE DATA'!A99)</f>
        <v/>
      </c>
      <c r="B99" s="40" t="str">
        <f>IF('CASE DATA'!A99&lt;&gt;"",IF('CASE DATA'!G99=0, "open charge", 'CASE DATA'!G99),"")</f>
        <v/>
      </c>
      <c r="C99" s="52">
        <f>IF(OR(B99="DISM",B99="JWV",B99="JUV",B99="CIV"),SUM('CASE DATA'!K99:T99),SUM('CASE DATA'!K99:Q99)+'CASE DATA'!T99)</f>
        <v>0</v>
      </c>
      <c r="D99" s="55">
        <f>IF(OR(B99="DISM", B99="JWV", B99="JUV", B99="CIV"), 0, 'CASE DATA'!R99+'CASE DATA'!S99)</f>
        <v>0</v>
      </c>
    </row>
    <row r="100" spans="1:4" x14ac:dyDescent="0.25">
      <c r="A100" s="35" t="str">
        <f>IF('CASE DATA'!A100="","",'CASE DATA'!A100)</f>
        <v/>
      </c>
      <c r="B100" s="40" t="str">
        <f>IF('CASE DATA'!A100&lt;&gt;"",IF('CASE DATA'!G100=0, "open charge", 'CASE DATA'!G100),"")</f>
        <v/>
      </c>
      <c r="C100" s="52">
        <f>IF(OR(B100="DISM",B100="JWV",B100="JUV",B100="CIV"),SUM('CASE DATA'!K100:T100),SUM('CASE DATA'!K100:Q100)+'CASE DATA'!T100)</f>
        <v>0</v>
      </c>
      <c r="D100" s="55">
        <f>IF(OR(B100="DISM", B100="JWV", B100="JUV", B100="CIV"), 0, 'CASE DATA'!R100+'CASE DATA'!S100)</f>
        <v>0</v>
      </c>
    </row>
    <row r="101" spans="1:4" x14ac:dyDescent="0.25">
      <c r="A101" s="35" t="str">
        <f>IF('CASE DATA'!A101="","",'CASE DATA'!A101)</f>
        <v/>
      </c>
      <c r="B101" s="40" t="str">
        <f>IF('CASE DATA'!A101&lt;&gt;"",IF('CASE DATA'!G101=0, "open charge", 'CASE DATA'!G101),"")</f>
        <v/>
      </c>
      <c r="C101" s="52">
        <f>IF(OR(B101="DISM",B101="JWV",B101="JUV",B101="CIV"),SUM('CASE DATA'!K101:T101),SUM('CASE DATA'!K101:Q101)+'CASE DATA'!T101)</f>
        <v>0</v>
      </c>
      <c r="D101" s="55">
        <f>IF(OR(B101="DISM", B101="JWV", B101="JUV", B101="CIV"), 0, 'CASE DATA'!R101+'CASE DATA'!S101)</f>
        <v>0</v>
      </c>
    </row>
    <row r="102" spans="1:4" x14ac:dyDescent="0.25">
      <c r="A102" s="35" t="str">
        <f>IF('CASE DATA'!A102="","",'CASE DATA'!A102)</f>
        <v/>
      </c>
      <c r="B102" s="40" t="str">
        <f>IF('CASE DATA'!A102&lt;&gt;"",IF('CASE DATA'!G102=0, "open charge", 'CASE DATA'!G102),"")</f>
        <v/>
      </c>
      <c r="C102" s="52">
        <f>IF(OR(B102="DISM",B102="JWV",B102="JUV",B102="CIV"),SUM('CASE DATA'!K102:T102),SUM('CASE DATA'!K102:Q102)+'CASE DATA'!T102)</f>
        <v>0</v>
      </c>
      <c r="D102" s="55">
        <f>IF(OR(B102="DISM", B102="JWV", B102="JUV", B102="CIV"), 0, 'CASE DATA'!R102+'CASE DATA'!S102)</f>
        <v>0</v>
      </c>
    </row>
    <row r="103" spans="1:4" x14ac:dyDescent="0.25">
      <c r="A103" s="35" t="str">
        <f>IF('CASE DATA'!A103="","",'CASE DATA'!A103)</f>
        <v/>
      </c>
      <c r="B103" s="40" t="str">
        <f>IF('CASE DATA'!A103&lt;&gt;"",IF('CASE DATA'!G103=0, "open charge", 'CASE DATA'!G103),"")</f>
        <v/>
      </c>
      <c r="C103" s="52">
        <f>IF(OR(B103="DISM",B103="JWV",B103="JUV",B103="CIV"),SUM('CASE DATA'!K103:T103),SUM('CASE DATA'!K103:Q103)+'CASE DATA'!T103)</f>
        <v>0</v>
      </c>
      <c r="D103" s="55">
        <f>IF(OR(B103="DISM", B103="JWV", B103="JUV", B103="CIV"), 0, 'CASE DATA'!R103+'CASE DATA'!S103)</f>
        <v>0</v>
      </c>
    </row>
    <row r="104" spans="1:4" x14ac:dyDescent="0.25">
      <c r="A104" s="35" t="str">
        <f>IF('CASE DATA'!A104="","",'CASE DATA'!A104)</f>
        <v/>
      </c>
      <c r="B104" s="40" t="str">
        <f>IF('CASE DATA'!A104&lt;&gt;"",IF('CASE DATA'!G104=0, "open charge", 'CASE DATA'!G104),"")</f>
        <v/>
      </c>
      <c r="C104" s="52">
        <f>IF(OR(B104="DISM",B104="JWV",B104="JUV",B104="CIV"),SUM('CASE DATA'!K104:T104),SUM('CASE DATA'!K104:Q104)+'CASE DATA'!T104)</f>
        <v>0</v>
      </c>
      <c r="D104" s="55">
        <f>IF(OR(B104="DISM", B104="JWV", B104="JUV", B104="CIV"), 0, 'CASE DATA'!R104+'CASE DATA'!S104)</f>
        <v>0</v>
      </c>
    </row>
    <row r="105" spans="1:4" x14ac:dyDescent="0.25">
      <c r="A105" s="35" t="str">
        <f>IF('CASE DATA'!A105="","",'CASE DATA'!A105)</f>
        <v/>
      </c>
      <c r="B105" s="40" t="str">
        <f>IF('CASE DATA'!A105&lt;&gt;"",IF('CASE DATA'!G105=0, "open charge", 'CASE DATA'!G105),"")</f>
        <v/>
      </c>
      <c r="C105" s="52">
        <f>IF(OR(B105="DISM",B105="JWV",B105="JUV",B105="CIV"),SUM('CASE DATA'!K105:T105),SUM('CASE DATA'!K105:Q105)+'CASE DATA'!T105)</f>
        <v>0</v>
      </c>
      <c r="D105" s="55">
        <f>IF(OR(B105="DISM", B105="JWV", B105="JUV", B105="CIV"), 0, 'CASE DATA'!R105+'CASE DATA'!S105)</f>
        <v>0</v>
      </c>
    </row>
    <row r="106" spans="1:4" x14ac:dyDescent="0.25">
      <c r="A106" s="35" t="str">
        <f>IF('CASE DATA'!A106="","",'CASE DATA'!A106)</f>
        <v/>
      </c>
      <c r="B106" s="40" t="str">
        <f>IF('CASE DATA'!A106&lt;&gt;"",IF('CASE DATA'!G106=0, "open charge", 'CASE DATA'!G106),"")</f>
        <v/>
      </c>
      <c r="C106" s="52">
        <f>IF(OR(B106="DISM",B106="JWV",B106="JUV",B106="CIV"),SUM('CASE DATA'!K106:T106),SUM('CASE DATA'!K106:Q106)+'CASE DATA'!T106)</f>
        <v>0</v>
      </c>
      <c r="D106" s="55">
        <f>IF(OR(B106="DISM", B106="JWV", B106="JUV", B106="CIV"), 0, 'CASE DATA'!R106+'CASE DATA'!S106)</f>
        <v>0</v>
      </c>
    </row>
    <row r="107" spans="1:4" x14ac:dyDescent="0.25">
      <c r="A107" s="35" t="str">
        <f>IF('CASE DATA'!A107="","",'CASE DATA'!A107)</f>
        <v/>
      </c>
      <c r="B107" s="40" t="str">
        <f>IF('CASE DATA'!A107&lt;&gt;"",IF('CASE DATA'!G107=0, "open charge", 'CASE DATA'!G107),"")</f>
        <v/>
      </c>
      <c r="C107" s="52">
        <f>IF(OR(B107="DISM",B107="JWV",B107="JUV",B107="CIV"),SUM('CASE DATA'!K107:T107),SUM('CASE DATA'!K107:Q107)+'CASE DATA'!T107)</f>
        <v>0</v>
      </c>
      <c r="D107" s="55">
        <f>IF(OR(B107="DISM", B107="JWV", B107="JUV", B107="CIV"), 0, 'CASE DATA'!R107+'CASE DATA'!S107)</f>
        <v>0</v>
      </c>
    </row>
    <row r="108" spans="1:4" x14ac:dyDescent="0.25">
      <c r="A108" s="35" t="str">
        <f>IF('CASE DATA'!A108="","",'CASE DATA'!A108)</f>
        <v/>
      </c>
      <c r="B108" s="40" t="str">
        <f>IF('CASE DATA'!A108&lt;&gt;"",IF('CASE DATA'!G108=0, "open charge", 'CASE DATA'!G108),"")</f>
        <v/>
      </c>
      <c r="C108" s="52">
        <f>IF(OR(B108="DISM",B108="JWV",B108="JUV",B108="CIV"),SUM('CASE DATA'!K108:T108),SUM('CASE DATA'!K108:Q108)+'CASE DATA'!T108)</f>
        <v>0</v>
      </c>
      <c r="D108" s="55">
        <f>IF(OR(B108="DISM", B108="JWV", B108="JUV", B108="CIV"), 0, 'CASE DATA'!R108+'CASE DATA'!S108)</f>
        <v>0</v>
      </c>
    </row>
    <row r="109" spans="1:4" x14ac:dyDescent="0.25">
      <c r="A109" s="35" t="str">
        <f>IF('CASE DATA'!A109="","",'CASE DATA'!A109)</f>
        <v/>
      </c>
      <c r="B109" s="40" t="str">
        <f>IF('CASE DATA'!A109&lt;&gt;"",IF('CASE DATA'!G109=0, "open charge", 'CASE DATA'!G109),"")</f>
        <v/>
      </c>
      <c r="C109" s="52">
        <f>IF(OR(B109="DISM",B109="JWV",B109="JUV",B109="CIV"),SUM('CASE DATA'!K109:T109),SUM('CASE DATA'!K109:Q109)+'CASE DATA'!T109)</f>
        <v>0</v>
      </c>
      <c r="D109" s="55">
        <f>IF(OR(B109="DISM", B109="JWV", B109="JUV", B109="CIV"), 0, 'CASE DATA'!R109+'CASE DATA'!S109)</f>
        <v>0</v>
      </c>
    </row>
    <row r="110" spans="1:4" x14ac:dyDescent="0.25">
      <c r="A110" s="35" t="str">
        <f>IF('CASE DATA'!A110="","",'CASE DATA'!A110)</f>
        <v/>
      </c>
      <c r="B110" s="40" t="str">
        <f>IF('CASE DATA'!A110&lt;&gt;"",IF('CASE DATA'!G110=0, "open charge", 'CASE DATA'!G110),"")</f>
        <v/>
      </c>
      <c r="C110" s="52">
        <f>IF(OR(B110="DISM",B110="JWV",B110="JUV",B110="CIV"),SUM('CASE DATA'!K110:T110),SUM('CASE DATA'!K110:Q110)+'CASE DATA'!T110)</f>
        <v>0</v>
      </c>
      <c r="D110" s="55">
        <f>IF(OR(B110="DISM", B110="JWV", B110="JUV", B110="CIV"), 0, 'CASE DATA'!R110+'CASE DATA'!S110)</f>
        <v>0</v>
      </c>
    </row>
    <row r="111" spans="1:4" x14ac:dyDescent="0.25">
      <c r="A111" s="35" t="str">
        <f>IF('CASE DATA'!A111="","",'CASE DATA'!A111)</f>
        <v/>
      </c>
      <c r="B111" s="40" t="str">
        <f>IF('CASE DATA'!A111&lt;&gt;"",IF('CASE DATA'!G111=0, "open charge", 'CASE DATA'!G111),"")</f>
        <v/>
      </c>
      <c r="C111" s="52">
        <f>IF(OR(B111="DISM",B111="JWV",B111="JUV",B111="CIV"),SUM('CASE DATA'!K111:T111),SUM('CASE DATA'!K111:Q111)+'CASE DATA'!T111)</f>
        <v>0</v>
      </c>
      <c r="D111" s="55">
        <f>IF(OR(B111="DISM", B111="JWV", B111="JUV", B111="CIV"), 0, 'CASE DATA'!R111+'CASE DATA'!S111)</f>
        <v>0</v>
      </c>
    </row>
    <row r="112" spans="1:4" x14ac:dyDescent="0.25">
      <c r="A112" s="35" t="str">
        <f>IF('CASE DATA'!A112="","",'CASE DATA'!A112)</f>
        <v/>
      </c>
      <c r="B112" s="40" t="str">
        <f>IF('CASE DATA'!A112&lt;&gt;"",IF('CASE DATA'!G112=0, "open charge", 'CASE DATA'!G112),"")</f>
        <v/>
      </c>
      <c r="C112" s="52">
        <f>IF(OR(B112="DISM",B112="JWV",B112="JUV",B112="CIV"),SUM('CASE DATA'!K112:T112),SUM('CASE DATA'!K112:Q112)+'CASE DATA'!T112)</f>
        <v>0</v>
      </c>
      <c r="D112" s="55">
        <f>IF(OR(B112="DISM", B112="JWV", B112="JUV", B112="CIV"), 0, 'CASE DATA'!R112+'CASE DATA'!S112)</f>
        <v>0</v>
      </c>
    </row>
    <row r="113" spans="1:4" x14ac:dyDescent="0.25">
      <c r="A113" s="35" t="str">
        <f>IF('CASE DATA'!A113="","",'CASE DATA'!A113)</f>
        <v/>
      </c>
      <c r="B113" s="40" t="str">
        <f>IF('CASE DATA'!A113&lt;&gt;"",IF('CASE DATA'!G113=0, "open charge", 'CASE DATA'!G113),"")</f>
        <v/>
      </c>
      <c r="C113" s="52">
        <f>IF(OR(B113="DISM",B113="JWV",B113="JUV",B113="CIV"),SUM('CASE DATA'!K113:T113),SUM('CASE DATA'!K113:Q113)+'CASE DATA'!T113)</f>
        <v>0</v>
      </c>
      <c r="D113" s="55">
        <f>IF(OR(B113="DISM", B113="JWV", B113="JUV", B113="CIV"), 0, 'CASE DATA'!R113+'CASE DATA'!S113)</f>
        <v>0</v>
      </c>
    </row>
    <row r="114" spans="1:4" x14ac:dyDescent="0.25">
      <c r="A114" s="35" t="str">
        <f>IF('CASE DATA'!A114="","",'CASE DATA'!A114)</f>
        <v/>
      </c>
      <c r="B114" s="40" t="str">
        <f>IF('CASE DATA'!A114&lt;&gt;"",IF('CASE DATA'!G114=0, "open charge", 'CASE DATA'!G114),"")</f>
        <v/>
      </c>
      <c r="C114" s="52">
        <f>IF(OR(B114="DISM",B114="JWV",B114="JUV",B114="CIV"),SUM('CASE DATA'!K114:T114),SUM('CASE DATA'!K114:Q114)+'CASE DATA'!T114)</f>
        <v>0</v>
      </c>
      <c r="D114" s="55">
        <f>IF(OR(B114="DISM", B114="JWV", B114="JUV", B114="CIV"), 0, 'CASE DATA'!R114+'CASE DATA'!S114)</f>
        <v>0</v>
      </c>
    </row>
    <row r="115" spans="1:4" x14ac:dyDescent="0.25">
      <c r="A115" s="35" t="str">
        <f>IF('CASE DATA'!A115="","",'CASE DATA'!A115)</f>
        <v/>
      </c>
      <c r="B115" s="40" t="str">
        <f>IF('CASE DATA'!A115&lt;&gt;"",IF('CASE DATA'!G115=0, "open charge", 'CASE DATA'!G115),"")</f>
        <v/>
      </c>
      <c r="C115" s="52">
        <f>IF(OR(B115="DISM",B115="JWV",B115="JUV",B115="CIV"),SUM('CASE DATA'!K115:T115),SUM('CASE DATA'!K115:Q115)+'CASE DATA'!T115)</f>
        <v>0</v>
      </c>
      <c r="D115" s="55">
        <f>IF(OR(B115="DISM", B115="JWV", B115="JUV", B115="CIV"), 0, 'CASE DATA'!R115+'CASE DATA'!S115)</f>
        <v>0</v>
      </c>
    </row>
    <row r="116" spans="1:4" x14ac:dyDescent="0.25">
      <c r="A116" s="35" t="str">
        <f>IF('CASE DATA'!A116="","",'CASE DATA'!A116)</f>
        <v/>
      </c>
      <c r="B116" s="40" t="str">
        <f>IF('CASE DATA'!A116&lt;&gt;"",IF('CASE DATA'!G116=0, "open charge", 'CASE DATA'!G116),"")</f>
        <v/>
      </c>
      <c r="C116" s="52">
        <f>IF(OR(B116="DISM",B116="JWV",B116="JUV",B116="CIV"),SUM('CASE DATA'!K116:T116),SUM('CASE DATA'!K116:Q116)+'CASE DATA'!T116)</f>
        <v>0</v>
      </c>
      <c r="D116" s="55">
        <f>IF(OR(B116="DISM", B116="JWV", B116="JUV", B116="CIV"), 0, 'CASE DATA'!R116+'CASE DATA'!S116)</f>
        <v>0</v>
      </c>
    </row>
    <row r="117" spans="1:4" x14ac:dyDescent="0.25">
      <c r="A117" s="35" t="str">
        <f>IF('CASE DATA'!A117="","",'CASE DATA'!A117)</f>
        <v/>
      </c>
      <c r="B117" s="40" t="str">
        <f>IF('CASE DATA'!A117&lt;&gt;"",IF('CASE DATA'!G117=0, "open charge", 'CASE DATA'!G117),"")</f>
        <v/>
      </c>
      <c r="C117" s="52">
        <f>IF(OR(B117="DISM",B117="JWV",B117="JUV",B117="CIV"),SUM('CASE DATA'!K117:T117),SUM('CASE DATA'!K117:Q117)+'CASE DATA'!T117)</f>
        <v>0</v>
      </c>
      <c r="D117" s="55">
        <f>IF(OR(B117="DISM", B117="JWV", B117="JUV", B117="CIV"), 0, 'CASE DATA'!R117+'CASE DATA'!S117)</f>
        <v>0</v>
      </c>
    </row>
    <row r="118" spans="1:4" x14ac:dyDescent="0.25">
      <c r="A118" s="35" t="str">
        <f>IF('CASE DATA'!A118="","",'CASE DATA'!A118)</f>
        <v/>
      </c>
      <c r="B118" s="40" t="str">
        <f>IF('CASE DATA'!A118&lt;&gt;"",IF('CASE DATA'!G118=0, "open charge", 'CASE DATA'!G118),"")</f>
        <v/>
      </c>
      <c r="C118" s="52">
        <f>IF(OR(B118="DISM",B118="JWV",B118="JUV",B118="CIV"),SUM('CASE DATA'!K118:T118),SUM('CASE DATA'!K118:Q118)+'CASE DATA'!T118)</f>
        <v>0</v>
      </c>
      <c r="D118" s="55">
        <f>IF(OR(B118="DISM", B118="JWV", B118="JUV", B118="CIV"), 0, 'CASE DATA'!R118+'CASE DATA'!S118)</f>
        <v>0</v>
      </c>
    </row>
    <row r="119" spans="1:4" x14ac:dyDescent="0.25">
      <c r="A119" s="35" t="str">
        <f>IF('CASE DATA'!A119="","",'CASE DATA'!A119)</f>
        <v/>
      </c>
      <c r="B119" s="40" t="str">
        <f>IF('CASE DATA'!A119&lt;&gt;"",IF('CASE DATA'!G119=0, "open charge", 'CASE DATA'!G119),"")</f>
        <v/>
      </c>
      <c r="C119" s="52">
        <f>IF(OR(B119="DISM",B119="JWV",B119="JUV",B119="CIV"),SUM('CASE DATA'!K119:T119),SUM('CASE DATA'!K119:Q119)+'CASE DATA'!T119)</f>
        <v>0</v>
      </c>
      <c r="D119" s="55">
        <f>IF(OR(B119="DISM", B119="JWV", B119="JUV", B119="CIV"), 0, 'CASE DATA'!R119+'CASE DATA'!S119)</f>
        <v>0</v>
      </c>
    </row>
    <row r="120" spans="1:4" x14ac:dyDescent="0.25">
      <c r="A120" s="35" t="str">
        <f>IF('CASE DATA'!A120="","",'CASE DATA'!A120)</f>
        <v/>
      </c>
      <c r="B120" s="40" t="str">
        <f>IF('CASE DATA'!A120&lt;&gt;"",IF('CASE DATA'!G120=0, "open charge", 'CASE DATA'!G120),"")</f>
        <v/>
      </c>
      <c r="C120" s="52">
        <f>IF(OR(B120="DISM",B120="JWV",B120="JUV",B120="CIV"),SUM('CASE DATA'!K120:T120),SUM('CASE DATA'!K120:Q120)+'CASE DATA'!T120)</f>
        <v>0</v>
      </c>
      <c r="D120" s="55">
        <f>IF(OR(B120="DISM", B120="JWV", B120="JUV", B120="CIV"), 0, 'CASE DATA'!R120+'CASE DATA'!S120)</f>
        <v>0</v>
      </c>
    </row>
    <row r="121" spans="1:4" x14ac:dyDescent="0.25">
      <c r="A121" s="35" t="str">
        <f>IF('CASE DATA'!A121="","",'CASE DATA'!A121)</f>
        <v/>
      </c>
      <c r="B121" s="40" t="str">
        <f>IF('CASE DATA'!A121&lt;&gt;"",IF('CASE DATA'!G121=0, "open charge", 'CASE DATA'!G121),"")</f>
        <v/>
      </c>
      <c r="C121" s="52">
        <f>IF(OR(B121="DISM",B121="JWV",B121="JUV",B121="CIV"),SUM('CASE DATA'!K121:T121),SUM('CASE DATA'!K121:Q121)+'CASE DATA'!T121)</f>
        <v>0</v>
      </c>
      <c r="D121" s="55">
        <f>IF(OR(B121="DISM", B121="JWV", B121="JUV", B121="CIV"), 0, 'CASE DATA'!R121+'CASE DATA'!S121)</f>
        <v>0</v>
      </c>
    </row>
    <row r="122" spans="1:4" x14ac:dyDescent="0.25">
      <c r="A122" s="35" t="str">
        <f>IF('CASE DATA'!A122="","",'CASE DATA'!A122)</f>
        <v/>
      </c>
      <c r="B122" s="40" t="str">
        <f>IF('CASE DATA'!A122&lt;&gt;"",IF('CASE DATA'!G122=0, "open charge", 'CASE DATA'!G122),"")</f>
        <v/>
      </c>
      <c r="C122" s="52">
        <f>IF(OR(B122="DISM",B122="JWV",B122="JUV",B122="CIV"),SUM('CASE DATA'!K122:T122),SUM('CASE DATA'!K122:Q122)+'CASE DATA'!T122)</f>
        <v>0</v>
      </c>
      <c r="D122" s="55">
        <f>IF(OR(B122="DISM", B122="JWV", B122="JUV", B122="CIV"), 0, 'CASE DATA'!R122+'CASE DATA'!S122)</f>
        <v>0</v>
      </c>
    </row>
    <row r="123" spans="1:4" x14ac:dyDescent="0.25">
      <c r="A123" s="35" t="str">
        <f>IF('CASE DATA'!A123="","",'CASE DATA'!A123)</f>
        <v/>
      </c>
      <c r="B123" s="40" t="str">
        <f>IF('CASE DATA'!A123&lt;&gt;"",IF('CASE DATA'!G123=0, "open charge", 'CASE DATA'!G123),"")</f>
        <v/>
      </c>
      <c r="C123" s="52">
        <f>IF(OR(B123="DISM",B123="JWV",B123="JUV",B123="CIV"),SUM('CASE DATA'!K123:T123),SUM('CASE DATA'!K123:Q123)+'CASE DATA'!T123)</f>
        <v>0</v>
      </c>
      <c r="D123" s="55">
        <f>IF(OR(B123="DISM", B123="JWV", B123="JUV", B123="CIV"), 0, 'CASE DATA'!R123+'CASE DATA'!S123)</f>
        <v>0</v>
      </c>
    </row>
    <row r="124" spans="1:4" x14ac:dyDescent="0.25">
      <c r="A124" s="35" t="str">
        <f>IF('CASE DATA'!A124="","",'CASE DATA'!A124)</f>
        <v/>
      </c>
      <c r="B124" s="40" t="str">
        <f>IF('CASE DATA'!A124&lt;&gt;"",IF('CASE DATA'!G124=0, "open charge", 'CASE DATA'!G124),"")</f>
        <v/>
      </c>
      <c r="C124" s="52">
        <f>IF(OR(B124="DISM",B124="JWV",B124="JUV",B124="CIV"),SUM('CASE DATA'!K124:T124),SUM('CASE DATA'!K124:Q124)+'CASE DATA'!T124)</f>
        <v>0</v>
      </c>
      <c r="D124" s="55">
        <f>IF(OR(B124="DISM", B124="JWV", B124="JUV", B124="CIV"), 0, 'CASE DATA'!R124+'CASE DATA'!S124)</f>
        <v>0</v>
      </c>
    </row>
    <row r="125" spans="1:4" x14ac:dyDescent="0.25">
      <c r="A125" s="35" t="str">
        <f>IF('CASE DATA'!A125="","",'CASE DATA'!A125)</f>
        <v/>
      </c>
      <c r="B125" s="40" t="str">
        <f>IF('CASE DATA'!A125&lt;&gt;"",IF('CASE DATA'!G125=0, "open charge", 'CASE DATA'!G125),"")</f>
        <v/>
      </c>
      <c r="C125" s="52">
        <f>IF(OR(B125="DISM",B125="JWV",B125="JUV",B125="CIV"),SUM('CASE DATA'!K125:T125),SUM('CASE DATA'!K125:Q125)+'CASE DATA'!T125)</f>
        <v>0</v>
      </c>
      <c r="D125" s="55">
        <f>IF(OR(B125="DISM", B125="JWV", B125="JUV", B125="CIV"), 0, 'CASE DATA'!R125+'CASE DATA'!S125)</f>
        <v>0</v>
      </c>
    </row>
    <row r="126" spans="1:4" x14ac:dyDescent="0.25">
      <c r="A126" s="35" t="str">
        <f>IF('CASE DATA'!A126="","",'CASE DATA'!A126)</f>
        <v/>
      </c>
      <c r="B126" s="40" t="str">
        <f>IF('CASE DATA'!A126&lt;&gt;"",IF('CASE DATA'!G126=0, "open charge", 'CASE DATA'!G126),"")</f>
        <v/>
      </c>
      <c r="C126" s="52">
        <f>IF(OR(B126="DISM",B126="JWV",B126="JUV",B126="CIV"),SUM('CASE DATA'!K126:T126),SUM('CASE DATA'!K126:Q126)+'CASE DATA'!T126)</f>
        <v>0</v>
      </c>
      <c r="D126" s="55">
        <f>IF(OR(B126="DISM", B126="JWV", B126="JUV", B126="CIV"), 0, 'CASE DATA'!R126+'CASE DATA'!S126)</f>
        <v>0</v>
      </c>
    </row>
    <row r="127" spans="1:4" x14ac:dyDescent="0.25">
      <c r="A127" s="35" t="str">
        <f>IF('CASE DATA'!A127="","",'CASE DATA'!A127)</f>
        <v/>
      </c>
      <c r="B127" s="40" t="str">
        <f>IF('CASE DATA'!A127&lt;&gt;"",IF('CASE DATA'!G127=0, "open charge", 'CASE DATA'!G127),"")</f>
        <v/>
      </c>
      <c r="C127" s="52">
        <f>IF(OR(B127="DISM",B127="JWV",B127="JUV",B127="CIV"),SUM('CASE DATA'!K127:T127),SUM('CASE DATA'!K127:Q127)+'CASE DATA'!T127)</f>
        <v>0</v>
      </c>
      <c r="D127" s="55">
        <f>IF(OR(B127="DISM", B127="JWV", B127="JUV", B127="CIV"), 0, 'CASE DATA'!R127+'CASE DATA'!S127)</f>
        <v>0</v>
      </c>
    </row>
    <row r="128" spans="1:4" x14ac:dyDescent="0.25">
      <c r="A128" s="35" t="str">
        <f>IF('CASE DATA'!A128="","",'CASE DATA'!A128)</f>
        <v/>
      </c>
      <c r="B128" s="40" t="str">
        <f>IF('CASE DATA'!A128&lt;&gt;"",IF('CASE DATA'!G128=0, "open charge", 'CASE DATA'!G128),"")</f>
        <v/>
      </c>
      <c r="C128" s="52">
        <f>IF(OR(B128="DISM",B128="JWV",B128="JUV",B128="CIV"),SUM('CASE DATA'!K128:T128),SUM('CASE DATA'!K128:Q128)+'CASE DATA'!T128)</f>
        <v>0</v>
      </c>
      <c r="D128" s="55">
        <f>IF(OR(B128="DISM", B128="JWV", B128="JUV", B128="CIV"), 0, 'CASE DATA'!R128+'CASE DATA'!S128)</f>
        <v>0</v>
      </c>
    </row>
    <row r="129" spans="1:4" x14ac:dyDescent="0.25">
      <c r="A129" s="35" t="str">
        <f>IF('CASE DATA'!A129="","",'CASE DATA'!A129)</f>
        <v/>
      </c>
      <c r="B129" s="40" t="str">
        <f>IF('CASE DATA'!A129&lt;&gt;"",IF('CASE DATA'!G129=0, "open charge", 'CASE DATA'!G129),"")</f>
        <v/>
      </c>
      <c r="C129" s="52">
        <f>IF(OR(B129="DISM",B129="JWV",B129="JUV",B129="CIV"),SUM('CASE DATA'!K129:T129),SUM('CASE DATA'!K129:Q129)+'CASE DATA'!T129)</f>
        <v>0</v>
      </c>
      <c r="D129" s="55">
        <f>IF(OR(B129="DISM", B129="JWV", B129="JUV", B129="CIV"), 0, 'CASE DATA'!R129+'CASE DATA'!S129)</f>
        <v>0</v>
      </c>
    </row>
    <row r="130" spans="1:4" x14ac:dyDescent="0.25">
      <c r="A130" s="35" t="str">
        <f>IF('CASE DATA'!A130="","",'CASE DATA'!A130)</f>
        <v/>
      </c>
      <c r="B130" s="40" t="str">
        <f>IF('CASE DATA'!A130&lt;&gt;"",IF('CASE DATA'!G130=0, "open charge", 'CASE DATA'!G130),"")</f>
        <v/>
      </c>
      <c r="C130" s="52">
        <f>IF(OR(B130="DISM",B130="JWV",B130="JUV",B130="CIV"),SUM('CASE DATA'!K130:T130),SUM('CASE DATA'!K130:Q130)+'CASE DATA'!T130)</f>
        <v>0</v>
      </c>
      <c r="D130" s="55">
        <f>IF(OR(B130="DISM", B130="JWV", B130="JUV", B130="CIV"), 0, 'CASE DATA'!R130+'CASE DATA'!S130)</f>
        <v>0</v>
      </c>
    </row>
    <row r="131" spans="1:4" x14ac:dyDescent="0.25">
      <c r="A131" s="35" t="str">
        <f>IF('CASE DATA'!A131="","",'CASE DATA'!A131)</f>
        <v/>
      </c>
      <c r="B131" s="40" t="str">
        <f>IF('CASE DATA'!A131&lt;&gt;"",IF('CASE DATA'!G131=0, "open charge", 'CASE DATA'!G131),"")</f>
        <v/>
      </c>
      <c r="C131" s="52">
        <f>IF(OR(B131="DISM",B131="JWV",B131="JUV",B131="CIV"),SUM('CASE DATA'!K131:T131),SUM('CASE DATA'!K131:Q131)+'CASE DATA'!T131)</f>
        <v>0</v>
      </c>
      <c r="D131" s="55">
        <f>IF(OR(B131="DISM", B131="JWV", B131="JUV", B131="CIV"), 0, 'CASE DATA'!R131+'CASE DATA'!S131)</f>
        <v>0</v>
      </c>
    </row>
    <row r="132" spans="1:4" x14ac:dyDescent="0.25">
      <c r="A132" s="35" t="str">
        <f>IF('CASE DATA'!A132="","",'CASE DATA'!A132)</f>
        <v/>
      </c>
      <c r="B132" s="40" t="str">
        <f>IF('CASE DATA'!A132&lt;&gt;"",IF('CASE DATA'!G132=0, "open charge", 'CASE DATA'!G132),"")</f>
        <v/>
      </c>
      <c r="C132" s="52">
        <f>IF(OR(B132="DISM",B132="JWV",B132="JUV",B132="CIV"),SUM('CASE DATA'!K132:T132),SUM('CASE DATA'!K132:Q132)+'CASE DATA'!T132)</f>
        <v>0</v>
      </c>
      <c r="D132" s="55">
        <f>IF(OR(B132="DISM", B132="JWV", B132="JUV", B132="CIV"), 0, 'CASE DATA'!R132+'CASE DATA'!S132)</f>
        <v>0</v>
      </c>
    </row>
    <row r="133" spans="1:4" x14ac:dyDescent="0.25">
      <c r="A133" s="35" t="str">
        <f>IF('CASE DATA'!A133="","",'CASE DATA'!A133)</f>
        <v/>
      </c>
      <c r="B133" s="40" t="str">
        <f>IF('CASE DATA'!A133&lt;&gt;"",IF('CASE DATA'!G133=0, "open charge", 'CASE DATA'!G133),"")</f>
        <v/>
      </c>
      <c r="C133" s="52">
        <f>IF(OR(B133="DISM",B133="JWV",B133="JUV",B133="CIV"),SUM('CASE DATA'!K133:T133),SUM('CASE DATA'!K133:Q133)+'CASE DATA'!T133)</f>
        <v>0</v>
      </c>
      <c r="D133" s="55">
        <f>IF(OR(B133="DISM", B133="JWV", B133="JUV", B133="CIV"), 0, 'CASE DATA'!R133+'CASE DATA'!S133)</f>
        <v>0</v>
      </c>
    </row>
    <row r="134" spans="1:4" x14ac:dyDescent="0.25">
      <c r="A134" s="35" t="str">
        <f>IF('CASE DATA'!A134="","",'CASE DATA'!A134)</f>
        <v/>
      </c>
      <c r="B134" s="40" t="str">
        <f>IF('CASE DATA'!A134&lt;&gt;"",IF('CASE DATA'!G134=0, "open charge", 'CASE DATA'!G134),"")</f>
        <v/>
      </c>
      <c r="C134" s="52">
        <f>IF(OR(B134="DISM",B134="JWV",B134="JUV",B134="CIV"),SUM('CASE DATA'!K134:T134),SUM('CASE DATA'!K134:Q134)+'CASE DATA'!T134)</f>
        <v>0</v>
      </c>
      <c r="D134" s="55">
        <f>IF(OR(B134="DISM", B134="JWV", B134="JUV", B134="CIV"), 0, 'CASE DATA'!R134+'CASE DATA'!S134)</f>
        <v>0</v>
      </c>
    </row>
    <row r="135" spans="1:4" x14ac:dyDescent="0.25">
      <c r="A135" s="35" t="str">
        <f>IF('CASE DATA'!A135="","",'CASE DATA'!A135)</f>
        <v/>
      </c>
      <c r="B135" s="40" t="str">
        <f>IF('CASE DATA'!A135&lt;&gt;"",IF('CASE DATA'!G135=0, "open charge", 'CASE DATA'!G135),"")</f>
        <v/>
      </c>
      <c r="C135" s="52">
        <f>IF(OR(B135="DISM",B135="JWV",B135="JUV",B135="CIV"),SUM('CASE DATA'!K135:T135),SUM('CASE DATA'!K135:Q135)+'CASE DATA'!T135)</f>
        <v>0</v>
      </c>
      <c r="D135" s="55">
        <f>IF(OR(B135="DISM", B135="JWV", B135="JUV", B135="CIV"), 0, 'CASE DATA'!R135+'CASE DATA'!S135)</f>
        <v>0</v>
      </c>
    </row>
    <row r="136" spans="1:4" x14ac:dyDescent="0.25">
      <c r="A136" s="35" t="str">
        <f>IF('CASE DATA'!A136="","",'CASE DATA'!A136)</f>
        <v/>
      </c>
      <c r="B136" s="40" t="str">
        <f>IF('CASE DATA'!A136&lt;&gt;"",IF('CASE DATA'!G136=0, "open charge", 'CASE DATA'!G136),"")</f>
        <v/>
      </c>
      <c r="C136" s="52">
        <f>IF(OR(B136="DISM",B136="JWV",B136="JUV",B136="CIV"),SUM('CASE DATA'!K136:T136),SUM('CASE DATA'!K136:Q136)+'CASE DATA'!T136)</f>
        <v>0</v>
      </c>
      <c r="D136" s="55">
        <f>IF(OR(B136="DISM", B136="JWV", B136="JUV", B136="CIV"), 0, 'CASE DATA'!R136+'CASE DATA'!S136)</f>
        <v>0</v>
      </c>
    </row>
    <row r="137" spans="1:4" x14ac:dyDescent="0.25">
      <c r="A137" s="35" t="str">
        <f>IF('CASE DATA'!A137="","",'CASE DATA'!A137)</f>
        <v/>
      </c>
      <c r="B137" s="40" t="str">
        <f>IF('CASE DATA'!A137&lt;&gt;"",IF('CASE DATA'!G137=0, "open charge", 'CASE DATA'!G137),"")</f>
        <v/>
      </c>
      <c r="C137" s="52">
        <f>IF(OR(B137="DISM",B137="JWV",B137="JUV",B137="CIV"),SUM('CASE DATA'!K137:T137),SUM('CASE DATA'!K137:Q137)+'CASE DATA'!T137)</f>
        <v>0</v>
      </c>
      <c r="D137" s="55">
        <f>IF(OR(B137="DISM", B137="JWV", B137="JUV", B137="CIV"), 0, 'CASE DATA'!R137+'CASE DATA'!S137)</f>
        <v>0</v>
      </c>
    </row>
    <row r="138" spans="1:4" x14ac:dyDescent="0.25">
      <c r="A138" s="35" t="str">
        <f>IF('CASE DATA'!A138="","",'CASE DATA'!A138)</f>
        <v/>
      </c>
      <c r="B138" s="40" t="str">
        <f>IF('CASE DATA'!A138&lt;&gt;"",IF('CASE DATA'!G138=0, "open charge", 'CASE DATA'!G138),"")</f>
        <v/>
      </c>
      <c r="C138" s="52">
        <f>IF(OR(B138="DISM",B138="JWV",B138="JUV",B138="CIV"),SUM('CASE DATA'!K138:T138),SUM('CASE DATA'!K138:Q138)+'CASE DATA'!T138)</f>
        <v>0</v>
      </c>
      <c r="D138" s="55">
        <f>IF(OR(B138="DISM", B138="JWV", B138="JUV", B138="CIV"), 0, 'CASE DATA'!R138+'CASE DATA'!S138)</f>
        <v>0</v>
      </c>
    </row>
    <row r="139" spans="1:4" x14ac:dyDescent="0.25">
      <c r="A139" s="35" t="str">
        <f>IF('CASE DATA'!A139="","",'CASE DATA'!A139)</f>
        <v/>
      </c>
      <c r="B139" s="40" t="str">
        <f>IF('CASE DATA'!A139&lt;&gt;"",IF('CASE DATA'!G139=0, "open charge", 'CASE DATA'!G139),"")</f>
        <v/>
      </c>
      <c r="C139" s="52">
        <f>IF(OR(B139="DISM",B139="JWV",B139="JUV",B139="CIV"),SUM('CASE DATA'!K139:T139),SUM('CASE DATA'!K139:Q139)+'CASE DATA'!T139)</f>
        <v>0</v>
      </c>
      <c r="D139" s="55">
        <f>IF(OR(B139="DISM", B139="JWV", B139="JUV", B139="CIV"), 0, 'CASE DATA'!R139+'CASE DATA'!S139)</f>
        <v>0</v>
      </c>
    </row>
    <row r="140" spans="1:4" x14ac:dyDescent="0.25">
      <c r="A140" s="35" t="str">
        <f>IF('CASE DATA'!A140="","",'CASE DATA'!A140)</f>
        <v/>
      </c>
      <c r="B140" s="40" t="str">
        <f>IF('CASE DATA'!A140&lt;&gt;"",IF('CASE DATA'!G140=0, "open charge", 'CASE DATA'!G140),"")</f>
        <v/>
      </c>
      <c r="C140" s="52">
        <f>IF(OR(B140="DISM",B140="JWV",B140="JUV",B140="CIV"),SUM('CASE DATA'!K140:T140),SUM('CASE DATA'!K140:Q140)+'CASE DATA'!T140)</f>
        <v>0</v>
      </c>
      <c r="D140" s="55">
        <f>IF(OR(B140="DISM", B140="JWV", B140="JUV", B140="CIV"), 0, 'CASE DATA'!R140+'CASE DATA'!S140)</f>
        <v>0</v>
      </c>
    </row>
    <row r="141" spans="1:4" x14ac:dyDescent="0.25">
      <c r="A141" s="35" t="str">
        <f>IF('CASE DATA'!A141="","",'CASE DATA'!A141)</f>
        <v/>
      </c>
      <c r="B141" s="40" t="str">
        <f>IF('CASE DATA'!A141&lt;&gt;"",IF('CASE DATA'!G141=0, "open charge", 'CASE DATA'!G141),"")</f>
        <v/>
      </c>
      <c r="C141" s="52">
        <f>IF(OR(B141="DISM",B141="JWV",B141="JUV",B141="CIV"),SUM('CASE DATA'!K141:T141),SUM('CASE DATA'!K141:Q141)+'CASE DATA'!T141)</f>
        <v>0</v>
      </c>
      <c r="D141" s="55">
        <f>IF(OR(B141="DISM", B141="JWV", B141="JUV", B141="CIV"), 0, 'CASE DATA'!R141+'CASE DATA'!S141)</f>
        <v>0</v>
      </c>
    </row>
    <row r="142" spans="1:4" x14ac:dyDescent="0.25">
      <c r="A142" s="35" t="str">
        <f>IF('CASE DATA'!A142="","",'CASE DATA'!A142)</f>
        <v/>
      </c>
      <c r="B142" s="40" t="str">
        <f>IF('CASE DATA'!A142&lt;&gt;"",IF('CASE DATA'!G142=0, "open charge", 'CASE DATA'!G142),"")</f>
        <v/>
      </c>
      <c r="C142" s="52">
        <f>IF(OR(B142="DISM",B142="JWV",B142="JUV",B142="CIV"),SUM('CASE DATA'!K142:T142),SUM('CASE DATA'!K142:Q142)+'CASE DATA'!T142)</f>
        <v>0</v>
      </c>
      <c r="D142" s="55">
        <f>IF(OR(B142="DISM", B142="JWV", B142="JUV", B142="CIV"), 0, 'CASE DATA'!R142+'CASE DATA'!S142)</f>
        <v>0</v>
      </c>
    </row>
    <row r="143" spans="1:4" x14ac:dyDescent="0.25">
      <c r="A143" s="35" t="str">
        <f>IF('CASE DATA'!A143="","",'CASE DATA'!A143)</f>
        <v/>
      </c>
      <c r="B143" s="40" t="str">
        <f>IF('CASE DATA'!A143&lt;&gt;"",IF('CASE DATA'!G143=0, "open charge", 'CASE DATA'!G143),"")</f>
        <v/>
      </c>
      <c r="C143" s="52">
        <f>IF(OR(B143="DISM",B143="JWV",B143="JUV",B143="CIV"),SUM('CASE DATA'!K143:T143),SUM('CASE DATA'!K143:Q143)+'CASE DATA'!T143)</f>
        <v>0</v>
      </c>
      <c r="D143" s="55">
        <f>IF(OR(B143="DISM", B143="JWV", B143="JUV", B143="CIV"), 0, 'CASE DATA'!R143+'CASE DATA'!S143)</f>
        <v>0</v>
      </c>
    </row>
    <row r="144" spans="1:4" x14ac:dyDescent="0.25">
      <c r="A144" s="35" t="str">
        <f>IF('CASE DATA'!A144="","",'CASE DATA'!A144)</f>
        <v/>
      </c>
      <c r="B144" s="40" t="str">
        <f>IF('CASE DATA'!A144&lt;&gt;"",IF('CASE DATA'!G144=0, "open charge", 'CASE DATA'!G144),"")</f>
        <v/>
      </c>
      <c r="C144" s="52">
        <f>IF(OR(B144="DISM",B144="JWV",B144="JUV",B144="CIV"),SUM('CASE DATA'!K144:T144),SUM('CASE DATA'!K144:Q144)+'CASE DATA'!T144)</f>
        <v>0</v>
      </c>
      <c r="D144" s="55">
        <f>IF(OR(B144="DISM", B144="JWV", B144="JUV", B144="CIV"), 0, 'CASE DATA'!R144+'CASE DATA'!S144)</f>
        <v>0</v>
      </c>
    </row>
    <row r="145" spans="1:4" x14ac:dyDescent="0.25">
      <c r="A145" s="35" t="str">
        <f>IF('CASE DATA'!A145="","",'CASE DATA'!A145)</f>
        <v/>
      </c>
      <c r="B145" s="40" t="str">
        <f>IF('CASE DATA'!A145&lt;&gt;"",IF('CASE DATA'!G145=0, "open charge", 'CASE DATA'!G145),"")</f>
        <v/>
      </c>
      <c r="C145" s="52">
        <f>IF(OR(B145="DISM",B145="JWV",B145="JUV",B145="CIV"),SUM('CASE DATA'!K145:T145),SUM('CASE DATA'!K145:Q145)+'CASE DATA'!T145)</f>
        <v>0</v>
      </c>
      <c r="D145" s="55">
        <f>IF(OR(B145="DISM", B145="JWV", B145="JUV", B145="CIV"), 0, 'CASE DATA'!R145+'CASE DATA'!S145)</f>
        <v>0</v>
      </c>
    </row>
    <row r="146" spans="1:4" x14ac:dyDescent="0.25">
      <c r="A146" s="35" t="str">
        <f>IF('CASE DATA'!A146="","",'CASE DATA'!A146)</f>
        <v/>
      </c>
      <c r="B146" s="40" t="str">
        <f>IF('CASE DATA'!A146&lt;&gt;"",IF('CASE DATA'!G146=0, "open charge", 'CASE DATA'!G146),"")</f>
        <v/>
      </c>
      <c r="C146" s="52">
        <f>IF(OR(B146="DISM",B146="JWV",B146="JUV",B146="CIV"),SUM('CASE DATA'!K146:T146),SUM('CASE DATA'!K146:Q146)+'CASE DATA'!T146)</f>
        <v>0</v>
      </c>
      <c r="D146" s="55">
        <f>IF(OR(B146="DISM", B146="JWV", B146="JUV", B146="CIV"), 0, 'CASE DATA'!R146+'CASE DATA'!S146)</f>
        <v>0</v>
      </c>
    </row>
    <row r="147" spans="1:4" x14ac:dyDescent="0.25">
      <c r="A147" s="35" t="str">
        <f>IF('CASE DATA'!A147="","",'CASE DATA'!A147)</f>
        <v/>
      </c>
      <c r="B147" s="40" t="str">
        <f>IF('CASE DATA'!A147&lt;&gt;"",IF('CASE DATA'!G147=0, "open charge", 'CASE DATA'!G147),"")</f>
        <v/>
      </c>
      <c r="C147" s="52">
        <f>IF(OR(B147="DISM",B147="JWV",B147="JUV",B147="CIV"),SUM('CASE DATA'!K147:T147),SUM('CASE DATA'!K147:Q147)+'CASE DATA'!T147)</f>
        <v>0</v>
      </c>
      <c r="D147" s="55">
        <f>IF(OR(B147="DISM", B147="JWV", B147="JUV", B147="CIV"), 0, 'CASE DATA'!R147+'CASE DATA'!S147)</f>
        <v>0</v>
      </c>
    </row>
    <row r="148" spans="1:4" x14ac:dyDescent="0.25">
      <c r="A148" s="35" t="str">
        <f>IF('CASE DATA'!A148="","",'CASE DATA'!A148)</f>
        <v/>
      </c>
      <c r="B148" s="40" t="str">
        <f>IF('CASE DATA'!A148&lt;&gt;"",IF('CASE DATA'!G148=0, "open charge", 'CASE DATA'!G148),"")</f>
        <v/>
      </c>
      <c r="C148" s="52">
        <f>IF(OR(B148="DISM",B148="JWV",B148="JUV",B148="CIV"),SUM('CASE DATA'!K148:T148),SUM('CASE DATA'!K148:Q148)+'CASE DATA'!T148)</f>
        <v>0</v>
      </c>
      <c r="D148" s="55">
        <f>IF(OR(B148="DISM", B148="JWV", B148="JUV", B148="CIV"), 0, 'CASE DATA'!R148+'CASE DATA'!S148)</f>
        <v>0</v>
      </c>
    </row>
    <row r="149" spans="1:4" x14ac:dyDescent="0.25">
      <c r="A149" s="35" t="str">
        <f>IF('CASE DATA'!A149="","",'CASE DATA'!A149)</f>
        <v/>
      </c>
      <c r="B149" s="40" t="str">
        <f>IF('CASE DATA'!A149&lt;&gt;"",IF('CASE DATA'!G149=0, "open charge", 'CASE DATA'!G149),"")</f>
        <v/>
      </c>
      <c r="C149" s="52">
        <f>IF(OR(B149="DISM",B149="JWV",B149="JUV",B149="CIV"),SUM('CASE DATA'!K149:T149),SUM('CASE DATA'!K149:Q149)+'CASE DATA'!T149)</f>
        <v>0</v>
      </c>
      <c r="D149" s="55">
        <f>IF(OR(B149="DISM", B149="JWV", B149="JUV", B149="CIV"), 0, 'CASE DATA'!R149+'CASE DATA'!S149)</f>
        <v>0</v>
      </c>
    </row>
    <row r="150" spans="1:4" x14ac:dyDescent="0.25">
      <c r="A150" s="35" t="str">
        <f>IF('CASE DATA'!A150="","",'CASE DATA'!A150)</f>
        <v/>
      </c>
      <c r="B150" s="40" t="str">
        <f>IF('CASE DATA'!A150&lt;&gt;"",IF('CASE DATA'!G150=0, "open charge", 'CASE DATA'!G150),"")</f>
        <v/>
      </c>
      <c r="C150" s="52">
        <f>IF(OR(B150="DISM",B150="JWV",B150="JUV",B150="CIV"),SUM('CASE DATA'!K150:T150),SUM('CASE DATA'!K150:Q150)+'CASE DATA'!T150)</f>
        <v>0</v>
      </c>
      <c r="D150" s="55">
        <f>IF(OR(B150="DISM", B150="JWV", B150="JUV", B150="CIV"), 0, 'CASE DATA'!R150+'CASE DATA'!S150)</f>
        <v>0</v>
      </c>
    </row>
    <row r="151" spans="1:4" x14ac:dyDescent="0.25">
      <c r="A151" s="35" t="str">
        <f>IF('CASE DATA'!A151="","",'CASE DATA'!A151)</f>
        <v/>
      </c>
      <c r="B151" s="40" t="str">
        <f>IF('CASE DATA'!A151&lt;&gt;"",IF('CASE DATA'!G151=0, "open charge", 'CASE DATA'!G151),"")</f>
        <v/>
      </c>
      <c r="C151" s="52">
        <f>IF(OR(B151="DISM",B151="JWV",B151="JUV",B151="CIV"),SUM('CASE DATA'!K151:T151),SUM('CASE DATA'!K151:Q151)+'CASE DATA'!T151)</f>
        <v>0</v>
      </c>
      <c r="D151" s="55">
        <f>IF(OR(B151="DISM", B151="JWV", B151="JUV", B151="CIV"), 0, 'CASE DATA'!R151+'CASE DATA'!S151)</f>
        <v>0</v>
      </c>
    </row>
    <row r="152" spans="1:4" x14ac:dyDescent="0.25">
      <c r="A152" s="35" t="str">
        <f>IF('CASE DATA'!A152="","",'CASE DATA'!A152)</f>
        <v/>
      </c>
      <c r="B152" s="40" t="str">
        <f>IF('CASE DATA'!A152&lt;&gt;"",IF('CASE DATA'!G152=0, "open charge", 'CASE DATA'!G152),"")</f>
        <v/>
      </c>
      <c r="C152" s="52">
        <f>IF(OR(B152="DISM",B152="JWV",B152="JUV",B152="CIV"),SUM('CASE DATA'!K152:T152),SUM('CASE DATA'!K152:Q152)+'CASE DATA'!T152)</f>
        <v>0</v>
      </c>
      <c r="D152" s="55">
        <f>IF(OR(B152="DISM", B152="JWV", B152="JUV", B152="CIV"), 0, 'CASE DATA'!R152+'CASE DATA'!S152)</f>
        <v>0</v>
      </c>
    </row>
    <row r="153" spans="1:4" x14ac:dyDescent="0.25">
      <c r="A153" s="35" t="str">
        <f>IF('CASE DATA'!A153="","",'CASE DATA'!A153)</f>
        <v/>
      </c>
      <c r="B153" s="40" t="str">
        <f>IF('CASE DATA'!A153&lt;&gt;"",IF('CASE DATA'!G153=0, "open charge", 'CASE DATA'!G153),"")</f>
        <v/>
      </c>
      <c r="C153" s="52">
        <f>IF(OR(B153="DISM",B153="JWV",B153="JUV",B153="CIV"),SUM('CASE DATA'!K153:T153),SUM('CASE DATA'!K153:Q153)+'CASE DATA'!T153)</f>
        <v>0</v>
      </c>
      <c r="D153" s="55">
        <f>IF(OR(B153="DISM", B153="JWV", B153="JUV", B153="CIV"), 0, 'CASE DATA'!R153+'CASE DATA'!S153)</f>
        <v>0</v>
      </c>
    </row>
    <row r="154" spans="1:4" x14ac:dyDescent="0.25">
      <c r="A154" s="35" t="str">
        <f>IF('CASE DATA'!A154="","",'CASE DATA'!A154)</f>
        <v/>
      </c>
      <c r="B154" s="40" t="str">
        <f>IF('CASE DATA'!A154&lt;&gt;"",IF('CASE DATA'!G154=0, "open charge", 'CASE DATA'!G154),"")</f>
        <v/>
      </c>
      <c r="C154" s="52">
        <f>IF(OR(B154="DISM",B154="JWV",B154="JUV",B154="CIV"),SUM('CASE DATA'!K154:T154),SUM('CASE DATA'!K154:Q154)+'CASE DATA'!T154)</f>
        <v>0</v>
      </c>
      <c r="D154" s="55">
        <f>IF(OR(B154="DISM", B154="JWV", B154="JUV", B154="CIV"), 0, 'CASE DATA'!R154+'CASE DATA'!S154)</f>
        <v>0</v>
      </c>
    </row>
    <row r="155" spans="1:4" x14ac:dyDescent="0.25">
      <c r="A155" s="35" t="str">
        <f>IF('CASE DATA'!A155="","",'CASE DATA'!A155)</f>
        <v/>
      </c>
      <c r="B155" s="40" t="str">
        <f>IF('CASE DATA'!A155&lt;&gt;"",IF('CASE DATA'!G155=0, "open charge", 'CASE DATA'!G155),"")</f>
        <v/>
      </c>
      <c r="C155" s="52">
        <f>IF(OR(B155="DISM",B155="JWV",B155="JUV",B155="CIV"),SUM('CASE DATA'!K155:T155),SUM('CASE DATA'!K155:Q155)+'CASE DATA'!T155)</f>
        <v>0</v>
      </c>
      <c r="D155" s="55">
        <f>IF(OR(B155="DISM", B155="JWV", B155="JUV", B155="CIV"), 0, 'CASE DATA'!R155+'CASE DATA'!S155)</f>
        <v>0</v>
      </c>
    </row>
    <row r="156" spans="1:4" x14ac:dyDescent="0.25">
      <c r="A156" s="35" t="str">
        <f>IF('CASE DATA'!A156="","",'CASE DATA'!A156)</f>
        <v/>
      </c>
      <c r="B156" s="40" t="str">
        <f>IF('CASE DATA'!A156&lt;&gt;"",IF('CASE DATA'!G156=0, "open charge", 'CASE DATA'!G156),"")</f>
        <v/>
      </c>
      <c r="C156" s="52">
        <f>IF(OR(B156="DISM",B156="JWV",B156="JUV",B156="CIV"),SUM('CASE DATA'!K156:T156),SUM('CASE DATA'!K156:Q156)+'CASE DATA'!T156)</f>
        <v>0</v>
      </c>
      <c r="D156" s="55">
        <f>IF(OR(B156="DISM", B156="JWV", B156="JUV", B156="CIV"), 0, 'CASE DATA'!R156+'CASE DATA'!S156)</f>
        <v>0</v>
      </c>
    </row>
    <row r="157" spans="1:4" x14ac:dyDescent="0.25">
      <c r="A157" s="35" t="str">
        <f>IF('CASE DATA'!A157="","",'CASE DATA'!A157)</f>
        <v/>
      </c>
      <c r="B157" s="40" t="str">
        <f>IF('CASE DATA'!A157&lt;&gt;"",IF('CASE DATA'!G157=0, "open charge", 'CASE DATA'!G157),"")</f>
        <v/>
      </c>
      <c r="C157" s="52">
        <f>IF(OR(B157="DISM",B157="JWV",B157="JUV",B157="CIV"),SUM('CASE DATA'!K157:T157),SUM('CASE DATA'!K157:Q157)+'CASE DATA'!T157)</f>
        <v>0</v>
      </c>
      <c r="D157" s="55">
        <f>IF(OR(B157="DISM", B157="JWV", B157="JUV", B157="CIV"), 0, 'CASE DATA'!R157+'CASE DATA'!S157)</f>
        <v>0</v>
      </c>
    </row>
    <row r="158" spans="1:4" x14ac:dyDescent="0.25">
      <c r="A158" s="35" t="str">
        <f>IF('CASE DATA'!A158="","",'CASE DATA'!A158)</f>
        <v/>
      </c>
      <c r="B158" s="40" t="str">
        <f>IF('CASE DATA'!A158&lt;&gt;"",IF('CASE DATA'!G158=0, "open charge", 'CASE DATA'!G158),"")</f>
        <v/>
      </c>
      <c r="C158" s="52">
        <f>IF(OR(B158="DISM",B158="JWV",B158="JUV",B158="CIV"),SUM('CASE DATA'!K158:T158),SUM('CASE DATA'!K158:Q158)+'CASE DATA'!T158)</f>
        <v>0</v>
      </c>
      <c r="D158" s="55">
        <f>IF(OR(B158="DISM", B158="JWV", B158="JUV", B158="CIV"), 0, 'CASE DATA'!R158+'CASE DATA'!S158)</f>
        <v>0</v>
      </c>
    </row>
    <row r="159" spans="1:4" x14ac:dyDescent="0.25">
      <c r="A159" s="35" t="str">
        <f>IF('CASE DATA'!A159="","",'CASE DATA'!A159)</f>
        <v/>
      </c>
      <c r="B159" s="40" t="str">
        <f>IF('CASE DATA'!A159&lt;&gt;"",IF('CASE DATA'!G159=0, "open charge", 'CASE DATA'!G159),"")</f>
        <v/>
      </c>
      <c r="C159" s="52">
        <f>IF(OR(B159="DISM",B159="JWV",B159="JUV",B159="CIV"),SUM('CASE DATA'!K159:T159),SUM('CASE DATA'!K159:Q159)+'CASE DATA'!T159)</f>
        <v>0</v>
      </c>
      <c r="D159" s="55">
        <f>IF(OR(B159="DISM", B159="JWV", B159="JUV", B159="CIV"), 0, 'CASE DATA'!R159+'CASE DATA'!S159)</f>
        <v>0</v>
      </c>
    </row>
    <row r="160" spans="1:4" x14ac:dyDescent="0.25">
      <c r="A160" s="35" t="str">
        <f>IF('CASE DATA'!A160="","",'CASE DATA'!A160)</f>
        <v/>
      </c>
      <c r="B160" s="40" t="str">
        <f>IF('CASE DATA'!A160&lt;&gt;"",IF('CASE DATA'!G160=0, "open charge", 'CASE DATA'!G160),"")</f>
        <v/>
      </c>
      <c r="C160" s="52">
        <f>IF(OR(B160="DISM",B160="JWV",B160="JUV",B160="CIV"),SUM('CASE DATA'!K160:T160),SUM('CASE DATA'!K160:Q160)+'CASE DATA'!T160)</f>
        <v>0</v>
      </c>
      <c r="D160" s="55">
        <f>IF(OR(B160="DISM", B160="JWV", B160="JUV", B160="CIV"), 0, 'CASE DATA'!R160+'CASE DATA'!S160)</f>
        <v>0</v>
      </c>
    </row>
    <row r="161" spans="1:4" x14ac:dyDescent="0.25">
      <c r="A161" s="35" t="str">
        <f>IF('CASE DATA'!A161="","",'CASE DATA'!A161)</f>
        <v/>
      </c>
      <c r="B161" s="40" t="str">
        <f>IF('CASE DATA'!A161&lt;&gt;"",IF('CASE DATA'!G161=0, "open charge", 'CASE DATA'!G161),"")</f>
        <v/>
      </c>
      <c r="C161" s="52">
        <f>IF(OR(B161="DISM",B161="JWV",B161="JUV",B161="CIV"),SUM('CASE DATA'!K161:T161),SUM('CASE DATA'!K161:Q161)+'CASE DATA'!T161)</f>
        <v>0</v>
      </c>
      <c r="D161" s="55">
        <f>IF(OR(B161="DISM", B161="JWV", B161="JUV", B161="CIV"), 0, 'CASE DATA'!R161+'CASE DATA'!S161)</f>
        <v>0</v>
      </c>
    </row>
    <row r="162" spans="1:4" x14ac:dyDescent="0.25">
      <c r="A162" s="35" t="str">
        <f>IF('CASE DATA'!A162="","",'CASE DATA'!A162)</f>
        <v/>
      </c>
      <c r="B162" s="40" t="str">
        <f>IF('CASE DATA'!A162&lt;&gt;"",IF('CASE DATA'!G162=0, "open charge", 'CASE DATA'!G162),"")</f>
        <v/>
      </c>
      <c r="C162" s="52">
        <f>IF(OR(B162="DISM",B162="JWV",B162="JUV",B162="CIV"),SUM('CASE DATA'!K162:T162),SUM('CASE DATA'!K162:Q162)+'CASE DATA'!T162)</f>
        <v>0</v>
      </c>
      <c r="D162" s="55">
        <f>IF(OR(B162="DISM", B162="JWV", B162="JUV", B162="CIV"), 0, 'CASE DATA'!R162+'CASE DATA'!S162)</f>
        <v>0</v>
      </c>
    </row>
    <row r="163" spans="1:4" x14ac:dyDescent="0.25">
      <c r="A163" s="35" t="str">
        <f>IF('CASE DATA'!A163="","",'CASE DATA'!A163)</f>
        <v/>
      </c>
      <c r="B163" s="40" t="str">
        <f>IF('CASE DATA'!A163&lt;&gt;"",IF('CASE DATA'!G163=0, "open charge", 'CASE DATA'!G163),"")</f>
        <v/>
      </c>
      <c r="C163" s="52">
        <f>IF(OR(B163="DISM",B163="JWV",B163="JUV",B163="CIV"),SUM('CASE DATA'!K163:T163),SUM('CASE DATA'!K163:Q163)+'CASE DATA'!T163)</f>
        <v>0</v>
      </c>
      <c r="D163" s="55">
        <f>IF(OR(B163="DISM", B163="JWV", B163="JUV", B163="CIV"), 0, 'CASE DATA'!R163+'CASE DATA'!S163)</f>
        <v>0</v>
      </c>
    </row>
    <row r="164" spans="1:4" x14ac:dyDescent="0.25">
      <c r="A164" s="35" t="str">
        <f>IF('CASE DATA'!A164="","",'CASE DATA'!A164)</f>
        <v/>
      </c>
      <c r="B164" s="40" t="str">
        <f>IF('CASE DATA'!A164&lt;&gt;"",IF('CASE DATA'!G164=0, "open charge", 'CASE DATA'!G164),"")</f>
        <v/>
      </c>
      <c r="C164" s="52">
        <f>IF(OR(B164="DISM",B164="JWV",B164="JUV",B164="CIV"),SUM('CASE DATA'!K164:T164),SUM('CASE DATA'!K164:Q164)+'CASE DATA'!T164)</f>
        <v>0</v>
      </c>
      <c r="D164" s="55">
        <f>IF(OR(B164="DISM", B164="JWV", B164="JUV", B164="CIV"), 0, 'CASE DATA'!R164+'CASE DATA'!S164)</f>
        <v>0</v>
      </c>
    </row>
    <row r="165" spans="1:4" x14ac:dyDescent="0.25">
      <c r="A165" s="35" t="str">
        <f>IF('CASE DATA'!A165="","",'CASE DATA'!A165)</f>
        <v/>
      </c>
      <c r="B165" s="40" t="str">
        <f>IF('CASE DATA'!A165&lt;&gt;"",IF('CASE DATA'!G165=0, "open charge", 'CASE DATA'!G165),"")</f>
        <v/>
      </c>
      <c r="C165" s="52">
        <f>IF(OR(B165="DISM",B165="JWV",B165="JUV",B165="CIV"),SUM('CASE DATA'!K165:T165),SUM('CASE DATA'!K165:Q165)+'CASE DATA'!T165)</f>
        <v>0</v>
      </c>
      <c r="D165" s="55">
        <f>IF(OR(B165="DISM", B165="JWV", B165="JUV", B165="CIV"), 0, 'CASE DATA'!R165+'CASE DATA'!S165)</f>
        <v>0</v>
      </c>
    </row>
    <row r="166" spans="1:4" x14ac:dyDescent="0.25">
      <c r="A166" s="35" t="str">
        <f>IF('CASE DATA'!A166="","",'CASE DATA'!A166)</f>
        <v/>
      </c>
      <c r="B166" s="40" t="str">
        <f>IF('CASE DATA'!A166&lt;&gt;"",IF('CASE DATA'!G166=0, "open charge", 'CASE DATA'!G166),"")</f>
        <v/>
      </c>
      <c r="C166" s="52">
        <f>IF(OR(B166="DISM",B166="JWV",B166="JUV",B166="CIV"),SUM('CASE DATA'!K166:T166),SUM('CASE DATA'!K166:Q166)+'CASE DATA'!T166)</f>
        <v>0</v>
      </c>
      <c r="D166" s="55">
        <f>IF(OR(B166="DISM", B166="JWV", B166="JUV", B166="CIV"), 0, 'CASE DATA'!R166+'CASE DATA'!S166)</f>
        <v>0</v>
      </c>
    </row>
    <row r="167" spans="1:4" x14ac:dyDescent="0.25">
      <c r="A167" s="35" t="str">
        <f>IF('CASE DATA'!A167="","",'CASE DATA'!A167)</f>
        <v/>
      </c>
      <c r="B167" s="40" t="str">
        <f>IF('CASE DATA'!A167&lt;&gt;"",IF('CASE DATA'!G167=0, "open charge", 'CASE DATA'!G167),"")</f>
        <v/>
      </c>
      <c r="C167" s="52">
        <f>IF(OR(B167="DISM",B167="JWV",B167="JUV",B167="CIV"),SUM('CASE DATA'!K167:T167),SUM('CASE DATA'!K167:Q167)+'CASE DATA'!T167)</f>
        <v>0</v>
      </c>
      <c r="D167" s="55">
        <f>IF(OR(B167="DISM", B167="JWV", B167="JUV", B167="CIV"), 0, 'CASE DATA'!R167+'CASE DATA'!S167)</f>
        <v>0</v>
      </c>
    </row>
    <row r="168" spans="1:4" x14ac:dyDescent="0.25">
      <c r="A168" s="35" t="str">
        <f>IF('CASE DATA'!A168="","",'CASE DATA'!A168)</f>
        <v/>
      </c>
      <c r="B168" s="40" t="str">
        <f>IF('CASE DATA'!A168&lt;&gt;"",IF('CASE DATA'!G168=0, "open charge", 'CASE DATA'!G168),"")</f>
        <v/>
      </c>
      <c r="C168" s="52">
        <f>IF(OR(B168="DISM",B168="JWV",B168="JUV",B168="CIV"),SUM('CASE DATA'!K168:T168),SUM('CASE DATA'!K168:Q168)+'CASE DATA'!T168)</f>
        <v>0</v>
      </c>
      <c r="D168" s="55">
        <f>IF(OR(B168="DISM", B168="JWV", B168="JUV", B168="CIV"), 0, 'CASE DATA'!R168+'CASE DATA'!S168)</f>
        <v>0</v>
      </c>
    </row>
    <row r="169" spans="1:4" x14ac:dyDescent="0.25">
      <c r="A169" s="35" t="str">
        <f>IF('CASE DATA'!A169="","",'CASE DATA'!A169)</f>
        <v/>
      </c>
      <c r="B169" s="40" t="str">
        <f>IF('CASE DATA'!A169&lt;&gt;"",IF('CASE DATA'!G169=0, "open charge", 'CASE DATA'!G169),"")</f>
        <v/>
      </c>
      <c r="C169" s="52">
        <f>IF(OR(B169="DISM",B169="JWV",B169="JUV",B169="CIV"),SUM('CASE DATA'!K169:T169),SUM('CASE DATA'!K169:Q169)+'CASE DATA'!T169)</f>
        <v>0</v>
      </c>
      <c r="D169" s="55">
        <f>IF(OR(B169="DISM", B169="JWV", B169="JUV", B169="CIV"), 0, 'CASE DATA'!R169+'CASE DATA'!S169)</f>
        <v>0</v>
      </c>
    </row>
    <row r="170" spans="1:4" x14ac:dyDescent="0.25">
      <c r="A170" s="35" t="str">
        <f>IF('CASE DATA'!A170="","",'CASE DATA'!A170)</f>
        <v/>
      </c>
      <c r="B170" s="40" t="str">
        <f>IF('CASE DATA'!A170&lt;&gt;"",IF('CASE DATA'!G170=0, "open charge", 'CASE DATA'!G170),"")</f>
        <v/>
      </c>
      <c r="C170" s="52">
        <f>IF(OR(B170="DISM",B170="JWV",B170="JUV",B170="CIV"),SUM('CASE DATA'!K170:T170),SUM('CASE DATA'!K170:Q170)+'CASE DATA'!T170)</f>
        <v>0</v>
      </c>
      <c r="D170" s="55">
        <f>IF(OR(B170="DISM", B170="JWV", B170="JUV", B170="CIV"), 0, 'CASE DATA'!R170+'CASE DATA'!S170)</f>
        <v>0</v>
      </c>
    </row>
    <row r="171" spans="1:4" x14ac:dyDescent="0.25">
      <c r="A171" s="35" t="str">
        <f>IF('CASE DATA'!A171="","",'CASE DATA'!A171)</f>
        <v/>
      </c>
      <c r="B171" s="40" t="str">
        <f>IF('CASE DATA'!A171&lt;&gt;"",IF('CASE DATA'!G171=0, "open charge", 'CASE DATA'!G171),"")</f>
        <v/>
      </c>
      <c r="C171" s="52">
        <f>IF(OR(B171="DISM",B171="JWV",B171="JUV",B171="CIV"),SUM('CASE DATA'!K171:T171),SUM('CASE DATA'!K171:Q171)+'CASE DATA'!T171)</f>
        <v>0</v>
      </c>
      <c r="D171" s="55">
        <f>IF(OR(B171="DISM", B171="JWV", B171="JUV", B171="CIV"), 0, 'CASE DATA'!R171+'CASE DATA'!S171)</f>
        <v>0</v>
      </c>
    </row>
    <row r="172" spans="1:4" x14ac:dyDescent="0.25">
      <c r="A172" s="35" t="str">
        <f>IF('CASE DATA'!A172="","",'CASE DATA'!A172)</f>
        <v/>
      </c>
      <c r="B172" s="40" t="str">
        <f>IF('CASE DATA'!A172&lt;&gt;"",IF('CASE DATA'!G172=0, "open charge", 'CASE DATA'!G172),"")</f>
        <v/>
      </c>
      <c r="C172" s="52">
        <f>IF(OR(B172="DISM",B172="JWV",B172="JUV",B172="CIV"),SUM('CASE DATA'!K172:T172),SUM('CASE DATA'!K172:Q172)+'CASE DATA'!T172)</f>
        <v>0</v>
      </c>
      <c r="D172" s="55">
        <f>IF(OR(B172="DISM", B172="JWV", B172="JUV", B172="CIV"), 0, 'CASE DATA'!R172+'CASE DATA'!S172)</f>
        <v>0</v>
      </c>
    </row>
    <row r="173" spans="1:4" x14ac:dyDescent="0.25">
      <c r="A173" s="35" t="str">
        <f>IF('CASE DATA'!A173="","",'CASE DATA'!A173)</f>
        <v/>
      </c>
      <c r="B173" s="40" t="str">
        <f>IF('CASE DATA'!A173&lt;&gt;"",IF('CASE DATA'!G173=0, "open charge", 'CASE DATA'!G173),"")</f>
        <v/>
      </c>
      <c r="C173" s="52">
        <f>IF(OR(B173="DISM",B173="JWV",B173="JUV",B173="CIV"),SUM('CASE DATA'!K173:T173),SUM('CASE DATA'!K173:Q173)+'CASE DATA'!T173)</f>
        <v>0</v>
      </c>
      <c r="D173" s="55">
        <f>IF(OR(B173="DISM", B173="JWV", B173="JUV", B173="CIV"), 0, 'CASE DATA'!R173+'CASE DATA'!S173)</f>
        <v>0</v>
      </c>
    </row>
    <row r="174" spans="1:4" x14ac:dyDescent="0.25">
      <c r="A174" s="35" t="str">
        <f>IF('CASE DATA'!A174="","",'CASE DATA'!A174)</f>
        <v/>
      </c>
      <c r="B174" s="40" t="str">
        <f>IF('CASE DATA'!A174&lt;&gt;"",IF('CASE DATA'!G174=0, "open charge", 'CASE DATA'!G174),"")</f>
        <v/>
      </c>
      <c r="C174" s="52">
        <f>IF(OR(B174="DISM",B174="JWV",B174="JUV",B174="CIV"),SUM('CASE DATA'!K174:T174),SUM('CASE DATA'!K174:Q174)+'CASE DATA'!T174)</f>
        <v>0</v>
      </c>
      <c r="D174" s="55">
        <f>IF(OR(B174="DISM", B174="JWV", B174="JUV", B174="CIV"), 0, 'CASE DATA'!R174+'CASE DATA'!S174)</f>
        <v>0</v>
      </c>
    </row>
    <row r="175" spans="1:4" x14ac:dyDescent="0.25">
      <c r="A175" s="35" t="str">
        <f>IF('CASE DATA'!A175="","",'CASE DATA'!A175)</f>
        <v/>
      </c>
      <c r="B175" s="40" t="str">
        <f>IF('CASE DATA'!A175&lt;&gt;"",IF('CASE DATA'!G175=0, "open charge", 'CASE DATA'!G175),"")</f>
        <v/>
      </c>
      <c r="C175" s="52">
        <f>IF(OR(B175="DISM",B175="JWV",B175="JUV",B175="CIV"),SUM('CASE DATA'!K175:T175),SUM('CASE DATA'!K175:Q175)+'CASE DATA'!T175)</f>
        <v>0</v>
      </c>
      <c r="D175" s="55">
        <f>IF(OR(B175="DISM", B175="JWV", B175="JUV", B175="CIV"), 0, 'CASE DATA'!R175+'CASE DATA'!S175)</f>
        <v>0</v>
      </c>
    </row>
    <row r="176" spans="1:4" x14ac:dyDescent="0.25">
      <c r="A176" s="35" t="str">
        <f>IF('CASE DATA'!A176="","",'CASE DATA'!A176)</f>
        <v/>
      </c>
      <c r="B176" s="40" t="str">
        <f>IF('CASE DATA'!A176&lt;&gt;"",IF('CASE DATA'!G176=0, "open charge", 'CASE DATA'!G176),"")</f>
        <v/>
      </c>
      <c r="C176" s="52">
        <f>IF(OR(B176="DISM",B176="JWV",B176="JUV",B176="CIV"),SUM('CASE DATA'!K176:T176),SUM('CASE DATA'!K176:Q176)+'CASE DATA'!T176)</f>
        <v>0</v>
      </c>
      <c r="D176" s="55">
        <f>IF(OR(B176="DISM", B176="JWV", B176="JUV", B176="CIV"), 0, 'CASE DATA'!R176+'CASE DATA'!S176)</f>
        <v>0</v>
      </c>
    </row>
    <row r="177" spans="1:4" x14ac:dyDescent="0.25">
      <c r="A177" s="35" t="str">
        <f>IF('CASE DATA'!A177="","",'CASE DATA'!A177)</f>
        <v/>
      </c>
      <c r="B177" s="40" t="str">
        <f>IF('CASE DATA'!A177&lt;&gt;"",IF('CASE DATA'!G177=0, "open charge", 'CASE DATA'!G177),"")</f>
        <v/>
      </c>
      <c r="C177" s="52">
        <f>IF(OR(B177="DISM",B177="JWV",B177="JUV",B177="CIV"),SUM('CASE DATA'!K177:T177),SUM('CASE DATA'!K177:Q177)+'CASE DATA'!T177)</f>
        <v>0</v>
      </c>
      <c r="D177" s="55">
        <f>IF(OR(B177="DISM", B177="JWV", B177="JUV", B177="CIV"), 0, 'CASE DATA'!R177+'CASE DATA'!S177)</f>
        <v>0</v>
      </c>
    </row>
    <row r="178" spans="1:4" x14ac:dyDescent="0.25">
      <c r="A178" s="35" t="str">
        <f>IF('CASE DATA'!A178="","",'CASE DATA'!A178)</f>
        <v/>
      </c>
      <c r="B178" s="40" t="str">
        <f>IF('CASE DATA'!A178&lt;&gt;"",IF('CASE DATA'!G178=0, "open charge", 'CASE DATA'!G178),"")</f>
        <v/>
      </c>
      <c r="C178" s="52">
        <f>IF(OR(B178="DISM",B178="JWV",B178="JUV",B178="CIV"),SUM('CASE DATA'!K178:T178),SUM('CASE DATA'!K178:Q178)+'CASE DATA'!T178)</f>
        <v>0</v>
      </c>
      <c r="D178" s="55">
        <f>IF(OR(B178="DISM", B178="JWV", B178="JUV", B178="CIV"), 0, 'CASE DATA'!R178+'CASE DATA'!S178)</f>
        <v>0</v>
      </c>
    </row>
    <row r="179" spans="1:4" x14ac:dyDescent="0.25">
      <c r="A179" s="35" t="str">
        <f>IF('CASE DATA'!A179="","",'CASE DATA'!A179)</f>
        <v/>
      </c>
      <c r="B179" s="40" t="str">
        <f>IF('CASE DATA'!A179&lt;&gt;"",IF('CASE DATA'!G179=0, "open charge", 'CASE DATA'!G179),"")</f>
        <v/>
      </c>
      <c r="C179" s="52">
        <f>IF(OR(B179="DISM",B179="JWV",B179="JUV",B179="CIV"),SUM('CASE DATA'!K179:T179),SUM('CASE DATA'!K179:Q179)+'CASE DATA'!T179)</f>
        <v>0</v>
      </c>
      <c r="D179" s="55">
        <f>IF(OR(B179="DISM", B179="JWV", B179="JUV", B179="CIV"), 0, 'CASE DATA'!R179+'CASE DATA'!S179)</f>
        <v>0</v>
      </c>
    </row>
    <row r="180" spans="1:4" x14ac:dyDescent="0.25">
      <c r="A180" s="35" t="str">
        <f>IF('CASE DATA'!A180="","",'CASE DATA'!A180)</f>
        <v/>
      </c>
      <c r="B180" s="40" t="str">
        <f>IF('CASE DATA'!A180&lt;&gt;"",IF('CASE DATA'!G180=0, "open charge", 'CASE DATA'!G180),"")</f>
        <v/>
      </c>
      <c r="C180" s="52">
        <f>IF(OR(B180="DISM",B180="JWV",B180="JUV",B180="CIV"),SUM('CASE DATA'!K180:T180),SUM('CASE DATA'!K180:Q180)+'CASE DATA'!T180)</f>
        <v>0</v>
      </c>
      <c r="D180" s="55">
        <f>IF(OR(B180="DISM", B180="JWV", B180="JUV", B180="CIV"), 0, 'CASE DATA'!R180+'CASE DATA'!S180)</f>
        <v>0</v>
      </c>
    </row>
    <row r="181" spans="1:4" x14ac:dyDescent="0.25">
      <c r="A181" s="35" t="str">
        <f>IF('CASE DATA'!A181="","",'CASE DATA'!A181)</f>
        <v/>
      </c>
      <c r="B181" s="40" t="str">
        <f>IF('CASE DATA'!A181&lt;&gt;"",IF('CASE DATA'!G181=0, "open charge", 'CASE DATA'!G181),"")</f>
        <v/>
      </c>
      <c r="C181" s="52">
        <f>IF(OR(B181="DISM",B181="JWV",B181="JUV",B181="CIV"),SUM('CASE DATA'!K181:T181),SUM('CASE DATA'!K181:Q181)+'CASE DATA'!T181)</f>
        <v>0</v>
      </c>
      <c r="D181" s="55">
        <f>IF(OR(B181="DISM", B181="JWV", B181="JUV", B181="CIV"), 0, 'CASE DATA'!R181+'CASE DATA'!S181)</f>
        <v>0</v>
      </c>
    </row>
    <row r="182" spans="1:4" x14ac:dyDescent="0.25">
      <c r="A182" s="35" t="str">
        <f>IF('CASE DATA'!A182="","",'CASE DATA'!A182)</f>
        <v/>
      </c>
      <c r="B182" s="40" t="str">
        <f>IF('CASE DATA'!A182&lt;&gt;"",IF('CASE DATA'!G182=0, "open charge", 'CASE DATA'!G182),"")</f>
        <v/>
      </c>
      <c r="C182" s="52">
        <f>IF(OR(B182="DISM",B182="JWV",B182="JUV",B182="CIV"),SUM('CASE DATA'!K182:T182),SUM('CASE DATA'!K182:Q182)+'CASE DATA'!T182)</f>
        <v>0</v>
      </c>
      <c r="D182" s="55">
        <f>IF(OR(B182="DISM", B182="JWV", B182="JUV", B182="CIV"), 0, 'CASE DATA'!R182+'CASE DATA'!S182)</f>
        <v>0</v>
      </c>
    </row>
    <row r="183" spans="1:4" x14ac:dyDescent="0.25">
      <c r="A183" s="35" t="str">
        <f>IF('CASE DATA'!A183="","",'CASE DATA'!A183)</f>
        <v/>
      </c>
      <c r="B183" s="40" t="str">
        <f>IF('CASE DATA'!A183&lt;&gt;"",IF('CASE DATA'!G183=0, "open charge", 'CASE DATA'!G183),"")</f>
        <v/>
      </c>
      <c r="C183" s="52">
        <f>IF(OR(B183="DISM",B183="JWV",B183="JUV",B183="CIV"),SUM('CASE DATA'!K183:T183),SUM('CASE DATA'!K183:Q183)+'CASE DATA'!T183)</f>
        <v>0</v>
      </c>
      <c r="D183" s="55">
        <f>IF(OR(B183="DISM", B183="JWV", B183="JUV", B183="CIV"), 0, 'CASE DATA'!R183+'CASE DATA'!S183)</f>
        <v>0</v>
      </c>
    </row>
    <row r="184" spans="1:4" x14ac:dyDescent="0.25">
      <c r="A184" s="35" t="str">
        <f>IF('CASE DATA'!A184="","",'CASE DATA'!A184)</f>
        <v/>
      </c>
      <c r="B184" s="40" t="str">
        <f>IF('CASE DATA'!A184&lt;&gt;"",IF('CASE DATA'!G184=0, "open charge", 'CASE DATA'!G184),"")</f>
        <v/>
      </c>
      <c r="C184" s="52">
        <f>IF(OR(B184="DISM",B184="JWV",B184="JUV",B184="CIV"),SUM('CASE DATA'!K184:T184),SUM('CASE DATA'!K184:Q184)+'CASE DATA'!T184)</f>
        <v>0</v>
      </c>
      <c r="D184" s="55">
        <f>IF(OR(B184="DISM", B184="JWV", B184="JUV", B184="CIV"), 0, 'CASE DATA'!R184+'CASE DATA'!S184)</f>
        <v>0</v>
      </c>
    </row>
    <row r="185" spans="1:4" x14ac:dyDescent="0.25">
      <c r="A185" s="35" t="str">
        <f>IF('CASE DATA'!A185="","",'CASE DATA'!A185)</f>
        <v/>
      </c>
      <c r="B185" s="40" t="str">
        <f>IF('CASE DATA'!A185&lt;&gt;"",IF('CASE DATA'!G185=0, "open charge", 'CASE DATA'!G185),"")</f>
        <v/>
      </c>
      <c r="C185" s="52">
        <f>IF(OR(B185="DISM",B185="JWV",B185="JUV",B185="CIV"),SUM('CASE DATA'!K185:T185),SUM('CASE DATA'!K185:Q185)+'CASE DATA'!T185)</f>
        <v>0</v>
      </c>
      <c r="D185" s="55">
        <f>IF(OR(B185="DISM", B185="JWV", B185="JUV", B185="CIV"), 0, 'CASE DATA'!R185+'CASE DATA'!S185)</f>
        <v>0</v>
      </c>
    </row>
    <row r="186" spans="1:4" x14ac:dyDescent="0.25">
      <c r="A186" s="35" t="str">
        <f>IF('CASE DATA'!A186="","",'CASE DATA'!A186)</f>
        <v/>
      </c>
      <c r="B186" s="40" t="str">
        <f>IF('CASE DATA'!A186&lt;&gt;"",IF('CASE DATA'!G186=0, "open charge", 'CASE DATA'!G186),"")</f>
        <v/>
      </c>
      <c r="C186" s="52">
        <f>IF(OR(B186="DISM",B186="JWV",B186="JUV",B186="CIV"),SUM('CASE DATA'!K186:T186),SUM('CASE DATA'!K186:Q186)+'CASE DATA'!T186)</f>
        <v>0</v>
      </c>
      <c r="D186" s="55">
        <f>IF(OR(B186="DISM", B186="JWV", B186="JUV", B186="CIV"), 0, 'CASE DATA'!R186+'CASE DATA'!S186)</f>
        <v>0</v>
      </c>
    </row>
    <row r="187" spans="1:4" x14ac:dyDescent="0.25">
      <c r="A187" s="35" t="str">
        <f>IF('CASE DATA'!A187="","",'CASE DATA'!A187)</f>
        <v/>
      </c>
      <c r="B187" s="40" t="str">
        <f>IF('CASE DATA'!A187&lt;&gt;"",IF('CASE DATA'!G187=0, "open charge", 'CASE DATA'!G187),"")</f>
        <v/>
      </c>
      <c r="C187" s="52">
        <f>IF(OR(B187="DISM",B187="JWV",B187="JUV",B187="CIV"),SUM('CASE DATA'!K187:T187),SUM('CASE DATA'!K187:Q187)+'CASE DATA'!T187)</f>
        <v>0</v>
      </c>
      <c r="D187" s="55">
        <f>IF(OR(B187="DISM", B187="JWV", B187="JUV", B187="CIV"), 0, 'CASE DATA'!R187+'CASE DATA'!S187)</f>
        <v>0</v>
      </c>
    </row>
    <row r="188" spans="1:4" x14ac:dyDescent="0.25">
      <c r="A188" s="35" t="str">
        <f>IF('CASE DATA'!A188="","",'CASE DATA'!A188)</f>
        <v/>
      </c>
      <c r="B188" s="40" t="str">
        <f>IF('CASE DATA'!A188&lt;&gt;"",IF('CASE DATA'!G188=0, "open charge", 'CASE DATA'!G188),"")</f>
        <v/>
      </c>
      <c r="C188" s="52">
        <f>IF(OR(B188="DISM",B188="JWV",B188="JUV",B188="CIV"),SUM('CASE DATA'!K188:T188),SUM('CASE DATA'!K188:Q188)+'CASE DATA'!T188)</f>
        <v>0</v>
      </c>
      <c r="D188" s="55">
        <f>IF(OR(B188="DISM", B188="JWV", B188="JUV", B188="CIV"), 0, 'CASE DATA'!R188+'CASE DATA'!S188)</f>
        <v>0</v>
      </c>
    </row>
    <row r="189" spans="1:4" x14ac:dyDescent="0.25">
      <c r="A189" s="35" t="str">
        <f>IF('CASE DATA'!A189="","",'CASE DATA'!A189)</f>
        <v/>
      </c>
      <c r="B189" s="40" t="str">
        <f>IF('CASE DATA'!A189&lt;&gt;"",IF('CASE DATA'!G189=0, "open charge", 'CASE DATA'!G189),"")</f>
        <v/>
      </c>
      <c r="C189" s="52">
        <f>IF(OR(B189="DISM",B189="JWV",B189="JUV",B189="CIV"),SUM('CASE DATA'!K189:T189),SUM('CASE DATA'!K189:Q189)+'CASE DATA'!T189)</f>
        <v>0</v>
      </c>
      <c r="D189" s="55">
        <f>IF(OR(B189="DISM", B189="JWV", B189="JUV", B189="CIV"), 0, 'CASE DATA'!R189+'CASE DATA'!S189)</f>
        <v>0</v>
      </c>
    </row>
    <row r="190" spans="1:4" x14ac:dyDescent="0.25">
      <c r="A190" s="35" t="str">
        <f>IF('CASE DATA'!A190="","",'CASE DATA'!A190)</f>
        <v/>
      </c>
      <c r="B190" s="40" t="str">
        <f>IF('CASE DATA'!A190&lt;&gt;"",IF('CASE DATA'!G190=0, "open charge", 'CASE DATA'!G190),"")</f>
        <v/>
      </c>
      <c r="C190" s="52">
        <f>IF(OR(B190="DISM",B190="JWV",B190="JUV",B190="CIV"),SUM('CASE DATA'!K190:T190),SUM('CASE DATA'!K190:Q190)+'CASE DATA'!T190)</f>
        <v>0</v>
      </c>
      <c r="D190" s="55">
        <f>IF(OR(B190="DISM", B190="JWV", B190="JUV", B190="CIV"), 0, 'CASE DATA'!R190+'CASE DATA'!S190)</f>
        <v>0</v>
      </c>
    </row>
    <row r="191" spans="1:4" x14ac:dyDescent="0.25">
      <c r="A191" s="35" t="str">
        <f>IF('CASE DATA'!A191="","",'CASE DATA'!A191)</f>
        <v/>
      </c>
      <c r="B191" s="40" t="str">
        <f>IF('CASE DATA'!A191&lt;&gt;"",IF('CASE DATA'!G191=0, "open charge", 'CASE DATA'!G191),"")</f>
        <v/>
      </c>
      <c r="C191" s="52">
        <f>IF(OR(B191="DISM",B191="JWV",B191="JUV",B191="CIV"),SUM('CASE DATA'!K191:T191),SUM('CASE DATA'!K191:Q191)+'CASE DATA'!T191)</f>
        <v>0</v>
      </c>
      <c r="D191" s="55">
        <f>IF(OR(B191="DISM", B191="JWV", B191="JUV", B191="CIV"), 0, 'CASE DATA'!R191+'CASE DATA'!S191)</f>
        <v>0</v>
      </c>
    </row>
    <row r="192" spans="1:4" x14ac:dyDescent="0.25">
      <c r="A192" s="35" t="str">
        <f>IF('CASE DATA'!A192="","",'CASE DATA'!A192)</f>
        <v/>
      </c>
      <c r="B192" s="40" t="str">
        <f>IF('CASE DATA'!A192&lt;&gt;"",IF('CASE DATA'!G192=0, "open charge", 'CASE DATA'!G192),"")</f>
        <v/>
      </c>
      <c r="C192" s="52">
        <f>IF(OR(B192="DISM",B192="JWV",B192="JUV",B192="CIV"),SUM('CASE DATA'!K192:T192),SUM('CASE DATA'!K192:Q192)+'CASE DATA'!T192)</f>
        <v>0</v>
      </c>
      <c r="D192" s="55">
        <f>IF(OR(B192="DISM", B192="JWV", B192="JUV", B192="CIV"), 0, 'CASE DATA'!R192+'CASE DATA'!S192)</f>
        <v>0</v>
      </c>
    </row>
    <row r="193" spans="1:4" x14ac:dyDescent="0.25">
      <c r="A193" s="35" t="str">
        <f>IF('CASE DATA'!A193="","",'CASE DATA'!A193)</f>
        <v/>
      </c>
      <c r="B193" s="40" t="str">
        <f>IF('CASE DATA'!A193&lt;&gt;"",IF('CASE DATA'!G193=0, "open charge", 'CASE DATA'!G193),"")</f>
        <v/>
      </c>
      <c r="C193" s="52">
        <f>IF(OR(B193="DISM",B193="JWV",B193="JUV",B193="CIV"),SUM('CASE DATA'!K193:T193),SUM('CASE DATA'!K193:Q193)+'CASE DATA'!T193)</f>
        <v>0</v>
      </c>
      <c r="D193" s="55">
        <f>IF(OR(B193="DISM", B193="JWV", B193="JUV", B193="CIV"), 0, 'CASE DATA'!R193+'CASE DATA'!S193)</f>
        <v>0</v>
      </c>
    </row>
    <row r="194" spans="1:4" x14ac:dyDescent="0.25">
      <c r="A194" s="35" t="str">
        <f>IF('CASE DATA'!A194="","",'CASE DATA'!A194)</f>
        <v/>
      </c>
      <c r="B194" s="40" t="str">
        <f>IF('CASE DATA'!A194&lt;&gt;"",IF('CASE DATA'!G194=0, "open charge", 'CASE DATA'!G194),"")</f>
        <v/>
      </c>
      <c r="C194" s="52">
        <f>IF(OR(B194="DISM",B194="JWV",B194="JUV",B194="CIV"),SUM('CASE DATA'!K194:T194),SUM('CASE DATA'!K194:Q194)+'CASE DATA'!T194)</f>
        <v>0</v>
      </c>
      <c r="D194" s="55">
        <f>IF(OR(B194="DISM", B194="JWV", B194="JUV", B194="CIV"), 0, 'CASE DATA'!R194+'CASE DATA'!S194)</f>
        <v>0</v>
      </c>
    </row>
    <row r="195" spans="1:4" x14ac:dyDescent="0.25">
      <c r="A195" s="35" t="str">
        <f>IF('CASE DATA'!A195="","",'CASE DATA'!A195)</f>
        <v/>
      </c>
      <c r="B195" s="40" t="str">
        <f>IF('CASE DATA'!A195&lt;&gt;"",IF('CASE DATA'!G195=0, "open charge", 'CASE DATA'!G195),"")</f>
        <v/>
      </c>
      <c r="C195" s="52">
        <f>IF(OR(B195="DISM",B195="JWV",B195="JUV",B195="CIV"),SUM('CASE DATA'!K195:T195),SUM('CASE DATA'!K195:Q195)+'CASE DATA'!T195)</f>
        <v>0</v>
      </c>
      <c r="D195" s="55">
        <f>IF(OR(B195="DISM", B195="JWV", B195="JUV", B195="CIV"), 0, 'CASE DATA'!R195+'CASE DATA'!S195)</f>
        <v>0</v>
      </c>
    </row>
    <row r="196" spans="1:4" x14ac:dyDescent="0.25">
      <c r="A196" s="35" t="str">
        <f>IF('CASE DATA'!A196="","",'CASE DATA'!A196)</f>
        <v/>
      </c>
      <c r="B196" s="40" t="str">
        <f>IF('CASE DATA'!A196&lt;&gt;"",IF('CASE DATA'!G196=0, "open charge", 'CASE DATA'!G196),"")</f>
        <v/>
      </c>
      <c r="C196" s="52">
        <f>IF(OR(B196="DISM",B196="JWV",B196="JUV",B196="CIV"),SUM('CASE DATA'!K196:T196),SUM('CASE DATA'!K196:Q196)+'CASE DATA'!T196)</f>
        <v>0</v>
      </c>
      <c r="D196" s="55">
        <f>IF(OR(B196="DISM", B196="JWV", B196="JUV", B196="CIV"), 0, 'CASE DATA'!R196+'CASE DATA'!S196)</f>
        <v>0</v>
      </c>
    </row>
    <row r="197" spans="1:4" x14ac:dyDescent="0.25">
      <c r="A197" s="35" t="str">
        <f>IF('CASE DATA'!A197="","",'CASE DATA'!A197)</f>
        <v/>
      </c>
      <c r="B197" s="40" t="str">
        <f>IF('CASE DATA'!A197&lt;&gt;"",IF('CASE DATA'!G197=0, "open charge", 'CASE DATA'!G197),"")</f>
        <v/>
      </c>
      <c r="C197" s="52">
        <f>IF(OR(B197="DISM",B197="JWV",B197="JUV",B197="CIV"),SUM('CASE DATA'!K197:T197),SUM('CASE DATA'!K197:Q197)+'CASE DATA'!T197)</f>
        <v>0</v>
      </c>
      <c r="D197" s="55">
        <f>IF(OR(B197="DISM", B197="JWV", B197="JUV", B197="CIV"), 0, 'CASE DATA'!R197+'CASE DATA'!S197)</f>
        <v>0</v>
      </c>
    </row>
    <row r="198" spans="1:4" x14ac:dyDescent="0.25">
      <c r="A198" s="35" t="str">
        <f>IF('CASE DATA'!A198="","",'CASE DATA'!A198)</f>
        <v/>
      </c>
      <c r="B198" s="40" t="str">
        <f>IF('CASE DATA'!A198&lt;&gt;"",IF('CASE DATA'!G198=0, "open charge", 'CASE DATA'!G198),"")</f>
        <v/>
      </c>
      <c r="C198" s="52">
        <f>IF(OR(B198="DISM",B198="JWV",B198="JUV",B198="CIV"),SUM('CASE DATA'!K198:T198),SUM('CASE DATA'!K198:Q198)+'CASE DATA'!T198)</f>
        <v>0</v>
      </c>
      <c r="D198" s="55">
        <f>IF(OR(B198="DISM", B198="JWV", B198="JUV", B198="CIV"), 0, 'CASE DATA'!R198+'CASE DATA'!S198)</f>
        <v>0</v>
      </c>
    </row>
    <row r="199" spans="1:4" x14ac:dyDescent="0.25">
      <c r="A199" s="35" t="str">
        <f>IF('CASE DATA'!A199="","",'CASE DATA'!A199)</f>
        <v/>
      </c>
      <c r="B199" s="40" t="str">
        <f>IF('CASE DATA'!A199&lt;&gt;"",IF('CASE DATA'!G199=0, "open charge", 'CASE DATA'!G199),"")</f>
        <v/>
      </c>
      <c r="C199" s="52">
        <f>IF(OR(B199="DISM",B199="JWV",B199="JUV",B199="CIV"),SUM('CASE DATA'!K199:T199),SUM('CASE DATA'!K199:Q199)+'CASE DATA'!T199)</f>
        <v>0</v>
      </c>
      <c r="D199" s="55">
        <f>IF(OR(B199="DISM", B199="JWV", B199="JUV", B199="CIV"), 0, 'CASE DATA'!R199+'CASE DATA'!S199)</f>
        <v>0</v>
      </c>
    </row>
    <row r="200" spans="1:4" x14ac:dyDescent="0.25">
      <c r="A200" s="35" t="str">
        <f>IF('CASE DATA'!A200="","",'CASE DATA'!A200)</f>
        <v/>
      </c>
      <c r="B200" s="40" t="str">
        <f>IF('CASE DATA'!A200&lt;&gt;"",IF('CASE DATA'!G200=0, "open charge", 'CASE DATA'!G200),"")</f>
        <v/>
      </c>
      <c r="C200" s="52">
        <f>IF(OR(B200="DISM",B200="JWV",B200="JUV",B200="CIV"),SUM('CASE DATA'!K200:T200),SUM('CASE DATA'!K200:Q200)+'CASE DATA'!T200)</f>
        <v>0</v>
      </c>
      <c r="D200" s="55">
        <f>IF(OR(B200="DISM", B200="JWV", B200="JUV", B200="CIV"), 0, 'CASE DATA'!R200+'CASE DATA'!S200)</f>
        <v>0</v>
      </c>
    </row>
  </sheetData>
  <mergeCells count="3">
    <mergeCell ref="A1:B1"/>
    <mergeCell ref="A2:A3"/>
    <mergeCell ref="B2:D2"/>
  </mergeCell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0"/>
  <sheetViews>
    <sheetView zoomScaleNormal="100" workbookViewId="0">
      <pane ySplit="1" topLeftCell="A2" activePane="bottomLeft" state="frozen"/>
      <selection pane="bottomLeft" activeCell="C1" sqref="C1:E1"/>
    </sheetView>
  </sheetViews>
  <sheetFormatPr defaultColWidth="8.7109375" defaultRowHeight="15" x14ac:dyDescent="0.25"/>
  <cols>
    <col min="1" max="3" width="20.7109375" customWidth="1"/>
    <col min="4" max="4" width="35.28515625" customWidth="1"/>
    <col min="5" max="5" width="20.7109375" customWidth="1"/>
    <col min="6" max="6" width="14.7109375" customWidth="1"/>
    <col min="7" max="7" width="10.5703125" customWidth="1"/>
  </cols>
  <sheetData>
    <row r="1" spans="1:7" x14ac:dyDescent="0.25">
      <c r="A1" s="96" t="s">
        <v>9</v>
      </c>
      <c r="B1" s="77"/>
      <c r="C1" s="42">
        <f>SUM(C4:C100)</f>
        <v>0</v>
      </c>
      <c r="D1" s="60">
        <f>SUM(D4:D100)</f>
        <v>0</v>
      </c>
      <c r="E1" s="45">
        <f>SUM(E4:E100)</f>
        <v>0</v>
      </c>
      <c r="F1" s="17">
        <f>SUM(C1:E1)</f>
        <v>0</v>
      </c>
    </row>
    <row r="2" spans="1:7" x14ac:dyDescent="0.25">
      <c r="A2" s="98" t="s">
        <v>41</v>
      </c>
      <c r="B2" s="97" t="s">
        <v>76</v>
      </c>
      <c r="C2" s="77"/>
      <c r="D2" s="77"/>
      <c r="E2" s="77"/>
    </row>
    <row r="3" spans="1:7" x14ac:dyDescent="0.25">
      <c r="A3" s="77"/>
      <c r="B3" s="47" t="s">
        <v>65</v>
      </c>
      <c r="C3" s="48" t="s">
        <v>77</v>
      </c>
      <c r="D3" s="67" t="s">
        <v>78</v>
      </c>
      <c r="E3" s="51" t="s">
        <v>79</v>
      </c>
      <c r="F3" s="17"/>
    </row>
    <row r="4" spans="1:7" x14ac:dyDescent="0.25">
      <c r="A4" s="35" t="str">
        <f>IF('CASE DATA'!A4="","",'CASE DATA'!A4)</f>
        <v/>
      </c>
      <c r="B4" s="40" t="str">
        <f>IF('CASE DATA'!A4&lt;&gt;"",IF('CASE DATA'!G4=0, "open charge", 'CASE DATA'!G4),"")</f>
        <v/>
      </c>
      <c r="C4" s="52">
        <f>IFERROR(IF('CASE DATA'!D4+7300&lt;'BASIC INFO'!$B$3,'CASE DATA'!K4+'CASE DATA'!L4,0),0)</f>
        <v>0</v>
      </c>
      <c r="D4" s="61">
        <f>IFERROR(
  IF('CASE DATA'!D4 + 7300 &lt; 'BASIC INFO'!$B$3, 'CASE DATA'!M4, 0),
  0
)</f>
        <v>0</v>
      </c>
      <c r="E4" s="55">
        <f>IFERROR(IF('CASE DATA'!D4+7300&gt;'BASIC INFO'!$B$3,SUM('CASE DATA'!K4:T4),0),0)</f>
        <v>0</v>
      </c>
    </row>
    <row r="5" spans="1:7" x14ac:dyDescent="0.25">
      <c r="A5" s="35" t="str">
        <f>IF('CASE DATA'!A5="","",'CASE DATA'!A5)</f>
        <v/>
      </c>
      <c r="B5" s="40" t="str">
        <f>IF('CASE DATA'!A5&lt;&gt;"",IF('CASE DATA'!G5=0, "open charge", 'CASE DATA'!G5),"")</f>
        <v/>
      </c>
      <c r="C5" s="52">
        <f>IFERROR(IF('CASE DATA'!D5+7300&lt;'BASIC INFO'!$B$3,'CASE DATA'!K5+'CASE DATA'!L5,0),0)</f>
        <v>0</v>
      </c>
      <c r="D5" s="61">
        <f>IFERROR(
  IF('CASE DATA'!D5 + 7300 &lt; 'BASIC INFO'!$B$3, 'CASE DATA'!M5, 0),
  0
)</f>
        <v>0</v>
      </c>
      <c r="E5" s="55">
        <f>IFERROR(IF('CASE DATA'!D5+7300&gt;'BASIC INFO'!$B$3,SUM('CASE DATA'!K5:T5),0),0)</f>
        <v>0</v>
      </c>
    </row>
    <row r="6" spans="1:7" x14ac:dyDescent="0.25">
      <c r="A6" s="35" t="str">
        <f>IF('CASE DATA'!A6="","",'CASE DATA'!A6)</f>
        <v/>
      </c>
      <c r="B6" s="40" t="str">
        <f>IF('CASE DATA'!A6&lt;&gt;"",IF('CASE DATA'!G6=0, "open charge", 'CASE DATA'!G6),"")</f>
        <v/>
      </c>
      <c r="C6" s="52">
        <f>IFERROR(IF('CASE DATA'!D6+7300&lt;'BASIC INFO'!$B$3,'CASE DATA'!K6+'CASE DATA'!L6,0),0)</f>
        <v>0</v>
      </c>
      <c r="D6" s="61">
        <f>IFERROR(
  IF('CASE DATA'!D6 + 7300 &lt; 'BASIC INFO'!$B$3, 'CASE DATA'!M6, 0),
  0
)</f>
        <v>0</v>
      </c>
      <c r="E6" s="55">
        <f>IFERROR(IF('CASE DATA'!D6+7300&gt;'BASIC INFO'!$B$3,SUM('CASE DATA'!K6:T6),0),0)</f>
        <v>0</v>
      </c>
    </row>
    <row r="7" spans="1:7" x14ac:dyDescent="0.25">
      <c r="A7" s="35" t="str">
        <f>IF('CASE DATA'!A7="","",'CASE DATA'!A7)</f>
        <v/>
      </c>
      <c r="B7" s="40" t="str">
        <f>IF('CASE DATA'!A7&lt;&gt;"",IF('CASE DATA'!G7=0, "open charge", 'CASE DATA'!G7),"")</f>
        <v/>
      </c>
      <c r="C7" s="52">
        <f>IFERROR(IF('CASE DATA'!D7+7300&lt;'BASIC INFO'!$B$3,'CASE DATA'!K7+'CASE DATA'!L7,0),0)</f>
        <v>0</v>
      </c>
      <c r="D7" s="61">
        <f>IFERROR(
  IF('CASE DATA'!D7 + 7300 &lt; 'BASIC INFO'!$B$3, 'CASE DATA'!M7, 0),
  0
)</f>
        <v>0</v>
      </c>
      <c r="E7" s="55">
        <f>IFERROR(IF('CASE DATA'!D7+7300&gt;'BASIC INFO'!$B$3,SUM('CASE DATA'!K7:T7),0),0)</f>
        <v>0</v>
      </c>
    </row>
    <row r="8" spans="1:7" x14ac:dyDescent="0.25">
      <c r="A8" s="35" t="str">
        <f>IF('CASE DATA'!A8="","",'CASE DATA'!A8)</f>
        <v/>
      </c>
      <c r="B8" s="40" t="str">
        <f>IF('CASE DATA'!A8&lt;&gt;"",IF('CASE DATA'!G8=0, "open charge", 'CASE DATA'!G8),"")</f>
        <v/>
      </c>
      <c r="C8" s="52">
        <f>IFERROR(IF('CASE DATA'!D8+7300&lt;'BASIC INFO'!$B$3,'CASE DATA'!K8+'CASE DATA'!L8,0),0)</f>
        <v>0</v>
      </c>
      <c r="D8" s="61">
        <f>IFERROR(
  IF('CASE DATA'!D8 + 7300 &lt; 'BASIC INFO'!$B$3, 'CASE DATA'!M8, 0),
  0
)</f>
        <v>0</v>
      </c>
      <c r="E8" s="55">
        <f>IFERROR(IF('CASE DATA'!D8+7300&gt;'BASIC INFO'!$B$3,SUM('CASE DATA'!K8:T8),0),0)</f>
        <v>0</v>
      </c>
    </row>
    <row r="9" spans="1:7" x14ac:dyDescent="0.25">
      <c r="A9" s="35" t="str">
        <f>IF('CASE DATA'!A9="","",'CASE DATA'!A9)</f>
        <v/>
      </c>
      <c r="B9" s="40" t="str">
        <f>IF('CASE DATA'!A9&lt;&gt;"",IF('CASE DATA'!G9=0, "open charge", 'CASE DATA'!G9),"")</f>
        <v/>
      </c>
      <c r="C9" s="52">
        <f>IFERROR(IF('CASE DATA'!D9+7300&lt;'BASIC INFO'!$B$3,'CASE DATA'!K9+'CASE DATA'!L9,0),0)</f>
        <v>0</v>
      </c>
      <c r="D9" s="61">
        <f>IFERROR(
  IF('CASE DATA'!D9 + 7300 &lt; 'BASIC INFO'!$B$3, 'CASE DATA'!M9, 0),
  0
)</f>
        <v>0</v>
      </c>
      <c r="E9" s="55">
        <f>IFERROR(IF('CASE DATA'!D9+7300&gt;'BASIC INFO'!$B$3,SUM('CASE DATA'!K9:T9),0),0)</f>
        <v>0</v>
      </c>
    </row>
    <row r="10" spans="1:7" x14ac:dyDescent="0.25">
      <c r="A10" s="35" t="str">
        <f>IF('CASE DATA'!A10="","",'CASE DATA'!A10)</f>
        <v/>
      </c>
      <c r="B10" s="40" t="str">
        <f>IF('CASE DATA'!A10&lt;&gt;"",IF('CASE DATA'!G10=0, "open charge", 'CASE DATA'!G10),"")</f>
        <v/>
      </c>
      <c r="C10" s="52">
        <f>IFERROR(IF('CASE DATA'!D10+7300&lt;'BASIC INFO'!$B$3,'CASE DATA'!K10+'CASE DATA'!L10,0),0)</f>
        <v>0</v>
      </c>
      <c r="D10" s="61">
        <f>IFERROR(
  IF('CASE DATA'!D10 + 7300 &lt; 'BASIC INFO'!$B$3, 'CASE DATA'!M10, 0),
  0
)</f>
        <v>0</v>
      </c>
      <c r="E10" s="55">
        <f>IFERROR(IF('CASE DATA'!D10+7300&gt;'BASIC INFO'!$B$3,SUM('CASE DATA'!K10:T10),0),0)</f>
        <v>0</v>
      </c>
    </row>
    <row r="11" spans="1:7" x14ac:dyDescent="0.25">
      <c r="A11" s="35" t="str">
        <f>IF('CASE DATA'!A11="","",'CASE DATA'!A11)</f>
        <v/>
      </c>
      <c r="B11" s="40" t="str">
        <f>IF('CASE DATA'!A11&lt;&gt;"",IF('CASE DATA'!G11=0, "open charge", 'CASE DATA'!G11),"")</f>
        <v/>
      </c>
      <c r="C11" s="52">
        <f>IFERROR(IF('CASE DATA'!D11+7300&lt;'BASIC INFO'!$B$3,'CASE DATA'!K11+'CASE DATA'!L11,0),0)</f>
        <v>0</v>
      </c>
      <c r="D11" s="61">
        <f>IFERROR(
  IF('CASE DATA'!D11 + 7300 &lt; 'BASIC INFO'!$B$3, 'CASE DATA'!M11, 0),
  0
)</f>
        <v>0</v>
      </c>
      <c r="E11" s="55">
        <f>IFERROR(IF('CASE DATA'!D11+7300&gt;'BASIC INFO'!$B$3,SUM('CASE DATA'!K11:T11),0),0)</f>
        <v>0</v>
      </c>
    </row>
    <row r="12" spans="1:7" x14ac:dyDescent="0.25">
      <c r="A12" s="35" t="str">
        <f>IF('CASE DATA'!A12="","",'CASE DATA'!A12)</f>
        <v/>
      </c>
      <c r="B12" s="40" t="str">
        <f>IF('CASE DATA'!A12&lt;&gt;"",IF('CASE DATA'!G12=0, "open charge", 'CASE DATA'!G12),"")</f>
        <v/>
      </c>
      <c r="C12" s="52">
        <f>IFERROR(IF('CASE DATA'!D12+7300&lt;'BASIC INFO'!$B$3,'CASE DATA'!K12+'CASE DATA'!L12,0),0)</f>
        <v>0</v>
      </c>
      <c r="D12" s="61">
        <f>IFERROR(
  IF('CASE DATA'!D12 + 7300 &lt; 'BASIC INFO'!$B$3, 'CASE DATA'!M12, 0),
  0
)</f>
        <v>0</v>
      </c>
      <c r="E12" s="55">
        <f>IFERROR(IF('CASE DATA'!D12+7300&gt;'BASIC INFO'!$B$3,SUM('CASE DATA'!K12:T12),0),0)</f>
        <v>0</v>
      </c>
    </row>
    <row r="13" spans="1:7" x14ac:dyDescent="0.25">
      <c r="A13" s="35" t="str">
        <f>IF('CASE DATA'!A13="","",'CASE DATA'!A13)</f>
        <v/>
      </c>
      <c r="B13" s="40" t="str">
        <f>IF('CASE DATA'!A13&lt;&gt;"",IF('CASE DATA'!G13=0, "open charge", 'CASE DATA'!G13),"")</f>
        <v/>
      </c>
      <c r="C13" s="52">
        <f>IFERROR(IF('CASE DATA'!D13+7300&lt;'BASIC INFO'!$B$3,'CASE DATA'!K13+'CASE DATA'!L13,0),0)</f>
        <v>0</v>
      </c>
      <c r="D13" s="61">
        <f>IFERROR(
  IF('CASE DATA'!D13 + 7300 &lt; 'BASIC INFO'!$B$3, 'CASE DATA'!M13, 0),
  0
)</f>
        <v>0</v>
      </c>
      <c r="E13" s="55">
        <f>IFERROR(IF('CASE DATA'!D13+7300&gt;'BASIC INFO'!$B$3,SUM('CASE DATA'!K13:T13),0),0)</f>
        <v>0</v>
      </c>
    </row>
    <row r="14" spans="1:7" x14ac:dyDescent="0.25">
      <c r="A14" s="35" t="str">
        <f>IF('CASE DATA'!A14="","",'CASE DATA'!A14)</f>
        <v/>
      </c>
      <c r="B14" s="40" t="str">
        <f>IF('CASE DATA'!A14&lt;&gt;"",IF('CASE DATA'!G14=0, "open charge", 'CASE DATA'!G14),"")</f>
        <v/>
      </c>
      <c r="C14" s="52">
        <f>IFERROR(IF('CASE DATA'!D14+7300&lt;'BASIC INFO'!$B$3,'CASE DATA'!K14+'CASE DATA'!L14,0),0)</f>
        <v>0</v>
      </c>
      <c r="D14" s="61">
        <f>IFERROR(
  IF('CASE DATA'!D14 + 7300 &lt; 'BASIC INFO'!$B$3, 'CASE DATA'!M14, 0),
  0
)</f>
        <v>0</v>
      </c>
      <c r="E14" s="55">
        <f>IFERROR(IF('CASE DATA'!D14+7300&gt;'BASIC INFO'!$B$3,SUM('CASE DATA'!K14:T14),0),0)</f>
        <v>0</v>
      </c>
      <c r="F14" s="10"/>
      <c r="G14" s="10"/>
    </row>
    <row r="15" spans="1:7" x14ac:dyDescent="0.25">
      <c r="A15" s="35" t="str">
        <f>IF('CASE DATA'!A15="","",'CASE DATA'!A15)</f>
        <v/>
      </c>
      <c r="B15" s="40" t="str">
        <f>IF('CASE DATA'!A15&lt;&gt;"",IF('CASE DATA'!G15=0, "open charge", 'CASE DATA'!G15),"")</f>
        <v/>
      </c>
      <c r="C15" s="52">
        <f>IFERROR(IF('CASE DATA'!D15+7300&lt;'BASIC INFO'!$B$3,'CASE DATA'!K15+'CASE DATA'!L15,0),0)</f>
        <v>0</v>
      </c>
      <c r="D15" s="61">
        <f>IFERROR(
  IF('CASE DATA'!D15 + 7300 &lt; 'BASIC INFO'!$B$3, 'CASE DATA'!M15, 0),
  0
)</f>
        <v>0</v>
      </c>
      <c r="E15" s="55">
        <f>IFERROR(IF('CASE DATA'!D15+7300&gt;'BASIC INFO'!$B$3,SUM('CASE DATA'!K15:T15),0),0)</f>
        <v>0</v>
      </c>
    </row>
    <row r="16" spans="1:7" x14ac:dyDescent="0.25">
      <c r="A16" s="35" t="str">
        <f>IF('CASE DATA'!A16="","",'CASE DATA'!A16)</f>
        <v/>
      </c>
      <c r="B16" s="40" t="str">
        <f>IF('CASE DATA'!A16&lt;&gt;"",IF('CASE DATA'!G16=0, "open charge", 'CASE DATA'!G16),"")</f>
        <v/>
      </c>
      <c r="C16" s="52">
        <f>IFERROR(IF('CASE DATA'!D16+7300&lt;'BASIC INFO'!$B$3,'CASE DATA'!K16+'CASE DATA'!L16,0),0)</f>
        <v>0</v>
      </c>
      <c r="D16" s="61">
        <f>IFERROR(
  IF('CASE DATA'!D16 + 7300 &lt; 'BASIC INFO'!$B$3, 'CASE DATA'!M16, 0),
  0
)</f>
        <v>0</v>
      </c>
      <c r="E16" s="55">
        <f>IFERROR(IF('CASE DATA'!D16+7300&gt;'BASIC INFO'!$B$3,SUM('CASE DATA'!K16:T16),0),0)</f>
        <v>0</v>
      </c>
    </row>
    <row r="17" spans="1:5" x14ac:dyDescent="0.25">
      <c r="A17" s="35" t="str">
        <f>IF('CASE DATA'!A17="","",'CASE DATA'!A17)</f>
        <v/>
      </c>
      <c r="B17" s="40" t="str">
        <f>IF('CASE DATA'!A17&lt;&gt;"",IF('CASE DATA'!G17=0, "open charge", 'CASE DATA'!G17),"")</f>
        <v/>
      </c>
      <c r="C17" s="52">
        <f>IFERROR(IF('CASE DATA'!D17+7300&lt;'BASIC INFO'!$B$3,'CASE DATA'!K17+'CASE DATA'!L17,0),0)</f>
        <v>0</v>
      </c>
      <c r="D17" s="61">
        <f>IFERROR(
  IF('CASE DATA'!D17 + 7300 &lt; 'BASIC INFO'!$B$3, 'CASE DATA'!M17, 0),
  0
)</f>
        <v>0</v>
      </c>
      <c r="E17" s="55">
        <f>IFERROR(IF('CASE DATA'!D17+7300&gt;'BASIC INFO'!$B$3,SUM('CASE DATA'!K17:T17),0),0)</f>
        <v>0</v>
      </c>
    </row>
    <row r="18" spans="1:5" x14ac:dyDescent="0.25">
      <c r="A18" s="35" t="str">
        <f>IF('CASE DATA'!A18="","",'CASE DATA'!A18)</f>
        <v/>
      </c>
      <c r="B18" s="40" t="str">
        <f>IF('CASE DATA'!A18&lt;&gt;"",IF('CASE DATA'!G18=0, "open charge", 'CASE DATA'!G18),"")</f>
        <v/>
      </c>
      <c r="C18" s="52">
        <f>IFERROR(IF('CASE DATA'!D18+7300&lt;'BASIC INFO'!$B$3,'CASE DATA'!K18+'CASE DATA'!L18,0),0)</f>
        <v>0</v>
      </c>
      <c r="D18" s="61">
        <f>IFERROR(
  IF('CASE DATA'!D18 + 7300 &lt; 'BASIC INFO'!$B$3, 'CASE DATA'!M18, 0),
  0
)</f>
        <v>0</v>
      </c>
      <c r="E18" s="55">
        <f>IFERROR(IF('CASE DATA'!D18+7300&gt;'BASIC INFO'!$B$3,SUM('CASE DATA'!K18:T18),0),0)</f>
        <v>0</v>
      </c>
    </row>
    <row r="19" spans="1:5" x14ac:dyDescent="0.25">
      <c r="A19" s="35" t="str">
        <f>IF('CASE DATA'!A19="","",'CASE DATA'!A19)</f>
        <v/>
      </c>
      <c r="B19" s="40" t="str">
        <f>IF('CASE DATA'!A19&lt;&gt;"",IF('CASE DATA'!G19=0, "open charge", 'CASE DATA'!G19),"")</f>
        <v/>
      </c>
      <c r="C19" s="52">
        <f>IFERROR(IF('CASE DATA'!D19+7300&lt;'BASIC INFO'!$B$3,'CASE DATA'!K19+'CASE DATA'!L19,0),0)</f>
        <v>0</v>
      </c>
      <c r="D19" s="61">
        <f>IFERROR(
  IF('CASE DATA'!D19 + 7300 &lt; 'BASIC INFO'!$B$3, 'CASE DATA'!M19, 0),
  0
)</f>
        <v>0</v>
      </c>
      <c r="E19" s="55">
        <f>IFERROR(IF('CASE DATA'!D19+7300&gt;'BASIC INFO'!$B$3,SUM('CASE DATA'!K19:T19),0),0)</f>
        <v>0</v>
      </c>
    </row>
    <row r="20" spans="1:5" x14ac:dyDescent="0.25">
      <c r="A20" s="35" t="str">
        <f>IF('CASE DATA'!A20="","",'CASE DATA'!A20)</f>
        <v/>
      </c>
      <c r="B20" s="40" t="str">
        <f>IF('CASE DATA'!A20&lt;&gt;"",IF('CASE DATA'!G20=0, "open charge", 'CASE DATA'!G20),"")</f>
        <v/>
      </c>
      <c r="C20" s="52">
        <f>IFERROR(IF('CASE DATA'!D20+7300&lt;'BASIC INFO'!$B$3,'CASE DATA'!K20+'CASE DATA'!L20,0),0)</f>
        <v>0</v>
      </c>
      <c r="D20" s="61">
        <f>IFERROR(
  IF('CASE DATA'!D20 + 7300 &lt; 'BASIC INFO'!$B$3, 'CASE DATA'!M20, 0),
  0
)</f>
        <v>0</v>
      </c>
      <c r="E20" s="55">
        <f>IFERROR(IF('CASE DATA'!D20+7300&gt;'BASIC INFO'!$B$3,SUM('CASE DATA'!K20:T20),0),0)</f>
        <v>0</v>
      </c>
    </row>
    <row r="21" spans="1:5" x14ac:dyDescent="0.25">
      <c r="A21" s="35" t="str">
        <f>IF('CASE DATA'!A21="","",'CASE DATA'!A21)</f>
        <v/>
      </c>
      <c r="B21" s="40" t="str">
        <f>IF('CASE DATA'!A21&lt;&gt;"",IF('CASE DATA'!G21=0, "open charge", 'CASE DATA'!G21),"")</f>
        <v/>
      </c>
      <c r="C21" s="52">
        <f>IFERROR(IF('CASE DATA'!D21+7300&lt;'BASIC INFO'!$B$3,'CASE DATA'!K21+'CASE DATA'!L21,0),0)</f>
        <v>0</v>
      </c>
      <c r="D21" s="61">
        <f>IFERROR(
  IF('CASE DATA'!D21 + 7300 &lt; 'BASIC INFO'!$B$3, 'CASE DATA'!M21, 0),
  0
)</f>
        <v>0</v>
      </c>
      <c r="E21" s="55">
        <f>IFERROR(IF('CASE DATA'!D21+7300&gt;'BASIC INFO'!$B$3,SUM('CASE DATA'!K21:T21),0),0)</f>
        <v>0</v>
      </c>
    </row>
    <row r="22" spans="1:5" x14ac:dyDescent="0.25">
      <c r="A22" s="35" t="str">
        <f>IF('CASE DATA'!A22="","",'CASE DATA'!A22)</f>
        <v/>
      </c>
      <c r="B22" s="40" t="str">
        <f>IF('CASE DATA'!A22&lt;&gt;"",IF('CASE DATA'!G22=0, "open charge", 'CASE DATA'!G22),"")</f>
        <v/>
      </c>
      <c r="C22" s="52">
        <f>IFERROR(IF('CASE DATA'!D22+7300&lt;'BASIC INFO'!$B$3,'CASE DATA'!K22+'CASE DATA'!L22,0),0)</f>
        <v>0</v>
      </c>
      <c r="D22" s="61">
        <f>IFERROR(
  IF('CASE DATA'!D22 + 7300 &lt; 'BASIC INFO'!$B$3, 'CASE DATA'!M22, 0),
  0
)</f>
        <v>0</v>
      </c>
      <c r="E22" s="55">
        <f>IFERROR(IF('CASE DATA'!D22+7300&gt;'BASIC INFO'!$B$3,SUM('CASE DATA'!K22:T22),0),0)</f>
        <v>0</v>
      </c>
    </row>
    <row r="23" spans="1:5" x14ac:dyDescent="0.25">
      <c r="A23" s="35" t="str">
        <f>IF('CASE DATA'!A23="","",'CASE DATA'!A23)</f>
        <v/>
      </c>
      <c r="B23" s="40" t="str">
        <f>IF('CASE DATA'!A23&lt;&gt;"",IF('CASE DATA'!G23=0, "open charge", 'CASE DATA'!G23),"")</f>
        <v/>
      </c>
      <c r="C23" s="52">
        <f>IFERROR(IF('CASE DATA'!D23+7300&lt;'BASIC INFO'!$B$3,'CASE DATA'!K23+'CASE DATA'!L23,0),0)</f>
        <v>0</v>
      </c>
      <c r="D23" s="61">
        <f>IFERROR(
  IF('CASE DATA'!D23 + 7300 &lt; 'BASIC INFO'!$B$3, 'CASE DATA'!M23, 0),
  0
)</f>
        <v>0</v>
      </c>
      <c r="E23" s="55">
        <f>IFERROR(IF('CASE DATA'!D23+7300&gt;'BASIC INFO'!$B$3,SUM('CASE DATA'!K23:T23),0),0)</f>
        <v>0</v>
      </c>
    </row>
    <row r="24" spans="1:5" x14ac:dyDescent="0.25">
      <c r="A24" s="35" t="str">
        <f>IF('CASE DATA'!A24="","",'CASE DATA'!A24)</f>
        <v/>
      </c>
      <c r="B24" s="40" t="str">
        <f>IF('CASE DATA'!A24&lt;&gt;"",IF('CASE DATA'!G24=0, "open charge", 'CASE DATA'!G24),"")</f>
        <v/>
      </c>
      <c r="C24" s="52">
        <f>IFERROR(IF('CASE DATA'!D24+7300&lt;'BASIC INFO'!$B$3,'CASE DATA'!K24+'CASE DATA'!L24,0),0)</f>
        <v>0</v>
      </c>
      <c r="D24" s="61">
        <f>IFERROR(
  IF('CASE DATA'!D24 + 7300 &lt; 'BASIC INFO'!$B$3, 'CASE DATA'!M24, 0),
  0
)</f>
        <v>0</v>
      </c>
      <c r="E24" s="55">
        <f>IFERROR(IF('CASE DATA'!D24+7300&gt;'BASIC INFO'!$B$3,SUM('CASE DATA'!K24:T24),0),0)</f>
        <v>0</v>
      </c>
    </row>
    <row r="25" spans="1:5" x14ac:dyDescent="0.25">
      <c r="A25" s="35" t="str">
        <f>IF('CASE DATA'!A25="","",'CASE DATA'!A25)</f>
        <v/>
      </c>
      <c r="B25" s="40" t="str">
        <f>IF('CASE DATA'!A25&lt;&gt;"",IF('CASE DATA'!G25=0, "open charge", 'CASE DATA'!G25),"")</f>
        <v/>
      </c>
      <c r="C25" s="52">
        <f>IFERROR(IF('CASE DATA'!D25+7300&lt;'BASIC INFO'!$B$3,'CASE DATA'!K25+'CASE DATA'!L25,0),0)</f>
        <v>0</v>
      </c>
      <c r="D25" s="61">
        <f>IFERROR(
  IF('CASE DATA'!D25 + 7300 &lt; 'BASIC INFO'!$B$3, 'CASE DATA'!M25, 0),
  0
)</f>
        <v>0</v>
      </c>
      <c r="E25" s="55">
        <f>IFERROR(IF('CASE DATA'!D25+7300&gt;'BASIC INFO'!$B$3,SUM('CASE DATA'!K25:T25),0),0)</f>
        <v>0</v>
      </c>
    </row>
    <row r="26" spans="1:5" x14ac:dyDescent="0.25">
      <c r="A26" s="35" t="str">
        <f>IF('CASE DATA'!A26="","",'CASE DATA'!A26)</f>
        <v/>
      </c>
      <c r="B26" s="40" t="str">
        <f>IF('CASE DATA'!A26&lt;&gt;"",IF('CASE DATA'!G26=0, "open charge", 'CASE DATA'!G26),"")</f>
        <v/>
      </c>
      <c r="C26" s="52">
        <f>IFERROR(IF('CASE DATA'!D26+7300&lt;'BASIC INFO'!$B$3,'CASE DATA'!K26+'CASE DATA'!L26,0),0)</f>
        <v>0</v>
      </c>
      <c r="D26" s="61">
        <f>IFERROR(
  IF('CASE DATA'!D26 + 7300 &lt; 'BASIC INFO'!$B$3, 'CASE DATA'!M26, 0),
  0
)</f>
        <v>0</v>
      </c>
      <c r="E26" s="55">
        <f>IFERROR(IF('CASE DATA'!D26+7300&gt;'BASIC INFO'!$B$3,SUM('CASE DATA'!K26:T26),0),0)</f>
        <v>0</v>
      </c>
    </row>
    <row r="27" spans="1:5" x14ac:dyDescent="0.25">
      <c r="A27" s="35" t="str">
        <f>IF('CASE DATA'!A27="","",'CASE DATA'!A27)</f>
        <v/>
      </c>
      <c r="B27" s="40" t="str">
        <f>IF('CASE DATA'!A27&lt;&gt;"",IF('CASE DATA'!G27=0, "open charge", 'CASE DATA'!G27),"")</f>
        <v/>
      </c>
      <c r="C27" s="52">
        <f>IFERROR(IF('CASE DATA'!D27+7300&lt;'BASIC INFO'!$B$3,'CASE DATA'!K27+'CASE DATA'!L27,0),0)</f>
        <v>0</v>
      </c>
      <c r="D27" s="61">
        <f>IFERROR(
  IF('CASE DATA'!D27 + 7300 &lt; 'BASIC INFO'!$B$3, 'CASE DATA'!M27, 0),
  0
)</f>
        <v>0</v>
      </c>
      <c r="E27" s="55">
        <f>IFERROR(IF('CASE DATA'!D27+7300&gt;'BASIC INFO'!$B$3,SUM('CASE DATA'!K27:T27),0),0)</f>
        <v>0</v>
      </c>
    </row>
    <row r="28" spans="1:5" x14ac:dyDescent="0.25">
      <c r="A28" s="35" t="str">
        <f>IF('CASE DATA'!A28="","",'CASE DATA'!A28)</f>
        <v/>
      </c>
      <c r="B28" s="40" t="str">
        <f>IF('CASE DATA'!A28&lt;&gt;"",IF('CASE DATA'!G28=0, "open charge", 'CASE DATA'!G28),"")</f>
        <v/>
      </c>
      <c r="C28" s="52">
        <f>IFERROR(IF('CASE DATA'!D28+7300&lt;'BASIC INFO'!$B$3,'CASE DATA'!K28+'CASE DATA'!L28,0),0)</f>
        <v>0</v>
      </c>
      <c r="D28" s="61">
        <f>IFERROR(
  IF('CASE DATA'!D28 + 7300 &lt; 'BASIC INFO'!$B$3, 'CASE DATA'!M28, 0),
  0
)</f>
        <v>0</v>
      </c>
      <c r="E28" s="55">
        <f>IFERROR(IF('CASE DATA'!D28+7300&gt;'BASIC INFO'!$B$3,SUM('CASE DATA'!K28:T28),0),0)</f>
        <v>0</v>
      </c>
    </row>
    <row r="29" spans="1:5" x14ac:dyDescent="0.25">
      <c r="A29" s="35" t="str">
        <f>IF('CASE DATA'!A29="","",'CASE DATA'!A29)</f>
        <v/>
      </c>
      <c r="B29" s="40" t="str">
        <f>IF('CASE DATA'!A29&lt;&gt;"",IF('CASE DATA'!G29=0, "open charge", 'CASE DATA'!G29),"")</f>
        <v/>
      </c>
      <c r="C29" s="52">
        <f>IFERROR(IF('CASE DATA'!D29+7300&lt;'BASIC INFO'!$B$3,'CASE DATA'!K29+'CASE DATA'!L29,0),0)</f>
        <v>0</v>
      </c>
      <c r="D29" s="61">
        <f>IFERROR(
  IF('CASE DATA'!D29 + 7300 &lt; 'BASIC INFO'!$B$3, 'CASE DATA'!M29, 0),
  0
)</f>
        <v>0</v>
      </c>
      <c r="E29" s="55">
        <f>IFERROR(IF('CASE DATA'!D29+7300&gt;'BASIC INFO'!$B$3,SUM('CASE DATA'!K29:T29),0),0)</f>
        <v>0</v>
      </c>
    </row>
    <row r="30" spans="1:5" x14ac:dyDescent="0.25">
      <c r="A30" s="35" t="str">
        <f>IF('CASE DATA'!A30="","",'CASE DATA'!A30)</f>
        <v/>
      </c>
      <c r="B30" s="40" t="str">
        <f>IF('CASE DATA'!A30&lt;&gt;"",IF('CASE DATA'!G30=0, "open charge", 'CASE DATA'!G30),"")</f>
        <v/>
      </c>
      <c r="C30" s="52">
        <f>IFERROR(IF('CASE DATA'!D30+7300&lt;'BASIC INFO'!$B$3,'CASE DATA'!K30+'CASE DATA'!L30,0),0)</f>
        <v>0</v>
      </c>
      <c r="D30" s="61">
        <f>IFERROR(
  IF('CASE DATA'!D30 + 7300 &lt; 'BASIC INFO'!$B$3, 'CASE DATA'!M30, 0),
  0
)</f>
        <v>0</v>
      </c>
      <c r="E30" s="55">
        <f>IFERROR(IF('CASE DATA'!D30+7300&gt;'BASIC INFO'!$B$3,SUM('CASE DATA'!K30:T30),0),0)</f>
        <v>0</v>
      </c>
    </row>
    <row r="31" spans="1:5" x14ac:dyDescent="0.25">
      <c r="A31" s="35" t="str">
        <f>IF('CASE DATA'!A31="","",'CASE DATA'!A31)</f>
        <v/>
      </c>
      <c r="B31" s="40" t="str">
        <f>IF('CASE DATA'!A31&lt;&gt;"",IF('CASE DATA'!G31=0, "open charge", 'CASE DATA'!G31),"")</f>
        <v/>
      </c>
      <c r="C31" s="52">
        <f>IFERROR(IF('CASE DATA'!D31+7300&lt;'BASIC INFO'!$B$3,'CASE DATA'!K31+'CASE DATA'!L31,0),0)</f>
        <v>0</v>
      </c>
      <c r="D31" s="61">
        <f>IFERROR(
  IF('CASE DATA'!D31 + 7300 &lt; 'BASIC INFO'!$B$3, 'CASE DATA'!M31, 0),
  0
)</f>
        <v>0</v>
      </c>
      <c r="E31" s="55">
        <f>IFERROR(IF('CASE DATA'!D31+7300&gt;'BASIC INFO'!$B$3,SUM('CASE DATA'!K31:T31),0),0)</f>
        <v>0</v>
      </c>
    </row>
    <row r="32" spans="1:5" x14ac:dyDescent="0.25">
      <c r="A32" s="35" t="str">
        <f>IF('CASE DATA'!A32="","",'CASE DATA'!A32)</f>
        <v/>
      </c>
      <c r="B32" s="40" t="str">
        <f>IF('CASE DATA'!A32&lt;&gt;"",IF('CASE DATA'!G32=0, "open charge", 'CASE DATA'!G32),"")</f>
        <v/>
      </c>
      <c r="C32" s="52">
        <f>IFERROR(IF('CASE DATA'!D32+7300&lt;'BASIC INFO'!$B$3,'CASE DATA'!K32+'CASE DATA'!L32,0),0)</f>
        <v>0</v>
      </c>
      <c r="D32" s="61">
        <f>IFERROR(
  IF('CASE DATA'!D32 + 7300 &lt; 'BASIC INFO'!$B$3, 'CASE DATA'!M32, 0),
  0
)</f>
        <v>0</v>
      </c>
      <c r="E32" s="55">
        <f>IFERROR(IF('CASE DATA'!D32+7300&gt;'BASIC INFO'!$B$3,SUM('CASE DATA'!K32:T32),0),0)</f>
        <v>0</v>
      </c>
    </row>
    <row r="33" spans="1:6" x14ac:dyDescent="0.25">
      <c r="A33" s="35" t="str">
        <f>IF('CASE DATA'!A33="","",'CASE DATA'!A33)</f>
        <v/>
      </c>
      <c r="B33" s="40" t="str">
        <f>IF('CASE DATA'!A33&lt;&gt;"",IF('CASE DATA'!G33=0, "open charge", 'CASE DATA'!G33),"")</f>
        <v/>
      </c>
      <c r="C33" s="52">
        <f>IFERROR(IF('CASE DATA'!D33+7300&lt;'BASIC INFO'!$B$3,'CASE DATA'!K33+'CASE DATA'!L33,0),0)</f>
        <v>0</v>
      </c>
      <c r="D33" s="61">
        <f>IFERROR(
  IF('CASE DATA'!D33 + 7300 &lt; 'BASIC INFO'!$B$3, 'CASE DATA'!M33, 0),
  0
)</f>
        <v>0</v>
      </c>
      <c r="E33" s="55">
        <f>IFERROR(IF('CASE DATA'!D33+7300&gt;'BASIC INFO'!$B$3,SUM('CASE DATA'!K33:T33),0),0)</f>
        <v>0</v>
      </c>
    </row>
    <row r="34" spans="1:6" x14ac:dyDescent="0.25">
      <c r="A34" s="35" t="str">
        <f>IF('CASE DATA'!A34="","",'CASE DATA'!A34)</f>
        <v/>
      </c>
      <c r="B34" s="40" t="str">
        <f>IF('CASE DATA'!A34&lt;&gt;"",IF('CASE DATA'!G34=0, "open charge", 'CASE DATA'!G34),"")</f>
        <v/>
      </c>
      <c r="C34" s="52">
        <f>IFERROR(IF('CASE DATA'!D34+7300&lt;'BASIC INFO'!$B$3,'CASE DATA'!K34+'CASE DATA'!L34,0),0)</f>
        <v>0</v>
      </c>
      <c r="D34" s="61">
        <f>IFERROR(
  IF('CASE DATA'!D34 + 7300 &lt; 'BASIC INFO'!$B$3, 'CASE DATA'!M34, 0),
  0
)</f>
        <v>0</v>
      </c>
      <c r="E34" s="55">
        <f>IFERROR(IF('CASE DATA'!D34+7300&gt;'BASIC INFO'!$B$3,SUM('CASE DATA'!K34:T34),0),0)</f>
        <v>0</v>
      </c>
    </row>
    <row r="35" spans="1:6" x14ac:dyDescent="0.25">
      <c r="A35" s="35" t="str">
        <f>IF('CASE DATA'!A35="","",'CASE DATA'!A35)</f>
        <v/>
      </c>
      <c r="B35" s="40" t="str">
        <f>IF('CASE DATA'!A35&lt;&gt;"",IF('CASE DATA'!G35=0, "open charge", 'CASE DATA'!G35),"")</f>
        <v/>
      </c>
      <c r="C35" s="52">
        <f>IFERROR(IF('CASE DATA'!D35+7300&lt;'BASIC INFO'!$B$3,'CASE DATA'!K35+'CASE DATA'!L35,0),0)</f>
        <v>0</v>
      </c>
      <c r="D35" s="61">
        <f>IFERROR(
  IF('CASE DATA'!D35 + 7300 &lt; 'BASIC INFO'!$B$3, 'CASE DATA'!M35, 0),
  0
)</f>
        <v>0</v>
      </c>
      <c r="E35" s="55">
        <f>IFERROR(IF('CASE DATA'!D35+7300&gt;'BASIC INFO'!$B$3,SUM('CASE DATA'!K35:T35),0),0)</f>
        <v>0</v>
      </c>
    </row>
    <row r="36" spans="1:6" x14ac:dyDescent="0.25">
      <c r="A36" s="35" t="str">
        <f>IF('CASE DATA'!A36="","",'CASE DATA'!A36)</f>
        <v/>
      </c>
      <c r="B36" s="40" t="str">
        <f>IF('CASE DATA'!A36&lt;&gt;"",IF('CASE DATA'!G36=0, "open charge", 'CASE DATA'!G36),"")</f>
        <v/>
      </c>
      <c r="C36" s="52">
        <f>IFERROR(IF('CASE DATA'!D36+7300&lt;'BASIC INFO'!$B$3,'CASE DATA'!K36+'CASE DATA'!L36,0),0)</f>
        <v>0</v>
      </c>
      <c r="D36" s="61">
        <f>IFERROR(
  IF('CASE DATA'!D36 + 7300 &lt; 'BASIC INFO'!$B$3, 'CASE DATA'!M36, 0),
  0
)</f>
        <v>0</v>
      </c>
      <c r="E36" s="55">
        <f>IFERROR(IF('CASE DATA'!D36+7300&gt;'BASIC INFO'!$B$3,SUM('CASE DATA'!K36:T36),0),0)</f>
        <v>0</v>
      </c>
    </row>
    <row r="37" spans="1:6" x14ac:dyDescent="0.25">
      <c r="A37" s="35" t="str">
        <f>IF('CASE DATA'!A37="","",'CASE DATA'!A37)</f>
        <v/>
      </c>
      <c r="B37" s="40" t="str">
        <f>IF('CASE DATA'!A37&lt;&gt;"",IF('CASE DATA'!G37=0, "open charge", 'CASE DATA'!G37),"")</f>
        <v/>
      </c>
      <c r="C37" s="52">
        <f>IFERROR(IF('CASE DATA'!D37+7300&lt;'BASIC INFO'!$B$3,'CASE DATA'!K37+'CASE DATA'!L37,0),0)</f>
        <v>0</v>
      </c>
      <c r="D37" s="61">
        <f>IFERROR(
  IF('CASE DATA'!D37 + 7300 &lt; 'BASIC INFO'!$B$3, 'CASE DATA'!M37, 0),
  0
)</f>
        <v>0</v>
      </c>
      <c r="E37" s="55">
        <f>IFERROR(IF('CASE DATA'!D37+7300&gt;'BASIC INFO'!$B$3,SUM('CASE DATA'!K37:T37),0),0)</f>
        <v>0</v>
      </c>
    </row>
    <row r="38" spans="1:6" x14ac:dyDescent="0.25">
      <c r="A38" s="35" t="str">
        <f>IF('CASE DATA'!A38="","",'CASE DATA'!A38)</f>
        <v/>
      </c>
      <c r="B38" s="40" t="str">
        <f>IF('CASE DATA'!A38&lt;&gt;"",IF('CASE DATA'!G38=0, "open charge", 'CASE DATA'!G38),"")</f>
        <v/>
      </c>
      <c r="C38" s="52">
        <f>IFERROR(IF('CASE DATA'!D38+7300&lt;'BASIC INFO'!$B$3,'CASE DATA'!K38+'CASE DATA'!L38,0),0)</f>
        <v>0</v>
      </c>
      <c r="D38" s="61">
        <f>IFERROR(
  IF('CASE DATA'!D38 + 7300 &lt; 'BASIC INFO'!$B$3, 'CASE DATA'!M38, 0),
  0
)</f>
        <v>0</v>
      </c>
      <c r="E38" s="55">
        <f>IFERROR(IF('CASE DATA'!D38+7300&gt;'BASIC INFO'!$B$3,SUM('CASE DATA'!K38:T38),0),0)</f>
        <v>0</v>
      </c>
    </row>
    <row r="39" spans="1:6" x14ac:dyDescent="0.25">
      <c r="A39" s="35" t="str">
        <f>IF('CASE DATA'!A39="","",'CASE DATA'!A39)</f>
        <v/>
      </c>
      <c r="B39" s="40" t="str">
        <f>IF('CASE DATA'!A39&lt;&gt;"",IF('CASE DATA'!G39=0, "open charge", 'CASE DATA'!G39),"")</f>
        <v/>
      </c>
      <c r="C39" s="52">
        <f>IFERROR(IF('CASE DATA'!D39+7300&lt;'BASIC INFO'!$B$3,'CASE DATA'!K39+'CASE DATA'!L39,0),0)</f>
        <v>0</v>
      </c>
      <c r="D39" s="61">
        <f>IFERROR(
  IF('CASE DATA'!D39 + 7300 &lt; 'BASIC INFO'!$B$3, 'CASE DATA'!M39, 0),
  0
)</f>
        <v>0</v>
      </c>
      <c r="E39" s="55">
        <f>IFERROR(IF('CASE DATA'!D39+7300&gt;'BASIC INFO'!$B$3,SUM('CASE DATA'!K39:T39),0),0)</f>
        <v>0</v>
      </c>
    </row>
    <row r="40" spans="1:6" x14ac:dyDescent="0.25">
      <c r="A40" s="35" t="str">
        <f>IF('CASE DATA'!A40="","",'CASE DATA'!A40)</f>
        <v/>
      </c>
      <c r="B40" s="40" t="str">
        <f>IF('CASE DATA'!A40&lt;&gt;"",IF('CASE DATA'!G40=0, "open charge", 'CASE DATA'!G40),"")</f>
        <v/>
      </c>
      <c r="C40" s="52">
        <f>IFERROR(IF('CASE DATA'!D40+7300&lt;'BASIC INFO'!$B$3,'CASE DATA'!K40+'CASE DATA'!L40,0),0)</f>
        <v>0</v>
      </c>
      <c r="D40" s="61">
        <f>IFERROR(
  IF('CASE DATA'!D40 + 7300 &lt; 'BASIC INFO'!$B$3, 'CASE DATA'!M40, 0),
  0
)</f>
        <v>0</v>
      </c>
      <c r="E40" s="55">
        <f>IFERROR(IF('CASE DATA'!D40+7300&gt;'BASIC INFO'!$B$3,SUM('CASE DATA'!K40:T40),0),0)</f>
        <v>0</v>
      </c>
    </row>
    <row r="41" spans="1:6" x14ac:dyDescent="0.25">
      <c r="A41" s="35" t="str">
        <f>IF('CASE DATA'!A41="","",'CASE DATA'!A41)</f>
        <v/>
      </c>
      <c r="B41" s="40" t="str">
        <f>IF('CASE DATA'!A41&lt;&gt;"",IF('CASE DATA'!G41=0, "open charge", 'CASE DATA'!G41),"")</f>
        <v/>
      </c>
      <c r="C41" s="52">
        <f>IFERROR(IF('CASE DATA'!D41+7300&lt;'BASIC INFO'!$B$3,'CASE DATA'!K41+'CASE DATA'!L41,0),0)</f>
        <v>0</v>
      </c>
      <c r="D41" s="61">
        <f>IFERROR(
  IF('CASE DATA'!D41 + 7300 &lt; 'BASIC INFO'!$B$3, 'CASE DATA'!M41, 0),
  0
)</f>
        <v>0</v>
      </c>
      <c r="E41" s="55">
        <f>IFERROR(IF('CASE DATA'!D41+7300&gt;'BASIC INFO'!$B$3,SUM('CASE DATA'!K41:T41),0),0)</f>
        <v>0</v>
      </c>
    </row>
    <row r="42" spans="1:6" x14ac:dyDescent="0.25">
      <c r="A42" s="35" t="str">
        <f>IF('CASE DATA'!A42="","",'CASE DATA'!A42)</f>
        <v/>
      </c>
      <c r="B42" s="40" t="str">
        <f>IF('CASE DATA'!A42&lt;&gt;"",IF('CASE DATA'!G42=0, "open charge", 'CASE DATA'!G42),"")</f>
        <v/>
      </c>
      <c r="C42" s="52">
        <f>IFERROR(IF('CASE DATA'!D42+7300&lt;'BASIC INFO'!$B$3,'CASE DATA'!K42+'CASE DATA'!L42,0),0)</f>
        <v>0</v>
      </c>
      <c r="D42" s="61">
        <f>IFERROR(
  IF('CASE DATA'!D42 + 7300 &lt; 'BASIC INFO'!$B$3, 'CASE DATA'!M42, 0),
  0
)</f>
        <v>0</v>
      </c>
      <c r="E42" s="55">
        <f>IFERROR(IF('CASE DATA'!D42+7300&gt;'BASIC INFO'!$B$3,SUM('CASE DATA'!K42:T42),0),0)</f>
        <v>0</v>
      </c>
    </row>
    <row r="43" spans="1:6" x14ac:dyDescent="0.25">
      <c r="A43" s="35" t="str">
        <f>IF('CASE DATA'!A43="","",'CASE DATA'!A43)</f>
        <v/>
      </c>
      <c r="B43" s="40" t="str">
        <f>IF('CASE DATA'!A43&lt;&gt;"",IF('CASE DATA'!G43=0, "open charge", 'CASE DATA'!G43),"")</f>
        <v/>
      </c>
      <c r="C43" s="52">
        <f>IFERROR(IF('CASE DATA'!D43+7300&lt;'BASIC INFO'!$B$3,'CASE DATA'!K43+'CASE DATA'!L43,0),0)</f>
        <v>0</v>
      </c>
      <c r="D43" s="61">
        <f>IFERROR(
  IF('CASE DATA'!D43 + 7300 &lt; 'BASIC INFO'!$B$3, 'CASE DATA'!M43, 0),
  0
)</f>
        <v>0</v>
      </c>
      <c r="E43" s="55">
        <f>IFERROR(IF('CASE DATA'!D43+7300&gt;'BASIC INFO'!$B$3,SUM('CASE DATA'!K43:T43),0),0)</f>
        <v>0</v>
      </c>
    </row>
    <row r="44" spans="1:6" x14ac:dyDescent="0.25">
      <c r="A44" s="35" t="str">
        <f>IF('CASE DATA'!A44="","",'CASE DATA'!A44)</f>
        <v/>
      </c>
      <c r="B44" s="40" t="str">
        <f>IF('CASE DATA'!A44&lt;&gt;"",IF('CASE DATA'!G44=0, "open charge", 'CASE DATA'!G44),"")</f>
        <v/>
      </c>
      <c r="C44" s="52">
        <f>IFERROR(IF('CASE DATA'!D44+7300&lt;'BASIC INFO'!$B$3,'CASE DATA'!K44+'CASE DATA'!L44,0),0)</f>
        <v>0</v>
      </c>
      <c r="D44" s="61">
        <f>IFERROR(
  IF('CASE DATA'!D44 + 7300 &lt; 'BASIC INFO'!$B$3, 'CASE DATA'!M44, 0),
  0
)</f>
        <v>0</v>
      </c>
      <c r="E44" s="55">
        <f>IFERROR(IF('CASE DATA'!D44+7300&gt;'BASIC INFO'!$B$3,SUM('CASE DATA'!K44:T44),0),0)</f>
        <v>0</v>
      </c>
    </row>
    <row r="45" spans="1:6" x14ac:dyDescent="0.25">
      <c r="A45" s="35" t="str">
        <f>IF('CASE DATA'!A45="","",'CASE DATA'!A45)</f>
        <v/>
      </c>
      <c r="B45" s="40" t="str">
        <f>IF('CASE DATA'!A45&lt;&gt;"",IF('CASE DATA'!G45=0, "open charge", 'CASE DATA'!G45),"")</f>
        <v/>
      </c>
      <c r="C45" s="52">
        <f>IFERROR(IF('CASE DATA'!D45+7300&lt;'BASIC INFO'!$B$3,'CASE DATA'!K45+'CASE DATA'!L45,0),0)</f>
        <v>0</v>
      </c>
      <c r="D45" s="61">
        <f>IFERROR(
  IF('CASE DATA'!D45 + 7300 &lt; 'BASIC INFO'!$B$3, 'CASE DATA'!M45, 0),
  0
)</f>
        <v>0</v>
      </c>
      <c r="E45" s="55">
        <f>IFERROR(IF('CASE DATA'!D45+7300&gt;'BASIC INFO'!$B$3,SUM('CASE DATA'!K45:T45),0),0)</f>
        <v>0</v>
      </c>
      <c r="F45" s="17"/>
    </row>
    <row r="46" spans="1:6" x14ac:dyDescent="0.25">
      <c r="A46" s="35" t="str">
        <f>IF('CASE DATA'!A46="","",'CASE DATA'!A46)</f>
        <v/>
      </c>
      <c r="B46" s="40" t="str">
        <f>IF('CASE DATA'!A46&lt;&gt;"",IF('CASE DATA'!G46=0, "open charge", 'CASE DATA'!G46),"")</f>
        <v/>
      </c>
      <c r="C46" s="52">
        <f>IFERROR(IF('CASE DATA'!D46+7300&lt;'BASIC INFO'!$B$3,'CASE DATA'!K46+'CASE DATA'!L46,0),0)</f>
        <v>0</v>
      </c>
      <c r="D46" s="61">
        <f>IFERROR(
  IF('CASE DATA'!D46 + 7300 &lt; 'BASIC INFO'!$B$3, 'CASE DATA'!M46, 0),
  0
)</f>
        <v>0</v>
      </c>
      <c r="E46" s="55">
        <f>IFERROR(IF('CASE DATA'!D46+7300&gt;'BASIC INFO'!$B$3,SUM('CASE DATA'!K46:T46),0),0)</f>
        <v>0</v>
      </c>
    </row>
    <row r="47" spans="1:6" x14ac:dyDescent="0.25">
      <c r="A47" s="35" t="str">
        <f>IF('CASE DATA'!A47="","",'CASE DATA'!A47)</f>
        <v/>
      </c>
      <c r="B47" s="40" t="str">
        <f>IF('CASE DATA'!A47&lt;&gt;"",IF('CASE DATA'!G47=0, "open charge", 'CASE DATA'!G47),"")</f>
        <v/>
      </c>
      <c r="C47" s="52">
        <f>IFERROR(IF('CASE DATA'!D47+7300&lt;'BASIC INFO'!$B$3,'CASE DATA'!K47+'CASE DATA'!L47,0),0)</f>
        <v>0</v>
      </c>
      <c r="D47" s="61">
        <f>IFERROR(
  IF('CASE DATA'!D47 + 7300 &lt; 'BASIC INFO'!$B$3, 'CASE DATA'!M47, 0),
  0
)</f>
        <v>0</v>
      </c>
      <c r="E47" s="55">
        <f>IFERROR(IF('CASE DATA'!D47+7300&gt;'BASIC INFO'!$B$3,SUM('CASE DATA'!K47:T47),0),0)</f>
        <v>0</v>
      </c>
    </row>
    <row r="48" spans="1:6" x14ac:dyDescent="0.25">
      <c r="A48" s="35" t="str">
        <f>IF('CASE DATA'!A48="","",'CASE DATA'!A48)</f>
        <v/>
      </c>
      <c r="B48" s="40" t="str">
        <f>IF('CASE DATA'!A48&lt;&gt;"",IF('CASE DATA'!G48=0, "open charge", 'CASE DATA'!G48),"")</f>
        <v/>
      </c>
      <c r="C48" s="52">
        <f>IFERROR(IF('CASE DATA'!D48+7300&lt;'BASIC INFO'!$B$3,'CASE DATA'!K48+'CASE DATA'!L48,0),0)</f>
        <v>0</v>
      </c>
      <c r="D48" s="61">
        <f>IFERROR(
  IF('CASE DATA'!D48 + 7300 &lt; 'BASIC INFO'!$B$3, 'CASE DATA'!M48, 0),
  0
)</f>
        <v>0</v>
      </c>
      <c r="E48" s="55">
        <f>IFERROR(IF('CASE DATA'!D48+7300&gt;'BASIC INFO'!$B$3,SUM('CASE DATA'!K48:T48),0),0)</f>
        <v>0</v>
      </c>
    </row>
    <row r="49" spans="1:5" x14ac:dyDescent="0.25">
      <c r="A49" s="35" t="str">
        <f>IF('CASE DATA'!A49="","",'CASE DATA'!A49)</f>
        <v/>
      </c>
      <c r="B49" s="40" t="str">
        <f>IF('CASE DATA'!A49&lt;&gt;"",IF('CASE DATA'!G49=0, "open charge", 'CASE DATA'!G49),"")</f>
        <v/>
      </c>
      <c r="C49" s="52">
        <f>IFERROR(IF('CASE DATA'!D49+7300&lt;'BASIC INFO'!$B$3,'CASE DATA'!K49+'CASE DATA'!L49,0),0)</f>
        <v>0</v>
      </c>
      <c r="D49" s="61">
        <f>IFERROR(
  IF('CASE DATA'!D49 + 7300 &lt; 'BASIC INFO'!$B$3, 'CASE DATA'!M49, 0),
  0
)</f>
        <v>0</v>
      </c>
      <c r="E49" s="55">
        <f>IFERROR(IF('CASE DATA'!D49+7300&gt;'BASIC INFO'!$B$3,SUM('CASE DATA'!K49:T49),0),0)</f>
        <v>0</v>
      </c>
    </row>
    <row r="50" spans="1:5" x14ac:dyDescent="0.25">
      <c r="A50" s="35" t="str">
        <f>IF('CASE DATA'!A50="","",'CASE DATA'!A50)</f>
        <v/>
      </c>
      <c r="B50" s="40" t="str">
        <f>IF('CASE DATA'!A50&lt;&gt;"",IF('CASE DATA'!G50=0, "open charge", 'CASE DATA'!G50),"")</f>
        <v/>
      </c>
      <c r="C50" s="52">
        <f>IFERROR(IF('CASE DATA'!D50+7300&lt;'BASIC INFO'!$B$3,'CASE DATA'!K50+'CASE DATA'!L50,0),0)</f>
        <v>0</v>
      </c>
      <c r="D50" s="61">
        <f>IFERROR(
  IF('CASE DATA'!D50 + 7300 &lt; 'BASIC INFO'!$B$3, 'CASE DATA'!M50, 0),
  0
)</f>
        <v>0</v>
      </c>
      <c r="E50" s="55">
        <f>IFERROR(IF('CASE DATA'!D50+7300&gt;'BASIC INFO'!$B$3,SUM('CASE DATA'!K50:T50),0),0)</f>
        <v>0</v>
      </c>
    </row>
    <row r="51" spans="1:5" x14ac:dyDescent="0.25">
      <c r="A51" s="35" t="str">
        <f>IF('CASE DATA'!A51="","",'CASE DATA'!A51)</f>
        <v/>
      </c>
      <c r="B51" s="40" t="str">
        <f>IF('CASE DATA'!A51&lt;&gt;"",IF('CASE DATA'!G51=0, "open charge", 'CASE DATA'!G51),"")</f>
        <v/>
      </c>
      <c r="C51" s="52">
        <f>IFERROR(IF('CASE DATA'!D51+7300&lt;'BASIC INFO'!$B$3,'CASE DATA'!K51+'CASE DATA'!L51,0),0)</f>
        <v>0</v>
      </c>
      <c r="D51" s="61">
        <f>IFERROR(
  IF('CASE DATA'!D51 + 7300 &lt; 'BASIC INFO'!$B$3, 'CASE DATA'!M51, 0),
  0
)</f>
        <v>0</v>
      </c>
      <c r="E51" s="55">
        <f>IFERROR(IF('CASE DATA'!D51+7300&gt;'BASIC INFO'!$B$3,SUM('CASE DATA'!K51:T51),0),0)</f>
        <v>0</v>
      </c>
    </row>
    <row r="52" spans="1:5" x14ac:dyDescent="0.25">
      <c r="A52" s="35" t="str">
        <f>IF('CASE DATA'!A52="","",'CASE DATA'!A52)</f>
        <v/>
      </c>
      <c r="B52" s="40" t="str">
        <f>IF('CASE DATA'!A52&lt;&gt;"",IF('CASE DATA'!G52=0, "open charge", 'CASE DATA'!G52),"")</f>
        <v/>
      </c>
      <c r="C52" s="52">
        <f>IFERROR(IF('CASE DATA'!D52+7300&lt;'BASIC INFO'!$B$3,'CASE DATA'!K52+'CASE DATA'!L52,0),0)</f>
        <v>0</v>
      </c>
      <c r="D52" s="61">
        <f>IFERROR(
  IF('CASE DATA'!D52 + 7300 &lt; 'BASIC INFO'!$B$3, 'CASE DATA'!M52, 0),
  0
)</f>
        <v>0</v>
      </c>
      <c r="E52" s="55">
        <f>IFERROR(IF('CASE DATA'!D52+7300&gt;'BASIC INFO'!$B$3,SUM('CASE DATA'!K52:T52),0),0)</f>
        <v>0</v>
      </c>
    </row>
    <row r="53" spans="1:5" x14ac:dyDescent="0.25">
      <c r="A53" s="35" t="str">
        <f>IF('CASE DATA'!A53="","",'CASE DATA'!A53)</f>
        <v/>
      </c>
      <c r="B53" s="40" t="str">
        <f>IF('CASE DATA'!A53&lt;&gt;"",IF('CASE DATA'!G53=0, "open charge", 'CASE DATA'!G53),"")</f>
        <v/>
      </c>
      <c r="C53" s="52">
        <f>IFERROR(IF('CASE DATA'!D53+7300&lt;'BASIC INFO'!$B$3,'CASE DATA'!K53+'CASE DATA'!L53,0),0)</f>
        <v>0</v>
      </c>
      <c r="D53" s="61">
        <f>IFERROR(
  IF('CASE DATA'!D53 + 7300 &lt; 'BASIC INFO'!$B$3, 'CASE DATA'!M53, 0),
  0
)</f>
        <v>0</v>
      </c>
      <c r="E53" s="55">
        <f>IFERROR(IF('CASE DATA'!D53+7300&gt;'BASIC INFO'!$B$3,SUM('CASE DATA'!K53:T53),0),0)</f>
        <v>0</v>
      </c>
    </row>
    <row r="54" spans="1:5" x14ac:dyDescent="0.25">
      <c r="A54" s="35" t="str">
        <f>IF('CASE DATA'!A54="","",'CASE DATA'!A54)</f>
        <v/>
      </c>
      <c r="B54" s="40" t="str">
        <f>IF('CASE DATA'!A54&lt;&gt;"",IF('CASE DATA'!G54=0, "open charge", 'CASE DATA'!G54),"")</f>
        <v/>
      </c>
      <c r="C54" s="52">
        <f>IFERROR(IF('CASE DATA'!D54+7300&lt;'BASIC INFO'!$B$3,'CASE DATA'!K54+'CASE DATA'!L54,0),0)</f>
        <v>0</v>
      </c>
      <c r="D54" s="61">
        <f>IFERROR(
  IF('CASE DATA'!D54 + 7300 &lt; 'BASIC INFO'!$B$3, 'CASE DATA'!M54, 0),
  0
)</f>
        <v>0</v>
      </c>
      <c r="E54" s="55">
        <f>IFERROR(IF('CASE DATA'!D54+7300&gt;'BASIC INFO'!$B$3,SUM('CASE DATA'!K54:T54),0),0)</f>
        <v>0</v>
      </c>
    </row>
    <row r="55" spans="1:5" x14ac:dyDescent="0.25">
      <c r="A55" s="35" t="str">
        <f>IF('CASE DATA'!A55="","",'CASE DATA'!A55)</f>
        <v/>
      </c>
      <c r="B55" s="40" t="str">
        <f>IF('CASE DATA'!A55&lt;&gt;"",IF('CASE DATA'!G55=0, "open charge", 'CASE DATA'!G55),"")</f>
        <v/>
      </c>
      <c r="C55" s="52">
        <f>IFERROR(IF('CASE DATA'!D55+7300&lt;'BASIC INFO'!$B$3,'CASE DATA'!K55+'CASE DATA'!L55,0),0)</f>
        <v>0</v>
      </c>
      <c r="D55" s="61">
        <f>IFERROR(
  IF('CASE DATA'!D55 + 7300 &lt; 'BASIC INFO'!$B$3, 'CASE DATA'!M55, 0),
  0
)</f>
        <v>0</v>
      </c>
      <c r="E55" s="55">
        <f>IFERROR(IF('CASE DATA'!D55+7300&gt;'BASIC INFO'!$B$3,SUM('CASE DATA'!K55:T55),0),0)</f>
        <v>0</v>
      </c>
    </row>
    <row r="56" spans="1:5" x14ac:dyDescent="0.25">
      <c r="A56" s="35" t="str">
        <f>IF('CASE DATA'!A56="","",'CASE DATA'!A56)</f>
        <v/>
      </c>
      <c r="B56" s="40" t="str">
        <f>IF('CASE DATA'!A56&lt;&gt;"",IF('CASE DATA'!G56=0, "open charge", 'CASE DATA'!G56),"")</f>
        <v/>
      </c>
      <c r="C56" s="52">
        <f>IFERROR(IF('CASE DATA'!D56+7300&lt;'BASIC INFO'!$B$3,'CASE DATA'!K56+'CASE DATA'!L56,0),0)</f>
        <v>0</v>
      </c>
      <c r="D56" s="61">
        <f>IFERROR(
  IF('CASE DATA'!D56 + 7300 &lt; 'BASIC INFO'!$B$3, 'CASE DATA'!M56, 0),
  0
)</f>
        <v>0</v>
      </c>
      <c r="E56" s="55">
        <f>IFERROR(IF('CASE DATA'!D56+7300&gt;'BASIC INFO'!$B$3,SUM('CASE DATA'!K56:T56),0),0)</f>
        <v>0</v>
      </c>
    </row>
    <row r="57" spans="1:5" x14ac:dyDescent="0.25">
      <c r="A57" s="35" t="str">
        <f>IF('CASE DATA'!A57="","",'CASE DATA'!A57)</f>
        <v/>
      </c>
      <c r="B57" s="40" t="str">
        <f>IF('CASE DATA'!A57&lt;&gt;"",IF('CASE DATA'!G57=0, "open charge", 'CASE DATA'!G57),"")</f>
        <v/>
      </c>
      <c r="C57" s="52">
        <f>IFERROR(IF('CASE DATA'!D57+7300&lt;'BASIC INFO'!$B$3,'CASE DATA'!K57+'CASE DATA'!L57,0),0)</f>
        <v>0</v>
      </c>
      <c r="D57" s="61">
        <f>IFERROR(
  IF('CASE DATA'!D57 + 7300 &lt; 'BASIC INFO'!$B$3, 'CASE DATA'!M57, 0),
  0
)</f>
        <v>0</v>
      </c>
      <c r="E57" s="55">
        <f>IFERROR(IF('CASE DATA'!D57+7300&gt;'BASIC INFO'!$B$3,SUM('CASE DATA'!K57:T57),0),0)</f>
        <v>0</v>
      </c>
    </row>
    <row r="58" spans="1:5" x14ac:dyDescent="0.25">
      <c r="A58" s="35" t="str">
        <f>IF('CASE DATA'!A58="","",'CASE DATA'!A58)</f>
        <v/>
      </c>
      <c r="B58" s="40" t="str">
        <f>IF('CASE DATA'!A58&lt;&gt;"",IF('CASE DATA'!G58=0, "open charge", 'CASE DATA'!G58),"")</f>
        <v/>
      </c>
      <c r="C58" s="52">
        <f>IFERROR(IF('CASE DATA'!D58+7300&lt;'BASIC INFO'!$B$3,'CASE DATA'!K58+'CASE DATA'!L58,0),0)</f>
        <v>0</v>
      </c>
      <c r="D58" s="61">
        <f>IFERROR(
  IF('CASE DATA'!D58 + 7300 &lt; 'BASIC INFO'!$B$3, 'CASE DATA'!M58, 0),
  0
)</f>
        <v>0</v>
      </c>
      <c r="E58" s="55">
        <f>IFERROR(IF('CASE DATA'!D58+7300&gt;'BASIC INFO'!$B$3,SUM('CASE DATA'!K58:T58),0),0)</f>
        <v>0</v>
      </c>
    </row>
    <row r="59" spans="1:5" x14ac:dyDescent="0.25">
      <c r="A59" s="35" t="str">
        <f>IF('CASE DATA'!A59="","",'CASE DATA'!A59)</f>
        <v/>
      </c>
      <c r="B59" s="40" t="str">
        <f>IF('CASE DATA'!A59&lt;&gt;"",IF('CASE DATA'!G59=0, "open charge", 'CASE DATA'!G59),"")</f>
        <v/>
      </c>
      <c r="C59" s="52">
        <f>IFERROR(IF('CASE DATA'!D59+7300&lt;'BASIC INFO'!$B$3,'CASE DATA'!K59+'CASE DATA'!L59,0),0)</f>
        <v>0</v>
      </c>
      <c r="D59" s="61">
        <f>IFERROR(
  IF('CASE DATA'!D59 + 7300 &lt; 'BASIC INFO'!$B$3, 'CASE DATA'!M59, 0),
  0
)</f>
        <v>0</v>
      </c>
      <c r="E59" s="55">
        <f>IFERROR(IF('CASE DATA'!D59+7300&gt;'BASIC INFO'!$B$3,SUM('CASE DATA'!K59:T59),0),0)</f>
        <v>0</v>
      </c>
    </row>
    <row r="60" spans="1:5" x14ac:dyDescent="0.25">
      <c r="A60" s="35" t="str">
        <f>IF('CASE DATA'!A60="","",'CASE DATA'!A60)</f>
        <v/>
      </c>
      <c r="B60" s="40" t="str">
        <f>IF('CASE DATA'!A60&lt;&gt;"",IF('CASE DATA'!G60=0, "open charge", 'CASE DATA'!G60),"")</f>
        <v/>
      </c>
      <c r="C60" s="52">
        <f>IFERROR(IF('CASE DATA'!D60+7300&lt;'BASIC INFO'!$B$3,'CASE DATA'!K60+'CASE DATA'!L60,0),0)</f>
        <v>0</v>
      </c>
      <c r="D60" s="61">
        <f>IFERROR(
  IF('CASE DATA'!D60 + 7300 &lt; 'BASIC INFO'!$B$3, 'CASE DATA'!M60, 0),
  0
)</f>
        <v>0</v>
      </c>
      <c r="E60" s="55">
        <f>IFERROR(IF('CASE DATA'!D60+7300&gt;'BASIC INFO'!$B$3,SUM('CASE DATA'!K60:T60),0),0)</f>
        <v>0</v>
      </c>
    </row>
    <row r="61" spans="1:5" x14ac:dyDescent="0.25">
      <c r="A61" s="35" t="str">
        <f>IF('CASE DATA'!A61="","",'CASE DATA'!A61)</f>
        <v/>
      </c>
      <c r="B61" s="40" t="str">
        <f>IF('CASE DATA'!A61&lt;&gt;"",IF('CASE DATA'!G61=0, "open charge", 'CASE DATA'!G61),"")</f>
        <v/>
      </c>
      <c r="C61" s="52">
        <f>IFERROR(IF('CASE DATA'!D61+7300&lt;'BASIC INFO'!$B$3,'CASE DATA'!K61+'CASE DATA'!L61,0),0)</f>
        <v>0</v>
      </c>
      <c r="D61" s="61">
        <f>IFERROR(
  IF('CASE DATA'!D61 + 7300 &lt; 'BASIC INFO'!$B$3, 'CASE DATA'!M61, 0),
  0
)</f>
        <v>0</v>
      </c>
      <c r="E61" s="55">
        <f>IFERROR(IF('CASE DATA'!D61+7300&gt;'BASIC INFO'!$B$3,SUM('CASE DATA'!K61:T61),0),0)</f>
        <v>0</v>
      </c>
    </row>
    <row r="62" spans="1:5" x14ac:dyDescent="0.25">
      <c r="A62" s="35" t="str">
        <f>IF('CASE DATA'!A62="","",'CASE DATA'!A62)</f>
        <v/>
      </c>
      <c r="B62" s="40" t="str">
        <f>IF('CASE DATA'!A62&lt;&gt;"",IF('CASE DATA'!G62=0, "open charge", 'CASE DATA'!G62),"")</f>
        <v/>
      </c>
      <c r="C62" s="52">
        <f>IFERROR(IF('CASE DATA'!D62+7300&lt;'BASIC INFO'!$B$3,'CASE DATA'!K62+'CASE DATA'!L62,0),0)</f>
        <v>0</v>
      </c>
      <c r="D62" s="61">
        <f>IFERROR(
  IF('CASE DATA'!D62 + 7300 &lt; 'BASIC INFO'!$B$3, 'CASE DATA'!M62, 0),
  0
)</f>
        <v>0</v>
      </c>
      <c r="E62" s="55">
        <f>IFERROR(IF('CASE DATA'!D62+7300&gt;'BASIC INFO'!$B$3,SUM('CASE DATA'!K62:T62),0),0)</f>
        <v>0</v>
      </c>
    </row>
    <row r="63" spans="1:5" x14ac:dyDescent="0.25">
      <c r="A63" s="35" t="str">
        <f>IF('CASE DATA'!A63="","",'CASE DATA'!A63)</f>
        <v/>
      </c>
      <c r="B63" s="40" t="str">
        <f>IF('CASE DATA'!A63&lt;&gt;"",IF('CASE DATA'!G63=0, "open charge", 'CASE DATA'!G63),"")</f>
        <v/>
      </c>
      <c r="C63" s="52">
        <f>IFERROR(IF('CASE DATA'!D63+7300&lt;'BASIC INFO'!$B$3,'CASE DATA'!K63+'CASE DATA'!L63,0),0)</f>
        <v>0</v>
      </c>
      <c r="D63" s="61">
        <f>IFERROR(
  IF('CASE DATA'!D63 + 7300 &lt; 'BASIC INFO'!$B$3, 'CASE DATA'!M63, 0),
  0
)</f>
        <v>0</v>
      </c>
      <c r="E63" s="55">
        <f>IFERROR(IF('CASE DATA'!D63+7300&gt;'BASIC INFO'!$B$3,SUM('CASE DATA'!K63:T63),0),0)</f>
        <v>0</v>
      </c>
    </row>
    <row r="64" spans="1:5" x14ac:dyDescent="0.25">
      <c r="A64" s="35" t="str">
        <f>IF('CASE DATA'!A64="","",'CASE DATA'!A64)</f>
        <v/>
      </c>
      <c r="B64" s="40" t="str">
        <f>IF('CASE DATA'!A64&lt;&gt;"",IF('CASE DATA'!G64=0, "open charge", 'CASE DATA'!G64),"")</f>
        <v/>
      </c>
      <c r="C64" s="52">
        <f>IFERROR(IF('CASE DATA'!D64+7300&lt;'BASIC INFO'!$B$3,'CASE DATA'!K64+'CASE DATA'!L64,0),0)</f>
        <v>0</v>
      </c>
      <c r="D64" s="61">
        <f>IFERROR(
  IF('CASE DATA'!D64 + 7300 &lt; 'BASIC INFO'!$B$3, 'CASE DATA'!M64, 0),
  0
)</f>
        <v>0</v>
      </c>
      <c r="E64" s="55">
        <f>IFERROR(IF('CASE DATA'!D64+7300&gt;'BASIC INFO'!$B$3,SUM('CASE DATA'!K64:T64),0),0)</f>
        <v>0</v>
      </c>
    </row>
    <row r="65" spans="1:5" x14ac:dyDescent="0.25">
      <c r="A65" s="35" t="str">
        <f>IF('CASE DATA'!A65="","",'CASE DATA'!A65)</f>
        <v/>
      </c>
      <c r="B65" s="40" t="str">
        <f>IF('CASE DATA'!A65&lt;&gt;"",IF('CASE DATA'!G65=0, "open charge", 'CASE DATA'!G65),"")</f>
        <v/>
      </c>
      <c r="C65" s="52">
        <f>IFERROR(IF('CASE DATA'!D65+7300&lt;'BASIC INFO'!$B$3,'CASE DATA'!K65+'CASE DATA'!L65,0),0)</f>
        <v>0</v>
      </c>
      <c r="D65" s="61">
        <f>IFERROR(
  IF('CASE DATA'!D65 + 7300 &lt; 'BASIC INFO'!$B$3, 'CASE DATA'!M65, 0),
  0
)</f>
        <v>0</v>
      </c>
      <c r="E65" s="55">
        <f>IFERROR(IF('CASE DATA'!D65+7300&gt;'BASIC INFO'!$B$3,SUM('CASE DATA'!K65:T65),0),0)</f>
        <v>0</v>
      </c>
    </row>
    <row r="66" spans="1:5" x14ac:dyDescent="0.25">
      <c r="A66" s="35" t="str">
        <f>IF('CASE DATA'!A66="","",'CASE DATA'!A66)</f>
        <v/>
      </c>
      <c r="B66" s="40" t="str">
        <f>IF('CASE DATA'!A66&lt;&gt;"",IF('CASE DATA'!G66=0, "open charge", 'CASE DATA'!G66),"")</f>
        <v/>
      </c>
      <c r="C66" s="52">
        <f>IFERROR(IF('CASE DATA'!D66+7300&lt;'BASIC INFO'!$B$3,'CASE DATA'!K66+'CASE DATA'!L66,0),0)</f>
        <v>0</v>
      </c>
      <c r="D66" s="61">
        <f>IFERROR(
  IF('CASE DATA'!D66 + 7300 &lt; 'BASIC INFO'!$B$3, 'CASE DATA'!M66, 0),
  0
)</f>
        <v>0</v>
      </c>
      <c r="E66" s="55">
        <f>IFERROR(IF('CASE DATA'!D66+7300&gt;'BASIC INFO'!$B$3,SUM('CASE DATA'!K66:T66),0),0)</f>
        <v>0</v>
      </c>
    </row>
    <row r="67" spans="1:5" x14ac:dyDescent="0.25">
      <c r="A67" s="35" t="str">
        <f>IF('CASE DATA'!A67="","",'CASE DATA'!A67)</f>
        <v/>
      </c>
      <c r="B67" s="40" t="str">
        <f>IF('CASE DATA'!A67&lt;&gt;"",IF('CASE DATA'!G67=0, "open charge", 'CASE DATA'!G67),"")</f>
        <v/>
      </c>
      <c r="C67" s="52">
        <f>IFERROR(IF('CASE DATA'!D67+7300&lt;'BASIC INFO'!$B$3,'CASE DATA'!K67+'CASE DATA'!L67,0),0)</f>
        <v>0</v>
      </c>
      <c r="D67" s="61">
        <f>IFERROR(
  IF('CASE DATA'!D67 + 7300 &lt; 'BASIC INFO'!$B$3, 'CASE DATA'!M67, 0),
  0
)</f>
        <v>0</v>
      </c>
      <c r="E67" s="55">
        <f>IFERROR(IF('CASE DATA'!D67+7300&gt;'BASIC INFO'!$B$3,SUM('CASE DATA'!K67:T67),0),0)</f>
        <v>0</v>
      </c>
    </row>
    <row r="68" spans="1:5" x14ac:dyDescent="0.25">
      <c r="A68" s="35" t="str">
        <f>IF('CASE DATA'!A68="","",'CASE DATA'!A68)</f>
        <v/>
      </c>
      <c r="B68" s="40" t="str">
        <f>IF('CASE DATA'!A68&lt;&gt;"",IF('CASE DATA'!G68=0, "open charge", 'CASE DATA'!G68),"")</f>
        <v/>
      </c>
      <c r="C68" s="52">
        <f>IFERROR(IF('CASE DATA'!D68+7300&lt;'BASIC INFO'!$B$3,'CASE DATA'!K68+'CASE DATA'!L68,0),0)</f>
        <v>0</v>
      </c>
      <c r="D68" s="61">
        <f>IFERROR(
  IF('CASE DATA'!D68 + 7300 &lt; 'BASIC INFO'!$B$3, 'CASE DATA'!M68, 0),
  0
)</f>
        <v>0</v>
      </c>
      <c r="E68" s="55">
        <f>IFERROR(IF('CASE DATA'!D68+7300&gt;'BASIC INFO'!$B$3,SUM('CASE DATA'!K68:T68),0),0)</f>
        <v>0</v>
      </c>
    </row>
    <row r="69" spans="1:5" x14ac:dyDescent="0.25">
      <c r="A69" s="35" t="str">
        <f>IF('CASE DATA'!A69="","",'CASE DATA'!A69)</f>
        <v/>
      </c>
      <c r="B69" s="40" t="str">
        <f>IF('CASE DATA'!A69&lt;&gt;"",IF('CASE DATA'!G69=0, "open charge", 'CASE DATA'!G69),"")</f>
        <v/>
      </c>
      <c r="C69" s="52">
        <f>IFERROR(IF('CASE DATA'!D69+7300&lt;'BASIC INFO'!$B$3,'CASE DATA'!K69+'CASE DATA'!L69,0),0)</f>
        <v>0</v>
      </c>
      <c r="D69" s="61">
        <f>IFERROR(
  IF('CASE DATA'!D69 + 7300 &lt; 'BASIC INFO'!$B$3, 'CASE DATA'!M69, 0),
  0
)</f>
        <v>0</v>
      </c>
      <c r="E69" s="55">
        <f>IFERROR(IF('CASE DATA'!D69+7300&gt;'BASIC INFO'!$B$3,SUM('CASE DATA'!K69:T69),0),0)</f>
        <v>0</v>
      </c>
    </row>
    <row r="70" spans="1:5" x14ac:dyDescent="0.25">
      <c r="A70" s="35" t="str">
        <f>IF('CASE DATA'!A70="","",'CASE DATA'!A70)</f>
        <v/>
      </c>
      <c r="B70" s="40" t="str">
        <f>IF('CASE DATA'!A70&lt;&gt;"",IF('CASE DATA'!G70=0, "open charge", 'CASE DATA'!G70),"")</f>
        <v/>
      </c>
      <c r="C70" s="52">
        <f>IFERROR(IF('CASE DATA'!D70+7300&lt;'BASIC INFO'!$B$3,'CASE DATA'!K70+'CASE DATA'!L70,0),0)</f>
        <v>0</v>
      </c>
      <c r="D70" s="61">
        <f>IFERROR(
  IF('CASE DATA'!D70 + 7300 &lt; 'BASIC INFO'!$B$3, 'CASE DATA'!M70, 0),
  0
)</f>
        <v>0</v>
      </c>
      <c r="E70" s="55">
        <f>IFERROR(IF('CASE DATA'!D70+7300&gt;'BASIC INFO'!$B$3,SUM('CASE DATA'!K70:T70),0),0)</f>
        <v>0</v>
      </c>
    </row>
    <row r="71" spans="1:5" x14ac:dyDescent="0.25">
      <c r="A71" s="35" t="str">
        <f>IF('CASE DATA'!A71="","",'CASE DATA'!A71)</f>
        <v/>
      </c>
      <c r="B71" s="40" t="str">
        <f>IF('CASE DATA'!A71&lt;&gt;"",IF('CASE DATA'!G71=0, "open charge", 'CASE DATA'!G71),"")</f>
        <v/>
      </c>
      <c r="C71" s="52">
        <f>IFERROR(IF('CASE DATA'!D71+7300&lt;'BASIC INFO'!$B$3,'CASE DATA'!K71+'CASE DATA'!L71,0),0)</f>
        <v>0</v>
      </c>
      <c r="D71" s="61">
        <f>IFERROR(
  IF('CASE DATA'!D71 + 7300 &lt; 'BASIC INFO'!$B$3, 'CASE DATA'!M71, 0),
  0
)</f>
        <v>0</v>
      </c>
      <c r="E71" s="55">
        <f>IFERROR(IF('CASE DATA'!D71+7300&gt;'BASIC INFO'!$B$3,SUM('CASE DATA'!K71:T71),0),0)</f>
        <v>0</v>
      </c>
    </row>
    <row r="72" spans="1:5" x14ac:dyDescent="0.25">
      <c r="A72" s="35" t="str">
        <f>IF('CASE DATA'!A72="","",'CASE DATA'!A72)</f>
        <v/>
      </c>
      <c r="B72" s="40" t="str">
        <f>IF('CASE DATA'!A72&lt;&gt;"",IF('CASE DATA'!G72=0, "open charge", 'CASE DATA'!G72),"")</f>
        <v/>
      </c>
      <c r="C72" s="52">
        <f>IFERROR(IF('CASE DATA'!D72+7300&lt;'BASIC INFO'!$B$3,'CASE DATA'!K72+'CASE DATA'!L72,0),0)</f>
        <v>0</v>
      </c>
      <c r="D72" s="61">
        <f>IFERROR(
  IF('CASE DATA'!D72 + 7300 &lt; 'BASIC INFO'!$B$3, 'CASE DATA'!M72, 0),
  0
)</f>
        <v>0</v>
      </c>
      <c r="E72" s="55">
        <f>IFERROR(IF('CASE DATA'!D72+7300&gt;'BASIC INFO'!$B$3,SUM('CASE DATA'!K72:T72),0),0)</f>
        <v>0</v>
      </c>
    </row>
    <row r="73" spans="1:5" x14ac:dyDescent="0.25">
      <c r="A73" s="35" t="str">
        <f>IF('CASE DATA'!A73="","",'CASE DATA'!A73)</f>
        <v/>
      </c>
      <c r="B73" s="40" t="str">
        <f>IF('CASE DATA'!A73&lt;&gt;"",IF('CASE DATA'!G73=0, "open charge", 'CASE DATA'!G73),"")</f>
        <v/>
      </c>
      <c r="C73" s="52">
        <f>IFERROR(IF('CASE DATA'!D73+7300&lt;'BASIC INFO'!$B$3,'CASE DATA'!K73+'CASE DATA'!L73,0),0)</f>
        <v>0</v>
      </c>
      <c r="D73" s="61">
        <f>IFERROR(
  IF('CASE DATA'!D73 + 7300 &lt; 'BASIC INFO'!$B$3, 'CASE DATA'!M73, 0),
  0
)</f>
        <v>0</v>
      </c>
      <c r="E73" s="55">
        <f>IFERROR(IF('CASE DATA'!D73+7300&gt;'BASIC INFO'!$B$3,SUM('CASE DATA'!K73:T73),0),0)</f>
        <v>0</v>
      </c>
    </row>
    <row r="74" spans="1:5" x14ac:dyDescent="0.25">
      <c r="A74" s="35" t="str">
        <f>IF('CASE DATA'!A74="","",'CASE DATA'!A74)</f>
        <v/>
      </c>
      <c r="B74" s="40" t="str">
        <f>IF('CASE DATA'!A74&lt;&gt;"",IF('CASE DATA'!G74=0, "open charge", 'CASE DATA'!G74),"")</f>
        <v/>
      </c>
      <c r="C74" s="52">
        <f>IFERROR(IF('CASE DATA'!D74+7300&lt;'BASIC INFO'!$B$3,'CASE DATA'!K74+'CASE DATA'!L74,0),0)</f>
        <v>0</v>
      </c>
      <c r="D74" s="61">
        <f>IFERROR(
  IF('CASE DATA'!D74 + 7300 &lt; 'BASIC INFO'!$B$3, 'CASE DATA'!M74, 0),
  0
)</f>
        <v>0</v>
      </c>
      <c r="E74" s="55">
        <f>IFERROR(IF('CASE DATA'!D74+7300&gt;'BASIC INFO'!$B$3,SUM('CASE DATA'!K74:T74),0),0)</f>
        <v>0</v>
      </c>
    </row>
    <row r="75" spans="1:5" x14ac:dyDescent="0.25">
      <c r="A75" s="35" t="str">
        <f>IF('CASE DATA'!A75="","",'CASE DATA'!A75)</f>
        <v/>
      </c>
      <c r="B75" s="40" t="str">
        <f>IF('CASE DATA'!A75&lt;&gt;"",IF('CASE DATA'!G75=0, "open charge", 'CASE DATA'!G75),"")</f>
        <v/>
      </c>
      <c r="C75" s="52">
        <f>IFERROR(IF('CASE DATA'!D75+7300&lt;'BASIC INFO'!$B$3,'CASE DATA'!K75+'CASE DATA'!L75,0),0)</f>
        <v>0</v>
      </c>
      <c r="D75" s="61">
        <f>IFERROR(
  IF('CASE DATA'!D75 + 7300 &lt; 'BASIC INFO'!$B$3, 'CASE DATA'!M75, 0),
  0
)</f>
        <v>0</v>
      </c>
      <c r="E75" s="55">
        <f>IFERROR(IF('CASE DATA'!D75+7300&gt;'BASIC INFO'!$B$3,SUM('CASE DATA'!K75:T75),0),0)</f>
        <v>0</v>
      </c>
    </row>
    <row r="76" spans="1:5" x14ac:dyDescent="0.25">
      <c r="A76" s="35" t="str">
        <f>IF('CASE DATA'!A76="","",'CASE DATA'!A76)</f>
        <v/>
      </c>
      <c r="B76" s="40" t="str">
        <f>IF('CASE DATA'!A76&lt;&gt;"",IF('CASE DATA'!G76=0, "open charge", 'CASE DATA'!G76),"")</f>
        <v/>
      </c>
      <c r="C76" s="52">
        <f>IFERROR(IF('CASE DATA'!D76+7300&lt;'BASIC INFO'!$B$3,'CASE DATA'!K76+'CASE DATA'!L76,0),0)</f>
        <v>0</v>
      </c>
      <c r="D76" s="61">
        <f>IFERROR(
  IF('CASE DATA'!D76 + 7300 &lt; 'BASIC INFO'!$B$3, 'CASE DATA'!M76, 0),
  0
)</f>
        <v>0</v>
      </c>
      <c r="E76" s="55">
        <f>IFERROR(IF('CASE DATA'!D76+7300&gt;'BASIC INFO'!$B$3,SUM('CASE DATA'!K76:T76),0),0)</f>
        <v>0</v>
      </c>
    </row>
    <row r="77" spans="1:5" x14ac:dyDescent="0.25">
      <c r="A77" s="35" t="str">
        <f>IF('CASE DATA'!A77="","",'CASE DATA'!A77)</f>
        <v/>
      </c>
      <c r="B77" s="40" t="str">
        <f>IF('CASE DATA'!A77&lt;&gt;"",IF('CASE DATA'!G77=0, "open charge", 'CASE DATA'!G77),"")</f>
        <v/>
      </c>
      <c r="C77" s="52">
        <f>IFERROR(IF('CASE DATA'!D77+7300&lt;'BASIC INFO'!$B$3,'CASE DATA'!K77+'CASE DATA'!L77,0),0)</f>
        <v>0</v>
      </c>
      <c r="D77" s="61">
        <f>IFERROR(
  IF('CASE DATA'!D77 + 7300 &lt; 'BASIC INFO'!$B$3, 'CASE DATA'!M77, 0),
  0
)</f>
        <v>0</v>
      </c>
      <c r="E77" s="55">
        <f>IFERROR(IF('CASE DATA'!D77+7300&gt;'BASIC INFO'!$B$3,SUM('CASE DATA'!K77:T77),0),0)</f>
        <v>0</v>
      </c>
    </row>
    <row r="78" spans="1:5" x14ac:dyDescent="0.25">
      <c r="A78" s="35" t="str">
        <f>IF('CASE DATA'!A78="","",'CASE DATA'!A78)</f>
        <v/>
      </c>
      <c r="B78" s="40" t="str">
        <f>IF('CASE DATA'!A78&lt;&gt;"",IF('CASE DATA'!G78=0, "open charge", 'CASE DATA'!G78),"")</f>
        <v/>
      </c>
      <c r="C78" s="52">
        <f>IFERROR(IF('CASE DATA'!D78+7300&lt;'BASIC INFO'!$B$3,'CASE DATA'!K78+'CASE DATA'!L78,0),0)</f>
        <v>0</v>
      </c>
      <c r="D78" s="61">
        <f>IFERROR(
  IF('CASE DATA'!D78 + 7300 &lt; 'BASIC INFO'!$B$3, 'CASE DATA'!M78, 0),
  0
)</f>
        <v>0</v>
      </c>
      <c r="E78" s="55">
        <f>IFERROR(IF('CASE DATA'!D78+7300&gt;'BASIC INFO'!$B$3,SUM('CASE DATA'!K78:T78),0),0)</f>
        <v>0</v>
      </c>
    </row>
    <row r="79" spans="1:5" x14ac:dyDescent="0.25">
      <c r="A79" s="35" t="str">
        <f>IF('CASE DATA'!A79="","",'CASE DATA'!A79)</f>
        <v/>
      </c>
      <c r="B79" s="40" t="str">
        <f>IF('CASE DATA'!A79&lt;&gt;"",IF('CASE DATA'!G79=0, "open charge", 'CASE DATA'!G79),"")</f>
        <v/>
      </c>
      <c r="C79" s="52">
        <f>IFERROR(IF('CASE DATA'!D79+7300&lt;'BASIC INFO'!$B$3,'CASE DATA'!K79+'CASE DATA'!L79,0),0)</f>
        <v>0</v>
      </c>
      <c r="D79" s="61">
        <f>IFERROR(
  IF('CASE DATA'!D79 + 7300 &lt; 'BASIC INFO'!$B$3, 'CASE DATA'!M79, 0),
  0
)</f>
        <v>0</v>
      </c>
      <c r="E79" s="55">
        <f>IFERROR(IF('CASE DATA'!D79+7300&gt;'BASIC INFO'!$B$3,SUM('CASE DATA'!K79:T79),0),0)</f>
        <v>0</v>
      </c>
    </row>
    <row r="80" spans="1:5" x14ac:dyDescent="0.25">
      <c r="A80" s="35" t="str">
        <f>IF('CASE DATA'!A80="","",'CASE DATA'!A80)</f>
        <v/>
      </c>
      <c r="B80" s="40" t="str">
        <f>IF('CASE DATA'!A80&lt;&gt;"",IF('CASE DATA'!G80=0, "open charge", 'CASE DATA'!G80),"")</f>
        <v/>
      </c>
      <c r="C80" s="52">
        <f>IFERROR(IF('CASE DATA'!D80+7300&lt;'BASIC INFO'!$B$3,'CASE DATA'!K80+'CASE DATA'!L80,0),0)</f>
        <v>0</v>
      </c>
      <c r="D80" s="61">
        <f>IFERROR(
  IF('CASE DATA'!D80 + 7300 &lt; 'BASIC INFO'!$B$3, 'CASE DATA'!M80, 0),
  0
)</f>
        <v>0</v>
      </c>
      <c r="E80" s="55">
        <f>IFERROR(IF('CASE DATA'!D80+7300&gt;'BASIC INFO'!$B$3,SUM('CASE DATA'!K80:T80),0),0)</f>
        <v>0</v>
      </c>
    </row>
    <row r="81" spans="1:5" x14ac:dyDescent="0.25">
      <c r="A81" s="35" t="str">
        <f>IF('CASE DATA'!A81="","",'CASE DATA'!A81)</f>
        <v/>
      </c>
      <c r="B81" s="40" t="str">
        <f>IF('CASE DATA'!A81&lt;&gt;"",IF('CASE DATA'!G81=0, "open charge", 'CASE DATA'!G81),"")</f>
        <v/>
      </c>
      <c r="C81" s="52">
        <f>IFERROR(IF('CASE DATA'!D81+7300&lt;'BASIC INFO'!$B$3,'CASE DATA'!K81+'CASE DATA'!L81,0),0)</f>
        <v>0</v>
      </c>
      <c r="D81" s="61">
        <f>IFERROR(
  IF('CASE DATA'!D81 + 7300 &lt; 'BASIC INFO'!$B$3, 'CASE DATA'!M81, 0),
  0
)</f>
        <v>0</v>
      </c>
      <c r="E81" s="55">
        <f>IFERROR(IF('CASE DATA'!D81+7300&gt;'BASIC INFO'!$B$3,SUM('CASE DATA'!K81:T81),0),0)</f>
        <v>0</v>
      </c>
    </row>
    <row r="82" spans="1:5" x14ac:dyDescent="0.25">
      <c r="A82" s="35" t="str">
        <f>IF('CASE DATA'!A82="","",'CASE DATA'!A82)</f>
        <v/>
      </c>
      <c r="B82" s="40" t="str">
        <f>IF('CASE DATA'!A82&lt;&gt;"",IF('CASE DATA'!G82=0, "open charge", 'CASE DATA'!G82),"")</f>
        <v/>
      </c>
      <c r="C82" s="52">
        <f>IFERROR(IF('CASE DATA'!D82+7300&lt;'BASIC INFO'!$B$3,'CASE DATA'!K82+'CASE DATA'!L82,0),0)</f>
        <v>0</v>
      </c>
      <c r="D82" s="61">
        <f>IFERROR(
  IF('CASE DATA'!D82 + 7300 &lt; 'BASIC INFO'!$B$3, 'CASE DATA'!M82, 0),
  0
)</f>
        <v>0</v>
      </c>
      <c r="E82" s="55">
        <f>IFERROR(IF('CASE DATA'!D82+7300&gt;'BASIC INFO'!$B$3,SUM('CASE DATA'!K82:T82),0),0)</f>
        <v>0</v>
      </c>
    </row>
    <row r="83" spans="1:5" x14ac:dyDescent="0.25">
      <c r="A83" s="35" t="str">
        <f>IF('CASE DATA'!A83="","",'CASE DATA'!A83)</f>
        <v/>
      </c>
      <c r="B83" s="40" t="str">
        <f>IF('CASE DATA'!A83&lt;&gt;"",IF('CASE DATA'!G83=0, "open charge", 'CASE DATA'!G83),"")</f>
        <v/>
      </c>
      <c r="C83" s="52">
        <f>IFERROR(IF('CASE DATA'!D83+7300&lt;'BASIC INFO'!$B$3,'CASE DATA'!K83+'CASE DATA'!L83,0),0)</f>
        <v>0</v>
      </c>
      <c r="D83" s="61">
        <f>IFERROR(
  IF('CASE DATA'!D83 + 7300 &lt; 'BASIC INFO'!$B$3, 'CASE DATA'!M83, 0),
  0
)</f>
        <v>0</v>
      </c>
      <c r="E83" s="55">
        <f>IFERROR(IF('CASE DATA'!D83+7300&gt;'BASIC INFO'!$B$3,SUM('CASE DATA'!K83:T83),0),0)</f>
        <v>0</v>
      </c>
    </row>
    <row r="84" spans="1:5" x14ac:dyDescent="0.25">
      <c r="A84" s="35" t="str">
        <f>IF('CASE DATA'!A84="","",'CASE DATA'!A84)</f>
        <v/>
      </c>
      <c r="B84" s="40" t="str">
        <f>IF('CASE DATA'!A84&lt;&gt;"",IF('CASE DATA'!G84=0, "open charge", 'CASE DATA'!G84),"")</f>
        <v/>
      </c>
      <c r="C84" s="52">
        <f>IFERROR(IF('CASE DATA'!D84+7300&lt;'BASIC INFO'!$B$3,'CASE DATA'!K84+'CASE DATA'!L84,0),0)</f>
        <v>0</v>
      </c>
      <c r="D84" s="61">
        <f>IFERROR(
  IF('CASE DATA'!D84 + 7300 &lt; 'BASIC INFO'!$B$3, 'CASE DATA'!M84, 0),
  0
)</f>
        <v>0</v>
      </c>
      <c r="E84" s="55">
        <f>IFERROR(IF('CASE DATA'!D84+7300&gt;'BASIC INFO'!$B$3,SUM('CASE DATA'!K84:T84),0),0)</f>
        <v>0</v>
      </c>
    </row>
    <row r="85" spans="1:5" x14ac:dyDescent="0.25">
      <c r="A85" s="35" t="str">
        <f>IF('CASE DATA'!A85="","",'CASE DATA'!A85)</f>
        <v/>
      </c>
      <c r="B85" s="40" t="str">
        <f>IF('CASE DATA'!A85&lt;&gt;"",IF('CASE DATA'!G85=0, "open charge", 'CASE DATA'!G85),"")</f>
        <v/>
      </c>
      <c r="C85" s="52">
        <f>IFERROR(IF('CASE DATA'!D85+7300&lt;'BASIC INFO'!$B$3,'CASE DATA'!K85+'CASE DATA'!L85,0),0)</f>
        <v>0</v>
      </c>
      <c r="D85" s="61">
        <f>IFERROR(
  IF('CASE DATA'!D85 + 7300 &lt; 'BASIC INFO'!$B$3, 'CASE DATA'!M85, 0),
  0
)</f>
        <v>0</v>
      </c>
      <c r="E85" s="55">
        <f>IFERROR(IF('CASE DATA'!D85+7300&gt;'BASIC INFO'!$B$3,SUM('CASE DATA'!K85:T85),0),0)</f>
        <v>0</v>
      </c>
    </row>
    <row r="86" spans="1:5" x14ac:dyDescent="0.25">
      <c r="A86" s="35" t="str">
        <f>IF('CASE DATA'!A86="","",'CASE DATA'!A86)</f>
        <v/>
      </c>
      <c r="B86" s="40" t="str">
        <f>IF('CASE DATA'!A86&lt;&gt;"",IF('CASE DATA'!G86=0, "open charge", 'CASE DATA'!G86),"")</f>
        <v/>
      </c>
      <c r="C86" s="52">
        <f>IFERROR(IF('CASE DATA'!D86+7300&lt;'BASIC INFO'!$B$3,'CASE DATA'!K86+'CASE DATA'!L86,0),0)</f>
        <v>0</v>
      </c>
      <c r="D86" s="61">
        <f>IFERROR(
  IF('CASE DATA'!D86 + 7300 &lt; 'BASIC INFO'!$B$3, 'CASE DATA'!M86, 0),
  0
)</f>
        <v>0</v>
      </c>
      <c r="E86" s="55">
        <f>IFERROR(IF('CASE DATA'!D86+7300&gt;'BASIC INFO'!$B$3,SUM('CASE DATA'!K86:T86),0),0)</f>
        <v>0</v>
      </c>
    </row>
    <row r="87" spans="1:5" x14ac:dyDescent="0.25">
      <c r="A87" s="35" t="str">
        <f>IF('CASE DATA'!A87="","",'CASE DATA'!A87)</f>
        <v/>
      </c>
      <c r="B87" s="40" t="str">
        <f>IF('CASE DATA'!A87&lt;&gt;"",IF('CASE DATA'!G87=0, "open charge", 'CASE DATA'!G87),"")</f>
        <v/>
      </c>
      <c r="C87" s="52">
        <f>IFERROR(IF('CASE DATA'!D87+7300&lt;'BASIC INFO'!$B$3,'CASE DATA'!K87+'CASE DATA'!L87,0),0)</f>
        <v>0</v>
      </c>
      <c r="D87" s="61">
        <f>IFERROR(
  IF('CASE DATA'!D87 + 7300 &lt; 'BASIC INFO'!$B$3, 'CASE DATA'!M87, 0),
  0
)</f>
        <v>0</v>
      </c>
      <c r="E87" s="55">
        <f>IFERROR(IF('CASE DATA'!D87+7300&gt;'BASIC INFO'!$B$3,SUM('CASE DATA'!K87:T87),0),0)</f>
        <v>0</v>
      </c>
    </row>
    <row r="88" spans="1:5" x14ac:dyDescent="0.25">
      <c r="A88" s="35" t="str">
        <f>IF('CASE DATA'!A88="","",'CASE DATA'!A88)</f>
        <v/>
      </c>
      <c r="B88" s="40" t="str">
        <f>IF('CASE DATA'!A88&lt;&gt;"",IF('CASE DATA'!G88=0, "open charge", 'CASE DATA'!G88),"")</f>
        <v/>
      </c>
      <c r="C88" s="52">
        <f>IFERROR(IF('CASE DATA'!D88+7300&lt;'BASIC INFO'!$B$3,'CASE DATA'!K88+'CASE DATA'!L88,0),0)</f>
        <v>0</v>
      </c>
      <c r="D88" s="61">
        <f>IFERROR(
  IF('CASE DATA'!D88 + 7300 &lt; 'BASIC INFO'!$B$3, 'CASE DATA'!M88, 0),
  0
)</f>
        <v>0</v>
      </c>
      <c r="E88" s="55">
        <f>IFERROR(IF('CASE DATA'!D88+7300&gt;'BASIC INFO'!$B$3,SUM('CASE DATA'!K88:T88),0),0)</f>
        <v>0</v>
      </c>
    </row>
    <row r="89" spans="1:5" x14ac:dyDescent="0.25">
      <c r="A89" s="35" t="str">
        <f>IF('CASE DATA'!A89="","",'CASE DATA'!A89)</f>
        <v/>
      </c>
      <c r="B89" s="40" t="str">
        <f>IF('CASE DATA'!A89&lt;&gt;"",IF('CASE DATA'!G89=0, "open charge", 'CASE DATA'!G89),"")</f>
        <v/>
      </c>
      <c r="C89" s="52">
        <f>IFERROR(IF('CASE DATA'!D89+7300&lt;'BASIC INFO'!$B$3,'CASE DATA'!K89+'CASE DATA'!L89,0),0)</f>
        <v>0</v>
      </c>
      <c r="D89" s="61">
        <f>IFERROR(
  IF('CASE DATA'!D89 + 7300 &lt; 'BASIC INFO'!$B$3, 'CASE DATA'!M89, 0),
  0
)</f>
        <v>0</v>
      </c>
      <c r="E89" s="55">
        <f>IFERROR(IF('CASE DATA'!D89+7300&gt;'BASIC INFO'!$B$3,SUM('CASE DATA'!K89:T89),0),0)</f>
        <v>0</v>
      </c>
    </row>
    <row r="90" spans="1:5" x14ac:dyDescent="0.25">
      <c r="A90" s="35" t="str">
        <f>IF('CASE DATA'!A90="","",'CASE DATA'!A90)</f>
        <v/>
      </c>
      <c r="B90" s="40" t="str">
        <f>IF('CASE DATA'!A90&lt;&gt;"",IF('CASE DATA'!G90=0, "open charge", 'CASE DATA'!G90),"")</f>
        <v/>
      </c>
      <c r="C90" s="52">
        <f>IFERROR(IF('CASE DATA'!D90+7300&lt;'BASIC INFO'!$B$3,'CASE DATA'!K90+'CASE DATA'!L90,0),0)</f>
        <v>0</v>
      </c>
      <c r="D90" s="61">
        <f>IFERROR(
  IF('CASE DATA'!D90 + 7300 &lt; 'BASIC INFO'!$B$3, 'CASE DATA'!M90, 0),
  0
)</f>
        <v>0</v>
      </c>
      <c r="E90" s="55">
        <f>IFERROR(IF('CASE DATA'!D90+7300&gt;'BASIC INFO'!$B$3,SUM('CASE DATA'!K90:T90),0),0)</f>
        <v>0</v>
      </c>
    </row>
    <row r="91" spans="1:5" x14ac:dyDescent="0.25">
      <c r="A91" s="35" t="str">
        <f>IF('CASE DATA'!A91="","",'CASE DATA'!A91)</f>
        <v/>
      </c>
      <c r="B91" s="40" t="str">
        <f>IF('CASE DATA'!A91&lt;&gt;"",IF('CASE DATA'!G91=0, "open charge", 'CASE DATA'!G91),"")</f>
        <v/>
      </c>
      <c r="C91" s="52">
        <f>IFERROR(IF('CASE DATA'!D91+7300&lt;'BASIC INFO'!$B$3,'CASE DATA'!K91+'CASE DATA'!L91,0),0)</f>
        <v>0</v>
      </c>
      <c r="D91" s="61">
        <f>IFERROR(
  IF('CASE DATA'!D91 + 7300 &lt; 'BASIC INFO'!$B$3, 'CASE DATA'!M91, 0),
  0
)</f>
        <v>0</v>
      </c>
      <c r="E91" s="55">
        <f>IFERROR(IF('CASE DATA'!D91+7300&gt;'BASIC INFO'!$B$3,SUM('CASE DATA'!K91:T91),0),0)</f>
        <v>0</v>
      </c>
    </row>
    <row r="92" spans="1:5" x14ac:dyDescent="0.25">
      <c r="A92" s="35" t="str">
        <f>IF('CASE DATA'!A92="","",'CASE DATA'!A92)</f>
        <v/>
      </c>
      <c r="B92" s="40" t="str">
        <f>IF('CASE DATA'!A92&lt;&gt;"",IF('CASE DATA'!G92=0, "open charge", 'CASE DATA'!G92),"")</f>
        <v/>
      </c>
      <c r="C92" s="52">
        <f>IFERROR(IF('CASE DATA'!D92+7300&lt;'BASIC INFO'!$B$3,'CASE DATA'!K92+'CASE DATA'!L92,0),0)</f>
        <v>0</v>
      </c>
      <c r="D92" s="61">
        <f>IFERROR(
  IF('CASE DATA'!D92 + 7300 &lt; 'BASIC INFO'!$B$3, 'CASE DATA'!M92, 0),
  0
)</f>
        <v>0</v>
      </c>
      <c r="E92" s="55">
        <f>IFERROR(IF('CASE DATA'!D92+7300&gt;'BASIC INFO'!$B$3,SUM('CASE DATA'!K92:T92),0),0)</f>
        <v>0</v>
      </c>
    </row>
    <row r="93" spans="1:5" x14ac:dyDescent="0.25">
      <c r="A93" s="35" t="str">
        <f>IF('CASE DATA'!A93="","",'CASE DATA'!A93)</f>
        <v/>
      </c>
      <c r="B93" s="40" t="str">
        <f>IF('CASE DATA'!A93&lt;&gt;"",IF('CASE DATA'!G93=0, "open charge", 'CASE DATA'!G93),"")</f>
        <v/>
      </c>
      <c r="C93" s="52">
        <f>IFERROR(IF('CASE DATA'!D93+7300&lt;'BASIC INFO'!$B$3,'CASE DATA'!K93+'CASE DATA'!L93,0),0)</f>
        <v>0</v>
      </c>
      <c r="D93" s="61">
        <f>IFERROR(
  IF('CASE DATA'!D93 + 7300 &lt; 'BASIC INFO'!$B$3, 'CASE DATA'!M93, 0),
  0
)</f>
        <v>0</v>
      </c>
      <c r="E93" s="55">
        <f>IFERROR(IF('CASE DATA'!D93+7300&gt;'BASIC INFO'!$B$3,SUM('CASE DATA'!K93:T93),0),0)</f>
        <v>0</v>
      </c>
    </row>
    <row r="94" spans="1:5" x14ac:dyDescent="0.25">
      <c r="A94" s="35" t="str">
        <f>IF('CASE DATA'!A94="","",'CASE DATA'!A94)</f>
        <v/>
      </c>
      <c r="B94" s="40" t="str">
        <f>IF('CASE DATA'!A94&lt;&gt;"",IF('CASE DATA'!G94=0, "open charge", 'CASE DATA'!G94),"")</f>
        <v/>
      </c>
      <c r="C94" s="52">
        <f>IFERROR(IF('CASE DATA'!D94+7300&lt;'BASIC INFO'!$B$3,'CASE DATA'!K94+'CASE DATA'!L94,0),0)</f>
        <v>0</v>
      </c>
      <c r="D94" s="61">
        <f>IFERROR(
  IF('CASE DATA'!D94 + 7300 &lt; 'BASIC INFO'!$B$3, 'CASE DATA'!M94, 0),
  0
)</f>
        <v>0</v>
      </c>
      <c r="E94" s="55">
        <f>IFERROR(IF('CASE DATA'!D94+7300&gt;'BASIC INFO'!$B$3,SUM('CASE DATA'!K94:T94),0),0)</f>
        <v>0</v>
      </c>
    </row>
    <row r="95" spans="1:5" x14ac:dyDescent="0.25">
      <c r="A95" s="35" t="str">
        <f>IF('CASE DATA'!A95="","",'CASE DATA'!A95)</f>
        <v/>
      </c>
      <c r="B95" s="40" t="str">
        <f>IF('CASE DATA'!A95&lt;&gt;"",IF('CASE DATA'!G95=0, "open charge", 'CASE DATA'!G95),"")</f>
        <v/>
      </c>
      <c r="C95" s="52">
        <f>IFERROR(IF('CASE DATA'!D95+7300&lt;'BASIC INFO'!$B$3,'CASE DATA'!K95+'CASE DATA'!L95,0),0)</f>
        <v>0</v>
      </c>
      <c r="D95" s="61">
        <f>IFERROR(
  IF('CASE DATA'!D95 + 7300 &lt; 'BASIC INFO'!$B$3, 'CASE DATA'!M95, 0),
  0
)</f>
        <v>0</v>
      </c>
      <c r="E95" s="55">
        <f>IFERROR(IF('CASE DATA'!D95+7300&gt;'BASIC INFO'!$B$3,SUM('CASE DATA'!K95:T95),0),0)</f>
        <v>0</v>
      </c>
    </row>
    <row r="96" spans="1:5" x14ac:dyDescent="0.25">
      <c r="A96" s="35" t="str">
        <f>IF('CASE DATA'!A96="","",'CASE DATA'!A96)</f>
        <v/>
      </c>
      <c r="B96" s="40" t="str">
        <f>IF('CASE DATA'!A96&lt;&gt;"",IF('CASE DATA'!G96=0, "open charge", 'CASE DATA'!G96),"")</f>
        <v/>
      </c>
      <c r="C96" s="52">
        <f>IFERROR(IF('CASE DATA'!D96+7300&lt;'BASIC INFO'!$B$3,'CASE DATA'!K96+'CASE DATA'!L96,0),0)</f>
        <v>0</v>
      </c>
      <c r="D96" s="61">
        <f>IFERROR(
  IF('CASE DATA'!D96 + 7300 &lt; 'BASIC INFO'!$B$3, 'CASE DATA'!M96, 0),
  0
)</f>
        <v>0</v>
      </c>
      <c r="E96" s="55">
        <f>IFERROR(IF('CASE DATA'!D96+7300&gt;'BASIC INFO'!$B$3,SUM('CASE DATA'!K96:T96),0),0)</f>
        <v>0</v>
      </c>
    </row>
    <row r="97" spans="1:5" x14ac:dyDescent="0.25">
      <c r="A97" s="35" t="str">
        <f>IF('CASE DATA'!A97="","",'CASE DATA'!A97)</f>
        <v/>
      </c>
      <c r="B97" s="40" t="str">
        <f>IF('CASE DATA'!A97&lt;&gt;"",IF('CASE DATA'!G97=0, "open charge", 'CASE DATA'!G97),"")</f>
        <v/>
      </c>
      <c r="C97" s="52">
        <f>IFERROR(IF('CASE DATA'!D97+7300&lt;'BASIC INFO'!$B$3,'CASE DATA'!K97+'CASE DATA'!L97,0),0)</f>
        <v>0</v>
      </c>
      <c r="D97" s="61">
        <f>IFERROR(
  IF('CASE DATA'!D97 + 7300 &lt; 'BASIC INFO'!$B$3, 'CASE DATA'!M97, 0),
  0
)</f>
        <v>0</v>
      </c>
      <c r="E97" s="55">
        <f>IFERROR(IF('CASE DATA'!D97+7300&gt;'BASIC INFO'!$B$3,SUM('CASE DATA'!K97:T97),0),0)</f>
        <v>0</v>
      </c>
    </row>
    <row r="98" spans="1:5" x14ac:dyDescent="0.25">
      <c r="A98" s="35" t="str">
        <f>IF('CASE DATA'!A98="","",'CASE DATA'!A98)</f>
        <v/>
      </c>
      <c r="B98" s="40" t="str">
        <f>IF('CASE DATA'!A98&lt;&gt;"",IF('CASE DATA'!G98=0, "open charge", 'CASE DATA'!G98),"")</f>
        <v/>
      </c>
      <c r="C98" s="52">
        <f>IFERROR(IF('CASE DATA'!D98+7300&lt;'BASIC INFO'!$B$3,'CASE DATA'!K98+'CASE DATA'!L98,0),0)</f>
        <v>0</v>
      </c>
      <c r="D98" s="61">
        <f>IFERROR(
  IF('CASE DATA'!D98 + 7300 &lt; 'BASIC INFO'!$B$3, 'CASE DATA'!M98, 0),
  0
)</f>
        <v>0</v>
      </c>
      <c r="E98" s="55">
        <f>IFERROR(IF('CASE DATA'!D98+7300&gt;'BASIC INFO'!$B$3,SUM('CASE DATA'!K98:T98),0),0)</f>
        <v>0</v>
      </c>
    </row>
    <row r="99" spans="1:5" x14ac:dyDescent="0.25">
      <c r="A99" s="35" t="str">
        <f>IF('CASE DATA'!A99="","",'CASE DATA'!A99)</f>
        <v/>
      </c>
      <c r="B99" s="40" t="str">
        <f>IF('CASE DATA'!A99&lt;&gt;"",IF('CASE DATA'!G99=0, "open charge", 'CASE DATA'!G99),"")</f>
        <v/>
      </c>
      <c r="C99" s="52">
        <f>IFERROR(IF('CASE DATA'!D99+7300&lt;'BASIC INFO'!$B$3,'CASE DATA'!K99+'CASE DATA'!L99,0),0)</f>
        <v>0</v>
      </c>
      <c r="D99" s="61">
        <f>IFERROR(
  IF('CASE DATA'!D99 + 7300 &lt; 'BASIC INFO'!$B$3, 'CASE DATA'!M99, 0),
  0
)</f>
        <v>0</v>
      </c>
      <c r="E99" s="55">
        <f>IFERROR(IF('CASE DATA'!D99+7300&gt;'BASIC INFO'!$B$3,SUM('CASE DATA'!K99:T99),0),0)</f>
        <v>0</v>
      </c>
    </row>
    <row r="100" spans="1:5" x14ac:dyDescent="0.25">
      <c r="A100" s="35" t="str">
        <f>IF('CASE DATA'!A100="","",'CASE DATA'!A100)</f>
        <v/>
      </c>
      <c r="B100" s="40" t="str">
        <f>IF('CASE DATA'!A100&lt;&gt;"",IF('CASE DATA'!G100=0, "open charge", 'CASE DATA'!G100),"")</f>
        <v/>
      </c>
      <c r="C100" s="52">
        <f>IFERROR(IF('CASE DATA'!D100+7300&lt;'BASIC INFO'!$B$3,'CASE DATA'!K100+'CASE DATA'!L100,0),0)</f>
        <v>0</v>
      </c>
      <c r="D100" s="61">
        <f>IFERROR(
  IF('CASE DATA'!D100 + 7300 &lt; 'BASIC INFO'!$B$3, 'CASE DATA'!M100, 0),
  0
)</f>
        <v>0</v>
      </c>
      <c r="E100" s="55">
        <f>IFERROR(IF('CASE DATA'!D100+7300&gt;'BASIC INFO'!$B$3,SUM('CASE DATA'!K100:T100),0),0)</f>
        <v>0</v>
      </c>
    </row>
    <row r="101" spans="1:5" x14ac:dyDescent="0.25">
      <c r="A101" s="35" t="str">
        <f>IF('CASE DATA'!A101="","",'CASE DATA'!A101)</f>
        <v/>
      </c>
      <c r="B101" s="40" t="str">
        <f>IF('CASE DATA'!A101&lt;&gt;"",IF('CASE DATA'!G101=0, "open charge", 'CASE DATA'!G101),"")</f>
        <v/>
      </c>
      <c r="C101" s="52">
        <f>IFERROR(IF('CASE DATA'!D101+7300&lt;'BASIC INFO'!$B$3,'CASE DATA'!K101+'CASE DATA'!L101,0),0)</f>
        <v>0</v>
      </c>
      <c r="D101" s="61">
        <f>IFERROR(
  IF('CASE DATA'!D101 + 7300 &lt; 'BASIC INFO'!$B$3, 'CASE DATA'!M101, 0),
  0
)</f>
        <v>0</v>
      </c>
      <c r="E101" s="55">
        <f>IFERROR(IF('CASE DATA'!D101+7300&gt;'BASIC INFO'!$B$3,SUM('CASE DATA'!K101:T101),0),0)</f>
        <v>0</v>
      </c>
    </row>
    <row r="102" spans="1:5" x14ac:dyDescent="0.25">
      <c r="A102" s="35" t="str">
        <f>IF('CASE DATA'!A102="","",'CASE DATA'!A102)</f>
        <v/>
      </c>
      <c r="B102" s="40" t="str">
        <f>IF('CASE DATA'!A102&lt;&gt;"",IF('CASE DATA'!G102=0, "open charge", 'CASE DATA'!G102),"")</f>
        <v/>
      </c>
      <c r="C102" s="52">
        <f>IFERROR(IF('CASE DATA'!D102+7300&lt;'BASIC INFO'!$B$3,'CASE DATA'!K102+'CASE DATA'!L102,0),0)</f>
        <v>0</v>
      </c>
      <c r="D102" s="61">
        <f>IFERROR(
  IF('CASE DATA'!D102 + 7300 &lt; 'BASIC INFO'!$B$3, 'CASE DATA'!M102, 0),
  0
)</f>
        <v>0</v>
      </c>
      <c r="E102" s="55">
        <f>IFERROR(IF('CASE DATA'!D102+7300&gt;'BASIC INFO'!$B$3,SUM('CASE DATA'!K102:T102),0),0)</f>
        <v>0</v>
      </c>
    </row>
    <row r="103" spans="1:5" x14ac:dyDescent="0.25">
      <c r="A103" s="35" t="str">
        <f>IF('CASE DATA'!A103="","",'CASE DATA'!A103)</f>
        <v/>
      </c>
      <c r="B103" s="40" t="str">
        <f>IF('CASE DATA'!A103&lt;&gt;"",IF('CASE DATA'!G103=0, "open charge", 'CASE DATA'!G103),"")</f>
        <v/>
      </c>
      <c r="C103" s="52">
        <f>IFERROR(IF('CASE DATA'!D103+7300&lt;'BASIC INFO'!$B$3,'CASE DATA'!K103+'CASE DATA'!L103,0),0)</f>
        <v>0</v>
      </c>
      <c r="D103" s="61">
        <f>IFERROR(
  IF('CASE DATA'!D103 + 7300 &lt; 'BASIC INFO'!$B$3, 'CASE DATA'!M103, 0),
  0
)</f>
        <v>0</v>
      </c>
      <c r="E103" s="55">
        <f>IFERROR(IF('CASE DATA'!D103+7300&gt;'BASIC INFO'!$B$3,SUM('CASE DATA'!K103:T103),0),0)</f>
        <v>0</v>
      </c>
    </row>
    <row r="104" spans="1:5" x14ac:dyDescent="0.25">
      <c r="A104" s="35" t="str">
        <f>IF('CASE DATA'!A104="","",'CASE DATA'!A104)</f>
        <v/>
      </c>
      <c r="B104" s="40" t="str">
        <f>IF('CASE DATA'!A104&lt;&gt;"",IF('CASE DATA'!G104=0, "open charge", 'CASE DATA'!G104),"")</f>
        <v/>
      </c>
      <c r="C104" s="52">
        <f>IFERROR(IF('CASE DATA'!D104+7300&lt;'BASIC INFO'!$B$3,'CASE DATA'!K104+'CASE DATA'!L104,0),0)</f>
        <v>0</v>
      </c>
      <c r="D104" s="61">
        <f>IFERROR(
  IF('CASE DATA'!D104 + 7300 &lt; 'BASIC INFO'!$B$3, 'CASE DATA'!M104, 0),
  0
)</f>
        <v>0</v>
      </c>
      <c r="E104" s="55">
        <f>IFERROR(IF('CASE DATA'!D104+7300&gt;'BASIC INFO'!$B$3,SUM('CASE DATA'!K104:T104),0),0)</f>
        <v>0</v>
      </c>
    </row>
    <row r="105" spans="1:5" x14ac:dyDescent="0.25">
      <c r="A105" s="35" t="str">
        <f>IF('CASE DATA'!A105="","",'CASE DATA'!A105)</f>
        <v/>
      </c>
      <c r="B105" s="40" t="str">
        <f>IF('CASE DATA'!A105&lt;&gt;"",IF('CASE DATA'!G105=0, "open charge", 'CASE DATA'!G105),"")</f>
        <v/>
      </c>
      <c r="C105" s="52">
        <f>IFERROR(IF('CASE DATA'!D105+7300&lt;'BASIC INFO'!$B$3,'CASE DATA'!K105+'CASE DATA'!L105,0),0)</f>
        <v>0</v>
      </c>
      <c r="D105" s="61">
        <f>IFERROR(
  IF('CASE DATA'!D105 + 7300 &lt; 'BASIC INFO'!$B$3, 'CASE DATA'!M105, 0),
  0
)</f>
        <v>0</v>
      </c>
      <c r="E105" s="55">
        <f>IFERROR(IF('CASE DATA'!D105+7300&gt;'BASIC INFO'!$B$3,SUM('CASE DATA'!K105:T105),0),0)</f>
        <v>0</v>
      </c>
    </row>
    <row r="106" spans="1:5" x14ac:dyDescent="0.25">
      <c r="A106" s="35" t="str">
        <f>IF('CASE DATA'!A106="","",'CASE DATA'!A106)</f>
        <v/>
      </c>
      <c r="B106" s="40" t="str">
        <f>IF('CASE DATA'!A106&lt;&gt;"",IF('CASE DATA'!G106=0, "open charge", 'CASE DATA'!G106),"")</f>
        <v/>
      </c>
      <c r="C106" s="52">
        <f>IFERROR(IF('CASE DATA'!D106+7300&lt;'BASIC INFO'!$B$3,'CASE DATA'!K106+'CASE DATA'!L106,0),0)</f>
        <v>0</v>
      </c>
      <c r="D106" s="61">
        <f>IFERROR(
  IF('CASE DATA'!D106 + 7300 &lt; 'BASIC INFO'!$B$3, 'CASE DATA'!M106, 0),
  0
)</f>
        <v>0</v>
      </c>
      <c r="E106" s="55">
        <f>IFERROR(IF('CASE DATA'!D106+7300&gt;'BASIC INFO'!$B$3,SUM('CASE DATA'!K106:T106),0),0)</f>
        <v>0</v>
      </c>
    </row>
    <row r="107" spans="1:5" x14ac:dyDescent="0.25">
      <c r="A107" s="35" t="str">
        <f>IF('CASE DATA'!A107="","",'CASE DATA'!A107)</f>
        <v/>
      </c>
      <c r="B107" s="40" t="str">
        <f>IF('CASE DATA'!A107&lt;&gt;"",IF('CASE DATA'!G107=0, "open charge", 'CASE DATA'!G107),"")</f>
        <v/>
      </c>
      <c r="C107" s="52">
        <f>IFERROR(IF('CASE DATA'!D107+7300&lt;'BASIC INFO'!$B$3,'CASE DATA'!K107+'CASE DATA'!L107,0),0)</f>
        <v>0</v>
      </c>
      <c r="D107" s="61">
        <f>IFERROR(
  IF('CASE DATA'!D107 + 7300 &lt; 'BASIC INFO'!$B$3, 'CASE DATA'!M107, 0),
  0
)</f>
        <v>0</v>
      </c>
      <c r="E107" s="55">
        <f>IFERROR(IF('CASE DATA'!D107+7300&gt;'BASIC INFO'!$B$3,SUM('CASE DATA'!K107:T107),0),0)</f>
        <v>0</v>
      </c>
    </row>
    <row r="108" spans="1:5" x14ac:dyDescent="0.25">
      <c r="A108" s="35" t="str">
        <f>IF('CASE DATA'!A108="","",'CASE DATA'!A108)</f>
        <v/>
      </c>
      <c r="B108" s="40" t="str">
        <f>IF('CASE DATA'!A108&lt;&gt;"",IF('CASE DATA'!G108=0, "open charge", 'CASE DATA'!G108),"")</f>
        <v/>
      </c>
      <c r="C108" s="52">
        <f>IFERROR(IF('CASE DATA'!D108+7300&lt;'BASIC INFO'!$B$3,'CASE DATA'!K108+'CASE DATA'!L108,0),0)</f>
        <v>0</v>
      </c>
      <c r="D108" s="61">
        <f>IFERROR(
  IF('CASE DATA'!D108 + 7300 &lt; 'BASIC INFO'!$B$3, 'CASE DATA'!M108, 0),
  0
)</f>
        <v>0</v>
      </c>
      <c r="E108" s="55">
        <f>IFERROR(IF('CASE DATA'!D108+7300&gt;'BASIC INFO'!$B$3,SUM('CASE DATA'!K108:T108),0),0)</f>
        <v>0</v>
      </c>
    </row>
    <row r="109" spans="1:5" x14ac:dyDescent="0.25">
      <c r="A109" s="35" t="str">
        <f>IF('CASE DATA'!A109="","",'CASE DATA'!A109)</f>
        <v/>
      </c>
      <c r="B109" s="40" t="str">
        <f>IF('CASE DATA'!A109&lt;&gt;"",IF('CASE DATA'!G109=0, "open charge", 'CASE DATA'!G109),"")</f>
        <v/>
      </c>
      <c r="C109" s="52">
        <f>IFERROR(IF('CASE DATA'!D109+7300&lt;'BASIC INFO'!$B$3,'CASE DATA'!K109+'CASE DATA'!L109,0),0)</f>
        <v>0</v>
      </c>
      <c r="D109" s="61">
        <f>IFERROR(
  IF('CASE DATA'!D109 + 7300 &lt; 'BASIC INFO'!$B$3, 'CASE DATA'!M109, 0),
  0
)</f>
        <v>0</v>
      </c>
      <c r="E109" s="55">
        <f>IFERROR(IF('CASE DATA'!D109+7300&gt;'BASIC INFO'!$B$3,SUM('CASE DATA'!K109:T109),0),0)</f>
        <v>0</v>
      </c>
    </row>
    <row r="110" spans="1:5" x14ac:dyDescent="0.25">
      <c r="A110" s="35" t="str">
        <f>IF('CASE DATA'!A110="","",'CASE DATA'!A110)</f>
        <v/>
      </c>
      <c r="B110" s="40" t="str">
        <f>IF('CASE DATA'!A110&lt;&gt;"",IF('CASE DATA'!G110=0, "open charge", 'CASE DATA'!G110),"")</f>
        <v/>
      </c>
      <c r="C110" s="52">
        <f>IFERROR(IF('CASE DATA'!D110+7300&lt;'BASIC INFO'!$B$3,'CASE DATA'!K110+'CASE DATA'!L110,0),0)</f>
        <v>0</v>
      </c>
      <c r="D110" s="61">
        <f>IFERROR(
  IF('CASE DATA'!D110 + 7300 &lt; 'BASIC INFO'!$B$3, 'CASE DATA'!M110, 0),
  0
)</f>
        <v>0</v>
      </c>
      <c r="E110" s="55">
        <f>IFERROR(IF('CASE DATA'!D110+7300&gt;'BASIC INFO'!$B$3,SUM('CASE DATA'!K110:T110),0),0)</f>
        <v>0</v>
      </c>
    </row>
    <row r="111" spans="1:5" x14ac:dyDescent="0.25">
      <c r="A111" s="35" t="str">
        <f>IF('CASE DATA'!A111="","",'CASE DATA'!A111)</f>
        <v/>
      </c>
      <c r="B111" s="40" t="str">
        <f>IF('CASE DATA'!A111&lt;&gt;"",IF('CASE DATA'!G111=0, "open charge", 'CASE DATA'!G111),"")</f>
        <v/>
      </c>
      <c r="C111" s="52">
        <f>IFERROR(IF('CASE DATA'!D111+7300&lt;'BASIC INFO'!$B$3,'CASE DATA'!K111+'CASE DATA'!L111,0),0)</f>
        <v>0</v>
      </c>
      <c r="D111" s="61">
        <f>IFERROR(
  IF('CASE DATA'!D111 + 7300 &lt; 'BASIC INFO'!$B$3, 'CASE DATA'!M111, 0),
  0
)</f>
        <v>0</v>
      </c>
      <c r="E111" s="55">
        <f>IFERROR(IF('CASE DATA'!D111+7300&gt;'BASIC INFO'!$B$3,SUM('CASE DATA'!K111:T111),0),0)</f>
        <v>0</v>
      </c>
    </row>
    <row r="112" spans="1:5" x14ac:dyDescent="0.25">
      <c r="A112" s="35" t="str">
        <f>IF('CASE DATA'!A112="","",'CASE DATA'!A112)</f>
        <v/>
      </c>
      <c r="B112" s="40" t="str">
        <f>IF('CASE DATA'!A112&lt;&gt;"",IF('CASE DATA'!G112=0, "open charge", 'CASE DATA'!G112),"")</f>
        <v/>
      </c>
      <c r="C112" s="52">
        <f>IFERROR(IF('CASE DATA'!D112+7300&lt;'BASIC INFO'!$B$3,'CASE DATA'!K112+'CASE DATA'!L112,0),0)</f>
        <v>0</v>
      </c>
      <c r="D112" s="61">
        <f>IFERROR(
  IF('CASE DATA'!D112 + 7300 &lt; 'BASIC INFO'!$B$3, 'CASE DATA'!M112, 0),
  0
)</f>
        <v>0</v>
      </c>
      <c r="E112" s="55">
        <f>IFERROR(IF('CASE DATA'!D112+7300&gt;'BASIC INFO'!$B$3,SUM('CASE DATA'!K112:T112),0),0)</f>
        <v>0</v>
      </c>
    </row>
    <row r="113" spans="1:5" x14ac:dyDescent="0.25">
      <c r="A113" s="35" t="str">
        <f>IF('CASE DATA'!A113="","",'CASE DATA'!A113)</f>
        <v/>
      </c>
      <c r="B113" s="40" t="str">
        <f>IF('CASE DATA'!A113&lt;&gt;"",IF('CASE DATA'!G113=0, "open charge", 'CASE DATA'!G113),"")</f>
        <v/>
      </c>
      <c r="C113" s="52">
        <f>IFERROR(IF('CASE DATA'!D113+7300&lt;'BASIC INFO'!$B$3,'CASE DATA'!K113+'CASE DATA'!L113,0),0)</f>
        <v>0</v>
      </c>
      <c r="D113" s="61">
        <f>IFERROR(
  IF('CASE DATA'!D113 + 7300 &lt; 'BASIC INFO'!$B$3, 'CASE DATA'!M113, 0),
  0
)</f>
        <v>0</v>
      </c>
      <c r="E113" s="55">
        <f>IFERROR(IF('CASE DATA'!D113+7300&gt;'BASIC INFO'!$B$3,SUM('CASE DATA'!K113:T113),0),0)</f>
        <v>0</v>
      </c>
    </row>
    <row r="114" spans="1:5" x14ac:dyDescent="0.25">
      <c r="A114" s="35" t="str">
        <f>IF('CASE DATA'!A114="","",'CASE DATA'!A114)</f>
        <v/>
      </c>
      <c r="B114" s="40" t="str">
        <f>IF('CASE DATA'!A114&lt;&gt;"",IF('CASE DATA'!G114=0, "open charge", 'CASE DATA'!G114),"")</f>
        <v/>
      </c>
      <c r="C114" s="52">
        <f>IFERROR(IF('CASE DATA'!D114+7300&lt;'BASIC INFO'!$B$3,'CASE DATA'!K114+'CASE DATA'!L114,0),0)</f>
        <v>0</v>
      </c>
      <c r="D114" s="61">
        <f>IFERROR(
  IF('CASE DATA'!D114 + 7300 &lt; 'BASIC INFO'!$B$3, 'CASE DATA'!M114, 0),
  0
)</f>
        <v>0</v>
      </c>
      <c r="E114" s="55">
        <f>IFERROR(IF('CASE DATA'!D114+7300&gt;'BASIC INFO'!$B$3,SUM('CASE DATA'!K114:T114),0),0)</f>
        <v>0</v>
      </c>
    </row>
    <row r="115" spans="1:5" x14ac:dyDescent="0.25">
      <c r="A115" s="35" t="str">
        <f>IF('CASE DATA'!A115="","",'CASE DATA'!A115)</f>
        <v/>
      </c>
      <c r="B115" s="40" t="str">
        <f>IF('CASE DATA'!A115&lt;&gt;"",IF('CASE DATA'!G115=0, "open charge", 'CASE DATA'!G115),"")</f>
        <v/>
      </c>
      <c r="C115" s="52">
        <f>IFERROR(IF('CASE DATA'!D115+7300&lt;'BASIC INFO'!$B$3,'CASE DATA'!K115+'CASE DATA'!L115,0),0)</f>
        <v>0</v>
      </c>
      <c r="D115" s="61">
        <f>IFERROR(
  IF('CASE DATA'!D115 + 7300 &lt; 'BASIC INFO'!$B$3, 'CASE DATA'!M115, 0),
  0
)</f>
        <v>0</v>
      </c>
      <c r="E115" s="55">
        <f>IFERROR(IF('CASE DATA'!D115+7300&gt;'BASIC INFO'!$B$3,SUM('CASE DATA'!K115:T115),0),0)</f>
        <v>0</v>
      </c>
    </row>
    <row r="116" spans="1:5" x14ac:dyDescent="0.25">
      <c r="A116" s="35" t="str">
        <f>IF('CASE DATA'!A116="","",'CASE DATA'!A116)</f>
        <v/>
      </c>
      <c r="B116" s="40" t="str">
        <f>IF('CASE DATA'!A116&lt;&gt;"",IF('CASE DATA'!G116=0, "open charge", 'CASE DATA'!G116),"")</f>
        <v/>
      </c>
      <c r="C116" s="52">
        <f>IFERROR(IF('CASE DATA'!D116+7300&lt;'BASIC INFO'!$B$3,'CASE DATA'!K116+'CASE DATA'!L116,0),0)</f>
        <v>0</v>
      </c>
      <c r="D116" s="61">
        <f>IFERROR(
  IF('CASE DATA'!D116 + 7300 &lt; 'BASIC INFO'!$B$3, 'CASE DATA'!M116, 0),
  0
)</f>
        <v>0</v>
      </c>
      <c r="E116" s="55">
        <f>IFERROR(IF('CASE DATA'!D116+7300&gt;'BASIC INFO'!$B$3,SUM('CASE DATA'!K116:T116),0),0)</f>
        <v>0</v>
      </c>
    </row>
    <row r="117" spans="1:5" x14ac:dyDescent="0.25">
      <c r="A117" s="35" t="str">
        <f>IF('CASE DATA'!A117="","",'CASE DATA'!A117)</f>
        <v/>
      </c>
      <c r="B117" s="40" t="str">
        <f>IF('CASE DATA'!A117&lt;&gt;"",IF('CASE DATA'!G117=0, "open charge", 'CASE DATA'!G117),"")</f>
        <v/>
      </c>
      <c r="C117" s="52">
        <f>IFERROR(IF('CASE DATA'!D117+7300&lt;'BASIC INFO'!$B$3,'CASE DATA'!K117+'CASE DATA'!L117,0),0)</f>
        <v>0</v>
      </c>
      <c r="D117" s="61">
        <f>IFERROR(
  IF('CASE DATA'!D117 + 7300 &lt; 'BASIC INFO'!$B$3, 'CASE DATA'!M117, 0),
  0
)</f>
        <v>0</v>
      </c>
      <c r="E117" s="55">
        <f>IFERROR(IF('CASE DATA'!D117+7300&gt;'BASIC INFO'!$B$3,SUM('CASE DATA'!K117:T117),0),0)</f>
        <v>0</v>
      </c>
    </row>
    <row r="118" spans="1:5" x14ac:dyDescent="0.25">
      <c r="A118" s="35" t="str">
        <f>IF('CASE DATA'!A118="","",'CASE DATA'!A118)</f>
        <v/>
      </c>
      <c r="B118" s="40" t="str">
        <f>IF('CASE DATA'!A118&lt;&gt;"",IF('CASE DATA'!G118=0, "open charge", 'CASE DATA'!G118),"")</f>
        <v/>
      </c>
      <c r="C118" s="52">
        <f>IFERROR(IF('CASE DATA'!D118+7300&lt;'BASIC INFO'!$B$3,'CASE DATA'!K118+'CASE DATA'!L118,0),0)</f>
        <v>0</v>
      </c>
      <c r="D118" s="61">
        <f>IFERROR(
  IF('CASE DATA'!D118 + 7300 &lt; 'BASIC INFO'!$B$3, 'CASE DATA'!M118, 0),
  0
)</f>
        <v>0</v>
      </c>
      <c r="E118" s="55">
        <f>IFERROR(IF('CASE DATA'!D118+7300&gt;'BASIC INFO'!$B$3,SUM('CASE DATA'!K118:T118),0),0)</f>
        <v>0</v>
      </c>
    </row>
    <row r="119" spans="1:5" x14ac:dyDescent="0.25">
      <c r="A119" s="35" t="str">
        <f>IF('CASE DATA'!A119="","",'CASE DATA'!A119)</f>
        <v/>
      </c>
      <c r="B119" s="40" t="str">
        <f>IF('CASE DATA'!A119&lt;&gt;"",IF('CASE DATA'!G119=0, "open charge", 'CASE DATA'!G119),"")</f>
        <v/>
      </c>
      <c r="C119" s="52">
        <f>IFERROR(IF('CASE DATA'!D119+7300&lt;'BASIC INFO'!$B$3,'CASE DATA'!K119+'CASE DATA'!L119,0),0)</f>
        <v>0</v>
      </c>
      <c r="D119" s="61">
        <f>IFERROR(
  IF('CASE DATA'!D119 + 7300 &lt; 'BASIC INFO'!$B$3, 'CASE DATA'!M119, 0),
  0
)</f>
        <v>0</v>
      </c>
      <c r="E119" s="55">
        <f>IFERROR(IF('CASE DATA'!D119+7300&gt;'BASIC INFO'!$B$3,SUM('CASE DATA'!K119:T119),0),0)</f>
        <v>0</v>
      </c>
    </row>
    <row r="120" spans="1:5" x14ac:dyDescent="0.25">
      <c r="A120" s="35" t="str">
        <f>IF('CASE DATA'!A120="","",'CASE DATA'!A120)</f>
        <v/>
      </c>
      <c r="B120" s="40" t="str">
        <f>IF('CASE DATA'!A120&lt;&gt;"",IF('CASE DATA'!G120=0, "open charge", 'CASE DATA'!G120),"")</f>
        <v/>
      </c>
      <c r="C120" s="52">
        <f>IFERROR(IF('CASE DATA'!D120+7300&lt;'BASIC INFO'!$B$3,'CASE DATA'!K120+'CASE DATA'!L120,0),0)</f>
        <v>0</v>
      </c>
      <c r="D120" s="61">
        <f>IFERROR(
  IF('CASE DATA'!D120 + 7300 &lt; 'BASIC INFO'!$B$3, 'CASE DATA'!M120, 0),
  0
)</f>
        <v>0</v>
      </c>
      <c r="E120" s="55">
        <f>IFERROR(IF('CASE DATA'!D120+7300&gt;'BASIC INFO'!$B$3,SUM('CASE DATA'!K120:T120),0),0)</f>
        <v>0</v>
      </c>
    </row>
    <row r="121" spans="1:5" x14ac:dyDescent="0.25">
      <c r="A121" s="35" t="str">
        <f>IF('CASE DATA'!A121="","",'CASE DATA'!A121)</f>
        <v/>
      </c>
      <c r="B121" s="40" t="str">
        <f>IF('CASE DATA'!A121&lt;&gt;"",IF('CASE DATA'!G121=0, "open charge", 'CASE DATA'!G121),"")</f>
        <v/>
      </c>
      <c r="C121" s="52">
        <f>IFERROR(IF('CASE DATA'!D121+7300&lt;'BASIC INFO'!$B$3,'CASE DATA'!K121+'CASE DATA'!L121,0),0)</f>
        <v>0</v>
      </c>
      <c r="D121" s="61">
        <f>IFERROR(
  IF('CASE DATA'!D121 + 7300 &lt; 'BASIC INFO'!$B$3, 'CASE DATA'!M121, 0),
  0
)</f>
        <v>0</v>
      </c>
      <c r="E121" s="55">
        <f>IFERROR(IF('CASE DATA'!D121+7300&gt;'BASIC INFO'!$B$3,SUM('CASE DATA'!K121:T121),0),0)</f>
        <v>0</v>
      </c>
    </row>
    <row r="122" spans="1:5" x14ac:dyDescent="0.25">
      <c r="A122" s="35" t="str">
        <f>IF('CASE DATA'!A122="","",'CASE DATA'!A122)</f>
        <v/>
      </c>
      <c r="B122" s="40" t="str">
        <f>IF('CASE DATA'!A122&lt;&gt;"",IF('CASE DATA'!G122=0, "open charge", 'CASE DATA'!G122),"")</f>
        <v/>
      </c>
      <c r="C122" s="52">
        <f>IFERROR(IF('CASE DATA'!D122+7300&lt;'BASIC INFO'!$B$3,'CASE DATA'!K122+'CASE DATA'!L122,0),0)</f>
        <v>0</v>
      </c>
      <c r="D122" s="61">
        <f>IFERROR(
  IF('CASE DATA'!D122 + 7300 &lt; 'BASIC INFO'!$B$3, 'CASE DATA'!M122, 0),
  0
)</f>
        <v>0</v>
      </c>
      <c r="E122" s="55">
        <f>IFERROR(IF('CASE DATA'!D122+7300&gt;'BASIC INFO'!$B$3,SUM('CASE DATA'!K122:T122),0),0)</f>
        <v>0</v>
      </c>
    </row>
    <row r="123" spans="1:5" x14ac:dyDescent="0.25">
      <c r="A123" s="35" t="str">
        <f>IF('CASE DATA'!A123="","",'CASE DATA'!A123)</f>
        <v/>
      </c>
      <c r="B123" s="40" t="str">
        <f>IF('CASE DATA'!A123&lt;&gt;"",IF('CASE DATA'!G123=0, "open charge", 'CASE DATA'!G123),"")</f>
        <v/>
      </c>
      <c r="C123" s="52">
        <f>IFERROR(IF('CASE DATA'!D123+7300&lt;'BASIC INFO'!$B$3,'CASE DATA'!K123+'CASE DATA'!L123,0),0)</f>
        <v>0</v>
      </c>
      <c r="D123" s="61">
        <f>IFERROR(
  IF('CASE DATA'!D123 + 7300 &lt; 'BASIC INFO'!$B$3, 'CASE DATA'!M123, 0),
  0
)</f>
        <v>0</v>
      </c>
      <c r="E123" s="55">
        <f>IFERROR(IF('CASE DATA'!D123+7300&gt;'BASIC INFO'!$B$3,SUM('CASE DATA'!K123:T123),0),0)</f>
        <v>0</v>
      </c>
    </row>
    <row r="124" spans="1:5" x14ac:dyDescent="0.25">
      <c r="A124" s="35" t="str">
        <f>IF('CASE DATA'!A124="","",'CASE DATA'!A124)</f>
        <v/>
      </c>
      <c r="B124" s="40" t="str">
        <f>IF('CASE DATA'!A124&lt;&gt;"",IF('CASE DATA'!G124=0, "open charge", 'CASE DATA'!G124),"")</f>
        <v/>
      </c>
      <c r="C124" s="52">
        <f>IFERROR(IF('CASE DATA'!D124+7300&lt;'BASIC INFO'!$B$3,'CASE DATA'!K124+'CASE DATA'!L124,0),0)</f>
        <v>0</v>
      </c>
      <c r="D124" s="61">
        <f>IFERROR(
  IF('CASE DATA'!D124 + 7300 &lt; 'BASIC INFO'!$B$3, 'CASE DATA'!M124, 0),
  0
)</f>
        <v>0</v>
      </c>
      <c r="E124" s="55">
        <f>IFERROR(IF('CASE DATA'!D124+7300&gt;'BASIC INFO'!$B$3,SUM('CASE DATA'!K124:T124),0),0)</f>
        <v>0</v>
      </c>
    </row>
    <row r="125" spans="1:5" x14ac:dyDescent="0.25">
      <c r="A125" s="35" t="str">
        <f>IF('CASE DATA'!A125="","",'CASE DATA'!A125)</f>
        <v/>
      </c>
      <c r="B125" s="40" t="str">
        <f>IF('CASE DATA'!A125&lt;&gt;"",IF('CASE DATA'!G125=0, "open charge", 'CASE DATA'!G125),"")</f>
        <v/>
      </c>
      <c r="C125" s="52">
        <f>IFERROR(IF('CASE DATA'!D125+7300&lt;'BASIC INFO'!$B$3,'CASE DATA'!K125+'CASE DATA'!L125,0),0)</f>
        <v>0</v>
      </c>
      <c r="D125" s="61">
        <f>IFERROR(
  IF('CASE DATA'!D125 + 7300 &lt; 'BASIC INFO'!$B$3, 'CASE DATA'!M125, 0),
  0
)</f>
        <v>0</v>
      </c>
      <c r="E125" s="55">
        <f>IFERROR(IF('CASE DATA'!D125+7300&gt;'BASIC INFO'!$B$3,SUM('CASE DATA'!K125:T125),0),0)</f>
        <v>0</v>
      </c>
    </row>
    <row r="126" spans="1:5" x14ac:dyDescent="0.25">
      <c r="A126" s="35" t="str">
        <f>IF('CASE DATA'!A126="","",'CASE DATA'!A126)</f>
        <v/>
      </c>
      <c r="B126" s="40" t="str">
        <f>IF('CASE DATA'!A126&lt;&gt;"",IF('CASE DATA'!G126=0, "open charge", 'CASE DATA'!G126),"")</f>
        <v/>
      </c>
      <c r="C126" s="52">
        <f>IFERROR(IF('CASE DATA'!D126+7300&lt;'BASIC INFO'!$B$3,'CASE DATA'!K126+'CASE DATA'!L126,0),0)</f>
        <v>0</v>
      </c>
      <c r="D126" s="61">
        <f>IFERROR(
  IF('CASE DATA'!D126 + 7300 &lt; 'BASIC INFO'!$B$3, 'CASE DATA'!M126, 0),
  0
)</f>
        <v>0</v>
      </c>
      <c r="E126" s="55">
        <f>IFERROR(IF('CASE DATA'!D126+7300&gt;'BASIC INFO'!$B$3,SUM('CASE DATA'!K126:T126),0),0)</f>
        <v>0</v>
      </c>
    </row>
    <row r="127" spans="1:5" x14ac:dyDescent="0.25">
      <c r="A127" s="35" t="str">
        <f>IF('CASE DATA'!A127="","",'CASE DATA'!A127)</f>
        <v/>
      </c>
      <c r="B127" s="40" t="str">
        <f>IF('CASE DATA'!A127&lt;&gt;"",IF('CASE DATA'!G127=0, "open charge", 'CASE DATA'!G127),"")</f>
        <v/>
      </c>
      <c r="C127" s="52">
        <f>IFERROR(IF('CASE DATA'!D127+7300&lt;'BASIC INFO'!$B$3,'CASE DATA'!K127+'CASE DATA'!L127,0),0)</f>
        <v>0</v>
      </c>
      <c r="D127" s="61">
        <f>IFERROR(
  IF('CASE DATA'!D127 + 7300 &lt; 'BASIC INFO'!$B$3, 'CASE DATA'!M127, 0),
  0
)</f>
        <v>0</v>
      </c>
      <c r="E127" s="55">
        <f>IFERROR(IF('CASE DATA'!D127+7300&gt;'BASIC INFO'!$B$3,SUM('CASE DATA'!K127:T127),0),0)</f>
        <v>0</v>
      </c>
    </row>
    <row r="128" spans="1:5" x14ac:dyDescent="0.25">
      <c r="A128" s="35" t="str">
        <f>IF('CASE DATA'!A128="","",'CASE DATA'!A128)</f>
        <v/>
      </c>
      <c r="B128" s="40" t="str">
        <f>IF('CASE DATA'!A128&lt;&gt;"",IF('CASE DATA'!G128=0, "open charge", 'CASE DATA'!G128),"")</f>
        <v/>
      </c>
      <c r="C128" s="52">
        <f>IFERROR(IF('CASE DATA'!D128+7300&lt;'BASIC INFO'!$B$3,'CASE DATA'!K128+'CASE DATA'!L128,0),0)</f>
        <v>0</v>
      </c>
      <c r="D128" s="61">
        <f>IFERROR(
  IF('CASE DATA'!D128 + 7300 &lt; 'BASIC INFO'!$B$3, 'CASE DATA'!M128, 0),
  0
)</f>
        <v>0</v>
      </c>
      <c r="E128" s="55">
        <f>IFERROR(IF('CASE DATA'!D128+7300&gt;'BASIC INFO'!$B$3,SUM('CASE DATA'!K128:T128),0),0)</f>
        <v>0</v>
      </c>
    </row>
    <row r="129" spans="1:5" x14ac:dyDescent="0.25">
      <c r="A129" s="35" t="str">
        <f>IF('CASE DATA'!A129="","",'CASE DATA'!A129)</f>
        <v/>
      </c>
      <c r="B129" s="40" t="str">
        <f>IF('CASE DATA'!A129&lt;&gt;"",IF('CASE DATA'!G129=0, "open charge", 'CASE DATA'!G129),"")</f>
        <v/>
      </c>
      <c r="C129" s="52">
        <f>IFERROR(IF('CASE DATA'!D129+7300&lt;'BASIC INFO'!$B$3,'CASE DATA'!K129+'CASE DATA'!L129,0),0)</f>
        <v>0</v>
      </c>
      <c r="D129" s="61">
        <f>IFERROR(
  IF('CASE DATA'!D129 + 7300 &lt; 'BASIC INFO'!$B$3, 'CASE DATA'!M129, 0),
  0
)</f>
        <v>0</v>
      </c>
      <c r="E129" s="55">
        <f>IFERROR(IF('CASE DATA'!D129+7300&gt;'BASIC INFO'!$B$3,SUM('CASE DATA'!K129:T129),0),0)</f>
        <v>0</v>
      </c>
    </row>
    <row r="130" spans="1:5" x14ac:dyDescent="0.25">
      <c r="A130" s="35" t="str">
        <f>IF('CASE DATA'!A130="","",'CASE DATA'!A130)</f>
        <v/>
      </c>
      <c r="B130" s="40" t="str">
        <f>IF('CASE DATA'!A130&lt;&gt;"",IF('CASE DATA'!G130=0, "open charge", 'CASE DATA'!G130),"")</f>
        <v/>
      </c>
      <c r="C130" s="52">
        <f>IFERROR(IF('CASE DATA'!D130+7300&lt;'BASIC INFO'!$B$3,'CASE DATA'!K130+'CASE DATA'!L130,0),0)</f>
        <v>0</v>
      </c>
      <c r="D130" s="61">
        <f>IFERROR(
  IF('CASE DATA'!D130 + 7300 &lt; 'BASIC INFO'!$B$3, 'CASE DATA'!M130, 0),
  0
)</f>
        <v>0</v>
      </c>
      <c r="E130" s="55">
        <f>IFERROR(IF('CASE DATA'!D130+7300&gt;'BASIC INFO'!$B$3,SUM('CASE DATA'!K130:T130),0),0)</f>
        <v>0</v>
      </c>
    </row>
    <row r="131" spans="1:5" x14ac:dyDescent="0.25">
      <c r="A131" s="35" t="str">
        <f>IF('CASE DATA'!A131="","",'CASE DATA'!A131)</f>
        <v/>
      </c>
      <c r="B131" s="40" t="str">
        <f>IF('CASE DATA'!A131&lt;&gt;"",IF('CASE DATA'!G131=0, "open charge", 'CASE DATA'!G131),"")</f>
        <v/>
      </c>
      <c r="C131" s="52">
        <f>IFERROR(IF('CASE DATA'!D131+7300&lt;'BASIC INFO'!$B$3,'CASE DATA'!K131+'CASE DATA'!L131,0),0)</f>
        <v>0</v>
      </c>
      <c r="D131" s="61">
        <f>IFERROR(
  IF('CASE DATA'!D131 + 7300 &lt; 'BASIC INFO'!$B$3, 'CASE DATA'!M131, 0),
  0
)</f>
        <v>0</v>
      </c>
      <c r="E131" s="55">
        <f>IFERROR(IF('CASE DATA'!D131+7300&gt;'BASIC INFO'!$B$3,SUM('CASE DATA'!K131:T131),0),0)</f>
        <v>0</v>
      </c>
    </row>
    <row r="132" spans="1:5" x14ac:dyDescent="0.25">
      <c r="A132" s="35" t="str">
        <f>IF('CASE DATA'!A132="","",'CASE DATA'!A132)</f>
        <v/>
      </c>
      <c r="B132" s="40" t="str">
        <f>IF('CASE DATA'!A132&lt;&gt;"",IF('CASE DATA'!G132=0, "open charge", 'CASE DATA'!G132),"")</f>
        <v/>
      </c>
      <c r="C132" s="52">
        <f>IFERROR(IF('CASE DATA'!D132+7300&lt;'BASIC INFO'!$B$3,'CASE DATA'!K132+'CASE DATA'!L132,0),0)</f>
        <v>0</v>
      </c>
      <c r="D132" s="61">
        <f>IFERROR(
  IF('CASE DATA'!D132 + 7300 &lt; 'BASIC INFO'!$B$3, 'CASE DATA'!M132, 0),
  0
)</f>
        <v>0</v>
      </c>
      <c r="E132" s="55">
        <f>IFERROR(IF('CASE DATA'!D132+7300&gt;'BASIC INFO'!$B$3,SUM('CASE DATA'!K132:T132),0),0)</f>
        <v>0</v>
      </c>
    </row>
    <row r="133" spans="1:5" x14ac:dyDescent="0.25">
      <c r="A133" s="35" t="str">
        <f>IF('CASE DATA'!A133="","",'CASE DATA'!A133)</f>
        <v/>
      </c>
      <c r="B133" s="40" t="str">
        <f>IF('CASE DATA'!A133&lt;&gt;"",IF('CASE DATA'!G133=0, "open charge", 'CASE DATA'!G133),"")</f>
        <v/>
      </c>
      <c r="C133" s="52">
        <f>IFERROR(IF('CASE DATA'!D133+7300&lt;'BASIC INFO'!$B$3,'CASE DATA'!K133+'CASE DATA'!L133,0),0)</f>
        <v>0</v>
      </c>
      <c r="D133" s="61">
        <f>IFERROR(
  IF('CASE DATA'!D133 + 7300 &lt; 'BASIC INFO'!$B$3, 'CASE DATA'!M133, 0),
  0
)</f>
        <v>0</v>
      </c>
      <c r="E133" s="55">
        <f>IFERROR(IF('CASE DATA'!D133+7300&gt;'BASIC INFO'!$B$3,SUM('CASE DATA'!K133:T133),0),0)</f>
        <v>0</v>
      </c>
    </row>
    <row r="134" spans="1:5" x14ac:dyDescent="0.25">
      <c r="A134" s="35" t="str">
        <f>IF('CASE DATA'!A134="","",'CASE DATA'!A134)</f>
        <v/>
      </c>
      <c r="B134" s="40" t="str">
        <f>IF('CASE DATA'!A134&lt;&gt;"",IF('CASE DATA'!G134=0, "open charge", 'CASE DATA'!G134),"")</f>
        <v/>
      </c>
      <c r="C134" s="52">
        <f>IFERROR(IF('CASE DATA'!D134+7300&lt;'BASIC INFO'!$B$3,'CASE DATA'!K134+'CASE DATA'!L134,0),0)</f>
        <v>0</v>
      </c>
      <c r="D134" s="61">
        <f>IFERROR(
  IF('CASE DATA'!D134 + 7300 &lt; 'BASIC INFO'!$B$3, 'CASE DATA'!M134, 0),
  0
)</f>
        <v>0</v>
      </c>
      <c r="E134" s="55">
        <f>IFERROR(IF('CASE DATA'!D134+7300&gt;'BASIC INFO'!$B$3,SUM('CASE DATA'!K134:T134),0),0)</f>
        <v>0</v>
      </c>
    </row>
    <row r="135" spans="1:5" x14ac:dyDescent="0.25">
      <c r="A135" s="35" t="str">
        <f>IF('CASE DATA'!A135="","",'CASE DATA'!A135)</f>
        <v/>
      </c>
      <c r="B135" s="40" t="str">
        <f>IF('CASE DATA'!A135&lt;&gt;"",IF('CASE DATA'!G135=0, "open charge", 'CASE DATA'!G135),"")</f>
        <v/>
      </c>
      <c r="C135" s="52">
        <f>IFERROR(IF('CASE DATA'!D135+7300&lt;'BASIC INFO'!$B$3,'CASE DATA'!K135+'CASE DATA'!L135,0),0)</f>
        <v>0</v>
      </c>
      <c r="D135" s="61">
        <f>IFERROR(
  IF('CASE DATA'!D135 + 7300 &lt; 'BASIC INFO'!$B$3, 'CASE DATA'!M135, 0),
  0
)</f>
        <v>0</v>
      </c>
      <c r="E135" s="55">
        <f>IFERROR(IF('CASE DATA'!D135+7300&gt;'BASIC INFO'!$B$3,SUM('CASE DATA'!K135:T135),0),0)</f>
        <v>0</v>
      </c>
    </row>
    <row r="136" spans="1:5" x14ac:dyDescent="0.25">
      <c r="A136" s="35" t="str">
        <f>IF('CASE DATA'!A136="","",'CASE DATA'!A136)</f>
        <v/>
      </c>
      <c r="B136" s="40" t="str">
        <f>IF('CASE DATA'!A136&lt;&gt;"",IF('CASE DATA'!G136=0, "open charge", 'CASE DATA'!G136),"")</f>
        <v/>
      </c>
      <c r="C136" s="52">
        <f>IFERROR(IF('CASE DATA'!D136+7300&lt;'BASIC INFO'!$B$3,'CASE DATA'!K136+'CASE DATA'!L136,0),0)</f>
        <v>0</v>
      </c>
      <c r="D136" s="61">
        <f>IFERROR(
  IF('CASE DATA'!D136 + 7300 &lt; 'BASIC INFO'!$B$3, 'CASE DATA'!M136, 0),
  0
)</f>
        <v>0</v>
      </c>
      <c r="E136" s="55">
        <f>IFERROR(IF('CASE DATA'!D136+7300&gt;'BASIC INFO'!$B$3,SUM('CASE DATA'!K136:T136),0),0)</f>
        <v>0</v>
      </c>
    </row>
    <row r="137" spans="1:5" x14ac:dyDescent="0.25">
      <c r="A137" s="35" t="str">
        <f>IF('CASE DATA'!A137="","",'CASE DATA'!A137)</f>
        <v/>
      </c>
      <c r="B137" s="40" t="str">
        <f>IF('CASE DATA'!A137&lt;&gt;"",IF('CASE DATA'!G137=0, "open charge", 'CASE DATA'!G137),"")</f>
        <v/>
      </c>
      <c r="C137" s="52">
        <f>IFERROR(IF('CASE DATA'!D137+7300&lt;'BASIC INFO'!$B$3,'CASE DATA'!K137+'CASE DATA'!L137,0),0)</f>
        <v>0</v>
      </c>
      <c r="D137" s="61">
        <f>IFERROR(
  IF('CASE DATA'!D137 + 7300 &lt; 'BASIC INFO'!$B$3, 'CASE DATA'!M137, 0),
  0
)</f>
        <v>0</v>
      </c>
      <c r="E137" s="55">
        <f>IFERROR(IF('CASE DATA'!D137+7300&gt;'BASIC INFO'!$B$3,SUM('CASE DATA'!K137:T137),0),0)</f>
        <v>0</v>
      </c>
    </row>
    <row r="138" spans="1:5" x14ac:dyDescent="0.25">
      <c r="A138" s="35" t="str">
        <f>IF('CASE DATA'!A138="","",'CASE DATA'!A138)</f>
        <v/>
      </c>
      <c r="B138" s="40" t="str">
        <f>IF('CASE DATA'!A138&lt;&gt;"",IF('CASE DATA'!G138=0, "open charge", 'CASE DATA'!G138),"")</f>
        <v/>
      </c>
      <c r="C138" s="52">
        <f>IFERROR(IF('CASE DATA'!D138+7300&lt;'BASIC INFO'!$B$3,'CASE DATA'!K138+'CASE DATA'!L138,0),0)</f>
        <v>0</v>
      </c>
      <c r="D138" s="61">
        <f>IFERROR(
  IF('CASE DATA'!D138 + 7300 &lt; 'BASIC INFO'!$B$3, 'CASE DATA'!M138, 0),
  0
)</f>
        <v>0</v>
      </c>
      <c r="E138" s="55">
        <f>IFERROR(IF('CASE DATA'!D138+7300&gt;'BASIC INFO'!$B$3,SUM('CASE DATA'!K138:T138),0),0)</f>
        <v>0</v>
      </c>
    </row>
    <row r="139" spans="1:5" x14ac:dyDescent="0.25">
      <c r="A139" s="35" t="str">
        <f>IF('CASE DATA'!A139="","",'CASE DATA'!A139)</f>
        <v/>
      </c>
      <c r="B139" s="40" t="str">
        <f>IF('CASE DATA'!A139&lt;&gt;"",IF('CASE DATA'!G139=0, "open charge", 'CASE DATA'!G139),"")</f>
        <v/>
      </c>
      <c r="C139" s="52">
        <f>IFERROR(IF('CASE DATA'!D139+7300&lt;'BASIC INFO'!$B$3,'CASE DATA'!K139+'CASE DATA'!L139,0),0)</f>
        <v>0</v>
      </c>
      <c r="D139" s="61">
        <f>IFERROR(
  IF('CASE DATA'!D139 + 7300 &lt; 'BASIC INFO'!$B$3, 'CASE DATA'!M139, 0),
  0
)</f>
        <v>0</v>
      </c>
      <c r="E139" s="55">
        <f>IFERROR(IF('CASE DATA'!D139+7300&gt;'BASIC INFO'!$B$3,SUM('CASE DATA'!K139:T139),0),0)</f>
        <v>0</v>
      </c>
    </row>
    <row r="140" spans="1:5" x14ac:dyDescent="0.25">
      <c r="A140" s="35" t="str">
        <f>IF('CASE DATA'!A140="","",'CASE DATA'!A140)</f>
        <v/>
      </c>
      <c r="B140" s="40" t="str">
        <f>IF('CASE DATA'!A140&lt;&gt;"",IF('CASE DATA'!G140=0, "open charge", 'CASE DATA'!G140),"")</f>
        <v/>
      </c>
      <c r="C140" s="52">
        <f>IFERROR(IF('CASE DATA'!D140+7300&lt;'BASIC INFO'!$B$3,'CASE DATA'!K140+'CASE DATA'!L140,0),0)</f>
        <v>0</v>
      </c>
      <c r="D140" s="61">
        <f>IFERROR(
  IF('CASE DATA'!D140 + 7300 &lt; 'BASIC INFO'!$B$3, 'CASE DATA'!M140, 0),
  0
)</f>
        <v>0</v>
      </c>
      <c r="E140" s="55">
        <f>IFERROR(IF('CASE DATA'!D140+7300&gt;'BASIC INFO'!$B$3,SUM('CASE DATA'!K140:T140),0),0)</f>
        <v>0</v>
      </c>
    </row>
    <row r="141" spans="1:5" x14ac:dyDescent="0.25">
      <c r="A141" s="35" t="str">
        <f>IF('CASE DATA'!A141="","",'CASE DATA'!A141)</f>
        <v/>
      </c>
      <c r="B141" s="40" t="str">
        <f>IF('CASE DATA'!A141&lt;&gt;"",IF('CASE DATA'!G141=0, "open charge", 'CASE DATA'!G141),"")</f>
        <v/>
      </c>
      <c r="C141" s="52">
        <f>IFERROR(IF('CASE DATA'!D141+7300&lt;'BASIC INFO'!$B$3,'CASE DATA'!K141+'CASE DATA'!L141,0),0)</f>
        <v>0</v>
      </c>
      <c r="D141" s="61">
        <f>IFERROR(
  IF('CASE DATA'!D141 + 7300 &lt; 'BASIC INFO'!$B$3, 'CASE DATA'!M141, 0),
  0
)</f>
        <v>0</v>
      </c>
      <c r="E141" s="55">
        <f>IFERROR(IF('CASE DATA'!D141+7300&gt;'BASIC INFO'!$B$3,SUM('CASE DATA'!K141:T141),0),0)</f>
        <v>0</v>
      </c>
    </row>
    <row r="142" spans="1:5" x14ac:dyDescent="0.25">
      <c r="A142" s="35" t="str">
        <f>IF('CASE DATA'!A142="","",'CASE DATA'!A142)</f>
        <v/>
      </c>
      <c r="B142" s="40" t="str">
        <f>IF('CASE DATA'!A142&lt;&gt;"",IF('CASE DATA'!G142=0, "open charge", 'CASE DATA'!G142),"")</f>
        <v/>
      </c>
      <c r="C142" s="52">
        <f>IFERROR(IF('CASE DATA'!D142+7300&lt;'BASIC INFO'!$B$3,'CASE DATA'!K142+'CASE DATA'!L142,0),0)</f>
        <v>0</v>
      </c>
      <c r="D142" s="61">
        <f>IFERROR(
  IF('CASE DATA'!D142 + 7300 &lt; 'BASIC INFO'!$B$3, 'CASE DATA'!M142, 0),
  0
)</f>
        <v>0</v>
      </c>
      <c r="E142" s="55">
        <f>IFERROR(IF('CASE DATA'!D142+7300&gt;'BASIC INFO'!$B$3,SUM('CASE DATA'!K142:T142),0),0)</f>
        <v>0</v>
      </c>
    </row>
    <row r="143" spans="1:5" x14ac:dyDescent="0.25">
      <c r="A143" s="35" t="str">
        <f>IF('CASE DATA'!A143="","",'CASE DATA'!A143)</f>
        <v/>
      </c>
      <c r="B143" s="40" t="str">
        <f>IF('CASE DATA'!A143&lt;&gt;"",IF('CASE DATA'!G143=0, "open charge", 'CASE DATA'!G143),"")</f>
        <v/>
      </c>
      <c r="C143" s="52">
        <f>IFERROR(IF('CASE DATA'!D143+7300&lt;'BASIC INFO'!$B$3,'CASE DATA'!K143+'CASE DATA'!L143,0),0)</f>
        <v>0</v>
      </c>
      <c r="D143" s="61">
        <f>IFERROR(
  IF('CASE DATA'!D143 + 7300 &lt; 'BASIC INFO'!$B$3, 'CASE DATA'!M143, 0),
  0
)</f>
        <v>0</v>
      </c>
      <c r="E143" s="55">
        <f>IFERROR(IF('CASE DATA'!D143+7300&gt;'BASIC INFO'!$B$3,SUM('CASE DATA'!K143:T143),0),0)</f>
        <v>0</v>
      </c>
    </row>
    <row r="144" spans="1:5" x14ac:dyDescent="0.25">
      <c r="A144" s="35" t="str">
        <f>IF('CASE DATA'!A144="","",'CASE DATA'!A144)</f>
        <v/>
      </c>
      <c r="B144" s="40" t="str">
        <f>IF('CASE DATA'!A144&lt;&gt;"",IF('CASE DATA'!G144=0, "open charge", 'CASE DATA'!G144),"")</f>
        <v/>
      </c>
      <c r="C144" s="52">
        <f>IFERROR(IF('CASE DATA'!D144+7300&lt;'BASIC INFO'!$B$3,'CASE DATA'!K144+'CASE DATA'!L144,0),0)</f>
        <v>0</v>
      </c>
      <c r="D144" s="61">
        <f>IFERROR(
  IF('CASE DATA'!D144 + 7300 &lt; 'BASIC INFO'!$B$3, 'CASE DATA'!M144, 0),
  0
)</f>
        <v>0</v>
      </c>
      <c r="E144" s="55">
        <f>IFERROR(IF('CASE DATA'!D144+7300&gt;'BASIC INFO'!$B$3,SUM('CASE DATA'!K144:T144),0),0)</f>
        <v>0</v>
      </c>
    </row>
    <row r="145" spans="1:5" x14ac:dyDescent="0.25">
      <c r="A145" s="35" t="str">
        <f>IF('CASE DATA'!A145="","",'CASE DATA'!A145)</f>
        <v/>
      </c>
      <c r="B145" s="40" t="str">
        <f>IF('CASE DATA'!A145&lt;&gt;"",IF('CASE DATA'!G145=0, "open charge", 'CASE DATA'!G145),"")</f>
        <v/>
      </c>
      <c r="C145" s="52">
        <f>IFERROR(IF('CASE DATA'!D145+7300&lt;'BASIC INFO'!$B$3,'CASE DATA'!K145+'CASE DATA'!L145,0),0)</f>
        <v>0</v>
      </c>
      <c r="D145" s="61">
        <f>IFERROR(
  IF('CASE DATA'!D145 + 7300 &lt; 'BASIC INFO'!$B$3, 'CASE DATA'!M145, 0),
  0
)</f>
        <v>0</v>
      </c>
      <c r="E145" s="55">
        <f>IFERROR(IF('CASE DATA'!D145+7300&gt;'BASIC INFO'!$B$3,SUM('CASE DATA'!K145:T145),0),0)</f>
        <v>0</v>
      </c>
    </row>
    <row r="146" spans="1:5" x14ac:dyDescent="0.25">
      <c r="A146" s="35" t="str">
        <f>IF('CASE DATA'!A146="","",'CASE DATA'!A146)</f>
        <v/>
      </c>
      <c r="B146" s="40" t="str">
        <f>IF('CASE DATA'!A146&lt;&gt;"",IF('CASE DATA'!G146=0, "open charge", 'CASE DATA'!G146),"")</f>
        <v/>
      </c>
      <c r="C146" s="52">
        <f>IFERROR(IF('CASE DATA'!D146+7300&lt;'BASIC INFO'!$B$3,'CASE DATA'!K146+'CASE DATA'!L146,0),0)</f>
        <v>0</v>
      </c>
      <c r="D146" s="61">
        <f>IFERROR(
  IF('CASE DATA'!D146 + 7300 &lt; 'BASIC INFO'!$B$3, 'CASE DATA'!M146, 0),
  0
)</f>
        <v>0</v>
      </c>
      <c r="E146" s="55">
        <f>IFERROR(IF('CASE DATA'!D146+7300&gt;'BASIC INFO'!$B$3,SUM('CASE DATA'!K146:T146),0),0)</f>
        <v>0</v>
      </c>
    </row>
    <row r="147" spans="1:5" x14ac:dyDescent="0.25">
      <c r="A147" s="35" t="str">
        <f>IF('CASE DATA'!A147="","",'CASE DATA'!A147)</f>
        <v/>
      </c>
      <c r="B147" s="40" t="str">
        <f>IF('CASE DATA'!A147&lt;&gt;"",IF('CASE DATA'!G147=0, "open charge", 'CASE DATA'!G147),"")</f>
        <v/>
      </c>
      <c r="C147" s="52">
        <f>IFERROR(IF('CASE DATA'!D147+7300&lt;'BASIC INFO'!$B$3,'CASE DATA'!K147+'CASE DATA'!L147,0),0)</f>
        <v>0</v>
      </c>
      <c r="D147" s="61">
        <f>IFERROR(
  IF('CASE DATA'!D147 + 7300 &lt; 'BASIC INFO'!$B$3, 'CASE DATA'!M147, 0),
  0
)</f>
        <v>0</v>
      </c>
      <c r="E147" s="55">
        <f>IFERROR(IF('CASE DATA'!D147+7300&gt;'BASIC INFO'!$B$3,SUM('CASE DATA'!K147:T147),0),0)</f>
        <v>0</v>
      </c>
    </row>
    <row r="148" spans="1:5" x14ac:dyDescent="0.25">
      <c r="A148" s="35" t="str">
        <f>IF('CASE DATA'!A148="","",'CASE DATA'!A148)</f>
        <v/>
      </c>
      <c r="B148" s="40" t="str">
        <f>IF('CASE DATA'!A148&lt;&gt;"",IF('CASE DATA'!G148=0, "open charge", 'CASE DATA'!G148),"")</f>
        <v/>
      </c>
      <c r="C148" s="52">
        <f>IFERROR(IF('CASE DATA'!D148+7300&lt;'BASIC INFO'!$B$3,'CASE DATA'!K148+'CASE DATA'!L148,0),0)</f>
        <v>0</v>
      </c>
      <c r="D148" s="61">
        <f>IFERROR(
  IF('CASE DATA'!D148 + 7300 &lt; 'BASIC INFO'!$B$3, 'CASE DATA'!M148, 0),
  0
)</f>
        <v>0</v>
      </c>
      <c r="E148" s="55">
        <f>IFERROR(IF('CASE DATA'!D148+7300&gt;'BASIC INFO'!$B$3,SUM('CASE DATA'!K148:T148),0),0)</f>
        <v>0</v>
      </c>
    </row>
    <row r="149" spans="1:5" x14ac:dyDescent="0.25">
      <c r="A149" s="35" t="str">
        <f>IF('CASE DATA'!A149="","",'CASE DATA'!A149)</f>
        <v/>
      </c>
      <c r="B149" s="40" t="str">
        <f>IF('CASE DATA'!A149&lt;&gt;"",IF('CASE DATA'!G149=0, "open charge", 'CASE DATA'!G149),"")</f>
        <v/>
      </c>
      <c r="C149" s="52">
        <f>IFERROR(IF('CASE DATA'!D149+7300&lt;'BASIC INFO'!$B$3,'CASE DATA'!K149+'CASE DATA'!L149,0),0)</f>
        <v>0</v>
      </c>
      <c r="D149" s="61">
        <f>IFERROR(
  IF('CASE DATA'!D149 + 7300 &lt; 'BASIC INFO'!$B$3, 'CASE DATA'!M149, 0),
  0
)</f>
        <v>0</v>
      </c>
      <c r="E149" s="55">
        <f>IFERROR(IF('CASE DATA'!D149+7300&gt;'BASIC INFO'!$B$3,SUM('CASE DATA'!K149:T149),0),0)</f>
        <v>0</v>
      </c>
    </row>
    <row r="150" spans="1:5" x14ac:dyDescent="0.25">
      <c r="A150" s="35" t="str">
        <f>IF('CASE DATA'!A150="","",'CASE DATA'!A150)</f>
        <v/>
      </c>
      <c r="B150" s="40" t="str">
        <f>IF('CASE DATA'!A150&lt;&gt;"",IF('CASE DATA'!G150=0, "open charge", 'CASE DATA'!G150),"")</f>
        <v/>
      </c>
      <c r="C150" s="52">
        <f>IFERROR(IF('CASE DATA'!D150+7300&lt;'BASIC INFO'!$B$3,'CASE DATA'!K150+'CASE DATA'!L150,0),0)</f>
        <v>0</v>
      </c>
      <c r="D150" s="61">
        <f>IFERROR(
  IF('CASE DATA'!D150 + 7300 &lt; 'BASIC INFO'!$B$3, 'CASE DATA'!M150, 0),
  0
)</f>
        <v>0</v>
      </c>
      <c r="E150" s="55">
        <f>IFERROR(IF('CASE DATA'!D150+7300&gt;'BASIC INFO'!$B$3,SUM('CASE DATA'!K150:T150),0),0)</f>
        <v>0</v>
      </c>
    </row>
  </sheetData>
  <mergeCells count="3">
    <mergeCell ref="A1:B1"/>
    <mergeCell ref="A2:A3"/>
    <mergeCell ref="B2:E2"/>
  </mergeCell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workbookViewId="0"/>
  </sheetViews>
  <sheetFormatPr defaultRowHeight="15" x14ac:dyDescent="0.25"/>
  <cols>
    <col min="1" max="1" width="25.7109375" customWidth="1"/>
    <col min="2" max="2" width="20.42578125" customWidth="1"/>
    <col min="3" max="3" width="22.28515625" customWidth="1"/>
    <col min="4" max="4" width="26" style="13" customWidth="1"/>
  </cols>
  <sheetData>
    <row r="1" spans="1:4" x14ac:dyDescent="0.25">
      <c r="A1" t="s">
        <v>80</v>
      </c>
      <c r="B1" t="s">
        <v>70</v>
      </c>
      <c r="C1" t="s">
        <v>81</v>
      </c>
      <c r="D1" s="13" t="s">
        <v>82</v>
      </c>
    </row>
    <row r="2" spans="1:4" x14ac:dyDescent="0.25">
      <c r="A2" t="str">
        <f>IF('CASE DATA'!A4="","",'CASE DATA'!A4)</f>
        <v/>
      </c>
      <c r="B2">
        <f>'CASE DATA'!B4</f>
        <v>0</v>
      </c>
      <c r="C2" s="10">
        <f>'CASE DATA'!D4</f>
        <v>0</v>
      </c>
      <c r="D2" s="13">
        <f>SUM('CASE DATA'!M4)</f>
        <v>0</v>
      </c>
    </row>
    <row r="3" spans="1:4" x14ac:dyDescent="0.25">
      <c r="A3" t="str">
        <f>IF('CASE DATA'!A5="","",'CASE DATA'!A5)</f>
        <v/>
      </c>
      <c r="B3">
        <f>'CASE DATA'!B5</f>
        <v>0</v>
      </c>
      <c r="C3" s="10">
        <f>'CASE DATA'!D5</f>
        <v>0</v>
      </c>
      <c r="D3" s="13">
        <f>SUM('CASE DATA'!M5)</f>
        <v>0</v>
      </c>
    </row>
    <row r="4" spans="1:4" x14ac:dyDescent="0.25">
      <c r="A4" t="str">
        <f>IF('CASE DATA'!A6="","",'CASE DATA'!A6)</f>
        <v/>
      </c>
      <c r="B4">
        <f>'CASE DATA'!B6</f>
        <v>0</v>
      </c>
      <c r="C4" s="10">
        <f>'CASE DATA'!D6</f>
        <v>0</v>
      </c>
      <c r="D4" s="13">
        <f>SUM('CASE DATA'!M6)</f>
        <v>0</v>
      </c>
    </row>
    <row r="5" spans="1:4" x14ac:dyDescent="0.25">
      <c r="A5" t="str">
        <f>IF('CASE DATA'!A7="","",'CASE DATA'!A7)</f>
        <v/>
      </c>
      <c r="B5">
        <f>'CASE DATA'!B7</f>
        <v>0</v>
      </c>
      <c r="C5" s="10">
        <f>'CASE DATA'!D7</f>
        <v>0</v>
      </c>
      <c r="D5" s="13">
        <f>SUM('CASE DATA'!M7)</f>
        <v>0</v>
      </c>
    </row>
    <row r="6" spans="1:4" x14ac:dyDescent="0.25">
      <c r="A6" t="str">
        <f>IF('CASE DATA'!A8="","",'CASE DATA'!A8)</f>
        <v/>
      </c>
      <c r="B6">
        <f>'CASE DATA'!B8</f>
        <v>0</v>
      </c>
      <c r="C6" s="10">
        <f>'CASE DATA'!D8</f>
        <v>0</v>
      </c>
      <c r="D6" s="13">
        <f>SUM('CASE DATA'!M8)</f>
        <v>0</v>
      </c>
    </row>
    <row r="7" spans="1:4" x14ac:dyDescent="0.25">
      <c r="A7" t="str">
        <f>IF('CASE DATA'!A9="","",'CASE DATA'!A9)</f>
        <v/>
      </c>
      <c r="B7">
        <f>'CASE DATA'!B9</f>
        <v>0</v>
      </c>
      <c r="C7" s="10">
        <f>'CASE DATA'!D9</f>
        <v>0</v>
      </c>
      <c r="D7" s="13">
        <f>SUM('CASE DATA'!M9)</f>
        <v>0</v>
      </c>
    </row>
    <row r="8" spans="1:4" x14ac:dyDescent="0.25">
      <c r="A8" t="str">
        <f>IF('CASE DATA'!A10="","",'CASE DATA'!A10)</f>
        <v/>
      </c>
      <c r="B8">
        <f>'CASE DATA'!B10</f>
        <v>0</v>
      </c>
      <c r="C8" s="10">
        <f>'CASE DATA'!D10</f>
        <v>0</v>
      </c>
      <c r="D8" s="13">
        <f>SUM('CASE DATA'!M10)</f>
        <v>0</v>
      </c>
    </row>
    <row r="9" spans="1:4" x14ac:dyDescent="0.25">
      <c r="A9" t="str">
        <f>IF('CASE DATA'!A11="","",'CASE DATA'!A11)</f>
        <v/>
      </c>
      <c r="B9">
        <f>'CASE DATA'!B11</f>
        <v>0</v>
      </c>
      <c r="C9" s="10">
        <f>'CASE DATA'!D11</f>
        <v>0</v>
      </c>
      <c r="D9" s="13">
        <f>SUM('CASE DATA'!M11)</f>
        <v>0</v>
      </c>
    </row>
    <row r="10" spans="1:4" x14ac:dyDescent="0.25">
      <c r="A10" t="str">
        <f>IF('CASE DATA'!A12="","",'CASE DATA'!A12)</f>
        <v/>
      </c>
      <c r="B10">
        <f>'CASE DATA'!B12</f>
        <v>0</v>
      </c>
      <c r="C10" s="10">
        <f>'CASE DATA'!D12</f>
        <v>0</v>
      </c>
      <c r="D10" s="13">
        <f>SUM('CASE DATA'!M12)</f>
        <v>0</v>
      </c>
    </row>
    <row r="11" spans="1:4" x14ac:dyDescent="0.25">
      <c r="A11" t="str">
        <f>IF('CASE DATA'!A13="","",'CASE DATA'!A13)</f>
        <v/>
      </c>
      <c r="B11">
        <f>'CASE DATA'!B13</f>
        <v>0</v>
      </c>
      <c r="C11" s="10">
        <f>'CASE DATA'!D13</f>
        <v>0</v>
      </c>
      <c r="D11" s="13">
        <f>SUM('CASE DATA'!M13)</f>
        <v>0</v>
      </c>
    </row>
    <row r="12" spans="1:4" x14ac:dyDescent="0.25">
      <c r="A12" t="str">
        <f>IF('CASE DATA'!A14="","",'CASE DATA'!A14)</f>
        <v/>
      </c>
      <c r="B12">
        <f>'CASE DATA'!B14</f>
        <v>0</v>
      </c>
      <c r="C12" s="10">
        <f>'CASE DATA'!D14</f>
        <v>0</v>
      </c>
      <c r="D12" s="13">
        <f>SUM('CASE DATA'!M14)</f>
        <v>0</v>
      </c>
    </row>
    <row r="13" spans="1:4" x14ac:dyDescent="0.25">
      <c r="A13" t="str">
        <f>IF('CASE DATA'!A15="","",'CASE DATA'!A15)</f>
        <v/>
      </c>
      <c r="B13">
        <f>'CASE DATA'!B15</f>
        <v>0</v>
      </c>
      <c r="C13" s="10">
        <f>'CASE DATA'!D15</f>
        <v>0</v>
      </c>
      <c r="D13" s="13">
        <f>SUM('CASE DATA'!M15)</f>
        <v>0</v>
      </c>
    </row>
    <row r="14" spans="1:4" x14ac:dyDescent="0.25">
      <c r="A14" t="str">
        <f>IF('CASE DATA'!A16="","",'CASE DATA'!A16)</f>
        <v/>
      </c>
      <c r="B14">
        <f>'CASE DATA'!B16</f>
        <v>0</v>
      </c>
      <c r="C14" s="10">
        <f>'CASE DATA'!D16</f>
        <v>0</v>
      </c>
      <c r="D14" s="13">
        <f>SUM('CASE DATA'!M16)</f>
        <v>0</v>
      </c>
    </row>
    <row r="15" spans="1:4" x14ac:dyDescent="0.25">
      <c r="A15" t="str">
        <f>IF('CASE DATA'!A17="","",'CASE DATA'!A17)</f>
        <v/>
      </c>
      <c r="B15">
        <f>'CASE DATA'!B17</f>
        <v>0</v>
      </c>
      <c r="C15" s="10">
        <f>'CASE DATA'!D17</f>
        <v>0</v>
      </c>
      <c r="D15" s="13">
        <f>SUM('CASE DATA'!M17)</f>
        <v>0</v>
      </c>
    </row>
    <row r="16" spans="1:4" x14ac:dyDescent="0.25">
      <c r="A16" t="str">
        <f>IF('CASE DATA'!A18="","",'CASE DATA'!A18)</f>
        <v/>
      </c>
      <c r="B16">
        <f>'CASE DATA'!B18</f>
        <v>0</v>
      </c>
      <c r="C16" s="10">
        <f>'CASE DATA'!D18</f>
        <v>0</v>
      </c>
      <c r="D16" s="13">
        <f>SUM('CASE DATA'!M18)</f>
        <v>0</v>
      </c>
    </row>
    <row r="17" spans="1:4" x14ac:dyDescent="0.25">
      <c r="A17" t="str">
        <f>IF('CASE DATA'!A19="","",'CASE DATA'!A19)</f>
        <v/>
      </c>
      <c r="B17">
        <f>'CASE DATA'!B19</f>
        <v>0</v>
      </c>
      <c r="C17" s="10">
        <f>'CASE DATA'!D19</f>
        <v>0</v>
      </c>
      <c r="D17" s="13">
        <f>SUM('CASE DATA'!M19)</f>
        <v>0</v>
      </c>
    </row>
    <row r="18" spans="1:4" x14ac:dyDescent="0.25">
      <c r="A18" t="str">
        <f>IF('CASE DATA'!A20="","",'CASE DATA'!A20)</f>
        <v/>
      </c>
      <c r="B18">
        <f>'CASE DATA'!B20</f>
        <v>0</v>
      </c>
      <c r="C18" s="10">
        <f>'CASE DATA'!D20</f>
        <v>0</v>
      </c>
      <c r="D18" s="13">
        <f>SUM('CASE DATA'!M20)</f>
        <v>0</v>
      </c>
    </row>
    <row r="19" spans="1:4" x14ac:dyDescent="0.25">
      <c r="A19" t="str">
        <f>IF('CASE DATA'!A21="","",'CASE DATA'!A21)</f>
        <v/>
      </c>
      <c r="B19">
        <f>'CASE DATA'!B21</f>
        <v>0</v>
      </c>
      <c r="C19" s="10">
        <f>'CASE DATA'!D21</f>
        <v>0</v>
      </c>
      <c r="D19" s="13">
        <f>SUM('CASE DATA'!M21)</f>
        <v>0</v>
      </c>
    </row>
    <row r="20" spans="1:4" x14ac:dyDescent="0.25">
      <c r="A20" t="str">
        <f>IF('CASE DATA'!A22="","",'CASE DATA'!A22)</f>
        <v/>
      </c>
      <c r="B20">
        <f>'CASE DATA'!B22</f>
        <v>0</v>
      </c>
      <c r="C20" s="10">
        <f>'CASE DATA'!D22</f>
        <v>0</v>
      </c>
      <c r="D20" s="13">
        <f>SUM('CASE DATA'!M22)</f>
        <v>0</v>
      </c>
    </row>
    <row r="21" spans="1:4" x14ac:dyDescent="0.25">
      <c r="A21" t="str">
        <f>IF('CASE DATA'!A23="","",'CASE DATA'!A23)</f>
        <v/>
      </c>
      <c r="B21">
        <f>'CASE DATA'!B23</f>
        <v>0</v>
      </c>
      <c r="C21" s="10">
        <f>'CASE DATA'!D23</f>
        <v>0</v>
      </c>
      <c r="D21" s="13">
        <f>SUM('CASE DATA'!M23)</f>
        <v>0</v>
      </c>
    </row>
    <row r="22" spans="1:4" x14ac:dyDescent="0.25">
      <c r="A22" t="str">
        <f>IF('CASE DATA'!A24="","",'CASE DATA'!A24)</f>
        <v/>
      </c>
      <c r="B22">
        <f>'CASE DATA'!B24</f>
        <v>0</v>
      </c>
      <c r="C22" s="10">
        <f>'CASE DATA'!D24</f>
        <v>0</v>
      </c>
      <c r="D22" s="13">
        <f>SUM('CASE DATA'!M24)</f>
        <v>0</v>
      </c>
    </row>
    <row r="23" spans="1:4" x14ac:dyDescent="0.25">
      <c r="A23" t="str">
        <f>IF('CASE DATA'!A25="","",'CASE DATA'!A25)</f>
        <v/>
      </c>
      <c r="B23">
        <f>'CASE DATA'!B25</f>
        <v>0</v>
      </c>
      <c r="C23" s="10">
        <f>'CASE DATA'!D25</f>
        <v>0</v>
      </c>
      <c r="D23" s="13">
        <f>SUM('CASE DATA'!M25)</f>
        <v>0</v>
      </c>
    </row>
    <row r="24" spans="1:4" x14ac:dyDescent="0.25">
      <c r="A24" t="str">
        <f>IF('CASE DATA'!A26="","",'CASE DATA'!A26)</f>
        <v/>
      </c>
      <c r="B24">
        <f>'CASE DATA'!B26</f>
        <v>0</v>
      </c>
      <c r="C24" s="10">
        <f>'CASE DATA'!D26</f>
        <v>0</v>
      </c>
      <c r="D24" s="13">
        <f>SUM('CASE DATA'!M26)</f>
        <v>0</v>
      </c>
    </row>
    <row r="25" spans="1:4" x14ac:dyDescent="0.25">
      <c r="A25" t="str">
        <f>IF('CASE DATA'!A27="","",'CASE DATA'!A27)</f>
        <v/>
      </c>
      <c r="B25">
        <f>'CASE DATA'!B27</f>
        <v>0</v>
      </c>
      <c r="C25" s="10">
        <f>'CASE DATA'!D27</f>
        <v>0</v>
      </c>
      <c r="D25" s="13">
        <f>SUM('CASE DATA'!M27)</f>
        <v>0</v>
      </c>
    </row>
    <row r="26" spans="1:4" x14ac:dyDescent="0.25">
      <c r="A26" t="str">
        <f>IF('CASE DATA'!A28="","",'CASE DATA'!A28)</f>
        <v/>
      </c>
      <c r="B26">
        <f>'CASE DATA'!B28</f>
        <v>0</v>
      </c>
      <c r="C26" s="10">
        <f>'CASE DATA'!D28</f>
        <v>0</v>
      </c>
      <c r="D26" s="13">
        <f>SUM('CASE DATA'!M28)</f>
        <v>0</v>
      </c>
    </row>
    <row r="27" spans="1:4" x14ac:dyDescent="0.25">
      <c r="A27" t="str">
        <f>IF('CASE DATA'!A29="","",'CASE DATA'!A29)</f>
        <v/>
      </c>
      <c r="B27">
        <f>'CASE DATA'!B29</f>
        <v>0</v>
      </c>
      <c r="C27" s="10">
        <f>'CASE DATA'!D29</f>
        <v>0</v>
      </c>
      <c r="D27" s="13">
        <f>SUM('CASE DATA'!M29)</f>
        <v>0</v>
      </c>
    </row>
    <row r="28" spans="1:4" x14ac:dyDescent="0.25">
      <c r="A28" t="str">
        <f>IF('CASE DATA'!A30="","",'CASE DATA'!A30)</f>
        <v/>
      </c>
      <c r="B28">
        <f>'CASE DATA'!B30</f>
        <v>0</v>
      </c>
      <c r="C28" s="10">
        <f>'CASE DATA'!D30</f>
        <v>0</v>
      </c>
      <c r="D28" s="13">
        <f>SUM('CASE DATA'!M30)</f>
        <v>0</v>
      </c>
    </row>
    <row r="29" spans="1:4" x14ac:dyDescent="0.25">
      <c r="A29" t="str">
        <f>IF('CASE DATA'!A31="","",'CASE DATA'!A31)</f>
        <v/>
      </c>
      <c r="B29">
        <f>'CASE DATA'!B31</f>
        <v>0</v>
      </c>
      <c r="C29" s="10">
        <f>'CASE DATA'!D31</f>
        <v>0</v>
      </c>
      <c r="D29" s="13">
        <f>SUM('CASE DATA'!M31)</f>
        <v>0</v>
      </c>
    </row>
    <row r="30" spans="1:4" x14ac:dyDescent="0.25">
      <c r="A30" t="str">
        <f>IF('CASE DATA'!A32="","",'CASE DATA'!A32)</f>
        <v/>
      </c>
      <c r="B30">
        <f>'CASE DATA'!B32</f>
        <v>0</v>
      </c>
      <c r="C30" s="10">
        <f>'CASE DATA'!D32</f>
        <v>0</v>
      </c>
      <c r="D30" s="13">
        <f>SUM('CASE DATA'!M32)</f>
        <v>0</v>
      </c>
    </row>
    <row r="31" spans="1:4" x14ac:dyDescent="0.25">
      <c r="A31" t="str">
        <f>IF('CASE DATA'!A33="","",'CASE DATA'!A33)</f>
        <v/>
      </c>
      <c r="B31">
        <f>'CASE DATA'!B33</f>
        <v>0</v>
      </c>
      <c r="C31" s="10">
        <f>'CASE DATA'!D33</f>
        <v>0</v>
      </c>
      <c r="D31" s="13">
        <f>SUM('CASE DATA'!M33)</f>
        <v>0</v>
      </c>
    </row>
    <row r="32" spans="1:4" x14ac:dyDescent="0.25">
      <c r="A32" t="str">
        <f>IF('CASE DATA'!A34="","",'CASE DATA'!A34)</f>
        <v/>
      </c>
      <c r="B32">
        <f>'CASE DATA'!B34</f>
        <v>0</v>
      </c>
      <c r="C32" s="10">
        <f>'CASE DATA'!D34</f>
        <v>0</v>
      </c>
      <c r="D32" s="13">
        <f>SUM('CASE DATA'!M34)</f>
        <v>0</v>
      </c>
    </row>
    <row r="33" spans="1:4" x14ac:dyDescent="0.25">
      <c r="A33" t="str">
        <f>IF('CASE DATA'!A35="","",'CASE DATA'!A35)</f>
        <v/>
      </c>
      <c r="B33">
        <f>'CASE DATA'!B35</f>
        <v>0</v>
      </c>
      <c r="C33" s="10">
        <f>'CASE DATA'!D35</f>
        <v>0</v>
      </c>
      <c r="D33" s="13">
        <f>SUM('CASE DATA'!M35)</f>
        <v>0</v>
      </c>
    </row>
    <row r="34" spans="1:4" x14ac:dyDescent="0.25">
      <c r="A34" t="str">
        <f>IF('CASE DATA'!A36="","",'CASE DATA'!A36)</f>
        <v/>
      </c>
      <c r="B34">
        <f>'CASE DATA'!B36</f>
        <v>0</v>
      </c>
      <c r="C34" s="10">
        <f>'CASE DATA'!D36</f>
        <v>0</v>
      </c>
      <c r="D34" s="13">
        <f>SUM('CASE DATA'!M36)</f>
        <v>0</v>
      </c>
    </row>
    <row r="35" spans="1:4" x14ac:dyDescent="0.25">
      <c r="A35" t="str">
        <f>IF('CASE DATA'!A37="","",'CASE DATA'!A37)</f>
        <v/>
      </c>
      <c r="B35">
        <f>'CASE DATA'!B37</f>
        <v>0</v>
      </c>
      <c r="C35" s="10">
        <f>'CASE DATA'!D37</f>
        <v>0</v>
      </c>
      <c r="D35" s="13">
        <f>SUM('CASE DATA'!M37)</f>
        <v>0</v>
      </c>
    </row>
    <row r="36" spans="1:4" x14ac:dyDescent="0.25">
      <c r="A36" t="str">
        <f>IF('CASE DATA'!A38="","",'CASE DATA'!A38)</f>
        <v/>
      </c>
      <c r="B36">
        <f>'CASE DATA'!B38</f>
        <v>0</v>
      </c>
      <c r="C36" s="10">
        <f>'CASE DATA'!D38</f>
        <v>0</v>
      </c>
      <c r="D36" s="13">
        <f>SUM('CASE DATA'!M38)</f>
        <v>0</v>
      </c>
    </row>
    <row r="37" spans="1:4" x14ac:dyDescent="0.25">
      <c r="A37" t="str">
        <f>IF('CASE DATA'!A39="","",'CASE DATA'!A39)</f>
        <v/>
      </c>
      <c r="B37">
        <f>'CASE DATA'!B39</f>
        <v>0</v>
      </c>
      <c r="C37" s="10">
        <f>'CASE DATA'!D39</f>
        <v>0</v>
      </c>
      <c r="D37" s="13">
        <f>SUM('CASE DATA'!M39)</f>
        <v>0</v>
      </c>
    </row>
    <row r="38" spans="1:4" x14ac:dyDescent="0.25">
      <c r="A38" t="str">
        <f>IF('CASE DATA'!A40="","",'CASE DATA'!A40)</f>
        <v/>
      </c>
      <c r="B38">
        <f>'CASE DATA'!B40</f>
        <v>0</v>
      </c>
      <c r="C38" s="10">
        <f>'CASE DATA'!D40</f>
        <v>0</v>
      </c>
      <c r="D38" s="13">
        <f>SUM('CASE DATA'!M40)</f>
        <v>0</v>
      </c>
    </row>
    <row r="39" spans="1:4" x14ac:dyDescent="0.25">
      <c r="A39" t="str">
        <f>IF('CASE DATA'!A41="","",'CASE DATA'!A41)</f>
        <v/>
      </c>
      <c r="B39">
        <f>'CASE DATA'!B41</f>
        <v>0</v>
      </c>
      <c r="C39" s="10">
        <f>'CASE DATA'!D41</f>
        <v>0</v>
      </c>
      <c r="D39" s="13">
        <f>SUM('CASE DATA'!M41)</f>
        <v>0</v>
      </c>
    </row>
    <row r="40" spans="1:4" x14ac:dyDescent="0.25">
      <c r="A40" t="str">
        <f>IF('CASE DATA'!A42="","",'CASE DATA'!A42)</f>
        <v/>
      </c>
      <c r="B40">
        <f>'CASE DATA'!B42</f>
        <v>0</v>
      </c>
      <c r="C40" s="10">
        <f>'CASE DATA'!D42</f>
        <v>0</v>
      </c>
      <c r="D40" s="13">
        <f>SUM('CASE DATA'!M42)</f>
        <v>0</v>
      </c>
    </row>
    <row r="41" spans="1:4" x14ac:dyDescent="0.25">
      <c r="A41" t="str">
        <f>IF('CASE DATA'!A43="","",'CASE DATA'!A43)</f>
        <v/>
      </c>
      <c r="B41">
        <f>'CASE DATA'!B43</f>
        <v>0</v>
      </c>
      <c r="C41" s="10">
        <f>'CASE DATA'!D43</f>
        <v>0</v>
      </c>
      <c r="D41" s="13">
        <f>SUM('CASE DATA'!M43)</f>
        <v>0</v>
      </c>
    </row>
    <row r="42" spans="1:4" x14ac:dyDescent="0.25">
      <c r="A42" t="str">
        <f>IF('CASE DATA'!A44="","",'CASE DATA'!A44)</f>
        <v/>
      </c>
      <c r="B42">
        <f>'CASE DATA'!B44</f>
        <v>0</v>
      </c>
      <c r="C42" s="10">
        <f>'CASE DATA'!D44</f>
        <v>0</v>
      </c>
      <c r="D42" s="13">
        <f>SUM('CASE DATA'!M44)</f>
        <v>0</v>
      </c>
    </row>
    <row r="43" spans="1:4" x14ac:dyDescent="0.25">
      <c r="A43" t="str">
        <f>IF('CASE DATA'!A45="","",'CASE DATA'!A45)</f>
        <v/>
      </c>
      <c r="B43">
        <f>'CASE DATA'!B45</f>
        <v>0</v>
      </c>
      <c r="C43" s="10">
        <f>'CASE DATA'!D45</f>
        <v>0</v>
      </c>
      <c r="D43" s="13">
        <f>SUM('CASE DATA'!M45)</f>
        <v>0</v>
      </c>
    </row>
    <row r="44" spans="1:4" x14ac:dyDescent="0.25">
      <c r="A44" t="str">
        <f>IF('CASE DATA'!A46="","",'CASE DATA'!A46)</f>
        <v/>
      </c>
      <c r="B44">
        <f>'CASE DATA'!B46</f>
        <v>0</v>
      </c>
      <c r="C44" s="10">
        <f>'CASE DATA'!D46</f>
        <v>0</v>
      </c>
      <c r="D44" s="13">
        <f>SUM('CASE DATA'!M46)</f>
        <v>0</v>
      </c>
    </row>
    <row r="45" spans="1:4" x14ac:dyDescent="0.25">
      <c r="A45" t="str">
        <f>IF('CASE DATA'!A47="","",'CASE DATA'!A47)</f>
        <v/>
      </c>
      <c r="B45">
        <f>'CASE DATA'!B47</f>
        <v>0</v>
      </c>
      <c r="C45" s="10">
        <f>'CASE DATA'!D47</f>
        <v>0</v>
      </c>
      <c r="D45" s="13">
        <f>SUM('CASE DATA'!M47)</f>
        <v>0</v>
      </c>
    </row>
    <row r="46" spans="1:4" x14ac:dyDescent="0.25">
      <c r="A46" t="str">
        <f>IF('CASE DATA'!A48="","",'CASE DATA'!A48)</f>
        <v/>
      </c>
      <c r="B46">
        <f>'CASE DATA'!B48</f>
        <v>0</v>
      </c>
      <c r="C46" s="10">
        <f>'CASE DATA'!D48</f>
        <v>0</v>
      </c>
      <c r="D46" s="13">
        <f>SUM('CASE DATA'!M48)</f>
        <v>0</v>
      </c>
    </row>
    <row r="47" spans="1:4" x14ac:dyDescent="0.25">
      <c r="A47" t="str">
        <f>IF('CASE DATA'!A49="","",'CASE DATA'!A49)</f>
        <v/>
      </c>
      <c r="B47">
        <f>'CASE DATA'!B49</f>
        <v>0</v>
      </c>
      <c r="C47" s="10">
        <f>'CASE DATA'!D49</f>
        <v>0</v>
      </c>
      <c r="D47" s="13">
        <f>SUM('CASE DATA'!M49)</f>
        <v>0</v>
      </c>
    </row>
    <row r="48" spans="1:4" x14ac:dyDescent="0.25">
      <c r="A48" t="str">
        <f>IF('CASE DATA'!A50="","",'CASE DATA'!A50)</f>
        <v/>
      </c>
      <c r="B48">
        <f>'CASE DATA'!B50</f>
        <v>0</v>
      </c>
      <c r="C48" s="10">
        <f>'CASE DATA'!D50</f>
        <v>0</v>
      </c>
      <c r="D48" s="13">
        <f>SUM('CASE DATA'!M50)</f>
        <v>0</v>
      </c>
    </row>
    <row r="49" spans="1:4" x14ac:dyDescent="0.25">
      <c r="A49" t="str">
        <f>IF('CASE DATA'!A51="","",'CASE DATA'!A51)</f>
        <v/>
      </c>
      <c r="B49">
        <f>'CASE DATA'!B51</f>
        <v>0</v>
      </c>
      <c r="C49" s="10">
        <f>'CASE DATA'!D51</f>
        <v>0</v>
      </c>
      <c r="D49" s="13">
        <f>SUM('CASE DATA'!M51)</f>
        <v>0</v>
      </c>
    </row>
    <row r="50" spans="1:4" x14ac:dyDescent="0.25">
      <c r="A50" t="str">
        <f>IF('CASE DATA'!A52="","",'CASE DATA'!A52)</f>
        <v/>
      </c>
      <c r="B50">
        <f>'CASE DATA'!B52</f>
        <v>0</v>
      </c>
      <c r="C50" s="10">
        <f>'CASE DATA'!D52</f>
        <v>0</v>
      </c>
      <c r="D50" s="13">
        <f>SUM('CASE DATA'!M52)</f>
        <v>0</v>
      </c>
    </row>
    <row r="51" spans="1:4" x14ac:dyDescent="0.25">
      <c r="A51" t="str">
        <f>IF('CASE DATA'!A53="","",'CASE DATA'!A53)</f>
        <v/>
      </c>
      <c r="B51">
        <f>'CASE DATA'!B53</f>
        <v>0</v>
      </c>
      <c r="C51" s="10">
        <f>'CASE DATA'!D53</f>
        <v>0</v>
      </c>
      <c r="D51" s="13">
        <f>SUM('CASE DATA'!M53)</f>
        <v>0</v>
      </c>
    </row>
    <row r="52" spans="1:4" x14ac:dyDescent="0.25">
      <c r="A52" t="str">
        <f>IF('CASE DATA'!A54="","",'CASE DATA'!A54)</f>
        <v/>
      </c>
      <c r="B52">
        <f>'CASE DATA'!B54</f>
        <v>0</v>
      </c>
      <c r="C52" s="10">
        <f>'CASE DATA'!D54</f>
        <v>0</v>
      </c>
      <c r="D52" s="13">
        <f>SUM('CASE DATA'!M54)</f>
        <v>0</v>
      </c>
    </row>
    <row r="53" spans="1:4" x14ac:dyDescent="0.25">
      <c r="A53" t="str">
        <f>IF('CASE DATA'!A55="","",'CASE DATA'!A55)</f>
        <v/>
      </c>
      <c r="B53">
        <f>'CASE DATA'!B55</f>
        <v>0</v>
      </c>
      <c r="C53" s="10">
        <f>'CASE DATA'!D55</f>
        <v>0</v>
      </c>
      <c r="D53" s="13">
        <f>SUM('CASE DATA'!M55)</f>
        <v>0</v>
      </c>
    </row>
    <row r="54" spans="1:4" x14ac:dyDescent="0.25">
      <c r="A54" t="str">
        <f>IF('CASE DATA'!A56="","",'CASE DATA'!A56)</f>
        <v/>
      </c>
      <c r="B54">
        <f>'CASE DATA'!B56</f>
        <v>0</v>
      </c>
      <c r="C54" s="10">
        <f>'CASE DATA'!D56</f>
        <v>0</v>
      </c>
      <c r="D54" s="13">
        <f>SUM('CASE DATA'!M56)</f>
        <v>0</v>
      </c>
    </row>
    <row r="55" spans="1:4" x14ac:dyDescent="0.25">
      <c r="A55" t="str">
        <f>IF('CASE DATA'!A57="","",'CASE DATA'!A57)</f>
        <v/>
      </c>
      <c r="B55">
        <f>'CASE DATA'!B57</f>
        <v>0</v>
      </c>
      <c r="C55" s="10">
        <f>'CASE DATA'!D57</f>
        <v>0</v>
      </c>
      <c r="D55" s="13">
        <f>SUM('CASE DATA'!M57)</f>
        <v>0</v>
      </c>
    </row>
    <row r="56" spans="1:4" x14ac:dyDescent="0.25">
      <c r="A56" t="str">
        <f>IF('CASE DATA'!A58="","",'CASE DATA'!A58)</f>
        <v/>
      </c>
      <c r="B56">
        <f>'CASE DATA'!B58</f>
        <v>0</v>
      </c>
      <c r="C56" s="10">
        <f>'CASE DATA'!D58</f>
        <v>0</v>
      </c>
      <c r="D56" s="13">
        <f>SUM('CASE DATA'!M58)</f>
        <v>0</v>
      </c>
    </row>
    <row r="57" spans="1:4" x14ac:dyDescent="0.25">
      <c r="A57" t="str">
        <f>IF('CASE DATA'!A59="","",'CASE DATA'!A59)</f>
        <v/>
      </c>
      <c r="B57">
        <f>'CASE DATA'!B59</f>
        <v>0</v>
      </c>
      <c r="C57" s="10">
        <f>'CASE DATA'!D59</f>
        <v>0</v>
      </c>
      <c r="D57" s="13">
        <f>SUM('CASE DATA'!M59)</f>
        <v>0</v>
      </c>
    </row>
    <row r="58" spans="1:4" x14ac:dyDescent="0.25">
      <c r="A58" t="str">
        <f>IF('CASE DATA'!A60="","",'CASE DATA'!A60)</f>
        <v/>
      </c>
      <c r="B58">
        <f>'CASE DATA'!B60</f>
        <v>0</v>
      </c>
      <c r="C58" s="10">
        <f>'CASE DATA'!D60</f>
        <v>0</v>
      </c>
      <c r="D58" s="13">
        <f>SUM('CASE DATA'!M60)</f>
        <v>0</v>
      </c>
    </row>
    <row r="59" spans="1:4" x14ac:dyDescent="0.25">
      <c r="A59" t="str">
        <f>IF('CASE DATA'!A61="","",'CASE DATA'!A61)</f>
        <v/>
      </c>
      <c r="B59">
        <f>'CASE DATA'!B61</f>
        <v>0</v>
      </c>
      <c r="C59" s="10">
        <f>'CASE DATA'!D61</f>
        <v>0</v>
      </c>
      <c r="D59" s="13">
        <f>SUM('CASE DATA'!M61)</f>
        <v>0</v>
      </c>
    </row>
    <row r="60" spans="1:4" x14ac:dyDescent="0.25">
      <c r="A60" t="str">
        <f>IF('CASE DATA'!A62="","",'CASE DATA'!A62)</f>
        <v/>
      </c>
      <c r="B60">
        <f>'CASE DATA'!B62</f>
        <v>0</v>
      </c>
      <c r="C60" s="10">
        <f>'CASE DATA'!D62</f>
        <v>0</v>
      </c>
      <c r="D60" s="13">
        <f>SUM('CASE DATA'!M62)</f>
        <v>0</v>
      </c>
    </row>
    <row r="61" spans="1:4" x14ac:dyDescent="0.25">
      <c r="A61" t="str">
        <f>IF('CASE DATA'!A63="","",'CASE DATA'!A63)</f>
        <v/>
      </c>
      <c r="B61">
        <f>'CASE DATA'!B63</f>
        <v>0</v>
      </c>
      <c r="C61" s="10">
        <f>'CASE DATA'!D63</f>
        <v>0</v>
      </c>
      <c r="D61" s="13">
        <f>SUM('CASE DATA'!M63)</f>
        <v>0</v>
      </c>
    </row>
    <row r="62" spans="1:4" x14ac:dyDescent="0.25">
      <c r="A62" t="str">
        <f>IF('CASE DATA'!A64="","",'CASE DATA'!A64)</f>
        <v/>
      </c>
      <c r="B62">
        <f>'CASE DATA'!B64</f>
        <v>0</v>
      </c>
      <c r="C62" s="10">
        <f>'CASE DATA'!D64</f>
        <v>0</v>
      </c>
      <c r="D62" s="13">
        <f>SUM('CASE DATA'!M64)</f>
        <v>0</v>
      </c>
    </row>
    <row r="63" spans="1:4" x14ac:dyDescent="0.25">
      <c r="A63" t="str">
        <f>IF('CASE DATA'!A65="","",'CASE DATA'!A65)</f>
        <v/>
      </c>
      <c r="B63">
        <f>'CASE DATA'!B65</f>
        <v>0</v>
      </c>
      <c r="C63" s="10">
        <f>'CASE DATA'!D65</f>
        <v>0</v>
      </c>
      <c r="D63" s="13">
        <f>SUM('CASE DATA'!M65)</f>
        <v>0</v>
      </c>
    </row>
    <row r="64" spans="1:4" x14ac:dyDescent="0.25">
      <c r="A64" t="str">
        <f>IF('CASE DATA'!A66="","",'CASE DATA'!A66)</f>
        <v/>
      </c>
      <c r="B64">
        <f>'CASE DATA'!B66</f>
        <v>0</v>
      </c>
      <c r="C64" s="10">
        <f>'CASE DATA'!D66</f>
        <v>0</v>
      </c>
      <c r="D64" s="13">
        <f>SUM('CASE DATA'!M66)</f>
        <v>0</v>
      </c>
    </row>
    <row r="65" spans="1:4" x14ac:dyDescent="0.25">
      <c r="A65" t="str">
        <f>IF('CASE DATA'!A67="","",'CASE DATA'!A67)</f>
        <v/>
      </c>
      <c r="B65">
        <f>'CASE DATA'!B67</f>
        <v>0</v>
      </c>
      <c r="C65" s="10">
        <f>'CASE DATA'!D67</f>
        <v>0</v>
      </c>
      <c r="D65" s="13">
        <f>SUM('CASE DATA'!M67)</f>
        <v>0</v>
      </c>
    </row>
    <row r="66" spans="1:4" x14ac:dyDescent="0.25">
      <c r="A66" t="str">
        <f>IF('CASE DATA'!A68="","",'CASE DATA'!A68)</f>
        <v/>
      </c>
      <c r="B66">
        <f>'CASE DATA'!B68</f>
        <v>0</v>
      </c>
      <c r="C66" s="10">
        <f>'CASE DATA'!D68</f>
        <v>0</v>
      </c>
      <c r="D66" s="13">
        <f>SUM('CASE DATA'!M68)</f>
        <v>0</v>
      </c>
    </row>
    <row r="67" spans="1:4" x14ac:dyDescent="0.25">
      <c r="A67" t="str">
        <f>IF('CASE DATA'!A69="","",'CASE DATA'!A69)</f>
        <v/>
      </c>
      <c r="B67">
        <f>'CASE DATA'!B69</f>
        <v>0</v>
      </c>
      <c r="C67" s="10">
        <f>'CASE DATA'!D69</f>
        <v>0</v>
      </c>
      <c r="D67" s="13">
        <f>SUM('CASE DATA'!M69)</f>
        <v>0</v>
      </c>
    </row>
    <row r="68" spans="1:4" x14ac:dyDescent="0.25">
      <c r="A68" t="str">
        <f>IF('CASE DATA'!A70="","",'CASE DATA'!A70)</f>
        <v/>
      </c>
      <c r="B68">
        <f>'CASE DATA'!B70</f>
        <v>0</v>
      </c>
      <c r="C68" s="10">
        <f>'CASE DATA'!D70</f>
        <v>0</v>
      </c>
      <c r="D68" s="13">
        <f>SUM('CASE DATA'!M70)</f>
        <v>0</v>
      </c>
    </row>
    <row r="69" spans="1:4" x14ac:dyDescent="0.25">
      <c r="A69" t="str">
        <f>IF('CASE DATA'!A71="","",'CASE DATA'!A71)</f>
        <v/>
      </c>
      <c r="B69">
        <f>'CASE DATA'!B71</f>
        <v>0</v>
      </c>
      <c r="C69" s="10">
        <f>'CASE DATA'!D71</f>
        <v>0</v>
      </c>
      <c r="D69" s="13">
        <f>SUM('CASE DATA'!M71)</f>
        <v>0</v>
      </c>
    </row>
    <row r="70" spans="1:4" x14ac:dyDescent="0.25">
      <c r="A70" t="str">
        <f>IF('CASE DATA'!A72="","",'CASE DATA'!A72)</f>
        <v/>
      </c>
      <c r="B70">
        <f>'CASE DATA'!B72</f>
        <v>0</v>
      </c>
      <c r="C70" s="10">
        <f>'CASE DATA'!D72</f>
        <v>0</v>
      </c>
      <c r="D70" s="13">
        <f>SUM('CASE DATA'!M72)</f>
        <v>0</v>
      </c>
    </row>
    <row r="71" spans="1:4" x14ac:dyDescent="0.25">
      <c r="A71" t="str">
        <f>IF('CASE DATA'!A73="","",'CASE DATA'!A73)</f>
        <v/>
      </c>
      <c r="B71">
        <f>'CASE DATA'!B73</f>
        <v>0</v>
      </c>
      <c r="C71" s="10">
        <f>'CASE DATA'!D73</f>
        <v>0</v>
      </c>
      <c r="D71" s="13">
        <f>SUM('CASE DATA'!M73)</f>
        <v>0</v>
      </c>
    </row>
    <row r="72" spans="1:4" x14ac:dyDescent="0.25">
      <c r="A72" t="str">
        <f>IF('CASE DATA'!A74="","",'CASE DATA'!A74)</f>
        <v/>
      </c>
      <c r="B72">
        <f>'CASE DATA'!B74</f>
        <v>0</v>
      </c>
      <c r="C72" s="10">
        <f>'CASE DATA'!D74</f>
        <v>0</v>
      </c>
      <c r="D72" s="13">
        <f>SUM('CASE DATA'!M74)</f>
        <v>0</v>
      </c>
    </row>
    <row r="73" spans="1:4" x14ac:dyDescent="0.25">
      <c r="A73" t="str">
        <f>IF('CASE DATA'!A75="","",'CASE DATA'!A75)</f>
        <v/>
      </c>
      <c r="B73">
        <f>'CASE DATA'!B75</f>
        <v>0</v>
      </c>
      <c r="C73" s="10">
        <f>'CASE DATA'!D75</f>
        <v>0</v>
      </c>
      <c r="D73" s="13">
        <f>SUM('CASE DATA'!M75)</f>
        <v>0</v>
      </c>
    </row>
    <row r="74" spans="1:4" x14ac:dyDescent="0.25">
      <c r="A74" t="str">
        <f>IF('CASE DATA'!A76="","",'CASE DATA'!A76)</f>
        <v/>
      </c>
      <c r="B74">
        <f>'CASE DATA'!B76</f>
        <v>0</v>
      </c>
      <c r="C74" s="10">
        <f>'CASE DATA'!D76</f>
        <v>0</v>
      </c>
      <c r="D74" s="13">
        <f>SUM('CASE DATA'!M76)</f>
        <v>0</v>
      </c>
    </row>
    <row r="75" spans="1:4" x14ac:dyDescent="0.25">
      <c r="A75" t="str">
        <f>IF('CASE DATA'!A77="","",'CASE DATA'!A77)</f>
        <v/>
      </c>
      <c r="B75">
        <f>'CASE DATA'!B77</f>
        <v>0</v>
      </c>
      <c r="C75" s="10">
        <f>'CASE DATA'!D77</f>
        <v>0</v>
      </c>
      <c r="D75" s="13">
        <f>SUM('CASE DATA'!M77)</f>
        <v>0</v>
      </c>
    </row>
    <row r="76" spans="1:4" x14ac:dyDescent="0.25">
      <c r="A76" t="str">
        <f>IF('CASE DATA'!A78="","",'CASE DATA'!A78)</f>
        <v/>
      </c>
      <c r="B76">
        <f>'CASE DATA'!B78</f>
        <v>0</v>
      </c>
      <c r="C76" s="10">
        <f>'CASE DATA'!D78</f>
        <v>0</v>
      </c>
      <c r="D76" s="13">
        <f>SUM('CASE DATA'!M78)</f>
        <v>0</v>
      </c>
    </row>
    <row r="77" spans="1:4" x14ac:dyDescent="0.25">
      <c r="A77" t="str">
        <f>IF('CASE DATA'!A79="","",'CASE DATA'!A79)</f>
        <v/>
      </c>
      <c r="B77">
        <f>'CASE DATA'!B79</f>
        <v>0</v>
      </c>
      <c r="C77" s="10">
        <f>'CASE DATA'!D79</f>
        <v>0</v>
      </c>
      <c r="D77" s="13">
        <f>SUM('CASE DATA'!M79)</f>
        <v>0</v>
      </c>
    </row>
    <row r="78" spans="1:4" x14ac:dyDescent="0.25">
      <c r="A78" t="str">
        <f>IF('CASE DATA'!A80="","",'CASE DATA'!A80)</f>
        <v/>
      </c>
      <c r="B78">
        <f>'CASE DATA'!B80</f>
        <v>0</v>
      </c>
      <c r="C78" s="10">
        <f>'CASE DATA'!D80</f>
        <v>0</v>
      </c>
      <c r="D78" s="13">
        <f>SUM('CASE DATA'!M80)</f>
        <v>0</v>
      </c>
    </row>
    <row r="79" spans="1:4" x14ac:dyDescent="0.25">
      <c r="A79" t="str">
        <f>IF('CASE DATA'!A81="","",'CASE DATA'!A81)</f>
        <v/>
      </c>
      <c r="B79">
        <f>'CASE DATA'!B81</f>
        <v>0</v>
      </c>
      <c r="C79" s="10">
        <f>'CASE DATA'!D81</f>
        <v>0</v>
      </c>
      <c r="D79" s="13">
        <f>SUM('CASE DATA'!M81)</f>
        <v>0</v>
      </c>
    </row>
    <row r="80" spans="1:4" x14ac:dyDescent="0.25">
      <c r="A80" t="str">
        <f>IF('CASE DATA'!A82="","",'CASE DATA'!A82)</f>
        <v/>
      </c>
      <c r="B80">
        <f>'CASE DATA'!B82</f>
        <v>0</v>
      </c>
      <c r="C80" s="10">
        <f>'CASE DATA'!D82</f>
        <v>0</v>
      </c>
      <c r="D80" s="13">
        <f>SUM('CASE DATA'!M82)</f>
        <v>0</v>
      </c>
    </row>
    <row r="81" spans="1:4" x14ac:dyDescent="0.25">
      <c r="A81" t="str">
        <f>IF('CASE DATA'!A83="","",'CASE DATA'!A83)</f>
        <v/>
      </c>
      <c r="B81">
        <f>'CASE DATA'!B83</f>
        <v>0</v>
      </c>
      <c r="C81" s="10">
        <f>'CASE DATA'!D83</f>
        <v>0</v>
      </c>
      <c r="D81" s="13">
        <f>SUM('CASE DATA'!M83)</f>
        <v>0</v>
      </c>
    </row>
    <row r="82" spans="1:4" x14ac:dyDescent="0.25">
      <c r="A82" t="str">
        <f>IF('CASE DATA'!A84="","",'CASE DATA'!A84)</f>
        <v/>
      </c>
      <c r="B82">
        <f>'CASE DATA'!B84</f>
        <v>0</v>
      </c>
      <c r="C82" s="10">
        <f>'CASE DATA'!D84</f>
        <v>0</v>
      </c>
      <c r="D82" s="13">
        <f>SUM('CASE DATA'!M84)</f>
        <v>0</v>
      </c>
    </row>
    <row r="83" spans="1:4" x14ac:dyDescent="0.25">
      <c r="A83" t="str">
        <f>IF('CASE DATA'!A85="","",'CASE DATA'!A85)</f>
        <v/>
      </c>
      <c r="B83">
        <f>'CASE DATA'!B85</f>
        <v>0</v>
      </c>
      <c r="C83" s="10">
        <f>'CASE DATA'!D85</f>
        <v>0</v>
      </c>
      <c r="D83" s="13">
        <f>SUM('CASE DATA'!M85)</f>
        <v>0</v>
      </c>
    </row>
    <row r="84" spans="1:4" x14ac:dyDescent="0.25">
      <c r="A84" t="str">
        <f>IF('CASE DATA'!A86="","",'CASE DATA'!A86)</f>
        <v/>
      </c>
      <c r="B84">
        <f>'CASE DATA'!B86</f>
        <v>0</v>
      </c>
      <c r="C84" s="10">
        <f>'CASE DATA'!D86</f>
        <v>0</v>
      </c>
      <c r="D84" s="13">
        <f>SUM('CASE DATA'!M86)</f>
        <v>0</v>
      </c>
    </row>
    <row r="85" spans="1:4" x14ac:dyDescent="0.25">
      <c r="A85" t="str">
        <f>IF('CASE DATA'!A87="","",'CASE DATA'!A87)</f>
        <v/>
      </c>
      <c r="B85">
        <f>'CASE DATA'!B87</f>
        <v>0</v>
      </c>
      <c r="C85" s="10">
        <f>'CASE DATA'!D87</f>
        <v>0</v>
      </c>
      <c r="D85" s="13">
        <f>SUM('CASE DATA'!M87)</f>
        <v>0</v>
      </c>
    </row>
    <row r="86" spans="1:4" x14ac:dyDescent="0.25">
      <c r="A86" t="str">
        <f>IF('CASE DATA'!A88="","",'CASE DATA'!A88)</f>
        <v/>
      </c>
      <c r="B86">
        <f>'CASE DATA'!B88</f>
        <v>0</v>
      </c>
      <c r="C86" s="10">
        <f>'CASE DATA'!D88</f>
        <v>0</v>
      </c>
      <c r="D86" s="13">
        <f>SUM('CASE DATA'!M88)</f>
        <v>0</v>
      </c>
    </row>
    <row r="87" spans="1:4" x14ac:dyDescent="0.25">
      <c r="A87" t="str">
        <f>IF('CASE DATA'!A89="","",'CASE DATA'!A89)</f>
        <v/>
      </c>
      <c r="B87">
        <f>'CASE DATA'!B89</f>
        <v>0</v>
      </c>
      <c r="C87" s="10">
        <f>'CASE DATA'!D89</f>
        <v>0</v>
      </c>
      <c r="D87" s="13">
        <f>SUM('CASE DATA'!M89)</f>
        <v>0</v>
      </c>
    </row>
    <row r="88" spans="1:4" x14ac:dyDescent="0.25">
      <c r="A88" t="str">
        <f>IF('CASE DATA'!A90="","",'CASE DATA'!A90)</f>
        <v/>
      </c>
      <c r="B88">
        <f>'CASE DATA'!B90</f>
        <v>0</v>
      </c>
      <c r="C88" s="10">
        <f>'CASE DATA'!D90</f>
        <v>0</v>
      </c>
      <c r="D88" s="13">
        <f>SUM('CASE DATA'!M90)</f>
        <v>0</v>
      </c>
    </row>
    <row r="89" spans="1:4" x14ac:dyDescent="0.25">
      <c r="A89" t="str">
        <f>IF('CASE DATA'!A91="","",'CASE DATA'!A91)</f>
        <v/>
      </c>
      <c r="B89">
        <f>'CASE DATA'!B91</f>
        <v>0</v>
      </c>
      <c r="C89" s="10">
        <f>'CASE DATA'!D91</f>
        <v>0</v>
      </c>
      <c r="D89" s="13">
        <f>SUM('CASE DATA'!M91)</f>
        <v>0</v>
      </c>
    </row>
    <row r="90" spans="1:4" x14ac:dyDescent="0.25">
      <c r="A90" t="str">
        <f>IF('CASE DATA'!A92="","",'CASE DATA'!A92)</f>
        <v/>
      </c>
      <c r="B90">
        <f>'CASE DATA'!B92</f>
        <v>0</v>
      </c>
      <c r="C90" s="10">
        <f>'CASE DATA'!D92</f>
        <v>0</v>
      </c>
      <c r="D90" s="13">
        <f>SUM('CASE DATA'!M92)</f>
        <v>0</v>
      </c>
    </row>
    <row r="91" spans="1:4" x14ac:dyDescent="0.25">
      <c r="A91" t="str">
        <f>IF('CASE DATA'!A93="","",'CASE DATA'!A93)</f>
        <v/>
      </c>
      <c r="B91">
        <f>'CASE DATA'!B93</f>
        <v>0</v>
      </c>
      <c r="C91" s="10">
        <f>'CASE DATA'!D93</f>
        <v>0</v>
      </c>
      <c r="D91" s="13">
        <f>SUM('CASE DATA'!M93)</f>
        <v>0</v>
      </c>
    </row>
    <row r="92" spans="1:4" x14ac:dyDescent="0.25">
      <c r="A92" t="str">
        <f>IF('CASE DATA'!A94="","",'CASE DATA'!A94)</f>
        <v/>
      </c>
      <c r="B92">
        <f>'CASE DATA'!B94</f>
        <v>0</v>
      </c>
      <c r="C92" s="10">
        <f>'CASE DATA'!D94</f>
        <v>0</v>
      </c>
      <c r="D92" s="13">
        <f>SUM('CASE DATA'!M94)</f>
        <v>0</v>
      </c>
    </row>
    <row r="93" spans="1:4" x14ac:dyDescent="0.25">
      <c r="A93" t="str">
        <f>IF('CASE DATA'!A95="","",'CASE DATA'!A95)</f>
        <v/>
      </c>
      <c r="B93">
        <f>'CASE DATA'!B95</f>
        <v>0</v>
      </c>
      <c r="C93" s="10">
        <f>'CASE DATA'!D95</f>
        <v>0</v>
      </c>
      <c r="D93" s="13">
        <f>SUM('CASE DATA'!M95)</f>
        <v>0</v>
      </c>
    </row>
    <row r="94" spans="1:4" x14ac:dyDescent="0.25">
      <c r="A94" t="str">
        <f>IF('CASE DATA'!A96="","",'CASE DATA'!A96)</f>
        <v/>
      </c>
      <c r="B94">
        <f>'CASE DATA'!B96</f>
        <v>0</v>
      </c>
      <c r="C94" s="10">
        <f>'CASE DATA'!D96</f>
        <v>0</v>
      </c>
      <c r="D94" s="13">
        <f>SUM('CASE DATA'!M96)</f>
        <v>0</v>
      </c>
    </row>
    <row r="95" spans="1:4" x14ac:dyDescent="0.25">
      <c r="A95" t="str">
        <f>IF('CASE DATA'!A97="","",'CASE DATA'!A97)</f>
        <v/>
      </c>
      <c r="B95">
        <f>'CASE DATA'!B97</f>
        <v>0</v>
      </c>
      <c r="C95" s="10">
        <f>'CASE DATA'!D97</f>
        <v>0</v>
      </c>
      <c r="D95" s="13">
        <f>SUM('CASE DATA'!M97)</f>
        <v>0</v>
      </c>
    </row>
    <row r="96" spans="1:4" x14ac:dyDescent="0.25">
      <c r="A96" t="str">
        <f>IF('CASE DATA'!A98="","",'CASE DATA'!A98)</f>
        <v/>
      </c>
      <c r="B96">
        <f>'CASE DATA'!B98</f>
        <v>0</v>
      </c>
      <c r="C96" s="10">
        <f>'CASE DATA'!D98</f>
        <v>0</v>
      </c>
      <c r="D96" s="13">
        <f>SUM('CASE DATA'!M98)</f>
        <v>0</v>
      </c>
    </row>
    <row r="97" spans="1:4" x14ac:dyDescent="0.25">
      <c r="A97" t="str">
        <f>IF('CASE DATA'!A99="","",'CASE DATA'!A99)</f>
        <v/>
      </c>
      <c r="B97">
        <f>'CASE DATA'!B99</f>
        <v>0</v>
      </c>
      <c r="C97" s="10">
        <f>'CASE DATA'!D99</f>
        <v>0</v>
      </c>
      <c r="D97" s="13">
        <f>SUM('CASE DATA'!M99)</f>
        <v>0</v>
      </c>
    </row>
    <row r="98" spans="1:4" x14ac:dyDescent="0.25">
      <c r="A98" t="str">
        <f>IF('CASE DATA'!A100="","",'CASE DATA'!A100)</f>
        <v/>
      </c>
      <c r="B98">
        <f>'CASE DATA'!B100</f>
        <v>0</v>
      </c>
      <c r="C98" s="10">
        <f>'CASE DATA'!D100</f>
        <v>0</v>
      </c>
      <c r="D98" s="13">
        <f>SUM('CASE DATA'!M100)</f>
        <v>0</v>
      </c>
    </row>
    <row r="99" spans="1:4" x14ac:dyDescent="0.25">
      <c r="A99" t="str">
        <f>IF('CASE DATA'!A101="","",'CASE DATA'!A101)</f>
        <v/>
      </c>
      <c r="B99">
        <f>'CASE DATA'!B101</f>
        <v>0</v>
      </c>
      <c r="C99" s="10">
        <f>'CASE DATA'!D101</f>
        <v>0</v>
      </c>
      <c r="D99" s="13">
        <f>SUM('CASE DATA'!M101)</f>
        <v>0</v>
      </c>
    </row>
    <row r="100" spans="1:4" x14ac:dyDescent="0.25">
      <c r="A100" t="str">
        <f>IF('CASE DATA'!A102="","",'CASE DATA'!A102)</f>
        <v/>
      </c>
      <c r="B100">
        <f>'CASE DATA'!B102</f>
        <v>0</v>
      </c>
      <c r="C100" s="10">
        <f>'CASE DATA'!D102</f>
        <v>0</v>
      </c>
      <c r="D100" s="13">
        <f>SUM('CASE DATA'!M102)</f>
        <v>0</v>
      </c>
    </row>
    <row r="101" spans="1:4" x14ac:dyDescent="0.25">
      <c r="A101" t="str">
        <f>IF('CASE DATA'!A103="","",'CASE DATA'!A103)</f>
        <v/>
      </c>
      <c r="B101">
        <f>'CASE DATA'!B103</f>
        <v>0</v>
      </c>
      <c r="C101" s="10">
        <f>'CASE DATA'!D103</f>
        <v>0</v>
      </c>
      <c r="D101" s="13">
        <f>SUM('CASE DATA'!M103)</f>
        <v>0</v>
      </c>
    </row>
    <row r="102" spans="1:4" x14ac:dyDescent="0.25">
      <c r="A102" t="str">
        <f>IF('CASE DATA'!A104="","",'CASE DATA'!A104)</f>
        <v/>
      </c>
      <c r="B102">
        <f>'CASE DATA'!B104</f>
        <v>0</v>
      </c>
      <c r="C102" s="10">
        <f>'CASE DATA'!D104</f>
        <v>0</v>
      </c>
      <c r="D102" s="13">
        <f>SUM('CASE DATA'!M104)</f>
        <v>0</v>
      </c>
    </row>
    <row r="103" spans="1:4" x14ac:dyDescent="0.25">
      <c r="A103" t="str">
        <f>IF('CASE DATA'!A105="","",'CASE DATA'!A105)</f>
        <v/>
      </c>
      <c r="B103">
        <f>'CASE DATA'!B105</f>
        <v>0</v>
      </c>
      <c r="C103" s="10">
        <f>'CASE DATA'!D105</f>
        <v>0</v>
      </c>
      <c r="D103" s="13">
        <f>SUM('CASE DATA'!M105)</f>
        <v>0</v>
      </c>
    </row>
    <row r="104" spans="1:4" x14ac:dyDescent="0.25">
      <c r="A104" t="str">
        <f>IF('CASE DATA'!A106="","",'CASE DATA'!A106)</f>
        <v/>
      </c>
      <c r="B104">
        <f>'CASE DATA'!B106</f>
        <v>0</v>
      </c>
      <c r="C104" s="10">
        <f>'CASE DATA'!D106</f>
        <v>0</v>
      </c>
      <c r="D104" s="13">
        <f>SUM('CASE DATA'!M106)</f>
        <v>0</v>
      </c>
    </row>
    <row r="105" spans="1:4" x14ac:dyDescent="0.25">
      <c r="A105" t="str">
        <f>IF('CASE DATA'!A107="","",'CASE DATA'!A107)</f>
        <v/>
      </c>
      <c r="B105">
        <f>'CASE DATA'!B107</f>
        <v>0</v>
      </c>
      <c r="C105" s="10">
        <f>'CASE DATA'!D107</f>
        <v>0</v>
      </c>
      <c r="D105" s="13">
        <f>SUM('CASE DATA'!M107)</f>
        <v>0</v>
      </c>
    </row>
    <row r="106" spans="1:4" x14ac:dyDescent="0.25">
      <c r="A106" t="str">
        <f>IF('CASE DATA'!A108="","",'CASE DATA'!A108)</f>
        <v/>
      </c>
      <c r="B106">
        <f>'CASE DATA'!B108</f>
        <v>0</v>
      </c>
      <c r="C106" s="10">
        <f>'CASE DATA'!D108</f>
        <v>0</v>
      </c>
      <c r="D106" s="13">
        <f>SUM('CASE DATA'!M108)</f>
        <v>0</v>
      </c>
    </row>
    <row r="107" spans="1:4" x14ac:dyDescent="0.25">
      <c r="A107" t="str">
        <f>IF('CASE DATA'!A109="","",'CASE DATA'!A109)</f>
        <v/>
      </c>
      <c r="B107">
        <f>'CASE DATA'!B109</f>
        <v>0</v>
      </c>
      <c r="C107" s="10">
        <f>'CASE DATA'!D109</f>
        <v>0</v>
      </c>
      <c r="D107" s="13">
        <f>SUM('CASE DATA'!M109)</f>
        <v>0</v>
      </c>
    </row>
    <row r="108" spans="1:4" x14ac:dyDescent="0.25">
      <c r="A108" t="str">
        <f>IF('CASE DATA'!A110="","",'CASE DATA'!A110)</f>
        <v/>
      </c>
      <c r="B108">
        <f>'CASE DATA'!B110</f>
        <v>0</v>
      </c>
      <c r="C108" s="10">
        <f>'CASE DATA'!D110</f>
        <v>0</v>
      </c>
      <c r="D108" s="13">
        <f>SUM('CASE DATA'!M110)</f>
        <v>0</v>
      </c>
    </row>
    <row r="109" spans="1:4" x14ac:dyDescent="0.25">
      <c r="A109" t="str">
        <f>IF('CASE DATA'!A111="","",'CASE DATA'!A111)</f>
        <v/>
      </c>
      <c r="B109">
        <f>'CASE DATA'!B111</f>
        <v>0</v>
      </c>
      <c r="C109" s="10">
        <f>'CASE DATA'!D111</f>
        <v>0</v>
      </c>
      <c r="D109" s="13">
        <f>SUM('CASE DATA'!M111)</f>
        <v>0</v>
      </c>
    </row>
    <row r="110" spans="1:4" x14ac:dyDescent="0.25">
      <c r="A110" t="str">
        <f>IF('CASE DATA'!A112="","",'CASE DATA'!A112)</f>
        <v/>
      </c>
      <c r="B110">
        <f>'CASE DATA'!B112</f>
        <v>0</v>
      </c>
      <c r="C110" s="10">
        <f>'CASE DATA'!D112</f>
        <v>0</v>
      </c>
      <c r="D110" s="13">
        <f>SUM('CASE DATA'!M112)</f>
        <v>0</v>
      </c>
    </row>
    <row r="111" spans="1:4" x14ac:dyDescent="0.25">
      <c r="A111" t="str">
        <f>IF('CASE DATA'!A113="","",'CASE DATA'!A113)</f>
        <v/>
      </c>
      <c r="B111">
        <f>'CASE DATA'!B113</f>
        <v>0</v>
      </c>
      <c r="C111" s="10">
        <f>'CASE DATA'!D113</f>
        <v>0</v>
      </c>
      <c r="D111" s="13">
        <f>SUM('CASE DATA'!M113)</f>
        <v>0</v>
      </c>
    </row>
    <row r="112" spans="1:4" x14ac:dyDescent="0.25">
      <c r="A112" t="str">
        <f>IF('CASE DATA'!A114="","",'CASE DATA'!A114)</f>
        <v/>
      </c>
      <c r="B112">
        <f>'CASE DATA'!B114</f>
        <v>0</v>
      </c>
      <c r="C112" s="10">
        <f>'CASE DATA'!D114</f>
        <v>0</v>
      </c>
      <c r="D112" s="13">
        <f>SUM('CASE DATA'!M114)</f>
        <v>0</v>
      </c>
    </row>
    <row r="113" spans="1:4" x14ac:dyDescent="0.25">
      <c r="A113" t="str">
        <f>IF('CASE DATA'!A115="","",'CASE DATA'!A115)</f>
        <v/>
      </c>
      <c r="B113">
        <f>'CASE DATA'!B115</f>
        <v>0</v>
      </c>
      <c r="C113" s="10">
        <f>'CASE DATA'!D115</f>
        <v>0</v>
      </c>
      <c r="D113" s="13">
        <f>SUM('CASE DATA'!M115)</f>
        <v>0</v>
      </c>
    </row>
    <row r="114" spans="1:4" x14ac:dyDescent="0.25">
      <c r="A114" t="str">
        <f>IF('CASE DATA'!A116="","",'CASE DATA'!A116)</f>
        <v/>
      </c>
      <c r="B114">
        <f>'CASE DATA'!B116</f>
        <v>0</v>
      </c>
      <c r="C114" s="10">
        <f>'CASE DATA'!D116</f>
        <v>0</v>
      </c>
      <c r="D114" s="13">
        <f>SUM('CASE DATA'!M116)</f>
        <v>0</v>
      </c>
    </row>
    <row r="115" spans="1:4" x14ac:dyDescent="0.25">
      <c r="A115" t="str">
        <f>IF('CASE DATA'!A117="","",'CASE DATA'!A117)</f>
        <v/>
      </c>
      <c r="B115">
        <f>'CASE DATA'!B117</f>
        <v>0</v>
      </c>
      <c r="C115" s="10">
        <f>'CASE DATA'!D117</f>
        <v>0</v>
      </c>
      <c r="D115" s="13">
        <f>SUM('CASE DATA'!M117)</f>
        <v>0</v>
      </c>
    </row>
    <row r="116" spans="1:4" x14ac:dyDescent="0.25">
      <c r="A116" t="str">
        <f>IF('CASE DATA'!A118="","",'CASE DATA'!A118)</f>
        <v/>
      </c>
      <c r="B116">
        <f>'CASE DATA'!B118</f>
        <v>0</v>
      </c>
      <c r="C116" s="10">
        <f>'CASE DATA'!D118</f>
        <v>0</v>
      </c>
      <c r="D116" s="13">
        <f>SUM('CASE DATA'!M118)</f>
        <v>0</v>
      </c>
    </row>
    <row r="117" spans="1:4" x14ac:dyDescent="0.25">
      <c r="A117" t="str">
        <f>IF('CASE DATA'!A119="","",'CASE DATA'!A119)</f>
        <v/>
      </c>
      <c r="B117">
        <f>'CASE DATA'!B119</f>
        <v>0</v>
      </c>
      <c r="C117" s="10">
        <f>'CASE DATA'!D119</f>
        <v>0</v>
      </c>
      <c r="D117" s="13">
        <f>SUM('CASE DATA'!M119)</f>
        <v>0</v>
      </c>
    </row>
    <row r="118" spans="1:4" x14ac:dyDescent="0.25">
      <c r="A118" t="str">
        <f>IF('CASE DATA'!A120="","",'CASE DATA'!A120)</f>
        <v/>
      </c>
      <c r="B118">
        <f>'CASE DATA'!B120</f>
        <v>0</v>
      </c>
      <c r="C118" s="10">
        <f>'CASE DATA'!D120</f>
        <v>0</v>
      </c>
      <c r="D118" s="13">
        <f>SUM('CASE DATA'!M120)</f>
        <v>0</v>
      </c>
    </row>
    <row r="119" spans="1:4" x14ac:dyDescent="0.25">
      <c r="A119" t="str">
        <f>IF('CASE DATA'!A121="","",'CASE DATA'!A121)</f>
        <v/>
      </c>
      <c r="B119">
        <f>'CASE DATA'!B121</f>
        <v>0</v>
      </c>
      <c r="C119" s="10">
        <f>'CASE DATA'!D121</f>
        <v>0</v>
      </c>
      <c r="D119" s="13">
        <f>SUM('CASE DATA'!M121)</f>
        <v>0</v>
      </c>
    </row>
    <row r="120" spans="1:4" x14ac:dyDescent="0.25">
      <c r="A120" t="str">
        <f>IF('CASE DATA'!A122="","",'CASE DATA'!A122)</f>
        <v/>
      </c>
      <c r="B120">
        <f>'CASE DATA'!B122</f>
        <v>0</v>
      </c>
      <c r="C120" s="10">
        <f>'CASE DATA'!D122</f>
        <v>0</v>
      </c>
      <c r="D120" s="13">
        <f>SUM('CASE DATA'!M122)</f>
        <v>0</v>
      </c>
    </row>
    <row r="121" spans="1:4" x14ac:dyDescent="0.25">
      <c r="A121" t="str">
        <f>IF('CASE DATA'!A123="","",'CASE DATA'!A123)</f>
        <v/>
      </c>
      <c r="B121">
        <f>'CASE DATA'!B123</f>
        <v>0</v>
      </c>
      <c r="C121" s="10">
        <f>'CASE DATA'!D123</f>
        <v>0</v>
      </c>
      <c r="D121" s="13">
        <f>SUM('CASE DATA'!M123)</f>
        <v>0</v>
      </c>
    </row>
    <row r="122" spans="1:4" x14ac:dyDescent="0.25">
      <c r="A122" t="str">
        <f>IF('CASE DATA'!A124="","",'CASE DATA'!A124)</f>
        <v/>
      </c>
      <c r="B122">
        <f>'CASE DATA'!B124</f>
        <v>0</v>
      </c>
      <c r="C122" s="10">
        <f>'CASE DATA'!D124</f>
        <v>0</v>
      </c>
      <c r="D122" s="13">
        <f>SUM('CASE DATA'!M124)</f>
        <v>0</v>
      </c>
    </row>
    <row r="123" spans="1:4" x14ac:dyDescent="0.25">
      <c r="A123" t="str">
        <f>IF('CASE DATA'!A125="","",'CASE DATA'!A125)</f>
        <v/>
      </c>
      <c r="B123">
        <f>'CASE DATA'!B125</f>
        <v>0</v>
      </c>
      <c r="C123" s="10">
        <f>'CASE DATA'!D125</f>
        <v>0</v>
      </c>
      <c r="D123" s="13">
        <f>SUM('CASE DATA'!M125)</f>
        <v>0</v>
      </c>
    </row>
    <row r="124" spans="1:4" x14ac:dyDescent="0.25">
      <c r="A124" t="str">
        <f>IF('CASE DATA'!A126="","",'CASE DATA'!A126)</f>
        <v/>
      </c>
      <c r="B124">
        <f>'CASE DATA'!B126</f>
        <v>0</v>
      </c>
      <c r="C124" s="10">
        <f>'CASE DATA'!D126</f>
        <v>0</v>
      </c>
      <c r="D124" s="13">
        <f>SUM('CASE DATA'!M126)</f>
        <v>0</v>
      </c>
    </row>
    <row r="125" spans="1:4" x14ac:dyDescent="0.25">
      <c r="A125" t="str">
        <f>IF('CASE DATA'!A127="","",'CASE DATA'!A127)</f>
        <v/>
      </c>
      <c r="B125">
        <f>'CASE DATA'!B127</f>
        <v>0</v>
      </c>
      <c r="C125" s="10">
        <f>'CASE DATA'!D127</f>
        <v>0</v>
      </c>
      <c r="D125" s="13">
        <f>SUM('CASE DATA'!M127)</f>
        <v>0</v>
      </c>
    </row>
    <row r="126" spans="1:4" x14ac:dyDescent="0.25">
      <c r="A126" t="str">
        <f>IF('CASE DATA'!A128="","",'CASE DATA'!A128)</f>
        <v/>
      </c>
      <c r="B126">
        <f>'CASE DATA'!B128</f>
        <v>0</v>
      </c>
      <c r="C126" s="10">
        <f>'CASE DATA'!D128</f>
        <v>0</v>
      </c>
      <c r="D126" s="13">
        <f>SUM('CASE DATA'!M128)</f>
        <v>0</v>
      </c>
    </row>
    <row r="127" spans="1:4" x14ac:dyDescent="0.25">
      <c r="A127" t="str">
        <f>IF('CASE DATA'!A129="","",'CASE DATA'!A129)</f>
        <v/>
      </c>
      <c r="B127">
        <f>'CASE DATA'!B129</f>
        <v>0</v>
      </c>
      <c r="C127" s="10">
        <f>'CASE DATA'!D129</f>
        <v>0</v>
      </c>
      <c r="D127" s="13">
        <f>SUM('CASE DATA'!M129)</f>
        <v>0</v>
      </c>
    </row>
    <row r="128" spans="1:4" x14ac:dyDescent="0.25">
      <c r="A128" t="str">
        <f>IF('CASE DATA'!A130="","",'CASE DATA'!A130)</f>
        <v/>
      </c>
      <c r="B128">
        <f>'CASE DATA'!B130</f>
        <v>0</v>
      </c>
      <c r="C128" s="10">
        <f>'CASE DATA'!D130</f>
        <v>0</v>
      </c>
      <c r="D128" s="13">
        <f>SUM('CASE DATA'!M130)</f>
        <v>0</v>
      </c>
    </row>
    <row r="129" spans="1:4" x14ac:dyDescent="0.25">
      <c r="A129" t="str">
        <f>IF('CASE DATA'!A131="","",'CASE DATA'!A131)</f>
        <v/>
      </c>
      <c r="B129">
        <f>'CASE DATA'!B131</f>
        <v>0</v>
      </c>
      <c r="C129" s="10">
        <f>'CASE DATA'!D131</f>
        <v>0</v>
      </c>
      <c r="D129" s="13">
        <f>SUM('CASE DATA'!M131)</f>
        <v>0</v>
      </c>
    </row>
    <row r="130" spans="1:4" x14ac:dyDescent="0.25">
      <c r="A130" t="str">
        <f>IF('CASE DATA'!A132="","",'CASE DATA'!A132)</f>
        <v/>
      </c>
      <c r="B130">
        <f>'CASE DATA'!B132</f>
        <v>0</v>
      </c>
      <c r="C130" s="10">
        <f>'CASE DATA'!D132</f>
        <v>0</v>
      </c>
      <c r="D130" s="13">
        <f>SUM('CASE DATA'!M132)</f>
        <v>0</v>
      </c>
    </row>
    <row r="131" spans="1:4" x14ac:dyDescent="0.25">
      <c r="A131" t="str">
        <f>IF('CASE DATA'!A133="","",'CASE DATA'!A133)</f>
        <v/>
      </c>
      <c r="B131">
        <f>'CASE DATA'!B133</f>
        <v>0</v>
      </c>
      <c r="C131" s="10">
        <f>'CASE DATA'!D133</f>
        <v>0</v>
      </c>
      <c r="D131" s="13">
        <f>SUM('CASE DATA'!M133)</f>
        <v>0</v>
      </c>
    </row>
    <row r="132" spans="1:4" x14ac:dyDescent="0.25">
      <c r="A132" t="str">
        <f>IF('CASE DATA'!A134="","",'CASE DATA'!A134)</f>
        <v/>
      </c>
      <c r="B132">
        <f>'CASE DATA'!B134</f>
        <v>0</v>
      </c>
      <c r="C132" s="10">
        <f>'CASE DATA'!D134</f>
        <v>0</v>
      </c>
      <c r="D132" s="13">
        <f>SUM('CASE DATA'!M134)</f>
        <v>0</v>
      </c>
    </row>
    <row r="133" spans="1:4" x14ac:dyDescent="0.25">
      <c r="A133" t="str">
        <f>IF('CASE DATA'!A135="","",'CASE DATA'!A135)</f>
        <v/>
      </c>
      <c r="B133">
        <f>'CASE DATA'!B135</f>
        <v>0</v>
      </c>
      <c r="C133" s="10">
        <f>'CASE DATA'!D135</f>
        <v>0</v>
      </c>
      <c r="D133" s="13">
        <f>SUM('CASE DATA'!M135)</f>
        <v>0</v>
      </c>
    </row>
    <row r="134" spans="1:4" x14ac:dyDescent="0.25">
      <c r="A134" t="str">
        <f>IF('CASE DATA'!A136="","",'CASE DATA'!A136)</f>
        <v/>
      </c>
      <c r="B134">
        <f>'CASE DATA'!B136</f>
        <v>0</v>
      </c>
      <c r="C134" s="10">
        <f>'CASE DATA'!D136</f>
        <v>0</v>
      </c>
      <c r="D134" s="13">
        <f>SUM('CASE DATA'!M136)</f>
        <v>0</v>
      </c>
    </row>
    <row r="135" spans="1:4" x14ac:dyDescent="0.25">
      <c r="A135" t="str">
        <f>IF('CASE DATA'!A137="","",'CASE DATA'!A137)</f>
        <v/>
      </c>
      <c r="B135">
        <f>'CASE DATA'!B137</f>
        <v>0</v>
      </c>
      <c r="C135" s="10">
        <f>'CASE DATA'!D137</f>
        <v>0</v>
      </c>
      <c r="D135" s="13">
        <f>SUM('CASE DATA'!M137)</f>
        <v>0</v>
      </c>
    </row>
    <row r="136" spans="1:4" x14ac:dyDescent="0.25">
      <c r="A136" t="str">
        <f>IF('CASE DATA'!A138="","",'CASE DATA'!A138)</f>
        <v/>
      </c>
      <c r="B136">
        <f>'CASE DATA'!B138</f>
        <v>0</v>
      </c>
      <c r="C136" s="10">
        <f>'CASE DATA'!D138</f>
        <v>0</v>
      </c>
      <c r="D136" s="13">
        <f>SUM('CASE DATA'!M138)</f>
        <v>0</v>
      </c>
    </row>
    <row r="137" spans="1:4" x14ac:dyDescent="0.25">
      <c r="A137" t="str">
        <f>IF('CASE DATA'!A139="","",'CASE DATA'!A139)</f>
        <v/>
      </c>
      <c r="B137">
        <f>'CASE DATA'!B139</f>
        <v>0</v>
      </c>
      <c r="C137" s="10">
        <f>'CASE DATA'!D139</f>
        <v>0</v>
      </c>
      <c r="D137" s="13">
        <f>SUM('CASE DATA'!M139)</f>
        <v>0</v>
      </c>
    </row>
    <row r="138" spans="1:4" x14ac:dyDescent="0.25">
      <c r="A138" t="str">
        <f>IF('CASE DATA'!A140="","",'CASE DATA'!A140)</f>
        <v/>
      </c>
      <c r="B138">
        <f>'CASE DATA'!B140</f>
        <v>0</v>
      </c>
      <c r="C138" s="10">
        <f>'CASE DATA'!D140</f>
        <v>0</v>
      </c>
      <c r="D138" s="13">
        <f>SUM('CASE DATA'!M140)</f>
        <v>0</v>
      </c>
    </row>
    <row r="139" spans="1:4" x14ac:dyDescent="0.25">
      <c r="A139" t="str">
        <f>IF('CASE DATA'!A141="","",'CASE DATA'!A141)</f>
        <v/>
      </c>
      <c r="B139">
        <f>'CASE DATA'!B141</f>
        <v>0</v>
      </c>
      <c r="C139" s="10">
        <f>'CASE DATA'!D141</f>
        <v>0</v>
      </c>
      <c r="D139" s="13">
        <f>SUM('CASE DATA'!M141)</f>
        <v>0</v>
      </c>
    </row>
    <row r="140" spans="1:4" x14ac:dyDescent="0.25">
      <c r="A140" t="str">
        <f>IF('CASE DATA'!A142="","",'CASE DATA'!A142)</f>
        <v/>
      </c>
      <c r="B140">
        <f>'CASE DATA'!B142</f>
        <v>0</v>
      </c>
      <c r="C140" s="10">
        <f>'CASE DATA'!D142</f>
        <v>0</v>
      </c>
      <c r="D140" s="13">
        <f>SUM('CASE DATA'!M142)</f>
        <v>0</v>
      </c>
    </row>
    <row r="141" spans="1:4" x14ac:dyDescent="0.25">
      <c r="A141" t="str">
        <f>IF('CASE DATA'!A143="","",'CASE DATA'!A143)</f>
        <v/>
      </c>
      <c r="B141">
        <f>'CASE DATA'!B143</f>
        <v>0</v>
      </c>
      <c r="C141" s="10">
        <f>'CASE DATA'!D143</f>
        <v>0</v>
      </c>
      <c r="D141" s="13">
        <f>SUM('CASE DATA'!M143)</f>
        <v>0</v>
      </c>
    </row>
    <row r="142" spans="1:4" x14ac:dyDescent="0.25">
      <c r="A142" t="str">
        <f>IF('CASE DATA'!A144="","",'CASE DATA'!A144)</f>
        <v/>
      </c>
      <c r="B142">
        <f>'CASE DATA'!B144</f>
        <v>0</v>
      </c>
      <c r="C142" s="10">
        <f>'CASE DATA'!D144</f>
        <v>0</v>
      </c>
      <c r="D142" s="13">
        <f>SUM('CASE DATA'!M144)</f>
        <v>0</v>
      </c>
    </row>
    <row r="143" spans="1:4" x14ac:dyDescent="0.25">
      <c r="A143" t="str">
        <f>IF('CASE DATA'!A145="","",'CASE DATA'!A145)</f>
        <v/>
      </c>
      <c r="B143">
        <f>'CASE DATA'!B145</f>
        <v>0</v>
      </c>
      <c r="C143" s="10">
        <f>'CASE DATA'!D145</f>
        <v>0</v>
      </c>
      <c r="D143" s="13">
        <f>SUM('CASE DATA'!M145)</f>
        <v>0</v>
      </c>
    </row>
    <row r="144" spans="1:4" x14ac:dyDescent="0.25">
      <c r="A144" t="str">
        <f>IF('CASE DATA'!A146="","",'CASE DATA'!A146)</f>
        <v/>
      </c>
      <c r="B144">
        <f>'CASE DATA'!B146</f>
        <v>0</v>
      </c>
      <c r="C144" s="10">
        <f>'CASE DATA'!D146</f>
        <v>0</v>
      </c>
      <c r="D144" s="13">
        <f>SUM('CASE DATA'!M146)</f>
        <v>0</v>
      </c>
    </row>
    <row r="145" spans="1:4" x14ac:dyDescent="0.25">
      <c r="A145" t="str">
        <f>IF('CASE DATA'!A147="","",'CASE DATA'!A147)</f>
        <v/>
      </c>
      <c r="B145">
        <f>'CASE DATA'!B147</f>
        <v>0</v>
      </c>
      <c r="C145" s="10">
        <f>'CASE DATA'!D147</f>
        <v>0</v>
      </c>
      <c r="D145" s="13">
        <f>SUM('CASE DATA'!M147)</f>
        <v>0</v>
      </c>
    </row>
    <row r="146" spans="1:4" x14ac:dyDescent="0.25">
      <c r="A146" t="str">
        <f>IF('CASE DATA'!A148="","",'CASE DATA'!A148)</f>
        <v/>
      </c>
      <c r="B146">
        <f>'CASE DATA'!B148</f>
        <v>0</v>
      </c>
      <c r="C146" s="10">
        <f>'CASE DATA'!D148</f>
        <v>0</v>
      </c>
      <c r="D146" s="13">
        <f>SUM('CASE DATA'!M148)</f>
        <v>0</v>
      </c>
    </row>
    <row r="147" spans="1:4" x14ac:dyDescent="0.25">
      <c r="A147" t="str">
        <f>IF('CASE DATA'!A149="","",'CASE DATA'!A149)</f>
        <v/>
      </c>
      <c r="B147">
        <f>'CASE DATA'!B149</f>
        <v>0</v>
      </c>
      <c r="C147" s="10">
        <f>'CASE DATA'!D149</f>
        <v>0</v>
      </c>
      <c r="D147" s="13">
        <f>SUM('CASE DATA'!M149)</f>
        <v>0</v>
      </c>
    </row>
    <row r="148" spans="1:4" x14ac:dyDescent="0.25">
      <c r="A148" t="str">
        <f>IF('CASE DATA'!A150="","",'CASE DATA'!A150)</f>
        <v/>
      </c>
      <c r="B148">
        <f>'CASE DATA'!B150</f>
        <v>0</v>
      </c>
      <c r="C148" s="10">
        <f>'CASE DATA'!D150</f>
        <v>0</v>
      </c>
      <c r="D148" s="13">
        <f>SUM('CASE DATA'!M150)</f>
        <v>0</v>
      </c>
    </row>
    <row r="149" spans="1:4" x14ac:dyDescent="0.25">
      <c r="A149" t="str">
        <f>IF('CASE DATA'!A151="","",'CASE DATA'!A151)</f>
        <v/>
      </c>
      <c r="B149">
        <f>'CASE DATA'!B151</f>
        <v>0</v>
      </c>
      <c r="C149" s="10">
        <f>'CASE DATA'!D151</f>
        <v>0</v>
      </c>
      <c r="D149" s="13">
        <f>SUM('CASE DATA'!M151)</f>
        <v>0</v>
      </c>
    </row>
    <row r="150" spans="1:4" x14ac:dyDescent="0.25">
      <c r="A150" t="str">
        <f>IF('CASE DATA'!A152="","",'CASE DATA'!A152)</f>
        <v/>
      </c>
      <c r="B150">
        <f>'CASE DATA'!B152</f>
        <v>0</v>
      </c>
      <c r="C150" s="10">
        <f>'CASE DATA'!D152</f>
        <v>0</v>
      </c>
      <c r="D150" s="13">
        <f>SUM('CASE DATA'!M152)</f>
        <v>0</v>
      </c>
    </row>
    <row r="151" spans="1:4" x14ac:dyDescent="0.25">
      <c r="A151" t="str">
        <f>IF('CASE DATA'!A153="","",'CASE DATA'!A153)</f>
        <v/>
      </c>
      <c r="B151">
        <f>'CASE DATA'!B153</f>
        <v>0</v>
      </c>
      <c r="C151" s="10">
        <f>'CASE DATA'!D153</f>
        <v>0</v>
      </c>
      <c r="D151" s="13">
        <f>SUM('CASE DATA'!M153)</f>
        <v>0</v>
      </c>
    </row>
    <row r="152" spans="1:4" x14ac:dyDescent="0.25">
      <c r="A152" t="str">
        <f>IF('CASE DATA'!A154="","",'CASE DATA'!A154)</f>
        <v/>
      </c>
      <c r="B152">
        <f>'CASE DATA'!B154</f>
        <v>0</v>
      </c>
      <c r="C152" s="10">
        <f>'CASE DATA'!D154</f>
        <v>0</v>
      </c>
      <c r="D152" s="13">
        <f>SUM('CASE DATA'!M154)</f>
        <v>0</v>
      </c>
    </row>
    <row r="153" spans="1:4" x14ac:dyDescent="0.25">
      <c r="A153" t="str">
        <f>IF('CASE DATA'!A155="","",'CASE DATA'!A155)</f>
        <v/>
      </c>
      <c r="B153">
        <f>'CASE DATA'!B155</f>
        <v>0</v>
      </c>
      <c r="C153" s="10">
        <f>'CASE DATA'!D155</f>
        <v>0</v>
      </c>
      <c r="D153" s="13">
        <f>SUM('CASE DATA'!M155)</f>
        <v>0</v>
      </c>
    </row>
    <row r="154" spans="1:4" x14ac:dyDescent="0.25">
      <c r="A154" t="str">
        <f>IF('CASE DATA'!A156="","",'CASE DATA'!A156)</f>
        <v/>
      </c>
      <c r="B154">
        <f>'CASE DATA'!B156</f>
        <v>0</v>
      </c>
      <c r="C154" s="10">
        <f>'CASE DATA'!D156</f>
        <v>0</v>
      </c>
      <c r="D154" s="13">
        <f>SUM('CASE DATA'!M156)</f>
        <v>0</v>
      </c>
    </row>
    <row r="155" spans="1:4" x14ac:dyDescent="0.25">
      <c r="A155" t="str">
        <f>IF('CASE DATA'!A157="","",'CASE DATA'!A157)</f>
        <v/>
      </c>
      <c r="B155">
        <f>'CASE DATA'!B157</f>
        <v>0</v>
      </c>
      <c r="C155" s="10">
        <f>'CASE DATA'!D157</f>
        <v>0</v>
      </c>
      <c r="D155" s="13">
        <f>SUM('CASE DATA'!M157)</f>
        <v>0</v>
      </c>
    </row>
    <row r="156" spans="1:4" x14ac:dyDescent="0.25">
      <c r="A156" t="str">
        <f>IF('CASE DATA'!A158="","",'CASE DATA'!A158)</f>
        <v/>
      </c>
      <c r="B156">
        <f>'CASE DATA'!B158</f>
        <v>0</v>
      </c>
      <c r="C156" s="10">
        <f>'CASE DATA'!D158</f>
        <v>0</v>
      </c>
      <c r="D156" s="13">
        <f>SUM('CASE DATA'!M158)</f>
        <v>0</v>
      </c>
    </row>
    <row r="157" spans="1:4" x14ac:dyDescent="0.25">
      <c r="A157" t="str">
        <f>IF('CASE DATA'!A159="","",'CASE DATA'!A159)</f>
        <v/>
      </c>
      <c r="B157">
        <f>'CASE DATA'!B159</f>
        <v>0</v>
      </c>
      <c r="C157" s="10">
        <f>'CASE DATA'!D159</f>
        <v>0</v>
      </c>
      <c r="D157" s="13">
        <f>SUM('CASE DATA'!M159)</f>
        <v>0</v>
      </c>
    </row>
    <row r="158" spans="1:4" x14ac:dyDescent="0.25">
      <c r="A158" t="str">
        <f>IF('CASE DATA'!A160="","",'CASE DATA'!A160)</f>
        <v/>
      </c>
      <c r="B158">
        <f>'CASE DATA'!B160</f>
        <v>0</v>
      </c>
      <c r="C158" s="10">
        <f>'CASE DATA'!D160</f>
        <v>0</v>
      </c>
      <c r="D158" s="13">
        <f>SUM('CASE DATA'!M160)</f>
        <v>0</v>
      </c>
    </row>
    <row r="159" spans="1:4" x14ac:dyDescent="0.25">
      <c r="A159" t="str">
        <f>IF('CASE DATA'!A161="","",'CASE DATA'!A161)</f>
        <v/>
      </c>
      <c r="B159">
        <f>'CASE DATA'!B161</f>
        <v>0</v>
      </c>
      <c r="C159" s="10">
        <f>'CASE DATA'!D161</f>
        <v>0</v>
      </c>
      <c r="D159" s="13">
        <f>SUM('CASE DATA'!M161)</f>
        <v>0</v>
      </c>
    </row>
    <row r="160" spans="1:4" x14ac:dyDescent="0.25">
      <c r="A160" t="str">
        <f>IF('CASE DATA'!A162="","",'CASE DATA'!A162)</f>
        <v/>
      </c>
      <c r="B160">
        <f>'CASE DATA'!B162</f>
        <v>0</v>
      </c>
      <c r="C160" s="10">
        <f>'CASE DATA'!D162</f>
        <v>0</v>
      </c>
      <c r="D160" s="13">
        <f>SUM('CASE DATA'!M162)</f>
        <v>0</v>
      </c>
    </row>
    <row r="161" spans="1:4" x14ac:dyDescent="0.25">
      <c r="A161" t="str">
        <f>IF('CASE DATA'!A163="","",'CASE DATA'!A163)</f>
        <v/>
      </c>
      <c r="B161">
        <f>'CASE DATA'!B163</f>
        <v>0</v>
      </c>
      <c r="C161" s="10">
        <f>'CASE DATA'!D163</f>
        <v>0</v>
      </c>
      <c r="D161" s="13">
        <f>SUM('CASE DATA'!M163)</f>
        <v>0</v>
      </c>
    </row>
    <row r="162" spans="1:4" x14ac:dyDescent="0.25">
      <c r="A162" t="str">
        <f>IF('CASE DATA'!A164="","",'CASE DATA'!A164)</f>
        <v/>
      </c>
      <c r="B162">
        <f>'CASE DATA'!B164</f>
        <v>0</v>
      </c>
      <c r="C162" s="10">
        <f>'CASE DATA'!D164</f>
        <v>0</v>
      </c>
      <c r="D162" s="13">
        <f>SUM('CASE DATA'!M164)</f>
        <v>0</v>
      </c>
    </row>
    <row r="163" spans="1:4" x14ac:dyDescent="0.25">
      <c r="A163" t="str">
        <f>IF('CASE DATA'!A165="","",'CASE DATA'!A165)</f>
        <v/>
      </c>
      <c r="B163">
        <f>'CASE DATA'!B165</f>
        <v>0</v>
      </c>
      <c r="C163" s="10">
        <f>'CASE DATA'!D165</f>
        <v>0</v>
      </c>
      <c r="D163" s="13">
        <f>SUM('CASE DATA'!M165)</f>
        <v>0</v>
      </c>
    </row>
    <row r="164" spans="1:4" x14ac:dyDescent="0.25">
      <c r="A164" t="str">
        <f>IF('CASE DATA'!A166="","",'CASE DATA'!A166)</f>
        <v/>
      </c>
      <c r="B164">
        <f>'CASE DATA'!B166</f>
        <v>0</v>
      </c>
      <c r="C164" s="10">
        <f>'CASE DATA'!D166</f>
        <v>0</v>
      </c>
      <c r="D164" s="13">
        <f>SUM('CASE DATA'!M166)</f>
        <v>0</v>
      </c>
    </row>
    <row r="165" spans="1:4" x14ac:dyDescent="0.25">
      <c r="A165" t="str">
        <f>IF('CASE DATA'!A167="","",'CASE DATA'!A167)</f>
        <v/>
      </c>
      <c r="B165">
        <f>'CASE DATA'!B167</f>
        <v>0</v>
      </c>
      <c r="C165" s="10">
        <f>'CASE DATA'!D167</f>
        <v>0</v>
      </c>
      <c r="D165" s="13">
        <f>SUM('CASE DATA'!M167)</f>
        <v>0</v>
      </c>
    </row>
    <row r="166" spans="1:4" x14ac:dyDescent="0.25">
      <c r="A166" t="str">
        <f>IF('CASE DATA'!A168="","",'CASE DATA'!A168)</f>
        <v/>
      </c>
      <c r="B166">
        <f>'CASE DATA'!B168</f>
        <v>0</v>
      </c>
      <c r="C166" s="10">
        <f>'CASE DATA'!D168</f>
        <v>0</v>
      </c>
      <c r="D166" s="13">
        <f>SUM('CASE DATA'!M168)</f>
        <v>0</v>
      </c>
    </row>
    <row r="167" spans="1:4" x14ac:dyDescent="0.25">
      <c r="A167" t="str">
        <f>IF('CASE DATA'!A169="","",'CASE DATA'!A169)</f>
        <v/>
      </c>
      <c r="B167">
        <f>'CASE DATA'!B169</f>
        <v>0</v>
      </c>
      <c r="C167" s="10">
        <f>'CASE DATA'!D169</f>
        <v>0</v>
      </c>
      <c r="D167" s="13">
        <f>SUM('CASE DATA'!M169)</f>
        <v>0</v>
      </c>
    </row>
    <row r="168" spans="1:4" x14ac:dyDescent="0.25">
      <c r="A168" t="str">
        <f>IF('CASE DATA'!A170="","",'CASE DATA'!A170)</f>
        <v/>
      </c>
      <c r="B168">
        <f>'CASE DATA'!B170</f>
        <v>0</v>
      </c>
      <c r="C168" s="10">
        <f>'CASE DATA'!D170</f>
        <v>0</v>
      </c>
      <c r="D168" s="13">
        <f>SUM('CASE DATA'!M170)</f>
        <v>0</v>
      </c>
    </row>
    <row r="169" spans="1:4" x14ac:dyDescent="0.25">
      <c r="A169" t="str">
        <f>IF('CASE DATA'!A171="","",'CASE DATA'!A171)</f>
        <v/>
      </c>
      <c r="B169">
        <f>'CASE DATA'!B171</f>
        <v>0</v>
      </c>
      <c r="C169" s="10">
        <f>'CASE DATA'!D171</f>
        <v>0</v>
      </c>
      <c r="D169" s="13">
        <f>SUM('CASE DATA'!M171)</f>
        <v>0</v>
      </c>
    </row>
    <row r="170" spans="1:4" x14ac:dyDescent="0.25">
      <c r="A170" t="str">
        <f>IF('CASE DATA'!A172="","",'CASE DATA'!A172)</f>
        <v/>
      </c>
      <c r="B170">
        <f>'CASE DATA'!B172</f>
        <v>0</v>
      </c>
      <c r="C170" s="10">
        <f>'CASE DATA'!D172</f>
        <v>0</v>
      </c>
      <c r="D170" s="13">
        <f>SUM('CASE DATA'!M172)</f>
        <v>0</v>
      </c>
    </row>
    <row r="171" spans="1:4" x14ac:dyDescent="0.25">
      <c r="A171" t="str">
        <f>IF('CASE DATA'!A173="","",'CASE DATA'!A173)</f>
        <v/>
      </c>
      <c r="B171">
        <f>'CASE DATA'!B173</f>
        <v>0</v>
      </c>
      <c r="C171" s="10">
        <f>'CASE DATA'!D173</f>
        <v>0</v>
      </c>
      <c r="D171" s="13">
        <f>SUM('CASE DATA'!M173)</f>
        <v>0</v>
      </c>
    </row>
    <row r="172" spans="1:4" x14ac:dyDescent="0.25">
      <c r="A172" t="str">
        <f>IF('CASE DATA'!A174="","",'CASE DATA'!A174)</f>
        <v/>
      </c>
      <c r="B172">
        <f>'CASE DATA'!B174</f>
        <v>0</v>
      </c>
      <c r="C172" s="10">
        <f>'CASE DATA'!D174</f>
        <v>0</v>
      </c>
      <c r="D172" s="13">
        <f>SUM('CASE DATA'!M174)</f>
        <v>0</v>
      </c>
    </row>
    <row r="173" spans="1:4" x14ac:dyDescent="0.25">
      <c r="A173" t="str">
        <f>IF('CASE DATA'!A175="","",'CASE DATA'!A175)</f>
        <v/>
      </c>
      <c r="B173">
        <f>'CASE DATA'!B175</f>
        <v>0</v>
      </c>
      <c r="C173" s="10">
        <f>'CASE DATA'!D175</f>
        <v>0</v>
      </c>
      <c r="D173" s="13">
        <f>SUM('CASE DATA'!M175)</f>
        <v>0</v>
      </c>
    </row>
    <row r="174" spans="1:4" x14ac:dyDescent="0.25">
      <c r="A174" t="str">
        <f>IF('CASE DATA'!A176="","",'CASE DATA'!A176)</f>
        <v/>
      </c>
      <c r="B174">
        <f>'CASE DATA'!B176</f>
        <v>0</v>
      </c>
      <c r="C174" s="10">
        <f>'CASE DATA'!D176</f>
        <v>0</v>
      </c>
      <c r="D174" s="13">
        <f>SUM('CASE DATA'!M176)</f>
        <v>0</v>
      </c>
    </row>
    <row r="175" spans="1:4" x14ac:dyDescent="0.25">
      <c r="A175" t="str">
        <f>IF('CASE DATA'!A177="","",'CASE DATA'!A177)</f>
        <v/>
      </c>
      <c r="B175">
        <f>'CASE DATA'!B177</f>
        <v>0</v>
      </c>
      <c r="C175" s="10">
        <f>'CASE DATA'!D177</f>
        <v>0</v>
      </c>
      <c r="D175" s="13">
        <f>SUM('CASE DATA'!M177)</f>
        <v>0</v>
      </c>
    </row>
    <row r="176" spans="1:4" x14ac:dyDescent="0.25">
      <c r="A176" t="str">
        <f>IF('CASE DATA'!A178="","",'CASE DATA'!A178)</f>
        <v/>
      </c>
      <c r="B176">
        <f>'CASE DATA'!B178</f>
        <v>0</v>
      </c>
      <c r="C176" s="10">
        <f>'CASE DATA'!D178</f>
        <v>0</v>
      </c>
      <c r="D176" s="13">
        <f>SUM('CASE DATA'!M178)</f>
        <v>0</v>
      </c>
    </row>
    <row r="177" spans="1:4" x14ac:dyDescent="0.25">
      <c r="A177" t="str">
        <f>IF('CASE DATA'!A179="","",'CASE DATA'!A179)</f>
        <v/>
      </c>
      <c r="B177">
        <f>'CASE DATA'!B179</f>
        <v>0</v>
      </c>
      <c r="C177" s="10">
        <f>'CASE DATA'!D179</f>
        <v>0</v>
      </c>
      <c r="D177" s="13">
        <f>SUM('CASE DATA'!M179)</f>
        <v>0</v>
      </c>
    </row>
    <row r="178" spans="1:4" x14ac:dyDescent="0.25">
      <c r="A178" t="str">
        <f>IF('CASE DATA'!A180="","",'CASE DATA'!A180)</f>
        <v/>
      </c>
      <c r="B178">
        <f>'CASE DATA'!B180</f>
        <v>0</v>
      </c>
      <c r="C178" s="10">
        <f>'CASE DATA'!D180</f>
        <v>0</v>
      </c>
      <c r="D178" s="13">
        <f>SUM('CASE DATA'!M180)</f>
        <v>0</v>
      </c>
    </row>
    <row r="179" spans="1:4" x14ac:dyDescent="0.25">
      <c r="A179" t="str">
        <f>IF('CASE DATA'!A181="","",'CASE DATA'!A181)</f>
        <v/>
      </c>
      <c r="B179">
        <f>'CASE DATA'!B181</f>
        <v>0</v>
      </c>
      <c r="C179" s="10">
        <f>'CASE DATA'!D181</f>
        <v>0</v>
      </c>
      <c r="D179" s="13">
        <f>SUM('CASE DATA'!M181)</f>
        <v>0</v>
      </c>
    </row>
    <row r="180" spans="1:4" x14ac:dyDescent="0.25">
      <c r="A180" t="str">
        <f>IF('CASE DATA'!A182="","",'CASE DATA'!A182)</f>
        <v/>
      </c>
      <c r="B180">
        <f>'CASE DATA'!B182</f>
        <v>0</v>
      </c>
      <c r="C180" s="10">
        <f>'CASE DATA'!D182</f>
        <v>0</v>
      </c>
      <c r="D180" s="13">
        <f>SUM('CASE DATA'!M182)</f>
        <v>0</v>
      </c>
    </row>
    <row r="181" spans="1:4" x14ac:dyDescent="0.25">
      <c r="A181" t="str">
        <f>IF('CASE DATA'!A183="","",'CASE DATA'!A183)</f>
        <v/>
      </c>
      <c r="B181">
        <f>'CASE DATA'!B183</f>
        <v>0</v>
      </c>
      <c r="C181" s="10">
        <f>'CASE DATA'!D183</f>
        <v>0</v>
      </c>
      <c r="D181" s="13">
        <f>SUM('CASE DATA'!M183)</f>
        <v>0</v>
      </c>
    </row>
    <row r="182" spans="1:4" x14ac:dyDescent="0.25">
      <c r="A182" t="str">
        <f>IF('CASE DATA'!A184="","",'CASE DATA'!A184)</f>
        <v/>
      </c>
      <c r="B182">
        <f>'CASE DATA'!B184</f>
        <v>0</v>
      </c>
      <c r="C182" s="10">
        <f>'CASE DATA'!D184</f>
        <v>0</v>
      </c>
      <c r="D182" s="13">
        <f>SUM('CASE DATA'!M184)</f>
        <v>0</v>
      </c>
    </row>
    <row r="183" spans="1:4" x14ac:dyDescent="0.25">
      <c r="A183" t="str">
        <f>IF('CASE DATA'!A185="","",'CASE DATA'!A185)</f>
        <v/>
      </c>
      <c r="B183">
        <f>'CASE DATA'!B185</f>
        <v>0</v>
      </c>
      <c r="C183" s="10">
        <f>'CASE DATA'!D185</f>
        <v>0</v>
      </c>
      <c r="D183" s="13">
        <f>SUM('CASE DATA'!M185)</f>
        <v>0</v>
      </c>
    </row>
    <row r="184" spans="1:4" x14ac:dyDescent="0.25">
      <c r="A184" t="str">
        <f>IF('CASE DATA'!A186="","",'CASE DATA'!A186)</f>
        <v/>
      </c>
      <c r="B184">
        <f>'CASE DATA'!B186</f>
        <v>0</v>
      </c>
      <c r="C184" s="10">
        <f>'CASE DATA'!D186</f>
        <v>0</v>
      </c>
      <c r="D184" s="13">
        <f>SUM('CASE DATA'!M186)</f>
        <v>0</v>
      </c>
    </row>
    <row r="185" spans="1:4" x14ac:dyDescent="0.25">
      <c r="A185" t="str">
        <f>IF('CASE DATA'!A187="","",'CASE DATA'!A187)</f>
        <v/>
      </c>
      <c r="B185">
        <f>'CASE DATA'!B187</f>
        <v>0</v>
      </c>
      <c r="C185" s="10">
        <f>'CASE DATA'!D187</f>
        <v>0</v>
      </c>
      <c r="D185" s="13">
        <f>SUM('CASE DATA'!M187)</f>
        <v>0</v>
      </c>
    </row>
    <row r="186" spans="1:4" x14ac:dyDescent="0.25">
      <c r="A186" t="str">
        <f>IF('CASE DATA'!A188="","",'CASE DATA'!A188)</f>
        <v/>
      </c>
      <c r="B186">
        <f>'CASE DATA'!B188</f>
        <v>0</v>
      </c>
      <c r="C186" s="10">
        <f>'CASE DATA'!D188</f>
        <v>0</v>
      </c>
      <c r="D186" s="13">
        <f>SUM('CASE DATA'!M188)</f>
        <v>0</v>
      </c>
    </row>
    <row r="187" spans="1:4" x14ac:dyDescent="0.25">
      <c r="A187" t="str">
        <f>IF('CASE DATA'!A189="","",'CASE DATA'!A189)</f>
        <v/>
      </c>
      <c r="B187">
        <f>'CASE DATA'!B189</f>
        <v>0</v>
      </c>
      <c r="C187" s="10">
        <f>'CASE DATA'!D189</f>
        <v>0</v>
      </c>
      <c r="D187" s="13">
        <f>SUM('CASE DATA'!M189)</f>
        <v>0</v>
      </c>
    </row>
    <row r="188" spans="1:4" x14ac:dyDescent="0.25">
      <c r="A188" t="str">
        <f>IF('CASE DATA'!A190="","",'CASE DATA'!A190)</f>
        <v/>
      </c>
      <c r="B188">
        <f>'CASE DATA'!B190</f>
        <v>0</v>
      </c>
      <c r="C188" s="10">
        <f>'CASE DATA'!D190</f>
        <v>0</v>
      </c>
      <c r="D188" s="13">
        <f>SUM('CASE DATA'!M190)</f>
        <v>0</v>
      </c>
    </row>
    <row r="189" spans="1:4" x14ac:dyDescent="0.25">
      <c r="A189" t="str">
        <f>IF('CASE DATA'!A191="","",'CASE DATA'!A191)</f>
        <v/>
      </c>
      <c r="B189">
        <f>'CASE DATA'!B191</f>
        <v>0</v>
      </c>
      <c r="C189" s="10">
        <f>'CASE DATA'!D191</f>
        <v>0</v>
      </c>
      <c r="D189" s="13">
        <f>SUM('CASE DATA'!M191)</f>
        <v>0</v>
      </c>
    </row>
    <row r="190" spans="1:4" x14ac:dyDescent="0.25">
      <c r="A190" t="str">
        <f>IF('CASE DATA'!A192="","",'CASE DATA'!A192)</f>
        <v/>
      </c>
      <c r="B190">
        <f>'CASE DATA'!B192</f>
        <v>0</v>
      </c>
      <c r="C190" s="10">
        <f>'CASE DATA'!D192</f>
        <v>0</v>
      </c>
      <c r="D190" s="13">
        <f>SUM('CASE DATA'!M192)</f>
        <v>0</v>
      </c>
    </row>
    <row r="191" spans="1:4" x14ac:dyDescent="0.25">
      <c r="A191" t="str">
        <f>IF('CASE DATA'!A193="","",'CASE DATA'!A193)</f>
        <v/>
      </c>
      <c r="B191">
        <f>'CASE DATA'!B193</f>
        <v>0</v>
      </c>
      <c r="C191" s="10">
        <f>'CASE DATA'!D193</f>
        <v>0</v>
      </c>
      <c r="D191" s="13">
        <f>SUM('CASE DATA'!M193)</f>
        <v>0</v>
      </c>
    </row>
    <row r="192" spans="1:4" x14ac:dyDescent="0.25">
      <c r="A192" t="str">
        <f>IF('CASE DATA'!A194="","",'CASE DATA'!A194)</f>
        <v/>
      </c>
      <c r="B192">
        <f>'CASE DATA'!B194</f>
        <v>0</v>
      </c>
      <c r="C192" s="10">
        <f>'CASE DATA'!D194</f>
        <v>0</v>
      </c>
      <c r="D192" s="13">
        <f>SUM('CASE DATA'!M194)</f>
        <v>0</v>
      </c>
    </row>
    <row r="193" spans="1:4" x14ac:dyDescent="0.25">
      <c r="A193" t="str">
        <f>IF('CASE DATA'!A195="","",'CASE DATA'!A195)</f>
        <v/>
      </c>
      <c r="B193">
        <f>'CASE DATA'!B195</f>
        <v>0</v>
      </c>
      <c r="C193" s="10">
        <f>'CASE DATA'!D195</f>
        <v>0</v>
      </c>
      <c r="D193" s="13">
        <f>SUM('CASE DATA'!M195)</f>
        <v>0</v>
      </c>
    </row>
    <row r="194" spans="1:4" x14ac:dyDescent="0.25">
      <c r="A194" t="str">
        <f>IF('CASE DATA'!A196="","",'CASE DATA'!A196)</f>
        <v/>
      </c>
      <c r="B194">
        <f>'CASE DATA'!B196</f>
        <v>0</v>
      </c>
      <c r="C194" s="10">
        <f>'CASE DATA'!D196</f>
        <v>0</v>
      </c>
      <c r="D194" s="13">
        <f>SUM('CASE DATA'!M196)</f>
        <v>0</v>
      </c>
    </row>
    <row r="195" spans="1:4" x14ac:dyDescent="0.25">
      <c r="A195" t="str">
        <f>IF('CASE DATA'!A197="","",'CASE DATA'!A197)</f>
        <v/>
      </c>
      <c r="B195">
        <f>'CASE DATA'!B197</f>
        <v>0</v>
      </c>
      <c r="C195" s="10">
        <f>'CASE DATA'!D197</f>
        <v>0</v>
      </c>
      <c r="D195" s="13">
        <f>SUM('CASE DATA'!M197)</f>
        <v>0</v>
      </c>
    </row>
    <row r="196" spans="1:4" x14ac:dyDescent="0.25">
      <c r="A196" t="str">
        <f>IF('CASE DATA'!A198="","",'CASE DATA'!A198)</f>
        <v/>
      </c>
      <c r="B196">
        <f>'CASE DATA'!B198</f>
        <v>0</v>
      </c>
      <c r="C196" s="10">
        <f>'CASE DATA'!D198</f>
        <v>0</v>
      </c>
      <c r="D196" s="13">
        <f>SUM('CASE DATA'!M198)</f>
        <v>0</v>
      </c>
    </row>
    <row r="197" spans="1:4" x14ac:dyDescent="0.25">
      <c r="A197" t="str">
        <f>IF('CASE DATA'!A199="","",'CASE DATA'!A199)</f>
        <v/>
      </c>
      <c r="B197">
        <f>'CASE DATA'!B199</f>
        <v>0</v>
      </c>
      <c r="C197" s="10">
        <f>'CASE DATA'!D199</f>
        <v>0</v>
      </c>
      <c r="D197" s="13">
        <f>SUM('CASE DATA'!M199)</f>
        <v>0</v>
      </c>
    </row>
    <row r="198" spans="1:4" x14ac:dyDescent="0.25">
      <c r="A198" t="str">
        <f>IF('CASE DATA'!A200="","",'CASE DATA'!A200)</f>
        <v/>
      </c>
      <c r="B198">
        <f>'CASE DATA'!B200</f>
        <v>0</v>
      </c>
      <c r="C198" s="10">
        <f>'CASE DATA'!D200</f>
        <v>0</v>
      </c>
      <c r="D198" s="13">
        <f>SUM('CASE DATA'!M200)</f>
        <v>0</v>
      </c>
    </row>
    <row r="199" spans="1:4" x14ac:dyDescent="0.25">
      <c r="A199" t="str">
        <f>IF('CASE DATA'!A201="","",'CASE DATA'!A201)</f>
        <v/>
      </c>
      <c r="B199">
        <f>'CASE DATA'!B201</f>
        <v>0</v>
      </c>
      <c r="C199" s="10">
        <f>'CASE DATA'!D201</f>
        <v>0</v>
      </c>
      <c r="D199" s="13">
        <f>SUM('CASE DATA'!M201)</f>
        <v>0</v>
      </c>
    </row>
    <row r="200" spans="1:4" x14ac:dyDescent="0.25">
      <c r="A200" t="str">
        <f>IF('CASE DATA'!A202="","",'CASE DATA'!A202)</f>
        <v/>
      </c>
      <c r="B200">
        <f>'CASE DATA'!B202</f>
        <v>0</v>
      </c>
      <c r="C200" s="10">
        <f>'CASE DATA'!D202</f>
        <v>0</v>
      </c>
      <c r="D200" s="13">
        <f>SUM('CASE DATA'!M202)</f>
        <v>0</v>
      </c>
    </row>
    <row r="201" spans="1:4" x14ac:dyDescent="0.25">
      <c r="A201" t="str">
        <f>IF('CASE DATA'!A203="","",'CASE DATA'!A203)</f>
        <v/>
      </c>
      <c r="B201">
        <f>'CASE DATA'!B203</f>
        <v>0</v>
      </c>
      <c r="C201" s="10">
        <f>'CASE DATA'!D203</f>
        <v>0</v>
      </c>
      <c r="D201" s="13">
        <f>SUM('CASE DATA'!M203)</f>
        <v>0</v>
      </c>
    </row>
    <row r="202" spans="1:4" x14ac:dyDescent="0.25">
      <c r="A202" t="str">
        <f>IF('CASE DATA'!A204="","",'CASE DATA'!A204)</f>
        <v/>
      </c>
      <c r="B202">
        <f>'CASE DATA'!B204</f>
        <v>0</v>
      </c>
      <c r="C202" s="10">
        <f>'CASE DATA'!D204</f>
        <v>0</v>
      </c>
      <c r="D202" s="13">
        <f>SUM('CASE DATA'!M204)</f>
        <v>0</v>
      </c>
    </row>
    <row r="203" spans="1:4" x14ac:dyDescent="0.25">
      <c r="A203" t="str">
        <f>IF('CASE DATA'!A205="","",'CASE DATA'!A205)</f>
        <v/>
      </c>
      <c r="B203">
        <f>'CASE DATA'!B205</f>
        <v>0</v>
      </c>
      <c r="C203" s="10">
        <f>'CASE DATA'!D205</f>
        <v>0</v>
      </c>
      <c r="D203" s="13">
        <f>SUM('CASE DATA'!M205)</f>
        <v>0</v>
      </c>
    </row>
    <row r="204" spans="1:4" x14ac:dyDescent="0.25">
      <c r="A204" t="str">
        <f>IF('CASE DATA'!A206="","",'CASE DATA'!A206)</f>
        <v/>
      </c>
      <c r="B204">
        <f>'CASE DATA'!B206</f>
        <v>0</v>
      </c>
      <c r="C204" s="10">
        <f>'CASE DATA'!D206</f>
        <v>0</v>
      </c>
      <c r="D204" s="13">
        <f>SUM('CASE DATA'!M206)</f>
        <v>0</v>
      </c>
    </row>
    <row r="205" spans="1:4" x14ac:dyDescent="0.25">
      <c r="A205" t="str">
        <f>IF('CASE DATA'!A207="","",'CASE DATA'!A207)</f>
        <v/>
      </c>
      <c r="B205">
        <f>'CASE DATA'!B207</f>
        <v>0</v>
      </c>
      <c r="C205" s="10">
        <f>'CASE DATA'!D207</f>
        <v>0</v>
      </c>
      <c r="D205" s="13">
        <f>SUM('CASE DATA'!M207)</f>
        <v>0</v>
      </c>
    </row>
    <row r="206" spans="1:4" x14ac:dyDescent="0.25">
      <c r="A206" t="str">
        <f>IF('CASE DATA'!A208="","",'CASE DATA'!A208)</f>
        <v/>
      </c>
      <c r="B206">
        <f>'CASE DATA'!B208</f>
        <v>0</v>
      </c>
      <c r="C206" s="10">
        <f>'CASE DATA'!D208</f>
        <v>0</v>
      </c>
      <c r="D206" s="13">
        <f>SUM('CASE DATA'!M208)</f>
        <v>0</v>
      </c>
    </row>
    <row r="207" spans="1:4" x14ac:dyDescent="0.25">
      <c r="A207" t="str">
        <f>IF('CASE DATA'!A209="","",'CASE DATA'!A209)</f>
        <v/>
      </c>
      <c r="B207">
        <f>'CASE DATA'!B209</f>
        <v>0</v>
      </c>
      <c r="C207" s="10">
        <f>'CASE DATA'!D209</f>
        <v>0</v>
      </c>
      <c r="D207" s="13">
        <f>SUM('CASE DATA'!M209)</f>
        <v>0</v>
      </c>
    </row>
    <row r="208" spans="1:4" x14ac:dyDescent="0.25">
      <c r="A208" t="str">
        <f>IF('CASE DATA'!A210="","",'CASE DATA'!A210)</f>
        <v/>
      </c>
      <c r="B208">
        <f>'CASE DATA'!B210</f>
        <v>0</v>
      </c>
      <c r="C208" s="10">
        <f>'CASE DATA'!D210</f>
        <v>0</v>
      </c>
      <c r="D208" s="13">
        <f>SUM('CASE DATA'!M210)</f>
        <v>0</v>
      </c>
    </row>
    <row r="209" spans="1:4" x14ac:dyDescent="0.25">
      <c r="A209" t="str">
        <f>IF('CASE DATA'!A211="","",'CASE DATA'!A211)</f>
        <v/>
      </c>
      <c r="B209">
        <f>'CASE DATA'!B211</f>
        <v>0</v>
      </c>
      <c r="C209" s="10">
        <f>'CASE DATA'!D211</f>
        <v>0</v>
      </c>
      <c r="D209" s="13">
        <f>SUM('CASE DATA'!M211)</f>
        <v>0</v>
      </c>
    </row>
    <row r="210" spans="1:4" x14ac:dyDescent="0.25">
      <c r="A210" t="str">
        <f>IF('CASE DATA'!A212="","",'CASE DATA'!A212)</f>
        <v/>
      </c>
      <c r="B210">
        <f>'CASE DATA'!B212</f>
        <v>0</v>
      </c>
      <c r="C210" s="10">
        <f>'CASE DATA'!D212</f>
        <v>0</v>
      </c>
      <c r="D210" s="13">
        <f>SUM('CASE DATA'!M212)</f>
        <v>0</v>
      </c>
    </row>
    <row r="211" spans="1:4" x14ac:dyDescent="0.25">
      <c r="A211" t="str">
        <f>IF('CASE DATA'!A213="","",'CASE DATA'!A213)</f>
        <v/>
      </c>
      <c r="B211">
        <f>'CASE DATA'!B213</f>
        <v>0</v>
      </c>
      <c r="C211" s="10">
        <f>'CASE DATA'!D213</f>
        <v>0</v>
      </c>
      <c r="D211" s="13">
        <f>SUM('CASE DATA'!M213)</f>
        <v>0</v>
      </c>
    </row>
    <row r="212" spans="1:4" x14ac:dyDescent="0.25">
      <c r="A212" t="str">
        <f>IF('CASE DATA'!A214="","",'CASE DATA'!A214)</f>
        <v/>
      </c>
      <c r="B212">
        <f>'CASE DATA'!B214</f>
        <v>0</v>
      </c>
      <c r="C212" s="10">
        <f>'CASE DATA'!D214</f>
        <v>0</v>
      </c>
      <c r="D212" s="13">
        <f>SUM('CASE DATA'!M214)</f>
        <v>0</v>
      </c>
    </row>
    <row r="213" spans="1:4" x14ac:dyDescent="0.25">
      <c r="A213" t="str">
        <f>IF('CASE DATA'!A215="","",'CASE DATA'!A215)</f>
        <v/>
      </c>
      <c r="B213">
        <f>'CASE DATA'!B215</f>
        <v>0</v>
      </c>
      <c r="C213" s="10">
        <f>'CASE DATA'!D215</f>
        <v>0</v>
      </c>
      <c r="D213" s="13">
        <f>SUM('CASE DATA'!M215)</f>
        <v>0</v>
      </c>
    </row>
    <row r="214" spans="1:4" x14ac:dyDescent="0.25">
      <c r="A214" t="str">
        <f>IF('CASE DATA'!A216="","",'CASE DATA'!A216)</f>
        <v/>
      </c>
      <c r="B214">
        <f>'CASE DATA'!B216</f>
        <v>0</v>
      </c>
      <c r="C214" s="10">
        <f>'CASE DATA'!D216</f>
        <v>0</v>
      </c>
      <c r="D214" s="13">
        <f>SUM('CASE DATA'!M216)</f>
        <v>0</v>
      </c>
    </row>
    <row r="215" spans="1:4" x14ac:dyDescent="0.25">
      <c r="A215" t="str">
        <f>IF('CASE DATA'!A217="","",'CASE DATA'!A217)</f>
        <v/>
      </c>
      <c r="B215">
        <f>'CASE DATA'!B217</f>
        <v>0</v>
      </c>
      <c r="C215" s="10">
        <f>'CASE DATA'!D217</f>
        <v>0</v>
      </c>
      <c r="D215" s="13">
        <f>SUM('CASE DATA'!M217)</f>
        <v>0</v>
      </c>
    </row>
    <row r="216" spans="1:4" x14ac:dyDescent="0.25">
      <c r="A216" t="str">
        <f>IF('CASE DATA'!A218="","",'CASE DATA'!A218)</f>
        <v/>
      </c>
      <c r="B216">
        <f>'CASE DATA'!B218</f>
        <v>0</v>
      </c>
      <c r="C216" s="10">
        <f>'CASE DATA'!D218</f>
        <v>0</v>
      </c>
      <c r="D216" s="13">
        <f>SUM('CASE DATA'!M218)</f>
        <v>0</v>
      </c>
    </row>
    <row r="217" spans="1:4" x14ac:dyDescent="0.25">
      <c r="A217" t="str">
        <f>IF('CASE DATA'!A219="","",'CASE DATA'!A219)</f>
        <v/>
      </c>
      <c r="B217">
        <f>'CASE DATA'!B219</f>
        <v>0</v>
      </c>
      <c r="C217" s="10">
        <f>'CASE DATA'!D219</f>
        <v>0</v>
      </c>
      <c r="D217" s="13">
        <f>SUM('CASE DATA'!M219)</f>
        <v>0</v>
      </c>
    </row>
    <row r="218" spans="1:4" x14ac:dyDescent="0.25">
      <c r="A218" t="str">
        <f>IF('CASE DATA'!A220="","",'CASE DATA'!A220)</f>
        <v/>
      </c>
      <c r="B218">
        <f>'CASE DATA'!B220</f>
        <v>0</v>
      </c>
      <c r="C218" s="10">
        <f>'CASE DATA'!D220</f>
        <v>0</v>
      </c>
      <c r="D218" s="13">
        <f>SUM('CASE DATA'!M220)</f>
        <v>0</v>
      </c>
    </row>
    <row r="219" spans="1:4" x14ac:dyDescent="0.25">
      <c r="A219" t="str">
        <f>IF('CASE DATA'!A221="","",'CASE DATA'!A221)</f>
        <v/>
      </c>
      <c r="B219">
        <f>'CASE DATA'!B221</f>
        <v>0</v>
      </c>
      <c r="C219" s="10">
        <f>'CASE DATA'!D221</f>
        <v>0</v>
      </c>
      <c r="D219" s="13">
        <f>SUM('CASE DATA'!M221)</f>
        <v>0</v>
      </c>
    </row>
    <row r="220" spans="1:4" x14ac:dyDescent="0.25">
      <c r="A220" t="str">
        <f>IF('CASE DATA'!A222="","",'CASE DATA'!A222)</f>
        <v/>
      </c>
      <c r="B220">
        <f>'CASE DATA'!B222</f>
        <v>0</v>
      </c>
      <c r="C220" s="10">
        <f>'CASE DATA'!D222</f>
        <v>0</v>
      </c>
      <c r="D220" s="13">
        <f>SUM('CASE DATA'!M222)</f>
        <v>0</v>
      </c>
    </row>
    <row r="221" spans="1:4" x14ac:dyDescent="0.25">
      <c r="A221" t="str">
        <f>IF('CASE DATA'!A223="","",'CASE DATA'!A223)</f>
        <v/>
      </c>
      <c r="B221">
        <f>'CASE DATA'!B223</f>
        <v>0</v>
      </c>
      <c r="C221" s="10">
        <f>'CASE DATA'!D223</f>
        <v>0</v>
      </c>
      <c r="D221" s="13">
        <f>SUM('CASE DATA'!M223)</f>
        <v>0</v>
      </c>
    </row>
    <row r="222" spans="1:4" x14ac:dyDescent="0.25">
      <c r="A222" t="str">
        <f>IF('CASE DATA'!A224="","",'CASE DATA'!A224)</f>
        <v/>
      </c>
      <c r="B222">
        <f>'CASE DATA'!B224</f>
        <v>0</v>
      </c>
      <c r="C222" s="10">
        <f>'CASE DATA'!D224</f>
        <v>0</v>
      </c>
      <c r="D222" s="13">
        <f>SUM('CASE DATA'!M224)</f>
        <v>0</v>
      </c>
    </row>
    <row r="223" spans="1:4" x14ac:dyDescent="0.25">
      <c r="A223" t="str">
        <f>IF('CASE DATA'!A225="","",'CASE DATA'!A225)</f>
        <v/>
      </c>
      <c r="B223">
        <f>'CASE DATA'!B225</f>
        <v>0</v>
      </c>
      <c r="C223" s="10">
        <f>'CASE DATA'!D225</f>
        <v>0</v>
      </c>
      <c r="D223" s="13">
        <f>SUM('CASE DATA'!M225)</f>
        <v>0</v>
      </c>
    </row>
    <row r="224" spans="1:4" x14ac:dyDescent="0.25">
      <c r="A224" t="str">
        <f>IF('CASE DATA'!A226="","",'CASE DATA'!A226)</f>
        <v/>
      </c>
      <c r="B224">
        <f>'CASE DATA'!B226</f>
        <v>0</v>
      </c>
      <c r="C224" s="10">
        <f>'CASE DATA'!D226</f>
        <v>0</v>
      </c>
      <c r="D224" s="13">
        <f>SUM('CASE DATA'!M226)</f>
        <v>0</v>
      </c>
    </row>
    <row r="225" spans="1:4" x14ac:dyDescent="0.25">
      <c r="A225" t="str">
        <f>IF('CASE DATA'!A227="","",'CASE DATA'!A227)</f>
        <v/>
      </c>
      <c r="B225">
        <f>'CASE DATA'!B227</f>
        <v>0</v>
      </c>
      <c r="C225" s="10">
        <f>'CASE DATA'!D227</f>
        <v>0</v>
      </c>
      <c r="D225" s="13">
        <f>SUM('CASE DATA'!M227)</f>
        <v>0</v>
      </c>
    </row>
    <row r="226" spans="1:4" x14ac:dyDescent="0.25">
      <c r="A226" t="str">
        <f>IF('CASE DATA'!A228="","",'CASE DATA'!A228)</f>
        <v/>
      </c>
      <c r="B226">
        <f>'CASE DATA'!B228</f>
        <v>0</v>
      </c>
      <c r="C226" s="10">
        <f>'CASE DATA'!D228</f>
        <v>0</v>
      </c>
      <c r="D226" s="13">
        <f>SUM('CASE DATA'!M228)</f>
        <v>0</v>
      </c>
    </row>
    <row r="227" spans="1:4" x14ac:dyDescent="0.25">
      <c r="A227" t="str">
        <f>IF('CASE DATA'!A229="","",'CASE DATA'!A229)</f>
        <v/>
      </c>
      <c r="B227">
        <f>'CASE DATA'!B229</f>
        <v>0</v>
      </c>
      <c r="C227" s="10">
        <f>'CASE DATA'!D229</f>
        <v>0</v>
      </c>
      <c r="D227" s="13">
        <f>SUM('CASE DATA'!M229)</f>
        <v>0</v>
      </c>
    </row>
    <row r="228" spans="1:4" x14ac:dyDescent="0.25">
      <c r="A228" t="str">
        <f>IF('CASE DATA'!A230="","",'CASE DATA'!A230)</f>
        <v/>
      </c>
      <c r="B228">
        <f>'CASE DATA'!B230</f>
        <v>0</v>
      </c>
      <c r="C228" s="10">
        <f>'CASE DATA'!D230</f>
        <v>0</v>
      </c>
      <c r="D228" s="13">
        <f>SUM('CASE DATA'!M230)</f>
        <v>0</v>
      </c>
    </row>
    <row r="229" spans="1:4" x14ac:dyDescent="0.25">
      <c r="A229" t="str">
        <f>IF('CASE DATA'!A231="","",'CASE DATA'!A231)</f>
        <v/>
      </c>
      <c r="B229">
        <f>'CASE DATA'!B231</f>
        <v>0</v>
      </c>
      <c r="C229" s="10">
        <f>'CASE DATA'!D231</f>
        <v>0</v>
      </c>
      <c r="D229" s="13">
        <f>SUM('CASE DATA'!M231)</f>
        <v>0</v>
      </c>
    </row>
    <row r="230" spans="1:4" x14ac:dyDescent="0.25">
      <c r="A230" t="str">
        <f>IF('CASE DATA'!A232="","",'CASE DATA'!A232)</f>
        <v/>
      </c>
      <c r="B230">
        <f>'CASE DATA'!B232</f>
        <v>0</v>
      </c>
      <c r="C230" s="10">
        <f>'CASE DATA'!D232</f>
        <v>0</v>
      </c>
      <c r="D230" s="13">
        <f>SUM('CASE DATA'!M232)</f>
        <v>0</v>
      </c>
    </row>
    <row r="231" spans="1:4" x14ac:dyDescent="0.25">
      <c r="A231" t="str">
        <f>IF('CASE DATA'!A233="","",'CASE DATA'!A233)</f>
        <v/>
      </c>
      <c r="B231">
        <f>'CASE DATA'!B233</f>
        <v>0</v>
      </c>
      <c r="C231" s="10">
        <f>'CASE DATA'!D233</f>
        <v>0</v>
      </c>
      <c r="D231" s="13">
        <f>SUM('CASE DATA'!M233)</f>
        <v>0</v>
      </c>
    </row>
    <row r="232" spans="1:4" x14ac:dyDescent="0.25">
      <c r="A232" t="str">
        <f>IF('CASE DATA'!A234="","",'CASE DATA'!A234)</f>
        <v/>
      </c>
      <c r="B232">
        <f>'CASE DATA'!B234</f>
        <v>0</v>
      </c>
      <c r="C232" s="10">
        <f>'CASE DATA'!D234</f>
        <v>0</v>
      </c>
      <c r="D232" s="13">
        <f>SUM('CASE DATA'!M234)</f>
        <v>0</v>
      </c>
    </row>
    <row r="233" spans="1:4" x14ac:dyDescent="0.25">
      <c r="A233" t="str">
        <f>IF('CASE DATA'!A235="","",'CASE DATA'!A235)</f>
        <v/>
      </c>
      <c r="B233">
        <f>'CASE DATA'!B235</f>
        <v>0</v>
      </c>
      <c r="C233" s="10">
        <f>'CASE DATA'!D235</f>
        <v>0</v>
      </c>
      <c r="D233" s="13">
        <f>SUM('CASE DATA'!M235)</f>
        <v>0</v>
      </c>
    </row>
    <row r="234" spans="1:4" x14ac:dyDescent="0.25">
      <c r="A234" t="str">
        <f>IF('CASE DATA'!A236="","",'CASE DATA'!A236)</f>
        <v/>
      </c>
      <c r="B234">
        <f>'CASE DATA'!B236</f>
        <v>0</v>
      </c>
      <c r="C234" s="10">
        <f>'CASE DATA'!D236</f>
        <v>0</v>
      </c>
      <c r="D234" s="13">
        <f>SUM('CASE DATA'!M236)</f>
        <v>0</v>
      </c>
    </row>
    <row r="235" spans="1:4" x14ac:dyDescent="0.25">
      <c r="A235" t="str">
        <f>IF('CASE DATA'!A237="","",'CASE DATA'!A237)</f>
        <v/>
      </c>
      <c r="B235">
        <f>'CASE DATA'!B237</f>
        <v>0</v>
      </c>
      <c r="C235" s="10">
        <f>'CASE DATA'!D237</f>
        <v>0</v>
      </c>
      <c r="D235" s="13">
        <f>SUM('CASE DATA'!M237)</f>
        <v>0</v>
      </c>
    </row>
    <row r="236" spans="1:4" x14ac:dyDescent="0.25">
      <c r="A236" t="str">
        <f>IF('CASE DATA'!A238="","",'CASE DATA'!A238)</f>
        <v/>
      </c>
      <c r="B236">
        <f>'CASE DATA'!B238</f>
        <v>0</v>
      </c>
      <c r="C236" s="10">
        <f>'CASE DATA'!D238</f>
        <v>0</v>
      </c>
      <c r="D236" s="13">
        <f>SUM('CASE DATA'!M238)</f>
        <v>0</v>
      </c>
    </row>
    <row r="237" spans="1:4" x14ac:dyDescent="0.25">
      <c r="A237" t="str">
        <f>IF('CASE DATA'!A239="","",'CASE DATA'!A239)</f>
        <v/>
      </c>
      <c r="B237">
        <f>'CASE DATA'!B239</f>
        <v>0</v>
      </c>
      <c r="C237" s="10">
        <f>'CASE DATA'!D239</f>
        <v>0</v>
      </c>
      <c r="D237" s="13">
        <f>SUM('CASE DATA'!M239)</f>
        <v>0</v>
      </c>
    </row>
    <row r="238" spans="1:4" x14ac:dyDescent="0.25">
      <c r="A238" t="str">
        <f>IF('CASE DATA'!A240="","",'CASE DATA'!A240)</f>
        <v/>
      </c>
      <c r="B238">
        <f>'CASE DATA'!B240</f>
        <v>0</v>
      </c>
      <c r="C238" s="10">
        <f>'CASE DATA'!D240</f>
        <v>0</v>
      </c>
      <c r="D238" s="13">
        <f>SUM('CASE DATA'!M240)</f>
        <v>0</v>
      </c>
    </row>
    <row r="239" spans="1:4" x14ac:dyDescent="0.25">
      <c r="A239" t="str">
        <f>IF('CASE DATA'!A241="","",'CASE DATA'!A241)</f>
        <v/>
      </c>
      <c r="B239">
        <f>'CASE DATA'!B241</f>
        <v>0</v>
      </c>
      <c r="C239" s="10">
        <f>'CASE DATA'!D241</f>
        <v>0</v>
      </c>
      <c r="D239" s="13">
        <f>SUM('CASE DATA'!M241)</f>
        <v>0</v>
      </c>
    </row>
    <row r="240" spans="1:4" x14ac:dyDescent="0.25">
      <c r="A240" t="str">
        <f>IF('CASE DATA'!A242="","",'CASE DATA'!A242)</f>
        <v/>
      </c>
      <c r="B240">
        <f>'CASE DATA'!B242</f>
        <v>0</v>
      </c>
      <c r="C240" s="10">
        <f>'CASE DATA'!D242</f>
        <v>0</v>
      </c>
      <c r="D240" s="13">
        <f>SUM('CASE DATA'!M242)</f>
        <v>0</v>
      </c>
    </row>
    <row r="241" spans="1:4" x14ac:dyDescent="0.25">
      <c r="A241" t="str">
        <f>IF('CASE DATA'!A243="","",'CASE DATA'!A243)</f>
        <v/>
      </c>
      <c r="B241">
        <f>'CASE DATA'!B243</f>
        <v>0</v>
      </c>
      <c r="C241" s="10">
        <f>'CASE DATA'!D243</f>
        <v>0</v>
      </c>
      <c r="D241" s="13">
        <f>SUM('CASE DATA'!M243)</f>
        <v>0</v>
      </c>
    </row>
    <row r="242" spans="1:4" x14ac:dyDescent="0.25">
      <c r="A242" t="str">
        <f>IF('CASE DATA'!A244="","",'CASE DATA'!A244)</f>
        <v/>
      </c>
      <c r="B242">
        <f>'CASE DATA'!B244</f>
        <v>0</v>
      </c>
      <c r="C242" s="10">
        <f>'CASE DATA'!D244</f>
        <v>0</v>
      </c>
      <c r="D242" s="13">
        <f>SUM('CASE DATA'!M244)</f>
        <v>0</v>
      </c>
    </row>
    <row r="243" spans="1:4" x14ac:dyDescent="0.25">
      <c r="A243" t="str">
        <f>IF('CASE DATA'!A245="","",'CASE DATA'!A245)</f>
        <v/>
      </c>
      <c r="B243">
        <f>'CASE DATA'!B245</f>
        <v>0</v>
      </c>
      <c r="C243" s="10">
        <f>'CASE DATA'!D245</f>
        <v>0</v>
      </c>
      <c r="D243" s="13">
        <f>SUM('CASE DATA'!M245)</f>
        <v>0</v>
      </c>
    </row>
    <row r="244" spans="1:4" x14ac:dyDescent="0.25">
      <c r="A244" t="str">
        <f>IF('CASE DATA'!A246="","",'CASE DATA'!A246)</f>
        <v/>
      </c>
      <c r="B244">
        <f>'CASE DATA'!B246</f>
        <v>0</v>
      </c>
      <c r="C244" s="10">
        <f>'CASE DATA'!D246</f>
        <v>0</v>
      </c>
      <c r="D244" s="13">
        <f>SUM('CASE DATA'!M246)</f>
        <v>0</v>
      </c>
    </row>
    <row r="245" spans="1:4" x14ac:dyDescent="0.25">
      <c r="A245" t="str">
        <f>IF('CASE DATA'!A247="","",'CASE DATA'!A247)</f>
        <v/>
      </c>
      <c r="B245">
        <f>'CASE DATA'!B247</f>
        <v>0</v>
      </c>
      <c r="C245" s="10">
        <f>'CASE DATA'!D247</f>
        <v>0</v>
      </c>
      <c r="D245" s="13">
        <f>SUM('CASE DATA'!M247)</f>
        <v>0</v>
      </c>
    </row>
    <row r="246" spans="1:4" x14ac:dyDescent="0.25">
      <c r="A246" t="str">
        <f>IF('CASE DATA'!A248="","",'CASE DATA'!A248)</f>
        <v/>
      </c>
      <c r="B246">
        <f>'CASE DATA'!B248</f>
        <v>0</v>
      </c>
      <c r="C246" s="10">
        <f>'CASE DATA'!D248</f>
        <v>0</v>
      </c>
      <c r="D246" s="13">
        <f>SUM('CASE DATA'!M248)</f>
        <v>0</v>
      </c>
    </row>
    <row r="247" spans="1:4" x14ac:dyDescent="0.25">
      <c r="A247" t="str">
        <f>IF('CASE DATA'!A249="","",'CASE DATA'!A249)</f>
        <v/>
      </c>
      <c r="B247">
        <f>'CASE DATA'!B249</f>
        <v>0</v>
      </c>
      <c r="C247" s="10">
        <f>'CASE DATA'!D249</f>
        <v>0</v>
      </c>
      <c r="D247" s="13">
        <f>SUM('CASE DATA'!M249)</f>
        <v>0</v>
      </c>
    </row>
    <row r="248" spans="1:4" x14ac:dyDescent="0.25">
      <c r="A248" t="str">
        <f>IF('CASE DATA'!A250="","",'CASE DATA'!A250)</f>
        <v/>
      </c>
      <c r="B248">
        <f>'CASE DATA'!B250</f>
        <v>0</v>
      </c>
      <c r="C248" s="10">
        <f>'CASE DATA'!D250</f>
        <v>0</v>
      </c>
      <c r="D248" s="13">
        <f>SUM('CASE DATA'!M250)</f>
        <v>0</v>
      </c>
    </row>
    <row r="249" spans="1:4" x14ac:dyDescent="0.25">
      <c r="A249" t="str">
        <f>IF('CASE DATA'!A251="","",'CASE DATA'!A251)</f>
        <v/>
      </c>
      <c r="B249">
        <f>'CASE DATA'!B251</f>
        <v>0</v>
      </c>
      <c r="C249" s="10">
        <f>'CASE DATA'!D251</f>
        <v>0</v>
      </c>
      <c r="D249" s="13">
        <f>SUM('CASE DATA'!M251)</f>
        <v>0</v>
      </c>
    </row>
    <row r="250" spans="1:4" x14ac:dyDescent="0.25">
      <c r="A250" t="str">
        <f>IF('CASE DATA'!A252="","",'CASE DATA'!A252)</f>
        <v/>
      </c>
      <c r="B250">
        <f>'CASE DATA'!B252</f>
        <v>0</v>
      </c>
      <c r="C250" s="10">
        <f>'CASE DATA'!D252</f>
        <v>0</v>
      </c>
      <c r="D250" s="13">
        <f>SUM('CASE DATA'!M252)</f>
        <v>0</v>
      </c>
    </row>
    <row r="251" spans="1:4" x14ac:dyDescent="0.25">
      <c r="A251" t="str">
        <f>IF('CASE DATA'!A253="","",'CASE DATA'!A253)</f>
        <v/>
      </c>
      <c r="B251">
        <f>'CASE DATA'!B253</f>
        <v>0</v>
      </c>
      <c r="C251" s="10">
        <f>'CASE DATA'!D253</f>
        <v>0</v>
      </c>
      <c r="D251" s="13">
        <f>SUM('CASE DATA'!M253)</f>
        <v>0</v>
      </c>
    </row>
    <row r="252" spans="1:4" x14ac:dyDescent="0.25">
      <c r="A252" t="str">
        <f>IF('CASE DATA'!A254="","",'CASE DATA'!A254)</f>
        <v/>
      </c>
      <c r="B252">
        <f>'CASE DATA'!B254</f>
        <v>0</v>
      </c>
      <c r="C252" s="10">
        <f>'CASE DATA'!D254</f>
        <v>0</v>
      </c>
      <c r="D252" s="13">
        <f>SUM('CASE DATA'!M254)</f>
        <v>0</v>
      </c>
    </row>
    <row r="253" spans="1:4" x14ac:dyDescent="0.25">
      <c r="A253" t="str">
        <f>IF('CASE DATA'!A255="","",'CASE DATA'!A255)</f>
        <v/>
      </c>
      <c r="B253">
        <f>'CASE DATA'!B255</f>
        <v>0</v>
      </c>
      <c r="C253" s="10">
        <f>'CASE DATA'!D255</f>
        <v>0</v>
      </c>
      <c r="D253" s="13">
        <f>SUM('CASE DATA'!M255)</f>
        <v>0</v>
      </c>
    </row>
    <row r="254" spans="1:4" x14ac:dyDescent="0.25">
      <c r="A254" t="str">
        <f>IF('CASE DATA'!A256="","",'CASE DATA'!A256)</f>
        <v/>
      </c>
      <c r="B254">
        <f>'CASE DATA'!B256</f>
        <v>0</v>
      </c>
      <c r="C254" s="10">
        <f>'CASE DATA'!D256</f>
        <v>0</v>
      </c>
      <c r="D254" s="13">
        <f>SUM('CASE DATA'!M256)</f>
        <v>0</v>
      </c>
    </row>
    <row r="255" spans="1:4" x14ac:dyDescent="0.25">
      <c r="A255" t="str">
        <f>IF('CASE DATA'!A257="","",'CASE DATA'!A257)</f>
        <v/>
      </c>
      <c r="B255">
        <f>'CASE DATA'!B257</f>
        <v>0</v>
      </c>
      <c r="C255" s="10">
        <f>'CASE DATA'!D257</f>
        <v>0</v>
      </c>
      <c r="D255" s="13">
        <f>SUM('CASE DATA'!M257)</f>
        <v>0</v>
      </c>
    </row>
    <row r="256" spans="1:4" x14ac:dyDescent="0.25">
      <c r="A256" t="str">
        <f>IF('CASE DATA'!A258="","",'CASE DATA'!A258)</f>
        <v/>
      </c>
      <c r="B256">
        <f>'CASE DATA'!B258</f>
        <v>0</v>
      </c>
      <c r="C256" s="10">
        <f>'CASE DATA'!D258</f>
        <v>0</v>
      </c>
      <c r="D256" s="13">
        <f>SUM('CASE DATA'!M258)</f>
        <v>0</v>
      </c>
    </row>
    <row r="257" spans="1:4" x14ac:dyDescent="0.25">
      <c r="A257" t="str">
        <f>IF('CASE DATA'!A259="","",'CASE DATA'!A259)</f>
        <v/>
      </c>
      <c r="B257">
        <f>'CASE DATA'!B259</f>
        <v>0</v>
      </c>
      <c r="C257" s="10">
        <f>'CASE DATA'!D259</f>
        <v>0</v>
      </c>
      <c r="D257" s="13">
        <f>SUM('CASE DATA'!M259)</f>
        <v>0</v>
      </c>
    </row>
    <row r="258" spans="1:4" x14ac:dyDescent="0.25">
      <c r="A258" t="str">
        <f>IF('CASE DATA'!A260="","",'CASE DATA'!A260)</f>
        <v/>
      </c>
      <c r="B258">
        <f>'CASE DATA'!B260</f>
        <v>0</v>
      </c>
      <c r="C258" s="10">
        <f>'CASE DATA'!D260</f>
        <v>0</v>
      </c>
      <c r="D258" s="13">
        <f>SUM('CASE DATA'!M260)</f>
        <v>0</v>
      </c>
    </row>
    <row r="259" spans="1:4" x14ac:dyDescent="0.25">
      <c r="A259" t="str">
        <f>IF('CASE DATA'!A261="","",'CASE DATA'!A261)</f>
        <v/>
      </c>
      <c r="B259">
        <f>'CASE DATA'!B261</f>
        <v>0</v>
      </c>
      <c r="C259" s="10">
        <f>'CASE DATA'!D261</f>
        <v>0</v>
      </c>
      <c r="D259" s="13">
        <f>SUM('CASE DATA'!M261)</f>
        <v>0</v>
      </c>
    </row>
    <row r="260" spans="1:4" x14ac:dyDescent="0.25">
      <c r="A260" t="str">
        <f>IF('CASE DATA'!A262="","",'CASE DATA'!A262)</f>
        <v/>
      </c>
      <c r="B260">
        <f>'CASE DATA'!B262</f>
        <v>0</v>
      </c>
      <c r="C260" s="10">
        <f>'CASE DATA'!D262</f>
        <v>0</v>
      </c>
      <c r="D260" s="13">
        <f>SUM('CASE DATA'!M262)</f>
        <v>0</v>
      </c>
    </row>
    <row r="261" spans="1:4" x14ac:dyDescent="0.25">
      <c r="A261" t="str">
        <f>IF('CASE DATA'!A263="","",'CASE DATA'!A263)</f>
        <v/>
      </c>
      <c r="B261">
        <f>'CASE DATA'!B263</f>
        <v>0</v>
      </c>
      <c r="C261" s="10">
        <f>'CASE DATA'!D263</f>
        <v>0</v>
      </c>
      <c r="D261" s="13">
        <f>SUM('CASE DATA'!M263)</f>
        <v>0</v>
      </c>
    </row>
    <row r="262" spans="1:4" x14ac:dyDescent="0.25">
      <c r="A262" t="str">
        <f>IF('CASE DATA'!A264="","",'CASE DATA'!A264)</f>
        <v/>
      </c>
      <c r="B262">
        <f>'CASE DATA'!B264</f>
        <v>0</v>
      </c>
      <c r="C262" s="10">
        <f>'CASE DATA'!D264</f>
        <v>0</v>
      </c>
      <c r="D262" s="13">
        <f>SUM('CASE DATA'!M264)</f>
        <v>0</v>
      </c>
    </row>
    <row r="263" spans="1:4" x14ac:dyDescent="0.25">
      <c r="A263" t="str">
        <f>IF('CASE DATA'!A265="","",'CASE DATA'!A265)</f>
        <v/>
      </c>
      <c r="B263">
        <f>'CASE DATA'!B265</f>
        <v>0</v>
      </c>
      <c r="C263" s="10">
        <f>'CASE DATA'!D265</f>
        <v>0</v>
      </c>
      <c r="D263" s="13">
        <f>SUM('CASE DATA'!M265)</f>
        <v>0</v>
      </c>
    </row>
    <row r="264" spans="1:4" x14ac:dyDescent="0.25">
      <c r="A264" t="str">
        <f>IF('CASE DATA'!A266="","",'CASE DATA'!A266)</f>
        <v/>
      </c>
      <c r="B264">
        <f>'CASE DATA'!B266</f>
        <v>0</v>
      </c>
      <c r="C264" s="10">
        <f>'CASE DATA'!D266</f>
        <v>0</v>
      </c>
      <c r="D264" s="13">
        <f>SUM('CASE DATA'!M266)</f>
        <v>0</v>
      </c>
    </row>
    <row r="265" spans="1:4" x14ac:dyDescent="0.25">
      <c r="A265" t="str">
        <f>IF('CASE DATA'!A267="","",'CASE DATA'!A267)</f>
        <v/>
      </c>
      <c r="B265">
        <f>'CASE DATA'!B267</f>
        <v>0</v>
      </c>
      <c r="C265" s="10">
        <f>'CASE DATA'!D267</f>
        <v>0</v>
      </c>
      <c r="D265" s="13">
        <f>SUM('CASE DATA'!M267)</f>
        <v>0</v>
      </c>
    </row>
    <row r="266" spans="1:4" x14ac:dyDescent="0.25">
      <c r="A266" t="str">
        <f>IF('CASE DATA'!A268="","",'CASE DATA'!A268)</f>
        <v/>
      </c>
      <c r="B266">
        <f>'CASE DATA'!B268</f>
        <v>0</v>
      </c>
      <c r="C266" s="10">
        <f>'CASE DATA'!D268</f>
        <v>0</v>
      </c>
      <c r="D266" s="13">
        <f>SUM('CASE DATA'!M268)</f>
        <v>0</v>
      </c>
    </row>
    <row r="267" spans="1:4" x14ac:dyDescent="0.25">
      <c r="A267" t="str">
        <f>IF('CASE DATA'!A269="","",'CASE DATA'!A269)</f>
        <v/>
      </c>
      <c r="B267">
        <f>'CASE DATA'!B269</f>
        <v>0</v>
      </c>
      <c r="C267" s="10">
        <f>'CASE DATA'!D269</f>
        <v>0</v>
      </c>
      <c r="D267" s="13">
        <f>SUM('CASE DATA'!M269)</f>
        <v>0</v>
      </c>
    </row>
    <row r="268" spans="1:4" x14ac:dyDescent="0.25">
      <c r="A268" t="str">
        <f>IF('CASE DATA'!A270="","",'CASE DATA'!A270)</f>
        <v/>
      </c>
      <c r="B268">
        <f>'CASE DATA'!B270</f>
        <v>0</v>
      </c>
      <c r="C268" s="10">
        <f>'CASE DATA'!D270</f>
        <v>0</v>
      </c>
      <c r="D268" s="13">
        <f>SUM('CASE DATA'!M270)</f>
        <v>0</v>
      </c>
    </row>
    <row r="269" spans="1:4" x14ac:dyDescent="0.25">
      <c r="A269" t="str">
        <f>IF('CASE DATA'!A271="","",'CASE DATA'!A271)</f>
        <v/>
      </c>
      <c r="B269">
        <f>'CASE DATA'!B271</f>
        <v>0</v>
      </c>
      <c r="C269" s="10">
        <f>'CASE DATA'!D271</f>
        <v>0</v>
      </c>
      <c r="D269" s="13">
        <f>SUM('CASE DATA'!M271)</f>
        <v>0</v>
      </c>
    </row>
    <row r="270" spans="1:4" x14ac:dyDescent="0.25">
      <c r="A270" t="str">
        <f>IF('CASE DATA'!A272="","",'CASE DATA'!A272)</f>
        <v/>
      </c>
      <c r="B270">
        <f>'CASE DATA'!B272</f>
        <v>0</v>
      </c>
      <c r="C270" s="10">
        <f>'CASE DATA'!D272</f>
        <v>0</v>
      </c>
      <c r="D270" s="13">
        <f>SUM('CASE DATA'!M272)</f>
        <v>0</v>
      </c>
    </row>
    <row r="271" spans="1:4" x14ac:dyDescent="0.25">
      <c r="A271" t="str">
        <f>IF('CASE DATA'!A273="","",'CASE DATA'!A273)</f>
        <v/>
      </c>
      <c r="B271">
        <f>'CASE DATA'!B273</f>
        <v>0</v>
      </c>
      <c r="C271" s="10">
        <f>'CASE DATA'!D273</f>
        <v>0</v>
      </c>
      <c r="D271" s="13">
        <f>SUM('CASE DATA'!M273)</f>
        <v>0</v>
      </c>
    </row>
    <row r="272" spans="1:4" x14ac:dyDescent="0.25">
      <c r="A272" t="str">
        <f>IF('CASE DATA'!A274="","",'CASE DATA'!A274)</f>
        <v/>
      </c>
      <c r="B272">
        <f>'CASE DATA'!B274</f>
        <v>0</v>
      </c>
      <c r="C272" s="10">
        <f>'CASE DATA'!D274</f>
        <v>0</v>
      </c>
      <c r="D272" s="13">
        <f>SUM('CASE DATA'!M274)</f>
        <v>0</v>
      </c>
    </row>
    <row r="273" spans="1:4" x14ac:dyDescent="0.25">
      <c r="A273" t="str">
        <f>IF('CASE DATA'!A275="","",'CASE DATA'!A275)</f>
        <v/>
      </c>
      <c r="B273">
        <f>'CASE DATA'!B275</f>
        <v>0</v>
      </c>
      <c r="C273" s="10">
        <f>'CASE DATA'!D275</f>
        <v>0</v>
      </c>
      <c r="D273" s="13">
        <f>SUM('CASE DATA'!M275)</f>
        <v>0</v>
      </c>
    </row>
    <row r="274" spans="1:4" x14ac:dyDescent="0.25">
      <c r="A274" t="str">
        <f>IF('CASE DATA'!A276="","",'CASE DATA'!A276)</f>
        <v/>
      </c>
      <c r="B274">
        <f>'CASE DATA'!B276</f>
        <v>0</v>
      </c>
      <c r="C274" s="10">
        <f>'CASE DATA'!D276</f>
        <v>0</v>
      </c>
      <c r="D274" s="13">
        <f>SUM('CASE DATA'!M276)</f>
        <v>0</v>
      </c>
    </row>
    <row r="275" spans="1:4" x14ac:dyDescent="0.25">
      <c r="A275" t="str">
        <f>IF('CASE DATA'!A277="","",'CASE DATA'!A277)</f>
        <v/>
      </c>
      <c r="B275">
        <f>'CASE DATA'!B277</f>
        <v>0</v>
      </c>
      <c r="C275" s="10">
        <f>'CASE DATA'!D277</f>
        <v>0</v>
      </c>
      <c r="D275" s="13">
        <f>SUM('CASE DATA'!M277)</f>
        <v>0</v>
      </c>
    </row>
    <row r="276" spans="1:4" x14ac:dyDescent="0.25">
      <c r="A276" t="str">
        <f>IF('CASE DATA'!A278="","",'CASE DATA'!A278)</f>
        <v/>
      </c>
      <c r="B276">
        <f>'CASE DATA'!B278</f>
        <v>0</v>
      </c>
      <c r="C276" s="10">
        <f>'CASE DATA'!D278</f>
        <v>0</v>
      </c>
      <c r="D276" s="13">
        <f>SUM('CASE DATA'!M278)</f>
        <v>0</v>
      </c>
    </row>
    <row r="277" spans="1:4" x14ac:dyDescent="0.25">
      <c r="A277" t="str">
        <f>IF('CASE DATA'!A279="","",'CASE DATA'!A279)</f>
        <v/>
      </c>
      <c r="B277">
        <f>'CASE DATA'!B279</f>
        <v>0</v>
      </c>
      <c r="C277" s="10">
        <f>'CASE DATA'!D279</f>
        <v>0</v>
      </c>
      <c r="D277" s="13">
        <f>SUM('CASE DATA'!M279)</f>
        <v>0</v>
      </c>
    </row>
    <row r="278" spans="1:4" x14ac:dyDescent="0.25">
      <c r="A278" t="str">
        <f>IF('CASE DATA'!A280="","",'CASE DATA'!A280)</f>
        <v/>
      </c>
      <c r="B278">
        <f>'CASE DATA'!B280</f>
        <v>0</v>
      </c>
      <c r="C278" s="10">
        <f>'CASE DATA'!D280</f>
        <v>0</v>
      </c>
      <c r="D278" s="13">
        <f>SUM('CASE DATA'!M280)</f>
        <v>0</v>
      </c>
    </row>
    <row r="279" spans="1:4" x14ac:dyDescent="0.25">
      <c r="A279" t="str">
        <f>IF('CASE DATA'!A281="","",'CASE DATA'!A281)</f>
        <v/>
      </c>
      <c r="B279">
        <f>'CASE DATA'!B281</f>
        <v>0</v>
      </c>
      <c r="C279" s="10">
        <f>'CASE DATA'!D281</f>
        <v>0</v>
      </c>
      <c r="D279" s="13">
        <f>SUM('CASE DATA'!M281)</f>
        <v>0</v>
      </c>
    </row>
    <row r="280" spans="1:4" x14ac:dyDescent="0.25">
      <c r="A280" t="str">
        <f>IF('CASE DATA'!A282="","",'CASE DATA'!A282)</f>
        <v/>
      </c>
      <c r="B280">
        <f>'CASE DATA'!B282</f>
        <v>0</v>
      </c>
      <c r="C280" s="10">
        <f>'CASE DATA'!D282</f>
        <v>0</v>
      </c>
      <c r="D280" s="13">
        <f>SUM('CASE DATA'!M282)</f>
        <v>0</v>
      </c>
    </row>
    <row r="281" spans="1:4" x14ac:dyDescent="0.25">
      <c r="A281" t="str">
        <f>IF('CASE DATA'!A283="","",'CASE DATA'!A283)</f>
        <v/>
      </c>
      <c r="B281">
        <f>'CASE DATA'!B283</f>
        <v>0</v>
      </c>
      <c r="C281" s="10">
        <f>'CASE DATA'!D283</f>
        <v>0</v>
      </c>
      <c r="D281" s="13">
        <f>SUM('CASE DATA'!M283)</f>
        <v>0</v>
      </c>
    </row>
    <row r="282" spans="1:4" x14ac:dyDescent="0.25">
      <c r="A282" t="str">
        <f>IF('CASE DATA'!A284="","",'CASE DATA'!A284)</f>
        <v/>
      </c>
      <c r="B282">
        <f>'CASE DATA'!B284</f>
        <v>0</v>
      </c>
      <c r="C282" s="10">
        <f>'CASE DATA'!D284</f>
        <v>0</v>
      </c>
      <c r="D282" s="13">
        <f>SUM('CASE DATA'!M284)</f>
        <v>0</v>
      </c>
    </row>
    <row r="283" spans="1:4" x14ac:dyDescent="0.25">
      <c r="A283" t="str">
        <f>IF('CASE DATA'!A285="","",'CASE DATA'!A285)</f>
        <v/>
      </c>
      <c r="B283">
        <f>'CASE DATA'!B285</f>
        <v>0</v>
      </c>
      <c r="C283" s="10">
        <f>'CASE DATA'!D285</f>
        <v>0</v>
      </c>
      <c r="D283" s="13">
        <f>SUM('CASE DATA'!M285)</f>
        <v>0</v>
      </c>
    </row>
    <row r="284" spans="1:4" x14ac:dyDescent="0.25">
      <c r="A284" t="str">
        <f>IF('CASE DATA'!A286="","",'CASE DATA'!A286)</f>
        <v/>
      </c>
      <c r="B284">
        <f>'CASE DATA'!B286</f>
        <v>0</v>
      </c>
      <c r="C284" s="10">
        <f>'CASE DATA'!D286</f>
        <v>0</v>
      </c>
      <c r="D284" s="13">
        <f>SUM('CASE DATA'!M286)</f>
        <v>0</v>
      </c>
    </row>
    <row r="285" spans="1:4" x14ac:dyDescent="0.25">
      <c r="A285" t="str">
        <f>IF('CASE DATA'!A287="","",'CASE DATA'!A287)</f>
        <v/>
      </c>
      <c r="B285">
        <f>'CASE DATA'!B287</f>
        <v>0</v>
      </c>
      <c r="C285" s="10">
        <f>'CASE DATA'!D287</f>
        <v>0</v>
      </c>
      <c r="D285" s="13">
        <f>SUM('CASE DATA'!M287)</f>
        <v>0</v>
      </c>
    </row>
    <row r="286" spans="1:4" x14ac:dyDescent="0.25">
      <c r="A286" t="str">
        <f>IF('CASE DATA'!A288="","",'CASE DATA'!A288)</f>
        <v/>
      </c>
      <c r="B286">
        <f>'CASE DATA'!B288</f>
        <v>0</v>
      </c>
      <c r="C286" s="10">
        <f>'CASE DATA'!D288</f>
        <v>0</v>
      </c>
      <c r="D286" s="13">
        <f>SUM('CASE DATA'!M288)</f>
        <v>0</v>
      </c>
    </row>
    <row r="287" spans="1:4" x14ac:dyDescent="0.25">
      <c r="A287" t="str">
        <f>IF('CASE DATA'!A289="","",'CASE DATA'!A289)</f>
        <v/>
      </c>
      <c r="B287">
        <f>'CASE DATA'!B289</f>
        <v>0</v>
      </c>
      <c r="C287" s="10">
        <f>'CASE DATA'!D289</f>
        <v>0</v>
      </c>
      <c r="D287" s="13">
        <f>SUM('CASE DATA'!M289)</f>
        <v>0</v>
      </c>
    </row>
    <row r="288" spans="1:4" x14ac:dyDescent="0.25">
      <c r="A288" t="str">
        <f>IF('CASE DATA'!A290="","",'CASE DATA'!A290)</f>
        <v/>
      </c>
      <c r="B288">
        <f>'CASE DATA'!B290</f>
        <v>0</v>
      </c>
      <c r="C288" s="10">
        <f>'CASE DATA'!D290</f>
        <v>0</v>
      </c>
      <c r="D288" s="13">
        <f>SUM('CASE DATA'!M290)</f>
        <v>0</v>
      </c>
    </row>
    <row r="289" spans="1:4" x14ac:dyDescent="0.25">
      <c r="A289" t="str">
        <f>IF('CASE DATA'!A291="","",'CASE DATA'!A291)</f>
        <v/>
      </c>
      <c r="B289">
        <f>'CASE DATA'!B291</f>
        <v>0</v>
      </c>
      <c r="C289" s="10">
        <f>'CASE DATA'!D291</f>
        <v>0</v>
      </c>
      <c r="D289" s="13">
        <f>SUM('CASE DATA'!M291)</f>
        <v>0</v>
      </c>
    </row>
    <row r="290" spans="1:4" x14ac:dyDescent="0.25">
      <c r="A290" t="str">
        <f>IF('CASE DATA'!A292="","",'CASE DATA'!A292)</f>
        <v/>
      </c>
      <c r="B290">
        <f>'CASE DATA'!B292</f>
        <v>0</v>
      </c>
      <c r="C290" s="10">
        <f>'CASE DATA'!D292</f>
        <v>0</v>
      </c>
      <c r="D290" s="13">
        <f>SUM('CASE DATA'!M292)</f>
        <v>0</v>
      </c>
    </row>
    <row r="291" spans="1:4" x14ac:dyDescent="0.25">
      <c r="A291" t="str">
        <f>IF('CASE DATA'!A293="","",'CASE DATA'!A293)</f>
        <v/>
      </c>
      <c r="B291">
        <f>'CASE DATA'!B293</f>
        <v>0</v>
      </c>
      <c r="C291" s="10">
        <f>'CASE DATA'!D293</f>
        <v>0</v>
      </c>
      <c r="D291" s="13">
        <f>SUM('CASE DATA'!M293)</f>
        <v>0</v>
      </c>
    </row>
    <row r="292" spans="1:4" x14ac:dyDescent="0.25">
      <c r="A292" t="str">
        <f>IF('CASE DATA'!A294="","",'CASE DATA'!A294)</f>
        <v/>
      </c>
      <c r="B292">
        <f>'CASE DATA'!B294</f>
        <v>0</v>
      </c>
      <c r="C292" s="10">
        <f>'CASE DATA'!D294</f>
        <v>0</v>
      </c>
      <c r="D292" s="13">
        <f>SUM('CASE DATA'!M294)</f>
        <v>0</v>
      </c>
    </row>
    <row r="293" spans="1:4" x14ac:dyDescent="0.25">
      <c r="A293" t="str">
        <f>IF('CASE DATA'!A295="","",'CASE DATA'!A295)</f>
        <v/>
      </c>
      <c r="B293">
        <f>'CASE DATA'!B295</f>
        <v>0</v>
      </c>
      <c r="C293" s="10">
        <f>'CASE DATA'!D295</f>
        <v>0</v>
      </c>
      <c r="D293" s="13">
        <f>SUM('CASE DATA'!M295)</f>
        <v>0</v>
      </c>
    </row>
    <row r="294" spans="1:4" x14ac:dyDescent="0.25">
      <c r="A294" t="str">
        <f>IF('CASE DATA'!A296="","",'CASE DATA'!A296)</f>
        <v/>
      </c>
      <c r="B294">
        <f>'CASE DATA'!B296</f>
        <v>0</v>
      </c>
      <c r="C294" s="10">
        <f>'CASE DATA'!D296</f>
        <v>0</v>
      </c>
      <c r="D294" s="13">
        <f>SUM('CASE DATA'!M296)</f>
        <v>0</v>
      </c>
    </row>
    <row r="295" spans="1:4" x14ac:dyDescent="0.25">
      <c r="A295" t="str">
        <f>IF('CASE DATA'!A297="","",'CASE DATA'!A297)</f>
        <v/>
      </c>
      <c r="B295">
        <f>'CASE DATA'!B297</f>
        <v>0</v>
      </c>
      <c r="C295" s="10">
        <f>'CASE DATA'!D297</f>
        <v>0</v>
      </c>
      <c r="D295" s="13">
        <f>SUM('CASE DATA'!M297)</f>
        <v>0</v>
      </c>
    </row>
    <row r="296" spans="1:4" x14ac:dyDescent="0.25">
      <c r="A296" t="str">
        <f>IF('CASE DATA'!A298="","",'CASE DATA'!A298)</f>
        <v/>
      </c>
      <c r="B296">
        <f>'CASE DATA'!B298</f>
        <v>0</v>
      </c>
      <c r="C296" s="10">
        <f>'CASE DATA'!D298</f>
        <v>0</v>
      </c>
      <c r="D296" s="13">
        <f>SUM('CASE DATA'!M298)</f>
        <v>0</v>
      </c>
    </row>
    <row r="297" spans="1:4" x14ac:dyDescent="0.25">
      <c r="A297" t="str">
        <f>IF('CASE DATA'!A299="","",'CASE DATA'!A299)</f>
        <v/>
      </c>
      <c r="B297">
        <f>'CASE DATA'!B299</f>
        <v>0</v>
      </c>
      <c r="C297" s="10">
        <f>'CASE DATA'!D299</f>
        <v>0</v>
      </c>
      <c r="D297" s="13">
        <f>SUM('CASE DATA'!M299)</f>
        <v>0</v>
      </c>
    </row>
    <row r="298" spans="1:4" x14ac:dyDescent="0.25">
      <c r="A298" t="str">
        <f>IF('CASE DATA'!A300="","",'CASE DATA'!A300)</f>
        <v/>
      </c>
      <c r="B298">
        <f>'CASE DATA'!B300</f>
        <v>0</v>
      </c>
      <c r="C298" s="10">
        <f>'CASE DATA'!D300</f>
        <v>0</v>
      </c>
      <c r="D298" s="13">
        <f>SUM('CASE DATA'!M300)</f>
        <v>0</v>
      </c>
    </row>
    <row r="299" spans="1:4" x14ac:dyDescent="0.25">
      <c r="A299" t="str">
        <f>IF('CASE DATA'!A301="","",'CASE DATA'!A301)</f>
        <v/>
      </c>
      <c r="B299">
        <f>'CASE DATA'!B301</f>
        <v>0</v>
      </c>
      <c r="C299" s="10">
        <f>'CASE DATA'!D301</f>
        <v>0</v>
      </c>
      <c r="D299" s="13">
        <f>SUM('CASE DATA'!M301)</f>
        <v>0</v>
      </c>
    </row>
    <row r="300" spans="1:4" x14ac:dyDescent="0.25">
      <c r="A300" t="str">
        <f>IF('CASE DATA'!A302="","",'CASE DATA'!A302)</f>
        <v/>
      </c>
      <c r="B300">
        <f>'CASE DATA'!B302</f>
        <v>0</v>
      </c>
      <c r="C300" s="10">
        <f>'CASE DATA'!D302</f>
        <v>0</v>
      </c>
      <c r="D300" s="13">
        <f>SUM('CASE DATA'!M302)</f>
        <v>0</v>
      </c>
    </row>
  </sheetData>
  <conditionalFormatting sqref="A2:D300">
    <cfRule type="expression" dxfId="1" priority="1">
      <formula>NOT($B2="POLK")</formula>
    </cfRule>
    <cfRule type="expression" dxfId="0" priority="2">
      <formula>$B2="POLK"</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topLeftCell="I1" zoomScaleNormal="100" workbookViewId="0">
      <selection activeCell="X2" sqref="X2"/>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62" t="s">
        <v>83</v>
      </c>
      <c r="X1" s="62" t="s">
        <v>84</v>
      </c>
    </row>
    <row r="2" spans="22:24" x14ac:dyDescent="0.25">
      <c r="V2" s="64" t="s">
        <v>85</v>
      </c>
      <c r="X2" s="64">
        <v>123.46</v>
      </c>
    </row>
    <row r="3" spans="22:24" x14ac:dyDescent="0.25">
      <c r="V3" s="64" t="s">
        <v>86</v>
      </c>
      <c r="X3" s="64">
        <v>123.47</v>
      </c>
    </row>
    <row r="4" spans="22:24" x14ac:dyDescent="0.25">
      <c r="V4" s="64" t="s">
        <v>87</v>
      </c>
      <c r="X4" s="64" t="s">
        <v>88</v>
      </c>
    </row>
    <row r="5" spans="22:24" x14ac:dyDescent="0.25">
      <c r="V5" s="64" t="s">
        <v>89</v>
      </c>
      <c r="X5" s="64">
        <v>321.21800000000002</v>
      </c>
    </row>
    <row r="6" spans="22:24" x14ac:dyDescent="0.25">
      <c r="V6" s="64" t="s">
        <v>90</v>
      </c>
      <c r="X6" s="64" t="s">
        <v>91</v>
      </c>
    </row>
    <row r="7" spans="22:24" x14ac:dyDescent="0.25">
      <c r="V7" s="64" t="s">
        <v>92</v>
      </c>
      <c r="X7" s="64" t="s">
        <v>93</v>
      </c>
    </row>
    <row r="8" spans="22:24" x14ac:dyDescent="0.25">
      <c r="V8" s="64" t="s">
        <v>94</v>
      </c>
      <c r="X8" s="64" t="s">
        <v>95</v>
      </c>
    </row>
    <row r="9" spans="22:24" ht="15" customHeight="1" x14ac:dyDescent="0.25">
      <c r="V9" s="64" t="s">
        <v>89</v>
      </c>
      <c r="X9" s="64">
        <v>707.5</v>
      </c>
    </row>
    <row r="10" spans="22:24" x14ac:dyDescent="0.25">
      <c r="V10" s="64" t="s">
        <v>90</v>
      </c>
      <c r="X10" s="64" t="s">
        <v>96</v>
      </c>
    </row>
    <row r="11" spans="22:24" x14ac:dyDescent="0.25">
      <c r="V11" s="64" t="s">
        <v>97</v>
      </c>
      <c r="X11" s="64" t="s">
        <v>98</v>
      </c>
    </row>
    <row r="12" spans="22:24" x14ac:dyDescent="0.25">
      <c r="V12" s="64" t="s">
        <v>99</v>
      </c>
      <c r="X12" s="64">
        <v>708.7</v>
      </c>
    </row>
    <row r="13" spans="22:24" x14ac:dyDescent="0.25">
      <c r="V13" s="64" t="s">
        <v>100</v>
      </c>
      <c r="X13" s="64">
        <v>708.11</v>
      </c>
    </row>
    <row r="14" spans="22:24" x14ac:dyDescent="0.25">
      <c r="V14" s="64" t="s">
        <v>101</v>
      </c>
      <c r="X14" s="64">
        <v>708.12</v>
      </c>
    </row>
    <row r="15" spans="22:24" x14ac:dyDescent="0.25">
      <c r="V15" s="64" t="s">
        <v>102</v>
      </c>
      <c r="X15" s="64" t="s">
        <v>103</v>
      </c>
    </row>
    <row r="16" spans="22:24" x14ac:dyDescent="0.25">
      <c r="V16" s="64" t="s">
        <v>104</v>
      </c>
      <c r="X16" s="64" t="s">
        <v>105</v>
      </c>
    </row>
    <row r="17" spans="22:24" x14ac:dyDescent="0.25">
      <c r="V17" s="64" t="s">
        <v>106</v>
      </c>
      <c r="X17" s="64">
        <v>721.2</v>
      </c>
    </row>
    <row r="18" spans="22:24" x14ac:dyDescent="0.25">
      <c r="V18" s="64" t="s">
        <v>107</v>
      </c>
      <c r="X18" s="64">
        <v>721.1</v>
      </c>
    </row>
    <row r="19" spans="22:24" x14ac:dyDescent="0.25">
      <c r="V19" s="64" t="s">
        <v>108</v>
      </c>
      <c r="X19" s="64">
        <v>723.1</v>
      </c>
    </row>
    <row r="20" spans="22:24" x14ac:dyDescent="0.25">
      <c r="V20" s="64" t="s">
        <v>109</v>
      </c>
    </row>
    <row r="21" spans="22:24" x14ac:dyDescent="0.25">
      <c r="V21" s="64" t="s">
        <v>110</v>
      </c>
    </row>
    <row r="22" spans="22:24" x14ac:dyDescent="0.25">
      <c r="V22" s="64" t="s">
        <v>111</v>
      </c>
    </row>
    <row r="23" spans="22:24" x14ac:dyDescent="0.25">
      <c r="V23" s="64" t="s">
        <v>112</v>
      </c>
    </row>
    <row r="24" spans="22:24" x14ac:dyDescent="0.25">
      <c r="V24" s="64" t="s">
        <v>113</v>
      </c>
    </row>
    <row r="25" spans="22:24" x14ac:dyDescent="0.25">
      <c r="V25" s="64" t="s">
        <v>114</v>
      </c>
    </row>
    <row r="26" spans="22:24" x14ac:dyDescent="0.25">
      <c r="V26" s="64" t="s">
        <v>115</v>
      </c>
    </row>
    <row r="27" spans="22:24" x14ac:dyDescent="0.25">
      <c r="V27" s="64" t="s">
        <v>116</v>
      </c>
    </row>
    <row r="28" spans="22:24" x14ac:dyDescent="0.25">
      <c r="V28" s="64" t="s">
        <v>117</v>
      </c>
    </row>
    <row r="29" spans="22:24" x14ac:dyDescent="0.25">
      <c r="V29" s="64" t="s">
        <v>118</v>
      </c>
    </row>
    <row r="30" spans="22:24" x14ac:dyDescent="0.25">
      <c r="V30" s="64" t="s">
        <v>119</v>
      </c>
    </row>
    <row r="31" spans="22:24" x14ac:dyDescent="0.25">
      <c r="V31" s="64" t="s">
        <v>120</v>
      </c>
    </row>
    <row r="32" spans="22:24" x14ac:dyDescent="0.25">
      <c r="V32" s="64" t="s">
        <v>121</v>
      </c>
    </row>
    <row r="33" spans="22:22" x14ac:dyDescent="0.25">
      <c r="V33" s="64" t="s">
        <v>122</v>
      </c>
    </row>
    <row r="34" spans="22:22" x14ac:dyDescent="0.25">
      <c r="V34" s="64" t="s">
        <v>123</v>
      </c>
    </row>
    <row r="35" spans="22:22" x14ac:dyDescent="0.25">
      <c r="V35" s="64" t="s">
        <v>124</v>
      </c>
    </row>
    <row r="36" spans="22:22" x14ac:dyDescent="0.25">
      <c r="V36" s="64" t="s">
        <v>125</v>
      </c>
    </row>
    <row r="37" spans="22:22" x14ac:dyDescent="0.25">
      <c r="V37" s="64" t="s">
        <v>126</v>
      </c>
    </row>
    <row r="38" spans="22:22" x14ac:dyDescent="0.25">
      <c r="V38" s="64" t="s">
        <v>127</v>
      </c>
    </row>
    <row r="39" spans="22:22" x14ac:dyDescent="0.25">
      <c r="V39" s="64">
        <v>707.2</v>
      </c>
    </row>
    <row r="40" spans="22:22" x14ac:dyDescent="0.25">
      <c r="V40" s="64">
        <v>707.3</v>
      </c>
    </row>
    <row r="41" spans="22:22" x14ac:dyDescent="0.25">
      <c r="V41" s="64" t="s">
        <v>128</v>
      </c>
    </row>
    <row r="42" spans="22:22" x14ac:dyDescent="0.25">
      <c r="V42" s="64">
        <v>707.4</v>
      </c>
    </row>
    <row r="43" spans="22:22" x14ac:dyDescent="0.25">
      <c r="V43" s="64" t="s">
        <v>129</v>
      </c>
    </row>
    <row r="44" spans="22:22" x14ac:dyDescent="0.25">
      <c r="V44" s="64" t="s">
        <v>130</v>
      </c>
    </row>
    <row r="45" spans="22:22" x14ac:dyDescent="0.25">
      <c r="V45" s="64" t="s">
        <v>131</v>
      </c>
    </row>
    <row r="46" spans="22:22" x14ac:dyDescent="0.25">
      <c r="V46" s="64" t="s">
        <v>132</v>
      </c>
    </row>
    <row r="47" spans="22:22" x14ac:dyDescent="0.25">
      <c r="V47" s="64" t="s">
        <v>133</v>
      </c>
    </row>
    <row r="48" spans="22:22" x14ac:dyDescent="0.25">
      <c r="V48" s="64" t="s">
        <v>134</v>
      </c>
    </row>
    <row r="49" spans="22:22" x14ac:dyDescent="0.25">
      <c r="V49" s="64" t="s">
        <v>135</v>
      </c>
    </row>
    <row r="50" spans="22:22" x14ac:dyDescent="0.25">
      <c r="V50" s="64" t="s">
        <v>136</v>
      </c>
    </row>
    <row r="51" spans="22:22" x14ac:dyDescent="0.25">
      <c r="V51" s="64" t="s">
        <v>137</v>
      </c>
    </row>
    <row r="52" spans="22:22" x14ac:dyDescent="0.25">
      <c r="V52" s="64" t="s">
        <v>138</v>
      </c>
    </row>
    <row r="53" spans="22:22" x14ac:dyDescent="0.25">
      <c r="V53" s="64" t="s">
        <v>139</v>
      </c>
    </row>
    <row r="54" spans="22:22" x14ac:dyDescent="0.25">
      <c r="V54" s="64" t="s">
        <v>140</v>
      </c>
    </row>
    <row r="55" spans="22:22" x14ac:dyDescent="0.25">
      <c r="V55" s="64" t="s">
        <v>141</v>
      </c>
    </row>
    <row r="56" spans="22:22" x14ac:dyDescent="0.25">
      <c r="V56" s="64" t="s">
        <v>142</v>
      </c>
    </row>
    <row r="57" spans="22:22" x14ac:dyDescent="0.25">
      <c r="V57" s="64">
        <v>707.9</v>
      </c>
    </row>
    <row r="58" spans="22:22" x14ac:dyDescent="0.25">
      <c r="V58" s="64">
        <v>707.11</v>
      </c>
    </row>
    <row r="59" spans="22:22" x14ac:dyDescent="0.25">
      <c r="V59" s="64" t="s">
        <v>143</v>
      </c>
    </row>
    <row r="60" spans="22:22" x14ac:dyDescent="0.25">
      <c r="V60" s="64" t="s">
        <v>144</v>
      </c>
    </row>
    <row r="61" spans="22:22" x14ac:dyDescent="0.25">
      <c r="V61" s="64" t="s">
        <v>145</v>
      </c>
    </row>
    <row r="62" spans="22:22" x14ac:dyDescent="0.25">
      <c r="V62" s="64" t="s">
        <v>146</v>
      </c>
    </row>
    <row r="63" spans="22:22" x14ac:dyDescent="0.25">
      <c r="V63" s="64" t="s">
        <v>147</v>
      </c>
    </row>
    <row r="64" spans="22:22" x14ac:dyDescent="0.25">
      <c r="V64" s="64" t="s">
        <v>148</v>
      </c>
    </row>
    <row r="65" spans="22:22" x14ac:dyDescent="0.25">
      <c r="V65" s="64" t="s">
        <v>149</v>
      </c>
    </row>
    <row r="66" spans="22:22" x14ac:dyDescent="0.25">
      <c r="V66" s="64" t="s">
        <v>150</v>
      </c>
    </row>
    <row r="67" spans="22:22" x14ac:dyDescent="0.25">
      <c r="V67" s="64" t="s">
        <v>151</v>
      </c>
    </row>
    <row r="68" spans="22:22" x14ac:dyDescent="0.25">
      <c r="V68" s="64" t="s">
        <v>152</v>
      </c>
    </row>
    <row r="69" spans="22:22" x14ac:dyDescent="0.25">
      <c r="V69" s="64" t="s">
        <v>153</v>
      </c>
    </row>
    <row r="70" spans="22:22" x14ac:dyDescent="0.25">
      <c r="V70" s="64" t="s">
        <v>154</v>
      </c>
    </row>
    <row r="71" spans="22:22" x14ac:dyDescent="0.25">
      <c r="V71" s="64" t="s">
        <v>155</v>
      </c>
    </row>
    <row r="72" spans="22:22" x14ac:dyDescent="0.25">
      <c r="V72" s="64" t="s">
        <v>156</v>
      </c>
    </row>
    <row r="73" spans="22:22" x14ac:dyDescent="0.25">
      <c r="V73" s="64">
        <v>708.6</v>
      </c>
    </row>
    <row r="74" spans="22:22" x14ac:dyDescent="0.25">
      <c r="V74" s="64">
        <v>708.5</v>
      </c>
    </row>
    <row r="75" spans="22:22" x14ac:dyDescent="0.25">
      <c r="V75" s="64">
        <v>708.8</v>
      </c>
    </row>
    <row r="76" spans="22:22" x14ac:dyDescent="0.25">
      <c r="V76" s="64" t="s">
        <v>157</v>
      </c>
    </row>
    <row r="77" spans="22:22" x14ac:dyDescent="0.25">
      <c r="V77" s="64" t="s">
        <v>158</v>
      </c>
    </row>
    <row r="78" spans="22:22" x14ac:dyDescent="0.25">
      <c r="V78" s="64" t="s">
        <v>159</v>
      </c>
    </row>
    <row r="79" spans="22:22" x14ac:dyDescent="0.25">
      <c r="V79" s="64" t="s">
        <v>160</v>
      </c>
    </row>
    <row r="80" spans="22:22" x14ac:dyDescent="0.25">
      <c r="V80" s="64">
        <v>708.14</v>
      </c>
    </row>
    <row r="81" spans="22:22" x14ac:dyDescent="0.25">
      <c r="V81" s="64" t="s">
        <v>161</v>
      </c>
    </row>
    <row r="82" spans="22:22" x14ac:dyDescent="0.25">
      <c r="V82" s="64" t="s">
        <v>162</v>
      </c>
    </row>
    <row r="83" spans="22:22" x14ac:dyDescent="0.25">
      <c r="V83" s="64" t="s">
        <v>163</v>
      </c>
    </row>
    <row r="84" spans="22:22" x14ac:dyDescent="0.25">
      <c r="V84" s="64" t="s">
        <v>164</v>
      </c>
    </row>
    <row r="85" spans="22:22" x14ac:dyDescent="0.25">
      <c r="V85" s="64" t="s">
        <v>165</v>
      </c>
    </row>
    <row r="86" spans="22:22" x14ac:dyDescent="0.25">
      <c r="V86" s="64" t="s">
        <v>166</v>
      </c>
    </row>
    <row r="87" spans="22:22" x14ac:dyDescent="0.25">
      <c r="V87" s="64">
        <v>709.2</v>
      </c>
    </row>
    <row r="88" spans="22:22" x14ac:dyDescent="0.25">
      <c r="V88" s="64">
        <v>709.3</v>
      </c>
    </row>
    <row r="89" spans="22:22" x14ac:dyDescent="0.25">
      <c r="V89" s="64">
        <v>709.4</v>
      </c>
    </row>
    <row r="90" spans="22:22" x14ac:dyDescent="0.25">
      <c r="V90" s="64" t="s">
        <v>167</v>
      </c>
    </row>
    <row r="91" spans="22:22" x14ac:dyDescent="0.25">
      <c r="V91" s="64" t="s">
        <v>168</v>
      </c>
    </row>
    <row r="92" spans="22:22" x14ac:dyDescent="0.25">
      <c r="V92" s="64" t="s">
        <v>169</v>
      </c>
    </row>
    <row r="93" spans="22:22" x14ac:dyDescent="0.25">
      <c r="V93" s="64" t="s">
        <v>170</v>
      </c>
    </row>
    <row r="94" spans="22:22" x14ac:dyDescent="0.25">
      <c r="V94" s="64" t="s">
        <v>171</v>
      </c>
    </row>
    <row r="95" spans="22:22" x14ac:dyDescent="0.25">
      <c r="V95" s="64" t="s">
        <v>172</v>
      </c>
    </row>
    <row r="96" spans="22:22" x14ac:dyDescent="0.25">
      <c r="V96" s="64" t="s">
        <v>173</v>
      </c>
    </row>
    <row r="97" spans="22:22" x14ac:dyDescent="0.25">
      <c r="V97" s="64" t="s">
        <v>174</v>
      </c>
    </row>
    <row r="98" spans="22:22" x14ac:dyDescent="0.25">
      <c r="V98" s="64" t="s">
        <v>175</v>
      </c>
    </row>
    <row r="99" spans="22:22" x14ac:dyDescent="0.25">
      <c r="V99" s="64">
        <v>709.18</v>
      </c>
    </row>
    <row r="100" spans="22:22" x14ac:dyDescent="0.25">
      <c r="V100" s="64" t="s">
        <v>176</v>
      </c>
    </row>
    <row r="101" spans="22:22" x14ac:dyDescent="0.25">
      <c r="V101" s="64" t="s">
        <v>177</v>
      </c>
    </row>
    <row r="102" spans="22:22" x14ac:dyDescent="0.25">
      <c r="V102" s="64" t="s">
        <v>178</v>
      </c>
    </row>
    <row r="103" spans="22:22" x14ac:dyDescent="0.25">
      <c r="V103" s="64" t="s">
        <v>179</v>
      </c>
    </row>
    <row r="104" spans="22:22" x14ac:dyDescent="0.25">
      <c r="V104" s="64">
        <v>710.2</v>
      </c>
    </row>
    <row r="105" spans="22:22" x14ac:dyDescent="0.25">
      <c r="V105" s="64">
        <v>710.3</v>
      </c>
    </row>
    <row r="106" spans="22:22" x14ac:dyDescent="0.25">
      <c r="V106" s="64">
        <v>710.4</v>
      </c>
    </row>
    <row r="107" spans="22:22" x14ac:dyDescent="0.25">
      <c r="V107" s="64">
        <v>710.5</v>
      </c>
    </row>
    <row r="108" spans="22:22" x14ac:dyDescent="0.25">
      <c r="V108" s="64" t="s">
        <v>180</v>
      </c>
    </row>
    <row r="109" spans="22:22" x14ac:dyDescent="0.25">
      <c r="V109" s="64" t="s">
        <v>181</v>
      </c>
    </row>
    <row r="110" spans="22:22" x14ac:dyDescent="0.25">
      <c r="V110" s="64" t="s">
        <v>182</v>
      </c>
    </row>
    <row r="111" spans="22:22" x14ac:dyDescent="0.25">
      <c r="V111" s="64">
        <v>710.11</v>
      </c>
    </row>
    <row r="112" spans="22:22" x14ac:dyDescent="0.25">
      <c r="V112" s="64" t="s">
        <v>183</v>
      </c>
    </row>
    <row r="113" spans="22:22" x14ac:dyDescent="0.25">
      <c r="V113" s="64" t="s">
        <v>184</v>
      </c>
    </row>
    <row r="114" spans="22:22" x14ac:dyDescent="0.25">
      <c r="V114" s="64" t="s">
        <v>185</v>
      </c>
    </row>
    <row r="115" spans="22:22" x14ac:dyDescent="0.25">
      <c r="V115" s="64" t="s">
        <v>186</v>
      </c>
    </row>
    <row r="116" spans="22:22" x14ac:dyDescent="0.25">
      <c r="V116" s="64" t="s">
        <v>187</v>
      </c>
    </row>
    <row r="117" spans="22:22" x14ac:dyDescent="0.25">
      <c r="V117" s="64" t="s">
        <v>188</v>
      </c>
    </row>
    <row r="118" spans="22:22" x14ac:dyDescent="0.25">
      <c r="V118" s="64" t="s">
        <v>189</v>
      </c>
    </row>
    <row r="119" spans="22:22" x14ac:dyDescent="0.25">
      <c r="V119" s="64" t="s">
        <v>190</v>
      </c>
    </row>
    <row r="120" spans="22:22" x14ac:dyDescent="0.25">
      <c r="V120" s="64">
        <v>711.2</v>
      </c>
    </row>
    <row r="121" spans="22:22" x14ac:dyDescent="0.25">
      <c r="V121" s="64">
        <v>711.3</v>
      </c>
    </row>
    <row r="122" spans="22:22" x14ac:dyDescent="0.25">
      <c r="V122" s="64">
        <v>711.4</v>
      </c>
    </row>
    <row r="123" spans="22:22" x14ac:dyDescent="0.25">
      <c r="V123" s="64">
        <v>712.2</v>
      </c>
    </row>
    <row r="124" spans="22:22" x14ac:dyDescent="0.25">
      <c r="V124" s="64">
        <v>712.3</v>
      </c>
    </row>
    <row r="125" spans="22:22" x14ac:dyDescent="0.25">
      <c r="V125" s="64" t="s">
        <v>191</v>
      </c>
    </row>
    <row r="126" spans="22:22" x14ac:dyDescent="0.25">
      <c r="V126" s="64">
        <v>712.7</v>
      </c>
    </row>
    <row r="127" spans="22:22" x14ac:dyDescent="0.25">
      <c r="V127" s="64">
        <v>712.8</v>
      </c>
    </row>
    <row r="128" spans="22:22" x14ac:dyDescent="0.25">
      <c r="V128" s="64">
        <v>713.3</v>
      </c>
    </row>
    <row r="129" spans="22:22" x14ac:dyDescent="0.25">
      <c r="V129" s="64">
        <v>713.4</v>
      </c>
    </row>
    <row r="130" spans="22:22" x14ac:dyDescent="0.25">
      <c r="V130" s="64">
        <v>713.5</v>
      </c>
    </row>
    <row r="131" spans="22:22" x14ac:dyDescent="0.25">
      <c r="V131" s="64">
        <v>713.6</v>
      </c>
    </row>
    <row r="132" spans="22:22" x14ac:dyDescent="0.25">
      <c r="V132" s="64" t="s">
        <v>192</v>
      </c>
    </row>
    <row r="133" spans="22:22" x14ac:dyDescent="0.25">
      <c r="V133" s="64" t="s">
        <v>193</v>
      </c>
    </row>
    <row r="134" spans="22:22" x14ac:dyDescent="0.25">
      <c r="V134" s="64" t="s">
        <v>194</v>
      </c>
    </row>
    <row r="135" spans="22:22" x14ac:dyDescent="0.25">
      <c r="V135" s="64" t="s">
        <v>195</v>
      </c>
    </row>
    <row r="136" spans="22:22" x14ac:dyDescent="0.25">
      <c r="V136" s="64">
        <v>714.9</v>
      </c>
    </row>
    <row r="137" spans="22:22" x14ac:dyDescent="0.25">
      <c r="V137" s="64">
        <v>714.1</v>
      </c>
    </row>
    <row r="138" spans="22:22" x14ac:dyDescent="0.25">
      <c r="V138" s="64" t="s">
        <v>196</v>
      </c>
    </row>
    <row r="139" spans="22:22" x14ac:dyDescent="0.25">
      <c r="V139" s="64" t="s">
        <v>197</v>
      </c>
    </row>
    <row r="140" spans="22:22" x14ac:dyDescent="0.25">
      <c r="V140" s="64" t="s">
        <v>198</v>
      </c>
    </row>
    <row r="141" spans="22:22" x14ac:dyDescent="0.25">
      <c r="V141" s="64" t="s">
        <v>199</v>
      </c>
    </row>
    <row r="142" spans="22:22" x14ac:dyDescent="0.25">
      <c r="V142" s="64" t="s">
        <v>200</v>
      </c>
    </row>
    <row r="143" spans="22:22" x14ac:dyDescent="0.25">
      <c r="V143" s="64" t="s">
        <v>201</v>
      </c>
    </row>
    <row r="144" spans="22:22" x14ac:dyDescent="0.25">
      <c r="V144" s="64" t="s">
        <v>202</v>
      </c>
    </row>
    <row r="145" spans="22:22" x14ac:dyDescent="0.25">
      <c r="V145" s="64" t="s">
        <v>203</v>
      </c>
    </row>
    <row r="146" spans="22:22" x14ac:dyDescent="0.25">
      <c r="V146" s="64" t="s">
        <v>204</v>
      </c>
    </row>
    <row r="147" spans="22:22" x14ac:dyDescent="0.25">
      <c r="V147" s="64">
        <v>716.3</v>
      </c>
    </row>
    <row r="148" spans="22:22" x14ac:dyDescent="0.25">
      <c r="V148" s="64">
        <v>716.4</v>
      </c>
    </row>
    <row r="149" spans="22:22" x14ac:dyDescent="0.25">
      <c r="V149" s="64" t="s">
        <v>205</v>
      </c>
    </row>
    <row r="150" spans="22:22" x14ac:dyDescent="0.25">
      <c r="V150" s="64" t="s">
        <v>206</v>
      </c>
    </row>
    <row r="151" spans="22:22" x14ac:dyDescent="0.25">
      <c r="V151" s="64" t="s">
        <v>207</v>
      </c>
    </row>
    <row r="152" spans="22:22" x14ac:dyDescent="0.25">
      <c r="V152" s="64" t="s">
        <v>208</v>
      </c>
    </row>
    <row r="153" spans="22:22" x14ac:dyDescent="0.25">
      <c r="V153" s="64" t="s">
        <v>209</v>
      </c>
    </row>
    <row r="154" spans="22:22" x14ac:dyDescent="0.25">
      <c r="V154" s="64">
        <v>716.12</v>
      </c>
    </row>
    <row r="155" spans="22:22" x14ac:dyDescent="0.25">
      <c r="V155" s="64" t="s">
        <v>210</v>
      </c>
    </row>
    <row r="156" spans="22:22" x14ac:dyDescent="0.25">
      <c r="V156" s="64" t="s">
        <v>211</v>
      </c>
    </row>
    <row r="157" spans="22:22" x14ac:dyDescent="0.25">
      <c r="V157" s="64" t="s">
        <v>212</v>
      </c>
    </row>
    <row r="158" spans="22:22" x14ac:dyDescent="0.25">
      <c r="V158" s="64" t="s">
        <v>213</v>
      </c>
    </row>
    <row r="159" spans="22:22" x14ac:dyDescent="0.25">
      <c r="V159" s="64" t="s">
        <v>214</v>
      </c>
    </row>
    <row r="160" spans="22:22" x14ac:dyDescent="0.25">
      <c r="V160" s="64" t="s">
        <v>215</v>
      </c>
    </row>
    <row r="161" spans="22:22" x14ac:dyDescent="0.25">
      <c r="V161" s="64" t="s">
        <v>216</v>
      </c>
    </row>
    <row r="162" spans="22:22" x14ac:dyDescent="0.25">
      <c r="V162" s="64" t="s">
        <v>217</v>
      </c>
    </row>
    <row r="163" spans="22:22" x14ac:dyDescent="0.25">
      <c r="V163" s="64" t="s">
        <v>218</v>
      </c>
    </row>
    <row r="164" spans="22:22" x14ac:dyDescent="0.25">
      <c r="V164" s="64" t="s">
        <v>219</v>
      </c>
    </row>
    <row r="165" spans="22:22" x14ac:dyDescent="0.25">
      <c r="V165" s="64" t="s">
        <v>220</v>
      </c>
    </row>
    <row r="166" spans="22:22" x14ac:dyDescent="0.25">
      <c r="V166" s="64" t="s">
        <v>221</v>
      </c>
    </row>
    <row r="167" spans="22:22" x14ac:dyDescent="0.25">
      <c r="V167" s="64" t="s">
        <v>222</v>
      </c>
    </row>
    <row r="168" spans="22:22" x14ac:dyDescent="0.25">
      <c r="V168" s="64">
        <v>719.9</v>
      </c>
    </row>
    <row r="169" spans="22:22" x14ac:dyDescent="0.25">
      <c r="V169" s="64">
        <v>719.8</v>
      </c>
    </row>
    <row r="170" spans="22:22" x14ac:dyDescent="0.25">
      <c r="V170" s="64">
        <v>720.2</v>
      </c>
    </row>
    <row r="171" spans="22:22" x14ac:dyDescent="0.25">
      <c r="V171" s="64">
        <v>720.3</v>
      </c>
    </row>
    <row r="172" spans="22:22" x14ac:dyDescent="0.25">
      <c r="V172" s="64">
        <v>721.1</v>
      </c>
    </row>
    <row r="173" spans="22:22" x14ac:dyDescent="0.25">
      <c r="V173" s="64">
        <v>722.1</v>
      </c>
    </row>
    <row r="174" spans="22:22" x14ac:dyDescent="0.25">
      <c r="V174" s="64">
        <v>722.2</v>
      </c>
    </row>
    <row r="175" spans="22:22" x14ac:dyDescent="0.25">
      <c r="V175" s="64">
        <v>722.1</v>
      </c>
    </row>
    <row r="176" spans="22:22" x14ac:dyDescent="0.25">
      <c r="V176" s="64" t="s">
        <v>223</v>
      </c>
    </row>
    <row r="177" spans="22:22" x14ac:dyDescent="0.25">
      <c r="V177" s="64" t="s">
        <v>224</v>
      </c>
    </row>
    <row r="178" spans="22:22" x14ac:dyDescent="0.25">
      <c r="V178" s="64" t="s">
        <v>225</v>
      </c>
    </row>
    <row r="179" spans="22:22" x14ac:dyDescent="0.25">
      <c r="V179" s="64" t="s">
        <v>226</v>
      </c>
    </row>
    <row r="180" spans="22:22" x14ac:dyDescent="0.25">
      <c r="V180" s="64" t="s">
        <v>227</v>
      </c>
    </row>
    <row r="181" spans="22:22" x14ac:dyDescent="0.25">
      <c r="V181" s="64" t="s">
        <v>228</v>
      </c>
    </row>
    <row r="182" spans="22:22" x14ac:dyDescent="0.25">
      <c r="V182" s="64">
        <v>724.3</v>
      </c>
    </row>
    <row r="183" spans="22:22" x14ac:dyDescent="0.25">
      <c r="V183" s="64" t="s">
        <v>229</v>
      </c>
    </row>
    <row r="184" spans="22:22" x14ac:dyDescent="0.25">
      <c r="V184" s="64">
        <v>724.1</v>
      </c>
    </row>
    <row r="185" spans="22:22" x14ac:dyDescent="0.25">
      <c r="V185" s="64" t="s">
        <v>230</v>
      </c>
    </row>
    <row r="186" spans="22:22" x14ac:dyDescent="0.25">
      <c r="V186" s="64" t="s">
        <v>231</v>
      </c>
    </row>
    <row r="187" spans="22:22" x14ac:dyDescent="0.25">
      <c r="V187" s="64" t="s">
        <v>232</v>
      </c>
    </row>
    <row r="188" spans="22:22" x14ac:dyDescent="0.25">
      <c r="V188" s="64">
        <v>724.17</v>
      </c>
    </row>
    <row r="189" spans="22:22" x14ac:dyDescent="0.25">
      <c r="V189" s="64">
        <v>724.21</v>
      </c>
    </row>
    <row r="190" spans="22:22" x14ac:dyDescent="0.25">
      <c r="V190" s="64" t="s">
        <v>233</v>
      </c>
    </row>
    <row r="191" spans="22:22" x14ac:dyDescent="0.25">
      <c r="V191" s="64" t="s">
        <v>234</v>
      </c>
    </row>
    <row r="192" spans="22:22" x14ac:dyDescent="0.25">
      <c r="V192" s="64" t="s">
        <v>235</v>
      </c>
    </row>
    <row r="193" spans="22:22" x14ac:dyDescent="0.25">
      <c r="V193" s="64" t="s">
        <v>236</v>
      </c>
    </row>
    <row r="194" spans="22:22" x14ac:dyDescent="0.25">
      <c r="V194" s="64" t="s">
        <v>237</v>
      </c>
    </row>
    <row r="195" spans="22:22" x14ac:dyDescent="0.25">
      <c r="V195" s="64" t="s">
        <v>238</v>
      </c>
    </row>
    <row r="196" spans="22:22" x14ac:dyDescent="0.25">
      <c r="V196" s="64" t="s">
        <v>239</v>
      </c>
    </row>
    <row r="197" spans="22:22" x14ac:dyDescent="0.25">
      <c r="V197" s="64" t="s">
        <v>240</v>
      </c>
    </row>
    <row r="198" spans="22:22" x14ac:dyDescent="0.25">
      <c r="V198" s="64" t="s">
        <v>241</v>
      </c>
    </row>
    <row r="199" spans="22:22" x14ac:dyDescent="0.25">
      <c r="V199" s="64" t="s">
        <v>242</v>
      </c>
    </row>
    <row r="200" spans="22:22" x14ac:dyDescent="0.25">
      <c r="V200" s="64" t="s">
        <v>243</v>
      </c>
    </row>
    <row r="201" spans="22:22" x14ac:dyDescent="0.25">
      <c r="V201" s="64" t="s">
        <v>244</v>
      </c>
    </row>
    <row r="202" spans="22:22" x14ac:dyDescent="0.25">
      <c r="V202" s="64" t="s">
        <v>245</v>
      </c>
    </row>
    <row r="203" spans="22:22" x14ac:dyDescent="0.25">
      <c r="V203" s="64" t="s">
        <v>246</v>
      </c>
    </row>
    <row r="204" spans="22:22" x14ac:dyDescent="0.25">
      <c r="V204" s="64" t="s">
        <v>247</v>
      </c>
    </row>
    <row r="205" spans="22:22" x14ac:dyDescent="0.25">
      <c r="V205" s="64" t="s">
        <v>248</v>
      </c>
    </row>
    <row r="206" spans="22:22" x14ac:dyDescent="0.25">
      <c r="V206" s="64" t="s">
        <v>249</v>
      </c>
    </row>
    <row r="207" spans="22:22" x14ac:dyDescent="0.25">
      <c r="V207" s="64" t="s">
        <v>250</v>
      </c>
    </row>
    <row r="208" spans="22:22" x14ac:dyDescent="0.25">
      <c r="V208" s="64">
        <v>726.2</v>
      </c>
    </row>
    <row r="209" spans="22:22" x14ac:dyDescent="0.25">
      <c r="V209" s="64">
        <v>726.3</v>
      </c>
    </row>
    <row r="210" spans="22:22" x14ac:dyDescent="0.25">
      <c r="V210" s="64">
        <v>726.5</v>
      </c>
    </row>
    <row r="211" spans="22:22" x14ac:dyDescent="0.25">
      <c r="V211" s="64" t="s">
        <v>251</v>
      </c>
    </row>
    <row r="212" spans="22:22" x14ac:dyDescent="0.25">
      <c r="V212" s="64" t="s">
        <v>252</v>
      </c>
    </row>
    <row r="213" spans="22:22" x14ac:dyDescent="0.25">
      <c r="V213" s="64" t="s">
        <v>253</v>
      </c>
    </row>
    <row r="214" spans="22:22" x14ac:dyDescent="0.25">
      <c r="V214" s="64" t="s">
        <v>254</v>
      </c>
    </row>
    <row r="215" spans="22:22" x14ac:dyDescent="0.25">
      <c r="V215" s="64" t="s">
        <v>255</v>
      </c>
    </row>
    <row r="216" spans="22:22" x14ac:dyDescent="0.25">
      <c r="V216" s="64" t="s">
        <v>256</v>
      </c>
    </row>
    <row r="217" spans="22:22" x14ac:dyDescent="0.25">
      <c r="V217" s="64" t="s">
        <v>257</v>
      </c>
    </row>
    <row r="218" spans="22:22" x14ac:dyDescent="0.25">
      <c r="V218" s="64" t="s">
        <v>258</v>
      </c>
    </row>
    <row r="219" spans="22:22" x14ac:dyDescent="0.25">
      <c r="V219" s="63"/>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BASIC INFO</vt:lpstr>
      <vt:lpstr>CASE DATA</vt:lpstr>
      <vt:lpstr>EXPUNGEMENT &amp; 910.7</vt:lpstr>
      <vt:lpstr>BANKRUPTCY</vt:lpstr>
      <vt:lpstr>LICENSE-REGIS</vt:lpstr>
      <vt:lpstr>EXEMPTIONS</vt:lpstr>
      <vt:lpstr>SOL</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Kornya</dc:creator>
  <cp:lastModifiedBy>Arianna Eddy</cp:lastModifiedBy>
  <cp:revision>1</cp:revision>
  <dcterms:created xsi:type="dcterms:W3CDTF">2017-01-04T22:59:04Z</dcterms:created>
  <dcterms:modified xsi:type="dcterms:W3CDTF">2025-07-25T22:30:13Z</dcterms:modified>
  <dc:language>en-US</dc:language>
</cp:coreProperties>
</file>